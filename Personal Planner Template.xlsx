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" sheetId="1" r:id="rId5"/>
    <sheet state="visible" name="Now" sheetId="2" r:id="rId6"/>
    <sheet state="visible" name="Planner" sheetId="3" r:id="rId7"/>
    <sheet state="visible" name="Subject" sheetId="4" r:id="rId8"/>
    <sheet state="visible" name="Schedule" sheetId="5" r:id="rId9"/>
    <sheet state="visible" name="Time List" sheetId="6" r:id="rId10"/>
    <sheet state="visible" name="Static " sheetId="7" r:id="rId11"/>
  </sheets>
  <definedNames>
    <definedName name="Slicer_time1">#REF!</definedName>
    <definedName name="Slicer_time">#REF!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<sst xmlns="http://schemas.openxmlformats.org/spreadsheetml/2006/main" count="23165" uniqueCount="44">
  <si>
    <t>Count of task</t>
  </si>
  <si>
    <t>task</t>
  </si>
  <si>
    <t>time</t>
  </si>
  <si>
    <t>Grand Total</t>
  </si>
  <si>
    <t>Columns</t>
  </si>
  <si>
    <t>Rows</t>
  </si>
  <si>
    <t>Values</t>
  </si>
  <si>
    <t>*Enter subjects of interest in Cell A5 and after</t>
  </si>
  <si>
    <t>Time</t>
  </si>
  <si>
    <t>Static Task</t>
  </si>
  <si>
    <t>notes</t>
  </si>
  <si>
    <t>Adjusted Task</t>
  </si>
  <si>
    <t>List of Subjects</t>
  </si>
  <si>
    <t>Notes</t>
  </si>
  <si>
    <t>Source or instructions</t>
  </si>
  <si>
    <t>Time Reference</t>
  </si>
  <si>
    <t>free</t>
  </si>
  <si>
    <t>Catch</t>
  </si>
  <si>
    <t>Data Annotation</t>
  </si>
  <si>
    <t>SQL</t>
  </si>
  <si>
    <t>Trash</t>
  </si>
  <si>
    <t>Laundry</t>
  </si>
  <si>
    <t>Spanish</t>
  </si>
  <si>
    <t>Python</t>
  </si>
  <si>
    <t>Economics</t>
  </si>
  <si>
    <t>Hebrew</t>
  </si>
  <si>
    <t>Dishes</t>
  </si>
  <si>
    <t>Math</t>
  </si>
  <si>
    <t>Music Theory</t>
  </si>
  <si>
    <t>Contact a contact</t>
  </si>
  <si>
    <t>Tableau</t>
  </si>
  <si>
    <t>work</t>
  </si>
  <si>
    <t>Review Finanaces</t>
  </si>
  <si>
    <t>Break</t>
  </si>
  <si>
    <t>Lift</t>
  </si>
  <si>
    <t>Push ups</t>
  </si>
  <si>
    <t>Meet up</t>
  </si>
  <si>
    <t>Sailing</t>
  </si>
  <si>
    <t>Ira time</t>
  </si>
  <si>
    <t>Video Games</t>
  </si>
  <si>
    <t>German</t>
  </si>
  <si>
    <t>Future Planning</t>
  </si>
  <si>
    <t>Bench</t>
  </si>
  <si>
    <t>Pull 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</si>
</sst>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22" xfId="0" applyFont="1" applyNumberFormat="1"/>
    <xf borderId="0" fillId="0" fontId="2" numFmtId="0" xfId="0" applyFont="1"/>
    <xf borderId="0" fillId="0" fontId="2" numFmtId="18" xfId="0" applyFont="1" applyNumberFormat="1"/>
    <xf borderId="0" fillId="0" fontId="2" numFmtId="22" xfId="0" applyFont="1" applyNumberFormat="1"/>
    <xf borderId="0" fillId="0" fontId="1" numFmtId="18" xfId="0" applyFont="1" applyNumberFormat="1"/>
    <xf borderId="0" fillId="0" fontId="3" numFmtId="18" xfId="0" applyFont="1" applyNumberFormat="1"/>
    <xf borderId="0" fillId="0" fontId="3" numFmtId="22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1" fillId="2" fontId="1" numFmtId="18" xfId="0" applyBorder="1" applyFill="1" applyFont="1" applyNumberFormat="1"/>
    <xf borderId="1" fillId="2" fontId="1" numFmtId="0" xfId="0" applyBorder="1" applyFont="1"/>
    <xf borderId="0" fillId="0" fontId="1" numFmtId="20" xfId="0" applyFont="1" applyNumberFormat="1"/>
    <xf borderId="1" fillId="2" fontId="1" numFmtId="20" xfId="0" applyBorder="1" applyFont="1" applyNumberFormat="1"/>
    <xf borderId="0" fillId="0" fontId="1" numFmtId="14" xfId="0" applyFont="1" applyNumberFormat="1"/>
    <xf borderId="1" fillId="2" fontId="1" numFmtId="14" xfId="0" applyBorder="1" applyFont="1" applyNumberFormat="1"/>
    <xf borderId="0" fillId="0" fontId="1" numFmtId="164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</xdr:row>
      <xdr:rowOff>161925</xdr:rowOff>
    </xdr:from>
    <xdr:ext cx="2514600" cy="6867525"/>
    <xdr:sp>
      <xdr:nvSpPr>
        <xdr:cNvPr id="3" name="Shape 3"/>
        <xdr:cNvSpPr txBox="1"/>
      </xdr:nvSpPr>
      <xdr:spPr>
        <a:xfrm>
          <a:off x="4088700" y="351000"/>
          <a:ext cx="2514600" cy="6858000"/>
        </a:xfrm>
        <a:prstGeom prst="rect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When an item is to be removed from rotation, add a new index number and the subject "Free" or a subject relapacing the removed subject.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After a change, copy the schedule worksheet to the static worksheet then "ctrl, A"/copy values and formatting, so that just the static data that was generated from the formulas gets copied over and not the formulas themselves which will result in blanks.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 contact a contact and meet up are both interchangeable. If they occur early enough in the schedule, they can be used to reach out to a family member in a different timezone. If one of the blocks lands, it can be used to call or text someone and a subsequent block can then be used at a later date for in person meetings.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6:D43" sheet="Now"/>
  </cacheSource>
  <cacheFields>
    <cacheField name="time" numFmtId="18">
      <sharedItems containsSemiMixedTypes="0" containsDate="1" containsString="0">
        <d v="1899-12-30T08:00:00Z"/>
        <d v="1899-12-30T08:30:00Z"/>
        <d v="1899-12-30T09:00:00Z"/>
        <d v="1899-12-30T09:30:00Z"/>
        <d v="1899-12-30T10:00:00Z"/>
        <d v="1899-12-30T10:30:00Z"/>
        <d v="1899-12-30T11:00:00Z"/>
        <d v="1899-12-30T11:30:00Z"/>
        <d v="1899-12-30T12:00:00Z"/>
        <d v="1899-12-30T12:30:00Z"/>
        <d v="1899-12-30T13:00:00Z"/>
        <d v="1899-12-30T13:30:00Z"/>
        <d v="1899-12-30T14:00:00Z"/>
        <d v="1899-12-30T14:30:00Z"/>
        <d v="1899-12-30T15:00:00Z"/>
        <d v="1899-12-30T15:30:00Z"/>
        <d v="1899-12-30T16:00:00Z"/>
        <d v="1899-12-30T16:30:00Z"/>
        <d v="1899-12-30T17:00:00Z"/>
        <d v="1899-12-30T17:30:00Z"/>
        <d v="1899-12-30T18:00:00Z"/>
        <d v="1899-12-30T18:30:00Z"/>
        <d v="1899-12-30T19:00:00Z"/>
        <d v="1899-12-30T19:30:00Z"/>
        <d v="1899-12-30T20:00:00Z"/>
        <d v="1899-12-30T20:30:00Z"/>
        <d v="1899-12-30T21:00:00Z"/>
        <d v="1899-12-30T21:30:00Z"/>
        <d v="1899-12-30T22:00:00Z"/>
        <d v="1899-12-30T22:30:00Z"/>
        <d v="1899-12-30T23:00:00Z"/>
        <d v="1899-12-30T23:30:00Z"/>
        <d v="1899-12-31T00:00:00Z"/>
        <d v="1899-12-31T00:30:00Z"/>
        <d v="1899-12-31T01:00:00Z"/>
        <d v="1899-12-31T01:30:00Z"/>
        <d v="1899-12-31T02:00:00Z"/>
      </sharedItems>
    </cacheField>
    <cacheField name="task" numFmtId="22">
      <sharedItems>
        <e v="#N/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lGrandTotals="0" compact="0" compactData="0">
  <location ref="A3:B42" firstHeaderRow="0" firstDataRow="1" firstDataCol="1"/>
  <pivotFields>
    <pivotField name="time" axis="axisRow" compact="0" numFmtId="18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ask" axis="axisCol" dataField="1" compact="0" numFmtId="22" outline="0" multipleItemSelectionAllowed="1" showAll="0" sortType="ascending">
      <items>
        <item x="0"/>
        <item t="default"/>
      </items>
    </pivotField>
  </pivotFields>
  <rowFields>
    <field x="0"/>
  </rowFields>
  <colFields>
    <field x="1"/>
  </colFields>
  <dataFields>
    <dataField name="Count of task" fld="1" subtotal="count" baseField="0"/>
  </dataFields>
</pivotTableDefinition>
</file>

<file path=xl/pivotTables/pivotTable2.xml><?xml version="1.0" encoding="utf-8"?>
<pivotTableDefinition xmlns="http://schemas.openxmlformats.org/spreadsheetml/2006/main" name="Now" cacheId="0" dataCaption="" colGrandTotals="0" compact="0" compactData="0">
  <location ref="F6:J15" firstHeaderRow="0" firstDataRow="1" firstDataCol="1"/>
  <pivotFields>
    <pivotField name="time" axis="axisRow" compact="0" numFmtId="18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</pivotField>
    <pivotField name="task" axis="axisCol" dataField="1" compact="0" numFmtId="22" outline="0" multipleItemSelectionAllowed="1" showAll="0" sortType="ascending">
      <items>
        <item x="0"/>
        <item t="default"/>
      </items>
    </pivotField>
  </pivotFields>
  <rowFields>
    <field x="0"/>
  </rowFields>
  <colFields>
    <field x="1"/>
  </colFields>
  <dataFields>
    <dataField name="Count of task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5.57"/>
    <col customWidth="1" min="3" max="3" width="7.43"/>
    <col customWidth="1" min="4" max="4" width="7.71"/>
    <col customWidth="1" min="5" max="5" width="12.43"/>
    <col customWidth="1" min="6" max="6" width="7.0"/>
    <col customWidth="1" min="7" max="7" width="7.57"/>
    <col customWidth="1" min="8" max="8" width="5.43"/>
    <col customWidth="1" min="9" max="9" width="4.14"/>
    <col customWidth="1" min="10" max="10" width="5.14"/>
    <col customWidth="1" min="11" max="26" width="8.71"/>
  </cols>
  <sheetData>
    <row r="1" ht="14.25" customHeight="1">
      <c r="A1" s="1">
        <f>NOW()</f>
        <v>46204.55368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43"/>
    <col customWidth="1" min="3" max="3" width="13.86"/>
    <col customWidth="1" min="4" max="5" width="8.71"/>
    <col customWidth="1" min="6" max="6" width="12.86"/>
    <col customWidth="1" min="7" max="7" width="15.57"/>
    <col customWidth="1" min="8" max="8" width="7.43"/>
    <col customWidth="1" min="9" max="9" width="7.71"/>
    <col customWidth="1" min="10" max="10" width="12.43"/>
    <col customWidth="1" min="11" max="11" width="7.0"/>
    <col customWidth="1" min="12" max="12" width="7.57"/>
    <col customWidth="1" min="13" max="13" width="5.43"/>
    <col customWidth="1" min="14" max="14" width="4.14"/>
    <col customWidth="1" min="15" max="15" width="5.14"/>
    <col customWidth="1" min="16" max="39" width="8.71"/>
  </cols>
  <sheetData>
    <row r="1" ht="14.25" customHeight="1">
      <c r="A1" s="1">
        <f>NOW()</f>
        <v>46204.55367</v>
      </c>
      <c r="C1" s="5">
        <v>0.3333333333333333</v>
      </c>
      <c r="D1" s="5">
        <v>0.3541666666666667</v>
      </c>
      <c r="E1" s="5">
        <v>0.37500000000000006</v>
      </c>
      <c r="F1" s="5">
        <v>0.3958333333333334</v>
      </c>
      <c r="G1" s="5">
        <v>0.4166666666666668</v>
      </c>
      <c r="H1" s="5">
        <v>0.43750000000000017</v>
      </c>
      <c r="I1" s="5">
        <v>0.45833333333333354</v>
      </c>
      <c r="J1" s="5">
        <v>0.4791666666666669</v>
      </c>
      <c r="K1" s="5">
        <v>0.5000000000000002</v>
      </c>
      <c r="L1" s="5">
        <v>0.5208333333333336</v>
      </c>
      <c r="M1" s="5">
        <v>0.541666666666667</v>
      </c>
      <c r="N1" s="5">
        <v>0.5625000000000003</v>
      </c>
      <c r="O1" s="5">
        <v>0.5833333333333337</v>
      </c>
      <c r="P1" s="5">
        <v>0.6041666666666671</v>
      </c>
      <c r="Q1" s="5">
        <v>0.6250000000000004</v>
      </c>
      <c r="R1" s="5">
        <v>0.6458333333333338</v>
      </c>
      <c r="S1" s="5">
        <v>0.6666666666666672</v>
      </c>
      <c r="T1" s="5">
        <v>0.6875000000000006</v>
      </c>
      <c r="U1" s="5">
        <v>0.7083333333333339</v>
      </c>
      <c r="V1" s="5">
        <v>0.7291666666666673</v>
      </c>
      <c r="W1" s="5">
        <v>0.7500000000000007</v>
      </c>
      <c r="X1" s="5">
        <v>0.770833333333334</v>
      </c>
      <c r="Y1" s="5">
        <v>0.7916666666666674</v>
      </c>
      <c r="Z1" s="5">
        <v>0.8125000000000008</v>
      </c>
      <c r="AA1" s="5">
        <v>0.8333333333333341</v>
      </c>
      <c r="AB1" s="5">
        <v>0.8541666666666675</v>
      </c>
      <c r="AC1" s="5">
        <v>0.8750000000000009</v>
      </c>
      <c r="AD1" s="5">
        <v>0.8958333333333343</v>
      </c>
      <c r="AE1" s="5">
        <v>0.9166666666666676</v>
      </c>
      <c r="AF1" s="5">
        <v>0.937500000000001</v>
      </c>
      <c r="AG1" s="5">
        <v>0.9583333333333344</v>
      </c>
      <c r="AH1" s="5">
        <v>0.9791666666666677</v>
      </c>
      <c r="AI1" s="5">
        <v>1.000000000000001</v>
      </c>
      <c r="AJ1" s="5">
        <v>1.0208333333333344</v>
      </c>
      <c r="AK1" s="5">
        <v>1.0416666666666679</v>
      </c>
      <c r="AL1" s="5">
        <v>1.0625000000000013</v>
      </c>
      <c r="AM1" s="5">
        <v>1.0833333333333348</v>
      </c>
    </row>
    <row r="2" ht="14.25" customHeight="1">
      <c r="A2" s="1">
        <f>MROUND(A1,"0:30")</f>
        <v>46204.5625</v>
      </c>
      <c r="B2" s="1"/>
    </row>
    <row r="3" ht="14.25" customHeight="1">
      <c r="B3" s="1" t="str">
        <f t="array" ref="B3">INDEX(Schedule!$A:$AL,MATCH(ROUNDDOWN($A$2,0),Schedule!$A:$A,0),1)</f>
        <v>#N/A</v>
      </c>
      <c r="C3" s="1" t="str">
        <f t="array" ref="C3">INDEX(Schedule!$A:$AL,MATCH(ROUNDDOWN($A$2,0),Schedule!$A:$A,0),2)</f>
        <v>#N/A</v>
      </c>
      <c r="D3" s="1" t="str">
        <f t="array" ref="D3">INDEX(Schedule!$A:$AL,MATCH(ROUNDDOWN($A$2,0),Schedule!$A:$A,0),3)</f>
        <v>#N/A</v>
      </c>
      <c r="E3" s="1" t="str">
        <f t="array" ref="E3">INDEX(Schedule!$A:$AL,MATCH(ROUNDDOWN($A$2,0),Schedule!$A:$A,0),4)</f>
        <v>#N/A</v>
      </c>
      <c r="F3" s="1" t="str">
        <f t="array" ref="F3">INDEX(Schedule!$A:$AL,MATCH(ROUNDDOWN($A$2,0),Schedule!$A:$A,0),5)</f>
        <v>#N/A</v>
      </c>
      <c r="G3" s="1" t="str">
        <f t="array" ref="G3">INDEX(Schedule!$A:$AL,MATCH(ROUNDDOWN($A$2,0),Schedule!$A:$A,0),6)</f>
        <v>#N/A</v>
      </c>
      <c r="H3" s="1" t="str">
        <f t="array" ref="H3">INDEX(Schedule!$A:$AL,MATCH(ROUNDDOWN($A$2,0),Schedule!$A:$A,0),7)</f>
        <v>#N/A</v>
      </c>
      <c r="I3" s="1" t="str">
        <f t="array" ref="I3">INDEX(Schedule!$A:$AL,MATCH(ROUNDDOWN($A$2,0),Schedule!$A:$A,0),8)</f>
        <v>#N/A</v>
      </c>
      <c r="J3" s="1" t="str">
        <f t="array" ref="J3">INDEX(Schedule!$A:$AL,MATCH(ROUNDDOWN($A$2,0),Schedule!$A:$A,0),9)</f>
        <v>#N/A</v>
      </c>
      <c r="K3" s="1" t="str">
        <f t="array" ref="K3">INDEX(Schedule!$A:$AL,MATCH(ROUNDDOWN($A$2,0),Schedule!$A:$A,0),10)</f>
        <v>#N/A</v>
      </c>
      <c r="L3" s="1" t="str">
        <f t="array" ref="L3">INDEX(Schedule!$A:$AL,MATCH(ROUNDDOWN($A$2,0),Schedule!$A:$A,0),11)</f>
        <v>#N/A</v>
      </c>
      <c r="M3" s="1" t="str">
        <f t="array" ref="M3">INDEX(Schedule!$A:$AL,MATCH(ROUNDDOWN($A$2,0),Schedule!$A:$A,0),12)</f>
        <v>#N/A</v>
      </c>
      <c r="N3" s="1" t="str">
        <f t="array" ref="N3">INDEX(Schedule!$A:$AL,MATCH(ROUNDDOWN($A$2,0),Schedule!$A:$A,0),13)</f>
        <v>#N/A</v>
      </c>
      <c r="O3" s="1" t="str">
        <f t="array" ref="O3">INDEX(Schedule!$A:$AL,MATCH(ROUNDDOWN($A$2,0),Schedule!$A:$A,0),14)</f>
        <v>#N/A</v>
      </c>
      <c r="P3" s="1" t="str">
        <f t="array" ref="P3">INDEX(Schedule!$A:$AL,MATCH(ROUNDDOWN($A$2,0),Schedule!$A:$A,0),15)</f>
        <v>#N/A</v>
      </c>
      <c r="Q3" s="1" t="str">
        <f t="array" ref="Q3">INDEX(Schedule!$A:$AL,MATCH(ROUNDDOWN($A$2,0),Schedule!$A:$A,0),16)</f>
        <v>#N/A</v>
      </c>
      <c r="R3" s="1" t="str">
        <f t="array" ref="R3">INDEX(Schedule!$A:$AL,MATCH(ROUNDDOWN($A$2,0),Schedule!$A:$A,0),17)</f>
        <v>#N/A</v>
      </c>
      <c r="S3" s="1" t="str">
        <f t="array" ref="S3">INDEX(Schedule!$A:$AL,MATCH(ROUNDDOWN($A$2,0),Schedule!$A:$A,0),18)</f>
        <v>#N/A</v>
      </c>
      <c r="T3" s="1" t="str">
        <f t="array" ref="T3">INDEX(Schedule!$A:$AL,MATCH(ROUNDDOWN($A$2,0),Schedule!$A:$A,0),19)</f>
        <v>#N/A</v>
      </c>
      <c r="U3" s="1" t="str">
        <f t="array" ref="U3">INDEX(Schedule!$A:$AL,MATCH(ROUNDDOWN($A$2,0),Schedule!$A:$A,0),20)</f>
        <v>#N/A</v>
      </c>
      <c r="V3" s="1" t="str">
        <f t="array" ref="V3">INDEX(Schedule!$A:$AL,MATCH(ROUNDDOWN($A$2,0),Schedule!$A:$A,0),21)</f>
        <v>#N/A</v>
      </c>
      <c r="W3" s="1" t="str">
        <f t="array" ref="W3">INDEX(Schedule!$A:$AL,MATCH(ROUNDDOWN($A$2,0),Schedule!$A:$A,0),22)</f>
        <v>#N/A</v>
      </c>
      <c r="X3" s="1" t="str">
        <f t="array" ref="X3">INDEX(Schedule!$A:$AL,MATCH(ROUNDDOWN($A$2,0),Schedule!$A:$A,0),23)</f>
        <v>#N/A</v>
      </c>
      <c r="Y3" s="1" t="str">
        <f t="array" ref="Y3">INDEX(Schedule!$A:$AL,MATCH(ROUNDDOWN($A$2,0),Schedule!$A:$A,0),24)</f>
        <v>#N/A</v>
      </c>
      <c r="Z3" s="1" t="str">
        <f t="array" ref="Z3">INDEX(Schedule!$A:$AL,MATCH(ROUNDDOWN($A$2,0),Schedule!$A:$A,0),25)</f>
        <v>#N/A</v>
      </c>
      <c r="AA3" s="1" t="str">
        <f t="array" ref="AA3">INDEX(Schedule!$A:$AL,MATCH(ROUNDDOWN($A$2,0),Schedule!$A:$A,0),26)</f>
        <v>#N/A</v>
      </c>
      <c r="AB3" s="1" t="str">
        <f t="array" ref="AB3">INDEX(Schedule!$A:$AL,MATCH(ROUNDDOWN($A$2,0),Schedule!$A:$A,0),27)</f>
        <v>#N/A</v>
      </c>
      <c r="AC3" s="1" t="str">
        <f t="array" ref="AC3">INDEX(Schedule!$A:$AL,MATCH(ROUNDDOWN($A$2,0),Schedule!$A:$A,0),28)</f>
        <v>#N/A</v>
      </c>
      <c r="AD3" s="1" t="str">
        <f t="array" ref="AD3">INDEX(Schedule!$A:$AL,MATCH(ROUNDDOWN($A$2,0),Schedule!$A:$A,0),29)</f>
        <v>#N/A</v>
      </c>
      <c r="AE3" s="1" t="str">
        <f t="array" ref="AE3">INDEX(Schedule!$A:$AL,MATCH(ROUNDDOWN($A$2,0),Schedule!$A:$A,0),30)</f>
        <v>#N/A</v>
      </c>
      <c r="AF3" s="1" t="str">
        <f t="array" ref="AF3">INDEX(Schedule!$A:$AL,MATCH(ROUNDDOWN($A$2,0),Schedule!$A:$A,0),31)</f>
        <v>#N/A</v>
      </c>
      <c r="AG3" s="1" t="str">
        <f t="array" ref="AG3">INDEX(Schedule!$A:$AL,MATCH(ROUNDDOWN($A$2,0),Schedule!$A:$A,0),32)</f>
        <v>#N/A</v>
      </c>
      <c r="AH3" s="1" t="str">
        <f t="array" ref="AH3">INDEX(Schedule!$A:$AL,MATCH(ROUNDDOWN($A$2,0),Schedule!$A:$A,0),33)</f>
        <v>#N/A</v>
      </c>
      <c r="AI3" s="1" t="str">
        <f t="array" ref="AI3">INDEX(Schedule!$A:$AL,MATCH(ROUNDDOWN($A$2,0),Schedule!$A:$A,0),34)</f>
        <v>#N/A</v>
      </c>
      <c r="AJ3" s="1" t="str">
        <f t="array" ref="AJ3">INDEX(Schedule!$A:$AL,MATCH(ROUNDDOWN($A$2,0),Schedule!$A:$A,0),35)</f>
        <v>#N/A</v>
      </c>
      <c r="AK3" s="1" t="str">
        <f t="array" ref="AK3">INDEX(Schedule!$A:$AL,MATCH(ROUNDDOWN($A$2,0),Schedule!$A:$A,0),36)</f>
        <v>#N/A</v>
      </c>
      <c r="AL3" s="1" t="str">
        <f t="array" ref="AL3">INDEX(Schedule!$A:$AL,MATCH(ROUNDDOWN($A$2,0),Schedule!$A:$A,0),37)</f>
        <v>#N/A</v>
      </c>
      <c r="AM3" s="1" t="str">
        <f t="array" ref="AM3">INDEX(Schedule!$A:$AL,MATCH(ROUNDDOWN($A$2,0),Schedule!$A:$A,0),38)</f>
        <v>#N/A</v>
      </c>
    </row>
    <row r="4" ht="14.25" customHeight="1"/>
    <row r="5" ht="14.25" customHeight="1"/>
    <row r="6" ht="14.25" customHeight="1">
      <c r="C6" s="5" t="s">
        <v>2</v>
      </c>
      <c r="D6" s="5" t="s">
        <v>1</v>
      </c>
      <c r="E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ht="14.25" customHeight="1">
      <c r="C7" s="6">
        <f>C1</f>
        <v>0.3333333333</v>
      </c>
      <c r="D7" s="7" t="str">
        <f>C3</f>
        <v>#N/A</v>
      </c>
      <c r="E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ht="14.25" customHeight="1">
      <c r="C8" s="6">
        <f>D1</f>
        <v>0.3541666667</v>
      </c>
      <c r="D8" s="6" t="str">
        <f>D3</f>
        <v>#N/A</v>
      </c>
    </row>
    <row r="9" ht="14.25" customHeight="1">
      <c r="C9" s="6">
        <f>E1</f>
        <v>0.375</v>
      </c>
      <c r="D9" s="6" t="str">
        <f>E3</f>
        <v>#N/A</v>
      </c>
    </row>
    <row r="10" ht="14.25" customHeight="1">
      <c r="C10" s="6">
        <f>F1</f>
        <v>0.3958333333</v>
      </c>
      <c r="D10" s="7" t="str">
        <f>F3</f>
        <v>#N/A</v>
      </c>
    </row>
    <row r="11" ht="14.25" customHeight="1">
      <c r="C11" s="6">
        <f>G1</f>
        <v>0.4166666667</v>
      </c>
      <c r="D11" s="6" t="str">
        <f>G3</f>
        <v>#N/A</v>
      </c>
    </row>
    <row r="12" ht="14.25" customHeight="1">
      <c r="C12" s="6">
        <f>H1</f>
        <v>0.4375</v>
      </c>
      <c r="D12" s="6" t="str">
        <f>H3</f>
        <v>#N/A</v>
      </c>
    </row>
    <row r="13" ht="14.25" customHeight="1">
      <c r="C13" s="6">
        <f>I1</f>
        <v>0.4583333333</v>
      </c>
      <c r="D13" s="7" t="str">
        <f>I3</f>
        <v>#N/A</v>
      </c>
    </row>
    <row r="14" ht="14.25" customHeight="1">
      <c r="C14" s="6">
        <f>J1</f>
        <v>0.4791666667</v>
      </c>
      <c r="D14" s="6" t="str">
        <f>J3</f>
        <v>#N/A</v>
      </c>
    </row>
    <row r="15" ht="14.25" customHeight="1">
      <c r="C15" s="6">
        <f>K1</f>
        <v>0.5</v>
      </c>
      <c r="D15" s="6" t="str">
        <f>K3</f>
        <v>#N/A</v>
      </c>
    </row>
    <row r="16" ht="14.25" customHeight="1">
      <c r="C16" s="6">
        <f>L1</f>
        <v>0.5208333333</v>
      </c>
      <c r="D16" s="7" t="str">
        <f>L3</f>
        <v>#N/A</v>
      </c>
    </row>
    <row r="17" ht="14.25" customHeight="1">
      <c r="C17" s="6">
        <f>M1</f>
        <v>0.5416666667</v>
      </c>
      <c r="D17" s="6" t="str">
        <f>M3</f>
        <v>#N/A</v>
      </c>
    </row>
    <row r="18" ht="14.25" customHeight="1">
      <c r="C18" s="6">
        <f>N1</f>
        <v>0.5625</v>
      </c>
      <c r="D18" s="6" t="str">
        <f>N3</f>
        <v>#N/A</v>
      </c>
    </row>
    <row r="19" ht="14.25" customHeight="1">
      <c r="C19" s="6">
        <f>O1</f>
        <v>0.5833333333</v>
      </c>
      <c r="D19" s="7" t="str">
        <f>O3</f>
        <v>#N/A</v>
      </c>
    </row>
    <row r="20" ht="14.25" customHeight="1">
      <c r="C20" s="6">
        <f>P1</f>
        <v>0.6041666667</v>
      </c>
      <c r="D20" s="6" t="str">
        <f>P3</f>
        <v>#N/A</v>
      </c>
    </row>
    <row r="21" ht="14.25" customHeight="1">
      <c r="C21" s="6">
        <f>Q1</f>
        <v>0.625</v>
      </c>
      <c r="D21" s="6" t="str">
        <f>Q3</f>
        <v>#N/A</v>
      </c>
    </row>
    <row r="22" ht="14.25" customHeight="1">
      <c r="C22" s="6">
        <f>R1</f>
        <v>0.6458333333</v>
      </c>
      <c r="D22" s="7" t="str">
        <f>R3</f>
        <v>#N/A</v>
      </c>
    </row>
    <row r="23" ht="14.25" customHeight="1">
      <c r="C23" s="6">
        <f>S1</f>
        <v>0.6666666667</v>
      </c>
      <c r="D23" s="6" t="str">
        <f>S3</f>
        <v>#N/A</v>
      </c>
    </row>
    <row r="24" ht="14.25" customHeight="1">
      <c r="C24" s="6">
        <f>T1</f>
        <v>0.6875</v>
      </c>
      <c r="D24" s="6" t="str">
        <f>T3</f>
        <v>#N/A</v>
      </c>
    </row>
    <row r="25" ht="14.25" customHeight="1">
      <c r="C25" s="6">
        <f>U1</f>
        <v>0.7083333333</v>
      </c>
      <c r="D25" s="6" t="str">
        <f>U3</f>
        <v>#N/A</v>
      </c>
    </row>
    <row r="26" ht="14.25" customHeight="1">
      <c r="C26" s="6">
        <f>V1</f>
        <v>0.7291666667</v>
      </c>
      <c r="D26" s="6" t="str">
        <f>V3</f>
        <v>#N/A</v>
      </c>
    </row>
    <row r="27" ht="14.25" customHeight="1">
      <c r="C27" s="6">
        <f>W1</f>
        <v>0.75</v>
      </c>
      <c r="D27" s="6" t="str">
        <f>W3</f>
        <v>#N/A</v>
      </c>
    </row>
    <row r="28" ht="14.25" customHeight="1">
      <c r="C28" s="6">
        <f>X1</f>
        <v>0.7708333333</v>
      </c>
      <c r="D28" s="6" t="str">
        <f>X3</f>
        <v>#N/A</v>
      </c>
    </row>
    <row r="29" ht="14.25" customHeight="1">
      <c r="C29" s="6">
        <f>Y1</f>
        <v>0.7916666667</v>
      </c>
      <c r="D29" s="6" t="str">
        <f>Y3</f>
        <v>#N/A</v>
      </c>
    </row>
    <row r="30" ht="14.25" customHeight="1">
      <c r="C30" s="6">
        <f>Z1</f>
        <v>0.8125</v>
      </c>
      <c r="D30" s="6" t="str">
        <f>Z3</f>
        <v>#N/A</v>
      </c>
    </row>
    <row r="31" ht="14.25" customHeight="1">
      <c r="C31" s="6">
        <f>AA1</f>
        <v>0.8333333333</v>
      </c>
      <c r="D31" s="6" t="str">
        <f>AA3</f>
        <v>#N/A</v>
      </c>
    </row>
    <row r="32" ht="14.25" customHeight="1">
      <c r="C32" s="6">
        <f>AB1</f>
        <v>0.8541666667</v>
      </c>
      <c r="D32" s="6" t="str">
        <f>AB3</f>
        <v>#N/A</v>
      </c>
    </row>
    <row r="33" ht="14.25" customHeight="1">
      <c r="C33" s="6">
        <f>AC1</f>
        <v>0.875</v>
      </c>
      <c r="D33" s="6" t="str">
        <f>AC3</f>
        <v>#N/A</v>
      </c>
    </row>
    <row r="34" ht="14.25" customHeight="1">
      <c r="C34" s="6">
        <f>AD1</f>
        <v>0.8958333333</v>
      </c>
      <c r="D34" s="6" t="str">
        <f>AD3</f>
        <v>#N/A</v>
      </c>
    </row>
    <row r="35" ht="14.25" customHeight="1">
      <c r="C35" s="6">
        <f>AE1</f>
        <v>0.9166666667</v>
      </c>
      <c r="D35" s="6" t="str">
        <f>AE3</f>
        <v>#N/A</v>
      </c>
    </row>
    <row r="36" ht="14.25" customHeight="1">
      <c r="C36" s="6">
        <f>AF1</f>
        <v>0.9375</v>
      </c>
      <c r="D36" s="6" t="str">
        <f>AF3</f>
        <v>#N/A</v>
      </c>
    </row>
    <row r="37" ht="14.25" customHeight="1">
      <c r="C37" s="6">
        <f>AG1</f>
        <v>0.9583333333</v>
      </c>
      <c r="D37" s="6" t="str">
        <f>AF3</f>
        <v>#N/A</v>
      </c>
    </row>
    <row r="38" ht="14.25" customHeight="1">
      <c r="C38" s="6">
        <f>AH1</f>
        <v>0.9791666667</v>
      </c>
      <c r="D38" s="6" t="str">
        <f>AH3</f>
        <v>#N/A</v>
      </c>
    </row>
    <row r="39" ht="14.25" customHeight="1">
      <c r="C39" s="6">
        <f>AI1</f>
        <v>1</v>
      </c>
      <c r="D39" s="6" t="str">
        <f>AI3</f>
        <v>#N/A</v>
      </c>
    </row>
    <row r="40" ht="14.25" customHeight="1">
      <c r="C40" s="6">
        <f>AJ1</f>
        <v>1.020833333</v>
      </c>
      <c r="D40" s="6" t="str">
        <f>AJ3</f>
        <v>#N/A</v>
      </c>
    </row>
    <row r="41" ht="14.25" customHeight="1">
      <c r="C41" s="6">
        <f>AK1</f>
        <v>1.041666667</v>
      </c>
      <c r="D41" s="6" t="str">
        <f>AK3</f>
        <v>#N/A</v>
      </c>
    </row>
    <row r="42" ht="14.25" customHeight="1">
      <c r="C42" s="6">
        <f>AL1</f>
        <v>1.0625</v>
      </c>
      <c r="D42" s="6" t="str">
        <f>AL3</f>
        <v>#N/A</v>
      </c>
    </row>
    <row r="43" ht="14.25" customHeight="1">
      <c r="C43" s="6">
        <f>AM1</f>
        <v>1.083333333</v>
      </c>
      <c r="D43" s="6" t="str">
        <f>AM3</f>
        <v>#N/A</v>
      </c>
    </row>
    <row r="44" ht="14.25" customHeight="1">
      <c r="C44" s="6"/>
      <c r="D44" s="6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29"/>
    <col customWidth="1" hidden="1" min="2" max="2" width="2.43"/>
    <col customWidth="1" hidden="1" min="3" max="3" width="6.43"/>
    <col customWidth="1" min="4" max="4" width="50.71"/>
    <col customWidth="1" min="5" max="38" width="13.43"/>
  </cols>
  <sheetData>
    <row r="1" ht="14.25" hidden="1" customHeight="1">
      <c r="A1" s="1">
        <f>NOW()</f>
        <v>46204.55368</v>
      </c>
      <c r="B1" s="5">
        <v>0.3333333333333333</v>
      </c>
      <c r="C1" s="5">
        <v>0.3541666666666667</v>
      </c>
      <c r="D1" s="5">
        <v>0.37500000000000006</v>
      </c>
      <c r="E1" s="5">
        <v>0.3958333333333334</v>
      </c>
      <c r="F1" s="5">
        <v>0.4166666666666668</v>
      </c>
      <c r="G1" s="5">
        <v>0.43750000000000017</v>
      </c>
      <c r="H1" s="5">
        <v>0.45833333333333354</v>
      </c>
      <c r="I1" s="5">
        <v>0.4791666666666669</v>
      </c>
      <c r="J1" s="5">
        <v>0.5000000000000002</v>
      </c>
      <c r="K1" s="5">
        <v>0.5208333333333336</v>
      </c>
      <c r="L1" s="5">
        <v>0.541666666666667</v>
      </c>
      <c r="M1" s="5">
        <v>0.5625000000000003</v>
      </c>
      <c r="N1" s="5">
        <v>0.5833333333333337</v>
      </c>
      <c r="O1" s="5">
        <v>0.6041666666666671</v>
      </c>
      <c r="P1" s="5">
        <v>0.6250000000000004</v>
      </c>
      <c r="Q1" s="5">
        <v>0.6458333333333338</v>
      </c>
      <c r="R1" s="5">
        <v>0.6666666666666672</v>
      </c>
      <c r="S1" s="5">
        <v>0.6875000000000006</v>
      </c>
      <c r="T1" s="5">
        <v>0.7083333333333339</v>
      </c>
      <c r="U1" s="5">
        <v>0.7291666666666673</v>
      </c>
      <c r="V1" s="5">
        <v>0.7500000000000007</v>
      </c>
      <c r="W1" s="5">
        <v>0.770833333333334</v>
      </c>
      <c r="X1" s="5">
        <v>0.7916666666666674</v>
      </c>
      <c r="Y1" s="5">
        <v>0.8125000000000008</v>
      </c>
      <c r="Z1" s="5">
        <v>0.8333333333333341</v>
      </c>
      <c r="AA1" s="5">
        <v>0.8541666666666675</v>
      </c>
      <c r="AB1" s="5">
        <v>0.8750000000000009</v>
      </c>
      <c r="AC1" s="5">
        <v>0.8958333333333343</v>
      </c>
      <c r="AD1" s="5">
        <v>0.9166666666666676</v>
      </c>
      <c r="AE1" s="5">
        <v>0.937500000000001</v>
      </c>
      <c r="AF1" s="5">
        <v>0.9583333333333344</v>
      </c>
      <c r="AG1" s="5">
        <v>0.9791666666666677</v>
      </c>
      <c r="AH1" s="5">
        <v>1.000000000000001</v>
      </c>
      <c r="AI1" s="5">
        <v>1.0208333333333344</v>
      </c>
      <c r="AJ1" s="5">
        <v>1.0416666666666679</v>
      </c>
      <c r="AK1" s="5">
        <v>1.0625000000000013</v>
      </c>
      <c r="AL1" s="5">
        <v>1.0833333333333348</v>
      </c>
    </row>
    <row r="2" ht="14.25" hidden="1" customHeight="1">
      <c r="A2" s="1">
        <f>MROUND(A1,"0:30")</f>
        <v>46204.5625</v>
      </c>
      <c r="B2" s="8"/>
      <c r="C2" s="8"/>
      <c r="D2" s="9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ht="14.25" customHeight="1">
      <c r="A3" s="1" t="str">
        <f t="array" ref="A3">INDEX('Static '!$A:$AL,MATCH(ROUNDDOWN($A$2,0),'Static '!$A:$A,0),1)</f>
        <v>#N/A</v>
      </c>
      <c r="B3" s="1" t="str">
        <f t="array" ref="B3">IF(INDEX('Static '!$A:$AL,MATCH(ROUNDDOWN($A$2,0),'Static '!$A:$A,0),2)=0,"",(INDEX('Static '!$A:$AL,MATCH(ROUNDDOWN($A$2,0),'Static '!$A:$A,0),2)))</f>
        <v>#N/A</v>
      </c>
      <c r="C3" s="1" t="str">
        <f t="array" ref="C3">IF(INDEX('Static '!$A:$AL,MATCH(ROUNDDOWN($A$2,0),'Static '!$A:$A,0),3)=0,"",(INDEX('Static '!$A:$AL,MATCH(ROUNDDOWN($A$2,0),'Static '!$A:$A,0),3)))</f>
        <v>#N/A</v>
      </c>
      <c r="D3" s="1" t="str">
        <f t="array" ref="D3">IF(INDEX('Static '!$A:$AL,MATCH(ROUNDDOWN($A$2,0),'Static '!$A:$A,0),4)=0,"",(INDEX('Static '!$A:$AL,MATCH(ROUNDDOWN($A$2,0),'Static '!$A:$A,0),4)))</f>
        <v>#N/A</v>
      </c>
      <c r="E3" s="1" t="str">
        <f t="array" ref="E3">IF(INDEX('Static '!$A:$AL,MATCH(ROUNDDOWN($A$2,0),'Static '!$A:$A,0),5)=0,"",(INDEX('Static '!$A:$AL,MATCH(ROUNDDOWN($A$2,0),'Static '!$A:$A,0),5)))</f>
        <v>#N/A</v>
      </c>
      <c r="F3" s="1" t="str">
        <f t="array" ref="F3">IF(INDEX('Static '!$A:$AL,MATCH(ROUNDDOWN($A$2,0),'Static '!$A:$A,0),6)=0,"",(INDEX('Static '!$A:$AL,MATCH(ROUNDDOWN($A$2,0),'Static '!$A:$A,0),6)))</f>
        <v>#N/A</v>
      </c>
      <c r="G3" s="1" t="str">
        <f t="array" ref="G3">IF(INDEX('Static '!$A:$AL,MATCH(ROUNDDOWN($A$2,0),'Static '!$A:$A,0),7)=0,"",(INDEX('Static '!$A:$AL,MATCH(ROUNDDOWN($A$2,0),'Static '!$A:$A,0),7)))</f>
        <v>#N/A</v>
      </c>
      <c r="H3" s="1" t="str">
        <f t="array" ref="H3">IF(INDEX('Static '!$A:$AL,MATCH(ROUNDDOWN($A$2,0),'Static '!$A:$A,0),8)=0,"",(INDEX('Static '!$A:$AL,MATCH(ROUNDDOWN($A$2,0),'Static '!$A:$A,0),8)))</f>
        <v>#N/A</v>
      </c>
      <c r="I3" s="1" t="str">
        <f t="array" ref="I3">IF(INDEX('Static '!$A:$AL,MATCH(ROUNDDOWN($A$2,0),'Static '!$A:$A,0),9)=0,"",(INDEX('Static '!$A:$AL,MATCH(ROUNDDOWN($A$2,0),'Static '!$A:$A,0),9)))</f>
        <v>#N/A</v>
      </c>
      <c r="J3" s="1" t="str">
        <f t="array" ref="J3">IF(INDEX('Static '!$A:$AL,MATCH(ROUNDDOWN($A$2,0),'Static '!$A:$A,0),10)=0,"",(INDEX('Static '!$A:$AL,MATCH(ROUNDDOWN($A$2,0),'Static '!$A:$A,0),10)))</f>
        <v>#N/A</v>
      </c>
      <c r="K3" s="1" t="str">
        <f t="array" ref="K3">IF(INDEX('Static '!$A:$AL,MATCH(ROUNDDOWN($A$2,0),'Static '!$A:$A,0),11)=0,"",(INDEX('Static '!$A:$AL,MATCH(ROUNDDOWN($A$2,0),'Static '!$A:$A,0),11)))</f>
        <v>#N/A</v>
      </c>
      <c r="L3" s="1" t="str">
        <f t="array" ref="L3">IF(INDEX('Static '!$A:$AL,MATCH(ROUNDDOWN($A$2,0),'Static '!$A:$A,0),12)=0,"",(INDEX('Static '!$A:$AL,MATCH(ROUNDDOWN($A$2,0),'Static '!$A:$A,0),12)))</f>
        <v>#N/A</v>
      </c>
      <c r="M3" s="1" t="str">
        <f t="array" ref="M3">IF(INDEX('Static '!$A:$AL,MATCH(ROUNDDOWN($A$2,0),'Static '!$A:$A,0),13)=0,"",(INDEX('Static '!$A:$AL,MATCH(ROUNDDOWN($A$2,0),'Static '!$A:$A,0),13)))</f>
        <v>#N/A</v>
      </c>
      <c r="N3" s="1" t="str">
        <f t="array" ref="N3">IF(INDEX('Static '!$A:$AL,MATCH(ROUNDDOWN($A$2,0),'Static '!$A:$A,0),14)=0,"",(INDEX('Static '!$A:$AL,MATCH(ROUNDDOWN($A$2,0),'Static '!$A:$A,0),14)))</f>
        <v>#N/A</v>
      </c>
      <c r="O3" s="1" t="str">
        <f t="array" ref="O3">IF(INDEX('Static '!$A:$AL,MATCH(ROUNDDOWN($A$2,0),'Static '!$A:$A,0),15)=0,"",(INDEX('Static '!$A:$AL,MATCH(ROUNDDOWN($A$2,0),'Static '!$A:$A,0),15)))</f>
        <v>#N/A</v>
      </c>
      <c r="P3" s="1" t="str">
        <f t="array" ref="P3">IF(INDEX('Static '!$A:$AL,MATCH(ROUNDDOWN($A$2,0),'Static '!$A:$A,0),16)=0,"",(INDEX('Static '!$A:$AL,MATCH(ROUNDDOWN($A$2,0),'Static '!$A:$A,0),16)))</f>
        <v>#N/A</v>
      </c>
      <c r="Q3" s="1" t="str">
        <f t="array" ref="Q3">IF(INDEX('Static '!$A:$AL,MATCH(ROUNDDOWN($A$2,0),'Static '!$A:$A,0),17)=0,"",(INDEX('Static '!$A:$AL,MATCH(ROUNDDOWN($A$2,0),'Static '!$A:$A,0),17)))</f>
        <v>#N/A</v>
      </c>
      <c r="R3" s="1" t="str">
        <f t="array" ref="R3">IF(INDEX('Static '!$A:$AL,MATCH(ROUNDDOWN($A$2,0),'Static '!$A:$A,0),18)=0,"",(INDEX('Static '!$A:$AL,MATCH(ROUNDDOWN($A$2,0),'Static '!$A:$A,0),18)))</f>
        <v>#N/A</v>
      </c>
      <c r="S3" s="1" t="str">
        <f t="array" ref="S3">IF(INDEX('Static '!$A:$AL,MATCH(ROUNDDOWN($A$2,0),'Static '!$A:$A,0),19)=0,"",(INDEX('Static '!$A:$AL,MATCH(ROUNDDOWN($A$2,0),'Static '!$A:$A,0),19)))</f>
        <v>#N/A</v>
      </c>
      <c r="T3" s="1" t="str">
        <f t="array" ref="T3">IF(INDEX('Static '!$A:$AL,MATCH(ROUNDDOWN($A$2,0),'Static '!$A:$A,0),20)=0,"",(INDEX('Static '!$A:$AL,MATCH(ROUNDDOWN($A$2,0),'Static '!$A:$A,0),20)))</f>
        <v>#N/A</v>
      </c>
      <c r="U3" s="1" t="str">
        <f t="array" ref="U3">IF(INDEX('Static '!$A:$AL,MATCH(ROUNDDOWN($A$2,0),'Static '!$A:$A,0),21)=0,"",(INDEX('Static '!$A:$AL,MATCH(ROUNDDOWN($A$2,0),'Static '!$A:$A,0),21)))</f>
        <v>#N/A</v>
      </c>
      <c r="V3" s="1" t="str">
        <f t="array" ref="V3">IF(INDEX('Static '!$A:$AL,MATCH(ROUNDDOWN($A$2,0),'Static '!$A:$A,0),22)=0,"",(INDEX('Static '!$A:$AL,MATCH(ROUNDDOWN($A$2,0),'Static '!$A:$A,0),22)))</f>
        <v>#N/A</v>
      </c>
      <c r="W3" s="1" t="str">
        <f t="array" ref="W3">IF(INDEX('Static '!$A:$AL,MATCH(ROUNDDOWN($A$2,0),'Static '!$A:$A,0),23)=0,"",(INDEX('Static '!$A:$AL,MATCH(ROUNDDOWN($A$2,0),'Static '!$A:$A,0),23)))</f>
        <v>#N/A</v>
      </c>
      <c r="X3" s="1" t="str">
        <f t="array" ref="X3">IF(INDEX('Static '!$A:$AL,MATCH(ROUNDDOWN($A$2,0),'Static '!$A:$A,0),24)=0,"",(INDEX('Static '!$A:$AL,MATCH(ROUNDDOWN($A$2,0),'Static '!$A:$A,0),24)))</f>
        <v>#N/A</v>
      </c>
      <c r="Y3" s="1" t="str">
        <f t="array" ref="Y3">IF(INDEX('Static '!$A:$AL,MATCH(ROUNDDOWN($A$2,0),'Static '!$A:$A,0),25)=0,"",(INDEX('Static '!$A:$AL,MATCH(ROUNDDOWN($A$2,0),'Static '!$A:$A,0),25)))</f>
        <v>#N/A</v>
      </c>
      <c r="Z3" s="1" t="str">
        <f t="array" ref="Z3">IF(INDEX('Static '!$A:$AL,MATCH(ROUNDDOWN($A$2,0),'Static '!$A:$A,0),26)=0,"",(INDEX('Static '!$A:$AL,MATCH(ROUNDDOWN($A$2,0),'Static '!$A:$A,0),26)))</f>
        <v>#N/A</v>
      </c>
      <c r="AA3" s="1" t="str">
        <f t="array" ref="AA3">IF(INDEX('Static '!$A:$AL,MATCH(ROUNDDOWN($A$2,0),'Static '!$A:$A,0),27)=0,"",(INDEX('Static '!$A:$AL,MATCH(ROUNDDOWN($A$2,0),'Static '!$A:$A,0),27)))</f>
        <v>#N/A</v>
      </c>
      <c r="AB3" s="1" t="str">
        <f t="array" ref="AB3">IF(INDEX('Static '!$A:$AL,MATCH(ROUNDDOWN($A$2,0),'Static '!$A:$A,0),28)=0,"",(INDEX('Static '!$A:$AL,MATCH(ROUNDDOWN($A$2,0),'Static '!$A:$A,0),28)))</f>
        <v>#N/A</v>
      </c>
      <c r="AC3" s="1" t="str">
        <f t="array" ref="AC3">IF(INDEX('Static '!$A:$AL,MATCH(ROUNDDOWN($A$2,0),'Static '!$A:$A,0),29)=0,"",(INDEX('Static '!$A:$AL,MATCH(ROUNDDOWN($A$2,0),'Static '!$A:$A,0),29)))</f>
        <v>#N/A</v>
      </c>
      <c r="AD3" s="1" t="str">
        <f t="array" ref="AD3">IF(INDEX('Static '!$A:$AL,MATCH(ROUNDDOWN($A$2,0),'Static '!$A:$A,0),30)=0,"",(INDEX('Static '!$A:$AL,MATCH(ROUNDDOWN($A$2,0),'Static '!$A:$A,0),30)))</f>
        <v>#N/A</v>
      </c>
      <c r="AE3" s="1" t="str">
        <f t="array" ref="AE3">IF(INDEX('Static '!$A:$AL,MATCH(ROUNDDOWN($A$2,0),'Static '!$A:$A,0),31)=0,"",(INDEX('Static '!$A:$AL,MATCH(ROUNDDOWN($A$2,0),'Static '!$A:$A,0),31)))</f>
        <v>#N/A</v>
      </c>
      <c r="AF3" s="1" t="str">
        <f t="array" ref="AF3">IF(INDEX('Static '!$A:$AL,MATCH(ROUNDDOWN($A$2,0),'Static '!$A:$A,0),32)=0,"",(INDEX('Static '!$A:$AL,MATCH(ROUNDDOWN($A$2,0),'Static '!$A:$A,0),32)))</f>
        <v>#N/A</v>
      </c>
      <c r="AG3" s="1" t="str">
        <f t="array" ref="AG3">IF(INDEX('Static '!$A:$AL,MATCH(ROUNDDOWN($A$2,0),'Static '!$A:$A,0),33)=0,"",(INDEX('Static '!$A:$AL,MATCH(ROUNDDOWN($A$2,0),'Static '!$A:$A,0),33)))</f>
        <v>#N/A</v>
      </c>
      <c r="AH3" s="1" t="str">
        <f t="array" ref="AH3">IF(INDEX('Static '!$A:$AL,MATCH(ROUNDDOWN($A$2,0),'Static '!$A:$A,0),34)=0,"",(INDEX('Static '!$A:$AL,MATCH(ROUNDDOWN($A$2,0),'Static '!$A:$A,0),34)))</f>
        <v>#N/A</v>
      </c>
      <c r="AI3" s="1" t="str">
        <f t="array" ref="AI3">IF(INDEX('Static '!$A:$AL,MATCH(ROUNDDOWN($A$2,0),'Static '!$A:$A,0),35)=0,"",(INDEX('Static '!$A:$AL,MATCH(ROUNDDOWN($A$2,0),'Static '!$A:$A,0),35)))</f>
        <v>#N/A</v>
      </c>
      <c r="AJ3" s="1" t="str">
        <f t="array" ref="AJ3">IF(INDEX('Static '!$A:$AL,MATCH(ROUNDDOWN($A$2,0),'Static '!$A:$A,0),36)=0,"",(INDEX('Static '!$A:$AL,MATCH(ROUNDDOWN($A$2,0),'Static '!$A:$A,0),36)))</f>
        <v>#N/A</v>
      </c>
      <c r="AK3" s="1" t="str">
        <f t="array" ref="AK3">IF(INDEX('Static '!$A:$AL,MATCH(ROUNDDOWN($A$2,0),'Static '!$A:$A,0),37)=0,"",(INDEX('Static '!$A:$AL,MATCH(ROUNDDOWN($A$2,0),'Static '!$A:$A,0),37)))</f>
        <v>#N/A</v>
      </c>
      <c r="AL3" s="1" t="str">
        <f t="array" ref="AL3">IF(INDEX('Static '!$A:$AL,MATCH(ROUNDDOWN($A$2,0),'Static '!$A:$A,0),38)=0,"",(INDEX('Static '!$A:$AL,MATCH(ROUNDDOWN($A$2,0),'Static '!$A:$A,0),38)))</f>
        <v>#N/A</v>
      </c>
    </row>
    <row r="4" ht="14.25" customHeight="1">
      <c r="A4" s="10"/>
      <c r="B4" s="2" t="s">
        <v>8</v>
      </c>
      <c r="C4" s="2" t="s">
        <v>9</v>
      </c>
      <c r="D4" s="2" t="s">
        <v>10</v>
      </c>
      <c r="E4" s="2" t="s">
        <v>8</v>
      </c>
      <c r="F4" s="2" t="s">
        <v>11</v>
      </c>
    </row>
    <row r="5" ht="14.25" customHeight="1">
      <c r="A5" s="10"/>
      <c r="B5" s="5">
        <f>B1</f>
        <v>0.3333333333</v>
      </c>
      <c r="C5" s="1" t="str">
        <f>B3</f>
        <v>#N/A</v>
      </c>
      <c r="D5" s="2" t="str">
        <f t="array" ref="D5">ifna(IF(INDEX(Subject!B:D,MATCH(F5,Subject!C:C,0),3)=0,"",(INDEX(Subject!B:D,MATCH(F5,Subject!C:C,0),3))),"")</f>
        <v/>
      </c>
      <c r="E5" s="5">
        <f>Now!C7</f>
        <v>0.3333333333</v>
      </c>
      <c r="F5" s="1" t="str">
        <f>ifna(Now!D7,"")</f>
        <v/>
      </c>
      <c r="G5" s="11" t="str">
        <f t="array" ref="G5">IF($F5="","",HYPERLINK(INDEX(Subject!$B:$E,MATCH($F5,Subject!C:C,0),4)))</f>
        <v/>
      </c>
      <c r="H5" s="11" t="str">
        <f t="array" ref="H5">IF($F5="","",HYPERLINK(INDEX(Subject!$B:$I,MATCH($F5,Subject!$C:$C,0),5)))</f>
        <v/>
      </c>
      <c r="I5" s="11" t="str">
        <f t="array" ref="I5">IF($F5="","",HYPERLINK(INDEX(Subject!$B:$I,MATCH($F5,Subject!$C:$C,0),6)))</f>
        <v/>
      </c>
      <c r="J5" s="11" t="str">
        <f t="array" ref="J5">IF($F5="","",HYPERLINK(INDEX(Subject!$B:$I,MATCH($F5,Subject!$C:$C,0),7)))</f>
        <v/>
      </c>
      <c r="K5" s="11" t="str">
        <f t="array" ref="K5">IF($F5="","",HYPERLINK(INDEX(Subject!$B:$I,MATCH($F5,Subject!$C:$C,0),8)))</f>
        <v/>
      </c>
    </row>
    <row r="6" ht="14.25" customHeight="1">
      <c r="A6" s="10"/>
      <c r="B6" s="5">
        <f>C1</f>
        <v>0.3541666667</v>
      </c>
      <c r="C6" s="1" t="str">
        <f>C3</f>
        <v>#N/A</v>
      </c>
      <c r="D6" s="2" t="str">
        <f t="array" ref="D6">ifna(IF(INDEX(Subject!B:D,MATCH(F6,Subject!C:C,0),3)=0,"",(INDEX(Subject!B:D,MATCH(F6,Subject!C:C,0),3))),"")</f>
        <v/>
      </c>
      <c r="E6" s="5">
        <f>Now!C8</f>
        <v>0.3541666667</v>
      </c>
      <c r="F6" s="1" t="str">
        <f>ifna(Now!D8,"")</f>
        <v/>
      </c>
      <c r="G6" s="11" t="str">
        <f t="array" ref="G6">IF(F6="","",HYPERLINK(INDEX(Subject!B:E,MATCH(F6,Subject!C:C,0),4)))</f>
        <v/>
      </c>
      <c r="H6" s="11" t="str">
        <f t="array" ref="H6">IF($F6="","",HYPERLINK(INDEX(Subject!$B:$I,MATCH($F6,Subject!$C:$C,0),5)))</f>
        <v/>
      </c>
      <c r="I6" s="11" t="str">
        <f t="array" ref="I6">IF($F6="","",HYPERLINK(INDEX(Subject!$B:$I,MATCH($F6,Subject!$C:$C,0),6)))</f>
        <v/>
      </c>
      <c r="J6" s="11" t="str">
        <f t="array" ref="J6">IF($F6="","",HYPERLINK(INDEX(Subject!$B:$I,MATCH($F6,Subject!$C:$C,0),7)))</f>
        <v/>
      </c>
      <c r="K6" s="11" t="str">
        <f t="array" ref="K6">IF($F6="","",HYPERLINK(INDEX(Subject!$B:$I,MATCH($F6,Subject!$C:$C,0),8)))</f>
        <v/>
      </c>
    </row>
    <row r="7" ht="14.25" customHeight="1">
      <c r="B7" s="5">
        <f>D1</f>
        <v>0.375</v>
      </c>
      <c r="C7" s="1" t="str">
        <f>D3</f>
        <v>#N/A</v>
      </c>
      <c r="D7" s="2" t="str">
        <f t="array" ref="D7">ifna(IF(INDEX(Subject!B:D,MATCH(F7,Subject!C:C,0),3)=0,"",(INDEX(Subject!B:D,MATCH(F7,Subject!C:C,0),3))),"")</f>
        <v/>
      </c>
      <c r="E7" s="5">
        <f>Now!C9</f>
        <v>0.375</v>
      </c>
      <c r="F7" s="1" t="str">
        <f>ifna(Now!D9,"")</f>
        <v/>
      </c>
      <c r="G7" s="11" t="str">
        <f t="array" ref="G7">IF(F7="","",HYPERLINK(INDEX(Subject!B:E,MATCH(F7,Subject!C:C,0),4)))</f>
        <v/>
      </c>
      <c r="H7" s="11" t="str">
        <f t="array" ref="H7">IF($F7="","",HYPERLINK(INDEX(Subject!$B:$I,MATCH($F7,Subject!$C:$C,0),5)))</f>
        <v/>
      </c>
      <c r="I7" s="11" t="str">
        <f t="array" ref="I7">IF($F7="","",HYPERLINK(INDEX(Subject!$B:$I,MATCH($F7,Subject!$C:$C,0),6)))</f>
        <v/>
      </c>
      <c r="J7" s="11" t="str">
        <f t="array" ref="J7">IF($F7="","",HYPERLINK(INDEX(Subject!$B:$I,MATCH($F7,Subject!$C:$C,0),7)))</f>
        <v/>
      </c>
      <c r="K7" s="11" t="str">
        <f t="array" ref="K7">IF($F7="","",HYPERLINK(INDEX(Subject!$B:$I,MATCH($F7,Subject!$C:$C,0),8)))</f>
        <v/>
      </c>
    </row>
    <row r="8" ht="14.25" customHeight="1">
      <c r="B8" s="5">
        <f>E1</f>
        <v>0.3958333333</v>
      </c>
      <c r="C8" s="1" t="str">
        <f>E3</f>
        <v>#N/A</v>
      </c>
      <c r="D8" s="2" t="str">
        <f t="array" ref="D8">ifna(IF(INDEX(Subject!B:D,MATCH(F8,Subject!C:C,0),3)=0,"",(INDEX(Subject!B:D,MATCH(F8,Subject!C:C,0),3))),"")</f>
        <v/>
      </c>
      <c r="E8" s="5">
        <f>Now!C10</f>
        <v>0.3958333333</v>
      </c>
      <c r="F8" s="1" t="str">
        <f>ifna(Now!D10,"")</f>
        <v/>
      </c>
      <c r="G8" s="11" t="str">
        <f t="array" ref="G8">IF(F8="","",HYPERLINK(INDEX(Subject!B:E,MATCH(F8,Subject!C:C,0),4)))</f>
        <v/>
      </c>
      <c r="H8" s="11" t="str">
        <f t="array" ref="H8">IF($F8="","",HYPERLINK(INDEX(Subject!$B:$I,MATCH($F8,Subject!$C:$C,0),5)))</f>
        <v/>
      </c>
      <c r="I8" s="11" t="str">
        <f t="array" ref="I8">IF($F8="","",HYPERLINK(INDEX(Subject!$B:$I,MATCH($F8,Subject!$C:$C,0),6)))</f>
        <v/>
      </c>
      <c r="J8" s="11" t="str">
        <f t="array" ref="J8">IF($F8="","",HYPERLINK(INDEX(Subject!$B:$I,MATCH($F8,Subject!$C:$C,0),7)))</f>
        <v/>
      </c>
      <c r="K8" s="11" t="str">
        <f t="array" ref="K8">IF($F8="","",HYPERLINK(INDEX(Subject!$B:$I,MATCH($F8,Subject!$C:$C,0),8)))</f>
        <v/>
      </c>
    </row>
    <row r="9" ht="14.25" customHeight="1">
      <c r="B9" s="5">
        <f>F1</f>
        <v>0.4166666667</v>
      </c>
      <c r="C9" s="1" t="str">
        <f>F3</f>
        <v>#N/A</v>
      </c>
      <c r="D9" s="2" t="str">
        <f t="array" ref="D9">ifna(IF(INDEX(Subject!B:D,MATCH(F9,Subject!C:C,0),3)=0,"",(INDEX(Subject!B:D,MATCH(F9,Subject!C:C,0),3))),"")</f>
        <v/>
      </c>
      <c r="E9" s="5">
        <f>Now!C11</f>
        <v>0.4166666667</v>
      </c>
      <c r="F9" s="1" t="str">
        <f>ifna(Now!D11,"")</f>
        <v/>
      </c>
      <c r="G9" s="11" t="str">
        <f t="array" ref="G9">IF(F9="","",HYPERLINK(INDEX(Subject!B:E,MATCH(F9,Subject!C:C,0),4)))</f>
        <v/>
      </c>
      <c r="H9" s="11" t="str">
        <f t="array" ref="H9">IF($F9="","",HYPERLINK(INDEX(Subject!$B:$I,MATCH($F9,Subject!$C:$C,0),5)))</f>
        <v/>
      </c>
      <c r="I9" s="11" t="str">
        <f t="array" ref="I9">IF($F9="","",HYPERLINK(INDEX(Subject!$B:$I,MATCH($F9,Subject!$C:$C,0),6)))</f>
        <v/>
      </c>
      <c r="J9" s="11" t="str">
        <f t="array" ref="J9">IF($F9="","",HYPERLINK(INDEX(Subject!$B:$I,MATCH($F9,Subject!$C:$C,0),7)))</f>
        <v/>
      </c>
      <c r="K9" s="11" t="str">
        <f t="array" ref="K9">IF($F9="","",HYPERLINK(INDEX(Subject!$B:$I,MATCH($F9,Subject!$C:$C,0),8)))</f>
        <v/>
      </c>
    </row>
    <row r="10" ht="14.25" customHeight="1">
      <c r="B10" s="5">
        <f>G1</f>
        <v>0.4375</v>
      </c>
      <c r="C10" s="1" t="str">
        <f>G3</f>
        <v>#N/A</v>
      </c>
      <c r="D10" s="2" t="str">
        <f t="array" ref="D10">ifna(IF(INDEX(Subject!B:D,MATCH(F10,Subject!C:C,0),3)=0,"",(INDEX(Subject!B:D,MATCH(F10,Subject!C:C,0),3))),"")</f>
        <v/>
      </c>
      <c r="E10" s="5">
        <f>Now!C12</f>
        <v>0.4375</v>
      </c>
      <c r="F10" s="1" t="str">
        <f>ifna(Now!D12,"")</f>
        <v/>
      </c>
      <c r="G10" s="11" t="str">
        <f t="array" ref="G10">IF(F10="","",HYPERLINK(INDEX(Subject!B:E,MATCH(F10,Subject!C:C,0),4)))</f>
        <v/>
      </c>
      <c r="H10" s="11" t="str">
        <f t="array" ref="H10">IF($F10="","",HYPERLINK(INDEX(Subject!$B:$I,MATCH($F10,Subject!$C:$C,0),5)))</f>
        <v/>
      </c>
      <c r="I10" s="11" t="str">
        <f t="array" ref="I10">IF($F10="","",HYPERLINK(INDEX(Subject!$B:$I,MATCH($F10,Subject!$C:$C,0),6)))</f>
        <v/>
      </c>
      <c r="J10" s="11" t="str">
        <f t="array" ref="J10">IF($F10="","",HYPERLINK(INDEX(Subject!$B:$I,MATCH($F10,Subject!$C:$C,0),7)))</f>
        <v/>
      </c>
      <c r="K10" s="11" t="str">
        <f t="array" ref="K10">IF($F10="","",HYPERLINK(INDEX(Subject!$B:$I,MATCH($F10,Subject!$C:$C,0),8)))</f>
        <v/>
      </c>
    </row>
    <row r="11" ht="14.25" customHeight="1">
      <c r="B11" s="5">
        <f>H1</f>
        <v>0.4583333333</v>
      </c>
      <c r="C11" s="1" t="str">
        <f>H3</f>
        <v>#N/A</v>
      </c>
      <c r="D11" s="2" t="str">
        <f t="array" ref="D11">ifna(IF(INDEX(Subject!B:D,MATCH(F11,Subject!C:C,0),3)=0,"",(INDEX(Subject!B:D,MATCH(F11,Subject!C:C,0),3))),"")</f>
        <v/>
      </c>
      <c r="E11" s="5">
        <f>Now!C13</f>
        <v>0.4583333333</v>
      </c>
      <c r="F11" s="1" t="str">
        <f>ifna(Now!D13,"")</f>
        <v/>
      </c>
      <c r="G11" s="11" t="str">
        <f t="array" ref="G11">IF(F11="","",HYPERLINK(INDEX(Subject!B:E,MATCH(F11,Subject!C:C,0),4)))</f>
        <v/>
      </c>
      <c r="H11" s="11" t="str">
        <f t="array" ref="H11">IF($F11="","",HYPERLINK(INDEX(Subject!$B:$I,MATCH($F11,Subject!$C:$C,0),5)))</f>
        <v/>
      </c>
      <c r="I11" s="11" t="str">
        <f t="array" ref="I11">IF($F11="","",HYPERLINK(INDEX(Subject!$B:$I,MATCH($F11,Subject!$C:$C,0),6)))</f>
        <v/>
      </c>
      <c r="J11" s="11" t="str">
        <f t="array" ref="J11">IF($F11="","",HYPERLINK(INDEX(Subject!$B:$I,MATCH($F11,Subject!$C:$C,0),7)))</f>
        <v/>
      </c>
      <c r="K11" s="11" t="str">
        <f t="array" ref="K11">IF($F11="","",HYPERLINK(INDEX(Subject!$B:$I,MATCH($F11,Subject!$C:$C,0),8)))</f>
        <v/>
      </c>
    </row>
    <row r="12" ht="14.25" customHeight="1">
      <c r="B12" s="5">
        <f>I1</f>
        <v>0.4791666667</v>
      </c>
      <c r="C12" s="1" t="str">
        <f>I3</f>
        <v>#N/A</v>
      </c>
      <c r="D12" s="2" t="str">
        <f t="array" ref="D12">ifna(IF(INDEX(Subject!B:D,MATCH(F12,Subject!C:C,0),3)=0,"",(INDEX(Subject!B:D,MATCH(F12,Subject!C:C,0),3))),"")</f>
        <v/>
      </c>
      <c r="E12" s="5">
        <f>Now!C14</f>
        <v>0.4791666667</v>
      </c>
      <c r="F12" s="1" t="str">
        <f>ifna(Now!D14,"")</f>
        <v/>
      </c>
      <c r="G12" s="11" t="str">
        <f t="array" ref="G12">IF(F12="","",HYPERLINK(INDEX(Subject!B:E,MATCH(F12,Subject!C:C,0),4)))</f>
        <v/>
      </c>
      <c r="H12" s="11" t="str">
        <f t="array" ref="H12">IF($F12="","",HYPERLINK(INDEX(Subject!$B:$I,MATCH($F12,Subject!$C:$C,0),5)))</f>
        <v/>
      </c>
      <c r="I12" s="11" t="str">
        <f t="array" ref="I12">IF($F12="","",HYPERLINK(INDEX(Subject!$B:$I,MATCH($F12,Subject!$C:$C,0),6)))</f>
        <v/>
      </c>
      <c r="J12" s="11" t="str">
        <f t="array" ref="J12">IF($F12="","",HYPERLINK(INDEX(Subject!$B:$I,MATCH($F12,Subject!$C:$C,0),7)))</f>
        <v/>
      </c>
      <c r="K12" s="11" t="str">
        <f t="array" ref="K12">IF($F12="","",HYPERLINK(INDEX(Subject!$B:$I,MATCH($F12,Subject!$C:$C,0),8)))</f>
        <v/>
      </c>
    </row>
    <row r="13" ht="14.25" customHeight="1">
      <c r="B13" s="5">
        <f>J1</f>
        <v>0.5</v>
      </c>
      <c r="C13" s="1" t="str">
        <f>J3</f>
        <v>#N/A</v>
      </c>
      <c r="D13" s="2" t="str">
        <f t="array" ref="D13">ifna(IF(INDEX(Subject!B:D,MATCH(F13,Subject!C:C,0),3)=0,"",(INDEX(Subject!B:D,MATCH(F13,Subject!C:C,0),3))),"")</f>
        <v/>
      </c>
      <c r="E13" s="5">
        <f>Now!C15</f>
        <v>0.5</v>
      </c>
      <c r="F13" s="1" t="str">
        <f>ifna(Now!D15,"")</f>
        <v/>
      </c>
      <c r="G13" s="11" t="str">
        <f t="array" ref="G13">IF(F13="","",HYPERLINK(INDEX(Subject!B:E,MATCH(F13,Subject!C:C,0),4)))</f>
        <v/>
      </c>
      <c r="H13" s="11" t="str">
        <f t="array" ref="H13">IF($F13="","",HYPERLINK(INDEX(Subject!$B:$I,MATCH($F13,Subject!$C:$C,0),5)))</f>
        <v/>
      </c>
      <c r="I13" s="11" t="str">
        <f t="array" ref="I13">IF($F13="","",HYPERLINK(INDEX(Subject!$B:$I,MATCH($F13,Subject!$C:$C,0),6)))</f>
        <v/>
      </c>
      <c r="J13" s="11" t="str">
        <f t="array" ref="J13">IF($F13="","",HYPERLINK(INDEX(Subject!$B:$I,MATCH($F13,Subject!$C:$C,0),7)))</f>
        <v/>
      </c>
      <c r="K13" s="11" t="str">
        <f t="array" ref="K13">IF($F13="","",HYPERLINK(INDEX(Subject!$B:$I,MATCH($F13,Subject!$C:$C,0),8)))</f>
        <v/>
      </c>
    </row>
    <row r="14" ht="14.25" customHeight="1">
      <c r="B14" s="5">
        <f>K1</f>
        <v>0.5208333333</v>
      </c>
      <c r="C14" s="1" t="str">
        <f>K3</f>
        <v>#N/A</v>
      </c>
      <c r="D14" s="2" t="str">
        <f t="array" ref="D14">ifna(IF(INDEX(Subject!B:D,MATCH(F14,Subject!C:C,0),3)=0,"",(INDEX(Subject!B:D,MATCH(F14,Subject!C:C,0),3))),"")</f>
        <v/>
      </c>
      <c r="E14" s="5">
        <f>Now!C16</f>
        <v>0.5208333333</v>
      </c>
      <c r="F14" s="1" t="str">
        <f>ifna(Now!D16,"")</f>
        <v/>
      </c>
      <c r="G14" s="11" t="str">
        <f t="array" ref="G14">IF(F14="","",HYPERLINK(INDEX(Subject!B:E,MATCH(F14,Subject!C:C,0),4)))</f>
        <v/>
      </c>
      <c r="H14" s="11" t="str">
        <f t="array" ref="H14">IF($F14="","",HYPERLINK(INDEX(Subject!$B:$I,MATCH($F14,Subject!$C:$C,0),5)))</f>
        <v/>
      </c>
      <c r="I14" s="11" t="str">
        <f t="array" ref="I14">IF($F14="","",HYPERLINK(INDEX(Subject!$B:$I,MATCH($F14,Subject!$C:$C,0),6)))</f>
        <v/>
      </c>
      <c r="J14" s="11" t="str">
        <f t="array" ref="J14">IF($F14="","",HYPERLINK(INDEX(Subject!$B:$I,MATCH($F14,Subject!$C:$C,0),7)))</f>
        <v/>
      </c>
      <c r="K14" s="11" t="str">
        <f t="array" ref="K14">IF($F14="","",HYPERLINK(INDEX(Subject!$B:$I,MATCH($F14,Subject!$C:$C,0),8)))</f>
        <v/>
      </c>
    </row>
    <row r="15" ht="14.25" customHeight="1">
      <c r="B15" s="5">
        <f>L1</f>
        <v>0.5416666667</v>
      </c>
      <c r="C15" s="1" t="str">
        <f>L3</f>
        <v>#N/A</v>
      </c>
      <c r="D15" s="2" t="str">
        <f t="array" ref="D15">ifna(IF(INDEX(Subject!B:D,MATCH(F15,Subject!C:C,0),3)=0,"",(INDEX(Subject!B:D,MATCH(F15,Subject!C:C,0),3))),"")</f>
        <v/>
      </c>
      <c r="E15" s="5">
        <f>Now!C17</f>
        <v>0.5416666667</v>
      </c>
      <c r="F15" s="1" t="str">
        <f>ifna(Now!D17,"")</f>
        <v/>
      </c>
      <c r="G15" s="11" t="str">
        <f t="array" ref="G15">IF(F15="","",HYPERLINK(INDEX(Subject!B:E,MATCH(F15,Subject!C:C,0),4)))</f>
        <v/>
      </c>
      <c r="H15" s="11" t="str">
        <f t="array" ref="H15">IF($F15="","",HYPERLINK(INDEX(Subject!$B:$I,MATCH($F15,Subject!$C:$C,0),5)))</f>
        <v/>
      </c>
      <c r="I15" s="11" t="str">
        <f t="array" ref="I15">IF($F15="","",HYPERLINK(INDEX(Subject!$B:$I,MATCH($F15,Subject!$C:$C,0),6)))</f>
        <v/>
      </c>
      <c r="J15" s="11" t="str">
        <f t="array" ref="J15">IF($F15="","",HYPERLINK(INDEX(Subject!$B:$I,MATCH($F15,Subject!$C:$C,0),7)))</f>
        <v/>
      </c>
      <c r="K15" s="11" t="str">
        <f t="array" ref="K15">IF($F15="","",HYPERLINK(INDEX(Subject!$B:$I,MATCH($F15,Subject!$C:$C,0),8)))</f>
        <v/>
      </c>
    </row>
    <row r="16" ht="14.25" customHeight="1">
      <c r="A16" s="8"/>
      <c r="B16" s="5">
        <f>M1</f>
        <v>0.5625</v>
      </c>
      <c r="C16" s="1" t="str">
        <f>M3</f>
        <v>#N/A</v>
      </c>
      <c r="D16" s="2" t="str">
        <f t="array" ref="D16">ifna(IF(INDEX(Subject!B:D,MATCH(F16,Subject!C:C,0),3)=0,"",(INDEX(Subject!B:D,MATCH(F16,Subject!C:C,0),3))),"")</f>
        <v/>
      </c>
      <c r="E16" s="5">
        <f>Now!C18</f>
        <v>0.5625</v>
      </c>
      <c r="F16" s="1" t="str">
        <f>ifna(Now!D18,"")</f>
        <v/>
      </c>
      <c r="G16" s="11" t="str">
        <f t="array" ref="G16">IF(F16="","",HYPERLINK(INDEX(Subject!B:E,MATCH(F16,Subject!C:C,0),4)))</f>
        <v/>
      </c>
      <c r="H16" s="11" t="str">
        <f t="array" ref="H16">IF($F16="","",HYPERLINK(INDEX(Subject!$B:$I,MATCH($F16,Subject!$C:$C,0),5)))</f>
        <v/>
      </c>
      <c r="I16" s="11" t="str">
        <f t="array" ref="I16">IF($F16="","",HYPERLINK(INDEX(Subject!$B:$I,MATCH($F16,Subject!$C:$C,0),6)))</f>
        <v/>
      </c>
      <c r="J16" s="11" t="str">
        <f t="array" ref="J16">IF($F16="","",HYPERLINK(INDEX(Subject!$B:$I,MATCH($F16,Subject!$C:$C,0),7)))</f>
        <v/>
      </c>
      <c r="K16" s="11" t="str">
        <f t="array" ref="K16">IF($F16="","",HYPERLINK(INDEX(Subject!$B:$I,MATCH($F16,Subject!$C:$C,0),8)))</f>
        <v/>
      </c>
    </row>
    <row r="17" ht="14.25" customHeight="1">
      <c r="B17" s="5">
        <f>N1</f>
        <v>0.5833333333</v>
      </c>
      <c r="C17" s="1" t="str">
        <f>N3</f>
        <v>#N/A</v>
      </c>
      <c r="D17" s="2" t="str">
        <f t="array" ref="D17">ifna(IF(INDEX(Subject!B:D,MATCH(F17,Subject!C:C,0),3)=0,"",(INDEX(Subject!B:D,MATCH(F17,Subject!C:C,0),3))),"")</f>
        <v/>
      </c>
      <c r="E17" s="5">
        <f>Now!C19</f>
        <v>0.5833333333</v>
      </c>
      <c r="F17" s="1" t="str">
        <f>ifna(Now!D19,"")</f>
        <v/>
      </c>
      <c r="G17" s="11" t="str">
        <f t="array" ref="G17">IF(F17="","",HYPERLINK(INDEX(Subject!B:E,MATCH(F17,Subject!C:C,0),4)))</f>
        <v/>
      </c>
      <c r="H17" s="11" t="str">
        <f t="array" ref="H17">IF($F17="","",HYPERLINK(INDEX(Subject!$B:$I,MATCH($F17,Subject!$C:$C,0),5)))</f>
        <v/>
      </c>
      <c r="I17" s="11" t="str">
        <f t="array" ref="I17">IF($F17="","",HYPERLINK(INDEX(Subject!$B:$I,MATCH($F17,Subject!$C:$C,0),6)))</f>
        <v/>
      </c>
      <c r="J17" s="11" t="str">
        <f t="array" ref="J17">IF($F17="","",HYPERLINK(INDEX(Subject!$B:$I,MATCH($F17,Subject!$C:$C,0),7)))</f>
        <v/>
      </c>
      <c r="K17" s="11" t="str">
        <f t="array" ref="K17">IF($F17="","",HYPERLINK(INDEX(Subject!$B:$I,MATCH($F17,Subject!$C:$C,0),8)))</f>
        <v/>
      </c>
    </row>
    <row r="18" ht="14.25" customHeight="1">
      <c r="B18" s="5">
        <f>O1</f>
        <v>0.6041666667</v>
      </c>
      <c r="C18" s="1" t="str">
        <f>O3</f>
        <v>#N/A</v>
      </c>
      <c r="D18" s="2" t="str">
        <f t="array" ref="D18">ifna(IF(INDEX(Subject!B:D,MATCH(F18,Subject!C:C,0),3)=0,"",(INDEX(Subject!B:D,MATCH(F18,Subject!C:C,0),3))),"")</f>
        <v/>
      </c>
      <c r="E18" s="5">
        <f>Now!C20</f>
        <v>0.6041666667</v>
      </c>
      <c r="F18" s="1" t="str">
        <f>ifna(Now!D20,"")</f>
        <v/>
      </c>
      <c r="G18" s="11" t="str">
        <f t="array" ref="G18">IF(F18="","",HYPERLINK(CELL("contents",INDEX(Subject!B:E,MATCH(F18,Subject!C:C,0),4))))</f>
        <v/>
      </c>
      <c r="H18" s="11" t="str">
        <f t="array" ref="H18">IF($F18="","",HYPERLINK(INDEX(Subject!$B:$I,MATCH($F18,Subject!$C:$C,0),5)))</f>
        <v/>
      </c>
      <c r="I18" s="11" t="str">
        <f t="array" ref="I18">IF($F18="","",HYPERLINK(INDEX(Subject!$B:$I,MATCH($F18,Subject!$C:$C,0),6)))</f>
        <v/>
      </c>
      <c r="J18" s="11" t="str">
        <f t="array" ref="J18">IF($F18="","",HYPERLINK(INDEX(Subject!$B:$I,MATCH($F18,Subject!$C:$C,0),7)))</f>
        <v/>
      </c>
      <c r="K18" s="11" t="str">
        <f t="array" ref="K18">IF($F18="","",HYPERLINK(INDEX(Subject!$B:$I,MATCH($F18,Subject!$C:$C,0),8)))</f>
        <v/>
      </c>
    </row>
    <row r="19" ht="14.25" customHeight="1">
      <c r="B19" s="5">
        <f>P1</f>
        <v>0.625</v>
      </c>
      <c r="C19" s="1" t="str">
        <f>P3</f>
        <v>#N/A</v>
      </c>
      <c r="D19" s="2" t="str">
        <f t="array" ref="D19">ifna(IF(INDEX(Subject!B:D,MATCH(F19,Subject!C:C,0),3)=0,"",(INDEX(Subject!B:D,MATCH(F19,Subject!C:C,0),3))),"")</f>
        <v/>
      </c>
      <c r="E19" s="5">
        <f>Now!C21</f>
        <v>0.625</v>
      </c>
      <c r="F19" s="1" t="str">
        <f>ifna(Now!D21,"")</f>
        <v/>
      </c>
      <c r="G19" s="11" t="str">
        <f t="array" ref="G19">ifna(IF(F19="","",HYPERLINK(INDEX(Subject!B:E,MATCH(F19,Subject!C:C,0),4))),"")</f>
        <v/>
      </c>
      <c r="H19" s="11" t="str">
        <f t="array" ref="H19">IF($F19="","",HYPERLINK(INDEX(Subject!$B:$I,MATCH($F19,Subject!$C:$C,0),5)))</f>
        <v/>
      </c>
      <c r="I19" s="11" t="str">
        <f t="array" ref="I19">IF($F19="","",HYPERLINK(INDEX(Subject!$B:$I,MATCH($F19,Subject!$C:$C,0),6)))</f>
        <v/>
      </c>
      <c r="J19" s="11" t="str">
        <f t="array" ref="J19">IF($F19="","",HYPERLINK(INDEX(Subject!$B:$I,MATCH($F19,Subject!$C:$C,0),7)))</f>
        <v/>
      </c>
      <c r="K19" s="11" t="str">
        <f t="array" ref="K19">IF($F19="","",HYPERLINK(INDEX(Subject!$B:$I,MATCH($F19,Subject!$C:$C,0),8)))</f>
        <v/>
      </c>
    </row>
    <row r="20" ht="14.25" customHeight="1">
      <c r="B20" s="5">
        <f>Q1</f>
        <v>0.6458333333</v>
      </c>
      <c r="C20" s="1" t="str">
        <f>Q3</f>
        <v>#N/A</v>
      </c>
      <c r="D20" s="2" t="str">
        <f t="array" ref="D20">ifna(IF(INDEX(Subject!B:D,MATCH(F20,Subject!C:C,0),3)=0,"",(INDEX(Subject!B:D,MATCH(F20,Subject!C:C,0),3))),"")</f>
        <v/>
      </c>
      <c r="E20" s="5">
        <f>Now!C22</f>
        <v>0.6458333333</v>
      </c>
      <c r="F20" s="1" t="str">
        <f>ifna(Now!D22,"")</f>
        <v/>
      </c>
      <c r="G20" s="11" t="str">
        <f t="array" ref="G20">ifna(IF(F20="","",HYPERLINK(INDEX(Subject!B:E,MATCH(F20,Subject!C:C,0),4))),"")</f>
        <v/>
      </c>
      <c r="H20" s="11" t="str">
        <f t="array" ref="H20">IF($F20="","",HYPERLINK(INDEX(Subject!$B:$I,MATCH($F20,Subject!$C:$C,0),5)))</f>
        <v/>
      </c>
      <c r="I20" s="11" t="str">
        <f t="array" ref="I20">IF($F20="","",HYPERLINK(INDEX(Subject!$B:$I,MATCH($F20,Subject!$C:$C,0),6)))</f>
        <v/>
      </c>
      <c r="J20" s="11" t="str">
        <f t="array" ref="J20">IF($F20="","",HYPERLINK(INDEX(Subject!$B:$I,MATCH($F20,Subject!$C:$C,0),7)))</f>
        <v/>
      </c>
      <c r="K20" s="11" t="str">
        <f t="array" ref="K20">IF($F20="","",HYPERLINK(INDEX(Subject!$B:$I,MATCH($F20,Subject!$C:$C,0),8)))</f>
        <v/>
      </c>
    </row>
    <row r="21" ht="14.25" customHeight="1">
      <c r="B21" s="5">
        <f>R1</f>
        <v>0.6666666667</v>
      </c>
      <c r="C21" s="1" t="str">
        <f>R3</f>
        <v>#N/A</v>
      </c>
      <c r="D21" s="2" t="str">
        <f t="array" ref="D21">ifna(IF(INDEX(Subject!B:D,MATCH(F21,Subject!C:C,0),3)=0,"",(INDEX(Subject!B:D,MATCH(F21,Subject!C:C,0),3))),"")</f>
        <v/>
      </c>
      <c r="E21" s="5">
        <f>Now!C23</f>
        <v>0.6666666667</v>
      </c>
      <c r="F21" s="1" t="str">
        <f>ifna(Now!D23,"")</f>
        <v/>
      </c>
      <c r="G21" s="11" t="str">
        <f t="array" ref="G21">IF(F21="","",HYPERLINK(INDEX(Subject!B:E,MATCH(F21,Subject!C:C,0),4)))</f>
        <v/>
      </c>
      <c r="H21" s="11" t="str">
        <f t="array" ref="H21">IF($F21="","",HYPERLINK(INDEX(Subject!$B:$I,MATCH($F21,Subject!$C:$C,0),5)))</f>
        <v/>
      </c>
      <c r="I21" s="11" t="str">
        <f t="array" ref="I21">IF($F21="","",HYPERLINK(INDEX(Subject!$B:$I,MATCH($F21,Subject!$C:$C,0),6)))</f>
        <v/>
      </c>
      <c r="J21" s="11" t="str">
        <f t="array" ref="J21">IF($F21="","",HYPERLINK(INDEX(Subject!$B:$I,MATCH($F21,Subject!$C:$C,0),7)))</f>
        <v/>
      </c>
      <c r="K21" s="11" t="str">
        <f t="array" ref="K21">IF($F21="","",HYPERLINK(INDEX(Subject!$B:$I,MATCH($F21,Subject!$C:$C,0),8)))</f>
        <v/>
      </c>
    </row>
    <row r="22" ht="14.25" customHeight="1">
      <c r="B22" s="5">
        <f>S1</f>
        <v>0.6875</v>
      </c>
      <c r="C22" s="1" t="str">
        <f>S3</f>
        <v>#N/A</v>
      </c>
      <c r="D22" s="2" t="str">
        <f t="array" ref="D22">ifna(IF(INDEX(Subject!B:D,MATCH(F22,Subject!C:C,0),3)=0,"",(INDEX(Subject!B:D,MATCH(F22,Subject!C:C,0),3))),"")</f>
        <v/>
      </c>
      <c r="E22" s="5">
        <f>Now!C24</f>
        <v>0.6875</v>
      </c>
      <c r="F22" s="1" t="str">
        <f>ifna(Now!D24,"")</f>
        <v/>
      </c>
      <c r="G22" s="11" t="str">
        <f t="array" ref="G22">IF(F22="","",HYPERLINK(INDEX(Subject!B:E,MATCH(F22,Subject!C:C,0),4)))</f>
        <v/>
      </c>
      <c r="H22" s="11" t="str">
        <f t="array" ref="H22">IF($F22="","",HYPERLINK(INDEX(Subject!$B:$I,MATCH($F22,Subject!$C:$C,0),5)))</f>
        <v/>
      </c>
      <c r="I22" s="11" t="str">
        <f t="array" ref="I22">IF($F22="","",HYPERLINK(INDEX(Subject!$B:$I,MATCH($F22,Subject!$C:$C,0),6)))</f>
        <v/>
      </c>
      <c r="J22" s="11" t="str">
        <f t="array" ref="J22">IF($F22="","",HYPERLINK(INDEX(Subject!$B:$I,MATCH($F22,Subject!$C:$C,0),7)))</f>
        <v/>
      </c>
      <c r="K22" s="11" t="str">
        <f t="array" ref="K22">IF($F22="","",HYPERLINK(INDEX(Subject!$B:$I,MATCH($F22,Subject!$C:$C,0),8)))</f>
        <v/>
      </c>
    </row>
    <row r="23" ht="14.25" customHeight="1">
      <c r="B23" s="5">
        <f>T1</f>
        <v>0.7083333333</v>
      </c>
      <c r="C23" s="1" t="str">
        <f>T3</f>
        <v>#N/A</v>
      </c>
      <c r="D23" s="2" t="str">
        <f t="array" ref="D23">ifna(IF(INDEX(Subject!B:D,MATCH(F23,Subject!C:C,0),3)=0,"",(INDEX(Subject!B:D,MATCH(F23,Subject!C:C,0),3))),"")</f>
        <v/>
      </c>
      <c r="E23" s="5">
        <f>Now!C25</f>
        <v>0.7083333333</v>
      </c>
      <c r="F23" s="1" t="str">
        <f>ifna(Now!D25,"")</f>
        <v/>
      </c>
      <c r="G23" s="11" t="str">
        <f t="array" ref="G23">IF(F23="","",HYPERLINK(INDEX(Subject!B:E,MATCH(F23,Subject!C:C,0),4)))</f>
        <v/>
      </c>
      <c r="H23" s="11" t="str">
        <f t="array" ref="H23">IF($F23="","",HYPERLINK(INDEX(Subject!$B:$I,MATCH($F23,Subject!$C:$C,0),5)))</f>
        <v/>
      </c>
      <c r="I23" s="11" t="str">
        <f t="array" ref="I23">IF($F23="","",HYPERLINK(INDEX(Subject!$B:$I,MATCH($F23,Subject!$C:$C,0),6)))</f>
        <v/>
      </c>
      <c r="J23" s="11" t="str">
        <f t="array" ref="J23">IF($F23="","",HYPERLINK(INDEX(Subject!$B:$I,MATCH($F23,Subject!$C:$C,0),7)))</f>
        <v/>
      </c>
      <c r="K23" s="11" t="str">
        <f t="array" ref="K23">IF($F23="","",HYPERLINK(INDEX(Subject!$B:$I,MATCH($F23,Subject!$C:$C,0),8)))</f>
        <v/>
      </c>
    </row>
    <row r="24" ht="14.25" customHeight="1">
      <c r="B24" s="5">
        <f>U1</f>
        <v>0.7291666667</v>
      </c>
      <c r="C24" s="1" t="str">
        <f>U3</f>
        <v>#N/A</v>
      </c>
      <c r="D24" s="2" t="str">
        <f t="array" ref="D24">ifna(IF(INDEX(Subject!B:D,MATCH(F24,Subject!C:C,0),3)=0,"",(INDEX(Subject!B:D,MATCH(F24,Subject!C:C,0),3))),"")</f>
        <v/>
      </c>
      <c r="E24" s="5">
        <f>Now!C26</f>
        <v>0.7291666667</v>
      </c>
      <c r="F24" s="1" t="str">
        <f>ifna(Now!D26,"")</f>
        <v/>
      </c>
      <c r="G24" s="11" t="str">
        <f t="array" ref="G24">IF(F24="","",HYPERLINK(INDEX(Subject!B:E,MATCH(F24,Subject!C:C,0),4)))</f>
        <v/>
      </c>
      <c r="H24" s="11" t="str">
        <f t="array" ref="H24">IF($F24="","",HYPERLINK(INDEX(Subject!$B:$I,MATCH($F24,Subject!$C:$C,0),5)))</f>
        <v/>
      </c>
      <c r="I24" s="11" t="str">
        <f t="array" ref="I24">IF($F24="","",HYPERLINK(INDEX(Subject!$B:$I,MATCH($F24,Subject!$C:$C,0),6)))</f>
        <v/>
      </c>
      <c r="J24" s="11" t="str">
        <f t="array" ref="J24">IF($F24="","",HYPERLINK(INDEX(Subject!$B:$I,MATCH($F24,Subject!$C:$C,0),7)))</f>
        <v/>
      </c>
      <c r="K24" s="11" t="str">
        <f t="array" ref="K24">IF($F24="","",HYPERLINK(INDEX(Subject!$B:$I,MATCH($F24,Subject!$C:$C,0),8)))</f>
        <v/>
      </c>
    </row>
    <row r="25" ht="14.25" customHeight="1">
      <c r="B25" s="5">
        <f>V1</f>
        <v>0.75</v>
      </c>
      <c r="C25" s="5" t="str">
        <f>V3</f>
        <v>#N/A</v>
      </c>
      <c r="D25" s="2" t="str">
        <f t="array" ref="D25">ifna(IF(INDEX(Subject!B:D,MATCH(F25,Subject!C:C,0),3)=0,"",(INDEX(Subject!B:D,MATCH(F25,Subject!C:C,0),3))),"")</f>
        <v/>
      </c>
      <c r="E25" s="5">
        <f>Now!C27</f>
        <v>0.75</v>
      </c>
      <c r="F25" s="1" t="str">
        <f>ifna(Now!D27,"")</f>
        <v/>
      </c>
      <c r="G25" s="11" t="str">
        <f t="array" ref="G25">IF(F25="","",HYPERLINK(INDEX(Subject!B:E,MATCH(F25,Subject!C:C,0),4)))</f>
        <v/>
      </c>
      <c r="H25" s="11" t="str">
        <f t="array" ref="H25">IF($F25="","",HYPERLINK(INDEX(Subject!$B:$I,MATCH($F25,Subject!$C:$C,0),5)))</f>
        <v/>
      </c>
      <c r="I25" s="11" t="str">
        <f t="array" ref="I25">IF($F25="","",HYPERLINK(INDEX(Subject!$B:$I,MATCH($F25,Subject!$C:$C,0),6)))</f>
        <v/>
      </c>
      <c r="J25" s="11" t="str">
        <f t="array" ref="J25">IF($F25="","",HYPERLINK(INDEX(Subject!$B:$I,MATCH($F25,Subject!$C:$C,0),7)))</f>
        <v/>
      </c>
      <c r="K25" s="11" t="str">
        <f t="array" ref="K25">IF($F25="","",HYPERLINK(INDEX(Subject!$B:$I,MATCH($F25,Subject!$C:$C,0),8)))</f>
        <v/>
      </c>
    </row>
    <row r="26" ht="14.25" customHeight="1">
      <c r="B26" s="5">
        <f>W1</f>
        <v>0.7708333333</v>
      </c>
      <c r="C26" s="1" t="str">
        <f>W3</f>
        <v>#N/A</v>
      </c>
      <c r="D26" s="2" t="str">
        <f t="array" ref="D26">ifna(IF(INDEX(Subject!B:D,MATCH(F26,Subject!C:C,0),3)=0,"",(INDEX(Subject!B:D,MATCH(F26,Subject!C:C,0),3))),"")</f>
        <v/>
      </c>
      <c r="E26" s="5">
        <f>Now!C28</f>
        <v>0.7708333333</v>
      </c>
      <c r="F26" s="1" t="str">
        <f>ifna(Now!D28,"")</f>
        <v/>
      </c>
      <c r="G26" s="11" t="str">
        <f t="array" ref="G26">IF(F26="","",HYPERLINK(INDEX(Subject!B:E,MATCH(F26,Subject!C:C,0),4)))</f>
        <v/>
      </c>
      <c r="H26" s="11" t="str">
        <f t="array" ref="H26">IF($F26="","",HYPERLINK(INDEX(Subject!$B:$I,MATCH($F26,Subject!$C:$C,0),5)))</f>
        <v/>
      </c>
      <c r="I26" s="11" t="str">
        <f t="array" ref="I26">IF($F26="","",HYPERLINK(INDEX(Subject!$B:$I,MATCH($F26,Subject!$C:$C,0),6)))</f>
        <v/>
      </c>
      <c r="J26" s="11" t="str">
        <f t="array" ref="J26">IF($F26="","",HYPERLINK(INDEX(Subject!$B:$I,MATCH($F26,Subject!$C:$C,0),7)))</f>
        <v/>
      </c>
      <c r="K26" s="11" t="str">
        <f t="array" ref="K26">IF($F26="","",HYPERLINK(INDEX(Subject!$B:$I,MATCH($F26,Subject!$C:$C,0),8)))</f>
        <v/>
      </c>
    </row>
    <row r="27" ht="14.25" customHeight="1">
      <c r="B27" s="5">
        <f>X1</f>
        <v>0.7916666667</v>
      </c>
      <c r="C27" s="1" t="str">
        <f>X3</f>
        <v>#N/A</v>
      </c>
      <c r="D27" s="2" t="str">
        <f t="array" ref="D27">ifna(IF(INDEX(Subject!B:D,MATCH(F27,Subject!C:C,0),3)=0,"",(INDEX(Subject!B:D,MATCH(F27,Subject!C:C,0),3))),"")</f>
        <v/>
      </c>
      <c r="E27" s="5">
        <f>Now!C29</f>
        <v>0.7916666667</v>
      </c>
      <c r="F27" s="1" t="str">
        <f>ifna(Now!D29,"")</f>
        <v/>
      </c>
      <c r="G27" s="11" t="str">
        <f t="array" ref="G27">IF(F27="","",HYPERLINK(INDEX(Subject!B:E,MATCH(F27,Subject!C:C,0),4)))</f>
        <v/>
      </c>
      <c r="H27" s="11" t="str">
        <f t="array" ref="H27">IF($F27="","",HYPERLINK(INDEX(Subject!$B:$I,MATCH($F27,Subject!$C:$C,0),5)))</f>
        <v/>
      </c>
      <c r="I27" s="11" t="str">
        <f t="array" ref="I27">IF($F27="","",HYPERLINK(INDEX(Subject!$B:$I,MATCH($F27,Subject!$C:$C,0),6)))</f>
        <v/>
      </c>
      <c r="J27" s="11" t="str">
        <f t="array" ref="J27">IF($F27="","",HYPERLINK(INDEX(Subject!$B:$I,MATCH($F27,Subject!$C:$C,0),7)))</f>
        <v/>
      </c>
      <c r="K27" s="11" t="str">
        <f t="array" ref="K27">IF($F27="","",HYPERLINK(INDEX(Subject!$B:$I,MATCH($F27,Subject!$C:$C,0),8)))</f>
        <v/>
      </c>
    </row>
    <row r="28" ht="14.25" customHeight="1">
      <c r="B28" s="5">
        <f>Y1</f>
        <v>0.8125</v>
      </c>
      <c r="C28" s="1" t="str">
        <f>Y3</f>
        <v>#N/A</v>
      </c>
      <c r="D28" s="2" t="str">
        <f t="array" ref="D28">ifna(IF(INDEX(Subject!B:D,MATCH(F28,Subject!C:C,0),3)=0,"",(INDEX(Subject!B:D,MATCH(F28,Subject!C:C,0),3))),"")</f>
        <v/>
      </c>
      <c r="E28" s="5">
        <f>Now!C30</f>
        <v>0.8125</v>
      </c>
      <c r="F28" s="1" t="str">
        <f>ifna(Now!D30,"")</f>
        <v/>
      </c>
      <c r="G28" s="11" t="str">
        <f t="array" ref="G28">IF(F28="","",HYPERLINK(INDEX(Subject!B:E,MATCH(F28,Subject!C:C,0),4)))</f>
        <v/>
      </c>
      <c r="H28" s="11" t="str">
        <f t="array" ref="H28">IF($F28="","",HYPERLINK(INDEX(Subject!$B:$I,MATCH($F28,Subject!$C:$C,0),5)))</f>
        <v/>
      </c>
      <c r="I28" s="11" t="str">
        <f t="array" ref="I28">IF($F28="","",HYPERLINK(INDEX(Subject!$B:$I,MATCH($F28,Subject!$C:$C,0),6)))</f>
        <v/>
      </c>
      <c r="J28" s="11" t="str">
        <f t="array" ref="J28">IF($F28="","",HYPERLINK(INDEX(Subject!$B:$I,MATCH($F28,Subject!$C:$C,0),7)))</f>
        <v/>
      </c>
      <c r="K28" s="11" t="str">
        <f t="array" ref="K28">IF($F28="","",HYPERLINK(INDEX(Subject!$B:$I,MATCH($F28,Subject!$C:$C,0),8)))</f>
        <v/>
      </c>
    </row>
    <row r="29" ht="14.25" customHeight="1">
      <c r="B29" s="5">
        <f>Z1</f>
        <v>0.8333333333</v>
      </c>
      <c r="C29" s="1" t="str">
        <f>Z3</f>
        <v>#N/A</v>
      </c>
      <c r="D29" s="2" t="str">
        <f t="array" ref="D29">ifna(IF(INDEX(Subject!B:D,MATCH(F29,Subject!C:C,0),3)=0,"",(INDEX(Subject!B:D,MATCH(F29,Subject!C:C,0),3))),"")</f>
        <v/>
      </c>
      <c r="E29" s="5">
        <f>Now!C31</f>
        <v>0.8333333333</v>
      </c>
      <c r="F29" s="1" t="str">
        <f>ifna(Now!D31,"")</f>
        <v/>
      </c>
      <c r="G29" s="11" t="str">
        <f t="array" ref="G29">IF(F29="","",HYPERLINK(INDEX(Subject!B:E,MATCH(F29,Subject!C:C,0),4)))</f>
        <v/>
      </c>
      <c r="H29" s="11" t="str">
        <f t="array" ref="H29">IF($F29="","",HYPERLINK(INDEX(Subject!$B:$I,MATCH($F29,Subject!$C:$C,0),5)))</f>
        <v/>
      </c>
      <c r="I29" s="11" t="str">
        <f t="array" ref="I29">IF($F29="","",HYPERLINK(INDEX(Subject!$B:$I,MATCH($F29,Subject!$C:$C,0),6)))</f>
        <v/>
      </c>
      <c r="J29" s="11" t="str">
        <f t="array" ref="J29">IF($F29="","",HYPERLINK(INDEX(Subject!$B:$I,MATCH($F29,Subject!$C:$C,0),7)))</f>
        <v/>
      </c>
      <c r="K29" s="11" t="str">
        <f t="array" ref="K29">IF($F29="","",HYPERLINK(INDEX(Subject!$B:$I,MATCH($F29,Subject!$C:$C,0),8)))</f>
        <v/>
      </c>
    </row>
    <row r="30" ht="14.25" customHeight="1">
      <c r="B30" s="5">
        <f>AA1</f>
        <v>0.8541666667</v>
      </c>
      <c r="C30" s="1" t="str">
        <f>AA3</f>
        <v>#N/A</v>
      </c>
      <c r="D30" s="2" t="str">
        <f t="array" ref="D30">ifna(IF(INDEX(Subject!B:D,MATCH(F30,Subject!C:C,0),3)=0,"",(INDEX(Subject!B:D,MATCH(F30,Subject!C:C,0),3))),"")</f>
        <v/>
      </c>
      <c r="E30" s="5">
        <f>Now!C32</f>
        <v>0.8541666667</v>
      </c>
      <c r="F30" s="1" t="str">
        <f>ifna(Now!D32,"")</f>
        <v/>
      </c>
      <c r="G30" s="11" t="str">
        <f t="array" ref="G30">IF(F30="","",HYPERLINK(INDEX(Subject!B:E,MATCH(F30,Subject!C:C,0),4)))</f>
        <v/>
      </c>
      <c r="H30" s="11" t="str">
        <f t="array" ref="H30">IF($F30="","",HYPERLINK(INDEX(Subject!$B:$I,MATCH($F30,Subject!$C:$C,0),5)))</f>
        <v/>
      </c>
      <c r="I30" s="11" t="str">
        <f t="array" ref="I30">IF($F30="","",HYPERLINK(INDEX(Subject!$B:$I,MATCH($F30,Subject!$C:$C,0),6)))</f>
        <v/>
      </c>
      <c r="J30" s="11" t="str">
        <f t="array" ref="J30">IF($F30="","",HYPERLINK(INDEX(Subject!$B:$I,MATCH($F30,Subject!$C:$C,0),7)))</f>
        <v/>
      </c>
      <c r="K30" s="11" t="str">
        <f t="array" ref="K30">IF($F30="","",HYPERLINK(INDEX(Subject!$B:$I,MATCH($F30,Subject!$C:$C,0),8)))</f>
        <v/>
      </c>
    </row>
    <row r="31" ht="14.25" customHeight="1">
      <c r="B31" s="5">
        <f>AB1</f>
        <v>0.875</v>
      </c>
      <c r="C31" s="1" t="str">
        <f>AB3</f>
        <v>#N/A</v>
      </c>
      <c r="D31" s="2" t="str">
        <f t="array" ref="D31">ifna(IF(INDEX(Subject!B:D,MATCH(F31,Subject!C:C,0),3)=0,"",(INDEX(Subject!B:D,MATCH(F31,Subject!C:C,0),3))),"")</f>
        <v/>
      </c>
      <c r="E31" s="5">
        <f>Now!C33</f>
        <v>0.875</v>
      </c>
      <c r="F31" s="1" t="str">
        <f>ifna(Now!D33,"")</f>
        <v/>
      </c>
      <c r="G31" s="11" t="str">
        <f t="array" ref="G31">IF(F31="","",HYPERLINK(INDEX(Subject!B:E,MATCH(F31,Subject!C:C,0),4)))</f>
        <v/>
      </c>
      <c r="H31" s="11" t="str">
        <f t="array" ref="H31">IF($F31="","",HYPERLINK(INDEX(Subject!$B:$I,MATCH($F31,Subject!$C:$C,0),5)))</f>
        <v/>
      </c>
      <c r="I31" s="11" t="str">
        <f t="array" ref="I31">IF($F31="","",HYPERLINK(INDEX(Subject!$B:$I,MATCH($F31,Subject!$C:$C,0),6)))</f>
        <v/>
      </c>
      <c r="J31" s="11" t="str">
        <f t="array" ref="J31">IF($F31="","",HYPERLINK(INDEX(Subject!$B:$I,MATCH($F31,Subject!$C:$C,0),7)))</f>
        <v/>
      </c>
      <c r="K31" s="11" t="str">
        <f t="array" ref="K31">IF($F31="","",HYPERLINK(INDEX(Subject!$B:$I,MATCH($F31,Subject!$C:$C,0),8)))</f>
        <v/>
      </c>
    </row>
    <row r="32" ht="14.25" customHeight="1">
      <c r="B32" s="5">
        <f>AC1</f>
        <v>0.8958333333</v>
      </c>
      <c r="C32" s="1" t="str">
        <f>AC3</f>
        <v>#N/A</v>
      </c>
      <c r="D32" s="2" t="str">
        <f t="array" ref="D32">ifna(IF(INDEX(Subject!B:D,MATCH(F32,Subject!C:C,0),3)=0,"",(INDEX(Subject!B:D,MATCH(F32,Subject!C:C,0),3))),"")</f>
        <v/>
      </c>
      <c r="E32" s="5">
        <f>Now!C34</f>
        <v>0.8958333333</v>
      </c>
      <c r="F32" s="1" t="str">
        <f>ifna(Now!D34,"")</f>
        <v/>
      </c>
      <c r="G32" s="11" t="str">
        <f t="array" ref="G32">IF(F32="","",HYPERLINK(INDEX(Subject!B:E,MATCH(F32,Subject!C:C,0),4)))</f>
        <v/>
      </c>
      <c r="H32" s="11" t="str">
        <f t="array" ref="H32">IF($F32="","",HYPERLINK(INDEX(Subject!$B:$I,MATCH($F32,Subject!$C:$C,0),5)))</f>
        <v/>
      </c>
      <c r="I32" s="11" t="str">
        <f t="array" ref="I32">IF($F32="","",HYPERLINK(INDEX(Subject!$B:$I,MATCH($F32,Subject!$C:$C,0),6)))</f>
        <v/>
      </c>
      <c r="J32" s="11" t="str">
        <f t="array" ref="J32">IF($F32="","",HYPERLINK(INDEX(Subject!$B:$I,MATCH($F32,Subject!$C:$C,0),7)))</f>
        <v/>
      </c>
      <c r="K32" s="11" t="str">
        <f t="array" ref="K32">IF($F32="","",HYPERLINK(INDEX(Subject!$B:$I,MATCH($F32,Subject!$C:$C,0),8)))</f>
        <v/>
      </c>
    </row>
    <row r="33" ht="14.25" customHeight="1">
      <c r="B33" s="5">
        <f>AD1</f>
        <v>0.9166666667</v>
      </c>
      <c r="C33" s="1" t="str">
        <f>AD3</f>
        <v>#N/A</v>
      </c>
      <c r="D33" s="2" t="str">
        <f t="array" ref="D33">ifna(IF(INDEX(Subject!B:D,MATCH(F33,Subject!C:C,0),3)=0,"",(INDEX(Subject!B:D,MATCH(F33,Subject!C:C,0),3))),"")</f>
        <v/>
      </c>
      <c r="E33" s="5">
        <f>Now!C35</f>
        <v>0.9166666667</v>
      </c>
      <c r="F33" s="1" t="str">
        <f>ifna(Now!D35,"")</f>
        <v/>
      </c>
      <c r="G33" s="11" t="str">
        <f t="array" ref="G33">IF(F33="","",HYPERLINK(INDEX(Subject!B:E,MATCH(F33,Subject!C:C,0),4)))</f>
        <v/>
      </c>
      <c r="H33" s="11" t="str">
        <f t="array" ref="H33">IF($F33="","",HYPERLINK(INDEX(Subject!$B:$I,MATCH($F33,Subject!$C:$C,0),5)))</f>
        <v/>
      </c>
      <c r="I33" s="11" t="str">
        <f t="array" ref="I33">IF($F33="","",HYPERLINK(INDEX(Subject!$B:$I,MATCH($F33,Subject!$C:$C,0),6)))</f>
        <v/>
      </c>
      <c r="J33" s="11" t="str">
        <f t="array" ref="J33">IF($F33="","",HYPERLINK(INDEX(Subject!$B:$I,MATCH($F33,Subject!$C:$C,0),7)))</f>
        <v/>
      </c>
      <c r="K33" s="11" t="str">
        <f t="array" ref="K33">IF($F33="","",HYPERLINK(INDEX(Subject!$B:$I,MATCH($F33,Subject!$C:$C,0),8)))</f>
        <v/>
      </c>
    </row>
    <row r="34" ht="14.25" customHeight="1">
      <c r="B34" s="5">
        <f>AE1</f>
        <v>0.9375</v>
      </c>
      <c r="C34" s="1" t="str">
        <f>AE3</f>
        <v>#N/A</v>
      </c>
      <c r="D34" s="2" t="str">
        <f t="array" ref="D34">ifna(IF(INDEX(Subject!B:D,MATCH(F34,Subject!C:C,0),3)=0,"",(INDEX(Subject!B:D,MATCH(F34,Subject!C:C,0),3))),"")</f>
        <v/>
      </c>
      <c r="E34" s="5">
        <f>Now!C36</f>
        <v>0.9375</v>
      </c>
      <c r="F34" s="1" t="str">
        <f>ifna(Now!D36,"")</f>
        <v/>
      </c>
      <c r="G34" s="11" t="str">
        <f t="array" ref="G34">IF(F34="","",HYPERLINK(INDEX(Subject!B:E,MATCH(F34,Subject!C:C,0),4)))</f>
        <v/>
      </c>
      <c r="H34" s="11" t="str">
        <f t="array" ref="H34">IF($F34="","",HYPERLINK(INDEX(Subject!$B:$I,MATCH($F34,Subject!$C:$C,0),5)))</f>
        <v/>
      </c>
      <c r="I34" s="11" t="str">
        <f t="array" ref="I34">IF($F34="","",HYPERLINK(INDEX(Subject!$B:$I,MATCH($F34,Subject!$C:$C,0),6)))</f>
        <v/>
      </c>
      <c r="J34" s="11" t="str">
        <f t="array" ref="J34">IF($F34="","",HYPERLINK(INDEX(Subject!$B:$I,MATCH($F34,Subject!$C:$C,0),7)))</f>
        <v/>
      </c>
      <c r="K34" s="11" t="str">
        <f t="array" ref="K34">IF($F34="","",HYPERLINK(INDEX(Subject!$B:$I,MATCH($F34,Subject!$C:$C,0),8)))</f>
        <v/>
      </c>
    </row>
    <row r="35" ht="14.25" customHeight="1">
      <c r="B35" s="5">
        <f>AF1</f>
        <v>0.9583333333</v>
      </c>
      <c r="C35" s="1" t="str">
        <f>AF3</f>
        <v>#N/A</v>
      </c>
      <c r="D35" s="2" t="str">
        <f t="array" ref="D35">ifna(IF(INDEX(Subject!B:D,MATCH(F35,Subject!C:C,0),3)=0,"",(INDEX(Subject!B:D,MATCH(F35,Subject!C:C,0),3))),"")</f>
        <v/>
      </c>
      <c r="E35" s="5">
        <f>Now!C37</f>
        <v>0.9583333333</v>
      </c>
      <c r="F35" s="1" t="str">
        <f>ifna(Now!D37,"")</f>
        <v/>
      </c>
      <c r="G35" s="11" t="str">
        <f t="array" ref="G35">IF(F35="","",HYPERLINK(INDEX(Subject!B:E,MATCH(F35,Subject!C:C,0),4)))</f>
        <v/>
      </c>
      <c r="H35" s="11" t="str">
        <f t="array" ref="H35">IF($F35="","",HYPERLINK(INDEX(Subject!$B:$I,MATCH($F35,Subject!$C:$C,0),5)))</f>
        <v/>
      </c>
      <c r="I35" s="11" t="str">
        <f t="array" ref="I35">IF($F35="","",HYPERLINK(INDEX(Subject!$B:$I,MATCH($F35,Subject!$C:$C,0),6)))</f>
        <v/>
      </c>
      <c r="J35" s="11" t="str">
        <f t="array" ref="J35">IF($F35="","",HYPERLINK(INDEX(Subject!$B:$I,MATCH($F35,Subject!$C:$C,0),7)))</f>
        <v/>
      </c>
      <c r="K35" s="11" t="str">
        <f t="array" ref="K35">IF($F35="","",HYPERLINK(INDEX(Subject!$B:$I,MATCH($F35,Subject!$C:$C,0),8)))</f>
        <v/>
      </c>
    </row>
    <row r="36" ht="14.25" customHeight="1">
      <c r="B36" s="5">
        <f>AG1</f>
        <v>0.9791666667</v>
      </c>
      <c r="C36" s="1" t="str">
        <f>AG3</f>
        <v>#N/A</v>
      </c>
      <c r="D36" s="2" t="str">
        <f t="array" ref="D36">ifna(IF(INDEX(Subject!B:D,MATCH(F36,Subject!C:C,0),3)=0,"",(INDEX(Subject!B:D,MATCH(F36,Subject!C:C,0),3))),"")</f>
        <v/>
      </c>
      <c r="E36" s="5">
        <f>Now!C38</f>
        <v>0.9791666667</v>
      </c>
      <c r="F36" s="1" t="str">
        <f>ifna(Now!D38,"")</f>
        <v/>
      </c>
      <c r="G36" s="11" t="str">
        <f t="array" ref="G36">IF(F36="","",HYPERLINK(INDEX(Subject!B:E,MATCH(F36,Subject!C:C,0),4)))</f>
        <v/>
      </c>
      <c r="H36" s="11" t="str">
        <f t="array" ref="H36">IF($F36="","",HYPERLINK(INDEX(Subject!$B:$I,MATCH($F36,Subject!$C:$C,0),5)))</f>
        <v/>
      </c>
      <c r="I36" s="11" t="str">
        <f t="array" ref="I36">IF($F36="","",HYPERLINK(INDEX(Subject!$B:$I,MATCH($F36,Subject!$C:$C,0),6)))</f>
        <v/>
      </c>
      <c r="J36" s="11" t="str">
        <f t="array" ref="J36">IF($F36="","",HYPERLINK(INDEX(Subject!$B:$I,MATCH($F36,Subject!$C:$C,0),7)))</f>
        <v/>
      </c>
      <c r="K36" s="11" t="str">
        <f t="array" ref="K36">IF($F36="","",HYPERLINK(INDEX(Subject!$B:$I,MATCH($F36,Subject!$C:$C,0),8)))</f>
        <v/>
      </c>
    </row>
    <row r="37" ht="14.25" customHeight="1">
      <c r="B37" s="5">
        <f>AH1</f>
        <v>1</v>
      </c>
      <c r="C37" s="1" t="str">
        <f>AH3</f>
        <v>#N/A</v>
      </c>
      <c r="D37" s="2" t="str">
        <f t="array" ref="D37">ifna(IF(INDEX(Subject!B:D,MATCH(F37,Subject!C:C,0),3)=0,"",(INDEX(Subject!B:D,MATCH(F37,Subject!C:C,0),3))),"")</f>
        <v/>
      </c>
      <c r="E37" s="5">
        <f>Now!C39</f>
        <v>1</v>
      </c>
      <c r="F37" s="1" t="str">
        <f>ifna(Now!D39,"")</f>
        <v/>
      </c>
      <c r="G37" s="11" t="str">
        <f t="array" ref="G37">IF(F37="","",HYPERLINK(INDEX(Subject!B:E,MATCH(F37,Subject!C:C,0),4)))</f>
        <v/>
      </c>
      <c r="H37" s="11" t="str">
        <f t="array" ref="H37">IF($F37="","",HYPERLINK(INDEX(Subject!$B:$I,MATCH($F37,Subject!$C:$C,0),5)))</f>
        <v/>
      </c>
      <c r="I37" s="11" t="str">
        <f t="array" ref="I37">IF($F37="","",HYPERLINK(INDEX(Subject!$B:$I,MATCH($F37,Subject!$C:$C,0),6)))</f>
        <v/>
      </c>
      <c r="J37" s="11" t="str">
        <f t="array" ref="J37">IF($F37="","",HYPERLINK(INDEX(Subject!$B:$I,MATCH($F37,Subject!$C:$C,0),7)))</f>
        <v/>
      </c>
      <c r="K37" s="11" t="str">
        <f t="array" ref="K37">IF($F37="","",HYPERLINK(INDEX(Subject!$B:$I,MATCH($F37,Subject!$C:$C,0),8)))</f>
        <v/>
      </c>
    </row>
    <row r="38" ht="14.25" customHeight="1">
      <c r="B38" s="5">
        <f>AI1</f>
        <v>1.020833333</v>
      </c>
      <c r="C38" s="1" t="str">
        <f>AI3</f>
        <v>#N/A</v>
      </c>
      <c r="D38" s="2" t="str">
        <f t="array" ref="D38">ifna(IF(INDEX(Subject!B:D,MATCH(F38,Subject!C:C,0),3)=0,"",(INDEX(Subject!B:D,MATCH(F38,Subject!C:C,0),3))),"")</f>
        <v/>
      </c>
      <c r="E38" s="5">
        <f>Now!C40</f>
        <v>1.020833333</v>
      </c>
      <c r="F38" s="1" t="str">
        <f>ifna(Now!D40,"")</f>
        <v/>
      </c>
      <c r="G38" s="11" t="str">
        <f t="array" ref="G38">IF(F38="","",HYPERLINK(INDEX(Subject!B:E,MATCH(F38,Subject!C:C,0),4)))</f>
        <v/>
      </c>
      <c r="H38" s="11" t="str">
        <f t="array" ref="H38">IF($F38="","",HYPERLINK(INDEX(Subject!$B:$I,MATCH($F38,Subject!$C:$C,0),5)))</f>
        <v/>
      </c>
      <c r="I38" s="11" t="str">
        <f t="array" ref="I38">IF($F38="","",HYPERLINK(INDEX(Subject!$B:$I,MATCH($F38,Subject!$C:$C,0),6)))</f>
        <v/>
      </c>
      <c r="J38" s="11" t="str">
        <f t="array" ref="J38">IF($F38="","",HYPERLINK(INDEX(Subject!$B:$I,MATCH($F38,Subject!$C:$C,0),7)))</f>
        <v/>
      </c>
      <c r="K38" s="11" t="str">
        <f t="array" ref="K38">IF($F38="","",HYPERLINK(INDEX(Subject!$B:$I,MATCH($F38,Subject!$C:$C,0),8)))</f>
        <v/>
      </c>
    </row>
    <row r="39" ht="14.25" customHeight="1">
      <c r="B39" s="5">
        <f>AJ1</f>
        <v>1.041666667</v>
      </c>
      <c r="C39" s="1" t="str">
        <f>AJ3</f>
        <v>#N/A</v>
      </c>
      <c r="D39" s="2" t="str">
        <f t="array" ref="D39">ifna(IF(INDEX(Subject!B:D,MATCH(F39,Subject!C:C,0),3)=0,"",(INDEX(Subject!B:D,MATCH(F39,Subject!C:C,0),3))),"")</f>
        <v/>
      </c>
      <c r="E39" s="5">
        <f>Now!C41</f>
        <v>1.041666667</v>
      </c>
      <c r="F39" s="1" t="str">
        <f>ifna(Now!D41,"")</f>
        <v/>
      </c>
      <c r="G39" s="11" t="str">
        <f t="array" ref="G39">IF(F39="","",HYPERLINK(INDEX(Subject!B:E,MATCH(F39,Subject!C:C,0),4)))</f>
        <v/>
      </c>
      <c r="H39" s="11" t="str">
        <f t="array" ref="H39">IF($F39="","",HYPERLINK(INDEX(Subject!$B:$I,MATCH($F39,Subject!$C:$C,0),5)))</f>
        <v/>
      </c>
      <c r="I39" s="11" t="str">
        <f t="array" ref="I39">IF($F39="","",HYPERLINK(INDEX(Subject!$B:$I,MATCH($F39,Subject!$C:$C,0),6)))</f>
        <v/>
      </c>
      <c r="J39" s="11" t="str">
        <f t="array" ref="J39">IF($F39="","",HYPERLINK(INDEX(Subject!$B:$I,MATCH($F39,Subject!$C:$C,0),7)))</f>
        <v/>
      </c>
      <c r="K39" s="11" t="str">
        <f t="array" ref="K39">IF($F39="","",HYPERLINK(INDEX(Subject!$B:$I,MATCH($F39,Subject!$C:$C,0),8)))</f>
        <v/>
      </c>
    </row>
    <row r="40" ht="14.25" customHeight="1">
      <c r="B40" s="5">
        <f>AK1</f>
        <v>1.0625</v>
      </c>
      <c r="C40" s="1" t="str">
        <f>AK3</f>
        <v>#N/A</v>
      </c>
      <c r="D40" s="2" t="str">
        <f t="array" ref="D40">ifna(IF(INDEX(Subject!B:D,MATCH(F40,Subject!C:C,0),3)=0,"",(INDEX(Subject!B:D,MATCH(F40,Subject!C:C,0),3))),"")</f>
        <v/>
      </c>
      <c r="E40" s="5">
        <f>Now!C42</f>
        <v>1.0625</v>
      </c>
      <c r="F40" s="1" t="str">
        <f>ifna(Now!D42,"")</f>
        <v/>
      </c>
      <c r="G40" s="11" t="str">
        <f t="array" ref="G40">IF(F40="","",HYPERLINK(INDEX(Subject!B:E,MATCH(F40,Subject!C:C,0),4)))</f>
        <v/>
      </c>
      <c r="H40" s="11" t="str">
        <f t="array" ref="H40">IF($F40="","",HYPERLINK(INDEX(Subject!$B:$I,MATCH($F40,Subject!$C:$C,0),5)))</f>
        <v/>
      </c>
      <c r="I40" s="11" t="str">
        <f t="array" ref="I40">IF($F40="","",HYPERLINK(INDEX(Subject!$B:$I,MATCH($F40,Subject!$C:$C,0),6)))</f>
        <v/>
      </c>
      <c r="J40" s="11" t="str">
        <f t="array" ref="J40">IF($F40="","",HYPERLINK(INDEX(Subject!$B:$I,MATCH($F40,Subject!$C:$C,0),7)))</f>
        <v/>
      </c>
      <c r="K40" s="11" t="str">
        <f t="array" ref="K40">IF($F40="","",HYPERLINK(INDEX(Subject!$B:$I,MATCH($F40,Subject!$C:$C,0),8)))</f>
        <v/>
      </c>
    </row>
    <row r="41" ht="14.25" customHeight="1">
      <c r="B41" s="5">
        <f>AL1</f>
        <v>1.083333333</v>
      </c>
      <c r="C41" s="1" t="str">
        <f>AL3</f>
        <v>#N/A</v>
      </c>
      <c r="D41" s="2" t="str">
        <f t="array" ref="D41">ifna(IF(INDEX(Subject!B:D,MATCH(F41,Subject!C:C,0),3)=0,"",(INDEX(Subject!B:D,MATCH(F41,Subject!C:C,0),3))),"")</f>
        <v/>
      </c>
      <c r="E41" s="5">
        <f>Now!C43</f>
        <v>1.083333333</v>
      </c>
      <c r="F41" s="1" t="str">
        <f>ifna(Now!D43,"")</f>
        <v/>
      </c>
      <c r="G41" s="11" t="str">
        <f t="array" ref="G41">IF(F41="","",HYPERLINK(INDEX(Subject!B:E,MATCH(F41,Subject!C:C,0),4)))</f>
        <v/>
      </c>
      <c r="H41" s="11" t="str">
        <f t="array" ref="H41">IF($F41="","",HYPERLINK(INDEX(Subject!$B:$I,MATCH($F41,Subject!$C:$C,0),5)))</f>
        <v/>
      </c>
      <c r="I41" s="11" t="str">
        <f t="array" ref="I41">IF($F41="","",HYPERLINK(INDEX(Subject!$B:$I,MATCH($F41,Subject!$C:$C,0),6)))</f>
        <v/>
      </c>
      <c r="J41" s="11" t="str">
        <f t="array" ref="J41">IF($F41="","",HYPERLINK(INDEX(Subject!$B:$I,MATCH($F41,Subject!$C:$C,0),7)))</f>
        <v/>
      </c>
      <c r="K41" s="11" t="str">
        <f t="array" ref="K41">IF($F41="","",HYPERLINK(INDEX(Subject!$B:$I,MATCH($F41,Subject!$C:$C,0),8)))</f>
        <v/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8.71"/>
    <col customWidth="1" min="3" max="3" width="15.0"/>
    <col customWidth="1" min="4" max="4" width="16.0"/>
    <col customWidth="1" min="5" max="5" width="19.29"/>
    <col customWidth="1" min="6" max="6" width="22.0"/>
    <col customWidth="1" min="7" max="7" width="27.43"/>
    <col customWidth="1" min="8" max="8" width="23.29"/>
    <col customWidth="1" min="9" max="26" width="8.71"/>
  </cols>
  <sheetData>
    <row r="1" ht="14.25" customHeight="1">
      <c r="A1" s="2">
        <f>MAX(B:B)</f>
        <v>1</v>
      </c>
      <c r="C1" s="2" t="s">
        <v>12</v>
      </c>
      <c r="D1" s="2" t="s">
        <v>13</v>
      </c>
      <c r="E1" s="2" t="s">
        <v>14</v>
      </c>
    </row>
    <row r="2" ht="14.25" customHeight="1">
      <c r="A2" s="2" t="str">
        <f>C2&amp;" "&amp;E2</f>
        <v> </v>
      </c>
      <c r="B2" s="2">
        <v>1.0</v>
      </c>
      <c r="C2" s="2" t="str">
        <f>IF(Planner!A5&lt;&gt;"",Planner!A5,"")</f>
        <v/>
      </c>
      <c r="E2" s="12"/>
      <c r="F2" s="12"/>
      <c r="G2" s="12"/>
      <c r="H2" s="12"/>
      <c r="I2" s="12"/>
    </row>
    <row r="3" ht="14.25" customHeight="1">
      <c r="B3" s="2" t="str">
        <f t="shared" ref="B3:B100" si="1">IF(C3&lt;&gt;"",B2+1,"")</f>
        <v/>
      </c>
      <c r="C3" s="2" t="str">
        <f>IF(Planner!A6&lt;&gt;"",Planner!A6,"")</f>
        <v/>
      </c>
      <c r="E3" s="12"/>
    </row>
    <row r="4" ht="14.25" customHeight="1">
      <c r="B4" s="2" t="str">
        <f t="shared" si="1"/>
        <v/>
      </c>
      <c r="C4" s="2" t="str">
        <f>IF(Planner!A7&lt;&gt;"",Planner!A7,"")</f>
        <v/>
      </c>
      <c r="E4" s="12"/>
      <c r="F4" s="12"/>
    </row>
    <row r="5" ht="14.25" customHeight="1">
      <c r="B5" s="2" t="str">
        <f t="shared" si="1"/>
        <v/>
      </c>
      <c r="C5" s="2" t="str">
        <f>IF(Planner!A8&lt;&gt;"",Planner!A8,"")</f>
        <v/>
      </c>
      <c r="E5" s="12"/>
      <c r="F5" s="12"/>
      <c r="G5" s="11"/>
    </row>
    <row r="6" ht="14.25" customHeight="1">
      <c r="B6" s="2" t="str">
        <f t="shared" si="1"/>
        <v/>
      </c>
      <c r="C6" s="2" t="str">
        <f>IF(Planner!A9&lt;&gt;"",Planner!A9,"")</f>
        <v/>
      </c>
      <c r="E6" s="12"/>
      <c r="F6" s="12"/>
      <c r="G6" s="12"/>
    </row>
    <row r="7" ht="14.25" customHeight="1">
      <c r="B7" s="2" t="str">
        <f t="shared" si="1"/>
        <v/>
      </c>
      <c r="C7" s="2" t="str">
        <f>IF(Planner!A10&lt;&gt;"",Planner!A10,"")</f>
        <v/>
      </c>
      <c r="E7" s="12"/>
      <c r="F7" s="12"/>
      <c r="G7" s="12"/>
      <c r="H7" s="12"/>
      <c r="I7" s="12"/>
    </row>
    <row r="8" ht="14.25" customHeight="1">
      <c r="B8" s="2" t="str">
        <f t="shared" si="1"/>
        <v/>
      </c>
      <c r="C8" s="2" t="str">
        <f>IF(Planner!A11&lt;&gt;"",Planner!A11,"")</f>
        <v/>
      </c>
      <c r="E8" s="12"/>
      <c r="F8" s="12"/>
    </row>
    <row r="9" ht="14.25" customHeight="1">
      <c r="B9" s="2" t="str">
        <f t="shared" si="1"/>
        <v/>
      </c>
      <c r="C9" s="2" t="str">
        <f>IF(Planner!A12&lt;&gt;"",Planner!A12,"")</f>
        <v/>
      </c>
      <c r="E9" s="12"/>
    </row>
    <row r="10" ht="14.25" customHeight="1">
      <c r="B10" s="2" t="str">
        <f t="shared" si="1"/>
        <v/>
      </c>
      <c r="C10" s="2" t="str">
        <f>IF(Planner!A13&lt;&gt;"",Planner!A13,"")</f>
        <v/>
      </c>
    </row>
    <row r="11" ht="14.25" customHeight="1">
      <c r="B11" s="2" t="str">
        <f t="shared" si="1"/>
        <v/>
      </c>
      <c r="C11" s="2" t="str">
        <f>IF(Planner!A14&lt;&gt;"",Planner!A14,"")</f>
        <v/>
      </c>
    </row>
    <row r="12" ht="14.25" customHeight="1">
      <c r="B12" s="2" t="str">
        <f t="shared" si="1"/>
        <v/>
      </c>
      <c r="C12" s="2" t="str">
        <f>IF(Planner!A15&lt;&gt;"",Planner!A15,"")</f>
        <v/>
      </c>
    </row>
    <row r="13" ht="14.25" customHeight="1">
      <c r="B13" s="2" t="str">
        <f t="shared" si="1"/>
        <v/>
      </c>
      <c r="C13" s="2" t="str">
        <f>IF(Planner!A16&lt;&gt;"",Planner!A16,"")</f>
        <v/>
      </c>
      <c r="E13" s="12"/>
    </row>
    <row r="14" ht="14.25" customHeight="1">
      <c r="B14" s="2" t="str">
        <f t="shared" si="1"/>
        <v/>
      </c>
      <c r="C14" s="2" t="str">
        <f>IF(Planner!A17&lt;&gt;"",Planner!A17,"")</f>
        <v/>
      </c>
    </row>
    <row r="15" ht="14.25" customHeight="1">
      <c r="B15" s="2" t="str">
        <f t="shared" si="1"/>
        <v/>
      </c>
      <c r="C15" s="2" t="str">
        <f>IF(Planner!A18&lt;&gt;"",Planner!A18,"")</f>
        <v/>
      </c>
    </row>
    <row r="16" ht="14.25" customHeight="1">
      <c r="B16" s="2" t="str">
        <f t="shared" si="1"/>
        <v/>
      </c>
      <c r="C16" s="2" t="str">
        <f>IF(Planner!A19&lt;&gt;"",Planner!A19,"")</f>
        <v/>
      </c>
    </row>
    <row r="17" ht="14.25" customHeight="1">
      <c r="B17" s="2" t="str">
        <f t="shared" si="1"/>
        <v/>
      </c>
      <c r="C17" s="2" t="str">
        <f>IF(Planner!A20&lt;&gt;"",Planner!A20,"")</f>
        <v/>
      </c>
      <c r="E17" s="12"/>
    </row>
    <row r="18" ht="14.25" customHeight="1">
      <c r="B18" s="2" t="str">
        <f t="shared" si="1"/>
        <v/>
      </c>
      <c r="C18" s="2" t="str">
        <f>IF(Planner!A21&lt;&gt;"",Planner!A21,"")</f>
        <v/>
      </c>
    </row>
    <row r="19" ht="14.25" customHeight="1">
      <c r="B19" s="2" t="str">
        <f t="shared" si="1"/>
        <v/>
      </c>
      <c r="C19" s="2" t="str">
        <f>IF(Planner!A22&lt;&gt;"",Planner!A22,"")</f>
        <v/>
      </c>
    </row>
    <row r="20" ht="14.25" customHeight="1">
      <c r="B20" s="2" t="str">
        <f t="shared" si="1"/>
        <v/>
      </c>
      <c r="C20" s="2" t="str">
        <f>IF(Planner!A23&lt;&gt;"",Planner!A23,"")</f>
        <v/>
      </c>
    </row>
    <row r="21" ht="14.25" customHeight="1">
      <c r="B21" s="2" t="str">
        <f t="shared" si="1"/>
        <v/>
      </c>
      <c r="C21" s="2" t="str">
        <f>IF(Planner!A24&lt;&gt;"",Planner!A24,"")</f>
        <v/>
      </c>
    </row>
    <row r="22" ht="14.25" customHeight="1">
      <c r="B22" s="2" t="str">
        <f t="shared" si="1"/>
        <v/>
      </c>
      <c r="C22" s="2" t="str">
        <f>IF(Planner!A25&lt;&gt;"",Planner!A25,"")</f>
        <v/>
      </c>
    </row>
    <row r="23" ht="14.25" customHeight="1">
      <c r="B23" s="2" t="str">
        <f t="shared" si="1"/>
        <v/>
      </c>
      <c r="C23" s="2" t="str">
        <f>IF(Planner!A26&lt;&gt;"",Planner!A26,"")</f>
        <v/>
      </c>
    </row>
    <row r="24" ht="14.25" customHeight="1">
      <c r="B24" s="2" t="str">
        <f t="shared" si="1"/>
        <v/>
      </c>
      <c r="C24" s="2" t="str">
        <f>IF(Planner!A27&lt;&gt;"",Planner!A27,"")</f>
        <v/>
      </c>
    </row>
    <row r="25" ht="14.25" customHeight="1">
      <c r="B25" s="2" t="str">
        <f t="shared" si="1"/>
        <v/>
      </c>
      <c r="C25" s="2" t="str">
        <f>IF(Planner!A28&lt;&gt;"",Planner!A28,"")</f>
        <v/>
      </c>
    </row>
    <row r="26" ht="14.25" customHeight="1">
      <c r="B26" s="2" t="str">
        <f t="shared" si="1"/>
        <v/>
      </c>
      <c r="C26" s="2" t="str">
        <f>IF(Planner!A29&lt;&gt;"",Planner!A29,"")</f>
        <v/>
      </c>
    </row>
    <row r="27" ht="14.25" customHeight="1">
      <c r="B27" s="2" t="str">
        <f t="shared" si="1"/>
        <v/>
      </c>
      <c r="C27" s="2" t="str">
        <f>IF(Planner!A30&lt;&gt;"",Planner!A30,"")</f>
        <v/>
      </c>
    </row>
    <row r="28" ht="14.25" customHeight="1">
      <c r="B28" s="2" t="str">
        <f t="shared" si="1"/>
        <v/>
      </c>
      <c r="C28" s="2" t="str">
        <f>IF(Planner!A31&lt;&gt;"",Planner!A31,"")</f>
        <v/>
      </c>
      <c r="E28" s="12"/>
    </row>
    <row r="29" ht="14.25" customHeight="1">
      <c r="B29" s="2" t="str">
        <f t="shared" si="1"/>
        <v/>
      </c>
      <c r="C29" s="2" t="str">
        <f>IF(Planner!A32&lt;&gt;"",Planner!A32,"")</f>
        <v/>
      </c>
      <c r="E29" s="12"/>
    </row>
    <row r="30" ht="14.25" customHeight="1">
      <c r="B30" s="2" t="str">
        <f t="shared" si="1"/>
        <v/>
      </c>
      <c r="C30" s="2" t="str">
        <f>IF(Planner!A33&lt;&gt;"",Planner!A33,"")</f>
        <v/>
      </c>
    </row>
    <row r="31" ht="14.25" customHeight="1">
      <c r="B31" s="2" t="str">
        <f t="shared" si="1"/>
        <v/>
      </c>
      <c r="C31" s="2" t="str">
        <f>IF(Planner!A34&lt;&gt;"",Planner!A34,"")</f>
        <v/>
      </c>
    </row>
    <row r="32" ht="14.25" customHeight="1">
      <c r="B32" s="2" t="str">
        <f t="shared" si="1"/>
        <v/>
      </c>
      <c r="C32" s="2" t="str">
        <f>IF(Planner!A35&lt;&gt;"",Planner!A35,"")</f>
        <v/>
      </c>
    </row>
    <row r="33" ht="14.25" customHeight="1">
      <c r="B33" s="2" t="str">
        <f t="shared" si="1"/>
        <v/>
      </c>
      <c r="C33" s="2" t="str">
        <f>IF(Planner!A36&lt;&gt;"",Planner!A36,"")</f>
        <v/>
      </c>
    </row>
    <row r="34" ht="14.25" customHeight="1">
      <c r="B34" s="2" t="str">
        <f t="shared" si="1"/>
        <v/>
      </c>
      <c r="C34" s="2" t="str">
        <f>IF(Planner!A37&lt;&gt;"",Planner!A37,"")</f>
        <v/>
      </c>
    </row>
    <row r="35" ht="14.25" customHeight="1">
      <c r="B35" s="2" t="str">
        <f t="shared" si="1"/>
        <v/>
      </c>
      <c r="C35" s="2" t="str">
        <f>IF(Planner!A38&lt;&gt;"",Planner!A38,"")</f>
        <v/>
      </c>
    </row>
    <row r="36" ht="14.25" customHeight="1">
      <c r="B36" s="2" t="str">
        <f t="shared" si="1"/>
        <v/>
      </c>
      <c r="C36" s="2" t="str">
        <f>IF(Planner!A39&lt;&gt;"",Planner!A39,"")</f>
        <v/>
      </c>
    </row>
    <row r="37" ht="14.25" customHeight="1">
      <c r="B37" s="2" t="str">
        <f t="shared" si="1"/>
        <v/>
      </c>
      <c r="C37" s="2" t="str">
        <f>IF(Planner!A40&lt;&gt;"",Planner!A40,"")</f>
        <v/>
      </c>
      <c r="E37" s="12"/>
    </row>
    <row r="38" ht="14.25" customHeight="1">
      <c r="B38" s="2" t="str">
        <f t="shared" si="1"/>
        <v/>
      </c>
      <c r="C38" s="2" t="str">
        <f>IF(Planner!A41&lt;&gt;"",Planner!A41,"")</f>
        <v/>
      </c>
      <c r="E38" s="12"/>
    </row>
    <row r="39" ht="14.25" customHeight="1">
      <c r="B39" s="2" t="str">
        <f t="shared" si="1"/>
        <v/>
      </c>
      <c r="C39" s="2" t="str">
        <f>IF(Planner!A42&lt;&gt;"",Planner!A42,"")</f>
        <v/>
      </c>
    </row>
    <row r="40" ht="14.25" customHeight="1">
      <c r="B40" s="2" t="str">
        <f t="shared" si="1"/>
        <v/>
      </c>
      <c r="C40" s="2" t="str">
        <f>IF(Planner!A43&lt;&gt;"",Planner!A43,"")</f>
        <v/>
      </c>
    </row>
    <row r="41" ht="14.25" customHeight="1">
      <c r="B41" s="2" t="str">
        <f t="shared" si="1"/>
        <v/>
      </c>
      <c r="C41" s="2" t="str">
        <f>IF(Planner!A44&lt;&gt;"",Planner!A44,"")</f>
        <v/>
      </c>
    </row>
    <row r="42" ht="14.25" customHeight="1">
      <c r="B42" s="2" t="str">
        <f t="shared" si="1"/>
        <v/>
      </c>
      <c r="C42" s="2" t="str">
        <f>IF(Planner!A45&lt;&gt;"",Planner!A45,"")</f>
        <v/>
      </c>
    </row>
    <row r="43" ht="14.25" customHeight="1">
      <c r="B43" s="2" t="str">
        <f t="shared" si="1"/>
        <v/>
      </c>
      <c r="C43" s="2" t="str">
        <f>IF(Planner!A46&lt;&gt;"",Planner!A46,"")</f>
        <v/>
      </c>
    </row>
    <row r="44" ht="14.25" customHeight="1">
      <c r="B44" s="2" t="str">
        <f t="shared" si="1"/>
        <v/>
      </c>
      <c r="C44" s="2" t="str">
        <f>IF(Planner!A47&lt;&gt;"",Planner!A47,"")</f>
        <v/>
      </c>
    </row>
    <row r="45" ht="14.25" customHeight="1">
      <c r="B45" s="2" t="str">
        <f t="shared" si="1"/>
        <v/>
      </c>
      <c r="C45" s="2" t="str">
        <f>IF(Planner!A48&lt;&gt;"",Planner!A48,"")</f>
        <v/>
      </c>
    </row>
    <row r="46" ht="14.25" customHeight="1">
      <c r="B46" s="2" t="str">
        <f t="shared" si="1"/>
        <v/>
      </c>
      <c r="C46" s="2" t="str">
        <f>IF(Planner!A49&lt;&gt;"",Planner!A49,"")</f>
        <v/>
      </c>
    </row>
    <row r="47" ht="14.25" customHeight="1">
      <c r="B47" s="2" t="str">
        <f t="shared" si="1"/>
        <v/>
      </c>
      <c r="C47" s="2" t="str">
        <f>IF(Planner!A50&lt;&gt;"",Planner!A50,"")</f>
        <v/>
      </c>
    </row>
    <row r="48" ht="14.25" customHeight="1">
      <c r="B48" s="2" t="str">
        <f t="shared" si="1"/>
        <v/>
      </c>
      <c r="C48" s="2" t="str">
        <f>IF(Planner!A51&lt;&gt;"",Planner!A51,"")</f>
        <v/>
      </c>
    </row>
    <row r="49" ht="14.25" customHeight="1">
      <c r="B49" s="2" t="str">
        <f t="shared" si="1"/>
        <v/>
      </c>
      <c r="C49" s="2" t="str">
        <f>IF(Planner!A52&lt;&gt;"",Planner!A52,"")</f>
        <v/>
      </c>
    </row>
    <row r="50" ht="14.25" customHeight="1">
      <c r="B50" s="2" t="str">
        <f t="shared" si="1"/>
        <v/>
      </c>
      <c r="C50" s="2" t="str">
        <f>IF(Planner!A53&lt;&gt;"",Planner!A53,"")</f>
        <v/>
      </c>
    </row>
    <row r="51" ht="14.25" customHeight="1">
      <c r="B51" s="2" t="str">
        <f t="shared" si="1"/>
        <v/>
      </c>
      <c r="C51" s="2" t="str">
        <f>IF(Planner!A54&lt;&gt;"",Planner!A54,"")</f>
        <v/>
      </c>
    </row>
    <row r="52" ht="14.25" customHeight="1">
      <c r="B52" s="2" t="str">
        <f t="shared" si="1"/>
        <v/>
      </c>
      <c r="C52" s="2" t="str">
        <f>IF(Planner!A55&lt;&gt;"",Planner!A55,"")</f>
        <v/>
      </c>
    </row>
    <row r="53" ht="14.25" customHeight="1">
      <c r="B53" s="2" t="str">
        <f t="shared" si="1"/>
        <v/>
      </c>
      <c r="C53" s="2" t="str">
        <f>IF(Planner!A56&lt;&gt;"",Planner!A56,"")</f>
        <v/>
      </c>
    </row>
    <row r="54" ht="14.25" customHeight="1">
      <c r="B54" s="2" t="str">
        <f t="shared" si="1"/>
        <v/>
      </c>
      <c r="C54" s="2" t="str">
        <f>IF(Planner!A57&lt;&gt;"",Planner!A57,"")</f>
        <v/>
      </c>
    </row>
    <row r="55" ht="14.25" customHeight="1">
      <c r="B55" s="2" t="str">
        <f t="shared" si="1"/>
        <v/>
      </c>
      <c r="C55" s="2" t="str">
        <f>IF(Planner!A58&lt;&gt;"",Planner!A58,"")</f>
        <v/>
      </c>
    </row>
    <row r="56" ht="14.25" customHeight="1">
      <c r="B56" s="2" t="str">
        <f t="shared" si="1"/>
        <v/>
      </c>
      <c r="C56" s="2" t="str">
        <f>IF(Planner!A59&lt;&gt;"",Planner!A59,"")</f>
        <v/>
      </c>
    </row>
    <row r="57" ht="14.25" customHeight="1">
      <c r="B57" s="2" t="str">
        <f t="shared" si="1"/>
        <v/>
      </c>
      <c r="C57" s="2" t="str">
        <f>IF(Planner!A60&lt;&gt;"",Planner!A60,"")</f>
        <v/>
      </c>
    </row>
    <row r="58" ht="14.25" customHeight="1">
      <c r="B58" s="2" t="str">
        <f t="shared" si="1"/>
        <v/>
      </c>
      <c r="C58" s="2" t="str">
        <f>IF(Planner!A61&lt;&gt;"",Planner!A61,"")</f>
        <v/>
      </c>
    </row>
    <row r="59" ht="14.25" customHeight="1">
      <c r="B59" s="2" t="str">
        <f t="shared" si="1"/>
        <v/>
      </c>
      <c r="C59" s="2" t="str">
        <f>IF(Planner!A62&lt;&gt;"",Planner!A62,"")</f>
        <v/>
      </c>
    </row>
    <row r="60" ht="14.25" customHeight="1">
      <c r="B60" s="2" t="str">
        <f t="shared" si="1"/>
        <v/>
      </c>
      <c r="C60" s="2" t="str">
        <f>IF(Planner!A63&lt;&gt;"",Planner!A63,"")</f>
        <v/>
      </c>
    </row>
    <row r="61" ht="14.25" customHeight="1">
      <c r="B61" s="2" t="str">
        <f t="shared" si="1"/>
        <v/>
      </c>
      <c r="C61" s="2" t="str">
        <f>IF(Planner!A64&lt;&gt;"",Planner!A64,"")</f>
        <v/>
      </c>
    </row>
    <row r="62" ht="14.25" customHeight="1">
      <c r="B62" s="2" t="str">
        <f t="shared" si="1"/>
        <v/>
      </c>
      <c r="C62" s="2" t="str">
        <f>IF(Planner!A65&lt;&gt;"",Planner!A65,"")</f>
        <v/>
      </c>
    </row>
    <row r="63" ht="14.25" customHeight="1">
      <c r="B63" s="2" t="str">
        <f t="shared" si="1"/>
        <v/>
      </c>
      <c r="C63" s="2" t="str">
        <f>IF(Planner!A66&lt;&gt;"",Planner!A66,"")</f>
        <v/>
      </c>
    </row>
    <row r="64" ht="14.25" customHeight="1">
      <c r="B64" s="2" t="str">
        <f t="shared" si="1"/>
        <v/>
      </c>
      <c r="C64" s="2" t="str">
        <f>IF(Planner!A67&lt;&gt;"",Planner!A67,"")</f>
        <v/>
      </c>
    </row>
    <row r="65" ht="14.25" customHeight="1">
      <c r="B65" s="2" t="str">
        <f t="shared" si="1"/>
        <v/>
      </c>
      <c r="C65" s="2" t="str">
        <f>IF(Planner!A68&lt;&gt;"",Planner!A68,"")</f>
        <v/>
      </c>
    </row>
    <row r="66" ht="14.25" customHeight="1">
      <c r="B66" s="2" t="str">
        <f t="shared" si="1"/>
        <v/>
      </c>
      <c r="C66" s="2" t="str">
        <f>IF(Planner!A69&lt;&gt;"",Planner!A69,"")</f>
        <v/>
      </c>
    </row>
    <row r="67" ht="14.25" customHeight="1">
      <c r="B67" s="2" t="str">
        <f t="shared" si="1"/>
        <v/>
      </c>
      <c r="C67" s="2" t="str">
        <f>IF(Planner!A70&lt;&gt;"",Planner!A70,"")</f>
        <v/>
      </c>
    </row>
    <row r="68" ht="14.25" customHeight="1">
      <c r="B68" s="2" t="str">
        <f t="shared" si="1"/>
        <v/>
      </c>
      <c r="C68" s="2" t="str">
        <f>IF(Planner!A71&lt;&gt;"",Planner!A71,"")</f>
        <v/>
      </c>
    </row>
    <row r="69" ht="14.25" customHeight="1">
      <c r="B69" s="2" t="str">
        <f t="shared" si="1"/>
        <v/>
      </c>
      <c r="C69" s="2" t="str">
        <f>IF(Planner!A72&lt;&gt;"",Planner!A72,"")</f>
        <v/>
      </c>
    </row>
    <row r="70" ht="14.25" customHeight="1">
      <c r="B70" s="2" t="str">
        <f t="shared" si="1"/>
        <v/>
      </c>
      <c r="C70" s="2" t="str">
        <f>IF(Planner!A73&lt;&gt;"",Planner!A73,"")</f>
        <v/>
      </c>
    </row>
    <row r="71" ht="14.25" customHeight="1">
      <c r="B71" s="2" t="str">
        <f t="shared" si="1"/>
        <v/>
      </c>
      <c r="C71" s="2" t="str">
        <f>IF(Planner!A74&lt;&gt;"",Planner!A74,"")</f>
        <v/>
      </c>
    </row>
    <row r="72" ht="14.25" customHeight="1">
      <c r="B72" s="2" t="str">
        <f t="shared" si="1"/>
        <v/>
      </c>
      <c r="C72" s="2" t="str">
        <f>IF(Planner!A75&lt;&gt;"",Planner!A75,"")</f>
        <v/>
      </c>
    </row>
    <row r="73" ht="14.25" customHeight="1">
      <c r="B73" s="2" t="str">
        <f t="shared" si="1"/>
        <v/>
      </c>
      <c r="C73" s="2" t="str">
        <f>IF(Planner!A76&lt;&gt;"",Planner!A76,"")</f>
        <v/>
      </c>
    </row>
    <row r="74" ht="14.25" customHeight="1">
      <c r="B74" s="2" t="str">
        <f t="shared" si="1"/>
        <v/>
      </c>
      <c r="C74" s="2" t="str">
        <f>IF(Planner!A77&lt;&gt;"",Planner!A77,"")</f>
        <v/>
      </c>
    </row>
    <row r="75" ht="14.25" customHeight="1">
      <c r="B75" s="2" t="str">
        <f t="shared" si="1"/>
        <v/>
      </c>
      <c r="C75" s="2" t="str">
        <f>IF(Planner!A78&lt;&gt;"",Planner!A78,"")</f>
        <v/>
      </c>
    </row>
    <row r="76" ht="14.25" customHeight="1">
      <c r="B76" s="2" t="str">
        <f t="shared" si="1"/>
        <v/>
      </c>
      <c r="C76" s="2" t="str">
        <f>IF(Planner!A79&lt;&gt;"",Planner!A79,"")</f>
        <v/>
      </c>
    </row>
    <row r="77" ht="14.25" customHeight="1">
      <c r="B77" s="2" t="str">
        <f t="shared" si="1"/>
        <v/>
      </c>
      <c r="C77" s="2" t="str">
        <f>IF(Planner!A80&lt;&gt;"",Planner!A80,"")</f>
        <v/>
      </c>
    </row>
    <row r="78" ht="14.25" customHeight="1">
      <c r="B78" s="2" t="str">
        <f t="shared" si="1"/>
        <v/>
      </c>
      <c r="C78" s="2" t="str">
        <f>IF(Planner!A81&lt;&gt;"",Planner!A81,"")</f>
        <v/>
      </c>
    </row>
    <row r="79" ht="14.25" customHeight="1">
      <c r="B79" s="2" t="str">
        <f t="shared" si="1"/>
        <v/>
      </c>
      <c r="C79" s="2" t="str">
        <f>IF(Planner!A82&lt;&gt;"",Planner!A82,"")</f>
        <v/>
      </c>
    </row>
    <row r="80" ht="14.25" customHeight="1">
      <c r="B80" s="2" t="str">
        <f t="shared" si="1"/>
        <v/>
      </c>
      <c r="C80" s="2" t="str">
        <f>IF(Planner!A83&lt;&gt;"",Planner!A83,"")</f>
        <v/>
      </c>
    </row>
    <row r="81" ht="14.25" customHeight="1">
      <c r="B81" s="2" t="str">
        <f t="shared" si="1"/>
        <v/>
      </c>
      <c r="C81" s="2" t="str">
        <f>IF(Planner!A84&lt;&gt;"",Planner!A84,"")</f>
        <v/>
      </c>
    </row>
    <row r="82" ht="14.25" customHeight="1">
      <c r="B82" s="2" t="str">
        <f t="shared" si="1"/>
        <v/>
      </c>
      <c r="C82" s="2" t="str">
        <f>IF(Planner!A85&lt;&gt;"",Planner!A85,"")</f>
        <v/>
      </c>
    </row>
    <row r="83" ht="14.25" customHeight="1">
      <c r="B83" s="2" t="str">
        <f t="shared" si="1"/>
        <v/>
      </c>
      <c r="C83" s="2" t="str">
        <f>IF(Planner!A86&lt;&gt;"",Planner!A86,"")</f>
        <v/>
      </c>
    </row>
    <row r="84" ht="14.25" customHeight="1">
      <c r="B84" s="2" t="str">
        <f t="shared" si="1"/>
        <v/>
      </c>
      <c r="C84" s="2" t="str">
        <f>IF(Planner!A87&lt;&gt;"",Planner!A87,"")</f>
        <v/>
      </c>
    </row>
    <row r="85" ht="14.25" customHeight="1">
      <c r="B85" s="2" t="str">
        <f t="shared" si="1"/>
        <v/>
      </c>
      <c r="C85" s="2" t="str">
        <f>IF(Planner!A88&lt;&gt;"",Planner!A88,"")</f>
        <v/>
      </c>
    </row>
    <row r="86" ht="14.25" customHeight="1">
      <c r="B86" s="2" t="str">
        <f t="shared" si="1"/>
        <v/>
      </c>
      <c r="C86" s="2" t="str">
        <f>IF(Planner!A89&lt;&gt;"",Planner!A89,"")</f>
        <v/>
      </c>
    </row>
    <row r="87" ht="14.25" customHeight="1">
      <c r="B87" s="2" t="str">
        <f t="shared" si="1"/>
        <v/>
      </c>
      <c r="C87" s="2" t="str">
        <f>IF(Planner!A90&lt;&gt;"",Planner!A90,"")</f>
        <v/>
      </c>
    </row>
    <row r="88" ht="14.25" customHeight="1">
      <c r="B88" s="2" t="str">
        <f t="shared" si="1"/>
        <v/>
      </c>
      <c r="C88" s="2" t="str">
        <f>IF(Planner!A91&lt;&gt;"",Planner!A91,"")</f>
        <v/>
      </c>
    </row>
    <row r="89" ht="14.25" customHeight="1">
      <c r="B89" s="2" t="str">
        <f t="shared" si="1"/>
        <v/>
      </c>
      <c r="C89" s="2" t="str">
        <f>IF(Planner!A92&lt;&gt;"",Planner!A92,"")</f>
        <v/>
      </c>
    </row>
    <row r="90" ht="14.25" customHeight="1">
      <c r="B90" s="2" t="str">
        <f t="shared" si="1"/>
        <v/>
      </c>
      <c r="C90" s="2" t="str">
        <f>IF(Planner!A93&lt;&gt;"",Planner!A93,"")</f>
        <v/>
      </c>
    </row>
    <row r="91" ht="14.25" customHeight="1">
      <c r="B91" s="2" t="str">
        <f t="shared" si="1"/>
        <v/>
      </c>
      <c r="C91" s="2" t="str">
        <f>IF(Planner!A94&lt;&gt;"",Planner!A94,"")</f>
        <v/>
      </c>
    </row>
    <row r="92" ht="14.25" customHeight="1">
      <c r="B92" s="2" t="str">
        <f t="shared" si="1"/>
        <v/>
      </c>
      <c r="C92" s="2" t="str">
        <f>IF(Planner!A95&lt;&gt;"",Planner!A95,"")</f>
        <v/>
      </c>
    </row>
    <row r="93" ht="14.25" customHeight="1">
      <c r="B93" s="2" t="str">
        <f t="shared" si="1"/>
        <v/>
      </c>
      <c r="C93" s="2" t="str">
        <f>IF(Planner!A96&lt;&gt;"",Planner!A96,"")</f>
        <v/>
      </c>
    </row>
    <row r="94" ht="14.25" customHeight="1">
      <c r="B94" s="2" t="str">
        <f t="shared" si="1"/>
        <v/>
      </c>
      <c r="C94" s="2" t="str">
        <f>IF(Planner!A97&lt;&gt;"",Planner!A97,"")</f>
        <v/>
      </c>
    </row>
    <row r="95" ht="14.25" customHeight="1">
      <c r="B95" s="2" t="str">
        <f t="shared" si="1"/>
        <v/>
      </c>
      <c r="C95" s="2" t="str">
        <f>IF(Planner!A98&lt;&gt;"",Planner!A98,"")</f>
        <v/>
      </c>
    </row>
    <row r="96" ht="14.25" customHeight="1">
      <c r="B96" s="2" t="str">
        <f t="shared" si="1"/>
        <v/>
      </c>
      <c r="C96" s="2" t="str">
        <f>IF(Planner!A99&lt;&gt;"",Planner!A99,"")</f>
        <v/>
      </c>
    </row>
    <row r="97" ht="14.25" customHeight="1">
      <c r="B97" s="2" t="str">
        <f t="shared" si="1"/>
        <v/>
      </c>
      <c r="C97" s="2" t="str">
        <f>IF(Planner!A100&lt;&gt;"",Planner!A100,"")</f>
        <v/>
      </c>
    </row>
    <row r="98" ht="14.25" customHeight="1">
      <c r="B98" s="2" t="str">
        <f t="shared" si="1"/>
        <v/>
      </c>
      <c r="C98" s="2" t="str">
        <f>IF(Planner!A101&lt;&gt;"",Planner!A101,"")</f>
        <v/>
      </c>
    </row>
    <row r="99" ht="14.25" customHeight="1">
      <c r="B99" s="2" t="str">
        <f t="shared" si="1"/>
        <v/>
      </c>
      <c r="C99" s="2" t="str">
        <f>IF(Planner!A102&lt;&gt;"",Planner!A102,"")</f>
        <v/>
      </c>
    </row>
    <row r="100" ht="14.25" customHeight="1">
      <c r="B100" s="2" t="str">
        <f t="shared" si="1"/>
        <v/>
      </c>
      <c r="C100" s="2" t="str">
        <f>IF(Planner!A103&lt;&gt;"",Planner!A103,"")</f>
        <v/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19" width="8.71"/>
    <col customWidth="1" min="20" max="20" width="9.14"/>
    <col customWidth="1" min="21" max="38" width="8.71"/>
    <col customWidth="1" min="39" max="39" width="9.43"/>
    <col customWidth="1" min="40" max="40" width="13.29"/>
    <col customWidth="1" min="41" max="41" width="13.14"/>
    <col customWidth="1" min="42" max="42" width="14.0"/>
    <col customWidth="1" min="43" max="43" width="13.71"/>
    <col customWidth="1" min="44" max="44" width="12.71"/>
    <col customWidth="1" min="45" max="45" width="12.43"/>
    <col customWidth="1" min="46" max="46" width="12.71"/>
    <col customWidth="1" min="47" max="48" width="12.43"/>
    <col customWidth="1" min="49" max="49" width="12.71"/>
    <col customWidth="1" min="50" max="50" width="12.43"/>
    <col customWidth="1" min="51" max="51" width="13.43"/>
    <col customWidth="1" min="52" max="52" width="14.57"/>
    <col customWidth="1" min="53" max="53" width="15.43"/>
    <col customWidth="1" min="54" max="54" width="14.43"/>
    <col customWidth="1" min="55" max="78" width="13.0"/>
  </cols>
  <sheetData>
    <row r="1" ht="14.25" customHeight="1">
      <c r="A1" s="1">
        <f>NOW()</f>
        <v>46204.55367</v>
      </c>
      <c r="B1" s="5">
        <f t="shared" ref="B1:AL1" si="1">B2</f>
        <v>0.3333333333</v>
      </c>
      <c r="C1" s="5">
        <f t="shared" si="1"/>
        <v>0.3541666667</v>
      </c>
      <c r="D1" s="5">
        <f t="shared" si="1"/>
        <v>0.375</v>
      </c>
      <c r="E1" s="5">
        <f t="shared" si="1"/>
        <v>0.3958333333</v>
      </c>
      <c r="F1" s="5">
        <f t="shared" si="1"/>
        <v>0.4166666667</v>
      </c>
      <c r="G1" s="5">
        <f t="shared" si="1"/>
        <v>0.4375</v>
      </c>
      <c r="H1" s="5">
        <f t="shared" si="1"/>
        <v>0.4583333333</v>
      </c>
      <c r="I1" s="5">
        <f t="shared" si="1"/>
        <v>0.4791666667</v>
      </c>
      <c r="J1" s="5">
        <f t="shared" si="1"/>
        <v>0.5</v>
      </c>
      <c r="K1" s="5">
        <f t="shared" si="1"/>
        <v>0.5208333333</v>
      </c>
      <c r="L1" s="5">
        <f t="shared" si="1"/>
        <v>0.5416666667</v>
      </c>
      <c r="M1" s="5">
        <f t="shared" si="1"/>
        <v>0.5625</v>
      </c>
      <c r="N1" s="5">
        <f t="shared" si="1"/>
        <v>0.5833333333</v>
      </c>
      <c r="O1" s="5">
        <f t="shared" si="1"/>
        <v>0.6041666667</v>
      </c>
      <c r="P1" s="5">
        <f t="shared" si="1"/>
        <v>0.625</v>
      </c>
      <c r="Q1" s="5">
        <f t="shared" si="1"/>
        <v>0.6458333333</v>
      </c>
      <c r="R1" s="5">
        <f t="shared" si="1"/>
        <v>0.6666666667</v>
      </c>
      <c r="S1" s="5">
        <f t="shared" si="1"/>
        <v>0.6875</v>
      </c>
      <c r="T1" s="13">
        <f t="shared" si="1"/>
        <v>0.7083333333</v>
      </c>
      <c r="U1" s="5">
        <f t="shared" si="1"/>
        <v>0.7291666667</v>
      </c>
      <c r="V1" s="5">
        <f t="shared" si="1"/>
        <v>0.75</v>
      </c>
      <c r="W1" s="5">
        <f t="shared" si="1"/>
        <v>0.7708333333</v>
      </c>
      <c r="X1" s="5">
        <f t="shared" si="1"/>
        <v>0.7916666667</v>
      </c>
      <c r="Y1" s="5">
        <f t="shared" si="1"/>
        <v>0.8125</v>
      </c>
      <c r="Z1" s="5">
        <f t="shared" si="1"/>
        <v>0.8333333333</v>
      </c>
      <c r="AA1" s="5">
        <f t="shared" si="1"/>
        <v>0.8541666667</v>
      </c>
      <c r="AB1" s="5">
        <f t="shared" si="1"/>
        <v>0.875</v>
      </c>
      <c r="AC1" s="5">
        <f t="shared" si="1"/>
        <v>0.8958333333</v>
      </c>
      <c r="AD1" s="5">
        <f t="shared" si="1"/>
        <v>0.9166666667</v>
      </c>
      <c r="AE1" s="5">
        <f t="shared" si="1"/>
        <v>0.9375</v>
      </c>
      <c r="AF1" s="5">
        <f t="shared" si="1"/>
        <v>0.9583333333</v>
      </c>
      <c r="AG1" s="5">
        <f t="shared" si="1"/>
        <v>0.9791666667</v>
      </c>
      <c r="AH1" s="5">
        <f t="shared" si="1"/>
        <v>1</v>
      </c>
      <c r="AI1" s="5">
        <f t="shared" si="1"/>
        <v>1.020833333</v>
      </c>
      <c r="AJ1" s="5">
        <f t="shared" si="1"/>
        <v>1.041666667</v>
      </c>
      <c r="AK1" s="5">
        <f t="shared" si="1"/>
        <v>1.0625</v>
      </c>
      <c r="AL1" s="5">
        <f t="shared" si="1"/>
        <v>1.083333333</v>
      </c>
      <c r="AM1" s="14"/>
    </row>
    <row r="2" ht="14.25" customHeight="1">
      <c r="B2" s="15">
        <v>0.3333333333333333</v>
      </c>
      <c r="C2" s="15">
        <v>0.3541666666666667</v>
      </c>
      <c r="D2" s="15">
        <v>0.37500000000000006</v>
      </c>
      <c r="E2" s="15">
        <v>0.3958333333333334</v>
      </c>
      <c r="F2" s="15">
        <v>0.4166666666666668</v>
      </c>
      <c r="G2" s="15">
        <v>0.43750000000000017</v>
      </c>
      <c r="H2" s="15">
        <v>0.45833333333333354</v>
      </c>
      <c r="I2" s="15">
        <v>0.4791666666666669</v>
      </c>
      <c r="J2" s="15">
        <v>0.5000000000000002</v>
      </c>
      <c r="K2" s="15">
        <v>0.5208333333333336</v>
      </c>
      <c r="L2" s="15">
        <v>0.541666666666667</v>
      </c>
      <c r="M2" s="15">
        <v>0.5625000000000003</v>
      </c>
      <c r="N2" s="15">
        <v>0.5833333333333337</v>
      </c>
      <c r="O2" s="15">
        <v>0.6041666666666671</v>
      </c>
      <c r="P2" s="15">
        <v>0.6250000000000004</v>
      </c>
      <c r="Q2" s="15">
        <v>0.6458333333333338</v>
      </c>
      <c r="R2" s="15">
        <v>0.6666666666666672</v>
      </c>
      <c r="S2" s="15">
        <v>0.6875000000000006</v>
      </c>
      <c r="T2" s="16">
        <v>0.7083333333333339</v>
      </c>
      <c r="U2" s="15">
        <v>0.7291666666666673</v>
      </c>
      <c r="V2" s="15">
        <v>0.7500000000000007</v>
      </c>
      <c r="W2" s="15">
        <v>0.770833333333334</v>
      </c>
      <c r="X2" s="15">
        <v>0.7916666666666674</v>
      </c>
      <c r="Y2" s="15">
        <v>0.8125000000000008</v>
      </c>
      <c r="Z2" s="15">
        <v>0.8333333333333341</v>
      </c>
      <c r="AA2" s="15">
        <v>0.8541666666666675</v>
      </c>
      <c r="AB2" s="15">
        <v>0.8750000000000009</v>
      </c>
      <c r="AC2" s="15">
        <v>0.8958333333333343</v>
      </c>
      <c r="AD2" s="15">
        <v>0.9166666666666676</v>
      </c>
      <c r="AE2" s="15">
        <v>0.937500000000001</v>
      </c>
      <c r="AF2" s="15">
        <v>0.9583333333333344</v>
      </c>
      <c r="AG2" s="15">
        <v>0.9791666666666677</v>
      </c>
      <c r="AH2" s="15">
        <v>1.000000000000001</v>
      </c>
      <c r="AI2" s="15">
        <v>1.0208333333333344</v>
      </c>
      <c r="AJ2" s="15">
        <v>1.0416666666666679</v>
      </c>
      <c r="AK2" s="15">
        <v>1.0625000000000013</v>
      </c>
      <c r="AL2" s="15">
        <v>1.0833333333333348</v>
      </c>
      <c r="AM2" s="14"/>
    </row>
    <row r="3" ht="14.25" customHeight="1">
      <c r="A3" s="17">
        <v>45503.0</v>
      </c>
      <c r="T3" s="14"/>
      <c r="U3" s="8" t="str">
        <f t="array" ref="U3">INDEX(Subject!$A:$I,MATCH(RANDBETWEEN(1,16),Subject!$B:$B,0),3)</f>
        <v>#N/A</v>
      </c>
      <c r="AM3" s="18">
        <f t="shared" ref="AM3:BZ3" si="2">$A3+B$1</f>
        <v>45503.33333</v>
      </c>
      <c r="AN3" s="19">
        <f t="shared" si="2"/>
        <v>45503.35417</v>
      </c>
      <c r="AO3" s="19">
        <f t="shared" si="2"/>
        <v>45503.375</v>
      </c>
      <c r="AP3" s="19">
        <f t="shared" si="2"/>
        <v>45503.39583</v>
      </c>
      <c r="AQ3" s="19">
        <f t="shared" si="2"/>
        <v>45503.41667</v>
      </c>
      <c r="AR3" s="19">
        <f t="shared" si="2"/>
        <v>45503.4375</v>
      </c>
      <c r="AS3" s="19">
        <f t="shared" si="2"/>
        <v>45503.45833</v>
      </c>
      <c r="AT3" s="19">
        <f t="shared" si="2"/>
        <v>45503.47917</v>
      </c>
      <c r="AU3" s="19">
        <f t="shared" si="2"/>
        <v>45503.5</v>
      </c>
      <c r="AV3" s="19">
        <f t="shared" si="2"/>
        <v>45503.52083</v>
      </c>
      <c r="AW3" s="19">
        <f t="shared" si="2"/>
        <v>45503.54167</v>
      </c>
      <c r="AX3" s="19">
        <f t="shared" si="2"/>
        <v>45503.5625</v>
      </c>
      <c r="AY3" s="19">
        <f t="shared" si="2"/>
        <v>45503.58333</v>
      </c>
      <c r="AZ3" s="19">
        <f t="shared" si="2"/>
        <v>45503.60417</v>
      </c>
      <c r="BA3" s="19">
        <f t="shared" si="2"/>
        <v>45503.625</v>
      </c>
      <c r="BB3" s="19">
        <f t="shared" si="2"/>
        <v>45503.64583</v>
      </c>
      <c r="BC3" s="19">
        <f t="shared" si="2"/>
        <v>45503.66667</v>
      </c>
      <c r="BD3" s="19">
        <f t="shared" si="2"/>
        <v>45503.6875</v>
      </c>
      <c r="BE3" s="19">
        <f t="shared" si="2"/>
        <v>45503.70833</v>
      </c>
      <c r="BF3" s="19">
        <f t="shared" si="2"/>
        <v>45503.72917</v>
      </c>
      <c r="BG3" s="19">
        <f t="shared" si="2"/>
        <v>45503.75</v>
      </c>
      <c r="BH3" s="19">
        <f t="shared" si="2"/>
        <v>45503.77083</v>
      </c>
      <c r="BI3" s="19">
        <f t="shared" si="2"/>
        <v>45503.79167</v>
      </c>
      <c r="BJ3" s="19">
        <f t="shared" si="2"/>
        <v>45503.8125</v>
      </c>
      <c r="BK3" s="19">
        <f t="shared" si="2"/>
        <v>45503.83333</v>
      </c>
      <c r="BL3" s="19">
        <f t="shared" si="2"/>
        <v>45503.85417</v>
      </c>
      <c r="BM3" s="19">
        <f t="shared" si="2"/>
        <v>45503.875</v>
      </c>
      <c r="BN3" s="19">
        <f t="shared" si="2"/>
        <v>45503.89583</v>
      </c>
      <c r="BO3" s="19">
        <f t="shared" si="2"/>
        <v>45503.91667</v>
      </c>
      <c r="BP3" s="19">
        <f t="shared" si="2"/>
        <v>45503.9375</v>
      </c>
      <c r="BQ3" s="19">
        <f t="shared" si="2"/>
        <v>45503.95833</v>
      </c>
      <c r="BR3" s="19">
        <f t="shared" si="2"/>
        <v>45503.97917</v>
      </c>
      <c r="BS3" s="19">
        <f t="shared" si="2"/>
        <v>45504</v>
      </c>
      <c r="BT3" s="19">
        <f t="shared" si="2"/>
        <v>45504.02083</v>
      </c>
      <c r="BU3" s="19">
        <f t="shared" si="2"/>
        <v>45504.04167</v>
      </c>
      <c r="BV3" s="19">
        <f t="shared" si="2"/>
        <v>45504.0625</v>
      </c>
      <c r="BW3" s="19">
        <f t="shared" si="2"/>
        <v>45504.08333</v>
      </c>
      <c r="BX3" s="19">
        <f t="shared" si="2"/>
        <v>45503</v>
      </c>
      <c r="BY3" s="19">
        <f t="shared" si="2"/>
        <v>45503</v>
      </c>
      <c r="BZ3" s="19">
        <f t="shared" si="2"/>
        <v>45503</v>
      </c>
    </row>
    <row r="4" ht="14.25" customHeight="1">
      <c r="A4" s="17">
        <v>45504.0</v>
      </c>
      <c r="B4" s="8" t="str">
        <f t="array" ref="B4">IF(NOW()&gt;AM4,"",IF(AND((WEEKDAY($A4)+$B$2)&gt;1,((WEEKDAY($A4)+$T$2)&lt;7)),"work",(INDEX(Subject!$A:$I,MATCH(RANDBETWEEN(1,20),Subject!$B:$B,0),3))))</f>
        <v/>
      </c>
      <c r="C4" s="8" t="str">
        <f t="array" ref="C4">IF(NOW()&gt;AN4,"",IF(AND((WEEKDAY($A4)+$B$2)&gt;1,((WEEKDAY($A4)+$T$2)&lt;7)),"work",(INDEX(Subject!$A:$I,MATCH(RANDBETWEEN(1,(MAX(Subject!B:B))),Subject!$B:$B,0),3))))</f>
        <v/>
      </c>
      <c r="D4" s="2" t="str">
        <f t="array" ref="D4">IF(NOW()&gt;AO4,"",IF(AND((WEEKDAY($A4)+$B$2)&gt;1,((WEEKDAY($A4)+$T$2)&lt;7)),"work",(INDEX(Subject!$A:$I,MATCH(RANDBETWEEN(1,(MAX(Subject!C:C))),Subject!$B:$B,0),3))))</f>
        <v/>
      </c>
      <c r="E4" s="2" t="str">
        <f t="array" ref="E4">IF(NOW()&gt;AP4,"",IF(AND((WEEKDAY($A4)+$B$2)&gt;1,((WEEKDAY($A4)+$T$2)&lt;7)),"work",(INDEX(Subject!$A:$I,MATCH(RANDBETWEEN(1,(MAX(Subject!D:D))),Subject!$B:$B,0),3))))</f>
        <v/>
      </c>
      <c r="F4" s="2" t="str">
        <f t="array" ref="F4">IF(NOW()&gt;AQ4,"",IF(AND((WEEKDAY($A4)+$B$2)&gt;1,((WEEKDAY($A4)+$T$2)&lt;7)),"work",(INDEX(Subject!$A:$I,MATCH(RANDBETWEEN(1,(MAX(Subject!E:E))),Subject!$B:$B,0),3))))</f>
        <v/>
      </c>
      <c r="G4" s="2" t="str">
        <f t="array" ref="G4">IF(NOW()&gt;AR4,"",IF(AND((WEEKDAY($A4)+$B$2)&gt;1,((WEEKDAY($A4)+$T$2)&lt;7)),"work",(INDEX(Subject!$A:$I,MATCH(RANDBETWEEN(1,(MAX(Subject!F:F))),Subject!$B:$B,0),3))))</f>
        <v/>
      </c>
      <c r="H4" s="2" t="str">
        <f t="array" ref="H4">IF(NOW()&gt;AS4,"",IF(AND((WEEKDAY($A4)+$B$2)&gt;1,((WEEKDAY($A4)+$T$2)&lt;7)),"work",(INDEX(Subject!$A:$I,MATCH(RANDBETWEEN(1,(MAX(Subject!G:G))),Subject!$B:$B,0),3))))</f>
        <v/>
      </c>
      <c r="I4" s="2" t="str">
        <f t="array" ref="I4">IF(NOW()&gt;AT4,"",IF(AND((WEEKDAY($A4)+$B$2)&gt;1,((WEEKDAY($A4)+$T$2)&lt;7)),"work",(INDEX(Subject!$A:$I,MATCH(RANDBETWEEN(1,(MAX(Subject!H:H))),Subject!$B:$B,0),3))))</f>
        <v/>
      </c>
      <c r="J4" s="2" t="str">
        <f t="array" ref="J4">IF(NOW()&gt;AU4,"",IF(AND((WEEKDAY($A4)+$B$2)&gt;1,((WEEKDAY($A4)+$T$2)&lt;7)),"work",(INDEX(Subject!$A:$I,MATCH(RANDBETWEEN(1,(MAX(Subject!I:I))),Subject!$B:$B,0),3))))</f>
        <v/>
      </c>
      <c r="K4" s="2" t="str">
        <f t="array" ref="K4">IF(NOW()&gt;AV4,"",IF(AND((WEEKDAY($A4)+$B$2)&gt;1,((WEEKDAY($A4)+$T$2)&lt;7)),"work",(INDEX(Subject!$A:$I,MATCH(RANDBETWEEN(1,(MAX(Subject!J:J))),Subject!$B:$B,0),3))))</f>
        <v/>
      </c>
      <c r="L4" s="2" t="str">
        <f t="array" ref="L4">IF(NOW()&gt;AW4,"",IF(AND((WEEKDAY($A4)+$B$2)&gt;1,((WEEKDAY($A4)+$T$2)&lt;7)),"work",(INDEX(Subject!$A:$I,MATCH(RANDBETWEEN(1,(MAX(Subject!K:K))),Subject!$B:$B,0),3))))</f>
        <v/>
      </c>
      <c r="M4" s="2" t="str">
        <f t="array" ref="M4">IF(NOW()&gt;AX4,"",IF(AND((WEEKDAY($A4)+$B$2)&gt;1,((WEEKDAY($A4)+$T$2)&lt;7)),"work",(INDEX(Subject!$A:$I,MATCH(RANDBETWEEN(1,(MAX(Subject!L:L))),Subject!$B:$B,0),3))))</f>
        <v/>
      </c>
      <c r="N4" s="2" t="str">
        <f t="array" ref="N4">IF(NOW()&gt;AY4,"",IF(AND((WEEKDAY($A4)+$B$2)&gt;1,((WEEKDAY($A4)+$T$2)&lt;7)),"work",(INDEX(Subject!$A:$I,MATCH(RANDBETWEEN(1,(MAX(Subject!M:M))),Subject!$B:$B,0),3))))</f>
        <v/>
      </c>
      <c r="O4" s="2" t="str">
        <f t="array" ref="O4">IF(NOW()&gt;AZ4,"",IF(AND((WEEKDAY($A4)+$B$2)&gt;1,((WEEKDAY($A4)+$T$2)&lt;7)),"work",(INDEX(Subject!$A:$I,MATCH(RANDBETWEEN(1,(MAX(Subject!N:N))),Subject!$B:$B,0),3))))</f>
        <v/>
      </c>
      <c r="P4" s="2" t="str">
        <f t="array" ref="P4">IF(NOW()&gt;BA4,"",IF(AND((WEEKDAY($A4)+$B$2)&gt;1,((WEEKDAY($A4)+$T$2)&lt;7)),"work",(INDEX(Subject!$A:$I,MATCH(RANDBETWEEN(1,(MAX(Subject!O:O))),Subject!$B:$B,0),3))))</f>
        <v/>
      </c>
      <c r="Q4" s="2" t="str">
        <f t="array" ref="Q4">IF(NOW()&gt;BB4,"",IF(AND((WEEKDAY($A4)+$B$2)&gt;1,((WEEKDAY($A4)+$T$2)&lt;7)),"work",(INDEX(Subject!$A:$I,MATCH(RANDBETWEEN(1,(MAX(Subject!P:P))),Subject!$B:$B,0),3))))</f>
        <v/>
      </c>
      <c r="R4" s="2" t="str">
        <f t="array" ref="R4">IF(NOW()&gt;BC4,"",IF(AND((WEEKDAY($A4)+$B$2)&gt;1,((WEEKDAY($A4)+$T$2)&lt;7)),"work",(INDEX(Subject!$A:$I,MATCH(RANDBETWEEN(1,(MAX(Subject!Q:Q))),Subject!$B:$B,0),3))))</f>
        <v/>
      </c>
      <c r="S4" s="2" t="str">
        <f t="array" ref="S4">IF(NOW()&gt;BD4,"",IF(AND((WEEKDAY($A4)+$B$2)&gt;1,((WEEKDAY($A4)+$T$2)&lt;7)),"work",(INDEX(Subject!$A:$I,MATCH(RANDBETWEEN(1,(MAX(Subject!R:R))),Subject!$B:$B,0),3))))</f>
        <v/>
      </c>
      <c r="T4" s="2" t="str">
        <f t="array" ref="T4">IF(NOW()&gt;BE4,"",IF(AND((WEEKDAY($A4)+$B$2)&gt;1,((WEEKDAY($A4)+$T$2)&lt;7)),"work",(INDEX(Subject!$A:$I,MATCH(RANDBETWEEN(1,(MAX(Subject!S:S))),Subject!$B:$B,0),3))))</f>
        <v/>
      </c>
      <c r="U4" s="2" t="str">
        <f t="array" ref="U4">INDEX(Subject!$A:$I,MATCH(RANDBETWEEN(1,16),Subject!$B:$B,0),3)</f>
        <v>#N/A</v>
      </c>
      <c r="V4" s="8" t="str">
        <f t="array" ref="V4">INDEX(Subject!$A:$I,MATCH(RANDBETWEEN(1,16),Subject!$B:$B,0),3)</f>
        <v>#N/A</v>
      </c>
      <c r="W4" s="8" t="str">
        <f t="array" ref="W4">INDEX(Subject!$A:$I,MATCH(RANDBETWEEN(1,16),Subject!$B:$B,0),3)</f>
        <v>#N/A</v>
      </c>
      <c r="X4" s="8" t="str">
        <f t="array" ref="X4">INDEX(Subject!$A:$I,MATCH(RANDBETWEEN(1,16),Subject!$B:$B,0),3)</f>
        <v>#N/A</v>
      </c>
      <c r="Y4" s="8" t="str">
        <f t="array" ref="Y4">INDEX(Subject!$A:$I,MATCH(RANDBETWEEN(1,16),Subject!$B:$B,0),3)</f>
        <v>#N/A</v>
      </c>
      <c r="Z4" s="8" t="str">
        <f t="array" ref="Z4">INDEX(Subject!$A:$I,MATCH(RANDBETWEEN(1,16),Subject!$B:$B,0),3)</f>
        <v>#N/A</v>
      </c>
      <c r="AA4" s="8" t="str">
        <f t="array" ref="AA4">INDEX(Subject!$A:$I,MATCH(RANDBETWEEN(1,16),Subject!$B:$B,0),3)</f>
        <v>#N/A</v>
      </c>
      <c r="AB4" s="8" t="str">
        <f t="array" ref="AB4">INDEX(Subject!$A:$I,MATCH(RANDBETWEEN(1,16),Subject!$B:$B,0),3)</f>
        <v>#N/A</v>
      </c>
      <c r="AC4" s="8" t="str">
        <f t="array" ref="AC4">INDEX(Subject!$A:$I,MATCH(RANDBETWEEN(1,16),Subject!$B:$B,0),3)</f>
        <v>#N/A</v>
      </c>
      <c r="AD4" s="8" t="str">
        <f t="array" ref="AD4">INDEX(Subject!$A:$I,MATCH(RANDBETWEEN(1,16),Subject!$B:$B,0),3)</f>
        <v>#N/A</v>
      </c>
      <c r="AE4" s="8" t="str">
        <f t="array" ref="AE4">INDEX(Subject!$A:$I,MATCH(RANDBETWEEN(1,16),Subject!$B:$B,0),3)</f>
        <v>#N/A</v>
      </c>
      <c r="AF4" s="8" t="str">
        <f t="array" ref="AF4">INDEX(Subject!$A:$I,MATCH(RANDBETWEEN(1,16),Subject!$B:$B,0),3)</f>
        <v>#N/A</v>
      </c>
      <c r="AG4" s="8" t="str">
        <f t="array" ref="AG4">INDEX(Subject!$A:$I,MATCH(RANDBETWEEN(1,16),Subject!$B:$B,0),3)</f>
        <v>#N/A</v>
      </c>
      <c r="AH4" s="8" t="str">
        <f t="array" ref="AH4">INDEX(Subject!$A:$I,MATCH(RANDBETWEEN(1,16),Subject!$B:$B,0),3)</f>
        <v/>
      </c>
      <c r="AI4" s="8" t="str">
        <f t="array" ref="AI4">INDEX(Subject!$A:$I,MATCH(RANDBETWEEN(1,16),Subject!$B:$B,0),3)</f>
        <v>#N/A</v>
      </c>
      <c r="AJ4" s="8" t="str">
        <f t="array" ref="AJ4">INDEX(Subject!$A:$I,MATCH(RANDBETWEEN(1,16),Subject!$B:$B,0),3)</f>
        <v/>
      </c>
      <c r="AK4" s="8" t="str">
        <f t="array" ref="AK4">INDEX(Subject!$A:$I,MATCH(RANDBETWEEN(1,16),Subject!$B:$B,0),3)</f>
        <v>#N/A</v>
      </c>
      <c r="AL4" s="8" t="str">
        <f t="array" ref="AL4">INDEX(Subject!$A:$I,MATCH(RANDBETWEEN(1,16),Subject!$B:$B,0),3)</f>
        <v>#N/A</v>
      </c>
      <c r="AM4" s="18">
        <f t="shared" ref="AM4:AM630" si="4">A4+B$1</f>
        <v>45504.33333</v>
      </c>
      <c r="AN4" s="19">
        <f t="shared" ref="AN4:BZ4" si="3">$A4+C$1</f>
        <v>45504.35417</v>
      </c>
      <c r="AO4" s="19">
        <f t="shared" si="3"/>
        <v>45504.375</v>
      </c>
      <c r="AP4" s="19">
        <f t="shared" si="3"/>
        <v>45504.39583</v>
      </c>
      <c r="AQ4" s="19">
        <f t="shared" si="3"/>
        <v>45504.41667</v>
      </c>
      <c r="AR4" s="19">
        <f t="shared" si="3"/>
        <v>45504.4375</v>
      </c>
      <c r="AS4" s="19">
        <f t="shared" si="3"/>
        <v>45504.45833</v>
      </c>
      <c r="AT4" s="19">
        <f t="shared" si="3"/>
        <v>45504.47917</v>
      </c>
      <c r="AU4" s="19">
        <f t="shared" si="3"/>
        <v>45504.5</v>
      </c>
      <c r="AV4" s="19">
        <f t="shared" si="3"/>
        <v>45504.52083</v>
      </c>
      <c r="AW4" s="19">
        <f t="shared" si="3"/>
        <v>45504.54167</v>
      </c>
      <c r="AX4" s="19">
        <f t="shared" si="3"/>
        <v>45504.5625</v>
      </c>
      <c r="AY4" s="19">
        <f t="shared" si="3"/>
        <v>45504.58333</v>
      </c>
      <c r="AZ4" s="19">
        <f t="shared" si="3"/>
        <v>45504.60417</v>
      </c>
      <c r="BA4" s="19">
        <f t="shared" si="3"/>
        <v>45504.625</v>
      </c>
      <c r="BB4" s="19">
        <f t="shared" si="3"/>
        <v>45504.64583</v>
      </c>
      <c r="BC4" s="19">
        <f t="shared" si="3"/>
        <v>45504.66667</v>
      </c>
      <c r="BD4" s="19">
        <f t="shared" si="3"/>
        <v>45504.6875</v>
      </c>
      <c r="BE4" s="19">
        <f t="shared" si="3"/>
        <v>45504.70833</v>
      </c>
      <c r="BF4" s="19">
        <f t="shared" si="3"/>
        <v>45504.72917</v>
      </c>
      <c r="BG4" s="19">
        <f t="shared" si="3"/>
        <v>45504.75</v>
      </c>
      <c r="BH4" s="19">
        <f t="shared" si="3"/>
        <v>45504.77083</v>
      </c>
      <c r="BI4" s="19">
        <f t="shared" si="3"/>
        <v>45504.79167</v>
      </c>
      <c r="BJ4" s="19">
        <f t="shared" si="3"/>
        <v>45504.8125</v>
      </c>
      <c r="BK4" s="19">
        <f t="shared" si="3"/>
        <v>45504.83333</v>
      </c>
      <c r="BL4" s="19">
        <f t="shared" si="3"/>
        <v>45504.85417</v>
      </c>
      <c r="BM4" s="19">
        <f t="shared" si="3"/>
        <v>45504.875</v>
      </c>
      <c r="BN4" s="19">
        <f t="shared" si="3"/>
        <v>45504.89583</v>
      </c>
      <c r="BO4" s="19">
        <f t="shared" si="3"/>
        <v>45504.91667</v>
      </c>
      <c r="BP4" s="19">
        <f t="shared" si="3"/>
        <v>45504.9375</v>
      </c>
      <c r="BQ4" s="19">
        <f t="shared" si="3"/>
        <v>45504.95833</v>
      </c>
      <c r="BR4" s="19">
        <f t="shared" si="3"/>
        <v>45504.97917</v>
      </c>
      <c r="BS4" s="19">
        <f t="shared" si="3"/>
        <v>45505</v>
      </c>
      <c r="BT4" s="19">
        <f t="shared" si="3"/>
        <v>45505.02083</v>
      </c>
      <c r="BU4" s="19">
        <f t="shared" si="3"/>
        <v>45505.04167</v>
      </c>
      <c r="BV4" s="19">
        <f t="shared" si="3"/>
        <v>45505.0625</v>
      </c>
      <c r="BW4" s="19">
        <f t="shared" si="3"/>
        <v>45505.08333</v>
      </c>
      <c r="BX4" s="19">
        <f t="shared" si="3"/>
        <v>45504</v>
      </c>
      <c r="BY4" s="19">
        <f t="shared" si="3"/>
        <v>45504</v>
      </c>
      <c r="BZ4" s="19">
        <f t="shared" si="3"/>
        <v>45504</v>
      </c>
    </row>
    <row r="5" ht="14.25" customHeight="1">
      <c r="A5" s="17">
        <v>45505.0</v>
      </c>
      <c r="B5" s="2" t="str">
        <f t="array" ref="B5">IF(NOW()&gt;AM5,"",IF(AND((WEEKDAY($A5)+$B$2)&gt;1,((WEEKDAY($A5)+$T$2)&lt;7)),"work",(INDEX(Subject!$A:$I,MATCH(RANDBETWEEN(1,(MAX(Subject!$B:$B))),Subject!$B:$B,0),3))))</f>
        <v/>
      </c>
      <c r="C5" s="2" t="str">
        <f t="array" ref="C5">IF(NOW()&gt;AN5,"",IF(AND((WEEKDAY($A5)+$B$2)&gt;1,((WEEKDAY($A5)+$T$2)&lt;7)),"work",(INDEX(Subject!$A:$I,MATCH(RANDBETWEEN(1,(MAX(Subject!$B:$B))),Subject!$B:$B,0),3))))</f>
        <v/>
      </c>
      <c r="D5" s="2" t="str">
        <f t="array" ref="D5">IF(NOW()&gt;AO5,"",IF(AND((WEEKDAY($A5)+$B$2)&gt;1,((WEEKDAY($A5)+$T$2)&lt;7)),"work",(INDEX(Subject!$A:$I,MATCH(RANDBETWEEN(1,(MAX(Subject!$B:$B))),Subject!$B:$B,0),3))))</f>
        <v/>
      </c>
      <c r="E5" s="2" t="str">
        <f t="array" ref="E5">IF(NOW()&gt;AP5,"",IF(AND((WEEKDAY($A5)+$B$2)&gt;1,((WEEKDAY($A5)+$T$2)&lt;7)),"work",(INDEX(Subject!$A:$I,MATCH(RANDBETWEEN(1,(MAX(Subject!$B:$B))),Subject!$B:$B,0),3))))</f>
        <v/>
      </c>
      <c r="F5" s="2" t="str">
        <f t="array" ref="F5">IF(NOW()&gt;AQ5,"",IF(AND((WEEKDAY($A5)+$B$2)&gt;1,((WEEKDAY($A5)+$T$2)&lt;7)),"work",(INDEX(Subject!$A:$I,MATCH(RANDBETWEEN(1,(MAX(Subject!$B:$B))),Subject!$B:$B,0),3))))</f>
        <v/>
      </c>
      <c r="G5" s="2" t="str">
        <f t="array" ref="G5">IF(NOW()&gt;AR5,"",IF(AND((WEEKDAY($A5)+$B$2)&gt;1,((WEEKDAY($A5)+$T$2)&lt;7)),"work",(INDEX(Subject!$A:$I,MATCH(RANDBETWEEN(1,(MAX(Subject!$B:$B))),Subject!$B:$B,0),3))))</f>
        <v/>
      </c>
      <c r="H5" s="2" t="str">
        <f t="array" ref="H5">IF(NOW()&gt;AS5,"",IF(AND((WEEKDAY($A5)+$B$2)&gt;1,((WEEKDAY($A5)+$T$2)&lt;7)),"work",(INDEX(Subject!$A:$I,MATCH(RANDBETWEEN(1,(MAX(Subject!$B:$B))),Subject!$B:$B,0),3))))</f>
        <v/>
      </c>
      <c r="I5" s="2" t="str">
        <f t="array" ref="I5">IF(NOW()&gt;AT5,"",IF(AND((WEEKDAY($A5)+$B$2)&gt;1,((WEEKDAY($A5)+$T$2)&lt;7)),"work",(INDEX(Subject!$A:$I,MATCH(RANDBETWEEN(1,(MAX(Subject!$B:$B))),Subject!$B:$B,0),3))))</f>
        <v/>
      </c>
      <c r="J5" s="2" t="str">
        <f t="array" ref="J5">IF(NOW()&gt;AU5,"",IF(AND((WEEKDAY($A5)+$B$2)&gt;1,((WEEKDAY($A5)+$T$2)&lt;7)),"work",(INDEX(Subject!$A:$I,MATCH(RANDBETWEEN(1,(MAX(Subject!$B:$B))),Subject!$B:$B,0),3))))</f>
        <v/>
      </c>
      <c r="K5" s="2" t="str">
        <f t="array" ref="K5">IF(NOW()&gt;AV5,"",IF(AND((WEEKDAY($A5)+$B$2)&gt;1,((WEEKDAY($A5)+$T$2)&lt;7)),"work",(INDEX(Subject!$A:$I,MATCH(RANDBETWEEN(1,(MAX(Subject!$B:$B))),Subject!$B:$B,0),3))))</f>
        <v/>
      </c>
      <c r="L5" s="2" t="str">
        <f t="array" ref="L5">IF(NOW()&gt;AW5,"",IF(AND((WEEKDAY($A5)+$B$2)&gt;1,((WEEKDAY($A5)+$T$2)&lt;7)),"work",(INDEX(Subject!$A:$I,MATCH(RANDBETWEEN(1,(MAX(Subject!$B:$B))),Subject!$B:$B,0),3))))</f>
        <v/>
      </c>
      <c r="M5" s="2" t="str">
        <f t="array" ref="M5">IF(NOW()&gt;AX5,"",IF(AND((WEEKDAY($A5)+$B$2)&gt;1,((WEEKDAY($A5)+$T$2)&lt;7)),"work",(INDEX(Subject!$A:$I,MATCH(RANDBETWEEN(1,(MAX(Subject!$B:$B))),Subject!$B:$B,0),3))))</f>
        <v/>
      </c>
      <c r="N5" s="2" t="str">
        <f t="array" ref="N5">IF(NOW()&gt;AY5,"",IF(AND((WEEKDAY($A5)+$B$2)&gt;1,((WEEKDAY($A5)+$T$2)&lt;7)),"work",(INDEX(Subject!$A:$I,MATCH(RANDBETWEEN(1,(MAX(Subject!$B:$B))),Subject!$B:$B,0),3))))</f>
        <v/>
      </c>
      <c r="O5" s="2" t="str">
        <f t="array" ref="O5">IF(NOW()&gt;AZ5,"",IF(AND((WEEKDAY($A5)+$B$2)&gt;1,((WEEKDAY($A5)+$T$2)&lt;7)),"work",(INDEX(Subject!$A:$I,MATCH(RANDBETWEEN(1,(MAX(Subject!$B:$B))),Subject!$B:$B,0),3))))</f>
        <v/>
      </c>
      <c r="P5" s="2" t="str">
        <f t="array" ref="P5">IF(NOW()&gt;BA5,"",IF(AND((WEEKDAY($A5)+$B$2)&gt;1,((WEEKDAY($A5)+$T$2)&lt;7)),"work",(INDEX(Subject!$A:$I,MATCH(RANDBETWEEN(1,(MAX(Subject!$B:$B))),Subject!$B:$B,0),3))))</f>
        <v/>
      </c>
      <c r="Q5" s="2" t="str">
        <f t="array" ref="Q5">IF(NOW()&gt;BB5,"",IF(AND((WEEKDAY($A5)+$B$2)&gt;1,((WEEKDAY($A5)+$T$2)&lt;7)),"work",(INDEX(Subject!$A:$I,MATCH(RANDBETWEEN(1,(MAX(Subject!$B:$B))),Subject!$B:$B,0),3))))</f>
        <v/>
      </c>
      <c r="R5" s="2" t="str">
        <f t="array" ref="R5">IF(NOW()&gt;BC5,"",IF(AND((WEEKDAY($A5)+$B$2)&gt;1,((WEEKDAY($A5)+$T$2)&lt;7)),"work",(INDEX(Subject!$A:$I,MATCH(RANDBETWEEN(1,(MAX(Subject!$B:$B))),Subject!$B:$B,0),3))))</f>
        <v/>
      </c>
      <c r="S5" s="2" t="str">
        <f t="array" ref="S5">IF(NOW()&gt;BD5,"",IF(AND((WEEKDAY($A5)+$B$2)&gt;1,((WEEKDAY($A5)+$T$2)&lt;7)),"work",(INDEX(Subject!$A:$I,MATCH(RANDBETWEEN(1,(MAX(Subject!$B:$B))),Subject!$B:$B,0),3))))</f>
        <v/>
      </c>
      <c r="T5" s="2" t="str">
        <f t="array" ref="T5">IF(NOW()&gt;BE5,"",IF(AND((WEEKDAY($A5)+$B$2)&gt;1,((WEEKDAY($A5)+$T$2)&lt;7)),"work",(INDEX(Subject!$A:$I,MATCH(RANDBETWEEN(1,(MAX(Subject!$B:$B))),Subject!$B:$B,0),3))))</f>
        <v/>
      </c>
      <c r="U5" s="8" t="str">
        <f t="array" ref="U5">INDEX(Subject!$A:$I,MATCH(RANDBETWEEN(1,16),Subject!$B:$B,0),3)</f>
        <v/>
      </c>
      <c r="V5" s="8" t="str">
        <f t="array" ref="V5">INDEX(Subject!$A:$I,MATCH(RANDBETWEEN(1,16),Subject!$B:$B,0),3)</f>
        <v>#N/A</v>
      </c>
      <c r="W5" s="8" t="str">
        <f t="array" ref="W5">INDEX(Subject!$A:$I,MATCH(RANDBETWEEN(1,16),Subject!$B:$B,0),3)</f>
        <v/>
      </c>
      <c r="X5" s="8" t="str">
        <f t="array" ref="X5">INDEX(Subject!$A:$I,MATCH(RANDBETWEEN(1,16),Subject!$B:$B,0),3)</f>
        <v>#N/A</v>
      </c>
      <c r="Y5" s="8" t="str">
        <f t="array" ref="Y5">INDEX(Subject!$A:$I,MATCH(RANDBETWEEN(1,16),Subject!$B:$B,0),3)</f>
        <v>#N/A</v>
      </c>
      <c r="Z5" s="8" t="str">
        <f t="array" ref="Z5">INDEX(Subject!$A:$I,MATCH(RANDBETWEEN(1,16),Subject!$B:$B,0),3)</f>
        <v>#N/A</v>
      </c>
      <c r="AA5" s="8" t="str">
        <f t="array" ref="AA5">INDEX(Subject!$A:$I,MATCH(RANDBETWEEN(1,16),Subject!$B:$B,0),3)</f>
        <v>#N/A</v>
      </c>
      <c r="AB5" s="8" t="str">
        <f t="array" ref="AB5">INDEX(Subject!$A:$I,MATCH(RANDBETWEEN(1,16),Subject!$B:$B,0),3)</f>
        <v>#N/A</v>
      </c>
      <c r="AC5" s="8" t="str">
        <f t="array" ref="AC5">INDEX(Subject!$A:$I,MATCH(RANDBETWEEN(1,16),Subject!$B:$B,0),3)</f>
        <v>#N/A</v>
      </c>
      <c r="AD5" s="8" t="str">
        <f t="array" ref="AD5">INDEX(Subject!$A:$I,MATCH(RANDBETWEEN(1,16),Subject!$B:$B,0),3)</f>
        <v>#N/A</v>
      </c>
      <c r="AE5" s="8" t="str">
        <f t="array" ref="AE5">INDEX(Subject!$A:$I,MATCH(RANDBETWEEN(1,16),Subject!$B:$B,0),3)</f>
        <v/>
      </c>
      <c r="AF5" s="8" t="str">
        <f t="array" ref="AF5">INDEX(Subject!$A:$I,MATCH(RANDBETWEEN(1,16),Subject!$B:$B,0),3)</f>
        <v>#N/A</v>
      </c>
      <c r="AG5" s="8" t="str">
        <f t="array" ref="AG5">INDEX(Subject!$A:$I,MATCH(RANDBETWEEN(1,16),Subject!$B:$B,0),3)</f>
        <v>#N/A</v>
      </c>
      <c r="AH5" s="8" t="str">
        <f t="array" ref="AH5">INDEX(Subject!$A:$I,MATCH(RANDBETWEEN(1,16),Subject!$B:$B,0),3)</f>
        <v>#N/A</v>
      </c>
      <c r="AI5" s="8" t="str">
        <f t="array" ref="AI5">INDEX(Subject!$A:$I,MATCH(RANDBETWEEN(1,16),Subject!$B:$B,0),3)</f>
        <v>#N/A</v>
      </c>
      <c r="AJ5" s="8" t="str">
        <f t="array" ref="AJ5">INDEX(Subject!$A:$I,MATCH(RANDBETWEEN(1,16),Subject!$B:$B,0),3)</f>
        <v>#N/A</v>
      </c>
      <c r="AK5" s="8" t="str">
        <f t="array" ref="AK5">INDEX(Subject!$A:$I,MATCH(RANDBETWEEN(1,16),Subject!$B:$B,0),3)</f>
        <v>#N/A</v>
      </c>
      <c r="AL5" s="8" t="str">
        <f t="array" ref="AL5">INDEX(Subject!$A:$I,MATCH(RANDBETWEEN(1,16),Subject!$B:$B,0),3)</f>
        <v>#N/A</v>
      </c>
      <c r="AM5" s="18">
        <f t="shared" si="4"/>
        <v>45505.33333</v>
      </c>
      <c r="AN5" s="19">
        <f t="shared" ref="AN5:BZ5" si="5">$A5+C$1</f>
        <v>45505.35417</v>
      </c>
      <c r="AO5" s="19">
        <f t="shared" si="5"/>
        <v>45505.375</v>
      </c>
      <c r="AP5" s="19">
        <f t="shared" si="5"/>
        <v>45505.39583</v>
      </c>
      <c r="AQ5" s="19">
        <f t="shared" si="5"/>
        <v>45505.41667</v>
      </c>
      <c r="AR5" s="19">
        <f t="shared" si="5"/>
        <v>45505.4375</v>
      </c>
      <c r="AS5" s="19">
        <f t="shared" si="5"/>
        <v>45505.45833</v>
      </c>
      <c r="AT5" s="19">
        <f t="shared" si="5"/>
        <v>45505.47917</v>
      </c>
      <c r="AU5" s="19">
        <f t="shared" si="5"/>
        <v>45505.5</v>
      </c>
      <c r="AV5" s="19">
        <f t="shared" si="5"/>
        <v>45505.52083</v>
      </c>
      <c r="AW5" s="19">
        <f t="shared" si="5"/>
        <v>45505.54167</v>
      </c>
      <c r="AX5" s="19">
        <f t="shared" si="5"/>
        <v>45505.5625</v>
      </c>
      <c r="AY5" s="19">
        <f t="shared" si="5"/>
        <v>45505.58333</v>
      </c>
      <c r="AZ5" s="19">
        <f t="shared" si="5"/>
        <v>45505.60417</v>
      </c>
      <c r="BA5" s="19">
        <f t="shared" si="5"/>
        <v>45505.625</v>
      </c>
      <c r="BB5" s="19">
        <f t="shared" si="5"/>
        <v>45505.64583</v>
      </c>
      <c r="BC5" s="19">
        <f t="shared" si="5"/>
        <v>45505.66667</v>
      </c>
      <c r="BD5" s="19">
        <f t="shared" si="5"/>
        <v>45505.6875</v>
      </c>
      <c r="BE5" s="19">
        <f t="shared" si="5"/>
        <v>45505.70833</v>
      </c>
      <c r="BF5" s="19">
        <f t="shared" si="5"/>
        <v>45505.72917</v>
      </c>
      <c r="BG5" s="19">
        <f t="shared" si="5"/>
        <v>45505.75</v>
      </c>
      <c r="BH5" s="19">
        <f t="shared" si="5"/>
        <v>45505.77083</v>
      </c>
      <c r="BI5" s="19">
        <f t="shared" si="5"/>
        <v>45505.79167</v>
      </c>
      <c r="BJ5" s="19">
        <f t="shared" si="5"/>
        <v>45505.8125</v>
      </c>
      <c r="BK5" s="19">
        <f t="shared" si="5"/>
        <v>45505.83333</v>
      </c>
      <c r="BL5" s="19">
        <f t="shared" si="5"/>
        <v>45505.85417</v>
      </c>
      <c r="BM5" s="19">
        <f t="shared" si="5"/>
        <v>45505.875</v>
      </c>
      <c r="BN5" s="19">
        <f t="shared" si="5"/>
        <v>45505.89583</v>
      </c>
      <c r="BO5" s="19">
        <f t="shared" si="5"/>
        <v>45505.91667</v>
      </c>
      <c r="BP5" s="19">
        <f t="shared" si="5"/>
        <v>45505.9375</v>
      </c>
      <c r="BQ5" s="19">
        <f t="shared" si="5"/>
        <v>45505.95833</v>
      </c>
      <c r="BR5" s="19">
        <f t="shared" si="5"/>
        <v>45505.97917</v>
      </c>
      <c r="BS5" s="19">
        <f t="shared" si="5"/>
        <v>45506</v>
      </c>
      <c r="BT5" s="19">
        <f t="shared" si="5"/>
        <v>45506.02083</v>
      </c>
      <c r="BU5" s="19">
        <f t="shared" si="5"/>
        <v>45506.04167</v>
      </c>
      <c r="BV5" s="19">
        <f t="shared" si="5"/>
        <v>45506.0625</v>
      </c>
      <c r="BW5" s="19">
        <f t="shared" si="5"/>
        <v>45506.08333</v>
      </c>
      <c r="BX5" s="19">
        <f t="shared" si="5"/>
        <v>45505</v>
      </c>
      <c r="BY5" s="19">
        <f t="shared" si="5"/>
        <v>45505</v>
      </c>
      <c r="BZ5" s="19">
        <f t="shared" si="5"/>
        <v>45505</v>
      </c>
    </row>
    <row r="6" ht="14.25" customHeight="1">
      <c r="A6" s="17">
        <v>45506.0</v>
      </c>
      <c r="B6" s="2" t="str">
        <f t="array" ref="B6">IF(NOW()&gt;AM6,"",IF(AND((WEEKDAY($A6)+$B$2)&gt;1,((WEEKDAY($A6)+$T$2)&lt;7)),"work",(INDEX(Subject!$A:$I,MATCH(RANDBETWEEN(1,(MAX(Subject!$B:$B))),Subject!$B:$B,0),3))))</f>
        <v/>
      </c>
      <c r="C6" s="2" t="str">
        <f t="array" ref="C6">IF(NOW()&gt;AN6,"",IF(AND((WEEKDAY($A6)+$B$2)&gt;1,((WEEKDAY($A6)+$T$2)&lt;7)),"work",(INDEX(Subject!$A:$I,MATCH(RANDBETWEEN(1,(MAX(Subject!$B:$B))),Subject!$B:$B,0),3))))</f>
        <v/>
      </c>
      <c r="D6" s="2" t="str">
        <f t="array" ref="D6">IF(NOW()&gt;AO6,"",IF(AND((WEEKDAY($A6)+$B$2)&gt;1,((WEEKDAY($A6)+$T$2)&lt;7)),"work",(INDEX(Subject!$A:$I,MATCH(RANDBETWEEN(1,(MAX(Subject!$B:$B))),Subject!$B:$B,0),3))))</f>
        <v/>
      </c>
      <c r="E6" s="2" t="str">
        <f t="array" ref="E6">IF(NOW()&gt;AP6,"",IF(AND((WEEKDAY($A6)+$B$2)&gt;1,((WEEKDAY($A6)+$T$2)&lt;7)),"work",(INDEX(Subject!$A:$I,MATCH(RANDBETWEEN(1,(MAX(Subject!$B:$B))),Subject!$B:$B,0),3))))</f>
        <v/>
      </c>
      <c r="F6" s="2" t="str">
        <f t="array" ref="F6">IF(NOW()&gt;AQ6,"",IF(AND((WEEKDAY($A6)+$B$2)&gt;1,((WEEKDAY($A6)+$T$2)&lt;7)),"work",(INDEX(Subject!$A:$I,MATCH(RANDBETWEEN(1,(MAX(Subject!$B:$B))),Subject!$B:$B,0),3))))</f>
        <v/>
      </c>
      <c r="G6" s="2" t="str">
        <f t="array" ref="G6">IF(NOW()&gt;AR6,"",IF(AND((WEEKDAY($A6)+$B$2)&gt;1,((WEEKDAY($A6)+$T$2)&lt;7)),"work",(INDEX(Subject!$A:$I,MATCH(RANDBETWEEN(1,(MAX(Subject!$B:$B))),Subject!$B:$B,0),3))))</f>
        <v/>
      </c>
      <c r="H6" s="2" t="str">
        <f t="array" ref="H6">IF(NOW()&gt;AS6,"",IF(AND((WEEKDAY($A6)+$B$2)&gt;1,((WEEKDAY($A6)+$T$2)&lt;7)),"work",(INDEX(Subject!$A:$I,MATCH(RANDBETWEEN(1,(MAX(Subject!$B:$B))),Subject!$B:$B,0),3))))</f>
        <v/>
      </c>
      <c r="I6" s="2" t="str">
        <f t="array" ref="I6">IF(NOW()&gt;AT6,"",IF(AND((WEEKDAY($A6)+$B$2)&gt;1,((WEEKDAY($A6)+$T$2)&lt;7)),"work",(INDEX(Subject!$A:$I,MATCH(RANDBETWEEN(1,(MAX(Subject!$B:$B))),Subject!$B:$B,0),3))))</f>
        <v/>
      </c>
      <c r="J6" s="2" t="str">
        <f t="array" ref="J6">IF(NOW()&gt;AU6,"",IF(AND((WEEKDAY($A6)+$B$2)&gt;1,((WEEKDAY($A6)+$T$2)&lt;7)),"work",(INDEX(Subject!$A:$I,MATCH(RANDBETWEEN(1,(MAX(Subject!$B:$B))),Subject!$B:$B,0),3))))</f>
        <v/>
      </c>
      <c r="K6" s="2" t="str">
        <f t="array" ref="K6">IF(NOW()&gt;AV6,"",IF(AND((WEEKDAY($A6)+$B$2)&gt;1,((WEEKDAY($A6)+$T$2)&lt;7)),"work",(INDEX(Subject!$A:$I,MATCH(RANDBETWEEN(1,(MAX(Subject!$B:$B))),Subject!$B:$B,0),3))))</f>
        <v/>
      </c>
      <c r="L6" s="2" t="str">
        <f t="array" ref="L6">IF(NOW()&gt;AW6,"",IF(AND((WEEKDAY($A6)+$B$2)&gt;1,((WEEKDAY($A6)+$T$2)&lt;7)),"work",(INDEX(Subject!$A:$I,MATCH(RANDBETWEEN(1,(MAX(Subject!$B:$B))),Subject!$B:$B,0),3))))</f>
        <v/>
      </c>
      <c r="M6" s="2" t="str">
        <f t="array" ref="M6">IF(NOW()&gt;AX6,"",IF(AND((WEEKDAY($A6)+$B$2)&gt;1,((WEEKDAY($A6)+$T$2)&lt;7)),"work",(INDEX(Subject!$A:$I,MATCH(RANDBETWEEN(1,(MAX(Subject!$B:$B))),Subject!$B:$B,0),3))))</f>
        <v/>
      </c>
      <c r="N6" s="2" t="str">
        <f t="array" ref="N6">IF(NOW()&gt;AY6,"",IF(AND((WEEKDAY($A6)+$B$2)&gt;1,((WEEKDAY($A6)+$T$2)&lt;7)),"work",(INDEX(Subject!$A:$I,MATCH(RANDBETWEEN(1,(MAX(Subject!$B:$B))),Subject!$B:$B,0),3))))</f>
        <v/>
      </c>
      <c r="O6" s="2" t="str">
        <f t="array" ref="O6">IF(NOW()&gt;AZ6,"",IF(AND((WEEKDAY($A6)+$B$2)&gt;1,((WEEKDAY($A6)+$T$2)&lt;7)),"work",(INDEX(Subject!$A:$I,MATCH(RANDBETWEEN(1,(MAX(Subject!$B:$B))),Subject!$B:$B,0),3))))</f>
        <v/>
      </c>
      <c r="P6" s="2" t="str">
        <f t="array" ref="P6">IF(NOW()&gt;BA6,"",IF(AND((WEEKDAY($A6)+$B$2)&gt;1,((WEEKDAY($A6)+$T$2)&lt;7)),"work",(INDEX(Subject!$A:$I,MATCH(RANDBETWEEN(1,(MAX(Subject!$B:$B))),Subject!$B:$B,0),3))))</f>
        <v/>
      </c>
      <c r="Q6" s="2" t="str">
        <f t="array" ref="Q6">IF(NOW()&gt;BB6,"",IF(AND((WEEKDAY($A6)+$B$2)&gt;1,((WEEKDAY($A6)+$T$2)&lt;7)),"work",(INDEX(Subject!$A:$I,MATCH(RANDBETWEEN(1,(MAX(Subject!$B:$B))),Subject!$B:$B,0),3))))</f>
        <v/>
      </c>
      <c r="R6" s="2" t="str">
        <f t="array" ref="R6">IF(NOW()&gt;BC6,"",IF(AND((WEEKDAY($A6)+$B$2)&gt;1,((WEEKDAY($A6)+$T$2)&lt;7)),"work",(INDEX(Subject!$A:$I,MATCH(RANDBETWEEN(1,(MAX(Subject!$B:$B))),Subject!$B:$B,0),3))))</f>
        <v/>
      </c>
      <c r="S6" s="2" t="str">
        <f t="array" ref="S6">IF(NOW()&gt;BD6,"",IF(AND((WEEKDAY($A6)+$B$2)&gt;1,((WEEKDAY($A6)+$T$2)&lt;7)),"work",(INDEX(Subject!$A:$I,MATCH(RANDBETWEEN(1,(MAX(Subject!$B:$B))),Subject!$B:$B,0),3))))</f>
        <v/>
      </c>
      <c r="T6" s="2" t="str">
        <f t="array" ref="T6">IF(NOW()&gt;BE6,"",IF(AND((WEEKDAY($A6)+$B$2)&gt;1,((WEEKDAY($A6)+$T$2)&lt;7)),"work",(INDEX(Subject!$A:$I,MATCH(RANDBETWEEN(1,(MAX(Subject!$B:$B))),Subject!$B:$B,0),3))))</f>
        <v/>
      </c>
      <c r="U6" s="8" t="str">
        <f t="array" ref="U6">INDEX(Subject!$A:$I,MATCH(RANDBETWEEN(1,16),Subject!$B:$B,0),3)</f>
        <v>#N/A</v>
      </c>
      <c r="V6" s="8" t="str">
        <f t="array" ref="V6">INDEX(Subject!$A:$I,MATCH(RANDBETWEEN(1,16),Subject!$B:$B,0),3)</f>
        <v>#N/A</v>
      </c>
      <c r="W6" s="8" t="str">
        <f t="array" ref="W6">INDEX(Subject!$A:$I,MATCH(RANDBETWEEN(1,16),Subject!$B:$B,0),3)</f>
        <v>#N/A</v>
      </c>
      <c r="X6" s="8" t="str">
        <f t="array" ref="X6">INDEX(Subject!$A:$I,MATCH(RANDBETWEEN(1,16),Subject!$B:$B,0),3)</f>
        <v>#N/A</v>
      </c>
      <c r="Y6" s="8" t="str">
        <f t="array" ref="Y6">INDEX(Subject!$A:$I,MATCH(RANDBETWEEN(1,16),Subject!$B:$B,0),3)</f>
        <v>#N/A</v>
      </c>
      <c r="Z6" s="8" t="str">
        <f t="array" ref="Z6">INDEX(Subject!$A:$I,MATCH(RANDBETWEEN(1,16),Subject!$B:$B,0),3)</f>
        <v>#N/A</v>
      </c>
      <c r="AA6" s="8" t="str">
        <f t="array" ref="AA6">INDEX(Subject!$A:$I,MATCH(RANDBETWEEN(1,16),Subject!$B:$B,0),3)</f>
        <v>#N/A</v>
      </c>
      <c r="AB6" s="8" t="str">
        <f t="array" ref="AB6">INDEX(Subject!$A:$I,MATCH(RANDBETWEEN(1,16),Subject!$B:$B,0),3)</f>
        <v>#N/A</v>
      </c>
      <c r="AC6" s="8" t="str">
        <f t="array" ref="AC6">INDEX(Subject!$A:$I,MATCH(RANDBETWEEN(1,16),Subject!$B:$B,0),3)</f>
        <v>#N/A</v>
      </c>
      <c r="AD6" s="8" t="str">
        <f t="array" ref="AD6">INDEX(Subject!$A:$I,MATCH(RANDBETWEEN(1,16),Subject!$B:$B,0),3)</f>
        <v>#N/A</v>
      </c>
      <c r="AE6" s="8" t="str">
        <f t="array" ref="AE6">INDEX(Subject!$A:$I,MATCH(RANDBETWEEN(1,16),Subject!$B:$B,0),3)</f>
        <v>#N/A</v>
      </c>
      <c r="AF6" s="8" t="str">
        <f t="array" ref="AF6">INDEX(Subject!$A:$I,MATCH(RANDBETWEEN(1,16),Subject!$B:$B,0),3)</f>
        <v>#N/A</v>
      </c>
      <c r="AG6" s="8" t="str">
        <f t="array" ref="AG6">INDEX(Subject!$A:$I,MATCH(RANDBETWEEN(1,16),Subject!$B:$B,0),3)</f>
        <v>#N/A</v>
      </c>
      <c r="AH6" s="8" t="str">
        <f t="array" ref="AH6">INDEX(Subject!$A:$I,MATCH(RANDBETWEEN(1,16),Subject!$B:$B,0),3)</f>
        <v>#N/A</v>
      </c>
      <c r="AI6" s="8" t="str">
        <f t="array" ref="AI6">INDEX(Subject!$A:$I,MATCH(RANDBETWEEN(1,16),Subject!$B:$B,0),3)</f>
        <v>#N/A</v>
      </c>
      <c r="AJ6" s="8" t="str">
        <f t="array" ref="AJ6">INDEX(Subject!$A:$I,MATCH(RANDBETWEEN(1,16),Subject!$B:$B,0),3)</f>
        <v>#N/A</v>
      </c>
      <c r="AK6" s="8" t="str">
        <f t="array" ref="AK6">INDEX(Subject!$A:$I,MATCH(RANDBETWEEN(1,16),Subject!$B:$B,0),3)</f>
        <v>#N/A</v>
      </c>
      <c r="AL6" s="8" t="str">
        <f t="array" ref="AL6">INDEX(Subject!$A:$I,MATCH(RANDBETWEEN(1,16),Subject!$B:$B,0),3)</f>
        <v>#N/A</v>
      </c>
      <c r="AM6" s="18">
        <f t="shared" si="4"/>
        <v>45506.33333</v>
      </c>
      <c r="AN6" s="19">
        <f t="shared" ref="AN6:BZ6" si="6">$A6+C$1</f>
        <v>45506.35417</v>
      </c>
      <c r="AO6" s="19">
        <f t="shared" si="6"/>
        <v>45506.375</v>
      </c>
      <c r="AP6" s="19">
        <f t="shared" si="6"/>
        <v>45506.39583</v>
      </c>
      <c r="AQ6" s="19">
        <f t="shared" si="6"/>
        <v>45506.41667</v>
      </c>
      <c r="AR6" s="19">
        <f t="shared" si="6"/>
        <v>45506.4375</v>
      </c>
      <c r="AS6" s="19">
        <f t="shared" si="6"/>
        <v>45506.45833</v>
      </c>
      <c r="AT6" s="19">
        <f t="shared" si="6"/>
        <v>45506.47917</v>
      </c>
      <c r="AU6" s="19">
        <f t="shared" si="6"/>
        <v>45506.5</v>
      </c>
      <c r="AV6" s="19">
        <f t="shared" si="6"/>
        <v>45506.52083</v>
      </c>
      <c r="AW6" s="19">
        <f t="shared" si="6"/>
        <v>45506.54167</v>
      </c>
      <c r="AX6" s="19">
        <f t="shared" si="6"/>
        <v>45506.5625</v>
      </c>
      <c r="AY6" s="19">
        <f t="shared" si="6"/>
        <v>45506.58333</v>
      </c>
      <c r="AZ6" s="19">
        <f t="shared" si="6"/>
        <v>45506.60417</v>
      </c>
      <c r="BA6" s="19">
        <f t="shared" si="6"/>
        <v>45506.625</v>
      </c>
      <c r="BB6" s="19">
        <f t="shared" si="6"/>
        <v>45506.64583</v>
      </c>
      <c r="BC6" s="19">
        <f t="shared" si="6"/>
        <v>45506.66667</v>
      </c>
      <c r="BD6" s="19">
        <f t="shared" si="6"/>
        <v>45506.6875</v>
      </c>
      <c r="BE6" s="19">
        <f t="shared" si="6"/>
        <v>45506.70833</v>
      </c>
      <c r="BF6" s="19">
        <f t="shared" si="6"/>
        <v>45506.72917</v>
      </c>
      <c r="BG6" s="19">
        <f t="shared" si="6"/>
        <v>45506.75</v>
      </c>
      <c r="BH6" s="19">
        <f t="shared" si="6"/>
        <v>45506.77083</v>
      </c>
      <c r="BI6" s="19">
        <f t="shared" si="6"/>
        <v>45506.79167</v>
      </c>
      <c r="BJ6" s="19">
        <f t="shared" si="6"/>
        <v>45506.8125</v>
      </c>
      <c r="BK6" s="19">
        <f t="shared" si="6"/>
        <v>45506.83333</v>
      </c>
      <c r="BL6" s="19">
        <f t="shared" si="6"/>
        <v>45506.85417</v>
      </c>
      <c r="BM6" s="19">
        <f t="shared" si="6"/>
        <v>45506.875</v>
      </c>
      <c r="BN6" s="19">
        <f t="shared" si="6"/>
        <v>45506.89583</v>
      </c>
      <c r="BO6" s="19">
        <f t="shared" si="6"/>
        <v>45506.91667</v>
      </c>
      <c r="BP6" s="19">
        <f t="shared" si="6"/>
        <v>45506.9375</v>
      </c>
      <c r="BQ6" s="19">
        <f t="shared" si="6"/>
        <v>45506.95833</v>
      </c>
      <c r="BR6" s="19">
        <f t="shared" si="6"/>
        <v>45506.97917</v>
      </c>
      <c r="BS6" s="19">
        <f t="shared" si="6"/>
        <v>45507</v>
      </c>
      <c r="BT6" s="19">
        <f t="shared" si="6"/>
        <v>45507.02083</v>
      </c>
      <c r="BU6" s="19">
        <f t="shared" si="6"/>
        <v>45507.04167</v>
      </c>
      <c r="BV6" s="19">
        <f t="shared" si="6"/>
        <v>45507.0625</v>
      </c>
      <c r="BW6" s="19">
        <f t="shared" si="6"/>
        <v>45507.08333</v>
      </c>
      <c r="BX6" s="19">
        <f t="shared" si="6"/>
        <v>45506</v>
      </c>
      <c r="BY6" s="19">
        <f t="shared" si="6"/>
        <v>45506</v>
      </c>
      <c r="BZ6" s="19">
        <f t="shared" si="6"/>
        <v>45506</v>
      </c>
    </row>
    <row r="7" ht="14.25" customHeight="1">
      <c r="A7" s="17">
        <v>45507.0</v>
      </c>
      <c r="B7" s="2" t="str">
        <f t="array" ref="B7">IF(NOW()&gt;AM7,"",IF(AND((WEEKDAY($A7)+$B$2)&gt;1,((WEEKDAY($A7)+$T$2)&lt;7)),"work",(INDEX(Subject!$A:$I,MATCH(RANDBETWEEN(1,(MAX(Subject!$B:$B))),Subject!$B:$B,0),3))))</f>
        <v/>
      </c>
      <c r="C7" s="2" t="str">
        <f t="array" ref="C7">IF(NOW()&gt;AN7,"",IF(AND((WEEKDAY($A7)+$B$2)&gt;1,((WEEKDAY($A7)+$T$2)&lt;7)),"work",(INDEX(Subject!$A:$I,MATCH(RANDBETWEEN(1,(MAX(Subject!$B:$B))),Subject!$B:$B,0),3))))</f>
        <v/>
      </c>
      <c r="D7" s="2" t="str">
        <f t="array" ref="D7">IF(NOW()&gt;AO7,"",IF(AND((WEEKDAY($A7)+$B$2)&gt;1,((WEEKDAY($A7)+$T$2)&lt;7)),"work",(INDEX(Subject!$A:$I,MATCH(RANDBETWEEN(1,(MAX(Subject!$B:$B))),Subject!$B:$B,0),3))))</f>
        <v/>
      </c>
      <c r="E7" s="2" t="str">
        <f t="array" ref="E7">IF(NOW()&gt;AP7,"",IF(AND((WEEKDAY($A7)+$B$2)&gt;1,((WEEKDAY($A7)+$T$2)&lt;7)),"work",(INDEX(Subject!$A:$I,MATCH(RANDBETWEEN(1,(MAX(Subject!$B:$B))),Subject!$B:$B,0),3))))</f>
        <v/>
      </c>
      <c r="F7" s="2" t="str">
        <f t="array" ref="F7">IF(NOW()&gt;AQ7,"",IF(AND((WEEKDAY($A7)+$B$2)&gt;1,((WEEKDAY($A7)+$T$2)&lt;7)),"work",(INDEX(Subject!$A:$I,MATCH(RANDBETWEEN(1,(MAX(Subject!$B:$B))),Subject!$B:$B,0),3))))</f>
        <v/>
      </c>
      <c r="G7" s="2" t="str">
        <f t="array" ref="G7">IF(NOW()&gt;AR7,"",IF(AND((WEEKDAY($A7)+$B$2)&gt;1,((WEEKDAY($A7)+$T$2)&lt;7)),"work",(INDEX(Subject!$A:$I,MATCH(RANDBETWEEN(1,(MAX(Subject!$B:$B))),Subject!$B:$B,0),3))))</f>
        <v/>
      </c>
      <c r="H7" s="2" t="str">
        <f t="array" ref="H7">IF(NOW()&gt;AS7,"",IF(AND((WEEKDAY($A7)+$B$2)&gt;1,((WEEKDAY($A7)+$T$2)&lt;7)),"work",(INDEX(Subject!$A:$I,MATCH(RANDBETWEEN(1,(MAX(Subject!$B:$B))),Subject!$B:$B,0),3))))</f>
        <v/>
      </c>
      <c r="I7" s="2" t="str">
        <f t="array" ref="I7">IF(NOW()&gt;AT7,"",IF(AND((WEEKDAY($A7)+$B$2)&gt;1,((WEEKDAY($A7)+$T$2)&lt;7)),"work",(INDEX(Subject!$A:$I,MATCH(RANDBETWEEN(1,(MAX(Subject!$B:$B))),Subject!$B:$B,0),3))))</f>
        <v/>
      </c>
      <c r="J7" s="2" t="str">
        <f t="array" ref="J7">IF(NOW()&gt;AU7,"",IF(AND((WEEKDAY($A7)+$B$2)&gt;1,((WEEKDAY($A7)+$T$2)&lt;7)),"work",(INDEX(Subject!$A:$I,MATCH(RANDBETWEEN(1,(MAX(Subject!$B:$B))),Subject!$B:$B,0),3))))</f>
        <v/>
      </c>
      <c r="K7" s="2" t="str">
        <f t="array" ref="K7">IF(NOW()&gt;AV7,"",IF(AND((WEEKDAY($A7)+$B$2)&gt;1,((WEEKDAY($A7)+$T$2)&lt;7)),"work",(INDEX(Subject!$A:$I,MATCH(RANDBETWEEN(1,(MAX(Subject!$B:$B))),Subject!$B:$B,0),3))))</f>
        <v/>
      </c>
      <c r="L7" s="2" t="str">
        <f t="array" ref="L7">IF(NOW()&gt;AW7,"",IF(AND((WEEKDAY($A7)+$B$2)&gt;1,((WEEKDAY($A7)+$T$2)&lt;7)),"work",(INDEX(Subject!$A:$I,MATCH(RANDBETWEEN(1,(MAX(Subject!$B:$B))),Subject!$B:$B,0),3))))</f>
        <v/>
      </c>
      <c r="M7" s="2" t="str">
        <f t="array" ref="M7">IF(NOW()&gt;AX7,"",IF(AND((WEEKDAY($A7)+$B$2)&gt;1,((WEEKDAY($A7)+$T$2)&lt;7)),"work",(INDEX(Subject!$A:$I,MATCH(RANDBETWEEN(1,(MAX(Subject!$B:$B))),Subject!$B:$B,0),3))))</f>
        <v/>
      </c>
      <c r="N7" s="2" t="str">
        <f t="array" ref="N7">IF(NOW()&gt;AY7,"",IF(AND((WEEKDAY($A7)+$B$2)&gt;1,((WEEKDAY($A7)+$T$2)&lt;7)),"work",(INDEX(Subject!$A:$I,MATCH(RANDBETWEEN(1,(MAX(Subject!$B:$B))),Subject!$B:$B,0),3))))</f>
        <v/>
      </c>
      <c r="O7" s="2" t="str">
        <f t="array" ref="O7">IF(NOW()&gt;AZ7,"",IF(AND((WEEKDAY($A7)+$B$2)&gt;1,((WEEKDAY($A7)+$T$2)&lt;7)),"work",(INDEX(Subject!$A:$I,MATCH(RANDBETWEEN(1,(MAX(Subject!$B:$B))),Subject!$B:$B,0),3))))</f>
        <v/>
      </c>
      <c r="P7" s="2" t="str">
        <f t="array" ref="P7">IF(NOW()&gt;BA7,"",IF(AND((WEEKDAY($A7)+$B$2)&gt;1,((WEEKDAY($A7)+$T$2)&lt;7)),"work",(INDEX(Subject!$A:$I,MATCH(RANDBETWEEN(1,(MAX(Subject!$B:$B))),Subject!$B:$B,0),3))))</f>
        <v/>
      </c>
      <c r="Q7" s="2" t="str">
        <f t="array" ref="Q7">IF(NOW()&gt;BB7,"",IF(AND((WEEKDAY($A7)+$B$2)&gt;1,((WEEKDAY($A7)+$T$2)&lt;7)),"work",(INDEX(Subject!$A:$I,MATCH(RANDBETWEEN(1,(MAX(Subject!$B:$B))),Subject!$B:$B,0),3))))</f>
        <v/>
      </c>
      <c r="R7" s="2" t="str">
        <f t="array" ref="R7">IF(NOW()&gt;BC7,"",IF(AND((WEEKDAY($A7)+$B$2)&gt;1,((WEEKDAY($A7)+$T$2)&lt;7)),"work",(INDEX(Subject!$A:$I,MATCH(RANDBETWEEN(1,(MAX(Subject!$B:$B))),Subject!$B:$B,0),3))))</f>
        <v/>
      </c>
      <c r="S7" s="2" t="str">
        <f t="array" ref="S7">IF(NOW()&gt;BD7,"",IF(AND((WEEKDAY($A7)+$B$2)&gt;1,((WEEKDAY($A7)+$T$2)&lt;7)),"work",(INDEX(Subject!$A:$I,MATCH(RANDBETWEEN(1,(MAX(Subject!$B:$B))),Subject!$B:$B,0),3))))</f>
        <v/>
      </c>
      <c r="T7" s="2" t="str">
        <f t="array" ref="T7">IF(NOW()&gt;BE7,"",IF(AND((WEEKDAY($A7)+$B$2)&gt;1,((WEEKDAY($A7)+$T$2)&lt;7)),"work",(INDEX(Subject!$A:$I,MATCH(RANDBETWEEN(1,(MAX(Subject!$B:$B))),Subject!$B:$B,0),3))))</f>
        <v/>
      </c>
      <c r="U7" s="8" t="str">
        <f t="array" ref="U7">INDEX(Subject!$A:$I,MATCH(RANDBETWEEN(1,16),Subject!$B:$B,0),3)</f>
        <v>#N/A</v>
      </c>
      <c r="V7" s="8" t="str">
        <f t="array" ref="V7">INDEX(Subject!$A:$I,MATCH(RANDBETWEEN(1,16),Subject!$B:$B,0),3)</f>
        <v>#N/A</v>
      </c>
      <c r="W7" s="8" t="str">
        <f t="array" ref="W7">INDEX(Subject!$A:$I,MATCH(RANDBETWEEN(1,16),Subject!$B:$B,0),3)</f>
        <v>#N/A</v>
      </c>
      <c r="X7" s="8" t="str">
        <f t="array" ref="X7">INDEX(Subject!$A:$I,MATCH(RANDBETWEEN(1,16),Subject!$B:$B,0),3)</f>
        <v>#N/A</v>
      </c>
      <c r="Y7" s="8" t="str">
        <f t="array" ref="Y7">INDEX(Subject!$A:$I,MATCH(RANDBETWEEN(1,16),Subject!$B:$B,0),3)</f>
        <v>#N/A</v>
      </c>
      <c r="Z7" s="8" t="str">
        <f t="array" ref="Z7">INDEX(Subject!$A:$I,MATCH(RANDBETWEEN(1,16),Subject!$B:$B,0),3)</f>
        <v>#N/A</v>
      </c>
      <c r="AA7" s="8" t="str">
        <f t="array" ref="AA7">INDEX(Subject!$A:$I,MATCH(RANDBETWEEN(1,16),Subject!$B:$B,0),3)</f>
        <v>#N/A</v>
      </c>
      <c r="AB7" s="8" t="str">
        <f t="array" ref="AB7">INDEX(Subject!$A:$I,MATCH(RANDBETWEEN(1,16),Subject!$B:$B,0),3)</f>
        <v>#N/A</v>
      </c>
      <c r="AC7" s="8" t="str">
        <f t="array" ref="AC7">INDEX(Subject!$A:$I,MATCH(RANDBETWEEN(1,16),Subject!$B:$B,0),3)</f>
        <v>#N/A</v>
      </c>
      <c r="AD7" s="8" t="str">
        <f t="array" ref="AD7">INDEX(Subject!$A:$I,MATCH(RANDBETWEEN(1,16),Subject!$B:$B,0),3)</f>
        <v>#N/A</v>
      </c>
      <c r="AE7" s="8" t="str">
        <f t="array" ref="AE7">INDEX(Subject!$A:$I,MATCH(RANDBETWEEN(1,16),Subject!$B:$B,0),3)</f>
        <v>#N/A</v>
      </c>
      <c r="AF7" s="8" t="str">
        <f t="array" ref="AF7">INDEX(Subject!$A:$I,MATCH(RANDBETWEEN(1,16),Subject!$B:$B,0),3)</f>
        <v>#N/A</v>
      </c>
      <c r="AG7" s="8" t="str">
        <f t="array" ref="AG7">INDEX(Subject!$A:$I,MATCH(RANDBETWEEN(1,16),Subject!$B:$B,0),3)</f>
        <v>#N/A</v>
      </c>
      <c r="AH7" s="8" t="str">
        <f t="array" ref="AH7">INDEX(Subject!$A:$I,MATCH(RANDBETWEEN(1,16),Subject!$B:$B,0),3)</f>
        <v>#N/A</v>
      </c>
      <c r="AI7" s="8" t="str">
        <f t="array" ref="AI7">INDEX(Subject!$A:$I,MATCH(RANDBETWEEN(1,16),Subject!$B:$B,0),3)</f>
        <v>#N/A</v>
      </c>
      <c r="AJ7" s="8" t="str">
        <f t="array" ref="AJ7">INDEX(Subject!$A:$I,MATCH(RANDBETWEEN(1,16),Subject!$B:$B,0),3)</f>
        <v>#N/A</v>
      </c>
      <c r="AK7" s="8" t="str">
        <f t="array" ref="AK7">INDEX(Subject!$A:$I,MATCH(RANDBETWEEN(1,16),Subject!$B:$B,0),3)</f>
        <v>#N/A</v>
      </c>
      <c r="AL7" s="8" t="str">
        <f t="array" ref="AL7">INDEX(Subject!$A:$I,MATCH(RANDBETWEEN(1,16),Subject!$B:$B,0),3)</f>
        <v>#N/A</v>
      </c>
      <c r="AM7" s="18">
        <f t="shared" si="4"/>
        <v>45507.33333</v>
      </c>
      <c r="AN7" s="19">
        <f t="shared" ref="AN7:BZ7" si="7">$A7+C$1</f>
        <v>45507.35417</v>
      </c>
      <c r="AO7" s="19">
        <f t="shared" si="7"/>
        <v>45507.375</v>
      </c>
      <c r="AP7" s="19">
        <f t="shared" si="7"/>
        <v>45507.39583</v>
      </c>
      <c r="AQ7" s="19">
        <f t="shared" si="7"/>
        <v>45507.41667</v>
      </c>
      <c r="AR7" s="19">
        <f t="shared" si="7"/>
        <v>45507.4375</v>
      </c>
      <c r="AS7" s="19">
        <f t="shared" si="7"/>
        <v>45507.45833</v>
      </c>
      <c r="AT7" s="19">
        <f t="shared" si="7"/>
        <v>45507.47917</v>
      </c>
      <c r="AU7" s="19">
        <f t="shared" si="7"/>
        <v>45507.5</v>
      </c>
      <c r="AV7" s="19">
        <f t="shared" si="7"/>
        <v>45507.52083</v>
      </c>
      <c r="AW7" s="19">
        <f t="shared" si="7"/>
        <v>45507.54167</v>
      </c>
      <c r="AX7" s="19">
        <f t="shared" si="7"/>
        <v>45507.5625</v>
      </c>
      <c r="AY7" s="19">
        <f t="shared" si="7"/>
        <v>45507.58333</v>
      </c>
      <c r="AZ7" s="19">
        <f t="shared" si="7"/>
        <v>45507.60417</v>
      </c>
      <c r="BA7" s="19">
        <f t="shared" si="7"/>
        <v>45507.625</v>
      </c>
      <c r="BB7" s="19">
        <f t="shared" si="7"/>
        <v>45507.64583</v>
      </c>
      <c r="BC7" s="19">
        <f t="shared" si="7"/>
        <v>45507.66667</v>
      </c>
      <c r="BD7" s="19">
        <f t="shared" si="7"/>
        <v>45507.6875</v>
      </c>
      <c r="BE7" s="19">
        <f t="shared" si="7"/>
        <v>45507.70833</v>
      </c>
      <c r="BF7" s="19">
        <f t="shared" si="7"/>
        <v>45507.72917</v>
      </c>
      <c r="BG7" s="19">
        <f t="shared" si="7"/>
        <v>45507.75</v>
      </c>
      <c r="BH7" s="19">
        <f t="shared" si="7"/>
        <v>45507.77083</v>
      </c>
      <c r="BI7" s="19">
        <f t="shared" si="7"/>
        <v>45507.79167</v>
      </c>
      <c r="BJ7" s="19">
        <f t="shared" si="7"/>
        <v>45507.8125</v>
      </c>
      <c r="BK7" s="19">
        <f t="shared" si="7"/>
        <v>45507.83333</v>
      </c>
      <c r="BL7" s="19">
        <f t="shared" si="7"/>
        <v>45507.85417</v>
      </c>
      <c r="BM7" s="19">
        <f t="shared" si="7"/>
        <v>45507.875</v>
      </c>
      <c r="BN7" s="19">
        <f t="shared" si="7"/>
        <v>45507.89583</v>
      </c>
      <c r="BO7" s="19">
        <f t="shared" si="7"/>
        <v>45507.91667</v>
      </c>
      <c r="BP7" s="19">
        <f t="shared" si="7"/>
        <v>45507.9375</v>
      </c>
      <c r="BQ7" s="19">
        <f t="shared" si="7"/>
        <v>45507.95833</v>
      </c>
      <c r="BR7" s="19">
        <f t="shared" si="7"/>
        <v>45507.97917</v>
      </c>
      <c r="BS7" s="19">
        <f t="shared" si="7"/>
        <v>45508</v>
      </c>
      <c r="BT7" s="19">
        <f t="shared" si="7"/>
        <v>45508.02083</v>
      </c>
      <c r="BU7" s="19">
        <f t="shared" si="7"/>
        <v>45508.04167</v>
      </c>
      <c r="BV7" s="19">
        <f t="shared" si="7"/>
        <v>45508.0625</v>
      </c>
      <c r="BW7" s="19">
        <f t="shared" si="7"/>
        <v>45508.08333</v>
      </c>
      <c r="BX7" s="19">
        <f t="shared" si="7"/>
        <v>45507</v>
      </c>
      <c r="BY7" s="19">
        <f t="shared" si="7"/>
        <v>45507</v>
      </c>
      <c r="BZ7" s="19">
        <f t="shared" si="7"/>
        <v>45507</v>
      </c>
    </row>
    <row r="8" ht="14.25" customHeight="1">
      <c r="A8" s="17">
        <v>45508.0</v>
      </c>
      <c r="B8" s="2" t="str">
        <f t="array" ref="B8">IF(NOW()&gt;AM8,"",IF(AND((WEEKDAY($A8)+$B$2)&gt;1,((WEEKDAY($A8)+$T$2)&lt;7),(WEEKDAY($A8)&lt;&gt;1)),"work",(INDEX(Subject!$A:$I,MATCH(RANDBETWEEN(1,(MAX(Subject!$B:$B))),Subject!$B:$B,0),3))))</f>
        <v/>
      </c>
      <c r="C8" s="2" t="str">
        <f t="array" ref="C8">IF(NOW()&gt;AN8,"",IF(AND((WEEKDAY($A8)+$B$2)&gt;1,((WEEKDAY($A8)+$T$2)&lt;7),(WEEKDAY($A8)&lt;&gt;1)),"work",(INDEX(Subject!$A:$I,MATCH(RANDBETWEEN(1,(MAX(Subject!$B:$B))),Subject!$B:$B,0),3))))</f>
        <v/>
      </c>
      <c r="D8" s="2" t="str">
        <f t="array" ref="D8">IF(NOW()&gt;AO8,"",IF(AND((WEEKDAY($A8)+$B$2)&gt;1,((WEEKDAY($A8)+$T$2)&lt;7),(WEEKDAY($A8)&lt;&gt;1)),"work",(INDEX(Subject!$A:$I,MATCH(RANDBETWEEN(1,(MAX(Subject!$B:$B))),Subject!$B:$B,0),3))))</f>
        <v/>
      </c>
      <c r="E8" s="2" t="str">
        <f t="array" ref="E8">IF(NOW()&gt;AP8,"",IF(AND((WEEKDAY($A8)+$B$2)&gt;1,((WEEKDAY($A8)+$T$2)&lt;7),(WEEKDAY($A8)&lt;&gt;1)),"work",(INDEX(Subject!$A:$I,MATCH(RANDBETWEEN(1,(MAX(Subject!$B:$B))),Subject!$B:$B,0),3))))</f>
        <v/>
      </c>
      <c r="F8" s="2" t="str">
        <f t="array" ref="F8">IF(NOW()&gt;AQ8,"",IF(AND((WEEKDAY($A8)+$B$2)&gt;1,((WEEKDAY($A8)+$T$2)&lt;7),(WEEKDAY($A8)&lt;&gt;1)),"work",(INDEX(Subject!$A:$I,MATCH(RANDBETWEEN(1,(MAX(Subject!$B:$B))),Subject!$B:$B,0),3))))</f>
        <v/>
      </c>
      <c r="G8" s="2" t="str">
        <f t="array" ref="G8">IF(NOW()&gt;AR8,"",IF(AND((WEEKDAY($A8)+$B$2)&gt;1,((WEEKDAY($A8)+$T$2)&lt;7),(WEEKDAY($A8)&lt;&gt;1)),"work",(INDEX(Subject!$A:$I,MATCH(RANDBETWEEN(1,(MAX(Subject!$B:$B))),Subject!$B:$B,0),3))))</f>
        <v/>
      </c>
      <c r="H8" s="2" t="str">
        <f t="array" ref="H8">IF(NOW()&gt;AS8,"",IF(AND((WEEKDAY($A8)+$B$2)&gt;1,((WEEKDAY($A8)+$T$2)&lt;7),(WEEKDAY($A8)&lt;&gt;1)),"work",(INDEX(Subject!$A:$I,MATCH(RANDBETWEEN(1,(MAX(Subject!$B:$B))),Subject!$B:$B,0),3))))</f>
        <v/>
      </c>
      <c r="I8" s="2" t="str">
        <f t="array" ref="I8">IF(NOW()&gt;AT8,"",IF(AND((WEEKDAY($A8)+$B$2)&gt;1,((WEEKDAY($A8)+$T$2)&lt;7),(WEEKDAY($A8)&lt;&gt;1)),"work",(INDEX(Subject!$A:$I,MATCH(RANDBETWEEN(1,(MAX(Subject!$B:$B))),Subject!$B:$B,0),3))))</f>
        <v/>
      </c>
      <c r="J8" s="2" t="str">
        <f t="array" ref="J8">IF(NOW()&gt;AU8,"",IF(AND((WEEKDAY($A8)+$B$2)&gt;1,((WEEKDAY($A8)+$T$2)&lt;7),(WEEKDAY($A8)&lt;&gt;1)),"work",(INDEX(Subject!$A:$I,MATCH(RANDBETWEEN(1,(MAX(Subject!$B:$B))),Subject!$B:$B,0),3))))</f>
        <v/>
      </c>
      <c r="K8" s="2" t="str">
        <f t="array" ref="K8">IF(NOW()&gt;AV8,"",IF(AND((WEEKDAY($A8)+$B$2)&gt;1,((WEEKDAY($A8)+$T$2)&lt;7),(WEEKDAY($A8)&lt;&gt;1)),"work",(INDEX(Subject!$A:$I,MATCH(RANDBETWEEN(1,(MAX(Subject!$B:$B))),Subject!$B:$B,0),3))))</f>
        <v/>
      </c>
      <c r="L8" s="2" t="str">
        <f t="array" ref="L8">IF(NOW()&gt;AW8,"",IF(AND((WEEKDAY($A8)+$B$2)&gt;1,((WEEKDAY($A8)+$T$2)&lt;7),(WEEKDAY($A8)&lt;&gt;1)),"work",(INDEX(Subject!$A:$I,MATCH(RANDBETWEEN(1,(MAX(Subject!$B:$B))),Subject!$B:$B,0),3))))</f>
        <v/>
      </c>
      <c r="M8" s="2" t="str">
        <f t="array" ref="M8">IF(NOW()&gt;AX8,"",IF(AND((WEEKDAY($A8)+$B$2)&gt;1,((WEEKDAY($A8)+$T$2)&lt;7),(WEEKDAY($A8)&lt;&gt;1)),"work",(INDEX(Subject!$A:$I,MATCH(RANDBETWEEN(1,(MAX(Subject!$B:$B))),Subject!$B:$B,0),3))))</f>
        <v/>
      </c>
      <c r="N8" s="2" t="str">
        <f t="array" ref="N8">IF(NOW()&gt;AY8,"",IF(AND((WEEKDAY($A8)+$B$2)&gt;1,((WEEKDAY($A8)+$T$2)&lt;7),(WEEKDAY($A8)&lt;&gt;1)),"work",(INDEX(Subject!$A:$I,MATCH(RANDBETWEEN(1,(MAX(Subject!$B:$B))),Subject!$B:$B,0),3))))</f>
        <v/>
      </c>
      <c r="O8" s="2" t="str">
        <f t="array" ref="O8">IF(NOW()&gt;AZ8,"",IF(AND((WEEKDAY($A8)+$B$2)&gt;1,((WEEKDAY($A8)+$T$2)&lt;7),(WEEKDAY($A8)&lt;&gt;1)),"work",(INDEX(Subject!$A:$I,MATCH(RANDBETWEEN(1,(MAX(Subject!$B:$B))),Subject!$B:$B,0),3))))</f>
        <v/>
      </c>
      <c r="P8" s="2" t="str">
        <f t="array" ref="P8">IF(NOW()&gt;BA8,"",IF(AND((WEEKDAY($A8)+$B$2)&gt;1,((WEEKDAY($A8)+$T$2)&lt;7),(WEEKDAY($A8)&lt;&gt;1)),"work",(INDEX(Subject!$A:$I,MATCH(RANDBETWEEN(1,(MAX(Subject!$B:$B))),Subject!$B:$B,0),3))))</f>
        <v/>
      </c>
      <c r="Q8" s="2" t="str">
        <f t="array" ref="Q8">IF(NOW()&gt;BB8,"",IF(AND((WEEKDAY($A8)+$B$2)&gt;1,((WEEKDAY($A8)+$T$2)&lt;7),(WEEKDAY($A8)&lt;&gt;1)),"work",(INDEX(Subject!$A:$I,MATCH(RANDBETWEEN(1,(MAX(Subject!$B:$B))),Subject!$B:$B,0),3))))</f>
        <v/>
      </c>
      <c r="R8" s="2" t="str">
        <f t="array" ref="R8">IF(NOW()&gt;BC8,"",IF(AND((WEEKDAY($A8)+$B$2)&gt;1,((WEEKDAY($A8)+$T$2)&lt;7),(WEEKDAY($A8)&lt;&gt;1)),"work",(INDEX(Subject!$A:$I,MATCH(RANDBETWEEN(1,(MAX(Subject!$B:$B))),Subject!$B:$B,0),3))))</f>
        <v/>
      </c>
      <c r="S8" s="2" t="str">
        <f t="array" ref="S8">IF(NOW()&gt;BD8,"",IF(AND((WEEKDAY($A8)+$B$2)&gt;1,((WEEKDAY($A8)+$T$2)&lt;7),(WEEKDAY($A8)&lt;&gt;1)),"work",(INDEX(Subject!$A:$I,MATCH(RANDBETWEEN(1,(MAX(Subject!$B:$B))),Subject!$B:$B,0),3))))</f>
        <v/>
      </c>
      <c r="T8" s="2" t="str">
        <f t="array" ref="T8">IF(NOW()&gt;BE8,"",IF(AND((WEEKDAY($A8)+$B$2)&gt;1,((WEEKDAY($A8)+$T$2)&lt;7),(WEEKDAY($A8)&lt;&gt;1)),"work",(INDEX(Subject!$A:$I,MATCH(RANDBETWEEN(1,(MAX(Subject!$B:$B))),Subject!$B:$B,0),3))))</f>
        <v/>
      </c>
      <c r="U8" s="8" t="str">
        <f t="array" ref="U8">INDEX(Subject!$A:$I,MATCH(RANDBETWEEN(1,16),Subject!$B:$B,0),3)</f>
        <v>#N/A</v>
      </c>
      <c r="V8" s="8" t="str">
        <f t="array" ref="V8">INDEX(Subject!$A:$I,MATCH(RANDBETWEEN(1,16),Subject!$B:$B,0),3)</f>
        <v>#N/A</v>
      </c>
      <c r="W8" s="8" t="str">
        <f t="array" ref="W8">INDEX(Subject!$A:$I,MATCH(RANDBETWEEN(1,16),Subject!$B:$B,0),3)</f>
        <v>#N/A</v>
      </c>
      <c r="X8" s="8" t="str">
        <f t="array" ref="X8">INDEX(Subject!$A:$I,MATCH(RANDBETWEEN(1,16),Subject!$B:$B,0),3)</f>
        <v>#N/A</v>
      </c>
      <c r="Y8" s="8" t="str">
        <f t="array" ref="Y8">INDEX(Subject!$A:$I,MATCH(RANDBETWEEN(1,16),Subject!$B:$B,0),3)</f>
        <v>#N/A</v>
      </c>
      <c r="Z8" s="8" t="str">
        <f t="array" ref="Z8">INDEX(Subject!$A:$I,MATCH(RANDBETWEEN(1,16),Subject!$B:$B,0),3)</f>
        <v>#N/A</v>
      </c>
      <c r="AA8" s="8" t="str">
        <f t="array" ref="AA8">INDEX(Subject!$A:$I,MATCH(RANDBETWEEN(1,16),Subject!$B:$B,0),3)</f>
        <v>#N/A</v>
      </c>
      <c r="AB8" s="8" t="str">
        <f t="array" ref="AB8">INDEX(Subject!$A:$I,MATCH(RANDBETWEEN(1,16),Subject!$B:$B,0),3)</f>
        <v>#N/A</v>
      </c>
      <c r="AC8" s="8" t="str">
        <f t="array" ref="AC8">INDEX(Subject!$A:$I,MATCH(RANDBETWEEN(1,16),Subject!$B:$B,0),3)</f>
        <v>#N/A</v>
      </c>
      <c r="AD8" s="8" t="str">
        <f t="array" ref="AD8">INDEX(Subject!$A:$I,MATCH(RANDBETWEEN(1,16),Subject!$B:$B,0),3)</f>
        <v>#N/A</v>
      </c>
      <c r="AE8" s="8" t="str">
        <f t="array" ref="AE8">INDEX(Subject!$A:$I,MATCH(RANDBETWEEN(1,16),Subject!$B:$B,0),3)</f>
        <v>#N/A</v>
      </c>
      <c r="AF8" s="8" t="str">
        <f t="array" ref="AF8">INDEX(Subject!$A:$I,MATCH(RANDBETWEEN(1,16),Subject!$B:$B,0),3)</f>
        <v>#N/A</v>
      </c>
      <c r="AG8" s="8" t="str">
        <f t="array" ref="AG8">INDEX(Subject!$A:$I,MATCH(RANDBETWEEN(1,16),Subject!$B:$B,0),3)</f>
        <v>#N/A</v>
      </c>
      <c r="AH8" s="8" t="str">
        <f t="array" ref="AH8">INDEX(Subject!$A:$I,MATCH(RANDBETWEEN(1,16),Subject!$B:$B,0),3)</f>
        <v>#N/A</v>
      </c>
      <c r="AI8" s="8" t="str">
        <f t="array" ref="AI8">INDEX(Subject!$A:$I,MATCH(RANDBETWEEN(1,16),Subject!$B:$B,0),3)</f>
        <v>#N/A</v>
      </c>
      <c r="AJ8" s="8" t="str">
        <f t="array" ref="AJ8">INDEX(Subject!$A:$I,MATCH(RANDBETWEEN(1,16),Subject!$B:$B,0),3)</f>
        <v>#N/A</v>
      </c>
      <c r="AK8" s="8" t="str">
        <f t="array" ref="AK8">INDEX(Subject!$A:$I,MATCH(RANDBETWEEN(1,16),Subject!$B:$B,0),3)</f>
        <v>#N/A</v>
      </c>
      <c r="AL8" s="8" t="str">
        <f t="array" ref="AL8">INDEX(Subject!$A:$I,MATCH(RANDBETWEEN(1,16),Subject!$B:$B,0),3)</f>
        <v>#N/A</v>
      </c>
      <c r="AM8" s="18">
        <f t="shared" si="4"/>
        <v>45508.33333</v>
      </c>
      <c r="AN8" s="19">
        <f t="shared" ref="AN8:BZ8" si="8">$A8+C$1</f>
        <v>45508.35417</v>
      </c>
      <c r="AO8" s="19">
        <f t="shared" si="8"/>
        <v>45508.375</v>
      </c>
      <c r="AP8" s="19">
        <f t="shared" si="8"/>
        <v>45508.39583</v>
      </c>
      <c r="AQ8" s="19">
        <f t="shared" si="8"/>
        <v>45508.41667</v>
      </c>
      <c r="AR8" s="19">
        <f t="shared" si="8"/>
        <v>45508.4375</v>
      </c>
      <c r="AS8" s="19">
        <f t="shared" si="8"/>
        <v>45508.45833</v>
      </c>
      <c r="AT8" s="19">
        <f t="shared" si="8"/>
        <v>45508.47917</v>
      </c>
      <c r="AU8" s="19">
        <f t="shared" si="8"/>
        <v>45508.5</v>
      </c>
      <c r="AV8" s="19">
        <f t="shared" si="8"/>
        <v>45508.52083</v>
      </c>
      <c r="AW8" s="19">
        <f t="shared" si="8"/>
        <v>45508.54167</v>
      </c>
      <c r="AX8" s="19">
        <f t="shared" si="8"/>
        <v>45508.5625</v>
      </c>
      <c r="AY8" s="19">
        <f t="shared" si="8"/>
        <v>45508.58333</v>
      </c>
      <c r="AZ8" s="19">
        <f t="shared" si="8"/>
        <v>45508.60417</v>
      </c>
      <c r="BA8" s="19">
        <f t="shared" si="8"/>
        <v>45508.625</v>
      </c>
      <c r="BB8" s="19">
        <f t="shared" si="8"/>
        <v>45508.64583</v>
      </c>
      <c r="BC8" s="19">
        <f t="shared" si="8"/>
        <v>45508.66667</v>
      </c>
      <c r="BD8" s="19">
        <f t="shared" si="8"/>
        <v>45508.6875</v>
      </c>
      <c r="BE8" s="19">
        <f t="shared" si="8"/>
        <v>45508.70833</v>
      </c>
      <c r="BF8" s="19">
        <f t="shared" si="8"/>
        <v>45508.72917</v>
      </c>
      <c r="BG8" s="19">
        <f t="shared" si="8"/>
        <v>45508.75</v>
      </c>
      <c r="BH8" s="19">
        <f t="shared" si="8"/>
        <v>45508.77083</v>
      </c>
      <c r="BI8" s="19">
        <f t="shared" si="8"/>
        <v>45508.79167</v>
      </c>
      <c r="BJ8" s="19">
        <f t="shared" si="8"/>
        <v>45508.8125</v>
      </c>
      <c r="BK8" s="19">
        <f t="shared" si="8"/>
        <v>45508.83333</v>
      </c>
      <c r="BL8" s="19">
        <f t="shared" si="8"/>
        <v>45508.85417</v>
      </c>
      <c r="BM8" s="19">
        <f t="shared" si="8"/>
        <v>45508.875</v>
      </c>
      <c r="BN8" s="19">
        <f t="shared" si="8"/>
        <v>45508.89583</v>
      </c>
      <c r="BO8" s="19">
        <f t="shared" si="8"/>
        <v>45508.91667</v>
      </c>
      <c r="BP8" s="19">
        <f t="shared" si="8"/>
        <v>45508.9375</v>
      </c>
      <c r="BQ8" s="19">
        <f t="shared" si="8"/>
        <v>45508.95833</v>
      </c>
      <c r="BR8" s="19">
        <f t="shared" si="8"/>
        <v>45508.97917</v>
      </c>
      <c r="BS8" s="19">
        <f t="shared" si="8"/>
        <v>45509</v>
      </c>
      <c r="BT8" s="19">
        <f t="shared" si="8"/>
        <v>45509.02083</v>
      </c>
      <c r="BU8" s="19">
        <f t="shared" si="8"/>
        <v>45509.04167</v>
      </c>
      <c r="BV8" s="19">
        <f t="shared" si="8"/>
        <v>45509.0625</v>
      </c>
      <c r="BW8" s="19">
        <f t="shared" si="8"/>
        <v>45509.08333</v>
      </c>
      <c r="BX8" s="19">
        <f t="shared" si="8"/>
        <v>45508</v>
      </c>
      <c r="BY8" s="19">
        <f t="shared" si="8"/>
        <v>45508</v>
      </c>
      <c r="BZ8" s="19">
        <f t="shared" si="8"/>
        <v>45508</v>
      </c>
    </row>
    <row r="9" ht="14.25" customHeight="1">
      <c r="A9" s="17">
        <v>45509.0</v>
      </c>
      <c r="B9" s="2" t="str">
        <f t="array" ref="B9">IF(NOW()&gt;AM9,"",IF(AND((WEEKDAY($A9)+$B$2)&gt;1,((WEEKDAY($A9)+$T$2)&lt;7),(WEEKDAY($A9)&lt;&gt;1)),"work",(INDEX(Subject!$A:$I,MATCH(RANDBETWEEN(1,(MAX(Subject!$B:$B))),Subject!$B:$B,0),3))))</f>
        <v/>
      </c>
      <c r="C9" s="2" t="str">
        <f t="array" ref="C9">IF(NOW()&gt;AN9,"",IF(AND((WEEKDAY($A9)+$B$2)&gt;1,((WEEKDAY($A9)+$T$2)&lt;7),(WEEKDAY($A9)&lt;&gt;1)),"work",(INDEX(Subject!$A:$I,MATCH(RANDBETWEEN(1,(MAX(Subject!$B:$B))),Subject!$B:$B,0),3))))</f>
        <v/>
      </c>
      <c r="D9" s="2" t="str">
        <f t="array" ref="D9">IF(NOW()&gt;AO9,"",IF(AND((WEEKDAY($A9)+$B$2)&gt;1,((WEEKDAY($A9)+$T$2)&lt;7),(WEEKDAY($A9)&lt;&gt;1)),"work",(INDEX(Subject!$A:$I,MATCH(RANDBETWEEN(1,(MAX(Subject!$B:$B))),Subject!$B:$B,0),3))))</f>
        <v/>
      </c>
      <c r="E9" s="2" t="str">
        <f t="array" ref="E9">IF(NOW()&gt;AP9,"",IF(AND((WEEKDAY($A9)+$B$2)&gt;1,((WEEKDAY($A9)+$T$2)&lt;7),(WEEKDAY($A9)&lt;&gt;1)),"work",(INDEX(Subject!$A:$I,MATCH(RANDBETWEEN(1,(MAX(Subject!$B:$B))),Subject!$B:$B,0),3))))</f>
        <v/>
      </c>
      <c r="F9" s="2" t="str">
        <f t="array" ref="F9">IF(NOW()&gt;AQ9,"",IF(AND((WEEKDAY($A9)+$B$2)&gt;1,((WEEKDAY($A9)+$T$2)&lt;7),(WEEKDAY($A9)&lt;&gt;1)),"work",(INDEX(Subject!$A:$I,MATCH(RANDBETWEEN(1,(MAX(Subject!$B:$B))),Subject!$B:$B,0),3))))</f>
        <v/>
      </c>
      <c r="G9" s="2" t="str">
        <f t="array" ref="G9">IF(NOW()&gt;AR9,"",IF(AND((WEEKDAY($A9)+$B$2)&gt;1,((WEEKDAY($A9)+$T$2)&lt;7),(WEEKDAY($A9)&lt;&gt;1)),"work",(INDEX(Subject!$A:$I,MATCH(RANDBETWEEN(1,(MAX(Subject!$B:$B))),Subject!$B:$B,0),3))))</f>
        <v/>
      </c>
      <c r="H9" s="2" t="str">
        <f t="array" ref="H9">IF(NOW()&gt;AS9,"",IF(AND((WEEKDAY($A9)+$B$2)&gt;1,((WEEKDAY($A9)+$T$2)&lt;7),(WEEKDAY($A9)&lt;&gt;1)),"work",(INDEX(Subject!$A:$I,MATCH(RANDBETWEEN(1,(MAX(Subject!$B:$B))),Subject!$B:$B,0),3))))</f>
        <v/>
      </c>
      <c r="I9" s="2" t="str">
        <f t="array" ref="I9">IF(NOW()&gt;AT9,"",IF(AND((WEEKDAY($A9)+$B$2)&gt;1,((WEEKDAY($A9)+$T$2)&lt;7),(WEEKDAY($A9)&lt;&gt;1)),"work",(INDEX(Subject!$A:$I,MATCH(RANDBETWEEN(1,(MAX(Subject!$B:$B))),Subject!$B:$B,0),3))))</f>
        <v/>
      </c>
      <c r="J9" s="2" t="str">
        <f t="array" ref="J9">IF(NOW()&gt;AU9,"",IF(AND((WEEKDAY($A9)+$B$2)&gt;1,((WEEKDAY($A9)+$T$2)&lt;7),(WEEKDAY($A9)&lt;&gt;1)),"work",(INDEX(Subject!$A:$I,MATCH(RANDBETWEEN(1,(MAX(Subject!$B:$B))),Subject!$B:$B,0),3))))</f>
        <v/>
      </c>
      <c r="K9" s="2" t="str">
        <f t="array" ref="K9">IF(NOW()&gt;AV9,"",IF(AND((WEEKDAY($A9)+$B$2)&gt;1,((WEEKDAY($A9)+$T$2)&lt;7),(WEEKDAY($A9)&lt;&gt;1)),"work",(INDEX(Subject!$A:$I,MATCH(RANDBETWEEN(1,(MAX(Subject!$B:$B))),Subject!$B:$B,0),3))))</f>
        <v/>
      </c>
      <c r="L9" s="2" t="str">
        <f t="array" ref="L9">IF(NOW()&gt;AW9,"",IF(AND((WEEKDAY($A9)+$B$2)&gt;1,((WEEKDAY($A9)+$T$2)&lt;7),(WEEKDAY($A9)&lt;&gt;1)),"work",(INDEX(Subject!$A:$I,MATCH(RANDBETWEEN(1,(MAX(Subject!$B:$B))),Subject!$B:$B,0),3))))</f>
        <v/>
      </c>
      <c r="M9" s="2" t="str">
        <f t="array" ref="M9">IF(NOW()&gt;AX9,"",IF(AND((WEEKDAY($A9)+$B$2)&gt;1,((WEEKDAY($A9)+$T$2)&lt;7),(WEEKDAY($A9)&lt;&gt;1)),"work",(INDEX(Subject!$A:$I,MATCH(RANDBETWEEN(1,(MAX(Subject!$B:$B))),Subject!$B:$B,0),3))))</f>
        <v/>
      </c>
      <c r="N9" s="2" t="str">
        <f t="array" ref="N9">IF(NOW()&gt;AY9,"",IF(AND((WEEKDAY($A9)+$B$2)&gt;1,((WEEKDAY($A9)+$T$2)&lt;7),(WEEKDAY($A9)&lt;&gt;1)),"work",(INDEX(Subject!$A:$I,MATCH(RANDBETWEEN(1,(MAX(Subject!$B:$B))),Subject!$B:$B,0),3))))</f>
        <v/>
      </c>
      <c r="O9" s="2" t="str">
        <f t="array" ref="O9">IF(NOW()&gt;AZ9,"",IF(AND((WEEKDAY($A9)+$B$2)&gt;1,((WEEKDAY($A9)+$T$2)&lt;7),(WEEKDAY($A9)&lt;&gt;1)),"work",(INDEX(Subject!$A:$I,MATCH(RANDBETWEEN(1,(MAX(Subject!$B:$B))),Subject!$B:$B,0),3))))</f>
        <v/>
      </c>
      <c r="P9" s="2" t="str">
        <f t="array" ref="P9">IF(NOW()&gt;BA9,"",IF(AND((WEEKDAY($A9)+$B$2)&gt;1,((WEEKDAY($A9)+$T$2)&lt;7),(WEEKDAY($A9)&lt;&gt;1)),"work",(INDEX(Subject!$A:$I,MATCH(RANDBETWEEN(1,(MAX(Subject!$B:$B))),Subject!$B:$B,0),3))))</f>
        <v/>
      </c>
      <c r="Q9" s="2" t="str">
        <f t="array" ref="Q9">IF(NOW()&gt;BB9,"",IF(AND((WEEKDAY($A9)+$B$2)&gt;1,((WEEKDAY($A9)+$T$2)&lt;7),(WEEKDAY($A9)&lt;&gt;1)),"work",(INDEX(Subject!$A:$I,MATCH(RANDBETWEEN(1,(MAX(Subject!$B:$B))),Subject!$B:$B,0),3))))</f>
        <v/>
      </c>
      <c r="R9" s="2" t="str">
        <f t="array" ref="R9">IF(NOW()&gt;BC9,"",IF(AND((WEEKDAY($A9)+$B$2)&gt;1,((WEEKDAY($A9)+$T$2)&lt;7),(WEEKDAY($A9)&lt;&gt;1)),"work",(INDEX(Subject!$A:$I,MATCH(RANDBETWEEN(1,(MAX(Subject!$B:$B))),Subject!$B:$B,0),3))))</f>
        <v/>
      </c>
      <c r="S9" s="2" t="str">
        <f t="array" ref="S9">IF(NOW()&gt;BD9,"",IF(AND((WEEKDAY($A9)+$B$2)&gt;1,((WEEKDAY($A9)+$T$2)&lt;7),(WEEKDAY($A9)&lt;&gt;1)),"work",(INDEX(Subject!$A:$I,MATCH(RANDBETWEEN(1,(MAX(Subject!$B:$B))),Subject!$B:$B,0),3))))</f>
        <v/>
      </c>
      <c r="T9" s="2" t="str">
        <f t="array" ref="T9">IF(NOW()&gt;BE9,"",IF(AND((WEEKDAY($A9)+$B$2)&gt;1,((WEEKDAY($A9)+$T$2)&lt;7),(WEEKDAY($A9)&lt;&gt;1)),"work",(INDEX(Subject!$A:$I,MATCH(RANDBETWEEN(1,(MAX(Subject!$B:$B))),Subject!$B:$B,0),3))))</f>
        <v/>
      </c>
      <c r="U9" s="8" t="str">
        <f t="array" ref="U9">INDEX(Subject!$A:$I,MATCH(RANDBETWEEN(1,16),Subject!$B:$B,0),3)</f>
        <v>#N/A</v>
      </c>
      <c r="V9" s="8" t="str">
        <f t="array" ref="V9">INDEX(Subject!$A:$I,MATCH(RANDBETWEEN(1,16),Subject!$B:$B,0),3)</f>
        <v>#N/A</v>
      </c>
      <c r="W9" s="8" t="str">
        <f t="array" ref="W9">INDEX(Subject!$A:$I,MATCH(RANDBETWEEN(1,16),Subject!$B:$B,0),3)</f>
        <v>#N/A</v>
      </c>
      <c r="X9" s="8" t="str">
        <f t="array" ref="X9">INDEX(Subject!$A:$I,MATCH(RANDBETWEEN(1,16),Subject!$B:$B,0),3)</f>
        <v>#N/A</v>
      </c>
      <c r="Y9" s="8" t="str">
        <f t="array" ref="Y9">INDEX(Subject!$A:$I,MATCH(RANDBETWEEN(1,16),Subject!$B:$B,0),3)</f>
        <v>#N/A</v>
      </c>
      <c r="Z9" s="8" t="str">
        <f t="array" ref="Z9">INDEX(Subject!$A:$I,MATCH(RANDBETWEEN(1,16),Subject!$B:$B,0),3)</f>
        <v>#N/A</v>
      </c>
      <c r="AA9" s="8" t="str">
        <f t="array" ref="AA9">INDEX(Subject!$A:$I,MATCH(RANDBETWEEN(1,16),Subject!$B:$B,0),3)</f>
        <v>#N/A</v>
      </c>
      <c r="AB9" s="8" t="str">
        <f t="array" ref="AB9">INDEX(Subject!$A:$I,MATCH(RANDBETWEEN(1,16),Subject!$B:$B,0),3)</f>
        <v>#N/A</v>
      </c>
      <c r="AC9" s="8" t="str">
        <f t="array" ref="AC9">INDEX(Subject!$A:$I,MATCH(RANDBETWEEN(1,16),Subject!$B:$B,0),3)</f>
        <v>#N/A</v>
      </c>
      <c r="AD9" s="8" t="str">
        <f t="array" ref="AD9">INDEX(Subject!$A:$I,MATCH(RANDBETWEEN(1,16),Subject!$B:$B,0),3)</f>
        <v>#N/A</v>
      </c>
      <c r="AE9" s="8" t="str">
        <f t="array" ref="AE9">INDEX(Subject!$A:$I,MATCH(RANDBETWEEN(1,16),Subject!$B:$B,0),3)</f>
        <v>#N/A</v>
      </c>
      <c r="AF9" s="8" t="str">
        <f t="array" ref="AF9">INDEX(Subject!$A:$I,MATCH(RANDBETWEEN(1,16),Subject!$B:$B,0),3)</f>
        <v>#N/A</v>
      </c>
      <c r="AG9" s="8" t="str">
        <f t="array" ref="AG9">INDEX(Subject!$A:$I,MATCH(RANDBETWEEN(1,16),Subject!$B:$B,0),3)</f>
        <v>#N/A</v>
      </c>
      <c r="AH9" s="8" t="str">
        <f t="array" ref="AH9">INDEX(Subject!$A:$I,MATCH(RANDBETWEEN(1,16),Subject!$B:$B,0),3)</f>
        <v>#N/A</v>
      </c>
      <c r="AI9" s="8" t="str">
        <f t="array" ref="AI9">INDEX(Subject!$A:$I,MATCH(RANDBETWEEN(1,16),Subject!$B:$B,0),3)</f>
        <v>#N/A</v>
      </c>
      <c r="AJ9" s="8" t="str">
        <f t="array" ref="AJ9">INDEX(Subject!$A:$I,MATCH(RANDBETWEEN(1,16),Subject!$B:$B,0),3)</f>
        <v>#N/A</v>
      </c>
      <c r="AK9" s="8" t="str">
        <f t="array" ref="AK9">INDEX(Subject!$A:$I,MATCH(RANDBETWEEN(1,16),Subject!$B:$B,0),3)</f>
        <v/>
      </c>
      <c r="AL9" s="8" t="str">
        <f t="array" ref="AL9">INDEX(Subject!$A:$I,MATCH(RANDBETWEEN(1,16),Subject!$B:$B,0),3)</f>
        <v>#N/A</v>
      </c>
      <c r="AM9" s="18">
        <f t="shared" si="4"/>
        <v>45509.33333</v>
      </c>
      <c r="AN9" s="19">
        <f t="shared" ref="AN9:BZ9" si="9">$A9+C$1</f>
        <v>45509.35417</v>
      </c>
      <c r="AO9" s="19">
        <f t="shared" si="9"/>
        <v>45509.375</v>
      </c>
      <c r="AP9" s="19">
        <f t="shared" si="9"/>
        <v>45509.39583</v>
      </c>
      <c r="AQ9" s="19">
        <f t="shared" si="9"/>
        <v>45509.41667</v>
      </c>
      <c r="AR9" s="19">
        <f t="shared" si="9"/>
        <v>45509.4375</v>
      </c>
      <c r="AS9" s="19">
        <f t="shared" si="9"/>
        <v>45509.45833</v>
      </c>
      <c r="AT9" s="19">
        <f t="shared" si="9"/>
        <v>45509.47917</v>
      </c>
      <c r="AU9" s="19">
        <f t="shared" si="9"/>
        <v>45509.5</v>
      </c>
      <c r="AV9" s="19">
        <f t="shared" si="9"/>
        <v>45509.52083</v>
      </c>
      <c r="AW9" s="19">
        <f t="shared" si="9"/>
        <v>45509.54167</v>
      </c>
      <c r="AX9" s="19">
        <f t="shared" si="9"/>
        <v>45509.5625</v>
      </c>
      <c r="AY9" s="19">
        <f t="shared" si="9"/>
        <v>45509.58333</v>
      </c>
      <c r="AZ9" s="19">
        <f t="shared" si="9"/>
        <v>45509.60417</v>
      </c>
      <c r="BA9" s="19">
        <f t="shared" si="9"/>
        <v>45509.625</v>
      </c>
      <c r="BB9" s="19">
        <f t="shared" si="9"/>
        <v>45509.64583</v>
      </c>
      <c r="BC9" s="19">
        <f t="shared" si="9"/>
        <v>45509.66667</v>
      </c>
      <c r="BD9" s="19">
        <f t="shared" si="9"/>
        <v>45509.6875</v>
      </c>
      <c r="BE9" s="19">
        <f t="shared" si="9"/>
        <v>45509.70833</v>
      </c>
      <c r="BF9" s="19">
        <f t="shared" si="9"/>
        <v>45509.72917</v>
      </c>
      <c r="BG9" s="19">
        <f t="shared" si="9"/>
        <v>45509.75</v>
      </c>
      <c r="BH9" s="19">
        <f t="shared" si="9"/>
        <v>45509.77083</v>
      </c>
      <c r="BI9" s="19">
        <f t="shared" si="9"/>
        <v>45509.79167</v>
      </c>
      <c r="BJ9" s="19">
        <f t="shared" si="9"/>
        <v>45509.8125</v>
      </c>
      <c r="BK9" s="19">
        <f t="shared" si="9"/>
        <v>45509.83333</v>
      </c>
      <c r="BL9" s="19">
        <f t="shared" si="9"/>
        <v>45509.85417</v>
      </c>
      <c r="BM9" s="19">
        <f t="shared" si="9"/>
        <v>45509.875</v>
      </c>
      <c r="BN9" s="19">
        <f t="shared" si="9"/>
        <v>45509.89583</v>
      </c>
      <c r="BO9" s="19">
        <f t="shared" si="9"/>
        <v>45509.91667</v>
      </c>
      <c r="BP9" s="19">
        <f t="shared" si="9"/>
        <v>45509.9375</v>
      </c>
      <c r="BQ9" s="19">
        <f t="shared" si="9"/>
        <v>45509.95833</v>
      </c>
      <c r="BR9" s="19">
        <f t="shared" si="9"/>
        <v>45509.97917</v>
      </c>
      <c r="BS9" s="19">
        <f t="shared" si="9"/>
        <v>45510</v>
      </c>
      <c r="BT9" s="19">
        <f t="shared" si="9"/>
        <v>45510.02083</v>
      </c>
      <c r="BU9" s="19">
        <f t="shared" si="9"/>
        <v>45510.04167</v>
      </c>
      <c r="BV9" s="19">
        <f t="shared" si="9"/>
        <v>45510.0625</v>
      </c>
      <c r="BW9" s="19">
        <f t="shared" si="9"/>
        <v>45510.08333</v>
      </c>
      <c r="BX9" s="19">
        <f t="shared" si="9"/>
        <v>45509</v>
      </c>
      <c r="BY9" s="19">
        <f t="shared" si="9"/>
        <v>45509</v>
      </c>
      <c r="BZ9" s="19">
        <f t="shared" si="9"/>
        <v>45509</v>
      </c>
    </row>
    <row r="10" ht="14.25" customHeight="1">
      <c r="A10" s="17">
        <v>45510.0</v>
      </c>
      <c r="B10" s="2" t="str">
        <f t="array" ref="B10">IF(NOW()&gt;AM10,"",IF(AND((WEEKDAY($A10)+$B$2)&gt;1,((WEEKDAY($A10)+$T$2)&lt;7),(WEEKDAY($A10)&lt;&gt;1)),"work",(INDEX(Subject!$A:$I,MATCH(RANDBETWEEN(1,(MAX(Subject!$B:$B))),Subject!$B:$B,0),3))))</f>
        <v/>
      </c>
      <c r="C10" s="2" t="str">
        <f t="array" ref="C10">IF(NOW()&gt;AN10,"",IF(AND((WEEKDAY($A10)+$B$2)&gt;1,((WEEKDAY($A10)+$T$2)&lt;7),(WEEKDAY($A10)&lt;&gt;1)),"work",(INDEX(Subject!$A:$I,MATCH(RANDBETWEEN(1,(MAX(Subject!$B:$B))),Subject!$B:$B,0),3))))</f>
        <v/>
      </c>
      <c r="D10" s="2" t="str">
        <f t="array" ref="D10">IF(NOW()&gt;AO10,"",IF(AND((WEEKDAY($A10)+$B$2)&gt;1,((WEEKDAY($A10)+$T$2)&lt;7),(WEEKDAY($A10)&lt;&gt;1)),"work",(INDEX(Subject!$A:$I,MATCH(RANDBETWEEN(1,(MAX(Subject!$B:$B))),Subject!$B:$B,0),3))))</f>
        <v/>
      </c>
      <c r="E10" s="2" t="str">
        <f t="array" ref="E10">IF(NOW()&gt;AP10,"",IF(AND((WEEKDAY($A10)+$B$2)&gt;1,((WEEKDAY($A10)+$T$2)&lt;7),(WEEKDAY($A10)&lt;&gt;1)),"work",(INDEX(Subject!$A:$I,MATCH(RANDBETWEEN(1,(MAX(Subject!$B:$B))),Subject!$B:$B,0),3))))</f>
        <v/>
      </c>
      <c r="F10" s="2" t="str">
        <f t="array" ref="F10">IF(NOW()&gt;AQ10,"",IF(AND((WEEKDAY($A10)+$B$2)&gt;1,((WEEKDAY($A10)+$T$2)&lt;7),(WEEKDAY($A10)&lt;&gt;1)),"work",(INDEX(Subject!$A:$I,MATCH(RANDBETWEEN(1,(MAX(Subject!$B:$B))),Subject!$B:$B,0),3))))</f>
        <v/>
      </c>
      <c r="G10" s="2" t="str">
        <f t="array" ref="G10">IF(NOW()&gt;AR10,"",IF(AND((WEEKDAY($A10)+$B$2)&gt;1,((WEEKDAY($A10)+$T$2)&lt;7),(WEEKDAY($A10)&lt;&gt;1)),"work",(INDEX(Subject!$A:$I,MATCH(RANDBETWEEN(1,(MAX(Subject!$B:$B))),Subject!$B:$B,0),3))))</f>
        <v/>
      </c>
      <c r="H10" s="2" t="str">
        <f t="array" ref="H10">IF(NOW()&gt;AS10,"",IF(AND((WEEKDAY($A10)+$B$2)&gt;1,((WEEKDAY($A10)+$T$2)&lt;7),(WEEKDAY($A10)&lt;&gt;1)),"work",(INDEX(Subject!$A:$I,MATCH(RANDBETWEEN(1,(MAX(Subject!$B:$B))),Subject!$B:$B,0),3))))</f>
        <v/>
      </c>
      <c r="I10" s="2" t="str">
        <f t="array" ref="I10">IF(NOW()&gt;AT10,"",IF(AND((WEEKDAY($A10)+$B$2)&gt;1,((WEEKDAY($A10)+$T$2)&lt;7),(WEEKDAY($A10)&lt;&gt;1)),"work",(INDEX(Subject!$A:$I,MATCH(RANDBETWEEN(1,(MAX(Subject!$B:$B))),Subject!$B:$B,0),3))))</f>
        <v/>
      </c>
      <c r="J10" s="2" t="str">
        <f t="array" ref="J10">IF(NOW()&gt;AU10,"",IF(AND((WEEKDAY($A10)+$B$2)&gt;1,((WEEKDAY($A10)+$T$2)&lt;7),(WEEKDAY($A10)&lt;&gt;1)),"work",(INDEX(Subject!$A:$I,MATCH(RANDBETWEEN(1,(MAX(Subject!$B:$B))),Subject!$B:$B,0),3))))</f>
        <v/>
      </c>
      <c r="K10" s="2" t="str">
        <f t="array" ref="K10">IF(NOW()&gt;AV10,"",IF(AND((WEEKDAY($A10)+$B$2)&gt;1,((WEEKDAY($A10)+$T$2)&lt;7),(WEEKDAY($A10)&lt;&gt;1)),"work",(INDEX(Subject!$A:$I,MATCH(RANDBETWEEN(1,(MAX(Subject!$B:$B))),Subject!$B:$B,0),3))))</f>
        <v/>
      </c>
      <c r="L10" s="2" t="str">
        <f t="array" ref="L10">IF(NOW()&gt;AW10,"",IF(AND((WEEKDAY($A10)+$B$2)&gt;1,((WEEKDAY($A10)+$T$2)&lt;7),(WEEKDAY($A10)&lt;&gt;1)),"work",(INDEX(Subject!$A:$I,MATCH(RANDBETWEEN(1,(MAX(Subject!$B:$B))),Subject!$B:$B,0),3))))</f>
        <v/>
      </c>
      <c r="M10" s="2" t="str">
        <f t="array" ref="M10">IF(NOW()&gt;AX10,"",IF(AND((WEEKDAY($A10)+$B$2)&gt;1,((WEEKDAY($A10)+$T$2)&lt;7),(WEEKDAY($A10)&lt;&gt;1)),"work",(INDEX(Subject!$A:$I,MATCH(RANDBETWEEN(1,(MAX(Subject!$B:$B))),Subject!$B:$B,0),3))))</f>
        <v/>
      </c>
      <c r="N10" s="2" t="str">
        <f t="array" ref="N10">IF(NOW()&gt;AY10,"",IF(AND((WEEKDAY($A10)+$B$2)&gt;1,((WEEKDAY($A10)+$T$2)&lt;7),(WEEKDAY($A10)&lt;&gt;1)),"work",(INDEX(Subject!$A:$I,MATCH(RANDBETWEEN(1,(MAX(Subject!$B:$B))),Subject!$B:$B,0),3))))</f>
        <v/>
      </c>
      <c r="O10" s="2" t="str">
        <f t="array" ref="O10">IF(NOW()&gt;AZ10,"",IF(AND((WEEKDAY($A10)+$B$2)&gt;1,((WEEKDAY($A10)+$T$2)&lt;7),(WEEKDAY($A10)&lt;&gt;1)),"work",(INDEX(Subject!$A:$I,MATCH(RANDBETWEEN(1,(MAX(Subject!$B:$B))),Subject!$B:$B,0),3))))</f>
        <v/>
      </c>
      <c r="P10" s="2" t="str">
        <f t="array" ref="P10">IF(NOW()&gt;BA10,"",IF(AND((WEEKDAY($A10)+$B$2)&gt;1,((WEEKDAY($A10)+$T$2)&lt;7),(WEEKDAY($A10)&lt;&gt;1)),"work",(INDEX(Subject!$A:$I,MATCH(RANDBETWEEN(1,(MAX(Subject!$B:$B))),Subject!$B:$B,0),3))))</f>
        <v/>
      </c>
      <c r="Q10" s="2" t="str">
        <f t="array" ref="Q10">IF(NOW()&gt;BB10,"",IF(AND((WEEKDAY($A10)+$B$2)&gt;1,((WEEKDAY($A10)+$T$2)&lt;7),(WEEKDAY($A10)&lt;&gt;1)),"work",(INDEX(Subject!$A:$I,MATCH(RANDBETWEEN(1,(MAX(Subject!$B:$B))),Subject!$B:$B,0),3))))</f>
        <v/>
      </c>
      <c r="R10" s="2" t="str">
        <f t="array" ref="R10">IF(NOW()&gt;BC10,"",IF(AND((WEEKDAY($A10)+$B$2)&gt;1,((WEEKDAY($A10)+$T$2)&lt;7),(WEEKDAY($A10)&lt;&gt;1)),"work",(INDEX(Subject!$A:$I,MATCH(RANDBETWEEN(1,(MAX(Subject!$B:$B))),Subject!$B:$B,0),3))))</f>
        <v/>
      </c>
      <c r="S10" s="2" t="str">
        <f t="array" ref="S10">IF(NOW()&gt;BD10,"",IF(AND((WEEKDAY($A10)+$B$2)&gt;1,((WEEKDAY($A10)+$T$2)&lt;7),(WEEKDAY($A10)&lt;&gt;1)),"work",(INDEX(Subject!$A:$I,MATCH(RANDBETWEEN(1,(MAX(Subject!$B:$B))),Subject!$B:$B,0),3))))</f>
        <v/>
      </c>
      <c r="T10" s="2" t="str">
        <f t="array" ref="T10">IF(NOW()&gt;BE10,"",IF(AND((WEEKDAY($A10)+$B$2)&gt;1,((WEEKDAY($A10)+$T$2)&lt;7),(WEEKDAY($A10)&lt;&gt;1)),"work",(INDEX(Subject!$A:$I,MATCH(RANDBETWEEN(1,(MAX(Subject!$B:$B))),Subject!$B:$B,0),3))))</f>
        <v/>
      </c>
      <c r="U10" s="8" t="str">
        <f t="array" ref="U10">INDEX(Subject!$A:$I,MATCH(RANDBETWEEN(1,16),Subject!$B:$B,0),3)</f>
        <v>#N/A</v>
      </c>
      <c r="V10" s="8" t="str">
        <f t="array" ref="V10">INDEX(Subject!$A:$I,MATCH(RANDBETWEEN(1,16),Subject!$B:$B,0),3)</f>
        <v>#N/A</v>
      </c>
      <c r="W10" s="8" t="str">
        <f t="array" ref="W10">INDEX(Subject!$A:$I,MATCH(RANDBETWEEN(1,16),Subject!$B:$B,0),3)</f>
        <v>#N/A</v>
      </c>
      <c r="X10" s="8" t="str">
        <f t="array" ref="X10">INDEX(Subject!$A:$I,MATCH(RANDBETWEEN(1,16),Subject!$B:$B,0),3)</f>
        <v>#N/A</v>
      </c>
      <c r="Y10" s="8" t="str">
        <f t="array" ref="Y10">INDEX(Subject!$A:$I,MATCH(RANDBETWEEN(1,16),Subject!$B:$B,0),3)</f>
        <v>#N/A</v>
      </c>
      <c r="Z10" s="8" t="str">
        <f t="array" ref="Z10">INDEX(Subject!$A:$I,MATCH(RANDBETWEEN(1,16),Subject!$B:$B,0),3)</f>
        <v>#N/A</v>
      </c>
      <c r="AA10" s="8" t="str">
        <f t="array" ref="AA10">INDEX(Subject!$A:$I,MATCH(RANDBETWEEN(1,16),Subject!$B:$B,0),3)</f>
        <v>#N/A</v>
      </c>
      <c r="AB10" s="8" t="str">
        <f t="array" ref="AB10">INDEX(Subject!$A:$I,MATCH(RANDBETWEEN(1,16),Subject!$B:$B,0),3)</f>
        <v>#N/A</v>
      </c>
      <c r="AC10" s="8" t="str">
        <f t="array" ref="AC10">INDEX(Subject!$A:$I,MATCH(RANDBETWEEN(1,16),Subject!$B:$B,0),3)</f>
        <v>#N/A</v>
      </c>
      <c r="AD10" s="8" t="str">
        <f t="array" ref="AD10">INDEX(Subject!$A:$I,MATCH(RANDBETWEEN(1,16),Subject!$B:$B,0),3)</f>
        <v>#N/A</v>
      </c>
      <c r="AE10" s="8" t="str">
        <f t="array" ref="AE10">INDEX(Subject!$A:$I,MATCH(RANDBETWEEN(1,16),Subject!$B:$B,0),3)</f>
        <v>#N/A</v>
      </c>
      <c r="AF10" s="8" t="str">
        <f t="array" ref="AF10">INDEX(Subject!$A:$I,MATCH(RANDBETWEEN(1,16),Subject!$B:$B,0),3)</f>
        <v>#N/A</v>
      </c>
      <c r="AG10" s="8" t="str">
        <f t="array" ref="AG10">INDEX(Subject!$A:$I,MATCH(RANDBETWEEN(1,16),Subject!$B:$B,0),3)</f>
        <v>#N/A</v>
      </c>
      <c r="AH10" s="8" t="str">
        <f t="array" ref="AH10">INDEX(Subject!$A:$I,MATCH(RANDBETWEEN(1,16),Subject!$B:$B,0),3)</f>
        <v>#N/A</v>
      </c>
      <c r="AI10" s="8" t="str">
        <f t="array" ref="AI10">INDEX(Subject!$A:$I,MATCH(RANDBETWEEN(1,16),Subject!$B:$B,0),3)</f>
        <v>#N/A</v>
      </c>
      <c r="AJ10" s="8" t="str">
        <f t="array" ref="AJ10">INDEX(Subject!$A:$I,MATCH(RANDBETWEEN(1,16),Subject!$B:$B,0),3)</f>
        <v/>
      </c>
      <c r="AK10" s="8" t="str">
        <f t="array" ref="AK10">INDEX(Subject!$A:$I,MATCH(RANDBETWEEN(1,16),Subject!$B:$B,0),3)</f>
        <v>#N/A</v>
      </c>
      <c r="AL10" s="8" t="str">
        <f t="array" ref="AL10">INDEX(Subject!$A:$I,MATCH(RANDBETWEEN(1,16),Subject!$B:$B,0),3)</f>
        <v>#N/A</v>
      </c>
      <c r="AM10" s="18">
        <f t="shared" si="4"/>
        <v>45510.33333</v>
      </c>
      <c r="AN10" s="19">
        <f t="shared" ref="AN10:BZ10" si="10">$A10+C$1</f>
        <v>45510.35417</v>
      </c>
      <c r="AO10" s="19">
        <f t="shared" si="10"/>
        <v>45510.375</v>
      </c>
      <c r="AP10" s="19">
        <f t="shared" si="10"/>
        <v>45510.39583</v>
      </c>
      <c r="AQ10" s="19">
        <f t="shared" si="10"/>
        <v>45510.41667</v>
      </c>
      <c r="AR10" s="19">
        <f t="shared" si="10"/>
        <v>45510.4375</v>
      </c>
      <c r="AS10" s="19">
        <f t="shared" si="10"/>
        <v>45510.45833</v>
      </c>
      <c r="AT10" s="19">
        <f t="shared" si="10"/>
        <v>45510.47917</v>
      </c>
      <c r="AU10" s="19">
        <f t="shared" si="10"/>
        <v>45510.5</v>
      </c>
      <c r="AV10" s="19">
        <f t="shared" si="10"/>
        <v>45510.52083</v>
      </c>
      <c r="AW10" s="19">
        <f t="shared" si="10"/>
        <v>45510.54167</v>
      </c>
      <c r="AX10" s="19">
        <f t="shared" si="10"/>
        <v>45510.5625</v>
      </c>
      <c r="AY10" s="19">
        <f t="shared" si="10"/>
        <v>45510.58333</v>
      </c>
      <c r="AZ10" s="19">
        <f t="shared" si="10"/>
        <v>45510.60417</v>
      </c>
      <c r="BA10" s="19">
        <f t="shared" si="10"/>
        <v>45510.625</v>
      </c>
      <c r="BB10" s="19">
        <f t="shared" si="10"/>
        <v>45510.64583</v>
      </c>
      <c r="BC10" s="19">
        <f t="shared" si="10"/>
        <v>45510.66667</v>
      </c>
      <c r="BD10" s="19">
        <f t="shared" si="10"/>
        <v>45510.6875</v>
      </c>
      <c r="BE10" s="19">
        <f t="shared" si="10"/>
        <v>45510.70833</v>
      </c>
      <c r="BF10" s="19">
        <f t="shared" si="10"/>
        <v>45510.72917</v>
      </c>
      <c r="BG10" s="19">
        <f t="shared" si="10"/>
        <v>45510.75</v>
      </c>
      <c r="BH10" s="19">
        <f t="shared" si="10"/>
        <v>45510.77083</v>
      </c>
      <c r="BI10" s="19">
        <f t="shared" si="10"/>
        <v>45510.79167</v>
      </c>
      <c r="BJ10" s="19">
        <f t="shared" si="10"/>
        <v>45510.8125</v>
      </c>
      <c r="BK10" s="19">
        <f t="shared" si="10"/>
        <v>45510.83333</v>
      </c>
      <c r="BL10" s="19">
        <f t="shared" si="10"/>
        <v>45510.85417</v>
      </c>
      <c r="BM10" s="19">
        <f t="shared" si="10"/>
        <v>45510.875</v>
      </c>
      <c r="BN10" s="19">
        <f t="shared" si="10"/>
        <v>45510.89583</v>
      </c>
      <c r="BO10" s="19">
        <f t="shared" si="10"/>
        <v>45510.91667</v>
      </c>
      <c r="BP10" s="19">
        <f t="shared" si="10"/>
        <v>45510.9375</v>
      </c>
      <c r="BQ10" s="19">
        <f t="shared" si="10"/>
        <v>45510.95833</v>
      </c>
      <c r="BR10" s="19">
        <f t="shared" si="10"/>
        <v>45510.97917</v>
      </c>
      <c r="BS10" s="19">
        <f t="shared" si="10"/>
        <v>45511</v>
      </c>
      <c r="BT10" s="19">
        <f t="shared" si="10"/>
        <v>45511.02083</v>
      </c>
      <c r="BU10" s="19">
        <f t="shared" si="10"/>
        <v>45511.04167</v>
      </c>
      <c r="BV10" s="19">
        <f t="shared" si="10"/>
        <v>45511.0625</v>
      </c>
      <c r="BW10" s="19">
        <f t="shared" si="10"/>
        <v>45511.08333</v>
      </c>
      <c r="BX10" s="19">
        <f t="shared" si="10"/>
        <v>45510</v>
      </c>
      <c r="BY10" s="19">
        <f t="shared" si="10"/>
        <v>45510</v>
      </c>
      <c r="BZ10" s="19">
        <f t="shared" si="10"/>
        <v>45510</v>
      </c>
    </row>
    <row r="11" ht="14.25" customHeight="1">
      <c r="A11" s="17">
        <v>45511.0</v>
      </c>
      <c r="B11" s="2" t="str">
        <f t="array" ref="B11">IF(NOW()&gt;AM11,"",IF(AND((WEEKDAY($A11)+$B$2)&gt;1,((WEEKDAY($A11)+$T$2)&lt;7),(WEEKDAY($A11)&lt;&gt;1)),"work",(INDEX(Subject!$A:$I,MATCH(RANDBETWEEN(1,(MAX(Subject!$B:$B))),Subject!$B:$B,0),3))))</f>
        <v/>
      </c>
      <c r="C11" s="2" t="str">
        <f t="array" ref="C11">IF(NOW()&gt;AN11,"",IF(AND((WEEKDAY($A11)+$B$2)&gt;1,((WEEKDAY($A11)+$T$2)&lt;7),(WEEKDAY($A11)&lt;&gt;1)),"work",(INDEX(Subject!$A:$I,MATCH(RANDBETWEEN(1,(MAX(Subject!$B:$B))),Subject!$B:$B,0),3))))</f>
        <v/>
      </c>
      <c r="D11" s="2" t="str">
        <f t="array" ref="D11">IF(NOW()&gt;AO11,"",IF(AND((WEEKDAY($A11)+$B$2)&gt;1,((WEEKDAY($A11)+$T$2)&lt;7),(WEEKDAY($A11)&lt;&gt;1)),"work",(INDEX(Subject!$A:$I,MATCH(RANDBETWEEN(1,(MAX(Subject!$B:$B))),Subject!$B:$B,0),3))))</f>
        <v/>
      </c>
      <c r="E11" s="2" t="str">
        <f t="array" ref="E11">IF(NOW()&gt;AP11,"",IF(AND((WEEKDAY($A11)+$B$2)&gt;1,((WEEKDAY($A11)+$T$2)&lt;7),(WEEKDAY($A11)&lt;&gt;1)),"work",(INDEX(Subject!$A:$I,MATCH(RANDBETWEEN(1,(MAX(Subject!$B:$B))),Subject!$B:$B,0),3))))</f>
        <v/>
      </c>
      <c r="F11" s="2" t="str">
        <f t="array" ref="F11">IF(NOW()&gt;AQ11,"",IF(AND((WEEKDAY($A11)+$B$2)&gt;1,((WEEKDAY($A11)+$T$2)&lt;7),(WEEKDAY($A11)&lt;&gt;1)),"work",(INDEX(Subject!$A:$I,MATCH(RANDBETWEEN(1,(MAX(Subject!$B:$B))),Subject!$B:$B,0),3))))</f>
        <v/>
      </c>
      <c r="G11" s="2" t="str">
        <f t="array" ref="G11">IF(NOW()&gt;AR11,"",IF(AND((WEEKDAY($A11)+$B$2)&gt;1,((WEEKDAY($A11)+$T$2)&lt;7),(WEEKDAY($A11)&lt;&gt;1)),"work",(INDEX(Subject!$A:$I,MATCH(RANDBETWEEN(1,(MAX(Subject!$B:$B))),Subject!$B:$B,0),3))))</f>
        <v/>
      </c>
      <c r="H11" s="2" t="str">
        <f t="array" ref="H11">IF(NOW()&gt;AS11,"",IF(AND((WEEKDAY($A11)+$B$2)&gt;1,((WEEKDAY($A11)+$T$2)&lt;7),(WEEKDAY($A11)&lt;&gt;1)),"work",(INDEX(Subject!$A:$I,MATCH(RANDBETWEEN(1,(MAX(Subject!$B:$B))),Subject!$B:$B,0),3))))</f>
        <v/>
      </c>
      <c r="I11" s="2" t="str">
        <f t="array" ref="I11">IF(NOW()&gt;AT11,"",IF(AND((WEEKDAY($A11)+$B$2)&gt;1,((WEEKDAY($A11)+$T$2)&lt;7),(WEEKDAY($A11)&lt;&gt;1)),"work",(INDEX(Subject!$A:$I,MATCH(RANDBETWEEN(1,(MAX(Subject!$B:$B))),Subject!$B:$B,0),3))))</f>
        <v/>
      </c>
      <c r="J11" s="2" t="str">
        <f t="array" ref="J11">IF(NOW()&gt;AU11,"",IF(AND((WEEKDAY($A11)+$B$2)&gt;1,((WEEKDAY($A11)+$T$2)&lt;7),(WEEKDAY($A11)&lt;&gt;1)),"work",(INDEX(Subject!$A:$I,MATCH(RANDBETWEEN(1,(MAX(Subject!$B:$B))),Subject!$B:$B,0),3))))</f>
        <v/>
      </c>
      <c r="K11" s="2" t="str">
        <f t="array" ref="K11">IF(NOW()&gt;AV11,"",IF(AND((WEEKDAY($A11)+$B$2)&gt;1,((WEEKDAY($A11)+$T$2)&lt;7),(WEEKDAY($A11)&lt;&gt;1)),"work",(INDEX(Subject!$A:$I,MATCH(RANDBETWEEN(1,(MAX(Subject!$B:$B))),Subject!$B:$B,0),3))))</f>
        <v/>
      </c>
      <c r="L11" s="2" t="str">
        <f t="array" ref="L11">IF(NOW()&gt;AW11,"",IF(AND((WEEKDAY($A11)+$B$2)&gt;1,((WEEKDAY($A11)+$T$2)&lt;7),(WEEKDAY($A11)&lt;&gt;1)),"work",(INDEX(Subject!$A:$I,MATCH(RANDBETWEEN(1,(MAX(Subject!$B:$B))),Subject!$B:$B,0),3))))</f>
        <v/>
      </c>
      <c r="M11" s="2" t="str">
        <f t="array" ref="M11">IF(NOW()&gt;AX11,"",IF(AND((WEEKDAY($A11)+$B$2)&gt;1,((WEEKDAY($A11)+$T$2)&lt;7),(WEEKDAY($A11)&lt;&gt;1)),"work",(INDEX(Subject!$A:$I,MATCH(RANDBETWEEN(1,(MAX(Subject!$B:$B))),Subject!$B:$B,0),3))))</f>
        <v/>
      </c>
      <c r="N11" s="2" t="str">
        <f t="array" ref="N11">IF(NOW()&gt;AY11,"",IF(AND((WEEKDAY($A11)+$B$2)&gt;1,((WEEKDAY($A11)+$T$2)&lt;7),(WEEKDAY($A11)&lt;&gt;1)),"work",(INDEX(Subject!$A:$I,MATCH(RANDBETWEEN(1,(MAX(Subject!$B:$B))),Subject!$B:$B,0),3))))</f>
        <v/>
      </c>
      <c r="O11" s="2" t="str">
        <f t="array" ref="O11">IF(NOW()&gt;AZ11,"",IF(AND((WEEKDAY($A11)+$B$2)&gt;1,((WEEKDAY($A11)+$T$2)&lt;7),(WEEKDAY($A11)&lt;&gt;1)),"work",(INDEX(Subject!$A:$I,MATCH(RANDBETWEEN(1,(MAX(Subject!$B:$B))),Subject!$B:$B,0),3))))</f>
        <v/>
      </c>
      <c r="P11" s="2" t="str">
        <f t="array" ref="P11">IF(NOW()&gt;BA11,"",IF(AND((WEEKDAY($A11)+$B$2)&gt;1,((WEEKDAY($A11)+$T$2)&lt;7),(WEEKDAY($A11)&lt;&gt;1)),"work",(INDEX(Subject!$A:$I,MATCH(RANDBETWEEN(1,(MAX(Subject!$B:$B))),Subject!$B:$B,0),3))))</f>
        <v/>
      </c>
      <c r="Q11" s="2" t="str">
        <f t="array" ref="Q11">IF(NOW()&gt;BB11,"",IF(AND((WEEKDAY($A11)+$B$2)&gt;1,((WEEKDAY($A11)+$T$2)&lt;7),(WEEKDAY($A11)&lt;&gt;1)),"work",(INDEX(Subject!$A:$I,MATCH(RANDBETWEEN(1,(MAX(Subject!$B:$B))),Subject!$B:$B,0),3))))</f>
        <v/>
      </c>
      <c r="R11" s="2" t="str">
        <f t="array" ref="R11">IF(NOW()&gt;BC11,"",IF(AND((WEEKDAY($A11)+$B$2)&gt;1,((WEEKDAY($A11)+$T$2)&lt;7),(WEEKDAY($A11)&lt;&gt;1)),"work",(INDEX(Subject!$A:$I,MATCH(RANDBETWEEN(1,(MAX(Subject!$B:$B))),Subject!$B:$B,0),3))))</f>
        <v/>
      </c>
      <c r="S11" s="2" t="str">
        <f t="array" ref="S11">IF(NOW()&gt;BD11,"",IF(AND((WEEKDAY($A11)+$B$2)&gt;1,((WEEKDAY($A11)+$T$2)&lt;7),(WEEKDAY($A11)&lt;&gt;1)),"work",(INDEX(Subject!$A:$I,MATCH(RANDBETWEEN(1,(MAX(Subject!$B:$B))),Subject!$B:$B,0),3))))</f>
        <v/>
      </c>
      <c r="T11" s="2" t="str">
        <f t="array" ref="T11">IF(NOW()&gt;BE11,"",IF(AND((WEEKDAY($A11)+$B$2)&gt;1,((WEEKDAY($A11)+$T$2)&lt;7),(WEEKDAY($A11)&lt;&gt;1)),"work",(INDEX(Subject!$A:$I,MATCH(RANDBETWEEN(1,(MAX(Subject!$B:$B))),Subject!$B:$B,0),3))))</f>
        <v/>
      </c>
      <c r="U11" s="8" t="str">
        <f t="array" ref="U11">INDEX(Subject!$A:$I,MATCH(RANDBETWEEN(1,16),Subject!$B:$B,0),3)</f>
        <v>#N/A</v>
      </c>
      <c r="V11" s="8" t="str">
        <f t="array" ref="V11">INDEX(Subject!$A:$I,MATCH(RANDBETWEEN(1,16),Subject!$B:$B,0),3)</f>
        <v/>
      </c>
      <c r="W11" s="8" t="str">
        <f t="array" ref="W11">INDEX(Subject!$A:$I,MATCH(RANDBETWEEN(1,16),Subject!$B:$B,0),3)</f>
        <v>#N/A</v>
      </c>
      <c r="X11" s="8" t="str">
        <f t="array" ref="X11">INDEX(Subject!$A:$I,MATCH(RANDBETWEEN(1,16),Subject!$B:$B,0),3)</f>
        <v>#N/A</v>
      </c>
      <c r="Y11" s="8" t="str">
        <f t="array" ref="Y11">INDEX(Subject!$A:$I,MATCH(RANDBETWEEN(1,16),Subject!$B:$B,0),3)</f>
        <v>#N/A</v>
      </c>
      <c r="Z11" s="8" t="str">
        <f t="array" ref="Z11">INDEX(Subject!$A:$I,MATCH(RANDBETWEEN(1,16),Subject!$B:$B,0),3)</f>
        <v>#N/A</v>
      </c>
      <c r="AA11" s="8" t="str">
        <f t="array" ref="AA11">INDEX(Subject!$A:$I,MATCH(RANDBETWEEN(1,16),Subject!$B:$B,0),3)</f>
        <v/>
      </c>
      <c r="AB11" s="8" t="str">
        <f t="array" ref="AB11">INDEX(Subject!$A:$I,MATCH(RANDBETWEEN(1,16),Subject!$B:$B,0),3)</f>
        <v>#N/A</v>
      </c>
      <c r="AC11" s="8" t="str">
        <f t="array" ref="AC11">INDEX(Subject!$A:$I,MATCH(RANDBETWEEN(1,16),Subject!$B:$B,0),3)</f>
        <v>#N/A</v>
      </c>
      <c r="AD11" s="8" t="str">
        <f t="array" ref="AD11">INDEX(Subject!$A:$I,MATCH(RANDBETWEEN(1,16),Subject!$B:$B,0),3)</f>
        <v>#N/A</v>
      </c>
      <c r="AE11" s="8" t="str">
        <f t="array" ref="AE11">INDEX(Subject!$A:$I,MATCH(RANDBETWEEN(1,16),Subject!$B:$B,0),3)</f>
        <v>#N/A</v>
      </c>
      <c r="AF11" s="8" t="str">
        <f t="array" ref="AF11">INDEX(Subject!$A:$I,MATCH(RANDBETWEEN(1,16),Subject!$B:$B,0),3)</f>
        <v>#N/A</v>
      </c>
      <c r="AG11" s="8" t="str">
        <f t="array" ref="AG11">INDEX(Subject!$A:$I,MATCH(RANDBETWEEN(1,16),Subject!$B:$B,0),3)</f>
        <v>#N/A</v>
      </c>
      <c r="AH11" s="8" t="str">
        <f t="array" ref="AH11">INDEX(Subject!$A:$I,MATCH(RANDBETWEEN(1,16),Subject!$B:$B,0),3)</f>
        <v>#N/A</v>
      </c>
      <c r="AI11" s="8" t="str">
        <f t="array" ref="AI11">INDEX(Subject!$A:$I,MATCH(RANDBETWEEN(1,16),Subject!$B:$B,0),3)</f>
        <v>#N/A</v>
      </c>
      <c r="AJ11" s="8" t="str">
        <f t="array" ref="AJ11">INDEX(Subject!$A:$I,MATCH(RANDBETWEEN(1,16),Subject!$B:$B,0),3)</f>
        <v>#N/A</v>
      </c>
      <c r="AK11" s="8" t="str">
        <f t="array" ref="AK11">INDEX(Subject!$A:$I,MATCH(RANDBETWEEN(1,16),Subject!$B:$B,0),3)</f>
        <v>#N/A</v>
      </c>
      <c r="AL11" s="8" t="str">
        <f t="array" ref="AL11">INDEX(Subject!$A:$I,MATCH(RANDBETWEEN(1,16),Subject!$B:$B,0),3)</f>
        <v>#N/A</v>
      </c>
      <c r="AM11" s="18">
        <f t="shared" si="4"/>
        <v>45511.33333</v>
      </c>
      <c r="AN11" s="19">
        <f t="shared" ref="AN11:BZ11" si="11">$A11+C$1</f>
        <v>45511.35417</v>
      </c>
      <c r="AO11" s="19">
        <f t="shared" si="11"/>
        <v>45511.375</v>
      </c>
      <c r="AP11" s="19">
        <f t="shared" si="11"/>
        <v>45511.39583</v>
      </c>
      <c r="AQ11" s="19">
        <f t="shared" si="11"/>
        <v>45511.41667</v>
      </c>
      <c r="AR11" s="19">
        <f t="shared" si="11"/>
        <v>45511.4375</v>
      </c>
      <c r="AS11" s="19">
        <f t="shared" si="11"/>
        <v>45511.45833</v>
      </c>
      <c r="AT11" s="19">
        <f t="shared" si="11"/>
        <v>45511.47917</v>
      </c>
      <c r="AU11" s="19">
        <f t="shared" si="11"/>
        <v>45511.5</v>
      </c>
      <c r="AV11" s="19">
        <f t="shared" si="11"/>
        <v>45511.52083</v>
      </c>
      <c r="AW11" s="19">
        <f t="shared" si="11"/>
        <v>45511.54167</v>
      </c>
      <c r="AX11" s="19">
        <f t="shared" si="11"/>
        <v>45511.5625</v>
      </c>
      <c r="AY11" s="19">
        <f t="shared" si="11"/>
        <v>45511.58333</v>
      </c>
      <c r="AZ11" s="19">
        <f t="shared" si="11"/>
        <v>45511.60417</v>
      </c>
      <c r="BA11" s="19">
        <f t="shared" si="11"/>
        <v>45511.625</v>
      </c>
      <c r="BB11" s="19">
        <f t="shared" si="11"/>
        <v>45511.64583</v>
      </c>
      <c r="BC11" s="19">
        <f t="shared" si="11"/>
        <v>45511.66667</v>
      </c>
      <c r="BD11" s="19">
        <f t="shared" si="11"/>
        <v>45511.6875</v>
      </c>
      <c r="BE11" s="19">
        <f t="shared" si="11"/>
        <v>45511.70833</v>
      </c>
      <c r="BF11" s="19">
        <f t="shared" si="11"/>
        <v>45511.72917</v>
      </c>
      <c r="BG11" s="19">
        <f t="shared" si="11"/>
        <v>45511.75</v>
      </c>
      <c r="BH11" s="19">
        <f t="shared" si="11"/>
        <v>45511.77083</v>
      </c>
      <c r="BI11" s="19">
        <f t="shared" si="11"/>
        <v>45511.79167</v>
      </c>
      <c r="BJ11" s="19">
        <f t="shared" si="11"/>
        <v>45511.8125</v>
      </c>
      <c r="BK11" s="19">
        <f t="shared" si="11"/>
        <v>45511.83333</v>
      </c>
      <c r="BL11" s="19">
        <f t="shared" si="11"/>
        <v>45511.85417</v>
      </c>
      <c r="BM11" s="19">
        <f t="shared" si="11"/>
        <v>45511.875</v>
      </c>
      <c r="BN11" s="19">
        <f t="shared" si="11"/>
        <v>45511.89583</v>
      </c>
      <c r="BO11" s="19">
        <f t="shared" si="11"/>
        <v>45511.91667</v>
      </c>
      <c r="BP11" s="19">
        <f t="shared" si="11"/>
        <v>45511.9375</v>
      </c>
      <c r="BQ11" s="19">
        <f t="shared" si="11"/>
        <v>45511.95833</v>
      </c>
      <c r="BR11" s="19">
        <f t="shared" si="11"/>
        <v>45511.97917</v>
      </c>
      <c r="BS11" s="19">
        <f t="shared" si="11"/>
        <v>45512</v>
      </c>
      <c r="BT11" s="19">
        <f t="shared" si="11"/>
        <v>45512.02083</v>
      </c>
      <c r="BU11" s="19">
        <f t="shared" si="11"/>
        <v>45512.04167</v>
      </c>
      <c r="BV11" s="19">
        <f t="shared" si="11"/>
        <v>45512.0625</v>
      </c>
      <c r="BW11" s="19">
        <f t="shared" si="11"/>
        <v>45512.08333</v>
      </c>
      <c r="BX11" s="19">
        <f t="shared" si="11"/>
        <v>45511</v>
      </c>
      <c r="BY11" s="19">
        <f t="shared" si="11"/>
        <v>45511</v>
      </c>
      <c r="BZ11" s="19">
        <f t="shared" si="11"/>
        <v>45511</v>
      </c>
    </row>
    <row r="12" ht="14.25" customHeight="1">
      <c r="A12" s="17">
        <v>45512.0</v>
      </c>
      <c r="B12" s="2" t="str">
        <f t="array" ref="B12">IF(NOW()&gt;AM12,"",IF(AND((WEEKDAY($A12)+$B$2)&gt;1,((WEEKDAY($A12)+$T$2)&lt;7),(WEEKDAY($A12)&lt;&gt;1)),"work",(INDEX(Subject!$A:$I,MATCH(RANDBETWEEN(1,(MAX(Subject!$B:$B))),Subject!$B:$B,0),3))))</f>
        <v/>
      </c>
      <c r="C12" s="2" t="str">
        <f t="array" ref="C12">IF(NOW()&gt;AN12,"",IF(AND((WEEKDAY($A12)+$B$2)&gt;1,((WEEKDAY($A12)+$T$2)&lt;7),(WEEKDAY($A12)&lt;&gt;1)),"work",(INDEX(Subject!$A:$I,MATCH(RANDBETWEEN(1,(MAX(Subject!$B:$B))),Subject!$B:$B,0),3))))</f>
        <v/>
      </c>
      <c r="D12" s="2" t="str">
        <f t="array" ref="D12">IF(NOW()&gt;AO12,"",IF(AND((WEEKDAY($A12)+$B$2)&gt;1,((WEEKDAY($A12)+$T$2)&lt;7),(WEEKDAY($A12)&lt;&gt;1)),"work",(INDEX(Subject!$A:$I,MATCH(RANDBETWEEN(1,(MAX(Subject!$B:$B))),Subject!$B:$B,0),3))))</f>
        <v/>
      </c>
      <c r="E12" s="2" t="str">
        <f t="array" ref="E12">IF(NOW()&gt;AP12,"",IF(AND((WEEKDAY($A12)+$B$2)&gt;1,((WEEKDAY($A12)+$T$2)&lt;7),(WEEKDAY($A12)&lt;&gt;1)),"work",(INDEX(Subject!$A:$I,MATCH(RANDBETWEEN(1,(MAX(Subject!$B:$B))),Subject!$B:$B,0),3))))</f>
        <v/>
      </c>
      <c r="F12" s="2" t="str">
        <f t="array" ref="F12">IF(NOW()&gt;AQ12,"",IF(AND((WEEKDAY($A12)+$B$2)&gt;1,((WEEKDAY($A12)+$T$2)&lt;7),(WEEKDAY($A12)&lt;&gt;1)),"work",(INDEX(Subject!$A:$I,MATCH(RANDBETWEEN(1,(MAX(Subject!$B:$B))),Subject!$B:$B,0),3))))</f>
        <v/>
      </c>
      <c r="G12" s="2" t="str">
        <f t="array" ref="G12">IF(NOW()&gt;AR12,"",IF(AND((WEEKDAY($A12)+$B$2)&gt;1,((WEEKDAY($A12)+$T$2)&lt;7),(WEEKDAY($A12)&lt;&gt;1)),"work",(INDEX(Subject!$A:$I,MATCH(RANDBETWEEN(1,(MAX(Subject!$B:$B))),Subject!$B:$B,0),3))))</f>
        <v/>
      </c>
      <c r="H12" s="2" t="str">
        <f t="array" ref="H12">IF(NOW()&gt;AS12,"",IF(AND((WEEKDAY($A12)+$B$2)&gt;1,((WEEKDAY($A12)+$T$2)&lt;7),(WEEKDAY($A12)&lt;&gt;1)),"work",(INDEX(Subject!$A:$I,MATCH(RANDBETWEEN(1,(MAX(Subject!$B:$B))),Subject!$B:$B,0),3))))</f>
        <v/>
      </c>
      <c r="I12" s="2" t="str">
        <f t="array" ref="I12">IF(NOW()&gt;AT12,"",IF(AND((WEEKDAY($A12)+$B$2)&gt;1,((WEEKDAY($A12)+$T$2)&lt;7),(WEEKDAY($A12)&lt;&gt;1)),"work",(INDEX(Subject!$A:$I,MATCH(RANDBETWEEN(1,(MAX(Subject!$B:$B))),Subject!$B:$B,0),3))))</f>
        <v/>
      </c>
      <c r="J12" s="2" t="str">
        <f t="array" ref="J12">IF(NOW()&gt;AU12,"",IF(AND((WEEKDAY($A12)+$B$2)&gt;1,((WEEKDAY($A12)+$T$2)&lt;7),(WEEKDAY($A12)&lt;&gt;1)),"work",(INDEX(Subject!$A:$I,MATCH(RANDBETWEEN(1,(MAX(Subject!$B:$B))),Subject!$B:$B,0),3))))</f>
        <v/>
      </c>
      <c r="K12" s="2" t="str">
        <f t="array" ref="K12">IF(NOW()&gt;AV12,"",IF(AND((WEEKDAY($A12)+$B$2)&gt;1,((WEEKDAY($A12)+$T$2)&lt;7),(WEEKDAY($A12)&lt;&gt;1)),"work",(INDEX(Subject!$A:$I,MATCH(RANDBETWEEN(1,(MAX(Subject!$B:$B))),Subject!$B:$B,0),3))))</f>
        <v/>
      </c>
      <c r="L12" s="2" t="str">
        <f t="array" ref="L12">IF(NOW()&gt;AW12,"",IF(AND((WEEKDAY($A12)+$B$2)&gt;1,((WEEKDAY($A12)+$T$2)&lt;7),(WEEKDAY($A12)&lt;&gt;1)),"work",(INDEX(Subject!$A:$I,MATCH(RANDBETWEEN(1,(MAX(Subject!$B:$B))),Subject!$B:$B,0),3))))</f>
        <v/>
      </c>
      <c r="M12" s="2" t="str">
        <f t="array" ref="M12">IF(NOW()&gt;AX12,"",IF(AND((WEEKDAY($A12)+$B$2)&gt;1,((WEEKDAY($A12)+$T$2)&lt;7),(WEEKDAY($A12)&lt;&gt;1)),"work",(INDEX(Subject!$A:$I,MATCH(RANDBETWEEN(1,(MAX(Subject!$B:$B))),Subject!$B:$B,0),3))))</f>
        <v/>
      </c>
      <c r="N12" s="2" t="str">
        <f t="array" ref="N12">IF(NOW()&gt;AY12,"",IF(AND((WEEKDAY($A12)+$B$2)&gt;1,((WEEKDAY($A12)+$T$2)&lt;7),(WEEKDAY($A12)&lt;&gt;1)),"work",(INDEX(Subject!$A:$I,MATCH(RANDBETWEEN(1,(MAX(Subject!$B:$B))),Subject!$B:$B,0),3))))</f>
        <v/>
      </c>
      <c r="O12" s="2" t="str">
        <f t="array" ref="O12">IF(NOW()&gt;AZ12,"",IF(AND((WEEKDAY($A12)+$B$2)&gt;1,((WEEKDAY($A12)+$T$2)&lt;7),(WEEKDAY($A12)&lt;&gt;1)),"work",(INDEX(Subject!$A:$I,MATCH(RANDBETWEEN(1,(MAX(Subject!$B:$B))),Subject!$B:$B,0),3))))</f>
        <v/>
      </c>
      <c r="P12" s="2" t="str">
        <f t="array" ref="P12">IF(NOW()&gt;BA12,"",IF(AND((WEEKDAY($A12)+$B$2)&gt;1,((WEEKDAY($A12)+$T$2)&lt;7),(WEEKDAY($A12)&lt;&gt;1)),"work",(INDEX(Subject!$A:$I,MATCH(RANDBETWEEN(1,(MAX(Subject!$B:$B))),Subject!$B:$B,0),3))))</f>
        <v/>
      </c>
      <c r="Q12" s="2" t="str">
        <f t="array" ref="Q12">IF(NOW()&gt;BB12,"",IF(AND((WEEKDAY($A12)+$B$2)&gt;1,((WEEKDAY($A12)+$T$2)&lt;7),(WEEKDAY($A12)&lt;&gt;1)),"work",(INDEX(Subject!$A:$I,MATCH(RANDBETWEEN(1,(MAX(Subject!$B:$B))),Subject!$B:$B,0),3))))</f>
        <v/>
      </c>
      <c r="R12" s="2" t="str">
        <f t="array" ref="R12">IF(NOW()&gt;BC12,"",IF(AND((WEEKDAY($A12)+$B$2)&gt;1,((WEEKDAY($A12)+$T$2)&lt;7),(WEEKDAY($A12)&lt;&gt;1)),"work",(INDEX(Subject!$A:$I,MATCH(RANDBETWEEN(1,(MAX(Subject!$B:$B))),Subject!$B:$B,0),3))))</f>
        <v/>
      </c>
      <c r="S12" s="2" t="str">
        <f t="array" ref="S12">IF(NOW()&gt;BD12,"",IF(AND((WEEKDAY($A12)+$B$2)&gt;1,((WEEKDAY($A12)+$T$2)&lt;7),(WEEKDAY($A12)&lt;&gt;1)),"work",(INDEX(Subject!$A:$I,MATCH(RANDBETWEEN(1,(MAX(Subject!$B:$B))),Subject!$B:$B,0),3))))</f>
        <v/>
      </c>
      <c r="T12" s="2" t="str">
        <f t="array" ref="T12">IF(NOW()&gt;BE12,"",IF(AND((WEEKDAY($A12)+$B$2)&gt;1,((WEEKDAY($A12)+$T$2)&lt;7),(WEEKDAY($A12)&lt;&gt;1)),"work",(INDEX(Subject!$A:$I,MATCH(RANDBETWEEN(1,(MAX(Subject!$B:$B))),Subject!$B:$B,0),3))))</f>
        <v/>
      </c>
      <c r="U12" s="8" t="str">
        <f t="array" ref="U12">INDEX(Subject!$A:$I,MATCH(RANDBETWEEN(1,16),Subject!$B:$B,0),3)</f>
        <v>#N/A</v>
      </c>
      <c r="V12" s="8" t="str">
        <f t="array" ref="V12">INDEX(Subject!$A:$I,MATCH(RANDBETWEEN(1,16),Subject!$B:$B,0),3)</f>
        <v>#N/A</v>
      </c>
      <c r="W12" s="8" t="str">
        <f t="array" ref="W12">INDEX(Subject!$A:$I,MATCH(RANDBETWEEN(1,16),Subject!$B:$B,0),3)</f>
        <v/>
      </c>
      <c r="X12" s="8" t="str">
        <f t="array" ref="X12">INDEX(Subject!$A:$I,MATCH(RANDBETWEEN(1,16),Subject!$B:$B,0),3)</f>
        <v>#N/A</v>
      </c>
      <c r="Y12" s="8" t="str">
        <f t="array" ref="Y12">INDEX(Subject!$A:$I,MATCH(RANDBETWEEN(1,16),Subject!$B:$B,0),3)</f>
        <v>#N/A</v>
      </c>
      <c r="Z12" s="8" t="str">
        <f t="array" ref="Z12">INDEX(Subject!$A:$I,MATCH(RANDBETWEEN(1,16),Subject!$B:$B,0),3)</f>
        <v>#N/A</v>
      </c>
      <c r="AA12" s="8" t="str">
        <f t="array" ref="AA12">INDEX(Subject!$A:$I,MATCH(RANDBETWEEN(1,16),Subject!$B:$B,0),3)</f>
        <v>#N/A</v>
      </c>
      <c r="AB12" s="8" t="str">
        <f t="array" ref="AB12">INDEX(Subject!$A:$I,MATCH(RANDBETWEEN(1,16),Subject!$B:$B,0),3)</f>
        <v>#N/A</v>
      </c>
      <c r="AC12" s="8" t="str">
        <f t="array" ref="AC12">INDEX(Subject!$A:$I,MATCH(RANDBETWEEN(1,16),Subject!$B:$B,0),3)</f>
        <v>#N/A</v>
      </c>
      <c r="AD12" s="8" t="str">
        <f t="array" ref="AD12">INDEX(Subject!$A:$I,MATCH(RANDBETWEEN(1,16),Subject!$B:$B,0),3)</f>
        <v>#N/A</v>
      </c>
      <c r="AE12" s="8" t="str">
        <f t="array" ref="AE12">INDEX(Subject!$A:$I,MATCH(RANDBETWEEN(1,16),Subject!$B:$B,0),3)</f>
        <v>#N/A</v>
      </c>
      <c r="AF12" s="8" t="str">
        <f t="array" ref="AF12">INDEX(Subject!$A:$I,MATCH(RANDBETWEEN(1,16),Subject!$B:$B,0),3)</f>
        <v>#N/A</v>
      </c>
      <c r="AG12" s="8" t="str">
        <f t="array" ref="AG12">INDEX(Subject!$A:$I,MATCH(RANDBETWEEN(1,16),Subject!$B:$B,0),3)</f>
        <v>#N/A</v>
      </c>
      <c r="AH12" s="8" t="str">
        <f t="array" ref="AH12">INDEX(Subject!$A:$I,MATCH(RANDBETWEEN(1,16),Subject!$B:$B,0),3)</f>
        <v>#N/A</v>
      </c>
      <c r="AI12" s="8" t="str">
        <f t="array" ref="AI12">INDEX(Subject!$A:$I,MATCH(RANDBETWEEN(1,16),Subject!$B:$B,0),3)</f>
        <v>#N/A</v>
      </c>
      <c r="AJ12" s="8" t="str">
        <f t="array" ref="AJ12">INDEX(Subject!$A:$I,MATCH(RANDBETWEEN(1,16),Subject!$B:$B,0),3)</f>
        <v>#N/A</v>
      </c>
      <c r="AK12" s="8" t="str">
        <f t="array" ref="AK12">INDEX(Subject!$A:$I,MATCH(RANDBETWEEN(1,16),Subject!$B:$B,0),3)</f>
        <v>#N/A</v>
      </c>
      <c r="AL12" s="8" t="str">
        <f t="array" ref="AL12">INDEX(Subject!$A:$I,MATCH(RANDBETWEEN(1,16),Subject!$B:$B,0),3)</f>
        <v>#N/A</v>
      </c>
      <c r="AM12" s="18">
        <f t="shared" si="4"/>
        <v>45512.33333</v>
      </c>
      <c r="AN12" s="19">
        <f t="shared" ref="AN12:BZ12" si="12">$A12+C$1</f>
        <v>45512.35417</v>
      </c>
      <c r="AO12" s="19">
        <f t="shared" si="12"/>
        <v>45512.375</v>
      </c>
      <c r="AP12" s="19">
        <f t="shared" si="12"/>
        <v>45512.39583</v>
      </c>
      <c r="AQ12" s="19">
        <f t="shared" si="12"/>
        <v>45512.41667</v>
      </c>
      <c r="AR12" s="19">
        <f t="shared" si="12"/>
        <v>45512.4375</v>
      </c>
      <c r="AS12" s="19">
        <f t="shared" si="12"/>
        <v>45512.45833</v>
      </c>
      <c r="AT12" s="19">
        <f t="shared" si="12"/>
        <v>45512.47917</v>
      </c>
      <c r="AU12" s="19">
        <f t="shared" si="12"/>
        <v>45512.5</v>
      </c>
      <c r="AV12" s="19">
        <f t="shared" si="12"/>
        <v>45512.52083</v>
      </c>
      <c r="AW12" s="19">
        <f t="shared" si="12"/>
        <v>45512.54167</v>
      </c>
      <c r="AX12" s="19">
        <f t="shared" si="12"/>
        <v>45512.5625</v>
      </c>
      <c r="AY12" s="19">
        <f t="shared" si="12"/>
        <v>45512.58333</v>
      </c>
      <c r="AZ12" s="19">
        <f t="shared" si="12"/>
        <v>45512.60417</v>
      </c>
      <c r="BA12" s="19">
        <f t="shared" si="12"/>
        <v>45512.625</v>
      </c>
      <c r="BB12" s="19">
        <f t="shared" si="12"/>
        <v>45512.64583</v>
      </c>
      <c r="BC12" s="19">
        <f t="shared" si="12"/>
        <v>45512.66667</v>
      </c>
      <c r="BD12" s="19">
        <f t="shared" si="12"/>
        <v>45512.6875</v>
      </c>
      <c r="BE12" s="19">
        <f t="shared" si="12"/>
        <v>45512.70833</v>
      </c>
      <c r="BF12" s="19">
        <f t="shared" si="12"/>
        <v>45512.72917</v>
      </c>
      <c r="BG12" s="19">
        <f t="shared" si="12"/>
        <v>45512.75</v>
      </c>
      <c r="BH12" s="19">
        <f t="shared" si="12"/>
        <v>45512.77083</v>
      </c>
      <c r="BI12" s="19">
        <f t="shared" si="12"/>
        <v>45512.79167</v>
      </c>
      <c r="BJ12" s="19">
        <f t="shared" si="12"/>
        <v>45512.8125</v>
      </c>
      <c r="BK12" s="19">
        <f t="shared" si="12"/>
        <v>45512.83333</v>
      </c>
      <c r="BL12" s="19">
        <f t="shared" si="12"/>
        <v>45512.85417</v>
      </c>
      <c r="BM12" s="19">
        <f t="shared" si="12"/>
        <v>45512.875</v>
      </c>
      <c r="BN12" s="19">
        <f t="shared" si="12"/>
        <v>45512.89583</v>
      </c>
      <c r="BO12" s="19">
        <f t="shared" si="12"/>
        <v>45512.91667</v>
      </c>
      <c r="BP12" s="19">
        <f t="shared" si="12"/>
        <v>45512.9375</v>
      </c>
      <c r="BQ12" s="19">
        <f t="shared" si="12"/>
        <v>45512.95833</v>
      </c>
      <c r="BR12" s="19">
        <f t="shared" si="12"/>
        <v>45512.97917</v>
      </c>
      <c r="BS12" s="19">
        <f t="shared" si="12"/>
        <v>45513</v>
      </c>
      <c r="BT12" s="19">
        <f t="shared" si="12"/>
        <v>45513.02083</v>
      </c>
      <c r="BU12" s="19">
        <f t="shared" si="12"/>
        <v>45513.04167</v>
      </c>
      <c r="BV12" s="19">
        <f t="shared" si="12"/>
        <v>45513.0625</v>
      </c>
      <c r="BW12" s="19">
        <f t="shared" si="12"/>
        <v>45513.08333</v>
      </c>
      <c r="BX12" s="19">
        <f t="shared" si="12"/>
        <v>45512</v>
      </c>
      <c r="BY12" s="19">
        <f t="shared" si="12"/>
        <v>45512</v>
      </c>
      <c r="BZ12" s="19">
        <f t="shared" si="12"/>
        <v>45512</v>
      </c>
    </row>
    <row r="13" ht="14.25" customHeight="1">
      <c r="A13" s="17">
        <v>45513.0</v>
      </c>
      <c r="B13" s="2" t="str">
        <f t="array" ref="B13">IF(NOW()&gt;AM13,"",IF(AND((WEEKDAY($A13)+$B$2)&gt;1,((WEEKDAY($A13)+$T$2)&lt;7),(WEEKDAY($A13)&lt;&gt;1)),"work",(INDEX(Subject!$A:$I,MATCH(RANDBETWEEN(1,(MAX(Subject!$B:$B))),Subject!$B:$B,0),3))))</f>
        <v/>
      </c>
      <c r="C13" s="2" t="str">
        <f t="array" ref="C13">IF(NOW()&gt;AN13,"",IF(AND((WEEKDAY($A13)+$B$2)&gt;1,((WEEKDAY($A13)+$T$2)&lt;7),(WEEKDAY($A13)&lt;&gt;1)),"work",(INDEX(Subject!$A:$I,MATCH(RANDBETWEEN(1,(MAX(Subject!$B:$B))),Subject!$B:$B,0),3))))</f>
        <v/>
      </c>
      <c r="D13" s="2" t="str">
        <f t="array" ref="D13">IF(NOW()&gt;AO13,"",IF(AND((WEEKDAY($A13)+$B$2)&gt;1,((WEEKDAY($A13)+$T$2)&lt;7),(WEEKDAY($A13)&lt;&gt;1)),"work",(INDEX(Subject!$A:$I,MATCH(RANDBETWEEN(1,(MAX(Subject!$B:$B))),Subject!$B:$B,0),3))))</f>
        <v/>
      </c>
      <c r="E13" s="2" t="str">
        <f t="array" ref="E13">IF(NOW()&gt;AP13,"",IF(AND((WEEKDAY($A13)+$B$2)&gt;1,((WEEKDAY($A13)+$T$2)&lt;7),(WEEKDAY($A13)&lt;&gt;1)),"work",(INDEX(Subject!$A:$I,MATCH(RANDBETWEEN(1,(MAX(Subject!$B:$B))),Subject!$B:$B,0),3))))</f>
        <v/>
      </c>
      <c r="F13" s="2" t="str">
        <f t="array" ref="F13">IF(NOW()&gt;AQ13,"",IF(AND((WEEKDAY($A13)+$B$2)&gt;1,((WEEKDAY($A13)+$T$2)&lt;7),(WEEKDAY($A13)&lt;&gt;1)),"work",(INDEX(Subject!$A:$I,MATCH(RANDBETWEEN(1,(MAX(Subject!$B:$B))),Subject!$B:$B,0),3))))</f>
        <v/>
      </c>
      <c r="G13" s="2" t="str">
        <f t="array" ref="G13">IF(NOW()&gt;AR13,"",IF(AND((WEEKDAY($A13)+$B$2)&gt;1,((WEEKDAY($A13)+$T$2)&lt;7),(WEEKDAY($A13)&lt;&gt;1)),"work",(INDEX(Subject!$A:$I,MATCH(RANDBETWEEN(1,(MAX(Subject!$B:$B))),Subject!$B:$B,0),3))))</f>
        <v/>
      </c>
      <c r="H13" s="2" t="str">
        <f t="array" ref="H13">IF(NOW()&gt;AS13,"",IF(AND((WEEKDAY($A13)+$B$2)&gt;1,((WEEKDAY($A13)+$T$2)&lt;7),(WEEKDAY($A13)&lt;&gt;1)),"work",(INDEX(Subject!$A:$I,MATCH(RANDBETWEEN(1,(MAX(Subject!$B:$B))),Subject!$B:$B,0),3))))</f>
        <v/>
      </c>
      <c r="I13" s="2" t="str">
        <f t="array" ref="I13">IF(NOW()&gt;AT13,"",IF(AND((WEEKDAY($A13)+$B$2)&gt;1,((WEEKDAY($A13)+$T$2)&lt;7),(WEEKDAY($A13)&lt;&gt;1)),"work",(INDEX(Subject!$A:$I,MATCH(RANDBETWEEN(1,(MAX(Subject!$B:$B))),Subject!$B:$B,0),3))))</f>
        <v/>
      </c>
      <c r="J13" s="2" t="str">
        <f t="array" ref="J13">IF(NOW()&gt;AU13,"",IF(AND((WEEKDAY($A13)+$B$2)&gt;1,((WEEKDAY($A13)+$T$2)&lt;7),(WEEKDAY($A13)&lt;&gt;1)),"work",(INDEX(Subject!$A:$I,MATCH(RANDBETWEEN(1,(MAX(Subject!$B:$B))),Subject!$B:$B,0),3))))</f>
        <v/>
      </c>
      <c r="K13" s="2" t="str">
        <f t="array" ref="K13">IF(NOW()&gt;AV13,"",IF(AND((WEEKDAY($A13)+$B$2)&gt;1,((WEEKDAY($A13)+$T$2)&lt;7),(WEEKDAY($A13)&lt;&gt;1)),"work",(INDEX(Subject!$A:$I,MATCH(RANDBETWEEN(1,(MAX(Subject!$B:$B))),Subject!$B:$B,0),3))))</f>
        <v/>
      </c>
      <c r="L13" s="2" t="str">
        <f t="array" ref="L13">IF(NOW()&gt;AW13,"",IF(AND((WEEKDAY($A13)+$B$2)&gt;1,((WEEKDAY($A13)+$T$2)&lt;7),(WEEKDAY($A13)&lt;&gt;1)),"work",(INDEX(Subject!$A:$I,MATCH(RANDBETWEEN(1,(MAX(Subject!$B:$B))),Subject!$B:$B,0),3))))</f>
        <v/>
      </c>
      <c r="M13" s="2" t="str">
        <f t="array" ref="M13">IF(NOW()&gt;AX13,"",IF(AND((WEEKDAY($A13)+$B$2)&gt;1,((WEEKDAY($A13)+$T$2)&lt;7),(WEEKDAY($A13)&lt;&gt;1)),"work",(INDEX(Subject!$A:$I,MATCH(RANDBETWEEN(1,(MAX(Subject!$B:$B))),Subject!$B:$B,0),3))))</f>
        <v/>
      </c>
      <c r="N13" s="2" t="str">
        <f t="array" ref="N13">IF(NOW()&gt;AY13,"",IF(AND((WEEKDAY($A13)+$B$2)&gt;1,((WEEKDAY($A13)+$T$2)&lt;7),(WEEKDAY($A13)&lt;&gt;1)),"work",(INDEX(Subject!$A:$I,MATCH(RANDBETWEEN(1,(MAX(Subject!$B:$B))),Subject!$B:$B,0),3))))</f>
        <v/>
      </c>
      <c r="O13" s="2" t="str">
        <f t="array" ref="O13">IF(NOW()&gt;AZ13,"",IF(AND((WEEKDAY($A13)+$B$2)&gt;1,((WEEKDAY($A13)+$T$2)&lt;7),(WEEKDAY($A13)&lt;&gt;1)),"work",(INDEX(Subject!$A:$I,MATCH(RANDBETWEEN(1,(MAX(Subject!$B:$B))),Subject!$B:$B,0),3))))</f>
        <v/>
      </c>
      <c r="P13" s="2" t="str">
        <f t="array" ref="P13">IF(NOW()&gt;BA13,"",IF(AND((WEEKDAY($A13)+$B$2)&gt;1,((WEEKDAY($A13)+$T$2)&lt;7),(WEEKDAY($A13)&lt;&gt;1)),"work",(INDEX(Subject!$A:$I,MATCH(RANDBETWEEN(1,(MAX(Subject!$B:$B))),Subject!$B:$B,0),3))))</f>
        <v/>
      </c>
      <c r="Q13" s="2" t="str">
        <f t="array" ref="Q13">IF(NOW()&gt;BB13,"",IF(AND((WEEKDAY($A13)+$B$2)&gt;1,((WEEKDAY($A13)+$T$2)&lt;7),(WEEKDAY($A13)&lt;&gt;1)),"work",(INDEX(Subject!$A:$I,MATCH(RANDBETWEEN(1,(MAX(Subject!$B:$B))),Subject!$B:$B,0),3))))</f>
        <v/>
      </c>
      <c r="R13" s="2" t="str">
        <f t="array" ref="R13">IF(NOW()&gt;BC13,"",IF(AND((WEEKDAY($A13)+$B$2)&gt;1,((WEEKDAY($A13)+$T$2)&lt;7),(WEEKDAY($A13)&lt;&gt;1)),"work",(INDEX(Subject!$A:$I,MATCH(RANDBETWEEN(1,(MAX(Subject!$B:$B))),Subject!$B:$B,0),3))))</f>
        <v/>
      </c>
      <c r="S13" s="2" t="str">
        <f t="array" ref="S13">IF(NOW()&gt;BD13,"",IF(AND((WEEKDAY($A13)+$B$2)&gt;1,((WEEKDAY($A13)+$T$2)&lt;7),(WEEKDAY($A13)&lt;&gt;1)),"work",(INDEX(Subject!$A:$I,MATCH(RANDBETWEEN(1,(MAX(Subject!$B:$B))),Subject!$B:$B,0),3))))</f>
        <v/>
      </c>
      <c r="T13" s="2" t="str">
        <f t="array" ref="T13">IF(NOW()&gt;BE13,"",IF(AND((WEEKDAY($A13)+$B$2)&gt;1,((WEEKDAY($A13)+$T$2)&lt;7),(WEEKDAY($A13)&lt;&gt;1)),"work",(INDEX(Subject!$A:$I,MATCH(RANDBETWEEN(1,(MAX(Subject!$B:$B))),Subject!$B:$B,0),3))))</f>
        <v/>
      </c>
      <c r="U13" s="8" t="str">
        <f t="array" ref="U13">INDEX(Subject!$A:$I,MATCH(RANDBETWEEN(1,16),Subject!$B:$B,0),3)</f>
        <v>#N/A</v>
      </c>
      <c r="V13" s="8" t="str">
        <f t="array" ref="V13">INDEX(Subject!$A:$I,MATCH(RANDBETWEEN(1,16),Subject!$B:$B,0),3)</f>
        <v>#N/A</v>
      </c>
      <c r="W13" s="8" t="str">
        <f t="array" ref="W13">INDEX(Subject!$A:$I,MATCH(RANDBETWEEN(1,16),Subject!$B:$B,0),3)</f>
        <v>#N/A</v>
      </c>
      <c r="X13" s="8" t="str">
        <f t="array" ref="X13">INDEX(Subject!$A:$I,MATCH(RANDBETWEEN(1,16),Subject!$B:$B,0),3)</f>
        <v>#N/A</v>
      </c>
      <c r="Y13" s="8" t="str">
        <f t="array" ref="Y13">INDEX(Subject!$A:$I,MATCH(RANDBETWEEN(1,16),Subject!$B:$B,0),3)</f>
        <v>#N/A</v>
      </c>
      <c r="Z13" s="8" t="str">
        <f t="array" ref="Z13">INDEX(Subject!$A:$I,MATCH(RANDBETWEEN(1,16),Subject!$B:$B,0),3)</f>
        <v>#N/A</v>
      </c>
      <c r="AA13" s="8" t="str">
        <f t="array" ref="AA13">INDEX(Subject!$A:$I,MATCH(RANDBETWEEN(1,16),Subject!$B:$B,0),3)</f>
        <v>#N/A</v>
      </c>
      <c r="AB13" s="8" t="str">
        <f t="array" ref="AB13">INDEX(Subject!$A:$I,MATCH(RANDBETWEEN(1,16),Subject!$B:$B,0),3)</f>
        <v/>
      </c>
      <c r="AC13" s="8" t="str">
        <f t="array" ref="AC13">INDEX(Subject!$A:$I,MATCH(RANDBETWEEN(1,16),Subject!$B:$B,0),3)</f>
        <v>#N/A</v>
      </c>
      <c r="AD13" s="8" t="str">
        <f t="array" ref="AD13">INDEX(Subject!$A:$I,MATCH(RANDBETWEEN(1,16),Subject!$B:$B,0),3)</f>
        <v>#N/A</v>
      </c>
      <c r="AE13" s="8" t="str">
        <f t="array" ref="AE13">INDEX(Subject!$A:$I,MATCH(RANDBETWEEN(1,16),Subject!$B:$B,0),3)</f>
        <v>#N/A</v>
      </c>
      <c r="AF13" s="8" t="str">
        <f t="array" ref="AF13">INDEX(Subject!$A:$I,MATCH(RANDBETWEEN(1,16),Subject!$B:$B,0),3)</f>
        <v>#N/A</v>
      </c>
      <c r="AG13" s="8" t="str">
        <f t="array" ref="AG13">INDEX(Subject!$A:$I,MATCH(RANDBETWEEN(1,16),Subject!$B:$B,0),3)</f>
        <v>#N/A</v>
      </c>
      <c r="AH13" s="8" t="str">
        <f t="array" ref="AH13">INDEX(Subject!$A:$I,MATCH(RANDBETWEEN(1,16),Subject!$B:$B,0),3)</f>
        <v>#N/A</v>
      </c>
      <c r="AI13" s="8" t="str">
        <f t="array" ref="AI13">INDEX(Subject!$A:$I,MATCH(RANDBETWEEN(1,16),Subject!$B:$B,0),3)</f>
        <v>#N/A</v>
      </c>
      <c r="AJ13" s="8" t="str">
        <f t="array" ref="AJ13">INDEX(Subject!$A:$I,MATCH(RANDBETWEEN(1,16),Subject!$B:$B,0),3)</f>
        <v/>
      </c>
      <c r="AK13" s="8" t="str">
        <f t="array" ref="AK13">INDEX(Subject!$A:$I,MATCH(RANDBETWEEN(1,16),Subject!$B:$B,0),3)</f>
        <v>#N/A</v>
      </c>
      <c r="AL13" s="8" t="str">
        <f t="array" ref="AL13">INDEX(Subject!$A:$I,MATCH(RANDBETWEEN(1,16),Subject!$B:$B,0),3)</f>
        <v>#N/A</v>
      </c>
      <c r="AM13" s="18">
        <f t="shared" si="4"/>
        <v>45513.33333</v>
      </c>
      <c r="AN13" s="19">
        <f t="shared" ref="AN13:BZ13" si="13">$A13+C$1</f>
        <v>45513.35417</v>
      </c>
      <c r="AO13" s="19">
        <f t="shared" si="13"/>
        <v>45513.375</v>
      </c>
      <c r="AP13" s="19">
        <f t="shared" si="13"/>
        <v>45513.39583</v>
      </c>
      <c r="AQ13" s="19">
        <f t="shared" si="13"/>
        <v>45513.41667</v>
      </c>
      <c r="AR13" s="19">
        <f t="shared" si="13"/>
        <v>45513.4375</v>
      </c>
      <c r="AS13" s="19">
        <f t="shared" si="13"/>
        <v>45513.45833</v>
      </c>
      <c r="AT13" s="19">
        <f t="shared" si="13"/>
        <v>45513.47917</v>
      </c>
      <c r="AU13" s="19">
        <f t="shared" si="13"/>
        <v>45513.5</v>
      </c>
      <c r="AV13" s="19">
        <f t="shared" si="13"/>
        <v>45513.52083</v>
      </c>
      <c r="AW13" s="19">
        <f t="shared" si="13"/>
        <v>45513.54167</v>
      </c>
      <c r="AX13" s="19">
        <f t="shared" si="13"/>
        <v>45513.5625</v>
      </c>
      <c r="AY13" s="19">
        <f t="shared" si="13"/>
        <v>45513.58333</v>
      </c>
      <c r="AZ13" s="19">
        <f t="shared" si="13"/>
        <v>45513.60417</v>
      </c>
      <c r="BA13" s="19">
        <f t="shared" si="13"/>
        <v>45513.625</v>
      </c>
      <c r="BB13" s="19">
        <f t="shared" si="13"/>
        <v>45513.64583</v>
      </c>
      <c r="BC13" s="19">
        <f t="shared" si="13"/>
        <v>45513.66667</v>
      </c>
      <c r="BD13" s="19">
        <f t="shared" si="13"/>
        <v>45513.6875</v>
      </c>
      <c r="BE13" s="19">
        <f t="shared" si="13"/>
        <v>45513.70833</v>
      </c>
      <c r="BF13" s="19">
        <f t="shared" si="13"/>
        <v>45513.72917</v>
      </c>
      <c r="BG13" s="19">
        <f t="shared" si="13"/>
        <v>45513.75</v>
      </c>
      <c r="BH13" s="19">
        <f t="shared" si="13"/>
        <v>45513.77083</v>
      </c>
      <c r="BI13" s="19">
        <f t="shared" si="13"/>
        <v>45513.79167</v>
      </c>
      <c r="BJ13" s="19">
        <f t="shared" si="13"/>
        <v>45513.8125</v>
      </c>
      <c r="BK13" s="19">
        <f t="shared" si="13"/>
        <v>45513.83333</v>
      </c>
      <c r="BL13" s="19">
        <f t="shared" si="13"/>
        <v>45513.85417</v>
      </c>
      <c r="BM13" s="19">
        <f t="shared" si="13"/>
        <v>45513.875</v>
      </c>
      <c r="BN13" s="19">
        <f t="shared" si="13"/>
        <v>45513.89583</v>
      </c>
      <c r="BO13" s="19">
        <f t="shared" si="13"/>
        <v>45513.91667</v>
      </c>
      <c r="BP13" s="19">
        <f t="shared" si="13"/>
        <v>45513.9375</v>
      </c>
      <c r="BQ13" s="19">
        <f t="shared" si="13"/>
        <v>45513.95833</v>
      </c>
      <c r="BR13" s="19">
        <f t="shared" si="13"/>
        <v>45513.97917</v>
      </c>
      <c r="BS13" s="19">
        <f t="shared" si="13"/>
        <v>45514</v>
      </c>
      <c r="BT13" s="19">
        <f t="shared" si="13"/>
        <v>45514.02083</v>
      </c>
      <c r="BU13" s="19">
        <f t="shared" si="13"/>
        <v>45514.04167</v>
      </c>
      <c r="BV13" s="19">
        <f t="shared" si="13"/>
        <v>45514.0625</v>
      </c>
      <c r="BW13" s="19">
        <f t="shared" si="13"/>
        <v>45514.08333</v>
      </c>
      <c r="BX13" s="19">
        <f t="shared" si="13"/>
        <v>45513</v>
      </c>
      <c r="BY13" s="19">
        <f t="shared" si="13"/>
        <v>45513</v>
      </c>
      <c r="BZ13" s="19">
        <f t="shared" si="13"/>
        <v>45513</v>
      </c>
    </row>
    <row r="14" ht="14.25" customHeight="1">
      <c r="A14" s="17">
        <v>45514.0</v>
      </c>
      <c r="B14" s="2" t="str">
        <f t="array" ref="B14">IF(NOW()&gt;AM14,"",IF(AND((WEEKDAY($A14)+$B$2)&gt;1,((WEEKDAY($A14)+$T$2)&lt;7),(WEEKDAY($A14)&lt;&gt;1)),"work",(INDEX(Subject!$A:$I,MATCH(RANDBETWEEN(1,(MAX(Subject!$B:$B))),Subject!$B:$B,0),3))))</f>
        <v/>
      </c>
      <c r="C14" s="2" t="str">
        <f t="array" ref="C14">IF(NOW()&gt;AN14,"",IF(AND((WEEKDAY($A14)+$B$2)&gt;1,((WEEKDAY($A14)+$T$2)&lt;7),(WEEKDAY($A14)&lt;&gt;1)),"work",(INDEX(Subject!$A:$I,MATCH(RANDBETWEEN(1,(MAX(Subject!$B:$B))),Subject!$B:$B,0),3))))</f>
        <v/>
      </c>
      <c r="D14" s="2" t="str">
        <f t="array" ref="D14">IF(NOW()&gt;AO14,"",IF(AND((WEEKDAY($A14)+$B$2)&gt;1,((WEEKDAY($A14)+$T$2)&lt;7),(WEEKDAY($A14)&lt;&gt;1)),"work",(INDEX(Subject!$A:$I,MATCH(RANDBETWEEN(1,(MAX(Subject!$B:$B))),Subject!$B:$B,0),3))))</f>
        <v/>
      </c>
      <c r="E14" s="2" t="str">
        <f t="array" ref="E14">IF(NOW()&gt;AP14,"",IF(AND((WEEKDAY($A14)+$B$2)&gt;1,((WEEKDAY($A14)+$T$2)&lt;7),(WEEKDAY($A14)&lt;&gt;1)),"work",(INDEX(Subject!$A:$I,MATCH(RANDBETWEEN(1,(MAX(Subject!$B:$B))),Subject!$B:$B,0),3))))</f>
        <v/>
      </c>
      <c r="F14" s="2" t="str">
        <f t="array" ref="F14">IF(NOW()&gt;AQ14,"",IF(AND((WEEKDAY($A14)+$B$2)&gt;1,((WEEKDAY($A14)+$T$2)&lt;7),(WEEKDAY($A14)&lt;&gt;1)),"work",(INDEX(Subject!$A:$I,MATCH(RANDBETWEEN(1,(MAX(Subject!$B:$B))),Subject!$B:$B,0),3))))</f>
        <v/>
      </c>
      <c r="G14" s="2" t="str">
        <f t="array" ref="G14">IF(NOW()&gt;AR14,"",IF(AND((WEEKDAY($A14)+$B$2)&gt;1,((WEEKDAY($A14)+$T$2)&lt;7),(WEEKDAY($A14)&lt;&gt;1)),"work",(INDEX(Subject!$A:$I,MATCH(RANDBETWEEN(1,(MAX(Subject!$B:$B))),Subject!$B:$B,0),3))))</f>
        <v/>
      </c>
      <c r="H14" s="2" t="str">
        <f t="array" ref="H14">IF(NOW()&gt;AS14,"",IF(AND((WEEKDAY($A14)+$B$2)&gt;1,((WEEKDAY($A14)+$T$2)&lt;7),(WEEKDAY($A14)&lt;&gt;1)),"work",(INDEX(Subject!$A:$I,MATCH(RANDBETWEEN(1,(MAX(Subject!$B:$B))),Subject!$B:$B,0),3))))</f>
        <v/>
      </c>
      <c r="I14" s="2" t="str">
        <f t="array" ref="I14">IF(NOW()&gt;AT14,"",IF(AND((WEEKDAY($A14)+$B$2)&gt;1,((WEEKDAY($A14)+$T$2)&lt;7),(WEEKDAY($A14)&lt;&gt;1)),"work",(INDEX(Subject!$A:$I,MATCH(RANDBETWEEN(1,(MAX(Subject!$B:$B))),Subject!$B:$B,0),3))))</f>
        <v/>
      </c>
      <c r="J14" s="2" t="str">
        <f t="array" ref="J14">IF(NOW()&gt;AU14,"",IF(AND((WEEKDAY($A14)+$B$2)&gt;1,((WEEKDAY($A14)+$T$2)&lt;7),(WEEKDAY($A14)&lt;&gt;1)),"work",(INDEX(Subject!$A:$I,MATCH(RANDBETWEEN(1,(MAX(Subject!$B:$B))),Subject!$B:$B,0),3))))</f>
        <v/>
      </c>
      <c r="K14" s="2" t="str">
        <f t="array" ref="K14">IF(NOW()&gt;AV14,"",IF(AND((WEEKDAY($A14)+$B$2)&gt;1,((WEEKDAY($A14)+$T$2)&lt;7),(WEEKDAY($A14)&lt;&gt;1)),"work",(INDEX(Subject!$A:$I,MATCH(RANDBETWEEN(1,(MAX(Subject!$B:$B))),Subject!$B:$B,0),3))))</f>
        <v/>
      </c>
      <c r="L14" s="2" t="str">
        <f t="array" ref="L14">IF(NOW()&gt;AW14,"",IF(AND((WEEKDAY($A14)+$B$2)&gt;1,((WEEKDAY($A14)+$T$2)&lt;7),(WEEKDAY($A14)&lt;&gt;1)),"work",(INDEX(Subject!$A:$I,MATCH(RANDBETWEEN(1,(MAX(Subject!$B:$B))),Subject!$B:$B,0),3))))</f>
        <v/>
      </c>
      <c r="M14" s="2" t="str">
        <f t="array" ref="M14">IF(NOW()&gt;AX14,"",IF(AND((WEEKDAY($A14)+$B$2)&gt;1,((WEEKDAY($A14)+$T$2)&lt;7),(WEEKDAY($A14)&lt;&gt;1)),"work",(INDEX(Subject!$A:$I,MATCH(RANDBETWEEN(1,(MAX(Subject!$B:$B))),Subject!$B:$B,0),3))))</f>
        <v/>
      </c>
      <c r="N14" s="2" t="str">
        <f t="array" ref="N14">IF(NOW()&gt;AY14,"",IF(AND((WEEKDAY($A14)+$B$2)&gt;1,((WEEKDAY($A14)+$T$2)&lt;7),(WEEKDAY($A14)&lt;&gt;1)),"work",(INDEX(Subject!$A:$I,MATCH(RANDBETWEEN(1,(MAX(Subject!$B:$B))),Subject!$B:$B,0),3))))</f>
        <v/>
      </c>
      <c r="O14" s="2" t="str">
        <f t="array" ref="O14">IF(NOW()&gt;AZ14,"",IF(AND((WEEKDAY($A14)+$B$2)&gt;1,((WEEKDAY($A14)+$T$2)&lt;7),(WEEKDAY($A14)&lt;&gt;1)),"work",(INDEX(Subject!$A:$I,MATCH(RANDBETWEEN(1,(MAX(Subject!$B:$B))),Subject!$B:$B,0),3))))</f>
        <v/>
      </c>
      <c r="P14" s="2" t="str">
        <f t="array" ref="P14">IF(NOW()&gt;BA14,"",IF(AND((WEEKDAY($A14)+$B$2)&gt;1,((WEEKDAY($A14)+$T$2)&lt;7),(WEEKDAY($A14)&lt;&gt;1)),"work",(INDEX(Subject!$A:$I,MATCH(RANDBETWEEN(1,(MAX(Subject!$B:$B))),Subject!$B:$B,0),3))))</f>
        <v/>
      </c>
      <c r="Q14" s="2" t="str">
        <f t="array" ref="Q14">IF(NOW()&gt;BB14,"",IF(AND((WEEKDAY($A14)+$B$2)&gt;1,((WEEKDAY($A14)+$T$2)&lt;7),(WEEKDAY($A14)&lt;&gt;1)),"work",(INDEX(Subject!$A:$I,MATCH(RANDBETWEEN(1,(MAX(Subject!$B:$B))),Subject!$B:$B,0),3))))</f>
        <v/>
      </c>
      <c r="R14" s="2" t="str">
        <f t="array" ref="R14">IF(NOW()&gt;BC14,"",IF(AND((WEEKDAY($A14)+$B$2)&gt;1,((WEEKDAY($A14)+$T$2)&lt;7),(WEEKDAY($A14)&lt;&gt;1)),"work",(INDEX(Subject!$A:$I,MATCH(RANDBETWEEN(1,(MAX(Subject!$B:$B))),Subject!$B:$B,0),3))))</f>
        <v/>
      </c>
      <c r="S14" s="2" t="str">
        <f t="array" ref="S14">IF(NOW()&gt;BD14,"",IF(AND((WEEKDAY($A14)+$B$2)&gt;1,((WEEKDAY($A14)+$T$2)&lt;7),(WEEKDAY($A14)&lt;&gt;1)),"work",(INDEX(Subject!$A:$I,MATCH(RANDBETWEEN(1,(MAX(Subject!$B:$B))),Subject!$B:$B,0),3))))</f>
        <v/>
      </c>
      <c r="T14" s="2" t="str">
        <f t="array" ref="T14">IF(NOW()&gt;BE14,"",IF(AND((WEEKDAY($A14)+$B$2)&gt;1,((WEEKDAY($A14)+$T$2)&lt;7),(WEEKDAY($A14)&lt;&gt;1)),"work",(INDEX(Subject!$A:$I,MATCH(RANDBETWEEN(1,(MAX(Subject!$B:$B))),Subject!$B:$B,0),3))))</f>
        <v/>
      </c>
      <c r="U14" s="8" t="str">
        <f t="array" ref="U14">INDEX(Subject!$A:$I,MATCH(RANDBETWEEN(1,16),Subject!$B:$B,0),3)</f>
        <v>#N/A</v>
      </c>
      <c r="V14" s="8" t="str">
        <f t="array" ref="V14">INDEX(Subject!$A:$I,MATCH(RANDBETWEEN(1,16),Subject!$B:$B,0),3)</f>
        <v>#N/A</v>
      </c>
      <c r="W14" s="8" t="str">
        <f t="array" ref="W14">INDEX(Subject!$A:$I,MATCH(RANDBETWEEN(1,16),Subject!$B:$B,0),3)</f>
        <v>#N/A</v>
      </c>
      <c r="X14" s="8" t="str">
        <f t="array" ref="X14">INDEX(Subject!$A:$I,MATCH(RANDBETWEEN(1,16),Subject!$B:$B,0),3)</f>
        <v>#N/A</v>
      </c>
      <c r="Y14" s="8" t="str">
        <f t="array" ref="Y14">INDEX(Subject!$A:$I,MATCH(RANDBETWEEN(1,16),Subject!$B:$B,0),3)</f>
        <v/>
      </c>
      <c r="Z14" s="8" t="str">
        <f t="array" ref="Z14">INDEX(Subject!$A:$I,MATCH(RANDBETWEEN(1,16),Subject!$B:$B,0),3)</f>
        <v>#N/A</v>
      </c>
      <c r="AA14" s="8" t="str">
        <f t="array" ref="AA14">INDEX(Subject!$A:$I,MATCH(RANDBETWEEN(1,16),Subject!$B:$B,0),3)</f>
        <v>#N/A</v>
      </c>
      <c r="AB14" s="8" t="str">
        <f t="array" ref="AB14">INDEX(Subject!$A:$I,MATCH(RANDBETWEEN(1,16),Subject!$B:$B,0),3)</f>
        <v/>
      </c>
      <c r="AC14" s="8" t="str">
        <f t="array" ref="AC14">INDEX(Subject!$A:$I,MATCH(RANDBETWEEN(1,16),Subject!$B:$B,0),3)</f>
        <v>#N/A</v>
      </c>
      <c r="AD14" s="8" t="str">
        <f t="array" ref="AD14">INDEX(Subject!$A:$I,MATCH(RANDBETWEEN(1,16),Subject!$B:$B,0),3)</f>
        <v>#N/A</v>
      </c>
      <c r="AE14" s="8" t="str">
        <f t="array" ref="AE14">INDEX(Subject!$A:$I,MATCH(RANDBETWEEN(1,16),Subject!$B:$B,0),3)</f>
        <v>#N/A</v>
      </c>
      <c r="AF14" s="8" t="str">
        <f t="array" ref="AF14">INDEX(Subject!$A:$I,MATCH(RANDBETWEEN(1,16),Subject!$B:$B,0),3)</f>
        <v>#N/A</v>
      </c>
      <c r="AG14" s="8" t="str">
        <f t="array" ref="AG14">INDEX(Subject!$A:$I,MATCH(RANDBETWEEN(1,16),Subject!$B:$B,0),3)</f>
        <v>#N/A</v>
      </c>
      <c r="AH14" s="8" t="str">
        <f t="array" ref="AH14">INDEX(Subject!$A:$I,MATCH(RANDBETWEEN(1,16),Subject!$B:$B,0),3)</f>
        <v/>
      </c>
      <c r="AI14" s="8" t="str">
        <f t="array" ref="AI14">INDEX(Subject!$A:$I,MATCH(RANDBETWEEN(1,16),Subject!$B:$B,0),3)</f>
        <v/>
      </c>
      <c r="AJ14" s="8" t="str">
        <f t="array" ref="AJ14">INDEX(Subject!$A:$I,MATCH(RANDBETWEEN(1,16),Subject!$B:$B,0),3)</f>
        <v>#N/A</v>
      </c>
      <c r="AK14" s="8" t="str">
        <f t="array" ref="AK14">INDEX(Subject!$A:$I,MATCH(RANDBETWEEN(1,16),Subject!$B:$B,0),3)</f>
        <v>#N/A</v>
      </c>
      <c r="AL14" s="8" t="str">
        <f t="array" ref="AL14">INDEX(Subject!$A:$I,MATCH(RANDBETWEEN(1,16),Subject!$B:$B,0),3)</f>
        <v>#N/A</v>
      </c>
      <c r="AM14" s="18">
        <f t="shared" si="4"/>
        <v>45514.33333</v>
      </c>
      <c r="AN14" s="19">
        <f t="shared" ref="AN14:BZ14" si="14">$A14+C$1</f>
        <v>45514.35417</v>
      </c>
      <c r="AO14" s="19">
        <f t="shared" si="14"/>
        <v>45514.375</v>
      </c>
      <c r="AP14" s="19">
        <f t="shared" si="14"/>
        <v>45514.39583</v>
      </c>
      <c r="AQ14" s="19">
        <f t="shared" si="14"/>
        <v>45514.41667</v>
      </c>
      <c r="AR14" s="19">
        <f t="shared" si="14"/>
        <v>45514.4375</v>
      </c>
      <c r="AS14" s="19">
        <f t="shared" si="14"/>
        <v>45514.45833</v>
      </c>
      <c r="AT14" s="19">
        <f t="shared" si="14"/>
        <v>45514.47917</v>
      </c>
      <c r="AU14" s="19">
        <f t="shared" si="14"/>
        <v>45514.5</v>
      </c>
      <c r="AV14" s="19">
        <f t="shared" si="14"/>
        <v>45514.52083</v>
      </c>
      <c r="AW14" s="19">
        <f t="shared" si="14"/>
        <v>45514.54167</v>
      </c>
      <c r="AX14" s="19">
        <f t="shared" si="14"/>
        <v>45514.5625</v>
      </c>
      <c r="AY14" s="19">
        <f t="shared" si="14"/>
        <v>45514.58333</v>
      </c>
      <c r="AZ14" s="19">
        <f t="shared" si="14"/>
        <v>45514.60417</v>
      </c>
      <c r="BA14" s="19">
        <f t="shared" si="14"/>
        <v>45514.625</v>
      </c>
      <c r="BB14" s="19">
        <f t="shared" si="14"/>
        <v>45514.64583</v>
      </c>
      <c r="BC14" s="19">
        <f t="shared" si="14"/>
        <v>45514.66667</v>
      </c>
      <c r="BD14" s="19">
        <f t="shared" si="14"/>
        <v>45514.6875</v>
      </c>
      <c r="BE14" s="19">
        <f t="shared" si="14"/>
        <v>45514.70833</v>
      </c>
      <c r="BF14" s="19">
        <f t="shared" si="14"/>
        <v>45514.72917</v>
      </c>
      <c r="BG14" s="19">
        <f t="shared" si="14"/>
        <v>45514.75</v>
      </c>
      <c r="BH14" s="19">
        <f t="shared" si="14"/>
        <v>45514.77083</v>
      </c>
      <c r="BI14" s="19">
        <f t="shared" si="14"/>
        <v>45514.79167</v>
      </c>
      <c r="BJ14" s="19">
        <f t="shared" si="14"/>
        <v>45514.8125</v>
      </c>
      <c r="BK14" s="19">
        <f t="shared" si="14"/>
        <v>45514.83333</v>
      </c>
      <c r="BL14" s="19">
        <f t="shared" si="14"/>
        <v>45514.85417</v>
      </c>
      <c r="BM14" s="19">
        <f t="shared" si="14"/>
        <v>45514.875</v>
      </c>
      <c r="BN14" s="19">
        <f t="shared" si="14"/>
        <v>45514.89583</v>
      </c>
      <c r="BO14" s="19">
        <f t="shared" si="14"/>
        <v>45514.91667</v>
      </c>
      <c r="BP14" s="19">
        <f t="shared" si="14"/>
        <v>45514.9375</v>
      </c>
      <c r="BQ14" s="19">
        <f t="shared" si="14"/>
        <v>45514.95833</v>
      </c>
      <c r="BR14" s="19">
        <f t="shared" si="14"/>
        <v>45514.97917</v>
      </c>
      <c r="BS14" s="19">
        <f t="shared" si="14"/>
        <v>45515</v>
      </c>
      <c r="BT14" s="19">
        <f t="shared" si="14"/>
        <v>45515.02083</v>
      </c>
      <c r="BU14" s="19">
        <f t="shared" si="14"/>
        <v>45515.04167</v>
      </c>
      <c r="BV14" s="19">
        <f t="shared" si="14"/>
        <v>45515.0625</v>
      </c>
      <c r="BW14" s="19">
        <f t="shared" si="14"/>
        <v>45515.08333</v>
      </c>
      <c r="BX14" s="19">
        <f t="shared" si="14"/>
        <v>45514</v>
      </c>
      <c r="BY14" s="19">
        <f t="shared" si="14"/>
        <v>45514</v>
      </c>
      <c r="BZ14" s="19">
        <f t="shared" si="14"/>
        <v>45514</v>
      </c>
    </row>
    <row r="15" ht="14.25" customHeight="1">
      <c r="A15" s="17">
        <v>45515.0</v>
      </c>
      <c r="B15" s="2" t="str">
        <f t="array" ref="B15">IF(NOW()&gt;AM15,"",IF(AND((WEEKDAY($A15)+$B$2)&gt;1,((WEEKDAY($A15)+$T$2)&lt;7),(WEEKDAY($A15)&lt;&gt;1)),"work",(INDEX(Subject!$A:$I,MATCH(RANDBETWEEN(1,(MAX(Subject!$B:$B))),Subject!$B:$B,0),3))))</f>
        <v/>
      </c>
      <c r="C15" s="2" t="str">
        <f t="array" ref="C15">IF(NOW()&gt;AN15,"",IF(AND((WEEKDAY($A15)+$B$2)&gt;1,((WEEKDAY($A15)+$T$2)&lt;7),(WEEKDAY($A15)&lt;&gt;1)),"work",(INDEX(Subject!$A:$I,MATCH(RANDBETWEEN(1,(MAX(Subject!$B:$B))),Subject!$B:$B,0),3))))</f>
        <v/>
      </c>
      <c r="D15" s="2" t="str">
        <f t="array" ref="D15">IF(NOW()&gt;AO15,"",IF(AND((WEEKDAY($A15)+$B$2)&gt;1,((WEEKDAY($A15)+$T$2)&lt;7),(WEEKDAY($A15)&lt;&gt;1)),"work",(INDEX(Subject!$A:$I,MATCH(RANDBETWEEN(1,(MAX(Subject!$B:$B))),Subject!$B:$B,0),3))))</f>
        <v/>
      </c>
      <c r="E15" s="2" t="str">
        <f t="array" ref="E15">IF(NOW()&gt;AP15,"",IF(AND((WEEKDAY($A15)+$B$2)&gt;1,((WEEKDAY($A15)+$T$2)&lt;7),(WEEKDAY($A15)&lt;&gt;1)),"work",(INDEX(Subject!$A:$I,MATCH(RANDBETWEEN(1,(MAX(Subject!$B:$B))),Subject!$B:$B,0),3))))</f>
        <v/>
      </c>
      <c r="F15" s="2" t="str">
        <f t="array" ref="F15">IF(NOW()&gt;AQ15,"",IF(AND((WEEKDAY($A15)+$B$2)&gt;1,((WEEKDAY($A15)+$T$2)&lt;7),(WEEKDAY($A15)&lt;&gt;1)),"work",(INDEX(Subject!$A:$I,MATCH(RANDBETWEEN(1,(MAX(Subject!$B:$B))),Subject!$B:$B,0),3))))</f>
        <v/>
      </c>
      <c r="G15" s="2" t="str">
        <f t="array" ref="G15">IF(NOW()&gt;AR15,"",IF(AND((WEEKDAY($A15)+$B$2)&gt;1,((WEEKDAY($A15)+$T$2)&lt;7),(WEEKDAY($A15)&lt;&gt;1)),"work",(INDEX(Subject!$A:$I,MATCH(RANDBETWEEN(1,(MAX(Subject!$B:$B))),Subject!$B:$B,0),3))))</f>
        <v/>
      </c>
      <c r="H15" s="2" t="str">
        <f t="array" ref="H15">IF(NOW()&gt;AS15,"",IF(AND((WEEKDAY($A15)+$B$2)&gt;1,((WEEKDAY($A15)+$T$2)&lt;7),(WEEKDAY($A15)&lt;&gt;1)),"work",(INDEX(Subject!$A:$I,MATCH(RANDBETWEEN(1,(MAX(Subject!$B:$B))),Subject!$B:$B,0),3))))</f>
        <v/>
      </c>
      <c r="I15" s="2" t="str">
        <f t="array" ref="I15">IF(NOW()&gt;AT15,"",IF(AND((WEEKDAY($A15)+$B$2)&gt;1,((WEEKDAY($A15)+$T$2)&lt;7),(WEEKDAY($A15)&lt;&gt;1)),"work",(INDEX(Subject!$A:$I,MATCH(RANDBETWEEN(1,(MAX(Subject!$B:$B))),Subject!$B:$B,0),3))))</f>
        <v/>
      </c>
      <c r="J15" s="2" t="str">
        <f t="array" ref="J15">IF(NOW()&gt;AU15,"",IF(AND((WEEKDAY($A15)+$B$2)&gt;1,((WEEKDAY($A15)+$T$2)&lt;7),(WEEKDAY($A15)&lt;&gt;1)),"work",(INDEX(Subject!$A:$I,MATCH(RANDBETWEEN(1,(MAX(Subject!$B:$B))),Subject!$B:$B,0),3))))</f>
        <v/>
      </c>
      <c r="K15" s="2" t="str">
        <f t="array" ref="K15">IF(NOW()&gt;AV15,"",IF(AND((WEEKDAY($A15)+$B$2)&gt;1,((WEEKDAY($A15)+$T$2)&lt;7),(WEEKDAY($A15)&lt;&gt;1)),"work",(INDEX(Subject!$A:$I,MATCH(RANDBETWEEN(1,(MAX(Subject!$B:$B))),Subject!$B:$B,0),3))))</f>
        <v/>
      </c>
      <c r="L15" s="2" t="str">
        <f t="array" ref="L15">IF(NOW()&gt;AW15,"",IF(AND((WEEKDAY($A15)+$B$2)&gt;1,((WEEKDAY($A15)+$T$2)&lt;7),(WEEKDAY($A15)&lt;&gt;1)),"work",(INDEX(Subject!$A:$I,MATCH(RANDBETWEEN(1,(MAX(Subject!$B:$B))),Subject!$B:$B,0),3))))</f>
        <v/>
      </c>
      <c r="M15" s="2" t="str">
        <f t="array" ref="M15">IF(NOW()&gt;AX15,"",IF(AND((WEEKDAY($A15)+$B$2)&gt;1,((WEEKDAY($A15)+$T$2)&lt;7),(WEEKDAY($A15)&lt;&gt;1)),"work",(INDEX(Subject!$A:$I,MATCH(RANDBETWEEN(1,(MAX(Subject!$B:$B))),Subject!$B:$B,0),3))))</f>
        <v/>
      </c>
      <c r="N15" s="2" t="str">
        <f t="array" ref="N15">IF(NOW()&gt;AY15,"",IF(AND((WEEKDAY($A15)+$B$2)&gt;1,((WEEKDAY($A15)+$T$2)&lt;7),(WEEKDAY($A15)&lt;&gt;1)),"work",(INDEX(Subject!$A:$I,MATCH(RANDBETWEEN(1,(MAX(Subject!$B:$B))),Subject!$B:$B,0),3))))</f>
        <v/>
      </c>
      <c r="O15" s="2" t="str">
        <f t="array" ref="O15">IF(NOW()&gt;AZ15,"",IF(AND((WEEKDAY($A15)+$B$2)&gt;1,((WEEKDAY($A15)+$T$2)&lt;7),(WEEKDAY($A15)&lt;&gt;1)),"work",(INDEX(Subject!$A:$I,MATCH(RANDBETWEEN(1,(MAX(Subject!$B:$B))),Subject!$B:$B,0),3))))</f>
        <v/>
      </c>
      <c r="P15" s="2" t="str">
        <f t="array" ref="P15">IF(NOW()&gt;BA15,"",IF(AND((WEEKDAY($A15)+$B$2)&gt;1,((WEEKDAY($A15)+$T$2)&lt;7),(WEEKDAY($A15)&lt;&gt;1)),"work",(INDEX(Subject!$A:$I,MATCH(RANDBETWEEN(1,(MAX(Subject!$B:$B))),Subject!$B:$B,0),3))))</f>
        <v/>
      </c>
      <c r="Q15" s="2" t="str">
        <f t="array" ref="Q15">IF(NOW()&gt;BB15,"",IF(AND((WEEKDAY($A15)+$B$2)&gt;1,((WEEKDAY($A15)+$T$2)&lt;7),(WEEKDAY($A15)&lt;&gt;1)),"work",(INDEX(Subject!$A:$I,MATCH(RANDBETWEEN(1,(MAX(Subject!$B:$B))),Subject!$B:$B,0),3))))</f>
        <v/>
      </c>
      <c r="R15" s="2" t="str">
        <f t="array" ref="R15">IF(NOW()&gt;BC15,"",IF(AND((WEEKDAY($A15)+$B$2)&gt;1,((WEEKDAY($A15)+$T$2)&lt;7),(WEEKDAY($A15)&lt;&gt;1)),"work",(INDEX(Subject!$A:$I,MATCH(RANDBETWEEN(1,(MAX(Subject!$B:$B))),Subject!$B:$B,0),3))))</f>
        <v/>
      </c>
      <c r="S15" s="2" t="str">
        <f t="array" ref="S15">IF(NOW()&gt;BD15,"",IF(AND((WEEKDAY($A15)+$B$2)&gt;1,((WEEKDAY($A15)+$T$2)&lt;7),(WEEKDAY($A15)&lt;&gt;1)),"work",(INDEX(Subject!$A:$I,MATCH(RANDBETWEEN(1,(MAX(Subject!$B:$B))),Subject!$B:$B,0),3))))</f>
        <v/>
      </c>
      <c r="T15" s="2" t="str">
        <f t="array" ref="T15">IF(NOW()&gt;BE15,"",IF(AND((WEEKDAY($A15)+$B$2)&gt;1,((WEEKDAY($A15)+$T$2)&lt;7),(WEEKDAY($A15)&lt;&gt;1)),"work",(INDEX(Subject!$A:$I,MATCH(RANDBETWEEN(1,(MAX(Subject!$B:$B))),Subject!$B:$B,0),3))))</f>
        <v/>
      </c>
      <c r="U15" s="8" t="str">
        <f t="array" ref="U15">INDEX(Subject!$A:$I,MATCH(RANDBETWEEN(1,16),Subject!$B:$B,0),3)</f>
        <v>#N/A</v>
      </c>
      <c r="V15" s="8" t="str">
        <f t="array" ref="V15">INDEX(Subject!$A:$I,MATCH(RANDBETWEEN(1,16),Subject!$B:$B,0),3)</f>
        <v>#N/A</v>
      </c>
      <c r="W15" s="8" t="str">
        <f t="array" ref="W15">INDEX(Subject!$A:$I,MATCH(RANDBETWEEN(1,16),Subject!$B:$B,0),3)</f>
        <v>#N/A</v>
      </c>
      <c r="X15" s="8" t="str">
        <f t="array" ref="X15">INDEX(Subject!$A:$I,MATCH(RANDBETWEEN(1,16),Subject!$B:$B,0),3)</f>
        <v>#N/A</v>
      </c>
      <c r="Y15" s="8" t="str">
        <f t="array" ref="Y15">INDEX(Subject!$A:$I,MATCH(RANDBETWEEN(1,16),Subject!$B:$B,0),3)</f>
        <v>#N/A</v>
      </c>
      <c r="Z15" s="8" t="str">
        <f t="array" ref="Z15">INDEX(Subject!$A:$I,MATCH(RANDBETWEEN(1,16),Subject!$B:$B,0),3)</f>
        <v/>
      </c>
      <c r="AA15" s="8" t="str">
        <f t="array" ref="AA15">INDEX(Subject!$A:$I,MATCH(RANDBETWEEN(1,16),Subject!$B:$B,0),3)</f>
        <v>#N/A</v>
      </c>
      <c r="AB15" s="8" t="str">
        <f t="array" ref="AB15">INDEX(Subject!$A:$I,MATCH(RANDBETWEEN(1,16),Subject!$B:$B,0),3)</f>
        <v>#N/A</v>
      </c>
      <c r="AC15" s="8" t="str">
        <f t="array" ref="AC15">INDEX(Subject!$A:$I,MATCH(RANDBETWEEN(1,16),Subject!$B:$B,0),3)</f>
        <v>#N/A</v>
      </c>
      <c r="AD15" s="8" t="str">
        <f t="array" ref="AD15">INDEX(Subject!$A:$I,MATCH(RANDBETWEEN(1,16),Subject!$B:$B,0),3)</f>
        <v>#N/A</v>
      </c>
      <c r="AE15" s="8" t="str">
        <f t="array" ref="AE15">INDEX(Subject!$A:$I,MATCH(RANDBETWEEN(1,16),Subject!$B:$B,0),3)</f>
        <v>#N/A</v>
      </c>
      <c r="AF15" s="8" t="str">
        <f t="array" ref="AF15">INDEX(Subject!$A:$I,MATCH(RANDBETWEEN(1,16),Subject!$B:$B,0),3)</f>
        <v>#N/A</v>
      </c>
      <c r="AG15" s="8" t="str">
        <f t="array" ref="AG15">INDEX(Subject!$A:$I,MATCH(RANDBETWEEN(1,16),Subject!$B:$B,0),3)</f>
        <v>#N/A</v>
      </c>
      <c r="AH15" s="8" t="str">
        <f t="array" ref="AH15">INDEX(Subject!$A:$I,MATCH(RANDBETWEEN(1,16),Subject!$B:$B,0),3)</f>
        <v>#N/A</v>
      </c>
      <c r="AI15" s="8" t="str">
        <f t="array" ref="AI15">INDEX(Subject!$A:$I,MATCH(RANDBETWEEN(1,16),Subject!$B:$B,0),3)</f>
        <v>#N/A</v>
      </c>
      <c r="AJ15" s="8" t="str">
        <f t="array" ref="AJ15">INDEX(Subject!$A:$I,MATCH(RANDBETWEEN(1,16),Subject!$B:$B,0),3)</f>
        <v>#N/A</v>
      </c>
      <c r="AK15" s="8" t="str">
        <f t="array" ref="AK15">INDEX(Subject!$A:$I,MATCH(RANDBETWEEN(1,16),Subject!$B:$B,0),3)</f>
        <v>#N/A</v>
      </c>
      <c r="AL15" s="8" t="str">
        <f t="array" ref="AL15">INDEX(Subject!$A:$I,MATCH(RANDBETWEEN(1,16),Subject!$B:$B,0),3)</f>
        <v>#N/A</v>
      </c>
      <c r="AM15" s="18">
        <f t="shared" si="4"/>
        <v>45515.33333</v>
      </c>
      <c r="AN15" s="19">
        <f t="shared" ref="AN15:BZ15" si="15">$A15+C$1</f>
        <v>45515.35417</v>
      </c>
      <c r="AO15" s="19">
        <f t="shared" si="15"/>
        <v>45515.375</v>
      </c>
      <c r="AP15" s="19">
        <f t="shared" si="15"/>
        <v>45515.39583</v>
      </c>
      <c r="AQ15" s="19">
        <f t="shared" si="15"/>
        <v>45515.41667</v>
      </c>
      <c r="AR15" s="19">
        <f t="shared" si="15"/>
        <v>45515.4375</v>
      </c>
      <c r="AS15" s="19">
        <f t="shared" si="15"/>
        <v>45515.45833</v>
      </c>
      <c r="AT15" s="19">
        <f t="shared" si="15"/>
        <v>45515.47917</v>
      </c>
      <c r="AU15" s="19">
        <f t="shared" si="15"/>
        <v>45515.5</v>
      </c>
      <c r="AV15" s="19">
        <f t="shared" si="15"/>
        <v>45515.52083</v>
      </c>
      <c r="AW15" s="19">
        <f t="shared" si="15"/>
        <v>45515.54167</v>
      </c>
      <c r="AX15" s="19">
        <f t="shared" si="15"/>
        <v>45515.5625</v>
      </c>
      <c r="AY15" s="19">
        <f t="shared" si="15"/>
        <v>45515.58333</v>
      </c>
      <c r="AZ15" s="19">
        <f t="shared" si="15"/>
        <v>45515.60417</v>
      </c>
      <c r="BA15" s="19">
        <f t="shared" si="15"/>
        <v>45515.625</v>
      </c>
      <c r="BB15" s="19">
        <f t="shared" si="15"/>
        <v>45515.64583</v>
      </c>
      <c r="BC15" s="19">
        <f t="shared" si="15"/>
        <v>45515.66667</v>
      </c>
      <c r="BD15" s="19">
        <f t="shared" si="15"/>
        <v>45515.6875</v>
      </c>
      <c r="BE15" s="19">
        <f t="shared" si="15"/>
        <v>45515.70833</v>
      </c>
      <c r="BF15" s="19">
        <f t="shared" si="15"/>
        <v>45515.72917</v>
      </c>
      <c r="BG15" s="19">
        <f t="shared" si="15"/>
        <v>45515.75</v>
      </c>
      <c r="BH15" s="19">
        <f t="shared" si="15"/>
        <v>45515.77083</v>
      </c>
      <c r="BI15" s="19">
        <f t="shared" si="15"/>
        <v>45515.79167</v>
      </c>
      <c r="BJ15" s="19">
        <f t="shared" si="15"/>
        <v>45515.8125</v>
      </c>
      <c r="BK15" s="19">
        <f t="shared" si="15"/>
        <v>45515.83333</v>
      </c>
      <c r="BL15" s="19">
        <f t="shared" si="15"/>
        <v>45515.85417</v>
      </c>
      <c r="BM15" s="19">
        <f t="shared" si="15"/>
        <v>45515.875</v>
      </c>
      <c r="BN15" s="19">
        <f t="shared" si="15"/>
        <v>45515.89583</v>
      </c>
      <c r="BO15" s="19">
        <f t="shared" si="15"/>
        <v>45515.91667</v>
      </c>
      <c r="BP15" s="19">
        <f t="shared" si="15"/>
        <v>45515.9375</v>
      </c>
      <c r="BQ15" s="19">
        <f t="shared" si="15"/>
        <v>45515.95833</v>
      </c>
      <c r="BR15" s="19">
        <f t="shared" si="15"/>
        <v>45515.97917</v>
      </c>
      <c r="BS15" s="19">
        <f t="shared" si="15"/>
        <v>45516</v>
      </c>
      <c r="BT15" s="19">
        <f t="shared" si="15"/>
        <v>45516.02083</v>
      </c>
      <c r="BU15" s="19">
        <f t="shared" si="15"/>
        <v>45516.04167</v>
      </c>
      <c r="BV15" s="19">
        <f t="shared" si="15"/>
        <v>45516.0625</v>
      </c>
      <c r="BW15" s="19">
        <f t="shared" si="15"/>
        <v>45516.08333</v>
      </c>
      <c r="BX15" s="19">
        <f t="shared" si="15"/>
        <v>45515</v>
      </c>
      <c r="BY15" s="19">
        <f t="shared" si="15"/>
        <v>45515</v>
      </c>
      <c r="BZ15" s="19">
        <f t="shared" si="15"/>
        <v>45515</v>
      </c>
    </row>
    <row r="16" ht="14.25" customHeight="1">
      <c r="A16" s="17">
        <v>45516.0</v>
      </c>
      <c r="B16" s="2" t="str">
        <f t="array" ref="B16">IF(NOW()&gt;AM16,"",IF(AND((WEEKDAY($A16)+$B$2)&gt;1,((WEEKDAY($A16)+$T$2)&lt;7),(WEEKDAY($A16)&lt;&gt;1)),"work",(INDEX(Subject!$A:$I,MATCH(RANDBETWEEN(1,(MAX(Subject!$B:$B))),Subject!$B:$B,0),3))))</f>
        <v/>
      </c>
      <c r="C16" s="2" t="str">
        <f t="array" ref="C16">IF(NOW()&gt;AN16,"",IF(AND((WEEKDAY($A16)+$B$2)&gt;1,((WEEKDAY($A16)+$T$2)&lt;7),(WEEKDAY($A16)&lt;&gt;1)),"work",(INDEX(Subject!$A:$I,MATCH(RANDBETWEEN(1,(MAX(Subject!$B:$B))),Subject!$B:$B,0),3))))</f>
        <v/>
      </c>
      <c r="D16" s="2" t="str">
        <f t="array" ref="D16">IF(NOW()&gt;AO16,"",IF(AND((WEEKDAY($A16)+$B$2)&gt;1,((WEEKDAY($A16)+$T$2)&lt;7),(WEEKDAY($A16)&lt;&gt;1)),"work",(INDEX(Subject!$A:$I,MATCH(RANDBETWEEN(1,(MAX(Subject!$B:$B))),Subject!$B:$B,0),3))))</f>
        <v/>
      </c>
      <c r="E16" s="2" t="str">
        <f t="array" ref="E16">IF(NOW()&gt;AP16,"",IF(AND((WEEKDAY($A16)+$B$2)&gt;1,((WEEKDAY($A16)+$T$2)&lt;7),(WEEKDAY($A16)&lt;&gt;1)),"work",(INDEX(Subject!$A:$I,MATCH(RANDBETWEEN(1,(MAX(Subject!$B:$B))),Subject!$B:$B,0),3))))</f>
        <v/>
      </c>
      <c r="F16" s="2" t="str">
        <f t="array" ref="F16">IF(NOW()&gt;AQ16,"",IF(AND((WEEKDAY($A16)+$B$2)&gt;1,((WEEKDAY($A16)+$T$2)&lt;7),(WEEKDAY($A16)&lt;&gt;1)),"work",(INDEX(Subject!$A:$I,MATCH(RANDBETWEEN(1,(MAX(Subject!$B:$B))),Subject!$B:$B,0),3))))</f>
        <v/>
      </c>
      <c r="G16" s="2" t="str">
        <f t="array" ref="G16">IF(NOW()&gt;AR16,"",IF(AND((WEEKDAY($A16)+$B$2)&gt;1,((WEEKDAY($A16)+$T$2)&lt;7),(WEEKDAY($A16)&lt;&gt;1)),"work",(INDEX(Subject!$A:$I,MATCH(RANDBETWEEN(1,(MAX(Subject!$B:$B))),Subject!$B:$B,0),3))))</f>
        <v/>
      </c>
      <c r="H16" s="2" t="str">
        <f t="array" ref="H16">IF(NOW()&gt;AS16,"",IF(AND((WEEKDAY($A16)+$B$2)&gt;1,((WEEKDAY($A16)+$T$2)&lt;7),(WEEKDAY($A16)&lt;&gt;1)),"work",(INDEX(Subject!$A:$I,MATCH(RANDBETWEEN(1,(MAX(Subject!$B:$B))),Subject!$B:$B,0),3))))</f>
        <v/>
      </c>
      <c r="I16" s="2" t="str">
        <f t="array" ref="I16">IF(NOW()&gt;AT16,"",IF(AND((WEEKDAY($A16)+$B$2)&gt;1,((WEEKDAY($A16)+$T$2)&lt;7),(WEEKDAY($A16)&lt;&gt;1)),"work",(INDEX(Subject!$A:$I,MATCH(RANDBETWEEN(1,(MAX(Subject!$B:$B))),Subject!$B:$B,0),3))))</f>
        <v/>
      </c>
      <c r="J16" s="2" t="str">
        <f t="array" ref="J16">IF(NOW()&gt;AU16,"",IF(AND((WEEKDAY($A16)+$B$2)&gt;1,((WEEKDAY($A16)+$T$2)&lt;7),(WEEKDAY($A16)&lt;&gt;1)),"work",(INDEX(Subject!$A:$I,MATCH(RANDBETWEEN(1,(MAX(Subject!$B:$B))),Subject!$B:$B,0),3))))</f>
        <v/>
      </c>
      <c r="K16" s="2" t="str">
        <f t="array" ref="K16">IF(NOW()&gt;AV16,"",IF(AND((WEEKDAY($A16)+$B$2)&gt;1,((WEEKDAY($A16)+$T$2)&lt;7),(WEEKDAY($A16)&lt;&gt;1)),"work",(INDEX(Subject!$A:$I,MATCH(RANDBETWEEN(1,(MAX(Subject!$B:$B))),Subject!$B:$B,0),3))))</f>
        <v/>
      </c>
      <c r="L16" s="2" t="str">
        <f t="array" ref="L16">IF(NOW()&gt;AW16,"",IF(AND((WEEKDAY($A16)+$B$2)&gt;1,((WEEKDAY($A16)+$T$2)&lt;7),(WEEKDAY($A16)&lt;&gt;1)),"work",(INDEX(Subject!$A:$I,MATCH(RANDBETWEEN(1,(MAX(Subject!$B:$B))),Subject!$B:$B,0),3))))</f>
        <v/>
      </c>
      <c r="M16" s="2" t="str">
        <f t="array" ref="M16">IF(NOW()&gt;AX16,"",IF(AND((WEEKDAY($A16)+$B$2)&gt;1,((WEEKDAY($A16)+$T$2)&lt;7),(WEEKDAY($A16)&lt;&gt;1)),"work",(INDEX(Subject!$A:$I,MATCH(RANDBETWEEN(1,(MAX(Subject!$B:$B))),Subject!$B:$B,0),3))))</f>
        <v/>
      </c>
      <c r="N16" s="2" t="str">
        <f t="array" ref="N16">IF(NOW()&gt;AY16,"",IF(AND((WEEKDAY($A16)+$B$2)&gt;1,((WEEKDAY($A16)+$T$2)&lt;7),(WEEKDAY($A16)&lt;&gt;1)),"work",(INDEX(Subject!$A:$I,MATCH(RANDBETWEEN(1,(MAX(Subject!$B:$B))),Subject!$B:$B,0),3))))</f>
        <v/>
      </c>
      <c r="O16" s="2" t="str">
        <f t="array" ref="O16">IF(NOW()&gt;AZ16,"",IF(AND((WEEKDAY($A16)+$B$2)&gt;1,((WEEKDAY($A16)+$T$2)&lt;7),(WEEKDAY($A16)&lt;&gt;1)),"work",(INDEX(Subject!$A:$I,MATCH(RANDBETWEEN(1,(MAX(Subject!$B:$B))),Subject!$B:$B,0),3))))</f>
        <v/>
      </c>
      <c r="P16" s="2" t="str">
        <f t="array" ref="P16">IF(NOW()&gt;BA16,"",IF(AND((WEEKDAY($A16)+$B$2)&gt;1,((WEEKDAY($A16)+$T$2)&lt;7),(WEEKDAY($A16)&lt;&gt;1)),"work",(INDEX(Subject!$A:$I,MATCH(RANDBETWEEN(1,(MAX(Subject!$B:$B))),Subject!$B:$B,0),3))))</f>
        <v/>
      </c>
      <c r="Q16" s="2" t="str">
        <f t="array" ref="Q16">IF(NOW()&gt;BB16,"",IF(AND((WEEKDAY($A16)+$B$2)&gt;1,((WEEKDAY($A16)+$T$2)&lt;7),(WEEKDAY($A16)&lt;&gt;1)),"work",(INDEX(Subject!$A:$I,MATCH(RANDBETWEEN(1,(MAX(Subject!$B:$B))),Subject!$B:$B,0),3))))</f>
        <v/>
      </c>
      <c r="R16" s="2" t="str">
        <f t="array" ref="R16">IF(NOW()&gt;BC16,"",IF(AND((WEEKDAY($A16)+$B$2)&gt;1,((WEEKDAY($A16)+$T$2)&lt;7),(WEEKDAY($A16)&lt;&gt;1)),"work",(INDEX(Subject!$A:$I,MATCH(RANDBETWEEN(1,(MAX(Subject!$B:$B))),Subject!$B:$B,0),3))))</f>
        <v/>
      </c>
      <c r="S16" s="2" t="str">
        <f t="array" ref="S16">IF(NOW()&gt;BD16,"",IF(AND((WEEKDAY($A16)+$B$2)&gt;1,((WEEKDAY($A16)+$T$2)&lt;7),(WEEKDAY($A16)&lt;&gt;1)),"work",(INDEX(Subject!$A:$I,MATCH(RANDBETWEEN(1,(MAX(Subject!$B:$B))),Subject!$B:$B,0),3))))</f>
        <v/>
      </c>
      <c r="T16" s="2" t="str">
        <f t="array" ref="T16">IF(NOW()&gt;BE16,"",IF(AND((WEEKDAY($A16)+$B$2)&gt;1,((WEEKDAY($A16)+$T$2)&lt;7),(WEEKDAY($A16)&lt;&gt;1)),"work",(INDEX(Subject!$A:$I,MATCH(RANDBETWEEN(1,(MAX(Subject!$B:$B))),Subject!$B:$B,0),3))))</f>
        <v/>
      </c>
      <c r="U16" s="8" t="str">
        <f t="array" ref="U16">INDEX(Subject!$A:$I,MATCH(RANDBETWEEN(1,16),Subject!$B:$B,0),3)</f>
        <v>#N/A</v>
      </c>
      <c r="V16" s="8" t="str">
        <f t="array" ref="V16">INDEX(Subject!$A:$I,MATCH(RANDBETWEEN(1,16),Subject!$B:$B,0),3)</f>
        <v>#N/A</v>
      </c>
      <c r="W16" s="8" t="str">
        <f t="array" ref="W16">INDEX(Subject!$A:$I,MATCH(RANDBETWEEN(1,16),Subject!$B:$B,0),3)</f>
        <v>#N/A</v>
      </c>
      <c r="X16" s="8" t="str">
        <f t="array" ref="X16">INDEX(Subject!$A:$I,MATCH(RANDBETWEEN(1,16),Subject!$B:$B,0),3)</f>
        <v>#N/A</v>
      </c>
      <c r="Y16" s="8" t="str">
        <f t="array" ref="Y16">INDEX(Subject!$A:$I,MATCH(RANDBETWEEN(1,16),Subject!$B:$B,0),3)</f>
        <v>#N/A</v>
      </c>
      <c r="Z16" s="8" t="str">
        <f t="array" ref="Z16">INDEX(Subject!$A:$I,MATCH(RANDBETWEEN(1,16),Subject!$B:$B,0),3)</f>
        <v>#N/A</v>
      </c>
      <c r="AA16" s="8" t="str">
        <f t="array" ref="AA16">INDEX(Subject!$A:$I,MATCH(RANDBETWEEN(1,16),Subject!$B:$B,0),3)</f>
        <v>#N/A</v>
      </c>
      <c r="AB16" s="8" t="str">
        <f t="array" ref="AB16">INDEX(Subject!$A:$I,MATCH(RANDBETWEEN(1,16),Subject!$B:$B,0),3)</f>
        <v>#N/A</v>
      </c>
      <c r="AC16" s="8" t="str">
        <f t="array" ref="AC16">INDEX(Subject!$A:$I,MATCH(RANDBETWEEN(1,16),Subject!$B:$B,0),3)</f>
        <v>#N/A</v>
      </c>
      <c r="AD16" s="8" t="str">
        <f t="array" ref="AD16">INDEX(Subject!$A:$I,MATCH(RANDBETWEEN(1,16),Subject!$B:$B,0),3)</f>
        <v>#N/A</v>
      </c>
      <c r="AE16" s="8" t="str">
        <f t="array" ref="AE16">INDEX(Subject!$A:$I,MATCH(RANDBETWEEN(1,16),Subject!$B:$B,0),3)</f>
        <v>#N/A</v>
      </c>
      <c r="AF16" s="8" t="str">
        <f t="array" ref="AF16">INDEX(Subject!$A:$I,MATCH(RANDBETWEEN(1,16),Subject!$B:$B,0),3)</f>
        <v>#N/A</v>
      </c>
      <c r="AG16" s="8" t="str">
        <f t="array" ref="AG16">INDEX(Subject!$A:$I,MATCH(RANDBETWEEN(1,16),Subject!$B:$B,0),3)</f>
        <v>#N/A</v>
      </c>
      <c r="AH16" s="8" t="str">
        <f t="array" ref="AH16">INDEX(Subject!$A:$I,MATCH(RANDBETWEEN(1,16),Subject!$B:$B,0),3)</f>
        <v>#N/A</v>
      </c>
      <c r="AI16" s="8" t="str">
        <f t="array" ref="AI16">INDEX(Subject!$A:$I,MATCH(RANDBETWEEN(1,16),Subject!$B:$B,0),3)</f>
        <v/>
      </c>
      <c r="AJ16" s="8" t="str">
        <f t="array" ref="AJ16">INDEX(Subject!$A:$I,MATCH(RANDBETWEEN(1,16),Subject!$B:$B,0),3)</f>
        <v>#N/A</v>
      </c>
      <c r="AK16" s="8" t="str">
        <f t="array" ref="AK16">INDEX(Subject!$A:$I,MATCH(RANDBETWEEN(1,16),Subject!$B:$B,0),3)</f>
        <v>#N/A</v>
      </c>
      <c r="AL16" s="8" t="str">
        <f t="array" ref="AL16">INDEX(Subject!$A:$I,MATCH(RANDBETWEEN(1,16),Subject!$B:$B,0),3)</f>
        <v>#N/A</v>
      </c>
      <c r="AM16" s="18">
        <f t="shared" si="4"/>
        <v>45516.33333</v>
      </c>
      <c r="AN16" s="19">
        <f t="shared" ref="AN16:BZ16" si="16">$A16+C$1</f>
        <v>45516.35417</v>
      </c>
      <c r="AO16" s="19">
        <f t="shared" si="16"/>
        <v>45516.375</v>
      </c>
      <c r="AP16" s="19">
        <f t="shared" si="16"/>
        <v>45516.39583</v>
      </c>
      <c r="AQ16" s="19">
        <f t="shared" si="16"/>
        <v>45516.41667</v>
      </c>
      <c r="AR16" s="19">
        <f t="shared" si="16"/>
        <v>45516.4375</v>
      </c>
      <c r="AS16" s="19">
        <f t="shared" si="16"/>
        <v>45516.45833</v>
      </c>
      <c r="AT16" s="19">
        <f t="shared" si="16"/>
        <v>45516.47917</v>
      </c>
      <c r="AU16" s="19">
        <f t="shared" si="16"/>
        <v>45516.5</v>
      </c>
      <c r="AV16" s="19">
        <f t="shared" si="16"/>
        <v>45516.52083</v>
      </c>
      <c r="AW16" s="19">
        <f t="shared" si="16"/>
        <v>45516.54167</v>
      </c>
      <c r="AX16" s="19">
        <f t="shared" si="16"/>
        <v>45516.5625</v>
      </c>
      <c r="AY16" s="19">
        <f t="shared" si="16"/>
        <v>45516.58333</v>
      </c>
      <c r="AZ16" s="19">
        <f t="shared" si="16"/>
        <v>45516.60417</v>
      </c>
      <c r="BA16" s="19">
        <f t="shared" si="16"/>
        <v>45516.625</v>
      </c>
      <c r="BB16" s="19">
        <f t="shared" si="16"/>
        <v>45516.64583</v>
      </c>
      <c r="BC16" s="19">
        <f t="shared" si="16"/>
        <v>45516.66667</v>
      </c>
      <c r="BD16" s="19">
        <f t="shared" si="16"/>
        <v>45516.6875</v>
      </c>
      <c r="BE16" s="19">
        <f t="shared" si="16"/>
        <v>45516.70833</v>
      </c>
      <c r="BF16" s="19">
        <f t="shared" si="16"/>
        <v>45516.72917</v>
      </c>
      <c r="BG16" s="19">
        <f t="shared" si="16"/>
        <v>45516.75</v>
      </c>
      <c r="BH16" s="19">
        <f t="shared" si="16"/>
        <v>45516.77083</v>
      </c>
      <c r="BI16" s="19">
        <f t="shared" si="16"/>
        <v>45516.79167</v>
      </c>
      <c r="BJ16" s="19">
        <f t="shared" si="16"/>
        <v>45516.8125</v>
      </c>
      <c r="BK16" s="19">
        <f t="shared" si="16"/>
        <v>45516.83333</v>
      </c>
      <c r="BL16" s="19">
        <f t="shared" si="16"/>
        <v>45516.85417</v>
      </c>
      <c r="BM16" s="19">
        <f t="shared" si="16"/>
        <v>45516.875</v>
      </c>
      <c r="BN16" s="19">
        <f t="shared" si="16"/>
        <v>45516.89583</v>
      </c>
      <c r="BO16" s="19">
        <f t="shared" si="16"/>
        <v>45516.91667</v>
      </c>
      <c r="BP16" s="19">
        <f t="shared" si="16"/>
        <v>45516.9375</v>
      </c>
      <c r="BQ16" s="19">
        <f t="shared" si="16"/>
        <v>45516.95833</v>
      </c>
      <c r="BR16" s="19">
        <f t="shared" si="16"/>
        <v>45516.97917</v>
      </c>
      <c r="BS16" s="19">
        <f t="shared" si="16"/>
        <v>45517</v>
      </c>
      <c r="BT16" s="19">
        <f t="shared" si="16"/>
        <v>45517.02083</v>
      </c>
      <c r="BU16" s="19">
        <f t="shared" si="16"/>
        <v>45517.04167</v>
      </c>
      <c r="BV16" s="19">
        <f t="shared" si="16"/>
        <v>45517.0625</v>
      </c>
      <c r="BW16" s="19">
        <f t="shared" si="16"/>
        <v>45517.08333</v>
      </c>
      <c r="BX16" s="19">
        <f t="shared" si="16"/>
        <v>45516</v>
      </c>
      <c r="BY16" s="19">
        <f t="shared" si="16"/>
        <v>45516</v>
      </c>
      <c r="BZ16" s="19">
        <f t="shared" si="16"/>
        <v>45516</v>
      </c>
    </row>
    <row r="17" ht="14.25" customHeight="1">
      <c r="A17" s="17">
        <v>45517.0</v>
      </c>
      <c r="B17" s="2" t="str">
        <f t="array" ref="B17">IF(NOW()&gt;AM17,"",IF(AND((WEEKDAY($A17)+$B$2)&gt;1,((WEEKDAY($A17)+$T$2)&lt;7),(WEEKDAY($A17)&lt;&gt;1)),"work",(INDEX(Subject!$A:$I,MATCH(RANDBETWEEN(1,(MAX(Subject!$B:$B))),Subject!$B:$B,0),3))))</f>
        <v/>
      </c>
      <c r="C17" s="2" t="str">
        <f t="array" ref="C17">IF(NOW()&gt;AN17,"",IF(AND((WEEKDAY($A17)+$B$2)&gt;1,((WEEKDAY($A17)+$T$2)&lt;7),(WEEKDAY($A17)&lt;&gt;1)),"work",(INDEX(Subject!$A:$I,MATCH(RANDBETWEEN(1,(MAX(Subject!$B:$B))),Subject!$B:$B,0),3))))</f>
        <v/>
      </c>
      <c r="D17" s="2" t="str">
        <f t="array" ref="D17">IF(NOW()&gt;AO17,"",IF(AND((WEEKDAY($A17)+$B$2)&gt;1,((WEEKDAY($A17)+$T$2)&lt;7),(WEEKDAY($A17)&lt;&gt;1)),"work",(INDEX(Subject!$A:$I,MATCH(RANDBETWEEN(1,(MAX(Subject!$B:$B))),Subject!$B:$B,0),3))))</f>
        <v/>
      </c>
      <c r="E17" s="2" t="str">
        <f t="array" ref="E17">IF(NOW()&gt;AP17,"",IF(AND((WEEKDAY($A17)+$B$2)&gt;1,((WEEKDAY($A17)+$T$2)&lt;7),(WEEKDAY($A17)&lt;&gt;1)),"work",(INDEX(Subject!$A:$I,MATCH(RANDBETWEEN(1,(MAX(Subject!$B:$B))),Subject!$B:$B,0),3))))</f>
        <v/>
      </c>
      <c r="F17" s="2" t="str">
        <f t="array" ref="F17">IF(NOW()&gt;AQ17,"",IF(AND((WEEKDAY($A17)+$B$2)&gt;1,((WEEKDAY($A17)+$T$2)&lt;7),(WEEKDAY($A17)&lt;&gt;1)),"work",(INDEX(Subject!$A:$I,MATCH(RANDBETWEEN(1,(MAX(Subject!$B:$B))),Subject!$B:$B,0),3))))</f>
        <v/>
      </c>
      <c r="G17" s="2" t="str">
        <f t="array" ref="G17">IF(NOW()&gt;AR17,"",IF(AND((WEEKDAY($A17)+$B$2)&gt;1,((WEEKDAY($A17)+$T$2)&lt;7),(WEEKDAY($A17)&lt;&gt;1)),"work",(INDEX(Subject!$A:$I,MATCH(RANDBETWEEN(1,(MAX(Subject!$B:$B))),Subject!$B:$B,0),3))))</f>
        <v/>
      </c>
      <c r="H17" s="2" t="str">
        <f t="array" ref="H17">IF(NOW()&gt;AS17,"",IF(AND((WEEKDAY($A17)+$B$2)&gt;1,((WEEKDAY($A17)+$T$2)&lt;7),(WEEKDAY($A17)&lt;&gt;1)),"work",(INDEX(Subject!$A:$I,MATCH(RANDBETWEEN(1,(MAX(Subject!$B:$B))),Subject!$B:$B,0),3))))</f>
        <v/>
      </c>
      <c r="I17" s="2" t="str">
        <f t="array" ref="I17">IF(NOW()&gt;AT17,"",IF(AND((WEEKDAY($A17)+$B$2)&gt;1,((WEEKDAY($A17)+$T$2)&lt;7),(WEEKDAY($A17)&lt;&gt;1)),"work",(INDEX(Subject!$A:$I,MATCH(RANDBETWEEN(1,(MAX(Subject!$B:$B))),Subject!$B:$B,0),3))))</f>
        <v/>
      </c>
      <c r="J17" s="2" t="str">
        <f t="array" ref="J17">IF(NOW()&gt;AU17,"",IF(AND((WEEKDAY($A17)+$B$2)&gt;1,((WEEKDAY($A17)+$T$2)&lt;7),(WEEKDAY($A17)&lt;&gt;1)),"work",(INDEX(Subject!$A:$I,MATCH(RANDBETWEEN(1,(MAX(Subject!$B:$B))),Subject!$B:$B,0),3))))</f>
        <v/>
      </c>
      <c r="K17" s="2" t="str">
        <f t="array" ref="K17">IF(NOW()&gt;AV17,"",IF(AND((WEEKDAY($A17)+$B$2)&gt;1,((WEEKDAY($A17)+$T$2)&lt;7),(WEEKDAY($A17)&lt;&gt;1)),"work",(INDEX(Subject!$A:$I,MATCH(RANDBETWEEN(1,(MAX(Subject!$B:$B))),Subject!$B:$B,0),3))))</f>
        <v/>
      </c>
      <c r="L17" s="2" t="str">
        <f t="array" ref="L17">IF(NOW()&gt;AW17,"",IF(AND((WEEKDAY($A17)+$B$2)&gt;1,((WEEKDAY($A17)+$T$2)&lt;7),(WEEKDAY($A17)&lt;&gt;1)),"work",(INDEX(Subject!$A:$I,MATCH(RANDBETWEEN(1,(MAX(Subject!$B:$B))),Subject!$B:$B,0),3))))</f>
        <v/>
      </c>
      <c r="M17" s="2" t="str">
        <f t="array" ref="M17">IF(NOW()&gt;AX17,"",IF(AND((WEEKDAY($A17)+$B$2)&gt;1,((WEEKDAY($A17)+$T$2)&lt;7),(WEEKDAY($A17)&lt;&gt;1)),"work",(INDEX(Subject!$A:$I,MATCH(RANDBETWEEN(1,(MAX(Subject!$B:$B))),Subject!$B:$B,0),3))))</f>
        <v/>
      </c>
      <c r="N17" s="2" t="str">
        <f t="array" ref="N17">IF(NOW()&gt;AY17,"",IF(AND((WEEKDAY($A17)+$B$2)&gt;1,((WEEKDAY($A17)+$T$2)&lt;7),(WEEKDAY($A17)&lt;&gt;1)),"work",(INDEX(Subject!$A:$I,MATCH(RANDBETWEEN(1,(MAX(Subject!$B:$B))),Subject!$B:$B,0),3))))</f>
        <v/>
      </c>
      <c r="O17" s="2" t="str">
        <f t="array" ref="O17">IF(NOW()&gt;AZ17,"",IF(AND((WEEKDAY($A17)+$B$2)&gt;1,((WEEKDAY($A17)+$T$2)&lt;7),(WEEKDAY($A17)&lt;&gt;1)),"work",(INDEX(Subject!$A:$I,MATCH(RANDBETWEEN(1,(MAX(Subject!$B:$B))),Subject!$B:$B,0),3))))</f>
        <v/>
      </c>
      <c r="P17" s="2" t="str">
        <f t="array" ref="P17">IF(NOW()&gt;BA17,"",IF(AND((WEEKDAY($A17)+$B$2)&gt;1,((WEEKDAY($A17)+$T$2)&lt;7),(WEEKDAY($A17)&lt;&gt;1)),"work",(INDEX(Subject!$A:$I,MATCH(RANDBETWEEN(1,(MAX(Subject!$B:$B))),Subject!$B:$B,0),3))))</f>
        <v/>
      </c>
      <c r="Q17" s="2" t="str">
        <f t="array" ref="Q17">IF(NOW()&gt;BB17,"",IF(AND((WEEKDAY($A17)+$B$2)&gt;1,((WEEKDAY($A17)+$T$2)&lt;7),(WEEKDAY($A17)&lt;&gt;1)),"work",(INDEX(Subject!$A:$I,MATCH(RANDBETWEEN(1,(MAX(Subject!$B:$B))),Subject!$B:$B,0),3))))</f>
        <v/>
      </c>
      <c r="R17" s="2" t="str">
        <f t="array" ref="R17">IF(NOW()&gt;BC17,"",IF(AND((WEEKDAY($A17)+$B$2)&gt;1,((WEEKDAY($A17)+$T$2)&lt;7),(WEEKDAY($A17)&lt;&gt;1)),"work",(INDEX(Subject!$A:$I,MATCH(RANDBETWEEN(1,(MAX(Subject!$B:$B))),Subject!$B:$B,0),3))))</f>
        <v/>
      </c>
      <c r="S17" s="2" t="str">
        <f t="array" ref="S17">IF(NOW()&gt;BD17,"",IF(AND((WEEKDAY($A17)+$B$2)&gt;1,((WEEKDAY($A17)+$T$2)&lt;7),(WEEKDAY($A17)&lt;&gt;1)),"work",(INDEX(Subject!$A:$I,MATCH(RANDBETWEEN(1,(MAX(Subject!$B:$B))),Subject!$B:$B,0),3))))</f>
        <v/>
      </c>
      <c r="T17" s="2" t="str">
        <f t="array" ref="T17">IF(NOW()&gt;BE17,"",IF(AND((WEEKDAY($A17)+$B$2)&gt;1,((WEEKDAY($A17)+$T$2)&lt;7),(WEEKDAY($A17)&lt;&gt;1)),"work",(INDEX(Subject!$A:$I,MATCH(RANDBETWEEN(1,(MAX(Subject!$B:$B))),Subject!$B:$B,0),3))))</f>
        <v/>
      </c>
      <c r="U17" s="8" t="str">
        <f t="array" ref="U17">INDEX(Subject!$A:$I,MATCH(RANDBETWEEN(1,16),Subject!$B:$B,0),3)</f>
        <v>#N/A</v>
      </c>
      <c r="V17" s="8" t="str">
        <f t="array" ref="V17">INDEX(Subject!$A:$I,MATCH(RANDBETWEEN(1,16),Subject!$B:$B,0),3)</f>
        <v>#N/A</v>
      </c>
      <c r="W17" s="8" t="str">
        <f t="array" ref="W17">INDEX(Subject!$A:$I,MATCH(RANDBETWEEN(1,16),Subject!$B:$B,0),3)</f>
        <v>#N/A</v>
      </c>
      <c r="X17" s="8" t="str">
        <f t="array" ref="X17">INDEX(Subject!$A:$I,MATCH(RANDBETWEEN(1,16),Subject!$B:$B,0),3)</f>
        <v>#N/A</v>
      </c>
      <c r="Y17" s="8" t="str">
        <f t="array" ref="Y17">INDEX(Subject!$A:$I,MATCH(RANDBETWEEN(1,16),Subject!$B:$B,0),3)</f>
        <v>#N/A</v>
      </c>
      <c r="Z17" s="8" t="str">
        <f t="array" ref="Z17">INDEX(Subject!$A:$I,MATCH(RANDBETWEEN(1,16),Subject!$B:$B,0),3)</f>
        <v>#N/A</v>
      </c>
      <c r="AA17" s="8" t="str">
        <f t="array" ref="AA17">INDEX(Subject!$A:$I,MATCH(RANDBETWEEN(1,16),Subject!$B:$B,0),3)</f>
        <v>#N/A</v>
      </c>
      <c r="AB17" s="8" t="str">
        <f t="array" ref="AB17">INDEX(Subject!$A:$I,MATCH(RANDBETWEEN(1,16),Subject!$B:$B,0),3)</f>
        <v>#N/A</v>
      </c>
      <c r="AC17" s="8" t="str">
        <f t="array" ref="AC17">INDEX(Subject!$A:$I,MATCH(RANDBETWEEN(1,16),Subject!$B:$B,0),3)</f>
        <v>#N/A</v>
      </c>
      <c r="AD17" s="8" t="str">
        <f t="array" ref="AD17">INDEX(Subject!$A:$I,MATCH(RANDBETWEEN(1,16),Subject!$B:$B,0),3)</f>
        <v>#N/A</v>
      </c>
      <c r="AE17" s="8" t="str">
        <f t="array" ref="AE17">INDEX(Subject!$A:$I,MATCH(RANDBETWEEN(1,16),Subject!$B:$B,0),3)</f>
        <v>#N/A</v>
      </c>
      <c r="AF17" s="8" t="str">
        <f t="array" ref="AF17">INDEX(Subject!$A:$I,MATCH(RANDBETWEEN(1,16),Subject!$B:$B,0),3)</f>
        <v/>
      </c>
      <c r="AG17" s="8" t="str">
        <f t="array" ref="AG17">INDEX(Subject!$A:$I,MATCH(RANDBETWEEN(1,16),Subject!$B:$B,0),3)</f>
        <v>#N/A</v>
      </c>
      <c r="AH17" s="8" t="str">
        <f t="array" ref="AH17">INDEX(Subject!$A:$I,MATCH(RANDBETWEEN(1,16),Subject!$B:$B,0),3)</f>
        <v>#N/A</v>
      </c>
      <c r="AI17" s="8" t="str">
        <f t="array" ref="AI17">INDEX(Subject!$A:$I,MATCH(RANDBETWEEN(1,16),Subject!$B:$B,0),3)</f>
        <v>#N/A</v>
      </c>
      <c r="AJ17" s="8" t="str">
        <f t="array" ref="AJ17">INDEX(Subject!$A:$I,MATCH(RANDBETWEEN(1,16),Subject!$B:$B,0),3)</f>
        <v>#N/A</v>
      </c>
      <c r="AK17" s="8" t="str">
        <f t="array" ref="AK17">INDEX(Subject!$A:$I,MATCH(RANDBETWEEN(1,16),Subject!$B:$B,0),3)</f>
        <v>#N/A</v>
      </c>
      <c r="AL17" s="8" t="str">
        <f t="array" ref="AL17">INDEX(Subject!$A:$I,MATCH(RANDBETWEEN(1,16),Subject!$B:$B,0),3)</f>
        <v>#N/A</v>
      </c>
      <c r="AM17" s="18">
        <f t="shared" si="4"/>
        <v>45517.33333</v>
      </c>
      <c r="AN17" s="19">
        <f t="shared" ref="AN17:BZ17" si="17">$A17+C$1</f>
        <v>45517.35417</v>
      </c>
      <c r="AO17" s="19">
        <f t="shared" si="17"/>
        <v>45517.375</v>
      </c>
      <c r="AP17" s="19">
        <f t="shared" si="17"/>
        <v>45517.39583</v>
      </c>
      <c r="AQ17" s="19">
        <f t="shared" si="17"/>
        <v>45517.41667</v>
      </c>
      <c r="AR17" s="19">
        <f t="shared" si="17"/>
        <v>45517.4375</v>
      </c>
      <c r="AS17" s="19">
        <f t="shared" si="17"/>
        <v>45517.45833</v>
      </c>
      <c r="AT17" s="19">
        <f t="shared" si="17"/>
        <v>45517.47917</v>
      </c>
      <c r="AU17" s="19">
        <f t="shared" si="17"/>
        <v>45517.5</v>
      </c>
      <c r="AV17" s="19">
        <f t="shared" si="17"/>
        <v>45517.52083</v>
      </c>
      <c r="AW17" s="19">
        <f t="shared" si="17"/>
        <v>45517.54167</v>
      </c>
      <c r="AX17" s="19">
        <f t="shared" si="17"/>
        <v>45517.5625</v>
      </c>
      <c r="AY17" s="19">
        <f t="shared" si="17"/>
        <v>45517.58333</v>
      </c>
      <c r="AZ17" s="19">
        <f t="shared" si="17"/>
        <v>45517.60417</v>
      </c>
      <c r="BA17" s="19">
        <f t="shared" si="17"/>
        <v>45517.625</v>
      </c>
      <c r="BB17" s="19">
        <f t="shared" si="17"/>
        <v>45517.64583</v>
      </c>
      <c r="BC17" s="19">
        <f t="shared" si="17"/>
        <v>45517.66667</v>
      </c>
      <c r="BD17" s="19">
        <f t="shared" si="17"/>
        <v>45517.6875</v>
      </c>
      <c r="BE17" s="19">
        <f t="shared" si="17"/>
        <v>45517.70833</v>
      </c>
      <c r="BF17" s="19">
        <f t="shared" si="17"/>
        <v>45517.72917</v>
      </c>
      <c r="BG17" s="19">
        <f t="shared" si="17"/>
        <v>45517.75</v>
      </c>
      <c r="BH17" s="19">
        <f t="shared" si="17"/>
        <v>45517.77083</v>
      </c>
      <c r="BI17" s="19">
        <f t="shared" si="17"/>
        <v>45517.79167</v>
      </c>
      <c r="BJ17" s="19">
        <f t="shared" si="17"/>
        <v>45517.8125</v>
      </c>
      <c r="BK17" s="19">
        <f t="shared" si="17"/>
        <v>45517.83333</v>
      </c>
      <c r="BL17" s="19">
        <f t="shared" si="17"/>
        <v>45517.85417</v>
      </c>
      <c r="BM17" s="19">
        <f t="shared" si="17"/>
        <v>45517.875</v>
      </c>
      <c r="BN17" s="19">
        <f t="shared" si="17"/>
        <v>45517.89583</v>
      </c>
      <c r="BO17" s="19">
        <f t="shared" si="17"/>
        <v>45517.91667</v>
      </c>
      <c r="BP17" s="19">
        <f t="shared" si="17"/>
        <v>45517.9375</v>
      </c>
      <c r="BQ17" s="19">
        <f t="shared" si="17"/>
        <v>45517.95833</v>
      </c>
      <c r="BR17" s="19">
        <f t="shared" si="17"/>
        <v>45517.97917</v>
      </c>
      <c r="BS17" s="19">
        <f t="shared" si="17"/>
        <v>45518</v>
      </c>
      <c r="BT17" s="19">
        <f t="shared" si="17"/>
        <v>45518.02083</v>
      </c>
      <c r="BU17" s="19">
        <f t="shared" si="17"/>
        <v>45518.04167</v>
      </c>
      <c r="BV17" s="19">
        <f t="shared" si="17"/>
        <v>45518.0625</v>
      </c>
      <c r="BW17" s="19">
        <f t="shared" si="17"/>
        <v>45518.08333</v>
      </c>
      <c r="BX17" s="19">
        <f t="shared" si="17"/>
        <v>45517</v>
      </c>
      <c r="BY17" s="19">
        <f t="shared" si="17"/>
        <v>45517</v>
      </c>
      <c r="BZ17" s="19">
        <f t="shared" si="17"/>
        <v>45517</v>
      </c>
    </row>
    <row r="18" ht="14.25" customHeight="1">
      <c r="A18" s="17">
        <v>45518.0</v>
      </c>
      <c r="B18" s="2" t="str">
        <f t="array" ref="B18">IF(NOW()&gt;AM18,"",IF(AND((WEEKDAY($A18)+$B$2)&gt;1,((WEEKDAY($A18)+$T$2)&lt;7),(WEEKDAY($A18)&lt;&gt;1)),"work",(INDEX(Subject!$A:$I,MATCH(RANDBETWEEN(1,(MAX(Subject!$B:$B))),Subject!$B:$B,0),3))))</f>
        <v/>
      </c>
      <c r="C18" s="2" t="str">
        <f t="array" ref="C18">IF(NOW()&gt;AN18,"",IF(AND((WEEKDAY($A18)+$B$2)&gt;1,((WEEKDAY($A18)+$T$2)&lt;7),(WEEKDAY($A18)&lt;&gt;1)),"work",(INDEX(Subject!$A:$I,MATCH(RANDBETWEEN(1,(MAX(Subject!$B:$B))),Subject!$B:$B,0),3))))</f>
        <v/>
      </c>
      <c r="D18" s="2" t="str">
        <f t="array" ref="D18">IF(NOW()&gt;AO18,"",IF(AND((WEEKDAY($A18)+$B$2)&gt;1,((WEEKDAY($A18)+$T$2)&lt;7),(WEEKDAY($A18)&lt;&gt;1)),"work",(INDEX(Subject!$A:$I,MATCH(RANDBETWEEN(1,(MAX(Subject!$B:$B))),Subject!$B:$B,0),3))))</f>
        <v/>
      </c>
      <c r="E18" s="2" t="str">
        <f t="array" ref="E18">IF(NOW()&gt;AP18,"",IF(AND((WEEKDAY($A18)+$B$2)&gt;1,((WEEKDAY($A18)+$T$2)&lt;7),(WEEKDAY($A18)&lt;&gt;1)),"work",(INDEX(Subject!$A:$I,MATCH(RANDBETWEEN(1,(MAX(Subject!$B:$B))),Subject!$B:$B,0),3))))</f>
        <v/>
      </c>
      <c r="F18" s="2" t="str">
        <f t="array" ref="F18">IF(NOW()&gt;AQ18,"",IF(AND((WEEKDAY($A18)+$B$2)&gt;1,((WEEKDAY($A18)+$T$2)&lt;7),(WEEKDAY($A18)&lt;&gt;1)),"work",(INDEX(Subject!$A:$I,MATCH(RANDBETWEEN(1,(MAX(Subject!$B:$B))),Subject!$B:$B,0),3))))</f>
        <v/>
      </c>
      <c r="G18" s="2" t="str">
        <f t="array" ref="G18">IF(NOW()&gt;AR18,"",IF(AND((WEEKDAY($A18)+$B$2)&gt;1,((WEEKDAY($A18)+$T$2)&lt;7),(WEEKDAY($A18)&lt;&gt;1)),"work",(INDEX(Subject!$A:$I,MATCH(RANDBETWEEN(1,(MAX(Subject!$B:$B))),Subject!$B:$B,0),3))))</f>
        <v/>
      </c>
      <c r="H18" s="2" t="str">
        <f t="array" ref="H18">IF(NOW()&gt;AS18,"",IF(AND((WEEKDAY($A18)+$B$2)&gt;1,((WEEKDAY($A18)+$T$2)&lt;7),(WEEKDAY($A18)&lt;&gt;1)),"work",(INDEX(Subject!$A:$I,MATCH(RANDBETWEEN(1,(MAX(Subject!$B:$B))),Subject!$B:$B,0),3))))</f>
        <v/>
      </c>
      <c r="I18" s="2" t="str">
        <f t="array" ref="I18">IF(NOW()&gt;AT18,"",IF(AND((WEEKDAY($A18)+$B$2)&gt;1,((WEEKDAY($A18)+$T$2)&lt;7),(WEEKDAY($A18)&lt;&gt;1)),"work",(INDEX(Subject!$A:$I,MATCH(RANDBETWEEN(1,(MAX(Subject!$B:$B))),Subject!$B:$B,0),3))))</f>
        <v/>
      </c>
      <c r="J18" s="2" t="str">
        <f t="array" ref="J18">IF(NOW()&gt;AU18,"",IF(AND((WEEKDAY($A18)+$B$2)&gt;1,((WEEKDAY($A18)+$T$2)&lt;7),(WEEKDAY($A18)&lt;&gt;1)),"work",(INDEX(Subject!$A:$I,MATCH(RANDBETWEEN(1,(MAX(Subject!$B:$B))),Subject!$B:$B,0),3))))</f>
        <v/>
      </c>
      <c r="K18" s="2" t="str">
        <f t="array" ref="K18">IF(NOW()&gt;AV18,"",IF(AND((WEEKDAY($A18)+$B$2)&gt;1,((WEEKDAY($A18)+$T$2)&lt;7),(WEEKDAY($A18)&lt;&gt;1)),"work",(INDEX(Subject!$A:$I,MATCH(RANDBETWEEN(1,(MAX(Subject!$B:$B))),Subject!$B:$B,0),3))))</f>
        <v/>
      </c>
      <c r="L18" s="2" t="str">
        <f t="array" ref="L18">IF(NOW()&gt;AW18,"",IF(AND((WEEKDAY($A18)+$B$2)&gt;1,((WEEKDAY($A18)+$T$2)&lt;7),(WEEKDAY($A18)&lt;&gt;1)),"work",(INDEX(Subject!$A:$I,MATCH(RANDBETWEEN(1,(MAX(Subject!$B:$B))),Subject!$B:$B,0),3))))</f>
        <v/>
      </c>
      <c r="M18" s="2" t="str">
        <f t="array" ref="M18">IF(NOW()&gt;AX18,"",IF(AND((WEEKDAY($A18)+$B$2)&gt;1,((WEEKDAY($A18)+$T$2)&lt;7),(WEEKDAY($A18)&lt;&gt;1)),"work",(INDEX(Subject!$A:$I,MATCH(RANDBETWEEN(1,(MAX(Subject!$B:$B))),Subject!$B:$B,0),3))))</f>
        <v/>
      </c>
      <c r="N18" s="2" t="str">
        <f t="array" ref="N18">IF(NOW()&gt;AY18,"",IF(AND((WEEKDAY($A18)+$B$2)&gt;1,((WEEKDAY($A18)+$T$2)&lt;7),(WEEKDAY($A18)&lt;&gt;1)),"work",(INDEX(Subject!$A:$I,MATCH(RANDBETWEEN(1,(MAX(Subject!$B:$B))),Subject!$B:$B,0),3))))</f>
        <v/>
      </c>
      <c r="O18" s="2" t="str">
        <f t="array" ref="O18">IF(NOW()&gt;AZ18,"",IF(AND((WEEKDAY($A18)+$B$2)&gt;1,((WEEKDAY($A18)+$T$2)&lt;7),(WEEKDAY($A18)&lt;&gt;1)),"work",(INDEX(Subject!$A:$I,MATCH(RANDBETWEEN(1,(MAX(Subject!$B:$B))),Subject!$B:$B,0),3))))</f>
        <v/>
      </c>
      <c r="P18" s="2" t="str">
        <f t="array" ref="P18">IF(NOW()&gt;BA18,"",IF(AND((WEEKDAY($A18)+$B$2)&gt;1,((WEEKDAY($A18)+$T$2)&lt;7),(WEEKDAY($A18)&lt;&gt;1)),"work",(INDEX(Subject!$A:$I,MATCH(RANDBETWEEN(1,(MAX(Subject!$B:$B))),Subject!$B:$B,0),3))))</f>
        <v/>
      </c>
      <c r="Q18" s="2" t="str">
        <f t="array" ref="Q18">IF(NOW()&gt;BB18,"",IF(AND((WEEKDAY($A18)+$B$2)&gt;1,((WEEKDAY($A18)+$T$2)&lt;7),(WEEKDAY($A18)&lt;&gt;1)),"work",(INDEX(Subject!$A:$I,MATCH(RANDBETWEEN(1,(MAX(Subject!$B:$B))),Subject!$B:$B,0),3))))</f>
        <v/>
      </c>
      <c r="R18" s="2" t="str">
        <f t="array" ref="R18">IF(NOW()&gt;BC18,"",IF(AND((WEEKDAY($A18)+$B$2)&gt;1,((WEEKDAY($A18)+$T$2)&lt;7),(WEEKDAY($A18)&lt;&gt;1)),"work",(INDEX(Subject!$A:$I,MATCH(RANDBETWEEN(1,(MAX(Subject!$B:$B))),Subject!$B:$B,0),3))))</f>
        <v/>
      </c>
      <c r="S18" s="2" t="str">
        <f t="array" ref="S18">IF(NOW()&gt;BD18,"",IF(AND((WEEKDAY($A18)+$B$2)&gt;1,((WEEKDAY($A18)+$T$2)&lt;7),(WEEKDAY($A18)&lt;&gt;1)),"work",(INDEX(Subject!$A:$I,MATCH(RANDBETWEEN(1,(MAX(Subject!$B:$B))),Subject!$B:$B,0),3))))</f>
        <v/>
      </c>
      <c r="T18" s="2" t="str">
        <f t="array" ref="T18">IF(NOW()&gt;BE18,"",IF(AND((WEEKDAY($A18)+$B$2)&gt;1,((WEEKDAY($A18)+$T$2)&lt;7),(WEEKDAY($A18)&lt;&gt;1)),"work",(INDEX(Subject!$A:$I,MATCH(RANDBETWEEN(1,(MAX(Subject!$B:$B))),Subject!$B:$B,0),3))))</f>
        <v/>
      </c>
      <c r="U18" s="8" t="str">
        <f t="array" ref="U18">INDEX(Subject!$A:$I,MATCH(RANDBETWEEN(1,16),Subject!$B:$B,0),3)</f>
        <v>#N/A</v>
      </c>
      <c r="V18" s="8" t="str">
        <f t="array" ref="V18">INDEX(Subject!$A:$I,MATCH(RANDBETWEEN(1,16),Subject!$B:$B,0),3)</f>
        <v>#N/A</v>
      </c>
      <c r="W18" s="8" t="str">
        <f t="array" ref="W18">INDEX(Subject!$A:$I,MATCH(RANDBETWEEN(1,16),Subject!$B:$B,0),3)</f>
        <v>#N/A</v>
      </c>
      <c r="X18" s="8" t="str">
        <f t="array" ref="X18">INDEX(Subject!$A:$I,MATCH(RANDBETWEEN(1,16),Subject!$B:$B,0),3)</f>
        <v>#N/A</v>
      </c>
      <c r="Y18" s="8" t="str">
        <f t="array" ref="Y18">INDEX(Subject!$A:$I,MATCH(RANDBETWEEN(1,16),Subject!$B:$B,0),3)</f>
        <v>#N/A</v>
      </c>
      <c r="Z18" s="8" t="str">
        <f t="array" ref="Z18">INDEX(Subject!$A:$I,MATCH(RANDBETWEEN(1,16),Subject!$B:$B,0),3)</f>
        <v/>
      </c>
      <c r="AA18" s="8" t="str">
        <f t="array" ref="AA18">INDEX(Subject!$A:$I,MATCH(RANDBETWEEN(1,16),Subject!$B:$B,0),3)</f>
        <v>#N/A</v>
      </c>
      <c r="AB18" s="8" t="str">
        <f t="array" ref="AB18">INDEX(Subject!$A:$I,MATCH(RANDBETWEEN(1,16),Subject!$B:$B,0),3)</f>
        <v/>
      </c>
      <c r="AC18" s="8" t="str">
        <f t="array" ref="AC18">INDEX(Subject!$A:$I,MATCH(RANDBETWEEN(1,16),Subject!$B:$B,0),3)</f>
        <v>#N/A</v>
      </c>
      <c r="AD18" s="8" t="str">
        <f t="array" ref="AD18">INDEX(Subject!$A:$I,MATCH(RANDBETWEEN(1,16),Subject!$B:$B,0),3)</f>
        <v>#N/A</v>
      </c>
      <c r="AE18" s="8" t="str">
        <f t="array" ref="AE18">INDEX(Subject!$A:$I,MATCH(RANDBETWEEN(1,16),Subject!$B:$B,0),3)</f>
        <v>#N/A</v>
      </c>
      <c r="AF18" s="8" t="str">
        <f t="array" ref="AF18">INDEX(Subject!$A:$I,MATCH(RANDBETWEEN(1,16),Subject!$B:$B,0),3)</f>
        <v>#N/A</v>
      </c>
      <c r="AG18" s="8" t="str">
        <f t="array" ref="AG18">INDEX(Subject!$A:$I,MATCH(RANDBETWEEN(1,16),Subject!$B:$B,0),3)</f>
        <v>#N/A</v>
      </c>
      <c r="AH18" s="8" t="str">
        <f t="array" ref="AH18">INDEX(Subject!$A:$I,MATCH(RANDBETWEEN(1,16),Subject!$B:$B,0),3)</f>
        <v>#N/A</v>
      </c>
      <c r="AI18" s="8" t="str">
        <f t="array" ref="AI18">INDEX(Subject!$A:$I,MATCH(RANDBETWEEN(1,16),Subject!$B:$B,0),3)</f>
        <v>#N/A</v>
      </c>
      <c r="AJ18" s="8" t="str">
        <f t="array" ref="AJ18">INDEX(Subject!$A:$I,MATCH(RANDBETWEEN(1,16),Subject!$B:$B,0),3)</f>
        <v>#N/A</v>
      </c>
      <c r="AK18" s="8" t="str">
        <f t="array" ref="AK18">INDEX(Subject!$A:$I,MATCH(RANDBETWEEN(1,16),Subject!$B:$B,0),3)</f>
        <v>#N/A</v>
      </c>
      <c r="AL18" s="8" t="str">
        <f t="array" ref="AL18">INDEX(Subject!$A:$I,MATCH(RANDBETWEEN(1,16),Subject!$B:$B,0),3)</f>
        <v>#N/A</v>
      </c>
      <c r="AM18" s="18">
        <f t="shared" si="4"/>
        <v>45518.33333</v>
      </c>
      <c r="AN18" s="19">
        <f t="shared" ref="AN18:BZ18" si="18">$A18+C$1</f>
        <v>45518.35417</v>
      </c>
      <c r="AO18" s="19">
        <f t="shared" si="18"/>
        <v>45518.375</v>
      </c>
      <c r="AP18" s="19">
        <f t="shared" si="18"/>
        <v>45518.39583</v>
      </c>
      <c r="AQ18" s="19">
        <f t="shared" si="18"/>
        <v>45518.41667</v>
      </c>
      <c r="AR18" s="19">
        <f t="shared" si="18"/>
        <v>45518.4375</v>
      </c>
      <c r="AS18" s="19">
        <f t="shared" si="18"/>
        <v>45518.45833</v>
      </c>
      <c r="AT18" s="19">
        <f t="shared" si="18"/>
        <v>45518.47917</v>
      </c>
      <c r="AU18" s="19">
        <f t="shared" si="18"/>
        <v>45518.5</v>
      </c>
      <c r="AV18" s="19">
        <f t="shared" si="18"/>
        <v>45518.52083</v>
      </c>
      <c r="AW18" s="19">
        <f t="shared" si="18"/>
        <v>45518.54167</v>
      </c>
      <c r="AX18" s="19">
        <f t="shared" si="18"/>
        <v>45518.5625</v>
      </c>
      <c r="AY18" s="19">
        <f t="shared" si="18"/>
        <v>45518.58333</v>
      </c>
      <c r="AZ18" s="19">
        <f t="shared" si="18"/>
        <v>45518.60417</v>
      </c>
      <c r="BA18" s="19">
        <f t="shared" si="18"/>
        <v>45518.625</v>
      </c>
      <c r="BB18" s="19">
        <f t="shared" si="18"/>
        <v>45518.64583</v>
      </c>
      <c r="BC18" s="19">
        <f t="shared" si="18"/>
        <v>45518.66667</v>
      </c>
      <c r="BD18" s="19">
        <f t="shared" si="18"/>
        <v>45518.6875</v>
      </c>
      <c r="BE18" s="19">
        <f t="shared" si="18"/>
        <v>45518.70833</v>
      </c>
      <c r="BF18" s="19">
        <f t="shared" si="18"/>
        <v>45518.72917</v>
      </c>
      <c r="BG18" s="19">
        <f t="shared" si="18"/>
        <v>45518.75</v>
      </c>
      <c r="BH18" s="19">
        <f t="shared" si="18"/>
        <v>45518.77083</v>
      </c>
      <c r="BI18" s="19">
        <f t="shared" si="18"/>
        <v>45518.79167</v>
      </c>
      <c r="BJ18" s="19">
        <f t="shared" si="18"/>
        <v>45518.8125</v>
      </c>
      <c r="BK18" s="19">
        <f t="shared" si="18"/>
        <v>45518.83333</v>
      </c>
      <c r="BL18" s="19">
        <f t="shared" si="18"/>
        <v>45518.85417</v>
      </c>
      <c r="BM18" s="19">
        <f t="shared" si="18"/>
        <v>45518.875</v>
      </c>
      <c r="BN18" s="19">
        <f t="shared" si="18"/>
        <v>45518.89583</v>
      </c>
      <c r="BO18" s="19">
        <f t="shared" si="18"/>
        <v>45518.91667</v>
      </c>
      <c r="BP18" s="19">
        <f t="shared" si="18"/>
        <v>45518.9375</v>
      </c>
      <c r="BQ18" s="19">
        <f t="shared" si="18"/>
        <v>45518.95833</v>
      </c>
      <c r="BR18" s="19">
        <f t="shared" si="18"/>
        <v>45518.97917</v>
      </c>
      <c r="BS18" s="19">
        <f t="shared" si="18"/>
        <v>45519</v>
      </c>
      <c r="BT18" s="19">
        <f t="shared" si="18"/>
        <v>45519.02083</v>
      </c>
      <c r="BU18" s="19">
        <f t="shared" si="18"/>
        <v>45519.04167</v>
      </c>
      <c r="BV18" s="19">
        <f t="shared" si="18"/>
        <v>45519.0625</v>
      </c>
      <c r="BW18" s="19">
        <f t="shared" si="18"/>
        <v>45519.08333</v>
      </c>
      <c r="BX18" s="19">
        <f t="shared" si="18"/>
        <v>45518</v>
      </c>
      <c r="BY18" s="19">
        <f t="shared" si="18"/>
        <v>45518</v>
      </c>
      <c r="BZ18" s="19">
        <f t="shared" si="18"/>
        <v>45518</v>
      </c>
    </row>
    <row r="19" ht="14.25" customHeight="1">
      <c r="A19" s="17">
        <v>45519.0</v>
      </c>
      <c r="B19" s="2" t="str">
        <f t="array" ref="B19">IF(NOW()&gt;AM19,"",IF(AND((WEEKDAY($A19)+$B$2)&gt;1,((WEEKDAY($A19)+$T$2)&lt;7),(WEEKDAY($A19)&lt;&gt;1)),"work",(INDEX(Subject!$A:$I,MATCH(RANDBETWEEN(1,(MAX(Subject!$B:$B))),Subject!$B:$B,0),3))))</f>
        <v/>
      </c>
      <c r="C19" s="2" t="str">
        <f t="array" ref="C19">IF(NOW()&gt;AN19,"",IF(AND((WEEKDAY($A19)+$B$2)&gt;1,((WEEKDAY($A19)+$T$2)&lt;7),(WEEKDAY($A19)&lt;&gt;1)),"work",(INDEX(Subject!$A:$I,MATCH(RANDBETWEEN(1,(MAX(Subject!$B:$B))),Subject!$B:$B,0),3))))</f>
        <v/>
      </c>
      <c r="D19" s="2" t="str">
        <f t="array" ref="D19">IF(NOW()&gt;AO19,"",IF(AND((WEEKDAY($A19)+$B$2)&gt;1,((WEEKDAY($A19)+$T$2)&lt;7),(WEEKDAY($A19)&lt;&gt;1)),"work",(INDEX(Subject!$A:$I,MATCH(RANDBETWEEN(1,(MAX(Subject!$B:$B))),Subject!$B:$B,0),3))))</f>
        <v/>
      </c>
      <c r="E19" s="2" t="str">
        <f t="array" ref="E19">IF(NOW()&gt;AP19,"",IF(AND((WEEKDAY($A19)+$B$2)&gt;1,((WEEKDAY($A19)+$T$2)&lt;7),(WEEKDAY($A19)&lt;&gt;1)),"work",(INDEX(Subject!$A:$I,MATCH(RANDBETWEEN(1,(MAX(Subject!$B:$B))),Subject!$B:$B,0),3))))</f>
        <v/>
      </c>
      <c r="F19" s="2" t="str">
        <f t="array" ref="F19">IF(NOW()&gt;AQ19,"",IF(AND((WEEKDAY($A19)+$B$2)&gt;1,((WEEKDAY($A19)+$T$2)&lt;7),(WEEKDAY($A19)&lt;&gt;1)),"work",(INDEX(Subject!$A:$I,MATCH(RANDBETWEEN(1,(MAX(Subject!$B:$B))),Subject!$B:$B,0),3))))</f>
        <v/>
      </c>
      <c r="G19" s="2" t="str">
        <f t="array" ref="G19">IF(NOW()&gt;AR19,"",IF(AND((WEEKDAY($A19)+$B$2)&gt;1,((WEEKDAY($A19)+$T$2)&lt;7),(WEEKDAY($A19)&lt;&gt;1)),"work",(INDEX(Subject!$A:$I,MATCH(RANDBETWEEN(1,(MAX(Subject!$B:$B))),Subject!$B:$B,0),3))))</f>
        <v/>
      </c>
      <c r="H19" s="2" t="str">
        <f t="array" ref="H19">IF(NOW()&gt;AS19,"",IF(AND((WEEKDAY($A19)+$B$2)&gt;1,((WEEKDAY($A19)+$T$2)&lt;7),(WEEKDAY($A19)&lt;&gt;1)),"work",(INDEX(Subject!$A:$I,MATCH(RANDBETWEEN(1,(MAX(Subject!$B:$B))),Subject!$B:$B,0),3))))</f>
        <v/>
      </c>
      <c r="I19" s="2" t="str">
        <f t="array" ref="I19">IF(NOW()&gt;AT19,"",IF(AND((WEEKDAY($A19)+$B$2)&gt;1,((WEEKDAY($A19)+$T$2)&lt;7),(WEEKDAY($A19)&lt;&gt;1)),"work",(INDEX(Subject!$A:$I,MATCH(RANDBETWEEN(1,(MAX(Subject!$B:$B))),Subject!$B:$B,0),3))))</f>
        <v/>
      </c>
      <c r="J19" s="2" t="str">
        <f t="array" ref="J19">IF(NOW()&gt;AU19,"",IF(AND((WEEKDAY($A19)+$B$2)&gt;1,((WEEKDAY($A19)+$T$2)&lt;7),(WEEKDAY($A19)&lt;&gt;1)),"work",(INDEX(Subject!$A:$I,MATCH(RANDBETWEEN(1,(MAX(Subject!$B:$B))),Subject!$B:$B,0),3))))</f>
        <v/>
      </c>
      <c r="K19" s="2" t="str">
        <f t="array" ref="K19">IF(NOW()&gt;AV19,"",IF(AND((WEEKDAY($A19)+$B$2)&gt;1,((WEEKDAY($A19)+$T$2)&lt;7),(WEEKDAY($A19)&lt;&gt;1)),"work",(INDEX(Subject!$A:$I,MATCH(RANDBETWEEN(1,(MAX(Subject!$B:$B))),Subject!$B:$B,0),3))))</f>
        <v/>
      </c>
      <c r="L19" s="2" t="str">
        <f t="array" ref="L19">IF(NOW()&gt;AW19,"",IF(AND((WEEKDAY($A19)+$B$2)&gt;1,((WEEKDAY($A19)+$T$2)&lt;7),(WEEKDAY($A19)&lt;&gt;1)),"work",(INDEX(Subject!$A:$I,MATCH(RANDBETWEEN(1,(MAX(Subject!$B:$B))),Subject!$B:$B,0),3))))</f>
        <v/>
      </c>
      <c r="M19" s="2" t="str">
        <f t="array" ref="M19">IF(NOW()&gt;AX19,"",IF(AND((WEEKDAY($A19)+$B$2)&gt;1,((WEEKDAY($A19)+$T$2)&lt;7),(WEEKDAY($A19)&lt;&gt;1)),"work",(INDEX(Subject!$A:$I,MATCH(RANDBETWEEN(1,(MAX(Subject!$B:$B))),Subject!$B:$B,0),3))))</f>
        <v/>
      </c>
      <c r="N19" s="2" t="str">
        <f t="array" ref="N19">IF(NOW()&gt;AY19,"",IF(AND((WEEKDAY($A19)+$B$2)&gt;1,((WEEKDAY($A19)+$T$2)&lt;7),(WEEKDAY($A19)&lt;&gt;1)),"work",(INDEX(Subject!$A:$I,MATCH(RANDBETWEEN(1,(MAX(Subject!$B:$B))),Subject!$B:$B,0),3))))</f>
        <v/>
      </c>
      <c r="O19" s="2" t="str">
        <f t="array" ref="O19">IF(NOW()&gt;AZ19,"",IF(AND((WEEKDAY($A19)+$B$2)&gt;1,((WEEKDAY($A19)+$T$2)&lt;7),(WEEKDAY($A19)&lt;&gt;1)),"work",(INDEX(Subject!$A:$I,MATCH(RANDBETWEEN(1,(MAX(Subject!$B:$B))),Subject!$B:$B,0),3))))</f>
        <v/>
      </c>
      <c r="P19" s="2" t="str">
        <f t="array" ref="P19">IF(NOW()&gt;BA19,"",IF(AND((WEEKDAY($A19)+$B$2)&gt;1,((WEEKDAY($A19)+$T$2)&lt;7),(WEEKDAY($A19)&lt;&gt;1)),"work",(INDEX(Subject!$A:$I,MATCH(RANDBETWEEN(1,(MAX(Subject!$B:$B))),Subject!$B:$B,0),3))))</f>
        <v/>
      </c>
      <c r="Q19" s="2" t="str">
        <f t="array" ref="Q19">IF(NOW()&gt;BB19,"",IF(AND((WEEKDAY($A19)+$B$2)&gt;1,((WEEKDAY($A19)+$T$2)&lt;7),(WEEKDAY($A19)&lt;&gt;1)),"work",(INDEX(Subject!$A:$I,MATCH(RANDBETWEEN(1,(MAX(Subject!$B:$B))),Subject!$B:$B,0),3))))</f>
        <v/>
      </c>
      <c r="R19" s="2" t="str">
        <f t="array" ref="R19">IF(NOW()&gt;BC19,"",IF(AND((WEEKDAY($A19)+$B$2)&gt;1,((WEEKDAY($A19)+$T$2)&lt;7),(WEEKDAY($A19)&lt;&gt;1)),"work",(INDEX(Subject!$A:$I,MATCH(RANDBETWEEN(1,(MAX(Subject!$B:$B))),Subject!$B:$B,0),3))))</f>
        <v/>
      </c>
      <c r="S19" s="2" t="str">
        <f t="array" ref="S19">IF(NOW()&gt;BD19,"",IF(AND((WEEKDAY($A19)+$B$2)&gt;1,((WEEKDAY($A19)+$T$2)&lt;7),(WEEKDAY($A19)&lt;&gt;1)),"work",(INDEX(Subject!$A:$I,MATCH(RANDBETWEEN(1,(MAX(Subject!$B:$B))),Subject!$B:$B,0),3))))</f>
        <v/>
      </c>
      <c r="T19" s="2" t="str">
        <f t="array" ref="T19">IF(NOW()&gt;BE19,"",IF(AND((WEEKDAY($A19)+$B$2)&gt;1,((WEEKDAY($A19)+$T$2)&lt;7),(WEEKDAY($A19)&lt;&gt;1)),"work",(INDEX(Subject!$A:$I,MATCH(RANDBETWEEN(1,(MAX(Subject!$B:$B))),Subject!$B:$B,0),3))))</f>
        <v/>
      </c>
      <c r="U19" s="8" t="str">
        <f t="array" ref="U19">INDEX(Subject!$A:$I,MATCH(RANDBETWEEN(1,16),Subject!$B:$B,0),3)</f>
        <v>#N/A</v>
      </c>
      <c r="V19" s="8" t="str">
        <f t="array" ref="V19">INDEX(Subject!$A:$I,MATCH(RANDBETWEEN(1,16),Subject!$B:$B,0),3)</f>
        <v>#N/A</v>
      </c>
      <c r="W19" s="8" t="str">
        <f t="array" ref="W19">INDEX(Subject!$A:$I,MATCH(RANDBETWEEN(1,16),Subject!$B:$B,0),3)</f>
        <v>#N/A</v>
      </c>
      <c r="X19" s="8" t="str">
        <f t="array" ref="X19">INDEX(Subject!$A:$I,MATCH(RANDBETWEEN(1,16),Subject!$B:$B,0),3)</f>
        <v/>
      </c>
      <c r="Y19" s="8" t="str">
        <f t="array" ref="Y19">INDEX(Subject!$A:$I,MATCH(RANDBETWEEN(1,16),Subject!$B:$B,0),3)</f>
        <v>#N/A</v>
      </c>
      <c r="Z19" s="8" t="str">
        <f t="array" ref="Z19">INDEX(Subject!$A:$I,MATCH(RANDBETWEEN(1,16),Subject!$B:$B,0),3)</f>
        <v>#N/A</v>
      </c>
      <c r="AA19" s="8" t="str">
        <f t="array" ref="AA19">INDEX(Subject!$A:$I,MATCH(RANDBETWEEN(1,16),Subject!$B:$B,0),3)</f>
        <v>#N/A</v>
      </c>
      <c r="AB19" s="8" t="str">
        <f t="array" ref="AB19">INDEX(Subject!$A:$I,MATCH(RANDBETWEEN(1,16),Subject!$B:$B,0),3)</f>
        <v>#N/A</v>
      </c>
      <c r="AC19" s="8" t="str">
        <f t="array" ref="AC19">INDEX(Subject!$A:$I,MATCH(RANDBETWEEN(1,16),Subject!$B:$B,0),3)</f>
        <v/>
      </c>
      <c r="AD19" s="8" t="str">
        <f t="array" ref="AD19">INDEX(Subject!$A:$I,MATCH(RANDBETWEEN(1,16),Subject!$B:$B,0),3)</f>
        <v>#N/A</v>
      </c>
      <c r="AE19" s="8" t="str">
        <f t="array" ref="AE19">INDEX(Subject!$A:$I,MATCH(RANDBETWEEN(1,16),Subject!$B:$B,0),3)</f>
        <v>#N/A</v>
      </c>
      <c r="AF19" s="8" t="str">
        <f t="array" ref="AF19">INDEX(Subject!$A:$I,MATCH(RANDBETWEEN(1,16),Subject!$B:$B,0),3)</f>
        <v>#N/A</v>
      </c>
      <c r="AG19" s="8" t="str">
        <f t="array" ref="AG19">INDEX(Subject!$A:$I,MATCH(RANDBETWEEN(1,16),Subject!$B:$B,0),3)</f>
        <v>#N/A</v>
      </c>
      <c r="AH19" s="8" t="str">
        <f t="array" ref="AH19">INDEX(Subject!$A:$I,MATCH(RANDBETWEEN(1,16),Subject!$B:$B,0),3)</f>
        <v>#N/A</v>
      </c>
      <c r="AI19" s="8" t="str">
        <f t="array" ref="AI19">INDEX(Subject!$A:$I,MATCH(RANDBETWEEN(1,16),Subject!$B:$B,0),3)</f>
        <v>#N/A</v>
      </c>
      <c r="AJ19" s="8" t="str">
        <f t="array" ref="AJ19">INDEX(Subject!$A:$I,MATCH(RANDBETWEEN(1,16),Subject!$B:$B,0),3)</f>
        <v>#N/A</v>
      </c>
      <c r="AK19" s="8" t="str">
        <f t="array" ref="AK19">INDEX(Subject!$A:$I,MATCH(RANDBETWEEN(1,16),Subject!$B:$B,0),3)</f>
        <v>#N/A</v>
      </c>
      <c r="AL19" s="8" t="str">
        <f t="array" ref="AL19">INDEX(Subject!$A:$I,MATCH(RANDBETWEEN(1,16),Subject!$B:$B,0),3)</f>
        <v>#N/A</v>
      </c>
      <c r="AM19" s="18">
        <f t="shared" si="4"/>
        <v>45519.33333</v>
      </c>
      <c r="AN19" s="19">
        <f t="shared" ref="AN19:BZ19" si="19">$A19+C$1</f>
        <v>45519.35417</v>
      </c>
      <c r="AO19" s="19">
        <f t="shared" si="19"/>
        <v>45519.375</v>
      </c>
      <c r="AP19" s="19">
        <f t="shared" si="19"/>
        <v>45519.39583</v>
      </c>
      <c r="AQ19" s="19">
        <f t="shared" si="19"/>
        <v>45519.41667</v>
      </c>
      <c r="AR19" s="19">
        <f t="shared" si="19"/>
        <v>45519.4375</v>
      </c>
      <c r="AS19" s="19">
        <f t="shared" si="19"/>
        <v>45519.45833</v>
      </c>
      <c r="AT19" s="19">
        <f t="shared" si="19"/>
        <v>45519.47917</v>
      </c>
      <c r="AU19" s="19">
        <f t="shared" si="19"/>
        <v>45519.5</v>
      </c>
      <c r="AV19" s="19">
        <f t="shared" si="19"/>
        <v>45519.52083</v>
      </c>
      <c r="AW19" s="19">
        <f t="shared" si="19"/>
        <v>45519.54167</v>
      </c>
      <c r="AX19" s="19">
        <f t="shared" si="19"/>
        <v>45519.5625</v>
      </c>
      <c r="AY19" s="19">
        <f t="shared" si="19"/>
        <v>45519.58333</v>
      </c>
      <c r="AZ19" s="19">
        <f t="shared" si="19"/>
        <v>45519.60417</v>
      </c>
      <c r="BA19" s="19">
        <f t="shared" si="19"/>
        <v>45519.625</v>
      </c>
      <c r="BB19" s="19">
        <f t="shared" si="19"/>
        <v>45519.64583</v>
      </c>
      <c r="BC19" s="19">
        <f t="shared" si="19"/>
        <v>45519.66667</v>
      </c>
      <c r="BD19" s="19">
        <f t="shared" si="19"/>
        <v>45519.6875</v>
      </c>
      <c r="BE19" s="19">
        <f t="shared" si="19"/>
        <v>45519.70833</v>
      </c>
      <c r="BF19" s="19">
        <f t="shared" si="19"/>
        <v>45519.72917</v>
      </c>
      <c r="BG19" s="19">
        <f t="shared" si="19"/>
        <v>45519.75</v>
      </c>
      <c r="BH19" s="19">
        <f t="shared" si="19"/>
        <v>45519.77083</v>
      </c>
      <c r="BI19" s="19">
        <f t="shared" si="19"/>
        <v>45519.79167</v>
      </c>
      <c r="BJ19" s="19">
        <f t="shared" si="19"/>
        <v>45519.8125</v>
      </c>
      <c r="BK19" s="19">
        <f t="shared" si="19"/>
        <v>45519.83333</v>
      </c>
      <c r="BL19" s="19">
        <f t="shared" si="19"/>
        <v>45519.85417</v>
      </c>
      <c r="BM19" s="19">
        <f t="shared" si="19"/>
        <v>45519.875</v>
      </c>
      <c r="BN19" s="19">
        <f t="shared" si="19"/>
        <v>45519.89583</v>
      </c>
      <c r="BO19" s="19">
        <f t="shared" si="19"/>
        <v>45519.91667</v>
      </c>
      <c r="BP19" s="19">
        <f t="shared" si="19"/>
        <v>45519.9375</v>
      </c>
      <c r="BQ19" s="19">
        <f t="shared" si="19"/>
        <v>45519.95833</v>
      </c>
      <c r="BR19" s="19">
        <f t="shared" si="19"/>
        <v>45519.97917</v>
      </c>
      <c r="BS19" s="19">
        <f t="shared" si="19"/>
        <v>45520</v>
      </c>
      <c r="BT19" s="19">
        <f t="shared" si="19"/>
        <v>45520.02083</v>
      </c>
      <c r="BU19" s="19">
        <f t="shared" si="19"/>
        <v>45520.04167</v>
      </c>
      <c r="BV19" s="19">
        <f t="shared" si="19"/>
        <v>45520.0625</v>
      </c>
      <c r="BW19" s="19">
        <f t="shared" si="19"/>
        <v>45520.08333</v>
      </c>
      <c r="BX19" s="19">
        <f t="shared" si="19"/>
        <v>45519</v>
      </c>
      <c r="BY19" s="19">
        <f t="shared" si="19"/>
        <v>45519</v>
      </c>
      <c r="BZ19" s="19">
        <f t="shared" si="19"/>
        <v>45519</v>
      </c>
    </row>
    <row r="20" ht="14.25" customHeight="1">
      <c r="A20" s="17">
        <v>45520.0</v>
      </c>
      <c r="B20" s="2" t="str">
        <f t="array" ref="B20">IF(NOW()&gt;AM20,"",IF(AND((WEEKDAY($A20)+$B$2)&gt;1,((WEEKDAY($A20)+$T$2)&lt;7),(WEEKDAY($A20)&lt;&gt;1)),"work",(INDEX(Subject!$A:$I,MATCH(RANDBETWEEN(1,(MAX(Subject!$B:$B))),Subject!$B:$B,0),3))))</f>
        <v/>
      </c>
      <c r="C20" s="2" t="str">
        <f t="array" ref="C20">IF(NOW()&gt;AN20,"",IF(AND((WEEKDAY($A20)+$B$2)&gt;1,((WEEKDAY($A20)+$T$2)&lt;7),(WEEKDAY($A20)&lt;&gt;1)),"work",(INDEX(Subject!$A:$I,MATCH(RANDBETWEEN(1,(MAX(Subject!$B:$B))),Subject!$B:$B,0),3))))</f>
        <v/>
      </c>
      <c r="D20" s="2" t="str">
        <f t="array" ref="D20">IF(NOW()&gt;AO20,"",IF(AND((WEEKDAY($A20)+$B$2)&gt;1,((WEEKDAY($A20)+$T$2)&lt;7),(WEEKDAY($A20)&lt;&gt;1)),"work",(INDEX(Subject!$A:$I,MATCH(RANDBETWEEN(1,(MAX(Subject!$B:$B))),Subject!$B:$B,0),3))))</f>
        <v/>
      </c>
      <c r="E20" s="2" t="str">
        <f t="array" ref="E20">IF(NOW()&gt;AP20,"",IF(AND((WEEKDAY($A20)+$B$2)&gt;1,((WEEKDAY($A20)+$T$2)&lt;7),(WEEKDAY($A20)&lt;&gt;1)),"work",(INDEX(Subject!$A:$I,MATCH(RANDBETWEEN(1,(MAX(Subject!$B:$B))),Subject!$B:$B,0),3))))</f>
        <v/>
      </c>
      <c r="F20" s="2" t="str">
        <f t="array" ref="F20">IF(NOW()&gt;AQ20,"",IF(AND((WEEKDAY($A20)+$B$2)&gt;1,((WEEKDAY($A20)+$T$2)&lt;7),(WEEKDAY($A20)&lt;&gt;1)),"work",(INDEX(Subject!$A:$I,MATCH(RANDBETWEEN(1,(MAX(Subject!$B:$B))),Subject!$B:$B,0),3))))</f>
        <v/>
      </c>
      <c r="G20" s="2" t="str">
        <f t="array" ref="G20">IF(NOW()&gt;AR20,"",IF(AND((WEEKDAY($A20)+$B$2)&gt;1,((WEEKDAY($A20)+$T$2)&lt;7),(WEEKDAY($A20)&lt;&gt;1)),"work",(INDEX(Subject!$A:$I,MATCH(RANDBETWEEN(1,(MAX(Subject!$B:$B))),Subject!$B:$B,0),3))))</f>
        <v/>
      </c>
      <c r="H20" s="2" t="str">
        <f t="array" ref="H20">IF(NOW()&gt;AS20,"",IF(AND((WEEKDAY($A20)+$B$2)&gt;1,((WEEKDAY($A20)+$T$2)&lt;7),(WEEKDAY($A20)&lt;&gt;1)),"work",(INDEX(Subject!$A:$I,MATCH(RANDBETWEEN(1,(MAX(Subject!$B:$B))),Subject!$B:$B,0),3))))</f>
        <v/>
      </c>
      <c r="I20" s="2" t="str">
        <f t="array" ref="I20">IF(NOW()&gt;AT20,"",IF(AND((WEEKDAY($A20)+$B$2)&gt;1,((WEEKDAY($A20)+$T$2)&lt;7),(WEEKDAY($A20)&lt;&gt;1)),"work",(INDEX(Subject!$A:$I,MATCH(RANDBETWEEN(1,(MAX(Subject!$B:$B))),Subject!$B:$B,0),3))))</f>
        <v/>
      </c>
      <c r="J20" s="2" t="str">
        <f t="array" ref="J20">IF(NOW()&gt;AU20,"",IF(AND((WEEKDAY($A20)+$B$2)&gt;1,((WEEKDAY($A20)+$T$2)&lt;7),(WEEKDAY($A20)&lt;&gt;1)),"work",(INDEX(Subject!$A:$I,MATCH(RANDBETWEEN(1,(MAX(Subject!$B:$B))),Subject!$B:$B,0),3))))</f>
        <v/>
      </c>
      <c r="K20" s="2" t="str">
        <f t="array" ref="K20">IF(NOW()&gt;AV20,"",IF(AND((WEEKDAY($A20)+$B$2)&gt;1,((WEEKDAY($A20)+$T$2)&lt;7),(WEEKDAY($A20)&lt;&gt;1)),"work",(INDEX(Subject!$A:$I,MATCH(RANDBETWEEN(1,(MAX(Subject!$B:$B))),Subject!$B:$B,0),3))))</f>
        <v/>
      </c>
      <c r="L20" s="2" t="str">
        <f t="array" ref="L20">IF(NOW()&gt;AW20,"",IF(AND((WEEKDAY($A20)+$B$2)&gt;1,((WEEKDAY($A20)+$T$2)&lt;7),(WEEKDAY($A20)&lt;&gt;1)),"work",(INDEX(Subject!$A:$I,MATCH(RANDBETWEEN(1,(MAX(Subject!$B:$B))),Subject!$B:$B,0),3))))</f>
        <v/>
      </c>
      <c r="M20" s="2" t="str">
        <f t="array" ref="M20">IF(NOW()&gt;AX20,"",IF(AND((WEEKDAY($A20)+$B$2)&gt;1,((WEEKDAY($A20)+$T$2)&lt;7),(WEEKDAY($A20)&lt;&gt;1)),"work",(INDEX(Subject!$A:$I,MATCH(RANDBETWEEN(1,(MAX(Subject!$B:$B))),Subject!$B:$B,0),3))))</f>
        <v/>
      </c>
      <c r="N20" s="2" t="str">
        <f t="array" ref="N20">IF(NOW()&gt;AY20,"",IF(AND((WEEKDAY($A20)+$B$2)&gt;1,((WEEKDAY($A20)+$T$2)&lt;7),(WEEKDAY($A20)&lt;&gt;1)),"work",(INDEX(Subject!$A:$I,MATCH(RANDBETWEEN(1,(MAX(Subject!$B:$B))),Subject!$B:$B,0),3))))</f>
        <v/>
      </c>
      <c r="O20" s="2" t="str">
        <f t="array" ref="O20">IF(NOW()&gt;AZ20,"",IF(AND((WEEKDAY($A20)+$B$2)&gt;1,((WEEKDAY($A20)+$T$2)&lt;7),(WEEKDAY($A20)&lt;&gt;1)),"work",(INDEX(Subject!$A:$I,MATCH(RANDBETWEEN(1,(MAX(Subject!$B:$B))),Subject!$B:$B,0),3))))</f>
        <v/>
      </c>
      <c r="P20" s="2" t="str">
        <f t="array" ref="P20">IF(NOW()&gt;BA20,"",IF(AND((WEEKDAY($A20)+$B$2)&gt;1,((WEEKDAY($A20)+$T$2)&lt;7),(WEEKDAY($A20)&lt;&gt;1)),"work",(INDEX(Subject!$A:$I,MATCH(RANDBETWEEN(1,(MAX(Subject!$B:$B))),Subject!$B:$B,0),3))))</f>
        <v/>
      </c>
      <c r="Q20" s="2" t="str">
        <f t="array" ref="Q20">IF(NOW()&gt;BB20,"",IF(AND((WEEKDAY($A20)+$B$2)&gt;1,((WEEKDAY($A20)+$T$2)&lt;7),(WEEKDAY($A20)&lt;&gt;1)),"work",(INDEX(Subject!$A:$I,MATCH(RANDBETWEEN(1,(MAX(Subject!$B:$B))),Subject!$B:$B,0),3))))</f>
        <v/>
      </c>
      <c r="R20" s="2" t="str">
        <f t="array" ref="R20">IF(NOW()&gt;BC20,"",IF(AND((WEEKDAY($A20)+$B$2)&gt;1,((WEEKDAY($A20)+$T$2)&lt;7),(WEEKDAY($A20)&lt;&gt;1)),"work",(INDEX(Subject!$A:$I,MATCH(RANDBETWEEN(1,(MAX(Subject!$B:$B))),Subject!$B:$B,0),3))))</f>
        <v/>
      </c>
      <c r="S20" s="2" t="str">
        <f t="array" ref="S20">IF(NOW()&gt;BD20,"",IF(AND((WEEKDAY($A20)+$B$2)&gt;1,((WEEKDAY($A20)+$T$2)&lt;7),(WEEKDAY($A20)&lt;&gt;1)),"work",(INDEX(Subject!$A:$I,MATCH(RANDBETWEEN(1,(MAX(Subject!$B:$B))),Subject!$B:$B,0),3))))</f>
        <v/>
      </c>
      <c r="T20" s="2" t="str">
        <f t="array" ref="T20">IF(NOW()&gt;BE20,"",IF(AND((WEEKDAY($A20)+$B$2)&gt;1,((WEEKDAY($A20)+$T$2)&lt;7),(WEEKDAY($A20)&lt;&gt;1)),"work",(INDEX(Subject!$A:$I,MATCH(RANDBETWEEN(1,(MAX(Subject!$B:$B))),Subject!$B:$B,0),3))))</f>
        <v/>
      </c>
      <c r="U20" s="8" t="str">
        <f t="array" ref="U20">INDEX(Subject!$A:$I,MATCH(RANDBETWEEN(1,16),Subject!$B:$B,0),3)</f>
        <v>#N/A</v>
      </c>
      <c r="V20" s="8" t="str">
        <f t="array" ref="V20">INDEX(Subject!$A:$I,MATCH(RANDBETWEEN(1,16),Subject!$B:$B,0),3)</f>
        <v>#N/A</v>
      </c>
      <c r="W20" s="8" t="str">
        <f t="array" ref="W20">INDEX(Subject!$A:$I,MATCH(RANDBETWEEN(1,16),Subject!$B:$B,0),3)</f>
        <v>#N/A</v>
      </c>
      <c r="X20" s="8" t="str">
        <f t="array" ref="X20">INDEX(Subject!$A:$I,MATCH(RANDBETWEEN(1,16),Subject!$B:$B,0),3)</f>
        <v>#N/A</v>
      </c>
      <c r="Y20" s="8" t="str">
        <f t="array" ref="Y20">INDEX(Subject!$A:$I,MATCH(RANDBETWEEN(1,16),Subject!$B:$B,0),3)</f>
        <v>#N/A</v>
      </c>
      <c r="Z20" s="8" t="str">
        <f t="array" ref="Z20">INDEX(Subject!$A:$I,MATCH(RANDBETWEEN(1,16),Subject!$B:$B,0),3)</f>
        <v>#N/A</v>
      </c>
      <c r="AA20" s="8" t="str">
        <f t="array" ref="AA20">INDEX(Subject!$A:$I,MATCH(RANDBETWEEN(1,16),Subject!$B:$B,0),3)</f>
        <v>#N/A</v>
      </c>
      <c r="AB20" s="8" t="str">
        <f t="array" ref="AB20">INDEX(Subject!$A:$I,MATCH(RANDBETWEEN(1,16),Subject!$B:$B,0),3)</f>
        <v>#N/A</v>
      </c>
      <c r="AC20" s="8" t="str">
        <f t="array" ref="AC20">INDEX(Subject!$A:$I,MATCH(RANDBETWEEN(1,16),Subject!$B:$B,0),3)</f>
        <v>#N/A</v>
      </c>
      <c r="AD20" s="8" t="str">
        <f t="array" ref="AD20">INDEX(Subject!$A:$I,MATCH(RANDBETWEEN(1,16),Subject!$B:$B,0),3)</f>
        <v>#N/A</v>
      </c>
      <c r="AE20" s="8" t="str">
        <f t="array" ref="AE20">INDEX(Subject!$A:$I,MATCH(RANDBETWEEN(1,16),Subject!$B:$B,0),3)</f>
        <v/>
      </c>
      <c r="AF20" s="8" t="str">
        <f t="array" ref="AF20">INDEX(Subject!$A:$I,MATCH(RANDBETWEEN(1,16),Subject!$B:$B,0),3)</f>
        <v>#N/A</v>
      </c>
      <c r="AG20" s="8" t="str">
        <f t="array" ref="AG20">INDEX(Subject!$A:$I,MATCH(RANDBETWEEN(1,16),Subject!$B:$B,0),3)</f>
        <v>#N/A</v>
      </c>
      <c r="AH20" s="8" t="str">
        <f t="array" ref="AH20">INDEX(Subject!$A:$I,MATCH(RANDBETWEEN(1,16),Subject!$B:$B,0),3)</f>
        <v>#N/A</v>
      </c>
      <c r="AI20" s="8" t="str">
        <f t="array" ref="AI20">INDEX(Subject!$A:$I,MATCH(RANDBETWEEN(1,16),Subject!$B:$B,0),3)</f>
        <v>#N/A</v>
      </c>
      <c r="AJ20" s="8" t="str">
        <f t="array" ref="AJ20">INDEX(Subject!$A:$I,MATCH(RANDBETWEEN(1,16),Subject!$B:$B,0),3)</f>
        <v>#N/A</v>
      </c>
      <c r="AK20" s="8" t="str">
        <f t="array" ref="AK20">INDEX(Subject!$A:$I,MATCH(RANDBETWEEN(1,16),Subject!$B:$B,0),3)</f>
        <v>#N/A</v>
      </c>
      <c r="AL20" s="8" t="str">
        <f t="array" ref="AL20">INDEX(Subject!$A:$I,MATCH(RANDBETWEEN(1,16),Subject!$B:$B,0),3)</f>
        <v>#N/A</v>
      </c>
      <c r="AM20" s="18">
        <f t="shared" si="4"/>
        <v>45520.33333</v>
      </c>
      <c r="AN20" s="19">
        <f t="shared" ref="AN20:BZ20" si="20">$A20+C$1</f>
        <v>45520.35417</v>
      </c>
      <c r="AO20" s="19">
        <f t="shared" si="20"/>
        <v>45520.375</v>
      </c>
      <c r="AP20" s="19">
        <f t="shared" si="20"/>
        <v>45520.39583</v>
      </c>
      <c r="AQ20" s="19">
        <f t="shared" si="20"/>
        <v>45520.41667</v>
      </c>
      <c r="AR20" s="19">
        <f t="shared" si="20"/>
        <v>45520.4375</v>
      </c>
      <c r="AS20" s="19">
        <f t="shared" si="20"/>
        <v>45520.45833</v>
      </c>
      <c r="AT20" s="19">
        <f t="shared" si="20"/>
        <v>45520.47917</v>
      </c>
      <c r="AU20" s="19">
        <f t="shared" si="20"/>
        <v>45520.5</v>
      </c>
      <c r="AV20" s="19">
        <f t="shared" si="20"/>
        <v>45520.52083</v>
      </c>
      <c r="AW20" s="19">
        <f t="shared" si="20"/>
        <v>45520.54167</v>
      </c>
      <c r="AX20" s="19">
        <f t="shared" si="20"/>
        <v>45520.5625</v>
      </c>
      <c r="AY20" s="19">
        <f t="shared" si="20"/>
        <v>45520.58333</v>
      </c>
      <c r="AZ20" s="19">
        <f t="shared" si="20"/>
        <v>45520.60417</v>
      </c>
      <c r="BA20" s="19">
        <f t="shared" si="20"/>
        <v>45520.625</v>
      </c>
      <c r="BB20" s="19">
        <f t="shared" si="20"/>
        <v>45520.64583</v>
      </c>
      <c r="BC20" s="19">
        <f t="shared" si="20"/>
        <v>45520.66667</v>
      </c>
      <c r="BD20" s="19">
        <f t="shared" si="20"/>
        <v>45520.6875</v>
      </c>
      <c r="BE20" s="19">
        <f t="shared" si="20"/>
        <v>45520.70833</v>
      </c>
      <c r="BF20" s="19">
        <f t="shared" si="20"/>
        <v>45520.72917</v>
      </c>
      <c r="BG20" s="19">
        <f t="shared" si="20"/>
        <v>45520.75</v>
      </c>
      <c r="BH20" s="19">
        <f t="shared" si="20"/>
        <v>45520.77083</v>
      </c>
      <c r="BI20" s="19">
        <f t="shared" si="20"/>
        <v>45520.79167</v>
      </c>
      <c r="BJ20" s="19">
        <f t="shared" si="20"/>
        <v>45520.8125</v>
      </c>
      <c r="BK20" s="19">
        <f t="shared" si="20"/>
        <v>45520.83333</v>
      </c>
      <c r="BL20" s="19">
        <f t="shared" si="20"/>
        <v>45520.85417</v>
      </c>
      <c r="BM20" s="19">
        <f t="shared" si="20"/>
        <v>45520.875</v>
      </c>
      <c r="BN20" s="19">
        <f t="shared" si="20"/>
        <v>45520.89583</v>
      </c>
      <c r="BO20" s="19">
        <f t="shared" si="20"/>
        <v>45520.91667</v>
      </c>
      <c r="BP20" s="19">
        <f t="shared" si="20"/>
        <v>45520.9375</v>
      </c>
      <c r="BQ20" s="19">
        <f t="shared" si="20"/>
        <v>45520.95833</v>
      </c>
      <c r="BR20" s="19">
        <f t="shared" si="20"/>
        <v>45520.97917</v>
      </c>
      <c r="BS20" s="19">
        <f t="shared" si="20"/>
        <v>45521</v>
      </c>
      <c r="BT20" s="19">
        <f t="shared" si="20"/>
        <v>45521.02083</v>
      </c>
      <c r="BU20" s="19">
        <f t="shared" si="20"/>
        <v>45521.04167</v>
      </c>
      <c r="BV20" s="19">
        <f t="shared" si="20"/>
        <v>45521.0625</v>
      </c>
      <c r="BW20" s="19">
        <f t="shared" si="20"/>
        <v>45521.08333</v>
      </c>
      <c r="BX20" s="19">
        <f t="shared" si="20"/>
        <v>45520</v>
      </c>
      <c r="BY20" s="19">
        <f t="shared" si="20"/>
        <v>45520</v>
      </c>
      <c r="BZ20" s="19">
        <f t="shared" si="20"/>
        <v>45520</v>
      </c>
    </row>
    <row r="21" ht="14.25" customHeight="1">
      <c r="A21" s="17">
        <v>45521.0</v>
      </c>
      <c r="B21" s="2" t="str">
        <f t="array" ref="B21">IF(NOW()&gt;AM21,"",IF(AND((WEEKDAY($A21)+$B$2)&gt;1,((WEEKDAY($A21)+$T$2)&lt;7),(WEEKDAY($A21)&lt;&gt;1)),"work",(INDEX(Subject!$A:$I,MATCH(RANDBETWEEN(1,(MAX(Subject!$B:$B))),Subject!$B:$B,0),3))))</f>
        <v/>
      </c>
      <c r="C21" s="2" t="str">
        <f t="array" ref="C21">IF(NOW()&gt;AN21,"",IF(AND((WEEKDAY($A21)+$B$2)&gt;1,((WEEKDAY($A21)+$T$2)&lt;7),(WEEKDAY($A21)&lt;&gt;1)),"work",(INDEX(Subject!$A:$I,MATCH(RANDBETWEEN(1,(MAX(Subject!$B:$B))),Subject!$B:$B,0),3))))</f>
        <v/>
      </c>
      <c r="D21" s="2" t="str">
        <f t="array" ref="D21">IF(NOW()&gt;AO21,"",IF(AND((WEEKDAY($A21)+$B$2)&gt;1,((WEEKDAY($A21)+$T$2)&lt;7),(WEEKDAY($A21)&lt;&gt;1)),"work",(INDEX(Subject!$A:$I,MATCH(RANDBETWEEN(1,(MAX(Subject!$B:$B))),Subject!$B:$B,0),3))))</f>
        <v/>
      </c>
      <c r="E21" s="2" t="str">
        <f t="array" ref="E21">IF(NOW()&gt;AP21,"",IF(AND((WEEKDAY($A21)+$B$2)&gt;1,((WEEKDAY($A21)+$T$2)&lt;7),(WEEKDAY($A21)&lt;&gt;1)),"work",(INDEX(Subject!$A:$I,MATCH(RANDBETWEEN(1,(MAX(Subject!$B:$B))),Subject!$B:$B,0),3))))</f>
        <v/>
      </c>
      <c r="F21" s="2" t="str">
        <f t="array" ref="F21">IF(NOW()&gt;AQ21,"",IF(AND((WEEKDAY($A21)+$B$2)&gt;1,((WEEKDAY($A21)+$T$2)&lt;7),(WEEKDAY($A21)&lt;&gt;1)),"work",(INDEX(Subject!$A:$I,MATCH(RANDBETWEEN(1,(MAX(Subject!$B:$B))),Subject!$B:$B,0),3))))</f>
        <v/>
      </c>
      <c r="G21" s="2" t="str">
        <f t="array" ref="G21">IF(NOW()&gt;AR21,"",IF(AND((WEEKDAY($A21)+$B$2)&gt;1,((WEEKDAY($A21)+$T$2)&lt;7),(WEEKDAY($A21)&lt;&gt;1)),"work",(INDEX(Subject!$A:$I,MATCH(RANDBETWEEN(1,(MAX(Subject!$B:$B))),Subject!$B:$B,0),3))))</f>
        <v/>
      </c>
      <c r="H21" s="2" t="str">
        <f t="array" ref="H21">IF(NOW()&gt;AS21,"",IF(AND((WEEKDAY($A21)+$B$2)&gt;1,((WEEKDAY($A21)+$T$2)&lt;7),(WEEKDAY($A21)&lt;&gt;1)),"work",(INDEX(Subject!$A:$I,MATCH(RANDBETWEEN(1,(MAX(Subject!$B:$B))),Subject!$B:$B,0),3))))</f>
        <v/>
      </c>
      <c r="I21" s="2" t="str">
        <f t="array" ref="I21">IF(NOW()&gt;AT21,"",IF(AND((WEEKDAY($A21)+$B$2)&gt;1,((WEEKDAY($A21)+$T$2)&lt;7),(WEEKDAY($A21)&lt;&gt;1)),"work",(INDEX(Subject!$A:$I,MATCH(RANDBETWEEN(1,(MAX(Subject!$B:$B))),Subject!$B:$B,0),3))))</f>
        <v/>
      </c>
      <c r="J21" s="2" t="str">
        <f t="array" ref="J21">IF(NOW()&gt;AU21,"",IF(AND((WEEKDAY($A21)+$B$2)&gt;1,((WEEKDAY($A21)+$T$2)&lt;7),(WEEKDAY($A21)&lt;&gt;1)),"work",(INDEX(Subject!$A:$I,MATCH(RANDBETWEEN(1,(MAX(Subject!$B:$B))),Subject!$B:$B,0),3))))</f>
        <v/>
      </c>
      <c r="K21" s="2" t="str">
        <f t="array" ref="K21">IF(NOW()&gt;AV21,"",IF(AND((WEEKDAY($A21)+$B$2)&gt;1,((WEEKDAY($A21)+$T$2)&lt;7),(WEEKDAY($A21)&lt;&gt;1)),"work",(INDEX(Subject!$A:$I,MATCH(RANDBETWEEN(1,(MAX(Subject!$B:$B))),Subject!$B:$B,0),3))))</f>
        <v/>
      </c>
      <c r="L21" s="2" t="str">
        <f t="array" ref="L21">IF(NOW()&gt;AW21,"",IF(AND((WEEKDAY($A21)+$B$2)&gt;1,((WEEKDAY($A21)+$T$2)&lt;7),(WEEKDAY($A21)&lt;&gt;1)),"work",(INDEX(Subject!$A:$I,MATCH(RANDBETWEEN(1,(MAX(Subject!$B:$B))),Subject!$B:$B,0),3))))</f>
        <v/>
      </c>
      <c r="M21" s="2" t="str">
        <f t="array" ref="M21">IF(NOW()&gt;AX21,"",IF(AND((WEEKDAY($A21)+$B$2)&gt;1,((WEEKDAY($A21)+$T$2)&lt;7),(WEEKDAY($A21)&lt;&gt;1)),"work",(INDEX(Subject!$A:$I,MATCH(RANDBETWEEN(1,(MAX(Subject!$B:$B))),Subject!$B:$B,0),3))))</f>
        <v/>
      </c>
      <c r="N21" s="2" t="str">
        <f t="array" ref="N21">IF(NOW()&gt;AY21,"",IF(AND((WEEKDAY($A21)+$B$2)&gt;1,((WEEKDAY($A21)+$T$2)&lt;7),(WEEKDAY($A21)&lt;&gt;1)),"work",(INDEX(Subject!$A:$I,MATCH(RANDBETWEEN(1,(MAX(Subject!$B:$B))),Subject!$B:$B,0),3))))</f>
        <v/>
      </c>
      <c r="O21" s="2" t="str">
        <f t="array" ref="O21">IF(NOW()&gt;AZ21,"",IF(AND((WEEKDAY($A21)+$B$2)&gt;1,((WEEKDAY($A21)+$T$2)&lt;7),(WEEKDAY($A21)&lt;&gt;1)),"work",(INDEX(Subject!$A:$I,MATCH(RANDBETWEEN(1,(MAX(Subject!$B:$B))),Subject!$B:$B,0),3))))</f>
        <v/>
      </c>
      <c r="P21" s="2" t="str">
        <f t="array" ref="P21">IF(NOW()&gt;BA21,"",IF(AND((WEEKDAY($A21)+$B$2)&gt;1,((WEEKDAY($A21)+$T$2)&lt;7),(WEEKDAY($A21)&lt;&gt;1)),"work",(INDEX(Subject!$A:$I,MATCH(RANDBETWEEN(1,(MAX(Subject!$B:$B))),Subject!$B:$B,0),3))))</f>
        <v/>
      </c>
      <c r="Q21" s="2" t="str">
        <f t="array" ref="Q21">IF(NOW()&gt;BB21,"",IF(AND((WEEKDAY($A21)+$B$2)&gt;1,((WEEKDAY($A21)+$T$2)&lt;7),(WEEKDAY($A21)&lt;&gt;1)),"work",(INDEX(Subject!$A:$I,MATCH(RANDBETWEEN(1,(MAX(Subject!$B:$B))),Subject!$B:$B,0),3))))</f>
        <v/>
      </c>
      <c r="R21" s="2" t="str">
        <f t="array" ref="R21">IF(NOW()&gt;BC21,"",IF(AND((WEEKDAY($A21)+$B$2)&gt;1,((WEEKDAY($A21)+$T$2)&lt;7),(WEEKDAY($A21)&lt;&gt;1)),"work",(INDEX(Subject!$A:$I,MATCH(RANDBETWEEN(1,(MAX(Subject!$B:$B))),Subject!$B:$B,0),3))))</f>
        <v/>
      </c>
      <c r="S21" s="2" t="str">
        <f t="array" ref="S21">IF(NOW()&gt;BD21,"",IF(AND((WEEKDAY($A21)+$B$2)&gt;1,((WEEKDAY($A21)+$T$2)&lt;7),(WEEKDAY($A21)&lt;&gt;1)),"work",(INDEX(Subject!$A:$I,MATCH(RANDBETWEEN(1,(MAX(Subject!$B:$B))),Subject!$B:$B,0),3))))</f>
        <v/>
      </c>
      <c r="T21" s="2" t="str">
        <f t="array" ref="T21">IF(NOW()&gt;BE21,"",IF(AND((WEEKDAY($A21)+$B$2)&gt;1,((WEEKDAY($A21)+$T$2)&lt;7),(WEEKDAY($A21)&lt;&gt;1)),"work",(INDEX(Subject!$A:$I,MATCH(RANDBETWEEN(1,(MAX(Subject!$B:$B))),Subject!$B:$B,0),3))))</f>
        <v/>
      </c>
      <c r="U21" s="8" t="str">
        <f t="array" ref="U21">INDEX(Subject!$A:$I,MATCH(RANDBETWEEN(1,16),Subject!$B:$B,0),3)</f>
        <v>#N/A</v>
      </c>
      <c r="V21" s="8" t="str">
        <f t="array" ref="V21">INDEX(Subject!$A:$I,MATCH(RANDBETWEEN(1,16),Subject!$B:$B,0),3)</f>
        <v>#N/A</v>
      </c>
      <c r="W21" s="8" t="str">
        <f t="array" ref="W21">INDEX(Subject!$A:$I,MATCH(RANDBETWEEN(1,16),Subject!$B:$B,0),3)</f>
        <v>#N/A</v>
      </c>
      <c r="X21" s="8" t="str">
        <f t="array" ref="X21">INDEX(Subject!$A:$I,MATCH(RANDBETWEEN(1,16),Subject!$B:$B,0),3)</f>
        <v>#N/A</v>
      </c>
      <c r="Y21" s="8" t="str">
        <f t="array" ref="Y21">INDEX(Subject!$A:$I,MATCH(RANDBETWEEN(1,16),Subject!$B:$B,0),3)</f>
        <v>#N/A</v>
      </c>
      <c r="Z21" s="8" t="str">
        <f t="array" ref="Z21">INDEX(Subject!$A:$I,MATCH(RANDBETWEEN(1,16),Subject!$B:$B,0),3)</f>
        <v>#N/A</v>
      </c>
      <c r="AA21" s="8" t="str">
        <f t="array" ref="AA21">INDEX(Subject!$A:$I,MATCH(RANDBETWEEN(1,16),Subject!$B:$B,0),3)</f>
        <v>#N/A</v>
      </c>
      <c r="AB21" s="8" t="str">
        <f t="array" ref="AB21">INDEX(Subject!$A:$I,MATCH(RANDBETWEEN(1,16),Subject!$B:$B,0),3)</f>
        <v>#N/A</v>
      </c>
      <c r="AC21" s="8" t="str">
        <f t="array" ref="AC21">INDEX(Subject!$A:$I,MATCH(RANDBETWEEN(1,16),Subject!$B:$B,0),3)</f>
        <v>#N/A</v>
      </c>
      <c r="AD21" s="8" t="str">
        <f t="array" ref="AD21">INDEX(Subject!$A:$I,MATCH(RANDBETWEEN(1,16),Subject!$B:$B,0),3)</f>
        <v>#N/A</v>
      </c>
      <c r="AE21" s="8" t="str">
        <f t="array" ref="AE21">INDEX(Subject!$A:$I,MATCH(RANDBETWEEN(1,16),Subject!$B:$B,0),3)</f>
        <v>#N/A</v>
      </c>
      <c r="AF21" s="8" t="str">
        <f t="array" ref="AF21">INDEX(Subject!$A:$I,MATCH(RANDBETWEEN(1,16),Subject!$B:$B,0),3)</f>
        <v>#N/A</v>
      </c>
      <c r="AG21" s="8" t="str">
        <f t="array" ref="AG21">INDEX(Subject!$A:$I,MATCH(RANDBETWEEN(1,16),Subject!$B:$B,0),3)</f>
        <v>#N/A</v>
      </c>
      <c r="AH21" s="8" t="str">
        <f t="array" ref="AH21">INDEX(Subject!$A:$I,MATCH(RANDBETWEEN(1,16),Subject!$B:$B,0),3)</f>
        <v>#N/A</v>
      </c>
      <c r="AI21" s="8" t="str">
        <f t="array" ref="AI21">INDEX(Subject!$A:$I,MATCH(RANDBETWEEN(1,16),Subject!$B:$B,0),3)</f>
        <v>#N/A</v>
      </c>
      <c r="AJ21" s="8" t="str">
        <f t="array" ref="AJ21">INDEX(Subject!$A:$I,MATCH(RANDBETWEEN(1,16),Subject!$B:$B,0),3)</f>
        <v>#N/A</v>
      </c>
      <c r="AK21" s="8" t="str">
        <f t="array" ref="AK21">INDEX(Subject!$A:$I,MATCH(RANDBETWEEN(1,16),Subject!$B:$B,0),3)</f>
        <v>#N/A</v>
      </c>
      <c r="AL21" s="8" t="str">
        <f t="array" ref="AL21">INDEX(Subject!$A:$I,MATCH(RANDBETWEEN(1,16),Subject!$B:$B,0),3)</f>
        <v>#N/A</v>
      </c>
      <c r="AM21" s="18">
        <f t="shared" si="4"/>
        <v>45521.33333</v>
      </c>
      <c r="AN21" s="19">
        <f t="shared" ref="AN21:BZ21" si="21">$A21+C$1</f>
        <v>45521.35417</v>
      </c>
      <c r="AO21" s="19">
        <f t="shared" si="21"/>
        <v>45521.375</v>
      </c>
      <c r="AP21" s="19">
        <f t="shared" si="21"/>
        <v>45521.39583</v>
      </c>
      <c r="AQ21" s="19">
        <f t="shared" si="21"/>
        <v>45521.41667</v>
      </c>
      <c r="AR21" s="19">
        <f t="shared" si="21"/>
        <v>45521.4375</v>
      </c>
      <c r="AS21" s="19">
        <f t="shared" si="21"/>
        <v>45521.45833</v>
      </c>
      <c r="AT21" s="19">
        <f t="shared" si="21"/>
        <v>45521.47917</v>
      </c>
      <c r="AU21" s="19">
        <f t="shared" si="21"/>
        <v>45521.5</v>
      </c>
      <c r="AV21" s="19">
        <f t="shared" si="21"/>
        <v>45521.52083</v>
      </c>
      <c r="AW21" s="19">
        <f t="shared" si="21"/>
        <v>45521.54167</v>
      </c>
      <c r="AX21" s="19">
        <f t="shared" si="21"/>
        <v>45521.5625</v>
      </c>
      <c r="AY21" s="19">
        <f t="shared" si="21"/>
        <v>45521.58333</v>
      </c>
      <c r="AZ21" s="19">
        <f t="shared" si="21"/>
        <v>45521.60417</v>
      </c>
      <c r="BA21" s="19">
        <f t="shared" si="21"/>
        <v>45521.625</v>
      </c>
      <c r="BB21" s="19">
        <f t="shared" si="21"/>
        <v>45521.64583</v>
      </c>
      <c r="BC21" s="19">
        <f t="shared" si="21"/>
        <v>45521.66667</v>
      </c>
      <c r="BD21" s="19">
        <f t="shared" si="21"/>
        <v>45521.6875</v>
      </c>
      <c r="BE21" s="19">
        <f t="shared" si="21"/>
        <v>45521.70833</v>
      </c>
      <c r="BF21" s="19">
        <f t="shared" si="21"/>
        <v>45521.72917</v>
      </c>
      <c r="BG21" s="19">
        <f t="shared" si="21"/>
        <v>45521.75</v>
      </c>
      <c r="BH21" s="19">
        <f t="shared" si="21"/>
        <v>45521.77083</v>
      </c>
      <c r="BI21" s="19">
        <f t="shared" si="21"/>
        <v>45521.79167</v>
      </c>
      <c r="BJ21" s="19">
        <f t="shared" si="21"/>
        <v>45521.8125</v>
      </c>
      <c r="BK21" s="19">
        <f t="shared" si="21"/>
        <v>45521.83333</v>
      </c>
      <c r="BL21" s="19">
        <f t="shared" si="21"/>
        <v>45521.85417</v>
      </c>
      <c r="BM21" s="19">
        <f t="shared" si="21"/>
        <v>45521.875</v>
      </c>
      <c r="BN21" s="19">
        <f t="shared" si="21"/>
        <v>45521.89583</v>
      </c>
      <c r="BO21" s="19">
        <f t="shared" si="21"/>
        <v>45521.91667</v>
      </c>
      <c r="BP21" s="19">
        <f t="shared" si="21"/>
        <v>45521.9375</v>
      </c>
      <c r="BQ21" s="19">
        <f t="shared" si="21"/>
        <v>45521.95833</v>
      </c>
      <c r="BR21" s="19">
        <f t="shared" si="21"/>
        <v>45521.97917</v>
      </c>
      <c r="BS21" s="19">
        <f t="shared" si="21"/>
        <v>45522</v>
      </c>
      <c r="BT21" s="19">
        <f t="shared" si="21"/>
        <v>45522.02083</v>
      </c>
      <c r="BU21" s="19">
        <f t="shared" si="21"/>
        <v>45522.04167</v>
      </c>
      <c r="BV21" s="19">
        <f t="shared" si="21"/>
        <v>45522.0625</v>
      </c>
      <c r="BW21" s="19">
        <f t="shared" si="21"/>
        <v>45522.08333</v>
      </c>
      <c r="BX21" s="19">
        <f t="shared" si="21"/>
        <v>45521</v>
      </c>
      <c r="BY21" s="19">
        <f t="shared" si="21"/>
        <v>45521</v>
      </c>
      <c r="BZ21" s="19">
        <f t="shared" si="21"/>
        <v>45521</v>
      </c>
    </row>
    <row r="22" ht="14.25" customHeight="1">
      <c r="A22" s="17">
        <v>45522.0</v>
      </c>
      <c r="B22" s="2" t="str">
        <f t="array" ref="B22">IF(NOW()&gt;AM22,"",IF(AND((WEEKDAY($A22)+$B$2)&gt;1,((WEEKDAY($A22)+$T$2)&lt;7),(WEEKDAY($A22)&lt;&gt;1)),"work",(INDEX(Subject!$A:$I,MATCH(RANDBETWEEN(1,(MAX(Subject!$B:$B))),Subject!$B:$B,0),3))))</f>
        <v/>
      </c>
      <c r="C22" s="2" t="str">
        <f t="array" ref="C22">IF(NOW()&gt;AN22,"",IF(AND((WEEKDAY($A22)+$B$2)&gt;1,((WEEKDAY($A22)+$T$2)&lt;7),(WEEKDAY($A22)&lt;&gt;1)),"work",(INDEX(Subject!$A:$I,MATCH(RANDBETWEEN(1,(MAX(Subject!$B:$B))),Subject!$B:$B,0),3))))</f>
        <v/>
      </c>
      <c r="D22" s="2" t="str">
        <f t="array" ref="D22">IF(NOW()&gt;AO22,"",IF(AND((WEEKDAY($A22)+$B$2)&gt;1,((WEEKDAY($A22)+$T$2)&lt;7),(WEEKDAY($A22)&lt;&gt;1)),"work",(INDEX(Subject!$A:$I,MATCH(RANDBETWEEN(1,(MAX(Subject!$B:$B))),Subject!$B:$B,0),3))))</f>
        <v/>
      </c>
      <c r="E22" s="2" t="str">
        <f t="array" ref="E22">IF(NOW()&gt;AP22,"",IF(AND((WEEKDAY($A22)+$B$2)&gt;1,((WEEKDAY($A22)+$T$2)&lt;7),(WEEKDAY($A22)&lt;&gt;1)),"work",(INDEX(Subject!$A:$I,MATCH(RANDBETWEEN(1,(MAX(Subject!$B:$B))),Subject!$B:$B,0),3))))</f>
        <v/>
      </c>
      <c r="F22" s="2" t="str">
        <f t="array" ref="F22">IF(NOW()&gt;AQ22,"",IF(AND((WEEKDAY($A22)+$B$2)&gt;1,((WEEKDAY($A22)+$T$2)&lt;7),(WEEKDAY($A22)&lt;&gt;1)),"work",(INDEX(Subject!$A:$I,MATCH(RANDBETWEEN(1,(MAX(Subject!$B:$B))),Subject!$B:$B,0),3))))</f>
        <v/>
      </c>
      <c r="G22" s="2" t="str">
        <f t="array" ref="G22">IF(NOW()&gt;AR22,"",IF(AND((WEEKDAY($A22)+$B$2)&gt;1,((WEEKDAY($A22)+$T$2)&lt;7),(WEEKDAY($A22)&lt;&gt;1)),"work",(INDEX(Subject!$A:$I,MATCH(RANDBETWEEN(1,(MAX(Subject!$B:$B))),Subject!$B:$B,0),3))))</f>
        <v/>
      </c>
      <c r="H22" s="2" t="str">
        <f t="array" ref="H22">IF(NOW()&gt;AS22,"",IF(AND((WEEKDAY($A22)+$B$2)&gt;1,((WEEKDAY($A22)+$T$2)&lt;7),(WEEKDAY($A22)&lt;&gt;1)),"work",(INDEX(Subject!$A:$I,MATCH(RANDBETWEEN(1,(MAX(Subject!$B:$B))),Subject!$B:$B,0),3))))</f>
        <v/>
      </c>
      <c r="I22" s="2" t="str">
        <f t="array" ref="I22">IF(NOW()&gt;AT22,"",IF(AND((WEEKDAY($A22)+$B$2)&gt;1,((WEEKDAY($A22)+$T$2)&lt;7),(WEEKDAY($A22)&lt;&gt;1)),"work",(INDEX(Subject!$A:$I,MATCH(RANDBETWEEN(1,(MAX(Subject!$B:$B))),Subject!$B:$B,0),3))))</f>
        <v/>
      </c>
      <c r="J22" s="2" t="str">
        <f t="array" ref="J22">IF(NOW()&gt;AU22,"",IF(AND((WEEKDAY($A22)+$B$2)&gt;1,((WEEKDAY($A22)+$T$2)&lt;7),(WEEKDAY($A22)&lt;&gt;1)),"work",(INDEX(Subject!$A:$I,MATCH(RANDBETWEEN(1,(MAX(Subject!$B:$B))),Subject!$B:$B,0),3))))</f>
        <v/>
      </c>
      <c r="K22" s="2" t="str">
        <f t="array" ref="K22">IF(NOW()&gt;AV22,"",IF(AND((WEEKDAY($A22)+$B$2)&gt;1,((WEEKDAY($A22)+$T$2)&lt;7),(WEEKDAY($A22)&lt;&gt;1)),"work",(INDEX(Subject!$A:$I,MATCH(RANDBETWEEN(1,(MAX(Subject!$B:$B))),Subject!$B:$B,0),3))))</f>
        <v/>
      </c>
      <c r="L22" s="2" t="str">
        <f t="array" ref="L22">IF(NOW()&gt;AW22,"",IF(AND((WEEKDAY($A22)+$B$2)&gt;1,((WEEKDAY($A22)+$T$2)&lt;7),(WEEKDAY($A22)&lt;&gt;1)),"work",(INDEX(Subject!$A:$I,MATCH(RANDBETWEEN(1,(MAX(Subject!$B:$B))),Subject!$B:$B,0),3))))</f>
        <v/>
      </c>
      <c r="M22" s="2" t="str">
        <f t="array" ref="M22">IF(NOW()&gt;AX22,"",IF(AND((WEEKDAY($A22)+$B$2)&gt;1,((WEEKDAY($A22)+$T$2)&lt;7),(WEEKDAY($A22)&lt;&gt;1)),"work",(INDEX(Subject!$A:$I,MATCH(RANDBETWEEN(1,(MAX(Subject!$B:$B))),Subject!$B:$B,0),3))))</f>
        <v/>
      </c>
      <c r="N22" s="2" t="str">
        <f t="array" ref="N22">IF(NOW()&gt;AY22,"",IF(AND((WEEKDAY($A22)+$B$2)&gt;1,((WEEKDAY($A22)+$T$2)&lt;7),(WEEKDAY($A22)&lt;&gt;1)),"work",(INDEX(Subject!$A:$I,MATCH(RANDBETWEEN(1,(MAX(Subject!$B:$B))),Subject!$B:$B,0),3))))</f>
        <v/>
      </c>
      <c r="O22" s="2" t="str">
        <f t="array" ref="O22">IF(NOW()&gt;AZ22,"",IF(AND((WEEKDAY($A22)+$B$2)&gt;1,((WEEKDAY($A22)+$T$2)&lt;7),(WEEKDAY($A22)&lt;&gt;1)),"work",(INDEX(Subject!$A:$I,MATCH(RANDBETWEEN(1,(MAX(Subject!$B:$B))),Subject!$B:$B,0),3))))</f>
        <v/>
      </c>
      <c r="P22" s="2" t="str">
        <f t="array" ref="P22">IF(NOW()&gt;BA22,"",IF(AND((WEEKDAY($A22)+$B$2)&gt;1,((WEEKDAY($A22)+$T$2)&lt;7),(WEEKDAY($A22)&lt;&gt;1)),"work",(INDEX(Subject!$A:$I,MATCH(RANDBETWEEN(1,(MAX(Subject!$B:$B))),Subject!$B:$B,0),3))))</f>
        <v/>
      </c>
      <c r="Q22" s="2" t="str">
        <f t="array" ref="Q22">IF(NOW()&gt;BB22,"",IF(AND((WEEKDAY($A22)+$B$2)&gt;1,((WEEKDAY($A22)+$T$2)&lt;7),(WEEKDAY($A22)&lt;&gt;1)),"work",(INDEX(Subject!$A:$I,MATCH(RANDBETWEEN(1,(MAX(Subject!$B:$B))),Subject!$B:$B,0),3))))</f>
        <v/>
      </c>
      <c r="R22" s="2" t="str">
        <f t="array" ref="R22">IF(NOW()&gt;BC22,"",IF(AND((WEEKDAY($A22)+$B$2)&gt;1,((WEEKDAY($A22)+$T$2)&lt;7),(WEEKDAY($A22)&lt;&gt;1)),"work",(INDEX(Subject!$A:$I,MATCH(RANDBETWEEN(1,(MAX(Subject!$B:$B))),Subject!$B:$B,0),3))))</f>
        <v/>
      </c>
      <c r="S22" s="2" t="str">
        <f t="array" ref="S22">IF(NOW()&gt;BD22,"",IF(AND((WEEKDAY($A22)+$B$2)&gt;1,((WEEKDAY($A22)+$T$2)&lt;7),(WEEKDAY($A22)&lt;&gt;1)),"work",(INDEX(Subject!$A:$I,MATCH(RANDBETWEEN(1,(MAX(Subject!$B:$B))),Subject!$B:$B,0),3))))</f>
        <v/>
      </c>
      <c r="T22" s="2" t="str">
        <f t="array" ref="T22">IF(NOW()&gt;BE22,"",IF(AND((WEEKDAY($A22)+$B$2)&gt;1,((WEEKDAY($A22)+$T$2)&lt;7),(WEEKDAY($A22)&lt;&gt;1)),"work",(INDEX(Subject!$A:$I,MATCH(RANDBETWEEN(1,(MAX(Subject!$B:$B))),Subject!$B:$B,0),3))))</f>
        <v/>
      </c>
      <c r="U22" s="8" t="str">
        <f t="array" ref="U22">INDEX(Subject!$A:$I,MATCH(RANDBETWEEN(1,16),Subject!$B:$B,0),3)</f>
        <v>#N/A</v>
      </c>
      <c r="V22" s="8" t="str">
        <f t="array" ref="V22">INDEX(Subject!$A:$I,MATCH(RANDBETWEEN(1,16),Subject!$B:$B,0),3)</f>
        <v/>
      </c>
      <c r="W22" s="8" t="str">
        <f t="array" ref="W22">INDEX(Subject!$A:$I,MATCH(RANDBETWEEN(1,16),Subject!$B:$B,0),3)</f>
        <v>#N/A</v>
      </c>
      <c r="X22" s="8" t="str">
        <f t="array" ref="X22">INDEX(Subject!$A:$I,MATCH(RANDBETWEEN(1,16),Subject!$B:$B,0),3)</f>
        <v>#N/A</v>
      </c>
      <c r="Y22" s="8" t="str">
        <f t="array" ref="Y22">INDEX(Subject!$A:$I,MATCH(RANDBETWEEN(1,16),Subject!$B:$B,0),3)</f>
        <v>#N/A</v>
      </c>
      <c r="Z22" s="8" t="str">
        <f t="array" ref="Z22">INDEX(Subject!$A:$I,MATCH(RANDBETWEEN(1,16),Subject!$B:$B,0),3)</f>
        <v/>
      </c>
      <c r="AA22" s="8" t="str">
        <f t="array" ref="AA22">INDEX(Subject!$A:$I,MATCH(RANDBETWEEN(1,16),Subject!$B:$B,0),3)</f>
        <v>#N/A</v>
      </c>
      <c r="AB22" s="8" t="str">
        <f t="array" ref="AB22">INDEX(Subject!$A:$I,MATCH(RANDBETWEEN(1,16),Subject!$B:$B,0),3)</f>
        <v>#N/A</v>
      </c>
      <c r="AC22" s="8" t="str">
        <f t="array" ref="AC22">INDEX(Subject!$A:$I,MATCH(RANDBETWEEN(1,16),Subject!$B:$B,0),3)</f>
        <v>#N/A</v>
      </c>
      <c r="AD22" s="8" t="str">
        <f t="array" ref="AD22">INDEX(Subject!$A:$I,MATCH(RANDBETWEEN(1,16),Subject!$B:$B,0),3)</f>
        <v/>
      </c>
      <c r="AE22" s="8" t="str">
        <f t="array" ref="AE22">INDEX(Subject!$A:$I,MATCH(RANDBETWEEN(1,16),Subject!$B:$B,0),3)</f>
        <v>#N/A</v>
      </c>
      <c r="AF22" s="8" t="str">
        <f t="array" ref="AF22">INDEX(Subject!$A:$I,MATCH(RANDBETWEEN(1,16),Subject!$B:$B,0),3)</f>
        <v>#N/A</v>
      </c>
      <c r="AG22" s="8" t="str">
        <f t="array" ref="AG22">INDEX(Subject!$A:$I,MATCH(RANDBETWEEN(1,16),Subject!$B:$B,0),3)</f>
        <v>#N/A</v>
      </c>
      <c r="AH22" s="8" t="str">
        <f t="array" ref="AH22">INDEX(Subject!$A:$I,MATCH(RANDBETWEEN(1,16),Subject!$B:$B,0),3)</f>
        <v>#N/A</v>
      </c>
      <c r="AI22" s="8" t="str">
        <f t="array" ref="AI22">INDEX(Subject!$A:$I,MATCH(RANDBETWEEN(1,16),Subject!$B:$B,0),3)</f>
        <v>#N/A</v>
      </c>
      <c r="AJ22" s="8" t="str">
        <f t="array" ref="AJ22">INDEX(Subject!$A:$I,MATCH(RANDBETWEEN(1,16),Subject!$B:$B,0),3)</f>
        <v>#N/A</v>
      </c>
      <c r="AK22" s="8" t="str">
        <f t="array" ref="AK22">INDEX(Subject!$A:$I,MATCH(RANDBETWEEN(1,16),Subject!$B:$B,0),3)</f>
        <v>#N/A</v>
      </c>
      <c r="AL22" s="8" t="str">
        <f t="array" ref="AL22">INDEX(Subject!$A:$I,MATCH(RANDBETWEEN(1,16),Subject!$B:$B,0),3)</f>
        <v>#N/A</v>
      </c>
      <c r="AM22" s="18">
        <f t="shared" si="4"/>
        <v>45522.33333</v>
      </c>
      <c r="AN22" s="19">
        <f t="shared" ref="AN22:BZ22" si="22">$A22+C$1</f>
        <v>45522.35417</v>
      </c>
      <c r="AO22" s="19">
        <f t="shared" si="22"/>
        <v>45522.375</v>
      </c>
      <c r="AP22" s="19">
        <f t="shared" si="22"/>
        <v>45522.39583</v>
      </c>
      <c r="AQ22" s="19">
        <f t="shared" si="22"/>
        <v>45522.41667</v>
      </c>
      <c r="AR22" s="19">
        <f t="shared" si="22"/>
        <v>45522.4375</v>
      </c>
      <c r="AS22" s="19">
        <f t="shared" si="22"/>
        <v>45522.45833</v>
      </c>
      <c r="AT22" s="19">
        <f t="shared" si="22"/>
        <v>45522.47917</v>
      </c>
      <c r="AU22" s="19">
        <f t="shared" si="22"/>
        <v>45522.5</v>
      </c>
      <c r="AV22" s="19">
        <f t="shared" si="22"/>
        <v>45522.52083</v>
      </c>
      <c r="AW22" s="19">
        <f t="shared" si="22"/>
        <v>45522.54167</v>
      </c>
      <c r="AX22" s="19">
        <f t="shared" si="22"/>
        <v>45522.5625</v>
      </c>
      <c r="AY22" s="19">
        <f t="shared" si="22"/>
        <v>45522.58333</v>
      </c>
      <c r="AZ22" s="19">
        <f t="shared" si="22"/>
        <v>45522.60417</v>
      </c>
      <c r="BA22" s="19">
        <f t="shared" si="22"/>
        <v>45522.625</v>
      </c>
      <c r="BB22" s="19">
        <f t="shared" si="22"/>
        <v>45522.64583</v>
      </c>
      <c r="BC22" s="19">
        <f t="shared" si="22"/>
        <v>45522.66667</v>
      </c>
      <c r="BD22" s="19">
        <f t="shared" si="22"/>
        <v>45522.6875</v>
      </c>
      <c r="BE22" s="19">
        <f t="shared" si="22"/>
        <v>45522.70833</v>
      </c>
      <c r="BF22" s="19">
        <f t="shared" si="22"/>
        <v>45522.72917</v>
      </c>
      <c r="BG22" s="19">
        <f t="shared" si="22"/>
        <v>45522.75</v>
      </c>
      <c r="BH22" s="19">
        <f t="shared" si="22"/>
        <v>45522.77083</v>
      </c>
      <c r="BI22" s="19">
        <f t="shared" si="22"/>
        <v>45522.79167</v>
      </c>
      <c r="BJ22" s="19">
        <f t="shared" si="22"/>
        <v>45522.8125</v>
      </c>
      <c r="BK22" s="19">
        <f t="shared" si="22"/>
        <v>45522.83333</v>
      </c>
      <c r="BL22" s="19">
        <f t="shared" si="22"/>
        <v>45522.85417</v>
      </c>
      <c r="BM22" s="19">
        <f t="shared" si="22"/>
        <v>45522.875</v>
      </c>
      <c r="BN22" s="19">
        <f t="shared" si="22"/>
        <v>45522.89583</v>
      </c>
      <c r="BO22" s="19">
        <f t="shared" si="22"/>
        <v>45522.91667</v>
      </c>
      <c r="BP22" s="19">
        <f t="shared" si="22"/>
        <v>45522.9375</v>
      </c>
      <c r="BQ22" s="19">
        <f t="shared" si="22"/>
        <v>45522.95833</v>
      </c>
      <c r="BR22" s="19">
        <f t="shared" si="22"/>
        <v>45522.97917</v>
      </c>
      <c r="BS22" s="19">
        <f t="shared" si="22"/>
        <v>45523</v>
      </c>
      <c r="BT22" s="19">
        <f t="shared" si="22"/>
        <v>45523.02083</v>
      </c>
      <c r="BU22" s="19">
        <f t="shared" si="22"/>
        <v>45523.04167</v>
      </c>
      <c r="BV22" s="19">
        <f t="shared" si="22"/>
        <v>45523.0625</v>
      </c>
      <c r="BW22" s="19">
        <f t="shared" si="22"/>
        <v>45523.08333</v>
      </c>
      <c r="BX22" s="19">
        <f t="shared" si="22"/>
        <v>45522</v>
      </c>
      <c r="BY22" s="19">
        <f t="shared" si="22"/>
        <v>45522</v>
      </c>
      <c r="BZ22" s="19">
        <f t="shared" si="22"/>
        <v>45522</v>
      </c>
    </row>
    <row r="23" ht="14.25" customHeight="1">
      <c r="A23" s="17">
        <v>45523.0</v>
      </c>
      <c r="B23" s="2" t="str">
        <f t="array" ref="B23">IF(NOW()&gt;AM23,"",IF(AND((WEEKDAY($A23)+$B$2)&gt;1,((WEEKDAY($A23)+$T$2)&lt;7),(WEEKDAY($A23)&lt;&gt;1)),"work",(INDEX(Subject!$A:$I,MATCH(RANDBETWEEN(1,(MAX(Subject!$B:$B))),Subject!$B:$B,0),3))))</f>
        <v/>
      </c>
      <c r="C23" s="2" t="str">
        <f t="array" ref="C23">IF(NOW()&gt;AN23,"",IF(AND((WEEKDAY($A23)+$B$2)&gt;1,((WEEKDAY($A23)+$T$2)&lt;7),(WEEKDAY($A23)&lt;&gt;1)),"work",(INDEX(Subject!$A:$I,MATCH(RANDBETWEEN(1,(MAX(Subject!$B:$B))),Subject!$B:$B,0),3))))</f>
        <v/>
      </c>
      <c r="D23" s="2" t="str">
        <f t="array" ref="D23">IF(NOW()&gt;AO23,"",IF(AND((WEEKDAY($A23)+$B$2)&gt;1,((WEEKDAY($A23)+$T$2)&lt;7),(WEEKDAY($A23)&lt;&gt;1)),"work",(INDEX(Subject!$A:$I,MATCH(RANDBETWEEN(1,(MAX(Subject!$B:$B))),Subject!$B:$B,0),3))))</f>
        <v/>
      </c>
      <c r="E23" s="2" t="str">
        <f t="array" ref="E23">IF(NOW()&gt;AP23,"",IF(AND((WEEKDAY($A23)+$B$2)&gt;1,((WEEKDAY($A23)+$T$2)&lt;7),(WEEKDAY($A23)&lt;&gt;1)),"work",(INDEX(Subject!$A:$I,MATCH(RANDBETWEEN(1,(MAX(Subject!$B:$B))),Subject!$B:$B,0),3))))</f>
        <v/>
      </c>
      <c r="F23" s="2" t="str">
        <f t="array" ref="F23">IF(NOW()&gt;AQ23,"",IF(AND((WEEKDAY($A23)+$B$2)&gt;1,((WEEKDAY($A23)+$T$2)&lt;7),(WEEKDAY($A23)&lt;&gt;1)),"work",(INDEX(Subject!$A:$I,MATCH(RANDBETWEEN(1,(MAX(Subject!$B:$B))),Subject!$B:$B,0),3))))</f>
        <v/>
      </c>
      <c r="G23" s="2" t="str">
        <f t="array" ref="G23">IF(NOW()&gt;AR23,"",IF(AND((WEEKDAY($A23)+$B$2)&gt;1,((WEEKDAY($A23)+$T$2)&lt;7),(WEEKDAY($A23)&lt;&gt;1)),"work",(INDEX(Subject!$A:$I,MATCH(RANDBETWEEN(1,(MAX(Subject!$B:$B))),Subject!$B:$B,0),3))))</f>
        <v/>
      </c>
      <c r="H23" s="2" t="str">
        <f t="array" ref="H23">IF(NOW()&gt;AS23,"",IF(AND((WEEKDAY($A23)+$B$2)&gt;1,((WEEKDAY($A23)+$T$2)&lt;7),(WEEKDAY($A23)&lt;&gt;1)),"work",(INDEX(Subject!$A:$I,MATCH(RANDBETWEEN(1,(MAX(Subject!$B:$B))),Subject!$B:$B,0),3))))</f>
        <v/>
      </c>
      <c r="I23" s="2" t="str">
        <f t="array" ref="I23">IF(NOW()&gt;AT23,"",IF(AND((WEEKDAY($A23)+$B$2)&gt;1,((WEEKDAY($A23)+$T$2)&lt;7),(WEEKDAY($A23)&lt;&gt;1)),"work",(INDEX(Subject!$A:$I,MATCH(RANDBETWEEN(1,(MAX(Subject!$B:$B))),Subject!$B:$B,0),3))))</f>
        <v/>
      </c>
      <c r="J23" s="2" t="str">
        <f t="array" ref="J23">IF(NOW()&gt;AU23,"",IF(AND((WEEKDAY($A23)+$B$2)&gt;1,((WEEKDAY($A23)+$T$2)&lt;7),(WEEKDAY($A23)&lt;&gt;1)),"work",(INDEX(Subject!$A:$I,MATCH(RANDBETWEEN(1,(MAX(Subject!$B:$B))),Subject!$B:$B,0),3))))</f>
        <v/>
      </c>
      <c r="K23" s="2" t="str">
        <f t="array" ref="K23">IF(NOW()&gt;AV23,"",IF(AND((WEEKDAY($A23)+$B$2)&gt;1,((WEEKDAY($A23)+$T$2)&lt;7),(WEEKDAY($A23)&lt;&gt;1)),"work",(INDEX(Subject!$A:$I,MATCH(RANDBETWEEN(1,(MAX(Subject!$B:$B))),Subject!$B:$B,0),3))))</f>
        <v/>
      </c>
      <c r="L23" s="2" t="str">
        <f t="array" ref="L23">IF(NOW()&gt;AW23,"",IF(AND((WEEKDAY($A23)+$B$2)&gt;1,((WEEKDAY($A23)+$T$2)&lt;7),(WEEKDAY($A23)&lt;&gt;1)),"work",(INDEX(Subject!$A:$I,MATCH(RANDBETWEEN(1,(MAX(Subject!$B:$B))),Subject!$B:$B,0),3))))</f>
        <v/>
      </c>
      <c r="M23" s="2" t="str">
        <f t="array" ref="M23">IF(NOW()&gt;AX23,"",IF(AND((WEEKDAY($A23)+$B$2)&gt;1,((WEEKDAY($A23)+$T$2)&lt;7),(WEEKDAY($A23)&lt;&gt;1)),"work",(INDEX(Subject!$A:$I,MATCH(RANDBETWEEN(1,(MAX(Subject!$B:$B))),Subject!$B:$B,0),3))))</f>
        <v/>
      </c>
      <c r="N23" s="2" t="str">
        <f t="array" ref="N23">IF(NOW()&gt;AY23,"",IF(AND((WEEKDAY($A23)+$B$2)&gt;1,((WEEKDAY($A23)+$T$2)&lt;7),(WEEKDAY($A23)&lt;&gt;1)),"work",(INDEX(Subject!$A:$I,MATCH(RANDBETWEEN(1,(MAX(Subject!$B:$B))),Subject!$B:$B,0),3))))</f>
        <v/>
      </c>
      <c r="O23" s="2" t="str">
        <f t="array" ref="O23">IF(NOW()&gt;AZ23,"",IF(AND((WEEKDAY($A23)+$B$2)&gt;1,((WEEKDAY($A23)+$T$2)&lt;7),(WEEKDAY($A23)&lt;&gt;1)),"work",(INDEX(Subject!$A:$I,MATCH(RANDBETWEEN(1,(MAX(Subject!$B:$B))),Subject!$B:$B,0),3))))</f>
        <v/>
      </c>
      <c r="P23" s="2" t="str">
        <f t="array" ref="P23">IF(NOW()&gt;BA23,"",IF(AND((WEEKDAY($A23)+$B$2)&gt;1,((WEEKDAY($A23)+$T$2)&lt;7),(WEEKDAY($A23)&lt;&gt;1)),"work",(INDEX(Subject!$A:$I,MATCH(RANDBETWEEN(1,(MAX(Subject!$B:$B))),Subject!$B:$B,0),3))))</f>
        <v/>
      </c>
      <c r="Q23" s="2" t="str">
        <f t="array" ref="Q23">IF(NOW()&gt;BB23,"",IF(AND((WEEKDAY($A23)+$B$2)&gt;1,((WEEKDAY($A23)+$T$2)&lt;7),(WEEKDAY($A23)&lt;&gt;1)),"work",(INDEX(Subject!$A:$I,MATCH(RANDBETWEEN(1,(MAX(Subject!$B:$B))),Subject!$B:$B,0),3))))</f>
        <v/>
      </c>
      <c r="R23" s="2" t="str">
        <f t="array" ref="R23">IF(NOW()&gt;BC23,"",IF(AND((WEEKDAY($A23)+$B$2)&gt;1,((WEEKDAY($A23)+$T$2)&lt;7),(WEEKDAY($A23)&lt;&gt;1)),"work",(INDEX(Subject!$A:$I,MATCH(RANDBETWEEN(1,(MAX(Subject!$B:$B))),Subject!$B:$B,0),3))))</f>
        <v/>
      </c>
      <c r="S23" s="2" t="str">
        <f t="array" ref="S23">IF(NOW()&gt;BD23,"",IF(AND((WEEKDAY($A23)+$B$2)&gt;1,((WEEKDAY($A23)+$T$2)&lt;7),(WEEKDAY($A23)&lt;&gt;1)),"work",(INDEX(Subject!$A:$I,MATCH(RANDBETWEEN(1,(MAX(Subject!$B:$B))),Subject!$B:$B,0),3))))</f>
        <v/>
      </c>
      <c r="T23" s="2" t="str">
        <f t="array" ref="T23">IF(NOW()&gt;BE23,"",IF(AND((WEEKDAY($A23)+$B$2)&gt;1,((WEEKDAY($A23)+$T$2)&lt;7),(WEEKDAY($A23)&lt;&gt;1)),"work",(INDEX(Subject!$A:$I,MATCH(RANDBETWEEN(1,(MAX(Subject!$B:$B))),Subject!$B:$B,0),3))))</f>
        <v/>
      </c>
      <c r="U23" s="8" t="str">
        <f t="array" ref="U23">INDEX(Subject!$A:$I,MATCH(RANDBETWEEN(1,16),Subject!$B:$B,0),3)</f>
        <v>#N/A</v>
      </c>
      <c r="V23" s="8" t="str">
        <f t="array" ref="V23">INDEX(Subject!$A:$I,MATCH(RANDBETWEEN(1,16),Subject!$B:$B,0),3)</f>
        <v>#N/A</v>
      </c>
      <c r="W23" s="8" t="str">
        <f t="array" ref="W23">INDEX(Subject!$A:$I,MATCH(RANDBETWEEN(1,16),Subject!$B:$B,0),3)</f>
        <v/>
      </c>
      <c r="X23" s="8" t="str">
        <f t="array" ref="X23">INDEX(Subject!$A:$I,MATCH(RANDBETWEEN(1,16),Subject!$B:$B,0),3)</f>
        <v>#N/A</v>
      </c>
      <c r="Y23" s="8" t="str">
        <f t="array" ref="Y23">INDEX(Subject!$A:$I,MATCH(RANDBETWEEN(1,16),Subject!$B:$B,0),3)</f>
        <v/>
      </c>
      <c r="Z23" s="8" t="str">
        <f t="array" ref="Z23">INDEX(Subject!$A:$I,MATCH(RANDBETWEEN(1,16),Subject!$B:$B,0),3)</f>
        <v>#N/A</v>
      </c>
      <c r="AA23" s="8" t="str">
        <f t="array" ref="AA23">INDEX(Subject!$A:$I,MATCH(RANDBETWEEN(1,16),Subject!$B:$B,0),3)</f>
        <v>#N/A</v>
      </c>
      <c r="AB23" s="8" t="str">
        <f t="array" ref="AB23">INDEX(Subject!$A:$I,MATCH(RANDBETWEEN(1,16),Subject!$B:$B,0),3)</f>
        <v>#N/A</v>
      </c>
      <c r="AC23" s="8" t="str">
        <f t="array" ref="AC23">INDEX(Subject!$A:$I,MATCH(RANDBETWEEN(1,16),Subject!$B:$B,0),3)</f>
        <v>#N/A</v>
      </c>
      <c r="AD23" s="8" t="str">
        <f t="array" ref="AD23">INDEX(Subject!$A:$I,MATCH(RANDBETWEEN(1,16),Subject!$B:$B,0),3)</f>
        <v>#N/A</v>
      </c>
      <c r="AE23" s="8" t="str">
        <f t="array" ref="AE23">INDEX(Subject!$A:$I,MATCH(RANDBETWEEN(1,16),Subject!$B:$B,0),3)</f>
        <v>#N/A</v>
      </c>
      <c r="AF23" s="8" t="str">
        <f t="array" ref="AF23">INDEX(Subject!$A:$I,MATCH(RANDBETWEEN(1,16),Subject!$B:$B,0),3)</f>
        <v>#N/A</v>
      </c>
      <c r="AG23" s="8" t="str">
        <f t="array" ref="AG23">INDEX(Subject!$A:$I,MATCH(RANDBETWEEN(1,16),Subject!$B:$B,0),3)</f>
        <v>#N/A</v>
      </c>
      <c r="AH23" s="8" t="str">
        <f t="array" ref="AH23">INDEX(Subject!$A:$I,MATCH(RANDBETWEEN(1,16),Subject!$B:$B,0),3)</f>
        <v>#N/A</v>
      </c>
      <c r="AI23" s="8" t="str">
        <f t="array" ref="AI23">INDEX(Subject!$A:$I,MATCH(RANDBETWEEN(1,16),Subject!$B:$B,0),3)</f>
        <v/>
      </c>
      <c r="AJ23" s="8" t="str">
        <f t="array" ref="AJ23">INDEX(Subject!$A:$I,MATCH(RANDBETWEEN(1,16),Subject!$B:$B,0),3)</f>
        <v>#N/A</v>
      </c>
      <c r="AK23" s="8" t="str">
        <f t="array" ref="AK23">INDEX(Subject!$A:$I,MATCH(RANDBETWEEN(1,16),Subject!$B:$B,0),3)</f>
        <v>#N/A</v>
      </c>
      <c r="AL23" s="8" t="str">
        <f t="array" ref="AL23">INDEX(Subject!$A:$I,MATCH(RANDBETWEEN(1,16),Subject!$B:$B,0),3)</f>
        <v>#N/A</v>
      </c>
      <c r="AM23" s="18">
        <f t="shared" si="4"/>
        <v>45523.33333</v>
      </c>
      <c r="AN23" s="19">
        <f t="shared" ref="AN23:BZ23" si="23">$A23+C$1</f>
        <v>45523.35417</v>
      </c>
      <c r="AO23" s="19">
        <f t="shared" si="23"/>
        <v>45523.375</v>
      </c>
      <c r="AP23" s="19">
        <f t="shared" si="23"/>
        <v>45523.39583</v>
      </c>
      <c r="AQ23" s="19">
        <f t="shared" si="23"/>
        <v>45523.41667</v>
      </c>
      <c r="AR23" s="19">
        <f t="shared" si="23"/>
        <v>45523.4375</v>
      </c>
      <c r="AS23" s="19">
        <f t="shared" si="23"/>
        <v>45523.45833</v>
      </c>
      <c r="AT23" s="19">
        <f t="shared" si="23"/>
        <v>45523.47917</v>
      </c>
      <c r="AU23" s="19">
        <f t="shared" si="23"/>
        <v>45523.5</v>
      </c>
      <c r="AV23" s="19">
        <f t="shared" si="23"/>
        <v>45523.52083</v>
      </c>
      <c r="AW23" s="19">
        <f t="shared" si="23"/>
        <v>45523.54167</v>
      </c>
      <c r="AX23" s="19">
        <f t="shared" si="23"/>
        <v>45523.5625</v>
      </c>
      <c r="AY23" s="19">
        <f t="shared" si="23"/>
        <v>45523.58333</v>
      </c>
      <c r="AZ23" s="19">
        <f t="shared" si="23"/>
        <v>45523.60417</v>
      </c>
      <c r="BA23" s="19">
        <f t="shared" si="23"/>
        <v>45523.625</v>
      </c>
      <c r="BB23" s="19">
        <f t="shared" si="23"/>
        <v>45523.64583</v>
      </c>
      <c r="BC23" s="19">
        <f t="shared" si="23"/>
        <v>45523.66667</v>
      </c>
      <c r="BD23" s="19">
        <f t="shared" si="23"/>
        <v>45523.6875</v>
      </c>
      <c r="BE23" s="19">
        <f t="shared" si="23"/>
        <v>45523.70833</v>
      </c>
      <c r="BF23" s="19">
        <f t="shared" si="23"/>
        <v>45523.72917</v>
      </c>
      <c r="BG23" s="19">
        <f t="shared" si="23"/>
        <v>45523.75</v>
      </c>
      <c r="BH23" s="19">
        <f t="shared" si="23"/>
        <v>45523.77083</v>
      </c>
      <c r="BI23" s="19">
        <f t="shared" si="23"/>
        <v>45523.79167</v>
      </c>
      <c r="BJ23" s="19">
        <f t="shared" si="23"/>
        <v>45523.8125</v>
      </c>
      <c r="BK23" s="19">
        <f t="shared" si="23"/>
        <v>45523.83333</v>
      </c>
      <c r="BL23" s="19">
        <f t="shared" si="23"/>
        <v>45523.85417</v>
      </c>
      <c r="BM23" s="19">
        <f t="shared" si="23"/>
        <v>45523.875</v>
      </c>
      <c r="BN23" s="19">
        <f t="shared" si="23"/>
        <v>45523.89583</v>
      </c>
      <c r="BO23" s="19">
        <f t="shared" si="23"/>
        <v>45523.91667</v>
      </c>
      <c r="BP23" s="19">
        <f t="shared" si="23"/>
        <v>45523.9375</v>
      </c>
      <c r="BQ23" s="19">
        <f t="shared" si="23"/>
        <v>45523.95833</v>
      </c>
      <c r="BR23" s="19">
        <f t="shared" si="23"/>
        <v>45523.97917</v>
      </c>
      <c r="BS23" s="19">
        <f t="shared" si="23"/>
        <v>45524</v>
      </c>
      <c r="BT23" s="19">
        <f t="shared" si="23"/>
        <v>45524.02083</v>
      </c>
      <c r="BU23" s="19">
        <f t="shared" si="23"/>
        <v>45524.04167</v>
      </c>
      <c r="BV23" s="19">
        <f t="shared" si="23"/>
        <v>45524.0625</v>
      </c>
      <c r="BW23" s="19">
        <f t="shared" si="23"/>
        <v>45524.08333</v>
      </c>
      <c r="BX23" s="19">
        <f t="shared" si="23"/>
        <v>45523</v>
      </c>
      <c r="BY23" s="19">
        <f t="shared" si="23"/>
        <v>45523</v>
      </c>
      <c r="BZ23" s="19">
        <f t="shared" si="23"/>
        <v>45523</v>
      </c>
    </row>
    <row r="24" ht="14.25" customHeight="1">
      <c r="A24" s="17">
        <v>45524.0</v>
      </c>
      <c r="B24" s="2" t="str">
        <f t="array" ref="B24">IF(NOW()&gt;AM24,"",IF(AND((WEEKDAY($A24)+$B$2)&gt;1,((WEEKDAY($A24)+$T$2)&lt;7),(WEEKDAY($A24)&lt;&gt;1)),"work",(INDEX(Subject!$A:$I,MATCH(RANDBETWEEN(1,(MAX(Subject!$B:$B))),Subject!$B:$B,0),3))))</f>
        <v/>
      </c>
      <c r="C24" s="2" t="str">
        <f t="array" ref="C24">IF(NOW()&gt;AN24,"",IF(AND((WEEKDAY($A24)+$B$2)&gt;1,((WEEKDAY($A24)+$T$2)&lt;7),(WEEKDAY($A24)&lt;&gt;1)),"work",(INDEX(Subject!$A:$I,MATCH(RANDBETWEEN(1,(MAX(Subject!$B:$B))),Subject!$B:$B,0),3))))</f>
        <v/>
      </c>
      <c r="D24" s="2" t="str">
        <f t="array" ref="D24">IF(NOW()&gt;AO24,"",IF(AND((WEEKDAY($A24)+$B$2)&gt;1,((WEEKDAY($A24)+$T$2)&lt;7),(WEEKDAY($A24)&lt;&gt;1)),"work",(INDEX(Subject!$A:$I,MATCH(RANDBETWEEN(1,(MAX(Subject!$B:$B))),Subject!$B:$B,0),3))))</f>
        <v/>
      </c>
      <c r="E24" s="2" t="str">
        <f t="array" ref="E24">IF(NOW()&gt;AP24,"",IF(AND((WEEKDAY($A24)+$B$2)&gt;1,((WEEKDAY($A24)+$T$2)&lt;7),(WEEKDAY($A24)&lt;&gt;1)),"work",(INDEX(Subject!$A:$I,MATCH(RANDBETWEEN(1,(MAX(Subject!$B:$B))),Subject!$B:$B,0),3))))</f>
        <v/>
      </c>
      <c r="F24" s="2" t="str">
        <f t="array" ref="F24">IF(NOW()&gt;AQ24,"",IF(AND((WEEKDAY($A24)+$B$2)&gt;1,((WEEKDAY($A24)+$T$2)&lt;7),(WEEKDAY($A24)&lt;&gt;1)),"work",(INDEX(Subject!$A:$I,MATCH(RANDBETWEEN(1,(MAX(Subject!$B:$B))),Subject!$B:$B,0),3))))</f>
        <v/>
      </c>
      <c r="G24" s="2" t="str">
        <f t="array" ref="G24">IF(NOW()&gt;AR24,"",IF(AND((WEEKDAY($A24)+$B$2)&gt;1,((WEEKDAY($A24)+$T$2)&lt;7),(WEEKDAY($A24)&lt;&gt;1)),"work",(INDEX(Subject!$A:$I,MATCH(RANDBETWEEN(1,(MAX(Subject!$B:$B))),Subject!$B:$B,0),3))))</f>
        <v/>
      </c>
      <c r="H24" s="2" t="str">
        <f t="array" ref="H24">IF(NOW()&gt;AS24,"",IF(AND((WEEKDAY($A24)+$B$2)&gt;1,((WEEKDAY($A24)+$T$2)&lt;7),(WEEKDAY($A24)&lt;&gt;1)),"work",(INDEX(Subject!$A:$I,MATCH(RANDBETWEEN(1,(MAX(Subject!$B:$B))),Subject!$B:$B,0),3))))</f>
        <v/>
      </c>
      <c r="I24" s="2" t="str">
        <f t="array" ref="I24">IF(NOW()&gt;AT24,"",IF(AND((WEEKDAY($A24)+$B$2)&gt;1,((WEEKDAY($A24)+$T$2)&lt;7),(WEEKDAY($A24)&lt;&gt;1)),"work",(INDEX(Subject!$A:$I,MATCH(RANDBETWEEN(1,(MAX(Subject!$B:$B))),Subject!$B:$B,0),3))))</f>
        <v/>
      </c>
      <c r="J24" s="2" t="str">
        <f t="array" ref="J24">IF(NOW()&gt;AU24,"",IF(AND((WEEKDAY($A24)+$B$2)&gt;1,((WEEKDAY($A24)+$T$2)&lt;7),(WEEKDAY($A24)&lt;&gt;1)),"work",(INDEX(Subject!$A:$I,MATCH(RANDBETWEEN(1,(MAX(Subject!$B:$B))),Subject!$B:$B,0),3))))</f>
        <v/>
      </c>
      <c r="K24" s="2" t="str">
        <f t="array" ref="K24">IF(NOW()&gt;AV24,"",IF(AND((WEEKDAY($A24)+$B$2)&gt;1,((WEEKDAY($A24)+$T$2)&lt;7),(WEEKDAY($A24)&lt;&gt;1)),"work",(INDEX(Subject!$A:$I,MATCH(RANDBETWEEN(1,(MAX(Subject!$B:$B))),Subject!$B:$B,0),3))))</f>
        <v/>
      </c>
      <c r="L24" s="2" t="str">
        <f t="array" ref="L24">IF(NOW()&gt;AW24,"",IF(AND((WEEKDAY($A24)+$B$2)&gt;1,((WEEKDAY($A24)+$T$2)&lt;7),(WEEKDAY($A24)&lt;&gt;1)),"work",(INDEX(Subject!$A:$I,MATCH(RANDBETWEEN(1,(MAX(Subject!$B:$B))),Subject!$B:$B,0),3))))</f>
        <v/>
      </c>
      <c r="M24" s="2" t="str">
        <f t="array" ref="M24">IF(NOW()&gt;AX24,"",IF(AND((WEEKDAY($A24)+$B$2)&gt;1,((WEEKDAY($A24)+$T$2)&lt;7),(WEEKDAY($A24)&lt;&gt;1)),"work",(INDEX(Subject!$A:$I,MATCH(RANDBETWEEN(1,(MAX(Subject!$B:$B))),Subject!$B:$B,0),3))))</f>
        <v/>
      </c>
      <c r="N24" s="2" t="str">
        <f t="array" ref="N24">IF(NOW()&gt;AY24,"",IF(AND((WEEKDAY($A24)+$B$2)&gt;1,((WEEKDAY($A24)+$T$2)&lt;7),(WEEKDAY($A24)&lt;&gt;1)),"work",(INDEX(Subject!$A:$I,MATCH(RANDBETWEEN(1,(MAX(Subject!$B:$B))),Subject!$B:$B,0),3))))</f>
        <v/>
      </c>
      <c r="O24" s="2" t="str">
        <f t="array" ref="O24">IF(NOW()&gt;AZ24,"",IF(AND((WEEKDAY($A24)+$B$2)&gt;1,((WEEKDAY($A24)+$T$2)&lt;7),(WEEKDAY($A24)&lt;&gt;1)),"work",(INDEX(Subject!$A:$I,MATCH(RANDBETWEEN(1,(MAX(Subject!$B:$B))),Subject!$B:$B,0),3))))</f>
        <v/>
      </c>
      <c r="P24" s="2" t="str">
        <f t="array" ref="P24">IF(NOW()&gt;BA24,"",IF(AND((WEEKDAY($A24)+$B$2)&gt;1,((WEEKDAY($A24)+$T$2)&lt;7),(WEEKDAY($A24)&lt;&gt;1)),"work",(INDEX(Subject!$A:$I,MATCH(RANDBETWEEN(1,(MAX(Subject!$B:$B))),Subject!$B:$B,0),3))))</f>
        <v/>
      </c>
      <c r="Q24" s="2" t="str">
        <f t="array" ref="Q24">IF(NOW()&gt;BB24,"",IF(AND((WEEKDAY($A24)+$B$2)&gt;1,((WEEKDAY($A24)+$T$2)&lt;7),(WEEKDAY($A24)&lt;&gt;1)),"work",(INDEX(Subject!$A:$I,MATCH(RANDBETWEEN(1,(MAX(Subject!$B:$B))),Subject!$B:$B,0),3))))</f>
        <v/>
      </c>
      <c r="R24" s="2" t="str">
        <f t="array" ref="R24">IF(NOW()&gt;BC24,"",IF(AND((WEEKDAY($A24)+$B$2)&gt;1,((WEEKDAY($A24)+$T$2)&lt;7),(WEEKDAY($A24)&lt;&gt;1)),"work",(INDEX(Subject!$A:$I,MATCH(RANDBETWEEN(1,(MAX(Subject!$B:$B))),Subject!$B:$B,0),3))))</f>
        <v/>
      </c>
      <c r="S24" s="2" t="str">
        <f t="array" ref="S24">IF(NOW()&gt;BD24,"",IF(AND((WEEKDAY($A24)+$B$2)&gt;1,((WEEKDAY($A24)+$T$2)&lt;7),(WEEKDAY($A24)&lt;&gt;1)),"work",(INDEX(Subject!$A:$I,MATCH(RANDBETWEEN(1,(MAX(Subject!$B:$B))),Subject!$B:$B,0),3))))</f>
        <v/>
      </c>
      <c r="T24" s="2" t="str">
        <f t="array" ref="T24">IF(NOW()&gt;BE24,"",IF(AND((WEEKDAY($A24)+$B$2)&gt;1,((WEEKDAY($A24)+$T$2)&lt;7),(WEEKDAY($A24)&lt;&gt;1)),"work",(INDEX(Subject!$A:$I,MATCH(RANDBETWEEN(1,(MAX(Subject!$B:$B))),Subject!$B:$B,0),3))))</f>
        <v/>
      </c>
      <c r="U24" s="8" t="str">
        <f t="array" ref="U24">INDEX(Subject!$A:$I,MATCH(RANDBETWEEN(1,16),Subject!$B:$B,0),3)</f>
        <v>#N/A</v>
      </c>
      <c r="V24" s="8" t="str">
        <f t="array" ref="V24">INDEX(Subject!$A:$I,MATCH(RANDBETWEEN(1,16),Subject!$B:$B,0),3)</f>
        <v/>
      </c>
      <c r="W24" s="8" t="str">
        <f t="array" ref="W24">INDEX(Subject!$A:$I,MATCH(RANDBETWEEN(1,16),Subject!$B:$B,0),3)</f>
        <v>#N/A</v>
      </c>
      <c r="X24" s="8" t="str">
        <f t="array" ref="X24">INDEX(Subject!$A:$I,MATCH(RANDBETWEEN(1,16),Subject!$B:$B,0),3)</f>
        <v>#N/A</v>
      </c>
      <c r="Y24" s="8" t="str">
        <f t="array" ref="Y24">INDEX(Subject!$A:$I,MATCH(RANDBETWEEN(1,16),Subject!$B:$B,0),3)</f>
        <v>#N/A</v>
      </c>
      <c r="Z24" s="8" t="str">
        <f t="array" ref="Z24">INDEX(Subject!$A:$I,MATCH(RANDBETWEEN(1,16),Subject!$B:$B,0),3)</f>
        <v>#N/A</v>
      </c>
      <c r="AA24" s="8" t="str">
        <f t="array" ref="AA24">INDEX(Subject!$A:$I,MATCH(RANDBETWEEN(1,16),Subject!$B:$B,0),3)</f>
        <v>#N/A</v>
      </c>
      <c r="AB24" s="8" t="str">
        <f t="array" ref="AB24">INDEX(Subject!$A:$I,MATCH(RANDBETWEEN(1,16),Subject!$B:$B,0),3)</f>
        <v>#N/A</v>
      </c>
      <c r="AC24" s="8" t="str">
        <f t="array" ref="AC24">INDEX(Subject!$A:$I,MATCH(RANDBETWEEN(1,16),Subject!$B:$B,0),3)</f>
        <v>#N/A</v>
      </c>
      <c r="AD24" s="8" t="str">
        <f t="array" ref="AD24">INDEX(Subject!$A:$I,MATCH(RANDBETWEEN(1,16),Subject!$B:$B,0),3)</f>
        <v>#N/A</v>
      </c>
      <c r="AE24" s="8" t="str">
        <f t="array" ref="AE24">INDEX(Subject!$A:$I,MATCH(RANDBETWEEN(1,16),Subject!$B:$B,0),3)</f>
        <v>#N/A</v>
      </c>
      <c r="AF24" s="8" t="str">
        <f t="array" ref="AF24">INDEX(Subject!$A:$I,MATCH(RANDBETWEEN(1,16),Subject!$B:$B,0),3)</f>
        <v>#N/A</v>
      </c>
      <c r="AG24" s="8" t="str">
        <f t="array" ref="AG24">INDEX(Subject!$A:$I,MATCH(RANDBETWEEN(1,16),Subject!$B:$B,0),3)</f>
        <v>#N/A</v>
      </c>
      <c r="AH24" s="8" t="str">
        <f t="array" ref="AH24">INDEX(Subject!$A:$I,MATCH(RANDBETWEEN(1,16),Subject!$B:$B,0),3)</f>
        <v>#N/A</v>
      </c>
      <c r="AI24" s="8" t="str">
        <f t="array" ref="AI24">INDEX(Subject!$A:$I,MATCH(RANDBETWEEN(1,16),Subject!$B:$B,0),3)</f>
        <v>#N/A</v>
      </c>
      <c r="AJ24" s="8" t="str">
        <f t="array" ref="AJ24">INDEX(Subject!$A:$I,MATCH(RANDBETWEEN(1,16),Subject!$B:$B,0),3)</f>
        <v>#N/A</v>
      </c>
      <c r="AK24" s="8" t="str">
        <f t="array" ref="AK24">INDEX(Subject!$A:$I,MATCH(RANDBETWEEN(1,16),Subject!$B:$B,0),3)</f>
        <v>#N/A</v>
      </c>
      <c r="AL24" s="8" t="str">
        <f t="array" ref="AL24">INDEX(Subject!$A:$I,MATCH(RANDBETWEEN(1,16),Subject!$B:$B,0),3)</f>
        <v/>
      </c>
      <c r="AM24" s="18">
        <f t="shared" si="4"/>
        <v>45524.33333</v>
      </c>
      <c r="AN24" s="19">
        <f t="shared" ref="AN24:BZ24" si="24">$A24+C$1</f>
        <v>45524.35417</v>
      </c>
      <c r="AO24" s="19">
        <f t="shared" si="24"/>
        <v>45524.375</v>
      </c>
      <c r="AP24" s="19">
        <f t="shared" si="24"/>
        <v>45524.39583</v>
      </c>
      <c r="AQ24" s="19">
        <f t="shared" si="24"/>
        <v>45524.41667</v>
      </c>
      <c r="AR24" s="19">
        <f t="shared" si="24"/>
        <v>45524.4375</v>
      </c>
      <c r="AS24" s="19">
        <f t="shared" si="24"/>
        <v>45524.45833</v>
      </c>
      <c r="AT24" s="19">
        <f t="shared" si="24"/>
        <v>45524.47917</v>
      </c>
      <c r="AU24" s="19">
        <f t="shared" si="24"/>
        <v>45524.5</v>
      </c>
      <c r="AV24" s="19">
        <f t="shared" si="24"/>
        <v>45524.52083</v>
      </c>
      <c r="AW24" s="19">
        <f t="shared" si="24"/>
        <v>45524.54167</v>
      </c>
      <c r="AX24" s="19">
        <f t="shared" si="24"/>
        <v>45524.5625</v>
      </c>
      <c r="AY24" s="19">
        <f t="shared" si="24"/>
        <v>45524.58333</v>
      </c>
      <c r="AZ24" s="19">
        <f t="shared" si="24"/>
        <v>45524.60417</v>
      </c>
      <c r="BA24" s="19">
        <f t="shared" si="24"/>
        <v>45524.625</v>
      </c>
      <c r="BB24" s="19">
        <f t="shared" si="24"/>
        <v>45524.64583</v>
      </c>
      <c r="BC24" s="19">
        <f t="shared" si="24"/>
        <v>45524.66667</v>
      </c>
      <c r="BD24" s="19">
        <f t="shared" si="24"/>
        <v>45524.6875</v>
      </c>
      <c r="BE24" s="19">
        <f t="shared" si="24"/>
        <v>45524.70833</v>
      </c>
      <c r="BF24" s="19">
        <f t="shared" si="24"/>
        <v>45524.72917</v>
      </c>
      <c r="BG24" s="19">
        <f t="shared" si="24"/>
        <v>45524.75</v>
      </c>
      <c r="BH24" s="19">
        <f t="shared" si="24"/>
        <v>45524.77083</v>
      </c>
      <c r="BI24" s="19">
        <f t="shared" si="24"/>
        <v>45524.79167</v>
      </c>
      <c r="BJ24" s="19">
        <f t="shared" si="24"/>
        <v>45524.8125</v>
      </c>
      <c r="BK24" s="19">
        <f t="shared" si="24"/>
        <v>45524.83333</v>
      </c>
      <c r="BL24" s="19">
        <f t="shared" si="24"/>
        <v>45524.85417</v>
      </c>
      <c r="BM24" s="19">
        <f t="shared" si="24"/>
        <v>45524.875</v>
      </c>
      <c r="BN24" s="19">
        <f t="shared" si="24"/>
        <v>45524.89583</v>
      </c>
      <c r="BO24" s="19">
        <f t="shared" si="24"/>
        <v>45524.91667</v>
      </c>
      <c r="BP24" s="19">
        <f t="shared" si="24"/>
        <v>45524.9375</v>
      </c>
      <c r="BQ24" s="19">
        <f t="shared" si="24"/>
        <v>45524.95833</v>
      </c>
      <c r="BR24" s="19">
        <f t="shared" si="24"/>
        <v>45524.97917</v>
      </c>
      <c r="BS24" s="19">
        <f t="shared" si="24"/>
        <v>45525</v>
      </c>
      <c r="BT24" s="19">
        <f t="shared" si="24"/>
        <v>45525.02083</v>
      </c>
      <c r="BU24" s="19">
        <f t="shared" si="24"/>
        <v>45525.04167</v>
      </c>
      <c r="BV24" s="19">
        <f t="shared" si="24"/>
        <v>45525.0625</v>
      </c>
      <c r="BW24" s="19">
        <f t="shared" si="24"/>
        <v>45525.08333</v>
      </c>
      <c r="BX24" s="19">
        <f t="shared" si="24"/>
        <v>45524</v>
      </c>
      <c r="BY24" s="19">
        <f t="shared" si="24"/>
        <v>45524</v>
      </c>
      <c r="BZ24" s="19">
        <f t="shared" si="24"/>
        <v>45524</v>
      </c>
    </row>
    <row r="25" ht="14.25" customHeight="1">
      <c r="A25" s="17">
        <v>45525.0</v>
      </c>
      <c r="B25" s="2" t="str">
        <f t="array" ref="B25">IF(NOW()&gt;AM25,"",IF(AND((WEEKDAY($A25)+$B$2)&gt;1,((WEEKDAY($A25)+$T$2)&lt;7),(WEEKDAY($A25)&lt;&gt;1)),"work",(INDEX(Subject!$A:$I,MATCH(RANDBETWEEN(1,(MAX(Subject!$B:$B))),Subject!$B:$B,0),3))))</f>
        <v/>
      </c>
      <c r="C25" s="2" t="str">
        <f t="array" ref="C25">IF(NOW()&gt;AN25,"",IF(AND((WEEKDAY($A25)+$B$2)&gt;1,((WEEKDAY($A25)+$T$2)&lt;7),(WEEKDAY($A25)&lt;&gt;1)),"work",(INDEX(Subject!$A:$I,MATCH(RANDBETWEEN(1,(MAX(Subject!$B:$B))),Subject!$B:$B,0),3))))</f>
        <v/>
      </c>
      <c r="D25" s="2" t="str">
        <f t="array" ref="D25">IF(NOW()&gt;AO25,"",IF(AND((WEEKDAY($A25)+$B$2)&gt;1,((WEEKDAY($A25)+$T$2)&lt;7),(WEEKDAY($A25)&lt;&gt;1)),"work",(INDEX(Subject!$A:$I,MATCH(RANDBETWEEN(1,(MAX(Subject!$B:$B))),Subject!$B:$B,0),3))))</f>
        <v/>
      </c>
      <c r="E25" s="2" t="str">
        <f t="array" ref="E25">IF(NOW()&gt;AP25,"",IF(AND((WEEKDAY($A25)+$B$2)&gt;1,((WEEKDAY($A25)+$T$2)&lt;7),(WEEKDAY($A25)&lt;&gt;1)),"work",(INDEX(Subject!$A:$I,MATCH(RANDBETWEEN(1,(MAX(Subject!$B:$B))),Subject!$B:$B,0),3))))</f>
        <v/>
      </c>
      <c r="F25" s="2" t="str">
        <f t="array" ref="F25">IF(NOW()&gt;AQ25,"",IF(AND((WEEKDAY($A25)+$B$2)&gt;1,((WEEKDAY($A25)+$T$2)&lt;7),(WEEKDAY($A25)&lt;&gt;1)),"work",(INDEX(Subject!$A:$I,MATCH(RANDBETWEEN(1,(MAX(Subject!$B:$B))),Subject!$B:$B,0),3))))</f>
        <v/>
      </c>
      <c r="G25" s="2" t="str">
        <f t="array" ref="G25">IF(NOW()&gt;AR25,"",IF(AND((WEEKDAY($A25)+$B$2)&gt;1,((WEEKDAY($A25)+$T$2)&lt;7),(WEEKDAY($A25)&lt;&gt;1)),"work",(INDEX(Subject!$A:$I,MATCH(RANDBETWEEN(1,(MAX(Subject!$B:$B))),Subject!$B:$B,0),3))))</f>
        <v/>
      </c>
      <c r="H25" s="2" t="str">
        <f t="array" ref="H25">IF(NOW()&gt;AS25,"",IF(AND((WEEKDAY($A25)+$B$2)&gt;1,((WEEKDAY($A25)+$T$2)&lt;7),(WEEKDAY($A25)&lt;&gt;1)),"work",(INDEX(Subject!$A:$I,MATCH(RANDBETWEEN(1,(MAX(Subject!$B:$B))),Subject!$B:$B,0),3))))</f>
        <v/>
      </c>
      <c r="I25" s="2" t="str">
        <f t="array" ref="I25">IF(NOW()&gt;AT25,"",IF(AND((WEEKDAY($A25)+$B$2)&gt;1,((WEEKDAY($A25)+$T$2)&lt;7),(WEEKDAY($A25)&lt;&gt;1)),"work",(INDEX(Subject!$A:$I,MATCH(RANDBETWEEN(1,(MAX(Subject!$B:$B))),Subject!$B:$B,0),3))))</f>
        <v/>
      </c>
      <c r="J25" s="2" t="str">
        <f t="array" ref="J25">IF(NOW()&gt;AU25,"",IF(AND((WEEKDAY($A25)+$B$2)&gt;1,((WEEKDAY($A25)+$T$2)&lt;7),(WEEKDAY($A25)&lt;&gt;1)),"work",(INDEX(Subject!$A:$I,MATCH(RANDBETWEEN(1,(MAX(Subject!$B:$B))),Subject!$B:$B,0),3))))</f>
        <v/>
      </c>
      <c r="K25" s="2" t="str">
        <f t="array" ref="K25">IF(NOW()&gt;AV25,"",IF(AND((WEEKDAY($A25)+$B$2)&gt;1,((WEEKDAY($A25)+$T$2)&lt;7),(WEEKDAY($A25)&lt;&gt;1)),"work",(INDEX(Subject!$A:$I,MATCH(RANDBETWEEN(1,(MAX(Subject!$B:$B))),Subject!$B:$B,0),3))))</f>
        <v/>
      </c>
      <c r="L25" s="2" t="str">
        <f t="array" ref="L25">IF(NOW()&gt;AW25,"",IF(AND((WEEKDAY($A25)+$B$2)&gt;1,((WEEKDAY($A25)+$T$2)&lt;7),(WEEKDAY($A25)&lt;&gt;1)),"work",(INDEX(Subject!$A:$I,MATCH(RANDBETWEEN(1,(MAX(Subject!$B:$B))),Subject!$B:$B,0),3))))</f>
        <v/>
      </c>
      <c r="M25" s="2" t="str">
        <f t="array" ref="M25">IF(NOW()&gt;AX25,"",IF(AND((WEEKDAY($A25)+$B$2)&gt;1,((WEEKDAY($A25)+$T$2)&lt;7),(WEEKDAY($A25)&lt;&gt;1)),"work",(INDEX(Subject!$A:$I,MATCH(RANDBETWEEN(1,(MAX(Subject!$B:$B))),Subject!$B:$B,0),3))))</f>
        <v/>
      </c>
      <c r="N25" s="2" t="str">
        <f t="array" ref="N25">IF(NOW()&gt;AY25,"",IF(AND((WEEKDAY($A25)+$B$2)&gt;1,((WEEKDAY($A25)+$T$2)&lt;7),(WEEKDAY($A25)&lt;&gt;1)),"work",(INDEX(Subject!$A:$I,MATCH(RANDBETWEEN(1,(MAX(Subject!$B:$B))),Subject!$B:$B,0),3))))</f>
        <v/>
      </c>
      <c r="O25" s="2" t="str">
        <f t="array" ref="O25">IF(NOW()&gt;AZ25,"",IF(AND((WEEKDAY($A25)+$B$2)&gt;1,((WEEKDAY($A25)+$T$2)&lt;7),(WEEKDAY($A25)&lt;&gt;1)),"work",(INDEX(Subject!$A:$I,MATCH(RANDBETWEEN(1,(MAX(Subject!$B:$B))),Subject!$B:$B,0),3))))</f>
        <v/>
      </c>
      <c r="P25" s="2" t="str">
        <f t="array" ref="P25">IF(NOW()&gt;BA25,"",IF(AND((WEEKDAY($A25)+$B$2)&gt;1,((WEEKDAY($A25)+$T$2)&lt;7),(WEEKDAY($A25)&lt;&gt;1)),"work",(INDEX(Subject!$A:$I,MATCH(RANDBETWEEN(1,(MAX(Subject!$B:$B))),Subject!$B:$B,0),3))))</f>
        <v/>
      </c>
      <c r="Q25" s="2" t="str">
        <f t="array" ref="Q25">IF(NOW()&gt;BB25,"",IF(AND((WEEKDAY($A25)+$B$2)&gt;1,((WEEKDAY($A25)+$T$2)&lt;7),(WEEKDAY($A25)&lt;&gt;1)),"work",(INDEX(Subject!$A:$I,MATCH(RANDBETWEEN(1,(MAX(Subject!$B:$B))),Subject!$B:$B,0),3))))</f>
        <v/>
      </c>
      <c r="R25" s="2" t="str">
        <f t="array" ref="R25">IF(NOW()&gt;BC25,"",IF(AND((WEEKDAY($A25)+$B$2)&gt;1,((WEEKDAY($A25)+$T$2)&lt;7),(WEEKDAY($A25)&lt;&gt;1)),"work",(INDEX(Subject!$A:$I,MATCH(RANDBETWEEN(1,(MAX(Subject!$B:$B))),Subject!$B:$B,0),3))))</f>
        <v/>
      </c>
      <c r="S25" s="2" t="str">
        <f t="array" ref="S25">IF(NOW()&gt;BD25,"",IF(AND((WEEKDAY($A25)+$B$2)&gt;1,((WEEKDAY($A25)+$T$2)&lt;7),(WEEKDAY($A25)&lt;&gt;1)),"work",(INDEX(Subject!$A:$I,MATCH(RANDBETWEEN(1,(MAX(Subject!$B:$B))),Subject!$B:$B,0),3))))</f>
        <v/>
      </c>
      <c r="T25" s="2" t="str">
        <f t="array" ref="T25">IF(NOW()&gt;BE25,"",IF(AND((WEEKDAY($A25)+$B$2)&gt;1,((WEEKDAY($A25)+$T$2)&lt;7),(WEEKDAY($A25)&lt;&gt;1)),"work",(INDEX(Subject!$A:$I,MATCH(RANDBETWEEN(1,(MAX(Subject!$B:$B))),Subject!$B:$B,0),3))))</f>
        <v/>
      </c>
      <c r="U25" s="8" t="str">
        <f t="array" ref="U25">INDEX(Subject!$A:$I,MATCH(RANDBETWEEN(1,16),Subject!$B:$B,0),3)</f>
        <v>#N/A</v>
      </c>
      <c r="V25" s="8" t="str">
        <f t="array" ref="V25">INDEX(Subject!$A:$I,MATCH(RANDBETWEEN(1,16),Subject!$B:$B,0),3)</f>
        <v/>
      </c>
      <c r="W25" s="8" t="str">
        <f t="array" ref="W25">INDEX(Subject!$A:$I,MATCH(RANDBETWEEN(1,16),Subject!$B:$B,0),3)</f>
        <v>#N/A</v>
      </c>
      <c r="X25" s="8" t="str">
        <f t="array" ref="X25">INDEX(Subject!$A:$I,MATCH(RANDBETWEEN(1,16),Subject!$B:$B,0),3)</f>
        <v>#N/A</v>
      </c>
      <c r="Y25" s="8" t="str">
        <f t="array" ref="Y25">INDEX(Subject!$A:$I,MATCH(RANDBETWEEN(1,16),Subject!$B:$B,0),3)</f>
        <v>#N/A</v>
      </c>
      <c r="Z25" s="8" t="str">
        <f t="array" ref="Z25">INDEX(Subject!$A:$I,MATCH(RANDBETWEEN(1,16),Subject!$B:$B,0),3)</f>
        <v>#N/A</v>
      </c>
      <c r="AA25" s="8" t="str">
        <f t="array" ref="AA25">INDEX(Subject!$A:$I,MATCH(RANDBETWEEN(1,16),Subject!$B:$B,0),3)</f>
        <v>#N/A</v>
      </c>
      <c r="AB25" s="8" t="str">
        <f t="array" ref="AB25">INDEX(Subject!$A:$I,MATCH(RANDBETWEEN(1,16),Subject!$B:$B,0),3)</f>
        <v>#N/A</v>
      </c>
      <c r="AC25" s="8" t="str">
        <f t="array" ref="AC25">INDEX(Subject!$A:$I,MATCH(RANDBETWEEN(1,16),Subject!$B:$B,0),3)</f>
        <v/>
      </c>
      <c r="AD25" s="8" t="str">
        <f t="array" ref="AD25">INDEX(Subject!$A:$I,MATCH(RANDBETWEEN(1,16),Subject!$B:$B,0),3)</f>
        <v>#N/A</v>
      </c>
      <c r="AE25" s="8" t="str">
        <f t="array" ref="AE25">INDEX(Subject!$A:$I,MATCH(RANDBETWEEN(1,16),Subject!$B:$B,0),3)</f>
        <v/>
      </c>
      <c r="AF25" s="8" t="str">
        <f t="array" ref="AF25">INDEX(Subject!$A:$I,MATCH(RANDBETWEEN(1,16),Subject!$B:$B,0),3)</f>
        <v>#N/A</v>
      </c>
      <c r="AG25" s="8" t="str">
        <f t="array" ref="AG25">INDEX(Subject!$A:$I,MATCH(RANDBETWEEN(1,16),Subject!$B:$B,0),3)</f>
        <v>#N/A</v>
      </c>
      <c r="AH25" s="8" t="str">
        <f t="array" ref="AH25">INDEX(Subject!$A:$I,MATCH(RANDBETWEEN(1,16),Subject!$B:$B,0),3)</f>
        <v>#N/A</v>
      </c>
      <c r="AI25" s="8" t="str">
        <f t="array" ref="AI25">INDEX(Subject!$A:$I,MATCH(RANDBETWEEN(1,16),Subject!$B:$B,0),3)</f>
        <v>#N/A</v>
      </c>
      <c r="AJ25" s="8" t="str">
        <f t="array" ref="AJ25">INDEX(Subject!$A:$I,MATCH(RANDBETWEEN(1,16),Subject!$B:$B,0),3)</f>
        <v>#N/A</v>
      </c>
      <c r="AK25" s="8" t="str">
        <f t="array" ref="AK25">INDEX(Subject!$A:$I,MATCH(RANDBETWEEN(1,16),Subject!$B:$B,0),3)</f>
        <v>#N/A</v>
      </c>
      <c r="AL25" s="8" t="str">
        <f t="array" ref="AL25">INDEX(Subject!$A:$I,MATCH(RANDBETWEEN(1,16),Subject!$B:$B,0),3)</f>
        <v/>
      </c>
      <c r="AM25" s="18">
        <f t="shared" si="4"/>
        <v>45525.33333</v>
      </c>
      <c r="AN25" s="19">
        <f t="shared" ref="AN25:BZ25" si="25">$A25+C$1</f>
        <v>45525.35417</v>
      </c>
      <c r="AO25" s="19">
        <f t="shared" si="25"/>
        <v>45525.375</v>
      </c>
      <c r="AP25" s="19">
        <f t="shared" si="25"/>
        <v>45525.39583</v>
      </c>
      <c r="AQ25" s="19">
        <f t="shared" si="25"/>
        <v>45525.41667</v>
      </c>
      <c r="AR25" s="19">
        <f t="shared" si="25"/>
        <v>45525.4375</v>
      </c>
      <c r="AS25" s="19">
        <f t="shared" si="25"/>
        <v>45525.45833</v>
      </c>
      <c r="AT25" s="19">
        <f t="shared" si="25"/>
        <v>45525.47917</v>
      </c>
      <c r="AU25" s="19">
        <f t="shared" si="25"/>
        <v>45525.5</v>
      </c>
      <c r="AV25" s="19">
        <f t="shared" si="25"/>
        <v>45525.52083</v>
      </c>
      <c r="AW25" s="19">
        <f t="shared" si="25"/>
        <v>45525.54167</v>
      </c>
      <c r="AX25" s="19">
        <f t="shared" si="25"/>
        <v>45525.5625</v>
      </c>
      <c r="AY25" s="19">
        <f t="shared" si="25"/>
        <v>45525.58333</v>
      </c>
      <c r="AZ25" s="19">
        <f t="shared" si="25"/>
        <v>45525.60417</v>
      </c>
      <c r="BA25" s="19">
        <f t="shared" si="25"/>
        <v>45525.625</v>
      </c>
      <c r="BB25" s="19">
        <f t="shared" si="25"/>
        <v>45525.64583</v>
      </c>
      <c r="BC25" s="19">
        <f t="shared" si="25"/>
        <v>45525.66667</v>
      </c>
      <c r="BD25" s="19">
        <f t="shared" si="25"/>
        <v>45525.6875</v>
      </c>
      <c r="BE25" s="19">
        <f t="shared" si="25"/>
        <v>45525.70833</v>
      </c>
      <c r="BF25" s="19">
        <f t="shared" si="25"/>
        <v>45525.72917</v>
      </c>
      <c r="BG25" s="19">
        <f t="shared" si="25"/>
        <v>45525.75</v>
      </c>
      <c r="BH25" s="19">
        <f t="shared" si="25"/>
        <v>45525.77083</v>
      </c>
      <c r="BI25" s="19">
        <f t="shared" si="25"/>
        <v>45525.79167</v>
      </c>
      <c r="BJ25" s="19">
        <f t="shared" si="25"/>
        <v>45525.8125</v>
      </c>
      <c r="BK25" s="19">
        <f t="shared" si="25"/>
        <v>45525.83333</v>
      </c>
      <c r="BL25" s="19">
        <f t="shared" si="25"/>
        <v>45525.85417</v>
      </c>
      <c r="BM25" s="19">
        <f t="shared" si="25"/>
        <v>45525.875</v>
      </c>
      <c r="BN25" s="19">
        <f t="shared" si="25"/>
        <v>45525.89583</v>
      </c>
      <c r="BO25" s="19">
        <f t="shared" si="25"/>
        <v>45525.91667</v>
      </c>
      <c r="BP25" s="19">
        <f t="shared" si="25"/>
        <v>45525.9375</v>
      </c>
      <c r="BQ25" s="19">
        <f t="shared" si="25"/>
        <v>45525.95833</v>
      </c>
      <c r="BR25" s="19">
        <f t="shared" si="25"/>
        <v>45525.97917</v>
      </c>
      <c r="BS25" s="19">
        <f t="shared" si="25"/>
        <v>45526</v>
      </c>
      <c r="BT25" s="19">
        <f t="shared" si="25"/>
        <v>45526.02083</v>
      </c>
      <c r="BU25" s="19">
        <f t="shared" si="25"/>
        <v>45526.04167</v>
      </c>
      <c r="BV25" s="19">
        <f t="shared" si="25"/>
        <v>45526.0625</v>
      </c>
      <c r="BW25" s="19">
        <f t="shared" si="25"/>
        <v>45526.08333</v>
      </c>
      <c r="BX25" s="19">
        <f t="shared" si="25"/>
        <v>45525</v>
      </c>
      <c r="BY25" s="19">
        <f t="shared" si="25"/>
        <v>45525</v>
      </c>
      <c r="BZ25" s="19">
        <f t="shared" si="25"/>
        <v>45525</v>
      </c>
    </row>
    <row r="26" ht="14.25" customHeight="1">
      <c r="A26" s="17">
        <v>45526.0</v>
      </c>
      <c r="B26" s="2" t="str">
        <f t="array" ref="B26">IF(NOW()&gt;AM26,"",IF(AND((WEEKDAY($A26)+$B$2)&gt;1,((WEEKDAY($A26)+$T$2)&lt;7),(WEEKDAY($A26)&lt;&gt;1)),"work",(INDEX(Subject!$A:$I,MATCH(RANDBETWEEN(1,(MAX(Subject!$B:$B))),Subject!$B:$B,0),3))))</f>
        <v/>
      </c>
      <c r="C26" s="2" t="str">
        <f t="array" ref="C26">IF(NOW()&gt;AN26,"",IF(AND((WEEKDAY($A26)+$B$2)&gt;1,((WEEKDAY($A26)+$T$2)&lt;7),(WEEKDAY($A26)&lt;&gt;1)),"work",(INDEX(Subject!$A:$I,MATCH(RANDBETWEEN(1,(MAX(Subject!$B:$B))),Subject!$B:$B,0),3))))</f>
        <v/>
      </c>
      <c r="D26" s="2" t="str">
        <f t="array" ref="D26">IF(NOW()&gt;AO26,"",IF(AND((WEEKDAY($A26)+$B$2)&gt;1,((WEEKDAY($A26)+$T$2)&lt;7),(WEEKDAY($A26)&lt;&gt;1)),"work",(INDEX(Subject!$A:$I,MATCH(RANDBETWEEN(1,(MAX(Subject!$B:$B))),Subject!$B:$B,0),3))))</f>
        <v/>
      </c>
      <c r="E26" s="2" t="str">
        <f t="array" ref="E26">IF(NOW()&gt;AP26,"",IF(AND((WEEKDAY($A26)+$B$2)&gt;1,((WEEKDAY($A26)+$T$2)&lt;7),(WEEKDAY($A26)&lt;&gt;1)),"work",(INDEX(Subject!$A:$I,MATCH(RANDBETWEEN(1,(MAX(Subject!$B:$B))),Subject!$B:$B,0),3))))</f>
        <v/>
      </c>
      <c r="F26" s="2" t="str">
        <f t="array" ref="F26">IF(NOW()&gt;AQ26,"",IF(AND((WEEKDAY($A26)+$B$2)&gt;1,((WEEKDAY($A26)+$T$2)&lt;7),(WEEKDAY($A26)&lt;&gt;1)),"work",(INDEX(Subject!$A:$I,MATCH(RANDBETWEEN(1,(MAX(Subject!$B:$B))),Subject!$B:$B,0),3))))</f>
        <v/>
      </c>
      <c r="G26" s="2" t="str">
        <f t="array" ref="G26">IF(NOW()&gt;AR26,"",IF(AND((WEEKDAY($A26)+$B$2)&gt;1,((WEEKDAY($A26)+$T$2)&lt;7),(WEEKDAY($A26)&lt;&gt;1)),"work",(INDEX(Subject!$A:$I,MATCH(RANDBETWEEN(1,(MAX(Subject!$B:$B))),Subject!$B:$B,0),3))))</f>
        <v/>
      </c>
      <c r="H26" s="2" t="str">
        <f t="array" ref="H26">IF(NOW()&gt;AS26,"",IF(AND((WEEKDAY($A26)+$B$2)&gt;1,((WEEKDAY($A26)+$T$2)&lt;7),(WEEKDAY($A26)&lt;&gt;1)),"work",(INDEX(Subject!$A:$I,MATCH(RANDBETWEEN(1,(MAX(Subject!$B:$B))),Subject!$B:$B,0),3))))</f>
        <v/>
      </c>
      <c r="I26" s="2" t="str">
        <f t="array" ref="I26">IF(NOW()&gt;AT26,"",IF(AND((WEEKDAY($A26)+$B$2)&gt;1,((WEEKDAY($A26)+$T$2)&lt;7),(WEEKDAY($A26)&lt;&gt;1)),"work",(INDEX(Subject!$A:$I,MATCH(RANDBETWEEN(1,(MAX(Subject!$B:$B))),Subject!$B:$B,0),3))))</f>
        <v/>
      </c>
      <c r="J26" s="2" t="str">
        <f t="array" ref="J26">IF(NOW()&gt;AU26,"",IF(AND((WEEKDAY($A26)+$B$2)&gt;1,((WEEKDAY($A26)+$T$2)&lt;7),(WEEKDAY($A26)&lt;&gt;1)),"work",(INDEX(Subject!$A:$I,MATCH(RANDBETWEEN(1,(MAX(Subject!$B:$B))),Subject!$B:$B,0),3))))</f>
        <v/>
      </c>
      <c r="K26" s="2" t="str">
        <f t="array" ref="K26">IF(NOW()&gt;AV26,"",IF(AND((WEEKDAY($A26)+$B$2)&gt;1,((WEEKDAY($A26)+$T$2)&lt;7),(WEEKDAY($A26)&lt;&gt;1)),"work",(INDEX(Subject!$A:$I,MATCH(RANDBETWEEN(1,(MAX(Subject!$B:$B))),Subject!$B:$B,0),3))))</f>
        <v/>
      </c>
      <c r="L26" s="2" t="str">
        <f t="array" ref="L26">IF(NOW()&gt;AW26,"",IF(AND((WEEKDAY($A26)+$B$2)&gt;1,((WEEKDAY($A26)+$T$2)&lt;7),(WEEKDAY($A26)&lt;&gt;1)),"work",(INDEX(Subject!$A:$I,MATCH(RANDBETWEEN(1,(MAX(Subject!$B:$B))),Subject!$B:$B,0),3))))</f>
        <v/>
      </c>
      <c r="M26" s="2" t="str">
        <f t="array" ref="M26">IF(NOW()&gt;AX26,"",IF(AND((WEEKDAY($A26)+$B$2)&gt;1,((WEEKDAY($A26)+$T$2)&lt;7),(WEEKDAY($A26)&lt;&gt;1)),"work",(INDEX(Subject!$A:$I,MATCH(RANDBETWEEN(1,(MAX(Subject!$B:$B))),Subject!$B:$B,0),3))))</f>
        <v/>
      </c>
      <c r="N26" s="2" t="str">
        <f t="array" ref="N26">IF(NOW()&gt;AY26,"",IF(AND((WEEKDAY($A26)+$B$2)&gt;1,((WEEKDAY($A26)+$T$2)&lt;7),(WEEKDAY($A26)&lt;&gt;1)),"work",(INDEX(Subject!$A:$I,MATCH(RANDBETWEEN(1,(MAX(Subject!$B:$B))),Subject!$B:$B,0),3))))</f>
        <v/>
      </c>
      <c r="O26" s="2" t="str">
        <f t="array" ref="O26">IF(NOW()&gt;AZ26,"",IF(AND((WEEKDAY($A26)+$B$2)&gt;1,((WEEKDAY($A26)+$T$2)&lt;7),(WEEKDAY($A26)&lt;&gt;1)),"work",(INDEX(Subject!$A:$I,MATCH(RANDBETWEEN(1,(MAX(Subject!$B:$B))),Subject!$B:$B,0),3))))</f>
        <v/>
      </c>
      <c r="P26" s="2" t="str">
        <f t="array" ref="P26">IF(NOW()&gt;BA26,"",IF(AND((WEEKDAY($A26)+$B$2)&gt;1,((WEEKDAY($A26)+$T$2)&lt;7),(WEEKDAY($A26)&lt;&gt;1)),"work",(INDEX(Subject!$A:$I,MATCH(RANDBETWEEN(1,(MAX(Subject!$B:$B))),Subject!$B:$B,0),3))))</f>
        <v/>
      </c>
      <c r="Q26" s="2" t="str">
        <f t="array" ref="Q26">IF(NOW()&gt;BB26,"",IF(AND((WEEKDAY($A26)+$B$2)&gt;1,((WEEKDAY($A26)+$T$2)&lt;7),(WEEKDAY($A26)&lt;&gt;1)),"work",(INDEX(Subject!$A:$I,MATCH(RANDBETWEEN(1,(MAX(Subject!$B:$B))),Subject!$B:$B,0),3))))</f>
        <v/>
      </c>
      <c r="R26" s="2" t="str">
        <f t="array" ref="R26">IF(NOW()&gt;BC26,"",IF(AND((WEEKDAY($A26)+$B$2)&gt;1,((WEEKDAY($A26)+$T$2)&lt;7),(WEEKDAY($A26)&lt;&gt;1)),"work",(INDEX(Subject!$A:$I,MATCH(RANDBETWEEN(1,(MAX(Subject!$B:$B))),Subject!$B:$B,0),3))))</f>
        <v/>
      </c>
      <c r="S26" s="2" t="str">
        <f t="array" ref="S26">IF(NOW()&gt;BD26,"",IF(AND((WEEKDAY($A26)+$B$2)&gt;1,((WEEKDAY($A26)+$T$2)&lt;7),(WEEKDAY($A26)&lt;&gt;1)),"work",(INDEX(Subject!$A:$I,MATCH(RANDBETWEEN(1,(MAX(Subject!$B:$B))),Subject!$B:$B,0),3))))</f>
        <v/>
      </c>
      <c r="T26" s="2" t="str">
        <f t="array" ref="T26">IF(NOW()&gt;BE26,"",IF(AND((WEEKDAY($A26)+$B$2)&gt;1,((WEEKDAY($A26)+$T$2)&lt;7),(WEEKDAY($A26)&lt;&gt;1)),"work",(INDEX(Subject!$A:$I,MATCH(RANDBETWEEN(1,(MAX(Subject!$B:$B))),Subject!$B:$B,0),3))))</f>
        <v/>
      </c>
      <c r="U26" s="8" t="str">
        <f t="array" ref="U26">INDEX(Subject!$A:$I,MATCH(RANDBETWEEN(1,16),Subject!$B:$B,0),3)</f>
        <v>#N/A</v>
      </c>
      <c r="V26" s="8" t="str">
        <f t="array" ref="V26">INDEX(Subject!$A:$I,MATCH(RANDBETWEEN(1,16),Subject!$B:$B,0),3)</f>
        <v>#N/A</v>
      </c>
      <c r="W26" s="8" t="str">
        <f t="array" ref="W26">INDEX(Subject!$A:$I,MATCH(RANDBETWEEN(1,16),Subject!$B:$B,0),3)</f>
        <v>#N/A</v>
      </c>
      <c r="X26" s="8" t="str">
        <f t="array" ref="X26">INDEX(Subject!$A:$I,MATCH(RANDBETWEEN(1,16),Subject!$B:$B,0),3)</f>
        <v>#N/A</v>
      </c>
      <c r="Y26" s="8" t="str">
        <f t="array" ref="Y26">INDEX(Subject!$A:$I,MATCH(RANDBETWEEN(1,16),Subject!$B:$B,0),3)</f>
        <v>#N/A</v>
      </c>
      <c r="Z26" s="8" t="str">
        <f t="array" ref="Z26">INDEX(Subject!$A:$I,MATCH(RANDBETWEEN(1,16),Subject!$B:$B,0),3)</f>
        <v>#N/A</v>
      </c>
      <c r="AA26" s="8" t="str">
        <f t="array" ref="AA26">INDEX(Subject!$A:$I,MATCH(RANDBETWEEN(1,16),Subject!$B:$B,0),3)</f>
        <v>#N/A</v>
      </c>
      <c r="AB26" s="8" t="str">
        <f t="array" ref="AB26">INDEX(Subject!$A:$I,MATCH(RANDBETWEEN(1,16),Subject!$B:$B,0),3)</f>
        <v>#N/A</v>
      </c>
      <c r="AC26" s="8" t="str">
        <f t="array" ref="AC26">INDEX(Subject!$A:$I,MATCH(RANDBETWEEN(1,16),Subject!$B:$B,0),3)</f>
        <v>#N/A</v>
      </c>
      <c r="AD26" s="8" t="str">
        <f t="array" ref="AD26">INDEX(Subject!$A:$I,MATCH(RANDBETWEEN(1,16),Subject!$B:$B,0),3)</f>
        <v>#N/A</v>
      </c>
      <c r="AE26" s="8" t="str">
        <f t="array" ref="AE26">INDEX(Subject!$A:$I,MATCH(RANDBETWEEN(1,16),Subject!$B:$B,0),3)</f>
        <v>#N/A</v>
      </c>
      <c r="AF26" s="8" t="str">
        <f t="array" ref="AF26">INDEX(Subject!$A:$I,MATCH(RANDBETWEEN(1,16),Subject!$B:$B,0),3)</f>
        <v>#N/A</v>
      </c>
      <c r="AG26" s="8" t="str">
        <f t="array" ref="AG26">INDEX(Subject!$A:$I,MATCH(RANDBETWEEN(1,16),Subject!$B:$B,0),3)</f>
        <v>#N/A</v>
      </c>
      <c r="AH26" s="8" t="str">
        <f t="array" ref="AH26">INDEX(Subject!$A:$I,MATCH(RANDBETWEEN(1,16),Subject!$B:$B,0),3)</f>
        <v>#N/A</v>
      </c>
      <c r="AI26" s="8" t="str">
        <f t="array" ref="AI26">INDEX(Subject!$A:$I,MATCH(RANDBETWEEN(1,16),Subject!$B:$B,0),3)</f>
        <v>#N/A</v>
      </c>
      <c r="AJ26" s="8" t="str">
        <f t="array" ref="AJ26">INDEX(Subject!$A:$I,MATCH(RANDBETWEEN(1,16),Subject!$B:$B,0),3)</f>
        <v/>
      </c>
      <c r="AK26" s="8" t="str">
        <f t="array" ref="AK26">INDEX(Subject!$A:$I,MATCH(RANDBETWEEN(1,16),Subject!$B:$B,0),3)</f>
        <v>#N/A</v>
      </c>
      <c r="AL26" s="8" t="str">
        <f t="array" ref="AL26">INDEX(Subject!$A:$I,MATCH(RANDBETWEEN(1,16),Subject!$B:$B,0),3)</f>
        <v>#N/A</v>
      </c>
      <c r="AM26" s="18">
        <f t="shared" si="4"/>
        <v>45526.33333</v>
      </c>
      <c r="AN26" s="19">
        <f t="shared" ref="AN26:BZ26" si="26">$A26+C$1</f>
        <v>45526.35417</v>
      </c>
      <c r="AO26" s="19">
        <f t="shared" si="26"/>
        <v>45526.375</v>
      </c>
      <c r="AP26" s="19">
        <f t="shared" si="26"/>
        <v>45526.39583</v>
      </c>
      <c r="AQ26" s="19">
        <f t="shared" si="26"/>
        <v>45526.41667</v>
      </c>
      <c r="AR26" s="19">
        <f t="shared" si="26"/>
        <v>45526.4375</v>
      </c>
      <c r="AS26" s="19">
        <f t="shared" si="26"/>
        <v>45526.45833</v>
      </c>
      <c r="AT26" s="19">
        <f t="shared" si="26"/>
        <v>45526.47917</v>
      </c>
      <c r="AU26" s="19">
        <f t="shared" si="26"/>
        <v>45526.5</v>
      </c>
      <c r="AV26" s="19">
        <f t="shared" si="26"/>
        <v>45526.52083</v>
      </c>
      <c r="AW26" s="19">
        <f t="shared" si="26"/>
        <v>45526.54167</v>
      </c>
      <c r="AX26" s="19">
        <f t="shared" si="26"/>
        <v>45526.5625</v>
      </c>
      <c r="AY26" s="19">
        <f t="shared" si="26"/>
        <v>45526.58333</v>
      </c>
      <c r="AZ26" s="19">
        <f t="shared" si="26"/>
        <v>45526.60417</v>
      </c>
      <c r="BA26" s="19">
        <f t="shared" si="26"/>
        <v>45526.625</v>
      </c>
      <c r="BB26" s="19">
        <f t="shared" si="26"/>
        <v>45526.64583</v>
      </c>
      <c r="BC26" s="19">
        <f t="shared" si="26"/>
        <v>45526.66667</v>
      </c>
      <c r="BD26" s="19">
        <f t="shared" si="26"/>
        <v>45526.6875</v>
      </c>
      <c r="BE26" s="19">
        <f t="shared" si="26"/>
        <v>45526.70833</v>
      </c>
      <c r="BF26" s="19">
        <f t="shared" si="26"/>
        <v>45526.72917</v>
      </c>
      <c r="BG26" s="19">
        <f t="shared" si="26"/>
        <v>45526.75</v>
      </c>
      <c r="BH26" s="19">
        <f t="shared" si="26"/>
        <v>45526.77083</v>
      </c>
      <c r="BI26" s="19">
        <f t="shared" si="26"/>
        <v>45526.79167</v>
      </c>
      <c r="BJ26" s="19">
        <f t="shared" si="26"/>
        <v>45526.8125</v>
      </c>
      <c r="BK26" s="19">
        <f t="shared" si="26"/>
        <v>45526.83333</v>
      </c>
      <c r="BL26" s="19">
        <f t="shared" si="26"/>
        <v>45526.85417</v>
      </c>
      <c r="BM26" s="19">
        <f t="shared" si="26"/>
        <v>45526.875</v>
      </c>
      <c r="BN26" s="19">
        <f t="shared" si="26"/>
        <v>45526.89583</v>
      </c>
      <c r="BO26" s="19">
        <f t="shared" si="26"/>
        <v>45526.91667</v>
      </c>
      <c r="BP26" s="19">
        <f t="shared" si="26"/>
        <v>45526.9375</v>
      </c>
      <c r="BQ26" s="19">
        <f t="shared" si="26"/>
        <v>45526.95833</v>
      </c>
      <c r="BR26" s="19">
        <f t="shared" si="26"/>
        <v>45526.97917</v>
      </c>
      <c r="BS26" s="19">
        <f t="shared" si="26"/>
        <v>45527</v>
      </c>
      <c r="BT26" s="19">
        <f t="shared" si="26"/>
        <v>45527.02083</v>
      </c>
      <c r="BU26" s="19">
        <f t="shared" si="26"/>
        <v>45527.04167</v>
      </c>
      <c r="BV26" s="19">
        <f t="shared" si="26"/>
        <v>45527.0625</v>
      </c>
      <c r="BW26" s="19">
        <f t="shared" si="26"/>
        <v>45527.08333</v>
      </c>
      <c r="BX26" s="19">
        <f t="shared" si="26"/>
        <v>45526</v>
      </c>
      <c r="BY26" s="19">
        <f t="shared" si="26"/>
        <v>45526</v>
      </c>
      <c r="BZ26" s="19">
        <f t="shared" si="26"/>
        <v>45526</v>
      </c>
    </row>
    <row r="27" ht="14.25" customHeight="1">
      <c r="A27" s="17">
        <v>45527.0</v>
      </c>
      <c r="B27" s="2" t="str">
        <f t="array" ref="B27">IF(NOW()&gt;AM27,"",IF(AND((WEEKDAY($A27)+$B$2)&gt;1,((WEEKDAY($A27)+$T$2)&lt;7),(WEEKDAY($A27)&lt;&gt;1)),"work",(INDEX(Subject!$A:$I,MATCH(RANDBETWEEN(1,(MAX(Subject!$B:$B))),Subject!$B:$B,0),3))))</f>
        <v/>
      </c>
      <c r="C27" s="2" t="str">
        <f t="array" ref="C27">IF(NOW()&gt;AN27,"",IF(AND((WEEKDAY($A27)+$B$2)&gt;1,((WEEKDAY($A27)+$T$2)&lt;7),(WEEKDAY($A27)&lt;&gt;1)),"work",(INDEX(Subject!$A:$I,MATCH(RANDBETWEEN(1,(MAX(Subject!$B:$B))),Subject!$B:$B,0),3))))</f>
        <v/>
      </c>
      <c r="D27" s="2" t="str">
        <f t="array" ref="D27">IF(NOW()&gt;AO27,"",IF(AND((WEEKDAY($A27)+$B$2)&gt;1,((WEEKDAY($A27)+$T$2)&lt;7),(WEEKDAY($A27)&lt;&gt;1)),"work",(INDEX(Subject!$A:$I,MATCH(RANDBETWEEN(1,(MAX(Subject!$B:$B))),Subject!$B:$B,0),3))))</f>
        <v/>
      </c>
      <c r="E27" s="2" t="str">
        <f t="array" ref="E27">IF(NOW()&gt;AP27,"",IF(AND((WEEKDAY($A27)+$B$2)&gt;1,((WEEKDAY($A27)+$T$2)&lt;7),(WEEKDAY($A27)&lt;&gt;1)),"work",(INDEX(Subject!$A:$I,MATCH(RANDBETWEEN(1,(MAX(Subject!$B:$B))),Subject!$B:$B,0),3))))</f>
        <v/>
      </c>
      <c r="F27" s="2" t="str">
        <f t="array" ref="F27">IF(NOW()&gt;AQ27,"",IF(AND((WEEKDAY($A27)+$B$2)&gt;1,((WEEKDAY($A27)+$T$2)&lt;7),(WEEKDAY($A27)&lt;&gt;1)),"work",(INDEX(Subject!$A:$I,MATCH(RANDBETWEEN(1,(MAX(Subject!$B:$B))),Subject!$B:$B,0),3))))</f>
        <v/>
      </c>
      <c r="G27" s="2" t="str">
        <f t="array" ref="G27">IF(NOW()&gt;AR27,"",IF(AND((WEEKDAY($A27)+$B$2)&gt;1,((WEEKDAY($A27)+$T$2)&lt;7),(WEEKDAY($A27)&lt;&gt;1)),"work",(INDEX(Subject!$A:$I,MATCH(RANDBETWEEN(1,(MAX(Subject!$B:$B))),Subject!$B:$B,0),3))))</f>
        <v/>
      </c>
      <c r="H27" s="2" t="str">
        <f t="array" ref="H27">IF(NOW()&gt;AS27,"",IF(AND((WEEKDAY($A27)+$B$2)&gt;1,((WEEKDAY($A27)+$T$2)&lt;7),(WEEKDAY($A27)&lt;&gt;1)),"work",(INDEX(Subject!$A:$I,MATCH(RANDBETWEEN(1,(MAX(Subject!$B:$B))),Subject!$B:$B,0),3))))</f>
        <v/>
      </c>
      <c r="I27" s="2" t="str">
        <f t="array" ref="I27">IF(NOW()&gt;AT27,"",IF(AND((WEEKDAY($A27)+$B$2)&gt;1,((WEEKDAY($A27)+$T$2)&lt;7),(WEEKDAY($A27)&lt;&gt;1)),"work",(INDEX(Subject!$A:$I,MATCH(RANDBETWEEN(1,(MAX(Subject!$B:$B))),Subject!$B:$B,0),3))))</f>
        <v/>
      </c>
      <c r="J27" s="2" t="str">
        <f t="array" ref="J27">IF(NOW()&gt;AU27,"",IF(AND((WEEKDAY($A27)+$B$2)&gt;1,((WEEKDAY($A27)+$T$2)&lt;7),(WEEKDAY($A27)&lt;&gt;1)),"work",(INDEX(Subject!$A:$I,MATCH(RANDBETWEEN(1,(MAX(Subject!$B:$B))),Subject!$B:$B,0),3))))</f>
        <v/>
      </c>
      <c r="K27" s="2" t="str">
        <f t="array" ref="K27">IF(NOW()&gt;AV27,"",IF(AND((WEEKDAY($A27)+$B$2)&gt;1,((WEEKDAY($A27)+$T$2)&lt;7),(WEEKDAY($A27)&lt;&gt;1)),"work",(INDEX(Subject!$A:$I,MATCH(RANDBETWEEN(1,(MAX(Subject!$B:$B))),Subject!$B:$B,0),3))))</f>
        <v/>
      </c>
      <c r="L27" s="2" t="str">
        <f t="array" ref="L27">IF(NOW()&gt;AW27,"",IF(AND((WEEKDAY($A27)+$B$2)&gt;1,((WEEKDAY($A27)+$T$2)&lt;7),(WEEKDAY($A27)&lt;&gt;1)),"work",(INDEX(Subject!$A:$I,MATCH(RANDBETWEEN(1,(MAX(Subject!$B:$B))),Subject!$B:$B,0),3))))</f>
        <v/>
      </c>
      <c r="M27" s="2" t="str">
        <f t="array" ref="M27">IF(NOW()&gt;AX27,"",IF(AND((WEEKDAY($A27)+$B$2)&gt;1,((WEEKDAY($A27)+$T$2)&lt;7),(WEEKDAY($A27)&lt;&gt;1)),"work",(INDEX(Subject!$A:$I,MATCH(RANDBETWEEN(1,(MAX(Subject!$B:$B))),Subject!$B:$B,0),3))))</f>
        <v/>
      </c>
      <c r="N27" s="2" t="str">
        <f t="array" ref="N27">IF(NOW()&gt;AY27,"",IF(AND((WEEKDAY($A27)+$B$2)&gt;1,((WEEKDAY($A27)+$T$2)&lt;7),(WEEKDAY($A27)&lt;&gt;1)),"work",(INDEX(Subject!$A:$I,MATCH(RANDBETWEEN(1,(MAX(Subject!$B:$B))),Subject!$B:$B,0),3))))</f>
        <v/>
      </c>
      <c r="O27" s="2" t="str">
        <f t="array" ref="O27">IF(NOW()&gt;AZ27,"",IF(AND((WEEKDAY($A27)+$B$2)&gt;1,((WEEKDAY($A27)+$T$2)&lt;7),(WEEKDAY($A27)&lt;&gt;1)),"work",(INDEX(Subject!$A:$I,MATCH(RANDBETWEEN(1,(MAX(Subject!$B:$B))),Subject!$B:$B,0),3))))</f>
        <v/>
      </c>
      <c r="P27" s="2" t="str">
        <f t="array" ref="P27">IF(NOW()&gt;BA27,"",IF(AND((WEEKDAY($A27)+$B$2)&gt;1,((WEEKDAY($A27)+$T$2)&lt;7),(WEEKDAY($A27)&lt;&gt;1)),"work",(INDEX(Subject!$A:$I,MATCH(RANDBETWEEN(1,(MAX(Subject!$B:$B))),Subject!$B:$B,0),3))))</f>
        <v/>
      </c>
      <c r="Q27" s="2" t="str">
        <f t="array" ref="Q27">IF(NOW()&gt;BB27,"",IF(AND((WEEKDAY($A27)+$B$2)&gt;1,((WEEKDAY($A27)+$T$2)&lt;7),(WEEKDAY($A27)&lt;&gt;1)),"work",(INDEX(Subject!$A:$I,MATCH(RANDBETWEEN(1,(MAX(Subject!$B:$B))),Subject!$B:$B,0),3))))</f>
        <v/>
      </c>
      <c r="R27" s="2" t="str">
        <f t="array" ref="R27">IF(NOW()&gt;BC27,"",IF(AND((WEEKDAY($A27)+$B$2)&gt;1,((WEEKDAY($A27)+$T$2)&lt;7),(WEEKDAY($A27)&lt;&gt;1)),"work",(INDEX(Subject!$A:$I,MATCH(RANDBETWEEN(1,(MAX(Subject!$B:$B))),Subject!$B:$B,0),3))))</f>
        <v/>
      </c>
      <c r="S27" s="2" t="str">
        <f t="array" ref="S27">IF(NOW()&gt;BD27,"",IF(AND((WEEKDAY($A27)+$B$2)&gt;1,((WEEKDAY($A27)+$T$2)&lt;7),(WEEKDAY($A27)&lt;&gt;1)),"work",(INDEX(Subject!$A:$I,MATCH(RANDBETWEEN(1,(MAX(Subject!$B:$B))),Subject!$B:$B,0),3))))</f>
        <v/>
      </c>
      <c r="T27" s="2" t="str">
        <f t="array" ref="T27">IF(NOW()&gt;BE27,"",IF(AND((WEEKDAY($A27)+$B$2)&gt;1,((WEEKDAY($A27)+$T$2)&lt;7),(WEEKDAY($A27)&lt;&gt;1)),"work",(INDEX(Subject!$A:$I,MATCH(RANDBETWEEN(1,(MAX(Subject!$B:$B))),Subject!$B:$B,0),3))))</f>
        <v/>
      </c>
      <c r="U27" s="8" t="str">
        <f t="array" ref="U27">INDEX(Subject!$A:$I,MATCH(RANDBETWEEN(1,16),Subject!$B:$B,0),3)</f>
        <v>#N/A</v>
      </c>
      <c r="V27" s="8" t="str">
        <f t="array" ref="V27">INDEX(Subject!$A:$I,MATCH(RANDBETWEEN(1,16),Subject!$B:$B,0),3)</f>
        <v>#N/A</v>
      </c>
      <c r="W27" s="8" t="str">
        <f t="array" ref="W27">INDEX(Subject!$A:$I,MATCH(RANDBETWEEN(1,16),Subject!$B:$B,0),3)</f>
        <v>#N/A</v>
      </c>
      <c r="X27" s="8" t="str">
        <f t="array" ref="X27">INDEX(Subject!$A:$I,MATCH(RANDBETWEEN(1,16),Subject!$B:$B,0),3)</f>
        <v>#N/A</v>
      </c>
      <c r="Y27" s="8" t="str">
        <f t="array" ref="Y27">INDEX(Subject!$A:$I,MATCH(RANDBETWEEN(1,16),Subject!$B:$B,0),3)</f>
        <v>#N/A</v>
      </c>
      <c r="Z27" s="8" t="str">
        <f t="array" ref="Z27">INDEX(Subject!$A:$I,MATCH(RANDBETWEEN(1,16),Subject!$B:$B,0),3)</f>
        <v>#N/A</v>
      </c>
      <c r="AA27" s="8" t="str">
        <f t="array" ref="AA27">INDEX(Subject!$A:$I,MATCH(RANDBETWEEN(1,16),Subject!$B:$B,0),3)</f>
        <v>#N/A</v>
      </c>
      <c r="AB27" s="8" t="str">
        <f t="array" ref="AB27">INDEX(Subject!$A:$I,MATCH(RANDBETWEEN(1,16),Subject!$B:$B,0),3)</f>
        <v>#N/A</v>
      </c>
      <c r="AC27" s="8" t="str">
        <f t="array" ref="AC27">INDEX(Subject!$A:$I,MATCH(RANDBETWEEN(1,16),Subject!$B:$B,0),3)</f>
        <v>#N/A</v>
      </c>
      <c r="AD27" s="8" t="str">
        <f t="array" ref="AD27">INDEX(Subject!$A:$I,MATCH(RANDBETWEEN(1,16),Subject!$B:$B,0),3)</f>
        <v>#N/A</v>
      </c>
      <c r="AE27" s="8" t="str">
        <f t="array" ref="AE27">INDEX(Subject!$A:$I,MATCH(RANDBETWEEN(1,16),Subject!$B:$B,0),3)</f>
        <v>#N/A</v>
      </c>
      <c r="AF27" s="8" t="str">
        <f t="array" ref="AF27">INDEX(Subject!$A:$I,MATCH(RANDBETWEEN(1,16),Subject!$B:$B,0),3)</f>
        <v>#N/A</v>
      </c>
      <c r="AG27" s="8" t="str">
        <f t="array" ref="AG27">INDEX(Subject!$A:$I,MATCH(RANDBETWEEN(1,16),Subject!$B:$B,0),3)</f>
        <v>#N/A</v>
      </c>
      <c r="AH27" s="8" t="str">
        <f t="array" ref="AH27">INDEX(Subject!$A:$I,MATCH(RANDBETWEEN(1,16),Subject!$B:$B,0),3)</f>
        <v>#N/A</v>
      </c>
      <c r="AI27" s="8" t="str">
        <f t="array" ref="AI27">INDEX(Subject!$A:$I,MATCH(RANDBETWEEN(1,16),Subject!$B:$B,0),3)</f>
        <v>#N/A</v>
      </c>
      <c r="AJ27" s="8" t="str">
        <f t="array" ref="AJ27">INDEX(Subject!$A:$I,MATCH(RANDBETWEEN(1,16),Subject!$B:$B,0),3)</f>
        <v>#N/A</v>
      </c>
      <c r="AK27" s="8" t="str">
        <f t="array" ref="AK27">INDEX(Subject!$A:$I,MATCH(RANDBETWEEN(1,16),Subject!$B:$B,0),3)</f>
        <v>#N/A</v>
      </c>
      <c r="AL27" s="8" t="str">
        <f t="array" ref="AL27">INDEX(Subject!$A:$I,MATCH(RANDBETWEEN(1,16),Subject!$B:$B,0),3)</f>
        <v>#N/A</v>
      </c>
      <c r="AM27" s="18">
        <f t="shared" si="4"/>
        <v>45527.33333</v>
      </c>
      <c r="AN27" s="19">
        <f t="shared" ref="AN27:BZ27" si="27">$A27+C$1</f>
        <v>45527.35417</v>
      </c>
      <c r="AO27" s="19">
        <f t="shared" si="27"/>
        <v>45527.375</v>
      </c>
      <c r="AP27" s="19">
        <f t="shared" si="27"/>
        <v>45527.39583</v>
      </c>
      <c r="AQ27" s="19">
        <f t="shared" si="27"/>
        <v>45527.41667</v>
      </c>
      <c r="AR27" s="19">
        <f t="shared" si="27"/>
        <v>45527.4375</v>
      </c>
      <c r="AS27" s="19">
        <f t="shared" si="27"/>
        <v>45527.45833</v>
      </c>
      <c r="AT27" s="19">
        <f t="shared" si="27"/>
        <v>45527.47917</v>
      </c>
      <c r="AU27" s="19">
        <f t="shared" si="27"/>
        <v>45527.5</v>
      </c>
      <c r="AV27" s="19">
        <f t="shared" si="27"/>
        <v>45527.52083</v>
      </c>
      <c r="AW27" s="19">
        <f t="shared" si="27"/>
        <v>45527.54167</v>
      </c>
      <c r="AX27" s="19">
        <f t="shared" si="27"/>
        <v>45527.5625</v>
      </c>
      <c r="AY27" s="19">
        <f t="shared" si="27"/>
        <v>45527.58333</v>
      </c>
      <c r="AZ27" s="19">
        <f t="shared" si="27"/>
        <v>45527.60417</v>
      </c>
      <c r="BA27" s="19">
        <f t="shared" si="27"/>
        <v>45527.625</v>
      </c>
      <c r="BB27" s="19">
        <f t="shared" si="27"/>
        <v>45527.64583</v>
      </c>
      <c r="BC27" s="19">
        <f t="shared" si="27"/>
        <v>45527.66667</v>
      </c>
      <c r="BD27" s="19">
        <f t="shared" si="27"/>
        <v>45527.6875</v>
      </c>
      <c r="BE27" s="19">
        <f t="shared" si="27"/>
        <v>45527.70833</v>
      </c>
      <c r="BF27" s="19">
        <f t="shared" si="27"/>
        <v>45527.72917</v>
      </c>
      <c r="BG27" s="19">
        <f t="shared" si="27"/>
        <v>45527.75</v>
      </c>
      <c r="BH27" s="19">
        <f t="shared" si="27"/>
        <v>45527.77083</v>
      </c>
      <c r="BI27" s="19">
        <f t="shared" si="27"/>
        <v>45527.79167</v>
      </c>
      <c r="BJ27" s="19">
        <f t="shared" si="27"/>
        <v>45527.8125</v>
      </c>
      <c r="BK27" s="19">
        <f t="shared" si="27"/>
        <v>45527.83333</v>
      </c>
      <c r="BL27" s="19">
        <f t="shared" si="27"/>
        <v>45527.85417</v>
      </c>
      <c r="BM27" s="19">
        <f t="shared" si="27"/>
        <v>45527.875</v>
      </c>
      <c r="BN27" s="19">
        <f t="shared" si="27"/>
        <v>45527.89583</v>
      </c>
      <c r="BO27" s="19">
        <f t="shared" si="27"/>
        <v>45527.91667</v>
      </c>
      <c r="BP27" s="19">
        <f t="shared" si="27"/>
        <v>45527.9375</v>
      </c>
      <c r="BQ27" s="19">
        <f t="shared" si="27"/>
        <v>45527.95833</v>
      </c>
      <c r="BR27" s="19">
        <f t="shared" si="27"/>
        <v>45527.97917</v>
      </c>
      <c r="BS27" s="19">
        <f t="shared" si="27"/>
        <v>45528</v>
      </c>
      <c r="BT27" s="19">
        <f t="shared" si="27"/>
        <v>45528.02083</v>
      </c>
      <c r="BU27" s="19">
        <f t="shared" si="27"/>
        <v>45528.04167</v>
      </c>
      <c r="BV27" s="19">
        <f t="shared" si="27"/>
        <v>45528.0625</v>
      </c>
      <c r="BW27" s="19">
        <f t="shared" si="27"/>
        <v>45528.08333</v>
      </c>
      <c r="BX27" s="19">
        <f t="shared" si="27"/>
        <v>45527</v>
      </c>
      <c r="BY27" s="19">
        <f t="shared" si="27"/>
        <v>45527</v>
      </c>
      <c r="BZ27" s="19">
        <f t="shared" si="27"/>
        <v>45527</v>
      </c>
    </row>
    <row r="28" ht="14.25" customHeight="1">
      <c r="A28" s="17">
        <v>45528.0</v>
      </c>
      <c r="B28" s="2" t="str">
        <f t="array" ref="B28">IF(NOW()&gt;AM28,"",IF(AND((WEEKDAY($A28)+$B$2)&gt;1,((WEEKDAY($A28)+$T$2)&lt;7),(WEEKDAY($A28)&lt;&gt;1)),"work",(INDEX(Subject!$A:$I,MATCH(RANDBETWEEN(1,(MAX(Subject!$B:$B))),Subject!$B:$B,0),3))))</f>
        <v/>
      </c>
      <c r="C28" s="2" t="str">
        <f t="array" ref="C28">IF(NOW()&gt;AN28,"",IF(AND((WEEKDAY($A28)+$B$2)&gt;1,((WEEKDAY($A28)+$T$2)&lt;7),(WEEKDAY($A28)&lt;&gt;1)),"work",(INDEX(Subject!$A:$I,MATCH(RANDBETWEEN(1,(MAX(Subject!$B:$B))),Subject!$B:$B,0),3))))</f>
        <v/>
      </c>
      <c r="D28" s="2" t="str">
        <f t="array" ref="D28">IF(NOW()&gt;AO28,"",IF(AND((WEEKDAY($A28)+$B$2)&gt;1,((WEEKDAY($A28)+$T$2)&lt;7),(WEEKDAY($A28)&lt;&gt;1)),"work",(INDEX(Subject!$A:$I,MATCH(RANDBETWEEN(1,(MAX(Subject!$B:$B))),Subject!$B:$B,0),3))))</f>
        <v/>
      </c>
      <c r="E28" s="2" t="str">
        <f t="array" ref="E28">IF(NOW()&gt;AP28,"",IF(AND((WEEKDAY($A28)+$B$2)&gt;1,((WEEKDAY($A28)+$T$2)&lt;7),(WEEKDAY($A28)&lt;&gt;1)),"work",(INDEX(Subject!$A:$I,MATCH(RANDBETWEEN(1,(MAX(Subject!$B:$B))),Subject!$B:$B,0),3))))</f>
        <v/>
      </c>
      <c r="F28" s="2" t="str">
        <f t="array" ref="F28">IF(NOW()&gt;AQ28,"",IF(AND((WEEKDAY($A28)+$B$2)&gt;1,((WEEKDAY($A28)+$T$2)&lt;7),(WEEKDAY($A28)&lt;&gt;1)),"work",(INDEX(Subject!$A:$I,MATCH(RANDBETWEEN(1,(MAX(Subject!$B:$B))),Subject!$B:$B,0),3))))</f>
        <v/>
      </c>
      <c r="G28" s="2" t="str">
        <f t="array" ref="G28">IF(NOW()&gt;AR28,"",IF(AND((WEEKDAY($A28)+$B$2)&gt;1,((WEEKDAY($A28)+$T$2)&lt;7),(WEEKDAY($A28)&lt;&gt;1)),"work",(INDEX(Subject!$A:$I,MATCH(RANDBETWEEN(1,(MAX(Subject!$B:$B))),Subject!$B:$B,0),3))))</f>
        <v/>
      </c>
      <c r="H28" s="2" t="str">
        <f t="array" ref="H28">IF(NOW()&gt;AS28,"",IF(AND((WEEKDAY($A28)+$B$2)&gt;1,((WEEKDAY($A28)+$T$2)&lt;7),(WEEKDAY($A28)&lt;&gt;1)),"work",(INDEX(Subject!$A:$I,MATCH(RANDBETWEEN(1,(MAX(Subject!$B:$B))),Subject!$B:$B,0),3))))</f>
        <v/>
      </c>
      <c r="I28" s="2" t="str">
        <f t="array" ref="I28">IF(NOW()&gt;AT28,"",IF(AND((WEEKDAY($A28)+$B$2)&gt;1,((WEEKDAY($A28)+$T$2)&lt;7),(WEEKDAY($A28)&lt;&gt;1)),"work",(INDEX(Subject!$A:$I,MATCH(RANDBETWEEN(1,(MAX(Subject!$B:$B))),Subject!$B:$B,0),3))))</f>
        <v/>
      </c>
      <c r="J28" s="2" t="str">
        <f t="array" ref="J28">IF(NOW()&gt;AU28,"",IF(AND((WEEKDAY($A28)+$B$2)&gt;1,((WEEKDAY($A28)+$T$2)&lt;7),(WEEKDAY($A28)&lt;&gt;1)),"work",(INDEX(Subject!$A:$I,MATCH(RANDBETWEEN(1,(MAX(Subject!$B:$B))),Subject!$B:$B,0),3))))</f>
        <v/>
      </c>
      <c r="K28" s="2" t="str">
        <f t="array" ref="K28">IF(NOW()&gt;AV28,"",IF(AND((WEEKDAY($A28)+$B$2)&gt;1,((WEEKDAY($A28)+$T$2)&lt;7),(WEEKDAY($A28)&lt;&gt;1)),"work",(INDEX(Subject!$A:$I,MATCH(RANDBETWEEN(1,(MAX(Subject!$B:$B))),Subject!$B:$B,0),3))))</f>
        <v/>
      </c>
      <c r="L28" s="2" t="str">
        <f t="array" ref="L28">IF(NOW()&gt;AW28,"",IF(AND((WEEKDAY($A28)+$B$2)&gt;1,((WEEKDAY($A28)+$T$2)&lt;7),(WEEKDAY($A28)&lt;&gt;1)),"work",(INDEX(Subject!$A:$I,MATCH(RANDBETWEEN(1,(MAX(Subject!$B:$B))),Subject!$B:$B,0),3))))</f>
        <v/>
      </c>
      <c r="M28" s="2" t="str">
        <f t="array" ref="M28">IF(NOW()&gt;AX28,"",IF(AND((WEEKDAY($A28)+$B$2)&gt;1,((WEEKDAY($A28)+$T$2)&lt;7),(WEEKDAY($A28)&lt;&gt;1)),"work",(INDEX(Subject!$A:$I,MATCH(RANDBETWEEN(1,(MAX(Subject!$B:$B))),Subject!$B:$B,0),3))))</f>
        <v/>
      </c>
      <c r="N28" s="2" t="str">
        <f t="array" ref="N28">IF(NOW()&gt;AY28,"",IF(AND((WEEKDAY($A28)+$B$2)&gt;1,((WEEKDAY($A28)+$T$2)&lt;7),(WEEKDAY($A28)&lt;&gt;1)),"work",(INDEX(Subject!$A:$I,MATCH(RANDBETWEEN(1,(MAX(Subject!$B:$B))),Subject!$B:$B,0),3))))</f>
        <v/>
      </c>
      <c r="O28" s="2" t="str">
        <f t="array" ref="O28">IF(NOW()&gt;AZ28,"",IF(AND((WEEKDAY($A28)+$B$2)&gt;1,((WEEKDAY($A28)+$T$2)&lt;7),(WEEKDAY($A28)&lt;&gt;1)),"work",(INDEX(Subject!$A:$I,MATCH(RANDBETWEEN(1,(MAX(Subject!$B:$B))),Subject!$B:$B,0),3))))</f>
        <v/>
      </c>
      <c r="P28" s="2" t="str">
        <f t="array" ref="P28">IF(NOW()&gt;BA28,"",IF(AND((WEEKDAY($A28)+$B$2)&gt;1,((WEEKDAY($A28)+$T$2)&lt;7),(WEEKDAY($A28)&lt;&gt;1)),"work",(INDEX(Subject!$A:$I,MATCH(RANDBETWEEN(1,(MAX(Subject!$B:$B))),Subject!$B:$B,0),3))))</f>
        <v/>
      </c>
      <c r="Q28" s="2" t="str">
        <f t="array" ref="Q28">IF(NOW()&gt;BB28,"",IF(AND((WEEKDAY($A28)+$B$2)&gt;1,((WEEKDAY($A28)+$T$2)&lt;7),(WEEKDAY($A28)&lt;&gt;1)),"work",(INDEX(Subject!$A:$I,MATCH(RANDBETWEEN(1,(MAX(Subject!$B:$B))),Subject!$B:$B,0),3))))</f>
        <v/>
      </c>
      <c r="R28" s="2" t="str">
        <f t="array" ref="R28">IF(NOW()&gt;BC28,"",IF(AND((WEEKDAY($A28)+$B$2)&gt;1,((WEEKDAY($A28)+$T$2)&lt;7),(WEEKDAY($A28)&lt;&gt;1)),"work",(INDEX(Subject!$A:$I,MATCH(RANDBETWEEN(1,(MAX(Subject!$B:$B))),Subject!$B:$B,0),3))))</f>
        <v/>
      </c>
      <c r="S28" s="2" t="str">
        <f t="array" ref="S28">IF(NOW()&gt;BD28,"",IF(AND((WEEKDAY($A28)+$B$2)&gt;1,((WEEKDAY($A28)+$T$2)&lt;7),(WEEKDAY($A28)&lt;&gt;1)),"work",(INDEX(Subject!$A:$I,MATCH(RANDBETWEEN(1,(MAX(Subject!$B:$B))),Subject!$B:$B,0),3))))</f>
        <v/>
      </c>
      <c r="T28" s="2" t="str">
        <f t="array" ref="T28">IF(NOW()&gt;BE28,"",IF(AND((WEEKDAY($A28)+$B$2)&gt;1,((WEEKDAY($A28)+$T$2)&lt;7),(WEEKDAY($A28)&lt;&gt;1)),"work",(INDEX(Subject!$A:$I,MATCH(RANDBETWEEN(1,(MAX(Subject!$B:$B))),Subject!$B:$B,0),3))))</f>
        <v/>
      </c>
      <c r="U28" s="8" t="str">
        <f t="array" ref="U28">INDEX(Subject!$A:$I,MATCH(RANDBETWEEN(1,16),Subject!$B:$B,0),3)</f>
        <v>#N/A</v>
      </c>
      <c r="V28" s="8" t="str">
        <f t="array" ref="V28">INDEX(Subject!$A:$I,MATCH(RANDBETWEEN(1,16),Subject!$B:$B,0),3)</f>
        <v>#N/A</v>
      </c>
      <c r="W28" s="8" t="str">
        <f t="array" ref="W28">INDEX(Subject!$A:$I,MATCH(RANDBETWEEN(1,16),Subject!$B:$B,0),3)</f>
        <v/>
      </c>
      <c r="X28" s="8" t="str">
        <f t="array" ref="X28">INDEX(Subject!$A:$I,MATCH(RANDBETWEEN(1,16),Subject!$B:$B,0),3)</f>
        <v>#N/A</v>
      </c>
      <c r="Y28" s="8" t="str">
        <f t="array" ref="Y28">INDEX(Subject!$A:$I,MATCH(RANDBETWEEN(1,16),Subject!$B:$B,0),3)</f>
        <v/>
      </c>
      <c r="Z28" s="8" t="str">
        <f t="array" ref="Z28">INDEX(Subject!$A:$I,MATCH(RANDBETWEEN(1,16),Subject!$B:$B,0),3)</f>
        <v>#N/A</v>
      </c>
      <c r="AA28" s="8" t="str">
        <f t="array" ref="AA28">INDEX(Subject!$A:$I,MATCH(RANDBETWEEN(1,16),Subject!$B:$B,0),3)</f>
        <v>#N/A</v>
      </c>
      <c r="AB28" s="8" t="str">
        <f t="array" ref="AB28">INDEX(Subject!$A:$I,MATCH(RANDBETWEEN(1,16),Subject!$B:$B,0),3)</f>
        <v>#N/A</v>
      </c>
      <c r="AC28" s="8" t="str">
        <f t="array" ref="AC28">INDEX(Subject!$A:$I,MATCH(RANDBETWEEN(1,16),Subject!$B:$B,0),3)</f>
        <v>#N/A</v>
      </c>
      <c r="AD28" s="8" t="str">
        <f t="array" ref="AD28">INDEX(Subject!$A:$I,MATCH(RANDBETWEEN(1,16),Subject!$B:$B,0),3)</f>
        <v>#N/A</v>
      </c>
      <c r="AE28" s="8" t="str">
        <f t="array" ref="AE28">INDEX(Subject!$A:$I,MATCH(RANDBETWEEN(1,16),Subject!$B:$B,0),3)</f>
        <v>#N/A</v>
      </c>
      <c r="AF28" s="8" t="str">
        <f t="array" ref="AF28">INDEX(Subject!$A:$I,MATCH(RANDBETWEEN(1,16),Subject!$B:$B,0),3)</f>
        <v>#N/A</v>
      </c>
      <c r="AG28" s="8" t="str">
        <f t="array" ref="AG28">INDEX(Subject!$A:$I,MATCH(RANDBETWEEN(1,16),Subject!$B:$B,0),3)</f>
        <v>#N/A</v>
      </c>
      <c r="AH28" s="8" t="str">
        <f t="array" ref="AH28">INDEX(Subject!$A:$I,MATCH(RANDBETWEEN(1,16),Subject!$B:$B,0),3)</f>
        <v>#N/A</v>
      </c>
      <c r="AI28" s="8" t="str">
        <f t="array" ref="AI28">INDEX(Subject!$A:$I,MATCH(RANDBETWEEN(1,16),Subject!$B:$B,0),3)</f>
        <v>#N/A</v>
      </c>
      <c r="AJ28" s="8" t="str">
        <f t="array" ref="AJ28">INDEX(Subject!$A:$I,MATCH(RANDBETWEEN(1,16),Subject!$B:$B,0),3)</f>
        <v>#N/A</v>
      </c>
      <c r="AK28" s="8" t="str">
        <f t="array" ref="AK28">INDEX(Subject!$A:$I,MATCH(RANDBETWEEN(1,16),Subject!$B:$B,0),3)</f>
        <v>#N/A</v>
      </c>
      <c r="AL28" s="8" t="str">
        <f t="array" ref="AL28">INDEX(Subject!$A:$I,MATCH(RANDBETWEEN(1,16),Subject!$B:$B,0),3)</f>
        <v>#N/A</v>
      </c>
      <c r="AM28" s="18">
        <f t="shared" si="4"/>
        <v>45528.33333</v>
      </c>
      <c r="AN28" s="19">
        <f t="shared" ref="AN28:BZ28" si="28">$A28+C$1</f>
        <v>45528.35417</v>
      </c>
      <c r="AO28" s="19">
        <f t="shared" si="28"/>
        <v>45528.375</v>
      </c>
      <c r="AP28" s="19">
        <f t="shared" si="28"/>
        <v>45528.39583</v>
      </c>
      <c r="AQ28" s="19">
        <f t="shared" si="28"/>
        <v>45528.41667</v>
      </c>
      <c r="AR28" s="19">
        <f t="shared" si="28"/>
        <v>45528.4375</v>
      </c>
      <c r="AS28" s="19">
        <f t="shared" si="28"/>
        <v>45528.45833</v>
      </c>
      <c r="AT28" s="19">
        <f t="shared" si="28"/>
        <v>45528.47917</v>
      </c>
      <c r="AU28" s="19">
        <f t="shared" si="28"/>
        <v>45528.5</v>
      </c>
      <c r="AV28" s="19">
        <f t="shared" si="28"/>
        <v>45528.52083</v>
      </c>
      <c r="AW28" s="19">
        <f t="shared" si="28"/>
        <v>45528.54167</v>
      </c>
      <c r="AX28" s="19">
        <f t="shared" si="28"/>
        <v>45528.5625</v>
      </c>
      <c r="AY28" s="19">
        <f t="shared" si="28"/>
        <v>45528.58333</v>
      </c>
      <c r="AZ28" s="19">
        <f t="shared" si="28"/>
        <v>45528.60417</v>
      </c>
      <c r="BA28" s="19">
        <f t="shared" si="28"/>
        <v>45528.625</v>
      </c>
      <c r="BB28" s="19">
        <f t="shared" si="28"/>
        <v>45528.64583</v>
      </c>
      <c r="BC28" s="19">
        <f t="shared" si="28"/>
        <v>45528.66667</v>
      </c>
      <c r="BD28" s="19">
        <f t="shared" si="28"/>
        <v>45528.6875</v>
      </c>
      <c r="BE28" s="19">
        <f t="shared" si="28"/>
        <v>45528.70833</v>
      </c>
      <c r="BF28" s="19">
        <f t="shared" si="28"/>
        <v>45528.72917</v>
      </c>
      <c r="BG28" s="19">
        <f t="shared" si="28"/>
        <v>45528.75</v>
      </c>
      <c r="BH28" s="19">
        <f t="shared" si="28"/>
        <v>45528.77083</v>
      </c>
      <c r="BI28" s="19">
        <f t="shared" si="28"/>
        <v>45528.79167</v>
      </c>
      <c r="BJ28" s="19">
        <f t="shared" si="28"/>
        <v>45528.8125</v>
      </c>
      <c r="BK28" s="19">
        <f t="shared" si="28"/>
        <v>45528.83333</v>
      </c>
      <c r="BL28" s="19">
        <f t="shared" si="28"/>
        <v>45528.85417</v>
      </c>
      <c r="BM28" s="19">
        <f t="shared" si="28"/>
        <v>45528.875</v>
      </c>
      <c r="BN28" s="19">
        <f t="shared" si="28"/>
        <v>45528.89583</v>
      </c>
      <c r="BO28" s="19">
        <f t="shared" si="28"/>
        <v>45528.91667</v>
      </c>
      <c r="BP28" s="19">
        <f t="shared" si="28"/>
        <v>45528.9375</v>
      </c>
      <c r="BQ28" s="19">
        <f t="shared" si="28"/>
        <v>45528.95833</v>
      </c>
      <c r="BR28" s="19">
        <f t="shared" si="28"/>
        <v>45528.97917</v>
      </c>
      <c r="BS28" s="19">
        <f t="shared" si="28"/>
        <v>45529</v>
      </c>
      <c r="BT28" s="19">
        <f t="shared" si="28"/>
        <v>45529.02083</v>
      </c>
      <c r="BU28" s="19">
        <f t="shared" si="28"/>
        <v>45529.04167</v>
      </c>
      <c r="BV28" s="19">
        <f t="shared" si="28"/>
        <v>45529.0625</v>
      </c>
      <c r="BW28" s="19">
        <f t="shared" si="28"/>
        <v>45529.08333</v>
      </c>
      <c r="BX28" s="19">
        <f t="shared" si="28"/>
        <v>45528</v>
      </c>
      <c r="BY28" s="19">
        <f t="shared" si="28"/>
        <v>45528</v>
      </c>
      <c r="BZ28" s="19">
        <f t="shared" si="28"/>
        <v>45528</v>
      </c>
    </row>
    <row r="29" ht="14.25" customHeight="1">
      <c r="A29" s="17">
        <v>45529.0</v>
      </c>
      <c r="B29" s="2" t="str">
        <f t="array" ref="B29">IF(NOW()&gt;AM29,"",IF(AND((WEEKDAY($A29)+$B$2)&gt;1,((WEEKDAY($A29)+$T$2)&lt;7),(WEEKDAY($A29)&lt;&gt;1)),"work",(INDEX(Subject!$A:$I,MATCH(RANDBETWEEN(1,(MAX(Subject!$B:$B))),Subject!$B:$B,0),3))))</f>
        <v/>
      </c>
      <c r="C29" s="2" t="str">
        <f t="array" ref="C29">IF(NOW()&gt;AN29,"",IF(AND((WEEKDAY($A29)+$B$2)&gt;1,((WEEKDAY($A29)+$T$2)&lt;7),(WEEKDAY($A29)&lt;&gt;1)),"work",(INDEX(Subject!$A:$I,MATCH(RANDBETWEEN(1,(MAX(Subject!$B:$B))),Subject!$B:$B,0),3))))</f>
        <v/>
      </c>
      <c r="D29" s="2" t="str">
        <f t="array" ref="D29">IF(NOW()&gt;AO29,"",IF(AND((WEEKDAY($A29)+$B$2)&gt;1,((WEEKDAY($A29)+$T$2)&lt;7),(WEEKDAY($A29)&lt;&gt;1)),"work",(INDEX(Subject!$A:$I,MATCH(RANDBETWEEN(1,(MAX(Subject!$B:$B))),Subject!$B:$B,0),3))))</f>
        <v/>
      </c>
      <c r="E29" s="2" t="str">
        <f t="array" ref="E29">IF(NOW()&gt;AP29,"",IF(AND((WEEKDAY($A29)+$B$2)&gt;1,((WEEKDAY($A29)+$T$2)&lt;7),(WEEKDAY($A29)&lt;&gt;1)),"work",(INDEX(Subject!$A:$I,MATCH(RANDBETWEEN(1,(MAX(Subject!$B:$B))),Subject!$B:$B,0),3))))</f>
        <v/>
      </c>
      <c r="F29" s="2" t="str">
        <f t="array" ref="F29">IF(NOW()&gt;AQ29,"",IF(AND((WEEKDAY($A29)+$B$2)&gt;1,((WEEKDAY($A29)+$T$2)&lt;7),(WEEKDAY($A29)&lt;&gt;1)),"work",(INDEX(Subject!$A:$I,MATCH(RANDBETWEEN(1,(MAX(Subject!$B:$B))),Subject!$B:$B,0),3))))</f>
        <v/>
      </c>
      <c r="G29" s="2" t="str">
        <f t="array" ref="G29">IF(NOW()&gt;AR29,"",IF(AND((WEEKDAY($A29)+$B$2)&gt;1,((WEEKDAY($A29)+$T$2)&lt;7),(WEEKDAY($A29)&lt;&gt;1)),"work",(INDEX(Subject!$A:$I,MATCH(RANDBETWEEN(1,(MAX(Subject!$B:$B))),Subject!$B:$B,0),3))))</f>
        <v/>
      </c>
      <c r="H29" s="2" t="str">
        <f t="array" ref="H29">IF(NOW()&gt;AS29,"",IF(AND((WEEKDAY($A29)+$B$2)&gt;1,((WEEKDAY($A29)+$T$2)&lt;7),(WEEKDAY($A29)&lt;&gt;1)),"work",(INDEX(Subject!$A:$I,MATCH(RANDBETWEEN(1,(MAX(Subject!$B:$B))),Subject!$B:$B,0),3))))</f>
        <v/>
      </c>
      <c r="I29" s="2" t="str">
        <f t="array" ref="I29">IF(NOW()&gt;AT29,"",IF(AND((WEEKDAY($A29)+$B$2)&gt;1,((WEEKDAY($A29)+$T$2)&lt;7),(WEEKDAY($A29)&lt;&gt;1)),"work",(INDEX(Subject!$A:$I,MATCH(RANDBETWEEN(1,(MAX(Subject!$B:$B))),Subject!$B:$B,0),3))))</f>
        <v/>
      </c>
      <c r="J29" s="2" t="str">
        <f t="array" ref="J29">IF(NOW()&gt;AU29,"",IF(AND((WEEKDAY($A29)+$B$2)&gt;1,((WEEKDAY($A29)+$T$2)&lt;7),(WEEKDAY($A29)&lt;&gt;1)),"work",(INDEX(Subject!$A:$I,MATCH(RANDBETWEEN(1,(MAX(Subject!$B:$B))),Subject!$B:$B,0),3))))</f>
        <v/>
      </c>
      <c r="K29" s="2" t="str">
        <f t="array" ref="K29">IF(NOW()&gt;AV29,"",IF(AND((WEEKDAY($A29)+$B$2)&gt;1,((WEEKDAY($A29)+$T$2)&lt;7),(WEEKDAY($A29)&lt;&gt;1)),"work",(INDEX(Subject!$A:$I,MATCH(RANDBETWEEN(1,(MAX(Subject!$B:$B))),Subject!$B:$B,0),3))))</f>
        <v/>
      </c>
      <c r="L29" s="2" t="str">
        <f t="array" ref="L29">IF(NOW()&gt;AW29,"",IF(AND((WEEKDAY($A29)+$B$2)&gt;1,((WEEKDAY($A29)+$T$2)&lt;7),(WEEKDAY($A29)&lt;&gt;1)),"work",(INDEX(Subject!$A:$I,MATCH(RANDBETWEEN(1,(MAX(Subject!$B:$B))),Subject!$B:$B,0),3))))</f>
        <v/>
      </c>
      <c r="M29" s="2" t="str">
        <f t="array" ref="M29">IF(NOW()&gt;AX29,"",IF(AND((WEEKDAY($A29)+$B$2)&gt;1,((WEEKDAY($A29)+$T$2)&lt;7),(WEEKDAY($A29)&lt;&gt;1)),"work",(INDEX(Subject!$A:$I,MATCH(RANDBETWEEN(1,(MAX(Subject!$B:$B))),Subject!$B:$B,0),3))))</f>
        <v/>
      </c>
      <c r="N29" s="2" t="str">
        <f t="array" ref="N29">IF(NOW()&gt;AY29,"",IF(AND((WEEKDAY($A29)+$B$2)&gt;1,((WEEKDAY($A29)+$T$2)&lt;7),(WEEKDAY($A29)&lt;&gt;1)),"work",(INDEX(Subject!$A:$I,MATCH(RANDBETWEEN(1,(MAX(Subject!$B:$B))),Subject!$B:$B,0),3))))</f>
        <v/>
      </c>
      <c r="O29" s="2" t="str">
        <f t="array" ref="O29">IF(NOW()&gt;AZ29,"",IF(AND((WEEKDAY($A29)+$B$2)&gt;1,((WEEKDAY($A29)+$T$2)&lt;7),(WEEKDAY($A29)&lt;&gt;1)),"work",(INDEX(Subject!$A:$I,MATCH(RANDBETWEEN(1,(MAX(Subject!$B:$B))),Subject!$B:$B,0),3))))</f>
        <v/>
      </c>
      <c r="P29" s="2" t="str">
        <f t="array" ref="P29">IF(NOW()&gt;BA29,"",IF(AND((WEEKDAY($A29)+$B$2)&gt;1,((WEEKDAY($A29)+$T$2)&lt;7),(WEEKDAY($A29)&lt;&gt;1)),"work",(INDEX(Subject!$A:$I,MATCH(RANDBETWEEN(1,(MAX(Subject!$B:$B))),Subject!$B:$B,0),3))))</f>
        <v/>
      </c>
      <c r="Q29" s="2" t="str">
        <f t="array" ref="Q29">IF(NOW()&gt;BB29,"",IF(AND((WEEKDAY($A29)+$B$2)&gt;1,((WEEKDAY($A29)+$T$2)&lt;7),(WEEKDAY($A29)&lt;&gt;1)),"work",(INDEX(Subject!$A:$I,MATCH(RANDBETWEEN(1,(MAX(Subject!$B:$B))),Subject!$B:$B,0),3))))</f>
        <v/>
      </c>
      <c r="R29" s="2" t="str">
        <f t="array" ref="R29">IF(NOW()&gt;BC29,"",IF(AND((WEEKDAY($A29)+$B$2)&gt;1,((WEEKDAY($A29)+$T$2)&lt;7),(WEEKDAY($A29)&lt;&gt;1)),"work",(INDEX(Subject!$A:$I,MATCH(RANDBETWEEN(1,(MAX(Subject!$B:$B))),Subject!$B:$B,0),3))))</f>
        <v/>
      </c>
      <c r="S29" s="2" t="str">
        <f t="array" ref="S29">IF(NOW()&gt;BD29,"",IF(AND((WEEKDAY($A29)+$B$2)&gt;1,((WEEKDAY($A29)+$T$2)&lt;7),(WEEKDAY($A29)&lt;&gt;1)),"work",(INDEX(Subject!$A:$I,MATCH(RANDBETWEEN(1,(MAX(Subject!$B:$B))),Subject!$B:$B,0),3))))</f>
        <v/>
      </c>
      <c r="T29" s="2" t="str">
        <f t="array" ref="T29">IF(NOW()&gt;BE29,"",IF(AND((WEEKDAY($A29)+$B$2)&gt;1,((WEEKDAY($A29)+$T$2)&lt;7),(WEEKDAY($A29)&lt;&gt;1)),"work",(INDEX(Subject!$A:$I,MATCH(RANDBETWEEN(1,(MAX(Subject!$B:$B))),Subject!$B:$B,0),3))))</f>
        <v/>
      </c>
      <c r="U29" s="8" t="str">
        <f t="array" ref="U29">INDEX(Subject!$A:$I,MATCH(RANDBETWEEN(1,16),Subject!$B:$B,0),3)</f>
        <v>#N/A</v>
      </c>
      <c r="V29" s="8" t="str">
        <f t="array" ref="V29">INDEX(Subject!$A:$I,MATCH(RANDBETWEEN(1,16),Subject!$B:$B,0),3)</f>
        <v>#N/A</v>
      </c>
      <c r="W29" s="8" t="str">
        <f t="array" ref="W29">INDEX(Subject!$A:$I,MATCH(RANDBETWEEN(1,16),Subject!$B:$B,0),3)</f>
        <v>#N/A</v>
      </c>
      <c r="X29" s="8" t="str">
        <f t="array" ref="X29">INDEX(Subject!$A:$I,MATCH(RANDBETWEEN(1,16),Subject!$B:$B,0),3)</f>
        <v>#N/A</v>
      </c>
      <c r="Y29" s="8" t="str">
        <f t="array" ref="Y29">INDEX(Subject!$A:$I,MATCH(RANDBETWEEN(1,16),Subject!$B:$B,0),3)</f>
        <v/>
      </c>
      <c r="Z29" s="8" t="str">
        <f t="array" ref="Z29">INDEX(Subject!$A:$I,MATCH(RANDBETWEEN(1,16),Subject!$B:$B,0),3)</f>
        <v>#N/A</v>
      </c>
      <c r="AA29" s="8" t="str">
        <f t="array" ref="AA29">INDEX(Subject!$A:$I,MATCH(RANDBETWEEN(1,16),Subject!$B:$B,0),3)</f>
        <v>#N/A</v>
      </c>
      <c r="AB29" s="8" t="str">
        <f t="array" ref="AB29">INDEX(Subject!$A:$I,MATCH(RANDBETWEEN(1,16),Subject!$B:$B,0),3)</f>
        <v>#N/A</v>
      </c>
      <c r="AC29" s="8" t="str">
        <f t="array" ref="AC29">INDEX(Subject!$A:$I,MATCH(RANDBETWEEN(1,16),Subject!$B:$B,0),3)</f>
        <v/>
      </c>
      <c r="AD29" s="8" t="str">
        <f t="array" ref="AD29">INDEX(Subject!$A:$I,MATCH(RANDBETWEEN(1,16),Subject!$B:$B,0),3)</f>
        <v>#N/A</v>
      </c>
      <c r="AE29" s="8" t="str">
        <f t="array" ref="AE29">INDEX(Subject!$A:$I,MATCH(RANDBETWEEN(1,16),Subject!$B:$B,0),3)</f>
        <v>#N/A</v>
      </c>
      <c r="AF29" s="8" t="str">
        <f t="array" ref="AF29">INDEX(Subject!$A:$I,MATCH(RANDBETWEEN(1,16),Subject!$B:$B,0),3)</f>
        <v>#N/A</v>
      </c>
      <c r="AG29" s="8" t="str">
        <f t="array" ref="AG29">INDEX(Subject!$A:$I,MATCH(RANDBETWEEN(1,16),Subject!$B:$B,0),3)</f>
        <v>#N/A</v>
      </c>
      <c r="AH29" s="8" t="str">
        <f t="array" ref="AH29">INDEX(Subject!$A:$I,MATCH(RANDBETWEEN(1,16),Subject!$B:$B,0),3)</f>
        <v>#N/A</v>
      </c>
      <c r="AI29" s="8" t="str">
        <f t="array" ref="AI29">INDEX(Subject!$A:$I,MATCH(RANDBETWEEN(1,16),Subject!$B:$B,0),3)</f>
        <v>#N/A</v>
      </c>
      <c r="AJ29" s="8" t="str">
        <f t="array" ref="AJ29">INDEX(Subject!$A:$I,MATCH(RANDBETWEEN(1,16),Subject!$B:$B,0),3)</f>
        <v>#N/A</v>
      </c>
      <c r="AK29" s="8" t="str">
        <f t="array" ref="AK29">INDEX(Subject!$A:$I,MATCH(RANDBETWEEN(1,16),Subject!$B:$B,0),3)</f>
        <v>#N/A</v>
      </c>
      <c r="AL29" s="8" t="str">
        <f t="array" ref="AL29">INDEX(Subject!$A:$I,MATCH(RANDBETWEEN(1,16),Subject!$B:$B,0),3)</f>
        <v>#N/A</v>
      </c>
      <c r="AM29" s="18">
        <f t="shared" si="4"/>
        <v>45529.33333</v>
      </c>
      <c r="AN29" s="19">
        <f t="shared" ref="AN29:BZ29" si="29">$A29+C$1</f>
        <v>45529.35417</v>
      </c>
      <c r="AO29" s="19">
        <f t="shared" si="29"/>
        <v>45529.375</v>
      </c>
      <c r="AP29" s="19">
        <f t="shared" si="29"/>
        <v>45529.39583</v>
      </c>
      <c r="AQ29" s="19">
        <f t="shared" si="29"/>
        <v>45529.41667</v>
      </c>
      <c r="AR29" s="19">
        <f t="shared" si="29"/>
        <v>45529.4375</v>
      </c>
      <c r="AS29" s="19">
        <f t="shared" si="29"/>
        <v>45529.45833</v>
      </c>
      <c r="AT29" s="19">
        <f t="shared" si="29"/>
        <v>45529.47917</v>
      </c>
      <c r="AU29" s="19">
        <f t="shared" si="29"/>
        <v>45529.5</v>
      </c>
      <c r="AV29" s="19">
        <f t="shared" si="29"/>
        <v>45529.52083</v>
      </c>
      <c r="AW29" s="19">
        <f t="shared" si="29"/>
        <v>45529.54167</v>
      </c>
      <c r="AX29" s="19">
        <f t="shared" si="29"/>
        <v>45529.5625</v>
      </c>
      <c r="AY29" s="19">
        <f t="shared" si="29"/>
        <v>45529.58333</v>
      </c>
      <c r="AZ29" s="19">
        <f t="shared" si="29"/>
        <v>45529.60417</v>
      </c>
      <c r="BA29" s="19">
        <f t="shared" si="29"/>
        <v>45529.625</v>
      </c>
      <c r="BB29" s="19">
        <f t="shared" si="29"/>
        <v>45529.64583</v>
      </c>
      <c r="BC29" s="19">
        <f t="shared" si="29"/>
        <v>45529.66667</v>
      </c>
      <c r="BD29" s="19">
        <f t="shared" si="29"/>
        <v>45529.6875</v>
      </c>
      <c r="BE29" s="19">
        <f t="shared" si="29"/>
        <v>45529.70833</v>
      </c>
      <c r="BF29" s="19">
        <f t="shared" si="29"/>
        <v>45529.72917</v>
      </c>
      <c r="BG29" s="19">
        <f t="shared" si="29"/>
        <v>45529.75</v>
      </c>
      <c r="BH29" s="19">
        <f t="shared" si="29"/>
        <v>45529.77083</v>
      </c>
      <c r="BI29" s="19">
        <f t="shared" si="29"/>
        <v>45529.79167</v>
      </c>
      <c r="BJ29" s="19">
        <f t="shared" si="29"/>
        <v>45529.8125</v>
      </c>
      <c r="BK29" s="19">
        <f t="shared" si="29"/>
        <v>45529.83333</v>
      </c>
      <c r="BL29" s="19">
        <f t="shared" si="29"/>
        <v>45529.85417</v>
      </c>
      <c r="BM29" s="19">
        <f t="shared" si="29"/>
        <v>45529.875</v>
      </c>
      <c r="BN29" s="19">
        <f t="shared" si="29"/>
        <v>45529.89583</v>
      </c>
      <c r="BO29" s="19">
        <f t="shared" si="29"/>
        <v>45529.91667</v>
      </c>
      <c r="BP29" s="19">
        <f t="shared" si="29"/>
        <v>45529.9375</v>
      </c>
      <c r="BQ29" s="19">
        <f t="shared" si="29"/>
        <v>45529.95833</v>
      </c>
      <c r="BR29" s="19">
        <f t="shared" si="29"/>
        <v>45529.97917</v>
      </c>
      <c r="BS29" s="19">
        <f t="shared" si="29"/>
        <v>45530</v>
      </c>
      <c r="BT29" s="19">
        <f t="shared" si="29"/>
        <v>45530.02083</v>
      </c>
      <c r="BU29" s="19">
        <f t="shared" si="29"/>
        <v>45530.04167</v>
      </c>
      <c r="BV29" s="19">
        <f t="shared" si="29"/>
        <v>45530.0625</v>
      </c>
      <c r="BW29" s="19">
        <f t="shared" si="29"/>
        <v>45530.08333</v>
      </c>
      <c r="BX29" s="19">
        <f t="shared" si="29"/>
        <v>45529</v>
      </c>
      <c r="BY29" s="19">
        <f t="shared" si="29"/>
        <v>45529</v>
      </c>
      <c r="BZ29" s="19">
        <f t="shared" si="29"/>
        <v>45529</v>
      </c>
    </row>
    <row r="30" ht="14.25" customHeight="1">
      <c r="A30" s="17">
        <v>45530.0</v>
      </c>
      <c r="B30" s="2" t="str">
        <f t="array" ref="B30">IF(NOW()&gt;AM30,"",IF(AND((WEEKDAY($A30)+$B$2)&gt;1,((WEEKDAY($A30)+$T$2)&lt;7),(WEEKDAY($A30)&lt;&gt;1)),"work",(INDEX(Subject!$A:$I,MATCH(RANDBETWEEN(1,(MAX(Subject!$B:$B))),Subject!$B:$B,0),3))))</f>
        <v/>
      </c>
      <c r="C30" s="2" t="str">
        <f t="array" ref="C30">IF(NOW()&gt;AN30,"",IF(AND((WEEKDAY($A30)+$B$2)&gt;1,((WEEKDAY($A30)+$T$2)&lt;7),(WEEKDAY($A30)&lt;&gt;1)),"work",(INDEX(Subject!$A:$I,MATCH(RANDBETWEEN(1,(MAX(Subject!$B:$B))),Subject!$B:$B,0),3))))</f>
        <v/>
      </c>
      <c r="D30" s="2" t="str">
        <f t="array" ref="D30">IF(NOW()&gt;AO30,"",IF(AND((WEEKDAY($A30)+$B$2)&gt;1,((WEEKDAY($A30)+$T$2)&lt;7),(WEEKDAY($A30)&lt;&gt;1)),"work",(INDEX(Subject!$A:$I,MATCH(RANDBETWEEN(1,(MAX(Subject!$B:$B))),Subject!$B:$B,0),3))))</f>
        <v/>
      </c>
      <c r="E30" s="2" t="str">
        <f t="array" ref="E30">IF(NOW()&gt;AP30,"",IF(AND((WEEKDAY($A30)+$B$2)&gt;1,((WEEKDAY($A30)+$T$2)&lt;7),(WEEKDAY($A30)&lt;&gt;1)),"work",(INDEX(Subject!$A:$I,MATCH(RANDBETWEEN(1,(MAX(Subject!$B:$B))),Subject!$B:$B,0),3))))</f>
        <v/>
      </c>
      <c r="F30" s="2" t="str">
        <f t="array" ref="F30">IF(NOW()&gt;AQ30,"",IF(AND((WEEKDAY($A30)+$B$2)&gt;1,((WEEKDAY($A30)+$T$2)&lt;7),(WEEKDAY($A30)&lt;&gt;1)),"work",(INDEX(Subject!$A:$I,MATCH(RANDBETWEEN(1,(MAX(Subject!$B:$B))),Subject!$B:$B,0),3))))</f>
        <v/>
      </c>
      <c r="G30" s="2" t="str">
        <f t="array" ref="G30">IF(NOW()&gt;AR30,"",IF(AND((WEEKDAY($A30)+$B$2)&gt;1,((WEEKDAY($A30)+$T$2)&lt;7),(WEEKDAY($A30)&lt;&gt;1)),"work",(INDEX(Subject!$A:$I,MATCH(RANDBETWEEN(1,(MAX(Subject!$B:$B))),Subject!$B:$B,0),3))))</f>
        <v/>
      </c>
      <c r="H30" s="2" t="str">
        <f t="array" ref="H30">IF(NOW()&gt;AS30,"",IF(AND((WEEKDAY($A30)+$B$2)&gt;1,((WEEKDAY($A30)+$T$2)&lt;7),(WEEKDAY($A30)&lt;&gt;1)),"work",(INDEX(Subject!$A:$I,MATCH(RANDBETWEEN(1,(MAX(Subject!$B:$B))),Subject!$B:$B,0),3))))</f>
        <v/>
      </c>
      <c r="I30" s="2" t="str">
        <f t="array" ref="I30">IF(NOW()&gt;AT30,"",IF(AND((WEEKDAY($A30)+$B$2)&gt;1,((WEEKDAY($A30)+$T$2)&lt;7),(WEEKDAY($A30)&lt;&gt;1)),"work",(INDEX(Subject!$A:$I,MATCH(RANDBETWEEN(1,(MAX(Subject!$B:$B))),Subject!$B:$B,0),3))))</f>
        <v/>
      </c>
      <c r="J30" s="2" t="str">
        <f t="array" ref="J30">IF(NOW()&gt;AU30,"",IF(AND((WEEKDAY($A30)+$B$2)&gt;1,((WEEKDAY($A30)+$T$2)&lt;7),(WEEKDAY($A30)&lt;&gt;1)),"work",(INDEX(Subject!$A:$I,MATCH(RANDBETWEEN(1,(MAX(Subject!$B:$B))),Subject!$B:$B,0),3))))</f>
        <v/>
      </c>
      <c r="K30" s="2" t="str">
        <f t="array" ref="K30">IF(NOW()&gt;AV30,"",IF(AND((WEEKDAY($A30)+$B$2)&gt;1,((WEEKDAY($A30)+$T$2)&lt;7),(WEEKDAY($A30)&lt;&gt;1)),"work",(INDEX(Subject!$A:$I,MATCH(RANDBETWEEN(1,(MAX(Subject!$B:$B))),Subject!$B:$B,0),3))))</f>
        <v/>
      </c>
      <c r="L30" s="2" t="str">
        <f t="array" ref="L30">IF(NOW()&gt;AW30,"",IF(AND((WEEKDAY($A30)+$B$2)&gt;1,((WEEKDAY($A30)+$T$2)&lt;7),(WEEKDAY($A30)&lt;&gt;1)),"work",(INDEX(Subject!$A:$I,MATCH(RANDBETWEEN(1,(MAX(Subject!$B:$B))),Subject!$B:$B,0),3))))</f>
        <v/>
      </c>
      <c r="M30" s="2" t="str">
        <f t="array" ref="M30">IF(NOW()&gt;AX30,"",IF(AND((WEEKDAY($A30)+$B$2)&gt;1,((WEEKDAY($A30)+$T$2)&lt;7),(WEEKDAY($A30)&lt;&gt;1)),"work",(INDEX(Subject!$A:$I,MATCH(RANDBETWEEN(1,(MAX(Subject!$B:$B))),Subject!$B:$B,0),3))))</f>
        <v/>
      </c>
      <c r="N30" s="2" t="str">
        <f t="array" ref="N30">IF(NOW()&gt;AY30,"",IF(AND((WEEKDAY($A30)+$B$2)&gt;1,((WEEKDAY($A30)+$T$2)&lt;7),(WEEKDAY($A30)&lt;&gt;1)),"work",(INDEX(Subject!$A:$I,MATCH(RANDBETWEEN(1,(MAX(Subject!$B:$B))),Subject!$B:$B,0),3))))</f>
        <v/>
      </c>
      <c r="O30" s="2" t="str">
        <f t="array" ref="O30">IF(NOW()&gt;AZ30,"",IF(AND((WEEKDAY($A30)+$B$2)&gt;1,((WEEKDAY($A30)+$T$2)&lt;7),(WEEKDAY($A30)&lt;&gt;1)),"work",(INDEX(Subject!$A:$I,MATCH(RANDBETWEEN(1,(MAX(Subject!$B:$B))),Subject!$B:$B,0),3))))</f>
        <v/>
      </c>
      <c r="P30" s="2" t="str">
        <f t="array" ref="P30">IF(NOW()&gt;BA30,"",IF(AND((WEEKDAY($A30)+$B$2)&gt;1,((WEEKDAY($A30)+$T$2)&lt;7),(WEEKDAY($A30)&lt;&gt;1)),"work",(INDEX(Subject!$A:$I,MATCH(RANDBETWEEN(1,(MAX(Subject!$B:$B))),Subject!$B:$B,0),3))))</f>
        <v/>
      </c>
      <c r="Q30" s="2" t="str">
        <f t="array" ref="Q30">IF(NOW()&gt;BB30,"",IF(AND((WEEKDAY($A30)+$B$2)&gt;1,((WEEKDAY($A30)+$T$2)&lt;7),(WEEKDAY($A30)&lt;&gt;1)),"work",(INDEX(Subject!$A:$I,MATCH(RANDBETWEEN(1,(MAX(Subject!$B:$B))),Subject!$B:$B,0),3))))</f>
        <v/>
      </c>
      <c r="R30" s="2" t="str">
        <f t="array" ref="R30">IF(NOW()&gt;BC30,"",IF(AND((WEEKDAY($A30)+$B$2)&gt;1,((WEEKDAY($A30)+$T$2)&lt;7),(WEEKDAY($A30)&lt;&gt;1)),"work",(INDEX(Subject!$A:$I,MATCH(RANDBETWEEN(1,(MAX(Subject!$B:$B))),Subject!$B:$B,0),3))))</f>
        <v/>
      </c>
      <c r="S30" s="2" t="str">
        <f t="array" ref="S30">IF(NOW()&gt;BD30,"",IF(AND((WEEKDAY($A30)+$B$2)&gt;1,((WEEKDAY($A30)+$T$2)&lt;7),(WEEKDAY($A30)&lt;&gt;1)),"work",(INDEX(Subject!$A:$I,MATCH(RANDBETWEEN(1,(MAX(Subject!$B:$B))),Subject!$B:$B,0),3))))</f>
        <v/>
      </c>
      <c r="T30" s="2" t="str">
        <f t="array" ref="T30">IF(NOW()&gt;BE30,"",IF(AND((WEEKDAY($A30)+$B$2)&gt;1,((WEEKDAY($A30)+$T$2)&lt;7),(WEEKDAY($A30)&lt;&gt;1)),"work",(INDEX(Subject!$A:$I,MATCH(RANDBETWEEN(1,(MAX(Subject!$B:$B))),Subject!$B:$B,0),3))))</f>
        <v/>
      </c>
      <c r="U30" s="8" t="str">
        <f t="array" ref="U30">INDEX(Subject!$A:$I,MATCH(RANDBETWEEN(1,16),Subject!$B:$B,0),3)</f>
        <v/>
      </c>
      <c r="V30" s="8" t="str">
        <f t="array" ref="V30">INDEX(Subject!$A:$I,MATCH(RANDBETWEEN(1,16),Subject!$B:$B,0),3)</f>
        <v>#N/A</v>
      </c>
      <c r="W30" s="8" t="str">
        <f t="array" ref="W30">INDEX(Subject!$A:$I,MATCH(RANDBETWEEN(1,16),Subject!$B:$B,0),3)</f>
        <v>#N/A</v>
      </c>
      <c r="X30" s="8" t="str">
        <f t="array" ref="X30">INDEX(Subject!$A:$I,MATCH(RANDBETWEEN(1,16),Subject!$B:$B,0),3)</f>
        <v>#N/A</v>
      </c>
      <c r="Y30" s="8" t="str">
        <f t="array" ref="Y30">INDEX(Subject!$A:$I,MATCH(RANDBETWEEN(1,16),Subject!$B:$B,0),3)</f>
        <v/>
      </c>
      <c r="Z30" s="8" t="str">
        <f t="array" ref="Z30">INDEX(Subject!$A:$I,MATCH(RANDBETWEEN(1,16),Subject!$B:$B,0),3)</f>
        <v>#N/A</v>
      </c>
      <c r="AA30" s="8" t="str">
        <f t="array" ref="AA30">INDEX(Subject!$A:$I,MATCH(RANDBETWEEN(1,16),Subject!$B:$B,0),3)</f>
        <v>#N/A</v>
      </c>
      <c r="AB30" s="8" t="str">
        <f t="array" ref="AB30">INDEX(Subject!$A:$I,MATCH(RANDBETWEEN(1,16),Subject!$B:$B,0),3)</f>
        <v>#N/A</v>
      </c>
      <c r="AC30" s="8" t="str">
        <f t="array" ref="AC30">INDEX(Subject!$A:$I,MATCH(RANDBETWEEN(1,16),Subject!$B:$B,0),3)</f>
        <v>#N/A</v>
      </c>
      <c r="AD30" s="8" t="str">
        <f t="array" ref="AD30">INDEX(Subject!$A:$I,MATCH(RANDBETWEEN(1,16),Subject!$B:$B,0),3)</f>
        <v>#N/A</v>
      </c>
      <c r="AE30" s="8" t="str">
        <f t="array" ref="AE30">INDEX(Subject!$A:$I,MATCH(RANDBETWEEN(1,16),Subject!$B:$B,0),3)</f>
        <v>#N/A</v>
      </c>
      <c r="AF30" s="8" t="str">
        <f t="array" ref="AF30">INDEX(Subject!$A:$I,MATCH(RANDBETWEEN(1,16),Subject!$B:$B,0),3)</f>
        <v>#N/A</v>
      </c>
      <c r="AG30" s="8" t="str">
        <f t="array" ref="AG30">INDEX(Subject!$A:$I,MATCH(RANDBETWEEN(1,16),Subject!$B:$B,0),3)</f>
        <v>#N/A</v>
      </c>
      <c r="AH30" s="8" t="str">
        <f t="array" ref="AH30">INDEX(Subject!$A:$I,MATCH(RANDBETWEEN(1,16),Subject!$B:$B,0),3)</f>
        <v>#N/A</v>
      </c>
      <c r="AI30" s="8" t="str">
        <f t="array" ref="AI30">INDEX(Subject!$A:$I,MATCH(RANDBETWEEN(1,16),Subject!$B:$B,0),3)</f>
        <v>#N/A</v>
      </c>
      <c r="AJ30" s="8" t="str">
        <f t="array" ref="AJ30">INDEX(Subject!$A:$I,MATCH(RANDBETWEEN(1,16),Subject!$B:$B,0),3)</f>
        <v>#N/A</v>
      </c>
      <c r="AK30" s="8" t="str">
        <f t="array" ref="AK30">INDEX(Subject!$A:$I,MATCH(RANDBETWEEN(1,16),Subject!$B:$B,0),3)</f>
        <v>#N/A</v>
      </c>
      <c r="AL30" s="8" t="str">
        <f t="array" ref="AL30">INDEX(Subject!$A:$I,MATCH(RANDBETWEEN(1,16),Subject!$B:$B,0),3)</f>
        <v>#N/A</v>
      </c>
      <c r="AM30" s="18">
        <f t="shared" si="4"/>
        <v>45530.33333</v>
      </c>
      <c r="AN30" s="19">
        <f t="shared" ref="AN30:BZ30" si="30">$A30+C$1</f>
        <v>45530.35417</v>
      </c>
      <c r="AO30" s="19">
        <f t="shared" si="30"/>
        <v>45530.375</v>
      </c>
      <c r="AP30" s="19">
        <f t="shared" si="30"/>
        <v>45530.39583</v>
      </c>
      <c r="AQ30" s="19">
        <f t="shared" si="30"/>
        <v>45530.41667</v>
      </c>
      <c r="AR30" s="19">
        <f t="shared" si="30"/>
        <v>45530.4375</v>
      </c>
      <c r="AS30" s="19">
        <f t="shared" si="30"/>
        <v>45530.45833</v>
      </c>
      <c r="AT30" s="19">
        <f t="shared" si="30"/>
        <v>45530.47917</v>
      </c>
      <c r="AU30" s="19">
        <f t="shared" si="30"/>
        <v>45530.5</v>
      </c>
      <c r="AV30" s="19">
        <f t="shared" si="30"/>
        <v>45530.52083</v>
      </c>
      <c r="AW30" s="19">
        <f t="shared" si="30"/>
        <v>45530.54167</v>
      </c>
      <c r="AX30" s="19">
        <f t="shared" si="30"/>
        <v>45530.5625</v>
      </c>
      <c r="AY30" s="19">
        <f t="shared" si="30"/>
        <v>45530.58333</v>
      </c>
      <c r="AZ30" s="19">
        <f t="shared" si="30"/>
        <v>45530.60417</v>
      </c>
      <c r="BA30" s="19">
        <f t="shared" si="30"/>
        <v>45530.625</v>
      </c>
      <c r="BB30" s="19">
        <f t="shared" si="30"/>
        <v>45530.64583</v>
      </c>
      <c r="BC30" s="19">
        <f t="shared" si="30"/>
        <v>45530.66667</v>
      </c>
      <c r="BD30" s="19">
        <f t="shared" si="30"/>
        <v>45530.6875</v>
      </c>
      <c r="BE30" s="19">
        <f t="shared" si="30"/>
        <v>45530.70833</v>
      </c>
      <c r="BF30" s="19">
        <f t="shared" si="30"/>
        <v>45530.72917</v>
      </c>
      <c r="BG30" s="19">
        <f t="shared" si="30"/>
        <v>45530.75</v>
      </c>
      <c r="BH30" s="19">
        <f t="shared" si="30"/>
        <v>45530.77083</v>
      </c>
      <c r="BI30" s="19">
        <f t="shared" si="30"/>
        <v>45530.79167</v>
      </c>
      <c r="BJ30" s="19">
        <f t="shared" si="30"/>
        <v>45530.8125</v>
      </c>
      <c r="BK30" s="19">
        <f t="shared" si="30"/>
        <v>45530.83333</v>
      </c>
      <c r="BL30" s="19">
        <f t="shared" si="30"/>
        <v>45530.85417</v>
      </c>
      <c r="BM30" s="19">
        <f t="shared" si="30"/>
        <v>45530.875</v>
      </c>
      <c r="BN30" s="19">
        <f t="shared" si="30"/>
        <v>45530.89583</v>
      </c>
      <c r="BO30" s="19">
        <f t="shared" si="30"/>
        <v>45530.91667</v>
      </c>
      <c r="BP30" s="19">
        <f t="shared" si="30"/>
        <v>45530.9375</v>
      </c>
      <c r="BQ30" s="19">
        <f t="shared" si="30"/>
        <v>45530.95833</v>
      </c>
      <c r="BR30" s="19">
        <f t="shared" si="30"/>
        <v>45530.97917</v>
      </c>
      <c r="BS30" s="19">
        <f t="shared" si="30"/>
        <v>45531</v>
      </c>
      <c r="BT30" s="19">
        <f t="shared" si="30"/>
        <v>45531.02083</v>
      </c>
      <c r="BU30" s="19">
        <f t="shared" si="30"/>
        <v>45531.04167</v>
      </c>
      <c r="BV30" s="19">
        <f t="shared" si="30"/>
        <v>45531.0625</v>
      </c>
      <c r="BW30" s="19">
        <f t="shared" si="30"/>
        <v>45531.08333</v>
      </c>
      <c r="BX30" s="19">
        <f t="shared" si="30"/>
        <v>45530</v>
      </c>
      <c r="BY30" s="19">
        <f t="shared" si="30"/>
        <v>45530</v>
      </c>
      <c r="BZ30" s="19">
        <f t="shared" si="30"/>
        <v>45530</v>
      </c>
    </row>
    <row r="31" ht="14.25" customHeight="1">
      <c r="A31" s="17">
        <v>45531.0</v>
      </c>
      <c r="B31" s="2" t="str">
        <f t="array" ref="B31">IF(NOW()&gt;AM31,"",IF(AND((WEEKDAY($A31)+$B$2)&gt;1,((WEEKDAY($A31)+$T$2)&lt;7),(WEEKDAY($A31)&lt;&gt;1)),"work",(INDEX(Subject!$A:$I,MATCH(RANDBETWEEN(1,(MAX(Subject!$B:$B))),Subject!$B:$B,0),3))))</f>
        <v/>
      </c>
      <c r="C31" s="2" t="str">
        <f t="array" ref="C31">IF(NOW()&gt;AN31,"",IF(AND((WEEKDAY($A31)+$B$2)&gt;1,((WEEKDAY($A31)+$T$2)&lt;7),(WEEKDAY($A31)&lt;&gt;1)),"work",(INDEX(Subject!$A:$I,MATCH(RANDBETWEEN(1,(MAX(Subject!$B:$B))),Subject!$B:$B,0),3))))</f>
        <v/>
      </c>
      <c r="D31" s="2" t="str">
        <f t="array" ref="D31">IF(NOW()&gt;AO31,"",IF(AND((WEEKDAY($A31)+$B$2)&gt;1,((WEEKDAY($A31)+$T$2)&lt;7),(WEEKDAY($A31)&lt;&gt;1)),"work",(INDEX(Subject!$A:$I,MATCH(RANDBETWEEN(1,(MAX(Subject!$B:$B))),Subject!$B:$B,0),3))))</f>
        <v/>
      </c>
      <c r="E31" s="2" t="str">
        <f t="array" ref="E31">IF(NOW()&gt;AP31,"",IF(AND((WEEKDAY($A31)+$B$2)&gt;1,((WEEKDAY($A31)+$T$2)&lt;7),(WEEKDAY($A31)&lt;&gt;1)),"work",(INDEX(Subject!$A:$I,MATCH(RANDBETWEEN(1,(MAX(Subject!$B:$B))),Subject!$B:$B,0),3))))</f>
        <v/>
      </c>
      <c r="F31" s="2" t="str">
        <f t="array" ref="F31">IF(NOW()&gt;AQ31,"",IF(AND((WEEKDAY($A31)+$B$2)&gt;1,((WEEKDAY($A31)+$T$2)&lt;7),(WEEKDAY($A31)&lt;&gt;1)),"work",(INDEX(Subject!$A:$I,MATCH(RANDBETWEEN(1,(MAX(Subject!$B:$B))),Subject!$B:$B,0),3))))</f>
        <v/>
      </c>
      <c r="G31" s="2" t="str">
        <f t="array" ref="G31">IF(NOW()&gt;AR31,"",IF(AND((WEEKDAY($A31)+$B$2)&gt;1,((WEEKDAY($A31)+$T$2)&lt;7),(WEEKDAY($A31)&lt;&gt;1)),"work",(INDEX(Subject!$A:$I,MATCH(RANDBETWEEN(1,(MAX(Subject!$B:$B))),Subject!$B:$B,0),3))))</f>
        <v/>
      </c>
      <c r="H31" s="2" t="str">
        <f t="array" ref="H31">IF(NOW()&gt;AS31,"",IF(AND((WEEKDAY($A31)+$B$2)&gt;1,((WEEKDAY($A31)+$T$2)&lt;7),(WEEKDAY($A31)&lt;&gt;1)),"work",(INDEX(Subject!$A:$I,MATCH(RANDBETWEEN(1,(MAX(Subject!$B:$B))),Subject!$B:$B,0),3))))</f>
        <v/>
      </c>
      <c r="I31" s="2" t="str">
        <f t="array" ref="I31">IF(NOW()&gt;AT31,"",IF(AND((WEEKDAY($A31)+$B$2)&gt;1,((WEEKDAY($A31)+$T$2)&lt;7),(WEEKDAY($A31)&lt;&gt;1)),"work",(INDEX(Subject!$A:$I,MATCH(RANDBETWEEN(1,(MAX(Subject!$B:$B))),Subject!$B:$B,0),3))))</f>
        <v/>
      </c>
      <c r="J31" s="2" t="str">
        <f t="array" ref="J31">IF(NOW()&gt;AU31,"",IF(AND((WEEKDAY($A31)+$B$2)&gt;1,((WEEKDAY($A31)+$T$2)&lt;7),(WEEKDAY($A31)&lt;&gt;1)),"work",(INDEX(Subject!$A:$I,MATCH(RANDBETWEEN(1,(MAX(Subject!$B:$B))),Subject!$B:$B,0),3))))</f>
        <v/>
      </c>
      <c r="K31" s="2" t="str">
        <f t="array" ref="K31">IF(NOW()&gt;AV31,"",IF(AND((WEEKDAY($A31)+$B$2)&gt;1,((WEEKDAY($A31)+$T$2)&lt;7),(WEEKDAY($A31)&lt;&gt;1)),"work",(INDEX(Subject!$A:$I,MATCH(RANDBETWEEN(1,(MAX(Subject!$B:$B))),Subject!$B:$B,0),3))))</f>
        <v/>
      </c>
      <c r="L31" s="2" t="str">
        <f t="array" ref="L31">IF(NOW()&gt;AW31,"",IF(AND((WEEKDAY($A31)+$B$2)&gt;1,((WEEKDAY($A31)+$T$2)&lt;7),(WEEKDAY($A31)&lt;&gt;1)),"work",(INDEX(Subject!$A:$I,MATCH(RANDBETWEEN(1,(MAX(Subject!$B:$B))),Subject!$B:$B,0),3))))</f>
        <v/>
      </c>
      <c r="M31" s="2" t="str">
        <f t="array" ref="M31">IF(NOW()&gt;AX31,"",IF(AND((WEEKDAY($A31)+$B$2)&gt;1,((WEEKDAY($A31)+$T$2)&lt;7),(WEEKDAY($A31)&lt;&gt;1)),"work",(INDEX(Subject!$A:$I,MATCH(RANDBETWEEN(1,(MAX(Subject!$B:$B))),Subject!$B:$B,0),3))))</f>
        <v/>
      </c>
      <c r="N31" s="2" t="str">
        <f t="array" ref="N31">IF(NOW()&gt;AY31,"",IF(AND((WEEKDAY($A31)+$B$2)&gt;1,((WEEKDAY($A31)+$T$2)&lt;7),(WEEKDAY($A31)&lt;&gt;1)),"work",(INDEX(Subject!$A:$I,MATCH(RANDBETWEEN(1,(MAX(Subject!$B:$B))),Subject!$B:$B,0),3))))</f>
        <v/>
      </c>
      <c r="O31" s="2" t="str">
        <f t="array" ref="O31">IF(NOW()&gt;AZ31,"",IF(AND((WEEKDAY($A31)+$B$2)&gt;1,((WEEKDAY($A31)+$T$2)&lt;7),(WEEKDAY($A31)&lt;&gt;1)),"work",(INDEX(Subject!$A:$I,MATCH(RANDBETWEEN(1,(MAX(Subject!$B:$B))),Subject!$B:$B,0),3))))</f>
        <v/>
      </c>
      <c r="P31" s="2" t="str">
        <f t="array" ref="P31">IF(NOW()&gt;BA31,"",IF(AND((WEEKDAY($A31)+$B$2)&gt;1,((WEEKDAY($A31)+$T$2)&lt;7),(WEEKDAY($A31)&lt;&gt;1)),"work",(INDEX(Subject!$A:$I,MATCH(RANDBETWEEN(1,(MAX(Subject!$B:$B))),Subject!$B:$B,0),3))))</f>
        <v/>
      </c>
      <c r="Q31" s="2" t="str">
        <f t="array" ref="Q31">IF(NOW()&gt;BB31,"",IF(AND((WEEKDAY($A31)+$B$2)&gt;1,((WEEKDAY($A31)+$T$2)&lt;7),(WEEKDAY($A31)&lt;&gt;1)),"work",(INDEX(Subject!$A:$I,MATCH(RANDBETWEEN(1,(MAX(Subject!$B:$B))),Subject!$B:$B,0),3))))</f>
        <v/>
      </c>
      <c r="R31" s="2" t="str">
        <f t="array" ref="R31">IF(NOW()&gt;BC31,"",IF(AND((WEEKDAY($A31)+$B$2)&gt;1,((WEEKDAY($A31)+$T$2)&lt;7),(WEEKDAY($A31)&lt;&gt;1)),"work",(INDEX(Subject!$A:$I,MATCH(RANDBETWEEN(1,(MAX(Subject!$B:$B))),Subject!$B:$B,0),3))))</f>
        <v/>
      </c>
      <c r="S31" s="2" t="str">
        <f t="array" ref="S31">IF(NOW()&gt;BD31,"",IF(AND((WEEKDAY($A31)+$B$2)&gt;1,((WEEKDAY($A31)+$T$2)&lt;7),(WEEKDAY($A31)&lt;&gt;1)),"work",(INDEX(Subject!$A:$I,MATCH(RANDBETWEEN(1,(MAX(Subject!$B:$B))),Subject!$B:$B,0),3))))</f>
        <v/>
      </c>
      <c r="T31" s="2" t="str">
        <f t="array" ref="T31">IF(NOW()&gt;BE31,"",IF(AND((WEEKDAY($A31)+$B$2)&gt;1,((WEEKDAY($A31)+$T$2)&lt;7),(WEEKDAY($A31)&lt;&gt;1)),"work",(INDEX(Subject!$A:$I,MATCH(RANDBETWEEN(1,(MAX(Subject!$B:$B))),Subject!$B:$B,0),3))))</f>
        <v/>
      </c>
      <c r="U31" s="8" t="str">
        <f t="array" ref="U31">INDEX(Subject!$A:$I,MATCH(RANDBETWEEN(1,16),Subject!$B:$B,0),3)</f>
        <v>#N/A</v>
      </c>
      <c r="V31" s="8" t="str">
        <f t="array" ref="V31">INDEX(Subject!$A:$I,MATCH(RANDBETWEEN(1,16),Subject!$B:$B,0),3)</f>
        <v>#N/A</v>
      </c>
      <c r="W31" s="8" t="str">
        <f t="array" ref="W31">INDEX(Subject!$A:$I,MATCH(RANDBETWEEN(1,16),Subject!$B:$B,0),3)</f>
        <v>#N/A</v>
      </c>
      <c r="X31" s="8" t="str">
        <f t="array" ref="X31">INDEX(Subject!$A:$I,MATCH(RANDBETWEEN(1,16),Subject!$B:$B,0),3)</f>
        <v/>
      </c>
      <c r="Y31" s="8" t="str">
        <f t="array" ref="Y31">INDEX(Subject!$A:$I,MATCH(RANDBETWEEN(1,16),Subject!$B:$B,0),3)</f>
        <v>#N/A</v>
      </c>
      <c r="Z31" s="8" t="str">
        <f t="array" ref="Z31">INDEX(Subject!$A:$I,MATCH(RANDBETWEEN(1,16),Subject!$B:$B,0),3)</f>
        <v>#N/A</v>
      </c>
      <c r="AA31" s="8" t="str">
        <f t="array" ref="AA31">INDEX(Subject!$A:$I,MATCH(RANDBETWEEN(1,16),Subject!$B:$B,0),3)</f>
        <v>#N/A</v>
      </c>
      <c r="AB31" s="8" t="str">
        <f t="array" ref="AB31">INDEX(Subject!$A:$I,MATCH(RANDBETWEEN(1,16),Subject!$B:$B,0),3)</f>
        <v>#N/A</v>
      </c>
      <c r="AC31" s="8" t="str">
        <f t="array" ref="AC31">INDEX(Subject!$A:$I,MATCH(RANDBETWEEN(1,16),Subject!$B:$B,0),3)</f>
        <v>#N/A</v>
      </c>
      <c r="AD31" s="8" t="str">
        <f t="array" ref="AD31">INDEX(Subject!$A:$I,MATCH(RANDBETWEEN(1,16),Subject!$B:$B,0),3)</f>
        <v>#N/A</v>
      </c>
      <c r="AE31" s="8" t="str">
        <f t="array" ref="AE31">INDEX(Subject!$A:$I,MATCH(RANDBETWEEN(1,16),Subject!$B:$B,0),3)</f>
        <v>#N/A</v>
      </c>
      <c r="AF31" s="8" t="str">
        <f t="array" ref="AF31">INDEX(Subject!$A:$I,MATCH(RANDBETWEEN(1,16),Subject!$B:$B,0),3)</f>
        <v>#N/A</v>
      </c>
      <c r="AG31" s="8" t="str">
        <f t="array" ref="AG31">INDEX(Subject!$A:$I,MATCH(RANDBETWEEN(1,16),Subject!$B:$B,0),3)</f>
        <v>#N/A</v>
      </c>
      <c r="AH31" s="8" t="str">
        <f t="array" ref="AH31">INDEX(Subject!$A:$I,MATCH(RANDBETWEEN(1,16),Subject!$B:$B,0),3)</f>
        <v>#N/A</v>
      </c>
      <c r="AI31" s="8" t="str">
        <f t="array" ref="AI31">INDEX(Subject!$A:$I,MATCH(RANDBETWEEN(1,16),Subject!$B:$B,0),3)</f>
        <v/>
      </c>
      <c r="AJ31" s="8" t="str">
        <f t="array" ref="AJ31">INDEX(Subject!$A:$I,MATCH(RANDBETWEEN(1,16),Subject!$B:$B,0),3)</f>
        <v>#N/A</v>
      </c>
      <c r="AK31" s="8" t="str">
        <f t="array" ref="AK31">INDEX(Subject!$A:$I,MATCH(RANDBETWEEN(1,16),Subject!$B:$B,0),3)</f>
        <v/>
      </c>
      <c r="AL31" s="8" t="str">
        <f t="array" ref="AL31">INDEX(Subject!$A:$I,MATCH(RANDBETWEEN(1,16),Subject!$B:$B,0),3)</f>
        <v>#N/A</v>
      </c>
      <c r="AM31" s="18">
        <f t="shared" si="4"/>
        <v>45531.33333</v>
      </c>
      <c r="AN31" s="19">
        <f t="shared" ref="AN31:BZ31" si="31">$A31+C$1</f>
        <v>45531.35417</v>
      </c>
      <c r="AO31" s="19">
        <f t="shared" si="31"/>
        <v>45531.375</v>
      </c>
      <c r="AP31" s="19">
        <f t="shared" si="31"/>
        <v>45531.39583</v>
      </c>
      <c r="AQ31" s="19">
        <f t="shared" si="31"/>
        <v>45531.41667</v>
      </c>
      <c r="AR31" s="19">
        <f t="shared" si="31"/>
        <v>45531.4375</v>
      </c>
      <c r="AS31" s="19">
        <f t="shared" si="31"/>
        <v>45531.45833</v>
      </c>
      <c r="AT31" s="19">
        <f t="shared" si="31"/>
        <v>45531.47917</v>
      </c>
      <c r="AU31" s="19">
        <f t="shared" si="31"/>
        <v>45531.5</v>
      </c>
      <c r="AV31" s="19">
        <f t="shared" si="31"/>
        <v>45531.52083</v>
      </c>
      <c r="AW31" s="19">
        <f t="shared" si="31"/>
        <v>45531.54167</v>
      </c>
      <c r="AX31" s="19">
        <f t="shared" si="31"/>
        <v>45531.5625</v>
      </c>
      <c r="AY31" s="19">
        <f t="shared" si="31"/>
        <v>45531.58333</v>
      </c>
      <c r="AZ31" s="19">
        <f t="shared" si="31"/>
        <v>45531.60417</v>
      </c>
      <c r="BA31" s="19">
        <f t="shared" si="31"/>
        <v>45531.625</v>
      </c>
      <c r="BB31" s="19">
        <f t="shared" si="31"/>
        <v>45531.64583</v>
      </c>
      <c r="BC31" s="19">
        <f t="shared" si="31"/>
        <v>45531.66667</v>
      </c>
      <c r="BD31" s="19">
        <f t="shared" si="31"/>
        <v>45531.6875</v>
      </c>
      <c r="BE31" s="19">
        <f t="shared" si="31"/>
        <v>45531.70833</v>
      </c>
      <c r="BF31" s="19">
        <f t="shared" si="31"/>
        <v>45531.72917</v>
      </c>
      <c r="BG31" s="19">
        <f t="shared" si="31"/>
        <v>45531.75</v>
      </c>
      <c r="BH31" s="19">
        <f t="shared" si="31"/>
        <v>45531.77083</v>
      </c>
      <c r="BI31" s="19">
        <f t="shared" si="31"/>
        <v>45531.79167</v>
      </c>
      <c r="BJ31" s="19">
        <f t="shared" si="31"/>
        <v>45531.8125</v>
      </c>
      <c r="BK31" s="19">
        <f t="shared" si="31"/>
        <v>45531.83333</v>
      </c>
      <c r="BL31" s="19">
        <f t="shared" si="31"/>
        <v>45531.85417</v>
      </c>
      <c r="BM31" s="19">
        <f t="shared" si="31"/>
        <v>45531.875</v>
      </c>
      <c r="BN31" s="19">
        <f t="shared" si="31"/>
        <v>45531.89583</v>
      </c>
      <c r="BO31" s="19">
        <f t="shared" si="31"/>
        <v>45531.91667</v>
      </c>
      <c r="BP31" s="19">
        <f t="shared" si="31"/>
        <v>45531.9375</v>
      </c>
      <c r="BQ31" s="19">
        <f t="shared" si="31"/>
        <v>45531.95833</v>
      </c>
      <c r="BR31" s="19">
        <f t="shared" si="31"/>
        <v>45531.97917</v>
      </c>
      <c r="BS31" s="19">
        <f t="shared" si="31"/>
        <v>45532</v>
      </c>
      <c r="BT31" s="19">
        <f t="shared" si="31"/>
        <v>45532.02083</v>
      </c>
      <c r="BU31" s="19">
        <f t="shared" si="31"/>
        <v>45532.04167</v>
      </c>
      <c r="BV31" s="19">
        <f t="shared" si="31"/>
        <v>45532.0625</v>
      </c>
      <c r="BW31" s="19">
        <f t="shared" si="31"/>
        <v>45532.08333</v>
      </c>
      <c r="BX31" s="19">
        <f t="shared" si="31"/>
        <v>45531</v>
      </c>
      <c r="BY31" s="19">
        <f t="shared" si="31"/>
        <v>45531</v>
      </c>
      <c r="BZ31" s="19">
        <f t="shared" si="31"/>
        <v>45531</v>
      </c>
    </row>
    <row r="32" ht="14.25" customHeight="1">
      <c r="A32" s="17">
        <v>45532.0</v>
      </c>
      <c r="B32" s="2" t="str">
        <f t="array" ref="B32">IF(NOW()&gt;AM32,"",IF(AND((WEEKDAY($A32)+$B$2)&gt;1,((WEEKDAY($A32)+$T$2)&lt;7),(WEEKDAY($A32)&lt;&gt;1)),"work",(INDEX(Subject!$A:$I,MATCH(RANDBETWEEN(1,(MAX(Subject!$B:$B))),Subject!$B:$B,0),3))))</f>
        <v/>
      </c>
      <c r="C32" s="2" t="str">
        <f t="array" ref="C32">IF(NOW()&gt;AN32,"",IF(AND((WEEKDAY($A32)+$B$2)&gt;1,((WEEKDAY($A32)+$T$2)&lt;7),(WEEKDAY($A32)&lt;&gt;1)),"work",(INDEX(Subject!$A:$I,MATCH(RANDBETWEEN(1,(MAX(Subject!$B:$B))),Subject!$B:$B,0),3))))</f>
        <v/>
      </c>
      <c r="D32" s="2" t="str">
        <f t="array" ref="D32">IF(NOW()&gt;AO32,"",IF(AND((WEEKDAY($A32)+$B$2)&gt;1,((WEEKDAY($A32)+$T$2)&lt;7),(WEEKDAY($A32)&lt;&gt;1)),"work",(INDEX(Subject!$A:$I,MATCH(RANDBETWEEN(1,(MAX(Subject!$B:$B))),Subject!$B:$B,0),3))))</f>
        <v/>
      </c>
      <c r="E32" s="2" t="str">
        <f t="array" ref="E32">IF(NOW()&gt;AP32,"",IF(AND((WEEKDAY($A32)+$B$2)&gt;1,((WEEKDAY($A32)+$T$2)&lt;7),(WEEKDAY($A32)&lt;&gt;1)),"work",(INDEX(Subject!$A:$I,MATCH(RANDBETWEEN(1,(MAX(Subject!$B:$B))),Subject!$B:$B,0),3))))</f>
        <v/>
      </c>
      <c r="F32" s="2" t="str">
        <f t="array" ref="F32">IF(NOW()&gt;AQ32,"",IF(AND((WEEKDAY($A32)+$B$2)&gt;1,((WEEKDAY($A32)+$T$2)&lt;7),(WEEKDAY($A32)&lt;&gt;1)),"work",(INDEX(Subject!$A:$I,MATCH(RANDBETWEEN(1,(MAX(Subject!$B:$B))),Subject!$B:$B,0),3))))</f>
        <v/>
      </c>
      <c r="G32" s="2" t="str">
        <f t="array" ref="G32">IF(NOW()&gt;AR32,"",IF(AND((WEEKDAY($A32)+$B$2)&gt;1,((WEEKDAY($A32)+$T$2)&lt;7),(WEEKDAY($A32)&lt;&gt;1)),"work",(INDEX(Subject!$A:$I,MATCH(RANDBETWEEN(1,(MAX(Subject!$B:$B))),Subject!$B:$B,0),3))))</f>
        <v/>
      </c>
      <c r="H32" s="2" t="str">
        <f t="array" ref="H32">IF(NOW()&gt;AS32,"",IF(AND((WEEKDAY($A32)+$B$2)&gt;1,((WEEKDAY($A32)+$T$2)&lt;7),(WEEKDAY($A32)&lt;&gt;1)),"work",(INDEX(Subject!$A:$I,MATCH(RANDBETWEEN(1,(MAX(Subject!$B:$B))),Subject!$B:$B,0),3))))</f>
        <v/>
      </c>
      <c r="I32" s="2" t="str">
        <f t="array" ref="I32">IF(NOW()&gt;AT32,"",IF(AND((WEEKDAY($A32)+$B$2)&gt;1,((WEEKDAY($A32)+$T$2)&lt;7),(WEEKDAY($A32)&lt;&gt;1)),"work",(INDEX(Subject!$A:$I,MATCH(RANDBETWEEN(1,(MAX(Subject!$B:$B))),Subject!$B:$B,0),3))))</f>
        <v/>
      </c>
      <c r="J32" s="2" t="str">
        <f t="array" ref="J32">IF(NOW()&gt;AU32,"",IF(AND((WEEKDAY($A32)+$B$2)&gt;1,((WEEKDAY($A32)+$T$2)&lt;7),(WEEKDAY($A32)&lt;&gt;1)),"work",(INDEX(Subject!$A:$I,MATCH(RANDBETWEEN(1,(MAX(Subject!$B:$B))),Subject!$B:$B,0),3))))</f>
        <v/>
      </c>
      <c r="K32" s="2" t="str">
        <f t="array" ref="K32">IF(NOW()&gt;AV32,"",IF(AND((WEEKDAY($A32)+$B$2)&gt;1,((WEEKDAY($A32)+$T$2)&lt;7),(WEEKDAY($A32)&lt;&gt;1)),"work",(INDEX(Subject!$A:$I,MATCH(RANDBETWEEN(1,(MAX(Subject!$B:$B))),Subject!$B:$B,0),3))))</f>
        <v/>
      </c>
      <c r="L32" s="2" t="str">
        <f t="array" ref="L32">IF(NOW()&gt;AW32,"",IF(AND((WEEKDAY($A32)+$B$2)&gt;1,((WEEKDAY($A32)+$T$2)&lt;7),(WEEKDAY($A32)&lt;&gt;1)),"work",(INDEX(Subject!$A:$I,MATCH(RANDBETWEEN(1,(MAX(Subject!$B:$B))),Subject!$B:$B,0),3))))</f>
        <v/>
      </c>
      <c r="M32" s="2" t="str">
        <f t="array" ref="M32">IF(NOW()&gt;AX32,"",IF(AND((WEEKDAY($A32)+$B$2)&gt;1,((WEEKDAY($A32)+$T$2)&lt;7),(WEEKDAY($A32)&lt;&gt;1)),"work",(INDEX(Subject!$A:$I,MATCH(RANDBETWEEN(1,(MAX(Subject!$B:$B))),Subject!$B:$B,0),3))))</f>
        <v/>
      </c>
      <c r="N32" s="2" t="str">
        <f t="array" ref="N32">IF(NOW()&gt;AY32,"",IF(AND((WEEKDAY($A32)+$B$2)&gt;1,((WEEKDAY($A32)+$T$2)&lt;7),(WEEKDAY($A32)&lt;&gt;1)),"work",(INDEX(Subject!$A:$I,MATCH(RANDBETWEEN(1,(MAX(Subject!$B:$B))),Subject!$B:$B,0),3))))</f>
        <v/>
      </c>
      <c r="O32" s="2" t="str">
        <f t="array" ref="O32">IF(NOW()&gt;AZ32,"",IF(AND((WEEKDAY($A32)+$B$2)&gt;1,((WEEKDAY($A32)+$T$2)&lt;7),(WEEKDAY($A32)&lt;&gt;1)),"work",(INDEX(Subject!$A:$I,MATCH(RANDBETWEEN(1,(MAX(Subject!$B:$B))),Subject!$B:$B,0),3))))</f>
        <v/>
      </c>
      <c r="P32" s="2" t="str">
        <f t="array" ref="P32">IF(NOW()&gt;BA32,"",IF(AND((WEEKDAY($A32)+$B$2)&gt;1,((WEEKDAY($A32)+$T$2)&lt;7),(WEEKDAY($A32)&lt;&gt;1)),"work",(INDEX(Subject!$A:$I,MATCH(RANDBETWEEN(1,(MAX(Subject!$B:$B))),Subject!$B:$B,0),3))))</f>
        <v/>
      </c>
      <c r="Q32" s="2" t="str">
        <f t="array" ref="Q32">IF(NOW()&gt;BB32,"",IF(AND((WEEKDAY($A32)+$B$2)&gt;1,((WEEKDAY($A32)+$T$2)&lt;7),(WEEKDAY($A32)&lt;&gt;1)),"work",(INDEX(Subject!$A:$I,MATCH(RANDBETWEEN(1,(MAX(Subject!$B:$B))),Subject!$B:$B,0),3))))</f>
        <v/>
      </c>
      <c r="R32" s="2" t="str">
        <f t="array" ref="R32">IF(NOW()&gt;BC32,"",IF(AND((WEEKDAY($A32)+$B$2)&gt;1,((WEEKDAY($A32)+$T$2)&lt;7),(WEEKDAY($A32)&lt;&gt;1)),"work",(INDEX(Subject!$A:$I,MATCH(RANDBETWEEN(1,(MAX(Subject!$B:$B))),Subject!$B:$B,0),3))))</f>
        <v/>
      </c>
      <c r="S32" s="2" t="str">
        <f t="array" ref="S32">IF(NOW()&gt;BD32,"",IF(AND((WEEKDAY($A32)+$B$2)&gt;1,((WEEKDAY($A32)+$T$2)&lt;7),(WEEKDAY($A32)&lt;&gt;1)),"work",(INDEX(Subject!$A:$I,MATCH(RANDBETWEEN(1,(MAX(Subject!$B:$B))),Subject!$B:$B,0),3))))</f>
        <v/>
      </c>
      <c r="T32" s="2" t="str">
        <f t="array" ref="T32">IF(NOW()&gt;BE32,"",IF(AND((WEEKDAY($A32)+$B$2)&gt;1,((WEEKDAY($A32)+$T$2)&lt;7),(WEEKDAY($A32)&lt;&gt;1)),"work",(INDEX(Subject!$A:$I,MATCH(RANDBETWEEN(1,(MAX(Subject!$B:$B))),Subject!$B:$B,0),3))))</f>
        <v/>
      </c>
      <c r="U32" s="8" t="str">
        <f t="array" ref="U32">INDEX(Subject!$A:$I,MATCH(RANDBETWEEN(1,16),Subject!$B:$B,0),3)</f>
        <v>#N/A</v>
      </c>
      <c r="V32" s="8" t="str">
        <f t="array" ref="V32">INDEX(Subject!$A:$I,MATCH(RANDBETWEEN(1,16),Subject!$B:$B,0),3)</f>
        <v>#N/A</v>
      </c>
      <c r="W32" s="8" t="str">
        <f t="array" ref="W32">INDEX(Subject!$A:$I,MATCH(RANDBETWEEN(1,16),Subject!$B:$B,0),3)</f>
        <v>#N/A</v>
      </c>
      <c r="X32" s="8" t="str">
        <f t="array" ref="X32">INDEX(Subject!$A:$I,MATCH(RANDBETWEEN(1,16),Subject!$B:$B,0),3)</f>
        <v>#N/A</v>
      </c>
      <c r="Y32" s="8" t="str">
        <f t="array" ref="Y32">INDEX(Subject!$A:$I,MATCH(RANDBETWEEN(1,16),Subject!$B:$B,0),3)</f>
        <v>#N/A</v>
      </c>
      <c r="Z32" s="8" t="str">
        <f t="array" ref="Z32">INDEX(Subject!$A:$I,MATCH(RANDBETWEEN(1,16),Subject!$B:$B,0),3)</f>
        <v>#N/A</v>
      </c>
      <c r="AA32" s="8" t="str">
        <f t="array" ref="AA32">INDEX(Subject!$A:$I,MATCH(RANDBETWEEN(1,16),Subject!$B:$B,0),3)</f>
        <v>#N/A</v>
      </c>
      <c r="AB32" s="8" t="str">
        <f t="array" ref="AB32">INDEX(Subject!$A:$I,MATCH(RANDBETWEEN(1,16),Subject!$B:$B,0),3)</f>
        <v>#N/A</v>
      </c>
      <c r="AC32" s="8" t="str">
        <f t="array" ref="AC32">INDEX(Subject!$A:$I,MATCH(RANDBETWEEN(1,16),Subject!$B:$B,0),3)</f>
        <v>#N/A</v>
      </c>
      <c r="AD32" s="8" t="str">
        <f t="array" ref="AD32">INDEX(Subject!$A:$I,MATCH(RANDBETWEEN(1,16),Subject!$B:$B,0),3)</f>
        <v>#N/A</v>
      </c>
      <c r="AE32" s="8" t="str">
        <f t="array" ref="AE32">INDEX(Subject!$A:$I,MATCH(RANDBETWEEN(1,16),Subject!$B:$B,0),3)</f>
        <v>#N/A</v>
      </c>
      <c r="AF32" s="8" t="str">
        <f t="array" ref="AF32">INDEX(Subject!$A:$I,MATCH(RANDBETWEEN(1,16),Subject!$B:$B,0),3)</f>
        <v>#N/A</v>
      </c>
      <c r="AG32" s="8" t="str">
        <f t="array" ref="AG32">INDEX(Subject!$A:$I,MATCH(RANDBETWEEN(1,16),Subject!$B:$B,0),3)</f>
        <v>#N/A</v>
      </c>
      <c r="AH32" s="8" t="str">
        <f t="array" ref="AH32">INDEX(Subject!$A:$I,MATCH(RANDBETWEEN(1,16),Subject!$B:$B,0),3)</f>
        <v>#N/A</v>
      </c>
      <c r="AI32" s="8" t="str">
        <f t="array" ref="AI32">INDEX(Subject!$A:$I,MATCH(RANDBETWEEN(1,16),Subject!$B:$B,0),3)</f>
        <v>#N/A</v>
      </c>
      <c r="AJ32" s="8" t="str">
        <f t="array" ref="AJ32">INDEX(Subject!$A:$I,MATCH(RANDBETWEEN(1,16),Subject!$B:$B,0),3)</f>
        <v>#N/A</v>
      </c>
      <c r="AK32" s="8" t="str">
        <f t="array" ref="AK32">INDEX(Subject!$A:$I,MATCH(RANDBETWEEN(1,16),Subject!$B:$B,0),3)</f>
        <v>#N/A</v>
      </c>
      <c r="AL32" s="8" t="str">
        <f t="array" ref="AL32">INDEX(Subject!$A:$I,MATCH(RANDBETWEEN(1,16),Subject!$B:$B,0),3)</f>
        <v>#N/A</v>
      </c>
      <c r="AM32" s="18">
        <f t="shared" si="4"/>
        <v>45532.33333</v>
      </c>
      <c r="AN32" s="19">
        <f t="shared" ref="AN32:BZ32" si="32">$A32+C$1</f>
        <v>45532.35417</v>
      </c>
      <c r="AO32" s="19">
        <f t="shared" si="32"/>
        <v>45532.375</v>
      </c>
      <c r="AP32" s="19">
        <f t="shared" si="32"/>
        <v>45532.39583</v>
      </c>
      <c r="AQ32" s="19">
        <f t="shared" si="32"/>
        <v>45532.41667</v>
      </c>
      <c r="AR32" s="19">
        <f t="shared" si="32"/>
        <v>45532.4375</v>
      </c>
      <c r="AS32" s="19">
        <f t="shared" si="32"/>
        <v>45532.45833</v>
      </c>
      <c r="AT32" s="19">
        <f t="shared" si="32"/>
        <v>45532.47917</v>
      </c>
      <c r="AU32" s="19">
        <f t="shared" si="32"/>
        <v>45532.5</v>
      </c>
      <c r="AV32" s="19">
        <f t="shared" si="32"/>
        <v>45532.52083</v>
      </c>
      <c r="AW32" s="19">
        <f t="shared" si="32"/>
        <v>45532.54167</v>
      </c>
      <c r="AX32" s="19">
        <f t="shared" si="32"/>
        <v>45532.5625</v>
      </c>
      <c r="AY32" s="19">
        <f t="shared" si="32"/>
        <v>45532.58333</v>
      </c>
      <c r="AZ32" s="19">
        <f t="shared" si="32"/>
        <v>45532.60417</v>
      </c>
      <c r="BA32" s="19">
        <f t="shared" si="32"/>
        <v>45532.625</v>
      </c>
      <c r="BB32" s="19">
        <f t="shared" si="32"/>
        <v>45532.64583</v>
      </c>
      <c r="BC32" s="19">
        <f t="shared" si="32"/>
        <v>45532.66667</v>
      </c>
      <c r="BD32" s="19">
        <f t="shared" si="32"/>
        <v>45532.6875</v>
      </c>
      <c r="BE32" s="19">
        <f t="shared" si="32"/>
        <v>45532.70833</v>
      </c>
      <c r="BF32" s="19">
        <f t="shared" si="32"/>
        <v>45532.72917</v>
      </c>
      <c r="BG32" s="19">
        <f t="shared" si="32"/>
        <v>45532.75</v>
      </c>
      <c r="BH32" s="19">
        <f t="shared" si="32"/>
        <v>45532.77083</v>
      </c>
      <c r="BI32" s="19">
        <f t="shared" si="32"/>
        <v>45532.79167</v>
      </c>
      <c r="BJ32" s="19">
        <f t="shared" si="32"/>
        <v>45532.8125</v>
      </c>
      <c r="BK32" s="19">
        <f t="shared" si="32"/>
        <v>45532.83333</v>
      </c>
      <c r="BL32" s="19">
        <f t="shared" si="32"/>
        <v>45532.85417</v>
      </c>
      <c r="BM32" s="19">
        <f t="shared" si="32"/>
        <v>45532.875</v>
      </c>
      <c r="BN32" s="19">
        <f t="shared" si="32"/>
        <v>45532.89583</v>
      </c>
      <c r="BO32" s="19">
        <f t="shared" si="32"/>
        <v>45532.91667</v>
      </c>
      <c r="BP32" s="19">
        <f t="shared" si="32"/>
        <v>45532.9375</v>
      </c>
      <c r="BQ32" s="19">
        <f t="shared" si="32"/>
        <v>45532.95833</v>
      </c>
      <c r="BR32" s="19">
        <f t="shared" si="32"/>
        <v>45532.97917</v>
      </c>
      <c r="BS32" s="19">
        <f t="shared" si="32"/>
        <v>45533</v>
      </c>
      <c r="BT32" s="19">
        <f t="shared" si="32"/>
        <v>45533.02083</v>
      </c>
      <c r="BU32" s="19">
        <f t="shared" si="32"/>
        <v>45533.04167</v>
      </c>
      <c r="BV32" s="19">
        <f t="shared" si="32"/>
        <v>45533.0625</v>
      </c>
      <c r="BW32" s="19">
        <f t="shared" si="32"/>
        <v>45533.08333</v>
      </c>
      <c r="BX32" s="19">
        <f t="shared" si="32"/>
        <v>45532</v>
      </c>
      <c r="BY32" s="19">
        <f t="shared" si="32"/>
        <v>45532</v>
      </c>
      <c r="BZ32" s="19">
        <f t="shared" si="32"/>
        <v>45532</v>
      </c>
    </row>
    <row r="33" ht="14.25" customHeight="1">
      <c r="A33" s="17">
        <v>45533.0</v>
      </c>
      <c r="B33" s="2" t="str">
        <f t="array" ref="B33">IF(NOW()&gt;AM33,"",IF(AND((WEEKDAY($A33)+$B$2)&gt;1,((WEEKDAY($A33)+$T$2)&lt;7),(WEEKDAY($A33)&lt;&gt;1)),"work",(INDEX(Subject!$A:$I,MATCH(RANDBETWEEN(1,(MAX(Subject!$B:$B))),Subject!$B:$B,0),3))))</f>
        <v/>
      </c>
      <c r="C33" s="2" t="str">
        <f t="array" ref="C33">IF(NOW()&gt;AN33,"",IF(AND((WEEKDAY($A33)+$B$2)&gt;1,((WEEKDAY($A33)+$T$2)&lt;7),(WEEKDAY($A33)&lt;&gt;1)),"work",(INDEX(Subject!$A:$I,MATCH(RANDBETWEEN(1,(MAX(Subject!$B:$B))),Subject!$B:$B,0),3))))</f>
        <v/>
      </c>
      <c r="D33" s="2" t="str">
        <f t="array" ref="D33">IF(NOW()&gt;AO33,"",IF(AND((WEEKDAY($A33)+$B$2)&gt;1,((WEEKDAY($A33)+$T$2)&lt;7),(WEEKDAY($A33)&lt;&gt;1)),"work",(INDEX(Subject!$A:$I,MATCH(RANDBETWEEN(1,(MAX(Subject!$B:$B))),Subject!$B:$B,0),3))))</f>
        <v/>
      </c>
      <c r="E33" s="2" t="str">
        <f t="array" ref="E33">IF(NOW()&gt;AP33,"",IF(AND((WEEKDAY($A33)+$B$2)&gt;1,((WEEKDAY($A33)+$T$2)&lt;7),(WEEKDAY($A33)&lt;&gt;1)),"work",(INDEX(Subject!$A:$I,MATCH(RANDBETWEEN(1,(MAX(Subject!$B:$B))),Subject!$B:$B,0),3))))</f>
        <v/>
      </c>
      <c r="F33" s="2" t="str">
        <f t="array" ref="F33">IF(NOW()&gt;AQ33,"",IF(AND((WEEKDAY($A33)+$B$2)&gt;1,((WEEKDAY($A33)+$T$2)&lt;7),(WEEKDAY($A33)&lt;&gt;1)),"work",(INDEX(Subject!$A:$I,MATCH(RANDBETWEEN(1,(MAX(Subject!$B:$B))),Subject!$B:$B,0),3))))</f>
        <v/>
      </c>
      <c r="G33" s="2" t="str">
        <f t="array" ref="G33">IF(NOW()&gt;AR33,"",IF(AND((WEEKDAY($A33)+$B$2)&gt;1,((WEEKDAY($A33)+$T$2)&lt;7),(WEEKDAY($A33)&lt;&gt;1)),"work",(INDEX(Subject!$A:$I,MATCH(RANDBETWEEN(1,(MAX(Subject!$B:$B))),Subject!$B:$B,0),3))))</f>
        <v/>
      </c>
      <c r="H33" s="2" t="str">
        <f t="array" ref="H33">IF(NOW()&gt;AS33,"",IF(AND((WEEKDAY($A33)+$B$2)&gt;1,((WEEKDAY($A33)+$T$2)&lt;7),(WEEKDAY($A33)&lt;&gt;1)),"work",(INDEX(Subject!$A:$I,MATCH(RANDBETWEEN(1,(MAX(Subject!$B:$B))),Subject!$B:$B,0),3))))</f>
        <v/>
      </c>
      <c r="I33" s="2" t="str">
        <f t="array" ref="I33">IF(NOW()&gt;AT33,"",IF(AND((WEEKDAY($A33)+$B$2)&gt;1,((WEEKDAY($A33)+$T$2)&lt;7),(WEEKDAY($A33)&lt;&gt;1)),"work",(INDEX(Subject!$A:$I,MATCH(RANDBETWEEN(1,(MAX(Subject!$B:$B))),Subject!$B:$B,0),3))))</f>
        <v/>
      </c>
      <c r="J33" s="2" t="str">
        <f t="array" ref="J33">IF(NOW()&gt;AU33,"",IF(AND((WEEKDAY($A33)+$B$2)&gt;1,((WEEKDAY($A33)+$T$2)&lt;7),(WEEKDAY($A33)&lt;&gt;1)),"work",(INDEX(Subject!$A:$I,MATCH(RANDBETWEEN(1,(MAX(Subject!$B:$B))),Subject!$B:$B,0),3))))</f>
        <v/>
      </c>
      <c r="K33" s="2" t="str">
        <f t="array" ref="K33">IF(NOW()&gt;AV33,"",IF(AND((WEEKDAY($A33)+$B$2)&gt;1,((WEEKDAY($A33)+$T$2)&lt;7),(WEEKDAY($A33)&lt;&gt;1)),"work",(INDEX(Subject!$A:$I,MATCH(RANDBETWEEN(1,(MAX(Subject!$B:$B))),Subject!$B:$B,0),3))))</f>
        <v/>
      </c>
      <c r="L33" s="2" t="str">
        <f t="array" ref="L33">IF(NOW()&gt;AW33,"",IF(AND((WEEKDAY($A33)+$B$2)&gt;1,((WEEKDAY($A33)+$T$2)&lt;7),(WEEKDAY($A33)&lt;&gt;1)),"work",(INDEX(Subject!$A:$I,MATCH(RANDBETWEEN(1,(MAX(Subject!$B:$B))),Subject!$B:$B,0),3))))</f>
        <v/>
      </c>
      <c r="M33" s="2" t="str">
        <f t="array" ref="M33">IF(NOW()&gt;AX33,"",IF(AND((WEEKDAY($A33)+$B$2)&gt;1,((WEEKDAY($A33)+$T$2)&lt;7),(WEEKDAY($A33)&lt;&gt;1)),"work",(INDEX(Subject!$A:$I,MATCH(RANDBETWEEN(1,(MAX(Subject!$B:$B))),Subject!$B:$B,0),3))))</f>
        <v/>
      </c>
      <c r="N33" s="2" t="str">
        <f t="array" ref="N33">IF(NOW()&gt;AY33,"",IF(AND((WEEKDAY($A33)+$B$2)&gt;1,((WEEKDAY($A33)+$T$2)&lt;7),(WEEKDAY($A33)&lt;&gt;1)),"work",(INDEX(Subject!$A:$I,MATCH(RANDBETWEEN(1,(MAX(Subject!$B:$B))),Subject!$B:$B,0),3))))</f>
        <v/>
      </c>
      <c r="O33" s="2" t="str">
        <f t="array" ref="O33">IF(NOW()&gt;AZ33,"",IF(AND((WEEKDAY($A33)+$B$2)&gt;1,((WEEKDAY($A33)+$T$2)&lt;7),(WEEKDAY($A33)&lt;&gt;1)),"work",(INDEX(Subject!$A:$I,MATCH(RANDBETWEEN(1,(MAX(Subject!$B:$B))),Subject!$B:$B,0),3))))</f>
        <v/>
      </c>
      <c r="P33" s="2" t="str">
        <f t="array" ref="P33">IF(NOW()&gt;BA33,"",IF(AND((WEEKDAY($A33)+$B$2)&gt;1,((WEEKDAY($A33)+$T$2)&lt;7),(WEEKDAY($A33)&lt;&gt;1)),"work",(INDEX(Subject!$A:$I,MATCH(RANDBETWEEN(1,(MAX(Subject!$B:$B))),Subject!$B:$B,0),3))))</f>
        <v/>
      </c>
      <c r="Q33" s="2" t="str">
        <f t="array" ref="Q33">IF(NOW()&gt;BB33,"",IF(AND((WEEKDAY($A33)+$B$2)&gt;1,((WEEKDAY($A33)+$T$2)&lt;7),(WEEKDAY($A33)&lt;&gt;1)),"work",(INDEX(Subject!$A:$I,MATCH(RANDBETWEEN(1,(MAX(Subject!$B:$B))),Subject!$B:$B,0),3))))</f>
        <v/>
      </c>
      <c r="R33" s="2" t="str">
        <f t="array" ref="R33">IF(NOW()&gt;BC33,"",IF(AND((WEEKDAY($A33)+$B$2)&gt;1,((WEEKDAY($A33)+$T$2)&lt;7),(WEEKDAY($A33)&lt;&gt;1)),"work",(INDEX(Subject!$A:$I,MATCH(RANDBETWEEN(1,(MAX(Subject!$B:$B))),Subject!$B:$B,0),3))))</f>
        <v/>
      </c>
      <c r="S33" s="2" t="str">
        <f t="array" ref="S33">IF(NOW()&gt;BD33,"",IF(AND((WEEKDAY($A33)+$B$2)&gt;1,((WEEKDAY($A33)+$T$2)&lt;7),(WEEKDAY($A33)&lt;&gt;1)),"work",(INDEX(Subject!$A:$I,MATCH(RANDBETWEEN(1,(MAX(Subject!$B:$B))),Subject!$B:$B,0),3))))</f>
        <v/>
      </c>
      <c r="T33" s="2" t="str">
        <f t="array" ref="T33">IF(NOW()&gt;BE33,"",IF(AND((WEEKDAY($A33)+$B$2)&gt;1,((WEEKDAY($A33)+$T$2)&lt;7),(WEEKDAY($A33)&lt;&gt;1)),"work",(INDEX(Subject!$A:$I,MATCH(RANDBETWEEN(1,(MAX(Subject!$B:$B))),Subject!$B:$B,0),3))))</f>
        <v/>
      </c>
      <c r="U33" s="8" t="str">
        <f t="array" ref="U33">INDEX(Subject!$A:$I,MATCH(RANDBETWEEN(1,16),Subject!$B:$B,0),3)</f>
        <v>#N/A</v>
      </c>
      <c r="V33" s="8" t="str">
        <f t="array" ref="V33">INDEX(Subject!$A:$I,MATCH(RANDBETWEEN(1,16),Subject!$B:$B,0),3)</f>
        <v>#N/A</v>
      </c>
      <c r="W33" s="8" t="str">
        <f t="array" ref="W33">INDEX(Subject!$A:$I,MATCH(RANDBETWEEN(1,16),Subject!$B:$B,0),3)</f>
        <v>#N/A</v>
      </c>
      <c r="X33" s="8" t="str">
        <f t="array" ref="X33">INDEX(Subject!$A:$I,MATCH(RANDBETWEEN(1,16),Subject!$B:$B,0),3)</f>
        <v>#N/A</v>
      </c>
      <c r="Y33" s="8" t="str">
        <f t="array" ref="Y33">INDEX(Subject!$A:$I,MATCH(RANDBETWEEN(1,16),Subject!$B:$B,0),3)</f>
        <v>#N/A</v>
      </c>
      <c r="Z33" s="8" t="str">
        <f t="array" ref="Z33">INDEX(Subject!$A:$I,MATCH(RANDBETWEEN(1,16),Subject!$B:$B,0),3)</f>
        <v>#N/A</v>
      </c>
      <c r="AA33" s="8" t="str">
        <f t="array" ref="AA33">INDEX(Subject!$A:$I,MATCH(RANDBETWEEN(1,16),Subject!$B:$B,0),3)</f>
        <v>#N/A</v>
      </c>
      <c r="AB33" s="8" t="str">
        <f t="array" ref="AB33">INDEX(Subject!$A:$I,MATCH(RANDBETWEEN(1,16),Subject!$B:$B,0),3)</f>
        <v>#N/A</v>
      </c>
      <c r="AC33" s="8" t="str">
        <f t="array" ref="AC33">INDEX(Subject!$A:$I,MATCH(RANDBETWEEN(1,16),Subject!$B:$B,0),3)</f>
        <v>#N/A</v>
      </c>
      <c r="AD33" s="8" t="str">
        <f t="array" ref="AD33">INDEX(Subject!$A:$I,MATCH(RANDBETWEEN(1,16),Subject!$B:$B,0),3)</f>
        <v>#N/A</v>
      </c>
      <c r="AE33" s="8" t="str">
        <f t="array" ref="AE33">INDEX(Subject!$A:$I,MATCH(RANDBETWEEN(1,16),Subject!$B:$B,0),3)</f>
        <v/>
      </c>
      <c r="AF33" s="8" t="str">
        <f t="array" ref="AF33">INDEX(Subject!$A:$I,MATCH(RANDBETWEEN(1,16),Subject!$B:$B,0),3)</f>
        <v>#N/A</v>
      </c>
      <c r="AG33" s="8" t="str">
        <f t="array" ref="AG33">INDEX(Subject!$A:$I,MATCH(RANDBETWEEN(1,16),Subject!$B:$B,0),3)</f>
        <v>#N/A</v>
      </c>
      <c r="AH33" s="8" t="str">
        <f t="array" ref="AH33">INDEX(Subject!$A:$I,MATCH(RANDBETWEEN(1,16),Subject!$B:$B,0),3)</f>
        <v>#N/A</v>
      </c>
      <c r="AI33" s="8" t="str">
        <f t="array" ref="AI33">INDEX(Subject!$A:$I,MATCH(RANDBETWEEN(1,16),Subject!$B:$B,0),3)</f>
        <v/>
      </c>
      <c r="AJ33" s="8" t="str">
        <f t="array" ref="AJ33">INDEX(Subject!$A:$I,MATCH(RANDBETWEEN(1,16),Subject!$B:$B,0),3)</f>
        <v>#N/A</v>
      </c>
      <c r="AK33" s="8" t="str">
        <f t="array" ref="AK33">INDEX(Subject!$A:$I,MATCH(RANDBETWEEN(1,16),Subject!$B:$B,0),3)</f>
        <v>#N/A</v>
      </c>
      <c r="AL33" s="8" t="str">
        <f t="array" ref="AL33">INDEX(Subject!$A:$I,MATCH(RANDBETWEEN(1,16),Subject!$B:$B,0),3)</f>
        <v>#N/A</v>
      </c>
      <c r="AM33" s="18">
        <f t="shared" si="4"/>
        <v>45533.33333</v>
      </c>
      <c r="AN33" s="19">
        <f t="shared" ref="AN33:BZ33" si="33">$A33+C$1</f>
        <v>45533.35417</v>
      </c>
      <c r="AO33" s="19">
        <f t="shared" si="33"/>
        <v>45533.375</v>
      </c>
      <c r="AP33" s="19">
        <f t="shared" si="33"/>
        <v>45533.39583</v>
      </c>
      <c r="AQ33" s="19">
        <f t="shared" si="33"/>
        <v>45533.41667</v>
      </c>
      <c r="AR33" s="19">
        <f t="shared" si="33"/>
        <v>45533.4375</v>
      </c>
      <c r="AS33" s="19">
        <f t="shared" si="33"/>
        <v>45533.45833</v>
      </c>
      <c r="AT33" s="19">
        <f t="shared" si="33"/>
        <v>45533.47917</v>
      </c>
      <c r="AU33" s="19">
        <f t="shared" si="33"/>
        <v>45533.5</v>
      </c>
      <c r="AV33" s="19">
        <f t="shared" si="33"/>
        <v>45533.52083</v>
      </c>
      <c r="AW33" s="19">
        <f t="shared" si="33"/>
        <v>45533.54167</v>
      </c>
      <c r="AX33" s="19">
        <f t="shared" si="33"/>
        <v>45533.5625</v>
      </c>
      <c r="AY33" s="19">
        <f t="shared" si="33"/>
        <v>45533.58333</v>
      </c>
      <c r="AZ33" s="19">
        <f t="shared" si="33"/>
        <v>45533.60417</v>
      </c>
      <c r="BA33" s="19">
        <f t="shared" si="33"/>
        <v>45533.625</v>
      </c>
      <c r="BB33" s="19">
        <f t="shared" si="33"/>
        <v>45533.64583</v>
      </c>
      <c r="BC33" s="19">
        <f t="shared" si="33"/>
        <v>45533.66667</v>
      </c>
      <c r="BD33" s="19">
        <f t="shared" si="33"/>
        <v>45533.6875</v>
      </c>
      <c r="BE33" s="19">
        <f t="shared" si="33"/>
        <v>45533.70833</v>
      </c>
      <c r="BF33" s="19">
        <f t="shared" si="33"/>
        <v>45533.72917</v>
      </c>
      <c r="BG33" s="19">
        <f t="shared" si="33"/>
        <v>45533.75</v>
      </c>
      <c r="BH33" s="19">
        <f t="shared" si="33"/>
        <v>45533.77083</v>
      </c>
      <c r="BI33" s="19">
        <f t="shared" si="33"/>
        <v>45533.79167</v>
      </c>
      <c r="BJ33" s="19">
        <f t="shared" si="33"/>
        <v>45533.8125</v>
      </c>
      <c r="BK33" s="19">
        <f t="shared" si="33"/>
        <v>45533.83333</v>
      </c>
      <c r="BL33" s="19">
        <f t="shared" si="33"/>
        <v>45533.85417</v>
      </c>
      <c r="BM33" s="19">
        <f t="shared" si="33"/>
        <v>45533.875</v>
      </c>
      <c r="BN33" s="19">
        <f t="shared" si="33"/>
        <v>45533.89583</v>
      </c>
      <c r="BO33" s="19">
        <f t="shared" si="33"/>
        <v>45533.91667</v>
      </c>
      <c r="BP33" s="19">
        <f t="shared" si="33"/>
        <v>45533.9375</v>
      </c>
      <c r="BQ33" s="19">
        <f t="shared" si="33"/>
        <v>45533.95833</v>
      </c>
      <c r="BR33" s="19">
        <f t="shared" si="33"/>
        <v>45533.97917</v>
      </c>
      <c r="BS33" s="19">
        <f t="shared" si="33"/>
        <v>45534</v>
      </c>
      <c r="BT33" s="19">
        <f t="shared" si="33"/>
        <v>45534.02083</v>
      </c>
      <c r="BU33" s="19">
        <f t="shared" si="33"/>
        <v>45534.04167</v>
      </c>
      <c r="BV33" s="19">
        <f t="shared" si="33"/>
        <v>45534.0625</v>
      </c>
      <c r="BW33" s="19">
        <f t="shared" si="33"/>
        <v>45534.08333</v>
      </c>
      <c r="BX33" s="19">
        <f t="shared" si="33"/>
        <v>45533</v>
      </c>
      <c r="BY33" s="19">
        <f t="shared" si="33"/>
        <v>45533</v>
      </c>
      <c r="BZ33" s="19">
        <f t="shared" si="33"/>
        <v>45533</v>
      </c>
    </row>
    <row r="34" ht="14.25" customHeight="1">
      <c r="A34" s="17">
        <v>45534.0</v>
      </c>
      <c r="B34" s="2" t="str">
        <f t="array" ref="B34">IF(NOW()&gt;AM34,"",IF(AND((WEEKDAY($A34)+$B$2)&gt;1,((WEEKDAY($A34)+$T$2)&lt;7),(WEEKDAY($A34)&lt;&gt;1)),"work",(INDEX(Subject!$A:$I,MATCH(RANDBETWEEN(1,(MAX(Subject!$B:$B))),Subject!$B:$B,0),3))))</f>
        <v/>
      </c>
      <c r="C34" s="2" t="str">
        <f t="array" ref="C34">IF(NOW()&gt;AN34,"",IF(AND((WEEKDAY($A34)+$B$2)&gt;1,((WEEKDAY($A34)+$T$2)&lt;7),(WEEKDAY($A34)&lt;&gt;1)),"work",(INDEX(Subject!$A:$I,MATCH(RANDBETWEEN(1,(MAX(Subject!$B:$B))),Subject!$B:$B,0),3))))</f>
        <v/>
      </c>
      <c r="D34" s="2" t="str">
        <f t="array" ref="D34">IF(NOW()&gt;AO34,"",IF(AND((WEEKDAY($A34)+$B$2)&gt;1,((WEEKDAY($A34)+$T$2)&lt;7),(WEEKDAY($A34)&lt;&gt;1)),"work",(INDEX(Subject!$A:$I,MATCH(RANDBETWEEN(1,(MAX(Subject!$B:$B))),Subject!$B:$B,0),3))))</f>
        <v/>
      </c>
      <c r="E34" s="2" t="str">
        <f t="array" ref="E34">IF(NOW()&gt;AP34,"",IF(AND((WEEKDAY($A34)+$B$2)&gt;1,((WEEKDAY($A34)+$T$2)&lt;7),(WEEKDAY($A34)&lt;&gt;1)),"work",(INDEX(Subject!$A:$I,MATCH(RANDBETWEEN(1,(MAX(Subject!$B:$B))),Subject!$B:$B,0),3))))</f>
        <v/>
      </c>
      <c r="F34" s="2" t="str">
        <f t="array" ref="F34">IF(NOW()&gt;AQ34,"",IF(AND((WEEKDAY($A34)+$B$2)&gt;1,((WEEKDAY($A34)+$T$2)&lt;7),(WEEKDAY($A34)&lt;&gt;1)),"work",(INDEX(Subject!$A:$I,MATCH(RANDBETWEEN(1,(MAX(Subject!$B:$B))),Subject!$B:$B,0),3))))</f>
        <v/>
      </c>
      <c r="G34" s="2" t="str">
        <f t="array" ref="G34">IF(NOW()&gt;AR34,"",IF(AND((WEEKDAY($A34)+$B$2)&gt;1,((WEEKDAY($A34)+$T$2)&lt;7),(WEEKDAY($A34)&lt;&gt;1)),"work",(INDEX(Subject!$A:$I,MATCH(RANDBETWEEN(1,(MAX(Subject!$B:$B))),Subject!$B:$B,0),3))))</f>
        <v/>
      </c>
      <c r="H34" s="2" t="str">
        <f t="array" ref="H34">IF(NOW()&gt;AS34,"",IF(AND((WEEKDAY($A34)+$B$2)&gt;1,((WEEKDAY($A34)+$T$2)&lt;7),(WEEKDAY($A34)&lt;&gt;1)),"work",(INDEX(Subject!$A:$I,MATCH(RANDBETWEEN(1,(MAX(Subject!$B:$B))),Subject!$B:$B,0),3))))</f>
        <v/>
      </c>
      <c r="I34" s="2" t="str">
        <f t="array" ref="I34">IF(NOW()&gt;AT34,"",IF(AND((WEEKDAY($A34)+$B$2)&gt;1,((WEEKDAY($A34)+$T$2)&lt;7),(WEEKDAY($A34)&lt;&gt;1)),"work",(INDEX(Subject!$A:$I,MATCH(RANDBETWEEN(1,(MAX(Subject!$B:$B))),Subject!$B:$B,0),3))))</f>
        <v/>
      </c>
      <c r="J34" s="2" t="str">
        <f t="array" ref="J34">IF(NOW()&gt;AU34,"",IF(AND((WEEKDAY($A34)+$B$2)&gt;1,((WEEKDAY($A34)+$T$2)&lt;7),(WEEKDAY($A34)&lt;&gt;1)),"work",(INDEX(Subject!$A:$I,MATCH(RANDBETWEEN(1,(MAX(Subject!$B:$B))),Subject!$B:$B,0),3))))</f>
        <v/>
      </c>
      <c r="K34" s="2" t="str">
        <f t="array" ref="K34">IF(NOW()&gt;AV34,"",IF(AND((WEEKDAY($A34)+$B$2)&gt;1,((WEEKDAY($A34)+$T$2)&lt;7),(WEEKDAY($A34)&lt;&gt;1)),"work",(INDEX(Subject!$A:$I,MATCH(RANDBETWEEN(1,(MAX(Subject!$B:$B))),Subject!$B:$B,0),3))))</f>
        <v/>
      </c>
      <c r="L34" s="2" t="str">
        <f t="array" ref="L34">IF(NOW()&gt;AW34,"",IF(AND((WEEKDAY($A34)+$B$2)&gt;1,((WEEKDAY($A34)+$T$2)&lt;7),(WEEKDAY($A34)&lt;&gt;1)),"work",(INDEX(Subject!$A:$I,MATCH(RANDBETWEEN(1,(MAX(Subject!$B:$B))),Subject!$B:$B,0),3))))</f>
        <v/>
      </c>
      <c r="M34" s="2" t="str">
        <f t="array" ref="M34">IF(NOW()&gt;AX34,"",IF(AND((WEEKDAY($A34)+$B$2)&gt;1,((WEEKDAY($A34)+$T$2)&lt;7),(WEEKDAY($A34)&lt;&gt;1)),"work",(INDEX(Subject!$A:$I,MATCH(RANDBETWEEN(1,(MAX(Subject!$B:$B))),Subject!$B:$B,0),3))))</f>
        <v/>
      </c>
      <c r="N34" s="2" t="str">
        <f t="array" ref="N34">IF(NOW()&gt;AY34,"",IF(AND((WEEKDAY($A34)+$B$2)&gt;1,((WEEKDAY($A34)+$T$2)&lt;7),(WEEKDAY($A34)&lt;&gt;1)),"work",(INDEX(Subject!$A:$I,MATCH(RANDBETWEEN(1,(MAX(Subject!$B:$B))),Subject!$B:$B,0),3))))</f>
        <v/>
      </c>
      <c r="O34" s="2" t="str">
        <f t="array" ref="O34">IF(NOW()&gt;AZ34,"",IF(AND((WEEKDAY($A34)+$B$2)&gt;1,((WEEKDAY($A34)+$T$2)&lt;7),(WEEKDAY($A34)&lt;&gt;1)),"work",(INDEX(Subject!$A:$I,MATCH(RANDBETWEEN(1,(MAX(Subject!$B:$B))),Subject!$B:$B,0),3))))</f>
        <v/>
      </c>
      <c r="P34" s="2" t="str">
        <f t="array" ref="P34">IF(NOW()&gt;BA34,"",IF(AND((WEEKDAY($A34)+$B$2)&gt;1,((WEEKDAY($A34)+$T$2)&lt;7),(WEEKDAY($A34)&lt;&gt;1)),"work",(INDEX(Subject!$A:$I,MATCH(RANDBETWEEN(1,(MAX(Subject!$B:$B))),Subject!$B:$B,0),3))))</f>
        <v/>
      </c>
      <c r="Q34" s="2" t="str">
        <f t="array" ref="Q34">IF(NOW()&gt;BB34,"",IF(AND((WEEKDAY($A34)+$B$2)&gt;1,((WEEKDAY($A34)+$T$2)&lt;7),(WEEKDAY($A34)&lt;&gt;1)),"work",(INDEX(Subject!$A:$I,MATCH(RANDBETWEEN(1,(MAX(Subject!$B:$B))),Subject!$B:$B,0),3))))</f>
        <v/>
      </c>
      <c r="R34" s="2" t="str">
        <f t="array" ref="R34">IF(NOW()&gt;BC34,"",IF(AND((WEEKDAY($A34)+$B$2)&gt;1,((WEEKDAY($A34)+$T$2)&lt;7),(WEEKDAY($A34)&lt;&gt;1)),"work",(INDEX(Subject!$A:$I,MATCH(RANDBETWEEN(1,(MAX(Subject!$B:$B))),Subject!$B:$B,0),3))))</f>
        <v/>
      </c>
      <c r="S34" s="2" t="str">
        <f t="array" ref="S34">IF(NOW()&gt;BD34,"",IF(AND((WEEKDAY($A34)+$B$2)&gt;1,((WEEKDAY($A34)+$T$2)&lt;7),(WEEKDAY($A34)&lt;&gt;1)),"work",(INDEX(Subject!$A:$I,MATCH(RANDBETWEEN(1,(MAX(Subject!$B:$B))),Subject!$B:$B,0),3))))</f>
        <v/>
      </c>
      <c r="T34" s="2" t="str">
        <f t="array" ref="T34">IF(NOW()&gt;BE34,"",IF(AND((WEEKDAY($A34)+$B$2)&gt;1,((WEEKDAY($A34)+$T$2)&lt;7),(WEEKDAY($A34)&lt;&gt;1)),"work",(INDEX(Subject!$A:$I,MATCH(RANDBETWEEN(1,(MAX(Subject!$B:$B))),Subject!$B:$B,0),3))))</f>
        <v/>
      </c>
      <c r="U34" s="8" t="str">
        <f t="array" ref="U34">INDEX(Subject!$A:$I,MATCH(RANDBETWEEN(1,16),Subject!$B:$B,0),3)</f>
        <v>#N/A</v>
      </c>
      <c r="V34" s="8" t="str">
        <f t="array" ref="V34">INDEX(Subject!$A:$I,MATCH(RANDBETWEEN(1,16),Subject!$B:$B,0),3)</f>
        <v>#N/A</v>
      </c>
      <c r="W34" s="8" t="str">
        <f t="array" ref="W34">INDEX(Subject!$A:$I,MATCH(RANDBETWEEN(1,16),Subject!$B:$B,0),3)</f>
        <v>#N/A</v>
      </c>
      <c r="X34" s="8" t="str">
        <f t="array" ref="X34">INDEX(Subject!$A:$I,MATCH(RANDBETWEEN(1,16),Subject!$B:$B,0),3)</f>
        <v>#N/A</v>
      </c>
      <c r="Y34" s="8" t="str">
        <f t="array" ref="Y34">INDEX(Subject!$A:$I,MATCH(RANDBETWEEN(1,16),Subject!$B:$B,0),3)</f>
        <v>#N/A</v>
      </c>
      <c r="Z34" s="8" t="str">
        <f t="array" ref="Z34">INDEX(Subject!$A:$I,MATCH(RANDBETWEEN(1,16),Subject!$B:$B,0),3)</f>
        <v>#N/A</v>
      </c>
      <c r="AA34" s="8" t="str">
        <f t="array" ref="AA34">INDEX(Subject!$A:$I,MATCH(RANDBETWEEN(1,16),Subject!$B:$B,0),3)</f>
        <v>#N/A</v>
      </c>
      <c r="AB34" s="8" t="str">
        <f t="array" ref="AB34">INDEX(Subject!$A:$I,MATCH(RANDBETWEEN(1,16),Subject!$B:$B,0),3)</f>
        <v>#N/A</v>
      </c>
      <c r="AC34" s="8" t="str">
        <f t="array" ref="AC34">INDEX(Subject!$A:$I,MATCH(RANDBETWEEN(1,16),Subject!$B:$B,0),3)</f>
        <v>#N/A</v>
      </c>
      <c r="AD34" s="8" t="str">
        <f t="array" ref="AD34">INDEX(Subject!$A:$I,MATCH(RANDBETWEEN(1,16),Subject!$B:$B,0),3)</f>
        <v>#N/A</v>
      </c>
      <c r="AE34" s="8" t="str">
        <f t="array" ref="AE34">INDEX(Subject!$A:$I,MATCH(RANDBETWEEN(1,16),Subject!$B:$B,0),3)</f>
        <v/>
      </c>
      <c r="AF34" s="8" t="str">
        <f t="array" ref="AF34">INDEX(Subject!$A:$I,MATCH(RANDBETWEEN(1,16),Subject!$B:$B,0),3)</f>
        <v>#N/A</v>
      </c>
      <c r="AG34" s="8" t="str">
        <f t="array" ref="AG34">INDEX(Subject!$A:$I,MATCH(RANDBETWEEN(1,16),Subject!$B:$B,0),3)</f>
        <v>#N/A</v>
      </c>
      <c r="AH34" s="8" t="str">
        <f t="array" ref="AH34">INDEX(Subject!$A:$I,MATCH(RANDBETWEEN(1,16),Subject!$B:$B,0),3)</f>
        <v/>
      </c>
      <c r="AI34" s="8" t="str">
        <f t="array" ref="AI34">INDEX(Subject!$A:$I,MATCH(RANDBETWEEN(1,16),Subject!$B:$B,0),3)</f>
        <v/>
      </c>
      <c r="AJ34" s="8" t="str">
        <f t="array" ref="AJ34">INDEX(Subject!$A:$I,MATCH(RANDBETWEEN(1,16),Subject!$B:$B,0),3)</f>
        <v>#N/A</v>
      </c>
      <c r="AK34" s="8" t="str">
        <f t="array" ref="AK34">INDEX(Subject!$A:$I,MATCH(RANDBETWEEN(1,16),Subject!$B:$B,0),3)</f>
        <v>#N/A</v>
      </c>
      <c r="AL34" s="8" t="str">
        <f t="array" ref="AL34">INDEX(Subject!$A:$I,MATCH(RANDBETWEEN(1,16),Subject!$B:$B,0),3)</f>
        <v>#N/A</v>
      </c>
      <c r="AM34" s="18">
        <f t="shared" si="4"/>
        <v>45534.33333</v>
      </c>
      <c r="AN34" s="19">
        <f t="shared" ref="AN34:BZ34" si="34">$A34+C$1</f>
        <v>45534.35417</v>
      </c>
      <c r="AO34" s="19">
        <f t="shared" si="34"/>
        <v>45534.375</v>
      </c>
      <c r="AP34" s="19">
        <f t="shared" si="34"/>
        <v>45534.39583</v>
      </c>
      <c r="AQ34" s="19">
        <f t="shared" si="34"/>
        <v>45534.41667</v>
      </c>
      <c r="AR34" s="19">
        <f t="shared" si="34"/>
        <v>45534.4375</v>
      </c>
      <c r="AS34" s="19">
        <f t="shared" si="34"/>
        <v>45534.45833</v>
      </c>
      <c r="AT34" s="19">
        <f t="shared" si="34"/>
        <v>45534.47917</v>
      </c>
      <c r="AU34" s="19">
        <f t="shared" si="34"/>
        <v>45534.5</v>
      </c>
      <c r="AV34" s="19">
        <f t="shared" si="34"/>
        <v>45534.52083</v>
      </c>
      <c r="AW34" s="19">
        <f t="shared" si="34"/>
        <v>45534.54167</v>
      </c>
      <c r="AX34" s="19">
        <f t="shared" si="34"/>
        <v>45534.5625</v>
      </c>
      <c r="AY34" s="19">
        <f t="shared" si="34"/>
        <v>45534.58333</v>
      </c>
      <c r="AZ34" s="19">
        <f t="shared" si="34"/>
        <v>45534.60417</v>
      </c>
      <c r="BA34" s="19">
        <f t="shared" si="34"/>
        <v>45534.625</v>
      </c>
      <c r="BB34" s="19">
        <f t="shared" si="34"/>
        <v>45534.64583</v>
      </c>
      <c r="BC34" s="19">
        <f t="shared" si="34"/>
        <v>45534.66667</v>
      </c>
      <c r="BD34" s="19">
        <f t="shared" si="34"/>
        <v>45534.6875</v>
      </c>
      <c r="BE34" s="19">
        <f t="shared" si="34"/>
        <v>45534.70833</v>
      </c>
      <c r="BF34" s="19">
        <f t="shared" si="34"/>
        <v>45534.72917</v>
      </c>
      <c r="BG34" s="19">
        <f t="shared" si="34"/>
        <v>45534.75</v>
      </c>
      <c r="BH34" s="19">
        <f t="shared" si="34"/>
        <v>45534.77083</v>
      </c>
      <c r="BI34" s="19">
        <f t="shared" si="34"/>
        <v>45534.79167</v>
      </c>
      <c r="BJ34" s="19">
        <f t="shared" si="34"/>
        <v>45534.8125</v>
      </c>
      <c r="BK34" s="19">
        <f t="shared" si="34"/>
        <v>45534.83333</v>
      </c>
      <c r="BL34" s="19">
        <f t="shared" si="34"/>
        <v>45534.85417</v>
      </c>
      <c r="BM34" s="19">
        <f t="shared" si="34"/>
        <v>45534.875</v>
      </c>
      <c r="BN34" s="19">
        <f t="shared" si="34"/>
        <v>45534.89583</v>
      </c>
      <c r="BO34" s="19">
        <f t="shared" si="34"/>
        <v>45534.91667</v>
      </c>
      <c r="BP34" s="19">
        <f t="shared" si="34"/>
        <v>45534.9375</v>
      </c>
      <c r="BQ34" s="19">
        <f t="shared" si="34"/>
        <v>45534.95833</v>
      </c>
      <c r="BR34" s="19">
        <f t="shared" si="34"/>
        <v>45534.97917</v>
      </c>
      <c r="BS34" s="19">
        <f t="shared" si="34"/>
        <v>45535</v>
      </c>
      <c r="BT34" s="19">
        <f t="shared" si="34"/>
        <v>45535.02083</v>
      </c>
      <c r="BU34" s="19">
        <f t="shared" si="34"/>
        <v>45535.04167</v>
      </c>
      <c r="BV34" s="19">
        <f t="shared" si="34"/>
        <v>45535.0625</v>
      </c>
      <c r="BW34" s="19">
        <f t="shared" si="34"/>
        <v>45535.08333</v>
      </c>
      <c r="BX34" s="19">
        <f t="shared" si="34"/>
        <v>45534</v>
      </c>
      <c r="BY34" s="19">
        <f t="shared" si="34"/>
        <v>45534</v>
      </c>
      <c r="BZ34" s="19">
        <f t="shared" si="34"/>
        <v>45534</v>
      </c>
    </row>
    <row r="35" ht="14.25" customHeight="1">
      <c r="A35" s="17">
        <v>45535.0</v>
      </c>
      <c r="B35" s="2" t="str">
        <f t="array" ref="B35">IF(NOW()&gt;AM35,"",IF(AND((WEEKDAY($A35)+$B$2)&gt;1,((WEEKDAY($A35)+$T$2)&lt;7),(WEEKDAY($A35)&lt;&gt;1)),"work",(INDEX(Subject!$A:$I,MATCH(RANDBETWEEN(1,(MAX(Subject!$B:$B))),Subject!$B:$B,0),3))))</f>
        <v/>
      </c>
      <c r="C35" s="2" t="str">
        <f t="array" ref="C35">IF(NOW()&gt;AN35,"",IF(AND((WEEKDAY($A35)+$B$2)&gt;1,((WEEKDAY($A35)+$T$2)&lt;7),(WEEKDAY($A35)&lt;&gt;1)),"work",(INDEX(Subject!$A:$I,MATCH(RANDBETWEEN(1,(MAX(Subject!$B:$B))),Subject!$B:$B,0),3))))</f>
        <v/>
      </c>
      <c r="D35" s="2" t="str">
        <f t="array" ref="D35">IF(NOW()&gt;AO35,"",IF(AND((WEEKDAY($A35)+$B$2)&gt;1,((WEEKDAY($A35)+$T$2)&lt;7),(WEEKDAY($A35)&lt;&gt;1)),"work",(INDEX(Subject!$A:$I,MATCH(RANDBETWEEN(1,(MAX(Subject!$B:$B))),Subject!$B:$B,0),3))))</f>
        <v/>
      </c>
      <c r="E35" s="2" t="str">
        <f t="array" ref="E35">IF(NOW()&gt;AP35,"",IF(AND((WEEKDAY($A35)+$B$2)&gt;1,((WEEKDAY($A35)+$T$2)&lt;7),(WEEKDAY($A35)&lt;&gt;1)),"work",(INDEX(Subject!$A:$I,MATCH(RANDBETWEEN(1,(MAX(Subject!$B:$B))),Subject!$B:$B,0),3))))</f>
        <v/>
      </c>
      <c r="F35" s="2" t="str">
        <f t="array" ref="F35">IF(NOW()&gt;AQ35,"",IF(AND((WEEKDAY($A35)+$B$2)&gt;1,((WEEKDAY($A35)+$T$2)&lt;7),(WEEKDAY($A35)&lt;&gt;1)),"work",(INDEX(Subject!$A:$I,MATCH(RANDBETWEEN(1,(MAX(Subject!$B:$B))),Subject!$B:$B,0),3))))</f>
        <v/>
      </c>
      <c r="G35" s="2" t="str">
        <f t="array" ref="G35">IF(NOW()&gt;AR35,"",IF(AND((WEEKDAY($A35)+$B$2)&gt;1,((WEEKDAY($A35)+$T$2)&lt;7),(WEEKDAY($A35)&lt;&gt;1)),"work",(INDEX(Subject!$A:$I,MATCH(RANDBETWEEN(1,(MAX(Subject!$B:$B))),Subject!$B:$B,0),3))))</f>
        <v/>
      </c>
      <c r="H35" s="2" t="str">
        <f t="array" ref="H35">IF(NOW()&gt;AS35,"",IF(AND((WEEKDAY($A35)+$B$2)&gt;1,((WEEKDAY($A35)+$T$2)&lt;7),(WEEKDAY($A35)&lt;&gt;1)),"work",(INDEX(Subject!$A:$I,MATCH(RANDBETWEEN(1,(MAX(Subject!$B:$B))),Subject!$B:$B,0),3))))</f>
        <v/>
      </c>
      <c r="I35" s="2" t="str">
        <f t="array" ref="I35">IF(NOW()&gt;AT35,"",IF(AND((WEEKDAY($A35)+$B$2)&gt;1,((WEEKDAY($A35)+$T$2)&lt;7),(WEEKDAY($A35)&lt;&gt;1)),"work",(INDEX(Subject!$A:$I,MATCH(RANDBETWEEN(1,(MAX(Subject!$B:$B))),Subject!$B:$B,0),3))))</f>
        <v/>
      </c>
      <c r="J35" s="2" t="str">
        <f t="array" ref="J35">IF(NOW()&gt;AU35,"",IF(AND((WEEKDAY($A35)+$B$2)&gt;1,((WEEKDAY($A35)+$T$2)&lt;7),(WEEKDAY($A35)&lt;&gt;1)),"work",(INDEX(Subject!$A:$I,MATCH(RANDBETWEEN(1,(MAX(Subject!$B:$B))),Subject!$B:$B,0),3))))</f>
        <v/>
      </c>
      <c r="K35" s="2" t="str">
        <f t="array" ref="K35">IF(NOW()&gt;AV35,"",IF(AND((WEEKDAY($A35)+$B$2)&gt;1,((WEEKDAY($A35)+$T$2)&lt;7),(WEEKDAY($A35)&lt;&gt;1)),"work",(INDEX(Subject!$A:$I,MATCH(RANDBETWEEN(1,(MAX(Subject!$B:$B))),Subject!$B:$B,0),3))))</f>
        <v/>
      </c>
      <c r="L35" s="2" t="str">
        <f t="array" ref="L35">IF(NOW()&gt;AW35,"",IF(AND((WEEKDAY($A35)+$B$2)&gt;1,((WEEKDAY($A35)+$T$2)&lt;7),(WEEKDAY($A35)&lt;&gt;1)),"work",(INDEX(Subject!$A:$I,MATCH(RANDBETWEEN(1,(MAX(Subject!$B:$B))),Subject!$B:$B,0),3))))</f>
        <v/>
      </c>
      <c r="M35" s="2" t="str">
        <f t="array" ref="M35">IF(NOW()&gt;AX35,"",IF(AND((WEEKDAY($A35)+$B$2)&gt;1,((WEEKDAY($A35)+$T$2)&lt;7),(WEEKDAY($A35)&lt;&gt;1)),"work",(INDEX(Subject!$A:$I,MATCH(RANDBETWEEN(1,(MAX(Subject!$B:$B))),Subject!$B:$B,0),3))))</f>
        <v/>
      </c>
      <c r="N35" s="2" t="str">
        <f t="array" ref="N35">IF(NOW()&gt;AY35,"",IF(AND((WEEKDAY($A35)+$B$2)&gt;1,((WEEKDAY($A35)+$T$2)&lt;7),(WEEKDAY($A35)&lt;&gt;1)),"work",(INDEX(Subject!$A:$I,MATCH(RANDBETWEEN(1,(MAX(Subject!$B:$B))),Subject!$B:$B,0),3))))</f>
        <v/>
      </c>
      <c r="O35" s="2" t="str">
        <f t="array" ref="O35">IF(NOW()&gt;AZ35,"",IF(AND((WEEKDAY($A35)+$B$2)&gt;1,((WEEKDAY($A35)+$T$2)&lt;7),(WEEKDAY($A35)&lt;&gt;1)),"work",(INDEX(Subject!$A:$I,MATCH(RANDBETWEEN(1,(MAX(Subject!$B:$B))),Subject!$B:$B,0),3))))</f>
        <v/>
      </c>
      <c r="P35" s="2" t="str">
        <f t="array" ref="P35">IF(NOW()&gt;BA35,"",IF(AND((WEEKDAY($A35)+$B$2)&gt;1,((WEEKDAY($A35)+$T$2)&lt;7),(WEEKDAY($A35)&lt;&gt;1)),"work",(INDEX(Subject!$A:$I,MATCH(RANDBETWEEN(1,(MAX(Subject!$B:$B))),Subject!$B:$B,0),3))))</f>
        <v/>
      </c>
      <c r="Q35" s="2" t="str">
        <f t="array" ref="Q35">IF(NOW()&gt;BB35,"",IF(AND((WEEKDAY($A35)+$B$2)&gt;1,((WEEKDAY($A35)+$T$2)&lt;7),(WEEKDAY($A35)&lt;&gt;1)),"work",(INDEX(Subject!$A:$I,MATCH(RANDBETWEEN(1,(MAX(Subject!$B:$B))),Subject!$B:$B,0),3))))</f>
        <v/>
      </c>
      <c r="R35" s="2" t="str">
        <f t="array" ref="R35">IF(NOW()&gt;BC35,"",IF(AND((WEEKDAY($A35)+$B$2)&gt;1,((WEEKDAY($A35)+$T$2)&lt;7),(WEEKDAY($A35)&lt;&gt;1)),"work",(INDEX(Subject!$A:$I,MATCH(RANDBETWEEN(1,(MAX(Subject!$B:$B))),Subject!$B:$B,0),3))))</f>
        <v/>
      </c>
      <c r="S35" s="2" t="str">
        <f t="array" ref="S35">IF(NOW()&gt;BD35,"",IF(AND((WEEKDAY($A35)+$B$2)&gt;1,((WEEKDAY($A35)+$T$2)&lt;7),(WEEKDAY($A35)&lt;&gt;1)),"work",(INDEX(Subject!$A:$I,MATCH(RANDBETWEEN(1,(MAX(Subject!$B:$B))),Subject!$B:$B,0),3))))</f>
        <v/>
      </c>
      <c r="T35" s="2" t="str">
        <f t="array" ref="T35">IF(NOW()&gt;BE35,"",IF(AND((WEEKDAY($A35)+$B$2)&gt;1,((WEEKDAY($A35)+$T$2)&lt;7),(WEEKDAY($A35)&lt;&gt;1)),"work",(INDEX(Subject!$A:$I,MATCH(RANDBETWEEN(1,(MAX(Subject!$B:$B))),Subject!$B:$B,0),3))))</f>
        <v/>
      </c>
      <c r="U35" s="8" t="str">
        <f t="array" ref="U35">INDEX(Subject!$A:$I,MATCH(RANDBETWEEN(1,16),Subject!$B:$B,0),3)</f>
        <v>#N/A</v>
      </c>
      <c r="V35" s="8" t="str">
        <f t="array" ref="V35">INDEX(Subject!$A:$I,MATCH(RANDBETWEEN(1,16),Subject!$B:$B,0),3)</f>
        <v>#N/A</v>
      </c>
      <c r="W35" s="8" t="str">
        <f t="array" ref="W35">INDEX(Subject!$A:$I,MATCH(RANDBETWEEN(1,16),Subject!$B:$B,0),3)</f>
        <v>#N/A</v>
      </c>
      <c r="X35" s="8" t="str">
        <f t="array" ref="X35">INDEX(Subject!$A:$I,MATCH(RANDBETWEEN(1,16),Subject!$B:$B,0),3)</f>
        <v>#N/A</v>
      </c>
      <c r="Y35" s="8" t="str">
        <f t="array" ref="Y35">INDEX(Subject!$A:$I,MATCH(RANDBETWEEN(1,16),Subject!$B:$B,0),3)</f>
        <v>#N/A</v>
      </c>
      <c r="Z35" s="8" t="str">
        <f t="array" ref="Z35">INDEX(Subject!$A:$I,MATCH(RANDBETWEEN(1,16),Subject!$B:$B,0),3)</f>
        <v>#N/A</v>
      </c>
      <c r="AA35" s="8" t="str">
        <f t="array" ref="AA35">INDEX(Subject!$A:$I,MATCH(RANDBETWEEN(1,16),Subject!$B:$B,0),3)</f>
        <v>#N/A</v>
      </c>
      <c r="AB35" s="8" t="str">
        <f t="array" ref="AB35">INDEX(Subject!$A:$I,MATCH(RANDBETWEEN(1,16),Subject!$B:$B,0),3)</f>
        <v>#N/A</v>
      </c>
      <c r="AC35" s="8" t="str">
        <f t="array" ref="AC35">INDEX(Subject!$A:$I,MATCH(RANDBETWEEN(1,16),Subject!$B:$B,0),3)</f>
        <v/>
      </c>
      <c r="AD35" s="8" t="str">
        <f t="array" ref="AD35">INDEX(Subject!$A:$I,MATCH(RANDBETWEEN(1,16),Subject!$B:$B,0),3)</f>
        <v>#N/A</v>
      </c>
      <c r="AE35" s="8" t="str">
        <f t="array" ref="AE35">INDEX(Subject!$A:$I,MATCH(RANDBETWEEN(1,16),Subject!$B:$B,0),3)</f>
        <v>#N/A</v>
      </c>
      <c r="AF35" s="8" t="str">
        <f t="array" ref="AF35">INDEX(Subject!$A:$I,MATCH(RANDBETWEEN(1,16),Subject!$B:$B,0),3)</f>
        <v>#N/A</v>
      </c>
      <c r="AG35" s="8" t="str">
        <f t="array" ref="AG35">INDEX(Subject!$A:$I,MATCH(RANDBETWEEN(1,16),Subject!$B:$B,0),3)</f>
        <v>#N/A</v>
      </c>
      <c r="AH35" s="8" t="str">
        <f t="array" ref="AH35">INDEX(Subject!$A:$I,MATCH(RANDBETWEEN(1,16),Subject!$B:$B,0),3)</f>
        <v/>
      </c>
      <c r="AI35" s="8" t="str">
        <f t="array" ref="AI35">INDEX(Subject!$A:$I,MATCH(RANDBETWEEN(1,16),Subject!$B:$B,0),3)</f>
        <v>#N/A</v>
      </c>
      <c r="AJ35" s="8" t="str">
        <f t="array" ref="AJ35">INDEX(Subject!$A:$I,MATCH(RANDBETWEEN(1,16),Subject!$B:$B,0),3)</f>
        <v>#N/A</v>
      </c>
      <c r="AK35" s="8" t="str">
        <f t="array" ref="AK35">INDEX(Subject!$A:$I,MATCH(RANDBETWEEN(1,16),Subject!$B:$B,0),3)</f>
        <v>#N/A</v>
      </c>
      <c r="AL35" s="8" t="str">
        <f t="array" ref="AL35">INDEX(Subject!$A:$I,MATCH(RANDBETWEEN(1,16),Subject!$B:$B,0),3)</f>
        <v>#N/A</v>
      </c>
      <c r="AM35" s="18">
        <f t="shared" si="4"/>
        <v>45535.33333</v>
      </c>
      <c r="AN35" s="19">
        <f t="shared" ref="AN35:BZ35" si="35">$A35+C$1</f>
        <v>45535.35417</v>
      </c>
      <c r="AO35" s="19">
        <f t="shared" si="35"/>
        <v>45535.375</v>
      </c>
      <c r="AP35" s="19">
        <f t="shared" si="35"/>
        <v>45535.39583</v>
      </c>
      <c r="AQ35" s="19">
        <f t="shared" si="35"/>
        <v>45535.41667</v>
      </c>
      <c r="AR35" s="19">
        <f t="shared" si="35"/>
        <v>45535.4375</v>
      </c>
      <c r="AS35" s="19">
        <f t="shared" si="35"/>
        <v>45535.45833</v>
      </c>
      <c r="AT35" s="19">
        <f t="shared" si="35"/>
        <v>45535.47917</v>
      </c>
      <c r="AU35" s="19">
        <f t="shared" si="35"/>
        <v>45535.5</v>
      </c>
      <c r="AV35" s="19">
        <f t="shared" si="35"/>
        <v>45535.52083</v>
      </c>
      <c r="AW35" s="19">
        <f t="shared" si="35"/>
        <v>45535.54167</v>
      </c>
      <c r="AX35" s="19">
        <f t="shared" si="35"/>
        <v>45535.5625</v>
      </c>
      <c r="AY35" s="19">
        <f t="shared" si="35"/>
        <v>45535.58333</v>
      </c>
      <c r="AZ35" s="19">
        <f t="shared" si="35"/>
        <v>45535.60417</v>
      </c>
      <c r="BA35" s="19">
        <f t="shared" si="35"/>
        <v>45535.625</v>
      </c>
      <c r="BB35" s="19">
        <f t="shared" si="35"/>
        <v>45535.64583</v>
      </c>
      <c r="BC35" s="19">
        <f t="shared" si="35"/>
        <v>45535.66667</v>
      </c>
      <c r="BD35" s="19">
        <f t="shared" si="35"/>
        <v>45535.6875</v>
      </c>
      <c r="BE35" s="19">
        <f t="shared" si="35"/>
        <v>45535.70833</v>
      </c>
      <c r="BF35" s="19">
        <f t="shared" si="35"/>
        <v>45535.72917</v>
      </c>
      <c r="BG35" s="19">
        <f t="shared" si="35"/>
        <v>45535.75</v>
      </c>
      <c r="BH35" s="19">
        <f t="shared" si="35"/>
        <v>45535.77083</v>
      </c>
      <c r="BI35" s="19">
        <f t="shared" si="35"/>
        <v>45535.79167</v>
      </c>
      <c r="BJ35" s="19">
        <f t="shared" si="35"/>
        <v>45535.8125</v>
      </c>
      <c r="BK35" s="19">
        <f t="shared" si="35"/>
        <v>45535.83333</v>
      </c>
      <c r="BL35" s="19">
        <f t="shared" si="35"/>
        <v>45535.85417</v>
      </c>
      <c r="BM35" s="19">
        <f t="shared" si="35"/>
        <v>45535.875</v>
      </c>
      <c r="BN35" s="19">
        <f t="shared" si="35"/>
        <v>45535.89583</v>
      </c>
      <c r="BO35" s="19">
        <f t="shared" si="35"/>
        <v>45535.91667</v>
      </c>
      <c r="BP35" s="19">
        <f t="shared" si="35"/>
        <v>45535.9375</v>
      </c>
      <c r="BQ35" s="19">
        <f t="shared" si="35"/>
        <v>45535.95833</v>
      </c>
      <c r="BR35" s="19">
        <f t="shared" si="35"/>
        <v>45535.97917</v>
      </c>
      <c r="BS35" s="19">
        <f t="shared" si="35"/>
        <v>45536</v>
      </c>
      <c r="BT35" s="19">
        <f t="shared" si="35"/>
        <v>45536.02083</v>
      </c>
      <c r="BU35" s="19">
        <f t="shared" si="35"/>
        <v>45536.04167</v>
      </c>
      <c r="BV35" s="19">
        <f t="shared" si="35"/>
        <v>45536.0625</v>
      </c>
      <c r="BW35" s="19">
        <f t="shared" si="35"/>
        <v>45536.08333</v>
      </c>
      <c r="BX35" s="19">
        <f t="shared" si="35"/>
        <v>45535</v>
      </c>
      <c r="BY35" s="19">
        <f t="shared" si="35"/>
        <v>45535</v>
      </c>
      <c r="BZ35" s="19">
        <f t="shared" si="35"/>
        <v>45535</v>
      </c>
    </row>
    <row r="36" ht="14.25" customHeight="1">
      <c r="A36" s="17">
        <v>45536.0</v>
      </c>
      <c r="B36" s="2" t="str">
        <f t="array" ref="B36">IF(NOW()&gt;AM36,"",IF(AND((WEEKDAY($A36)+$B$2)&gt;1,((WEEKDAY($A36)+$T$2)&lt;7),(WEEKDAY($A36)&lt;&gt;1)),"work",(INDEX(Subject!$A:$I,MATCH(RANDBETWEEN(1,(MAX(Subject!$B:$B))),Subject!$B:$B,0),3))))</f>
        <v/>
      </c>
      <c r="C36" s="2" t="str">
        <f t="array" ref="C36">IF(NOW()&gt;AN36,"",IF(AND((WEEKDAY($A36)+$B$2)&gt;1,((WEEKDAY($A36)+$T$2)&lt;7),(WEEKDAY($A36)&lt;&gt;1)),"work",(INDEX(Subject!$A:$I,MATCH(RANDBETWEEN(1,(MAX(Subject!$B:$B))),Subject!$B:$B,0),3))))</f>
        <v/>
      </c>
      <c r="D36" s="2" t="str">
        <f t="array" ref="D36">IF(NOW()&gt;AO36,"",IF(AND((WEEKDAY($A36)+$B$2)&gt;1,((WEEKDAY($A36)+$T$2)&lt;7),(WEEKDAY($A36)&lt;&gt;1)),"work",(INDEX(Subject!$A:$I,MATCH(RANDBETWEEN(1,(MAX(Subject!$B:$B))),Subject!$B:$B,0),3))))</f>
        <v/>
      </c>
      <c r="E36" s="2" t="str">
        <f t="array" ref="E36">IF(NOW()&gt;AP36,"",IF(AND((WEEKDAY($A36)+$B$2)&gt;1,((WEEKDAY($A36)+$T$2)&lt;7),(WEEKDAY($A36)&lt;&gt;1)),"work",(INDEX(Subject!$A:$I,MATCH(RANDBETWEEN(1,(MAX(Subject!$B:$B))),Subject!$B:$B,0),3))))</f>
        <v/>
      </c>
      <c r="F36" s="2" t="str">
        <f t="array" ref="F36">IF(NOW()&gt;AQ36,"",IF(AND((WEEKDAY($A36)+$B$2)&gt;1,((WEEKDAY($A36)+$T$2)&lt;7),(WEEKDAY($A36)&lt;&gt;1)),"work",(INDEX(Subject!$A:$I,MATCH(RANDBETWEEN(1,(MAX(Subject!$B:$B))),Subject!$B:$B,0),3))))</f>
        <v/>
      </c>
      <c r="G36" s="2" t="str">
        <f t="array" ref="G36">IF(NOW()&gt;AR36,"",IF(AND((WEEKDAY($A36)+$B$2)&gt;1,((WEEKDAY($A36)+$T$2)&lt;7),(WEEKDAY($A36)&lt;&gt;1)),"work",(INDEX(Subject!$A:$I,MATCH(RANDBETWEEN(1,(MAX(Subject!$B:$B))),Subject!$B:$B,0),3))))</f>
        <v/>
      </c>
      <c r="H36" s="2" t="str">
        <f t="array" ref="H36">IF(NOW()&gt;AS36,"",IF(AND((WEEKDAY($A36)+$B$2)&gt;1,((WEEKDAY($A36)+$T$2)&lt;7),(WEEKDAY($A36)&lt;&gt;1)),"work",(INDEX(Subject!$A:$I,MATCH(RANDBETWEEN(1,(MAX(Subject!$B:$B))),Subject!$B:$B,0),3))))</f>
        <v/>
      </c>
      <c r="I36" s="2" t="str">
        <f t="array" ref="I36">IF(NOW()&gt;AT36,"",IF(AND((WEEKDAY($A36)+$B$2)&gt;1,((WEEKDAY($A36)+$T$2)&lt;7),(WEEKDAY($A36)&lt;&gt;1)),"work",(INDEX(Subject!$A:$I,MATCH(RANDBETWEEN(1,(MAX(Subject!$B:$B))),Subject!$B:$B,0),3))))</f>
        <v/>
      </c>
      <c r="J36" s="2" t="str">
        <f t="array" ref="J36">IF(NOW()&gt;AU36,"",IF(AND((WEEKDAY($A36)+$B$2)&gt;1,((WEEKDAY($A36)+$T$2)&lt;7),(WEEKDAY($A36)&lt;&gt;1)),"work",(INDEX(Subject!$A:$I,MATCH(RANDBETWEEN(1,(MAX(Subject!$B:$B))),Subject!$B:$B,0),3))))</f>
        <v/>
      </c>
      <c r="K36" s="2" t="str">
        <f t="array" ref="K36">IF(NOW()&gt;AV36,"",IF(AND((WEEKDAY($A36)+$B$2)&gt;1,((WEEKDAY($A36)+$T$2)&lt;7),(WEEKDAY($A36)&lt;&gt;1)),"work",(INDEX(Subject!$A:$I,MATCH(RANDBETWEEN(1,(MAX(Subject!$B:$B))),Subject!$B:$B,0),3))))</f>
        <v/>
      </c>
      <c r="L36" s="2" t="str">
        <f t="array" ref="L36">IF(NOW()&gt;AW36,"",IF(AND((WEEKDAY($A36)+$B$2)&gt;1,((WEEKDAY($A36)+$T$2)&lt;7),(WEEKDAY($A36)&lt;&gt;1)),"work",(INDEX(Subject!$A:$I,MATCH(RANDBETWEEN(1,(MAX(Subject!$B:$B))),Subject!$B:$B,0),3))))</f>
        <v/>
      </c>
      <c r="M36" s="2" t="str">
        <f t="array" ref="M36">IF(NOW()&gt;AX36,"",IF(AND((WEEKDAY($A36)+$B$2)&gt;1,((WEEKDAY($A36)+$T$2)&lt;7),(WEEKDAY($A36)&lt;&gt;1)),"work",(INDEX(Subject!$A:$I,MATCH(RANDBETWEEN(1,(MAX(Subject!$B:$B))),Subject!$B:$B,0),3))))</f>
        <v/>
      </c>
      <c r="N36" s="2" t="str">
        <f t="array" ref="N36">IF(NOW()&gt;AY36,"",IF(AND((WEEKDAY($A36)+$B$2)&gt;1,((WEEKDAY($A36)+$T$2)&lt;7),(WEEKDAY($A36)&lt;&gt;1)),"work",(INDEX(Subject!$A:$I,MATCH(RANDBETWEEN(1,(MAX(Subject!$B:$B))),Subject!$B:$B,0),3))))</f>
        <v/>
      </c>
      <c r="O36" s="2" t="str">
        <f t="array" ref="O36">IF(NOW()&gt;AZ36,"",IF(AND((WEEKDAY($A36)+$B$2)&gt;1,((WEEKDAY($A36)+$T$2)&lt;7),(WEEKDAY($A36)&lt;&gt;1)),"work",(INDEX(Subject!$A:$I,MATCH(RANDBETWEEN(1,(MAX(Subject!$B:$B))),Subject!$B:$B,0),3))))</f>
        <v/>
      </c>
      <c r="P36" s="2" t="str">
        <f t="array" ref="P36">IF(NOW()&gt;BA36,"",IF(AND((WEEKDAY($A36)+$B$2)&gt;1,((WEEKDAY($A36)+$T$2)&lt;7),(WEEKDAY($A36)&lt;&gt;1)),"work",(INDEX(Subject!$A:$I,MATCH(RANDBETWEEN(1,(MAX(Subject!$B:$B))),Subject!$B:$B,0),3))))</f>
        <v/>
      </c>
      <c r="Q36" s="2" t="str">
        <f t="array" ref="Q36">IF(NOW()&gt;BB36,"",IF(AND((WEEKDAY($A36)+$B$2)&gt;1,((WEEKDAY($A36)+$T$2)&lt;7),(WEEKDAY($A36)&lt;&gt;1)),"work",(INDEX(Subject!$A:$I,MATCH(RANDBETWEEN(1,(MAX(Subject!$B:$B))),Subject!$B:$B,0),3))))</f>
        <v/>
      </c>
      <c r="R36" s="2" t="str">
        <f t="array" ref="R36">IF(NOW()&gt;BC36,"",IF(AND((WEEKDAY($A36)+$B$2)&gt;1,((WEEKDAY($A36)+$T$2)&lt;7),(WEEKDAY($A36)&lt;&gt;1)),"work",(INDEX(Subject!$A:$I,MATCH(RANDBETWEEN(1,(MAX(Subject!$B:$B))),Subject!$B:$B,0),3))))</f>
        <v/>
      </c>
      <c r="S36" s="2" t="str">
        <f t="array" ref="S36">IF(NOW()&gt;BD36,"",IF(AND((WEEKDAY($A36)+$B$2)&gt;1,((WEEKDAY($A36)+$T$2)&lt;7),(WEEKDAY($A36)&lt;&gt;1)),"work",(INDEX(Subject!$A:$I,MATCH(RANDBETWEEN(1,(MAX(Subject!$B:$B))),Subject!$B:$B,0),3))))</f>
        <v/>
      </c>
      <c r="T36" s="2" t="str">
        <f t="array" ref="T36">IF(NOW()&gt;BE36,"",IF(AND((WEEKDAY($A36)+$B$2)&gt;1,((WEEKDAY($A36)+$T$2)&lt;7),(WEEKDAY($A36)&lt;&gt;1)),"work",(INDEX(Subject!$A:$I,MATCH(RANDBETWEEN(1,(MAX(Subject!$B:$B))),Subject!$B:$B,0),3))))</f>
        <v/>
      </c>
      <c r="U36" s="8" t="str">
        <f t="array" ref="U36">INDEX(Subject!$A:$I,MATCH(RANDBETWEEN(1,16),Subject!$B:$B,0),3)</f>
        <v>#N/A</v>
      </c>
      <c r="V36" s="8" t="str">
        <f t="array" ref="V36">INDEX(Subject!$A:$I,MATCH(RANDBETWEEN(1,16),Subject!$B:$B,0),3)</f>
        <v>#N/A</v>
      </c>
      <c r="W36" s="8" t="str">
        <f t="array" ref="W36">INDEX(Subject!$A:$I,MATCH(RANDBETWEEN(1,16),Subject!$B:$B,0),3)</f>
        <v>#N/A</v>
      </c>
      <c r="X36" s="8" t="str">
        <f t="array" ref="X36">INDEX(Subject!$A:$I,MATCH(RANDBETWEEN(1,16),Subject!$B:$B,0),3)</f>
        <v>#N/A</v>
      </c>
      <c r="Y36" s="8" t="str">
        <f t="array" ref="Y36">INDEX(Subject!$A:$I,MATCH(RANDBETWEEN(1,16),Subject!$B:$B,0),3)</f>
        <v>#N/A</v>
      </c>
      <c r="Z36" s="8" t="str">
        <f t="array" ref="Z36">INDEX(Subject!$A:$I,MATCH(RANDBETWEEN(1,16),Subject!$B:$B,0),3)</f>
        <v>#N/A</v>
      </c>
      <c r="AA36" s="8" t="str">
        <f t="array" ref="AA36">INDEX(Subject!$A:$I,MATCH(RANDBETWEEN(1,16),Subject!$B:$B,0),3)</f>
        <v>#N/A</v>
      </c>
      <c r="AB36" s="8" t="str">
        <f t="array" ref="AB36">INDEX(Subject!$A:$I,MATCH(RANDBETWEEN(1,16),Subject!$B:$B,0),3)</f>
        <v>#N/A</v>
      </c>
      <c r="AC36" s="8" t="str">
        <f t="array" ref="AC36">INDEX(Subject!$A:$I,MATCH(RANDBETWEEN(1,16),Subject!$B:$B,0),3)</f>
        <v/>
      </c>
      <c r="AD36" s="8" t="str">
        <f t="array" ref="AD36">INDEX(Subject!$A:$I,MATCH(RANDBETWEEN(1,16),Subject!$B:$B,0),3)</f>
        <v>#N/A</v>
      </c>
      <c r="AE36" s="8" t="str">
        <f t="array" ref="AE36">INDEX(Subject!$A:$I,MATCH(RANDBETWEEN(1,16),Subject!$B:$B,0),3)</f>
        <v>#N/A</v>
      </c>
      <c r="AF36" s="8" t="str">
        <f t="array" ref="AF36">INDEX(Subject!$A:$I,MATCH(RANDBETWEEN(1,16),Subject!$B:$B,0),3)</f>
        <v>#N/A</v>
      </c>
      <c r="AG36" s="8" t="str">
        <f t="array" ref="AG36">INDEX(Subject!$A:$I,MATCH(RANDBETWEEN(1,16),Subject!$B:$B,0),3)</f>
        <v>#N/A</v>
      </c>
      <c r="AH36" s="8" t="str">
        <f t="array" ref="AH36">INDEX(Subject!$A:$I,MATCH(RANDBETWEEN(1,16),Subject!$B:$B,0),3)</f>
        <v>#N/A</v>
      </c>
      <c r="AI36" s="8" t="str">
        <f t="array" ref="AI36">INDEX(Subject!$A:$I,MATCH(RANDBETWEEN(1,16),Subject!$B:$B,0),3)</f>
        <v>#N/A</v>
      </c>
      <c r="AJ36" s="8" t="str">
        <f t="array" ref="AJ36">INDEX(Subject!$A:$I,MATCH(RANDBETWEEN(1,16),Subject!$B:$B,0),3)</f>
        <v>#N/A</v>
      </c>
      <c r="AK36" s="8" t="str">
        <f t="array" ref="AK36">INDEX(Subject!$A:$I,MATCH(RANDBETWEEN(1,16),Subject!$B:$B,0),3)</f>
        <v>#N/A</v>
      </c>
      <c r="AL36" s="8" t="str">
        <f t="array" ref="AL36">INDEX(Subject!$A:$I,MATCH(RANDBETWEEN(1,16),Subject!$B:$B,0),3)</f>
        <v>#N/A</v>
      </c>
      <c r="AM36" s="18">
        <f t="shared" si="4"/>
        <v>45536.33333</v>
      </c>
      <c r="AN36" s="19">
        <f t="shared" ref="AN36:BZ36" si="36">$A36+C$1</f>
        <v>45536.35417</v>
      </c>
      <c r="AO36" s="19">
        <f t="shared" si="36"/>
        <v>45536.375</v>
      </c>
      <c r="AP36" s="19">
        <f t="shared" si="36"/>
        <v>45536.39583</v>
      </c>
      <c r="AQ36" s="19">
        <f t="shared" si="36"/>
        <v>45536.41667</v>
      </c>
      <c r="AR36" s="19">
        <f t="shared" si="36"/>
        <v>45536.4375</v>
      </c>
      <c r="AS36" s="19">
        <f t="shared" si="36"/>
        <v>45536.45833</v>
      </c>
      <c r="AT36" s="19">
        <f t="shared" si="36"/>
        <v>45536.47917</v>
      </c>
      <c r="AU36" s="19">
        <f t="shared" si="36"/>
        <v>45536.5</v>
      </c>
      <c r="AV36" s="19">
        <f t="shared" si="36"/>
        <v>45536.52083</v>
      </c>
      <c r="AW36" s="19">
        <f t="shared" si="36"/>
        <v>45536.54167</v>
      </c>
      <c r="AX36" s="19">
        <f t="shared" si="36"/>
        <v>45536.5625</v>
      </c>
      <c r="AY36" s="19">
        <f t="shared" si="36"/>
        <v>45536.58333</v>
      </c>
      <c r="AZ36" s="19">
        <f t="shared" si="36"/>
        <v>45536.60417</v>
      </c>
      <c r="BA36" s="19">
        <f t="shared" si="36"/>
        <v>45536.625</v>
      </c>
      <c r="BB36" s="19">
        <f t="shared" si="36"/>
        <v>45536.64583</v>
      </c>
      <c r="BC36" s="19">
        <f t="shared" si="36"/>
        <v>45536.66667</v>
      </c>
      <c r="BD36" s="19">
        <f t="shared" si="36"/>
        <v>45536.6875</v>
      </c>
      <c r="BE36" s="19">
        <f t="shared" si="36"/>
        <v>45536.70833</v>
      </c>
      <c r="BF36" s="19">
        <f t="shared" si="36"/>
        <v>45536.72917</v>
      </c>
      <c r="BG36" s="19">
        <f t="shared" si="36"/>
        <v>45536.75</v>
      </c>
      <c r="BH36" s="19">
        <f t="shared" si="36"/>
        <v>45536.77083</v>
      </c>
      <c r="BI36" s="19">
        <f t="shared" si="36"/>
        <v>45536.79167</v>
      </c>
      <c r="BJ36" s="19">
        <f t="shared" si="36"/>
        <v>45536.8125</v>
      </c>
      <c r="BK36" s="19">
        <f t="shared" si="36"/>
        <v>45536.83333</v>
      </c>
      <c r="BL36" s="19">
        <f t="shared" si="36"/>
        <v>45536.85417</v>
      </c>
      <c r="BM36" s="19">
        <f t="shared" si="36"/>
        <v>45536.875</v>
      </c>
      <c r="BN36" s="19">
        <f t="shared" si="36"/>
        <v>45536.89583</v>
      </c>
      <c r="BO36" s="19">
        <f t="shared" si="36"/>
        <v>45536.91667</v>
      </c>
      <c r="BP36" s="19">
        <f t="shared" si="36"/>
        <v>45536.9375</v>
      </c>
      <c r="BQ36" s="19">
        <f t="shared" si="36"/>
        <v>45536.95833</v>
      </c>
      <c r="BR36" s="19">
        <f t="shared" si="36"/>
        <v>45536.97917</v>
      </c>
      <c r="BS36" s="19">
        <f t="shared" si="36"/>
        <v>45537</v>
      </c>
      <c r="BT36" s="19">
        <f t="shared" si="36"/>
        <v>45537.02083</v>
      </c>
      <c r="BU36" s="19">
        <f t="shared" si="36"/>
        <v>45537.04167</v>
      </c>
      <c r="BV36" s="19">
        <f t="shared" si="36"/>
        <v>45537.0625</v>
      </c>
      <c r="BW36" s="19">
        <f t="shared" si="36"/>
        <v>45537.08333</v>
      </c>
      <c r="BX36" s="19">
        <f t="shared" si="36"/>
        <v>45536</v>
      </c>
      <c r="BY36" s="19">
        <f t="shared" si="36"/>
        <v>45536</v>
      </c>
      <c r="BZ36" s="19">
        <f t="shared" si="36"/>
        <v>45536</v>
      </c>
    </row>
    <row r="37" ht="14.25" customHeight="1">
      <c r="A37" s="17">
        <v>45537.0</v>
      </c>
      <c r="B37" s="2" t="str">
        <f t="array" ref="B37">IF(NOW()&gt;AM37,"",IF(AND((WEEKDAY($A37)+$B$2)&gt;1,((WEEKDAY($A37)+$T$2)&lt;7),(WEEKDAY($A37)&lt;&gt;1)),"work",(INDEX(Subject!$A:$I,MATCH(RANDBETWEEN(1,(MAX(Subject!$B:$B))),Subject!$B:$B,0),3))))</f>
        <v/>
      </c>
      <c r="C37" s="2" t="str">
        <f t="array" ref="C37">IF(NOW()&gt;AN37,"",IF(AND((WEEKDAY($A37)+$B$2)&gt;1,((WEEKDAY($A37)+$T$2)&lt;7),(WEEKDAY($A37)&lt;&gt;1)),"work",(INDEX(Subject!$A:$I,MATCH(RANDBETWEEN(1,(MAX(Subject!$B:$B))),Subject!$B:$B,0),3))))</f>
        <v/>
      </c>
      <c r="D37" s="2" t="str">
        <f t="array" ref="D37">IF(NOW()&gt;AO37,"",IF(AND((WEEKDAY($A37)+$B$2)&gt;1,((WEEKDAY($A37)+$T$2)&lt;7),(WEEKDAY($A37)&lt;&gt;1)),"work",(INDEX(Subject!$A:$I,MATCH(RANDBETWEEN(1,(MAX(Subject!$B:$B))),Subject!$B:$B,0),3))))</f>
        <v/>
      </c>
      <c r="E37" s="2" t="str">
        <f t="array" ref="E37">IF(NOW()&gt;AP37,"",IF(AND((WEEKDAY($A37)+$B$2)&gt;1,((WEEKDAY($A37)+$T$2)&lt;7),(WEEKDAY($A37)&lt;&gt;1)),"work",(INDEX(Subject!$A:$I,MATCH(RANDBETWEEN(1,(MAX(Subject!$B:$B))),Subject!$B:$B,0),3))))</f>
        <v/>
      </c>
      <c r="F37" s="2" t="str">
        <f t="array" ref="F37">IF(NOW()&gt;AQ37,"",IF(AND((WEEKDAY($A37)+$B$2)&gt;1,((WEEKDAY($A37)+$T$2)&lt;7),(WEEKDAY($A37)&lt;&gt;1)),"work",(INDEX(Subject!$A:$I,MATCH(RANDBETWEEN(1,(MAX(Subject!$B:$B))),Subject!$B:$B,0),3))))</f>
        <v/>
      </c>
      <c r="G37" s="2" t="str">
        <f t="array" ref="G37">IF(NOW()&gt;AR37,"",IF(AND((WEEKDAY($A37)+$B$2)&gt;1,((WEEKDAY($A37)+$T$2)&lt;7),(WEEKDAY($A37)&lt;&gt;1)),"work",(INDEX(Subject!$A:$I,MATCH(RANDBETWEEN(1,(MAX(Subject!$B:$B))),Subject!$B:$B,0),3))))</f>
        <v/>
      </c>
      <c r="H37" s="2" t="str">
        <f t="array" ref="H37">IF(NOW()&gt;AS37,"",IF(AND((WEEKDAY($A37)+$B$2)&gt;1,((WEEKDAY($A37)+$T$2)&lt;7),(WEEKDAY($A37)&lt;&gt;1)),"work",(INDEX(Subject!$A:$I,MATCH(RANDBETWEEN(1,(MAX(Subject!$B:$B))),Subject!$B:$B,0),3))))</f>
        <v/>
      </c>
      <c r="I37" s="2" t="str">
        <f t="array" ref="I37">IF(NOW()&gt;AT37,"",IF(AND((WEEKDAY($A37)+$B$2)&gt;1,((WEEKDAY($A37)+$T$2)&lt;7),(WEEKDAY($A37)&lt;&gt;1)),"work",(INDEX(Subject!$A:$I,MATCH(RANDBETWEEN(1,(MAX(Subject!$B:$B))),Subject!$B:$B,0),3))))</f>
        <v/>
      </c>
      <c r="J37" s="2" t="str">
        <f t="array" ref="J37">IF(NOW()&gt;AU37,"",IF(AND((WEEKDAY($A37)+$B$2)&gt;1,((WEEKDAY($A37)+$T$2)&lt;7),(WEEKDAY($A37)&lt;&gt;1)),"work",(INDEX(Subject!$A:$I,MATCH(RANDBETWEEN(1,(MAX(Subject!$B:$B))),Subject!$B:$B,0),3))))</f>
        <v/>
      </c>
      <c r="K37" s="2" t="str">
        <f t="array" ref="K37">IF(NOW()&gt;AV37,"",IF(AND((WEEKDAY($A37)+$B$2)&gt;1,((WEEKDAY($A37)+$T$2)&lt;7),(WEEKDAY($A37)&lt;&gt;1)),"work",(INDEX(Subject!$A:$I,MATCH(RANDBETWEEN(1,(MAX(Subject!$B:$B))),Subject!$B:$B,0),3))))</f>
        <v/>
      </c>
      <c r="L37" s="2" t="str">
        <f t="array" ref="L37">IF(NOW()&gt;AW37,"",IF(AND((WEEKDAY($A37)+$B$2)&gt;1,((WEEKDAY($A37)+$T$2)&lt;7),(WEEKDAY($A37)&lt;&gt;1)),"work",(INDEX(Subject!$A:$I,MATCH(RANDBETWEEN(1,(MAX(Subject!$B:$B))),Subject!$B:$B,0),3))))</f>
        <v/>
      </c>
      <c r="M37" s="2" t="str">
        <f t="array" ref="M37">IF(NOW()&gt;AX37,"",IF(AND((WEEKDAY($A37)+$B$2)&gt;1,((WEEKDAY($A37)+$T$2)&lt;7),(WEEKDAY($A37)&lt;&gt;1)),"work",(INDEX(Subject!$A:$I,MATCH(RANDBETWEEN(1,(MAX(Subject!$B:$B))),Subject!$B:$B,0),3))))</f>
        <v/>
      </c>
      <c r="N37" s="2" t="str">
        <f t="array" ref="N37">IF(NOW()&gt;AY37,"",IF(AND((WEEKDAY($A37)+$B$2)&gt;1,((WEEKDAY($A37)+$T$2)&lt;7),(WEEKDAY($A37)&lt;&gt;1)),"work",(INDEX(Subject!$A:$I,MATCH(RANDBETWEEN(1,(MAX(Subject!$B:$B))),Subject!$B:$B,0),3))))</f>
        <v/>
      </c>
      <c r="O37" s="2" t="str">
        <f t="array" ref="O37">IF(NOW()&gt;AZ37,"",IF(AND((WEEKDAY($A37)+$B$2)&gt;1,((WEEKDAY($A37)+$T$2)&lt;7),(WEEKDAY($A37)&lt;&gt;1)),"work",(INDEX(Subject!$A:$I,MATCH(RANDBETWEEN(1,(MAX(Subject!$B:$B))),Subject!$B:$B,0),3))))</f>
        <v/>
      </c>
      <c r="P37" s="2" t="str">
        <f t="array" ref="P37">IF(NOW()&gt;BA37,"",IF(AND((WEEKDAY($A37)+$B$2)&gt;1,((WEEKDAY($A37)+$T$2)&lt;7),(WEEKDAY($A37)&lt;&gt;1)),"work",(INDEX(Subject!$A:$I,MATCH(RANDBETWEEN(1,(MAX(Subject!$B:$B))),Subject!$B:$B,0),3))))</f>
        <v/>
      </c>
      <c r="Q37" s="2" t="str">
        <f t="array" ref="Q37">IF(NOW()&gt;BB37,"",IF(AND((WEEKDAY($A37)+$B$2)&gt;1,((WEEKDAY($A37)+$T$2)&lt;7),(WEEKDAY($A37)&lt;&gt;1)),"work",(INDEX(Subject!$A:$I,MATCH(RANDBETWEEN(1,(MAX(Subject!$B:$B))),Subject!$B:$B,0),3))))</f>
        <v/>
      </c>
      <c r="R37" s="2" t="str">
        <f t="array" ref="R37">IF(NOW()&gt;BC37,"",IF(AND((WEEKDAY($A37)+$B$2)&gt;1,((WEEKDAY($A37)+$T$2)&lt;7),(WEEKDAY($A37)&lt;&gt;1)),"work",(INDEX(Subject!$A:$I,MATCH(RANDBETWEEN(1,(MAX(Subject!$B:$B))),Subject!$B:$B,0),3))))</f>
        <v/>
      </c>
      <c r="S37" s="2" t="str">
        <f t="array" ref="S37">IF(NOW()&gt;BD37,"",IF(AND((WEEKDAY($A37)+$B$2)&gt;1,((WEEKDAY($A37)+$T$2)&lt;7),(WEEKDAY($A37)&lt;&gt;1)),"work",(INDEX(Subject!$A:$I,MATCH(RANDBETWEEN(1,(MAX(Subject!$B:$B))),Subject!$B:$B,0),3))))</f>
        <v/>
      </c>
      <c r="T37" s="2" t="str">
        <f t="array" ref="T37">IF(NOW()&gt;BE37,"",IF(AND((WEEKDAY($A37)+$B$2)&gt;1,((WEEKDAY($A37)+$T$2)&lt;7),(WEEKDAY($A37)&lt;&gt;1)),"work",(INDEX(Subject!$A:$I,MATCH(RANDBETWEEN(1,(MAX(Subject!$B:$B))),Subject!$B:$B,0),3))))</f>
        <v/>
      </c>
      <c r="U37" s="8" t="str">
        <f t="array" ref="U37">INDEX(Subject!$A:$I,MATCH(RANDBETWEEN(1,16),Subject!$B:$B,0),3)</f>
        <v/>
      </c>
      <c r="V37" s="8" t="str">
        <f t="array" ref="V37">INDEX(Subject!$A:$I,MATCH(RANDBETWEEN(1,16),Subject!$B:$B,0),3)</f>
        <v/>
      </c>
      <c r="W37" s="8" t="str">
        <f t="array" ref="W37">INDEX(Subject!$A:$I,MATCH(RANDBETWEEN(1,16),Subject!$B:$B,0),3)</f>
        <v>#N/A</v>
      </c>
      <c r="X37" s="8" t="str">
        <f t="array" ref="X37">INDEX(Subject!$A:$I,MATCH(RANDBETWEEN(1,16),Subject!$B:$B,0),3)</f>
        <v>#N/A</v>
      </c>
      <c r="Y37" s="8" t="str">
        <f t="array" ref="Y37">INDEX(Subject!$A:$I,MATCH(RANDBETWEEN(1,16),Subject!$B:$B,0),3)</f>
        <v>#N/A</v>
      </c>
      <c r="Z37" s="8" t="str">
        <f t="array" ref="Z37">INDEX(Subject!$A:$I,MATCH(RANDBETWEEN(1,16),Subject!$B:$B,0),3)</f>
        <v>#N/A</v>
      </c>
      <c r="AA37" s="8" t="str">
        <f t="array" ref="AA37">INDEX(Subject!$A:$I,MATCH(RANDBETWEEN(1,16),Subject!$B:$B,0),3)</f>
        <v/>
      </c>
      <c r="AB37" s="8" t="str">
        <f t="array" ref="AB37">INDEX(Subject!$A:$I,MATCH(RANDBETWEEN(1,16),Subject!$B:$B,0),3)</f>
        <v>#N/A</v>
      </c>
      <c r="AC37" s="8" t="str">
        <f t="array" ref="AC37">INDEX(Subject!$A:$I,MATCH(RANDBETWEEN(1,16),Subject!$B:$B,0),3)</f>
        <v>#N/A</v>
      </c>
      <c r="AD37" s="8" t="str">
        <f t="array" ref="AD37">INDEX(Subject!$A:$I,MATCH(RANDBETWEEN(1,16),Subject!$B:$B,0),3)</f>
        <v>#N/A</v>
      </c>
      <c r="AE37" s="8" t="str">
        <f t="array" ref="AE37">INDEX(Subject!$A:$I,MATCH(RANDBETWEEN(1,16),Subject!$B:$B,0),3)</f>
        <v>#N/A</v>
      </c>
      <c r="AF37" s="8" t="str">
        <f t="array" ref="AF37">INDEX(Subject!$A:$I,MATCH(RANDBETWEEN(1,16),Subject!$B:$B,0),3)</f>
        <v>#N/A</v>
      </c>
      <c r="AG37" s="8" t="str">
        <f t="array" ref="AG37">INDEX(Subject!$A:$I,MATCH(RANDBETWEEN(1,16),Subject!$B:$B,0),3)</f>
        <v>#N/A</v>
      </c>
      <c r="AH37" s="8" t="str">
        <f t="array" ref="AH37">INDEX(Subject!$A:$I,MATCH(RANDBETWEEN(1,16),Subject!$B:$B,0),3)</f>
        <v>#N/A</v>
      </c>
      <c r="AI37" s="8" t="str">
        <f t="array" ref="AI37">INDEX(Subject!$A:$I,MATCH(RANDBETWEEN(1,16),Subject!$B:$B,0),3)</f>
        <v>#N/A</v>
      </c>
      <c r="AJ37" s="8" t="str">
        <f t="array" ref="AJ37">INDEX(Subject!$A:$I,MATCH(RANDBETWEEN(1,16),Subject!$B:$B,0),3)</f>
        <v>#N/A</v>
      </c>
      <c r="AK37" s="8" t="str">
        <f t="array" ref="AK37">INDEX(Subject!$A:$I,MATCH(RANDBETWEEN(1,16),Subject!$B:$B,0),3)</f>
        <v>#N/A</v>
      </c>
      <c r="AL37" s="8" t="str">
        <f t="array" ref="AL37">INDEX(Subject!$A:$I,MATCH(RANDBETWEEN(1,16),Subject!$B:$B,0),3)</f>
        <v>#N/A</v>
      </c>
      <c r="AM37" s="18">
        <f t="shared" si="4"/>
        <v>45537.33333</v>
      </c>
      <c r="AN37" s="19">
        <f t="shared" ref="AN37:BZ37" si="37">$A37+C$1</f>
        <v>45537.35417</v>
      </c>
      <c r="AO37" s="19">
        <f t="shared" si="37"/>
        <v>45537.375</v>
      </c>
      <c r="AP37" s="19">
        <f t="shared" si="37"/>
        <v>45537.39583</v>
      </c>
      <c r="AQ37" s="19">
        <f t="shared" si="37"/>
        <v>45537.41667</v>
      </c>
      <c r="AR37" s="19">
        <f t="shared" si="37"/>
        <v>45537.4375</v>
      </c>
      <c r="AS37" s="19">
        <f t="shared" si="37"/>
        <v>45537.45833</v>
      </c>
      <c r="AT37" s="19">
        <f t="shared" si="37"/>
        <v>45537.47917</v>
      </c>
      <c r="AU37" s="19">
        <f t="shared" si="37"/>
        <v>45537.5</v>
      </c>
      <c r="AV37" s="19">
        <f t="shared" si="37"/>
        <v>45537.52083</v>
      </c>
      <c r="AW37" s="19">
        <f t="shared" si="37"/>
        <v>45537.54167</v>
      </c>
      <c r="AX37" s="19">
        <f t="shared" si="37"/>
        <v>45537.5625</v>
      </c>
      <c r="AY37" s="19">
        <f t="shared" si="37"/>
        <v>45537.58333</v>
      </c>
      <c r="AZ37" s="19">
        <f t="shared" si="37"/>
        <v>45537.60417</v>
      </c>
      <c r="BA37" s="19">
        <f t="shared" si="37"/>
        <v>45537.625</v>
      </c>
      <c r="BB37" s="19">
        <f t="shared" si="37"/>
        <v>45537.64583</v>
      </c>
      <c r="BC37" s="19">
        <f t="shared" si="37"/>
        <v>45537.66667</v>
      </c>
      <c r="BD37" s="19">
        <f t="shared" si="37"/>
        <v>45537.6875</v>
      </c>
      <c r="BE37" s="19">
        <f t="shared" si="37"/>
        <v>45537.70833</v>
      </c>
      <c r="BF37" s="19">
        <f t="shared" si="37"/>
        <v>45537.72917</v>
      </c>
      <c r="BG37" s="19">
        <f t="shared" si="37"/>
        <v>45537.75</v>
      </c>
      <c r="BH37" s="19">
        <f t="shared" si="37"/>
        <v>45537.77083</v>
      </c>
      <c r="BI37" s="19">
        <f t="shared" si="37"/>
        <v>45537.79167</v>
      </c>
      <c r="BJ37" s="19">
        <f t="shared" si="37"/>
        <v>45537.8125</v>
      </c>
      <c r="BK37" s="19">
        <f t="shared" si="37"/>
        <v>45537.83333</v>
      </c>
      <c r="BL37" s="19">
        <f t="shared" si="37"/>
        <v>45537.85417</v>
      </c>
      <c r="BM37" s="19">
        <f t="shared" si="37"/>
        <v>45537.875</v>
      </c>
      <c r="BN37" s="19">
        <f t="shared" si="37"/>
        <v>45537.89583</v>
      </c>
      <c r="BO37" s="19">
        <f t="shared" si="37"/>
        <v>45537.91667</v>
      </c>
      <c r="BP37" s="19">
        <f t="shared" si="37"/>
        <v>45537.9375</v>
      </c>
      <c r="BQ37" s="19">
        <f t="shared" si="37"/>
        <v>45537.95833</v>
      </c>
      <c r="BR37" s="19">
        <f t="shared" si="37"/>
        <v>45537.97917</v>
      </c>
      <c r="BS37" s="19">
        <f t="shared" si="37"/>
        <v>45538</v>
      </c>
      <c r="BT37" s="19">
        <f t="shared" si="37"/>
        <v>45538.02083</v>
      </c>
      <c r="BU37" s="19">
        <f t="shared" si="37"/>
        <v>45538.04167</v>
      </c>
      <c r="BV37" s="19">
        <f t="shared" si="37"/>
        <v>45538.0625</v>
      </c>
      <c r="BW37" s="19">
        <f t="shared" si="37"/>
        <v>45538.08333</v>
      </c>
      <c r="BX37" s="19">
        <f t="shared" si="37"/>
        <v>45537</v>
      </c>
      <c r="BY37" s="19">
        <f t="shared" si="37"/>
        <v>45537</v>
      </c>
      <c r="BZ37" s="19">
        <f t="shared" si="37"/>
        <v>45537</v>
      </c>
    </row>
    <row r="38" ht="14.25" customHeight="1">
      <c r="A38" s="17">
        <v>45538.0</v>
      </c>
      <c r="B38" s="2" t="str">
        <f t="array" ref="B38">IF(NOW()&gt;AM38,"",IF(AND((WEEKDAY($A38)+$B$2)&gt;1,((WEEKDAY($A38)+$T$2)&lt;7),(WEEKDAY($A38)&lt;&gt;1)),"work",(INDEX(Subject!$A:$I,MATCH(RANDBETWEEN(1,(MAX(Subject!$B:$B))),Subject!$B:$B,0),3))))</f>
        <v/>
      </c>
      <c r="C38" s="2" t="str">
        <f t="array" ref="C38">IF(NOW()&gt;AN38,"",IF(AND((WEEKDAY($A38)+$B$2)&gt;1,((WEEKDAY($A38)+$T$2)&lt;7),(WEEKDAY($A38)&lt;&gt;1)),"work",(INDEX(Subject!$A:$I,MATCH(RANDBETWEEN(1,(MAX(Subject!$B:$B))),Subject!$B:$B,0),3))))</f>
        <v/>
      </c>
      <c r="D38" s="2" t="str">
        <f t="array" ref="D38">IF(NOW()&gt;AO38,"",IF(AND((WEEKDAY($A38)+$B$2)&gt;1,((WEEKDAY($A38)+$T$2)&lt;7),(WEEKDAY($A38)&lt;&gt;1)),"work",(INDEX(Subject!$A:$I,MATCH(RANDBETWEEN(1,(MAX(Subject!$B:$B))),Subject!$B:$B,0),3))))</f>
        <v/>
      </c>
      <c r="E38" s="2" t="str">
        <f t="array" ref="E38">IF(NOW()&gt;AP38,"",IF(AND((WEEKDAY($A38)+$B$2)&gt;1,((WEEKDAY($A38)+$T$2)&lt;7),(WEEKDAY($A38)&lt;&gt;1)),"work",(INDEX(Subject!$A:$I,MATCH(RANDBETWEEN(1,(MAX(Subject!$B:$B))),Subject!$B:$B,0),3))))</f>
        <v/>
      </c>
      <c r="F38" s="2" t="str">
        <f t="array" ref="F38">IF(NOW()&gt;AQ38,"",IF(AND((WEEKDAY($A38)+$B$2)&gt;1,((WEEKDAY($A38)+$T$2)&lt;7),(WEEKDAY($A38)&lt;&gt;1)),"work",(INDEX(Subject!$A:$I,MATCH(RANDBETWEEN(1,(MAX(Subject!$B:$B))),Subject!$B:$B,0),3))))</f>
        <v/>
      </c>
      <c r="G38" s="2" t="str">
        <f t="array" ref="G38">IF(NOW()&gt;AR38,"",IF(AND((WEEKDAY($A38)+$B$2)&gt;1,((WEEKDAY($A38)+$T$2)&lt;7),(WEEKDAY($A38)&lt;&gt;1)),"work",(INDEX(Subject!$A:$I,MATCH(RANDBETWEEN(1,(MAX(Subject!$B:$B))),Subject!$B:$B,0),3))))</f>
        <v/>
      </c>
      <c r="H38" s="2" t="str">
        <f t="array" ref="H38">IF(NOW()&gt;AS38,"",IF(AND((WEEKDAY($A38)+$B$2)&gt;1,((WEEKDAY($A38)+$T$2)&lt;7),(WEEKDAY($A38)&lt;&gt;1)),"work",(INDEX(Subject!$A:$I,MATCH(RANDBETWEEN(1,(MAX(Subject!$B:$B))),Subject!$B:$B,0),3))))</f>
        <v/>
      </c>
      <c r="I38" s="2" t="str">
        <f t="array" ref="I38">IF(NOW()&gt;AT38,"",IF(AND((WEEKDAY($A38)+$B$2)&gt;1,((WEEKDAY($A38)+$T$2)&lt;7),(WEEKDAY($A38)&lt;&gt;1)),"work",(INDEX(Subject!$A:$I,MATCH(RANDBETWEEN(1,(MAX(Subject!$B:$B))),Subject!$B:$B,0),3))))</f>
        <v/>
      </c>
      <c r="J38" s="2" t="str">
        <f t="array" ref="J38">IF(NOW()&gt;AU38,"",IF(AND((WEEKDAY($A38)+$B$2)&gt;1,((WEEKDAY($A38)+$T$2)&lt;7),(WEEKDAY($A38)&lt;&gt;1)),"work",(INDEX(Subject!$A:$I,MATCH(RANDBETWEEN(1,(MAX(Subject!$B:$B))),Subject!$B:$B,0),3))))</f>
        <v/>
      </c>
      <c r="K38" s="2" t="str">
        <f t="array" ref="K38">IF(NOW()&gt;AV38,"",IF(AND((WEEKDAY($A38)+$B$2)&gt;1,((WEEKDAY($A38)+$T$2)&lt;7),(WEEKDAY($A38)&lt;&gt;1)),"work",(INDEX(Subject!$A:$I,MATCH(RANDBETWEEN(1,(MAX(Subject!$B:$B))),Subject!$B:$B,0),3))))</f>
        <v/>
      </c>
      <c r="L38" s="2" t="str">
        <f t="array" ref="L38">IF(NOW()&gt;AW38,"",IF(AND((WEEKDAY($A38)+$B$2)&gt;1,((WEEKDAY($A38)+$T$2)&lt;7),(WEEKDAY($A38)&lt;&gt;1)),"work",(INDEX(Subject!$A:$I,MATCH(RANDBETWEEN(1,(MAX(Subject!$B:$B))),Subject!$B:$B,0),3))))</f>
        <v/>
      </c>
      <c r="M38" s="2" t="str">
        <f t="array" ref="M38">IF(NOW()&gt;AX38,"",IF(AND((WEEKDAY($A38)+$B$2)&gt;1,((WEEKDAY($A38)+$T$2)&lt;7),(WEEKDAY($A38)&lt;&gt;1)),"work",(INDEX(Subject!$A:$I,MATCH(RANDBETWEEN(1,(MAX(Subject!$B:$B))),Subject!$B:$B,0),3))))</f>
        <v/>
      </c>
      <c r="N38" s="2" t="str">
        <f t="array" ref="N38">IF(NOW()&gt;AY38,"",IF(AND((WEEKDAY($A38)+$B$2)&gt;1,((WEEKDAY($A38)+$T$2)&lt;7),(WEEKDAY($A38)&lt;&gt;1)),"work",(INDEX(Subject!$A:$I,MATCH(RANDBETWEEN(1,(MAX(Subject!$B:$B))),Subject!$B:$B,0),3))))</f>
        <v/>
      </c>
      <c r="O38" s="2" t="str">
        <f t="array" ref="O38">IF(NOW()&gt;AZ38,"",IF(AND((WEEKDAY($A38)+$B$2)&gt;1,((WEEKDAY($A38)+$T$2)&lt;7),(WEEKDAY($A38)&lt;&gt;1)),"work",(INDEX(Subject!$A:$I,MATCH(RANDBETWEEN(1,(MAX(Subject!$B:$B))),Subject!$B:$B,0),3))))</f>
        <v/>
      </c>
      <c r="P38" s="2" t="str">
        <f t="array" ref="P38">IF(NOW()&gt;BA38,"",IF(AND((WEEKDAY($A38)+$B$2)&gt;1,((WEEKDAY($A38)+$T$2)&lt;7),(WEEKDAY($A38)&lt;&gt;1)),"work",(INDEX(Subject!$A:$I,MATCH(RANDBETWEEN(1,(MAX(Subject!$B:$B))),Subject!$B:$B,0),3))))</f>
        <v/>
      </c>
      <c r="Q38" s="2" t="str">
        <f t="array" ref="Q38">IF(NOW()&gt;BB38,"",IF(AND((WEEKDAY($A38)+$B$2)&gt;1,((WEEKDAY($A38)+$T$2)&lt;7),(WEEKDAY($A38)&lt;&gt;1)),"work",(INDEX(Subject!$A:$I,MATCH(RANDBETWEEN(1,(MAX(Subject!$B:$B))),Subject!$B:$B,0),3))))</f>
        <v/>
      </c>
      <c r="R38" s="2" t="str">
        <f t="array" ref="R38">IF(NOW()&gt;BC38,"",IF(AND((WEEKDAY($A38)+$B$2)&gt;1,((WEEKDAY($A38)+$T$2)&lt;7),(WEEKDAY($A38)&lt;&gt;1)),"work",(INDEX(Subject!$A:$I,MATCH(RANDBETWEEN(1,(MAX(Subject!$B:$B))),Subject!$B:$B,0),3))))</f>
        <v/>
      </c>
      <c r="S38" s="2" t="str">
        <f t="array" ref="S38">IF(NOW()&gt;BD38,"",IF(AND((WEEKDAY($A38)+$B$2)&gt;1,((WEEKDAY($A38)+$T$2)&lt;7),(WEEKDAY($A38)&lt;&gt;1)),"work",(INDEX(Subject!$A:$I,MATCH(RANDBETWEEN(1,(MAX(Subject!$B:$B))),Subject!$B:$B,0),3))))</f>
        <v/>
      </c>
      <c r="T38" s="2" t="str">
        <f t="array" ref="T38">IF(NOW()&gt;BE38,"",IF(AND((WEEKDAY($A38)+$B$2)&gt;1,((WEEKDAY($A38)+$T$2)&lt;7),(WEEKDAY($A38)&lt;&gt;1)),"work",(INDEX(Subject!$A:$I,MATCH(RANDBETWEEN(1,(MAX(Subject!$B:$B))),Subject!$B:$B,0),3))))</f>
        <v/>
      </c>
      <c r="U38" s="8" t="str">
        <f t="array" ref="U38">INDEX(Subject!$A:$I,MATCH(RANDBETWEEN(1,16),Subject!$B:$B,0),3)</f>
        <v>#N/A</v>
      </c>
      <c r="V38" s="8" t="str">
        <f t="array" ref="V38">INDEX(Subject!$A:$I,MATCH(RANDBETWEEN(1,16),Subject!$B:$B,0),3)</f>
        <v>#N/A</v>
      </c>
      <c r="W38" s="8" t="str">
        <f t="array" ref="W38">INDEX(Subject!$A:$I,MATCH(RANDBETWEEN(1,16),Subject!$B:$B,0),3)</f>
        <v>#N/A</v>
      </c>
      <c r="X38" s="8" t="str">
        <f t="array" ref="X38">INDEX(Subject!$A:$I,MATCH(RANDBETWEEN(1,16),Subject!$B:$B,0),3)</f>
        <v>#N/A</v>
      </c>
      <c r="Y38" s="8" t="str">
        <f t="array" ref="Y38">INDEX(Subject!$A:$I,MATCH(RANDBETWEEN(1,16),Subject!$B:$B,0),3)</f>
        <v>#N/A</v>
      </c>
      <c r="Z38" s="8" t="str">
        <f t="array" ref="Z38">INDEX(Subject!$A:$I,MATCH(RANDBETWEEN(1,16),Subject!$B:$B,0),3)</f>
        <v>#N/A</v>
      </c>
      <c r="AA38" s="8" t="str">
        <f t="array" ref="AA38">INDEX(Subject!$A:$I,MATCH(RANDBETWEEN(1,16),Subject!$B:$B,0),3)</f>
        <v>#N/A</v>
      </c>
      <c r="AB38" s="8" t="str">
        <f t="array" ref="AB38">INDEX(Subject!$A:$I,MATCH(RANDBETWEEN(1,16),Subject!$B:$B,0),3)</f>
        <v>#N/A</v>
      </c>
      <c r="AC38" s="8" t="str">
        <f t="array" ref="AC38">INDEX(Subject!$A:$I,MATCH(RANDBETWEEN(1,16),Subject!$B:$B,0),3)</f>
        <v>#N/A</v>
      </c>
      <c r="AD38" s="8" t="str">
        <f t="array" ref="AD38">INDEX(Subject!$A:$I,MATCH(RANDBETWEEN(1,16),Subject!$B:$B,0),3)</f>
        <v>#N/A</v>
      </c>
      <c r="AE38" s="8" t="str">
        <f t="array" ref="AE38">INDEX(Subject!$A:$I,MATCH(RANDBETWEEN(1,16),Subject!$B:$B,0),3)</f>
        <v>#N/A</v>
      </c>
      <c r="AF38" s="8" t="str">
        <f t="array" ref="AF38">INDEX(Subject!$A:$I,MATCH(RANDBETWEEN(1,16),Subject!$B:$B,0),3)</f>
        <v>#N/A</v>
      </c>
      <c r="AG38" s="8" t="str">
        <f t="array" ref="AG38">INDEX(Subject!$A:$I,MATCH(RANDBETWEEN(1,16),Subject!$B:$B,0),3)</f>
        <v>#N/A</v>
      </c>
      <c r="AH38" s="8" t="str">
        <f t="array" ref="AH38">INDEX(Subject!$A:$I,MATCH(RANDBETWEEN(1,16),Subject!$B:$B,0),3)</f>
        <v>#N/A</v>
      </c>
      <c r="AI38" s="8" t="str">
        <f t="array" ref="AI38">INDEX(Subject!$A:$I,MATCH(RANDBETWEEN(1,16),Subject!$B:$B,0),3)</f>
        <v>#N/A</v>
      </c>
      <c r="AJ38" s="8" t="str">
        <f t="array" ref="AJ38">INDEX(Subject!$A:$I,MATCH(RANDBETWEEN(1,16),Subject!$B:$B,0),3)</f>
        <v>#N/A</v>
      </c>
      <c r="AK38" s="8" t="str">
        <f t="array" ref="AK38">INDEX(Subject!$A:$I,MATCH(RANDBETWEEN(1,16),Subject!$B:$B,0),3)</f>
        <v>#N/A</v>
      </c>
      <c r="AL38" s="8" t="str">
        <f t="array" ref="AL38">INDEX(Subject!$A:$I,MATCH(RANDBETWEEN(1,16),Subject!$B:$B,0),3)</f>
        <v>#N/A</v>
      </c>
      <c r="AM38" s="18">
        <f t="shared" si="4"/>
        <v>45538.33333</v>
      </c>
      <c r="AN38" s="19">
        <f t="shared" ref="AN38:BZ38" si="38">$A38+C$1</f>
        <v>45538.35417</v>
      </c>
      <c r="AO38" s="19">
        <f t="shared" si="38"/>
        <v>45538.375</v>
      </c>
      <c r="AP38" s="19">
        <f t="shared" si="38"/>
        <v>45538.39583</v>
      </c>
      <c r="AQ38" s="19">
        <f t="shared" si="38"/>
        <v>45538.41667</v>
      </c>
      <c r="AR38" s="19">
        <f t="shared" si="38"/>
        <v>45538.4375</v>
      </c>
      <c r="AS38" s="19">
        <f t="shared" si="38"/>
        <v>45538.45833</v>
      </c>
      <c r="AT38" s="19">
        <f t="shared" si="38"/>
        <v>45538.47917</v>
      </c>
      <c r="AU38" s="19">
        <f t="shared" si="38"/>
        <v>45538.5</v>
      </c>
      <c r="AV38" s="19">
        <f t="shared" si="38"/>
        <v>45538.52083</v>
      </c>
      <c r="AW38" s="19">
        <f t="shared" si="38"/>
        <v>45538.54167</v>
      </c>
      <c r="AX38" s="19">
        <f t="shared" si="38"/>
        <v>45538.5625</v>
      </c>
      <c r="AY38" s="19">
        <f t="shared" si="38"/>
        <v>45538.58333</v>
      </c>
      <c r="AZ38" s="19">
        <f t="shared" si="38"/>
        <v>45538.60417</v>
      </c>
      <c r="BA38" s="19">
        <f t="shared" si="38"/>
        <v>45538.625</v>
      </c>
      <c r="BB38" s="19">
        <f t="shared" si="38"/>
        <v>45538.64583</v>
      </c>
      <c r="BC38" s="19">
        <f t="shared" si="38"/>
        <v>45538.66667</v>
      </c>
      <c r="BD38" s="19">
        <f t="shared" si="38"/>
        <v>45538.6875</v>
      </c>
      <c r="BE38" s="19">
        <f t="shared" si="38"/>
        <v>45538.70833</v>
      </c>
      <c r="BF38" s="19">
        <f t="shared" si="38"/>
        <v>45538.72917</v>
      </c>
      <c r="BG38" s="19">
        <f t="shared" si="38"/>
        <v>45538.75</v>
      </c>
      <c r="BH38" s="19">
        <f t="shared" si="38"/>
        <v>45538.77083</v>
      </c>
      <c r="BI38" s="19">
        <f t="shared" si="38"/>
        <v>45538.79167</v>
      </c>
      <c r="BJ38" s="19">
        <f t="shared" si="38"/>
        <v>45538.8125</v>
      </c>
      <c r="BK38" s="19">
        <f t="shared" si="38"/>
        <v>45538.83333</v>
      </c>
      <c r="BL38" s="19">
        <f t="shared" si="38"/>
        <v>45538.85417</v>
      </c>
      <c r="BM38" s="19">
        <f t="shared" si="38"/>
        <v>45538.875</v>
      </c>
      <c r="BN38" s="19">
        <f t="shared" si="38"/>
        <v>45538.89583</v>
      </c>
      <c r="BO38" s="19">
        <f t="shared" si="38"/>
        <v>45538.91667</v>
      </c>
      <c r="BP38" s="19">
        <f t="shared" si="38"/>
        <v>45538.9375</v>
      </c>
      <c r="BQ38" s="19">
        <f t="shared" si="38"/>
        <v>45538.95833</v>
      </c>
      <c r="BR38" s="19">
        <f t="shared" si="38"/>
        <v>45538.97917</v>
      </c>
      <c r="BS38" s="19">
        <f t="shared" si="38"/>
        <v>45539</v>
      </c>
      <c r="BT38" s="19">
        <f t="shared" si="38"/>
        <v>45539.02083</v>
      </c>
      <c r="BU38" s="19">
        <f t="shared" si="38"/>
        <v>45539.04167</v>
      </c>
      <c r="BV38" s="19">
        <f t="shared" si="38"/>
        <v>45539.0625</v>
      </c>
      <c r="BW38" s="19">
        <f t="shared" si="38"/>
        <v>45539.08333</v>
      </c>
      <c r="BX38" s="19">
        <f t="shared" si="38"/>
        <v>45538</v>
      </c>
      <c r="BY38" s="19">
        <f t="shared" si="38"/>
        <v>45538</v>
      </c>
      <c r="BZ38" s="19">
        <f t="shared" si="38"/>
        <v>45538</v>
      </c>
    </row>
    <row r="39" ht="14.25" customHeight="1">
      <c r="A39" s="17">
        <v>45539.0</v>
      </c>
      <c r="B39" s="2" t="str">
        <f t="array" ref="B39">IF(NOW()&gt;AM39,"",IF(AND((WEEKDAY($A39)+$B$2)&gt;1,((WEEKDAY($A39)+$T$2)&lt;7),(WEEKDAY($A39)&lt;&gt;1)),"work",(INDEX(Subject!$A:$I,MATCH(RANDBETWEEN(1,(MAX(Subject!$B:$B))),Subject!$B:$B,0),3))))</f>
        <v/>
      </c>
      <c r="C39" s="2" t="str">
        <f t="array" ref="C39">IF(NOW()&gt;AN39,"",IF(AND((WEEKDAY($A39)+$B$2)&gt;1,((WEEKDAY($A39)+$T$2)&lt;7),(WEEKDAY($A39)&lt;&gt;1)),"work",(INDEX(Subject!$A:$I,MATCH(RANDBETWEEN(1,(MAX(Subject!$B:$B))),Subject!$B:$B,0),3))))</f>
        <v/>
      </c>
      <c r="D39" s="2" t="str">
        <f t="array" ref="D39">IF(NOW()&gt;AO39,"",IF(AND((WEEKDAY($A39)+$B$2)&gt;1,((WEEKDAY($A39)+$T$2)&lt;7),(WEEKDAY($A39)&lt;&gt;1)),"work",(INDEX(Subject!$A:$I,MATCH(RANDBETWEEN(1,(MAX(Subject!$B:$B))),Subject!$B:$B,0),3))))</f>
        <v/>
      </c>
      <c r="E39" s="2" t="str">
        <f t="array" ref="E39">IF(NOW()&gt;AP39,"",IF(AND((WEEKDAY($A39)+$B$2)&gt;1,((WEEKDAY($A39)+$T$2)&lt;7),(WEEKDAY($A39)&lt;&gt;1)),"work",(INDEX(Subject!$A:$I,MATCH(RANDBETWEEN(1,(MAX(Subject!$B:$B))),Subject!$B:$B,0),3))))</f>
        <v/>
      </c>
      <c r="F39" s="2" t="str">
        <f t="array" ref="F39">IF(NOW()&gt;AQ39,"",IF(AND((WEEKDAY($A39)+$B$2)&gt;1,((WEEKDAY($A39)+$T$2)&lt;7),(WEEKDAY($A39)&lt;&gt;1)),"work",(INDEX(Subject!$A:$I,MATCH(RANDBETWEEN(1,(MAX(Subject!$B:$B))),Subject!$B:$B,0),3))))</f>
        <v/>
      </c>
      <c r="G39" s="2" t="str">
        <f t="array" ref="G39">IF(NOW()&gt;AR39,"",IF(AND((WEEKDAY($A39)+$B$2)&gt;1,((WEEKDAY($A39)+$T$2)&lt;7),(WEEKDAY($A39)&lt;&gt;1)),"work",(INDEX(Subject!$A:$I,MATCH(RANDBETWEEN(1,(MAX(Subject!$B:$B))),Subject!$B:$B,0),3))))</f>
        <v/>
      </c>
      <c r="H39" s="2" t="str">
        <f t="array" ref="H39">IF(NOW()&gt;AS39,"",IF(AND((WEEKDAY($A39)+$B$2)&gt;1,((WEEKDAY($A39)+$T$2)&lt;7),(WEEKDAY($A39)&lt;&gt;1)),"work",(INDEX(Subject!$A:$I,MATCH(RANDBETWEEN(1,(MAX(Subject!$B:$B))),Subject!$B:$B,0),3))))</f>
        <v/>
      </c>
      <c r="I39" s="2" t="str">
        <f t="array" ref="I39">IF(NOW()&gt;AT39,"",IF(AND((WEEKDAY($A39)+$B$2)&gt;1,((WEEKDAY($A39)+$T$2)&lt;7),(WEEKDAY($A39)&lt;&gt;1)),"work",(INDEX(Subject!$A:$I,MATCH(RANDBETWEEN(1,(MAX(Subject!$B:$B))),Subject!$B:$B,0),3))))</f>
        <v/>
      </c>
      <c r="J39" s="2" t="str">
        <f t="array" ref="J39">IF(NOW()&gt;AU39,"",IF(AND((WEEKDAY($A39)+$B$2)&gt;1,((WEEKDAY($A39)+$T$2)&lt;7),(WEEKDAY($A39)&lt;&gt;1)),"work",(INDEX(Subject!$A:$I,MATCH(RANDBETWEEN(1,(MAX(Subject!$B:$B))),Subject!$B:$B,0),3))))</f>
        <v/>
      </c>
      <c r="K39" s="2" t="str">
        <f t="array" ref="K39">IF(NOW()&gt;AV39,"",IF(AND((WEEKDAY($A39)+$B$2)&gt;1,((WEEKDAY($A39)+$T$2)&lt;7),(WEEKDAY($A39)&lt;&gt;1)),"work",(INDEX(Subject!$A:$I,MATCH(RANDBETWEEN(1,(MAX(Subject!$B:$B))),Subject!$B:$B,0),3))))</f>
        <v/>
      </c>
      <c r="L39" s="2" t="str">
        <f t="array" ref="L39">IF(NOW()&gt;AW39,"",IF(AND((WEEKDAY($A39)+$B$2)&gt;1,((WEEKDAY($A39)+$T$2)&lt;7),(WEEKDAY($A39)&lt;&gt;1)),"work",(INDEX(Subject!$A:$I,MATCH(RANDBETWEEN(1,(MAX(Subject!$B:$B))),Subject!$B:$B,0),3))))</f>
        <v/>
      </c>
      <c r="M39" s="2" t="str">
        <f t="array" ref="M39">IF(NOW()&gt;AX39,"",IF(AND((WEEKDAY($A39)+$B$2)&gt;1,((WEEKDAY($A39)+$T$2)&lt;7),(WEEKDAY($A39)&lt;&gt;1)),"work",(INDEX(Subject!$A:$I,MATCH(RANDBETWEEN(1,(MAX(Subject!$B:$B))),Subject!$B:$B,0),3))))</f>
        <v/>
      </c>
      <c r="N39" s="2" t="str">
        <f t="array" ref="N39">IF(NOW()&gt;AY39,"",IF(AND((WEEKDAY($A39)+$B$2)&gt;1,((WEEKDAY($A39)+$T$2)&lt;7),(WEEKDAY($A39)&lt;&gt;1)),"work",(INDEX(Subject!$A:$I,MATCH(RANDBETWEEN(1,(MAX(Subject!$B:$B))),Subject!$B:$B,0),3))))</f>
        <v/>
      </c>
      <c r="O39" s="2" t="str">
        <f t="array" ref="O39">IF(NOW()&gt;AZ39,"",IF(AND((WEEKDAY($A39)+$B$2)&gt;1,((WEEKDAY($A39)+$T$2)&lt;7),(WEEKDAY($A39)&lt;&gt;1)),"work",(INDEX(Subject!$A:$I,MATCH(RANDBETWEEN(1,(MAX(Subject!$B:$B))),Subject!$B:$B,0),3))))</f>
        <v/>
      </c>
      <c r="P39" s="2" t="str">
        <f t="array" ref="P39">IF(NOW()&gt;BA39,"",IF(AND((WEEKDAY($A39)+$B$2)&gt;1,((WEEKDAY($A39)+$T$2)&lt;7),(WEEKDAY($A39)&lt;&gt;1)),"work",(INDEX(Subject!$A:$I,MATCH(RANDBETWEEN(1,(MAX(Subject!$B:$B))),Subject!$B:$B,0),3))))</f>
        <v/>
      </c>
      <c r="Q39" s="2" t="str">
        <f t="array" ref="Q39">IF(NOW()&gt;BB39,"",IF(AND((WEEKDAY($A39)+$B$2)&gt;1,((WEEKDAY($A39)+$T$2)&lt;7),(WEEKDAY($A39)&lt;&gt;1)),"work",(INDEX(Subject!$A:$I,MATCH(RANDBETWEEN(1,(MAX(Subject!$B:$B))),Subject!$B:$B,0),3))))</f>
        <v/>
      </c>
      <c r="R39" s="2" t="str">
        <f t="array" ref="R39">IF(NOW()&gt;BC39,"",IF(AND((WEEKDAY($A39)+$B$2)&gt;1,((WEEKDAY($A39)+$T$2)&lt;7),(WEEKDAY($A39)&lt;&gt;1)),"work",(INDEX(Subject!$A:$I,MATCH(RANDBETWEEN(1,(MAX(Subject!$B:$B))),Subject!$B:$B,0),3))))</f>
        <v/>
      </c>
      <c r="S39" s="2" t="str">
        <f t="array" ref="S39">IF(NOW()&gt;BD39,"",IF(AND((WEEKDAY($A39)+$B$2)&gt;1,((WEEKDAY($A39)+$T$2)&lt;7),(WEEKDAY($A39)&lt;&gt;1)),"work",(INDEX(Subject!$A:$I,MATCH(RANDBETWEEN(1,(MAX(Subject!$B:$B))),Subject!$B:$B,0),3))))</f>
        <v/>
      </c>
      <c r="T39" s="2" t="str">
        <f t="array" ref="T39">IF(NOW()&gt;BE39,"",IF(AND((WEEKDAY($A39)+$B$2)&gt;1,((WEEKDAY($A39)+$T$2)&lt;7),(WEEKDAY($A39)&lt;&gt;1)),"work",(INDEX(Subject!$A:$I,MATCH(RANDBETWEEN(1,(MAX(Subject!$B:$B))),Subject!$B:$B,0),3))))</f>
        <v/>
      </c>
      <c r="U39" s="8" t="str">
        <f t="array" ref="U39">INDEX(Subject!$A:$I,MATCH(RANDBETWEEN(1,16),Subject!$B:$B,0),3)</f>
        <v>#N/A</v>
      </c>
      <c r="V39" s="8" t="str">
        <f t="array" ref="V39">INDEX(Subject!$A:$I,MATCH(RANDBETWEEN(1,16),Subject!$B:$B,0),3)</f>
        <v>#N/A</v>
      </c>
      <c r="W39" s="8" t="str">
        <f t="array" ref="W39">INDEX(Subject!$A:$I,MATCH(RANDBETWEEN(1,16),Subject!$B:$B,0),3)</f>
        <v>#N/A</v>
      </c>
      <c r="X39" s="8" t="str">
        <f t="array" ref="X39">INDEX(Subject!$A:$I,MATCH(RANDBETWEEN(1,16),Subject!$B:$B,0),3)</f>
        <v>#N/A</v>
      </c>
      <c r="Y39" s="8" t="str">
        <f t="array" ref="Y39">INDEX(Subject!$A:$I,MATCH(RANDBETWEEN(1,16),Subject!$B:$B,0),3)</f>
        <v/>
      </c>
      <c r="Z39" s="8" t="str">
        <f t="array" ref="Z39">INDEX(Subject!$A:$I,MATCH(RANDBETWEEN(1,16),Subject!$B:$B,0),3)</f>
        <v>#N/A</v>
      </c>
      <c r="AA39" s="8" t="str">
        <f t="array" ref="AA39">INDEX(Subject!$A:$I,MATCH(RANDBETWEEN(1,16),Subject!$B:$B,0),3)</f>
        <v>#N/A</v>
      </c>
      <c r="AB39" s="8" t="str">
        <f t="array" ref="AB39">INDEX(Subject!$A:$I,MATCH(RANDBETWEEN(1,16),Subject!$B:$B,0),3)</f>
        <v>#N/A</v>
      </c>
      <c r="AC39" s="8" t="str">
        <f t="array" ref="AC39">INDEX(Subject!$A:$I,MATCH(RANDBETWEEN(1,16),Subject!$B:$B,0),3)</f>
        <v>#N/A</v>
      </c>
      <c r="AD39" s="8" t="str">
        <f t="array" ref="AD39">INDEX(Subject!$A:$I,MATCH(RANDBETWEEN(1,16),Subject!$B:$B,0),3)</f>
        <v>#N/A</v>
      </c>
      <c r="AE39" s="8" t="str">
        <f t="array" ref="AE39">INDEX(Subject!$A:$I,MATCH(RANDBETWEEN(1,16),Subject!$B:$B,0),3)</f>
        <v>#N/A</v>
      </c>
      <c r="AF39" s="8" t="str">
        <f t="array" ref="AF39">INDEX(Subject!$A:$I,MATCH(RANDBETWEEN(1,16),Subject!$B:$B,0),3)</f>
        <v>#N/A</v>
      </c>
      <c r="AG39" s="8" t="str">
        <f t="array" ref="AG39">INDEX(Subject!$A:$I,MATCH(RANDBETWEEN(1,16),Subject!$B:$B,0),3)</f>
        <v>#N/A</v>
      </c>
      <c r="AH39" s="8" t="str">
        <f t="array" ref="AH39">INDEX(Subject!$A:$I,MATCH(RANDBETWEEN(1,16),Subject!$B:$B,0),3)</f>
        <v>#N/A</v>
      </c>
      <c r="AI39" s="8" t="str">
        <f t="array" ref="AI39">INDEX(Subject!$A:$I,MATCH(RANDBETWEEN(1,16),Subject!$B:$B,0),3)</f>
        <v>#N/A</v>
      </c>
      <c r="AJ39" s="8" t="str">
        <f t="array" ref="AJ39">INDEX(Subject!$A:$I,MATCH(RANDBETWEEN(1,16),Subject!$B:$B,0),3)</f>
        <v>#N/A</v>
      </c>
      <c r="AK39" s="8" t="str">
        <f t="array" ref="AK39">INDEX(Subject!$A:$I,MATCH(RANDBETWEEN(1,16),Subject!$B:$B,0),3)</f>
        <v>#N/A</v>
      </c>
      <c r="AL39" s="8" t="str">
        <f t="array" ref="AL39">INDEX(Subject!$A:$I,MATCH(RANDBETWEEN(1,16),Subject!$B:$B,0),3)</f>
        <v>#N/A</v>
      </c>
      <c r="AM39" s="18">
        <f t="shared" si="4"/>
        <v>45539.33333</v>
      </c>
      <c r="AN39" s="19">
        <f t="shared" ref="AN39:BZ39" si="39">$A39+C$1</f>
        <v>45539.35417</v>
      </c>
      <c r="AO39" s="19">
        <f t="shared" si="39"/>
        <v>45539.375</v>
      </c>
      <c r="AP39" s="19">
        <f t="shared" si="39"/>
        <v>45539.39583</v>
      </c>
      <c r="AQ39" s="19">
        <f t="shared" si="39"/>
        <v>45539.41667</v>
      </c>
      <c r="AR39" s="19">
        <f t="shared" si="39"/>
        <v>45539.4375</v>
      </c>
      <c r="AS39" s="19">
        <f t="shared" si="39"/>
        <v>45539.45833</v>
      </c>
      <c r="AT39" s="19">
        <f t="shared" si="39"/>
        <v>45539.47917</v>
      </c>
      <c r="AU39" s="19">
        <f t="shared" si="39"/>
        <v>45539.5</v>
      </c>
      <c r="AV39" s="19">
        <f t="shared" si="39"/>
        <v>45539.52083</v>
      </c>
      <c r="AW39" s="19">
        <f t="shared" si="39"/>
        <v>45539.54167</v>
      </c>
      <c r="AX39" s="19">
        <f t="shared" si="39"/>
        <v>45539.5625</v>
      </c>
      <c r="AY39" s="19">
        <f t="shared" si="39"/>
        <v>45539.58333</v>
      </c>
      <c r="AZ39" s="19">
        <f t="shared" si="39"/>
        <v>45539.60417</v>
      </c>
      <c r="BA39" s="19">
        <f t="shared" si="39"/>
        <v>45539.625</v>
      </c>
      <c r="BB39" s="19">
        <f t="shared" si="39"/>
        <v>45539.64583</v>
      </c>
      <c r="BC39" s="19">
        <f t="shared" si="39"/>
        <v>45539.66667</v>
      </c>
      <c r="BD39" s="19">
        <f t="shared" si="39"/>
        <v>45539.6875</v>
      </c>
      <c r="BE39" s="19">
        <f t="shared" si="39"/>
        <v>45539.70833</v>
      </c>
      <c r="BF39" s="19">
        <f t="shared" si="39"/>
        <v>45539.72917</v>
      </c>
      <c r="BG39" s="19">
        <f t="shared" si="39"/>
        <v>45539.75</v>
      </c>
      <c r="BH39" s="19">
        <f t="shared" si="39"/>
        <v>45539.77083</v>
      </c>
      <c r="BI39" s="19">
        <f t="shared" si="39"/>
        <v>45539.79167</v>
      </c>
      <c r="BJ39" s="19">
        <f t="shared" si="39"/>
        <v>45539.8125</v>
      </c>
      <c r="BK39" s="19">
        <f t="shared" si="39"/>
        <v>45539.83333</v>
      </c>
      <c r="BL39" s="19">
        <f t="shared" si="39"/>
        <v>45539.85417</v>
      </c>
      <c r="BM39" s="19">
        <f t="shared" si="39"/>
        <v>45539.875</v>
      </c>
      <c r="BN39" s="19">
        <f t="shared" si="39"/>
        <v>45539.89583</v>
      </c>
      <c r="BO39" s="19">
        <f t="shared" si="39"/>
        <v>45539.91667</v>
      </c>
      <c r="BP39" s="19">
        <f t="shared" si="39"/>
        <v>45539.9375</v>
      </c>
      <c r="BQ39" s="19">
        <f t="shared" si="39"/>
        <v>45539.95833</v>
      </c>
      <c r="BR39" s="19">
        <f t="shared" si="39"/>
        <v>45539.97917</v>
      </c>
      <c r="BS39" s="19">
        <f t="shared" si="39"/>
        <v>45540</v>
      </c>
      <c r="BT39" s="19">
        <f t="shared" si="39"/>
        <v>45540.02083</v>
      </c>
      <c r="BU39" s="19">
        <f t="shared" si="39"/>
        <v>45540.04167</v>
      </c>
      <c r="BV39" s="19">
        <f t="shared" si="39"/>
        <v>45540.0625</v>
      </c>
      <c r="BW39" s="19">
        <f t="shared" si="39"/>
        <v>45540.08333</v>
      </c>
      <c r="BX39" s="19">
        <f t="shared" si="39"/>
        <v>45539</v>
      </c>
      <c r="BY39" s="19">
        <f t="shared" si="39"/>
        <v>45539</v>
      </c>
      <c r="BZ39" s="19">
        <f t="shared" si="39"/>
        <v>45539</v>
      </c>
    </row>
    <row r="40" ht="14.25" customHeight="1">
      <c r="A40" s="17">
        <v>45540.0</v>
      </c>
      <c r="B40" s="2" t="str">
        <f t="array" ref="B40">IF(NOW()&gt;AM40,"",IF(AND((WEEKDAY($A40)+$B$2)&gt;1,((WEEKDAY($A40)+$T$2)&lt;7),(WEEKDAY($A40)&lt;&gt;1)),"work",(INDEX(Subject!$A:$I,MATCH(RANDBETWEEN(1,(MAX(Subject!$B:$B))),Subject!$B:$B,0),3))))</f>
        <v/>
      </c>
      <c r="C40" s="2" t="str">
        <f t="array" ref="C40">IF(NOW()&gt;AN40,"",IF(AND((WEEKDAY($A40)+$B$2)&gt;1,((WEEKDAY($A40)+$T$2)&lt;7),(WEEKDAY($A40)&lt;&gt;1)),"work",(INDEX(Subject!$A:$I,MATCH(RANDBETWEEN(1,(MAX(Subject!$B:$B))),Subject!$B:$B,0),3))))</f>
        <v/>
      </c>
      <c r="D40" s="2" t="str">
        <f t="array" ref="D40">IF(NOW()&gt;AO40,"",IF(AND((WEEKDAY($A40)+$B$2)&gt;1,((WEEKDAY($A40)+$T$2)&lt;7),(WEEKDAY($A40)&lt;&gt;1)),"work",(INDEX(Subject!$A:$I,MATCH(RANDBETWEEN(1,(MAX(Subject!$B:$B))),Subject!$B:$B,0),3))))</f>
        <v/>
      </c>
      <c r="E40" s="2" t="str">
        <f t="array" ref="E40">IF(NOW()&gt;AP40,"",IF(AND((WEEKDAY($A40)+$B$2)&gt;1,((WEEKDAY($A40)+$T$2)&lt;7),(WEEKDAY($A40)&lt;&gt;1)),"work",(INDEX(Subject!$A:$I,MATCH(RANDBETWEEN(1,(MAX(Subject!$B:$B))),Subject!$B:$B,0),3))))</f>
        <v/>
      </c>
      <c r="F40" s="2" t="str">
        <f t="array" ref="F40">IF(NOW()&gt;AQ40,"",IF(AND((WEEKDAY($A40)+$B$2)&gt;1,((WEEKDAY($A40)+$T$2)&lt;7),(WEEKDAY($A40)&lt;&gt;1)),"work",(INDEX(Subject!$A:$I,MATCH(RANDBETWEEN(1,(MAX(Subject!$B:$B))),Subject!$B:$B,0),3))))</f>
        <v/>
      </c>
      <c r="G40" s="2" t="str">
        <f t="array" ref="G40">IF(NOW()&gt;AR40,"",IF(AND((WEEKDAY($A40)+$B$2)&gt;1,((WEEKDAY($A40)+$T$2)&lt;7),(WEEKDAY($A40)&lt;&gt;1)),"work",(INDEX(Subject!$A:$I,MATCH(RANDBETWEEN(1,(MAX(Subject!$B:$B))),Subject!$B:$B,0),3))))</f>
        <v/>
      </c>
      <c r="H40" s="2" t="str">
        <f t="array" ref="H40">IF(NOW()&gt;AS40,"",IF(AND((WEEKDAY($A40)+$B$2)&gt;1,((WEEKDAY($A40)+$T$2)&lt;7),(WEEKDAY($A40)&lt;&gt;1)),"work",(INDEX(Subject!$A:$I,MATCH(RANDBETWEEN(1,(MAX(Subject!$B:$B))),Subject!$B:$B,0),3))))</f>
        <v/>
      </c>
      <c r="I40" s="2" t="str">
        <f t="array" ref="I40">IF(NOW()&gt;AT40,"",IF(AND((WEEKDAY($A40)+$B$2)&gt;1,((WEEKDAY($A40)+$T$2)&lt;7),(WEEKDAY($A40)&lt;&gt;1)),"work",(INDEX(Subject!$A:$I,MATCH(RANDBETWEEN(1,(MAX(Subject!$B:$B))),Subject!$B:$B,0),3))))</f>
        <v/>
      </c>
      <c r="J40" s="2" t="str">
        <f t="array" ref="J40">IF(NOW()&gt;AU40,"",IF(AND((WEEKDAY($A40)+$B$2)&gt;1,((WEEKDAY($A40)+$T$2)&lt;7),(WEEKDAY($A40)&lt;&gt;1)),"work",(INDEX(Subject!$A:$I,MATCH(RANDBETWEEN(1,(MAX(Subject!$B:$B))),Subject!$B:$B,0),3))))</f>
        <v/>
      </c>
      <c r="K40" s="2" t="str">
        <f t="array" ref="K40">IF(NOW()&gt;AV40,"",IF(AND((WEEKDAY($A40)+$B$2)&gt;1,((WEEKDAY($A40)+$T$2)&lt;7),(WEEKDAY($A40)&lt;&gt;1)),"work",(INDEX(Subject!$A:$I,MATCH(RANDBETWEEN(1,(MAX(Subject!$B:$B))),Subject!$B:$B,0),3))))</f>
        <v/>
      </c>
      <c r="L40" s="2" t="str">
        <f t="array" ref="L40">IF(NOW()&gt;AW40,"",IF(AND((WEEKDAY($A40)+$B$2)&gt;1,((WEEKDAY($A40)+$T$2)&lt;7),(WEEKDAY($A40)&lt;&gt;1)),"work",(INDEX(Subject!$A:$I,MATCH(RANDBETWEEN(1,(MAX(Subject!$B:$B))),Subject!$B:$B,0),3))))</f>
        <v/>
      </c>
      <c r="M40" s="2" t="str">
        <f t="array" ref="M40">IF(NOW()&gt;AX40,"",IF(AND((WEEKDAY($A40)+$B$2)&gt;1,((WEEKDAY($A40)+$T$2)&lt;7),(WEEKDAY($A40)&lt;&gt;1)),"work",(INDEX(Subject!$A:$I,MATCH(RANDBETWEEN(1,(MAX(Subject!$B:$B))),Subject!$B:$B,0),3))))</f>
        <v/>
      </c>
      <c r="N40" s="2" t="str">
        <f t="array" ref="N40">IF(NOW()&gt;AY40,"",IF(AND((WEEKDAY($A40)+$B$2)&gt;1,((WEEKDAY($A40)+$T$2)&lt;7),(WEEKDAY($A40)&lt;&gt;1)),"work",(INDEX(Subject!$A:$I,MATCH(RANDBETWEEN(1,(MAX(Subject!$B:$B))),Subject!$B:$B,0),3))))</f>
        <v/>
      </c>
      <c r="O40" s="2" t="str">
        <f t="array" ref="O40">IF(NOW()&gt;AZ40,"",IF(AND((WEEKDAY($A40)+$B$2)&gt;1,((WEEKDAY($A40)+$T$2)&lt;7),(WEEKDAY($A40)&lt;&gt;1)),"work",(INDEX(Subject!$A:$I,MATCH(RANDBETWEEN(1,(MAX(Subject!$B:$B))),Subject!$B:$B,0),3))))</f>
        <v/>
      </c>
      <c r="P40" s="2" t="str">
        <f t="array" ref="P40">IF(NOW()&gt;BA40,"",IF(AND((WEEKDAY($A40)+$B$2)&gt;1,((WEEKDAY($A40)+$T$2)&lt;7),(WEEKDAY($A40)&lt;&gt;1)),"work",(INDEX(Subject!$A:$I,MATCH(RANDBETWEEN(1,(MAX(Subject!$B:$B))),Subject!$B:$B,0),3))))</f>
        <v/>
      </c>
      <c r="Q40" s="2" t="str">
        <f t="array" ref="Q40">IF(NOW()&gt;BB40,"",IF(AND((WEEKDAY($A40)+$B$2)&gt;1,((WEEKDAY($A40)+$T$2)&lt;7),(WEEKDAY($A40)&lt;&gt;1)),"work",(INDEX(Subject!$A:$I,MATCH(RANDBETWEEN(1,(MAX(Subject!$B:$B))),Subject!$B:$B,0),3))))</f>
        <v/>
      </c>
      <c r="R40" s="2" t="str">
        <f t="array" ref="R40">IF(NOW()&gt;BC40,"",IF(AND((WEEKDAY($A40)+$B$2)&gt;1,((WEEKDAY($A40)+$T$2)&lt;7),(WEEKDAY($A40)&lt;&gt;1)),"work",(INDEX(Subject!$A:$I,MATCH(RANDBETWEEN(1,(MAX(Subject!$B:$B))),Subject!$B:$B,0),3))))</f>
        <v/>
      </c>
      <c r="S40" s="2" t="str">
        <f t="array" ref="S40">IF(NOW()&gt;BD40,"",IF(AND((WEEKDAY($A40)+$B$2)&gt;1,((WEEKDAY($A40)+$T$2)&lt;7),(WEEKDAY($A40)&lt;&gt;1)),"work",(INDEX(Subject!$A:$I,MATCH(RANDBETWEEN(1,(MAX(Subject!$B:$B))),Subject!$B:$B,0),3))))</f>
        <v/>
      </c>
      <c r="T40" s="2" t="str">
        <f t="array" ref="T40">IF(NOW()&gt;BE40,"",IF(AND((WEEKDAY($A40)+$B$2)&gt;1,((WEEKDAY($A40)+$T$2)&lt;7),(WEEKDAY($A40)&lt;&gt;1)),"work",(INDEX(Subject!$A:$I,MATCH(RANDBETWEEN(1,(MAX(Subject!$B:$B))),Subject!$B:$B,0),3))))</f>
        <v/>
      </c>
      <c r="U40" s="8" t="str">
        <f t="array" ref="U40">INDEX(Subject!$A:$I,MATCH(RANDBETWEEN(1,16),Subject!$B:$B,0),3)</f>
        <v>#N/A</v>
      </c>
      <c r="V40" s="8" t="str">
        <f t="array" ref="V40">INDEX(Subject!$A:$I,MATCH(RANDBETWEEN(1,16),Subject!$B:$B,0),3)</f>
        <v>#N/A</v>
      </c>
      <c r="W40" s="8" t="str">
        <f t="array" ref="W40">INDEX(Subject!$A:$I,MATCH(RANDBETWEEN(1,16),Subject!$B:$B,0),3)</f>
        <v>#N/A</v>
      </c>
      <c r="X40" s="8" t="str">
        <f t="array" ref="X40">INDEX(Subject!$A:$I,MATCH(RANDBETWEEN(1,16),Subject!$B:$B,0),3)</f>
        <v>#N/A</v>
      </c>
      <c r="Y40" s="8" t="str">
        <f t="array" ref="Y40">INDEX(Subject!$A:$I,MATCH(RANDBETWEEN(1,16),Subject!$B:$B,0),3)</f>
        <v>#N/A</v>
      </c>
      <c r="Z40" s="8" t="str">
        <f t="array" ref="Z40">INDEX(Subject!$A:$I,MATCH(RANDBETWEEN(1,16),Subject!$B:$B,0),3)</f>
        <v>#N/A</v>
      </c>
      <c r="AA40" s="8" t="str">
        <f t="array" ref="AA40">INDEX(Subject!$A:$I,MATCH(RANDBETWEEN(1,16),Subject!$B:$B,0),3)</f>
        <v>#N/A</v>
      </c>
      <c r="AB40" s="8" t="str">
        <f t="array" ref="AB40">INDEX(Subject!$A:$I,MATCH(RANDBETWEEN(1,16),Subject!$B:$B,0),3)</f>
        <v>#N/A</v>
      </c>
      <c r="AC40" s="8" t="str">
        <f t="array" ref="AC40">INDEX(Subject!$A:$I,MATCH(RANDBETWEEN(1,16),Subject!$B:$B,0),3)</f>
        <v>#N/A</v>
      </c>
      <c r="AD40" s="8" t="str">
        <f t="array" ref="AD40">INDEX(Subject!$A:$I,MATCH(RANDBETWEEN(1,16),Subject!$B:$B,0),3)</f>
        <v>#N/A</v>
      </c>
      <c r="AE40" s="8" t="str">
        <f t="array" ref="AE40">INDEX(Subject!$A:$I,MATCH(RANDBETWEEN(1,16),Subject!$B:$B,0),3)</f>
        <v>#N/A</v>
      </c>
      <c r="AF40" s="8" t="str">
        <f t="array" ref="AF40">INDEX(Subject!$A:$I,MATCH(RANDBETWEEN(1,16),Subject!$B:$B,0),3)</f>
        <v/>
      </c>
      <c r="AG40" s="8" t="str">
        <f t="array" ref="AG40">INDEX(Subject!$A:$I,MATCH(RANDBETWEEN(1,16),Subject!$B:$B,0),3)</f>
        <v>#N/A</v>
      </c>
      <c r="AH40" s="8" t="str">
        <f t="array" ref="AH40">INDEX(Subject!$A:$I,MATCH(RANDBETWEEN(1,16),Subject!$B:$B,0),3)</f>
        <v>#N/A</v>
      </c>
      <c r="AI40" s="8" t="str">
        <f t="array" ref="AI40">INDEX(Subject!$A:$I,MATCH(RANDBETWEEN(1,16),Subject!$B:$B,0),3)</f>
        <v>#N/A</v>
      </c>
      <c r="AJ40" s="8" t="str">
        <f t="array" ref="AJ40">INDEX(Subject!$A:$I,MATCH(RANDBETWEEN(1,16),Subject!$B:$B,0),3)</f>
        <v>#N/A</v>
      </c>
      <c r="AK40" s="8" t="str">
        <f t="array" ref="AK40">INDEX(Subject!$A:$I,MATCH(RANDBETWEEN(1,16),Subject!$B:$B,0),3)</f>
        <v>#N/A</v>
      </c>
      <c r="AL40" s="8" t="str">
        <f t="array" ref="AL40">INDEX(Subject!$A:$I,MATCH(RANDBETWEEN(1,16),Subject!$B:$B,0),3)</f>
        <v>#N/A</v>
      </c>
      <c r="AM40" s="18">
        <f t="shared" si="4"/>
        <v>45540.33333</v>
      </c>
      <c r="AN40" s="19">
        <f t="shared" ref="AN40:BZ40" si="40">$A40+C$1</f>
        <v>45540.35417</v>
      </c>
      <c r="AO40" s="19">
        <f t="shared" si="40"/>
        <v>45540.375</v>
      </c>
      <c r="AP40" s="19">
        <f t="shared" si="40"/>
        <v>45540.39583</v>
      </c>
      <c r="AQ40" s="19">
        <f t="shared" si="40"/>
        <v>45540.41667</v>
      </c>
      <c r="AR40" s="19">
        <f t="shared" si="40"/>
        <v>45540.4375</v>
      </c>
      <c r="AS40" s="19">
        <f t="shared" si="40"/>
        <v>45540.45833</v>
      </c>
      <c r="AT40" s="19">
        <f t="shared" si="40"/>
        <v>45540.47917</v>
      </c>
      <c r="AU40" s="19">
        <f t="shared" si="40"/>
        <v>45540.5</v>
      </c>
      <c r="AV40" s="19">
        <f t="shared" si="40"/>
        <v>45540.52083</v>
      </c>
      <c r="AW40" s="19">
        <f t="shared" si="40"/>
        <v>45540.54167</v>
      </c>
      <c r="AX40" s="19">
        <f t="shared" si="40"/>
        <v>45540.5625</v>
      </c>
      <c r="AY40" s="19">
        <f t="shared" si="40"/>
        <v>45540.58333</v>
      </c>
      <c r="AZ40" s="19">
        <f t="shared" si="40"/>
        <v>45540.60417</v>
      </c>
      <c r="BA40" s="19">
        <f t="shared" si="40"/>
        <v>45540.625</v>
      </c>
      <c r="BB40" s="19">
        <f t="shared" si="40"/>
        <v>45540.64583</v>
      </c>
      <c r="BC40" s="19">
        <f t="shared" si="40"/>
        <v>45540.66667</v>
      </c>
      <c r="BD40" s="19">
        <f t="shared" si="40"/>
        <v>45540.6875</v>
      </c>
      <c r="BE40" s="19">
        <f t="shared" si="40"/>
        <v>45540.70833</v>
      </c>
      <c r="BF40" s="19">
        <f t="shared" si="40"/>
        <v>45540.72917</v>
      </c>
      <c r="BG40" s="19">
        <f t="shared" si="40"/>
        <v>45540.75</v>
      </c>
      <c r="BH40" s="19">
        <f t="shared" si="40"/>
        <v>45540.77083</v>
      </c>
      <c r="BI40" s="19">
        <f t="shared" si="40"/>
        <v>45540.79167</v>
      </c>
      <c r="BJ40" s="19">
        <f t="shared" si="40"/>
        <v>45540.8125</v>
      </c>
      <c r="BK40" s="19">
        <f t="shared" si="40"/>
        <v>45540.83333</v>
      </c>
      <c r="BL40" s="19">
        <f t="shared" si="40"/>
        <v>45540.85417</v>
      </c>
      <c r="BM40" s="19">
        <f t="shared" si="40"/>
        <v>45540.875</v>
      </c>
      <c r="BN40" s="19">
        <f t="shared" si="40"/>
        <v>45540.89583</v>
      </c>
      <c r="BO40" s="19">
        <f t="shared" si="40"/>
        <v>45540.91667</v>
      </c>
      <c r="BP40" s="19">
        <f t="shared" si="40"/>
        <v>45540.9375</v>
      </c>
      <c r="BQ40" s="19">
        <f t="shared" si="40"/>
        <v>45540.95833</v>
      </c>
      <c r="BR40" s="19">
        <f t="shared" si="40"/>
        <v>45540.97917</v>
      </c>
      <c r="BS40" s="19">
        <f t="shared" si="40"/>
        <v>45541</v>
      </c>
      <c r="BT40" s="19">
        <f t="shared" si="40"/>
        <v>45541.02083</v>
      </c>
      <c r="BU40" s="19">
        <f t="shared" si="40"/>
        <v>45541.04167</v>
      </c>
      <c r="BV40" s="19">
        <f t="shared" si="40"/>
        <v>45541.0625</v>
      </c>
      <c r="BW40" s="19">
        <f t="shared" si="40"/>
        <v>45541.08333</v>
      </c>
      <c r="BX40" s="19">
        <f t="shared" si="40"/>
        <v>45540</v>
      </c>
      <c r="BY40" s="19">
        <f t="shared" si="40"/>
        <v>45540</v>
      </c>
      <c r="BZ40" s="19">
        <f t="shared" si="40"/>
        <v>45540</v>
      </c>
    </row>
    <row r="41" ht="14.25" customHeight="1">
      <c r="A41" s="17">
        <v>45541.0</v>
      </c>
      <c r="B41" s="2" t="str">
        <f t="array" ref="B41">IF(NOW()&gt;AM41,"",IF(AND((WEEKDAY($A41)+$B$2)&gt;1,((WEEKDAY($A41)+$T$2)&lt;7),(WEEKDAY($A41)&lt;&gt;1)),"work",(INDEX(Subject!$A:$I,MATCH(RANDBETWEEN(1,(MAX(Subject!$B:$B))),Subject!$B:$B,0),3))))</f>
        <v/>
      </c>
      <c r="C41" s="2" t="str">
        <f t="array" ref="C41">IF(NOW()&gt;AN41,"",IF(AND((WEEKDAY($A41)+$B$2)&gt;1,((WEEKDAY($A41)+$T$2)&lt;7),(WEEKDAY($A41)&lt;&gt;1)),"work",(INDEX(Subject!$A:$I,MATCH(RANDBETWEEN(1,(MAX(Subject!$B:$B))),Subject!$B:$B,0),3))))</f>
        <v/>
      </c>
      <c r="D41" s="2" t="str">
        <f t="array" ref="D41">IF(NOW()&gt;AO41,"",IF(AND((WEEKDAY($A41)+$B$2)&gt;1,((WEEKDAY($A41)+$T$2)&lt;7),(WEEKDAY($A41)&lt;&gt;1)),"work",(INDEX(Subject!$A:$I,MATCH(RANDBETWEEN(1,(MAX(Subject!$B:$B))),Subject!$B:$B,0),3))))</f>
        <v/>
      </c>
      <c r="E41" s="2" t="str">
        <f t="array" ref="E41">IF(NOW()&gt;AP41,"",IF(AND((WEEKDAY($A41)+$B$2)&gt;1,((WEEKDAY($A41)+$T$2)&lt;7),(WEEKDAY($A41)&lt;&gt;1)),"work",(INDEX(Subject!$A:$I,MATCH(RANDBETWEEN(1,(MAX(Subject!$B:$B))),Subject!$B:$B,0),3))))</f>
        <v/>
      </c>
      <c r="F41" s="2" t="str">
        <f t="array" ref="F41">IF(NOW()&gt;AQ41,"",IF(AND((WEEKDAY($A41)+$B$2)&gt;1,((WEEKDAY($A41)+$T$2)&lt;7),(WEEKDAY($A41)&lt;&gt;1)),"work",(INDEX(Subject!$A:$I,MATCH(RANDBETWEEN(1,(MAX(Subject!$B:$B))),Subject!$B:$B,0),3))))</f>
        <v/>
      </c>
      <c r="G41" s="2" t="str">
        <f t="array" ref="G41">IF(NOW()&gt;AR41,"",IF(AND((WEEKDAY($A41)+$B$2)&gt;1,((WEEKDAY($A41)+$T$2)&lt;7),(WEEKDAY($A41)&lt;&gt;1)),"work",(INDEX(Subject!$A:$I,MATCH(RANDBETWEEN(1,(MAX(Subject!$B:$B))),Subject!$B:$B,0),3))))</f>
        <v/>
      </c>
      <c r="H41" s="2" t="str">
        <f t="array" ref="H41">IF(NOW()&gt;AS41,"",IF(AND((WEEKDAY($A41)+$B$2)&gt;1,((WEEKDAY($A41)+$T$2)&lt;7),(WEEKDAY($A41)&lt;&gt;1)),"work",(INDEX(Subject!$A:$I,MATCH(RANDBETWEEN(1,(MAX(Subject!$B:$B))),Subject!$B:$B,0),3))))</f>
        <v/>
      </c>
      <c r="I41" s="2" t="str">
        <f t="array" ref="I41">IF(NOW()&gt;AT41,"",IF(AND((WEEKDAY($A41)+$B$2)&gt;1,((WEEKDAY($A41)+$T$2)&lt;7),(WEEKDAY($A41)&lt;&gt;1)),"work",(INDEX(Subject!$A:$I,MATCH(RANDBETWEEN(1,(MAX(Subject!$B:$B))),Subject!$B:$B,0),3))))</f>
        <v/>
      </c>
      <c r="J41" s="2" t="str">
        <f t="array" ref="J41">IF(NOW()&gt;AU41,"",IF(AND((WEEKDAY($A41)+$B$2)&gt;1,((WEEKDAY($A41)+$T$2)&lt;7),(WEEKDAY($A41)&lt;&gt;1)),"work",(INDEX(Subject!$A:$I,MATCH(RANDBETWEEN(1,(MAX(Subject!$B:$B))),Subject!$B:$B,0),3))))</f>
        <v/>
      </c>
      <c r="K41" s="2" t="str">
        <f t="array" ref="K41">IF(NOW()&gt;AV41,"",IF(AND((WEEKDAY($A41)+$B$2)&gt;1,((WEEKDAY($A41)+$T$2)&lt;7),(WEEKDAY($A41)&lt;&gt;1)),"work",(INDEX(Subject!$A:$I,MATCH(RANDBETWEEN(1,(MAX(Subject!$B:$B))),Subject!$B:$B,0),3))))</f>
        <v/>
      </c>
      <c r="L41" s="2" t="str">
        <f t="array" ref="L41">IF(NOW()&gt;AW41,"",IF(AND((WEEKDAY($A41)+$B$2)&gt;1,((WEEKDAY($A41)+$T$2)&lt;7),(WEEKDAY($A41)&lt;&gt;1)),"work",(INDEX(Subject!$A:$I,MATCH(RANDBETWEEN(1,(MAX(Subject!$B:$B))),Subject!$B:$B,0),3))))</f>
        <v/>
      </c>
      <c r="M41" s="2" t="str">
        <f t="array" ref="M41">IF(NOW()&gt;AX41,"",IF(AND((WEEKDAY($A41)+$B$2)&gt;1,((WEEKDAY($A41)+$T$2)&lt;7),(WEEKDAY($A41)&lt;&gt;1)),"work",(INDEX(Subject!$A:$I,MATCH(RANDBETWEEN(1,(MAX(Subject!$B:$B))),Subject!$B:$B,0),3))))</f>
        <v/>
      </c>
      <c r="N41" s="2" t="str">
        <f t="array" ref="N41">IF(NOW()&gt;AY41,"",IF(AND((WEEKDAY($A41)+$B$2)&gt;1,((WEEKDAY($A41)+$T$2)&lt;7),(WEEKDAY($A41)&lt;&gt;1)),"work",(INDEX(Subject!$A:$I,MATCH(RANDBETWEEN(1,(MAX(Subject!$B:$B))),Subject!$B:$B,0),3))))</f>
        <v/>
      </c>
      <c r="O41" s="2" t="str">
        <f t="array" ref="O41">IF(NOW()&gt;AZ41,"",IF(AND((WEEKDAY($A41)+$B$2)&gt;1,((WEEKDAY($A41)+$T$2)&lt;7),(WEEKDAY($A41)&lt;&gt;1)),"work",(INDEX(Subject!$A:$I,MATCH(RANDBETWEEN(1,(MAX(Subject!$B:$B))),Subject!$B:$B,0),3))))</f>
        <v/>
      </c>
      <c r="P41" s="2" t="str">
        <f t="array" ref="P41">IF(NOW()&gt;BA41,"",IF(AND((WEEKDAY($A41)+$B$2)&gt;1,((WEEKDAY($A41)+$T$2)&lt;7),(WEEKDAY($A41)&lt;&gt;1)),"work",(INDEX(Subject!$A:$I,MATCH(RANDBETWEEN(1,(MAX(Subject!$B:$B))),Subject!$B:$B,0),3))))</f>
        <v/>
      </c>
      <c r="Q41" s="2" t="str">
        <f t="array" ref="Q41">IF(NOW()&gt;BB41,"",IF(AND((WEEKDAY($A41)+$B$2)&gt;1,((WEEKDAY($A41)+$T$2)&lt;7),(WEEKDAY($A41)&lt;&gt;1)),"work",(INDEX(Subject!$A:$I,MATCH(RANDBETWEEN(1,(MAX(Subject!$B:$B))),Subject!$B:$B,0),3))))</f>
        <v/>
      </c>
      <c r="R41" s="2" t="str">
        <f t="array" ref="R41">IF(NOW()&gt;BC41,"",IF(AND((WEEKDAY($A41)+$B$2)&gt;1,((WEEKDAY($A41)+$T$2)&lt;7),(WEEKDAY($A41)&lt;&gt;1)),"work",(INDEX(Subject!$A:$I,MATCH(RANDBETWEEN(1,(MAX(Subject!$B:$B))),Subject!$B:$B,0),3))))</f>
        <v/>
      </c>
      <c r="S41" s="2" t="str">
        <f t="array" ref="S41">IF(NOW()&gt;BD41,"",IF(AND((WEEKDAY($A41)+$B$2)&gt;1,((WEEKDAY($A41)+$T$2)&lt;7),(WEEKDAY($A41)&lt;&gt;1)),"work",(INDEX(Subject!$A:$I,MATCH(RANDBETWEEN(1,(MAX(Subject!$B:$B))),Subject!$B:$B,0),3))))</f>
        <v/>
      </c>
      <c r="T41" s="2" t="str">
        <f t="array" ref="T41">IF(NOW()&gt;BE41,"",IF(AND((WEEKDAY($A41)+$B$2)&gt;1,((WEEKDAY($A41)+$T$2)&lt;7),(WEEKDAY($A41)&lt;&gt;1)),"work",(INDEX(Subject!$A:$I,MATCH(RANDBETWEEN(1,(MAX(Subject!$B:$B))),Subject!$B:$B,0),3))))</f>
        <v/>
      </c>
      <c r="U41" s="8" t="str">
        <f t="array" ref="U41">INDEX(Subject!$A:$I,MATCH(RANDBETWEEN(1,16),Subject!$B:$B,0),3)</f>
        <v>#N/A</v>
      </c>
      <c r="V41" s="8" t="str">
        <f t="array" ref="V41">INDEX(Subject!$A:$I,MATCH(RANDBETWEEN(1,16),Subject!$B:$B,0),3)</f>
        <v>#N/A</v>
      </c>
      <c r="W41" s="8" t="str">
        <f t="array" ref="W41">INDEX(Subject!$A:$I,MATCH(RANDBETWEEN(1,16),Subject!$B:$B,0),3)</f>
        <v>#N/A</v>
      </c>
      <c r="X41" s="8" t="str">
        <f t="array" ref="X41">INDEX(Subject!$A:$I,MATCH(RANDBETWEEN(1,16),Subject!$B:$B,0),3)</f>
        <v>#N/A</v>
      </c>
      <c r="Y41" s="8" t="str">
        <f t="array" ref="Y41">INDEX(Subject!$A:$I,MATCH(RANDBETWEEN(1,16),Subject!$B:$B,0),3)</f>
        <v>#N/A</v>
      </c>
      <c r="Z41" s="8" t="str">
        <f t="array" ref="Z41">INDEX(Subject!$A:$I,MATCH(RANDBETWEEN(1,16),Subject!$B:$B,0),3)</f>
        <v>#N/A</v>
      </c>
      <c r="AA41" s="8" t="str">
        <f t="array" ref="AA41">INDEX(Subject!$A:$I,MATCH(RANDBETWEEN(1,16),Subject!$B:$B,0),3)</f>
        <v/>
      </c>
      <c r="AB41" s="8" t="str">
        <f t="array" ref="AB41">INDEX(Subject!$A:$I,MATCH(RANDBETWEEN(1,16),Subject!$B:$B,0),3)</f>
        <v>#N/A</v>
      </c>
      <c r="AC41" s="8" t="str">
        <f t="array" ref="AC41">INDEX(Subject!$A:$I,MATCH(RANDBETWEEN(1,16),Subject!$B:$B,0),3)</f>
        <v>#N/A</v>
      </c>
      <c r="AD41" s="8" t="str">
        <f t="array" ref="AD41">INDEX(Subject!$A:$I,MATCH(RANDBETWEEN(1,16),Subject!$B:$B,0),3)</f>
        <v>#N/A</v>
      </c>
      <c r="AE41" s="8" t="str">
        <f t="array" ref="AE41">INDEX(Subject!$A:$I,MATCH(RANDBETWEEN(1,16),Subject!$B:$B,0),3)</f>
        <v/>
      </c>
      <c r="AF41" s="8" t="str">
        <f t="array" ref="AF41">INDEX(Subject!$A:$I,MATCH(RANDBETWEEN(1,16),Subject!$B:$B,0),3)</f>
        <v>#N/A</v>
      </c>
      <c r="AG41" s="8" t="str">
        <f t="array" ref="AG41">INDEX(Subject!$A:$I,MATCH(RANDBETWEEN(1,16),Subject!$B:$B,0),3)</f>
        <v>#N/A</v>
      </c>
      <c r="AH41" s="8" t="str">
        <f t="array" ref="AH41">INDEX(Subject!$A:$I,MATCH(RANDBETWEEN(1,16),Subject!$B:$B,0),3)</f>
        <v>#N/A</v>
      </c>
      <c r="AI41" s="8" t="str">
        <f t="array" ref="AI41">INDEX(Subject!$A:$I,MATCH(RANDBETWEEN(1,16),Subject!$B:$B,0),3)</f>
        <v>#N/A</v>
      </c>
      <c r="AJ41" s="8" t="str">
        <f t="array" ref="AJ41">INDEX(Subject!$A:$I,MATCH(RANDBETWEEN(1,16),Subject!$B:$B,0),3)</f>
        <v>#N/A</v>
      </c>
      <c r="AK41" s="8" t="str">
        <f t="array" ref="AK41">INDEX(Subject!$A:$I,MATCH(RANDBETWEEN(1,16),Subject!$B:$B,0),3)</f>
        <v>#N/A</v>
      </c>
      <c r="AL41" s="8" t="str">
        <f t="array" ref="AL41">INDEX(Subject!$A:$I,MATCH(RANDBETWEEN(1,16),Subject!$B:$B,0),3)</f>
        <v>#N/A</v>
      </c>
      <c r="AM41" s="18">
        <f t="shared" si="4"/>
        <v>45541.33333</v>
      </c>
      <c r="AN41" s="19">
        <f t="shared" ref="AN41:BZ41" si="41">$A41+C$1</f>
        <v>45541.35417</v>
      </c>
      <c r="AO41" s="19">
        <f t="shared" si="41"/>
        <v>45541.375</v>
      </c>
      <c r="AP41" s="19">
        <f t="shared" si="41"/>
        <v>45541.39583</v>
      </c>
      <c r="AQ41" s="19">
        <f t="shared" si="41"/>
        <v>45541.41667</v>
      </c>
      <c r="AR41" s="19">
        <f t="shared" si="41"/>
        <v>45541.4375</v>
      </c>
      <c r="AS41" s="19">
        <f t="shared" si="41"/>
        <v>45541.45833</v>
      </c>
      <c r="AT41" s="19">
        <f t="shared" si="41"/>
        <v>45541.47917</v>
      </c>
      <c r="AU41" s="19">
        <f t="shared" si="41"/>
        <v>45541.5</v>
      </c>
      <c r="AV41" s="19">
        <f t="shared" si="41"/>
        <v>45541.52083</v>
      </c>
      <c r="AW41" s="19">
        <f t="shared" si="41"/>
        <v>45541.54167</v>
      </c>
      <c r="AX41" s="19">
        <f t="shared" si="41"/>
        <v>45541.5625</v>
      </c>
      <c r="AY41" s="19">
        <f t="shared" si="41"/>
        <v>45541.58333</v>
      </c>
      <c r="AZ41" s="19">
        <f t="shared" si="41"/>
        <v>45541.60417</v>
      </c>
      <c r="BA41" s="19">
        <f t="shared" si="41"/>
        <v>45541.625</v>
      </c>
      <c r="BB41" s="19">
        <f t="shared" si="41"/>
        <v>45541.64583</v>
      </c>
      <c r="BC41" s="19">
        <f t="shared" si="41"/>
        <v>45541.66667</v>
      </c>
      <c r="BD41" s="19">
        <f t="shared" si="41"/>
        <v>45541.6875</v>
      </c>
      <c r="BE41" s="19">
        <f t="shared" si="41"/>
        <v>45541.70833</v>
      </c>
      <c r="BF41" s="19">
        <f t="shared" si="41"/>
        <v>45541.72917</v>
      </c>
      <c r="BG41" s="19">
        <f t="shared" si="41"/>
        <v>45541.75</v>
      </c>
      <c r="BH41" s="19">
        <f t="shared" si="41"/>
        <v>45541.77083</v>
      </c>
      <c r="BI41" s="19">
        <f t="shared" si="41"/>
        <v>45541.79167</v>
      </c>
      <c r="BJ41" s="19">
        <f t="shared" si="41"/>
        <v>45541.8125</v>
      </c>
      <c r="BK41" s="19">
        <f t="shared" si="41"/>
        <v>45541.83333</v>
      </c>
      <c r="BL41" s="19">
        <f t="shared" si="41"/>
        <v>45541.85417</v>
      </c>
      <c r="BM41" s="19">
        <f t="shared" si="41"/>
        <v>45541.875</v>
      </c>
      <c r="BN41" s="19">
        <f t="shared" si="41"/>
        <v>45541.89583</v>
      </c>
      <c r="BO41" s="19">
        <f t="shared" si="41"/>
        <v>45541.91667</v>
      </c>
      <c r="BP41" s="19">
        <f t="shared" si="41"/>
        <v>45541.9375</v>
      </c>
      <c r="BQ41" s="19">
        <f t="shared" si="41"/>
        <v>45541.95833</v>
      </c>
      <c r="BR41" s="19">
        <f t="shared" si="41"/>
        <v>45541.97917</v>
      </c>
      <c r="BS41" s="19">
        <f t="shared" si="41"/>
        <v>45542</v>
      </c>
      <c r="BT41" s="19">
        <f t="shared" si="41"/>
        <v>45542.02083</v>
      </c>
      <c r="BU41" s="19">
        <f t="shared" si="41"/>
        <v>45542.04167</v>
      </c>
      <c r="BV41" s="19">
        <f t="shared" si="41"/>
        <v>45542.0625</v>
      </c>
      <c r="BW41" s="19">
        <f t="shared" si="41"/>
        <v>45542.08333</v>
      </c>
      <c r="BX41" s="19">
        <f t="shared" si="41"/>
        <v>45541</v>
      </c>
      <c r="BY41" s="19">
        <f t="shared" si="41"/>
        <v>45541</v>
      </c>
      <c r="BZ41" s="19">
        <f t="shared" si="41"/>
        <v>45541</v>
      </c>
    </row>
    <row r="42" ht="14.25" customHeight="1">
      <c r="A42" s="17">
        <v>45542.0</v>
      </c>
      <c r="B42" s="2" t="str">
        <f t="array" ref="B42">IF(NOW()&gt;AM42,"",IF(AND((WEEKDAY($A42)+$B$2)&gt;1,((WEEKDAY($A42)+$T$2)&lt;7),(WEEKDAY($A42)&lt;&gt;1)),"work",(INDEX(Subject!$A:$I,MATCH(RANDBETWEEN(1,(MAX(Subject!$B:$B))),Subject!$B:$B,0),3))))</f>
        <v/>
      </c>
      <c r="C42" s="2" t="str">
        <f t="array" ref="C42">IF(NOW()&gt;AN42,"",IF(AND((WEEKDAY($A42)+$B$2)&gt;1,((WEEKDAY($A42)+$T$2)&lt;7),(WEEKDAY($A42)&lt;&gt;1)),"work",(INDEX(Subject!$A:$I,MATCH(RANDBETWEEN(1,(MAX(Subject!$B:$B))),Subject!$B:$B,0),3))))</f>
        <v/>
      </c>
      <c r="D42" s="2" t="str">
        <f t="array" ref="D42">IF(NOW()&gt;AO42,"",IF(AND((WEEKDAY($A42)+$B$2)&gt;1,((WEEKDAY($A42)+$T$2)&lt;7),(WEEKDAY($A42)&lt;&gt;1)),"work",(INDEX(Subject!$A:$I,MATCH(RANDBETWEEN(1,(MAX(Subject!$B:$B))),Subject!$B:$B,0),3))))</f>
        <v/>
      </c>
      <c r="E42" s="2" t="str">
        <f t="array" ref="E42">IF(NOW()&gt;AP42,"",IF(AND((WEEKDAY($A42)+$B$2)&gt;1,((WEEKDAY($A42)+$T$2)&lt;7),(WEEKDAY($A42)&lt;&gt;1)),"work",(INDEX(Subject!$A:$I,MATCH(RANDBETWEEN(1,(MAX(Subject!$B:$B))),Subject!$B:$B,0),3))))</f>
        <v/>
      </c>
      <c r="F42" s="2" t="str">
        <f t="array" ref="F42">IF(NOW()&gt;AQ42,"",IF(AND((WEEKDAY($A42)+$B$2)&gt;1,((WEEKDAY($A42)+$T$2)&lt;7),(WEEKDAY($A42)&lt;&gt;1)),"work",(INDEX(Subject!$A:$I,MATCH(RANDBETWEEN(1,(MAX(Subject!$B:$B))),Subject!$B:$B,0),3))))</f>
        <v/>
      </c>
      <c r="G42" s="2" t="str">
        <f t="array" ref="G42">IF(NOW()&gt;AR42,"",IF(AND((WEEKDAY($A42)+$B$2)&gt;1,((WEEKDAY($A42)+$T$2)&lt;7),(WEEKDAY($A42)&lt;&gt;1)),"work",(INDEX(Subject!$A:$I,MATCH(RANDBETWEEN(1,(MAX(Subject!$B:$B))),Subject!$B:$B,0),3))))</f>
        <v/>
      </c>
      <c r="H42" s="2" t="str">
        <f t="array" ref="H42">IF(NOW()&gt;AS42,"",IF(AND((WEEKDAY($A42)+$B$2)&gt;1,((WEEKDAY($A42)+$T$2)&lt;7),(WEEKDAY($A42)&lt;&gt;1)),"work",(INDEX(Subject!$A:$I,MATCH(RANDBETWEEN(1,(MAX(Subject!$B:$B))),Subject!$B:$B,0),3))))</f>
        <v/>
      </c>
      <c r="I42" s="2" t="str">
        <f t="array" ref="I42">IF(NOW()&gt;AT42,"",IF(AND((WEEKDAY($A42)+$B$2)&gt;1,((WEEKDAY($A42)+$T$2)&lt;7),(WEEKDAY($A42)&lt;&gt;1)),"work",(INDEX(Subject!$A:$I,MATCH(RANDBETWEEN(1,(MAX(Subject!$B:$B))),Subject!$B:$B,0),3))))</f>
        <v/>
      </c>
      <c r="J42" s="2" t="str">
        <f t="array" ref="J42">IF(NOW()&gt;AU42,"",IF(AND((WEEKDAY($A42)+$B$2)&gt;1,((WEEKDAY($A42)+$T$2)&lt;7),(WEEKDAY($A42)&lt;&gt;1)),"work",(INDEX(Subject!$A:$I,MATCH(RANDBETWEEN(1,(MAX(Subject!$B:$B))),Subject!$B:$B,0),3))))</f>
        <v/>
      </c>
      <c r="K42" s="2" t="str">
        <f t="array" ref="K42">IF(NOW()&gt;AV42,"",IF(AND((WEEKDAY($A42)+$B$2)&gt;1,((WEEKDAY($A42)+$T$2)&lt;7),(WEEKDAY($A42)&lt;&gt;1)),"work",(INDEX(Subject!$A:$I,MATCH(RANDBETWEEN(1,(MAX(Subject!$B:$B))),Subject!$B:$B,0),3))))</f>
        <v/>
      </c>
      <c r="L42" s="2" t="str">
        <f t="array" ref="L42">IF(NOW()&gt;AW42,"",IF(AND((WEEKDAY($A42)+$B$2)&gt;1,((WEEKDAY($A42)+$T$2)&lt;7),(WEEKDAY($A42)&lt;&gt;1)),"work",(INDEX(Subject!$A:$I,MATCH(RANDBETWEEN(1,(MAX(Subject!$B:$B))),Subject!$B:$B,0),3))))</f>
        <v/>
      </c>
      <c r="M42" s="2" t="str">
        <f t="array" ref="M42">IF(NOW()&gt;AX42,"",IF(AND((WEEKDAY($A42)+$B$2)&gt;1,((WEEKDAY($A42)+$T$2)&lt;7),(WEEKDAY($A42)&lt;&gt;1)),"work",(INDEX(Subject!$A:$I,MATCH(RANDBETWEEN(1,(MAX(Subject!$B:$B))),Subject!$B:$B,0),3))))</f>
        <v/>
      </c>
      <c r="N42" s="2" t="str">
        <f t="array" ref="N42">IF(NOW()&gt;AY42,"",IF(AND((WEEKDAY($A42)+$B$2)&gt;1,((WEEKDAY($A42)+$T$2)&lt;7),(WEEKDAY($A42)&lt;&gt;1)),"work",(INDEX(Subject!$A:$I,MATCH(RANDBETWEEN(1,(MAX(Subject!$B:$B))),Subject!$B:$B,0),3))))</f>
        <v/>
      </c>
      <c r="O42" s="2" t="str">
        <f t="array" ref="O42">IF(NOW()&gt;AZ42,"",IF(AND((WEEKDAY($A42)+$B$2)&gt;1,((WEEKDAY($A42)+$T$2)&lt;7),(WEEKDAY($A42)&lt;&gt;1)),"work",(INDEX(Subject!$A:$I,MATCH(RANDBETWEEN(1,(MAX(Subject!$B:$B))),Subject!$B:$B,0),3))))</f>
        <v/>
      </c>
      <c r="P42" s="2" t="str">
        <f t="array" ref="P42">IF(NOW()&gt;BA42,"",IF(AND((WEEKDAY($A42)+$B$2)&gt;1,((WEEKDAY($A42)+$T$2)&lt;7),(WEEKDAY($A42)&lt;&gt;1)),"work",(INDEX(Subject!$A:$I,MATCH(RANDBETWEEN(1,(MAX(Subject!$B:$B))),Subject!$B:$B,0),3))))</f>
        <v/>
      </c>
      <c r="Q42" s="2" t="str">
        <f t="array" ref="Q42">IF(NOW()&gt;BB42,"",IF(AND((WEEKDAY($A42)+$B$2)&gt;1,((WEEKDAY($A42)+$T$2)&lt;7),(WEEKDAY($A42)&lt;&gt;1)),"work",(INDEX(Subject!$A:$I,MATCH(RANDBETWEEN(1,(MAX(Subject!$B:$B))),Subject!$B:$B,0),3))))</f>
        <v/>
      </c>
      <c r="R42" s="2" t="str">
        <f t="array" ref="R42">IF(NOW()&gt;BC42,"",IF(AND((WEEKDAY($A42)+$B$2)&gt;1,((WEEKDAY($A42)+$T$2)&lt;7),(WEEKDAY($A42)&lt;&gt;1)),"work",(INDEX(Subject!$A:$I,MATCH(RANDBETWEEN(1,(MAX(Subject!$B:$B))),Subject!$B:$B,0),3))))</f>
        <v/>
      </c>
      <c r="S42" s="2" t="str">
        <f t="array" ref="S42">IF(NOW()&gt;BD42,"",IF(AND((WEEKDAY($A42)+$B$2)&gt;1,((WEEKDAY($A42)+$T$2)&lt;7),(WEEKDAY($A42)&lt;&gt;1)),"work",(INDEX(Subject!$A:$I,MATCH(RANDBETWEEN(1,(MAX(Subject!$B:$B))),Subject!$B:$B,0),3))))</f>
        <v/>
      </c>
      <c r="T42" s="2" t="str">
        <f t="array" ref="T42">IF(NOW()&gt;BE42,"",IF(AND((WEEKDAY($A42)+$B$2)&gt;1,((WEEKDAY($A42)+$T$2)&lt;7),(WEEKDAY($A42)&lt;&gt;1)),"work",(INDEX(Subject!$A:$I,MATCH(RANDBETWEEN(1,(MAX(Subject!$B:$B))),Subject!$B:$B,0),3))))</f>
        <v/>
      </c>
      <c r="U42" s="8" t="str">
        <f t="array" ref="U42">INDEX(Subject!$A:$I,MATCH(RANDBETWEEN(1,16),Subject!$B:$B,0),3)</f>
        <v>#N/A</v>
      </c>
      <c r="V42" s="8" t="str">
        <f t="array" ref="V42">INDEX(Subject!$A:$I,MATCH(RANDBETWEEN(1,16),Subject!$B:$B,0),3)</f>
        <v>#N/A</v>
      </c>
      <c r="W42" s="8" t="str">
        <f t="array" ref="W42">INDEX(Subject!$A:$I,MATCH(RANDBETWEEN(1,16),Subject!$B:$B,0),3)</f>
        <v>#N/A</v>
      </c>
      <c r="X42" s="8" t="str">
        <f t="array" ref="X42">INDEX(Subject!$A:$I,MATCH(RANDBETWEEN(1,16),Subject!$B:$B,0),3)</f>
        <v>#N/A</v>
      </c>
      <c r="Y42" s="8" t="str">
        <f t="array" ref="Y42">INDEX(Subject!$A:$I,MATCH(RANDBETWEEN(1,16),Subject!$B:$B,0),3)</f>
        <v>#N/A</v>
      </c>
      <c r="Z42" s="8" t="str">
        <f t="array" ref="Z42">INDEX(Subject!$A:$I,MATCH(RANDBETWEEN(1,16),Subject!$B:$B,0),3)</f>
        <v>#N/A</v>
      </c>
      <c r="AA42" s="8" t="str">
        <f t="array" ref="AA42">INDEX(Subject!$A:$I,MATCH(RANDBETWEEN(1,16),Subject!$B:$B,0),3)</f>
        <v>#N/A</v>
      </c>
      <c r="AB42" s="8" t="str">
        <f t="array" ref="AB42">INDEX(Subject!$A:$I,MATCH(RANDBETWEEN(1,16),Subject!$B:$B,0),3)</f>
        <v>#N/A</v>
      </c>
      <c r="AC42" s="8" t="str">
        <f t="array" ref="AC42">INDEX(Subject!$A:$I,MATCH(RANDBETWEEN(1,16),Subject!$B:$B,0),3)</f>
        <v>#N/A</v>
      </c>
      <c r="AD42" s="8" t="str">
        <f t="array" ref="AD42">INDEX(Subject!$A:$I,MATCH(RANDBETWEEN(1,16),Subject!$B:$B,0),3)</f>
        <v>#N/A</v>
      </c>
      <c r="AE42" s="8" t="str">
        <f t="array" ref="AE42">INDEX(Subject!$A:$I,MATCH(RANDBETWEEN(1,16),Subject!$B:$B,0),3)</f>
        <v>#N/A</v>
      </c>
      <c r="AF42" s="8" t="str">
        <f t="array" ref="AF42">INDEX(Subject!$A:$I,MATCH(RANDBETWEEN(1,16),Subject!$B:$B,0),3)</f>
        <v>#N/A</v>
      </c>
      <c r="AG42" s="8" t="str">
        <f t="array" ref="AG42">INDEX(Subject!$A:$I,MATCH(RANDBETWEEN(1,16),Subject!$B:$B,0),3)</f>
        <v>#N/A</v>
      </c>
      <c r="AH42" s="8" t="str">
        <f t="array" ref="AH42">INDEX(Subject!$A:$I,MATCH(RANDBETWEEN(1,16),Subject!$B:$B,0),3)</f>
        <v>#N/A</v>
      </c>
      <c r="AI42" s="8" t="str">
        <f t="array" ref="AI42">INDEX(Subject!$A:$I,MATCH(RANDBETWEEN(1,16),Subject!$B:$B,0),3)</f>
        <v>#N/A</v>
      </c>
      <c r="AJ42" s="8" t="str">
        <f t="array" ref="AJ42">INDEX(Subject!$A:$I,MATCH(RANDBETWEEN(1,16),Subject!$B:$B,0),3)</f>
        <v>#N/A</v>
      </c>
      <c r="AK42" s="8" t="str">
        <f t="array" ref="AK42">INDEX(Subject!$A:$I,MATCH(RANDBETWEEN(1,16),Subject!$B:$B,0),3)</f>
        <v/>
      </c>
      <c r="AL42" s="8" t="str">
        <f t="array" ref="AL42">INDEX(Subject!$A:$I,MATCH(RANDBETWEEN(1,16),Subject!$B:$B,0),3)</f>
        <v>#N/A</v>
      </c>
      <c r="AM42" s="18">
        <f t="shared" si="4"/>
        <v>45542.33333</v>
      </c>
      <c r="AN42" s="19">
        <f t="shared" ref="AN42:BZ42" si="42">$A42+C$1</f>
        <v>45542.35417</v>
      </c>
      <c r="AO42" s="19">
        <f t="shared" si="42"/>
        <v>45542.375</v>
      </c>
      <c r="AP42" s="19">
        <f t="shared" si="42"/>
        <v>45542.39583</v>
      </c>
      <c r="AQ42" s="19">
        <f t="shared" si="42"/>
        <v>45542.41667</v>
      </c>
      <c r="AR42" s="19">
        <f t="shared" si="42"/>
        <v>45542.4375</v>
      </c>
      <c r="AS42" s="19">
        <f t="shared" si="42"/>
        <v>45542.45833</v>
      </c>
      <c r="AT42" s="19">
        <f t="shared" si="42"/>
        <v>45542.47917</v>
      </c>
      <c r="AU42" s="19">
        <f t="shared" si="42"/>
        <v>45542.5</v>
      </c>
      <c r="AV42" s="19">
        <f t="shared" si="42"/>
        <v>45542.52083</v>
      </c>
      <c r="AW42" s="19">
        <f t="shared" si="42"/>
        <v>45542.54167</v>
      </c>
      <c r="AX42" s="19">
        <f t="shared" si="42"/>
        <v>45542.5625</v>
      </c>
      <c r="AY42" s="19">
        <f t="shared" si="42"/>
        <v>45542.58333</v>
      </c>
      <c r="AZ42" s="19">
        <f t="shared" si="42"/>
        <v>45542.60417</v>
      </c>
      <c r="BA42" s="19">
        <f t="shared" si="42"/>
        <v>45542.625</v>
      </c>
      <c r="BB42" s="19">
        <f t="shared" si="42"/>
        <v>45542.64583</v>
      </c>
      <c r="BC42" s="19">
        <f t="shared" si="42"/>
        <v>45542.66667</v>
      </c>
      <c r="BD42" s="19">
        <f t="shared" si="42"/>
        <v>45542.6875</v>
      </c>
      <c r="BE42" s="19">
        <f t="shared" si="42"/>
        <v>45542.70833</v>
      </c>
      <c r="BF42" s="19">
        <f t="shared" si="42"/>
        <v>45542.72917</v>
      </c>
      <c r="BG42" s="19">
        <f t="shared" si="42"/>
        <v>45542.75</v>
      </c>
      <c r="BH42" s="19">
        <f t="shared" si="42"/>
        <v>45542.77083</v>
      </c>
      <c r="BI42" s="19">
        <f t="shared" si="42"/>
        <v>45542.79167</v>
      </c>
      <c r="BJ42" s="19">
        <f t="shared" si="42"/>
        <v>45542.8125</v>
      </c>
      <c r="BK42" s="19">
        <f t="shared" si="42"/>
        <v>45542.83333</v>
      </c>
      <c r="BL42" s="19">
        <f t="shared" si="42"/>
        <v>45542.85417</v>
      </c>
      <c r="BM42" s="19">
        <f t="shared" si="42"/>
        <v>45542.875</v>
      </c>
      <c r="BN42" s="19">
        <f t="shared" si="42"/>
        <v>45542.89583</v>
      </c>
      <c r="BO42" s="19">
        <f t="shared" si="42"/>
        <v>45542.91667</v>
      </c>
      <c r="BP42" s="19">
        <f t="shared" si="42"/>
        <v>45542.9375</v>
      </c>
      <c r="BQ42" s="19">
        <f t="shared" si="42"/>
        <v>45542.95833</v>
      </c>
      <c r="BR42" s="19">
        <f t="shared" si="42"/>
        <v>45542.97917</v>
      </c>
      <c r="BS42" s="19">
        <f t="shared" si="42"/>
        <v>45543</v>
      </c>
      <c r="BT42" s="19">
        <f t="shared" si="42"/>
        <v>45543.02083</v>
      </c>
      <c r="BU42" s="19">
        <f t="shared" si="42"/>
        <v>45543.04167</v>
      </c>
      <c r="BV42" s="19">
        <f t="shared" si="42"/>
        <v>45543.0625</v>
      </c>
      <c r="BW42" s="19">
        <f t="shared" si="42"/>
        <v>45543.08333</v>
      </c>
      <c r="BX42" s="19">
        <f t="shared" si="42"/>
        <v>45542</v>
      </c>
      <c r="BY42" s="19">
        <f t="shared" si="42"/>
        <v>45542</v>
      </c>
      <c r="BZ42" s="19">
        <f t="shared" si="42"/>
        <v>45542</v>
      </c>
    </row>
    <row r="43" ht="14.25" customHeight="1">
      <c r="A43" s="17">
        <v>45543.0</v>
      </c>
      <c r="B43" s="2" t="str">
        <f t="array" ref="B43">IF(NOW()&gt;AM43,"",IF(AND((WEEKDAY($A43)+$B$2)&gt;1,((WEEKDAY($A43)+$T$2)&lt;7),(WEEKDAY($A43)&lt;&gt;1)),"work",(INDEX(Subject!$A:$I,MATCH(RANDBETWEEN(1,(MAX(Subject!$B:$B))),Subject!$B:$B,0),3))))</f>
        <v/>
      </c>
      <c r="C43" s="2" t="str">
        <f t="array" ref="C43">IF(NOW()&gt;AN43,"",IF(AND((WEEKDAY($A43)+$B$2)&gt;1,((WEEKDAY($A43)+$T$2)&lt;7),(WEEKDAY($A43)&lt;&gt;1)),"work",(INDEX(Subject!$A:$I,MATCH(RANDBETWEEN(1,(MAX(Subject!$B:$B))),Subject!$B:$B,0),3))))</f>
        <v/>
      </c>
      <c r="D43" s="2" t="str">
        <f t="array" ref="D43">IF(NOW()&gt;AO43,"",IF(AND((WEEKDAY($A43)+$B$2)&gt;1,((WEEKDAY($A43)+$T$2)&lt;7),(WEEKDAY($A43)&lt;&gt;1)),"work",(INDEX(Subject!$A:$I,MATCH(RANDBETWEEN(1,(MAX(Subject!$B:$B))),Subject!$B:$B,0),3))))</f>
        <v/>
      </c>
      <c r="E43" s="2" t="str">
        <f t="array" ref="E43">IF(NOW()&gt;AP43,"",IF(AND((WEEKDAY($A43)+$B$2)&gt;1,((WEEKDAY($A43)+$T$2)&lt;7),(WEEKDAY($A43)&lt;&gt;1)),"work",(INDEX(Subject!$A:$I,MATCH(RANDBETWEEN(1,(MAX(Subject!$B:$B))),Subject!$B:$B,0),3))))</f>
        <v/>
      </c>
      <c r="F43" s="2" t="str">
        <f t="array" ref="F43">IF(NOW()&gt;AQ43,"",IF(AND((WEEKDAY($A43)+$B$2)&gt;1,((WEEKDAY($A43)+$T$2)&lt;7),(WEEKDAY($A43)&lt;&gt;1)),"work",(INDEX(Subject!$A:$I,MATCH(RANDBETWEEN(1,(MAX(Subject!$B:$B))),Subject!$B:$B,0),3))))</f>
        <v/>
      </c>
      <c r="G43" s="2" t="str">
        <f t="array" ref="G43">IF(NOW()&gt;AR43,"",IF(AND((WEEKDAY($A43)+$B$2)&gt;1,((WEEKDAY($A43)+$T$2)&lt;7),(WEEKDAY($A43)&lt;&gt;1)),"work",(INDEX(Subject!$A:$I,MATCH(RANDBETWEEN(1,(MAX(Subject!$B:$B))),Subject!$B:$B,0),3))))</f>
        <v/>
      </c>
      <c r="H43" s="2" t="str">
        <f t="array" ref="H43">IF(NOW()&gt;AS43,"",IF(AND((WEEKDAY($A43)+$B$2)&gt;1,((WEEKDAY($A43)+$T$2)&lt;7),(WEEKDAY($A43)&lt;&gt;1)),"work",(INDEX(Subject!$A:$I,MATCH(RANDBETWEEN(1,(MAX(Subject!$B:$B))),Subject!$B:$B,0),3))))</f>
        <v/>
      </c>
      <c r="I43" s="2" t="str">
        <f t="array" ref="I43">IF(NOW()&gt;AT43,"",IF(AND((WEEKDAY($A43)+$B$2)&gt;1,((WEEKDAY($A43)+$T$2)&lt;7),(WEEKDAY($A43)&lt;&gt;1)),"work",(INDEX(Subject!$A:$I,MATCH(RANDBETWEEN(1,(MAX(Subject!$B:$B))),Subject!$B:$B,0),3))))</f>
        <v/>
      </c>
      <c r="J43" s="2" t="str">
        <f t="array" ref="J43">IF(NOW()&gt;AU43,"",IF(AND((WEEKDAY($A43)+$B$2)&gt;1,((WEEKDAY($A43)+$T$2)&lt;7),(WEEKDAY($A43)&lt;&gt;1)),"work",(INDEX(Subject!$A:$I,MATCH(RANDBETWEEN(1,(MAX(Subject!$B:$B))),Subject!$B:$B,0),3))))</f>
        <v/>
      </c>
      <c r="K43" s="2" t="str">
        <f t="array" ref="K43">IF(NOW()&gt;AV43,"",IF(AND((WEEKDAY($A43)+$B$2)&gt;1,((WEEKDAY($A43)+$T$2)&lt;7),(WEEKDAY($A43)&lt;&gt;1)),"work",(INDEX(Subject!$A:$I,MATCH(RANDBETWEEN(1,(MAX(Subject!$B:$B))),Subject!$B:$B,0),3))))</f>
        <v/>
      </c>
      <c r="L43" s="2" t="str">
        <f t="array" ref="L43">IF(NOW()&gt;AW43,"",IF(AND((WEEKDAY($A43)+$B$2)&gt;1,((WEEKDAY($A43)+$T$2)&lt;7),(WEEKDAY($A43)&lt;&gt;1)),"work",(INDEX(Subject!$A:$I,MATCH(RANDBETWEEN(1,(MAX(Subject!$B:$B))),Subject!$B:$B,0),3))))</f>
        <v/>
      </c>
      <c r="M43" s="2" t="str">
        <f t="array" ref="M43">IF(NOW()&gt;AX43,"",IF(AND((WEEKDAY($A43)+$B$2)&gt;1,((WEEKDAY($A43)+$T$2)&lt;7),(WEEKDAY($A43)&lt;&gt;1)),"work",(INDEX(Subject!$A:$I,MATCH(RANDBETWEEN(1,(MAX(Subject!$B:$B))),Subject!$B:$B,0),3))))</f>
        <v/>
      </c>
      <c r="N43" s="2" t="str">
        <f t="array" ref="N43">IF(NOW()&gt;AY43,"",IF(AND((WEEKDAY($A43)+$B$2)&gt;1,((WEEKDAY($A43)+$T$2)&lt;7),(WEEKDAY($A43)&lt;&gt;1)),"work",(INDEX(Subject!$A:$I,MATCH(RANDBETWEEN(1,(MAX(Subject!$B:$B))),Subject!$B:$B,0),3))))</f>
        <v/>
      </c>
      <c r="O43" s="2" t="str">
        <f t="array" ref="O43">IF(NOW()&gt;AZ43,"",IF(AND((WEEKDAY($A43)+$B$2)&gt;1,((WEEKDAY($A43)+$T$2)&lt;7),(WEEKDAY($A43)&lt;&gt;1)),"work",(INDEX(Subject!$A:$I,MATCH(RANDBETWEEN(1,(MAX(Subject!$B:$B))),Subject!$B:$B,0),3))))</f>
        <v/>
      </c>
      <c r="P43" s="2" t="str">
        <f t="array" ref="P43">IF(NOW()&gt;BA43,"",IF(AND((WEEKDAY($A43)+$B$2)&gt;1,((WEEKDAY($A43)+$T$2)&lt;7),(WEEKDAY($A43)&lt;&gt;1)),"work",(INDEX(Subject!$A:$I,MATCH(RANDBETWEEN(1,(MAX(Subject!$B:$B))),Subject!$B:$B,0),3))))</f>
        <v/>
      </c>
      <c r="Q43" s="2" t="str">
        <f t="array" ref="Q43">IF(NOW()&gt;BB43,"",IF(AND((WEEKDAY($A43)+$B$2)&gt;1,((WEEKDAY($A43)+$T$2)&lt;7),(WEEKDAY($A43)&lt;&gt;1)),"work",(INDEX(Subject!$A:$I,MATCH(RANDBETWEEN(1,(MAX(Subject!$B:$B))),Subject!$B:$B,0),3))))</f>
        <v/>
      </c>
      <c r="R43" s="2" t="str">
        <f t="array" ref="R43">IF(NOW()&gt;BC43,"",IF(AND((WEEKDAY($A43)+$B$2)&gt;1,((WEEKDAY($A43)+$T$2)&lt;7),(WEEKDAY($A43)&lt;&gt;1)),"work",(INDEX(Subject!$A:$I,MATCH(RANDBETWEEN(1,(MAX(Subject!$B:$B))),Subject!$B:$B,0),3))))</f>
        <v/>
      </c>
      <c r="S43" s="2" t="str">
        <f t="array" ref="S43">IF(NOW()&gt;BD43,"",IF(AND((WEEKDAY($A43)+$B$2)&gt;1,((WEEKDAY($A43)+$T$2)&lt;7),(WEEKDAY($A43)&lt;&gt;1)),"work",(INDEX(Subject!$A:$I,MATCH(RANDBETWEEN(1,(MAX(Subject!$B:$B))),Subject!$B:$B,0),3))))</f>
        <v/>
      </c>
      <c r="T43" s="2" t="str">
        <f t="array" ref="T43">IF(NOW()&gt;BE43,"",IF(AND((WEEKDAY($A43)+$B$2)&gt;1,((WEEKDAY($A43)+$T$2)&lt;7),(WEEKDAY($A43)&lt;&gt;1)),"work",(INDEX(Subject!$A:$I,MATCH(RANDBETWEEN(1,(MAX(Subject!$B:$B))),Subject!$B:$B,0),3))))</f>
        <v/>
      </c>
      <c r="U43" s="8" t="str">
        <f t="array" ref="U43">INDEX(Subject!$A:$I,MATCH(RANDBETWEEN(1,16),Subject!$B:$B,0),3)</f>
        <v>#N/A</v>
      </c>
      <c r="V43" s="8" t="str">
        <f t="array" ref="V43">INDEX(Subject!$A:$I,MATCH(RANDBETWEEN(1,16),Subject!$B:$B,0),3)</f>
        <v>#N/A</v>
      </c>
      <c r="W43" s="8" t="str">
        <f t="array" ref="W43">INDEX(Subject!$A:$I,MATCH(RANDBETWEEN(1,16),Subject!$B:$B,0),3)</f>
        <v>#N/A</v>
      </c>
      <c r="X43" s="8" t="str">
        <f t="array" ref="X43">INDEX(Subject!$A:$I,MATCH(RANDBETWEEN(1,16),Subject!$B:$B,0),3)</f>
        <v>#N/A</v>
      </c>
      <c r="Y43" s="8" t="str">
        <f t="array" ref="Y43">INDEX(Subject!$A:$I,MATCH(RANDBETWEEN(1,16),Subject!$B:$B,0),3)</f>
        <v>#N/A</v>
      </c>
      <c r="Z43" s="8" t="str">
        <f t="array" ref="Z43">INDEX(Subject!$A:$I,MATCH(RANDBETWEEN(1,16),Subject!$B:$B,0),3)</f>
        <v>#N/A</v>
      </c>
      <c r="AA43" s="8" t="str">
        <f t="array" ref="AA43">INDEX(Subject!$A:$I,MATCH(RANDBETWEEN(1,16),Subject!$B:$B,0),3)</f>
        <v>#N/A</v>
      </c>
      <c r="AB43" s="8" t="str">
        <f t="array" ref="AB43">INDEX(Subject!$A:$I,MATCH(RANDBETWEEN(1,16),Subject!$B:$B,0),3)</f>
        <v>#N/A</v>
      </c>
      <c r="AC43" s="8" t="str">
        <f t="array" ref="AC43">INDEX(Subject!$A:$I,MATCH(RANDBETWEEN(1,16),Subject!$B:$B,0),3)</f>
        <v>#N/A</v>
      </c>
      <c r="AD43" s="8" t="str">
        <f t="array" ref="AD43">INDEX(Subject!$A:$I,MATCH(RANDBETWEEN(1,16),Subject!$B:$B,0),3)</f>
        <v>#N/A</v>
      </c>
      <c r="AE43" s="8" t="str">
        <f t="array" ref="AE43">INDEX(Subject!$A:$I,MATCH(RANDBETWEEN(1,16),Subject!$B:$B,0),3)</f>
        <v/>
      </c>
      <c r="AF43" s="8" t="str">
        <f t="array" ref="AF43">INDEX(Subject!$A:$I,MATCH(RANDBETWEEN(1,16),Subject!$B:$B,0),3)</f>
        <v>#N/A</v>
      </c>
      <c r="AG43" s="8" t="str">
        <f t="array" ref="AG43">INDEX(Subject!$A:$I,MATCH(RANDBETWEEN(1,16),Subject!$B:$B,0),3)</f>
        <v>#N/A</v>
      </c>
      <c r="AH43" s="8" t="str">
        <f t="array" ref="AH43">INDEX(Subject!$A:$I,MATCH(RANDBETWEEN(1,16),Subject!$B:$B,0),3)</f>
        <v>#N/A</v>
      </c>
      <c r="AI43" s="8" t="str">
        <f t="array" ref="AI43">INDEX(Subject!$A:$I,MATCH(RANDBETWEEN(1,16),Subject!$B:$B,0),3)</f>
        <v/>
      </c>
      <c r="AJ43" s="8" t="str">
        <f t="array" ref="AJ43">INDEX(Subject!$A:$I,MATCH(RANDBETWEEN(1,16),Subject!$B:$B,0),3)</f>
        <v>#N/A</v>
      </c>
      <c r="AK43" s="8" t="str">
        <f t="array" ref="AK43">INDEX(Subject!$A:$I,MATCH(RANDBETWEEN(1,16),Subject!$B:$B,0),3)</f>
        <v>#N/A</v>
      </c>
      <c r="AL43" s="8" t="str">
        <f t="array" ref="AL43">INDEX(Subject!$A:$I,MATCH(RANDBETWEEN(1,16),Subject!$B:$B,0),3)</f>
        <v>#N/A</v>
      </c>
      <c r="AM43" s="18">
        <f t="shared" si="4"/>
        <v>45543.33333</v>
      </c>
      <c r="AN43" s="19">
        <f t="shared" ref="AN43:BZ43" si="43">$A43+C$1</f>
        <v>45543.35417</v>
      </c>
      <c r="AO43" s="19">
        <f t="shared" si="43"/>
        <v>45543.375</v>
      </c>
      <c r="AP43" s="19">
        <f t="shared" si="43"/>
        <v>45543.39583</v>
      </c>
      <c r="AQ43" s="19">
        <f t="shared" si="43"/>
        <v>45543.41667</v>
      </c>
      <c r="AR43" s="19">
        <f t="shared" si="43"/>
        <v>45543.4375</v>
      </c>
      <c r="AS43" s="19">
        <f t="shared" si="43"/>
        <v>45543.45833</v>
      </c>
      <c r="AT43" s="19">
        <f t="shared" si="43"/>
        <v>45543.47917</v>
      </c>
      <c r="AU43" s="19">
        <f t="shared" si="43"/>
        <v>45543.5</v>
      </c>
      <c r="AV43" s="19">
        <f t="shared" si="43"/>
        <v>45543.52083</v>
      </c>
      <c r="AW43" s="19">
        <f t="shared" si="43"/>
        <v>45543.54167</v>
      </c>
      <c r="AX43" s="19">
        <f t="shared" si="43"/>
        <v>45543.5625</v>
      </c>
      <c r="AY43" s="19">
        <f t="shared" si="43"/>
        <v>45543.58333</v>
      </c>
      <c r="AZ43" s="19">
        <f t="shared" si="43"/>
        <v>45543.60417</v>
      </c>
      <c r="BA43" s="19">
        <f t="shared" si="43"/>
        <v>45543.625</v>
      </c>
      <c r="BB43" s="19">
        <f t="shared" si="43"/>
        <v>45543.64583</v>
      </c>
      <c r="BC43" s="19">
        <f t="shared" si="43"/>
        <v>45543.66667</v>
      </c>
      <c r="BD43" s="19">
        <f t="shared" si="43"/>
        <v>45543.6875</v>
      </c>
      <c r="BE43" s="19">
        <f t="shared" si="43"/>
        <v>45543.70833</v>
      </c>
      <c r="BF43" s="19">
        <f t="shared" si="43"/>
        <v>45543.72917</v>
      </c>
      <c r="BG43" s="19">
        <f t="shared" si="43"/>
        <v>45543.75</v>
      </c>
      <c r="BH43" s="19">
        <f t="shared" si="43"/>
        <v>45543.77083</v>
      </c>
      <c r="BI43" s="19">
        <f t="shared" si="43"/>
        <v>45543.79167</v>
      </c>
      <c r="BJ43" s="19">
        <f t="shared" si="43"/>
        <v>45543.8125</v>
      </c>
      <c r="BK43" s="19">
        <f t="shared" si="43"/>
        <v>45543.83333</v>
      </c>
      <c r="BL43" s="19">
        <f t="shared" si="43"/>
        <v>45543.85417</v>
      </c>
      <c r="BM43" s="19">
        <f t="shared" si="43"/>
        <v>45543.875</v>
      </c>
      <c r="BN43" s="19">
        <f t="shared" si="43"/>
        <v>45543.89583</v>
      </c>
      <c r="BO43" s="19">
        <f t="shared" si="43"/>
        <v>45543.91667</v>
      </c>
      <c r="BP43" s="19">
        <f t="shared" si="43"/>
        <v>45543.9375</v>
      </c>
      <c r="BQ43" s="19">
        <f t="shared" si="43"/>
        <v>45543.95833</v>
      </c>
      <c r="BR43" s="19">
        <f t="shared" si="43"/>
        <v>45543.97917</v>
      </c>
      <c r="BS43" s="19">
        <f t="shared" si="43"/>
        <v>45544</v>
      </c>
      <c r="BT43" s="19">
        <f t="shared" si="43"/>
        <v>45544.02083</v>
      </c>
      <c r="BU43" s="19">
        <f t="shared" si="43"/>
        <v>45544.04167</v>
      </c>
      <c r="BV43" s="19">
        <f t="shared" si="43"/>
        <v>45544.0625</v>
      </c>
      <c r="BW43" s="19">
        <f t="shared" si="43"/>
        <v>45544.08333</v>
      </c>
      <c r="BX43" s="19">
        <f t="shared" si="43"/>
        <v>45543</v>
      </c>
      <c r="BY43" s="19">
        <f t="shared" si="43"/>
        <v>45543</v>
      </c>
      <c r="BZ43" s="19">
        <f t="shared" si="43"/>
        <v>45543</v>
      </c>
    </row>
    <row r="44" ht="14.25" customHeight="1">
      <c r="A44" s="17">
        <v>45544.0</v>
      </c>
      <c r="B44" s="2" t="str">
        <f t="array" ref="B44">IF(NOW()&gt;AM44,"",IF(AND((WEEKDAY($A44)+$B$2)&gt;1,((WEEKDAY($A44)+$T$2)&lt;7),(WEEKDAY($A44)&lt;&gt;1)),"work",(INDEX(Subject!$A:$I,MATCH(RANDBETWEEN(1,(MAX(Subject!$B:$B))),Subject!$B:$B,0),3))))</f>
        <v/>
      </c>
      <c r="C44" s="2" t="str">
        <f t="array" ref="C44">IF(NOW()&gt;AN44,"",IF(AND((WEEKDAY($A44)+$B$2)&gt;1,((WEEKDAY($A44)+$T$2)&lt;7),(WEEKDAY($A44)&lt;&gt;1)),"work",(INDEX(Subject!$A:$I,MATCH(RANDBETWEEN(1,(MAX(Subject!$B:$B))),Subject!$B:$B,0),3))))</f>
        <v/>
      </c>
      <c r="D44" s="2" t="str">
        <f t="array" ref="D44">IF(NOW()&gt;AO44,"",IF(AND((WEEKDAY($A44)+$B$2)&gt;1,((WEEKDAY($A44)+$T$2)&lt;7),(WEEKDAY($A44)&lt;&gt;1)),"work",(INDEX(Subject!$A:$I,MATCH(RANDBETWEEN(1,(MAX(Subject!$B:$B))),Subject!$B:$B,0),3))))</f>
        <v/>
      </c>
      <c r="E44" s="2" t="str">
        <f t="array" ref="E44">IF(NOW()&gt;AP44,"",IF(AND((WEEKDAY($A44)+$B$2)&gt;1,((WEEKDAY($A44)+$T$2)&lt;7),(WEEKDAY($A44)&lt;&gt;1)),"work",(INDEX(Subject!$A:$I,MATCH(RANDBETWEEN(1,(MAX(Subject!$B:$B))),Subject!$B:$B,0),3))))</f>
        <v/>
      </c>
      <c r="F44" s="2" t="str">
        <f t="array" ref="F44">IF(NOW()&gt;AQ44,"",IF(AND((WEEKDAY($A44)+$B$2)&gt;1,((WEEKDAY($A44)+$T$2)&lt;7),(WEEKDAY($A44)&lt;&gt;1)),"work",(INDEX(Subject!$A:$I,MATCH(RANDBETWEEN(1,(MAX(Subject!$B:$B))),Subject!$B:$B,0),3))))</f>
        <v/>
      </c>
      <c r="G44" s="2" t="str">
        <f t="array" ref="G44">IF(NOW()&gt;AR44,"",IF(AND((WEEKDAY($A44)+$B$2)&gt;1,((WEEKDAY($A44)+$T$2)&lt;7),(WEEKDAY($A44)&lt;&gt;1)),"work",(INDEX(Subject!$A:$I,MATCH(RANDBETWEEN(1,(MAX(Subject!$B:$B))),Subject!$B:$B,0),3))))</f>
        <v/>
      </c>
      <c r="H44" s="2" t="str">
        <f t="array" ref="H44">IF(NOW()&gt;AS44,"",IF(AND((WEEKDAY($A44)+$B$2)&gt;1,((WEEKDAY($A44)+$T$2)&lt;7),(WEEKDAY($A44)&lt;&gt;1)),"work",(INDEX(Subject!$A:$I,MATCH(RANDBETWEEN(1,(MAX(Subject!$B:$B))),Subject!$B:$B,0),3))))</f>
        <v/>
      </c>
      <c r="I44" s="2" t="str">
        <f t="array" ref="I44">IF(NOW()&gt;AT44,"",IF(AND((WEEKDAY($A44)+$B$2)&gt;1,((WEEKDAY($A44)+$T$2)&lt;7),(WEEKDAY($A44)&lt;&gt;1)),"work",(INDEX(Subject!$A:$I,MATCH(RANDBETWEEN(1,(MAX(Subject!$B:$B))),Subject!$B:$B,0),3))))</f>
        <v/>
      </c>
      <c r="J44" s="2" t="str">
        <f t="array" ref="J44">IF(NOW()&gt;AU44,"",IF(AND((WEEKDAY($A44)+$B$2)&gt;1,((WEEKDAY($A44)+$T$2)&lt;7),(WEEKDAY($A44)&lt;&gt;1)),"work",(INDEX(Subject!$A:$I,MATCH(RANDBETWEEN(1,(MAX(Subject!$B:$B))),Subject!$B:$B,0),3))))</f>
        <v/>
      </c>
      <c r="K44" s="2" t="str">
        <f t="array" ref="K44">IF(NOW()&gt;AV44,"",IF(AND((WEEKDAY($A44)+$B$2)&gt;1,((WEEKDAY($A44)+$T$2)&lt;7),(WEEKDAY($A44)&lt;&gt;1)),"work",(INDEX(Subject!$A:$I,MATCH(RANDBETWEEN(1,(MAX(Subject!$B:$B))),Subject!$B:$B,0),3))))</f>
        <v/>
      </c>
      <c r="L44" s="2" t="str">
        <f t="array" ref="L44">IF(NOW()&gt;AW44,"",IF(AND((WEEKDAY($A44)+$B$2)&gt;1,((WEEKDAY($A44)+$T$2)&lt;7),(WEEKDAY($A44)&lt;&gt;1)),"work",(INDEX(Subject!$A:$I,MATCH(RANDBETWEEN(1,(MAX(Subject!$B:$B))),Subject!$B:$B,0),3))))</f>
        <v/>
      </c>
      <c r="M44" s="2" t="str">
        <f t="array" ref="M44">IF(NOW()&gt;AX44,"",IF(AND((WEEKDAY($A44)+$B$2)&gt;1,((WEEKDAY($A44)+$T$2)&lt;7),(WEEKDAY($A44)&lt;&gt;1)),"work",(INDEX(Subject!$A:$I,MATCH(RANDBETWEEN(1,(MAX(Subject!$B:$B))),Subject!$B:$B,0),3))))</f>
        <v/>
      </c>
      <c r="N44" s="2" t="str">
        <f t="array" ref="N44">IF(NOW()&gt;AY44,"",IF(AND((WEEKDAY($A44)+$B$2)&gt;1,((WEEKDAY($A44)+$T$2)&lt;7),(WEEKDAY($A44)&lt;&gt;1)),"work",(INDEX(Subject!$A:$I,MATCH(RANDBETWEEN(1,(MAX(Subject!$B:$B))),Subject!$B:$B,0),3))))</f>
        <v/>
      </c>
      <c r="O44" s="2" t="str">
        <f t="array" ref="O44">IF(NOW()&gt;AZ44,"",IF(AND((WEEKDAY($A44)+$B$2)&gt;1,((WEEKDAY($A44)+$T$2)&lt;7),(WEEKDAY($A44)&lt;&gt;1)),"work",(INDEX(Subject!$A:$I,MATCH(RANDBETWEEN(1,(MAX(Subject!$B:$B))),Subject!$B:$B,0),3))))</f>
        <v/>
      </c>
      <c r="P44" s="2" t="str">
        <f t="array" ref="P44">IF(NOW()&gt;BA44,"",IF(AND((WEEKDAY($A44)+$B$2)&gt;1,((WEEKDAY($A44)+$T$2)&lt;7),(WEEKDAY($A44)&lt;&gt;1)),"work",(INDEX(Subject!$A:$I,MATCH(RANDBETWEEN(1,(MAX(Subject!$B:$B))),Subject!$B:$B,0),3))))</f>
        <v/>
      </c>
      <c r="Q44" s="2" t="str">
        <f t="array" ref="Q44">IF(NOW()&gt;BB44,"",IF(AND((WEEKDAY($A44)+$B$2)&gt;1,((WEEKDAY($A44)+$T$2)&lt;7),(WEEKDAY($A44)&lt;&gt;1)),"work",(INDEX(Subject!$A:$I,MATCH(RANDBETWEEN(1,(MAX(Subject!$B:$B))),Subject!$B:$B,0),3))))</f>
        <v/>
      </c>
      <c r="R44" s="2" t="str">
        <f t="array" ref="R44">IF(NOW()&gt;BC44,"",IF(AND((WEEKDAY($A44)+$B$2)&gt;1,((WEEKDAY($A44)+$T$2)&lt;7),(WEEKDAY($A44)&lt;&gt;1)),"work",(INDEX(Subject!$A:$I,MATCH(RANDBETWEEN(1,(MAX(Subject!$B:$B))),Subject!$B:$B,0),3))))</f>
        <v/>
      </c>
      <c r="S44" s="2" t="str">
        <f t="array" ref="S44">IF(NOW()&gt;BD44,"",IF(AND((WEEKDAY($A44)+$B$2)&gt;1,((WEEKDAY($A44)+$T$2)&lt;7),(WEEKDAY($A44)&lt;&gt;1)),"work",(INDEX(Subject!$A:$I,MATCH(RANDBETWEEN(1,(MAX(Subject!$B:$B))),Subject!$B:$B,0),3))))</f>
        <v/>
      </c>
      <c r="T44" s="2" t="str">
        <f t="array" ref="T44">IF(NOW()&gt;BE44,"",IF(AND((WEEKDAY($A44)+$B$2)&gt;1,((WEEKDAY($A44)+$T$2)&lt;7),(WEEKDAY($A44)&lt;&gt;1)),"work",(INDEX(Subject!$A:$I,MATCH(RANDBETWEEN(1,(MAX(Subject!$B:$B))),Subject!$B:$B,0),3))))</f>
        <v/>
      </c>
      <c r="U44" s="8" t="str">
        <f t="array" ref="U44">INDEX(Subject!$A:$I,MATCH(RANDBETWEEN(1,16),Subject!$B:$B,0),3)</f>
        <v>#N/A</v>
      </c>
      <c r="V44" s="8" t="str">
        <f t="array" ref="V44">INDEX(Subject!$A:$I,MATCH(RANDBETWEEN(1,16),Subject!$B:$B,0),3)</f>
        <v>#N/A</v>
      </c>
      <c r="W44" s="8" t="str">
        <f t="array" ref="W44">INDEX(Subject!$A:$I,MATCH(RANDBETWEEN(1,16),Subject!$B:$B,0),3)</f>
        <v>#N/A</v>
      </c>
      <c r="X44" s="8" t="str">
        <f t="array" ref="X44">INDEX(Subject!$A:$I,MATCH(RANDBETWEEN(1,16),Subject!$B:$B,0),3)</f>
        <v>#N/A</v>
      </c>
      <c r="Y44" s="8" t="str">
        <f t="array" ref="Y44">INDEX(Subject!$A:$I,MATCH(RANDBETWEEN(1,16),Subject!$B:$B,0),3)</f>
        <v>#N/A</v>
      </c>
      <c r="Z44" s="8" t="str">
        <f t="array" ref="Z44">INDEX(Subject!$A:$I,MATCH(RANDBETWEEN(1,16),Subject!$B:$B,0),3)</f>
        <v>#N/A</v>
      </c>
      <c r="AA44" s="8" t="str">
        <f t="array" ref="AA44">INDEX(Subject!$A:$I,MATCH(RANDBETWEEN(1,16),Subject!$B:$B,0),3)</f>
        <v>#N/A</v>
      </c>
      <c r="AB44" s="8" t="str">
        <f t="array" ref="AB44">INDEX(Subject!$A:$I,MATCH(RANDBETWEEN(1,16),Subject!$B:$B,0),3)</f>
        <v>#N/A</v>
      </c>
      <c r="AC44" s="8" t="str">
        <f t="array" ref="AC44">INDEX(Subject!$A:$I,MATCH(RANDBETWEEN(1,16),Subject!$B:$B,0),3)</f>
        <v>#N/A</v>
      </c>
      <c r="AD44" s="8" t="str">
        <f t="array" ref="AD44">INDEX(Subject!$A:$I,MATCH(RANDBETWEEN(1,16),Subject!$B:$B,0),3)</f>
        <v>#N/A</v>
      </c>
      <c r="AE44" s="8" t="str">
        <f t="array" ref="AE44">INDEX(Subject!$A:$I,MATCH(RANDBETWEEN(1,16),Subject!$B:$B,0),3)</f>
        <v>#N/A</v>
      </c>
      <c r="AF44" s="8" t="str">
        <f t="array" ref="AF44">INDEX(Subject!$A:$I,MATCH(RANDBETWEEN(1,16),Subject!$B:$B,0),3)</f>
        <v>#N/A</v>
      </c>
      <c r="AG44" s="8" t="str">
        <f t="array" ref="AG44">INDEX(Subject!$A:$I,MATCH(RANDBETWEEN(1,16),Subject!$B:$B,0),3)</f>
        <v>#N/A</v>
      </c>
      <c r="AH44" s="8" t="str">
        <f t="array" ref="AH44">INDEX(Subject!$A:$I,MATCH(RANDBETWEEN(1,16),Subject!$B:$B,0),3)</f>
        <v>#N/A</v>
      </c>
      <c r="AI44" s="8" t="str">
        <f t="array" ref="AI44">INDEX(Subject!$A:$I,MATCH(RANDBETWEEN(1,16),Subject!$B:$B,0),3)</f>
        <v>#N/A</v>
      </c>
      <c r="AJ44" s="8" t="str">
        <f t="array" ref="AJ44">INDEX(Subject!$A:$I,MATCH(RANDBETWEEN(1,16),Subject!$B:$B,0),3)</f>
        <v>#N/A</v>
      </c>
      <c r="AK44" s="8" t="str">
        <f t="array" ref="AK44">INDEX(Subject!$A:$I,MATCH(RANDBETWEEN(1,16),Subject!$B:$B,0),3)</f>
        <v>#N/A</v>
      </c>
      <c r="AL44" s="8" t="str">
        <f t="array" ref="AL44">INDEX(Subject!$A:$I,MATCH(RANDBETWEEN(1,16),Subject!$B:$B,0),3)</f>
        <v>#N/A</v>
      </c>
      <c r="AM44" s="18">
        <f t="shared" si="4"/>
        <v>45544.33333</v>
      </c>
      <c r="AN44" s="19">
        <f t="shared" ref="AN44:BZ44" si="44">$A44+C$1</f>
        <v>45544.35417</v>
      </c>
      <c r="AO44" s="19">
        <f t="shared" si="44"/>
        <v>45544.375</v>
      </c>
      <c r="AP44" s="19">
        <f t="shared" si="44"/>
        <v>45544.39583</v>
      </c>
      <c r="AQ44" s="19">
        <f t="shared" si="44"/>
        <v>45544.41667</v>
      </c>
      <c r="AR44" s="19">
        <f t="shared" si="44"/>
        <v>45544.4375</v>
      </c>
      <c r="AS44" s="19">
        <f t="shared" si="44"/>
        <v>45544.45833</v>
      </c>
      <c r="AT44" s="19">
        <f t="shared" si="44"/>
        <v>45544.47917</v>
      </c>
      <c r="AU44" s="19">
        <f t="shared" si="44"/>
        <v>45544.5</v>
      </c>
      <c r="AV44" s="19">
        <f t="shared" si="44"/>
        <v>45544.52083</v>
      </c>
      <c r="AW44" s="19">
        <f t="shared" si="44"/>
        <v>45544.54167</v>
      </c>
      <c r="AX44" s="19">
        <f t="shared" si="44"/>
        <v>45544.5625</v>
      </c>
      <c r="AY44" s="19">
        <f t="shared" si="44"/>
        <v>45544.58333</v>
      </c>
      <c r="AZ44" s="19">
        <f t="shared" si="44"/>
        <v>45544.60417</v>
      </c>
      <c r="BA44" s="19">
        <f t="shared" si="44"/>
        <v>45544.625</v>
      </c>
      <c r="BB44" s="19">
        <f t="shared" si="44"/>
        <v>45544.64583</v>
      </c>
      <c r="BC44" s="19">
        <f t="shared" si="44"/>
        <v>45544.66667</v>
      </c>
      <c r="BD44" s="19">
        <f t="shared" si="44"/>
        <v>45544.6875</v>
      </c>
      <c r="BE44" s="19">
        <f t="shared" si="44"/>
        <v>45544.70833</v>
      </c>
      <c r="BF44" s="19">
        <f t="shared" si="44"/>
        <v>45544.72917</v>
      </c>
      <c r="BG44" s="19">
        <f t="shared" si="44"/>
        <v>45544.75</v>
      </c>
      <c r="BH44" s="19">
        <f t="shared" si="44"/>
        <v>45544.77083</v>
      </c>
      <c r="BI44" s="19">
        <f t="shared" si="44"/>
        <v>45544.79167</v>
      </c>
      <c r="BJ44" s="19">
        <f t="shared" si="44"/>
        <v>45544.8125</v>
      </c>
      <c r="BK44" s="19">
        <f t="shared" si="44"/>
        <v>45544.83333</v>
      </c>
      <c r="BL44" s="19">
        <f t="shared" si="44"/>
        <v>45544.85417</v>
      </c>
      <c r="BM44" s="19">
        <f t="shared" si="44"/>
        <v>45544.875</v>
      </c>
      <c r="BN44" s="19">
        <f t="shared" si="44"/>
        <v>45544.89583</v>
      </c>
      <c r="BO44" s="19">
        <f t="shared" si="44"/>
        <v>45544.91667</v>
      </c>
      <c r="BP44" s="19">
        <f t="shared" si="44"/>
        <v>45544.9375</v>
      </c>
      <c r="BQ44" s="19">
        <f t="shared" si="44"/>
        <v>45544.95833</v>
      </c>
      <c r="BR44" s="19">
        <f t="shared" si="44"/>
        <v>45544.97917</v>
      </c>
      <c r="BS44" s="19">
        <f t="shared" si="44"/>
        <v>45545</v>
      </c>
      <c r="BT44" s="19">
        <f t="shared" si="44"/>
        <v>45545.02083</v>
      </c>
      <c r="BU44" s="19">
        <f t="shared" si="44"/>
        <v>45545.04167</v>
      </c>
      <c r="BV44" s="19">
        <f t="shared" si="44"/>
        <v>45545.0625</v>
      </c>
      <c r="BW44" s="19">
        <f t="shared" si="44"/>
        <v>45545.08333</v>
      </c>
      <c r="BX44" s="19">
        <f t="shared" si="44"/>
        <v>45544</v>
      </c>
      <c r="BY44" s="19">
        <f t="shared" si="44"/>
        <v>45544</v>
      </c>
      <c r="BZ44" s="19">
        <f t="shared" si="44"/>
        <v>45544</v>
      </c>
    </row>
    <row r="45" ht="14.25" customHeight="1">
      <c r="A45" s="17">
        <v>45545.0</v>
      </c>
      <c r="B45" s="2" t="str">
        <f t="array" ref="B45">IF(NOW()&gt;AM45,"",IF(AND((WEEKDAY($A45)+$B$2)&gt;1,((WEEKDAY($A45)+$T$2)&lt;7),(WEEKDAY($A45)&lt;&gt;1)),"work",(INDEX(Subject!$A:$I,MATCH(RANDBETWEEN(1,(MAX(Subject!$B:$B))),Subject!$B:$B,0),3))))</f>
        <v/>
      </c>
      <c r="C45" s="2" t="str">
        <f t="array" ref="C45">IF(NOW()&gt;AN45,"",IF(AND((WEEKDAY($A45)+$B$2)&gt;1,((WEEKDAY($A45)+$T$2)&lt;7),(WEEKDAY($A45)&lt;&gt;1)),"work",(INDEX(Subject!$A:$I,MATCH(RANDBETWEEN(1,(MAX(Subject!$B:$B))),Subject!$B:$B,0),3))))</f>
        <v/>
      </c>
      <c r="D45" s="2" t="str">
        <f t="array" ref="D45">IF(NOW()&gt;AO45,"",IF(AND((WEEKDAY($A45)+$B$2)&gt;1,((WEEKDAY($A45)+$T$2)&lt;7),(WEEKDAY($A45)&lt;&gt;1)),"work",(INDEX(Subject!$A:$I,MATCH(RANDBETWEEN(1,(MAX(Subject!$B:$B))),Subject!$B:$B,0),3))))</f>
        <v/>
      </c>
      <c r="E45" s="2" t="str">
        <f t="array" ref="E45">IF(NOW()&gt;AP45,"",IF(AND((WEEKDAY($A45)+$B$2)&gt;1,((WEEKDAY($A45)+$T$2)&lt;7),(WEEKDAY($A45)&lt;&gt;1)),"work",(INDEX(Subject!$A:$I,MATCH(RANDBETWEEN(1,(MAX(Subject!$B:$B))),Subject!$B:$B,0),3))))</f>
        <v/>
      </c>
      <c r="F45" s="2" t="str">
        <f t="array" ref="F45">IF(NOW()&gt;AQ45,"",IF(AND((WEEKDAY($A45)+$B$2)&gt;1,((WEEKDAY($A45)+$T$2)&lt;7),(WEEKDAY($A45)&lt;&gt;1)),"work",(INDEX(Subject!$A:$I,MATCH(RANDBETWEEN(1,(MAX(Subject!$B:$B))),Subject!$B:$B,0),3))))</f>
        <v/>
      </c>
      <c r="G45" s="2" t="str">
        <f t="array" ref="G45">IF(NOW()&gt;AR45,"",IF(AND((WEEKDAY($A45)+$B$2)&gt;1,((WEEKDAY($A45)+$T$2)&lt;7),(WEEKDAY($A45)&lt;&gt;1)),"work",(INDEX(Subject!$A:$I,MATCH(RANDBETWEEN(1,(MAX(Subject!$B:$B))),Subject!$B:$B,0),3))))</f>
        <v/>
      </c>
      <c r="H45" s="2" t="str">
        <f t="array" ref="H45">IF(NOW()&gt;AS45,"",IF(AND((WEEKDAY($A45)+$B$2)&gt;1,((WEEKDAY($A45)+$T$2)&lt;7),(WEEKDAY($A45)&lt;&gt;1)),"work",(INDEX(Subject!$A:$I,MATCH(RANDBETWEEN(1,(MAX(Subject!$B:$B))),Subject!$B:$B,0),3))))</f>
        <v/>
      </c>
      <c r="I45" s="2" t="str">
        <f t="array" ref="I45">IF(NOW()&gt;AT45,"",IF(AND((WEEKDAY($A45)+$B$2)&gt;1,((WEEKDAY($A45)+$T$2)&lt;7),(WEEKDAY($A45)&lt;&gt;1)),"work",(INDEX(Subject!$A:$I,MATCH(RANDBETWEEN(1,(MAX(Subject!$B:$B))),Subject!$B:$B,0),3))))</f>
        <v/>
      </c>
      <c r="J45" s="2" t="str">
        <f t="array" ref="J45">IF(NOW()&gt;AU45,"",IF(AND((WEEKDAY($A45)+$B$2)&gt;1,((WEEKDAY($A45)+$T$2)&lt;7),(WEEKDAY($A45)&lt;&gt;1)),"work",(INDEX(Subject!$A:$I,MATCH(RANDBETWEEN(1,(MAX(Subject!$B:$B))),Subject!$B:$B,0),3))))</f>
        <v/>
      </c>
      <c r="K45" s="2" t="str">
        <f t="array" ref="K45">IF(NOW()&gt;AV45,"",IF(AND((WEEKDAY($A45)+$B$2)&gt;1,((WEEKDAY($A45)+$T$2)&lt;7),(WEEKDAY($A45)&lt;&gt;1)),"work",(INDEX(Subject!$A:$I,MATCH(RANDBETWEEN(1,(MAX(Subject!$B:$B))),Subject!$B:$B,0),3))))</f>
        <v/>
      </c>
      <c r="L45" s="2" t="str">
        <f t="array" ref="L45">IF(NOW()&gt;AW45,"",IF(AND((WEEKDAY($A45)+$B$2)&gt;1,((WEEKDAY($A45)+$T$2)&lt;7),(WEEKDAY($A45)&lt;&gt;1)),"work",(INDEX(Subject!$A:$I,MATCH(RANDBETWEEN(1,(MAX(Subject!$B:$B))),Subject!$B:$B,0),3))))</f>
        <v/>
      </c>
      <c r="M45" s="2" t="str">
        <f t="array" ref="M45">IF(NOW()&gt;AX45,"",IF(AND((WEEKDAY($A45)+$B$2)&gt;1,((WEEKDAY($A45)+$T$2)&lt;7),(WEEKDAY($A45)&lt;&gt;1)),"work",(INDEX(Subject!$A:$I,MATCH(RANDBETWEEN(1,(MAX(Subject!$B:$B))),Subject!$B:$B,0),3))))</f>
        <v/>
      </c>
      <c r="N45" s="2" t="str">
        <f t="array" ref="N45">IF(NOW()&gt;AY45,"",IF(AND((WEEKDAY($A45)+$B$2)&gt;1,((WEEKDAY($A45)+$T$2)&lt;7),(WEEKDAY($A45)&lt;&gt;1)),"work",(INDEX(Subject!$A:$I,MATCH(RANDBETWEEN(1,(MAX(Subject!$B:$B))),Subject!$B:$B,0),3))))</f>
        <v/>
      </c>
      <c r="O45" s="2" t="str">
        <f t="array" ref="O45">IF(NOW()&gt;AZ45,"",IF(AND((WEEKDAY($A45)+$B$2)&gt;1,((WEEKDAY($A45)+$T$2)&lt;7),(WEEKDAY($A45)&lt;&gt;1)),"work",(INDEX(Subject!$A:$I,MATCH(RANDBETWEEN(1,(MAX(Subject!$B:$B))),Subject!$B:$B,0),3))))</f>
        <v/>
      </c>
      <c r="P45" s="2" t="str">
        <f t="array" ref="P45">IF(NOW()&gt;BA45,"",IF(AND((WEEKDAY($A45)+$B$2)&gt;1,((WEEKDAY($A45)+$T$2)&lt;7),(WEEKDAY($A45)&lt;&gt;1)),"work",(INDEX(Subject!$A:$I,MATCH(RANDBETWEEN(1,(MAX(Subject!$B:$B))),Subject!$B:$B,0),3))))</f>
        <v/>
      </c>
      <c r="Q45" s="2" t="str">
        <f t="array" ref="Q45">IF(NOW()&gt;BB45,"",IF(AND((WEEKDAY($A45)+$B$2)&gt;1,((WEEKDAY($A45)+$T$2)&lt;7),(WEEKDAY($A45)&lt;&gt;1)),"work",(INDEX(Subject!$A:$I,MATCH(RANDBETWEEN(1,(MAX(Subject!$B:$B))),Subject!$B:$B,0),3))))</f>
        <v/>
      </c>
      <c r="R45" s="2" t="str">
        <f t="array" ref="R45">IF(NOW()&gt;BC45,"",IF(AND((WEEKDAY($A45)+$B$2)&gt;1,((WEEKDAY($A45)+$T$2)&lt;7),(WEEKDAY($A45)&lt;&gt;1)),"work",(INDEX(Subject!$A:$I,MATCH(RANDBETWEEN(1,(MAX(Subject!$B:$B))),Subject!$B:$B,0),3))))</f>
        <v/>
      </c>
      <c r="S45" s="2" t="str">
        <f t="array" ref="S45">IF(NOW()&gt;BD45,"",IF(AND((WEEKDAY($A45)+$B$2)&gt;1,((WEEKDAY($A45)+$T$2)&lt;7),(WEEKDAY($A45)&lt;&gt;1)),"work",(INDEX(Subject!$A:$I,MATCH(RANDBETWEEN(1,(MAX(Subject!$B:$B))),Subject!$B:$B,0),3))))</f>
        <v/>
      </c>
      <c r="T45" s="2" t="str">
        <f t="array" ref="T45">IF(NOW()&gt;BE45,"",IF(AND((WEEKDAY($A45)+$B$2)&gt;1,((WEEKDAY($A45)+$T$2)&lt;7),(WEEKDAY($A45)&lt;&gt;1)),"work",(INDEX(Subject!$A:$I,MATCH(RANDBETWEEN(1,(MAX(Subject!$B:$B))),Subject!$B:$B,0),3))))</f>
        <v/>
      </c>
      <c r="U45" s="8" t="str">
        <f t="array" ref="U45">INDEX(Subject!$A:$I,MATCH(RANDBETWEEN(1,16),Subject!$B:$B,0),3)</f>
        <v>#N/A</v>
      </c>
      <c r="V45" s="8" t="str">
        <f t="array" ref="V45">INDEX(Subject!$A:$I,MATCH(RANDBETWEEN(1,16),Subject!$B:$B,0),3)</f>
        <v>#N/A</v>
      </c>
      <c r="W45" s="8" t="str">
        <f t="array" ref="W45">INDEX(Subject!$A:$I,MATCH(RANDBETWEEN(1,16),Subject!$B:$B,0),3)</f>
        <v>#N/A</v>
      </c>
      <c r="X45" s="8" t="str">
        <f t="array" ref="X45">INDEX(Subject!$A:$I,MATCH(RANDBETWEEN(1,16),Subject!$B:$B,0),3)</f>
        <v>#N/A</v>
      </c>
      <c r="Y45" s="8" t="str">
        <f t="array" ref="Y45">INDEX(Subject!$A:$I,MATCH(RANDBETWEEN(1,16),Subject!$B:$B,0),3)</f>
        <v>#N/A</v>
      </c>
      <c r="Z45" s="8" t="str">
        <f t="array" ref="Z45">INDEX(Subject!$A:$I,MATCH(RANDBETWEEN(1,16),Subject!$B:$B,0),3)</f>
        <v>#N/A</v>
      </c>
      <c r="AA45" s="8" t="str">
        <f t="array" ref="AA45">INDEX(Subject!$A:$I,MATCH(RANDBETWEEN(1,16),Subject!$B:$B,0),3)</f>
        <v>#N/A</v>
      </c>
      <c r="AB45" s="8" t="str">
        <f t="array" ref="AB45">INDEX(Subject!$A:$I,MATCH(RANDBETWEEN(1,16),Subject!$B:$B,0),3)</f>
        <v>#N/A</v>
      </c>
      <c r="AC45" s="8" t="str">
        <f t="array" ref="AC45">INDEX(Subject!$A:$I,MATCH(RANDBETWEEN(1,16),Subject!$B:$B,0),3)</f>
        <v>#N/A</v>
      </c>
      <c r="AD45" s="8" t="str">
        <f t="array" ref="AD45">INDEX(Subject!$A:$I,MATCH(RANDBETWEEN(1,16),Subject!$B:$B,0),3)</f>
        <v>#N/A</v>
      </c>
      <c r="AE45" s="8" t="str">
        <f t="array" ref="AE45">INDEX(Subject!$A:$I,MATCH(RANDBETWEEN(1,16),Subject!$B:$B,0),3)</f>
        <v>#N/A</v>
      </c>
      <c r="AF45" s="8" t="str">
        <f t="array" ref="AF45">INDEX(Subject!$A:$I,MATCH(RANDBETWEEN(1,16),Subject!$B:$B,0),3)</f>
        <v>#N/A</v>
      </c>
      <c r="AG45" s="8" t="str">
        <f t="array" ref="AG45">INDEX(Subject!$A:$I,MATCH(RANDBETWEEN(1,16),Subject!$B:$B,0),3)</f>
        <v>#N/A</v>
      </c>
      <c r="AH45" s="8" t="str">
        <f t="array" ref="AH45">INDEX(Subject!$A:$I,MATCH(RANDBETWEEN(1,16),Subject!$B:$B,0),3)</f>
        <v>#N/A</v>
      </c>
      <c r="AI45" s="8" t="str">
        <f t="array" ref="AI45">INDEX(Subject!$A:$I,MATCH(RANDBETWEEN(1,16),Subject!$B:$B,0),3)</f>
        <v>#N/A</v>
      </c>
      <c r="AJ45" s="8" t="str">
        <f t="array" ref="AJ45">INDEX(Subject!$A:$I,MATCH(RANDBETWEEN(1,16),Subject!$B:$B,0),3)</f>
        <v>#N/A</v>
      </c>
      <c r="AK45" s="8" t="str">
        <f t="array" ref="AK45">INDEX(Subject!$A:$I,MATCH(RANDBETWEEN(1,16),Subject!$B:$B,0),3)</f>
        <v/>
      </c>
      <c r="AL45" s="8" t="str">
        <f t="array" ref="AL45">INDEX(Subject!$A:$I,MATCH(RANDBETWEEN(1,16),Subject!$B:$B,0),3)</f>
        <v>#N/A</v>
      </c>
      <c r="AM45" s="18">
        <f t="shared" si="4"/>
        <v>45545.33333</v>
      </c>
      <c r="AN45" s="19">
        <f t="shared" ref="AN45:BZ45" si="45">$A45+C$1</f>
        <v>45545.35417</v>
      </c>
      <c r="AO45" s="19">
        <f t="shared" si="45"/>
        <v>45545.375</v>
      </c>
      <c r="AP45" s="19">
        <f t="shared" si="45"/>
        <v>45545.39583</v>
      </c>
      <c r="AQ45" s="19">
        <f t="shared" si="45"/>
        <v>45545.41667</v>
      </c>
      <c r="AR45" s="19">
        <f t="shared" si="45"/>
        <v>45545.4375</v>
      </c>
      <c r="AS45" s="19">
        <f t="shared" si="45"/>
        <v>45545.45833</v>
      </c>
      <c r="AT45" s="19">
        <f t="shared" si="45"/>
        <v>45545.47917</v>
      </c>
      <c r="AU45" s="19">
        <f t="shared" si="45"/>
        <v>45545.5</v>
      </c>
      <c r="AV45" s="19">
        <f t="shared" si="45"/>
        <v>45545.52083</v>
      </c>
      <c r="AW45" s="19">
        <f t="shared" si="45"/>
        <v>45545.54167</v>
      </c>
      <c r="AX45" s="19">
        <f t="shared" si="45"/>
        <v>45545.5625</v>
      </c>
      <c r="AY45" s="19">
        <f t="shared" si="45"/>
        <v>45545.58333</v>
      </c>
      <c r="AZ45" s="19">
        <f t="shared" si="45"/>
        <v>45545.60417</v>
      </c>
      <c r="BA45" s="19">
        <f t="shared" si="45"/>
        <v>45545.625</v>
      </c>
      <c r="BB45" s="19">
        <f t="shared" si="45"/>
        <v>45545.64583</v>
      </c>
      <c r="BC45" s="19">
        <f t="shared" si="45"/>
        <v>45545.66667</v>
      </c>
      <c r="BD45" s="19">
        <f t="shared" si="45"/>
        <v>45545.6875</v>
      </c>
      <c r="BE45" s="19">
        <f t="shared" si="45"/>
        <v>45545.70833</v>
      </c>
      <c r="BF45" s="19">
        <f t="shared" si="45"/>
        <v>45545.72917</v>
      </c>
      <c r="BG45" s="19">
        <f t="shared" si="45"/>
        <v>45545.75</v>
      </c>
      <c r="BH45" s="19">
        <f t="shared" si="45"/>
        <v>45545.77083</v>
      </c>
      <c r="BI45" s="19">
        <f t="shared" si="45"/>
        <v>45545.79167</v>
      </c>
      <c r="BJ45" s="19">
        <f t="shared" si="45"/>
        <v>45545.8125</v>
      </c>
      <c r="BK45" s="19">
        <f t="shared" si="45"/>
        <v>45545.83333</v>
      </c>
      <c r="BL45" s="19">
        <f t="shared" si="45"/>
        <v>45545.85417</v>
      </c>
      <c r="BM45" s="19">
        <f t="shared" si="45"/>
        <v>45545.875</v>
      </c>
      <c r="BN45" s="19">
        <f t="shared" si="45"/>
        <v>45545.89583</v>
      </c>
      <c r="BO45" s="19">
        <f t="shared" si="45"/>
        <v>45545.91667</v>
      </c>
      <c r="BP45" s="19">
        <f t="shared" si="45"/>
        <v>45545.9375</v>
      </c>
      <c r="BQ45" s="19">
        <f t="shared" si="45"/>
        <v>45545.95833</v>
      </c>
      <c r="BR45" s="19">
        <f t="shared" si="45"/>
        <v>45545.97917</v>
      </c>
      <c r="BS45" s="19">
        <f t="shared" si="45"/>
        <v>45546</v>
      </c>
      <c r="BT45" s="19">
        <f t="shared" si="45"/>
        <v>45546.02083</v>
      </c>
      <c r="BU45" s="19">
        <f t="shared" si="45"/>
        <v>45546.04167</v>
      </c>
      <c r="BV45" s="19">
        <f t="shared" si="45"/>
        <v>45546.0625</v>
      </c>
      <c r="BW45" s="19">
        <f t="shared" si="45"/>
        <v>45546.08333</v>
      </c>
      <c r="BX45" s="19">
        <f t="shared" si="45"/>
        <v>45545</v>
      </c>
      <c r="BY45" s="19">
        <f t="shared" si="45"/>
        <v>45545</v>
      </c>
      <c r="BZ45" s="19">
        <f t="shared" si="45"/>
        <v>45545</v>
      </c>
    </row>
    <row r="46" ht="14.25" customHeight="1">
      <c r="A46" s="17">
        <v>45546.0</v>
      </c>
      <c r="B46" s="2" t="str">
        <f t="array" ref="B46">IF(NOW()&gt;AM46,"",IF(AND((WEEKDAY($A46)+$B$2)&gt;1,((WEEKDAY($A46)+$T$2)&lt;7),(WEEKDAY($A46)&lt;&gt;1)),"work",(INDEX(Subject!$A:$I,MATCH(RANDBETWEEN(1,(MAX(Subject!$B:$B))),Subject!$B:$B,0),3))))</f>
        <v/>
      </c>
      <c r="C46" s="2" t="str">
        <f t="array" ref="C46">IF(NOW()&gt;AN46,"",IF(AND((WEEKDAY($A46)+$B$2)&gt;1,((WEEKDAY($A46)+$T$2)&lt;7),(WEEKDAY($A46)&lt;&gt;1)),"work",(INDEX(Subject!$A:$I,MATCH(RANDBETWEEN(1,(MAX(Subject!$B:$B))),Subject!$B:$B,0),3))))</f>
        <v/>
      </c>
      <c r="D46" s="2" t="str">
        <f t="array" ref="D46">IF(NOW()&gt;AO46,"",IF(AND((WEEKDAY($A46)+$B$2)&gt;1,((WEEKDAY($A46)+$T$2)&lt;7),(WEEKDAY($A46)&lt;&gt;1)),"work",(INDEX(Subject!$A:$I,MATCH(RANDBETWEEN(1,(MAX(Subject!$B:$B))),Subject!$B:$B,0),3))))</f>
        <v/>
      </c>
      <c r="E46" s="2" t="str">
        <f t="array" ref="E46">IF(NOW()&gt;AP46,"",IF(AND((WEEKDAY($A46)+$B$2)&gt;1,((WEEKDAY($A46)+$T$2)&lt;7),(WEEKDAY($A46)&lt;&gt;1)),"work",(INDEX(Subject!$A:$I,MATCH(RANDBETWEEN(1,(MAX(Subject!$B:$B))),Subject!$B:$B,0),3))))</f>
        <v/>
      </c>
      <c r="F46" s="2" t="str">
        <f t="array" ref="F46">IF(NOW()&gt;AQ46,"",IF(AND((WEEKDAY($A46)+$B$2)&gt;1,((WEEKDAY($A46)+$T$2)&lt;7),(WEEKDAY($A46)&lt;&gt;1)),"work",(INDEX(Subject!$A:$I,MATCH(RANDBETWEEN(1,(MAX(Subject!$B:$B))),Subject!$B:$B,0),3))))</f>
        <v/>
      </c>
      <c r="G46" s="2" t="str">
        <f t="array" ref="G46">IF(NOW()&gt;AR46,"",IF(AND((WEEKDAY($A46)+$B$2)&gt;1,((WEEKDAY($A46)+$T$2)&lt;7),(WEEKDAY($A46)&lt;&gt;1)),"work",(INDEX(Subject!$A:$I,MATCH(RANDBETWEEN(1,(MAX(Subject!$B:$B))),Subject!$B:$B,0),3))))</f>
        <v/>
      </c>
      <c r="H46" s="2" t="str">
        <f t="array" ref="H46">IF(NOW()&gt;AS46,"",IF(AND((WEEKDAY($A46)+$B$2)&gt;1,((WEEKDAY($A46)+$T$2)&lt;7),(WEEKDAY($A46)&lt;&gt;1)),"work",(INDEX(Subject!$A:$I,MATCH(RANDBETWEEN(1,(MAX(Subject!$B:$B))),Subject!$B:$B,0),3))))</f>
        <v/>
      </c>
      <c r="I46" s="2" t="str">
        <f t="array" ref="I46">IF(NOW()&gt;AT46,"",IF(AND((WEEKDAY($A46)+$B$2)&gt;1,((WEEKDAY($A46)+$T$2)&lt;7),(WEEKDAY($A46)&lt;&gt;1)),"work",(INDEX(Subject!$A:$I,MATCH(RANDBETWEEN(1,(MAX(Subject!$B:$B))),Subject!$B:$B,0),3))))</f>
        <v/>
      </c>
      <c r="J46" s="2" t="str">
        <f t="array" ref="J46">IF(NOW()&gt;AU46,"",IF(AND((WEEKDAY($A46)+$B$2)&gt;1,((WEEKDAY($A46)+$T$2)&lt;7),(WEEKDAY($A46)&lt;&gt;1)),"work",(INDEX(Subject!$A:$I,MATCH(RANDBETWEEN(1,(MAX(Subject!$B:$B))),Subject!$B:$B,0),3))))</f>
        <v/>
      </c>
      <c r="K46" s="2" t="str">
        <f t="array" ref="K46">IF(NOW()&gt;AV46,"",IF(AND((WEEKDAY($A46)+$B$2)&gt;1,((WEEKDAY($A46)+$T$2)&lt;7),(WEEKDAY($A46)&lt;&gt;1)),"work",(INDEX(Subject!$A:$I,MATCH(RANDBETWEEN(1,(MAX(Subject!$B:$B))),Subject!$B:$B,0),3))))</f>
        <v/>
      </c>
      <c r="L46" s="2" t="str">
        <f t="array" ref="L46">IF(NOW()&gt;AW46,"",IF(AND((WEEKDAY($A46)+$B$2)&gt;1,((WEEKDAY($A46)+$T$2)&lt;7),(WEEKDAY($A46)&lt;&gt;1)),"work",(INDEX(Subject!$A:$I,MATCH(RANDBETWEEN(1,(MAX(Subject!$B:$B))),Subject!$B:$B,0),3))))</f>
        <v/>
      </c>
      <c r="M46" s="2" t="str">
        <f t="array" ref="M46">IF(NOW()&gt;AX46,"",IF(AND((WEEKDAY($A46)+$B$2)&gt;1,((WEEKDAY($A46)+$T$2)&lt;7),(WEEKDAY($A46)&lt;&gt;1)),"work",(INDEX(Subject!$A:$I,MATCH(RANDBETWEEN(1,(MAX(Subject!$B:$B))),Subject!$B:$B,0),3))))</f>
        <v/>
      </c>
      <c r="N46" s="2" t="str">
        <f t="array" ref="N46">IF(NOW()&gt;AY46,"",IF(AND((WEEKDAY($A46)+$B$2)&gt;1,((WEEKDAY($A46)+$T$2)&lt;7),(WEEKDAY($A46)&lt;&gt;1)),"work",(INDEX(Subject!$A:$I,MATCH(RANDBETWEEN(1,(MAX(Subject!$B:$B))),Subject!$B:$B,0),3))))</f>
        <v/>
      </c>
      <c r="O46" s="2" t="str">
        <f t="array" ref="O46">IF(NOW()&gt;AZ46,"",IF(AND((WEEKDAY($A46)+$B$2)&gt;1,((WEEKDAY($A46)+$T$2)&lt;7),(WEEKDAY($A46)&lt;&gt;1)),"work",(INDEX(Subject!$A:$I,MATCH(RANDBETWEEN(1,(MAX(Subject!$B:$B))),Subject!$B:$B,0),3))))</f>
        <v/>
      </c>
      <c r="P46" s="2" t="str">
        <f t="array" ref="P46">IF(NOW()&gt;BA46,"",IF(AND((WEEKDAY($A46)+$B$2)&gt;1,((WEEKDAY($A46)+$T$2)&lt;7),(WEEKDAY($A46)&lt;&gt;1)),"work",(INDEX(Subject!$A:$I,MATCH(RANDBETWEEN(1,(MAX(Subject!$B:$B))),Subject!$B:$B,0),3))))</f>
        <v/>
      </c>
      <c r="Q46" s="2" t="str">
        <f t="array" ref="Q46">IF(NOW()&gt;BB46,"",IF(AND((WEEKDAY($A46)+$B$2)&gt;1,((WEEKDAY($A46)+$T$2)&lt;7),(WEEKDAY($A46)&lt;&gt;1)),"work",(INDEX(Subject!$A:$I,MATCH(RANDBETWEEN(1,(MAX(Subject!$B:$B))),Subject!$B:$B,0),3))))</f>
        <v/>
      </c>
      <c r="R46" s="2" t="str">
        <f t="array" ref="R46">IF(NOW()&gt;BC46,"",IF(AND((WEEKDAY($A46)+$B$2)&gt;1,((WEEKDAY($A46)+$T$2)&lt;7),(WEEKDAY($A46)&lt;&gt;1)),"work",(INDEX(Subject!$A:$I,MATCH(RANDBETWEEN(1,(MAX(Subject!$B:$B))),Subject!$B:$B,0),3))))</f>
        <v/>
      </c>
      <c r="S46" s="2" t="str">
        <f t="array" ref="S46">IF(NOW()&gt;BD46,"",IF(AND((WEEKDAY($A46)+$B$2)&gt;1,((WEEKDAY($A46)+$T$2)&lt;7),(WEEKDAY($A46)&lt;&gt;1)),"work",(INDEX(Subject!$A:$I,MATCH(RANDBETWEEN(1,(MAX(Subject!$B:$B))),Subject!$B:$B,0),3))))</f>
        <v/>
      </c>
      <c r="T46" s="2" t="str">
        <f t="array" ref="T46">IF(NOW()&gt;BE46,"",IF(AND((WEEKDAY($A46)+$B$2)&gt;1,((WEEKDAY($A46)+$T$2)&lt;7),(WEEKDAY($A46)&lt;&gt;1)),"work",(INDEX(Subject!$A:$I,MATCH(RANDBETWEEN(1,(MAX(Subject!$B:$B))),Subject!$B:$B,0),3))))</f>
        <v/>
      </c>
      <c r="U46" s="8" t="str">
        <f t="array" ref="U46">INDEX(Subject!$A:$I,MATCH(RANDBETWEEN(1,16),Subject!$B:$B,0),3)</f>
        <v>#N/A</v>
      </c>
      <c r="V46" s="8" t="str">
        <f t="array" ref="V46">INDEX(Subject!$A:$I,MATCH(RANDBETWEEN(1,16),Subject!$B:$B,0),3)</f>
        <v>#N/A</v>
      </c>
      <c r="W46" s="8" t="str">
        <f t="array" ref="W46">INDEX(Subject!$A:$I,MATCH(RANDBETWEEN(1,16),Subject!$B:$B,0),3)</f>
        <v>#N/A</v>
      </c>
      <c r="X46" s="8" t="str">
        <f t="array" ref="X46">INDEX(Subject!$A:$I,MATCH(RANDBETWEEN(1,16),Subject!$B:$B,0),3)</f>
        <v>#N/A</v>
      </c>
      <c r="Y46" s="8" t="str">
        <f t="array" ref="Y46">INDEX(Subject!$A:$I,MATCH(RANDBETWEEN(1,16),Subject!$B:$B,0),3)</f>
        <v>#N/A</v>
      </c>
      <c r="Z46" s="8" t="str">
        <f t="array" ref="Z46">INDEX(Subject!$A:$I,MATCH(RANDBETWEEN(1,16),Subject!$B:$B,0),3)</f>
        <v>#N/A</v>
      </c>
      <c r="AA46" s="8" t="str">
        <f t="array" ref="AA46">INDEX(Subject!$A:$I,MATCH(RANDBETWEEN(1,16),Subject!$B:$B,0),3)</f>
        <v>#N/A</v>
      </c>
      <c r="AB46" s="8" t="str">
        <f t="array" ref="AB46">INDEX(Subject!$A:$I,MATCH(RANDBETWEEN(1,16),Subject!$B:$B,0),3)</f>
        <v>#N/A</v>
      </c>
      <c r="AC46" s="8" t="str">
        <f t="array" ref="AC46">INDEX(Subject!$A:$I,MATCH(RANDBETWEEN(1,16),Subject!$B:$B,0),3)</f>
        <v>#N/A</v>
      </c>
      <c r="AD46" s="8" t="str">
        <f t="array" ref="AD46">INDEX(Subject!$A:$I,MATCH(RANDBETWEEN(1,16),Subject!$B:$B,0),3)</f>
        <v/>
      </c>
      <c r="AE46" s="8" t="str">
        <f t="array" ref="AE46">INDEX(Subject!$A:$I,MATCH(RANDBETWEEN(1,16),Subject!$B:$B,0),3)</f>
        <v>#N/A</v>
      </c>
      <c r="AF46" s="8" t="str">
        <f t="array" ref="AF46">INDEX(Subject!$A:$I,MATCH(RANDBETWEEN(1,16),Subject!$B:$B,0),3)</f>
        <v>#N/A</v>
      </c>
      <c r="AG46" s="8" t="str">
        <f t="array" ref="AG46">INDEX(Subject!$A:$I,MATCH(RANDBETWEEN(1,16),Subject!$B:$B,0),3)</f>
        <v>#N/A</v>
      </c>
      <c r="AH46" s="8" t="str">
        <f t="array" ref="AH46">INDEX(Subject!$A:$I,MATCH(RANDBETWEEN(1,16),Subject!$B:$B,0),3)</f>
        <v>#N/A</v>
      </c>
      <c r="AI46" s="8" t="str">
        <f t="array" ref="AI46">INDEX(Subject!$A:$I,MATCH(RANDBETWEEN(1,16),Subject!$B:$B,0),3)</f>
        <v>#N/A</v>
      </c>
      <c r="AJ46" s="8" t="str">
        <f t="array" ref="AJ46">INDEX(Subject!$A:$I,MATCH(RANDBETWEEN(1,16),Subject!$B:$B,0),3)</f>
        <v>#N/A</v>
      </c>
      <c r="AK46" s="8" t="str">
        <f t="array" ref="AK46">INDEX(Subject!$A:$I,MATCH(RANDBETWEEN(1,16),Subject!$B:$B,0),3)</f>
        <v>#N/A</v>
      </c>
      <c r="AL46" s="8" t="str">
        <f t="array" ref="AL46">INDEX(Subject!$A:$I,MATCH(RANDBETWEEN(1,16),Subject!$B:$B,0),3)</f>
        <v>#N/A</v>
      </c>
      <c r="AM46" s="18">
        <f t="shared" si="4"/>
        <v>45546.33333</v>
      </c>
      <c r="AN46" s="19">
        <f t="shared" ref="AN46:BZ46" si="46">$A46+C$1</f>
        <v>45546.35417</v>
      </c>
      <c r="AO46" s="19">
        <f t="shared" si="46"/>
        <v>45546.375</v>
      </c>
      <c r="AP46" s="19">
        <f t="shared" si="46"/>
        <v>45546.39583</v>
      </c>
      <c r="AQ46" s="19">
        <f t="shared" si="46"/>
        <v>45546.41667</v>
      </c>
      <c r="AR46" s="19">
        <f t="shared" si="46"/>
        <v>45546.4375</v>
      </c>
      <c r="AS46" s="19">
        <f t="shared" si="46"/>
        <v>45546.45833</v>
      </c>
      <c r="AT46" s="19">
        <f t="shared" si="46"/>
        <v>45546.47917</v>
      </c>
      <c r="AU46" s="19">
        <f t="shared" si="46"/>
        <v>45546.5</v>
      </c>
      <c r="AV46" s="19">
        <f t="shared" si="46"/>
        <v>45546.52083</v>
      </c>
      <c r="AW46" s="19">
        <f t="shared" si="46"/>
        <v>45546.54167</v>
      </c>
      <c r="AX46" s="19">
        <f t="shared" si="46"/>
        <v>45546.5625</v>
      </c>
      <c r="AY46" s="19">
        <f t="shared" si="46"/>
        <v>45546.58333</v>
      </c>
      <c r="AZ46" s="19">
        <f t="shared" si="46"/>
        <v>45546.60417</v>
      </c>
      <c r="BA46" s="19">
        <f t="shared" si="46"/>
        <v>45546.625</v>
      </c>
      <c r="BB46" s="19">
        <f t="shared" si="46"/>
        <v>45546.64583</v>
      </c>
      <c r="BC46" s="19">
        <f t="shared" si="46"/>
        <v>45546.66667</v>
      </c>
      <c r="BD46" s="19">
        <f t="shared" si="46"/>
        <v>45546.6875</v>
      </c>
      <c r="BE46" s="19">
        <f t="shared" si="46"/>
        <v>45546.70833</v>
      </c>
      <c r="BF46" s="19">
        <f t="shared" si="46"/>
        <v>45546.72917</v>
      </c>
      <c r="BG46" s="19">
        <f t="shared" si="46"/>
        <v>45546.75</v>
      </c>
      <c r="BH46" s="19">
        <f t="shared" si="46"/>
        <v>45546.77083</v>
      </c>
      <c r="BI46" s="19">
        <f t="shared" si="46"/>
        <v>45546.79167</v>
      </c>
      <c r="BJ46" s="19">
        <f t="shared" si="46"/>
        <v>45546.8125</v>
      </c>
      <c r="BK46" s="19">
        <f t="shared" si="46"/>
        <v>45546.83333</v>
      </c>
      <c r="BL46" s="19">
        <f t="shared" si="46"/>
        <v>45546.85417</v>
      </c>
      <c r="BM46" s="19">
        <f t="shared" si="46"/>
        <v>45546.875</v>
      </c>
      <c r="BN46" s="19">
        <f t="shared" si="46"/>
        <v>45546.89583</v>
      </c>
      <c r="BO46" s="19">
        <f t="shared" si="46"/>
        <v>45546.91667</v>
      </c>
      <c r="BP46" s="19">
        <f t="shared" si="46"/>
        <v>45546.9375</v>
      </c>
      <c r="BQ46" s="19">
        <f t="shared" si="46"/>
        <v>45546.95833</v>
      </c>
      <c r="BR46" s="19">
        <f t="shared" si="46"/>
        <v>45546.97917</v>
      </c>
      <c r="BS46" s="19">
        <f t="shared" si="46"/>
        <v>45547</v>
      </c>
      <c r="BT46" s="19">
        <f t="shared" si="46"/>
        <v>45547.02083</v>
      </c>
      <c r="BU46" s="19">
        <f t="shared" si="46"/>
        <v>45547.04167</v>
      </c>
      <c r="BV46" s="19">
        <f t="shared" si="46"/>
        <v>45547.0625</v>
      </c>
      <c r="BW46" s="19">
        <f t="shared" si="46"/>
        <v>45547.08333</v>
      </c>
      <c r="BX46" s="19">
        <f t="shared" si="46"/>
        <v>45546</v>
      </c>
      <c r="BY46" s="19">
        <f t="shared" si="46"/>
        <v>45546</v>
      </c>
      <c r="BZ46" s="19">
        <f t="shared" si="46"/>
        <v>45546</v>
      </c>
    </row>
    <row r="47" ht="14.25" customHeight="1">
      <c r="A47" s="17">
        <v>45547.0</v>
      </c>
      <c r="B47" s="2" t="str">
        <f t="array" ref="B47">IF(NOW()&gt;AM47,"",IF(AND((WEEKDAY($A47)+$B$2)&gt;1,((WEEKDAY($A47)+$T$2)&lt;7),(WEEKDAY($A47)&lt;&gt;1)),"work",(INDEX(Subject!$A:$I,MATCH(RANDBETWEEN(1,(MAX(Subject!$B:$B))),Subject!$B:$B,0),3))))</f>
        <v/>
      </c>
      <c r="C47" s="2" t="str">
        <f t="array" ref="C47">IF(NOW()&gt;AN47,"",IF(AND((WEEKDAY($A47)+$B$2)&gt;1,((WEEKDAY($A47)+$T$2)&lt;7),(WEEKDAY($A47)&lt;&gt;1)),"work",(INDEX(Subject!$A:$I,MATCH(RANDBETWEEN(1,(MAX(Subject!$B:$B))),Subject!$B:$B,0),3))))</f>
        <v/>
      </c>
      <c r="D47" s="2" t="str">
        <f t="array" ref="D47">IF(NOW()&gt;AO47,"",IF(AND((WEEKDAY($A47)+$B$2)&gt;1,((WEEKDAY($A47)+$T$2)&lt;7),(WEEKDAY($A47)&lt;&gt;1)),"work",(INDEX(Subject!$A:$I,MATCH(RANDBETWEEN(1,(MAX(Subject!$B:$B))),Subject!$B:$B,0),3))))</f>
        <v/>
      </c>
      <c r="E47" s="2" t="str">
        <f t="array" ref="E47">IF(NOW()&gt;AP47,"",IF(AND((WEEKDAY($A47)+$B$2)&gt;1,((WEEKDAY($A47)+$T$2)&lt;7),(WEEKDAY($A47)&lt;&gt;1)),"work",(INDEX(Subject!$A:$I,MATCH(RANDBETWEEN(1,(MAX(Subject!$B:$B))),Subject!$B:$B,0),3))))</f>
        <v/>
      </c>
      <c r="F47" s="2" t="str">
        <f t="array" ref="F47">IF(NOW()&gt;AQ47,"",IF(AND((WEEKDAY($A47)+$B$2)&gt;1,((WEEKDAY($A47)+$T$2)&lt;7),(WEEKDAY($A47)&lt;&gt;1)),"work",(INDEX(Subject!$A:$I,MATCH(RANDBETWEEN(1,(MAX(Subject!$B:$B))),Subject!$B:$B,0),3))))</f>
        <v/>
      </c>
      <c r="G47" s="2" t="str">
        <f t="array" ref="G47">IF(NOW()&gt;AR47,"",IF(AND((WEEKDAY($A47)+$B$2)&gt;1,((WEEKDAY($A47)+$T$2)&lt;7),(WEEKDAY($A47)&lt;&gt;1)),"work",(INDEX(Subject!$A:$I,MATCH(RANDBETWEEN(1,(MAX(Subject!$B:$B))),Subject!$B:$B,0),3))))</f>
        <v/>
      </c>
      <c r="H47" s="2" t="str">
        <f t="array" ref="H47">IF(NOW()&gt;AS47,"",IF(AND((WEEKDAY($A47)+$B$2)&gt;1,((WEEKDAY($A47)+$T$2)&lt;7),(WEEKDAY($A47)&lt;&gt;1)),"work",(INDEX(Subject!$A:$I,MATCH(RANDBETWEEN(1,(MAX(Subject!$B:$B))),Subject!$B:$B,0),3))))</f>
        <v/>
      </c>
      <c r="I47" s="2" t="str">
        <f t="array" ref="I47">IF(NOW()&gt;AT47,"",IF(AND((WEEKDAY($A47)+$B$2)&gt;1,((WEEKDAY($A47)+$T$2)&lt;7),(WEEKDAY($A47)&lt;&gt;1)),"work",(INDEX(Subject!$A:$I,MATCH(RANDBETWEEN(1,(MAX(Subject!$B:$B))),Subject!$B:$B,0),3))))</f>
        <v/>
      </c>
      <c r="J47" s="2" t="str">
        <f t="array" ref="J47">IF(NOW()&gt;AU47,"",IF(AND((WEEKDAY($A47)+$B$2)&gt;1,((WEEKDAY($A47)+$T$2)&lt;7),(WEEKDAY($A47)&lt;&gt;1)),"work",(INDEX(Subject!$A:$I,MATCH(RANDBETWEEN(1,(MAX(Subject!$B:$B))),Subject!$B:$B,0),3))))</f>
        <v/>
      </c>
      <c r="K47" s="2" t="str">
        <f t="array" ref="K47">IF(NOW()&gt;AV47,"",IF(AND((WEEKDAY($A47)+$B$2)&gt;1,((WEEKDAY($A47)+$T$2)&lt;7),(WEEKDAY($A47)&lt;&gt;1)),"work",(INDEX(Subject!$A:$I,MATCH(RANDBETWEEN(1,(MAX(Subject!$B:$B))),Subject!$B:$B,0),3))))</f>
        <v/>
      </c>
      <c r="L47" s="2" t="str">
        <f t="array" ref="L47">IF(NOW()&gt;AW47,"",IF(AND((WEEKDAY($A47)+$B$2)&gt;1,((WEEKDAY($A47)+$T$2)&lt;7),(WEEKDAY($A47)&lt;&gt;1)),"work",(INDEX(Subject!$A:$I,MATCH(RANDBETWEEN(1,(MAX(Subject!$B:$B))),Subject!$B:$B,0),3))))</f>
        <v/>
      </c>
      <c r="M47" s="2" t="str">
        <f t="array" ref="M47">IF(NOW()&gt;AX47,"",IF(AND((WEEKDAY($A47)+$B$2)&gt;1,((WEEKDAY($A47)+$T$2)&lt;7),(WEEKDAY($A47)&lt;&gt;1)),"work",(INDEX(Subject!$A:$I,MATCH(RANDBETWEEN(1,(MAX(Subject!$B:$B))),Subject!$B:$B,0),3))))</f>
        <v/>
      </c>
      <c r="N47" s="2" t="str">
        <f t="array" ref="N47">IF(NOW()&gt;AY47,"",IF(AND((WEEKDAY($A47)+$B$2)&gt;1,((WEEKDAY($A47)+$T$2)&lt;7),(WEEKDAY($A47)&lt;&gt;1)),"work",(INDEX(Subject!$A:$I,MATCH(RANDBETWEEN(1,(MAX(Subject!$B:$B))),Subject!$B:$B,0),3))))</f>
        <v/>
      </c>
      <c r="O47" s="2" t="str">
        <f t="array" ref="O47">IF(NOW()&gt;AZ47,"",IF(AND((WEEKDAY($A47)+$B$2)&gt;1,((WEEKDAY($A47)+$T$2)&lt;7),(WEEKDAY($A47)&lt;&gt;1)),"work",(INDEX(Subject!$A:$I,MATCH(RANDBETWEEN(1,(MAX(Subject!$B:$B))),Subject!$B:$B,0),3))))</f>
        <v/>
      </c>
      <c r="P47" s="2" t="str">
        <f t="array" ref="P47">IF(NOW()&gt;BA47,"",IF(AND((WEEKDAY($A47)+$B$2)&gt;1,((WEEKDAY($A47)+$T$2)&lt;7),(WEEKDAY($A47)&lt;&gt;1)),"work",(INDEX(Subject!$A:$I,MATCH(RANDBETWEEN(1,(MAX(Subject!$B:$B))),Subject!$B:$B,0),3))))</f>
        <v/>
      </c>
      <c r="Q47" s="2" t="str">
        <f t="array" ref="Q47">IF(NOW()&gt;BB47,"",IF(AND((WEEKDAY($A47)+$B$2)&gt;1,((WEEKDAY($A47)+$T$2)&lt;7),(WEEKDAY($A47)&lt;&gt;1)),"work",(INDEX(Subject!$A:$I,MATCH(RANDBETWEEN(1,(MAX(Subject!$B:$B))),Subject!$B:$B,0),3))))</f>
        <v/>
      </c>
      <c r="R47" s="2" t="str">
        <f t="array" ref="R47">IF(NOW()&gt;BC47,"",IF(AND((WEEKDAY($A47)+$B$2)&gt;1,((WEEKDAY($A47)+$T$2)&lt;7),(WEEKDAY($A47)&lt;&gt;1)),"work",(INDEX(Subject!$A:$I,MATCH(RANDBETWEEN(1,(MAX(Subject!$B:$B))),Subject!$B:$B,0),3))))</f>
        <v/>
      </c>
      <c r="S47" s="2" t="str">
        <f t="array" ref="S47">IF(NOW()&gt;BD47,"",IF(AND((WEEKDAY($A47)+$B$2)&gt;1,((WEEKDAY($A47)+$T$2)&lt;7),(WEEKDAY($A47)&lt;&gt;1)),"work",(INDEX(Subject!$A:$I,MATCH(RANDBETWEEN(1,(MAX(Subject!$B:$B))),Subject!$B:$B,0),3))))</f>
        <v/>
      </c>
      <c r="T47" s="2" t="str">
        <f t="array" ref="T47">IF(NOW()&gt;BE47,"",IF(AND((WEEKDAY($A47)+$B$2)&gt;1,((WEEKDAY($A47)+$T$2)&lt;7),(WEEKDAY($A47)&lt;&gt;1)),"work",(INDEX(Subject!$A:$I,MATCH(RANDBETWEEN(1,(MAX(Subject!$B:$B))),Subject!$B:$B,0),3))))</f>
        <v/>
      </c>
      <c r="U47" s="8" t="str">
        <f t="array" ref="U47">INDEX(Subject!$A:$I,MATCH(RANDBETWEEN(1,16),Subject!$B:$B,0),3)</f>
        <v>#N/A</v>
      </c>
      <c r="V47" s="8" t="str">
        <f t="array" ref="V47">INDEX(Subject!$A:$I,MATCH(RANDBETWEEN(1,16),Subject!$B:$B,0),3)</f>
        <v>#N/A</v>
      </c>
      <c r="W47" s="8" t="str">
        <f t="array" ref="W47">INDEX(Subject!$A:$I,MATCH(RANDBETWEEN(1,16),Subject!$B:$B,0),3)</f>
        <v>#N/A</v>
      </c>
      <c r="X47" s="8" t="str">
        <f t="array" ref="X47">INDEX(Subject!$A:$I,MATCH(RANDBETWEEN(1,16),Subject!$B:$B,0),3)</f>
        <v>#N/A</v>
      </c>
      <c r="Y47" s="8" t="str">
        <f t="array" ref="Y47">INDEX(Subject!$A:$I,MATCH(RANDBETWEEN(1,16),Subject!$B:$B,0),3)</f>
        <v>#N/A</v>
      </c>
      <c r="Z47" s="8" t="str">
        <f t="array" ref="Z47">INDEX(Subject!$A:$I,MATCH(RANDBETWEEN(1,16),Subject!$B:$B,0),3)</f>
        <v>#N/A</v>
      </c>
      <c r="AA47" s="8" t="str">
        <f t="array" ref="AA47">INDEX(Subject!$A:$I,MATCH(RANDBETWEEN(1,16),Subject!$B:$B,0),3)</f>
        <v>#N/A</v>
      </c>
      <c r="AB47" s="8" t="str">
        <f t="array" ref="AB47">INDEX(Subject!$A:$I,MATCH(RANDBETWEEN(1,16),Subject!$B:$B,0),3)</f>
        <v>#N/A</v>
      </c>
      <c r="AC47" s="8" t="str">
        <f t="array" ref="AC47">INDEX(Subject!$A:$I,MATCH(RANDBETWEEN(1,16),Subject!$B:$B,0),3)</f>
        <v>#N/A</v>
      </c>
      <c r="AD47" s="8" t="str">
        <f t="array" ref="AD47">INDEX(Subject!$A:$I,MATCH(RANDBETWEEN(1,16),Subject!$B:$B,0),3)</f>
        <v>#N/A</v>
      </c>
      <c r="AE47" s="8" t="str">
        <f t="array" ref="AE47">INDEX(Subject!$A:$I,MATCH(RANDBETWEEN(1,16),Subject!$B:$B,0),3)</f>
        <v>#N/A</v>
      </c>
      <c r="AF47" s="8" t="str">
        <f t="array" ref="AF47">INDEX(Subject!$A:$I,MATCH(RANDBETWEEN(1,16),Subject!$B:$B,0),3)</f>
        <v/>
      </c>
      <c r="AG47" s="8" t="str">
        <f t="array" ref="AG47">INDEX(Subject!$A:$I,MATCH(RANDBETWEEN(1,16),Subject!$B:$B,0),3)</f>
        <v>#N/A</v>
      </c>
      <c r="AH47" s="8" t="str">
        <f t="array" ref="AH47">INDEX(Subject!$A:$I,MATCH(RANDBETWEEN(1,16),Subject!$B:$B,0),3)</f>
        <v>#N/A</v>
      </c>
      <c r="AI47" s="8" t="str">
        <f t="array" ref="AI47">INDEX(Subject!$A:$I,MATCH(RANDBETWEEN(1,16),Subject!$B:$B,0),3)</f>
        <v>#N/A</v>
      </c>
      <c r="AJ47" s="8" t="str">
        <f t="array" ref="AJ47">INDEX(Subject!$A:$I,MATCH(RANDBETWEEN(1,16),Subject!$B:$B,0),3)</f>
        <v>#N/A</v>
      </c>
      <c r="AK47" s="8" t="str">
        <f t="array" ref="AK47">INDEX(Subject!$A:$I,MATCH(RANDBETWEEN(1,16),Subject!$B:$B,0),3)</f>
        <v>#N/A</v>
      </c>
      <c r="AL47" s="8" t="str">
        <f t="array" ref="AL47">INDEX(Subject!$A:$I,MATCH(RANDBETWEEN(1,16),Subject!$B:$B,0),3)</f>
        <v>#N/A</v>
      </c>
      <c r="AM47" s="18">
        <f t="shared" si="4"/>
        <v>45547.33333</v>
      </c>
      <c r="AN47" s="19">
        <f t="shared" ref="AN47:BZ47" si="47">$A47+C$1</f>
        <v>45547.35417</v>
      </c>
      <c r="AO47" s="19">
        <f t="shared" si="47"/>
        <v>45547.375</v>
      </c>
      <c r="AP47" s="19">
        <f t="shared" si="47"/>
        <v>45547.39583</v>
      </c>
      <c r="AQ47" s="19">
        <f t="shared" si="47"/>
        <v>45547.41667</v>
      </c>
      <c r="AR47" s="19">
        <f t="shared" si="47"/>
        <v>45547.4375</v>
      </c>
      <c r="AS47" s="19">
        <f t="shared" si="47"/>
        <v>45547.45833</v>
      </c>
      <c r="AT47" s="19">
        <f t="shared" si="47"/>
        <v>45547.47917</v>
      </c>
      <c r="AU47" s="19">
        <f t="shared" si="47"/>
        <v>45547.5</v>
      </c>
      <c r="AV47" s="19">
        <f t="shared" si="47"/>
        <v>45547.52083</v>
      </c>
      <c r="AW47" s="19">
        <f t="shared" si="47"/>
        <v>45547.54167</v>
      </c>
      <c r="AX47" s="19">
        <f t="shared" si="47"/>
        <v>45547.5625</v>
      </c>
      <c r="AY47" s="19">
        <f t="shared" si="47"/>
        <v>45547.58333</v>
      </c>
      <c r="AZ47" s="19">
        <f t="shared" si="47"/>
        <v>45547.60417</v>
      </c>
      <c r="BA47" s="19">
        <f t="shared" si="47"/>
        <v>45547.625</v>
      </c>
      <c r="BB47" s="19">
        <f t="shared" si="47"/>
        <v>45547.64583</v>
      </c>
      <c r="BC47" s="19">
        <f t="shared" si="47"/>
        <v>45547.66667</v>
      </c>
      <c r="BD47" s="19">
        <f t="shared" si="47"/>
        <v>45547.6875</v>
      </c>
      <c r="BE47" s="19">
        <f t="shared" si="47"/>
        <v>45547.70833</v>
      </c>
      <c r="BF47" s="19">
        <f t="shared" si="47"/>
        <v>45547.72917</v>
      </c>
      <c r="BG47" s="19">
        <f t="shared" si="47"/>
        <v>45547.75</v>
      </c>
      <c r="BH47" s="19">
        <f t="shared" si="47"/>
        <v>45547.77083</v>
      </c>
      <c r="BI47" s="19">
        <f t="shared" si="47"/>
        <v>45547.79167</v>
      </c>
      <c r="BJ47" s="19">
        <f t="shared" si="47"/>
        <v>45547.8125</v>
      </c>
      <c r="BK47" s="19">
        <f t="shared" si="47"/>
        <v>45547.83333</v>
      </c>
      <c r="BL47" s="19">
        <f t="shared" si="47"/>
        <v>45547.85417</v>
      </c>
      <c r="BM47" s="19">
        <f t="shared" si="47"/>
        <v>45547.875</v>
      </c>
      <c r="BN47" s="19">
        <f t="shared" si="47"/>
        <v>45547.89583</v>
      </c>
      <c r="BO47" s="19">
        <f t="shared" si="47"/>
        <v>45547.91667</v>
      </c>
      <c r="BP47" s="19">
        <f t="shared" si="47"/>
        <v>45547.9375</v>
      </c>
      <c r="BQ47" s="19">
        <f t="shared" si="47"/>
        <v>45547.95833</v>
      </c>
      <c r="BR47" s="19">
        <f t="shared" si="47"/>
        <v>45547.97917</v>
      </c>
      <c r="BS47" s="19">
        <f t="shared" si="47"/>
        <v>45548</v>
      </c>
      <c r="BT47" s="19">
        <f t="shared" si="47"/>
        <v>45548.02083</v>
      </c>
      <c r="BU47" s="19">
        <f t="shared" si="47"/>
        <v>45548.04167</v>
      </c>
      <c r="BV47" s="19">
        <f t="shared" si="47"/>
        <v>45548.0625</v>
      </c>
      <c r="BW47" s="19">
        <f t="shared" si="47"/>
        <v>45548.08333</v>
      </c>
      <c r="BX47" s="19">
        <f t="shared" si="47"/>
        <v>45547</v>
      </c>
      <c r="BY47" s="19">
        <f t="shared" si="47"/>
        <v>45547</v>
      </c>
      <c r="BZ47" s="19">
        <f t="shared" si="47"/>
        <v>45547</v>
      </c>
    </row>
    <row r="48" ht="14.25" customHeight="1">
      <c r="A48" s="17">
        <v>45548.0</v>
      </c>
      <c r="B48" s="2" t="str">
        <f t="array" ref="B48">IF(NOW()&gt;AM48,"",IF(AND((WEEKDAY($A48)+$B$2)&gt;1,((WEEKDAY($A48)+$T$2)&lt;7),(WEEKDAY($A48)&lt;&gt;1)),"work",(INDEX(Subject!$A:$I,MATCH(RANDBETWEEN(1,(MAX(Subject!$B:$B))),Subject!$B:$B,0),3))))</f>
        <v/>
      </c>
      <c r="C48" s="2" t="str">
        <f t="array" ref="C48">IF(NOW()&gt;AN48,"",IF(AND((WEEKDAY($A48)+$B$2)&gt;1,((WEEKDAY($A48)+$T$2)&lt;7),(WEEKDAY($A48)&lt;&gt;1)),"work",(INDEX(Subject!$A:$I,MATCH(RANDBETWEEN(1,(MAX(Subject!$B:$B))),Subject!$B:$B,0),3))))</f>
        <v/>
      </c>
      <c r="D48" s="2" t="str">
        <f t="array" ref="D48">IF(NOW()&gt;AO48,"",IF(AND((WEEKDAY($A48)+$B$2)&gt;1,((WEEKDAY($A48)+$T$2)&lt;7),(WEEKDAY($A48)&lt;&gt;1)),"work",(INDEX(Subject!$A:$I,MATCH(RANDBETWEEN(1,(MAX(Subject!$B:$B))),Subject!$B:$B,0),3))))</f>
        <v/>
      </c>
      <c r="E48" s="2" t="str">
        <f t="array" ref="E48">IF(NOW()&gt;AP48,"",IF(AND((WEEKDAY($A48)+$B$2)&gt;1,((WEEKDAY($A48)+$T$2)&lt;7),(WEEKDAY($A48)&lt;&gt;1)),"work",(INDEX(Subject!$A:$I,MATCH(RANDBETWEEN(1,(MAX(Subject!$B:$B))),Subject!$B:$B,0),3))))</f>
        <v/>
      </c>
      <c r="F48" s="2" t="str">
        <f t="array" ref="F48">IF(NOW()&gt;AQ48,"",IF(AND((WEEKDAY($A48)+$B$2)&gt;1,((WEEKDAY($A48)+$T$2)&lt;7),(WEEKDAY($A48)&lt;&gt;1)),"work",(INDEX(Subject!$A:$I,MATCH(RANDBETWEEN(1,(MAX(Subject!$B:$B))),Subject!$B:$B,0),3))))</f>
        <v/>
      </c>
      <c r="G48" s="2" t="str">
        <f t="array" ref="G48">IF(NOW()&gt;AR48,"",IF(AND((WEEKDAY($A48)+$B$2)&gt;1,((WEEKDAY($A48)+$T$2)&lt;7),(WEEKDAY($A48)&lt;&gt;1)),"work",(INDEX(Subject!$A:$I,MATCH(RANDBETWEEN(1,(MAX(Subject!$B:$B))),Subject!$B:$B,0),3))))</f>
        <v/>
      </c>
      <c r="H48" s="2" t="str">
        <f t="array" ref="H48">IF(NOW()&gt;AS48,"",IF(AND((WEEKDAY($A48)+$B$2)&gt;1,((WEEKDAY($A48)+$T$2)&lt;7),(WEEKDAY($A48)&lt;&gt;1)),"work",(INDEX(Subject!$A:$I,MATCH(RANDBETWEEN(1,(MAX(Subject!$B:$B))),Subject!$B:$B,0),3))))</f>
        <v/>
      </c>
      <c r="I48" s="2" t="str">
        <f t="array" ref="I48">IF(NOW()&gt;AT48,"",IF(AND((WEEKDAY($A48)+$B$2)&gt;1,((WEEKDAY($A48)+$T$2)&lt;7),(WEEKDAY($A48)&lt;&gt;1)),"work",(INDEX(Subject!$A:$I,MATCH(RANDBETWEEN(1,(MAX(Subject!$B:$B))),Subject!$B:$B,0),3))))</f>
        <v/>
      </c>
      <c r="J48" s="2" t="str">
        <f t="array" ref="J48">IF(NOW()&gt;AU48,"",IF(AND((WEEKDAY($A48)+$B$2)&gt;1,((WEEKDAY($A48)+$T$2)&lt;7),(WEEKDAY($A48)&lt;&gt;1)),"work",(INDEX(Subject!$A:$I,MATCH(RANDBETWEEN(1,(MAX(Subject!$B:$B))),Subject!$B:$B,0),3))))</f>
        <v/>
      </c>
      <c r="K48" s="2" t="str">
        <f t="array" ref="K48">IF(NOW()&gt;AV48,"",IF(AND((WEEKDAY($A48)+$B$2)&gt;1,((WEEKDAY($A48)+$T$2)&lt;7),(WEEKDAY($A48)&lt;&gt;1)),"work",(INDEX(Subject!$A:$I,MATCH(RANDBETWEEN(1,(MAX(Subject!$B:$B))),Subject!$B:$B,0),3))))</f>
        <v/>
      </c>
      <c r="L48" s="2" t="str">
        <f t="array" ref="L48">IF(NOW()&gt;AW48,"",IF(AND((WEEKDAY($A48)+$B$2)&gt;1,((WEEKDAY($A48)+$T$2)&lt;7),(WEEKDAY($A48)&lt;&gt;1)),"work",(INDEX(Subject!$A:$I,MATCH(RANDBETWEEN(1,(MAX(Subject!$B:$B))),Subject!$B:$B,0),3))))</f>
        <v/>
      </c>
      <c r="M48" s="2" t="str">
        <f t="array" ref="M48">IF(NOW()&gt;AX48,"",IF(AND((WEEKDAY($A48)+$B$2)&gt;1,((WEEKDAY($A48)+$T$2)&lt;7),(WEEKDAY($A48)&lt;&gt;1)),"work",(INDEX(Subject!$A:$I,MATCH(RANDBETWEEN(1,(MAX(Subject!$B:$B))),Subject!$B:$B,0),3))))</f>
        <v/>
      </c>
      <c r="N48" s="2" t="str">
        <f t="array" ref="N48">IF(NOW()&gt;AY48,"",IF(AND((WEEKDAY($A48)+$B$2)&gt;1,((WEEKDAY($A48)+$T$2)&lt;7),(WEEKDAY($A48)&lt;&gt;1)),"work",(INDEX(Subject!$A:$I,MATCH(RANDBETWEEN(1,(MAX(Subject!$B:$B))),Subject!$B:$B,0),3))))</f>
        <v/>
      </c>
      <c r="O48" s="2" t="str">
        <f t="array" ref="O48">IF(NOW()&gt;AZ48,"",IF(AND((WEEKDAY($A48)+$B$2)&gt;1,((WEEKDAY($A48)+$T$2)&lt;7),(WEEKDAY($A48)&lt;&gt;1)),"work",(INDEX(Subject!$A:$I,MATCH(RANDBETWEEN(1,(MAX(Subject!$B:$B))),Subject!$B:$B,0),3))))</f>
        <v/>
      </c>
      <c r="P48" s="2" t="str">
        <f t="array" ref="P48">IF(NOW()&gt;BA48,"",IF(AND((WEEKDAY($A48)+$B$2)&gt;1,((WEEKDAY($A48)+$T$2)&lt;7),(WEEKDAY($A48)&lt;&gt;1)),"work",(INDEX(Subject!$A:$I,MATCH(RANDBETWEEN(1,(MAX(Subject!$B:$B))),Subject!$B:$B,0),3))))</f>
        <v/>
      </c>
      <c r="Q48" s="2" t="str">
        <f t="array" ref="Q48">IF(NOW()&gt;BB48,"",IF(AND((WEEKDAY($A48)+$B$2)&gt;1,((WEEKDAY($A48)+$T$2)&lt;7),(WEEKDAY($A48)&lt;&gt;1)),"work",(INDEX(Subject!$A:$I,MATCH(RANDBETWEEN(1,(MAX(Subject!$B:$B))),Subject!$B:$B,0),3))))</f>
        <v/>
      </c>
      <c r="R48" s="2" t="str">
        <f t="array" ref="R48">IF(NOW()&gt;BC48,"",IF(AND((WEEKDAY($A48)+$B$2)&gt;1,((WEEKDAY($A48)+$T$2)&lt;7),(WEEKDAY($A48)&lt;&gt;1)),"work",(INDEX(Subject!$A:$I,MATCH(RANDBETWEEN(1,(MAX(Subject!$B:$B))),Subject!$B:$B,0),3))))</f>
        <v/>
      </c>
      <c r="S48" s="2" t="str">
        <f t="array" ref="S48">IF(NOW()&gt;BD48,"",IF(AND((WEEKDAY($A48)+$B$2)&gt;1,((WEEKDAY($A48)+$T$2)&lt;7),(WEEKDAY($A48)&lt;&gt;1)),"work",(INDEX(Subject!$A:$I,MATCH(RANDBETWEEN(1,(MAX(Subject!$B:$B))),Subject!$B:$B,0),3))))</f>
        <v/>
      </c>
      <c r="T48" s="2" t="str">
        <f t="array" ref="T48">IF(NOW()&gt;BE48,"",IF(AND((WEEKDAY($A48)+$B$2)&gt;1,((WEEKDAY($A48)+$T$2)&lt;7),(WEEKDAY($A48)&lt;&gt;1)),"work",(INDEX(Subject!$A:$I,MATCH(RANDBETWEEN(1,(MAX(Subject!$B:$B))),Subject!$B:$B,0),3))))</f>
        <v/>
      </c>
      <c r="U48" s="8" t="str">
        <f t="array" ref="U48">INDEX(Subject!$A:$I,MATCH(RANDBETWEEN(1,16),Subject!$B:$B,0),3)</f>
        <v>#N/A</v>
      </c>
      <c r="V48" s="8" t="str">
        <f t="array" ref="V48">INDEX(Subject!$A:$I,MATCH(RANDBETWEEN(1,16),Subject!$B:$B,0),3)</f>
        <v>#N/A</v>
      </c>
      <c r="W48" s="8" t="str">
        <f t="array" ref="W48">INDEX(Subject!$A:$I,MATCH(RANDBETWEEN(1,16),Subject!$B:$B,0),3)</f>
        <v>#N/A</v>
      </c>
      <c r="X48" s="8" t="str">
        <f t="array" ref="X48">INDEX(Subject!$A:$I,MATCH(RANDBETWEEN(1,16),Subject!$B:$B,0),3)</f>
        <v>#N/A</v>
      </c>
      <c r="Y48" s="8" t="str">
        <f t="array" ref="Y48">INDEX(Subject!$A:$I,MATCH(RANDBETWEEN(1,16),Subject!$B:$B,0),3)</f>
        <v>#N/A</v>
      </c>
      <c r="Z48" s="8" t="str">
        <f t="array" ref="Z48">INDEX(Subject!$A:$I,MATCH(RANDBETWEEN(1,16),Subject!$B:$B,0),3)</f>
        <v>#N/A</v>
      </c>
      <c r="AA48" s="8" t="str">
        <f t="array" ref="AA48">INDEX(Subject!$A:$I,MATCH(RANDBETWEEN(1,16),Subject!$B:$B,0),3)</f>
        <v>#N/A</v>
      </c>
      <c r="AB48" s="8" t="str">
        <f t="array" ref="AB48">INDEX(Subject!$A:$I,MATCH(RANDBETWEEN(1,16),Subject!$B:$B,0),3)</f>
        <v>#N/A</v>
      </c>
      <c r="AC48" s="8" t="str">
        <f t="array" ref="AC48">INDEX(Subject!$A:$I,MATCH(RANDBETWEEN(1,16),Subject!$B:$B,0),3)</f>
        <v>#N/A</v>
      </c>
      <c r="AD48" s="8" t="str">
        <f t="array" ref="AD48">INDEX(Subject!$A:$I,MATCH(RANDBETWEEN(1,16),Subject!$B:$B,0),3)</f>
        <v>#N/A</v>
      </c>
      <c r="AE48" s="8" t="str">
        <f t="array" ref="AE48">INDEX(Subject!$A:$I,MATCH(RANDBETWEEN(1,16),Subject!$B:$B,0),3)</f>
        <v>#N/A</v>
      </c>
      <c r="AF48" s="8" t="str">
        <f t="array" ref="AF48">INDEX(Subject!$A:$I,MATCH(RANDBETWEEN(1,16),Subject!$B:$B,0),3)</f>
        <v>#N/A</v>
      </c>
      <c r="AG48" s="8" t="str">
        <f t="array" ref="AG48">INDEX(Subject!$A:$I,MATCH(RANDBETWEEN(1,16),Subject!$B:$B,0),3)</f>
        <v>#N/A</v>
      </c>
      <c r="AH48" s="8" t="str">
        <f t="array" ref="AH48">INDEX(Subject!$A:$I,MATCH(RANDBETWEEN(1,16),Subject!$B:$B,0),3)</f>
        <v>#N/A</v>
      </c>
      <c r="AI48" s="8" t="str">
        <f t="array" ref="AI48">INDEX(Subject!$A:$I,MATCH(RANDBETWEEN(1,16),Subject!$B:$B,0),3)</f>
        <v>#N/A</v>
      </c>
      <c r="AJ48" s="8" t="str">
        <f t="array" ref="AJ48">INDEX(Subject!$A:$I,MATCH(RANDBETWEEN(1,16),Subject!$B:$B,0),3)</f>
        <v>#N/A</v>
      </c>
      <c r="AK48" s="8" t="str">
        <f t="array" ref="AK48">INDEX(Subject!$A:$I,MATCH(RANDBETWEEN(1,16),Subject!$B:$B,0),3)</f>
        <v>#N/A</v>
      </c>
      <c r="AL48" s="8" t="str">
        <f t="array" ref="AL48">INDEX(Subject!$A:$I,MATCH(RANDBETWEEN(1,16),Subject!$B:$B,0),3)</f>
        <v>#N/A</v>
      </c>
      <c r="AM48" s="18">
        <f t="shared" si="4"/>
        <v>45548.33333</v>
      </c>
      <c r="AN48" s="19">
        <f t="shared" ref="AN48:BZ48" si="48">$A48+C$1</f>
        <v>45548.35417</v>
      </c>
      <c r="AO48" s="19">
        <f t="shared" si="48"/>
        <v>45548.375</v>
      </c>
      <c r="AP48" s="19">
        <f t="shared" si="48"/>
        <v>45548.39583</v>
      </c>
      <c r="AQ48" s="19">
        <f t="shared" si="48"/>
        <v>45548.41667</v>
      </c>
      <c r="AR48" s="19">
        <f t="shared" si="48"/>
        <v>45548.4375</v>
      </c>
      <c r="AS48" s="19">
        <f t="shared" si="48"/>
        <v>45548.45833</v>
      </c>
      <c r="AT48" s="19">
        <f t="shared" si="48"/>
        <v>45548.47917</v>
      </c>
      <c r="AU48" s="19">
        <f t="shared" si="48"/>
        <v>45548.5</v>
      </c>
      <c r="AV48" s="19">
        <f t="shared" si="48"/>
        <v>45548.52083</v>
      </c>
      <c r="AW48" s="19">
        <f t="shared" si="48"/>
        <v>45548.54167</v>
      </c>
      <c r="AX48" s="19">
        <f t="shared" si="48"/>
        <v>45548.5625</v>
      </c>
      <c r="AY48" s="19">
        <f t="shared" si="48"/>
        <v>45548.58333</v>
      </c>
      <c r="AZ48" s="19">
        <f t="shared" si="48"/>
        <v>45548.60417</v>
      </c>
      <c r="BA48" s="19">
        <f t="shared" si="48"/>
        <v>45548.625</v>
      </c>
      <c r="BB48" s="19">
        <f t="shared" si="48"/>
        <v>45548.64583</v>
      </c>
      <c r="BC48" s="19">
        <f t="shared" si="48"/>
        <v>45548.66667</v>
      </c>
      <c r="BD48" s="19">
        <f t="shared" si="48"/>
        <v>45548.6875</v>
      </c>
      <c r="BE48" s="19">
        <f t="shared" si="48"/>
        <v>45548.70833</v>
      </c>
      <c r="BF48" s="19">
        <f t="shared" si="48"/>
        <v>45548.72917</v>
      </c>
      <c r="BG48" s="19">
        <f t="shared" si="48"/>
        <v>45548.75</v>
      </c>
      <c r="BH48" s="19">
        <f t="shared" si="48"/>
        <v>45548.77083</v>
      </c>
      <c r="BI48" s="19">
        <f t="shared" si="48"/>
        <v>45548.79167</v>
      </c>
      <c r="BJ48" s="19">
        <f t="shared" si="48"/>
        <v>45548.8125</v>
      </c>
      <c r="BK48" s="19">
        <f t="shared" si="48"/>
        <v>45548.83333</v>
      </c>
      <c r="BL48" s="19">
        <f t="shared" si="48"/>
        <v>45548.85417</v>
      </c>
      <c r="BM48" s="19">
        <f t="shared" si="48"/>
        <v>45548.875</v>
      </c>
      <c r="BN48" s="19">
        <f t="shared" si="48"/>
        <v>45548.89583</v>
      </c>
      <c r="BO48" s="19">
        <f t="shared" si="48"/>
        <v>45548.91667</v>
      </c>
      <c r="BP48" s="19">
        <f t="shared" si="48"/>
        <v>45548.9375</v>
      </c>
      <c r="BQ48" s="19">
        <f t="shared" si="48"/>
        <v>45548.95833</v>
      </c>
      <c r="BR48" s="19">
        <f t="shared" si="48"/>
        <v>45548.97917</v>
      </c>
      <c r="BS48" s="19">
        <f t="shared" si="48"/>
        <v>45549</v>
      </c>
      <c r="BT48" s="19">
        <f t="shared" si="48"/>
        <v>45549.02083</v>
      </c>
      <c r="BU48" s="19">
        <f t="shared" si="48"/>
        <v>45549.04167</v>
      </c>
      <c r="BV48" s="19">
        <f t="shared" si="48"/>
        <v>45549.0625</v>
      </c>
      <c r="BW48" s="19">
        <f t="shared" si="48"/>
        <v>45549.08333</v>
      </c>
      <c r="BX48" s="19">
        <f t="shared" si="48"/>
        <v>45548</v>
      </c>
      <c r="BY48" s="19">
        <f t="shared" si="48"/>
        <v>45548</v>
      </c>
      <c r="BZ48" s="19">
        <f t="shared" si="48"/>
        <v>45548</v>
      </c>
    </row>
    <row r="49" ht="14.25" customHeight="1">
      <c r="A49" s="17">
        <v>45549.0</v>
      </c>
      <c r="B49" s="2" t="str">
        <f t="array" ref="B49">IF(NOW()&gt;AM49,"",IF(AND((WEEKDAY($A49)+$B$2)&gt;1,((WEEKDAY($A49)+$T$2)&lt;7),(WEEKDAY($A49)&lt;&gt;1)),"work",(INDEX(Subject!$A:$I,MATCH(RANDBETWEEN(1,(MAX(Subject!$B:$B))),Subject!$B:$B,0),3))))</f>
        <v/>
      </c>
      <c r="C49" s="2" t="str">
        <f t="array" ref="C49">IF(NOW()&gt;AN49,"",IF(AND((WEEKDAY($A49)+$B$2)&gt;1,((WEEKDAY($A49)+$T$2)&lt;7),(WEEKDAY($A49)&lt;&gt;1)),"work",(INDEX(Subject!$A:$I,MATCH(RANDBETWEEN(1,(MAX(Subject!$B:$B))),Subject!$B:$B,0),3))))</f>
        <v/>
      </c>
      <c r="D49" s="2" t="str">
        <f t="array" ref="D49">IF(NOW()&gt;AO49,"",IF(AND((WEEKDAY($A49)+$B$2)&gt;1,((WEEKDAY($A49)+$T$2)&lt;7),(WEEKDAY($A49)&lt;&gt;1)),"work",(INDEX(Subject!$A:$I,MATCH(RANDBETWEEN(1,(MAX(Subject!$B:$B))),Subject!$B:$B,0),3))))</f>
        <v/>
      </c>
      <c r="E49" s="2" t="str">
        <f t="array" ref="E49">IF(NOW()&gt;AP49,"",IF(AND((WEEKDAY($A49)+$B$2)&gt;1,((WEEKDAY($A49)+$T$2)&lt;7),(WEEKDAY($A49)&lt;&gt;1)),"work",(INDEX(Subject!$A:$I,MATCH(RANDBETWEEN(1,(MAX(Subject!$B:$B))),Subject!$B:$B,0),3))))</f>
        <v/>
      </c>
      <c r="F49" s="2" t="str">
        <f t="array" ref="F49">IF(NOW()&gt;AQ49,"",IF(AND((WEEKDAY($A49)+$B$2)&gt;1,((WEEKDAY($A49)+$T$2)&lt;7),(WEEKDAY($A49)&lt;&gt;1)),"work",(INDEX(Subject!$A:$I,MATCH(RANDBETWEEN(1,(MAX(Subject!$B:$B))),Subject!$B:$B,0),3))))</f>
        <v/>
      </c>
      <c r="G49" s="2" t="str">
        <f t="array" ref="G49">IF(NOW()&gt;AR49,"",IF(AND((WEEKDAY($A49)+$B$2)&gt;1,((WEEKDAY($A49)+$T$2)&lt;7),(WEEKDAY($A49)&lt;&gt;1)),"work",(INDEX(Subject!$A:$I,MATCH(RANDBETWEEN(1,(MAX(Subject!$B:$B))),Subject!$B:$B,0),3))))</f>
        <v/>
      </c>
      <c r="H49" s="2" t="str">
        <f t="array" ref="H49">IF(NOW()&gt;AS49,"",IF(AND((WEEKDAY($A49)+$B$2)&gt;1,((WEEKDAY($A49)+$T$2)&lt;7),(WEEKDAY($A49)&lt;&gt;1)),"work",(INDEX(Subject!$A:$I,MATCH(RANDBETWEEN(1,(MAX(Subject!$B:$B))),Subject!$B:$B,0),3))))</f>
        <v/>
      </c>
      <c r="I49" s="2" t="str">
        <f t="array" ref="I49">IF(NOW()&gt;AT49,"",IF(AND((WEEKDAY($A49)+$B$2)&gt;1,((WEEKDAY($A49)+$T$2)&lt;7),(WEEKDAY($A49)&lt;&gt;1)),"work",(INDEX(Subject!$A:$I,MATCH(RANDBETWEEN(1,(MAX(Subject!$B:$B))),Subject!$B:$B,0),3))))</f>
        <v/>
      </c>
      <c r="J49" s="2" t="str">
        <f t="array" ref="J49">IF(NOW()&gt;AU49,"",IF(AND((WEEKDAY($A49)+$B$2)&gt;1,((WEEKDAY($A49)+$T$2)&lt;7),(WEEKDAY($A49)&lt;&gt;1)),"work",(INDEX(Subject!$A:$I,MATCH(RANDBETWEEN(1,(MAX(Subject!$B:$B))),Subject!$B:$B,0),3))))</f>
        <v/>
      </c>
      <c r="K49" s="2" t="str">
        <f t="array" ref="K49">IF(NOW()&gt;AV49,"",IF(AND((WEEKDAY($A49)+$B$2)&gt;1,((WEEKDAY($A49)+$T$2)&lt;7),(WEEKDAY($A49)&lt;&gt;1)),"work",(INDEX(Subject!$A:$I,MATCH(RANDBETWEEN(1,(MAX(Subject!$B:$B))),Subject!$B:$B,0),3))))</f>
        <v/>
      </c>
      <c r="L49" s="2" t="str">
        <f t="array" ref="L49">IF(NOW()&gt;AW49,"",IF(AND((WEEKDAY($A49)+$B$2)&gt;1,((WEEKDAY($A49)+$T$2)&lt;7),(WEEKDAY($A49)&lt;&gt;1)),"work",(INDEX(Subject!$A:$I,MATCH(RANDBETWEEN(1,(MAX(Subject!$B:$B))),Subject!$B:$B,0),3))))</f>
        <v/>
      </c>
      <c r="M49" s="2" t="str">
        <f t="array" ref="M49">IF(NOW()&gt;AX49,"",IF(AND((WEEKDAY($A49)+$B$2)&gt;1,((WEEKDAY($A49)+$T$2)&lt;7),(WEEKDAY($A49)&lt;&gt;1)),"work",(INDEX(Subject!$A:$I,MATCH(RANDBETWEEN(1,(MAX(Subject!$B:$B))),Subject!$B:$B,0),3))))</f>
        <v/>
      </c>
      <c r="N49" s="2" t="str">
        <f t="array" ref="N49">IF(NOW()&gt;AY49,"",IF(AND((WEEKDAY($A49)+$B$2)&gt;1,((WEEKDAY($A49)+$T$2)&lt;7),(WEEKDAY($A49)&lt;&gt;1)),"work",(INDEX(Subject!$A:$I,MATCH(RANDBETWEEN(1,(MAX(Subject!$B:$B))),Subject!$B:$B,0),3))))</f>
        <v/>
      </c>
      <c r="O49" s="2" t="str">
        <f t="array" ref="O49">IF(NOW()&gt;AZ49,"",IF(AND((WEEKDAY($A49)+$B$2)&gt;1,((WEEKDAY($A49)+$T$2)&lt;7),(WEEKDAY($A49)&lt;&gt;1)),"work",(INDEX(Subject!$A:$I,MATCH(RANDBETWEEN(1,(MAX(Subject!$B:$B))),Subject!$B:$B,0),3))))</f>
        <v/>
      </c>
      <c r="P49" s="2" t="str">
        <f t="array" ref="P49">IF(NOW()&gt;BA49,"",IF(AND((WEEKDAY($A49)+$B$2)&gt;1,((WEEKDAY($A49)+$T$2)&lt;7),(WEEKDAY($A49)&lt;&gt;1)),"work",(INDEX(Subject!$A:$I,MATCH(RANDBETWEEN(1,(MAX(Subject!$B:$B))),Subject!$B:$B,0),3))))</f>
        <v/>
      </c>
      <c r="Q49" s="2" t="str">
        <f t="array" ref="Q49">IF(NOW()&gt;BB49,"",IF(AND((WEEKDAY($A49)+$B$2)&gt;1,((WEEKDAY($A49)+$T$2)&lt;7),(WEEKDAY($A49)&lt;&gt;1)),"work",(INDEX(Subject!$A:$I,MATCH(RANDBETWEEN(1,(MAX(Subject!$B:$B))),Subject!$B:$B,0),3))))</f>
        <v/>
      </c>
      <c r="R49" s="2" t="str">
        <f t="array" ref="R49">IF(NOW()&gt;BC49,"",IF(AND((WEEKDAY($A49)+$B$2)&gt;1,((WEEKDAY($A49)+$T$2)&lt;7),(WEEKDAY($A49)&lt;&gt;1)),"work",(INDEX(Subject!$A:$I,MATCH(RANDBETWEEN(1,(MAX(Subject!$B:$B))),Subject!$B:$B,0),3))))</f>
        <v/>
      </c>
      <c r="S49" s="2" t="str">
        <f t="array" ref="S49">IF(NOW()&gt;BD49,"",IF(AND((WEEKDAY($A49)+$B$2)&gt;1,((WEEKDAY($A49)+$T$2)&lt;7),(WEEKDAY($A49)&lt;&gt;1)),"work",(INDEX(Subject!$A:$I,MATCH(RANDBETWEEN(1,(MAX(Subject!$B:$B))),Subject!$B:$B,0),3))))</f>
        <v/>
      </c>
      <c r="T49" s="2" t="str">
        <f t="array" ref="T49">IF(NOW()&gt;BE49,"",IF(AND((WEEKDAY($A49)+$B$2)&gt;1,((WEEKDAY($A49)+$T$2)&lt;7),(WEEKDAY($A49)&lt;&gt;1)),"work",(INDEX(Subject!$A:$I,MATCH(RANDBETWEEN(1,(MAX(Subject!$B:$B))),Subject!$B:$B,0),3))))</f>
        <v/>
      </c>
      <c r="U49" s="8" t="str">
        <f t="array" ref="U49">INDEX(Subject!$A:$I,MATCH(RANDBETWEEN(1,16),Subject!$B:$B,0),3)</f>
        <v>#N/A</v>
      </c>
      <c r="V49" s="8" t="str">
        <f t="array" ref="V49">INDEX(Subject!$A:$I,MATCH(RANDBETWEEN(1,16),Subject!$B:$B,0),3)</f>
        <v>#N/A</v>
      </c>
      <c r="W49" s="8" t="str">
        <f t="array" ref="W49">INDEX(Subject!$A:$I,MATCH(RANDBETWEEN(1,16),Subject!$B:$B,0),3)</f>
        <v>#N/A</v>
      </c>
      <c r="X49" s="8" t="str">
        <f t="array" ref="X49">INDEX(Subject!$A:$I,MATCH(RANDBETWEEN(1,16),Subject!$B:$B,0),3)</f>
        <v>#N/A</v>
      </c>
      <c r="Y49" s="8" t="str">
        <f t="array" ref="Y49">INDEX(Subject!$A:$I,MATCH(RANDBETWEEN(1,16),Subject!$B:$B,0),3)</f>
        <v>#N/A</v>
      </c>
      <c r="Z49" s="8" t="str">
        <f t="array" ref="Z49">INDEX(Subject!$A:$I,MATCH(RANDBETWEEN(1,16),Subject!$B:$B,0),3)</f>
        <v>#N/A</v>
      </c>
      <c r="AA49" s="8" t="str">
        <f t="array" ref="AA49">INDEX(Subject!$A:$I,MATCH(RANDBETWEEN(1,16),Subject!$B:$B,0),3)</f>
        <v>#N/A</v>
      </c>
      <c r="AB49" s="8" t="str">
        <f t="array" ref="AB49">INDEX(Subject!$A:$I,MATCH(RANDBETWEEN(1,16),Subject!$B:$B,0),3)</f>
        <v>#N/A</v>
      </c>
      <c r="AC49" s="8" t="str">
        <f t="array" ref="AC49">INDEX(Subject!$A:$I,MATCH(RANDBETWEEN(1,16),Subject!$B:$B,0),3)</f>
        <v>#N/A</v>
      </c>
      <c r="AD49" s="8" t="str">
        <f t="array" ref="AD49">INDEX(Subject!$A:$I,MATCH(RANDBETWEEN(1,16),Subject!$B:$B,0),3)</f>
        <v>#N/A</v>
      </c>
      <c r="AE49" s="8" t="str">
        <f t="array" ref="AE49">INDEX(Subject!$A:$I,MATCH(RANDBETWEEN(1,16),Subject!$B:$B,0),3)</f>
        <v/>
      </c>
      <c r="AF49" s="8" t="str">
        <f t="array" ref="AF49">INDEX(Subject!$A:$I,MATCH(RANDBETWEEN(1,16),Subject!$B:$B,0),3)</f>
        <v>#N/A</v>
      </c>
      <c r="AG49" s="8" t="str">
        <f t="array" ref="AG49">INDEX(Subject!$A:$I,MATCH(RANDBETWEEN(1,16),Subject!$B:$B,0),3)</f>
        <v>#N/A</v>
      </c>
      <c r="AH49" s="8" t="str">
        <f t="array" ref="AH49">INDEX(Subject!$A:$I,MATCH(RANDBETWEEN(1,16),Subject!$B:$B,0),3)</f>
        <v>#N/A</v>
      </c>
      <c r="AI49" s="8" t="str">
        <f t="array" ref="AI49">INDEX(Subject!$A:$I,MATCH(RANDBETWEEN(1,16),Subject!$B:$B,0),3)</f>
        <v>#N/A</v>
      </c>
      <c r="AJ49" s="8" t="str">
        <f t="array" ref="AJ49">INDEX(Subject!$A:$I,MATCH(RANDBETWEEN(1,16),Subject!$B:$B,0),3)</f>
        <v>#N/A</v>
      </c>
      <c r="AK49" s="8" t="str">
        <f t="array" ref="AK49">INDEX(Subject!$A:$I,MATCH(RANDBETWEEN(1,16),Subject!$B:$B,0),3)</f>
        <v>#N/A</v>
      </c>
      <c r="AL49" s="8" t="str">
        <f t="array" ref="AL49">INDEX(Subject!$A:$I,MATCH(RANDBETWEEN(1,16),Subject!$B:$B,0),3)</f>
        <v>#N/A</v>
      </c>
      <c r="AM49" s="18">
        <f t="shared" si="4"/>
        <v>45549.33333</v>
      </c>
      <c r="AN49" s="19">
        <f t="shared" ref="AN49:BZ49" si="49">$A49+C$1</f>
        <v>45549.35417</v>
      </c>
      <c r="AO49" s="19">
        <f t="shared" si="49"/>
        <v>45549.375</v>
      </c>
      <c r="AP49" s="19">
        <f t="shared" si="49"/>
        <v>45549.39583</v>
      </c>
      <c r="AQ49" s="19">
        <f t="shared" si="49"/>
        <v>45549.41667</v>
      </c>
      <c r="AR49" s="19">
        <f t="shared" si="49"/>
        <v>45549.4375</v>
      </c>
      <c r="AS49" s="19">
        <f t="shared" si="49"/>
        <v>45549.45833</v>
      </c>
      <c r="AT49" s="19">
        <f t="shared" si="49"/>
        <v>45549.47917</v>
      </c>
      <c r="AU49" s="19">
        <f t="shared" si="49"/>
        <v>45549.5</v>
      </c>
      <c r="AV49" s="19">
        <f t="shared" si="49"/>
        <v>45549.52083</v>
      </c>
      <c r="AW49" s="19">
        <f t="shared" si="49"/>
        <v>45549.54167</v>
      </c>
      <c r="AX49" s="19">
        <f t="shared" si="49"/>
        <v>45549.5625</v>
      </c>
      <c r="AY49" s="19">
        <f t="shared" si="49"/>
        <v>45549.58333</v>
      </c>
      <c r="AZ49" s="19">
        <f t="shared" si="49"/>
        <v>45549.60417</v>
      </c>
      <c r="BA49" s="19">
        <f t="shared" si="49"/>
        <v>45549.625</v>
      </c>
      <c r="BB49" s="19">
        <f t="shared" si="49"/>
        <v>45549.64583</v>
      </c>
      <c r="BC49" s="19">
        <f t="shared" si="49"/>
        <v>45549.66667</v>
      </c>
      <c r="BD49" s="19">
        <f t="shared" si="49"/>
        <v>45549.6875</v>
      </c>
      <c r="BE49" s="19">
        <f t="shared" si="49"/>
        <v>45549.70833</v>
      </c>
      <c r="BF49" s="19">
        <f t="shared" si="49"/>
        <v>45549.72917</v>
      </c>
      <c r="BG49" s="19">
        <f t="shared" si="49"/>
        <v>45549.75</v>
      </c>
      <c r="BH49" s="19">
        <f t="shared" si="49"/>
        <v>45549.77083</v>
      </c>
      <c r="BI49" s="19">
        <f t="shared" si="49"/>
        <v>45549.79167</v>
      </c>
      <c r="BJ49" s="19">
        <f t="shared" si="49"/>
        <v>45549.8125</v>
      </c>
      <c r="BK49" s="19">
        <f t="shared" si="49"/>
        <v>45549.83333</v>
      </c>
      <c r="BL49" s="19">
        <f t="shared" si="49"/>
        <v>45549.85417</v>
      </c>
      <c r="BM49" s="19">
        <f t="shared" si="49"/>
        <v>45549.875</v>
      </c>
      <c r="BN49" s="19">
        <f t="shared" si="49"/>
        <v>45549.89583</v>
      </c>
      <c r="BO49" s="19">
        <f t="shared" si="49"/>
        <v>45549.91667</v>
      </c>
      <c r="BP49" s="19">
        <f t="shared" si="49"/>
        <v>45549.9375</v>
      </c>
      <c r="BQ49" s="19">
        <f t="shared" si="49"/>
        <v>45549.95833</v>
      </c>
      <c r="BR49" s="19">
        <f t="shared" si="49"/>
        <v>45549.97917</v>
      </c>
      <c r="BS49" s="19">
        <f t="shared" si="49"/>
        <v>45550</v>
      </c>
      <c r="BT49" s="19">
        <f t="shared" si="49"/>
        <v>45550.02083</v>
      </c>
      <c r="BU49" s="19">
        <f t="shared" si="49"/>
        <v>45550.04167</v>
      </c>
      <c r="BV49" s="19">
        <f t="shared" si="49"/>
        <v>45550.0625</v>
      </c>
      <c r="BW49" s="19">
        <f t="shared" si="49"/>
        <v>45550.08333</v>
      </c>
      <c r="BX49" s="19">
        <f t="shared" si="49"/>
        <v>45549</v>
      </c>
      <c r="BY49" s="19">
        <f t="shared" si="49"/>
        <v>45549</v>
      </c>
      <c r="BZ49" s="19">
        <f t="shared" si="49"/>
        <v>45549</v>
      </c>
    </row>
    <row r="50" ht="14.25" customHeight="1">
      <c r="A50" s="17">
        <v>45550.0</v>
      </c>
      <c r="B50" s="2" t="str">
        <f t="array" ref="B50">IF(NOW()&gt;AM50,"",IF(AND((WEEKDAY($A50)+$B$2)&gt;1,((WEEKDAY($A50)+$T$2)&lt;7),(WEEKDAY($A50)&lt;&gt;1)),"work",(INDEX(Subject!$A:$I,MATCH(RANDBETWEEN(1,(MAX(Subject!$B:$B))),Subject!$B:$B,0),3))))</f>
        <v/>
      </c>
      <c r="C50" s="2" t="str">
        <f t="array" ref="C50">IF(NOW()&gt;AN50,"",IF(AND((WEEKDAY($A50)+$B$2)&gt;1,((WEEKDAY($A50)+$T$2)&lt;7),(WEEKDAY($A50)&lt;&gt;1)),"work",(INDEX(Subject!$A:$I,MATCH(RANDBETWEEN(1,(MAX(Subject!$B:$B))),Subject!$B:$B,0),3))))</f>
        <v/>
      </c>
      <c r="D50" s="2" t="str">
        <f t="array" ref="D50">IF(NOW()&gt;AO50,"",IF(AND((WEEKDAY($A50)+$B$2)&gt;1,((WEEKDAY($A50)+$T$2)&lt;7),(WEEKDAY($A50)&lt;&gt;1)),"work",(INDEX(Subject!$A:$I,MATCH(RANDBETWEEN(1,(MAX(Subject!$B:$B))),Subject!$B:$B,0),3))))</f>
        <v/>
      </c>
      <c r="E50" s="2" t="str">
        <f t="array" ref="E50">IF(NOW()&gt;AP50,"",IF(AND((WEEKDAY($A50)+$B$2)&gt;1,((WEEKDAY($A50)+$T$2)&lt;7),(WEEKDAY($A50)&lt;&gt;1)),"work",(INDEX(Subject!$A:$I,MATCH(RANDBETWEEN(1,(MAX(Subject!$B:$B))),Subject!$B:$B,0),3))))</f>
        <v/>
      </c>
      <c r="F50" s="2" t="str">
        <f t="array" ref="F50">IF(NOW()&gt;AQ50,"",IF(AND((WEEKDAY($A50)+$B$2)&gt;1,((WEEKDAY($A50)+$T$2)&lt;7),(WEEKDAY($A50)&lt;&gt;1)),"work",(INDEX(Subject!$A:$I,MATCH(RANDBETWEEN(1,(MAX(Subject!$B:$B))),Subject!$B:$B,0),3))))</f>
        <v/>
      </c>
      <c r="G50" s="2" t="str">
        <f t="array" ref="G50">IF(NOW()&gt;AR50,"",IF(AND((WEEKDAY($A50)+$B$2)&gt;1,((WEEKDAY($A50)+$T$2)&lt;7),(WEEKDAY($A50)&lt;&gt;1)),"work",(INDEX(Subject!$A:$I,MATCH(RANDBETWEEN(1,(MAX(Subject!$B:$B))),Subject!$B:$B,0),3))))</f>
        <v/>
      </c>
      <c r="H50" s="2" t="str">
        <f t="array" ref="H50">IF(NOW()&gt;AS50,"",IF(AND((WEEKDAY($A50)+$B$2)&gt;1,((WEEKDAY($A50)+$T$2)&lt;7),(WEEKDAY($A50)&lt;&gt;1)),"work",(INDEX(Subject!$A:$I,MATCH(RANDBETWEEN(1,(MAX(Subject!$B:$B))),Subject!$B:$B,0),3))))</f>
        <v/>
      </c>
      <c r="I50" s="2" t="str">
        <f t="array" ref="I50">IF(NOW()&gt;AT50,"",IF(AND((WEEKDAY($A50)+$B$2)&gt;1,((WEEKDAY($A50)+$T$2)&lt;7),(WEEKDAY($A50)&lt;&gt;1)),"work",(INDEX(Subject!$A:$I,MATCH(RANDBETWEEN(1,(MAX(Subject!$B:$B))),Subject!$B:$B,0),3))))</f>
        <v/>
      </c>
      <c r="J50" s="2" t="str">
        <f t="array" ref="J50">IF(NOW()&gt;AU50,"",IF(AND((WEEKDAY($A50)+$B$2)&gt;1,((WEEKDAY($A50)+$T$2)&lt;7),(WEEKDAY($A50)&lt;&gt;1)),"work",(INDEX(Subject!$A:$I,MATCH(RANDBETWEEN(1,(MAX(Subject!$B:$B))),Subject!$B:$B,0),3))))</f>
        <v/>
      </c>
      <c r="K50" s="2" t="str">
        <f t="array" ref="K50">IF(NOW()&gt;AV50,"",IF(AND((WEEKDAY($A50)+$B$2)&gt;1,((WEEKDAY($A50)+$T$2)&lt;7),(WEEKDAY($A50)&lt;&gt;1)),"work",(INDEX(Subject!$A:$I,MATCH(RANDBETWEEN(1,(MAX(Subject!$B:$B))),Subject!$B:$B,0),3))))</f>
        <v/>
      </c>
      <c r="L50" s="2" t="str">
        <f t="array" ref="L50">IF(NOW()&gt;AW50,"",IF(AND((WEEKDAY($A50)+$B$2)&gt;1,((WEEKDAY($A50)+$T$2)&lt;7),(WEEKDAY($A50)&lt;&gt;1)),"work",(INDEX(Subject!$A:$I,MATCH(RANDBETWEEN(1,(MAX(Subject!$B:$B))),Subject!$B:$B,0),3))))</f>
        <v/>
      </c>
      <c r="M50" s="2" t="str">
        <f t="array" ref="M50">IF(NOW()&gt;AX50,"",IF(AND((WEEKDAY($A50)+$B$2)&gt;1,((WEEKDAY($A50)+$T$2)&lt;7),(WEEKDAY($A50)&lt;&gt;1)),"work",(INDEX(Subject!$A:$I,MATCH(RANDBETWEEN(1,(MAX(Subject!$B:$B))),Subject!$B:$B,0),3))))</f>
        <v/>
      </c>
      <c r="N50" s="2" t="str">
        <f t="array" ref="N50">IF(NOW()&gt;AY50,"",IF(AND((WEEKDAY($A50)+$B$2)&gt;1,((WEEKDAY($A50)+$T$2)&lt;7),(WEEKDAY($A50)&lt;&gt;1)),"work",(INDEX(Subject!$A:$I,MATCH(RANDBETWEEN(1,(MAX(Subject!$B:$B))),Subject!$B:$B,0),3))))</f>
        <v/>
      </c>
      <c r="O50" s="2" t="str">
        <f t="array" ref="O50">IF(NOW()&gt;AZ50,"",IF(AND((WEEKDAY($A50)+$B$2)&gt;1,((WEEKDAY($A50)+$T$2)&lt;7),(WEEKDAY($A50)&lt;&gt;1)),"work",(INDEX(Subject!$A:$I,MATCH(RANDBETWEEN(1,(MAX(Subject!$B:$B))),Subject!$B:$B,0),3))))</f>
        <v/>
      </c>
      <c r="P50" s="2" t="str">
        <f t="array" ref="P50">IF(NOW()&gt;BA50,"",IF(AND((WEEKDAY($A50)+$B$2)&gt;1,((WEEKDAY($A50)+$T$2)&lt;7),(WEEKDAY($A50)&lt;&gt;1)),"work",(INDEX(Subject!$A:$I,MATCH(RANDBETWEEN(1,(MAX(Subject!$B:$B))),Subject!$B:$B,0),3))))</f>
        <v/>
      </c>
      <c r="Q50" s="2" t="str">
        <f t="array" ref="Q50">IF(NOW()&gt;BB50,"",IF(AND((WEEKDAY($A50)+$B$2)&gt;1,((WEEKDAY($A50)+$T$2)&lt;7),(WEEKDAY($A50)&lt;&gt;1)),"work",(INDEX(Subject!$A:$I,MATCH(RANDBETWEEN(1,(MAX(Subject!$B:$B))),Subject!$B:$B,0),3))))</f>
        <v/>
      </c>
      <c r="R50" s="2" t="str">
        <f t="array" ref="R50">IF(NOW()&gt;BC50,"",IF(AND((WEEKDAY($A50)+$B$2)&gt;1,((WEEKDAY($A50)+$T$2)&lt;7),(WEEKDAY($A50)&lt;&gt;1)),"work",(INDEX(Subject!$A:$I,MATCH(RANDBETWEEN(1,(MAX(Subject!$B:$B))),Subject!$B:$B,0),3))))</f>
        <v/>
      </c>
      <c r="S50" s="2" t="str">
        <f t="array" ref="S50">IF(NOW()&gt;BD50,"",IF(AND((WEEKDAY($A50)+$B$2)&gt;1,((WEEKDAY($A50)+$T$2)&lt;7),(WEEKDAY($A50)&lt;&gt;1)),"work",(INDEX(Subject!$A:$I,MATCH(RANDBETWEEN(1,(MAX(Subject!$B:$B))),Subject!$B:$B,0),3))))</f>
        <v/>
      </c>
      <c r="T50" s="2" t="str">
        <f t="array" ref="T50">IF(NOW()&gt;BE50,"",IF(AND((WEEKDAY($A50)+$B$2)&gt;1,((WEEKDAY($A50)+$T$2)&lt;7),(WEEKDAY($A50)&lt;&gt;1)),"work",(INDEX(Subject!$A:$I,MATCH(RANDBETWEEN(1,(MAX(Subject!$B:$B))),Subject!$B:$B,0),3))))</f>
        <v/>
      </c>
      <c r="U50" s="8" t="str">
        <f t="array" ref="U50">INDEX(Subject!$A:$I,MATCH(RANDBETWEEN(1,16),Subject!$B:$B,0),3)</f>
        <v>#N/A</v>
      </c>
      <c r="V50" s="8" t="str">
        <f t="array" ref="V50">INDEX(Subject!$A:$I,MATCH(RANDBETWEEN(1,16),Subject!$B:$B,0),3)</f>
        <v>#N/A</v>
      </c>
      <c r="W50" s="8" t="str">
        <f t="array" ref="W50">INDEX(Subject!$A:$I,MATCH(RANDBETWEEN(1,16),Subject!$B:$B,0),3)</f>
        <v>#N/A</v>
      </c>
      <c r="X50" s="8" t="str">
        <f t="array" ref="X50">INDEX(Subject!$A:$I,MATCH(RANDBETWEEN(1,16),Subject!$B:$B,0),3)</f>
        <v>#N/A</v>
      </c>
      <c r="Y50" s="8" t="str">
        <f t="array" ref="Y50">INDEX(Subject!$A:$I,MATCH(RANDBETWEEN(1,16),Subject!$B:$B,0),3)</f>
        <v>#N/A</v>
      </c>
      <c r="Z50" s="8" t="str">
        <f t="array" ref="Z50">INDEX(Subject!$A:$I,MATCH(RANDBETWEEN(1,16),Subject!$B:$B,0),3)</f>
        <v>#N/A</v>
      </c>
      <c r="AA50" s="8" t="str">
        <f t="array" ref="AA50">INDEX(Subject!$A:$I,MATCH(RANDBETWEEN(1,16),Subject!$B:$B,0),3)</f>
        <v>#N/A</v>
      </c>
      <c r="AB50" s="8" t="str">
        <f t="array" ref="AB50">INDEX(Subject!$A:$I,MATCH(RANDBETWEEN(1,16),Subject!$B:$B,0),3)</f>
        <v>#N/A</v>
      </c>
      <c r="AC50" s="8" t="str">
        <f t="array" ref="AC50">INDEX(Subject!$A:$I,MATCH(RANDBETWEEN(1,16),Subject!$B:$B,0),3)</f>
        <v/>
      </c>
      <c r="AD50" s="8" t="str">
        <f t="array" ref="AD50">INDEX(Subject!$A:$I,MATCH(RANDBETWEEN(1,16),Subject!$B:$B,0),3)</f>
        <v>#N/A</v>
      </c>
      <c r="AE50" s="8" t="str">
        <f t="array" ref="AE50">INDEX(Subject!$A:$I,MATCH(RANDBETWEEN(1,16),Subject!$B:$B,0),3)</f>
        <v>#N/A</v>
      </c>
      <c r="AF50" s="8" t="str">
        <f t="array" ref="AF50">INDEX(Subject!$A:$I,MATCH(RANDBETWEEN(1,16),Subject!$B:$B,0),3)</f>
        <v>#N/A</v>
      </c>
      <c r="AG50" s="8" t="str">
        <f t="array" ref="AG50">INDEX(Subject!$A:$I,MATCH(RANDBETWEEN(1,16),Subject!$B:$B,0),3)</f>
        <v>#N/A</v>
      </c>
      <c r="AH50" s="8" t="str">
        <f t="array" ref="AH50">INDEX(Subject!$A:$I,MATCH(RANDBETWEEN(1,16),Subject!$B:$B,0),3)</f>
        <v>#N/A</v>
      </c>
      <c r="AI50" s="8" t="str">
        <f t="array" ref="AI50">INDEX(Subject!$A:$I,MATCH(RANDBETWEEN(1,16),Subject!$B:$B,0),3)</f>
        <v>#N/A</v>
      </c>
      <c r="AJ50" s="8" t="str">
        <f t="array" ref="AJ50">INDEX(Subject!$A:$I,MATCH(RANDBETWEEN(1,16),Subject!$B:$B,0),3)</f>
        <v>#N/A</v>
      </c>
      <c r="AK50" s="8" t="str">
        <f t="array" ref="AK50">INDEX(Subject!$A:$I,MATCH(RANDBETWEEN(1,16),Subject!$B:$B,0),3)</f>
        <v>#N/A</v>
      </c>
      <c r="AL50" s="8" t="str">
        <f t="array" ref="AL50">INDEX(Subject!$A:$I,MATCH(RANDBETWEEN(1,16),Subject!$B:$B,0),3)</f>
        <v>#N/A</v>
      </c>
      <c r="AM50" s="18">
        <f t="shared" si="4"/>
        <v>45550.33333</v>
      </c>
      <c r="AN50" s="19">
        <f t="shared" ref="AN50:BZ50" si="50">$A50+C$1</f>
        <v>45550.35417</v>
      </c>
      <c r="AO50" s="19">
        <f t="shared" si="50"/>
        <v>45550.375</v>
      </c>
      <c r="AP50" s="19">
        <f t="shared" si="50"/>
        <v>45550.39583</v>
      </c>
      <c r="AQ50" s="19">
        <f t="shared" si="50"/>
        <v>45550.41667</v>
      </c>
      <c r="AR50" s="19">
        <f t="shared" si="50"/>
        <v>45550.4375</v>
      </c>
      <c r="AS50" s="19">
        <f t="shared" si="50"/>
        <v>45550.45833</v>
      </c>
      <c r="AT50" s="19">
        <f t="shared" si="50"/>
        <v>45550.47917</v>
      </c>
      <c r="AU50" s="19">
        <f t="shared" si="50"/>
        <v>45550.5</v>
      </c>
      <c r="AV50" s="19">
        <f t="shared" si="50"/>
        <v>45550.52083</v>
      </c>
      <c r="AW50" s="19">
        <f t="shared" si="50"/>
        <v>45550.54167</v>
      </c>
      <c r="AX50" s="19">
        <f t="shared" si="50"/>
        <v>45550.5625</v>
      </c>
      <c r="AY50" s="19">
        <f t="shared" si="50"/>
        <v>45550.58333</v>
      </c>
      <c r="AZ50" s="19">
        <f t="shared" si="50"/>
        <v>45550.60417</v>
      </c>
      <c r="BA50" s="19">
        <f t="shared" si="50"/>
        <v>45550.625</v>
      </c>
      <c r="BB50" s="19">
        <f t="shared" si="50"/>
        <v>45550.64583</v>
      </c>
      <c r="BC50" s="19">
        <f t="shared" si="50"/>
        <v>45550.66667</v>
      </c>
      <c r="BD50" s="19">
        <f t="shared" si="50"/>
        <v>45550.6875</v>
      </c>
      <c r="BE50" s="19">
        <f t="shared" si="50"/>
        <v>45550.70833</v>
      </c>
      <c r="BF50" s="19">
        <f t="shared" si="50"/>
        <v>45550.72917</v>
      </c>
      <c r="BG50" s="19">
        <f t="shared" si="50"/>
        <v>45550.75</v>
      </c>
      <c r="BH50" s="19">
        <f t="shared" si="50"/>
        <v>45550.77083</v>
      </c>
      <c r="BI50" s="19">
        <f t="shared" si="50"/>
        <v>45550.79167</v>
      </c>
      <c r="BJ50" s="19">
        <f t="shared" si="50"/>
        <v>45550.8125</v>
      </c>
      <c r="BK50" s="19">
        <f t="shared" si="50"/>
        <v>45550.83333</v>
      </c>
      <c r="BL50" s="19">
        <f t="shared" si="50"/>
        <v>45550.85417</v>
      </c>
      <c r="BM50" s="19">
        <f t="shared" si="50"/>
        <v>45550.875</v>
      </c>
      <c r="BN50" s="19">
        <f t="shared" si="50"/>
        <v>45550.89583</v>
      </c>
      <c r="BO50" s="19">
        <f t="shared" si="50"/>
        <v>45550.91667</v>
      </c>
      <c r="BP50" s="19">
        <f t="shared" si="50"/>
        <v>45550.9375</v>
      </c>
      <c r="BQ50" s="19">
        <f t="shared" si="50"/>
        <v>45550.95833</v>
      </c>
      <c r="BR50" s="19">
        <f t="shared" si="50"/>
        <v>45550.97917</v>
      </c>
      <c r="BS50" s="19">
        <f t="shared" si="50"/>
        <v>45551</v>
      </c>
      <c r="BT50" s="19">
        <f t="shared" si="50"/>
        <v>45551.02083</v>
      </c>
      <c r="BU50" s="19">
        <f t="shared" si="50"/>
        <v>45551.04167</v>
      </c>
      <c r="BV50" s="19">
        <f t="shared" si="50"/>
        <v>45551.0625</v>
      </c>
      <c r="BW50" s="19">
        <f t="shared" si="50"/>
        <v>45551.08333</v>
      </c>
      <c r="BX50" s="19">
        <f t="shared" si="50"/>
        <v>45550</v>
      </c>
      <c r="BY50" s="19">
        <f t="shared" si="50"/>
        <v>45550</v>
      </c>
      <c r="BZ50" s="19">
        <f t="shared" si="50"/>
        <v>45550</v>
      </c>
    </row>
    <row r="51" ht="14.25" customHeight="1">
      <c r="A51" s="17">
        <v>45551.0</v>
      </c>
      <c r="B51" s="2" t="str">
        <f t="array" ref="B51">IF(NOW()&gt;AM51,"",IF(AND((WEEKDAY($A51)+$B$2)&gt;1,((WEEKDAY($A51)+$T$2)&lt;7),(WEEKDAY($A51)&lt;&gt;1)),"work",(INDEX(Subject!$A:$I,MATCH(RANDBETWEEN(1,(MAX(Subject!$B:$B))),Subject!$B:$B,0),3))))</f>
        <v/>
      </c>
      <c r="C51" s="2" t="str">
        <f t="array" ref="C51">IF(NOW()&gt;AN51,"",IF(AND((WEEKDAY($A51)+$B$2)&gt;1,((WEEKDAY($A51)+$T$2)&lt;7),(WEEKDAY($A51)&lt;&gt;1)),"work",(INDEX(Subject!$A:$I,MATCH(RANDBETWEEN(1,(MAX(Subject!$B:$B))),Subject!$B:$B,0),3))))</f>
        <v/>
      </c>
      <c r="D51" s="2" t="str">
        <f t="array" ref="D51">IF(NOW()&gt;AO51,"",IF(AND((WEEKDAY($A51)+$B$2)&gt;1,((WEEKDAY($A51)+$T$2)&lt;7),(WEEKDAY($A51)&lt;&gt;1)),"work",(INDEX(Subject!$A:$I,MATCH(RANDBETWEEN(1,(MAX(Subject!$B:$B))),Subject!$B:$B,0),3))))</f>
        <v/>
      </c>
      <c r="E51" s="2" t="str">
        <f t="array" ref="E51">IF(NOW()&gt;AP51,"",IF(AND((WEEKDAY($A51)+$B$2)&gt;1,((WEEKDAY($A51)+$T$2)&lt;7),(WEEKDAY($A51)&lt;&gt;1)),"work",(INDEX(Subject!$A:$I,MATCH(RANDBETWEEN(1,(MAX(Subject!$B:$B))),Subject!$B:$B,0),3))))</f>
        <v/>
      </c>
      <c r="F51" s="2" t="str">
        <f t="array" ref="F51">IF(NOW()&gt;AQ51,"",IF(AND((WEEKDAY($A51)+$B$2)&gt;1,((WEEKDAY($A51)+$T$2)&lt;7),(WEEKDAY($A51)&lt;&gt;1)),"work",(INDEX(Subject!$A:$I,MATCH(RANDBETWEEN(1,(MAX(Subject!$B:$B))),Subject!$B:$B,0),3))))</f>
        <v/>
      </c>
      <c r="G51" s="2" t="str">
        <f t="array" ref="G51">IF(NOW()&gt;AR51,"",IF(AND((WEEKDAY($A51)+$B$2)&gt;1,((WEEKDAY($A51)+$T$2)&lt;7),(WEEKDAY($A51)&lt;&gt;1)),"work",(INDEX(Subject!$A:$I,MATCH(RANDBETWEEN(1,(MAX(Subject!$B:$B))),Subject!$B:$B,0),3))))</f>
        <v/>
      </c>
      <c r="H51" s="2" t="str">
        <f t="array" ref="H51">IF(NOW()&gt;AS51,"",IF(AND((WEEKDAY($A51)+$B$2)&gt;1,((WEEKDAY($A51)+$T$2)&lt;7),(WEEKDAY($A51)&lt;&gt;1)),"work",(INDEX(Subject!$A:$I,MATCH(RANDBETWEEN(1,(MAX(Subject!$B:$B))),Subject!$B:$B,0),3))))</f>
        <v/>
      </c>
      <c r="I51" s="2" t="str">
        <f t="array" ref="I51">IF(NOW()&gt;AT51,"",IF(AND((WEEKDAY($A51)+$B$2)&gt;1,((WEEKDAY($A51)+$T$2)&lt;7),(WEEKDAY($A51)&lt;&gt;1)),"work",(INDEX(Subject!$A:$I,MATCH(RANDBETWEEN(1,(MAX(Subject!$B:$B))),Subject!$B:$B,0),3))))</f>
        <v/>
      </c>
      <c r="J51" s="2" t="str">
        <f t="array" ref="J51">IF(NOW()&gt;AU51,"",IF(AND((WEEKDAY($A51)+$B$2)&gt;1,((WEEKDAY($A51)+$T$2)&lt;7),(WEEKDAY($A51)&lt;&gt;1)),"work",(INDEX(Subject!$A:$I,MATCH(RANDBETWEEN(1,(MAX(Subject!$B:$B))),Subject!$B:$B,0),3))))</f>
        <v/>
      </c>
      <c r="K51" s="2" t="str">
        <f t="array" ref="K51">IF(NOW()&gt;AV51,"",IF(AND((WEEKDAY($A51)+$B$2)&gt;1,((WEEKDAY($A51)+$T$2)&lt;7),(WEEKDAY($A51)&lt;&gt;1)),"work",(INDEX(Subject!$A:$I,MATCH(RANDBETWEEN(1,(MAX(Subject!$B:$B))),Subject!$B:$B,0),3))))</f>
        <v/>
      </c>
      <c r="L51" s="2" t="str">
        <f t="array" ref="L51">IF(NOW()&gt;AW51,"",IF(AND((WEEKDAY($A51)+$B$2)&gt;1,((WEEKDAY($A51)+$T$2)&lt;7),(WEEKDAY($A51)&lt;&gt;1)),"work",(INDEX(Subject!$A:$I,MATCH(RANDBETWEEN(1,(MAX(Subject!$B:$B))),Subject!$B:$B,0),3))))</f>
        <v/>
      </c>
      <c r="M51" s="2" t="str">
        <f t="array" ref="M51">IF(NOW()&gt;AX51,"",IF(AND((WEEKDAY($A51)+$B$2)&gt;1,((WEEKDAY($A51)+$T$2)&lt;7),(WEEKDAY($A51)&lt;&gt;1)),"work",(INDEX(Subject!$A:$I,MATCH(RANDBETWEEN(1,(MAX(Subject!$B:$B))),Subject!$B:$B,0),3))))</f>
        <v/>
      </c>
      <c r="N51" s="2" t="str">
        <f t="array" ref="N51">IF(NOW()&gt;AY51,"",IF(AND((WEEKDAY($A51)+$B$2)&gt;1,((WEEKDAY($A51)+$T$2)&lt;7),(WEEKDAY($A51)&lt;&gt;1)),"work",(INDEX(Subject!$A:$I,MATCH(RANDBETWEEN(1,(MAX(Subject!$B:$B))),Subject!$B:$B,0),3))))</f>
        <v/>
      </c>
      <c r="O51" s="2" t="str">
        <f t="array" ref="O51">IF(NOW()&gt;AZ51,"",IF(AND((WEEKDAY($A51)+$B$2)&gt;1,((WEEKDAY($A51)+$T$2)&lt;7),(WEEKDAY($A51)&lt;&gt;1)),"work",(INDEX(Subject!$A:$I,MATCH(RANDBETWEEN(1,(MAX(Subject!$B:$B))),Subject!$B:$B,0),3))))</f>
        <v/>
      </c>
      <c r="P51" s="2" t="str">
        <f t="array" ref="P51">IF(NOW()&gt;BA51,"",IF(AND((WEEKDAY($A51)+$B$2)&gt;1,((WEEKDAY($A51)+$T$2)&lt;7),(WEEKDAY($A51)&lt;&gt;1)),"work",(INDEX(Subject!$A:$I,MATCH(RANDBETWEEN(1,(MAX(Subject!$B:$B))),Subject!$B:$B,0),3))))</f>
        <v/>
      </c>
      <c r="Q51" s="2" t="str">
        <f t="array" ref="Q51">IF(NOW()&gt;BB51,"",IF(AND((WEEKDAY($A51)+$B$2)&gt;1,((WEEKDAY($A51)+$T$2)&lt;7),(WEEKDAY($A51)&lt;&gt;1)),"work",(INDEX(Subject!$A:$I,MATCH(RANDBETWEEN(1,(MAX(Subject!$B:$B))),Subject!$B:$B,0),3))))</f>
        <v/>
      </c>
      <c r="R51" s="2" t="str">
        <f t="array" ref="R51">IF(NOW()&gt;BC51,"",IF(AND((WEEKDAY($A51)+$B$2)&gt;1,((WEEKDAY($A51)+$T$2)&lt;7),(WEEKDAY($A51)&lt;&gt;1)),"work",(INDEX(Subject!$A:$I,MATCH(RANDBETWEEN(1,(MAX(Subject!$B:$B))),Subject!$B:$B,0),3))))</f>
        <v/>
      </c>
      <c r="S51" s="2" t="str">
        <f t="array" ref="S51">IF(NOW()&gt;BD51,"",IF(AND((WEEKDAY($A51)+$B$2)&gt;1,((WEEKDAY($A51)+$T$2)&lt;7),(WEEKDAY($A51)&lt;&gt;1)),"work",(INDEX(Subject!$A:$I,MATCH(RANDBETWEEN(1,(MAX(Subject!$B:$B))),Subject!$B:$B,0),3))))</f>
        <v/>
      </c>
      <c r="T51" s="2" t="str">
        <f t="array" ref="T51">IF(NOW()&gt;BE51,"",IF(AND((WEEKDAY($A51)+$B$2)&gt;1,((WEEKDAY($A51)+$T$2)&lt;7),(WEEKDAY($A51)&lt;&gt;1)),"work",(INDEX(Subject!$A:$I,MATCH(RANDBETWEEN(1,(MAX(Subject!$B:$B))),Subject!$B:$B,0),3))))</f>
        <v/>
      </c>
      <c r="U51" s="8" t="str">
        <f t="array" ref="U51">INDEX(Subject!$A:$I,MATCH(RANDBETWEEN(1,16),Subject!$B:$B,0),3)</f>
        <v>#N/A</v>
      </c>
      <c r="V51" s="8" t="str">
        <f t="array" ref="V51">INDEX(Subject!$A:$I,MATCH(RANDBETWEEN(1,16),Subject!$B:$B,0),3)</f>
        <v>#N/A</v>
      </c>
      <c r="W51" s="8" t="str">
        <f t="array" ref="W51">INDEX(Subject!$A:$I,MATCH(RANDBETWEEN(1,16),Subject!$B:$B,0),3)</f>
        <v>#N/A</v>
      </c>
      <c r="X51" s="8" t="str">
        <f t="array" ref="X51">INDEX(Subject!$A:$I,MATCH(RANDBETWEEN(1,16),Subject!$B:$B,0),3)</f>
        <v>#N/A</v>
      </c>
      <c r="Y51" s="8" t="str">
        <f t="array" ref="Y51">INDEX(Subject!$A:$I,MATCH(RANDBETWEEN(1,16),Subject!$B:$B,0),3)</f>
        <v>#N/A</v>
      </c>
      <c r="Z51" s="8" t="str">
        <f t="array" ref="Z51">INDEX(Subject!$A:$I,MATCH(RANDBETWEEN(1,16),Subject!$B:$B,0),3)</f>
        <v>#N/A</v>
      </c>
      <c r="AA51" s="8" t="str">
        <f t="array" ref="AA51">INDEX(Subject!$A:$I,MATCH(RANDBETWEEN(1,16),Subject!$B:$B,0),3)</f>
        <v>#N/A</v>
      </c>
      <c r="AB51" s="8" t="str">
        <f t="array" ref="AB51">INDEX(Subject!$A:$I,MATCH(RANDBETWEEN(1,16),Subject!$B:$B,0),3)</f>
        <v>#N/A</v>
      </c>
      <c r="AC51" s="8" t="str">
        <f t="array" ref="AC51">INDEX(Subject!$A:$I,MATCH(RANDBETWEEN(1,16),Subject!$B:$B,0),3)</f>
        <v>#N/A</v>
      </c>
      <c r="AD51" s="8" t="str">
        <f t="array" ref="AD51">INDEX(Subject!$A:$I,MATCH(RANDBETWEEN(1,16),Subject!$B:$B,0),3)</f>
        <v>#N/A</v>
      </c>
      <c r="AE51" s="8" t="str">
        <f t="array" ref="AE51">INDEX(Subject!$A:$I,MATCH(RANDBETWEEN(1,16),Subject!$B:$B,0),3)</f>
        <v>#N/A</v>
      </c>
      <c r="AF51" s="8" t="str">
        <f t="array" ref="AF51">INDEX(Subject!$A:$I,MATCH(RANDBETWEEN(1,16),Subject!$B:$B,0),3)</f>
        <v>#N/A</v>
      </c>
      <c r="AG51" s="8" t="str">
        <f t="array" ref="AG51">INDEX(Subject!$A:$I,MATCH(RANDBETWEEN(1,16),Subject!$B:$B,0),3)</f>
        <v>#N/A</v>
      </c>
      <c r="AH51" s="8" t="str">
        <f t="array" ref="AH51">INDEX(Subject!$A:$I,MATCH(RANDBETWEEN(1,16),Subject!$B:$B,0),3)</f>
        <v>#N/A</v>
      </c>
      <c r="AI51" s="8" t="str">
        <f t="array" ref="AI51">INDEX(Subject!$A:$I,MATCH(RANDBETWEEN(1,16),Subject!$B:$B,0),3)</f>
        <v>#N/A</v>
      </c>
      <c r="AJ51" s="8" t="str">
        <f t="array" ref="AJ51">INDEX(Subject!$A:$I,MATCH(RANDBETWEEN(1,16),Subject!$B:$B,0),3)</f>
        <v>#N/A</v>
      </c>
      <c r="AK51" s="8" t="str">
        <f t="array" ref="AK51">INDEX(Subject!$A:$I,MATCH(RANDBETWEEN(1,16),Subject!$B:$B,0),3)</f>
        <v>#N/A</v>
      </c>
      <c r="AL51" s="8" t="str">
        <f t="array" ref="AL51">INDEX(Subject!$A:$I,MATCH(RANDBETWEEN(1,16),Subject!$B:$B,0),3)</f>
        <v>#N/A</v>
      </c>
      <c r="AM51" s="18">
        <f t="shared" si="4"/>
        <v>45551.33333</v>
      </c>
      <c r="AN51" s="19">
        <f t="shared" ref="AN51:BZ51" si="51">$A51+C$1</f>
        <v>45551.35417</v>
      </c>
      <c r="AO51" s="19">
        <f t="shared" si="51"/>
        <v>45551.375</v>
      </c>
      <c r="AP51" s="19">
        <f t="shared" si="51"/>
        <v>45551.39583</v>
      </c>
      <c r="AQ51" s="19">
        <f t="shared" si="51"/>
        <v>45551.41667</v>
      </c>
      <c r="AR51" s="19">
        <f t="shared" si="51"/>
        <v>45551.4375</v>
      </c>
      <c r="AS51" s="19">
        <f t="shared" si="51"/>
        <v>45551.45833</v>
      </c>
      <c r="AT51" s="19">
        <f t="shared" si="51"/>
        <v>45551.47917</v>
      </c>
      <c r="AU51" s="19">
        <f t="shared" si="51"/>
        <v>45551.5</v>
      </c>
      <c r="AV51" s="19">
        <f t="shared" si="51"/>
        <v>45551.52083</v>
      </c>
      <c r="AW51" s="19">
        <f t="shared" si="51"/>
        <v>45551.54167</v>
      </c>
      <c r="AX51" s="19">
        <f t="shared" si="51"/>
        <v>45551.5625</v>
      </c>
      <c r="AY51" s="19">
        <f t="shared" si="51"/>
        <v>45551.58333</v>
      </c>
      <c r="AZ51" s="19">
        <f t="shared" si="51"/>
        <v>45551.60417</v>
      </c>
      <c r="BA51" s="19">
        <f t="shared" si="51"/>
        <v>45551.625</v>
      </c>
      <c r="BB51" s="19">
        <f t="shared" si="51"/>
        <v>45551.64583</v>
      </c>
      <c r="BC51" s="19">
        <f t="shared" si="51"/>
        <v>45551.66667</v>
      </c>
      <c r="BD51" s="19">
        <f t="shared" si="51"/>
        <v>45551.6875</v>
      </c>
      <c r="BE51" s="19">
        <f t="shared" si="51"/>
        <v>45551.70833</v>
      </c>
      <c r="BF51" s="19">
        <f t="shared" si="51"/>
        <v>45551.72917</v>
      </c>
      <c r="BG51" s="19">
        <f t="shared" si="51"/>
        <v>45551.75</v>
      </c>
      <c r="BH51" s="19">
        <f t="shared" si="51"/>
        <v>45551.77083</v>
      </c>
      <c r="BI51" s="19">
        <f t="shared" si="51"/>
        <v>45551.79167</v>
      </c>
      <c r="BJ51" s="19">
        <f t="shared" si="51"/>
        <v>45551.8125</v>
      </c>
      <c r="BK51" s="19">
        <f t="shared" si="51"/>
        <v>45551.83333</v>
      </c>
      <c r="BL51" s="19">
        <f t="shared" si="51"/>
        <v>45551.85417</v>
      </c>
      <c r="BM51" s="19">
        <f t="shared" si="51"/>
        <v>45551.875</v>
      </c>
      <c r="BN51" s="19">
        <f t="shared" si="51"/>
        <v>45551.89583</v>
      </c>
      <c r="BO51" s="19">
        <f t="shared" si="51"/>
        <v>45551.91667</v>
      </c>
      <c r="BP51" s="19">
        <f t="shared" si="51"/>
        <v>45551.9375</v>
      </c>
      <c r="BQ51" s="19">
        <f t="shared" si="51"/>
        <v>45551.95833</v>
      </c>
      <c r="BR51" s="19">
        <f t="shared" si="51"/>
        <v>45551.97917</v>
      </c>
      <c r="BS51" s="19">
        <f t="shared" si="51"/>
        <v>45552</v>
      </c>
      <c r="BT51" s="19">
        <f t="shared" si="51"/>
        <v>45552.02083</v>
      </c>
      <c r="BU51" s="19">
        <f t="shared" si="51"/>
        <v>45552.04167</v>
      </c>
      <c r="BV51" s="19">
        <f t="shared" si="51"/>
        <v>45552.0625</v>
      </c>
      <c r="BW51" s="19">
        <f t="shared" si="51"/>
        <v>45552.08333</v>
      </c>
      <c r="BX51" s="19">
        <f t="shared" si="51"/>
        <v>45551</v>
      </c>
      <c r="BY51" s="19">
        <f t="shared" si="51"/>
        <v>45551</v>
      </c>
      <c r="BZ51" s="19">
        <f t="shared" si="51"/>
        <v>45551</v>
      </c>
    </row>
    <row r="52" ht="14.25" customHeight="1">
      <c r="A52" s="17">
        <v>45552.0</v>
      </c>
      <c r="B52" s="2" t="str">
        <f t="array" ref="B52">IF(NOW()&gt;AM52,"",IF(AND((WEEKDAY($A52)+$B$2)&gt;1,((WEEKDAY($A52)+$T$2)&lt;7),(WEEKDAY($A52)&lt;&gt;1)),"work",(INDEX(Subject!$A:$I,MATCH(RANDBETWEEN(1,(MAX(Subject!$B:$B))),Subject!$B:$B,0),3))))</f>
        <v/>
      </c>
      <c r="C52" s="2" t="str">
        <f t="array" ref="C52">IF(NOW()&gt;AN52,"",IF(AND((WEEKDAY($A52)+$B$2)&gt;1,((WEEKDAY($A52)+$T$2)&lt;7),(WEEKDAY($A52)&lt;&gt;1)),"work",(INDEX(Subject!$A:$I,MATCH(RANDBETWEEN(1,(MAX(Subject!$B:$B))),Subject!$B:$B,0),3))))</f>
        <v/>
      </c>
      <c r="D52" s="2" t="str">
        <f t="array" ref="D52">IF(NOW()&gt;AO52,"",IF(AND((WEEKDAY($A52)+$B$2)&gt;1,((WEEKDAY($A52)+$T$2)&lt;7),(WEEKDAY($A52)&lt;&gt;1)),"work",(INDEX(Subject!$A:$I,MATCH(RANDBETWEEN(1,(MAX(Subject!$B:$B))),Subject!$B:$B,0),3))))</f>
        <v/>
      </c>
      <c r="E52" s="2" t="str">
        <f t="array" ref="E52">IF(NOW()&gt;AP52,"",IF(AND((WEEKDAY($A52)+$B$2)&gt;1,((WEEKDAY($A52)+$T$2)&lt;7),(WEEKDAY($A52)&lt;&gt;1)),"work",(INDEX(Subject!$A:$I,MATCH(RANDBETWEEN(1,(MAX(Subject!$B:$B))),Subject!$B:$B,0),3))))</f>
        <v/>
      </c>
      <c r="F52" s="2" t="str">
        <f t="array" ref="F52">IF(NOW()&gt;AQ52,"",IF(AND((WEEKDAY($A52)+$B$2)&gt;1,((WEEKDAY($A52)+$T$2)&lt;7),(WEEKDAY($A52)&lt;&gt;1)),"work",(INDEX(Subject!$A:$I,MATCH(RANDBETWEEN(1,(MAX(Subject!$B:$B))),Subject!$B:$B,0),3))))</f>
        <v/>
      </c>
      <c r="G52" s="2" t="str">
        <f t="array" ref="G52">IF(NOW()&gt;AR52,"",IF(AND((WEEKDAY($A52)+$B$2)&gt;1,((WEEKDAY($A52)+$T$2)&lt;7),(WEEKDAY($A52)&lt;&gt;1)),"work",(INDEX(Subject!$A:$I,MATCH(RANDBETWEEN(1,(MAX(Subject!$B:$B))),Subject!$B:$B,0),3))))</f>
        <v/>
      </c>
      <c r="H52" s="2" t="str">
        <f t="array" ref="H52">IF(NOW()&gt;AS52,"",IF(AND((WEEKDAY($A52)+$B$2)&gt;1,((WEEKDAY($A52)+$T$2)&lt;7),(WEEKDAY($A52)&lt;&gt;1)),"work",(INDEX(Subject!$A:$I,MATCH(RANDBETWEEN(1,(MAX(Subject!$B:$B))),Subject!$B:$B,0),3))))</f>
        <v/>
      </c>
      <c r="I52" s="2" t="str">
        <f t="array" ref="I52">IF(NOW()&gt;AT52,"",IF(AND((WEEKDAY($A52)+$B$2)&gt;1,((WEEKDAY($A52)+$T$2)&lt;7),(WEEKDAY($A52)&lt;&gt;1)),"work",(INDEX(Subject!$A:$I,MATCH(RANDBETWEEN(1,(MAX(Subject!$B:$B))),Subject!$B:$B,0),3))))</f>
        <v/>
      </c>
      <c r="J52" s="2" t="str">
        <f t="array" ref="J52">IF(NOW()&gt;AU52,"",IF(AND((WEEKDAY($A52)+$B$2)&gt;1,((WEEKDAY($A52)+$T$2)&lt;7),(WEEKDAY($A52)&lt;&gt;1)),"work",(INDEX(Subject!$A:$I,MATCH(RANDBETWEEN(1,(MAX(Subject!$B:$B))),Subject!$B:$B,0),3))))</f>
        <v/>
      </c>
      <c r="K52" s="2" t="str">
        <f t="array" ref="K52">IF(NOW()&gt;AV52,"",IF(AND((WEEKDAY($A52)+$B$2)&gt;1,((WEEKDAY($A52)+$T$2)&lt;7),(WEEKDAY($A52)&lt;&gt;1)),"work",(INDEX(Subject!$A:$I,MATCH(RANDBETWEEN(1,(MAX(Subject!$B:$B))),Subject!$B:$B,0),3))))</f>
        <v/>
      </c>
      <c r="L52" s="2" t="str">
        <f t="array" ref="L52">IF(NOW()&gt;AW52,"",IF(AND((WEEKDAY($A52)+$B$2)&gt;1,((WEEKDAY($A52)+$T$2)&lt;7),(WEEKDAY($A52)&lt;&gt;1)),"work",(INDEX(Subject!$A:$I,MATCH(RANDBETWEEN(1,(MAX(Subject!$B:$B))),Subject!$B:$B,0),3))))</f>
        <v/>
      </c>
      <c r="M52" s="2" t="str">
        <f t="array" ref="M52">IF(NOW()&gt;AX52,"",IF(AND((WEEKDAY($A52)+$B$2)&gt;1,((WEEKDAY($A52)+$T$2)&lt;7),(WEEKDAY($A52)&lt;&gt;1)),"work",(INDEX(Subject!$A:$I,MATCH(RANDBETWEEN(1,(MAX(Subject!$B:$B))),Subject!$B:$B,0),3))))</f>
        <v/>
      </c>
      <c r="N52" s="2" t="str">
        <f t="array" ref="N52">IF(NOW()&gt;AY52,"",IF(AND((WEEKDAY($A52)+$B$2)&gt;1,((WEEKDAY($A52)+$T$2)&lt;7),(WEEKDAY($A52)&lt;&gt;1)),"work",(INDEX(Subject!$A:$I,MATCH(RANDBETWEEN(1,(MAX(Subject!$B:$B))),Subject!$B:$B,0),3))))</f>
        <v/>
      </c>
      <c r="O52" s="2" t="str">
        <f t="array" ref="O52">IF(NOW()&gt;AZ52,"",IF(AND((WEEKDAY($A52)+$B$2)&gt;1,((WEEKDAY($A52)+$T$2)&lt;7),(WEEKDAY($A52)&lt;&gt;1)),"work",(INDEX(Subject!$A:$I,MATCH(RANDBETWEEN(1,(MAX(Subject!$B:$B))),Subject!$B:$B,0),3))))</f>
        <v/>
      </c>
      <c r="P52" s="2" t="str">
        <f t="array" ref="P52">IF(NOW()&gt;BA52,"",IF(AND((WEEKDAY($A52)+$B$2)&gt;1,((WEEKDAY($A52)+$T$2)&lt;7),(WEEKDAY($A52)&lt;&gt;1)),"work",(INDEX(Subject!$A:$I,MATCH(RANDBETWEEN(1,(MAX(Subject!$B:$B))),Subject!$B:$B,0),3))))</f>
        <v/>
      </c>
      <c r="Q52" s="2" t="str">
        <f t="array" ref="Q52">IF(NOW()&gt;BB52,"",IF(AND((WEEKDAY($A52)+$B$2)&gt;1,((WEEKDAY($A52)+$T$2)&lt;7),(WEEKDAY($A52)&lt;&gt;1)),"work",(INDEX(Subject!$A:$I,MATCH(RANDBETWEEN(1,(MAX(Subject!$B:$B))),Subject!$B:$B,0),3))))</f>
        <v/>
      </c>
      <c r="R52" s="2" t="str">
        <f t="array" ref="R52">IF(NOW()&gt;BC52,"",IF(AND((WEEKDAY($A52)+$B$2)&gt;1,((WEEKDAY($A52)+$T$2)&lt;7),(WEEKDAY($A52)&lt;&gt;1)),"work",(INDEX(Subject!$A:$I,MATCH(RANDBETWEEN(1,(MAX(Subject!$B:$B))),Subject!$B:$B,0),3))))</f>
        <v/>
      </c>
      <c r="S52" s="2" t="str">
        <f t="array" ref="S52">IF(NOW()&gt;BD52,"",IF(AND((WEEKDAY($A52)+$B$2)&gt;1,((WEEKDAY($A52)+$T$2)&lt;7),(WEEKDAY($A52)&lt;&gt;1)),"work",(INDEX(Subject!$A:$I,MATCH(RANDBETWEEN(1,(MAX(Subject!$B:$B))),Subject!$B:$B,0),3))))</f>
        <v/>
      </c>
      <c r="T52" s="2" t="str">
        <f t="array" ref="T52">IF(NOW()&gt;BE52,"",IF(AND((WEEKDAY($A52)+$B$2)&gt;1,((WEEKDAY($A52)+$T$2)&lt;7),(WEEKDAY($A52)&lt;&gt;1)),"work",(INDEX(Subject!$A:$I,MATCH(RANDBETWEEN(1,(MAX(Subject!$B:$B))),Subject!$B:$B,0),3))))</f>
        <v/>
      </c>
      <c r="U52" s="8" t="str">
        <f t="array" ref="U52">INDEX(Subject!$A:$I,MATCH(RANDBETWEEN(1,16),Subject!$B:$B,0),3)</f>
        <v>#N/A</v>
      </c>
      <c r="V52" s="8" t="str">
        <f t="array" ref="V52">INDEX(Subject!$A:$I,MATCH(RANDBETWEEN(1,16),Subject!$B:$B,0),3)</f>
        <v>#N/A</v>
      </c>
      <c r="W52" s="8" t="str">
        <f t="array" ref="W52">INDEX(Subject!$A:$I,MATCH(RANDBETWEEN(1,16),Subject!$B:$B,0),3)</f>
        <v>#N/A</v>
      </c>
      <c r="X52" s="8" t="str">
        <f t="array" ref="X52">INDEX(Subject!$A:$I,MATCH(RANDBETWEEN(1,16),Subject!$B:$B,0),3)</f>
        <v>#N/A</v>
      </c>
      <c r="Y52" s="8" t="str">
        <f t="array" ref="Y52">INDEX(Subject!$A:$I,MATCH(RANDBETWEEN(1,16),Subject!$B:$B,0),3)</f>
        <v>#N/A</v>
      </c>
      <c r="Z52" s="8" t="str">
        <f t="array" ref="Z52">INDEX(Subject!$A:$I,MATCH(RANDBETWEEN(1,16),Subject!$B:$B,0),3)</f>
        <v>#N/A</v>
      </c>
      <c r="AA52" s="8" t="str">
        <f t="array" ref="AA52">INDEX(Subject!$A:$I,MATCH(RANDBETWEEN(1,16),Subject!$B:$B,0),3)</f>
        <v>#N/A</v>
      </c>
      <c r="AB52" s="8" t="str">
        <f t="array" ref="AB52">INDEX(Subject!$A:$I,MATCH(RANDBETWEEN(1,16),Subject!$B:$B,0),3)</f>
        <v>#N/A</v>
      </c>
      <c r="AC52" s="8" t="str">
        <f t="array" ref="AC52">INDEX(Subject!$A:$I,MATCH(RANDBETWEEN(1,16),Subject!$B:$B,0),3)</f>
        <v>#N/A</v>
      </c>
      <c r="AD52" s="8" t="str">
        <f t="array" ref="AD52">INDEX(Subject!$A:$I,MATCH(RANDBETWEEN(1,16),Subject!$B:$B,0),3)</f>
        <v>#N/A</v>
      </c>
      <c r="AE52" s="8" t="str">
        <f t="array" ref="AE52">INDEX(Subject!$A:$I,MATCH(RANDBETWEEN(1,16),Subject!$B:$B,0),3)</f>
        <v/>
      </c>
      <c r="AF52" s="8" t="str">
        <f t="array" ref="AF52">INDEX(Subject!$A:$I,MATCH(RANDBETWEEN(1,16),Subject!$B:$B,0),3)</f>
        <v/>
      </c>
      <c r="AG52" s="8" t="str">
        <f t="array" ref="AG52">INDEX(Subject!$A:$I,MATCH(RANDBETWEEN(1,16),Subject!$B:$B,0),3)</f>
        <v>#N/A</v>
      </c>
      <c r="AH52" s="8" t="str">
        <f t="array" ref="AH52">INDEX(Subject!$A:$I,MATCH(RANDBETWEEN(1,16),Subject!$B:$B,0),3)</f>
        <v/>
      </c>
      <c r="AI52" s="8" t="str">
        <f t="array" ref="AI52">INDEX(Subject!$A:$I,MATCH(RANDBETWEEN(1,16),Subject!$B:$B,0),3)</f>
        <v>#N/A</v>
      </c>
      <c r="AJ52" s="8" t="str">
        <f t="array" ref="AJ52">INDEX(Subject!$A:$I,MATCH(RANDBETWEEN(1,16),Subject!$B:$B,0),3)</f>
        <v>#N/A</v>
      </c>
      <c r="AK52" s="8" t="str">
        <f t="array" ref="AK52">INDEX(Subject!$A:$I,MATCH(RANDBETWEEN(1,16),Subject!$B:$B,0),3)</f>
        <v>#N/A</v>
      </c>
      <c r="AL52" s="8" t="str">
        <f t="array" ref="AL52">INDEX(Subject!$A:$I,MATCH(RANDBETWEEN(1,16),Subject!$B:$B,0),3)</f>
        <v>#N/A</v>
      </c>
      <c r="AM52" s="18">
        <f t="shared" si="4"/>
        <v>45552.33333</v>
      </c>
      <c r="AN52" s="19">
        <f t="shared" ref="AN52:BZ52" si="52">$A52+C$1</f>
        <v>45552.35417</v>
      </c>
      <c r="AO52" s="19">
        <f t="shared" si="52"/>
        <v>45552.375</v>
      </c>
      <c r="AP52" s="19">
        <f t="shared" si="52"/>
        <v>45552.39583</v>
      </c>
      <c r="AQ52" s="19">
        <f t="shared" si="52"/>
        <v>45552.41667</v>
      </c>
      <c r="AR52" s="19">
        <f t="shared" si="52"/>
        <v>45552.4375</v>
      </c>
      <c r="AS52" s="19">
        <f t="shared" si="52"/>
        <v>45552.45833</v>
      </c>
      <c r="AT52" s="19">
        <f t="shared" si="52"/>
        <v>45552.47917</v>
      </c>
      <c r="AU52" s="19">
        <f t="shared" si="52"/>
        <v>45552.5</v>
      </c>
      <c r="AV52" s="19">
        <f t="shared" si="52"/>
        <v>45552.52083</v>
      </c>
      <c r="AW52" s="19">
        <f t="shared" si="52"/>
        <v>45552.54167</v>
      </c>
      <c r="AX52" s="19">
        <f t="shared" si="52"/>
        <v>45552.5625</v>
      </c>
      <c r="AY52" s="19">
        <f t="shared" si="52"/>
        <v>45552.58333</v>
      </c>
      <c r="AZ52" s="19">
        <f t="shared" si="52"/>
        <v>45552.60417</v>
      </c>
      <c r="BA52" s="19">
        <f t="shared" si="52"/>
        <v>45552.625</v>
      </c>
      <c r="BB52" s="19">
        <f t="shared" si="52"/>
        <v>45552.64583</v>
      </c>
      <c r="BC52" s="19">
        <f t="shared" si="52"/>
        <v>45552.66667</v>
      </c>
      <c r="BD52" s="19">
        <f t="shared" si="52"/>
        <v>45552.6875</v>
      </c>
      <c r="BE52" s="19">
        <f t="shared" si="52"/>
        <v>45552.70833</v>
      </c>
      <c r="BF52" s="19">
        <f t="shared" si="52"/>
        <v>45552.72917</v>
      </c>
      <c r="BG52" s="19">
        <f t="shared" si="52"/>
        <v>45552.75</v>
      </c>
      <c r="BH52" s="19">
        <f t="shared" si="52"/>
        <v>45552.77083</v>
      </c>
      <c r="BI52" s="19">
        <f t="shared" si="52"/>
        <v>45552.79167</v>
      </c>
      <c r="BJ52" s="19">
        <f t="shared" si="52"/>
        <v>45552.8125</v>
      </c>
      <c r="BK52" s="19">
        <f t="shared" si="52"/>
        <v>45552.83333</v>
      </c>
      <c r="BL52" s="19">
        <f t="shared" si="52"/>
        <v>45552.85417</v>
      </c>
      <c r="BM52" s="19">
        <f t="shared" si="52"/>
        <v>45552.875</v>
      </c>
      <c r="BN52" s="19">
        <f t="shared" si="52"/>
        <v>45552.89583</v>
      </c>
      <c r="BO52" s="19">
        <f t="shared" si="52"/>
        <v>45552.91667</v>
      </c>
      <c r="BP52" s="19">
        <f t="shared" si="52"/>
        <v>45552.9375</v>
      </c>
      <c r="BQ52" s="19">
        <f t="shared" si="52"/>
        <v>45552.95833</v>
      </c>
      <c r="BR52" s="19">
        <f t="shared" si="52"/>
        <v>45552.97917</v>
      </c>
      <c r="BS52" s="19">
        <f t="shared" si="52"/>
        <v>45553</v>
      </c>
      <c r="BT52" s="19">
        <f t="shared" si="52"/>
        <v>45553.02083</v>
      </c>
      <c r="BU52" s="19">
        <f t="shared" si="52"/>
        <v>45553.04167</v>
      </c>
      <c r="BV52" s="19">
        <f t="shared" si="52"/>
        <v>45553.0625</v>
      </c>
      <c r="BW52" s="19">
        <f t="shared" si="52"/>
        <v>45553.08333</v>
      </c>
      <c r="BX52" s="19">
        <f t="shared" si="52"/>
        <v>45552</v>
      </c>
      <c r="BY52" s="19">
        <f t="shared" si="52"/>
        <v>45552</v>
      </c>
      <c r="BZ52" s="19">
        <f t="shared" si="52"/>
        <v>45552</v>
      </c>
    </row>
    <row r="53" ht="14.25" customHeight="1">
      <c r="A53" s="17">
        <v>45553.0</v>
      </c>
      <c r="B53" s="2" t="str">
        <f t="array" ref="B53">IF(NOW()&gt;AM53,"",IF(AND((WEEKDAY($A53)+$B$2)&gt;1,((WEEKDAY($A53)+$T$2)&lt;7),(WEEKDAY($A53)&lt;&gt;1)),"work",(INDEX(Subject!$A:$I,MATCH(RANDBETWEEN(1,(MAX(Subject!$B:$B))),Subject!$B:$B,0),3))))</f>
        <v/>
      </c>
      <c r="C53" s="2" t="str">
        <f t="array" ref="C53">IF(NOW()&gt;AN53,"",IF(AND((WEEKDAY($A53)+$B$2)&gt;1,((WEEKDAY($A53)+$T$2)&lt;7),(WEEKDAY($A53)&lt;&gt;1)),"work",(INDEX(Subject!$A:$I,MATCH(RANDBETWEEN(1,(MAX(Subject!$B:$B))),Subject!$B:$B,0),3))))</f>
        <v/>
      </c>
      <c r="D53" s="2" t="str">
        <f t="array" ref="D53">IF(NOW()&gt;AO53,"",IF(AND((WEEKDAY($A53)+$B$2)&gt;1,((WEEKDAY($A53)+$T$2)&lt;7),(WEEKDAY($A53)&lt;&gt;1)),"work",(INDEX(Subject!$A:$I,MATCH(RANDBETWEEN(1,(MAX(Subject!$B:$B))),Subject!$B:$B,0),3))))</f>
        <v/>
      </c>
      <c r="E53" s="2" t="str">
        <f t="array" ref="E53">IF(NOW()&gt;AP53,"",IF(AND((WEEKDAY($A53)+$B$2)&gt;1,((WEEKDAY($A53)+$T$2)&lt;7),(WEEKDAY($A53)&lt;&gt;1)),"work",(INDEX(Subject!$A:$I,MATCH(RANDBETWEEN(1,(MAX(Subject!$B:$B))),Subject!$B:$B,0),3))))</f>
        <v/>
      </c>
      <c r="F53" s="2" t="str">
        <f t="array" ref="F53">IF(NOW()&gt;AQ53,"",IF(AND((WEEKDAY($A53)+$B$2)&gt;1,((WEEKDAY($A53)+$T$2)&lt;7),(WEEKDAY($A53)&lt;&gt;1)),"work",(INDEX(Subject!$A:$I,MATCH(RANDBETWEEN(1,(MAX(Subject!$B:$B))),Subject!$B:$B,0),3))))</f>
        <v/>
      </c>
      <c r="G53" s="2" t="str">
        <f t="array" ref="G53">IF(NOW()&gt;AR53,"",IF(AND((WEEKDAY($A53)+$B$2)&gt;1,((WEEKDAY($A53)+$T$2)&lt;7),(WEEKDAY($A53)&lt;&gt;1)),"work",(INDEX(Subject!$A:$I,MATCH(RANDBETWEEN(1,(MAX(Subject!$B:$B))),Subject!$B:$B,0),3))))</f>
        <v/>
      </c>
      <c r="H53" s="2" t="str">
        <f t="array" ref="H53">IF(NOW()&gt;AS53,"",IF(AND((WEEKDAY($A53)+$B$2)&gt;1,((WEEKDAY($A53)+$T$2)&lt;7),(WEEKDAY($A53)&lt;&gt;1)),"work",(INDEX(Subject!$A:$I,MATCH(RANDBETWEEN(1,(MAX(Subject!$B:$B))),Subject!$B:$B,0),3))))</f>
        <v/>
      </c>
      <c r="I53" s="2" t="str">
        <f t="array" ref="I53">IF(NOW()&gt;AT53,"",IF(AND((WEEKDAY($A53)+$B$2)&gt;1,((WEEKDAY($A53)+$T$2)&lt;7),(WEEKDAY($A53)&lt;&gt;1)),"work",(INDEX(Subject!$A:$I,MATCH(RANDBETWEEN(1,(MAX(Subject!$B:$B))),Subject!$B:$B,0),3))))</f>
        <v/>
      </c>
      <c r="J53" s="2" t="str">
        <f t="array" ref="J53">IF(NOW()&gt;AU53,"",IF(AND((WEEKDAY($A53)+$B$2)&gt;1,((WEEKDAY($A53)+$T$2)&lt;7),(WEEKDAY($A53)&lt;&gt;1)),"work",(INDEX(Subject!$A:$I,MATCH(RANDBETWEEN(1,(MAX(Subject!$B:$B))),Subject!$B:$B,0),3))))</f>
        <v/>
      </c>
      <c r="K53" s="2" t="str">
        <f t="array" ref="K53">IF(NOW()&gt;AV53,"",IF(AND((WEEKDAY($A53)+$B$2)&gt;1,((WEEKDAY($A53)+$T$2)&lt;7),(WEEKDAY($A53)&lt;&gt;1)),"work",(INDEX(Subject!$A:$I,MATCH(RANDBETWEEN(1,(MAX(Subject!$B:$B))),Subject!$B:$B,0),3))))</f>
        <v/>
      </c>
      <c r="L53" s="2" t="str">
        <f t="array" ref="L53">IF(NOW()&gt;AW53,"",IF(AND((WEEKDAY($A53)+$B$2)&gt;1,((WEEKDAY($A53)+$T$2)&lt;7),(WEEKDAY($A53)&lt;&gt;1)),"work",(INDEX(Subject!$A:$I,MATCH(RANDBETWEEN(1,(MAX(Subject!$B:$B))),Subject!$B:$B,0),3))))</f>
        <v/>
      </c>
      <c r="M53" s="2" t="str">
        <f t="array" ref="M53">IF(NOW()&gt;AX53,"",IF(AND((WEEKDAY($A53)+$B$2)&gt;1,((WEEKDAY($A53)+$T$2)&lt;7),(WEEKDAY($A53)&lt;&gt;1)),"work",(INDEX(Subject!$A:$I,MATCH(RANDBETWEEN(1,(MAX(Subject!$B:$B))),Subject!$B:$B,0),3))))</f>
        <v/>
      </c>
      <c r="N53" s="2" t="str">
        <f t="array" ref="N53">IF(NOW()&gt;AY53,"",IF(AND((WEEKDAY($A53)+$B$2)&gt;1,((WEEKDAY($A53)+$T$2)&lt;7),(WEEKDAY($A53)&lt;&gt;1)),"work",(INDEX(Subject!$A:$I,MATCH(RANDBETWEEN(1,(MAX(Subject!$B:$B))),Subject!$B:$B,0),3))))</f>
        <v/>
      </c>
      <c r="O53" s="2" t="str">
        <f t="array" ref="O53">IF(NOW()&gt;AZ53,"",IF(AND((WEEKDAY($A53)+$B$2)&gt;1,((WEEKDAY($A53)+$T$2)&lt;7),(WEEKDAY($A53)&lt;&gt;1)),"work",(INDEX(Subject!$A:$I,MATCH(RANDBETWEEN(1,(MAX(Subject!$B:$B))),Subject!$B:$B,0),3))))</f>
        <v/>
      </c>
      <c r="P53" s="2" t="str">
        <f t="array" ref="P53">IF(NOW()&gt;BA53,"",IF(AND((WEEKDAY($A53)+$B$2)&gt;1,((WEEKDAY($A53)+$T$2)&lt;7),(WEEKDAY($A53)&lt;&gt;1)),"work",(INDEX(Subject!$A:$I,MATCH(RANDBETWEEN(1,(MAX(Subject!$B:$B))),Subject!$B:$B,0),3))))</f>
        <v/>
      </c>
      <c r="Q53" s="2" t="str">
        <f t="array" ref="Q53">IF(NOW()&gt;BB53,"",IF(AND((WEEKDAY($A53)+$B$2)&gt;1,((WEEKDAY($A53)+$T$2)&lt;7),(WEEKDAY($A53)&lt;&gt;1)),"work",(INDEX(Subject!$A:$I,MATCH(RANDBETWEEN(1,(MAX(Subject!$B:$B))),Subject!$B:$B,0),3))))</f>
        <v/>
      </c>
      <c r="R53" s="2" t="str">
        <f t="array" ref="R53">IF(NOW()&gt;BC53,"",IF(AND((WEEKDAY($A53)+$B$2)&gt;1,((WEEKDAY($A53)+$T$2)&lt;7),(WEEKDAY($A53)&lt;&gt;1)),"work",(INDEX(Subject!$A:$I,MATCH(RANDBETWEEN(1,(MAX(Subject!$B:$B))),Subject!$B:$B,0),3))))</f>
        <v/>
      </c>
      <c r="S53" s="2" t="str">
        <f t="array" ref="S53">IF(NOW()&gt;BD53,"",IF(AND((WEEKDAY($A53)+$B$2)&gt;1,((WEEKDAY($A53)+$T$2)&lt;7),(WEEKDAY($A53)&lt;&gt;1)),"work",(INDEX(Subject!$A:$I,MATCH(RANDBETWEEN(1,(MAX(Subject!$B:$B))),Subject!$B:$B,0),3))))</f>
        <v/>
      </c>
      <c r="T53" s="2" t="str">
        <f t="array" ref="T53">IF(NOW()&gt;BE53,"",IF(AND((WEEKDAY($A53)+$B$2)&gt;1,((WEEKDAY($A53)+$T$2)&lt;7),(WEEKDAY($A53)&lt;&gt;1)),"work",(INDEX(Subject!$A:$I,MATCH(RANDBETWEEN(1,(MAX(Subject!$B:$B))),Subject!$B:$B,0),3))))</f>
        <v/>
      </c>
      <c r="U53" s="8" t="str">
        <f t="array" ref="U53">INDEX(Subject!$A:$I,MATCH(RANDBETWEEN(1,16),Subject!$B:$B,0),3)</f>
        <v>#N/A</v>
      </c>
      <c r="V53" s="8" t="str">
        <f t="array" ref="V53">INDEX(Subject!$A:$I,MATCH(RANDBETWEEN(1,16),Subject!$B:$B,0),3)</f>
        <v>#N/A</v>
      </c>
      <c r="W53" s="8" t="str">
        <f t="array" ref="W53">INDEX(Subject!$A:$I,MATCH(RANDBETWEEN(1,16),Subject!$B:$B,0),3)</f>
        <v>#N/A</v>
      </c>
      <c r="X53" s="8" t="str">
        <f t="array" ref="X53">INDEX(Subject!$A:$I,MATCH(RANDBETWEEN(1,16),Subject!$B:$B,0),3)</f>
        <v>#N/A</v>
      </c>
      <c r="Y53" s="8" t="str">
        <f t="array" ref="Y53">INDEX(Subject!$A:$I,MATCH(RANDBETWEEN(1,16),Subject!$B:$B,0),3)</f>
        <v>#N/A</v>
      </c>
      <c r="Z53" s="8" t="str">
        <f t="array" ref="Z53">INDEX(Subject!$A:$I,MATCH(RANDBETWEEN(1,16),Subject!$B:$B,0),3)</f>
        <v>#N/A</v>
      </c>
      <c r="AA53" s="8" t="str">
        <f t="array" ref="AA53">INDEX(Subject!$A:$I,MATCH(RANDBETWEEN(1,16),Subject!$B:$B,0),3)</f>
        <v/>
      </c>
      <c r="AB53" s="8" t="str">
        <f t="array" ref="AB53">INDEX(Subject!$A:$I,MATCH(RANDBETWEEN(1,16),Subject!$B:$B,0),3)</f>
        <v>#N/A</v>
      </c>
      <c r="AC53" s="8" t="str">
        <f t="array" ref="AC53">INDEX(Subject!$A:$I,MATCH(RANDBETWEEN(1,16),Subject!$B:$B,0),3)</f>
        <v>#N/A</v>
      </c>
      <c r="AD53" s="8" t="str">
        <f t="array" ref="AD53">INDEX(Subject!$A:$I,MATCH(RANDBETWEEN(1,16),Subject!$B:$B,0),3)</f>
        <v>#N/A</v>
      </c>
      <c r="AE53" s="8" t="str">
        <f t="array" ref="AE53">INDEX(Subject!$A:$I,MATCH(RANDBETWEEN(1,16),Subject!$B:$B,0),3)</f>
        <v>#N/A</v>
      </c>
      <c r="AF53" s="8" t="str">
        <f t="array" ref="AF53">INDEX(Subject!$A:$I,MATCH(RANDBETWEEN(1,16),Subject!$B:$B,0),3)</f>
        <v/>
      </c>
      <c r="AG53" s="8" t="str">
        <f t="array" ref="AG53">INDEX(Subject!$A:$I,MATCH(RANDBETWEEN(1,16),Subject!$B:$B,0),3)</f>
        <v>#N/A</v>
      </c>
      <c r="AH53" s="8" t="str">
        <f t="array" ref="AH53">INDEX(Subject!$A:$I,MATCH(RANDBETWEEN(1,16),Subject!$B:$B,0),3)</f>
        <v/>
      </c>
      <c r="AI53" s="8" t="str">
        <f t="array" ref="AI53">INDEX(Subject!$A:$I,MATCH(RANDBETWEEN(1,16),Subject!$B:$B,0),3)</f>
        <v>#N/A</v>
      </c>
      <c r="AJ53" s="8" t="str">
        <f t="array" ref="AJ53">INDEX(Subject!$A:$I,MATCH(RANDBETWEEN(1,16),Subject!$B:$B,0),3)</f>
        <v>#N/A</v>
      </c>
      <c r="AK53" s="8" t="str">
        <f t="array" ref="AK53">INDEX(Subject!$A:$I,MATCH(RANDBETWEEN(1,16),Subject!$B:$B,0),3)</f>
        <v>#N/A</v>
      </c>
      <c r="AL53" s="8" t="str">
        <f t="array" ref="AL53">INDEX(Subject!$A:$I,MATCH(RANDBETWEEN(1,16),Subject!$B:$B,0),3)</f>
        <v>#N/A</v>
      </c>
      <c r="AM53" s="18">
        <f t="shared" si="4"/>
        <v>45553.33333</v>
      </c>
      <c r="AN53" s="19">
        <f t="shared" ref="AN53:BZ53" si="53">$A53+C$1</f>
        <v>45553.35417</v>
      </c>
      <c r="AO53" s="19">
        <f t="shared" si="53"/>
        <v>45553.375</v>
      </c>
      <c r="AP53" s="19">
        <f t="shared" si="53"/>
        <v>45553.39583</v>
      </c>
      <c r="AQ53" s="19">
        <f t="shared" si="53"/>
        <v>45553.41667</v>
      </c>
      <c r="AR53" s="19">
        <f t="shared" si="53"/>
        <v>45553.4375</v>
      </c>
      <c r="AS53" s="19">
        <f t="shared" si="53"/>
        <v>45553.45833</v>
      </c>
      <c r="AT53" s="19">
        <f t="shared" si="53"/>
        <v>45553.47917</v>
      </c>
      <c r="AU53" s="19">
        <f t="shared" si="53"/>
        <v>45553.5</v>
      </c>
      <c r="AV53" s="19">
        <f t="shared" si="53"/>
        <v>45553.52083</v>
      </c>
      <c r="AW53" s="19">
        <f t="shared" si="53"/>
        <v>45553.54167</v>
      </c>
      <c r="AX53" s="19">
        <f t="shared" si="53"/>
        <v>45553.5625</v>
      </c>
      <c r="AY53" s="19">
        <f t="shared" si="53"/>
        <v>45553.58333</v>
      </c>
      <c r="AZ53" s="19">
        <f t="shared" si="53"/>
        <v>45553.60417</v>
      </c>
      <c r="BA53" s="19">
        <f t="shared" si="53"/>
        <v>45553.625</v>
      </c>
      <c r="BB53" s="19">
        <f t="shared" si="53"/>
        <v>45553.64583</v>
      </c>
      <c r="BC53" s="19">
        <f t="shared" si="53"/>
        <v>45553.66667</v>
      </c>
      <c r="BD53" s="19">
        <f t="shared" si="53"/>
        <v>45553.6875</v>
      </c>
      <c r="BE53" s="19">
        <f t="shared" si="53"/>
        <v>45553.70833</v>
      </c>
      <c r="BF53" s="19">
        <f t="shared" si="53"/>
        <v>45553.72917</v>
      </c>
      <c r="BG53" s="19">
        <f t="shared" si="53"/>
        <v>45553.75</v>
      </c>
      <c r="BH53" s="19">
        <f t="shared" si="53"/>
        <v>45553.77083</v>
      </c>
      <c r="BI53" s="19">
        <f t="shared" si="53"/>
        <v>45553.79167</v>
      </c>
      <c r="BJ53" s="19">
        <f t="shared" si="53"/>
        <v>45553.8125</v>
      </c>
      <c r="BK53" s="19">
        <f t="shared" si="53"/>
        <v>45553.83333</v>
      </c>
      <c r="BL53" s="19">
        <f t="shared" si="53"/>
        <v>45553.85417</v>
      </c>
      <c r="BM53" s="19">
        <f t="shared" si="53"/>
        <v>45553.875</v>
      </c>
      <c r="BN53" s="19">
        <f t="shared" si="53"/>
        <v>45553.89583</v>
      </c>
      <c r="BO53" s="19">
        <f t="shared" si="53"/>
        <v>45553.91667</v>
      </c>
      <c r="BP53" s="19">
        <f t="shared" si="53"/>
        <v>45553.9375</v>
      </c>
      <c r="BQ53" s="19">
        <f t="shared" si="53"/>
        <v>45553.95833</v>
      </c>
      <c r="BR53" s="19">
        <f t="shared" si="53"/>
        <v>45553.97917</v>
      </c>
      <c r="BS53" s="19">
        <f t="shared" si="53"/>
        <v>45554</v>
      </c>
      <c r="BT53" s="19">
        <f t="shared" si="53"/>
        <v>45554.02083</v>
      </c>
      <c r="BU53" s="19">
        <f t="shared" si="53"/>
        <v>45554.04167</v>
      </c>
      <c r="BV53" s="19">
        <f t="shared" si="53"/>
        <v>45554.0625</v>
      </c>
      <c r="BW53" s="19">
        <f t="shared" si="53"/>
        <v>45554.08333</v>
      </c>
      <c r="BX53" s="19">
        <f t="shared" si="53"/>
        <v>45553</v>
      </c>
      <c r="BY53" s="19">
        <f t="shared" si="53"/>
        <v>45553</v>
      </c>
      <c r="BZ53" s="19">
        <f t="shared" si="53"/>
        <v>45553</v>
      </c>
    </row>
    <row r="54" ht="14.25" customHeight="1">
      <c r="A54" s="17">
        <v>45554.0</v>
      </c>
      <c r="B54" s="2" t="str">
        <f t="array" ref="B54">IF(NOW()&gt;AM54,"",IF(AND((WEEKDAY($A54)+$B$2)&gt;1,((WEEKDAY($A54)+$T$2)&lt;7),(WEEKDAY($A54)&lt;&gt;1)),"work",(INDEX(Subject!$A:$I,MATCH(RANDBETWEEN(1,(MAX(Subject!$B:$B))),Subject!$B:$B,0),3))))</f>
        <v/>
      </c>
      <c r="C54" s="2" t="str">
        <f t="array" ref="C54">IF(NOW()&gt;AN54,"",IF(AND((WEEKDAY($A54)+$B$2)&gt;1,((WEEKDAY($A54)+$T$2)&lt;7),(WEEKDAY($A54)&lt;&gt;1)),"work",(INDEX(Subject!$A:$I,MATCH(RANDBETWEEN(1,(MAX(Subject!$B:$B))),Subject!$B:$B,0),3))))</f>
        <v/>
      </c>
      <c r="D54" s="2" t="str">
        <f t="array" ref="D54">IF(NOW()&gt;AO54,"",IF(AND((WEEKDAY($A54)+$B$2)&gt;1,((WEEKDAY($A54)+$T$2)&lt;7),(WEEKDAY($A54)&lt;&gt;1)),"work",(INDEX(Subject!$A:$I,MATCH(RANDBETWEEN(1,(MAX(Subject!$B:$B))),Subject!$B:$B,0),3))))</f>
        <v/>
      </c>
      <c r="E54" s="2" t="str">
        <f t="array" ref="E54">IF(NOW()&gt;AP54,"",IF(AND((WEEKDAY($A54)+$B$2)&gt;1,((WEEKDAY($A54)+$T$2)&lt;7),(WEEKDAY($A54)&lt;&gt;1)),"work",(INDEX(Subject!$A:$I,MATCH(RANDBETWEEN(1,(MAX(Subject!$B:$B))),Subject!$B:$B,0),3))))</f>
        <v/>
      </c>
      <c r="F54" s="2" t="str">
        <f t="array" ref="F54">IF(NOW()&gt;AQ54,"",IF(AND((WEEKDAY($A54)+$B$2)&gt;1,((WEEKDAY($A54)+$T$2)&lt;7),(WEEKDAY($A54)&lt;&gt;1)),"work",(INDEX(Subject!$A:$I,MATCH(RANDBETWEEN(1,(MAX(Subject!$B:$B))),Subject!$B:$B,0),3))))</f>
        <v/>
      </c>
      <c r="G54" s="2" t="str">
        <f t="array" ref="G54">IF(NOW()&gt;AR54,"",IF(AND((WEEKDAY($A54)+$B$2)&gt;1,((WEEKDAY($A54)+$T$2)&lt;7),(WEEKDAY($A54)&lt;&gt;1)),"work",(INDEX(Subject!$A:$I,MATCH(RANDBETWEEN(1,(MAX(Subject!$B:$B))),Subject!$B:$B,0),3))))</f>
        <v/>
      </c>
      <c r="H54" s="2" t="str">
        <f t="array" ref="H54">IF(NOW()&gt;AS54,"",IF(AND((WEEKDAY($A54)+$B$2)&gt;1,((WEEKDAY($A54)+$T$2)&lt;7),(WEEKDAY($A54)&lt;&gt;1)),"work",(INDEX(Subject!$A:$I,MATCH(RANDBETWEEN(1,(MAX(Subject!$B:$B))),Subject!$B:$B,0),3))))</f>
        <v/>
      </c>
      <c r="I54" s="2" t="str">
        <f t="array" ref="I54">IF(NOW()&gt;AT54,"",IF(AND((WEEKDAY($A54)+$B$2)&gt;1,((WEEKDAY($A54)+$T$2)&lt;7),(WEEKDAY($A54)&lt;&gt;1)),"work",(INDEX(Subject!$A:$I,MATCH(RANDBETWEEN(1,(MAX(Subject!$B:$B))),Subject!$B:$B,0),3))))</f>
        <v/>
      </c>
      <c r="J54" s="2" t="str">
        <f t="array" ref="J54">IF(NOW()&gt;AU54,"",IF(AND((WEEKDAY($A54)+$B$2)&gt;1,((WEEKDAY($A54)+$T$2)&lt;7),(WEEKDAY($A54)&lt;&gt;1)),"work",(INDEX(Subject!$A:$I,MATCH(RANDBETWEEN(1,(MAX(Subject!$B:$B))),Subject!$B:$B,0),3))))</f>
        <v/>
      </c>
      <c r="K54" s="2" t="str">
        <f t="array" ref="K54">IF(NOW()&gt;AV54,"",IF(AND((WEEKDAY($A54)+$B$2)&gt;1,((WEEKDAY($A54)+$T$2)&lt;7),(WEEKDAY($A54)&lt;&gt;1)),"work",(INDEX(Subject!$A:$I,MATCH(RANDBETWEEN(1,(MAX(Subject!$B:$B))),Subject!$B:$B,0),3))))</f>
        <v/>
      </c>
      <c r="L54" s="2" t="str">
        <f t="array" ref="L54">IF(NOW()&gt;AW54,"",IF(AND((WEEKDAY($A54)+$B$2)&gt;1,((WEEKDAY($A54)+$T$2)&lt;7),(WEEKDAY($A54)&lt;&gt;1)),"work",(INDEX(Subject!$A:$I,MATCH(RANDBETWEEN(1,(MAX(Subject!$B:$B))),Subject!$B:$B,0),3))))</f>
        <v/>
      </c>
      <c r="M54" s="2" t="str">
        <f t="array" ref="M54">IF(NOW()&gt;AX54,"",IF(AND((WEEKDAY($A54)+$B$2)&gt;1,((WEEKDAY($A54)+$T$2)&lt;7),(WEEKDAY($A54)&lt;&gt;1)),"work",(INDEX(Subject!$A:$I,MATCH(RANDBETWEEN(1,(MAX(Subject!$B:$B))),Subject!$B:$B,0),3))))</f>
        <v/>
      </c>
      <c r="N54" s="2" t="str">
        <f t="array" ref="N54">IF(NOW()&gt;AY54,"",IF(AND((WEEKDAY($A54)+$B$2)&gt;1,((WEEKDAY($A54)+$T$2)&lt;7),(WEEKDAY($A54)&lt;&gt;1)),"work",(INDEX(Subject!$A:$I,MATCH(RANDBETWEEN(1,(MAX(Subject!$B:$B))),Subject!$B:$B,0),3))))</f>
        <v/>
      </c>
      <c r="O54" s="2" t="str">
        <f t="array" ref="O54">IF(NOW()&gt;AZ54,"",IF(AND((WEEKDAY($A54)+$B$2)&gt;1,((WEEKDAY($A54)+$T$2)&lt;7),(WEEKDAY($A54)&lt;&gt;1)),"work",(INDEX(Subject!$A:$I,MATCH(RANDBETWEEN(1,(MAX(Subject!$B:$B))),Subject!$B:$B,0),3))))</f>
        <v/>
      </c>
      <c r="P54" s="2" t="str">
        <f t="array" ref="P54">IF(NOW()&gt;BA54,"",IF(AND((WEEKDAY($A54)+$B$2)&gt;1,((WEEKDAY($A54)+$T$2)&lt;7),(WEEKDAY($A54)&lt;&gt;1)),"work",(INDEX(Subject!$A:$I,MATCH(RANDBETWEEN(1,(MAX(Subject!$B:$B))),Subject!$B:$B,0),3))))</f>
        <v/>
      </c>
      <c r="Q54" s="2" t="str">
        <f t="array" ref="Q54">IF(NOW()&gt;BB54,"",IF(AND((WEEKDAY($A54)+$B$2)&gt;1,((WEEKDAY($A54)+$T$2)&lt;7),(WEEKDAY($A54)&lt;&gt;1)),"work",(INDEX(Subject!$A:$I,MATCH(RANDBETWEEN(1,(MAX(Subject!$B:$B))),Subject!$B:$B,0),3))))</f>
        <v/>
      </c>
      <c r="R54" s="2" t="str">
        <f t="array" ref="R54">IF(NOW()&gt;BC54,"",IF(AND((WEEKDAY($A54)+$B$2)&gt;1,((WEEKDAY($A54)+$T$2)&lt;7),(WEEKDAY($A54)&lt;&gt;1)),"work",(INDEX(Subject!$A:$I,MATCH(RANDBETWEEN(1,(MAX(Subject!$B:$B))),Subject!$B:$B,0),3))))</f>
        <v/>
      </c>
      <c r="S54" s="2" t="str">
        <f t="array" ref="S54">IF(NOW()&gt;BD54,"",IF(AND((WEEKDAY($A54)+$B$2)&gt;1,((WEEKDAY($A54)+$T$2)&lt;7),(WEEKDAY($A54)&lt;&gt;1)),"work",(INDEX(Subject!$A:$I,MATCH(RANDBETWEEN(1,(MAX(Subject!$B:$B))),Subject!$B:$B,0),3))))</f>
        <v/>
      </c>
      <c r="T54" s="2" t="str">
        <f t="array" ref="T54">IF(NOW()&gt;BE54,"",IF(AND((WEEKDAY($A54)+$B$2)&gt;1,((WEEKDAY($A54)+$T$2)&lt;7),(WEEKDAY($A54)&lt;&gt;1)),"work",(INDEX(Subject!$A:$I,MATCH(RANDBETWEEN(1,(MAX(Subject!$B:$B))),Subject!$B:$B,0),3))))</f>
        <v/>
      </c>
      <c r="U54" s="8" t="str">
        <f t="array" ref="U54">INDEX(Subject!$A:$I,MATCH(RANDBETWEEN(1,16),Subject!$B:$B,0),3)</f>
        <v>#N/A</v>
      </c>
      <c r="V54" s="8" t="str">
        <f t="array" ref="V54">INDEX(Subject!$A:$I,MATCH(RANDBETWEEN(1,16),Subject!$B:$B,0),3)</f>
        <v>#N/A</v>
      </c>
      <c r="W54" s="8" t="str">
        <f t="array" ref="W54">INDEX(Subject!$A:$I,MATCH(RANDBETWEEN(1,16),Subject!$B:$B,0),3)</f>
        <v>#N/A</v>
      </c>
      <c r="X54" s="8" t="str">
        <f t="array" ref="X54">INDEX(Subject!$A:$I,MATCH(RANDBETWEEN(1,16),Subject!$B:$B,0),3)</f>
        <v>#N/A</v>
      </c>
      <c r="Y54" s="8" t="str">
        <f t="array" ref="Y54">INDEX(Subject!$A:$I,MATCH(RANDBETWEEN(1,16),Subject!$B:$B,0),3)</f>
        <v>#N/A</v>
      </c>
      <c r="Z54" s="8" t="str">
        <f t="array" ref="Z54">INDEX(Subject!$A:$I,MATCH(RANDBETWEEN(1,16),Subject!$B:$B,0),3)</f>
        <v/>
      </c>
      <c r="AA54" s="8" t="str">
        <f t="array" ref="AA54">INDEX(Subject!$A:$I,MATCH(RANDBETWEEN(1,16),Subject!$B:$B,0),3)</f>
        <v>#N/A</v>
      </c>
      <c r="AB54" s="8" t="str">
        <f t="array" ref="AB54">INDEX(Subject!$A:$I,MATCH(RANDBETWEEN(1,16),Subject!$B:$B,0),3)</f>
        <v>#N/A</v>
      </c>
      <c r="AC54" s="8" t="str">
        <f t="array" ref="AC54">INDEX(Subject!$A:$I,MATCH(RANDBETWEEN(1,16),Subject!$B:$B,0),3)</f>
        <v>#N/A</v>
      </c>
      <c r="AD54" s="8" t="str">
        <f t="array" ref="AD54">INDEX(Subject!$A:$I,MATCH(RANDBETWEEN(1,16),Subject!$B:$B,0),3)</f>
        <v>#N/A</v>
      </c>
      <c r="AE54" s="8" t="str">
        <f t="array" ref="AE54">INDEX(Subject!$A:$I,MATCH(RANDBETWEEN(1,16),Subject!$B:$B,0),3)</f>
        <v>#N/A</v>
      </c>
      <c r="AF54" s="8" t="str">
        <f t="array" ref="AF54">INDEX(Subject!$A:$I,MATCH(RANDBETWEEN(1,16),Subject!$B:$B,0),3)</f>
        <v>#N/A</v>
      </c>
      <c r="AG54" s="8" t="str">
        <f t="array" ref="AG54">INDEX(Subject!$A:$I,MATCH(RANDBETWEEN(1,16),Subject!$B:$B,0),3)</f>
        <v>#N/A</v>
      </c>
      <c r="AH54" s="8" t="str">
        <f t="array" ref="AH54">INDEX(Subject!$A:$I,MATCH(RANDBETWEEN(1,16),Subject!$B:$B,0),3)</f>
        <v>#N/A</v>
      </c>
      <c r="AI54" s="8" t="str">
        <f t="array" ref="AI54">INDEX(Subject!$A:$I,MATCH(RANDBETWEEN(1,16),Subject!$B:$B,0),3)</f>
        <v>#N/A</v>
      </c>
      <c r="AJ54" s="8" t="str">
        <f t="array" ref="AJ54">INDEX(Subject!$A:$I,MATCH(RANDBETWEEN(1,16),Subject!$B:$B,0),3)</f>
        <v>#N/A</v>
      </c>
      <c r="AK54" s="8" t="str">
        <f t="array" ref="AK54">INDEX(Subject!$A:$I,MATCH(RANDBETWEEN(1,16),Subject!$B:$B,0),3)</f>
        <v>#N/A</v>
      </c>
      <c r="AL54" s="8" t="str">
        <f t="array" ref="AL54">INDEX(Subject!$A:$I,MATCH(RANDBETWEEN(1,16),Subject!$B:$B,0),3)</f>
        <v>#N/A</v>
      </c>
      <c r="AM54" s="18">
        <f t="shared" si="4"/>
        <v>45554.33333</v>
      </c>
      <c r="AN54" s="19">
        <f t="shared" ref="AN54:BZ54" si="54">$A54+C$1</f>
        <v>45554.35417</v>
      </c>
      <c r="AO54" s="19">
        <f t="shared" si="54"/>
        <v>45554.375</v>
      </c>
      <c r="AP54" s="19">
        <f t="shared" si="54"/>
        <v>45554.39583</v>
      </c>
      <c r="AQ54" s="19">
        <f t="shared" si="54"/>
        <v>45554.41667</v>
      </c>
      <c r="AR54" s="19">
        <f t="shared" si="54"/>
        <v>45554.4375</v>
      </c>
      <c r="AS54" s="19">
        <f t="shared" si="54"/>
        <v>45554.45833</v>
      </c>
      <c r="AT54" s="19">
        <f t="shared" si="54"/>
        <v>45554.47917</v>
      </c>
      <c r="AU54" s="19">
        <f t="shared" si="54"/>
        <v>45554.5</v>
      </c>
      <c r="AV54" s="19">
        <f t="shared" si="54"/>
        <v>45554.52083</v>
      </c>
      <c r="AW54" s="19">
        <f t="shared" si="54"/>
        <v>45554.54167</v>
      </c>
      <c r="AX54" s="19">
        <f t="shared" si="54"/>
        <v>45554.5625</v>
      </c>
      <c r="AY54" s="19">
        <f t="shared" si="54"/>
        <v>45554.58333</v>
      </c>
      <c r="AZ54" s="19">
        <f t="shared" si="54"/>
        <v>45554.60417</v>
      </c>
      <c r="BA54" s="19">
        <f t="shared" si="54"/>
        <v>45554.625</v>
      </c>
      <c r="BB54" s="19">
        <f t="shared" si="54"/>
        <v>45554.64583</v>
      </c>
      <c r="BC54" s="19">
        <f t="shared" si="54"/>
        <v>45554.66667</v>
      </c>
      <c r="BD54" s="19">
        <f t="shared" si="54"/>
        <v>45554.6875</v>
      </c>
      <c r="BE54" s="19">
        <f t="shared" si="54"/>
        <v>45554.70833</v>
      </c>
      <c r="BF54" s="19">
        <f t="shared" si="54"/>
        <v>45554.72917</v>
      </c>
      <c r="BG54" s="19">
        <f t="shared" si="54"/>
        <v>45554.75</v>
      </c>
      <c r="BH54" s="19">
        <f t="shared" si="54"/>
        <v>45554.77083</v>
      </c>
      <c r="BI54" s="19">
        <f t="shared" si="54"/>
        <v>45554.79167</v>
      </c>
      <c r="BJ54" s="19">
        <f t="shared" si="54"/>
        <v>45554.8125</v>
      </c>
      <c r="BK54" s="19">
        <f t="shared" si="54"/>
        <v>45554.83333</v>
      </c>
      <c r="BL54" s="19">
        <f t="shared" si="54"/>
        <v>45554.85417</v>
      </c>
      <c r="BM54" s="19">
        <f t="shared" si="54"/>
        <v>45554.875</v>
      </c>
      <c r="BN54" s="19">
        <f t="shared" si="54"/>
        <v>45554.89583</v>
      </c>
      <c r="BO54" s="19">
        <f t="shared" si="54"/>
        <v>45554.91667</v>
      </c>
      <c r="BP54" s="19">
        <f t="shared" si="54"/>
        <v>45554.9375</v>
      </c>
      <c r="BQ54" s="19">
        <f t="shared" si="54"/>
        <v>45554.95833</v>
      </c>
      <c r="BR54" s="19">
        <f t="shared" si="54"/>
        <v>45554.97917</v>
      </c>
      <c r="BS54" s="19">
        <f t="shared" si="54"/>
        <v>45555</v>
      </c>
      <c r="BT54" s="19">
        <f t="shared" si="54"/>
        <v>45555.02083</v>
      </c>
      <c r="BU54" s="19">
        <f t="shared" si="54"/>
        <v>45555.04167</v>
      </c>
      <c r="BV54" s="19">
        <f t="shared" si="54"/>
        <v>45555.0625</v>
      </c>
      <c r="BW54" s="19">
        <f t="shared" si="54"/>
        <v>45555.08333</v>
      </c>
      <c r="BX54" s="19">
        <f t="shared" si="54"/>
        <v>45554</v>
      </c>
      <c r="BY54" s="19">
        <f t="shared" si="54"/>
        <v>45554</v>
      </c>
      <c r="BZ54" s="19">
        <f t="shared" si="54"/>
        <v>45554</v>
      </c>
    </row>
    <row r="55" ht="14.25" customHeight="1">
      <c r="A55" s="17">
        <v>45555.0</v>
      </c>
      <c r="B55" s="2" t="str">
        <f t="array" ref="B55">IF(NOW()&gt;AM55,"",IF(AND((WEEKDAY($A55)+$B$2)&gt;1,((WEEKDAY($A55)+$T$2)&lt;7),(WEEKDAY($A55)&lt;&gt;1)),"work",(INDEX(Subject!$A:$I,MATCH(RANDBETWEEN(1,(MAX(Subject!$B:$B))),Subject!$B:$B,0),3))))</f>
        <v/>
      </c>
      <c r="C55" s="2" t="str">
        <f t="array" ref="C55">IF(NOW()&gt;AN55,"",IF(AND((WEEKDAY($A55)+$B$2)&gt;1,((WEEKDAY($A55)+$T$2)&lt;7),(WEEKDAY($A55)&lt;&gt;1)),"work",(INDEX(Subject!$A:$I,MATCH(RANDBETWEEN(1,(MAX(Subject!$B:$B))),Subject!$B:$B,0),3))))</f>
        <v/>
      </c>
      <c r="D55" s="2" t="str">
        <f t="array" ref="D55">IF(NOW()&gt;AO55,"",IF(AND((WEEKDAY($A55)+$B$2)&gt;1,((WEEKDAY($A55)+$T$2)&lt;7),(WEEKDAY($A55)&lt;&gt;1)),"work",(INDEX(Subject!$A:$I,MATCH(RANDBETWEEN(1,(MAX(Subject!$B:$B))),Subject!$B:$B,0),3))))</f>
        <v/>
      </c>
      <c r="E55" s="2" t="str">
        <f t="array" ref="E55">IF(NOW()&gt;AP55,"",IF(AND((WEEKDAY($A55)+$B$2)&gt;1,((WEEKDAY($A55)+$T$2)&lt;7),(WEEKDAY($A55)&lt;&gt;1)),"work",(INDEX(Subject!$A:$I,MATCH(RANDBETWEEN(1,(MAX(Subject!$B:$B))),Subject!$B:$B,0),3))))</f>
        <v/>
      </c>
      <c r="F55" s="2" t="str">
        <f t="array" ref="F55">IF(NOW()&gt;AQ55,"",IF(AND((WEEKDAY($A55)+$B$2)&gt;1,((WEEKDAY($A55)+$T$2)&lt;7),(WEEKDAY($A55)&lt;&gt;1)),"work",(INDEX(Subject!$A:$I,MATCH(RANDBETWEEN(1,(MAX(Subject!$B:$B))),Subject!$B:$B,0),3))))</f>
        <v/>
      </c>
      <c r="G55" s="2" t="str">
        <f t="array" ref="G55">IF(NOW()&gt;AR55,"",IF(AND((WEEKDAY($A55)+$B$2)&gt;1,((WEEKDAY($A55)+$T$2)&lt;7),(WEEKDAY($A55)&lt;&gt;1)),"work",(INDEX(Subject!$A:$I,MATCH(RANDBETWEEN(1,(MAX(Subject!$B:$B))),Subject!$B:$B,0),3))))</f>
        <v/>
      </c>
      <c r="H55" s="2" t="str">
        <f t="array" ref="H55">IF(NOW()&gt;AS55,"",IF(AND((WEEKDAY($A55)+$B$2)&gt;1,((WEEKDAY($A55)+$T$2)&lt;7),(WEEKDAY($A55)&lt;&gt;1)),"work",(INDEX(Subject!$A:$I,MATCH(RANDBETWEEN(1,(MAX(Subject!$B:$B))),Subject!$B:$B,0),3))))</f>
        <v/>
      </c>
      <c r="I55" s="2" t="str">
        <f t="array" ref="I55">IF(NOW()&gt;AT55,"",IF(AND((WEEKDAY($A55)+$B$2)&gt;1,((WEEKDAY($A55)+$T$2)&lt;7),(WEEKDAY($A55)&lt;&gt;1)),"work",(INDEX(Subject!$A:$I,MATCH(RANDBETWEEN(1,(MAX(Subject!$B:$B))),Subject!$B:$B,0),3))))</f>
        <v/>
      </c>
      <c r="J55" s="2" t="str">
        <f t="array" ref="J55">IF(NOW()&gt;AU55,"",IF(AND((WEEKDAY($A55)+$B$2)&gt;1,((WEEKDAY($A55)+$T$2)&lt;7),(WEEKDAY($A55)&lt;&gt;1)),"work",(INDEX(Subject!$A:$I,MATCH(RANDBETWEEN(1,(MAX(Subject!$B:$B))),Subject!$B:$B,0),3))))</f>
        <v/>
      </c>
      <c r="K55" s="2" t="str">
        <f t="array" ref="K55">IF(NOW()&gt;AV55,"",IF(AND((WEEKDAY($A55)+$B$2)&gt;1,((WEEKDAY($A55)+$T$2)&lt;7),(WEEKDAY($A55)&lt;&gt;1)),"work",(INDEX(Subject!$A:$I,MATCH(RANDBETWEEN(1,(MAX(Subject!$B:$B))),Subject!$B:$B,0),3))))</f>
        <v/>
      </c>
      <c r="L55" s="2" t="str">
        <f t="array" ref="L55">IF(NOW()&gt;AW55,"",IF(AND((WEEKDAY($A55)+$B$2)&gt;1,((WEEKDAY($A55)+$T$2)&lt;7),(WEEKDAY($A55)&lt;&gt;1)),"work",(INDEX(Subject!$A:$I,MATCH(RANDBETWEEN(1,(MAX(Subject!$B:$B))),Subject!$B:$B,0),3))))</f>
        <v/>
      </c>
      <c r="M55" s="2" t="str">
        <f t="array" ref="M55">IF(NOW()&gt;AX55,"",IF(AND((WEEKDAY($A55)+$B$2)&gt;1,((WEEKDAY($A55)+$T$2)&lt;7),(WEEKDAY($A55)&lt;&gt;1)),"work",(INDEX(Subject!$A:$I,MATCH(RANDBETWEEN(1,(MAX(Subject!$B:$B))),Subject!$B:$B,0),3))))</f>
        <v/>
      </c>
      <c r="N55" s="2" t="str">
        <f t="array" ref="N55">IF(NOW()&gt;AY55,"",IF(AND((WEEKDAY($A55)+$B$2)&gt;1,((WEEKDAY($A55)+$T$2)&lt;7),(WEEKDAY($A55)&lt;&gt;1)),"work",(INDEX(Subject!$A:$I,MATCH(RANDBETWEEN(1,(MAX(Subject!$B:$B))),Subject!$B:$B,0),3))))</f>
        <v/>
      </c>
      <c r="O55" s="2" t="str">
        <f t="array" ref="O55">IF(NOW()&gt;AZ55,"",IF(AND((WEEKDAY($A55)+$B$2)&gt;1,((WEEKDAY($A55)+$T$2)&lt;7),(WEEKDAY($A55)&lt;&gt;1)),"work",(INDEX(Subject!$A:$I,MATCH(RANDBETWEEN(1,(MAX(Subject!$B:$B))),Subject!$B:$B,0),3))))</f>
        <v/>
      </c>
      <c r="P55" s="2" t="str">
        <f t="array" ref="P55">IF(NOW()&gt;BA55,"",IF(AND((WEEKDAY($A55)+$B$2)&gt;1,((WEEKDAY($A55)+$T$2)&lt;7),(WEEKDAY($A55)&lt;&gt;1)),"work",(INDEX(Subject!$A:$I,MATCH(RANDBETWEEN(1,(MAX(Subject!$B:$B))),Subject!$B:$B,0),3))))</f>
        <v/>
      </c>
      <c r="Q55" s="2" t="str">
        <f t="array" ref="Q55">IF(NOW()&gt;BB55,"",IF(AND((WEEKDAY($A55)+$B$2)&gt;1,((WEEKDAY($A55)+$T$2)&lt;7),(WEEKDAY($A55)&lt;&gt;1)),"work",(INDEX(Subject!$A:$I,MATCH(RANDBETWEEN(1,(MAX(Subject!$B:$B))),Subject!$B:$B,0),3))))</f>
        <v/>
      </c>
      <c r="R55" s="2" t="str">
        <f t="array" ref="R55">IF(NOW()&gt;BC55,"",IF(AND((WEEKDAY($A55)+$B$2)&gt;1,((WEEKDAY($A55)+$T$2)&lt;7),(WEEKDAY($A55)&lt;&gt;1)),"work",(INDEX(Subject!$A:$I,MATCH(RANDBETWEEN(1,(MAX(Subject!$B:$B))),Subject!$B:$B,0),3))))</f>
        <v/>
      </c>
      <c r="S55" s="2" t="str">
        <f t="array" ref="S55">IF(NOW()&gt;BD55,"",IF(AND((WEEKDAY($A55)+$B$2)&gt;1,((WEEKDAY($A55)+$T$2)&lt;7),(WEEKDAY($A55)&lt;&gt;1)),"work",(INDEX(Subject!$A:$I,MATCH(RANDBETWEEN(1,(MAX(Subject!$B:$B))),Subject!$B:$B,0),3))))</f>
        <v/>
      </c>
      <c r="T55" s="2" t="str">
        <f t="array" ref="T55">IF(NOW()&gt;BE55,"",IF(AND((WEEKDAY($A55)+$B$2)&gt;1,((WEEKDAY($A55)+$T$2)&lt;7),(WEEKDAY($A55)&lt;&gt;1)),"work",(INDEX(Subject!$A:$I,MATCH(RANDBETWEEN(1,(MAX(Subject!$B:$B))),Subject!$B:$B,0),3))))</f>
        <v/>
      </c>
      <c r="U55" s="8" t="str">
        <f t="array" ref="U55">INDEX(Subject!$A:$I,MATCH(RANDBETWEEN(1,16),Subject!$B:$B,0),3)</f>
        <v>#N/A</v>
      </c>
      <c r="V55" s="8" t="str">
        <f t="array" ref="V55">INDEX(Subject!$A:$I,MATCH(RANDBETWEEN(1,16),Subject!$B:$B,0),3)</f>
        <v>#N/A</v>
      </c>
      <c r="W55" s="8" t="str">
        <f t="array" ref="W55">INDEX(Subject!$A:$I,MATCH(RANDBETWEEN(1,16),Subject!$B:$B,0),3)</f>
        <v>#N/A</v>
      </c>
      <c r="X55" s="8" t="str">
        <f t="array" ref="X55">INDEX(Subject!$A:$I,MATCH(RANDBETWEEN(1,16),Subject!$B:$B,0),3)</f>
        <v>#N/A</v>
      </c>
      <c r="Y55" s="8" t="str">
        <f t="array" ref="Y55">INDEX(Subject!$A:$I,MATCH(RANDBETWEEN(1,16),Subject!$B:$B,0),3)</f>
        <v>#N/A</v>
      </c>
      <c r="Z55" s="8" t="str">
        <f t="array" ref="Z55">INDEX(Subject!$A:$I,MATCH(RANDBETWEEN(1,16),Subject!$B:$B,0),3)</f>
        <v>#N/A</v>
      </c>
      <c r="AA55" s="8" t="str">
        <f t="array" ref="AA55">INDEX(Subject!$A:$I,MATCH(RANDBETWEEN(1,16),Subject!$B:$B,0),3)</f>
        <v>#N/A</v>
      </c>
      <c r="AB55" s="8" t="str">
        <f t="array" ref="AB55">INDEX(Subject!$A:$I,MATCH(RANDBETWEEN(1,16),Subject!$B:$B,0),3)</f>
        <v>#N/A</v>
      </c>
      <c r="AC55" s="8" t="str">
        <f t="array" ref="AC55">INDEX(Subject!$A:$I,MATCH(RANDBETWEEN(1,16),Subject!$B:$B,0),3)</f>
        <v>#N/A</v>
      </c>
      <c r="AD55" s="8" t="str">
        <f t="array" ref="AD55">INDEX(Subject!$A:$I,MATCH(RANDBETWEEN(1,16),Subject!$B:$B,0),3)</f>
        <v>#N/A</v>
      </c>
      <c r="AE55" s="8" t="str">
        <f t="array" ref="AE55">INDEX(Subject!$A:$I,MATCH(RANDBETWEEN(1,16),Subject!$B:$B,0),3)</f>
        <v>#N/A</v>
      </c>
      <c r="AF55" s="8" t="str">
        <f t="array" ref="AF55">INDEX(Subject!$A:$I,MATCH(RANDBETWEEN(1,16),Subject!$B:$B,0),3)</f>
        <v>#N/A</v>
      </c>
      <c r="AG55" s="8" t="str">
        <f t="array" ref="AG55">INDEX(Subject!$A:$I,MATCH(RANDBETWEEN(1,16),Subject!$B:$B,0),3)</f>
        <v>#N/A</v>
      </c>
      <c r="AH55" s="8" t="str">
        <f t="array" ref="AH55">INDEX(Subject!$A:$I,MATCH(RANDBETWEEN(1,16),Subject!$B:$B,0),3)</f>
        <v>#N/A</v>
      </c>
      <c r="AI55" s="8" t="str">
        <f t="array" ref="AI55">INDEX(Subject!$A:$I,MATCH(RANDBETWEEN(1,16),Subject!$B:$B,0),3)</f>
        <v>#N/A</v>
      </c>
      <c r="AJ55" s="8" t="str">
        <f t="array" ref="AJ55">INDEX(Subject!$A:$I,MATCH(RANDBETWEEN(1,16),Subject!$B:$B,0),3)</f>
        <v>#N/A</v>
      </c>
      <c r="AK55" s="8" t="str">
        <f t="array" ref="AK55">INDEX(Subject!$A:$I,MATCH(RANDBETWEEN(1,16),Subject!$B:$B,0),3)</f>
        <v>#N/A</v>
      </c>
      <c r="AL55" s="8" t="str">
        <f t="array" ref="AL55">INDEX(Subject!$A:$I,MATCH(RANDBETWEEN(1,16),Subject!$B:$B,0),3)</f>
        <v>#N/A</v>
      </c>
      <c r="AM55" s="18">
        <f t="shared" si="4"/>
        <v>45555.33333</v>
      </c>
      <c r="AN55" s="19">
        <f t="shared" ref="AN55:BZ55" si="55">$A55+C$1</f>
        <v>45555.35417</v>
      </c>
      <c r="AO55" s="19">
        <f t="shared" si="55"/>
        <v>45555.375</v>
      </c>
      <c r="AP55" s="19">
        <f t="shared" si="55"/>
        <v>45555.39583</v>
      </c>
      <c r="AQ55" s="19">
        <f t="shared" si="55"/>
        <v>45555.41667</v>
      </c>
      <c r="AR55" s="19">
        <f t="shared" si="55"/>
        <v>45555.4375</v>
      </c>
      <c r="AS55" s="19">
        <f t="shared" si="55"/>
        <v>45555.45833</v>
      </c>
      <c r="AT55" s="19">
        <f t="shared" si="55"/>
        <v>45555.47917</v>
      </c>
      <c r="AU55" s="19">
        <f t="shared" si="55"/>
        <v>45555.5</v>
      </c>
      <c r="AV55" s="19">
        <f t="shared" si="55"/>
        <v>45555.52083</v>
      </c>
      <c r="AW55" s="19">
        <f t="shared" si="55"/>
        <v>45555.54167</v>
      </c>
      <c r="AX55" s="19">
        <f t="shared" si="55"/>
        <v>45555.5625</v>
      </c>
      <c r="AY55" s="19">
        <f t="shared" si="55"/>
        <v>45555.58333</v>
      </c>
      <c r="AZ55" s="19">
        <f t="shared" si="55"/>
        <v>45555.60417</v>
      </c>
      <c r="BA55" s="19">
        <f t="shared" si="55"/>
        <v>45555.625</v>
      </c>
      <c r="BB55" s="19">
        <f t="shared" si="55"/>
        <v>45555.64583</v>
      </c>
      <c r="BC55" s="19">
        <f t="shared" si="55"/>
        <v>45555.66667</v>
      </c>
      <c r="BD55" s="19">
        <f t="shared" si="55"/>
        <v>45555.6875</v>
      </c>
      <c r="BE55" s="19">
        <f t="shared" si="55"/>
        <v>45555.70833</v>
      </c>
      <c r="BF55" s="19">
        <f t="shared" si="55"/>
        <v>45555.72917</v>
      </c>
      <c r="BG55" s="19">
        <f t="shared" si="55"/>
        <v>45555.75</v>
      </c>
      <c r="BH55" s="19">
        <f t="shared" si="55"/>
        <v>45555.77083</v>
      </c>
      <c r="BI55" s="19">
        <f t="shared" si="55"/>
        <v>45555.79167</v>
      </c>
      <c r="BJ55" s="19">
        <f t="shared" si="55"/>
        <v>45555.8125</v>
      </c>
      <c r="BK55" s="19">
        <f t="shared" si="55"/>
        <v>45555.83333</v>
      </c>
      <c r="BL55" s="19">
        <f t="shared" si="55"/>
        <v>45555.85417</v>
      </c>
      <c r="BM55" s="19">
        <f t="shared" si="55"/>
        <v>45555.875</v>
      </c>
      <c r="BN55" s="19">
        <f t="shared" si="55"/>
        <v>45555.89583</v>
      </c>
      <c r="BO55" s="19">
        <f t="shared" si="55"/>
        <v>45555.91667</v>
      </c>
      <c r="BP55" s="19">
        <f t="shared" si="55"/>
        <v>45555.9375</v>
      </c>
      <c r="BQ55" s="19">
        <f t="shared" si="55"/>
        <v>45555.95833</v>
      </c>
      <c r="BR55" s="19">
        <f t="shared" si="55"/>
        <v>45555.97917</v>
      </c>
      <c r="BS55" s="19">
        <f t="shared" si="55"/>
        <v>45556</v>
      </c>
      <c r="BT55" s="19">
        <f t="shared" si="55"/>
        <v>45556.02083</v>
      </c>
      <c r="BU55" s="19">
        <f t="shared" si="55"/>
        <v>45556.04167</v>
      </c>
      <c r="BV55" s="19">
        <f t="shared" si="55"/>
        <v>45556.0625</v>
      </c>
      <c r="BW55" s="19">
        <f t="shared" si="55"/>
        <v>45556.08333</v>
      </c>
      <c r="BX55" s="19">
        <f t="shared" si="55"/>
        <v>45555</v>
      </c>
      <c r="BY55" s="19">
        <f t="shared" si="55"/>
        <v>45555</v>
      </c>
      <c r="BZ55" s="19">
        <f t="shared" si="55"/>
        <v>45555</v>
      </c>
    </row>
    <row r="56" ht="14.25" customHeight="1">
      <c r="A56" s="17">
        <v>45556.0</v>
      </c>
      <c r="B56" s="2" t="str">
        <f t="array" ref="B56">IF(NOW()&gt;AM56,"",IF(AND((WEEKDAY($A56)+$B$2)&gt;1,((WEEKDAY($A56)+$T$2)&lt;7),(WEEKDAY($A56)&lt;&gt;1)),"work",(INDEX(Subject!$A:$I,MATCH(RANDBETWEEN(1,(MAX(Subject!$B:$B))),Subject!$B:$B,0),3))))</f>
        <v/>
      </c>
      <c r="C56" s="2" t="str">
        <f t="array" ref="C56">IF(NOW()&gt;AN56,"",IF(AND((WEEKDAY($A56)+$B$2)&gt;1,((WEEKDAY($A56)+$T$2)&lt;7),(WEEKDAY($A56)&lt;&gt;1)),"work",(INDEX(Subject!$A:$I,MATCH(RANDBETWEEN(1,(MAX(Subject!$B:$B))),Subject!$B:$B,0),3))))</f>
        <v/>
      </c>
      <c r="D56" s="2" t="str">
        <f t="array" ref="D56">IF(NOW()&gt;AO56,"",IF(AND((WEEKDAY($A56)+$B$2)&gt;1,((WEEKDAY($A56)+$T$2)&lt;7),(WEEKDAY($A56)&lt;&gt;1)),"work",(INDEX(Subject!$A:$I,MATCH(RANDBETWEEN(1,(MAX(Subject!$B:$B))),Subject!$B:$B,0),3))))</f>
        <v/>
      </c>
      <c r="E56" s="2" t="str">
        <f t="array" ref="E56">IF(NOW()&gt;AP56,"",IF(AND((WEEKDAY($A56)+$B$2)&gt;1,((WEEKDAY($A56)+$T$2)&lt;7),(WEEKDAY($A56)&lt;&gt;1)),"work",(INDEX(Subject!$A:$I,MATCH(RANDBETWEEN(1,(MAX(Subject!$B:$B))),Subject!$B:$B,0),3))))</f>
        <v/>
      </c>
      <c r="F56" s="2" t="str">
        <f t="array" ref="F56">IF(NOW()&gt;AQ56,"",IF(AND((WEEKDAY($A56)+$B$2)&gt;1,((WEEKDAY($A56)+$T$2)&lt;7),(WEEKDAY($A56)&lt;&gt;1)),"work",(INDEX(Subject!$A:$I,MATCH(RANDBETWEEN(1,(MAX(Subject!$B:$B))),Subject!$B:$B,0),3))))</f>
        <v/>
      </c>
      <c r="G56" s="2" t="str">
        <f t="array" ref="G56">IF(NOW()&gt;AR56,"",IF(AND((WEEKDAY($A56)+$B$2)&gt;1,((WEEKDAY($A56)+$T$2)&lt;7),(WEEKDAY($A56)&lt;&gt;1)),"work",(INDEX(Subject!$A:$I,MATCH(RANDBETWEEN(1,(MAX(Subject!$B:$B))),Subject!$B:$B,0),3))))</f>
        <v/>
      </c>
      <c r="H56" s="2" t="str">
        <f t="array" ref="H56">IF(NOW()&gt;AS56,"",IF(AND((WEEKDAY($A56)+$B$2)&gt;1,((WEEKDAY($A56)+$T$2)&lt;7),(WEEKDAY($A56)&lt;&gt;1)),"work",(INDEX(Subject!$A:$I,MATCH(RANDBETWEEN(1,(MAX(Subject!$B:$B))),Subject!$B:$B,0),3))))</f>
        <v/>
      </c>
      <c r="I56" s="2" t="str">
        <f t="array" ref="I56">IF(NOW()&gt;AT56,"",IF(AND((WEEKDAY($A56)+$B$2)&gt;1,((WEEKDAY($A56)+$T$2)&lt;7),(WEEKDAY($A56)&lt;&gt;1)),"work",(INDEX(Subject!$A:$I,MATCH(RANDBETWEEN(1,(MAX(Subject!$B:$B))),Subject!$B:$B,0),3))))</f>
        <v/>
      </c>
      <c r="J56" s="2" t="str">
        <f t="array" ref="J56">IF(NOW()&gt;AU56,"",IF(AND((WEEKDAY($A56)+$B$2)&gt;1,((WEEKDAY($A56)+$T$2)&lt;7),(WEEKDAY($A56)&lt;&gt;1)),"work",(INDEX(Subject!$A:$I,MATCH(RANDBETWEEN(1,(MAX(Subject!$B:$B))),Subject!$B:$B,0),3))))</f>
        <v/>
      </c>
      <c r="K56" s="2" t="str">
        <f t="array" ref="K56">IF(NOW()&gt;AV56,"",IF(AND((WEEKDAY($A56)+$B$2)&gt;1,((WEEKDAY($A56)+$T$2)&lt;7),(WEEKDAY($A56)&lt;&gt;1)),"work",(INDEX(Subject!$A:$I,MATCH(RANDBETWEEN(1,(MAX(Subject!$B:$B))),Subject!$B:$B,0),3))))</f>
        <v/>
      </c>
      <c r="L56" s="2" t="str">
        <f t="array" ref="L56">IF(NOW()&gt;AW56,"",IF(AND((WEEKDAY($A56)+$B$2)&gt;1,((WEEKDAY($A56)+$T$2)&lt;7),(WEEKDAY($A56)&lt;&gt;1)),"work",(INDEX(Subject!$A:$I,MATCH(RANDBETWEEN(1,(MAX(Subject!$B:$B))),Subject!$B:$B,0),3))))</f>
        <v/>
      </c>
      <c r="M56" s="2" t="str">
        <f t="array" ref="M56">IF(NOW()&gt;AX56,"",IF(AND((WEEKDAY($A56)+$B$2)&gt;1,((WEEKDAY($A56)+$T$2)&lt;7),(WEEKDAY($A56)&lt;&gt;1)),"work",(INDEX(Subject!$A:$I,MATCH(RANDBETWEEN(1,(MAX(Subject!$B:$B))),Subject!$B:$B,0),3))))</f>
        <v/>
      </c>
      <c r="N56" s="2" t="str">
        <f t="array" ref="N56">IF(NOW()&gt;AY56,"",IF(AND((WEEKDAY($A56)+$B$2)&gt;1,((WEEKDAY($A56)+$T$2)&lt;7),(WEEKDAY($A56)&lt;&gt;1)),"work",(INDEX(Subject!$A:$I,MATCH(RANDBETWEEN(1,(MAX(Subject!$B:$B))),Subject!$B:$B,0),3))))</f>
        <v/>
      </c>
      <c r="O56" s="2" t="str">
        <f t="array" ref="O56">IF(NOW()&gt;AZ56,"",IF(AND((WEEKDAY($A56)+$B$2)&gt;1,((WEEKDAY($A56)+$T$2)&lt;7),(WEEKDAY($A56)&lt;&gt;1)),"work",(INDEX(Subject!$A:$I,MATCH(RANDBETWEEN(1,(MAX(Subject!$B:$B))),Subject!$B:$B,0),3))))</f>
        <v/>
      </c>
      <c r="P56" s="2" t="str">
        <f t="array" ref="P56">IF(NOW()&gt;BA56,"",IF(AND((WEEKDAY($A56)+$B$2)&gt;1,((WEEKDAY($A56)+$T$2)&lt;7),(WEEKDAY($A56)&lt;&gt;1)),"work",(INDEX(Subject!$A:$I,MATCH(RANDBETWEEN(1,(MAX(Subject!$B:$B))),Subject!$B:$B,0),3))))</f>
        <v/>
      </c>
      <c r="Q56" s="2" t="str">
        <f t="array" ref="Q56">IF(NOW()&gt;BB56,"",IF(AND((WEEKDAY($A56)+$B$2)&gt;1,((WEEKDAY($A56)+$T$2)&lt;7),(WEEKDAY($A56)&lt;&gt;1)),"work",(INDEX(Subject!$A:$I,MATCH(RANDBETWEEN(1,(MAX(Subject!$B:$B))),Subject!$B:$B,0),3))))</f>
        <v/>
      </c>
      <c r="R56" s="2" t="str">
        <f t="array" ref="R56">IF(NOW()&gt;BC56,"",IF(AND((WEEKDAY($A56)+$B$2)&gt;1,((WEEKDAY($A56)+$T$2)&lt;7),(WEEKDAY($A56)&lt;&gt;1)),"work",(INDEX(Subject!$A:$I,MATCH(RANDBETWEEN(1,(MAX(Subject!$B:$B))),Subject!$B:$B,0),3))))</f>
        <v/>
      </c>
      <c r="S56" s="2" t="str">
        <f t="array" ref="S56">IF(NOW()&gt;BD56,"",IF(AND((WEEKDAY($A56)+$B$2)&gt;1,((WEEKDAY($A56)+$T$2)&lt;7),(WEEKDAY($A56)&lt;&gt;1)),"work",(INDEX(Subject!$A:$I,MATCH(RANDBETWEEN(1,(MAX(Subject!$B:$B))),Subject!$B:$B,0),3))))</f>
        <v/>
      </c>
      <c r="T56" s="2" t="str">
        <f t="array" ref="T56">IF(NOW()&gt;BE56,"",IF(AND((WEEKDAY($A56)+$B$2)&gt;1,((WEEKDAY($A56)+$T$2)&lt;7),(WEEKDAY($A56)&lt;&gt;1)),"work",(INDEX(Subject!$A:$I,MATCH(RANDBETWEEN(1,(MAX(Subject!$B:$B))),Subject!$B:$B,0),3))))</f>
        <v/>
      </c>
      <c r="U56" s="8" t="str">
        <f t="array" ref="U56">INDEX(Subject!$A:$I,MATCH(RANDBETWEEN(1,16),Subject!$B:$B,0),3)</f>
        <v>#N/A</v>
      </c>
      <c r="V56" s="8" t="str">
        <f t="array" ref="V56">INDEX(Subject!$A:$I,MATCH(RANDBETWEEN(1,16),Subject!$B:$B,0),3)</f>
        <v>#N/A</v>
      </c>
      <c r="W56" s="8" t="str">
        <f t="array" ref="W56">INDEX(Subject!$A:$I,MATCH(RANDBETWEEN(1,16),Subject!$B:$B,0),3)</f>
        <v>#N/A</v>
      </c>
      <c r="X56" s="8" t="str">
        <f t="array" ref="X56">INDEX(Subject!$A:$I,MATCH(RANDBETWEEN(1,16),Subject!$B:$B,0),3)</f>
        <v>#N/A</v>
      </c>
      <c r="Y56" s="8" t="str">
        <f t="array" ref="Y56">INDEX(Subject!$A:$I,MATCH(RANDBETWEEN(1,16),Subject!$B:$B,0),3)</f>
        <v>#N/A</v>
      </c>
      <c r="Z56" s="8" t="str">
        <f t="array" ref="Z56">INDEX(Subject!$A:$I,MATCH(RANDBETWEEN(1,16),Subject!$B:$B,0),3)</f>
        <v>#N/A</v>
      </c>
      <c r="AA56" s="8" t="str">
        <f t="array" ref="AA56">INDEX(Subject!$A:$I,MATCH(RANDBETWEEN(1,16),Subject!$B:$B,0),3)</f>
        <v>#N/A</v>
      </c>
      <c r="AB56" s="8" t="str">
        <f t="array" ref="AB56">INDEX(Subject!$A:$I,MATCH(RANDBETWEEN(1,16),Subject!$B:$B,0),3)</f>
        <v>#N/A</v>
      </c>
      <c r="AC56" s="8" t="str">
        <f t="array" ref="AC56">INDEX(Subject!$A:$I,MATCH(RANDBETWEEN(1,16),Subject!$B:$B,0),3)</f>
        <v>#N/A</v>
      </c>
      <c r="AD56" s="8" t="str">
        <f t="array" ref="AD56">INDEX(Subject!$A:$I,MATCH(RANDBETWEEN(1,16),Subject!$B:$B,0),3)</f>
        <v>#N/A</v>
      </c>
      <c r="AE56" s="8" t="str">
        <f t="array" ref="AE56">INDEX(Subject!$A:$I,MATCH(RANDBETWEEN(1,16),Subject!$B:$B,0),3)</f>
        <v>#N/A</v>
      </c>
      <c r="AF56" s="8" t="str">
        <f t="array" ref="AF56">INDEX(Subject!$A:$I,MATCH(RANDBETWEEN(1,16),Subject!$B:$B,0),3)</f>
        <v>#N/A</v>
      </c>
      <c r="AG56" s="8" t="str">
        <f t="array" ref="AG56">INDEX(Subject!$A:$I,MATCH(RANDBETWEEN(1,16),Subject!$B:$B,0),3)</f>
        <v>#N/A</v>
      </c>
      <c r="AH56" s="8" t="str">
        <f t="array" ref="AH56">INDEX(Subject!$A:$I,MATCH(RANDBETWEEN(1,16),Subject!$B:$B,0),3)</f>
        <v>#N/A</v>
      </c>
      <c r="AI56" s="8" t="str">
        <f t="array" ref="AI56">INDEX(Subject!$A:$I,MATCH(RANDBETWEEN(1,16),Subject!$B:$B,0),3)</f>
        <v>#N/A</v>
      </c>
      <c r="AJ56" s="8" t="str">
        <f t="array" ref="AJ56">INDEX(Subject!$A:$I,MATCH(RANDBETWEEN(1,16),Subject!$B:$B,0),3)</f>
        <v>#N/A</v>
      </c>
      <c r="AK56" s="8" t="str">
        <f t="array" ref="AK56">INDEX(Subject!$A:$I,MATCH(RANDBETWEEN(1,16),Subject!$B:$B,0),3)</f>
        <v>#N/A</v>
      </c>
      <c r="AL56" s="8" t="str">
        <f t="array" ref="AL56">INDEX(Subject!$A:$I,MATCH(RANDBETWEEN(1,16),Subject!$B:$B,0),3)</f>
        <v>#N/A</v>
      </c>
      <c r="AM56" s="18">
        <f t="shared" si="4"/>
        <v>45556.33333</v>
      </c>
      <c r="AN56" s="19">
        <f t="shared" ref="AN56:BZ56" si="56">$A56+C$1</f>
        <v>45556.35417</v>
      </c>
      <c r="AO56" s="19">
        <f t="shared" si="56"/>
        <v>45556.375</v>
      </c>
      <c r="AP56" s="19">
        <f t="shared" si="56"/>
        <v>45556.39583</v>
      </c>
      <c r="AQ56" s="19">
        <f t="shared" si="56"/>
        <v>45556.41667</v>
      </c>
      <c r="AR56" s="19">
        <f t="shared" si="56"/>
        <v>45556.4375</v>
      </c>
      <c r="AS56" s="19">
        <f t="shared" si="56"/>
        <v>45556.45833</v>
      </c>
      <c r="AT56" s="19">
        <f t="shared" si="56"/>
        <v>45556.47917</v>
      </c>
      <c r="AU56" s="19">
        <f t="shared" si="56"/>
        <v>45556.5</v>
      </c>
      <c r="AV56" s="19">
        <f t="shared" si="56"/>
        <v>45556.52083</v>
      </c>
      <c r="AW56" s="19">
        <f t="shared" si="56"/>
        <v>45556.54167</v>
      </c>
      <c r="AX56" s="19">
        <f t="shared" si="56"/>
        <v>45556.5625</v>
      </c>
      <c r="AY56" s="19">
        <f t="shared" si="56"/>
        <v>45556.58333</v>
      </c>
      <c r="AZ56" s="19">
        <f t="shared" si="56"/>
        <v>45556.60417</v>
      </c>
      <c r="BA56" s="19">
        <f t="shared" si="56"/>
        <v>45556.625</v>
      </c>
      <c r="BB56" s="19">
        <f t="shared" si="56"/>
        <v>45556.64583</v>
      </c>
      <c r="BC56" s="19">
        <f t="shared" si="56"/>
        <v>45556.66667</v>
      </c>
      <c r="BD56" s="19">
        <f t="shared" si="56"/>
        <v>45556.6875</v>
      </c>
      <c r="BE56" s="19">
        <f t="shared" si="56"/>
        <v>45556.70833</v>
      </c>
      <c r="BF56" s="19">
        <f t="shared" si="56"/>
        <v>45556.72917</v>
      </c>
      <c r="BG56" s="19">
        <f t="shared" si="56"/>
        <v>45556.75</v>
      </c>
      <c r="BH56" s="19">
        <f t="shared" si="56"/>
        <v>45556.77083</v>
      </c>
      <c r="BI56" s="19">
        <f t="shared" si="56"/>
        <v>45556.79167</v>
      </c>
      <c r="BJ56" s="19">
        <f t="shared" si="56"/>
        <v>45556.8125</v>
      </c>
      <c r="BK56" s="19">
        <f t="shared" si="56"/>
        <v>45556.83333</v>
      </c>
      <c r="BL56" s="19">
        <f t="shared" si="56"/>
        <v>45556.85417</v>
      </c>
      <c r="BM56" s="19">
        <f t="shared" si="56"/>
        <v>45556.875</v>
      </c>
      <c r="BN56" s="19">
        <f t="shared" si="56"/>
        <v>45556.89583</v>
      </c>
      <c r="BO56" s="19">
        <f t="shared" si="56"/>
        <v>45556.91667</v>
      </c>
      <c r="BP56" s="19">
        <f t="shared" si="56"/>
        <v>45556.9375</v>
      </c>
      <c r="BQ56" s="19">
        <f t="shared" si="56"/>
        <v>45556.95833</v>
      </c>
      <c r="BR56" s="19">
        <f t="shared" si="56"/>
        <v>45556.97917</v>
      </c>
      <c r="BS56" s="19">
        <f t="shared" si="56"/>
        <v>45557</v>
      </c>
      <c r="BT56" s="19">
        <f t="shared" si="56"/>
        <v>45557.02083</v>
      </c>
      <c r="BU56" s="19">
        <f t="shared" si="56"/>
        <v>45557.04167</v>
      </c>
      <c r="BV56" s="19">
        <f t="shared" si="56"/>
        <v>45557.0625</v>
      </c>
      <c r="BW56" s="19">
        <f t="shared" si="56"/>
        <v>45557.08333</v>
      </c>
      <c r="BX56" s="19">
        <f t="shared" si="56"/>
        <v>45556</v>
      </c>
      <c r="BY56" s="19">
        <f t="shared" si="56"/>
        <v>45556</v>
      </c>
      <c r="BZ56" s="19">
        <f t="shared" si="56"/>
        <v>45556</v>
      </c>
    </row>
    <row r="57" ht="14.25" customHeight="1">
      <c r="A57" s="17">
        <v>45557.0</v>
      </c>
      <c r="B57" s="2" t="str">
        <f t="array" ref="B57">IF(NOW()&gt;AM57,"",IF(AND((WEEKDAY($A57)+$B$2)&gt;1,((WEEKDAY($A57)+$T$2)&lt;7),(WEEKDAY($A57)&lt;&gt;1)),"work",(INDEX(Subject!$A:$I,MATCH(RANDBETWEEN(1,(MAX(Subject!$B:$B))),Subject!$B:$B,0),3))))</f>
        <v/>
      </c>
      <c r="C57" s="2" t="str">
        <f t="array" ref="C57">IF(NOW()&gt;AN57,"",IF(AND((WEEKDAY($A57)+$B$2)&gt;1,((WEEKDAY($A57)+$T$2)&lt;7),(WEEKDAY($A57)&lt;&gt;1)),"work",(INDEX(Subject!$A:$I,MATCH(RANDBETWEEN(1,(MAX(Subject!$B:$B))),Subject!$B:$B,0),3))))</f>
        <v/>
      </c>
      <c r="D57" s="2" t="str">
        <f t="array" ref="D57">IF(NOW()&gt;AO57,"",IF(AND((WEEKDAY($A57)+$B$2)&gt;1,((WEEKDAY($A57)+$T$2)&lt;7),(WEEKDAY($A57)&lt;&gt;1)),"work",(INDEX(Subject!$A:$I,MATCH(RANDBETWEEN(1,(MAX(Subject!$B:$B))),Subject!$B:$B,0),3))))</f>
        <v/>
      </c>
      <c r="E57" s="2" t="str">
        <f t="array" ref="E57">IF(NOW()&gt;AP57,"",IF(AND((WEEKDAY($A57)+$B$2)&gt;1,((WEEKDAY($A57)+$T$2)&lt;7),(WEEKDAY($A57)&lt;&gt;1)),"work",(INDEX(Subject!$A:$I,MATCH(RANDBETWEEN(1,(MAX(Subject!$B:$B))),Subject!$B:$B,0),3))))</f>
        <v/>
      </c>
      <c r="F57" s="2" t="str">
        <f t="array" ref="F57">IF(NOW()&gt;AQ57,"",IF(AND((WEEKDAY($A57)+$B$2)&gt;1,((WEEKDAY($A57)+$T$2)&lt;7),(WEEKDAY($A57)&lt;&gt;1)),"work",(INDEX(Subject!$A:$I,MATCH(RANDBETWEEN(1,(MAX(Subject!$B:$B))),Subject!$B:$B,0),3))))</f>
        <v/>
      </c>
      <c r="G57" s="2" t="str">
        <f t="array" ref="G57">IF(NOW()&gt;AR57,"",IF(AND((WEEKDAY($A57)+$B$2)&gt;1,((WEEKDAY($A57)+$T$2)&lt;7),(WEEKDAY($A57)&lt;&gt;1)),"work",(INDEX(Subject!$A:$I,MATCH(RANDBETWEEN(1,(MAX(Subject!$B:$B))),Subject!$B:$B,0),3))))</f>
        <v/>
      </c>
      <c r="H57" s="2" t="str">
        <f t="array" ref="H57">IF(NOW()&gt;AS57,"",IF(AND((WEEKDAY($A57)+$B$2)&gt;1,((WEEKDAY($A57)+$T$2)&lt;7),(WEEKDAY($A57)&lt;&gt;1)),"work",(INDEX(Subject!$A:$I,MATCH(RANDBETWEEN(1,(MAX(Subject!$B:$B))),Subject!$B:$B,0),3))))</f>
        <v/>
      </c>
      <c r="I57" s="2" t="str">
        <f t="array" ref="I57">IF(NOW()&gt;AT57,"",IF(AND((WEEKDAY($A57)+$B$2)&gt;1,((WEEKDAY($A57)+$T$2)&lt;7),(WEEKDAY($A57)&lt;&gt;1)),"work",(INDEX(Subject!$A:$I,MATCH(RANDBETWEEN(1,(MAX(Subject!$B:$B))),Subject!$B:$B,0),3))))</f>
        <v/>
      </c>
      <c r="J57" s="2" t="str">
        <f t="array" ref="J57">IF(NOW()&gt;AU57,"",IF(AND((WEEKDAY($A57)+$B$2)&gt;1,((WEEKDAY($A57)+$T$2)&lt;7),(WEEKDAY($A57)&lt;&gt;1)),"work",(INDEX(Subject!$A:$I,MATCH(RANDBETWEEN(1,(MAX(Subject!$B:$B))),Subject!$B:$B,0),3))))</f>
        <v/>
      </c>
      <c r="K57" s="2" t="str">
        <f t="array" ref="K57">IF(NOW()&gt;AV57,"",IF(AND((WEEKDAY($A57)+$B$2)&gt;1,((WEEKDAY($A57)+$T$2)&lt;7),(WEEKDAY($A57)&lt;&gt;1)),"work",(INDEX(Subject!$A:$I,MATCH(RANDBETWEEN(1,(MAX(Subject!$B:$B))),Subject!$B:$B,0),3))))</f>
        <v/>
      </c>
      <c r="L57" s="2" t="str">
        <f t="array" ref="L57">IF(NOW()&gt;AW57,"",IF(AND((WEEKDAY($A57)+$B$2)&gt;1,((WEEKDAY($A57)+$T$2)&lt;7),(WEEKDAY($A57)&lt;&gt;1)),"work",(INDEX(Subject!$A:$I,MATCH(RANDBETWEEN(1,(MAX(Subject!$B:$B))),Subject!$B:$B,0),3))))</f>
        <v/>
      </c>
      <c r="M57" s="2" t="str">
        <f t="array" ref="M57">IF(NOW()&gt;AX57,"",IF(AND((WEEKDAY($A57)+$B$2)&gt;1,((WEEKDAY($A57)+$T$2)&lt;7),(WEEKDAY($A57)&lt;&gt;1)),"work",(INDEX(Subject!$A:$I,MATCH(RANDBETWEEN(1,(MAX(Subject!$B:$B))),Subject!$B:$B,0),3))))</f>
        <v/>
      </c>
      <c r="N57" s="2" t="str">
        <f t="array" ref="N57">IF(NOW()&gt;AY57,"",IF(AND((WEEKDAY($A57)+$B$2)&gt;1,((WEEKDAY($A57)+$T$2)&lt;7),(WEEKDAY($A57)&lt;&gt;1)),"work",(INDEX(Subject!$A:$I,MATCH(RANDBETWEEN(1,(MAX(Subject!$B:$B))),Subject!$B:$B,0),3))))</f>
        <v/>
      </c>
      <c r="O57" s="2" t="str">
        <f t="array" ref="O57">IF(NOW()&gt;AZ57,"",IF(AND((WEEKDAY($A57)+$B$2)&gt;1,((WEEKDAY($A57)+$T$2)&lt;7),(WEEKDAY($A57)&lt;&gt;1)),"work",(INDEX(Subject!$A:$I,MATCH(RANDBETWEEN(1,(MAX(Subject!$B:$B))),Subject!$B:$B,0),3))))</f>
        <v/>
      </c>
      <c r="P57" s="2" t="str">
        <f t="array" ref="P57">IF(NOW()&gt;BA57,"",IF(AND((WEEKDAY($A57)+$B$2)&gt;1,((WEEKDAY($A57)+$T$2)&lt;7),(WEEKDAY($A57)&lt;&gt;1)),"work",(INDEX(Subject!$A:$I,MATCH(RANDBETWEEN(1,(MAX(Subject!$B:$B))),Subject!$B:$B,0),3))))</f>
        <v/>
      </c>
      <c r="Q57" s="2" t="str">
        <f t="array" ref="Q57">IF(NOW()&gt;BB57,"",IF(AND((WEEKDAY($A57)+$B$2)&gt;1,((WEEKDAY($A57)+$T$2)&lt;7),(WEEKDAY($A57)&lt;&gt;1)),"work",(INDEX(Subject!$A:$I,MATCH(RANDBETWEEN(1,(MAX(Subject!$B:$B))),Subject!$B:$B,0),3))))</f>
        <v/>
      </c>
      <c r="R57" s="2" t="str">
        <f t="array" ref="R57">IF(NOW()&gt;BC57,"",IF(AND((WEEKDAY($A57)+$B$2)&gt;1,((WEEKDAY($A57)+$T$2)&lt;7),(WEEKDAY($A57)&lt;&gt;1)),"work",(INDEX(Subject!$A:$I,MATCH(RANDBETWEEN(1,(MAX(Subject!$B:$B))),Subject!$B:$B,0),3))))</f>
        <v/>
      </c>
      <c r="S57" s="2" t="str">
        <f t="array" ref="S57">IF(NOW()&gt;BD57,"",IF(AND((WEEKDAY($A57)+$B$2)&gt;1,((WEEKDAY($A57)+$T$2)&lt;7),(WEEKDAY($A57)&lt;&gt;1)),"work",(INDEX(Subject!$A:$I,MATCH(RANDBETWEEN(1,(MAX(Subject!$B:$B))),Subject!$B:$B,0),3))))</f>
        <v/>
      </c>
      <c r="T57" s="2" t="str">
        <f t="array" ref="T57">IF(NOW()&gt;BE57,"",IF(AND((WEEKDAY($A57)+$B$2)&gt;1,((WEEKDAY($A57)+$T$2)&lt;7),(WEEKDAY($A57)&lt;&gt;1)),"work",(INDEX(Subject!$A:$I,MATCH(RANDBETWEEN(1,(MAX(Subject!$B:$B))),Subject!$B:$B,0),3))))</f>
        <v/>
      </c>
      <c r="U57" s="8" t="str">
        <f t="array" ref="U57">INDEX(Subject!$A:$I,MATCH(RANDBETWEEN(1,16),Subject!$B:$B,0),3)</f>
        <v/>
      </c>
      <c r="V57" s="8" t="str">
        <f t="array" ref="V57">INDEX(Subject!$A:$I,MATCH(RANDBETWEEN(1,16),Subject!$B:$B,0),3)</f>
        <v>#N/A</v>
      </c>
      <c r="W57" s="8" t="str">
        <f t="array" ref="W57">INDEX(Subject!$A:$I,MATCH(RANDBETWEEN(1,16),Subject!$B:$B,0),3)</f>
        <v>#N/A</v>
      </c>
      <c r="X57" s="8" t="str">
        <f t="array" ref="X57">INDEX(Subject!$A:$I,MATCH(RANDBETWEEN(1,16),Subject!$B:$B,0),3)</f>
        <v>#N/A</v>
      </c>
      <c r="Y57" s="8" t="str">
        <f t="array" ref="Y57">INDEX(Subject!$A:$I,MATCH(RANDBETWEEN(1,16),Subject!$B:$B,0),3)</f>
        <v>#N/A</v>
      </c>
      <c r="Z57" s="8" t="str">
        <f t="array" ref="Z57">INDEX(Subject!$A:$I,MATCH(RANDBETWEEN(1,16),Subject!$B:$B,0),3)</f>
        <v>#N/A</v>
      </c>
      <c r="AA57" s="8" t="str">
        <f t="array" ref="AA57">INDEX(Subject!$A:$I,MATCH(RANDBETWEEN(1,16),Subject!$B:$B,0),3)</f>
        <v>#N/A</v>
      </c>
      <c r="AB57" s="8" t="str">
        <f t="array" ref="AB57">INDEX(Subject!$A:$I,MATCH(RANDBETWEEN(1,16),Subject!$B:$B,0),3)</f>
        <v>#N/A</v>
      </c>
      <c r="AC57" s="8" t="str">
        <f t="array" ref="AC57">INDEX(Subject!$A:$I,MATCH(RANDBETWEEN(1,16),Subject!$B:$B,0),3)</f>
        <v/>
      </c>
      <c r="AD57" s="8" t="str">
        <f t="array" ref="AD57">INDEX(Subject!$A:$I,MATCH(RANDBETWEEN(1,16),Subject!$B:$B,0),3)</f>
        <v>#N/A</v>
      </c>
      <c r="AE57" s="8" t="str">
        <f t="array" ref="AE57">INDEX(Subject!$A:$I,MATCH(RANDBETWEEN(1,16),Subject!$B:$B,0),3)</f>
        <v>#N/A</v>
      </c>
      <c r="AF57" s="8" t="str">
        <f t="array" ref="AF57">INDEX(Subject!$A:$I,MATCH(RANDBETWEEN(1,16),Subject!$B:$B,0),3)</f>
        <v>#N/A</v>
      </c>
      <c r="AG57" s="8" t="str">
        <f t="array" ref="AG57">INDEX(Subject!$A:$I,MATCH(RANDBETWEEN(1,16),Subject!$B:$B,0),3)</f>
        <v>#N/A</v>
      </c>
      <c r="AH57" s="8" t="str">
        <f t="array" ref="AH57">INDEX(Subject!$A:$I,MATCH(RANDBETWEEN(1,16),Subject!$B:$B,0),3)</f>
        <v/>
      </c>
      <c r="AI57" s="8" t="str">
        <f t="array" ref="AI57">INDEX(Subject!$A:$I,MATCH(RANDBETWEEN(1,16),Subject!$B:$B,0),3)</f>
        <v>#N/A</v>
      </c>
      <c r="AJ57" s="8" t="str">
        <f t="array" ref="AJ57">INDEX(Subject!$A:$I,MATCH(RANDBETWEEN(1,16),Subject!$B:$B,0),3)</f>
        <v>#N/A</v>
      </c>
      <c r="AK57" s="8" t="str">
        <f t="array" ref="AK57">INDEX(Subject!$A:$I,MATCH(RANDBETWEEN(1,16),Subject!$B:$B,0),3)</f>
        <v>#N/A</v>
      </c>
      <c r="AL57" s="8" t="str">
        <f t="array" ref="AL57">INDEX(Subject!$A:$I,MATCH(RANDBETWEEN(1,16),Subject!$B:$B,0),3)</f>
        <v>#N/A</v>
      </c>
      <c r="AM57" s="18">
        <f t="shared" si="4"/>
        <v>45557.33333</v>
      </c>
      <c r="AN57" s="19">
        <f t="shared" ref="AN57:BZ57" si="57">$A57+C$1</f>
        <v>45557.35417</v>
      </c>
      <c r="AO57" s="19">
        <f t="shared" si="57"/>
        <v>45557.375</v>
      </c>
      <c r="AP57" s="19">
        <f t="shared" si="57"/>
        <v>45557.39583</v>
      </c>
      <c r="AQ57" s="19">
        <f t="shared" si="57"/>
        <v>45557.41667</v>
      </c>
      <c r="AR57" s="19">
        <f t="shared" si="57"/>
        <v>45557.4375</v>
      </c>
      <c r="AS57" s="19">
        <f t="shared" si="57"/>
        <v>45557.45833</v>
      </c>
      <c r="AT57" s="19">
        <f t="shared" si="57"/>
        <v>45557.47917</v>
      </c>
      <c r="AU57" s="19">
        <f t="shared" si="57"/>
        <v>45557.5</v>
      </c>
      <c r="AV57" s="19">
        <f t="shared" si="57"/>
        <v>45557.52083</v>
      </c>
      <c r="AW57" s="19">
        <f t="shared" si="57"/>
        <v>45557.54167</v>
      </c>
      <c r="AX57" s="19">
        <f t="shared" si="57"/>
        <v>45557.5625</v>
      </c>
      <c r="AY57" s="19">
        <f t="shared" si="57"/>
        <v>45557.58333</v>
      </c>
      <c r="AZ57" s="19">
        <f t="shared" si="57"/>
        <v>45557.60417</v>
      </c>
      <c r="BA57" s="19">
        <f t="shared" si="57"/>
        <v>45557.625</v>
      </c>
      <c r="BB57" s="19">
        <f t="shared" si="57"/>
        <v>45557.64583</v>
      </c>
      <c r="BC57" s="19">
        <f t="shared" si="57"/>
        <v>45557.66667</v>
      </c>
      <c r="BD57" s="19">
        <f t="shared" si="57"/>
        <v>45557.6875</v>
      </c>
      <c r="BE57" s="19">
        <f t="shared" si="57"/>
        <v>45557.70833</v>
      </c>
      <c r="BF57" s="19">
        <f t="shared" si="57"/>
        <v>45557.72917</v>
      </c>
      <c r="BG57" s="19">
        <f t="shared" si="57"/>
        <v>45557.75</v>
      </c>
      <c r="BH57" s="19">
        <f t="shared" si="57"/>
        <v>45557.77083</v>
      </c>
      <c r="BI57" s="19">
        <f t="shared" si="57"/>
        <v>45557.79167</v>
      </c>
      <c r="BJ57" s="19">
        <f t="shared" si="57"/>
        <v>45557.8125</v>
      </c>
      <c r="BK57" s="19">
        <f t="shared" si="57"/>
        <v>45557.83333</v>
      </c>
      <c r="BL57" s="19">
        <f t="shared" si="57"/>
        <v>45557.85417</v>
      </c>
      <c r="BM57" s="19">
        <f t="shared" si="57"/>
        <v>45557.875</v>
      </c>
      <c r="BN57" s="19">
        <f t="shared" si="57"/>
        <v>45557.89583</v>
      </c>
      <c r="BO57" s="19">
        <f t="shared" si="57"/>
        <v>45557.91667</v>
      </c>
      <c r="BP57" s="19">
        <f t="shared" si="57"/>
        <v>45557.9375</v>
      </c>
      <c r="BQ57" s="19">
        <f t="shared" si="57"/>
        <v>45557.95833</v>
      </c>
      <c r="BR57" s="19">
        <f t="shared" si="57"/>
        <v>45557.97917</v>
      </c>
      <c r="BS57" s="19">
        <f t="shared" si="57"/>
        <v>45558</v>
      </c>
      <c r="BT57" s="19">
        <f t="shared" si="57"/>
        <v>45558.02083</v>
      </c>
      <c r="BU57" s="19">
        <f t="shared" si="57"/>
        <v>45558.04167</v>
      </c>
      <c r="BV57" s="19">
        <f t="shared" si="57"/>
        <v>45558.0625</v>
      </c>
      <c r="BW57" s="19">
        <f t="shared" si="57"/>
        <v>45558.08333</v>
      </c>
      <c r="BX57" s="19">
        <f t="shared" si="57"/>
        <v>45557</v>
      </c>
      <c r="BY57" s="19">
        <f t="shared" si="57"/>
        <v>45557</v>
      </c>
      <c r="BZ57" s="19">
        <f t="shared" si="57"/>
        <v>45557</v>
      </c>
    </row>
    <row r="58" ht="14.25" customHeight="1">
      <c r="A58" s="17">
        <v>45558.0</v>
      </c>
      <c r="B58" s="2" t="str">
        <f t="array" ref="B58">IF(NOW()&gt;AM58,"",IF(AND((WEEKDAY($A58)+$B$2)&gt;1,((WEEKDAY($A58)+$T$2)&lt;7),(WEEKDAY($A58)&lt;&gt;1)),"work",(INDEX(Subject!$A:$I,MATCH(RANDBETWEEN(1,(MAX(Subject!$B:$B))),Subject!$B:$B,0),3))))</f>
        <v/>
      </c>
      <c r="C58" s="2" t="str">
        <f t="array" ref="C58">IF(NOW()&gt;AN58,"",IF(AND((WEEKDAY($A58)+$B$2)&gt;1,((WEEKDAY($A58)+$T$2)&lt;7),(WEEKDAY($A58)&lt;&gt;1)),"work",(INDEX(Subject!$A:$I,MATCH(RANDBETWEEN(1,(MAX(Subject!$B:$B))),Subject!$B:$B,0),3))))</f>
        <v/>
      </c>
      <c r="D58" s="2" t="str">
        <f t="array" ref="D58">IF(NOW()&gt;AO58,"",IF(AND((WEEKDAY($A58)+$B$2)&gt;1,((WEEKDAY($A58)+$T$2)&lt;7),(WEEKDAY($A58)&lt;&gt;1)),"work",(INDEX(Subject!$A:$I,MATCH(RANDBETWEEN(1,(MAX(Subject!$B:$B))),Subject!$B:$B,0),3))))</f>
        <v/>
      </c>
      <c r="E58" s="2" t="str">
        <f t="array" ref="E58">IF(NOW()&gt;AP58,"",IF(AND((WEEKDAY($A58)+$B$2)&gt;1,((WEEKDAY($A58)+$T$2)&lt;7),(WEEKDAY($A58)&lt;&gt;1)),"work",(INDEX(Subject!$A:$I,MATCH(RANDBETWEEN(1,(MAX(Subject!$B:$B))),Subject!$B:$B,0),3))))</f>
        <v/>
      </c>
      <c r="F58" s="2" t="str">
        <f t="array" ref="F58">IF(NOW()&gt;AQ58,"",IF(AND((WEEKDAY($A58)+$B$2)&gt;1,((WEEKDAY($A58)+$T$2)&lt;7),(WEEKDAY($A58)&lt;&gt;1)),"work",(INDEX(Subject!$A:$I,MATCH(RANDBETWEEN(1,(MAX(Subject!$B:$B))),Subject!$B:$B,0),3))))</f>
        <v/>
      </c>
      <c r="G58" s="2" t="str">
        <f t="array" ref="G58">IF(NOW()&gt;AR58,"",IF(AND((WEEKDAY($A58)+$B$2)&gt;1,((WEEKDAY($A58)+$T$2)&lt;7),(WEEKDAY($A58)&lt;&gt;1)),"work",(INDEX(Subject!$A:$I,MATCH(RANDBETWEEN(1,(MAX(Subject!$B:$B))),Subject!$B:$B,0),3))))</f>
        <v/>
      </c>
      <c r="H58" s="2" t="str">
        <f t="array" ref="H58">IF(NOW()&gt;AS58,"",IF(AND((WEEKDAY($A58)+$B$2)&gt;1,((WEEKDAY($A58)+$T$2)&lt;7),(WEEKDAY($A58)&lt;&gt;1)),"work",(INDEX(Subject!$A:$I,MATCH(RANDBETWEEN(1,(MAX(Subject!$B:$B))),Subject!$B:$B,0),3))))</f>
        <v/>
      </c>
      <c r="I58" s="2" t="str">
        <f t="array" ref="I58">IF(NOW()&gt;AT58,"",IF(AND((WEEKDAY($A58)+$B$2)&gt;1,((WEEKDAY($A58)+$T$2)&lt;7),(WEEKDAY($A58)&lt;&gt;1)),"work",(INDEX(Subject!$A:$I,MATCH(RANDBETWEEN(1,(MAX(Subject!$B:$B))),Subject!$B:$B,0),3))))</f>
        <v/>
      </c>
      <c r="J58" s="2" t="str">
        <f t="array" ref="J58">IF(NOW()&gt;AU58,"",IF(AND((WEEKDAY($A58)+$B$2)&gt;1,((WEEKDAY($A58)+$T$2)&lt;7),(WEEKDAY($A58)&lt;&gt;1)),"work",(INDEX(Subject!$A:$I,MATCH(RANDBETWEEN(1,(MAX(Subject!$B:$B))),Subject!$B:$B,0),3))))</f>
        <v/>
      </c>
      <c r="K58" s="2" t="str">
        <f t="array" ref="K58">IF(NOW()&gt;AV58,"",IF(AND((WEEKDAY($A58)+$B$2)&gt;1,((WEEKDAY($A58)+$T$2)&lt;7),(WEEKDAY($A58)&lt;&gt;1)),"work",(INDEX(Subject!$A:$I,MATCH(RANDBETWEEN(1,(MAX(Subject!$B:$B))),Subject!$B:$B,0),3))))</f>
        <v/>
      </c>
      <c r="L58" s="2" t="str">
        <f t="array" ref="L58">IF(NOW()&gt;AW58,"",IF(AND((WEEKDAY($A58)+$B$2)&gt;1,((WEEKDAY($A58)+$T$2)&lt;7),(WEEKDAY($A58)&lt;&gt;1)),"work",(INDEX(Subject!$A:$I,MATCH(RANDBETWEEN(1,(MAX(Subject!$B:$B))),Subject!$B:$B,0),3))))</f>
        <v/>
      </c>
      <c r="M58" s="2" t="str">
        <f t="array" ref="M58">IF(NOW()&gt;AX58,"",IF(AND((WEEKDAY($A58)+$B$2)&gt;1,((WEEKDAY($A58)+$T$2)&lt;7),(WEEKDAY($A58)&lt;&gt;1)),"work",(INDEX(Subject!$A:$I,MATCH(RANDBETWEEN(1,(MAX(Subject!$B:$B))),Subject!$B:$B,0),3))))</f>
        <v/>
      </c>
      <c r="N58" s="2" t="str">
        <f t="array" ref="N58">IF(NOW()&gt;AY58,"",IF(AND((WEEKDAY($A58)+$B$2)&gt;1,((WEEKDAY($A58)+$T$2)&lt;7),(WEEKDAY($A58)&lt;&gt;1)),"work",(INDEX(Subject!$A:$I,MATCH(RANDBETWEEN(1,(MAX(Subject!$B:$B))),Subject!$B:$B,0),3))))</f>
        <v/>
      </c>
      <c r="O58" s="2" t="str">
        <f t="array" ref="O58">IF(NOW()&gt;AZ58,"",IF(AND((WEEKDAY($A58)+$B$2)&gt;1,((WEEKDAY($A58)+$T$2)&lt;7),(WEEKDAY($A58)&lt;&gt;1)),"work",(INDEX(Subject!$A:$I,MATCH(RANDBETWEEN(1,(MAX(Subject!$B:$B))),Subject!$B:$B,0),3))))</f>
        <v/>
      </c>
      <c r="P58" s="2" t="str">
        <f t="array" ref="P58">IF(NOW()&gt;BA58,"",IF(AND((WEEKDAY($A58)+$B$2)&gt;1,((WEEKDAY($A58)+$T$2)&lt;7),(WEEKDAY($A58)&lt;&gt;1)),"work",(INDEX(Subject!$A:$I,MATCH(RANDBETWEEN(1,(MAX(Subject!$B:$B))),Subject!$B:$B,0),3))))</f>
        <v/>
      </c>
      <c r="Q58" s="2" t="str">
        <f t="array" ref="Q58">IF(NOW()&gt;BB58,"",IF(AND((WEEKDAY($A58)+$B$2)&gt;1,((WEEKDAY($A58)+$T$2)&lt;7),(WEEKDAY($A58)&lt;&gt;1)),"work",(INDEX(Subject!$A:$I,MATCH(RANDBETWEEN(1,(MAX(Subject!$B:$B))),Subject!$B:$B,0),3))))</f>
        <v/>
      </c>
      <c r="R58" s="2" t="str">
        <f t="array" ref="R58">IF(NOW()&gt;BC58,"",IF(AND((WEEKDAY($A58)+$B$2)&gt;1,((WEEKDAY($A58)+$T$2)&lt;7),(WEEKDAY($A58)&lt;&gt;1)),"work",(INDEX(Subject!$A:$I,MATCH(RANDBETWEEN(1,(MAX(Subject!$B:$B))),Subject!$B:$B,0),3))))</f>
        <v/>
      </c>
      <c r="S58" s="2" t="str">
        <f t="array" ref="S58">IF(NOW()&gt;BD58,"",IF(AND((WEEKDAY($A58)+$B$2)&gt;1,((WEEKDAY($A58)+$T$2)&lt;7),(WEEKDAY($A58)&lt;&gt;1)),"work",(INDEX(Subject!$A:$I,MATCH(RANDBETWEEN(1,(MAX(Subject!$B:$B))),Subject!$B:$B,0),3))))</f>
        <v/>
      </c>
      <c r="T58" s="2" t="str">
        <f t="array" ref="T58">IF(NOW()&gt;BE58,"",IF(AND((WEEKDAY($A58)+$B$2)&gt;1,((WEEKDAY($A58)+$T$2)&lt;7),(WEEKDAY($A58)&lt;&gt;1)),"work",(INDEX(Subject!$A:$I,MATCH(RANDBETWEEN(1,(MAX(Subject!$B:$B))),Subject!$B:$B,0),3))))</f>
        <v/>
      </c>
      <c r="U58" s="8" t="str">
        <f t="array" ref="U58">INDEX(Subject!$A:$I,MATCH(RANDBETWEEN(1,16),Subject!$B:$B,0),3)</f>
        <v>#N/A</v>
      </c>
      <c r="V58" s="8" t="str">
        <f t="array" ref="V58">INDEX(Subject!$A:$I,MATCH(RANDBETWEEN(1,16),Subject!$B:$B,0),3)</f>
        <v/>
      </c>
      <c r="W58" s="8" t="str">
        <f t="array" ref="W58">INDEX(Subject!$A:$I,MATCH(RANDBETWEEN(1,16),Subject!$B:$B,0),3)</f>
        <v>#N/A</v>
      </c>
      <c r="X58" s="8" t="str">
        <f t="array" ref="X58">INDEX(Subject!$A:$I,MATCH(RANDBETWEEN(1,16),Subject!$B:$B,0),3)</f>
        <v/>
      </c>
      <c r="Y58" s="8" t="str">
        <f t="array" ref="Y58">INDEX(Subject!$A:$I,MATCH(RANDBETWEEN(1,16),Subject!$B:$B,0),3)</f>
        <v>#N/A</v>
      </c>
      <c r="Z58" s="8" t="str">
        <f t="array" ref="Z58">INDEX(Subject!$A:$I,MATCH(RANDBETWEEN(1,16),Subject!$B:$B,0),3)</f>
        <v>#N/A</v>
      </c>
      <c r="AA58" s="8" t="str">
        <f t="array" ref="AA58">INDEX(Subject!$A:$I,MATCH(RANDBETWEEN(1,16),Subject!$B:$B,0),3)</f>
        <v>#N/A</v>
      </c>
      <c r="AB58" s="8" t="str">
        <f t="array" ref="AB58">INDEX(Subject!$A:$I,MATCH(RANDBETWEEN(1,16),Subject!$B:$B,0),3)</f>
        <v>#N/A</v>
      </c>
      <c r="AC58" s="8" t="str">
        <f t="array" ref="AC58">INDEX(Subject!$A:$I,MATCH(RANDBETWEEN(1,16),Subject!$B:$B,0),3)</f>
        <v>#N/A</v>
      </c>
      <c r="AD58" s="8" t="str">
        <f t="array" ref="AD58">INDEX(Subject!$A:$I,MATCH(RANDBETWEEN(1,16),Subject!$B:$B,0),3)</f>
        <v/>
      </c>
      <c r="AE58" s="8" t="str">
        <f t="array" ref="AE58">INDEX(Subject!$A:$I,MATCH(RANDBETWEEN(1,16),Subject!$B:$B,0),3)</f>
        <v>#N/A</v>
      </c>
      <c r="AF58" s="8" t="str">
        <f t="array" ref="AF58">INDEX(Subject!$A:$I,MATCH(RANDBETWEEN(1,16),Subject!$B:$B,0),3)</f>
        <v>#N/A</v>
      </c>
      <c r="AG58" s="8" t="str">
        <f t="array" ref="AG58">INDEX(Subject!$A:$I,MATCH(RANDBETWEEN(1,16),Subject!$B:$B,0),3)</f>
        <v>#N/A</v>
      </c>
      <c r="AH58" s="8" t="str">
        <f t="array" ref="AH58">INDEX(Subject!$A:$I,MATCH(RANDBETWEEN(1,16),Subject!$B:$B,0),3)</f>
        <v>#N/A</v>
      </c>
      <c r="AI58" s="8" t="str">
        <f t="array" ref="AI58">INDEX(Subject!$A:$I,MATCH(RANDBETWEEN(1,16),Subject!$B:$B,0),3)</f>
        <v>#N/A</v>
      </c>
      <c r="AJ58" s="8" t="str">
        <f t="array" ref="AJ58">INDEX(Subject!$A:$I,MATCH(RANDBETWEEN(1,16),Subject!$B:$B,0),3)</f>
        <v>#N/A</v>
      </c>
      <c r="AK58" s="8" t="str">
        <f t="array" ref="AK58">INDEX(Subject!$A:$I,MATCH(RANDBETWEEN(1,16),Subject!$B:$B,0),3)</f>
        <v>#N/A</v>
      </c>
      <c r="AL58" s="8" t="str">
        <f t="array" ref="AL58">INDEX(Subject!$A:$I,MATCH(RANDBETWEEN(1,16),Subject!$B:$B,0),3)</f>
        <v>#N/A</v>
      </c>
      <c r="AM58" s="18">
        <f t="shared" si="4"/>
        <v>45558.33333</v>
      </c>
      <c r="AN58" s="19">
        <f t="shared" ref="AN58:BZ58" si="58">$A58+C$1</f>
        <v>45558.35417</v>
      </c>
      <c r="AO58" s="19">
        <f t="shared" si="58"/>
        <v>45558.375</v>
      </c>
      <c r="AP58" s="19">
        <f t="shared" si="58"/>
        <v>45558.39583</v>
      </c>
      <c r="AQ58" s="19">
        <f t="shared" si="58"/>
        <v>45558.41667</v>
      </c>
      <c r="AR58" s="19">
        <f t="shared" si="58"/>
        <v>45558.4375</v>
      </c>
      <c r="AS58" s="19">
        <f t="shared" si="58"/>
        <v>45558.45833</v>
      </c>
      <c r="AT58" s="19">
        <f t="shared" si="58"/>
        <v>45558.47917</v>
      </c>
      <c r="AU58" s="19">
        <f t="shared" si="58"/>
        <v>45558.5</v>
      </c>
      <c r="AV58" s="19">
        <f t="shared" si="58"/>
        <v>45558.52083</v>
      </c>
      <c r="AW58" s="19">
        <f t="shared" si="58"/>
        <v>45558.54167</v>
      </c>
      <c r="AX58" s="19">
        <f t="shared" si="58"/>
        <v>45558.5625</v>
      </c>
      <c r="AY58" s="19">
        <f t="shared" si="58"/>
        <v>45558.58333</v>
      </c>
      <c r="AZ58" s="19">
        <f t="shared" si="58"/>
        <v>45558.60417</v>
      </c>
      <c r="BA58" s="19">
        <f t="shared" si="58"/>
        <v>45558.625</v>
      </c>
      <c r="BB58" s="19">
        <f t="shared" si="58"/>
        <v>45558.64583</v>
      </c>
      <c r="BC58" s="19">
        <f t="shared" si="58"/>
        <v>45558.66667</v>
      </c>
      <c r="BD58" s="19">
        <f t="shared" si="58"/>
        <v>45558.6875</v>
      </c>
      <c r="BE58" s="19">
        <f t="shared" si="58"/>
        <v>45558.70833</v>
      </c>
      <c r="BF58" s="19">
        <f t="shared" si="58"/>
        <v>45558.72917</v>
      </c>
      <c r="BG58" s="19">
        <f t="shared" si="58"/>
        <v>45558.75</v>
      </c>
      <c r="BH58" s="19">
        <f t="shared" si="58"/>
        <v>45558.77083</v>
      </c>
      <c r="BI58" s="19">
        <f t="shared" si="58"/>
        <v>45558.79167</v>
      </c>
      <c r="BJ58" s="19">
        <f t="shared" si="58"/>
        <v>45558.8125</v>
      </c>
      <c r="BK58" s="19">
        <f t="shared" si="58"/>
        <v>45558.83333</v>
      </c>
      <c r="BL58" s="19">
        <f t="shared" si="58"/>
        <v>45558.85417</v>
      </c>
      <c r="BM58" s="19">
        <f t="shared" si="58"/>
        <v>45558.875</v>
      </c>
      <c r="BN58" s="19">
        <f t="shared" si="58"/>
        <v>45558.89583</v>
      </c>
      <c r="BO58" s="19">
        <f t="shared" si="58"/>
        <v>45558.91667</v>
      </c>
      <c r="BP58" s="19">
        <f t="shared" si="58"/>
        <v>45558.9375</v>
      </c>
      <c r="BQ58" s="19">
        <f t="shared" si="58"/>
        <v>45558.95833</v>
      </c>
      <c r="BR58" s="19">
        <f t="shared" si="58"/>
        <v>45558.97917</v>
      </c>
      <c r="BS58" s="19">
        <f t="shared" si="58"/>
        <v>45559</v>
      </c>
      <c r="BT58" s="19">
        <f t="shared" si="58"/>
        <v>45559.02083</v>
      </c>
      <c r="BU58" s="19">
        <f t="shared" si="58"/>
        <v>45559.04167</v>
      </c>
      <c r="BV58" s="19">
        <f t="shared" si="58"/>
        <v>45559.0625</v>
      </c>
      <c r="BW58" s="19">
        <f t="shared" si="58"/>
        <v>45559.08333</v>
      </c>
      <c r="BX58" s="19">
        <f t="shared" si="58"/>
        <v>45558</v>
      </c>
      <c r="BY58" s="19">
        <f t="shared" si="58"/>
        <v>45558</v>
      </c>
      <c r="BZ58" s="19">
        <f t="shared" si="58"/>
        <v>45558</v>
      </c>
    </row>
    <row r="59" ht="14.25" customHeight="1">
      <c r="A59" s="17">
        <v>45559.0</v>
      </c>
      <c r="B59" s="2" t="str">
        <f t="array" ref="B59">IF(NOW()&gt;AM59,"",IF(AND((WEEKDAY($A59)+$B$2)&gt;1,((WEEKDAY($A59)+$T$2)&lt;7),(WEEKDAY($A59)&lt;&gt;1)),"work",(INDEX(Subject!$A:$I,MATCH(RANDBETWEEN(1,(MAX(Subject!$B:$B))),Subject!$B:$B,0),3))))</f>
        <v/>
      </c>
      <c r="C59" s="2" t="str">
        <f t="array" ref="C59">IF(NOW()&gt;AN59,"",IF(AND((WEEKDAY($A59)+$B$2)&gt;1,((WEEKDAY($A59)+$T$2)&lt;7),(WEEKDAY($A59)&lt;&gt;1)),"work",(INDEX(Subject!$A:$I,MATCH(RANDBETWEEN(1,(MAX(Subject!$B:$B))),Subject!$B:$B,0),3))))</f>
        <v/>
      </c>
      <c r="D59" s="2" t="str">
        <f t="array" ref="D59">IF(NOW()&gt;AO59,"",IF(AND((WEEKDAY($A59)+$B$2)&gt;1,((WEEKDAY($A59)+$T$2)&lt;7),(WEEKDAY($A59)&lt;&gt;1)),"work",(INDEX(Subject!$A:$I,MATCH(RANDBETWEEN(1,(MAX(Subject!$B:$B))),Subject!$B:$B,0),3))))</f>
        <v/>
      </c>
      <c r="E59" s="2" t="str">
        <f t="array" ref="E59">IF(NOW()&gt;AP59,"",IF(AND((WEEKDAY($A59)+$B$2)&gt;1,((WEEKDAY($A59)+$T$2)&lt;7),(WEEKDAY($A59)&lt;&gt;1)),"work",(INDEX(Subject!$A:$I,MATCH(RANDBETWEEN(1,(MAX(Subject!$B:$B))),Subject!$B:$B,0),3))))</f>
        <v/>
      </c>
      <c r="F59" s="2" t="str">
        <f t="array" ref="F59">IF(NOW()&gt;AQ59,"",IF(AND((WEEKDAY($A59)+$B$2)&gt;1,((WEEKDAY($A59)+$T$2)&lt;7),(WEEKDAY($A59)&lt;&gt;1)),"work",(INDEX(Subject!$A:$I,MATCH(RANDBETWEEN(1,(MAX(Subject!$B:$B))),Subject!$B:$B,0),3))))</f>
        <v/>
      </c>
      <c r="G59" s="2" t="str">
        <f t="array" ref="G59">IF(NOW()&gt;AR59,"",IF(AND((WEEKDAY($A59)+$B$2)&gt;1,((WEEKDAY($A59)+$T$2)&lt;7),(WEEKDAY($A59)&lt;&gt;1)),"work",(INDEX(Subject!$A:$I,MATCH(RANDBETWEEN(1,(MAX(Subject!$B:$B))),Subject!$B:$B,0),3))))</f>
        <v/>
      </c>
      <c r="H59" s="2" t="str">
        <f t="array" ref="H59">IF(NOW()&gt;AS59,"",IF(AND((WEEKDAY($A59)+$B$2)&gt;1,((WEEKDAY($A59)+$T$2)&lt;7),(WEEKDAY($A59)&lt;&gt;1)),"work",(INDEX(Subject!$A:$I,MATCH(RANDBETWEEN(1,(MAX(Subject!$B:$B))),Subject!$B:$B,0),3))))</f>
        <v/>
      </c>
      <c r="I59" s="2" t="str">
        <f t="array" ref="I59">IF(NOW()&gt;AT59,"",IF(AND((WEEKDAY($A59)+$B$2)&gt;1,((WEEKDAY($A59)+$T$2)&lt;7),(WEEKDAY($A59)&lt;&gt;1)),"work",(INDEX(Subject!$A:$I,MATCH(RANDBETWEEN(1,(MAX(Subject!$B:$B))),Subject!$B:$B,0),3))))</f>
        <v/>
      </c>
      <c r="J59" s="2" t="str">
        <f t="array" ref="J59">IF(NOW()&gt;AU59,"",IF(AND((WEEKDAY($A59)+$B$2)&gt;1,((WEEKDAY($A59)+$T$2)&lt;7),(WEEKDAY($A59)&lt;&gt;1)),"work",(INDEX(Subject!$A:$I,MATCH(RANDBETWEEN(1,(MAX(Subject!$B:$B))),Subject!$B:$B,0),3))))</f>
        <v/>
      </c>
      <c r="K59" s="2" t="str">
        <f t="array" ref="K59">IF(NOW()&gt;AV59,"",IF(AND((WEEKDAY($A59)+$B$2)&gt;1,((WEEKDAY($A59)+$T$2)&lt;7),(WEEKDAY($A59)&lt;&gt;1)),"work",(INDEX(Subject!$A:$I,MATCH(RANDBETWEEN(1,(MAX(Subject!$B:$B))),Subject!$B:$B,0),3))))</f>
        <v/>
      </c>
      <c r="L59" s="2" t="str">
        <f t="array" ref="L59">IF(NOW()&gt;AW59,"",IF(AND((WEEKDAY($A59)+$B$2)&gt;1,((WEEKDAY($A59)+$T$2)&lt;7),(WEEKDAY($A59)&lt;&gt;1)),"work",(INDEX(Subject!$A:$I,MATCH(RANDBETWEEN(1,(MAX(Subject!$B:$B))),Subject!$B:$B,0),3))))</f>
        <v/>
      </c>
      <c r="M59" s="2" t="str">
        <f t="array" ref="M59">IF(NOW()&gt;AX59,"",IF(AND((WEEKDAY($A59)+$B$2)&gt;1,((WEEKDAY($A59)+$T$2)&lt;7),(WEEKDAY($A59)&lt;&gt;1)),"work",(INDEX(Subject!$A:$I,MATCH(RANDBETWEEN(1,(MAX(Subject!$B:$B))),Subject!$B:$B,0),3))))</f>
        <v/>
      </c>
      <c r="N59" s="2" t="str">
        <f t="array" ref="N59">IF(NOW()&gt;AY59,"",IF(AND((WEEKDAY($A59)+$B$2)&gt;1,((WEEKDAY($A59)+$T$2)&lt;7),(WEEKDAY($A59)&lt;&gt;1)),"work",(INDEX(Subject!$A:$I,MATCH(RANDBETWEEN(1,(MAX(Subject!$B:$B))),Subject!$B:$B,0),3))))</f>
        <v/>
      </c>
      <c r="O59" s="2" t="str">
        <f t="array" ref="O59">IF(NOW()&gt;AZ59,"",IF(AND((WEEKDAY($A59)+$B$2)&gt;1,((WEEKDAY($A59)+$T$2)&lt;7),(WEEKDAY($A59)&lt;&gt;1)),"work",(INDEX(Subject!$A:$I,MATCH(RANDBETWEEN(1,(MAX(Subject!$B:$B))),Subject!$B:$B,0),3))))</f>
        <v/>
      </c>
      <c r="P59" s="2" t="str">
        <f t="array" ref="P59">IF(NOW()&gt;BA59,"",IF(AND((WEEKDAY($A59)+$B$2)&gt;1,((WEEKDAY($A59)+$T$2)&lt;7),(WEEKDAY($A59)&lt;&gt;1)),"work",(INDEX(Subject!$A:$I,MATCH(RANDBETWEEN(1,(MAX(Subject!$B:$B))),Subject!$B:$B,0),3))))</f>
        <v/>
      </c>
      <c r="Q59" s="2" t="str">
        <f t="array" ref="Q59">IF(NOW()&gt;BB59,"",IF(AND((WEEKDAY($A59)+$B$2)&gt;1,((WEEKDAY($A59)+$T$2)&lt;7),(WEEKDAY($A59)&lt;&gt;1)),"work",(INDEX(Subject!$A:$I,MATCH(RANDBETWEEN(1,(MAX(Subject!$B:$B))),Subject!$B:$B,0),3))))</f>
        <v/>
      </c>
      <c r="R59" s="2" t="str">
        <f t="array" ref="R59">IF(NOW()&gt;BC59,"",IF(AND((WEEKDAY($A59)+$B$2)&gt;1,((WEEKDAY($A59)+$T$2)&lt;7),(WEEKDAY($A59)&lt;&gt;1)),"work",(INDEX(Subject!$A:$I,MATCH(RANDBETWEEN(1,(MAX(Subject!$B:$B))),Subject!$B:$B,0),3))))</f>
        <v/>
      </c>
      <c r="S59" s="2" t="str">
        <f t="array" ref="S59">IF(NOW()&gt;BD59,"",IF(AND((WEEKDAY($A59)+$B$2)&gt;1,((WEEKDAY($A59)+$T$2)&lt;7),(WEEKDAY($A59)&lt;&gt;1)),"work",(INDEX(Subject!$A:$I,MATCH(RANDBETWEEN(1,(MAX(Subject!$B:$B))),Subject!$B:$B,0),3))))</f>
        <v/>
      </c>
      <c r="T59" s="2" t="str">
        <f t="array" ref="T59">IF(NOW()&gt;BE59,"",IF(AND((WEEKDAY($A59)+$B$2)&gt;1,((WEEKDAY($A59)+$T$2)&lt;7),(WEEKDAY($A59)&lt;&gt;1)),"work",(INDEX(Subject!$A:$I,MATCH(RANDBETWEEN(1,(MAX(Subject!$B:$B))),Subject!$B:$B,0),3))))</f>
        <v/>
      </c>
      <c r="U59" s="8" t="str">
        <f t="array" ref="U59">INDEX(Subject!$A:$I,MATCH(RANDBETWEEN(1,16),Subject!$B:$B,0),3)</f>
        <v>#N/A</v>
      </c>
      <c r="V59" s="8" t="str">
        <f t="array" ref="V59">INDEX(Subject!$A:$I,MATCH(RANDBETWEEN(1,16),Subject!$B:$B,0),3)</f>
        <v>#N/A</v>
      </c>
      <c r="W59" s="8" t="str">
        <f t="array" ref="W59">INDEX(Subject!$A:$I,MATCH(RANDBETWEEN(1,16),Subject!$B:$B,0),3)</f>
        <v>#N/A</v>
      </c>
      <c r="X59" s="8" t="str">
        <f t="array" ref="X59">INDEX(Subject!$A:$I,MATCH(RANDBETWEEN(1,16),Subject!$B:$B,0),3)</f>
        <v>#N/A</v>
      </c>
      <c r="Y59" s="8" t="str">
        <f t="array" ref="Y59">INDEX(Subject!$A:$I,MATCH(RANDBETWEEN(1,16),Subject!$B:$B,0),3)</f>
        <v>#N/A</v>
      </c>
      <c r="Z59" s="8" t="str">
        <f t="array" ref="Z59">INDEX(Subject!$A:$I,MATCH(RANDBETWEEN(1,16),Subject!$B:$B,0),3)</f>
        <v>#N/A</v>
      </c>
      <c r="AA59" s="8" t="str">
        <f t="array" ref="AA59">INDEX(Subject!$A:$I,MATCH(RANDBETWEEN(1,16),Subject!$B:$B,0),3)</f>
        <v>#N/A</v>
      </c>
      <c r="AB59" s="8" t="str">
        <f t="array" ref="AB59">INDEX(Subject!$A:$I,MATCH(RANDBETWEEN(1,16),Subject!$B:$B,0),3)</f>
        <v>#N/A</v>
      </c>
      <c r="AC59" s="8" t="str">
        <f t="array" ref="AC59">INDEX(Subject!$A:$I,MATCH(RANDBETWEEN(1,16),Subject!$B:$B,0),3)</f>
        <v>#N/A</v>
      </c>
      <c r="AD59" s="8" t="str">
        <f t="array" ref="AD59">INDEX(Subject!$A:$I,MATCH(RANDBETWEEN(1,16),Subject!$B:$B,0),3)</f>
        <v>#N/A</v>
      </c>
      <c r="AE59" s="8" t="str">
        <f t="array" ref="AE59">INDEX(Subject!$A:$I,MATCH(RANDBETWEEN(1,16),Subject!$B:$B,0),3)</f>
        <v>#N/A</v>
      </c>
      <c r="AF59" s="8" t="str">
        <f t="array" ref="AF59">INDEX(Subject!$A:$I,MATCH(RANDBETWEEN(1,16),Subject!$B:$B,0),3)</f>
        <v>#N/A</v>
      </c>
      <c r="AG59" s="8" t="str">
        <f t="array" ref="AG59">INDEX(Subject!$A:$I,MATCH(RANDBETWEEN(1,16),Subject!$B:$B,0),3)</f>
        <v>#N/A</v>
      </c>
      <c r="AH59" s="8" t="str">
        <f t="array" ref="AH59">INDEX(Subject!$A:$I,MATCH(RANDBETWEEN(1,16),Subject!$B:$B,0),3)</f>
        <v>#N/A</v>
      </c>
      <c r="AI59" s="8" t="str">
        <f t="array" ref="AI59">INDEX(Subject!$A:$I,MATCH(RANDBETWEEN(1,16),Subject!$B:$B,0),3)</f>
        <v>#N/A</v>
      </c>
      <c r="AJ59" s="8" t="str">
        <f t="array" ref="AJ59">INDEX(Subject!$A:$I,MATCH(RANDBETWEEN(1,16),Subject!$B:$B,0),3)</f>
        <v>#N/A</v>
      </c>
      <c r="AK59" s="8" t="str">
        <f t="array" ref="AK59">INDEX(Subject!$A:$I,MATCH(RANDBETWEEN(1,16),Subject!$B:$B,0),3)</f>
        <v>#N/A</v>
      </c>
      <c r="AL59" s="8" t="str">
        <f t="array" ref="AL59">INDEX(Subject!$A:$I,MATCH(RANDBETWEEN(1,16),Subject!$B:$B,0),3)</f>
        <v/>
      </c>
      <c r="AM59" s="18">
        <f t="shared" si="4"/>
        <v>45559.33333</v>
      </c>
      <c r="AN59" s="19">
        <f t="shared" ref="AN59:BZ59" si="59">$A59+C$1</f>
        <v>45559.35417</v>
      </c>
      <c r="AO59" s="19">
        <f t="shared" si="59"/>
        <v>45559.375</v>
      </c>
      <c r="AP59" s="19">
        <f t="shared" si="59"/>
        <v>45559.39583</v>
      </c>
      <c r="AQ59" s="19">
        <f t="shared" si="59"/>
        <v>45559.41667</v>
      </c>
      <c r="AR59" s="19">
        <f t="shared" si="59"/>
        <v>45559.4375</v>
      </c>
      <c r="AS59" s="19">
        <f t="shared" si="59"/>
        <v>45559.45833</v>
      </c>
      <c r="AT59" s="19">
        <f t="shared" si="59"/>
        <v>45559.47917</v>
      </c>
      <c r="AU59" s="19">
        <f t="shared" si="59"/>
        <v>45559.5</v>
      </c>
      <c r="AV59" s="19">
        <f t="shared" si="59"/>
        <v>45559.52083</v>
      </c>
      <c r="AW59" s="19">
        <f t="shared" si="59"/>
        <v>45559.54167</v>
      </c>
      <c r="AX59" s="19">
        <f t="shared" si="59"/>
        <v>45559.5625</v>
      </c>
      <c r="AY59" s="19">
        <f t="shared" si="59"/>
        <v>45559.58333</v>
      </c>
      <c r="AZ59" s="19">
        <f t="shared" si="59"/>
        <v>45559.60417</v>
      </c>
      <c r="BA59" s="19">
        <f t="shared" si="59"/>
        <v>45559.625</v>
      </c>
      <c r="BB59" s="19">
        <f t="shared" si="59"/>
        <v>45559.64583</v>
      </c>
      <c r="BC59" s="19">
        <f t="shared" si="59"/>
        <v>45559.66667</v>
      </c>
      <c r="BD59" s="19">
        <f t="shared" si="59"/>
        <v>45559.6875</v>
      </c>
      <c r="BE59" s="19">
        <f t="shared" si="59"/>
        <v>45559.70833</v>
      </c>
      <c r="BF59" s="19">
        <f t="shared" si="59"/>
        <v>45559.72917</v>
      </c>
      <c r="BG59" s="19">
        <f t="shared" si="59"/>
        <v>45559.75</v>
      </c>
      <c r="BH59" s="19">
        <f t="shared" si="59"/>
        <v>45559.77083</v>
      </c>
      <c r="BI59" s="19">
        <f t="shared" si="59"/>
        <v>45559.79167</v>
      </c>
      <c r="BJ59" s="19">
        <f t="shared" si="59"/>
        <v>45559.8125</v>
      </c>
      <c r="BK59" s="19">
        <f t="shared" si="59"/>
        <v>45559.83333</v>
      </c>
      <c r="BL59" s="19">
        <f t="shared" si="59"/>
        <v>45559.85417</v>
      </c>
      <c r="BM59" s="19">
        <f t="shared" si="59"/>
        <v>45559.875</v>
      </c>
      <c r="BN59" s="19">
        <f t="shared" si="59"/>
        <v>45559.89583</v>
      </c>
      <c r="BO59" s="19">
        <f t="shared" si="59"/>
        <v>45559.91667</v>
      </c>
      <c r="BP59" s="19">
        <f t="shared" si="59"/>
        <v>45559.9375</v>
      </c>
      <c r="BQ59" s="19">
        <f t="shared" si="59"/>
        <v>45559.95833</v>
      </c>
      <c r="BR59" s="19">
        <f t="shared" si="59"/>
        <v>45559.97917</v>
      </c>
      <c r="BS59" s="19">
        <f t="shared" si="59"/>
        <v>45560</v>
      </c>
      <c r="BT59" s="19">
        <f t="shared" si="59"/>
        <v>45560.02083</v>
      </c>
      <c r="BU59" s="19">
        <f t="shared" si="59"/>
        <v>45560.04167</v>
      </c>
      <c r="BV59" s="19">
        <f t="shared" si="59"/>
        <v>45560.0625</v>
      </c>
      <c r="BW59" s="19">
        <f t="shared" si="59"/>
        <v>45560.08333</v>
      </c>
      <c r="BX59" s="19">
        <f t="shared" si="59"/>
        <v>45559</v>
      </c>
      <c r="BY59" s="19">
        <f t="shared" si="59"/>
        <v>45559</v>
      </c>
      <c r="BZ59" s="19">
        <f t="shared" si="59"/>
        <v>45559</v>
      </c>
    </row>
    <row r="60" ht="14.25" customHeight="1">
      <c r="A60" s="17">
        <v>45560.0</v>
      </c>
      <c r="B60" s="2" t="str">
        <f t="array" ref="B60">IF(NOW()&gt;AM60,"",IF(AND((WEEKDAY($A60)+$B$2)&gt;1,((WEEKDAY($A60)+$T$2)&lt;7),(WEEKDAY($A60)&lt;&gt;1)),"work",(INDEX(Subject!$A:$I,MATCH(RANDBETWEEN(1,(MAX(Subject!$B:$B))),Subject!$B:$B,0),3))))</f>
        <v/>
      </c>
      <c r="C60" s="2" t="str">
        <f t="array" ref="C60">IF(NOW()&gt;AN60,"",IF(AND((WEEKDAY($A60)+$B$2)&gt;1,((WEEKDAY($A60)+$T$2)&lt;7),(WEEKDAY($A60)&lt;&gt;1)),"work",(INDEX(Subject!$A:$I,MATCH(RANDBETWEEN(1,(MAX(Subject!$B:$B))),Subject!$B:$B,0),3))))</f>
        <v/>
      </c>
      <c r="D60" s="2" t="str">
        <f t="array" ref="D60">IF(NOW()&gt;AO60,"",IF(AND((WEEKDAY($A60)+$B$2)&gt;1,((WEEKDAY($A60)+$T$2)&lt;7),(WEEKDAY($A60)&lt;&gt;1)),"work",(INDEX(Subject!$A:$I,MATCH(RANDBETWEEN(1,(MAX(Subject!$B:$B))),Subject!$B:$B,0),3))))</f>
        <v/>
      </c>
      <c r="E60" s="2" t="str">
        <f t="array" ref="E60">IF(NOW()&gt;AP60,"",IF(AND((WEEKDAY($A60)+$B$2)&gt;1,((WEEKDAY($A60)+$T$2)&lt;7),(WEEKDAY($A60)&lt;&gt;1)),"work",(INDEX(Subject!$A:$I,MATCH(RANDBETWEEN(1,(MAX(Subject!$B:$B))),Subject!$B:$B,0),3))))</f>
        <v/>
      </c>
      <c r="F60" s="2" t="str">
        <f t="array" ref="F60">IF(NOW()&gt;AQ60,"",IF(AND((WEEKDAY($A60)+$B$2)&gt;1,((WEEKDAY($A60)+$T$2)&lt;7),(WEEKDAY($A60)&lt;&gt;1)),"work",(INDEX(Subject!$A:$I,MATCH(RANDBETWEEN(1,(MAX(Subject!$B:$B))),Subject!$B:$B,0),3))))</f>
        <v/>
      </c>
      <c r="G60" s="2" t="str">
        <f t="array" ref="G60">IF(NOW()&gt;AR60,"",IF(AND((WEEKDAY($A60)+$B$2)&gt;1,((WEEKDAY($A60)+$T$2)&lt;7),(WEEKDAY($A60)&lt;&gt;1)),"work",(INDEX(Subject!$A:$I,MATCH(RANDBETWEEN(1,(MAX(Subject!$B:$B))),Subject!$B:$B,0),3))))</f>
        <v/>
      </c>
      <c r="H60" s="2" t="str">
        <f t="array" ref="H60">IF(NOW()&gt;AS60,"",IF(AND((WEEKDAY($A60)+$B$2)&gt;1,((WEEKDAY($A60)+$T$2)&lt;7),(WEEKDAY($A60)&lt;&gt;1)),"work",(INDEX(Subject!$A:$I,MATCH(RANDBETWEEN(1,(MAX(Subject!$B:$B))),Subject!$B:$B,0),3))))</f>
        <v/>
      </c>
      <c r="I60" s="2" t="str">
        <f t="array" ref="I60">IF(NOW()&gt;AT60,"",IF(AND((WEEKDAY($A60)+$B$2)&gt;1,((WEEKDAY($A60)+$T$2)&lt;7),(WEEKDAY($A60)&lt;&gt;1)),"work",(INDEX(Subject!$A:$I,MATCH(RANDBETWEEN(1,(MAX(Subject!$B:$B))),Subject!$B:$B,0),3))))</f>
        <v/>
      </c>
      <c r="J60" s="2" t="str">
        <f t="array" ref="J60">IF(NOW()&gt;AU60,"",IF(AND((WEEKDAY($A60)+$B$2)&gt;1,((WEEKDAY($A60)+$T$2)&lt;7),(WEEKDAY($A60)&lt;&gt;1)),"work",(INDEX(Subject!$A:$I,MATCH(RANDBETWEEN(1,(MAX(Subject!$B:$B))),Subject!$B:$B,0),3))))</f>
        <v/>
      </c>
      <c r="K60" s="2" t="str">
        <f t="array" ref="K60">IF(NOW()&gt;AV60,"",IF(AND((WEEKDAY($A60)+$B$2)&gt;1,((WEEKDAY($A60)+$T$2)&lt;7),(WEEKDAY($A60)&lt;&gt;1)),"work",(INDEX(Subject!$A:$I,MATCH(RANDBETWEEN(1,(MAX(Subject!$B:$B))),Subject!$B:$B,0),3))))</f>
        <v/>
      </c>
      <c r="L60" s="2" t="str">
        <f t="array" ref="L60">IF(NOW()&gt;AW60,"",IF(AND((WEEKDAY($A60)+$B$2)&gt;1,((WEEKDAY($A60)+$T$2)&lt;7),(WEEKDAY($A60)&lt;&gt;1)),"work",(INDEX(Subject!$A:$I,MATCH(RANDBETWEEN(1,(MAX(Subject!$B:$B))),Subject!$B:$B,0),3))))</f>
        <v/>
      </c>
      <c r="M60" s="2" t="str">
        <f t="array" ref="M60">IF(NOW()&gt;AX60,"",IF(AND((WEEKDAY($A60)+$B$2)&gt;1,((WEEKDAY($A60)+$T$2)&lt;7),(WEEKDAY($A60)&lt;&gt;1)),"work",(INDEX(Subject!$A:$I,MATCH(RANDBETWEEN(1,(MAX(Subject!$B:$B))),Subject!$B:$B,0),3))))</f>
        <v/>
      </c>
      <c r="N60" s="2" t="str">
        <f t="array" ref="N60">IF(NOW()&gt;AY60,"",IF(AND((WEEKDAY($A60)+$B$2)&gt;1,((WEEKDAY($A60)+$T$2)&lt;7),(WEEKDAY($A60)&lt;&gt;1)),"work",(INDEX(Subject!$A:$I,MATCH(RANDBETWEEN(1,(MAX(Subject!$B:$B))),Subject!$B:$B,0),3))))</f>
        <v/>
      </c>
      <c r="O60" s="2" t="str">
        <f t="array" ref="O60">IF(NOW()&gt;AZ60,"",IF(AND((WEEKDAY($A60)+$B$2)&gt;1,((WEEKDAY($A60)+$T$2)&lt;7),(WEEKDAY($A60)&lt;&gt;1)),"work",(INDEX(Subject!$A:$I,MATCH(RANDBETWEEN(1,(MAX(Subject!$B:$B))),Subject!$B:$B,0),3))))</f>
        <v/>
      </c>
      <c r="P60" s="2" t="str">
        <f t="array" ref="P60">IF(NOW()&gt;BA60,"",IF(AND((WEEKDAY($A60)+$B$2)&gt;1,((WEEKDAY($A60)+$T$2)&lt;7),(WEEKDAY($A60)&lt;&gt;1)),"work",(INDEX(Subject!$A:$I,MATCH(RANDBETWEEN(1,(MAX(Subject!$B:$B))),Subject!$B:$B,0),3))))</f>
        <v/>
      </c>
      <c r="Q60" s="2" t="str">
        <f t="array" ref="Q60">IF(NOW()&gt;BB60,"",IF(AND((WEEKDAY($A60)+$B$2)&gt;1,((WEEKDAY($A60)+$T$2)&lt;7),(WEEKDAY($A60)&lt;&gt;1)),"work",(INDEX(Subject!$A:$I,MATCH(RANDBETWEEN(1,(MAX(Subject!$B:$B))),Subject!$B:$B,0),3))))</f>
        <v/>
      </c>
      <c r="R60" s="2" t="str">
        <f t="array" ref="R60">IF(NOW()&gt;BC60,"",IF(AND((WEEKDAY($A60)+$B$2)&gt;1,((WEEKDAY($A60)+$T$2)&lt;7),(WEEKDAY($A60)&lt;&gt;1)),"work",(INDEX(Subject!$A:$I,MATCH(RANDBETWEEN(1,(MAX(Subject!$B:$B))),Subject!$B:$B,0),3))))</f>
        <v/>
      </c>
      <c r="S60" s="2" t="str">
        <f t="array" ref="S60">IF(NOW()&gt;BD60,"",IF(AND((WEEKDAY($A60)+$B$2)&gt;1,((WEEKDAY($A60)+$T$2)&lt;7),(WEEKDAY($A60)&lt;&gt;1)),"work",(INDEX(Subject!$A:$I,MATCH(RANDBETWEEN(1,(MAX(Subject!$B:$B))),Subject!$B:$B,0),3))))</f>
        <v/>
      </c>
      <c r="T60" s="2" t="str">
        <f t="array" ref="T60">IF(NOW()&gt;BE60,"",IF(AND((WEEKDAY($A60)+$B$2)&gt;1,((WEEKDAY($A60)+$T$2)&lt;7),(WEEKDAY($A60)&lt;&gt;1)),"work",(INDEX(Subject!$A:$I,MATCH(RANDBETWEEN(1,(MAX(Subject!$B:$B))),Subject!$B:$B,0),3))))</f>
        <v/>
      </c>
      <c r="U60" s="8" t="str">
        <f t="array" ref="U60">INDEX(Subject!$A:$I,MATCH(RANDBETWEEN(1,16),Subject!$B:$B,0),3)</f>
        <v>#N/A</v>
      </c>
      <c r="V60" s="8" t="str">
        <f t="array" ref="V60">INDEX(Subject!$A:$I,MATCH(RANDBETWEEN(1,16),Subject!$B:$B,0),3)</f>
        <v>#N/A</v>
      </c>
      <c r="W60" s="8" t="str">
        <f t="array" ref="W60">INDEX(Subject!$A:$I,MATCH(RANDBETWEEN(1,16),Subject!$B:$B,0),3)</f>
        <v>#N/A</v>
      </c>
      <c r="X60" s="8" t="str">
        <f t="array" ref="X60">INDEX(Subject!$A:$I,MATCH(RANDBETWEEN(1,16),Subject!$B:$B,0),3)</f>
        <v>#N/A</v>
      </c>
      <c r="Y60" s="8" t="str">
        <f t="array" ref="Y60">INDEX(Subject!$A:$I,MATCH(RANDBETWEEN(1,16),Subject!$B:$B,0),3)</f>
        <v>#N/A</v>
      </c>
      <c r="Z60" s="8" t="str">
        <f t="array" ref="Z60">INDEX(Subject!$A:$I,MATCH(RANDBETWEEN(1,16),Subject!$B:$B,0),3)</f>
        <v>#N/A</v>
      </c>
      <c r="AA60" s="8" t="str">
        <f t="array" ref="AA60">INDEX(Subject!$A:$I,MATCH(RANDBETWEEN(1,16),Subject!$B:$B,0),3)</f>
        <v>#N/A</v>
      </c>
      <c r="AB60" s="8" t="str">
        <f t="array" ref="AB60">INDEX(Subject!$A:$I,MATCH(RANDBETWEEN(1,16),Subject!$B:$B,0),3)</f>
        <v>#N/A</v>
      </c>
      <c r="AC60" s="8" t="str">
        <f t="array" ref="AC60">INDEX(Subject!$A:$I,MATCH(RANDBETWEEN(1,16),Subject!$B:$B,0),3)</f>
        <v>#N/A</v>
      </c>
      <c r="AD60" s="8" t="str">
        <f t="array" ref="AD60">INDEX(Subject!$A:$I,MATCH(RANDBETWEEN(1,16),Subject!$B:$B,0),3)</f>
        <v>#N/A</v>
      </c>
      <c r="AE60" s="8" t="str">
        <f t="array" ref="AE60">INDEX(Subject!$A:$I,MATCH(RANDBETWEEN(1,16),Subject!$B:$B,0),3)</f>
        <v>#N/A</v>
      </c>
      <c r="AF60" s="8" t="str">
        <f t="array" ref="AF60">INDEX(Subject!$A:$I,MATCH(RANDBETWEEN(1,16),Subject!$B:$B,0),3)</f>
        <v>#N/A</v>
      </c>
      <c r="AG60" s="8" t="str">
        <f t="array" ref="AG60">INDEX(Subject!$A:$I,MATCH(RANDBETWEEN(1,16),Subject!$B:$B,0),3)</f>
        <v/>
      </c>
      <c r="AH60" s="8" t="str">
        <f t="array" ref="AH60">INDEX(Subject!$A:$I,MATCH(RANDBETWEEN(1,16),Subject!$B:$B,0),3)</f>
        <v>#N/A</v>
      </c>
      <c r="AI60" s="8" t="str">
        <f t="array" ref="AI60">INDEX(Subject!$A:$I,MATCH(RANDBETWEEN(1,16),Subject!$B:$B,0),3)</f>
        <v>#N/A</v>
      </c>
      <c r="AJ60" s="8" t="str">
        <f t="array" ref="AJ60">INDEX(Subject!$A:$I,MATCH(RANDBETWEEN(1,16),Subject!$B:$B,0),3)</f>
        <v>#N/A</v>
      </c>
      <c r="AK60" s="8" t="str">
        <f t="array" ref="AK60">INDEX(Subject!$A:$I,MATCH(RANDBETWEEN(1,16),Subject!$B:$B,0),3)</f>
        <v>#N/A</v>
      </c>
      <c r="AL60" s="8" t="str">
        <f t="array" ref="AL60">INDEX(Subject!$A:$I,MATCH(RANDBETWEEN(1,16),Subject!$B:$B,0),3)</f>
        <v>#N/A</v>
      </c>
      <c r="AM60" s="18">
        <f t="shared" si="4"/>
        <v>45560.33333</v>
      </c>
      <c r="AN60" s="19">
        <f t="shared" ref="AN60:BZ60" si="60">$A60+C$1</f>
        <v>45560.35417</v>
      </c>
      <c r="AO60" s="19">
        <f t="shared" si="60"/>
        <v>45560.375</v>
      </c>
      <c r="AP60" s="19">
        <f t="shared" si="60"/>
        <v>45560.39583</v>
      </c>
      <c r="AQ60" s="19">
        <f t="shared" si="60"/>
        <v>45560.41667</v>
      </c>
      <c r="AR60" s="19">
        <f t="shared" si="60"/>
        <v>45560.4375</v>
      </c>
      <c r="AS60" s="19">
        <f t="shared" si="60"/>
        <v>45560.45833</v>
      </c>
      <c r="AT60" s="19">
        <f t="shared" si="60"/>
        <v>45560.47917</v>
      </c>
      <c r="AU60" s="19">
        <f t="shared" si="60"/>
        <v>45560.5</v>
      </c>
      <c r="AV60" s="19">
        <f t="shared" si="60"/>
        <v>45560.52083</v>
      </c>
      <c r="AW60" s="19">
        <f t="shared" si="60"/>
        <v>45560.54167</v>
      </c>
      <c r="AX60" s="19">
        <f t="shared" si="60"/>
        <v>45560.5625</v>
      </c>
      <c r="AY60" s="19">
        <f t="shared" si="60"/>
        <v>45560.58333</v>
      </c>
      <c r="AZ60" s="19">
        <f t="shared" si="60"/>
        <v>45560.60417</v>
      </c>
      <c r="BA60" s="19">
        <f t="shared" si="60"/>
        <v>45560.625</v>
      </c>
      <c r="BB60" s="19">
        <f t="shared" si="60"/>
        <v>45560.64583</v>
      </c>
      <c r="BC60" s="19">
        <f t="shared" si="60"/>
        <v>45560.66667</v>
      </c>
      <c r="BD60" s="19">
        <f t="shared" si="60"/>
        <v>45560.6875</v>
      </c>
      <c r="BE60" s="19">
        <f t="shared" si="60"/>
        <v>45560.70833</v>
      </c>
      <c r="BF60" s="19">
        <f t="shared" si="60"/>
        <v>45560.72917</v>
      </c>
      <c r="BG60" s="19">
        <f t="shared" si="60"/>
        <v>45560.75</v>
      </c>
      <c r="BH60" s="19">
        <f t="shared" si="60"/>
        <v>45560.77083</v>
      </c>
      <c r="BI60" s="19">
        <f t="shared" si="60"/>
        <v>45560.79167</v>
      </c>
      <c r="BJ60" s="19">
        <f t="shared" si="60"/>
        <v>45560.8125</v>
      </c>
      <c r="BK60" s="19">
        <f t="shared" si="60"/>
        <v>45560.83333</v>
      </c>
      <c r="BL60" s="19">
        <f t="shared" si="60"/>
        <v>45560.85417</v>
      </c>
      <c r="BM60" s="19">
        <f t="shared" si="60"/>
        <v>45560.875</v>
      </c>
      <c r="BN60" s="19">
        <f t="shared" si="60"/>
        <v>45560.89583</v>
      </c>
      <c r="BO60" s="19">
        <f t="shared" si="60"/>
        <v>45560.91667</v>
      </c>
      <c r="BP60" s="19">
        <f t="shared" si="60"/>
        <v>45560.9375</v>
      </c>
      <c r="BQ60" s="19">
        <f t="shared" si="60"/>
        <v>45560.95833</v>
      </c>
      <c r="BR60" s="19">
        <f t="shared" si="60"/>
        <v>45560.97917</v>
      </c>
      <c r="BS60" s="19">
        <f t="shared" si="60"/>
        <v>45561</v>
      </c>
      <c r="BT60" s="19">
        <f t="shared" si="60"/>
        <v>45561.02083</v>
      </c>
      <c r="BU60" s="19">
        <f t="shared" si="60"/>
        <v>45561.04167</v>
      </c>
      <c r="BV60" s="19">
        <f t="shared" si="60"/>
        <v>45561.0625</v>
      </c>
      <c r="BW60" s="19">
        <f t="shared" si="60"/>
        <v>45561.08333</v>
      </c>
      <c r="BX60" s="19">
        <f t="shared" si="60"/>
        <v>45560</v>
      </c>
      <c r="BY60" s="19">
        <f t="shared" si="60"/>
        <v>45560</v>
      </c>
      <c r="BZ60" s="19">
        <f t="shared" si="60"/>
        <v>45560</v>
      </c>
    </row>
    <row r="61" ht="14.25" customHeight="1">
      <c r="A61" s="17">
        <v>45561.0</v>
      </c>
      <c r="B61" s="2" t="str">
        <f t="array" ref="B61">IF(NOW()&gt;AM61,"",IF(AND((WEEKDAY($A61)+$B$2)&gt;1,((WEEKDAY($A61)+$T$2)&lt;7),(WEEKDAY($A61)&lt;&gt;1)),"work",(INDEX(Subject!$A:$I,MATCH(RANDBETWEEN(1,(MAX(Subject!$B:$B))),Subject!$B:$B,0),3))))</f>
        <v/>
      </c>
      <c r="C61" s="2" t="str">
        <f t="array" ref="C61">IF(NOW()&gt;AN61,"",IF(AND((WEEKDAY($A61)+$B$2)&gt;1,((WEEKDAY($A61)+$T$2)&lt;7),(WEEKDAY($A61)&lt;&gt;1)),"work",(INDEX(Subject!$A:$I,MATCH(RANDBETWEEN(1,(MAX(Subject!$B:$B))),Subject!$B:$B,0),3))))</f>
        <v/>
      </c>
      <c r="D61" s="2" t="str">
        <f t="array" ref="D61">IF(NOW()&gt;AO61,"",IF(AND((WEEKDAY($A61)+$B$2)&gt;1,((WEEKDAY($A61)+$T$2)&lt;7),(WEEKDAY($A61)&lt;&gt;1)),"work",(INDEX(Subject!$A:$I,MATCH(RANDBETWEEN(1,(MAX(Subject!$B:$B))),Subject!$B:$B,0),3))))</f>
        <v/>
      </c>
      <c r="E61" s="2" t="str">
        <f t="array" ref="E61">IF(NOW()&gt;AP61,"",IF(AND((WEEKDAY($A61)+$B$2)&gt;1,((WEEKDAY($A61)+$T$2)&lt;7),(WEEKDAY($A61)&lt;&gt;1)),"work",(INDEX(Subject!$A:$I,MATCH(RANDBETWEEN(1,(MAX(Subject!$B:$B))),Subject!$B:$B,0),3))))</f>
        <v/>
      </c>
      <c r="F61" s="2" t="str">
        <f t="array" ref="F61">IF(NOW()&gt;AQ61,"",IF(AND((WEEKDAY($A61)+$B$2)&gt;1,((WEEKDAY($A61)+$T$2)&lt;7),(WEEKDAY($A61)&lt;&gt;1)),"work",(INDEX(Subject!$A:$I,MATCH(RANDBETWEEN(1,(MAX(Subject!$B:$B))),Subject!$B:$B,0),3))))</f>
        <v/>
      </c>
      <c r="G61" s="2" t="str">
        <f t="array" ref="G61">IF(NOW()&gt;AR61,"",IF(AND((WEEKDAY($A61)+$B$2)&gt;1,((WEEKDAY($A61)+$T$2)&lt;7),(WEEKDAY($A61)&lt;&gt;1)),"work",(INDEX(Subject!$A:$I,MATCH(RANDBETWEEN(1,(MAX(Subject!$B:$B))),Subject!$B:$B,0),3))))</f>
        <v/>
      </c>
      <c r="H61" s="2" t="str">
        <f t="array" ref="H61">IF(NOW()&gt;AS61,"",IF(AND((WEEKDAY($A61)+$B$2)&gt;1,((WEEKDAY($A61)+$T$2)&lt;7),(WEEKDAY($A61)&lt;&gt;1)),"work",(INDEX(Subject!$A:$I,MATCH(RANDBETWEEN(1,(MAX(Subject!$B:$B))),Subject!$B:$B,0),3))))</f>
        <v/>
      </c>
      <c r="I61" s="2" t="str">
        <f t="array" ref="I61">IF(NOW()&gt;AT61,"",IF(AND((WEEKDAY($A61)+$B$2)&gt;1,((WEEKDAY($A61)+$T$2)&lt;7),(WEEKDAY($A61)&lt;&gt;1)),"work",(INDEX(Subject!$A:$I,MATCH(RANDBETWEEN(1,(MAX(Subject!$B:$B))),Subject!$B:$B,0),3))))</f>
        <v/>
      </c>
      <c r="J61" s="2" t="str">
        <f t="array" ref="J61">IF(NOW()&gt;AU61,"",IF(AND((WEEKDAY($A61)+$B$2)&gt;1,((WEEKDAY($A61)+$T$2)&lt;7),(WEEKDAY($A61)&lt;&gt;1)),"work",(INDEX(Subject!$A:$I,MATCH(RANDBETWEEN(1,(MAX(Subject!$B:$B))),Subject!$B:$B,0),3))))</f>
        <v/>
      </c>
      <c r="K61" s="2" t="str">
        <f t="array" ref="K61">IF(NOW()&gt;AV61,"",IF(AND((WEEKDAY($A61)+$B$2)&gt;1,((WEEKDAY($A61)+$T$2)&lt;7),(WEEKDAY($A61)&lt;&gt;1)),"work",(INDEX(Subject!$A:$I,MATCH(RANDBETWEEN(1,(MAX(Subject!$B:$B))),Subject!$B:$B,0),3))))</f>
        <v/>
      </c>
      <c r="L61" s="2" t="str">
        <f t="array" ref="L61">IF(NOW()&gt;AW61,"",IF(AND((WEEKDAY($A61)+$B$2)&gt;1,((WEEKDAY($A61)+$T$2)&lt;7),(WEEKDAY($A61)&lt;&gt;1)),"work",(INDEX(Subject!$A:$I,MATCH(RANDBETWEEN(1,(MAX(Subject!$B:$B))),Subject!$B:$B,0),3))))</f>
        <v/>
      </c>
      <c r="M61" s="2" t="str">
        <f t="array" ref="M61">IF(NOW()&gt;AX61,"",IF(AND((WEEKDAY($A61)+$B$2)&gt;1,((WEEKDAY($A61)+$T$2)&lt;7),(WEEKDAY($A61)&lt;&gt;1)),"work",(INDEX(Subject!$A:$I,MATCH(RANDBETWEEN(1,(MAX(Subject!$B:$B))),Subject!$B:$B,0),3))))</f>
        <v/>
      </c>
      <c r="N61" s="2" t="str">
        <f t="array" ref="N61">IF(NOW()&gt;AY61,"",IF(AND((WEEKDAY($A61)+$B$2)&gt;1,((WEEKDAY($A61)+$T$2)&lt;7),(WEEKDAY($A61)&lt;&gt;1)),"work",(INDEX(Subject!$A:$I,MATCH(RANDBETWEEN(1,(MAX(Subject!$B:$B))),Subject!$B:$B,0),3))))</f>
        <v/>
      </c>
      <c r="O61" s="2" t="str">
        <f t="array" ref="O61">IF(NOW()&gt;AZ61,"",IF(AND((WEEKDAY($A61)+$B$2)&gt;1,((WEEKDAY($A61)+$T$2)&lt;7),(WEEKDAY($A61)&lt;&gt;1)),"work",(INDEX(Subject!$A:$I,MATCH(RANDBETWEEN(1,(MAX(Subject!$B:$B))),Subject!$B:$B,0),3))))</f>
        <v/>
      </c>
      <c r="P61" s="2" t="str">
        <f t="array" ref="P61">IF(NOW()&gt;BA61,"",IF(AND((WEEKDAY($A61)+$B$2)&gt;1,((WEEKDAY($A61)+$T$2)&lt;7),(WEEKDAY($A61)&lt;&gt;1)),"work",(INDEX(Subject!$A:$I,MATCH(RANDBETWEEN(1,(MAX(Subject!$B:$B))),Subject!$B:$B,0),3))))</f>
        <v/>
      </c>
      <c r="Q61" s="2" t="str">
        <f t="array" ref="Q61">IF(NOW()&gt;BB61,"",IF(AND((WEEKDAY($A61)+$B$2)&gt;1,((WEEKDAY($A61)+$T$2)&lt;7),(WEEKDAY($A61)&lt;&gt;1)),"work",(INDEX(Subject!$A:$I,MATCH(RANDBETWEEN(1,(MAX(Subject!$B:$B))),Subject!$B:$B,0),3))))</f>
        <v/>
      </c>
      <c r="R61" s="2" t="str">
        <f t="array" ref="R61">IF(NOW()&gt;BC61,"",IF(AND((WEEKDAY($A61)+$B$2)&gt;1,((WEEKDAY($A61)+$T$2)&lt;7),(WEEKDAY($A61)&lt;&gt;1)),"work",(INDEX(Subject!$A:$I,MATCH(RANDBETWEEN(1,(MAX(Subject!$B:$B))),Subject!$B:$B,0),3))))</f>
        <v/>
      </c>
      <c r="S61" s="2" t="str">
        <f t="array" ref="S61">IF(NOW()&gt;BD61,"",IF(AND((WEEKDAY($A61)+$B$2)&gt;1,((WEEKDAY($A61)+$T$2)&lt;7),(WEEKDAY($A61)&lt;&gt;1)),"work",(INDEX(Subject!$A:$I,MATCH(RANDBETWEEN(1,(MAX(Subject!$B:$B))),Subject!$B:$B,0),3))))</f>
        <v/>
      </c>
      <c r="T61" s="2" t="str">
        <f t="array" ref="T61">IF(NOW()&gt;BE61,"",IF(AND((WEEKDAY($A61)+$B$2)&gt;1,((WEEKDAY($A61)+$T$2)&lt;7),(WEEKDAY($A61)&lt;&gt;1)),"work",(INDEX(Subject!$A:$I,MATCH(RANDBETWEEN(1,(MAX(Subject!$B:$B))),Subject!$B:$B,0),3))))</f>
        <v/>
      </c>
      <c r="U61" s="8" t="str">
        <f t="array" ref="U61">INDEX(Subject!$A:$I,MATCH(RANDBETWEEN(1,16),Subject!$B:$B,0),3)</f>
        <v>#N/A</v>
      </c>
      <c r="V61" s="8" t="str">
        <f t="array" ref="V61">INDEX(Subject!$A:$I,MATCH(RANDBETWEEN(1,16),Subject!$B:$B,0),3)</f>
        <v>#N/A</v>
      </c>
      <c r="W61" s="8" t="str">
        <f t="array" ref="W61">INDEX(Subject!$A:$I,MATCH(RANDBETWEEN(1,16),Subject!$B:$B,0),3)</f>
        <v>#N/A</v>
      </c>
      <c r="X61" s="8" t="str">
        <f t="array" ref="X61">INDEX(Subject!$A:$I,MATCH(RANDBETWEEN(1,16),Subject!$B:$B,0),3)</f>
        <v>#N/A</v>
      </c>
      <c r="Y61" s="8" t="str">
        <f t="array" ref="Y61">INDEX(Subject!$A:$I,MATCH(RANDBETWEEN(1,16),Subject!$B:$B,0),3)</f>
        <v>#N/A</v>
      </c>
      <c r="Z61" s="8" t="str">
        <f t="array" ref="Z61">INDEX(Subject!$A:$I,MATCH(RANDBETWEEN(1,16),Subject!$B:$B,0),3)</f>
        <v>#N/A</v>
      </c>
      <c r="AA61" s="8" t="str">
        <f t="array" ref="AA61">INDEX(Subject!$A:$I,MATCH(RANDBETWEEN(1,16),Subject!$B:$B,0),3)</f>
        <v>#N/A</v>
      </c>
      <c r="AB61" s="8" t="str">
        <f t="array" ref="AB61">INDEX(Subject!$A:$I,MATCH(RANDBETWEEN(1,16),Subject!$B:$B,0),3)</f>
        <v>#N/A</v>
      </c>
      <c r="AC61" s="8" t="str">
        <f t="array" ref="AC61">INDEX(Subject!$A:$I,MATCH(RANDBETWEEN(1,16),Subject!$B:$B,0),3)</f>
        <v>#N/A</v>
      </c>
      <c r="AD61" s="8" t="str">
        <f t="array" ref="AD61">INDEX(Subject!$A:$I,MATCH(RANDBETWEEN(1,16),Subject!$B:$B,0),3)</f>
        <v/>
      </c>
      <c r="AE61" s="8" t="str">
        <f t="array" ref="AE61">INDEX(Subject!$A:$I,MATCH(RANDBETWEEN(1,16),Subject!$B:$B,0),3)</f>
        <v>#N/A</v>
      </c>
      <c r="AF61" s="8" t="str">
        <f t="array" ref="AF61">INDEX(Subject!$A:$I,MATCH(RANDBETWEEN(1,16),Subject!$B:$B,0),3)</f>
        <v>#N/A</v>
      </c>
      <c r="AG61" s="8" t="str">
        <f t="array" ref="AG61">INDEX(Subject!$A:$I,MATCH(RANDBETWEEN(1,16),Subject!$B:$B,0),3)</f>
        <v>#N/A</v>
      </c>
      <c r="AH61" s="8" t="str">
        <f t="array" ref="AH61">INDEX(Subject!$A:$I,MATCH(RANDBETWEEN(1,16),Subject!$B:$B,0),3)</f>
        <v>#N/A</v>
      </c>
      <c r="AI61" s="8" t="str">
        <f t="array" ref="AI61">INDEX(Subject!$A:$I,MATCH(RANDBETWEEN(1,16),Subject!$B:$B,0),3)</f>
        <v>#N/A</v>
      </c>
      <c r="AJ61" s="8" t="str">
        <f t="array" ref="AJ61">INDEX(Subject!$A:$I,MATCH(RANDBETWEEN(1,16),Subject!$B:$B,0),3)</f>
        <v/>
      </c>
      <c r="AK61" s="8" t="str">
        <f t="array" ref="AK61">INDEX(Subject!$A:$I,MATCH(RANDBETWEEN(1,16),Subject!$B:$B,0),3)</f>
        <v>#N/A</v>
      </c>
      <c r="AL61" s="8" t="str">
        <f t="array" ref="AL61">INDEX(Subject!$A:$I,MATCH(RANDBETWEEN(1,16),Subject!$B:$B,0),3)</f>
        <v>#N/A</v>
      </c>
      <c r="AM61" s="18">
        <f t="shared" si="4"/>
        <v>45561.33333</v>
      </c>
      <c r="AN61" s="19">
        <f t="shared" ref="AN61:BZ61" si="61">$A61+C$1</f>
        <v>45561.35417</v>
      </c>
      <c r="AO61" s="19">
        <f t="shared" si="61"/>
        <v>45561.375</v>
      </c>
      <c r="AP61" s="19">
        <f t="shared" si="61"/>
        <v>45561.39583</v>
      </c>
      <c r="AQ61" s="19">
        <f t="shared" si="61"/>
        <v>45561.41667</v>
      </c>
      <c r="AR61" s="19">
        <f t="shared" si="61"/>
        <v>45561.4375</v>
      </c>
      <c r="AS61" s="19">
        <f t="shared" si="61"/>
        <v>45561.45833</v>
      </c>
      <c r="AT61" s="19">
        <f t="shared" si="61"/>
        <v>45561.47917</v>
      </c>
      <c r="AU61" s="19">
        <f t="shared" si="61"/>
        <v>45561.5</v>
      </c>
      <c r="AV61" s="19">
        <f t="shared" si="61"/>
        <v>45561.52083</v>
      </c>
      <c r="AW61" s="19">
        <f t="shared" si="61"/>
        <v>45561.54167</v>
      </c>
      <c r="AX61" s="19">
        <f t="shared" si="61"/>
        <v>45561.5625</v>
      </c>
      <c r="AY61" s="19">
        <f t="shared" si="61"/>
        <v>45561.58333</v>
      </c>
      <c r="AZ61" s="19">
        <f t="shared" si="61"/>
        <v>45561.60417</v>
      </c>
      <c r="BA61" s="19">
        <f t="shared" si="61"/>
        <v>45561.625</v>
      </c>
      <c r="BB61" s="19">
        <f t="shared" si="61"/>
        <v>45561.64583</v>
      </c>
      <c r="BC61" s="19">
        <f t="shared" si="61"/>
        <v>45561.66667</v>
      </c>
      <c r="BD61" s="19">
        <f t="shared" si="61"/>
        <v>45561.6875</v>
      </c>
      <c r="BE61" s="19">
        <f t="shared" si="61"/>
        <v>45561.70833</v>
      </c>
      <c r="BF61" s="19">
        <f t="shared" si="61"/>
        <v>45561.72917</v>
      </c>
      <c r="BG61" s="19">
        <f t="shared" si="61"/>
        <v>45561.75</v>
      </c>
      <c r="BH61" s="19">
        <f t="shared" si="61"/>
        <v>45561.77083</v>
      </c>
      <c r="BI61" s="19">
        <f t="shared" si="61"/>
        <v>45561.79167</v>
      </c>
      <c r="BJ61" s="19">
        <f t="shared" si="61"/>
        <v>45561.8125</v>
      </c>
      <c r="BK61" s="19">
        <f t="shared" si="61"/>
        <v>45561.83333</v>
      </c>
      <c r="BL61" s="19">
        <f t="shared" si="61"/>
        <v>45561.85417</v>
      </c>
      <c r="BM61" s="19">
        <f t="shared" si="61"/>
        <v>45561.875</v>
      </c>
      <c r="BN61" s="19">
        <f t="shared" si="61"/>
        <v>45561.89583</v>
      </c>
      <c r="BO61" s="19">
        <f t="shared" si="61"/>
        <v>45561.91667</v>
      </c>
      <c r="BP61" s="19">
        <f t="shared" si="61"/>
        <v>45561.9375</v>
      </c>
      <c r="BQ61" s="19">
        <f t="shared" si="61"/>
        <v>45561.95833</v>
      </c>
      <c r="BR61" s="19">
        <f t="shared" si="61"/>
        <v>45561.97917</v>
      </c>
      <c r="BS61" s="19">
        <f t="shared" si="61"/>
        <v>45562</v>
      </c>
      <c r="BT61" s="19">
        <f t="shared" si="61"/>
        <v>45562.02083</v>
      </c>
      <c r="BU61" s="19">
        <f t="shared" si="61"/>
        <v>45562.04167</v>
      </c>
      <c r="BV61" s="19">
        <f t="shared" si="61"/>
        <v>45562.0625</v>
      </c>
      <c r="BW61" s="19">
        <f t="shared" si="61"/>
        <v>45562.08333</v>
      </c>
      <c r="BX61" s="19">
        <f t="shared" si="61"/>
        <v>45561</v>
      </c>
      <c r="BY61" s="19">
        <f t="shared" si="61"/>
        <v>45561</v>
      </c>
      <c r="BZ61" s="19">
        <f t="shared" si="61"/>
        <v>45561</v>
      </c>
    </row>
    <row r="62" ht="14.25" customHeight="1">
      <c r="A62" s="17">
        <v>45562.0</v>
      </c>
      <c r="B62" s="2" t="str">
        <f t="array" ref="B62">IF(NOW()&gt;AM62,"",IF(AND((WEEKDAY($A62)+$B$2)&gt;1,((WEEKDAY($A62)+$T$2)&lt;7),(WEEKDAY($A62)&lt;&gt;1)),"work",(INDEX(Subject!$A:$I,MATCH(RANDBETWEEN(1,(MAX(Subject!$B:$B))),Subject!$B:$B,0),3))))</f>
        <v/>
      </c>
      <c r="C62" s="2" t="str">
        <f t="array" ref="C62">IF(NOW()&gt;AN62,"",IF(AND((WEEKDAY($A62)+$B$2)&gt;1,((WEEKDAY($A62)+$T$2)&lt;7),(WEEKDAY($A62)&lt;&gt;1)),"work",(INDEX(Subject!$A:$I,MATCH(RANDBETWEEN(1,(MAX(Subject!$B:$B))),Subject!$B:$B,0),3))))</f>
        <v/>
      </c>
      <c r="D62" s="2" t="str">
        <f t="array" ref="D62">IF(NOW()&gt;AO62,"",IF(AND((WEEKDAY($A62)+$B$2)&gt;1,((WEEKDAY($A62)+$T$2)&lt;7),(WEEKDAY($A62)&lt;&gt;1)),"work",(INDEX(Subject!$A:$I,MATCH(RANDBETWEEN(1,(MAX(Subject!$B:$B))),Subject!$B:$B,0),3))))</f>
        <v/>
      </c>
      <c r="E62" s="2" t="str">
        <f t="array" ref="E62">IF(NOW()&gt;AP62,"",IF(AND((WEEKDAY($A62)+$B$2)&gt;1,((WEEKDAY($A62)+$T$2)&lt;7),(WEEKDAY($A62)&lt;&gt;1)),"work",(INDEX(Subject!$A:$I,MATCH(RANDBETWEEN(1,(MAX(Subject!$B:$B))),Subject!$B:$B,0),3))))</f>
        <v/>
      </c>
      <c r="F62" s="2" t="str">
        <f t="array" ref="F62">IF(NOW()&gt;AQ62,"",IF(AND((WEEKDAY($A62)+$B$2)&gt;1,((WEEKDAY($A62)+$T$2)&lt;7),(WEEKDAY($A62)&lt;&gt;1)),"work",(INDEX(Subject!$A:$I,MATCH(RANDBETWEEN(1,(MAX(Subject!$B:$B))),Subject!$B:$B,0),3))))</f>
        <v/>
      </c>
      <c r="G62" s="2" t="str">
        <f t="array" ref="G62">IF(NOW()&gt;AR62,"",IF(AND((WEEKDAY($A62)+$B$2)&gt;1,((WEEKDAY($A62)+$T$2)&lt;7),(WEEKDAY($A62)&lt;&gt;1)),"work",(INDEX(Subject!$A:$I,MATCH(RANDBETWEEN(1,(MAX(Subject!$B:$B))),Subject!$B:$B,0),3))))</f>
        <v/>
      </c>
      <c r="H62" s="2" t="str">
        <f t="array" ref="H62">IF(NOW()&gt;AS62,"",IF(AND((WEEKDAY($A62)+$B$2)&gt;1,((WEEKDAY($A62)+$T$2)&lt;7),(WEEKDAY($A62)&lt;&gt;1)),"work",(INDEX(Subject!$A:$I,MATCH(RANDBETWEEN(1,(MAX(Subject!$B:$B))),Subject!$B:$B,0),3))))</f>
        <v/>
      </c>
      <c r="I62" s="2" t="str">
        <f t="array" ref="I62">IF(NOW()&gt;AT62,"",IF(AND((WEEKDAY($A62)+$B$2)&gt;1,((WEEKDAY($A62)+$T$2)&lt;7),(WEEKDAY($A62)&lt;&gt;1)),"work",(INDEX(Subject!$A:$I,MATCH(RANDBETWEEN(1,(MAX(Subject!$B:$B))),Subject!$B:$B,0),3))))</f>
        <v/>
      </c>
      <c r="J62" s="2" t="str">
        <f t="array" ref="J62">IF(NOW()&gt;AU62,"",IF(AND((WEEKDAY($A62)+$B$2)&gt;1,((WEEKDAY($A62)+$T$2)&lt;7),(WEEKDAY($A62)&lt;&gt;1)),"work",(INDEX(Subject!$A:$I,MATCH(RANDBETWEEN(1,(MAX(Subject!$B:$B))),Subject!$B:$B,0),3))))</f>
        <v/>
      </c>
      <c r="K62" s="2" t="str">
        <f t="array" ref="K62">IF(NOW()&gt;AV62,"",IF(AND((WEEKDAY($A62)+$B$2)&gt;1,((WEEKDAY($A62)+$T$2)&lt;7),(WEEKDAY($A62)&lt;&gt;1)),"work",(INDEX(Subject!$A:$I,MATCH(RANDBETWEEN(1,(MAX(Subject!$B:$B))),Subject!$B:$B,0),3))))</f>
        <v/>
      </c>
      <c r="L62" s="2" t="str">
        <f t="array" ref="L62">IF(NOW()&gt;AW62,"",IF(AND((WEEKDAY($A62)+$B$2)&gt;1,((WEEKDAY($A62)+$T$2)&lt;7),(WEEKDAY($A62)&lt;&gt;1)),"work",(INDEX(Subject!$A:$I,MATCH(RANDBETWEEN(1,(MAX(Subject!$B:$B))),Subject!$B:$B,0),3))))</f>
        <v/>
      </c>
      <c r="M62" s="2" t="str">
        <f t="array" ref="M62">IF(NOW()&gt;AX62,"",IF(AND((WEEKDAY($A62)+$B$2)&gt;1,((WEEKDAY($A62)+$T$2)&lt;7),(WEEKDAY($A62)&lt;&gt;1)),"work",(INDEX(Subject!$A:$I,MATCH(RANDBETWEEN(1,(MAX(Subject!$B:$B))),Subject!$B:$B,0),3))))</f>
        <v/>
      </c>
      <c r="N62" s="2" t="str">
        <f t="array" ref="N62">IF(NOW()&gt;AY62,"",IF(AND((WEEKDAY($A62)+$B$2)&gt;1,((WEEKDAY($A62)+$T$2)&lt;7),(WEEKDAY($A62)&lt;&gt;1)),"work",(INDEX(Subject!$A:$I,MATCH(RANDBETWEEN(1,(MAX(Subject!$B:$B))),Subject!$B:$B,0),3))))</f>
        <v/>
      </c>
      <c r="O62" s="2" t="str">
        <f t="array" ref="O62">IF(NOW()&gt;AZ62,"",IF(AND((WEEKDAY($A62)+$B$2)&gt;1,((WEEKDAY($A62)+$T$2)&lt;7),(WEEKDAY($A62)&lt;&gt;1)),"work",(INDEX(Subject!$A:$I,MATCH(RANDBETWEEN(1,(MAX(Subject!$B:$B))),Subject!$B:$B,0),3))))</f>
        <v/>
      </c>
      <c r="P62" s="2" t="str">
        <f t="array" ref="P62">IF(NOW()&gt;BA62,"",IF(AND((WEEKDAY($A62)+$B$2)&gt;1,((WEEKDAY($A62)+$T$2)&lt;7),(WEEKDAY($A62)&lt;&gt;1)),"work",(INDEX(Subject!$A:$I,MATCH(RANDBETWEEN(1,(MAX(Subject!$B:$B))),Subject!$B:$B,0),3))))</f>
        <v/>
      </c>
      <c r="Q62" s="2" t="str">
        <f t="array" ref="Q62">IF(NOW()&gt;BB62,"",IF(AND((WEEKDAY($A62)+$B$2)&gt;1,((WEEKDAY($A62)+$T$2)&lt;7),(WEEKDAY($A62)&lt;&gt;1)),"work",(INDEX(Subject!$A:$I,MATCH(RANDBETWEEN(1,(MAX(Subject!$B:$B))),Subject!$B:$B,0),3))))</f>
        <v/>
      </c>
      <c r="R62" s="2" t="str">
        <f t="array" ref="R62">IF(NOW()&gt;BC62,"",IF(AND((WEEKDAY($A62)+$B$2)&gt;1,((WEEKDAY($A62)+$T$2)&lt;7),(WEEKDAY($A62)&lt;&gt;1)),"work",(INDEX(Subject!$A:$I,MATCH(RANDBETWEEN(1,(MAX(Subject!$B:$B))),Subject!$B:$B,0),3))))</f>
        <v/>
      </c>
      <c r="S62" s="2" t="str">
        <f t="array" ref="S62">IF(NOW()&gt;BD62,"",IF(AND((WEEKDAY($A62)+$B$2)&gt;1,((WEEKDAY($A62)+$T$2)&lt;7),(WEEKDAY($A62)&lt;&gt;1)),"work",(INDEX(Subject!$A:$I,MATCH(RANDBETWEEN(1,(MAX(Subject!$B:$B))),Subject!$B:$B,0),3))))</f>
        <v/>
      </c>
      <c r="T62" s="2" t="str">
        <f t="array" ref="T62">IF(NOW()&gt;BE62,"",IF(AND((WEEKDAY($A62)+$B$2)&gt;1,((WEEKDAY($A62)+$T$2)&lt;7),(WEEKDAY($A62)&lt;&gt;1)),"work",(INDEX(Subject!$A:$I,MATCH(RANDBETWEEN(1,(MAX(Subject!$B:$B))),Subject!$B:$B,0),3))))</f>
        <v/>
      </c>
      <c r="U62" s="8" t="str">
        <f t="array" ref="U62">INDEX(Subject!$A:$I,MATCH(RANDBETWEEN(1,16),Subject!$B:$B,0),3)</f>
        <v>#N/A</v>
      </c>
      <c r="V62" s="8" t="str">
        <f t="array" ref="V62">INDEX(Subject!$A:$I,MATCH(RANDBETWEEN(1,16),Subject!$B:$B,0),3)</f>
        <v>#N/A</v>
      </c>
      <c r="W62" s="8" t="str">
        <f t="array" ref="W62">INDEX(Subject!$A:$I,MATCH(RANDBETWEEN(1,16),Subject!$B:$B,0),3)</f>
        <v>#N/A</v>
      </c>
      <c r="X62" s="8" t="str">
        <f t="array" ref="X62">INDEX(Subject!$A:$I,MATCH(RANDBETWEEN(1,16),Subject!$B:$B,0),3)</f>
        <v>#N/A</v>
      </c>
      <c r="Y62" s="8" t="str">
        <f t="array" ref="Y62">INDEX(Subject!$A:$I,MATCH(RANDBETWEEN(1,16),Subject!$B:$B,0),3)</f>
        <v>#N/A</v>
      </c>
      <c r="Z62" s="8" t="str">
        <f t="array" ref="Z62">INDEX(Subject!$A:$I,MATCH(RANDBETWEEN(1,16),Subject!$B:$B,0),3)</f>
        <v>#N/A</v>
      </c>
      <c r="AA62" s="8" t="str">
        <f t="array" ref="AA62">INDEX(Subject!$A:$I,MATCH(RANDBETWEEN(1,16),Subject!$B:$B,0),3)</f>
        <v/>
      </c>
      <c r="AB62" s="8" t="str">
        <f t="array" ref="AB62">INDEX(Subject!$A:$I,MATCH(RANDBETWEEN(1,16),Subject!$B:$B,0),3)</f>
        <v>#N/A</v>
      </c>
      <c r="AC62" s="8" t="str">
        <f t="array" ref="AC62">INDEX(Subject!$A:$I,MATCH(RANDBETWEEN(1,16),Subject!$B:$B,0),3)</f>
        <v>#N/A</v>
      </c>
      <c r="AD62" s="8" t="str">
        <f t="array" ref="AD62">INDEX(Subject!$A:$I,MATCH(RANDBETWEEN(1,16),Subject!$B:$B,0),3)</f>
        <v>#N/A</v>
      </c>
      <c r="AE62" s="8" t="str">
        <f t="array" ref="AE62">INDEX(Subject!$A:$I,MATCH(RANDBETWEEN(1,16),Subject!$B:$B,0),3)</f>
        <v>#N/A</v>
      </c>
      <c r="AF62" s="8" t="str">
        <f t="array" ref="AF62">INDEX(Subject!$A:$I,MATCH(RANDBETWEEN(1,16),Subject!$B:$B,0),3)</f>
        <v>#N/A</v>
      </c>
      <c r="AG62" s="8" t="str">
        <f t="array" ref="AG62">INDEX(Subject!$A:$I,MATCH(RANDBETWEEN(1,16),Subject!$B:$B,0),3)</f>
        <v>#N/A</v>
      </c>
      <c r="AH62" s="8" t="str">
        <f t="array" ref="AH62">INDEX(Subject!$A:$I,MATCH(RANDBETWEEN(1,16),Subject!$B:$B,0),3)</f>
        <v>#N/A</v>
      </c>
      <c r="AI62" s="8" t="str">
        <f t="array" ref="AI62">INDEX(Subject!$A:$I,MATCH(RANDBETWEEN(1,16),Subject!$B:$B,0),3)</f>
        <v>#N/A</v>
      </c>
      <c r="AJ62" s="8" t="str">
        <f t="array" ref="AJ62">INDEX(Subject!$A:$I,MATCH(RANDBETWEEN(1,16),Subject!$B:$B,0),3)</f>
        <v>#N/A</v>
      </c>
      <c r="AK62" s="8" t="str">
        <f t="array" ref="AK62">INDEX(Subject!$A:$I,MATCH(RANDBETWEEN(1,16),Subject!$B:$B,0),3)</f>
        <v>#N/A</v>
      </c>
      <c r="AL62" s="8" t="str">
        <f t="array" ref="AL62">INDEX(Subject!$A:$I,MATCH(RANDBETWEEN(1,16),Subject!$B:$B,0),3)</f>
        <v>#N/A</v>
      </c>
      <c r="AM62" s="18">
        <f t="shared" si="4"/>
        <v>45562.33333</v>
      </c>
      <c r="AN62" s="19">
        <f t="shared" ref="AN62:BZ62" si="62">$A62+C$1</f>
        <v>45562.35417</v>
      </c>
      <c r="AO62" s="19">
        <f t="shared" si="62"/>
        <v>45562.375</v>
      </c>
      <c r="AP62" s="19">
        <f t="shared" si="62"/>
        <v>45562.39583</v>
      </c>
      <c r="AQ62" s="19">
        <f t="shared" si="62"/>
        <v>45562.41667</v>
      </c>
      <c r="AR62" s="19">
        <f t="shared" si="62"/>
        <v>45562.4375</v>
      </c>
      <c r="AS62" s="19">
        <f t="shared" si="62"/>
        <v>45562.45833</v>
      </c>
      <c r="AT62" s="19">
        <f t="shared" si="62"/>
        <v>45562.47917</v>
      </c>
      <c r="AU62" s="19">
        <f t="shared" si="62"/>
        <v>45562.5</v>
      </c>
      <c r="AV62" s="19">
        <f t="shared" si="62"/>
        <v>45562.52083</v>
      </c>
      <c r="AW62" s="19">
        <f t="shared" si="62"/>
        <v>45562.54167</v>
      </c>
      <c r="AX62" s="19">
        <f t="shared" si="62"/>
        <v>45562.5625</v>
      </c>
      <c r="AY62" s="19">
        <f t="shared" si="62"/>
        <v>45562.58333</v>
      </c>
      <c r="AZ62" s="19">
        <f t="shared" si="62"/>
        <v>45562.60417</v>
      </c>
      <c r="BA62" s="19">
        <f t="shared" si="62"/>
        <v>45562.625</v>
      </c>
      <c r="BB62" s="19">
        <f t="shared" si="62"/>
        <v>45562.64583</v>
      </c>
      <c r="BC62" s="19">
        <f t="shared" si="62"/>
        <v>45562.66667</v>
      </c>
      <c r="BD62" s="19">
        <f t="shared" si="62"/>
        <v>45562.6875</v>
      </c>
      <c r="BE62" s="19">
        <f t="shared" si="62"/>
        <v>45562.70833</v>
      </c>
      <c r="BF62" s="19">
        <f t="shared" si="62"/>
        <v>45562.72917</v>
      </c>
      <c r="BG62" s="19">
        <f t="shared" si="62"/>
        <v>45562.75</v>
      </c>
      <c r="BH62" s="19">
        <f t="shared" si="62"/>
        <v>45562.77083</v>
      </c>
      <c r="BI62" s="19">
        <f t="shared" si="62"/>
        <v>45562.79167</v>
      </c>
      <c r="BJ62" s="19">
        <f t="shared" si="62"/>
        <v>45562.8125</v>
      </c>
      <c r="BK62" s="19">
        <f t="shared" si="62"/>
        <v>45562.83333</v>
      </c>
      <c r="BL62" s="19">
        <f t="shared" si="62"/>
        <v>45562.85417</v>
      </c>
      <c r="BM62" s="19">
        <f t="shared" si="62"/>
        <v>45562.875</v>
      </c>
      <c r="BN62" s="19">
        <f t="shared" si="62"/>
        <v>45562.89583</v>
      </c>
      <c r="BO62" s="19">
        <f t="shared" si="62"/>
        <v>45562.91667</v>
      </c>
      <c r="BP62" s="19">
        <f t="shared" si="62"/>
        <v>45562.9375</v>
      </c>
      <c r="BQ62" s="19">
        <f t="shared" si="62"/>
        <v>45562.95833</v>
      </c>
      <c r="BR62" s="19">
        <f t="shared" si="62"/>
        <v>45562.97917</v>
      </c>
      <c r="BS62" s="19">
        <f t="shared" si="62"/>
        <v>45563</v>
      </c>
      <c r="BT62" s="19">
        <f t="shared" si="62"/>
        <v>45563.02083</v>
      </c>
      <c r="BU62" s="19">
        <f t="shared" si="62"/>
        <v>45563.04167</v>
      </c>
      <c r="BV62" s="19">
        <f t="shared" si="62"/>
        <v>45563.0625</v>
      </c>
      <c r="BW62" s="19">
        <f t="shared" si="62"/>
        <v>45563.08333</v>
      </c>
      <c r="BX62" s="19">
        <f t="shared" si="62"/>
        <v>45562</v>
      </c>
      <c r="BY62" s="19">
        <f t="shared" si="62"/>
        <v>45562</v>
      </c>
      <c r="BZ62" s="19">
        <f t="shared" si="62"/>
        <v>45562</v>
      </c>
    </row>
    <row r="63" ht="14.25" customHeight="1">
      <c r="A63" s="17">
        <v>45563.0</v>
      </c>
      <c r="B63" s="2" t="str">
        <f t="array" ref="B63">IF(NOW()&gt;AM63,"",IF(AND((WEEKDAY($A63)+$B$2)&gt;1,((WEEKDAY($A63)+$T$2)&lt;7),(WEEKDAY($A63)&lt;&gt;1)),"work",(INDEX(Subject!$A:$I,MATCH(RANDBETWEEN(1,(MAX(Subject!$B:$B))),Subject!$B:$B,0),3))))</f>
        <v/>
      </c>
      <c r="C63" s="2" t="str">
        <f t="array" ref="C63">IF(NOW()&gt;AN63,"",IF(AND((WEEKDAY($A63)+$B$2)&gt;1,((WEEKDAY($A63)+$T$2)&lt;7),(WEEKDAY($A63)&lt;&gt;1)),"work",(INDEX(Subject!$A:$I,MATCH(RANDBETWEEN(1,(MAX(Subject!$B:$B))),Subject!$B:$B,0),3))))</f>
        <v/>
      </c>
      <c r="D63" s="2" t="str">
        <f t="array" ref="D63">IF(NOW()&gt;AO63,"",IF(AND((WEEKDAY($A63)+$B$2)&gt;1,((WEEKDAY($A63)+$T$2)&lt;7),(WEEKDAY($A63)&lt;&gt;1)),"work",(INDEX(Subject!$A:$I,MATCH(RANDBETWEEN(1,(MAX(Subject!$B:$B))),Subject!$B:$B,0),3))))</f>
        <v/>
      </c>
      <c r="E63" s="2" t="str">
        <f t="array" ref="E63">IF(NOW()&gt;AP63,"",IF(AND((WEEKDAY($A63)+$B$2)&gt;1,((WEEKDAY($A63)+$T$2)&lt;7),(WEEKDAY($A63)&lt;&gt;1)),"work",(INDEX(Subject!$A:$I,MATCH(RANDBETWEEN(1,(MAX(Subject!$B:$B))),Subject!$B:$B,0),3))))</f>
        <v/>
      </c>
      <c r="F63" s="2" t="str">
        <f t="array" ref="F63">IF(NOW()&gt;AQ63,"",IF(AND((WEEKDAY($A63)+$B$2)&gt;1,((WEEKDAY($A63)+$T$2)&lt;7),(WEEKDAY($A63)&lt;&gt;1)),"work",(INDEX(Subject!$A:$I,MATCH(RANDBETWEEN(1,(MAX(Subject!$B:$B))),Subject!$B:$B,0),3))))</f>
        <v/>
      </c>
      <c r="G63" s="2" t="str">
        <f t="array" ref="G63">IF(NOW()&gt;AR63,"",IF(AND((WEEKDAY($A63)+$B$2)&gt;1,((WEEKDAY($A63)+$T$2)&lt;7),(WEEKDAY($A63)&lt;&gt;1)),"work",(INDEX(Subject!$A:$I,MATCH(RANDBETWEEN(1,(MAX(Subject!$B:$B))),Subject!$B:$B,0),3))))</f>
        <v/>
      </c>
      <c r="H63" s="2" t="str">
        <f t="array" ref="H63">IF(NOW()&gt;AS63,"",IF(AND((WEEKDAY($A63)+$B$2)&gt;1,((WEEKDAY($A63)+$T$2)&lt;7),(WEEKDAY($A63)&lt;&gt;1)),"work",(INDEX(Subject!$A:$I,MATCH(RANDBETWEEN(1,(MAX(Subject!$B:$B))),Subject!$B:$B,0),3))))</f>
        <v/>
      </c>
      <c r="I63" s="2" t="str">
        <f t="array" ref="I63">IF(NOW()&gt;AT63,"",IF(AND((WEEKDAY($A63)+$B$2)&gt;1,((WEEKDAY($A63)+$T$2)&lt;7),(WEEKDAY($A63)&lt;&gt;1)),"work",(INDEX(Subject!$A:$I,MATCH(RANDBETWEEN(1,(MAX(Subject!$B:$B))),Subject!$B:$B,0),3))))</f>
        <v/>
      </c>
      <c r="J63" s="2" t="str">
        <f t="array" ref="J63">IF(NOW()&gt;AU63,"",IF(AND((WEEKDAY($A63)+$B$2)&gt;1,((WEEKDAY($A63)+$T$2)&lt;7),(WEEKDAY($A63)&lt;&gt;1)),"work",(INDEX(Subject!$A:$I,MATCH(RANDBETWEEN(1,(MAX(Subject!$B:$B))),Subject!$B:$B,0),3))))</f>
        <v/>
      </c>
      <c r="K63" s="2" t="str">
        <f t="array" ref="K63">IF(NOW()&gt;AV63,"",IF(AND((WEEKDAY($A63)+$B$2)&gt;1,((WEEKDAY($A63)+$T$2)&lt;7),(WEEKDAY($A63)&lt;&gt;1)),"work",(INDEX(Subject!$A:$I,MATCH(RANDBETWEEN(1,(MAX(Subject!$B:$B))),Subject!$B:$B,0),3))))</f>
        <v/>
      </c>
      <c r="L63" s="2" t="str">
        <f t="array" ref="L63">IF(NOW()&gt;AW63,"",IF(AND((WEEKDAY($A63)+$B$2)&gt;1,((WEEKDAY($A63)+$T$2)&lt;7),(WEEKDAY($A63)&lt;&gt;1)),"work",(INDEX(Subject!$A:$I,MATCH(RANDBETWEEN(1,(MAX(Subject!$B:$B))),Subject!$B:$B,0),3))))</f>
        <v/>
      </c>
      <c r="M63" s="2" t="str">
        <f t="array" ref="M63">IF(NOW()&gt;AX63,"",IF(AND((WEEKDAY($A63)+$B$2)&gt;1,((WEEKDAY($A63)+$T$2)&lt;7),(WEEKDAY($A63)&lt;&gt;1)),"work",(INDEX(Subject!$A:$I,MATCH(RANDBETWEEN(1,(MAX(Subject!$B:$B))),Subject!$B:$B,0),3))))</f>
        <v/>
      </c>
      <c r="N63" s="2" t="str">
        <f t="array" ref="N63">IF(NOW()&gt;AY63,"",IF(AND((WEEKDAY($A63)+$B$2)&gt;1,((WEEKDAY($A63)+$T$2)&lt;7),(WEEKDAY($A63)&lt;&gt;1)),"work",(INDEX(Subject!$A:$I,MATCH(RANDBETWEEN(1,(MAX(Subject!$B:$B))),Subject!$B:$B,0),3))))</f>
        <v/>
      </c>
      <c r="O63" s="2" t="str">
        <f t="array" ref="O63">IF(NOW()&gt;AZ63,"",IF(AND((WEEKDAY($A63)+$B$2)&gt;1,((WEEKDAY($A63)+$T$2)&lt;7),(WEEKDAY($A63)&lt;&gt;1)),"work",(INDEX(Subject!$A:$I,MATCH(RANDBETWEEN(1,(MAX(Subject!$B:$B))),Subject!$B:$B,0),3))))</f>
        <v/>
      </c>
      <c r="P63" s="2" t="str">
        <f t="array" ref="P63">IF(NOW()&gt;BA63,"",IF(AND((WEEKDAY($A63)+$B$2)&gt;1,((WEEKDAY($A63)+$T$2)&lt;7),(WEEKDAY($A63)&lt;&gt;1)),"work",(INDEX(Subject!$A:$I,MATCH(RANDBETWEEN(1,(MAX(Subject!$B:$B))),Subject!$B:$B,0),3))))</f>
        <v/>
      </c>
      <c r="Q63" s="2" t="str">
        <f t="array" ref="Q63">IF(NOW()&gt;BB63,"",IF(AND((WEEKDAY($A63)+$B$2)&gt;1,((WEEKDAY($A63)+$T$2)&lt;7),(WEEKDAY($A63)&lt;&gt;1)),"work",(INDEX(Subject!$A:$I,MATCH(RANDBETWEEN(1,(MAX(Subject!$B:$B))),Subject!$B:$B,0),3))))</f>
        <v/>
      </c>
      <c r="R63" s="2" t="str">
        <f t="array" ref="R63">IF(NOW()&gt;BC63,"",IF(AND((WEEKDAY($A63)+$B$2)&gt;1,((WEEKDAY($A63)+$T$2)&lt;7),(WEEKDAY($A63)&lt;&gt;1)),"work",(INDEX(Subject!$A:$I,MATCH(RANDBETWEEN(1,(MAX(Subject!$B:$B))),Subject!$B:$B,0),3))))</f>
        <v/>
      </c>
      <c r="S63" s="2" t="str">
        <f t="array" ref="S63">IF(NOW()&gt;BD63,"",IF(AND((WEEKDAY($A63)+$B$2)&gt;1,((WEEKDAY($A63)+$T$2)&lt;7),(WEEKDAY($A63)&lt;&gt;1)),"work",(INDEX(Subject!$A:$I,MATCH(RANDBETWEEN(1,(MAX(Subject!$B:$B))),Subject!$B:$B,0),3))))</f>
        <v/>
      </c>
      <c r="T63" s="2" t="str">
        <f t="array" ref="T63">IF(NOW()&gt;BE63,"",IF(AND((WEEKDAY($A63)+$B$2)&gt;1,((WEEKDAY($A63)+$T$2)&lt;7),(WEEKDAY($A63)&lt;&gt;1)),"work",(INDEX(Subject!$A:$I,MATCH(RANDBETWEEN(1,(MAX(Subject!$B:$B))),Subject!$B:$B,0),3))))</f>
        <v/>
      </c>
      <c r="U63" s="8" t="str">
        <f t="array" ref="U63">INDEX(Subject!$A:$I,MATCH(RANDBETWEEN(1,16),Subject!$B:$B,0),3)</f>
        <v>#N/A</v>
      </c>
      <c r="V63" s="8" t="str">
        <f t="array" ref="V63">INDEX(Subject!$A:$I,MATCH(RANDBETWEEN(1,16),Subject!$B:$B,0),3)</f>
        <v>#N/A</v>
      </c>
      <c r="W63" s="8" t="str">
        <f t="array" ref="W63">INDEX(Subject!$A:$I,MATCH(RANDBETWEEN(1,16),Subject!$B:$B,0),3)</f>
        <v>#N/A</v>
      </c>
      <c r="X63" s="8" t="str">
        <f t="array" ref="X63">INDEX(Subject!$A:$I,MATCH(RANDBETWEEN(1,16),Subject!$B:$B,0),3)</f>
        <v>#N/A</v>
      </c>
      <c r="Y63" s="8" t="str">
        <f t="array" ref="Y63">INDEX(Subject!$A:$I,MATCH(RANDBETWEEN(1,16),Subject!$B:$B,0),3)</f>
        <v>#N/A</v>
      </c>
      <c r="Z63" s="8" t="str">
        <f t="array" ref="Z63">INDEX(Subject!$A:$I,MATCH(RANDBETWEEN(1,16),Subject!$B:$B,0),3)</f>
        <v/>
      </c>
      <c r="AA63" s="8" t="str">
        <f t="array" ref="AA63">INDEX(Subject!$A:$I,MATCH(RANDBETWEEN(1,16),Subject!$B:$B,0),3)</f>
        <v>#N/A</v>
      </c>
      <c r="AB63" s="8" t="str">
        <f t="array" ref="AB63">INDEX(Subject!$A:$I,MATCH(RANDBETWEEN(1,16),Subject!$B:$B,0),3)</f>
        <v>#N/A</v>
      </c>
      <c r="AC63" s="8" t="str">
        <f t="array" ref="AC63">INDEX(Subject!$A:$I,MATCH(RANDBETWEEN(1,16),Subject!$B:$B,0),3)</f>
        <v>#N/A</v>
      </c>
      <c r="AD63" s="8" t="str">
        <f t="array" ref="AD63">INDEX(Subject!$A:$I,MATCH(RANDBETWEEN(1,16),Subject!$B:$B,0),3)</f>
        <v>#N/A</v>
      </c>
      <c r="AE63" s="8" t="str">
        <f t="array" ref="AE63">INDEX(Subject!$A:$I,MATCH(RANDBETWEEN(1,16),Subject!$B:$B,0),3)</f>
        <v>#N/A</v>
      </c>
      <c r="AF63" s="8" t="str">
        <f t="array" ref="AF63">INDEX(Subject!$A:$I,MATCH(RANDBETWEEN(1,16),Subject!$B:$B,0),3)</f>
        <v>#N/A</v>
      </c>
      <c r="AG63" s="8" t="str">
        <f t="array" ref="AG63">INDEX(Subject!$A:$I,MATCH(RANDBETWEEN(1,16),Subject!$B:$B,0),3)</f>
        <v>#N/A</v>
      </c>
      <c r="AH63" s="8" t="str">
        <f t="array" ref="AH63">INDEX(Subject!$A:$I,MATCH(RANDBETWEEN(1,16),Subject!$B:$B,0),3)</f>
        <v>#N/A</v>
      </c>
      <c r="AI63" s="8" t="str">
        <f t="array" ref="AI63">INDEX(Subject!$A:$I,MATCH(RANDBETWEEN(1,16),Subject!$B:$B,0),3)</f>
        <v>#N/A</v>
      </c>
      <c r="AJ63" s="8" t="str">
        <f t="array" ref="AJ63">INDEX(Subject!$A:$I,MATCH(RANDBETWEEN(1,16),Subject!$B:$B,0),3)</f>
        <v>#N/A</v>
      </c>
      <c r="AK63" s="8" t="str">
        <f t="array" ref="AK63">INDEX(Subject!$A:$I,MATCH(RANDBETWEEN(1,16),Subject!$B:$B,0),3)</f>
        <v>#N/A</v>
      </c>
      <c r="AL63" s="8" t="str">
        <f t="array" ref="AL63">INDEX(Subject!$A:$I,MATCH(RANDBETWEEN(1,16),Subject!$B:$B,0),3)</f>
        <v>#N/A</v>
      </c>
      <c r="AM63" s="18">
        <f t="shared" si="4"/>
        <v>45563.33333</v>
      </c>
      <c r="AN63" s="19">
        <f t="shared" ref="AN63:BZ63" si="63">$A63+C$1</f>
        <v>45563.35417</v>
      </c>
      <c r="AO63" s="19">
        <f t="shared" si="63"/>
        <v>45563.375</v>
      </c>
      <c r="AP63" s="19">
        <f t="shared" si="63"/>
        <v>45563.39583</v>
      </c>
      <c r="AQ63" s="19">
        <f t="shared" si="63"/>
        <v>45563.41667</v>
      </c>
      <c r="AR63" s="19">
        <f t="shared" si="63"/>
        <v>45563.4375</v>
      </c>
      <c r="AS63" s="19">
        <f t="shared" si="63"/>
        <v>45563.45833</v>
      </c>
      <c r="AT63" s="19">
        <f t="shared" si="63"/>
        <v>45563.47917</v>
      </c>
      <c r="AU63" s="19">
        <f t="shared" si="63"/>
        <v>45563.5</v>
      </c>
      <c r="AV63" s="19">
        <f t="shared" si="63"/>
        <v>45563.52083</v>
      </c>
      <c r="AW63" s="19">
        <f t="shared" si="63"/>
        <v>45563.54167</v>
      </c>
      <c r="AX63" s="19">
        <f t="shared" si="63"/>
        <v>45563.5625</v>
      </c>
      <c r="AY63" s="19">
        <f t="shared" si="63"/>
        <v>45563.58333</v>
      </c>
      <c r="AZ63" s="19">
        <f t="shared" si="63"/>
        <v>45563.60417</v>
      </c>
      <c r="BA63" s="19">
        <f t="shared" si="63"/>
        <v>45563.625</v>
      </c>
      <c r="BB63" s="19">
        <f t="shared" si="63"/>
        <v>45563.64583</v>
      </c>
      <c r="BC63" s="19">
        <f t="shared" si="63"/>
        <v>45563.66667</v>
      </c>
      <c r="BD63" s="19">
        <f t="shared" si="63"/>
        <v>45563.6875</v>
      </c>
      <c r="BE63" s="19">
        <f t="shared" si="63"/>
        <v>45563.70833</v>
      </c>
      <c r="BF63" s="19">
        <f t="shared" si="63"/>
        <v>45563.72917</v>
      </c>
      <c r="BG63" s="19">
        <f t="shared" si="63"/>
        <v>45563.75</v>
      </c>
      <c r="BH63" s="19">
        <f t="shared" si="63"/>
        <v>45563.77083</v>
      </c>
      <c r="BI63" s="19">
        <f t="shared" si="63"/>
        <v>45563.79167</v>
      </c>
      <c r="BJ63" s="19">
        <f t="shared" si="63"/>
        <v>45563.8125</v>
      </c>
      <c r="BK63" s="19">
        <f t="shared" si="63"/>
        <v>45563.83333</v>
      </c>
      <c r="BL63" s="19">
        <f t="shared" si="63"/>
        <v>45563.85417</v>
      </c>
      <c r="BM63" s="19">
        <f t="shared" si="63"/>
        <v>45563.875</v>
      </c>
      <c r="BN63" s="19">
        <f t="shared" si="63"/>
        <v>45563.89583</v>
      </c>
      <c r="BO63" s="19">
        <f t="shared" si="63"/>
        <v>45563.91667</v>
      </c>
      <c r="BP63" s="19">
        <f t="shared" si="63"/>
        <v>45563.9375</v>
      </c>
      <c r="BQ63" s="19">
        <f t="shared" si="63"/>
        <v>45563.95833</v>
      </c>
      <c r="BR63" s="19">
        <f t="shared" si="63"/>
        <v>45563.97917</v>
      </c>
      <c r="BS63" s="19">
        <f t="shared" si="63"/>
        <v>45564</v>
      </c>
      <c r="BT63" s="19">
        <f t="shared" si="63"/>
        <v>45564.02083</v>
      </c>
      <c r="BU63" s="19">
        <f t="shared" si="63"/>
        <v>45564.04167</v>
      </c>
      <c r="BV63" s="19">
        <f t="shared" si="63"/>
        <v>45564.0625</v>
      </c>
      <c r="BW63" s="19">
        <f t="shared" si="63"/>
        <v>45564.08333</v>
      </c>
      <c r="BX63" s="19">
        <f t="shared" si="63"/>
        <v>45563</v>
      </c>
      <c r="BY63" s="19">
        <f t="shared" si="63"/>
        <v>45563</v>
      </c>
      <c r="BZ63" s="19">
        <f t="shared" si="63"/>
        <v>45563</v>
      </c>
    </row>
    <row r="64" ht="14.25" customHeight="1">
      <c r="A64" s="17">
        <v>45564.0</v>
      </c>
      <c r="B64" s="2" t="str">
        <f t="array" ref="B64">IF(NOW()&gt;AM64,"",IF(AND((WEEKDAY($A64)+$B$2)&gt;1,((WEEKDAY($A64)+$T$2)&lt;7),(WEEKDAY($A64)&lt;&gt;1)),"work",(INDEX(Subject!$A:$I,MATCH(RANDBETWEEN(1,(MAX(Subject!$B:$B))),Subject!$B:$B,0),3))))</f>
        <v/>
      </c>
      <c r="C64" s="2" t="str">
        <f t="array" ref="C64">IF(NOW()&gt;AN64,"",IF(AND((WEEKDAY($A64)+$B$2)&gt;1,((WEEKDAY($A64)+$T$2)&lt;7),(WEEKDAY($A64)&lt;&gt;1)),"work",(INDEX(Subject!$A:$I,MATCH(RANDBETWEEN(1,(MAX(Subject!$B:$B))),Subject!$B:$B,0),3))))</f>
        <v/>
      </c>
      <c r="D64" s="2" t="str">
        <f t="array" ref="D64">IF(NOW()&gt;AO64,"",IF(AND((WEEKDAY($A64)+$B$2)&gt;1,((WEEKDAY($A64)+$T$2)&lt;7),(WEEKDAY($A64)&lt;&gt;1)),"work",(INDEX(Subject!$A:$I,MATCH(RANDBETWEEN(1,(MAX(Subject!$B:$B))),Subject!$B:$B,0),3))))</f>
        <v/>
      </c>
      <c r="E64" s="2" t="str">
        <f t="array" ref="E64">IF(NOW()&gt;AP64,"",IF(AND((WEEKDAY($A64)+$B$2)&gt;1,((WEEKDAY($A64)+$T$2)&lt;7),(WEEKDAY($A64)&lt;&gt;1)),"work",(INDEX(Subject!$A:$I,MATCH(RANDBETWEEN(1,(MAX(Subject!$B:$B))),Subject!$B:$B,0),3))))</f>
        <v/>
      </c>
      <c r="F64" s="2" t="str">
        <f t="array" ref="F64">IF(NOW()&gt;AQ64,"",IF(AND((WEEKDAY($A64)+$B$2)&gt;1,((WEEKDAY($A64)+$T$2)&lt;7),(WEEKDAY($A64)&lt;&gt;1)),"work",(INDEX(Subject!$A:$I,MATCH(RANDBETWEEN(1,(MAX(Subject!$B:$B))),Subject!$B:$B,0),3))))</f>
        <v/>
      </c>
      <c r="G64" s="2" t="str">
        <f t="array" ref="G64">IF(NOW()&gt;AR64,"",IF(AND((WEEKDAY($A64)+$B$2)&gt;1,((WEEKDAY($A64)+$T$2)&lt;7),(WEEKDAY($A64)&lt;&gt;1)),"work",(INDEX(Subject!$A:$I,MATCH(RANDBETWEEN(1,(MAX(Subject!$B:$B))),Subject!$B:$B,0),3))))</f>
        <v/>
      </c>
      <c r="H64" s="2" t="str">
        <f t="array" ref="H64">IF(NOW()&gt;AS64,"",IF(AND((WEEKDAY($A64)+$B$2)&gt;1,((WEEKDAY($A64)+$T$2)&lt;7),(WEEKDAY($A64)&lt;&gt;1)),"work",(INDEX(Subject!$A:$I,MATCH(RANDBETWEEN(1,(MAX(Subject!$B:$B))),Subject!$B:$B,0),3))))</f>
        <v/>
      </c>
      <c r="I64" s="2" t="str">
        <f t="array" ref="I64">IF(NOW()&gt;AT64,"",IF(AND((WEEKDAY($A64)+$B$2)&gt;1,((WEEKDAY($A64)+$T$2)&lt;7),(WEEKDAY($A64)&lt;&gt;1)),"work",(INDEX(Subject!$A:$I,MATCH(RANDBETWEEN(1,(MAX(Subject!$B:$B))),Subject!$B:$B,0),3))))</f>
        <v/>
      </c>
      <c r="J64" s="2" t="str">
        <f t="array" ref="J64">IF(NOW()&gt;AU64,"",IF(AND((WEEKDAY($A64)+$B$2)&gt;1,((WEEKDAY($A64)+$T$2)&lt;7),(WEEKDAY($A64)&lt;&gt;1)),"work",(INDEX(Subject!$A:$I,MATCH(RANDBETWEEN(1,(MAX(Subject!$B:$B))),Subject!$B:$B,0),3))))</f>
        <v/>
      </c>
      <c r="K64" s="2" t="str">
        <f t="array" ref="K64">IF(NOW()&gt;AV64,"",IF(AND((WEEKDAY($A64)+$B$2)&gt;1,((WEEKDAY($A64)+$T$2)&lt;7),(WEEKDAY($A64)&lt;&gt;1)),"work",(INDEX(Subject!$A:$I,MATCH(RANDBETWEEN(1,(MAX(Subject!$B:$B))),Subject!$B:$B,0),3))))</f>
        <v/>
      </c>
      <c r="L64" s="2" t="str">
        <f t="array" ref="L64">IF(NOW()&gt;AW64,"",IF(AND((WEEKDAY($A64)+$B$2)&gt;1,((WEEKDAY($A64)+$T$2)&lt;7),(WEEKDAY($A64)&lt;&gt;1)),"work",(INDEX(Subject!$A:$I,MATCH(RANDBETWEEN(1,(MAX(Subject!$B:$B))),Subject!$B:$B,0),3))))</f>
        <v/>
      </c>
      <c r="M64" s="2" t="str">
        <f t="array" ref="M64">IF(NOW()&gt;AX64,"",IF(AND((WEEKDAY($A64)+$B$2)&gt;1,((WEEKDAY($A64)+$T$2)&lt;7),(WEEKDAY($A64)&lt;&gt;1)),"work",(INDEX(Subject!$A:$I,MATCH(RANDBETWEEN(1,(MAX(Subject!$B:$B))),Subject!$B:$B,0),3))))</f>
        <v/>
      </c>
      <c r="N64" s="2" t="str">
        <f t="array" ref="N64">IF(NOW()&gt;AY64,"",IF(AND((WEEKDAY($A64)+$B$2)&gt;1,((WEEKDAY($A64)+$T$2)&lt;7),(WEEKDAY($A64)&lt;&gt;1)),"work",(INDEX(Subject!$A:$I,MATCH(RANDBETWEEN(1,(MAX(Subject!$B:$B))),Subject!$B:$B,0),3))))</f>
        <v/>
      </c>
      <c r="O64" s="2" t="str">
        <f t="array" ref="O64">IF(NOW()&gt;AZ64,"",IF(AND((WEEKDAY($A64)+$B$2)&gt;1,((WEEKDAY($A64)+$T$2)&lt;7),(WEEKDAY($A64)&lt;&gt;1)),"work",(INDEX(Subject!$A:$I,MATCH(RANDBETWEEN(1,(MAX(Subject!$B:$B))),Subject!$B:$B,0),3))))</f>
        <v/>
      </c>
      <c r="P64" s="2" t="str">
        <f t="array" ref="P64">IF(NOW()&gt;BA64,"",IF(AND((WEEKDAY($A64)+$B$2)&gt;1,((WEEKDAY($A64)+$T$2)&lt;7),(WEEKDAY($A64)&lt;&gt;1)),"work",(INDEX(Subject!$A:$I,MATCH(RANDBETWEEN(1,(MAX(Subject!$B:$B))),Subject!$B:$B,0),3))))</f>
        <v/>
      </c>
      <c r="Q64" s="2" t="str">
        <f t="array" ref="Q64">IF(NOW()&gt;BB64,"",IF(AND((WEEKDAY($A64)+$B$2)&gt;1,((WEEKDAY($A64)+$T$2)&lt;7),(WEEKDAY($A64)&lt;&gt;1)),"work",(INDEX(Subject!$A:$I,MATCH(RANDBETWEEN(1,(MAX(Subject!$B:$B))),Subject!$B:$B,0),3))))</f>
        <v/>
      </c>
      <c r="R64" s="2" t="str">
        <f t="array" ref="R64">IF(NOW()&gt;BC64,"",IF(AND((WEEKDAY($A64)+$B$2)&gt;1,((WEEKDAY($A64)+$T$2)&lt;7),(WEEKDAY($A64)&lt;&gt;1)),"work",(INDEX(Subject!$A:$I,MATCH(RANDBETWEEN(1,(MAX(Subject!$B:$B))),Subject!$B:$B,0),3))))</f>
        <v/>
      </c>
      <c r="S64" s="2" t="str">
        <f t="array" ref="S64">IF(NOW()&gt;BD64,"",IF(AND((WEEKDAY($A64)+$B$2)&gt;1,((WEEKDAY($A64)+$T$2)&lt;7),(WEEKDAY($A64)&lt;&gt;1)),"work",(INDEX(Subject!$A:$I,MATCH(RANDBETWEEN(1,(MAX(Subject!$B:$B))),Subject!$B:$B,0),3))))</f>
        <v/>
      </c>
      <c r="T64" s="2" t="str">
        <f t="array" ref="T64">IF(NOW()&gt;BE64,"",IF(AND((WEEKDAY($A64)+$B$2)&gt;1,((WEEKDAY($A64)+$T$2)&lt;7),(WEEKDAY($A64)&lt;&gt;1)),"work",(INDEX(Subject!$A:$I,MATCH(RANDBETWEEN(1,(MAX(Subject!$B:$B))),Subject!$B:$B,0),3))))</f>
        <v/>
      </c>
      <c r="U64" s="8" t="str">
        <f t="array" ref="U64">INDEX(Subject!$A:$I,MATCH(RANDBETWEEN(1,16),Subject!$B:$B,0),3)</f>
        <v>#N/A</v>
      </c>
      <c r="V64" s="8" t="str">
        <f t="array" ref="V64">INDEX(Subject!$A:$I,MATCH(RANDBETWEEN(1,16),Subject!$B:$B,0),3)</f>
        <v>#N/A</v>
      </c>
      <c r="W64" s="8" t="str">
        <f t="array" ref="W64">INDEX(Subject!$A:$I,MATCH(RANDBETWEEN(1,16),Subject!$B:$B,0),3)</f>
        <v>#N/A</v>
      </c>
      <c r="X64" s="8" t="str">
        <f t="array" ref="X64">INDEX(Subject!$A:$I,MATCH(RANDBETWEEN(1,16),Subject!$B:$B,0),3)</f>
        <v>#N/A</v>
      </c>
      <c r="Y64" s="8" t="str">
        <f t="array" ref="Y64">INDEX(Subject!$A:$I,MATCH(RANDBETWEEN(1,16),Subject!$B:$B,0),3)</f>
        <v>#N/A</v>
      </c>
      <c r="Z64" s="8" t="str">
        <f t="array" ref="Z64">INDEX(Subject!$A:$I,MATCH(RANDBETWEEN(1,16),Subject!$B:$B,0),3)</f>
        <v/>
      </c>
      <c r="AA64" s="8" t="str">
        <f t="array" ref="AA64">INDEX(Subject!$A:$I,MATCH(RANDBETWEEN(1,16),Subject!$B:$B,0),3)</f>
        <v>#N/A</v>
      </c>
      <c r="AB64" s="8" t="str">
        <f t="array" ref="AB64">INDEX(Subject!$A:$I,MATCH(RANDBETWEEN(1,16),Subject!$B:$B,0),3)</f>
        <v>#N/A</v>
      </c>
      <c r="AC64" s="8" t="str">
        <f t="array" ref="AC64">INDEX(Subject!$A:$I,MATCH(RANDBETWEEN(1,16),Subject!$B:$B,0),3)</f>
        <v>#N/A</v>
      </c>
      <c r="AD64" s="8" t="str">
        <f t="array" ref="AD64">INDEX(Subject!$A:$I,MATCH(RANDBETWEEN(1,16),Subject!$B:$B,0),3)</f>
        <v/>
      </c>
      <c r="AE64" s="8" t="str">
        <f t="array" ref="AE64">INDEX(Subject!$A:$I,MATCH(RANDBETWEEN(1,16),Subject!$B:$B,0),3)</f>
        <v>#N/A</v>
      </c>
      <c r="AF64" s="8" t="str">
        <f t="array" ref="AF64">INDEX(Subject!$A:$I,MATCH(RANDBETWEEN(1,16),Subject!$B:$B,0),3)</f>
        <v>#N/A</v>
      </c>
      <c r="AG64" s="8" t="str">
        <f t="array" ref="AG64">INDEX(Subject!$A:$I,MATCH(RANDBETWEEN(1,16),Subject!$B:$B,0),3)</f>
        <v>#N/A</v>
      </c>
      <c r="AH64" s="8" t="str">
        <f t="array" ref="AH64">INDEX(Subject!$A:$I,MATCH(RANDBETWEEN(1,16),Subject!$B:$B,0),3)</f>
        <v>#N/A</v>
      </c>
      <c r="AI64" s="8" t="str">
        <f t="array" ref="AI64">INDEX(Subject!$A:$I,MATCH(RANDBETWEEN(1,16),Subject!$B:$B,0),3)</f>
        <v>#N/A</v>
      </c>
      <c r="AJ64" s="8" t="str">
        <f t="array" ref="AJ64">INDEX(Subject!$A:$I,MATCH(RANDBETWEEN(1,16),Subject!$B:$B,0),3)</f>
        <v>#N/A</v>
      </c>
      <c r="AK64" s="8" t="str">
        <f t="array" ref="AK64">INDEX(Subject!$A:$I,MATCH(RANDBETWEEN(1,16),Subject!$B:$B,0),3)</f>
        <v>#N/A</v>
      </c>
      <c r="AL64" s="8" t="str">
        <f t="array" ref="AL64">INDEX(Subject!$A:$I,MATCH(RANDBETWEEN(1,16),Subject!$B:$B,0),3)</f>
        <v>#N/A</v>
      </c>
      <c r="AM64" s="18">
        <f t="shared" si="4"/>
        <v>45564.33333</v>
      </c>
      <c r="AN64" s="19">
        <f t="shared" ref="AN64:BZ64" si="64">$A64+C$1</f>
        <v>45564.35417</v>
      </c>
      <c r="AO64" s="19">
        <f t="shared" si="64"/>
        <v>45564.375</v>
      </c>
      <c r="AP64" s="19">
        <f t="shared" si="64"/>
        <v>45564.39583</v>
      </c>
      <c r="AQ64" s="19">
        <f t="shared" si="64"/>
        <v>45564.41667</v>
      </c>
      <c r="AR64" s="19">
        <f t="shared" si="64"/>
        <v>45564.4375</v>
      </c>
      <c r="AS64" s="19">
        <f t="shared" si="64"/>
        <v>45564.45833</v>
      </c>
      <c r="AT64" s="19">
        <f t="shared" si="64"/>
        <v>45564.47917</v>
      </c>
      <c r="AU64" s="19">
        <f t="shared" si="64"/>
        <v>45564.5</v>
      </c>
      <c r="AV64" s="19">
        <f t="shared" si="64"/>
        <v>45564.52083</v>
      </c>
      <c r="AW64" s="19">
        <f t="shared" si="64"/>
        <v>45564.54167</v>
      </c>
      <c r="AX64" s="19">
        <f t="shared" si="64"/>
        <v>45564.5625</v>
      </c>
      <c r="AY64" s="19">
        <f t="shared" si="64"/>
        <v>45564.58333</v>
      </c>
      <c r="AZ64" s="19">
        <f t="shared" si="64"/>
        <v>45564.60417</v>
      </c>
      <c r="BA64" s="19">
        <f t="shared" si="64"/>
        <v>45564.625</v>
      </c>
      <c r="BB64" s="19">
        <f t="shared" si="64"/>
        <v>45564.64583</v>
      </c>
      <c r="BC64" s="19">
        <f t="shared" si="64"/>
        <v>45564.66667</v>
      </c>
      <c r="BD64" s="19">
        <f t="shared" si="64"/>
        <v>45564.6875</v>
      </c>
      <c r="BE64" s="19">
        <f t="shared" si="64"/>
        <v>45564.70833</v>
      </c>
      <c r="BF64" s="19">
        <f t="shared" si="64"/>
        <v>45564.72917</v>
      </c>
      <c r="BG64" s="19">
        <f t="shared" si="64"/>
        <v>45564.75</v>
      </c>
      <c r="BH64" s="19">
        <f t="shared" si="64"/>
        <v>45564.77083</v>
      </c>
      <c r="BI64" s="19">
        <f t="shared" si="64"/>
        <v>45564.79167</v>
      </c>
      <c r="BJ64" s="19">
        <f t="shared" si="64"/>
        <v>45564.8125</v>
      </c>
      <c r="BK64" s="19">
        <f t="shared" si="64"/>
        <v>45564.83333</v>
      </c>
      <c r="BL64" s="19">
        <f t="shared" si="64"/>
        <v>45564.85417</v>
      </c>
      <c r="BM64" s="19">
        <f t="shared" si="64"/>
        <v>45564.875</v>
      </c>
      <c r="BN64" s="19">
        <f t="shared" si="64"/>
        <v>45564.89583</v>
      </c>
      <c r="BO64" s="19">
        <f t="shared" si="64"/>
        <v>45564.91667</v>
      </c>
      <c r="BP64" s="19">
        <f t="shared" si="64"/>
        <v>45564.9375</v>
      </c>
      <c r="BQ64" s="19">
        <f t="shared" si="64"/>
        <v>45564.95833</v>
      </c>
      <c r="BR64" s="19">
        <f t="shared" si="64"/>
        <v>45564.97917</v>
      </c>
      <c r="BS64" s="19">
        <f t="shared" si="64"/>
        <v>45565</v>
      </c>
      <c r="BT64" s="19">
        <f t="shared" si="64"/>
        <v>45565.02083</v>
      </c>
      <c r="BU64" s="19">
        <f t="shared" si="64"/>
        <v>45565.04167</v>
      </c>
      <c r="BV64" s="19">
        <f t="shared" si="64"/>
        <v>45565.0625</v>
      </c>
      <c r="BW64" s="19">
        <f t="shared" si="64"/>
        <v>45565.08333</v>
      </c>
      <c r="BX64" s="19">
        <f t="shared" si="64"/>
        <v>45564</v>
      </c>
      <c r="BY64" s="19">
        <f t="shared" si="64"/>
        <v>45564</v>
      </c>
      <c r="BZ64" s="19">
        <f t="shared" si="64"/>
        <v>45564</v>
      </c>
    </row>
    <row r="65" ht="14.25" customHeight="1">
      <c r="A65" s="17">
        <v>45565.0</v>
      </c>
      <c r="B65" s="2" t="str">
        <f t="array" ref="B65">IF(NOW()&gt;AM65,"",IF(AND((WEEKDAY($A65)+$B$2)&gt;1,((WEEKDAY($A65)+$T$2)&lt;7),(WEEKDAY($A65)&lt;&gt;1)),"work",(INDEX(Subject!$A:$I,MATCH(RANDBETWEEN(1,(MAX(Subject!$B:$B))),Subject!$B:$B,0),3))))</f>
        <v/>
      </c>
      <c r="C65" s="2" t="str">
        <f t="array" ref="C65">IF(NOW()&gt;AN65,"",IF(AND((WEEKDAY($A65)+$B$2)&gt;1,((WEEKDAY($A65)+$T$2)&lt;7),(WEEKDAY($A65)&lt;&gt;1)),"work",(INDEX(Subject!$A:$I,MATCH(RANDBETWEEN(1,(MAX(Subject!$B:$B))),Subject!$B:$B,0),3))))</f>
        <v/>
      </c>
      <c r="D65" s="2" t="str">
        <f t="array" ref="D65">IF(NOW()&gt;AO65,"",IF(AND((WEEKDAY($A65)+$B$2)&gt;1,((WEEKDAY($A65)+$T$2)&lt;7),(WEEKDAY($A65)&lt;&gt;1)),"work",(INDEX(Subject!$A:$I,MATCH(RANDBETWEEN(1,(MAX(Subject!$B:$B))),Subject!$B:$B,0),3))))</f>
        <v/>
      </c>
      <c r="E65" s="2" t="str">
        <f t="array" ref="E65">IF(NOW()&gt;AP65,"",IF(AND((WEEKDAY($A65)+$B$2)&gt;1,((WEEKDAY($A65)+$T$2)&lt;7),(WEEKDAY($A65)&lt;&gt;1)),"work",(INDEX(Subject!$A:$I,MATCH(RANDBETWEEN(1,(MAX(Subject!$B:$B))),Subject!$B:$B,0),3))))</f>
        <v/>
      </c>
      <c r="F65" s="2" t="str">
        <f t="array" ref="F65">IF(NOW()&gt;AQ65,"",IF(AND((WEEKDAY($A65)+$B$2)&gt;1,((WEEKDAY($A65)+$T$2)&lt;7),(WEEKDAY($A65)&lt;&gt;1)),"work",(INDEX(Subject!$A:$I,MATCH(RANDBETWEEN(1,(MAX(Subject!$B:$B))),Subject!$B:$B,0),3))))</f>
        <v/>
      </c>
      <c r="G65" s="2" t="str">
        <f t="array" ref="G65">IF(NOW()&gt;AR65,"",IF(AND((WEEKDAY($A65)+$B$2)&gt;1,((WEEKDAY($A65)+$T$2)&lt;7),(WEEKDAY($A65)&lt;&gt;1)),"work",(INDEX(Subject!$A:$I,MATCH(RANDBETWEEN(1,(MAX(Subject!$B:$B))),Subject!$B:$B,0),3))))</f>
        <v/>
      </c>
      <c r="H65" s="2" t="str">
        <f t="array" ref="H65">IF(NOW()&gt;AS65,"",IF(AND((WEEKDAY($A65)+$B$2)&gt;1,((WEEKDAY($A65)+$T$2)&lt;7),(WEEKDAY($A65)&lt;&gt;1)),"work",(INDEX(Subject!$A:$I,MATCH(RANDBETWEEN(1,(MAX(Subject!$B:$B))),Subject!$B:$B,0),3))))</f>
        <v/>
      </c>
      <c r="I65" s="2" t="str">
        <f t="array" ref="I65">IF(NOW()&gt;AT65,"",IF(AND((WEEKDAY($A65)+$B$2)&gt;1,((WEEKDAY($A65)+$T$2)&lt;7),(WEEKDAY($A65)&lt;&gt;1)),"work",(INDEX(Subject!$A:$I,MATCH(RANDBETWEEN(1,(MAX(Subject!$B:$B))),Subject!$B:$B,0),3))))</f>
        <v/>
      </c>
      <c r="J65" s="2" t="str">
        <f t="array" ref="J65">IF(NOW()&gt;AU65,"",IF(AND((WEEKDAY($A65)+$B$2)&gt;1,((WEEKDAY($A65)+$T$2)&lt;7),(WEEKDAY($A65)&lt;&gt;1)),"work",(INDEX(Subject!$A:$I,MATCH(RANDBETWEEN(1,(MAX(Subject!$B:$B))),Subject!$B:$B,0),3))))</f>
        <v/>
      </c>
      <c r="K65" s="2" t="str">
        <f t="array" ref="K65">IF(NOW()&gt;AV65,"",IF(AND((WEEKDAY($A65)+$B$2)&gt;1,((WEEKDAY($A65)+$T$2)&lt;7),(WEEKDAY($A65)&lt;&gt;1)),"work",(INDEX(Subject!$A:$I,MATCH(RANDBETWEEN(1,(MAX(Subject!$B:$B))),Subject!$B:$B,0),3))))</f>
        <v/>
      </c>
      <c r="L65" s="2" t="str">
        <f t="array" ref="L65">IF(NOW()&gt;AW65,"",IF(AND((WEEKDAY($A65)+$B$2)&gt;1,((WEEKDAY($A65)+$T$2)&lt;7),(WEEKDAY($A65)&lt;&gt;1)),"work",(INDEX(Subject!$A:$I,MATCH(RANDBETWEEN(1,(MAX(Subject!$B:$B))),Subject!$B:$B,0),3))))</f>
        <v/>
      </c>
      <c r="M65" s="2" t="str">
        <f t="array" ref="M65">IF(NOW()&gt;AX65,"",IF(AND((WEEKDAY($A65)+$B$2)&gt;1,((WEEKDAY($A65)+$T$2)&lt;7),(WEEKDAY($A65)&lt;&gt;1)),"work",(INDEX(Subject!$A:$I,MATCH(RANDBETWEEN(1,(MAX(Subject!$B:$B))),Subject!$B:$B,0),3))))</f>
        <v/>
      </c>
      <c r="N65" s="2" t="str">
        <f t="array" ref="N65">IF(NOW()&gt;AY65,"",IF(AND((WEEKDAY($A65)+$B$2)&gt;1,((WEEKDAY($A65)+$T$2)&lt;7),(WEEKDAY($A65)&lt;&gt;1)),"work",(INDEX(Subject!$A:$I,MATCH(RANDBETWEEN(1,(MAX(Subject!$B:$B))),Subject!$B:$B,0),3))))</f>
        <v/>
      </c>
      <c r="O65" s="2" t="str">
        <f t="array" ref="O65">IF(NOW()&gt;AZ65,"",IF(AND((WEEKDAY($A65)+$B$2)&gt;1,((WEEKDAY($A65)+$T$2)&lt;7),(WEEKDAY($A65)&lt;&gt;1)),"work",(INDEX(Subject!$A:$I,MATCH(RANDBETWEEN(1,(MAX(Subject!$B:$B))),Subject!$B:$B,0),3))))</f>
        <v/>
      </c>
      <c r="P65" s="2" t="str">
        <f t="array" ref="P65">IF(NOW()&gt;BA65,"",IF(AND((WEEKDAY($A65)+$B$2)&gt;1,((WEEKDAY($A65)+$T$2)&lt;7),(WEEKDAY($A65)&lt;&gt;1)),"work",(INDEX(Subject!$A:$I,MATCH(RANDBETWEEN(1,(MAX(Subject!$B:$B))),Subject!$B:$B,0),3))))</f>
        <v/>
      </c>
      <c r="Q65" s="2" t="str">
        <f t="array" ref="Q65">IF(NOW()&gt;BB65,"",IF(AND((WEEKDAY($A65)+$B$2)&gt;1,((WEEKDAY($A65)+$T$2)&lt;7),(WEEKDAY($A65)&lt;&gt;1)),"work",(INDEX(Subject!$A:$I,MATCH(RANDBETWEEN(1,(MAX(Subject!$B:$B))),Subject!$B:$B,0),3))))</f>
        <v/>
      </c>
      <c r="R65" s="2" t="str">
        <f t="array" ref="R65">IF(NOW()&gt;BC65,"",IF(AND((WEEKDAY($A65)+$B$2)&gt;1,((WEEKDAY($A65)+$T$2)&lt;7),(WEEKDAY($A65)&lt;&gt;1)),"work",(INDEX(Subject!$A:$I,MATCH(RANDBETWEEN(1,(MAX(Subject!$B:$B))),Subject!$B:$B,0),3))))</f>
        <v/>
      </c>
      <c r="S65" s="2" t="str">
        <f t="array" ref="S65">IF(NOW()&gt;BD65,"",IF(AND((WEEKDAY($A65)+$B$2)&gt;1,((WEEKDAY($A65)+$T$2)&lt;7),(WEEKDAY($A65)&lt;&gt;1)),"work",(INDEX(Subject!$A:$I,MATCH(RANDBETWEEN(1,(MAX(Subject!$B:$B))),Subject!$B:$B,0),3))))</f>
        <v/>
      </c>
      <c r="T65" s="2" t="str">
        <f t="array" ref="T65">IF(NOW()&gt;BE65,"",IF(AND((WEEKDAY($A65)+$B$2)&gt;1,((WEEKDAY($A65)+$T$2)&lt;7),(WEEKDAY($A65)&lt;&gt;1)),"work",(INDEX(Subject!$A:$I,MATCH(RANDBETWEEN(1,(MAX(Subject!$B:$B))),Subject!$B:$B,0),3))))</f>
        <v/>
      </c>
      <c r="U65" s="8" t="str">
        <f t="array" ref="U65">INDEX(Subject!$A:$I,MATCH(RANDBETWEEN(1,16),Subject!$B:$B,0),3)</f>
        <v>#N/A</v>
      </c>
      <c r="V65" s="8" t="str">
        <f t="array" ref="V65">INDEX(Subject!$A:$I,MATCH(RANDBETWEEN(1,16),Subject!$B:$B,0),3)</f>
        <v>#N/A</v>
      </c>
      <c r="W65" s="8" t="str">
        <f t="array" ref="W65">INDEX(Subject!$A:$I,MATCH(RANDBETWEEN(1,16),Subject!$B:$B,0),3)</f>
        <v>#N/A</v>
      </c>
      <c r="X65" s="8" t="str">
        <f t="array" ref="X65">INDEX(Subject!$A:$I,MATCH(RANDBETWEEN(1,16),Subject!$B:$B,0),3)</f>
        <v>#N/A</v>
      </c>
      <c r="Y65" s="8" t="str">
        <f t="array" ref="Y65">INDEX(Subject!$A:$I,MATCH(RANDBETWEEN(1,16),Subject!$B:$B,0),3)</f>
        <v>#N/A</v>
      </c>
      <c r="Z65" s="8" t="str">
        <f t="array" ref="Z65">INDEX(Subject!$A:$I,MATCH(RANDBETWEEN(1,16),Subject!$B:$B,0),3)</f>
        <v>#N/A</v>
      </c>
      <c r="AA65" s="8" t="str">
        <f t="array" ref="AA65">INDEX(Subject!$A:$I,MATCH(RANDBETWEEN(1,16),Subject!$B:$B,0),3)</f>
        <v>#N/A</v>
      </c>
      <c r="AB65" s="8" t="str">
        <f t="array" ref="AB65">INDEX(Subject!$A:$I,MATCH(RANDBETWEEN(1,16),Subject!$B:$B,0),3)</f>
        <v/>
      </c>
      <c r="AC65" s="8" t="str">
        <f t="array" ref="AC65">INDEX(Subject!$A:$I,MATCH(RANDBETWEEN(1,16),Subject!$B:$B,0),3)</f>
        <v>#N/A</v>
      </c>
      <c r="AD65" s="8" t="str">
        <f t="array" ref="AD65">INDEX(Subject!$A:$I,MATCH(RANDBETWEEN(1,16),Subject!$B:$B,0),3)</f>
        <v>#N/A</v>
      </c>
      <c r="AE65" s="8" t="str">
        <f t="array" ref="AE65">INDEX(Subject!$A:$I,MATCH(RANDBETWEEN(1,16),Subject!$B:$B,0),3)</f>
        <v>#N/A</v>
      </c>
      <c r="AF65" s="8" t="str">
        <f t="array" ref="AF65">INDEX(Subject!$A:$I,MATCH(RANDBETWEEN(1,16),Subject!$B:$B,0),3)</f>
        <v>#N/A</v>
      </c>
      <c r="AG65" s="8" t="str">
        <f t="array" ref="AG65">INDEX(Subject!$A:$I,MATCH(RANDBETWEEN(1,16),Subject!$B:$B,0),3)</f>
        <v>#N/A</v>
      </c>
      <c r="AH65" s="8" t="str">
        <f t="array" ref="AH65">INDEX(Subject!$A:$I,MATCH(RANDBETWEEN(1,16),Subject!$B:$B,0),3)</f>
        <v>#N/A</v>
      </c>
      <c r="AI65" s="8" t="str">
        <f t="array" ref="AI65">INDEX(Subject!$A:$I,MATCH(RANDBETWEEN(1,16),Subject!$B:$B,0),3)</f>
        <v>#N/A</v>
      </c>
      <c r="AJ65" s="8" t="str">
        <f t="array" ref="AJ65">INDEX(Subject!$A:$I,MATCH(RANDBETWEEN(1,16),Subject!$B:$B,0),3)</f>
        <v>#N/A</v>
      </c>
      <c r="AK65" s="8" t="str">
        <f t="array" ref="AK65">INDEX(Subject!$A:$I,MATCH(RANDBETWEEN(1,16),Subject!$B:$B,0),3)</f>
        <v>#N/A</v>
      </c>
      <c r="AL65" s="8" t="str">
        <f t="array" ref="AL65">INDEX(Subject!$A:$I,MATCH(RANDBETWEEN(1,16),Subject!$B:$B,0),3)</f>
        <v>#N/A</v>
      </c>
      <c r="AM65" s="18">
        <f t="shared" si="4"/>
        <v>45565.33333</v>
      </c>
      <c r="AN65" s="19">
        <f t="shared" ref="AN65:BZ65" si="65">$A65+C$1</f>
        <v>45565.35417</v>
      </c>
      <c r="AO65" s="19">
        <f t="shared" si="65"/>
        <v>45565.375</v>
      </c>
      <c r="AP65" s="19">
        <f t="shared" si="65"/>
        <v>45565.39583</v>
      </c>
      <c r="AQ65" s="19">
        <f t="shared" si="65"/>
        <v>45565.41667</v>
      </c>
      <c r="AR65" s="19">
        <f t="shared" si="65"/>
        <v>45565.4375</v>
      </c>
      <c r="AS65" s="19">
        <f t="shared" si="65"/>
        <v>45565.45833</v>
      </c>
      <c r="AT65" s="19">
        <f t="shared" si="65"/>
        <v>45565.47917</v>
      </c>
      <c r="AU65" s="19">
        <f t="shared" si="65"/>
        <v>45565.5</v>
      </c>
      <c r="AV65" s="19">
        <f t="shared" si="65"/>
        <v>45565.52083</v>
      </c>
      <c r="AW65" s="19">
        <f t="shared" si="65"/>
        <v>45565.54167</v>
      </c>
      <c r="AX65" s="19">
        <f t="shared" si="65"/>
        <v>45565.5625</v>
      </c>
      <c r="AY65" s="19">
        <f t="shared" si="65"/>
        <v>45565.58333</v>
      </c>
      <c r="AZ65" s="19">
        <f t="shared" si="65"/>
        <v>45565.60417</v>
      </c>
      <c r="BA65" s="19">
        <f t="shared" si="65"/>
        <v>45565.625</v>
      </c>
      <c r="BB65" s="19">
        <f t="shared" si="65"/>
        <v>45565.64583</v>
      </c>
      <c r="BC65" s="19">
        <f t="shared" si="65"/>
        <v>45565.66667</v>
      </c>
      <c r="BD65" s="19">
        <f t="shared" si="65"/>
        <v>45565.6875</v>
      </c>
      <c r="BE65" s="19">
        <f t="shared" si="65"/>
        <v>45565.70833</v>
      </c>
      <c r="BF65" s="19">
        <f t="shared" si="65"/>
        <v>45565.72917</v>
      </c>
      <c r="BG65" s="19">
        <f t="shared" si="65"/>
        <v>45565.75</v>
      </c>
      <c r="BH65" s="19">
        <f t="shared" si="65"/>
        <v>45565.77083</v>
      </c>
      <c r="BI65" s="19">
        <f t="shared" si="65"/>
        <v>45565.79167</v>
      </c>
      <c r="BJ65" s="19">
        <f t="shared" si="65"/>
        <v>45565.8125</v>
      </c>
      <c r="BK65" s="19">
        <f t="shared" si="65"/>
        <v>45565.83333</v>
      </c>
      <c r="BL65" s="19">
        <f t="shared" si="65"/>
        <v>45565.85417</v>
      </c>
      <c r="BM65" s="19">
        <f t="shared" si="65"/>
        <v>45565.875</v>
      </c>
      <c r="BN65" s="19">
        <f t="shared" si="65"/>
        <v>45565.89583</v>
      </c>
      <c r="BO65" s="19">
        <f t="shared" si="65"/>
        <v>45565.91667</v>
      </c>
      <c r="BP65" s="19">
        <f t="shared" si="65"/>
        <v>45565.9375</v>
      </c>
      <c r="BQ65" s="19">
        <f t="shared" si="65"/>
        <v>45565.95833</v>
      </c>
      <c r="BR65" s="19">
        <f t="shared" si="65"/>
        <v>45565.97917</v>
      </c>
      <c r="BS65" s="19">
        <f t="shared" si="65"/>
        <v>45566</v>
      </c>
      <c r="BT65" s="19">
        <f t="shared" si="65"/>
        <v>45566.02083</v>
      </c>
      <c r="BU65" s="19">
        <f t="shared" si="65"/>
        <v>45566.04167</v>
      </c>
      <c r="BV65" s="19">
        <f t="shared" si="65"/>
        <v>45566.0625</v>
      </c>
      <c r="BW65" s="19">
        <f t="shared" si="65"/>
        <v>45566.08333</v>
      </c>
      <c r="BX65" s="19">
        <f t="shared" si="65"/>
        <v>45565</v>
      </c>
      <c r="BY65" s="19">
        <f t="shared" si="65"/>
        <v>45565</v>
      </c>
      <c r="BZ65" s="19">
        <f t="shared" si="65"/>
        <v>45565</v>
      </c>
    </row>
    <row r="66" ht="14.25" customHeight="1">
      <c r="A66" s="17">
        <v>45566.0</v>
      </c>
      <c r="B66" s="2" t="str">
        <f t="array" ref="B66">IF(NOW()&gt;AM66,"",IF(AND((WEEKDAY($A66)+$B$2)&gt;1,((WEEKDAY($A66)+$T$2)&lt;7),(WEEKDAY($A66)&lt;&gt;1)),"work",(INDEX(Subject!$A:$I,MATCH(RANDBETWEEN(1,(MAX(Subject!$B:$B))),Subject!$B:$B,0),3))))</f>
        <v/>
      </c>
      <c r="C66" s="2" t="str">
        <f t="array" ref="C66">IF(NOW()&gt;AN66,"",IF(AND((WEEKDAY($A66)+$B$2)&gt;1,((WEEKDAY($A66)+$T$2)&lt;7),(WEEKDAY($A66)&lt;&gt;1)),"work",(INDEX(Subject!$A:$I,MATCH(RANDBETWEEN(1,(MAX(Subject!$B:$B))),Subject!$B:$B,0),3))))</f>
        <v/>
      </c>
      <c r="D66" s="2" t="str">
        <f t="array" ref="D66">IF(NOW()&gt;AO66,"",IF(AND((WEEKDAY($A66)+$B$2)&gt;1,((WEEKDAY($A66)+$T$2)&lt;7),(WEEKDAY($A66)&lt;&gt;1)),"work",(INDEX(Subject!$A:$I,MATCH(RANDBETWEEN(1,(MAX(Subject!$B:$B))),Subject!$B:$B,0),3))))</f>
        <v/>
      </c>
      <c r="E66" s="2" t="str">
        <f t="array" ref="E66">IF(NOW()&gt;AP66,"",IF(AND((WEEKDAY($A66)+$B$2)&gt;1,((WEEKDAY($A66)+$T$2)&lt;7),(WEEKDAY($A66)&lt;&gt;1)),"work",(INDEX(Subject!$A:$I,MATCH(RANDBETWEEN(1,(MAX(Subject!$B:$B))),Subject!$B:$B,0),3))))</f>
        <v/>
      </c>
      <c r="F66" s="2" t="str">
        <f t="array" ref="F66">IF(NOW()&gt;AQ66,"",IF(AND((WEEKDAY($A66)+$B$2)&gt;1,((WEEKDAY($A66)+$T$2)&lt;7),(WEEKDAY($A66)&lt;&gt;1)),"work",(INDEX(Subject!$A:$I,MATCH(RANDBETWEEN(1,(MAX(Subject!$B:$B))),Subject!$B:$B,0),3))))</f>
        <v/>
      </c>
      <c r="G66" s="2" t="str">
        <f t="array" ref="G66">IF(NOW()&gt;AR66,"",IF(AND((WEEKDAY($A66)+$B$2)&gt;1,((WEEKDAY($A66)+$T$2)&lt;7),(WEEKDAY($A66)&lt;&gt;1)),"work",(INDEX(Subject!$A:$I,MATCH(RANDBETWEEN(1,(MAX(Subject!$B:$B))),Subject!$B:$B,0),3))))</f>
        <v/>
      </c>
      <c r="H66" s="2" t="str">
        <f t="array" ref="H66">IF(NOW()&gt;AS66,"",IF(AND((WEEKDAY($A66)+$B$2)&gt;1,((WEEKDAY($A66)+$T$2)&lt;7),(WEEKDAY($A66)&lt;&gt;1)),"work",(INDEX(Subject!$A:$I,MATCH(RANDBETWEEN(1,(MAX(Subject!$B:$B))),Subject!$B:$B,0),3))))</f>
        <v/>
      </c>
      <c r="I66" s="2" t="str">
        <f t="array" ref="I66">IF(NOW()&gt;AT66,"",IF(AND((WEEKDAY($A66)+$B$2)&gt;1,((WEEKDAY($A66)+$T$2)&lt;7),(WEEKDAY($A66)&lt;&gt;1)),"work",(INDEX(Subject!$A:$I,MATCH(RANDBETWEEN(1,(MAX(Subject!$B:$B))),Subject!$B:$B,0),3))))</f>
        <v/>
      </c>
      <c r="J66" s="2" t="str">
        <f t="array" ref="J66">IF(NOW()&gt;AU66,"",IF(AND((WEEKDAY($A66)+$B$2)&gt;1,((WEEKDAY($A66)+$T$2)&lt;7),(WEEKDAY($A66)&lt;&gt;1)),"work",(INDEX(Subject!$A:$I,MATCH(RANDBETWEEN(1,(MAX(Subject!$B:$B))),Subject!$B:$B,0),3))))</f>
        <v/>
      </c>
      <c r="K66" s="2" t="str">
        <f t="array" ref="K66">IF(NOW()&gt;AV66,"",IF(AND((WEEKDAY($A66)+$B$2)&gt;1,((WEEKDAY($A66)+$T$2)&lt;7),(WEEKDAY($A66)&lt;&gt;1)),"work",(INDEX(Subject!$A:$I,MATCH(RANDBETWEEN(1,(MAX(Subject!$B:$B))),Subject!$B:$B,0),3))))</f>
        <v/>
      </c>
      <c r="L66" s="2" t="str">
        <f t="array" ref="L66">IF(NOW()&gt;AW66,"",IF(AND((WEEKDAY($A66)+$B$2)&gt;1,((WEEKDAY($A66)+$T$2)&lt;7),(WEEKDAY($A66)&lt;&gt;1)),"work",(INDEX(Subject!$A:$I,MATCH(RANDBETWEEN(1,(MAX(Subject!$B:$B))),Subject!$B:$B,0),3))))</f>
        <v/>
      </c>
      <c r="M66" s="2" t="str">
        <f t="array" ref="M66">IF(NOW()&gt;AX66,"",IF(AND((WEEKDAY($A66)+$B$2)&gt;1,((WEEKDAY($A66)+$T$2)&lt;7),(WEEKDAY($A66)&lt;&gt;1)),"work",(INDEX(Subject!$A:$I,MATCH(RANDBETWEEN(1,(MAX(Subject!$B:$B))),Subject!$B:$B,0),3))))</f>
        <v/>
      </c>
      <c r="N66" s="2" t="str">
        <f t="array" ref="N66">IF(NOW()&gt;AY66,"",IF(AND((WEEKDAY($A66)+$B$2)&gt;1,((WEEKDAY($A66)+$T$2)&lt;7),(WEEKDAY($A66)&lt;&gt;1)),"work",(INDEX(Subject!$A:$I,MATCH(RANDBETWEEN(1,(MAX(Subject!$B:$B))),Subject!$B:$B,0),3))))</f>
        <v/>
      </c>
      <c r="O66" s="2" t="str">
        <f t="array" ref="O66">IF(NOW()&gt;AZ66,"",IF(AND((WEEKDAY($A66)+$B$2)&gt;1,((WEEKDAY($A66)+$T$2)&lt;7),(WEEKDAY($A66)&lt;&gt;1)),"work",(INDEX(Subject!$A:$I,MATCH(RANDBETWEEN(1,(MAX(Subject!$B:$B))),Subject!$B:$B,0),3))))</f>
        <v/>
      </c>
      <c r="P66" s="2" t="str">
        <f t="array" ref="P66">IF(NOW()&gt;BA66,"",IF(AND((WEEKDAY($A66)+$B$2)&gt;1,((WEEKDAY($A66)+$T$2)&lt;7),(WEEKDAY($A66)&lt;&gt;1)),"work",(INDEX(Subject!$A:$I,MATCH(RANDBETWEEN(1,(MAX(Subject!$B:$B))),Subject!$B:$B,0),3))))</f>
        <v/>
      </c>
      <c r="Q66" s="2" t="str">
        <f t="array" ref="Q66">IF(NOW()&gt;BB66,"",IF(AND((WEEKDAY($A66)+$B$2)&gt;1,((WEEKDAY($A66)+$T$2)&lt;7),(WEEKDAY($A66)&lt;&gt;1)),"work",(INDEX(Subject!$A:$I,MATCH(RANDBETWEEN(1,(MAX(Subject!$B:$B))),Subject!$B:$B,0),3))))</f>
        <v/>
      </c>
      <c r="R66" s="2" t="str">
        <f t="array" ref="R66">IF(NOW()&gt;BC66,"",IF(AND((WEEKDAY($A66)+$B$2)&gt;1,((WEEKDAY($A66)+$T$2)&lt;7),(WEEKDAY($A66)&lt;&gt;1)),"work",(INDEX(Subject!$A:$I,MATCH(RANDBETWEEN(1,(MAX(Subject!$B:$B))),Subject!$B:$B,0),3))))</f>
        <v/>
      </c>
      <c r="S66" s="2" t="str">
        <f t="array" ref="S66">IF(NOW()&gt;BD66,"",IF(AND((WEEKDAY($A66)+$B$2)&gt;1,((WEEKDAY($A66)+$T$2)&lt;7),(WEEKDAY($A66)&lt;&gt;1)),"work",(INDEX(Subject!$A:$I,MATCH(RANDBETWEEN(1,(MAX(Subject!$B:$B))),Subject!$B:$B,0),3))))</f>
        <v/>
      </c>
      <c r="T66" s="2" t="str">
        <f t="array" ref="T66">IF(NOW()&gt;BE66,"",IF(AND((WEEKDAY($A66)+$B$2)&gt;1,((WEEKDAY($A66)+$T$2)&lt;7),(WEEKDAY($A66)&lt;&gt;1)),"work",(INDEX(Subject!$A:$I,MATCH(RANDBETWEEN(1,(MAX(Subject!$B:$B))),Subject!$B:$B,0),3))))</f>
        <v/>
      </c>
      <c r="U66" s="8" t="str">
        <f t="array" ref="U66">INDEX(Subject!$A:$I,MATCH(RANDBETWEEN(1,16),Subject!$B:$B,0),3)</f>
        <v>#N/A</v>
      </c>
      <c r="V66" s="8" t="str">
        <f t="array" ref="V66">INDEX(Subject!$A:$I,MATCH(RANDBETWEEN(1,16),Subject!$B:$B,0),3)</f>
        <v>#N/A</v>
      </c>
      <c r="W66" s="8" t="str">
        <f t="array" ref="W66">INDEX(Subject!$A:$I,MATCH(RANDBETWEEN(1,16),Subject!$B:$B,0),3)</f>
        <v>#N/A</v>
      </c>
      <c r="X66" s="8" t="str">
        <f t="array" ref="X66">INDEX(Subject!$A:$I,MATCH(RANDBETWEEN(1,16),Subject!$B:$B,0),3)</f>
        <v>#N/A</v>
      </c>
      <c r="Y66" s="8" t="str">
        <f t="array" ref="Y66">INDEX(Subject!$A:$I,MATCH(RANDBETWEEN(1,16),Subject!$B:$B,0),3)</f>
        <v>#N/A</v>
      </c>
      <c r="Z66" s="8" t="str">
        <f t="array" ref="Z66">INDEX(Subject!$A:$I,MATCH(RANDBETWEEN(1,16),Subject!$B:$B,0),3)</f>
        <v>#N/A</v>
      </c>
      <c r="AA66" s="8" t="str">
        <f t="array" ref="AA66">INDEX(Subject!$A:$I,MATCH(RANDBETWEEN(1,16),Subject!$B:$B,0),3)</f>
        <v>#N/A</v>
      </c>
      <c r="AB66" s="8" t="str">
        <f t="array" ref="AB66">INDEX(Subject!$A:$I,MATCH(RANDBETWEEN(1,16),Subject!$B:$B,0),3)</f>
        <v>#N/A</v>
      </c>
      <c r="AC66" s="8" t="str">
        <f t="array" ref="AC66">INDEX(Subject!$A:$I,MATCH(RANDBETWEEN(1,16),Subject!$B:$B,0),3)</f>
        <v>#N/A</v>
      </c>
      <c r="AD66" s="8" t="str">
        <f t="array" ref="AD66">INDEX(Subject!$A:$I,MATCH(RANDBETWEEN(1,16),Subject!$B:$B,0),3)</f>
        <v>#N/A</v>
      </c>
      <c r="AE66" s="8" t="str">
        <f t="array" ref="AE66">INDEX(Subject!$A:$I,MATCH(RANDBETWEEN(1,16),Subject!$B:$B,0),3)</f>
        <v>#N/A</v>
      </c>
      <c r="AF66" s="8" t="str">
        <f t="array" ref="AF66">INDEX(Subject!$A:$I,MATCH(RANDBETWEEN(1,16),Subject!$B:$B,0),3)</f>
        <v>#N/A</v>
      </c>
      <c r="AG66" s="8" t="str">
        <f t="array" ref="AG66">INDEX(Subject!$A:$I,MATCH(RANDBETWEEN(1,16),Subject!$B:$B,0),3)</f>
        <v>#N/A</v>
      </c>
      <c r="AH66" s="8" t="str">
        <f t="array" ref="AH66">INDEX(Subject!$A:$I,MATCH(RANDBETWEEN(1,16),Subject!$B:$B,0),3)</f>
        <v>#N/A</v>
      </c>
      <c r="AI66" s="8" t="str">
        <f t="array" ref="AI66">INDEX(Subject!$A:$I,MATCH(RANDBETWEEN(1,16),Subject!$B:$B,0),3)</f>
        <v/>
      </c>
      <c r="AJ66" s="8" t="str">
        <f t="array" ref="AJ66">INDEX(Subject!$A:$I,MATCH(RANDBETWEEN(1,16),Subject!$B:$B,0),3)</f>
        <v>#N/A</v>
      </c>
      <c r="AK66" s="8" t="str">
        <f t="array" ref="AK66">INDEX(Subject!$A:$I,MATCH(RANDBETWEEN(1,16),Subject!$B:$B,0),3)</f>
        <v>#N/A</v>
      </c>
      <c r="AL66" s="8" t="str">
        <f t="array" ref="AL66">INDEX(Subject!$A:$I,MATCH(RANDBETWEEN(1,16),Subject!$B:$B,0),3)</f>
        <v>#N/A</v>
      </c>
      <c r="AM66" s="18">
        <f t="shared" si="4"/>
        <v>45566.33333</v>
      </c>
      <c r="AN66" s="19">
        <f t="shared" ref="AN66:BZ66" si="66">$A66+C$1</f>
        <v>45566.35417</v>
      </c>
      <c r="AO66" s="19">
        <f t="shared" si="66"/>
        <v>45566.375</v>
      </c>
      <c r="AP66" s="19">
        <f t="shared" si="66"/>
        <v>45566.39583</v>
      </c>
      <c r="AQ66" s="19">
        <f t="shared" si="66"/>
        <v>45566.41667</v>
      </c>
      <c r="AR66" s="19">
        <f t="shared" si="66"/>
        <v>45566.4375</v>
      </c>
      <c r="AS66" s="19">
        <f t="shared" si="66"/>
        <v>45566.45833</v>
      </c>
      <c r="AT66" s="19">
        <f t="shared" si="66"/>
        <v>45566.47917</v>
      </c>
      <c r="AU66" s="19">
        <f t="shared" si="66"/>
        <v>45566.5</v>
      </c>
      <c r="AV66" s="19">
        <f t="shared" si="66"/>
        <v>45566.52083</v>
      </c>
      <c r="AW66" s="19">
        <f t="shared" si="66"/>
        <v>45566.54167</v>
      </c>
      <c r="AX66" s="19">
        <f t="shared" si="66"/>
        <v>45566.5625</v>
      </c>
      <c r="AY66" s="19">
        <f t="shared" si="66"/>
        <v>45566.58333</v>
      </c>
      <c r="AZ66" s="19">
        <f t="shared" si="66"/>
        <v>45566.60417</v>
      </c>
      <c r="BA66" s="19">
        <f t="shared" si="66"/>
        <v>45566.625</v>
      </c>
      <c r="BB66" s="19">
        <f t="shared" si="66"/>
        <v>45566.64583</v>
      </c>
      <c r="BC66" s="19">
        <f t="shared" si="66"/>
        <v>45566.66667</v>
      </c>
      <c r="BD66" s="19">
        <f t="shared" si="66"/>
        <v>45566.6875</v>
      </c>
      <c r="BE66" s="19">
        <f t="shared" si="66"/>
        <v>45566.70833</v>
      </c>
      <c r="BF66" s="19">
        <f t="shared" si="66"/>
        <v>45566.72917</v>
      </c>
      <c r="BG66" s="19">
        <f t="shared" si="66"/>
        <v>45566.75</v>
      </c>
      <c r="BH66" s="19">
        <f t="shared" si="66"/>
        <v>45566.77083</v>
      </c>
      <c r="BI66" s="19">
        <f t="shared" si="66"/>
        <v>45566.79167</v>
      </c>
      <c r="BJ66" s="19">
        <f t="shared" si="66"/>
        <v>45566.8125</v>
      </c>
      <c r="BK66" s="19">
        <f t="shared" si="66"/>
        <v>45566.83333</v>
      </c>
      <c r="BL66" s="19">
        <f t="shared" si="66"/>
        <v>45566.85417</v>
      </c>
      <c r="BM66" s="19">
        <f t="shared" si="66"/>
        <v>45566.875</v>
      </c>
      <c r="BN66" s="19">
        <f t="shared" si="66"/>
        <v>45566.89583</v>
      </c>
      <c r="BO66" s="19">
        <f t="shared" si="66"/>
        <v>45566.91667</v>
      </c>
      <c r="BP66" s="19">
        <f t="shared" si="66"/>
        <v>45566.9375</v>
      </c>
      <c r="BQ66" s="19">
        <f t="shared" si="66"/>
        <v>45566.95833</v>
      </c>
      <c r="BR66" s="19">
        <f t="shared" si="66"/>
        <v>45566.97917</v>
      </c>
      <c r="BS66" s="19">
        <f t="shared" si="66"/>
        <v>45567</v>
      </c>
      <c r="BT66" s="19">
        <f t="shared" si="66"/>
        <v>45567.02083</v>
      </c>
      <c r="BU66" s="19">
        <f t="shared" si="66"/>
        <v>45567.04167</v>
      </c>
      <c r="BV66" s="19">
        <f t="shared" si="66"/>
        <v>45567.0625</v>
      </c>
      <c r="BW66" s="19">
        <f t="shared" si="66"/>
        <v>45567.08333</v>
      </c>
      <c r="BX66" s="19">
        <f t="shared" si="66"/>
        <v>45566</v>
      </c>
      <c r="BY66" s="19">
        <f t="shared" si="66"/>
        <v>45566</v>
      </c>
      <c r="BZ66" s="19">
        <f t="shared" si="66"/>
        <v>45566</v>
      </c>
    </row>
    <row r="67" ht="14.25" customHeight="1">
      <c r="A67" s="17">
        <v>45567.0</v>
      </c>
      <c r="B67" s="2" t="str">
        <f t="array" ref="B67">IF(NOW()&gt;AM67,"",IF(AND((WEEKDAY($A67)+$B$2)&gt;1,((WEEKDAY($A67)+$T$2)&lt;7),(WEEKDAY($A67)&lt;&gt;1)),"work",(INDEX(Subject!$A:$I,MATCH(RANDBETWEEN(1,(MAX(Subject!$B:$B))),Subject!$B:$B,0),3))))</f>
        <v/>
      </c>
      <c r="C67" s="2" t="str">
        <f t="array" ref="C67">IF(NOW()&gt;AN67,"",IF(AND((WEEKDAY($A67)+$B$2)&gt;1,((WEEKDAY($A67)+$T$2)&lt;7),(WEEKDAY($A67)&lt;&gt;1)),"work",(INDEX(Subject!$A:$I,MATCH(RANDBETWEEN(1,(MAX(Subject!$B:$B))),Subject!$B:$B,0),3))))</f>
        <v/>
      </c>
      <c r="D67" s="2" t="str">
        <f t="array" ref="D67">IF(NOW()&gt;AO67,"",IF(AND((WEEKDAY($A67)+$B$2)&gt;1,((WEEKDAY($A67)+$T$2)&lt;7),(WEEKDAY($A67)&lt;&gt;1)),"work",(INDEX(Subject!$A:$I,MATCH(RANDBETWEEN(1,(MAX(Subject!$B:$B))),Subject!$B:$B,0),3))))</f>
        <v/>
      </c>
      <c r="E67" s="2" t="str">
        <f t="array" ref="E67">IF(NOW()&gt;AP67,"",IF(AND((WEEKDAY($A67)+$B$2)&gt;1,((WEEKDAY($A67)+$T$2)&lt;7),(WEEKDAY($A67)&lt;&gt;1)),"work",(INDEX(Subject!$A:$I,MATCH(RANDBETWEEN(1,(MAX(Subject!$B:$B))),Subject!$B:$B,0),3))))</f>
        <v/>
      </c>
      <c r="F67" s="2" t="str">
        <f t="array" ref="F67">IF(NOW()&gt;AQ67,"",IF(AND((WEEKDAY($A67)+$B$2)&gt;1,((WEEKDAY($A67)+$T$2)&lt;7),(WEEKDAY($A67)&lt;&gt;1)),"work",(INDEX(Subject!$A:$I,MATCH(RANDBETWEEN(1,(MAX(Subject!$B:$B))),Subject!$B:$B,0),3))))</f>
        <v/>
      </c>
      <c r="G67" s="2" t="str">
        <f t="array" ref="G67">IF(NOW()&gt;AR67,"",IF(AND((WEEKDAY($A67)+$B$2)&gt;1,((WEEKDAY($A67)+$T$2)&lt;7),(WEEKDAY($A67)&lt;&gt;1)),"work",(INDEX(Subject!$A:$I,MATCH(RANDBETWEEN(1,(MAX(Subject!$B:$B))),Subject!$B:$B,0),3))))</f>
        <v/>
      </c>
      <c r="H67" s="2" t="str">
        <f t="array" ref="H67">IF(NOW()&gt;AS67,"",IF(AND((WEEKDAY($A67)+$B$2)&gt;1,((WEEKDAY($A67)+$T$2)&lt;7),(WEEKDAY($A67)&lt;&gt;1)),"work",(INDEX(Subject!$A:$I,MATCH(RANDBETWEEN(1,(MAX(Subject!$B:$B))),Subject!$B:$B,0),3))))</f>
        <v/>
      </c>
      <c r="I67" s="2" t="str">
        <f t="array" ref="I67">IF(NOW()&gt;AT67,"",IF(AND((WEEKDAY($A67)+$B$2)&gt;1,((WEEKDAY($A67)+$T$2)&lt;7),(WEEKDAY($A67)&lt;&gt;1)),"work",(INDEX(Subject!$A:$I,MATCH(RANDBETWEEN(1,(MAX(Subject!$B:$B))),Subject!$B:$B,0),3))))</f>
        <v/>
      </c>
      <c r="J67" s="2" t="str">
        <f t="array" ref="J67">IF(NOW()&gt;AU67,"",IF(AND((WEEKDAY($A67)+$B$2)&gt;1,((WEEKDAY($A67)+$T$2)&lt;7),(WEEKDAY($A67)&lt;&gt;1)),"work",(INDEX(Subject!$A:$I,MATCH(RANDBETWEEN(1,(MAX(Subject!$B:$B))),Subject!$B:$B,0),3))))</f>
        <v/>
      </c>
      <c r="K67" s="2" t="str">
        <f t="array" ref="K67">IF(NOW()&gt;AV67,"",IF(AND((WEEKDAY($A67)+$B$2)&gt;1,((WEEKDAY($A67)+$T$2)&lt;7),(WEEKDAY($A67)&lt;&gt;1)),"work",(INDEX(Subject!$A:$I,MATCH(RANDBETWEEN(1,(MAX(Subject!$B:$B))),Subject!$B:$B,0),3))))</f>
        <v/>
      </c>
      <c r="L67" s="2" t="str">
        <f t="array" ref="L67">IF(NOW()&gt;AW67,"",IF(AND((WEEKDAY($A67)+$B$2)&gt;1,((WEEKDAY($A67)+$T$2)&lt;7),(WEEKDAY($A67)&lt;&gt;1)),"work",(INDEX(Subject!$A:$I,MATCH(RANDBETWEEN(1,(MAX(Subject!$B:$B))),Subject!$B:$B,0),3))))</f>
        <v/>
      </c>
      <c r="M67" s="2" t="str">
        <f t="array" ref="M67">IF(NOW()&gt;AX67,"",IF(AND((WEEKDAY($A67)+$B$2)&gt;1,((WEEKDAY($A67)+$T$2)&lt;7),(WEEKDAY($A67)&lt;&gt;1)),"work",(INDEX(Subject!$A:$I,MATCH(RANDBETWEEN(1,(MAX(Subject!$B:$B))),Subject!$B:$B,0),3))))</f>
        <v/>
      </c>
      <c r="N67" s="2" t="str">
        <f t="array" ref="N67">IF(NOW()&gt;AY67,"",IF(AND((WEEKDAY($A67)+$B$2)&gt;1,((WEEKDAY($A67)+$T$2)&lt;7),(WEEKDAY($A67)&lt;&gt;1)),"work",(INDEX(Subject!$A:$I,MATCH(RANDBETWEEN(1,(MAX(Subject!$B:$B))),Subject!$B:$B,0),3))))</f>
        <v/>
      </c>
      <c r="O67" s="2" t="str">
        <f t="array" ref="O67">IF(NOW()&gt;AZ67,"",IF(AND((WEEKDAY($A67)+$B$2)&gt;1,((WEEKDAY($A67)+$T$2)&lt;7),(WEEKDAY($A67)&lt;&gt;1)),"work",(INDEX(Subject!$A:$I,MATCH(RANDBETWEEN(1,(MAX(Subject!$B:$B))),Subject!$B:$B,0),3))))</f>
        <v/>
      </c>
      <c r="P67" s="2" t="str">
        <f t="array" ref="P67">IF(NOW()&gt;BA67,"",IF(AND((WEEKDAY($A67)+$B$2)&gt;1,((WEEKDAY($A67)+$T$2)&lt;7),(WEEKDAY($A67)&lt;&gt;1)),"work",(INDEX(Subject!$A:$I,MATCH(RANDBETWEEN(1,(MAX(Subject!$B:$B))),Subject!$B:$B,0),3))))</f>
        <v/>
      </c>
      <c r="Q67" s="2" t="str">
        <f t="array" ref="Q67">IF(NOW()&gt;BB67,"",IF(AND((WEEKDAY($A67)+$B$2)&gt;1,((WEEKDAY($A67)+$T$2)&lt;7),(WEEKDAY($A67)&lt;&gt;1)),"work",(INDEX(Subject!$A:$I,MATCH(RANDBETWEEN(1,(MAX(Subject!$B:$B))),Subject!$B:$B,0),3))))</f>
        <v/>
      </c>
      <c r="R67" s="2" t="str">
        <f t="array" ref="R67">IF(NOW()&gt;BC67,"",IF(AND((WEEKDAY($A67)+$B$2)&gt;1,((WEEKDAY($A67)+$T$2)&lt;7),(WEEKDAY($A67)&lt;&gt;1)),"work",(INDEX(Subject!$A:$I,MATCH(RANDBETWEEN(1,(MAX(Subject!$B:$B))),Subject!$B:$B,0),3))))</f>
        <v/>
      </c>
      <c r="S67" s="2" t="str">
        <f t="array" ref="S67">IF(NOW()&gt;BD67,"",IF(AND((WEEKDAY($A67)+$B$2)&gt;1,((WEEKDAY($A67)+$T$2)&lt;7),(WEEKDAY($A67)&lt;&gt;1)),"work",(INDEX(Subject!$A:$I,MATCH(RANDBETWEEN(1,(MAX(Subject!$B:$B))),Subject!$B:$B,0),3))))</f>
        <v/>
      </c>
      <c r="T67" s="2" t="str">
        <f t="array" ref="T67">IF(NOW()&gt;BE67,"",IF(AND((WEEKDAY($A67)+$B$2)&gt;1,((WEEKDAY($A67)+$T$2)&lt;7),(WEEKDAY($A67)&lt;&gt;1)),"work",(INDEX(Subject!$A:$I,MATCH(RANDBETWEEN(1,(MAX(Subject!$B:$B))),Subject!$B:$B,0),3))))</f>
        <v/>
      </c>
      <c r="U67" s="8" t="str">
        <f t="array" ref="U67">INDEX(Subject!$A:$I,MATCH(RANDBETWEEN(1,16),Subject!$B:$B,0),3)</f>
        <v>#N/A</v>
      </c>
      <c r="V67" s="8" t="str">
        <f t="array" ref="V67">INDEX(Subject!$A:$I,MATCH(RANDBETWEEN(1,16),Subject!$B:$B,0),3)</f>
        <v>#N/A</v>
      </c>
      <c r="W67" s="8" t="str">
        <f t="array" ref="W67">INDEX(Subject!$A:$I,MATCH(RANDBETWEEN(1,16),Subject!$B:$B,0),3)</f>
        <v>#N/A</v>
      </c>
      <c r="X67" s="8" t="str">
        <f t="array" ref="X67">INDEX(Subject!$A:$I,MATCH(RANDBETWEEN(1,16),Subject!$B:$B,0),3)</f>
        <v>#N/A</v>
      </c>
      <c r="Y67" s="8" t="str">
        <f t="array" ref="Y67">INDEX(Subject!$A:$I,MATCH(RANDBETWEEN(1,16),Subject!$B:$B,0),3)</f>
        <v>#N/A</v>
      </c>
      <c r="Z67" s="8" t="str">
        <f t="array" ref="Z67">INDEX(Subject!$A:$I,MATCH(RANDBETWEEN(1,16),Subject!$B:$B,0),3)</f>
        <v>#N/A</v>
      </c>
      <c r="AA67" s="8" t="str">
        <f t="array" ref="AA67">INDEX(Subject!$A:$I,MATCH(RANDBETWEEN(1,16),Subject!$B:$B,0),3)</f>
        <v>#N/A</v>
      </c>
      <c r="AB67" s="8" t="str">
        <f t="array" ref="AB67">INDEX(Subject!$A:$I,MATCH(RANDBETWEEN(1,16),Subject!$B:$B,0),3)</f>
        <v>#N/A</v>
      </c>
      <c r="AC67" s="8" t="str">
        <f t="array" ref="AC67">INDEX(Subject!$A:$I,MATCH(RANDBETWEEN(1,16),Subject!$B:$B,0),3)</f>
        <v>#N/A</v>
      </c>
      <c r="AD67" s="8" t="str">
        <f t="array" ref="AD67">INDEX(Subject!$A:$I,MATCH(RANDBETWEEN(1,16),Subject!$B:$B,0),3)</f>
        <v>#N/A</v>
      </c>
      <c r="AE67" s="8" t="str">
        <f t="array" ref="AE67">INDEX(Subject!$A:$I,MATCH(RANDBETWEEN(1,16),Subject!$B:$B,0),3)</f>
        <v>#N/A</v>
      </c>
      <c r="AF67" s="8" t="str">
        <f t="array" ref="AF67">INDEX(Subject!$A:$I,MATCH(RANDBETWEEN(1,16),Subject!$B:$B,0),3)</f>
        <v/>
      </c>
      <c r="AG67" s="8" t="str">
        <f t="array" ref="AG67">INDEX(Subject!$A:$I,MATCH(RANDBETWEEN(1,16),Subject!$B:$B,0),3)</f>
        <v>#N/A</v>
      </c>
      <c r="AH67" s="8" t="str">
        <f t="array" ref="AH67">INDEX(Subject!$A:$I,MATCH(RANDBETWEEN(1,16),Subject!$B:$B,0),3)</f>
        <v>#N/A</v>
      </c>
      <c r="AI67" s="8" t="str">
        <f t="array" ref="AI67">INDEX(Subject!$A:$I,MATCH(RANDBETWEEN(1,16),Subject!$B:$B,0),3)</f>
        <v>#N/A</v>
      </c>
      <c r="AJ67" s="8" t="str">
        <f t="array" ref="AJ67">INDEX(Subject!$A:$I,MATCH(RANDBETWEEN(1,16),Subject!$B:$B,0),3)</f>
        <v>#N/A</v>
      </c>
      <c r="AK67" s="8" t="str">
        <f t="array" ref="AK67">INDEX(Subject!$A:$I,MATCH(RANDBETWEEN(1,16),Subject!$B:$B,0),3)</f>
        <v/>
      </c>
      <c r="AL67" s="8" t="str">
        <f t="array" ref="AL67">INDEX(Subject!$A:$I,MATCH(RANDBETWEEN(1,16),Subject!$B:$B,0),3)</f>
        <v>#N/A</v>
      </c>
      <c r="AM67" s="18">
        <f t="shared" si="4"/>
        <v>45567.33333</v>
      </c>
      <c r="AN67" s="19">
        <f t="shared" ref="AN67:BZ67" si="67">$A67+C$1</f>
        <v>45567.35417</v>
      </c>
      <c r="AO67" s="19">
        <f t="shared" si="67"/>
        <v>45567.375</v>
      </c>
      <c r="AP67" s="19">
        <f t="shared" si="67"/>
        <v>45567.39583</v>
      </c>
      <c r="AQ67" s="19">
        <f t="shared" si="67"/>
        <v>45567.41667</v>
      </c>
      <c r="AR67" s="19">
        <f t="shared" si="67"/>
        <v>45567.4375</v>
      </c>
      <c r="AS67" s="19">
        <f t="shared" si="67"/>
        <v>45567.45833</v>
      </c>
      <c r="AT67" s="19">
        <f t="shared" si="67"/>
        <v>45567.47917</v>
      </c>
      <c r="AU67" s="19">
        <f t="shared" si="67"/>
        <v>45567.5</v>
      </c>
      <c r="AV67" s="19">
        <f t="shared" si="67"/>
        <v>45567.52083</v>
      </c>
      <c r="AW67" s="19">
        <f t="shared" si="67"/>
        <v>45567.54167</v>
      </c>
      <c r="AX67" s="19">
        <f t="shared" si="67"/>
        <v>45567.5625</v>
      </c>
      <c r="AY67" s="19">
        <f t="shared" si="67"/>
        <v>45567.58333</v>
      </c>
      <c r="AZ67" s="19">
        <f t="shared" si="67"/>
        <v>45567.60417</v>
      </c>
      <c r="BA67" s="19">
        <f t="shared" si="67"/>
        <v>45567.625</v>
      </c>
      <c r="BB67" s="19">
        <f t="shared" si="67"/>
        <v>45567.64583</v>
      </c>
      <c r="BC67" s="19">
        <f t="shared" si="67"/>
        <v>45567.66667</v>
      </c>
      <c r="BD67" s="19">
        <f t="shared" si="67"/>
        <v>45567.6875</v>
      </c>
      <c r="BE67" s="19">
        <f t="shared" si="67"/>
        <v>45567.70833</v>
      </c>
      <c r="BF67" s="19">
        <f t="shared" si="67"/>
        <v>45567.72917</v>
      </c>
      <c r="BG67" s="19">
        <f t="shared" si="67"/>
        <v>45567.75</v>
      </c>
      <c r="BH67" s="19">
        <f t="shared" si="67"/>
        <v>45567.77083</v>
      </c>
      <c r="BI67" s="19">
        <f t="shared" si="67"/>
        <v>45567.79167</v>
      </c>
      <c r="BJ67" s="19">
        <f t="shared" si="67"/>
        <v>45567.8125</v>
      </c>
      <c r="BK67" s="19">
        <f t="shared" si="67"/>
        <v>45567.83333</v>
      </c>
      <c r="BL67" s="19">
        <f t="shared" si="67"/>
        <v>45567.85417</v>
      </c>
      <c r="BM67" s="19">
        <f t="shared" si="67"/>
        <v>45567.875</v>
      </c>
      <c r="BN67" s="19">
        <f t="shared" si="67"/>
        <v>45567.89583</v>
      </c>
      <c r="BO67" s="19">
        <f t="shared" si="67"/>
        <v>45567.91667</v>
      </c>
      <c r="BP67" s="19">
        <f t="shared" si="67"/>
        <v>45567.9375</v>
      </c>
      <c r="BQ67" s="19">
        <f t="shared" si="67"/>
        <v>45567.95833</v>
      </c>
      <c r="BR67" s="19">
        <f t="shared" si="67"/>
        <v>45567.97917</v>
      </c>
      <c r="BS67" s="19">
        <f t="shared" si="67"/>
        <v>45568</v>
      </c>
      <c r="BT67" s="19">
        <f t="shared" si="67"/>
        <v>45568.02083</v>
      </c>
      <c r="BU67" s="19">
        <f t="shared" si="67"/>
        <v>45568.04167</v>
      </c>
      <c r="BV67" s="19">
        <f t="shared" si="67"/>
        <v>45568.0625</v>
      </c>
      <c r="BW67" s="19">
        <f t="shared" si="67"/>
        <v>45568.08333</v>
      </c>
      <c r="BX67" s="19">
        <f t="shared" si="67"/>
        <v>45567</v>
      </c>
      <c r="BY67" s="19">
        <f t="shared" si="67"/>
        <v>45567</v>
      </c>
      <c r="BZ67" s="19">
        <f t="shared" si="67"/>
        <v>45567</v>
      </c>
    </row>
    <row r="68" ht="14.25" customHeight="1">
      <c r="A68" s="17">
        <v>45568.0</v>
      </c>
      <c r="B68" s="2" t="str">
        <f t="array" ref="B68">IF(NOW()&gt;AM68,"",IF(AND((WEEKDAY($A68)+$B$2)&gt;1,((WEEKDAY($A68)+$T$2)&lt;7),(WEEKDAY($A68)&lt;&gt;1)),"work",(INDEX(Subject!$A:$I,MATCH(RANDBETWEEN(1,(MAX(Subject!$B:$B))),Subject!$B:$B,0),3))))</f>
        <v/>
      </c>
      <c r="C68" s="2" t="str">
        <f t="array" ref="C68">IF(NOW()&gt;AN68,"",IF(AND((WEEKDAY($A68)+$B$2)&gt;1,((WEEKDAY($A68)+$T$2)&lt;7),(WEEKDAY($A68)&lt;&gt;1)),"work",(INDEX(Subject!$A:$I,MATCH(RANDBETWEEN(1,(MAX(Subject!$B:$B))),Subject!$B:$B,0),3))))</f>
        <v/>
      </c>
      <c r="D68" s="2" t="str">
        <f t="array" ref="D68">IF(NOW()&gt;AO68,"",IF(AND((WEEKDAY($A68)+$B$2)&gt;1,((WEEKDAY($A68)+$T$2)&lt;7),(WEEKDAY($A68)&lt;&gt;1)),"work",(INDEX(Subject!$A:$I,MATCH(RANDBETWEEN(1,(MAX(Subject!$B:$B))),Subject!$B:$B,0),3))))</f>
        <v/>
      </c>
      <c r="E68" s="2" t="str">
        <f t="array" ref="E68">IF(NOW()&gt;AP68,"",IF(AND((WEEKDAY($A68)+$B$2)&gt;1,((WEEKDAY($A68)+$T$2)&lt;7),(WEEKDAY($A68)&lt;&gt;1)),"work",(INDEX(Subject!$A:$I,MATCH(RANDBETWEEN(1,(MAX(Subject!$B:$B))),Subject!$B:$B,0),3))))</f>
        <v/>
      </c>
      <c r="F68" s="2" t="str">
        <f t="array" ref="F68">IF(NOW()&gt;AQ68,"",IF(AND((WEEKDAY($A68)+$B$2)&gt;1,((WEEKDAY($A68)+$T$2)&lt;7),(WEEKDAY($A68)&lt;&gt;1)),"work",(INDEX(Subject!$A:$I,MATCH(RANDBETWEEN(1,(MAX(Subject!$B:$B))),Subject!$B:$B,0),3))))</f>
        <v/>
      </c>
      <c r="G68" s="2" t="str">
        <f t="array" ref="G68">IF(NOW()&gt;AR68,"",IF(AND((WEEKDAY($A68)+$B$2)&gt;1,((WEEKDAY($A68)+$T$2)&lt;7),(WEEKDAY($A68)&lt;&gt;1)),"work",(INDEX(Subject!$A:$I,MATCH(RANDBETWEEN(1,(MAX(Subject!$B:$B))),Subject!$B:$B,0),3))))</f>
        <v/>
      </c>
      <c r="H68" s="2" t="str">
        <f t="array" ref="H68">IF(NOW()&gt;AS68,"",IF(AND((WEEKDAY($A68)+$B$2)&gt;1,((WEEKDAY($A68)+$T$2)&lt;7),(WEEKDAY($A68)&lt;&gt;1)),"work",(INDEX(Subject!$A:$I,MATCH(RANDBETWEEN(1,(MAX(Subject!$B:$B))),Subject!$B:$B,0),3))))</f>
        <v/>
      </c>
      <c r="I68" s="2" t="str">
        <f t="array" ref="I68">IF(NOW()&gt;AT68,"",IF(AND((WEEKDAY($A68)+$B$2)&gt;1,((WEEKDAY($A68)+$T$2)&lt;7),(WEEKDAY($A68)&lt;&gt;1)),"work",(INDEX(Subject!$A:$I,MATCH(RANDBETWEEN(1,(MAX(Subject!$B:$B))),Subject!$B:$B,0),3))))</f>
        <v/>
      </c>
      <c r="J68" s="2" t="str">
        <f t="array" ref="J68">IF(NOW()&gt;AU68,"",IF(AND((WEEKDAY($A68)+$B$2)&gt;1,((WEEKDAY($A68)+$T$2)&lt;7),(WEEKDAY($A68)&lt;&gt;1)),"work",(INDEX(Subject!$A:$I,MATCH(RANDBETWEEN(1,(MAX(Subject!$B:$B))),Subject!$B:$B,0),3))))</f>
        <v/>
      </c>
      <c r="K68" s="2" t="str">
        <f t="array" ref="K68">IF(NOW()&gt;AV68,"",IF(AND((WEEKDAY($A68)+$B$2)&gt;1,((WEEKDAY($A68)+$T$2)&lt;7),(WEEKDAY($A68)&lt;&gt;1)),"work",(INDEX(Subject!$A:$I,MATCH(RANDBETWEEN(1,(MAX(Subject!$B:$B))),Subject!$B:$B,0),3))))</f>
        <v/>
      </c>
      <c r="L68" s="2" t="str">
        <f t="array" ref="L68">IF(NOW()&gt;AW68,"",IF(AND((WEEKDAY($A68)+$B$2)&gt;1,((WEEKDAY($A68)+$T$2)&lt;7),(WEEKDAY($A68)&lt;&gt;1)),"work",(INDEX(Subject!$A:$I,MATCH(RANDBETWEEN(1,(MAX(Subject!$B:$B))),Subject!$B:$B,0),3))))</f>
        <v/>
      </c>
      <c r="M68" s="2" t="str">
        <f t="array" ref="M68">IF(NOW()&gt;AX68,"",IF(AND((WEEKDAY($A68)+$B$2)&gt;1,((WEEKDAY($A68)+$T$2)&lt;7),(WEEKDAY($A68)&lt;&gt;1)),"work",(INDEX(Subject!$A:$I,MATCH(RANDBETWEEN(1,(MAX(Subject!$B:$B))),Subject!$B:$B,0),3))))</f>
        <v/>
      </c>
      <c r="N68" s="2" t="str">
        <f t="array" ref="N68">IF(NOW()&gt;AY68,"",IF(AND((WEEKDAY($A68)+$B$2)&gt;1,((WEEKDAY($A68)+$T$2)&lt;7),(WEEKDAY($A68)&lt;&gt;1)),"work",(INDEX(Subject!$A:$I,MATCH(RANDBETWEEN(1,(MAX(Subject!$B:$B))),Subject!$B:$B,0),3))))</f>
        <v/>
      </c>
      <c r="O68" s="2" t="str">
        <f t="array" ref="O68">IF(NOW()&gt;AZ68,"",IF(AND((WEEKDAY($A68)+$B$2)&gt;1,((WEEKDAY($A68)+$T$2)&lt;7),(WEEKDAY($A68)&lt;&gt;1)),"work",(INDEX(Subject!$A:$I,MATCH(RANDBETWEEN(1,(MAX(Subject!$B:$B))),Subject!$B:$B,0),3))))</f>
        <v/>
      </c>
      <c r="P68" s="2" t="str">
        <f t="array" ref="P68">IF(NOW()&gt;BA68,"",IF(AND((WEEKDAY($A68)+$B$2)&gt;1,((WEEKDAY($A68)+$T$2)&lt;7),(WEEKDAY($A68)&lt;&gt;1)),"work",(INDEX(Subject!$A:$I,MATCH(RANDBETWEEN(1,(MAX(Subject!$B:$B))),Subject!$B:$B,0),3))))</f>
        <v/>
      </c>
      <c r="Q68" s="2" t="str">
        <f t="array" ref="Q68">IF(NOW()&gt;BB68,"",IF(AND((WEEKDAY($A68)+$B$2)&gt;1,((WEEKDAY($A68)+$T$2)&lt;7),(WEEKDAY($A68)&lt;&gt;1)),"work",(INDEX(Subject!$A:$I,MATCH(RANDBETWEEN(1,(MAX(Subject!$B:$B))),Subject!$B:$B,0),3))))</f>
        <v/>
      </c>
      <c r="R68" s="2" t="str">
        <f t="array" ref="R68">IF(NOW()&gt;BC68,"",IF(AND((WEEKDAY($A68)+$B$2)&gt;1,((WEEKDAY($A68)+$T$2)&lt;7),(WEEKDAY($A68)&lt;&gt;1)),"work",(INDEX(Subject!$A:$I,MATCH(RANDBETWEEN(1,(MAX(Subject!$B:$B))),Subject!$B:$B,0),3))))</f>
        <v/>
      </c>
      <c r="S68" s="2" t="str">
        <f t="array" ref="S68">IF(NOW()&gt;BD68,"",IF(AND((WEEKDAY($A68)+$B$2)&gt;1,((WEEKDAY($A68)+$T$2)&lt;7),(WEEKDAY($A68)&lt;&gt;1)),"work",(INDEX(Subject!$A:$I,MATCH(RANDBETWEEN(1,(MAX(Subject!$B:$B))),Subject!$B:$B,0),3))))</f>
        <v/>
      </c>
      <c r="T68" s="2" t="str">
        <f t="array" ref="T68">IF(NOW()&gt;BE68,"",IF(AND((WEEKDAY($A68)+$B$2)&gt;1,((WEEKDAY($A68)+$T$2)&lt;7),(WEEKDAY($A68)&lt;&gt;1)),"work",(INDEX(Subject!$A:$I,MATCH(RANDBETWEEN(1,(MAX(Subject!$B:$B))),Subject!$B:$B,0),3))))</f>
        <v/>
      </c>
      <c r="U68" s="8" t="str">
        <f t="array" ref="U68">INDEX(Subject!$A:$I,MATCH(RANDBETWEEN(1,16),Subject!$B:$B,0),3)</f>
        <v>#N/A</v>
      </c>
      <c r="V68" s="8" t="str">
        <f t="array" ref="V68">INDEX(Subject!$A:$I,MATCH(RANDBETWEEN(1,16),Subject!$B:$B,0),3)</f>
        <v>#N/A</v>
      </c>
      <c r="W68" s="8" t="str">
        <f t="array" ref="W68">INDEX(Subject!$A:$I,MATCH(RANDBETWEEN(1,16),Subject!$B:$B,0),3)</f>
        <v/>
      </c>
      <c r="X68" s="8" t="str">
        <f t="array" ref="X68">INDEX(Subject!$A:$I,MATCH(RANDBETWEEN(1,16),Subject!$B:$B,0),3)</f>
        <v>#N/A</v>
      </c>
      <c r="Y68" s="8" t="str">
        <f t="array" ref="Y68">INDEX(Subject!$A:$I,MATCH(RANDBETWEEN(1,16),Subject!$B:$B,0),3)</f>
        <v>#N/A</v>
      </c>
      <c r="Z68" s="8" t="str">
        <f t="array" ref="Z68">INDEX(Subject!$A:$I,MATCH(RANDBETWEEN(1,16),Subject!$B:$B,0),3)</f>
        <v>#N/A</v>
      </c>
      <c r="AA68" s="8" t="str">
        <f t="array" ref="AA68">INDEX(Subject!$A:$I,MATCH(RANDBETWEEN(1,16),Subject!$B:$B,0),3)</f>
        <v>#N/A</v>
      </c>
      <c r="AB68" s="8" t="str">
        <f t="array" ref="AB68">INDEX(Subject!$A:$I,MATCH(RANDBETWEEN(1,16),Subject!$B:$B,0),3)</f>
        <v>#N/A</v>
      </c>
      <c r="AC68" s="8" t="str">
        <f t="array" ref="AC68">INDEX(Subject!$A:$I,MATCH(RANDBETWEEN(1,16),Subject!$B:$B,0),3)</f>
        <v>#N/A</v>
      </c>
      <c r="AD68" s="8" t="str">
        <f t="array" ref="AD68">INDEX(Subject!$A:$I,MATCH(RANDBETWEEN(1,16),Subject!$B:$B,0),3)</f>
        <v>#N/A</v>
      </c>
      <c r="AE68" s="8" t="str">
        <f t="array" ref="AE68">INDEX(Subject!$A:$I,MATCH(RANDBETWEEN(1,16),Subject!$B:$B,0),3)</f>
        <v>#N/A</v>
      </c>
      <c r="AF68" s="8" t="str">
        <f t="array" ref="AF68">INDEX(Subject!$A:$I,MATCH(RANDBETWEEN(1,16),Subject!$B:$B,0),3)</f>
        <v>#N/A</v>
      </c>
      <c r="AG68" s="8" t="str">
        <f t="array" ref="AG68">INDEX(Subject!$A:$I,MATCH(RANDBETWEEN(1,16),Subject!$B:$B,0),3)</f>
        <v>#N/A</v>
      </c>
      <c r="AH68" s="8" t="str">
        <f t="array" ref="AH68">INDEX(Subject!$A:$I,MATCH(RANDBETWEEN(1,16),Subject!$B:$B,0),3)</f>
        <v>#N/A</v>
      </c>
      <c r="AI68" s="8" t="str">
        <f t="array" ref="AI68">INDEX(Subject!$A:$I,MATCH(RANDBETWEEN(1,16),Subject!$B:$B,0),3)</f>
        <v>#N/A</v>
      </c>
      <c r="AJ68" s="8" t="str">
        <f t="array" ref="AJ68">INDEX(Subject!$A:$I,MATCH(RANDBETWEEN(1,16),Subject!$B:$B,0),3)</f>
        <v>#N/A</v>
      </c>
      <c r="AK68" s="8" t="str">
        <f t="array" ref="AK68">INDEX(Subject!$A:$I,MATCH(RANDBETWEEN(1,16),Subject!$B:$B,0),3)</f>
        <v>#N/A</v>
      </c>
      <c r="AL68" s="8" t="str">
        <f t="array" ref="AL68">INDEX(Subject!$A:$I,MATCH(RANDBETWEEN(1,16),Subject!$B:$B,0),3)</f>
        <v>#N/A</v>
      </c>
      <c r="AM68" s="18">
        <f t="shared" si="4"/>
        <v>45568.33333</v>
      </c>
      <c r="AN68" s="19">
        <f t="shared" ref="AN68:BZ68" si="68">$A68+C$1</f>
        <v>45568.35417</v>
      </c>
      <c r="AO68" s="19">
        <f t="shared" si="68"/>
        <v>45568.375</v>
      </c>
      <c r="AP68" s="19">
        <f t="shared" si="68"/>
        <v>45568.39583</v>
      </c>
      <c r="AQ68" s="19">
        <f t="shared" si="68"/>
        <v>45568.41667</v>
      </c>
      <c r="AR68" s="19">
        <f t="shared" si="68"/>
        <v>45568.4375</v>
      </c>
      <c r="AS68" s="19">
        <f t="shared" si="68"/>
        <v>45568.45833</v>
      </c>
      <c r="AT68" s="19">
        <f t="shared" si="68"/>
        <v>45568.47917</v>
      </c>
      <c r="AU68" s="19">
        <f t="shared" si="68"/>
        <v>45568.5</v>
      </c>
      <c r="AV68" s="19">
        <f t="shared" si="68"/>
        <v>45568.52083</v>
      </c>
      <c r="AW68" s="19">
        <f t="shared" si="68"/>
        <v>45568.54167</v>
      </c>
      <c r="AX68" s="19">
        <f t="shared" si="68"/>
        <v>45568.5625</v>
      </c>
      <c r="AY68" s="19">
        <f t="shared" si="68"/>
        <v>45568.58333</v>
      </c>
      <c r="AZ68" s="19">
        <f t="shared" si="68"/>
        <v>45568.60417</v>
      </c>
      <c r="BA68" s="19">
        <f t="shared" si="68"/>
        <v>45568.625</v>
      </c>
      <c r="BB68" s="19">
        <f t="shared" si="68"/>
        <v>45568.64583</v>
      </c>
      <c r="BC68" s="19">
        <f t="shared" si="68"/>
        <v>45568.66667</v>
      </c>
      <c r="BD68" s="19">
        <f t="shared" si="68"/>
        <v>45568.6875</v>
      </c>
      <c r="BE68" s="19">
        <f t="shared" si="68"/>
        <v>45568.70833</v>
      </c>
      <c r="BF68" s="19">
        <f t="shared" si="68"/>
        <v>45568.72917</v>
      </c>
      <c r="BG68" s="19">
        <f t="shared" si="68"/>
        <v>45568.75</v>
      </c>
      <c r="BH68" s="19">
        <f t="shared" si="68"/>
        <v>45568.77083</v>
      </c>
      <c r="BI68" s="19">
        <f t="shared" si="68"/>
        <v>45568.79167</v>
      </c>
      <c r="BJ68" s="19">
        <f t="shared" si="68"/>
        <v>45568.8125</v>
      </c>
      <c r="BK68" s="19">
        <f t="shared" si="68"/>
        <v>45568.83333</v>
      </c>
      <c r="BL68" s="19">
        <f t="shared" si="68"/>
        <v>45568.85417</v>
      </c>
      <c r="BM68" s="19">
        <f t="shared" si="68"/>
        <v>45568.875</v>
      </c>
      <c r="BN68" s="19">
        <f t="shared" si="68"/>
        <v>45568.89583</v>
      </c>
      <c r="BO68" s="19">
        <f t="shared" si="68"/>
        <v>45568.91667</v>
      </c>
      <c r="BP68" s="19">
        <f t="shared" si="68"/>
        <v>45568.9375</v>
      </c>
      <c r="BQ68" s="19">
        <f t="shared" si="68"/>
        <v>45568.95833</v>
      </c>
      <c r="BR68" s="19">
        <f t="shared" si="68"/>
        <v>45568.97917</v>
      </c>
      <c r="BS68" s="19">
        <f t="shared" si="68"/>
        <v>45569</v>
      </c>
      <c r="BT68" s="19">
        <f t="shared" si="68"/>
        <v>45569.02083</v>
      </c>
      <c r="BU68" s="19">
        <f t="shared" si="68"/>
        <v>45569.04167</v>
      </c>
      <c r="BV68" s="19">
        <f t="shared" si="68"/>
        <v>45569.0625</v>
      </c>
      <c r="BW68" s="19">
        <f t="shared" si="68"/>
        <v>45569.08333</v>
      </c>
      <c r="BX68" s="19">
        <f t="shared" si="68"/>
        <v>45568</v>
      </c>
      <c r="BY68" s="19">
        <f t="shared" si="68"/>
        <v>45568</v>
      </c>
      <c r="BZ68" s="19">
        <f t="shared" si="68"/>
        <v>45568</v>
      </c>
    </row>
    <row r="69" ht="14.25" customHeight="1">
      <c r="A69" s="17">
        <v>45569.0</v>
      </c>
      <c r="B69" s="2" t="str">
        <f t="array" ref="B69">IF(NOW()&gt;AM69,"",IF(AND((WEEKDAY($A69)+$B$2)&gt;1,((WEEKDAY($A69)+$T$2)&lt;7),(WEEKDAY($A69)&lt;&gt;1)),"work",(INDEX(Subject!$A:$I,MATCH(RANDBETWEEN(1,(MAX(Subject!$B:$B))),Subject!$B:$B,0),3))))</f>
        <v/>
      </c>
      <c r="C69" s="2" t="str">
        <f t="array" ref="C69">IF(NOW()&gt;AN69,"",IF(AND((WEEKDAY($A69)+$B$2)&gt;1,((WEEKDAY($A69)+$T$2)&lt;7),(WEEKDAY($A69)&lt;&gt;1)),"work",(INDEX(Subject!$A:$I,MATCH(RANDBETWEEN(1,(MAX(Subject!$B:$B))),Subject!$B:$B,0),3))))</f>
        <v/>
      </c>
      <c r="D69" s="2" t="str">
        <f t="array" ref="D69">IF(NOW()&gt;AO69,"",IF(AND((WEEKDAY($A69)+$B$2)&gt;1,((WEEKDAY($A69)+$T$2)&lt;7),(WEEKDAY($A69)&lt;&gt;1)),"work",(INDEX(Subject!$A:$I,MATCH(RANDBETWEEN(1,(MAX(Subject!$B:$B))),Subject!$B:$B,0),3))))</f>
        <v/>
      </c>
      <c r="E69" s="2" t="str">
        <f t="array" ref="E69">IF(NOW()&gt;AP69,"",IF(AND((WEEKDAY($A69)+$B$2)&gt;1,((WEEKDAY($A69)+$T$2)&lt;7),(WEEKDAY($A69)&lt;&gt;1)),"work",(INDEX(Subject!$A:$I,MATCH(RANDBETWEEN(1,(MAX(Subject!$B:$B))),Subject!$B:$B,0),3))))</f>
        <v/>
      </c>
      <c r="F69" s="2" t="str">
        <f t="array" ref="F69">IF(NOW()&gt;AQ69,"",IF(AND((WEEKDAY($A69)+$B$2)&gt;1,((WEEKDAY($A69)+$T$2)&lt;7),(WEEKDAY($A69)&lt;&gt;1)),"work",(INDEX(Subject!$A:$I,MATCH(RANDBETWEEN(1,(MAX(Subject!$B:$B))),Subject!$B:$B,0),3))))</f>
        <v/>
      </c>
      <c r="G69" s="2" t="str">
        <f t="array" ref="G69">IF(NOW()&gt;AR69,"",IF(AND((WEEKDAY($A69)+$B$2)&gt;1,((WEEKDAY($A69)+$T$2)&lt;7),(WEEKDAY($A69)&lt;&gt;1)),"work",(INDEX(Subject!$A:$I,MATCH(RANDBETWEEN(1,(MAX(Subject!$B:$B))),Subject!$B:$B,0),3))))</f>
        <v/>
      </c>
      <c r="H69" s="2" t="str">
        <f t="array" ref="H69">IF(NOW()&gt;AS69,"",IF(AND((WEEKDAY($A69)+$B$2)&gt;1,((WEEKDAY($A69)+$T$2)&lt;7),(WEEKDAY($A69)&lt;&gt;1)),"work",(INDEX(Subject!$A:$I,MATCH(RANDBETWEEN(1,(MAX(Subject!$B:$B))),Subject!$B:$B,0),3))))</f>
        <v/>
      </c>
      <c r="I69" s="2" t="str">
        <f t="array" ref="I69">IF(NOW()&gt;AT69,"",IF(AND((WEEKDAY($A69)+$B$2)&gt;1,((WEEKDAY($A69)+$T$2)&lt;7),(WEEKDAY($A69)&lt;&gt;1)),"work",(INDEX(Subject!$A:$I,MATCH(RANDBETWEEN(1,(MAX(Subject!$B:$B))),Subject!$B:$B,0),3))))</f>
        <v/>
      </c>
      <c r="J69" s="2" t="str">
        <f t="array" ref="J69">IF(NOW()&gt;AU69,"",IF(AND((WEEKDAY($A69)+$B$2)&gt;1,((WEEKDAY($A69)+$T$2)&lt;7),(WEEKDAY($A69)&lt;&gt;1)),"work",(INDEX(Subject!$A:$I,MATCH(RANDBETWEEN(1,(MAX(Subject!$B:$B))),Subject!$B:$B,0),3))))</f>
        <v/>
      </c>
      <c r="K69" s="2" t="str">
        <f t="array" ref="K69">IF(NOW()&gt;AV69,"",IF(AND((WEEKDAY($A69)+$B$2)&gt;1,((WEEKDAY($A69)+$T$2)&lt;7),(WEEKDAY($A69)&lt;&gt;1)),"work",(INDEX(Subject!$A:$I,MATCH(RANDBETWEEN(1,(MAX(Subject!$B:$B))),Subject!$B:$B,0),3))))</f>
        <v/>
      </c>
      <c r="L69" s="2" t="str">
        <f t="array" ref="L69">IF(NOW()&gt;AW69,"",IF(AND((WEEKDAY($A69)+$B$2)&gt;1,((WEEKDAY($A69)+$T$2)&lt;7),(WEEKDAY($A69)&lt;&gt;1)),"work",(INDEX(Subject!$A:$I,MATCH(RANDBETWEEN(1,(MAX(Subject!$B:$B))),Subject!$B:$B,0),3))))</f>
        <v/>
      </c>
      <c r="M69" s="2" t="str">
        <f t="array" ref="M69">IF(NOW()&gt;AX69,"",IF(AND((WEEKDAY($A69)+$B$2)&gt;1,((WEEKDAY($A69)+$T$2)&lt;7),(WEEKDAY($A69)&lt;&gt;1)),"work",(INDEX(Subject!$A:$I,MATCH(RANDBETWEEN(1,(MAX(Subject!$B:$B))),Subject!$B:$B,0),3))))</f>
        <v/>
      </c>
      <c r="N69" s="2" t="str">
        <f t="array" ref="N69">IF(NOW()&gt;AY69,"",IF(AND((WEEKDAY($A69)+$B$2)&gt;1,((WEEKDAY($A69)+$T$2)&lt;7),(WEEKDAY($A69)&lt;&gt;1)),"work",(INDEX(Subject!$A:$I,MATCH(RANDBETWEEN(1,(MAX(Subject!$B:$B))),Subject!$B:$B,0),3))))</f>
        <v/>
      </c>
      <c r="O69" s="2" t="str">
        <f t="array" ref="O69">IF(NOW()&gt;AZ69,"",IF(AND((WEEKDAY($A69)+$B$2)&gt;1,((WEEKDAY($A69)+$T$2)&lt;7),(WEEKDAY($A69)&lt;&gt;1)),"work",(INDEX(Subject!$A:$I,MATCH(RANDBETWEEN(1,(MAX(Subject!$B:$B))),Subject!$B:$B,0),3))))</f>
        <v/>
      </c>
      <c r="P69" s="2" t="str">
        <f t="array" ref="P69">IF(NOW()&gt;BA69,"",IF(AND((WEEKDAY($A69)+$B$2)&gt;1,((WEEKDAY($A69)+$T$2)&lt;7),(WEEKDAY($A69)&lt;&gt;1)),"work",(INDEX(Subject!$A:$I,MATCH(RANDBETWEEN(1,(MAX(Subject!$B:$B))),Subject!$B:$B,0),3))))</f>
        <v/>
      </c>
      <c r="Q69" s="2" t="str">
        <f t="array" ref="Q69">IF(NOW()&gt;BB69,"",IF(AND((WEEKDAY($A69)+$B$2)&gt;1,((WEEKDAY($A69)+$T$2)&lt;7),(WEEKDAY($A69)&lt;&gt;1)),"work",(INDEX(Subject!$A:$I,MATCH(RANDBETWEEN(1,(MAX(Subject!$B:$B))),Subject!$B:$B,0),3))))</f>
        <v/>
      </c>
      <c r="R69" s="2" t="str">
        <f t="array" ref="R69">IF(NOW()&gt;BC69,"",IF(AND((WEEKDAY($A69)+$B$2)&gt;1,((WEEKDAY($A69)+$T$2)&lt;7),(WEEKDAY($A69)&lt;&gt;1)),"work",(INDEX(Subject!$A:$I,MATCH(RANDBETWEEN(1,(MAX(Subject!$B:$B))),Subject!$B:$B,0),3))))</f>
        <v/>
      </c>
      <c r="S69" s="2" t="str">
        <f t="array" ref="S69">IF(NOW()&gt;BD69,"",IF(AND((WEEKDAY($A69)+$B$2)&gt;1,((WEEKDAY($A69)+$T$2)&lt;7),(WEEKDAY($A69)&lt;&gt;1)),"work",(INDEX(Subject!$A:$I,MATCH(RANDBETWEEN(1,(MAX(Subject!$B:$B))),Subject!$B:$B,0),3))))</f>
        <v/>
      </c>
      <c r="T69" s="2" t="str">
        <f t="array" ref="T69">IF(NOW()&gt;BE69,"",IF(AND((WEEKDAY($A69)+$B$2)&gt;1,((WEEKDAY($A69)+$T$2)&lt;7),(WEEKDAY($A69)&lt;&gt;1)),"work",(INDEX(Subject!$A:$I,MATCH(RANDBETWEEN(1,(MAX(Subject!$B:$B))),Subject!$B:$B,0),3))))</f>
        <v/>
      </c>
      <c r="U69" s="8" t="str">
        <f t="array" ref="U69">INDEX(Subject!$A:$I,MATCH(RANDBETWEEN(1,16),Subject!$B:$B,0),3)</f>
        <v>#N/A</v>
      </c>
      <c r="V69" s="8" t="str">
        <f t="array" ref="V69">INDEX(Subject!$A:$I,MATCH(RANDBETWEEN(1,16),Subject!$B:$B,0),3)</f>
        <v/>
      </c>
      <c r="W69" s="8" t="str">
        <f t="array" ref="W69">INDEX(Subject!$A:$I,MATCH(RANDBETWEEN(1,16),Subject!$B:$B,0),3)</f>
        <v>#N/A</v>
      </c>
      <c r="X69" s="8" t="str">
        <f t="array" ref="X69">INDEX(Subject!$A:$I,MATCH(RANDBETWEEN(1,16),Subject!$B:$B,0),3)</f>
        <v>#N/A</v>
      </c>
      <c r="Y69" s="8" t="str">
        <f t="array" ref="Y69">INDEX(Subject!$A:$I,MATCH(RANDBETWEEN(1,16),Subject!$B:$B,0),3)</f>
        <v>#N/A</v>
      </c>
      <c r="Z69" s="8" t="str">
        <f t="array" ref="Z69">INDEX(Subject!$A:$I,MATCH(RANDBETWEEN(1,16),Subject!$B:$B,0),3)</f>
        <v>#N/A</v>
      </c>
      <c r="AA69" s="8" t="str">
        <f t="array" ref="AA69">INDEX(Subject!$A:$I,MATCH(RANDBETWEEN(1,16),Subject!$B:$B,0),3)</f>
        <v>#N/A</v>
      </c>
      <c r="AB69" s="8" t="str">
        <f t="array" ref="AB69">INDEX(Subject!$A:$I,MATCH(RANDBETWEEN(1,16),Subject!$B:$B,0),3)</f>
        <v>#N/A</v>
      </c>
      <c r="AC69" s="8" t="str">
        <f t="array" ref="AC69">INDEX(Subject!$A:$I,MATCH(RANDBETWEEN(1,16),Subject!$B:$B,0),3)</f>
        <v>#N/A</v>
      </c>
      <c r="AD69" s="8" t="str">
        <f t="array" ref="AD69">INDEX(Subject!$A:$I,MATCH(RANDBETWEEN(1,16),Subject!$B:$B,0),3)</f>
        <v>#N/A</v>
      </c>
      <c r="AE69" s="8" t="str">
        <f t="array" ref="AE69">INDEX(Subject!$A:$I,MATCH(RANDBETWEEN(1,16),Subject!$B:$B,0),3)</f>
        <v>#N/A</v>
      </c>
      <c r="AF69" s="8" t="str">
        <f t="array" ref="AF69">INDEX(Subject!$A:$I,MATCH(RANDBETWEEN(1,16),Subject!$B:$B,0),3)</f>
        <v>#N/A</v>
      </c>
      <c r="AG69" s="8" t="str">
        <f t="array" ref="AG69">INDEX(Subject!$A:$I,MATCH(RANDBETWEEN(1,16),Subject!$B:$B,0),3)</f>
        <v>#N/A</v>
      </c>
      <c r="AH69" s="8" t="str">
        <f t="array" ref="AH69">INDEX(Subject!$A:$I,MATCH(RANDBETWEEN(1,16),Subject!$B:$B,0),3)</f>
        <v>#N/A</v>
      </c>
      <c r="AI69" s="8" t="str">
        <f t="array" ref="AI69">INDEX(Subject!$A:$I,MATCH(RANDBETWEEN(1,16),Subject!$B:$B,0),3)</f>
        <v>#N/A</v>
      </c>
      <c r="AJ69" s="8" t="str">
        <f t="array" ref="AJ69">INDEX(Subject!$A:$I,MATCH(RANDBETWEEN(1,16),Subject!$B:$B,0),3)</f>
        <v>#N/A</v>
      </c>
      <c r="AK69" s="8" t="str">
        <f t="array" ref="AK69">INDEX(Subject!$A:$I,MATCH(RANDBETWEEN(1,16),Subject!$B:$B,0),3)</f>
        <v>#N/A</v>
      </c>
      <c r="AL69" s="8" t="str">
        <f t="array" ref="AL69">INDEX(Subject!$A:$I,MATCH(RANDBETWEEN(1,16),Subject!$B:$B,0),3)</f>
        <v>#N/A</v>
      </c>
      <c r="AM69" s="18">
        <f t="shared" si="4"/>
        <v>45569.33333</v>
      </c>
      <c r="AN69" s="19">
        <f t="shared" ref="AN69:BZ69" si="69">$A69+C$1</f>
        <v>45569.35417</v>
      </c>
      <c r="AO69" s="19">
        <f t="shared" si="69"/>
        <v>45569.375</v>
      </c>
      <c r="AP69" s="19">
        <f t="shared" si="69"/>
        <v>45569.39583</v>
      </c>
      <c r="AQ69" s="19">
        <f t="shared" si="69"/>
        <v>45569.41667</v>
      </c>
      <c r="AR69" s="19">
        <f t="shared" si="69"/>
        <v>45569.4375</v>
      </c>
      <c r="AS69" s="19">
        <f t="shared" si="69"/>
        <v>45569.45833</v>
      </c>
      <c r="AT69" s="19">
        <f t="shared" si="69"/>
        <v>45569.47917</v>
      </c>
      <c r="AU69" s="19">
        <f t="shared" si="69"/>
        <v>45569.5</v>
      </c>
      <c r="AV69" s="19">
        <f t="shared" si="69"/>
        <v>45569.52083</v>
      </c>
      <c r="AW69" s="19">
        <f t="shared" si="69"/>
        <v>45569.54167</v>
      </c>
      <c r="AX69" s="19">
        <f t="shared" si="69"/>
        <v>45569.5625</v>
      </c>
      <c r="AY69" s="19">
        <f t="shared" si="69"/>
        <v>45569.58333</v>
      </c>
      <c r="AZ69" s="19">
        <f t="shared" si="69"/>
        <v>45569.60417</v>
      </c>
      <c r="BA69" s="19">
        <f t="shared" si="69"/>
        <v>45569.625</v>
      </c>
      <c r="BB69" s="19">
        <f t="shared" si="69"/>
        <v>45569.64583</v>
      </c>
      <c r="BC69" s="19">
        <f t="shared" si="69"/>
        <v>45569.66667</v>
      </c>
      <c r="BD69" s="19">
        <f t="shared" si="69"/>
        <v>45569.6875</v>
      </c>
      <c r="BE69" s="19">
        <f t="shared" si="69"/>
        <v>45569.70833</v>
      </c>
      <c r="BF69" s="19">
        <f t="shared" si="69"/>
        <v>45569.72917</v>
      </c>
      <c r="BG69" s="19">
        <f t="shared" si="69"/>
        <v>45569.75</v>
      </c>
      <c r="BH69" s="19">
        <f t="shared" si="69"/>
        <v>45569.77083</v>
      </c>
      <c r="BI69" s="19">
        <f t="shared" si="69"/>
        <v>45569.79167</v>
      </c>
      <c r="BJ69" s="19">
        <f t="shared" si="69"/>
        <v>45569.8125</v>
      </c>
      <c r="BK69" s="19">
        <f t="shared" si="69"/>
        <v>45569.83333</v>
      </c>
      <c r="BL69" s="19">
        <f t="shared" si="69"/>
        <v>45569.85417</v>
      </c>
      <c r="BM69" s="19">
        <f t="shared" si="69"/>
        <v>45569.875</v>
      </c>
      <c r="BN69" s="19">
        <f t="shared" si="69"/>
        <v>45569.89583</v>
      </c>
      <c r="BO69" s="19">
        <f t="shared" si="69"/>
        <v>45569.91667</v>
      </c>
      <c r="BP69" s="19">
        <f t="shared" si="69"/>
        <v>45569.9375</v>
      </c>
      <c r="BQ69" s="19">
        <f t="shared" si="69"/>
        <v>45569.95833</v>
      </c>
      <c r="BR69" s="19">
        <f t="shared" si="69"/>
        <v>45569.97917</v>
      </c>
      <c r="BS69" s="19">
        <f t="shared" si="69"/>
        <v>45570</v>
      </c>
      <c r="BT69" s="19">
        <f t="shared" si="69"/>
        <v>45570.02083</v>
      </c>
      <c r="BU69" s="19">
        <f t="shared" si="69"/>
        <v>45570.04167</v>
      </c>
      <c r="BV69" s="19">
        <f t="shared" si="69"/>
        <v>45570.0625</v>
      </c>
      <c r="BW69" s="19">
        <f t="shared" si="69"/>
        <v>45570.08333</v>
      </c>
      <c r="BX69" s="19">
        <f t="shared" si="69"/>
        <v>45569</v>
      </c>
      <c r="BY69" s="19">
        <f t="shared" si="69"/>
        <v>45569</v>
      </c>
      <c r="BZ69" s="19">
        <f t="shared" si="69"/>
        <v>45569</v>
      </c>
    </row>
    <row r="70" ht="14.25" customHeight="1">
      <c r="A70" s="17">
        <v>45570.0</v>
      </c>
      <c r="B70" s="2" t="str">
        <f t="array" ref="B70">IF(NOW()&gt;AM70,"",IF(AND((WEEKDAY($A70)+$B$2)&gt;1,((WEEKDAY($A70)+$T$2)&lt;7),(WEEKDAY($A70)&lt;&gt;1)),"work",(INDEX(Subject!$A:$I,MATCH(RANDBETWEEN(1,(MAX(Subject!$B:$B))),Subject!$B:$B,0),3))))</f>
        <v/>
      </c>
      <c r="C70" s="2" t="str">
        <f t="array" ref="C70">IF(NOW()&gt;AN70,"",IF(AND((WEEKDAY($A70)+$B$2)&gt;1,((WEEKDAY($A70)+$T$2)&lt;7),(WEEKDAY($A70)&lt;&gt;1)),"work",(INDEX(Subject!$A:$I,MATCH(RANDBETWEEN(1,(MAX(Subject!$B:$B))),Subject!$B:$B,0),3))))</f>
        <v/>
      </c>
      <c r="D70" s="2" t="str">
        <f t="array" ref="D70">IF(NOW()&gt;AO70,"",IF(AND((WEEKDAY($A70)+$B$2)&gt;1,((WEEKDAY($A70)+$T$2)&lt;7),(WEEKDAY($A70)&lt;&gt;1)),"work",(INDEX(Subject!$A:$I,MATCH(RANDBETWEEN(1,(MAX(Subject!$B:$B))),Subject!$B:$B,0),3))))</f>
        <v/>
      </c>
      <c r="E70" s="2" t="str">
        <f t="array" ref="E70">IF(NOW()&gt;AP70,"",IF(AND((WEEKDAY($A70)+$B$2)&gt;1,((WEEKDAY($A70)+$T$2)&lt;7),(WEEKDAY($A70)&lt;&gt;1)),"work",(INDEX(Subject!$A:$I,MATCH(RANDBETWEEN(1,(MAX(Subject!$B:$B))),Subject!$B:$B,0),3))))</f>
        <v/>
      </c>
      <c r="F70" s="2" t="str">
        <f t="array" ref="F70">IF(NOW()&gt;AQ70,"",IF(AND((WEEKDAY($A70)+$B$2)&gt;1,((WEEKDAY($A70)+$T$2)&lt;7),(WEEKDAY($A70)&lt;&gt;1)),"work",(INDEX(Subject!$A:$I,MATCH(RANDBETWEEN(1,(MAX(Subject!$B:$B))),Subject!$B:$B,0),3))))</f>
        <v/>
      </c>
      <c r="G70" s="2" t="str">
        <f t="array" ref="G70">IF(NOW()&gt;AR70,"",IF(AND((WEEKDAY($A70)+$B$2)&gt;1,((WEEKDAY($A70)+$T$2)&lt;7),(WEEKDAY($A70)&lt;&gt;1)),"work",(INDEX(Subject!$A:$I,MATCH(RANDBETWEEN(1,(MAX(Subject!$B:$B))),Subject!$B:$B,0),3))))</f>
        <v/>
      </c>
      <c r="H70" s="2" t="str">
        <f t="array" ref="H70">IF(NOW()&gt;AS70,"",IF(AND((WEEKDAY($A70)+$B$2)&gt;1,((WEEKDAY($A70)+$T$2)&lt;7),(WEEKDAY($A70)&lt;&gt;1)),"work",(INDEX(Subject!$A:$I,MATCH(RANDBETWEEN(1,(MAX(Subject!$B:$B))),Subject!$B:$B,0),3))))</f>
        <v/>
      </c>
      <c r="I70" s="2" t="str">
        <f t="array" ref="I70">IF(NOW()&gt;AT70,"",IF(AND((WEEKDAY($A70)+$B$2)&gt;1,((WEEKDAY($A70)+$T$2)&lt;7),(WEEKDAY($A70)&lt;&gt;1)),"work",(INDEX(Subject!$A:$I,MATCH(RANDBETWEEN(1,(MAX(Subject!$B:$B))),Subject!$B:$B,0),3))))</f>
        <v/>
      </c>
      <c r="J70" s="2" t="str">
        <f t="array" ref="J70">IF(NOW()&gt;AU70,"",IF(AND((WEEKDAY($A70)+$B$2)&gt;1,((WEEKDAY($A70)+$T$2)&lt;7),(WEEKDAY($A70)&lt;&gt;1)),"work",(INDEX(Subject!$A:$I,MATCH(RANDBETWEEN(1,(MAX(Subject!$B:$B))),Subject!$B:$B,0),3))))</f>
        <v/>
      </c>
      <c r="K70" s="2" t="str">
        <f t="array" ref="K70">IF(NOW()&gt;AV70,"",IF(AND((WEEKDAY($A70)+$B$2)&gt;1,((WEEKDAY($A70)+$T$2)&lt;7),(WEEKDAY($A70)&lt;&gt;1)),"work",(INDEX(Subject!$A:$I,MATCH(RANDBETWEEN(1,(MAX(Subject!$B:$B))),Subject!$B:$B,0),3))))</f>
        <v/>
      </c>
      <c r="L70" s="2" t="str">
        <f t="array" ref="L70">IF(NOW()&gt;AW70,"",IF(AND((WEEKDAY($A70)+$B$2)&gt;1,((WEEKDAY($A70)+$T$2)&lt;7),(WEEKDAY($A70)&lt;&gt;1)),"work",(INDEX(Subject!$A:$I,MATCH(RANDBETWEEN(1,(MAX(Subject!$B:$B))),Subject!$B:$B,0),3))))</f>
        <v/>
      </c>
      <c r="M70" s="2" t="str">
        <f t="array" ref="M70">IF(NOW()&gt;AX70,"",IF(AND((WEEKDAY($A70)+$B$2)&gt;1,((WEEKDAY($A70)+$T$2)&lt;7),(WEEKDAY($A70)&lt;&gt;1)),"work",(INDEX(Subject!$A:$I,MATCH(RANDBETWEEN(1,(MAX(Subject!$B:$B))),Subject!$B:$B,0),3))))</f>
        <v/>
      </c>
      <c r="N70" s="2" t="str">
        <f t="array" ref="N70">IF(NOW()&gt;AY70,"",IF(AND((WEEKDAY($A70)+$B$2)&gt;1,((WEEKDAY($A70)+$T$2)&lt;7),(WEEKDAY($A70)&lt;&gt;1)),"work",(INDEX(Subject!$A:$I,MATCH(RANDBETWEEN(1,(MAX(Subject!$B:$B))),Subject!$B:$B,0),3))))</f>
        <v/>
      </c>
      <c r="O70" s="2" t="str">
        <f t="array" ref="O70">IF(NOW()&gt;AZ70,"",IF(AND((WEEKDAY($A70)+$B$2)&gt;1,((WEEKDAY($A70)+$T$2)&lt;7),(WEEKDAY($A70)&lt;&gt;1)),"work",(INDEX(Subject!$A:$I,MATCH(RANDBETWEEN(1,(MAX(Subject!$B:$B))),Subject!$B:$B,0),3))))</f>
        <v/>
      </c>
      <c r="P70" s="2" t="str">
        <f t="array" ref="P70">IF(NOW()&gt;BA70,"",IF(AND((WEEKDAY($A70)+$B$2)&gt;1,((WEEKDAY($A70)+$T$2)&lt;7),(WEEKDAY($A70)&lt;&gt;1)),"work",(INDEX(Subject!$A:$I,MATCH(RANDBETWEEN(1,(MAX(Subject!$B:$B))),Subject!$B:$B,0),3))))</f>
        <v/>
      </c>
      <c r="Q70" s="2" t="str">
        <f t="array" ref="Q70">IF(NOW()&gt;BB70,"",IF(AND((WEEKDAY($A70)+$B$2)&gt;1,((WEEKDAY($A70)+$T$2)&lt;7),(WEEKDAY($A70)&lt;&gt;1)),"work",(INDEX(Subject!$A:$I,MATCH(RANDBETWEEN(1,(MAX(Subject!$B:$B))),Subject!$B:$B,0),3))))</f>
        <v/>
      </c>
      <c r="R70" s="2" t="str">
        <f t="array" ref="R70">IF(NOW()&gt;BC70,"",IF(AND((WEEKDAY($A70)+$B$2)&gt;1,((WEEKDAY($A70)+$T$2)&lt;7),(WEEKDAY($A70)&lt;&gt;1)),"work",(INDEX(Subject!$A:$I,MATCH(RANDBETWEEN(1,(MAX(Subject!$B:$B))),Subject!$B:$B,0),3))))</f>
        <v/>
      </c>
      <c r="S70" s="2" t="str">
        <f t="array" ref="S70">IF(NOW()&gt;BD70,"",IF(AND((WEEKDAY($A70)+$B$2)&gt;1,((WEEKDAY($A70)+$T$2)&lt;7),(WEEKDAY($A70)&lt;&gt;1)),"work",(INDEX(Subject!$A:$I,MATCH(RANDBETWEEN(1,(MAX(Subject!$B:$B))),Subject!$B:$B,0),3))))</f>
        <v/>
      </c>
      <c r="T70" s="2" t="str">
        <f t="array" ref="T70">IF(NOW()&gt;BE70,"",IF(AND((WEEKDAY($A70)+$B$2)&gt;1,((WEEKDAY($A70)+$T$2)&lt;7),(WEEKDAY($A70)&lt;&gt;1)),"work",(INDEX(Subject!$A:$I,MATCH(RANDBETWEEN(1,(MAX(Subject!$B:$B))),Subject!$B:$B,0),3))))</f>
        <v/>
      </c>
      <c r="U70" s="8" t="str">
        <f t="array" ref="U70">INDEX(Subject!$A:$I,MATCH(RANDBETWEEN(1,16),Subject!$B:$B,0),3)</f>
        <v>#N/A</v>
      </c>
      <c r="V70" s="8" t="str">
        <f t="array" ref="V70">INDEX(Subject!$A:$I,MATCH(RANDBETWEEN(1,16),Subject!$B:$B,0),3)</f>
        <v>#N/A</v>
      </c>
      <c r="W70" s="8" t="str">
        <f t="array" ref="W70">INDEX(Subject!$A:$I,MATCH(RANDBETWEEN(1,16),Subject!$B:$B,0),3)</f>
        <v>#N/A</v>
      </c>
      <c r="X70" s="8" t="str">
        <f t="array" ref="X70">INDEX(Subject!$A:$I,MATCH(RANDBETWEEN(1,16),Subject!$B:$B,0),3)</f>
        <v>#N/A</v>
      </c>
      <c r="Y70" s="8" t="str">
        <f t="array" ref="Y70">INDEX(Subject!$A:$I,MATCH(RANDBETWEEN(1,16),Subject!$B:$B,0),3)</f>
        <v>#N/A</v>
      </c>
      <c r="Z70" s="8" t="str">
        <f t="array" ref="Z70">INDEX(Subject!$A:$I,MATCH(RANDBETWEEN(1,16),Subject!$B:$B,0),3)</f>
        <v>#N/A</v>
      </c>
      <c r="AA70" s="8" t="str">
        <f t="array" ref="AA70">INDEX(Subject!$A:$I,MATCH(RANDBETWEEN(1,16),Subject!$B:$B,0),3)</f>
        <v>#N/A</v>
      </c>
      <c r="AB70" s="8" t="str">
        <f t="array" ref="AB70">INDEX(Subject!$A:$I,MATCH(RANDBETWEEN(1,16),Subject!$B:$B,0),3)</f>
        <v>#N/A</v>
      </c>
      <c r="AC70" s="8" t="str">
        <f t="array" ref="AC70">INDEX(Subject!$A:$I,MATCH(RANDBETWEEN(1,16),Subject!$B:$B,0),3)</f>
        <v>#N/A</v>
      </c>
      <c r="AD70" s="8" t="str">
        <f t="array" ref="AD70">INDEX(Subject!$A:$I,MATCH(RANDBETWEEN(1,16),Subject!$B:$B,0),3)</f>
        <v>#N/A</v>
      </c>
      <c r="AE70" s="8" t="str">
        <f t="array" ref="AE70">INDEX(Subject!$A:$I,MATCH(RANDBETWEEN(1,16),Subject!$B:$B,0),3)</f>
        <v>#N/A</v>
      </c>
      <c r="AF70" s="8" t="str">
        <f t="array" ref="AF70">INDEX(Subject!$A:$I,MATCH(RANDBETWEEN(1,16),Subject!$B:$B,0),3)</f>
        <v>#N/A</v>
      </c>
      <c r="AG70" s="8" t="str">
        <f t="array" ref="AG70">INDEX(Subject!$A:$I,MATCH(RANDBETWEEN(1,16),Subject!$B:$B,0),3)</f>
        <v>#N/A</v>
      </c>
      <c r="AH70" s="8" t="str">
        <f t="array" ref="AH70">INDEX(Subject!$A:$I,MATCH(RANDBETWEEN(1,16),Subject!$B:$B,0),3)</f>
        <v>#N/A</v>
      </c>
      <c r="AI70" s="8" t="str">
        <f t="array" ref="AI70">INDEX(Subject!$A:$I,MATCH(RANDBETWEEN(1,16),Subject!$B:$B,0),3)</f>
        <v/>
      </c>
      <c r="AJ70" s="8" t="str">
        <f t="array" ref="AJ70">INDEX(Subject!$A:$I,MATCH(RANDBETWEEN(1,16),Subject!$B:$B,0),3)</f>
        <v>#N/A</v>
      </c>
      <c r="AK70" s="8" t="str">
        <f t="array" ref="AK70">INDEX(Subject!$A:$I,MATCH(RANDBETWEEN(1,16),Subject!$B:$B,0),3)</f>
        <v>#N/A</v>
      </c>
      <c r="AL70" s="8" t="str">
        <f t="array" ref="AL70">INDEX(Subject!$A:$I,MATCH(RANDBETWEEN(1,16),Subject!$B:$B,0),3)</f>
        <v>#N/A</v>
      </c>
      <c r="AM70" s="18">
        <f t="shared" si="4"/>
        <v>45570.33333</v>
      </c>
      <c r="AN70" s="19">
        <f t="shared" ref="AN70:BZ70" si="70">$A70+C$1</f>
        <v>45570.35417</v>
      </c>
      <c r="AO70" s="19">
        <f t="shared" si="70"/>
        <v>45570.375</v>
      </c>
      <c r="AP70" s="19">
        <f t="shared" si="70"/>
        <v>45570.39583</v>
      </c>
      <c r="AQ70" s="19">
        <f t="shared" si="70"/>
        <v>45570.41667</v>
      </c>
      <c r="AR70" s="19">
        <f t="shared" si="70"/>
        <v>45570.4375</v>
      </c>
      <c r="AS70" s="19">
        <f t="shared" si="70"/>
        <v>45570.45833</v>
      </c>
      <c r="AT70" s="19">
        <f t="shared" si="70"/>
        <v>45570.47917</v>
      </c>
      <c r="AU70" s="19">
        <f t="shared" si="70"/>
        <v>45570.5</v>
      </c>
      <c r="AV70" s="19">
        <f t="shared" si="70"/>
        <v>45570.52083</v>
      </c>
      <c r="AW70" s="19">
        <f t="shared" si="70"/>
        <v>45570.54167</v>
      </c>
      <c r="AX70" s="19">
        <f t="shared" si="70"/>
        <v>45570.5625</v>
      </c>
      <c r="AY70" s="19">
        <f t="shared" si="70"/>
        <v>45570.58333</v>
      </c>
      <c r="AZ70" s="19">
        <f t="shared" si="70"/>
        <v>45570.60417</v>
      </c>
      <c r="BA70" s="19">
        <f t="shared" si="70"/>
        <v>45570.625</v>
      </c>
      <c r="BB70" s="19">
        <f t="shared" si="70"/>
        <v>45570.64583</v>
      </c>
      <c r="BC70" s="19">
        <f t="shared" si="70"/>
        <v>45570.66667</v>
      </c>
      <c r="BD70" s="19">
        <f t="shared" si="70"/>
        <v>45570.6875</v>
      </c>
      <c r="BE70" s="19">
        <f t="shared" si="70"/>
        <v>45570.70833</v>
      </c>
      <c r="BF70" s="19">
        <f t="shared" si="70"/>
        <v>45570.72917</v>
      </c>
      <c r="BG70" s="19">
        <f t="shared" si="70"/>
        <v>45570.75</v>
      </c>
      <c r="BH70" s="19">
        <f t="shared" si="70"/>
        <v>45570.77083</v>
      </c>
      <c r="BI70" s="19">
        <f t="shared" si="70"/>
        <v>45570.79167</v>
      </c>
      <c r="BJ70" s="19">
        <f t="shared" si="70"/>
        <v>45570.8125</v>
      </c>
      <c r="BK70" s="19">
        <f t="shared" si="70"/>
        <v>45570.83333</v>
      </c>
      <c r="BL70" s="19">
        <f t="shared" si="70"/>
        <v>45570.85417</v>
      </c>
      <c r="BM70" s="19">
        <f t="shared" si="70"/>
        <v>45570.875</v>
      </c>
      <c r="BN70" s="19">
        <f t="shared" si="70"/>
        <v>45570.89583</v>
      </c>
      <c r="BO70" s="19">
        <f t="shared" si="70"/>
        <v>45570.91667</v>
      </c>
      <c r="BP70" s="19">
        <f t="shared" si="70"/>
        <v>45570.9375</v>
      </c>
      <c r="BQ70" s="19">
        <f t="shared" si="70"/>
        <v>45570.95833</v>
      </c>
      <c r="BR70" s="19">
        <f t="shared" si="70"/>
        <v>45570.97917</v>
      </c>
      <c r="BS70" s="19">
        <f t="shared" si="70"/>
        <v>45571</v>
      </c>
      <c r="BT70" s="19">
        <f t="shared" si="70"/>
        <v>45571.02083</v>
      </c>
      <c r="BU70" s="19">
        <f t="shared" si="70"/>
        <v>45571.04167</v>
      </c>
      <c r="BV70" s="19">
        <f t="shared" si="70"/>
        <v>45571.0625</v>
      </c>
      <c r="BW70" s="19">
        <f t="shared" si="70"/>
        <v>45571.08333</v>
      </c>
      <c r="BX70" s="19">
        <f t="shared" si="70"/>
        <v>45570</v>
      </c>
      <c r="BY70" s="19">
        <f t="shared" si="70"/>
        <v>45570</v>
      </c>
      <c r="BZ70" s="19">
        <f t="shared" si="70"/>
        <v>45570</v>
      </c>
    </row>
    <row r="71" ht="14.25" customHeight="1">
      <c r="A71" s="17">
        <v>45571.0</v>
      </c>
      <c r="B71" s="2" t="str">
        <f t="array" ref="B71">IF(NOW()&gt;AM71,"",IF(AND((WEEKDAY($A71)+$B$2)&gt;1,((WEEKDAY($A71)+$T$2)&lt;7),(WEEKDAY($A71)&lt;&gt;1)),"work",(INDEX(Subject!$A:$I,MATCH(RANDBETWEEN(1,(MAX(Subject!$B:$B))),Subject!$B:$B,0),3))))</f>
        <v/>
      </c>
      <c r="C71" s="2" t="str">
        <f t="array" ref="C71">IF(NOW()&gt;AN71,"",IF(AND((WEEKDAY($A71)+$B$2)&gt;1,((WEEKDAY($A71)+$T$2)&lt;7),(WEEKDAY($A71)&lt;&gt;1)),"work",(INDEX(Subject!$A:$I,MATCH(RANDBETWEEN(1,(MAX(Subject!$B:$B))),Subject!$B:$B,0),3))))</f>
        <v/>
      </c>
      <c r="D71" s="2" t="str">
        <f t="array" ref="D71">IF(NOW()&gt;AO71,"",IF(AND((WEEKDAY($A71)+$B$2)&gt;1,((WEEKDAY($A71)+$T$2)&lt;7),(WEEKDAY($A71)&lt;&gt;1)),"work",(INDEX(Subject!$A:$I,MATCH(RANDBETWEEN(1,(MAX(Subject!$B:$B))),Subject!$B:$B,0),3))))</f>
        <v/>
      </c>
      <c r="E71" s="2" t="str">
        <f t="array" ref="E71">IF(NOW()&gt;AP71,"",IF(AND((WEEKDAY($A71)+$B$2)&gt;1,((WEEKDAY($A71)+$T$2)&lt;7),(WEEKDAY($A71)&lt;&gt;1)),"work",(INDEX(Subject!$A:$I,MATCH(RANDBETWEEN(1,(MAX(Subject!$B:$B))),Subject!$B:$B,0),3))))</f>
        <v/>
      </c>
      <c r="F71" s="2" t="str">
        <f t="array" ref="F71">IF(NOW()&gt;AQ71,"",IF(AND((WEEKDAY($A71)+$B$2)&gt;1,((WEEKDAY($A71)+$T$2)&lt;7),(WEEKDAY($A71)&lt;&gt;1)),"work",(INDEX(Subject!$A:$I,MATCH(RANDBETWEEN(1,(MAX(Subject!$B:$B))),Subject!$B:$B,0),3))))</f>
        <v/>
      </c>
      <c r="G71" s="2" t="str">
        <f t="array" ref="G71">IF(NOW()&gt;AR71,"",IF(AND((WEEKDAY($A71)+$B$2)&gt;1,((WEEKDAY($A71)+$T$2)&lt;7),(WEEKDAY($A71)&lt;&gt;1)),"work",(INDEX(Subject!$A:$I,MATCH(RANDBETWEEN(1,(MAX(Subject!$B:$B))),Subject!$B:$B,0),3))))</f>
        <v/>
      </c>
      <c r="H71" s="2" t="str">
        <f t="array" ref="H71">IF(NOW()&gt;AS71,"",IF(AND((WEEKDAY($A71)+$B$2)&gt;1,((WEEKDAY($A71)+$T$2)&lt;7),(WEEKDAY($A71)&lt;&gt;1)),"work",(INDEX(Subject!$A:$I,MATCH(RANDBETWEEN(1,(MAX(Subject!$B:$B))),Subject!$B:$B,0),3))))</f>
        <v/>
      </c>
      <c r="I71" s="2" t="str">
        <f t="array" ref="I71">IF(NOW()&gt;AT71,"",IF(AND((WEEKDAY($A71)+$B$2)&gt;1,((WEEKDAY($A71)+$T$2)&lt;7),(WEEKDAY($A71)&lt;&gt;1)),"work",(INDEX(Subject!$A:$I,MATCH(RANDBETWEEN(1,(MAX(Subject!$B:$B))),Subject!$B:$B,0),3))))</f>
        <v/>
      </c>
      <c r="J71" s="2" t="str">
        <f t="array" ref="J71">IF(NOW()&gt;AU71,"",IF(AND((WEEKDAY($A71)+$B$2)&gt;1,((WEEKDAY($A71)+$T$2)&lt;7),(WEEKDAY($A71)&lt;&gt;1)),"work",(INDEX(Subject!$A:$I,MATCH(RANDBETWEEN(1,(MAX(Subject!$B:$B))),Subject!$B:$B,0),3))))</f>
        <v/>
      </c>
      <c r="K71" s="2" t="str">
        <f t="array" ref="K71">IF(NOW()&gt;AV71,"",IF(AND((WEEKDAY($A71)+$B$2)&gt;1,((WEEKDAY($A71)+$T$2)&lt;7),(WEEKDAY($A71)&lt;&gt;1)),"work",(INDEX(Subject!$A:$I,MATCH(RANDBETWEEN(1,(MAX(Subject!$B:$B))),Subject!$B:$B,0),3))))</f>
        <v/>
      </c>
      <c r="L71" s="2" t="str">
        <f t="array" ref="L71">IF(NOW()&gt;AW71,"",IF(AND((WEEKDAY($A71)+$B$2)&gt;1,((WEEKDAY($A71)+$T$2)&lt;7),(WEEKDAY($A71)&lt;&gt;1)),"work",(INDEX(Subject!$A:$I,MATCH(RANDBETWEEN(1,(MAX(Subject!$B:$B))),Subject!$B:$B,0),3))))</f>
        <v/>
      </c>
      <c r="M71" s="2" t="str">
        <f t="array" ref="M71">IF(NOW()&gt;AX71,"",IF(AND((WEEKDAY($A71)+$B$2)&gt;1,((WEEKDAY($A71)+$T$2)&lt;7),(WEEKDAY($A71)&lt;&gt;1)),"work",(INDEX(Subject!$A:$I,MATCH(RANDBETWEEN(1,(MAX(Subject!$B:$B))),Subject!$B:$B,0),3))))</f>
        <v/>
      </c>
      <c r="N71" s="2" t="str">
        <f t="array" ref="N71">IF(NOW()&gt;AY71,"",IF(AND((WEEKDAY($A71)+$B$2)&gt;1,((WEEKDAY($A71)+$T$2)&lt;7),(WEEKDAY($A71)&lt;&gt;1)),"work",(INDEX(Subject!$A:$I,MATCH(RANDBETWEEN(1,(MAX(Subject!$B:$B))),Subject!$B:$B,0),3))))</f>
        <v/>
      </c>
      <c r="O71" s="2" t="str">
        <f t="array" ref="O71">IF(NOW()&gt;AZ71,"",IF(AND((WEEKDAY($A71)+$B$2)&gt;1,((WEEKDAY($A71)+$T$2)&lt;7),(WEEKDAY($A71)&lt;&gt;1)),"work",(INDEX(Subject!$A:$I,MATCH(RANDBETWEEN(1,(MAX(Subject!$B:$B))),Subject!$B:$B,0),3))))</f>
        <v/>
      </c>
      <c r="P71" s="2" t="str">
        <f t="array" ref="P71">IF(NOW()&gt;BA71,"",IF(AND((WEEKDAY($A71)+$B$2)&gt;1,((WEEKDAY($A71)+$T$2)&lt;7),(WEEKDAY($A71)&lt;&gt;1)),"work",(INDEX(Subject!$A:$I,MATCH(RANDBETWEEN(1,(MAX(Subject!$B:$B))),Subject!$B:$B,0),3))))</f>
        <v/>
      </c>
      <c r="Q71" s="2" t="str">
        <f t="array" ref="Q71">IF(NOW()&gt;BB71,"",IF(AND((WEEKDAY($A71)+$B$2)&gt;1,((WEEKDAY($A71)+$T$2)&lt;7),(WEEKDAY($A71)&lt;&gt;1)),"work",(INDEX(Subject!$A:$I,MATCH(RANDBETWEEN(1,(MAX(Subject!$B:$B))),Subject!$B:$B,0),3))))</f>
        <v/>
      </c>
      <c r="R71" s="2" t="str">
        <f t="array" ref="R71">IF(NOW()&gt;BC71,"",IF(AND((WEEKDAY($A71)+$B$2)&gt;1,((WEEKDAY($A71)+$T$2)&lt;7),(WEEKDAY($A71)&lt;&gt;1)),"work",(INDEX(Subject!$A:$I,MATCH(RANDBETWEEN(1,(MAX(Subject!$B:$B))),Subject!$B:$B,0),3))))</f>
        <v/>
      </c>
      <c r="S71" s="2" t="str">
        <f t="array" ref="S71">IF(NOW()&gt;BD71,"",IF(AND((WEEKDAY($A71)+$B$2)&gt;1,((WEEKDAY($A71)+$T$2)&lt;7),(WEEKDAY($A71)&lt;&gt;1)),"work",(INDEX(Subject!$A:$I,MATCH(RANDBETWEEN(1,(MAX(Subject!$B:$B))),Subject!$B:$B,0),3))))</f>
        <v/>
      </c>
      <c r="T71" s="2" t="str">
        <f t="array" ref="T71">IF(NOW()&gt;BE71,"",IF(AND((WEEKDAY($A71)+$B$2)&gt;1,((WEEKDAY($A71)+$T$2)&lt;7),(WEEKDAY($A71)&lt;&gt;1)),"work",(INDEX(Subject!$A:$I,MATCH(RANDBETWEEN(1,(MAX(Subject!$B:$B))),Subject!$B:$B,0),3))))</f>
        <v/>
      </c>
      <c r="U71" s="8" t="str">
        <f t="array" ref="U71">INDEX(Subject!$A:$I,MATCH(RANDBETWEEN(1,16),Subject!$B:$B,0),3)</f>
        <v>#N/A</v>
      </c>
      <c r="V71" s="8" t="str">
        <f t="array" ref="V71">INDEX(Subject!$A:$I,MATCH(RANDBETWEEN(1,16),Subject!$B:$B,0),3)</f>
        <v>#N/A</v>
      </c>
      <c r="W71" s="8" t="str">
        <f t="array" ref="W71">INDEX(Subject!$A:$I,MATCH(RANDBETWEEN(1,16),Subject!$B:$B,0),3)</f>
        <v>#N/A</v>
      </c>
      <c r="X71" s="8" t="str">
        <f t="array" ref="X71">INDEX(Subject!$A:$I,MATCH(RANDBETWEEN(1,16),Subject!$B:$B,0),3)</f>
        <v>#N/A</v>
      </c>
      <c r="Y71" s="8" t="str">
        <f t="array" ref="Y71">INDEX(Subject!$A:$I,MATCH(RANDBETWEEN(1,16),Subject!$B:$B,0),3)</f>
        <v/>
      </c>
      <c r="Z71" s="8" t="str">
        <f t="array" ref="Z71">INDEX(Subject!$A:$I,MATCH(RANDBETWEEN(1,16),Subject!$B:$B,0),3)</f>
        <v>#N/A</v>
      </c>
      <c r="AA71" s="8" t="str">
        <f t="array" ref="AA71">INDEX(Subject!$A:$I,MATCH(RANDBETWEEN(1,16),Subject!$B:$B,0),3)</f>
        <v>#N/A</v>
      </c>
      <c r="AB71" s="8" t="str">
        <f t="array" ref="AB71">INDEX(Subject!$A:$I,MATCH(RANDBETWEEN(1,16),Subject!$B:$B,0),3)</f>
        <v>#N/A</v>
      </c>
      <c r="AC71" s="8" t="str">
        <f t="array" ref="AC71">INDEX(Subject!$A:$I,MATCH(RANDBETWEEN(1,16),Subject!$B:$B,0),3)</f>
        <v>#N/A</v>
      </c>
      <c r="AD71" s="8" t="str">
        <f t="array" ref="AD71">INDEX(Subject!$A:$I,MATCH(RANDBETWEEN(1,16),Subject!$B:$B,0),3)</f>
        <v>#N/A</v>
      </c>
      <c r="AE71" s="8" t="str">
        <f t="array" ref="AE71">INDEX(Subject!$A:$I,MATCH(RANDBETWEEN(1,16),Subject!$B:$B,0),3)</f>
        <v>#N/A</v>
      </c>
      <c r="AF71" s="8" t="str">
        <f t="array" ref="AF71">INDEX(Subject!$A:$I,MATCH(RANDBETWEEN(1,16),Subject!$B:$B,0),3)</f>
        <v>#N/A</v>
      </c>
      <c r="AG71" s="8" t="str">
        <f t="array" ref="AG71">INDEX(Subject!$A:$I,MATCH(RANDBETWEEN(1,16),Subject!$B:$B,0),3)</f>
        <v>#N/A</v>
      </c>
      <c r="AH71" s="8" t="str">
        <f t="array" ref="AH71">INDEX(Subject!$A:$I,MATCH(RANDBETWEEN(1,16),Subject!$B:$B,0),3)</f>
        <v>#N/A</v>
      </c>
      <c r="AI71" s="8" t="str">
        <f t="array" ref="AI71">INDEX(Subject!$A:$I,MATCH(RANDBETWEEN(1,16),Subject!$B:$B,0),3)</f>
        <v>#N/A</v>
      </c>
      <c r="AJ71" s="8" t="str">
        <f t="array" ref="AJ71">INDEX(Subject!$A:$I,MATCH(RANDBETWEEN(1,16),Subject!$B:$B,0),3)</f>
        <v>#N/A</v>
      </c>
      <c r="AK71" s="8" t="str">
        <f t="array" ref="AK71">INDEX(Subject!$A:$I,MATCH(RANDBETWEEN(1,16),Subject!$B:$B,0),3)</f>
        <v>#N/A</v>
      </c>
      <c r="AL71" s="8" t="str">
        <f t="array" ref="AL71">INDEX(Subject!$A:$I,MATCH(RANDBETWEEN(1,16),Subject!$B:$B,0),3)</f>
        <v>#N/A</v>
      </c>
      <c r="AM71" s="18">
        <f t="shared" si="4"/>
        <v>45571.33333</v>
      </c>
      <c r="AN71" s="19">
        <f t="shared" ref="AN71:BZ71" si="71">$A71+C$1</f>
        <v>45571.35417</v>
      </c>
      <c r="AO71" s="19">
        <f t="shared" si="71"/>
        <v>45571.375</v>
      </c>
      <c r="AP71" s="19">
        <f t="shared" si="71"/>
        <v>45571.39583</v>
      </c>
      <c r="AQ71" s="19">
        <f t="shared" si="71"/>
        <v>45571.41667</v>
      </c>
      <c r="AR71" s="19">
        <f t="shared" si="71"/>
        <v>45571.4375</v>
      </c>
      <c r="AS71" s="19">
        <f t="shared" si="71"/>
        <v>45571.45833</v>
      </c>
      <c r="AT71" s="19">
        <f t="shared" si="71"/>
        <v>45571.47917</v>
      </c>
      <c r="AU71" s="19">
        <f t="shared" si="71"/>
        <v>45571.5</v>
      </c>
      <c r="AV71" s="19">
        <f t="shared" si="71"/>
        <v>45571.52083</v>
      </c>
      <c r="AW71" s="19">
        <f t="shared" si="71"/>
        <v>45571.54167</v>
      </c>
      <c r="AX71" s="19">
        <f t="shared" si="71"/>
        <v>45571.5625</v>
      </c>
      <c r="AY71" s="19">
        <f t="shared" si="71"/>
        <v>45571.58333</v>
      </c>
      <c r="AZ71" s="19">
        <f t="shared" si="71"/>
        <v>45571.60417</v>
      </c>
      <c r="BA71" s="19">
        <f t="shared" si="71"/>
        <v>45571.625</v>
      </c>
      <c r="BB71" s="19">
        <f t="shared" si="71"/>
        <v>45571.64583</v>
      </c>
      <c r="BC71" s="19">
        <f t="shared" si="71"/>
        <v>45571.66667</v>
      </c>
      <c r="BD71" s="19">
        <f t="shared" si="71"/>
        <v>45571.6875</v>
      </c>
      <c r="BE71" s="19">
        <f t="shared" si="71"/>
        <v>45571.70833</v>
      </c>
      <c r="BF71" s="19">
        <f t="shared" si="71"/>
        <v>45571.72917</v>
      </c>
      <c r="BG71" s="19">
        <f t="shared" si="71"/>
        <v>45571.75</v>
      </c>
      <c r="BH71" s="19">
        <f t="shared" si="71"/>
        <v>45571.77083</v>
      </c>
      <c r="BI71" s="19">
        <f t="shared" si="71"/>
        <v>45571.79167</v>
      </c>
      <c r="BJ71" s="19">
        <f t="shared" si="71"/>
        <v>45571.8125</v>
      </c>
      <c r="BK71" s="19">
        <f t="shared" si="71"/>
        <v>45571.83333</v>
      </c>
      <c r="BL71" s="19">
        <f t="shared" si="71"/>
        <v>45571.85417</v>
      </c>
      <c r="BM71" s="19">
        <f t="shared" si="71"/>
        <v>45571.875</v>
      </c>
      <c r="BN71" s="19">
        <f t="shared" si="71"/>
        <v>45571.89583</v>
      </c>
      <c r="BO71" s="19">
        <f t="shared" si="71"/>
        <v>45571.91667</v>
      </c>
      <c r="BP71" s="19">
        <f t="shared" si="71"/>
        <v>45571.9375</v>
      </c>
      <c r="BQ71" s="19">
        <f t="shared" si="71"/>
        <v>45571.95833</v>
      </c>
      <c r="BR71" s="19">
        <f t="shared" si="71"/>
        <v>45571.97917</v>
      </c>
      <c r="BS71" s="19">
        <f t="shared" si="71"/>
        <v>45572</v>
      </c>
      <c r="BT71" s="19">
        <f t="shared" si="71"/>
        <v>45572.02083</v>
      </c>
      <c r="BU71" s="19">
        <f t="shared" si="71"/>
        <v>45572.04167</v>
      </c>
      <c r="BV71" s="19">
        <f t="shared" si="71"/>
        <v>45572.0625</v>
      </c>
      <c r="BW71" s="19">
        <f t="shared" si="71"/>
        <v>45572.08333</v>
      </c>
      <c r="BX71" s="19">
        <f t="shared" si="71"/>
        <v>45571</v>
      </c>
      <c r="BY71" s="19">
        <f t="shared" si="71"/>
        <v>45571</v>
      </c>
      <c r="BZ71" s="19">
        <f t="shared" si="71"/>
        <v>45571</v>
      </c>
    </row>
    <row r="72" ht="14.25" customHeight="1">
      <c r="A72" s="17">
        <v>45572.0</v>
      </c>
      <c r="B72" s="2" t="str">
        <f t="array" ref="B72">IF(NOW()&gt;AM72,"",IF(AND((WEEKDAY($A72)+$B$2)&gt;1,((WEEKDAY($A72)+$T$2)&lt;7),(WEEKDAY($A72)&lt;&gt;1)),"work",(INDEX(Subject!$A:$I,MATCH(RANDBETWEEN(1,(MAX(Subject!$B:$B))),Subject!$B:$B,0),3))))</f>
        <v/>
      </c>
      <c r="C72" s="2" t="str">
        <f t="array" ref="C72">IF(NOW()&gt;AN72,"",IF(AND((WEEKDAY($A72)+$B$2)&gt;1,((WEEKDAY($A72)+$T$2)&lt;7),(WEEKDAY($A72)&lt;&gt;1)),"work",(INDEX(Subject!$A:$I,MATCH(RANDBETWEEN(1,(MAX(Subject!$B:$B))),Subject!$B:$B,0),3))))</f>
        <v/>
      </c>
      <c r="D72" s="2" t="str">
        <f t="array" ref="D72">IF(NOW()&gt;AO72,"",IF(AND((WEEKDAY($A72)+$B$2)&gt;1,((WEEKDAY($A72)+$T$2)&lt;7),(WEEKDAY($A72)&lt;&gt;1)),"work",(INDEX(Subject!$A:$I,MATCH(RANDBETWEEN(1,(MAX(Subject!$B:$B))),Subject!$B:$B,0),3))))</f>
        <v/>
      </c>
      <c r="E72" s="2" t="str">
        <f t="array" ref="E72">IF(NOW()&gt;AP72,"",IF(AND((WEEKDAY($A72)+$B$2)&gt;1,((WEEKDAY($A72)+$T$2)&lt;7),(WEEKDAY($A72)&lt;&gt;1)),"work",(INDEX(Subject!$A:$I,MATCH(RANDBETWEEN(1,(MAX(Subject!$B:$B))),Subject!$B:$B,0),3))))</f>
        <v/>
      </c>
      <c r="F72" s="2" t="str">
        <f t="array" ref="F72">IF(NOW()&gt;AQ72,"",IF(AND((WEEKDAY($A72)+$B$2)&gt;1,((WEEKDAY($A72)+$T$2)&lt;7),(WEEKDAY($A72)&lt;&gt;1)),"work",(INDEX(Subject!$A:$I,MATCH(RANDBETWEEN(1,(MAX(Subject!$B:$B))),Subject!$B:$B,0),3))))</f>
        <v/>
      </c>
      <c r="G72" s="2" t="str">
        <f t="array" ref="G72">IF(NOW()&gt;AR72,"",IF(AND((WEEKDAY($A72)+$B$2)&gt;1,((WEEKDAY($A72)+$T$2)&lt;7),(WEEKDAY($A72)&lt;&gt;1)),"work",(INDEX(Subject!$A:$I,MATCH(RANDBETWEEN(1,(MAX(Subject!$B:$B))),Subject!$B:$B,0),3))))</f>
        <v/>
      </c>
      <c r="H72" s="2" t="str">
        <f t="array" ref="H72">IF(NOW()&gt;AS72,"",IF(AND((WEEKDAY($A72)+$B$2)&gt;1,((WEEKDAY($A72)+$T$2)&lt;7),(WEEKDAY($A72)&lt;&gt;1)),"work",(INDEX(Subject!$A:$I,MATCH(RANDBETWEEN(1,(MAX(Subject!$B:$B))),Subject!$B:$B,0),3))))</f>
        <v/>
      </c>
      <c r="I72" s="2" t="str">
        <f t="array" ref="I72">IF(NOW()&gt;AT72,"",IF(AND((WEEKDAY($A72)+$B$2)&gt;1,((WEEKDAY($A72)+$T$2)&lt;7),(WEEKDAY($A72)&lt;&gt;1)),"work",(INDEX(Subject!$A:$I,MATCH(RANDBETWEEN(1,(MAX(Subject!$B:$B))),Subject!$B:$B,0),3))))</f>
        <v/>
      </c>
      <c r="J72" s="2" t="str">
        <f t="array" ref="J72">IF(NOW()&gt;AU72,"",IF(AND((WEEKDAY($A72)+$B$2)&gt;1,((WEEKDAY($A72)+$T$2)&lt;7),(WEEKDAY($A72)&lt;&gt;1)),"work",(INDEX(Subject!$A:$I,MATCH(RANDBETWEEN(1,(MAX(Subject!$B:$B))),Subject!$B:$B,0),3))))</f>
        <v/>
      </c>
      <c r="K72" s="2" t="str">
        <f t="array" ref="K72">IF(NOW()&gt;AV72,"",IF(AND((WEEKDAY($A72)+$B$2)&gt;1,((WEEKDAY($A72)+$T$2)&lt;7),(WEEKDAY($A72)&lt;&gt;1)),"work",(INDEX(Subject!$A:$I,MATCH(RANDBETWEEN(1,(MAX(Subject!$B:$B))),Subject!$B:$B,0),3))))</f>
        <v/>
      </c>
      <c r="L72" s="2" t="str">
        <f t="array" ref="L72">IF(NOW()&gt;AW72,"",IF(AND((WEEKDAY($A72)+$B$2)&gt;1,((WEEKDAY($A72)+$T$2)&lt;7),(WEEKDAY($A72)&lt;&gt;1)),"work",(INDEX(Subject!$A:$I,MATCH(RANDBETWEEN(1,(MAX(Subject!$B:$B))),Subject!$B:$B,0),3))))</f>
        <v/>
      </c>
      <c r="M72" s="2" t="str">
        <f t="array" ref="M72">IF(NOW()&gt;AX72,"",IF(AND((WEEKDAY($A72)+$B$2)&gt;1,((WEEKDAY($A72)+$T$2)&lt;7),(WEEKDAY($A72)&lt;&gt;1)),"work",(INDEX(Subject!$A:$I,MATCH(RANDBETWEEN(1,(MAX(Subject!$B:$B))),Subject!$B:$B,0),3))))</f>
        <v/>
      </c>
      <c r="N72" s="2" t="str">
        <f t="array" ref="N72">IF(NOW()&gt;AY72,"",IF(AND((WEEKDAY($A72)+$B$2)&gt;1,((WEEKDAY($A72)+$T$2)&lt;7),(WEEKDAY($A72)&lt;&gt;1)),"work",(INDEX(Subject!$A:$I,MATCH(RANDBETWEEN(1,(MAX(Subject!$B:$B))),Subject!$B:$B,0),3))))</f>
        <v/>
      </c>
      <c r="O72" s="2" t="str">
        <f t="array" ref="O72">IF(NOW()&gt;AZ72,"",IF(AND((WEEKDAY($A72)+$B$2)&gt;1,((WEEKDAY($A72)+$T$2)&lt;7),(WEEKDAY($A72)&lt;&gt;1)),"work",(INDEX(Subject!$A:$I,MATCH(RANDBETWEEN(1,(MAX(Subject!$B:$B))),Subject!$B:$B,0),3))))</f>
        <v/>
      </c>
      <c r="P72" s="2" t="str">
        <f t="array" ref="P72">IF(NOW()&gt;BA72,"",IF(AND((WEEKDAY($A72)+$B$2)&gt;1,((WEEKDAY($A72)+$T$2)&lt;7),(WEEKDAY($A72)&lt;&gt;1)),"work",(INDEX(Subject!$A:$I,MATCH(RANDBETWEEN(1,(MAX(Subject!$B:$B))),Subject!$B:$B,0),3))))</f>
        <v/>
      </c>
      <c r="Q72" s="2" t="str">
        <f t="array" ref="Q72">IF(NOW()&gt;BB72,"",IF(AND((WEEKDAY($A72)+$B$2)&gt;1,((WEEKDAY($A72)+$T$2)&lt;7),(WEEKDAY($A72)&lt;&gt;1)),"work",(INDEX(Subject!$A:$I,MATCH(RANDBETWEEN(1,(MAX(Subject!$B:$B))),Subject!$B:$B,0),3))))</f>
        <v/>
      </c>
      <c r="R72" s="2" t="str">
        <f t="array" ref="R72">IF(NOW()&gt;BC72,"",IF(AND((WEEKDAY($A72)+$B$2)&gt;1,((WEEKDAY($A72)+$T$2)&lt;7),(WEEKDAY($A72)&lt;&gt;1)),"work",(INDEX(Subject!$A:$I,MATCH(RANDBETWEEN(1,(MAX(Subject!$B:$B))),Subject!$B:$B,0),3))))</f>
        <v/>
      </c>
      <c r="S72" s="2" t="str">
        <f t="array" ref="S72">IF(NOW()&gt;BD72,"",IF(AND((WEEKDAY($A72)+$B$2)&gt;1,((WEEKDAY($A72)+$T$2)&lt;7),(WEEKDAY($A72)&lt;&gt;1)),"work",(INDEX(Subject!$A:$I,MATCH(RANDBETWEEN(1,(MAX(Subject!$B:$B))),Subject!$B:$B,0),3))))</f>
        <v/>
      </c>
      <c r="T72" s="2" t="str">
        <f t="array" ref="T72">IF(NOW()&gt;BE72,"",IF(AND((WEEKDAY($A72)+$B$2)&gt;1,((WEEKDAY($A72)+$T$2)&lt;7),(WEEKDAY($A72)&lt;&gt;1)),"work",(INDEX(Subject!$A:$I,MATCH(RANDBETWEEN(1,(MAX(Subject!$B:$B))),Subject!$B:$B,0),3))))</f>
        <v/>
      </c>
      <c r="U72" s="8" t="str">
        <f t="array" ref="U72">INDEX(Subject!$A:$I,MATCH(RANDBETWEEN(1,16),Subject!$B:$B,0),3)</f>
        <v>#N/A</v>
      </c>
      <c r="V72" s="8" t="str">
        <f t="array" ref="V72">INDEX(Subject!$A:$I,MATCH(RANDBETWEEN(1,16),Subject!$B:$B,0),3)</f>
        <v>#N/A</v>
      </c>
      <c r="W72" s="8" t="str">
        <f t="array" ref="W72">INDEX(Subject!$A:$I,MATCH(RANDBETWEEN(1,16),Subject!$B:$B,0),3)</f>
        <v>#N/A</v>
      </c>
      <c r="X72" s="8" t="str">
        <f t="array" ref="X72">INDEX(Subject!$A:$I,MATCH(RANDBETWEEN(1,16),Subject!$B:$B,0),3)</f>
        <v>#N/A</v>
      </c>
      <c r="Y72" s="8" t="str">
        <f t="array" ref="Y72">INDEX(Subject!$A:$I,MATCH(RANDBETWEEN(1,16),Subject!$B:$B,0),3)</f>
        <v>#N/A</v>
      </c>
      <c r="Z72" s="8" t="str">
        <f t="array" ref="Z72">INDEX(Subject!$A:$I,MATCH(RANDBETWEEN(1,16),Subject!$B:$B,0),3)</f>
        <v>#N/A</v>
      </c>
      <c r="AA72" s="8" t="str">
        <f t="array" ref="AA72">INDEX(Subject!$A:$I,MATCH(RANDBETWEEN(1,16),Subject!$B:$B,0),3)</f>
        <v>#N/A</v>
      </c>
      <c r="AB72" s="8" t="str">
        <f t="array" ref="AB72">INDEX(Subject!$A:$I,MATCH(RANDBETWEEN(1,16),Subject!$B:$B,0),3)</f>
        <v>#N/A</v>
      </c>
      <c r="AC72" s="8" t="str">
        <f t="array" ref="AC72">INDEX(Subject!$A:$I,MATCH(RANDBETWEEN(1,16),Subject!$B:$B,0),3)</f>
        <v>#N/A</v>
      </c>
      <c r="AD72" s="8" t="str">
        <f t="array" ref="AD72">INDEX(Subject!$A:$I,MATCH(RANDBETWEEN(1,16),Subject!$B:$B,0),3)</f>
        <v>#N/A</v>
      </c>
      <c r="AE72" s="8" t="str">
        <f t="array" ref="AE72">INDEX(Subject!$A:$I,MATCH(RANDBETWEEN(1,16),Subject!$B:$B,0),3)</f>
        <v>#N/A</v>
      </c>
      <c r="AF72" s="8" t="str">
        <f t="array" ref="AF72">INDEX(Subject!$A:$I,MATCH(RANDBETWEEN(1,16),Subject!$B:$B,0),3)</f>
        <v>#N/A</v>
      </c>
      <c r="AG72" s="8" t="str">
        <f t="array" ref="AG72">INDEX(Subject!$A:$I,MATCH(RANDBETWEEN(1,16),Subject!$B:$B,0),3)</f>
        <v>#N/A</v>
      </c>
      <c r="AH72" s="8" t="str">
        <f t="array" ref="AH72">INDEX(Subject!$A:$I,MATCH(RANDBETWEEN(1,16),Subject!$B:$B,0),3)</f>
        <v>#N/A</v>
      </c>
      <c r="AI72" s="8" t="str">
        <f t="array" ref="AI72">INDEX(Subject!$A:$I,MATCH(RANDBETWEEN(1,16),Subject!$B:$B,0),3)</f>
        <v>#N/A</v>
      </c>
      <c r="AJ72" s="8" t="str">
        <f t="array" ref="AJ72">INDEX(Subject!$A:$I,MATCH(RANDBETWEEN(1,16),Subject!$B:$B,0),3)</f>
        <v>#N/A</v>
      </c>
      <c r="AK72" s="8" t="str">
        <f t="array" ref="AK72">INDEX(Subject!$A:$I,MATCH(RANDBETWEEN(1,16),Subject!$B:$B,0),3)</f>
        <v>#N/A</v>
      </c>
      <c r="AL72" s="8" t="str">
        <f t="array" ref="AL72">INDEX(Subject!$A:$I,MATCH(RANDBETWEEN(1,16),Subject!$B:$B,0),3)</f>
        <v>#N/A</v>
      </c>
      <c r="AM72" s="18">
        <f t="shared" si="4"/>
        <v>45572.33333</v>
      </c>
      <c r="AN72" s="19">
        <f t="shared" ref="AN72:BZ72" si="72">$A72+C$1</f>
        <v>45572.35417</v>
      </c>
      <c r="AO72" s="19">
        <f t="shared" si="72"/>
        <v>45572.375</v>
      </c>
      <c r="AP72" s="19">
        <f t="shared" si="72"/>
        <v>45572.39583</v>
      </c>
      <c r="AQ72" s="19">
        <f t="shared" si="72"/>
        <v>45572.41667</v>
      </c>
      <c r="AR72" s="19">
        <f t="shared" si="72"/>
        <v>45572.4375</v>
      </c>
      <c r="AS72" s="19">
        <f t="shared" si="72"/>
        <v>45572.45833</v>
      </c>
      <c r="AT72" s="19">
        <f t="shared" si="72"/>
        <v>45572.47917</v>
      </c>
      <c r="AU72" s="19">
        <f t="shared" si="72"/>
        <v>45572.5</v>
      </c>
      <c r="AV72" s="19">
        <f t="shared" si="72"/>
        <v>45572.52083</v>
      </c>
      <c r="AW72" s="19">
        <f t="shared" si="72"/>
        <v>45572.54167</v>
      </c>
      <c r="AX72" s="19">
        <f t="shared" si="72"/>
        <v>45572.5625</v>
      </c>
      <c r="AY72" s="19">
        <f t="shared" si="72"/>
        <v>45572.58333</v>
      </c>
      <c r="AZ72" s="19">
        <f t="shared" si="72"/>
        <v>45572.60417</v>
      </c>
      <c r="BA72" s="19">
        <f t="shared" si="72"/>
        <v>45572.625</v>
      </c>
      <c r="BB72" s="19">
        <f t="shared" si="72"/>
        <v>45572.64583</v>
      </c>
      <c r="BC72" s="19">
        <f t="shared" si="72"/>
        <v>45572.66667</v>
      </c>
      <c r="BD72" s="19">
        <f t="shared" si="72"/>
        <v>45572.6875</v>
      </c>
      <c r="BE72" s="19">
        <f t="shared" si="72"/>
        <v>45572.70833</v>
      </c>
      <c r="BF72" s="19">
        <f t="shared" si="72"/>
        <v>45572.72917</v>
      </c>
      <c r="BG72" s="19">
        <f t="shared" si="72"/>
        <v>45572.75</v>
      </c>
      <c r="BH72" s="19">
        <f t="shared" si="72"/>
        <v>45572.77083</v>
      </c>
      <c r="BI72" s="19">
        <f t="shared" si="72"/>
        <v>45572.79167</v>
      </c>
      <c r="BJ72" s="19">
        <f t="shared" si="72"/>
        <v>45572.8125</v>
      </c>
      <c r="BK72" s="19">
        <f t="shared" si="72"/>
        <v>45572.83333</v>
      </c>
      <c r="BL72" s="19">
        <f t="shared" si="72"/>
        <v>45572.85417</v>
      </c>
      <c r="BM72" s="19">
        <f t="shared" si="72"/>
        <v>45572.875</v>
      </c>
      <c r="BN72" s="19">
        <f t="shared" si="72"/>
        <v>45572.89583</v>
      </c>
      <c r="BO72" s="19">
        <f t="shared" si="72"/>
        <v>45572.91667</v>
      </c>
      <c r="BP72" s="19">
        <f t="shared" si="72"/>
        <v>45572.9375</v>
      </c>
      <c r="BQ72" s="19">
        <f t="shared" si="72"/>
        <v>45572.95833</v>
      </c>
      <c r="BR72" s="19">
        <f t="shared" si="72"/>
        <v>45572.97917</v>
      </c>
      <c r="BS72" s="19">
        <f t="shared" si="72"/>
        <v>45573</v>
      </c>
      <c r="BT72" s="19">
        <f t="shared" si="72"/>
        <v>45573.02083</v>
      </c>
      <c r="BU72" s="19">
        <f t="shared" si="72"/>
        <v>45573.04167</v>
      </c>
      <c r="BV72" s="19">
        <f t="shared" si="72"/>
        <v>45573.0625</v>
      </c>
      <c r="BW72" s="19">
        <f t="shared" si="72"/>
        <v>45573.08333</v>
      </c>
      <c r="BX72" s="19">
        <f t="shared" si="72"/>
        <v>45572</v>
      </c>
      <c r="BY72" s="19">
        <f t="shared" si="72"/>
        <v>45572</v>
      </c>
      <c r="BZ72" s="19">
        <f t="shared" si="72"/>
        <v>45572</v>
      </c>
    </row>
    <row r="73" ht="14.25" customHeight="1">
      <c r="A73" s="17">
        <v>45573.0</v>
      </c>
      <c r="B73" s="2" t="str">
        <f t="array" ref="B73">IF(NOW()&gt;AM73,"",IF(AND((WEEKDAY($A73)+$B$2)&gt;1,((WEEKDAY($A73)+$T$2)&lt;7),(WEEKDAY($A73)&lt;&gt;1)),"work",(INDEX(Subject!$A:$I,MATCH(RANDBETWEEN(1,(MAX(Subject!$B:$B))),Subject!$B:$B,0),3))))</f>
        <v/>
      </c>
      <c r="C73" s="2" t="str">
        <f t="array" ref="C73">IF(NOW()&gt;AN73,"",IF(AND((WEEKDAY($A73)+$B$2)&gt;1,((WEEKDAY($A73)+$T$2)&lt;7),(WEEKDAY($A73)&lt;&gt;1)),"work",(INDEX(Subject!$A:$I,MATCH(RANDBETWEEN(1,(MAX(Subject!$B:$B))),Subject!$B:$B,0),3))))</f>
        <v/>
      </c>
      <c r="D73" s="2" t="str">
        <f t="array" ref="D73">IF(NOW()&gt;AO73,"",IF(AND((WEEKDAY($A73)+$B$2)&gt;1,((WEEKDAY($A73)+$T$2)&lt;7),(WEEKDAY($A73)&lt;&gt;1)),"work",(INDEX(Subject!$A:$I,MATCH(RANDBETWEEN(1,(MAX(Subject!$B:$B))),Subject!$B:$B,0),3))))</f>
        <v/>
      </c>
      <c r="E73" s="2" t="str">
        <f t="array" ref="E73">IF(NOW()&gt;AP73,"",IF(AND((WEEKDAY($A73)+$B$2)&gt;1,((WEEKDAY($A73)+$T$2)&lt;7),(WEEKDAY($A73)&lt;&gt;1)),"work",(INDEX(Subject!$A:$I,MATCH(RANDBETWEEN(1,(MAX(Subject!$B:$B))),Subject!$B:$B,0),3))))</f>
        <v/>
      </c>
      <c r="F73" s="2" t="str">
        <f t="array" ref="F73">IF(NOW()&gt;AQ73,"",IF(AND((WEEKDAY($A73)+$B$2)&gt;1,((WEEKDAY($A73)+$T$2)&lt;7),(WEEKDAY($A73)&lt;&gt;1)),"work",(INDEX(Subject!$A:$I,MATCH(RANDBETWEEN(1,(MAX(Subject!$B:$B))),Subject!$B:$B,0),3))))</f>
        <v/>
      </c>
      <c r="G73" s="2" t="str">
        <f t="array" ref="G73">IF(NOW()&gt;AR73,"",IF(AND((WEEKDAY($A73)+$B$2)&gt;1,((WEEKDAY($A73)+$T$2)&lt;7),(WEEKDAY($A73)&lt;&gt;1)),"work",(INDEX(Subject!$A:$I,MATCH(RANDBETWEEN(1,(MAX(Subject!$B:$B))),Subject!$B:$B,0),3))))</f>
        <v/>
      </c>
      <c r="H73" s="2" t="str">
        <f t="array" ref="H73">IF(NOW()&gt;AS73,"",IF(AND((WEEKDAY($A73)+$B$2)&gt;1,((WEEKDAY($A73)+$T$2)&lt;7),(WEEKDAY($A73)&lt;&gt;1)),"work",(INDEX(Subject!$A:$I,MATCH(RANDBETWEEN(1,(MAX(Subject!$B:$B))),Subject!$B:$B,0),3))))</f>
        <v/>
      </c>
      <c r="I73" s="2" t="str">
        <f t="array" ref="I73">IF(NOW()&gt;AT73,"",IF(AND((WEEKDAY($A73)+$B$2)&gt;1,((WEEKDAY($A73)+$T$2)&lt;7),(WEEKDAY($A73)&lt;&gt;1)),"work",(INDEX(Subject!$A:$I,MATCH(RANDBETWEEN(1,(MAX(Subject!$B:$B))),Subject!$B:$B,0),3))))</f>
        <v/>
      </c>
      <c r="J73" s="2" t="str">
        <f t="array" ref="J73">IF(NOW()&gt;AU73,"",IF(AND((WEEKDAY($A73)+$B$2)&gt;1,((WEEKDAY($A73)+$T$2)&lt;7),(WEEKDAY($A73)&lt;&gt;1)),"work",(INDEX(Subject!$A:$I,MATCH(RANDBETWEEN(1,(MAX(Subject!$B:$B))),Subject!$B:$B,0),3))))</f>
        <v/>
      </c>
      <c r="K73" s="2" t="str">
        <f t="array" ref="K73">IF(NOW()&gt;AV73,"",IF(AND((WEEKDAY($A73)+$B$2)&gt;1,((WEEKDAY($A73)+$T$2)&lt;7),(WEEKDAY($A73)&lt;&gt;1)),"work",(INDEX(Subject!$A:$I,MATCH(RANDBETWEEN(1,(MAX(Subject!$B:$B))),Subject!$B:$B,0),3))))</f>
        <v/>
      </c>
      <c r="L73" s="2" t="str">
        <f t="array" ref="L73">IF(NOW()&gt;AW73,"",IF(AND((WEEKDAY($A73)+$B$2)&gt;1,((WEEKDAY($A73)+$T$2)&lt;7),(WEEKDAY($A73)&lt;&gt;1)),"work",(INDEX(Subject!$A:$I,MATCH(RANDBETWEEN(1,(MAX(Subject!$B:$B))),Subject!$B:$B,0),3))))</f>
        <v/>
      </c>
      <c r="M73" s="2" t="str">
        <f t="array" ref="M73">IF(NOW()&gt;AX73,"",IF(AND((WEEKDAY($A73)+$B$2)&gt;1,((WEEKDAY($A73)+$T$2)&lt;7),(WEEKDAY($A73)&lt;&gt;1)),"work",(INDEX(Subject!$A:$I,MATCH(RANDBETWEEN(1,(MAX(Subject!$B:$B))),Subject!$B:$B,0),3))))</f>
        <v/>
      </c>
      <c r="N73" s="2" t="str">
        <f t="array" ref="N73">IF(NOW()&gt;AY73,"",IF(AND((WEEKDAY($A73)+$B$2)&gt;1,((WEEKDAY($A73)+$T$2)&lt;7),(WEEKDAY($A73)&lt;&gt;1)),"work",(INDEX(Subject!$A:$I,MATCH(RANDBETWEEN(1,(MAX(Subject!$B:$B))),Subject!$B:$B,0),3))))</f>
        <v/>
      </c>
      <c r="O73" s="2" t="str">
        <f t="array" ref="O73">IF(NOW()&gt;AZ73,"",IF(AND((WEEKDAY($A73)+$B$2)&gt;1,((WEEKDAY($A73)+$T$2)&lt;7),(WEEKDAY($A73)&lt;&gt;1)),"work",(INDEX(Subject!$A:$I,MATCH(RANDBETWEEN(1,(MAX(Subject!$B:$B))),Subject!$B:$B,0),3))))</f>
        <v/>
      </c>
      <c r="P73" s="2" t="str">
        <f t="array" ref="P73">IF(NOW()&gt;BA73,"",IF(AND((WEEKDAY($A73)+$B$2)&gt;1,((WEEKDAY($A73)+$T$2)&lt;7),(WEEKDAY($A73)&lt;&gt;1)),"work",(INDEX(Subject!$A:$I,MATCH(RANDBETWEEN(1,(MAX(Subject!$B:$B))),Subject!$B:$B,0),3))))</f>
        <v/>
      </c>
      <c r="Q73" s="2" t="str">
        <f t="array" ref="Q73">IF(NOW()&gt;BB73,"",IF(AND((WEEKDAY($A73)+$B$2)&gt;1,((WEEKDAY($A73)+$T$2)&lt;7),(WEEKDAY($A73)&lt;&gt;1)),"work",(INDEX(Subject!$A:$I,MATCH(RANDBETWEEN(1,(MAX(Subject!$B:$B))),Subject!$B:$B,0),3))))</f>
        <v/>
      </c>
      <c r="R73" s="2" t="str">
        <f t="array" ref="R73">IF(NOW()&gt;BC73,"",IF(AND((WEEKDAY($A73)+$B$2)&gt;1,((WEEKDAY($A73)+$T$2)&lt;7),(WEEKDAY($A73)&lt;&gt;1)),"work",(INDEX(Subject!$A:$I,MATCH(RANDBETWEEN(1,(MAX(Subject!$B:$B))),Subject!$B:$B,0),3))))</f>
        <v/>
      </c>
      <c r="S73" s="2" t="str">
        <f t="array" ref="S73">IF(NOW()&gt;BD73,"",IF(AND((WEEKDAY($A73)+$B$2)&gt;1,((WEEKDAY($A73)+$T$2)&lt;7),(WEEKDAY($A73)&lt;&gt;1)),"work",(INDEX(Subject!$A:$I,MATCH(RANDBETWEEN(1,(MAX(Subject!$B:$B))),Subject!$B:$B,0),3))))</f>
        <v/>
      </c>
      <c r="T73" s="2" t="str">
        <f t="array" ref="T73">IF(NOW()&gt;BE73,"",IF(AND((WEEKDAY($A73)+$B$2)&gt;1,((WEEKDAY($A73)+$T$2)&lt;7),(WEEKDAY($A73)&lt;&gt;1)),"work",(INDEX(Subject!$A:$I,MATCH(RANDBETWEEN(1,(MAX(Subject!$B:$B))),Subject!$B:$B,0),3))))</f>
        <v/>
      </c>
      <c r="U73" s="8" t="str">
        <f t="array" ref="U73">INDEX(Subject!$A:$I,MATCH(RANDBETWEEN(1,16),Subject!$B:$B,0),3)</f>
        <v>#N/A</v>
      </c>
      <c r="V73" s="8" t="str">
        <f t="array" ref="V73">INDEX(Subject!$A:$I,MATCH(RANDBETWEEN(1,16),Subject!$B:$B,0),3)</f>
        <v>#N/A</v>
      </c>
      <c r="W73" s="8" t="str">
        <f t="array" ref="W73">INDEX(Subject!$A:$I,MATCH(RANDBETWEEN(1,16),Subject!$B:$B,0),3)</f>
        <v>#N/A</v>
      </c>
      <c r="X73" s="8" t="str">
        <f t="array" ref="X73">INDEX(Subject!$A:$I,MATCH(RANDBETWEEN(1,16),Subject!$B:$B,0),3)</f>
        <v>#N/A</v>
      </c>
      <c r="Y73" s="8" t="str">
        <f t="array" ref="Y73">INDEX(Subject!$A:$I,MATCH(RANDBETWEEN(1,16),Subject!$B:$B,0),3)</f>
        <v>#N/A</v>
      </c>
      <c r="Z73" s="8" t="str">
        <f t="array" ref="Z73">INDEX(Subject!$A:$I,MATCH(RANDBETWEEN(1,16),Subject!$B:$B,0),3)</f>
        <v>#N/A</v>
      </c>
      <c r="AA73" s="8" t="str">
        <f t="array" ref="AA73">INDEX(Subject!$A:$I,MATCH(RANDBETWEEN(1,16),Subject!$B:$B,0),3)</f>
        <v>#N/A</v>
      </c>
      <c r="AB73" s="8" t="str">
        <f t="array" ref="AB73">INDEX(Subject!$A:$I,MATCH(RANDBETWEEN(1,16),Subject!$B:$B,0),3)</f>
        <v>#N/A</v>
      </c>
      <c r="AC73" s="8" t="str">
        <f t="array" ref="AC73">INDEX(Subject!$A:$I,MATCH(RANDBETWEEN(1,16),Subject!$B:$B,0),3)</f>
        <v>#N/A</v>
      </c>
      <c r="AD73" s="8" t="str">
        <f t="array" ref="AD73">INDEX(Subject!$A:$I,MATCH(RANDBETWEEN(1,16),Subject!$B:$B,0),3)</f>
        <v>#N/A</v>
      </c>
      <c r="AE73" s="8" t="str">
        <f t="array" ref="AE73">INDEX(Subject!$A:$I,MATCH(RANDBETWEEN(1,16),Subject!$B:$B,0),3)</f>
        <v>#N/A</v>
      </c>
      <c r="AF73" s="8" t="str">
        <f t="array" ref="AF73">INDEX(Subject!$A:$I,MATCH(RANDBETWEEN(1,16),Subject!$B:$B,0),3)</f>
        <v>#N/A</v>
      </c>
      <c r="AG73" s="8" t="str">
        <f t="array" ref="AG73">INDEX(Subject!$A:$I,MATCH(RANDBETWEEN(1,16),Subject!$B:$B,0),3)</f>
        <v>#N/A</v>
      </c>
      <c r="AH73" s="8" t="str">
        <f t="array" ref="AH73">INDEX(Subject!$A:$I,MATCH(RANDBETWEEN(1,16),Subject!$B:$B,0),3)</f>
        <v>#N/A</v>
      </c>
      <c r="AI73" s="8" t="str">
        <f t="array" ref="AI73">INDEX(Subject!$A:$I,MATCH(RANDBETWEEN(1,16),Subject!$B:$B,0),3)</f>
        <v>#N/A</v>
      </c>
      <c r="AJ73" s="8" t="str">
        <f t="array" ref="AJ73">INDEX(Subject!$A:$I,MATCH(RANDBETWEEN(1,16),Subject!$B:$B,0),3)</f>
        <v>#N/A</v>
      </c>
      <c r="AK73" s="8" t="str">
        <f t="array" ref="AK73">INDEX(Subject!$A:$I,MATCH(RANDBETWEEN(1,16),Subject!$B:$B,0),3)</f>
        <v>#N/A</v>
      </c>
      <c r="AL73" s="8" t="str">
        <f t="array" ref="AL73">INDEX(Subject!$A:$I,MATCH(RANDBETWEEN(1,16),Subject!$B:$B,0),3)</f>
        <v>#N/A</v>
      </c>
      <c r="AM73" s="18">
        <f t="shared" si="4"/>
        <v>45573.33333</v>
      </c>
      <c r="AN73" s="19">
        <f t="shared" ref="AN73:BZ73" si="73">$A73+C$1</f>
        <v>45573.35417</v>
      </c>
      <c r="AO73" s="19">
        <f t="shared" si="73"/>
        <v>45573.375</v>
      </c>
      <c r="AP73" s="19">
        <f t="shared" si="73"/>
        <v>45573.39583</v>
      </c>
      <c r="AQ73" s="19">
        <f t="shared" si="73"/>
        <v>45573.41667</v>
      </c>
      <c r="AR73" s="19">
        <f t="shared" si="73"/>
        <v>45573.4375</v>
      </c>
      <c r="AS73" s="19">
        <f t="shared" si="73"/>
        <v>45573.45833</v>
      </c>
      <c r="AT73" s="19">
        <f t="shared" si="73"/>
        <v>45573.47917</v>
      </c>
      <c r="AU73" s="19">
        <f t="shared" si="73"/>
        <v>45573.5</v>
      </c>
      <c r="AV73" s="19">
        <f t="shared" si="73"/>
        <v>45573.52083</v>
      </c>
      <c r="AW73" s="19">
        <f t="shared" si="73"/>
        <v>45573.54167</v>
      </c>
      <c r="AX73" s="19">
        <f t="shared" si="73"/>
        <v>45573.5625</v>
      </c>
      <c r="AY73" s="19">
        <f t="shared" si="73"/>
        <v>45573.58333</v>
      </c>
      <c r="AZ73" s="19">
        <f t="shared" si="73"/>
        <v>45573.60417</v>
      </c>
      <c r="BA73" s="19">
        <f t="shared" si="73"/>
        <v>45573.625</v>
      </c>
      <c r="BB73" s="19">
        <f t="shared" si="73"/>
        <v>45573.64583</v>
      </c>
      <c r="BC73" s="19">
        <f t="shared" si="73"/>
        <v>45573.66667</v>
      </c>
      <c r="BD73" s="19">
        <f t="shared" si="73"/>
        <v>45573.6875</v>
      </c>
      <c r="BE73" s="19">
        <f t="shared" si="73"/>
        <v>45573.70833</v>
      </c>
      <c r="BF73" s="19">
        <f t="shared" si="73"/>
        <v>45573.72917</v>
      </c>
      <c r="BG73" s="19">
        <f t="shared" si="73"/>
        <v>45573.75</v>
      </c>
      <c r="BH73" s="19">
        <f t="shared" si="73"/>
        <v>45573.77083</v>
      </c>
      <c r="BI73" s="19">
        <f t="shared" si="73"/>
        <v>45573.79167</v>
      </c>
      <c r="BJ73" s="19">
        <f t="shared" si="73"/>
        <v>45573.8125</v>
      </c>
      <c r="BK73" s="19">
        <f t="shared" si="73"/>
        <v>45573.83333</v>
      </c>
      <c r="BL73" s="19">
        <f t="shared" si="73"/>
        <v>45573.85417</v>
      </c>
      <c r="BM73" s="19">
        <f t="shared" si="73"/>
        <v>45573.875</v>
      </c>
      <c r="BN73" s="19">
        <f t="shared" si="73"/>
        <v>45573.89583</v>
      </c>
      <c r="BO73" s="19">
        <f t="shared" si="73"/>
        <v>45573.91667</v>
      </c>
      <c r="BP73" s="19">
        <f t="shared" si="73"/>
        <v>45573.9375</v>
      </c>
      <c r="BQ73" s="19">
        <f t="shared" si="73"/>
        <v>45573.95833</v>
      </c>
      <c r="BR73" s="19">
        <f t="shared" si="73"/>
        <v>45573.97917</v>
      </c>
      <c r="BS73" s="19">
        <f t="shared" si="73"/>
        <v>45574</v>
      </c>
      <c r="BT73" s="19">
        <f t="shared" si="73"/>
        <v>45574.02083</v>
      </c>
      <c r="BU73" s="19">
        <f t="shared" si="73"/>
        <v>45574.04167</v>
      </c>
      <c r="BV73" s="19">
        <f t="shared" si="73"/>
        <v>45574.0625</v>
      </c>
      <c r="BW73" s="19">
        <f t="shared" si="73"/>
        <v>45574.08333</v>
      </c>
      <c r="BX73" s="19">
        <f t="shared" si="73"/>
        <v>45573</v>
      </c>
      <c r="BY73" s="19">
        <f t="shared" si="73"/>
        <v>45573</v>
      </c>
      <c r="BZ73" s="19">
        <f t="shared" si="73"/>
        <v>45573</v>
      </c>
    </row>
    <row r="74" ht="14.25" customHeight="1">
      <c r="A74" s="17">
        <v>45574.0</v>
      </c>
      <c r="B74" s="2" t="str">
        <f t="array" ref="B74">IF(NOW()&gt;AM74,"",IF(AND((WEEKDAY($A74)+$B$2)&gt;1,((WEEKDAY($A74)+$T$2)&lt;7),(WEEKDAY($A74)&lt;&gt;1)),"work",(INDEX(Subject!$A:$I,MATCH(RANDBETWEEN(1,(MAX(Subject!$B:$B))),Subject!$B:$B,0),3))))</f>
        <v/>
      </c>
      <c r="C74" s="2" t="str">
        <f t="array" ref="C74">IF(NOW()&gt;AN74,"",IF(AND((WEEKDAY($A74)+$B$2)&gt;1,((WEEKDAY($A74)+$T$2)&lt;7),(WEEKDAY($A74)&lt;&gt;1)),"work",(INDEX(Subject!$A:$I,MATCH(RANDBETWEEN(1,(MAX(Subject!$B:$B))),Subject!$B:$B,0),3))))</f>
        <v/>
      </c>
      <c r="D74" s="2" t="str">
        <f t="array" ref="D74">IF(NOW()&gt;AO74,"",IF(AND((WEEKDAY($A74)+$B$2)&gt;1,((WEEKDAY($A74)+$T$2)&lt;7),(WEEKDAY($A74)&lt;&gt;1)),"work",(INDEX(Subject!$A:$I,MATCH(RANDBETWEEN(1,(MAX(Subject!$B:$B))),Subject!$B:$B,0),3))))</f>
        <v/>
      </c>
      <c r="E74" s="2" t="str">
        <f t="array" ref="E74">IF(NOW()&gt;AP74,"",IF(AND((WEEKDAY($A74)+$B$2)&gt;1,((WEEKDAY($A74)+$T$2)&lt;7),(WEEKDAY($A74)&lt;&gt;1)),"work",(INDEX(Subject!$A:$I,MATCH(RANDBETWEEN(1,(MAX(Subject!$B:$B))),Subject!$B:$B,0),3))))</f>
        <v/>
      </c>
      <c r="F74" s="2" t="str">
        <f t="array" ref="F74">IF(NOW()&gt;AQ74,"",IF(AND((WEEKDAY($A74)+$B$2)&gt;1,((WEEKDAY($A74)+$T$2)&lt;7),(WEEKDAY($A74)&lt;&gt;1)),"work",(INDEX(Subject!$A:$I,MATCH(RANDBETWEEN(1,(MAX(Subject!$B:$B))),Subject!$B:$B,0),3))))</f>
        <v/>
      </c>
      <c r="G74" s="2" t="str">
        <f t="array" ref="G74">IF(NOW()&gt;AR74,"",IF(AND((WEEKDAY($A74)+$B$2)&gt;1,((WEEKDAY($A74)+$T$2)&lt;7),(WEEKDAY($A74)&lt;&gt;1)),"work",(INDEX(Subject!$A:$I,MATCH(RANDBETWEEN(1,(MAX(Subject!$B:$B))),Subject!$B:$B,0),3))))</f>
        <v/>
      </c>
      <c r="H74" s="2" t="str">
        <f t="array" ref="H74">IF(NOW()&gt;AS74,"",IF(AND((WEEKDAY($A74)+$B$2)&gt;1,((WEEKDAY($A74)+$T$2)&lt;7),(WEEKDAY($A74)&lt;&gt;1)),"work",(INDEX(Subject!$A:$I,MATCH(RANDBETWEEN(1,(MAX(Subject!$B:$B))),Subject!$B:$B,0),3))))</f>
        <v/>
      </c>
      <c r="I74" s="2" t="str">
        <f t="array" ref="I74">IF(NOW()&gt;AT74,"",IF(AND((WEEKDAY($A74)+$B$2)&gt;1,((WEEKDAY($A74)+$T$2)&lt;7),(WEEKDAY($A74)&lt;&gt;1)),"work",(INDEX(Subject!$A:$I,MATCH(RANDBETWEEN(1,(MAX(Subject!$B:$B))),Subject!$B:$B,0),3))))</f>
        <v/>
      </c>
      <c r="J74" s="2" t="str">
        <f t="array" ref="J74">IF(NOW()&gt;AU74,"",IF(AND((WEEKDAY($A74)+$B$2)&gt;1,((WEEKDAY($A74)+$T$2)&lt;7),(WEEKDAY($A74)&lt;&gt;1)),"work",(INDEX(Subject!$A:$I,MATCH(RANDBETWEEN(1,(MAX(Subject!$B:$B))),Subject!$B:$B,0),3))))</f>
        <v/>
      </c>
      <c r="K74" s="2" t="str">
        <f t="array" ref="K74">IF(NOW()&gt;AV74,"",IF(AND((WEEKDAY($A74)+$B$2)&gt;1,((WEEKDAY($A74)+$T$2)&lt;7),(WEEKDAY($A74)&lt;&gt;1)),"work",(INDEX(Subject!$A:$I,MATCH(RANDBETWEEN(1,(MAX(Subject!$B:$B))),Subject!$B:$B,0),3))))</f>
        <v/>
      </c>
      <c r="L74" s="2" t="str">
        <f t="array" ref="L74">IF(NOW()&gt;AW74,"",IF(AND((WEEKDAY($A74)+$B$2)&gt;1,((WEEKDAY($A74)+$T$2)&lt;7),(WEEKDAY($A74)&lt;&gt;1)),"work",(INDEX(Subject!$A:$I,MATCH(RANDBETWEEN(1,(MAX(Subject!$B:$B))),Subject!$B:$B,0),3))))</f>
        <v/>
      </c>
      <c r="M74" s="2" t="str">
        <f t="array" ref="M74">IF(NOW()&gt;AX74,"",IF(AND((WEEKDAY($A74)+$B$2)&gt;1,((WEEKDAY($A74)+$T$2)&lt;7),(WEEKDAY($A74)&lt;&gt;1)),"work",(INDEX(Subject!$A:$I,MATCH(RANDBETWEEN(1,(MAX(Subject!$B:$B))),Subject!$B:$B,0),3))))</f>
        <v/>
      </c>
      <c r="N74" s="2" t="str">
        <f t="array" ref="N74">IF(NOW()&gt;AY74,"",IF(AND((WEEKDAY($A74)+$B$2)&gt;1,((WEEKDAY($A74)+$T$2)&lt;7),(WEEKDAY($A74)&lt;&gt;1)),"work",(INDEX(Subject!$A:$I,MATCH(RANDBETWEEN(1,(MAX(Subject!$B:$B))),Subject!$B:$B,0),3))))</f>
        <v/>
      </c>
      <c r="O74" s="2" t="str">
        <f t="array" ref="O74">IF(NOW()&gt;AZ74,"",IF(AND((WEEKDAY($A74)+$B$2)&gt;1,((WEEKDAY($A74)+$T$2)&lt;7),(WEEKDAY($A74)&lt;&gt;1)),"work",(INDEX(Subject!$A:$I,MATCH(RANDBETWEEN(1,(MAX(Subject!$B:$B))),Subject!$B:$B,0),3))))</f>
        <v/>
      </c>
      <c r="P74" s="2" t="str">
        <f t="array" ref="P74">IF(NOW()&gt;BA74,"",IF(AND((WEEKDAY($A74)+$B$2)&gt;1,((WEEKDAY($A74)+$T$2)&lt;7),(WEEKDAY($A74)&lt;&gt;1)),"work",(INDEX(Subject!$A:$I,MATCH(RANDBETWEEN(1,(MAX(Subject!$B:$B))),Subject!$B:$B,0),3))))</f>
        <v/>
      </c>
      <c r="Q74" s="2" t="str">
        <f t="array" ref="Q74">IF(NOW()&gt;BB74,"",IF(AND((WEEKDAY($A74)+$B$2)&gt;1,((WEEKDAY($A74)+$T$2)&lt;7),(WEEKDAY($A74)&lt;&gt;1)),"work",(INDEX(Subject!$A:$I,MATCH(RANDBETWEEN(1,(MAX(Subject!$B:$B))),Subject!$B:$B,0),3))))</f>
        <v/>
      </c>
      <c r="R74" s="2" t="str">
        <f t="array" ref="R74">IF(NOW()&gt;BC74,"",IF(AND((WEEKDAY($A74)+$B$2)&gt;1,((WEEKDAY($A74)+$T$2)&lt;7),(WEEKDAY($A74)&lt;&gt;1)),"work",(INDEX(Subject!$A:$I,MATCH(RANDBETWEEN(1,(MAX(Subject!$B:$B))),Subject!$B:$B,0),3))))</f>
        <v/>
      </c>
      <c r="S74" s="2" t="str">
        <f t="array" ref="S74">IF(NOW()&gt;BD74,"",IF(AND((WEEKDAY($A74)+$B$2)&gt;1,((WEEKDAY($A74)+$T$2)&lt;7),(WEEKDAY($A74)&lt;&gt;1)),"work",(INDEX(Subject!$A:$I,MATCH(RANDBETWEEN(1,(MAX(Subject!$B:$B))),Subject!$B:$B,0),3))))</f>
        <v/>
      </c>
      <c r="T74" s="2" t="str">
        <f t="array" ref="T74">IF(NOW()&gt;BE74,"",IF(AND((WEEKDAY($A74)+$B$2)&gt;1,((WEEKDAY($A74)+$T$2)&lt;7),(WEEKDAY($A74)&lt;&gt;1)),"work",(INDEX(Subject!$A:$I,MATCH(RANDBETWEEN(1,(MAX(Subject!$B:$B))),Subject!$B:$B,0),3))))</f>
        <v/>
      </c>
      <c r="U74" s="8" t="str">
        <f t="array" ref="U74">INDEX(Subject!$A:$I,MATCH(RANDBETWEEN(1,16),Subject!$B:$B,0),3)</f>
        <v>#N/A</v>
      </c>
      <c r="V74" s="8" t="str">
        <f t="array" ref="V74">INDEX(Subject!$A:$I,MATCH(RANDBETWEEN(1,16),Subject!$B:$B,0),3)</f>
        <v>#N/A</v>
      </c>
      <c r="W74" s="8" t="str">
        <f t="array" ref="W74">INDEX(Subject!$A:$I,MATCH(RANDBETWEEN(1,16),Subject!$B:$B,0),3)</f>
        <v/>
      </c>
      <c r="X74" s="8" t="str">
        <f t="array" ref="X74">INDEX(Subject!$A:$I,MATCH(RANDBETWEEN(1,16),Subject!$B:$B,0),3)</f>
        <v>#N/A</v>
      </c>
      <c r="Y74" s="8" t="str">
        <f t="array" ref="Y74">INDEX(Subject!$A:$I,MATCH(RANDBETWEEN(1,16),Subject!$B:$B,0),3)</f>
        <v>#N/A</v>
      </c>
      <c r="Z74" s="8" t="str">
        <f t="array" ref="Z74">INDEX(Subject!$A:$I,MATCH(RANDBETWEEN(1,16),Subject!$B:$B,0),3)</f>
        <v>#N/A</v>
      </c>
      <c r="AA74" s="8" t="str">
        <f t="array" ref="AA74">INDEX(Subject!$A:$I,MATCH(RANDBETWEEN(1,16),Subject!$B:$B,0),3)</f>
        <v>#N/A</v>
      </c>
      <c r="AB74" s="8" t="str">
        <f t="array" ref="AB74">INDEX(Subject!$A:$I,MATCH(RANDBETWEEN(1,16),Subject!$B:$B,0),3)</f>
        <v>#N/A</v>
      </c>
      <c r="AC74" s="8" t="str">
        <f t="array" ref="AC74">INDEX(Subject!$A:$I,MATCH(RANDBETWEEN(1,16),Subject!$B:$B,0),3)</f>
        <v>#N/A</v>
      </c>
      <c r="AD74" s="8" t="str">
        <f t="array" ref="AD74">INDEX(Subject!$A:$I,MATCH(RANDBETWEEN(1,16),Subject!$B:$B,0),3)</f>
        <v>#N/A</v>
      </c>
      <c r="AE74" s="8" t="str">
        <f t="array" ref="AE74">INDEX(Subject!$A:$I,MATCH(RANDBETWEEN(1,16),Subject!$B:$B,0),3)</f>
        <v>#N/A</v>
      </c>
      <c r="AF74" s="8" t="str">
        <f t="array" ref="AF74">INDEX(Subject!$A:$I,MATCH(RANDBETWEEN(1,16),Subject!$B:$B,0),3)</f>
        <v>#N/A</v>
      </c>
      <c r="AG74" s="8" t="str">
        <f t="array" ref="AG74">INDEX(Subject!$A:$I,MATCH(RANDBETWEEN(1,16),Subject!$B:$B,0),3)</f>
        <v>#N/A</v>
      </c>
      <c r="AH74" s="8" t="str">
        <f t="array" ref="AH74">INDEX(Subject!$A:$I,MATCH(RANDBETWEEN(1,16),Subject!$B:$B,0),3)</f>
        <v>#N/A</v>
      </c>
      <c r="AI74" s="8" t="str">
        <f t="array" ref="AI74">INDEX(Subject!$A:$I,MATCH(RANDBETWEEN(1,16),Subject!$B:$B,0),3)</f>
        <v>#N/A</v>
      </c>
      <c r="AJ74" s="8" t="str">
        <f t="array" ref="AJ74">INDEX(Subject!$A:$I,MATCH(RANDBETWEEN(1,16),Subject!$B:$B,0),3)</f>
        <v>#N/A</v>
      </c>
      <c r="AK74" s="8" t="str">
        <f t="array" ref="AK74">INDEX(Subject!$A:$I,MATCH(RANDBETWEEN(1,16),Subject!$B:$B,0),3)</f>
        <v>#N/A</v>
      </c>
      <c r="AL74" s="8" t="str">
        <f t="array" ref="AL74">INDEX(Subject!$A:$I,MATCH(RANDBETWEEN(1,16),Subject!$B:$B,0),3)</f>
        <v>#N/A</v>
      </c>
      <c r="AM74" s="18">
        <f t="shared" si="4"/>
        <v>45574.33333</v>
      </c>
      <c r="AN74" s="19">
        <f t="shared" ref="AN74:BZ74" si="74">$A74+C$1</f>
        <v>45574.35417</v>
      </c>
      <c r="AO74" s="19">
        <f t="shared" si="74"/>
        <v>45574.375</v>
      </c>
      <c r="AP74" s="19">
        <f t="shared" si="74"/>
        <v>45574.39583</v>
      </c>
      <c r="AQ74" s="19">
        <f t="shared" si="74"/>
        <v>45574.41667</v>
      </c>
      <c r="AR74" s="19">
        <f t="shared" si="74"/>
        <v>45574.4375</v>
      </c>
      <c r="AS74" s="19">
        <f t="shared" si="74"/>
        <v>45574.45833</v>
      </c>
      <c r="AT74" s="19">
        <f t="shared" si="74"/>
        <v>45574.47917</v>
      </c>
      <c r="AU74" s="19">
        <f t="shared" si="74"/>
        <v>45574.5</v>
      </c>
      <c r="AV74" s="19">
        <f t="shared" si="74"/>
        <v>45574.52083</v>
      </c>
      <c r="AW74" s="19">
        <f t="shared" si="74"/>
        <v>45574.54167</v>
      </c>
      <c r="AX74" s="19">
        <f t="shared" si="74"/>
        <v>45574.5625</v>
      </c>
      <c r="AY74" s="19">
        <f t="shared" si="74"/>
        <v>45574.58333</v>
      </c>
      <c r="AZ74" s="19">
        <f t="shared" si="74"/>
        <v>45574.60417</v>
      </c>
      <c r="BA74" s="19">
        <f t="shared" si="74"/>
        <v>45574.625</v>
      </c>
      <c r="BB74" s="19">
        <f t="shared" si="74"/>
        <v>45574.64583</v>
      </c>
      <c r="BC74" s="19">
        <f t="shared" si="74"/>
        <v>45574.66667</v>
      </c>
      <c r="BD74" s="19">
        <f t="shared" si="74"/>
        <v>45574.6875</v>
      </c>
      <c r="BE74" s="19">
        <f t="shared" si="74"/>
        <v>45574.70833</v>
      </c>
      <c r="BF74" s="19">
        <f t="shared" si="74"/>
        <v>45574.72917</v>
      </c>
      <c r="BG74" s="19">
        <f t="shared" si="74"/>
        <v>45574.75</v>
      </c>
      <c r="BH74" s="19">
        <f t="shared" si="74"/>
        <v>45574.77083</v>
      </c>
      <c r="BI74" s="19">
        <f t="shared" si="74"/>
        <v>45574.79167</v>
      </c>
      <c r="BJ74" s="19">
        <f t="shared" si="74"/>
        <v>45574.8125</v>
      </c>
      <c r="BK74" s="19">
        <f t="shared" si="74"/>
        <v>45574.83333</v>
      </c>
      <c r="BL74" s="19">
        <f t="shared" si="74"/>
        <v>45574.85417</v>
      </c>
      <c r="BM74" s="19">
        <f t="shared" si="74"/>
        <v>45574.875</v>
      </c>
      <c r="BN74" s="19">
        <f t="shared" si="74"/>
        <v>45574.89583</v>
      </c>
      <c r="BO74" s="19">
        <f t="shared" si="74"/>
        <v>45574.91667</v>
      </c>
      <c r="BP74" s="19">
        <f t="shared" si="74"/>
        <v>45574.9375</v>
      </c>
      <c r="BQ74" s="19">
        <f t="shared" si="74"/>
        <v>45574.95833</v>
      </c>
      <c r="BR74" s="19">
        <f t="shared" si="74"/>
        <v>45574.97917</v>
      </c>
      <c r="BS74" s="19">
        <f t="shared" si="74"/>
        <v>45575</v>
      </c>
      <c r="BT74" s="19">
        <f t="shared" si="74"/>
        <v>45575.02083</v>
      </c>
      <c r="BU74" s="19">
        <f t="shared" si="74"/>
        <v>45575.04167</v>
      </c>
      <c r="BV74" s="19">
        <f t="shared" si="74"/>
        <v>45575.0625</v>
      </c>
      <c r="BW74" s="19">
        <f t="shared" si="74"/>
        <v>45575.08333</v>
      </c>
      <c r="BX74" s="19">
        <f t="shared" si="74"/>
        <v>45574</v>
      </c>
      <c r="BY74" s="19">
        <f t="shared" si="74"/>
        <v>45574</v>
      </c>
      <c r="BZ74" s="19">
        <f t="shared" si="74"/>
        <v>45574</v>
      </c>
    </row>
    <row r="75" ht="14.25" customHeight="1">
      <c r="A75" s="17">
        <v>45575.0</v>
      </c>
      <c r="B75" s="2" t="str">
        <f t="array" ref="B75">IF(NOW()&gt;AM75,"",IF(AND((WEEKDAY($A75)+$B$2)&gt;1,((WEEKDAY($A75)+$T$2)&lt;7),(WEEKDAY($A75)&lt;&gt;1)),"work",(INDEX(Subject!$A:$I,MATCH(RANDBETWEEN(1,(MAX(Subject!$B:$B))),Subject!$B:$B,0),3))))</f>
        <v/>
      </c>
      <c r="C75" s="2" t="str">
        <f t="array" ref="C75">IF(NOW()&gt;AN75,"",IF(AND((WEEKDAY($A75)+$B$2)&gt;1,((WEEKDAY($A75)+$T$2)&lt;7),(WEEKDAY($A75)&lt;&gt;1)),"work",(INDEX(Subject!$A:$I,MATCH(RANDBETWEEN(1,(MAX(Subject!$B:$B))),Subject!$B:$B,0),3))))</f>
        <v/>
      </c>
      <c r="D75" s="2" t="str">
        <f t="array" ref="D75">IF(NOW()&gt;AO75,"",IF(AND((WEEKDAY($A75)+$B$2)&gt;1,((WEEKDAY($A75)+$T$2)&lt;7),(WEEKDAY($A75)&lt;&gt;1)),"work",(INDEX(Subject!$A:$I,MATCH(RANDBETWEEN(1,(MAX(Subject!$B:$B))),Subject!$B:$B,0),3))))</f>
        <v/>
      </c>
      <c r="E75" s="2" t="str">
        <f t="array" ref="E75">IF(NOW()&gt;AP75,"",IF(AND((WEEKDAY($A75)+$B$2)&gt;1,((WEEKDAY($A75)+$T$2)&lt;7),(WEEKDAY($A75)&lt;&gt;1)),"work",(INDEX(Subject!$A:$I,MATCH(RANDBETWEEN(1,(MAX(Subject!$B:$B))),Subject!$B:$B,0),3))))</f>
        <v/>
      </c>
      <c r="F75" s="2" t="str">
        <f t="array" ref="F75">IF(NOW()&gt;AQ75,"",IF(AND((WEEKDAY($A75)+$B$2)&gt;1,((WEEKDAY($A75)+$T$2)&lt;7),(WEEKDAY($A75)&lt;&gt;1)),"work",(INDEX(Subject!$A:$I,MATCH(RANDBETWEEN(1,(MAX(Subject!$B:$B))),Subject!$B:$B,0),3))))</f>
        <v/>
      </c>
      <c r="G75" s="2" t="str">
        <f t="array" ref="G75">IF(NOW()&gt;AR75,"",IF(AND((WEEKDAY($A75)+$B$2)&gt;1,((WEEKDAY($A75)+$T$2)&lt;7),(WEEKDAY($A75)&lt;&gt;1)),"work",(INDEX(Subject!$A:$I,MATCH(RANDBETWEEN(1,(MAX(Subject!$B:$B))),Subject!$B:$B,0),3))))</f>
        <v/>
      </c>
      <c r="H75" s="2" t="str">
        <f t="array" ref="H75">IF(NOW()&gt;AS75,"",IF(AND((WEEKDAY($A75)+$B$2)&gt;1,((WEEKDAY($A75)+$T$2)&lt;7),(WEEKDAY($A75)&lt;&gt;1)),"work",(INDEX(Subject!$A:$I,MATCH(RANDBETWEEN(1,(MAX(Subject!$B:$B))),Subject!$B:$B,0),3))))</f>
        <v/>
      </c>
      <c r="I75" s="2" t="str">
        <f t="array" ref="I75">IF(NOW()&gt;AT75,"",IF(AND((WEEKDAY($A75)+$B$2)&gt;1,((WEEKDAY($A75)+$T$2)&lt;7),(WEEKDAY($A75)&lt;&gt;1)),"work",(INDEX(Subject!$A:$I,MATCH(RANDBETWEEN(1,(MAX(Subject!$B:$B))),Subject!$B:$B,0),3))))</f>
        <v/>
      </c>
      <c r="J75" s="2" t="str">
        <f t="array" ref="J75">IF(NOW()&gt;AU75,"",IF(AND((WEEKDAY($A75)+$B$2)&gt;1,((WEEKDAY($A75)+$T$2)&lt;7),(WEEKDAY($A75)&lt;&gt;1)),"work",(INDEX(Subject!$A:$I,MATCH(RANDBETWEEN(1,(MAX(Subject!$B:$B))),Subject!$B:$B,0),3))))</f>
        <v/>
      </c>
      <c r="K75" s="2" t="str">
        <f t="array" ref="K75">IF(NOW()&gt;AV75,"",IF(AND((WEEKDAY($A75)+$B$2)&gt;1,((WEEKDAY($A75)+$T$2)&lt;7),(WEEKDAY($A75)&lt;&gt;1)),"work",(INDEX(Subject!$A:$I,MATCH(RANDBETWEEN(1,(MAX(Subject!$B:$B))),Subject!$B:$B,0),3))))</f>
        <v/>
      </c>
      <c r="L75" s="2" t="str">
        <f t="array" ref="L75">IF(NOW()&gt;AW75,"",IF(AND((WEEKDAY($A75)+$B$2)&gt;1,((WEEKDAY($A75)+$T$2)&lt;7),(WEEKDAY($A75)&lt;&gt;1)),"work",(INDEX(Subject!$A:$I,MATCH(RANDBETWEEN(1,(MAX(Subject!$B:$B))),Subject!$B:$B,0),3))))</f>
        <v/>
      </c>
      <c r="M75" s="2" t="str">
        <f t="array" ref="M75">IF(NOW()&gt;AX75,"",IF(AND((WEEKDAY($A75)+$B$2)&gt;1,((WEEKDAY($A75)+$T$2)&lt;7),(WEEKDAY($A75)&lt;&gt;1)),"work",(INDEX(Subject!$A:$I,MATCH(RANDBETWEEN(1,(MAX(Subject!$B:$B))),Subject!$B:$B,0),3))))</f>
        <v/>
      </c>
      <c r="N75" s="2" t="str">
        <f t="array" ref="N75">IF(NOW()&gt;AY75,"",IF(AND((WEEKDAY($A75)+$B$2)&gt;1,((WEEKDAY($A75)+$T$2)&lt;7),(WEEKDAY($A75)&lt;&gt;1)),"work",(INDEX(Subject!$A:$I,MATCH(RANDBETWEEN(1,(MAX(Subject!$B:$B))),Subject!$B:$B,0),3))))</f>
        <v/>
      </c>
      <c r="O75" s="2" t="str">
        <f t="array" ref="O75">IF(NOW()&gt;AZ75,"",IF(AND((WEEKDAY($A75)+$B$2)&gt;1,((WEEKDAY($A75)+$T$2)&lt;7),(WEEKDAY($A75)&lt;&gt;1)),"work",(INDEX(Subject!$A:$I,MATCH(RANDBETWEEN(1,(MAX(Subject!$B:$B))),Subject!$B:$B,0),3))))</f>
        <v/>
      </c>
      <c r="P75" s="2" t="str">
        <f t="array" ref="P75">IF(NOW()&gt;BA75,"",IF(AND((WEEKDAY($A75)+$B$2)&gt;1,((WEEKDAY($A75)+$T$2)&lt;7),(WEEKDAY($A75)&lt;&gt;1)),"work",(INDEX(Subject!$A:$I,MATCH(RANDBETWEEN(1,(MAX(Subject!$B:$B))),Subject!$B:$B,0),3))))</f>
        <v/>
      </c>
      <c r="Q75" s="2" t="str">
        <f t="array" ref="Q75">IF(NOW()&gt;BB75,"",IF(AND((WEEKDAY($A75)+$B$2)&gt;1,((WEEKDAY($A75)+$T$2)&lt;7),(WEEKDAY($A75)&lt;&gt;1)),"work",(INDEX(Subject!$A:$I,MATCH(RANDBETWEEN(1,(MAX(Subject!$B:$B))),Subject!$B:$B,0),3))))</f>
        <v/>
      </c>
      <c r="R75" s="2" t="str">
        <f t="array" ref="R75">IF(NOW()&gt;BC75,"",IF(AND((WEEKDAY($A75)+$B$2)&gt;1,((WEEKDAY($A75)+$T$2)&lt;7),(WEEKDAY($A75)&lt;&gt;1)),"work",(INDEX(Subject!$A:$I,MATCH(RANDBETWEEN(1,(MAX(Subject!$B:$B))),Subject!$B:$B,0),3))))</f>
        <v/>
      </c>
      <c r="S75" s="2" t="str">
        <f t="array" ref="S75">IF(NOW()&gt;BD75,"",IF(AND((WEEKDAY($A75)+$B$2)&gt;1,((WEEKDAY($A75)+$T$2)&lt;7),(WEEKDAY($A75)&lt;&gt;1)),"work",(INDEX(Subject!$A:$I,MATCH(RANDBETWEEN(1,(MAX(Subject!$B:$B))),Subject!$B:$B,0),3))))</f>
        <v/>
      </c>
      <c r="T75" s="2" t="str">
        <f t="array" ref="T75">IF(NOW()&gt;BE75,"",IF(AND((WEEKDAY($A75)+$B$2)&gt;1,((WEEKDAY($A75)+$T$2)&lt;7),(WEEKDAY($A75)&lt;&gt;1)),"work",(INDEX(Subject!$A:$I,MATCH(RANDBETWEEN(1,(MAX(Subject!$B:$B))),Subject!$B:$B,0),3))))</f>
        <v/>
      </c>
      <c r="U75" s="8" t="str">
        <f t="array" ref="U75">INDEX(Subject!$A:$I,MATCH(RANDBETWEEN(1,16),Subject!$B:$B,0),3)</f>
        <v>#N/A</v>
      </c>
      <c r="V75" s="8" t="str">
        <f t="array" ref="V75">INDEX(Subject!$A:$I,MATCH(RANDBETWEEN(1,16),Subject!$B:$B,0),3)</f>
        <v>#N/A</v>
      </c>
      <c r="W75" s="8" t="str">
        <f t="array" ref="W75">INDEX(Subject!$A:$I,MATCH(RANDBETWEEN(1,16),Subject!$B:$B,0),3)</f>
        <v>#N/A</v>
      </c>
      <c r="X75" s="8" t="str">
        <f t="array" ref="X75">INDEX(Subject!$A:$I,MATCH(RANDBETWEEN(1,16),Subject!$B:$B,0),3)</f>
        <v>#N/A</v>
      </c>
      <c r="Y75" s="8" t="str">
        <f t="array" ref="Y75">INDEX(Subject!$A:$I,MATCH(RANDBETWEEN(1,16),Subject!$B:$B,0),3)</f>
        <v>#N/A</v>
      </c>
      <c r="Z75" s="8" t="str">
        <f t="array" ref="Z75">INDEX(Subject!$A:$I,MATCH(RANDBETWEEN(1,16),Subject!$B:$B,0),3)</f>
        <v>#N/A</v>
      </c>
      <c r="AA75" s="8" t="str">
        <f t="array" ref="AA75">INDEX(Subject!$A:$I,MATCH(RANDBETWEEN(1,16),Subject!$B:$B,0),3)</f>
        <v>#N/A</v>
      </c>
      <c r="AB75" s="8" t="str">
        <f t="array" ref="AB75">INDEX(Subject!$A:$I,MATCH(RANDBETWEEN(1,16),Subject!$B:$B,0),3)</f>
        <v>#N/A</v>
      </c>
      <c r="AC75" s="8" t="str">
        <f t="array" ref="AC75">INDEX(Subject!$A:$I,MATCH(RANDBETWEEN(1,16),Subject!$B:$B,0),3)</f>
        <v>#N/A</v>
      </c>
      <c r="AD75" s="8" t="str">
        <f t="array" ref="AD75">INDEX(Subject!$A:$I,MATCH(RANDBETWEEN(1,16),Subject!$B:$B,0),3)</f>
        <v>#N/A</v>
      </c>
      <c r="AE75" s="8" t="str">
        <f t="array" ref="AE75">INDEX(Subject!$A:$I,MATCH(RANDBETWEEN(1,16),Subject!$B:$B,0),3)</f>
        <v>#N/A</v>
      </c>
      <c r="AF75" s="8" t="str">
        <f t="array" ref="AF75">INDEX(Subject!$A:$I,MATCH(RANDBETWEEN(1,16),Subject!$B:$B,0),3)</f>
        <v>#N/A</v>
      </c>
      <c r="AG75" s="8" t="str">
        <f t="array" ref="AG75">INDEX(Subject!$A:$I,MATCH(RANDBETWEEN(1,16),Subject!$B:$B,0),3)</f>
        <v>#N/A</v>
      </c>
      <c r="AH75" s="8" t="str">
        <f t="array" ref="AH75">INDEX(Subject!$A:$I,MATCH(RANDBETWEEN(1,16),Subject!$B:$B,0),3)</f>
        <v>#N/A</v>
      </c>
      <c r="AI75" s="8" t="str">
        <f t="array" ref="AI75">INDEX(Subject!$A:$I,MATCH(RANDBETWEEN(1,16),Subject!$B:$B,0),3)</f>
        <v>#N/A</v>
      </c>
      <c r="AJ75" s="8" t="str">
        <f t="array" ref="AJ75">INDEX(Subject!$A:$I,MATCH(RANDBETWEEN(1,16),Subject!$B:$B,0),3)</f>
        <v>#N/A</v>
      </c>
      <c r="AK75" s="8" t="str">
        <f t="array" ref="AK75">INDEX(Subject!$A:$I,MATCH(RANDBETWEEN(1,16),Subject!$B:$B,0),3)</f>
        <v>#N/A</v>
      </c>
      <c r="AL75" s="8" t="str">
        <f t="array" ref="AL75">INDEX(Subject!$A:$I,MATCH(RANDBETWEEN(1,16),Subject!$B:$B,0),3)</f>
        <v>#N/A</v>
      </c>
      <c r="AM75" s="18">
        <f t="shared" si="4"/>
        <v>45575.33333</v>
      </c>
      <c r="AN75" s="19">
        <f t="shared" ref="AN75:BZ75" si="75">$A75+C$1</f>
        <v>45575.35417</v>
      </c>
      <c r="AO75" s="19">
        <f t="shared" si="75"/>
        <v>45575.375</v>
      </c>
      <c r="AP75" s="19">
        <f t="shared" si="75"/>
        <v>45575.39583</v>
      </c>
      <c r="AQ75" s="19">
        <f t="shared" si="75"/>
        <v>45575.41667</v>
      </c>
      <c r="AR75" s="19">
        <f t="shared" si="75"/>
        <v>45575.4375</v>
      </c>
      <c r="AS75" s="19">
        <f t="shared" si="75"/>
        <v>45575.45833</v>
      </c>
      <c r="AT75" s="19">
        <f t="shared" si="75"/>
        <v>45575.47917</v>
      </c>
      <c r="AU75" s="19">
        <f t="shared" si="75"/>
        <v>45575.5</v>
      </c>
      <c r="AV75" s="19">
        <f t="shared" si="75"/>
        <v>45575.52083</v>
      </c>
      <c r="AW75" s="19">
        <f t="shared" si="75"/>
        <v>45575.54167</v>
      </c>
      <c r="AX75" s="19">
        <f t="shared" si="75"/>
        <v>45575.5625</v>
      </c>
      <c r="AY75" s="19">
        <f t="shared" si="75"/>
        <v>45575.58333</v>
      </c>
      <c r="AZ75" s="19">
        <f t="shared" si="75"/>
        <v>45575.60417</v>
      </c>
      <c r="BA75" s="19">
        <f t="shared" si="75"/>
        <v>45575.625</v>
      </c>
      <c r="BB75" s="19">
        <f t="shared" si="75"/>
        <v>45575.64583</v>
      </c>
      <c r="BC75" s="19">
        <f t="shared" si="75"/>
        <v>45575.66667</v>
      </c>
      <c r="BD75" s="19">
        <f t="shared" si="75"/>
        <v>45575.6875</v>
      </c>
      <c r="BE75" s="19">
        <f t="shared" si="75"/>
        <v>45575.70833</v>
      </c>
      <c r="BF75" s="19">
        <f t="shared" si="75"/>
        <v>45575.72917</v>
      </c>
      <c r="BG75" s="19">
        <f t="shared" si="75"/>
        <v>45575.75</v>
      </c>
      <c r="BH75" s="19">
        <f t="shared" si="75"/>
        <v>45575.77083</v>
      </c>
      <c r="BI75" s="19">
        <f t="shared" si="75"/>
        <v>45575.79167</v>
      </c>
      <c r="BJ75" s="19">
        <f t="shared" si="75"/>
        <v>45575.8125</v>
      </c>
      <c r="BK75" s="19">
        <f t="shared" si="75"/>
        <v>45575.83333</v>
      </c>
      <c r="BL75" s="19">
        <f t="shared" si="75"/>
        <v>45575.85417</v>
      </c>
      <c r="BM75" s="19">
        <f t="shared" si="75"/>
        <v>45575.875</v>
      </c>
      <c r="BN75" s="19">
        <f t="shared" si="75"/>
        <v>45575.89583</v>
      </c>
      <c r="BO75" s="19">
        <f t="shared" si="75"/>
        <v>45575.91667</v>
      </c>
      <c r="BP75" s="19">
        <f t="shared" si="75"/>
        <v>45575.9375</v>
      </c>
      <c r="BQ75" s="19">
        <f t="shared" si="75"/>
        <v>45575.95833</v>
      </c>
      <c r="BR75" s="19">
        <f t="shared" si="75"/>
        <v>45575.97917</v>
      </c>
      <c r="BS75" s="19">
        <f t="shared" si="75"/>
        <v>45576</v>
      </c>
      <c r="BT75" s="19">
        <f t="shared" si="75"/>
        <v>45576.02083</v>
      </c>
      <c r="BU75" s="19">
        <f t="shared" si="75"/>
        <v>45576.04167</v>
      </c>
      <c r="BV75" s="19">
        <f t="shared" si="75"/>
        <v>45576.0625</v>
      </c>
      <c r="BW75" s="19">
        <f t="shared" si="75"/>
        <v>45576.08333</v>
      </c>
      <c r="BX75" s="19">
        <f t="shared" si="75"/>
        <v>45575</v>
      </c>
      <c r="BY75" s="19">
        <f t="shared" si="75"/>
        <v>45575</v>
      </c>
      <c r="BZ75" s="19">
        <f t="shared" si="75"/>
        <v>45575</v>
      </c>
    </row>
    <row r="76" ht="14.25" customHeight="1">
      <c r="A76" s="17">
        <v>45576.0</v>
      </c>
      <c r="B76" s="2" t="str">
        <f t="array" ref="B76">IF(NOW()&gt;AM76,"",IF(AND((WEEKDAY($A76)+$B$2)&gt;1,((WEEKDAY($A76)+$T$2)&lt;7),(WEEKDAY($A76)&lt;&gt;1)),"work",(INDEX(Subject!$A:$I,MATCH(RANDBETWEEN(1,(MAX(Subject!$B:$B))),Subject!$B:$B,0),3))))</f>
        <v/>
      </c>
      <c r="C76" s="2" t="str">
        <f t="array" ref="C76">IF(NOW()&gt;AN76,"",IF(AND((WEEKDAY($A76)+$B$2)&gt;1,((WEEKDAY($A76)+$T$2)&lt;7),(WEEKDAY($A76)&lt;&gt;1)),"work",(INDEX(Subject!$A:$I,MATCH(RANDBETWEEN(1,(MAX(Subject!$B:$B))),Subject!$B:$B,0),3))))</f>
        <v/>
      </c>
      <c r="D76" s="2" t="str">
        <f t="array" ref="D76">IF(NOW()&gt;AO76,"",IF(AND((WEEKDAY($A76)+$B$2)&gt;1,((WEEKDAY($A76)+$T$2)&lt;7),(WEEKDAY($A76)&lt;&gt;1)),"work",(INDEX(Subject!$A:$I,MATCH(RANDBETWEEN(1,(MAX(Subject!$B:$B))),Subject!$B:$B,0),3))))</f>
        <v/>
      </c>
      <c r="E76" s="2" t="str">
        <f t="array" ref="E76">IF(NOW()&gt;AP76,"",IF(AND((WEEKDAY($A76)+$B$2)&gt;1,((WEEKDAY($A76)+$T$2)&lt;7),(WEEKDAY($A76)&lt;&gt;1)),"work",(INDEX(Subject!$A:$I,MATCH(RANDBETWEEN(1,(MAX(Subject!$B:$B))),Subject!$B:$B,0),3))))</f>
        <v/>
      </c>
      <c r="F76" s="2" t="str">
        <f t="array" ref="F76">IF(NOW()&gt;AQ76,"",IF(AND((WEEKDAY($A76)+$B$2)&gt;1,((WEEKDAY($A76)+$T$2)&lt;7),(WEEKDAY($A76)&lt;&gt;1)),"work",(INDEX(Subject!$A:$I,MATCH(RANDBETWEEN(1,(MAX(Subject!$B:$B))),Subject!$B:$B,0),3))))</f>
        <v/>
      </c>
      <c r="G76" s="2" t="str">
        <f t="array" ref="G76">IF(NOW()&gt;AR76,"",IF(AND((WEEKDAY($A76)+$B$2)&gt;1,((WEEKDAY($A76)+$T$2)&lt;7),(WEEKDAY($A76)&lt;&gt;1)),"work",(INDEX(Subject!$A:$I,MATCH(RANDBETWEEN(1,(MAX(Subject!$B:$B))),Subject!$B:$B,0),3))))</f>
        <v/>
      </c>
      <c r="H76" s="2" t="str">
        <f t="array" ref="H76">IF(NOW()&gt;AS76,"",IF(AND((WEEKDAY($A76)+$B$2)&gt;1,((WEEKDAY($A76)+$T$2)&lt;7),(WEEKDAY($A76)&lt;&gt;1)),"work",(INDEX(Subject!$A:$I,MATCH(RANDBETWEEN(1,(MAX(Subject!$B:$B))),Subject!$B:$B,0),3))))</f>
        <v/>
      </c>
      <c r="I76" s="2" t="str">
        <f t="array" ref="I76">IF(NOW()&gt;AT76,"",IF(AND((WEEKDAY($A76)+$B$2)&gt;1,((WEEKDAY($A76)+$T$2)&lt;7),(WEEKDAY($A76)&lt;&gt;1)),"work",(INDEX(Subject!$A:$I,MATCH(RANDBETWEEN(1,(MAX(Subject!$B:$B))),Subject!$B:$B,0),3))))</f>
        <v/>
      </c>
      <c r="J76" s="2" t="str">
        <f t="array" ref="J76">IF(NOW()&gt;AU76,"",IF(AND((WEEKDAY($A76)+$B$2)&gt;1,((WEEKDAY($A76)+$T$2)&lt;7),(WEEKDAY($A76)&lt;&gt;1)),"work",(INDEX(Subject!$A:$I,MATCH(RANDBETWEEN(1,(MAX(Subject!$B:$B))),Subject!$B:$B,0),3))))</f>
        <v/>
      </c>
      <c r="K76" s="2" t="str">
        <f t="array" ref="K76">IF(NOW()&gt;AV76,"",IF(AND((WEEKDAY($A76)+$B$2)&gt;1,((WEEKDAY($A76)+$T$2)&lt;7),(WEEKDAY($A76)&lt;&gt;1)),"work",(INDEX(Subject!$A:$I,MATCH(RANDBETWEEN(1,(MAX(Subject!$B:$B))),Subject!$B:$B,0),3))))</f>
        <v/>
      </c>
      <c r="L76" s="2" t="str">
        <f t="array" ref="L76">IF(NOW()&gt;AW76,"",IF(AND((WEEKDAY($A76)+$B$2)&gt;1,((WEEKDAY($A76)+$T$2)&lt;7),(WEEKDAY($A76)&lt;&gt;1)),"work",(INDEX(Subject!$A:$I,MATCH(RANDBETWEEN(1,(MAX(Subject!$B:$B))),Subject!$B:$B,0),3))))</f>
        <v/>
      </c>
      <c r="M76" s="2" t="str">
        <f t="array" ref="M76">IF(NOW()&gt;AX76,"",IF(AND((WEEKDAY($A76)+$B$2)&gt;1,((WEEKDAY($A76)+$T$2)&lt;7),(WEEKDAY($A76)&lt;&gt;1)),"work",(INDEX(Subject!$A:$I,MATCH(RANDBETWEEN(1,(MAX(Subject!$B:$B))),Subject!$B:$B,0),3))))</f>
        <v/>
      </c>
      <c r="N76" s="2" t="str">
        <f t="array" ref="N76">IF(NOW()&gt;AY76,"",IF(AND((WEEKDAY($A76)+$B$2)&gt;1,((WEEKDAY($A76)+$T$2)&lt;7),(WEEKDAY($A76)&lt;&gt;1)),"work",(INDEX(Subject!$A:$I,MATCH(RANDBETWEEN(1,(MAX(Subject!$B:$B))),Subject!$B:$B,0),3))))</f>
        <v/>
      </c>
      <c r="O76" s="2" t="str">
        <f t="array" ref="O76">IF(NOW()&gt;AZ76,"",IF(AND((WEEKDAY($A76)+$B$2)&gt;1,((WEEKDAY($A76)+$T$2)&lt;7),(WEEKDAY($A76)&lt;&gt;1)),"work",(INDEX(Subject!$A:$I,MATCH(RANDBETWEEN(1,(MAX(Subject!$B:$B))),Subject!$B:$B,0),3))))</f>
        <v/>
      </c>
      <c r="P76" s="2" t="str">
        <f t="array" ref="P76">IF(NOW()&gt;BA76,"",IF(AND((WEEKDAY($A76)+$B$2)&gt;1,((WEEKDAY($A76)+$T$2)&lt;7),(WEEKDAY($A76)&lt;&gt;1)),"work",(INDEX(Subject!$A:$I,MATCH(RANDBETWEEN(1,(MAX(Subject!$B:$B))),Subject!$B:$B,0),3))))</f>
        <v/>
      </c>
      <c r="Q76" s="2" t="str">
        <f t="array" ref="Q76">IF(NOW()&gt;BB76,"",IF(AND((WEEKDAY($A76)+$B$2)&gt;1,((WEEKDAY($A76)+$T$2)&lt;7),(WEEKDAY($A76)&lt;&gt;1)),"work",(INDEX(Subject!$A:$I,MATCH(RANDBETWEEN(1,(MAX(Subject!$B:$B))),Subject!$B:$B,0),3))))</f>
        <v/>
      </c>
      <c r="R76" s="2" t="str">
        <f t="array" ref="R76">IF(NOW()&gt;BC76,"",IF(AND((WEEKDAY($A76)+$B$2)&gt;1,((WEEKDAY($A76)+$T$2)&lt;7),(WEEKDAY($A76)&lt;&gt;1)),"work",(INDEX(Subject!$A:$I,MATCH(RANDBETWEEN(1,(MAX(Subject!$B:$B))),Subject!$B:$B,0),3))))</f>
        <v/>
      </c>
      <c r="S76" s="2" t="str">
        <f t="array" ref="S76">IF(NOW()&gt;BD76,"",IF(AND((WEEKDAY($A76)+$B$2)&gt;1,((WEEKDAY($A76)+$T$2)&lt;7),(WEEKDAY($A76)&lt;&gt;1)),"work",(INDEX(Subject!$A:$I,MATCH(RANDBETWEEN(1,(MAX(Subject!$B:$B))),Subject!$B:$B,0),3))))</f>
        <v/>
      </c>
      <c r="T76" s="2" t="str">
        <f t="array" ref="T76">IF(NOW()&gt;BE76,"",IF(AND((WEEKDAY($A76)+$B$2)&gt;1,((WEEKDAY($A76)+$T$2)&lt;7),(WEEKDAY($A76)&lt;&gt;1)),"work",(INDEX(Subject!$A:$I,MATCH(RANDBETWEEN(1,(MAX(Subject!$B:$B))),Subject!$B:$B,0),3))))</f>
        <v/>
      </c>
      <c r="U76" s="8" t="str">
        <f t="array" ref="U76">INDEX(Subject!$A:$I,MATCH(RANDBETWEEN(1,16),Subject!$B:$B,0),3)</f>
        <v>#N/A</v>
      </c>
      <c r="V76" s="8" t="str">
        <f t="array" ref="V76">INDEX(Subject!$A:$I,MATCH(RANDBETWEEN(1,16),Subject!$B:$B,0),3)</f>
        <v>#N/A</v>
      </c>
      <c r="W76" s="8" t="str">
        <f t="array" ref="W76">INDEX(Subject!$A:$I,MATCH(RANDBETWEEN(1,16),Subject!$B:$B,0),3)</f>
        <v>#N/A</v>
      </c>
      <c r="X76" s="8" t="str">
        <f t="array" ref="X76">INDEX(Subject!$A:$I,MATCH(RANDBETWEEN(1,16),Subject!$B:$B,0),3)</f>
        <v/>
      </c>
      <c r="Y76" s="8" t="str">
        <f t="array" ref="Y76">INDEX(Subject!$A:$I,MATCH(RANDBETWEEN(1,16),Subject!$B:$B,0),3)</f>
        <v>#N/A</v>
      </c>
      <c r="Z76" s="8" t="str">
        <f t="array" ref="Z76">INDEX(Subject!$A:$I,MATCH(RANDBETWEEN(1,16),Subject!$B:$B,0),3)</f>
        <v>#N/A</v>
      </c>
      <c r="AA76" s="8" t="str">
        <f t="array" ref="AA76">INDEX(Subject!$A:$I,MATCH(RANDBETWEEN(1,16),Subject!$B:$B,0),3)</f>
        <v>#N/A</v>
      </c>
      <c r="AB76" s="8" t="str">
        <f t="array" ref="AB76">INDEX(Subject!$A:$I,MATCH(RANDBETWEEN(1,16),Subject!$B:$B,0),3)</f>
        <v>#N/A</v>
      </c>
      <c r="AC76" s="8" t="str">
        <f t="array" ref="AC76">INDEX(Subject!$A:$I,MATCH(RANDBETWEEN(1,16),Subject!$B:$B,0),3)</f>
        <v>#N/A</v>
      </c>
      <c r="AD76" s="8" t="str">
        <f t="array" ref="AD76">INDEX(Subject!$A:$I,MATCH(RANDBETWEEN(1,16),Subject!$B:$B,0),3)</f>
        <v>#N/A</v>
      </c>
      <c r="AE76" s="8" t="str">
        <f t="array" ref="AE76">INDEX(Subject!$A:$I,MATCH(RANDBETWEEN(1,16),Subject!$B:$B,0),3)</f>
        <v>#N/A</v>
      </c>
      <c r="AF76" s="8" t="str">
        <f t="array" ref="AF76">INDEX(Subject!$A:$I,MATCH(RANDBETWEEN(1,16),Subject!$B:$B,0),3)</f>
        <v>#N/A</v>
      </c>
      <c r="AG76" s="8" t="str">
        <f t="array" ref="AG76">INDEX(Subject!$A:$I,MATCH(RANDBETWEEN(1,16),Subject!$B:$B,0),3)</f>
        <v>#N/A</v>
      </c>
      <c r="AH76" s="8" t="str">
        <f t="array" ref="AH76">INDEX(Subject!$A:$I,MATCH(RANDBETWEEN(1,16),Subject!$B:$B,0),3)</f>
        <v>#N/A</v>
      </c>
      <c r="AI76" s="8" t="str">
        <f t="array" ref="AI76">INDEX(Subject!$A:$I,MATCH(RANDBETWEEN(1,16),Subject!$B:$B,0),3)</f>
        <v>#N/A</v>
      </c>
      <c r="AJ76" s="8" t="str">
        <f t="array" ref="AJ76">INDEX(Subject!$A:$I,MATCH(RANDBETWEEN(1,16),Subject!$B:$B,0),3)</f>
        <v>#N/A</v>
      </c>
      <c r="AK76" s="8" t="str">
        <f t="array" ref="AK76">INDEX(Subject!$A:$I,MATCH(RANDBETWEEN(1,16),Subject!$B:$B,0),3)</f>
        <v>#N/A</v>
      </c>
      <c r="AL76" s="8" t="str">
        <f t="array" ref="AL76">INDEX(Subject!$A:$I,MATCH(RANDBETWEEN(1,16),Subject!$B:$B,0),3)</f>
        <v>#N/A</v>
      </c>
      <c r="AM76" s="18">
        <f t="shared" si="4"/>
        <v>45576.33333</v>
      </c>
      <c r="AN76" s="19">
        <f t="shared" ref="AN76:BZ76" si="76">$A76+C$1</f>
        <v>45576.35417</v>
      </c>
      <c r="AO76" s="19">
        <f t="shared" si="76"/>
        <v>45576.375</v>
      </c>
      <c r="AP76" s="19">
        <f t="shared" si="76"/>
        <v>45576.39583</v>
      </c>
      <c r="AQ76" s="19">
        <f t="shared" si="76"/>
        <v>45576.41667</v>
      </c>
      <c r="AR76" s="19">
        <f t="shared" si="76"/>
        <v>45576.4375</v>
      </c>
      <c r="AS76" s="19">
        <f t="shared" si="76"/>
        <v>45576.45833</v>
      </c>
      <c r="AT76" s="19">
        <f t="shared" si="76"/>
        <v>45576.47917</v>
      </c>
      <c r="AU76" s="19">
        <f t="shared" si="76"/>
        <v>45576.5</v>
      </c>
      <c r="AV76" s="19">
        <f t="shared" si="76"/>
        <v>45576.52083</v>
      </c>
      <c r="AW76" s="19">
        <f t="shared" si="76"/>
        <v>45576.54167</v>
      </c>
      <c r="AX76" s="19">
        <f t="shared" si="76"/>
        <v>45576.5625</v>
      </c>
      <c r="AY76" s="19">
        <f t="shared" si="76"/>
        <v>45576.58333</v>
      </c>
      <c r="AZ76" s="19">
        <f t="shared" si="76"/>
        <v>45576.60417</v>
      </c>
      <c r="BA76" s="19">
        <f t="shared" si="76"/>
        <v>45576.625</v>
      </c>
      <c r="BB76" s="19">
        <f t="shared" si="76"/>
        <v>45576.64583</v>
      </c>
      <c r="BC76" s="19">
        <f t="shared" si="76"/>
        <v>45576.66667</v>
      </c>
      <c r="BD76" s="19">
        <f t="shared" si="76"/>
        <v>45576.6875</v>
      </c>
      <c r="BE76" s="19">
        <f t="shared" si="76"/>
        <v>45576.70833</v>
      </c>
      <c r="BF76" s="19">
        <f t="shared" si="76"/>
        <v>45576.72917</v>
      </c>
      <c r="BG76" s="19">
        <f t="shared" si="76"/>
        <v>45576.75</v>
      </c>
      <c r="BH76" s="19">
        <f t="shared" si="76"/>
        <v>45576.77083</v>
      </c>
      <c r="BI76" s="19">
        <f t="shared" si="76"/>
        <v>45576.79167</v>
      </c>
      <c r="BJ76" s="19">
        <f t="shared" si="76"/>
        <v>45576.8125</v>
      </c>
      <c r="BK76" s="19">
        <f t="shared" si="76"/>
        <v>45576.83333</v>
      </c>
      <c r="BL76" s="19">
        <f t="shared" si="76"/>
        <v>45576.85417</v>
      </c>
      <c r="BM76" s="19">
        <f t="shared" si="76"/>
        <v>45576.875</v>
      </c>
      <c r="BN76" s="19">
        <f t="shared" si="76"/>
        <v>45576.89583</v>
      </c>
      <c r="BO76" s="19">
        <f t="shared" si="76"/>
        <v>45576.91667</v>
      </c>
      <c r="BP76" s="19">
        <f t="shared" si="76"/>
        <v>45576.9375</v>
      </c>
      <c r="BQ76" s="19">
        <f t="shared" si="76"/>
        <v>45576.95833</v>
      </c>
      <c r="BR76" s="19">
        <f t="shared" si="76"/>
        <v>45576.97917</v>
      </c>
      <c r="BS76" s="19">
        <f t="shared" si="76"/>
        <v>45577</v>
      </c>
      <c r="BT76" s="19">
        <f t="shared" si="76"/>
        <v>45577.02083</v>
      </c>
      <c r="BU76" s="19">
        <f t="shared" si="76"/>
        <v>45577.04167</v>
      </c>
      <c r="BV76" s="19">
        <f t="shared" si="76"/>
        <v>45577.0625</v>
      </c>
      <c r="BW76" s="19">
        <f t="shared" si="76"/>
        <v>45577.08333</v>
      </c>
      <c r="BX76" s="19">
        <f t="shared" si="76"/>
        <v>45576</v>
      </c>
      <c r="BY76" s="19">
        <f t="shared" si="76"/>
        <v>45576</v>
      </c>
      <c r="BZ76" s="19">
        <f t="shared" si="76"/>
        <v>45576</v>
      </c>
    </row>
    <row r="77" ht="14.25" customHeight="1">
      <c r="A77" s="17">
        <v>45577.0</v>
      </c>
      <c r="B77" s="2" t="str">
        <f t="array" ref="B77">IF(NOW()&gt;AM77,"",IF(AND((WEEKDAY($A77)+$B$2)&gt;1,((WEEKDAY($A77)+$T$2)&lt;7),(WEEKDAY($A77)&lt;&gt;1)),"work",(INDEX(Subject!$A:$I,MATCH(RANDBETWEEN(1,(MAX(Subject!$B:$B))),Subject!$B:$B,0),3))))</f>
        <v/>
      </c>
      <c r="C77" s="2" t="str">
        <f t="array" ref="C77">IF(NOW()&gt;AN77,"",IF(AND((WEEKDAY($A77)+$B$2)&gt;1,((WEEKDAY($A77)+$T$2)&lt;7),(WEEKDAY($A77)&lt;&gt;1)),"work",(INDEX(Subject!$A:$I,MATCH(RANDBETWEEN(1,(MAX(Subject!$B:$B))),Subject!$B:$B,0),3))))</f>
        <v/>
      </c>
      <c r="D77" s="2" t="str">
        <f t="array" ref="D77">IF(NOW()&gt;AO77,"",IF(AND((WEEKDAY($A77)+$B$2)&gt;1,((WEEKDAY($A77)+$T$2)&lt;7),(WEEKDAY($A77)&lt;&gt;1)),"work",(INDEX(Subject!$A:$I,MATCH(RANDBETWEEN(1,(MAX(Subject!$B:$B))),Subject!$B:$B,0),3))))</f>
        <v/>
      </c>
      <c r="E77" s="2" t="str">
        <f t="array" ref="E77">IF(NOW()&gt;AP77,"",IF(AND((WEEKDAY($A77)+$B$2)&gt;1,((WEEKDAY($A77)+$T$2)&lt;7),(WEEKDAY($A77)&lt;&gt;1)),"work",(INDEX(Subject!$A:$I,MATCH(RANDBETWEEN(1,(MAX(Subject!$B:$B))),Subject!$B:$B,0),3))))</f>
        <v/>
      </c>
      <c r="F77" s="2" t="str">
        <f t="array" ref="F77">IF(NOW()&gt;AQ77,"",IF(AND((WEEKDAY($A77)+$B$2)&gt;1,((WEEKDAY($A77)+$T$2)&lt;7),(WEEKDAY($A77)&lt;&gt;1)),"work",(INDEX(Subject!$A:$I,MATCH(RANDBETWEEN(1,(MAX(Subject!$B:$B))),Subject!$B:$B,0),3))))</f>
        <v/>
      </c>
      <c r="G77" s="2" t="str">
        <f t="array" ref="G77">IF(NOW()&gt;AR77,"",IF(AND((WEEKDAY($A77)+$B$2)&gt;1,((WEEKDAY($A77)+$T$2)&lt;7),(WEEKDAY($A77)&lt;&gt;1)),"work",(INDEX(Subject!$A:$I,MATCH(RANDBETWEEN(1,(MAX(Subject!$B:$B))),Subject!$B:$B,0),3))))</f>
        <v/>
      </c>
      <c r="H77" s="2" t="str">
        <f t="array" ref="H77">IF(NOW()&gt;AS77,"",IF(AND((WEEKDAY($A77)+$B$2)&gt;1,((WEEKDAY($A77)+$T$2)&lt;7),(WEEKDAY($A77)&lt;&gt;1)),"work",(INDEX(Subject!$A:$I,MATCH(RANDBETWEEN(1,(MAX(Subject!$B:$B))),Subject!$B:$B,0),3))))</f>
        <v/>
      </c>
      <c r="I77" s="2" t="str">
        <f t="array" ref="I77">IF(NOW()&gt;AT77,"",IF(AND((WEEKDAY($A77)+$B$2)&gt;1,((WEEKDAY($A77)+$T$2)&lt;7),(WEEKDAY($A77)&lt;&gt;1)),"work",(INDEX(Subject!$A:$I,MATCH(RANDBETWEEN(1,(MAX(Subject!$B:$B))),Subject!$B:$B,0),3))))</f>
        <v/>
      </c>
      <c r="J77" s="2" t="str">
        <f t="array" ref="J77">IF(NOW()&gt;AU77,"",IF(AND((WEEKDAY($A77)+$B$2)&gt;1,((WEEKDAY($A77)+$T$2)&lt;7),(WEEKDAY($A77)&lt;&gt;1)),"work",(INDEX(Subject!$A:$I,MATCH(RANDBETWEEN(1,(MAX(Subject!$B:$B))),Subject!$B:$B,0),3))))</f>
        <v/>
      </c>
      <c r="K77" s="2" t="str">
        <f t="array" ref="K77">IF(NOW()&gt;AV77,"",IF(AND((WEEKDAY($A77)+$B$2)&gt;1,((WEEKDAY($A77)+$T$2)&lt;7),(WEEKDAY($A77)&lt;&gt;1)),"work",(INDEX(Subject!$A:$I,MATCH(RANDBETWEEN(1,(MAX(Subject!$B:$B))),Subject!$B:$B,0),3))))</f>
        <v/>
      </c>
      <c r="L77" s="2" t="str">
        <f t="array" ref="L77">IF(NOW()&gt;AW77,"",IF(AND((WEEKDAY($A77)+$B$2)&gt;1,((WEEKDAY($A77)+$T$2)&lt;7),(WEEKDAY($A77)&lt;&gt;1)),"work",(INDEX(Subject!$A:$I,MATCH(RANDBETWEEN(1,(MAX(Subject!$B:$B))),Subject!$B:$B,0),3))))</f>
        <v/>
      </c>
      <c r="M77" s="2" t="str">
        <f t="array" ref="M77">IF(NOW()&gt;AX77,"",IF(AND((WEEKDAY($A77)+$B$2)&gt;1,((WEEKDAY($A77)+$T$2)&lt;7),(WEEKDAY($A77)&lt;&gt;1)),"work",(INDEX(Subject!$A:$I,MATCH(RANDBETWEEN(1,(MAX(Subject!$B:$B))),Subject!$B:$B,0),3))))</f>
        <v/>
      </c>
      <c r="N77" s="2" t="str">
        <f t="array" ref="N77">IF(NOW()&gt;AY77,"",IF(AND((WEEKDAY($A77)+$B$2)&gt;1,((WEEKDAY($A77)+$T$2)&lt;7),(WEEKDAY($A77)&lt;&gt;1)),"work",(INDEX(Subject!$A:$I,MATCH(RANDBETWEEN(1,(MAX(Subject!$B:$B))),Subject!$B:$B,0),3))))</f>
        <v/>
      </c>
      <c r="O77" s="2" t="str">
        <f t="array" ref="O77">IF(NOW()&gt;AZ77,"",IF(AND((WEEKDAY($A77)+$B$2)&gt;1,((WEEKDAY($A77)+$T$2)&lt;7),(WEEKDAY($A77)&lt;&gt;1)),"work",(INDEX(Subject!$A:$I,MATCH(RANDBETWEEN(1,(MAX(Subject!$B:$B))),Subject!$B:$B,0),3))))</f>
        <v/>
      </c>
      <c r="P77" s="2" t="str">
        <f t="array" ref="P77">IF(NOW()&gt;BA77,"",IF(AND((WEEKDAY($A77)+$B$2)&gt;1,((WEEKDAY($A77)+$T$2)&lt;7),(WEEKDAY($A77)&lt;&gt;1)),"work",(INDEX(Subject!$A:$I,MATCH(RANDBETWEEN(1,(MAX(Subject!$B:$B))),Subject!$B:$B,0),3))))</f>
        <v/>
      </c>
      <c r="Q77" s="2" t="str">
        <f t="array" ref="Q77">IF(NOW()&gt;BB77,"",IF(AND((WEEKDAY($A77)+$B$2)&gt;1,((WEEKDAY($A77)+$T$2)&lt;7),(WEEKDAY($A77)&lt;&gt;1)),"work",(INDEX(Subject!$A:$I,MATCH(RANDBETWEEN(1,(MAX(Subject!$B:$B))),Subject!$B:$B,0),3))))</f>
        <v/>
      </c>
      <c r="R77" s="2" t="str">
        <f t="array" ref="R77">IF(NOW()&gt;BC77,"",IF(AND((WEEKDAY($A77)+$B$2)&gt;1,((WEEKDAY($A77)+$T$2)&lt;7),(WEEKDAY($A77)&lt;&gt;1)),"work",(INDEX(Subject!$A:$I,MATCH(RANDBETWEEN(1,(MAX(Subject!$B:$B))),Subject!$B:$B,0),3))))</f>
        <v/>
      </c>
      <c r="S77" s="2" t="str">
        <f t="array" ref="S77">IF(NOW()&gt;BD77,"",IF(AND((WEEKDAY($A77)+$B$2)&gt;1,((WEEKDAY($A77)+$T$2)&lt;7),(WEEKDAY($A77)&lt;&gt;1)),"work",(INDEX(Subject!$A:$I,MATCH(RANDBETWEEN(1,(MAX(Subject!$B:$B))),Subject!$B:$B,0),3))))</f>
        <v/>
      </c>
      <c r="T77" s="2" t="str">
        <f t="array" ref="T77">IF(NOW()&gt;BE77,"",IF(AND((WEEKDAY($A77)+$B$2)&gt;1,((WEEKDAY($A77)+$T$2)&lt;7),(WEEKDAY($A77)&lt;&gt;1)),"work",(INDEX(Subject!$A:$I,MATCH(RANDBETWEEN(1,(MAX(Subject!$B:$B))),Subject!$B:$B,0),3))))</f>
        <v/>
      </c>
      <c r="U77" s="8" t="str">
        <f t="array" ref="U77">INDEX(Subject!$A:$I,MATCH(RANDBETWEEN(1,16),Subject!$B:$B,0),3)</f>
        <v>#N/A</v>
      </c>
      <c r="V77" s="8" t="str">
        <f t="array" ref="V77">INDEX(Subject!$A:$I,MATCH(RANDBETWEEN(1,16),Subject!$B:$B,0),3)</f>
        <v>#N/A</v>
      </c>
      <c r="W77" s="8" t="str">
        <f t="array" ref="W77">INDEX(Subject!$A:$I,MATCH(RANDBETWEEN(1,16),Subject!$B:$B,0),3)</f>
        <v>#N/A</v>
      </c>
      <c r="X77" s="8" t="str">
        <f t="array" ref="X77">INDEX(Subject!$A:$I,MATCH(RANDBETWEEN(1,16),Subject!$B:$B,0),3)</f>
        <v>#N/A</v>
      </c>
      <c r="Y77" s="8" t="str">
        <f t="array" ref="Y77">INDEX(Subject!$A:$I,MATCH(RANDBETWEEN(1,16),Subject!$B:$B,0),3)</f>
        <v>#N/A</v>
      </c>
      <c r="Z77" s="8" t="str">
        <f t="array" ref="Z77">INDEX(Subject!$A:$I,MATCH(RANDBETWEEN(1,16),Subject!$B:$B,0),3)</f>
        <v>#N/A</v>
      </c>
      <c r="AA77" s="8" t="str">
        <f t="array" ref="AA77">INDEX(Subject!$A:$I,MATCH(RANDBETWEEN(1,16),Subject!$B:$B,0),3)</f>
        <v>#N/A</v>
      </c>
      <c r="AB77" s="8" t="str">
        <f t="array" ref="AB77">INDEX(Subject!$A:$I,MATCH(RANDBETWEEN(1,16),Subject!$B:$B,0),3)</f>
        <v>#N/A</v>
      </c>
      <c r="AC77" s="8" t="str">
        <f t="array" ref="AC77">INDEX(Subject!$A:$I,MATCH(RANDBETWEEN(1,16),Subject!$B:$B,0),3)</f>
        <v>#N/A</v>
      </c>
      <c r="AD77" s="8" t="str">
        <f t="array" ref="AD77">INDEX(Subject!$A:$I,MATCH(RANDBETWEEN(1,16),Subject!$B:$B,0),3)</f>
        <v>#N/A</v>
      </c>
      <c r="AE77" s="8" t="str">
        <f t="array" ref="AE77">INDEX(Subject!$A:$I,MATCH(RANDBETWEEN(1,16),Subject!$B:$B,0),3)</f>
        <v>#N/A</v>
      </c>
      <c r="AF77" s="8" t="str">
        <f t="array" ref="AF77">INDEX(Subject!$A:$I,MATCH(RANDBETWEEN(1,16),Subject!$B:$B,0),3)</f>
        <v>#N/A</v>
      </c>
      <c r="AG77" s="8" t="str">
        <f t="array" ref="AG77">INDEX(Subject!$A:$I,MATCH(RANDBETWEEN(1,16),Subject!$B:$B,0),3)</f>
        <v>#N/A</v>
      </c>
      <c r="AH77" s="8" t="str">
        <f t="array" ref="AH77">INDEX(Subject!$A:$I,MATCH(RANDBETWEEN(1,16),Subject!$B:$B,0),3)</f>
        <v>#N/A</v>
      </c>
      <c r="AI77" s="8" t="str">
        <f t="array" ref="AI77">INDEX(Subject!$A:$I,MATCH(RANDBETWEEN(1,16),Subject!$B:$B,0),3)</f>
        <v>#N/A</v>
      </c>
      <c r="AJ77" s="8" t="str">
        <f t="array" ref="AJ77">INDEX(Subject!$A:$I,MATCH(RANDBETWEEN(1,16),Subject!$B:$B,0),3)</f>
        <v>#N/A</v>
      </c>
      <c r="AK77" s="8" t="str">
        <f t="array" ref="AK77">INDEX(Subject!$A:$I,MATCH(RANDBETWEEN(1,16),Subject!$B:$B,0),3)</f>
        <v>#N/A</v>
      </c>
      <c r="AL77" s="8" t="str">
        <f t="array" ref="AL77">INDEX(Subject!$A:$I,MATCH(RANDBETWEEN(1,16),Subject!$B:$B,0),3)</f>
        <v/>
      </c>
      <c r="AM77" s="18">
        <f t="shared" si="4"/>
        <v>45577.33333</v>
      </c>
      <c r="AN77" s="19">
        <f t="shared" ref="AN77:BZ77" si="77">$A77+C$1</f>
        <v>45577.35417</v>
      </c>
      <c r="AO77" s="19">
        <f t="shared" si="77"/>
        <v>45577.375</v>
      </c>
      <c r="AP77" s="19">
        <f t="shared" si="77"/>
        <v>45577.39583</v>
      </c>
      <c r="AQ77" s="19">
        <f t="shared" si="77"/>
        <v>45577.41667</v>
      </c>
      <c r="AR77" s="19">
        <f t="shared" si="77"/>
        <v>45577.4375</v>
      </c>
      <c r="AS77" s="19">
        <f t="shared" si="77"/>
        <v>45577.45833</v>
      </c>
      <c r="AT77" s="19">
        <f t="shared" si="77"/>
        <v>45577.47917</v>
      </c>
      <c r="AU77" s="19">
        <f t="shared" si="77"/>
        <v>45577.5</v>
      </c>
      <c r="AV77" s="19">
        <f t="shared" si="77"/>
        <v>45577.52083</v>
      </c>
      <c r="AW77" s="19">
        <f t="shared" si="77"/>
        <v>45577.54167</v>
      </c>
      <c r="AX77" s="19">
        <f t="shared" si="77"/>
        <v>45577.5625</v>
      </c>
      <c r="AY77" s="19">
        <f t="shared" si="77"/>
        <v>45577.58333</v>
      </c>
      <c r="AZ77" s="19">
        <f t="shared" si="77"/>
        <v>45577.60417</v>
      </c>
      <c r="BA77" s="19">
        <f t="shared" si="77"/>
        <v>45577.625</v>
      </c>
      <c r="BB77" s="19">
        <f t="shared" si="77"/>
        <v>45577.64583</v>
      </c>
      <c r="BC77" s="19">
        <f t="shared" si="77"/>
        <v>45577.66667</v>
      </c>
      <c r="BD77" s="19">
        <f t="shared" si="77"/>
        <v>45577.6875</v>
      </c>
      <c r="BE77" s="19">
        <f t="shared" si="77"/>
        <v>45577.70833</v>
      </c>
      <c r="BF77" s="19">
        <f t="shared" si="77"/>
        <v>45577.72917</v>
      </c>
      <c r="BG77" s="19">
        <f t="shared" si="77"/>
        <v>45577.75</v>
      </c>
      <c r="BH77" s="19">
        <f t="shared" si="77"/>
        <v>45577.77083</v>
      </c>
      <c r="BI77" s="19">
        <f t="shared" si="77"/>
        <v>45577.79167</v>
      </c>
      <c r="BJ77" s="19">
        <f t="shared" si="77"/>
        <v>45577.8125</v>
      </c>
      <c r="BK77" s="19">
        <f t="shared" si="77"/>
        <v>45577.83333</v>
      </c>
      <c r="BL77" s="19">
        <f t="shared" si="77"/>
        <v>45577.85417</v>
      </c>
      <c r="BM77" s="19">
        <f t="shared" si="77"/>
        <v>45577.875</v>
      </c>
      <c r="BN77" s="19">
        <f t="shared" si="77"/>
        <v>45577.89583</v>
      </c>
      <c r="BO77" s="19">
        <f t="shared" si="77"/>
        <v>45577.91667</v>
      </c>
      <c r="BP77" s="19">
        <f t="shared" si="77"/>
        <v>45577.9375</v>
      </c>
      <c r="BQ77" s="19">
        <f t="shared" si="77"/>
        <v>45577.95833</v>
      </c>
      <c r="BR77" s="19">
        <f t="shared" si="77"/>
        <v>45577.97917</v>
      </c>
      <c r="BS77" s="19">
        <f t="shared" si="77"/>
        <v>45578</v>
      </c>
      <c r="BT77" s="19">
        <f t="shared" si="77"/>
        <v>45578.02083</v>
      </c>
      <c r="BU77" s="19">
        <f t="shared" si="77"/>
        <v>45578.04167</v>
      </c>
      <c r="BV77" s="19">
        <f t="shared" si="77"/>
        <v>45578.0625</v>
      </c>
      <c r="BW77" s="19">
        <f t="shared" si="77"/>
        <v>45578.08333</v>
      </c>
      <c r="BX77" s="19">
        <f t="shared" si="77"/>
        <v>45577</v>
      </c>
      <c r="BY77" s="19">
        <f t="shared" si="77"/>
        <v>45577</v>
      </c>
      <c r="BZ77" s="19">
        <f t="shared" si="77"/>
        <v>45577</v>
      </c>
    </row>
    <row r="78" ht="14.25" customHeight="1">
      <c r="A78" s="17">
        <v>45578.0</v>
      </c>
      <c r="B78" s="2" t="str">
        <f t="array" ref="B78">IF(NOW()&gt;AM78,"",IF(AND((WEEKDAY($A78)+$B$2)&gt;1,((WEEKDAY($A78)+$T$2)&lt;7),(WEEKDAY($A78)&lt;&gt;1)),"work",(INDEX(Subject!$A:$I,MATCH(RANDBETWEEN(1,(MAX(Subject!$B:$B))),Subject!$B:$B,0),3))))</f>
        <v/>
      </c>
      <c r="C78" s="2" t="str">
        <f t="array" ref="C78">IF(NOW()&gt;AN78,"",IF(AND((WEEKDAY($A78)+$B$2)&gt;1,((WEEKDAY($A78)+$T$2)&lt;7),(WEEKDAY($A78)&lt;&gt;1)),"work",(INDEX(Subject!$A:$I,MATCH(RANDBETWEEN(1,(MAX(Subject!$B:$B))),Subject!$B:$B,0),3))))</f>
        <v/>
      </c>
      <c r="D78" s="2" t="str">
        <f t="array" ref="D78">IF(NOW()&gt;AO78,"",IF(AND((WEEKDAY($A78)+$B$2)&gt;1,((WEEKDAY($A78)+$T$2)&lt;7),(WEEKDAY($A78)&lt;&gt;1)),"work",(INDEX(Subject!$A:$I,MATCH(RANDBETWEEN(1,(MAX(Subject!$B:$B))),Subject!$B:$B,0),3))))</f>
        <v/>
      </c>
      <c r="E78" s="2" t="str">
        <f t="array" ref="E78">IF(NOW()&gt;AP78,"",IF(AND((WEEKDAY($A78)+$B$2)&gt;1,((WEEKDAY($A78)+$T$2)&lt;7),(WEEKDAY($A78)&lt;&gt;1)),"work",(INDEX(Subject!$A:$I,MATCH(RANDBETWEEN(1,(MAX(Subject!$B:$B))),Subject!$B:$B,0),3))))</f>
        <v/>
      </c>
      <c r="F78" s="2" t="str">
        <f t="array" ref="F78">IF(NOW()&gt;AQ78,"",IF(AND((WEEKDAY($A78)+$B$2)&gt;1,((WEEKDAY($A78)+$T$2)&lt;7),(WEEKDAY($A78)&lt;&gt;1)),"work",(INDEX(Subject!$A:$I,MATCH(RANDBETWEEN(1,(MAX(Subject!$B:$B))),Subject!$B:$B,0),3))))</f>
        <v/>
      </c>
      <c r="G78" s="2" t="str">
        <f t="array" ref="G78">IF(NOW()&gt;AR78,"",IF(AND((WEEKDAY($A78)+$B$2)&gt;1,((WEEKDAY($A78)+$T$2)&lt;7),(WEEKDAY($A78)&lt;&gt;1)),"work",(INDEX(Subject!$A:$I,MATCH(RANDBETWEEN(1,(MAX(Subject!$B:$B))),Subject!$B:$B,0),3))))</f>
        <v/>
      </c>
      <c r="H78" s="2" t="str">
        <f t="array" ref="H78">IF(NOW()&gt;AS78,"",IF(AND((WEEKDAY($A78)+$B$2)&gt;1,((WEEKDAY($A78)+$T$2)&lt;7),(WEEKDAY($A78)&lt;&gt;1)),"work",(INDEX(Subject!$A:$I,MATCH(RANDBETWEEN(1,(MAX(Subject!$B:$B))),Subject!$B:$B,0),3))))</f>
        <v/>
      </c>
      <c r="I78" s="2" t="str">
        <f t="array" ref="I78">IF(NOW()&gt;AT78,"",IF(AND((WEEKDAY($A78)+$B$2)&gt;1,((WEEKDAY($A78)+$T$2)&lt;7),(WEEKDAY($A78)&lt;&gt;1)),"work",(INDEX(Subject!$A:$I,MATCH(RANDBETWEEN(1,(MAX(Subject!$B:$B))),Subject!$B:$B,0),3))))</f>
        <v/>
      </c>
      <c r="J78" s="2" t="str">
        <f t="array" ref="J78">IF(NOW()&gt;AU78,"",IF(AND((WEEKDAY($A78)+$B$2)&gt;1,((WEEKDAY($A78)+$T$2)&lt;7),(WEEKDAY($A78)&lt;&gt;1)),"work",(INDEX(Subject!$A:$I,MATCH(RANDBETWEEN(1,(MAX(Subject!$B:$B))),Subject!$B:$B,0),3))))</f>
        <v/>
      </c>
      <c r="K78" s="2" t="str">
        <f t="array" ref="K78">IF(NOW()&gt;AV78,"",IF(AND((WEEKDAY($A78)+$B$2)&gt;1,((WEEKDAY($A78)+$T$2)&lt;7),(WEEKDAY($A78)&lt;&gt;1)),"work",(INDEX(Subject!$A:$I,MATCH(RANDBETWEEN(1,(MAX(Subject!$B:$B))),Subject!$B:$B,0),3))))</f>
        <v/>
      </c>
      <c r="L78" s="2" t="str">
        <f t="array" ref="L78">IF(NOW()&gt;AW78,"",IF(AND((WEEKDAY($A78)+$B$2)&gt;1,((WEEKDAY($A78)+$T$2)&lt;7),(WEEKDAY($A78)&lt;&gt;1)),"work",(INDEX(Subject!$A:$I,MATCH(RANDBETWEEN(1,(MAX(Subject!$B:$B))),Subject!$B:$B,0),3))))</f>
        <v/>
      </c>
      <c r="M78" s="2" t="str">
        <f t="array" ref="M78">IF(NOW()&gt;AX78,"",IF(AND((WEEKDAY($A78)+$B$2)&gt;1,((WEEKDAY($A78)+$T$2)&lt;7),(WEEKDAY($A78)&lt;&gt;1)),"work",(INDEX(Subject!$A:$I,MATCH(RANDBETWEEN(1,(MAX(Subject!$B:$B))),Subject!$B:$B,0),3))))</f>
        <v/>
      </c>
      <c r="N78" s="2" t="str">
        <f t="array" ref="N78">IF(NOW()&gt;AY78,"",IF(AND((WEEKDAY($A78)+$B$2)&gt;1,((WEEKDAY($A78)+$T$2)&lt;7),(WEEKDAY($A78)&lt;&gt;1)),"work",(INDEX(Subject!$A:$I,MATCH(RANDBETWEEN(1,(MAX(Subject!$B:$B))),Subject!$B:$B,0),3))))</f>
        <v/>
      </c>
      <c r="O78" s="2" t="str">
        <f t="array" ref="O78">IF(NOW()&gt;AZ78,"",IF(AND((WEEKDAY($A78)+$B$2)&gt;1,((WEEKDAY($A78)+$T$2)&lt;7),(WEEKDAY($A78)&lt;&gt;1)),"work",(INDEX(Subject!$A:$I,MATCH(RANDBETWEEN(1,(MAX(Subject!$B:$B))),Subject!$B:$B,0),3))))</f>
        <v/>
      </c>
      <c r="P78" s="2" t="str">
        <f t="array" ref="P78">IF(NOW()&gt;BA78,"",IF(AND((WEEKDAY($A78)+$B$2)&gt;1,((WEEKDAY($A78)+$T$2)&lt;7),(WEEKDAY($A78)&lt;&gt;1)),"work",(INDEX(Subject!$A:$I,MATCH(RANDBETWEEN(1,(MAX(Subject!$B:$B))),Subject!$B:$B,0),3))))</f>
        <v/>
      </c>
      <c r="Q78" s="2" t="str">
        <f t="array" ref="Q78">IF(NOW()&gt;BB78,"",IF(AND((WEEKDAY($A78)+$B$2)&gt;1,((WEEKDAY($A78)+$T$2)&lt;7),(WEEKDAY($A78)&lt;&gt;1)),"work",(INDEX(Subject!$A:$I,MATCH(RANDBETWEEN(1,(MAX(Subject!$B:$B))),Subject!$B:$B,0),3))))</f>
        <v/>
      </c>
      <c r="R78" s="2" t="str">
        <f t="array" ref="R78">IF(NOW()&gt;BC78,"",IF(AND((WEEKDAY($A78)+$B$2)&gt;1,((WEEKDAY($A78)+$T$2)&lt;7),(WEEKDAY($A78)&lt;&gt;1)),"work",(INDEX(Subject!$A:$I,MATCH(RANDBETWEEN(1,(MAX(Subject!$B:$B))),Subject!$B:$B,0),3))))</f>
        <v/>
      </c>
      <c r="S78" s="2" t="str">
        <f t="array" ref="S78">IF(NOW()&gt;BD78,"",IF(AND((WEEKDAY($A78)+$B$2)&gt;1,((WEEKDAY($A78)+$T$2)&lt;7),(WEEKDAY($A78)&lt;&gt;1)),"work",(INDEX(Subject!$A:$I,MATCH(RANDBETWEEN(1,(MAX(Subject!$B:$B))),Subject!$B:$B,0),3))))</f>
        <v/>
      </c>
      <c r="T78" s="2" t="str">
        <f t="array" ref="T78">IF(NOW()&gt;BE78,"",IF(AND((WEEKDAY($A78)+$B$2)&gt;1,((WEEKDAY($A78)+$T$2)&lt;7),(WEEKDAY($A78)&lt;&gt;1)),"work",(INDEX(Subject!$A:$I,MATCH(RANDBETWEEN(1,(MAX(Subject!$B:$B))),Subject!$B:$B,0),3))))</f>
        <v/>
      </c>
      <c r="U78" s="8" t="str">
        <f t="array" ref="U78">INDEX(Subject!$A:$I,MATCH(RANDBETWEEN(1,16),Subject!$B:$B,0),3)</f>
        <v>#N/A</v>
      </c>
      <c r="V78" s="8" t="str">
        <f t="array" ref="V78">INDEX(Subject!$A:$I,MATCH(RANDBETWEEN(1,16),Subject!$B:$B,0),3)</f>
        <v>#N/A</v>
      </c>
      <c r="W78" s="8" t="str">
        <f t="array" ref="W78">INDEX(Subject!$A:$I,MATCH(RANDBETWEEN(1,16),Subject!$B:$B,0),3)</f>
        <v>#N/A</v>
      </c>
      <c r="X78" s="8" t="str">
        <f t="array" ref="X78">INDEX(Subject!$A:$I,MATCH(RANDBETWEEN(1,16),Subject!$B:$B,0),3)</f>
        <v>#N/A</v>
      </c>
      <c r="Y78" s="8" t="str">
        <f t="array" ref="Y78">INDEX(Subject!$A:$I,MATCH(RANDBETWEEN(1,16),Subject!$B:$B,0),3)</f>
        <v>#N/A</v>
      </c>
      <c r="Z78" s="8" t="str">
        <f t="array" ref="Z78">INDEX(Subject!$A:$I,MATCH(RANDBETWEEN(1,16),Subject!$B:$B,0),3)</f>
        <v>#N/A</v>
      </c>
      <c r="AA78" s="8" t="str">
        <f t="array" ref="AA78">INDEX(Subject!$A:$I,MATCH(RANDBETWEEN(1,16),Subject!$B:$B,0),3)</f>
        <v>#N/A</v>
      </c>
      <c r="AB78" s="8" t="str">
        <f t="array" ref="AB78">INDEX(Subject!$A:$I,MATCH(RANDBETWEEN(1,16),Subject!$B:$B,0),3)</f>
        <v>#N/A</v>
      </c>
      <c r="AC78" s="8" t="str">
        <f t="array" ref="AC78">INDEX(Subject!$A:$I,MATCH(RANDBETWEEN(1,16),Subject!$B:$B,0),3)</f>
        <v>#N/A</v>
      </c>
      <c r="AD78" s="8" t="str">
        <f t="array" ref="AD78">INDEX(Subject!$A:$I,MATCH(RANDBETWEEN(1,16),Subject!$B:$B,0),3)</f>
        <v>#N/A</v>
      </c>
      <c r="AE78" s="8" t="str">
        <f t="array" ref="AE78">INDEX(Subject!$A:$I,MATCH(RANDBETWEEN(1,16),Subject!$B:$B,0),3)</f>
        <v>#N/A</v>
      </c>
      <c r="AF78" s="8" t="str">
        <f t="array" ref="AF78">INDEX(Subject!$A:$I,MATCH(RANDBETWEEN(1,16),Subject!$B:$B,0),3)</f>
        <v>#N/A</v>
      </c>
      <c r="AG78" s="8" t="str">
        <f t="array" ref="AG78">INDEX(Subject!$A:$I,MATCH(RANDBETWEEN(1,16),Subject!$B:$B,0),3)</f>
        <v>#N/A</v>
      </c>
      <c r="AH78" s="8" t="str">
        <f t="array" ref="AH78">INDEX(Subject!$A:$I,MATCH(RANDBETWEEN(1,16),Subject!$B:$B,0),3)</f>
        <v>#N/A</v>
      </c>
      <c r="AI78" s="8" t="str">
        <f t="array" ref="AI78">INDEX(Subject!$A:$I,MATCH(RANDBETWEEN(1,16),Subject!$B:$B,0),3)</f>
        <v>#N/A</v>
      </c>
      <c r="AJ78" s="8" t="str">
        <f t="array" ref="AJ78">INDEX(Subject!$A:$I,MATCH(RANDBETWEEN(1,16),Subject!$B:$B,0),3)</f>
        <v>#N/A</v>
      </c>
      <c r="AK78" s="8" t="str">
        <f t="array" ref="AK78">INDEX(Subject!$A:$I,MATCH(RANDBETWEEN(1,16),Subject!$B:$B,0),3)</f>
        <v>#N/A</v>
      </c>
      <c r="AL78" s="8" t="str">
        <f t="array" ref="AL78">INDEX(Subject!$A:$I,MATCH(RANDBETWEEN(1,16),Subject!$B:$B,0),3)</f>
        <v>#N/A</v>
      </c>
      <c r="AM78" s="18">
        <f t="shared" si="4"/>
        <v>45578.33333</v>
      </c>
      <c r="AN78" s="19">
        <f t="shared" ref="AN78:BZ78" si="78">$A78+C$1</f>
        <v>45578.35417</v>
      </c>
      <c r="AO78" s="19">
        <f t="shared" si="78"/>
        <v>45578.375</v>
      </c>
      <c r="AP78" s="19">
        <f t="shared" si="78"/>
        <v>45578.39583</v>
      </c>
      <c r="AQ78" s="19">
        <f t="shared" si="78"/>
        <v>45578.41667</v>
      </c>
      <c r="AR78" s="19">
        <f t="shared" si="78"/>
        <v>45578.4375</v>
      </c>
      <c r="AS78" s="19">
        <f t="shared" si="78"/>
        <v>45578.45833</v>
      </c>
      <c r="AT78" s="19">
        <f t="shared" si="78"/>
        <v>45578.47917</v>
      </c>
      <c r="AU78" s="19">
        <f t="shared" si="78"/>
        <v>45578.5</v>
      </c>
      <c r="AV78" s="19">
        <f t="shared" si="78"/>
        <v>45578.52083</v>
      </c>
      <c r="AW78" s="19">
        <f t="shared" si="78"/>
        <v>45578.54167</v>
      </c>
      <c r="AX78" s="19">
        <f t="shared" si="78"/>
        <v>45578.5625</v>
      </c>
      <c r="AY78" s="19">
        <f t="shared" si="78"/>
        <v>45578.58333</v>
      </c>
      <c r="AZ78" s="19">
        <f t="shared" si="78"/>
        <v>45578.60417</v>
      </c>
      <c r="BA78" s="19">
        <f t="shared" si="78"/>
        <v>45578.625</v>
      </c>
      <c r="BB78" s="19">
        <f t="shared" si="78"/>
        <v>45578.64583</v>
      </c>
      <c r="BC78" s="19">
        <f t="shared" si="78"/>
        <v>45578.66667</v>
      </c>
      <c r="BD78" s="19">
        <f t="shared" si="78"/>
        <v>45578.6875</v>
      </c>
      <c r="BE78" s="19">
        <f t="shared" si="78"/>
        <v>45578.70833</v>
      </c>
      <c r="BF78" s="19">
        <f t="shared" si="78"/>
        <v>45578.72917</v>
      </c>
      <c r="BG78" s="19">
        <f t="shared" si="78"/>
        <v>45578.75</v>
      </c>
      <c r="BH78" s="19">
        <f t="shared" si="78"/>
        <v>45578.77083</v>
      </c>
      <c r="BI78" s="19">
        <f t="shared" si="78"/>
        <v>45578.79167</v>
      </c>
      <c r="BJ78" s="19">
        <f t="shared" si="78"/>
        <v>45578.8125</v>
      </c>
      <c r="BK78" s="19">
        <f t="shared" si="78"/>
        <v>45578.83333</v>
      </c>
      <c r="BL78" s="19">
        <f t="shared" si="78"/>
        <v>45578.85417</v>
      </c>
      <c r="BM78" s="19">
        <f t="shared" si="78"/>
        <v>45578.875</v>
      </c>
      <c r="BN78" s="19">
        <f t="shared" si="78"/>
        <v>45578.89583</v>
      </c>
      <c r="BO78" s="19">
        <f t="shared" si="78"/>
        <v>45578.91667</v>
      </c>
      <c r="BP78" s="19">
        <f t="shared" si="78"/>
        <v>45578.9375</v>
      </c>
      <c r="BQ78" s="19">
        <f t="shared" si="78"/>
        <v>45578.95833</v>
      </c>
      <c r="BR78" s="19">
        <f t="shared" si="78"/>
        <v>45578.97917</v>
      </c>
      <c r="BS78" s="19">
        <f t="shared" si="78"/>
        <v>45579</v>
      </c>
      <c r="BT78" s="19">
        <f t="shared" si="78"/>
        <v>45579.02083</v>
      </c>
      <c r="BU78" s="19">
        <f t="shared" si="78"/>
        <v>45579.04167</v>
      </c>
      <c r="BV78" s="19">
        <f t="shared" si="78"/>
        <v>45579.0625</v>
      </c>
      <c r="BW78" s="19">
        <f t="shared" si="78"/>
        <v>45579.08333</v>
      </c>
      <c r="BX78" s="19">
        <f t="shared" si="78"/>
        <v>45578</v>
      </c>
      <c r="BY78" s="19">
        <f t="shared" si="78"/>
        <v>45578</v>
      </c>
      <c r="BZ78" s="19">
        <f t="shared" si="78"/>
        <v>45578</v>
      </c>
    </row>
    <row r="79" ht="14.25" customHeight="1">
      <c r="A79" s="17">
        <v>45579.0</v>
      </c>
      <c r="B79" s="2" t="str">
        <f t="array" ref="B79">IF(NOW()&gt;AM79,"",IF(AND((WEEKDAY($A79)+$B$2)&gt;1,((WEEKDAY($A79)+$T$2)&lt;7),(WEEKDAY($A79)&lt;&gt;1)),"work",(INDEX(Subject!$A:$I,MATCH(RANDBETWEEN(1,(MAX(Subject!$B:$B))),Subject!$B:$B,0),3))))</f>
        <v/>
      </c>
      <c r="C79" s="2" t="str">
        <f t="array" ref="C79">IF(NOW()&gt;AN79,"",IF(AND((WEEKDAY($A79)+$B$2)&gt;1,((WEEKDAY($A79)+$T$2)&lt;7),(WEEKDAY($A79)&lt;&gt;1)),"work",(INDEX(Subject!$A:$I,MATCH(RANDBETWEEN(1,(MAX(Subject!$B:$B))),Subject!$B:$B,0),3))))</f>
        <v/>
      </c>
      <c r="D79" s="2" t="str">
        <f t="array" ref="D79">IF(NOW()&gt;AO79,"",IF(AND((WEEKDAY($A79)+$B$2)&gt;1,((WEEKDAY($A79)+$T$2)&lt;7),(WEEKDAY($A79)&lt;&gt;1)),"work",(INDEX(Subject!$A:$I,MATCH(RANDBETWEEN(1,(MAX(Subject!$B:$B))),Subject!$B:$B,0),3))))</f>
        <v/>
      </c>
      <c r="E79" s="2" t="str">
        <f t="array" ref="E79">IF(NOW()&gt;AP79,"",IF(AND((WEEKDAY($A79)+$B$2)&gt;1,((WEEKDAY($A79)+$T$2)&lt;7),(WEEKDAY($A79)&lt;&gt;1)),"work",(INDEX(Subject!$A:$I,MATCH(RANDBETWEEN(1,(MAX(Subject!$B:$B))),Subject!$B:$B,0),3))))</f>
        <v/>
      </c>
      <c r="F79" s="2" t="str">
        <f t="array" ref="F79">IF(NOW()&gt;AQ79,"",IF(AND((WEEKDAY($A79)+$B$2)&gt;1,((WEEKDAY($A79)+$T$2)&lt;7),(WEEKDAY($A79)&lt;&gt;1)),"work",(INDEX(Subject!$A:$I,MATCH(RANDBETWEEN(1,(MAX(Subject!$B:$B))),Subject!$B:$B,0),3))))</f>
        <v/>
      </c>
      <c r="G79" s="2" t="str">
        <f t="array" ref="G79">IF(NOW()&gt;AR79,"",IF(AND((WEEKDAY($A79)+$B$2)&gt;1,((WEEKDAY($A79)+$T$2)&lt;7),(WEEKDAY($A79)&lt;&gt;1)),"work",(INDEX(Subject!$A:$I,MATCH(RANDBETWEEN(1,(MAX(Subject!$B:$B))),Subject!$B:$B,0),3))))</f>
        <v/>
      </c>
      <c r="H79" s="2" t="str">
        <f t="array" ref="H79">IF(NOW()&gt;AS79,"",IF(AND((WEEKDAY($A79)+$B$2)&gt;1,((WEEKDAY($A79)+$T$2)&lt;7),(WEEKDAY($A79)&lt;&gt;1)),"work",(INDEX(Subject!$A:$I,MATCH(RANDBETWEEN(1,(MAX(Subject!$B:$B))),Subject!$B:$B,0),3))))</f>
        <v/>
      </c>
      <c r="I79" s="2" t="str">
        <f t="array" ref="I79">IF(NOW()&gt;AT79,"",IF(AND((WEEKDAY($A79)+$B$2)&gt;1,((WEEKDAY($A79)+$T$2)&lt;7),(WEEKDAY($A79)&lt;&gt;1)),"work",(INDEX(Subject!$A:$I,MATCH(RANDBETWEEN(1,(MAX(Subject!$B:$B))),Subject!$B:$B,0),3))))</f>
        <v/>
      </c>
      <c r="J79" s="2" t="str">
        <f t="array" ref="J79">IF(NOW()&gt;AU79,"",IF(AND((WEEKDAY($A79)+$B$2)&gt;1,((WEEKDAY($A79)+$T$2)&lt;7),(WEEKDAY($A79)&lt;&gt;1)),"work",(INDEX(Subject!$A:$I,MATCH(RANDBETWEEN(1,(MAX(Subject!$B:$B))),Subject!$B:$B,0),3))))</f>
        <v/>
      </c>
      <c r="K79" s="2" t="str">
        <f t="array" ref="K79">IF(NOW()&gt;AV79,"",IF(AND((WEEKDAY($A79)+$B$2)&gt;1,((WEEKDAY($A79)+$T$2)&lt;7),(WEEKDAY($A79)&lt;&gt;1)),"work",(INDEX(Subject!$A:$I,MATCH(RANDBETWEEN(1,(MAX(Subject!$B:$B))),Subject!$B:$B,0),3))))</f>
        <v/>
      </c>
      <c r="L79" s="2" t="str">
        <f t="array" ref="L79">IF(NOW()&gt;AW79,"",IF(AND((WEEKDAY($A79)+$B$2)&gt;1,((WEEKDAY($A79)+$T$2)&lt;7),(WEEKDAY($A79)&lt;&gt;1)),"work",(INDEX(Subject!$A:$I,MATCH(RANDBETWEEN(1,(MAX(Subject!$B:$B))),Subject!$B:$B,0),3))))</f>
        <v/>
      </c>
      <c r="M79" s="2" t="str">
        <f t="array" ref="M79">IF(NOW()&gt;AX79,"",IF(AND((WEEKDAY($A79)+$B$2)&gt;1,((WEEKDAY($A79)+$T$2)&lt;7),(WEEKDAY($A79)&lt;&gt;1)),"work",(INDEX(Subject!$A:$I,MATCH(RANDBETWEEN(1,(MAX(Subject!$B:$B))),Subject!$B:$B,0),3))))</f>
        <v/>
      </c>
      <c r="N79" s="2" t="str">
        <f t="array" ref="N79">IF(NOW()&gt;AY79,"",IF(AND((WEEKDAY($A79)+$B$2)&gt;1,((WEEKDAY($A79)+$T$2)&lt;7),(WEEKDAY($A79)&lt;&gt;1)),"work",(INDEX(Subject!$A:$I,MATCH(RANDBETWEEN(1,(MAX(Subject!$B:$B))),Subject!$B:$B,0),3))))</f>
        <v/>
      </c>
      <c r="O79" s="2" t="str">
        <f t="array" ref="O79">IF(NOW()&gt;AZ79,"",IF(AND((WEEKDAY($A79)+$B$2)&gt;1,((WEEKDAY($A79)+$T$2)&lt;7),(WEEKDAY($A79)&lt;&gt;1)),"work",(INDEX(Subject!$A:$I,MATCH(RANDBETWEEN(1,(MAX(Subject!$B:$B))),Subject!$B:$B,0),3))))</f>
        <v/>
      </c>
      <c r="P79" s="2" t="str">
        <f t="array" ref="P79">IF(NOW()&gt;BA79,"",IF(AND((WEEKDAY($A79)+$B$2)&gt;1,((WEEKDAY($A79)+$T$2)&lt;7),(WEEKDAY($A79)&lt;&gt;1)),"work",(INDEX(Subject!$A:$I,MATCH(RANDBETWEEN(1,(MAX(Subject!$B:$B))),Subject!$B:$B,0),3))))</f>
        <v/>
      </c>
      <c r="Q79" s="2" t="str">
        <f t="array" ref="Q79">IF(NOW()&gt;BB79,"",IF(AND((WEEKDAY($A79)+$B$2)&gt;1,((WEEKDAY($A79)+$T$2)&lt;7),(WEEKDAY($A79)&lt;&gt;1)),"work",(INDEX(Subject!$A:$I,MATCH(RANDBETWEEN(1,(MAX(Subject!$B:$B))),Subject!$B:$B,0),3))))</f>
        <v/>
      </c>
      <c r="R79" s="2" t="str">
        <f t="array" ref="R79">IF(NOW()&gt;BC79,"",IF(AND((WEEKDAY($A79)+$B$2)&gt;1,((WEEKDAY($A79)+$T$2)&lt;7),(WEEKDAY($A79)&lt;&gt;1)),"work",(INDEX(Subject!$A:$I,MATCH(RANDBETWEEN(1,(MAX(Subject!$B:$B))),Subject!$B:$B,0),3))))</f>
        <v/>
      </c>
      <c r="S79" s="2" t="str">
        <f t="array" ref="S79">IF(NOW()&gt;BD79,"",IF(AND((WEEKDAY($A79)+$B$2)&gt;1,((WEEKDAY($A79)+$T$2)&lt;7),(WEEKDAY($A79)&lt;&gt;1)),"work",(INDEX(Subject!$A:$I,MATCH(RANDBETWEEN(1,(MAX(Subject!$B:$B))),Subject!$B:$B,0),3))))</f>
        <v/>
      </c>
      <c r="T79" s="2" t="str">
        <f t="array" ref="T79">IF(NOW()&gt;BE79,"",IF(AND((WEEKDAY($A79)+$B$2)&gt;1,((WEEKDAY($A79)+$T$2)&lt;7),(WEEKDAY($A79)&lt;&gt;1)),"work",(INDEX(Subject!$A:$I,MATCH(RANDBETWEEN(1,(MAX(Subject!$B:$B))),Subject!$B:$B,0),3))))</f>
        <v/>
      </c>
      <c r="U79" s="8" t="str">
        <f t="array" ref="U79">INDEX(Subject!$A:$I,MATCH(RANDBETWEEN(1,16),Subject!$B:$B,0),3)</f>
        <v>#N/A</v>
      </c>
      <c r="V79" s="8" t="str">
        <f t="array" ref="V79">INDEX(Subject!$A:$I,MATCH(RANDBETWEEN(1,16),Subject!$B:$B,0),3)</f>
        <v>#N/A</v>
      </c>
      <c r="W79" s="8" t="str">
        <f t="array" ref="W79">INDEX(Subject!$A:$I,MATCH(RANDBETWEEN(1,16),Subject!$B:$B,0),3)</f>
        <v>#N/A</v>
      </c>
      <c r="X79" s="8" t="str">
        <f t="array" ref="X79">INDEX(Subject!$A:$I,MATCH(RANDBETWEEN(1,16),Subject!$B:$B,0),3)</f>
        <v>#N/A</v>
      </c>
      <c r="Y79" s="8" t="str">
        <f t="array" ref="Y79">INDEX(Subject!$A:$I,MATCH(RANDBETWEEN(1,16),Subject!$B:$B,0),3)</f>
        <v>#N/A</v>
      </c>
      <c r="Z79" s="8" t="str">
        <f t="array" ref="Z79">INDEX(Subject!$A:$I,MATCH(RANDBETWEEN(1,16),Subject!$B:$B,0),3)</f>
        <v/>
      </c>
      <c r="AA79" s="8" t="str">
        <f t="array" ref="AA79">INDEX(Subject!$A:$I,MATCH(RANDBETWEEN(1,16),Subject!$B:$B,0),3)</f>
        <v>#N/A</v>
      </c>
      <c r="AB79" s="8" t="str">
        <f t="array" ref="AB79">INDEX(Subject!$A:$I,MATCH(RANDBETWEEN(1,16),Subject!$B:$B,0),3)</f>
        <v/>
      </c>
      <c r="AC79" s="8" t="str">
        <f t="array" ref="AC79">INDEX(Subject!$A:$I,MATCH(RANDBETWEEN(1,16),Subject!$B:$B,0),3)</f>
        <v>#N/A</v>
      </c>
      <c r="AD79" s="8" t="str">
        <f t="array" ref="AD79">INDEX(Subject!$A:$I,MATCH(RANDBETWEEN(1,16),Subject!$B:$B,0),3)</f>
        <v>#N/A</v>
      </c>
      <c r="AE79" s="8" t="str">
        <f t="array" ref="AE79">INDEX(Subject!$A:$I,MATCH(RANDBETWEEN(1,16),Subject!$B:$B,0),3)</f>
        <v>#N/A</v>
      </c>
      <c r="AF79" s="8" t="str">
        <f t="array" ref="AF79">INDEX(Subject!$A:$I,MATCH(RANDBETWEEN(1,16),Subject!$B:$B,0),3)</f>
        <v>#N/A</v>
      </c>
      <c r="AG79" s="8" t="str">
        <f t="array" ref="AG79">INDEX(Subject!$A:$I,MATCH(RANDBETWEEN(1,16),Subject!$B:$B,0),3)</f>
        <v>#N/A</v>
      </c>
      <c r="AH79" s="8" t="str">
        <f t="array" ref="AH79">INDEX(Subject!$A:$I,MATCH(RANDBETWEEN(1,16),Subject!$B:$B,0),3)</f>
        <v>#N/A</v>
      </c>
      <c r="AI79" s="8" t="str">
        <f t="array" ref="AI79">INDEX(Subject!$A:$I,MATCH(RANDBETWEEN(1,16),Subject!$B:$B,0),3)</f>
        <v>#N/A</v>
      </c>
      <c r="AJ79" s="8" t="str">
        <f t="array" ref="AJ79">INDEX(Subject!$A:$I,MATCH(RANDBETWEEN(1,16),Subject!$B:$B,0),3)</f>
        <v>#N/A</v>
      </c>
      <c r="AK79" s="8" t="str">
        <f t="array" ref="AK79">INDEX(Subject!$A:$I,MATCH(RANDBETWEEN(1,16),Subject!$B:$B,0),3)</f>
        <v>#N/A</v>
      </c>
      <c r="AL79" s="8" t="str">
        <f t="array" ref="AL79">INDEX(Subject!$A:$I,MATCH(RANDBETWEEN(1,16),Subject!$B:$B,0),3)</f>
        <v>#N/A</v>
      </c>
      <c r="AM79" s="18">
        <f t="shared" si="4"/>
        <v>45579.33333</v>
      </c>
      <c r="AN79" s="19">
        <f t="shared" ref="AN79:BZ79" si="79">$A79+C$1</f>
        <v>45579.35417</v>
      </c>
      <c r="AO79" s="19">
        <f t="shared" si="79"/>
        <v>45579.375</v>
      </c>
      <c r="AP79" s="19">
        <f t="shared" si="79"/>
        <v>45579.39583</v>
      </c>
      <c r="AQ79" s="19">
        <f t="shared" si="79"/>
        <v>45579.41667</v>
      </c>
      <c r="AR79" s="19">
        <f t="shared" si="79"/>
        <v>45579.4375</v>
      </c>
      <c r="AS79" s="19">
        <f t="shared" si="79"/>
        <v>45579.45833</v>
      </c>
      <c r="AT79" s="19">
        <f t="shared" si="79"/>
        <v>45579.47917</v>
      </c>
      <c r="AU79" s="19">
        <f t="shared" si="79"/>
        <v>45579.5</v>
      </c>
      <c r="AV79" s="19">
        <f t="shared" si="79"/>
        <v>45579.52083</v>
      </c>
      <c r="AW79" s="19">
        <f t="shared" si="79"/>
        <v>45579.54167</v>
      </c>
      <c r="AX79" s="19">
        <f t="shared" si="79"/>
        <v>45579.5625</v>
      </c>
      <c r="AY79" s="19">
        <f t="shared" si="79"/>
        <v>45579.58333</v>
      </c>
      <c r="AZ79" s="19">
        <f t="shared" si="79"/>
        <v>45579.60417</v>
      </c>
      <c r="BA79" s="19">
        <f t="shared" si="79"/>
        <v>45579.625</v>
      </c>
      <c r="BB79" s="19">
        <f t="shared" si="79"/>
        <v>45579.64583</v>
      </c>
      <c r="BC79" s="19">
        <f t="shared" si="79"/>
        <v>45579.66667</v>
      </c>
      <c r="BD79" s="19">
        <f t="shared" si="79"/>
        <v>45579.6875</v>
      </c>
      <c r="BE79" s="19">
        <f t="shared" si="79"/>
        <v>45579.70833</v>
      </c>
      <c r="BF79" s="19">
        <f t="shared" si="79"/>
        <v>45579.72917</v>
      </c>
      <c r="BG79" s="19">
        <f t="shared" si="79"/>
        <v>45579.75</v>
      </c>
      <c r="BH79" s="19">
        <f t="shared" si="79"/>
        <v>45579.77083</v>
      </c>
      <c r="BI79" s="19">
        <f t="shared" si="79"/>
        <v>45579.79167</v>
      </c>
      <c r="BJ79" s="19">
        <f t="shared" si="79"/>
        <v>45579.8125</v>
      </c>
      <c r="BK79" s="19">
        <f t="shared" si="79"/>
        <v>45579.83333</v>
      </c>
      <c r="BL79" s="19">
        <f t="shared" si="79"/>
        <v>45579.85417</v>
      </c>
      <c r="BM79" s="19">
        <f t="shared" si="79"/>
        <v>45579.875</v>
      </c>
      <c r="BN79" s="19">
        <f t="shared" si="79"/>
        <v>45579.89583</v>
      </c>
      <c r="BO79" s="19">
        <f t="shared" si="79"/>
        <v>45579.91667</v>
      </c>
      <c r="BP79" s="19">
        <f t="shared" si="79"/>
        <v>45579.9375</v>
      </c>
      <c r="BQ79" s="19">
        <f t="shared" si="79"/>
        <v>45579.95833</v>
      </c>
      <c r="BR79" s="19">
        <f t="shared" si="79"/>
        <v>45579.97917</v>
      </c>
      <c r="BS79" s="19">
        <f t="shared" si="79"/>
        <v>45580</v>
      </c>
      <c r="BT79" s="19">
        <f t="shared" si="79"/>
        <v>45580.02083</v>
      </c>
      <c r="BU79" s="19">
        <f t="shared" si="79"/>
        <v>45580.04167</v>
      </c>
      <c r="BV79" s="19">
        <f t="shared" si="79"/>
        <v>45580.0625</v>
      </c>
      <c r="BW79" s="19">
        <f t="shared" si="79"/>
        <v>45580.08333</v>
      </c>
      <c r="BX79" s="19">
        <f t="shared" si="79"/>
        <v>45579</v>
      </c>
      <c r="BY79" s="19">
        <f t="shared" si="79"/>
        <v>45579</v>
      </c>
      <c r="BZ79" s="19">
        <f t="shared" si="79"/>
        <v>45579</v>
      </c>
    </row>
    <row r="80" ht="14.25" customHeight="1">
      <c r="A80" s="17">
        <v>45580.0</v>
      </c>
      <c r="B80" s="2" t="str">
        <f t="array" ref="B80">IF(NOW()&gt;AM80,"",IF(AND((WEEKDAY($A80)+$B$2)&gt;1,((WEEKDAY($A80)+$T$2)&lt;7),(WEEKDAY($A80)&lt;&gt;1)),"work",(INDEX(Subject!$A:$I,MATCH(RANDBETWEEN(1,(MAX(Subject!$B:$B))),Subject!$B:$B,0),3))))</f>
        <v/>
      </c>
      <c r="C80" s="2" t="str">
        <f t="array" ref="C80">IF(NOW()&gt;AN80,"",IF(AND((WEEKDAY($A80)+$B$2)&gt;1,((WEEKDAY($A80)+$T$2)&lt;7),(WEEKDAY($A80)&lt;&gt;1)),"work",(INDEX(Subject!$A:$I,MATCH(RANDBETWEEN(1,(MAX(Subject!$B:$B))),Subject!$B:$B,0),3))))</f>
        <v/>
      </c>
      <c r="D80" s="2" t="str">
        <f t="array" ref="D80">IF(NOW()&gt;AO80,"",IF(AND((WEEKDAY($A80)+$B$2)&gt;1,((WEEKDAY($A80)+$T$2)&lt;7),(WEEKDAY($A80)&lt;&gt;1)),"work",(INDEX(Subject!$A:$I,MATCH(RANDBETWEEN(1,(MAX(Subject!$B:$B))),Subject!$B:$B,0),3))))</f>
        <v/>
      </c>
      <c r="E80" s="2" t="str">
        <f t="array" ref="E80">IF(NOW()&gt;AP80,"",IF(AND((WEEKDAY($A80)+$B$2)&gt;1,((WEEKDAY($A80)+$T$2)&lt;7),(WEEKDAY($A80)&lt;&gt;1)),"work",(INDEX(Subject!$A:$I,MATCH(RANDBETWEEN(1,(MAX(Subject!$B:$B))),Subject!$B:$B,0),3))))</f>
        <v/>
      </c>
      <c r="F80" s="2" t="str">
        <f t="array" ref="F80">IF(NOW()&gt;AQ80,"",IF(AND((WEEKDAY($A80)+$B$2)&gt;1,((WEEKDAY($A80)+$T$2)&lt;7),(WEEKDAY($A80)&lt;&gt;1)),"work",(INDEX(Subject!$A:$I,MATCH(RANDBETWEEN(1,(MAX(Subject!$B:$B))),Subject!$B:$B,0),3))))</f>
        <v/>
      </c>
      <c r="G80" s="2" t="str">
        <f t="array" ref="G80">IF(NOW()&gt;AR80,"",IF(AND((WEEKDAY($A80)+$B$2)&gt;1,((WEEKDAY($A80)+$T$2)&lt;7),(WEEKDAY($A80)&lt;&gt;1)),"work",(INDEX(Subject!$A:$I,MATCH(RANDBETWEEN(1,(MAX(Subject!$B:$B))),Subject!$B:$B,0),3))))</f>
        <v/>
      </c>
      <c r="H80" s="2" t="str">
        <f t="array" ref="H80">IF(NOW()&gt;AS80,"",IF(AND((WEEKDAY($A80)+$B$2)&gt;1,((WEEKDAY($A80)+$T$2)&lt;7),(WEEKDAY($A80)&lt;&gt;1)),"work",(INDEX(Subject!$A:$I,MATCH(RANDBETWEEN(1,(MAX(Subject!$B:$B))),Subject!$B:$B,0),3))))</f>
        <v/>
      </c>
      <c r="I80" s="2" t="str">
        <f t="array" ref="I80">IF(NOW()&gt;AT80,"",IF(AND((WEEKDAY($A80)+$B$2)&gt;1,((WEEKDAY($A80)+$T$2)&lt;7),(WEEKDAY($A80)&lt;&gt;1)),"work",(INDEX(Subject!$A:$I,MATCH(RANDBETWEEN(1,(MAX(Subject!$B:$B))),Subject!$B:$B,0),3))))</f>
        <v/>
      </c>
      <c r="J80" s="2" t="str">
        <f t="array" ref="J80">IF(NOW()&gt;AU80,"",IF(AND((WEEKDAY($A80)+$B$2)&gt;1,((WEEKDAY($A80)+$T$2)&lt;7),(WEEKDAY($A80)&lt;&gt;1)),"work",(INDEX(Subject!$A:$I,MATCH(RANDBETWEEN(1,(MAX(Subject!$B:$B))),Subject!$B:$B,0),3))))</f>
        <v/>
      </c>
      <c r="K80" s="2" t="str">
        <f t="array" ref="K80">IF(NOW()&gt;AV80,"",IF(AND((WEEKDAY($A80)+$B$2)&gt;1,((WEEKDAY($A80)+$T$2)&lt;7),(WEEKDAY($A80)&lt;&gt;1)),"work",(INDEX(Subject!$A:$I,MATCH(RANDBETWEEN(1,(MAX(Subject!$B:$B))),Subject!$B:$B,0),3))))</f>
        <v/>
      </c>
      <c r="L80" s="2" t="str">
        <f t="array" ref="L80">IF(NOW()&gt;AW80,"",IF(AND((WEEKDAY($A80)+$B$2)&gt;1,((WEEKDAY($A80)+$T$2)&lt;7),(WEEKDAY($A80)&lt;&gt;1)),"work",(INDEX(Subject!$A:$I,MATCH(RANDBETWEEN(1,(MAX(Subject!$B:$B))),Subject!$B:$B,0),3))))</f>
        <v/>
      </c>
      <c r="M80" s="2" t="str">
        <f t="array" ref="M80">IF(NOW()&gt;AX80,"",IF(AND((WEEKDAY($A80)+$B$2)&gt;1,((WEEKDAY($A80)+$T$2)&lt;7),(WEEKDAY($A80)&lt;&gt;1)),"work",(INDEX(Subject!$A:$I,MATCH(RANDBETWEEN(1,(MAX(Subject!$B:$B))),Subject!$B:$B,0),3))))</f>
        <v/>
      </c>
      <c r="N80" s="2" t="str">
        <f t="array" ref="N80">IF(NOW()&gt;AY80,"",IF(AND((WEEKDAY($A80)+$B$2)&gt;1,((WEEKDAY($A80)+$T$2)&lt;7),(WEEKDAY($A80)&lt;&gt;1)),"work",(INDEX(Subject!$A:$I,MATCH(RANDBETWEEN(1,(MAX(Subject!$B:$B))),Subject!$B:$B,0),3))))</f>
        <v/>
      </c>
      <c r="O80" s="2" t="str">
        <f t="array" ref="O80">IF(NOW()&gt;AZ80,"",IF(AND((WEEKDAY($A80)+$B$2)&gt;1,((WEEKDAY($A80)+$T$2)&lt;7),(WEEKDAY($A80)&lt;&gt;1)),"work",(INDEX(Subject!$A:$I,MATCH(RANDBETWEEN(1,(MAX(Subject!$B:$B))),Subject!$B:$B,0),3))))</f>
        <v/>
      </c>
      <c r="P80" s="2" t="str">
        <f t="array" ref="P80">IF(NOW()&gt;BA80,"",IF(AND((WEEKDAY($A80)+$B$2)&gt;1,((WEEKDAY($A80)+$T$2)&lt;7),(WEEKDAY($A80)&lt;&gt;1)),"work",(INDEX(Subject!$A:$I,MATCH(RANDBETWEEN(1,(MAX(Subject!$B:$B))),Subject!$B:$B,0),3))))</f>
        <v/>
      </c>
      <c r="Q80" s="2" t="str">
        <f t="array" ref="Q80">IF(NOW()&gt;BB80,"",IF(AND((WEEKDAY($A80)+$B$2)&gt;1,((WEEKDAY($A80)+$T$2)&lt;7),(WEEKDAY($A80)&lt;&gt;1)),"work",(INDEX(Subject!$A:$I,MATCH(RANDBETWEEN(1,(MAX(Subject!$B:$B))),Subject!$B:$B,0),3))))</f>
        <v/>
      </c>
      <c r="R80" s="2" t="str">
        <f t="array" ref="R80">IF(NOW()&gt;BC80,"",IF(AND((WEEKDAY($A80)+$B$2)&gt;1,((WEEKDAY($A80)+$T$2)&lt;7),(WEEKDAY($A80)&lt;&gt;1)),"work",(INDEX(Subject!$A:$I,MATCH(RANDBETWEEN(1,(MAX(Subject!$B:$B))),Subject!$B:$B,0),3))))</f>
        <v/>
      </c>
      <c r="S80" s="2" t="str">
        <f t="array" ref="S80">IF(NOW()&gt;BD80,"",IF(AND((WEEKDAY($A80)+$B$2)&gt;1,((WEEKDAY($A80)+$T$2)&lt;7),(WEEKDAY($A80)&lt;&gt;1)),"work",(INDEX(Subject!$A:$I,MATCH(RANDBETWEEN(1,(MAX(Subject!$B:$B))),Subject!$B:$B,0),3))))</f>
        <v/>
      </c>
      <c r="T80" s="2" t="str">
        <f t="array" ref="T80">IF(NOW()&gt;BE80,"",IF(AND((WEEKDAY($A80)+$B$2)&gt;1,((WEEKDAY($A80)+$T$2)&lt;7),(WEEKDAY($A80)&lt;&gt;1)),"work",(INDEX(Subject!$A:$I,MATCH(RANDBETWEEN(1,(MAX(Subject!$B:$B))),Subject!$B:$B,0),3))))</f>
        <v/>
      </c>
      <c r="U80" s="8" t="str">
        <f t="array" ref="U80">INDEX(Subject!$A:$I,MATCH(RANDBETWEEN(1,16),Subject!$B:$B,0),3)</f>
        <v>#N/A</v>
      </c>
      <c r="V80" s="8" t="str">
        <f t="array" ref="V80">INDEX(Subject!$A:$I,MATCH(RANDBETWEEN(1,16),Subject!$B:$B,0),3)</f>
        <v>#N/A</v>
      </c>
      <c r="W80" s="8" t="str">
        <f t="array" ref="W80">INDEX(Subject!$A:$I,MATCH(RANDBETWEEN(1,16),Subject!$B:$B,0),3)</f>
        <v>#N/A</v>
      </c>
      <c r="X80" s="8" t="str">
        <f t="array" ref="X80">INDEX(Subject!$A:$I,MATCH(RANDBETWEEN(1,16),Subject!$B:$B,0),3)</f>
        <v>#N/A</v>
      </c>
      <c r="Y80" s="8" t="str">
        <f t="array" ref="Y80">INDEX(Subject!$A:$I,MATCH(RANDBETWEEN(1,16),Subject!$B:$B,0),3)</f>
        <v/>
      </c>
      <c r="Z80" s="8" t="str">
        <f t="array" ref="Z80">INDEX(Subject!$A:$I,MATCH(RANDBETWEEN(1,16),Subject!$B:$B,0),3)</f>
        <v>#N/A</v>
      </c>
      <c r="AA80" s="8" t="str">
        <f t="array" ref="AA80">INDEX(Subject!$A:$I,MATCH(RANDBETWEEN(1,16),Subject!$B:$B,0),3)</f>
        <v>#N/A</v>
      </c>
      <c r="AB80" s="8" t="str">
        <f t="array" ref="AB80">INDEX(Subject!$A:$I,MATCH(RANDBETWEEN(1,16),Subject!$B:$B,0),3)</f>
        <v>#N/A</v>
      </c>
      <c r="AC80" s="8" t="str">
        <f t="array" ref="AC80">INDEX(Subject!$A:$I,MATCH(RANDBETWEEN(1,16),Subject!$B:$B,0),3)</f>
        <v>#N/A</v>
      </c>
      <c r="AD80" s="8" t="str">
        <f t="array" ref="AD80">INDEX(Subject!$A:$I,MATCH(RANDBETWEEN(1,16),Subject!$B:$B,0),3)</f>
        <v>#N/A</v>
      </c>
      <c r="AE80" s="8" t="str">
        <f t="array" ref="AE80">INDEX(Subject!$A:$I,MATCH(RANDBETWEEN(1,16),Subject!$B:$B,0),3)</f>
        <v>#N/A</v>
      </c>
      <c r="AF80" s="8" t="str">
        <f t="array" ref="AF80">INDEX(Subject!$A:$I,MATCH(RANDBETWEEN(1,16),Subject!$B:$B,0),3)</f>
        <v>#N/A</v>
      </c>
      <c r="AG80" s="8" t="str">
        <f t="array" ref="AG80">INDEX(Subject!$A:$I,MATCH(RANDBETWEEN(1,16),Subject!$B:$B,0),3)</f>
        <v>#N/A</v>
      </c>
      <c r="AH80" s="8" t="str">
        <f t="array" ref="AH80">INDEX(Subject!$A:$I,MATCH(RANDBETWEEN(1,16),Subject!$B:$B,0),3)</f>
        <v>#N/A</v>
      </c>
      <c r="AI80" s="8" t="str">
        <f t="array" ref="AI80">INDEX(Subject!$A:$I,MATCH(RANDBETWEEN(1,16),Subject!$B:$B,0),3)</f>
        <v>#N/A</v>
      </c>
      <c r="AJ80" s="8" t="str">
        <f t="array" ref="AJ80">INDEX(Subject!$A:$I,MATCH(RANDBETWEEN(1,16),Subject!$B:$B,0),3)</f>
        <v>#N/A</v>
      </c>
      <c r="AK80" s="8" t="str">
        <f t="array" ref="AK80">INDEX(Subject!$A:$I,MATCH(RANDBETWEEN(1,16),Subject!$B:$B,0),3)</f>
        <v>#N/A</v>
      </c>
      <c r="AL80" s="8" t="str">
        <f t="array" ref="AL80">INDEX(Subject!$A:$I,MATCH(RANDBETWEEN(1,16),Subject!$B:$B,0),3)</f>
        <v>#N/A</v>
      </c>
      <c r="AM80" s="18">
        <f t="shared" si="4"/>
        <v>45580.33333</v>
      </c>
      <c r="AN80" s="19">
        <f t="shared" ref="AN80:BZ80" si="80">$A80+C$1</f>
        <v>45580.35417</v>
      </c>
      <c r="AO80" s="19">
        <f t="shared" si="80"/>
        <v>45580.375</v>
      </c>
      <c r="AP80" s="19">
        <f t="shared" si="80"/>
        <v>45580.39583</v>
      </c>
      <c r="AQ80" s="19">
        <f t="shared" si="80"/>
        <v>45580.41667</v>
      </c>
      <c r="AR80" s="19">
        <f t="shared" si="80"/>
        <v>45580.4375</v>
      </c>
      <c r="AS80" s="19">
        <f t="shared" si="80"/>
        <v>45580.45833</v>
      </c>
      <c r="AT80" s="19">
        <f t="shared" si="80"/>
        <v>45580.47917</v>
      </c>
      <c r="AU80" s="19">
        <f t="shared" si="80"/>
        <v>45580.5</v>
      </c>
      <c r="AV80" s="19">
        <f t="shared" si="80"/>
        <v>45580.52083</v>
      </c>
      <c r="AW80" s="19">
        <f t="shared" si="80"/>
        <v>45580.54167</v>
      </c>
      <c r="AX80" s="19">
        <f t="shared" si="80"/>
        <v>45580.5625</v>
      </c>
      <c r="AY80" s="19">
        <f t="shared" si="80"/>
        <v>45580.58333</v>
      </c>
      <c r="AZ80" s="19">
        <f t="shared" si="80"/>
        <v>45580.60417</v>
      </c>
      <c r="BA80" s="19">
        <f t="shared" si="80"/>
        <v>45580.625</v>
      </c>
      <c r="BB80" s="19">
        <f t="shared" si="80"/>
        <v>45580.64583</v>
      </c>
      <c r="BC80" s="19">
        <f t="shared" si="80"/>
        <v>45580.66667</v>
      </c>
      <c r="BD80" s="19">
        <f t="shared" si="80"/>
        <v>45580.6875</v>
      </c>
      <c r="BE80" s="19">
        <f t="shared" si="80"/>
        <v>45580.70833</v>
      </c>
      <c r="BF80" s="19">
        <f t="shared" si="80"/>
        <v>45580.72917</v>
      </c>
      <c r="BG80" s="19">
        <f t="shared" si="80"/>
        <v>45580.75</v>
      </c>
      <c r="BH80" s="19">
        <f t="shared" si="80"/>
        <v>45580.77083</v>
      </c>
      <c r="BI80" s="19">
        <f t="shared" si="80"/>
        <v>45580.79167</v>
      </c>
      <c r="BJ80" s="19">
        <f t="shared" si="80"/>
        <v>45580.8125</v>
      </c>
      <c r="BK80" s="19">
        <f t="shared" si="80"/>
        <v>45580.83333</v>
      </c>
      <c r="BL80" s="19">
        <f t="shared" si="80"/>
        <v>45580.85417</v>
      </c>
      <c r="BM80" s="19">
        <f t="shared" si="80"/>
        <v>45580.875</v>
      </c>
      <c r="BN80" s="19">
        <f t="shared" si="80"/>
        <v>45580.89583</v>
      </c>
      <c r="BO80" s="19">
        <f t="shared" si="80"/>
        <v>45580.91667</v>
      </c>
      <c r="BP80" s="19">
        <f t="shared" si="80"/>
        <v>45580.9375</v>
      </c>
      <c r="BQ80" s="19">
        <f t="shared" si="80"/>
        <v>45580.95833</v>
      </c>
      <c r="BR80" s="19">
        <f t="shared" si="80"/>
        <v>45580.97917</v>
      </c>
      <c r="BS80" s="19">
        <f t="shared" si="80"/>
        <v>45581</v>
      </c>
      <c r="BT80" s="19">
        <f t="shared" si="80"/>
        <v>45581.02083</v>
      </c>
      <c r="BU80" s="19">
        <f t="shared" si="80"/>
        <v>45581.04167</v>
      </c>
      <c r="BV80" s="19">
        <f t="shared" si="80"/>
        <v>45581.0625</v>
      </c>
      <c r="BW80" s="19">
        <f t="shared" si="80"/>
        <v>45581.08333</v>
      </c>
      <c r="BX80" s="19">
        <f t="shared" si="80"/>
        <v>45580</v>
      </c>
      <c r="BY80" s="19">
        <f t="shared" si="80"/>
        <v>45580</v>
      </c>
      <c r="BZ80" s="19">
        <f t="shared" si="80"/>
        <v>45580</v>
      </c>
    </row>
    <row r="81" ht="14.25" customHeight="1">
      <c r="A81" s="17">
        <v>45581.0</v>
      </c>
      <c r="B81" s="2" t="str">
        <f t="array" ref="B81">IF(NOW()&gt;AM81,"",IF(AND((WEEKDAY($A81)+$B$2)&gt;1,((WEEKDAY($A81)+$T$2)&lt;7),(WEEKDAY($A81)&lt;&gt;1)),"work",(INDEX(Subject!$A:$I,MATCH(RANDBETWEEN(1,(MAX(Subject!$B:$B))),Subject!$B:$B,0),3))))</f>
        <v/>
      </c>
      <c r="C81" s="2" t="str">
        <f t="array" ref="C81">IF(NOW()&gt;AN81,"",IF(AND((WEEKDAY($A81)+$B$2)&gt;1,((WEEKDAY($A81)+$T$2)&lt;7),(WEEKDAY($A81)&lt;&gt;1)),"work",(INDEX(Subject!$A:$I,MATCH(RANDBETWEEN(1,(MAX(Subject!$B:$B))),Subject!$B:$B,0),3))))</f>
        <v/>
      </c>
      <c r="D81" s="2" t="str">
        <f t="array" ref="D81">IF(NOW()&gt;AO81,"",IF(AND((WEEKDAY($A81)+$B$2)&gt;1,((WEEKDAY($A81)+$T$2)&lt;7),(WEEKDAY($A81)&lt;&gt;1)),"work",(INDEX(Subject!$A:$I,MATCH(RANDBETWEEN(1,(MAX(Subject!$B:$B))),Subject!$B:$B,0),3))))</f>
        <v/>
      </c>
      <c r="E81" s="2" t="str">
        <f t="array" ref="E81">IF(NOW()&gt;AP81,"",IF(AND((WEEKDAY($A81)+$B$2)&gt;1,((WEEKDAY($A81)+$T$2)&lt;7),(WEEKDAY($A81)&lt;&gt;1)),"work",(INDEX(Subject!$A:$I,MATCH(RANDBETWEEN(1,(MAX(Subject!$B:$B))),Subject!$B:$B,0),3))))</f>
        <v/>
      </c>
      <c r="F81" s="2" t="str">
        <f t="array" ref="F81">IF(NOW()&gt;AQ81,"",IF(AND((WEEKDAY($A81)+$B$2)&gt;1,((WEEKDAY($A81)+$T$2)&lt;7),(WEEKDAY($A81)&lt;&gt;1)),"work",(INDEX(Subject!$A:$I,MATCH(RANDBETWEEN(1,(MAX(Subject!$B:$B))),Subject!$B:$B,0),3))))</f>
        <v/>
      </c>
      <c r="G81" s="2" t="str">
        <f t="array" ref="G81">IF(NOW()&gt;AR81,"",IF(AND((WEEKDAY($A81)+$B$2)&gt;1,((WEEKDAY($A81)+$T$2)&lt;7),(WEEKDAY($A81)&lt;&gt;1)),"work",(INDEX(Subject!$A:$I,MATCH(RANDBETWEEN(1,(MAX(Subject!$B:$B))),Subject!$B:$B,0),3))))</f>
        <v/>
      </c>
      <c r="H81" s="2" t="str">
        <f t="array" ref="H81">IF(NOW()&gt;AS81,"",IF(AND((WEEKDAY($A81)+$B$2)&gt;1,((WEEKDAY($A81)+$T$2)&lt;7),(WEEKDAY($A81)&lt;&gt;1)),"work",(INDEX(Subject!$A:$I,MATCH(RANDBETWEEN(1,(MAX(Subject!$B:$B))),Subject!$B:$B,0),3))))</f>
        <v/>
      </c>
      <c r="I81" s="2" t="str">
        <f t="array" ref="I81">IF(NOW()&gt;AT81,"",IF(AND((WEEKDAY($A81)+$B$2)&gt;1,((WEEKDAY($A81)+$T$2)&lt;7),(WEEKDAY($A81)&lt;&gt;1)),"work",(INDEX(Subject!$A:$I,MATCH(RANDBETWEEN(1,(MAX(Subject!$B:$B))),Subject!$B:$B,0),3))))</f>
        <v/>
      </c>
      <c r="J81" s="2" t="str">
        <f t="array" ref="J81">IF(NOW()&gt;AU81,"",IF(AND((WEEKDAY($A81)+$B$2)&gt;1,((WEEKDAY($A81)+$T$2)&lt;7),(WEEKDAY($A81)&lt;&gt;1)),"work",(INDEX(Subject!$A:$I,MATCH(RANDBETWEEN(1,(MAX(Subject!$B:$B))),Subject!$B:$B,0),3))))</f>
        <v/>
      </c>
      <c r="K81" s="2" t="str">
        <f t="array" ref="K81">IF(NOW()&gt;AV81,"",IF(AND((WEEKDAY($A81)+$B$2)&gt;1,((WEEKDAY($A81)+$T$2)&lt;7),(WEEKDAY($A81)&lt;&gt;1)),"work",(INDEX(Subject!$A:$I,MATCH(RANDBETWEEN(1,(MAX(Subject!$B:$B))),Subject!$B:$B,0),3))))</f>
        <v/>
      </c>
      <c r="L81" s="2" t="str">
        <f t="array" ref="L81">IF(NOW()&gt;AW81,"",IF(AND((WEEKDAY($A81)+$B$2)&gt;1,((WEEKDAY($A81)+$T$2)&lt;7),(WEEKDAY($A81)&lt;&gt;1)),"work",(INDEX(Subject!$A:$I,MATCH(RANDBETWEEN(1,(MAX(Subject!$B:$B))),Subject!$B:$B,0),3))))</f>
        <v/>
      </c>
      <c r="M81" s="2" t="str">
        <f t="array" ref="M81">IF(NOW()&gt;AX81,"",IF(AND((WEEKDAY($A81)+$B$2)&gt;1,((WEEKDAY($A81)+$T$2)&lt;7),(WEEKDAY($A81)&lt;&gt;1)),"work",(INDEX(Subject!$A:$I,MATCH(RANDBETWEEN(1,(MAX(Subject!$B:$B))),Subject!$B:$B,0),3))))</f>
        <v/>
      </c>
      <c r="N81" s="2" t="str">
        <f t="array" ref="N81">IF(NOW()&gt;AY81,"",IF(AND((WEEKDAY($A81)+$B$2)&gt;1,((WEEKDAY($A81)+$T$2)&lt;7),(WEEKDAY($A81)&lt;&gt;1)),"work",(INDEX(Subject!$A:$I,MATCH(RANDBETWEEN(1,(MAX(Subject!$B:$B))),Subject!$B:$B,0),3))))</f>
        <v/>
      </c>
      <c r="O81" s="2" t="str">
        <f t="array" ref="O81">IF(NOW()&gt;AZ81,"",IF(AND((WEEKDAY($A81)+$B$2)&gt;1,((WEEKDAY($A81)+$T$2)&lt;7),(WEEKDAY($A81)&lt;&gt;1)),"work",(INDEX(Subject!$A:$I,MATCH(RANDBETWEEN(1,(MAX(Subject!$B:$B))),Subject!$B:$B,0),3))))</f>
        <v/>
      </c>
      <c r="P81" s="2" t="str">
        <f t="array" ref="P81">IF(NOW()&gt;BA81,"",IF(AND((WEEKDAY($A81)+$B$2)&gt;1,((WEEKDAY($A81)+$T$2)&lt;7),(WEEKDAY($A81)&lt;&gt;1)),"work",(INDEX(Subject!$A:$I,MATCH(RANDBETWEEN(1,(MAX(Subject!$B:$B))),Subject!$B:$B,0),3))))</f>
        <v/>
      </c>
      <c r="Q81" s="2" t="str">
        <f t="array" ref="Q81">IF(NOW()&gt;BB81,"",IF(AND((WEEKDAY($A81)+$B$2)&gt;1,((WEEKDAY($A81)+$T$2)&lt;7),(WEEKDAY($A81)&lt;&gt;1)),"work",(INDEX(Subject!$A:$I,MATCH(RANDBETWEEN(1,(MAX(Subject!$B:$B))),Subject!$B:$B,0),3))))</f>
        <v/>
      </c>
      <c r="R81" s="2" t="str">
        <f t="array" ref="R81">IF(NOW()&gt;BC81,"",IF(AND((WEEKDAY($A81)+$B$2)&gt;1,((WEEKDAY($A81)+$T$2)&lt;7),(WEEKDAY($A81)&lt;&gt;1)),"work",(INDEX(Subject!$A:$I,MATCH(RANDBETWEEN(1,(MAX(Subject!$B:$B))),Subject!$B:$B,0),3))))</f>
        <v/>
      </c>
      <c r="S81" s="2" t="str">
        <f t="array" ref="S81">IF(NOW()&gt;BD81,"",IF(AND((WEEKDAY($A81)+$B$2)&gt;1,((WEEKDAY($A81)+$T$2)&lt;7),(WEEKDAY($A81)&lt;&gt;1)),"work",(INDEX(Subject!$A:$I,MATCH(RANDBETWEEN(1,(MAX(Subject!$B:$B))),Subject!$B:$B,0),3))))</f>
        <v/>
      </c>
      <c r="T81" s="2" t="str">
        <f t="array" ref="T81">IF(NOW()&gt;BE81,"",IF(AND((WEEKDAY($A81)+$B$2)&gt;1,((WEEKDAY($A81)+$T$2)&lt;7),(WEEKDAY($A81)&lt;&gt;1)),"work",(INDEX(Subject!$A:$I,MATCH(RANDBETWEEN(1,(MAX(Subject!$B:$B))),Subject!$B:$B,0),3))))</f>
        <v/>
      </c>
      <c r="U81" s="8" t="str">
        <f t="array" ref="U81">INDEX(Subject!$A:$I,MATCH(RANDBETWEEN(1,16),Subject!$B:$B,0),3)</f>
        <v>#N/A</v>
      </c>
      <c r="V81" s="8" t="str">
        <f t="array" ref="V81">INDEX(Subject!$A:$I,MATCH(RANDBETWEEN(1,16),Subject!$B:$B,0),3)</f>
        <v>#N/A</v>
      </c>
      <c r="W81" s="8" t="str">
        <f t="array" ref="W81">INDEX(Subject!$A:$I,MATCH(RANDBETWEEN(1,16),Subject!$B:$B,0),3)</f>
        <v>#N/A</v>
      </c>
      <c r="X81" s="8" t="str">
        <f t="array" ref="X81">INDEX(Subject!$A:$I,MATCH(RANDBETWEEN(1,16),Subject!$B:$B,0),3)</f>
        <v>#N/A</v>
      </c>
      <c r="Y81" s="8" t="str">
        <f t="array" ref="Y81">INDEX(Subject!$A:$I,MATCH(RANDBETWEEN(1,16),Subject!$B:$B,0),3)</f>
        <v>#N/A</v>
      </c>
      <c r="Z81" s="8" t="str">
        <f t="array" ref="Z81">INDEX(Subject!$A:$I,MATCH(RANDBETWEEN(1,16),Subject!$B:$B,0),3)</f>
        <v>#N/A</v>
      </c>
      <c r="AA81" s="8" t="str">
        <f t="array" ref="AA81">INDEX(Subject!$A:$I,MATCH(RANDBETWEEN(1,16),Subject!$B:$B,0),3)</f>
        <v>#N/A</v>
      </c>
      <c r="AB81" s="8" t="str">
        <f t="array" ref="AB81">INDEX(Subject!$A:$I,MATCH(RANDBETWEEN(1,16),Subject!$B:$B,0),3)</f>
        <v>#N/A</v>
      </c>
      <c r="AC81" s="8" t="str">
        <f t="array" ref="AC81">INDEX(Subject!$A:$I,MATCH(RANDBETWEEN(1,16),Subject!$B:$B,0),3)</f>
        <v>#N/A</v>
      </c>
      <c r="AD81" s="8" t="str">
        <f t="array" ref="AD81">INDEX(Subject!$A:$I,MATCH(RANDBETWEEN(1,16),Subject!$B:$B,0),3)</f>
        <v/>
      </c>
      <c r="AE81" s="8" t="str">
        <f t="array" ref="AE81">INDEX(Subject!$A:$I,MATCH(RANDBETWEEN(1,16),Subject!$B:$B,0),3)</f>
        <v>#N/A</v>
      </c>
      <c r="AF81" s="8" t="str">
        <f t="array" ref="AF81">INDEX(Subject!$A:$I,MATCH(RANDBETWEEN(1,16),Subject!$B:$B,0),3)</f>
        <v>#N/A</v>
      </c>
      <c r="AG81" s="8" t="str">
        <f t="array" ref="AG81">INDEX(Subject!$A:$I,MATCH(RANDBETWEEN(1,16),Subject!$B:$B,0),3)</f>
        <v>#N/A</v>
      </c>
      <c r="AH81" s="8" t="str">
        <f t="array" ref="AH81">INDEX(Subject!$A:$I,MATCH(RANDBETWEEN(1,16),Subject!$B:$B,0),3)</f>
        <v>#N/A</v>
      </c>
      <c r="AI81" s="8" t="str">
        <f t="array" ref="AI81">INDEX(Subject!$A:$I,MATCH(RANDBETWEEN(1,16),Subject!$B:$B,0),3)</f>
        <v>#N/A</v>
      </c>
      <c r="AJ81" s="8" t="str">
        <f t="array" ref="AJ81">INDEX(Subject!$A:$I,MATCH(RANDBETWEEN(1,16),Subject!$B:$B,0),3)</f>
        <v>#N/A</v>
      </c>
      <c r="AK81" s="8" t="str">
        <f t="array" ref="AK81">INDEX(Subject!$A:$I,MATCH(RANDBETWEEN(1,16),Subject!$B:$B,0),3)</f>
        <v>#N/A</v>
      </c>
      <c r="AL81" s="8" t="str">
        <f t="array" ref="AL81">INDEX(Subject!$A:$I,MATCH(RANDBETWEEN(1,16),Subject!$B:$B,0),3)</f>
        <v>#N/A</v>
      </c>
      <c r="AM81" s="18">
        <f t="shared" si="4"/>
        <v>45581.33333</v>
      </c>
      <c r="AN81" s="19">
        <f t="shared" ref="AN81:BZ81" si="81">$A81+C$1</f>
        <v>45581.35417</v>
      </c>
      <c r="AO81" s="19">
        <f t="shared" si="81"/>
        <v>45581.375</v>
      </c>
      <c r="AP81" s="19">
        <f t="shared" si="81"/>
        <v>45581.39583</v>
      </c>
      <c r="AQ81" s="19">
        <f t="shared" si="81"/>
        <v>45581.41667</v>
      </c>
      <c r="AR81" s="19">
        <f t="shared" si="81"/>
        <v>45581.4375</v>
      </c>
      <c r="AS81" s="19">
        <f t="shared" si="81"/>
        <v>45581.45833</v>
      </c>
      <c r="AT81" s="19">
        <f t="shared" si="81"/>
        <v>45581.47917</v>
      </c>
      <c r="AU81" s="19">
        <f t="shared" si="81"/>
        <v>45581.5</v>
      </c>
      <c r="AV81" s="19">
        <f t="shared" si="81"/>
        <v>45581.52083</v>
      </c>
      <c r="AW81" s="19">
        <f t="shared" si="81"/>
        <v>45581.54167</v>
      </c>
      <c r="AX81" s="19">
        <f t="shared" si="81"/>
        <v>45581.5625</v>
      </c>
      <c r="AY81" s="19">
        <f t="shared" si="81"/>
        <v>45581.58333</v>
      </c>
      <c r="AZ81" s="19">
        <f t="shared" si="81"/>
        <v>45581.60417</v>
      </c>
      <c r="BA81" s="19">
        <f t="shared" si="81"/>
        <v>45581.625</v>
      </c>
      <c r="BB81" s="19">
        <f t="shared" si="81"/>
        <v>45581.64583</v>
      </c>
      <c r="BC81" s="19">
        <f t="shared" si="81"/>
        <v>45581.66667</v>
      </c>
      <c r="BD81" s="19">
        <f t="shared" si="81"/>
        <v>45581.6875</v>
      </c>
      <c r="BE81" s="19">
        <f t="shared" si="81"/>
        <v>45581.70833</v>
      </c>
      <c r="BF81" s="19">
        <f t="shared" si="81"/>
        <v>45581.72917</v>
      </c>
      <c r="BG81" s="19">
        <f t="shared" si="81"/>
        <v>45581.75</v>
      </c>
      <c r="BH81" s="19">
        <f t="shared" si="81"/>
        <v>45581.77083</v>
      </c>
      <c r="BI81" s="19">
        <f t="shared" si="81"/>
        <v>45581.79167</v>
      </c>
      <c r="BJ81" s="19">
        <f t="shared" si="81"/>
        <v>45581.8125</v>
      </c>
      <c r="BK81" s="19">
        <f t="shared" si="81"/>
        <v>45581.83333</v>
      </c>
      <c r="BL81" s="19">
        <f t="shared" si="81"/>
        <v>45581.85417</v>
      </c>
      <c r="BM81" s="19">
        <f t="shared" si="81"/>
        <v>45581.875</v>
      </c>
      <c r="BN81" s="19">
        <f t="shared" si="81"/>
        <v>45581.89583</v>
      </c>
      <c r="BO81" s="19">
        <f t="shared" si="81"/>
        <v>45581.91667</v>
      </c>
      <c r="BP81" s="19">
        <f t="shared" si="81"/>
        <v>45581.9375</v>
      </c>
      <c r="BQ81" s="19">
        <f t="shared" si="81"/>
        <v>45581.95833</v>
      </c>
      <c r="BR81" s="19">
        <f t="shared" si="81"/>
        <v>45581.97917</v>
      </c>
      <c r="BS81" s="19">
        <f t="shared" si="81"/>
        <v>45582</v>
      </c>
      <c r="BT81" s="19">
        <f t="shared" si="81"/>
        <v>45582.02083</v>
      </c>
      <c r="BU81" s="19">
        <f t="shared" si="81"/>
        <v>45582.04167</v>
      </c>
      <c r="BV81" s="19">
        <f t="shared" si="81"/>
        <v>45582.0625</v>
      </c>
      <c r="BW81" s="19">
        <f t="shared" si="81"/>
        <v>45582.08333</v>
      </c>
      <c r="BX81" s="19">
        <f t="shared" si="81"/>
        <v>45581</v>
      </c>
      <c r="BY81" s="19">
        <f t="shared" si="81"/>
        <v>45581</v>
      </c>
      <c r="BZ81" s="19">
        <f t="shared" si="81"/>
        <v>45581</v>
      </c>
    </row>
    <row r="82" ht="14.25" customHeight="1">
      <c r="A82" s="17">
        <v>45582.0</v>
      </c>
      <c r="B82" s="2" t="str">
        <f t="array" ref="B82">IF(NOW()&gt;AM82,"",IF(AND((WEEKDAY($A82)+$B$2)&gt;1,((WEEKDAY($A82)+$T$2)&lt;7),(WEEKDAY($A82)&lt;&gt;1)),"work",(INDEX(Subject!$A:$I,MATCH(RANDBETWEEN(1,(MAX(Subject!$B:$B))),Subject!$B:$B,0),3))))</f>
        <v/>
      </c>
      <c r="C82" s="2" t="str">
        <f t="array" ref="C82">IF(NOW()&gt;AN82,"",IF(AND((WEEKDAY($A82)+$B$2)&gt;1,((WEEKDAY($A82)+$T$2)&lt;7),(WEEKDAY($A82)&lt;&gt;1)),"work",(INDEX(Subject!$A:$I,MATCH(RANDBETWEEN(1,(MAX(Subject!$B:$B))),Subject!$B:$B,0),3))))</f>
        <v/>
      </c>
      <c r="D82" s="2" t="str">
        <f t="array" ref="D82">IF(NOW()&gt;AO82,"",IF(AND((WEEKDAY($A82)+$B$2)&gt;1,((WEEKDAY($A82)+$T$2)&lt;7),(WEEKDAY($A82)&lt;&gt;1)),"work",(INDEX(Subject!$A:$I,MATCH(RANDBETWEEN(1,(MAX(Subject!$B:$B))),Subject!$B:$B,0),3))))</f>
        <v/>
      </c>
      <c r="E82" s="2" t="str">
        <f t="array" ref="E82">IF(NOW()&gt;AP82,"",IF(AND((WEEKDAY($A82)+$B$2)&gt;1,((WEEKDAY($A82)+$T$2)&lt;7),(WEEKDAY($A82)&lt;&gt;1)),"work",(INDEX(Subject!$A:$I,MATCH(RANDBETWEEN(1,(MAX(Subject!$B:$B))),Subject!$B:$B,0),3))))</f>
        <v/>
      </c>
      <c r="F82" s="2" t="str">
        <f t="array" ref="F82">IF(NOW()&gt;AQ82,"",IF(AND((WEEKDAY($A82)+$B$2)&gt;1,((WEEKDAY($A82)+$T$2)&lt;7),(WEEKDAY($A82)&lt;&gt;1)),"work",(INDEX(Subject!$A:$I,MATCH(RANDBETWEEN(1,(MAX(Subject!$B:$B))),Subject!$B:$B,0),3))))</f>
        <v/>
      </c>
      <c r="G82" s="2" t="str">
        <f t="array" ref="G82">IF(NOW()&gt;AR82,"",IF(AND((WEEKDAY($A82)+$B$2)&gt;1,((WEEKDAY($A82)+$T$2)&lt;7),(WEEKDAY($A82)&lt;&gt;1)),"work",(INDEX(Subject!$A:$I,MATCH(RANDBETWEEN(1,(MAX(Subject!$B:$B))),Subject!$B:$B,0),3))))</f>
        <v/>
      </c>
      <c r="H82" s="2" t="str">
        <f t="array" ref="H82">IF(NOW()&gt;AS82,"",IF(AND((WEEKDAY($A82)+$B$2)&gt;1,((WEEKDAY($A82)+$T$2)&lt;7),(WEEKDAY($A82)&lt;&gt;1)),"work",(INDEX(Subject!$A:$I,MATCH(RANDBETWEEN(1,(MAX(Subject!$B:$B))),Subject!$B:$B,0),3))))</f>
        <v/>
      </c>
      <c r="I82" s="2" t="str">
        <f t="array" ref="I82">IF(NOW()&gt;AT82,"",IF(AND((WEEKDAY($A82)+$B$2)&gt;1,((WEEKDAY($A82)+$T$2)&lt;7),(WEEKDAY($A82)&lt;&gt;1)),"work",(INDEX(Subject!$A:$I,MATCH(RANDBETWEEN(1,(MAX(Subject!$B:$B))),Subject!$B:$B,0),3))))</f>
        <v/>
      </c>
      <c r="J82" s="2" t="str">
        <f t="array" ref="J82">IF(NOW()&gt;AU82,"",IF(AND((WEEKDAY($A82)+$B$2)&gt;1,((WEEKDAY($A82)+$T$2)&lt;7),(WEEKDAY($A82)&lt;&gt;1)),"work",(INDEX(Subject!$A:$I,MATCH(RANDBETWEEN(1,(MAX(Subject!$B:$B))),Subject!$B:$B,0),3))))</f>
        <v/>
      </c>
      <c r="K82" s="2" t="str">
        <f t="array" ref="K82">IF(NOW()&gt;AV82,"",IF(AND((WEEKDAY($A82)+$B$2)&gt;1,((WEEKDAY($A82)+$T$2)&lt;7),(WEEKDAY($A82)&lt;&gt;1)),"work",(INDEX(Subject!$A:$I,MATCH(RANDBETWEEN(1,(MAX(Subject!$B:$B))),Subject!$B:$B,0),3))))</f>
        <v/>
      </c>
      <c r="L82" s="2" t="str">
        <f t="array" ref="L82">IF(NOW()&gt;AW82,"",IF(AND((WEEKDAY($A82)+$B$2)&gt;1,((WEEKDAY($A82)+$T$2)&lt;7),(WEEKDAY($A82)&lt;&gt;1)),"work",(INDEX(Subject!$A:$I,MATCH(RANDBETWEEN(1,(MAX(Subject!$B:$B))),Subject!$B:$B,0),3))))</f>
        <v/>
      </c>
      <c r="M82" s="2" t="str">
        <f t="array" ref="M82">IF(NOW()&gt;AX82,"",IF(AND((WEEKDAY($A82)+$B$2)&gt;1,((WEEKDAY($A82)+$T$2)&lt;7),(WEEKDAY($A82)&lt;&gt;1)),"work",(INDEX(Subject!$A:$I,MATCH(RANDBETWEEN(1,(MAX(Subject!$B:$B))),Subject!$B:$B,0),3))))</f>
        <v/>
      </c>
      <c r="N82" s="2" t="str">
        <f t="array" ref="N82">IF(NOW()&gt;AY82,"",IF(AND((WEEKDAY($A82)+$B$2)&gt;1,((WEEKDAY($A82)+$T$2)&lt;7),(WEEKDAY($A82)&lt;&gt;1)),"work",(INDEX(Subject!$A:$I,MATCH(RANDBETWEEN(1,(MAX(Subject!$B:$B))),Subject!$B:$B,0),3))))</f>
        <v/>
      </c>
      <c r="O82" s="2" t="str">
        <f t="array" ref="O82">IF(NOW()&gt;AZ82,"",IF(AND((WEEKDAY($A82)+$B$2)&gt;1,((WEEKDAY($A82)+$T$2)&lt;7),(WEEKDAY($A82)&lt;&gt;1)),"work",(INDEX(Subject!$A:$I,MATCH(RANDBETWEEN(1,(MAX(Subject!$B:$B))),Subject!$B:$B,0),3))))</f>
        <v/>
      </c>
      <c r="P82" s="2" t="str">
        <f t="array" ref="P82">IF(NOW()&gt;BA82,"",IF(AND((WEEKDAY($A82)+$B$2)&gt;1,((WEEKDAY($A82)+$T$2)&lt;7),(WEEKDAY($A82)&lt;&gt;1)),"work",(INDEX(Subject!$A:$I,MATCH(RANDBETWEEN(1,(MAX(Subject!$B:$B))),Subject!$B:$B,0),3))))</f>
        <v/>
      </c>
      <c r="Q82" s="2" t="str">
        <f t="array" ref="Q82">IF(NOW()&gt;BB82,"",IF(AND((WEEKDAY($A82)+$B$2)&gt;1,((WEEKDAY($A82)+$T$2)&lt;7),(WEEKDAY($A82)&lt;&gt;1)),"work",(INDEX(Subject!$A:$I,MATCH(RANDBETWEEN(1,(MAX(Subject!$B:$B))),Subject!$B:$B,0),3))))</f>
        <v/>
      </c>
      <c r="R82" s="2" t="str">
        <f t="array" ref="R82">IF(NOW()&gt;BC82,"",IF(AND((WEEKDAY($A82)+$B$2)&gt;1,((WEEKDAY($A82)+$T$2)&lt;7),(WEEKDAY($A82)&lt;&gt;1)),"work",(INDEX(Subject!$A:$I,MATCH(RANDBETWEEN(1,(MAX(Subject!$B:$B))),Subject!$B:$B,0),3))))</f>
        <v/>
      </c>
      <c r="S82" s="2" t="str">
        <f t="array" ref="S82">IF(NOW()&gt;BD82,"",IF(AND((WEEKDAY($A82)+$B$2)&gt;1,((WEEKDAY($A82)+$T$2)&lt;7),(WEEKDAY($A82)&lt;&gt;1)),"work",(INDEX(Subject!$A:$I,MATCH(RANDBETWEEN(1,(MAX(Subject!$B:$B))),Subject!$B:$B,0),3))))</f>
        <v/>
      </c>
      <c r="T82" s="2" t="str">
        <f t="array" ref="T82">IF(NOW()&gt;BE82,"",IF(AND((WEEKDAY($A82)+$B$2)&gt;1,((WEEKDAY($A82)+$T$2)&lt;7),(WEEKDAY($A82)&lt;&gt;1)),"work",(INDEX(Subject!$A:$I,MATCH(RANDBETWEEN(1,(MAX(Subject!$B:$B))),Subject!$B:$B,0),3))))</f>
        <v/>
      </c>
      <c r="U82" s="8" t="str">
        <f t="array" ref="U82">INDEX(Subject!$A:$I,MATCH(RANDBETWEEN(1,16),Subject!$B:$B,0),3)</f>
        <v>#N/A</v>
      </c>
      <c r="V82" s="8" t="str">
        <f t="array" ref="V82">INDEX(Subject!$A:$I,MATCH(RANDBETWEEN(1,16),Subject!$B:$B,0),3)</f>
        <v>#N/A</v>
      </c>
      <c r="W82" s="8" t="str">
        <f t="array" ref="W82">INDEX(Subject!$A:$I,MATCH(RANDBETWEEN(1,16),Subject!$B:$B,0),3)</f>
        <v>#N/A</v>
      </c>
      <c r="X82" s="8" t="str">
        <f t="array" ref="X82">INDEX(Subject!$A:$I,MATCH(RANDBETWEEN(1,16),Subject!$B:$B,0),3)</f>
        <v>#N/A</v>
      </c>
      <c r="Y82" s="8" t="str">
        <f t="array" ref="Y82">INDEX(Subject!$A:$I,MATCH(RANDBETWEEN(1,16),Subject!$B:$B,0),3)</f>
        <v>#N/A</v>
      </c>
      <c r="Z82" s="8" t="str">
        <f t="array" ref="Z82">INDEX(Subject!$A:$I,MATCH(RANDBETWEEN(1,16),Subject!$B:$B,0),3)</f>
        <v>#N/A</v>
      </c>
      <c r="AA82" s="8" t="str">
        <f t="array" ref="AA82">INDEX(Subject!$A:$I,MATCH(RANDBETWEEN(1,16),Subject!$B:$B,0),3)</f>
        <v>#N/A</v>
      </c>
      <c r="AB82" s="8" t="str">
        <f t="array" ref="AB82">INDEX(Subject!$A:$I,MATCH(RANDBETWEEN(1,16),Subject!$B:$B,0),3)</f>
        <v>#N/A</v>
      </c>
      <c r="AC82" s="8" t="str">
        <f t="array" ref="AC82">INDEX(Subject!$A:$I,MATCH(RANDBETWEEN(1,16),Subject!$B:$B,0),3)</f>
        <v>#N/A</v>
      </c>
      <c r="AD82" s="8" t="str">
        <f t="array" ref="AD82">INDEX(Subject!$A:$I,MATCH(RANDBETWEEN(1,16),Subject!$B:$B,0),3)</f>
        <v>#N/A</v>
      </c>
      <c r="AE82" s="8" t="str">
        <f t="array" ref="AE82">INDEX(Subject!$A:$I,MATCH(RANDBETWEEN(1,16),Subject!$B:$B,0),3)</f>
        <v>#N/A</v>
      </c>
      <c r="AF82" s="8" t="str">
        <f t="array" ref="AF82">INDEX(Subject!$A:$I,MATCH(RANDBETWEEN(1,16),Subject!$B:$B,0),3)</f>
        <v>#N/A</v>
      </c>
      <c r="AG82" s="8" t="str">
        <f t="array" ref="AG82">INDEX(Subject!$A:$I,MATCH(RANDBETWEEN(1,16),Subject!$B:$B,0),3)</f>
        <v>#N/A</v>
      </c>
      <c r="AH82" s="8" t="str">
        <f t="array" ref="AH82">INDEX(Subject!$A:$I,MATCH(RANDBETWEEN(1,16),Subject!$B:$B,0),3)</f>
        <v>#N/A</v>
      </c>
      <c r="AI82" s="8" t="str">
        <f t="array" ref="AI82">INDEX(Subject!$A:$I,MATCH(RANDBETWEEN(1,16),Subject!$B:$B,0),3)</f>
        <v>#N/A</v>
      </c>
      <c r="AJ82" s="8" t="str">
        <f t="array" ref="AJ82">INDEX(Subject!$A:$I,MATCH(RANDBETWEEN(1,16),Subject!$B:$B,0),3)</f>
        <v>#N/A</v>
      </c>
      <c r="AK82" s="8" t="str">
        <f t="array" ref="AK82">INDEX(Subject!$A:$I,MATCH(RANDBETWEEN(1,16),Subject!$B:$B,0),3)</f>
        <v>#N/A</v>
      </c>
      <c r="AL82" s="8" t="str">
        <f t="array" ref="AL82">INDEX(Subject!$A:$I,MATCH(RANDBETWEEN(1,16),Subject!$B:$B,0),3)</f>
        <v>#N/A</v>
      </c>
      <c r="AM82" s="18">
        <f t="shared" si="4"/>
        <v>45582.33333</v>
      </c>
      <c r="AN82" s="19">
        <f t="shared" ref="AN82:BZ82" si="82">$A82+C$1</f>
        <v>45582.35417</v>
      </c>
      <c r="AO82" s="19">
        <f t="shared" si="82"/>
        <v>45582.375</v>
      </c>
      <c r="AP82" s="19">
        <f t="shared" si="82"/>
        <v>45582.39583</v>
      </c>
      <c r="AQ82" s="19">
        <f t="shared" si="82"/>
        <v>45582.41667</v>
      </c>
      <c r="AR82" s="19">
        <f t="shared" si="82"/>
        <v>45582.4375</v>
      </c>
      <c r="AS82" s="19">
        <f t="shared" si="82"/>
        <v>45582.45833</v>
      </c>
      <c r="AT82" s="19">
        <f t="shared" si="82"/>
        <v>45582.47917</v>
      </c>
      <c r="AU82" s="19">
        <f t="shared" si="82"/>
        <v>45582.5</v>
      </c>
      <c r="AV82" s="19">
        <f t="shared" si="82"/>
        <v>45582.52083</v>
      </c>
      <c r="AW82" s="19">
        <f t="shared" si="82"/>
        <v>45582.54167</v>
      </c>
      <c r="AX82" s="19">
        <f t="shared" si="82"/>
        <v>45582.5625</v>
      </c>
      <c r="AY82" s="19">
        <f t="shared" si="82"/>
        <v>45582.58333</v>
      </c>
      <c r="AZ82" s="19">
        <f t="shared" si="82"/>
        <v>45582.60417</v>
      </c>
      <c r="BA82" s="19">
        <f t="shared" si="82"/>
        <v>45582.625</v>
      </c>
      <c r="BB82" s="19">
        <f t="shared" si="82"/>
        <v>45582.64583</v>
      </c>
      <c r="BC82" s="19">
        <f t="shared" si="82"/>
        <v>45582.66667</v>
      </c>
      <c r="BD82" s="19">
        <f t="shared" si="82"/>
        <v>45582.6875</v>
      </c>
      <c r="BE82" s="19">
        <f t="shared" si="82"/>
        <v>45582.70833</v>
      </c>
      <c r="BF82" s="19">
        <f t="shared" si="82"/>
        <v>45582.72917</v>
      </c>
      <c r="BG82" s="19">
        <f t="shared" si="82"/>
        <v>45582.75</v>
      </c>
      <c r="BH82" s="19">
        <f t="shared" si="82"/>
        <v>45582.77083</v>
      </c>
      <c r="BI82" s="19">
        <f t="shared" si="82"/>
        <v>45582.79167</v>
      </c>
      <c r="BJ82" s="19">
        <f t="shared" si="82"/>
        <v>45582.8125</v>
      </c>
      <c r="BK82" s="19">
        <f t="shared" si="82"/>
        <v>45582.83333</v>
      </c>
      <c r="BL82" s="19">
        <f t="shared" si="82"/>
        <v>45582.85417</v>
      </c>
      <c r="BM82" s="19">
        <f t="shared" si="82"/>
        <v>45582.875</v>
      </c>
      <c r="BN82" s="19">
        <f t="shared" si="82"/>
        <v>45582.89583</v>
      </c>
      <c r="BO82" s="19">
        <f t="shared" si="82"/>
        <v>45582.91667</v>
      </c>
      <c r="BP82" s="19">
        <f t="shared" si="82"/>
        <v>45582.9375</v>
      </c>
      <c r="BQ82" s="19">
        <f t="shared" si="82"/>
        <v>45582.95833</v>
      </c>
      <c r="BR82" s="19">
        <f t="shared" si="82"/>
        <v>45582.97917</v>
      </c>
      <c r="BS82" s="19">
        <f t="shared" si="82"/>
        <v>45583</v>
      </c>
      <c r="BT82" s="19">
        <f t="shared" si="82"/>
        <v>45583.02083</v>
      </c>
      <c r="BU82" s="19">
        <f t="shared" si="82"/>
        <v>45583.04167</v>
      </c>
      <c r="BV82" s="19">
        <f t="shared" si="82"/>
        <v>45583.0625</v>
      </c>
      <c r="BW82" s="19">
        <f t="shared" si="82"/>
        <v>45583.08333</v>
      </c>
      <c r="BX82" s="19">
        <f t="shared" si="82"/>
        <v>45582</v>
      </c>
      <c r="BY82" s="19">
        <f t="shared" si="82"/>
        <v>45582</v>
      </c>
      <c r="BZ82" s="19">
        <f t="shared" si="82"/>
        <v>45582</v>
      </c>
    </row>
    <row r="83" ht="14.25" customHeight="1">
      <c r="A83" s="17">
        <v>45583.0</v>
      </c>
      <c r="B83" s="2" t="str">
        <f t="array" ref="B83">IF(NOW()&gt;AM83,"",IF(AND((WEEKDAY($A83)+$B$2)&gt;1,((WEEKDAY($A83)+$T$2)&lt;7),(WEEKDAY($A83)&lt;&gt;1)),"work",(INDEX(Subject!$A:$I,MATCH(RANDBETWEEN(1,(MAX(Subject!$B:$B))),Subject!$B:$B,0),3))))</f>
        <v/>
      </c>
      <c r="C83" s="2" t="str">
        <f t="array" ref="C83">IF(NOW()&gt;AN83,"",IF(AND((WEEKDAY($A83)+$B$2)&gt;1,((WEEKDAY($A83)+$T$2)&lt;7),(WEEKDAY($A83)&lt;&gt;1)),"work",(INDEX(Subject!$A:$I,MATCH(RANDBETWEEN(1,(MAX(Subject!$B:$B))),Subject!$B:$B,0),3))))</f>
        <v/>
      </c>
      <c r="D83" s="2" t="str">
        <f t="array" ref="D83">IF(NOW()&gt;AO83,"",IF(AND((WEEKDAY($A83)+$B$2)&gt;1,((WEEKDAY($A83)+$T$2)&lt;7),(WEEKDAY($A83)&lt;&gt;1)),"work",(INDEX(Subject!$A:$I,MATCH(RANDBETWEEN(1,(MAX(Subject!$B:$B))),Subject!$B:$B,0),3))))</f>
        <v/>
      </c>
      <c r="E83" s="2" t="str">
        <f t="array" ref="E83">IF(NOW()&gt;AP83,"",IF(AND((WEEKDAY($A83)+$B$2)&gt;1,((WEEKDAY($A83)+$T$2)&lt;7),(WEEKDAY($A83)&lt;&gt;1)),"work",(INDEX(Subject!$A:$I,MATCH(RANDBETWEEN(1,(MAX(Subject!$B:$B))),Subject!$B:$B,0),3))))</f>
        <v/>
      </c>
      <c r="F83" s="2" t="str">
        <f t="array" ref="F83">IF(NOW()&gt;AQ83,"",IF(AND((WEEKDAY($A83)+$B$2)&gt;1,((WEEKDAY($A83)+$T$2)&lt;7),(WEEKDAY($A83)&lt;&gt;1)),"work",(INDEX(Subject!$A:$I,MATCH(RANDBETWEEN(1,(MAX(Subject!$B:$B))),Subject!$B:$B,0),3))))</f>
        <v/>
      </c>
      <c r="G83" s="2" t="str">
        <f t="array" ref="G83">IF(NOW()&gt;AR83,"",IF(AND((WEEKDAY($A83)+$B$2)&gt;1,((WEEKDAY($A83)+$T$2)&lt;7),(WEEKDAY($A83)&lt;&gt;1)),"work",(INDEX(Subject!$A:$I,MATCH(RANDBETWEEN(1,(MAX(Subject!$B:$B))),Subject!$B:$B,0),3))))</f>
        <v/>
      </c>
      <c r="H83" s="2" t="str">
        <f t="array" ref="H83">IF(NOW()&gt;AS83,"",IF(AND((WEEKDAY($A83)+$B$2)&gt;1,((WEEKDAY($A83)+$T$2)&lt;7),(WEEKDAY($A83)&lt;&gt;1)),"work",(INDEX(Subject!$A:$I,MATCH(RANDBETWEEN(1,(MAX(Subject!$B:$B))),Subject!$B:$B,0),3))))</f>
        <v/>
      </c>
      <c r="I83" s="2" t="str">
        <f t="array" ref="I83">IF(NOW()&gt;AT83,"",IF(AND((WEEKDAY($A83)+$B$2)&gt;1,((WEEKDAY($A83)+$T$2)&lt;7),(WEEKDAY($A83)&lt;&gt;1)),"work",(INDEX(Subject!$A:$I,MATCH(RANDBETWEEN(1,(MAX(Subject!$B:$B))),Subject!$B:$B,0),3))))</f>
        <v/>
      </c>
      <c r="J83" s="2" t="str">
        <f t="array" ref="J83">IF(NOW()&gt;AU83,"",IF(AND((WEEKDAY($A83)+$B$2)&gt;1,((WEEKDAY($A83)+$T$2)&lt;7),(WEEKDAY($A83)&lt;&gt;1)),"work",(INDEX(Subject!$A:$I,MATCH(RANDBETWEEN(1,(MAX(Subject!$B:$B))),Subject!$B:$B,0),3))))</f>
        <v/>
      </c>
      <c r="K83" s="2" t="str">
        <f t="array" ref="K83">IF(NOW()&gt;AV83,"",IF(AND((WEEKDAY($A83)+$B$2)&gt;1,((WEEKDAY($A83)+$T$2)&lt;7),(WEEKDAY($A83)&lt;&gt;1)),"work",(INDEX(Subject!$A:$I,MATCH(RANDBETWEEN(1,(MAX(Subject!$B:$B))),Subject!$B:$B,0),3))))</f>
        <v/>
      </c>
      <c r="L83" s="2" t="str">
        <f t="array" ref="L83">IF(NOW()&gt;AW83,"",IF(AND((WEEKDAY($A83)+$B$2)&gt;1,((WEEKDAY($A83)+$T$2)&lt;7),(WEEKDAY($A83)&lt;&gt;1)),"work",(INDEX(Subject!$A:$I,MATCH(RANDBETWEEN(1,(MAX(Subject!$B:$B))),Subject!$B:$B,0),3))))</f>
        <v/>
      </c>
      <c r="M83" s="2" t="str">
        <f t="array" ref="M83">IF(NOW()&gt;AX83,"",IF(AND((WEEKDAY($A83)+$B$2)&gt;1,((WEEKDAY($A83)+$T$2)&lt;7),(WEEKDAY($A83)&lt;&gt;1)),"work",(INDEX(Subject!$A:$I,MATCH(RANDBETWEEN(1,(MAX(Subject!$B:$B))),Subject!$B:$B,0),3))))</f>
        <v/>
      </c>
      <c r="N83" s="2" t="str">
        <f t="array" ref="N83">IF(NOW()&gt;AY83,"",IF(AND((WEEKDAY($A83)+$B$2)&gt;1,((WEEKDAY($A83)+$T$2)&lt;7),(WEEKDAY($A83)&lt;&gt;1)),"work",(INDEX(Subject!$A:$I,MATCH(RANDBETWEEN(1,(MAX(Subject!$B:$B))),Subject!$B:$B,0),3))))</f>
        <v/>
      </c>
      <c r="O83" s="2" t="str">
        <f t="array" ref="O83">IF(NOW()&gt;AZ83,"",IF(AND((WEEKDAY($A83)+$B$2)&gt;1,((WEEKDAY($A83)+$T$2)&lt;7),(WEEKDAY($A83)&lt;&gt;1)),"work",(INDEX(Subject!$A:$I,MATCH(RANDBETWEEN(1,(MAX(Subject!$B:$B))),Subject!$B:$B,0),3))))</f>
        <v/>
      </c>
      <c r="P83" s="2" t="str">
        <f t="array" ref="P83">IF(NOW()&gt;BA83,"",IF(AND((WEEKDAY($A83)+$B$2)&gt;1,((WEEKDAY($A83)+$T$2)&lt;7),(WEEKDAY($A83)&lt;&gt;1)),"work",(INDEX(Subject!$A:$I,MATCH(RANDBETWEEN(1,(MAX(Subject!$B:$B))),Subject!$B:$B,0),3))))</f>
        <v/>
      </c>
      <c r="Q83" s="2" t="str">
        <f t="array" ref="Q83">IF(NOW()&gt;BB83,"",IF(AND((WEEKDAY($A83)+$B$2)&gt;1,((WEEKDAY($A83)+$T$2)&lt;7),(WEEKDAY($A83)&lt;&gt;1)),"work",(INDEX(Subject!$A:$I,MATCH(RANDBETWEEN(1,(MAX(Subject!$B:$B))),Subject!$B:$B,0),3))))</f>
        <v/>
      </c>
      <c r="R83" s="2" t="str">
        <f t="array" ref="R83">IF(NOW()&gt;BC83,"",IF(AND((WEEKDAY($A83)+$B$2)&gt;1,((WEEKDAY($A83)+$T$2)&lt;7),(WEEKDAY($A83)&lt;&gt;1)),"work",(INDEX(Subject!$A:$I,MATCH(RANDBETWEEN(1,(MAX(Subject!$B:$B))),Subject!$B:$B,0),3))))</f>
        <v/>
      </c>
      <c r="S83" s="2" t="str">
        <f t="array" ref="S83">IF(NOW()&gt;BD83,"",IF(AND((WEEKDAY($A83)+$B$2)&gt;1,((WEEKDAY($A83)+$T$2)&lt;7),(WEEKDAY($A83)&lt;&gt;1)),"work",(INDEX(Subject!$A:$I,MATCH(RANDBETWEEN(1,(MAX(Subject!$B:$B))),Subject!$B:$B,0),3))))</f>
        <v/>
      </c>
      <c r="T83" s="2" t="str">
        <f t="array" ref="T83">IF(NOW()&gt;BE83,"",IF(AND((WEEKDAY($A83)+$B$2)&gt;1,((WEEKDAY($A83)+$T$2)&lt;7),(WEEKDAY($A83)&lt;&gt;1)),"work",(INDEX(Subject!$A:$I,MATCH(RANDBETWEEN(1,(MAX(Subject!$B:$B))),Subject!$B:$B,0),3))))</f>
        <v/>
      </c>
      <c r="U83" s="8" t="str">
        <f t="array" ref="U83">INDEX(Subject!$A:$I,MATCH(RANDBETWEEN(1,16),Subject!$B:$B,0),3)</f>
        <v>#N/A</v>
      </c>
      <c r="V83" s="8" t="str">
        <f t="array" ref="V83">INDEX(Subject!$A:$I,MATCH(RANDBETWEEN(1,16),Subject!$B:$B,0),3)</f>
        <v>#N/A</v>
      </c>
      <c r="W83" s="8" t="str">
        <f t="array" ref="W83">INDEX(Subject!$A:$I,MATCH(RANDBETWEEN(1,16),Subject!$B:$B,0),3)</f>
        <v>#N/A</v>
      </c>
      <c r="X83" s="8" t="str">
        <f t="array" ref="X83">INDEX(Subject!$A:$I,MATCH(RANDBETWEEN(1,16),Subject!$B:$B,0),3)</f>
        <v>#N/A</v>
      </c>
      <c r="Y83" s="8" t="str">
        <f t="array" ref="Y83">INDEX(Subject!$A:$I,MATCH(RANDBETWEEN(1,16),Subject!$B:$B,0),3)</f>
        <v>#N/A</v>
      </c>
      <c r="Z83" s="8" t="str">
        <f t="array" ref="Z83">INDEX(Subject!$A:$I,MATCH(RANDBETWEEN(1,16),Subject!$B:$B,0),3)</f>
        <v>#N/A</v>
      </c>
      <c r="AA83" s="8" t="str">
        <f t="array" ref="AA83">INDEX(Subject!$A:$I,MATCH(RANDBETWEEN(1,16),Subject!$B:$B,0),3)</f>
        <v>#N/A</v>
      </c>
      <c r="AB83" s="8" t="str">
        <f t="array" ref="AB83">INDEX(Subject!$A:$I,MATCH(RANDBETWEEN(1,16),Subject!$B:$B,0),3)</f>
        <v>#N/A</v>
      </c>
      <c r="AC83" s="8" t="str">
        <f t="array" ref="AC83">INDEX(Subject!$A:$I,MATCH(RANDBETWEEN(1,16),Subject!$B:$B,0),3)</f>
        <v>#N/A</v>
      </c>
      <c r="AD83" s="8" t="str">
        <f t="array" ref="AD83">INDEX(Subject!$A:$I,MATCH(RANDBETWEEN(1,16),Subject!$B:$B,0),3)</f>
        <v>#N/A</v>
      </c>
      <c r="AE83" s="8" t="str">
        <f t="array" ref="AE83">INDEX(Subject!$A:$I,MATCH(RANDBETWEEN(1,16),Subject!$B:$B,0),3)</f>
        <v>#N/A</v>
      </c>
      <c r="AF83" s="8" t="str">
        <f t="array" ref="AF83">INDEX(Subject!$A:$I,MATCH(RANDBETWEEN(1,16),Subject!$B:$B,0),3)</f>
        <v>#N/A</v>
      </c>
      <c r="AG83" s="8" t="str">
        <f t="array" ref="AG83">INDEX(Subject!$A:$I,MATCH(RANDBETWEEN(1,16),Subject!$B:$B,0),3)</f>
        <v>#N/A</v>
      </c>
      <c r="AH83" s="8" t="str">
        <f t="array" ref="AH83">INDEX(Subject!$A:$I,MATCH(RANDBETWEEN(1,16),Subject!$B:$B,0),3)</f>
        <v>#N/A</v>
      </c>
      <c r="AI83" s="8" t="str">
        <f t="array" ref="AI83">INDEX(Subject!$A:$I,MATCH(RANDBETWEEN(1,16),Subject!$B:$B,0),3)</f>
        <v>#N/A</v>
      </c>
      <c r="AJ83" s="8" t="str">
        <f t="array" ref="AJ83">INDEX(Subject!$A:$I,MATCH(RANDBETWEEN(1,16),Subject!$B:$B,0),3)</f>
        <v>#N/A</v>
      </c>
      <c r="AK83" s="8" t="str">
        <f t="array" ref="AK83">INDEX(Subject!$A:$I,MATCH(RANDBETWEEN(1,16),Subject!$B:$B,0),3)</f>
        <v/>
      </c>
      <c r="AL83" s="8" t="str">
        <f t="array" ref="AL83">INDEX(Subject!$A:$I,MATCH(RANDBETWEEN(1,16),Subject!$B:$B,0),3)</f>
        <v>#N/A</v>
      </c>
      <c r="AM83" s="18">
        <f t="shared" si="4"/>
        <v>45583.33333</v>
      </c>
      <c r="AN83" s="19">
        <f t="shared" ref="AN83:BZ83" si="83">$A83+C$1</f>
        <v>45583.35417</v>
      </c>
      <c r="AO83" s="19">
        <f t="shared" si="83"/>
        <v>45583.375</v>
      </c>
      <c r="AP83" s="19">
        <f t="shared" si="83"/>
        <v>45583.39583</v>
      </c>
      <c r="AQ83" s="19">
        <f t="shared" si="83"/>
        <v>45583.41667</v>
      </c>
      <c r="AR83" s="19">
        <f t="shared" si="83"/>
        <v>45583.4375</v>
      </c>
      <c r="AS83" s="19">
        <f t="shared" si="83"/>
        <v>45583.45833</v>
      </c>
      <c r="AT83" s="19">
        <f t="shared" si="83"/>
        <v>45583.47917</v>
      </c>
      <c r="AU83" s="19">
        <f t="shared" si="83"/>
        <v>45583.5</v>
      </c>
      <c r="AV83" s="19">
        <f t="shared" si="83"/>
        <v>45583.52083</v>
      </c>
      <c r="AW83" s="19">
        <f t="shared" si="83"/>
        <v>45583.54167</v>
      </c>
      <c r="AX83" s="19">
        <f t="shared" si="83"/>
        <v>45583.5625</v>
      </c>
      <c r="AY83" s="19">
        <f t="shared" si="83"/>
        <v>45583.58333</v>
      </c>
      <c r="AZ83" s="19">
        <f t="shared" si="83"/>
        <v>45583.60417</v>
      </c>
      <c r="BA83" s="19">
        <f t="shared" si="83"/>
        <v>45583.625</v>
      </c>
      <c r="BB83" s="19">
        <f t="shared" si="83"/>
        <v>45583.64583</v>
      </c>
      <c r="BC83" s="19">
        <f t="shared" si="83"/>
        <v>45583.66667</v>
      </c>
      <c r="BD83" s="19">
        <f t="shared" si="83"/>
        <v>45583.6875</v>
      </c>
      <c r="BE83" s="19">
        <f t="shared" si="83"/>
        <v>45583.70833</v>
      </c>
      <c r="BF83" s="19">
        <f t="shared" si="83"/>
        <v>45583.72917</v>
      </c>
      <c r="BG83" s="19">
        <f t="shared" si="83"/>
        <v>45583.75</v>
      </c>
      <c r="BH83" s="19">
        <f t="shared" si="83"/>
        <v>45583.77083</v>
      </c>
      <c r="BI83" s="19">
        <f t="shared" si="83"/>
        <v>45583.79167</v>
      </c>
      <c r="BJ83" s="19">
        <f t="shared" si="83"/>
        <v>45583.8125</v>
      </c>
      <c r="BK83" s="19">
        <f t="shared" si="83"/>
        <v>45583.83333</v>
      </c>
      <c r="BL83" s="19">
        <f t="shared" si="83"/>
        <v>45583.85417</v>
      </c>
      <c r="BM83" s="19">
        <f t="shared" si="83"/>
        <v>45583.875</v>
      </c>
      <c r="BN83" s="19">
        <f t="shared" si="83"/>
        <v>45583.89583</v>
      </c>
      <c r="BO83" s="19">
        <f t="shared" si="83"/>
        <v>45583.91667</v>
      </c>
      <c r="BP83" s="19">
        <f t="shared" si="83"/>
        <v>45583.9375</v>
      </c>
      <c r="BQ83" s="19">
        <f t="shared" si="83"/>
        <v>45583.95833</v>
      </c>
      <c r="BR83" s="19">
        <f t="shared" si="83"/>
        <v>45583.97917</v>
      </c>
      <c r="BS83" s="19">
        <f t="shared" si="83"/>
        <v>45584</v>
      </c>
      <c r="BT83" s="19">
        <f t="shared" si="83"/>
        <v>45584.02083</v>
      </c>
      <c r="BU83" s="19">
        <f t="shared" si="83"/>
        <v>45584.04167</v>
      </c>
      <c r="BV83" s="19">
        <f t="shared" si="83"/>
        <v>45584.0625</v>
      </c>
      <c r="BW83" s="19">
        <f t="shared" si="83"/>
        <v>45584.08333</v>
      </c>
      <c r="BX83" s="19">
        <f t="shared" si="83"/>
        <v>45583</v>
      </c>
      <c r="BY83" s="19">
        <f t="shared" si="83"/>
        <v>45583</v>
      </c>
      <c r="BZ83" s="19">
        <f t="shared" si="83"/>
        <v>45583</v>
      </c>
    </row>
    <row r="84" ht="14.25" customHeight="1">
      <c r="A84" s="17">
        <v>45584.0</v>
      </c>
      <c r="B84" s="2" t="str">
        <f t="array" ref="B84">IF(NOW()&gt;AM84,"",IF(AND((WEEKDAY($A84)+$B$2)&gt;1,((WEEKDAY($A84)+$T$2)&lt;7),(WEEKDAY($A84)&lt;&gt;1)),"work",(INDEX(Subject!$A:$I,MATCH(RANDBETWEEN(1,(MAX(Subject!$B:$B))),Subject!$B:$B,0),3))))</f>
        <v/>
      </c>
      <c r="C84" s="2" t="str">
        <f t="array" ref="C84">IF(NOW()&gt;AN84,"",IF(AND((WEEKDAY($A84)+$B$2)&gt;1,((WEEKDAY($A84)+$T$2)&lt;7),(WEEKDAY($A84)&lt;&gt;1)),"work",(INDEX(Subject!$A:$I,MATCH(RANDBETWEEN(1,(MAX(Subject!$B:$B))),Subject!$B:$B,0),3))))</f>
        <v/>
      </c>
      <c r="D84" s="2" t="str">
        <f t="array" ref="D84">IF(NOW()&gt;AO84,"",IF(AND((WEEKDAY($A84)+$B$2)&gt;1,((WEEKDAY($A84)+$T$2)&lt;7),(WEEKDAY($A84)&lt;&gt;1)),"work",(INDEX(Subject!$A:$I,MATCH(RANDBETWEEN(1,(MAX(Subject!$B:$B))),Subject!$B:$B,0),3))))</f>
        <v/>
      </c>
      <c r="E84" s="2" t="str">
        <f t="array" ref="E84">IF(NOW()&gt;AP84,"",IF(AND((WEEKDAY($A84)+$B$2)&gt;1,((WEEKDAY($A84)+$T$2)&lt;7),(WEEKDAY($A84)&lt;&gt;1)),"work",(INDEX(Subject!$A:$I,MATCH(RANDBETWEEN(1,(MAX(Subject!$B:$B))),Subject!$B:$B,0),3))))</f>
        <v/>
      </c>
      <c r="F84" s="2" t="str">
        <f t="array" ref="F84">IF(NOW()&gt;AQ84,"",IF(AND((WEEKDAY($A84)+$B$2)&gt;1,((WEEKDAY($A84)+$T$2)&lt;7),(WEEKDAY($A84)&lt;&gt;1)),"work",(INDEX(Subject!$A:$I,MATCH(RANDBETWEEN(1,(MAX(Subject!$B:$B))),Subject!$B:$B,0),3))))</f>
        <v/>
      </c>
      <c r="G84" s="2" t="str">
        <f t="array" ref="G84">IF(NOW()&gt;AR84,"",IF(AND((WEEKDAY($A84)+$B$2)&gt;1,((WEEKDAY($A84)+$T$2)&lt;7),(WEEKDAY($A84)&lt;&gt;1)),"work",(INDEX(Subject!$A:$I,MATCH(RANDBETWEEN(1,(MAX(Subject!$B:$B))),Subject!$B:$B,0),3))))</f>
        <v/>
      </c>
      <c r="H84" s="2" t="str">
        <f t="array" ref="H84">IF(NOW()&gt;AS84,"",IF(AND((WEEKDAY($A84)+$B$2)&gt;1,((WEEKDAY($A84)+$T$2)&lt;7),(WEEKDAY($A84)&lt;&gt;1)),"work",(INDEX(Subject!$A:$I,MATCH(RANDBETWEEN(1,(MAX(Subject!$B:$B))),Subject!$B:$B,0),3))))</f>
        <v/>
      </c>
      <c r="I84" s="2" t="str">
        <f t="array" ref="I84">IF(NOW()&gt;AT84,"",IF(AND((WEEKDAY($A84)+$B$2)&gt;1,((WEEKDAY($A84)+$T$2)&lt;7),(WEEKDAY($A84)&lt;&gt;1)),"work",(INDEX(Subject!$A:$I,MATCH(RANDBETWEEN(1,(MAX(Subject!$B:$B))),Subject!$B:$B,0),3))))</f>
        <v/>
      </c>
      <c r="J84" s="2" t="str">
        <f t="array" ref="J84">IF(NOW()&gt;AU84,"",IF(AND((WEEKDAY($A84)+$B$2)&gt;1,((WEEKDAY($A84)+$T$2)&lt;7),(WEEKDAY($A84)&lt;&gt;1)),"work",(INDEX(Subject!$A:$I,MATCH(RANDBETWEEN(1,(MAX(Subject!$B:$B))),Subject!$B:$B,0),3))))</f>
        <v/>
      </c>
      <c r="K84" s="2" t="str">
        <f t="array" ref="K84">IF(NOW()&gt;AV84,"",IF(AND((WEEKDAY($A84)+$B$2)&gt;1,((WEEKDAY($A84)+$T$2)&lt;7),(WEEKDAY($A84)&lt;&gt;1)),"work",(INDEX(Subject!$A:$I,MATCH(RANDBETWEEN(1,(MAX(Subject!$B:$B))),Subject!$B:$B,0),3))))</f>
        <v/>
      </c>
      <c r="L84" s="2" t="str">
        <f t="array" ref="L84">IF(NOW()&gt;AW84,"",IF(AND((WEEKDAY($A84)+$B$2)&gt;1,((WEEKDAY($A84)+$T$2)&lt;7),(WEEKDAY($A84)&lt;&gt;1)),"work",(INDEX(Subject!$A:$I,MATCH(RANDBETWEEN(1,(MAX(Subject!$B:$B))),Subject!$B:$B,0),3))))</f>
        <v/>
      </c>
      <c r="M84" s="2" t="str">
        <f t="array" ref="M84">IF(NOW()&gt;AX84,"",IF(AND((WEEKDAY($A84)+$B$2)&gt;1,((WEEKDAY($A84)+$T$2)&lt;7),(WEEKDAY($A84)&lt;&gt;1)),"work",(INDEX(Subject!$A:$I,MATCH(RANDBETWEEN(1,(MAX(Subject!$B:$B))),Subject!$B:$B,0),3))))</f>
        <v/>
      </c>
      <c r="N84" s="2" t="str">
        <f t="array" ref="N84">IF(NOW()&gt;AY84,"",IF(AND((WEEKDAY($A84)+$B$2)&gt;1,((WEEKDAY($A84)+$T$2)&lt;7),(WEEKDAY($A84)&lt;&gt;1)),"work",(INDEX(Subject!$A:$I,MATCH(RANDBETWEEN(1,(MAX(Subject!$B:$B))),Subject!$B:$B,0),3))))</f>
        <v/>
      </c>
      <c r="O84" s="2" t="str">
        <f t="array" ref="O84">IF(NOW()&gt;AZ84,"",IF(AND((WEEKDAY($A84)+$B$2)&gt;1,((WEEKDAY($A84)+$T$2)&lt;7),(WEEKDAY($A84)&lt;&gt;1)),"work",(INDEX(Subject!$A:$I,MATCH(RANDBETWEEN(1,(MAX(Subject!$B:$B))),Subject!$B:$B,0),3))))</f>
        <v/>
      </c>
      <c r="P84" s="2" t="str">
        <f t="array" ref="P84">IF(NOW()&gt;BA84,"",IF(AND((WEEKDAY($A84)+$B$2)&gt;1,((WEEKDAY($A84)+$T$2)&lt;7),(WEEKDAY($A84)&lt;&gt;1)),"work",(INDEX(Subject!$A:$I,MATCH(RANDBETWEEN(1,(MAX(Subject!$B:$B))),Subject!$B:$B,0),3))))</f>
        <v/>
      </c>
      <c r="Q84" s="2" t="str">
        <f t="array" ref="Q84">IF(NOW()&gt;BB84,"",IF(AND((WEEKDAY($A84)+$B$2)&gt;1,((WEEKDAY($A84)+$T$2)&lt;7),(WEEKDAY($A84)&lt;&gt;1)),"work",(INDEX(Subject!$A:$I,MATCH(RANDBETWEEN(1,(MAX(Subject!$B:$B))),Subject!$B:$B,0),3))))</f>
        <v/>
      </c>
      <c r="R84" s="2" t="str">
        <f t="array" ref="R84">IF(NOW()&gt;BC84,"",IF(AND((WEEKDAY($A84)+$B$2)&gt;1,((WEEKDAY($A84)+$T$2)&lt;7),(WEEKDAY($A84)&lt;&gt;1)),"work",(INDEX(Subject!$A:$I,MATCH(RANDBETWEEN(1,(MAX(Subject!$B:$B))),Subject!$B:$B,0),3))))</f>
        <v/>
      </c>
      <c r="S84" s="2" t="str">
        <f t="array" ref="S84">IF(NOW()&gt;BD84,"",IF(AND((WEEKDAY($A84)+$B$2)&gt;1,((WEEKDAY($A84)+$T$2)&lt;7),(WEEKDAY($A84)&lt;&gt;1)),"work",(INDEX(Subject!$A:$I,MATCH(RANDBETWEEN(1,(MAX(Subject!$B:$B))),Subject!$B:$B,0),3))))</f>
        <v/>
      </c>
      <c r="T84" s="2" t="str">
        <f t="array" ref="T84">IF(NOW()&gt;BE84,"",IF(AND((WEEKDAY($A84)+$B$2)&gt;1,((WEEKDAY($A84)+$T$2)&lt;7),(WEEKDAY($A84)&lt;&gt;1)),"work",(INDEX(Subject!$A:$I,MATCH(RANDBETWEEN(1,(MAX(Subject!$B:$B))),Subject!$B:$B,0),3))))</f>
        <v/>
      </c>
      <c r="U84" s="8" t="str">
        <f t="array" ref="U84">INDEX(Subject!$A:$I,MATCH(RANDBETWEEN(1,16),Subject!$B:$B,0),3)</f>
        <v>#N/A</v>
      </c>
      <c r="V84" s="8" t="str">
        <f t="array" ref="V84">INDEX(Subject!$A:$I,MATCH(RANDBETWEEN(1,16),Subject!$B:$B,0),3)</f>
        <v>#N/A</v>
      </c>
      <c r="W84" s="8" t="str">
        <f t="array" ref="W84">INDEX(Subject!$A:$I,MATCH(RANDBETWEEN(1,16),Subject!$B:$B,0),3)</f>
        <v>#N/A</v>
      </c>
      <c r="X84" s="8" t="str">
        <f t="array" ref="X84">INDEX(Subject!$A:$I,MATCH(RANDBETWEEN(1,16),Subject!$B:$B,0),3)</f>
        <v/>
      </c>
      <c r="Y84" s="8" t="str">
        <f t="array" ref="Y84">INDEX(Subject!$A:$I,MATCH(RANDBETWEEN(1,16),Subject!$B:$B,0),3)</f>
        <v>#N/A</v>
      </c>
      <c r="Z84" s="8" t="str">
        <f t="array" ref="Z84">INDEX(Subject!$A:$I,MATCH(RANDBETWEEN(1,16),Subject!$B:$B,0),3)</f>
        <v>#N/A</v>
      </c>
      <c r="AA84" s="8" t="str">
        <f t="array" ref="AA84">INDEX(Subject!$A:$I,MATCH(RANDBETWEEN(1,16),Subject!$B:$B,0),3)</f>
        <v>#N/A</v>
      </c>
      <c r="AB84" s="8" t="str">
        <f t="array" ref="AB84">INDEX(Subject!$A:$I,MATCH(RANDBETWEEN(1,16),Subject!$B:$B,0),3)</f>
        <v>#N/A</v>
      </c>
      <c r="AC84" s="8" t="str">
        <f t="array" ref="AC84">INDEX(Subject!$A:$I,MATCH(RANDBETWEEN(1,16),Subject!$B:$B,0),3)</f>
        <v>#N/A</v>
      </c>
      <c r="AD84" s="8" t="str">
        <f t="array" ref="AD84">INDEX(Subject!$A:$I,MATCH(RANDBETWEEN(1,16),Subject!$B:$B,0),3)</f>
        <v>#N/A</v>
      </c>
      <c r="AE84" s="8" t="str">
        <f t="array" ref="AE84">INDEX(Subject!$A:$I,MATCH(RANDBETWEEN(1,16),Subject!$B:$B,0),3)</f>
        <v>#N/A</v>
      </c>
      <c r="AF84" s="8" t="str">
        <f t="array" ref="AF84">INDEX(Subject!$A:$I,MATCH(RANDBETWEEN(1,16),Subject!$B:$B,0),3)</f>
        <v>#N/A</v>
      </c>
      <c r="AG84" s="8" t="str">
        <f t="array" ref="AG84">INDEX(Subject!$A:$I,MATCH(RANDBETWEEN(1,16),Subject!$B:$B,0),3)</f>
        <v>#N/A</v>
      </c>
      <c r="AH84" s="8" t="str">
        <f t="array" ref="AH84">INDEX(Subject!$A:$I,MATCH(RANDBETWEEN(1,16),Subject!$B:$B,0),3)</f>
        <v>#N/A</v>
      </c>
      <c r="AI84" s="8" t="str">
        <f t="array" ref="AI84">INDEX(Subject!$A:$I,MATCH(RANDBETWEEN(1,16),Subject!$B:$B,0),3)</f>
        <v>#N/A</v>
      </c>
      <c r="AJ84" s="8" t="str">
        <f t="array" ref="AJ84">INDEX(Subject!$A:$I,MATCH(RANDBETWEEN(1,16),Subject!$B:$B,0),3)</f>
        <v/>
      </c>
      <c r="AK84" s="8" t="str">
        <f t="array" ref="AK84">INDEX(Subject!$A:$I,MATCH(RANDBETWEEN(1,16),Subject!$B:$B,0),3)</f>
        <v>#N/A</v>
      </c>
      <c r="AL84" s="8" t="str">
        <f t="array" ref="AL84">INDEX(Subject!$A:$I,MATCH(RANDBETWEEN(1,16),Subject!$B:$B,0),3)</f>
        <v>#N/A</v>
      </c>
      <c r="AM84" s="18">
        <f t="shared" si="4"/>
        <v>45584.33333</v>
      </c>
      <c r="AN84" s="19">
        <f t="shared" ref="AN84:BZ84" si="84">$A84+C$1</f>
        <v>45584.35417</v>
      </c>
      <c r="AO84" s="19">
        <f t="shared" si="84"/>
        <v>45584.375</v>
      </c>
      <c r="AP84" s="19">
        <f t="shared" si="84"/>
        <v>45584.39583</v>
      </c>
      <c r="AQ84" s="19">
        <f t="shared" si="84"/>
        <v>45584.41667</v>
      </c>
      <c r="AR84" s="19">
        <f t="shared" si="84"/>
        <v>45584.4375</v>
      </c>
      <c r="AS84" s="19">
        <f t="shared" si="84"/>
        <v>45584.45833</v>
      </c>
      <c r="AT84" s="19">
        <f t="shared" si="84"/>
        <v>45584.47917</v>
      </c>
      <c r="AU84" s="19">
        <f t="shared" si="84"/>
        <v>45584.5</v>
      </c>
      <c r="AV84" s="19">
        <f t="shared" si="84"/>
        <v>45584.52083</v>
      </c>
      <c r="AW84" s="19">
        <f t="shared" si="84"/>
        <v>45584.54167</v>
      </c>
      <c r="AX84" s="19">
        <f t="shared" si="84"/>
        <v>45584.5625</v>
      </c>
      <c r="AY84" s="19">
        <f t="shared" si="84"/>
        <v>45584.58333</v>
      </c>
      <c r="AZ84" s="19">
        <f t="shared" si="84"/>
        <v>45584.60417</v>
      </c>
      <c r="BA84" s="19">
        <f t="shared" si="84"/>
        <v>45584.625</v>
      </c>
      <c r="BB84" s="19">
        <f t="shared" si="84"/>
        <v>45584.64583</v>
      </c>
      <c r="BC84" s="19">
        <f t="shared" si="84"/>
        <v>45584.66667</v>
      </c>
      <c r="BD84" s="19">
        <f t="shared" si="84"/>
        <v>45584.6875</v>
      </c>
      <c r="BE84" s="19">
        <f t="shared" si="84"/>
        <v>45584.70833</v>
      </c>
      <c r="BF84" s="19">
        <f t="shared" si="84"/>
        <v>45584.72917</v>
      </c>
      <c r="BG84" s="19">
        <f t="shared" si="84"/>
        <v>45584.75</v>
      </c>
      <c r="BH84" s="19">
        <f t="shared" si="84"/>
        <v>45584.77083</v>
      </c>
      <c r="BI84" s="19">
        <f t="shared" si="84"/>
        <v>45584.79167</v>
      </c>
      <c r="BJ84" s="19">
        <f t="shared" si="84"/>
        <v>45584.8125</v>
      </c>
      <c r="BK84" s="19">
        <f t="shared" si="84"/>
        <v>45584.83333</v>
      </c>
      <c r="BL84" s="19">
        <f t="shared" si="84"/>
        <v>45584.85417</v>
      </c>
      <c r="BM84" s="19">
        <f t="shared" si="84"/>
        <v>45584.875</v>
      </c>
      <c r="BN84" s="19">
        <f t="shared" si="84"/>
        <v>45584.89583</v>
      </c>
      <c r="BO84" s="19">
        <f t="shared" si="84"/>
        <v>45584.91667</v>
      </c>
      <c r="BP84" s="19">
        <f t="shared" si="84"/>
        <v>45584.9375</v>
      </c>
      <c r="BQ84" s="19">
        <f t="shared" si="84"/>
        <v>45584.95833</v>
      </c>
      <c r="BR84" s="19">
        <f t="shared" si="84"/>
        <v>45584.97917</v>
      </c>
      <c r="BS84" s="19">
        <f t="shared" si="84"/>
        <v>45585</v>
      </c>
      <c r="BT84" s="19">
        <f t="shared" si="84"/>
        <v>45585.02083</v>
      </c>
      <c r="BU84" s="19">
        <f t="shared" si="84"/>
        <v>45585.04167</v>
      </c>
      <c r="BV84" s="19">
        <f t="shared" si="84"/>
        <v>45585.0625</v>
      </c>
      <c r="BW84" s="19">
        <f t="shared" si="84"/>
        <v>45585.08333</v>
      </c>
      <c r="BX84" s="19">
        <f t="shared" si="84"/>
        <v>45584</v>
      </c>
      <c r="BY84" s="19">
        <f t="shared" si="84"/>
        <v>45584</v>
      </c>
      <c r="BZ84" s="19">
        <f t="shared" si="84"/>
        <v>45584</v>
      </c>
    </row>
    <row r="85" ht="14.25" customHeight="1">
      <c r="A85" s="17">
        <v>45585.0</v>
      </c>
      <c r="B85" s="2" t="str">
        <f t="array" ref="B85">IF(NOW()&gt;AM85,"",IF(AND((WEEKDAY($A85)+$B$2)&gt;1,((WEEKDAY($A85)+$T$2)&lt;7),(WEEKDAY($A85)&lt;&gt;1)),"work",(INDEX(Subject!$A:$I,MATCH(RANDBETWEEN(1,(MAX(Subject!$B:$B))),Subject!$B:$B,0),3))))</f>
        <v/>
      </c>
      <c r="C85" s="2" t="str">
        <f t="array" ref="C85">IF(NOW()&gt;AN85,"",IF(AND((WEEKDAY($A85)+$B$2)&gt;1,((WEEKDAY($A85)+$T$2)&lt;7),(WEEKDAY($A85)&lt;&gt;1)),"work",(INDEX(Subject!$A:$I,MATCH(RANDBETWEEN(1,(MAX(Subject!$B:$B))),Subject!$B:$B,0),3))))</f>
        <v/>
      </c>
      <c r="D85" s="2" t="str">
        <f t="array" ref="D85">IF(NOW()&gt;AO85,"",IF(AND((WEEKDAY($A85)+$B$2)&gt;1,((WEEKDAY($A85)+$T$2)&lt;7),(WEEKDAY($A85)&lt;&gt;1)),"work",(INDEX(Subject!$A:$I,MATCH(RANDBETWEEN(1,(MAX(Subject!$B:$B))),Subject!$B:$B,0),3))))</f>
        <v/>
      </c>
      <c r="E85" s="2" t="str">
        <f t="array" ref="E85">IF(NOW()&gt;AP85,"",IF(AND((WEEKDAY($A85)+$B$2)&gt;1,((WEEKDAY($A85)+$T$2)&lt;7),(WEEKDAY($A85)&lt;&gt;1)),"work",(INDEX(Subject!$A:$I,MATCH(RANDBETWEEN(1,(MAX(Subject!$B:$B))),Subject!$B:$B,0),3))))</f>
        <v/>
      </c>
      <c r="F85" s="2" t="str">
        <f t="array" ref="F85">IF(NOW()&gt;AQ85,"",IF(AND((WEEKDAY($A85)+$B$2)&gt;1,((WEEKDAY($A85)+$T$2)&lt;7),(WEEKDAY($A85)&lt;&gt;1)),"work",(INDEX(Subject!$A:$I,MATCH(RANDBETWEEN(1,(MAX(Subject!$B:$B))),Subject!$B:$B,0),3))))</f>
        <v/>
      </c>
      <c r="G85" s="2" t="str">
        <f t="array" ref="G85">IF(NOW()&gt;AR85,"",IF(AND((WEEKDAY($A85)+$B$2)&gt;1,((WEEKDAY($A85)+$T$2)&lt;7),(WEEKDAY($A85)&lt;&gt;1)),"work",(INDEX(Subject!$A:$I,MATCH(RANDBETWEEN(1,(MAX(Subject!$B:$B))),Subject!$B:$B,0),3))))</f>
        <v/>
      </c>
      <c r="H85" s="2" t="str">
        <f t="array" ref="H85">IF(NOW()&gt;AS85,"",IF(AND((WEEKDAY($A85)+$B$2)&gt;1,((WEEKDAY($A85)+$T$2)&lt;7),(WEEKDAY($A85)&lt;&gt;1)),"work",(INDEX(Subject!$A:$I,MATCH(RANDBETWEEN(1,(MAX(Subject!$B:$B))),Subject!$B:$B,0),3))))</f>
        <v/>
      </c>
      <c r="I85" s="2" t="str">
        <f t="array" ref="I85">IF(NOW()&gt;AT85,"",IF(AND((WEEKDAY($A85)+$B$2)&gt;1,((WEEKDAY($A85)+$T$2)&lt;7),(WEEKDAY($A85)&lt;&gt;1)),"work",(INDEX(Subject!$A:$I,MATCH(RANDBETWEEN(1,(MAX(Subject!$B:$B))),Subject!$B:$B,0),3))))</f>
        <v/>
      </c>
      <c r="J85" s="2" t="str">
        <f t="array" ref="J85">IF(NOW()&gt;AU85,"",IF(AND((WEEKDAY($A85)+$B$2)&gt;1,((WEEKDAY($A85)+$T$2)&lt;7),(WEEKDAY($A85)&lt;&gt;1)),"work",(INDEX(Subject!$A:$I,MATCH(RANDBETWEEN(1,(MAX(Subject!$B:$B))),Subject!$B:$B,0),3))))</f>
        <v/>
      </c>
      <c r="K85" s="2" t="str">
        <f t="array" ref="K85">IF(NOW()&gt;AV85,"",IF(AND((WEEKDAY($A85)+$B$2)&gt;1,((WEEKDAY($A85)+$T$2)&lt;7),(WEEKDAY($A85)&lt;&gt;1)),"work",(INDEX(Subject!$A:$I,MATCH(RANDBETWEEN(1,(MAX(Subject!$B:$B))),Subject!$B:$B,0),3))))</f>
        <v/>
      </c>
      <c r="L85" s="2" t="str">
        <f t="array" ref="L85">IF(NOW()&gt;AW85,"",IF(AND((WEEKDAY($A85)+$B$2)&gt;1,((WEEKDAY($A85)+$T$2)&lt;7),(WEEKDAY($A85)&lt;&gt;1)),"work",(INDEX(Subject!$A:$I,MATCH(RANDBETWEEN(1,(MAX(Subject!$B:$B))),Subject!$B:$B,0),3))))</f>
        <v/>
      </c>
      <c r="M85" s="2" t="str">
        <f t="array" ref="M85">IF(NOW()&gt;AX85,"",IF(AND((WEEKDAY($A85)+$B$2)&gt;1,((WEEKDAY($A85)+$T$2)&lt;7),(WEEKDAY($A85)&lt;&gt;1)),"work",(INDEX(Subject!$A:$I,MATCH(RANDBETWEEN(1,(MAX(Subject!$B:$B))),Subject!$B:$B,0),3))))</f>
        <v/>
      </c>
      <c r="N85" s="2" t="str">
        <f t="array" ref="N85">IF(NOW()&gt;AY85,"",IF(AND((WEEKDAY($A85)+$B$2)&gt;1,((WEEKDAY($A85)+$T$2)&lt;7),(WEEKDAY($A85)&lt;&gt;1)),"work",(INDEX(Subject!$A:$I,MATCH(RANDBETWEEN(1,(MAX(Subject!$B:$B))),Subject!$B:$B,0),3))))</f>
        <v/>
      </c>
      <c r="O85" s="2" t="str">
        <f t="array" ref="O85">IF(NOW()&gt;AZ85,"",IF(AND((WEEKDAY($A85)+$B$2)&gt;1,((WEEKDAY($A85)+$T$2)&lt;7),(WEEKDAY($A85)&lt;&gt;1)),"work",(INDEX(Subject!$A:$I,MATCH(RANDBETWEEN(1,(MAX(Subject!$B:$B))),Subject!$B:$B,0),3))))</f>
        <v/>
      </c>
      <c r="P85" s="2" t="str">
        <f t="array" ref="P85">IF(NOW()&gt;BA85,"",IF(AND((WEEKDAY($A85)+$B$2)&gt;1,((WEEKDAY($A85)+$T$2)&lt;7),(WEEKDAY($A85)&lt;&gt;1)),"work",(INDEX(Subject!$A:$I,MATCH(RANDBETWEEN(1,(MAX(Subject!$B:$B))),Subject!$B:$B,0),3))))</f>
        <v/>
      </c>
      <c r="Q85" s="2" t="str">
        <f t="array" ref="Q85">IF(NOW()&gt;BB85,"",IF(AND((WEEKDAY($A85)+$B$2)&gt;1,((WEEKDAY($A85)+$T$2)&lt;7),(WEEKDAY($A85)&lt;&gt;1)),"work",(INDEX(Subject!$A:$I,MATCH(RANDBETWEEN(1,(MAX(Subject!$B:$B))),Subject!$B:$B,0),3))))</f>
        <v/>
      </c>
      <c r="R85" s="2" t="str">
        <f t="array" ref="R85">IF(NOW()&gt;BC85,"",IF(AND((WEEKDAY($A85)+$B$2)&gt;1,((WEEKDAY($A85)+$T$2)&lt;7),(WEEKDAY($A85)&lt;&gt;1)),"work",(INDEX(Subject!$A:$I,MATCH(RANDBETWEEN(1,(MAX(Subject!$B:$B))),Subject!$B:$B,0),3))))</f>
        <v/>
      </c>
      <c r="S85" s="2" t="str">
        <f t="array" ref="S85">IF(NOW()&gt;BD85,"",IF(AND((WEEKDAY($A85)+$B$2)&gt;1,((WEEKDAY($A85)+$T$2)&lt;7),(WEEKDAY($A85)&lt;&gt;1)),"work",(INDEX(Subject!$A:$I,MATCH(RANDBETWEEN(1,(MAX(Subject!$B:$B))),Subject!$B:$B,0),3))))</f>
        <v/>
      </c>
      <c r="T85" s="2" t="str">
        <f t="array" ref="T85">IF(NOW()&gt;BE85,"",IF(AND((WEEKDAY($A85)+$B$2)&gt;1,((WEEKDAY($A85)+$T$2)&lt;7),(WEEKDAY($A85)&lt;&gt;1)),"work",(INDEX(Subject!$A:$I,MATCH(RANDBETWEEN(1,(MAX(Subject!$B:$B))),Subject!$B:$B,0),3))))</f>
        <v/>
      </c>
      <c r="U85" s="8" t="str">
        <f t="array" ref="U85">INDEX(Subject!$A:$I,MATCH(RANDBETWEEN(1,16),Subject!$B:$B,0),3)</f>
        <v>#N/A</v>
      </c>
      <c r="V85" s="8" t="str">
        <f t="array" ref="V85">INDEX(Subject!$A:$I,MATCH(RANDBETWEEN(1,16),Subject!$B:$B,0),3)</f>
        <v>#N/A</v>
      </c>
      <c r="W85" s="8" t="str">
        <f t="array" ref="W85">INDEX(Subject!$A:$I,MATCH(RANDBETWEEN(1,16),Subject!$B:$B,0),3)</f>
        <v>#N/A</v>
      </c>
      <c r="X85" s="8" t="str">
        <f t="array" ref="X85">INDEX(Subject!$A:$I,MATCH(RANDBETWEEN(1,16),Subject!$B:$B,0),3)</f>
        <v>#N/A</v>
      </c>
      <c r="Y85" s="8" t="str">
        <f t="array" ref="Y85">INDEX(Subject!$A:$I,MATCH(RANDBETWEEN(1,16),Subject!$B:$B,0),3)</f>
        <v>#N/A</v>
      </c>
      <c r="Z85" s="8" t="str">
        <f t="array" ref="Z85">INDEX(Subject!$A:$I,MATCH(RANDBETWEEN(1,16),Subject!$B:$B,0),3)</f>
        <v>#N/A</v>
      </c>
      <c r="AA85" s="8" t="str">
        <f t="array" ref="AA85">INDEX(Subject!$A:$I,MATCH(RANDBETWEEN(1,16),Subject!$B:$B,0),3)</f>
        <v>#N/A</v>
      </c>
      <c r="AB85" s="8" t="str">
        <f t="array" ref="AB85">INDEX(Subject!$A:$I,MATCH(RANDBETWEEN(1,16),Subject!$B:$B,0),3)</f>
        <v>#N/A</v>
      </c>
      <c r="AC85" s="8" t="str">
        <f t="array" ref="AC85">INDEX(Subject!$A:$I,MATCH(RANDBETWEEN(1,16),Subject!$B:$B,0),3)</f>
        <v>#N/A</v>
      </c>
      <c r="AD85" s="8" t="str">
        <f t="array" ref="AD85">INDEX(Subject!$A:$I,MATCH(RANDBETWEEN(1,16),Subject!$B:$B,0),3)</f>
        <v>#N/A</v>
      </c>
      <c r="AE85" s="8" t="str">
        <f t="array" ref="AE85">INDEX(Subject!$A:$I,MATCH(RANDBETWEEN(1,16),Subject!$B:$B,0),3)</f>
        <v>#N/A</v>
      </c>
      <c r="AF85" s="8" t="str">
        <f t="array" ref="AF85">INDEX(Subject!$A:$I,MATCH(RANDBETWEEN(1,16),Subject!$B:$B,0),3)</f>
        <v>#N/A</v>
      </c>
      <c r="AG85" s="8" t="str">
        <f t="array" ref="AG85">INDEX(Subject!$A:$I,MATCH(RANDBETWEEN(1,16),Subject!$B:$B,0),3)</f>
        <v>#N/A</v>
      </c>
      <c r="AH85" s="8" t="str">
        <f t="array" ref="AH85">INDEX(Subject!$A:$I,MATCH(RANDBETWEEN(1,16),Subject!$B:$B,0),3)</f>
        <v>#N/A</v>
      </c>
      <c r="AI85" s="8" t="str">
        <f t="array" ref="AI85">INDEX(Subject!$A:$I,MATCH(RANDBETWEEN(1,16),Subject!$B:$B,0),3)</f>
        <v>#N/A</v>
      </c>
      <c r="AJ85" s="8" t="str">
        <f t="array" ref="AJ85">INDEX(Subject!$A:$I,MATCH(RANDBETWEEN(1,16),Subject!$B:$B,0),3)</f>
        <v>#N/A</v>
      </c>
      <c r="AK85" s="8" t="str">
        <f t="array" ref="AK85">INDEX(Subject!$A:$I,MATCH(RANDBETWEEN(1,16),Subject!$B:$B,0),3)</f>
        <v>#N/A</v>
      </c>
      <c r="AL85" s="8" t="str">
        <f t="array" ref="AL85">INDEX(Subject!$A:$I,MATCH(RANDBETWEEN(1,16),Subject!$B:$B,0),3)</f>
        <v>#N/A</v>
      </c>
      <c r="AM85" s="18">
        <f t="shared" si="4"/>
        <v>45585.33333</v>
      </c>
      <c r="AN85" s="19">
        <f t="shared" ref="AN85:BZ85" si="85">$A85+C$1</f>
        <v>45585.35417</v>
      </c>
      <c r="AO85" s="19">
        <f t="shared" si="85"/>
        <v>45585.375</v>
      </c>
      <c r="AP85" s="19">
        <f t="shared" si="85"/>
        <v>45585.39583</v>
      </c>
      <c r="AQ85" s="19">
        <f t="shared" si="85"/>
        <v>45585.41667</v>
      </c>
      <c r="AR85" s="19">
        <f t="shared" si="85"/>
        <v>45585.4375</v>
      </c>
      <c r="AS85" s="19">
        <f t="shared" si="85"/>
        <v>45585.45833</v>
      </c>
      <c r="AT85" s="19">
        <f t="shared" si="85"/>
        <v>45585.47917</v>
      </c>
      <c r="AU85" s="19">
        <f t="shared" si="85"/>
        <v>45585.5</v>
      </c>
      <c r="AV85" s="19">
        <f t="shared" si="85"/>
        <v>45585.52083</v>
      </c>
      <c r="AW85" s="19">
        <f t="shared" si="85"/>
        <v>45585.54167</v>
      </c>
      <c r="AX85" s="19">
        <f t="shared" si="85"/>
        <v>45585.5625</v>
      </c>
      <c r="AY85" s="19">
        <f t="shared" si="85"/>
        <v>45585.58333</v>
      </c>
      <c r="AZ85" s="19">
        <f t="shared" si="85"/>
        <v>45585.60417</v>
      </c>
      <c r="BA85" s="19">
        <f t="shared" si="85"/>
        <v>45585.625</v>
      </c>
      <c r="BB85" s="19">
        <f t="shared" si="85"/>
        <v>45585.64583</v>
      </c>
      <c r="BC85" s="19">
        <f t="shared" si="85"/>
        <v>45585.66667</v>
      </c>
      <c r="BD85" s="19">
        <f t="shared" si="85"/>
        <v>45585.6875</v>
      </c>
      <c r="BE85" s="19">
        <f t="shared" si="85"/>
        <v>45585.70833</v>
      </c>
      <c r="BF85" s="19">
        <f t="shared" si="85"/>
        <v>45585.72917</v>
      </c>
      <c r="BG85" s="19">
        <f t="shared" si="85"/>
        <v>45585.75</v>
      </c>
      <c r="BH85" s="19">
        <f t="shared" si="85"/>
        <v>45585.77083</v>
      </c>
      <c r="BI85" s="19">
        <f t="shared" si="85"/>
        <v>45585.79167</v>
      </c>
      <c r="BJ85" s="19">
        <f t="shared" si="85"/>
        <v>45585.8125</v>
      </c>
      <c r="BK85" s="19">
        <f t="shared" si="85"/>
        <v>45585.83333</v>
      </c>
      <c r="BL85" s="19">
        <f t="shared" si="85"/>
        <v>45585.85417</v>
      </c>
      <c r="BM85" s="19">
        <f t="shared" si="85"/>
        <v>45585.875</v>
      </c>
      <c r="BN85" s="19">
        <f t="shared" si="85"/>
        <v>45585.89583</v>
      </c>
      <c r="BO85" s="19">
        <f t="shared" si="85"/>
        <v>45585.91667</v>
      </c>
      <c r="BP85" s="19">
        <f t="shared" si="85"/>
        <v>45585.9375</v>
      </c>
      <c r="BQ85" s="19">
        <f t="shared" si="85"/>
        <v>45585.95833</v>
      </c>
      <c r="BR85" s="19">
        <f t="shared" si="85"/>
        <v>45585.97917</v>
      </c>
      <c r="BS85" s="19">
        <f t="shared" si="85"/>
        <v>45586</v>
      </c>
      <c r="BT85" s="19">
        <f t="shared" si="85"/>
        <v>45586.02083</v>
      </c>
      <c r="BU85" s="19">
        <f t="shared" si="85"/>
        <v>45586.04167</v>
      </c>
      <c r="BV85" s="19">
        <f t="shared" si="85"/>
        <v>45586.0625</v>
      </c>
      <c r="BW85" s="19">
        <f t="shared" si="85"/>
        <v>45586.08333</v>
      </c>
      <c r="BX85" s="19">
        <f t="shared" si="85"/>
        <v>45585</v>
      </c>
      <c r="BY85" s="19">
        <f t="shared" si="85"/>
        <v>45585</v>
      </c>
      <c r="BZ85" s="19">
        <f t="shared" si="85"/>
        <v>45585</v>
      </c>
    </row>
    <row r="86" ht="14.25" customHeight="1">
      <c r="A86" s="17">
        <v>45586.0</v>
      </c>
      <c r="B86" s="2" t="str">
        <f t="array" ref="B86">IF(NOW()&gt;AM86,"",IF(AND((WEEKDAY($A86)+$B$2)&gt;1,((WEEKDAY($A86)+$T$2)&lt;7),(WEEKDAY($A86)&lt;&gt;1)),"work",(INDEX(Subject!$A:$I,MATCH(RANDBETWEEN(1,(MAX(Subject!$B:$B))),Subject!$B:$B,0),3))))</f>
        <v/>
      </c>
      <c r="C86" s="2" t="str">
        <f t="array" ref="C86">IF(NOW()&gt;AN86,"",IF(AND((WEEKDAY($A86)+$B$2)&gt;1,((WEEKDAY($A86)+$T$2)&lt;7),(WEEKDAY($A86)&lt;&gt;1)),"work",(INDEX(Subject!$A:$I,MATCH(RANDBETWEEN(1,(MAX(Subject!$B:$B))),Subject!$B:$B,0),3))))</f>
        <v/>
      </c>
      <c r="D86" s="2" t="str">
        <f t="array" ref="D86">IF(NOW()&gt;AO86,"",IF(AND((WEEKDAY($A86)+$B$2)&gt;1,((WEEKDAY($A86)+$T$2)&lt;7),(WEEKDAY($A86)&lt;&gt;1)),"work",(INDEX(Subject!$A:$I,MATCH(RANDBETWEEN(1,(MAX(Subject!$B:$B))),Subject!$B:$B,0),3))))</f>
        <v/>
      </c>
      <c r="E86" s="2" t="str">
        <f t="array" ref="E86">IF(NOW()&gt;AP86,"",IF(AND((WEEKDAY($A86)+$B$2)&gt;1,((WEEKDAY($A86)+$T$2)&lt;7),(WEEKDAY($A86)&lt;&gt;1)),"work",(INDEX(Subject!$A:$I,MATCH(RANDBETWEEN(1,(MAX(Subject!$B:$B))),Subject!$B:$B,0),3))))</f>
        <v/>
      </c>
      <c r="F86" s="2" t="str">
        <f t="array" ref="F86">IF(NOW()&gt;AQ86,"",IF(AND((WEEKDAY($A86)+$B$2)&gt;1,((WEEKDAY($A86)+$T$2)&lt;7),(WEEKDAY($A86)&lt;&gt;1)),"work",(INDEX(Subject!$A:$I,MATCH(RANDBETWEEN(1,(MAX(Subject!$B:$B))),Subject!$B:$B,0),3))))</f>
        <v/>
      </c>
      <c r="G86" s="2" t="str">
        <f t="array" ref="G86">IF(NOW()&gt;AR86,"",IF(AND((WEEKDAY($A86)+$B$2)&gt;1,((WEEKDAY($A86)+$T$2)&lt;7),(WEEKDAY($A86)&lt;&gt;1)),"work",(INDEX(Subject!$A:$I,MATCH(RANDBETWEEN(1,(MAX(Subject!$B:$B))),Subject!$B:$B,0),3))))</f>
        <v/>
      </c>
      <c r="H86" s="2" t="str">
        <f t="array" ref="H86">IF(NOW()&gt;AS86,"",IF(AND((WEEKDAY($A86)+$B$2)&gt;1,((WEEKDAY($A86)+$T$2)&lt;7),(WEEKDAY($A86)&lt;&gt;1)),"work",(INDEX(Subject!$A:$I,MATCH(RANDBETWEEN(1,(MAX(Subject!$B:$B))),Subject!$B:$B,0),3))))</f>
        <v/>
      </c>
      <c r="I86" s="2" t="str">
        <f t="array" ref="I86">IF(NOW()&gt;AT86,"",IF(AND((WEEKDAY($A86)+$B$2)&gt;1,((WEEKDAY($A86)+$T$2)&lt;7),(WEEKDAY($A86)&lt;&gt;1)),"work",(INDEX(Subject!$A:$I,MATCH(RANDBETWEEN(1,(MAX(Subject!$B:$B))),Subject!$B:$B,0),3))))</f>
        <v/>
      </c>
      <c r="J86" s="2" t="str">
        <f t="array" ref="J86">IF(NOW()&gt;AU86,"",IF(AND((WEEKDAY($A86)+$B$2)&gt;1,((WEEKDAY($A86)+$T$2)&lt;7),(WEEKDAY($A86)&lt;&gt;1)),"work",(INDEX(Subject!$A:$I,MATCH(RANDBETWEEN(1,(MAX(Subject!$B:$B))),Subject!$B:$B,0),3))))</f>
        <v/>
      </c>
      <c r="K86" s="2" t="str">
        <f t="array" ref="K86">IF(NOW()&gt;AV86,"",IF(AND((WEEKDAY($A86)+$B$2)&gt;1,((WEEKDAY($A86)+$T$2)&lt;7),(WEEKDAY($A86)&lt;&gt;1)),"work",(INDEX(Subject!$A:$I,MATCH(RANDBETWEEN(1,(MAX(Subject!$B:$B))),Subject!$B:$B,0),3))))</f>
        <v/>
      </c>
      <c r="L86" s="2" t="str">
        <f t="array" ref="L86">IF(NOW()&gt;AW86,"",IF(AND((WEEKDAY($A86)+$B$2)&gt;1,((WEEKDAY($A86)+$T$2)&lt;7),(WEEKDAY($A86)&lt;&gt;1)),"work",(INDEX(Subject!$A:$I,MATCH(RANDBETWEEN(1,(MAX(Subject!$B:$B))),Subject!$B:$B,0),3))))</f>
        <v/>
      </c>
      <c r="M86" s="2" t="str">
        <f t="array" ref="M86">IF(NOW()&gt;AX86,"",IF(AND((WEEKDAY($A86)+$B$2)&gt;1,((WEEKDAY($A86)+$T$2)&lt;7),(WEEKDAY($A86)&lt;&gt;1)),"work",(INDEX(Subject!$A:$I,MATCH(RANDBETWEEN(1,(MAX(Subject!$B:$B))),Subject!$B:$B,0),3))))</f>
        <v/>
      </c>
      <c r="N86" s="2" t="str">
        <f t="array" ref="N86">IF(NOW()&gt;AY86,"",IF(AND((WEEKDAY($A86)+$B$2)&gt;1,((WEEKDAY($A86)+$T$2)&lt;7),(WEEKDAY($A86)&lt;&gt;1)),"work",(INDEX(Subject!$A:$I,MATCH(RANDBETWEEN(1,(MAX(Subject!$B:$B))),Subject!$B:$B,0),3))))</f>
        <v/>
      </c>
      <c r="O86" s="2" t="str">
        <f t="array" ref="O86">IF(NOW()&gt;AZ86,"",IF(AND((WEEKDAY($A86)+$B$2)&gt;1,((WEEKDAY($A86)+$T$2)&lt;7),(WEEKDAY($A86)&lt;&gt;1)),"work",(INDEX(Subject!$A:$I,MATCH(RANDBETWEEN(1,(MAX(Subject!$B:$B))),Subject!$B:$B,0),3))))</f>
        <v/>
      </c>
      <c r="P86" s="2" t="str">
        <f t="array" ref="P86">IF(NOW()&gt;BA86,"",IF(AND((WEEKDAY($A86)+$B$2)&gt;1,((WEEKDAY($A86)+$T$2)&lt;7),(WEEKDAY($A86)&lt;&gt;1)),"work",(INDEX(Subject!$A:$I,MATCH(RANDBETWEEN(1,(MAX(Subject!$B:$B))),Subject!$B:$B,0),3))))</f>
        <v/>
      </c>
      <c r="Q86" s="2" t="str">
        <f t="array" ref="Q86">IF(NOW()&gt;BB86,"",IF(AND((WEEKDAY($A86)+$B$2)&gt;1,((WEEKDAY($A86)+$T$2)&lt;7),(WEEKDAY($A86)&lt;&gt;1)),"work",(INDEX(Subject!$A:$I,MATCH(RANDBETWEEN(1,(MAX(Subject!$B:$B))),Subject!$B:$B,0),3))))</f>
        <v/>
      </c>
      <c r="R86" s="2" t="str">
        <f t="array" ref="R86">IF(NOW()&gt;BC86,"",IF(AND((WEEKDAY($A86)+$B$2)&gt;1,((WEEKDAY($A86)+$T$2)&lt;7),(WEEKDAY($A86)&lt;&gt;1)),"work",(INDEX(Subject!$A:$I,MATCH(RANDBETWEEN(1,(MAX(Subject!$B:$B))),Subject!$B:$B,0),3))))</f>
        <v/>
      </c>
      <c r="S86" s="2" t="str">
        <f t="array" ref="S86">IF(NOW()&gt;BD86,"",IF(AND((WEEKDAY($A86)+$B$2)&gt;1,((WEEKDAY($A86)+$T$2)&lt;7),(WEEKDAY($A86)&lt;&gt;1)),"work",(INDEX(Subject!$A:$I,MATCH(RANDBETWEEN(1,(MAX(Subject!$B:$B))),Subject!$B:$B,0),3))))</f>
        <v/>
      </c>
      <c r="T86" s="2" t="str">
        <f t="array" ref="T86">IF(NOW()&gt;BE86,"",IF(AND((WEEKDAY($A86)+$B$2)&gt;1,((WEEKDAY($A86)+$T$2)&lt;7),(WEEKDAY($A86)&lt;&gt;1)),"work",(INDEX(Subject!$A:$I,MATCH(RANDBETWEEN(1,(MAX(Subject!$B:$B))),Subject!$B:$B,0),3))))</f>
        <v/>
      </c>
      <c r="U86" s="8" t="str">
        <f t="array" ref="U86">INDEX(Subject!$A:$I,MATCH(RANDBETWEEN(1,16),Subject!$B:$B,0),3)</f>
        <v/>
      </c>
      <c r="V86" s="8" t="str">
        <f t="array" ref="V86">INDEX(Subject!$A:$I,MATCH(RANDBETWEEN(1,16),Subject!$B:$B,0),3)</f>
        <v/>
      </c>
      <c r="W86" s="8" t="str">
        <f t="array" ref="W86">INDEX(Subject!$A:$I,MATCH(RANDBETWEEN(1,16),Subject!$B:$B,0),3)</f>
        <v>#N/A</v>
      </c>
      <c r="X86" s="8" t="str">
        <f t="array" ref="X86">INDEX(Subject!$A:$I,MATCH(RANDBETWEEN(1,16),Subject!$B:$B,0),3)</f>
        <v>#N/A</v>
      </c>
      <c r="Y86" s="8" t="str">
        <f t="array" ref="Y86">INDEX(Subject!$A:$I,MATCH(RANDBETWEEN(1,16),Subject!$B:$B,0),3)</f>
        <v>#N/A</v>
      </c>
      <c r="Z86" s="8" t="str">
        <f t="array" ref="Z86">INDEX(Subject!$A:$I,MATCH(RANDBETWEEN(1,16),Subject!$B:$B,0),3)</f>
        <v>#N/A</v>
      </c>
      <c r="AA86" s="8" t="str">
        <f t="array" ref="AA86">INDEX(Subject!$A:$I,MATCH(RANDBETWEEN(1,16),Subject!$B:$B,0),3)</f>
        <v>#N/A</v>
      </c>
      <c r="AB86" s="8" t="str">
        <f t="array" ref="AB86">INDEX(Subject!$A:$I,MATCH(RANDBETWEEN(1,16),Subject!$B:$B,0),3)</f>
        <v>#N/A</v>
      </c>
      <c r="AC86" s="8" t="str">
        <f t="array" ref="AC86">INDEX(Subject!$A:$I,MATCH(RANDBETWEEN(1,16),Subject!$B:$B,0),3)</f>
        <v>#N/A</v>
      </c>
      <c r="AD86" s="8" t="str">
        <f t="array" ref="AD86">INDEX(Subject!$A:$I,MATCH(RANDBETWEEN(1,16),Subject!$B:$B,0),3)</f>
        <v>#N/A</v>
      </c>
      <c r="AE86" s="8" t="str">
        <f t="array" ref="AE86">INDEX(Subject!$A:$I,MATCH(RANDBETWEEN(1,16),Subject!$B:$B,0),3)</f>
        <v>#N/A</v>
      </c>
      <c r="AF86" s="8" t="str">
        <f t="array" ref="AF86">INDEX(Subject!$A:$I,MATCH(RANDBETWEEN(1,16),Subject!$B:$B,0),3)</f>
        <v>#N/A</v>
      </c>
      <c r="AG86" s="8" t="str">
        <f t="array" ref="AG86">INDEX(Subject!$A:$I,MATCH(RANDBETWEEN(1,16),Subject!$B:$B,0),3)</f>
        <v>#N/A</v>
      </c>
      <c r="AH86" s="8" t="str">
        <f t="array" ref="AH86">INDEX(Subject!$A:$I,MATCH(RANDBETWEEN(1,16),Subject!$B:$B,0),3)</f>
        <v>#N/A</v>
      </c>
      <c r="AI86" s="8" t="str">
        <f t="array" ref="AI86">INDEX(Subject!$A:$I,MATCH(RANDBETWEEN(1,16),Subject!$B:$B,0),3)</f>
        <v>#N/A</v>
      </c>
      <c r="AJ86" s="8" t="str">
        <f t="array" ref="AJ86">INDEX(Subject!$A:$I,MATCH(RANDBETWEEN(1,16),Subject!$B:$B,0),3)</f>
        <v>#N/A</v>
      </c>
      <c r="AK86" s="8" t="str">
        <f t="array" ref="AK86">INDEX(Subject!$A:$I,MATCH(RANDBETWEEN(1,16),Subject!$B:$B,0),3)</f>
        <v>#N/A</v>
      </c>
      <c r="AL86" s="8" t="str">
        <f t="array" ref="AL86">INDEX(Subject!$A:$I,MATCH(RANDBETWEEN(1,16),Subject!$B:$B,0),3)</f>
        <v>#N/A</v>
      </c>
      <c r="AM86" s="18">
        <f t="shared" si="4"/>
        <v>45586.33333</v>
      </c>
      <c r="AN86" s="19">
        <f t="shared" ref="AN86:BZ86" si="86">$A86+C$1</f>
        <v>45586.35417</v>
      </c>
      <c r="AO86" s="19">
        <f t="shared" si="86"/>
        <v>45586.375</v>
      </c>
      <c r="AP86" s="19">
        <f t="shared" si="86"/>
        <v>45586.39583</v>
      </c>
      <c r="AQ86" s="19">
        <f t="shared" si="86"/>
        <v>45586.41667</v>
      </c>
      <c r="AR86" s="19">
        <f t="shared" si="86"/>
        <v>45586.4375</v>
      </c>
      <c r="AS86" s="19">
        <f t="shared" si="86"/>
        <v>45586.45833</v>
      </c>
      <c r="AT86" s="19">
        <f t="shared" si="86"/>
        <v>45586.47917</v>
      </c>
      <c r="AU86" s="19">
        <f t="shared" si="86"/>
        <v>45586.5</v>
      </c>
      <c r="AV86" s="19">
        <f t="shared" si="86"/>
        <v>45586.52083</v>
      </c>
      <c r="AW86" s="19">
        <f t="shared" si="86"/>
        <v>45586.54167</v>
      </c>
      <c r="AX86" s="19">
        <f t="shared" si="86"/>
        <v>45586.5625</v>
      </c>
      <c r="AY86" s="19">
        <f t="shared" si="86"/>
        <v>45586.58333</v>
      </c>
      <c r="AZ86" s="19">
        <f t="shared" si="86"/>
        <v>45586.60417</v>
      </c>
      <c r="BA86" s="19">
        <f t="shared" si="86"/>
        <v>45586.625</v>
      </c>
      <c r="BB86" s="19">
        <f t="shared" si="86"/>
        <v>45586.64583</v>
      </c>
      <c r="BC86" s="19">
        <f t="shared" si="86"/>
        <v>45586.66667</v>
      </c>
      <c r="BD86" s="19">
        <f t="shared" si="86"/>
        <v>45586.6875</v>
      </c>
      <c r="BE86" s="19">
        <f t="shared" si="86"/>
        <v>45586.70833</v>
      </c>
      <c r="BF86" s="19">
        <f t="shared" si="86"/>
        <v>45586.72917</v>
      </c>
      <c r="BG86" s="19">
        <f t="shared" si="86"/>
        <v>45586.75</v>
      </c>
      <c r="BH86" s="19">
        <f t="shared" si="86"/>
        <v>45586.77083</v>
      </c>
      <c r="BI86" s="19">
        <f t="shared" si="86"/>
        <v>45586.79167</v>
      </c>
      <c r="BJ86" s="19">
        <f t="shared" si="86"/>
        <v>45586.8125</v>
      </c>
      <c r="BK86" s="19">
        <f t="shared" si="86"/>
        <v>45586.83333</v>
      </c>
      <c r="BL86" s="19">
        <f t="shared" si="86"/>
        <v>45586.85417</v>
      </c>
      <c r="BM86" s="19">
        <f t="shared" si="86"/>
        <v>45586.875</v>
      </c>
      <c r="BN86" s="19">
        <f t="shared" si="86"/>
        <v>45586.89583</v>
      </c>
      <c r="BO86" s="19">
        <f t="shared" si="86"/>
        <v>45586.91667</v>
      </c>
      <c r="BP86" s="19">
        <f t="shared" si="86"/>
        <v>45586.9375</v>
      </c>
      <c r="BQ86" s="19">
        <f t="shared" si="86"/>
        <v>45586.95833</v>
      </c>
      <c r="BR86" s="19">
        <f t="shared" si="86"/>
        <v>45586.97917</v>
      </c>
      <c r="BS86" s="19">
        <f t="shared" si="86"/>
        <v>45587</v>
      </c>
      <c r="BT86" s="19">
        <f t="shared" si="86"/>
        <v>45587.02083</v>
      </c>
      <c r="BU86" s="19">
        <f t="shared" si="86"/>
        <v>45587.04167</v>
      </c>
      <c r="BV86" s="19">
        <f t="shared" si="86"/>
        <v>45587.0625</v>
      </c>
      <c r="BW86" s="19">
        <f t="shared" si="86"/>
        <v>45587.08333</v>
      </c>
      <c r="BX86" s="19">
        <f t="shared" si="86"/>
        <v>45586</v>
      </c>
      <c r="BY86" s="19">
        <f t="shared" si="86"/>
        <v>45586</v>
      </c>
      <c r="BZ86" s="19">
        <f t="shared" si="86"/>
        <v>45586</v>
      </c>
    </row>
    <row r="87" ht="14.25" customHeight="1">
      <c r="A87" s="17">
        <v>45587.0</v>
      </c>
      <c r="B87" s="2" t="str">
        <f t="array" ref="B87">IF(NOW()&gt;AM87,"",IF(AND((WEEKDAY($A87)+$B$2)&gt;1,((WEEKDAY($A87)+$T$2)&lt;7),(WEEKDAY($A87)&lt;&gt;1)),"work",(INDEX(Subject!$A:$I,MATCH(RANDBETWEEN(1,(MAX(Subject!$B:$B))),Subject!$B:$B,0),3))))</f>
        <v/>
      </c>
      <c r="C87" s="2" t="str">
        <f t="array" ref="C87">IF(NOW()&gt;AN87,"",IF(AND((WEEKDAY($A87)+$B$2)&gt;1,((WEEKDAY($A87)+$T$2)&lt;7),(WEEKDAY($A87)&lt;&gt;1)),"work",(INDEX(Subject!$A:$I,MATCH(RANDBETWEEN(1,(MAX(Subject!$B:$B))),Subject!$B:$B,0),3))))</f>
        <v/>
      </c>
      <c r="D87" s="2" t="str">
        <f t="array" ref="D87">IF(NOW()&gt;AO87,"",IF(AND((WEEKDAY($A87)+$B$2)&gt;1,((WEEKDAY($A87)+$T$2)&lt;7),(WEEKDAY($A87)&lt;&gt;1)),"work",(INDEX(Subject!$A:$I,MATCH(RANDBETWEEN(1,(MAX(Subject!$B:$B))),Subject!$B:$B,0),3))))</f>
        <v/>
      </c>
      <c r="E87" s="2" t="str">
        <f t="array" ref="E87">IF(NOW()&gt;AP87,"",IF(AND((WEEKDAY($A87)+$B$2)&gt;1,((WEEKDAY($A87)+$T$2)&lt;7),(WEEKDAY($A87)&lt;&gt;1)),"work",(INDEX(Subject!$A:$I,MATCH(RANDBETWEEN(1,(MAX(Subject!$B:$B))),Subject!$B:$B,0),3))))</f>
        <v/>
      </c>
      <c r="F87" s="2" t="str">
        <f t="array" ref="F87">IF(NOW()&gt;AQ87,"",IF(AND((WEEKDAY($A87)+$B$2)&gt;1,((WEEKDAY($A87)+$T$2)&lt;7),(WEEKDAY($A87)&lt;&gt;1)),"work",(INDEX(Subject!$A:$I,MATCH(RANDBETWEEN(1,(MAX(Subject!$B:$B))),Subject!$B:$B,0),3))))</f>
        <v/>
      </c>
      <c r="G87" s="2" t="str">
        <f t="array" ref="G87">IF(NOW()&gt;AR87,"",IF(AND((WEEKDAY($A87)+$B$2)&gt;1,((WEEKDAY($A87)+$T$2)&lt;7),(WEEKDAY($A87)&lt;&gt;1)),"work",(INDEX(Subject!$A:$I,MATCH(RANDBETWEEN(1,(MAX(Subject!$B:$B))),Subject!$B:$B,0),3))))</f>
        <v/>
      </c>
      <c r="H87" s="2" t="str">
        <f t="array" ref="H87">IF(NOW()&gt;AS87,"",IF(AND((WEEKDAY($A87)+$B$2)&gt;1,((WEEKDAY($A87)+$T$2)&lt;7),(WEEKDAY($A87)&lt;&gt;1)),"work",(INDEX(Subject!$A:$I,MATCH(RANDBETWEEN(1,(MAX(Subject!$B:$B))),Subject!$B:$B,0),3))))</f>
        <v/>
      </c>
      <c r="I87" s="2" t="str">
        <f t="array" ref="I87">IF(NOW()&gt;AT87,"",IF(AND((WEEKDAY($A87)+$B$2)&gt;1,((WEEKDAY($A87)+$T$2)&lt;7),(WEEKDAY($A87)&lt;&gt;1)),"work",(INDEX(Subject!$A:$I,MATCH(RANDBETWEEN(1,(MAX(Subject!$B:$B))),Subject!$B:$B,0),3))))</f>
        <v/>
      </c>
      <c r="J87" s="2" t="str">
        <f t="array" ref="J87">IF(NOW()&gt;AU87,"",IF(AND((WEEKDAY($A87)+$B$2)&gt;1,((WEEKDAY($A87)+$T$2)&lt;7),(WEEKDAY($A87)&lt;&gt;1)),"work",(INDEX(Subject!$A:$I,MATCH(RANDBETWEEN(1,(MAX(Subject!$B:$B))),Subject!$B:$B,0),3))))</f>
        <v/>
      </c>
      <c r="K87" s="2" t="str">
        <f t="array" ref="K87">IF(NOW()&gt;AV87,"",IF(AND((WEEKDAY($A87)+$B$2)&gt;1,((WEEKDAY($A87)+$T$2)&lt;7),(WEEKDAY($A87)&lt;&gt;1)),"work",(INDEX(Subject!$A:$I,MATCH(RANDBETWEEN(1,(MAX(Subject!$B:$B))),Subject!$B:$B,0),3))))</f>
        <v/>
      </c>
      <c r="L87" s="2" t="str">
        <f t="array" ref="L87">IF(NOW()&gt;AW87,"",IF(AND((WEEKDAY($A87)+$B$2)&gt;1,((WEEKDAY($A87)+$T$2)&lt;7),(WEEKDAY($A87)&lt;&gt;1)),"work",(INDEX(Subject!$A:$I,MATCH(RANDBETWEEN(1,(MAX(Subject!$B:$B))),Subject!$B:$B,0),3))))</f>
        <v/>
      </c>
      <c r="M87" s="2" t="str">
        <f t="array" ref="M87">IF(NOW()&gt;AX87,"",IF(AND((WEEKDAY($A87)+$B$2)&gt;1,((WEEKDAY($A87)+$T$2)&lt;7),(WEEKDAY($A87)&lt;&gt;1)),"work",(INDEX(Subject!$A:$I,MATCH(RANDBETWEEN(1,(MAX(Subject!$B:$B))),Subject!$B:$B,0),3))))</f>
        <v/>
      </c>
      <c r="N87" s="2" t="str">
        <f t="array" ref="N87">IF(NOW()&gt;AY87,"",IF(AND((WEEKDAY($A87)+$B$2)&gt;1,((WEEKDAY($A87)+$T$2)&lt;7),(WEEKDAY($A87)&lt;&gt;1)),"work",(INDEX(Subject!$A:$I,MATCH(RANDBETWEEN(1,(MAX(Subject!$B:$B))),Subject!$B:$B,0),3))))</f>
        <v/>
      </c>
      <c r="O87" s="2" t="str">
        <f t="array" ref="O87">IF(NOW()&gt;AZ87,"",IF(AND((WEEKDAY($A87)+$B$2)&gt;1,((WEEKDAY($A87)+$T$2)&lt;7),(WEEKDAY($A87)&lt;&gt;1)),"work",(INDEX(Subject!$A:$I,MATCH(RANDBETWEEN(1,(MAX(Subject!$B:$B))),Subject!$B:$B,0),3))))</f>
        <v/>
      </c>
      <c r="P87" s="2" t="str">
        <f t="array" ref="P87">IF(NOW()&gt;BA87,"",IF(AND((WEEKDAY($A87)+$B$2)&gt;1,((WEEKDAY($A87)+$T$2)&lt;7),(WEEKDAY($A87)&lt;&gt;1)),"work",(INDEX(Subject!$A:$I,MATCH(RANDBETWEEN(1,(MAX(Subject!$B:$B))),Subject!$B:$B,0),3))))</f>
        <v/>
      </c>
      <c r="Q87" s="2" t="str">
        <f t="array" ref="Q87">IF(NOW()&gt;BB87,"",IF(AND((WEEKDAY($A87)+$B$2)&gt;1,((WEEKDAY($A87)+$T$2)&lt;7),(WEEKDAY($A87)&lt;&gt;1)),"work",(INDEX(Subject!$A:$I,MATCH(RANDBETWEEN(1,(MAX(Subject!$B:$B))),Subject!$B:$B,0),3))))</f>
        <v/>
      </c>
      <c r="R87" s="2" t="str">
        <f t="array" ref="R87">IF(NOW()&gt;BC87,"",IF(AND((WEEKDAY($A87)+$B$2)&gt;1,((WEEKDAY($A87)+$T$2)&lt;7),(WEEKDAY($A87)&lt;&gt;1)),"work",(INDEX(Subject!$A:$I,MATCH(RANDBETWEEN(1,(MAX(Subject!$B:$B))),Subject!$B:$B,0),3))))</f>
        <v/>
      </c>
      <c r="S87" s="2" t="str">
        <f t="array" ref="S87">IF(NOW()&gt;BD87,"",IF(AND((WEEKDAY($A87)+$B$2)&gt;1,((WEEKDAY($A87)+$T$2)&lt;7),(WEEKDAY($A87)&lt;&gt;1)),"work",(INDEX(Subject!$A:$I,MATCH(RANDBETWEEN(1,(MAX(Subject!$B:$B))),Subject!$B:$B,0),3))))</f>
        <v/>
      </c>
      <c r="T87" s="2" t="str">
        <f t="array" ref="T87">IF(NOW()&gt;BE87,"",IF(AND((WEEKDAY($A87)+$B$2)&gt;1,((WEEKDAY($A87)+$T$2)&lt;7),(WEEKDAY($A87)&lt;&gt;1)),"work",(INDEX(Subject!$A:$I,MATCH(RANDBETWEEN(1,(MAX(Subject!$B:$B))),Subject!$B:$B,0),3))))</f>
        <v/>
      </c>
      <c r="U87" s="8" t="str">
        <f t="array" ref="U87">INDEX(Subject!$A:$I,MATCH(RANDBETWEEN(1,16),Subject!$B:$B,0),3)</f>
        <v>#N/A</v>
      </c>
      <c r="V87" s="8" t="str">
        <f t="array" ref="V87">INDEX(Subject!$A:$I,MATCH(RANDBETWEEN(1,16),Subject!$B:$B,0),3)</f>
        <v>#N/A</v>
      </c>
      <c r="W87" s="8" t="str">
        <f t="array" ref="W87">INDEX(Subject!$A:$I,MATCH(RANDBETWEEN(1,16),Subject!$B:$B,0),3)</f>
        <v>#N/A</v>
      </c>
      <c r="X87" s="8" t="str">
        <f t="array" ref="X87">INDEX(Subject!$A:$I,MATCH(RANDBETWEEN(1,16),Subject!$B:$B,0),3)</f>
        <v>#N/A</v>
      </c>
      <c r="Y87" s="8" t="str">
        <f t="array" ref="Y87">INDEX(Subject!$A:$I,MATCH(RANDBETWEEN(1,16),Subject!$B:$B,0),3)</f>
        <v>#N/A</v>
      </c>
      <c r="Z87" s="8" t="str">
        <f t="array" ref="Z87">INDEX(Subject!$A:$I,MATCH(RANDBETWEEN(1,16),Subject!$B:$B,0),3)</f>
        <v>#N/A</v>
      </c>
      <c r="AA87" s="8" t="str">
        <f t="array" ref="AA87">INDEX(Subject!$A:$I,MATCH(RANDBETWEEN(1,16),Subject!$B:$B,0),3)</f>
        <v>#N/A</v>
      </c>
      <c r="AB87" s="8" t="str">
        <f t="array" ref="AB87">INDEX(Subject!$A:$I,MATCH(RANDBETWEEN(1,16),Subject!$B:$B,0),3)</f>
        <v>#N/A</v>
      </c>
      <c r="AC87" s="8" t="str">
        <f t="array" ref="AC87">INDEX(Subject!$A:$I,MATCH(RANDBETWEEN(1,16),Subject!$B:$B,0),3)</f>
        <v>#N/A</v>
      </c>
      <c r="AD87" s="8" t="str">
        <f t="array" ref="AD87">INDEX(Subject!$A:$I,MATCH(RANDBETWEEN(1,16),Subject!$B:$B,0),3)</f>
        <v>#N/A</v>
      </c>
      <c r="AE87" s="8" t="str">
        <f t="array" ref="AE87">INDEX(Subject!$A:$I,MATCH(RANDBETWEEN(1,16),Subject!$B:$B,0),3)</f>
        <v>#N/A</v>
      </c>
      <c r="AF87" s="8" t="str">
        <f t="array" ref="AF87">INDEX(Subject!$A:$I,MATCH(RANDBETWEEN(1,16),Subject!$B:$B,0),3)</f>
        <v>#N/A</v>
      </c>
      <c r="AG87" s="8" t="str">
        <f t="array" ref="AG87">INDEX(Subject!$A:$I,MATCH(RANDBETWEEN(1,16),Subject!$B:$B,0),3)</f>
        <v>#N/A</v>
      </c>
      <c r="AH87" s="8" t="str">
        <f t="array" ref="AH87">INDEX(Subject!$A:$I,MATCH(RANDBETWEEN(1,16),Subject!$B:$B,0),3)</f>
        <v>#N/A</v>
      </c>
      <c r="AI87" s="8" t="str">
        <f t="array" ref="AI87">INDEX(Subject!$A:$I,MATCH(RANDBETWEEN(1,16),Subject!$B:$B,0),3)</f>
        <v>#N/A</v>
      </c>
      <c r="AJ87" s="8" t="str">
        <f t="array" ref="AJ87">INDEX(Subject!$A:$I,MATCH(RANDBETWEEN(1,16),Subject!$B:$B,0),3)</f>
        <v>#N/A</v>
      </c>
      <c r="AK87" s="8" t="str">
        <f t="array" ref="AK87">INDEX(Subject!$A:$I,MATCH(RANDBETWEEN(1,16),Subject!$B:$B,0),3)</f>
        <v>#N/A</v>
      </c>
      <c r="AL87" s="8" t="str">
        <f t="array" ref="AL87">INDEX(Subject!$A:$I,MATCH(RANDBETWEEN(1,16),Subject!$B:$B,0),3)</f>
        <v>#N/A</v>
      </c>
      <c r="AM87" s="18">
        <f t="shared" si="4"/>
        <v>45587.33333</v>
      </c>
      <c r="AN87" s="19">
        <f t="shared" ref="AN87:BZ87" si="87">$A87+C$1</f>
        <v>45587.35417</v>
      </c>
      <c r="AO87" s="19">
        <f t="shared" si="87"/>
        <v>45587.375</v>
      </c>
      <c r="AP87" s="19">
        <f t="shared" si="87"/>
        <v>45587.39583</v>
      </c>
      <c r="AQ87" s="19">
        <f t="shared" si="87"/>
        <v>45587.41667</v>
      </c>
      <c r="AR87" s="19">
        <f t="shared" si="87"/>
        <v>45587.4375</v>
      </c>
      <c r="AS87" s="19">
        <f t="shared" si="87"/>
        <v>45587.45833</v>
      </c>
      <c r="AT87" s="19">
        <f t="shared" si="87"/>
        <v>45587.47917</v>
      </c>
      <c r="AU87" s="19">
        <f t="shared" si="87"/>
        <v>45587.5</v>
      </c>
      <c r="AV87" s="19">
        <f t="shared" si="87"/>
        <v>45587.52083</v>
      </c>
      <c r="AW87" s="19">
        <f t="shared" si="87"/>
        <v>45587.54167</v>
      </c>
      <c r="AX87" s="19">
        <f t="shared" si="87"/>
        <v>45587.5625</v>
      </c>
      <c r="AY87" s="19">
        <f t="shared" si="87"/>
        <v>45587.58333</v>
      </c>
      <c r="AZ87" s="19">
        <f t="shared" si="87"/>
        <v>45587.60417</v>
      </c>
      <c r="BA87" s="19">
        <f t="shared" si="87"/>
        <v>45587.625</v>
      </c>
      <c r="BB87" s="19">
        <f t="shared" si="87"/>
        <v>45587.64583</v>
      </c>
      <c r="BC87" s="19">
        <f t="shared" si="87"/>
        <v>45587.66667</v>
      </c>
      <c r="BD87" s="19">
        <f t="shared" si="87"/>
        <v>45587.6875</v>
      </c>
      <c r="BE87" s="19">
        <f t="shared" si="87"/>
        <v>45587.70833</v>
      </c>
      <c r="BF87" s="19">
        <f t="shared" si="87"/>
        <v>45587.72917</v>
      </c>
      <c r="BG87" s="19">
        <f t="shared" si="87"/>
        <v>45587.75</v>
      </c>
      <c r="BH87" s="19">
        <f t="shared" si="87"/>
        <v>45587.77083</v>
      </c>
      <c r="BI87" s="19">
        <f t="shared" si="87"/>
        <v>45587.79167</v>
      </c>
      <c r="BJ87" s="19">
        <f t="shared" si="87"/>
        <v>45587.8125</v>
      </c>
      <c r="BK87" s="19">
        <f t="shared" si="87"/>
        <v>45587.83333</v>
      </c>
      <c r="BL87" s="19">
        <f t="shared" si="87"/>
        <v>45587.85417</v>
      </c>
      <c r="BM87" s="19">
        <f t="shared" si="87"/>
        <v>45587.875</v>
      </c>
      <c r="BN87" s="19">
        <f t="shared" si="87"/>
        <v>45587.89583</v>
      </c>
      <c r="BO87" s="19">
        <f t="shared" si="87"/>
        <v>45587.91667</v>
      </c>
      <c r="BP87" s="19">
        <f t="shared" si="87"/>
        <v>45587.9375</v>
      </c>
      <c r="BQ87" s="19">
        <f t="shared" si="87"/>
        <v>45587.95833</v>
      </c>
      <c r="BR87" s="19">
        <f t="shared" si="87"/>
        <v>45587.97917</v>
      </c>
      <c r="BS87" s="19">
        <f t="shared" si="87"/>
        <v>45588</v>
      </c>
      <c r="BT87" s="19">
        <f t="shared" si="87"/>
        <v>45588.02083</v>
      </c>
      <c r="BU87" s="19">
        <f t="shared" si="87"/>
        <v>45588.04167</v>
      </c>
      <c r="BV87" s="19">
        <f t="shared" si="87"/>
        <v>45588.0625</v>
      </c>
      <c r="BW87" s="19">
        <f t="shared" si="87"/>
        <v>45588.08333</v>
      </c>
      <c r="BX87" s="19">
        <f t="shared" si="87"/>
        <v>45587</v>
      </c>
      <c r="BY87" s="19">
        <f t="shared" si="87"/>
        <v>45587</v>
      </c>
      <c r="BZ87" s="19">
        <f t="shared" si="87"/>
        <v>45587</v>
      </c>
    </row>
    <row r="88" ht="14.25" customHeight="1">
      <c r="A88" s="17">
        <v>45588.0</v>
      </c>
      <c r="B88" s="2" t="str">
        <f t="array" ref="B88">IF(NOW()&gt;AM88,"",IF(AND((WEEKDAY($A88)+$B$2)&gt;1,((WEEKDAY($A88)+$T$2)&lt;7),(WEEKDAY($A88)&lt;&gt;1)),"work",(INDEX(Subject!$A:$I,MATCH(RANDBETWEEN(1,(MAX(Subject!$B:$B))),Subject!$B:$B,0),3))))</f>
        <v/>
      </c>
      <c r="C88" s="2" t="str">
        <f t="array" ref="C88">IF(NOW()&gt;AN88,"",IF(AND((WEEKDAY($A88)+$B$2)&gt;1,((WEEKDAY($A88)+$T$2)&lt;7),(WEEKDAY($A88)&lt;&gt;1)),"work",(INDEX(Subject!$A:$I,MATCH(RANDBETWEEN(1,(MAX(Subject!$B:$B))),Subject!$B:$B,0),3))))</f>
        <v/>
      </c>
      <c r="D88" s="2" t="str">
        <f t="array" ref="D88">IF(NOW()&gt;AO88,"",IF(AND((WEEKDAY($A88)+$B$2)&gt;1,((WEEKDAY($A88)+$T$2)&lt;7),(WEEKDAY($A88)&lt;&gt;1)),"work",(INDEX(Subject!$A:$I,MATCH(RANDBETWEEN(1,(MAX(Subject!$B:$B))),Subject!$B:$B,0),3))))</f>
        <v/>
      </c>
      <c r="E88" s="2" t="str">
        <f t="array" ref="E88">IF(NOW()&gt;AP88,"",IF(AND((WEEKDAY($A88)+$B$2)&gt;1,((WEEKDAY($A88)+$T$2)&lt;7),(WEEKDAY($A88)&lt;&gt;1)),"work",(INDEX(Subject!$A:$I,MATCH(RANDBETWEEN(1,(MAX(Subject!$B:$B))),Subject!$B:$B,0),3))))</f>
        <v/>
      </c>
      <c r="F88" s="2" t="str">
        <f t="array" ref="F88">IF(NOW()&gt;AQ88,"",IF(AND((WEEKDAY($A88)+$B$2)&gt;1,((WEEKDAY($A88)+$T$2)&lt;7),(WEEKDAY($A88)&lt;&gt;1)),"work",(INDEX(Subject!$A:$I,MATCH(RANDBETWEEN(1,(MAX(Subject!$B:$B))),Subject!$B:$B,0),3))))</f>
        <v/>
      </c>
      <c r="G88" s="2" t="str">
        <f t="array" ref="G88">IF(NOW()&gt;AR88,"",IF(AND((WEEKDAY($A88)+$B$2)&gt;1,((WEEKDAY($A88)+$T$2)&lt;7),(WEEKDAY($A88)&lt;&gt;1)),"work",(INDEX(Subject!$A:$I,MATCH(RANDBETWEEN(1,(MAX(Subject!$B:$B))),Subject!$B:$B,0),3))))</f>
        <v/>
      </c>
      <c r="H88" s="2" t="str">
        <f t="array" ref="H88">IF(NOW()&gt;AS88,"",IF(AND((WEEKDAY($A88)+$B$2)&gt;1,((WEEKDAY($A88)+$T$2)&lt;7),(WEEKDAY($A88)&lt;&gt;1)),"work",(INDEX(Subject!$A:$I,MATCH(RANDBETWEEN(1,(MAX(Subject!$B:$B))),Subject!$B:$B,0),3))))</f>
        <v/>
      </c>
      <c r="I88" s="2" t="str">
        <f t="array" ref="I88">IF(NOW()&gt;AT88,"",IF(AND((WEEKDAY($A88)+$B$2)&gt;1,((WEEKDAY($A88)+$T$2)&lt;7),(WEEKDAY($A88)&lt;&gt;1)),"work",(INDEX(Subject!$A:$I,MATCH(RANDBETWEEN(1,(MAX(Subject!$B:$B))),Subject!$B:$B,0),3))))</f>
        <v/>
      </c>
      <c r="J88" s="2" t="str">
        <f t="array" ref="J88">IF(NOW()&gt;AU88,"",IF(AND((WEEKDAY($A88)+$B$2)&gt;1,((WEEKDAY($A88)+$T$2)&lt;7),(WEEKDAY($A88)&lt;&gt;1)),"work",(INDEX(Subject!$A:$I,MATCH(RANDBETWEEN(1,(MAX(Subject!$B:$B))),Subject!$B:$B,0),3))))</f>
        <v/>
      </c>
      <c r="K88" s="2" t="str">
        <f t="array" ref="K88">IF(NOW()&gt;AV88,"",IF(AND((WEEKDAY($A88)+$B$2)&gt;1,((WEEKDAY($A88)+$T$2)&lt;7),(WEEKDAY($A88)&lt;&gt;1)),"work",(INDEX(Subject!$A:$I,MATCH(RANDBETWEEN(1,(MAX(Subject!$B:$B))),Subject!$B:$B,0),3))))</f>
        <v/>
      </c>
      <c r="L88" s="2" t="str">
        <f t="array" ref="L88">IF(NOW()&gt;AW88,"",IF(AND((WEEKDAY($A88)+$B$2)&gt;1,((WEEKDAY($A88)+$T$2)&lt;7),(WEEKDAY($A88)&lt;&gt;1)),"work",(INDEX(Subject!$A:$I,MATCH(RANDBETWEEN(1,(MAX(Subject!$B:$B))),Subject!$B:$B,0),3))))</f>
        <v/>
      </c>
      <c r="M88" s="2" t="str">
        <f t="array" ref="M88">IF(NOW()&gt;AX88,"",IF(AND((WEEKDAY($A88)+$B$2)&gt;1,((WEEKDAY($A88)+$T$2)&lt;7),(WEEKDAY($A88)&lt;&gt;1)),"work",(INDEX(Subject!$A:$I,MATCH(RANDBETWEEN(1,(MAX(Subject!$B:$B))),Subject!$B:$B,0),3))))</f>
        <v/>
      </c>
      <c r="N88" s="2" t="str">
        <f t="array" ref="N88">IF(NOW()&gt;AY88,"",IF(AND((WEEKDAY($A88)+$B$2)&gt;1,((WEEKDAY($A88)+$T$2)&lt;7),(WEEKDAY($A88)&lt;&gt;1)),"work",(INDEX(Subject!$A:$I,MATCH(RANDBETWEEN(1,(MAX(Subject!$B:$B))),Subject!$B:$B,0),3))))</f>
        <v/>
      </c>
      <c r="O88" s="2" t="str">
        <f t="array" ref="O88">IF(NOW()&gt;AZ88,"",IF(AND((WEEKDAY($A88)+$B$2)&gt;1,((WEEKDAY($A88)+$T$2)&lt;7),(WEEKDAY($A88)&lt;&gt;1)),"work",(INDEX(Subject!$A:$I,MATCH(RANDBETWEEN(1,(MAX(Subject!$B:$B))),Subject!$B:$B,0),3))))</f>
        <v/>
      </c>
      <c r="P88" s="2" t="str">
        <f t="array" ref="P88">IF(NOW()&gt;BA88,"",IF(AND((WEEKDAY($A88)+$B$2)&gt;1,((WEEKDAY($A88)+$T$2)&lt;7),(WEEKDAY($A88)&lt;&gt;1)),"work",(INDEX(Subject!$A:$I,MATCH(RANDBETWEEN(1,(MAX(Subject!$B:$B))),Subject!$B:$B,0),3))))</f>
        <v/>
      </c>
      <c r="Q88" s="2" t="str">
        <f t="array" ref="Q88">IF(NOW()&gt;BB88,"",IF(AND((WEEKDAY($A88)+$B$2)&gt;1,((WEEKDAY($A88)+$T$2)&lt;7),(WEEKDAY($A88)&lt;&gt;1)),"work",(INDEX(Subject!$A:$I,MATCH(RANDBETWEEN(1,(MAX(Subject!$B:$B))),Subject!$B:$B,0),3))))</f>
        <v/>
      </c>
      <c r="R88" s="2" t="str">
        <f t="array" ref="R88">IF(NOW()&gt;BC88,"",IF(AND((WEEKDAY($A88)+$B$2)&gt;1,((WEEKDAY($A88)+$T$2)&lt;7),(WEEKDAY($A88)&lt;&gt;1)),"work",(INDEX(Subject!$A:$I,MATCH(RANDBETWEEN(1,(MAX(Subject!$B:$B))),Subject!$B:$B,0),3))))</f>
        <v/>
      </c>
      <c r="S88" s="2" t="str">
        <f t="array" ref="S88">IF(NOW()&gt;BD88,"",IF(AND((WEEKDAY($A88)+$B$2)&gt;1,((WEEKDAY($A88)+$T$2)&lt;7),(WEEKDAY($A88)&lt;&gt;1)),"work",(INDEX(Subject!$A:$I,MATCH(RANDBETWEEN(1,(MAX(Subject!$B:$B))),Subject!$B:$B,0),3))))</f>
        <v/>
      </c>
      <c r="T88" s="2" t="str">
        <f t="array" ref="T88">IF(NOW()&gt;BE88,"",IF(AND((WEEKDAY($A88)+$B$2)&gt;1,((WEEKDAY($A88)+$T$2)&lt;7),(WEEKDAY($A88)&lt;&gt;1)),"work",(INDEX(Subject!$A:$I,MATCH(RANDBETWEEN(1,(MAX(Subject!$B:$B))),Subject!$B:$B,0),3))))</f>
        <v/>
      </c>
      <c r="U88" s="8" t="str">
        <f t="array" ref="U88">INDEX(Subject!$A:$I,MATCH(RANDBETWEEN(1,16),Subject!$B:$B,0),3)</f>
        <v/>
      </c>
      <c r="V88" s="8" t="str">
        <f t="array" ref="V88">INDEX(Subject!$A:$I,MATCH(RANDBETWEEN(1,16),Subject!$B:$B,0),3)</f>
        <v>#N/A</v>
      </c>
      <c r="W88" s="8" t="str">
        <f t="array" ref="W88">INDEX(Subject!$A:$I,MATCH(RANDBETWEEN(1,16),Subject!$B:$B,0),3)</f>
        <v>#N/A</v>
      </c>
      <c r="X88" s="8" t="str">
        <f t="array" ref="X88">INDEX(Subject!$A:$I,MATCH(RANDBETWEEN(1,16),Subject!$B:$B,0),3)</f>
        <v>#N/A</v>
      </c>
      <c r="Y88" s="8" t="str">
        <f t="array" ref="Y88">INDEX(Subject!$A:$I,MATCH(RANDBETWEEN(1,16),Subject!$B:$B,0),3)</f>
        <v>#N/A</v>
      </c>
      <c r="Z88" s="8" t="str">
        <f t="array" ref="Z88">INDEX(Subject!$A:$I,MATCH(RANDBETWEEN(1,16),Subject!$B:$B,0),3)</f>
        <v>#N/A</v>
      </c>
      <c r="AA88" s="8" t="str">
        <f t="array" ref="AA88">INDEX(Subject!$A:$I,MATCH(RANDBETWEEN(1,16),Subject!$B:$B,0),3)</f>
        <v>#N/A</v>
      </c>
      <c r="AB88" s="8" t="str">
        <f t="array" ref="AB88">INDEX(Subject!$A:$I,MATCH(RANDBETWEEN(1,16),Subject!$B:$B,0),3)</f>
        <v>#N/A</v>
      </c>
      <c r="AC88" s="8" t="str">
        <f t="array" ref="AC88">INDEX(Subject!$A:$I,MATCH(RANDBETWEEN(1,16),Subject!$B:$B,0),3)</f>
        <v>#N/A</v>
      </c>
      <c r="AD88" s="8" t="str">
        <f t="array" ref="AD88">INDEX(Subject!$A:$I,MATCH(RANDBETWEEN(1,16),Subject!$B:$B,0),3)</f>
        <v>#N/A</v>
      </c>
      <c r="AE88" s="8" t="str">
        <f t="array" ref="AE88">INDEX(Subject!$A:$I,MATCH(RANDBETWEEN(1,16),Subject!$B:$B,0),3)</f>
        <v>#N/A</v>
      </c>
      <c r="AF88" s="8" t="str">
        <f t="array" ref="AF88">INDEX(Subject!$A:$I,MATCH(RANDBETWEEN(1,16),Subject!$B:$B,0),3)</f>
        <v>#N/A</v>
      </c>
      <c r="AG88" s="8" t="str">
        <f t="array" ref="AG88">INDEX(Subject!$A:$I,MATCH(RANDBETWEEN(1,16),Subject!$B:$B,0),3)</f>
        <v>#N/A</v>
      </c>
      <c r="AH88" s="8" t="str">
        <f t="array" ref="AH88">INDEX(Subject!$A:$I,MATCH(RANDBETWEEN(1,16),Subject!$B:$B,0),3)</f>
        <v>#N/A</v>
      </c>
      <c r="AI88" s="8" t="str">
        <f t="array" ref="AI88">INDEX(Subject!$A:$I,MATCH(RANDBETWEEN(1,16),Subject!$B:$B,0),3)</f>
        <v>#N/A</v>
      </c>
      <c r="AJ88" s="8" t="str">
        <f t="array" ref="AJ88">INDEX(Subject!$A:$I,MATCH(RANDBETWEEN(1,16),Subject!$B:$B,0),3)</f>
        <v>#N/A</v>
      </c>
      <c r="AK88" s="8" t="str">
        <f t="array" ref="AK88">INDEX(Subject!$A:$I,MATCH(RANDBETWEEN(1,16),Subject!$B:$B,0),3)</f>
        <v>#N/A</v>
      </c>
      <c r="AL88" s="8" t="str">
        <f t="array" ref="AL88">INDEX(Subject!$A:$I,MATCH(RANDBETWEEN(1,16),Subject!$B:$B,0),3)</f>
        <v>#N/A</v>
      </c>
      <c r="AM88" s="18">
        <f t="shared" si="4"/>
        <v>45588.33333</v>
      </c>
      <c r="AN88" s="19">
        <f t="shared" ref="AN88:BZ88" si="88">$A88+C$1</f>
        <v>45588.35417</v>
      </c>
      <c r="AO88" s="19">
        <f t="shared" si="88"/>
        <v>45588.375</v>
      </c>
      <c r="AP88" s="19">
        <f t="shared" si="88"/>
        <v>45588.39583</v>
      </c>
      <c r="AQ88" s="19">
        <f t="shared" si="88"/>
        <v>45588.41667</v>
      </c>
      <c r="AR88" s="19">
        <f t="shared" si="88"/>
        <v>45588.4375</v>
      </c>
      <c r="AS88" s="19">
        <f t="shared" si="88"/>
        <v>45588.45833</v>
      </c>
      <c r="AT88" s="19">
        <f t="shared" si="88"/>
        <v>45588.47917</v>
      </c>
      <c r="AU88" s="19">
        <f t="shared" si="88"/>
        <v>45588.5</v>
      </c>
      <c r="AV88" s="19">
        <f t="shared" si="88"/>
        <v>45588.52083</v>
      </c>
      <c r="AW88" s="19">
        <f t="shared" si="88"/>
        <v>45588.54167</v>
      </c>
      <c r="AX88" s="19">
        <f t="shared" si="88"/>
        <v>45588.5625</v>
      </c>
      <c r="AY88" s="19">
        <f t="shared" si="88"/>
        <v>45588.58333</v>
      </c>
      <c r="AZ88" s="19">
        <f t="shared" si="88"/>
        <v>45588.60417</v>
      </c>
      <c r="BA88" s="19">
        <f t="shared" si="88"/>
        <v>45588.625</v>
      </c>
      <c r="BB88" s="19">
        <f t="shared" si="88"/>
        <v>45588.64583</v>
      </c>
      <c r="BC88" s="19">
        <f t="shared" si="88"/>
        <v>45588.66667</v>
      </c>
      <c r="BD88" s="19">
        <f t="shared" si="88"/>
        <v>45588.6875</v>
      </c>
      <c r="BE88" s="19">
        <f t="shared" si="88"/>
        <v>45588.70833</v>
      </c>
      <c r="BF88" s="19">
        <f t="shared" si="88"/>
        <v>45588.72917</v>
      </c>
      <c r="BG88" s="19">
        <f t="shared" si="88"/>
        <v>45588.75</v>
      </c>
      <c r="BH88" s="19">
        <f t="shared" si="88"/>
        <v>45588.77083</v>
      </c>
      <c r="BI88" s="19">
        <f t="shared" si="88"/>
        <v>45588.79167</v>
      </c>
      <c r="BJ88" s="19">
        <f t="shared" si="88"/>
        <v>45588.8125</v>
      </c>
      <c r="BK88" s="19">
        <f t="shared" si="88"/>
        <v>45588.83333</v>
      </c>
      <c r="BL88" s="19">
        <f t="shared" si="88"/>
        <v>45588.85417</v>
      </c>
      <c r="BM88" s="19">
        <f t="shared" si="88"/>
        <v>45588.875</v>
      </c>
      <c r="BN88" s="19">
        <f t="shared" si="88"/>
        <v>45588.89583</v>
      </c>
      <c r="BO88" s="19">
        <f t="shared" si="88"/>
        <v>45588.91667</v>
      </c>
      <c r="BP88" s="19">
        <f t="shared" si="88"/>
        <v>45588.9375</v>
      </c>
      <c r="BQ88" s="19">
        <f t="shared" si="88"/>
        <v>45588.95833</v>
      </c>
      <c r="BR88" s="19">
        <f t="shared" si="88"/>
        <v>45588.97917</v>
      </c>
      <c r="BS88" s="19">
        <f t="shared" si="88"/>
        <v>45589</v>
      </c>
      <c r="BT88" s="19">
        <f t="shared" si="88"/>
        <v>45589.02083</v>
      </c>
      <c r="BU88" s="19">
        <f t="shared" si="88"/>
        <v>45589.04167</v>
      </c>
      <c r="BV88" s="19">
        <f t="shared" si="88"/>
        <v>45589.0625</v>
      </c>
      <c r="BW88" s="19">
        <f t="shared" si="88"/>
        <v>45589.08333</v>
      </c>
      <c r="BX88" s="19">
        <f t="shared" si="88"/>
        <v>45588</v>
      </c>
      <c r="BY88" s="19">
        <f t="shared" si="88"/>
        <v>45588</v>
      </c>
      <c r="BZ88" s="19">
        <f t="shared" si="88"/>
        <v>45588</v>
      </c>
    </row>
    <row r="89" ht="14.25" customHeight="1">
      <c r="A89" s="17">
        <v>45589.0</v>
      </c>
      <c r="B89" s="2" t="str">
        <f t="array" ref="B89">IF(NOW()&gt;AM89,"",IF(AND((WEEKDAY($A89)+$B$2)&gt;1,((WEEKDAY($A89)+$T$2)&lt;7),(WEEKDAY($A89)&lt;&gt;1)),"work",(INDEX(Subject!$A:$I,MATCH(RANDBETWEEN(1,(MAX(Subject!$B:$B))),Subject!$B:$B,0),3))))</f>
        <v/>
      </c>
      <c r="C89" s="2" t="str">
        <f t="array" ref="C89">IF(NOW()&gt;AN89,"",IF(AND((WEEKDAY($A89)+$B$2)&gt;1,((WEEKDAY($A89)+$T$2)&lt;7),(WEEKDAY($A89)&lt;&gt;1)),"work",(INDEX(Subject!$A:$I,MATCH(RANDBETWEEN(1,(MAX(Subject!$B:$B))),Subject!$B:$B,0),3))))</f>
        <v/>
      </c>
      <c r="D89" s="2" t="str">
        <f t="array" ref="D89">IF(NOW()&gt;AO89,"",IF(AND((WEEKDAY($A89)+$B$2)&gt;1,((WEEKDAY($A89)+$T$2)&lt;7),(WEEKDAY($A89)&lt;&gt;1)),"work",(INDEX(Subject!$A:$I,MATCH(RANDBETWEEN(1,(MAX(Subject!$B:$B))),Subject!$B:$B,0),3))))</f>
        <v/>
      </c>
      <c r="E89" s="2" t="str">
        <f t="array" ref="E89">IF(NOW()&gt;AP89,"",IF(AND((WEEKDAY($A89)+$B$2)&gt;1,((WEEKDAY($A89)+$T$2)&lt;7),(WEEKDAY($A89)&lt;&gt;1)),"work",(INDEX(Subject!$A:$I,MATCH(RANDBETWEEN(1,(MAX(Subject!$B:$B))),Subject!$B:$B,0),3))))</f>
        <v/>
      </c>
      <c r="F89" s="2" t="str">
        <f t="array" ref="F89">IF(NOW()&gt;AQ89,"",IF(AND((WEEKDAY($A89)+$B$2)&gt;1,((WEEKDAY($A89)+$T$2)&lt;7),(WEEKDAY($A89)&lt;&gt;1)),"work",(INDEX(Subject!$A:$I,MATCH(RANDBETWEEN(1,(MAX(Subject!$B:$B))),Subject!$B:$B,0),3))))</f>
        <v/>
      </c>
      <c r="G89" s="2" t="str">
        <f t="array" ref="G89">IF(NOW()&gt;AR89,"",IF(AND((WEEKDAY($A89)+$B$2)&gt;1,((WEEKDAY($A89)+$T$2)&lt;7),(WEEKDAY($A89)&lt;&gt;1)),"work",(INDEX(Subject!$A:$I,MATCH(RANDBETWEEN(1,(MAX(Subject!$B:$B))),Subject!$B:$B,0),3))))</f>
        <v/>
      </c>
      <c r="H89" s="2" t="str">
        <f t="array" ref="H89">IF(NOW()&gt;AS89,"",IF(AND((WEEKDAY($A89)+$B$2)&gt;1,((WEEKDAY($A89)+$T$2)&lt;7),(WEEKDAY($A89)&lt;&gt;1)),"work",(INDEX(Subject!$A:$I,MATCH(RANDBETWEEN(1,(MAX(Subject!$B:$B))),Subject!$B:$B,0),3))))</f>
        <v/>
      </c>
      <c r="I89" s="2" t="str">
        <f t="array" ref="I89">IF(NOW()&gt;AT89,"",IF(AND((WEEKDAY($A89)+$B$2)&gt;1,((WEEKDAY($A89)+$T$2)&lt;7),(WEEKDAY($A89)&lt;&gt;1)),"work",(INDEX(Subject!$A:$I,MATCH(RANDBETWEEN(1,(MAX(Subject!$B:$B))),Subject!$B:$B,0),3))))</f>
        <v/>
      </c>
      <c r="J89" s="2" t="str">
        <f t="array" ref="J89">IF(NOW()&gt;AU89,"",IF(AND((WEEKDAY($A89)+$B$2)&gt;1,((WEEKDAY($A89)+$T$2)&lt;7),(WEEKDAY($A89)&lt;&gt;1)),"work",(INDEX(Subject!$A:$I,MATCH(RANDBETWEEN(1,(MAX(Subject!$B:$B))),Subject!$B:$B,0),3))))</f>
        <v/>
      </c>
      <c r="K89" s="2" t="str">
        <f t="array" ref="K89">IF(NOW()&gt;AV89,"",IF(AND((WEEKDAY($A89)+$B$2)&gt;1,((WEEKDAY($A89)+$T$2)&lt;7),(WEEKDAY($A89)&lt;&gt;1)),"work",(INDEX(Subject!$A:$I,MATCH(RANDBETWEEN(1,(MAX(Subject!$B:$B))),Subject!$B:$B,0),3))))</f>
        <v/>
      </c>
      <c r="L89" s="2" t="str">
        <f t="array" ref="L89">IF(NOW()&gt;AW89,"",IF(AND((WEEKDAY($A89)+$B$2)&gt;1,((WEEKDAY($A89)+$T$2)&lt;7),(WEEKDAY($A89)&lt;&gt;1)),"work",(INDEX(Subject!$A:$I,MATCH(RANDBETWEEN(1,(MAX(Subject!$B:$B))),Subject!$B:$B,0),3))))</f>
        <v/>
      </c>
      <c r="M89" s="2" t="str">
        <f t="array" ref="M89">IF(NOW()&gt;AX89,"",IF(AND((WEEKDAY($A89)+$B$2)&gt;1,((WEEKDAY($A89)+$T$2)&lt;7),(WEEKDAY($A89)&lt;&gt;1)),"work",(INDEX(Subject!$A:$I,MATCH(RANDBETWEEN(1,(MAX(Subject!$B:$B))),Subject!$B:$B,0),3))))</f>
        <v/>
      </c>
      <c r="N89" s="2" t="str">
        <f t="array" ref="N89">IF(NOW()&gt;AY89,"",IF(AND((WEEKDAY($A89)+$B$2)&gt;1,((WEEKDAY($A89)+$T$2)&lt;7),(WEEKDAY($A89)&lt;&gt;1)),"work",(INDEX(Subject!$A:$I,MATCH(RANDBETWEEN(1,(MAX(Subject!$B:$B))),Subject!$B:$B,0),3))))</f>
        <v/>
      </c>
      <c r="O89" s="2" t="str">
        <f t="array" ref="O89">IF(NOW()&gt;AZ89,"",IF(AND((WEEKDAY($A89)+$B$2)&gt;1,((WEEKDAY($A89)+$T$2)&lt;7),(WEEKDAY($A89)&lt;&gt;1)),"work",(INDEX(Subject!$A:$I,MATCH(RANDBETWEEN(1,(MAX(Subject!$B:$B))),Subject!$B:$B,0),3))))</f>
        <v/>
      </c>
      <c r="P89" s="2" t="str">
        <f t="array" ref="P89">IF(NOW()&gt;BA89,"",IF(AND((WEEKDAY($A89)+$B$2)&gt;1,((WEEKDAY($A89)+$T$2)&lt;7),(WEEKDAY($A89)&lt;&gt;1)),"work",(INDEX(Subject!$A:$I,MATCH(RANDBETWEEN(1,(MAX(Subject!$B:$B))),Subject!$B:$B,0),3))))</f>
        <v/>
      </c>
      <c r="Q89" s="2" t="str">
        <f t="array" ref="Q89">IF(NOW()&gt;BB89,"",IF(AND((WEEKDAY($A89)+$B$2)&gt;1,((WEEKDAY($A89)+$T$2)&lt;7),(WEEKDAY($A89)&lt;&gt;1)),"work",(INDEX(Subject!$A:$I,MATCH(RANDBETWEEN(1,(MAX(Subject!$B:$B))),Subject!$B:$B,0),3))))</f>
        <v/>
      </c>
      <c r="R89" s="2" t="str">
        <f t="array" ref="R89">IF(NOW()&gt;BC89,"",IF(AND((WEEKDAY($A89)+$B$2)&gt;1,((WEEKDAY($A89)+$T$2)&lt;7),(WEEKDAY($A89)&lt;&gt;1)),"work",(INDEX(Subject!$A:$I,MATCH(RANDBETWEEN(1,(MAX(Subject!$B:$B))),Subject!$B:$B,0),3))))</f>
        <v/>
      </c>
      <c r="S89" s="2" t="str">
        <f t="array" ref="S89">IF(NOW()&gt;BD89,"",IF(AND((WEEKDAY($A89)+$B$2)&gt;1,((WEEKDAY($A89)+$T$2)&lt;7),(WEEKDAY($A89)&lt;&gt;1)),"work",(INDEX(Subject!$A:$I,MATCH(RANDBETWEEN(1,(MAX(Subject!$B:$B))),Subject!$B:$B,0),3))))</f>
        <v/>
      </c>
      <c r="T89" s="2" t="str">
        <f t="array" ref="T89">IF(NOW()&gt;BE89,"",IF(AND((WEEKDAY($A89)+$B$2)&gt;1,((WEEKDAY($A89)+$T$2)&lt;7),(WEEKDAY($A89)&lt;&gt;1)),"work",(INDEX(Subject!$A:$I,MATCH(RANDBETWEEN(1,(MAX(Subject!$B:$B))),Subject!$B:$B,0),3))))</f>
        <v/>
      </c>
      <c r="U89" s="8" t="str">
        <f t="array" ref="U89">INDEX(Subject!$A:$I,MATCH(RANDBETWEEN(1,16),Subject!$B:$B,0),3)</f>
        <v>#N/A</v>
      </c>
      <c r="V89" s="8" t="str">
        <f t="array" ref="V89">INDEX(Subject!$A:$I,MATCH(RANDBETWEEN(1,16),Subject!$B:$B,0),3)</f>
        <v>#N/A</v>
      </c>
      <c r="W89" s="8" t="str">
        <f t="array" ref="W89">INDEX(Subject!$A:$I,MATCH(RANDBETWEEN(1,16),Subject!$B:$B,0),3)</f>
        <v>#N/A</v>
      </c>
      <c r="X89" s="8" t="str">
        <f t="array" ref="X89">INDEX(Subject!$A:$I,MATCH(RANDBETWEEN(1,16),Subject!$B:$B,0),3)</f>
        <v>#N/A</v>
      </c>
      <c r="Y89" s="8" t="str">
        <f t="array" ref="Y89">INDEX(Subject!$A:$I,MATCH(RANDBETWEEN(1,16),Subject!$B:$B,0),3)</f>
        <v/>
      </c>
      <c r="Z89" s="8" t="str">
        <f t="array" ref="Z89">INDEX(Subject!$A:$I,MATCH(RANDBETWEEN(1,16),Subject!$B:$B,0),3)</f>
        <v>#N/A</v>
      </c>
      <c r="AA89" s="8" t="str">
        <f t="array" ref="AA89">INDEX(Subject!$A:$I,MATCH(RANDBETWEEN(1,16),Subject!$B:$B,0),3)</f>
        <v>#N/A</v>
      </c>
      <c r="AB89" s="8" t="str">
        <f t="array" ref="AB89">INDEX(Subject!$A:$I,MATCH(RANDBETWEEN(1,16),Subject!$B:$B,0),3)</f>
        <v>#N/A</v>
      </c>
      <c r="AC89" s="8" t="str">
        <f t="array" ref="AC89">INDEX(Subject!$A:$I,MATCH(RANDBETWEEN(1,16),Subject!$B:$B,0),3)</f>
        <v>#N/A</v>
      </c>
      <c r="AD89" s="8" t="str">
        <f t="array" ref="AD89">INDEX(Subject!$A:$I,MATCH(RANDBETWEEN(1,16),Subject!$B:$B,0),3)</f>
        <v>#N/A</v>
      </c>
      <c r="AE89" s="8" t="str">
        <f t="array" ref="AE89">INDEX(Subject!$A:$I,MATCH(RANDBETWEEN(1,16),Subject!$B:$B,0),3)</f>
        <v>#N/A</v>
      </c>
      <c r="AF89" s="8" t="str">
        <f t="array" ref="AF89">INDEX(Subject!$A:$I,MATCH(RANDBETWEEN(1,16),Subject!$B:$B,0),3)</f>
        <v>#N/A</v>
      </c>
      <c r="AG89" s="8" t="str">
        <f t="array" ref="AG89">INDEX(Subject!$A:$I,MATCH(RANDBETWEEN(1,16),Subject!$B:$B,0),3)</f>
        <v>#N/A</v>
      </c>
      <c r="AH89" s="8" t="str">
        <f t="array" ref="AH89">INDEX(Subject!$A:$I,MATCH(RANDBETWEEN(1,16),Subject!$B:$B,0),3)</f>
        <v>#N/A</v>
      </c>
      <c r="AI89" s="8" t="str">
        <f t="array" ref="AI89">INDEX(Subject!$A:$I,MATCH(RANDBETWEEN(1,16),Subject!$B:$B,0),3)</f>
        <v>#N/A</v>
      </c>
      <c r="AJ89" s="8" t="str">
        <f t="array" ref="AJ89">INDEX(Subject!$A:$I,MATCH(RANDBETWEEN(1,16),Subject!$B:$B,0),3)</f>
        <v>#N/A</v>
      </c>
      <c r="AK89" s="8" t="str">
        <f t="array" ref="AK89">INDEX(Subject!$A:$I,MATCH(RANDBETWEEN(1,16),Subject!$B:$B,0),3)</f>
        <v>#N/A</v>
      </c>
      <c r="AL89" s="8" t="str">
        <f t="array" ref="AL89">INDEX(Subject!$A:$I,MATCH(RANDBETWEEN(1,16),Subject!$B:$B,0),3)</f>
        <v>#N/A</v>
      </c>
      <c r="AM89" s="18">
        <f t="shared" si="4"/>
        <v>45589.33333</v>
      </c>
      <c r="AN89" s="19">
        <f t="shared" ref="AN89:BZ89" si="89">$A89+C$1</f>
        <v>45589.35417</v>
      </c>
      <c r="AO89" s="19">
        <f t="shared" si="89"/>
        <v>45589.375</v>
      </c>
      <c r="AP89" s="19">
        <f t="shared" si="89"/>
        <v>45589.39583</v>
      </c>
      <c r="AQ89" s="19">
        <f t="shared" si="89"/>
        <v>45589.41667</v>
      </c>
      <c r="AR89" s="19">
        <f t="shared" si="89"/>
        <v>45589.4375</v>
      </c>
      <c r="AS89" s="19">
        <f t="shared" si="89"/>
        <v>45589.45833</v>
      </c>
      <c r="AT89" s="19">
        <f t="shared" si="89"/>
        <v>45589.47917</v>
      </c>
      <c r="AU89" s="19">
        <f t="shared" si="89"/>
        <v>45589.5</v>
      </c>
      <c r="AV89" s="19">
        <f t="shared" si="89"/>
        <v>45589.52083</v>
      </c>
      <c r="AW89" s="19">
        <f t="shared" si="89"/>
        <v>45589.54167</v>
      </c>
      <c r="AX89" s="19">
        <f t="shared" si="89"/>
        <v>45589.5625</v>
      </c>
      <c r="AY89" s="19">
        <f t="shared" si="89"/>
        <v>45589.58333</v>
      </c>
      <c r="AZ89" s="19">
        <f t="shared" si="89"/>
        <v>45589.60417</v>
      </c>
      <c r="BA89" s="19">
        <f t="shared" si="89"/>
        <v>45589.625</v>
      </c>
      <c r="BB89" s="19">
        <f t="shared" si="89"/>
        <v>45589.64583</v>
      </c>
      <c r="BC89" s="19">
        <f t="shared" si="89"/>
        <v>45589.66667</v>
      </c>
      <c r="BD89" s="19">
        <f t="shared" si="89"/>
        <v>45589.6875</v>
      </c>
      <c r="BE89" s="19">
        <f t="shared" si="89"/>
        <v>45589.70833</v>
      </c>
      <c r="BF89" s="19">
        <f t="shared" si="89"/>
        <v>45589.72917</v>
      </c>
      <c r="BG89" s="19">
        <f t="shared" si="89"/>
        <v>45589.75</v>
      </c>
      <c r="BH89" s="19">
        <f t="shared" si="89"/>
        <v>45589.77083</v>
      </c>
      <c r="BI89" s="19">
        <f t="shared" si="89"/>
        <v>45589.79167</v>
      </c>
      <c r="BJ89" s="19">
        <f t="shared" si="89"/>
        <v>45589.8125</v>
      </c>
      <c r="BK89" s="19">
        <f t="shared" si="89"/>
        <v>45589.83333</v>
      </c>
      <c r="BL89" s="19">
        <f t="shared" si="89"/>
        <v>45589.85417</v>
      </c>
      <c r="BM89" s="19">
        <f t="shared" si="89"/>
        <v>45589.875</v>
      </c>
      <c r="BN89" s="19">
        <f t="shared" si="89"/>
        <v>45589.89583</v>
      </c>
      <c r="BO89" s="19">
        <f t="shared" si="89"/>
        <v>45589.91667</v>
      </c>
      <c r="BP89" s="19">
        <f t="shared" si="89"/>
        <v>45589.9375</v>
      </c>
      <c r="BQ89" s="19">
        <f t="shared" si="89"/>
        <v>45589.95833</v>
      </c>
      <c r="BR89" s="19">
        <f t="shared" si="89"/>
        <v>45589.97917</v>
      </c>
      <c r="BS89" s="19">
        <f t="shared" si="89"/>
        <v>45590</v>
      </c>
      <c r="BT89" s="19">
        <f t="shared" si="89"/>
        <v>45590.02083</v>
      </c>
      <c r="BU89" s="19">
        <f t="shared" si="89"/>
        <v>45590.04167</v>
      </c>
      <c r="BV89" s="19">
        <f t="shared" si="89"/>
        <v>45590.0625</v>
      </c>
      <c r="BW89" s="19">
        <f t="shared" si="89"/>
        <v>45590.08333</v>
      </c>
      <c r="BX89" s="19">
        <f t="shared" si="89"/>
        <v>45589</v>
      </c>
      <c r="BY89" s="19">
        <f t="shared" si="89"/>
        <v>45589</v>
      </c>
      <c r="BZ89" s="19">
        <f t="shared" si="89"/>
        <v>45589</v>
      </c>
    </row>
    <row r="90" ht="14.25" customHeight="1">
      <c r="A90" s="17">
        <v>45590.0</v>
      </c>
      <c r="B90" s="2" t="str">
        <f t="array" ref="B90">IF(NOW()&gt;AM90,"",IF(AND((WEEKDAY($A90)+$B$2)&gt;1,((WEEKDAY($A90)+$T$2)&lt;7),(WEEKDAY($A90)&lt;&gt;1)),"work",(INDEX(Subject!$A:$I,MATCH(RANDBETWEEN(1,(MAX(Subject!$B:$B))),Subject!$B:$B,0),3))))</f>
        <v/>
      </c>
      <c r="C90" s="2" t="str">
        <f t="array" ref="C90">IF(NOW()&gt;AN90,"",IF(AND((WEEKDAY($A90)+$B$2)&gt;1,((WEEKDAY($A90)+$T$2)&lt;7),(WEEKDAY($A90)&lt;&gt;1)),"work",(INDEX(Subject!$A:$I,MATCH(RANDBETWEEN(1,(MAX(Subject!$B:$B))),Subject!$B:$B,0),3))))</f>
        <v/>
      </c>
      <c r="D90" s="2" t="str">
        <f t="array" ref="D90">IF(NOW()&gt;AO90,"",IF(AND((WEEKDAY($A90)+$B$2)&gt;1,((WEEKDAY($A90)+$T$2)&lt;7),(WEEKDAY($A90)&lt;&gt;1)),"work",(INDEX(Subject!$A:$I,MATCH(RANDBETWEEN(1,(MAX(Subject!$B:$B))),Subject!$B:$B,0),3))))</f>
        <v/>
      </c>
      <c r="E90" s="2" t="str">
        <f t="array" ref="E90">IF(NOW()&gt;AP90,"",IF(AND((WEEKDAY($A90)+$B$2)&gt;1,((WEEKDAY($A90)+$T$2)&lt;7),(WEEKDAY($A90)&lt;&gt;1)),"work",(INDEX(Subject!$A:$I,MATCH(RANDBETWEEN(1,(MAX(Subject!$B:$B))),Subject!$B:$B,0),3))))</f>
        <v/>
      </c>
      <c r="F90" s="2" t="str">
        <f t="array" ref="F90">IF(NOW()&gt;AQ90,"",IF(AND((WEEKDAY($A90)+$B$2)&gt;1,((WEEKDAY($A90)+$T$2)&lt;7),(WEEKDAY($A90)&lt;&gt;1)),"work",(INDEX(Subject!$A:$I,MATCH(RANDBETWEEN(1,(MAX(Subject!$B:$B))),Subject!$B:$B,0),3))))</f>
        <v/>
      </c>
      <c r="G90" s="2" t="str">
        <f t="array" ref="G90">IF(NOW()&gt;AR90,"",IF(AND((WEEKDAY($A90)+$B$2)&gt;1,((WEEKDAY($A90)+$T$2)&lt;7),(WEEKDAY($A90)&lt;&gt;1)),"work",(INDEX(Subject!$A:$I,MATCH(RANDBETWEEN(1,(MAX(Subject!$B:$B))),Subject!$B:$B,0),3))))</f>
        <v/>
      </c>
      <c r="H90" s="2" t="str">
        <f t="array" ref="H90">IF(NOW()&gt;AS90,"",IF(AND((WEEKDAY($A90)+$B$2)&gt;1,((WEEKDAY($A90)+$T$2)&lt;7),(WEEKDAY($A90)&lt;&gt;1)),"work",(INDEX(Subject!$A:$I,MATCH(RANDBETWEEN(1,(MAX(Subject!$B:$B))),Subject!$B:$B,0),3))))</f>
        <v/>
      </c>
      <c r="I90" s="2" t="str">
        <f t="array" ref="I90">IF(NOW()&gt;AT90,"",IF(AND((WEEKDAY($A90)+$B$2)&gt;1,((WEEKDAY($A90)+$T$2)&lt;7),(WEEKDAY($A90)&lt;&gt;1)),"work",(INDEX(Subject!$A:$I,MATCH(RANDBETWEEN(1,(MAX(Subject!$B:$B))),Subject!$B:$B,0),3))))</f>
        <v/>
      </c>
      <c r="J90" s="2" t="str">
        <f t="array" ref="J90">IF(NOW()&gt;AU90,"",IF(AND((WEEKDAY($A90)+$B$2)&gt;1,((WEEKDAY($A90)+$T$2)&lt;7),(WEEKDAY($A90)&lt;&gt;1)),"work",(INDEX(Subject!$A:$I,MATCH(RANDBETWEEN(1,(MAX(Subject!$B:$B))),Subject!$B:$B,0),3))))</f>
        <v/>
      </c>
      <c r="K90" s="2" t="str">
        <f t="array" ref="K90">IF(NOW()&gt;AV90,"",IF(AND((WEEKDAY($A90)+$B$2)&gt;1,((WEEKDAY($A90)+$T$2)&lt;7),(WEEKDAY($A90)&lt;&gt;1)),"work",(INDEX(Subject!$A:$I,MATCH(RANDBETWEEN(1,(MAX(Subject!$B:$B))),Subject!$B:$B,0),3))))</f>
        <v/>
      </c>
      <c r="L90" s="2" t="str">
        <f t="array" ref="L90">IF(NOW()&gt;AW90,"",IF(AND((WEEKDAY($A90)+$B$2)&gt;1,((WEEKDAY($A90)+$T$2)&lt;7),(WEEKDAY($A90)&lt;&gt;1)),"work",(INDEX(Subject!$A:$I,MATCH(RANDBETWEEN(1,(MAX(Subject!$B:$B))),Subject!$B:$B,0),3))))</f>
        <v/>
      </c>
      <c r="M90" s="2" t="str">
        <f t="array" ref="M90">IF(NOW()&gt;AX90,"",IF(AND((WEEKDAY($A90)+$B$2)&gt;1,((WEEKDAY($A90)+$T$2)&lt;7),(WEEKDAY($A90)&lt;&gt;1)),"work",(INDEX(Subject!$A:$I,MATCH(RANDBETWEEN(1,(MAX(Subject!$B:$B))),Subject!$B:$B,0),3))))</f>
        <v/>
      </c>
      <c r="N90" s="2" t="str">
        <f t="array" ref="N90">IF(NOW()&gt;AY90,"",IF(AND((WEEKDAY($A90)+$B$2)&gt;1,((WEEKDAY($A90)+$T$2)&lt;7),(WEEKDAY($A90)&lt;&gt;1)),"work",(INDEX(Subject!$A:$I,MATCH(RANDBETWEEN(1,(MAX(Subject!$B:$B))),Subject!$B:$B,0),3))))</f>
        <v/>
      </c>
      <c r="O90" s="2" t="str">
        <f t="array" ref="O90">IF(NOW()&gt;AZ90,"",IF(AND((WEEKDAY($A90)+$B$2)&gt;1,((WEEKDAY($A90)+$T$2)&lt;7),(WEEKDAY($A90)&lt;&gt;1)),"work",(INDEX(Subject!$A:$I,MATCH(RANDBETWEEN(1,(MAX(Subject!$B:$B))),Subject!$B:$B,0),3))))</f>
        <v/>
      </c>
      <c r="P90" s="2" t="str">
        <f t="array" ref="P90">IF(NOW()&gt;BA90,"",IF(AND((WEEKDAY($A90)+$B$2)&gt;1,((WEEKDAY($A90)+$T$2)&lt;7),(WEEKDAY($A90)&lt;&gt;1)),"work",(INDEX(Subject!$A:$I,MATCH(RANDBETWEEN(1,(MAX(Subject!$B:$B))),Subject!$B:$B,0),3))))</f>
        <v/>
      </c>
      <c r="Q90" s="2" t="str">
        <f t="array" ref="Q90">IF(NOW()&gt;BB90,"",IF(AND((WEEKDAY($A90)+$B$2)&gt;1,((WEEKDAY($A90)+$T$2)&lt;7),(WEEKDAY($A90)&lt;&gt;1)),"work",(INDEX(Subject!$A:$I,MATCH(RANDBETWEEN(1,(MAX(Subject!$B:$B))),Subject!$B:$B,0),3))))</f>
        <v/>
      </c>
      <c r="R90" s="2" t="str">
        <f t="array" ref="R90">IF(NOW()&gt;BC90,"",IF(AND((WEEKDAY($A90)+$B$2)&gt;1,((WEEKDAY($A90)+$T$2)&lt;7),(WEEKDAY($A90)&lt;&gt;1)),"work",(INDEX(Subject!$A:$I,MATCH(RANDBETWEEN(1,(MAX(Subject!$B:$B))),Subject!$B:$B,0),3))))</f>
        <v/>
      </c>
      <c r="S90" s="2" t="str">
        <f t="array" ref="S90">IF(NOW()&gt;BD90,"",IF(AND((WEEKDAY($A90)+$B$2)&gt;1,((WEEKDAY($A90)+$T$2)&lt;7),(WEEKDAY($A90)&lt;&gt;1)),"work",(INDEX(Subject!$A:$I,MATCH(RANDBETWEEN(1,(MAX(Subject!$B:$B))),Subject!$B:$B,0),3))))</f>
        <v/>
      </c>
      <c r="T90" s="2" t="str">
        <f t="array" ref="T90">IF(NOW()&gt;BE90,"",IF(AND((WEEKDAY($A90)+$B$2)&gt;1,((WEEKDAY($A90)+$T$2)&lt;7),(WEEKDAY($A90)&lt;&gt;1)),"work",(INDEX(Subject!$A:$I,MATCH(RANDBETWEEN(1,(MAX(Subject!$B:$B))),Subject!$B:$B,0),3))))</f>
        <v/>
      </c>
      <c r="U90" s="8" t="str">
        <f t="array" ref="U90">INDEX(Subject!$A:$I,MATCH(RANDBETWEEN(1,16),Subject!$B:$B,0),3)</f>
        <v>#N/A</v>
      </c>
      <c r="V90" s="8" t="str">
        <f t="array" ref="V90">INDEX(Subject!$A:$I,MATCH(RANDBETWEEN(1,16),Subject!$B:$B,0),3)</f>
        <v>#N/A</v>
      </c>
      <c r="W90" s="8" t="str">
        <f t="array" ref="W90">INDEX(Subject!$A:$I,MATCH(RANDBETWEEN(1,16),Subject!$B:$B,0),3)</f>
        <v>#N/A</v>
      </c>
      <c r="X90" s="8" t="str">
        <f t="array" ref="X90">INDEX(Subject!$A:$I,MATCH(RANDBETWEEN(1,16),Subject!$B:$B,0),3)</f>
        <v>#N/A</v>
      </c>
      <c r="Y90" s="8" t="str">
        <f t="array" ref="Y90">INDEX(Subject!$A:$I,MATCH(RANDBETWEEN(1,16),Subject!$B:$B,0),3)</f>
        <v>#N/A</v>
      </c>
      <c r="Z90" s="8" t="str">
        <f t="array" ref="Z90">INDEX(Subject!$A:$I,MATCH(RANDBETWEEN(1,16),Subject!$B:$B,0),3)</f>
        <v>#N/A</v>
      </c>
      <c r="AA90" s="8" t="str">
        <f t="array" ref="AA90">INDEX(Subject!$A:$I,MATCH(RANDBETWEEN(1,16),Subject!$B:$B,0),3)</f>
        <v>#N/A</v>
      </c>
      <c r="AB90" s="8" t="str">
        <f t="array" ref="AB90">INDEX(Subject!$A:$I,MATCH(RANDBETWEEN(1,16),Subject!$B:$B,0),3)</f>
        <v>#N/A</v>
      </c>
      <c r="AC90" s="8" t="str">
        <f t="array" ref="AC90">INDEX(Subject!$A:$I,MATCH(RANDBETWEEN(1,16),Subject!$B:$B,0),3)</f>
        <v>#N/A</v>
      </c>
      <c r="AD90" s="8" t="str">
        <f t="array" ref="AD90">INDEX(Subject!$A:$I,MATCH(RANDBETWEEN(1,16),Subject!$B:$B,0),3)</f>
        <v>#N/A</v>
      </c>
      <c r="AE90" s="8" t="str">
        <f t="array" ref="AE90">INDEX(Subject!$A:$I,MATCH(RANDBETWEEN(1,16),Subject!$B:$B,0),3)</f>
        <v>#N/A</v>
      </c>
      <c r="AF90" s="8" t="str">
        <f t="array" ref="AF90">INDEX(Subject!$A:$I,MATCH(RANDBETWEEN(1,16),Subject!$B:$B,0),3)</f>
        <v>#N/A</v>
      </c>
      <c r="AG90" s="8" t="str">
        <f t="array" ref="AG90">INDEX(Subject!$A:$I,MATCH(RANDBETWEEN(1,16),Subject!$B:$B,0),3)</f>
        <v/>
      </c>
      <c r="AH90" s="8" t="str">
        <f t="array" ref="AH90">INDEX(Subject!$A:$I,MATCH(RANDBETWEEN(1,16),Subject!$B:$B,0),3)</f>
        <v>#N/A</v>
      </c>
      <c r="AI90" s="8" t="str">
        <f t="array" ref="AI90">INDEX(Subject!$A:$I,MATCH(RANDBETWEEN(1,16),Subject!$B:$B,0),3)</f>
        <v>#N/A</v>
      </c>
      <c r="AJ90" s="8" t="str">
        <f t="array" ref="AJ90">INDEX(Subject!$A:$I,MATCH(RANDBETWEEN(1,16),Subject!$B:$B,0),3)</f>
        <v>#N/A</v>
      </c>
      <c r="AK90" s="8" t="str">
        <f t="array" ref="AK90">INDEX(Subject!$A:$I,MATCH(RANDBETWEEN(1,16),Subject!$B:$B,0),3)</f>
        <v>#N/A</v>
      </c>
      <c r="AL90" s="8" t="str">
        <f t="array" ref="AL90">INDEX(Subject!$A:$I,MATCH(RANDBETWEEN(1,16),Subject!$B:$B,0),3)</f>
        <v>#N/A</v>
      </c>
      <c r="AM90" s="18">
        <f t="shared" si="4"/>
        <v>45590.33333</v>
      </c>
      <c r="AN90" s="19">
        <f t="shared" ref="AN90:BZ90" si="90">$A90+C$1</f>
        <v>45590.35417</v>
      </c>
      <c r="AO90" s="19">
        <f t="shared" si="90"/>
        <v>45590.375</v>
      </c>
      <c r="AP90" s="19">
        <f t="shared" si="90"/>
        <v>45590.39583</v>
      </c>
      <c r="AQ90" s="19">
        <f t="shared" si="90"/>
        <v>45590.41667</v>
      </c>
      <c r="AR90" s="19">
        <f t="shared" si="90"/>
        <v>45590.4375</v>
      </c>
      <c r="AS90" s="19">
        <f t="shared" si="90"/>
        <v>45590.45833</v>
      </c>
      <c r="AT90" s="19">
        <f t="shared" si="90"/>
        <v>45590.47917</v>
      </c>
      <c r="AU90" s="19">
        <f t="shared" si="90"/>
        <v>45590.5</v>
      </c>
      <c r="AV90" s="19">
        <f t="shared" si="90"/>
        <v>45590.52083</v>
      </c>
      <c r="AW90" s="19">
        <f t="shared" si="90"/>
        <v>45590.54167</v>
      </c>
      <c r="AX90" s="19">
        <f t="shared" si="90"/>
        <v>45590.5625</v>
      </c>
      <c r="AY90" s="19">
        <f t="shared" si="90"/>
        <v>45590.58333</v>
      </c>
      <c r="AZ90" s="19">
        <f t="shared" si="90"/>
        <v>45590.60417</v>
      </c>
      <c r="BA90" s="19">
        <f t="shared" si="90"/>
        <v>45590.625</v>
      </c>
      <c r="BB90" s="19">
        <f t="shared" si="90"/>
        <v>45590.64583</v>
      </c>
      <c r="BC90" s="19">
        <f t="shared" si="90"/>
        <v>45590.66667</v>
      </c>
      <c r="BD90" s="19">
        <f t="shared" si="90"/>
        <v>45590.6875</v>
      </c>
      <c r="BE90" s="19">
        <f t="shared" si="90"/>
        <v>45590.70833</v>
      </c>
      <c r="BF90" s="19">
        <f t="shared" si="90"/>
        <v>45590.72917</v>
      </c>
      <c r="BG90" s="19">
        <f t="shared" si="90"/>
        <v>45590.75</v>
      </c>
      <c r="BH90" s="19">
        <f t="shared" si="90"/>
        <v>45590.77083</v>
      </c>
      <c r="BI90" s="19">
        <f t="shared" si="90"/>
        <v>45590.79167</v>
      </c>
      <c r="BJ90" s="19">
        <f t="shared" si="90"/>
        <v>45590.8125</v>
      </c>
      <c r="BK90" s="19">
        <f t="shared" si="90"/>
        <v>45590.83333</v>
      </c>
      <c r="BL90" s="19">
        <f t="shared" si="90"/>
        <v>45590.85417</v>
      </c>
      <c r="BM90" s="19">
        <f t="shared" si="90"/>
        <v>45590.875</v>
      </c>
      <c r="BN90" s="19">
        <f t="shared" si="90"/>
        <v>45590.89583</v>
      </c>
      <c r="BO90" s="19">
        <f t="shared" si="90"/>
        <v>45590.91667</v>
      </c>
      <c r="BP90" s="19">
        <f t="shared" si="90"/>
        <v>45590.9375</v>
      </c>
      <c r="BQ90" s="19">
        <f t="shared" si="90"/>
        <v>45590.95833</v>
      </c>
      <c r="BR90" s="19">
        <f t="shared" si="90"/>
        <v>45590.97917</v>
      </c>
      <c r="BS90" s="19">
        <f t="shared" si="90"/>
        <v>45591</v>
      </c>
      <c r="BT90" s="19">
        <f t="shared" si="90"/>
        <v>45591.02083</v>
      </c>
      <c r="BU90" s="19">
        <f t="shared" si="90"/>
        <v>45591.04167</v>
      </c>
      <c r="BV90" s="19">
        <f t="shared" si="90"/>
        <v>45591.0625</v>
      </c>
      <c r="BW90" s="19">
        <f t="shared" si="90"/>
        <v>45591.08333</v>
      </c>
      <c r="BX90" s="19">
        <f t="shared" si="90"/>
        <v>45590</v>
      </c>
      <c r="BY90" s="19">
        <f t="shared" si="90"/>
        <v>45590</v>
      </c>
      <c r="BZ90" s="19">
        <f t="shared" si="90"/>
        <v>45590</v>
      </c>
    </row>
    <row r="91" ht="14.25" customHeight="1">
      <c r="A91" s="17">
        <v>45591.0</v>
      </c>
      <c r="B91" s="2" t="str">
        <f t="array" ref="B91">IF(NOW()&gt;AM91,"",IF(AND((WEEKDAY($A91)+$B$2)&gt;1,((WEEKDAY($A91)+$T$2)&lt;7),(WEEKDAY($A91)&lt;&gt;1)),"work",(INDEX(Subject!$A:$I,MATCH(RANDBETWEEN(1,(MAX(Subject!$B:$B))),Subject!$B:$B,0),3))))</f>
        <v/>
      </c>
      <c r="C91" s="2" t="str">
        <f t="array" ref="C91">IF(NOW()&gt;AN91,"",IF(AND((WEEKDAY($A91)+$B$2)&gt;1,((WEEKDAY($A91)+$T$2)&lt;7),(WEEKDAY($A91)&lt;&gt;1)),"work",(INDEX(Subject!$A:$I,MATCH(RANDBETWEEN(1,(MAX(Subject!$B:$B))),Subject!$B:$B,0),3))))</f>
        <v/>
      </c>
      <c r="D91" s="2" t="str">
        <f t="array" ref="D91">IF(NOW()&gt;AO91,"",IF(AND((WEEKDAY($A91)+$B$2)&gt;1,((WEEKDAY($A91)+$T$2)&lt;7),(WEEKDAY($A91)&lt;&gt;1)),"work",(INDEX(Subject!$A:$I,MATCH(RANDBETWEEN(1,(MAX(Subject!$B:$B))),Subject!$B:$B,0),3))))</f>
        <v/>
      </c>
      <c r="E91" s="2" t="str">
        <f t="array" ref="E91">IF(NOW()&gt;AP91,"",IF(AND((WEEKDAY($A91)+$B$2)&gt;1,((WEEKDAY($A91)+$T$2)&lt;7),(WEEKDAY($A91)&lt;&gt;1)),"work",(INDEX(Subject!$A:$I,MATCH(RANDBETWEEN(1,(MAX(Subject!$B:$B))),Subject!$B:$B,0),3))))</f>
        <v/>
      </c>
      <c r="F91" s="2" t="str">
        <f t="array" ref="F91">IF(NOW()&gt;AQ91,"",IF(AND((WEEKDAY($A91)+$B$2)&gt;1,((WEEKDAY($A91)+$T$2)&lt;7),(WEEKDAY($A91)&lt;&gt;1)),"work",(INDEX(Subject!$A:$I,MATCH(RANDBETWEEN(1,(MAX(Subject!$B:$B))),Subject!$B:$B,0),3))))</f>
        <v/>
      </c>
      <c r="G91" s="2" t="str">
        <f t="array" ref="G91">IF(NOW()&gt;AR91,"",IF(AND((WEEKDAY($A91)+$B$2)&gt;1,((WEEKDAY($A91)+$T$2)&lt;7),(WEEKDAY($A91)&lt;&gt;1)),"work",(INDEX(Subject!$A:$I,MATCH(RANDBETWEEN(1,(MAX(Subject!$B:$B))),Subject!$B:$B,0),3))))</f>
        <v/>
      </c>
      <c r="H91" s="2" t="str">
        <f t="array" ref="H91">IF(NOW()&gt;AS91,"",IF(AND((WEEKDAY($A91)+$B$2)&gt;1,((WEEKDAY($A91)+$T$2)&lt;7),(WEEKDAY($A91)&lt;&gt;1)),"work",(INDEX(Subject!$A:$I,MATCH(RANDBETWEEN(1,(MAX(Subject!$B:$B))),Subject!$B:$B,0),3))))</f>
        <v/>
      </c>
      <c r="I91" s="2" t="str">
        <f t="array" ref="I91">IF(NOW()&gt;AT91,"",IF(AND((WEEKDAY($A91)+$B$2)&gt;1,((WEEKDAY($A91)+$T$2)&lt;7),(WEEKDAY($A91)&lt;&gt;1)),"work",(INDEX(Subject!$A:$I,MATCH(RANDBETWEEN(1,(MAX(Subject!$B:$B))),Subject!$B:$B,0),3))))</f>
        <v/>
      </c>
      <c r="J91" s="2" t="str">
        <f t="array" ref="J91">IF(NOW()&gt;AU91,"",IF(AND((WEEKDAY($A91)+$B$2)&gt;1,((WEEKDAY($A91)+$T$2)&lt;7),(WEEKDAY($A91)&lt;&gt;1)),"work",(INDEX(Subject!$A:$I,MATCH(RANDBETWEEN(1,(MAX(Subject!$B:$B))),Subject!$B:$B,0),3))))</f>
        <v/>
      </c>
      <c r="K91" s="2" t="str">
        <f t="array" ref="K91">IF(NOW()&gt;AV91,"",IF(AND((WEEKDAY($A91)+$B$2)&gt;1,((WEEKDAY($A91)+$T$2)&lt;7),(WEEKDAY($A91)&lt;&gt;1)),"work",(INDEX(Subject!$A:$I,MATCH(RANDBETWEEN(1,(MAX(Subject!$B:$B))),Subject!$B:$B,0),3))))</f>
        <v/>
      </c>
      <c r="L91" s="2" t="str">
        <f t="array" ref="L91">IF(NOW()&gt;AW91,"",IF(AND((WEEKDAY($A91)+$B$2)&gt;1,((WEEKDAY($A91)+$T$2)&lt;7),(WEEKDAY($A91)&lt;&gt;1)),"work",(INDEX(Subject!$A:$I,MATCH(RANDBETWEEN(1,(MAX(Subject!$B:$B))),Subject!$B:$B,0),3))))</f>
        <v/>
      </c>
      <c r="M91" s="2" t="str">
        <f t="array" ref="M91">IF(NOW()&gt;AX91,"",IF(AND((WEEKDAY($A91)+$B$2)&gt;1,((WEEKDAY($A91)+$T$2)&lt;7),(WEEKDAY($A91)&lt;&gt;1)),"work",(INDEX(Subject!$A:$I,MATCH(RANDBETWEEN(1,(MAX(Subject!$B:$B))),Subject!$B:$B,0),3))))</f>
        <v/>
      </c>
      <c r="N91" s="2" t="str">
        <f t="array" ref="N91">IF(NOW()&gt;AY91,"",IF(AND((WEEKDAY($A91)+$B$2)&gt;1,((WEEKDAY($A91)+$T$2)&lt;7),(WEEKDAY($A91)&lt;&gt;1)),"work",(INDEX(Subject!$A:$I,MATCH(RANDBETWEEN(1,(MAX(Subject!$B:$B))),Subject!$B:$B,0),3))))</f>
        <v/>
      </c>
      <c r="O91" s="2" t="str">
        <f t="array" ref="O91">IF(NOW()&gt;AZ91,"",IF(AND((WEEKDAY($A91)+$B$2)&gt;1,((WEEKDAY($A91)+$T$2)&lt;7),(WEEKDAY($A91)&lt;&gt;1)),"work",(INDEX(Subject!$A:$I,MATCH(RANDBETWEEN(1,(MAX(Subject!$B:$B))),Subject!$B:$B,0),3))))</f>
        <v/>
      </c>
      <c r="P91" s="2" t="str">
        <f t="array" ref="P91">IF(NOW()&gt;BA91,"",IF(AND((WEEKDAY($A91)+$B$2)&gt;1,((WEEKDAY($A91)+$T$2)&lt;7),(WEEKDAY($A91)&lt;&gt;1)),"work",(INDEX(Subject!$A:$I,MATCH(RANDBETWEEN(1,(MAX(Subject!$B:$B))),Subject!$B:$B,0),3))))</f>
        <v/>
      </c>
      <c r="Q91" s="2" t="str">
        <f t="array" ref="Q91">IF(NOW()&gt;BB91,"",IF(AND((WEEKDAY($A91)+$B$2)&gt;1,((WEEKDAY($A91)+$T$2)&lt;7),(WEEKDAY($A91)&lt;&gt;1)),"work",(INDEX(Subject!$A:$I,MATCH(RANDBETWEEN(1,(MAX(Subject!$B:$B))),Subject!$B:$B,0),3))))</f>
        <v/>
      </c>
      <c r="R91" s="2" t="str">
        <f t="array" ref="R91">IF(NOW()&gt;BC91,"",IF(AND((WEEKDAY($A91)+$B$2)&gt;1,((WEEKDAY($A91)+$T$2)&lt;7),(WEEKDAY($A91)&lt;&gt;1)),"work",(INDEX(Subject!$A:$I,MATCH(RANDBETWEEN(1,(MAX(Subject!$B:$B))),Subject!$B:$B,0),3))))</f>
        <v/>
      </c>
      <c r="S91" s="2" t="str">
        <f t="array" ref="S91">IF(NOW()&gt;BD91,"",IF(AND((WEEKDAY($A91)+$B$2)&gt;1,((WEEKDAY($A91)+$T$2)&lt;7),(WEEKDAY($A91)&lt;&gt;1)),"work",(INDEX(Subject!$A:$I,MATCH(RANDBETWEEN(1,(MAX(Subject!$B:$B))),Subject!$B:$B,0),3))))</f>
        <v/>
      </c>
      <c r="T91" s="2" t="str">
        <f t="array" ref="T91">IF(NOW()&gt;BE91,"",IF(AND((WEEKDAY($A91)+$B$2)&gt;1,((WEEKDAY($A91)+$T$2)&lt;7),(WEEKDAY($A91)&lt;&gt;1)),"work",(INDEX(Subject!$A:$I,MATCH(RANDBETWEEN(1,(MAX(Subject!$B:$B))),Subject!$B:$B,0),3))))</f>
        <v/>
      </c>
      <c r="U91" s="8" t="str">
        <f t="array" ref="U91">INDEX(Subject!$A:$I,MATCH(RANDBETWEEN(1,16),Subject!$B:$B,0),3)</f>
        <v>#N/A</v>
      </c>
      <c r="V91" s="8" t="str">
        <f t="array" ref="V91">INDEX(Subject!$A:$I,MATCH(RANDBETWEEN(1,16),Subject!$B:$B,0),3)</f>
        <v>#N/A</v>
      </c>
      <c r="W91" s="8" t="str">
        <f t="array" ref="W91">INDEX(Subject!$A:$I,MATCH(RANDBETWEEN(1,16),Subject!$B:$B,0),3)</f>
        <v>#N/A</v>
      </c>
      <c r="X91" s="8" t="str">
        <f t="array" ref="X91">INDEX(Subject!$A:$I,MATCH(RANDBETWEEN(1,16),Subject!$B:$B,0),3)</f>
        <v>#N/A</v>
      </c>
      <c r="Y91" s="8" t="str">
        <f t="array" ref="Y91">INDEX(Subject!$A:$I,MATCH(RANDBETWEEN(1,16),Subject!$B:$B,0),3)</f>
        <v>#N/A</v>
      </c>
      <c r="Z91" s="8" t="str">
        <f t="array" ref="Z91">INDEX(Subject!$A:$I,MATCH(RANDBETWEEN(1,16),Subject!$B:$B,0),3)</f>
        <v>#N/A</v>
      </c>
      <c r="AA91" s="8" t="str">
        <f t="array" ref="AA91">INDEX(Subject!$A:$I,MATCH(RANDBETWEEN(1,16),Subject!$B:$B,0),3)</f>
        <v>#N/A</v>
      </c>
      <c r="AB91" s="8" t="str">
        <f t="array" ref="AB91">INDEX(Subject!$A:$I,MATCH(RANDBETWEEN(1,16),Subject!$B:$B,0),3)</f>
        <v>#N/A</v>
      </c>
      <c r="AC91" s="8" t="str">
        <f t="array" ref="AC91">INDEX(Subject!$A:$I,MATCH(RANDBETWEEN(1,16),Subject!$B:$B,0),3)</f>
        <v/>
      </c>
      <c r="AD91" s="8" t="str">
        <f t="array" ref="AD91">INDEX(Subject!$A:$I,MATCH(RANDBETWEEN(1,16),Subject!$B:$B,0),3)</f>
        <v>#N/A</v>
      </c>
      <c r="AE91" s="8" t="str">
        <f t="array" ref="AE91">INDEX(Subject!$A:$I,MATCH(RANDBETWEEN(1,16),Subject!$B:$B,0),3)</f>
        <v>#N/A</v>
      </c>
      <c r="AF91" s="8" t="str">
        <f t="array" ref="AF91">INDEX(Subject!$A:$I,MATCH(RANDBETWEEN(1,16),Subject!$B:$B,0),3)</f>
        <v>#N/A</v>
      </c>
      <c r="AG91" s="8" t="str">
        <f t="array" ref="AG91">INDEX(Subject!$A:$I,MATCH(RANDBETWEEN(1,16),Subject!$B:$B,0),3)</f>
        <v>#N/A</v>
      </c>
      <c r="AH91" s="8" t="str">
        <f t="array" ref="AH91">INDEX(Subject!$A:$I,MATCH(RANDBETWEEN(1,16),Subject!$B:$B,0),3)</f>
        <v>#N/A</v>
      </c>
      <c r="AI91" s="8" t="str">
        <f t="array" ref="AI91">INDEX(Subject!$A:$I,MATCH(RANDBETWEEN(1,16),Subject!$B:$B,0),3)</f>
        <v>#N/A</v>
      </c>
      <c r="AJ91" s="8" t="str">
        <f t="array" ref="AJ91">INDEX(Subject!$A:$I,MATCH(RANDBETWEEN(1,16),Subject!$B:$B,0),3)</f>
        <v>#N/A</v>
      </c>
      <c r="AK91" s="8" t="str">
        <f t="array" ref="AK91">INDEX(Subject!$A:$I,MATCH(RANDBETWEEN(1,16),Subject!$B:$B,0),3)</f>
        <v>#N/A</v>
      </c>
      <c r="AL91" s="8" t="str">
        <f t="array" ref="AL91">INDEX(Subject!$A:$I,MATCH(RANDBETWEEN(1,16),Subject!$B:$B,0),3)</f>
        <v>#N/A</v>
      </c>
      <c r="AM91" s="18">
        <f t="shared" si="4"/>
        <v>45591.33333</v>
      </c>
      <c r="AN91" s="19">
        <f t="shared" ref="AN91:BZ91" si="91">$A91+C$1</f>
        <v>45591.35417</v>
      </c>
      <c r="AO91" s="19">
        <f t="shared" si="91"/>
        <v>45591.375</v>
      </c>
      <c r="AP91" s="19">
        <f t="shared" si="91"/>
        <v>45591.39583</v>
      </c>
      <c r="AQ91" s="19">
        <f t="shared" si="91"/>
        <v>45591.41667</v>
      </c>
      <c r="AR91" s="19">
        <f t="shared" si="91"/>
        <v>45591.4375</v>
      </c>
      <c r="AS91" s="19">
        <f t="shared" si="91"/>
        <v>45591.45833</v>
      </c>
      <c r="AT91" s="19">
        <f t="shared" si="91"/>
        <v>45591.47917</v>
      </c>
      <c r="AU91" s="19">
        <f t="shared" si="91"/>
        <v>45591.5</v>
      </c>
      <c r="AV91" s="19">
        <f t="shared" si="91"/>
        <v>45591.52083</v>
      </c>
      <c r="AW91" s="19">
        <f t="shared" si="91"/>
        <v>45591.54167</v>
      </c>
      <c r="AX91" s="19">
        <f t="shared" si="91"/>
        <v>45591.5625</v>
      </c>
      <c r="AY91" s="19">
        <f t="shared" si="91"/>
        <v>45591.58333</v>
      </c>
      <c r="AZ91" s="19">
        <f t="shared" si="91"/>
        <v>45591.60417</v>
      </c>
      <c r="BA91" s="19">
        <f t="shared" si="91"/>
        <v>45591.625</v>
      </c>
      <c r="BB91" s="19">
        <f t="shared" si="91"/>
        <v>45591.64583</v>
      </c>
      <c r="BC91" s="19">
        <f t="shared" si="91"/>
        <v>45591.66667</v>
      </c>
      <c r="BD91" s="19">
        <f t="shared" si="91"/>
        <v>45591.6875</v>
      </c>
      <c r="BE91" s="19">
        <f t="shared" si="91"/>
        <v>45591.70833</v>
      </c>
      <c r="BF91" s="19">
        <f t="shared" si="91"/>
        <v>45591.72917</v>
      </c>
      <c r="BG91" s="19">
        <f t="shared" si="91"/>
        <v>45591.75</v>
      </c>
      <c r="BH91" s="19">
        <f t="shared" si="91"/>
        <v>45591.77083</v>
      </c>
      <c r="BI91" s="19">
        <f t="shared" si="91"/>
        <v>45591.79167</v>
      </c>
      <c r="BJ91" s="19">
        <f t="shared" si="91"/>
        <v>45591.8125</v>
      </c>
      <c r="BK91" s="19">
        <f t="shared" si="91"/>
        <v>45591.83333</v>
      </c>
      <c r="BL91" s="19">
        <f t="shared" si="91"/>
        <v>45591.85417</v>
      </c>
      <c r="BM91" s="19">
        <f t="shared" si="91"/>
        <v>45591.875</v>
      </c>
      <c r="BN91" s="19">
        <f t="shared" si="91"/>
        <v>45591.89583</v>
      </c>
      <c r="BO91" s="19">
        <f t="shared" si="91"/>
        <v>45591.91667</v>
      </c>
      <c r="BP91" s="19">
        <f t="shared" si="91"/>
        <v>45591.9375</v>
      </c>
      <c r="BQ91" s="19">
        <f t="shared" si="91"/>
        <v>45591.95833</v>
      </c>
      <c r="BR91" s="19">
        <f t="shared" si="91"/>
        <v>45591.97917</v>
      </c>
      <c r="BS91" s="19">
        <f t="shared" si="91"/>
        <v>45592</v>
      </c>
      <c r="BT91" s="19">
        <f t="shared" si="91"/>
        <v>45592.02083</v>
      </c>
      <c r="BU91" s="19">
        <f t="shared" si="91"/>
        <v>45592.04167</v>
      </c>
      <c r="BV91" s="19">
        <f t="shared" si="91"/>
        <v>45592.0625</v>
      </c>
      <c r="BW91" s="19">
        <f t="shared" si="91"/>
        <v>45592.08333</v>
      </c>
      <c r="BX91" s="19">
        <f t="shared" si="91"/>
        <v>45591</v>
      </c>
      <c r="BY91" s="19">
        <f t="shared" si="91"/>
        <v>45591</v>
      </c>
      <c r="BZ91" s="19">
        <f t="shared" si="91"/>
        <v>45591</v>
      </c>
    </row>
    <row r="92" ht="14.25" customHeight="1">
      <c r="A92" s="17">
        <v>45592.0</v>
      </c>
      <c r="B92" s="2" t="str">
        <f t="array" ref="B92">IF(NOW()&gt;AM92,"",IF(AND((WEEKDAY($A92)+$B$2)&gt;1,((WEEKDAY($A92)+$T$2)&lt;7),(WEEKDAY($A92)&lt;&gt;1)),"work",(INDEX(Subject!$A:$I,MATCH(RANDBETWEEN(1,(MAX(Subject!$B:$B))),Subject!$B:$B,0),3))))</f>
        <v/>
      </c>
      <c r="C92" s="2" t="str">
        <f t="array" ref="C92">IF(NOW()&gt;AN92,"",IF(AND((WEEKDAY($A92)+$B$2)&gt;1,((WEEKDAY($A92)+$T$2)&lt;7),(WEEKDAY($A92)&lt;&gt;1)),"work",(INDEX(Subject!$A:$I,MATCH(RANDBETWEEN(1,(MAX(Subject!$B:$B))),Subject!$B:$B,0),3))))</f>
        <v/>
      </c>
      <c r="D92" s="2" t="str">
        <f t="array" ref="D92">IF(NOW()&gt;AO92,"",IF(AND((WEEKDAY($A92)+$B$2)&gt;1,((WEEKDAY($A92)+$T$2)&lt;7),(WEEKDAY($A92)&lt;&gt;1)),"work",(INDEX(Subject!$A:$I,MATCH(RANDBETWEEN(1,(MAX(Subject!$B:$B))),Subject!$B:$B,0),3))))</f>
        <v/>
      </c>
      <c r="E92" s="2" t="str">
        <f t="array" ref="E92">IF(NOW()&gt;AP92,"",IF(AND((WEEKDAY($A92)+$B$2)&gt;1,((WEEKDAY($A92)+$T$2)&lt;7),(WEEKDAY($A92)&lt;&gt;1)),"work",(INDEX(Subject!$A:$I,MATCH(RANDBETWEEN(1,(MAX(Subject!$B:$B))),Subject!$B:$B,0),3))))</f>
        <v/>
      </c>
      <c r="F92" s="2" t="str">
        <f t="array" ref="F92">IF(NOW()&gt;AQ92,"",IF(AND((WEEKDAY($A92)+$B$2)&gt;1,((WEEKDAY($A92)+$T$2)&lt;7),(WEEKDAY($A92)&lt;&gt;1)),"work",(INDEX(Subject!$A:$I,MATCH(RANDBETWEEN(1,(MAX(Subject!$B:$B))),Subject!$B:$B,0),3))))</f>
        <v/>
      </c>
      <c r="G92" s="2" t="str">
        <f t="array" ref="G92">IF(NOW()&gt;AR92,"",IF(AND((WEEKDAY($A92)+$B$2)&gt;1,((WEEKDAY($A92)+$T$2)&lt;7),(WEEKDAY($A92)&lt;&gt;1)),"work",(INDEX(Subject!$A:$I,MATCH(RANDBETWEEN(1,(MAX(Subject!$B:$B))),Subject!$B:$B,0),3))))</f>
        <v/>
      </c>
      <c r="H92" s="2" t="str">
        <f t="array" ref="H92">IF(NOW()&gt;AS92,"",IF(AND((WEEKDAY($A92)+$B$2)&gt;1,((WEEKDAY($A92)+$T$2)&lt;7),(WEEKDAY($A92)&lt;&gt;1)),"work",(INDEX(Subject!$A:$I,MATCH(RANDBETWEEN(1,(MAX(Subject!$B:$B))),Subject!$B:$B,0),3))))</f>
        <v/>
      </c>
      <c r="I92" s="2" t="str">
        <f t="array" ref="I92">IF(NOW()&gt;AT92,"",IF(AND((WEEKDAY($A92)+$B$2)&gt;1,((WEEKDAY($A92)+$T$2)&lt;7),(WEEKDAY($A92)&lt;&gt;1)),"work",(INDEX(Subject!$A:$I,MATCH(RANDBETWEEN(1,(MAX(Subject!$B:$B))),Subject!$B:$B,0),3))))</f>
        <v/>
      </c>
      <c r="J92" s="2" t="str">
        <f t="array" ref="J92">IF(NOW()&gt;AU92,"",IF(AND((WEEKDAY($A92)+$B$2)&gt;1,((WEEKDAY($A92)+$T$2)&lt;7),(WEEKDAY($A92)&lt;&gt;1)),"work",(INDEX(Subject!$A:$I,MATCH(RANDBETWEEN(1,(MAX(Subject!$B:$B))),Subject!$B:$B,0),3))))</f>
        <v/>
      </c>
      <c r="K92" s="2" t="str">
        <f t="array" ref="K92">IF(NOW()&gt;AV92,"",IF(AND((WEEKDAY($A92)+$B$2)&gt;1,((WEEKDAY($A92)+$T$2)&lt;7),(WEEKDAY($A92)&lt;&gt;1)),"work",(INDEX(Subject!$A:$I,MATCH(RANDBETWEEN(1,(MAX(Subject!$B:$B))),Subject!$B:$B,0),3))))</f>
        <v/>
      </c>
      <c r="L92" s="2" t="str">
        <f t="array" ref="L92">IF(NOW()&gt;AW92,"",IF(AND((WEEKDAY($A92)+$B$2)&gt;1,((WEEKDAY($A92)+$T$2)&lt;7),(WEEKDAY($A92)&lt;&gt;1)),"work",(INDEX(Subject!$A:$I,MATCH(RANDBETWEEN(1,(MAX(Subject!$B:$B))),Subject!$B:$B,0),3))))</f>
        <v/>
      </c>
      <c r="M92" s="2" t="str">
        <f t="array" ref="M92">IF(NOW()&gt;AX92,"",IF(AND((WEEKDAY($A92)+$B$2)&gt;1,((WEEKDAY($A92)+$T$2)&lt;7),(WEEKDAY($A92)&lt;&gt;1)),"work",(INDEX(Subject!$A:$I,MATCH(RANDBETWEEN(1,(MAX(Subject!$B:$B))),Subject!$B:$B,0),3))))</f>
        <v/>
      </c>
      <c r="N92" s="2" t="str">
        <f t="array" ref="N92">IF(NOW()&gt;AY92,"",IF(AND((WEEKDAY($A92)+$B$2)&gt;1,((WEEKDAY($A92)+$T$2)&lt;7),(WEEKDAY($A92)&lt;&gt;1)),"work",(INDEX(Subject!$A:$I,MATCH(RANDBETWEEN(1,(MAX(Subject!$B:$B))),Subject!$B:$B,0),3))))</f>
        <v/>
      </c>
      <c r="O92" s="2" t="str">
        <f t="array" ref="O92">IF(NOW()&gt;AZ92,"",IF(AND((WEEKDAY($A92)+$B$2)&gt;1,((WEEKDAY($A92)+$T$2)&lt;7),(WEEKDAY($A92)&lt;&gt;1)),"work",(INDEX(Subject!$A:$I,MATCH(RANDBETWEEN(1,(MAX(Subject!$B:$B))),Subject!$B:$B,0),3))))</f>
        <v/>
      </c>
      <c r="P92" s="2" t="str">
        <f t="array" ref="P92">IF(NOW()&gt;BA92,"",IF(AND((WEEKDAY($A92)+$B$2)&gt;1,((WEEKDAY($A92)+$T$2)&lt;7),(WEEKDAY($A92)&lt;&gt;1)),"work",(INDEX(Subject!$A:$I,MATCH(RANDBETWEEN(1,(MAX(Subject!$B:$B))),Subject!$B:$B,0),3))))</f>
        <v/>
      </c>
      <c r="Q92" s="2" t="str">
        <f t="array" ref="Q92">IF(NOW()&gt;BB92,"",IF(AND((WEEKDAY($A92)+$B$2)&gt;1,((WEEKDAY($A92)+$T$2)&lt;7),(WEEKDAY($A92)&lt;&gt;1)),"work",(INDEX(Subject!$A:$I,MATCH(RANDBETWEEN(1,(MAX(Subject!$B:$B))),Subject!$B:$B,0),3))))</f>
        <v/>
      </c>
      <c r="R92" s="2" t="str">
        <f t="array" ref="R92">IF(NOW()&gt;BC92,"",IF(AND((WEEKDAY($A92)+$B$2)&gt;1,((WEEKDAY($A92)+$T$2)&lt;7),(WEEKDAY($A92)&lt;&gt;1)),"work",(INDEX(Subject!$A:$I,MATCH(RANDBETWEEN(1,(MAX(Subject!$B:$B))),Subject!$B:$B,0),3))))</f>
        <v/>
      </c>
      <c r="S92" s="2" t="str">
        <f t="array" ref="S92">IF(NOW()&gt;BD92,"",IF(AND((WEEKDAY($A92)+$B$2)&gt;1,((WEEKDAY($A92)+$T$2)&lt;7),(WEEKDAY($A92)&lt;&gt;1)),"work",(INDEX(Subject!$A:$I,MATCH(RANDBETWEEN(1,(MAX(Subject!$B:$B))),Subject!$B:$B,0),3))))</f>
        <v/>
      </c>
      <c r="T92" s="2" t="str">
        <f t="array" ref="T92">IF(NOW()&gt;BE92,"",IF(AND((WEEKDAY($A92)+$B$2)&gt;1,((WEEKDAY($A92)+$T$2)&lt;7),(WEEKDAY($A92)&lt;&gt;1)),"work",(INDEX(Subject!$A:$I,MATCH(RANDBETWEEN(1,(MAX(Subject!$B:$B))),Subject!$B:$B,0),3))))</f>
        <v/>
      </c>
      <c r="U92" s="8" t="str">
        <f t="array" ref="U92">INDEX(Subject!$A:$I,MATCH(RANDBETWEEN(1,16),Subject!$B:$B,0),3)</f>
        <v>#N/A</v>
      </c>
      <c r="V92" s="8" t="str">
        <f t="array" ref="V92">INDEX(Subject!$A:$I,MATCH(RANDBETWEEN(1,16),Subject!$B:$B,0),3)</f>
        <v>#N/A</v>
      </c>
      <c r="W92" s="8" t="str">
        <f t="array" ref="W92">INDEX(Subject!$A:$I,MATCH(RANDBETWEEN(1,16),Subject!$B:$B,0),3)</f>
        <v>#N/A</v>
      </c>
      <c r="X92" s="8" t="str">
        <f t="array" ref="X92">INDEX(Subject!$A:$I,MATCH(RANDBETWEEN(1,16),Subject!$B:$B,0),3)</f>
        <v>#N/A</v>
      </c>
      <c r="Y92" s="8" t="str">
        <f t="array" ref="Y92">INDEX(Subject!$A:$I,MATCH(RANDBETWEEN(1,16),Subject!$B:$B,0),3)</f>
        <v/>
      </c>
      <c r="Z92" s="8" t="str">
        <f t="array" ref="Z92">INDEX(Subject!$A:$I,MATCH(RANDBETWEEN(1,16),Subject!$B:$B,0),3)</f>
        <v>#N/A</v>
      </c>
      <c r="AA92" s="8" t="str">
        <f t="array" ref="AA92">INDEX(Subject!$A:$I,MATCH(RANDBETWEEN(1,16),Subject!$B:$B,0),3)</f>
        <v>#N/A</v>
      </c>
      <c r="AB92" s="8" t="str">
        <f t="array" ref="AB92">INDEX(Subject!$A:$I,MATCH(RANDBETWEEN(1,16),Subject!$B:$B,0),3)</f>
        <v>#N/A</v>
      </c>
      <c r="AC92" s="8" t="str">
        <f t="array" ref="AC92">INDEX(Subject!$A:$I,MATCH(RANDBETWEEN(1,16),Subject!$B:$B,0),3)</f>
        <v>#N/A</v>
      </c>
      <c r="AD92" s="8" t="str">
        <f t="array" ref="AD92">INDEX(Subject!$A:$I,MATCH(RANDBETWEEN(1,16),Subject!$B:$B,0),3)</f>
        <v>#N/A</v>
      </c>
      <c r="AE92" s="8" t="str">
        <f t="array" ref="AE92">INDEX(Subject!$A:$I,MATCH(RANDBETWEEN(1,16),Subject!$B:$B,0),3)</f>
        <v>#N/A</v>
      </c>
      <c r="AF92" s="8" t="str">
        <f t="array" ref="AF92">INDEX(Subject!$A:$I,MATCH(RANDBETWEEN(1,16),Subject!$B:$B,0),3)</f>
        <v>#N/A</v>
      </c>
      <c r="AG92" s="8" t="str">
        <f t="array" ref="AG92">INDEX(Subject!$A:$I,MATCH(RANDBETWEEN(1,16),Subject!$B:$B,0),3)</f>
        <v>#N/A</v>
      </c>
      <c r="AH92" s="8" t="str">
        <f t="array" ref="AH92">INDEX(Subject!$A:$I,MATCH(RANDBETWEEN(1,16),Subject!$B:$B,0),3)</f>
        <v>#N/A</v>
      </c>
      <c r="AI92" s="8" t="str">
        <f t="array" ref="AI92">INDEX(Subject!$A:$I,MATCH(RANDBETWEEN(1,16),Subject!$B:$B,0),3)</f>
        <v>#N/A</v>
      </c>
      <c r="AJ92" s="8" t="str">
        <f t="array" ref="AJ92">INDEX(Subject!$A:$I,MATCH(RANDBETWEEN(1,16),Subject!$B:$B,0),3)</f>
        <v>#N/A</v>
      </c>
      <c r="AK92" s="8" t="str">
        <f t="array" ref="AK92">INDEX(Subject!$A:$I,MATCH(RANDBETWEEN(1,16),Subject!$B:$B,0),3)</f>
        <v>#N/A</v>
      </c>
      <c r="AL92" s="8" t="str">
        <f t="array" ref="AL92">INDEX(Subject!$A:$I,MATCH(RANDBETWEEN(1,16),Subject!$B:$B,0),3)</f>
        <v>#N/A</v>
      </c>
      <c r="AM92" s="18">
        <f t="shared" si="4"/>
        <v>45592.33333</v>
      </c>
      <c r="AN92" s="19">
        <f t="shared" ref="AN92:BZ92" si="92">$A92+C$1</f>
        <v>45592.35417</v>
      </c>
      <c r="AO92" s="19">
        <f t="shared" si="92"/>
        <v>45592.375</v>
      </c>
      <c r="AP92" s="19">
        <f t="shared" si="92"/>
        <v>45592.39583</v>
      </c>
      <c r="AQ92" s="19">
        <f t="shared" si="92"/>
        <v>45592.41667</v>
      </c>
      <c r="AR92" s="19">
        <f t="shared" si="92"/>
        <v>45592.4375</v>
      </c>
      <c r="AS92" s="19">
        <f t="shared" si="92"/>
        <v>45592.45833</v>
      </c>
      <c r="AT92" s="19">
        <f t="shared" si="92"/>
        <v>45592.47917</v>
      </c>
      <c r="AU92" s="19">
        <f t="shared" si="92"/>
        <v>45592.5</v>
      </c>
      <c r="AV92" s="19">
        <f t="shared" si="92"/>
        <v>45592.52083</v>
      </c>
      <c r="AW92" s="19">
        <f t="shared" si="92"/>
        <v>45592.54167</v>
      </c>
      <c r="AX92" s="19">
        <f t="shared" si="92"/>
        <v>45592.5625</v>
      </c>
      <c r="AY92" s="19">
        <f t="shared" si="92"/>
        <v>45592.58333</v>
      </c>
      <c r="AZ92" s="19">
        <f t="shared" si="92"/>
        <v>45592.60417</v>
      </c>
      <c r="BA92" s="19">
        <f t="shared" si="92"/>
        <v>45592.625</v>
      </c>
      <c r="BB92" s="19">
        <f t="shared" si="92"/>
        <v>45592.64583</v>
      </c>
      <c r="BC92" s="19">
        <f t="shared" si="92"/>
        <v>45592.66667</v>
      </c>
      <c r="BD92" s="19">
        <f t="shared" si="92"/>
        <v>45592.6875</v>
      </c>
      <c r="BE92" s="19">
        <f t="shared" si="92"/>
        <v>45592.70833</v>
      </c>
      <c r="BF92" s="19">
        <f t="shared" si="92"/>
        <v>45592.72917</v>
      </c>
      <c r="BG92" s="19">
        <f t="shared" si="92"/>
        <v>45592.75</v>
      </c>
      <c r="BH92" s="19">
        <f t="shared" si="92"/>
        <v>45592.77083</v>
      </c>
      <c r="BI92" s="19">
        <f t="shared" si="92"/>
        <v>45592.79167</v>
      </c>
      <c r="BJ92" s="19">
        <f t="shared" si="92"/>
        <v>45592.8125</v>
      </c>
      <c r="BK92" s="19">
        <f t="shared" si="92"/>
        <v>45592.83333</v>
      </c>
      <c r="BL92" s="19">
        <f t="shared" si="92"/>
        <v>45592.85417</v>
      </c>
      <c r="BM92" s="19">
        <f t="shared" si="92"/>
        <v>45592.875</v>
      </c>
      <c r="BN92" s="19">
        <f t="shared" si="92"/>
        <v>45592.89583</v>
      </c>
      <c r="BO92" s="19">
        <f t="shared" si="92"/>
        <v>45592.91667</v>
      </c>
      <c r="BP92" s="19">
        <f t="shared" si="92"/>
        <v>45592.9375</v>
      </c>
      <c r="BQ92" s="19">
        <f t="shared" si="92"/>
        <v>45592.95833</v>
      </c>
      <c r="BR92" s="19">
        <f t="shared" si="92"/>
        <v>45592.97917</v>
      </c>
      <c r="BS92" s="19">
        <f t="shared" si="92"/>
        <v>45593</v>
      </c>
      <c r="BT92" s="19">
        <f t="shared" si="92"/>
        <v>45593.02083</v>
      </c>
      <c r="BU92" s="19">
        <f t="shared" si="92"/>
        <v>45593.04167</v>
      </c>
      <c r="BV92" s="19">
        <f t="shared" si="92"/>
        <v>45593.0625</v>
      </c>
      <c r="BW92" s="19">
        <f t="shared" si="92"/>
        <v>45593.08333</v>
      </c>
      <c r="BX92" s="19">
        <f t="shared" si="92"/>
        <v>45592</v>
      </c>
      <c r="BY92" s="19">
        <f t="shared" si="92"/>
        <v>45592</v>
      </c>
      <c r="BZ92" s="19">
        <f t="shared" si="92"/>
        <v>45592</v>
      </c>
    </row>
    <row r="93" ht="14.25" customHeight="1">
      <c r="A93" s="17">
        <v>45593.0</v>
      </c>
      <c r="B93" s="2" t="str">
        <f t="array" ref="B93">IF(NOW()&gt;AM93,"",IF(AND((WEEKDAY($A93)+$B$2)&gt;1,((WEEKDAY($A93)+$T$2)&lt;7),(WEEKDAY($A93)&lt;&gt;1)),"work",(INDEX(Subject!$A:$I,MATCH(RANDBETWEEN(1,(MAX(Subject!$B:$B))),Subject!$B:$B,0),3))))</f>
        <v/>
      </c>
      <c r="C93" s="2" t="str">
        <f t="array" ref="C93">IF(NOW()&gt;AN93,"",IF(AND((WEEKDAY($A93)+$B$2)&gt;1,((WEEKDAY($A93)+$T$2)&lt;7),(WEEKDAY($A93)&lt;&gt;1)),"work",(INDEX(Subject!$A:$I,MATCH(RANDBETWEEN(1,(MAX(Subject!$B:$B))),Subject!$B:$B,0),3))))</f>
        <v/>
      </c>
      <c r="D93" s="2" t="str">
        <f t="array" ref="D93">IF(NOW()&gt;AO93,"",IF(AND((WEEKDAY($A93)+$B$2)&gt;1,((WEEKDAY($A93)+$T$2)&lt;7),(WEEKDAY($A93)&lt;&gt;1)),"work",(INDEX(Subject!$A:$I,MATCH(RANDBETWEEN(1,(MAX(Subject!$B:$B))),Subject!$B:$B,0),3))))</f>
        <v/>
      </c>
      <c r="E93" s="2" t="str">
        <f t="array" ref="E93">IF(NOW()&gt;AP93,"",IF(AND((WEEKDAY($A93)+$B$2)&gt;1,((WEEKDAY($A93)+$T$2)&lt;7),(WEEKDAY($A93)&lt;&gt;1)),"work",(INDEX(Subject!$A:$I,MATCH(RANDBETWEEN(1,(MAX(Subject!$B:$B))),Subject!$B:$B,0),3))))</f>
        <v/>
      </c>
      <c r="F93" s="2" t="str">
        <f t="array" ref="F93">IF(NOW()&gt;AQ93,"",IF(AND((WEEKDAY($A93)+$B$2)&gt;1,((WEEKDAY($A93)+$T$2)&lt;7),(WEEKDAY($A93)&lt;&gt;1)),"work",(INDEX(Subject!$A:$I,MATCH(RANDBETWEEN(1,(MAX(Subject!$B:$B))),Subject!$B:$B,0),3))))</f>
        <v/>
      </c>
      <c r="G93" s="2" t="str">
        <f t="array" ref="G93">IF(NOW()&gt;AR93,"",IF(AND((WEEKDAY($A93)+$B$2)&gt;1,((WEEKDAY($A93)+$T$2)&lt;7),(WEEKDAY($A93)&lt;&gt;1)),"work",(INDEX(Subject!$A:$I,MATCH(RANDBETWEEN(1,(MAX(Subject!$B:$B))),Subject!$B:$B,0),3))))</f>
        <v/>
      </c>
      <c r="H93" s="2" t="str">
        <f t="array" ref="H93">IF(NOW()&gt;AS93,"",IF(AND((WEEKDAY($A93)+$B$2)&gt;1,((WEEKDAY($A93)+$T$2)&lt;7),(WEEKDAY($A93)&lt;&gt;1)),"work",(INDEX(Subject!$A:$I,MATCH(RANDBETWEEN(1,(MAX(Subject!$B:$B))),Subject!$B:$B,0),3))))</f>
        <v/>
      </c>
      <c r="I93" s="2" t="str">
        <f t="array" ref="I93">IF(NOW()&gt;AT93,"",IF(AND((WEEKDAY($A93)+$B$2)&gt;1,((WEEKDAY($A93)+$T$2)&lt;7),(WEEKDAY($A93)&lt;&gt;1)),"work",(INDEX(Subject!$A:$I,MATCH(RANDBETWEEN(1,(MAX(Subject!$B:$B))),Subject!$B:$B,0),3))))</f>
        <v/>
      </c>
      <c r="J93" s="2" t="str">
        <f t="array" ref="J93">IF(NOW()&gt;AU93,"",IF(AND((WEEKDAY($A93)+$B$2)&gt;1,((WEEKDAY($A93)+$T$2)&lt;7),(WEEKDAY($A93)&lt;&gt;1)),"work",(INDEX(Subject!$A:$I,MATCH(RANDBETWEEN(1,(MAX(Subject!$B:$B))),Subject!$B:$B,0),3))))</f>
        <v/>
      </c>
      <c r="K93" s="2" t="str">
        <f t="array" ref="K93">IF(NOW()&gt;AV93,"",IF(AND((WEEKDAY($A93)+$B$2)&gt;1,((WEEKDAY($A93)+$T$2)&lt;7),(WEEKDAY($A93)&lt;&gt;1)),"work",(INDEX(Subject!$A:$I,MATCH(RANDBETWEEN(1,(MAX(Subject!$B:$B))),Subject!$B:$B,0),3))))</f>
        <v/>
      </c>
      <c r="L93" s="2" t="str">
        <f t="array" ref="L93">IF(NOW()&gt;AW93,"",IF(AND((WEEKDAY($A93)+$B$2)&gt;1,((WEEKDAY($A93)+$T$2)&lt;7),(WEEKDAY($A93)&lt;&gt;1)),"work",(INDEX(Subject!$A:$I,MATCH(RANDBETWEEN(1,(MAX(Subject!$B:$B))),Subject!$B:$B,0),3))))</f>
        <v/>
      </c>
      <c r="M93" s="2" t="str">
        <f t="array" ref="M93">IF(NOW()&gt;AX93,"",IF(AND((WEEKDAY($A93)+$B$2)&gt;1,((WEEKDAY($A93)+$T$2)&lt;7),(WEEKDAY($A93)&lt;&gt;1)),"work",(INDEX(Subject!$A:$I,MATCH(RANDBETWEEN(1,(MAX(Subject!$B:$B))),Subject!$B:$B,0),3))))</f>
        <v/>
      </c>
      <c r="N93" s="2" t="str">
        <f t="array" ref="N93">IF(NOW()&gt;AY93,"",IF(AND((WEEKDAY($A93)+$B$2)&gt;1,((WEEKDAY($A93)+$T$2)&lt;7),(WEEKDAY($A93)&lt;&gt;1)),"work",(INDEX(Subject!$A:$I,MATCH(RANDBETWEEN(1,(MAX(Subject!$B:$B))),Subject!$B:$B,0),3))))</f>
        <v/>
      </c>
      <c r="O93" s="2" t="str">
        <f t="array" ref="O93">IF(NOW()&gt;AZ93,"",IF(AND((WEEKDAY($A93)+$B$2)&gt;1,((WEEKDAY($A93)+$T$2)&lt;7),(WEEKDAY($A93)&lt;&gt;1)),"work",(INDEX(Subject!$A:$I,MATCH(RANDBETWEEN(1,(MAX(Subject!$B:$B))),Subject!$B:$B,0),3))))</f>
        <v/>
      </c>
      <c r="P93" s="2" t="str">
        <f t="array" ref="P93">IF(NOW()&gt;BA93,"",IF(AND((WEEKDAY($A93)+$B$2)&gt;1,((WEEKDAY($A93)+$T$2)&lt;7),(WEEKDAY($A93)&lt;&gt;1)),"work",(INDEX(Subject!$A:$I,MATCH(RANDBETWEEN(1,(MAX(Subject!$B:$B))),Subject!$B:$B,0),3))))</f>
        <v/>
      </c>
      <c r="Q93" s="2" t="str">
        <f t="array" ref="Q93">IF(NOW()&gt;BB93,"",IF(AND((WEEKDAY($A93)+$B$2)&gt;1,((WEEKDAY($A93)+$T$2)&lt;7),(WEEKDAY($A93)&lt;&gt;1)),"work",(INDEX(Subject!$A:$I,MATCH(RANDBETWEEN(1,(MAX(Subject!$B:$B))),Subject!$B:$B,0),3))))</f>
        <v/>
      </c>
      <c r="R93" s="2" t="str">
        <f t="array" ref="R93">IF(NOW()&gt;BC93,"",IF(AND((WEEKDAY($A93)+$B$2)&gt;1,((WEEKDAY($A93)+$T$2)&lt;7),(WEEKDAY($A93)&lt;&gt;1)),"work",(INDEX(Subject!$A:$I,MATCH(RANDBETWEEN(1,(MAX(Subject!$B:$B))),Subject!$B:$B,0),3))))</f>
        <v/>
      </c>
      <c r="S93" s="2" t="str">
        <f t="array" ref="S93">IF(NOW()&gt;BD93,"",IF(AND((WEEKDAY($A93)+$B$2)&gt;1,((WEEKDAY($A93)+$T$2)&lt;7),(WEEKDAY($A93)&lt;&gt;1)),"work",(INDEX(Subject!$A:$I,MATCH(RANDBETWEEN(1,(MAX(Subject!$B:$B))),Subject!$B:$B,0),3))))</f>
        <v/>
      </c>
      <c r="T93" s="2" t="str">
        <f t="array" ref="T93">IF(NOW()&gt;BE93,"",IF(AND((WEEKDAY($A93)+$B$2)&gt;1,((WEEKDAY($A93)+$T$2)&lt;7),(WEEKDAY($A93)&lt;&gt;1)),"work",(INDEX(Subject!$A:$I,MATCH(RANDBETWEEN(1,(MAX(Subject!$B:$B))),Subject!$B:$B,0),3))))</f>
        <v/>
      </c>
      <c r="U93" s="8" t="str">
        <f t="array" ref="U93">INDEX(Subject!$A:$I,MATCH(RANDBETWEEN(1,16),Subject!$B:$B,0),3)</f>
        <v>#N/A</v>
      </c>
      <c r="V93" s="8" t="str">
        <f t="array" ref="V93">INDEX(Subject!$A:$I,MATCH(RANDBETWEEN(1,16),Subject!$B:$B,0),3)</f>
        <v>#N/A</v>
      </c>
      <c r="W93" s="8" t="str">
        <f t="array" ref="W93">INDEX(Subject!$A:$I,MATCH(RANDBETWEEN(1,16),Subject!$B:$B,0),3)</f>
        <v>#N/A</v>
      </c>
      <c r="X93" s="8" t="str">
        <f t="array" ref="X93">INDEX(Subject!$A:$I,MATCH(RANDBETWEEN(1,16),Subject!$B:$B,0),3)</f>
        <v>#N/A</v>
      </c>
      <c r="Y93" s="8" t="str">
        <f t="array" ref="Y93">INDEX(Subject!$A:$I,MATCH(RANDBETWEEN(1,16),Subject!$B:$B,0),3)</f>
        <v>#N/A</v>
      </c>
      <c r="Z93" s="8" t="str">
        <f t="array" ref="Z93">INDEX(Subject!$A:$I,MATCH(RANDBETWEEN(1,16),Subject!$B:$B,0),3)</f>
        <v/>
      </c>
      <c r="AA93" s="8" t="str">
        <f t="array" ref="AA93">INDEX(Subject!$A:$I,MATCH(RANDBETWEEN(1,16),Subject!$B:$B,0),3)</f>
        <v>#N/A</v>
      </c>
      <c r="AB93" s="8" t="str">
        <f t="array" ref="AB93">INDEX(Subject!$A:$I,MATCH(RANDBETWEEN(1,16),Subject!$B:$B,0),3)</f>
        <v>#N/A</v>
      </c>
      <c r="AC93" s="8" t="str">
        <f t="array" ref="AC93">INDEX(Subject!$A:$I,MATCH(RANDBETWEEN(1,16),Subject!$B:$B,0),3)</f>
        <v>#N/A</v>
      </c>
      <c r="AD93" s="8" t="str">
        <f t="array" ref="AD93">INDEX(Subject!$A:$I,MATCH(RANDBETWEEN(1,16),Subject!$B:$B,0),3)</f>
        <v>#N/A</v>
      </c>
      <c r="AE93" s="8" t="str">
        <f t="array" ref="AE93">INDEX(Subject!$A:$I,MATCH(RANDBETWEEN(1,16),Subject!$B:$B,0),3)</f>
        <v>#N/A</v>
      </c>
      <c r="AF93" s="8" t="str">
        <f t="array" ref="AF93">INDEX(Subject!$A:$I,MATCH(RANDBETWEEN(1,16),Subject!$B:$B,0),3)</f>
        <v>#N/A</v>
      </c>
      <c r="AG93" s="8" t="str">
        <f t="array" ref="AG93">INDEX(Subject!$A:$I,MATCH(RANDBETWEEN(1,16),Subject!$B:$B,0),3)</f>
        <v>#N/A</v>
      </c>
      <c r="AH93" s="8" t="str">
        <f t="array" ref="AH93">INDEX(Subject!$A:$I,MATCH(RANDBETWEEN(1,16),Subject!$B:$B,0),3)</f>
        <v>#N/A</v>
      </c>
      <c r="AI93" s="8" t="str">
        <f t="array" ref="AI93">INDEX(Subject!$A:$I,MATCH(RANDBETWEEN(1,16),Subject!$B:$B,0),3)</f>
        <v>#N/A</v>
      </c>
      <c r="AJ93" s="8" t="str">
        <f t="array" ref="AJ93">INDEX(Subject!$A:$I,MATCH(RANDBETWEEN(1,16),Subject!$B:$B,0),3)</f>
        <v/>
      </c>
      <c r="AK93" s="8" t="str">
        <f t="array" ref="AK93">INDEX(Subject!$A:$I,MATCH(RANDBETWEEN(1,16),Subject!$B:$B,0),3)</f>
        <v>#N/A</v>
      </c>
      <c r="AL93" s="8" t="str">
        <f t="array" ref="AL93">INDEX(Subject!$A:$I,MATCH(RANDBETWEEN(1,16),Subject!$B:$B,0),3)</f>
        <v>#N/A</v>
      </c>
      <c r="AM93" s="18">
        <f t="shared" si="4"/>
        <v>45593.33333</v>
      </c>
      <c r="AN93" s="19">
        <f t="shared" ref="AN93:BZ93" si="93">$A93+C$1</f>
        <v>45593.35417</v>
      </c>
      <c r="AO93" s="19">
        <f t="shared" si="93"/>
        <v>45593.375</v>
      </c>
      <c r="AP93" s="19">
        <f t="shared" si="93"/>
        <v>45593.39583</v>
      </c>
      <c r="AQ93" s="19">
        <f t="shared" si="93"/>
        <v>45593.41667</v>
      </c>
      <c r="AR93" s="19">
        <f t="shared" si="93"/>
        <v>45593.4375</v>
      </c>
      <c r="AS93" s="19">
        <f t="shared" si="93"/>
        <v>45593.45833</v>
      </c>
      <c r="AT93" s="19">
        <f t="shared" si="93"/>
        <v>45593.47917</v>
      </c>
      <c r="AU93" s="19">
        <f t="shared" si="93"/>
        <v>45593.5</v>
      </c>
      <c r="AV93" s="19">
        <f t="shared" si="93"/>
        <v>45593.52083</v>
      </c>
      <c r="AW93" s="19">
        <f t="shared" si="93"/>
        <v>45593.54167</v>
      </c>
      <c r="AX93" s="19">
        <f t="shared" si="93"/>
        <v>45593.5625</v>
      </c>
      <c r="AY93" s="19">
        <f t="shared" si="93"/>
        <v>45593.58333</v>
      </c>
      <c r="AZ93" s="19">
        <f t="shared" si="93"/>
        <v>45593.60417</v>
      </c>
      <c r="BA93" s="19">
        <f t="shared" si="93"/>
        <v>45593.625</v>
      </c>
      <c r="BB93" s="19">
        <f t="shared" si="93"/>
        <v>45593.64583</v>
      </c>
      <c r="BC93" s="19">
        <f t="shared" si="93"/>
        <v>45593.66667</v>
      </c>
      <c r="BD93" s="19">
        <f t="shared" si="93"/>
        <v>45593.6875</v>
      </c>
      <c r="BE93" s="19">
        <f t="shared" si="93"/>
        <v>45593.70833</v>
      </c>
      <c r="BF93" s="19">
        <f t="shared" si="93"/>
        <v>45593.72917</v>
      </c>
      <c r="BG93" s="19">
        <f t="shared" si="93"/>
        <v>45593.75</v>
      </c>
      <c r="BH93" s="19">
        <f t="shared" si="93"/>
        <v>45593.77083</v>
      </c>
      <c r="BI93" s="19">
        <f t="shared" si="93"/>
        <v>45593.79167</v>
      </c>
      <c r="BJ93" s="19">
        <f t="shared" si="93"/>
        <v>45593.8125</v>
      </c>
      <c r="BK93" s="19">
        <f t="shared" si="93"/>
        <v>45593.83333</v>
      </c>
      <c r="BL93" s="19">
        <f t="shared" si="93"/>
        <v>45593.85417</v>
      </c>
      <c r="BM93" s="19">
        <f t="shared" si="93"/>
        <v>45593.875</v>
      </c>
      <c r="BN93" s="19">
        <f t="shared" si="93"/>
        <v>45593.89583</v>
      </c>
      <c r="BO93" s="19">
        <f t="shared" si="93"/>
        <v>45593.91667</v>
      </c>
      <c r="BP93" s="19">
        <f t="shared" si="93"/>
        <v>45593.9375</v>
      </c>
      <c r="BQ93" s="19">
        <f t="shared" si="93"/>
        <v>45593.95833</v>
      </c>
      <c r="BR93" s="19">
        <f t="shared" si="93"/>
        <v>45593.97917</v>
      </c>
      <c r="BS93" s="19">
        <f t="shared" si="93"/>
        <v>45594</v>
      </c>
      <c r="BT93" s="19">
        <f t="shared" si="93"/>
        <v>45594.02083</v>
      </c>
      <c r="BU93" s="19">
        <f t="shared" si="93"/>
        <v>45594.04167</v>
      </c>
      <c r="BV93" s="19">
        <f t="shared" si="93"/>
        <v>45594.0625</v>
      </c>
      <c r="BW93" s="19">
        <f t="shared" si="93"/>
        <v>45594.08333</v>
      </c>
      <c r="BX93" s="19">
        <f t="shared" si="93"/>
        <v>45593</v>
      </c>
      <c r="BY93" s="19">
        <f t="shared" si="93"/>
        <v>45593</v>
      </c>
      <c r="BZ93" s="19">
        <f t="shared" si="93"/>
        <v>45593</v>
      </c>
    </row>
    <row r="94" ht="14.25" customHeight="1">
      <c r="A94" s="17">
        <v>45594.0</v>
      </c>
      <c r="B94" s="2" t="str">
        <f t="array" ref="B94">IF(NOW()&gt;AM94,"",IF(AND((WEEKDAY($A94)+$B$2)&gt;1,((WEEKDAY($A94)+$T$2)&lt;7),(WEEKDAY($A94)&lt;&gt;1)),"work",(INDEX(Subject!$A:$I,MATCH(RANDBETWEEN(1,(MAX(Subject!$B:$B))),Subject!$B:$B,0),3))))</f>
        <v/>
      </c>
      <c r="C94" s="2" t="str">
        <f t="array" ref="C94">IF(NOW()&gt;AN94,"",IF(AND((WEEKDAY($A94)+$B$2)&gt;1,((WEEKDAY($A94)+$T$2)&lt;7),(WEEKDAY($A94)&lt;&gt;1)),"work",(INDEX(Subject!$A:$I,MATCH(RANDBETWEEN(1,(MAX(Subject!$B:$B))),Subject!$B:$B,0),3))))</f>
        <v/>
      </c>
      <c r="D94" s="2" t="str">
        <f t="array" ref="D94">IF(NOW()&gt;AO94,"",IF(AND((WEEKDAY($A94)+$B$2)&gt;1,((WEEKDAY($A94)+$T$2)&lt;7),(WEEKDAY($A94)&lt;&gt;1)),"work",(INDEX(Subject!$A:$I,MATCH(RANDBETWEEN(1,(MAX(Subject!$B:$B))),Subject!$B:$B,0),3))))</f>
        <v/>
      </c>
      <c r="E94" s="2" t="str">
        <f t="array" ref="E94">IF(NOW()&gt;AP94,"",IF(AND((WEEKDAY($A94)+$B$2)&gt;1,((WEEKDAY($A94)+$T$2)&lt;7),(WEEKDAY($A94)&lt;&gt;1)),"work",(INDEX(Subject!$A:$I,MATCH(RANDBETWEEN(1,(MAX(Subject!$B:$B))),Subject!$B:$B,0),3))))</f>
        <v/>
      </c>
      <c r="F94" s="2" t="str">
        <f t="array" ref="F94">IF(NOW()&gt;AQ94,"",IF(AND((WEEKDAY($A94)+$B$2)&gt;1,((WEEKDAY($A94)+$T$2)&lt;7),(WEEKDAY($A94)&lt;&gt;1)),"work",(INDEX(Subject!$A:$I,MATCH(RANDBETWEEN(1,(MAX(Subject!$B:$B))),Subject!$B:$B,0),3))))</f>
        <v/>
      </c>
      <c r="G94" s="2" t="str">
        <f t="array" ref="G94">IF(NOW()&gt;AR94,"",IF(AND((WEEKDAY($A94)+$B$2)&gt;1,((WEEKDAY($A94)+$T$2)&lt;7),(WEEKDAY($A94)&lt;&gt;1)),"work",(INDEX(Subject!$A:$I,MATCH(RANDBETWEEN(1,(MAX(Subject!$B:$B))),Subject!$B:$B,0),3))))</f>
        <v/>
      </c>
      <c r="H94" s="2" t="str">
        <f t="array" ref="H94">IF(NOW()&gt;AS94,"",IF(AND((WEEKDAY($A94)+$B$2)&gt;1,((WEEKDAY($A94)+$T$2)&lt;7),(WEEKDAY($A94)&lt;&gt;1)),"work",(INDEX(Subject!$A:$I,MATCH(RANDBETWEEN(1,(MAX(Subject!$B:$B))),Subject!$B:$B,0),3))))</f>
        <v/>
      </c>
      <c r="I94" s="2" t="str">
        <f t="array" ref="I94">IF(NOW()&gt;AT94,"",IF(AND((WEEKDAY($A94)+$B$2)&gt;1,((WEEKDAY($A94)+$T$2)&lt;7),(WEEKDAY($A94)&lt;&gt;1)),"work",(INDEX(Subject!$A:$I,MATCH(RANDBETWEEN(1,(MAX(Subject!$B:$B))),Subject!$B:$B,0),3))))</f>
        <v/>
      </c>
      <c r="J94" s="2" t="str">
        <f t="array" ref="J94">IF(NOW()&gt;AU94,"",IF(AND((WEEKDAY($A94)+$B$2)&gt;1,((WEEKDAY($A94)+$T$2)&lt;7),(WEEKDAY($A94)&lt;&gt;1)),"work",(INDEX(Subject!$A:$I,MATCH(RANDBETWEEN(1,(MAX(Subject!$B:$B))),Subject!$B:$B,0),3))))</f>
        <v/>
      </c>
      <c r="K94" s="2" t="str">
        <f t="array" ref="K94">IF(NOW()&gt;AV94,"",IF(AND((WEEKDAY($A94)+$B$2)&gt;1,((WEEKDAY($A94)+$T$2)&lt;7),(WEEKDAY($A94)&lt;&gt;1)),"work",(INDEX(Subject!$A:$I,MATCH(RANDBETWEEN(1,(MAX(Subject!$B:$B))),Subject!$B:$B,0),3))))</f>
        <v/>
      </c>
      <c r="L94" s="2" t="str">
        <f t="array" ref="L94">IF(NOW()&gt;AW94,"",IF(AND((WEEKDAY($A94)+$B$2)&gt;1,((WEEKDAY($A94)+$T$2)&lt;7),(WEEKDAY($A94)&lt;&gt;1)),"work",(INDEX(Subject!$A:$I,MATCH(RANDBETWEEN(1,(MAX(Subject!$B:$B))),Subject!$B:$B,0),3))))</f>
        <v/>
      </c>
      <c r="M94" s="2" t="str">
        <f t="array" ref="M94">IF(NOW()&gt;AX94,"",IF(AND((WEEKDAY($A94)+$B$2)&gt;1,((WEEKDAY($A94)+$T$2)&lt;7),(WEEKDAY($A94)&lt;&gt;1)),"work",(INDEX(Subject!$A:$I,MATCH(RANDBETWEEN(1,(MAX(Subject!$B:$B))),Subject!$B:$B,0),3))))</f>
        <v/>
      </c>
      <c r="N94" s="2" t="str">
        <f t="array" ref="N94">IF(NOW()&gt;AY94,"",IF(AND((WEEKDAY($A94)+$B$2)&gt;1,((WEEKDAY($A94)+$T$2)&lt;7),(WEEKDAY($A94)&lt;&gt;1)),"work",(INDEX(Subject!$A:$I,MATCH(RANDBETWEEN(1,(MAX(Subject!$B:$B))),Subject!$B:$B,0),3))))</f>
        <v/>
      </c>
      <c r="O94" s="2" t="str">
        <f t="array" ref="O94">IF(NOW()&gt;AZ94,"",IF(AND((WEEKDAY($A94)+$B$2)&gt;1,((WEEKDAY($A94)+$T$2)&lt;7),(WEEKDAY($A94)&lt;&gt;1)),"work",(INDEX(Subject!$A:$I,MATCH(RANDBETWEEN(1,(MAX(Subject!$B:$B))),Subject!$B:$B,0),3))))</f>
        <v/>
      </c>
      <c r="P94" s="2" t="str">
        <f t="array" ref="P94">IF(NOW()&gt;BA94,"",IF(AND((WEEKDAY($A94)+$B$2)&gt;1,((WEEKDAY($A94)+$T$2)&lt;7),(WEEKDAY($A94)&lt;&gt;1)),"work",(INDEX(Subject!$A:$I,MATCH(RANDBETWEEN(1,(MAX(Subject!$B:$B))),Subject!$B:$B,0),3))))</f>
        <v/>
      </c>
      <c r="Q94" s="2" t="str">
        <f t="array" ref="Q94">IF(NOW()&gt;BB94,"",IF(AND((WEEKDAY($A94)+$B$2)&gt;1,((WEEKDAY($A94)+$T$2)&lt;7),(WEEKDAY($A94)&lt;&gt;1)),"work",(INDEX(Subject!$A:$I,MATCH(RANDBETWEEN(1,(MAX(Subject!$B:$B))),Subject!$B:$B,0),3))))</f>
        <v/>
      </c>
      <c r="R94" s="2" t="str">
        <f t="array" ref="R94">IF(NOW()&gt;BC94,"",IF(AND((WEEKDAY($A94)+$B$2)&gt;1,((WEEKDAY($A94)+$T$2)&lt;7),(WEEKDAY($A94)&lt;&gt;1)),"work",(INDEX(Subject!$A:$I,MATCH(RANDBETWEEN(1,(MAX(Subject!$B:$B))),Subject!$B:$B,0),3))))</f>
        <v/>
      </c>
      <c r="S94" s="2" t="str">
        <f t="array" ref="S94">IF(NOW()&gt;BD94,"",IF(AND((WEEKDAY($A94)+$B$2)&gt;1,((WEEKDAY($A94)+$T$2)&lt;7),(WEEKDAY($A94)&lt;&gt;1)),"work",(INDEX(Subject!$A:$I,MATCH(RANDBETWEEN(1,(MAX(Subject!$B:$B))),Subject!$B:$B,0),3))))</f>
        <v/>
      </c>
      <c r="T94" s="2" t="str">
        <f t="array" ref="T94">IF(NOW()&gt;BE94,"",IF(AND((WEEKDAY($A94)+$B$2)&gt;1,((WEEKDAY($A94)+$T$2)&lt;7),(WEEKDAY($A94)&lt;&gt;1)),"work",(INDEX(Subject!$A:$I,MATCH(RANDBETWEEN(1,(MAX(Subject!$B:$B))),Subject!$B:$B,0),3))))</f>
        <v/>
      </c>
      <c r="U94" s="8" t="str">
        <f t="array" ref="U94">INDEX(Subject!$A:$I,MATCH(RANDBETWEEN(1,16),Subject!$B:$B,0),3)</f>
        <v>#N/A</v>
      </c>
      <c r="V94" s="8" t="str">
        <f t="array" ref="V94">INDEX(Subject!$A:$I,MATCH(RANDBETWEEN(1,16),Subject!$B:$B,0),3)</f>
        <v>#N/A</v>
      </c>
      <c r="W94" s="8" t="str">
        <f t="array" ref="W94">INDEX(Subject!$A:$I,MATCH(RANDBETWEEN(1,16),Subject!$B:$B,0),3)</f>
        <v>#N/A</v>
      </c>
      <c r="X94" s="8" t="str">
        <f t="array" ref="X94">INDEX(Subject!$A:$I,MATCH(RANDBETWEEN(1,16),Subject!$B:$B,0),3)</f>
        <v/>
      </c>
      <c r="Y94" s="8" t="str">
        <f t="array" ref="Y94">INDEX(Subject!$A:$I,MATCH(RANDBETWEEN(1,16),Subject!$B:$B,0),3)</f>
        <v>#N/A</v>
      </c>
      <c r="Z94" s="8" t="str">
        <f t="array" ref="Z94">INDEX(Subject!$A:$I,MATCH(RANDBETWEEN(1,16),Subject!$B:$B,0),3)</f>
        <v>#N/A</v>
      </c>
      <c r="AA94" s="8" t="str">
        <f t="array" ref="AA94">INDEX(Subject!$A:$I,MATCH(RANDBETWEEN(1,16),Subject!$B:$B,0),3)</f>
        <v>#N/A</v>
      </c>
      <c r="AB94" s="8" t="str">
        <f t="array" ref="AB94">INDEX(Subject!$A:$I,MATCH(RANDBETWEEN(1,16),Subject!$B:$B,0),3)</f>
        <v>#N/A</v>
      </c>
      <c r="AC94" s="8" t="str">
        <f t="array" ref="AC94">INDEX(Subject!$A:$I,MATCH(RANDBETWEEN(1,16),Subject!$B:$B,0),3)</f>
        <v>#N/A</v>
      </c>
      <c r="AD94" s="8" t="str">
        <f t="array" ref="AD94">INDEX(Subject!$A:$I,MATCH(RANDBETWEEN(1,16),Subject!$B:$B,0),3)</f>
        <v>#N/A</v>
      </c>
      <c r="AE94" s="8" t="str">
        <f t="array" ref="AE94">INDEX(Subject!$A:$I,MATCH(RANDBETWEEN(1,16),Subject!$B:$B,0),3)</f>
        <v>#N/A</v>
      </c>
      <c r="AF94" s="8" t="str">
        <f t="array" ref="AF94">INDEX(Subject!$A:$I,MATCH(RANDBETWEEN(1,16),Subject!$B:$B,0),3)</f>
        <v>#N/A</v>
      </c>
      <c r="AG94" s="8" t="str">
        <f t="array" ref="AG94">INDEX(Subject!$A:$I,MATCH(RANDBETWEEN(1,16),Subject!$B:$B,0),3)</f>
        <v>#N/A</v>
      </c>
      <c r="AH94" s="8" t="str">
        <f t="array" ref="AH94">INDEX(Subject!$A:$I,MATCH(RANDBETWEEN(1,16),Subject!$B:$B,0),3)</f>
        <v>#N/A</v>
      </c>
      <c r="AI94" s="8" t="str">
        <f t="array" ref="AI94">INDEX(Subject!$A:$I,MATCH(RANDBETWEEN(1,16),Subject!$B:$B,0),3)</f>
        <v>#N/A</v>
      </c>
      <c r="AJ94" s="8" t="str">
        <f t="array" ref="AJ94">INDEX(Subject!$A:$I,MATCH(RANDBETWEEN(1,16),Subject!$B:$B,0),3)</f>
        <v>#N/A</v>
      </c>
      <c r="AK94" s="8" t="str">
        <f t="array" ref="AK94">INDEX(Subject!$A:$I,MATCH(RANDBETWEEN(1,16),Subject!$B:$B,0),3)</f>
        <v>#N/A</v>
      </c>
      <c r="AL94" s="8" t="str">
        <f t="array" ref="AL94">INDEX(Subject!$A:$I,MATCH(RANDBETWEEN(1,16),Subject!$B:$B,0),3)</f>
        <v>#N/A</v>
      </c>
      <c r="AM94" s="18">
        <f t="shared" si="4"/>
        <v>45594.33333</v>
      </c>
      <c r="AN94" s="19">
        <f t="shared" ref="AN94:BZ94" si="94">$A94+C$1</f>
        <v>45594.35417</v>
      </c>
      <c r="AO94" s="19">
        <f t="shared" si="94"/>
        <v>45594.375</v>
      </c>
      <c r="AP94" s="19">
        <f t="shared" si="94"/>
        <v>45594.39583</v>
      </c>
      <c r="AQ94" s="19">
        <f t="shared" si="94"/>
        <v>45594.41667</v>
      </c>
      <c r="AR94" s="19">
        <f t="shared" si="94"/>
        <v>45594.4375</v>
      </c>
      <c r="AS94" s="19">
        <f t="shared" si="94"/>
        <v>45594.45833</v>
      </c>
      <c r="AT94" s="19">
        <f t="shared" si="94"/>
        <v>45594.47917</v>
      </c>
      <c r="AU94" s="19">
        <f t="shared" si="94"/>
        <v>45594.5</v>
      </c>
      <c r="AV94" s="19">
        <f t="shared" si="94"/>
        <v>45594.52083</v>
      </c>
      <c r="AW94" s="19">
        <f t="shared" si="94"/>
        <v>45594.54167</v>
      </c>
      <c r="AX94" s="19">
        <f t="shared" si="94"/>
        <v>45594.5625</v>
      </c>
      <c r="AY94" s="19">
        <f t="shared" si="94"/>
        <v>45594.58333</v>
      </c>
      <c r="AZ94" s="19">
        <f t="shared" si="94"/>
        <v>45594.60417</v>
      </c>
      <c r="BA94" s="19">
        <f t="shared" si="94"/>
        <v>45594.625</v>
      </c>
      <c r="BB94" s="19">
        <f t="shared" si="94"/>
        <v>45594.64583</v>
      </c>
      <c r="BC94" s="19">
        <f t="shared" si="94"/>
        <v>45594.66667</v>
      </c>
      <c r="BD94" s="19">
        <f t="shared" si="94"/>
        <v>45594.6875</v>
      </c>
      <c r="BE94" s="19">
        <f t="shared" si="94"/>
        <v>45594.70833</v>
      </c>
      <c r="BF94" s="19">
        <f t="shared" si="94"/>
        <v>45594.72917</v>
      </c>
      <c r="BG94" s="19">
        <f t="shared" si="94"/>
        <v>45594.75</v>
      </c>
      <c r="BH94" s="19">
        <f t="shared" si="94"/>
        <v>45594.77083</v>
      </c>
      <c r="BI94" s="19">
        <f t="shared" si="94"/>
        <v>45594.79167</v>
      </c>
      <c r="BJ94" s="19">
        <f t="shared" si="94"/>
        <v>45594.8125</v>
      </c>
      <c r="BK94" s="19">
        <f t="shared" si="94"/>
        <v>45594.83333</v>
      </c>
      <c r="BL94" s="19">
        <f t="shared" si="94"/>
        <v>45594.85417</v>
      </c>
      <c r="BM94" s="19">
        <f t="shared" si="94"/>
        <v>45594.875</v>
      </c>
      <c r="BN94" s="19">
        <f t="shared" si="94"/>
        <v>45594.89583</v>
      </c>
      <c r="BO94" s="19">
        <f t="shared" si="94"/>
        <v>45594.91667</v>
      </c>
      <c r="BP94" s="19">
        <f t="shared" si="94"/>
        <v>45594.9375</v>
      </c>
      <c r="BQ94" s="19">
        <f t="shared" si="94"/>
        <v>45594.95833</v>
      </c>
      <c r="BR94" s="19">
        <f t="shared" si="94"/>
        <v>45594.97917</v>
      </c>
      <c r="BS94" s="19">
        <f t="shared" si="94"/>
        <v>45595</v>
      </c>
      <c r="BT94" s="19">
        <f t="shared" si="94"/>
        <v>45595.02083</v>
      </c>
      <c r="BU94" s="19">
        <f t="shared" si="94"/>
        <v>45595.04167</v>
      </c>
      <c r="BV94" s="19">
        <f t="shared" si="94"/>
        <v>45595.0625</v>
      </c>
      <c r="BW94" s="19">
        <f t="shared" si="94"/>
        <v>45595.08333</v>
      </c>
      <c r="BX94" s="19">
        <f t="shared" si="94"/>
        <v>45594</v>
      </c>
      <c r="BY94" s="19">
        <f t="shared" si="94"/>
        <v>45594</v>
      </c>
      <c r="BZ94" s="19">
        <f t="shared" si="94"/>
        <v>45594</v>
      </c>
    </row>
    <row r="95" ht="14.25" customHeight="1">
      <c r="A95" s="17">
        <v>45595.0</v>
      </c>
      <c r="B95" s="2" t="str">
        <f t="array" ref="B95">IF(NOW()&gt;AM95,"",IF(AND((WEEKDAY($A95)+$B$2)&gt;1,((WEEKDAY($A95)+$T$2)&lt;7),(WEEKDAY($A95)&lt;&gt;1)),"work",(INDEX(Subject!$A:$I,MATCH(RANDBETWEEN(1,(MAX(Subject!$B:$B))),Subject!$B:$B,0),3))))</f>
        <v/>
      </c>
      <c r="C95" s="2" t="str">
        <f t="array" ref="C95">IF(NOW()&gt;AN95,"",IF(AND((WEEKDAY($A95)+$B$2)&gt;1,((WEEKDAY($A95)+$T$2)&lt;7),(WEEKDAY($A95)&lt;&gt;1)),"work",(INDEX(Subject!$A:$I,MATCH(RANDBETWEEN(1,(MAX(Subject!$B:$B))),Subject!$B:$B,0),3))))</f>
        <v/>
      </c>
      <c r="D95" s="2" t="str">
        <f t="array" ref="D95">IF(NOW()&gt;AO95,"",IF(AND((WEEKDAY($A95)+$B$2)&gt;1,((WEEKDAY($A95)+$T$2)&lt;7),(WEEKDAY($A95)&lt;&gt;1)),"work",(INDEX(Subject!$A:$I,MATCH(RANDBETWEEN(1,(MAX(Subject!$B:$B))),Subject!$B:$B,0),3))))</f>
        <v/>
      </c>
      <c r="E95" s="2" t="str">
        <f t="array" ref="E95">IF(NOW()&gt;AP95,"",IF(AND((WEEKDAY($A95)+$B$2)&gt;1,((WEEKDAY($A95)+$T$2)&lt;7),(WEEKDAY($A95)&lt;&gt;1)),"work",(INDEX(Subject!$A:$I,MATCH(RANDBETWEEN(1,(MAX(Subject!$B:$B))),Subject!$B:$B,0),3))))</f>
        <v/>
      </c>
      <c r="F95" s="2" t="str">
        <f t="array" ref="F95">IF(NOW()&gt;AQ95,"",IF(AND((WEEKDAY($A95)+$B$2)&gt;1,((WEEKDAY($A95)+$T$2)&lt;7),(WEEKDAY($A95)&lt;&gt;1)),"work",(INDEX(Subject!$A:$I,MATCH(RANDBETWEEN(1,(MAX(Subject!$B:$B))),Subject!$B:$B,0),3))))</f>
        <v/>
      </c>
      <c r="G95" s="2" t="str">
        <f t="array" ref="G95">IF(NOW()&gt;AR95,"",IF(AND((WEEKDAY($A95)+$B$2)&gt;1,((WEEKDAY($A95)+$T$2)&lt;7),(WEEKDAY($A95)&lt;&gt;1)),"work",(INDEX(Subject!$A:$I,MATCH(RANDBETWEEN(1,(MAX(Subject!$B:$B))),Subject!$B:$B,0),3))))</f>
        <v/>
      </c>
      <c r="H95" s="2" t="str">
        <f t="array" ref="H95">IF(NOW()&gt;AS95,"",IF(AND((WEEKDAY($A95)+$B$2)&gt;1,((WEEKDAY($A95)+$T$2)&lt;7),(WEEKDAY($A95)&lt;&gt;1)),"work",(INDEX(Subject!$A:$I,MATCH(RANDBETWEEN(1,(MAX(Subject!$B:$B))),Subject!$B:$B,0),3))))</f>
        <v/>
      </c>
      <c r="I95" s="2" t="str">
        <f t="array" ref="I95">IF(NOW()&gt;AT95,"",IF(AND((WEEKDAY($A95)+$B$2)&gt;1,((WEEKDAY($A95)+$T$2)&lt;7),(WEEKDAY($A95)&lt;&gt;1)),"work",(INDEX(Subject!$A:$I,MATCH(RANDBETWEEN(1,(MAX(Subject!$B:$B))),Subject!$B:$B,0),3))))</f>
        <v/>
      </c>
      <c r="J95" s="2" t="str">
        <f t="array" ref="J95">IF(NOW()&gt;AU95,"",IF(AND((WEEKDAY($A95)+$B$2)&gt;1,((WEEKDAY($A95)+$T$2)&lt;7),(WEEKDAY($A95)&lt;&gt;1)),"work",(INDEX(Subject!$A:$I,MATCH(RANDBETWEEN(1,(MAX(Subject!$B:$B))),Subject!$B:$B,0),3))))</f>
        <v/>
      </c>
      <c r="K95" s="2" t="str">
        <f t="array" ref="K95">IF(NOW()&gt;AV95,"",IF(AND((WEEKDAY($A95)+$B$2)&gt;1,((WEEKDAY($A95)+$T$2)&lt;7),(WEEKDAY($A95)&lt;&gt;1)),"work",(INDEX(Subject!$A:$I,MATCH(RANDBETWEEN(1,(MAX(Subject!$B:$B))),Subject!$B:$B,0),3))))</f>
        <v/>
      </c>
      <c r="L95" s="2" t="str">
        <f t="array" ref="L95">IF(NOW()&gt;AW95,"",IF(AND((WEEKDAY($A95)+$B$2)&gt;1,((WEEKDAY($A95)+$T$2)&lt;7),(WEEKDAY($A95)&lt;&gt;1)),"work",(INDEX(Subject!$A:$I,MATCH(RANDBETWEEN(1,(MAX(Subject!$B:$B))),Subject!$B:$B,0),3))))</f>
        <v/>
      </c>
      <c r="M95" s="2" t="str">
        <f t="array" ref="M95">IF(NOW()&gt;AX95,"",IF(AND((WEEKDAY($A95)+$B$2)&gt;1,((WEEKDAY($A95)+$T$2)&lt;7),(WEEKDAY($A95)&lt;&gt;1)),"work",(INDEX(Subject!$A:$I,MATCH(RANDBETWEEN(1,(MAX(Subject!$B:$B))),Subject!$B:$B,0),3))))</f>
        <v/>
      </c>
      <c r="N95" s="2" t="str">
        <f t="array" ref="N95">IF(NOW()&gt;AY95,"",IF(AND((WEEKDAY($A95)+$B$2)&gt;1,((WEEKDAY($A95)+$T$2)&lt;7),(WEEKDAY($A95)&lt;&gt;1)),"work",(INDEX(Subject!$A:$I,MATCH(RANDBETWEEN(1,(MAX(Subject!$B:$B))),Subject!$B:$B,0),3))))</f>
        <v/>
      </c>
      <c r="O95" s="2" t="str">
        <f t="array" ref="O95">IF(NOW()&gt;AZ95,"",IF(AND((WEEKDAY($A95)+$B$2)&gt;1,((WEEKDAY($A95)+$T$2)&lt;7),(WEEKDAY($A95)&lt;&gt;1)),"work",(INDEX(Subject!$A:$I,MATCH(RANDBETWEEN(1,(MAX(Subject!$B:$B))),Subject!$B:$B,0),3))))</f>
        <v/>
      </c>
      <c r="P95" s="2" t="str">
        <f t="array" ref="P95">IF(NOW()&gt;BA95,"",IF(AND((WEEKDAY($A95)+$B$2)&gt;1,((WEEKDAY($A95)+$T$2)&lt;7),(WEEKDAY($A95)&lt;&gt;1)),"work",(INDEX(Subject!$A:$I,MATCH(RANDBETWEEN(1,(MAX(Subject!$B:$B))),Subject!$B:$B,0),3))))</f>
        <v/>
      </c>
      <c r="Q95" s="2" t="str">
        <f t="array" ref="Q95">IF(NOW()&gt;BB95,"",IF(AND((WEEKDAY($A95)+$B$2)&gt;1,((WEEKDAY($A95)+$T$2)&lt;7),(WEEKDAY($A95)&lt;&gt;1)),"work",(INDEX(Subject!$A:$I,MATCH(RANDBETWEEN(1,(MAX(Subject!$B:$B))),Subject!$B:$B,0),3))))</f>
        <v/>
      </c>
      <c r="R95" s="2" t="str">
        <f t="array" ref="R95">IF(NOW()&gt;BC95,"",IF(AND((WEEKDAY($A95)+$B$2)&gt;1,((WEEKDAY($A95)+$T$2)&lt;7),(WEEKDAY($A95)&lt;&gt;1)),"work",(INDEX(Subject!$A:$I,MATCH(RANDBETWEEN(1,(MAX(Subject!$B:$B))),Subject!$B:$B,0),3))))</f>
        <v/>
      </c>
      <c r="S95" s="2" t="str">
        <f t="array" ref="S95">IF(NOW()&gt;BD95,"",IF(AND((WEEKDAY($A95)+$B$2)&gt;1,((WEEKDAY($A95)+$T$2)&lt;7),(WEEKDAY($A95)&lt;&gt;1)),"work",(INDEX(Subject!$A:$I,MATCH(RANDBETWEEN(1,(MAX(Subject!$B:$B))),Subject!$B:$B,0),3))))</f>
        <v/>
      </c>
      <c r="T95" s="2" t="str">
        <f t="array" ref="T95">IF(NOW()&gt;BE95,"",IF(AND((WEEKDAY($A95)+$B$2)&gt;1,((WEEKDAY($A95)+$T$2)&lt;7),(WEEKDAY($A95)&lt;&gt;1)),"work",(INDEX(Subject!$A:$I,MATCH(RANDBETWEEN(1,(MAX(Subject!$B:$B))),Subject!$B:$B,0),3))))</f>
        <v/>
      </c>
      <c r="U95" s="8" t="str">
        <f t="array" ref="U95">INDEX(Subject!$A:$I,MATCH(RANDBETWEEN(1,16),Subject!$B:$B,0),3)</f>
        <v>#N/A</v>
      </c>
      <c r="V95" s="8" t="str">
        <f t="array" ref="V95">INDEX(Subject!$A:$I,MATCH(RANDBETWEEN(1,16),Subject!$B:$B,0),3)</f>
        <v>#N/A</v>
      </c>
      <c r="W95" s="8" t="str">
        <f t="array" ref="W95">INDEX(Subject!$A:$I,MATCH(RANDBETWEEN(1,16),Subject!$B:$B,0),3)</f>
        <v>#N/A</v>
      </c>
      <c r="X95" s="8" t="str">
        <f t="array" ref="X95">INDEX(Subject!$A:$I,MATCH(RANDBETWEEN(1,16),Subject!$B:$B,0),3)</f>
        <v>#N/A</v>
      </c>
      <c r="Y95" s="8" t="str">
        <f t="array" ref="Y95">INDEX(Subject!$A:$I,MATCH(RANDBETWEEN(1,16),Subject!$B:$B,0),3)</f>
        <v>#N/A</v>
      </c>
      <c r="Z95" s="8" t="str">
        <f t="array" ref="Z95">INDEX(Subject!$A:$I,MATCH(RANDBETWEEN(1,16),Subject!$B:$B,0),3)</f>
        <v>#N/A</v>
      </c>
      <c r="AA95" s="8" t="str">
        <f t="array" ref="AA95">INDEX(Subject!$A:$I,MATCH(RANDBETWEEN(1,16),Subject!$B:$B,0),3)</f>
        <v>#N/A</v>
      </c>
      <c r="AB95" s="8" t="str">
        <f t="array" ref="AB95">INDEX(Subject!$A:$I,MATCH(RANDBETWEEN(1,16),Subject!$B:$B,0),3)</f>
        <v>#N/A</v>
      </c>
      <c r="AC95" s="8" t="str">
        <f t="array" ref="AC95">INDEX(Subject!$A:$I,MATCH(RANDBETWEEN(1,16),Subject!$B:$B,0),3)</f>
        <v>#N/A</v>
      </c>
      <c r="AD95" s="8" t="str">
        <f t="array" ref="AD95">INDEX(Subject!$A:$I,MATCH(RANDBETWEEN(1,16),Subject!$B:$B,0),3)</f>
        <v>#N/A</v>
      </c>
      <c r="AE95" s="8" t="str">
        <f t="array" ref="AE95">INDEX(Subject!$A:$I,MATCH(RANDBETWEEN(1,16),Subject!$B:$B,0),3)</f>
        <v>#N/A</v>
      </c>
      <c r="AF95" s="8" t="str">
        <f t="array" ref="AF95">INDEX(Subject!$A:$I,MATCH(RANDBETWEEN(1,16),Subject!$B:$B,0),3)</f>
        <v>#N/A</v>
      </c>
      <c r="AG95" s="8" t="str">
        <f t="array" ref="AG95">INDEX(Subject!$A:$I,MATCH(RANDBETWEEN(1,16),Subject!$B:$B,0),3)</f>
        <v>#N/A</v>
      </c>
      <c r="AH95" s="8" t="str">
        <f t="array" ref="AH95">INDEX(Subject!$A:$I,MATCH(RANDBETWEEN(1,16),Subject!$B:$B,0),3)</f>
        <v>#N/A</v>
      </c>
      <c r="AI95" s="8" t="str">
        <f t="array" ref="AI95">INDEX(Subject!$A:$I,MATCH(RANDBETWEEN(1,16),Subject!$B:$B,0),3)</f>
        <v>#N/A</v>
      </c>
      <c r="AJ95" s="8" t="str">
        <f t="array" ref="AJ95">INDEX(Subject!$A:$I,MATCH(RANDBETWEEN(1,16),Subject!$B:$B,0),3)</f>
        <v/>
      </c>
      <c r="AK95" s="8" t="str">
        <f t="array" ref="AK95">INDEX(Subject!$A:$I,MATCH(RANDBETWEEN(1,16),Subject!$B:$B,0),3)</f>
        <v>#N/A</v>
      </c>
      <c r="AL95" s="8" t="str">
        <f t="array" ref="AL95">INDEX(Subject!$A:$I,MATCH(RANDBETWEEN(1,16),Subject!$B:$B,0),3)</f>
        <v>#N/A</v>
      </c>
      <c r="AM95" s="18">
        <f t="shared" si="4"/>
        <v>45595.33333</v>
      </c>
      <c r="AN95" s="19">
        <f t="shared" ref="AN95:BZ95" si="95">$A95+C$1</f>
        <v>45595.35417</v>
      </c>
      <c r="AO95" s="19">
        <f t="shared" si="95"/>
        <v>45595.375</v>
      </c>
      <c r="AP95" s="19">
        <f t="shared" si="95"/>
        <v>45595.39583</v>
      </c>
      <c r="AQ95" s="19">
        <f t="shared" si="95"/>
        <v>45595.41667</v>
      </c>
      <c r="AR95" s="19">
        <f t="shared" si="95"/>
        <v>45595.4375</v>
      </c>
      <c r="AS95" s="19">
        <f t="shared" si="95"/>
        <v>45595.45833</v>
      </c>
      <c r="AT95" s="19">
        <f t="shared" si="95"/>
        <v>45595.47917</v>
      </c>
      <c r="AU95" s="19">
        <f t="shared" si="95"/>
        <v>45595.5</v>
      </c>
      <c r="AV95" s="19">
        <f t="shared" si="95"/>
        <v>45595.52083</v>
      </c>
      <c r="AW95" s="19">
        <f t="shared" si="95"/>
        <v>45595.54167</v>
      </c>
      <c r="AX95" s="19">
        <f t="shared" si="95"/>
        <v>45595.5625</v>
      </c>
      <c r="AY95" s="19">
        <f t="shared" si="95"/>
        <v>45595.58333</v>
      </c>
      <c r="AZ95" s="19">
        <f t="shared" si="95"/>
        <v>45595.60417</v>
      </c>
      <c r="BA95" s="19">
        <f t="shared" si="95"/>
        <v>45595.625</v>
      </c>
      <c r="BB95" s="19">
        <f t="shared" si="95"/>
        <v>45595.64583</v>
      </c>
      <c r="BC95" s="19">
        <f t="shared" si="95"/>
        <v>45595.66667</v>
      </c>
      <c r="BD95" s="19">
        <f t="shared" si="95"/>
        <v>45595.6875</v>
      </c>
      <c r="BE95" s="19">
        <f t="shared" si="95"/>
        <v>45595.70833</v>
      </c>
      <c r="BF95" s="19">
        <f t="shared" si="95"/>
        <v>45595.72917</v>
      </c>
      <c r="BG95" s="19">
        <f t="shared" si="95"/>
        <v>45595.75</v>
      </c>
      <c r="BH95" s="19">
        <f t="shared" si="95"/>
        <v>45595.77083</v>
      </c>
      <c r="BI95" s="19">
        <f t="shared" si="95"/>
        <v>45595.79167</v>
      </c>
      <c r="BJ95" s="19">
        <f t="shared" si="95"/>
        <v>45595.8125</v>
      </c>
      <c r="BK95" s="19">
        <f t="shared" si="95"/>
        <v>45595.83333</v>
      </c>
      <c r="BL95" s="19">
        <f t="shared" si="95"/>
        <v>45595.85417</v>
      </c>
      <c r="BM95" s="19">
        <f t="shared" si="95"/>
        <v>45595.875</v>
      </c>
      <c r="BN95" s="19">
        <f t="shared" si="95"/>
        <v>45595.89583</v>
      </c>
      <c r="BO95" s="19">
        <f t="shared" si="95"/>
        <v>45595.91667</v>
      </c>
      <c r="BP95" s="19">
        <f t="shared" si="95"/>
        <v>45595.9375</v>
      </c>
      <c r="BQ95" s="19">
        <f t="shared" si="95"/>
        <v>45595.95833</v>
      </c>
      <c r="BR95" s="19">
        <f t="shared" si="95"/>
        <v>45595.97917</v>
      </c>
      <c r="BS95" s="19">
        <f t="shared" si="95"/>
        <v>45596</v>
      </c>
      <c r="BT95" s="19">
        <f t="shared" si="95"/>
        <v>45596.02083</v>
      </c>
      <c r="BU95" s="19">
        <f t="shared" si="95"/>
        <v>45596.04167</v>
      </c>
      <c r="BV95" s="19">
        <f t="shared" si="95"/>
        <v>45596.0625</v>
      </c>
      <c r="BW95" s="19">
        <f t="shared" si="95"/>
        <v>45596.08333</v>
      </c>
      <c r="BX95" s="19">
        <f t="shared" si="95"/>
        <v>45595</v>
      </c>
      <c r="BY95" s="19">
        <f t="shared" si="95"/>
        <v>45595</v>
      </c>
      <c r="BZ95" s="19">
        <f t="shared" si="95"/>
        <v>45595</v>
      </c>
    </row>
    <row r="96" ht="14.25" customHeight="1">
      <c r="A96" s="17">
        <v>45596.0</v>
      </c>
      <c r="B96" s="2" t="str">
        <f t="array" ref="B96">IF(NOW()&gt;AM96,"",IF(AND((WEEKDAY($A96)+$B$2)&gt;1,((WEEKDAY($A96)+$T$2)&lt;7),(WEEKDAY($A96)&lt;&gt;1)),"work",(INDEX(Subject!$A:$I,MATCH(RANDBETWEEN(1,(MAX(Subject!$B:$B))),Subject!$B:$B,0),3))))</f>
        <v/>
      </c>
      <c r="C96" s="2" t="str">
        <f t="array" ref="C96">IF(NOW()&gt;AN96,"",IF(AND((WEEKDAY($A96)+$B$2)&gt;1,((WEEKDAY($A96)+$T$2)&lt;7),(WEEKDAY($A96)&lt;&gt;1)),"work",(INDEX(Subject!$A:$I,MATCH(RANDBETWEEN(1,(MAX(Subject!$B:$B))),Subject!$B:$B,0),3))))</f>
        <v/>
      </c>
      <c r="D96" s="2" t="str">
        <f t="array" ref="D96">IF(NOW()&gt;AO96,"",IF(AND((WEEKDAY($A96)+$B$2)&gt;1,((WEEKDAY($A96)+$T$2)&lt;7),(WEEKDAY($A96)&lt;&gt;1)),"work",(INDEX(Subject!$A:$I,MATCH(RANDBETWEEN(1,(MAX(Subject!$B:$B))),Subject!$B:$B,0),3))))</f>
        <v/>
      </c>
      <c r="E96" s="2" t="str">
        <f t="array" ref="E96">IF(NOW()&gt;AP96,"",IF(AND((WEEKDAY($A96)+$B$2)&gt;1,((WEEKDAY($A96)+$T$2)&lt;7),(WEEKDAY($A96)&lt;&gt;1)),"work",(INDEX(Subject!$A:$I,MATCH(RANDBETWEEN(1,(MAX(Subject!$B:$B))),Subject!$B:$B,0),3))))</f>
        <v/>
      </c>
      <c r="F96" s="2" t="str">
        <f t="array" ref="F96">IF(NOW()&gt;AQ96,"",IF(AND((WEEKDAY($A96)+$B$2)&gt;1,((WEEKDAY($A96)+$T$2)&lt;7),(WEEKDAY($A96)&lt;&gt;1)),"work",(INDEX(Subject!$A:$I,MATCH(RANDBETWEEN(1,(MAX(Subject!$B:$B))),Subject!$B:$B,0),3))))</f>
        <v/>
      </c>
      <c r="G96" s="2" t="str">
        <f t="array" ref="G96">IF(NOW()&gt;AR96,"",IF(AND((WEEKDAY($A96)+$B$2)&gt;1,((WEEKDAY($A96)+$T$2)&lt;7),(WEEKDAY($A96)&lt;&gt;1)),"work",(INDEX(Subject!$A:$I,MATCH(RANDBETWEEN(1,(MAX(Subject!$B:$B))),Subject!$B:$B,0),3))))</f>
        <v/>
      </c>
      <c r="H96" s="2" t="str">
        <f t="array" ref="H96">IF(NOW()&gt;AS96,"",IF(AND((WEEKDAY($A96)+$B$2)&gt;1,((WEEKDAY($A96)+$T$2)&lt;7),(WEEKDAY($A96)&lt;&gt;1)),"work",(INDEX(Subject!$A:$I,MATCH(RANDBETWEEN(1,(MAX(Subject!$B:$B))),Subject!$B:$B,0),3))))</f>
        <v/>
      </c>
      <c r="I96" s="2" t="str">
        <f t="array" ref="I96">IF(NOW()&gt;AT96,"",IF(AND((WEEKDAY($A96)+$B$2)&gt;1,((WEEKDAY($A96)+$T$2)&lt;7),(WEEKDAY($A96)&lt;&gt;1)),"work",(INDEX(Subject!$A:$I,MATCH(RANDBETWEEN(1,(MAX(Subject!$B:$B))),Subject!$B:$B,0),3))))</f>
        <v/>
      </c>
      <c r="J96" s="2" t="str">
        <f t="array" ref="J96">IF(NOW()&gt;AU96,"",IF(AND((WEEKDAY($A96)+$B$2)&gt;1,((WEEKDAY($A96)+$T$2)&lt;7),(WEEKDAY($A96)&lt;&gt;1)),"work",(INDEX(Subject!$A:$I,MATCH(RANDBETWEEN(1,(MAX(Subject!$B:$B))),Subject!$B:$B,0),3))))</f>
        <v/>
      </c>
      <c r="K96" s="2" t="str">
        <f t="array" ref="K96">IF(NOW()&gt;AV96,"",IF(AND((WEEKDAY($A96)+$B$2)&gt;1,((WEEKDAY($A96)+$T$2)&lt;7),(WEEKDAY($A96)&lt;&gt;1)),"work",(INDEX(Subject!$A:$I,MATCH(RANDBETWEEN(1,(MAX(Subject!$B:$B))),Subject!$B:$B,0),3))))</f>
        <v/>
      </c>
      <c r="L96" s="2" t="str">
        <f t="array" ref="L96">IF(NOW()&gt;AW96,"",IF(AND((WEEKDAY($A96)+$B$2)&gt;1,((WEEKDAY($A96)+$T$2)&lt;7),(WEEKDAY($A96)&lt;&gt;1)),"work",(INDEX(Subject!$A:$I,MATCH(RANDBETWEEN(1,(MAX(Subject!$B:$B))),Subject!$B:$B,0),3))))</f>
        <v/>
      </c>
      <c r="M96" s="2" t="str">
        <f t="array" ref="M96">IF(NOW()&gt;AX96,"",IF(AND((WEEKDAY($A96)+$B$2)&gt;1,((WEEKDAY($A96)+$T$2)&lt;7),(WEEKDAY($A96)&lt;&gt;1)),"work",(INDEX(Subject!$A:$I,MATCH(RANDBETWEEN(1,(MAX(Subject!$B:$B))),Subject!$B:$B,0),3))))</f>
        <v/>
      </c>
      <c r="N96" s="2" t="str">
        <f t="array" ref="N96">IF(NOW()&gt;AY96,"",IF(AND((WEEKDAY($A96)+$B$2)&gt;1,((WEEKDAY($A96)+$T$2)&lt;7),(WEEKDAY($A96)&lt;&gt;1)),"work",(INDEX(Subject!$A:$I,MATCH(RANDBETWEEN(1,(MAX(Subject!$B:$B))),Subject!$B:$B,0),3))))</f>
        <v/>
      </c>
      <c r="O96" s="2" t="str">
        <f t="array" ref="O96">IF(NOW()&gt;AZ96,"",IF(AND((WEEKDAY($A96)+$B$2)&gt;1,((WEEKDAY($A96)+$T$2)&lt;7),(WEEKDAY($A96)&lt;&gt;1)),"work",(INDEX(Subject!$A:$I,MATCH(RANDBETWEEN(1,(MAX(Subject!$B:$B))),Subject!$B:$B,0),3))))</f>
        <v/>
      </c>
      <c r="P96" s="2" t="str">
        <f t="array" ref="P96">IF(NOW()&gt;BA96,"",IF(AND((WEEKDAY($A96)+$B$2)&gt;1,((WEEKDAY($A96)+$T$2)&lt;7),(WEEKDAY($A96)&lt;&gt;1)),"work",(INDEX(Subject!$A:$I,MATCH(RANDBETWEEN(1,(MAX(Subject!$B:$B))),Subject!$B:$B,0),3))))</f>
        <v/>
      </c>
      <c r="Q96" s="2" t="str">
        <f t="array" ref="Q96">IF(NOW()&gt;BB96,"",IF(AND((WEEKDAY($A96)+$B$2)&gt;1,((WEEKDAY($A96)+$T$2)&lt;7),(WEEKDAY($A96)&lt;&gt;1)),"work",(INDEX(Subject!$A:$I,MATCH(RANDBETWEEN(1,(MAX(Subject!$B:$B))),Subject!$B:$B,0),3))))</f>
        <v/>
      </c>
      <c r="R96" s="2" t="str">
        <f t="array" ref="R96">IF(NOW()&gt;BC96,"",IF(AND((WEEKDAY($A96)+$B$2)&gt;1,((WEEKDAY($A96)+$T$2)&lt;7),(WEEKDAY($A96)&lt;&gt;1)),"work",(INDEX(Subject!$A:$I,MATCH(RANDBETWEEN(1,(MAX(Subject!$B:$B))),Subject!$B:$B,0),3))))</f>
        <v/>
      </c>
      <c r="S96" s="2" t="str">
        <f t="array" ref="S96">IF(NOW()&gt;BD96,"",IF(AND((WEEKDAY($A96)+$B$2)&gt;1,((WEEKDAY($A96)+$T$2)&lt;7),(WEEKDAY($A96)&lt;&gt;1)),"work",(INDEX(Subject!$A:$I,MATCH(RANDBETWEEN(1,(MAX(Subject!$B:$B))),Subject!$B:$B,0),3))))</f>
        <v/>
      </c>
      <c r="T96" s="2" t="str">
        <f t="array" ref="T96">IF(NOW()&gt;BE96,"",IF(AND((WEEKDAY($A96)+$B$2)&gt;1,((WEEKDAY($A96)+$T$2)&lt;7),(WEEKDAY($A96)&lt;&gt;1)),"work",(INDEX(Subject!$A:$I,MATCH(RANDBETWEEN(1,(MAX(Subject!$B:$B))),Subject!$B:$B,0),3))))</f>
        <v/>
      </c>
      <c r="U96" s="8" t="str">
        <f t="array" ref="U96">INDEX(Subject!$A:$I,MATCH(RANDBETWEEN(1,16),Subject!$B:$B,0),3)</f>
        <v>#N/A</v>
      </c>
      <c r="V96" s="8" t="str">
        <f t="array" ref="V96">INDEX(Subject!$A:$I,MATCH(RANDBETWEEN(1,16),Subject!$B:$B,0),3)</f>
        <v>#N/A</v>
      </c>
      <c r="W96" s="8" t="str">
        <f t="array" ref="W96">INDEX(Subject!$A:$I,MATCH(RANDBETWEEN(1,16),Subject!$B:$B,0),3)</f>
        <v>#N/A</v>
      </c>
      <c r="X96" s="8" t="str">
        <f t="array" ref="X96">INDEX(Subject!$A:$I,MATCH(RANDBETWEEN(1,16),Subject!$B:$B,0),3)</f>
        <v>#N/A</v>
      </c>
      <c r="Y96" s="8" t="str">
        <f t="array" ref="Y96">INDEX(Subject!$A:$I,MATCH(RANDBETWEEN(1,16),Subject!$B:$B,0),3)</f>
        <v>#N/A</v>
      </c>
      <c r="Z96" s="8" t="str">
        <f t="array" ref="Z96">INDEX(Subject!$A:$I,MATCH(RANDBETWEEN(1,16),Subject!$B:$B,0),3)</f>
        <v>#N/A</v>
      </c>
      <c r="AA96" s="8" t="str">
        <f t="array" ref="AA96">INDEX(Subject!$A:$I,MATCH(RANDBETWEEN(1,16),Subject!$B:$B,0),3)</f>
        <v>#N/A</v>
      </c>
      <c r="AB96" s="8" t="str">
        <f t="array" ref="AB96">INDEX(Subject!$A:$I,MATCH(RANDBETWEEN(1,16),Subject!$B:$B,0),3)</f>
        <v>#N/A</v>
      </c>
      <c r="AC96" s="8" t="str">
        <f t="array" ref="AC96">INDEX(Subject!$A:$I,MATCH(RANDBETWEEN(1,16),Subject!$B:$B,0),3)</f>
        <v/>
      </c>
      <c r="AD96" s="8" t="str">
        <f t="array" ref="AD96">INDEX(Subject!$A:$I,MATCH(RANDBETWEEN(1,16),Subject!$B:$B,0),3)</f>
        <v>#N/A</v>
      </c>
      <c r="AE96" s="8" t="str">
        <f t="array" ref="AE96">INDEX(Subject!$A:$I,MATCH(RANDBETWEEN(1,16),Subject!$B:$B,0),3)</f>
        <v/>
      </c>
      <c r="AF96" s="8" t="str">
        <f t="array" ref="AF96">INDEX(Subject!$A:$I,MATCH(RANDBETWEEN(1,16),Subject!$B:$B,0),3)</f>
        <v>#N/A</v>
      </c>
      <c r="AG96" s="8" t="str">
        <f t="array" ref="AG96">INDEX(Subject!$A:$I,MATCH(RANDBETWEEN(1,16),Subject!$B:$B,0),3)</f>
        <v/>
      </c>
      <c r="AH96" s="8" t="str">
        <f t="array" ref="AH96">INDEX(Subject!$A:$I,MATCH(RANDBETWEEN(1,16),Subject!$B:$B,0),3)</f>
        <v>#N/A</v>
      </c>
      <c r="AI96" s="8" t="str">
        <f t="array" ref="AI96">INDEX(Subject!$A:$I,MATCH(RANDBETWEEN(1,16),Subject!$B:$B,0),3)</f>
        <v>#N/A</v>
      </c>
      <c r="AJ96" s="8" t="str">
        <f t="array" ref="AJ96">INDEX(Subject!$A:$I,MATCH(RANDBETWEEN(1,16),Subject!$B:$B,0),3)</f>
        <v>#N/A</v>
      </c>
      <c r="AK96" s="8" t="str">
        <f t="array" ref="AK96">INDEX(Subject!$A:$I,MATCH(RANDBETWEEN(1,16),Subject!$B:$B,0),3)</f>
        <v>#N/A</v>
      </c>
      <c r="AL96" s="8" t="str">
        <f t="array" ref="AL96">INDEX(Subject!$A:$I,MATCH(RANDBETWEEN(1,16),Subject!$B:$B,0),3)</f>
        <v>#N/A</v>
      </c>
      <c r="AM96" s="18">
        <f t="shared" si="4"/>
        <v>45596.33333</v>
      </c>
      <c r="AN96" s="19">
        <f t="shared" ref="AN96:BZ96" si="96">$A96+C$1</f>
        <v>45596.35417</v>
      </c>
      <c r="AO96" s="19">
        <f t="shared" si="96"/>
        <v>45596.375</v>
      </c>
      <c r="AP96" s="19">
        <f t="shared" si="96"/>
        <v>45596.39583</v>
      </c>
      <c r="AQ96" s="19">
        <f t="shared" si="96"/>
        <v>45596.41667</v>
      </c>
      <c r="AR96" s="19">
        <f t="shared" si="96"/>
        <v>45596.4375</v>
      </c>
      <c r="AS96" s="19">
        <f t="shared" si="96"/>
        <v>45596.45833</v>
      </c>
      <c r="AT96" s="19">
        <f t="shared" si="96"/>
        <v>45596.47917</v>
      </c>
      <c r="AU96" s="19">
        <f t="shared" si="96"/>
        <v>45596.5</v>
      </c>
      <c r="AV96" s="19">
        <f t="shared" si="96"/>
        <v>45596.52083</v>
      </c>
      <c r="AW96" s="19">
        <f t="shared" si="96"/>
        <v>45596.54167</v>
      </c>
      <c r="AX96" s="19">
        <f t="shared" si="96"/>
        <v>45596.5625</v>
      </c>
      <c r="AY96" s="19">
        <f t="shared" si="96"/>
        <v>45596.58333</v>
      </c>
      <c r="AZ96" s="19">
        <f t="shared" si="96"/>
        <v>45596.60417</v>
      </c>
      <c r="BA96" s="19">
        <f t="shared" si="96"/>
        <v>45596.625</v>
      </c>
      <c r="BB96" s="19">
        <f t="shared" si="96"/>
        <v>45596.64583</v>
      </c>
      <c r="BC96" s="19">
        <f t="shared" si="96"/>
        <v>45596.66667</v>
      </c>
      <c r="BD96" s="19">
        <f t="shared" si="96"/>
        <v>45596.6875</v>
      </c>
      <c r="BE96" s="19">
        <f t="shared" si="96"/>
        <v>45596.70833</v>
      </c>
      <c r="BF96" s="19">
        <f t="shared" si="96"/>
        <v>45596.72917</v>
      </c>
      <c r="BG96" s="19">
        <f t="shared" si="96"/>
        <v>45596.75</v>
      </c>
      <c r="BH96" s="19">
        <f t="shared" si="96"/>
        <v>45596.77083</v>
      </c>
      <c r="BI96" s="19">
        <f t="shared" si="96"/>
        <v>45596.79167</v>
      </c>
      <c r="BJ96" s="19">
        <f t="shared" si="96"/>
        <v>45596.8125</v>
      </c>
      <c r="BK96" s="19">
        <f t="shared" si="96"/>
        <v>45596.83333</v>
      </c>
      <c r="BL96" s="19">
        <f t="shared" si="96"/>
        <v>45596.85417</v>
      </c>
      <c r="BM96" s="19">
        <f t="shared" si="96"/>
        <v>45596.875</v>
      </c>
      <c r="BN96" s="19">
        <f t="shared" si="96"/>
        <v>45596.89583</v>
      </c>
      <c r="BO96" s="19">
        <f t="shared" si="96"/>
        <v>45596.91667</v>
      </c>
      <c r="BP96" s="19">
        <f t="shared" si="96"/>
        <v>45596.9375</v>
      </c>
      <c r="BQ96" s="19">
        <f t="shared" si="96"/>
        <v>45596.95833</v>
      </c>
      <c r="BR96" s="19">
        <f t="shared" si="96"/>
        <v>45596.97917</v>
      </c>
      <c r="BS96" s="19">
        <f t="shared" si="96"/>
        <v>45597</v>
      </c>
      <c r="BT96" s="19">
        <f t="shared" si="96"/>
        <v>45597.02083</v>
      </c>
      <c r="BU96" s="19">
        <f t="shared" si="96"/>
        <v>45597.04167</v>
      </c>
      <c r="BV96" s="19">
        <f t="shared" si="96"/>
        <v>45597.0625</v>
      </c>
      <c r="BW96" s="19">
        <f t="shared" si="96"/>
        <v>45597.08333</v>
      </c>
      <c r="BX96" s="19">
        <f t="shared" si="96"/>
        <v>45596</v>
      </c>
      <c r="BY96" s="19">
        <f t="shared" si="96"/>
        <v>45596</v>
      </c>
      <c r="BZ96" s="19">
        <f t="shared" si="96"/>
        <v>45596</v>
      </c>
    </row>
    <row r="97" ht="14.25" customHeight="1">
      <c r="A97" s="17">
        <v>45597.0</v>
      </c>
      <c r="B97" s="2" t="str">
        <f t="array" ref="B97">IF(NOW()&gt;AM97,"",IF(AND((WEEKDAY($A97)+$B$2)&gt;1,((WEEKDAY($A97)+$T$2)&lt;7),(WEEKDAY($A97)&lt;&gt;1)),"work",(INDEX(Subject!$A:$I,MATCH(RANDBETWEEN(1,(MAX(Subject!$B:$B))),Subject!$B:$B,0),3))))</f>
        <v/>
      </c>
      <c r="C97" s="2" t="str">
        <f t="array" ref="C97">IF(NOW()&gt;AN97,"",IF(AND((WEEKDAY($A97)+$B$2)&gt;1,((WEEKDAY($A97)+$T$2)&lt;7),(WEEKDAY($A97)&lt;&gt;1)),"work",(INDEX(Subject!$A:$I,MATCH(RANDBETWEEN(1,(MAX(Subject!$B:$B))),Subject!$B:$B,0),3))))</f>
        <v/>
      </c>
      <c r="D97" s="2" t="str">
        <f t="array" ref="D97">IF(NOW()&gt;AO97,"",IF(AND((WEEKDAY($A97)+$B$2)&gt;1,((WEEKDAY($A97)+$T$2)&lt;7),(WEEKDAY($A97)&lt;&gt;1)),"work",(INDEX(Subject!$A:$I,MATCH(RANDBETWEEN(1,(MAX(Subject!$B:$B))),Subject!$B:$B,0),3))))</f>
        <v/>
      </c>
      <c r="E97" s="2" t="str">
        <f t="array" ref="E97">IF(NOW()&gt;AP97,"",IF(AND((WEEKDAY($A97)+$B$2)&gt;1,((WEEKDAY($A97)+$T$2)&lt;7),(WEEKDAY($A97)&lt;&gt;1)),"work",(INDEX(Subject!$A:$I,MATCH(RANDBETWEEN(1,(MAX(Subject!$B:$B))),Subject!$B:$B,0),3))))</f>
        <v/>
      </c>
      <c r="F97" s="2" t="str">
        <f t="array" ref="F97">IF(NOW()&gt;AQ97,"",IF(AND((WEEKDAY($A97)+$B$2)&gt;1,((WEEKDAY($A97)+$T$2)&lt;7),(WEEKDAY($A97)&lt;&gt;1)),"work",(INDEX(Subject!$A:$I,MATCH(RANDBETWEEN(1,(MAX(Subject!$B:$B))),Subject!$B:$B,0),3))))</f>
        <v/>
      </c>
      <c r="G97" s="2" t="str">
        <f t="array" ref="G97">IF(NOW()&gt;AR97,"",IF(AND((WEEKDAY($A97)+$B$2)&gt;1,((WEEKDAY($A97)+$T$2)&lt;7),(WEEKDAY($A97)&lt;&gt;1)),"work",(INDEX(Subject!$A:$I,MATCH(RANDBETWEEN(1,(MAX(Subject!$B:$B))),Subject!$B:$B,0),3))))</f>
        <v/>
      </c>
      <c r="H97" s="2" t="str">
        <f t="array" ref="H97">IF(NOW()&gt;AS97,"",IF(AND((WEEKDAY($A97)+$B$2)&gt;1,((WEEKDAY($A97)+$T$2)&lt;7),(WEEKDAY($A97)&lt;&gt;1)),"work",(INDEX(Subject!$A:$I,MATCH(RANDBETWEEN(1,(MAX(Subject!$B:$B))),Subject!$B:$B,0),3))))</f>
        <v/>
      </c>
      <c r="I97" s="2" t="str">
        <f t="array" ref="I97">IF(NOW()&gt;AT97,"",IF(AND((WEEKDAY($A97)+$B$2)&gt;1,((WEEKDAY($A97)+$T$2)&lt;7),(WEEKDAY($A97)&lt;&gt;1)),"work",(INDEX(Subject!$A:$I,MATCH(RANDBETWEEN(1,(MAX(Subject!$B:$B))),Subject!$B:$B,0),3))))</f>
        <v/>
      </c>
      <c r="J97" s="2" t="str">
        <f t="array" ref="J97">IF(NOW()&gt;AU97,"",IF(AND((WEEKDAY($A97)+$B$2)&gt;1,((WEEKDAY($A97)+$T$2)&lt;7),(WEEKDAY($A97)&lt;&gt;1)),"work",(INDEX(Subject!$A:$I,MATCH(RANDBETWEEN(1,(MAX(Subject!$B:$B))),Subject!$B:$B,0),3))))</f>
        <v/>
      </c>
      <c r="K97" s="2" t="str">
        <f t="array" ref="K97">IF(NOW()&gt;AV97,"",IF(AND((WEEKDAY($A97)+$B$2)&gt;1,((WEEKDAY($A97)+$T$2)&lt;7),(WEEKDAY($A97)&lt;&gt;1)),"work",(INDEX(Subject!$A:$I,MATCH(RANDBETWEEN(1,(MAX(Subject!$B:$B))),Subject!$B:$B,0),3))))</f>
        <v/>
      </c>
      <c r="L97" s="2" t="str">
        <f t="array" ref="L97">IF(NOW()&gt;AW97,"",IF(AND((WEEKDAY($A97)+$B$2)&gt;1,((WEEKDAY($A97)+$T$2)&lt;7),(WEEKDAY($A97)&lt;&gt;1)),"work",(INDEX(Subject!$A:$I,MATCH(RANDBETWEEN(1,(MAX(Subject!$B:$B))),Subject!$B:$B,0),3))))</f>
        <v/>
      </c>
      <c r="M97" s="2" t="str">
        <f t="array" ref="M97">IF(NOW()&gt;AX97,"",IF(AND((WEEKDAY($A97)+$B$2)&gt;1,((WEEKDAY($A97)+$T$2)&lt;7),(WEEKDAY($A97)&lt;&gt;1)),"work",(INDEX(Subject!$A:$I,MATCH(RANDBETWEEN(1,(MAX(Subject!$B:$B))),Subject!$B:$B,0),3))))</f>
        <v/>
      </c>
      <c r="N97" s="2" t="str">
        <f t="array" ref="N97">IF(NOW()&gt;AY97,"",IF(AND((WEEKDAY($A97)+$B$2)&gt;1,((WEEKDAY($A97)+$T$2)&lt;7),(WEEKDAY($A97)&lt;&gt;1)),"work",(INDEX(Subject!$A:$I,MATCH(RANDBETWEEN(1,(MAX(Subject!$B:$B))),Subject!$B:$B,0),3))))</f>
        <v/>
      </c>
      <c r="O97" s="2" t="str">
        <f t="array" ref="O97">IF(NOW()&gt;AZ97,"",IF(AND((WEEKDAY($A97)+$B$2)&gt;1,((WEEKDAY($A97)+$T$2)&lt;7),(WEEKDAY($A97)&lt;&gt;1)),"work",(INDEX(Subject!$A:$I,MATCH(RANDBETWEEN(1,(MAX(Subject!$B:$B))),Subject!$B:$B,0),3))))</f>
        <v/>
      </c>
      <c r="P97" s="2" t="str">
        <f t="array" ref="P97">IF(NOW()&gt;BA97,"",IF(AND((WEEKDAY($A97)+$B$2)&gt;1,((WEEKDAY($A97)+$T$2)&lt;7),(WEEKDAY($A97)&lt;&gt;1)),"work",(INDEX(Subject!$A:$I,MATCH(RANDBETWEEN(1,(MAX(Subject!$B:$B))),Subject!$B:$B,0),3))))</f>
        <v/>
      </c>
      <c r="Q97" s="2" t="str">
        <f t="array" ref="Q97">IF(NOW()&gt;BB97,"",IF(AND((WEEKDAY($A97)+$B$2)&gt;1,((WEEKDAY($A97)+$T$2)&lt;7),(WEEKDAY($A97)&lt;&gt;1)),"work",(INDEX(Subject!$A:$I,MATCH(RANDBETWEEN(1,(MAX(Subject!$B:$B))),Subject!$B:$B,0),3))))</f>
        <v/>
      </c>
      <c r="R97" s="2" t="str">
        <f t="array" ref="R97">IF(NOW()&gt;BC97,"",IF(AND((WEEKDAY($A97)+$B$2)&gt;1,((WEEKDAY($A97)+$T$2)&lt;7),(WEEKDAY($A97)&lt;&gt;1)),"work",(INDEX(Subject!$A:$I,MATCH(RANDBETWEEN(1,(MAX(Subject!$B:$B))),Subject!$B:$B,0),3))))</f>
        <v/>
      </c>
      <c r="S97" s="2" t="str">
        <f t="array" ref="S97">IF(NOW()&gt;BD97,"",IF(AND((WEEKDAY($A97)+$B$2)&gt;1,((WEEKDAY($A97)+$T$2)&lt;7),(WEEKDAY($A97)&lt;&gt;1)),"work",(INDEX(Subject!$A:$I,MATCH(RANDBETWEEN(1,(MAX(Subject!$B:$B))),Subject!$B:$B,0),3))))</f>
        <v/>
      </c>
      <c r="T97" s="2" t="str">
        <f t="array" ref="T97">IF(NOW()&gt;BE97,"",IF(AND((WEEKDAY($A97)+$B$2)&gt;1,((WEEKDAY($A97)+$T$2)&lt;7),(WEEKDAY($A97)&lt;&gt;1)),"work",(INDEX(Subject!$A:$I,MATCH(RANDBETWEEN(1,(MAX(Subject!$B:$B))),Subject!$B:$B,0),3))))</f>
        <v/>
      </c>
      <c r="U97" s="8" t="str">
        <f t="array" ref="U97">INDEX(Subject!$A:$I,MATCH(RANDBETWEEN(1,16),Subject!$B:$B,0),3)</f>
        <v>#N/A</v>
      </c>
      <c r="V97" s="8" t="str">
        <f t="array" ref="V97">INDEX(Subject!$A:$I,MATCH(RANDBETWEEN(1,16),Subject!$B:$B,0),3)</f>
        <v>#N/A</v>
      </c>
      <c r="W97" s="8" t="str">
        <f t="array" ref="W97">INDEX(Subject!$A:$I,MATCH(RANDBETWEEN(1,16),Subject!$B:$B,0),3)</f>
        <v>#N/A</v>
      </c>
      <c r="X97" s="8" t="str">
        <f t="array" ref="X97">INDEX(Subject!$A:$I,MATCH(RANDBETWEEN(1,16),Subject!$B:$B,0),3)</f>
        <v>#N/A</v>
      </c>
      <c r="Y97" s="8" t="str">
        <f t="array" ref="Y97">INDEX(Subject!$A:$I,MATCH(RANDBETWEEN(1,16),Subject!$B:$B,0),3)</f>
        <v>#N/A</v>
      </c>
      <c r="Z97" s="8" t="str">
        <f t="array" ref="Z97">INDEX(Subject!$A:$I,MATCH(RANDBETWEEN(1,16),Subject!$B:$B,0),3)</f>
        <v>#N/A</v>
      </c>
      <c r="AA97" s="8" t="str">
        <f t="array" ref="AA97">INDEX(Subject!$A:$I,MATCH(RANDBETWEEN(1,16),Subject!$B:$B,0),3)</f>
        <v>#N/A</v>
      </c>
      <c r="AB97" s="8" t="str">
        <f t="array" ref="AB97">INDEX(Subject!$A:$I,MATCH(RANDBETWEEN(1,16),Subject!$B:$B,0),3)</f>
        <v>#N/A</v>
      </c>
      <c r="AC97" s="8" t="str">
        <f t="array" ref="AC97">INDEX(Subject!$A:$I,MATCH(RANDBETWEEN(1,16),Subject!$B:$B,0),3)</f>
        <v>#N/A</v>
      </c>
      <c r="AD97" s="8" t="str">
        <f t="array" ref="AD97">INDEX(Subject!$A:$I,MATCH(RANDBETWEEN(1,16),Subject!$B:$B,0),3)</f>
        <v>#N/A</v>
      </c>
      <c r="AE97" s="8" t="str">
        <f t="array" ref="AE97">INDEX(Subject!$A:$I,MATCH(RANDBETWEEN(1,16),Subject!$B:$B,0),3)</f>
        <v>#N/A</v>
      </c>
      <c r="AF97" s="8" t="str">
        <f t="array" ref="AF97">INDEX(Subject!$A:$I,MATCH(RANDBETWEEN(1,16),Subject!$B:$B,0),3)</f>
        <v>#N/A</v>
      </c>
      <c r="AG97" s="8" t="str">
        <f t="array" ref="AG97">INDEX(Subject!$A:$I,MATCH(RANDBETWEEN(1,16),Subject!$B:$B,0),3)</f>
        <v>#N/A</v>
      </c>
      <c r="AH97" s="8" t="str">
        <f t="array" ref="AH97">INDEX(Subject!$A:$I,MATCH(RANDBETWEEN(1,16),Subject!$B:$B,0),3)</f>
        <v>#N/A</v>
      </c>
      <c r="AI97" s="8" t="str">
        <f t="array" ref="AI97">INDEX(Subject!$A:$I,MATCH(RANDBETWEEN(1,16),Subject!$B:$B,0),3)</f>
        <v>#N/A</v>
      </c>
      <c r="AJ97" s="8" t="str">
        <f t="array" ref="AJ97">INDEX(Subject!$A:$I,MATCH(RANDBETWEEN(1,16),Subject!$B:$B,0),3)</f>
        <v>#N/A</v>
      </c>
      <c r="AK97" s="8" t="str">
        <f t="array" ref="AK97">INDEX(Subject!$A:$I,MATCH(RANDBETWEEN(1,16),Subject!$B:$B,0),3)</f>
        <v>#N/A</v>
      </c>
      <c r="AL97" s="8" t="str">
        <f t="array" ref="AL97">INDEX(Subject!$A:$I,MATCH(RANDBETWEEN(1,16),Subject!$B:$B,0),3)</f>
        <v>#N/A</v>
      </c>
      <c r="AM97" s="18">
        <f t="shared" si="4"/>
        <v>45597.33333</v>
      </c>
      <c r="AN97" s="19">
        <f t="shared" ref="AN97:BZ97" si="97">$A97+C$1</f>
        <v>45597.35417</v>
      </c>
      <c r="AO97" s="19">
        <f t="shared" si="97"/>
        <v>45597.375</v>
      </c>
      <c r="AP97" s="19">
        <f t="shared" si="97"/>
        <v>45597.39583</v>
      </c>
      <c r="AQ97" s="19">
        <f t="shared" si="97"/>
        <v>45597.41667</v>
      </c>
      <c r="AR97" s="19">
        <f t="shared" si="97"/>
        <v>45597.4375</v>
      </c>
      <c r="AS97" s="19">
        <f t="shared" si="97"/>
        <v>45597.45833</v>
      </c>
      <c r="AT97" s="19">
        <f t="shared" si="97"/>
        <v>45597.47917</v>
      </c>
      <c r="AU97" s="19">
        <f t="shared" si="97"/>
        <v>45597.5</v>
      </c>
      <c r="AV97" s="19">
        <f t="shared" si="97"/>
        <v>45597.52083</v>
      </c>
      <c r="AW97" s="19">
        <f t="shared" si="97"/>
        <v>45597.54167</v>
      </c>
      <c r="AX97" s="19">
        <f t="shared" si="97"/>
        <v>45597.5625</v>
      </c>
      <c r="AY97" s="19">
        <f t="shared" si="97"/>
        <v>45597.58333</v>
      </c>
      <c r="AZ97" s="19">
        <f t="shared" si="97"/>
        <v>45597.60417</v>
      </c>
      <c r="BA97" s="19">
        <f t="shared" si="97"/>
        <v>45597.625</v>
      </c>
      <c r="BB97" s="19">
        <f t="shared" si="97"/>
        <v>45597.64583</v>
      </c>
      <c r="BC97" s="19">
        <f t="shared" si="97"/>
        <v>45597.66667</v>
      </c>
      <c r="BD97" s="19">
        <f t="shared" si="97"/>
        <v>45597.6875</v>
      </c>
      <c r="BE97" s="19">
        <f t="shared" si="97"/>
        <v>45597.70833</v>
      </c>
      <c r="BF97" s="19">
        <f t="shared" si="97"/>
        <v>45597.72917</v>
      </c>
      <c r="BG97" s="19">
        <f t="shared" si="97"/>
        <v>45597.75</v>
      </c>
      <c r="BH97" s="19">
        <f t="shared" si="97"/>
        <v>45597.77083</v>
      </c>
      <c r="BI97" s="19">
        <f t="shared" si="97"/>
        <v>45597.79167</v>
      </c>
      <c r="BJ97" s="19">
        <f t="shared" si="97"/>
        <v>45597.8125</v>
      </c>
      <c r="BK97" s="19">
        <f t="shared" si="97"/>
        <v>45597.83333</v>
      </c>
      <c r="BL97" s="19">
        <f t="shared" si="97"/>
        <v>45597.85417</v>
      </c>
      <c r="BM97" s="19">
        <f t="shared" si="97"/>
        <v>45597.875</v>
      </c>
      <c r="BN97" s="19">
        <f t="shared" si="97"/>
        <v>45597.89583</v>
      </c>
      <c r="BO97" s="19">
        <f t="shared" si="97"/>
        <v>45597.91667</v>
      </c>
      <c r="BP97" s="19">
        <f t="shared" si="97"/>
        <v>45597.9375</v>
      </c>
      <c r="BQ97" s="19">
        <f t="shared" si="97"/>
        <v>45597.95833</v>
      </c>
      <c r="BR97" s="19">
        <f t="shared" si="97"/>
        <v>45597.97917</v>
      </c>
      <c r="BS97" s="19">
        <f t="shared" si="97"/>
        <v>45598</v>
      </c>
      <c r="BT97" s="19">
        <f t="shared" si="97"/>
        <v>45598.02083</v>
      </c>
      <c r="BU97" s="19">
        <f t="shared" si="97"/>
        <v>45598.04167</v>
      </c>
      <c r="BV97" s="19">
        <f t="shared" si="97"/>
        <v>45598.0625</v>
      </c>
      <c r="BW97" s="19">
        <f t="shared" si="97"/>
        <v>45598.08333</v>
      </c>
      <c r="BX97" s="19">
        <f t="shared" si="97"/>
        <v>45597</v>
      </c>
      <c r="BY97" s="19">
        <f t="shared" si="97"/>
        <v>45597</v>
      </c>
      <c r="BZ97" s="19">
        <f t="shared" si="97"/>
        <v>45597</v>
      </c>
    </row>
    <row r="98" ht="14.25" customHeight="1">
      <c r="A98" s="17">
        <v>45598.0</v>
      </c>
      <c r="B98" s="2" t="str">
        <f t="array" ref="B98">IF(NOW()&gt;AM98,"",IF(AND((WEEKDAY($A98)+$B$2)&gt;1,((WEEKDAY($A98)+$T$2)&lt;7),(WEEKDAY($A98)&lt;&gt;1)),"work",(INDEX(Subject!$A:$I,MATCH(RANDBETWEEN(1,(MAX(Subject!$B:$B))),Subject!$B:$B,0),3))))</f>
        <v/>
      </c>
      <c r="C98" s="2" t="str">
        <f t="array" ref="C98">IF(NOW()&gt;AN98,"",IF(AND((WEEKDAY($A98)+$B$2)&gt;1,((WEEKDAY($A98)+$T$2)&lt;7),(WEEKDAY($A98)&lt;&gt;1)),"work",(INDEX(Subject!$A:$I,MATCH(RANDBETWEEN(1,(MAX(Subject!$B:$B))),Subject!$B:$B,0),3))))</f>
        <v/>
      </c>
      <c r="D98" s="2" t="str">
        <f t="array" ref="D98">IF(NOW()&gt;AO98,"",IF(AND((WEEKDAY($A98)+$B$2)&gt;1,((WEEKDAY($A98)+$T$2)&lt;7),(WEEKDAY($A98)&lt;&gt;1)),"work",(INDEX(Subject!$A:$I,MATCH(RANDBETWEEN(1,(MAX(Subject!$B:$B))),Subject!$B:$B,0),3))))</f>
        <v/>
      </c>
      <c r="E98" s="2" t="str">
        <f t="array" ref="E98">IF(NOW()&gt;AP98,"",IF(AND((WEEKDAY($A98)+$B$2)&gt;1,((WEEKDAY($A98)+$T$2)&lt;7),(WEEKDAY($A98)&lt;&gt;1)),"work",(INDEX(Subject!$A:$I,MATCH(RANDBETWEEN(1,(MAX(Subject!$B:$B))),Subject!$B:$B,0),3))))</f>
        <v/>
      </c>
      <c r="F98" s="2" t="str">
        <f t="array" ref="F98">IF(NOW()&gt;AQ98,"",IF(AND((WEEKDAY($A98)+$B$2)&gt;1,((WEEKDAY($A98)+$T$2)&lt;7),(WEEKDAY($A98)&lt;&gt;1)),"work",(INDEX(Subject!$A:$I,MATCH(RANDBETWEEN(1,(MAX(Subject!$B:$B))),Subject!$B:$B,0),3))))</f>
        <v/>
      </c>
      <c r="G98" s="2" t="str">
        <f t="array" ref="G98">IF(NOW()&gt;AR98,"",IF(AND((WEEKDAY($A98)+$B$2)&gt;1,((WEEKDAY($A98)+$T$2)&lt;7),(WEEKDAY($A98)&lt;&gt;1)),"work",(INDEX(Subject!$A:$I,MATCH(RANDBETWEEN(1,(MAX(Subject!$B:$B))),Subject!$B:$B,0),3))))</f>
        <v/>
      </c>
      <c r="H98" s="2" t="str">
        <f t="array" ref="H98">IF(NOW()&gt;AS98,"",IF(AND((WEEKDAY($A98)+$B$2)&gt;1,((WEEKDAY($A98)+$T$2)&lt;7),(WEEKDAY($A98)&lt;&gt;1)),"work",(INDEX(Subject!$A:$I,MATCH(RANDBETWEEN(1,(MAX(Subject!$B:$B))),Subject!$B:$B,0),3))))</f>
        <v/>
      </c>
      <c r="I98" s="2" t="str">
        <f t="array" ref="I98">IF(NOW()&gt;AT98,"",IF(AND((WEEKDAY($A98)+$B$2)&gt;1,((WEEKDAY($A98)+$T$2)&lt;7),(WEEKDAY($A98)&lt;&gt;1)),"work",(INDEX(Subject!$A:$I,MATCH(RANDBETWEEN(1,(MAX(Subject!$B:$B))),Subject!$B:$B,0),3))))</f>
        <v/>
      </c>
      <c r="J98" s="2" t="str">
        <f t="array" ref="J98">IF(NOW()&gt;AU98,"",IF(AND((WEEKDAY($A98)+$B$2)&gt;1,((WEEKDAY($A98)+$T$2)&lt;7),(WEEKDAY($A98)&lt;&gt;1)),"work",(INDEX(Subject!$A:$I,MATCH(RANDBETWEEN(1,(MAX(Subject!$B:$B))),Subject!$B:$B,0),3))))</f>
        <v/>
      </c>
      <c r="K98" s="2" t="str">
        <f t="array" ref="K98">IF(NOW()&gt;AV98,"",IF(AND((WEEKDAY($A98)+$B$2)&gt;1,((WEEKDAY($A98)+$T$2)&lt;7),(WEEKDAY($A98)&lt;&gt;1)),"work",(INDEX(Subject!$A:$I,MATCH(RANDBETWEEN(1,(MAX(Subject!$B:$B))),Subject!$B:$B,0),3))))</f>
        <v/>
      </c>
      <c r="L98" s="2" t="str">
        <f t="array" ref="L98">IF(NOW()&gt;AW98,"",IF(AND((WEEKDAY($A98)+$B$2)&gt;1,((WEEKDAY($A98)+$T$2)&lt;7),(WEEKDAY($A98)&lt;&gt;1)),"work",(INDEX(Subject!$A:$I,MATCH(RANDBETWEEN(1,(MAX(Subject!$B:$B))),Subject!$B:$B,0),3))))</f>
        <v/>
      </c>
      <c r="M98" s="2" t="str">
        <f t="array" ref="M98">IF(NOW()&gt;AX98,"",IF(AND((WEEKDAY($A98)+$B$2)&gt;1,((WEEKDAY($A98)+$T$2)&lt;7),(WEEKDAY($A98)&lt;&gt;1)),"work",(INDEX(Subject!$A:$I,MATCH(RANDBETWEEN(1,(MAX(Subject!$B:$B))),Subject!$B:$B,0),3))))</f>
        <v/>
      </c>
      <c r="N98" s="2" t="str">
        <f t="array" ref="N98">IF(NOW()&gt;AY98,"",IF(AND((WEEKDAY($A98)+$B$2)&gt;1,((WEEKDAY($A98)+$T$2)&lt;7),(WEEKDAY($A98)&lt;&gt;1)),"work",(INDEX(Subject!$A:$I,MATCH(RANDBETWEEN(1,(MAX(Subject!$B:$B))),Subject!$B:$B,0),3))))</f>
        <v/>
      </c>
      <c r="O98" s="2" t="str">
        <f t="array" ref="O98">IF(NOW()&gt;AZ98,"",IF(AND((WEEKDAY($A98)+$B$2)&gt;1,((WEEKDAY($A98)+$T$2)&lt;7),(WEEKDAY($A98)&lt;&gt;1)),"work",(INDEX(Subject!$A:$I,MATCH(RANDBETWEEN(1,(MAX(Subject!$B:$B))),Subject!$B:$B,0),3))))</f>
        <v/>
      </c>
      <c r="P98" s="2" t="str">
        <f t="array" ref="P98">IF(NOW()&gt;BA98,"",IF(AND((WEEKDAY($A98)+$B$2)&gt;1,((WEEKDAY($A98)+$T$2)&lt;7),(WEEKDAY($A98)&lt;&gt;1)),"work",(INDEX(Subject!$A:$I,MATCH(RANDBETWEEN(1,(MAX(Subject!$B:$B))),Subject!$B:$B,0),3))))</f>
        <v/>
      </c>
      <c r="Q98" s="2" t="str">
        <f t="array" ref="Q98">IF(NOW()&gt;BB98,"",IF(AND((WEEKDAY($A98)+$B$2)&gt;1,((WEEKDAY($A98)+$T$2)&lt;7),(WEEKDAY($A98)&lt;&gt;1)),"work",(INDEX(Subject!$A:$I,MATCH(RANDBETWEEN(1,(MAX(Subject!$B:$B))),Subject!$B:$B,0),3))))</f>
        <v/>
      </c>
      <c r="R98" s="2" t="str">
        <f t="array" ref="R98">IF(NOW()&gt;BC98,"",IF(AND((WEEKDAY($A98)+$B$2)&gt;1,((WEEKDAY($A98)+$T$2)&lt;7),(WEEKDAY($A98)&lt;&gt;1)),"work",(INDEX(Subject!$A:$I,MATCH(RANDBETWEEN(1,(MAX(Subject!$B:$B))),Subject!$B:$B,0),3))))</f>
        <v/>
      </c>
      <c r="S98" s="2" t="str">
        <f t="array" ref="S98">IF(NOW()&gt;BD98,"",IF(AND((WEEKDAY($A98)+$B$2)&gt;1,((WEEKDAY($A98)+$T$2)&lt;7),(WEEKDAY($A98)&lt;&gt;1)),"work",(INDEX(Subject!$A:$I,MATCH(RANDBETWEEN(1,(MAX(Subject!$B:$B))),Subject!$B:$B,0),3))))</f>
        <v/>
      </c>
      <c r="T98" s="2" t="str">
        <f t="array" ref="T98">IF(NOW()&gt;BE98,"",IF(AND((WEEKDAY($A98)+$B$2)&gt;1,((WEEKDAY($A98)+$T$2)&lt;7),(WEEKDAY($A98)&lt;&gt;1)),"work",(INDEX(Subject!$A:$I,MATCH(RANDBETWEEN(1,(MAX(Subject!$B:$B))),Subject!$B:$B,0),3))))</f>
        <v/>
      </c>
      <c r="U98" s="8" t="str">
        <f t="array" ref="U98">INDEX(Subject!$A:$I,MATCH(RANDBETWEEN(1,16),Subject!$B:$B,0),3)</f>
        <v/>
      </c>
      <c r="V98" s="8" t="str">
        <f t="array" ref="V98">INDEX(Subject!$A:$I,MATCH(RANDBETWEEN(1,16),Subject!$B:$B,0),3)</f>
        <v>#N/A</v>
      </c>
      <c r="W98" s="8" t="str">
        <f t="array" ref="W98">INDEX(Subject!$A:$I,MATCH(RANDBETWEEN(1,16),Subject!$B:$B,0),3)</f>
        <v>#N/A</v>
      </c>
      <c r="X98" s="8" t="str">
        <f t="array" ref="X98">INDEX(Subject!$A:$I,MATCH(RANDBETWEEN(1,16),Subject!$B:$B,0),3)</f>
        <v>#N/A</v>
      </c>
      <c r="Y98" s="8" t="str">
        <f t="array" ref="Y98">INDEX(Subject!$A:$I,MATCH(RANDBETWEEN(1,16),Subject!$B:$B,0),3)</f>
        <v>#N/A</v>
      </c>
      <c r="Z98" s="8" t="str">
        <f t="array" ref="Z98">INDEX(Subject!$A:$I,MATCH(RANDBETWEEN(1,16),Subject!$B:$B,0),3)</f>
        <v>#N/A</v>
      </c>
      <c r="AA98" s="8" t="str">
        <f t="array" ref="AA98">INDEX(Subject!$A:$I,MATCH(RANDBETWEEN(1,16),Subject!$B:$B,0),3)</f>
        <v>#N/A</v>
      </c>
      <c r="AB98" s="8" t="str">
        <f t="array" ref="AB98">INDEX(Subject!$A:$I,MATCH(RANDBETWEEN(1,16),Subject!$B:$B,0),3)</f>
        <v>#N/A</v>
      </c>
      <c r="AC98" s="8" t="str">
        <f t="array" ref="AC98">INDEX(Subject!$A:$I,MATCH(RANDBETWEEN(1,16),Subject!$B:$B,0),3)</f>
        <v>#N/A</v>
      </c>
      <c r="AD98" s="8" t="str">
        <f t="array" ref="AD98">INDEX(Subject!$A:$I,MATCH(RANDBETWEEN(1,16),Subject!$B:$B,0),3)</f>
        <v>#N/A</v>
      </c>
      <c r="AE98" s="8" t="str">
        <f t="array" ref="AE98">INDEX(Subject!$A:$I,MATCH(RANDBETWEEN(1,16),Subject!$B:$B,0),3)</f>
        <v>#N/A</v>
      </c>
      <c r="AF98" s="8" t="str">
        <f t="array" ref="AF98">INDEX(Subject!$A:$I,MATCH(RANDBETWEEN(1,16),Subject!$B:$B,0),3)</f>
        <v>#N/A</v>
      </c>
      <c r="AG98" s="8" t="str">
        <f t="array" ref="AG98">INDEX(Subject!$A:$I,MATCH(RANDBETWEEN(1,16),Subject!$B:$B,0),3)</f>
        <v>#N/A</v>
      </c>
      <c r="AH98" s="8" t="str">
        <f t="array" ref="AH98">INDEX(Subject!$A:$I,MATCH(RANDBETWEEN(1,16),Subject!$B:$B,0),3)</f>
        <v>#N/A</v>
      </c>
      <c r="AI98" s="8" t="str">
        <f t="array" ref="AI98">INDEX(Subject!$A:$I,MATCH(RANDBETWEEN(1,16),Subject!$B:$B,0),3)</f>
        <v>#N/A</v>
      </c>
      <c r="AJ98" s="8" t="str">
        <f t="array" ref="AJ98">INDEX(Subject!$A:$I,MATCH(RANDBETWEEN(1,16),Subject!$B:$B,0),3)</f>
        <v>#N/A</v>
      </c>
      <c r="AK98" s="8" t="str">
        <f t="array" ref="AK98">INDEX(Subject!$A:$I,MATCH(RANDBETWEEN(1,16),Subject!$B:$B,0),3)</f>
        <v>#N/A</v>
      </c>
      <c r="AL98" s="8" t="str">
        <f t="array" ref="AL98">INDEX(Subject!$A:$I,MATCH(RANDBETWEEN(1,16),Subject!$B:$B,0),3)</f>
        <v>#N/A</v>
      </c>
      <c r="AM98" s="18">
        <f t="shared" si="4"/>
        <v>45598.33333</v>
      </c>
      <c r="AN98" s="19">
        <f t="shared" ref="AN98:BZ98" si="98">$A98+C$1</f>
        <v>45598.35417</v>
      </c>
      <c r="AO98" s="19">
        <f t="shared" si="98"/>
        <v>45598.375</v>
      </c>
      <c r="AP98" s="19">
        <f t="shared" si="98"/>
        <v>45598.39583</v>
      </c>
      <c r="AQ98" s="19">
        <f t="shared" si="98"/>
        <v>45598.41667</v>
      </c>
      <c r="AR98" s="19">
        <f t="shared" si="98"/>
        <v>45598.4375</v>
      </c>
      <c r="AS98" s="19">
        <f t="shared" si="98"/>
        <v>45598.45833</v>
      </c>
      <c r="AT98" s="19">
        <f t="shared" si="98"/>
        <v>45598.47917</v>
      </c>
      <c r="AU98" s="19">
        <f t="shared" si="98"/>
        <v>45598.5</v>
      </c>
      <c r="AV98" s="19">
        <f t="shared" si="98"/>
        <v>45598.52083</v>
      </c>
      <c r="AW98" s="19">
        <f t="shared" si="98"/>
        <v>45598.54167</v>
      </c>
      <c r="AX98" s="19">
        <f t="shared" si="98"/>
        <v>45598.5625</v>
      </c>
      <c r="AY98" s="19">
        <f t="shared" si="98"/>
        <v>45598.58333</v>
      </c>
      <c r="AZ98" s="19">
        <f t="shared" si="98"/>
        <v>45598.60417</v>
      </c>
      <c r="BA98" s="19">
        <f t="shared" si="98"/>
        <v>45598.625</v>
      </c>
      <c r="BB98" s="19">
        <f t="shared" si="98"/>
        <v>45598.64583</v>
      </c>
      <c r="BC98" s="19">
        <f t="shared" si="98"/>
        <v>45598.66667</v>
      </c>
      <c r="BD98" s="19">
        <f t="shared" si="98"/>
        <v>45598.6875</v>
      </c>
      <c r="BE98" s="19">
        <f t="shared" si="98"/>
        <v>45598.70833</v>
      </c>
      <c r="BF98" s="19">
        <f t="shared" si="98"/>
        <v>45598.72917</v>
      </c>
      <c r="BG98" s="19">
        <f t="shared" si="98"/>
        <v>45598.75</v>
      </c>
      <c r="BH98" s="19">
        <f t="shared" si="98"/>
        <v>45598.77083</v>
      </c>
      <c r="BI98" s="19">
        <f t="shared" si="98"/>
        <v>45598.79167</v>
      </c>
      <c r="BJ98" s="19">
        <f t="shared" si="98"/>
        <v>45598.8125</v>
      </c>
      <c r="BK98" s="19">
        <f t="shared" si="98"/>
        <v>45598.83333</v>
      </c>
      <c r="BL98" s="19">
        <f t="shared" si="98"/>
        <v>45598.85417</v>
      </c>
      <c r="BM98" s="19">
        <f t="shared" si="98"/>
        <v>45598.875</v>
      </c>
      <c r="BN98" s="19">
        <f t="shared" si="98"/>
        <v>45598.89583</v>
      </c>
      <c r="BO98" s="19">
        <f t="shared" si="98"/>
        <v>45598.91667</v>
      </c>
      <c r="BP98" s="19">
        <f t="shared" si="98"/>
        <v>45598.9375</v>
      </c>
      <c r="BQ98" s="19">
        <f t="shared" si="98"/>
        <v>45598.95833</v>
      </c>
      <c r="BR98" s="19">
        <f t="shared" si="98"/>
        <v>45598.97917</v>
      </c>
      <c r="BS98" s="19">
        <f t="shared" si="98"/>
        <v>45599</v>
      </c>
      <c r="BT98" s="19">
        <f t="shared" si="98"/>
        <v>45599.02083</v>
      </c>
      <c r="BU98" s="19">
        <f t="shared" si="98"/>
        <v>45599.04167</v>
      </c>
      <c r="BV98" s="19">
        <f t="shared" si="98"/>
        <v>45599.0625</v>
      </c>
      <c r="BW98" s="19">
        <f t="shared" si="98"/>
        <v>45599.08333</v>
      </c>
      <c r="BX98" s="19">
        <f t="shared" si="98"/>
        <v>45598</v>
      </c>
      <c r="BY98" s="19">
        <f t="shared" si="98"/>
        <v>45598</v>
      </c>
      <c r="BZ98" s="19">
        <f t="shared" si="98"/>
        <v>45598</v>
      </c>
    </row>
    <row r="99" ht="14.25" customHeight="1">
      <c r="A99" s="17">
        <v>45599.0</v>
      </c>
      <c r="B99" s="2" t="str">
        <f t="array" ref="B99">IF(NOW()&gt;AM99,"",IF(AND((WEEKDAY($A99)+$B$2)&gt;1,((WEEKDAY($A99)+$T$2)&lt;7),(WEEKDAY($A99)&lt;&gt;1)),"work",(INDEX(Subject!$A:$I,MATCH(RANDBETWEEN(1,(MAX(Subject!$B:$B))),Subject!$B:$B,0),3))))</f>
        <v/>
      </c>
      <c r="C99" s="2" t="str">
        <f t="array" ref="C99">IF(NOW()&gt;AN99,"",IF(AND((WEEKDAY($A99)+$B$2)&gt;1,((WEEKDAY($A99)+$T$2)&lt;7),(WEEKDAY($A99)&lt;&gt;1)),"work",(INDEX(Subject!$A:$I,MATCH(RANDBETWEEN(1,(MAX(Subject!$B:$B))),Subject!$B:$B,0),3))))</f>
        <v/>
      </c>
      <c r="D99" s="2" t="str">
        <f t="array" ref="D99">IF(NOW()&gt;AO99,"",IF(AND((WEEKDAY($A99)+$B$2)&gt;1,((WEEKDAY($A99)+$T$2)&lt;7),(WEEKDAY($A99)&lt;&gt;1)),"work",(INDEX(Subject!$A:$I,MATCH(RANDBETWEEN(1,(MAX(Subject!$B:$B))),Subject!$B:$B,0),3))))</f>
        <v/>
      </c>
      <c r="E99" s="2" t="str">
        <f t="array" ref="E99">IF(NOW()&gt;AP99,"",IF(AND((WEEKDAY($A99)+$B$2)&gt;1,((WEEKDAY($A99)+$T$2)&lt;7),(WEEKDAY($A99)&lt;&gt;1)),"work",(INDEX(Subject!$A:$I,MATCH(RANDBETWEEN(1,(MAX(Subject!$B:$B))),Subject!$B:$B,0),3))))</f>
        <v/>
      </c>
      <c r="F99" s="2" t="str">
        <f t="array" ref="F99">IF(NOW()&gt;AQ99,"",IF(AND((WEEKDAY($A99)+$B$2)&gt;1,((WEEKDAY($A99)+$T$2)&lt;7),(WEEKDAY($A99)&lt;&gt;1)),"work",(INDEX(Subject!$A:$I,MATCH(RANDBETWEEN(1,(MAX(Subject!$B:$B))),Subject!$B:$B,0),3))))</f>
        <v/>
      </c>
      <c r="G99" s="2" t="str">
        <f t="array" ref="G99">IF(NOW()&gt;AR99,"",IF(AND((WEEKDAY($A99)+$B$2)&gt;1,((WEEKDAY($A99)+$T$2)&lt;7),(WEEKDAY($A99)&lt;&gt;1)),"work",(INDEX(Subject!$A:$I,MATCH(RANDBETWEEN(1,(MAX(Subject!$B:$B))),Subject!$B:$B,0),3))))</f>
        <v/>
      </c>
      <c r="H99" s="2" t="str">
        <f t="array" ref="H99">IF(NOW()&gt;AS99,"",IF(AND((WEEKDAY($A99)+$B$2)&gt;1,((WEEKDAY($A99)+$T$2)&lt;7),(WEEKDAY($A99)&lt;&gt;1)),"work",(INDEX(Subject!$A:$I,MATCH(RANDBETWEEN(1,(MAX(Subject!$B:$B))),Subject!$B:$B,0),3))))</f>
        <v/>
      </c>
      <c r="I99" s="2" t="str">
        <f t="array" ref="I99">IF(NOW()&gt;AT99,"",IF(AND((WEEKDAY($A99)+$B$2)&gt;1,((WEEKDAY($A99)+$T$2)&lt;7),(WEEKDAY($A99)&lt;&gt;1)),"work",(INDEX(Subject!$A:$I,MATCH(RANDBETWEEN(1,(MAX(Subject!$B:$B))),Subject!$B:$B,0),3))))</f>
        <v/>
      </c>
      <c r="J99" s="2" t="str">
        <f t="array" ref="J99">IF(NOW()&gt;AU99,"",IF(AND((WEEKDAY($A99)+$B$2)&gt;1,((WEEKDAY($A99)+$T$2)&lt;7),(WEEKDAY($A99)&lt;&gt;1)),"work",(INDEX(Subject!$A:$I,MATCH(RANDBETWEEN(1,(MAX(Subject!$B:$B))),Subject!$B:$B,0),3))))</f>
        <v/>
      </c>
      <c r="K99" s="2" t="str">
        <f t="array" ref="K99">IF(NOW()&gt;AV99,"",IF(AND((WEEKDAY($A99)+$B$2)&gt;1,((WEEKDAY($A99)+$T$2)&lt;7),(WEEKDAY($A99)&lt;&gt;1)),"work",(INDEX(Subject!$A:$I,MATCH(RANDBETWEEN(1,(MAX(Subject!$B:$B))),Subject!$B:$B,0),3))))</f>
        <v/>
      </c>
      <c r="L99" s="2" t="str">
        <f t="array" ref="L99">IF(NOW()&gt;AW99,"",IF(AND((WEEKDAY($A99)+$B$2)&gt;1,((WEEKDAY($A99)+$T$2)&lt;7),(WEEKDAY($A99)&lt;&gt;1)),"work",(INDEX(Subject!$A:$I,MATCH(RANDBETWEEN(1,(MAX(Subject!$B:$B))),Subject!$B:$B,0),3))))</f>
        <v/>
      </c>
      <c r="M99" s="2" t="str">
        <f t="array" ref="M99">IF(NOW()&gt;AX99,"",IF(AND((WEEKDAY($A99)+$B$2)&gt;1,((WEEKDAY($A99)+$T$2)&lt;7),(WEEKDAY($A99)&lt;&gt;1)),"work",(INDEX(Subject!$A:$I,MATCH(RANDBETWEEN(1,(MAX(Subject!$B:$B))),Subject!$B:$B,0),3))))</f>
        <v/>
      </c>
      <c r="N99" s="2" t="str">
        <f t="array" ref="N99">IF(NOW()&gt;AY99,"",IF(AND((WEEKDAY($A99)+$B$2)&gt;1,((WEEKDAY($A99)+$T$2)&lt;7),(WEEKDAY($A99)&lt;&gt;1)),"work",(INDEX(Subject!$A:$I,MATCH(RANDBETWEEN(1,(MAX(Subject!$B:$B))),Subject!$B:$B,0),3))))</f>
        <v/>
      </c>
      <c r="O99" s="2" t="str">
        <f t="array" ref="O99">IF(NOW()&gt;AZ99,"",IF(AND((WEEKDAY($A99)+$B$2)&gt;1,((WEEKDAY($A99)+$T$2)&lt;7),(WEEKDAY($A99)&lt;&gt;1)),"work",(INDEX(Subject!$A:$I,MATCH(RANDBETWEEN(1,(MAX(Subject!$B:$B))),Subject!$B:$B,0),3))))</f>
        <v/>
      </c>
      <c r="P99" s="2" t="str">
        <f t="array" ref="P99">IF(NOW()&gt;BA99,"",IF(AND((WEEKDAY($A99)+$B$2)&gt;1,((WEEKDAY($A99)+$T$2)&lt;7),(WEEKDAY($A99)&lt;&gt;1)),"work",(INDEX(Subject!$A:$I,MATCH(RANDBETWEEN(1,(MAX(Subject!$B:$B))),Subject!$B:$B,0),3))))</f>
        <v/>
      </c>
      <c r="Q99" s="2" t="str">
        <f t="array" ref="Q99">IF(NOW()&gt;BB99,"",IF(AND((WEEKDAY($A99)+$B$2)&gt;1,((WEEKDAY($A99)+$T$2)&lt;7),(WEEKDAY($A99)&lt;&gt;1)),"work",(INDEX(Subject!$A:$I,MATCH(RANDBETWEEN(1,(MAX(Subject!$B:$B))),Subject!$B:$B,0),3))))</f>
        <v/>
      </c>
      <c r="R99" s="2" t="str">
        <f t="array" ref="R99">IF(NOW()&gt;BC99,"",IF(AND((WEEKDAY($A99)+$B$2)&gt;1,((WEEKDAY($A99)+$T$2)&lt;7),(WEEKDAY($A99)&lt;&gt;1)),"work",(INDEX(Subject!$A:$I,MATCH(RANDBETWEEN(1,(MAX(Subject!$B:$B))),Subject!$B:$B,0),3))))</f>
        <v/>
      </c>
      <c r="S99" s="2" t="str">
        <f t="array" ref="S99">IF(NOW()&gt;BD99,"",IF(AND((WEEKDAY($A99)+$B$2)&gt;1,((WEEKDAY($A99)+$T$2)&lt;7),(WEEKDAY($A99)&lt;&gt;1)),"work",(INDEX(Subject!$A:$I,MATCH(RANDBETWEEN(1,(MAX(Subject!$B:$B))),Subject!$B:$B,0),3))))</f>
        <v/>
      </c>
      <c r="T99" s="2" t="str">
        <f t="array" ref="T99">IF(NOW()&gt;BE99,"",IF(AND((WEEKDAY($A99)+$B$2)&gt;1,((WEEKDAY($A99)+$T$2)&lt;7),(WEEKDAY($A99)&lt;&gt;1)),"work",(INDEX(Subject!$A:$I,MATCH(RANDBETWEEN(1,(MAX(Subject!$B:$B))),Subject!$B:$B,0),3))))</f>
        <v/>
      </c>
      <c r="U99" s="8" t="str">
        <f t="array" ref="U99">INDEX(Subject!$A:$I,MATCH(RANDBETWEEN(1,16),Subject!$B:$B,0),3)</f>
        <v>#N/A</v>
      </c>
      <c r="V99" s="8" t="str">
        <f t="array" ref="V99">INDEX(Subject!$A:$I,MATCH(RANDBETWEEN(1,16),Subject!$B:$B,0),3)</f>
        <v>#N/A</v>
      </c>
      <c r="W99" s="8" t="str">
        <f t="array" ref="W99">INDEX(Subject!$A:$I,MATCH(RANDBETWEEN(1,16),Subject!$B:$B,0),3)</f>
        <v>#N/A</v>
      </c>
      <c r="X99" s="8" t="str">
        <f t="array" ref="X99">INDEX(Subject!$A:$I,MATCH(RANDBETWEEN(1,16),Subject!$B:$B,0),3)</f>
        <v>#N/A</v>
      </c>
      <c r="Y99" s="8" t="str">
        <f t="array" ref="Y99">INDEX(Subject!$A:$I,MATCH(RANDBETWEEN(1,16),Subject!$B:$B,0),3)</f>
        <v>#N/A</v>
      </c>
      <c r="Z99" s="8" t="str">
        <f t="array" ref="Z99">INDEX(Subject!$A:$I,MATCH(RANDBETWEEN(1,16),Subject!$B:$B,0),3)</f>
        <v>#N/A</v>
      </c>
      <c r="AA99" s="8" t="str">
        <f t="array" ref="AA99">INDEX(Subject!$A:$I,MATCH(RANDBETWEEN(1,16),Subject!$B:$B,0),3)</f>
        <v>#N/A</v>
      </c>
      <c r="AB99" s="8" t="str">
        <f t="array" ref="AB99">INDEX(Subject!$A:$I,MATCH(RANDBETWEEN(1,16),Subject!$B:$B,0),3)</f>
        <v>#N/A</v>
      </c>
      <c r="AC99" s="8" t="str">
        <f t="array" ref="AC99">INDEX(Subject!$A:$I,MATCH(RANDBETWEEN(1,16),Subject!$B:$B,0),3)</f>
        <v>#N/A</v>
      </c>
      <c r="AD99" s="8" t="str">
        <f t="array" ref="AD99">INDEX(Subject!$A:$I,MATCH(RANDBETWEEN(1,16),Subject!$B:$B,0),3)</f>
        <v>#N/A</v>
      </c>
      <c r="AE99" s="8" t="str">
        <f t="array" ref="AE99">INDEX(Subject!$A:$I,MATCH(RANDBETWEEN(1,16),Subject!$B:$B,0),3)</f>
        <v>#N/A</v>
      </c>
      <c r="AF99" s="8" t="str">
        <f t="array" ref="AF99">INDEX(Subject!$A:$I,MATCH(RANDBETWEEN(1,16),Subject!$B:$B,0),3)</f>
        <v/>
      </c>
      <c r="AG99" s="8" t="str">
        <f t="array" ref="AG99">INDEX(Subject!$A:$I,MATCH(RANDBETWEEN(1,16),Subject!$B:$B,0),3)</f>
        <v>#N/A</v>
      </c>
      <c r="AH99" s="8" t="str">
        <f t="array" ref="AH99">INDEX(Subject!$A:$I,MATCH(RANDBETWEEN(1,16),Subject!$B:$B,0),3)</f>
        <v>#N/A</v>
      </c>
      <c r="AI99" s="8" t="str">
        <f t="array" ref="AI99">INDEX(Subject!$A:$I,MATCH(RANDBETWEEN(1,16),Subject!$B:$B,0),3)</f>
        <v>#N/A</v>
      </c>
      <c r="AJ99" s="8" t="str">
        <f t="array" ref="AJ99">INDEX(Subject!$A:$I,MATCH(RANDBETWEEN(1,16),Subject!$B:$B,0),3)</f>
        <v>#N/A</v>
      </c>
      <c r="AK99" s="8" t="str">
        <f t="array" ref="AK99">INDEX(Subject!$A:$I,MATCH(RANDBETWEEN(1,16),Subject!$B:$B,0),3)</f>
        <v>#N/A</v>
      </c>
      <c r="AL99" s="8" t="str">
        <f t="array" ref="AL99">INDEX(Subject!$A:$I,MATCH(RANDBETWEEN(1,16),Subject!$B:$B,0),3)</f>
        <v>#N/A</v>
      </c>
      <c r="AM99" s="18">
        <f t="shared" si="4"/>
        <v>45599.33333</v>
      </c>
      <c r="AN99" s="19">
        <f t="shared" ref="AN99:BZ99" si="99">$A99+C$1</f>
        <v>45599.35417</v>
      </c>
      <c r="AO99" s="19">
        <f t="shared" si="99"/>
        <v>45599.375</v>
      </c>
      <c r="AP99" s="19">
        <f t="shared" si="99"/>
        <v>45599.39583</v>
      </c>
      <c r="AQ99" s="19">
        <f t="shared" si="99"/>
        <v>45599.41667</v>
      </c>
      <c r="AR99" s="19">
        <f t="shared" si="99"/>
        <v>45599.4375</v>
      </c>
      <c r="AS99" s="19">
        <f t="shared" si="99"/>
        <v>45599.45833</v>
      </c>
      <c r="AT99" s="19">
        <f t="shared" si="99"/>
        <v>45599.47917</v>
      </c>
      <c r="AU99" s="19">
        <f t="shared" si="99"/>
        <v>45599.5</v>
      </c>
      <c r="AV99" s="19">
        <f t="shared" si="99"/>
        <v>45599.52083</v>
      </c>
      <c r="AW99" s="19">
        <f t="shared" si="99"/>
        <v>45599.54167</v>
      </c>
      <c r="AX99" s="19">
        <f t="shared" si="99"/>
        <v>45599.5625</v>
      </c>
      <c r="AY99" s="19">
        <f t="shared" si="99"/>
        <v>45599.58333</v>
      </c>
      <c r="AZ99" s="19">
        <f t="shared" si="99"/>
        <v>45599.60417</v>
      </c>
      <c r="BA99" s="19">
        <f t="shared" si="99"/>
        <v>45599.625</v>
      </c>
      <c r="BB99" s="19">
        <f t="shared" si="99"/>
        <v>45599.64583</v>
      </c>
      <c r="BC99" s="19">
        <f t="shared" si="99"/>
        <v>45599.66667</v>
      </c>
      <c r="BD99" s="19">
        <f t="shared" si="99"/>
        <v>45599.6875</v>
      </c>
      <c r="BE99" s="19">
        <f t="shared" si="99"/>
        <v>45599.70833</v>
      </c>
      <c r="BF99" s="19">
        <f t="shared" si="99"/>
        <v>45599.72917</v>
      </c>
      <c r="BG99" s="19">
        <f t="shared" si="99"/>
        <v>45599.75</v>
      </c>
      <c r="BH99" s="19">
        <f t="shared" si="99"/>
        <v>45599.77083</v>
      </c>
      <c r="BI99" s="19">
        <f t="shared" si="99"/>
        <v>45599.79167</v>
      </c>
      <c r="BJ99" s="19">
        <f t="shared" si="99"/>
        <v>45599.8125</v>
      </c>
      <c r="BK99" s="19">
        <f t="shared" si="99"/>
        <v>45599.83333</v>
      </c>
      <c r="BL99" s="19">
        <f t="shared" si="99"/>
        <v>45599.85417</v>
      </c>
      <c r="BM99" s="19">
        <f t="shared" si="99"/>
        <v>45599.875</v>
      </c>
      <c r="BN99" s="19">
        <f t="shared" si="99"/>
        <v>45599.89583</v>
      </c>
      <c r="BO99" s="19">
        <f t="shared" si="99"/>
        <v>45599.91667</v>
      </c>
      <c r="BP99" s="19">
        <f t="shared" si="99"/>
        <v>45599.9375</v>
      </c>
      <c r="BQ99" s="19">
        <f t="shared" si="99"/>
        <v>45599.95833</v>
      </c>
      <c r="BR99" s="19">
        <f t="shared" si="99"/>
        <v>45599.97917</v>
      </c>
      <c r="BS99" s="19">
        <f t="shared" si="99"/>
        <v>45600</v>
      </c>
      <c r="BT99" s="19">
        <f t="shared" si="99"/>
        <v>45600.02083</v>
      </c>
      <c r="BU99" s="19">
        <f t="shared" si="99"/>
        <v>45600.04167</v>
      </c>
      <c r="BV99" s="19">
        <f t="shared" si="99"/>
        <v>45600.0625</v>
      </c>
      <c r="BW99" s="19">
        <f t="shared" si="99"/>
        <v>45600.08333</v>
      </c>
      <c r="BX99" s="19">
        <f t="shared" si="99"/>
        <v>45599</v>
      </c>
      <c r="BY99" s="19">
        <f t="shared" si="99"/>
        <v>45599</v>
      </c>
      <c r="BZ99" s="19">
        <f t="shared" si="99"/>
        <v>45599</v>
      </c>
    </row>
    <row r="100" ht="14.25" customHeight="1">
      <c r="A100" s="17">
        <v>45600.0</v>
      </c>
      <c r="B100" s="2" t="str">
        <f t="array" ref="B100">IF(NOW()&gt;AM100,"",IF(AND((WEEKDAY($A100)+$B$2)&gt;1,((WEEKDAY($A100)+$T$2)&lt;7),(WEEKDAY($A100)&lt;&gt;1)),"work",(INDEX(Subject!$A:$I,MATCH(RANDBETWEEN(1,(MAX(Subject!$B:$B))),Subject!$B:$B,0),3))))</f>
        <v/>
      </c>
      <c r="C100" s="2" t="str">
        <f t="array" ref="C100">IF(NOW()&gt;AN100,"",IF(AND((WEEKDAY($A100)+$B$2)&gt;1,((WEEKDAY($A100)+$T$2)&lt;7),(WEEKDAY($A100)&lt;&gt;1)),"work",(INDEX(Subject!$A:$I,MATCH(RANDBETWEEN(1,(MAX(Subject!$B:$B))),Subject!$B:$B,0),3))))</f>
        <v/>
      </c>
      <c r="D100" s="2" t="str">
        <f t="array" ref="D100">IF(NOW()&gt;AO100,"",IF(AND((WEEKDAY($A100)+$B$2)&gt;1,((WEEKDAY($A100)+$T$2)&lt;7),(WEEKDAY($A100)&lt;&gt;1)),"work",(INDEX(Subject!$A:$I,MATCH(RANDBETWEEN(1,(MAX(Subject!$B:$B))),Subject!$B:$B,0),3))))</f>
        <v/>
      </c>
      <c r="E100" s="2" t="str">
        <f t="array" ref="E100">IF(NOW()&gt;AP100,"",IF(AND((WEEKDAY($A100)+$B$2)&gt;1,((WEEKDAY($A100)+$T$2)&lt;7),(WEEKDAY($A100)&lt;&gt;1)),"work",(INDEX(Subject!$A:$I,MATCH(RANDBETWEEN(1,(MAX(Subject!$B:$B))),Subject!$B:$B,0),3))))</f>
        <v/>
      </c>
      <c r="F100" s="2" t="str">
        <f t="array" ref="F100">IF(NOW()&gt;AQ100,"",IF(AND((WEEKDAY($A100)+$B$2)&gt;1,((WEEKDAY($A100)+$T$2)&lt;7),(WEEKDAY($A100)&lt;&gt;1)),"work",(INDEX(Subject!$A:$I,MATCH(RANDBETWEEN(1,(MAX(Subject!$B:$B))),Subject!$B:$B,0),3))))</f>
        <v/>
      </c>
      <c r="G100" s="2" t="str">
        <f t="array" ref="G100">IF(NOW()&gt;AR100,"",IF(AND((WEEKDAY($A100)+$B$2)&gt;1,((WEEKDAY($A100)+$T$2)&lt;7),(WEEKDAY($A100)&lt;&gt;1)),"work",(INDEX(Subject!$A:$I,MATCH(RANDBETWEEN(1,(MAX(Subject!$B:$B))),Subject!$B:$B,0),3))))</f>
        <v/>
      </c>
      <c r="H100" s="2" t="str">
        <f t="array" ref="H100">IF(NOW()&gt;AS100,"",IF(AND((WEEKDAY($A100)+$B$2)&gt;1,((WEEKDAY($A100)+$T$2)&lt;7),(WEEKDAY($A100)&lt;&gt;1)),"work",(INDEX(Subject!$A:$I,MATCH(RANDBETWEEN(1,(MAX(Subject!$B:$B))),Subject!$B:$B,0),3))))</f>
        <v/>
      </c>
      <c r="I100" s="2" t="str">
        <f t="array" ref="I100">IF(NOW()&gt;AT100,"",IF(AND((WEEKDAY($A100)+$B$2)&gt;1,((WEEKDAY($A100)+$T$2)&lt;7),(WEEKDAY($A100)&lt;&gt;1)),"work",(INDEX(Subject!$A:$I,MATCH(RANDBETWEEN(1,(MAX(Subject!$B:$B))),Subject!$B:$B,0),3))))</f>
        <v/>
      </c>
      <c r="J100" s="2" t="str">
        <f t="array" ref="J100">IF(NOW()&gt;AU100,"",IF(AND((WEEKDAY($A100)+$B$2)&gt;1,((WEEKDAY($A100)+$T$2)&lt;7),(WEEKDAY($A100)&lt;&gt;1)),"work",(INDEX(Subject!$A:$I,MATCH(RANDBETWEEN(1,(MAX(Subject!$B:$B))),Subject!$B:$B,0),3))))</f>
        <v/>
      </c>
      <c r="K100" s="2" t="str">
        <f t="array" ref="K100">IF(NOW()&gt;AV100,"",IF(AND((WEEKDAY($A100)+$B$2)&gt;1,((WEEKDAY($A100)+$T$2)&lt;7),(WEEKDAY($A100)&lt;&gt;1)),"work",(INDEX(Subject!$A:$I,MATCH(RANDBETWEEN(1,(MAX(Subject!$B:$B))),Subject!$B:$B,0),3))))</f>
        <v/>
      </c>
      <c r="L100" s="2" t="str">
        <f t="array" ref="L100">IF(NOW()&gt;AW100,"",IF(AND((WEEKDAY($A100)+$B$2)&gt;1,((WEEKDAY($A100)+$T$2)&lt;7),(WEEKDAY($A100)&lt;&gt;1)),"work",(INDEX(Subject!$A:$I,MATCH(RANDBETWEEN(1,(MAX(Subject!$B:$B))),Subject!$B:$B,0),3))))</f>
        <v/>
      </c>
      <c r="M100" s="2" t="str">
        <f t="array" ref="M100">IF(NOW()&gt;AX100,"",IF(AND((WEEKDAY($A100)+$B$2)&gt;1,((WEEKDAY($A100)+$T$2)&lt;7),(WEEKDAY($A100)&lt;&gt;1)),"work",(INDEX(Subject!$A:$I,MATCH(RANDBETWEEN(1,(MAX(Subject!$B:$B))),Subject!$B:$B,0),3))))</f>
        <v/>
      </c>
      <c r="N100" s="2" t="str">
        <f t="array" ref="N100">IF(NOW()&gt;AY100,"",IF(AND((WEEKDAY($A100)+$B$2)&gt;1,((WEEKDAY($A100)+$T$2)&lt;7),(WEEKDAY($A100)&lt;&gt;1)),"work",(INDEX(Subject!$A:$I,MATCH(RANDBETWEEN(1,(MAX(Subject!$B:$B))),Subject!$B:$B,0),3))))</f>
        <v/>
      </c>
      <c r="O100" s="2" t="str">
        <f t="array" ref="O100">IF(NOW()&gt;AZ100,"",IF(AND((WEEKDAY($A100)+$B$2)&gt;1,((WEEKDAY($A100)+$T$2)&lt;7),(WEEKDAY($A100)&lt;&gt;1)),"work",(INDEX(Subject!$A:$I,MATCH(RANDBETWEEN(1,(MAX(Subject!$B:$B))),Subject!$B:$B,0),3))))</f>
        <v/>
      </c>
      <c r="P100" s="2" t="str">
        <f t="array" ref="P100">IF(NOW()&gt;BA100,"",IF(AND((WEEKDAY($A100)+$B$2)&gt;1,((WEEKDAY($A100)+$T$2)&lt;7),(WEEKDAY($A100)&lt;&gt;1)),"work",(INDEX(Subject!$A:$I,MATCH(RANDBETWEEN(1,(MAX(Subject!$B:$B))),Subject!$B:$B,0),3))))</f>
        <v/>
      </c>
      <c r="Q100" s="2" t="str">
        <f t="array" ref="Q100">IF(NOW()&gt;BB100,"",IF(AND((WEEKDAY($A100)+$B$2)&gt;1,((WEEKDAY($A100)+$T$2)&lt;7),(WEEKDAY($A100)&lt;&gt;1)),"work",(INDEX(Subject!$A:$I,MATCH(RANDBETWEEN(1,(MAX(Subject!$B:$B))),Subject!$B:$B,0),3))))</f>
        <v/>
      </c>
      <c r="R100" s="2" t="str">
        <f t="array" ref="R100">IF(NOW()&gt;BC100,"",IF(AND((WEEKDAY($A100)+$B$2)&gt;1,((WEEKDAY($A100)+$T$2)&lt;7),(WEEKDAY($A100)&lt;&gt;1)),"work",(INDEX(Subject!$A:$I,MATCH(RANDBETWEEN(1,(MAX(Subject!$B:$B))),Subject!$B:$B,0),3))))</f>
        <v/>
      </c>
      <c r="S100" s="2" t="str">
        <f t="array" ref="S100">IF(NOW()&gt;BD100,"",IF(AND((WEEKDAY($A100)+$B$2)&gt;1,((WEEKDAY($A100)+$T$2)&lt;7),(WEEKDAY($A100)&lt;&gt;1)),"work",(INDEX(Subject!$A:$I,MATCH(RANDBETWEEN(1,(MAX(Subject!$B:$B))),Subject!$B:$B,0),3))))</f>
        <v/>
      </c>
      <c r="T100" s="2" t="str">
        <f t="array" ref="T100">IF(NOW()&gt;BE100,"",IF(AND((WEEKDAY($A100)+$B$2)&gt;1,((WEEKDAY($A100)+$T$2)&lt;7),(WEEKDAY($A100)&lt;&gt;1)),"work",(INDEX(Subject!$A:$I,MATCH(RANDBETWEEN(1,(MAX(Subject!$B:$B))),Subject!$B:$B,0),3))))</f>
        <v/>
      </c>
      <c r="U100" s="8" t="str">
        <f t="array" ref="U100">INDEX(Subject!$A:$I,MATCH(RANDBETWEEN(1,16),Subject!$B:$B,0),3)</f>
        <v>#N/A</v>
      </c>
      <c r="V100" s="8" t="str">
        <f t="array" ref="V100">INDEX(Subject!$A:$I,MATCH(RANDBETWEEN(1,16),Subject!$B:$B,0),3)</f>
        <v>#N/A</v>
      </c>
      <c r="W100" s="8" t="str">
        <f t="array" ref="W100">INDEX(Subject!$A:$I,MATCH(RANDBETWEEN(1,16),Subject!$B:$B,0),3)</f>
        <v>#N/A</v>
      </c>
      <c r="X100" s="8" t="str">
        <f t="array" ref="X100">INDEX(Subject!$A:$I,MATCH(RANDBETWEEN(1,16),Subject!$B:$B,0),3)</f>
        <v>#N/A</v>
      </c>
      <c r="Y100" s="8" t="str">
        <f t="array" ref="Y100">INDEX(Subject!$A:$I,MATCH(RANDBETWEEN(1,16),Subject!$B:$B,0),3)</f>
        <v>#N/A</v>
      </c>
      <c r="Z100" s="8" t="str">
        <f t="array" ref="Z100">INDEX(Subject!$A:$I,MATCH(RANDBETWEEN(1,16),Subject!$B:$B,0),3)</f>
        <v>#N/A</v>
      </c>
      <c r="AA100" s="8" t="str">
        <f t="array" ref="AA100">INDEX(Subject!$A:$I,MATCH(RANDBETWEEN(1,16),Subject!$B:$B,0),3)</f>
        <v>#N/A</v>
      </c>
      <c r="AB100" s="8" t="str">
        <f t="array" ref="AB100">INDEX(Subject!$A:$I,MATCH(RANDBETWEEN(1,16),Subject!$B:$B,0),3)</f>
        <v>#N/A</v>
      </c>
      <c r="AC100" s="8" t="str">
        <f t="array" ref="AC100">INDEX(Subject!$A:$I,MATCH(RANDBETWEEN(1,16),Subject!$B:$B,0),3)</f>
        <v>#N/A</v>
      </c>
      <c r="AD100" s="8" t="str">
        <f t="array" ref="AD100">INDEX(Subject!$A:$I,MATCH(RANDBETWEEN(1,16),Subject!$B:$B,0),3)</f>
        <v/>
      </c>
      <c r="AE100" s="8" t="str">
        <f t="array" ref="AE100">INDEX(Subject!$A:$I,MATCH(RANDBETWEEN(1,16),Subject!$B:$B,0),3)</f>
        <v>#N/A</v>
      </c>
      <c r="AF100" s="8" t="str">
        <f t="array" ref="AF100">INDEX(Subject!$A:$I,MATCH(RANDBETWEEN(1,16),Subject!$B:$B,0),3)</f>
        <v/>
      </c>
      <c r="AG100" s="8" t="str">
        <f t="array" ref="AG100">INDEX(Subject!$A:$I,MATCH(RANDBETWEEN(1,16),Subject!$B:$B,0),3)</f>
        <v>#N/A</v>
      </c>
      <c r="AH100" s="8" t="str">
        <f t="array" ref="AH100">INDEX(Subject!$A:$I,MATCH(RANDBETWEEN(1,16),Subject!$B:$B,0),3)</f>
        <v>#N/A</v>
      </c>
      <c r="AI100" s="8" t="str">
        <f t="array" ref="AI100">INDEX(Subject!$A:$I,MATCH(RANDBETWEEN(1,16),Subject!$B:$B,0),3)</f>
        <v>#N/A</v>
      </c>
      <c r="AJ100" s="8" t="str">
        <f t="array" ref="AJ100">INDEX(Subject!$A:$I,MATCH(RANDBETWEEN(1,16),Subject!$B:$B,0),3)</f>
        <v>#N/A</v>
      </c>
      <c r="AK100" s="8" t="str">
        <f t="array" ref="AK100">INDEX(Subject!$A:$I,MATCH(RANDBETWEEN(1,16),Subject!$B:$B,0),3)</f>
        <v>#N/A</v>
      </c>
      <c r="AL100" s="8" t="str">
        <f t="array" ref="AL100">INDEX(Subject!$A:$I,MATCH(RANDBETWEEN(1,16),Subject!$B:$B,0),3)</f>
        <v>#N/A</v>
      </c>
      <c r="AM100" s="18">
        <f t="shared" si="4"/>
        <v>45600.33333</v>
      </c>
      <c r="AN100" s="19">
        <f t="shared" ref="AN100:BZ100" si="100">$A100+C$1</f>
        <v>45600.35417</v>
      </c>
      <c r="AO100" s="19">
        <f t="shared" si="100"/>
        <v>45600.375</v>
      </c>
      <c r="AP100" s="19">
        <f t="shared" si="100"/>
        <v>45600.39583</v>
      </c>
      <c r="AQ100" s="19">
        <f t="shared" si="100"/>
        <v>45600.41667</v>
      </c>
      <c r="AR100" s="19">
        <f t="shared" si="100"/>
        <v>45600.4375</v>
      </c>
      <c r="AS100" s="19">
        <f t="shared" si="100"/>
        <v>45600.45833</v>
      </c>
      <c r="AT100" s="19">
        <f t="shared" si="100"/>
        <v>45600.47917</v>
      </c>
      <c r="AU100" s="19">
        <f t="shared" si="100"/>
        <v>45600.5</v>
      </c>
      <c r="AV100" s="19">
        <f t="shared" si="100"/>
        <v>45600.52083</v>
      </c>
      <c r="AW100" s="19">
        <f t="shared" si="100"/>
        <v>45600.54167</v>
      </c>
      <c r="AX100" s="19">
        <f t="shared" si="100"/>
        <v>45600.5625</v>
      </c>
      <c r="AY100" s="19">
        <f t="shared" si="100"/>
        <v>45600.58333</v>
      </c>
      <c r="AZ100" s="19">
        <f t="shared" si="100"/>
        <v>45600.60417</v>
      </c>
      <c r="BA100" s="19">
        <f t="shared" si="100"/>
        <v>45600.625</v>
      </c>
      <c r="BB100" s="19">
        <f t="shared" si="100"/>
        <v>45600.64583</v>
      </c>
      <c r="BC100" s="19">
        <f t="shared" si="100"/>
        <v>45600.66667</v>
      </c>
      <c r="BD100" s="19">
        <f t="shared" si="100"/>
        <v>45600.6875</v>
      </c>
      <c r="BE100" s="19">
        <f t="shared" si="100"/>
        <v>45600.70833</v>
      </c>
      <c r="BF100" s="19">
        <f t="shared" si="100"/>
        <v>45600.72917</v>
      </c>
      <c r="BG100" s="19">
        <f t="shared" si="100"/>
        <v>45600.75</v>
      </c>
      <c r="BH100" s="19">
        <f t="shared" si="100"/>
        <v>45600.77083</v>
      </c>
      <c r="BI100" s="19">
        <f t="shared" si="100"/>
        <v>45600.79167</v>
      </c>
      <c r="BJ100" s="19">
        <f t="shared" si="100"/>
        <v>45600.8125</v>
      </c>
      <c r="BK100" s="19">
        <f t="shared" si="100"/>
        <v>45600.83333</v>
      </c>
      <c r="BL100" s="19">
        <f t="shared" si="100"/>
        <v>45600.85417</v>
      </c>
      <c r="BM100" s="19">
        <f t="shared" si="100"/>
        <v>45600.875</v>
      </c>
      <c r="BN100" s="19">
        <f t="shared" si="100"/>
        <v>45600.89583</v>
      </c>
      <c r="BO100" s="19">
        <f t="shared" si="100"/>
        <v>45600.91667</v>
      </c>
      <c r="BP100" s="19">
        <f t="shared" si="100"/>
        <v>45600.9375</v>
      </c>
      <c r="BQ100" s="19">
        <f t="shared" si="100"/>
        <v>45600.95833</v>
      </c>
      <c r="BR100" s="19">
        <f t="shared" si="100"/>
        <v>45600.97917</v>
      </c>
      <c r="BS100" s="19">
        <f t="shared" si="100"/>
        <v>45601</v>
      </c>
      <c r="BT100" s="19">
        <f t="shared" si="100"/>
        <v>45601.02083</v>
      </c>
      <c r="BU100" s="19">
        <f t="shared" si="100"/>
        <v>45601.04167</v>
      </c>
      <c r="BV100" s="19">
        <f t="shared" si="100"/>
        <v>45601.0625</v>
      </c>
      <c r="BW100" s="19">
        <f t="shared" si="100"/>
        <v>45601.08333</v>
      </c>
      <c r="BX100" s="19">
        <f t="shared" si="100"/>
        <v>45600</v>
      </c>
      <c r="BY100" s="19">
        <f t="shared" si="100"/>
        <v>45600</v>
      </c>
      <c r="BZ100" s="19">
        <f t="shared" si="100"/>
        <v>45600</v>
      </c>
    </row>
    <row r="101" ht="14.25" customHeight="1">
      <c r="A101" s="17">
        <v>45601.0</v>
      </c>
      <c r="B101" s="2" t="str">
        <f t="array" ref="B101">IF(NOW()&gt;AM101,"",IF(AND((WEEKDAY($A101)+$B$2)&gt;1,((WEEKDAY($A101)+$T$2)&lt;7),(WEEKDAY($A101)&lt;&gt;1)),"work",(INDEX(Subject!$A:$I,MATCH(RANDBETWEEN(1,(MAX(Subject!$B:$B))),Subject!$B:$B,0),3))))</f>
        <v/>
      </c>
      <c r="C101" s="2" t="str">
        <f t="array" ref="C101">IF(NOW()&gt;AN101,"",IF(AND((WEEKDAY($A101)+$B$2)&gt;1,((WEEKDAY($A101)+$T$2)&lt;7),(WEEKDAY($A101)&lt;&gt;1)),"work",(INDEX(Subject!$A:$I,MATCH(RANDBETWEEN(1,(MAX(Subject!$B:$B))),Subject!$B:$B,0),3))))</f>
        <v/>
      </c>
      <c r="D101" s="2" t="str">
        <f t="array" ref="D101">IF(NOW()&gt;AO101,"",IF(AND((WEEKDAY($A101)+$B$2)&gt;1,((WEEKDAY($A101)+$T$2)&lt;7),(WEEKDAY($A101)&lt;&gt;1)),"work",(INDEX(Subject!$A:$I,MATCH(RANDBETWEEN(1,(MAX(Subject!$B:$B))),Subject!$B:$B,0),3))))</f>
        <v/>
      </c>
      <c r="E101" s="2" t="str">
        <f t="array" ref="E101">IF(NOW()&gt;AP101,"",IF(AND((WEEKDAY($A101)+$B$2)&gt;1,((WEEKDAY($A101)+$T$2)&lt;7),(WEEKDAY($A101)&lt;&gt;1)),"work",(INDEX(Subject!$A:$I,MATCH(RANDBETWEEN(1,(MAX(Subject!$B:$B))),Subject!$B:$B,0),3))))</f>
        <v/>
      </c>
      <c r="F101" s="2" t="str">
        <f t="array" ref="F101">IF(NOW()&gt;AQ101,"",IF(AND((WEEKDAY($A101)+$B$2)&gt;1,((WEEKDAY($A101)+$T$2)&lt;7),(WEEKDAY($A101)&lt;&gt;1)),"work",(INDEX(Subject!$A:$I,MATCH(RANDBETWEEN(1,(MAX(Subject!$B:$B))),Subject!$B:$B,0),3))))</f>
        <v/>
      </c>
      <c r="G101" s="2" t="str">
        <f t="array" ref="G101">IF(NOW()&gt;AR101,"",IF(AND((WEEKDAY($A101)+$B$2)&gt;1,((WEEKDAY($A101)+$T$2)&lt;7),(WEEKDAY($A101)&lt;&gt;1)),"work",(INDEX(Subject!$A:$I,MATCH(RANDBETWEEN(1,(MAX(Subject!$B:$B))),Subject!$B:$B,0),3))))</f>
        <v/>
      </c>
      <c r="H101" s="2" t="str">
        <f t="array" ref="H101">IF(NOW()&gt;AS101,"",IF(AND((WEEKDAY($A101)+$B$2)&gt;1,((WEEKDAY($A101)+$T$2)&lt;7),(WEEKDAY($A101)&lt;&gt;1)),"work",(INDEX(Subject!$A:$I,MATCH(RANDBETWEEN(1,(MAX(Subject!$B:$B))),Subject!$B:$B,0),3))))</f>
        <v/>
      </c>
      <c r="I101" s="2" t="str">
        <f t="array" ref="I101">IF(NOW()&gt;AT101,"",IF(AND((WEEKDAY($A101)+$B$2)&gt;1,((WEEKDAY($A101)+$T$2)&lt;7),(WEEKDAY($A101)&lt;&gt;1)),"work",(INDEX(Subject!$A:$I,MATCH(RANDBETWEEN(1,(MAX(Subject!$B:$B))),Subject!$B:$B,0),3))))</f>
        <v/>
      </c>
      <c r="J101" s="2" t="str">
        <f t="array" ref="J101">IF(NOW()&gt;AU101,"",IF(AND((WEEKDAY($A101)+$B$2)&gt;1,((WEEKDAY($A101)+$T$2)&lt;7),(WEEKDAY($A101)&lt;&gt;1)),"work",(INDEX(Subject!$A:$I,MATCH(RANDBETWEEN(1,(MAX(Subject!$B:$B))),Subject!$B:$B,0),3))))</f>
        <v/>
      </c>
      <c r="K101" s="2" t="str">
        <f t="array" ref="K101">IF(NOW()&gt;AV101,"",IF(AND((WEEKDAY($A101)+$B$2)&gt;1,((WEEKDAY($A101)+$T$2)&lt;7),(WEEKDAY($A101)&lt;&gt;1)),"work",(INDEX(Subject!$A:$I,MATCH(RANDBETWEEN(1,(MAX(Subject!$B:$B))),Subject!$B:$B,0),3))))</f>
        <v/>
      </c>
      <c r="L101" s="2" t="str">
        <f t="array" ref="L101">IF(NOW()&gt;AW101,"",IF(AND((WEEKDAY($A101)+$B$2)&gt;1,((WEEKDAY($A101)+$T$2)&lt;7),(WEEKDAY($A101)&lt;&gt;1)),"work",(INDEX(Subject!$A:$I,MATCH(RANDBETWEEN(1,(MAX(Subject!$B:$B))),Subject!$B:$B,0),3))))</f>
        <v/>
      </c>
      <c r="M101" s="2" t="str">
        <f t="array" ref="M101">IF(NOW()&gt;AX101,"",IF(AND((WEEKDAY($A101)+$B$2)&gt;1,((WEEKDAY($A101)+$T$2)&lt;7),(WEEKDAY($A101)&lt;&gt;1)),"work",(INDEX(Subject!$A:$I,MATCH(RANDBETWEEN(1,(MAX(Subject!$B:$B))),Subject!$B:$B,0),3))))</f>
        <v/>
      </c>
      <c r="N101" s="2" t="str">
        <f t="array" ref="N101">IF(NOW()&gt;AY101,"",IF(AND((WEEKDAY($A101)+$B$2)&gt;1,((WEEKDAY($A101)+$T$2)&lt;7),(WEEKDAY($A101)&lt;&gt;1)),"work",(INDEX(Subject!$A:$I,MATCH(RANDBETWEEN(1,(MAX(Subject!$B:$B))),Subject!$B:$B,0),3))))</f>
        <v/>
      </c>
      <c r="O101" s="2" t="str">
        <f t="array" ref="O101">IF(NOW()&gt;AZ101,"",IF(AND((WEEKDAY($A101)+$B$2)&gt;1,((WEEKDAY($A101)+$T$2)&lt;7),(WEEKDAY($A101)&lt;&gt;1)),"work",(INDEX(Subject!$A:$I,MATCH(RANDBETWEEN(1,(MAX(Subject!$B:$B))),Subject!$B:$B,0),3))))</f>
        <v/>
      </c>
      <c r="P101" s="2" t="str">
        <f t="array" ref="P101">IF(NOW()&gt;BA101,"",IF(AND((WEEKDAY($A101)+$B$2)&gt;1,((WEEKDAY($A101)+$T$2)&lt;7),(WEEKDAY($A101)&lt;&gt;1)),"work",(INDEX(Subject!$A:$I,MATCH(RANDBETWEEN(1,(MAX(Subject!$B:$B))),Subject!$B:$B,0),3))))</f>
        <v/>
      </c>
      <c r="Q101" s="2" t="str">
        <f t="array" ref="Q101">IF(NOW()&gt;BB101,"",IF(AND((WEEKDAY($A101)+$B$2)&gt;1,((WEEKDAY($A101)+$T$2)&lt;7),(WEEKDAY($A101)&lt;&gt;1)),"work",(INDEX(Subject!$A:$I,MATCH(RANDBETWEEN(1,(MAX(Subject!$B:$B))),Subject!$B:$B,0),3))))</f>
        <v/>
      </c>
      <c r="R101" s="2" t="str">
        <f t="array" ref="R101">IF(NOW()&gt;BC101,"",IF(AND((WEEKDAY($A101)+$B$2)&gt;1,((WEEKDAY($A101)+$T$2)&lt;7),(WEEKDAY($A101)&lt;&gt;1)),"work",(INDEX(Subject!$A:$I,MATCH(RANDBETWEEN(1,(MAX(Subject!$B:$B))),Subject!$B:$B,0),3))))</f>
        <v/>
      </c>
      <c r="S101" s="2" t="str">
        <f t="array" ref="S101">IF(NOW()&gt;BD101,"",IF(AND((WEEKDAY($A101)+$B$2)&gt;1,((WEEKDAY($A101)+$T$2)&lt;7),(WEEKDAY($A101)&lt;&gt;1)),"work",(INDEX(Subject!$A:$I,MATCH(RANDBETWEEN(1,(MAX(Subject!$B:$B))),Subject!$B:$B,0),3))))</f>
        <v/>
      </c>
      <c r="T101" s="2" t="str">
        <f t="array" ref="T101">IF(NOW()&gt;BE101,"",IF(AND((WEEKDAY($A101)+$B$2)&gt;1,((WEEKDAY($A101)+$T$2)&lt;7),(WEEKDAY($A101)&lt;&gt;1)),"work",(INDEX(Subject!$A:$I,MATCH(RANDBETWEEN(1,(MAX(Subject!$B:$B))),Subject!$B:$B,0),3))))</f>
        <v/>
      </c>
      <c r="U101" s="8" t="str">
        <f t="array" ref="U101">INDEX(Subject!$A:$I,MATCH(RANDBETWEEN(1,16),Subject!$B:$B,0),3)</f>
        <v>#N/A</v>
      </c>
      <c r="V101" s="8" t="str">
        <f t="array" ref="V101">INDEX(Subject!$A:$I,MATCH(RANDBETWEEN(1,16),Subject!$B:$B,0),3)</f>
        <v/>
      </c>
      <c r="W101" s="8" t="str">
        <f t="array" ref="W101">INDEX(Subject!$A:$I,MATCH(RANDBETWEEN(1,16),Subject!$B:$B,0),3)</f>
        <v>#N/A</v>
      </c>
      <c r="X101" s="8" t="str">
        <f t="array" ref="X101">INDEX(Subject!$A:$I,MATCH(RANDBETWEEN(1,16),Subject!$B:$B,0),3)</f>
        <v/>
      </c>
      <c r="Y101" s="8" t="str">
        <f t="array" ref="Y101">INDEX(Subject!$A:$I,MATCH(RANDBETWEEN(1,16),Subject!$B:$B,0),3)</f>
        <v>#N/A</v>
      </c>
      <c r="Z101" s="8" t="str">
        <f t="array" ref="Z101">INDEX(Subject!$A:$I,MATCH(RANDBETWEEN(1,16),Subject!$B:$B,0),3)</f>
        <v>#N/A</v>
      </c>
      <c r="AA101" s="8" t="str">
        <f t="array" ref="AA101">INDEX(Subject!$A:$I,MATCH(RANDBETWEEN(1,16),Subject!$B:$B,0),3)</f>
        <v>#N/A</v>
      </c>
      <c r="AB101" s="8" t="str">
        <f t="array" ref="AB101">INDEX(Subject!$A:$I,MATCH(RANDBETWEEN(1,16),Subject!$B:$B,0),3)</f>
        <v>#N/A</v>
      </c>
      <c r="AC101" s="8" t="str">
        <f t="array" ref="AC101">INDEX(Subject!$A:$I,MATCH(RANDBETWEEN(1,16),Subject!$B:$B,0),3)</f>
        <v>#N/A</v>
      </c>
      <c r="AD101" s="8" t="str">
        <f t="array" ref="AD101">INDEX(Subject!$A:$I,MATCH(RANDBETWEEN(1,16),Subject!$B:$B,0),3)</f>
        <v>#N/A</v>
      </c>
      <c r="AE101" s="8" t="str">
        <f t="array" ref="AE101">INDEX(Subject!$A:$I,MATCH(RANDBETWEEN(1,16),Subject!$B:$B,0),3)</f>
        <v>#N/A</v>
      </c>
      <c r="AF101" s="8" t="str">
        <f t="array" ref="AF101">INDEX(Subject!$A:$I,MATCH(RANDBETWEEN(1,16),Subject!$B:$B,0),3)</f>
        <v>#N/A</v>
      </c>
      <c r="AG101" s="8" t="str">
        <f t="array" ref="AG101">INDEX(Subject!$A:$I,MATCH(RANDBETWEEN(1,16),Subject!$B:$B,0),3)</f>
        <v>#N/A</v>
      </c>
      <c r="AH101" s="8" t="str">
        <f t="array" ref="AH101">INDEX(Subject!$A:$I,MATCH(RANDBETWEEN(1,16),Subject!$B:$B,0),3)</f>
        <v>#N/A</v>
      </c>
      <c r="AI101" s="8" t="str">
        <f t="array" ref="AI101">INDEX(Subject!$A:$I,MATCH(RANDBETWEEN(1,16),Subject!$B:$B,0),3)</f>
        <v>#N/A</v>
      </c>
      <c r="AJ101" s="8" t="str">
        <f t="array" ref="AJ101">INDEX(Subject!$A:$I,MATCH(RANDBETWEEN(1,16),Subject!$B:$B,0),3)</f>
        <v>#N/A</v>
      </c>
      <c r="AK101" s="8" t="str">
        <f t="array" ref="AK101">INDEX(Subject!$A:$I,MATCH(RANDBETWEEN(1,16),Subject!$B:$B,0),3)</f>
        <v>#N/A</v>
      </c>
      <c r="AL101" s="8" t="str">
        <f t="array" ref="AL101">INDEX(Subject!$A:$I,MATCH(RANDBETWEEN(1,16),Subject!$B:$B,0),3)</f>
        <v>#N/A</v>
      </c>
      <c r="AM101" s="18">
        <f t="shared" si="4"/>
        <v>45601.33333</v>
      </c>
      <c r="AN101" s="19">
        <f t="shared" ref="AN101:BZ101" si="101">$A101+C$1</f>
        <v>45601.35417</v>
      </c>
      <c r="AO101" s="19">
        <f t="shared" si="101"/>
        <v>45601.375</v>
      </c>
      <c r="AP101" s="19">
        <f t="shared" si="101"/>
        <v>45601.39583</v>
      </c>
      <c r="AQ101" s="19">
        <f t="shared" si="101"/>
        <v>45601.41667</v>
      </c>
      <c r="AR101" s="19">
        <f t="shared" si="101"/>
        <v>45601.4375</v>
      </c>
      <c r="AS101" s="19">
        <f t="shared" si="101"/>
        <v>45601.45833</v>
      </c>
      <c r="AT101" s="19">
        <f t="shared" si="101"/>
        <v>45601.47917</v>
      </c>
      <c r="AU101" s="19">
        <f t="shared" si="101"/>
        <v>45601.5</v>
      </c>
      <c r="AV101" s="19">
        <f t="shared" si="101"/>
        <v>45601.52083</v>
      </c>
      <c r="AW101" s="19">
        <f t="shared" si="101"/>
        <v>45601.54167</v>
      </c>
      <c r="AX101" s="19">
        <f t="shared" si="101"/>
        <v>45601.5625</v>
      </c>
      <c r="AY101" s="19">
        <f t="shared" si="101"/>
        <v>45601.58333</v>
      </c>
      <c r="AZ101" s="19">
        <f t="shared" si="101"/>
        <v>45601.60417</v>
      </c>
      <c r="BA101" s="19">
        <f t="shared" si="101"/>
        <v>45601.625</v>
      </c>
      <c r="BB101" s="19">
        <f t="shared" si="101"/>
        <v>45601.64583</v>
      </c>
      <c r="BC101" s="19">
        <f t="shared" si="101"/>
        <v>45601.66667</v>
      </c>
      <c r="BD101" s="19">
        <f t="shared" si="101"/>
        <v>45601.6875</v>
      </c>
      <c r="BE101" s="19">
        <f t="shared" si="101"/>
        <v>45601.70833</v>
      </c>
      <c r="BF101" s="19">
        <f t="shared" si="101"/>
        <v>45601.72917</v>
      </c>
      <c r="BG101" s="19">
        <f t="shared" si="101"/>
        <v>45601.75</v>
      </c>
      <c r="BH101" s="19">
        <f t="shared" si="101"/>
        <v>45601.77083</v>
      </c>
      <c r="BI101" s="19">
        <f t="shared" si="101"/>
        <v>45601.79167</v>
      </c>
      <c r="BJ101" s="19">
        <f t="shared" si="101"/>
        <v>45601.8125</v>
      </c>
      <c r="BK101" s="19">
        <f t="shared" si="101"/>
        <v>45601.83333</v>
      </c>
      <c r="BL101" s="19">
        <f t="shared" si="101"/>
        <v>45601.85417</v>
      </c>
      <c r="BM101" s="19">
        <f t="shared" si="101"/>
        <v>45601.875</v>
      </c>
      <c r="BN101" s="19">
        <f t="shared" si="101"/>
        <v>45601.89583</v>
      </c>
      <c r="BO101" s="19">
        <f t="shared" si="101"/>
        <v>45601.91667</v>
      </c>
      <c r="BP101" s="19">
        <f t="shared" si="101"/>
        <v>45601.9375</v>
      </c>
      <c r="BQ101" s="19">
        <f t="shared" si="101"/>
        <v>45601.95833</v>
      </c>
      <c r="BR101" s="19">
        <f t="shared" si="101"/>
        <v>45601.97917</v>
      </c>
      <c r="BS101" s="19">
        <f t="shared" si="101"/>
        <v>45602</v>
      </c>
      <c r="BT101" s="19">
        <f t="shared" si="101"/>
        <v>45602.02083</v>
      </c>
      <c r="BU101" s="19">
        <f t="shared" si="101"/>
        <v>45602.04167</v>
      </c>
      <c r="BV101" s="19">
        <f t="shared" si="101"/>
        <v>45602.0625</v>
      </c>
      <c r="BW101" s="19">
        <f t="shared" si="101"/>
        <v>45602.08333</v>
      </c>
      <c r="BX101" s="19">
        <f t="shared" si="101"/>
        <v>45601</v>
      </c>
      <c r="BY101" s="19">
        <f t="shared" si="101"/>
        <v>45601</v>
      </c>
      <c r="BZ101" s="19">
        <f t="shared" si="101"/>
        <v>45601</v>
      </c>
    </row>
    <row r="102" ht="14.25" customHeight="1">
      <c r="A102" s="17">
        <v>45602.0</v>
      </c>
      <c r="B102" s="2" t="str">
        <f t="array" ref="B102">IF(NOW()&gt;AM102,"",IF(AND((WEEKDAY($A102)+$B$2)&gt;1,((WEEKDAY($A102)+$T$2)&lt;7),(WEEKDAY($A102)&lt;&gt;1)),"work",(INDEX(Subject!$A:$I,MATCH(RANDBETWEEN(1,(MAX(Subject!$B:$B))),Subject!$B:$B,0),3))))</f>
        <v/>
      </c>
      <c r="C102" s="2" t="str">
        <f t="array" ref="C102">IF(NOW()&gt;AN102,"",IF(AND((WEEKDAY($A102)+$B$2)&gt;1,((WEEKDAY($A102)+$T$2)&lt;7),(WEEKDAY($A102)&lt;&gt;1)),"work",(INDEX(Subject!$A:$I,MATCH(RANDBETWEEN(1,(MAX(Subject!$B:$B))),Subject!$B:$B,0),3))))</f>
        <v/>
      </c>
      <c r="D102" s="2" t="str">
        <f t="array" ref="D102">IF(NOW()&gt;AO102,"",IF(AND((WEEKDAY($A102)+$B$2)&gt;1,((WEEKDAY($A102)+$T$2)&lt;7),(WEEKDAY($A102)&lt;&gt;1)),"work",(INDEX(Subject!$A:$I,MATCH(RANDBETWEEN(1,(MAX(Subject!$B:$B))),Subject!$B:$B,0),3))))</f>
        <v/>
      </c>
      <c r="E102" s="2" t="str">
        <f t="array" ref="E102">IF(NOW()&gt;AP102,"",IF(AND((WEEKDAY($A102)+$B$2)&gt;1,((WEEKDAY($A102)+$T$2)&lt;7),(WEEKDAY($A102)&lt;&gt;1)),"work",(INDEX(Subject!$A:$I,MATCH(RANDBETWEEN(1,(MAX(Subject!$B:$B))),Subject!$B:$B,0),3))))</f>
        <v/>
      </c>
      <c r="F102" s="2" t="str">
        <f t="array" ref="F102">IF(NOW()&gt;AQ102,"",IF(AND((WEEKDAY($A102)+$B$2)&gt;1,((WEEKDAY($A102)+$T$2)&lt;7),(WEEKDAY($A102)&lt;&gt;1)),"work",(INDEX(Subject!$A:$I,MATCH(RANDBETWEEN(1,(MAX(Subject!$B:$B))),Subject!$B:$B,0),3))))</f>
        <v/>
      </c>
      <c r="G102" s="2" t="str">
        <f t="array" ref="G102">IF(NOW()&gt;AR102,"",IF(AND((WEEKDAY($A102)+$B$2)&gt;1,((WEEKDAY($A102)+$T$2)&lt;7),(WEEKDAY($A102)&lt;&gt;1)),"work",(INDEX(Subject!$A:$I,MATCH(RANDBETWEEN(1,(MAX(Subject!$B:$B))),Subject!$B:$B,0),3))))</f>
        <v/>
      </c>
      <c r="H102" s="2" t="str">
        <f t="array" ref="H102">IF(NOW()&gt;AS102,"",IF(AND((WEEKDAY($A102)+$B$2)&gt;1,((WEEKDAY($A102)+$T$2)&lt;7),(WEEKDAY($A102)&lt;&gt;1)),"work",(INDEX(Subject!$A:$I,MATCH(RANDBETWEEN(1,(MAX(Subject!$B:$B))),Subject!$B:$B,0),3))))</f>
        <v/>
      </c>
      <c r="I102" s="2" t="str">
        <f t="array" ref="I102">IF(NOW()&gt;AT102,"",IF(AND((WEEKDAY($A102)+$B$2)&gt;1,((WEEKDAY($A102)+$T$2)&lt;7),(WEEKDAY($A102)&lt;&gt;1)),"work",(INDEX(Subject!$A:$I,MATCH(RANDBETWEEN(1,(MAX(Subject!$B:$B))),Subject!$B:$B,0),3))))</f>
        <v/>
      </c>
      <c r="J102" s="2" t="str">
        <f t="array" ref="J102">IF(NOW()&gt;AU102,"",IF(AND((WEEKDAY($A102)+$B$2)&gt;1,((WEEKDAY($A102)+$T$2)&lt;7),(WEEKDAY($A102)&lt;&gt;1)),"work",(INDEX(Subject!$A:$I,MATCH(RANDBETWEEN(1,(MAX(Subject!$B:$B))),Subject!$B:$B,0),3))))</f>
        <v/>
      </c>
      <c r="K102" s="2" t="str">
        <f t="array" ref="K102">IF(NOW()&gt;AV102,"",IF(AND((WEEKDAY($A102)+$B$2)&gt;1,((WEEKDAY($A102)+$T$2)&lt;7),(WEEKDAY($A102)&lt;&gt;1)),"work",(INDEX(Subject!$A:$I,MATCH(RANDBETWEEN(1,(MAX(Subject!$B:$B))),Subject!$B:$B,0),3))))</f>
        <v/>
      </c>
      <c r="L102" s="2" t="str">
        <f t="array" ref="L102">IF(NOW()&gt;AW102,"",IF(AND((WEEKDAY($A102)+$B$2)&gt;1,((WEEKDAY($A102)+$T$2)&lt;7),(WEEKDAY($A102)&lt;&gt;1)),"work",(INDEX(Subject!$A:$I,MATCH(RANDBETWEEN(1,(MAX(Subject!$B:$B))),Subject!$B:$B,0),3))))</f>
        <v/>
      </c>
      <c r="M102" s="2" t="str">
        <f t="array" ref="M102">IF(NOW()&gt;AX102,"",IF(AND((WEEKDAY($A102)+$B$2)&gt;1,((WEEKDAY($A102)+$T$2)&lt;7),(WEEKDAY($A102)&lt;&gt;1)),"work",(INDEX(Subject!$A:$I,MATCH(RANDBETWEEN(1,(MAX(Subject!$B:$B))),Subject!$B:$B,0),3))))</f>
        <v/>
      </c>
      <c r="N102" s="2" t="str">
        <f t="array" ref="N102">IF(NOW()&gt;AY102,"",IF(AND((WEEKDAY($A102)+$B$2)&gt;1,((WEEKDAY($A102)+$T$2)&lt;7),(WEEKDAY($A102)&lt;&gt;1)),"work",(INDEX(Subject!$A:$I,MATCH(RANDBETWEEN(1,(MAX(Subject!$B:$B))),Subject!$B:$B,0),3))))</f>
        <v/>
      </c>
      <c r="O102" s="2" t="str">
        <f t="array" ref="O102">IF(NOW()&gt;AZ102,"",IF(AND((WEEKDAY($A102)+$B$2)&gt;1,((WEEKDAY($A102)+$T$2)&lt;7),(WEEKDAY($A102)&lt;&gt;1)),"work",(INDEX(Subject!$A:$I,MATCH(RANDBETWEEN(1,(MAX(Subject!$B:$B))),Subject!$B:$B,0),3))))</f>
        <v/>
      </c>
      <c r="P102" s="2" t="str">
        <f t="array" ref="P102">IF(NOW()&gt;BA102,"",IF(AND((WEEKDAY($A102)+$B$2)&gt;1,((WEEKDAY($A102)+$T$2)&lt;7),(WEEKDAY($A102)&lt;&gt;1)),"work",(INDEX(Subject!$A:$I,MATCH(RANDBETWEEN(1,(MAX(Subject!$B:$B))),Subject!$B:$B,0),3))))</f>
        <v/>
      </c>
      <c r="Q102" s="2" t="str">
        <f t="array" ref="Q102">IF(NOW()&gt;BB102,"",IF(AND((WEEKDAY($A102)+$B$2)&gt;1,((WEEKDAY($A102)+$T$2)&lt;7),(WEEKDAY($A102)&lt;&gt;1)),"work",(INDEX(Subject!$A:$I,MATCH(RANDBETWEEN(1,(MAX(Subject!$B:$B))),Subject!$B:$B,0),3))))</f>
        <v/>
      </c>
      <c r="R102" s="2" t="str">
        <f t="array" ref="R102">IF(NOW()&gt;BC102,"",IF(AND((WEEKDAY($A102)+$B$2)&gt;1,((WEEKDAY($A102)+$T$2)&lt;7),(WEEKDAY($A102)&lt;&gt;1)),"work",(INDEX(Subject!$A:$I,MATCH(RANDBETWEEN(1,(MAX(Subject!$B:$B))),Subject!$B:$B,0),3))))</f>
        <v/>
      </c>
      <c r="S102" s="2" t="str">
        <f t="array" ref="S102">IF(NOW()&gt;BD102,"",IF(AND((WEEKDAY($A102)+$B$2)&gt;1,((WEEKDAY($A102)+$T$2)&lt;7),(WEEKDAY($A102)&lt;&gt;1)),"work",(INDEX(Subject!$A:$I,MATCH(RANDBETWEEN(1,(MAX(Subject!$B:$B))),Subject!$B:$B,0),3))))</f>
        <v/>
      </c>
      <c r="T102" s="2" t="str">
        <f t="array" ref="T102">IF(NOW()&gt;BE102,"",IF(AND((WEEKDAY($A102)+$B$2)&gt;1,((WEEKDAY($A102)+$T$2)&lt;7),(WEEKDAY($A102)&lt;&gt;1)),"work",(INDEX(Subject!$A:$I,MATCH(RANDBETWEEN(1,(MAX(Subject!$B:$B))),Subject!$B:$B,0),3))))</f>
        <v/>
      </c>
      <c r="U102" s="8" t="str">
        <f t="array" ref="U102">INDEX(Subject!$A:$I,MATCH(RANDBETWEEN(1,16),Subject!$B:$B,0),3)</f>
        <v>#N/A</v>
      </c>
      <c r="V102" s="8" t="str">
        <f t="array" ref="V102">INDEX(Subject!$A:$I,MATCH(RANDBETWEEN(1,16),Subject!$B:$B,0),3)</f>
        <v>#N/A</v>
      </c>
      <c r="W102" s="8" t="str">
        <f t="array" ref="W102">INDEX(Subject!$A:$I,MATCH(RANDBETWEEN(1,16),Subject!$B:$B,0),3)</f>
        <v>#N/A</v>
      </c>
      <c r="X102" s="8" t="str">
        <f t="array" ref="X102">INDEX(Subject!$A:$I,MATCH(RANDBETWEEN(1,16),Subject!$B:$B,0),3)</f>
        <v>#N/A</v>
      </c>
      <c r="Y102" s="8" t="str">
        <f t="array" ref="Y102">INDEX(Subject!$A:$I,MATCH(RANDBETWEEN(1,16),Subject!$B:$B,0),3)</f>
        <v>#N/A</v>
      </c>
      <c r="Z102" s="8" t="str">
        <f t="array" ref="Z102">INDEX(Subject!$A:$I,MATCH(RANDBETWEEN(1,16),Subject!$B:$B,0),3)</f>
        <v>#N/A</v>
      </c>
      <c r="AA102" s="8" t="str">
        <f t="array" ref="AA102">INDEX(Subject!$A:$I,MATCH(RANDBETWEEN(1,16),Subject!$B:$B,0),3)</f>
        <v>#N/A</v>
      </c>
      <c r="AB102" s="8" t="str">
        <f t="array" ref="AB102">INDEX(Subject!$A:$I,MATCH(RANDBETWEEN(1,16),Subject!$B:$B,0),3)</f>
        <v>#N/A</v>
      </c>
      <c r="AC102" s="8" t="str">
        <f t="array" ref="AC102">INDEX(Subject!$A:$I,MATCH(RANDBETWEEN(1,16),Subject!$B:$B,0),3)</f>
        <v>#N/A</v>
      </c>
      <c r="AD102" s="8" t="str">
        <f t="array" ref="AD102">INDEX(Subject!$A:$I,MATCH(RANDBETWEEN(1,16),Subject!$B:$B,0),3)</f>
        <v>#N/A</v>
      </c>
      <c r="AE102" s="8" t="str">
        <f t="array" ref="AE102">INDEX(Subject!$A:$I,MATCH(RANDBETWEEN(1,16),Subject!$B:$B,0),3)</f>
        <v>#N/A</v>
      </c>
      <c r="AF102" s="8" t="str">
        <f t="array" ref="AF102">INDEX(Subject!$A:$I,MATCH(RANDBETWEEN(1,16),Subject!$B:$B,0),3)</f>
        <v>#N/A</v>
      </c>
      <c r="AG102" s="8" t="str">
        <f t="array" ref="AG102">INDEX(Subject!$A:$I,MATCH(RANDBETWEEN(1,16),Subject!$B:$B,0),3)</f>
        <v>#N/A</v>
      </c>
      <c r="AH102" s="8" t="str">
        <f t="array" ref="AH102">INDEX(Subject!$A:$I,MATCH(RANDBETWEEN(1,16),Subject!$B:$B,0),3)</f>
        <v/>
      </c>
      <c r="AI102" s="8" t="str">
        <f t="array" ref="AI102">INDEX(Subject!$A:$I,MATCH(RANDBETWEEN(1,16),Subject!$B:$B,0),3)</f>
        <v>#N/A</v>
      </c>
      <c r="AJ102" s="8" t="str">
        <f t="array" ref="AJ102">INDEX(Subject!$A:$I,MATCH(RANDBETWEEN(1,16),Subject!$B:$B,0),3)</f>
        <v/>
      </c>
      <c r="AK102" s="8" t="str">
        <f t="array" ref="AK102">INDEX(Subject!$A:$I,MATCH(RANDBETWEEN(1,16),Subject!$B:$B,0),3)</f>
        <v>#N/A</v>
      </c>
      <c r="AL102" s="8" t="str">
        <f t="array" ref="AL102">INDEX(Subject!$A:$I,MATCH(RANDBETWEEN(1,16),Subject!$B:$B,0),3)</f>
        <v>#N/A</v>
      </c>
      <c r="AM102" s="18">
        <f t="shared" si="4"/>
        <v>45602.33333</v>
      </c>
      <c r="AN102" s="19">
        <f t="shared" ref="AN102:BZ102" si="102">$A102+C$1</f>
        <v>45602.35417</v>
      </c>
      <c r="AO102" s="19">
        <f t="shared" si="102"/>
        <v>45602.375</v>
      </c>
      <c r="AP102" s="19">
        <f t="shared" si="102"/>
        <v>45602.39583</v>
      </c>
      <c r="AQ102" s="19">
        <f t="shared" si="102"/>
        <v>45602.41667</v>
      </c>
      <c r="AR102" s="19">
        <f t="shared" si="102"/>
        <v>45602.4375</v>
      </c>
      <c r="AS102" s="19">
        <f t="shared" si="102"/>
        <v>45602.45833</v>
      </c>
      <c r="AT102" s="19">
        <f t="shared" si="102"/>
        <v>45602.47917</v>
      </c>
      <c r="AU102" s="19">
        <f t="shared" si="102"/>
        <v>45602.5</v>
      </c>
      <c r="AV102" s="19">
        <f t="shared" si="102"/>
        <v>45602.52083</v>
      </c>
      <c r="AW102" s="19">
        <f t="shared" si="102"/>
        <v>45602.54167</v>
      </c>
      <c r="AX102" s="19">
        <f t="shared" si="102"/>
        <v>45602.5625</v>
      </c>
      <c r="AY102" s="19">
        <f t="shared" si="102"/>
        <v>45602.58333</v>
      </c>
      <c r="AZ102" s="19">
        <f t="shared" si="102"/>
        <v>45602.60417</v>
      </c>
      <c r="BA102" s="19">
        <f t="shared" si="102"/>
        <v>45602.625</v>
      </c>
      <c r="BB102" s="19">
        <f t="shared" si="102"/>
        <v>45602.64583</v>
      </c>
      <c r="BC102" s="19">
        <f t="shared" si="102"/>
        <v>45602.66667</v>
      </c>
      <c r="BD102" s="19">
        <f t="shared" si="102"/>
        <v>45602.6875</v>
      </c>
      <c r="BE102" s="19">
        <f t="shared" si="102"/>
        <v>45602.70833</v>
      </c>
      <c r="BF102" s="19">
        <f t="shared" si="102"/>
        <v>45602.72917</v>
      </c>
      <c r="BG102" s="19">
        <f t="shared" si="102"/>
        <v>45602.75</v>
      </c>
      <c r="BH102" s="19">
        <f t="shared" si="102"/>
        <v>45602.77083</v>
      </c>
      <c r="BI102" s="19">
        <f t="shared" si="102"/>
        <v>45602.79167</v>
      </c>
      <c r="BJ102" s="19">
        <f t="shared" si="102"/>
        <v>45602.8125</v>
      </c>
      <c r="BK102" s="19">
        <f t="shared" si="102"/>
        <v>45602.83333</v>
      </c>
      <c r="BL102" s="19">
        <f t="shared" si="102"/>
        <v>45602.85417</v>
      </c>
      <c r="BM102" s="19">
        <f t="shared" si="102"/>
        <v>45602.875</v>
      </c>
      <c r="BN102" s="19">
        <f t="shared" si="102"/>
        <v>45602.89583</v>
      </c>
      <c r="BO102" s="19">
        <f t="shared" si="102"/>
        <v>45602.91667</v>
      </c>
      <c r="BP102" s="19">
        <f t="shared" si="102"/>
        <v>45602.9375</v>
      </c>
      <c r="BQ102" s="19">
        <f t="shared" si="102"/>
        <v>45602.95833</v>
      </c>
      <c r="BR102" s="19">
        <f t="shared" si="102"/>
        <v>45602.97917</v>
      </c>
      <c r="BS102" s="19">
        <f t="shared" si="102"/>
        <v>45603</v>
      </c>
      <c r="BT102" s="19">
        <f t="shared" si="102"/>
        <v>45603.02083</v>
      </c>
      <c r="BU102" s="19">
        <f t="shared" si="102"/>
        <v>45603.04167</v>
      </c>
      <c r="BV102" s="19">
        <f t="shared" si="102"/>
        <v>45603.0625</v>
      </c>
      <c r="BW102" s="19">
        <f t="shared" si="102"/>
        <v>45603.08333</v>
      </c>
      <c r="BX102" s="19">
        <f t="shared" si="102"/>
        <v>45602</v>
      </c>
      <c r="BY102" s="19">
        <f t="shared" si="102"/>
        <v>45602</v>
      </c>
      <c r="BZ102" s="19">
        <f t="shared" si="102"/>
        <v>45602</v>
      </c>
    </row>
    <row r="103" ht="14.25" customHeight="1">
      <c r="A103" s="17">
        <v>45603.0</v>
      </c>
      <c r="B103" s="2" t="str">
        <f t="array" ref="B103">IF(NOW()&gt;AM103,"",IF(AND((WEEKDAY($A103)+$B$2)&gt;1,((WEEKDAY($A103)+$T$2)&lt;7),(WEEKDAY($A103)&lt;&gt;1)),"work",(INDEX(Subject!$A:$I,MATCH(RANDBETWEEN(1,(MAX(Subject!$B:$B))),Subject!$B:$B,0),3))))</f>
        <v/>
      </c>
      <c r="C103" s="2" t="str">
        <f t="array" ref="C103">IF(NOW()&gt;AN103,"",IF(AND((WEEKDAY($A103)+$B$2)&gt;1,((WEEKDAY($A103)+$T$2)&lt;7),(WEEKDAY($A103)&lt;&gt;1)),"work",(INDEX(Subject!$A:$I,MATCH(RANDBETWEEN(1,(MAX(Subject!$B:$B))),Subject!$B:$B,0),3))))</f>
        <v/>
      </c>
      <c r="D103" s="2" t="str">
        <f t="array" ref="D103">IF(NOW()&gt;AO103,"",IF(AND((WEEKDAY($A103)+$B$2)&gt;1,((WEEKDAY($A103)+$T$2)&lt;7),(WEEKDAY($A103)&lt;&gt;1)),"work",(INDEX(Subject!$A:$I,MATCH(RANDBETWEEN(1,(MAX(Subject!$B:$B))),Subject!$B:$B,0),3))))</f>
        <v/>
      </c>
      <c r="E103" s="2" t="str">
        <f t="array" ref="E103">IF(NOW()&gt;AP103,"",IF(AND((WEEKDAY($A103)+$B$2)&gt;1,((WEEKDAY($A103)+$T$2)&lt;7),(WEEKDAY($A103)&lt;&gt;1)),"work",(INDEX(Subject!$A:$I,MATCH(RANDBETWEEN(1,(MAX(Subject!$B:$B))),Subject!$B:$B,0),3))))</f>
        <v/>
      </c>
      <c r="F103" s="2" t="str">
        <f t="array" ref="F103">IF(NOW()&gt;AQ103,"",IF(AND((WEEKDAY($A103)+$B$2)&gt;1,((WEEKDAY($A103)+$T$2)&lt;7),(WEEKDAY($A103)&lt;&gt;1)),"work",(INDEX(Subject!$A:$I,MATCH(RANDBETWEEN(1,(MAX(Subject!$B:$B))),Subject!$B:$B,0),3))))</f>
        <v/>
      </c>
      <c r="G103" s="2" t="str">
        <f t="array" ref="G103">IF(NOW()&gt;AR103,"",IF(AND((WEEKDAY($A103)+$B$2)&gt;1,((WEEKDAY($A103)+$T$2)&lt;7),(WEEKDAY($A103)&lt;&gt;1)),"work",(INDEX(Subject!$A:$I,MATCH(RANDBETWEEN(1,(MAX(Subject!$B:$B))),Subject!$B:$B,0),3))))</f>
        <v/>
      </c>
      <c r="H103" s="2" t="str">
        <f t="array" ref="H103">IF(NOW()&gt;AS103,"",IF(AND((WEEKDAY($A103)+$B$2)&gt;1,((WEEKDAY($A103)+$T$2)&lt;7),(WEEKDAY($A103)&lt;&gt;1)),"work",(INDEX(Subject!$A:$I,MATCH(RANDBETWEEN(1,(MAX(Subject!$B:$B))),Subject!$B:$B,0),3))))</f>
        <v/>
      </c>
      <c r="I103" s="2" t="str">
        <f t="array" ref="I103">IF(NOW()&gt;AT103,"",IF(AND((WEEKDAY($A103)+$B$2)&gt;1,((WEEKDAY($A103)+$T$2)&lt;7),(WEEKDAY($A103)&lt;&gt;1)),"work",(INDEX(Subject!$A:$I,MATCH(RANDBETWEEN(1,(MAX(Subject!$B:$B))),Subject!$B:$B,0),3))))</f>
        <v/>
      </c>
      <c r="J103" s="2" t="str">
        <f t="array" ref="J103">IF(NOW()&gt;AU103,"",IF(AND((WEEKDAY($A103)+$B$2)&gt;1,((WEEKDAY($A103)+$T$2)&lt;7),(WEEKDAY($A103)&lt;&gt;1)),"work",(INDEX(Subject!$A:$I,MATCH(RANDBETWEEN(1,(MAX(Subject!$B:$B))),Subject!$B:$B,0),3))))</f>
        <v/>
      </c>
      <c r="K103" s="2" t="str">
        <f t="array" ref="K103">IF(NOW()&gt;AV103,"",IF(AND((WEEKDAY($A103)+$B$2)&gt;1,((WEEKDAY($A103)+$T$2)&lt;7),(WEEKDAY($A103)&lt;&gt;1)),"work",(INDEX(Subject!$A:$I,MATCH(RANDBETWEEN(1,(MAX(Subject!$B:$B))),Subject!$B:$B,0),3))))</f>
        <v/>
      </c>
      <c r="L103" s="2" t="str">
        <f t="array" ref="L103">IF(NOW()&gt;AW103,"",IF(AND((WEEKDAY($A103)+$B$2)&gt;1,((WEEKDAY($A103)+$T$2)&lt;7),(WEEKDAY($A103)&lt;&gt;1)),"work",(INDEX(Subject!$A:$I,MATCH(RANDBETWEEN(1,(MAX(Subject!$B:$B))),Subject!$B:$B,0),3))))</f>
        <v/>
      </c>
      <c r="M103" s="2" t="str">
        <f t="array" ref="M103">IF(NOW()&gt;AX103,"",IF(AND((WEEKDAY($A103)+$B$2)&gt;1,((WEEKDAY($A103)+$T$2)&lt;7),(WEEKDAY($A103)&lt;&gt;1)),"work",(INDEX(Subject!$A:$I,MATCH(RANDBETWEEN(1,(MAX(Subject!$B:$B))),Subject!$B:$B,0),3))))</f>
        <v/>
      </c>
      <c r="N103" s="2" t="str">
        <f t="array" ref="N103">IF(NOW()&gt;AY103,"",IF(AND((WEEKDAY($A103)+$B$2)&gt;1,((WEEKDAY($A103)+$T$2)&lt;7),(WEEKDAY($A103)&lt;&gt;1)),"work",(INDEX(Subject!$A:$I,MATCH(RANDBETWEEN(1,(MAX(Subject!$B:$B))),Subject!$B:$B,0),3))))</f>
        <v/>
      </c>
      <c r="O103" s="2" t="str">
        <f t="array" ref="O103">IF(NOW()&gt;AZ103,"",IF(AND((WEEKDAY($A103)+$B$2)&gt;1,((WEEKDAY($A103)+$T$2)&lt;7),(WEEKDAY($A103)&lt;&gt;1)),"work",(INDEX(Subject!$A:$I,MATCH(RANDBETWEEN(1,(MAX(Subject!$B:$B))),Subject!$B:$B,0),3))))</f>
        <v/>
      </c>
      <c r="P103" s="2" t="str">
        <f t="array" ref="P103">IF(NOW()&gt;BA103,"",IF(AND((WEEKDAY($A103)+$B$2)&gt;1,((WEEKDAY($A103)+$T$2)&lt;7),(WEEKDAY($A103)&lt;&gt;1)),"work",(INDEX(Subject!$A:$I,MATCH(RANDBETWEEN(1,(MAX(Subject!$B:$B))),Subject!$B:$B,0),3))))</f>
        <v/>
      </c>
      <c r="Q103" s="2" t="str">
        <f t="array" ref="Q103">IF(NOW()&gt;BB103,"",IF(AND((WEEKDAY($A103)+$B$2)&gt;1,((WEEKDAY($A103)+$T$2)&lt;7),(WEEKDAY($A103)&lt;&gt;1)),"work",(INDEX(Subject!$A:$I,MATCH(RANDBETWEEN(1,(MAX(Subject!$B:$B))),Subject!$B:$B,0),3))))</f>
        <v/>
      </c>
      <c r="R103" s="2" t="str">
        <f t="array" ref="R103">IF(NOW()&gt;BC103,"",IF(AND((WEEKDAY($A103)+$B$2)&gt;1,((WEEKDAY($A103)+$T$2)&lt;7),(WEEKDAY($A103)&lt;&gt;1)),"work",(INDEX(Subject!$A:$I,MATCH(RANDBETWEEN(1,(MAX(Subject!$B:$B))),Subject!$B:$B,0),3))))</f>
        <v/>
      </c>
      <c r="S103" s="2" t="str">
        <f t="array" ref="S103">IF(NOW()&gt;BD103,"",IF(AND((WEEKDAY($A103)+$B$2)&gt;1,((WEEKDAY($A103)+$T$2)&lt;7),(WEEKDAY($A103)&lt;&gt;1)),"work",(INDEX(Subject!$A:$I,MATCH(RANDBETWEEN(1,(MAX(Subject!$B:$B))),Subject!$B:$B,0),3))))</f>
        <v/>
      </c>
      <c r="T103" s="2" t="str">
        <f t="array" ref="T103">IF(NOW()&gt;BE103,"",IF(AND((WEEKDAY($A103)+$B$2)&gt;1,((WEEKDAY($A103)+$T$2)&lt;7),(WEEKDAY($A103)&lt;&gt;1)),"work",(INDEX(Subject!$A:$I,MATCH(RANDBETWEEN(1,(MAX(Subject!$B:$B))),Subject!$B:$B,0),3))))</f>
        <v/>
      </c>
      <c r="U103" s="8" t="str">
        <f t="array" ref="U103">INDEX(Subject!$A:$I,MATCH(RANDBETWEEN(1,16),Subject!$B:$B,0),3)</f>
        <v>#N/A</v>
      </c>
      <c r="V103" s="8" t="str">
        <f t="array" ref="V103">INDEX(Subject!$A:$I,MATCH(RANDBETWEEN(1,16),Subject!$B:$B,0),3)</f>
        <v>#N/A</v>
      </c>
      <c r="W103" s="8" t="str">
        <f t="array" ref="W103">INDEX(Subject!$A:$I,MATCH(RANDBETWEEN(1,16),Subject!$B:$B,0),3)</f>
        <v>#N/A</v>
      </c>
      <c r="X103" s="8" t="str">
        <f t="array" ref="X103">INDEX(Subject!$A:$I,MATCH(RANDBETWEEN(1,16),Subject!$B:$B,0),3)</f>
        <v>#N/A</v>
      </c>
      <c r="Y103" s="8" t="str">
        <f t="array" ref="Y103">INDEX(Subject!$A:$I,MATCH(RANDBETWEEN(1,16),Subject!$B:$B,0),3)</f>
        <v>#N/A</v>
      </c>
      <c r="Z103" s="8" t="str">
        <f t="array" ref="Z103">INDEX(Subject!$A:$I,MATCH(RANDBETWEEN(1,16),Subject!$B:$B,0),3)</f>
        <v>#N/A</v>
      </c>
      <c r="AA103" s="8" t="str">
        <f t="array" ref="AA103">INDEX(Subject!$A:$I,MATCH(RANDBETWEEN(1,16),Subject!$B:$B,0),3)</f>
        <v>#N/A</v>
      </c>
      <c r="AB103" s="8" t="str">
        <f t="array" ref="AB103">INDEX(Subject!$A:$I,MATCH(RANDBETWEEN(1,16),Subject!$B:$B,0),3)</f>
        <v>#N/A</v>
      </c>
      <c r="AC103" s="8" t="str">
        <f t="array" ref="AC103">INDEX(Subject!$A:$I,MATCH(RANDBETWEEN(1,16),Subject!$B:$B,0),3)</f>
        <v>#N/A</v>
      </c>
      <c r="AD103" s="8" t="str">
        <f t="array" ref="AD103">INDEX(Subject!$A:$I,MATCH(RANDBETWEEN(1,16),Subject!$B:$B,0),3)</f>
        <v>#N/A</v>
      </c>
      <c r="AE103" s="8" t="str">
        <f t="array" ref="AE103">INDEX(Subject!$A:$I,MATCH(RANDBETWEEN(1,16),Subject!$B:$B,0),3)</f>
        <v>#N/A</v>
      </c>
      <c r="AF103" s="8" t="str">
        <f t="array" ref="AF103">INDEX(Subject!$A:$I,MATCH(RANDBETWEEN(1,16),Subject!$B:$B,0),3)</f>
        <v>#N/A</v>
      </c>
      <c r="AG103" s="8" t="str">
        <f t="array" ref="AG103">INDEX(Subject!$A:$I,MATCH(RANDBETWEEN(1,16),Subject!$B:$B,0),3)</f>
        <v>#N/A</v>
      </c>
      <c r="AH103" s="8" t="str">
        <f t="array" ref="AH103">INDEX(Subject!$A:$I,MATCH(RANDBETWEEN(1,16),Subject!$B:$B,0),3)</f>
        <v>#N/A</v>
      </c>
      <c r="AI103" s="8" t="str">
        <f t="array" ref="AI103">INDEX(Subject!$A:$I,MATCH(RANDBETWEEN(1,16),Subject!$B:$B,0),3)</f>
        <v>#N/A</v>
      </c>
      <c r="AJ103" s="8" t="str">
        <f t="array" ref="AJ103">INDEX(Subject!$A:$I,MATCH(RANDBETWEEN(1,16),Subject!$B:$B,0),3)</f>
        <v>#N/A</v>
      </c>
      <c r="AK103" s="8" t="str">
        <f t="array" ref="AK103">INDEX(Subject!$A:$I,MATCH(RANDBETWEEN(1,16),Subject!$B:$B,0),3)</f>
        <v>#N/A</v>
      </c>
      <c r="AL103" s="8" t="str">
        <f t="array" ref="AL103">INDEX(Subject!$A:$I,MATCH(RANDBETWEEN(1,16),Subject!$B:$B,0),3)</f>
        <v>#N/A</v>
      </c>
      <c r="AM103" s="18">
        <f t="shared" si="4"/>
        <v>45603.33333</v>
      </c>
      <c r="AN103" s="19">
        <f t="shared" ref="AN103:BZ103" si="103">$A103+C$1</f>
        <v>45603.35417</v>
      </c>
      <c r="AO103" s="19">
        <f t="shared" si="103"/>
        <v>45603.375</v>
      </c>
      <c r="AP103" s="19">
        <f t="shared" si="103"/>
        <v>45603.39583</v>
      </c>
      <c r="AQ103" s="19">
        <f t="shared" si="103"/>
        <v>45603.41667</v>
      </c>
      <c r="AR103" s="19">
        <f t="shared" si="103"/>
        <v>45603.4375</v>
      </c>
      <c r="AS103" s="19">
        <f t="shared" si="103"/>
        <v>45603.45833</v>
      </c>
      <c r="AT103" s="19">
        <f t="shared" si="103"/>
        <v>45603.47917</v>
      </c>
      <c r="AU103" s="19">
        <f t="shared" si="103"/>
        <v>45603.5</v>
      </c>
      <c r="AV103" s="19">
        <f t="shared" si="103"/>
        <v>45603.52083</v>
      </c>
      <c r="AW103" s="19">
        <f t="shared" si="103"/>
        <v>45603.54167</v>
      </c>
      <c r="AX103" s="19">
        <f t="shared" si="103"/>
        <v>45603.5625</v>
      </c>
      <c r="AY103" s="19">
        <f t="shared" si="103"/>
        <v>45603.58333</v>
      </c>
      <c r="AZ103" s="19">
        <f t="shared" si="103"/>
        <v>45603.60417</v>
      </c>
      <c r="BA103" s="19">
        <f t="shared" si="103"/>
        <v>45603.625</v>
      </c>
      <c r="BB103" s="19">
        <f t="shared" si="103"/>
        <v>45603.64583</v>
      </c>
      <c r="BC103" s="19">
        <f t="shared" si="103"/>
        <v>45603.66667</v>
      </c>
      <c r="BD103" s="19">
        <f t="shared" si="103"/>
        <v>45603.6875</v>
      </c>
      <c r="BE103" s="19">
        <f t="shared" si="103"/>
        <v>45603.70833</v>
      </c>
      <c r="BF103" s="19">
        <f t="shared" si="103"/>
        <v>45603.72917</v>
      </c>
      <c r="BG103" s="19">
        <f t="shared" si="103"/>
        <v>45603.75</v>
      </c>
      <c r="BH103" s="19">
        <f t="shared" si="103"/>
        <v>45603.77083</v>
      </c>
      <c r="BI103" s="19">
        <f t="shared" si="103"/>
        <v>45603.79167</v>
      </c>
      <c r="BJ103" s="19">
        <f t="shared" si="103"/>
        <v>45603.8125</v>
      </c>
      <c r="BK103" s="19">
        <f t="shared" si="103"/>
        <v>45603.83333</v>
      </c>
      <c r="BL103" s="19">
        <f t="shared" si="103"/>
        <v>45603.85417</v>
      </c>
      <c r="BM103" s="19">
        <f t="shared" si="103"/>
        <v>45603.875</v>
      </c>
      <c r="BN103" s="19">
        <f t="shared" si="103"/>
        <v>45603.89583</v>
      </c>
      <c r="BO103" s="19">
        <f t="shared" si="103"/>
        <v>45603.91667</v>
      </c>
      <c r="BP103" s="19">
        <f t="shared" si="103"/>
        <v>45603.9375</v>
      </c>
      <c r="BQ103" s="19">
        <f t="shared" si="103"/>
        <v>45603.95833</v>
      </c>
      <c r="BR103" s="19">
        <f t="shared" si="103"/>
        <v>45603.97917</v>
      </c>
      <c r="BS103" s="19">
        <f t="shared" si="103"/>
        <v>45604</v>
      </c>
      <c r="BT103" s="19">
        <f t="shared" si="103"/>
        <v>45604.02083</v>
      </c>
      <c r="BU103" s="19">
        <f t="shared" si="103"/>
        <v>45604.04167</v>
      </c>
      <c r="BV103" s="19">
        <f t="shared" si="103"/>
        <v>45604.0625</v>
      </c>
      <c r="BW103" s="19">
        <f t="shared" si="103"/>
        <v>45604.08333</v>
      </c>
      <c r="BX103" s="19">
        <f t="shared" si="103"/>
        <v>45603</v>
      </c>
      <c r="BY103" s="19">
        <f t="shared" si="103"/>
        <v>45603</v>
      </c>
      <c r="BZ103" s="19">
        <f t="shared" si="103"/>
        <v>45603</v>
      </c>
    </row>
    <row r="104" ht="14.25" customHeight="1">
      <c r="A104" s="17">
        <v>45604.0</v>
      </c>
      <c r="B104" s="2" t="str">
        <f t="array" ref="B104">IF(NOW()&gt;AM104,"",IF(AND((WEEKDAY($A104)+$B$2)&gt;1,((WEEKDAY($A104)+$T$2)&lt;7),(WEEKDAY($A104)&lt;&gt;1)),"work",(INDEX(Subject!$A:$I,MATCH(RANDBETWEEN(1,(MAX(Subject!$B:$B))),Subject!$B:$B,0),3))))</f>
        <v/>
      </c>
      <c r="C104" s="2" t="str">
        <f t="array" ref="C104">IF(NOW()&gt;AN104,"",IF(AND((WEEKDAY($A104)+$B$2)&gt;1,((WEEKDAY($A104)+$T$2)&lt;7),(WEEKDAY($A104)&lt;&gt;1)),"work",(INDEX(Subject!$A:$I,MATCH(RANDBETWEEN(1,(MAX(Subject!$B:$B))),Subject!$B:$B,0),3))))</f>
        <v/>
      </c>
      <c r="D104" s="2" t="str">
        <f t="array" ref="D104">IF(NOW()&gt;AO104,"",IF(AND((WEEKDAY($A104)+$B$2)&gt;1,((WEEKDAY($A104)+$T$2)&lt;7),(WEEKDAY($A104)&lt;&gt;1)),"work",(INDEX(Subject!$A:$I,MATCH(RANDBETWEEN(1,(MAX(Subject!$B:$B))),Subject!$B:$B,0),3))))</f>
        <v/>
      </c>
      <c r="E104" s="2" t="str">
        <f t="array" ref="E104">IF(NOW()&gt;AP104,"",IF(AND((WEEKDAY($A104)+$B$2)&gt;1,((WEEKDAY($A104)+$T$2)&lt;7),(WEEKDAY($A104)&lt;&gt;1)),"work",(INDEX(Subject!$A:$I,MATCH(RANDBETWEEN(1,(MAX(Subject!$B:$B))),Subject!$B:$B,0),3))))</f>
        <v/>
      </c>
      <c r="F104" s="2" t="str">
        <f t="array" ref="F104">IF(NOW()&gt;AQ104,"",IF(AND((WEEKDAY($A104)+$B$2)&gt;1,((WEEKDAY($A104)+$T$2)&lt;7),(WEEKDAY($A104)&lt;&gt;1)),"work",(INDEX(Subject!$A:$I,MATCH(RANDBETWEEN(1,(MAX(Subject!$B:$B))),Subject!$B:$B,0),3))))</f>
        <v/>
      </c>
      <c r="G104" s="2" t="str">
        <f t="array" ref="G104">IF(NOW()&gt;AR104,"",IF(AND((WEEKDAY($A104)+$B$2)&gt;1,((WEEKDAY($A104)+$T$2)&lt;7),(WEEKDAY($A104)&lt;&gt;1)),"work",(INDEX(Subject!$A:$I,MATCH(RANDBETWEEN(1,(MAX(Subject!$B:$B))),Subject!$B:$B,0),3))))</f>
        <v/>
      </c>
      <c r="H104" s="2" t="str">
        <f t="array" ref="H104">IF(NOW()&gt;AS104,"",IF(AND((WEEKDAY($A104)+$B$2)&gt;1,((WEEKDAY($A104)+$T$2)&lt;7),(WEEKDAY($A104)&lt;&gt;1)),"work",(INDEX(Subject!$A:$I,MATCH(RANDBETWEEN(1,(MAX(Subject!$B:$B))),Subject!$B:$B,0),3))))</f>
        <v/>
      </c>
      <c r="I104" s="2" t="str">
        <f t="array" ref="I104">IF(NOW()&gt;AT104,"",IF(AND((WEEKDAY($A104)+$B$2)&gt;1,((WEEKDAY($A104)+$T$2)&lt;7),(WEEKDAY($A104)&lt;&gt;1)),"work",(INDEX(Subject!$A:$I,MATCH(RANDBETWEEN(1,(MAX(Subject!$B:$B))),Subject!$B:$B,0),3))))</f>
        <v/>
      </c>
      <c r="J104" s="2" t="str">
        <f t="array" ref="J104">IF(NOW()&gt;AU104,"",IF(AND((WEEKDAY($A104)+$B$2)&gt;1,((WEEKDAY($A104)+$T$2)&lt;7),(WEEKDAY($A104)&lt;&gt;1)),"work",(INDEX(Subject!$A:$I,MATCH(RANDBETWEEN(1,(MAX(Subject!$B:$B))),Subject!$B:$B,0),3))))</f>
        <v/>
      </c>
      <c r="K104" s="2" t="str">
        <f t="array" ref="K104">IF(NOW()&gt;AV104,"",IF(AND((WEEKDAY($A104)+$B$2)&gt;1,((WEEKDAY($A104)+$T$2)&lt;7),(WEEKDAY($A104)&lt;&gt;1)),"work",(INDEX(Subject!$A:$I,MATCH(RANDBETWEEN(1,(MAX(Subject!$B:$B))),Subject!$B:$B,0),3))))</f>
        <v/>
      </c>
      <c r="L104" s="2" t="str">
        <f t="array" ref="L104">IF(NOW()&gt;AW104,"",IF(AND((WEEKDAY($A104)+$B$2)&gt;1,((WEEKDAY($A104)+$T$2)&lt;7),(WEEKDAY($A104)&lt;&gt;1)),"work",(INDEX(Subject!$A:$I,MATCH(RANDBETWEEN(1,(MAX(Subject!$B:$B))),Subject!$B:$B,0),3))))</f>
        <v/>
      </c>
      <c r="M104" s="2" t="str">
        <f t="array" ref="M104">IF(NOW()&gt;AX104,"",IF(AND((WEEKDAY($A104)+$B$2)&gt;1,((WEEKDAY($A104)+$T$2)&lt;7),(WEEKDAY($A104)&lt;&gt;1)),"work",(INDEX(Subject!$A:$I,MATCH(RANDBETWEEN(1,(MAX(Subject!$B:$B))),Subject!$B:$B,0),3))))</f>
        <v/>
      </c>
      <c r="N104" s="2" t="str">
        <f t="array" ref="N104">IF(NOW()&gt;AY104,"",IF(AND((WEEKDAY($A104)+$B$2)&gt;1,((WEEKDAY($A104)+$T$2)&lt;7),(WEEKDAY($A104)&lt;&gt;1)),"work",(INDEX(Subject!$A:$I,MATCH(RANDBETWEEN(1,(MAX(Subject!$B:$B))),Subject!$B:$B,0),3))))</f>
        <v/>
      </c>
      <c r="O104" s="2" t="str">
        <f t="array" ref="O104">IF(NOW()&gt;AZ104,"",IF(AND((WEEKDAY($A104)+$B$2)&gt;1,((WEEKDAY($A104)+$T$2)&lt;7),(WEEKDAY($A104)&lt;&gt;1)),"work",(INDEX(Subject!$A:$I,MATCH(RANDBETWEEN(1,(MAX(Subject!$B:$B))),Subject!$B:$B,0),3))))</f>
        <v/>
      </c>
      <c r="P104" s="2" t="str">
        <f t="array" ref="P104">IF(NOW()&gt;BA104,"",IF(AND((WEEKDAY($A104)+$B$2)&gt;1,((WEEKDAY($A104)+$T$2)&lt;7),(WEEKDAY($A104)&lt;&gt;1)),"work",(INDEX(Subject!$A:$I,MATCH(RANDBETWEEN(1,(MAX(Subject!$B:$B))),Subject!$B:$B,0),3))))</f>
        <v/>
      </c>
      <c r="Q104" s="2" t="str">
        <f t="array" ref="Q104">IF(NOW()&gt;BB104,"",IF(AND((WEEKDAY($A104)+$B$2)&gt;1,((WEEKDAY($A104)+$T$2)&lt;7),(WEEKDAY($A104)&lt;&gt;1)),"work",(INDEX(Subject!$A:$I,MATCH(RANDBETWEEN(1,(MAX(Subject!$B:$B))),Subject!$B:$B,0),3))))</f>
        <v/>
      </c>
      <c r="R104" s="2" t="str">
        <f t="array" ref="R104">IF(NOW()&gt;BC104,"",IF(AND((WEEKDAY($A104)+$B$2)&gt;1,((WEEKDAY($A104)+$T$2)&lt;7),(WEEKDAY($A104)&lt;&gt;1)),"work",(INDEX(Subject!$A:$I,MATCH(RANDBETWEEN(1,(MAX(Subject!$B:$B))),Subject!$B:$B,0),3))))</f>
        <v/>
      </c>
      <c r="S104" s="2" t="str">
        <f t="array" ref="S104">IF(NOW()&gt;BD104,"",IF(AND((WEEKDAY($A104)+$B$2)&gt;1,((WEEKDAY($A104)+$T$2)&lt;7),(WEEKDAY($A104)&lt;&gt;1)),"work",(INDEX(Subject!$A:$I,MATCH(RANDBETWEEN(1,(MAX(Subject!$B:$B))),Subject!$B:$B,0),3))))</f>
        <v/>
      </c>
      <c r="T104" s="2" t="str">
        <f t="array" ref="T104">IF(NOW()&gt;BE104,"",IF(AND((WEEKDAY($A104)+$B$2)&gt;1,((WEEKDAY($A104)+$T$2)&lt;7),(WEEKDAY($A104)&lt;&gt;1)),"work",(INDEX(Subject!$A:$I,MATCH(RANDBETWEEN(1,(MAX(Subject!$B:$B))),Subject!$B:$B,0),3))))</f>
        <v/>
      </c>
      <c r="U104" s="8" t="str">
        <f t="array" ref="U104">INDEX(Subject!$A:$I,MATCH(RANDBETWEEN(1,16),Subject!$B:$B,0),3)</f>
        <v>#N/A</v>
      </c>
      <c r="V104" s="8" t="str">
        <f t="array" ref="V104">INDEX(Subject!$A:$I,MATCH(RANDBETWEEN(1,16),Subject!$B:$B,0),3)</f>
        <v>#N/A</v>
      </c>
      <c r="W104" s="8" t="str">
        <f t="array" ref="W104">INDEX(Subject!$A:$I,MATCH(RANDBETWEEN(1,16),Subject!$B:$B,0),3)</f>
        <v>#N/A</v>
      </c>
      <c r="X104" s="8" t="str">
        <f t="array" ref="X104">INDEX(Subject!$A:$I,MATCH(RANDBETWEEN(1,16),Subject!$B:$B,0),3)</f>
        <v>#N/A</v>
      </c>
      <c r="Y104" s="8" t="str">
        <f t="array" ref="Y104">INDEX(Subject!$A:$I,MATCH(RANDBETWEEN(1,16),Subject!$B:$B,0),3)</f>
        <v/>
      </c>
      <c r="Z104" s="8" t="str">
        <f t="array" ref="Z104">INDEX(Subject!$A:$I,MATCH(RANDBETWEEN(1,16),Subject!$B:$B,0),3)</f>
        <v>#N/A</v>
      </c>
      <c r="AA104" s="8" t="str">
        <f t="array" ref="AA104">INDEX(Subject!$A:$I,MATCH(RANDBETWEEN(1,16),Subject!$B:$B,0),3)</f>
        <v>#N/A</v>
      </c>
      <c r="AB104" s="8" t="str">
        <f t="array" ref="AB104">INDEX(Subject!$A:$I,MATCH(RANDBETWEEN(1,16),Subject!$B:$B,0),3)</f>
        <v>#N/A</v>
      </c>
      <c r="AC104" s="8" t="str">
        <f t="array" ref="AC104">INDEX(Subject!$A:$I,MATCH(RANDBETWEEN(1,16),Subject!$B:$B,0),3)</f>
        <v>#N/A</v>
      </c>
      <c r="AD104" s="8" t="str">
        <f t="array" ref="AD104">INDEX(Subject!$A:$I,MATCH(RANDBETWEEN(1,16),Subject!$B:$B,0),3)</f>
        <v>#N/A</v>
      </c>
      <c r="AE104" s="8" t="str">
        <f t="array" ref="AE104">INDEX(Subject!$A:$I,MATCH(RANDBETWEEN(1,16),Subject!$B:$B,0),3)</f>
        <v>#N/A</v>
      </c>
      <c r="AF104" s="8" t="str">
        <f t="array" ref="AF104">INDEX(Subject!$A:$I,MATCH(RANDBETWEEN(1,16),Subject!$B:$B,0),3)</f>
        <v>#N/A</v>
      </c>
      <c r="AG104" s="8" t="str">
        <f t="array" ref="AG104">INDEX(Subject!$A:$I,MATCH(RANDBETWEEN(1,16),Subject!$B:$B,0),3)</f>
        <v>#N/A</v>
      </c>
      <c r="AH104" s="8" t="str">
        <f t="array" ref="AH104">INDEX(Subject!$A:$I,MATCH(RANDBETWEEN(1,16),Subject!$B:$B,0),3)</f>
        <v>#N/A</v>
      </c>
      <c r="AI104" s="8" t="str">
        <f t="array" ref="AI104">INDEX(Subject!$A:$I,MATCH(RANDBETWEEN(1,16),Subject!$B:$B,0),3)</f>
        <v>#N/A</v>
      </c>
      <c r="AJ104" s="8" t="str">
        <f t="array" ref="AJ104">INDEX(Subject!$A:$I,MATCH(RANDBETWEEN(1,16),Subject!$B:$B,0),3)</f>
        <v>#N/A</v>
      </c>
      <c r="AK104" s="8" t="str">
        <f t="array" ref="AK104">INDEX(Subject!$A:$I,MATCH(RANDBETWEEN(1,16),Subject!$B:$B,0),3)</f>
        <v>#N/A</v>
      </c>
      <c r="AL104" s="8" t="str">
        <f t="array" ref="AL104">INDEX(Subject!$A:$I,MATCH(RANDBETWEEN(1,16),Subject!$B:$B,0),3)</f>
        <v>#N/A</v>
      </c>
      <c r="AM104" s="18">
        <f t="shared" si="4"/>
        <v>45604.33333</v>
      </c>
      <c r="AN104" s="19">
        <f t="shared" ref="AN104:BZ104" si="104">$A104+C$1</f>
        <v>45604.35417</v>
      </c>
      <c r="AO104" s="19">
        <f t="shared" si="104"/>
        <v>45604.375</v>
      </c>
      <c r="AP104" s="19">
        <f t="shared" si="104"/>
        <v>45604.39583</v>
      </c>
      <c r="AQ104" s="19">
        <f t="shared" si="104"/>
        <v>45604.41667</v>
      </c>
      <c r="AR104" s="19">
        <f t="shared" si="104"/>
        <v>45604.4375</v>
      </c>
      <c r="AS104" s="19">
        <f t="shared" si="104"/>
        <v>45604.45833</v>
      </c>
      <c r="AT104" s="19">
        <f t="shared" si="104"/>
        <v>45604.47917</v>
      </c>
      <c r="AU104" s="19">
        <f t="shared" si="104"/>
        <v>45604.5</v>
      </c>
      <c r="AV104" s="19">
        <f t="shared" si="104"/>
        <v>45604.52083</v>
      </c>
      <c r="AW104" s="19">
        <f t="shared" si="104"/>
        <v>45604.54167</v>
      </c>
      <c r="AX104" s="19">
        <f t="shared" si="104"/>
        <v>45604.5625</v>
      </c>
      <c r="AY104" s="19">
        <f t="shared" si="104"/>
        <v>45604.58333</v>
      </c>
      <c r="AZ104" s="19">
        <f t="shared" si="104"/>
        <v>45604.60417</v>
      </c>
      <c r="BA104" s="19">
        <f t="shared" si="104"/>
        <v>45604.625</v>
      </c>
      <c r="BB104" s="19">
        <f t="shared" si="104"/>
        <v>45604.64583</v>
      </c>
      <c r="BC104" s="19">
        <f t="shared" si="104"/>
        <v>45604.66667</v>
      </c>
      <c r="BD104" s="19">
        <f t="shared" si="104"/>
        <v>45604.6875</v>
      </c>
      <c r="BE104" s="19">
        <f t="shared" si="104"/>
        <v>45604.70833</v>
      </c>
      <c r="BF104" s="19">
        <f t="shared" si="104"/>
        <v>45604.72917</v>
      </c>
      <c r="BG104" s="19">
        <f t="shared" si="104"/>
        <v>45604.75</v>
      </c>
      <c r="BH104" s="19">
        <f t="shared" si="104"/>
        <v>45604.77083</v>
      </c>
      <c r="BI104" s="19">
        <f t="shared" si="104"/>
        <v>45604.79167</v>
      </c>
      <c r="BJ104" s="19">
        <f t="shared" si="104"/>
        <v>45604.8125</v>
      </c>
      <c r="BK104" s="19">
        <f t="shared" si="104"/>
        <v>45604.83333</v>
      </c>
      <c r="BL104" s="19">
        <f t="shared" si="104"/>
        <v>45604.85417</v>
      </c>
      <c r="BM104" s="19">
        <f t="shared" si="104"/>
        <v>45604.875</v>
      </c>
      <c r="BN104" s="19">
        <f t="shared" si="104"/>
        <v>45604.89583</v>
      </c>
      <c r="BO104" s="19">
        <f t="shared" si="104"/>
        <v>45604.91667</v>
      </c>
      <c r="BP104" s="19">
        <f t="shared" si="104"/>
        <v>45604.9375</v>
      </c>
      <c r="BQ104" s="19">
        <f t="shared" si="104"/>
        <v>45604.95833</v>
      </c>
      <c r="BR104" s="19">
        <f t="shared" si="104"/>
        <v>45604.97917</v>
      </c>
      <c r="BS104" s="19">
        <f t="shared" si="104"/>
        <v>45605</v>
      </c>
      <c r="BT104" s="19">
        <f t="shared" si="104"/>
        <v>45605.02083</v>
      </c>
      <c r="BU104" s="19">
        <f t="shared" si="104"/>
        <v>45605.04167</v>
      </c>
      <c r="BV104" s="19">
        <f t="shared" si="104"/>
        <v>45605.0625</v>
      </c>
      <c r="BW104" s="19">
        <f t="shared" si="104"/>
        <v>45605.08333</v>
      </c>
      <c r="BX104" s="19">
        <f t="shared" si="104"/>
        <v>45604</v>
      </c>
      <c r="BY104" s="19">
        <f t="shared" si="104"/>
        <v>45604</v>
      </c>
      <c r="BZ104" s="19">
        <f t="shared" si="104"/>
        <v>45604</v>
      </c>
    </row>
    <row r="105" ht="14.25" customHeight="1">
      <c r="A105" s="17">
        <v>45605.0</v>
      </c>
      <c r="B105" s="2" t="str">
        <f t="array" ref="B105">IF(NOW()&gt;AM105,"",IF(AND((WEEKDAY($A105)+$B$2)&gt;1,((WEEKDAY($A105)+$T$2)&lt;7),(WEEKDAY($A105)&lt;&gt;1)),"work",(INDEX(Subject!$A:$I,MATCH(RANDBETWEEN(1,(MAX(Subject!$B:$B))),Subject!$B:$B,0),3))))</f>
        <v/>
      </c>
      <c r="C105" s="2" t="str">
        <f t="array" ref="C105">IF(NOW()&gt;AN105,"",IF(AND((WEEKDAY($A105)+$B$2)&gt;1,((WEEKDAY($A105)+$T$2)&lt;7),(WEEKDAY($A105)&lt;&gt;1)),"work",(INDEX(Subject!$A:$I,MATCH(RANDBETWEEN(1,(MAX(Subject!$B:$B))),Subject!$B:$B,0),3))))</f>
        <v/>
      </c>
      <c r="D105" s="2" t="str">
        <f t="array" ref="D105">IF(NOW()&gt;AO105,"",IF(AND((WEEKDAY($A105)+$B$2)&gt;1,((WEEKDAY($A105)+$T$2)&lt;7),(WEEKDAY($A105)&lt;&gt;1)),"work",(INDEX(Subject!$A:$I,MATCH(RANDBETWEEN(1,(MAX(Subject!$B:$B))),Subject!$B:$B,0),3))))</f>
        <v/>
      </c>
      <c r="E105" s="2" t="str">
        <f t="array" ref="E105">IF(NOW()&gt;AP105,"",IF(AND((WEEKDAY($A105)+$B$2)&gt;1,((WEEKDAY($A105)+$T$2)&lt;7),(WEEKDAY($A105)&lt;&gt;1)),"work",(INDEX(Subject!$A:$I,MATCH(RANDBETWEEN(1,(MAX(Subject!$B:$B))),Subject!$B:$B,0),3))))</f>
        <v/>
      </c>
      <c r="F105" s="2" t="str">
        <f t="array" ref="F105">IF(NOW()&gt;AQ105,"",IF(AND((WEEKDAY($A105)+$B$2)&gt;1,((WEEKDAY($A105)+$T$2)&lt;7),(WEEKDAY($A105)&lt;&gt;1)),"work",(INDEX(Subject!$A:$I,MATCH(RANDBETWEEN(1,(MAX(Subject!$B:$B))),Subject!$B:$B,0),3))))</f>
        <v/>
      </c>
      <c r="G105" s="2" t="str">
        <f t="array" ref="G105">IF(NOW()&gt;AR105,"",IF(AND((WEEKDAY($A105)+$B$2)&gt;1,((WEEKDAY($A105)+$T$2)&lt;7),(WEEKDAY($A105)&lt;&gt;1)),"work",(INDEX(Subject!$A:$I,MATCH(RANDBETWEEN(1,(MAX(Subject!$B:$B))),Subject!$B:$B,0),3))))</f>
        <v/>
      </c>
      <c r="H105" s="2" t="str">
        <f t="array" ref="H105">IF(NOW()&gt;AS105,"",IF(AND((WEEKDAY($A105)+$B$2)&gt;1,((WEEKDAY($A105)+$T$2)&lt;7),(WEEKDAY($A105)&lt;&gt;1)),"work",(INDEX(Subject!$A:$I,MATCH(RANDBETWEEN(1,(MAX(Subject!$B:$B))),Subject!$B:$B,0),3))))</f>
        <v/>
      </c>
      <c r="I105" s="2" t="str">
        <f t="array" ref="I105">IF(NOW()&gt;AT105,"",IF(AND((WEEKDAY($A105)+$B$2)&gt;1,((WEEKDAY($A105)+$T$2)&lt;7),(WEEKDAY($A105)&lt;&gt;1)),"work",(INDEX(Subject!$A:$I,MATCH(RANDBETWEEN(1,(MAX(Subject!$B:$B))),Subject!$B:$B,0),3))))</f>
        <v/>
      </c>
      <c r="J105" s="2" t="str">
        <f t="array" ref="J105">IF(NOW()&gt;AU105,"",IF(AND((WEEKDAY($A105)+$B$2)&gt;1,((WEEKDAY($A105)+$T$2)&lt;7),(WEEKDAY($A105)&lt;&gt;1)),"work",(INDEX(Subject!$A:$I,MATCH(RANDBETWEEN(1,(MAX(Subject!$B:$B))),Subject!$B:$B,0),3))))</f>
        <v/>
      </c>
      <c r="K105" s="2" t="str">
        <f t="array" ref="K105">IF(NOW()&gt;AV105,"",IF(AND((WEEKDAY($A105)+$B$2)&gt;1,((WEEKDAY($A105)+$T$2)&lt;7),(WEEKDAY($A105)&lt;&gt;1)),"work",(INDEX(Subject!$A:$I,MATCH(RANDBETWEEN(1,(MAX(Subject!$B:$B))),Subject!$B:$B,0),3))))</f>
        <v/>
      </c>
      <c r="L105" s="2" t="str">
        <f t="array" ref="L105">IF(NOW()&gt;AW105,"",IF(AND((WEEKDAY($A105)+$B$2)&gt;1,((WEEKDAY($A105)+$T$2)&lt;7),(WEEKDAY($A105)&lt;&gt;1)),"work",(INDEX(Subject!$A:$I,MATCH(RANDBETWEEN(1,(MAX(Subject!$B:$B))),Subject!$B:$B,0),3))))</f>
        <v/>
      </c>
      <c r="M105" s="2" t="str">
        <f t="array" ref="M105">IF(NOW()&gt;AX105,"",IF(AND((WEEKDAY($A105)+$B$2)&gt;1,((WEEKDAY($A105)+$T$2)&lt;7),(WEEKDAY($A105)&lt;&gt;1)),"work",(INDEX(Subject!$A:$I,MATCH(RANDBETWEEN(1,(MAX(Subject!$B:$B))),Subject!$B:$B,0),3))))</f>
        <v/>
      </c>
      <c r="N105" s="2" t="str">
        <f t="array" ref="N105">IF(NOW()&gt;AY105,"",IF(AND((WEEKDAY($A105)+$B$2)&gt;1,((WEEKDAY($A105)+$T$2)&lt;7),(WEEKDAY($A105)&lt;&gt;1)),"work",(INDEX(Subject!$A:$I,MATCH(RANDBETWEEN(1,(MAX(Subject!$B:$B))),Subject!$B:$B,0),3))))</f>
        <v/>
      </c>
      <c r="O105" s="2" t="str">
        <f t="array" ref="O105">IF(NOW()&gt;AZ105,"",IF(AND((WEEKDAY($A105)+$B$2)&gt;1,((WEEKDAY($A105)+$T$2)&lt;7),(WEEKDAY($A105)&lt;&gt;1)),"work",(INDEX(Subject!$A:$I,MATCH(RANDBETWEEN(1,(MAX(Subject!$B:$B))),Subject!$B:$B,0),3))))</f>
        <v/>
      </c>
      <c r="P105" s="2" t="str">
        <f t="array" ref="P105">IF(NOW()&gt;BA105,"",IF(AND((WEEKDAY($A105)+$B$2)&gt;1,((WEEKDAY($A105)+$T$2)&lt;7),(WEEKDAY($A105)&lt;&gt;1)),"work",(INDEX(Subject!$A:$I,MATCH(RANDBETWEEN(1,(MAX(Subject!$B:$B))),Subject!$B:$B,0),3))))</f>
        <v/>
      </c>
      <c r="Q105" s="2" t="str">
        <f t="array" ref="Q105">IF(NOW()&gt;BB105,"",IF(AND((WEEKDAY($A105)+$B$2)&gt;1,((WEEKDAY($A105)+$T$2)&lt;7),(WEEKDAY($A105)&lt;&gt;1)),"work",(INDEX(Subject!$A:$I,MATCH(RANDBETWEEN(1,(MAX(Subject!$B:$B))),Subject!$B:$B,0),3))))</f>
        <v/>
      </c>
      <c r="R105" s="2" t="str">
        <f t="array" ref="R105">IF(NOW()&gt;BC105,"",IF(AND((WEEKDAY($A105)+$B$2)&gt;1,((WEEKDAY($A105)+$T$2)&lt;7),(WEEKDAY($A105)&lt;&gt;1)),"work",(INDEX(Subject!$A:$I,MATCH(RANDBETWEEN(1,(MAX(Subject!$B:$B))),Subject!$B:$B,0),3))))</f>
        <v/>
      </c>
      <c r="S105" s="2" t="str">
        <f t="array" ref="S105">IF(NOW()&gt;BD105,"",IF(AND((WEEKDAY($A105)+$B$2)&gt;1,((WEEKDAY($A105)+$T$2)&lt;7),(WEEKDAY($A105)&lt;&gt;1)),"work",(INDEX(Subject!$A:$I,MATCH(RANDBETWEEN(1,(MAX(Subject!$B:$B))),Subject!$B:$B,0),3))))</f>
        <v/>
      </c>
      <c r="T105" s="2" t="str">
        <f t="array" ref="T105">IF(NOW()&gt;BE105,"",IF(AND((WEEKDAY($A105)+$B$2)&gt;1,((WEEKDAY($A105)+$T$2)&lt;7),(WEEKDAY($A105)&lt;&gt;1)),"work",(INDEX(Subject!$A:$I,MATCH(RANDBETWEEN(1,(MAX(Subject!$B:$B))),Subject!$B:$B,0),3))))</f>
        <v/>
      </c>
      <c r="U105" s="8" t="str">
        <f t="array" ref="U105">INDEX(Subject!$A:$I,MATCH(RANDBETWEEN(1,16),Subject!$B:$B,0),3)</f>
        <v>#N/A</v>
      </c>
      <c r="V105" s="8" t="str">
        <f t="array" ref="V105">INDEX(Subject!$A:$I,MATCH(RANDBETWEEN(1,16),Subject!$B:$B,0),3)</f>
        <v>#N/A</v>
      </c>
      <c r="W105" s="8" t="str">
        <f t="array" ref="W105">INDEX(Subject!$A:$I,MATCH(RANDBETWEEN(1,16),Subject!$B:$B,0),3)</f>
        <v>#N/A</v>
      </c>
      <c r="X105" s="8" t="str">
        <f t="array" ref="X105">INDEX(Subject!$A:$I,MATCH(RANDBETWEEN(1,16),Subject!$B:$B,0),3)</f>
        <v>#N/A</v>
      </c>
      <c r="Y105" s="8" t="str">
        <f t="array" ref="Y105">INDEX(Subject!$A:$I,MATCH(RANDBETWEEN(1,16),Subject!$B:$B,0),3)</f>
        <v>#N/A</v>
      </c>
      <c r="Z105" s="8" t="str">
        <f t="array" ref="Z105">INDEX(Subject!$A:$I,MATCH(RANDBETWEEN(1,16),Subject!$B:$B,0),3)</f>
        <v/>
      </c>
      <c r="AA105" s="8" t="str">
        <f t="array" ref="AA105">INDEX(Subject!$A:$I,MATCH(RANDBETWEEN(1,16),Subject!$B:$B,0),3)</f>
        <v>#N/A</v>
      </c>
      <c r="AB105" s="8" t="str">
        <f t="array" ref="AB105">INDEX(Subject!$A:$I,MATCH(RANDBETWEEN(1,16),Subject!$B:$B,0),3)</f>
        <v>#N/A</v>
      </c>
      <c r="AC105" s="8" t="str">
        <f t="array" ref="AC105">INDEX(Subject!$A:$I,MATCH(RANDBETWEEN(1,16),Subject!$B:$B,0),3)</f>
        <v>#N/A</v>
      </c>
      <c r="AD105" s="8" t="str">
        <f t="array" ref="AD105">INDEX(Subject!$A:$I,MATCH(RANDBETWEEN(1,16),Subject!$B:$B,0),3)</f>
        <v>#N/A</v>
      </c>
      <c r="AE105" s="8" t="str">
        <f t="array" ref="AE105">INDEX(Subject!$A:$I,MATCH(RANDBETWEEN(1,16),Subject!$B:$B,0),3)</f>
        <v>#N/A</v>
      </c>
      <c r="AF105" s="8" t="str">
        <f t="array" ref="AF105">INDEX(Subject!$A:$I,MATCH(RANDBETWEEN(1,16),Subject!$B:$B,0),3)</f>
        <v>#N/A</v>
      </c>
      <c r="AG105" s="8" t="str">
        <f t="array" ref="AG105">INDEX(Subject!$A:$I,MATCH(RANDBETWEEN(1,16),Subject!$B:$B,0),3)</f>
        <v>#N/A</v>
      </c>
      <c r="AH105" s="8" t="str">
        <f t="array" ref="AH105">INDEX(Subject!$A:$I,MATCH(RANDBETWEEN(1,16),Subject!$B:$B,0),3)</f>
        <v>#N/A</v>
      </c>
      <c r="AI105" s="8" t="str">
        <f t="array" ref="AI105">INDEX(Subject!$A:$I,MATCH(RANDBETWEEN(1,16),Subject!$B:$B,0),3)</f>
        <v>#N/A</v>
      </c>
      <c r="AJ105" s="8" t="str">
        <f t="array" ref="AJ105">INDEX(Subject!$A:$I,MATCH(RANDBETWEEN(1,16),Subject!$B:$B,0),3)</f>
        <v>#N/A</v>
      </c>
      <c r="AK105" s="8" t="str">
        <f t="array" ref="AK105">INDEX(Subject!$A:$I,MATCH(RANDBETWEEN(1,16),Subject!$B:$B,0),3)</f>
        <v/>
      </c>
      <c r="AL105" s="8" t="str">
        <f t="array" ref="AL105">INDEX(Subject!$A:$I,MATCH(RANDBETWEEN(1,16),Subject!$B:$B,0),3)</f>
        <v>#N/A</v>
      </c>
      <c r="AM105" s="18">
        <f t="shared" si="4"/>
        <v>45605.33333</v>
      </c>
      <c r="AN105" s="19">
        <f t="shared" ref="AN105:BZ105" si="105">$A105+C$1</f>
        <v>45605.35417</v>
      </c>
      <c r="AO105" s="19">
        <f t="shared" si="105"/>
        <v>45605.375</v>
      </c>
      <c r="AP105" s="19">
        <f t="shared" si="105"/>
        <v>45605.39583</v>
      </c>
      <c r="AQ105" s="19">
        <f t="shared" si="105"/>
        <v>45605.41667</v>
      </c>
      <c r="AR105" s="19">
        <f t="shared" si="105"/>
        <v>45605.4375</v>
      </c>
      <c r="AS105" s="19">
        <f t="shared" si="105"/>
        <v>45605.45833</v>
      </c>
      <c r="AT105" s="19">
        <f t="shared" si="105"/>
        <v>45605.47917</v>
      </c>
      <c r="AU105" s="19">
        <f t="shared" si="105"/>
        <v>45605.5</v>
      </c>
      <c r="AV105" s="19">
        <f t="shared" si="105"/>
        <v>45605.52083</v>
      </c>
      <c r="AW105" s="19">
        <f t="shared" si="105"/>
        <v>45605.54167</v>
      </c>
      <c r="AX105" s="19">
        <f t="shared" si="105"/>
        <v>45605.5625</v>
      </c>
      <c r="AY105" s="19">
        <f t="shared" si="105"/>
        <v>45605.58333</v>
      </c>
      <c r="AZ105" s="19">
        <f t="shared" si="105"/>
        <v>45605.60417</v>
      </c>
      <c r="BA105" s="19">
        <f t="shared" si="105"/>
        <v>45605.625</v>
      </c>
      <c r="BB105" s="19">
        <f t="shared" si="105"/>
        <v>45605.64583</v>
      </c>
      <c r="BC105" s="19">
        <f t="shared" si="105"/>
        <v>45605.66667</v>
      </c>
      <c r="BD105" s="19">
        <f t="shared" si="105"/>
        <v>45605.6875</v>
      </c>
      <c r="BE105" s="19">
        <f t="shared" si="105"/>
        <v>45605.70833</v>
      </c>
      <c r="BF105" s="19">
        <f t="shared" si="105"/>
        <v>45605.72917</v>
      </c>
      <c r="BG105" s="19">
        <f t="shared" si="105"/>
        <v>45605.75</v>
      </c>
      <c r="BH105" s="19">
        <f t="shared" si="105"/>
        <v>45605.77083</v>
      </c>
      <c r="BI105" s="19">
        <f t="shared" si="105"/>
        <v>45605.79167</v>
      </c>
      <c r="BJ105" s="19">
        <f t="shared" si="105"/>
        <v>45605.8125</v>
      </c>
      <c r="BK105" s="19">
        <f t="shared" si="105"/>
        <v>45605.83333</v>
      </c>
      <c r="BL105" s="19">
        <f t="shared" si="105"/>
        <v>45605.85417</v>
      </c>
      <c r="BM105" s="19">
        <f t="shared" si="105"/>
        <v>45605.875</v>
      </c>
      <c r="BN105" s="19">
        <f t="shared" si="105"/>
        <v>45605.89583</v>
      </c>
      <c r="BO105" s="19">
        <f t="shared" si="105"/>
        <v>45605.91667</v>
      </c>
      <c r="BP105" s="19">
        <f t="shared" si="105"/>
        <v>45605.9375</v>
      </c>
      <c r="BQ105" s="19">
        <f t="shared" si="105"/>
        <v>45605.95833</v>
      </c>
      <c r="BR105" s="19">
        <f t="shared" si="105"/>
        <v>45605.97917</v>
      </c>
      <c r="BS105" s="19">
        <f t="shared" si="105"/>
        <v>45606</v>
      </c>
      <c r="BT105" s="19">
        <f t="shared" si="105"/>
        <v>45606.02083</v>
      </c>
      <c r="BU105" s="19">
        <f t="shared" si="105"/>
        <v>45606.04167</v>
      </c>
      <c r="BV105" s="19">
        <f t="shared" si="105"/>
        <v>45606.0625</v>
      </c>
      <c r="BW105" s="19">
        <f t="shared" si="105"/>
        <v>45606.08333</v>
      </c>
      <c r="BX105" s="19">
        <f t="shared" si="105"/>
        <v>45605</v>
      </c>
      <c r="BY105" s="19">
        <f t="shared" si="105"/>
        <v>45605</v>
      </c>
      <c r="BZ105" s="19">
        <f t="shared" si="105"/>
        <v>45605</v>
      </c>
    </row>
    <row r="106" ht="14.25" customHeight="1">
      <c r="A106" s="17">
        <v>45606.0</v>
      </c>
      <c r="B106" s="2" t="str">
        <f t="array" ref="B106">IF(NOW()&gt;AM106,"",IF(AND((WEEKDAY($A106)+$B$2)&gt;1,((WEEKDAY($A106)+$T$2)&lt;7),(WEEKDAY($A106)&lt;&gt;1)),"work",(INDEX(Subject!$A:$I,MATCH(RANDBETWEEN(1,(MAX(Subject!$B:$B))),Subject!$B:$B,0),3))))</f>
        <v/>
      </c>
      <c r="C106" s="2" t="str">
        <f t="array" ref="C106">IF(NOW()&gt;AN106,"",IF(AND((WEEKDAY($A106)+$B$2)&gt;1,((WEEKDAY($A106)+$T$2)&lt;7),(WEEKDAY($A106)&lt;&gt;1)),"work",(INDEX(Subject!$A:$I,MATCH(RANDBETWEEN(1,(MAX(Subject!$B:$B))),Subject!$B:$B,0),3))))</f>
        <v/>
      </c>
      <c r="D106" s="2" t="str">
        <f t="array" ref="D106">IF(NOW()&gt;AO106,"",IF(AND((WEEKDAY($A106)+$B$2)&gt;1,((WEEKDAY($A106)+$T$2)&lt;7),(WEEKDAY($A106)&lt;&gt;1)),"work",(INDEX(Subject!$A:$I,MATCH(RANDBETWEEN(1,(MAX(Subject!$B:$B))),Subject!$B:$B,0),3))))</f>
        <v/>
      </c>
      <c r="E106" s="2" t="str">
        <f t="array" ref="E106">IF(NOW()&gt;AP106,"",IF(AND((WEEKDAY($A106)+$B$2)&gt;1,((WEEKDAY($A106)+$T$2)&lt;7),(WEEKDAY($A106)&lt;&gt;1)),"work",(INDEX(Subject!$A:$I,MATCH(RANDBETWEEN(1,(MAX(Subject!$B:$B))),Subject!$B:$B,0),3))))</f>
        <v/>
      </c>
      <c r="F106" s="2" t="str">
        <f t="array" ref="F106">IF(NOW()&gt;AQ106,"",IF(AND((WEEKDAY($A106)+$B$2)&gt;1,((WEEKDAY($A106)+$T$2)&lt;7),(WEEKDAY($A106)&lt;&gt;1)),"work",(INDEX(Subject!$A:$I,MATCH(RANDBETWEEN(1,(MAX(Subject!$B:$B))),Subject!$B:$B,0),3))))</f>
        <v/>
      </c>
      <c r="G106" s="2" t="str">
        <f t="array" ref="G106">IF(NOW()&gt;AR106,"",IF(AND((WEEKDAY($A106)+$B$2)&gt;1,((WEEKDAY($A106)+$T$2)&lt;7),(WEEKDAY($A106)&lt;&gt;1)),"work",(INDEX(Subject!$A:$I,MATCH(RANDBETWEEN(1,(MAX(Subject!$B:$B))),Subject!$B:$B,0),3))))</f>
        <v/>
      </c>
      <c r="H106" s="2" t="str">
        <f t="array" ref="H106">IF(NOW()&gt;AS106,"",IF(AND((WEEKDAY($A106)+$B$2)&gt;1,((WEEKDAY($A106)+$T$2)&lt;7),(WEEKDAY($A106)&lt;&gt;1)),"work",(INDEX(Subject!$A:$I,MATCH(RANDBETWEEN(1,(MAX(Subject!$B:$B))),Subject!$B:$B,0),3))))</f>
        <v/>
      </c>
      <c r="I106" s="2" t="str">
        <f t="array" ref="I106">IF(NOW()&gt;AT106,"",IF(AND((WEEKDAY($A106)+$B$2)&gt;1,((WEEKDAY($A106)+$T$2)&lt;7),(WEEKDAY($A106)&lt;&gt;1)),"work",(INDEX(Subject!$A:$I,MATCH(RANDBETWEEN(1,(MAX(Subject!$B:$B))),Subject!$B:$B,0),3))))</f>
        <v/>
      </c>
      <c r="J106" s="2" t="str">
        <f t="array" ref="J106">IF(NOW()&gt;AU106,"",IF(AND((WEEKDAY($A106)+$B$2)&gt;1,((WEEKDAY($A106)+$T$2)&lt;7),(WEEKDAY($A106)&lt;&gt;1)),"work",(INDEX(Subject!$A:$I,MATCH(RANDBETWEEN(1,(MAX(Subject!$B:$B))),Subject!$B:$B,0),3))))</f>
        <v/>
      </c>
      <c r="K106" s="2" t="str">
        <f t="array" ref="K106">IF(NOW()&gt;AV106,"",IF(AND((WEEKDAY($A106)+$B$2)&gt;1,((WEEKDAY($A106)+$T$2)&lt;7),(WEEKDAY($A106)&lt;&gt;1)),"work",(INDEX(Subject!$A:$I,MATCH(RANDBETWEEN(1,(MAX(Subject!$B:$B))),Subject!$B:$B,0),3))))</f>
        <v/>
      </c>
      <c r="L106" s="2" t="str">
        <f t="array" ref="L106">IF(NOW()&gt;AW106,"",IF(AND((WEEKDAY($A106)+$B$2)&gt;1,((WEEKDAY($A106)+$T$2)&lt;7),(WEEKDAY($A106)&lt;&gt;1)),"work",(INDEX(Subject!$A:$I,MATCH(RANDBETWEEN(1,(MAX(Subject!$B:$B))),Subject!$B:$B,0),3))))</f>
        <v/>
      </c>
      <c r="M106" s="2" t="str">
        <f t="array" ref="M106">IF(NOW()&gt;AX106,"",IF(AND((WEEKDAY($A106)+$B$2)&gt;1,((WEEKDAY($A106)+$T$2)&lt;7),(WEEKDAY($A106)&lt;&gt;1)),"work",(INDEX(Subject!$A:$I,MATCH(RANDBETWEEN(1,(MAX(Subject!$B:$B))),Subject!$B:$B,0),3))))</f>
        <v/>
      </c>
      <c r="N106" s="2" t="str">
        <f t="array" ref="N106">IF(NOW()&gt;AY106,"",IF(AND((WEEKDAY($A106)+$B$2)&gt;1,((WEEKDAY($A106)+$T$2)&lt;7),(WEEKDAY($A106)&lt;&gt;1)),"work",(INDEX(Subject!$A:$I,MATCH(RANDBETWEEN(1,(MAX(Subject!$B:$B))),Subject!$B:$B,0),3))))</f>
        <v/>
      </c>
      <c r="O106" s="2" t="str">
        <f t="array" ref="O106">IF(NOW()&gt;AZ106,"",IF(AND((WEEKDAY($A106)+$B$2)&gt;1,((WEEKDAY($A106)+$T$2)&lt;7),(WEEKDAY($A106)&lt;&gt;1)),"work",(INDEX(Subject!$A:$I,MATCH(RANDBETWEEN(1,(MAX(Subject!$B:$B))),Subject!$B:$B,0),3))))</f>
        <v/>
      </c>
      <c r="P106" s="2" t="str">
        <f t="array" ref="P106">IF(NOW()&gt;BA106,"",IF(AND((WEEKDAY($A106)+$B$2)&gt;1,((WEEKDAY($A106)+$T$2)&lt;7),(WEEKDAY($A106)&lt;&gt;1)),"work",(INDEX(Subject!$A:$I,MATCH(RANDBETWEEN(1,(MAX(Subject!$B:$B))),Subject!$B:$B,0),3))))</f>
        <v/>
      </c>
      <c r="Q106" s="2" t="str">
        <f t="array" ref="Q106">IF(NOW()&gt;BB106,"",IF(AND((WEEKDAY($A106)+$B$2)&gt;1,((WEEKDAY($A106)+$T$2)&lt;7),(WEEKDAY($A106)&lt;&gt;1)),"work",(INDEX(Subject!$A:$I,MATCH(RANDBETWEEN(1,(MAX(Subject!$B:$B))),Subject!$B:$B,0),3))))</f>
        <v/>
      </c>
      <c r="R106" s="2" t="str">
        <f t="array" ref="R106">IF(NOW()&gt;BC106,"",IF(AND((WEEKDAY($A106)+$B$2)&gt;1,((WEEKDAY($A106)+$T$2)&lt;7),(WEEKDAY($A106)&lt;&gt;1)),"work",(INDEX(Subject!$A:$I,MATCH(RANDBETWEEN(1,(MAX(Subject!$B:$B))),Subject!$B:$B,0),3))))</f>
        <v/>
      </c>
      <c r="S106" s="2" t="str">
        <f t="array" ref="S106">IF(NOW()&gt;BD106,"",IF(AND((WEEKDAY($A106)+$B$2)&gt;1,((WEEKDAY($A106)+$T$2)&lt;7),(WEEKDAY($A106)&lt;&gt;1)),"work",(INDEX(Subject!$A:$I,MATCH(RANDBETWEEN(1,(MAX(Subject!$B:$B))),Subject!$B:$B,0),3))))</f>
        <v/>
      </c>
      <c r="T106" s="2" t="str">
        <f t="array" ref="T106">IF(NOW()&gt;BE106,"",IF(AND((WEEKDAY($A106)+$B$2)&gt;1,((WEEKDAY($A106)+$T$2)&lt;7),(WEEKDAY($A106)&lt;&gt;1)),"work",(INDEX(Subject!$A:$I,MATCH(RANDBETWEEN(1,(MAX(Subject!$B:$B))),Subject!$B:$B,0),3))))</f>
        <v/>
      </c>
      <c r="U106" s="8" t="str">
        <f t="array" ref="U106">INDEX(Subject!$A:$I,MATCH(RANDBETWEEN(1,16),Subject!$B:$B,0),3)</f>
        <v>#N/A</v>
      </c>
      <c r="V106" s="8" t="str">
        <f t="array" ref="V106">INDEX(Subject!$A:$I,MATCH(RANDBETWEEN(1,16),Subject!$B:$B,0),3)</f>
        <v>#N/A</v>
      </c>
      <c r="W106" s="8" t="str">
        <f t="array" ref="W106">INDEX(Subject!$A:$I,MATCH(RANDBETWEEN(1,16),Subject!$B:$B,0),3)</f>
        <v>#N/A</v>
      </c>
      <c r="X106" s="8" t="str">
        <f t="array" ref="X106">INDEX(Subject!$A:$I,MATCH(RANDBETWEEN(1,16),Subject!$B:$B,0),3)</f>
        <v>#N/A</v>
      </c>
      <c r="Y106" s="8" t="str">
        <f t="array" ref="Y106">INDEX(Subject!$A:$I,MATCH(RANDBETWEEN(1,16),Subject!$B:$B,0),3)</f>
        <v>#N/A</v>
      </c>
      <c r="Z106" s="8" t="str">
        <f t="array" ref="Z106">INDEX(Subject!$A:$I,MATCH(RANDBETWEEN(1,16),Subject!$B:$B,0),3)</f>
        <v>#N/A</v>
      </c>
      <c r="AA106" s="8" t="str">
        <f t="array" ref="AA106">INDEX(Subject!$A:$I,MATCH(RANDBETWEEN(1,16),Subject!$B:$B,0),3)</f>
        <v/>
      </c>
      <c r="AB106" s="8" t="str">
        <f t="array" ref="AB106">INDEX(Subject!$A:$I,MATCH(RANDBETWEEN(1,16),Subject!$B:$B,0),3)</f>
        <v>#N/A</v>
      </c>
      <c r="AC106" s="8" t="str">
        <f t="array" ref="AC106">INDEX(Subject!$A:$I,MATCH(RANDBETWEEN(1,16),Subject!$B:$B,0),3)</f>
        <v>#N/A</v>
      </c>
      <c r="AD106" s="8" t="str">
        <f t="array" ref="AD106">INDEX(Subject!$A:$I,MATCH(RANDBETWEEN(1,16),Subject!$B:$B,0),3)</f>
        <v>#N/A</v>
      </c>
      <c r="AE106" s="8" t="str">
        <f t="array" ref="AE106">INDEX(Subject!$A:$I,MATCH(RANDBETWEEN(1,16),Subject!$B:$B,0),3)</f>
        <v>#N/A</v>
      </c>
      <c r="AF106" s="8" t="str">
        <f t="array" ref="AF106">INDEX(Subject!$A:$I,MATCH(RANDBETWEEN(1,16),Subject!$B:$B,0),3)</f>
        <v>#N/A</v>
      </c>
      <c r="AG106" s="8" t="str">
        <f t="array" ref="AG106">INDEX(Subject!$A:$I,MATCH(RANDBETWEEN(1,16),Subject!$B:$B,0),3)</f>
        <v>#N/A</v>
      </c>
      <c r="AH106" s="8" t="str">
        <f t="array" ref="AH106">INDEX(Subject!$A:$I,MATCH(RANDBETWEEN(1,16),Subject!$B:$B,0),3)</f>
        <v>#N/A</v>
      </c>
      <c r="AI106" s="8" t="str">
        <f t="array" ref="AI106">INDEX(Subject!$A:$I,MATCH(RANDBETWEEN(1,16),Subject!$B:$B,0),3)</f>
        <v>#N/A</v>
      </c>
      <c r="AJ106" s="8" t="str">
        <f t="array" ref="AJ106">INDEX(Subject!$A:$I,MATCH(RANDBETWEEN(1,16),Subject!$B:$B,0),3)</f>
        <v>#N/A</v>
      </c>
      <c r="AK106" s="8" t="str">
        <f t="array" ref="AK106">INDEX(Subject!$A:$I,MATCH(RANDBETWEEN(1,16),Subject!$B:$B,0),3)</f>
        <v/>
      </c>
      <c r="AL106" s="8" t="str">
        <f t="array" ref="AL106">INDEX(Subject!$A:$I,MATCH(RANDBETWEEN(1,16),Subject!$B:$B,0),3)</f>
        <v>#N/A</v>
      </c>
      <c r="AM106" s="18">
        <f t="shared" si="4"/>
        <v>45606.33333</v>
      </c>
      <c r="AN106" s="19">
        <f t="shared" ref="AN106:BZ106" si="106">$A106+C$1</f>
        <v>45606.35417</v>
      </c>
      <c r="AO106" s="19">
        <f t="shared" si="106"/>
        <v>45606.375</v>
      </c>
      <c r="AP106" s="19">
        <f t="shared" si="106"/>
        <v>45606.39583</v>
      </c>
      <c r="AQ106" s="19">
        <f t="shared" si="106"/>
        <v>45606.41667</v>
      </c>
      <c r="AR106" s="19">
        <f t="shared" si="106"/>
        <v>45606.4375</v>
      </c>
      <c r="AS106" s="19">
        <f t="shared" si="106"/>
        <v>45606.45833</v>
      </c>
      <c r="AT106" s="19">
        <f t="shared" si="106"/>
        <v>45606.47917</v>
      </c>
      <c r="AU106" s="19">
        <f t="shared" si="106"/>
        <v>45606.5</v>
      </c>
      <c r="AV106" s="19">
        <f t="shared" si="106"/>
        <v>45606.52083</v>
      </c>
      <c r="AW106" s="19">
        <f t="shared" si="106"/>
        <v>45606.54167</v>
      </c>
      <c r="AX106" s="19">
        <f t="shared" si="106"/>
        <v>45606.5625</v>
      </c>
      <c r="AY106" s="19">
        <f t="shared" si="106"/>
        <v>45606.58333</v>
      </c>
      <c r="AZ106" s="19">
        <f t="shared" si="106"/>
        <v>45606.60417</v>
      </c>
      <c r="BA106" s="19">
        <f t="shared" si="106"/>
        <v>45606.625</v>
      </c>
      <c r="BB106" s="19">
        <f t="shared" si="106"/>
        <v>45606.64583</v>
      </c>
      <c r="BC106" s="19">
        <f t="shared" si="106"/>
        <v>45606.66667</v>
      </c>
      <c r="BD106" s="19">
        <f t="shared" si="106"/>
        <v>45606.6875</v>
      </c>
      <c r="BE106" s="19">
        <f t="shared" si="106"/>
        <v>45606.70833</v>
      </c>
      <c r="BF106" s="19">
        <f t="shared" si="106"/>
        <v>45606.72917</v>
      </c>
      <c r="BG106" s="19">
        <f t="shared" si="106"/>
        <v>45606.75</v>
      </c>
      <c r="BH106" s="19">
        <f t="shared" si="106"/>
        <v>45606.77083</v>
      </c>
      <c r="BI106" s="19">
        <f t="shared" si="106"/>
        <v>45606.79167</v>
      </c>
      <c r="BJ106" s="19">
        <f t="shared" si="106"/>
        <v>45606.8125</v>
      </c>
      <c r="BK106" s="19">
        <f t="shared" si="106"/>
        <v>45606.83333</v>
      </c>
      <c r="BL106" s="19">
        <f t="shared" si="106"/>
        <v>45606.85417</v>
      </c>
      <c r="BM106" s="19">
        <f t="shared" si="106"/>
        <v>45606.875</v>
      </c>
      <c r="BN106" s="19">
        <f t="shared" si="106"/>
        <v>45606.89583</v>
      </c>
      <c r="BO106" s="19">
        <f t="shared" si="106"/>
        <v>45606.91667</v>
      </c>
      <c r="BP106" s="19">
        <f t="shared" si="106"/>
        <v>45606.9375</v>
      </c>
      <c r="BQ106" s="19">
        <f t="shared" si="106"/>
        <v>45606.95833</v>
      </c>
      <c r="BR106" s="19">
        <f t="shared" si="106"/>
        <v>45606.97917</v>
      </c>
      <c r="BS106" s="19">
        <f t="shared" si="106"/>
        <v>45607</v>
      </c>
      <c r="BT106" s="19">
        <f t="shared" si="106"/>
        <v>45607.02083</v>
      </c>
      <c r="BU106" s="19">
        <f t="shared" si="106"/>
        <v>45607.04167</v>
      </c>
      <c r="BV106" s="19">
        <f t="shared" si="106"/>
        <v>45607.0625</v>
      </c>
      <c r="BW106" s="19">
        <f t="shared" si="106"/>
        <v>45607.08333</v>
      </c>
      <c r="BX106" s="19">
        <f t="shared" si="106"/>
        <v>45606</v>
      </c>
      <c r="BY106" s="19">
        <f t="shared" si="106"/>
        <v>45606</v>
      </c>
      <c r="BZ106" s="19">
        <f t="shared" si="106"/>
        <v>45606</v>
      </c>
    </row>
    <row r="107" ht="14.25" customHeight="1">
      <c r="A107" s="17">
        <v>45607.0</v>
      </c>
      <c r="B107" s="2" t="str">
        <f t="array" ref="B107">IF(NOW()&gt;AM107,"",IF(AND((WEEKDAY($A107)+$B$2)&gt;1,((WEEKDAY($A107)+$T$2)&lt;7),(WEEKDAY($A107)&lt;&gt;1)),"work",(INDEX(Subject!$A:$I,MATCH(RANDBETWEEN(1,(MAX(Subject!$B:$B))),Subject!$B:$B,0),3))))</f>
        <v/>
      </c>
      <c r="C107" s="2" t="str">
        <f t="array" ref="C107">IF(NOW()&gt;AN107,"",IF(AND((WEEKDAY($A107)+$B$2)&gt;1,((WEEKDAY($A107)+$T$2)&lt;7),(WEEKDAY($A107)&lt;&gt;1)),"work",(INDEX(Subject!$A:$I,MATCH(RANDBETWEEN(1,(MAX(Subject!$B:$B))),Subject!$B:$B,0),3))))</f>
        <v/>
      </c>
      <c r="D107" s="2" t="str">
        <f t="array" ref="D107">IF(NOW()&gt;AO107,"",IF(AND((WEEKDAY($A107)+$B$2)&gt;1,((WEEKDAY($A107)+$T$2)&lt;7),(WEEKDAY($A107)&lt;&gt;1)),"work",(INDEX(Subject!$A:$I,MATCH(RANDBETWEEN(1,(MAX(Subject!$B:$B))),Subject!$B:$B,0),3))))</f>
        <v/>
      </c>
      <c r="E107" s="2" t="str">
        <f t="array" ref="E107">IF(NOW()&gt;AP107,"",IF(AND((WEEKDAY($A107)+$B$2)&gt;1,((WEEKDAY($A107)+$T$2)&lt;7),(WEEKDAY($A107)&lt;&gt;1)),"work",(INDEX(Subject!$A:$I,MATCH(RANDBETWEEN(1,(MAX(Subject!$B:$B))),Subject!$B:$B,0),3))))</f>
        <v/>
      </c>
      <c r="F107" s="2" t="str">
        <f t="array" ref="F107">IF(NOW()&gt;AQ107,"",IF(AND((WEEKDAY($A107)+$B$2)&gt;1,((WEEKDAY($A107)+$T$2)&lt;7),(WEEKDAY($A107)&lt;&gt;1)),"work",(INDEX(Subject!$A:$I,MATCH(RANDBETWEEN(1,(MAX(Subject!$B:$B))),Subject!$B:$B,0),3))))</f>
        <v/>
      </c>
      <c r="G107" s="2" t="str">
        <f t="array" ref="G107">IF(NOW()&gt;AR107,"",IF(AND((WEEKDAY($A107)+$B$2)&gt;1,((WEEKDAY($A107)+$T$2)&lt;7),(WEEKDAY($A107)&lt;&gt;1)),"work",(INDEX(Subject!$A:$I,MATCH(RANDBETWEEN(1,(MAX(Subject!$B:$B))),Subject!$B:$B,0),3))))</f>
        <v/>
      </c>
      <c r="H107" s="2" t="str">
        <f t="array" ref="H107">IF(NOW()&gt;AS107,"",IF(AND((WEEKDAY($A107)+$B$2)&gt;1,((WEEKDAY($A107)+$T$2)&lt;7),(WEEKDAY($A107)&lt;&gt;1)),"work",(INDEX(Subject!$A:$I,MATCH(RANDBETWEEN(1,(MAX(Subject!$B:$B))),Subject!$B:$B,0),3))))</f>
        <v/>
      </c>
      <c r="I107" s="2" t="str">
        <f t="array" ref="I107">IF(NOW()&gt;AT107,"",IF(AND((WEEKDAY($A107)+$B$2)&gt;1,((WEEKDAY($A107)+$T$2)&lt;7),(WEEKDAY($A107)&lt;&gt;1)),"work",(INDEX(Subject!$A:$I,MATCH(RANDBETWEEN(1,(MAX(Subject!$B:$B))),Subject!$B:$B,0),3))))</f>
        <v/>
      </c>
      <c r="J107" s="2" t="str">
        <f t="array" ref="J107">IF(NOW()&gt;AU107,"",IF(AND((WEEKDAY($A107)+$B$2)&gt;1,((WEEKDAY($A107)+$T$2)&lt;7),(WEEKDAY($A107)&lt;&gt;1)),"work",(INDEX(Subject!$A:$I,MATCH(RANDBETWEEN(1,(MAX(Subject!$B:$B))),Subject!$B:$B,0),3))))</f>
        <v/>
      </c>
      <c r="K107" s="2" t="str">
        <f t="array" ref="K107">IF(NOW()&gt;AV107,"",IF(AND((WEEKDAY($A107)+$B$2)&gt;1,((WEEKDAY($A107)+$T$2)&lt;7),(WEEKDAY($A107)&lt;&gt;1)),"work",(INDEX(Subject!$A:$I,MATCH(RANDBETWEEN(1,(MAX(Subject!$B:$B))),Subject!$B:$B,0),3))))</f>
        <v/>
      </c>
      <c r="L107" s="2" t="str">
        <f t="array" ref="L107">IF(NOW()&gt;AW107,"",IF(AND((WEEKDAY($A107)+$B$2)&gt;1,((WEEKDAY($A107)+$T$2)&lt;7),(WEEKDAY($A107)&lt;&gt;1)),"work",(INDEX(Subject!$A:$I,MATCH(RANDBETWEEN(1,(MAX(Subject!$B:$B))),Subject!$B:$B,0),3))))</f>
        <v/>
      </c>
      <c r="M107" s="2" t="str">
        <f t="array" ref="M107">IF(NOW()&gt;AX107,"",IF(AND((WEEKDAY($A107)+$B$2)&gt;1,((WEEKDAY($A107)+$T$2)&lt;7),(WEEKDAY($A107)&lt;&gt;1)),"work",(INDEX(Subject!$A:$I,MATCH(RANDBETWEEN(1,(MAX(Subject!$B:$B))),Subject!$B:$B,0),3))))</f>
        <v/>
      </c>
      <c r="N107" s="2" t="str">
        <f t="array" ref="N107">IF(NOW()&gt;AY107,"",IF(AND((WEEKDAY($A107)+$B$2)&gt;1,((WEEKDAY($A107)+$T$2)&lt;7),(WEEKDAY($A107)&lt;&gt;1)),"work",(INDEX(Subject!$A:$I,MATCH(RANDBETWEEN(1,(MAX(Subject!$B:$B))),Subject!$B:$B,0),3))))</f>
        <v/>
      </c>
      <c r="O107" s="2" t="str">
        <f t="array" ref="O107">IF(NOW()&gt;AZ107,"",IF(AND((WEEKDAY($A107)+$B$2)&gt;1,((WEEKDAY($A107)+$T$2)&lt;7),(WEEKDAY($A107)&lt;&gt;1)),"work",(INDEX(Subject!$A:$I,MATCH(RANDBETWEEN(1,(MAX(Subject!$B:$B))),Subject!$B:$B,0),3))))</f>
        <v/>
      </c>
      <c r="P107" s="2" t="str">
        <f t="array" ref="P107">IF(NOW()&gt;BA107,"",IF(AND((WEEKDAY($A107)+$B$2)&gt;1,((WEEKDAY($A107)+$T$2)&lt;7),(WEEKDAY($A107)&lt;&gt;1)),"work",(INDEX(Subject!$A:$I,MATCH(RANDBETWEEN(1,(MAX(Subject!$B:$B))),Subject!$B:$B,0),3))))</f>
        <v/>
      </c>
      <c r="Q107" s="2" t="str">
        <f t="array" ref="Q107">IF(NOW()&gt;BB107,"",IF(AND((WEEKDAY($A107)+$B$2)&gt;1,((WEEKDAY($A107)+$T$2)&lt;7),(WEEKDAY($A107)&lt;&gt;1)),"work",(INDEX(Subject!$A:$I,MATCH(RANDBETWEEN(1,(MAX(Subject!$B:$B))),Subject!$B:$B,0),3))))</f>
        <v/>
      </c>
      <c r="R107" s="2" t="str">
        <f t="array" ref="R107">IF(NOW()&gt;BC107,"",IF(AND((WEEKDAY($A107)+$B$2)&gt;1,((WEEKDAY($A107)+$T$2)&lt;7),(WEEKDAY($A107)&lt;&gt;1)),"work",(INDEX(Subject!$A:$I,MATCH(RANDBETWEEN(1,(MAX(Subject!$B:$B))),Subject!$B:$B,0),3))))</f>
        <v/>
      </c>
      <c r="S107" s="2" t="str">
        <f t="array" ref="S107">IF(NOW()&gt;BD107,"",IF(AND((WEEKDAY($A107)+$B$2)&gt;1,((WEEKDAY($A107)+$T$2)&lt;7),(WEEKDAY($A107)&lt;&gt;1)),"work",(INDEX(Subject!$A:$I,MATCH(RANDBETWEEN(1,(MAX(Subject!$B:$B))),Subject!$B:$B,0),3))))</f>
        <v/>
      </c>
      <c r="T107" s="2" t="str">
        <f t="array" ref="T107">IF(NOW()&gt;BE107,"",IF(AND((WEEKDAY($A107)+$B$2)&gt;1,((WEEKDAY($A107)+$T$2)&lt;7),(WEEKDAY($A107)&lt;&gt;1)),"work",(INDEX(Subject!$A:$I,MATCH(RANDBETWEEN(1,(MAX(Subject!$B:$B))),Subject!$B:$B,0),3))))</f>
        <v/>
      </c>
      <c r="U107" s="8" t="str">
        <f t="array" ref="U107">INDEX(Subject!$A:$I,MATCH(RANDBETWEEN(1,16),Subject!$B:$B,0),3)</f>
        <v>#N/A</v>
      </c>
      <c r="V107" s="8" t="str">
        <f t="array" ref="V107">INDEX(Subject!$A:$I,MATCH(RANDBETWEEN(1,16),Subject!$B:$B,0),3)</f>
        <v>#N/A</v>
      </c>
      <c r="W107" s="8" t="str">
        <f t="array" ref="W107">INDEX(Subject!$A:$I,MATCH(RANDBETWEEN(1,16),Subject!$B:$B,0),3)</f>
        <v>#N/A</v>
      </c>
      <c r="X107" s="8" t="str">
        <f t="array" ref="X107">INDEX(Subject!$A:$I,MATCH(RANDBETWEEN(1,16),Subject!$B:$B,0),3)</f>
        <v>#N/A</v>
      </c>
      <c r="Y107" s="8" t="str">
        <f t="array" ref="Y107">INDEX(Subject!$A:$I,MATCH(RANDBETWEEN(1,16),Subject!$B:$B,0),3)</f>
        <v>#N/A</v>
      </c>
      <c r="Z107" s="8" t="str">
        <f t="array" ref="Z107">INDEX(Subject!$A:$I,MATCH(RANDBETWEEN(1,16),Subject!$B:$B,0),3)</f>
        <v>#N/A</v>
      </c>
      <c r="AA107" s="8" t="str">
        <f t="array" ref="AA107">INDEX(Subject!$A:$I,MATCH(RANDBETWEEN(1,16),Subject!$B:$B,0),3)</f>
        <v>#N/A</v>
      </c>
      <c r="AB107" s="8" t="str">
        <f t="array" ref="AB107">INDEX(Subject!$A:$I,MATCH(RANDBETWEEN(1,16),Subject!$B:$B,0),3)</f>
        <v>#N/A</v>
      </c>
      <c r="AC107" s="8" t="str">
        <f t="array" ref="AC107">INDEX(Subject!$A:$I,MATCH(RANDBETWEEN(1,16),Subject!$B:$B,0),3)</f>
        <v>#N/A</v>
      </c>
      <c r="AD107" s="8" t="str">
        <f t="array" ref="AD107">INDEX(Subject!$A:$I,MATCH(RANDBETWEEN(1,16),Subject!$B:$B,0),3)</f>
        <v>#N/A</v>
      </c>
      <c r="AE107" s="8" t="str">
        <f t="array" ref="AE107">INDEX(Subject!$A:$I,MATCH(RANDBETWEEN(1,16),Subject!$B:$B,0),3)</f>
        <v>#N/A</v>
      </c>
      <c r="AF107" s="8" t="str">
        <f t="array" ref="AF107">INDEX(Subject!$A:$I,MATCH(RANDBETWEEN(1,16),Subject!$B:$B,0),3)</f>
        <v>#N/A</v>
      </c>
      <c r="AG107" s="8" t="str">
        <f t="array" ref="AG107">INDEX(Subject!$A:$I,MATCH(RANDBETWEEN(1,16),Subject!$B:$B,0),3)</f>
        <v>#N/A</v>
      </c>
      <c r="AH107" s="8" t="str">
        <f t="array" ref="AH107">INDEX(Subject!$A:$I,MATCH(RANDBETWEEN(1,16),Subject!$B:$B,0),3)</f>
        <v>#N/A</v>
      </c>
      <c r="AI107" s="8" t="str">
        <f t="array" ref="AI107">INDEX(Subject!$A:$I,MATCH(RANDBETWEEN(1,16),Subject!$B:$B,0),3)</f>
        <v>#N/A</v>
      </c>
      <c r="AJ107" s="8" t="str">
        <f t="array" ref="AJ107">INDEX(Subject!$A:$I,MATCH(RANDBETWEEN(1,16),Subject!$B:$B,0),3)</f>
        <v>#N/A</v>
      </c>
      <c r="AK107" s="8" t="str">
        <f t="array" ref="AK107">INDEX(Subject!$A:$I,MATCH(RANDBETWEEN(1,16),Subject!$B:$B,0),3)</f>
        <v>#N/A</v>
      </c>
      <c r="AL107" s="8" t="str">
        <f t="array" ref="AL107">INDEX(Subject!$A:$I,MATCH(RANDBETWEEN(1,16),Subject!$B:$B,0),3)</f>
        <v>#N/A</v>
      </c>
      <c r="AM107" s="18">
        <f t="shared" si="4"/>
        <v>45607.33333</v>
      </c>
      <c r="AN107" s="19">
        <f t="shared" ref="AN107:BZ107" si="107">$A107+C$1</f>
        <v>45607.35417</v>
      </c>
      <c r="AO107" s="19">
        <f t="shared" si="107"/>
        <v>45607.375</v>
      </c>
      <c r="AP107" s="19">
        <f t="shared" si="107"/>
        <v>45607.39583</v>
      </c>
      <c r="AQ107" s="19">
        <f t="shared" si="107"/>
        <v>45607.41667</v>
      </c>
      <c r="AR107" s="19">
        <f t="shared" si="107"/>
        <v>45607.4375</v>
      </c>
      <c r="AS107" s="19">
        <f t="shared" si="107"/>
        <v>45607.45833</v>
      </c>
      <c r="AT107" s="19">
        <f t="shared" si="107"/>
        <v>45607.47917</v>
      </c>
      <c r="AU107" s="19">
        <f t="shared" si="107"/>
        <v>45607.5</v>
      </c>
      <c r="AV107" s="19">
        <f t="shared" si="107"/>
        <v>45607.52083</v>
      </c>
      <c r="AW107" s="19">
        <f t="shared" si="107"/>
        <v>45607.54167</v>
      </c>
      <c r="AX107" s="19">
        <f t="shared" si="107"/>
        <v>45607.5625</v>
      </c>
      <c r="AY107" s="19">
        <f t="shared" si="107"/>
        <v>45607.58333</v>
      </c>
      <c r="AZ107" s="19">
        <f t="shared" si="107"/>
        <v>45607.60417</v>
      </c>
      <c r="BA107" s="19">
        <f t="shared" si="107"/>
        <v>45607.625</v>
      </c>
      <c r="BB107" s="19">
        <f t="shared" si="107"/>
        <v>45607.64583</v>
      </c>
      <c r="BC107" s="19">
        <f t="shared" si="107"/>
        <v>45607.66667</v>
      </c>
      <c r="BD107" s="19">
        <f t="shared" si="107"/>
        <v>45607.6875</v>
      </c>
      <c r="BE107" s="19">
        <f t="shared" si="107"/>
        <v>45607.70833</v>
      </c>
      <c r="BF107" s="19">
        <f t="shared" si="107"/>
        <v>45607.72917</v>
      </c>
      <c r="BG107" s="19">
        <f t="shared" si="107"/>
        <v>45607.75</v>
      </c>
      <c r="BH107" s="19">
        <f t="shared" si="107"/>
        <v>45607.77083</v>
      </c>
      <c r="BI107" s="19">
        <f t="shared" si="107"/>
        <v>45607.79167</v>
      </c>
      <c r="BJ107" s="19">
        <f t="shared" si="107"/>
        <v>45607.8125</v>
      </c>
      <c r="BK107" s="19">
        <f t="shared" si="107"/>
        <v>45607.83333</v>
      </c>
      <c r="BL107" s="19">
        <f t="shared" si="107"/>
        <v>45607.85417</v>
      </c>
      <c r="BM107" s="19">
        <f t="shared" si="107"/>
        <v>45607.875</v>
      </c>
      <c r="BN107" s="19">
        <f t="shared" si="107"/>
        <v>45607.89583</v>
      </c>
      <c r="BO107" s="19">
        <f t="shared" si="107"/>
        <v>45607.91667</v>
      </c>
      <c r="BP107" s="19">
        <f t="shared" si="107"/>
        <v>45607.9375</v>
      </c>
      <c r="BQ107" s="19">
        <f t="shared" si="107"/>
        <v>45607.95833</v>
      </c>
      <c r="BR107" s="19">
        <f t="shared" si="107"/>
        <v>45607.97917</v>
      </c>
      <c r="BS107" s="19">
        <f t="shared" si="107"/>
        <v>45608</v>
      </c>
      <c r="BT107" s="19">
        <f t="shared" si="107"/>
        <v>45608.02083</v>
      </c>
      <c r="BU107" s="19">
        <f t="shared" si="107"/>
        <v>45608.04167</v>
      </c>
      <c r="BV107" s="19">
        <f t="shared" si="107"/>
        <v>45608.0625</v>
      </c>
      <c r="BW107" s="19">
        <f t="shared" si="107"/>
        <v>45608.08333</v>
      </c>
      <c r="BX107" s="19">
        <f t="shared" si="107"/>
        <v>45607</v>
      </c>
      <c r="BY107" s="19">
        <f t="shared" si="107"/>
        <v>45607</v>
      </c>
      <c r="BZ107" s="19">
        <f t="shared" si="107"/>
        <v>45607</v>
      </c>
    </row>
    <row r="108" ht="14.25" customHeight="1">
      <c r="A108" s="17">
        <v>45608.0</v>
      </c>
      <c r="B108" s="2" t="str">
        <f t="array" ref="B108">IF(NOW()&gt;AM108,"",IF(AND((WEEKDAY($A108)+$B$2)&gt;1,((WEEKDAY($A108)+$T$2)&lt;7),(WEEKDAY($A108)&lt;&gt;1)),"work",(INDEX(Subject!$A:$I,MATCH(RANDBETWEEN(1,(MAX(Subject!$B:$B))),Subject!$B:$B,0),3))))</f>
        <v/>
      </c>
      <c r="C108" s="2" t="str">
        <f t="array" ref="C108">IF(NOW()&gt;AN108,"",IF(AND((WEEKDAY($A108)+$B$2)&gt;1,((WEEKDAY($A108)+$T$2)&lt;7),(WEEKDAY($A108)&lt;&gt;1)),"work",(INDEX(Subject!$A:$I,MATCH(RANDBETWEEN(1,(MAX(Subject!$B:$B))),Subject!$B:$B,0),3))))</f>
        <v/>
      </c>
      <c r="D108" s="2" t="str">
        <f t="array" ref="D108">IF(NOW()&gt;AO108,"",IF(AND((WEEKDAY($A108)+$B$2)&gt;1,((WEEKDAY($A108)+$T$2)&lt;7),(WEEKDAY($A108)&lt;&gt;1)),"work",(INDEX(Subject!$A:$I,MATCH(RANDBETWEEN(1,(MAX(Subject!$B:$B))),Subject!$B:$B,0),3))))</f>
        <v/>
      </c>
      <c r="E108" s="2" t="str">
        <f t="array" ref="E108">IF(NOW()&gt;AP108,"",IF(AND((WEEKDAY($A108)+$B$2)&gt;1,((WEEKDAY($A108)+$T$2)&lt;7),(WEEKDAY($A108)&lt;&gt;1)),"work",(INDEX(Subject!$A:$I,MATCH(RANDBETWEEN(1,(MAX(Subject!$B:$B))),Subject!$B:$B,0),3))))</f>
        <v/>
      </c>
      <c r="F108" s="2" t="str">
        <f t="array" ref="F108">IF(NOW()&gt;AQ108,"",IF(AND((WEEKDAY($A108)+$B$2)&gt;1,((WEEKDAY($A108)+$T$2)&lt;7),(WEEKDAY($A108)&lt;&gt;1)),"work",(INDEX(Subject!$A:$I,MATCH(RANDBETWEEN(1,(MAX(Subject!$B:$B))),Subject!$B:$B,0),3))))</f>
        <v/>
      </c>
      <c r="G108" s="2" t="str">
        <f t="array" ref="G108">IF(NOW()&gt;AR108,"",IF(AND((WEEKDAY($A108)+$B$2)&gt;1,((WEEKDAY($A108)+$T$2)&lt;7),(WEEKDAY($A108)&lt;&gt;1)),"work",(INDEX(Subject!$A:$I,MATCH(RANDBETWEEN(1,(MAX(Subject!$B:$B))),Subject!$B:$B,0),3))))</f>
        <v/>
      </c>
      <c r="H108" s="2" t="str">
        <f t="array" ref="H108">IF(NOW()&gt;AS108,"",IF(AND((WEEKDAY($A108)+$B$2)&gt;1,((WEEKDAY($A108)+$T$2)&lt;7),(WEEKDAY($A108)&lt;&gt;1)),"work",(INDEX(Subject!$A:$I,MATCH(RANDBETWEEN(1,(MAX(Subject!$B:$B))),Subject!$B:$B,0),3))))</f>
        <v/>
      </c>
      <c r="I108" s="2" t="str">
        <f t="array" ref="I108">IF(NOW()&gt;AT108,"",IF(AND((WEEKDAY($A108)+$B$2)&gt;1,((WEEKDAY($A108)+$T$2)&lt;7),(WEEKDAY($A108)&lt;&gt;1)),"work",(INDEX(Subject!$A:$I,MATCH(RANDBETWEEN(1,(MAX(Subject!$B:$B))),Subject!$B:$B,0),3))))</f>
        <v/>
      </c>
      <c r="J108" s="2" t="str">
        <f t="array" ref="J108">IF(NOW()&gt;AU108,"",IF(AND((WEEKDAY($A108)+$B$2)&gt;1,((WEEKDAY($A108)+$T$2)&lt;7),(WEEKDAY($A108)&lt;&gt;1)),"work",(INDEX(Subject!$A:$I,MATCH(RANDBETWEEN(1,(MAX(Subject!$B:$B))),Subject!$B:$B,0),3))))</f>
        <v/>
      </c>
      <c r="K108" s="2" t="str">
        <f t="array" ref="K108">IF(NOW()&gt;AV108,"",IF(AND((WEEKDAY($A108)+$B$2)&gt;1,((WEEKDAY($A108)+$T$2)&lt;7),(WEEKDAY($A108)&lt;&gt;1)),"work",(INDEX(Subject!$A:$I,MATCH(RANDBETWEEN(1,(MAX(Subject!$B:$B))),Subject!$B:$B,0),3))))</f>
        <v/>
      </c>
      <c r="L108" s="2" t="str">
        <f t="array" ref="L108">IF(NOW()&gt;AW108,"",IF(AND((WEEKDAY($A108)+$B$2)&gt;1,((WEEKDAY($A108)+$T$2)&lt;7),(WEEKDAY($A108)&lt;&gt;1)),"work",(INDEX(Subject!$A:$I,MATCH(RANDBETWEEN(1,(MAX(Subject!$B:$B))),Subject!$B:$B,0),3))))</f>
        <v/>
      </c>
      <c r="M108" s="2" t="str">
        <f t="array" ref="M108">IF(NOW()&gt;AX108,"",IF(AND((WEEKDAY($A108)+$B$2)&gt;1,((WEEKDAY($A108)+$T$2)&lt;7),(WEEKDAY($A108)&lt;&gt;1)),"work",(INDEX(Subject!$A:$I,MATCH(RANDBETWEEN(1,(MAX(Subject!$B:$B))),Subject!$B:$B,0),3))))</f>
        <v/>
      </c>
      <c r="N108" s="2" t="str">
        <f t="array" ref="N108">IF(NOW()&gt;AY108,"",IF(AND((WEEKDAY($A108)+$B$2)&gt;1,((WEEKDAY($A108)+$T$2)&lt;7),(WEEKDAY($A108)&lt;&gt;1)),"work",(INDEX(Subject!$A:$I,MATCH(RANDBETWEEN(1,(MAX(Subject!$B:$B))),Subject!$B:$B,0),3))))</f>
        <v/>
      </c>
      <c r="O108" s="2" t="str">
        <f t="array" ref="O108">IF(NOW()&gt;AZ108,"",IF(AND((WEEKDAY($A108)+$B$2)&gt;1,((WEEKDAY($A108)+$T$2)&lt;7),(WEEKDAY($A108)&lt;&gt;1)),"work",(INDEX(Subject!$A:$I,MATCH(RANDBETWEEN(1,(MAX(Subject!$B:$B))),Subject!$B:$B,0),3))))</f>
        <v/>
      </c>
      <c r="P108" s="2" t="str">
        <f t="array" ref="P108">IF(NOW()&gt;BA108,"",IF(AND((WEEKDAY($A108)+$B$2)&gt;1,((WEEKDAY($A108)+$T$2)&lt;7),(WEEKDAY($A108)&lt;&gt;1)),"work",(INDEX(Subject!$A:$I,MATCH(RANDBETWEEN(1,(MAX(Subject!$B:$B))),Subject!$B:$B,0),3))))</f>
        <v/>
      </c>
      <c r="Q108" s="2" t="str">
        <f t="array" ref="Q108">IF(NOW()&gt;BB108,"",IF(AND((WEEKDAY($A108)+$B$2)&gt;1,((WEEKDAY($A108)+$T$2)&lt;7),(WEEKDAY($A108)&lt;&gt;1)),"work",(INDEX(Subject!$A:$I,MATCH(RANDBETWEEN(1,(MAX(Subject!$B:$B))),Subject!$B:$B,0),3))))</f>
        <v/>
      </c>
      <c r="R108" s="2" t="str">
        <f t="array" ref="R108">IF(NOW()&gt;BC108,"",IF(AND((WEEKDAY($A108)+$B$2)&gt;1,((WEEKDAY($A108)+$T$2)&lt;7),(WEEKDAY($A108)&lt;&gt;1)),"work",(INDEX(Subject!$A:$I,MATCH(RANDBETWEEN(1,(MAX(Subject!$B:$B))),Subject!$B:$B,0),3))))</f>
        <v/>
      </c>
      <c r="S108" s="2" t="str">
        <f t="array" ref="S108">IF(NOW()&gt;BD108,"",IF(AND((WEEKDAY($A108)+$B$2)&gt;1,((WEEKDAY($A108)+$T$2)&lt;7),(WEEKDAY($A108)&lt;&gt;1)),"work",(INDEX(Subject!$A:$I,MATCH(RANDBETWEEN(1,(MAX(Subject!$B:$B))),Subject!$B:$B,0),3))))</f>
        <v/>
      </c>
      <c r="T108" s="2" t="str">
        <f t="array" ref="T108">IF(NOW()&gt;BE108,"",IF(AND((WEEKDAY($A108)+$B$2)&gt;1,((WEEKDAY($A108)+$T$2)&lt;7),(WEEKDAY($A108)&lt;&gt;1)),"work",(INDEX(Subject!$A:$I,MATCH(RANDBETWEEN(1,(MAX(Subject!$B:$B))),Subject!$B:$B,0),3))))</f>
        <v/>
      </c>
      <c r="U108" s="8" t="str">
        <f t="array" ref="U108">INDEX(Subject!$A:$I,MATCH(RANDBETWEEN(1,16),Subject!$B:$B,0),3)</f>
        <v>#N/A</v>
      </c>
      <c r="V108" s="8" t="str">
        <f t="array" ref="V108">INDEX(Subject!$A:$I,MATCH(RANDBETWEEN(1,16),Subject!$B:$B,0),3)</f>
        <v>#N/A</v>
      </c>
      <c r="W108" s="8" t="str">
        <f t="array" ref="W108">INDEX(Subject!$A:$I,MATCH(RANDBETWEEN(1,16),Subject!$B:$B,0),3)</f>
        <v>#N/A</v>
      </c>
      <c r="X108" s="8" t="str">
        <f t="array" ref="X108">INDEX(Subject!$A:$I,MATCH(RANDBETWEEN(1,16),Subject!$B:$B,0),3)</f>
        <v>#N/A</v>
      </c>
      <c r="Y108" s="8" t="str">
        <f t="array" ref="Y108">INDEX(Subject!$A:$I,MATCH(RANDBETWEEN(1,16),Subject!$B:$B,0),3)</f>
        <v>#N/A</v>
      </c>
      <c r="Z108" s="8" t="str">
        <f t="array" ref="Z108">INDEX(Subject!$A:$I,MATCH(RANDBETWEEN(1,16),Subject!$B:$B,0),3)</f>
        <v>#N/A</v>
      </c>
      <c r="AA108" s="8" t="str">
        <f t="array" ref="AA108">INDEX(Subject!$A:$I,MATCH(RANDBETWEEN(1,16),Subject!$B:$B,0),3)</f>
        <v>#N/A</v>
      </c>
      <c r="AB108" s="8" t="str">
        <f t="array" ref="AB108">INDEX(Subject!$A:$I,MATCH(RANDBETWEEN(1,16),Subject!$B:$B,0),3)</f>
        <v>#N/A</v>
      </c>
      <c r="AC108" s="8" t="str">
        <f t="array" ref="AC108">INDEX(Subject!$A:$I,MATCH(RANDBETWEEN(1,16),Subject!$B:$B,0),3)</f>
        <v>#N/A</v>
      </c>
      <c r="AD108" s="8" t="str">
        <f t="array" ref="AD108">INDEX(Subject!$A:$I,MATCH(RANDBETWEEN(1,16),Subject!$B:$B,0),3)</f>
        <v>#N/A</v>
      </c>
      <c r="AE108" s="8" t="str">
        <f t="array" ref="AE108">INDEX(Subject!$A:$I,MATCH(RANDBETWEEN(1,16),Subject!$B:$B,0),3)</f>
        <v>#N/A</v>
      </c>
      <c r="AF108" s="8" t="str">
        <f t="array" ref="AF108">INDEX(Subject!$A:$I,MATCH(RANDBETWEEN(1,16),Subject!$B:$B,0),3)</f>
        <v>#N/A</v>
      </c>
      <c r="AG108" s="8" t="str">
        <f t="array" ref="AG108">INDEX(Subject!$A:$I,MATCH(RANDBETWEEN(1,16),Subject!$B:$B,0),3)</f>
        <v>#N/A</v>
      </c>
      <c r="AH108" s="8" t="str">
        <f t="array" ref="AH108">INDEX(Subject!$A:$I,MATCH(RANDBETWEEN(1,16),Subject!$B:$B,0),3)</f>
        <v>#N/A</v>
      </c>
      <c r="AI108" s="8" t="str">
        <f t="array" ref="AI108">INDEX(Subject!$A:$I,MATCH(RANDBETWEEN(1,16),Subject!$B:$B,0),3)</f>
        <v>#N/A</v>
      </c>
      <c r="AJ108" s="8" t="str">
        <f t="array" ref="AJ108">INDEX(Subject!$A:$I,MATCH(RANDBETWEEN(1,16),Subject!$B:$B,0),3)</f>
        <v>#N/A</v>
      </c>
      <c r="AK108" s="8" t="str">
        <f t="array" ref="AK108">INDEX(Subject!$A:$I,MATCH(RANDBETWEEN(1,16),Subject!$B:$B,0),3)</f>
        <v>#N/A</v>
      </c>
      <c r="AL108" s="8" t="str">
        <f t="array" ref="AL108">INDEX(Subject!$A:$I,MATCH(RANDBETWEEN(1,16),Subject!$B:$B,0),3)</f>
        <v>#N/A</v>
      </c>
      <c r="AM108" s="18">
        <f t="shared" si="4"/>
        <v>45608.33333</v>
      </c>
      <c r="AN108" s="19">
        <f t="shared" ref="AN108:BZ108" si="108">$A108+C$1</f>
        <v>45608.35417</v>
      </c>
      <c r="AO108" s="19">
        <f t="shared" si="108"/>
        <v>45608.375</v>
      </c>
      <c r="AP108" s="19">
        <f t="shared" si="108"/>
        <v>45608.39583</v>
      </c>
      <c r="AQ108" s="19">
        <f t="shared" si="108"/>
        <v>45608.41667</v>
      </c>
      <c r="AR108" s="19">
        <f t="shared" si="108"/>
        <v>45608.4375</v>
      </c>
      <c r="AS108" s="19">
        <f t="shared" si="108"/>
        <v>45608.45833</v>
      </c>
      <c r="AT108" s="19">
        <f t="shared" si="108"/>
        <v>45608.47917</v>
      </c>
      <c r="AU108" s="19">
        <f t="shared" si="108"/>
        <v>45608.5</v>
      </c>
      <c r="AV108" s="19">
        <f t="shared" si="108"/>
        <v>45608.52083</v>
      </c>
      <c r="AW108" s="19">
        <f t="shared" si="108"/>
        <v>45608.54167</v>
      </c>
      <c r="AX108" s="19">
        <f t="shared" si="108"/>
        <v>45608.5625</v>
      </c>
      <c r="AY108" s="19">
        <f t="shared" si="108"/>
        <v>45608.58333</v>
      </c>
      <c r="AZ108" s="19">
        <f t="shared" si="108"/>
        <v>45608.60417</v>
      </c>
      <c r="BA108" s="19">
        <f t="shared" si="108"/>
        <v>45608.625</v>
      </c>
      <c r="BB108" s="19">
        <f t="shared" si="108"/>
        <v>45608.64583</v>
      </c>
      <c r="BC108" s="19">
        <f t="shared" si="108"/>
        <v>45608.66667</v>
      </c>
      <c r="BD108" s="19">
        <f t="shared" si="108"/>
        <v>45608.6875</v>
      </c>
      <c r="BE108" s="19">
        <f t="shared" si="108"/>
        <v>45608.70833</v>
      </c>
      <c r="BF108" s="19">
        <f t="shared" si="108"/>
        <v>45608.72917</v>
      </c>
      <c r="BG108" s="19">
        <f t="shared" si="108"/>
        <v>45608.75</v>
      </c>
      <c r="BH108" s="19">
        <f t="shared" si="108"/>
        <v>45608.77083</v>
      </c>
      <c r="BI108" s="19">
        <f t="shared" si="108"/>
        <v>45608.79167</v>
      </c>
      <c r="BJ108" s="19">
        <f t="shared" si="108"/>
        <v>45608.8125</v>
      </c>
      <c r="BK108" s="19">
        <f t="shared" si="108"/>
        <v>45608.83333</v>
      </c>
      <c r="BL108" s="19">
        <f t="shared" si="108"/>
        <v>45608.85417</v>
      </c>
      <c r="BM108" s="19">
        <f t="shared" si="108"/>
        <v>45608.875</v>
      </c>
      <c r="BN108" s="19">
        <f t="shared" si="108"/>
        <v>45608.89583</v>
      </c>
      <c r="BO108" s="19">
        <f t="shared" si="108"/>
        <v>45608.91667</v>
      </c>
      <c r="BP108" s="19">
        <f t="shared" si="108"/>
        <v>45608.9375</v>
      </c>
      <c r="BQ108" s="19">
        <f t="shared" si="108"/>
        <v>45608.95833</v>
      </c>
      <c r="BR108" s="19">
        <f t="shared" si="108"/>
        <v>45608.97917</v>
      </c>
      <c r="BS108" s="19">
        <f t="shared" si="108"/>
        <v>45609</v>
      </c>
      <c r="BT108" s="19">
        <f t="shared" si="108"/>
        <v>45609.02083</v>
      </c>
      <c r="BU108" s="19">
        <f t="shared" si="108"/>
        <v>45609.04167</v>
      </c>
      <c r="BV108" s="19">
        <f t="shared" si="108"/>
        <v>45609.0625</v>
      </c>
      <c r="BW108" s="19">
        <f t="shared" si="108"/>
        <v>45609.08333</v>
      </c>
      <c r="BX108" s="19">
        <f t="shared" si="108"/>
        <v>45608</v>
      </c>
      <c r="BY108" s="19">
        <f t="shared" si="108"/>
        <v>45608</v>
      </c>
      <c r="BZ108" s="19">
        <f t="shared" si="108"/>
        <v>45608</v>
      </c>
    </row>
    <row r="109" ht="14.25" customHeight="1">
      <c r="A109" s="17">
        <v>45609.0</v>
      </c>
      <c r="B109" s="2" t="str">
        <f t="array" ref="B109">IF(NOW()&gt;AM109,"",IF(AND((WEEKDAY($A109)+$B$2)&gt;1,((WEEKDAY($A109)+$T$2)&lt;7),(WEEKDAY($A109)&lt;&gt;1)),"work",(INDEX(Subject!$A:$I,MATCH(RANDBETWEEN(1,(MAX(Subject!$B:$B))),Subject!$B:$B,0),3))))</f>
        <v/>
      </c>
      <c r="C109" s="2" t="str">
        <f t="array" ref="C109">IF(NOW()&gt;AN109,"",IF(AND((WEEKDAY($A109)+$B$2)&gt;1,((WEEKDAY($A109)+$T$2)&lt;7),(WEEKDAY($A109)&lt;&gt;1)),"work",(INDEX(Subject!$A:$I,MATCH(RANDBETWEEN(1,(MAX(Subject!$B:$B))),Subject!$B:$B,0),3))))</f>
        <v/>
      </c>
      <c r="D109" s="2" t="str">
        <f t="array" ref="D109">IF(NOW()&gt;AO109,"",IF(AND((WEEKDAY($A109)+$B$2)&gt;1,((WEEKDAY($A109)+$T$2)&lt;7),(WEEKDAY($A109)&lt;&gt;1)),"work",(INDEX(Subject!$A:$I,MATCH(RANDBETWEEN(1,(MAX(Subject!$B:$B))),Subject!$B:$B,0),3))))</f>
        <v/>
      </c>
      <c r="E109" s="2" t="str">
        <f t="array" ref="E109">IF(NOW()&gt;AP109,"",IF(AND((WEEKDAY($A109)+$B$2)&gt;1,((WEEKDAY($A109)+$T$2)&lt;7),(WEEKDAY($A109)&lt;&gt;1)),"work",(INDEX(Subject!$A:$I,MATCH(RANDBETWEEN(1,(MAX(Subject!$B:$B))),Subject!$B:$B,0),3))))</f>
        <v/>
      </c>
      <c r="F109" s="2" t="str">
        <f t="array" ref="F109">IF(NOW()&gt;AQ109,"",IF(AND((WEEKDAY($A109)+$B$2)&gt;1,((WEEKDAY($A109)+$T$2)&lt;7),(WEEKDAY($A109)&lt;&gt;1)),"work",(INDEX(Subject!$A:$I,MATCH(RANDBETWEEN(1,(MAX(Subject!$B:$B))),Subject!$B:$B,0),3))))</f>
        <v/>
      </c>
      <c r="G109" s="2" t="str">
        <f t="array" ref="G109">IF(NOW()&gt;AR109,"",IF(AND((WEEKDAY($A109)+$B$2)&gt;1,((WEEKDAY($A109)+$T$2)&lt;7),(WEEKDAY($A109)&lt;&gt;1)),"work",(INDEX(Subject!$A:$I,MATCH(RANDBETWEEN(1,(MAX(Subject!$B:$B))),Subject!$B:$B,0),3))))</f>
        <v/>
      </c>
      <c r="H109" s="2" t="str">
        <f t="array" ref="H109">IF(NOW()&gt;AS109,"",IF(AND((WEEKDAY($A109)+$B$2)&gt;1,((WEEKDAY($A109)+$T$2)&lt;7),(WEEKDAY($A109)&lt;&gt;1)),"work",(INDEX(Subject!$A:$I,MATCH(RANDBETWEEN(1,(MAX(Subject!$B:$B))),Subject!$B:$B,0),3))))</f>
        <v/>
      </c>
      <c r="I109" s="2" t="str">
        <f t="array" ref="I109">IF(NOW()&gt;AT109,"",IF(AND((WEEKDAY($A109)+$B$2)&gt;1,((WEEKDAY($A109)+$T$2)&lt;7),(WEEKDAY($A109)&lt;&gt;1)),"work",(INDEX(Subject!$A:$I,MATCH(RANDBETWEEN(1,(MAX(Subject!$B:$B))),Subject!$B:$B,0),3))))</f>
        <v/>
      </c>
      <c r="J109" s="2" t="str">
        <f t="array" ref="J109">IF(NOW()&gt;AU109,"",IF(AND((WEEKDAY($A109)+$B$2)&gt;1,((WEEKDAY($A109)+$T$2)&lt;7),(WEEKDAY($A109)&lt;&gt;1)),"work",(INDEX(Subject!$A:$I,MATCH(RANDBETWEEN(1,(MAX(Subject!$B:$B))),Subject!$B:$B,0),3))))</f>
        <v/>
      </c>
      <c r="K109" s="2" t="str">
        <f t="array" ref="K109">IF(NOW()&gt;AV109,"",IF(AND((WEEKDAY($A109)+$B$2)&gt;1,((WEEKDAY($A109)+$T$2)&lt;7),(WEEKDAY($A109)&lt;&gt;1)),"work",(INDEX(Subject!$A:$I,MATCH(RANDBETWEEN(1,(MAX(Subject!$B:$B))),Subject!$B:$B,0),3))))</f>
        <v/>
      </c>
      <c r="L109" s="2" t="str">
        <f t="array" ref="L109">IF(NOW()&gt;AW109,"",IF(AND((WEEKDAY($A109)+$B$2)&gt;1,((WEEKDAY($A109)+$T$2)&lt;7),(WEEKDAY($A109)&lt;&gt;1)),"work",(INDEX(Subject!$A:$I,MATCH(RANDBETWEEN(1,(MAX(Subject!$B:$B))),Subject!$B:$B,0),3))))</f>
        <v/>
      </c>
      <c r="M109" s="2" t="str">
        <f t="array" ref="M109">IF(NOW()&gt;AX109,"",IF(AND((WEEKDAY($A109)+$B$2)&gt;1,((WEEKDAY($A109)+$T$2)&lt;7),(WEEKDAY($A109)&lt;&gt;1)),"work",(INDEX(Subject!$A:$I,MATCH(RANDBETWEEN(1,(MAX(Subject!$B:$B))),Subject!$B:$B,0),3))))</f>
        <v/>
      </c>
      <c r="N109" s="2" t="str">
        <f t="array" ref="N109">IF(NOW()&gt;AY109,"",IF(AND((WEEKDAY($A109)+$B$2)&gt;1,((WEEKDAY($A109)+$T$2)&lt;7),(WEEKDAY($A109)&lt;&gt;1)),"work",(INDEX(Subject!$A:$I,MATCH(RANDBETWEEN(1,(MAX(Subject!$B:$B))),Subject!$B:$B,0),3))))</f>
        <v/>
      </c>
      <c r="O109" s="2" t="str">
        <f t="array" ref="O109">IF(NOW()&gt;AZ109,"",IF(AND((WEEKDAY($A109)+$B$2)&gt;1,((WEEKDAY($A109)+$T$2)&lt;7),(WEEKDAY($A109)&lt;&gt;1)),"work",(INDEX(Subject!$A:$I,MATCH(RANDBETWEEN(1,(MAX(Subject!$B:$B))),Subject!$B:$B,0),3))))</f>
        <v/>
      </c>
      <c r="P109" s="2" t="str">
        <f t="array" ref="P109">IF(NOW()&gt;BA109,"",IF(AND((WEEKDAY($A109)+$B$2)&gt;1,((WEEKDAY($A109)+$T$2)&lt;7),(WEEKDAY($A109)&lt;&gt;1)),"work",(INDEX(Subject!$A:$I,MATCH(RANDBETWEEN(1,(MAX(Subject!$B:$B))),Subject!$B:$B,0),3))))</f>
        <v/>
      </c>
      <c r="Q109" s="2" t="str">
        <f t="array" ref="Q109">IF(NOW()&gt;BB109,"",IF(AND((WEEKDAY($A109)+$B$2)&gt;1,((WEEKDAY($A109)+$T$2)&lt;7),(WEEKDAY($A109)&lt;&gt;1)),"work",(INDEX(Subject!$A:$I,MATCH(RANDBETWEEN(1,(MAX(Subject!$B:$B))),Subject!$B:$B,0),3))))</f>
        <v/>
      </c>
      <c r="R109" s="2" t="str">
        <f t="array" ref="R109">IF(NOW()&gt;BC109,"",IF(AND((WEEKDAY($A109)+$B$2)&gt;1,((WEEKDAY($A109)+$T$2)&lt;7),(WEEKDAY($A109)&lt;&gt;1)),"work",(INDEX(Subject!$A:$I,MATCH(RANDBETWEEN(1,(MAX(Subject!$B:$B))),Subject!$B:$B,0),3))))</f>
        <v/>
      </c>
      <c r="S109" s="2" t="str">
        <f t="array" ref="S109">IF(NOW()&gt;BD109,"",IF(AND((WEEKDAY($A109)+$B$2)&gt;1,((WEEKDAY($A109)+$T$2)&lt;7),(WEEKDAY($A109)&lt;&gt;1)),"work",(INDEX(Subject!$A:$I,MATCH(RANDBETWEEN(1,(MAX(Subject!$B:$B))),Subject!$B:$B,0),3))))</f>
        <v/>
      </c>
      <c r="T109" s="2" t="str">
        <f t="array" ref="T109">IF(NOW()&gt;BE109,"",IF(AND((WEEKDAY($A109)+$B$2)&gt;1,((WEEKDAY($A109)+$T$2)&lt;7),(WEEKDAY($A109)&lt;&gt;1)),"work",(INDEX(Subject!$A:$I,MATCH(RANDBETWEEN(1,(MAX(Subject!$B:$B))),Subject!$B:$B,0),3))))</f>
        <v/>
      </c>
      <c r="U109" s="8" t="str">
        <f t="array" ref="U109">INDEX(Subject!$A:$I,MATCH(RANDBETWEEN(1,16),Subject!$B:$B,0),3)</f>
        <v>#N/A</v>
      </c>
      <c r="V109" s="8" t="str">
        <f t="array" ref="V109">INDEX(Subject!$A:$I,MATCH(RANDBETWEEN(1,16),Subject!$B:$B,0),3)</f>
        <v/>
      </c>
      <c r="W109" s="8" t="str">
        <f t="array" ref="W109">INDEX(Subject!$A:$I,MATCH(RANDBETWEEN(1,16),Subject!$B:$B,0),3)</f>
        <v>#N/A</v>
      </c>
      <c r="X109" s="8" t="str">
        <f t="array" ref="X109">INDEX(Subject!$A:$I,MATCH(RANDBETWEEN(1,16),Subject!$B:$B,0),3)</f>
        <v>#N/A</v>
      </c>
      <c r="Y109" s="8" t="str">
        <f t="array" ref="Y109">INDEX(Subject!$A:$I,MATCH(RANDBETWEEN(1,16),Subject!$B:$B,0),3)</f>
        <v>#N/A</v>
      </c>
      <c r="Z109" s="8" t="str">
        <f t="array" ref="Z109">INDEX(Subject!$A:$I,MATCH(RANDBETWEEN(1,16),Subject!$B:$B,0),3)</f>
        <v>#N/A</v>
      </c>
      <c r="AA109" s="8" t="str">
        <f t="array" ref="AA109">INDEX(Subject!$A:$I,MATCH(RANDBETWEEN(1,16),Subject!$B:$B,0),3)</f>
        <v>#N/A</v>
      </c>
      <c r="AB109" s="8" t="str">
        <f t="array" ref="AB109">INDEX(Subject!$A:$I,MATCH(RANDBETWEEN(1,16),Subject!$B:$B,0),3)</f>
        <v>#N/A</v>
      </c>
      <c r="AC109" s="8" t="str">
        <f t="array" ref="AC109">INDEX(Subject!$A:$I,MATCH(RANDBETWEEN(1,16),Subject!$B:$B,0),3)</f>
        <v/>
      </c>
      <c r="AD109" s="8" t="str">
        <f t="array" ref="AD109">INDEX(Subject!$A:$I,MATCH(RANDBETWEEN(1,16),Subject!$B:$B,0),3)</f>
        <v>#N/A</v>
      </c>
      <c r="AE109" s="8" t="str">
        <f t="array" ref="AE109">INDEX(Subject!$A:$I,MATCH(RANDBETWEEN(1,16),Subject!$B:$B,0),3)</f>
        <v>#N/A</v>
      </c>
      <c r="AF109" s="8" t="str">
        <f t="array" ref="AF109">INDEX(Subject!$A:$I,MATCH(RANDBETWEEN(1,16),Subject!$B:$B,0),3)</f>
        <v>#N/A</v>
      </c>
      <c r="AG109" s="8" t="str">
        <f t="array" ref="AG109">INDEX(Subject!$A:$I,MATCH(RANDBETWEEN(1,16),Subject!$B:$B,0),3)</f>
        <v>#N/A</v>
      </c>
      <c r="AH109" s="8" t="str">
        <f t="array" ref="AH109">INDEX(Subject!$A:$I,MATCH(RANDBETWEEN(1,16),Subject!$B:$B,0),3)</f>
        <v>#N/A</v>
      </c>
      <c r="AI109" s="8" t="str">
        <f t="array" ref="AI109">INDEX(Subject!$A:$I,MATCH(RANDBETWEEN(1,16),Subject!$B:$B,0),3)</f>
        <v>#N/A</v>
      </c>
      <c r="AJ109" s="8" t="str">
        <f t="array" ref="AJ109">INDEX(Subject!$A:$I,MATCH(RANDBETWEEN(1,16),Subject!$B:$B,0),3)</f>
        <v>#N/A</v>
      </c>
      <c r="AK109" s="8" t="str">
        <f t="array" ref="AK109">INDEX(Subject!$A:$I,MATCH(RANDBETWEEN(1,16),Subject!$B:$B,0),3)</f>
        <v>#N/A</v>
      </c>
      <c r="AL109" s="8" t="str">
        <f t="array" ref="AL109">INDEX(Subject!$A:$I,MATCH(RANDBETWEEN(1,16),Subject!$B:$B,0),3)</f>
        <v/>
      </c>
      <c r="AM109" s="18">
        <f t="shared" si="4"/>
        <v>45609.33333</v>
      </c>
      <c r="AN109" s="19">
        <f t="shared" ref="AN109:BZ109" si="109">$A109+C$1</f>
        <v>45609.35417</v>
      </c>
      <c r="AO109" s="19">
        <f t="shared" si="109"/>
        <v>45609.375</v>
      </c>
      <c r="AP109" s="19">
        <f t="shared" si="109"/>
        <v>45609.39583</v>
      </c>
      <c r="AQ109" s="19">
        <f t="shared" si="109"/>
        <v>45609.41667</v>
      </c>
      <c r="AR109" s="19">
        <f t="shared" si="109"/>
        <v>45609.4375</v>
      </c>
      <c r="AS109" s="19">
        <f t="shared" si="109"/>
        <v>45609.45833</v>
      </c>
      <c r="AT109" s="19">
        <f t="shared" si="109"/>
        <v>45609.47917</v>
      </c>
      <c r="AU109" s="19">
        <f t="shared" si="109"/>
        <v>45609.5</v>
      </c>
      <c r="AV109" s="19">
        <f t="shared" si="109"/>
        <v>45609.52083</v>
      </c>
      <c r="AW109" s="19">
        <f t="shared" si="109"/>
        <v>45609.54167</v>
      </c>
      <c r="AX109" s="19">
        <f t="shared" si="109"/>
        <v>45609.5625</v>
      </c>
      <c r="AY109" s="19">
        <f t="shared" si="109"/>
        <v>45609.58333</v>
      </c>
      <c r="AZ109" s="19">
        <f t="shared" si="109"/>
        <v>45609.60417</v>
      </c>
      <c r="BA109" s="19">
        <f t="shared" si="109"/>
        <v>45609.625</v>
      </c>
      <c r="BB109" s="19">
        <f t="shared" si="109"/>
        <v>45609.64583</v>
      </c>
      <c r="BC109" s="19">
        <f t="shared" si="109"/>
        <v>45609.66667</v>
      </c>
      <c r="BD109" s="19">
        <f t="shared" si="109"/>
        <v>45609.6875</v>
      </c>
      <c r="BE109" s="19">
        <f t="shared" si="109"/>
        <v>45609.70833</v>
      </c>
      <c r="BF109" s="19">
        <f t="shared" si="109"/>
        <v>45609.72917</v>
      </c>
      <c r="BG109" s="19">
        <f t="shared" si="109"/>
        <v>45609.75</v>
      </c>
      <c r="BH109" s="19">
        <f t="shared" si="109"/>
        <v>45609.77083</v>
      </c>
      <c r="BI109" s="19">
        <f t="shared" si="109"/>
        <v>45609.79167</v>
      </c>
      <c r="BJ109" s="19">
        <f t="shared" si="109"/>
        <v>45609.8125</v>
      </c>
      <c r="BK109" s="19">
        <f t="shared" si="109"/>
        <v>45609.83333</v>
      </c>
      <c r="BL109" s="19">
        <f t="shared" si="109"/>
        <v>45609.85417</v>
      </c>
      <c r="BM109" s="19">
        <f t="shared" si="109"/>
        <v>45609.875</v>
      </c>
      <c r="BN109" s="19">
        <f t="shared" si="109"/>
        <v>45609.89583</v>
      </c>
      <c r="BO109" s="19">
        <f t="shared" si="109"/>
        <v>45609.91667</v>
      </c>
      <c r="BP109" s="19">
        <f t="shared" si="109"/>
        <v>45609.9375</v>
      </c>
      <c r="BQ109" s="19">
        <f t="shared" si="109"/>
        <v>45609.95833</v>
      </c>
      <c r="BR109" s="19">
        <f t="shared" si="109"/>
        <v>45609.97917</v>
      </c>
      <c r="BS109" s="19">
        <f t="shared" si="109"/>
        <v>45610</v>
      </c>
      <c r="BT109" s="19">
        <f t="shared" si="109"/>
        <v>45610.02083</v>
      </c>
      <c r="BU109" s="19">
        <f t="shared" si="109"/>
        <v>45610.04167</v>
      </c>
      <c r="BV109" s="19">
        <f t="shared" si="109"/>
        <v>45610.0625</v>
      </c>
      <c r="BW109" s="19">
        <f t="shared" si="109"/>
        <v>45610.08333</v>
      </c>
      <c r="BX109" s="19">
        <f t="shared" si="109"/>
        <v>45609</v>
      </c>
      <c r="BY109" s="19">
        <f t="shared" si="109"/>
        <v>45609</v>
      </c>
      <c r="BZ109" s="19">
        <f t="shared" si="109"/>
        <v>45609</v>
      </c>
    </row>
    <row r="110" ht="14.25" customHeight="1">
      <c r="A110" s="17">
        <v>45610.0</v>
      </c>
      <c r="B110" s="2" t="str">
        <f t="array" ref="B110">IF(NOW()&gt;AM110,"",IF(AND((WEEKDAY($A110)+$B$2)&gt;1,((WEEKDAY($A110)+$T$2)&lt;7),(WEEKDAY($A110)&lt;&gt;1)),"work",(INDEX(Subject!$A:$I,MATCH(RANDBETWEEN(1,(MAX(Subject!$B:$B))),Subject!$B:$B,0),3))))</f>
        <v/>
      </c>
      <c r="C110" s="2" t="str">
        <f t="array" ref="C110">IF(NOW()&gt;AN110,"",IF(AND((WEEKDAY($A110)+$B$2)&gt;1,((WEEKDAY($A110)+$T$2)&lt;7),(WEEKDAY($A110)&lt;&gt;1)),"work",(INDEX(Subject!$A:$I,MATCH(RANDBETWEEN(1,(MAX(Subject!$B:$B))),Subject!$B:$B,0),3))))</f>
        <v/>
      </c>
      <c r="D110" s="2" t="str">
        <f t="array" ref="D110">IF(NOW()&gt;AO110,"",IF(AND((WEEKDAY($A110)+$B$2)&gt;1,((WEEKDAY($A110)+$T$2)&lt;7),(WEEKDAY($A110)&lt;&gt;1)),"work",(INDEX(Subject!$A:$I,MATCH(RANDBETWEEN(1,(MAX(Subject!$B:$B))),Subject!$B:$B,0),3))))</f>
        <v/>
      </c>
      <c r="E110" s="2" t="str">
        <f t="array" ref="E110">IF(NOW()&gt;AP110,"",IF(AND((WEEKDAY($A110)+$B$2)&gt;1,((WEEKDAY($A110)+$T$2)&lt;7),(WEEKDAY($A110)&lt;&gt;1)),"work",(INDEX(Subject!$A:$I,MATCH(RANDBETWEEN(1,(MAX(Subject!$B:$B))),Subject!$B:$B,0),3))))</f>
        <v/>
      </c>
      <c r="F110" s="2" t="str">
        <f t="array" ref="F110">IF(NOW()&gt;AQ110,"",IF(AND((WEEKDAY($A110)+$B$2)&gt;1,((WEEKDAY($A110)+$T$2)&lt;7),(WEEKDAY($A110)&lt;&gt;1)),"work",(INDEX(Subject!$A:$I,MATCH(RANDBETWEEN(1,(MAX(Subject!$B:$B))),Subject!$B:$B,0),3))))</f>
        <v/>
      </c>
      <c r="G110" s="2" t="str">
        <f t="array" ref="G110">IF(NOW()&gt;AR110,"",IF(AND((WEEKDAY($A110)+$B$2)&gt;1,((WEEKDAY($A110)+$T$2)&lt;7),(WEEKDAY($A110)&lt;&gt;1)),"work",(INDEX(Subject!$A:$I,MATCH(RANDBETWEEN(1,(MAX(Subject!$B:$B))),Subject!$B:$B,0),3))))</f>
        <v/>
      </c>
      <c r="H110" s="2" t="str">
        <f t="array" ref="H110">IF(NOW()&gt;AS110,"",IF(AND((WEEKDAY($A110)+$B$2)&gt;1,((WEEKDAY($A110)+$T$2)&lt;7),(WEEKDAY($A110)&lt;&gt;1)),"work",(INDEX(Subject!$A:$I,MATCH(RANDBETWEEN(1,(MAX(Subject!$B:$B))),Subject!$B:$B,0),3))))</f>
        <v/>
      </c>
      <c r="I110" s="2" t="str">
        <f t="array" ref="I110">IF(NOW()&gt;AT110,"",IF(AND((WEEKDAY($A110)+$B$2)&gt;1,((WEEKDAY($A110)+$T$2)&lt;7),(WEEKDAY($A110)&lt;&gt;1)),"work",(INDEX(Subject!$A:$I,MATCH(RANDBETWEEN(1,(MAX(Subject!$B:$B))),Subject!$B:$B,0),3))))</f>
        <v/>
      </c>
      <c r="J110" s="2" t="str">
        <f t="array" ref="J110">IF(NOW()&gt;AU110,"",IF(AND((WEEKDAY($A110)+$B$2)&gt;1,((WEEKDAY($A110)+$T$2)&lt;7),(WEEKDAY($A110)&lt;&gt;1)),"work",(INDEX(Subject!$A:$I,MATCH(RANDBETWEEN(1,(MAX(Subject!$B:$B))),Subject!$B:$B,0),3))))</f>
        <v/>
      </c>
      <c r="K110" s="2" t="str">
        <f t="array" ref="K110">IF(NOW()&gt;AV110,"",IF(AND((WEEKDAY($A110)+$B$2)&gt;1,((WEEKDAY($A110)+$T$2)&lt;7),(WEEKDAY($A110)&lt;&gt;1)),"work",(INDEX(Subject!$A:$I,MATCH(RANDBETWEEN(1,(MAX(Subject!$B:$B))),Subject!$B:$B,0),3))))</f>
        <v/>
      </c>
      <c r="L110" s="2" t="str">
        <f t="array" ref="L110">IF(NOW()&gt;AW110,"",IF(AND((WEEKDAY($A110)+$B$2)&gt;1,((WEEKDAY($A110)+$T$2)&lt;7),(WEEKDAY($A110)&lt;&gt;1)),"work",(INDEX(Subject!$A:$I,MATCH(RANDBETWEEN(1,(MAX(Subject!$B:$B))),Subject!$B:$B,0),3))))</f>
        <v/>
      </c>
      <c r="M110" s="2" t="str">
        <f t="array" ref="M110">IF(NOW()&gt;AX110,"",IF(AND((WEEKDAY($A110)+$B$2)&gt;1,((WEEKDAY($A110)+$T$2)&lt;7),(WEEKDAY($A110)&lt;&gt;1)),"work",(INDEX(Subject!$A:$I,MATCH(RANDBETWEEN(1,(MAX(Subject!$B:$B))),Subject!$B:$B,0),3))))</f>
        <v/>
      </c>
      <c r="N110" s="2" t="str">
        <f t="array" ref="N110">IF(NOW()&gt;AY110,"",IF(AND((WEEKDAY($A110)+$B$2)&gt;1,((WEEKDAY($A110)+$T$2)&lt;7),(WEEKDAY($A110)&lt;&gt;1)),"work",(INDEX(Subject!$A:$I,MATCH(RANDBETWEEN(1,(MAX(Subject!$B:$B))),Subject!$B:$B,0),3))))</f>
        <v/>
      </c>
      <c r="O110" s="2" t="str">
        <f t="array" ref="O110">IF(NOW()&gt;AZ110,"",IF(AND((WEEKDAY($A110)+$B$2)&gt;1,((WEEKDAY($A110)+$T$2)&lt;7),(WEEKDAY($A110)&lt;&gt;1)),"work",(INDEX(Subject!$A:$I,MATCH(RANDBETWEEN(1,(MAX(Subject!$B:$B))),Subject!$B:$B,0),3))))</f>
        <v/>
      </c>
      <c r="P110" s="2" t="str">
        <f t="array" ref="P110">IF(NOW()&gt;BA110,"",IF(AND((WEEKDAY($A110)+$B$2)&gt;1,((WEEKDAY($A110)+$T$2)&lt;7),(WEEKDAY($A110)&lt;&gt;1)),"work",(INDEX(Subject!$A:$I,MATCH(RANDBETWEEN(1,(MAX(Subject!$B:$B))),Subject!$B:$B,0),3))))</f>
        <v/>
      </c>
      <c r="Q110" s="2" t="str">
        <f t="array" ref="Q110">IF(NOW()&gt;BB110,"",IF(AND((WEEKDAY($A110)+$B$2)&gt;1,((WEEKDAY($A110)+$T$2)&lt;7),(WEEKDAY($A110)&lt;&gt;1)),"work",(INDEX(Subject!$A:$I,MATCH(RANDBETWEEN(1,(MAX(Subject!$B:$B))),Subject!$B:$B,0),3))))</f>
        <v/>
      </c>
      <c r="R110" s="2" t="str">
        <f t="array" ref="R110">IF(NOW()&gt;BC110,"",IF(AND((WEEKDAY($A110)+$B$2)&gt;1,((WEEKDAY($A110)+$T$2)&lt;7),(WEEKDAY($A110)&lt;&gt;1)),"work",(INDEX(Subject!$A:$I,MATCH(RANDBETWEEN(1,(MAX(Subject!$B:$B))),Subject!$B:$B,0),3))))</f>
        <v/>
      </c>
      <c r="S110" s="2" t="str">
        <f t="array" ref="S110">IF(NOW()&gt;BD110,"",IF(AND((WEEKDAY($A110)+$B$2)&gt;1,((WEEKDAY($A110)+$T$2)&lt;7),(WEEKDAY($A110)&lt;&gt;1)),"work",(INDEX(Subject!$A:$I,MATCH(RANDBETWEEN(1,(MAX(Subject!$B:$B))),Subject!$B:$B,0),3))))</f>
        <v/>
      </c>
      <c r="T110" s="2" t="str">
        <f t="array" ref="T110">IF(NOW()&gt;BE110,"",IF(AND((WEEKDAY($A110)+$B$2)&gt;1,((WEEKDAY($A110)+$T$2)&lt;7),(WEEKDAY($A110)&lt;&gt;1)),"work",(INDEX(Subject!$A:$I,MATCH(RANDBETWEEN(1,(MAX(Subject!$B:$B))),Subject!$B:$B,0),3))))</f>
        <v/>
      </c>
      <c r="U110" s="8" t="str">
        <f t="array" ref="U110">INDEX(Subject!$A:$I,MATCH(RANDBETWEEN(1,16),Subject!$B:$B,0),3)</f>
        <v>#N/A</v>
      </c>
      <c r="V110" s="8" t="str">
        <f t="array" ref="V110">INDEX(Subject!$A:$I,MATCH(RANDBETWEEN(1,16),Subject!$B:$B,0),3)</f>
        <v>#N/A</v>
      </c>
      <c r="W110" s="8" t="str">
        <f t="array" ref="W110">INDEX(Subject!$A:$I,MATCH(RANDBETWEEN(1,16),Subject!$B:$B,0),3)</f>
        <v>#N/A</v>
      </c>
      <c r="X110" s="8" t="str">
        <f t="array" ref="X110">INDEX(Subject!$A:$I,MATCH(RANDBETWEEN(1,16),Subject!$B:$B,0),3)</f>
        <v>#N/A</v>
      </c>
      <c r="Y110" s="8" t="str">
        <f t="array" ref="Y110">INDEX(Subject!$A:$I,MATCH(RANDBETWEEN(1,16),Subject!$B:$B,0),3)</f>
        <v>#N/A</v>
      </c>
      <c r="Z110" s="8" t="str">
        <f t="array" ref="Z110">INDEX(Subject!$A:$I,MATCH(RANDBETWEEN(1,16),Subject!$B:$B,0),3)</f>
        <v>#N/A</v>
      </c>
      <c r="AA110" s="8" t="str">
        <f t="array" ref="AA110">INDEX(Subject!$A:$I,MATCH(RANDBETWEEN(1,16),Subject!$B:$B,0),3)</f>
        <v>#N/A</v>
      </c>
      <c r="AB110" s="8" t="str">
        <f t="array" ref="AB110">INDEX(Subject!$A:$I,MATCH(RANDBETWEEN(1,16),Subject!$B:$B,0),3)</f>
        <v>#N/A</v>
      </c>
      <c r="AC110" s="8" t="str">
        <f t="array" ref="AC110">INDEX(Subject!$A:$I,MATCH(RANDBETWEEN(1,16),Subject!$B:$B,0),3)</f>
        <v>#N/A</v>
      </c>
      <c r="AD110" s="8" t="str">
        <f t="array" ref="AD110">INDEX(Subject!$A:$I,MATCH(RANDBETWEEN(1,16),Subject!$B:$B,0),3)</f>
        <v/>
      </c>
      <c r="AE110" s="8" t="str">
        <f t="array" ref="AE110">INDEX(Subject!$A:$I,MATCH(RANDBETWEEN(1,16),Subject!$B:$B,0),3)</f>
        <v>#N/A</v>
      </c>
      <c r="AF110" s="8" t="str">
        <f t="array" ref="AF110">INDEX(Subject!$A:$I,MATCH(RANDBETWEEN(1,16),Subject!$B:$B,0),3)</f>
        <v>#N/A</v>
      </c>
      <c r="AG110" s="8" t="str">
        <f t="array" ref="AG110">INDEX(Subject!$A:$I,MATCH(RANDBETWEEN(1,16),Subject!$B:$B,0),3)</f>
        <v>#N/A</v>
      </c>
      <c r="AH110" s="8" t="str">
        <f t="array" ref="AH110">INDEX(Subject!$A:$I,MATCH(RANDBETWEEN(1,16),Subject!$B:$B,0),3)</f>
        <v>#N/A</v>
      </c>
      <c r="AI110" s="8" t="str">
        <f t="array" ref="AI110">INDEX(Subject!$A:$I,MATCH(RANDBETWEEN(1,16),Subject!$B:$B,0),3)</f>
        <v>#N/A</v>
      </c>
      <c r="AJ110" s="8" t="str">
        <f t="array" ref="AJ110">INDEX(Subject!$A:$I,MATCH(RANDBETWEEN(1,16),Subject!$B:$B,0),3)</f>
        <v/>
      </c>
      <c r="AK110" s="8" t="str">
        <f t="array" ref="AK110">INDEX(Subject!$A:$I,MATCH(RANDBETWEEN(1,16),Subject!$B:$B,0),3)</f>
        <v>#N/A</v>
      </c>
      <c r="AL110" s="8" t="str">
        <f t="array" ref="AL110">INDEX(Subject!$A:$I,MATCH(RANDBETWEEN(1,16),Subject!$B:$B,0),3)</f>
        <v>#N/A</v>
      </c>
      <c r="AM110" s="18">
        <f t="shared" si="4"/>
        <v>45610.33333</v>
      </c>
      <c r="AN110" s="19">
        <f t="shared" ref="AN110:BZ110" si="110">$A110+C$1</f>
        <v>45610.35417</v>
      </c>
      <c r="AO110" s="19">
        <f t="shared" si="110"/>
        <v>45610.375</v>
      </c>
      <c r="AP110" s="19">
        <f t="shared" si="110"/>
        <v>45610.39583</v>
      </c>
      <c r="AQ110" s="19">
        <f t="shared" si="110"/>
        <v>45610.41667</v>
      </c>
      <c r="AR110" s="19">
        <f t="shared" si="110"/>
        <v>45610.4375</v>
      </c>
      <c r="AS110" s="19">
        <f t="shared" si="110"/>
        <v>45610.45833</v>
      </c>
      <c r="AT110" s="19">
        <f t="shared" si="110"/>
        <v>45610.47917</v>
      </c>
      <c r="AU110" s="19">
        <f t="shared" si="110"/>
        <v>45610.5</v>
      </c>
      <c r="AV110" s="19">
        <f t="shared" si="110"/>
        <v>45610.52083</v>
      </c>
      <c r="AW110" s="19">
        <f t="shared" si="110"/>
        <v>45610.54167</v>
      </c>
      <c r="AX110" s="19">
        <f t="shared" si="110"/>
        <v>45610.5625</v>
      </c>
      <c r="AY110" s="19">
        <f t="shared" si="110"/>
        <v>45610.58333</v>
      </c>
      <c r="AZ110" s="19">
        <f t="shared" si="110"/>
        <v>45610.60417</v>
      </c>
      <c r="BA110" s="19">
        <f t="shared" si="110"/>
        <v>45610.625</v>
      </c>
      <c r="BB110" s="19">
        <f t="shared" si="110"/>
        <v>45610.64583</v>
      </c>
      <c r="BC110" s="19">
        <f t="shared" si="110"/>
        <v>45610.66667</v>
      </c>
      <c r="BD110" s="19">
        <f t="shared" si="110"/>
        <v>45610.6875</v>
      </c>
      <c r="BE110" s="19">
        <f t="shared" si="110"/>
        <v>45610.70833</v>
      </c>
      <c r="BF110" s="19">
        <f t="shared" si="110"/>
        <v>45610.72917</v>
      </c>
      <c r="BG110" s="19">
        <f t="shared" si="110"/>
        <v>45610.75</v>
      </c>
      <c r="BH110" s="19">
        <f t="shared" si="110"/>
        <v>45610.77083</v>
      </c>
      <c r="BI110" s="19">
        <f t="shared" si="110"/>
        <v>45610.79167</v>
      </c>
      <c r="BJ110" s="19">
        <f t="shared" si="110"/>
        <v>45610.8125</v>
      </c>
      <c r="BK110" s="19">
        <f t="shared" si="110"/>
        <v>45610.83333</v>
      </c>
      <c r="BL110" s="19">
        <f t="shared" si="110"/>
        <v>45610.85417</v>
      </c>
      <c r="BM110" s="19">
        <f t="shared" si="110"/>
        <v>45610.875</v>
      </c>
      <c r="BN110" s="19">
        <f t="shared" si="110"/>
        <v>45610.89583</v>
      </c>
      <c r="BO110" s="19">
        <f t="shared" si="110"/>
        <v>45610.91667</v>
      </c>
      <c r="BP110" s="19">
        <f t="shared" si="110"/>
        <v>45610.9375</v>
      </c>
      <c r="BQ110" s="19">
        <f t="shared" si="110"/>
        <v>45610.95833</v>
      </c>
      <c r="BR110" s="19">
        <f t="shared" si="110"/>
        <v>45610.97917</v>
      </c>
      <c r="BS110" s="19">
        <f t="shared" si="110"/>
        <v>45611</v>
      </c>
      <c r="BT110" s="19">
        <f t="shared" si="110"/>
        <v>45611.02083</v>
      </c>
      <c r="BU110" s="19">
        <f t="shared" si="110"/>
        <v>45611.04167</v>
      </c>
      <c r="BV110" s="19">
        <f t="shared" si="110"/>
        <v>45611.0625</v>
      </c>
      <c r="BW110" s="19">
        <f t="shared" si="110"/>
        <v>45611.08333</v>
      </c>
      <c r="BX110" s="19">
        <f t="shared" si="110"/>
        <v>45610</v>
      </c>
      <c r="BY110" s="19">
        <f t="shared" si="110"/>
        <v>45610</v>
      </c>
      <c r="BZ110" s="19">
        <f t="shared" si="110"/>
        <v>45610</v>
      </c>
    </row>
    <row r="111" ht="14.25" customHeight="1">
      <c r="A111" s="17">
        <v>45611.0</v>
      </c>
      <c r="B111" s="2" t="str">
        <f t="array" ref="B111">IF(NOW()&gt;AM111,"",IF(AND((WEEKDAY($A111)+$B$2)&gt;1,((WEEKDAY($A111)+$T$2)&lt;7),(WEEKDAY($A111)&lt;&gt;1)),"work",(INDEX(Subject!$A:$I,MATCH(RANDBETWEEN(1,(MAX(Subject!$B:$B))),Subject!$B:$B,0),3))))</f>
        <v/>
      </c>
      <c r="C111" s="2" t="str">
        <f t="array" ref="C111">IF(NOW()&gt;AN111,"",IF(AND((WEEKDAY($A111)+$B$2)&gt;1,((WEEKDAY($A111)+$T$2)&lt;7),(WEEKDAY($A111)&lt;&gt;1)),"work",(INDEX(Subject!$A:$I,MATCH(RANDBETWEEN(1,(MAX(Subject!$B:$B))),Subject!$B:$B,0),3))))</f>
        <v/>
      </c>
      <c r="D111" s="2" t="str">
        <f t="array" ref="D111">IF(NOW()&gt;AO111,"",IF(AND((WEEKDAY($A111)+$B$2)&gt;1,((WEEKDAY($A111)+$T$2)&lt;7),(WEEKDAY($A111)&lt;&gt;1)),"work",(INDEX(Subject!$A:$I,MATCH(RANDBETWEEN(1,(MAX(Subject!$B:$B))),Subject!$B:$B,0),3))))</f>
        <v/>
      </c>
      <c r="E111" s="2" t="str">
        <f t="array" ref="E111">IF(NOW()&gt;AP111,"",IF(AND((WEEKDAY($A111)+$B$2)&gt;1,((WEEKDAY($A111)+$T$2)&lt;7),(WEEKDAY($A111)&lt;&gt;1)),"work",(INDEX(Subject!$A:$I,MATCH(RANDBETWEEN(1,(MAX(Subject!$B:$B))),Subject!$B:$B,0),3))))</f>
        <v/>
      </c>
      <c r="F111" s="2" t="str">
        <f t="array" ref="F111">IF(NOW()&gt;AQ111,"",IF(AND((WEEKDAY($A111)+$B$2)&gt;1,((WEEKDAY($A111)+$T$2)&lt;7),(WEEKDAY($A111)&lt;&gt;1)),"work",(INDEX(Subject!$A:$I,MATCH(RANDBETWEEN(1,(MAX(Subject!$B:$B))),Subject!$B:$B,0),3))))</f>
        <v/>
      </c>
      <c r="G111" s="2" t="str">
        <f t="array" ref="G111">IF(NOW()&gt;AR111,"",IF(AND((WEEKDAY($A111)+$B$2)&gt;1,((WEEKDAY($A111)+$T$2)&lt;7),(WEEKDAY($A111)&lt;&gt;1)),"work",(INDEX(Subject!$A:$I,MATCH(RANDBETWEEN(1,(MAX(Subject!$B:$B))),Subject!$B:$B,0),3))))</f>
        <v/>
      </c>
      <c r="H111" s="2" t="str">
        <f t="array" ref="H111">IF(NOW()&gt;AS111,"",IF(AND((WEEKDAY($A111)+$B$2)&gt;1,((WEEKDAY($A111)+$T$2)&lt;7),(WEEKDAY($A111)&lt;&gt;1)),"work",(INDEX(Subject!$A:$I,MATCH(RANDBETWEEN(1,(MAX(Subject!$B:$B))),Subject!$B:$B,0),3))))</f>
        <v/>
      </c>
      <c r="I111" s="2" t="str">
        <f t="array" ref="I111">IF(NOW()&gt;AT111,"",IF(AND((WEEKDAY($A111)+$B$2)&gt;1,((WEEKDAY($A111)+$T$2)&lt;7),(WEEKDAY($A111)&lt;&gt;1)),"work",(INDEX(Subject!$A:$I,MATCH(RANDBETWEEN(1,(MAX(Subject!$B:$B))),Subject!$B:$B,0),3))))</f>
        <v/>
      </c>
      <c r="J111" s="2" t="str">
        <f t="array" ref="J111">IF(NOW()&gt;AU111,"",IF(AND((WEEKDAY($A111)+$B$2)&gt;1,((WEEKDAY($A111)+$T$2)&lt;7),(WEEKDAY($A111)&lt;&gt;1)),"work",(INDEX(Subject!$A:$I,MATCH(RANDBETWEEN(1,(MAX(Subject!$B:$B))),Subject!$B:$B,0),3))))</f>
        <v/>
      </c>
      <c r="K111" s="2" t="str">
        <f t="array" ref="K111">IF(NOW()&gt;AV111,"",IF(AND((WEEKDAY($A111)+$B$2)&gt;1,((WEEKDAY($A111)+$T$2)&lt;7),(WEEKDAY($A111)&lt;&gt;1)),"work",(INDEX(Subject!$A:$I,MATCH(RANDBETWEEN(1,(MAX(Subject!$B:$B))),Subject!$B:$B,0),3))))</f>
        <v/>
      </c>
      <c r="L111" s="2" t="str">
        <f t="array" ref="L111">IF(NOW()&gt;AW111,"",IF(AND((WEEKDAY($A111)+$B$2)&gt;1,((WEEKDAY($A111)+$T$2)&lt;7),(WEEKDAY($A111)&lt;&gt;1)),"work",(INDEX(Subject!$A:$I,MATCH(RANDBETWEEN(1,(MAX(Subject!$B:$B))),Subject!$B:$B,0),3))))</f>
        <v/>
      </c>
      <c r="M111" s="2" t="str">
        <f t="array" ref="M111">IF(NOW()&gt;AX111,"",IF(AND((WEEKDAY($A111)+$B$2)&gt;1,((WEEKDAY($A111)+$T$2)&lt;7),(WEEKDAY($A111)&lt;&gt;1)),"work",(INDEX(Subject!$A:$I,MATCH(RANDBETWEEN(1,(MAX(Subject!$B:$B))),Subject!$B:$B,0),3))))</f>
        <v/>
      </c>
      <c r="N111" s="2" t="str">
        <f t="array" ref="N111">IF(NOW()&gt;AY111,"",IF(AND((WEEKDAY($A111)+$B$2)&gt;1,((WEEKDAY($A111)+$T$2)&lt;7),(WEEKDAY($A111)&lt;&gt;1)),"work",(INDEX(Subject!$A:$I,MATCH(RANDBETWEEN(1,(MAX(Subject!$B:$B))),Subject!$B:$B,0),3))))</f>
        <v/>
      </c>
      <c r="O111" s="2" t="str">
        <f t="array" ref="O111">IF(NOW()&gt;AZ111,"",IF(AND((WEEKDAY($A111)+$B$2)&gt;1,((WEEKDAY($A111)+$T$2)&lt;7),(WEEKDAY($A111)&lt;&gt;1)),"work",(INDEX(Subject!$A:$I,MATCH(RANDBETWEEN(1,(MAX(Subject!$B:$B))),Subject!$B:$B,0),3))))</f>
        <v/>
      </c>
      <c r="P111" s="2" t="str">
        <f t="array" ref="P111">IF(NOW()&gt;BA111,"",IF(AND((WEEKDAY($A111)+$B$2)&gt;1,((WEEKDAY($A111)+$T$2)&lt;7),(WEEKDAY($A111)&lt;&gt;1)),"work",(INDEX(Subject!$A:$I,MATCH(RANDBETWEEN(1,(MAX(Subject!$B:$B))),Subject!$B:$B,0),3))))</f>
        <v/>
      </c>
      <c r="Q111" s="2" t="str">
        <f t="array" ref="Q111">IF(NOW()&gt;BB111,"",IF(AND((WEEKDAY($A111)+$B$2)&gt;1,((WEEKDAY($A111)+$T$2)&lt;7),(WEEKDAY($A111)&lt;&gt;1)),"work",(INDEX(Subject!$A:$I,MATCH(RANDBETWEEN(1,(MAX(Subject!$B:$B))),Subject!$B:$B,0),3))))</f>
        <v/>
      </c>
      <c r="R111" s="2" t="str">
        <f t="array" ref="R111">IF(NOW()&gt;BC111,"",IF(AND((WEEKDAY($A111)+$B$2)&gt;1,((WEEKDAY($A111)+$T$2)&lt;7),(WEEKDAY($A111)&lt;&gt;1)),"work",(INDEX(Subject!$A:$I,MATCH(RANDBETWEEN(1,(MAX(Subject!$B:$B))),Subject!$B:$B,0),3))))</f>
        <v/>
      </c>
      <c r="S111" s="2" t="str">
        <f t="array" ref="S111">IF(NOW()&gt;BD111,"",IF(AND((WEEKDAY($A111)+$B$2)&gt;1,((WEEKDAY($A111)+$T$2)&lt;7),(WEEKDAY($A111)&lt;&gt;1)),"work",(INDEX(Subject!$A:$I,MATCH(RANDBETWEEN(1,(MAX(Subject!$B:$B))),Subject!$B:$B,0),3))))</f>
        <v/>
      </c>
      <c r="T111" s="2" t="str">
        <f t="array" ref="T111">IF(NOW()&gt;BE111,"",IF(AND((WEEKDAY($A111)+$B$2)&gt;1,((WEEKDAY($A111)+$T$2)&lt;7),(WEEKDAY($A111)&lt;&gt;1)),"work",(INDEX(Subject!$A:$I,MATCH(RANDBETWEEN(1,(MAX(Subject!$B:$B))),Subject!$B:$B,0),3))))</f>
        <v/>
      </c>
      <c r="U111" s="8" t="str">
        <f t="array" ref="U111">INDEX(Subject!$A:$I,MATCH(RANDBETWEEN(1,16),Subject!$B:$B,0),3)</f>
        <v>#N/A</v>
      </c>
      <c r="V111" s="8" t="str">
        <f t="array" ref="V111">INDEX(Subject!$A:$I,MATCH(RANDBETWEEN(1,16),Subject!$B:$B,0),3)</f>
        <v>#N/A</v>
      </c>
      <c r="W111" s="8" t="str">
        <f t="array" ref="W111">INDEX(Subject!$A:$I,MATCH(RANDBETWEEN(1,16),Subject!$B:$B,0),3)</f>
        <v>#N/A</v>
      </c>
      <c r="X111" s="8" t="str">
        <f t="array" ref="X111">INDEX(Subject!$A:$I,MATCH(RANDBETWEEN(1,16),Subject!$B:$B,0),3)</f>
        <v>#N/A</v>
      </c>
      <c r="Y111" s="8" t="str">
        <f t="array" ref="Y111">INDEX(Subject!$A:$I,MATCH(RANDBETWEEN(1,16),Subject!$B:$B,0),3)</f>
        <v>#N/A</v>
      </c>
      <c r="Z111" s="8" t="str">
        <f t="array" ref="Z111">INDEX(Subject!$A:$I,MATCH(RANDBETWEEN(1,16),Subject!$B:$B,0),3)</f>
        <v>#N/A</v>
      </c>
      <c r="AA111" s="8" t="str">
        <f t="array" ref="AA111">INDEX(Subject!$A:$I,MATCH(RANDBETWEEN(1,16),Subject!$B:$B,0),3)</f>
        <v>#N/A</v>
      </c>
      <c r="AB111" s="8" t="str">
        <f t="array" ref="AB111">INDEX(Subject!$A:$I,MATCH(RANDBETWEEN(1,16),Subject!$B:$B,0),3)</f>
        <v>#N/A</v>
      </c>
      <c r="AC111" s="8" t="str">
        <f t="array" ref="AC111">INDEX(Subject!$A:$I,MATCH(RANDBETWEEN(1,16),Subject!$B:$B,0),3)</f>
        <v>#N/A</v>
      </c>
      <c r="AD111" s="8" t="str">
        <f t="array" ref="AD111">INDEX(Subject!$A:$I,MATCH(RANDBETWEEN(1,16),Subject!$B:$B,0),3)</f>
        <v>#N/A</v>
      </c>
      <c r="AE111" s="8" t="str">
        <f t="array" ref="AE111">INDEX(Subject!$A:$I,MATCH(RANDBETWEEN(1,16),Subject!$B:$B,0),3)</f>
        <v>#N/A</v>
      </c>
      <c r="AF111" s="8" t="str">
        <f t="array" ref="AF111">INDEX(Subject!$A:$I,MATCH(RANDBETWEEN(1,16),Subject!$B:$B,0),3)</f>
        <v>#N/A</v>
      </c>
      <c r="AG111" s="8" t="str">
        <f t="array" ref="AG111">INDEX(Subject!$A:$I,MATCH(RANDBETWEEN(1,16),Subject!$B:$B,0),3)</f>
        <v/>
      </c>
      <c r="AH111" s="8" t="str">
        <f t="array" ref="AH111">INDEX(Subject!$A:$I,MATCH(RANDBETWEEN(1,16),Subject!$B:$B,0),3)</f>
        <v>#N/A</v>
      </c>
      <c r="AI111" s="8" t="str">
        <f t="array" ref="AI111">INDEX(Subject!$A:$I,MATCH(RANDBETWEEN(1,16),Subject!$B:$B,0),3)</f>
        <v>#N/A</v>
      </c>
      <c r="AJ111" s="8" t="str">
        <f t="array" ref="AJ111">INDEX(Subject!$A:$I,MATCH(RANDBETWEEN(1,16),Subject!$B:$B,0),3)</f>
        <v>#N/A</v>
      </c>
      <c r="AK111" s="8" t="str">
        <f t="array" ref="AK111">INDEX(Subject!$A:$I,MATCH(RANDBETWEEN(1,16),Subject!$B:$B,0),3)</f>
        <v>#N/A</v>
      </c>
      <c r="AL111" s="8" t="str">
        <f t="array" ref="AL111">INDEX(Subject!$A:$I,MATCH(RANDBETWEEN(1,16),Subject!$B:$B,0),3)</f>
        <v>#N/A</v>
      </c>
      <c r="AM111" s="18">
        <f t="shared" si="4"/>
        <v>45611.33333</v>
      </c>
      <c r="AN111" s="19">
        <f t="shared" ref="AN111:BZ111" si="111">$A111+C$1</f>
        <v>45611.35417</v>
      </c>
      <c r="AO111" s="19">
        <f t="shared" si="111"/>
        <v>45611.375</v>
      </c>
      <c r="AP111" s="19">
        <f t="shared" si="111"/>
        <v>45611.39583</v>
      </c>
      <c r="AQ111" s="19">
        <f t="shared" si="111"/>
        <v>45611.41667</v>
      </c>
      <c r="AR111" s="19">
        <f t="shared" si="111"/>
        <v>45611.4375</v>
      </c>
      <c r="AS111" s="19">
        <f t="shared" si="111"/>
        <v>45611.45833</v>
      </c>
      <c r="AT111" s="19">
        <f t="shared" si="111"/>
        <v>45611.47917</v>
      </c>
      <c r="AU111" s="19">
        <f t="shared" si="111"/>
        <v>45611.5</v>
      </c>
      <c r="AV111" s="19">
        <f t="shared" si="111"/>
        <v>45611.52083</v>
      </c>
      <c r="AW111" s="19">
        <f t="shared" si="111"/>
        <v>45611.54167</v>
      </c>
      <c r="AX111" s="19">
        <f t="shared" si="111"/>
        <v>45611.5625</v>
      </c>
      <c r="AY111" s="19">
        <f t="shared" si="111"/>
        <v>45611.58333</v>
      </c>
      <c r="AZ111" s="19">
        <f t="shared" si="111"/>
        <v>45611.60417</v>
      </c>
      <c r="BA111" s="19">
        <f t="shared" si="111"/>
        <v>45611.625</v>
      </c>
      <c r="BB111" s="19">
        <f t="shared" si="111"/>
        <v>45611.64583</v>
      </c>
      <c r="BC111" s="19">
        <f t="shared" si="111"/>
        <v>45611.66667</v>
      </c>
      <c r="BD111" s="19">
        <f t="shared" si="111"/>
        <v>45611.6875</v>
      </c>
      <c r="BE111" s="19">
        <f t="shared" si="111"/>
        <v>45611.70833</v>
      </c>
      <c r="BF111" s="19">
        <f t="shared" si="111"/>
        <v>45611.72917</v>
      </c>
      <c r="BG111" s="19">
        <f t="shared" si="111"/>
        <v>45611.75</v>
      </c>
      <c r="BH111" s="19">
        <f t="shared" si="111"/>
        <v>45611.77083</v>
      </c>
      <c r="BI111" s="19">
        <f t="shared" si="111"/>
        <v>45611.79167</v>
      </c>
      <c r="BJ111" s="19">
        <f t="shared" si="111"/>
        <v>45611.8125</v>
      </c>
      <c r="BK111" s="19">
        <f t="shared" si="111"/>
        <v>45611.83333</v>
      </c>
      <c r="BL111" s="19">
        <f t="shared" si="111"/>
        <v>45611.85417</v>
      </c>
      <c r="BM111" s="19">
        <f t="shared" si="111"/>
        <v>45611.875</v>
      </c>
      <c r="BN111" s="19">
        <f t="shared" si="111"/>
        <v>45611.89583</v>
      </c>
      <c r="BO111" s="19">
        <f t="shared" si="111"/>
        <v>45611.91667</v>
      </c>
      <c r="BP111" s="19">
        <f t="shared" si="111"/>
        <v>45611.9375</v>
      </c>
      <c r="BQ111" s="19">
        <f t="shared" si="111"/>
        <v>45611.95833</v>
      </c>
      <c r="BR111" s="19">
        <f t="shared" si="111"/>
        <v>45611.97917</v>
      </c>
      <c r="BS111" s="19">
        <f t="shared" si="111"/>
        <v>45612</v>
      </c>
      <c r="BT111" s="19">
        <f t="shared" si="111"/>
        <v>45612.02083</v>
      </c>
      <c r="BU111" s="19">
        <f t="shared" si="111"/>
        <v>45612.04167</v>
      </c>
      <c r="BV111" s="19">
        <f t="shared" si="111"/>
        <v>45612.0625</v>
      </c>
      <c r="BW111" s="19">
        <f t="shared" si="111"/>
        <v>45612.08333</v>
      </c>
      <c r="BX111" s="19">
        <f t="shared" si="111"/>
        <v>45611</v>
      </c>
      <c r="BY111" s="19">
        <f t="shared" si="111"/>
        <v>45611</v>
      </c>
      <c r="BZ111" s="19">
        <f t="shared" si="111"/>
        <v>45611</v>
      </c>
    </row>
    <row r="112" ht="14.25" customHeight="1">
      <c r="A112" s="17">
        <v>45612.0</v>
      </c>
      <c r="B112" s="2" t="str">
        <f t="array" ref="B112">IF(NOW()&gt;AM112,"",IF(AND((WEEKDAY($A112)+$B$2)&gt;1,((WEEKDAY($A112)+$T$2)&lt;7),(WEEKDAY($A112)&lt;&gt;1)),"work",(INDEX(Subject!$A:$I,MATCH(RANDBETWEEN(1,(MAX(Subject!$B:$B))),Subject!$B:$B,0),3))))</f>
        <v/>
      </c>
      <c r="C112" s="2" t="str">
        <f t="array" ref="C112">IF(NOW()&gt;AN112,"",IF(AND((WEEKDAY($A112)+$B$2)&gt;1,((WEEKDAY($A112)+$T$2)&lt;7),(WEEKDAY($A112)&lt;&gt;1)),"work",(INDEX(Subject!$A:$I,MATCH(RANDBETWEEN(1,(MAX(Subject!$B:$B))),Subject!$B:$B,0),3))))</f>
        <v/>
      </c>
      <c r="D112" s="2" t="str">
        <f t="array" ref="D112">IF(NOW()&gt;AO112,"",IF(AND((WEEKDAY($A112)+$B$2)&gt;1,((WEEKDAY($A112)+$T$2)&lt;7),(WEEKDAY($A112)&lt;&gt;1)),"work",(INDEX(Subject!$A:$I,MATCH(RANDBETWEEN(1,(MAX(Subject!$B:$B))),Subject!$B:$B,0),3))))</f>
        <v/>
      </c>
      <c r="E112" s="2" t="str">
        <f t="array" ref="E112">IF(NOW()&gt;AP112,"",IF(AND((WEEKDAY($A112)+$B$2)&gt;1,((WEEKDAY($A112)+$T$2)&lt;7),(WEEKDAY($A112)&lt;&gt;1)),"work",(INDEX(Subject!$A:$I,MATCH(RANDBETWEEN(1,(MAX(Subject!$B:$B))),Subject!$B:$B,0),3))))</f>
        <v/>
      </c>
      <c r="F112" s="2" t="str">
        <f t="array" ref="F112">IF(NOW()&gt;AQ112,"",IF(AND((WEEKDAY($A112)+$B$2)&gt;1,((WEEKDAY($A112)+$T$2)&lt;7),(WEEKDAY($A112)&lt;&gt;1)),"work",(INDEX(Subject!$A:$I,MATCH(RANDBETWEEN(1,(MAX(Subject!$B:$B))),Subject!$B:$B,0),3))))</f>
        <v/>
      </c>
      <c r="G112" s="2" t="str">
        <f t="array" ref="G112">IF(NOW()&gt;AR112,"",IF(AND((WEEKDAY($A112)+$B$2)&gt;1,((WEEKDAY($A112)+$T$2)&lt;7),(WEEKDAY($A112)&lt;&gt;1)),"work",(INDEX(Subject!$A:$I,MATCH(RANDBETWEEN(1,(MAX(Subject!$B:$B))),Subject!$B:$B,0),3))))</f>
        <v/>
      </c>
      <c r="H112" s="2" t="str">
        <f t="array" ref="H112">IF(NOW()&gt;AS112,"",IF(AND((WEEKDAY($A112)+$B$2)&gt;1,((WEEKDAY($A112)+$T$2)&lt;7),(WEEKDAY($A112)&lt;&gt;1)),"work",(INDEX(Subject!$A:$I,MATCH(RANDBETWEEN(1,(MAX(Subject!$B:$B))),Subject!$B:$B,0),3))))</f>
        <v/>
      </c>
      <c r="I112" s="2" t="str">
        <f t="array" ref="I112">IF(NOW()&gt;AT112,"",IF(AND((WEEKDAY($A112)+$B$2)&gt;1,((WEEKDAY($A112)+$T$2)&lt;7),(WEEKDAY($A112)&lt;&gt;1)),"work",(INDEX(Subject!$A:$I,MATCH(RANDBETWEEN(1,(MAX(Subject!$B:$B))),Subject!$B:$B,0),3))))</f>
        <v/>
      </c>
      <c r="J112" s="2" t="str">
        <f t="array" ref="J112">IF(NOW()&gt;AU112,"",IF(AND((WEEKDAY($A112)+$B$2)&gt;1,((WEEKDAY($A112)+$T$2)&lt;7),(WEEKDAY($A112)&lt;&gt;1)),"work",(INDEX(Subject!$A:$I,MATCH(RANDBETWEEN(1,(MAX(Subject!$B:$B))),Subject!$B:$B,0),3))))</f>
        <v/>
      </c>
      <c r="K112" s="2" t="str">
        <f t="array" ref="K112">IF(NOW()&gt;AV112,"",IF(AND((WEEKDAY($A112)+$B$2)&gt;1,((WEEKDAY($A112)+$T$2)&lt;7),(WEEKDAY($A112)&lt;&gt;1)),"work",(INDEX(Subject!$A:$I,MATCH(RANDBETWEEN(1,(MAX(Subject!$B:$B))),Subject!$B:$B,0),3))))</f>
        <v/>
      </c>
      <c r="L112" s="2" t="str">
        <f t="array" ref="L112">IF(NOW()&gt;AW112,"",IF(AND((WEEKDAY($A112)+$B$2)&gt;1,((WEEKDAY($A112)+$T$2)&lt;7),(WEEKDAY($A112)&lt;&gt;1)),"work",(INDEX(Subject!$A:$I,MATCH(RANDBETWEEN(1,(MAX(Subject!$B:$B))),Subject!$B:$B,0),3))))</f>
        <v/>
      </c>
      <c r="M112" s="2" t="str">
        <f t="array" ref="M112">IF(NOW()&gt;AX112,"",IF(AND((WEEKDAY($A112)+$B$2)&gt;1,((WEEKDAY($A112)+$T$2)&lt;7),(WEEKDAY($A112)&lt;&gt;1)),"work",(INDEX(Subject!$A:$I,MATCH(RANDBETWEEN(1,(MAX(Subject!$B:$B))),Subject!$B:$B,0),3))))</f>
        <v/>
      </c>
      <c r="N112" s="2" t="str">
        <f t="array" ref="N112">IF(NOW()&gt;AY112,"",IF(AND((WEEKDAY($A112)+$B$2)&gt;1,((WEEKDAY($A112)+$T$2)&lt;7),(WEEKDAY($A112)&lt;&gt;1)),"work",(INDEX(Subject!$A:$I,MATCH(RANDBETWEEN(1,(MAX(Subject!$B:$B))),Subject!$B:$B,0),3))))</f>
        <v/>
      </c>
      <c r="O112" s="2" t="str">
        <f t="array" ref="O112">IF(NOW()&gt;AZ112,"",IF(AND((WEEKDAY($A112)+$B$2)&gt;1,((WEEKDAY($A112)+$T$2)&lt;7),(WEEKDAY($A112)&lt;&gt;1)),"work",(INDEX(Subject!$A:$I,MATCH(RANDBETWEEN(1,(MAX(Subject!$B:$B))),Subject!$B:$B,0),3))))</f>
        <v/>
      </c>
      <c r="P112" s="2" t="str">
        <f t="array" ref="P112">IF(NOW()&gt;BA112,"",IF(AND((WEEKDAY($A112)+$B$2)&gt;1,((WEEKDAY($A112)+$T$2)&lt;7),(WEEKDAY($A112)&lt;&gt;1)),"work",(INDEX(Subject!$A:$I,MATCH(RANDBETWEEN(1,(MAX(Subject!$B:$B))),Subject!$B:$B,0),3))))</f>
        <v/>
      </c>
      <c r="Q112" s="2" t="str">
        <f t="array" ref="Q112">IF(NOW()&gt;BB112,"",IF(AND((WEEKDAY($A112)+$B$2)&gt;1,((WEEKDAY($A112)+$T$2)&lt;7),(WEEKDAY($A112)&lt;&gt;1)),"work",(INDEX(Subject!$A:$I,MATCH(RANDBETWEEN(1,(MAX(Subject!$B:$B))),Subject!$B:$B,0),3))))</f>
        <v/>
      </c>
      <c r="R112" s="2" t="str">
        <f t="array" ref="R112">IF(NOW()&gt;BC112,"",IF(AND((WEEKDAY($A112)+$B$2)&gt;1,((WEEKDAY($A112)+$T$2)&lt;7),(WEEKDAY($A112)&lt;&gt;1)),"work",(INDEX(Subject!$A:$I,MATCH(RANDBETWEEN(1,(MAX(Subject!$B:$B))),Subject!$B:$B,0),3))))</f>
        <v/>
      </c>
      <c r="S112" s="2" t="str">
        <f t="array" ref="S112">IF(NOW()&gt;BD112,"",IF(AND((WEEKDAY($A112)+$B$2)&gt;1,((WEEKDAY($A112)+$T$2)&lt;7),(WEEKDAY($A112)&lt;&gt;1)),"work",(INDEX(Subject!$A:$I,MATCH(RANDBETWEEN(1,(MAX(Subject!$B:$B))),Subject!$B:$B,0),3))))</f>
        <v/>
      </c>
      <c r="T112" s="2" t="str">
        <f t="array" ref="T112">IF(NOW()&gt;BE112,"",IF(AND((WEEKDAY($A112)+$B$2)&gt;1,((WEEKDAY($A112)+$T$2)&lt;7),(WEEKDAY($A112)&lt;&gt;1)),"work",(INDEX(Subject!$A:$I,MATCH(RANDBETWEEN(1,(MAX(Subject!$B:$B))),Subject!$B:$B,0),3))))</f>
        <v/>
      </c>
      <c r="U112" s="8" t="str">
        <f t="array" ref="U112">INDEX(Subject!$A:$I,MATCH(RANDBETWEEN(1,16),Subject!$B:$B,0),3)</f>
        <v>#N/A</v>
      </c>
      <c r="V112" s="8" t="str">
        <f t="array" ref="V112">INDEX(Subject!$A:$I,MATCH(RANDBETWEEN(1,16),Subject!$B:$B,0),3)</f>
        <v>#N/A</v>
      </c>
      <c r="W112" s="8" t="str">
        <f t="array" ref="W112">INDEX(Subject!$A:$I,MATCH(RANDBETWEEN(1,16),Subject!$B:$B,0),3)</f>
        <v>#N/A</v>
      </c>
      <c r="X112" s="8" t="str">
        <f t="array" ref="X112">INDEX(Subject!$A:$I,MATCH(RANDBETWEEN(1,16),Subject!$B:$B,0),3)</f>
        <v>#N/A</v>
      </c>
      <c r="Y112" s="8" t="str">
        <f t="array" ref="Y112">INDEX(Subject!$A:$I,MATCH(RANDBETWEEN(1,16),Subject!$B:$B,0),3)</f>
        <v>#N/A</v>
      </c>
      <c r="Z112" s="8" t="str">
        <f t="array" ref="Z112">INDEX(Subject!$A:$I,MATCH(RANDBETWEEN(1,16),Subject!$B:$B,0),3)</f>
        <v>#N/A</v>
      </c>
      <c r="AA112" s="8" t="str">
        <f t="array" ref="AA112">INDEX(Subject!$A:$I,MATCH(RANDBETWEEN(1,16),Subject!$B:$B,0),3)</f>
        <v>#N/A</v>
      </c>
      <c r="AB112" s="8" t="str">
        <f t="array" ref="AB112">INDEX(Subject!$A:$I,MATCH(RANDBETWEEN(1,16),Subject!$B:$B,0),3)</f>
        <v>#N/A</v>
      </c>
      <c r="AC112" s="8" t="str">
        <f t="array" ref="AC112">INDEX(Subject!$A:$I,MATCH(RANDBETWEEN(1,16),Subject!$B:$B,0),3)</f>
        <v>#N/A</v>
      </c>
      <c r="AD112" s="8" t="str">
        <f t="array" ref="AD112">INDEX(Subject!$A:$I,MATCH(RANDBETWEEN(1,16),Subject!$B:$B,0),3)</f>
        <v>#N/A</v>
      </c>
      <c r="AE112" s="8" t="str">
        <f t="array" ref="AE112">INDEX(Subject!$A:$I,MATCH(RANDBETWEEN(1,16),Subject!$B:$B,0),3)</f>
        <v>#N/A</v>
      </c>
      <c r="AF112" s="8" t="str">
        <f t="array" ref="AF112">INDEX(Subject!$A:$I,MATCH(RANDBETWEEN(1,16),Subject!$B:$B,0),3)</f>
        <v>#N/A</v>
      </c>
      <c r="AG112" s="8" t="str">
        <f t="array" ref="AG112">INDEX(Subject!$A:$I,MATCH(RANDBETWEEN(1,16),Subject!$B:$B,0),3)</f>
        <v>#N/A</v>
      </c>
      <c r="AH112" s="8" t="str">
        <f t="array" ref="AH112">INDEX(Subject!$A:$I,MATCH(RANDBETWEEN(1,16),Subject!$B:$B,0),3)</f>
        <v>#N/A</v>
      </c>
      <c r="AI112" s="8" t="str">
        <f t="array" ref="AI112">INDEX(Subject!$A:$I,MATCH(RANDBETWEEN(1,16),Subject!$B:$B,0),3)</f>
        <v>#N/A</v>
      </c>
      <c r="AJ112" s="8" t="str">
        <f t="array" ref="AJ112">INDEX(Subject!$A:$I,MATCH(RANDBETWEEN(1,16),Subject!$B:$B,0),3)</f>
        <v>#N/A</v>
      </c>
      <c r="AK112" s="8" t="str">
        <f t="array" ref="AK112">INDEX(Subject!$A:$I,MATCH(RANDBETWEEN(1,16),Subject!$B:$B,0),3)</f>
        <v>#N/A</v>
      </c>
      <c r="AL112" s="8" t="str">
        <f t="array" ref="AL112">INDEX(Subject!$A:$I,MATCH(RANDBETWEEN(1,16),Subject!$B:$B,0),3)</f>
        <v>#N/A</v>
      </c>
      <c r="AM112" s="18">
        <f t="shared" si="4"/>
        <v>45612.33333</v>
      </c>
      <c r="AN112" s="19">
        <f t="shared" ref="AN112:BZ112" si="112">$A112+C$1</f>
        <v>45612.35417</v>
      </c>
      <c r="AO112" s="19">
        <f t="shared" si="112"/>
        <v>45612.375</v>
      </c>
      <c r="AP112" s="19">
        <f t="shared" si="112"/>
        <v>45612.39583</v>
      </c>
      <c r="AQ112" s="19">
        <f t="shared" si="112"/>
        <v>45612.41667</v>
      </c>
      <c r="AR112" s="19">
        <f t="shared" si="112"/>
        <v>45612.4375</v>
      </c>
      <c r="AS112" s="19">
        <f t="shared" si="112"/>
        <v>45612.45833</v>
      </c>
      <c r="AT112" s="19">
        <f t="shared" si="112"/>
        <v>45612.47917</v>
      </c>
      <c r="AU112" s="19">
        <f t="shared" si="112"/>
        <v>45612.5</v>
      </c>
      <c r="AV112" s="19">
        <f t="shared" si="112"/>
        <v>45612.52083</v>
      </c>
      <c r="AW112" s="19">
        <f t="shared" si="112"/>
        <v>45612.54167</v>
      </c>
      <c r="AX112" s="19">
        <f t="shared" si="112"/>
        <v>45612.5625</v>
      </c>
      <c r="AY112" s="19">
        <f t="shared" si="112"/>
        <v>45612.58333</v>
      </c>
      <c r="AZ112" s="19">
        <f t="shared" si="112"/>
        <v>45612.60417</v>
      </c>
      <c r="BA112" s="19">
        <f t="shared" si="112"/>
        <v>45612.625</v>
      </c>
      <c r="BB112" s="19">
        <f t="shared" si="112"/>
        <v>45612.64583</v>
      </c>
      <c r="BC112" s="19">
        <f t="shared" si="112"/>
        <v>45612.66667</v>
      </c>
      <c r="BD112" s="19">
        <f t="shared" si="112"/>
        <v>45612.6875</v>
      </c>
      <c r="BE112" s="19">
        <f t="shared" si="112"/>
        <v>45612.70833</v>
      </c>
      <c r="BF112" s="19">
        <f t="shared" si="112"/>
        <v>45612.72917</v>
      </c>
      <c r="BG112" s="19">
        <f t="shared" si="112"/>
        <v>45612.75</v>
      </c>
      <c r="BH112" s="19">
        <f t="shared" si="112"/>
        <v>45612.77083</v>
      </c>
      <c r="BI112" s="19">
        <f t="shared" si="112"/>
        <v>45612.79167</v>
      </c>
      <c r="BJ112" s="19">
        <f t="shared" si="112"/>
        <v>45612.8125</v>
      </c>
      <c r="BK112" s="19">
        <f t="shared" si="112"/>
        <v>45612.83333</v>
      </c>
      <c r="BL112" s="19">
        <f t="shared" si="112"/>
        <v>45612.85417</v>
      </c>
      <c r="BM112" s="19">
        <f t="shared" si="112"/>
        <v>45612.875</v>
      </c>
      <c r="BN112" s="19">
        <f t="shared" si="112"/>
        <v>45612.89583</v>
      </c>
      <c r="BO112" s="19">
        <f t="shared" si="112"/>
        <v>45612.91667</v>
      </c>
      <c r="BP112" s="19">
        <f t="shared" si="112"/>
        <v>45612.9375</v>
      </c>
      <c r="BQ112" s="19">
        <f t="shared" si="112"/>
        <v>45612.95833</v>
      </c>
      <c r="BR112" s="19">
        <f t="shared" si="112"/>
        <v>45612.97917</v>
      </c>
      <c r="BS112" s="19">
        <f t="shared" si="112"/>
        <v>45613</v>
      </c>
      <c r="BT112" s="19">
        <f t="shared" si="112"/>
        <v>45613.02083</v>
      </c>
      <c r="BU112" s="19">
        <f t="shared" si="112"/>
        <v>45613.04167</v>
      </c>
      <c r="BV112" s="19">
        <f t="shared" si="112"/>
        <v>45613.0625</v>
      </c>
      <c r="BW112" s="19">
        <f t="shared" si="112"/>
        <v>45613.08333</v>
      </c>
      <c r="BX112" s="19">
        <f t="shared" si="112"/>
        <v>45612</v>
      </c>
      <c r="BY112" s="19">
        <f t="shared" si="112"/>
        <v>45612</v>
      </c>
      <c r="BZ112" s="19">
        <f t="shared" si="112"/>
        <v>45612</v>
      </c>
    </row>
    <row r="113" ht="14.25" customHeight="1">
      <c r="A113" s="17">
        <v>45613.0</v>
      </c>
      <c r="B113" s="2" t="str">
        <f t="array" ref="B113">IF(NOW()&gt;AM113,"",IF(AND((WEEKDAY($A113)+$B$2)&gt;1,((WEEKDAY($A113)+$T$2)&lt;7),(WEEKDAY($A113)&lt;&gt;1)),"work",(INDEX(Subject!$A:$I,MATCH(RANDBETWEEN(1,(MAX(Subject!$B:$B))),Subject!$B:$B,0),3))))</f>
        <v/>
      </c>
      <c r="C113" s="2" t="str">
        <f t="array" ref="C113">IF(NOW()&gt;AN113,"",IF(AND((WEEKDAY($A113)+$B$2)&gt;1,((WEEKDAY($A113)+$T$2)&lt;7),(WEEKDAY($A113)&lt;&gt;1)),"work",(INDEX(Subject!$A:$I,MATCH(RANDBETWEEN(1,(MAX(Subject!$B:$B))),Subject!$B:$B,0),3))))</f>
        <v/>
      </c>
      <c r="D113" s="2" t="str">
        <f t="array" ref="D113">IF(NOW()&gt;AO113,"",IF(AND((WEEKDAY($A113)+$B$2)&gt;1,((WEEKDAY($A113)+$T$2)&lt;7),(WEEKDAY($A113)&lt;&gt;1)),"work",(INDEX(Subject!$A:$I,MATCH(RANDBETWEEN(1,(MAX(Subject!$B:$B))),Subject!$B:$B,0),3))))</f>
        <v/>
      </c>
      <c r="E113" s="2" t="str">
        <f t="array" ref="E113">IF(NOW()&gt;AP113,"",IF(AND((WEEKDAY($A113)+$B$2)&gt;1,((WEEKDAY($A113)+$T$2)&lt;7),(WEEKDAY($A113)&lt;&gt;1)),"work",(INDEX(Subject!$A:$I,MATCH(RANDBETWEEN(1,(MAX(Subject!$B:$B))),Subject!$B:$B,0),3))))</f>
        <v/>
      </c>
      <c r="F113" s="2" t="str">
        <f t="array" ref="F113">IF(NOW()&gt;AQ113,"",IF(AND((WEEKDAY($A113)+$B$2)&gt;1,((WEEKDAY($A113)+$T$2)&lt;7),(WEEKDAY($A113)&lt;&gt;1)),"work",(INDEX(Subject!$A:$I,MATCH(RANDBETWEEN(1,(MAX(Subject!$B:$B))),Subject!$B:$B,0),3))))</f>
        <v/>
      </c>
      <c r="G113" s="2" t="str">
        <f t="array" ref="G113">IF(NOW()&gt;AR113,"",IF(AND((WEEKDAY($A113)+$B$2)&gt;1,((WEEKDAY($A113)+$T$2)&lt;7),(WEEKDAY($A113)&lt;&gt;1)),"work",(INDEX(Subject!$A:$I,MATCH(RANDBETWEEN(1,(MAX(Subject!$B:$B))),Subject!$B:$B,0),3))))</f>
        <v/>
      </c>
      <c r="H113" s="2" t="str">
        <f t="array" ref="H113">IF(NOW()&gt;AS113,"",IF(AND((WEEKDAY($A113)+$B$2)&gt;1,((WEEKDAY($A113)+$T$2)&lt;7),(WEEKDAY($A113)&lt;&gt;1)),"work",(INDEX(Subject!$A:$I,MATCH(RANDBETWEEN(1,(MAX(Subject!$B:$B))),Subject!$B:$B,0),3))))</f>
        <v/>
      </c>
      <c r="I113" s="2" t="str">
        <f t="array" ref="I113">IF(NOW()&gt;AT113,"",IF(AND((WEEKDAY($A113)+$B$2)&gt;1,((WEEKDAY($A113)+$T$2)&lt;7),(WEEKDAY($A113)&lt;&gt;1)),"work",(INDEX(Subject!$A:$I,MATCH(RANDBETWEEN(1,(MAX(Subject!$B:$B))),Subject!$B:$B,0),3))))</f>
        <v/>
      </c>
      <c r="J113" s="2" t="str">
        <f t="array" ref="J113">IF(NOW()&gt;AU113,"",IF(AND((WEEKDAY($A113)+$B$2)&gt;1,((WEEKDAY($A113)+$T$2)&lt;7),(WEEKDAY($A113)&lt;&gt;1)),"work",(INDEX(Subject!$A:$I,MATCH(RANDBETWEEN(1,(MAX(Subject!$B:$B))),Subject!$B:$B,0),3))))</f>
        <v/>
      </c>
      <c r="K113" s="2" t="str">
        <f t="array" ref="K113">IF(NOW()&gt;AV113,"",IF(AND((WEEKDAY($A113)+$B$2)&gt;1,((WEEKDAY($A113)+$T$2)&lt;7),(WEEKDAY($A113)&lt;&gt;1)),"work",(INDEX(Subject!$A:$I,MATCH(RANDBETWEEN(1,(MAX(Subject!$B:$B))),Subject!$B:$B,0),3))))</f>
        <v/>
      </c>
      <c r="L113" s="2" t="str">
        <f t="array" ref="L113">IF(NOW()&gt;AW113,"",IF(AND((WEEKDAY($A113)+$B$2)&gt;1,((WEEKDAY($A113)+$T$2)&lt;7),(WEEKDAY($A113)&lt;&gt;1)),"work",(INDEX(Subject!$A:$I,MATCH(RANDBETWEEN(1,(MAX(Subject!$B:$B))),Subject!$B:$B,0),3))))</f>
        <v/>
      </c>
      <c r="M113" s="2" t="str">
        <f t="array" ref="M113">IF(NOW()&gt;AX113,"",IF(AND((WEEKDAY($A113)+$B$2)&gt;1,((WEEKDAY($A113)+$T$2)&lt;7),(WEEKDAY($A113)&lt;&gt;1)),"work",(INDEX(Subject!$A:$I,MATCH(RANDBETWEEN(1,(MAX(Subject!$B:$B))),Subject!$B:$B,0),3))))</f>
        <v/>
      </c>
      <c r="N113" s="2" t="str">
        <f t="array" ref="N113">IF(NOW()&gt;AY113,"",IF(AND((WEEKDAY($A113)+$B$2)&gt;1,((WEEKDAY($A113)+$T$2)&lt;7),(WEEKDAY($A113)&lt;&gt;1)),"work",(INDEX(Subject!$A:$I,MATCH(RANDBETWEEN(1,(MAX(Subject!$B:$B))),Subject!$B:$B,0),3))))</f>
        <v/>
      </c>
      <c r="O113" s="2" t="str">
        <f t="array" ref="O113">IF(NOW()&gt;AZ113,"",IF(AND((WEEKDAY($A113)+$B$2)&gt;1,((WEEKDAY($A113)+$T$2)&lt;7),(WEEKDAY($A113)&lt;&gt;1)),"work",(INDEX(Subject!$A:$I,MATCH(RANDBETWEEN(1,(MAX(Subject!$B:$B))),Subject!$B:$B,0),3))))</f>
        <v/>
      </c>
      <c r="P113" s="2" t="str">
        <f t="array" ref="P113">IF(NOW()&gt;BA113,"",IF(AND((WEEKDAY($A113)+$B$2)&gt;1,((WEEKDAY($A113)+$T$2)&lt;7),(WEEKDAY($A113)&lt;&gt;1)),"work",(INDEX(Subject!$A:$I,MATCH(RANDBETWEEN(1,(MAX(Subject!$B:$B))),Subject!$B:$B,0),3))))</f>
        <v/>
      </c>
      <c r="Q113" s="2" t="str">
        <f t="array" ref="Q113">IF(NOW()&gt;BB113,"",IF(AND((WEEKDAY($A113)+$B$2)&gt;1,((WEEKDAY($A113)+$T$2)&lt;7),(WEEKDAY($A113)&lt;&gt;1)),"work",(INDEX(Subject!$A:$I,MATCH(RANDBETWEEN(1,(MAX(Subject!$B:$B))),Subject!$B:$B,0),3))))</f>
        <v/>
      </c>
      <c r="R113" s="2" t="str">
        <f t="array" ref="R113">IF(NOW()&gt;BC113,"",IF(AND((WEEKDAY($A113)+$B$2)&gt;1,((WEEKDAY($A113)+$T$2)&lt;7),(WEEKDAY($A113)&lt;&gt;1)),"work",(INDEX(Subject!$A:$I,MATCH(RANDBETWEEN(1,(MAX(Subject!$B:$B))),Subject!$B:$B,0),3))))</f>
        <v/>
      </c>
      <c r="S113" s="2" t="str">
        <f t="array" ref="S113">IF(NOW()&gt;BD113,"",IF(AND((WEEKDAY($A113)+$B$2)&gt;1,((WEEKDAY($A113)+$T$2)&lt;7),(WEEKDAY($A113)&lt;&gt;1)),"work",(INDEX(Subject!$A:$I,MATCH(RANDBETWEEN(1,(MAX(Subject!$B:$B))),Subject!$B:$B,0),3))))</f>
        <v/>
      </c>
      <c r="T113" s="2" t="str">
        <f t="array" ref="T113">IF(NOW()&gt;BE113,"",IF(AND((WEEKDAY($A113)+$B$2)&gt;1,((WEEKDAY($A113)+$T$2)&lt;7),(WEEKDAY($A113)&lt;&gt;1)),"work",(INDEX(Subject!$A:$I,MATCH(RANDBETWEEN(1,(MAX(Subject!$B:$B))),Subject!$B:$B,0),3))))</f>
        <v/>
      </c>
      <c r="U113" s="8" t="str">
        <f t="array" ref="U113">INDEX(Subject!$A:$I,MATCH(RANDBETWEEN(1,16),Subject!$B:$B,0),3)</f>
        <v/>
      </c>
      <c r="V113" s="8" t="str">
        <f t="array" ref="V113">INDEX(Subject!$A:$I,MATCH(RANDBETWEEN(1,16),Subject!$B:$B,0),3)</f>
        <v>#N/A</v>
      </c>
      <c r="W113" s="8" t="str">
        <f t="array" ref="W113">INDEX(Subject!$A:$I,MATCH(RANDBETWEEN(1,16),Subject!$B:$B,0),3)</f>
        <v>#N/A</v>
      </c>
      <c r="X113" s="8" t="str">
        <f t="array" ref="X113">INDEX(Subject!$A:$I,MATCH(RANDBETWEEN(1,16),Subject!$B:$B,0),3)</f>
        <v>#N/A</v>
      </c>
      <c r="Y113" s="8" t="str">
        <f t="array" ref="Y113">INDEX(Subject!$A:$I,MATCH(RANDBETWEEN(1,16),Subject!$B:$B,0),3)</f>
        <v>#N/A</v>
      </c>
      <c r="Z113" s="8" t="str">
        <f t="array" ref="Z113">INDEX(Subject!$A:$I,MATCH(RANDBETWEEN(1,16),Subject!$B:$B,0),3)</f>
        <v>#N/A</v>
      </c>
      <c r="AA113" s="8" t="str">
        <f t="array" ref="AA113">INDEX(Subject!$A:$I,MATCH(RANDBETWEEN(1,16),Subject!$B:$B,0),3)</f>
        <v>#N/A</v>
      </c>
      <c r="AB113" s="8" t="str">
        <f t="array" ref="AB113">INDEX(Subject!$A:$I,MATCH(RANDBETWEEN(1,16),Subject!$B:$B,0),3)</f>
        <v>#N/A</v>
      </c>
      <c r="AC113" s="8" t="str">
        <f t="array" ref="AC113">INDEX(Subject!$A:$I,MATCH(RANDBETWEEN(1,16),Subject!$B:$B,0),3)</f>
        <v>#N/A</v>
      </c>
      <c r="AD113" s="8" t="str">
        <f t="array" ref="AD113">INDEX(Subject!$A:$I,MATCH(RANDBETWEEN(1,16),Subject!$B:$B,0),3)</f>
        <v>#N/A</v>
      </c>
      <c r="AE113" s="8" t="str">
        <f t="array" ref="AE113">INDEX(Subject!$A:$I,MATCH(RANDBETWEEN(1,16),Subject!$B:$B,0),3)</f>
        <v>#N/A</v>
      </c>
      <c r="AF113" s="8" t="str">
        <f t="array" ref="AF113">INDEX(Subject!$A:$I,MATCH(RANDBETWEEN(1,16),Subject!$B:$B,0),3)</f>
        <v>#N/A</v>
      </c>
      <c r="AG113" s="8" t="str">
        <f t="array" ref="AG113">INDEX(Subject!$A:$I,MATCH(RANDBETWEEN(1,16),Subject!$B:$B,0),3)</f>
        <v>#N/A</v>
      </c>
      <c r="AH113" s="8" t="str">
        <f t="array" ref="AH113">INDEX(Subject!$A:$I,MATCH(RANDBETWEEN(1,16),Subject!$B:$B,0),3)</f>
        <v>#N/A</v>
      </c>
      <c r="AI113" s="8" t="str">
        <f t="array" ref="AI113">INDEX(Subject!$A:$I,MATCH(RANDBETWEEN(1,16),Subject!$B:$B,0),3)</f>
        <v>#N/A</v>
      </c>
      <c r="AJ113" s="8" t="str">
        <f t="array" ref="AJ113">INDEX(Subject!$A:$I,MATCH(RANDBETWEEN(1,16),Subject!$B:$B,0),3)</f>
        <v>#N/A</v>
      </c>
      <c r="AK113" s="8" t="str">
        <f t="array" ref="AK113">INDEX(Subject!$A:$I,MATCH(RANDBETWEEN(1,16),Subject!$B:$B,0),3)</f>
        <v>#N/A</v>
      </c>
      <c r="AL113" s="8" t="str">
        <f t="array" ref="AL113">INDEX(Subject!$A:$I,MATCH(RANDBETWEEN(1,16),Subject!$B:$B,0),3)</f>
        <v>#N/A</v>
      </c>
      <c r="AM113" s="18">
        <f t="shared" si="4"/>
        <v>45613.33333</v>
      </c>
      <c r="AN113" s="19">
        <f t="shared" ref="AN113:BZ113" si="113">$A113+C$1</f>
        <v>45613.35417</v>
      </c>
      <c r="AO113" s="19">
        <f t="shared" si="113"/>
        <v>45613.375</v>
      </c>
      <c r="AP113" s="19">
        <f t="shared" si="113"/>
        <v>45613.39583</v>
      </c>
      <c r="AQ113" s="19">
        <f t="shared" si="113"/>
        <v>45613.41667</v>
      </c>
      <c r="AR113" s="19">
        <f t="shared" si="113"/>
        <v>45613.4375</v>
      </c>
      <c r="AS113" s="19">
        <f t="shared" si="113"/>
        <v>45613.45833</v>
      </c>
      <c r="AT113" s="19">
        <f t="shared" si="113"/>
        <v>45613.47917</v>
      </c>
      <c r="AU113" s="19">
        <f t="shared" si="113"/>
        <v>45613.5</v>
      </c>
      <c r="AV113" s="19">
        <f t="shared" si="113"/>
        <v>45613.52083</v>
      </c>
      <c r="AW113" s="19">
        <f t="shared" si="113"/>
        <v>45613.54167</v>
      </c>
      <c r="AX113" s="19">
        <f t="shared" si="113"/>
        <v>45613.5625</v>
      </c>
      <c r="AY113" s="19">
        <f t="shared" si="113"/>
        <v>45613.58333</v>
      </c>
      <c r="AZ113" s="19">
        <f t="shared" si="113"/>
        <v>45613.60417</v>
      </c>
      <c r="BA113" s="19">
        <f t="shared" si="113"/>
        <v>45613.625</v>
      </c>
      <c r="BB113" s="19">
        <f t="shared" si="113"/>
        <v>45613.64583</v>
      </c>
      <c r="BC113" s="19">
        <f t="shared" si="113"/>
        <v>45613.66667</v>
      </c>
      <c r="BD113" s="19">
        <f t="shared" si="113"/>
        <v>45613.6875</v>
      </c>
      <c r="BE113" s="19">
        <f t="shared" si="113"/>
        <v>45613.70833</v>
      </c>
      <c r="BF113" s="19">
        <f t="shared" si="113"/>
        <v>45613.72917</v>
      </c>
      <c r="BG113" s="19">
        <f t="shared" si="113"/>
        <v>45613.75</v>
      </c>
      <c r="BH113" s="19">
        <f t="shared" si="113"/>
        <v>45613.77083</v>
      </c>
      <c r="BI113" s="19">
        <f t="shared" si="113"/>
        <v>45613.79167</v>
      </c>
      <c r="BJ113" s="19">
        <f t="shared" si="113"/>
        <v>45613.8125</v>
      </c>
      <c r="BK113" s="19">
        <f t="shared" si="113"/>
        <v>45613.83333</v>
      </c>
      <c r="BL113" s="19">
        <f t="shared" si="113"/>
        <v>45613.85417</v>
      </c>
      <c r="BM113" s="19">
        <f t="shared" si="113"/>
        <v>45613.875</v>
      </c>
      <c r="BN113" s="19">
        <f t="shared" si="113"/>
        <v>45613.89583</v>
      </c>
      <c r="BO113" s="19">
        <f t="shared" si="113"/>
        <v>45613.91667</v>
      </c>
      <c r="BP113" s="19">
        <f t="shared" si="113"/>
        <v>45613.9375</v>
      </c>
      <c r="BQ113" s="19">
        <f t="shared" si="113"/>
        <v>45613.95833</v>
      </c>
      <c r="BR113" s="19">
        <f t="shared" si="113"/>
        <v>45613.97917</v>
      </c>
      <c r="BS113" s="19">
        <f t="shared" si="113"/>
        <v>45614</v>
      </c>
      <c r="BT113" s="19">
        <f t="shared" si="113"/>
        <v>45614.02083</v>
      </c>
      <c r="BU113" s="19">
        <f t="shared" si="113"/>
        <v>45614.04167</v>
      </c>
      <c r="BV113" s="19">
        <f t="shared" si="113"/>
        <v>45614.0625</v>
      </c>
      <c r="BW113" s="19">
        <f t="shared" si="113"/>
        <v>45614.08333</v>
      </c>
      <c r="BX113" s="19">
        <f t="shared" si="113"/>
        <v>45613</v>
      </c>
      <c r="BY113" s="19">
        <f t="shared" si="113"/>
        <v>45613</v>
      </c>
      <c r="BZ113" s="19">
        <f t="shared" si="113"/>
        <v>45613</v>
      </c>
    </row>
    <row r="114" ht="14.25" customHeight="1">
      <c r="A114" s="17">
        <v>45614.0</v>
      </c>
      <c r="B114" s="2" t="str">
        <f t="array" ref="B114">IF(NOW()&gt;AM114,"",IF(AND((WEEKDAY($A114)+$B$2)&gt;1,((WEEKDAY($A114)+$T$2)&lt;7),(WEEKDAY($A114)&lt;&gt;1)),"work",(INDEX(Subject!$A:$I,MATCH(RANDBETWEEN(1,(MAX(Subject!$B:$B))),Subject!$B:$B,0),3))))</f>
        <v/>
      </c>
      <c r="C114" s="2" t="str">
        <f t="array" ref="C114">IF(NOW()&gt;AN114,"",IF(AND((WEEKDAY($A114)+$B$2)&gt;1,((WEEKDAY($A114)+$T$2)&lt;7),(WEEKDAY($A114)&lt;&gt;1)),"work",(INDEX(Subject!$A:$I,MATCH(RANDBETWEEN(1,(MAX(Subject!$B:$B))),Subject!$B:$B,0),3))))</f>
        <v/>
      </c>
      <c r="D114" s="2" t="str">
        <f t="array" ref="D114">IF(NOW()&gt;AO114,"",IF(AND((WEEKDAY($A114)+$B$2)&gt;1,((WEEKDAY($A114)+$T$2)&lt;7),(WEEKDAY($A114)&lt;&gt;1)),"work",(INDEX(Subject!$A:$I,MATCH(RANDBETWEEN(1,(MAX(Subject!$B:$B))),Subject!$B:$B,0),3))))</f>
        <v/>
      </c>
      <c r="E114" s="2" t="str">
        <f t="array" ref="E114">IF(NOW()&gt;AP114,"",IF(AND((WEEKDAY($A114)+$B$2)&gt;1,((WEEKDAY($A114)+$T$2)&lt;7),(WEEKDAY($A114)&lt;&gt;1)),"work",(INDEX(Subject!$A:$I,MATCH(RANDBETWEEN(1,(MAX(Subject!$B:$B))),Subject!$B:$B,0),3))))</f>
        <v/>
      </c>
      <c r="F114" s="2" t="str">
        <f t="array" ref="F114">IF(NOW()&gt;AQ114,"",IF(AND((WEEKDAY($A114)+$B$2)&gt;1,((WEEKDAY($A114)+$T$2)&lt;7),(WEEKDAY($A114)&lt;&gt;1)),"work",(INDEX(Subject!$A:$I,MATCH(RANDBETWEEN(1,(MAX(Subject!$B:$B))),Subject!$B:$B,0),3))))</f>
        <v/>
      </c>
      <c r="G114" s="2" t="str">
        <f t="array" ref="G114">IF(NOW()&gt;AR114,"",IF(AND((WEEKDAY($A114)+$B$2)&gt;1,((WEEKDAY($A114)+$T$2)&lt;7),(WEEKDAY($A114)&lt;&gt;1)),"work",(INDEX(Subject!$A:$I,MATCH(RANDBETWEEN(1,(MAX(Subject!$B:$B))),Subject!$B:$B,0),3))))</f>
        <v/>
      </c>
      <c r="H114" s="2" t="str">
        <f t="array" ref="H114">IF(NOW()&gt;AS114,"",IF(AND((WEEKDAY($A114)+$B$2)&gt;1,((WEEKDAY($A114)+$T$2)&lt;7),(WEEKDAY($A114)&lt;&gt;1)),"work",(INDEX(Subject!$A:$I,MATCH(RANDBETWEEN(1,(MAX(Subject!$B:$B))),Subject!$B:$B,0),3))))</f>
        <v/>
      </c>
      <c r="I114" s="2" t="str">
        <f t="array" ref="I114">IF(NOW()&gt;AT114,"",IF(AND((WEEKDAY($A114)+$B$2)&gt;1,((WEEKDAY($A114)+$T$2)&lt;7),(WEEKDAY($A114)&lt;&gt;1)),"work",(INDEX(Subject!$A:$I,MATCH(RANDBETWEEN(1,(MAX(Subject!$B:$B))),Subject!$B:$B,0),3))))</f>
        <v/>
      </c>
      <c r="J114" s="2" t="str">
        <f t="array" ref="J114">IF(NOW()&gt;AU114,"",IF(AND((WEEKDAY($A114)+$B$2)&gt;1,((WEEKDAY($A114)+$T$2)&lt;7),(WEEKDAY($A114)&lt;&gt;1)),"work",(INDEX(Subject!$A:$I,MATCH(RANDBETWEEN(1,(MAX(Subject!$B:$B))),Subject!$B:$B,0),3))))</f>
        <v/>
      </c>
      <c r="K114" s="2" t="str">
        <f t="array" ref="K114">IF(NOW()&gt;AV114,"",IF(AND((WEEKDAY($A114)+$B$2)&gt;1,((WEEKDAY($A114)+$T$2)&lt;7),(WEEKDAY($A114)&lt;&gt;1)),"work",(INDEX(Subject!$A:$I,MATCH(RANDBETWEEN(1,(MAX(Subject!$B:$B))),Subject!$B:$B,0),3))))</f>
        <v/>
      </c>
      <c r="L114" s="2" t="str">
        <f t="array" ref="L114">IF(NOW()&gt;AW114,"",IF(AND((WEEKDAY($A114)+$B$2)&gt;1,((WEEKDAY($A114)+$T$2)&lt;7),(WEEKDAY($A114)&lt;&gt;1)),"work",(INDEX(Subject!$A:$I,MATCH(RANDBETWEEN(1,(MAX(Subject!$B:$B))),Subject!$B:$B,0),3))))</f>
        <v/>
      </c>
      <c r="M114" s="2" t="str">
        <f t="array" ref="M114">IF(NOW()&gt;AX114,"",IF(AND((WEEKDAY($A114)+$B$2)&gt;1,((WEEKDAY($A114)+$T$2)&lt;7),(WEEKDAY($A114)&lt;&gt;1)),"work",(INDEX(Subject!$A:$I,MATCH(RANDBETWEEN(1,(MAX(Subject!$B:$B))),Subject!$B:$B,0),3))))</f>
        <v/>
      </c>
      <c r="N114" s="2" t="str">
        <f t="array" ref="N114">IF(NOW()&gt;AY114,"",IF(AND((WEEKDAY($A114)+$B$2)&gt;1,((WEEKDAY($A114)+$T$2)&lt;7),(WEEKDAY($A114)&lt;&gt;1)),"work",(INDEX(Subject!$A:$I,MATCH(RANDBETWEEN(1,(MAX(Subject!$B:$B))),Subject!$B:$B,0),3))))</f>
        <v/>
      </c>
      <c r="O114" s="2" t="str">
        <f t="array" ref="O114">IF(NOW()&gt;AZ114,"",IF(AND((WEEKDAY($A114)+$B$2)&gt;1,((WEEKDAY($A114)+$T$2)&lt;7),(WEEKDAY($A114)&lt;&gt;1)),"work",(INDEX(Subject!$A:$I,MATCH(RANDBETWEEN(1,(MAX(Subject!$B:$B))),Subject!$B:$B,0),3))))</f>
        <v/>
      </c>
      <c r="P114" s="2" t="str">
        <f t="array" ref="P114">IF(NOW()&gt;BA114,"",IF(AND((WEEKDAY($A114)+$B$2)&gt;1,((WEEKDAY($A114)+$T$2)&lt;7),(WEEKDAY($A114)&lt;&gt;1)),"work",(INDEX(Subject!$A:$I,MATCH(RANDBETWEEN(1,(MAX(Subject!$B:$B))),Subject!$B:$B,0),3))))</f>
        <v/>
      </c>
      <c r="Q114" s="2" t="str">
        <f t="array" ref="Q114">IF(NOW()&gt;BB114,"",IF(AND((WEEKDAY($A114)+$B$2)&gt;1,((WEEKDAY($A114)+$T$2)&lt;7),(WEEKDAY($A114)&lt;&gt;1)),"work",(INDEX(Subject!$A:$I,MATCH(RANDBETWEEN(1,(MAX(Subject!$B:$B))),Subject!$B:$B,0),3))))</f>
        <v/>
      </c>
      <c r="R114" s="2" t="str">
        <f t="array" ref="R114">IF(NOW()&gt;BC114,"",IF(AND((WEEKDAY($A114)+$B$2)&gt;1,((WEEKDAY($A114)+$T$2)&lt;7),(WEEKDAY($A114)&lt;&gt;1)),"work",(INDEX(Subject!$A:$I,MATCH(RANDBETWEEN(1,(MAX(Subject!$B:$B))),Subject!$B:$B,0),3))))</f>
        <v/>
      </c>
      <c r="S114" s="2" t="str">
        <f t="array" ref="S114">IF(NOW()&gt;BD114,"",IF(AND((WEEKDAY($A114)+$B$2)&gt;1,((WEEKDAY($A114)+$T$2)&lt;7),(WEEKDAY($A114)&lt;&gt;1)),"work",(INDEX(Subject!$A:$I,MATCH(RANDBETWEEN(1,(MAX(Subject!$B:$B))),Subject!$B:$B,0),3))))</f>
        <v/>
      </c>
      <c r="T114" s="2" t="str">
        <f t="array" ref="T114">IF(NOW()&gt;BE114,"",IF(AND((WEEKDAY($A114)+$B$2)&gt;1,((WEEKDAY($A114)+$T$2)&lt;7),(WEEKDAY($A114)&lt;&gt;1)),"work",(INDEX(Subject!$A:$I,MATCH(RANDBETWEEN(1,(MAX(Subject!$B:$B))),Subject!$B:$B,0),3))))</f>
        <v/>
      </c>
      <c r="U114" s="8" t="str">
        <f t="array" ref="U114">INDEX(Subject!$A:$I,MATCH(RANDBETWEEN(1,16),Subject!$B:$B,0),3)</f>
        <v>#N/A</v>
      </c>
      <c r="V114" s="8" t="str">
        <f t="array" ref="V114">INDEX(Subject!$A:$I,MATCH(RANDBETWEEN(1,16),Subject!$B:$B,0),3)</f>
        <v>#N/A</v>
      </c>
      <c r="W114" s="8" t="str">
        <f t="array" ref="W114">INDEX(Subject!$A:$I,MATCH(RANDBETWEEN(1,16),Subject!$B:$B,0),3)</f>
        <v>#N/A</v>
      </c>
      <c r="X114" s="8" t="str">
        <f t="array" ref="X114">INDEX(Subject!$A:$I,MATCH(RANDBETWEEN(1,16),Subject!$B:$B,0),3)</f>
        <v>#N/A</v>
      </c>
      <c r="Y114" s="8" t="str">
        <f t="array" ref="Y114">INDEX(Subject!$A:$I,MATCH(RANDBETWEEN(1,16),Subject!$B:$B,0),3)</f>
        <v>#N/A</v>
      </c>
      <c r="Z114" s="8" t="str">
        <f t="array" ref="Z114">INDEX(Subject!$A:$I,MATCH(RANDBETWEEN(1,16),Subject!$B:$B,0),3)</f>
        <v>#N/A</v>
      </c>
      <c r="AA114" s="8" t="str">
        <f t="array" ref="AA114">INDEX(Subject!$A:$I,MATCH(RANDBETWEEN(1,16),Subject!$B:$B,0),3)</f>
        <v>#N/A</v>
      </c>
      <c r="AB114" s="8" t="str">
        <f t="array" ref="AB114">INDEX(Subject!$A:$I,MATCH(RANDBETWEEN(1,16),Subject!$B:$B,0),3)</f>
        <v>#N/A</v>
      </c>
      <c r="AC114" s="8" t="str">
        <f t="array" ref="AC114">INDEX(Subject!$A:$I,MATCH(RANDBETWEEN(1,16),Subject!$B:$B,0),3)</f>
        <v>#N/A</v>
      </c>
      <c r="AD114" s="8" t="str">
        <f t="array" ref="AD114">INDEX(Subject!$A:$I,MATCH(RANDBETWEEN(1,16),Subject!$B:$B,0),3)</f>
        <v>#N/A</v>
      </c>
      <c r="AE114" s="8" t="str">
        <f t="array" ref="AE114">INDEX(Subject!$A:$I,MATCH(RANDBETWEEN(1,16),Subject!$B:$B,0),3)</f>
        <v>#N/A</v>
      </c>
      <c r="AF114" s="8" t="str">
        <f t="array" ref="AF114">INDEX(Subject!$A:$I,MATCH(RANDBETWEEN(1,16),Subject!$B:$B,0),3)</f>
        <v>#N/A</v>
      </c>
      <c r="AG114" s="8" t="str">
        <f t="array" ref="AG114">INDEX(Subject!$A:$I,MATCH(RANDBETWEEN(1,16),Subject!$B:$B,0),3)</f>
        <v>#N/A</v>
      </c>
      <c r="AH114" s="8" t="str">
        <f t="array" ref="AH114">INDEX(Subject!$A:$I,MATCH(RANDBETWEEN(1,16),Subject!$B:$B,0),3)</f>
        <v>#N/A</v>
      </c>
      <c r="AI114" s="8" t="str">
        <f t="array" ref="AI114">INDEX(Subject!$A:$I,MATCH(RANDBETWEEN(1,16),Subject!$B:$B,0),3)</f>
        <v/>
      </c>
      <c r="AJ114" s="8" t="str">
        <f t="array" ref="AJ114">INDEX(Subject!$A:$I,MATCH(RANDBETWEEN(1,16),Subject!$B:$B,0),3)</f>
        <v>#N/A</v>
      </c>
      <c r="AK114" s="8" t="str">
        <f t="array" ref="AK114">INDEX(Subject!$A:$I,MATCH(RANDBETWEEN(1,16),Subject!$B:$B,0),3)</f>
        <v>#N/A</v>
      </c>
      <c r="AL114" s="8" t="str">
        <f t="array" ref="AL114">INDEX(Subject!$A:$I,MATCH(RANDBETWEEN(1,16),Subject!$B:$B,0),3)</f>
        <v>#N/A</v>
      </c>
      <c r="AM114" s="18">
        <f t="shared" si="4"/>
        <v>45614.33333</v>
      </c>
      <c r="AN114" s="19">
        <f t="shared" ref="AN114:BZ114" si="114">$A114+C$1</f>
        <v>45614.35417</v>
      </c>
      <c r="AO114" s="19">
        <f t="shared" si="114"/>
        <v>45614.375</v>
      </c>
      <c r="AP114" s="19">
        <f t="shared" si="114"/>
        <v>45614.39583</v>
      </c>
      <c r="AQ114" s="19">
        <f t="shared" si="114"/>
        <v>45614.41667</v>
      </c>
      <c r="AR114" s="19">
        <f t="shared" si="114"/>
        <v>45614.4375</v>
      </c>
      <c r="AS114" s="19">
        <f t="shared" si="114"/>
        <v>45614.45833</v>
      </c>
      <c r="AT114" s="19">
        <f t="shared" si="114"/>
        <v>45614.47917</v>
      </c>
      <c r="AU114" s="19">
        <f t="shared" si="114"/>
        <v>45614.5</v>
      </c>
      <c r="AV114" s="19">
        <f t="shared" si="114"/>
        <v>45614.52083</v>
      </c>
      <c r="AW114" s="19">
        <f t="shared" si="114"/>
        <v>45614.54167</v>
      </c>
      <c r="AX114" s="19">
        <f t="shared" si="114"/>
        <v>45614.5625</v>
      </c>
      <c r="AY114" s="19">
        <f t="shared" si="114"/>
        <v>45614.58333</v>
      </c>
      <c r="AZ114" s="19">
        <f t="shared" si="114"/>
        <v>45614.60417</v>
      </c>
      <c r="BA114" s="19">
        <f t="shared" si="114"/>
        <v>45614.625</v>
      </c>
      <c r="BB114" s="19">
        <f t="shared" si="114"/>
        <v>45614.64583</v>
      </c>
      <c r="BC114" s="19">
        <f t="shared" si="114"/>
        <v>45614.66667</v>
      </c>
      <c r="BD114" s="19">
        <f t="shared" si="114"/>
        <v>45614.6875</v>
      </c>
      <c r="BE114" s="19">
        <f t="shared" si="114"/>
        <v>45614.70833</v>
      </c>
      <c r="BF114" s="19">
        <f t="shared" si="114"/>
        <v>45614.72917</v>
      </c>
      <c r="BG114" s="19">
        <f t="shared" si="114"/>
        <v>45614.75</v>
      </c>
      <c r="BH114" s="19">
        <f t="shared" si="114"/>
        <v>45614.77083</v>
      </c>
      <c r="BI114" s="19">
        <f t="shared" si="114"/>
        <v>45614.79167</v>
      </c>
      <c r="BJ114" s="19">
        <f t="shared" si="114"/>
        <v>45614.8125</v>
      </c>
      <c r="BK114" s="19">
        <f t="shared" si="114"/>
        <v>45614.83333</v>
      </c>
      <c r="BL114" s="19">
        <f t="shared" si="114"/>
        <v>45614.85417</v>
      </c>
      <c r="BM114" s="19">
        <f t="shared" si="114"/>
        <v>45614.875</v>
      </c>
      <c r="BN114" s="19">
        <f t="shared" si="114"/>
        <v>45614.89583</v>
      </c>
      <c r="BO114" s="19">
        <f t="shared" si="114"/>
        <v>45614.91667</v>
      </c>
      <c r="BP114" s="19">
        <f t="shared" si="114"/>
        <v>45614.9375</v>
      </c>
      <c r="BQ114" s="19">
        <f t="shared" si="114"/>
        <v>45614.95833</v>
      </c>
      <c r="BR114" s="19">
        <f t="shared" si="114"/>
        <v>45614.97917</v>
      </c>
      <c r="BS114" s="19">
        <f t="shared" si="114"/>
        <v>45615</v>
      </c>
      <c r="BT114" s="19">
        <f t="shared" si="114"/>
        <v>45615.02083</v>
      </c>
      <c r="BU114" s="19">
        <f t="shared" si="114"/>
        <v>45615.04167</v>
      </c>
      <c r="BV114" s="19">
        <f t="shared" si="114"/>
        <v>45615.0625</v>
      </c>
      <c r="BW114" s="19">
        <f t="shared" si="114"/>
        <v>45615.08333</v>
      </c>
      <c r="BX114" s="19">
        <f t="shared" si="114"/>
        <v>45614</v>
      </c>
      <c r="BY114" s="19">
        <f t="shared" si="114"/>
        <v>45614</v>
      </c>
      <c r="BZ114" s="19">
        <f t="shared" si="114"/>
        <v>45614</v>
      </c>
    </row>
    <row r="115" ht="14.25" customHeight="1">
      <c r="A115" s="17">
        <v>45615.0</v>
      </c>
      <c r="B115" s="2" t="str">
        <f t="array" ref="B115">IF(NOW()&gt;AM115,"",IF(AND((WEEKDAY($A115)+$B$2)&gt;1,((WEEKDAY($A115)+$T$2)&lt;7),(WEEKDAY($A115)&lt;&gt;1)),"work",(INDEX(Subject!$A:$I,MATCH(RANDBETWEEN(1,(MAX(Subject!$B:$B))),Subject!$B:$B,0),3))))</f>
        <v/>
      </c>
      <c r="C115" s="2" t="str">
        <f t="array" ref="C115">IF(NOW()&gt;AN115,"",IF(AND((WEEKDAY($A115)+$B$2)&gt;1,((WEEKDAY($A115)+$T$2)&lt;7),(WEEKDAY($A115)&lt;&gt;1)),"work",(INDEX(Subject!$A:$I,MATCH(RANDBETWEEN(1,(MAX(Subject!$B:$B))),Subject!$B:$B,0),3))))</f>
        <v/>
      </c>
      <c r="D115" s="2" t="str">
        <f t="array" ref="D115">IF(NOW()&gt;AO115,"",IF(AND((WEEKDAY($A115)+$B$2)&gt;1,((WEEKDAY($A115)+$T$2)&lt;7),(WEEKDAY($A115)&lt;&gt;1)),"work",(INDEX(Subject!$A:$I,MATCH(RANDBETWEEN(1,(MAX(Subject!$B:$B))),Subject!$B:$B,0),3))))</f>
        <v/>
      </c>
      <c r="E115" s="2" t="str">
        <f t="array" ref="E115">IF(NOW()&gt;AP115,"",IF(AND((WEEKDAY($A115)+$B$2)&gt;1,((WEEKDAY($A115)+$T$2)&lt;7),(WEEKDAY($A115)&lt;&gt;1)),"work",(INDEX(Subject!$A:$I,MATCH(RANDBETWEEN(1,(MAX(Subject!$B:$B))),Subject!$B:$B,0),3))))</f>
        <v/>
      </c>
      <c r="F115" s="2" t="str">
        <f t="array" ref="F115">IF(NOW()&gt;AQ115,"",IF(AND((WEEKDAY($A115)+$B$2)&gt;1,((WEEKDAY($A115)+$T$2)&lt;7),(WEEKDAY($A115)&lt;&gt;1)),"work",(INDEX(Subject!$A:$I,MATCH(RANDBETWEEN(1,(MAX(Subject!$B:$B))),Subject!$B:$B,0),3))))</f>
        <v/>
      </c>
      <c r="G115" s="2" t="str">
        <f t="array" ref="G115">IF(NOW()&gt;AR115,"",IF(AND((WEEKDAY($A115)+$B$2)&gt;1,((WEEKDAY($A115)+$T$2)&lt;7),(WEEKDAY($A115)&lt;&gt;1)),"work",(INDEX(Subject!$A:$I,MATCH(RANDBETWEEN(1,(MAX(Subject!$B:$B))),Subject!$B:$B,0),3))))</f>
        <v/>
      </c>
      <c r="H115" s="2" t="str">
        <f t="array" ref="H115">IF(NOW()&gt;AS115,"",IF(AND((WEEKDAY($A115)+$B$2)&gt;1,((WEEKDAY($A115)+$T$2)&lt;7),(WEEKDAY($A115)&lt;&gt;1)),"work",(INDEX(Subject!$A:$I,MATCH(RANDBETWEEN(1,(MAX(Subject!$B:$B))),Subject!$B:$B,0),3))))</f>
        <v/>
      </c>
      <c r="I115" s="2" t="str">
        <f t="array" ref="I115">IF(NOW()&gt;AT115,"",IF(AND((WEEKDAY($A115)+$B$2)&gt;1,((WEEKDAY($A115)+$T$2)&lt;7),(WEEKDAY($A115)&lt;&gt;1)),"work",(INDEX(Subject!$A:$I,MATCH(RANDBETWEEN(1,(MAX(Subject!$B:$B))),Subject!$B:$B,0),3))))</f>
        <v/>
      </c>
      <c r="J115" s="2" t="str">
        <f t="array" ref="J115">IF(NOW()&gt;AU115,"",IF(AND((WEEKDAY($A115)+$B$2)&gt;1,((WEEKDAY($A115)+$T$2)&lt;7),(WEEKDAY($A115)&lt;&gt;1)),"work",(INDEX(Subject!$A:$I,MATCH(RANDBETWEEN(1,(MAX(Subject!$B:$B))),Subject!$B:$B,0),3))))</f>
        <v/>
      </c>
      <c r="K115" s="2" t="str">
        <f t="array" ref="K115">IF(NOW()&gt;AV115,"",IF(AND((WEEKDAY($A115)+$B$2)&gt;1,((WEEKDAY($A115)+$T$2)&lt;7),(WEEKDAY($A115)&lt;&gt;1)),"work",(INDEX(Subject!$A:$I,MATCH(RANDBETWEEN(1,(MAX(Subject!$B:$B))),Subject!$B:$B,0),3))))</f>
        <v/>
      </c>
      <c r="L115" s="2" t="str">
        <f t="array" ref="L115">IF(NOW()&gt;AW115,"",IF(AND((WEEKDAY($A115)+$B$2)&gt;1,((WEEKDAY($A115)+$T$2)&lt;7),(WEEKDAY($A115)&lt;&gt;1)),"work",(INDEX(Subject!$A:$I,MATCH(RANDBETWEEN(1,(MAX(Subject!$B:$B))),Subject!$B:$B,0),3))))</f>
        <v/>
      </c>
      <c r="M115" s="2" t="str">
        <f t="array" ref="M115">IF(NOW()&gt;AX115,"",IF(AND((WEEKDAY($A115)+$B$2)&gt;1,((WEEKDAY($A115)+$T$2)&lt;7),(WEEKDAY($A115)&lt;&gt;1)),"work",(INDEX(Subject!$A:$I,MATCH(RANDBETWEEN(1,(MAX(Subject!$B:$B))),Subject!$B:$B,0),3))))</f>
        <v/>
      </c>
      <c r="N115" s="2" t="str">
        <f t="array" ref="N115">IF(NOW()&gt;AY115,"",IF(AND((WEEKDAY($A115)+$B$2)&gt;1,((WEEKDAY($A115)+$T$2)&lt;7),(WEEKDAY($A115)&lt;&gt;1)),"work",(INDEX(Subject!$A:$I,MATCH(RANDBETWEEN(1,(MAX(Subject!$B:$B))),Subject!$B:$B,0),3))))</f>
        <v/>
      </c>
      <c r="O115" s="2" t="str">
        <f t="array" ref="O115">IF(NOW()&gt;AZ115,"",IF(AND((WEEKDAY($A115)+$B$2)&gt;1,((WEEKDAY($A115)+$T$2)&lt;7),(WEEKDAY($A115)&lt;&gt;1)),"work",(INDEX(Subject!$A:$I,MATCH(RANDBETWEEN(1,(MAX(Subject!$B:$B))),Subject!$B:$B,0),3))))</f>
        <v/>
      </c>
      <c r="P115" s="2" t="str">
        <f t="array" ref="P115">IF(NOW()&gt;BA115,"",IF(AND((WEEKDAY($A115)+$B$2)&gt;1,((WEEKDAY($A115)+$T$2)&lt;7),(WEEKDAY($A115)&lt;&gt;1)),"work",(INDEX(Subject!$A:$I,MATCH(RANDBETWEEN(1,(MAX(Subject!$B:$B))),Subject!$B:$B,0),3))))</f>
        <v/>
      </c>
      <c r="Q115" s="2" t="str">
        <f t="array" ref="Q115">IF(NOW()&gt;BB115,"",IF(AND((WEEKDAY($A115)+$B$2)&gt;1,((WEEKDAY($A115)+$T$2)&lt;7),(WEEKDAY($A115)&lt;&gt;1)),"work",(INDEX(Subject!$A:$I,MATCH(RANDBETWEEN(1,(MAX(Subject!$B:$B))),Subject!$B:$B,0),3))))</f>
        <v/>
      </c>
      <c r="R115" s="2" t="str">
        <f t="array" ref="R115">IF(NOW()&gt;BC115,"",IF(AND((WEEKDAY($A115)+$B$2)&gt;1,((WEEKDAY($A115)+$T$2)&lt;7),(WEEKDAY($A115)&lt;&gt;1)),"work",(INDEX(Subject!$A:$I,MATCH(RANDBETWEEN(1,(MAX(Subject!$B:$B))),Subject!$B:$B,0),3))))</f>
        <v/>
      </c>
      <c r="S115" s="2" t="str">
        <f t="array" ref="S115">IF(NOW()&gt;BD115,"",IF(AND((WEEKDAY($A115)+$B$2)&gt;1,((WEEKDAY($A115)+$T$2)&lt;7),(WEEKDAY($A115)&lt;&gt;1)),"work",(INDEX(Subject!$A:$I,MATCH(RANDBETWEEN(1,(MAX(Subject!$B:$B))),Subject!$B:$B,0),3))))</f>
        <v/>
      </c>
      <c r="T115" s="2" t="str">
        <f t="array" ref="T115">IF(NOW()&gt;BE115,"",IF(AND((WEEKDAY($A115)+$B$2)&gt;1,((WEEKDAY($A115)+$T$2)&lt;7),(WEEKDAY($A115)&lt;&gt;1)),"work",(INDEX(Subject!$A:$I,MATCH(RANDBETWEEN(1,(MAX(Subject!$B:$B))),Subject!$B:$B,0),3))))</f>
        <v/>
      </c>
      <c r="U115" s="8" t="str">
        <f t="array" ref="U115">INDEX(Subject!$A:$I,MATCH(RANDBETWEEN(1,16),Subject!$B:$B,0),3)</f>
        <v>#N/A</v>
      </c>
      <c r="V115" s="8" t="str">
        <f t="array" ref="V115">INDEX(Subject!$A:$I,MATCH(RANDBETWEEN(1,16),Subject!$B:$B,0),3)</f>
        <v>#N/A</v>
      </c>
      <c r="W115" s="8" t="str">
        <f t="array" ref="W115">INDEX(Subject!$A:$I,MATCH(RANDBETWEEN(1,16),Subject!$B:$B,0),3)</f>
        <v>#N/A</v>
      </c>
      <c r="X115" s="8" t="str">
        <f t="array" ref="X115">INDEX(Subject!$A:$I,MATCH(RANDBETWEEN(1,16),Subject!$B:$B,0),3)</f>
        <v>#N/A</v>
      </c>
      <c r="Y115" s="8" t="str">
        <f t="array" ref="Y115">INDEX(Subject!$A:$I,MATCH(RANDBETWEEN(1,16),Subject!$B:$B,0),3)</f>
        <v>#N/A</v>
      </c>
      <c r="Z115" s="8" t="str">
        <f t="array" ref="Z115">INDEX(Subject!$A:$I,MATCH(RANDBETWEEN(1,16),Subject!$B:$B,0),3)</f>
        <v/>
      </c>
      <c r="AA115" s="8" t="str">
        <f t="array" ref="AA115">INDEX(Subject!$A:$I,MATCH(RANDBETWEEN(1,16),Subject!$B:$B,0),3)</f>
        <v>#N/A</v>
      </c>
      <c r="AB115" s="8" t="str">
        <f t="array" ref="AB115">INDEX(Subject!$A:$I,MATCH(RANDBETWEEN(1,16),Subject!$B:$B,0),3)</f>
        <v>#N/A</v>
      </c>
      <c r="AC115" s="8" t="str">
        <f t="array" ref="AC115">INDEX(Subject!$A:$I,MATCH(RANDBETWEEN(1,16),Subject!$B:$B,0),3)</f>
        <v>#N/A</v>
      </c>
      <c r="AD115" s="8" t="str">
        <f t="array" ref="AD115">INDEX(Subject!$A:$I,MATCH(RANDBETWEEN(1,16),Subject!$B:$B,0),3)</f>
        <v>#N/A</v>
      </c>
      <c r="AE115" s="8" t="str">
        <f t="array" ref="AE115">INDEX(Subject!$A:$I,MATCH(RANDBETWEEN(1,16),Subject!$B:$B,0),3)</f>
        <v>#N/A</v>
      </c>
      <c r="AF115" s="8" t="str">
        <f t="array" ref="AF115">INDEX(Subject!$A:$I,MATCH(RANDBETWEEN(1,16),Subject!$B:$B,0),3)</f>
        <v>#N/A</v>
      </c>
      <c r="AG115" s="8" t="str">
        <f t="array" ref="AG115">INDEX(Subject!$A:$I,MATCH(RANDBETWEEN(1,16),Subject!$B:$B,0),3)</f>
        <v>#N/A</v>
      </c>
      <c r="AH115" s="8" t="str">
        <f t="array" ref="AH115">INDEX(Subject!$A:$I,MATCH(RANDBETWEEN(1,16),Subject!$B:$B,0),3)</f>
        <v>#N/A</v>
      </c>
      <c r="AI115" s="8" t="str">
        <f t="array" ref="AI115">INDEX(Subject!$A:$I,MATCH(RANDBETWEEN(1,16),Subject!$B:$B,0),3)</f>
        <v>#N/A</v>
      </c>
      <c r="AJ115" s="8" t="str">
        <f t="array" ref="AJ115">INDEX(Subject!$A:$I,MATCH(RANDBETWEEN(1,16),Subject!$B:$B,0),3)</f>
        <v>#N/A</v>
      </c>
      <c r="AK115" s="8" t="str">
        <f t="array" ref="AK115">INDEX(Subject!$A:$I,MATCH(RANDBETWEEN(1,16),Subject!$B:$B,0),3)</f>
        <v>#N/A</v>
      </c>
      <c r="AL115" s="8" t="str">
        <f t="array" ref="AL115">INDEX(Subject!$A:$I,MATCH(RANDBETWEEN(1,16),Subject!$B:$B,0),3)</f>
        <v>#N/A</v>
      </c>
      <c r="AM115" s="18">
        <f t="shared" si="4"/>
        <v>45615.33333</v>
      </c>
      <c r="AN115" s="19">
        <f t="shared" ref="AN115:BZ115" si="115">$A115+C$1</f>
        <v>45615.35417</v>
      </c>
      <c r="AO115" s="19">
        <f t="shared" si="115"/>
        <v>45615.375</v>
      </c>
      <c r="AP115" s="19">
        <f t="shared" si="115"/>
        <v>45615.39583</v>
      </c>
      <c r="AQ115" s="19">
        <f t="shared" si="115"/>
        <v>45615.41667</v>
      </c>
      <c r="AR115" s="19">
        <f t="shared" si="115"/>
        <v>45615.4375</v>
      </c>
      <c r="AS115" s="19">
        <f t="shared" si="115"/>
        <v>45615.45833</v>
      </c>
      <c r="AT115" s="19">
        <f t="shared" si="115"/>
        <v>45615.47917</v>
      </c>
      <c r="AU115" s="19">
        <f t="shared" si="115"/>
        <v>45615.5</v>
      </c>
      <c r="AV115" s="19">
        <f t="shared" si="115"/>
        <v>45615.52083</v>
      </c>
      <c r="AW115" s="19">
        <f t="shared" si="115"/>
        <v>45615.54167</v>
      </c>
      <c r="AX115" s="19">
        <f t="shared" si="115"/>
        <v>45615.5625</v>
      </c>
      <c r="AY115" s="19">
        <f t="shared" si="115"/>
        <v>45615.58333</v>
      </c>
      <c r="AZ115" s="19">
        <f t="shared" si="115"/>
        <v>45615.60417</v>
      </c>
      <c r="BA115" s="19">
        <f t="shared" si="115"/>
        <v>45615.625</v>
      </c>
      <c r="BB115" s="19">
        <f t="shared" si="115"/>
        <v>45615.64583</v>
      </c>
      <c r="BC115" s="19">
        <f t="shared" si="115"/>
        <v>45615.66667</v>
      </c>
      <c r="BD115" s="19">
        <f t="shared" si="115"/>
        <v>45615.6875</v>
      </c>
      <c r="BE115" s="19">
        <f t="shared" si="115"/>
        <v>45615.70833</v>
      </c>
      <c r="BF115" s="19">
        <f t="shared" si="115"/>
        <v>45615.72917</v>
      </c>
      <c r="BG115" s="19">
        <f t="shared" si="115"/>
        <v>45615.75</v>
      </c>
      <c r="BH115" s="19">
        <f t="shared" si="115"/>
        <v>45615.77083</v>
      </c>
      <c r="BI115" s="19">
        <f t="shared" si="115"/>
        <v>45615.79167</v>
      </c>
      <c r="BJ115" s="19">
        <f t="shared" si="115"/>
        <v>45615.8125</v>
      </c>
      <c r="BK115" s="19">
        <f t="shared" si="115"/>
        <v>45615.83333</v>
      </c>
      <c r="BL115" s="19">
        <f t="shared" si="115"/>
        <v>45615.85417</v>
      </c>
      <c r="BM115" s="19">
        <f t="shared" si="115"/>
        <v>45615.875</v>
      </c>
      <c r="BN115" s="19">
        <f t="shared" si="115"/>
        <v>45615.89583</v>
      </c>
      <c r="BO115" s="19">
        <f t="shared" si="115"/>
        <v>45615.91667</v>
      </c>
      <c r="BP115" s="19">
        <f t="shared" si="115"/>
        <v>45615.9375</v>
      </c>
      <c r="BQ115" s="19">
        <f t="shared" si="115"/>
        <v>45615.95833</v>
      </c>
      <c r="BR115" s="19">
        <f t="shared" si="115"/>
        <v>45615.97917</v>
      </c>
      <c r="BS115" s="19">
        <f t="shared" si="115"/>
        <v>45616</v>
      </c>
      <c r="BT115" s="19">
        <f t="shared" si="115"/>
        <v>45616.02083</v>
      </c>
      <c r="BU115" s="19">
        <f t="shared" si="115"/>
        <v>45616.04167</v>
      </c>
      <c r="BV115" s="19">
        <f t="shared" si="115"/>
        <v>45616.0625</v>
      </c>
      <c r="BW115" s="19">
        <f t="shared" si="115"/>
        <v>45616.08333</v>
      </c>
      <c r="BX115" s="19">
        <f t="shared" si="115"/>
        <v>45615</v>
      </c>
      <c r="BY115" s="19">
        <f t="shared" si="115"/>
        <v>45615</v>
      </c>
      <c r="BZ115" s="19">
        <f t="shared" si="115"/>
        <v>45615</v>
      </c>
    </row>
    <row r="116" ht="14.25" customHeight="1">
      <c r="A116" s="17">
        <v>45616.0</v>
      </c>
      <c r="B116" s="2" t="str">
        <f t="array" ref="B116">IF(NOW()&gt;AM116,"",IF(AND((WEEKDAY($A116)+$B$2)&gt;1,((WEEKDAY($A116)+$T$2)&lt;7),(WEEKDAY($A116)&lt;&gt;1)),"work",(INDEX(Subject!$A:$I,MATCH(RANDBETWEEN(1,(MAX(Subject!$B:$B))),Subject!$B:$B,0),3))))</f>
        <v/>
      </c>
      <c r="C116" s="2" t="str">
        <f t="array" ref="C116">IF(NOW()&gt;AN116,"",IF(AND((WEEKDAY($A116)+$B$2)&gt;1,((WEEKDAY($A116)+$T$2)&lt;7),(WEEKDAY($A116)&lt;&gt;1)),"work",(INDEX(Subject!$A:$I,MATCH(RANDBETWEEN(1,(MAX(Subject!$B:$B))),Subject!$B:$B,0),3))))</f>
        <v/>
      </c>
      <c r="D116" s="2" t="str">
        <f t="array" ref="D116">IF(NOW()&gt;AO116,"",IF(AND((WEEKDAY($A116)+$B$2)&gt;1,((WEEKDAY($A116)+$T$2)&lt;7),(WEEKDAY($A116)&lt;&gt;1)),"work",(INDEX(Subject!$A:$I,MATCH(RANDBETWEEN(1,(MAX(Subject!$B:$B))),Subject!$B:$B,0),3))))</f>
        <v/>
      </c>
      <c r="E116" s="2" t="str">
        <f t="array" ref="E116">IF(NOW()&gt;AP116,"",IF(AND((WEEKDAY($A116)+$B$2)&gt;1,((WEEKDAY($A116)+$T$2)&lt;7),(WEEKDAY($A116)&lt;&gt;1)),"work",(INDEX(Subject!$A:$I,MATCH(RANDBETWEEN(1,(MAX(Subject!$B:$B))),Subject!$B:$B,0),3))))</f>
        <v/>
      </c>
      <c r="F116" s="2" t="str">
        <f t="array" ref="F116">IF(NOW()&gt;AQ116,"",IF(AND((WEEKDAY($A116)+$B$2)&gt;1,((WEEKDAY($A116)+$T$2)&lt;7),(WEEKDAY($A116)&lt;&gt;1)),"work",(INDEX(Subject!$A:$I,MATCH(RANDBETWEEN(1,(MAX(Subject!$B:$B))),Subject!$B:$B,0),3))))</f>
        <v/>
      </c>
      <c r="G116" s="2" t="str">
        <f t="array" ref="G116">IF(NOW()&gt;AR116,"",IF(AND((WEEKDAY($A116)+$B$2)&gt;1,((WEEKDAY($A116)+$T$2)&lt;7),(WEEKDAY($A116)&lt;&gt;1)),"work",(INDEX(Subject!$A:$I,MATCH(RANDBETWEEN(1,(MAX(Subject!$B:$B))),Subject!$B:$B,0),3))))</f>
        <v/>
      </c>
      <c r="H116" s="2" t="str">
        <f t="array" ref="H116">IF(NOW()&gt;AS116,"",IF(AND((WEEKDAY($A116)+$B$2)&gt;1,((WEEKDAY($A116)+$T$2)&lt;7),(WEEKDAY($A116)&lt;&gt;1)),"work",(INDEX(Subject!$A:$I,MATCH(RANDBETWEEN(1,(MAX(Subject!$B:$B))),Subject!$B:$B,0),3))))</f>
        <v/>
      </c>
      <c r="I116" s="2" t="str">
        <f t="array" ref="I116">IF(NOW()&gt;AT116,"",IF(AND((WEEKDAY($A116)+$B$2)&gt;1,((WEEKDAY($A116)+$T$2)&lt;7),(WEEKDAY($A116)&lt;&gt;1)),"work",(INDEX(Subject!$A:$I,MATCH(RANDBETWEEN(1,(MAX(Subject!$B:$B))),Subject!$B:$B,0),3))))</f>
        <v/>
      </c>
      <c r="J116" s="2" t="str">
        <f t="array" ref="J116">IF(NOW()&gt;AU116,"",IF(AND((WEEKDAY($A116)+$B$2)&gt;1,((WEEKDAY($A116)+$T$2)&lt;7),(WEEKDAY($A116)&lt;&gt;1)),"work",(INDEX(Subject!$A:$I,MATCH(RANDBETWEEN(1,(MAX(Subject!$B:$B))),Subject!$B:$B,0),3))))</f>
        <v/>
      </c>
      <c r="K116" s="2" t="str">
        <f t="array" ref="K116">IF(NOW()&gt;AV116,"",IF(AND((WEEKDAY($A116)+$B$2)&gt;1,((WEEKDAY($A116)+$T$2)&lt;7),(WEEKDAY($A116)&lt;&gt;1)),"work",(INDEX(Subject!$A:$I,MATCH(RANDBETWEEN(1,(MAX(Subject!$B:$B))),Subject!$B:$B,0),3))))</f>
        <v/>
      </c>
      <c r="L116" s="2" t="str">
        <f t="array" ref="L116">IF(NOW()&gt;AW116,"",IF(AND((WEEKDAY($A116)+$B$2)&gt;1,((WEEKDAY($A116)+$T$2)&lt;7),(WEEKDAY($A116)&lt;&gt;1)),"work",(INDEX(Subject!$A:$I,MATCH(RANDBETWEEN(1,(MAX(Subject!$B:$B))),Subject!$B:$B,0),3))))</f>
        <v/>
      </c>
      <c r="M116" s="2" t="str">
        <f t="array" ref="M116">IF(NOW()&gt;AX116,"",IF(AND((WEEKDAY($A116)+$B$2)&gt;1,((WEEKDAY($A116)+$T$2)&lt;7),(WEEKDAY($A116)&lt;&gt;1)),"work",(INDEX(Subject!$A:$I,MATCH(RANDBETWEEN(1,(MAX(Subject!$B:$B))),Subject!$B:$B,0),3))))</f>
        <v/>
      </c>
      <c r="N116" s="2" t="str">
        <f t="array" ref="N116">IF(NOW()&gt;AY116,"",IF(AND((WEEKDAY($A116)+$B$2)&gt;1,((WEEKDAY($A116)+$T$2)&lt;7),(WEEKDAY($A116)&lt;&gt;1)),"work",(INDEX(Subject!$A:$I,MATCH(RANDBETWEEN(1,(MAX(Subject!$B:$B))),Subject!$B:$B,0),3))))</f>
        <v/>
      </c>
      <c r="O116" s="2" t="str">
        <f t="array" ref="O116">IF(NOW()&gt;AZ116,"",IF(AND((WEEKDAY($A116)+$B$2)&gt;1,((WEEKDAY($A116)+$T$2)&lt;7),(WEEKDAY($A116)&lt;&gt;1)),"work",(INDEX(Subject!$A:$I,MATCH(RANDBETWEEN(1,(MAX(Subject!$B:$B))),Subject!$B:$B,0),3))))</f>
        <v/>
      </c>
      <c r="P116" s="2" t="str">
        <f t="array" ref="P116">IF(NOW()&gt;BA116,"",IF(AND((WEEKDAY($A116)+$B$2)&gt;1,((WEEKDAY($A116)+$T$2)&lt;7),(WEEKDAY($A116)&lt;&gt;1)),"work",(INDEX(Subject!$A:$I,MATCH(RANDBETWEEN(1,(MAX(Subject!$B:$B))),Subject!$B:$B,0),3))))</f>
        <v/>
      </c>
      <c r="Q116" s="2" t="str">
        <f t="array" ref="Q116">IF(NOW()&gt;BB116,"",IF(AND((WEEKDAY($A116)+$B$2)&gt;1,((WEEKDAY($A116)+$T$2)&lt;7),(WEEKDAY($A116)&lt;&gt;1)),"work",(INDEX(Subject!$A:$I,MATCH(RANDBETWEEN(1,(MAX(Subject!$B:$B))),Subject!$B:$B,0),3))))</f>
        <v/>
      </c>
      <c r="R116" s="2" t="str">
        <f t="array" ref="R116">IF(NOW()&gt;BC116,"",IF(AND((WEEKDAY($A116)+$B$2)&gt;1,((WEEKDAY($A116)+$T$2)&lt;7),(WEEKDAY($A116)&lt;&gt;1)),"work",(INDEX(Subject!$A:$I,MATCH(RANDBETWEEN(1,(MAX(Subject!$B:$B))),Subject!$B:$B,0),3))))</f>
        <v/>
      </c>
      <c r="S116" s="2" t="str">
        <f t="array" ref="S116">IF(NOW()&gt;BD116,"",IF(AND((WEEKDAY($A116)+$B$2)&gt;1,((WEEKDAY($A116)+$T$2)&lt;7),(WEEKDAY($A116)&lt;&gt;1)),"work",(INDEX(Subject!$A:$I,MATCH(RANDBETWEEN(1,(MAX(Subject!$B:$B))),Subject!$B:$B,0),3))))</f>
        <v/>
      </c>
      <c r="T116" s="2" t="str">
        <f t="array" ref="T116">IF(NOW()&gt;BE116,"",IF(AND((WEEKDAY($A116)+$B$2)&gt;1,((WEEKDAY($A116)+$T$2)&lt;7),(WEEKDAY($A116)&lt;&gt;1)),"work",(INDEX(Subject!$A:$I,MATCH(RANDBETWEEN(1,(MAX(Subject!$B:$B))),Subject!$B:$B,0),3))))</f>
        <v/>
      </c>
      <c r="U116" s="8" t="str">
        <f t="array" ref="U116">INDEX(Subject!$A:$I,MATCH(RANDBETWEEN(1,16),Subject!$B:$B,0),3)</f>
        <v>#N/A</v>
      </c>
      <c r="V116" s="8" t="str">
        <f t="array" ref="V116">INDEX(Subject!$A:$I,MATCH(RANDBETWEEN(1,16),Subject!$B:$B,0),3)</f>
        <v>#N/A</v>
      </c>
      <c r="W116" s="8" t="str">
        <f t="array" ref="W116">INDEX(Subject!$A:$I,MATCH(RANDBETWEEN(1,16),Subject!$B:$B,0),3)</f>
        <v>#N/A</v>
      </c>
      <c r="X116" s="8" t="str">
        <f t="array" ref="X116">INDEX(Subject!$A:$I,MATCH(RANDBETWEEN(1,16),Subject!$B:$B,0),3)</f>
        <v>#N/A</v>
      </c>
      <c r="Y116" s="8" t="str">
        <f t="array" ref="Y116">INDEX(Subject!$A:$I,MATCH(RANDBETWEEN(1,16),Subject!$B:$B,0),3)</f>
        <v>#N/A</v>
      </c>
      <c r="Z116" s="8" t="str">
        <f t="array" ref="Z116">INDEX(Subject!$A:$I,MATCH(RANDBETWEEN(1,16),Subject!$B:$B,0),3)</f>
        <v>#N/A</v>
      </c>
      <c r="AA116" s="8" t="str">
        <f t="array" ref="AA116">INDEX(Subject!$A:$I,MATCH(RANDBETWEEN(1,16),Subject!$B:$B,0),3)</f>
        <v>#N/A</v>
      </c>
      <c r="AB116" s="8" t="str">
        <f t="array" ref="AB116">INDEX(Subject!$A:$I,MATCH(RANDBETWEEN(1,16),Subject!$B:$B,0),3)</f>
        <v>#N/A</v>
      </c>
      <c r="AC116" s="8" t="str">
        <f t="array" ref="AC116">INDEX(Subject!$A:$I,MATCH(RANDBETWEEN(1,16),Subject!$B:$B,0),3)</f>
        <v>#N/A</v>
      </c>
      <c r="AD116" s="8" t="str">
        <f t="array" ref="AD116">INDEX(Subject!$A:$I,MATCH(RANDBETWEEN(1,16),Subject!$B:$B,0),3)</f>
        <v>#N/A</v>
      </c>
      <c r="AE116" s="8" t="str">
        <f t="array" ref="AE116">INDEX(Subject!$A:$I,MATCH(RANDBETWEEN(1,16),Subject!$B:$B,0),3)</f>
        <v>#N/A</v>
      </c>
      <c r="AF116" s="8" t="str">
        <f t="array" ref="AF116">INDEX(Subject!$A:$I,MATCH(RANDBETWEEN(1,16),Subject!$B:$B,0),3)</f>
        <v>#N/A</v>
      </c>
      <c r="AG116" s="8" t="str">
        <f t="array" ref="AG116">INDEX(Subject!$A:$I,MATCH(RANDBETWEEN(1,16),Subject!$B:$B,0),3)</f>
        <v>#N/A</v>
      </c>
      <c r="AH116" s="8" t="str">
        <f t="array" ref="AH116">INDEX(Subject!$A:$I,MATCH(RANDBETWEEN(1,16),Subject!$B:$B,0),3)</f>
        <v>#N/A</v>
      </c>
      <c r="AI116" s="8" t="str">
        <f t="array" ref="AI116">INDEX(Subject!$A:$I,MATCH(RANDBETWEEN(1,16),Subject!$B:$B,0),3)</f>
        <v>#N/A</v>
      </c>
      <c r="AJ116" s="8" t="str">
        <f t="array" ref="AJ116">INDEX(Subject!$A:$I,MATCH(RANDBETWEEN(1,16),Subject!$B:$B,0),3)</f>
        <v>#N/A</v>
      </c>
      <c r="AK116" s="8" t="str">
        <f t="array" ref="AK116">INDEX(Subject!$A:$I,MATCH(RANDBETWEEN(1,16),Subject!$B:$B,0),3)</f>
        <v>#N/A</v>
      </c>
      <c r="AL116" s="8" t="str">
        <f t="array" ref="AL116">INDEX(Subject!$A:$I,MATCH(RANDBETWEEN(1,16),Subject!$B:$B,0),3)</f>
        <v>#N/A</v>
      </c>
      <c r="AM116" s="18">
        <f t="shared" si="4"/>
        <v>45616.33333</v>
      </c>
      <c r="AN116" s="19">
        <f t="shared" ref="AN116:BZ116" si="116">$A116+C$1</f>
        <v>45616.35417</v>
      </c>
      <c r="AO116" s="19">
        <f t="shared" si="116"/>
        <v>45616.375</v>
      </c>
      <c r="AP116" s="19">
        <f t="shared" si="116"/>
        <v>45616.39583</v>
      </c>
      <c r="AQ116" s="19">
        <f t="shared" si="116"/>
        <v>45616.41667</v>
      </c>
      <c r="AR116" s="19">
        <f t="shared" si="116"/>
        <v>45616.4375</v>
      </c>
      <c r="AS116" s="19">
        <f t="shared" si="116"/>
        <v>45616.45833</v>
      </c>
      <c r="AT116" s="19">
        <f t="shared" si="116"/>
        <v>45616.47917</v>
      </c>
      <c r="AU116" s="19">
        <f t="shared" si="116"/>
        <v>45616.5</v>
      </c>
      <c r="AV116" s="19">
        <f t="shared" si="116"/>
        <v>45616.52083</v>
      </c>
      <c r="AW116" s="19">
        <f t="shared" si="116"/>
        <v>45616.54167</v>
      </c>
      <c r="AX116" s="19">
        <f t="shared" si="116"/>
        <v>45616.5625</v>
      </c>
      <c r="AY116" s="19">
        <f t="shared" si="116"/>
        <v>45616.58333</v>
      </c>
      <c r="AZ116" s="19">
        <f t="shared" si="116"/>
        <v>45616.60417</v>
      </c>
      <c r="BA116" s="19">
        <f t="shared" si="116"/>
        <v>45616.625</v>
      </c>
      <c r="BB116" s="19">
        <f t="shared" si="116"/>
        <v>45616.64583</v>
      </c>
      <c r="BC116" s="19">
        <f t="shared" si="116"/>
        <v>45616.66667</v>
      </c>
      <c r="BD116" s="19">
        <f t="shared" si="116"/>
        <v>45616.6875</v>
      </c>
      <c r="BE116" s="19">
        <f t="shared" si="116"/>
        <v>45616.70833</v>
      </c>
      <c r="BF116" s="19">
        <f t="shared" si="116"/>
        <v>45616.72917</v>
      </c>
      <c r="BG116" s="19">
        <f t="shared" si="116"/>
        <v>45616.75</v>
      </c>
      <c r="BH116" s="19">
        <f t="shared" si="116"/>
        <v>45616.77083</v>
      </c>
      <c r="BI116" s="19">
        <f t="shared" si="116"/>
        <v>45616.79167</v>
      </c>
      <c r="BJ116" s="19">
        <f t="shared" si="116"/>
        <v>45616.8125</v>
      </c>
      <c r="BK116" s="19">
        <f t="shared" si="116"/>
        <v>45616.83333</v>
      </c>
      <c r="BL116" s="19">
        <f t="shared" si="116"/>
        <v>45616.85417</v>
      </c>
      <c r="BM116" s="19">
        <f t="shared" si="116"/>
        <v>45616.875</v>
      </c>
      <c r="BN116" s="19">
        <f t="shared" si="116"/>
        <v>45616.89583</v>
      </c>
      <c r="BO116" s="19">
        <f t="shared" si="116"/>
        <v>45616.91667</v>
      </c>
      <c r="BP116" s="19">
        <f t="shared" si="116"/>
        <v>45616.9375</v>
      </c>
      <c r="BQ116" s="19">
        <f t="shared" si="116"/>
        <v>45616.95833</v>
      </c>
      <c r="BR116" s="19">
        <f t="shared" si="116"/>
        <v>45616.97917</v>
      </c>
      <c r="BS116" s="19">
        <f t="shared" si="116"/>
        <v>45617</v>
      </c>
      <c r="BT116" s="19">
        <f t="shared" si="116"/>
        <v>45617.02083</v>
      </c>
      <c r="BU116" s="19">
        <f t="shared" si="116"/>
        <v>45617.04167</v>
      </c>
      <c r="BV116" s="19">
        <f t="shared" si="116"/>
        <v>45617.0625</v>
      </c>
      <c r="BW116" s="19">
        <f t="shared" si="116"/>
        <v>45617.08333</v>
      </c>
      <c r="BX116" s="19">
        <f t="shared" si="116"/>
        <v>45616</v>
      </c>
      <c r="BY116" s="19">
        <f t="shared" si="116"/>
        <v>45616</v>
      </c>
      <c r="BZ116" s="19">
        <f t="shared" si="116"/>
        <v>45616</v>
      </c>
    </row>
    <row r="117" ht="14.25" customHeight="1">
      <c r="A117" s="17">
        <v>45617.0</v>
      </c>
      <c r="B117" s="2" t="str">
        <f t="array" ref="B117">IF(NOW()&gt;AM117,"",IF(AND((WEEKDAY($A117)+$B$2)&gt;1,((WEEKDAY($A117)+$T$2)&lt;7),(WEEKDAY($A117)&lt;&gt;1)),"work",(INDEX(Subject!$A:$I,MATCH(RANDBETWEEN(1,(MAX(Subject!$B:$B))),Subject!$B:$B,0),3))))</f>
        <v/>
      </c>
      <c r="C117" s="2" t="str">
        <f t="array" ref="C117">IF(NOW()&gt;AN117,"",IF(AND((WEEKDAY($A117)+$B$2)&gt;1,((WEEKDAY($A117)+$T$2)&lt;7),(WEEKDAY($A117)&lt;&gt;1)),"work",(INDEX(Subject!$A:$I,MATCH(RANDBETWEEN(1,(MAX(Subject!$B:$B))),Subject!$B:$B,0),3))))</f>
        <v/>
      </c>
      <c r="D117" s="2" t="str">
        <f t="array" ref="D117">IF(NOW()&gt;AO117,"",IF(AND((WEEKDAY($A117)+$B$2)&gt;1,((WEEKDAY($A117)+$T$2)&lt;7),(WEEKDAY($A117)&lt;&gt;1)),"work",(INDEX(Subject!$A:$I,MATCH(RANDBETWEEN(1,(MAX(Subject!$B:$B))),Subject!$B:$B,0),3))))</f>
        <v/>
      </c>
      <c r="E117" s="2" t="str">
        <f t="array" ref="E117">IF(NOW()&gt;AP117,"",IF(AND((WEEKDAY($A117)+$B$2)&gt;1,((WEEKDAY($A117)+$T$2)&lt;7),(WEEKDAY($A117)&lt;&gt;1)),"work",(INDEX(Subject!$A:$I,MATCH(RANDBETWEEN(1,(MAX(Subject!$B:$B))),Subject!$B:$B,0),3))))</f>
        <v/>
      </c>
      <c r="F117" s="2" t="str">
        <f t="array" ref="F117">IF(NOW()&gt;AQ117,"",IF(AND((WEEKDAY($A117)+$B$2)&gt;1,((WEEKDAY($A117)+$T$2)&lt;7),(WEEKDAY($A117)&lt;&gt;1)),"work",(INDEX(Subject!$A:$I,MATCH(RANDBETWEEN(1,(MAX(Subject!$B:$B))),Subject!$B:$B,0),3))))</f>
        <v/>
      </c>
      <c r="G117" s="2" t="str">
        <f t="array" ref="G117">IF(NOW()&gt;AR117,"",IF(AND((WEEKDAY($A117)+$B$2)&gt;1,((WEEKDAY($A117)+$T$2)&lt;7),(WEEKDAY($A117)&lt;&gt;1)),"work",(INDEX(Subject!$A:$I,MATCH(RANDBETWEEN(1,(MAX(Subject!$B:$B))),Subject!$B:$B,0),3))))</f>
        <v/>
      </c>
      <c r="H117" s="2" t="str">
        <f t="array" ref="H117">IF(NOW()&gt;AS117,"",IF(AND((WEEKDAY($A117)+$B$2)&gt;1,((WEEKDAY($A117)+$T$2)&lt;7),(WEEKDAY($A117)&lt;&gt;1)),"work",(INDEX(Subject!$A:$I,MATCH(RANDBETWEEN(1,(MAX(Subject!$B:$B))),Subject!$B:$B,0),3))))</f>
        <v/>
      </c>
      <c r="I117" s="2" t="str">
        <f t="array" ref="I117">IF(NOW()&gt;AT117,"",IF(AND((WEEKDAY($A117)+$B$2)&gt;1,((WEEKDAY($A117)+$T$2)&lt;7),(WEEKDAY($A117)&lt;&gt;1)),"work",(INDEX(Subject!$A:$I,MATCH(RANDBETWEEN(1,(MAX(Subject!$B:$B))),Subject!$B:$B,0),3))))</f>
        <v/>
      </c>
      <c r="J117" s="2" t="str">
        <f t="array" ref="J117">IF(NOW()&gt;AU117,"",IF(AND((WEEKDAY($A117)+$B$2)&gt;1,((WEEKDAY($A117)+$T$2)&lt;7),(WEEKDAY($A117)&lt;&gt;1)),"work",(INDEX(Subject!$A:$I,MATCH(RANDBETWEEN(1,(MAX(Subject!$B:$B))),Subject!$B:$B,0),3))))</f>
        <v/>
      </c>
      <c r="K117" s="2" t="str">
        <f t="array" ref="K117">IF(NOW()&gt;AV117,"",IF(AND((WEEKDAY($A117)+$B$2)&gt;1,((WEEKDAY($A117)+$T$2)&lt;7),(WEEKDAY($A117)&lt;&gt;1)),"work",(INDEX(Subject!$A:$I,MATCH(RANDBETWEEN(1,(MAX(Subject!$B:$B))),Subject!$B:$B,0),3))))</f>
        <v/>
      </c>
      <c r="L117" s="2" t="str">
        <f t="array" ref="L117">IF(NOW()&gt;AW117,"",IF(AND((WEEKDAY($A117)+$B$2)&gt;1,((WEEKDAY($A117)+$T$2)&lt;7),(WEEKDAY($A117)&lt;&gt;1)),"work",(INDEX(Subject!$A:$I,MATCH(RANDBETWEEN(1,(MAX(Subject!$B:$B))),Subject!$B:$B,0),3))))</f>
        <v/>
      </c>
      <c r="M117" s="2" t="str">
        <f t="array" ref="M117">IF(NOW()&gt;AX117,"",IF(AND((WEEKDAY($A117)+$B$2)&gt;1,((WEEKDAY($A117)+$T$2)&lt;7),(WEEKDAY($A117)&lt;&gt;1)),"work",(INDEX(Subject!$A:$I,MATCH(RANDBETWEEN(1,(MAX(Subject!$B:$B))),Subject!$B:$B,0),3))))</f>
        <v/>
      </c>
      <c r="N117" s="2" t="str">
        <f t="array" ref="N117">IF(NOW()&gt;AY117,"",IF(AND((WEEKDAY($A117)+$B$2)&gt;1,((WEEKDAY($A117)+$T$2)&lt;7),(WEEKDAY($A117)&lt;&gt;1)),"work",(INDEX(Subject!$A:$I,MATCH(RANDBETWEEN(1,(MAX(Subject!$B:$B))),Subject!$B:$B,0),3))))</f>
        <v/>
      </c>
      <c r="O117" s="2" t="str">
        <f t="array" ref="O117">IF(NOW()&gt;AZ117,"",IF(AND((WEEKDAY($A117)+$B$2)&gt;1,((WEEKDAY($A117)+$T$2)&lt;7),(WEEKDAY($A117)&lt;&gt;1)),"work",(INDEX(Subject!$A:$I,MATCH(RANDBETWEEN(1,(MAX(Subject!$B:$B))),Subject!$B:$B,0),3))))</f>
        <v/>
      </c>
      <c r="P117" s="2" t="str">
        <f t="array" ref="P117">IF(NOW()&gt;BA117,"",IF(AND((WEEKDAY($A117)+$B$2)&gt;1,((WEEKDAY($A117)+$T$2)&lt;7),(WEEKDAY($A117)&lt;&gt;1)),"work",(INDEX(Subject!$A:$I,MATCH(RANDBETWEEN(1,(MAX(Subject!$B:$B))),Subject!$B:$B,0),3))))</f>
        <v/>
      </c>
      <c r="Q117" s="2" t="str">
        <f t="array" ref="Q117">IF(NOW()&gt;BB117,"",IF(AND((WEEKDAY($A117)+$B$2)&gt;1,((WEEKDAY($A117)+$T$2)&lt;7),(WEEKDAY($A117)&lt;&gt;1)),"work",(INDEX(Subject!$A:$I,MATCH(RANDBETWEEN(1,(MAX(Subject!$B:$B))),Subject!$B:$B,0),3))))</f>
        <v/>
      </c>
      <c r="R117" s="2" t="str">
        <f t="array" ref="R117">IF(NOW()&gt;BC117,"",IF(AND((WEEKDAY($A117)+$B$2)&gt;1,((WEEKDAY($A117)+$T$2)&lt;7),(WEEKDAY($A117)&lt;&gt;1)),"work",(INDEX(Subject!$A:$I,MATCH(RANDBETWEEN(1,(MAX(Subject!$B:$B))),Subject!$B:$B,0),3))))</f>
        <v/>
      </c>
      <c r="S117" s="2" t="str">
        <f t="array" ref="S117">IF(NOW()&gt;BD117,"",IF(AND((WEEKDAY($A117)+$B$2)&gt;1,((WEEKDAY($A117)+$T$2)&lt;7),(WEEKDAY($A117)&lt;&gt;1)),"work",(INDEX(Subject!$A:$I,MATCH(RANDBETWEEN(1,(MAX(Subject!$B:$B))),Subject!$B:$B,0),3))))</f>
        <v/>
      </c>
      <c r="T117" s="2" t="str">
        <f t="array" ref="T117">IF(NOW()&gt;BE117,"",IF(AND((WEEKDAY($A117)+$B$2)&gt;1,((WEEKDAY($A117)+$T$2)&lt;7),(WEEKDAY($A117)&lt;&gt;1)),"work",(INDEX(Subject!$A:$I,MATCH(RANDBETWEEN(1,(MAX(Subject!$B:$B))),Subject!$B:$B,0),3))))</f>
        <v/>
      </c>
      <c r="U117" s="8" t="str">
        <f t="array" ref="U117">INDEX(Subject!$A:$I,MATCH(RANDBETWEEN(1,16),Subject!$B:$B,0),3)</f>
        <v>#N/A</v>
      </c>
      <c r="V117" s="8" t="str">
        <f t="array" ref="V117">INDEX(Subject!$A:$I,MATCH(RANDBETWEEN(1,16),Subject!$B:$B,0),3)</f>
        <v>#N/A</v>
      </c>
      <c r="W117" s="8" t="str">
        <f t="array" ref="W117">INDEX(Subject!$A:$I,MATCH(RANDBETWEEN(1,16),Subject!$B:$B,0),3)</f>
        <v>#N/A</v>
      </c>
      <c r="X117" s="8" t="str">
        <f t="array" ref="X117">INDEX(Subject!$A:$I,MATCH(RANDBETWEEN(1,16),Subject!$B:$B,0),3)</f>
        <v>#N/A</v>
      </c>
      <c r="Y117" s="8" t="str">
        <f t="array" ref="Y117">INDEX(Subject!$A:$I,MATCH(RANDBETWEEN(1,16),Subject!$B:$B,0),3)</f>
        <v>#N/A</v>
      </c>
      <c r="Z117" s="8" t="str">
        <f t="array" ref="Z117">INDEX(Subject!$A:$I,MATCH(RANDBETWEEN(1,16),Subject!$B:$B,0),3)</f>
        <v>#N/A</v>
      </c>
      <c r="AA117" s="8" t="str">
        <f t="array" ref="AA117">INDEX(Subject!$A:$I,MATCH(RANDBETWEEN(1,16),Subject!$B:$B,0),3)</f>
        <v>#N/A</v>
      </c>
      <c r="AB117" s="8" t="str">
        <f t="array" ref="AB117">INDEX(Subject!$A:$I,MATCH(RANDBETWEEN(1,16),Subject!$B:$B,0),3)</f>
        <v>#N/A</v>
      </c>
      <c r="AC117" s="8" t="str">
        <f t="array" ref="AC117">INDEX(Subject!$A:$I,MATCH(RANDBETWEEN(1,16),Subject!$B:$B,0),3)</f>
        <v>#N/A</v>
      </c>
      <c r="AD117" s="8" t="str">
        <f t="array" ref="AD117">INDEX(Subject!$A:$I,MATCH(RANDBETWEEN(1,16),Subject!$B:$B,0),3)</f>
        <v>#N/A</v>
      </c>
      <c r="AE117" s="8" t="str">
        <f t="array" ref="AE117">INDEX(Subject!$A:$I,MATCH(RANDBETWEEN(1,16),Subject!$B:$B,0),3)</f>
        <v>#N/A</v>
      </c>
      <c r="AF117" s="8" t="str">
        <f t="array" ref="AF117">INDEX(Subject!$A:$I,MATCH(RANDBETWEEN(1,16),Subject!$B:$B,0),3)</f>
        <v>#N/A</v>
      </c>
      <c r="AG117" s="8" t="str">
        <f t="array" ref="AG117">INDEX(Subject!$A:$I,MATCH(RANDBETWEEN(1,16),Subject!$B:$B,0),3)</f>
        <v>#N/A</v>
      </c>
      <c r="AH117" s="8" t="str">
        <f t="array" ref="AH117">INDEX(Subject!$A:$I,MATCH(RANDBETWEEN(1,16),Subject!$B:$B,0),3)</f>
        <v>#N/A</v>
      </c>
      <c r="AI117" s="8" t="str">
        <f t="array" ref="AI117">INDEX(Subject!$A:$I,MATCH(RANDBETWEEN(1,16),Subject!$B:$B,0),3)</f>
        <v>#N/A</v>
      </c>
      <c r="AJ117" s="8" t="str">
        <f t="array" ref="AJ117">INDEX(Subject!$A:$I,MATCH(RANDBETWEEN(1,16),Subject!$B:$B,0),3)</f>
        <v>#N/A</v>
      </c>
      <c r="AK117" s="8" t="str">
        <f t="array" ref="AK117">INDEX(Subject!$A:$I,MATCH(RANDBETWEEN(1,16),Subject!$B:$B,0),3)</f>
        <v>#N/A</v>
      </c>
      <c r="AL117" s="8" t="str">
        <f t="array" ref="AL117">INDEX(Subject!$A:$I,MATCH(RANDBETWEEN(1,16),Subject!$B:$B,0),3)</f>
        <v>#N/A</v>
      </c>
      <c r="AM117" s="18">
        <f t="shared" si="4"/>
        <v>45617.33333</v>
      </c>
      <c r="AN117" s="19">
        <f t="shared" ref="AN117:BZ117" si="117">$A117+C$1</f>
        <v>45617.35417</v>
      </c>
      <c r="AO117" s="19">
        <f t="shared" si="117"/>
        <v>45617.375</v>
      </c>
      <c r="AP117" s="19">
        <f t="shared" si="117"/>
        <v>45617.39583</v>
      </c>
      <c r="AQ117" s="19">
        <f t="shared" si="117"/>
        <v>45617.41667</v>
      </c>
      <c r="AR117" s="19">
        <f t="shared" si="117"/>
        <v>45617.4375</v>
      </c>
      <c r="AS117" s="19">
        <f t="shared" si="117"/>
        <v>45617.45833</v>
      </c>
      <c r="AT117" s="19">
        <f t="shared" si="117"/>
        <v>45617.47917</v>
      </c>
      <c r="AU117" s="19">
        <f t="shared" si="117"/>
        <v>45617.5</v>
      </c>
      <c r="AV117" s="19">
        <f t="shared" si="117"/>
        <v>45617.52083</v>
      </c>
      <c r="AW117" s="19">
        <f t="shared" si="117"/>
        <v>45617.54167</v>
      </c>
      <c r="AX117" s="19">
        <f t="shared" si="117"/>
        <v>45617.5625</v>
      </c>
      <c r="AY117" s="19">
        <f t="shared" si="117"/>
        <v>45617.58333</v>
      </c>
      <c r="AZ117" s="19">
        <f t="shared" si="117"/>
        <v>45617.60417</v>
      </c>
      <c r="BA117" s="19">
        <f t="shared" si="117"/>
        <v>45617.625</v>
      </c>
      <c r="BB117" s="19">
        <f t="shared" si="117"/>
        <v>45617.64583</v>
      </c>
      <c r="BC117" s="19">
        <f t="shared" si="117"/>
        <v>45617.66667</v>
      </c>
      <c r="BD117" s="19">
        <f t="shared" si="117"/>
        <v>45617.6875</v>
      </c>
      <c r="BE117" s="19">
        <f t="shared" si="117"/>
        <v>45617.70833</v>
      </c>
      <c r="BF117" s="19">
        <f t="shared" si="117"/>
        <v>45617.72917</v>
      </c>
      <c r="BG117" s="19">
        <f t="shared" si="117"/>
        <v>45617.75</v>
      </c>
      <c r="BH117" s="19">
        <f t="shared" si="117"/>
        <v>45617.77083</v>
      </c>
      <c r="BI117" s="19">
        <f t="shared" si="117"/>
        <v>45617.79167</v>
      </c>
      <c r="BJ117" s="19">
        <f t="shared" si="117"/>
        <v>45617.8125</v>
      </c>
      <c r="BK117" s="19">
        <f t="shared" si="117"/>
        <v>45617.83333</v>
      </c>
      <c r="BL117" s="19">
        <f t="shared" si="117"/>
        <v>45617.85417</v>
      </c>
      <c r="BM117" s="19">
        <f t="shared" si="117"/>
        <v>45617.875</v>
      </c>
      <c r="BN117" s="19">
        <f t="shared" si="117"/>
        <v>45617.89583</v>
      </c>
      <c r="BO117" s="19">
        <f t="shared" si="117"/>
        <v>45617.91667</v>
      </c>
      <c r="BP117" s="19">
        <f t="shared" si="117"/>
        <v>45617.9375</v>
      </c>
      <c r="BQ117" s="19">
        <f t="shared" si="117"/>
        <v>45617.95833</v>
      </c>
      <c r="BR117" s="19">
        <f t="shared" si="117"/>
        <v>45617.97917</v>
      </c>
      <c r="BS117" s="19">
        <f t="shared" si="117"/>
        <v>45618</v>
      </c>
      <c r="BT117" s="19">
        <f t="shared" si="117"/>
        <v>45618.02083</v>
      </c>
      <c r="BU117" s="19">
        <f t="shared" si="117"/>
        <v>45618.04167</v>
      </c>
      <c r="BV117" s="19">
        <f t="shared" si="117"/>
        <v>45618.0625</v>
      </c>
      <c r="BW117" s="19">
        <f t="shared" si="117"/>
        <v>45618.08333</v>
      </c>
      <c r="BX117" s="19">
        <f t="shared" si="117"/>
        <v>45617</v>
      </c>
      <c r="BY117" s="19">
        <f t="shared" si="117"/>
        <v>45617</v>
      </c>
      <c r="BZ117" s="19">
        <f t="shared" si="117"/>
        <v>45617</v>
      </c>
    </row>
    <row r="118" ht="14.25" customHeight="1">
      <c r="A118" s="17">
        <v>45618.0</v>
      </c>
      <c r="B118" s="2" t="str">
        <f t="array" ref="B118">IF(NOW()&gt;AM118,"",IF(AND((WEEKDAY($A118)+$B$2)&gt;1,((WEEKDAY($A118)+$T$2)&lt;7),(WEEKDAY($A118)&lt;&gt;1)),"work",(INDEX(Subject!$A:$I,MATCH(RANDBETWEEN(1,(MAX(Subject!$B:$B))),Subject!$B:$B,0),3))))</f>
        <v/>
      </c>
      <c r="C118" s="2" t="str">
        <f t="array" ref="C118">IF(NOW()&gt;AN118,"",IF(AND((WEEKDAY($A118)+$B$2)&gt;1,((WEEKDAY($A118)+$T$2)&lt;7),(WEEKDAY($A118)&lt;&gt;1)),"work",(INDEX(Subject!$A:$I,MATCH(RANDBETWEEN(1,(MAX(Subject!$B:$B))),Subject!$B:$B,0),3))))</f>
        <v/>
      </c>
      <c r="D118" s="2" t="str">
        <f t="array" ref="D118">IF(NOW()&gt;AO118,"",IF(AND((WEEKDAY($A118)+$B$2)&gt;1,((WEEKDAY($A118)+$T$2)&lt;7),(WEEKDAY($A118)&lt;&gt;1)),"work",(INDEX(Subject!$A:$I,MATCH(RANDBETWEEN(1,(MAX(Subject!$B:$B))),Subject!$B:$B,0),3))))</f>
        <v/>
      </c>
      <c r="E118" s="2" t="str">
        <f t="array" ref="E118">IF(NOW()&gt;AP118,"",IF(AND((WEEKDAY($A118)+$B$2)&gt;1,((WEEKDAY($A118)+$T$2)&lt;7),(WEEKDAY($A118)&lt;&gt;1)),"work",(INDEX(Subject!$A:$I,MATCH(RANDBETWEEN(1,(MAX(Subject!$B:$B))),Subject!$B:$B,0),3))))</f>
        <v/>
      </c>
      <c r="F118" s="2" t="str">
        <f t="array" ref="F118">IF(NOW()&gt;AQ118,"",IF(AND((WEEKDAY($A118)+$B$2)&gt;1,((WEEKDAY($A118)+$T$2)&lt;7),(WEEKDAY($A118)&lt;&gt;1)),"work",(INDEX(Subject!$A:$I,MATCH(RANDBETWEEN(1,(MAX(Subject!$B:$B))),Subject!$B:$B,0),3))))</f>
        <v/>
      </c>
      <c r="G118" s="2" t="str">
        <f t="array" ref="G118">IF(NOW()&gt;AR118,"",IF(AND((WEEKDAY($A118)+$B$2)&gt;1,((WEEKDAY($A118)+$T$2)&lt;7),(WEEKDAY($A118)&lt;&gt;1)),"work",(INDEX(Subject!$A:$I,MATCH(RANDBETWEEN(1,(MAX(Subject!$B:$B))),Subject!$B:$B,0),3))))</f>
        <v/>
      </c>
      <c r="H118" s="2" t="str">
        <f t="array" ref="H118">IF(NOW()&gt;AS118,"",IF(AND((WEEKDAY($A118)+$B$2)&gt;1,((WEEKDAY($A118)+$T$2)&lt;7),(WEEKDAY($A118)&lt;&gt;1)),"work",(INDEX(Subject!$A:$I,MATCH(RANDBETWEEN(1,(MAX(Subject!$B:$B))),Subject!$B:$B,0),3))))</f>
        <v/>
      </c>
      <c r="I118" s="2" t="str">
        <f t="array" ref="I118">IF(NOW()&gt;AT118,"",IF(AND((WEEKDAY($A118)+$B$2)&gt;1,((WEEKDAY($A118)+$T$2)&lt;7),(WEEKDAY($A118)&lt;&gt;1)),"work",(INDEX(Subject!$A:$I,MATCH(RANDBETWEEN(1,(MAX(Subject!$B:$B))),Subject!$B:$B,0),3))))</f>
        <v/>
      </c>
      <c r="J118" s="2" t="str">
        <f t="array" ref="J118">IF(NOW()&gt;AU118,"",IF(AND((WEEKDAY($A118)+$B$2)&gt;1,((WEEKDAY($A118)+$T$2)&lt;7),(WEEKDAY($A118)&lt;&gt;1)),"work",(INDEX(Subject!$A:$I,MATCH(RANDBETWEEN(1,(MAX(Subject!$B:$B))),Subject!$B:$B,0),3))))</f>
        <v/>
      </c>
      <c r="K118" s="2" t="str">
        <f t="array" ref="K118">IF(NOW()&gt;AV118,"",IF(AND((WEEKDAY($A118)+$B$2)&gt;1,((WEEKDAY($A118)+$T$2)&lt;7),(WEEKDAY($A118)&lt;&gt;1)),"work",(INDEX(Subject!$A:$I,MATCH(RANDBETWEEN(1,(MAX(Subject!$B:$B))),Subject!$B:$B,0),3))))</f>
        <v/>
      </c>
      <c r="L118" s="2" t="str">
        <f t="array" ref="L118">IF(NOW()&gt;AW118,"",IF(AND((WEEKDAY($A118)+$B$2)&gt;1,((WEEKDAY($A118)+$T$2)&lt;7),(WEEKDAY($A118)&lt;&gt;1)),"work",(INDEX(Subject!$A:$I,MATCH(RANDBETWEEN(1,(MAX(Subject!$B:$B))),Subject!$B:$B,0),3))))</f>
        <v/>
      </c>
      <c r="M118" s="2" t="str">
        <f t="array" ref="M118">IF(NOW()&gt;AX118,"",IF(AND((WEEKDAY($A118)+$B$2)&gt;1,((WEEKDAY($A118)+$T$2)&lt;7),(WEEKDAY($A118)&lt;&gt;1)),"work",(INDEX(Subject!$A:$I,MATCH(RANDBETWEEN(1,(MAX(Subject!$B:$B))),Subject!$B:$B,0),3))))</f>
        <v/>
      </c>
      <c r="N118" s="2" t="str">
        <f t="array" ref="N118">IF(NOW()&gt;AY118,"",IF(AND((WEEKDAY($A118)+$B$2)&gt;1,((WEEKDAY($A118)+$T$2)&lt;7),(WEEKDAY($A118)&lt;&gt;1)),"work",(INDEX(Subject!$A:$I,MATCH(RANDBETWEEN(1,(MAX(Subject!$B:$B))),Subject!$B:$B,0),3))))</f>
        <v/>
      </c>
      <c r="O118" s="2" t="str">
        <f t="array" ref="O118">IF(NOW()&gt;AZ118,"",IF(AND((WEEKDAY($A118)+$B$2)&gt;1,((WEEKDAY($A118)+$T$2)&lt;7),(WEEKDAY($A118)&lt;&gt;1)),"work",(INDEX(Subject!$A:$I,MATCH(RANDBETWEEN(1,(MAX(Subject!$B:$B))),Subject!$B:$B,0),3))))</f>
        <v/>
      </c>
      <c r="P118" s="2" t="str">
        <f t="array" ref="P118">IF(NOW()&gt;BA118,"",IF(AND((WEEKDAY($A118)+$B$2)&gt;1,((WEEKDAY($A118)+$T$2)&lt;7),(WEEKDAY($A118)&lt;&gt;1)),"work",(INDEX(Subject!$A:$I,MATCH(RANDBETWEEN(1,(MAX(Subject!$B:$B))),Subject!$B:$B,0),3))))</f>
        <v/>
      </c>
      <c r="Q118" s="2" t="str">
        <f t="array" ref="Q118">IF(NOW()&gt;BB118,"",IF(AND((WEEKDAY($A118)+$B$2)&gt;1,((WEEKDAY($A118)+$T$2)&lt;7),(WEEKDAY($A118)&lt;&gt;1)),"work",(INDEX(Subject!$A:$I,MATCH(RANDBETWEEN(1,(MAX(Subject!$B:$B))),Subject!$B:$B,0),3))))</f>
        <v/>
      </c>
      <c r="R118" s="2" t="str">
        <f t="array" ref="R118">IF(NOW()&gt;BC118,"",IF(AND((WEEKDAY($A118)+$B$2)&gt;1,((WEEKDAY($A118)+$T$2)&lt;7),(WEEKDAY($A118)&lt;&gt;1)),"work",(INDEX(Subject!$A:$I,MATCH(RANDBETWEEN(1,(MAX(Subject!$B:$B))),Subject!$B:$B,0),3))))</f>
        <v/>
      </c>
      <c r="S118" s="2" t="str">
        <f t="array" ref="S118">IF(NOW()&gt;BD118,"",IF(AND((WEEKDAY($A118)+$B$2)&gt;1,((WEEKDAY($A118)+$T$2)&lt;7),(WEEKDAY($A118)&lt;&gt;1)),"work",(INDEX(Subject!$A:$I,MATCH(RANDBETWEEN(1,(MAX(Subject!$B:$B))),Subject!$B:$B,0),3))))</f>
        <v/>
      </c>
      <c r="T118" s="2" t="str">
        <f t="array" ref="T118">IF(NOW()&gt;BE118,"",IF(AND((WEEKDAY($A118)+$B$2)&gt;1,((WEEKDAY($A118)+$T$2)&lt;7),(WEEKDAY($A118)&lt;&gt;1)),"work",(INDEX(Subject!$A:$I,MATCH(RANDBETWEEN(1,(MAX(Subject!$B:$B))),Subject!$B:$B,0),3))))</f>
        <v/>
      </c>
      <c r="U118" s="8" t="str">
        <f t="array" ref="U118">INDEX(Subject!$A:$I,MATCH(RANDBETWEEN(1,16),Subject!$B:$B,0),3)</f>
        <v>#N/A</v>
      </c>
      <c r="V118" s="8" t="str">
        <f t="array" ref="V118">INDEX(Subject!$A:$I,MATCH(RANDBETWEEN(1,16),Subject!$B:$B,0),3)</f>
        <v>#N/A</v>
      </c>
      <c r="W118" s="8" t="str">
        <f t="array" ref="W118">INDEX(Subject!$A:$I,MATCH(RANDBETWEEN(1,16),Subject!$B:$B,0),3)</f>
        <v>#N/A</v>
      </c>
      <c r="X118" s="8" t="str">
        <f t="array" ref="X118">INDEX(Subject!$A:$I,MATCH(RANDBETWEEN(1,16),Subject!$B:$B,0),3)</f>
        <v>#N/A</v>
      </c>
      <c r="Y118" s="8" t="str">
        <f t="array" ref="Y118">INDEX(Subject!$A:$I,MATCH(RANDBETWEEN(1,16),Subject!$B:$B,0),3)</f>
        <v/>
      </c>
      <c r="Z118" s="8" t="str">
        <f t="array" ref="Z118">INDEX(Subject!$A:$I,MATCH(RANDBETWEEN(1,16),Subject!$B:$B,0),3)</f>
        <v>#N/A</v>
      </c>
      <c r="AA118" s="8" t="str">
        <f t="array" ref="AA118">INDEX(Subject!$A:$I,MATCH(RANDBETWEEN(1,16),Subject!$B:$B,0),3)</f>
        <v>#N/A</v>
      </c>
      <c r="AB118" s="8" t="str">
        <f t="array" ref="AB118">INDEX(Subject!$A:$I,MATCH(RANDBETWEEN(1,16),Subject!$B:$B,0),3)</f>
        <v>#N/A</v>
      </c>
      <c r="AC118" s="8" t="str">
        <f t="array" ref="AC118">INDEX(Subject!$A:$I,MATCH(RANDBETWEEN(1,16),Subject!$B:$B,0),3)</f>
        <v>#N/A</v>
      </c>
      <c r="AD118" s="8" t="str">
        <f t="array" ref="AD118">INDEX(Subject!$A:$I,MATCH(RANDBETWEEN(1,16),Subject!$B:$B,0),3)</f>
        <v>#N/A</v>
      </c>
      <c r="AE118" s="8" t="str">
        <f t="array" ref="AE118">INDEX(Subject!$A:$I,MATCH(RANDBETWEEN(1,16),Subject!$B:$B,0),3)</f>
        <v>#N/A</v>
      </c>
      <c r="AF118" s="8" t="str">
        <f t="array" ref="AF118">INDEX(Subject!$A:$I,MATCH(RANDBETWEEN(1,16),Subject!$B:$B,0),3)</f>
        <v>#N/A</v>
      </c>
      <c r="AG118" s="8" t="str">
        <f t="array" ref="AG118">INDEX(Subject!$A:$I,MATCH(RANDBETWEEN(1,16),Subject!$B:$B,0),3)</f>
        <v>#N/A</v>
      </c>
      <c r="AH118" s="8" t="str">
        <f t="array" ref="AH118">INDEX(Subject!$A:$I,MATCH(RANDBETWEEN(1,16),Subject!$B:$B,0),3)</f>
        <v>#N/A</v>
      </c>
      <c r="AI118" s="8" t="str">
        <f t="array" ref="AI118">INDEX(Subject!$A:$I,MATCH(RANDBETWEEN(1,16),Subject!$B:$B,0),3)</f>
        <v>#N/A</v>
      </c>
      <c r="AJ118" s="8" t="str">
        <f t="array" ref="AJ118">INDEX(Subject!$A:$I,MATCH(RANDBETWEEN(1,16),Subject!$B:$B,0),3)</f>
        <v>#N/A</v>
      </c>
      <c r="AK118" s="8" t="str">
        <f t="array" ref="AK118">INDEX(Subject!$A:$I,MATCH(RANDBETWEEN(1,16),Subject!$B:$B,0),3)</f>
        <v>#N/A</v>
      </c>
      <c r="AL118" s="8" t="str">
        <f t="array" ref="AL118">INDEX(Subject!$A:$I,MATCH(RANDBETWEEN(1,16),Subject!$B:$B,0),3)</f>
        <v>#N/A</v>
      </c>
      <c r="AM118" s="18">
        <f t="shared" si="4"/>
        <v>45618.33333</v>
      </c>
      <c r="AN118" s="19">
        <f t="shared" ref="AN118:BZ118" si="118">$A118+C$1</f>
        <v>45618.35417</v>
      </c>
      <c r="AO118" s="19">
        <f t="shared" si="118"/>
        <v>45618.375</v>
      </c>
      <c r="AP118" s="19">
        <f t="shared" si="118"/>
        <v>45618.39583</v>
      </c>
      <c r="AQ118" s="19">
        <f t="shared" si="118"/>
        <v>45618.41667</v>
      </c>
      <c r="AR118" s="19">
        <f t="shared" si="118"/>
        <v>45618.4375</v>
      </c>
      <c r="AS118" s="19">
        <f t="shared" si="118"/>
        <v>45618.45833</v>
      </c>
      <c r="AT118" s="19">
        <f t="shared" si="118"/>
        <v>45618.47917</v>
      </c>
      <c r="AU118" s="19">
        <f t="shared" si="118"/>
        <v>45618.5</v>
      </c>
      <c r="AV118" s="19">
        <f t="shared" si="118"/>
        <v>45618.52083</v>
      </c>
      <c r="AW118" s="19">
        <f t="shared" si="118"/>
        <v>45618.54167</v>
      </c>
      <c r="AX118" s="19">
        <f t="shared" si="118"/>
        <v>45618.5625</v>
      </c>
      <c r="AY118" s="19">
        <f t="shared" si="118"/>
        <v>45618.58333</v>
      </c>
      <c r="AZ118" s="19">
        <f t="shared" si="118"/>
        <v>45618.60417</v>
      </c>
      <c r="BA118" s="19">
        <f t="shared" si="118"/>
        <v>45618.625</v>
      </c>
      <c r="BB118" s="19">
        <f t="shared" si="118"/>
        <v>45618.64583</v>
      </c>
      <c r="BC118" s="19">
        <f t="shared" si="118"/>
        <v>45618.66667</v>
      </c>
      <c r="BD118" s="19">
        <f t="shared" si="118"/>
        <v>45618.6875</v>
      </c>
      <c r="BE118" s="19">
        <f t="shared" si="118"/>
        <v>45618.70833</v>
      </c>
      <c r="BF118" s="19">
        <f t="shared" si="118"/>
        <v>45618.72917</v>
      </c>
      <c r="BG118" s="19">
        <f t="shared" si="118"/>
        <v>45618.75</v>
      </c>
      <c r="BH118" s="19">
        <f t="shared" si="118"/>
        <v>45618.77083</v>
      </c>
      <c r="BI118" s="19">
        <f t="shared" si="118"/>
        <v>45618.79167</v>
      </c>
      <c r="BJ118" s="19">
        <f t="shared" si="118"/>
        <v>45618.8125</v>
      </c>
      <c r="BK118" s="19">
        <f t="shared" si="118"/>
        <v>45618.83333</v>
      </c>
      <c r="BL118" s="19">
        <f t="shared" si="118"/>
        <v>45618.85417</v>
      </c>
      <c r="BM118" s="19">
        <f t="shared" si="118"/>
        <v>45618.875</v>
      </c>
      <c r="BN118" s="19">
        <f t="shared" si="118"/>
        <v>45618.89583</v>
      </c>
      <c r="BO118" s="19">
        <f t="shared" si="118"/>
        <v>45618.91667</v>
      </c>
      <c r="BP118" s="19">
        <f t="shared" si="118"/>
        <v>45618.9375</v>
      </c>
      <c r="BQ118" s="19">
        <f t="shared" si="118"/>
        <v>45618.95833</v>
      </c>
      <c r="BR118" s="19">
        <f t="shared" si="118"/>
        <v>45618.97917</v>
      </c>
      <c r="BS118" s="19">
        <f t="shared" si="118"/>
        <v>45619</v>
      </c>
      <c r="BT118" s="19">
        <f t="shared" si="118"/>
        <v>45619.02083</v>
      </c>
      <c r="BU118" s="19">
        <f t="shared" si="118"/>
        <v>45619.04167</v>
      </c>
      <c r="BV118" s="19">
        <f t="shared" si="118"/>
        <v>45619.0625</v>
      </c>
      <c r="BW118" s="19">
        <f t="shared" si="118"/>
        <v>45619.08333</v>
      </c>
      <c r="BX118" s="19">
        <f t="shared" si="118"/>
        <v>45618</v>
      </c>
      <c r="BY118" s="19">
        <f t="shared" si="118"/>
        <v>45618</v>
      </c>
      <c r="BZ118" s="19">
        <f t="shared" si="118"/>
        <v>45618</v>
      </c>
    </row>
    <row r="119" ht="14.25" customHeight="1">
      <c r="A119" s="17">
        <v>45619.0</v>
      </c>
      <c r="B119" s="2" t="str">
        <f t="array" ref="B119">IF(NOW()&gt;AM119,"",IF(AND((WEEKDAY($A119)+$B$2)&gt;1,((WEEKDAY($A119)+$T$2)&lt;7),(WEEKDAY($A119)&lt;&gt;1)),"work",(INDEX(Subject!$A:$I,MATCH(RANDBETWEEN(1,(MAX(Subject!$B:$B))),Subject!$B:$B,0),3))))</f>
        <v/>
      </c>
      <c r="C119" s="2" t="str">
        <f t="array" ref="C119">IF(NOW()&gt;AN119,"",IF(AND((WEEKDAY($A119)+$B$2)&gt;1,((WEEKDAY($A119)+$T$2)&lt;7),(WEEKDAY($A119)&lt;&gt;1)),"work",(INDEX(Subject!$A:$I,MATCH(RANDBETWEEN(1,(MAX(Subject!$B:$B))),Subject!$B:$B,0),3))))</f>
        <v/>
      </c>
      <c r="D119" s="2" t="str">
        <f t="array" ref="D119">IF(NOW()&gt;AO119,"",IF(AND((WEEKDAY($A119)+$B$2)&gt;1,((WEEKDAY($A119)+$T$2)&lt;7),(WEEKDAY($A119)&lt;&gt;1)),"work",(INDEX(Subject!$A:$I,MATCH(RANDBETWEEN(1,(MAX(Subject!$B:$B))),Subject!$B:$B,0),3))))</f>
        <v/>
      </c>
      <c r="E119" s="2" t="str">
        <f t="array" ref="E119">IF(NOW()&gt;AP119,"",IF(AND((WEEKDAY($A119)+$B$2)&gt;1,((WEEKDAY($A119)+$T$2)&lt;7),(WEEKDAY($A119)&lt;&gt;1)),"work",(INDEX(Subject!$A:$I,MATCH(RANDBETWEEN(1,(MAX(Subject!$B:$B))),Subject!$B:$B,0),3))))</f>
        <v/>
      </c>
      <c r="F119" s="2" t="str">
        <f t="array" ref="F119">IF(NOW()&gt;AQ119,"",IF(AND((WEEKDAY($A119)+$B$2)&gt;1,((WEEKDAY($A119)+$T$2)&lt;7),(WEEKDAY($A119)&lt;&gt;1)),"work",(INDEX(Subject!$A:$I,MATCH(RANDBETWEEN(1,(MAX(Subject!$B:$B))),Subject!$B:$B,0),3))))</f>
        <v/>
      </c>
      <c r="G119" s="2" t="str">
        <f t="array" ref="G119">IF(NOW()&gt;AR119,"",IF(AND((WEEKDAY($A119)+$B$2)&gt;1,((WEEKDAY($A119)+$T$2)&lt;7),(WEEKDAY($A119)&lt;&gt;1)),"work",(INDEX(Subject!$A:$I,MATCH(RANDBETWEEN(1,(MAX(Subject!$B:$B))),Subject!$B:$B,0),3))))</f>
        <v/>
      </c>
      <c r="H119" s="2" t="str">
        <f t="array" ref="H119">IF(NOW()&gt;AS119,"",IF(AND((WEEKDAY($A119)+$B$2)&gt;1,((WEEKDAY($A119)+$T$2)&lt;7),(WEEKDAY($A119)&lt;&gt;1)),"work",(INDEX(Subject!$A:$I,MATCH(RANDBETWEEN(1,(MAX(Subject!$B:$B))),Subject!$B:$B,0),3))))</f>
        <v/>
      </c>
      <c r="I119" s="2" t="str">
        <f t="array" ref="I119">IF(NOW()&gt;AT119,"",IF(AND((WEEKDAY($A119)+$B$2)&gt;1,((WEEKDAY($A119)+$T$2)&lt;7),(WEEKDAY($A119)&lt;&gt;1)),"work",(INDEX(Subject!$A:$I,MATCH(RANDBETWEEN(1,(MAX(Subject!$B:$B))),Subject!$B:$B,0),3))))</f>
        <v/>
      </c>
      <c r="J119" s="2" t="str">
        <f t="array" ref="J119">IF(NOW()&gt;AU119,"",IF(AND((WEEKDAY($A119)+$B$2)&gt;1,((WEEKDAY($A119)+$T$2)&lt;7),(WEEKDAY($A119)&lt;&gt;1)),"work",(INDEX(Subject!$A:$I,MATCH(RANDBETWEEN(1,(MAX(Subject!$B:$B))),Subject!$B:$B,0),3))))</f>
        <v/>
      </c>
      <c r="K119" s="2" t="str">
        <f t="array" ref="K119">IF(NOW()&gt;AV119,"",IF(AND((WEEKDAY($A119)+$B$2)&gt;1,((WEEKDAY($A119)+$T$2)&lt;7),(WEEKDAY($A119)&lt;&gt;1)),"work",(INDEX(Subject!$A:$I,MATCH(RANDBETWEEN(1,(MAX(Subject!$B:$B))),Subject!$B:$B,0),3))))</f>
        <v/>
      </c>
      <c r="L119" s="2" t="str">
        <f t="array" ref="L119">IF(NOW()&gt;AW119,"",IF(AND((WEEKDAY($A119)+$B$2)&gt;1,((WEEKDAY($A119)+$T$2)&lt;7),(WEEKDAY($A119)&lt;&gt;1)),"work",(INDEX(Subject!$A:$I,MATCH(RANDBETWEEN(1,(MAX(Subject!$B:$B))),Subject!$B:$B,0),3))))</f>
        <v/>
      </c>
      <c r="M119" s="2" t="str">
        <f t="array" ref="M119">IF(NOW()&gt;AX119,"",IF(AND((WEEKDAY($A119)+$B$2)&gt;1,((WEEKDAY($A119)+$T$2)&lt;7),(WEEKDAY($A119)&lt;&gt;1)),"work",(INDEX(Subject!$A:$I,MATCH(RANDBETWEEN(1,(MAX(Subject!$B:$B))),Subject!$B:$B,0),3))))</f>
        <v/>
      </c>
      <c r="N119" s="2" t="str">
        <f t="array" ref="N119">IF(NOW()&gt;AY119,"",IF(AND((WEEKDAY($A119)+$B$2)&gt;1,((WEEKDAY($A119)+$T$2)&lt;7),(WEEKDAY($A119)&lt;&gt;1)),"work",(INDEX(Subject!$A:$I,MATCH(RANDBETWEEN(1,(MAX(Subject!$B:$B))),Subject!$B:$B,0),3))))</f>
        <v/>
      </c>
      <c r="O119" s="2" t="str">
        <f t="array" ref="O119">IF(NOW()&gt;AZ119,"",IF(AND((WEEKDAY($A119)+$B$2)&gt;1,((WEEKDAY($A119)+$T$2)&lt;7),(WEEKDAY($A119)&lt;&gt;1)),"work",(INDEX(Subject!$A:$I,MATCH(RANDBETWEEN(1,(MAX(Subject!$B:$B))),Subject!$B:$B,0),3))))</f>
        <v/>
      </c>
      <c r="P119" s="2" t="str">
        <f t="array" ref="P119">IF(NOW()&gt;BA119,"",IF(AND((WEEKDAY($A119)+$B$2)&gt;1,((WEEKDAY($A119)+$T$2)&lt;7),(WEEKDAY($A119)&lt;&gt;1)),"work",(INDEX(Subject!$A:$I,MATCH(RANDBETWEEN(1,(MAX(Subject!$B:$B))),Subject!$B:$B,0),3))))</f>
        <v/>
      </c>
      <c r="Q119" s="2" t="str">
        <f t="array" ref="Q119">IF(NOW()&gt;BB119,"",IF(AND((WEEKDAY($A119)+$B$2)&gt;1,((WEEKDAY($A119)+$T$2)&lt;7),(WEEKDAY($A119)&lt;&gt;1)),"work",(INDEX(Subject!$A:$I,MATCH(RANDBETWEEN(1,(MAX(Subject!$B:$B))),Subject!$B:$B,0),3))))</f>
        <v/>
      </c>
      <c r="R119" s="2" t="str">
        <f t="array" ref="R119">IF(NOW()&gt;BC119,"",IF(AND((WEEKDAY($A119)+$B$2)&gt;1,((WEEKDAY($A119)+$T$2)&lt;7),(WEEKDAY($A119)&lt;&gt;1)),"work",(INDEX(Subject!$A:$I,MATCH(RANDBETWEEN(1,(MAX(Subject!$B:$B))),Subject!$B:$B,0),3))))</f>
        <v/>
      </c>
      <c r="S119" s="2" t="str">
        <f t="array" ref="S119">IF(NOW()&gt;BD119,"",IF(AND((WEEKDAY($A119)+$B$2)&gt;1,((WEEKDAY($A119)+$T$2)&lt;7),(WEEKDAY($A119)&lt;&gt;1)),"work",(INDEX(Subject!$A:$I,MATCH(RANDBETWEEN(1,(MAX(Subject!$B:$B))),Subject!$B:$B,0),3))))</f>
        <v/>
      </c>
      <c r="T119" s="2" t="str">
        <f t="array" ref="T119">IF(NOW()&gt;BE119,"",IF(AND((WEEKDAY($A119)+$B$2)&gt;1,((WEEKDAY($A119)+$T$2)&lt;7),(WEEKDAY($A119)&lt;&gt;1)),"work",(INDEX(Subject!$A:$I,MATCH(RANDBETWEEN(1,(MAX(Subject!$B:$B))),Subject!$B:$B,0),3))))</f>
        <v/>
      </c>
      <c r="U119" s="8" t="str">
        <f t="array" ref="U119">INDEX(Subject!$A:$I,MATCH(RANDBETWEEN(1,16),Subject!$B:$B,0),3)</f>
        <v>#N/A</v>
      </c>
      <c r="V119" s="8" t="str">
        <f t="array" ref="V119">INDEX(Subject!$A:$I,MATCH(RANDBETWEEN(1,16),Subject!$B:$B,0),3)</f>
        <v>#N/A</v>
      </c>
      <c r="W119" s="8" t="str">
        <f t="array" ref="W119">INDEX(Subject!$A:$I,MATCH(RANDBETWEEN(1,16),Subject!$B:$B,0),3)</f>
        <v>#N/A</v>
      </c>
      <c r="X119" s="8" t="str">
        <f t="array" ref="X119">INDEX(Subject!$A:$I,MATCH(RANDBETWEEN(1,16),Subject!$B:$B,0),3)</f>
        <v>#N/A</v>
      </c>
      <c r="Y119" s="8" t="str">
        <f t="array" ref="Y119">INDEX(Subject!$A:$I,MATCH(RANDBETWEEN(1,16),Subject!$B:$B,0),3)</f>
        <v>#N/A</v>
      </c>
      <c r="Z119" s="8" t="str">
        <f t="array" ref="Z119">INDEX(Subject!$A:$I,MATCH(RANDBETWEEN(1,16),Subject!$B:$B,0),3)</f>
        <v>#N/A</v>
      </c>
      <c r="AA119" s="8" t="str">
        <f t="array" ref="AA119">INDEX(Subject!$A:$I,MATCH(RANDBETWEEN(1,16),Subject!$B:$B,0),3)</f>
        <v>#N/A</v>
      </c>
      <c r="AB119" s="8" t="str">
        <f t="array" ref="AB119">INDEX(Subject!$A:$I,MATCH(RANDBETWEEN(1,16),Subject!$B:$B,0),3)</f>
        <v>#N/A</v>
      </c>
      <c r="AC119" s="8" t="str">
        <f t="array" ref="AC119">INDEX(Subject!$A:$I,MATCH(RANDBETWEEN(1,16),Subject!$B:$B,0),3)</f>
        <v>#N/A</v>
      </c>
      <c r="AD119" s="8" t="str">
        <f t="array" ref="AD119">INDEX(Subject!$A:$I,MATCH(RANDBETWEEN(1,16),Subject!$B:$B,0),3)</f>
        <v>#N/A</v>
      </c>
      <c r="AE119" s="8" t="str">
        <f t="array" ref="AE119">INDEX(Subject!$A:$I,MATCH(RANDBETWEEN(1,16),Subject!$B:$B,0),3)</f>
        <v>#N/A</v>
      </c>
      <c r="AF119" s="8" t="str">
        <f t="array" ref="AF119">INDEX(Subject!$A:$I,MATCH(RANDBETWEEN(1,16),Subject!$B:$B,0),3)</f>
        <v>#N/A</v>
      </c>
      <c r="AG119" s="8" t="str">
        <f t="array" ref="AG119">INDEX(Subject!$A:$I,MATCH(RANDBETWEEN(1,16),Subject!$B:$B,0),3)</f>
        <v>#N/A</v>
      </c>
      <c r="AH119" s="8" t="str">
        <f t="array" ref="AH119">INDEX(Subject!$A:$I,MATCH(RANDBETWEEN(1,16),Subject!$B:$B,0),3)</f>
        <v>#N/A</v>
      </c>
      <c r="AI119" s="8" t="str">
        <f t="array" ref="AI119">INDEX(Subject!$A:$I,MATCH(RANDBETWEEN(1,16),Subject!$B:$B,0),3)</f>
        <v>#N/A</v>
      </c>
      <c r="AJ119" s="8" t="str">
        <f t="array" ref="AJ119">INDEX(Subject!$A:$I,MATCH(RANDBETWEEN(1,16),Subject!$B:$B,0),3)</f>
        <v>#N/A</v>
      </c>
      <c r="AK119" s="8" t="str">
        <f t="array" ref="AK119">INDEX(Subject!$A:$I,MATCH(RANDBETWEEN(1,16),Subject!$B:$B,0),3)</f>
        <v>#N/A</v>
      </c>
      <c r="AL119" s="8" t="str">
        <f t="array" ref="AL119">INDEX(Subject!$A:$I,MATCH(RANDBETWEEN(1,16),Subject!$B:$B,0),3)</f>
        <v>#N/A</v>
      </c>
      <c r="AM119" s="18">
        <f t="shared" si="4"/>
        <v>45619.33333</v>
      </c>
      <c r="AN119" s="19">
        <f t="shared" ref="AN119:BZ119" si="119">$A119+C$1</f>
        <v>45619.35417</v>
      </c>
      <c r="AO119" s="19">
        <f t="shared" si="119"/>
        <v>45619.375</v>
      </c>
      <c r="AP119" s="19">
        <f t="shared" si="119"/>
        <v>45619.39583</v>
      </c>
      <c r="AQ119" s="19">
        <f t="shared" si="119"/>
        <v>45619.41667</v>
      </c>
      <c r="AR119" s="19">
        <f t="shared" si="119"/>
        <v>45619.4375</v>
      </c>
      <c r="AS119" s="19">
        <f t="shared" si="119"/>
        <v>45619.45833</v>
      </c>
      <c r="AT119" s="19">
        <f t="shared" si="119"/>
        <v>45619.47917</v>
      </c>
      <c r="AU119" s="19">
        <f t="shared" si="119"/>
        <v>45619.5</v>
      </c>
      <c r="AV119" s="19">
        <f t="shared" si="119"/>
        <v>45619.52083</v>
      </c>
      <c r="AW119" s="19">
        <f t="shared" si="119"/>
        <v>45619.54167</v>
      </c>
      <c r="AX119" s="19">
        <f t="shared" si="119"/>
        <v>45619.5625</v>
      </c>
      <c r="AY119" s="19">
        <f t="shared" si="119"/>
        <v>45619.58333</v>
      </c>
      <c r="AZ119" s="19">
        <f t="shared" si="119"/>
        <v>45619.60417</v>
      </c>
      <c r="BA119" s="19">
        <f t="shared" si="119"/>
        <v>45619.625</v>
      </c>
      <c r="BB119" s="19">
        <f t="shared" si="119"/>
        <v>45619.64583</v>
      </c>
      <c r="BC119" s="19">
        <f t="shared" si="119"/>
        <v>45619.66667</v>
      </c>
      <c r="BD119" s="19">
        <f t="shared" si="119"/>
        <v>45619.6875</v>
      </c>
      <c r="BE119" s="19">
        <f t="shared" si="119"/>
        <v>45619.70833</v>
      </c>
      <c r="BF119" s="19">
        <f t="shared" si="119"/>
        <v>45619.72917</v>
      </c>
      <c r="BG119" s="19">
        <f t="shared" si="119"/>
        <v>45619.75</v>
      </c>
      <c r="BH119" s="19">
        <f t="shared" si="119"/>
        <v>45619.77083</v>
      </c>
      <c r="BI119" s="19">
        <f t="shared" si="119"/>
        <v>45619.79167</v>
      </c>
      <c r="BJ119" s="19">
        <f t="shared" si="119"/>
        <v>45619.8125</v>
      </c>
      <c r="BK119" s="19">
        <f t="shared" si="119"/>
        <v>45619.83333</v>
      </c>
      <c r="BL119" s="19">
        <f t="shared" si="119"/>
        <v>45619.85417</v>
      </c>
      <c r="BM119" s="19">
        <f t="shared" si="119"/>
        <v>45619.875</v>
      </c>
      <c r="BN119" s="19">
        <f t="shared" si="119"/>
        <v>45619.89583</v>
      </c>
      <c r="BO119" s="19">
        <f t="shared" si="119"/>
        <v>45619.91667</v>
      </c>
      <c r="BP119" s="19">
        <f t="shared" si="119"/>
        <v>45619.9375</v>
      </c>
      <c r="BQ119" s="19">
        <f t="shared" si="119"/>
        <v>45619.95833</v>
      </c>
      <c r="BR119" s="19">
        <f t="shared" si="119"/>
        <v>45619.97917</v>
      </c>
      <c r="BS119" s="19">
        <f t="shared" si="119"/>
        <v>45620</v>
      </c>
      <c r="BT119" s="19">
        <f t="shared" si="119"/>
        <v>45620.02083</v>
      </c>
      <c r="BU119" s="19">
        <f t="shared" si="119"/>
        <v>45620.04167</v>
      </c>
      <c r="BV119" s="19">
        <f t="shared" si="119"/>
        <v>45620.0625</v>
      </c>
      <c r="BW119" s="19">
        <f t="shared" si="119"/>
        <v>45620.08333</v>
      </c>
      <c r="BX119" s="19">
        <f t="shared" si="119"/>
        <v>45619</v>
      </c>
      <c r="BY119" s="19">
        <f t="shared" si="119"/>
        <v>45619</v>
      </c>
      <c r="BZ119" s="19">
        <f t="shared" si="119"/>
        <v>45619</v>
      </c>
    </row>
    <row r="120" ht="14.25" customHeight="1">
      <c r="A120" s="17">
        <v>45620.0</v>
      </c>
      <c r="B120" s="2" t="str">
        <f t="array" ref="B120">IF(NOW()&gt;AM120,"",IF(AND((WEEKDAY($A120)+$B$2)&gt;1,((WEEKDAY($A120)+$T$2)&lt;7),(WEEKDAY($A120)&lt;&gt;1)),"work",(INDEX(Subject!$A:$I,MATCH(RANDBETWEEN(1,(MAX(Subject!$B:$B))),Subject!$B:$B,0),3))))</f>
        <v/>
      </c>
      <c r="C120" s="2" t="str">
        <f t="array" ref="C120">IF(NOW()&gt;AN120,"",IF(AND((WEEKDAY($A120)+$B$2)&gt;1,((WEEKDAY($A120)+$T$2)&lt;7),(WEEKDAY($A120)&lt;&gt;1)),"work",(INDEX(Subject!$A:$I,MATCH(RANDBETWEEN(1,(MAX(Subject!$B:$B))),Subject!$B:$B,0),3))))</f>
        <v/>
      </c>
      <c r="D120" s="2" t="str">
        <f t="array" ref="D120">IF(NOW()&gt;AO120,"",IF(AND((WEEKDAY($A120)+$B$2)&gt;1,((WEEKDAY($A120)+$T$2)&lt;7),(WEEKDAY($A120)&lt;&gt;1)),"work",(INDEX(Subject!$A:$I,MATCH(RANDBETWEEN(1,(MAX(Subject!$B:$B))),Subject!$B:$B,0),3))))</f>
        <v/>
      </c>
      <c r="E120" s="2" t="str">
        <f t="array" ref="E120">IF(NOW()&gt;AP120,"",IF(AND((WEEKDAY($A120)+$B$2)&gt;1,((WEEKDAY($A120)+$T$2)&lt;7),(WEEKDAY($A120)&lt;&gt;1)),"work",(INDEX(Subject!$A:$I,MATCH(RANDBETWEEN(1,(MAX(Subject!$B:$B))),Subject!$B:$B,0),3))))</f>
        <v/>
      </c>
      <c r="F120" s="2" t="str">
        <f t="array" ref="F120">IF(NOW()&gt;AQ120,"",IF(AND((WEEKDAY($A120)+$B$2)&gt;1,((WEEKDAY($A120)+$T$2)&lt;7),(WEEKDAY($A120)&lt;&gt;1)),"work",(INDEX(Subject!$A:$I,MATCH(RANDBETWEEN(1,(MAX(Subject!$B:$B))),Subject!$B:$B,0),3))))</f>
        <v/>
      </c>
      <c r="G120" s="2" t="str">
        <f t="array" ref="G120">IF(NOW()&gt;AR120,"",IF(AND((WEEKDAY($A120)+$B$2)&gt;1,((WEEKDAY($A120)+$T$2)&lt;7),(WEEKDAY($A120)&lt;&gt;1)),"work",(INDEX(Subject!$A:$I,MATCH(RANDBETWEEN(1,(MAX(Subject!$B:$B))),Subject!$B:$B,0),3))))</f>
        <v/>
      </c>
      <c r="H120" s="2" t="str">
        <f t="array" ref="H120">IF(NOW()&gt;AS120,"",IF(AND((WEEKDAY($A120)+$B$2)&gt;1,((WEEKDAY($A120)+$T$2)&lt;7),(WEEKDAY($A120)&lt;&gt;1)),"work",(INDEX(Subject!$A:$I,MATCH(RANDBETWEEN(1,(MAX(Subject!$B:$B))),Subject!$B:$B,0),3))))</f>
        <v/>
      </c>
      <c r="I120" s="2" t="str">
        <f t="array" ref="I120">IF(NOW()&gt;AT120,"",IF(AND((WEEKDAY($A120)+$B$2)&gt;1,((WEEKDAY($A120)+$T$2)&lt;7),(WEEKDAY($A120)&lt;&gt;1)),"work",(INDEX(Subject!$A:$I,MATCH(RANDBETWEEN(1,(MAX(Subject!$B:$B))),Subject!$B:$B,0),3))))</f>
        <v/>
      </c>
      <c r="J120" s="2" t="str">
        <f t="array" ref="J120">IF(NOW()&gt;AU120,"",IF(AND((WEEKDAY($A120)+$B$2)&gt;1,((WEEKDAY($A120)+$T$2)&lt;7),(WEEKDAY($A120)&lt;&gt;1)),"work",(INDEX(Subject!$A:$I,MATCH(RANDBETWEEN(1,(MAX(Subject!$B:$B))),Subject!$B:$B,0),3))))</f>
        <v/>
      </c>
      <c r="K120" s="2" t="str">
        <f t="array" ref="K120">IF(NOW()&gt;AV120,"",IF(AND((WEEKDAY($A120)+$B$2)&gt;1,((WEEKDAY($A120)+$T$2)&lt;7),(WEEKDAY($A120)&lt;&gt;1)),"work",(INDEX(Subject!$A:$I,MATCH(RANDBETWEEN(1,(MAX(Subject!$B:$B))),Subject!$B:$B,0),3))))</f>
        <v/>
      </c>
      <c r="L120" s="2" t="str">
        <f t="array" ref="L120">IF(NOW()&gt;AW120,"",IF(AND((WEEKDAY($A120)+$B$2)&gt;1,((WEEKDAY($A120)+$T$2)&lt;7),(WEEKDAY($A120)&lt;&gt;1)),"work",(INDEX(Subject!$A:$I,MATCH(RANDBETWEEN(1,(MAX(Subject!$B:$B))),Subject!$B:$B,0),3))))</f>
        <v/>
      </c>
      <c r="M120" s="2" t="str">
        <f t="array" ref="M120">IF(NOW()&gt;AX120,"",IF(AND((WEEKDAY($A120)+$B$2)&gt;1,((WEEKDAY($A120)+$T$2)&lt;7),(WEEKDAY($A120)&lt;&gt;1)),"work",(INDEX(Subject!$A:$I,MATCH(RANDBETWEEN(1,(MAX(Subject!$B:$B))),Subject!$B:$B,0),3))))</f>
        <v/>
      </c>
      <c r="N120" s="2" t="str">
        <f t="array" ref="N120">IF(NOW()&gt;AY120,"",IF(AND((WEEKDAY($A120)+$B$2)&gt;1,((WEEKDAY($A120)+$T$2)&lt;7),(WEEKDAY($A120)&lt;&gt;1)),"work",(INDEX(Subject!$A:$I,MATCH(RANDBETWEEN(1,(MAX(Subject!$B:$B))),Subject!$B:$B,0),3))))</f>
        <v/>
      </c>
      <c r="O120" s="2" t="str">
        <f t="array" ref="O120">IF(NOW()&gt;AZ120,"",IF(AND((WEEKDAY($A120)+$B$2)&gt;1,((WEEKDAY($A120)+$T$2)&lt;7),(WEEKDAY($A120)&lt;&gt;1)),"work",(INDEX(Subject!$A:$I,MATCH(RANDBETWEEN(1,(MAX(Subject!$B:$B))),Subject!$B:$B,0),3))))</f>
        <v/>
      </c>
      <c r="P120" s="2" t="str">
        <f t="array" ref="P120">IF(NOW()&gt;BA120,"",IF(AND((WEEKDAY($A120)+$B$2)&gt;1,((WEEKDAY($A120)+$T$2)&lt;7),(WEEKDAY($A120)&lt;&gt;1)),"work",(INDEX(Subject!$A:$I,MATCH(RANDBETWEEN(1,(MAX(Subject!$B:$B))),Subject!$B:$B,0),3))))</f>
        <v/>
      </c>
      <c r="Q120" s="2" t="str">
        <f t="array" ref="Q120">IF(NOW()&gt;BB120,"",IF(AND((WEEKDAY($A120)+$B$2)&gt;1,((WEEKDAY($A120)+$T$2)&lt;7),(WEEKDAY($A120)&lt;&gt;1)),"work",(INDEX(Subject!$A:$I,MATCH(RANDBETWEEN(1,(MAX(Subject!$B:$B))),Subject!$B:$B,0),3))))</f>
        <v/>
      </c>
      <c r="R120" s="2" t="str">
        <f t="array" ref="R120">IF(NOW()&gt;BC120,"",IF(AND((WEEKDAY($A120)+$B$2)&gt;1,((WEEKDAY($A120)+$T$2)&lt;7),(WEEKDAY($A120)&lt;&gt;1)),"work",(INDEX(Subject!$A:$I,MATCH(RANDBETWEEN(1,(MAX(Subject!$B:$B))),Subject!$B:$B,0),3))))</f>
        <v/>
      </c>
      <c r="S120" s="2" t="str">
        <f t="array" ref="S120">IF(NOW()&gt;BD120,"",IF(AND((WEEKDAY($A120)+$B$2)&gt;1,((WEEKDAY($A120)+$T$2)&lt;7),(WEEKDAY($A120)&lt;&gt;1)),"work",(INDEX(Subject!$A:$I,MATCH(RANDBETWEEN(1,(MAX(Subject!$B:$B))),Subject!$B:$B,0),3))))</f>
        <v/>
      </c>
      <c r="T120" s="2" t="str">
        <f t="array" ref="T120">IF(NOW()&gt;BE120,"",IF(AND((WEEKDAY($A120)+$B$2)&gt;1,((WEEKDAY($A120)+$T$2)&lt;7),(WEEKDAY($A120)&lt;&gt;1)),"work",(INDEX(Subject!$A:$I,MATCH(RANDBETWEEN(1,(MAX(Subject!$B:$B))),Subject!$B:$B,0),3))))</f>
        <v/>
      </c>
      <c r="U120" s="8" t="str">
        <f t="array" ref="U120">INDEX(Subject!$A:$I,MATCH(RANDBETWEEN(1,16),Subject!$B:$B,0),3)</f>
        <v>#N/A</v>
      </c>
      <c r="V120" s="8" t="str">
        <f t="array" ref="V120">INDEX(Subject!$A:$I,MATCH(RANDBETWEEN(1,16),Subject!$B:$B,0),3)</f>
        <v>#N/A</v>
      </c>
      <c r="W120" s="8" t="str">
        <f t="array" ref="W120">INDEX(Subject!$A:$I,MATCH(RANDBETWEEN(1,16),Subject!$B:$B,0),3)</f>
        <v>#N/A</v>
      </c>
      <c r="X120" s="8" t="str">
        <f t="array" ref="X120">INDEX(Subject!$A:$I,MATCH(RANDBETWEEN(1,16),Subject!$B:$B,0),3)</f>
        <v>#N/A</v>
      </c>
      <c r="Y120" s="8" t="str">
        <f t="array" ref="Y120">INDEX(Subject!$A:$I,MATCH(RANDBETWEEN(1,16),Subject!$B:$B,0),3)</f>
        <v>#N/A</v>
      </c>
      <c r="Z120" s="8" t="str">
        <f t="array" ref="Z120">INDEX(Subject!$A:$I,MATCH(RANDBETWEEN(1,16),Subject!$B:$B,0),3)</f>
        <v>#N/A</v>
      </c>
      <c r="AA120" s="8" t="str">
        <f t="array" ref="AA120">INDEX(Subject!$A:$I,MATCH(RANDBETWEEN(1,16),Subject!$B:$B,0),3)</f>
        <v>#N/A</v>
      </c>
      <c r="AB120" s="8" t="str">
        <f t="array" ref="AB120">INDEX(Subject!$A:$I,MATCH(RANDBETWEEN(1,16),Subject!$B:$B,0),3)</f>
        <v>#N/A</v>
      </c>
      <c r="AC120" s="8" t="str">
        <f t="array" ref="AC120">INDEX(Subject!$A:$I,MATCH(RANDBETWEEN(1,16),Subject!$B:$B,0),3)</f>
        <v>#N/A</v>
      </c>
      <c r="AD120" s="8" t="str">
        <f t="array" ref="AD120">INDEX(Subject!$A:$I,MATCH(RANDBETWEEN(1,16),Subject!$B:$B,0),3)</f>
        <v>#N/A</v>
      </c>
      <c r="AE120" s="8" t="str">
        <f t="array" ref="AE120">INDEX(Subject!$A:$I,MATCH(RANDBETWEEN(1,16),Subject!$B:$B,0),3)</f>
        <v>#N/A</v>
      </c>
      <c r="AF120" s="8" t="str">
        <f t="array" ref="AF120">INDEX(Subject!$A:$I,MATCH(RANDBETWEEN(1,16),Subject!$B:$B,0),3)</f>
        <v>#N/A</v>
      </c>
      <c r="AG120" s="8" t="str">
        <f t="array" ref="AG120">INDEX(Subject!$A:$I,MATCH(RANDBETWEEN(1,16),Subject!$B:$B,0),3)</f>
        <v>#N/A</v>
      </c>
      <c r="AH120" s="8" t="str">
        <f t="array" ref="AH120">INDEX(Subject!$A:$I,MATCH(RANDBETWEEN(1,16),Subject!$B:$B,0),3)</f>
        <v>#N/A</v>
      </c>
      <c r="AI120" s="8" t="str">
        <f t="array" ref="AI120">INDEX(Subject!$A:$I,MATCH(RANDBETWEEN(1,16),Subject!$B:$B,0),3)</f>
        <v>#N/A</v>
      </c>
      <c r="AJ120" s="8" t="str">
        <f t="array" ref="AJ120">INDEX(Subject!$A:$I,MATCH(RANDBETWEEN(1,16),Subject!$B:$B,0),3)</f>
        <v>#N/A</v>
      </c>
      <c r="AK120" s="8" t="str">
        <f t="array" ref="AK120">INDEX(Subject!$A:$I,MATCH(RANDBETWEEN(1,16),Subject!$B:$B,0),3)</f>
        <v>#N/A</v>
      </c>
      <c r="AL120" s="8" t="str">
        <f t="array" ref="AL120">INDEX(Subject!$A:$I,MATCH(RANDBETWEEN(1,16),Subject!$B:$B,0),3)</f>
        <v>#N/A</v>
      </c>
      <c r="AM120" s="18">
        <f t="shared" si="4"/>
        <v>45620.33333</v>
      </c>
      <c r="AN120" s="19">
        <f t="shared" ref="AN120:BZ120" si="120">$A120+C$1</f>
        <v>45620.35417</v>
      </c>
      <c r="AO120" s="19">
        <f t="shared" si="120"/>
        <v>45620.375</v>
      </c>
      <c r="AP120" s="19">
        <f t="shared" si="120"/>
        <v>45620.39583</v>
      </c>
      <c r="AQ120" s="19">
        <f t="shared" si="120"/>
        <v>45620.41667</v>
      </c>
      <c r="AR120" s="19">
        <f t="shared" si="120"/>
        <v>45620.4375</v>
      </c>
      <c r="AS120" s="19">
        <f t="shared" si="120"/>
        <v>45620.45833</v>
      </c>
      <c r="AT120" s="19">
        <f t="shared" si="120"/>
        <v>45620.47917</v>
      </c>
      <c r="AU120" s="19">
        <f t="shared" si="120"/>
        <v>45620.5</v>
      </c>
      <c r="AV120" s="19">
        <f t="shared" si="120"/>
        <v>45620.52083</v>
      </c>
      <c r="AW120" s="19">
        <f t="shared" si="120"/>
        <v>45620.54167</v>
      </c>
      <c r="AX120" s="19">
        <f t="shared" si="120"/>
        <v>45620.5625</v>
      </c>
      <c r="AY120" s="19">
        <f t="shared" si="120"/>
        <v>45620.58333</v>
      </c>
      <c r="AZ120" s="19">
        <f t="shared" si="120"/>
        <v>45620.60417</v>
      </c>
      <c r="BA120" s="19">
        <f t="shared" si="120"/>
        <v>45620.625</v>
      </c>
      <c r="BB120" s="19">
        <f t="shared" si="120"/>
        <v>45620.64583</v>
      </c>
      <c r="BC120" s="19">
        <f t="shared" si="120"/>
        <v>45620.66667</v>
      </c>
      <c r="BD120" s="19">
        <f t="shared" si="120"/>
        <v>45620.6875</v>
      </c>
      <c r="BE120" s="19">
        <f t="shared" si="120"/>
        <v>45620.70833</v>
      </c>
      <c r="BF120" s="19">
        <f t="shared" si="120"/>
        <v>45620.72917</v>
      </c>
      <c r="BG120" s="19">
        <f t="shared" si="120"/>
        <v>45620.75</v>
      </c>
      <c r="BH120" s="19">
        <f t="shared" si="120"/>
        <v>45620.77083</v>
      </c>
      <c r="BI120" s="19">
        <f t="shared" si="120"/>
        <v>45620.79167</v>
      </c>
      <c r="BJ120" s="19">
        <f t="shared" si="120"/>
        <v>45620.8125</v>
      </c>
      <c r="BK120" s="19">
        <f t="shared" si="120"/>
        <v>45620.83333</v>
      </c>
      <c r="BL120" s="19">
        <f t="shared" si="120"/>
        <v>45620.85417</v>
      </c>
      <c r="BM120" s="19">
        <f t="shared" si="120"/>
        <v>45620.875</v>
      </c>
      <c r="BN120" s="19">
        <f t="shared" si="120"/>
        <v>45620.89583</v>
      </c>
      <c r="BO120" s="19">
        <f t="shared" si="120"/>
        <v>45620.91667</v>
      </c>
      <c r="BP120" s="19">
        <f t="shared" si="120"/>
        <v>45620.9375</v>
      </c>
      <c r="BQ120" s="19">
        <f t="shared" si="120"/>
        <v>45620.95833</v>
      </c>
      <c r="BR120" s="19">
        <f t="shared" si="120"/>
        <v>45620.97917</v>
      </c>
      <c r="BS120" s="19">
        <f t="shared" si="120"/>
        <v>45621</v>
      </c>
      <c r="BT120" s="19">
        <f t="shared" si="120"/>
        <v>45621.02083</v>
      </c>
      <c r="BU120" s="19">
        <f t="shared" si="120"/>
        <v>45621.04167</v>
      </c>
      <c r="BV120" s="19">
        <f t="shared" si="120"/>
        <v>45621.0625</v>
      </c>
      <c r="BW120" s="19">
        <f t="shared" si="120"/>
        <v>45621.08333</v>
      </c>
      <c r="BX120" s="19">
        <f t="shared" si="120"/>
        <v>45620</v>
      </c>
      <c r="BY120" s="19">
        <f t="shared" si="120"/>
        <v>45620</v>
      </c>
      <c r="BZ120" s="19">
        <f t="shared" si="120"/>
        <v>45620</v>
      </c>
    </row>
    <row r="121" ht="14.25" customHeight="1">
      <c r="A121" s="17">
        <v>45621.0</v>
      </c>
      <c r="B121" s="2" t="str">
        <f t="array" ref="B121">IF(NOW()&gt;AM121,"",IF(AND((WEEKDAY($A121)+$B$2)&gt;1,((WEEKDAY($A121)+$T$2)&lt;7),(WEEKDAY($A121)&lt;&gt;1)),"work",(INDEX(Subject!$A:$I,MATCH(RANDBETWEEN(1,(MAX(Subject!$B:$B))),Subject!$B:$B,0),3))))</f>
        <v/>
      </c>
      <c r="C121" s="2" t="str">
        <f t="array" ref="C121">IF(NOW()&gt;AN121,"",IF(AND((WEEKDAY($A121)+$B$2)&gt;1,((WEEKDAY($A121)+$T$2)&lt;7),(WEEKDAY($A121)&lt;&gt;1)),"work",(INDEX(Subject!$A:$I,MATCH(RANDBETWEEN(1,(MAX(Subject!$B:$B))),Subject!$B:$B,0),3))))</f>
        <v/>
      </c>
      <c r="D121" s="2" t="str">
        <f t="array" ref="D121">IF(NOW()&gt;AO121,"",IF(AND((WEEKDAY($A121)+$B$2)&gt;1,((WEEKDAY($A121)+$T$2)&lt;7),(WEEKDAY($A121)&lt;&gt;1)),"work",(INDEX(Subject!$A:$I,MATCH(RANDBETWEEN(1,(MAX(Subject!$B:$B))),Subject!$B:$B,0),3))))</f>
        <v/>
      </c>
      <c r="E121" s="2" t="str">
        <f t="array" ref="E121">IF(NOW()&gt;AP121,"",IF(AND((WEEKDAY($A121)+$B$2)&gt;1,((WEEKDAY($A121)+$T$2)&lt;7),(WEEKDAY($A121)&lt;&gt;1)),"work",(INDEX(Subject!$A:$I,MATCH(RANDBETWEEN(1,(MAX(Subject!$B:$B))),Subject!$B:$B,0),3))))</f>
        <v/>
      </c>
      <c r="F121" s="2" t="str">
        <f t="array" ref="F121">IF(NOW()&gt;AQ121,"",IF(AND((WEEKDAY($A121)+$B$2)&gt;1,((WEEKDAY($A121)+$T$2)&lt;7),(WEEKDAY($A121)&lt;&gt;1)),"work",(INDEX(Subject!$A:$I,MATCH(RANDBETWEEN(1,(MAX(Subject!$B:$B))),Subject!$B:$B,0),3))))</f>
        <v/>
      </c>
      <c r="G121" s="2" t="str">
        <f t="array" ref="G121">IF(NOW()&gt;AR121,"",IF(AND((WEEKDAY($A121)+$B$2)&gt;1,((WEEKDAY($A121)+$T$2)&lt;7),(WEEKDAY($A121)&lt;&gt;1)),"work",(INDEX(Subject!$A:$I,MATCH(RANDBETWEEN(1,(MAX(Subject!$B:$B))),Subject!$B:$B,0),3))))</f>
        <v/>
      </c>
      <c r="H121" s="2" t="str">
        <f t="array" ref="H121">IF(NOW()&gt;AS121,"",IF(AND((WEEKDAY($A121)+$B$2)&gt;1,((WEEKDAY($A121)+$T$2)&lt;7),(WEEKDAY($A121)&lt;&gt;1)),"work",(INDEX(Subject!$A:$I,MATCH(RANDBETWEEN(1,(MAX(Subject!$B:$B))),Subject!$B:$B,0),3))))</f>
        <v/>
      </c>
      <c r="I121" s="2" t="str">
        <f t="array" ref="I121">IF(NOW()&gt;AT121,"",IF(AND((WEEKDAY($A121)+$B$2)&gt;1,((WEEKDAY($A121)+$T$2)&lt;7),(WEEKDAY($A121)&lt;&gt;1)),"work",(INDEX(Subject!$A:$I,MATCH(RANDBETWEEN(1,(MAX(Subject!$B:$B))),Subject!$B:$B,0),3))))</f>
        <v/>
      </c>
      <c r="J121" s="2" t="str">
        <f t="array" ref="J121">IF(NOW()&gt;AU121,"",IF(AND((WEEKDAY($A121)+$B$2)&gt;1,((WEEKDAY($A121)+$T$2)&lt;7),(WEEKDAY($A121)&lt;&gt;1)),"work",(INDEX(Subject!$A:$I,MATCH(RANDBETWEEN(1,(MAX(Subject!$B:$B))),Subject!$B:$B,0),3))))</f>
        <v/>
      </c>
      <c r="K121" s="2" t="str">
        <f t="array" ref="K121">IF(NOW()&gt;AV121,"",IF(AND((WEEKDAY($A121)+$B$2)&gt;1,((WEEKDAY($A121)+$T$2)&lt;7),(WEEKDAY($A121)&lt;&gt;1)),"work",(INDEX(Subject!$A:$I,MATCH(RANDBETWEEN(1,(MAX(Subject!$B:$B))),Subject!$B:$B,0),3))))</f>
        <v/>
      </c>
      <c r="L121" s="2" t="str">
        <f t="array" ref="L121">IF(NOW()&gt;AW121,"",IF(AND((WEEKDAY($A121)+$B$2)&gt;1,((WEEKDAY($A121)+$T$2)&lt;7),(WEEKDAY($A121)&lt;&gt;1)),"work",(INDEX(Subject!$A:$I,MATCH(RANDBETWEEN(1,(MAX(Subject!$B:$B))),Subject!$B:$B,0),3))))</f>
        <v/>
      </c>
      <c r="M121" s="2" t="str">
        <f t="array" ref="M121">IF(NOW()&gt;AX121,"",IF(AND((WEEKDAY($A121)+$B$2)&gt;1,((WEEKDAY($A121)+$T$2)&lt;7),(WEEKDAY($A121)&lt;&gt;1)),"work",(INDEX(Subject!$A:$I,MATCH(RANDBETWEEN(1,(MAX(Subject!$B:$B))),Subject!$B:$B,0),3))))</f>
        <v/>
      </c>
      <c r="N121" s="2" t="str">
        <f t="array" ref="N121">IF(NOW()&gt;AY121,"",IF(AND((WEEKDAY($A121)+$B$2)&gt;1,((WEEKDAY($A121)+$T$2)&lt;7),(WEEKDAY($A121)&lt;&gt;1)),"work",(INDEX(Subject!$A:$I,MATCH(RANDBETWEEN(1,(MAX(Subject!$B:$B))),Subject!$B:$B,0),3))))</f>
        <v/>
      </c>
      <c r="O121" s="2" t="str">
        <f t="array" ref="O121">IF(NOW()&gt;AZ121,"",IF(AND((WEEKDAY($A121)+$B$2)&gt;1,((WEEKDAY($A121)+$T$2)&lt;7),(WEEKDAY($A121)&lt;&gt;1)),"work",(INDEX(Subject!$A:$I,MATCH(RANDBETWEEN(1,(MAX(Subject!$B:$B))),Subject!$B:$B,0),3))))</f>
        <v/>
      </c>
      <c r="P121" s="2" t="str">
        <f t="array" ref="P121">IF(NOW()&gt;BA121,"",IF(AND((WEEKDAY($A121)+$B$2)&gt;1,((WEEKDAY($A121)+$T$2)&lt;7),(WEEKDAY($A121)&lt;&gt;1)),"work",(INDEX(Subject!$A:$I,MATCH(RANDBETWEEN(1,(MAX(Subject!$B:$B))),Subject!$B:$B,0),3))))</f>
        <v/>
      </c>
      <c r="Q121" s="2" t="str">
        <f t="array" ref="Q121">IF(NOW()&gt;BB121,"",IF(AND((WEEKDAY($A121)+$B$2)&gt;1,((WEEKDAY($A121)+$T$2)&lt;7),(WEEKDAY($A121)&lt;&gt;1)),"work",(INDEX(Subject!$A:$I,MATCH(RANDBETWEEN(1,(MAX(Subject!$B:$B))),Subject!$B:$B,0),3))))</f>
        <v/>
      </c>
      <c r="R121" s="2" t="str">
        <f t="array" ref="R121">IF(NOW()&gt;BC121,"",IF(AND((WEEKDAY($A121)+$B$2)&gt;1,((WEEKDAY($A121)+$T$2)&lt;7),(WEEKDAY($A121)&lt;&gt;1)),"work",(INDEX(Subject!$A:$I,MATCH(RANDBETWEEN(1,(MAX(Subject!$B:$B))),Subject!$B:$B,0),3))))</f>
        <v/>
      </c>
      <c r="S121" s="2" t="str">
        <f t="array" ref="S121">IF(NOW()&gt;BD121,"",IF(AND((WEEKDAY($A121)+$B$2)&gt;1,((WEEKDAY($A121)+$T$2)&lt;7),(WEEKDAY($A121)&lt;&gt;1)),"work",(INDEX(Subject!$A:$I,MATCH(RANDBETWEEN(1,(MAX(Subject!$B:$B))),Subject!$B:$B,0),3))))</f>
        <v/>
      </c>
      <c r="T121" s="2" t="str">
        <f t="array" ref="T121">IF(NOW()&gt;BE121,"",IF(AND((WEEKDAY($A121)+$B$2)&gt;1,((WEEKDAY($A121)+$T$2)&lt;7),(WEEKDAY($A121)&lt;&gt;1)),"work",(INDEX(Subject!$A:$I,MATCH(RANDBETWEEN(1,(MAX(Subject!$B:$B))),Subject!$B:$B,0),3))))</f>
        <v/>
      </c>
      <c r="U121" s="8" t="str">
        <f t="array" ref="U121">INDEX(Subject!$A:$I,MATCH(RANDBETWEEN(1,16),Subject!$B:$B,0),3)</f>
        <v>#N/A</v>
      </c>
      <c r="V121" s="8" t="str">
        <f t="array" ref="V121">INDEX(Subject!$A:$I,MATCH(RANDBETWEEN(1,16),Subject!$B:$B,0),3)</f>
        <v>#N/A</v>
      </c>
      <c r="W121" s="8" t="str">
        <f t="array" ref="W121">INDEX(Subject!$A:$I,MATCH(RANDBETWEEN(1,16),Subject!$B:$B,0),3)</f>
        <v>#N/A</v>
      </c>
      <c r="X121" s="8" t="str">
        <f t="array" ref="X121">INDEX(Subject!$A:$I,MATCH(RANDBETWEEN(1,16),Subject!$B:$B,0),3)</f>
        <v>#N/A</v>
      </c>
      <c r="Y121" s="8" t="str">
        <f t="array" ref="Y121">INDEX(Subject!$A:$I,MATCH(RANDBETWEEN(1,16),Subject!$B:$B,0),3)</f>
        <v>#N/A</v>
      </c>
      <c r="Z121" s="8" t="str">
        <f t="array" ref="Z121">INDEX(Subject!$A:$I,MATCH(RANDBETWEEN(1,16),Subject!$B:$B,0),3)</f>
        <v>#N/A</v>
      </c>
      <c r="AA121" s="8" t="str">
        <f t="array" ref="AA121">INDEX(Subject!$A:$I,MATCH(RANDBETWEEN(1,16),Subject!$B:$B,0),3)</f>
        <v>#N/A</v>
      </c>
      <c r="AB121" s="8" t="str">
        <f t="array" ref="AB121">INDEX(Subject!$A:$I,MATCH(RANDBETWEEN(1,16),Subject!$B:$B,0),3)</f>
        <v>#N/A</v>
      </c>
      <c r="AC121" s="8" t="str">
        <f t="array" ref="AC121">INDEX(Subject!$A:$I,MATCH(RANDBETWEEN(1,16),Subject!$B:$B,0),3)</f>
        <v>#N/A</v>
      </c>
      <c r="AD121" s="8" t="str">
        <f t="array" ref="AD121">INDEX(Subject!$A:$I,MATCH(RANDBETWEEN(1,16),Subject!$B:$B,0),3)</f>
        <v>#N/A</v>
      </c>
      <c r="AE121" s="8" t="str">
        <f t="array" ref="AE121">INDEX(Subject!$A:$I,MATCH(RANDBETWEEN(1,16),Subject!$B:$B,0),3)</f>
        <v>#N/A</v>
      </c>
      <c r="AF121" s="8" t="str">
        <f t="array" ref="AF121">INDEX(Subject!$A:$I,MATCH(RANDBETWEEN(1,16),Subject!$B:$B,0),3)</f>
        <v>#N/A</v>
      </c>
      <c r="AG121" s="8" t="str">
        <f t="array" ref="AG121">INDEX(Subject!$A:$I,MATCH(RANDBETWEEN(1,16),Subject!$B:$B,0),3)</f>
        <v>#N/A</v>
      </c>
      <c r="AH121" s="8" t="str">
        <f t="array" ref="AH121">INDEX(Subject!$A:$I,MATCH(RANDBETWEEN(1,16),Subject!$B:$B,0),3)</f>
        <v>#N/A</v>
      </c>
      <c r="AI121" s="8" t="str">
        <f t="array" ref="AI121">INDEX(Subject!$A:$I,MATCH(RANDBETWEEN(1,16),Subject!$B:$B,0),3)</f>
        <v>#N/A</v>
      </c>
      <c r="AJ121" s="8" t="str">
        <f t="array" ref="AJ121">INDEX(Subject!$A:$I,MATCH(RANDBETWEEN(1,16),Subject!$B:$B,0),3)</f>
        <v/>
      </c>
      <c r="AK121" s="8" t="str">
        <f t="array" ref="AK121">INDEX(Subject!$A:$I,MATCH(RANDBETWEEN(1,16),Subject!$B:$B,0),3)</f>
        <v>#N/A</v>
      </c>
      <c r="AL121" s="8" t="str">
        <f t="array" ref="AL121">INDEX(Subject!$A:$I,MATCH(RANDBETWEEN(1,16),Subject!$B:$B,0),3)</f>
        <v>#N/A</v>
      </c>
      <c r="AM121" s="18">
        <f t="shared" si="4"/>
        <v>45621.33333</v>
      </c>
      <c r="AN121" s="19">
        <f t="shared" ref="AN121:BZ121" si="121">$A121+C$1</f>
        <v>45621.35417</v>
      </c>
      <c r="AO121" s="19">
        <f t="shared" si="121"/>
        <v>45621.375</v>
      </c>
      <c r="AP121" s="19">
        <f t="shared" si="121"/>
        <v>45621.39583</v>
      </c>
      <c r="AQ121" s="19">
        <f t="shared" si="121"/>
        <v>45621.41667</v>
      </c>
      <c r="AR121" s="19">
        <f t="shared" si="121"/>
        <v>45621.4375</v>
      </c>
      <c r="AS121" s="19">
        <f t="shared" si="121"/>
        <v>45621.45833</v>
      </c>
      <c r="AT121" s="19">
        <f t="shared" si="121"/>
        <v>45621.47917</v>
      </c>
      <c r="AU121" s="19">
        <f t="shared" si="121"/>
        <v>45621.5</v>
      </c>
      <c r="AV121" s="19">
        <f t="shared" si="121"/>
        <v>45621.52083</v>
      </c>
      <c r="AW121" s="19">
        <f t="shared" si="121"/>
        <v>45621.54167</v>
      </c>
      <c r="AX121" s="19">
        <f t="shared" si="121"/>
        <v>45621.5625</v>
      </c>
      <c r="AY121" s="19">
        <f t="shared" si="121"/>
        <v>45621.58333</v>
      </c>
      <c r="AZ121" s="19">
        <f t="shared" si="121"/>
        <v>45621.60417</v>
      </c>
      <c r="BA121" s="19">
        <f t="shared" si="121"/>
        <v>45621.625</v>
      </c>
      <c r="BB121" s="19">
        <f t="shared" si="121"/>
        <v>45621.64583</v>
      </c>
      <c r="BC121" s="19">
        <f t="shared" si="121"/>
        <v>45621.66667</v>
      </c>
      <c r="BD121" s="19">
        <f t="shared" si="121"/>
        <v>45621.6875</v>
      </c>
      <c r="BE121" s="19">
        <f t="shared" si="121"/>
        <v>45621.70833</v>
      </c>
      <c r="BF121" s="19">
        <f t="shared" si="121"/>
        <v>45621.72917</v>
      </c>
      <c r="BG121" s="19">
        <f t="shared" si="121"/>
        <v>45621.75</v>
      </c>
      <c r="BH121" s="19">
        <f t="shared" si="121"/>
        <v>45621.77083</v>
      </c>
      <c r="BI121" s="19">
        <f t="shared" si="121"/>
        <v>45621.79167</v>
      </c>
      <c r="BJ121" s="19">
        <f t="shared" si="121"/>
        <v>45621.8125</v>
      </c>
      <c r="BK121" s="19">
        <f t="shared" si="121"/>
        <v>45621.83333</v>
      </c>
      <c r="BL121" s="19">
        <f t="shared" si="121"/>
        <v>45621.85417</v>
      </c>
      <c r="BM121" s="19">
        <f t="shared" si="121"/>
        <v>45621.875</v>
      </c>
      <c r="BN121" s="19">
        <f t="shared" si="121"/>
        <v>45621.89583</v>
      </c>
      <c r="BO121" s="19">
        <f t="shared" si="121"/>
        <v>45621.91667</v>
      </c>
      <c r="BP121" s="19">
        <f t="shared" si="121"/>
        <v>45621.9375</v>
      </c>
      <c r="BQ121" s="19">
        <f t="shared" si="121"/>
        <v>45621.95833</v>
      </c>
      <c r="BR121" s="19">
        <f t="shared" si="121"/>
        <v>45621.97917</v>
      </c>
      <c r="BS121" s="19">
        <f t="shared" si="121"/>
        <v>45622</v>
      </c>
      <c r="BT121" s="19">
        <f t="shared" si="121"/>
        <v>45622.02083</v>
      </c>
      <c r="BU121" s="19">
        <f t="shared" si="121"/>
        <v>45622.04167</v>
      </c>
      <c r="BV121" s="19">
        <f t="shared" si="121"/>
        <v>45622.0625</v>
      </c>
      <c r="BW121" s="19">
        <f t="shared" si="121"/>
        <v>45622.08333</v>
      </c>
      <c r="BX121" s="19">
        <f t="shared" si="121"/>
        <v>45621</v>
      </c>
      <c r="BY121" s="19">
        <f t="shared" si="121"/>
        <v>45621</v>
      </c>
      <c r="BZ121" s="19">
        <f t="shared" si="121"/>
        <v>45621</v>
      </c>
    </row>
    <row r="122" ht="14.25" customHeight="1">
      <c r="A122" s="17">
        <v>45622.0</v>
      </c>
      <c r="B122" s="2" t="str">
        <f t="array" ref="B122">IF(NOW()&gt;AM122,"",IF(AND((WEEKDAY($A122)+$B$2)&gt;1,((WEEKDAY($A122)+$T$2)&lt;7),(WEEKDAY($A122)&lt;&gt;1)),"work",(INDEX(Subject!$A:$I,MATCH(RANDBETWEEN(1,(MAX(Subject!$B:$B))),Subject!$B:$B,0),3))))</f>
        <v/>
      </c>
      <c r="C122" s="2" t="str">
        <f t="array" ref="C122">IF(NOW()&gt;AN122,"",IF(AND((WEEKDAY($A122)+$B$2)&gt;1,((WEEKDAY($A122)+$T$2)&lt;7),(WEEKDAY($A122)&lt;&gt;1)),"work",(INDEX(Subject!$A:$I,MATCH(RANDBETWEEN(1,(MAX(Subject!$B:$B))),Subject!$B:$B,0),3))))</f>
        <v/>
      </c>
      <c r="D122" s="2" t="str">
        <f t="array" ref="D122">IF(NOW()&gt;AO122,"",IF(AND((WEEKDAY($A122)+$B$2)&gt;1,((WEEKDAY($A122)+$T$2)&lt;7),(WEEKDAY($A122)&lt;&gt;1)),"work",(INDEX(Subject!$A:$I,MATCH(RANDBETWEEN(1,(MAX(Subject!$B:$B))),Subject!$B:$B,0),3))))</f>
        <v/>
      </c>
      <c r="E122" s="2" t="str">
        <f t="array" ref="E122">IF(NOW()&gt;AP122,"",IF(AND((WEEKDAY($A122)+$B$2)&gt;1,((WEEKDAY($A122)+$T$2)&lt;7),(WEEKDAY($A122)&lt;&gt;1)),"work",(INDEX(Subject!$A:$I,MATCH(RANDBETWEEN(1,(MAX(Subject!$B:$B))),Subject!$B:$B,0),3))))</f>
        <v/>
      </c>
      <c r="F122" s="2" t="str">
        <f t="array" ref="F122">IF(NOW()&gt;AQ122,"",IF(AND((WEEKDAY($A122)+$B$2)&gt;1,((WEEKDAY($A122)+$T$2)&lt;7),(WEEKDAY($A122)&lt;&gt;1)),"work",(INDEX(Subject!$A:$I,MATCH(RANDBETWEEN(1,(MAX(Subject!$B:$B))),Subject!$B:$B,0),3))))</f>
        <v/>
      </c>
      <c r="G122" s="2" t="str">
        <f t="array" ref="G122">IF(NOW()&gt;AR122,"",IF(AND((WEEKDAY($A122)+$B$2)&gt;1,((WEEKDAY($A122)+$T$2)&lt;7),(WEEKDAY($A122)&lt;&gt;1)),"work",(INDEX(Subject!$A:$I,MATCH(RANDBETWEEN(1,(MAX(Subject!$B:$B))),Subject!$B:$B,0),3))))</f>
        <v/>
      </c>
      <c r="H122" s="2" t="str">
        <f t="array" ref="H122">IF(NOW()&gt;AS122,"",IF(AND((WEEKDAY($A122)+$B$2)&gt;1,((WEEKDAY($A122)+$T$2)&lt;7),(WEEKDAY($A122)&lt;&gt;1)),"work",(INDEX(Subject!$A:$I,MATCH(RANDBETWEEN(1,(MAX(Subject!$B:$B))),Subject!$B:$B,0),3))))</f>
        <v/>
      </c>
      <c r="I122" s="2" t="str">
        <f t="array" ref="I122">IF(NOW()&gt;AT122,"",IF(AND((WEEKDAY($A122)+$B$2)&gt;1,((WEEKDAY($A122)+$T$2)&lt;7),(WEEKDAY($A122)&lt;&gt;1)),"work",(INDEX(Subject!$A:$I,MATCH(RANDBETWEEN(1,(MAX(Subject!$B:$B))),Subject!$B:$B,0),3))))</f>
        <v/>
      </c>
      <c r="J122" s="2" t="str">
        <f t="array" ref="J122">IF(NOW()&gt;AU122,"",IF(AND((WEEKDAY($A122)+$B$2)&gt;1,((WEEKDAY($A122)+$T$2)&lt;7),(WEEKDAY($A122)&lt;&gt;1)),"work",(INDEX(Subject!$A:$I,MATCH(RANDBETWEEN(1,(MAX(Subject!$B:$B))),Subject!$B:$B,0),3))))</f>
        <v/>
      </c>
      <c r="K122" s="2" t="str">
        <f t="array" ref="K122">IF(NOW()&gt;AV122,"",IF(AND((WEEKDAY($A122)+$B$2)&gt;1,((WEEKDAY($A122)+$T$2)&lt;7),(WEEKDAY($A122)&lt;&gt;1)),"work",(INDEX(Subject!$A:$I,MATCH(RANDBETWEEN(1,(MAX(Subject!$B:$B))),Subject!$B:$B,0),3))))</f>
        <v/>
      </c>
      <c r="L122" s="2" t="str">
        <f t="array" ref="L122">IF(NOW()&gt;AW122,"",IF(AND((WEEKDAY($A122)+$B$2)&gt;1,((WEEKDAY($A122)+$T$2)&lt;7),(WEEKDAY($A122)&lt;&gt;1)),"work",(INDEX(Subject!$A:$I,MATCH(RANDBETWEEN(1,(MAX(Subject!$B:$B))),Subject!$B:$B,0),3))))</f>
        <v/>
      </c>
      <c r="M122" s="2" t="str">
        <f t="array" ref="M122">IF(NOW()&gt;AX122,"",IF(AND((WEEKDAY($A122)+$B$2)&gt;1,((WEEKDAY($A122)+$T$2)&lt;7),(WEEKDAY($A122)&lt;&gt;1)),"work",(INDEX(Subject!$A:$I,MATCH(RANDBETWEEN(1,(MAX(Subject!$B:$B))),Subject!$B:$B,0),3))))</f>
        <v/>
      </c>
      <c r="N122" s="2" t="str">
        <f t="array" ref="N122">IF(NOW()&gt;AY122,"",IF(AND((WEEKDAY($A122)+$B$2)&gt;1,((WEEKDAY($A122)+$T$2)&lt;7),(WEEKDAY($A122)&lt;&gt;1)),"work",(INDEX(Subject!$A:$I,MATCH(RANDBETWEEN(1,(MAX(Subject!$B:$B))),Subject!$B:$B,0),3))))</f>
        <v/>
      </c>
      <c r="O122" s="2" t="str">
        <f t="array" ref="O122">IF(NOW()&gt;AZ122,"",IF(AND((WEEKDAY($A122)+$B$2)&gt;1,((WEEKDAY($A122)+$T$2)&lt;7),(WEEKDAY($A122)&lt;&gt;1)),"work",(INDEX(Subject!$A:$I,MATCH(RANDBETWEEN(1,(MAX(Subject!$B:$B))),Subject!$B:$B,0),3))))</f>
        <v/>
      </c>
      <c r="P122" s="2" t="str">
        <f t="array" ref="P122">IF(NOW()&gt;BA122,"",IF(AND((WEEKDAY($A122)+$B$2)&gt;1,((WEEKDAY($A122)+$T$2)&lt;7),(WEEKDAY($A122)&lt;&gt;1)),"work",(INDEX(Subject!$A:$I,MATCH(RANDBETWEEN(1,(MAX(Subject!$B:$B))),Subject!$B:$B,0),3))))</f>
        <v/>
      </c>
      <c r="Q122" s="2" t="str">
        <f t="array" ref="Q122">IF(NOW()&gt;BB122,"",IF(AND((WEEKDAY($A122)+$B$2)&gt;1,((WEEKDAY($A122)+$T$2)&lt;7),(WEEKDAY($A122)&lt;&gt;1)),"work",(INDEX(Subject!$A:$I,MATCH(RANDBETWEEN(1,(MAX(Subject!$B:$B))),Subject!$B:$B,0),3))))</f>
        <v/>
      </c>
      <c r="R122" s="2" t="str">
        <f t="array" ref="R122">IF(NOW()&gt;BC122,"",IF(AND((WEEKDAY($A122)+$B$2)&gt;1,((WEEKDAY($A122)+$T$2)&lt;7),(WEEKDAY($A122)&lt;&gt;1)),"work",(INDEX(Subject!$A:$I,MATCH(RANDBETWEEN(1,(MAX(Subject!$B:$B))),Subject!$B:$B,0),3))))</f>
        <v/>
      </c>
      <c r="S122" s="2" t="str">
        <f t="array" ref="S122">IF(NOW()&gt;BD122,"",IF(AND((WEEKDAY($A122)+$B$2)&gt;1,((WEEKDAY($A122)+$T$2)&lt;7),(WEEKDAY($A122)&lt;&gt;1)),"work",(INDEX(Subject!$A:$I,MATCH(RANDBETWEEN(1,(MAX(Subject!$B:$B))),Subject!$B:$B,0),3))))</f>
        <v/>
      </c>
      <c r="T122" s="2" t="str">
        <f t="array" ref="T122">IF(NOW()&gt;BE122,"",IF(AND((WEEKDAY($A122)+$B$2)&gt;1,((WEEKDAY($A122)+$T$2)&lt;7),(WEEKDAY($A122)&lt;&gt;1)),"work",(INDEX(Subject!$A:$I,MATCH(RANDBETWEEN(1,(MAX(Subject!$B:$B))),Subject!$B:$B,0),3))))</f>
        <v/>
      </c>
      <c r="U122" s="8" t="str">
        <f t="array" ref="U122">INDEX(Subject!$A:$I,MATCH(RANDBETWEEN(1,16),Subject!$B:$B,0),3)</f>
        <v>#N/A</v>
      </c>
      <c r="V122" s="8" t="str">
        <f t="array" ref="V122">INDEX(Subject!$A:$I,MATCH(RANDBETWEEN(1,16),Subject!$B:$B,0),3)</f>
        <v>#N/A</v>
      </c>
      <c r="W122" s="8" t="str">
        <f t="array" ref="W122">INDEX(Subject!$A:$I,MATCH(RANDBETWEEN(1,16),Subject!$B:$B,0),3)</f>
        <v>#N/A</v>
      </c>
      <c r="X122" s="8" t="str">
        <f t="array" ref="X122">INDEX(Subject!$A:$I,MATCH(RANDBETWEEN(1,16),Subject!$B:$B,0),3)</f>
        <v>#N/A</v>
      </c>
      <c r="Y122" s="8" t="str">
        <f t="array" ref="Y122">INDEX(Subject!$A:$I,MATCH(RANDBETWEEN(1,16),Subject!$B:$B,0),3)</f>
        <v>#N/A</v>
      </c>
      <c r="Z122" s="8" t="str">
        <f t="array" ref="Z122">INDEX(Subject!$A:$I,MATCH(RANDBETWEEN(1,16),Subject!$B:$B,0),3)</f>
        <v>#N/A</v>
      </c>
      <c r="AA122" s="8" t="str">
        <f t="array" ref="AA122">INDEX(Subject!$A:$I,MATCH(RANDBETWEEN(1,16),Subject!$B:$B,0),3)</f>
        <v>#N/A</v>
      </c>
      <c r="AB122" s="8" t="str">
        <f t="array" ref="AB122">INDEX(Subject!$A:$I,MATCH(RANDBETWEEN(1,16),Subject!$B:$B,0),3)</f>
        <v>#N/A</v>
      </c>
      <c r="AC122" s="8" t="str">
        <f t="array" ref="AC122">INDEX(Subject!$A:$I,MATCH(RANDBETWEEN(1,16),Subject!$B:$B,0),3)</f>
        <v>#N/A</v>
      </c>
      <c r="AD122" s="8" t="str">
        <f t="array" ref="AD122">INDEX(Subject!$A:$I,MATCH(RANDBETWEEN(1,16),Subject!$B:$B,0),3)</f>
        <v>#N/A</v>
      </c>
      <c r="AE122" s="8" t="str">
        <f t="array" ref="AE122">INDEX(Subject!$A:$I,MATCH(RANDBETWEEN(1,16),Subject!$B:$B,0),3)</f>
        <v>#N/A</v>
      </c>
      <c r="AF122" s="8" t="str">
        <f t="array" ref="AF122">INDEX(Subject!$A:$I,MATCH(RANDBETWEEN(1,16),Subject!$B:$B,0),3)</f>
        <v>#N/A</v>
      </c>
      <c r="AG122" s="8" t="str">
        <f t="array" ref="AG122">INDEX(Subject!$A:$I,MATCH(RANDBETWEEN(1,16),Subject!$B:$B,0),3)</f>
        <v/>
      </c>
      <c r="AH122" s="8" t="str">
        <f t="array" ref="AH122">INDEX(Subject!$A:$I,MATCH(RANDBETWEEN(1,16),Subject!$B:$B,0),3)</f>
        <v>#N/A</v>
      </c>
      <c r="AI122" s="8" t="str">
        <f t="array" ref="AI122">INDEX(Subject!$A:$I,MATCH(RANDBETWEEN(1,16),Subject!$B:$B,0),3)</f>
        <v>#N/A</v>
      </c>
      <c r="AJ122" s="8" t="str">
        <f t="array" ref="AJ122">INDEX(Subject!$A:$I,MATCH(RANDBETWEEN(1,16),Subject!$B:$B,0),3)</f>
        <v>#N/A</v>
      </c>
      <c r="AK122" s="8" t="str">
        <f t="array" ref="AK122">INDEX(Subject!$A:$I,MATCH(RANDBETWEEN(1,16),Subject!$B:$B,0),3)</f>
        <v>#N/A</v>
      </c>
      <c r="AL122" s="8" t="str">
        <f t="array" ref="AL122">INDEX(Subject!$A:$I,MATCH(RANDBETWEEN(1,16),Subject!$B:$B,0),3)</f>
        <v>#N/A</v>
      </c>
      <c r="AM122" s="18">
        <f t="shared" si="4"/>
        <v>45622.33333</v>
      </c>
      <c r="AN122" s="19">
        <f t="shared" ref="AN122:BZ122" si="122">$A122+C$1</f>
        <v>45622.35417</v>
      </c>
      <c r="AO122" s="19">
        <f t="shared" si="122"/>
        <v>45622.375</v>
      </c>
      <c r="AP122" s="19">
        <f t="shared" si="122"/>
        <v>45622.39583</v>
      </c>
      <c r="AQ122" s="19">
        <f t="shared" si="122"/>
        <v>45622.41667</v>
      </c>
      <c r="AR122" s="19">
        <f t="shared" si="122"/>
        <v>45622.4375</v>
      </c>
      <c r="AS122" s="19">
        <f t="shared" si="122"/>
        <v>45622.45833</v>
      </c>
      <c r="AT122" s="19">
        <f t="shared" si="122"/>
        <v>45622.47917</v>
      </c>
      <c r="AU122" s="19">
        <f t="shared" si="122"/>
        <v>45622.5</v>
      </c>
      <c r="AV122" s="19">
        <f t="shared" si="122"/>
        <v>45622.52083</v>
      </c>
      <c r="AW122" s="19">
        <f t="shared" si="122"/>
        <v>45622.54167</v>
      </c>
      <c r="AX122" s="19">
        <f t="shared" si="122"/>
        <v>45622.5625</v>
      </c>
      <c r="AY122" s="19">
        <f t="shared" si="122"/>
        <v>45622.58333</v>
      </c>
      <c r="AZ122" s="19">
        <f t="shared" si="122"/>
        <v>45622.60417</v>
      </c>
      <c r="BA122" s="19">
        <f t="shared" si="122"/>
        <v>45622.625</v>
      </c>
      <c r="BB122" s="19">
        <f t="shared" si="122"/>
        <v>45622.64583</v>
      </c>
      <c r="BC122" s="19">
        <f t="shared" si="122"/>
        <v>45622.66667</v>
      </c>
      <c r="BD122" s="19">
        <f t="shared" si="122"/>
        <v>45622.6875</v>
      </c>
      <c r="BE122" s="19">
        <f t="shared" si="122"/>
        <v>45622.70833</v>
      </c>
      <c r="BF122" s="19">
        <f t="shared" si="122"/>
        <v>45622.72917</v>
      </c>
      <c r="BG122" s="19">
        <f t="shared" si="122"/>
        <v>45622.75</v>
      </c>
      <c r="BH122" s="19">
        <f t="shared" si="122"/>
        <v>45622.77083</v>
      </c>
      <c r="BI122" s="19">
        <f t="shared" si="122"/>
        <v>45622.79167</v>
      </c>
      <c r="BJ122" s="19">
        <f t="shared" si="122"/>
        <v>45622.8125</v>
      </c>
      <c r="BK122" s="19">
        <f t="shared" si="122"/>
        <v>45622.83333</v>
      </c>
      <c r="BL122" s="19">
        <f t="shared" si="122"/>
        <v>45622.85417</v>
      </c>
      <c r="BM122" s="19">
        <f t="shared" si="122"/>
        <v>45622.875</v>
      </c>
      <c r="BN122" s="19">
        <f t="shared" si="122"/>
        <v>45622.89583</v>
      </c>
      <c r="BO122" s="19">
        <f t="shared" si="122"/>
        <v>45622.91667</v>
      </c>
      <c r="BP122" s="19">
        <f t="shared" si="122"/>
        <v>45622.9375</v>
      </c>
      <c r="BQ122" s="19">
        <f t="shared" si="122"/>
        <v>45622.95833</v>
      </c>
      <c r="BR122" s="19">
        <f t="shared" si="122"/>
        <v>45622.97917</v>
      </c>
      <c r="BS122" s="19">
        <f t="shared" si="122"/>
        <v>45623</v>
      </c>
      <c r="BT122" s="19">
        <f t="shared" si="122"/>
        <v>45623.02083</v>
      </c>
      <c r="BU122" s="19">
        <f t="shared" si="122"/>
        <v>45623.04167</v>
      </c>
      <c r="BV122" s="19">
        <f t="shared" si="122"/>
        <v>45623.0625</v>
      </c>
      <c r="BW122" s="19">
        <f t="shared" si="122"/>
        <v>45623.08333</v>
      </c>
      <c r="BX122" s="19">
        <f t="shared" si="122"/>
        <v>45622</v>
      </c>
      <c r="BY122" s="19">
        <f t="shared" si="122"/>
        <v>45622</v>
      </c>
      <c r="BZ122" s="19">
        <f t="shared" si="122"/>
        <v>45622</v>
      </c>
    </row>
    <row r="123" ht="14.25" customHeight="1">
      <c r="A123" s="17">
        <v>45623.0</v>
      </c>
      <c r="B123" s="2" t="str">
        <f t="array" ref="B123">IF(NOW()&gt;AM123,"",IF(AND((WEEKDAY($A123)+$B$2)&gt;1,((WEEKDAY($A123)+$T$2)&lt;7),(WEEKDAY($A123)&lt;&gt;1)),"work",(INDEX(Subject!$A:$I,MATCH(RANDBETWEEN(1,(MAX(Subject!$B:$B))),Subject!$B:$B,0),3))))</f>
        <v/>
      </c>
      <c r="C123" s="2" t="str">
        <f t="array" ref="C123">IF(NOW()&gt;AN123,"",IF(AND((WEEKDAY($A123)+$B$2)&gt;1,((WEEKDAY($A123)+$T$2)&lt;7),(WEEKDAY($A123)&lt;&gt;1)),"work",(INDEX(Subject!$A:$I,MATCH(RANDBETWEEN(1,(MAX(Subject!$B:$B))),Subject!$B:$B,0),3))))</f>
        <v/>
      </c>
      <c r="D123" s="2" t="str">
        <f t="array" ref="D123">IF(NOW()&gt;AO123,"",IF(AND((WEEKDAY($A123)+$B$2)&gt;1,((WEEKDAY($A123)+$T$2)&lt;7),(WEEKDAY($A123)&lt;&gt;1)),"work",(INDEX(Subject!$A:$I,MATCH(RANDBETWEEN(1,(MAX(Subject!$B:$B))),Subject!$B:$B,0),3))))</f>
        <v/>
      </c>
      <c r="E123" s="2" t="str">
        <f t="array" ref="E123">IF(NOW()&gt;AP123,"",IF(AND((WEEKDAY($A123)+$B$2)&gt;1,((WEEKDAY($A123)+$T$2)&lt;7),(WEEKDAY($A123)&lt;&gt;1)),"work",(INDEX(Subject!$A:$I,MATCH(RANDBETWEEN(1,(MAX(Subject!$B:$B))),Subject!$B:$B,0),3))))</f>
        <v/>
      </c>
      <c r="F123" s="2" t="str">
        <f t="array" ref="F123">IF(NOW()&gt;AQ123,"",IF(AND((WEEKDAY($A123)+$B$2)&gt;1,((WEEKDAY($A123)+$T$2)&lt;7),(WEEKDAY($A123)&lt;&gt;1)),"work",(INDEX(Subject!$A:$I,MATCH(RANDBETWEEN(1,(MAX(Subject!$B:$B))),Subject!$B:$B,0),3))))</f>
        <v/>
      </c>
      <c r="G123" s="2" t="str">
        <f t="array" ref="G123">IF(NOW()&gt;AR123,"",IF(AND((WEEKDAY($A123)+$B$2)&gt;1,((WEEKDAY($A123)+$T$2)&lt;7),(WEEKDAY($A123)&lt;&gt;1)),"work",(INDEX(Subject!$A:$I,MATCH(RANDBETWEEN(1,(MAX(Subject!$B:$B))),Subject!$B:$B,0),3))))</f>
        <v/>
      </c>
      <c r="H123" s="2" t="str">
        <f t="array" ref="H123">IF(NOW()&gt;AS123,"",IF(AND((WEEKDAY($A123)+$B$2)&gt;1,((WEEKDAY($A123)+$T$2)&lt;7),(WEEKDAY($A123)&lt;&gt;1)),"work",(INDEX(Subject!$A:$I,MATCH(RANDBETWEEN(1,(MAX(Subject!$B:$B))),Subject!$B:$B,0),3))))</f>
        <v/>
      </c>
      <c r="I123" s="2" t="str">
        <f t="array" ref="I123">IF(NOW()&gt;AT123,"",IF(AND((WEEKDAY($A123)+$B$2)&gt;1,((WEEKDAY($A123)+$T$2)&lt;7),(WEEKDAY($A123)&lt;&gt;1)),"work",(INDEX(Subject!$A:$I,MATCH(RANDBETWEEN(1,(MAX(Subject!$B:$B))),Subject!$B:$B,0),3))))</f>
        <v/>
      </c>
      <c r="J123" s="2" t="str">
        <f t="array" ref="J123">IF(NOW()&gt;AU123,"",IF(AND((WEEKDAY($A123)+$B$2)&gt;1,((WEEKDAY($A123)+$T$2)&lt;7),(WEEKDAY($A123)&lt;&gt;1)),"work",(INDEX(Subject!$A:$I,MATCH(RANDBETWEEN(1,(MAX(Subject!$B:$B))),Subject!$B:$B,0),3))))</f>
        <v/>
      </c>
      <c r="K123" s="2" t="str">
        <f t="array" ref="K123">IF(NOW()&gt;AV123,"",IF(AND((WEEKDAY($A123)+$B$2)&gt;1,((WEEKDAY($A123)+$T$2)&lt;7),(WEEKDAY($A123)&lt;&gt;1)),"work",(INDEX(Subject!$A:$I,MATCH(RANDBETWEEN(1,(MAX(Subject!$B:$B))),Subject!$B:$B,0),3))))</f>
        <v/>
      </c>
      <c r="L123" s="2" t="str">
        <f t="array" ref="L123">IF(NOW()&gt;AW123,"",IF(AND((WEEKDAY($A123)+$B$2)&gt;1,((WEEKDAY($A123)+$T$2)&lt;7),(WEEKDAY($A123)&lt;&gt;1)),"work",(INDEX(Subject!$A:$I,MATCH(RANDBETWEEN(1,(MAX(Subject!$B:$B))),Subject!$B:$B,0),3))))</f>
        <v/>
      </c>
      <c r="M123" s="2" t="str">
        <f t="array" ref="M123">IF(NOW()&gt;AX123,"",IF(AND((WEEKDAY($A123)+$B$2)&gt;1,((WEEKDAY($A123)+$T$2)&lt;7),(WEEKDAY($A123)&lt;&gt;1)),"work",(INDEX(Subject!$A:$I,MATCH(RANDBETWEEN(1,(MAX(Subject!$B:$B))),Subject!$B:$B,0),3))))</f>
        <v/>
      </c>
      <c r="N123" s="2" t="str">
        <f t="array" ref="N123">IF(NOW()&gt;AY123,"",IF(AND((WEEKDAY($A123)+$B$2)&gt;1,((WEEKDAY($A123)+$T$2)&lt;7),(WEEKDAY($A123)&lt;&gt;1)),"work",(INDEX(Subject!$A:$I,MATCH(RANDBETWEEN(1,(MAX(Subject!$B:$B))),Subject!$B:$B,0),3))))</f>
        <v/>
      </c>
      <c r="O123" s="2" t="str">
        <f t="array" ref="O123">IF(NOW()&gt;AZ123,"",IF(AND((WEEKDAY($A123)+$B$2)&gt;1,((WEEKDAY($A123)+$T$2)&lt;7),(WEEKDAY($A123)&lt;&gt;1)),"work",(INDEX(Subject!$A:$I,MATCH(RANDBETWEEN(1,(MAX(Subject!$B:$B))),Subject!$B:$B,0),3))))</f>
        <v/>
      </c>
      <c r="P123" s="2" t="str">
        <f t="array" ref="P123">IF(NOW()&gt;BA123,"",IF(AND((WEEKDAY($A123)+$B$2)&gt;1,((WEEKDAY($A123)+$T$2)&lt;7),(WEEKDAY($A123)&lt;&gt;1)),"work",(INDEX(Subject!$A:$I,MATCH(RANDBETWEEN(1,(MAX(Subject!$B:$B))),Subject!$B:$B,0),3))))</f>
        <v/>
      </c>
      <c r="Q123" s="2" t="str">
        <f t="array" ref="Q123">IF(NOW()&gt;BB123,"",IF(AND((WEEKDAY($A123)+$B$2)&gt;1,((WEEKDAY($A123)+$T$2)&lt;7),(WEEKDAY($A123)&lt;&gt;1)),"work",(INDEX(Subject!$A:$I,MATCH(RANDBETWEEN(1,(MAX(Subject!$B:$B))),Subject!$B:$B,0),3))))</f>
        <v/>
      </c>
      <c r="R123" s="2" t="str">
        <f t="array" ref="R123">IF(NOW()&gt;BC123,"",IF(AND((WEEKDAY($A123)+$B$2)&gt;1,((WEEKDAY($A123)+$T$2)&lt;7),(WEEKDAY($A123)&lt;&gt;1)),"work",(INDEX(Subject!$A:$I,MATCH(RANDBETWEEN(1,(MAX(Subject!$B:$B))),Subject!$B:$B,0),3))))</f>
        <v/>
      </c>
      <c r="S123" s="2" t="str">
        <f t="array" ref="S123">IF(NOW()&gt;BD123,"",IF(AND((WEEKDAY($A123)+$B$2)&gt;1,((WEEKDAY($A123)+$T$2)&lt;7),(WEEKDAY($A123)&lt;&gt;1)),"work",(INDEX(Subject!$A:$I,MATCH(RANDBETWEEN(1,(MAX(Subject!$B:$B))),Subject!$B:$B,0),3))))</f>
        <v/>
      </c>
      <c r="T123" s="2" t="str">
        <f t="array" ref="T123">IF(NOW()&gt;BE123,"",IF(AND((WEEKDAY($A123)+$B$2)&gt;1,((WEEKDAY($A123)+$T$2)&lt;7),(WEEKDAY($A123)&lt;&gt;1)),"work",(INDEX(Subject!$A:$I,MATCH(RANDBETWEEN(1,(MAX(Subject!$B:$B))),Subject!$B:$B,0),3))))</f>
        <v/>
      </c>
      <c r="U123" s="8" t="str">
        <f t="array" ref="U123">INDEX(Subject!$A:$I,MATCH(RANDBETWEEN(1,16),Subject!$B:$B,0),3)</f>
        <v>#N/A</v>
      </c>
      <c r="V123" s="8" t="str">
        <f t="array" ref="V123">INDEX(Subject!$A:$I,MATCH(RANDBETWEEN(1,16),Subject!$B:$B,0),3)</f>
        <v>#N/A</v>
      </c>
      <c r="W123" s="8" t="str">
        <f t="array" ref="W123">INDEX(Subject!$A:$I,MATCH(RANDBETWEEN(1,16),Subject!$B:$B,0),3)</f>
        <v>#N/A</v>
      </c>
      <c r="X123" s="8" t="str">
        <f t="array" ref="X123">INDEX(Subject!$A:$I,MATCH(RANDBETWEEN(1,16),Subject!$B:$B,0),3)</f>
        <v>#N/A</v>
      </c>
      <c r="Y123" s="8" t="str">
        <f t="array" ref="Y123">INDEX(Subject!$A:$I,MATCH(RANDBETWEEN(1,16),Subject!$B:$B,0),3)</f>
        <v>#N/A</v>
      </c>
      <c r="Z123" s="8" t="str">
        <f t="array" ref="Z123">INDEX(Subject!$A:$I,MATCH(RANDBETWEEN(1,16),Subject!$B:$B,0),3)</f>
        <v>#N/A</v>
      </c>
      <c r="AA123" s="8" t="str">
        <f t="array" ref="AA123">INDEX(Subject!$A:$I,MATCH(RANDBETWEEN(1,16),Subject!$B:$B,0),3)</f>
        <v>#N/A</v>
      </c>
      <c r="AB123" s="8" t="str">
        <f t="array" ref="AB123">INDEX(Subject!$A:$I,MATCH(RANDBETWEEN(1,16),Subject!$B:$B,0),3)</f>
        <v>#N/A</v>
      </c>
      <c r="AC123" s="8" t="str">
        <f t="array" ref="AC123">INDEX(Subject!$A:$I,MATCH(RANDBETWEEN(1,16),Subject!$B:$B,0),3)</f>
        <v/>
      </c>
      <c r="AD123" s="8" t="str">
        <f t="array" ref="AD123">INDEX(Subject!$A:$I,MATCH(RANDBETWEEN(1,16),Subject!$B:$B,0),3)</f>
        <v>#N/A</v>
      </c>
      <c r="AE123" s="8" t="str">
        <f t="array" ref="AE123">INDEX(Subject!$A:$I,MATCH(RANDBETWEEN(1,16),Subject!$B:$B,0),3)</f>
        <v>#N/A</v>
      </c>
      <c r="AF123" s="8" t="str">
        <f t="array" ref="AF123">INDEX(Subject!$A:$I,MATCH(RANDBETWEEN(1,16),Subject!$B:$B,0),3)</f>
        <v>#N/A</v>
      </c>
      <c r="AG123" s="8" t="str">
        <f t="array" ref="AG123">INDEX(Subject!$A:$I,MATCH(RANDBETWEEN(1,16),Subject!$B:$B,0),3)</f>
        <v>#N/A</v>
      </c>
      <c r="AH123" s="8" t="str">
        <f t="array" ref="AH123">INDEX(Subject!$A:$I,MATCH(RANDBETWEEN(1,16),Subject!$B:$B,0),3)</f>
        <v>#N/A</v>
      </c>
      <c r="AI123" s="8" t="str">
        <f t="array" ref="AI123">INDEX(Subject!$A:$I,MATCH(RANDBETWEEN(1,16),Subject!$B:$B,0),3)</f>
        <v>#N/A</v>
      </c>
      <c r="AJ123" s="8" t="str">
        <f t="array" ref="AJ123">INDEX(Subject!$A:$I,MATCH(RANDBETWEEN(1,16),Subject!$B:$B,0),3)</f>
        <v>#N/A</v>
      </c>
      <c r="AK123" s="8" t="str">
        <f t="array" ref="AK123">INDEX(Subject!$A:$I,MATCH(RANDBETWEEN(1,16),Subject!$B:$B,0),3)</f>
        <v>#N/A</v>
      </c>
      <c r="AL123" s="8" t="str">
        <f t="array" ref="AL123">INDEX(Subject!$A:$I,MATCH(RANDBETWEEN(1,16),Subject!$B:$B,0),3)</f>
        <v>#N/A</v>
      </c>
      <c r="AM123" s="18">
        <f t="shared" si="4"/>
        <v>45623.33333</v>
      </c>
      <c r="AN123" s="19">
        <f t="shared" ref="AN123:BZ123" si="123">$A123+C$1</f>
        <v>45623.35417</v>
      </c>
      <c r="AO123" s="19">
        <f t="shared" si="123"/>
        <v>45623.375</v>
      </c>
      <c r="AP123" s="19">
        <f t="shared" si="123"/>
        <v>45623.39583</v>
      </c>
      <c r="AQ123" s="19">
        <f t="shared" si="123"/>
        <v>45623.41667</v>
      </c>
      <c r="AR123" s="19">
        <f t="shared" si="123"/>
        <v>45623.4375</v>
      </c>
      <c r="AS123" s="19">
        <f t="shared" si="123"/>
        <v>45623.45833</v>
      </c>
      <c r="AT123" s="19">
        <f t="shared" si="123"/>
        <v>45623.47917</v>
      </c>
      <c r="AU123" s="19">
        <f t="shared" si="123"/>
        <v>45623.5</v>
      </c>
      <c r="AV123" s="19">
        <f t="shared" si="123"/>
        <v>45623.52083</v>
      </c>
      <c r="AW123" s="19">
        <f t="shared" si="123"/>
        <v>45623.54167</v>
      </c>
      <c r="AX123" s="19">
        <f t="shared" si="123"/>
        <v>45623.5625</v>
      </c>
      <c r="AY123" s="19">
        <f t="shared" si="123"/>
        <v>45623.58333</v>
      </c>
      <c r="AZ123" s="19">
        <f t="shared" si="123"/>
        <v>45623.60417</v>
      </c>
      <c r="BA123" s="19">
        <f t="shared" si="123"/>
        <v>45623.625</v>
      </c>
      <c r="BB123" s="19">
        <f t="shared" si="123"/>
        <v>45623.64583</v>
      </c>
      <c r="BC123" s="19">
        <f t="shared" si="123"/>
        <v>45623.66667</v>
      </c>
      <c r="BD123" s="19">
        <f t="shared" si="123"/>
        <v>45623.6875</v>
      </c>
      <c r="BE123" s="19">
        <f t="shared" si="123"/>
        <v>45623.70833</v>
      </c>
      <c r="BF123" s="19">
        <f t="shared" si="123"/>
        <v>45623.72917</v>
      </c>
      <c r="BG123" s="19">
        <f t="shared" si="123"/>
        <v>45623.75</v>
      </c>
      <c r="BH123" s="19">
        <f t="shared" si="123"/>
        <v>45623.77083</v>
      </c>
      <c r="BI123" s="19">
        <f t="shared" si="123"/>
        <v>45623.79167</v>
      </c>
      <c r="BJ123" s="19">
        <f t="shared" si="123"/>
        <v>45623.8125</v>
      </c>
      <c r="BK123" s="19">
        <f t="shared" si="123"/>
        <v>45623.83333</v>
      </c>
      <c r="BL123" s="19">
        <f t="shared" si="123"/>
        <v>45623.85417</v>
      </c>
      <c r="BM123" s="19">
        <f t="shared" si="123"/>
        <v>45623.875</v>
      </c>
      <c r="BN123" s="19">
        <f t="shared" si="123"/>
        <v>45623.89583</v>
      </c>
      <c r="BO123" s="19">
        <f t="shared" si="123"/>
        <v>45623.91667</v>
      </c>
      <c r="BP123" s="19">
        <f t="shared" si="123"/>
        <v>45623.9375</v>
      </c>
      <c r="BQ123" s="19">
        <f t="shared" si="123"/>
        <v>45623.95833</v>
      </c>
      <c r="BR123" s="19">
        <f t="shared" si="123"/>
        <v>45623.97917</v>
      </c>
      <c r="BS123" s="19">
        <f t="shared" si="123"/>
        <v>45624</v>
      </c>
      <c r="BT123" s="19">
        <f t="shared" si="123"/>
        <v>45624.02083</v>
      </c>
      <c r="BU123" s="19">
        <f t="shared" si="123"/>
        <v>45624.04167</v>
      </c>
      <c r="BV123" s="19">
        <f t="shared" si="123"/>
        <v>45624.0625</v>
      </c>
      <c r="BW123" s="19">
        <f t="shared" si="123"/>
        <v>45624.08333</v>
      </c>
      <c r="BX123" s="19">
        <f t="shared" si="123"/>
        <v>45623</v>
      </c>
      <c r="BY123" s="19">
        <f t="shared" si="123"/>
        <v>45623</v>
      </c>
      <c r="BZ123" s="19">
        <f t="shared" si="123"/>
        <v>45623</v>
      </c>
    </row>
    <row r="124" ht="14.25" customHeight="1">
      <c r="A124" s="17">
        <v>45624.0</v>
      </c>
      <c r="B124" s="2" t="str">
        <f t="array" ref="B124">IF(NOW()&gt;AM124,"",IF(AND((WEEKDAY($A124)+$B$2)&gt;1,((WEEKDAY($A124)+$T$2)&lt;7),(WEEKDAY($A124)&lt;&gt;1)),"work",(INDEX(Subject!$A:$I,MATCH(RANDBETWEEN(1,(MAX(Subject!$B:$B))),Subject!$B:$B,0),3))))</f>
        <v/>
      </c>
      <c r="C124" s="2" t="str">
        <f t="array" ref="C124">IF(NOW()&gt;AN124,"",IF(AND((WEEKDAY($A124)+$B$2)&gt;1,((WEEKDAY($A124)+$T$2)&lt;7),(WEEKDAY($A124)&lt;&gt;1)),"work",(INDEX(Subject!$A:$I,MATCH(RANDBETWEEN(1,(MAX(Subject!$B:$B))),Subject!$B:$B,0),3))))</f>
        <v/>
      </c>
      <c r="D124" s="2" t="str">
        <f t="array" ref="D124">IF(NOW()&gt;AO124,"",IF(AND((WEEKDAY($A124)+$B$2)&gt;1,((WEEKDAY($A124)+$T$2)&lt;7),(WEEKDAY($A124)&lt;&gt;1)),"work",(INDEX(Subject!$A:$I,MATCH(RANDBETWEEN(1,(MAX(Subject!$B:$B))),Subject!$B:$B,0),3))))</f>
        <v/>
      </c>
      <c r="E124" s="2" t="str">
        <f t="array" ref="E124">IF(NOW()&gt;AP124,"",IF(AND((WEEKDAY($A124)+$B$2)&gt;1,((WEEKDAY($A124)+$T$2)&lt;7),(WEEKDAY($A124)&lt;&gt;1)),"work",(INDEX(Subject!$A:$I,MATCH(RANDBETWEEN(1,(MAX(Subject!$B:$B))),Subject!$B:$B,0),3))))</f>
        <v/>
      </c>
      <c r="F124" s="2" t="str">
        <f t="array" ref="F124">IF(NOW()&gt;AQ124,"",IF(AND((WEEKDAY($A124)+$B$2)&gt;1,((WEEKDAY($A124)+$T$2)&lt;7),(WEEKDAY($A124)&lt;&gt;1)),"work",(INDEX(Subject!$A:$I,MATCH(RANDBETWEEN(1,(MAX(Subject!$B:$B))),Subject!$B:$B,0),3))))</f>
        <v/>
      </c>
      <c r="G124" s="2" t="str">
        <f t="array" ref="G124">IF(NOW()&gt;AR124,"",IF(AND((WEEKDAY($A124)+$B$2)&gt;1,((WEEKDAY($A124)+$T$2)&lt;7),(WEEKDAY($A124)&lt;&gt;1)),"work",(INDEX(Subject!$A:$I,MATCH(RANDBETWEEN(1,(MAX(Subject!$B:$B))),Subject!$B:$B,0),3))))</f>
        <v/>
      </c>
      <c r="H124" s="2" t="str">
        <f t="array" ref="H124">IF(NOW()&gt;AS124,"",IF(AND((WEEKDAY($A124)+$B$2)&gt;1,((WEEKDAY($A124)+$T$2)&lt;7),(WEEKDAY($A124)&lt;&gt;1)),"work",(INDEX(Subject!$A:$I,MATCH(RANDBETWEEN(1,(MAX(Subject!$B:$B))),Subject!$B:$B,0),3))))</f>
        <v/>
      </c>
      <c r="I124" s="2" t="str">
        <f t="array" ref="I124">IF(NOW()&gt;AT124,"",IF(AND((WEEKDAY($A124)+$B$2)&gt;1,((WEEKDAY($A124)+$T$2)&lt;7),(WEEKDAY($A124)&lt;&gt;1)),"work",(INDEX(Subject!$A:$I,MATCH(RANDBETWEEN(1,(MAX(Subject!$B:$B))),Subject!$B:$B,0),3))))</f>
        <v/>
      </c>
      <c r="J124" s="2" t="str">
        <f t="array" ref="J124">IF(NOW()&gt;AU124,"",IF(AND((WEEKDAY($A124)+$B$2)&gt;1,((WEEKDAY($A124)+$T$2)&lt;7),(WEEKDAY($A124)&lt;&gt;1)),"work",(INDEX(Subject!$A:$I,MATCH(RANDBETWEEN(1,(MAX(Subject!$B:$B))),Subject!$B:$B,0),3))))</f>
        <v/>
      </c>
      <c r="K124" s="2" t="str">
        <f t="array" ref="K124">IF(NOW()&gt;AV124,"",IF(AND((WEEKDAY($A124)+$B$2)&gt;1,((WEEKDAY($A124)+$T$2)&lt;7),(WEEKDAY($A124)&lt;&gt;1)),"work",(INDEX(Subject!$A:$I,MATCH(RANDBETWEEN(1,(MAX(Subject!$B:$B))),Subject!$B:$B,0),3))))</f>
        <v/>
      </c>
      <c r="L124" s="2" t="str">
        <f t="array" ref="L124">IF(NOW()&gt;AW124,"",IF(AND((WEEKDAY($A124)+$B$2)&gt;1,((WEEKDAY($A124)+$T$2)&lt;7),(WEEKDAY($A124)&lt;&gt;1)),"work",(INDEX(Subject!$A:$I,MATCH(RANDBETWEEN(1,(MAX(Subject!$B:$B))),Subject!$B:$B,0),3))))</f>
        <v/>
      </c>
      <c r="M124" s="2" t="str">
        <f t="array" ref="M124">IF(NOW()&gt;AX124,"",IF(AND((WEEKDAY($A124)+$B$2)&gt;1,((WEEKDAY($A124)+$T$2)&lt;7),(WEEKDAY($A124)&lt;&gt;1)),"work",(INDEX(Subject!$A:$I,MATCH(RANDBETWEEN(1,(MAX(Subject!$B:$B))),Subject!$B:$B,0),3))))</f>
        <v/>
      </c>
      <c r="N124" s="2" t="str">
        <f t="array" ref="N124">IF(NOW()&gt;AY124,"",IF(AND((WEEKDAY($A124)+$B$2)&gt;1,((WEEKDAY($A124)+$T$2)&lt;7),(WEEKDAY($A124)&lt;&gt;1)),"work",(INDEX(Subject!$A:$I,MATCH(RANDBETWEEN(1,(MAX(Subject!$B:$B))),Subject!$B:$B,0),3))))</f>
        <v/>
      </c>
      <c r="O124" s="2" t="str">
        <f t="array" ref="O124">IF(NOW()&gt;AZ124,"",IF(AND((WEEKDAY($A124)+$B$2)&gt;1,((WEEKDAY($A124)+$T$2)&lt;7),(WEEKDAY($A124)&lt;&gt;1)),"work",(INDEX(Subject!$A:$I,MATCH(RANDBETWEEN(1,(MAX(Subject!$B:$B))),Subject!$B:$B,0),3))))</f>
        <v/>
      </c>
      <c r="P124" s="2" t="str">
        <f t="array" ref="P124">IF(NOW()&gt;BA124,"",IF(AND((WEEKDAY($A124)+$B$2)&gt;1,((WEEKDAY($A124)+$T$2)&lt;7),(WEEKDAY($A124)&lt;&gt;1)),"work",(INDEX(Subject!$A:$I,MATCH(RANDBETWEEN(1,(MAX(Subject!$B:$B))),Subject!$B:$B,0),3))))</f>
        <v/>
      </c>
      <c r="Q124" s="2" t="str">
        <f t="array" ref="Q124">IF(NOW()&gt;BB124,"",IF(AND((WEEKDAY($A124)+$B$2)&gt;1,((WEEKDAY($A124)+$T$2)&lt;7),(WEEKDAY($A124)&lt;&gt;1)),"work",(INDEX(Subject!$A:$I,MATCH(RANDBETWEEN(1,(MAX(Subject!$B:$B))),Subject!$B:$B,0),3))))</f>
        <v/>
      </c>
      <c r="R124" s="2" t="str">
        <f t="array" ref="R124">IF(NOW()&gt;BC124,"",IF(AND((WEEKDAY($A124)+$B$2)&gt;1,((WEEKDAY($A124)+$T$2)&lt;7),(WEEKDAY($A124)&lt;&gt;1)),"work",(INDEX(Subject!$A:$I,MATCH(RANDBETWEEN(1,(MAX(Subject!$B:$B))),Subject!$B:$B,0),3))))</f>
        <v/>
      </c>
      <c r="S124" s="2" t="str">
        <f t="array" ref="S124">IF(NOW()&gt;BD124,"",IF(AND((WEEKDAY($A124)+$B$2)&gt;1,((WEEKDAY($A124)+$T$2)&lt;7),(WEEKDAY($A124)&lt;&gt;1)),"work",(INDEX(Subject!$A:$I,MATCH(RANDBETWEEN(1,(MAX(Subject!$B:$B))),Subject!$B:$B,0),3))))</f>
        <v/>
      </c>
      <c r="T124" s="2" t="str">
        <f t="array" ref="T124">IF(NOW()&gt;BE124,"",IF(AND((WEEKDAY($A124)+$B$2)&gt;1,((WEEKDAY($A124)+$T$2)&lt;7),(WEEKDAY($A124)&lt;&gt;1)),"work",(INDEX(Subject!$A:$I,MATCH(RANDBETWEEN(1,(MAX(Subject!$B:$B))),Subject!$B:$B,0),3))))</f>
        <v/>
      </c>
      <c r="U124" s="8" t="str">
        <f t="array" ref="U124">INDEX(Subject!$A:$I,MATCH(RANDBETWEEN(1,16),Subject!$B:$B,0),3)</f>
        <v>#N/A</v>
      </c>
      <c r="V124" s="8" t="str">
        <f t="array" ref="V124">INDEX(Subject!$A:$I,MATCH(RANDBETWEEN(1,16),Subject!$B:$B,0),3)</f>
        <v>#N/A</v>
      </c>
      <c r="W124" s="8" t="str">
        <f t="array" ref="W124">INDEX(Subject!$A:$I,MATCH(RANDBETWEEN(1,16),Subject!$B:$B,0),3)</f>
        <v>#N/A</v>
      </c>
      <c r="X124" s="8" t="str">
        <f t="array" ref="X124">INDEX(Subject!$A:$I,MATCH(RANDBETWEEN(1,16),Subject!$B:$B,0),3)</f>
        <v>#N/A</v>
      </c>
      <c r="Y124" s="8" t="str">
        <f t="array" ref="Y124">INDEX(Subject!$A:$I,MATCH(RANDBETWEEN(1,16),Subject!$B:$B,0),3)</f>
        <v>#N/A</v>
      </c>
      <c r="Z124" s="8" t="str">
        <f t="array" ref="Z124">INDEX(Subject!$A:$I,MATCH(RANDBETWEEN(1,16),Subject!$B:$B,0),3)</f>
        <v>#N/A</v>
      </c>
      <c r="AA124" s="8" t="str">
        <f t="array" ref="AA124">INDEX(Subject!$A:$I,MATCH(RANDBETWEEN(1,16),Subject!$B:$B,0),3)</f>
        <v>#N/A</v>
      </c>
      <c r="AB124" s="8" t="str">
        <f t="array" ref="AB124">INDEX(Subject!$A:$I,MATCH(RANDBETWEEN(1,16),Subject!$B:$B,0),3)</f>
        <v>#N/A</v>
      </c>
      <c r="AC124" s="8" t="str">
        <f t="array" ref="AC124">INDEX(Subject!$A:$I,MATCH(RANDBETWEEN(1,16),Subject!$B:$B,0),3)</f>
        <v>#N/A</v>
      </c>
      <c r="AD124" s="8" t="str">
        <f t="array" ref="AD124">INDEX(Subject!$A:$I,MATCH(RANDBETWEEN(1,16),Subject!$B:$B,0),3)</f>
        <v>#N/A</v>
      </c>
      <c r="AE124" s="8" t="str">
        <f t="array" ref="AE124">INDEX(Subject!$A:$I,MATCH(RANDBETWEEN(1,16),Subject!$B:$B,0),3)</f>
        <v/>
      </c>
      <c r="AF124" s="8" t="str">
        <f t="array" ref="AF124">INDEX(Subject!$A:$I,MATCH(RANDBETWEEN(1,16),Subject!$B:$B,0),3)</f>
        <v/>
      </c>
      <c r="AG124" s="8" t="str">
        <f t="array" ref="AG124">INDEX(Subject!$A:$I,MATCH(RANDBETWEEN(1,16),Subject!$B:$B,0),3)</f>
        <v>#N/A</v>
      </c>
      <c r="AH124" s="8" t="str">
        <f t="array" ref="AH124">INDEX(Subject!$A:$I,MATCH(RANDBETWEEN(1,16),Subject!$B:$B,0),3)</f>
        <v>#N/A</v>
      </c>
      <c r="AI124" s="8" t="str">
        <f t="array" ref="AI124">INDEX(Subject!$A:$I,MATCH(RANDBETWEEN(1,16),Subject!$B:$B,0),3)</f>
        <v>#N/A</v>
      </c>
      <c r="AJ124" s="8" t="str">
        <f t="array" ref="AJ124">INDEX(Subject!$A:$I,MATCH(RANDBETWEEN(1,16),Subject!$B:$B,0),3)</f>
        <v>#N/A</v>
      </c>
      <c r="AK124" s="8" t="str">
        <f t="array" ref="AK124">INDEX(Subject!$A:$I,MATCH(RANDBETWEEN(1,16),Subject!$B:$B,0),3)</f>
        <v>#N/A</v>
      </c>
      <c r="AL124" s="8" t="str">
        <f t="array" ref="AL124">INDEX(Subject!$A:$I,MATCH(RANDBETWEEN(1,16),Subject!$B:$B,0),3)</f>
        <v>#N/A</v>
      </c>
      <c r="AM124" s="18">
        <f t="shared" si="4"/>
        <v>45624.33333</v>
      </c>
      <c r="AN124" s="19">
        <f t="shared" ref="AN124:BZ124" si="124">$A124+C$1</f>
        <v>45624.35417</v>
      </c>
      <c r="AO124" s="19">
        <f t="shared" si="124"/>
        <v>45624.375</v>
      </c>
      <c r="AP124" s="19">
        <f t="shared" si="124"/>
        <v>45624.39583</v>
      </c>
      <c r="AQ124" s="19">
        <f t="shared" si="124"/>
        <v>45624.41667</v>
      </c>
      <c r="AR124" s="19">
        <f t="shared" si="124"/>
        <v>45624.4375</v>
      </c>
      <c r="AS124" s="19">
        <f t="shared" si="124"/>
        <v>45624.45833</v>
      </c>
      <c r="AT124" s="19">
        <f t="shared" si="124"/>
        <v>45624.47917</v>
      </c>
      <c r="AU124" s="19">
        <f t="shared" si="124"/>
        <v>45624.5</v>
      </c>
      <c r="AV124" s="19">
        <f t="shared" si="124"/>
        <v>45624.52083</v>
      </c>
      <c r="AW124" s="19">
        <f t="shared" si="124"/>
        <v>45624.54167</v>
      </c>
      <c r="AX124" s="19">
        <f t="shared" si="124"/>
        <v>45624.5625</v>
      </c>
      <c r="AY124" s="19">
        <f t="shared" si="124"/>
        <v>45624.58333</v>
      </c>
      <c r="AZ124" s="19">
        <f t="shared" si="124"/>
        <v>45624.60417</v>
      </c>
      <c r="BA124" s="19">
        <f t="shared" si="124"/>
        <v>45624.625</v>
      </c>
      <c r="BB124" s="19">
        <f t="shared" si="124"/>
        <v>45624.64583</v>
      </c>
      <c r="BC124" s="19">
        <f t="shared" si="124"/>
        <v>45624.66667</v>
      </c>
      <c r="BD124" s="19">
        <f t="shared" si="124"/>
        <v>45624.6875</v>
      </c>
      <c r="BE124" s="19">
        <f t="shared" si="124"/>
        <v>45624.70833</v>
      </c>
      <c r="BF124" s="19">
        <f t="shared" si="124"/>
        <v>45624.72917</v>
      </c>
      <c r="BG124" s="19">
        <f t="shared" si="124"/>
        <v>45624.75</v>
      </c>
      <c r="BH124" s="19">
        <f t="shared" si="124"/>
        <v>45624.77083</v>
      </c>
      <c r="BI124" s="19">
        <f t="shared" si="124"/>
        <v>45624.79167</v>
      </c>
      <c r="BJ124" s="19">
        <f t="shared" si="124"/>
        <v>45624.8125</v>
      </c>
      <c r="BK124" s="19">
        <f t="shared" si="124"/>
        <v>45624.83333</v>
      </c>
      <c r="BL124" s="19">
        <f t="shared" si="124"/>
        <v>45624.85417</v>
      </c>
      <c r="BM124" s="19">
        <f t="shared" si="124"/>
        <v>45624.875</v>
      </c>
      <c r="BN124" s="19">
        <f t="shared" si="124"/>
        <v>45624.89583</v>
      </c>
      <c r="BO124" s="19">
        <f t="shared" si="124"/>
        <v>45624.91667</v>
      </c>
      <c r="BP124" s="19">
        <f t="shared" si="124"/>
        <v>45624.9375</v>
      </c>
      <c r="BQ124" s="19">
        <f t="shared" si="124"/>
        <v>45624.95833</v>
      </c>
      <c r="BR124" s="19">
        <f t="shared" si="124"/>
        <v>45624.97917</v>
      </c>
      <c r="BS124" s="19">
        <f t="shared" si="124"/>
        <v>45625</v>
      </c>
      <c r="BT124" s="19">
        <f t="shared" si="124"/>
        <v>45625.02083</v>
      </c>
      <c r="BU124" s="19">
        <f t="shared" si="124"/>
        <v>45625.04167</v>
      </c>
      <c r="BV124" s="19">
        <f t="shared" si="124"/>
        <v>45625.0625</v>
      </c>
      <c r="BW124" s="19">
        <f t="shared" si="124"/>
        <v>45625.08333</v>
      </c>
      <c r="BX124" s="19">
        <f t="shared" si="124"/>
        <v>45624</v>
      </c>
      <c r="BY124" s="19">
        <f t="shared" si="124"/>
        <v>45624</v>
      </c>
      <c r="BZ124" s="19">
        <f t="shared" si="124"/>
        <v>45624</v>
      </c>
    </row>
    <row r="125" ht="14.25" customHeight="1">
      <c r="A125" s="17">
        <v>45625.0</v>
      </c>
      <c r="B125" s="2" t="str">
        <f t="array" ref="B125">IF(NOW()&gt;AM125,"",IF(AND((WEEKDAY($A125)+$B$2)&gt;1,((WEEKDAY($A125)+$T$2)&lt;7),(WEEKDAY($A125)&lt;&gt;1)),"work",(INDEX(Subject!$A:$I,MATCH(RANDBETWEEN(1,(MAX(Subject!$B:$B))),Subject!$B:$B,0),3))))</f>
        <v/>
      </c>
      <c r="C125" s="2" t="str">
        <f t="array" ref="C125">IF(NOW()&gt;AN125,"",IF(AND((WEEKDAY($A125)+$B$2)&gt;1,((WEEKDAY($A125)+$T$2)&lt;7),(WEEKDAY($A125)&lt;&gt;1)),"work",(INDEX(Subject!$A:$I,MATCH(RANDBETWEEN(1,(MAX(Subject!$B:$B))),Subject!$B:$B,0),3))))</f>
        <v/>
      </c>
      <c r="D125" s="2" t="str">
        <f t="array" ref="D125">IF(NOW()&gt;AO125,"",IF(AND((WEEKDAY($A125)+$B$2)&gt;1,((WEEKDAY($A125)+$T$2)&lt;7),(WEEKDAY($A125)&lt;&gt;1)),"work",(INDEX(Subject!$A:$I,MATCH(RANDBETWEEN(1,(MAX(Subject!$B:$B))),Subject!$B:$B,0),3))))</f>
        <v/>
      </c>
      <c r="E125" s="2" t="str">
        <f t="array" ref="E125">IF(NOW()&gt;AP125,"",IF(AND((WEEKDAY($A125)+$B$2)&gt;1,((WEEKDAY($A125)+$T$2)&lt;7),(WEEKDAY($A125)&lt;&gt;1)),"work",(INDEX(Subject!$A:$I,MATCH(RANDBETWEEN(1,(MAX(Subject!$B:$B))),Subject!$B:$B,0),3))))</f>
        <v/>
      </c>
      <c r="F125" s="2" t="str">
        <f t="array" ref="F125">IF(NOW()&gt;AQ125,"",IF(AND((WEEKDAY($A125)+$B$2)&gt;1,((WEEKDAY($A125)+$T$2)&lt;7),(WEEKDAY($A125)&lt;&gt;1)),"work",(INDEX(Subject!$A:$I,MATCH(RANDBETWEEN(1,(MAX(Subject!$B:$B))),Subject!$B:$B,0),3))))</f>
        <v/>
      </c>
      <c r="G125" s="2" t="str">
        <f t="array" ref="G125">IF(NOW()&gt;AR125,"",IF(AND((WEEKDAY($A125)+$B$2)&gt;1,((WEEKDAY($A125)+$T$2)&lt;7),(WEEKDAY($A125)&lt;&gt;1)),"work",(INDEX(Subject!$A:$I,MATCH(RANDBETWEEN(1,(MAX(Subject!$B:$B))),Subject!$B:$B,0),3))))</f>
        <v/>
      </c>
      <c r="H125" s="2" t="str">
        <f t="array" ref="H125">IF(NOW()&gt;AS125,"",IF(AND((WEEKDAY($A125)+$B$2)&gt;1,((WEEKDAY($A125)+$T$2)&lt;7),(WEEKDAY($A125)&lt;&gt;1)),"work",(INDEX(Subject!$A:$I,MATCH(RANDBETWEEN(1,(MAX(Subject!$B:$B))),Subject!$B:$B,0),3))))</f>
        <v/>
      </c>
      <c r="I125" s="2" t="str">
        <f t="array" ref="I125">IF(NOW()&gt;AT125,"",IF(AND((WEEKDAY($A125)+$B$2)&gt;1,((WEEKDAY($A125)+$T$2)&lt;7),(WEEKDAY($A125)&lt;&gt;1)),"work",(INDEX(Subject!$A:$I,MATCH(RANDBETWEEN(1,(MAX(Subject!$B:$B))),Subject!$B:$B,0),3))))</f>
        <v/>
      </c>
      <c r="J125" s="2" t="str">
        <f t="array" ref="J125">IF(NOW()&gt;AU125,"",IF(AND((WEEKDAY($A125)+$B$2)&gt;1,((WEEKDAY($A125)+$T$2)&lt;7),(WEEKDAY($A125)&lt;&gt;1)),"work",(INDEX(Subject!$A:$I,MATCH(RANDBETWEEN(1,(MAX(Subject!$B:$B))),Subject!$B:$B,0),3))))</f>
        <v/>
      </c>
      <c r="K125" s="2" t="str">
        <f t="array" ref="K125">IF(NOW()&gt;AV125,"",IF(AND((WEEKDAY($A125)+$B$2)&gt;1,((WEEKDAY($A125)+$T$2)&lt;7),(WEEKDAY($A125)&lt;&gt;1)),"work",(INDEX(Subject!$A:$I,MATCH(RANDBETWEEN(1,(MAX(Subject!$B:$B))),Subject!$B:$B,0),3))))</f>
        <v/>
      </c>
      <c r="L125" s="2" t="str">
        <f t="array" ref="L125">IF(NOW()&gt;AW125,"",IF(AND((WEEKDAY($A125)+$B$2)&gt;1,((WEEKDAY($A125)+$T$2)&lt;7),(WEEKDAY($A125)&lt;&gt;1)),"work",(INDEX(Subject!$A:$I,MATCH(RANDBETWEEN(1,(MAX(Subject!$B:$B))),Subject!$B:$B,0),3))))</f>
        <v/>
      </c>
      <c r="M125" s="2" t="str">
        <f t="array" ref="M125">IF(NOW()&gt;AX125,"",IF(AND((WEEKDAY($A125)+$B$2)&gt;1,((WEEKDAY($A125)+$T$2)&lt;7),(WEEKDAY($A125)&lt;&gt;1)),"work",(INDEX(Subject!$A:$I,MATCH(RANDBETWEEN(1,(MAX(Subject!$B:$B))),Subject!$B:$B,0),3))))</f>
        <v/>
      </c>
      <c r="N125" s="2" t="str">
        <f t="array" ref="N125">IF(NOW()&gt;AY125,"",IF(AND((WEEKDAY($A125)+$B$2)&gt;1,((WEEKDAY($A125)+$T$2)&lt;7),(WEEKDAY($A125)&lt;&gt;1)),"work",(INDEX(Subject!$A:$I,MATCH(RANDBETWEEN(1,(MAX(Subject!$B:$B))),Subject!$B:$B,0),3))))</f>
        <v/>
      </c>
      <c r="O125" s="2" t="str">
        <f t="array" ref="O125">IF(NOW()&gt;AZ125,"",IF(AND((WEEKDAY($A125)+$B$2)&gt;1,((WEEKDAY($A125)+$T$2)&lt;7),(WEEKDAY($A125)&lt;&gt;1)),"work",(INDEX(Subject!$A:$I,MATCH(RANDBETWEEN(1,(MAX(Subject!$B:$B))),Subject!$B:$B,0),3))))</f>
        <v/>
      </c>
      <c r="P125" s="2" t="str">
        <f t="array" ref="P125">IF(NOW()&gt;BA125,"",IF(AND((WEEKDAY($A125)+$B$2)&gt;1,((WEEKDAY($A125)+$T$2)&lt;7),(WEEKDAY($A125)&lt;&gt;1)),"work",(INDEX(Subject!$A:$I,MATCH(RANDBETWEEN(1,(MAX(Subject!$B:$B))),Subject!$B:$B,0),3))))</f>
        <v/>
      </c>
      <c r="Q125" s="2" t="str">
        <f t="array" ref="Q125">IF(NOW()&gt;BB125,"",IF(AND((WEEKDAY($A125)+$B$2)&gt;1,((WEEKDAY($A125)+$T$2)&lt;7),(WEEKDAY($A125)&lt;&gt;1)),"work",(INDEX(Subject!$A:$I,MATCH(RANDBETWEEN(1,(MAX(Subject!$B:$B))),Subject!$B:$B,0),3))))</f>
        <v/>
      </c>
      <c r="R125" s="2" t="str">
        <f t="array" ref="R125">IF(NOW()&gt;BC125,"",IF(AND((WEEKDAY($A125)+$B$2)&gt;1,((WEEKDAY($A125)+$T$2)&lt;7),(WEEKDAY($A125)&lt;&gt;1)),"work",(INDEX(Subject!$A:$I,MATCH(RANDBETWEEN(1,(MAX(Subject!$B:$B))),Subject!$B:$B,0),3))))</f>
        <v/>
      </c>
      <c r="S125" s="2" t="str">
        <f t="array" ref="S125">IF(NOW()&gt;BD125,"",IF(AND((WEEKDAY($A125)+$B$2)&gt;1,((WEEKDAY($A125)+$T$2)&lt;7),(WEEKDAY($A125)&lt;&gt;1)),"work",(INDEX(Subject!$A:$I,MATCH(RANDBETWEEN(1,(MAX(Subject!$B:$B))),Subject!$B:$B,0),3))))</f>
        <v/>
      </c>
      <c r="T125" s="2" t="str">
        <f t="array" ref="T125">IF(NOW()&gt;BE125,"",IF(AND((WEEKDAY($A125)+$B$2)&gt;1,((WEEKDAY($A125)+$T$2)&lt;7),(WEEKDAY($A125)&lt;&gt;1)),"work",(INDEX(Subject!$A:$I,MATCH(RANDBETWEEN(1,(MAX(Subject!$B:$B))),Subject!$B:$B,0),3))))</f>
        <v/>
      </c>
      <c r="U125" s="8" t="str">
        <f t="array" ref="U125">INDEX(Subject!$A:$I,MATCH(RANDBETWEEN(1,16),Subject!$B:$B,0),3)</f>
        <v>#N/A</v>
      </c>
      <c r="V125" s="8" t="str">
        <f t="array" ref="V125">INDEX(Subject!$A:$I,MATCH(RANDBETWEEN(1,16),Subject!$B:$B,0),3)</f>
        <v>#N/A</v>
      </c>
      <c r="W125" s="8" t="str">
        <f t="array" ref="W125">INDEX(Subject!$A:$I,MATCH(RANDBETWEEN(1,16),Subject!$B:$B,0),3)</f>
        <v>#N/A</v>
      </c>
      <c r="X125" s="8" t="str">
        <f t="array" ref="X125">INDEX(Subject!$A:$I,MATCH(RANDBETWEEN(1,16),Subject!$B:$B,0),3)</f>
        <v>#N/A</v>
      </c>
      <c r="Y125" s="8" t="str">
        <f t="array" ref="Y125">INDEX(Subject!$A:$I,MATCH(RANDBETWEEN(1,16),Subject!$B:$B,0),3)</f>
        <v>#N/A</v>
      </c>
      <c r="Z125" s="8" t="str">
        <f t="array" ref="Z125">INDEX(Subject!$A:$I,MATCH(RANDBETWEEN(1,16),Subject!$B:$B,0),3)</f>
        <v>#N/A</v>
      </c>
      <c r="AA125" s="8" t="str">
        <f t="array" ref="AA125">INDEX(Subject!$A:$I,MATCH(RANDBETWEEN(1,16),Subject!$B:$B,0),3)</f>
        <v>#N/A</v>
      </c>
      <c r="AB125" s="8" t="str">
        <f t="array" ref="AB125">INDEX(Subject!$A:$I,MATCH(RANDBETWEEN(1,16),Subject!$B:$B,0),3)</f>
        <v>#N/A</v>
      </c>
      <c r="AC125" s="8" t="str">
        <f t="array" ref="AC125">INDEX(Subject!$A:$I,MATCH(RANDBETWEEN(1,16),Subject!$B:$B,0),3)</f>
        <v>#N/A</v>
      </c>
      <c r="AD125" s="8" t="str">
        <f t="array" ref="AD125">INDEX(Subject!$A:$I,MATCH(RANDBETWEEN(1,16),Subject!$B:$B,0),3)</f>
        <v>#N/A</v>
      </c>
      <c r="AE125" s="8" t="str">
        <f t="array" ref="AE125">INDEX(Subject!$A:$I,MATCH(RANDBETWEEN(1,16),Subject!$B:$B,0),3)</f>
        <v>#N/A</v>
      </c>
      <c r="AF125" s="8" t="str">
        <f t="array" ref="AF125">INDEX(Subject!$A:$I,MATCH(RANDBETWEEN(1,16),Subject!$B:$B,0),3)</f>
        <v>#N/A</v>
      </c>
      <c r="AG125" s="8" t="str">
        <f t="array" ref="AG125">INDEX(Subject!$A:$I,MATCH(RANDBETWEEN(1,16),Subject!$B:$B,0),3)</f>
        <v>#N/A</v>
      </c>
      <c r="AH125" s="8" t="str">
        <f t="array" ref="AH125">INDEX(Subject!$A:$I,MATCH(RANDBETWEEN(1,16),Subject!$B:$B,0),3)</f>
        <v>#N/A</v>
      </c>
      <c r="AI125" s="8" t="str">
        <f t="array" ref="AI125">INDEX(Subject!$A:$I,MATCH(RANDBETWEEN(1,16),Subject!$B:$B,0),3)</f>
        <v>#N/A</v>
      </c>
      <c r="AJ125" s="8" t="str">
        <f t="array" ref="AJ125">INDEX(Subject!$A:$I,MATCH(RANDBETWEEN(1,16),Subject!$B:$B,0),3)</f>
        <v>#N/A</v>
      </c>
      <c r="AK125" s="8" t="str">
        <f t="array" ref="AK125">INDEX(Subject!$A:$I,MATCH(RANDBETWEEN(1,16),Subject!$B:$B,0),3)</f>
        <v>#N/A</v>
      </c>
      <c r="AL125" s="8" t="str">
        <f t="array" ref="AL125">INDEX(Subject!$A:$I,MATCH(RANDBETWEEN(1,16),Subject!$B:$B,0),3)</f>
        <v>#N/A</v>
      </c>
      <c r="AM125" s="18">
        <f t="shared" si="4"/>
        <v>45625.33333</v>
      </c>
      <c r="AN125" s="19">
        <f t="shared" ref="AN125:BZ125" si="125">$A125+C$1</f>
        <v>45625.35417</v>
      </c>
      <c r="AO125" s="19">
        <f t="shared" si="125"/>
        <v>45625.375</v>
      </c>
      <c r="AP125" s="19">
        <f t="shared" si="125"/>
        <v>45625.39583</v>
      </c>
      <c r="AQ125" s="19">
        <f t="shared" si="125"/>
        <v>45625.41667</v>
      </c>
      <c r="AR125" s="19">
        <f t="shared" si="125"/>
        <v>45625.4375</v>
      </c>
      <c r="AS125" s="19">
        <f t="shared" si="125"/>
        <v>45625.45833</v>
      </c>
      <c r="AT125" s="19">
        <f t="shared" si="125"/>
        <v>45625.47917</v>
      </c>
      <c r="AU125" s="19">
        <f t="shared" si="125"/>
        <v>45625.5</v>
      </c>
      <c r="AV125" s="19">
        <f t="shared" si="125"/>
        <v>45625.52083</v>
      </c>
      <c r="AW125" s="19">
        <f t="shared" si="125"/>
        <v>45625.54167</v>
      </c>
      <c r="AX125" s="19">
        <f t="shared" si="125"/>
        <v>45625.5625</v>
      </c>
      <c r="AY125" s="19">
        <f t="shared" si="125"/>
        <v>45625.58333</v>
      </c>
      <c r="AZ125" s="19">
        <f t="shared" si="125"/>
        <v>45625.60417</v>
      </c>
      <c r="BA125" s="19">
        <f t="shared" si="125"/>
        <v>45625.625</v>
      </c>
      <c r="BB125" s="19">
        <f t="shared" si="125"/>
        <v>45625.64583</v>
      </c>
      <c r="BC125" s="19">
        <f t="shared" si="125"/>
        <v>45625.66667</v>
      </c>
      <c r="BD125" s="19">
        <f t="shared" si="125"/>
        <v>45625.6875</v>
      </c>
      <c r="BE125" s="19">
        <f t="shared" si="125"/>
        <v>45625.70833</v>
      </c>
      <c r="BF125" s="19">
        <f t="shared" si="125"/>
        <v>45625.72917</v>
      </c>
      <c r="BG125" s="19">
        <f t="shared" si="125"/>
        <v>45625.75</v>
      </c>
      <c r="BH125" s="19">
        <f t="shared" si="125"/>
        <v>45625.77083</v>
      </c>
      <c r="BI125" s="19">
        <f t="shared" si="125"/>
        <v>45625.79167</v>
      </c>
      <c r="BJ125" s="19">
        <f t="shared" si="125"/>
        <v>45625.8125</v>
      </c>
      <c r="BK125" s="19">
        <f t="shared" si="125"/>
        <v>45625.83333</v>
      </c>
      <c r="BL125" s="19">
        <f t="shared" si="125"/>
        <v>45625.85417</v>
      </c>
      <c r="BM125" s="19">
        <f t="shared" si="125"/>
        <v>45625.875</v>
      </c>
      <c r="BN125" s="19">
        <f t="shared" si="125"/>
        <v>45625.89583</v>
      </c>
      <c r="BO125" s="19">
        <f t="shared" si="125"/>
        <v>45625.91667</v>
      </c>
      <c r="BP125" s="19">
        <f t="shared" si="125"/>
        <v>45625.9375</v>
      </c>
      <c r="BQ125" s="19">
        <f t="shared" si="125"/>
        <v>45625.95833</v>
      </c>
      <c r="BR125" s="19">
        <f t="shared" si="125"/>
        <v>45625.97917</v>
      </c>
      <c r="BS125" s="19">
        <f t="shared" si="125"/>
        <v>45626</v>
      </c>
      <c r="BT125" s="19">
        <f t="shared" si="125"/>
        <v>45626.02083</v>
      </c>
      <c r="BU125" s="19">
        <f t="shared" si="125"/>
        <v>45626.04167</v>
      </c>
      <c r="BV125" s="19">
        <f t="shared" si="125"/>
        <v>45626.0625</v>
      </c>
      <c r="BW125" s="19">
        <f t="shared" si="125"/>
        <v>45626.08333</v>
      </c>
      <c r="BX125" s="19">
        <f t="shared" si="125"/>
        <v>45625</v>
      </c>
      <c r="BY125" s="19">
        <f t="shared" si="125"/>
        <v>45625</v>
      </c>
      <c r="BZ125" s="19">
        <f t="shared" si="125"/>
        <v>45625</v>
      </c>
    </row>
    <row r="126" ht="14.25" customHeight="1">
      <c r="A126" s="17">
        <v>45626.0</v>
      </c>
      <c r="B126" s="2" t="str">
        <f t="array" ref="B126">IF(NOW()&gt;AM126,"",IF(AND((WEEKDAY($A126)+$B$2)&gt;1,((WEEKDAY($A126)+$T$2)&lt;7),(WEEKDAY($A126)&lt;&gt;1)),"work",(INDEX(Subject!$A:$I,MATCH(RANDBETWEEN(1,(MAX(Subject!$B:$B))),Subject!$B:$B,0),3))))</f>
        <v/>
      </c>
      <c r="C126" s="2" t="str">
        <f t="array" ref="C126">IF(NOW()&gt;AN126,"",IF(AND((WEEKDAY($A126)+$B$2)&gt;1,((WEEKDAY($A126)+$T$2)&lt;7),(WEEKDAY($A126)&lt;&gt;1)),"work",(INDEX(Subject!$A:$I,MATCH(RANDBETWEEN(1,(MAX(Subject!$B:$B))),Subject!$B:$B,0),3))))</f>
        <v/>
      </c>
      <c r="D126" s="2" t="str">
        <f t="array" ref="D126">IF(NOW()&gt;AO126,"",IF(AND((WEEKDAY($A126)+$B$2)&gt;1,((WEEKDAY($A126)+$T$2)&lt;7),(WEEKDAY($A126)&lt;&gt;1)),"work",(INDEX(Subject!$A:$I,MATCH(RANDBETWEEN(1,(MAX(Subject!$B:$B))),Subject!$B:$B,0),3))))</f>
        <v/>
      </c>
      <c r="E126" s="2" t="str">
        <f t="array" ref="E126">IF(NOW()&gt;AP126,"",IF(AND((WEEKDAY($A126)+$B$2)&gt;1,((WEEKDAY($A126)+$T$2)&lt;7),(WEEKDAY($A126)&lt;&gt;1)),"work",(INDEX(Subject!$A:$I,MATCH(RANDBETWEEN(1,(MAX(Subject!$B:$B))),Subject!$B:$B,0),3))))</f>
        <v/>
      </c>
      <c r="F126" s="2" t="str">
        <f t="array" ref="F126">IF(NOW()&gt;AQ126,"",IF(AND((WEEKDAY($A126)+$B$2)&gt;1,((WEEKDAY($A126)+$T$2)&lt;7),(WEEKDAY($A126)&lt;&gt;1)),"work",(INDEX(Subject!$A:$I,MATCH(RANDBETWEEN(1,(MAX(Subject!$B:$B))),Subject!$B:$B,0),3))))</f>
        <v/>
      </c>
      <c r="G126" s="2" t="str">
        <f t="array" ref="G126">IF(NOW()&gt;AR126,"",IF(AND((WEEKDAY($A126)+$B$2)&gt;1,((WEEKDAY($A126)+$T$2)&lt;7),(WEEKDAY($A126)&lt;&gt;1)),"work",(INDEX(Subject!$A:$I,MATCH(RANDBETWEEN(1,(MAX(Subject!$B:$B))),Subject!$B:$B,0),3))))</f>
        <v/>
      </c>
      <c r="H126" s="2" t="str">
        <f t="array" ref="H126">IF(NOW()&gt;AS126,"",IF(AND((WEEKDAY($A126)+$B$2)&gt;1,((WEEKDAY($A126)+$T$2)&lt;7),(WEEKDAY($A126)&lt;&gt;1)),"work",(INDEX(Subject!$A:$I,MATCH(RANDBETWEEN(1,(MAX(Subject!$B:$B))),Subject!$B:$B,0),3))))</f>
        <v/>
      </c>
      <c r="I126" s="2" t="str">
        <f t="array" ref="I126">IF(NOW()&gt;AT126,"",IF(AND((WEEKDAY($A126)+$B$2)&gt;1,((WEEKDAY($A126)+$T$2)&lt;7),(WEEKDAY($A126)&lt;&gt;1)),"work",(INDEX(Subject!$A:$I,MATCH(RANDBETWEEN(1,(MAX(Subject!$B:$B))),Subject!$B:$B,0),3))))</f>
        <v/>
      </c>
      <c r="J126" s="2" t="str">
        <f t="array" ref="J126">IF(NOW()&gt;AU126,"",IF(AND((WEEKDAY($A126)+$B$2)&gt;1,((WEEKDAY($A126)+$T$2)&lt;7),(WEEKDAY($A126)&lt;&gt;1)),"work",(INDEX(Subject!$A:$I,MATCH(RANDBETWEEN(1,(MAX(Subject!$B:$B))),Subject!$B:$B,0),3))))</f>
        <v/>
      </c>
      <c r="K126" s="2" t="str">
        <f t="array" ref="K126">IF(NOW()&gt;AV126,"",IF(AND((WEEKDAY($A126)+$B$2)&gt;1,((WEEKDAY($A126)+$T$2)&lt;7),(WEEKDAY($A126)&lt;&gt;1)),"work",(INDEX(Subject!$A:$I,MATCH(RANDBETWEEN(1,(MAX(Subject!$B:$B))),Subject!$B:$B,0),3))))</f>
        <v/>
      </c>
      <c r="L126" s="2" t="str">
        <f t="array" ref="L126">IF(NOW()&gt;AW126,"",IF(AND((WEEKDAY($A126)+$B$2)&gt;1,((WEEKDAY($A126)+$T$2)&lt;7),(WEEKDAY($A126)&lt;&gt;1)),"work",(INDEX(Subject!$A:$I,MATCH(RANDBETWEEN(1,(MAX(Subject!$B:$B))),Subject!$B:$B,0),3))))</f>
        <v/>
      </c>
      <c r="M126" s="2" t="str">
        <f t="array" ref="M126">IF(NOW()&gt;AX126,"",IF(AND((WEEKDAY($A126)+$B$2)&gt;1,((WEEKDAY($A126)+$T$2)&lt;7),(WEEKDAY($A126)&lt;&gt;1)),"work",(INDEX(Subject!$A:$I,MATCH(RANDBETWEEN(1,(MAX(Subject!$B:$B))),Subject!$B:$B,0),3))))</f>
        <v/>
      </c>
      <c r="N126" s="2" t="str">
        <f t="array" ref="N126">IF(NOW()&gt;AY126,"",IF(AND((WEEKDAY($A126)+$B$2)&gt;1,((WEEKDAY($A126)+$T$2)&lt;7),(WEEKDAY($A126)&lt;&gt;1)),"work",(INDEX(Subject!$A:$I,MATCH(RANDBETWEEN(1,(MAX(Subject!$B:$B))),Subject!$B:$B,0),3))))</f>
        <v/>
      </c>
      <c r="O126" s="2" t="str">
        <f t="array" ref="O126">IF(NOW()&gt;AZ126,"",IF(AND((WEEKDAY($A126)+$B$2)&gt;1,((WEEKDAY($A126)+$T$2)&lt;7),(WEEKDAY($A126)&lt;&gt;1)),"work",(INDEX(Subject!$A:$I,MATCH(RANDBETWEEN(1,(MAX(Subject!$B:$B))),Subject!$B:$B,0),3))))</f>
        <v/>
      </c>
      <c r="P126" s="2" t="str">
        <f t="array" ref="P126">IF(NOW()&gt;BA126,"",IF(AND((WEEKDAY($A126)+$B$2)&gt;1,((WEEKDAY($A126)+$T$2)&lt;7),(WEEKDAY($A126)&lt;&gt;1)),"work",(INDEX(Subject!$A:$I,MATCH(RANDBETWEEN(1,(MAX(Subject!$B:$B))),Subject!$B:$B,0),3))))</f>
        <v/>
      </c>
      <c r="Q126" s="2" t="str">
        <f t="array" ref="Q126">IF(NOW()&gt;BB126,"",IF(AND((WEEKDAY($A126)+$B$2)&gt;1,((WEEKDAY($A126)+$T$2)&lt;7),(WEEKDAY($A126)&lt;&gt;1)),"work",(INDEX(Subject!$A:$I,MATCH(RANDBETWEEN(1,(MAX(Subject!$B:$B))),Subject!$B:$B,0),3))))</f>
        <v/>
      </c>
      <c r="R126" s="2" t="str">
        <f t="array" ref="R126">IF(NOW()&gt;BC126,"",IF(AND((WEEKDAY($A126)+$B$2)&gt;1,((WEEKDAY($A126)+$T$2)&lt;7),(WEEKDAY($A126)&lt;&gt;1)),"work",(INDEX(Subject!$A:$I,MATCH(RANDBETWEEN(1,(MAX(Subject!$B:$B))),Subject!$B:$B,0),3))))</f>
        <v/>
      </c>
      <c r="S126" s="2" t="str">
        <f t="array" ref="S126">IF(NOW()&gt;BD126,"",IF(AND((WEEKDAY($A126)+$B$2)&gt;1,((WEEKDAY($A126)+$T$2)&lt;7),(WEEKDAY($A126)&lt;&gt;1)),"work",(INDEX(Subject!$A:$I,MATCH(RANDBETWEEN(1,(MAX(Subject!$B:$B))),Subject!$B:$B,0),3))))</f>
        <v/>
      </c>
      <c r="T126" s="2" t="str">
        <f t="array" ref="T126">IF(NOW()&gt;BE126,"",IF(AND((WEEKDAY($A126)+$B$2)&gt;1,((WEEKDAY($A126)+$T$2)&lt;7),(WEEKDAY($A126)&lt;&gt;1)),"work",(INDEX(Subject!$A:$I,MATCH(RANDBETWEEN(1,(MAX(Subject!$B:$B))),Subject!$B:$B,0),3))))</f>
        <v/>
      </c>
      <c r="U126" s="8" t="str">
        <f t="array" ref="U126">INDEX(Subject!$A:$I,MATCH(RANDBETWEEN(1,16),Subject!$B:$B,0),3)</f>
        <v>#N/A</v>
      </c>
      <c r="V126" s="8" t="str">
        <f t="array" ref="V126">INDEX(Subject!$A:$I,MATCH(RANDBETWEEN(1,16),Subject!$B:$B,0),3)</f>
        <v>#N/A</v>
      </c>
      <c r="W126" s="8" t="str">
        <f t="array" ref="W126">INDEX(Subject!$A:$I,MATCH(RANDBETWEEN(1,16),Subject!$B:$B,0),3)</f>
        <v>#N/A</v>
      </c>
      <c r="X126" s="8" t="str">
        <f t="array" ref="X126">INDEX(Subject!$A:$I,MATCH(RANDBETWEEN(1,16),Subject!$B:$B,0),3)</f>
        <v>#N/A</v>
      </c>
      <c r="Y126" s="8" t="str">
        <f t="array" ref="Y126">INDEX(Subject!$A:$I,MATCH(RANDBETWEEN(1,16),Subject!$B:$B,0),3)</f>
        <v>#N/A</v>
      </c>
      <c r="Z126" s="8" t="str">
        <f t="array" ref="Z126">INDEX(Subject!$A:$I,MATCH(RANDBETWEEN(1,16),Subject!$B:$B,0),3)</f>
        <v>#N/A</v>
      </c>
      <c r="AA126" s="8" t="str">
        <f t="array" ref="AA126">INDEX(Subject!$A:$I,MATCH(RANDBETWEEN(1,16),Subject!$B:$B,0),3)</f>
        <v>#N/A</v>
      </c>
      <c r="AB126" s="8" t="str">
        <f t="array" ref="AB126">INDEX(Subject!$A:$I,MATCH(RANDBETWEEN(1,16),Subject!$B:$B,0),3)</f>
        <v/>
      </c>
      <c r="AC126" s="8" t="str">
        <f t="array" ref="AC126">INDEX(Subject!$A:$I,MATCH(RANDBETWEEN(1,16),Subject!$B:$B,0),3)</f>
        <v>#N/A</v>
      </c>
      <c r="AD126" s="8" t="str">
        <f t="array" ref="AD126">INDEX(Subject!$A:$I,MATCH(RANDBETWEEN(1,16),Subject!$B:$B,0),3)</f>
        <v>#N/A</v>
      </c>
      <c r="AE126" s="8" t="str">
        <f t="array" ref="AE126">INDEX(Subject!$A:$I,MATCH(RANDBETWEEN(1,16),Subject!$B:$B,0),3)</f>
        <v>#N/A</v>
      </c>
      <c r="AF126" s="8" t="str">
        <f t="array" ref="AF126">INDEX(Subject!$A:$I,MATCH(RANDBETWEEN(1,16),Subject!$B:$B,0),3)</f>
        <v>#N/A</v>
      </c>
      <c r="AG126" s="8" t="str">
        <f t="array" ref="AG126">INDEX(Subject!$A:$I,MATCH(RANDBETWEEN(1,16),Subject!$B:$B,0),3)</f>
        <v>#N/A</v>
      </c>
      <c r="AH126" s="8" t="str">
        <f t="array" ref="AH126">INDEX(Subject!$A:$I,MATCH(RANDBETWEEN(1,16),Subject!$B:$B,0),3)</f>
        <v>#N/A</v>
      </c>
      <c r="AI126" s="8" t="str">
        <f t="array" ref="AI126">INDEX(Subject!$A:$I,MATCH(RANDBETWEEN(1,16),Subject!$B:$B,0),3)</f>
        <v>#N/A</v>
      </c>
      <c r="AJ126" s="8" t="str">
        <f t="array" ref="AJ126">INDEX(Subject!$A:$I,MATCH(RANDBETWEEN(1,16),Subject!$B:$B,0),3)</f>
        <v>#N/A</v>
      </c>
      <c r="AK126" s="8" t="str">
        <f t="array" ref="AK126">INDEX(Subject!$A:$I,MATCH(RANDBETWEEN(1,16),Subject!$B:$B,0),3)</f>
        <v>#N/A</v>
      </c>
      <c r="AL126" s="8" t="str">
        <f t="array" ref="AL126">INDEX(Subject!$A:$I,MATCH(RANDBETWEEN(1,16),Subject!$B:$B,0),3)</f>
        <v>#N/A</v>
      </c>
      <c r="AM126" s="18">
        <f t="shared" si="4"/>
        <v>45626.33333</v>
      </c>
      <c r="AN126" s="19">
        <f t="shared" ref="AN126:BZ126" si="126">$A126+C$1</f>
        <v>45626.35417</v>
      </c>
      <c r="AO126" s="19">
        <f t="shared" si="126"/>
        <v>45626.375</v>
      </c>
      <c r="AP126" s="19">
        <f t="shared" si="126"/>
        <v>45626.39583</v>
      </c>
      <c r="AQ126" s="19">
        <f t="shared" si="126"/>
        <v>45626.41667</v>
      </c>
      <c r="AR126" s="19">
        <f t="shared" si="126"/>
        <v>45626.4375</v>
      </c>
      <c r="AS126" s="19">
        <f t="shared" si="126"/>
        <v>45626.45833</v>
      </c>
      <c r="AT126" s="19">
        <f t="shared" si="126"/>
        <v>45626.47917</v>
      </c>
      <c r="AU126" s="19">
        <f t="shared" si="126"/>
        <v>45626.5</v>
      </c>
      <c r="AV126" s="19">
        <f t="shared" si="126"/>
        <v>45626.52083</v>
      </c>
      <c r="AW126" s="19">
        <f t="shared" si="126"/>
        <v>45626.54167</v>
      </c>
      <c r="AX126" s="19">
        <f t="shared" si="126"/>
        <v>45626.5625</v>
      </c>
      <c r="AY126" s="19">
        <f t="shared" si="126"/>
        <v>45626.58333</v>
      </c>
      <c r="AZ126" s="19">
        <f t="shared" si="126"/>
        <v>45626.60417</v>
      </c>
      <c r="BA126" s="19">
        <f t="shared" si="126"/>
        <v>45626.625</v>
      </c>
      <c r="BB126" s="19">
        <f t="shared" si="126"/>
        <v>45626.64583</v>
      </c>
      <c r="BC126" s="19">
        <f t="shared" si="126"/>
        <v>45626.66667</v>
      </c>
      <c r="BD126" s="19">
        <f t="shared" si="126"/>
        <v>45626.6875</v>
      </c>
      <c r="BE126" s="19">
        <f t="shared" si="126"/>
        <v>45626.70833</v>
      </c>
      <c r="BF126" s="19">
        <f t="shared" si="126"/>
        <v>45626.72917</v>
      </c>
      <c r="BG126" s="19">
        <f t="shared" si="126"/>
        <v>45626.75</v>
      </c>
      <c r="BH126" s="19">
        <f t="shared" si="126"/>
        <v>45626.77083</v>
      </c>
      <c r="BI126" s="19">
        <f t="shared" si="126"/>
        <v>45626.79167</v>
      </c>
      <c r="BJ126" s="19">
        <f t="shared" si="126"/>
        <v>45626.8125</v>
      </c>
      <c r="BK126" s="19">
        <f t="shared" si="126"/>
        <v>45626.83333</v>
      </c>
      <c r="BL126" s="19">
        <f t="shared" si="126"/>
        <v>45626.85417</v>
      </c>
      <c r="BM126" s="19">
        <f t="shared" si="126"/>
        <v>45626.875</v>
      </c>
      <c r="BN126" s="19">
        <f t="shared" si="126"/>
        <v>45626.89583</v>
      </c>
      <c r="BO126" s="19">
        <f t="shared" si="126"/>
        <v>45626.91667</v>
      </c>
      <c r="BP126" s="19">
        <f t="shared" si="126"/>
        <v>45626.9375</v>
      </c>
      <c r="BQ126" s="19">
        <f t="shared" si="126"/>
        <v>45626.95833</v>
      </c>
      <c r="BR126" s="19">
        <f t="shared" si="126"/>
        <v>45626.97917</v>
      </c>
      <c r="BS126" s="19">
        <f t="shared" si="126"/>
        <v>45627</v>
      </c>
      <c r="BT126" s="19">
        <f t="shared" si="126"/>
        <v>45627.02083</v>
      </c>
      <c r="BU126" s="19">
        <f t="shared" si="126"/>
        <v>45627.04167</v>
      </c>
      <c r="BV126" s="19">
        <f t="shared" si="126"/>
        <v>45627.0625</v>
      </c>
      <c r="BW126" s="19">
        <f t="shared" si="126"/>
        <v>45627.08333</v>
      </c>
      <c r="BX126" s="19">
        <f t="shared" si="126"/>
        <v>45626</v>
      </c>
      <c r="BY126" s="19">
        <f t="shared" si="126"/>
        <v>45626</v>
      </c>
      <c r="BZ126" s="19">
        <f t="shared" si="126"/>
        <v>45626</v>
      </c>
    </row>
    <row r="127" ht="14.25" customHeight="1">
      <c r="A127" s="17">
        <v>45627.0</v>
      </c>
      <c r="B127" s="2" t="str">
        <f t="array" ref="B127">IF(NOW()&gt;AM127,"",IF(AND((WEEKDAY($A127)+$B$2)&gt;1,((WEEKDAY($A127)+$T$2)&lt;7),(WEEKDAY($A127)&lt;&gt;1)),"work",(INDEX(Subject!$A:$I,MATCH(RANDBETWEEN(1,(MAX(Subject!$B:$B))),Subject!$B:$B,0),3))))</f>
        <v/>
      </c>
      <c r="C127" s="2" t="str">
        <f t="array" ref="C127">IF(NOW()&gt;AN127,"",IF(AND((WEEKDAY($A127)+$B$2)&gt;1,((WEEKDAY($A127)+$T$2)&lt;7),(WEEKDAY($A127)&lt;&gt;1)),"work",(INDEX(Subject!$A:$I,MATCH(RANDBETWEEN(1,(MAX(Subject!$B:$B))),Subject!$B:$B,0),3))))</f>
        <v/>
      </c>
      <c r="D127" s="2" t="str">
        <f t="array" ref="D127">IF(NOW()&gt;AO127,"",IF(AND((WEEKDAY($A127)+$B$2)&gt;1,((WEEKDAY($A127)+$T$2)&lt;7),(WEEKDAY($A127)&lt;&gt;1)),"work",(INDEX(Subject!$A:$I,MATCH(RANDBETWEEN(1,(MAX(Subject!$B:$B))),Subject!$B:$B,0),3))))</f>
        <v/>
      </c>
      <c r="E127" s="2" t="str">
        <f t="array" ref="E127">IF(NOW()&gt;AP127,"",IF(AND((WEEKDAY($A127)+$B$2)&gt;1,((WEEKDAY($A127)+$T$2)&lt;7),(WEEKDAY($A127)&lt;&gt;1)),"work",(INDEX(Subject!$A:$I,MATCH(RANDBETWEEN(1,(MAX(Subject!$B:$B))),Subject!$B:$B,0),3))))</f>
        <v/>
      </c>
      <c r="F127" s="2" t="str">
        <f t="array" ref="F127">IF(NOW()&gt;AQ127,"",IF(AND((WEEKDAY($A127)+$B$2)&gt;1,((WEEKDAY($A127)+$T$2)&lt;7),(WEEKDAY($A127)&lt;&gt;1)),"work",(INDEX(Subject!$A:$I,MATCH(RANDBETWEEN(1,(MAX(Subject!$B:$B))),Subject!$B:$B,0),3))))</f>
        <v/>
      </c>
      <c r="G127" s="2" t="str">
        <f t="array" ref="G127">IF(NOW()&gt;AR127,"",IF(AND((WEEKDAY($A127)+$B$2)&gt;1,((WEEKDAY($A127)+$T$2)&lt;7),(WEEKDAY($A127)&lt;&gt;1)),"work",(INDEX(Subject!$A:$I,MATCH(RANDBETWEEN(1,(MAX(Subject!$B:$B))),Subject!$B:$B,0),3))))</f>
        <v/>
      </c>
      <c r="H127" s="2" t="str">
        <f t="array" ref="H127">IF(NOW()&gt;AS127,"",IF(AND((WEEKDAY($A127)+$B$2)&gt;1,((WEEKDAY($A127)+$T$2)&lt;7),(WEEKDAY($A127)&lt;&gt;1)),"work",(INDEX(Subject!$A:$I,MATCH(RANDBETWEEN(1,(MAX(Subject!$B:$B))),Subject!$B:$B,0),3))))</f>
        <v/>
      </c>
      <c r="I127" s="2" t="str">
        <f t="array" ref="I127">IF(NOW()&gt;AT127,"",IF(AND((WEEKDAY($A127)+$B$2)&gt;1,((WEEKDAY($A127)+$T$2)&lt;7),(WEEKDAY($A127)&lt;&gt;1)),"work",(INDEX(Subject!$A:$I,MATCH(RANDBETWEEN(1,(MAX(Subject!$B:$B))),Subject!$B:$B,0),3))))</f>
        <v/>
      </c>
      <c r="J127" s="2" t="str">
        <f t="array" ref="J127">IF(NOW()&gt;AU127,"",IF(AND((WEEKDAY($A127)+$B$2)&gt;1,((WEEKDAY($A127)+$T$2)&lt;7),(WEEKDAY($A127)&lt;&gt;1)),"work",(INDEX(Subject!$A:$I,MATCH(RANDBETWEEN(1,(MAX(Subject!$B:$B))),Subject!$B:$B,0),3))))</f>
        <v/>
      </c>
      <c r="K127" s="2" t="str">
        <f t="array" ref="K127">IF(NOW()&gt;AV127,"",IF(AND((WEEKDAY($A127)+$B$2)&gt;1,((WEEKDAY($A127)+$T$2)&lt;7),(WEEKDAY($A127)&lt;&gt;1)),"work",(INDEX(Subject!$A:$I,MATCH(RANDBETWEEN(1,(MAX(Subject!$B:$B))),Subject!$B:$B,0),3))))</f>
        <v/>
      </c>
      <c r="L127" s="2" t="str">
        <f t="array" ref="L127">IF(NOW()&gt;AW127,"",IF(AND((WEEKDAY($A127)+$B$2)&gt;1,((WEEKDAY($A127)+$T$2)&lt;7),(WEEKDAY($A127)&lt;&gt;1)),"work",(INDEX(Subject!$A:$I,MATCH(RANDBETWEEN(1,(MAX(Subject!$B:$B))),Subject!$B:$B,0),3))))</f>
        <v/>
      </c>
      <c r="M127" s="2" t="str">
        <f t="array" ref="M127">IF(NOW()&gt;AX127,"",IF(AND((WEEKDAY($A127)+$B$2)&gt;1,((WEEKDAY($A127)+$T$2)&lt;7),(WEEKDAY($A127)&lt;&gt;1)),"work",(INDEX(Subject!$A:$I,MATCH(RANDBETWEEN(1,(MAX(Subject!$B:$B))),Subject!$B:$B,0),3))))</f>
        <v/>
      </c>
      <c r="N127" s="2" t="str">
        <f t="array" ref="N127">IF(NOW()&gt;AY127,"",IF(AND((WEEKDAY($A127)+$B$2)&gt;1,((WEEKDAY($A127)+$T$2)&lt;7),(WEEKDAY($A127)&lt;&gt;1)),"work",(INDEX(Subject!$A:$I,MATCH(RANDBETWEEN(1,(MAX(Subject!$B:$B))),Subject!$B:$B,0),3))))</f>
        <v/>
      </c>
      <c r="O127" s="2" t="str">
        <f t="array" ref="O127">IF(NOW()&gt;AZ127,"",IF(AND((WEEKDAY($A127)+$B$2)&gt;1,((WEEKDAY($A127)+$T$2)&lt;7),(WEEKDAY($A127)&lt;&gt;1)),"work",(INDEX(Subject!$A:$I,MATCH(RANDBETWEEN(1,(MAX(Subject!$B:$B))),Subject!$B:$B,0),3))))</f>
        <v/>
      </c>
      <c r="P127" s="2" t="str">
        <f t="array" ref="P127">IF(NOW()&gt;BA127,"",IF(AND((WEEKDAY($A127)+$B$2)&gt;1,((WEEKDAY($A127)+$T$2)&lt;7),(WEEKDAY($A127)&lt;&gt;1)),"work",(INDEX(Subject!$A:$I,MATCH(RANDBETWEEN(1,(MAX(Subject!$B:$B))),Subject!$B:$B,0),3))))</f>
        <v/>
      </c>
      <c r="Q127" s="2" t="str">
        <f t="array" ref="Q127">IF(NOW()&gt;BB127,"",IF(AND((WEEKDAY($A127)+$B$2)&gt;1,((WEEKDAY($A127)+$T$2)&lt;7),(WEEKDAY($A127)&lt;&gt;1)),"work",(INDEX(Subject!$A:$I,MATCH(RANDBETWEEN(1,(MAX(Subject!$B:$B))),Subject!$B:$B,0),3))))</f>
        <v/>
      </c>
      <c r="R127" s="2" t="str">
        <f t="array" ref="R127">IF(NOW()&gt;BC127,"",IF(AND((WEEKDAY($A127)+$B$2)&gt;1,((WEEKDAY($A127)+$T$2)&lt;7),(WEEKDAY($A127)&lt;&gt;1)),"work",(INDEX(Subject!$A:$I,MATCH(RANDBETWEEN(1,(MAX(Subject!$B:$B))),Subject!$B:$B,0),3))))</f>
        <v/>
      </c>
      <c r="S127" s="2" t="str">
        <f t="array" ref="S127">IF(NOW()&gt;BD127,"",IF(AND((WEEKDAY($A127)+$B$2)&gt;1,((WEEKDAY($A127)+$T$2)&lt;7),(WEEKDAY($A127)&lt;&gt;1)),"work",(INDEX(Subject!$A:$I,MATCH(RANDBETWEEN(1,(MAX(Subject!$B:$B))),Subject!$B:$B,0),3))))</f>
        <v/>
      </c>
      <c r="T127" s="2" t="str">
        <f t="array" ref="T127">IF(NOW()&gt;BE127,"",IF(AND((WEEKDAY($A127)+$B$2)&gt;1,((WEEKDAY($A127)+$T$2)&lt;7),(WEEKDAY($A127)&lt;&gt;1)),"work",(INDEX(Subject!$A:$I,MATCH(RANDBETWEEN(1,(MAX(Subject!$B:$B))),Subject!$B:$B,0),3))))</f>
        <v/>
      </c>
      <c r="U127" s="8" t="str">
        <f t="array" ref="U127">INDEX(Subject!$A:$I,MATCH(RANDBETWEEN(1,16),Subject!$B:$B,0),3)</f>
        <v>#N/A</v>
      </c>
      <c r="V127" s="8" t="str">
        <f t="array" ref="V127">INDEX(Subject!$A:$I,MATCH(RANDBETWEEN(1,16),Subject!$B:$B,0),3)</f>
        <v>#N/A</v>
      </c>
      <c r="W127" s="8" t="str">
        <f t="array" ref="W127">INDEX(Subject!$A:$I,MATCH(RANDBETWEEN(1,16),Subject!$B:$B,0),3)</f>
        <v>#N/A</v>
      </c>
      <c r="X127" s="8" t="str">
        <f t="array" ref="X127">INDEX(Subject!$A:$I,MATCH(RANDBETWEEN(1,16),Subject!$B:$B,0),3)</f>
        <v>#N/A</v>
      </c>
      <c r="Y127" s="8" t="str">
        <f t="array" ref="Y127">INDEX(Subject!$A:$I,MATCH(RANDBETWEEN(1,16),Subject!$B:$B,0),3)</f>
        <v>#N/A</v>
      </c>
      <c r="Z127" s="8" t="str">
        <f t="array" ref="Z127">INDEX(Subject!$A:$I,MATCH(RANDBETWEEN(1,16),Subject!$B:$B,0),3)</f>
        <v>#N/A</v>
      </c>
      <c r="AA127" s="8" t="str">
        <f t="array" ref="AA127">INDEX(Subject!$A:$I,MATCH(RANDBETWEEN(1,16),Subject!$B:$B,0),3)</f>
        <v>#N/A</v>
      </c>
      <c r="AB127" s="8" t="str">
        <f t="array" ref="AB127">INDEX(Subject!$A:$I,MATCH(RANDBETWEEN(1,16),Subject!$B:$B,0),3)</f>
        <v>#N/A</v>
      </c>
      <c r="AC127" s="8" t="str">
        <f t="array" ref="AC127">INDEX(Subject!$A:$I,MATCH(RANDBETWEEN(1,16),Subject!$B:$B,0),3)</f>
        <v>#N/A</v>
      </c>
      <c r="AD127" s="8" t="str">
        <f t="array" ref="AD127">INDEX(Subject!$A:$I,MATCH(RANDBETWEEN(1,16),Subject!$B:$B,0),3)</f>
        <v>#N/A</v>
      </c>
      <c r="AE127" s="8" t="str">
        <f t="array" ref="AE127">INDEX(Subject!$A:$I,MATCH(RANDBETWEEN(1,16),Subject!$B:$B,0),3)</f>
        <v>#N/A</v>
      </c>
      <c r="AF127" s="8" t="str">
        <f t="array" ref="AF127">INDEX(Subject!$A:$I,MATCH(RANDBETWEEN(1,16),Subject!$B:$B,0),3)</f>
        <v>#N/A</v>
      </c>
      <c r="AG127" s="8" t="str">
        <f t="array" ref="AG127">INDEX(Subject!$A:$I,MATCH(RANDBETWEEN(1,16),Subject!$B:$B,0),3)</f>
        <v>#N/A</v>
      </c>
      <c r="AH127" s="8" t="str">
        <f t="array" ref="AH127">INDEX(Subject!$A:$I,MATCH(RANDBETWEEN(1,16),Subject!$B:$B,0),3)</f>
        <v>#N/A</v>
      </c>
      <c r="AI127" s="8" t="str">
        <f t="array" ref="AI127">INDEX(Subject!$A:$I,MATCH(RANDBETWEEN(1,16),Subject!$B:$B,0),3)</f>
        <v>#N/A</v>
      </c>
      <c r="AJ127" s="8" t="str">
        <f t="array" ref="AJ127">INDEX(Subject!$A:$I,MATCH(RANDBETWEEN(1,16),Subject!$B:$B,0),3)</f>
        <v>#N/A</v>
      </c>
      <c r="AK127" s="8" t="str">
        <f t="array" ref="AK127">INDEX(Subject!$A:$I,MATCH(RANDBETWEEN(1,16),Subject!$B:$B,0),3)</f>
        <v>#N/A</v>
      </c>
      <c r="AL127" s="8" t="str">
        <f t="array" ref="AL127">INDEX(Subject!$A:$I,MATCH(RANDBETWEEN(1,16),Subject!$B:$B,0),3)</f>
        <v>#N/A</v>
      </c>
      <c r="AM127" s="18">
        <f t="shared" si="4"/>
        <v>45627.33333</v>
      </c>
      <c r="AN127" s="19">
        <f t="shared" ref="AN127:BZ127" si="127">$A127+C$1</f>
        <v>45627.35417</v>
      </c>
      <c r="AO127" s="19">
        <f t="shared" si="127"/>
        <v>45627.375</v>
      </c>
      <c r="AP127" s="19">
        <f t="shared" si="127"/>
        <v>45627.39583</v>
      </c>
      <c r="AQ127" s="19">
        <f t="shared" si="127"/>
        <v>45627.41667</v>
      </c>
      <c r="AR127" s="19">
        <f t="shared" si="127"/>
        <v>45627.4375</v>
      </c>
      <c r="AS127" s="19">
        <f t="shared" si="127"/>
        <v>45627.45833</v>
      </c>
      <c r="AT127" s="19">
        <f t="shared" si="127"/>
        <v>45627.47917</v>
      </c>
      <c r="AU127" s="19">
        <f t="shared" si="127"/>
        <v>45627.5</v>
      </c>
      <c r="AV127" s="19">
        <f t="shared" si="127"/>
        <v>45627.52083</v>
      </c>
      <c r="AW127" s="19">
        <f t="shared" si="127"/>
        <v>45627.54167</v>
      </c>
      <c r="AX127" s="19">
        <f t="shared" si="127"/>
        <v>45627.5625</v>
      </c>
      <c r="AY127" s="19">
        <f t="shared" si="127"/>
        <v>45627.58333</v>
      </c>
      <c r="AZ127" s="19">
        <f t="shared" si="127"/>
        <v>45627.60417</v>
      </c>
      <c r="BA127" s="19">
        <f t="shared" si="127"/>
        <v>45627.625</v>
      </c>
      <c r="BB127" s="19">
        <f t="shared" si="127"/>
        <v>45627.64583</v>
      </c>
      <c r="BC127" s="19">
        <f t="shared" si="127"/>
        <v>45627.66667</v>
      </c>
      <c r="BD127" s="19">
        <f t="shared" si="127"/>
        <v>45627.6875</v>
      </c>
      <c r="BE127" s="19">
        <f t="shared" si="127"/>
        <v>45627.70833</v>
      </c>
      <c r="BF127" s="19">
        <f t="shared" si="127"/>
        <v>45627.72917</v>
      </c>
      <c r="BG127" s="19">
        <f t="shared" si="127"/>
        <v>45627.75</v>
      </c>
      <c r="BH127" s="19">
        <f t="shared" si="127"/>
        <v>45627.77083</v>
      </c>
      <c r="BI127" s="19">
        <f t="shared" si="127"/>
        <v>45627.79167</v>
      </c>
      <c r="BJ127" s="19">
        <f t="shared" si="127"/>
        <v>45627.8125</v>
      </c>
      <c r="BK127" s="19">
        <f t="shared" si="127"/>
        <v>45627.83333</v>
      </c>
      <c r="BL127" s="19">
        <f t="shared" si="127"/>
        <v>45627.85417</v>
      </c>
      <c r="BM127" s="19">
        <f t="shared" si="127"/>
        <v>45627.875</v>
      </c>
      <c r="BN127" s="19">
        <f t="shared" si="127"/>
        <v>45627.89583</v>
      </c>
      <c r="BO127" s="19">
        <f t="shared" si="127"/>
        <v>45627.91667</v>
      </c>
      <c r="BP127" s="19">
        <f t="shared" si="127"/>
        <v>45627.9375</v>
      </c>
      <c r="BQ127" s="19">
        <f t="shared" si="127"/>
        <v>45627.95833</v>
      </c>
      <c r="BR127" s="19">
        <f t="shared" si="127"/>
        <v>45627.97917</v>
      </c>
      <c r="BS127" s="19">
        <f t="shared" si="127"/>
        <v>45628</v>
      </c>
      <c r="BT127" s="19">
        <f t="shared" si="127"/>
        <v>45628.02083</v>
      </c>
      <c r="BU127" s="19">
        <f t="shared" si="127"/>
        <v>45628.04167</v>
      </c>
      <c r="BV127" s="19">
        <f t="shared" si="127"/>
        <v>45628.0625</v>
      </c>
      <c r="BW127" s="19">
        <f t="shared" si="127"/>
        <v>45628.08333</v>
      </c>
      <c r="BX127" s="19">
        <f t="shared" si="127"/>
        <v>45627</v>
      </c>
      <c r="BY127" s="19">
        <f t="shared" si="127"/>
        <v>45627</v>
      </c>
      <c r="BZ127" s="19">
        <f t="shared" si="127"/>
        <v>45627</v>
      </c>
    </row>
    <row r="128" ht="14.25" customHeight="1">
      <c r="A128" s="17">
        <v>45628.0</v>
      </c>
      <c r="B128" s="2" t="str">
        <f t="array" ref="B128">IF(NOW()&gt;AM128,"",IF(AND((WEEKDAY($A128)+$B$2)&gt;1,((WEEKDAY($A128)+$T$2)&lt;7),(WEEKDAY($A128)&lt;&gt;1)),"work",(INDEX(Subject!$A:$I,MATCH(RANDBETWEEN(1,(MAX(Subject!$B:$B))),Subject!$B:$B,0),3))))</f>
        <v/>
      </c>
      <c r="C128" s="2" t="str">
        <f t="array" ref="C128">IF(NOW()&gt;AN128,"",IF(AND((WEEKDAY($A128)+$B$2)&gt;1,((WEEKDAY($A128)+$T$2)&lt;7),(WEEKDAY($A128)&lt;&gt;1)),"work",(INDEX(Subject!$A:$I,MATCH(RANDBETWEEN(1,(MAX(Subject!$B:$B))),Subject!$B:$B,0),3))))</f>
        <v/>
      </c>
      <c r="D128" s="2" t="str">
        <f t="array" ref="D128">IF(NOW()&gt;AO128,"",IF(AND((WEEKDAY($A128)+$B$2)&gt;1,((WEEKDAY($A128)+$T$2)&lt;7),(WEEKDAY($A128)&lt;&gt;1)),"work",(INDEX(Subject!$A:$I,MATCH(RANDBETWEEN(1,(MAX(Subject!$B:$B))),Subject!$B:$B,0),3))))</f>
        <v/>
      </c>
      <c r="E128" s="2" t="str">
        <f t="array" ref="E128">IF(NOW()&gt;AP128,"",IF(AND((WEEKDAY($A128)+$B$2)&gt;1,((WEEKDAY($A128)+$T$2)&lt;7),(WEEKDAY($A128)&lt;&gt;1)),"work",(INDEX(Subject!$A:$I,MATCH(RANDBETWEEN(1,(MAX(Subject!$B:$B))),Subject!$B:$B,0),3))))</f>
        <v/>
      </c>
      <c r="F128" s="2" t="str">
        <f t="array" ref="F128">IF(NOW()&gt;AQ128,"",IF(AND((WEEKDAY($A128)+$B$2)&gt;1,((WEEKDAY($A128)+$T$2)&lt;7),(WEEKDAY($A128)&lt;&gt;1)),"work",(INDEX(Subject!$A:$I,MATCH(RANDBETWEEN(1,(MAX(Subject!$B:$B))),Subject!$B:$B,0),3))))</f>
        <v/>
      </c>
      <c r="G128" s="2" t="str">
        <f t="array" ref="G128">IF(NOW()&gt;AR128,"",IF(AND((WEEKDAY($A128)+$B$2)&gt;1,((WEEKDAY($A128)+$T$2)&lt;7),(WEEKDAY($A128)&lt;&gt;1)),"work",(INDEX(Subject!$A:$I,MATCH(RANDBETWEEN(1,(MAX(Subject!$B:$B))),Subject!$B:$B,0),3))))</f>
        <v/>
      </c>
      <c r="H128" s="2" t="str">
        <f t="array" ref="H128">IF(NOW()&gt;AS128,"",IF(AND((WEEKDAY($A128)+$B$2)&gt;1,((WEEKDAY($A128)+$T$2)&lt;7),(WEEKDAY($A128)&lt;&gt;1)),"work",(INDEX(Subject!$A:$I,MATCH(RANDBETWEEN(1,(MAX(Subject!$B:$B))),Subject!$B:$B,0),3))))</f>
        <v/>
      </c>
      <c r="I128" s="2" t="str">
        <f t="array" ref="I128">IF(NOW()&gt;AT128,"",IF(AND((WEEKDAY($A128)+$B$2)&gt;1,((WEEKDAY($A128)+$T$2)&lt;7),(WEEKDAY($A128)&lt;&gt;1)),"work",(INDEX(Subject!$A:$I,MATCH(RANDBETWEEN(1,(MAX(Subject!$B:$B))),Subject!$B:$B,0),3))))</f>
        <v/>
      </c>
      <c r="J128" s="2" t="str">
        <f t="array" ref="J128">IF(NOW()&gt;AU128,"",IF(AND((WEEKDAY($A128)+$B$2)&gt;1,((WEEKDAY($A128)+$T$2)&lt;7),(WEEKDAY($A128)&lt;&gt;1)),"work",(INDEX(Subject!$A:$I,MATCH(RANDBETWEEN(1,(MAX(Subject!$B:$B))),Subject!$B:$B,0),3))))</f>
        <v/>
      </c>
      <c r="K128" s="2" t="str">
        <f t="array" ref="K128">IF(NOW()&gt;AV128,"",IF(AND((WEEKDAY($A128)+$B$2)&gt;1,((WEEKDAY($A128)+$T$2)&lt;7),(WEEKDAY($A128)&lt;&gt;1)),"work",(INDEX(Subject!$A:$I,MATCH(RANDBETWEEN(1,(MAX(Subject!$B:$B))),Subject!$B:$B,0),3))))</f>
        <v/>
      </c>
      <c r="L128" s="2" t="str">
        <f t="array" ref="L128">IF(NOW()&gt;AW128,"",IF(AND((WEEKDAY($A128)+$B$2)&gt;1,((WEEKDAY($A128)+$T$2)&lt;7),(WEEKDAY($A128)&lt;&gt;1)),"work",(INDEX(Subject!$A:$I,MATCH(RANDBETWEEN(1,(MAX(Subject!$B:$B))),Subject!$B:$B,0),3))))</f>
        <v/>
      </c>
      <c r="M128" s="2" t="str">
        <f t="array" ref="M128">IF(NOW()&gt;AX128,"",IF(AND((WEEKDAY($A128)+$B$2)&gt;1,((WEEKDAY($A128)+$T$2)&lt;7),(WEEKDAY($A128)&lt;&gt;1)),"work",(INDEX(Subject!$A:$I,MATCH(RANDBETWEEN(1,(MAX(Subject!$B:$B))),Subject!$B:$B,0),3))))</f>
        <v/>
      </c>
      <c r="N128" s="2" t="str">
        <f t="array" ref="N128">IF(NOW()&gt;AY128,"",IF(AND((WEEKDAY($A128)+$B$2)&gt;1,((WEEKDAY($A128)+$T$2)&lt;7),(WEEKDAY($A128)&lt;&gt;1)),"work",(INDEX(Subject!$A:$I,MATCH(RANDBETWEEN(1,(MAX(Subject!$B:$B))),Subject!$B:$B,0),3))))</f>
        <v/>
      </c>
      <c r="O128" s="2" t="str">
        <f t="array" ref="O128">IF(NOW()&gt;AZ128,"",IF(AND((WEEKDAY($A128)+$B$2)&gt;1,((WEEKDAY($A128)+$T$2)&lt;7),(WEEKDAY($A128)&lt;&gt;1)),"work",(INDEX(Subject!$A:$I,MATCH(RANDBETWEEN(1,(MAX(Subject!$B:$B))),Subject!$B:$B,0),3))))</f>
        <v/>
      </c>
      <c r="P128" s="2" t="str">
        <f t="array" ref="P128">IF(NOW()&gt;BA128,"",IF(AND((WEEKDAY($A128)+$B$2)&gt;1,((WEEKDAY($A128)+$T$2)&lt;7),(WEEKDAY($A128)&lt;&gt;1)),"work",(INDEX(Subject!$A:$I,MATCH(RANDBETWEEN(1,(MAX(Subject!$B:$B))),Subject!$B:$B,0),3))))</f>
        <v/>
      </c>
      <c r="Q128" s="2" t="str">
        <f t="array" ref="Q128">IF(NOW()&gt;BB128,"",IF(AND((WEEKDAY($A128)+$B$2)&gt;1,((WEEKDAY($A128)+$T$2)&lt;7),(WEEKDAY($A128)&lt;&gt;1)),"work",(INDEX(Subject!$A:$I,MATCH(RANDBETWEEN(1,(MAX(Subject!$B:$B))),Subject!$B:$B,0),3))))</f>
        <v/>
      </c>
      <c r="R128" s="2" t="str">
        <f t="array" ref="R128">IF(NOW()&gt;BC128,"",IF(AND((WEEKDAY($A128)+$B$2)&gt;1,((WEEKDAY($A128)+$T$2)&lt;7),(WEEKDAY($A128)&lt;&gt;1)),"work",(INDEX(Subject!$A:$I,MATCH(RANDBETWEEN(1,(MAX(Subject!$B:$B))),Subject!$B:$B,0),3))))</f>
        <v/>
      </c>
      <c r="S128" s="2" t="str">
        <f t="array" ref="S128">IF(NOW()&gt;BD128,"",IF(AND((WEEKDAY($A128)+$B$2)&gt;1,((WEEKDAY($A128)+$T$2)&lt;7),(WEEKDAY($A128)&lt;&gt;1)),"work",(INDEX(Subject!$A:$I,MATCH(RANDBETWEEN(1,(MAX(Subject!$B:$B))),Subject!$B:$B,0),3))))</f>
        <v/>
      </c>
      <c r="T128" s="2" t="str">
        <f t="array" ref="T128">IF(NOW()&gt;BE128,"",IF(AND((WEEKDAY($A128)+$B$2)&gt;1,((WEEKDAY($A128)+$T$2)&lt;7),(WEEKDAY($A128)&lt;&gt;1)),"work",(INDEX(Subject!$A:$I,MATCH(RANDBETWEEN(1,(MAX(Subject!$B:$B))),Subject!$B:$B,0),3))))</f>
        <v/>
      </c>
      <c r="U128" s="8" t="str">
        <f t="array" ref="U128">INDEX(Subject!$A:$I,MATCH(RANDBETWEEN(1,16),Subject!$B:$B,0),3)</f>
        <v>#N/A</v>
      </c>
      <c r="V128" s="8" t="str">
        <f t="array" ref="V128">INDEX(Subject!$A:$I,MATCH(RANDBETWEEN(1,16),Subject!$B:$B,0),3)</f>
        <v>#N/A</v>
      </c>
      <c r="W128" s="8" t="str">
        <f t="array" ref="W128">INDEX(Subject!$A:$I,MATCH(RANDBETWEEN(1,16),Subject!$B:$B,0),3)</f>
        <v>#N/A</v>
      </c>
      <c r="X128" s="8" t="str">
        <f t="array" ref="X128">INDEX(Subject!$A:$I,MATCH(RANDBETWEEN(1,16),Subject!$B:$B,0),3)</f>
        <v>#N/A</v>
      </c>
      <c r="Y128" s="8" t="str">
        <f t="array" ref="Y128">INDEX(Subject!$A:$I,MATCH(RANDBETWEEN(1,16),Subject!$B:$B,0),3)</f>
        <v>#N/A</v>
      </c>
      <c r="Z128" s="8" t="str">
        <f t="array" ref="Z128">INDEX(Subject!$A:$I,MATCH(RANDBETWEEN(1,16),Subject!$B:$B,0),3)</f>
        <v>#N/A</v>
      </c>
      <c r="AA128" s="8" t="str">
        <f t="array" ref="AA128">INDEX(Subject!$A:$I,MATCH(RANDBETWEEN(1,16),Subject!$B:$B,0),3)</f>
        <v>#N/A</v>
      </c>
      <c r="AB128" s="8" t="str">
        <f t="array" ref="AB128">INDEX(Subject!$A:$I,MATCH(RANDBETWEEN(1,16),Subject!$B:$B,0),3)</f>
        <v>#N/A</v>
      </c>
      <c r="AC128" s="8" t="str">
        <f t="array" ref="AC128">INDEX(Subject!$A:$I,MATCH(RANDBETWEEN(1,16),Subject!$B:$B,0),3)</f>
        <v/>
      </c>
      <c r="AD128" s="8" t="str">
        <f t="array" ref="AD128">INDEX(Subject!$A:$I,MATCH(RANDBETWEEN(1,16),Subject!$B:$B,0),3)</f>
        <v>#N/A</v>
      </c>
      <c r="AE128" s="8" t="str">
        <f t="array" ref="AE128">INDEX(Subject!$A:$I,MATCH(RANDBETWEEN(1,16),Subject!$B:$B,0),3)</f>
        <v>#N/A</v>
      </c>
      <c r="AF128" s="8" t="str">
        <f t="array" ref="AF128">INDEX(Subject!$A:$I,MATCH(RANDBETWEEN(1,16),Subject!$B:$B,0),3)</f>
        <v>#N/A</v>
      </c>
      <c r="AG128" s="8" t="str">
        <f t="array" ref="AG128">INDEX(Subject!$A:$I,MATCH(RANDBETWEEN(1,16),Subject!$B:$B,0),3)</f>
        <v>#N/A</v>
      </c>
      <c r="AH128" s="8" t="str">
        <f t="array" ref="AH128">INDEX(Subject!$A:$I,MATCH(RANDBETWEEN(1,16),Subject!$B:$B,0),3)</f>
        <v>#N/A</v>
      </c>
      <c r="AI128" s="8" t="str">
        <f t="array" ref="AI128">INDEX(Subject!$A:$I,MATCH(RANDBETWEEN(1,16),Subject!$B:$B,0),3)</f>
        <v>#N/A</v>
      </c>
      <c r="AJ128" s="8" t="str">
        <f t="array" ref="AJ128">INDEX(Subject!$A:$I,MATCH(RANDBETWEEN(1,16),Subject!$B:$B,0),3)</f>
        <v>#N/A</v>
      </c>
      <c r="AK128" s="8" t="str">
        <f t="array" ref="AK128">INDEX(Subject!$A:$I,MATCH(RANDBETWEEN(1,16),Subject!$B:$B,0),3)</f>
        <v>#N/A</v>
      </c>
      <c r="AL128" s="8" t="str">
        <f t="array" ref="AL128">INDEX(Subject!$A:$I,MATCH(RANDBETWEEN(1,16),Subject!$B:$B,0),3)</f>
        <v>#N/A</v>
      </c>
      <c r="AM128" s="18">
        <f t="shared" si="4"/>
        <v>45628.33333</v>
      </c>
      <c r="AN128" s="19">
        <f t="shared" ref="AN128:BZ128" si="128">$A128+C$1</f>
        <v>45628.35417</v>
      </c>
      <c r="AO128" s="19">
        <f t="shared" si="128"/>
        <v>45628.375</v>
      </c>
      <c r="AP128" s="19">
        <f t="shared" si="128"/>
        <v>45628.39583</v>
      </c>
      <c r="AQ128" s="19">
        <f t="shared" si="128"/>
        <v>45628.41667</v>
      </c>
      <c r="AR128" s="19">
        <f t="shared" si="128"/>
        <v>45628.4375</v>
      </c>
      <c r="AS128" s="19">
        <f t="shared" si="128"/>
        <v>45628.45833</v>
      </c>
      <c r="AT128" s="19">
        <f t="shared" si="128"/>
        <v>45628.47917</v>
      </c>
      <c r="AU128" s="19">
        <f t="shared" si="128"/>
        <v>45628.5</v>
      </c>
      <c r="AV128" s="19">
        <f t="shared" si="128"/>
        <v>45628.52083</v>
      </c>
      <c r="AW128" s="19">
        <f t="shared" si="128"/>
        <v>45628.54167</v>
      </c>
      <c r="AX128" s="19">
        <f t="shared" si="128"/>
        <v>45628.5625</v>
      </c>
      <c r="AY128" s="19">
        <f t="shared" si="128"/>
        <v>45628.58333</v>
      </c>
      <c r="AZ128" s="19">
        <f t="shared" si="128"/>
        <v>45628.60417</v>
      </c>
      <c r="BA128" s="19">
        <f t="shared" si="128"/>
        <v>45628.625</v>
      </c>
      <c r="BB128" s="19">
        <f t="shared" si="128"/>
        <v>45628.64583</v>
      </c>
      <c r="BC128" s="19">
        <f t="shared" si="128"/>
        <v>45628.66667</v>
      </c>
      <c r="BD128" s="19">
        <f t="shared" si="128"/>
        <v>45628.6875</v>
      </c>
      <c r="BE128" s="19">
        <f t="shared" si="128"/>
        <v>45628.70833</v>
      </c>
      <c r="BF128" s="19">
        <f t="shared" si="128"/>
        <v>45628.72917</v>
      </c>
      <c r="BG128" s="19">
        <f t="shared" si="128"/>
        <v>45628.75</v>
      </c>
      <c r="BH128" s="19">
        <f t="shared" si="128"/>
        <v>45628.77083</v>
      </c>
      <c r="BI128" s="19">
        <f t="shared" si="128"/>
        <v>45628.79167</v>
      </c>
      <c r="BJ128" s="19">
        <f t="shared" si="128"/>
        <v>45628.8125</v>
      </c>
      <c r="BK128" s="19">
        <f t="shared" si="128"/>
        <v>45628.83333</v>
      </c>
      <c r="BL128" s="19">
        <f t="shared" si="128"/>
        <v>45628.85417</v>
      </c>
      <c r="BM128" s="19">
        <f t="shared" si="128"/>
        <v>45628.875</v>
      </c>
      <c r="BN128" s="19">
        <f t="shared" si="128"/>
        <v>45628.89583</v>
      </c>
      <c r="BO128" s="19">
        <f t="shared" si="128"/>
        <v>45628.91667</v>
      </c>
      <c r="BP128" s="19">
        <f t="shared" si="128"/>
        <v>45628.9375</v>
      </c>
      <c r="BQ128" s="19">
        <f t="shared" si="128"/>
        <v>45628.95833</v>
      </c>
      <c r="BR128" s="19">
        <f t="shared" si="128"/>
        <v>45628.97917</v>
      </c>
      <c r="BS128" s="19">
        <f t="shared" si="128"/>
        <v>45629</v>
      </c>
      <c r="BT128" s="19">
        <f t="shared" si="128"/>
        <v>45629.02083</v>
      </c>
      <c r="BU128" s="19">
        <f t="shared" si="128"/>
        <v>45629.04167</v>
      </c>
      <c r="BV128" s="19">
        <f t="shared" si="128"/>
        <v>45629.0625</v>
      </c>
      <c r="BW128" s="19">
        <f t="shared" si="128"/>
        <v>45629.08333</v>
      </c>
      <c r="BX128" s="19">
        <f t="shared" si="128"/>
        <v>45628</v>
      </c>
      <c r="BY128" s="19">
        <f t="shared" si="128"/>
        <v>45628</v>
      </c>
      <c r="BZ128" s="19">
        <f t="shared" si="128"/>
        <v>45628</v>
      </c>
    </row>
    <row r="129" ht="14.25" customHeight="1">
      <c r="A129" s="17">
        <v>45629.0</v>
      </c>
      <c r="B129" s="2" t="str">
        <f t="array" ref="B129">IF(NOW()&gt;AM129,"",IF(AND((WEEKDAY($A129)+$B$2)&gt;1,((WEEKDAY($A129)+$T$2)&lt;7),(WEEKDAY($A129)&lt;&gt;1)),"work",(INDEX(Subject!$A:$I,MATCH(RANDBETWEEN(1,(MAX(Subject!$B:$B))),Subject!$B:$B,0),3))))</f>
        <v/>
      </c>
      <c r="C129" s="2" t="str">
        <f t="array" ref="C129">IF(NOW()&gt;AN129,"",IF(AND((WEEKDAY($A129)+$B$2)&gt;1,((WEEKDAY($A129)+$T$2)&lt;7),(WEEKDAY($A129)&lt;&gt;1)),"work",(INDEX(Subject!$A:$I,MATCH(RANDBETWEEN(1,(MAX(Subject!$B:$B))),Subject!$B:$B,0),3))))</f>
        <v/>
      </c>
      <c r="D129" s="2" t="str">
        <f t="array" ref="D129">IF(NOW()&gt;AO129,"",IF(AND((WEEKDAY($A129)+$B$2)&gt;1,((WEEKDAY($A129)+$T$2)&lt;7),(WEEKDAY($A129)&lt;&gt;1)),"work",(INDEX(Subject!$A:$I,MATCH(RANDBETWEEN(1,(MAX(Subject!$B:$B))),Subject!$B:$B,0),3))))</f>
        <v/>
      </c>
      <c r="E129" s="2" t="str">
        <f t="array" ref="E129">IF(NOW()&gt;AP129,"",IF(AND((WEEKDAY($A129)+$B$2)&gt;1,((WEEKDAY($A129)+$T$2)&lt;7),(WEEKDAY($A129)&lt;&gt;1)),"work",(INDEX(Subject!$A:$I,MATCH(RANDBETWEEN(1,(MAX(Subject!$B:$B))),Subject!$B:$B,0),3))))</f>
        <v/>
      </c>
      <c r="F129" s="2" t="str">
        <f t="array" ref="F129">IF(NOW()&gt;AQ129,"",IF(AND((WEEKDAY($A129)+$B$2)&gt;1,((WEEKDAY($A129)+$T$2)&lt;7),(WEEKDAY($A129)&lt;&gt;1)),"work",(INDEX(Subject!$A:$I,MATCH(RANDBETWEEN(1,(MAX(Subject!$B:$B))),Subject!$B:$B,0),3))))</f>
        <v/>
      </c>
      <c r="G129" s="2" t="str">
        <f t="array" ref="G129">IF(NOW()&gt;AR129,"",IF(AND((WEEKDAY($A129)+$B$2)&gt;1,((WEEKDAY($A129)+$T$2)&lt;7),(WEEKDAY($A129)&lt;&gt;1)),"work",(INDEX(Subject!$A:$I,MATCH(RANDBETWEEN(1,(MAX(Subject!$B:$B))),Subject!$B:$B,0),3))))</f>
        <v/>
      </c>
      <c r="H129" s="2" t="str">
        <f t="array" ref="H129">IF(NOW()&gt;AS129,"",IF(AND((WEEKDAY($A129)+$B$2)&gt;1,((WEEKDAY($A129)+$T$2)&lt;7),(WEEKDAY($A129)&lt;&gt;1)),"work",(INDEX(Subject!$A:$I,MATCH(RANDBETWEEN(1,(MAX(Subject!$B:$B))),Subject!$B:$B,0),3))))</f>
        <v/>
      </c>
      <c r="I129" s="2" t="str">
        <f t="array" ref="I129">IF(NOW()&gt;AT129,"",IF(AND((WEEKDAY($A129)+$B$2)&gt;1,((WEEKDAY($A129)+$T$2)&lt;7),(WEEKDAY($A129)&lt;&gt;1)),"work",(INDEX(Subject!$A:$I,MATCH(RANDBETWEEN(1,(MAX(Subject!$B:$B))),Subject!$B:$B,0),3))))</f>
        <v/>
      </c>
      <c r="J129" s="2" t="str">
        <f t="array" ref="J129">IF(NOW()&gt;AU129,"",IF(AND((WEEKDAY($A129)+$B$2)&gt;1,((WEEKDAY($A129)+$T$2)&lt;7),(WEEKDAY($A129)&lt;&gt;1)),"work",(INDEX(Subject!$A:$I,MATCH(RANDBETWEEN(1,(MAX(Subject!$B:$B))),Subject!$B:$B,0),3))))</f>
        <v/>
      </c>
      <c r="K129" s="2" t="str">
        <f t="array" ref="K129">IF(NOW()&gt;AV129,"",IF(AND((WEEKDAY($A129)+$B$2)&gt;1,((WEEKDAY($A129)+$T$2)&lt;7),(WEEKDAY($A129)&lt;&gt;1)),"work",(INDEX(Subject!$A:$I,MATCH(RANDBETWEEN(1,(MAX(Subject!$B:$B))),Subject!$B:$B,0),3))))</f>
        <v/>
      </c>
      <c r="L129" s="2" t="str">
        <f t="array" ref="L129">IF(NOW()&gt;AW129,"",IF(AND((WEEKDAY($A129)+$B$2)&gt;1,((WEEKDAY($A129)+$T$2)&lt;7),(WEEKDAY($A129)&lt;&gt;1)),"work",(INDEX(Subject!$A:$I,MATCH(RANDBETWEEN(1,(MAX(Subject!$B:$B))),Subject!$B:$B,0),3))))</f>
        <v/>
      </c>
      <c r="M129" s="2" t="str">
        <f t="array" ref="M129">IF(NOW()&gt;AX129,"",IF(AND((WEEKDAY($A129)+$B$2)&gt;1,((WEEKDAY($A129)+$T$2)&lt;7),(WEEKDAY($A129)&lt;&gt;1)),"work",(INDEX(Subject!$A:$I,MATCH(RANDBETWEEN(1,(MAX(Subject!$B:$B))),Subject!$B:$B,0),3))))</f>
        <v/>
      </c>
      <c r="N129" s="2" t="str">
        <f t="array" ref="N129">IF(NOW()&gt;AY129,"",IF(AND((WEEKDAY($A129)+$B$2)&gt;1,((WEEKDAY($A129)+$T$2)&lt;7),(WEEKDAY($A129)&lt;&gt;1)),"work",(INDEX(Subject!$A:$I,MATCH(RANDBETWEEN(1,(MAX(Subject!$B:$B))),Subject!$B:$B,0),3))))</f>
        <v/>
      </c>
      <c r="O129" s="2" t="str">
        <f t="array" ref="O129">IF(NOW()&gt;AZ129,"",IF(AND((WEEKDAY($A129)+$B$2)&gt;1,((WEEKDAY($A129)+$T$2)&lt;7),(WEEKDAY($A129)&lt;&gt;1)),"work",(INDEX(Subject!$A:$I,MATCH(RANDBETWEEN(1,(MAX(Subject!$B:$B))),Subject!$B:$B,0),3))))</f>
        <v/>
      </c>
      <c r="P129" s="2" t="str">
        <f t="array" ref="P129">IF(NOW()&gt;BA129,"",IF(AND((WEEKDAY($A129)+$B$2)&gt;1,((WEEKDAY($A129)+$T$2)&lt;7),(WEEKDAY($A129)&lt;&gt;1)),"work",(INDEX(Subject!$A:$I,MATCH(RANDBETWEEN(1,(MAX(Subject!$B:$B))),Subject!$B:$B,0),3))))</f>
        <v/>
      </c>
      <c r="Q129" s="2" t="str">
        <f t="array" ref="Q129">IF(NOW()&gt;BB129,"",IF(AND((WEEKDAY($A129)+$B$2)&gt;1,((WEEKDAY($A129)+$T$2)&lt;7),(WEEKDAY($A129)&lt;&gt;1)),"work",(INDEX(Subject!$A:$I,MATCH(RANDBETWEEN(1,(MAX(Subject!$B:$B))),Subject!$B:$B,0),3))))</f>
        <v/>
      </c>
      <c r="R129" s="2" t="str">
        <f t="array" ref="R129">IF(NOW()&gt;BC129,"",IF(AND((WEEKDAY($A129)+$B$2)&gt;1,((WEEKDAY($A129)+$T$2)&lt;7),(WEEKDAY($A129)&lt;&gt;1)),"work",(INDEX(Subject!$A:$I,MATCH(RANDBETWEEN(1,(MAX(Subject!$B:$B))),Subject!$B:$B,0),3))))</f>
        <v/>
      </c>
      <c r="S129" s="2" t="str">
        <f t="array" ref="S129">IF(NOW()&gt;BD129,"",IF(AND((WEEKDAY($A129)+$B$2)&gt;1,((WEEKDAY($A129)+$T$2)&lt;7),(WEEKDAY($A129)&lt;&gt;1)),"work",(INDEX(Subject!$A:$I,MATCH(RANDBETWEEN(1,(MAX(Subject!$B:$B))),Subject!$B:$B,0),3))))</f>
        <v/>
      </c>
      <c r="T129" s="2" t="str">
        <f t="array" ref="T129">IF(NOW()&gt;BE129,"",IF(AND((WEEKDAY($A129)+$B$2)&gt;1,((WEEKDAY($A129)+$T$2)&lt;7),(WEEKDAY($A129)&lt;&gt;1)),"work",(INDEX(Subject!$A:$I,MATCH(RANDBETWEEN(1,(MAX(Subject!$B:$B))),Subject!$B:$B,0),3))))</f>
        <v/>
      </c>
      <c r="U129" s="8" t="str">
        <f t="array" ref="U129">INDEX(Subject!$A:$I,MATCH(RANDBETWEEN(1,16),Subject!$B:$B,0),3)</f>
        <v>#N/A</v>
      </c>
      <c r="V129" s="8" t="str">
        <f t="array" ref="V129">INDEX(Subject!$A:$I,MATCH(RANDBETWEEN(1,16),Subject!$B:$B,0),3)</f>
        <v>#N/A</v>
      </c>
      <c r="W129" s="8" t="str">
        <f t="array" ref="W129">INDEX(Subject!$A:$I,MATCH(RANDBETWEEN(1,16),Subject!$B:$B,0),3)</f>
        <v>#N/A</v>
      </c>
      <c r="X129" s="8" t="str">
        <f t="array" ref="X129">INDEX(Subject!$A:$I,MATCH(RANDBETWEEN(1,16),Subject!$B:$B,0),3)</f>
        <v>#N/A</v>
      </c>
      <c r="Y129" s="8" t="str">
        <f t="array" ref="Y129">INDEX(Subject!$A:$I,MATCH(RANDBETWEEN(1,16),Subject!$B:$B,0),3)</f>
        <v>#N/A</v>
      </c>
      <c r="Z129" s="8" t="str">
        <f t="array" ref="Z129">INDEX(Subject!$A:$I,MATCH(RANDBETWEEN(1,16),Subject!$B:$B,0),3)</f>
        <v>#N/A</v>
      </c>
      <c r="AA129" s="8" t="str">
        <f t="array" ref="AA129">INDEX(Subject!$A:$I,MATCH(RANDBETWEEN(1,16),Subject!$B:$B,0),3)</f>
        <v>#N/A</v>
      </c>
      <c r="AB129" s="8" t="str">
        <f t="array" ref="AB129">INDEX(Subject!$A:$I,MATCH(RANDBETWEEN(1,16),Subject!$B:$B,0),3)</f>
        <v>#N/A</v>
      </c>
      <c r="AC129" s="8" t="str">
        <f t="array" ref="AC129">INDEX(Subject!$A:$I,MATCH(RANDBETWEEN(1,16),Subject!$B:$B,0),3)</f>
        <v>#N/A</v>
      </c>
      <c r="AD129" s="8" t="str">
        <f t="array" ref="AD129">INDEX(Subject!$A:$I,MATCH(RANDBETWEEN(1,16),Subject!$B:$B,0),3)</f>
        <v>#N/A</v>
      </c>
      <c r="AE129" s="8" t="str">
        <f t="array" ref="AE129">INDEX(Subject!$A:$I,MATCH(RANDBETWEEN(1,16),Subject!$B:$B,0),3)</f>
        <v>#N/A</v>
      </c>
      <c r="AF129" s="8" t="str">
        <f t="array" ref="AF129">INDEX(Subject!$A:$I,MATCH(RANDBETWEEN(1,16),Subject!$B:$B,0),3)</f>
        <v>#N/A</v>
      </c>
      <c r="AG129" s="8" t="str">
        <f t="array" ref="AG129">INDEX(Subject!$A:$I,MATCH(RANDBETWEEN(1,16),Subject!$B:$B,0),3)</f>
        <v>#N/A</v>
      </c>
      <c r="AH129" s="8" t="str">
        <f t="array" ref="AH129">INDEX(Subject!$A:$I,MATCH(RANDBETWEEN(1,16),Subject!$B:$B,0),3)</f>
        <v>#N/A</v>
      </c>
      <c r="AI129" s="8" t="str">
        <f t="array" ref="AI129">INDEX(Subject!$A:$I,MATCH(RANDBETWEEN(1,16),Subject!$B:$B,0),3)</f>
        <v>#N/A</v>
      </c>
      <c r="AJ129" s="8" t="str">
        <f t="array" ref="AJ129">INDEX(Subject!$A:$I,MATCH(RANDBETWEEN(1,16),Subject!$B:$B,0),3)</f>
        <v>#N/A</v>
      </c>
      <c r="AK129" s="8" t="str">
        <f t="array" ref="AK129">INDEX(Subject!$A:$I,MATCH(RANDBETWEEN(1,16),Subject!$B:$B,0),3)</f>
        <v>#N/A</v>
      </c>
      <c r="AL129" s="8" t="str">
        <f t="array" ref="AL129">INDEX(Subject!$A:$I,MATCH(RANDBETWEEN(1,16),Subject!$B:$B,0),3)</f>
        <v>#N/A</v>
      </c>
      <c r="AM129" s="18">
        <f t="shared" si="4"/>
        <v>45629.33333</v>
      </c>
      <c r="AN129" s="19">
        <f t="shared" ref="AN129:BZ129" si="129">$A129+C$1</f>
        <v>45629.35417</v>
      </c>
      <c r="AO129" s="19">
        <f t="shared" si="129"/>
        <v>45629.375</v>
      </c>
      <c r="AP129" s="19">
        <f t="shared" si="129"/>
        <v>45629.39583</v>
      </c>
      <c r="AQ129" s="19">
        <f t="shared" si="129"/>
        <v>45629.41667</v>
      </c>
      <c r="AR129" s="19">
        <f t="shared" si="129"/>
        <v>45629.4375</v>
      </c>
      <c r="AS129" s="19">
        <f t="shared" si="129"/>
        <v>45629.45833</v>
      </c>
      <c r="AT129" s="19">
        <f t="shared" si="129"/>
        <v>45629.47917</v>
      </c>
      <c r="AU129" s="19">
        <f t="shared" si="129"/>
        <v>45629.5</v>
      </c>
      <c r="AV129" s="19">
        <f t="shared" si="129"/>
        <v>45629.52083</v>
      </c>
      <c r="AW129" s="19">
        <f t="shared" si="129"/>
        <v>45629.54167</v>
      </c>
      <c r="AX129" s="19">
        <f t="shared" si="129"/>
        <v>45629.5625</v>
      </c>
      <c r="AY129" s="19">
        <f t="shared" si="129"/>
        <v>45629.58333</v>
      </c>
      <c r="AZ129" s="19">
        <f t="shared" si="129"/>
        <v>45629.60417</v>
      </c>
      <c r="BA129" s="19">
        <f t="shared" si="129"/>
        <v>45629.625</v>
      </c>
      <c r="BB129" s="19">
        <f t="shared" si="129"/>
        <v>45629.64583</v>
      </c>
      <c r="BC129" s="19">
        <f t="shared" si="129"/>
        <v>45629.66667</v>
      </c>
      <c r="BD129" s="19">
        <f t="shared" si="129"/>
        <v>45629.6875</v>
      </c>
      <c r="BE129" s="19">
        <f t="shared" si="129"/>
        <v>45629.70833</v>
      </c>
      <c r="BF129" s="19">
        <f t="shared" si="129"/>
        <v>45629.72917</v>
      </c>
      <c r="BG129" s="19">
        <f t="shared" si="129"/>
        <v>45629.75</v>
      </c>
      <c r="BH129" s="19">
        <f t="shared" si="129"/>
        <v>45629.77083</v>
      </c>
      <c r="BI129" s="19">
        <f t="shared" si="129"/>
        <v>45629.79167</v>
      </c>
      <c r="BJ129" s="19">
        <f t="shared" si="129"/>
        <v>45629.8125</v>
      </c>
      <c r="BK129" s="19">
        <f t="shared" si="129"/>
        <v>45629.83333</v>
      </c>
      <c r="BL129" s="19">
        <f t="shared" si="129"/>
        <v>45629.85417</v>
      </c>
      <c r="BM129" s="19">
        <f t="shared" si="129"/>
        <v>45629.875</v>
      </c>
      <c r="BN129" s="19">
        <f t="shared" si="129"/>
        <v>45629.89583</v>
      </c>
      <c r="BO129" s="19">
        <f t="shared" si="129"/>
        <v>45629.91667</v>
      </c>
      <c r="BP129" s="19">
        <f t="shared" si="129"/>
        <v>45629.9375</v>
      </c>
      <c r="BQ129" s="19">
        <f t="shared" si="129"/>
        <v>45629.95833</v>
      </c>
      <c r="BR129" s="19">
        <f t="shared" si="129"/>
        <v>45629.97917</v>
      </c>
      <c r="BS129" s="19">
        <f t="shared" si="129"/>
        <v>45630</v>
      </c>
      <c r="BT129" s="19">
        <f t="shared" si="129"/>
        <v>45630.02083</v>
      </c>
      <c r="BU129" s="19">
        <f t="shared" si="129"/>
        <v>45630.04167</v>
      </c>
      <c r="BV129" s="19">
        <f t="shared" si="129"/>
        <v>45630.0625</v>
      </c>
      <c r="BW129" s="19">
        <f t="shared" si="129"/>
        <v>45630.08333</v>
      </c>
      <c r="BX129" s="19">
        <f t="shared" si="129"/>
        <v>45629</v>
      </c>
      <c r="BY129" s="19">
        <f t="shared" si="129"/>
        <v>45629</v>
      </c>
      <c r="BZ129" s="19">
        <f t="shared" si="129"/>
        <v>45629</v>
      </c>
    </row>
    <row r="130" ht="14.25" customHeight="1">
      <c r="A130" s="17">
        <v>45630.0</v>
      </c>
      <c r="B130" s="2" t="str">
        <f t="array" ref="B130">IF(NOW()&gt;AM130,"",IF(AND((WEEKDAY($A130)+$B$2)&gt;1,((WEEKDAY($A130)+$T$2)&lt;7),(WEEKDAY($A130)&lt;&gt;1)),"work",(INDEX(Subject!$A:$I,MATCH(RANDBETWEEN(1,(MAX(Subject!$B:$B))),Subject!$B:$B,0),3))))</f>
        <v/>
      </c>
      <c r="C130" s="2" t="str">
        <f t="array" ref="C130">IF(NOW()&gt;AN130,"",IF(AND((WEEKDAY($A130)+$B$2)&gt;1,((WEEKDAY($A130)+$T$2)&lt;7),(WEEKDAY($A130)&lt;&gt;1)),"work",(INDEX(Subject!$A:$I,MATCH(RANDBETWEEN(1,(MAX(Subject!$B:$B))),Subject!$B:$B,0),3))))</f>
        <v/>
      </c>
      <c r="D130" s="2" t="str">
        <f t="array" ref="D130">IF(NOW()&gt;AO130,"",IF(AND((WEEKDAY($A130)+$B$2)&gt;1,((WEEKDAY($A130)+$T$2)&lt;7),(WEEKDAY($A130)&lt;&gt;1)),"work",(INDEX(Subject!$A:$I,MATCH(RANDBETWEEN(1,(MAX(Subject!$B:$B))),Subject!$B:$B,0),3))))</f>
        <v/>
      </c>
      <c r="E130" s="2" t="str">
        <f t="array" ref="E130">IF(NOW()&gt;AP130,"",IF(AND((WEEKDAY($A130)+$B$2)&gt;1,((WEEKDAY($A130)+$T$2)&lt;7),(WEEKDAY($A130)&lt;&gt;1)),"work",(INDEX(Subject!$A:$I,MATCH(RANDBETWEEN(1,(MAX(Subject!$B:$B))),Subject!$B:$B,0),3))))</f>
        <v/>
      </c>
      <c r="F130" s="2" t="str">
        <f t="array" ref="F130">IF(NOW()&gt;AQ130,"",IF(AND((WEEKDAY($A130)+$B$2)&gt;1,((WEEKDAY($A130)+$T$2)&lt;7),(WEEKDAY($A130)&lt;&gt;1)),"work",(INDEX(Subject!$A:$I,MATCH(RANDBETWEEN(1,(MAX(Subject!$B:$B))),Subject!$B:$B,0),3))))</f>
        <v/>
      </c>
      <c r="G130" s="2" t="str">
        <f t="array" ref="G130">IF(NOW()&gt;AR130,"",IF(AND((WEEKDAY($A130)+$B$2)&gt;1,((WEEKDAY($A130)+$T$2)&lt;7),(WEEKDAY($A130)&lt;&gt;1)),"work",(INDEX(Subject!$A:$I,MATCH(RANDBETWEEN(1,(MAX(Subject!$B:$B))),Subject!$B:$B,0),3))))</f>
        <v/>
      </c>
      <c r="H130" s="2" t="str">
        <f t="array" ref="H130">IF(NOW()&gt;AS130,"",IF(AND((WEEKDAY($A130)+$B$2)&gt;1,((WEEKDAY($A130)+$T$2)&lt;7),(WEEKDAY($A130)&lt;&gt;1)),"work",(INDEX(Subject!$A:$I,MATCH(RANDBETWEEN(1,(MAX(Subject!$B:$B))),Subject!$B:$B,0),3))))</f>
        <v/>
      </c>
      <c r="I130" s="2" t="str">
        <f t="array" ref="I130">IF(NOW()&gt;AT130,"",IF(AND((WEEKDAY($A130)+$B$2)&gt;1,((WEEKDAY($A130)+$T$2)&lt;7),(WEEKDAY($A130)&lt;&gt;1)),"work",(INDEX(Subject!$A:$I,MATCH(RANDBETWEEN(1,(MAX(Subject!$B:$B))),Subject!$B:$B,0),3))))</f>
        <v/>
      </c>
      <c r="J130" s="2" t="str">
        <f t="array" ref="J130">IF(NOW()&gt;AU130,"",IF(AND((WEEKDAY($A130)+$B$2)&gt;1,((WEEKDAY($A130)+$T$2)&lt;7),(WEEKDAY($A130)&lt;&gt;1)),"work",(INDEX(Subject!$A:$I,MATCH(RANDBETWEEN(1,(MAX(Subject!$B:$B))),Subject!$B:$B,0),3))))</f>
        <v/>
      </c>
      <c r="K130" s="2" t="str">
        <f t="array" ref="K130">IF(NOW()&gt;AV130,"",IF(AND((WEEKDAY($A130)+$B$2)&gt;1,((WEEKDAY($A130)+$T$2)&lt;7),(WEEKDAY($A130)&lt;&gt;1)),"work",(INDEX(Subject!$A:$I,MATCH(RANDBETWEEN(1,(MAX(Subject!$B:$B))),Subject!$B:$B,0),3))))</f>
        <v/>
      </c>
      <c r="L130" s="2" t="str">
        <f t="array" ref="L130">IF(NOW()&gt;AW130,"",IF(AND((WEEKDAY($A130)+$B$2)&gt;1,((WEEKDAY($A130)+$T$2)&lt;7),(WEEKDAY($A130)&lt;&gt;1)),"work",(INDEX(Subject!$A:$I,MATCH(RANDBETWEEN(1,(MAX(Subject!$B:$B))),Subject!$B:$B,0),3))))</f>
        <v/>
      </c>
      <c r="M130" s="2" t="str">
        <f t="array" ref="M130">IF(NOW()&gt;AX130,"",IF(AND((WEEKDAY($A130)+$B$2)&gt;1,((WEEKDAY($A130)+$T$2)&lt;7),(WEEKDAY($A130)&lt;&gt;1)),"work",(INDEX(Subject!$A:$I,MATCH(RANDBETWEEN(1,(MAX(Subject!$B:$B))),Subject!$B:$B,0),3))))</f>
        <v/>
      </c>
      <c r="N130" s="2" t="str">
        <f t="array" ref="N130">IF(NOW()&gt;AY130,"",IF(AND((WEEKDAY($A130)+$B$2)&gt;1,((WEEKDAY($A130)+$T$2)&lt;7),(WEEKDAY($A130)&lt;&gt;1)),"work",(INDEX(Subject!$A:$I,MATCH(RANDBETWEEN(1,(MAX(Subject!$B:$B))),Subject!$B:$B,0),3))))</f>
        <v/>
      </c>
      <c r="O130" s="2" t="str">
        <f t="array" ref="O130">IF(NOW()&gt;AZ130,"",IF(AND((WEEKDAY($A130)+$B$2)&gt;1,((WEEKDAY($A130)+$T$2)&lt;7),(WEEKDAY($A130)&lt;&gt;1)),"work",(INDEX(Subject!$A:$I,MATCH(RANDBETWEEN(1,(MAX(Subject!$B:$B))),Subject!$B:$B,0),3))))</f>
        <v/>
      </c>
      <c r="P130" s="2" t="str">
        <f t="array" ref="P130">IF(NOW()&gt;BA130,"",IF(AND((WEEKDAY($A130)+$B$2)&gt;1,((WEEKDAY($A130)+$T$2)&lt;7),(WEEKDAY($A130)&lt;&gt;1)),"work",(INDEX(Subject!$A:$I,MATCH(RANDBETWEEN(1,(MAX(Subject!$B:$B))),Subject!$B:$B,0),3))))</f>
        <v/>
      </c>
      <c r="Q130" s="2" t="str">
        <f t="array" ref="Q130">IF(NOW()&gt;BB130,"",IF(AND((WEEKDAY($A130)+$B$2)&gt;1,((WEEKDAY($A130)+$T$2)&lt;7),(WEEKDAY($A130)&lt;&gt;1)),"work",(INDEX(Subject!$A:$I,MATCH(RANDBETWEEN(1,(MAX(Subject!$B:$B))),Subject!$B:$B,0),3))))</f>
        <v/>
      </c>
      <c r="R130" s="2" t="str">
        <f t="array" ref="R130">IF(NOW()&gt;BC130,"",IF(AND((WEEKDAY($A130)+$B$2)&gt;1,((WEEKDAY($A130)+$T$2)&lt;7),(WEEKDAY($A130)&lt;&gt;1)),"work",(INDEX(Subject!$A:$I,MATCH(RANDBETWEEN(1,(MAX(Subject!$B:$B))),Subject!$B:$B,0),3))))</f>
        <v/>
      </c>
      <c r="S130" s="2" t="str">
        <f t="array" ref="S130">IF(NOW()&gt;BD130,"",IF(AND((WEEKDAY($A130)+$B$2)&gt;1,((WEEKDAY($A130)+$T$2)&lt;7),(WEEKDAY($A130)&lt;&gt;1)),"work",(INDEX(Subject!$A:$I,MATCH(RANDBETWEEN(1,(MAX(Subject!$B:$B))),Subject!$B:$B,0),3))))</f>
        <v/>
      </c>
      <c r="T130" s="2" t="str">
        <f t="array" ref="T130">IF(NOW()&gt;BE130,"",IF(AND((WEEKDAY($A130)+$B$2)&gt;1,((WEEKDAY($A130)+$T$2)&lt;7),(WEEKDAY($A130)&lt;&gt;1)),"work",(INDEX(Subject!$A:$I,MATCH(RANDBETWEEN(1,(MAX(Subject!$B:$B))),Subject!$B:$B,0),3))))</f>
        <v/>
      </c>
      <c r="U130" s="8" t="str">
        <f t="array" ref="U130">INDEX(Subject!$A:$I,MATCH(RANDBETWEEN(1,16),Subject!$B:$B,0),3)</f>
        <v>#N/A</v>
      </c>
      <c r="V130" s="8" t="str">
        <f t="array" ref="V130">INDEX(Subject!$A:$I,MATCH(RANDBETWEEN(1,16),Subject!$B:$B,0),3)</f>
        <v>#N/A</v>
      </c>
      <c r="W130" s="8" t="str">
        <f t="array" ref="W130">INDEX(Subject!$A:$I,MATCH(RANDBETWEEN(1,16),Subject!$B:$B,0),3)</f>
        <v>#N/A</v>
      </c>
      <c r="X130" s="8" t="str">
        <f t="array" ref="X130">INDEX(Subject!$A:$I,MATCH(RANDBETWEEN(1,16),Subject!$B:$B,0),3)</f>
        <v>#N/A</v>
      </c>
      <c r="Y130" s="8" t="str">
        <f t="array" ref="Y130">INDEX(Subject!$A:$I,MATCH(RANDBETWEEN(1,16),Subject!$B:$B,0),3)</f>
        <v>#N/A</v>
      </c>
      <c r="Z130" s="8" t="str">
        <f t="array" ref="Z130">INDEX(Subject!$A:$I,MATCH(RANDBETWEEN(1,16),Subject!$B:$B,0),3)</f>
        <v>#N/A</v>
      </c>
      <c r="AA130" s="8" t="str">
        <f t="array" ref="AA130">INDEX(Subject!$A:$I,MATCH(RANDBETWEEN(1,16),Subject!$B:$B,0),3)</f>
        <v>#N/A</v>
      </c>
      <c r="AB130" s="8" t="str">
        <f t="array" ref="AB130">INDEX(Subject!$A:$I,MATCH(RANDBETWEEN(1,16),Subject!$B:$B,0),3)</f>
        <v/>
      </c>
      <c r="AC130" s="8" t="str">
        <f t="array" ref="AC130">INDEX(Subject!$A:$I,MATCH(RANDBETWEEN(1,16),Subject!$B:$B,0),3)</f>
        <v>#N/A</v>
      </c>
      <c r="AD130" s="8" t="str">
        <f t="array" ref="AD130">INDEX(Subject!$A:$I,MATCH(RANDBETWEEN(1,16),Subject!$B:$B,0),3)</f>
        <v>#N/A</v>
      </c>
      <c r="AE130" s="8" t="str">
        <f t="array" ref="AE130">INDEX(Subject!$A:$I,MATCH(RANDBETWEEN(1,16),Subject!$B:$B,0),3)</f>
        <v/>
      </c>
      <c r="AF130" s="8" t="str">
        <f t="array" ref="AF130">INDEX(Subject!$A:$I,MATCH(RANDBETWEEN(1,16),Subject!$B:$B,0),3)</f>
        <v>#N/A</v>
      </c>
      <c r="AG130" s="8" t="str">
        <f t="array" ref="AG130">INDEX(Subject!$A:$I,MATCH(RANDBETWEEN(1,16),Subject!$B:$B,0),3)</f>
        <v/>
      </c>
      <c r="AH130" s="8" t="str">
        <f t="array" ref="AH130">INDEX(Subject!$A:$I,MATCH(RANDBETWEEN(1,16),Subject!$B:$B,0),3)</f>
        <v>#N/A</v>
      </c>
      <c r="AI130" s="8" t="str">
        <f t="array" ref="AI130">INDEX(Subject!$A:$I,MATCH(RANDBETWEEN(1,16),Subject!$B:$B,0),3)</f>
        <v>#N/A</v>
      </c>
      <c r="AJ130" s="8" t="str">
        <f t="array" ref="AJ130">INDEX(Subject!$A:$I,MATCH(RANDBETWEEN(1,16),Subject!$B:$B,0),3)</f>
        <v>#N/A</v>
      </c>
      <c r="AK130" s="8" t="str">
        <f t="array" ref="AK130">INDEX(Subject!$A:$I,MATCH(RANDBETWEEN(1,16),Subject!$B:$B,0),3)</f>
        <v>#N/A</v>
      </c>
      <c r="AL130" s="8" t="str">
        <f t="array" ref="AL130">INDEX(Subject!$A:$I,MATCH(RANDBETWEEN(1,16),Subject!$B:$B,0),3)</f>
        <v>#N/A</v>
      </c>
      <c r="AM130" s="18">
        <f t="shared" si="4"/>
        <v>45630.33333</v>
      </c>
      <c r="AN130" s="19">
        <f t="shared" ref="AN130:BZ130" si="130">$A130+C$1</f>
        <v>45630.35417</v>
      </c>
      <c r="AO130" s="19">
        <f t="shared" si="130"/>
        <v>45630.375</v>
      </c>
      <c r="AP130" s="19">
        <f t="shared" si="130"/>
        <v>45630.39583</v>
      </c>
      <c r="AQ130" s="19">
        <f t="shared" si="130"/>
        <v>45630.41667</v>
      </c>
      <c r="AR130" s="19">
        <f t="shared" si="130"/>
        <v>45630.4375</v>
      </c>
      <c r="AS130" s="19">
        <f t="shared" si="130"/>
        <v>45630.45833</v>
      </c>
      <c r="AT130" s="19">
        <f t="shared" si="130"/>
        <v>45630.47917</v>
      </c>
      <c r="AU130" s="19">
        <f t="shared" si="130"/>
        <v>45630.5</v>
      </c>
      <c r="AV130" s="19">
        <f t="shared" si="130"/>
        <v>45630.52083</v>
      </c>
      <c r="AW130" s="19">
        <f t="shared" si="130"/>
        <v>45630.54167</v>
      </c>
      <c r="AX130" s="19">
        <f t="shared" si="130"/>
        <v>45630.5625</v>
      </c>
      <c r="AY130" s="19">
        <f t="shared" si="130"/>
        <v>45630.58333</v>
      </c>
      <c r="AZ130" s="19">
        <f t="shared" si="130"/>
        <v>45630.60417</v>
      </c>
      <c r="BA130" s="19">
        <f t="shared" si="130"/>
        <v>45630.625</v>
      </c>
      <c r="BB130" s="19">
        <f t="shared" si="130"/>
        <v>45630.64583</v>
      </c>
      <c r="BC130" s="19">
        <f t="shared" si="130"/>
        <v>45630.66667</v>
      </c>
      <c r="BD130" s="19">
        <f t="shared" si="130"/>
        <v>45630.6875</v>
      </c>
      <c r="BE130" s="19">
        <f t="shared" si="130"/>
        <v>45630.70833</v>
      </c>
      <c r="BF130" s="19">
        <f t="shared" si="130"/>
        <v>45630.72917</v>
      </c>
      <c r="BG130" s="19">
        <f t="shared" si="130"/>
        <v>45630.75</v>
      </c>
      <c r="BH130" s="19">
        <f t="shared" si="130"/>
        <v>45630.77083</v>
      </c>
      <c r="BI130" s="19">
        <f t="shared" si="130"/>
        <v>45630.79167</v>
      </c>
      <c r="BJ130" s="19">
        <f t="shared" si="130"/>
        <v>45630.8125</v>
      </c>
      <c r="BK130" s="19">
        <f t="shared" si="130"/>
        <v>45630.83333</v>
      </c>
      <c r="BL130" s="19">
        <f t="shared" si="130"/>
        <v>45630.85417</v>
      </c>
      <c r="BM130" s="19">
        <f t="shared" si="130"/>
        <v>45630.875</v>
      </c>
      <c r="BN130" s="19">
        <f t="shared" si="130"/>
        <v>45630.89583</v>
      </c>
      <c r="BO130" s="19">
        <f t="shared" si="130"/>
        <v>45630.91667</v>
      </c>
      <c r="BP130" s="19">
        <f t="shared" si="130"/>
        <v>45630.9375</v>
      </c>
      <c r="BQ130" s="19">
        <f t="shared" si="130"/>
        <v>45630.95833</v>
      </c>
      <c r="BR130" s="19">
        <f t="shared" si="130"/>
        <v>45630.97917</v>
      </c>
      <c r="BS130" s="19">
        <f t="shared" si="130"/>
        <v>45631</v>
      </c>
      <c r="BT130" s="19">
        <f t="shared" si="130"/>
        <v>45631.02083</v>
      </c>
      <c r="BU130" s="19">
        <f t="shared" si="130"/>
        <v>45631.04167</v>
      </c>
      <c r="BV130" s="19">
        <f t="shared" si="130"/>
        <v>45631.0625</v>
      </c>
      <c r="BW130" s="19">
        <f t="shared" si="130"/>
        <v>45631.08333</v>
      </c>
      <c r="BX130" s="19">
        <f t="shared" si="130"/>
        <v>45630</v>
      </c>
      <c r="BY130" s="19">
        <f t="shared" si="130"/>
        <v>45630</v>
      </c>
      <c r="BZ130" s="19">
        <f t="shared" si="130"/>
        <v>45630</v>
      </c>
    </row>
    <row r="131" ht="14.25" customHeight="1">
      <c r="A131" s="17">
        <v>45631.0</v>
      </c>
      <c r="B131" s="2" t="str">
        <f t="array" ref="B131">IF(NOW()&gt;AM131,"",IF(AND((WEEKDAY($A131)+$B$2)&gt;1,((WEEKDAY($A131)+$T$2)&lt;7),(WEEKDAY($A131)&lt;&gt;1)),"work",(INDEX(Subject!$A:$I,MATCH(RANDBETWEEN(1,(MAX(Subject!$B:$B))),Subject!$B:$B,0),3))))</f>
        <v/>
      </c>
      <c r="C131" s="2" t="str">
        <f t="array" ref="C131">IF(NOW()&gt;AN131,"",IF(AND((WEEKDAY($A131)+$B$2)&gt;1,((WEEKDAY($A131)+$T$2)&lt;7),(WEEKDAY($A131)&lt;&gt;1)),"work",(INDEX(Subject!$A:$I,MATCH(RANDBETWEEN(1,(MAX(Subject!$B:$B))),Subject!$B:$B,0),3))))</f>
        <v/>
      </c>
      <c r="D131" s="2" t="str">
        <f t="array" ref="D131">IF(NOW()&gt;AO131,"",IF(AND((WEEKDAY($A131)+$B$2)&gt;1,((WEEKDAY($A131)+$T$2)&lt;7),(WEEKDAY($A131)&lt;&gt;1)),"work",(INDEX(Subject!$A:$I,MATCH(RANDBETWEEN(1,(MAX(Subject!$B:$B))),Subject!$B:$B,0),3))))</f>
        <v/>
      </c>
      <c r="E131" s="2" t="str">
        <f t="array" ref="E131">IF(NOW()&gt;AP131,"",IF(AND((WEEKDAY($A131)+$B$2)&gt;1,((WEEKDAY($A131)+$T$2)&lt;7),(WEEKDAY($A131)&lt;&gt;1)),"work",(INDEX(Subject!$A:$I,MATCH(RANDBETWEEN(1,(MAX(Subject!$B:$B))),Subject!$B:$B,0),3))))</f>
        <v/>
      </c>
      <c r="F131" s="2" t="str">
        <f t="array" ref="F131">IF(NOW()&gt;AQ131,"",IF(AND((WEEKDAY($A131)+$B$2)&gt;1,((WEEKDAY($A131)+$T$2)&lt;7),(WEEKDAY($A131)&lt;&gt;1)),"work",(INDEX(Subject!$A:$I,MATCH(RANDBETWEEN(1,(MAX(Subject!$B:$B))),Subject!$B:$B,0),3))))</f>
        <v/>
      </c>
      <c r="G131" s="2" t="str">
        <f t="array" ref="G131">IF(NOW()&gt;AR131,"",IF(AND((WEEKDAY($A131)+$B$2)&gt;1,((WEEKDAY($A131)+$T$2)&lt;7),(WEEKDAY($A131)&lt;&gt;1)),"work",(INDEX(Subject!$A:$I,MATCH(RANDBETWEEN(1,(MAX(Subject!$B:$B))),Subject!$B:$B,0),3))))</f>
        <v/>
      </c>
      <c r="H131" s="2" t="str">
        <f t="array" ref="H131">IF(NOW()&gt;AS131,"",IF(AND((WEEKDAY($A131)+$B$2)&gt;1,((WEEKDAY($A131)+$T$2)&lt;7),(WEEKDAY($A131)&lt;&gt;1)),"work",(INDEX(Subject!$A:$I,MATCH(RANDBETWEEN(1,(MAX(Subject!$B:$B))),Subject!$B:$B,0),3))))</f>
        <v/>
      </c>
      <c r="I131" s="2" t="str">
        <f t="array" ref="I131">IF(NOW()&gt;AT131,"",IF(AND((WEEKDAY($A131)+$B$2)&gt;1,((WEEKDAY($A131)+$T$2)&lt;7),(WEEKDAY($A131)&lt;&gt;1)),"work",(INDEX(Subject!$A:$I,MATCH(RANDBETWEEN(1,(MAX(Subject!$B:$B))),Subject!$B:$B,0),3))))</f>
        <v/>
      </c>
      <c r="J131" s="2" t="str">
        <f t="array" ref="J131">IF(NOW()&gt;AU131,"",IF(AND((WEEKDAY($A131)+$B$2)&gt;1,((WEEKDAY($A131)+$T$2)&lt;7),(WEEKDAY($A131)&lt;&gt;1)),"work",(INDEX(Subject!$A:$I,MATCH(RANDBETWEEN(1,(MAX(Subject!$B:$B))),Subject!$B:$B,0),3))))</f>
        <v/>
      </c>
      <c r="K131" s="2" t="str">
        <f t="array" ref="K131">IF(NOW()&gt;AV131,"",IF(AND((WEEKDAY($A131)+$B$2)&gt;1,((WEEKDAY($A131)+$T$2)&lt;7),(WEEKDAY($A131)&lt;&gt;1)),"work",(INDEX(Subject!$A:$I,MATCH(RANDBETWEEN(1,(MAX(Subject!$B:$B))),Subject!$B:$B,0),3))))</f>
        <v/>
      </c>
      <c r="L131" s="2" t="str">
        <f t="array" ref="L131">IF(NOW()&gt;AW131,"",IF(AND((WEEKDAY($A131)+$B$2)&gt;1,((WEEKDAY($A131)+$T$2)&lt;7),(WEEKDAY($A131)&lt;&gt;1)),"work",(INDEX(Subject!$A:$I,MATCH(RANDBETWEEN(1,(MAX(Subject!$B:$B))),Subject!$B:$B,0),3))))</f>
        <v/>
      </c>
      <c r="M131" s="2" t="str">
        <f t="array" ref="M131">IF(NOW()&gt;AX131,"",IF(AND((WEEKDAY($A131)+$B$2)&gt;1,((WEEKDAY($A131)+$T$2)&lt;7),(WEEKDAY($A131)&lt;&gt;1)),"work",(INDEX(Subject!$A:$I,MATCH(RANDBETWEEN(1,(MAX(Subject!$B:$B))),Subject!$B:$B,0),3))))</f>
        <v/>
      </c>
      <c r="N131" s="2" t="str">
        <f t="array" ref="N131">IF(NOW()&gt;AY131,"",IF(AND((WEEKDAY($A131)+$B$2)&gt;1,((WEEKDAY($A131)+$T$2)&lt;7),(WEEKDAY($A131)&lt;&gt;1)),"work",(INDEX(Subject!$A:$I,MATCH(RANDBETWEEN(1,(MAX(Subject!$B:$B))),Subject!$B:$B,0),3))))</f>
        <v/>
      </c>
      <c r="O131" s="2" t="str">
        <f t="array" ref="O131">IF(NOW()&gt;AZ131,"",IF(AND((WEEKDAY($A131)+$B$2)&gt;1,((WEEKDAY($A131)+$T$2)&lt;7),(WEEKDAY($A131)&lt;&gt;1)),"work",(INDEX(Subject!$A:$I,MATCH(RANDBETWEEN(1,(MAX(Subject!$B:$B))),Subject!$B:$B,0),3))))</f>
        <v/>
      </c>
      <c r="P131" s="2" t="str">
        <f t="array" ref="P131">IF(NOW()&gt;BA131,"",IF(AND((WEEKDAY($A131)+$B$2)&gt;1,((WEEKDAY($A131)+$T$2)&lt;7),(WEEKDAY($A131)&lt;&gt;1)),"work",(INDEX(Subject!$A:$I,MATCH(RANDBETWEEN(1,(MAX(Subject!$B:$B))),Subject!$B:$B,0),3))))</f>
        <v/>
      </c>
      <c r="Q131" s="2" t="str">
        <f t="array" ref="Q131">IF(NOW()&gt;BB131,"",IF(AND((WEEKDAY($A131)+$B$2)&gt;1,((WEEKDAY($A131)+$T$2)&lt;7),(WEEKDAY($A131)&lt;&gt;1)),"work",(INDEX(Subject!$A:$I,MATCH(RANDBETWEEN(1,(MAX(Subject!$B:$B))),Subject!$B:$B,0),3))))</f>
        <v/>
      </c>
      <c r="R131" s="2" t="str">
        <f t="array" ref="R131">IF(NOW()&gt;BC131,"",IF(AND((WEEKDAY($A131)+$B$2)&gt;1,((WEEKDAY($A131)+$T$2)&lt;7),(WEEKDAY($A131)&lt;&gt;1)),"work",(INDEX(Subject!$A:$I,MATCH(RANDBETWEEN(1,(MAX(Subject!$B:$B))),Subject!$B:$B,0),3))))</f>
        <v/>
      </c>
      <c r="S131" s="2" t="str">
        <f t="array" ref="S131">IF(NOW()&gt;BD131,"",IF(AND((WEEKDAY($A131)+$B$2)&gt;1,((WEEKDAY($A131)+$T$2)&lt;7),(WEEKDAY($A131)&lt;&gt;1)),"work",(INDEX(Subject!$A:$I,MATCH(RANDBETWEEN(1,(MAX(Subject!$B:$B))),Subject!$B:$B,0),3))))</f>
        <v/>
      </c>
      <c r="T131" s="2" t="str">
        <f t="array" ref="T131">IF(NOW()&gt;BE131,"",IF(AND((WEEKDAY($A131)+$B$2)&gt;1,((WEEKDAY($A131)+$T$2)&lt;7),(WEEKDAY($A131)&lt;&gt;1)),"work",(INDEX(Subject!$A:$I,MATCH(RANDBETWEEN(1,(MAX(Subject!$B:$B))),Subject!$B:$B,0),3))))</f>
        <v/>
      </c>
      <c r="U131" s="8" t="str">
        <f t="array" ref="U131">INDEX(Subject!$A:$I,MATCH(RANDBETWEEN(1,16),Subject!$B:$B,0),3)</f>
        <v>#N/A</v>
      </c>
      <c r="V131" s="8" t="str">
        <f t="array" ref="V131">INDEX(Subject!$A:$I,MATCH(RANDBETWEEN(1,16),Subject!$B:$B,0),3)</f>
        <v/>
      </c>
      <c r="W131" s="8" t="str">
        <f t="array" ref="W131">INDEX(Subject!$A:$I,MATCH(RANDBETWEEN(1,16),Subject!$B:$B,0),3)</f>
        <v>#N/A</v>
      </c>
      <c r="X131" s="8" t="str">
        <f t="array" ref="X131">INDEX(Subject!$A:$I,MATCH(RANDBETWEEN(1,16),Subject!$B:$B,0),3)</f>
        <v>#N/A</v>
      </c>
      <c r="Y131" s="8" t="str">
        <f t="array" ref="Y131">INDEX(Subject!$A:$I,MATCH(RANDBETWEEN(1,16),Subject!$B:$B,0),3)</f>
        <v>#N/A</v>
      </c>
      <c r="Z131" s="8" t="str">
        <f t="array" ref="Z131">INDEX(Subject!$A:$I,MATCH(RANDBETWEEN(1,16),Subject!$B:$B,0),3)</f>
        <v>#N/A</v>
      </c>
      <c r="AA131" s="8" t="str">
        <f t="array" ref="AA131">INDEX(Subject!$A:$I,MATCH(RANDBETWEEN(1,16),Subject!$B:$B,0),3)</f>
        <v>#N/A</v>
      </c>
      <c r="AB131" s="8" t="str">
        <f t="array" ref="AB131">INDEX(Subject!$A:$I,MATCH(RANDBETWEEN(1,16),Subject!$B:$B,0),3)</f>
        <v>#N/A</v>
      </c>
      <c r="AC131" s="8" t="str">
        <f t="array" ref="AC131">INDEX(Subject!$A:$I,MATCH(RANDBETWEEN(1,16),Subject!$B:$B,0),3)</f>
        <v>#N/A</v>
      </c>
      <c r="AD131" s="8" t="str">
        <f t="array" ref="AD131">INDEX(Subject!$A:$I,MATCH(RANDBETWEEN(1,16),Subject!$B:$B,0),3)</f>
        <v>#N/A</v>
      </c>
      <c r="AE131" s="8" t="str">
        <f t="array" ref="AE131">INDEX(Subject!$A:$I,MATCH(RANDBETWEEN(1,16),Subject!$B:$B,0),3)</f>
        <v>#N/A</v>
      </c>
      <c r="AF131" s="8" t="str">
        <f t="array" ref="AF131">INDEX(Subject!$A:$I,MATCH(RANDBETWEEN(1,16),Subject!$B:$B,0),3)</f>
        <v>#N/A</v>
      </c>
      <c r="AG131" s="8" t="str">
        <f t="array" ref="AG131">INDEX(Subject!$A:$I,MATCH(RANDBETWEEN(1,16),Subject!$B:$B,0),3)</f>
        <v>#N/A</v>
      </c>
      <c r="AH131" s="8" t="str">
        <f t="array" ref="AH131">INDEX(Subject!$A:$I,MATCH(RANDBETWEEN(1,16),Subject!$B:$B,0),3)</f>
        <v>#N/A</v>
      </c>
      <c r="AI131" s="8" t="str">
        <f t="array" ref="AI131">INDEX(Subject!$A:$I,MATCH(RANDBETWEEN(1,16),Subject!$B:$B,0),3)</f>
        <v/>
      </c>
      <c r="AJ131" s="8" t="str">
        <f t="array" ref="AJ131">INDEX(Subject!$A:$I,MATCH(RANDBETWEEN(1,16),Subject!$B:$B,0),3)</f>
        <v>#N/A</v>
      </c>
      <c r="AK131" s="8" t="str">
        <f t="array" ref="AK131">INDEX(Subject!$A:$I,MATCH(RANDBETWEEN(1,16),Subject!$B:$B,0),3)</f>
        <v>#N/A</v>
      </c>
      <c r="AL131" s="8" t="str">
        <f t="array" ref="AL131">INDEX(Subject!$A:$I,MATCH(RANDBETWEEN(1,16),Subject!$B:$B,0),3)</f>
        <v>#N/A</v>
      </c>
      <c r="AM131" s="18">
        <f t="shared" si="4"/>
        <v>45631.33333</v>
      </c>
      <c r="AN131" s="19">
        <f t="shared" ref="AN131:BZ131" si="131">$A131+C$1</f>
        <v>45631.35417</v>
      </c>
      <c r="AO131" s="19">
        <f t="shared" si="131"/>
        <v>45631.375</v>
      </c>
      <c r="AP131" s="19">
        <f t="shared" si="131"/>
        <v>45631.39583</v>
      </c>
      <c r="AQ131" s="19">
        <f t="shared" si="131"/>
        <v>45631.41667</v>
      </c>
      <c r="AR131" s="19">
        <f t="shared" si="131"/>
        <v>45631.4375</v>
      </c>
      <c r="AS131" s="19">
        <f t="shared" si="131"/>
        <v>45631.45833</v>
      </c>
      <c r="AT131" s="19">
        <f t="shared" si="131"/>
        <v>45631.47917</v>
      </c>
      <c r="AU131" s="19">
        <f t="shared" si="131"/>
        <v>45631.5</v>
      </c>
      <c r="AV131" s="19">
        <f t="shared" si="131"/>
        <v>45631.52083</v>
      </c>
      <c r="AW131" s="19">
        <f t="shared" si="131"/>
        <v>45631.54167</v>
      </c>
      <c r="AX131" s="19">
        <f t="shared" si="131"/>
        <v>45631.5625</v>
      </c>
      <c r="AY131" s="19">
        <f t="shared" si="131"/>
        <v>45631.58333</v>
      </c>
      <c r="AZ131" s="19">
        <f t="shared" si="131"/>
        <v>45631.60417</v>
      </c>
      <c r="BA131" s="19">
        <f t="shared" si="131"/>
        <v>45631.625</v>
      </c>
      <c r="BB131" s="19">
        <f t="shared" si="131"/>
        <v>45631.64583</v>
      </c>
      <c r="BC131" s="19">
        <f t="shared" si="131"/>
        <v>45631.66667</v>
      </c>
      <c r="BD131" s="19">
        <f t="shared" si="131"/>
        <v>45631.6875</v>
      </c>
      <c r="BE131" s="19">
        <f t="shared" si="131"/>
        <v>45631.70833</v>
      </c>
      <c r="BF131" s="19">
        <f t="shared" si="131"/>
        <v>45631.72917</v>
      </c>
      <c r="BG131" s="19">
        <f t="shared" si="131"/>
        <v>45631.75</v>
      </c>
      <c r="BH131" s="19">
        <f t="shared" si="131"/>
        <v>45631.77083</v>
      </c>
      <c r="BI131" s="19">
        <f t="shared" si="131"/>
        <v>45631.79167</v>
      </c>
      <c r="BJ131" s="19">
        <f t="shared" si="131"/>
        <v>45631.8125</v>
      </c>
      <c r="BK131" s="19">
        <f t="shared" si="131"/>
        <v>45631.83333</v>
      </c>
      <c r="BL131" s="19">
        <f t="shared" si="131"/>
        <v>45631.85417</v>
      </c>
      <c r="BM131" s="19">
        <f t="shared" si="131"/>
        <v>45631.875</v>
      </c>
      <c r="BN131" s="19">
        <f t="shared" si="131"/>
        <v>45631.89583</v>
      </c>
      <c r="BO131" s="19">
        <f t="shared" si="131"/>
        <v>45631.91667</v>
      </c>
      <c r="BP131" s="19">
        <f t="shared" si="131"/>
        <v>45631.9375</v>
      </c>
      <c r="BQ131" s="19">
        <f t="shared" si="131"/>
        <v>45631.95833</v>
      </c>
      <c r="BR131" s="19">
        <f t="shared" si="131"/>
        <v>45631.97917</v>
      </c>
      <c r="BS131" s="19">
        <f t="shared" si="131"/>
        <v>45632</v>
      </c>
      <c r="BT131" s="19">
        <f t="shared" si="131"/>
        <v>45632.02083</v>
      </c>
      <c r="BU131" s="19">
        <f t="shared" si="131"/>
        <v>45632.04167</v>
      </c>
      <c r="BV131" s="19">
        <f t="shared" si="131"/>
        <v>45632.0625</v>
      </c>
      <c r="BW131" s="19">
        <f t="shared" si="131"/>
        <v>45632.08333</v>
      </c>
      <c r="BX131" s="19">
        <f t="shared" si="131"/>
        <v>45631</v>
      </c>
      <c r="BY131" s="19">
        <f t="shared" si="131"/>
        <v>45631</v>
      </c>
      <c r="BZ131" s="19">
        <f t="shared" si="131"/>
        <v>45631</v>
      </c>
    </row>
    <row r="132" ht="14.25" customHeight="1">
      <c r="A132" s="17">
        <v>45632.0</v>
      </c>
      <c r="B132" s="2" t="str">
        <f t="array" ref="B132">IF(NOW()&gt;AM132,"",IF(AND((WEEKDAY($A132)+$B$2)&gt;1,((WEEKDAY($A132)+$T$2)&lt;7),(WEEKDAY($A132)&lt;&gt;1)),"work",(INDEX(Subject!$A:$I,MATCH(RANDBETWEEN(1,(MAX(Subject!$B:$B))),Subject!$B:$B,0),3))))</f>
        <v/>
      </c>
      <c r="C132" s="2" t="str">
        <f t="array" ref="C132">IF(NOW()&gt;AN132,"",IF(AND((WEEKDAY($A132)+$B$2)&gt;1,((WEEKDAY($A132)+$T$2)&lt;7),(WEEKDAY($A132)&lt;&gt;1)),"work",(INDEX(Subject!$A:$I,MATCH(RANDBETWEEN(1,(MAX(Subject!$B:$B))),Subject!$B:$B,0),3))))</f>
        <v/>
      </c>
      <c r="D132" s="2" t="str">
        <f t="array" ref="D132">IF(NOW()&gt;AO132,"",IF(AND((WEEKDAY($A132)+$B$2)&gt;1,((WEEKDAY($A132)+$T$2)&lt;7),(WEEKDAY($A132)&lt;&gt;1)),"work",(INDEX(Subject!$A:$I,MATCH(RANDBETWEEN(1,(MAX(Subject!$B:$B))),Subject!$B:$B,0),3))))</f>
        <v/>
      </c>
      <c r="E132" s="2" t="str">
        <f t="array" ref="E132">IF(NOW()&gt;AP132,"",IF(AND((WEEKDAY($A132)+$B$2)&gt;1,((WEEKDAY($A132)+$T$2)&lt;7),(WEEKDAY($A132)&lt;&gt;1)),"work",(INDEX(Subject!$A:$I,MATCH(RANDBETWEEN(1,(MAX(Subject!$B:$B))),Subject!$B:$B,0),3))))</f>
        <v/>
      </c>
      <c r="F132" s="2" t="str">
        <f t="array" ref="F132">IF(NOW()&gt;AQ132,"",IF(AND((WEEKDAY($A132)+$B$2)&gt;1,((WEEKDAY($A132)+$T$2)&lt;7),(WEEKDAY($A132)&lt;&gt;1)),"work",(INDEX(Subject!$A:$I,MATCH(RANDBETWEEN(1,(MAX(Subject!$B:$B))),Subject!$B:$B,0),3))))</f>
        <v/>
      </c>
      <c r="G132" s="2" t="str">
        <f t="array" ref="G132">IF(NOW()&gt;AR132,"",IF(AND((WEEKDAY($A132)+$B$2)&gt;1,((WEEKDAY($A132)+$T$2)&lt;7),(WEEKDAY($A132)&lt;&gt;1)),"work",(INDEX(Subject!$A:$I,MATCH(RANDBETWEEN(1,(MAX(Subject!$B:$B))),Subject!$B:$B,0),3))))</f>
        <v/>
      </c>
      <c r="H132" s="2" t="str">
        <f t="array" ref="H132">IF(NOW()&gt;AS132,"",IF(AND((WEEKDAY($A132)+$B$2)&gt;1,((WEEKDAY($A132)+$T$2)&lt;7),(WEEKDAY($A132)&lt;&gt;1)),"work",(INDEX(Subject!$A:$I,MATCH(RANDBETWEEN(1,(MAX(Subject!$B:$B))),Subject!$B:$B,0),3))))</f>
        <v/>
      </c>
      <c r="I132" s="2" t="str">
        <f t="array" ref="I132">IF(NOW()&gt;AT132,"",IF(AND((WEEKDAY($A132)+$B$2)&gt;1,((WEEKDAY($A132)+$T$2)&lt;7),(WEEKDAY($A132)&lt;&gt;1)),"work",(INDEX(Subject!$A:$I,MATCH(RANDBETWEEN(1,(MAX(Subject!$B:$B))),Subject!$B:$B,0),3))))</f>
        <v/>
      </c>
      <c r="J132" s="2" t="str">
        <f t="array" ref="J132">IF(NOW()&gt;AU132,"",IF(AND((WEEKDAY($A132)+$B$2)&gt;1,((WEEKDAY($A132)+$T$2)&lt;7),(WEEKDAY($A132)&lt;&gt;1)),"work",(INDEX(Subject!$A:$I,MATCH(RANDBETWEEN(1,(MAX(Subject!$B:$B))),Subject!$B:$B,0),3))))</f>
        <v/>
      </c>
      <c r="K132" s="2" t="str">
        <f t="array" ref="K132">IF(NOW()&gt;AV132,"",IF(AND((WEEKDAY($A132)+$B$2)&gt;1,((WEEKDAY($A132)+$T$2)&lt;7),(WEEKDAY($A132)&lt;&gt;1)),"work",(INDEX(Subject!$A:$I,MATCH(RANDBETWEEN(1,(MAX(Subject!$B:$B))),Subject!$B:$B,0),3))))</f>
        <v/>
      </c>
      <c r="L132" s="2" t="str">
        <f t="array" ref="L132">IF(NOW()&gt;AW132,"",IF(AND((WEEKDAY($A132)+$B$2)&gt;1,((WEEKDAY($A132)+$T$2)&lt;7),(WEEKDAY($A132)&lt;&gt;1)),"work",(INDEX(Subject!$A:$I,MATCH(RANDBETWEEN(1,(MAX(Subject!$B:$B))),Subject!$B:$B,0),3))))</f>
        <v/>
      </c>
      <c r="M132" s="2" t="str">
        <f t="array" ref="M132">IF(NOW()&gt;AX132,"",IF(AND((WEEKDAY($A132)+$B$2)&gt;1,((WEEKDAY($A132)+$T$2)&lt;7),(WEEKDAY($A132)&lt;&gt;1)),"work",(INDEX(Subject!$A:$I,MATCH(RANDBETWEEN(1,(MAX(Subject!$B:$B))),Subject!$B:$B,0),3))))</f>
        <v/>
      </c>
      <c r="N132" s="2" t="str">
        <f t="array" ref="N132">IF(NOW()&gt;AY132,"",IF(AND((WEEKDAY($A132)+$B$2)&gt;1,((WEEKDAY($A132)+$T$2)&lt;7),(WEEKDAY($A132)&lt;&gt;1)),"work",(INDEX(Subject!$A:$I,MATCH(RANDBETWEEN(1,(MAX(Subject!$B:$B))),Subject!$B:$B,0),3))))</f>
        <v/>
      </c>
      <c r="O132" s="2" t="str">
        <f t="array" ref="O132">IF(NOW()&gt;AZ132,"",IF(AND((WEEKDAY($A132)+$B$2)&gt;1,((WEEKDAY($A132)+$T$2)&lt;7),(WEEKDAY($A132)&lt;&gt;1)),"work",(INDEX(Subject!$A:$I,MATCH(RANDBETWEEN(1,(MAX(Subject!$B:$B))),Subject!$B:$B,0),3))))</f>
        <v/>
      </c>
      <c r="P132" s="2" t="str">
        <f t="array" ref="P132">IF(NOW()&gt;BA132,"",IF(AND((WEEKDAY($A132)+$B$2)&gt;1,((WEEKDAY($A132)+$T$2)&lt;7),(WEEKDAY($A132)&lt;&gt;1)),"work",(INDEX(Subject!$A:$I,MATCH(RANDBETWEEN(1,(MAX(Subject!$B:$B))),Subject!$B:$B,0),3))))</f>
        <v/>
      </c>
      <c r="Q132" s="2" t="str">
        <f t="array" ref="Q132">IF(NOW()&gt;BB132,"",IF(AND((WEEKDAY($A132)+$B$2)&gt;1,((WEEKDAY($A132)+$T$2)&lt;7),(WEEKDAY($A132)&lt;&gt;1)),"work",(INDEX(Subject!$A:$I,MATCH(RANDBETWEEN(1,(MAX(Subject!$B:$B))),Subject!$B:$B,0),3))))</f>
        <v/>
      </c>
      <c r="R132" s="2" t="str">
        <f t="array" ref="R132">IF(NOW()&gt;BC132,"",IF(AND((WEEKDAY($A132)+$B$2)&gt;1,((WEEKDAY($A132)+$T$2)&lt;7),(WEEKDAY($A132)&lt;&gt;1)),"work",(INDEX(Subject!$A:$I,MATCH(RANDBETWEEN(1,(MAX(Subject!$B:$B))),Subject!$B:$B,0),3))))</f>
        <v/>
      </c>
      <c r="S132" s="2" t="str">
        <f t="array" ref="S132">IF(NOW()&gt;BD132,"",IF(AND((WEEKDAY($A132)+$B$2)&gt;1,((WEEKDAY($A132)+$T$2)&lt;7),(WEEKDAY($A132)&lt;&gt;1)),"work",(INDEX(Subject!$A:$I,MATCH(RANDBETWEEN(1,(MAX(Subject!$B:$B))),Subject!$B:$B,0),3))))</f>
        <v/>
      </c>
      <c r="T132" s="2" t="str">
        <f t="array" ref="T132">IF(NOW()&gt;BE132,"",IF(AND((WEEKDAY($A132)+$B$2)&gt;1,((WEEKDAY($A132)+$T$2)&lt;7),(WEEKDAY($A132)&lt;&gt;1)),"work",(INDEX(Subject!$A:$I,MATCH(RANDBETWEEN(1,(MAX(Subject!$B:$B))),Subject!$B:$B,0),3))))</f>
        <v/>
      </c>
      <c r="U132" s="8" t="str">
        <f t="array" ref="U132">INDEX(Subject!$A:$I,MATCH(RANDBETWEEN(1,16),Subject!$B:$B,0),3)</f>
        <v>#N/A</v>
      </c>
      <c r="V132" s="8" t="str">
        <f t="array" ref="V132">INDEX(Subject!$A:$I,MATCH(RANDBETWEEN(1,16),Subject!$B:$B,0),3)</f>
        <v>#N/A</v>
      </c>
      <c r="W132" s="8" t="str">
        <f t="array" ref="W132">INDEX(Subject!$A:$I,MATCH(RANDBETWEEN(1,16),Subject!$B:$B,0),3)</f>
        <v>#N/A</v>
      </c>
      <c r="X132" s="8" t="str">
        <f t="array" ref="X132">INDEX(Subject!$A:$I,MATCH(RANDBETWEEN(1,16),Subject!$B:$B,0),3)</f>
        <v>#N/A</v>
      </c>
      <c r="Y132" s="8" t="str">
        <f t="array" ref="Y132">INDEX(Subject!$A:$I,MATCH(RANDBETWEEN(1,16),Subject!$B:$B,0),3)</f>
        <v>#N/A</v>
      </c>
      <c r="Z132" s="8" t="str">
        <f t="array" ref="Z132">INDEX(Subject!$A:$I,MATCH(RANDBETWEEN(1,16),Subject!$B:$B,0),3)</f>
        <v>#N/A</v>
      </c>
      <c r="AA132" s="8" t="str">
        <f t="array" ref="AA132">INDEX(Subject!$A:$I,MATCH(RANDBETWEEN(1,16),Subject!$B:$B,0),3)</f>
        <v>#N/A</v>
      </c>
      <c r="AB132" s="8" t="str">
        <f t="array" ref="AB132">INDEX(Subject!$A:$I,MATCH(RANDBETWEEN(1,16),Subject!$B:$B,0),3)</f>
        <v>#N/A</v>
      </c>
      <c r="AC132" s="8" t="str">
        <f t="array" ref="AC132">INDEX(Subject!$A:$I,MATCH(RANDBETWEEN(1,16),Subject!$B:$B,0),3)</f>
        <v>#N/A</v>
      </c>
      <c r="AD132" s="8" t="str">
        <f t="array" ref="AD132">INDEX(Subject!$A:$I,MATCH(RANDBETWEEN(1,16),Subject!$B:$B,0),3)</f>
        <v>#N/A</v>
      </c>
      <c r="AE132" s="8" t="str">
        <f t="array" ref="AE132">INDEX(Subject!$A:$I,MATCH(RANDBETWEEN(1,16),Subject!$B:$B,0),3)</f>
        <v>#N/A</v>
      </c>
      <c r="AF132" s="8" t="str">
        <f t="array" ref="AF132">INDEX(Subject!$A:$I,MATCH(RANDBETWEEN(1,16),Subject!$B:$B,0),3)</f>
        <v>#N/A</v>
      </c>
      <c r="AG132" s="8" t="str">
        <f t="array" ref="AG132">INDEX(Subject!$A:$I,MATCH(RANDBETWEEN(1,16),Subject!$B:$B,0),3)</f>
        <v>#N/A</v>
      </c>
      <c r="AH132" s="8" t="str">
        <f t="array" ref="AH132">INDEX(Subject!$A:$I,MATCH(RANDBETWEEN(1,16),Subject!$B:$B,0),3)</f>
        <v>#N/A</v>
      </c>
      <c r="AI132" s="8" t="str">
        <f t="array" ref="AI132">INDEX(Subject!$A:$I,MATCH(RANDBETWEEN(1,16),Subject!$B:$B,0),3)</f>
        <v>#N/A</v>
      </c>
      <c r="AJ132" s="8" t="str">
        <f t="array" ref="AJ132">INDEX(Subject!$A:$I,MATCH(RANDBETWEEN(1,16),Subject!$B:$B,0),3)</f>
        <v>#N/A</v>
      </c>
      <c r="AK132" s="8" t="str">
        <f t="array" ref="AK132">INDEX(Subject!$A:$I,MATCH(RANDBETWEEN(1,16),Subject!$B:$B,0),3)</f>
        <v>#N/A</v>
      </c>
      <c r="AL132" s="8" t="str">
        <f t="array" ref="AL132">INDEX(Subject!$A:$I,MATCH(RANDBETWEEN(1,16),Subject!$B:$B,0),3)</f>
        <v>#N/A</v>
      </c>
      <c r="AM132" s="18">
        <f t="shared" si="4"/>
        <v>45632.33333</v>
      </c>
      <c r="AN132" s="19">
        <f t="shared" ref="AN132:BZ132" si="132">$A132+C$1</f>
        <v>45632.35417</v>
      </c>
      <c r="AO132" s="19">
        <f t="shared" si="132"/>
        <v>45632.375</v>
      </c>
      <c r="AP132" s="19">
        <f t="shared" si="132"/>
        <v>45632.39583</v>
      </c>
      <c r="AQ132" s="19">
        <f t="shared" si="132"/>
        <v>45632.41667</v>
      </c>
      <c r="AR132" s="19">
        <f t="shared" si="132"/>
        <v>45632.4375</v>
      </c>
      <c r="AS132" s="19">
        <f t="shared" si="132"/>
        <v>45632.45833</v>
      </c>
      <c r="AT132" s="19">
        <f t="shared" si="132"/>
        <v>45632.47917</v>
      </c>
      <c r="AU132" s="19">
        <f t="shared" si="132"/>
        <v>45632.5</v>
      </c>
      <c r="AV132" s="19">
        <f t="shared" si="132"/>
        <v>45632.52083</v>
      </c>
      <c r="AW132" s="19">
        <f t="shared" si="132"/>
        <v>45632.54167</v>
      </c>
      <c r="AX132" s="19">
        <f t="shared" si="132"/>
        <v>45632.5625</v>
      </c>
      <c r="AY132" s="19">
        <f t="shared" si="132"/>
        <v>45632.58333</v>
      </c>
      <c r="AZ132" s="19">
        <f t="shared" si="132"/>
        <v>45632.60417</v>
      </c>
      <c r="BA132" s="19">
        <f t="shared" si="132"/>
        <v>45632.625</v>
      </c>
      <c r="BB132" s="19">
        <f t="shared" si="132"/>
        <v>45632.64583</v>
      </c>
      <c r="BC132" s="19">
        <f t="shared" si="132"/>
        <v>45632.66667</v>
      </c>
      <c r="BD132" s="19">
        <f t="shared" si="132"/>
        <v>45632.6875</v>
      </c>
      <c r="BE132" s="19">
        <f t="shared" si="132"/>
        <v>45632.70833</v>
      </c>
      <c r="BF132" s="19">
        <f t="shared" si="132"/>
        <v>45632.72917</v>
      </c>
      <c r="BG132" s="19">
        <f t="shared" si="132"/>
        <v>45632.75</v>
      </c>
      <c r="BH132" s="19">
        <f t="shared" si="132"/>
        <v>45632.77083</v>
      </c>
      <c r="BI132" s="19">
        <f t="shared" si="132"/>
        <v>45632.79167</v>
      </c>
      <c r="BJ132" s="19">
        <f t="shared" si="132"/>
        <v>45632.8125</v>
      </c>
      <c r="BK132" s="19">
        <f t="shared" si="132"/>
        <v>45632.83333</v>
      </c>
      <c r="BL132" s="19">
        <f t="shared" si="132"/>
        <v>45632.85417</v>
      </c>
      <c r="BM132" s="19">
        <f t="shared" si="132"/>
        <v>45632.875</v>
      </c>
      <c r="BN132" s="19">
        <f t="shared" si="132"/>
        <v>45632.89583</v>
      </c>
      <c r="BO132" s="19">
        <f t="shared" si="132"/>
        <v>45632.91667</v>
      </c>
      <c r="BP132" s="19">
        <f t="shared" si="132"/>
        <v>45632.9375</v>
      </c>
      <c r="BQ132" s="19">
        <f t="shared" si="132"/>
        <v>45632.95833</v>
      </c>
      <c r="BR132" s="19">
        <f t="shared" si="132"/>
        <v>45632.97917</v>
      </c>
      <c r="BS132" s="19">
        <f t="shared" si="132"/>
        <v>45633</v>
      </c>
      <c r="BT132" s="19">
        <f t="shared" si="132"/>
        <v>45633.02083</v>
      </c>
      <c r="BU132" s="19">
        <f t="shared" si="132"/>
        <v>45633.04167</v>
      </c>
      <c r="BV132" s="19">
        <f t="shared" si="132"/>
        <v>45633.0625</v>
      </c>
      <c r="BW132" s="19">
        <f t="shared" si="132"/>
        <v>45633.08333</v>
      </c>
      <c r="BX132" s="19">
        <f t="shared" si="132"/>
        <v>45632</v>
      </c>
      <c r="BY132" s="19">
        <f t="shared" si="132"/>
        <v>45632</v>
      </c>
      <c r="BZ132" s="19">
        <f t="shared" si="132"/>
        <v>45632</v>
      </c>
    </row>
    <row r="133" ht="14.25" customHeight="1">
      <c r="A133" s="17">
        <v>45633.0</v>
      </c>
      <c r="B133" s="2" t="str">
        <f t="array" ref="B133">IF(NOW()&gt;AM133,"",IF(AND((WEEKDAY($A133)+$B$2)&gt;1,((WEEKDAY($A133)+$T$2)&lt;7),(WEEKDAY($A133)&lt;&gt;1)),"work",(INDEX(Subject!$A:$I,MATCH(RANDBETWEEN(1,(MAX(Subject!$B:$B))),Subject!$B:$B,0),3))))</f>
        <v/>
      </c>
      <c r="C133" s="2" t="str">
        <f t="array" ref="C133">IF(NOW()&gt;AN133,"",IF(AND((WEEKDAY($A133)+$B$2)&gt;1,((WEEKDAY($A133)+$T$2)&lt;7),(WEEKDAY($A133)&lt;&gt;1)),"work",(INDEX(Subject!$A:$I,MATCH(RANDBETWEEN(1,(MAX(Subject!$B:$B))),Subject!$B:$B,0),3))))</f>
        <v/>
      </c>
      <c r="D133" s="2" t="str">
        <f t="array" ref="D133">IF(NOW()&gt;AO133,"",IF(AND((WEEKDAY($A133)+$B$2)&gt;1,((WEEKDAY($A133)+$T$2)&lt;7),(WEEKDAY($A133)&lt;&gt;1)),"work",(INDEX(Subject!$A:$I,MATCH(RANDBETWEEN(1,(MAX(Subject!$B:$B))),Subject!$B:$B,0),3))))</f>
        <v/>
      </c>
      <c r="E133" s="2" t="str">
        <f t="array" ref="E133">IF(NOW()&gt;AP133,"",IF(AND((WEEKDAY($A133)+$B$2)&gt;1,((WEEKDAY($A133)+$T$2)&lt;7),(WEEKDAY($A133)&lt;&gt;1)),"work",(INDEX(Subject!$A:$I,MATCH(RANDBETWEEN(1,(MAX(Subject!$B:$B))),Subject!$B:$B,0),3))))</f>
        <v/>
      </c>
      <c r="F133" s="2" t="str">
        <f t="array" ref="F133">IF(NOW()&gt;AQ133,"",IF(AND((WEEKDAY($A133)+$B$2)&gt;1,((WEEKDAY($A133)+$T$2)&lt;7),(WEEKDAY($A133)&lt;&gt;1)),"work",(INDEX(Subject!$A:$I,MATCH(RANDBETWEEN(1,(MAX(Subject!$B:$B))),Subject!$B:$B,0),3))))</f>
        <v/>
      </c>
      <c r="G133" s="2" t="str">
        <f t="array" ref="G133">IF(NOW()&gt;AR133,"",IF(AND((WEEKDAY($A133)+$B$2)&gt;1,((WEEKDAY($A133)+$T$2)&lt;7),(WEEKDAY($A133)&lt;&gt;1)),"work",(INDEX(Subject!$A:$I,MATCH(RANDBETWEEN(1,(MAX(Subject!$B:$B))),Subject!$B:$B,0),3))))</f>
        <v/>
      </c>
      <c r="H133" s="2" t="str">
        <f t="array" ref="H133">IF(NOW()&gt;AS133,"",IF(AND((WEEKDAY($A133)+$B$2)&gt;1,((WEEKDAY($A133)+$T$2)&lt;7),(WEEKDAY($A133)&lt;&gt;1)),"work",(INDEX(Subject!$A:$I,MATCH(RANDBETWEEN(1,(MAX(Subject!$B:$B))),Subject!$B:$B,0),3))))</f>
        <v/>
      </c>
      <c r="I133" s="2" t="str">
        <f t="array" ref="I133">IF(NOW()&gt;AT133,"",IF(AND((WEEKDAY($A133)+$B$2)&gt;1,((WEEKDAY($A133)+$T$2)&lt;7),(WEEKDAY($A133)&lt;&gt;1)),"work",(INDEX(Subject!$A:$I,MATCH(RANDBETWEEN(1,(MAX(Subject!$B:$B))),Subject!$B:$B,0),3))))</f>
        <v/>
      </c>
      <c r="J133" s="2" t="str">
        <f t="array" ref="J133">IF(NOW()&gt;AU133,"",IF(AND((WEEKDAY($A133)+$B$2)&gt;1,((WEEKDAY($A133)+$T$2)&lt;7),(WEEKDAY($A133)&lt;&gt;1)),"work",(INDEX(Subject!$A:$I,MATCH(RANDBETWEEN(1,(MAX(Subject!$B:$B))),Subject!$B:$B,0),3))))</f>
        <v/>
      </c>
      <c r="K133" s="2" t="str">
        <f t="array" ref="K133">IF(NOW()&gt;AV133,"",IF(AND((WEEKDAY($A133)+$B$2)&gt;1,((WEEKDAY($A133)+$T$2)&lt;7),(WEEKDAY($A133)&lt;&gt;1)),"work",(INDEX(Subject!$A:$I,MATCH(RANDBETWEEN(1,(MAX(Subject!$B:$B))),Subject!$B:$B,0),3))))</f>
        <v/>
      </c>
      <c r="L133" s="2" t="str">
        <f t="array" ref="L133">IF(NOW()&gt;AW133,"",IF(AND((WEEKDAY($A133)+$B$2)&gt;1,((WEEKDAY($A133)+$T$2)&lt;7),(WEEKDAY($A133)&lt;&gt;1)),"work",(INDEX(Subject!$A:$I,MATCH(RANDBETWEEN(1,(MAX(Subject!$B:$B))),Subject!$B:$B,0),3))))</f>
        <v/>
      </c>
      <c r="M133" s="2" t="str">
        <f t="array" ref="M133">IF(NOW()&gt;AX133,"",IF(AND((WEEKDAY($A133)+$B$2)&gt;1,((WEEKDAY($A133)+$T$2)&lt;7),(WEEKDAY($A133)&lt;&gt;1)),"work",(INDEX(Subject!$A:$I,MATCH(RANDBETWEEN(1,(MAX(Subject!$B:$B))),Subject!$B:$B,0),3))))</f>
        <v/>
      </c>
      <c r="N133" s="2" t="str">
        <f t="array" ref="N133">IF(NOW()&gt;AY133,"",IF(AND((WEEKDAY($A133)+$B$2)&gt;1,((WEEKDAY($A133)+$T$2)&lt;7),(WEEKDAY($A133)&lt;&gt;1)),"work",(INDEX(Subject!$A:$I,MATCH(RANDBETWEEN(1,(MAX(Subject!$B:$B))),Subject!$B:$B,0),3))))</f>
        <v/>
      </c>
      <c r="O133" s="2" t="str">
        <f t="array" ref="O133">IF(NOW()&gt;AZ133,"",IF(AND((WEEKDAY($A133)+$B$2)&gt;1,((WEEKDAY($A133)+$T$2)&lt;7),(WEEKDAY($A133)&lt;&gt;1)),"work",(INDEX(Subject!$A:$I,MATCH(RANDBETWEEN(1,(MAX(Subject!$B:$B))),Subject!$B:$B,0),3))))</f>
        <v/>
      </c>
      <c r="P133" s="2" t="str">
        <f t="array" ref="P133">IF(NOW()&gt;BA133,"",IF(AND((WEEKDAY($A133)+$B$2)&gt;1,((WEEKDAY($A133)+$T$2)&lt;7),(WEEKDAY($A133)&lt;&gt;1)),"work",(INDEX(Subject!$A:$I,MATCH(RANDBETWEEN(1,(MAX(Subject!$B:$B))),Subject!$B:$B,0),3))))</f>
        <v/>
      </c>
      <c r="Q133" s="2" t="str">
        <f t="array" ref="Q133">IF(NOW()&gt;BB133,"",IF(AND((WEEKDAY($A133)+$B$2)&gt;1,((WEEKDAY($A133)+$T$2)&lt;7),(WEEKDAY($A133)&lt;&gt;1)),"work",(INDEX(Subject!$A:$I,MATCH(RANDBETWEEN(1,(MAX(Subject!$B:$B))),Subject!$B:$B,0),3))))</f>
        <v/>
      </c>
      <c r="R133" s="2" t="str">
        <f t="array" ref="R133">IF(NOW()&gt;BC133,"",IF(AND((WEEKDAY($A133)+$B$2)&gt;1,((WEEKDAY($A133)+$T$2)&lt;7),(WEEKDAY($A133)&lt;&gt;1)),"work",(INDEX(Subject!$A:$I,MATCH(RANDBETWEEN(1,(MAX(Subject!$B:$B))),Subject!$B:$B,0),3))))</f>
        <v/>
      </c>
      <c r="S133" s="2" t="str">
        <f t="array" ref="S133">IF(NOW()&gt;BD133,"",IF(AND((WEEKDAY($A133)+$B$2)&gt;1,((WEEKDAY($A133)+$T$2)&lt;7),(WEEKDAY($A133)&lt;&gt;1)),"work",(INDEX(Subject!$A:$I,MATCH(RANDBETWEEN(1,(MAX(Subject!$B:$B))),Subject!$B:$B,0),3))))</f>
        <v/>
      </c>
      <c r="T133" s="2" t="str">
        <f t="array" ref="T133">IF(NOW()&gt;BE133,"",IF(AND((WEEKDAY($A133)+$B$2)&gt;1,((WEEKDAY($A133)+$T$2)&lt;7),(WEEKDAY($A133)&lt;&gt;1)),"work",(INDEX(Subject!$A:$I,MATCH(RANDBETWEEN(1,(MAX(Subject!$B:$B))),Subject!$B:$B,0),3))))</f>
        <v/>
      </c>
      <c r="U133" s="8" t="str">
        <f t="array" ref="U133">INDEX(Subject!$A:$I,MATCH(RANDBETWEEN(1,16),Subject!$B:$B,0),3)</f>
        <v/>
      </c>
      <c r="V133" s="8" t="str">
        <f t="array" ref="V133">INDEX(Subject!$A:$I,MATCH(RANDBETWEEN(1,16),Subject!$B:$B,0),3)</f>
        <v>#N/A</v>
      </c>
      <c r="W133" s="8" t="str">
        <f t="array" ref="W133">INDEX(Subject!$A:$I,MATCH(RANDBETWEEN(1,16),Subject!$B:$B,0),3)</f>
        <v>#N/A</v>
      </c>
      <c r="X133" s="8" t="str">
        <f t="array" ref="X133">INDEX(Subject!$A:$I,MATCH(RANDBETWEEN(1,16),Subject!$B:$B,0),3)</f>
        <v>#N/A</v>
      </c>
      <c r="Y133" s="8" t="str">
        <f t="array" ref="Y133">INDEX(Subject!$A:$I,MATCH(RANDBETWEEN(1,16),Subject!$B:$B,0),3)</f>
        <v>#N/A</v>
      </c>
      <c r="Z133" s="8" t="str">
        <f t="array" ref="Z133">INDEX(Subject!$A:$I,MATCH(RANDBETWEEN(1,16),Subject!$B:$B,0),3)</f>
        <v>#N/A</v>
      </c>
      <c r="AA133" s="8" t="str">
        <f t="array" ref="AA133">INDEX(Subject!$A:$I,MATCH(RANDBETWEEN(1,16),Subject!$B:$B,0),3)</f>
        <v>#N/A</v>
      </c>
      <c r="AB133" s="8" t="str">
        <f t="array" ref="AB133">INDEX(Subject!$A:$I,MATCH(RANDBETWEEN(1,16),Subject!$B:$B,0),3)</f>
        <v>#N/A</v>
      </c>
      <c r="AC133" s="8" t="str">
        <f t="array" ref="AC133">INDEX(Subject!$A:$I,MATCH(RANDBETWEEN(1,16),Subject!$B:$B,0),3)</f>
        <v>#N/A</v>
      </c>
      <c r="AD133" s="8" t="str">
        <f t="array" ref="AD133">INDEX(Subject!$A:$I,MATCH(RANDBETWEEN(1,16),Subject!$B:$B,0),3)</f>
        <v/>
      </c>
      <c r="AE133" s="8" t="str">
        <f t="array" ref="AE133">INDEX(Subject!$A:$I,MATCH(RANDBETWEEN(1,16),Subject!$B:$B,0),3)</f>
        <v>#N/A</v>
      </c>
      <c r="AF133" s="8" t="str">
        <f t="array" ref="AF133">INDEX(Subject!$A:$I,MATCH(RANDBETWEEN(1,16),Subject!$B:$B,0),3)</f>
        <v>#N/A</v>
      </c>
      <c r="AG133" s="8" t="str">
        <f t="array" ref="AG133">INDEX(Subject!$A:$I,MATCH(RANDBETWEEN(1,16),Subject!$B:$B,0),3)</f>
        <v>#N/A</v>
      </c>
      <c r="AH133" s="8" t="str">
        <f t="array" ref="AH133">INDEX(Subject!$A:$I,MATCH(RANDBETWEEN(1,16),Subject!$B:$B,0),3)</f>
        <v>#N/A</v>
      </c>
      <c r="AI133" s="8" t="str">
        <f t="array" ref="AI133">INDEX(Subject!$A:$I,MATCH(RANDBETWEEN(1,16),Subject!$B:$B,0),3)</f>
        <v>#N/A</v>
      </c>
      <c r="AJ133" s="8" t="str">
        <f t="array" ref="AJ133">INDEX(Subject!$A:$I,MATCH(RANDBETWEEN(1,16),Subject!$B:$B,0),3)</f>
        <v>#N/A</v>
      </c>
      <c r="AK133" s="8" t="str">
        <f t="array" ref="AK133">INDEX(Subject!$A:$I,MATCH(RANDBETWEEN(1,16),Subject!$B:$B,0),3)</f>
        <v>#N/A</v>
      </c>
      <c r="AL133" s="8" t="str">
        <f t="array" ref="AL133">INDEX(Subject!$A:$I,MATCH(RANDBETWEEN(1,16),Subject!$B:$B,0),3)</f>
        <v>#N/A</v>
      </c>
      <c r="AM133" s="18">
        <f t="shared" si="4"/>
        <v>45633.33333</v>
      </c>
      <c r="AN133" s="19">
        <f t="shared" ref="AN133:BZ133" si="133">$A133+C$1</f>
        <v>45633.35417</v>
      </c>
      <c r="AO133" s="19">
        <f t="shared" si="133"/>
        <v>45633.375</v>
      </c>
      <c r="AP133" s="19">
        <f t="shared" si="133"/>
        <v>45633.39583</v>
      </c>
      <c r="AQ133" s="19">
        <f t="shared" si="133"/>
        <v>45633.41667</v>
      </c>
      <c r="AR133" s="19">
        <f t="shared" si="133"/>
        <v>45633.4375</v>
      </c>
      <c r="AS133" s="19">
        <f t="shared" si="133"/>
        <v>45633.45833</v>
      </c>
      <c r="AT133" s="19">
        <f t="shared" si="133"/>
        <v>45633.47917</v>
      </c>
      <c r="AU133" s="19">
        <f t="shared" si="133"/>
        <v>45633.5</v>
      </c>
      <c r="AV133" s="19">
        <f t="shared" si="133"/>
        <v>45633.52083</v>
      </c>
      <c r="AW133" s="19">
        <f t="shared" si="133"/>
        <v>45633.54167</v>
      </c>
      <c r="AX133" s="19">
        <f t="shared" si="133"/>
        <v>45633.5625</v>
      </c>
      <c r="AY133" s="19">
        <f t="shared" si="133"/>
        <v>45633.58333</v>
      </c>
      <c r="AZ133" s="19">
        <f t="shared" si="133"/>
        <v>45633.60417</v>
      </c>
      <c r="BA133" s="19">
        <f t="shared" si="133"/>
        <v>45633.625</v>
      </c>
      <c r="BB133" s="19">
        <f t="shared" si="133"/>
        <v>45633.64583</v>
      </c>
      <c r="BC133" s="19">
        <f t="shared" si="133"/>
        <v>45633.66667</v>
      </c>
      <c r="BD133" s="19">
        <f t="shared" si="133"/>
        <v>45633.6875</v>
      </c>
      <c r="BE133" s="19">
        <f t="shared" si="133"/>
        <v>45633.70833</v>
      </c>
      <c r="BF133" s="19">
        <f t="shared" si="133"/>
        <v>45633.72917</v>
      </c>
      <c r="BG133" s="19">
        <f t="shared" si="133"/>
        <v>45633.75</v>
      </c>
      <c r="BH133" s="19">
        <f t="shared" si="133"/>
        <v>45633.77083</v>
      </c>
      <c r="BI133" s="19">
        <f t="shared" si="133"/>
        <v>45633.79167</v>
      </c>
      <c r="BJ133" s="19">
        <f t="shared" si="133"/>
        <v>45633.8125</v>
      </c>
      <c r="BK133" s="19">
        <f t="shared" si="133"/>
        <v>45633.83333</v>
      </c>
      <c r="BL133" s="19">
        <f t="shared" si="133"/>
        <v>45633.85417</v>
      </c>
      <c r="BM133" s="19">
        <f t="shared" si="133"/>
        <v>45633.875</v>
      </c>
      <c r="BN133" s="19">
        <f t="shared" si="133"/>
        <v>45633.89583</v>
      </c>
      <c r="BO133" s="19">
        <f t="shared" si="133"/>
        <v>45633.91667</v>
      </c>
      <c r="BP133" s="19">
        <f t="shared" si="133"/>
        <v>45633.9375</v>
      </c>
      <c r="BQ133" s="19">
        <f t="shared" si="133"/>
        <v>45633.95833</v>
      </c>
      <c r="BR133" s="19">
        <f t="shared" si="133"/>
        <v>45633.97917</v>
      </c>
      <c r="BS133" s="19">
        <f t="shared" si="133"/>
        <v>45634</v>
      </c>
      <c r="BT133" s="19">
        <f t="shared" si="133"/>
        <v>45634.02083</v>
      </c>
      <c r="BU133" s="19">
        <f t="shared" si="133"/>
        <v>45634.04167</v>
      </c>
      <c r="BV133" s="19">
        <f t="shared" si="133"/>
        <v>45634.0625</v>
      </c>
      <c r="BW133" s="19">
        <f t="shared" si="133"/>
        <v>45634.08333</v>
      </c>
      <c r="BX133" s="19">
        <f t="shared" si="133"/>
        <v>45633</v>
      </c>
      <c r="BY133" s="19">
        <f t="shared" si="133"/>
        <v>45633</v>
      </c>
      <c r="BZ133" s="19">
        <f t="shared" si="133"/>
        <v>45633</v>
      </c>
    </row>
    <row r="134" ht="14.25" customHeight="1">
      <c r="A134" s="17">
        <v>45634.0</v>
      </c>
      <c r="B134" s="2" t="str">
        <f t="array" ref="B134">IF(NOW()&gt;AM134,"",IF(AND((WEEKDAY($A134)+$B$2)&gt;1,((WEEKDAY($A134)+$T$2)&lt;7),(WEEKDAY($A134)&lt;&gt;1)),"work",(INDEX(Subject!$A:$I,MATCH(RANDBETWEEN(1,(MAX(Subject!$B:$B))),Subject!$B:$B,0),3))))</f>
        <v/>
      </c>
      <c r="C134" s="2" t="str">
        <f t="array" ref="C134">IF(NOW()&gt;AN134,"",IF(AND((WEEKDAY($A134)+$B$2)&gt;1,((WEEKDAY($A134)+$T$2)&lt;7),(WEEKDAY($A134)&lt;&gt;1)),"work",(INDEX(Subject!$A:$I,MATCH(RANDBETWEEN(1,(MAX(Subject!$B:$B))),Subject!$B:$B,0),3))))</f>
        <v/>
      </c>
      <c r="D134" s="2" t="str">
        <f t="array" ref="D134">IF(NOW()&gt;AO134,"",IF(AND((WEEKDAY($A134)+$B$2)&gt;1,((WEEKDAY($A134)+$T$2)&lt;7),(WEEKDAY($A134)&lt;&gt;1)),"work",(INDEX(Subject!$A:$I,MATCH(RANDBETWEEN(1,(MAX(Subject!$B:$B))),Subject!$B:$B,0),3))))</f>
        <v/>
      </c>
      <c r="E134" s="2" t="str">
        <f t="array" ref="E134">IF(NOW()&gt;AP134,"",IF(AND((WEEKDAY($A134)+$B$2)&gt;1,((WEEKDAY($A134)+$T$2)&lt;7),(WEEKDAY($A134)&lt;&gt;1)),"work",(INDEX(Subject!$A:$I,MATCH(RANDBETWEEN(1,(MAX(Subject!$B:$B))),Subject!$B:$B,0),3))))</f>
        <v/>
      </c>
      <c r="F134" s="2" t="str">
        <f t="array" ref="F134">IF(NOW()&gt;AQ134,"",IF(AND((WEEKDAY($A134)+$B$2)&gt;1,((WEEKDAY($A134)+$T$2)&lt;7),(WEEKDAY($A134)&lt;&gt;1)),"work",(INDEX(Subject!$A:$I,MATCH(RANDBETWEEN(1,(MAX(Subject!$B:$B))),Subject!$B:$B,0),3))))</f>
        <v/>
      </c>
      <c r="G134" s="2" t="str">
        <f t="array" ref="G134">IF(NOW()&gt;AR134,"",IF(AND((WEEKDAY($A134)+$B$2)&gt;1,((WEEKDAY($A134)+$T$2)&lt;7),(WEEKDAY($A134)&lt;&gt;1)),"work",(INDEX(Subject!$A:$I,MATCH(RANDBETWEEN(1,(MAX(Subject!$B:$B))),Subject!$B:$B,0),3))))</f>
        <v/>
      </c>
      <c r="H134" s="2" t="str">
        <f t="array" ref="H134">IF(NOW()&gt;AS134,"",IF(AND((WEEKDAY($A134)+$B$2)&gt;1,((WEEKDAY($A134)+$T$2)&lt;7),(WEEKDAY($A134)&lt;&gt;1)),"work",(INDEX(Subject!$A:$I,MATCH(RANDBETWEEN(1,(MAX(Subject!$B:$B))),Subject!$B:$B,0),3))))</f>
        <v/>
      </c>
      <c r="I134" s="2" t="str">
        <f t="array" ref="I134">IF(NOW()&gt;AT134,"",IF(AND((WEEKDAY($A134)+$B$2)&gt;1,((WEEKDAY($A134)+$T$2)&lt;7),(WEEKDAY($A134)&lt;&gt;1)),"work",(INDEX(Subject!$A:$I,MATCH(RANDBETWEEN(1,(MAX(Subject!$B:$B))),Subject!$B:$B,0),3))))</f>
        <v/>
      </c>
      <c r="J134" s="2" t="str">
        <f t="array" ref="J134">IF(NOW()&gt;AU134,"",IF(AND((WEEKDAY($A134)+$B$2)&gt;1,((WEEKDAY($A134)+$T$2)&lt;7),(WEEKDAY($A134)&lt;&gt;1)),"work",(INDEX(Subject!$A:$I,MATCH(RANDBETWEEN(1,(MAX(Subject!$B:$B))),Subject!$B:$B,0),3))))</f>
        <v/>
      </c>
      <c r="K134" s="2" t="str">
        <f t="array" ref="K134">IF(NOW()&gt;AV134,"",IF(AND((WEEKDAY($A134)+$B$2)&gt;1,((WEEKDAY($A134)+$T$2)&lt;7),(WEEKDAY($A134)&lt;&gt;1)),"work",(INDEX(Subject!$A:$I,MATCH(RANDBETWEEN(1,(MAX(Subject!$B:$B))),Subject!$B:$B,0),3))))</f>
        <v/>
      </c>
      <c r="L134" s="2" t="str">
        <f t="array" ref="L134">IF(NOW()&gt;AW134,"",IF(AND((WEEKDAY($A134)+$B$2)&gt;1,((WEEKDAY($A134)+$T$2)&lt;7),(WEEKDAY($A134)&lt;&gt;1)),"work",(INDEX(Subject!$A:$I,MATCH(RANDBETWEEN(1,(MAX(Subject!$B:$B))),Subject!$B:$B,0),3))))</f>
        <v/>
      </c>
      <c r="M134" s="2" t="str">
        <f t="array" ref="M134">IF(NOW()&gt;AX134,"",IF(AND((WEEKDAY($A134)+$B$2)&gt;1,((WEEKDAY($A134)+$T$2)&lt;7),(WEEKDAY($A134)&lt;&gt;1)),"work",(INDEX(Subject!$A:$I,MATCH(RANDBETWEEN(1,(MAX(Subject!$B:$B))),Subject!$B:$B,0),3))))</f>
        <v/>
      </c>
      <c r="N134" s="2" t="str">
        <f t="array" ref="N134">IF(NOW()&gt;AY134,"",IF(AND((WEEKDAY($A134)+$B$2)&gt;1,((WEEKDAY($A134)+$T$2)&lt;7),(WEEKDAY($A134)&lt;&gt;1)),"work",(INDEX(Subject!$A:$I,MATCH(RANDBETWEEN(1,(MAX(Subject!$B:$B))),Subject!$B:$B,0),3))))</f>
        <v/>
      </c>
      <c r="O134" s="2" t="str">
        <f t="array" ref="O134">IF(NOW()&gt;AZ134,"",IF(AND((WEEKDAY($A134)+$B$2)&gt;1,((WEEKDAY($A134)+$T$2)&lt;7),(WEEKDAY($A134)&lt;&gt;1)),"work",(INDEX(Subject!$A:$I,MATCH(RANDBETWEEN(1,(MAX(Subject!$B:$B))),Subject!$B:$B,0),3))))</f>
        <v/>
      </c>
      <c r="P134" s="2" t="str">
        <f t="array" ref="P134">IF(NOW()&gt;BA134,"",IF(AND((WEEKDAY($A134)+$B$2)&gt;1,((WEEKDAY($A134)+$T$2)&lt;7),(WEEKDAY($A134)&lt;&gt;1)),"work",(INDEX(Subject!$A:$I,MATCH(RANDBETWEEN(1,(MAX(Subject!$B:$B))),Subject!$B:$B,0),3))))</f>
        <v/>
      </c>
      <c r="Q134" s="2" t="str">
        <f t="array" ref="Q134">IF(NOW()&gt;BB134,"",IF(AND((WEEKDAY($A134)+$B$2)&gt;1,((WEEKDAY($A134)+$T$2)&lt;7),(WEEKDAY($A134)&lt;&gt;1)),"work",(INDEX(Subject!$A:$I,MATCH(RANDBETWEEN(1,(MAX(Subject!$B:$B))),Subject!$B:$B,0),3))))</f>
        <v/>
      </c>
      <c r="R134" s="2" t="str">
        <f t="array" ref="R134">IF(NOW()&gt;BC134,"",IF(AND((WEEKDAY($A134)+$B$2)&gt;1,((WEEKDAY($A134)+$T$2)&lt;7),(WEEKDAY($A134)&lt;&gt;1)),"work",(INDEX(Subject!$A:$I,MATCH(RANDBETWEEN(1,(MAX(Subject!$B:$B))),Subject!$B:$B,0),3))))</f>
        <v/>
      </c>
      <c r="S134" s="2" t="str">
        <f t="array" ref="S134">IF(NOW()&gt;BD134,"",IF(AND((WEEKDAY($A134)+$B$2)&gt;1,((WEEKDAY($A134)+$T$2)&lt;7),(WEEKDAY($A134)&lt;&gt;1)),"work",(INDEX(Subject!$A:$I,MATCH(RANDBETWEEN(1,(MAX(Subject!$B:$B))),Subject!$B:$B,0),3))))</f>
        <v/>
      </c>
      <c r="T134" s="2" t="str">
        <f t="array" ref="T134">IF(NOW()&gt;BE134,"",IF(AND((WEEKDAY($A134)+$B$2)&gt;1,((WEEKDAY($A134)+$T$2)&lt;7),(WEEKDAY($A134)&lt;&gt;1)),"work",(INDEX(Subject!$A:$I,MATCH(RANDBETWEEN(1,(MAX(Subject!$B:$B))),Subject!$B:$B,0),3))))</f>
        <v/>
      </c>
      <c r="U134" s="8" t="str">
        <f t="array" ref="U134">INDEX(Subject!$A:$I,MATCH(RANDBETWEEN(1,16),Subject!$B:$B,0),3)</f>
        <v>#N/A</v>
      </c>
      <c r="V134" s="8" t="str">
        <f t="array" ref="V134">INDEX(Subject!$A:$I,MATCH(RANDBETWEEN(1,16),Subject!$B:$B,0),3)</f>
        <v>#N/A</v>
      </c>
      <c r="W134" s="8" t="str">
        <f t="array" ref="W134">INDEX(Subject!$A:$I,MATCH(RANDBETWEEN(1,16),Subject!$B:$B,0),3)</f>
        <v>#N/A</v>
      </c>
      <c r="X134" s="8" t="str">
        <f t="array" ref="X134">INDEX(Subject!$A:$I,MATCH(RANDBETWEEN(1,16),Subject!$B:$B,0),3)</f>
        <v>#N/A</v>
      </c>
      <c r="Y134" s="8" t="str">
        <f t="array" ref="Y134">INDEX(Subject!$A:$I,MATCH(RANDBETWEEN(1,16),Subject!$B:$B,0),3)</f>
        <v>#N/A</v>
      </c>
      <c r="Z134" s="8" t="str">
        <f t="array" ref="Z134">INDEX(Subject!$A:$I,MATCH(RANDBETWEEN(1,16),Subject!$B:$B,0),3)</f>
        <v>#N/A</v>
      </c>
      <c r="AA134" s="8" t="str">
        <f t="array" ref="AA134">INDEX(Subject!$A:$I,MATCH(RANDBETWEEN(1,16),Subject!$B:$B,0),3)</f>
        <v>#N/A</v>
      </c>
      <c r="AB134" s="8" t="str">
        <f t="array" ref="AB134">INDEX(Subject!$A:$I,MATCH(RANDBETWEEN(1,16),Subject!$B:$B,0),3)</f>
        <v>#N/A</v>
      </c>
      <c r="AC134" s="8" t="str">
        <f t="array" ref="AC134">INDEX(Subject!$A:$I,MATCH(RANDBETWEEN(1,16),Subject!$B:$B,0),3)</f>
        <v>#N/A</v>
      </c>
      <c r="AD134" s="8" t="str">
        <f t="array" ref="AD134">INDEX(Subject!$A:$I,MATCH(RANDBETWEEN(1,16),Subject!$B:$B,0),3)</f>
        <v>#N/A</v>
      </c>
      <c r="AE134" s="8" t="str">
        <f t="array" ref="AE134">INDEX(Subject!$A:$I,MATCH(RANDBETWEEN(1,16),Subject!$B:$B,0),3)</f>
        <v/>
      </c>
      <c r="AF134" s="8" t="str">
        <f t="array" ref="AF134">INDEX(Subject!$A:$I,MATCH(RANDBETWEEN(1,16),Subject!$B:$B,0),3)</f>
        <v>#N/A</v>
      </c>
      <c r="AG134" s="8" t="str">
        <f t="array" ref="AG134">INDEX(Subject!$A:$I,MATCH(RANDBETWEEN(1,16),Subject!$B:$B,0),3)</f>
        <v>#N/A</v>
      </c>
      <c r="AH134" s="8" t="str">
        <f t="array" ref="AH134">INDEX(Subject!$A:$I,MATCH(RANDBETWEEN(1,16),Subject!$B:$B,0),3)</f>
        <v>#N/A</v>
      </c>
      <c r="AI134" s="8" t="str">
        <f t="array" ref="AI134">INDEX(Subject!$A:$I,MATCH(RANDBETWEEN(1,16),Subject!$B:$B,0),3)</f>
        <v>#N/A</v>
      </c>
      <c r="AJ134" s="8" t="str">
        <f t="array" ref="AJ134">INDEX(Subject!$A:$I,MATCH(RANDBETWEEN(1,16),Subject!$B:$B,0),3)</f>
        <v>#N/A</v>
      </c>
      <c r="AK134" s="8" t="str">
        <f t="array" ref="AK134">INDEX(Subject!$A:$I,MATCH(RANDBETWEEN(1,16),Subject!$B:$B,0),3)</f>
        <v>#N/A</v>
      </c>
      <c r="AL134" s="8" t="str">
        <f t="array" ref="AL134">INDEX(Subject!$A:$I,MATCH(RANDBETWEEN(1,16),Subject!$B:$B,0),3)</f>
        <v>#N/A</v>
      </c>
      <c r="AM134" s="18">
        <f t="shared" si="4"/>
        <v>45634.33333</v>
      </c>
      <c r="AN134" s="19">
        <f t="shared" ref="AN134:BZ134" si="134">$A134+C$1</f>
        <v>45634.35417</v>
      </c>
      <c r="AO134" s="19">
        <f t="shared" si="134"/>
        <v>45634.375</v>
      </c>
      <c r="AP134" s="19">
        <f t="shared" si="134"/>
        <v>45634.39583</v>
      </c>
      <c r="AQ134" s="19">
        <f t="shared" si="134"/>
        <v>45634.41667</v>
      </c>
      <c r="AR134" s="19">
        <f t="shared" si="134"/>
        <v>45634.4375</v>
      </c>
      <c r="AS134" s="19">
        <f t="shared" si="134"/>
        <v>45634.45833</v>
      </c>
      <c r="AT134" s="19">
        <f t="shared" si="134"/>
        <v>45634.47917</v>
      </c>
      <c r="AU134" s="19">
        <f t="shared" si="134"/>
        <v>45634.5</v>
      </c>
      <c r="AV134" s="19">
        <f t="shared" si="134"/>
        <v>45634.52083</v>
      </c>
      <c r="AW134" s="19">
        <f t="shared" si="134"/>
        <v>45634.54167</v>
      </c>
      <c r="AX134" s="19">
        <f t="shared" si="134"/>
        <v>45634.5625</v>
      </c>
      <c r="AY134" s="19">
        <f t="shared" si="134"/>
        <v>45634.58333</v>
      </c>
      <c r="AZ134" s="19">
        <f t="shared" si="134"/>
        <v>45634.60417</v>
      </c>
      <c r="BA134" s="19">
        <f t="shared" si="134"/>
        <v>45634.625</v>
      </c>
      <c r="BB134" s="19">
        <f t="shared" si="134"/>
        <v>45634.64583</v>
      </c>
      <c r="BC134" s="19">
        <f t="shared" si="134"/>
        <v>45634.66667</v>
      </c>
      <c r="BD134" s="19">
        <f t="shared" si="134"/>
        <v>45634.6875</v>
      </c>
      <c r="BE134" s="19">
        <f t="shared" si="134"/>
        <v>45634.70833</v>
      </c>
      <c r="BF134" s="19">
        <f t="shared" si="134"/>
        <v>45634.72917</v>
      </c>
      <c r="BG134" s="19">
        <f t="shared" si="134"/>
        <v>45634.75</v>
      </c>
      <c r="BH134" s="19">
        <f t="shared" si="134"/>
        <v>45634.77083</v>
      </c>
      <c r="BI134" s="19">
        <f t="shared" si="134"/>
        <v>45634.79167</v>
      </c>
      <c r="BJ134" s="19">
        <f t="shared" si="134"/>
        <v>45634.8125</v>
      </c>
      <c r="BK134" s="19">
        <f t="shared" si="134"/>
        <v>45634.83333</v>
      </c>
      <c r="BL134" s="19">
        <f t="shared" si="134"/>
        <v>45634.85417</v>
      </c>
      <c r="BM134" s="19">
        <f t="shared" si="134"/>
        <v>45634.875</v>
      </c>
      <c r="BN134" s="19">
        <f t="shared" si="134"/>
        <v>45634.89583</v>
      </c>
      <c r="BO134" s="19">
        <f t="shared" si="134"/>
        <v>45634.91667</v>
      </c>
      <c r="BP134" s="19">
        <f t="shared" si="134"/>
        <v>45634.9375</v>
      </c>
      <c r="BQ134" s="19">
        <f t="shared" si="134"/>
        <v>45634.95833</v>
      </c>
      <c r="BR134" s="19">
        <f t="shared" si="134"/>
        <v>45634.97917</v>
      </c>
      <c r="BS134" s="19">
        <f t="shared" si="134"/>
        <v>45635</v>
      </c>
      <c r="BT134" s="19">
        <f t="shared" si="134"/>
        <v>45635.02083</v>
      </c>
      <c r="BU134" s="19">
        <f t="shared" si="134"/>
        <v>45635.04167</v>
      </c>
      <c r="BV134" s="19">
        <f t="shared" si="134"/>
        <v>45635.0625</v>
      </c>
      <c r="BW134" s="19">
        <f t="shared" si="134"/>
        <v>45635.08333</v>
      </c>
      <c r="BX134" s="19">
        <f t="shared" si="134"/>
        <v>45634</v>
      </c>
      <c r="BY134" s="19">
        <f t="shared" si="134"/>
        <v>45634</v>
      </c>
      <c r="BZ134" s="19">
        <f t="shared" si="134"/>
        <v>45634</v>
      </c>
    </row>
    <row r="135" ht="14.25" customHeight="1">
      <c r="A135" s="17">
        <v>45635.0</v>
      </c>
      <c r="B135" s="2" t="str">
        <f t="array" ref="B135">IF(NOW()&gt;AM135,"",IF(AND((WEEKDAY($A135)+$B$2)&gt;1,((WEEKDAY($A135)+$T$2)&lt;7),(WEEKDAY($A135)&lt;&gt;1)),"work",(INDEX(Subject!$A:$I,MATCH(RANDBETWEEN(1,(MAX(Subject!$B:$B))),Subject!$B:$B,0),3))))</f>
        <v/>
      </c>
      <c r="C135" s="2" t="str">
        <f t="array" ref="C135">IF(NOW()&gt;AN135,"",IF(AND((WEEKDAY($A135)+$B$2)&gt;1,((WEEKDAY($A135)+$T$2)&lt;7),(WEEKDAY($A135)&lt;&gt;1)),"work",(INDEX(Subject!$A:$I,MATCH(RANDBETWEEN(1,(MAX(Subject!$B:$B))),Subject!$B:$B,0),3))))</f>
        <v/>
      </c>
      <c r="D135" s="2" t="str">
        <f t="array" ref="D135">IF(NOW()&gt;AO135,"",IF(AND((WEEKDAY($A135)+$B$2)&gt;1,((WEEKDAY($A135)+$T$2)&lt;7),(WEEKDAY($A135)&lt;&gt;1)),"work",(INDEX(Subject!$A:$I,MATCH(RANDBETWEEN(1,(MAX(Subject!$B:$B))),Subject!$B:$B,0),3))))</f>
        <v/>
      </c>
      <c r="E135" s="2" t="str">
        <f t="array" ref="E135">IF(NOW()&gt;AP135,"",IF(AND((WEEKDAY($A135)+$B$2)&gt;1,((WEEKDAY($A135)+$T$2)&lt;7),(WEEKDAY($A135)&lt;&gt;1)),"work",(INDEX(Subject!$A:$I,MATCH(RANDBETWEEN(1,(MAX(Subject!$B:$B))),Subject!$B:$B,0),3))))</f>
        <v/>
      </c>
      <c r="F135" s="2" t="str">
        <f t="array" ref="F135">IF(NOW()&gt;AQ135,"",IF(AND((WEEKDAY($A135)+$B$2)&gt;1,((WEEKDAY($A135)+$T$2)&lt;7),(WEEKDAY($A135)&lt;&gt;1)),"work",(INDEX(Subject!$A:$I,MATCH(RANDBETWEEN(1,(MAX(Subject!$B:$B))),Subject!$B:$B,0),3))))</f>
        <v/>
      </c>
      <c r="G135" s="2" t="str">
        <f t="array" ref="G135">IF(NOW()&gt;AR135,"",IF(AND((WEEKDAY($A135)+$B$2)&gt;1,((WEEKDAY($A135)+$T$2)&lt;7),(WEEKDAY($A135)&lt;&gt;1)),"work",(INDEX(Subject!$A:$I,MATCH(RANDBETWEEN(1,(MAX(Subject!$B:$B))),Subject!$B:$B,0),3))))</f>
        <v/>
      </c>
      <c r="H135" s="2" t="str">
        <f t="array" ref="H135">IF(NOW()&gt;AS135,"",IF(AND((WEEKDAY($A135)+$B$2)&gt;1,((WEEKDAY($A135)+$T$2)&lt;7),(WEEKDAY($A135)&lt;&gt;1)),"work",(INDEX(Subject!$A:$I,MATCH(RANDBETWEEN(1,(MAX(Subject!$B:$B))),Subject!$B:$B,0),3))))</f>
        <v/>
      </c>
      <c r="I135" s="2" t="str">
        <f t="array" ref="I135">IF(NOW()&gt;AT135,"",IF(AND((WEEKDAY($A135)+$B$2)&gt;1,((WEEKDAY($A135)+$T$2)&lt;7),(WEEKDAY($A135)&lt;&gt;1)),"work",(INDEX(Subject!$A:$I,MATCH(RANDBETWEEN(1,(MAX(Subject!$B:$B))),Subject!$B:$B,0),3))))</f>
        <v/>
      </c>
      <c r="J135" s="2" t="str">
        <f t="array" ref="J135">IF(NOW()&gt;AU135,"",IF(AND((WEEKDAY($A135)+$B$2)&gt;1,((WEEKDAY($A135)+$T$2)&lt;7),(WEEKDAY($A135)&lt;&gt;1)),"work",(INDEX(Subject!$A:$I,MATCH(RANDBETWEEN(1,(MAX(Subject!$B:$B))),Subject!$B:$B,0),3))))</f>
        <v/>
      </c>
      <c r="K135" s="2" t="str">
        <f t="array" ref="K135">IF(NOW()&gt;AV135,"",IF(AND((WEEKDAY($A135)+$B$2)&gt;1,((WEEKDAY($A135)+$T$2)&lt;7),(WEEKDAY($A135)&lt;&gt;1)),"work",(INDEX(Subject!$A:$I,MATCH(RANDBETWEEN(1,(MAX(Subject!$B:$B))),Subject!$B:$B,0),3))))</f>
        <v/>
      </c>
      <c r="L135" s="2" t="str">
        <f t="array" ref="L135">IF(NOW()&gt;AW135,"",IF(AND((WEEKDAY($A135)+$B$2)&gt;1,((WEEKDAY($A135)+$T$2)&lt;7),(WEEKDAY($A135)&lt;&gt;1)),"work",(INDEX(Subject!$A:$I,MATCH(RANDBETWEEN(1,(MAX(Subject!$B:$B))),Subject!$B:$B,0),3))))</f>
        <v/>
      </c>
      <c r="M135" s="2" t="str">
        <f t="array" ref="M135">IF(NOW()&gt;AX135,"",IF(AND((WEEKDAY($A135)+$B$2)&gt;1,((WEEKDAY($A135)+$T$2)&lt;7),(WEEKDAY($A135)&lt;&gt;1)),"work",(INDEX(Subject!$A:$I,MATCH(RANDBETWEEN(1,(MAX(Subject!$B:$B))),Subject!$B:$B,0),3))))</f>
        <v/>
      </c>
      <c r="N135" s="2" t="str">
        <f t="array" ref="N135">IF(NOW()&gt;AY135,"",IF(AND((WEEKDAY($A135)+$B$2)&gt;1,((WEEKDAY($A135)+$T$2)&lt;7),(WEEKDAY($A135)&lt;&gt;1)),"work",(INDEX(Subject!$A:$I,MATCH(RANDBETWEEN(1,(MAX(Subject!$B:$B))),Subject!$B:$B,0),3))))</f>
        <v/>
      </c>
      <c r="O135" s="2" t="str">
        <f t="array" ref="O135">IF(NOW()&gt;AZ135,"",IF(AND((WEEKDAY($A135)+$B$2)&gt;1,((WEEKDAY($A135)+$T$2)&lt;7),(WEEKDAY($A135)&lt;&gt;1)),"work",(INDEX(Subject!$A:$I,MATCH(RANDBETWEEN(1,(MAX(Subject!$B:$B))),Subject!$B:$B,0),3))))</f>
        <v/>
      </c>
      <c r="P135" s="2" t="str">
        <f t="array" ref="P135">IF(NOW()&gt;BA135,"",IF(AND((WEEKDAY($A135)+$B$2)&gt;1,((WEEKDAY($A135)+$T$2)&lt;7),(WEEKDAY($A135)&lt;&gt;1)),"work",(INDEX(Subject!$A:$I,MATCH(RANDBETWEEN(1,(MAX(Subject!$B:$B))),Subject!$B:$B,0),3))))</f>
        <v/>
      </c>
      <c r="Q135" s="2" t="str">
        <f t="array" ref="Q135">IF(NOW()&gt;BB135,"",IF(AND((WEEKDAY($A135)+$B$2)&gt;1,((WEEKDAY($A135)+$T$2)&lt;7),(WEEKDAY($A135)&lt;&gt;1)),"work",(INDEX(Subject!$A:$I,MATCH(RANDBETWEEN(1,(MAX(Subject!$B:$B))),Subject!$B:$B,0),3))))</f>
        <v/>
      </c>
      <c r="R135" s="2" t="str">
        <f t="array" ref="R135">IF(NOW()&gt;BC135,"",IF(AND((WEEKDAY($A135)+$B$2)&gt;1,((WEEKDAY($A135)+$T$2)&lt;7),(WEEKDAY($A135)&lt;&gt;1)),"work",(INDEX(Subject!$A:$I,MATCH(RANDBETWEEN(1,(MAX(Subject!$B:$B))),Subject!$B:$B,0),3))))</f>
        <v/>
      </c>
      <c r="S135" s="2" t="str">
        <f t="array" ref="S135">IF(NOW()&gt;BD135,"",IF(AND((WEEKDAY($A135)+$B$2)&gt;1,((WEEKDAY($A135)+$T$2)&lt;7),(WEEKDAY($A135)&lt;&gt;1)),"work",(INDEX(Subject!$A:$I,MATCH(RANDBETWEEN(1,(MAX(Subject!$B:$B))),Subject!$B:$B,0),3))))</f>
        <v/>
      </c>
      <c r="T135" s="2" t="str">
        <f t="array" ref="T135">IF(NOW()&gt;BE135,"",IF(AND((WEEKDAY($A135)+$B$2)&gt;1,((WEEKDAY($A135)+$T$2)&lt;7),(WEEKDAY($A135)&lt;&gt;1)),"work",(INDEX(Subject!$A:$I,MATCH(RANDBETWEEN(1,(MAX(Subject!$B:$B))),Subject!$B:$B,0),3))))</f>
        <v/>
      </c>
      <c r="U135" s="8" t="str">
        <f t="array" ref="U135">INDEX(Subject!$A:$I,MATCH(RANDBETWEEN(1,16),Subject!$B:$B,0),3)</f>
        <v>#N/A</v>
      </c>
      <c r="V135" s="8" t="str">
        <f t="array" ref="V135">INDEX(Subject!$A:$I,MATCH(RANDBETWEEN(1,16),Subject!$B:$B,0),3)</f>
        <v>#N/A</v>
      </c>
      <c r="W135" s="8" t="str">
        <f t="array" ref="W135">INDEX(Subject!$A:$I,MATCH(RANDBETWEEN(1,16),Subject!$B:$B,0),3)</f>
        <v>#N/A</v>
      </c>
      <c r="X135" s="8" t="str">
        <f t="array" ref="X135">INDEX(Subject!$A:$I,MATCH(RANDBETWEEN(1,16),Subject!$B:$B,0),3)</f>
        <v/>
      </c>
      <c r="Y135" s="8" t="str">
        <f t="array" ref="Y135">INDEX(Subject!$A:$I,MATCH(RANDBETWEEN(1,16),Subject!$B:$B,0),3)</f>
        <v>#N/A</v>
      </c>
      <c r="Z135" s="8" t="str">
        <f t="array" ref="Z135">INDEX(Subject!$A:$I,MATCH(RANDBETWEEN(1,16),Subject!$B:$B,0),3)</f>
        <v>#N/A</v>
      </c>
      <c r="AA135" s="8" t="str">
        <f t="array" ref="AA135">INDEX(Subject!$A:$I,MATCH(RANDBETWEEN(1,16),Subject!$B:$B,0),3)</f>
        <v>#N/A</v>
      </c>
      <c r="AB135" s="8" t="str">
        <f t="array" ref="AB135">INDEX(Subject!$A:$I,MATCH(RANDBETWEEN(1,16),Subject!$B:$B,0),3)</f>
        <v>#N/A</v>
      </c>
      <c r="AC135" s="8" t="str">
        <f t="array" ref="AC135">INDEX(Subject!$A:$I,MATCH(RANDBETWEEN(1,16),Subject!$B:$B,0),3)</f>
        <v/>
      </c>
      <c r="AD135" s="8" t="str">
        <f t="array" ref="AD135">INDEX(Subject!$A:$I,MATCH(RANDBETWEEN(1,16),Subject!$B:$B,0),3)</f>
        <v>#N/A</v>
      </c>
      <c r="AE135" s="8" t="str">
        <f t="array" ref="AE135">INDEX(Subject!$A:$I,MATCH(RANDBETWEEN(1,16),Subject!$B:$B,0),3)</f>
        <v>#N/A</v>
      </c>
      <c r="AF135" s="8" t="str">
        <f t="array" ref="AF135">INDEX(Subject!$A:$I,MATCH(RANDBETWEEN(1,16),Subject!$B:$B,0),3)</f>
        <v>#N/A</v>
      </c>
      <c r="AG135" s="8" t="str">
        <f t="array" ref="AG135">INDEX(Subject!$A:$I,MATCH(RANDBETWEEN(1,16),Subject!$B:$B,0),3)</f>
        <v>#N/A</v>
      </c>
      <c r="AH135" s="8" t="str">
        <f t="array" ref="AH135">INDEX(Subject!$A:$I,MATCH(RANDBETWEEN(1,16),Subject!$B:$B,0),3)</f>
        <v>#N/A</v>
      </c>
      <c r="AI135" s="8" t="str">
        <f t="array" ref="AI135">INDEX(Subject!$A:$I,MATCH(RANDBETWEEN(1,16),Subject!$B:$B,0),3)</f>
        <v>#N/A</v>
      </c>
      <c r="AJ135" s="8" t="str">
        <f t="array" ref="AJ135">INDEX(Subject!$A:$I,MATCH(RANDBETWEEN(1,16),Subject!$B:$B,0),3)</f>
        <v>#N/A</v>
      </c>
      <c r="AK135" s="8" t="str">
        <f t="array" ref="AK135">INDEX(Subject!$A:$I,MATCH(RANDBETWEEN(1,16),Subject!$B:$B,0),3)</f>
        <v>#N/A</v>
      </c>
      <c r="AL135" s="8" t="str">
        <f t="array" ref="AL135">INDEX(Subject!$A:$I,MATCH(RANDBETWEEN(1,16),Subject!$B:$B,0),3)</f>
        <v>#N/A</v>
      </c>
      <c r="AM135" s="18">
        <f t="shared" si="4"/>
        <v>45635.33333</v>
      </c>
      <c r="AN135" s="19">
        <f t="shared" ref="AN135:BZ135" si="135">$A135+C$1</f>
        <v>45635.35417</v>
      </c>
      <c r="AO135" s="19">
        <f t="shared" si="135"/>
        <v>45635.375</v>
      </c>
      <c r="AP135" s="19">
        <f t="shared" si="135"/>
        <v>45635.39583</v>
      </c>
      <c r="AQ135" s="19">
        <f t="shared" si="135"/>
        <v>45635.41667</v>
      </c>
      <c r="AR135" s="19">
        <f t="shared" si="135"/>
        <v>45635.4375</v>
      </c>
      <c r="AS135" s="19">
        <f t="shared" si="135"/>
        <v>45635.45833</v>
      </c>
      <c r="AT135" s="19">
        <f t="shared" si="135"/>
        <v>45635.47917</v>
      </c>
      <c r="AU135" s="19">
        <f t="shared" si="135"/>
        <v>45635.5</v>
      </c>
      <c r="AV135" s="19">
        <f t="shared" si="135"/>
        <v>45635.52083</v>
      </c>
      <c r="AW135" s="19">
        <f t="shared" si="135"/>
        <v>45635.54167</v>
      </c>
      <c r="AX135" s="19">
        <f t="shared" si="135"/>
        <v>45635.5625</v>
      </c>
      <c r="AY135" s="19">
        <f t="shared" si="135"/>
        <v>45635.58333</v>
      </c>
      <c r="AZ135" s="19">
        <f t="shared" si="135"/>
        <v>45635.60417</v>
      </c>
      <c r="BA135" s="19">
        <f t="shared" si="135"/>
        <v>45635.625</v>
      </c>
      <c r="BB135" s="19">
        <f t="shared" si="135"/>
        <v>45635.64583</v>
      </c>
      <c r="BC135" s="19">
        <f t="shared" si="135"/>
        <v>45635.66667</v>
      </c>
      <c r="BD135" s="19">
        <f t="shared" si="135"/>
        <v>45635.6875</v>
      </c>
      <c r="BE135" s="19">
        <f t="shared" si="135"/>
        <v>45635.70833</v>
      </c>
      <c r="BF135" s="19">
        <f t="shared" si="135"/>
        <v>45635.72917</v>
      </c>
      <c r="BG135" s="19">
        <f t="shared" si="135"/>
        <v>45635.75</v>
      </c>
      <c r="BH135" s="19">
        <f t="shared" si="135"/>
        <v>45635.77083</v>
      </c>
      <c r="BI135" s="19">
        <f t="shared" si="135"/>
        <v>45635.79167</v>
      </c>
      <c r="BJ135" s="19">
        <f t="shared" si="135"/>
        <v>45635.8125</v>
      </c>
      <c r="BK135" s="19">
        <f t="shared" si="135"/>
        <v>45635.83333</v>
      </c>
      <c r="BL135" s="19">
        <f t="shared" si="135"/>
        <v>45635.85417</v>
      </c>
      <c r="BM135" s="19">
        <f t="shared" si="135"/>
        <v>45635.875</v>
      </c>
      <c r="BN135" s="19">
        <f t="shared" si="135"/>
        <v>45635.89583</v>
      </c>
      <c r="BO135" s="19">
        <f t="shared" si="135"/>
        <v>45635.91667</v>
      </c>
      <c r="BP135" s="19">
        <f t="shared" si="135"/>
        <v>45635.9375</v>
      </c>
      <c r="BQ135" s="19">
        <f t="shared" si="135"/>
        <v>45635.95833</v>
      </c>
      <c r="BR135" s="19">
        <f t="shared" si="135"/>
        <v>45635.97917</v>
      </c>
      <c r="BS135" s="19">
        <f t="shared" si="135"/>
        <v>45636</v>
      </c>
      <c r="BT135" s="19">
        <f t="shared" si="135"/>
        <v>45636.02083</v>
      </c>
      <c r="BU135" s="19">
        <f t="shared" si="135"/>
        <v>45636.04167</v>
      </c>
      <c r="BV135" s="19">
        <f t="shared" si="135"/>
        <v>45636.0625</v>
      </c>
      <c r="BW135" s="19">
        <f t="shared" si="135"/>
        <v>45636.08333</v>
      </c>
      <c r="BX135" s="19">
        <f t="shared" si="135"/>
        <v>45635</v>
      </c>
      <c r="BY135" s="19">
        <f t="shared" si="135"/>
        <v>45635</v>
      </c>
      <c r="BZ135" s="19">
        <f t="shared" si="135"/>
        <v>45635</v>
      </c>
    </row>
    <row r="136" ht="14.25" customHeight="1">
      <c r="A136" s="17">
        <v>45636.0</v>
      </c>
      <c r="B136" s="2" t="str">
        <f t="array" ref="B136">IF(NOW()&gt;AM136,"",IF(AND((WEEKDAY($A136)+$B$2)&gt;1,((WEEKDAY($A136)+$T$2)&lt;7),(WEEKDAY($A136)&lt;&gt;1)),"work",(INDEX(Subject!$A:$I,MATCH(RANDBETWEEN(1,(MAX(Subject!$B:$B))),Subject!$B:$B,0),3))))</f>
        <v/>
      </c>
      <c r="C136" s="2" t="str">
        <f t="array" ref="C136">IF(NOW()&gt;AN136,"",IF(AND((WEEKDAY($A136)+$B$2)&gt;1,((WEEKDAY($A136)+$T$2)&lt;7),(WEEKDAY($A136)&lt;&gt;1)),"work",(INDEX(Subject!$A:$I,MATCH(RANDBETWEEN(1,(MAX(Subject!$B:$B))),Subject!$B:$B,0),3))))</f>
        <v/>
      </c>
      <c r="D136" s="2" t="str">
        <f t="array" ref="D136">IF(NOW()&gt;AO136,"",IF(AND((WEEKDAY($A136)+$B$2)&gt;1,((WEEKDAY($A136)+$T$2)&lt;7),(WEEKDAY($A136)&lt;&gt;1)),"work",(INDEX(Subject!$A:$I,MATCH(RANDBETWEEN(1,(MAX(Subject!$B:$B))),Subject!$B:$B,0),3))))</f>
        <v/>
      </c>
      <c r="E136" s="2" t="str">
        <f t="array" ref="E136">IF(NOW()&gt;AP136,"",IF(AND((WEEKDAY($A136)+$B$2)&gt;1,((WEEKDAY($A136)+$T$2)&lt;7),(WEEKDAY($A136)&lt;&gt;1)),"work",(INDEX(Subject!$A:$I,MATCH(RANDBETWEEN(1,(MAX(Subject!$B:$B))),Subject!$B:$B,0),3))))</f>
        <v/>
      </c>
      <c r="F136" s="2" t="str">
        <f t="array" ref="F136">IF(NOW()&gt;AQ136,"",IF(AND((WEEKDAY($A136)+$B$2)&gt;1,((WEEKDAY($A136)+$T$2)&lt;7),(WEEKDAY($A136)&lt;&gt;1)),"work",(INDEX(Subject!$A:$I,MATCH(RANDBETWEEN(1,(MAX(Subject!$B:$B))),Subject!$B:$B,0),3))))</f>
        <v/>
      </c>
      <c r="G136" s="2" t="str">
        <f t="array" ref="G136">IF(NOW()&gt;AR136,"",IF(AND((WEEKDAY($A136)+$B$2)&gt;1,((WEEKDAY($A136)+$T$2)&lt;7),(WEEKDAY($A136)&lt;&gt;1)),"work",(INDEX(Subject!$A:$I,MATCH(RANDBETWEEN(1,(MAX(Subject!$B:$B))),Subject!$B:$B,0),3))))</f>
        <v/>
      </c>
      <c r="H136" s="2" t="str">
        <f t="array" ref="H136">IF(NOW()&gt;AS136,"",IF(AND((WEEKDAY($A136)+$B$2)&gt;1,((WEEKDAY($A136)+$T$2)&lt;7),(WEEKDAY($A136)&lt;&gt;1)),"work",(INDEX(Subject!$A:$I,MATCH(RANDBETWEEN(1,(MAX(Subject!$B:$B))),Subject!$B:$B,0),3))))</f>
        <v/>
      </c>
      <c r="I136" s="2" t="str">
        <f t="array" ref="I136">IF(NOW()&gt;AT136,"",IF(AND((WEEKDAY($A136)+$B$2)&gt;1,((WEEKDAY($A136)+$T$2)&lt;7),(WEEKDAY($A136)&lt;&gt;1)),"work",(INDEX(Subject!$A:$I,MATCH(RANDBETWEEN(1,(MAX(Subject!$B:$B))),Subject!$B:$B,0),3))))</f>
        <v/>
      </c>
      <c r="J136" s="2" t="str">
        <f t="array" ref="J136">IF(NOW()&gt;AU136,"",IF(AND((WEEKDAY($A136)+$B$2)&gt;1,((WEEKDAY($A136)+$T$2)&lt;7),(WEEKDAY($A136)&lt;&gt;1)),"work",(INDEX(Subject!$A:$I,MATCH(RANDBETWEEN(1,(MAX(Subject!$B:$B))),Subject!$B:$B,0),3))))</f>
        <v/>
      </c>
      <c r="K136" s="2" t="str">
        <f t="array" ref="K136">IF(NOW()&gt;AV136,"",IF(AND((WEEKDAY($A136)+$B$2)&gt;1,((WEEKDAY($A136)+$T$2)&lt;7),(WEEKDAY($A136)&lt;&gt;1)),"work",(INDEX(Subject!$A:$I,MATCH(RANDBETWEEN(1,(MAX(Subject!$B:$B))),Subject!$B:$B,0),3))))</f>
        <v/>
      </c>
      <c r="L136" s="2" t="str">
        <f t="array" ref="L136">IF(NOW()&gt;AW136,"",IF(AND((WEEKDAY($A136)+$B$2)&gt;1,((WEEKDAY($A136)+$T$2)&lt;7),(WEEKDAY($A136)&lt;&gt;1)),"work",(INDEX(Subject!$A:$I,MATCH(RANDBETWEEN(1,(MAX(Subject!$B:$B))),Subject!$B:$B,0),3))))</f>
        <v/>
      </c>
      <c r="M136" s="2" t="str">
        <f t="array" ref="M136">IF(NOW()&gt;AX136,"",IF(AND((WEEKDAY($A136)+$B$2)&gt;1,((WEEKDAY($A136)+$T$2)&lt;7),(WEEKDAY($A136)&lt;&gt;1)),"work",(INDEX(Subject!$A:$I,MATCH(RANDBETWEEN(1,(MAX(Subject!$B:$B))),Subject!$B:$B,0),3))))</f>
        <v/>
      </c>
      <c r="N136" s="2" t="str">
        <f t="array" ref="N136">IF(NOW()&gt;AY136,"",IF(AND((WEEKDAY($A136)+$B$2)&gt;1,((WEEKDAY($A136)+$T$2)&lt;7),(WEEKDAY($A136)&lt;&gt;1)),"work",(INDEX(Subject!$A:$I,MATCH(RANDBETWEEN(1,(MAX(Subject!$B:$B))),Subject!$B:$B,0),3))))</f>
        <v/>
      </c>
      <c r="O136" s="2" t="str">
        <f t="array" ref="O136">IF(NOW()&gt;AZ136,"",IF(AND((WEEKDAY($A136)+$B$2)&gt;1,((WEEKDAY($A136)+$T$2)&lt;7),(WEEKDAY($A136)&lt;&gt;1)),"work",(INDEX(Subject!$A:$I,MATCH(RANDBETWEEN(1,(MAX(Subject!$B:$B))),Subject!$B:$B,0),3))))</f>
        <v/>
      </c>
      <c r="P136" s="2" t="str">
        <f t="array" ref="P136">IF(NOW()&gt;BA136,"",IF(AND((WEEKDAY($A136)+$B$2)&gt;1,((WEEKDAY($A136)+$T$2)&lt;7),(WEEKDAY($A136)&lt;&gt;1)),"work",(INDEX(Subject!$A:$I,MATCH(RANDBETWEEN(1,(MAX(Subject!$B:$B))),Subject!$B:$B,0),3))))</f>
        <v/>
      </c>
      <c r="Q136" s="2" t="str">
        <f t="array" ref="Q136">IF(NOW()&gt;BB136,"",IF(AND((WEEKDAY($A136)+$B$2)&gt;1,((WEEKDAY($A136)+$T$2)&lt;7),(WEEKDAY($A136)&lt;&gt;1)),"work",(INDEX(Subject!$A:$I,MATCH(RANDBETWEEN(1,(MAX(Subject!$B:$B))),Subject!$B:$B,0),3))))</f>
        <v/>
      </c>
      <c r="R136" s="2" t="str">
        <f t="array" ref="R136">IF(NOW()&gt;BC136,"",IF(AND((WEEKDAY($A136)+$B$2)&gt;1,((WEEKDAY($A136)+$T$2)&lt;7),(WEEKDAY($A136)&lt;&gt;1)),"work",(INDEX(Subject!$A:$I,MATCH(RANDBETWEEN(1,(MAX(Subject!$B:$B))),Subject!$B:$B,0),3))))</f>
        <v/>
      </c>
      <c r="S136" s="2" t="str">
        <f t="array" ref="S136">IF(NOW()&gt;BD136,"",IF(AND((WEEKDAY($A136)+$B$2)&gt;1,((WEEKDAY($A136)+$T$2)&lt;7),(WEEKDAY($A136)&lt;&gt;1)),"work",(INDEX(Subject!$A:$I,MATCH(RANDBETWEEN(1,(MAX(Subject!$B:$B))),Subject!$B:$B,0),3))))</f>
        <v/>
      </c>
      <c r="T136" s="2" t="str">
        <f t="array" ref="T136">IF(NOW()&gt;BE136,"",IF(AND((WEEKDAY($A136)+$B$2)&gt;1,((WEEKDAY($A136)+$T$2)&lt;7),(WEEKDAY($A136)&lt;&gt;1)),"work",(INDEX(Subject!$A:$I,MATCH(RANDBETWEEN(1,(MAX(Subject!$B:$B))),Subject!$B:$B,0),3))))</f>
        <v/>
      </c>
      <c r="U136" s="8" t="str">
        <f t="array" ref="U136">INDEX(Subject!$A:$I,MATCH(RANDBETWEEN(1,16),Subject!$B:$B,0),3)</f>
        <v>#N/A</v>
      </c>
      <c r="V136" s="8" t="str">
        <f t="array" ref="V136">INDEX(Subject!$A:$I,MATCH(RANDBETWEEN(1,16),Subject!$B:$B,0),3)</f>
        <v>#N/A</v>
      </c>
      <c r="W136" s="8" t="str">
        <f t="array" ref="W136">INDEX(Subject!$A:$I,MATCH(RANDBETWEEN(1,16),Subject!$B:$B,0),3)</f>
        <v>#N/A</v>
      </c>
      <c r="X136" s="8" t="str">
        <f t="array" ref="X136">INDEX(Subject!$A:$I,MATCH(RANDBETWEEN(1,16),Subject!$B:$B,0),3)</f>
        <v>#N/A</v>
      </c>
      <c r="Y136" s="8" t="str">
        <f t="array" ref="Y136">INDEX(Subject!$A:$I,MATCH(RANDBETWEEN(1,16),Subject!$B:$B,0),3)</f>
        <v>#N/A</v>
      </c>
      <c r="Z136" s="8" t="str">
        <f t="array" ref="Z136">INDEX(Subject!$A:$I,MATCH(RANDBETWEEN(1,16),Subject!$B:$B,0),3)</f>
        <v>#N/A</v>
      </c>
      <c r="AA136" s="8" t="str">
        <f t="array" ref="AA136">INDEX(Subject!$A:$I,MATCH(RANDBETWEEN(1,16),Subject!$B:$B,0),3)</f>
        <v/>
      </c>
      <c r="AB136" s="8" t="str">
        <f t="array" ref="AB136">INDEX(Subject!$A:$I,MATCH(RANDBETWEEN(1,16),Subject!$B:$B,0),3)</f>
        <v>#N/A</v>
      </c>
      <c r="AC136" s="8" t="str">
        <f t="array" ref="AC136">INDEX(Subject!$A:$I,MATCH(RANDBETWEEN(1,16),Subject!$B:$B,0),3)</f>
        <v>#N/A</v>
      </c>
      <c r="AD136" s="8" t="str">
        <f t="array" ref="AD136">INDEX(Subject!$A:$I,MATCH(RANDBETWEEN(1,16),Subject!$B:$B,0),3)</f>
        <v>#N/A</v>
      </c>
      <c r="AE136" s="8" t="str">
        <f t="array" ref="AE136">INDEX(Subject!$A:$I,MATCH(RANDBETWEEN(1,16),Subject!$B:$B,0),3)</f>
        <v>#N/A</v>
      </c>
      <c r="AF136" s="8" t="str">
        <f t="array" ref="AF136">INDEX(Subject!$A:$I,MATCH(RANDBETWEEN(1,16),Subject!$B:$B,0),3)</f>
        <v>#N/A</v>
      </c>
      <c r="AG136" s="8" t="str">
        <f t="array" ref="AG136">INDEX(Subject!$A:$I,MATCH(RANDBETWEEN(1,16),Subject!$B:$B,0),3)</f>
        <v/>
      </c>
      <c r="AH136" s="8" t="str">
        <f t="array" ref="AH136">INDEX(Subject!$A:$I,MATCH(RANDBETWEEN(1,16),Subject!$B:$B,0),3)</f>
        <v>#N/A</v>
      </c>
      <c r="AI136" s="8" t="str">
        <f t="array" ref="AI136">INDEX(Subject!$A:$I,MATCH(RANDBETWEEN(1,16),Subject!$B:$B,0),3)</f>
        <v>#N/A</v>
      </c>
      <c r="AJ136" s="8" t="str">
        <f t="array" ref="AJ136">INDEX(Subject!$A:$I,MATCH(RANDBETWEEN(1,16),Subject!$B:$B,0),3)</f>
        <v>#N/A</v>
      </c>
      <c r="AK136" s="8" t="str">
        <f t="array" ref="AK136">INDEX(Subject!$A:$I,MATCH(RANDBETWEEN(1,16),Subject!$B:$B,0),3)</f>
        <v>#N/A</v>
      </c>
      <c r="AL136" s="8" t="str">
        <f t="array" ref="AL136">INDEX(Subject!$A:$I,MATCH(RANDBETWEEN(1,16),Subject!$B:$B,0),3)</f>
        <v>#N/A</v>
      </c>
      <c r="AM136" s="18">
        <f t="shared" si="4"/>
        <v>45636.33333</v>
      </c>
      <c r="AN136" s="19">
        <f t="shared" ref="AN136:BZ136" si="136">$A136+C$1</f>
        <v>45636.35417</v>
      </c>
      <c r="AO136" s="19">
        <f t="shared" si="136"/>
        <v>45636.375</v>
      </c>
      <c r="AP136" s="19">
        <f t="shared" si="136"/>
        <v>45636.39583</v>
      </c>
      <c r="AQ136" s="19">
        <f t="shared" si="136"/>
        <v>45636.41667</v>
      </c>
      <c r="AR136" s="19">
        <f t="shared" si="136"/>
        <v>45636.4375</v>
      </c>
      <c r="AS136" s="19">
        <f t="shared" si="136"/>
        <v>45636.45833</v>
      </c>
      <c r="AT136" s="19">
        <f t="shared" si="136"/>
        <v>45636.47917</v>
      </c>
      <c r="AU136" s="19">
        <f t="shared" si="136"/>
        <v>45636.5</v>
      </c>
      <c r="AV136" s="19">
        <f t="shared" si="136"/>
        <v>45636.52083</v>
      </c>
      <c r="AW136" s="19">
        <f t="shared" si="136"/>
        <v>45636.54167</v>
      </c>
      <c r="AX136" s="19">
        <f t="shared" si="136"/>
        <v>45636.5625</v>
      </c>
      <c r="AY136" s="19">
        <f t="shared" si="136"/>
        <v>45636.58333</v>
      </c>
      <c r="AZ136" s="19">
        <f t="shared" si="136"/>
        <v>45636.60417</v>
      </c>
      <c r="BA136" s="19">
        <f t="shared" si="136"/>
        <v>45636.625</v>
      </c>
      <c r="BB136" s="19">
        <f t="shared" si="136"/>
        <v>45636.64583</v>
      </c>
      <c r="BC136" s="19">
        <f t="shared" si="136"/>
        <v>45636.66667</v>
      </c>
      <c r="BD136" s="19">
        <f t="shared" si="136"/>
        <v>45636.6875</v>
      </c>
      <c r="BE136" s="19">
        <f t="shared" si="136"/>
        <v>45636.70833</v>
      </c>
      <c r="BF136" s="19">
        <f t="shared" si="136"/>
        <v>45636.72917</v>
      </c>
      <c r="BG136" s="19">
        <f t="shared" si="136"/>
        <v>45636.75</v>
      </c>
      <c r="BH136" s="19">
        <f t="shared" si="136"/>
        <v>45636.77083</v>
      </c>
      <c r="BI136" s="19">
        <f t="shared" si="136"/>
        <v>45636.79167</v>
      </c>
      <c r="BJ136" s="19">
        <f t="shared" si="136"/>
        <v>45636.8125</v>
      </c>
      <c r="BK136" s="19">
        <f t="shared" si="136"/>
        <v>45636.83333</v>
      </c>
      <c r="BL136" s="19">
        <f t="shared" si="136"/>
        <v>45636.85417</v>
      </c>
      <c r="BM136" s="19">
        <f t="shared" si="136"/>
        <v>45636.875</v>
      </c>
      <c r="BN136" s="19">
        <f t="shared" si="136"/>
        <v>45636.89583</v>
      </c>
      <c r="BO136" s="19">
        <f t="shared" si="136"/>
        <v>45636.91667</v>
      </c>
      <c r="BP136" s="19">
        <f t="shared" si="136"/>
        <v>45636.9375</v>
      </c>
      <c r="BQ136" s="19">
        <f t="shared" si="136"/>
        <v>45636.95833</v>
      </c>
      <c r="BR136" s="19">
        <f t="shared" si="136"/>
        <v>45636.97917</v>
      </c>
      <c r="BS136" s="19">
        <f t="shared" si="136"/>
        <v>45637</v>
      </c>
      <c r="BT136" s="19">
        <f t="shared" si="136"/>
        <v>45637.02083</v>
      </c>
      <c r="BU136" s="19">
        <f t="shared" si="136"/>
        <v>45637.04167</v>
      </c>
      <c r="BV136" s="19">
        <f t="shared" si="136"/>
        <v>45637.0625</v>
      </c>
      <c r="BW136" s="19">
        <f t="shared" si="136"/>
        <v>45637.08333</v>
      </c>
      <c r="BX136" s="19">
        <f t="shared" si="136"/>
        <v>45636</v>
      </c>
      <c r="BY136" s="19">
        <f t="shared" si="136"/>
        <v>45636</v>
      </c>
      <c r="BZ136" s="19">
        <f t="shared" si="136"/>
        <v>45636</v>
      </c>
    </row>
    <row r="137" ht="14.25" customHeight="1">
      <c r="A137" s="17">
        <v>45637.0</v>
      </c>
      <c r="B137" s="2" t="str">
        <f t="array" ref="B137">IF(NOW()&gt;AM137,"",IF(AND((WEEKDAY($A137)+$B$2)&gt;1,((WEEKDAY($A137)+$T$2)&lt;7),(WEEKDAY($A137)&lt;&gt;1)),"work",(INDEX(Subject!$A:$I,MATCH(RANDBETWEEN(1,(MAX(Subject!$B:$B))),Subject!$B:$B,0),3))))</f>
        <v/>
      </c>
      <c r="C137" s="2" t="str">
        <f t="array" ref="C137">IF(NOW()&gt;AN137,"",IF(AND((WEEKDAY($A137)+$B$2)&gt;1,((WEEKDAY($A137)+$T$2)&lt;7),(WEEKDAY($A137)&lt;&gt;1)),"work",(INDEX(Subject!$A:$I,MATCH(RANDBETWEEN(1,(MAX(Subject!$B:$B))),Subject!$B:$B,0),3))))</f>
        <v/>
      </c>
      <c r="D137" s="2" t="str">
        <f t="array" ref="D137">IF(NOW()&gt;AO137,"",IF(AND((WEEKDAY($A137)+$B$2)&gt;1,((WEEKDAY($A137)+$T$2)&lt;7),(WEEKDAY($A137)&lt;&gt;1)),"work",(INDEX(Subject!$A:$I,MATCH(RANDBETWEEN(1,(MAX(Subject!$B:$B))),Subject!$B:$B,0),3))))</f>
        <v/>
      </c>
      <c r="E137" s="2" t="str">
        <f t="array" ref="E137">IF(NOW()&gt;AP137,"",IF(AND((WEEKDAY($A137)+$B$2)&gt;1,((WEEKDAY($A137)+$T$2)&lt;7),(WEEKDAY($A137)&lt;&gt;1)),"work",(INDEX(Subject!$A:$I,MATCH(RANDBETWEEN(1,(MAX(Subject!$B:$B))),Subject!$B:$B,0),3))))</f>
        <v/>
      </c>
      <c r="F137" s="2" t="str">
        <f t="array" ref="F137">IF(NOW()&gt;AQ137,"",IF(AND((WEEKDAY($A137)+$B$2)&gt;1,((WEEKDAY($A137)+$T$2)&lt;7),(WEEKDAY($A137)&lt;&gt;1)),"work",(INDEX(Subject!$A:$I,MATCH(RANDBETWEEN(1,(MAX(Subject!$B:$B))),Subject!$B:$B,0),3))))</f>
        <v/>
      </c>
      <c r="G137" s="2" t="str">
        <f t="array" ref="G137">IF(NOW()&gt;AR137,"",IF(AND((WEEKDAY($A137)+$B$2)&gt;1,((WEEKDAY($A137)+$T$2)&lt;7),(WEEKDAY($A137)&lt;&gt;1)),"work",(INDEX(Subject!$A:$I,MATCH(RANDBETWEEN(1,(MAX(Subject!$B:$B))),Subject!$B:$B,0),3))))</f>
        <v/>
      </c>
      <c r="H137" s="2" t="str">
        <f t="array" ref="H137">IF(NOW()&gt;AS137,"",IF(AND((WEEKDAY($A137)+$B$2)&gt;1,((WEEKDAY($A137)+$T$2)&lt;7),(WEEKDAY($A137)&lt;&gt;1)),"work",(INDEX(Subject!$A:$I,MATCH(RANDBETWEEN(1,(MAX(Subject!$B:$B))),Subject!$B:$B,0),3))))</f>
        <v/>
      </c>
      <c r="I137" s="2" t="str">
        <f t="array" ref="I137">IF(NOW()&gt;AT137,"",IF(AND((WEEKDAY($A137)+$B$2)&gt;1,((WEEKDAY($A137)+$T$2)&lt;7),(WEEKDAY($A137)&lt;&gt;1)),"work",(INDEX(Subject!$A:$I,MATCH(RANDBETWEEN(1,(MAX(Subject!$B:$B))),Subject!$B:$B,0),3))))</f>
        <v/>
      </c>
      <c r="J137" s="2" t="str">
        <f t="array" ref="J137">IF(NOW()&gt;AU137,"",IF(AND((WEEKDAY($A137)+$B$2)&gt;1,((WEEKDAY($A137)+$T$2)&lt;7),(WEEKDAY($A137)&lt;&gt;1)),"work",(INDEX(Subject!$A:$I,MATCH(RANDBETWEEN(1,(MAX(Subject!$B:$B))),Subject!$B:$B,0),3))))</f>
        <v/>
      </c>
      <c r="K137" s="2" t="str">
        <f t="array" ref="K137">IF(NOW()&gt;AV137,"",IF(AND((WEEKDAY($A137)+$B$2)&gt;1,((WEEKDAY($A137)+$T$2)&lt;7),(WEEKDAY($A137)&lt;&gt;1)),"work",(INDEX(Subject!$A:$I,MATCH(RANDBETWEEN(1,(MAX(Subject!$B:$B))),Subject!$B:$B,0),3))))</f>
        <v/>
      </c>
      <c r="L137" s="2" t="str">
        <f t="array" ref="L137">IF(NOW()&gt;AW137,"",IF(AND((WEEKDAY($A137)+$B$2)&gt;1,((WEEKDAY($A137)+$T$2)&lt;7),(WEEKDAY($A137)&lt;&gt;1)),"work",(INDEX(Subject!$A:$I,MATCH(RANDBETWEEN(1,(MAX(Subject!$B:$B))),Subject!$B:$B,0),3))))</f>
        <v/>
      </c>
      <c r="M137" s="2" t="str">
        <f t="array" ref="M137">IF(NOW()&gt;AX137,"",IF(AND((WEEKDAY($A137)+$B$2)&gt;1,((WEEKDAY($A137)+$T$2)&lt;7),(WEEKDAY($A137)&lt;&gt;1)),"work",(INDEX(Subject!$A:$I,MATCH(RANDBETWEEN(1,(MAX(Subject!$B:$B))),Subject!$B:$B,0),3))))</f>
        <v/>
      </c>
      <c r="N137" s="2" t="str">
        <f t="array" ref="N137">IF(NOW()&gt;AY137,"",IF(AND((WEEKDAY($A137)+$B$2)&gt;1,((WEEKDAY($A137)+$T$2)&lt;7),(WEEKDAY($A137)&lt;&gt;1)),"work",(INDEX(Subject!$A:$I,MATCH(RANDBETWEEN(1,(MAX(Subject!$B:$B))),Subject!$B:$B,0),3))))</f>
        <v/>
      </c>
      <c r="O137" s="2" t="str">
        <f t="array" ref="O137">IF(NOW()&gt;AZ137,"",IF(AND((WEEKDAY($A137)+$B$2)&gt;1,((WEEKDAY($A137)+$T$2)&lt;7),(WEEKDAY($A137)&lt;&gt;1)),"work",(INDEX(Subject!$A:$I,MATCH(RANDBETWEEN(1,(MAX(Subject!$B:$B))),Subject!$B:$B,0),3))))</f>
        <v/>
      </c>
      <c r="P137" s="2" t="str">
        <f t="array" ref="P137">IF(NOW()&gt;BA137,"",IF(AND((WEEKDAY($A137)+$B$2)&gt;1,((WEEKDAY($A137)+$T$2)&lt;7),(WEEKDAY($A137)&lt;&gt;1)),"work",(INDEX(Subject!$A:$I,MATCH(RANDBETWEEN(1,(MAX(Subject!$B:$B))),Subject!$B:$B,0),3))))</f>
        <v/>
      </c>
      <c r="Q137" s="2" t="str">
        <f t="array" ref="Q137">IF(NOW()&gt;BB137,"",IF(AND((WEEKDAY($A137)+$B$2)&gt;1,((WEEKDAY($A137)+$T$2)&lt;7),(WEEKDAY($A137)&lt;&gt;1)),"work",(INDEX(Subject!$A:$I,MATCH(RANDBETWEEN(1,(MAX(Subject!$B:$B))),Subject!$B:$B,0),3))))</f>
        <v/>
      </c>
      <c r="R137" s="2" t="str">
        <f t="array" ref="R137">IF(NOW()&gt;BC137,"",IF(AND((WEEKDAY($A137)+$B$2)&gt;1,((WEEKDAY($A137)+$T$2)&lt;7),(WEEKDAY($A137)&lt;&gt;1)),"work",(INDEX(Subject!$A:$I,MATCH(RANDBETWEEN(1,(MAX(Subject!$B:$B))),Subject!$B:$B,0),3))))</f>
        <v/>
      </c>
      <c r="S137" s="2" t="str">
        <f t="array" ref="S137">IF(NOW()&gt;BD137,"",IF(AND((WEEKDAY($A137)+$B$2)&gt;1,((WEEKDAY($A137)+$T$2)&lt;7),(WEEKDAY($A137)&lt;&gt;1)),"work",(INDEX(Subject!$A:$I,MATCH(RANDBETWEEN(1,(MAX(Subject!$B:$B))),Subject!$B:$B,0),3))))</f>
        <v/>
      </c>
      <c r="T137" s="2" t="str">
        <f t="array" ref="T137">IF(NOW()&gt;BE137,"",IF(AND((WEEKDAY($A137)+$B$2)&gt;1,((WEEKDAY($A137)+$T$2)&lt;7),(WEEKDAY($A137)&lt;&gt;1)),"work",(INDEX(Subject!$A:$I,MATCH(RANDBETWEEN(1,(MAX(Subject!$B:$B))),Subject!$B:$B,0),3))))</f>
        <v/>
      </c>
      <c r="U137" s="8" t="str">
        <f t="array" ref="U137">INDEX(Subject!$A:$I,MATCH(RANDBETWEEN(1,16),Subject!$B:$B,0),3)</f>
        <v>#N/A</v>
      </c>
      <c r="V137" s="8" t="str">
        <f t="array" ref="V137">INDEX(Subject!$A:$I,MATCH(RANDBETWEEN(1,16),Subject!$B:$B,0),3)</f>
        <v>#N/A</v>
      </c>
      <c r="W137" s="8" t="str">
        <f t="array" ref="W137">INDEX(Subject!$A:$I,MATCH(RANDBETWEEN(1,16),Subject!$B:$B,0),3)</f>
        <v>#N/A</v>
      </c>
      <c r="X137" s="8" t="str">
        <f t="array" ref="X137">INDEX(Subject!$A:$I,MATCH(RANDBETWEEN(1,16),Subject!$B:$B,0),3)</f>
        <v>#N/A</v>
      </c>
      <c r="Y137" s="8" t="str">
        <f t="array" ref="Y137">INDEX(Subject!$A:$I,MATCH(RANDBETWEEN(1,16),Subject!$B:$B,0),3)</f>
        <v>#N/A</v>
      </c>
      <c r="Z137" s="8" t="str">
        <f t="array" ref="Z137">INDEX(Subject!$A:$I,MATCH(RANDBETWEEN(1,16),Subject!$B:$B,0),3)</f>
        <v>#N/A</v>
      </c>
      <c r="AA137" s="8" t="str">
        <f t="array" ref="AA137">INDEX(Subject!$A:$I,MATCH(RANDBETWEEN(1,16),Subject!$B:$B,0),3)</f>
        <v>#N/A</v>
      </c>
      <c r="AB137" s="8" t="str">
        <f t="array" ref="AB137">INDEX(Subject!$A:$I,MATCH(RANDBETWEEN(1,16),Subject!$B:$B,0),3)</f>
        <v>#N/A</v>
      </c>
      <c r="AC137" s="8" t="str">
        <f t="array" ref="AC137">INDEX(Subject!$A:$I,MATCH(RANDBETWEEN(1,16),Subject!$B:$B,0),3)</f>
        <v>#N/A</v>
      </c>
      <c r="AD137" s="8" t="str">
        <f t="array" ref="AD137">INDEX(Subject!$A:$I,MATCH(RANDBETWEEN(1,16),Subject!$B:$B,0),3)</f>
        <v>#N/A</v>
      </c>
      <c r="AE137" s="8" t="str">
        <f t="array" ref="AE137">INDEX(Subject!$A:$I,MATCH(RANDBETWEEN(1,16),Subject!$B:$B,0),3)</f>
        <v/>
      </c>
      <c r="AF137" s="8" t="str">
        <f t="array" ref="AF137">INDEX(Subject!$A:$I,MATCH(RANDBETWEEN(1,16),Subject!$B:$B,0),3)</f>
        <v>#N/A</v>
      </c>
      <c r="AG137" s="8" t="str">
        <f t="array" ref="AG137">INDEX(Subject!$A:$I,MATCH(RANDBETWEEN(1,16),Subject!$B:$B,0),3)</f>
        <v>#N/A</v>
      </c>
      <c r="AH137" s="8" t="str">
        <f t="array" ref="AH137">INDEX(Subject!$A:$I,MATCH(RANDBETWEEN(1,16),Subject!$B:$B,0),3)</f>
        <v>#N/A</v>
      </c>
      <c r="AI137" s="8" t="str">
        <f t="array" ref="AI137">INDEX(Subject!$A:$I,MATCH(RANDBETWEEN(1,16),Subject!$B:$B,0),3)</f>
        <v>#N/A</v>
      </c>
      <c r="AJ137" s="8" t="str">
        <f t="array" ref="AJ137">INDEX(Subject!$A:$I,MATCH(RANDBETWEEN(1,16),Subject!$B:$B,0),3)</f>
        <v>#N/A</v>
      </c>
      <c r="AK137" s="8" t="str">
        <f t="array" ref="AK137">INDEX(Subject!$A:$I,MATCH(RANDBETWEEN(1,16),Subject!$B:$B,0),3)</f>
        <v>#N/A</v>
      </c>
      <c r="AL137" s="8" t="str">
        <f t="array" ref="AL137">INDEX(Subject!$A:$I,MATCH(RANDBETWEEN(1,16),Subject!$B:$B,0),3)</f>
        <v>#N/A</v>
      </c>
      <c r="AM137" s="18">
        <f t="shared" si="4"/>
        <v>45637.33333</v>
      </c>
      <c r="AN137" s="19">
        <f t="shared" ref="AN137:BZ137" si="137">$A137+C$1</f>
        <v>45637.35417</v>
      </c>
      <c r="AO137" s="19">
        <f t="shared" si="137"/>
        <v>45637.375</v>
      </c>
      <c r="AP137" s="19">
        <f t="shared" si="137"/>
        <v>45637.39583</v>
      </c>
      <c r="AQ137" s="19">
        <f t="shared" si="137"/>
        <v>45637.41667</v>
      </c>
      <c r="AR137" s="19">
        <f t="shared" si="137"/>
        <v>45637.4375</v>
      </c>
      <c r="AS137" s="19">
        <f t="shared" si="137"/>
        <v>45637.45833</v>
      </c>
      <c r="AT137" s="19">
        <f t="shared" si="137"/>
        <v>45637.47917</v>
      </c>
      <c r="AU137" s="19">
        <f t="shared" si="137"/>
        <v>45637.5</v>
      </c>
      <c r="AV137" s="19">
        <f t="shared" si="137"/>
        <v>45637.52083</v>
      </c>
      <c r="AW137" s="19">
        <f t="shared" si="137"/>
        <v>45637.54167</v>
      </c>
      <c r="AX137" s="19">
        <f t="shared" si="137"/>
        <v>45637.5625</v>
      </c>
      <c r="AY137" s="19">
        <f t="shared" si="137"/>
        <v>45637.58333</v>
      </c>
      <c r="AZ137" s="19">
        <f t="shared" si="137"/>
        <v>45637.60417</v>
      </c>
      <c r="BA137" s="19">
        <f t="shared" si="137"/>
        <v>45637.625</v>
      </c>
      <c r="BB137" s="19">
        <f t="shared" si="137"/>
        <v>45637.64583</v>
      </c>
      <c r="BC137" s="19">
        <f t="shared" si="137"/>
        <v>45637.66667</v>
      </c>
      <c r="BD137" s="19">
        <f t="shared" si="137"/>
        <v>45637.6875</v>
      </c>
      <c r="BE137" s="19">
        <f t="shared" si="137"/>
        <v>45637.70833</v>
      </c>
      <c r="BF137" s="19">
        <f t="shared" si="137"/>
        <v>45637.72917</v>
      </c>
      <c r="BG137" s="19">
        <f t="shared" si="137"/>
        <v>45637.75</v>
      </c>
      <c r="BH137" s="19">
        <f t="shared" si="137"/>
        <v>45637.77083</v>
      </c>
      <c r="BI137" s="19">
        <f t="shared" si="137"/>
        <v>45637.79167</v>
      </c>
      <c r="BJ137" s="19">
        <f t="shared" si="137"/>
        <v>45637.8125</v>
      </c>
      <c r="BK137" s="19">
        <f t="shared" si="137"/>
        <v>45637.83333</v>
      </c>
      <c r="BL137" s="19">
        <f t="shared" si="137"/>
        <v>45637.85417</v>
      </c>
      <c r="BM137" s="19">
        <f t="shared" si="137"/>
        <v>45637.875</v>
      </c>
      <c r="BN137" s="19">
        <f t="shared" si="137"/>
        <v>45637.89583</v>
      </c>
      <c r="BO137" s="19">
        <f t="shared" si="137"/>
        <v>45637.91667</v>
      </c>
      <c r="BP137" s="19">
        <f t="shared" si="137"/>
        <v>45637.9375</v>
      </c>
      <c r="BQ137" s="19">
        <f t="shared" si="137"/>
        <v>45637.95833</v>
      </c>
      <c r="BR137" s="19">
        <f t="shared" si="137"/>
        <v>45637.97917</v>
      </c>
      <c r="BS137" s="19">
        <f t="shared" si="137"/>
        <v>45638</v>
      </c>
      <c r="BT137" s="19">
        <f t="shared" si="137"/>
        <v>45638.02083</v>
      </c>
      <c r="BU137" s="19">
        <f t="shared" si="137"/>
        <v>45638.04167</v>
      </c>
      <c r="BV137" s="19">
        <f t="shared" si="137"/>
        <v>45638.0625</v>
      </c>
      <c r="BW137" s="19">
        <f t="shared" si="137"/>
        <v>45638.08333</v>
      </c>
      <c r="BX137" s="19">
        <f t="shared" si="137"/>
        <v>45637</v>
      </c>
      <c r="BY137" s="19">
        <f t="shared" si="137"/>
        <v>45637</v>
      </c>
      <c r="BZ137" s="19">
        <f t="shared" si="137"/>
        <v>45637</v>
      </c>
    </row>
    <row r="138" ht="14.25" customHeight="1">
      <c r="A138" s="17">
        <v>45638.0</v>
      </c>
      <c r="B138" s="2" t="str">
        <f t="array" ref="B138">IF(NOW()&gt;AM138,"",IF(AND((WEEKDAY($A138)+$B$2)&gt;1,((WEEKDAY($A138)+$T$2)&lt;7),(WEEKDAY($A138)&lt;&gt;1)),"work",(INDEX(Subject!$A:$I,MATCH(RANDBETWEEN(1,(MAX(Subject!$B:$B))),Subject!$B:$B,0),3))))</f>
        <v/>
      </c>
      <c r="C138" s="2" t="str">
        <f t="array" ref="C138">IF(NOW()&gt;AN138,"",IF(AND((WEEKDAY($A138)+$B$2)&gt;1,((WEEKDAY($A138)+$T$2)&lt;7),(WEEKDAY($A138)&lt;&gt;1)),"work",(INDEX(Subject!$A:$I,MATCH(RANDBETWEEN(1,(MAX(Subject!$B:$B))),Subject!$B:$B,0),3))))</f>
        <v/>
      </c>
      <c r="D138" s="2" t="str">
        <f t="array" ref="D138">IF(NOW()&gt;AO138,"",IF(AND((WEEKDAY($A138)+$B$2)&gt;1,((WEEKDAY($A138)+$T$2)&lt;7),(WEEKDAY($A138)&lt;&gt;1)),"work",(INDEX(Subject!$A:$I,MATCH(RANDBETWEEN(1,(MAX(Subject!$B:$B))),Subject!$B:$B,0),3))))</f>
        <v/>
      </c>
      <c r="E138" s="2" t="str">
        <f t="array" ref="E138">IF(NOW()&gt;AP138,"",IF(AND((WEEKDAY($A138)+$B$2)&gt;1,((WEEKDAY($A138)+$T$2)&lt;7),(WEEKDAY($A138)&lt;&gt;1)),"work",(INDEX(Subject!$A:$I,MATCH(RANDBETWEEN(1,(MAX(Subject!$B:$B))),Subject!$B:$B,0),3))))</f>
        <v/>
      </c>
      <c r="F138" s="2" t="str">
        <f t="array" ref="F138">IF(NOW()&gt;AQ138,"",IF(AND((WEEKDAY($A138)+$B$2)&gt;1,((WEEKDAY($A138)+$T$2)&lt;7),(WEEKDAY($A138)&lt;&gt;1)),"work",(INDEX(Subject!$A:$I,MATCH(RANDBETWEEN(1,(MAX(Subject!$B:$B))),Subject!$B:$B,0),3))))</f>
        <v/>
      </c>
      <c r="G138" s="2" t="str">
        <f t="array" ref="G138">IF(NOW()&gt;AR138,"",IF(AND((WEEKDAY($A138)+$B$2)&gt;1,((WEEKDAY($A138)+$T$2)&lt;7),(WEEKDAY($A138)&lt;&gt;1)),"work",(INDEX(Subject!$A:$I,MATCH(RANDBETWEEN(1,(MAX(Subject!$B:$B))),Subject!$B:$B,0),3))))</f>
        <v/>
      </c>
      <c r="H138" s="2" t="str">
        <f t="array" ref="H138">IF(NOW()&gt;AS138,"",IF(AND((WEEKDAY($A138)+$B$2)&gt;1,((WEEKDAY($A138)+$T$2)&lt;7),(WEEKDAY($A138)&lt;&gt;1)),"work",(INDEX(Subject!$A:$I,MATCH(RANDBETWEEN(1,(MAX(Subject!$B:$B))),Subject!$B:$B,0),3))))</f>
        <v/>
      </c>
      <c r="I138" s="2" t="str">
        <f t="array" ref="I138">IF(NOW()&gt;AT138,"",IF(AND((WEEKDAY($A138)+$B$2)&gt;1,((WEEKDAY($A138)+$T$2)&lt;7),(WEEKDAY($A138)&lt;&gt;1)),"work",(INDEX(Subject!$A:$I,MATCH(RANDBETWEEN(1,(MAX(Subject!$B:$B))),Subject!$B:$B,0),3))))</f>
        <v/>
      </c>
      <c r="J138" s="2" t="str">
        <f t="array" ref="J138">IF(NOW()&gt;AU138,"",IF(AND((WEEKDAY($A138)+$B$2)&gt;1,((WEEKDAY($A138)+$T$2)&lt;7),(WEEKDAY($A138)&lt;&gt;1)),"work",(INDEX(Subject!$A:$I,MATCH(RANDBETWEEN(1,(MAX(Subject!$B:$B))),Subject!$B:$B,0),3))))</f>
        <v/>
      </c>
      <c r="K138" s="2" t="str">
        <f t="array" ref="K138">IF(NOW()&gt;AV138,"",IF(AND((WEEKDAY($A138)+$B$2)&gt;1,((WEEKDAY($A138)+$T$2)&lt;7),(WEEKDAY($A138)&lt;&gt;1)),"work",(INDEX(Subject!$A:$I,MATCH(RANDBETWEEN(1,(MAX(Subject!$B:$B))),Subject!$B:$B,0),3))))</f>
        <v/>
      </c>
      <c r="L138" s="2" t="str">
        <f t="array" ref="L138">IF(NOW()&gt;AW138,"",IF(AND((WEEKDAY($A138)+$B$2)&gt;1,((WEEKDAY($A138)+$T$2)&lt;7),(WEEKDAY($A138)&lt;&gt;1)),"work",(INDEX(Subject!$A:$I,MATCH(RANDBETWEEN(1,(MAX(Subject!$B:$B))),Subject!$B:$B,0),3))))</f>
        <v/>
      </c>
      <c r="M138" s="2" t="str">
        <f t="array" ref="M138">IF(NOW()&gt;AX138,"",IF(AND((WEEKDAY($A138)+$B$2)&gt;1,((WEEKDAY($A138)+$T$2)&lt;7),(WEEKDAY($A138)&lt;&gt;1)),"work",(INDEX(Subject!$A:$I,MATCH(RANDBETWEEN(1,(MAX(Subject!$B:$B))),Subject!$B:$B,0),3))))</f>
        <v/>
      </c>
      <c r="N138" s="2" t="str">
        <f t="array" ref="N138">IF(NOW()&gt;AY138,"",IF(AND((WEEKDAY($A138)+$B$2)&gt;1,((WEEKDAY($A138)+$T$2)&lt;7),(WEEKDAY($A138)&lt;&gt;1)),"work",(INDEX(Subject!$A:$I,MATCH(RANDBETWEEN(1,(MAX(Subject!$B:$B))),Subject!$B:$B,0),3))))</f>
        <v/>
      </c>
      <c r="O138" s="2" t="str">
        <f t="array" ref="O138">IF(NOW()&gt;AZ138,"",IF(AND((WEEKDAY($A138)+$B$2)&gt;1,((WEEKDAY($A138)+$T$2)&lt;7),(WEEKDAY($A138)&lt;&gt;1)),"work",(INDEX(Subject!$A:$I,MATCH(RANDBETWEEN(1,(MAX(Subject!$B:$B))),Subject!$B:$B,0),3))))</f>
        <v/>
      </c>
      <c r="P138" s="2" t="str">
        <f t="array" ref="P138">IF(NOW()&gt;BA138,"",IF(AND((WEEKDAY($A138)+$B$2)&gt;1,((WEEKDAY($A138)+$T$2)&lt;7),(WEEKDAY($A138)&lt;&gt;1)),"work",(INDEX(Subject!$A:$I,MATCH(RANDBETWEEN(1,(MAX(Subject!$B:$B))),Subject!$B:$B,0),3))))</f>
        <v/>
      </c>
      <c r="Q138" s="2" t="str">
        <f t="array" ref="Q138">IF(NOW()&gt;BB138,"",IF(AND((WEEKDAY($A138)+$B$2)&gt;1,((WEEKDAY($A138)+$T$2)&lt;7),(WEEKDAY($A138)&lt;&gt;1)),"work",(INDEX(Subject!$A:$I,MATCH(RANDBETWEEN(1,(MAX(Subject!$B:$B))),Subject!$B:$B,0),3))))</f>
        <v/>
      </c>
      <c r="R138" s="2" t="str">
        <f t="array" ref="R138">IF(NOW()&gt;BC138,"",IF(AND((WEEKDAY($A138)+$B$2)&gt;1,((WEEKDAY($A138)+$T$2)&lt;7),(WEEKDAY($A138)&lt;&gt;1)),"work",(INDEX(Subject!$A:$I,MATCH(RANDBETWEEN(1,(MAX(Subject!$B:$B))),Subject!$B:$B,0),3))))</f>
        <v/>
      </c>
      <c r="S138" s="2" t="str">
        <f t="array" ref="S138">IF(NOW()&gt;BD138,"",IF(AND((WEEKDAY($A138)+$B$2)&gt;1,((WEEKDAY($A138)+$T$2)&lt;7),(WEEKDAY($A138)&lt;&gt;1)),"work",(INDEX(Subject!$A:$I,MATCH(RANDBETWEEN(1,(MAX(Subject!$B:$B))),Subject!$B:$B,0),3))))</f>
        <v/>
      </c>
      <c r="T138" s="2" t="str">
        <f t="array" ref="T138">IF(NOW()&gt;BE138,"",IF(AND((WEEKDAY($A138)+$B$2)&gt;1,((WEEKDAY($A138)+$T$2)&lt;7),(WEEKDAY($A138)&lt;&gt;1)),"work",(INDEX(Subject!$A:$I,MATCH(RANDBETWEEN(1,(MAX(Subject!$B:$B))),Subject!$B:$B,0),3))))</f>
        <v/>
      </c>
      <c r="U138" s="8" t="str">
        <f t="array" ref="U138">INDEX(Subject!$A:$I,MATCH(RANDBETWEEN(1,16),Subject!$B:$B,0),3)</f>
        <v>#N/A</v>
      </c>
      <c r="V138" s="8" t="str">
        <f t="array" ref="V138">INDEX(Subject!$A:$I,MATCH(RANDBETWEEN(1,16),Subject!$B:$B,0),3)</f>
        <v>#N/A</v>
      </c>
      <c r="W138" s="8" t="str">
        <f t="array" ref="W138">INDEX(Subject!$A:$I,MATCH(RANDBETWEEN(1,16),Subject!$B:$B,0),3)</f>
        <v>#N/A</v>
      </c>
      <c r="X138" s="8" t="str">
        <f t="array" ref="X138">INDEX(Subject!$A:$I,MATCH(RANDBETWEEN(1,16),Subject!$B:$B,0),3)</f>
        <v>#N/A</v>
      </c>
      <c r="Y138" s="8" t="str">
        <f t="array" ref="Y138">INDEX(Subject!$A:$I,MATCH(RANDBETWEEN(1,16),Subject!$B:$B,0),3)</f>
        <v>#N/A</v>
      </c>
      <c r="Z138" s="8" t="str">
        <f t="array" ref="Z138">INDEX(Subject!$A:$I,MATCH(RANDBETWEEN(1,16),Subject!$B:$B,0),3)</f>
        <v>#N/A</v>
      </c>
      <c r="AA138" s="8" t="str">
        <f t="array" ref="AA138">INDEX(Subject!$A:$I,MATCH(RANDBETWEEN(1,16),Subject!$B:$B,0),3)</f>
        <v/>
      </c>
      <c r="AB138" s="8" t="str">
        <f t="array" ref="AB138">INDEX(Subject!$A:$I,MATCH(RANDBETWEEN(1,16),Subject!$B:$B,0),3)</f>
        <v>#N/A</v>
      </c>
      <c r="AC138" s="8" t="str">
        <f t="array" ref="AC138">INDEX(Subject!$A:$I,MATCH(RANDBETWEEN(1,16),Subject!$B:$B,0),3)</f>
        <v/>
      </c>
      <c r="AD138" s="8" t="str">
        <f t="array" ref="AD138">INDEX(Subject!$A:$I,MATCH(RANDBETWEEN(1,16),Subject!$B:$B,0),3)</f>
        <v>#N/A</v>
      </c>
      <c r="AE138" s="8" t="str">
        <f t="array" ref="AE138">INDEX(Subject!$A:$I,MATCH(RANDBETWEEN(1,16),Subject!$B:$B,0),3)</f>
        <v>#N/A</v>
      </c>
      <c r="AF138" s="8" t="str">
        <f t="array" ref="AF138">INDEX(Subject!$A:$I,MATCH(RANDBETWEEN(1,16),Subject!$B:$B,0),3)</f>
        <v>#N/A</v>
      </c>
      <c r="AG138" s="8" t="str">
        <f t="array" ref="AG138">INDEX(Subject!$A:$I,MATCH(RANDBETWEEN(1,16),Subject!$B:$B,0),3)</f>
        <v>#N/A</v>
      </c>
      <c r="AH138" s="8" t="str">
        <f t="array" ref="AH138">INDEX(Subject!$A:$I,MATCH(RANDBETWEEN(1,16),Subject!$B:$B,0),3)</f>
        <v/>
      </c>
      <c r="AI138" s="8" t="str">
        <f t="array" ref="AI138">INDEX(Subject!$A:$I,MATCH(RANDBETWEEN(1,16),Subject!$B:$B,0),3)</f>
        <v>#N/A</v>
      </c>
      <c r="AJ138" s="8" t="str">
        <f t="array" ref="AJ138">INDEX(Subject!$A:$I,MATCH(RANDBETWEEN(1,16),Subject!$B:$B,0),3)</f>
        <v>#N/A</v>
      </c>
      <c r="AK138" s="8" t="str">
        <f t="array" ref="AK138">INDEX(Subject!$A:$I,MATCH(RANDBETWEEN(1,16),Subject!$B:$B,0),3)</f>
        <v>#N/A</v>
      </c>
      <c r="AL138" s="8" t="str">
        <f t="array" ref="AL138">INDEX(Subject!$A:$I,MATCH(RANDBETWEEN(1,16),Subject!$B:$B,0),3)</f>
        <v>#N/A</v>
      </c>
      <c r="AM138" s="18">
        <f t="shared" si="4"/>
        <v>45638.33333</v>
      </c>
      <c r="AN138" s="19">
        <f t="shared" ref="AN138:BZ138" si="138">$A138+C$1</f>
        <v>45638.35417</v>
      </c>
      <c r="AO138" s="19">
        <f t="shared" si="138"/>
        <v>45638.375</v>
      </c>
      <c r="AP138" s="19">
        <f t="shared" si="138"/>
        <v>45638.39583</v>
      </c>
      <c r="AQ138" s="19">
        <f t="shared" si="138"/>
        <v>45638.41667</v>
      </c>
      <c r="AR138" s="19">
        <f t="shared" si="138"/>
        <v>45638.4375</v>
      </c>
      <c r="AS138" s="19">
        <f t="shared" si="138"/>
        <v>45638.45833</v>
      </c>
      <c r="AT138" s="19">
        <f t="shared" si="138"/>
        <v>45638.47917</v>
      </c>
      <c r="AU138" s="19">
        <f t="shared" si="138"/>
        <v>45638.5</v>
      </c>
      <c r="AV138" s="19">
        <f t="shared" si="138"/>
        <v>45638.52083</v>
      </c>
      <c r="AW138" s="19">
        <f t="shared" si="138"/>
        <v>45638.54167</v>
      </c>
      <c r="AX138" s="19">
        <f t="shared" si="138"/>
        <v>45638.5625</v>
      </c>
      <c r="AY138" s="19">
        <f t="shared" si="138"/>
        <v>45638.58333</v>
      </c>
      <c r="AZ138" s="19">
        <f t="shared" si="138"/>
        <v>45638.60417</v>
      </c>
      <c r="BA138" s="19">
        <f t="shared" si="138"/>
        <v>45638.625</v>
      </c>
      <c r="BB138" s="19">
        <f t="shared" si="138"/>
        <v>45638.64583</v>
      </c>
      <c r="BC138" s="19">
        <f t="shared" si="138"/>
        <v>45638.66667</v>
      </c>
      <c r="BD138" s="19">
        <f t="shared" si="138"/>
        <v>45638.6875</v>
      </c>
      <c r="BE138" s="19">
        <f t="shared" si="138"/>
        <v>45638.70833</v>
      </c>
      <c r="BF138" s="19">
        <f t="shared" si="138"/>
        <v>45638.72917</v>
      </c>
      <c r="BG138" s="19">
        <f t="shared" si="138"/>
        <v>45638.75</v>
      </c>
      <c r="BH138" s="19">
        <f t="shared" si="138"/>
        <v>45638.77083</v>
      </c>
      <c r="BI138" s="19">
        <f t="shared" si="138"/>
        <v>45638.79167</v>
      </c>
      <c r="BJ138" s="19">
        <f t="shared" si="138"/>
        <v>45638.8125</v>
      </c>
      <c r="BK138" s="19">
        <f t="shared" si="138"/>
        <v>45638.83333</v>
      </c>
      <c r="BL138" s="19">
        <f t="shared" si="138"/>
        <v>45638.85417</v>
      </c>
      <c r="BM138" s="19">
        <f t="shared" si="138"/>
        <v>45638.875</v>
      </c>
      <c r="BN138" s="19">
        <f t="shared" si="138"/>
        <v>45638.89583</v>
      </c>
      <c r="BO138" s="19">
        <f t="shared" si="138"/>
        <v>45638.91667</v>
      </c>
      <c r="BP138" s="19">
        <f t="shared" si="138"/>
        <v>45638.9375</v>
      </c>
      <c r="BQ138" s="19">
        <f t="shared" si="138"/>
        <v>45638.95833</v>
      </c>
      <c r="BR138" s="19">
        <f t="shared" si="138"/>
        <v>45638.97917</v>
      </c>
      <c r="BS138" s="19">
        <f t="shared" si="138"/>
        <v>45639</v>
      </c>
      <c r="BT138" s="19">
        <f t="shared" si="138"/>
        <v>45639.02083</v>
      </c>
      <c r="BU138" s="19">
        <f t="shared" si="138"/>
        <v>45639.04167</v>
      </c>
      <c r="BV138" s="19">
        <f t="shared" si="138"/>
        <v>45639.0625</v>
      </c>
      <c r="BW138" s="19">
        <f t="shared" si="138"/>
        <v>45639.08333</v>
      </c>
      <c r="BX138" s="19">
        <f t="shared" si="138"/>
        <v>45638</v>
      </c>
      <c r="BY138" s="19">
        <f t="shared" si="138"/>
        <v>45638</v>
      </c>
      <c r="BZ138" s="19">
        <f t="shared" si="138"/>
        <v>45638</v>
      </c>
    </row>
    <row r="139" ht="14.25" customHeight="1">
      <c r="A139" s="17">
        <v>45639.0</v>
      </c>
      <c r="B139" s="2" t="str">
        <f t="array" ref="B139">IF(NOW()&gt;AM139,"",IF(AND((WEEKDAY($A139)+$B$2)&gt;1,((WEEKDAY($A139)+$T$2)&lt;7),(WEEKDAY($A139)&lt;&gt;1)),"work",(INDEX(Subject!$A:$I,MATCH(RANDBETWEEN(1,(MAX(Subject!$B:$B))),Subject!$B:$B,0),3))))</f>
        <v/>
      </c>
      <c r="C139" s="2" t="str">
        <f t="array" ref="C139">IF(NOW()&gt;AN139,"",IF(AND((WEEKDAY($A139)+$B$2)&gt;1,((WEEKDAY($A139)+$T$2)&lt;7),(WEEKDAY($A139)&lt;&gt;1)),"work",(INDEX(Subject!$A:$I,MATCH(RANDBETWEEN(1,(MAX(Subject!$B:$B))),Subject!$B:$B,0),3))))</f>
        <v/>
      </c>
      <c r="D139" s="2" t="str">
        <f t="array" ref="D139">IF(NOW()&gt;AO139,"",IF(AND((WEEKDAY($A139)+$B$2)&gt;1,((WEEKDAY($A139)+$T$2)&lt;7),(WEEKDAY($A139)&lt;&gt;1)),"work",(INDEX(Subject!$A:$I,MATCH(RANDBETWEEN(1,(MAX(Subject!$B:$B))),Subject!$B:$B,0),3))))</f>
        <v/>
      </c>
      <c r="E139" s="2" t="str">
        <f t="array" ref="E139">IF(NOW()&gt;AP139,"",IF(AND((WEEKDAY($A139)+$B$2)&gt;1,((WEEKDAY($A139)+$T$2)&lt;7),(WEEKDAY($A139)&lt;&gt;1)),"work",(INDEX(Subject!$A:$I,MATCH(RANDBETWEEN(1,(MAX(Subject!$B:$B))),Subject!$B:$B,0),3))))</f>
        <v/>
      </c>
      <c r="F139" s="2" t="str">
        <f t="array" ref="F139">IF(NOW()&gt;AQ139,"",IF(AND((WEEKDAY($A139)+$B$2)&gt;1,((WEEKDAY($A139)+$T$2)&lt;7),(WEEKDAY($A139)&lt;&gt;1)),"work",(INDEX(Subject!$A:$I,MATCH(RANDBETWEEN(1,(MAX(Subject!$B:$B))),Subject!$B:$B,0),3))))</f>
        <v/>
      </c>
      <c r="G139" s="2" t="str">
        <f t="array" ref="G139">IF(NOW()&gt;AR139,"",IF(AND((WEEKDAY($A139)+$B$2)&gt;1,((WEEKDAY($A139)+$T$2)&lt;7),(WEEKDAY($A139)&lt;&gt;1)),"work",(INDEX(Subject!$A:$I,MATCH(RANDBETWEEN(1,(MAX(Subject!$B:$B))),Subject!$B:$B,0),3))))</f>
        <v/>
      </c>
      <c r="H139" s="2" t="str">
        <f t="array" ref="H139">IF(NOW()&gt;AS139,"",IF(AND((WEEKDAY($A139)+$B$2)&gt;1,((WEEKDAY($A139)+$T$2)&lt;7),(WEEKDAY($A139)&lt;&gt;1)),"work",(INDEX(Subject!$A:$I,MATCH(RANDBETWEEN(1,(MAX(Subject!$B:$B))),Subject!$B:$B,0),3))))</f>
        <v/>
      </c>
      <c r="I139" s="2" t="str">
        <f t="array" ref="I139">IF(NOW()&gt;AT139,"",IF(AND((WEEKDAY($A139)+$B$2)&gt;1,((WEEKDAY($A139)+$T$2)&lt;7),(WEEKDAY($A139)&lt;&gt;1)),"work",(INDEX(Subject!$A:$I,MATCH(RANDBETWEEN(1,(MAX(Subject!$B:$B))),Subject!$B:$B,0),3))))</f>
        <v/>
      </c>
      <c r="J139" s="2" t="str">
        <f t="array" ref="J139">IF(NOW()&gt;AU139,"",IF(AND((WEEKDAY($A139)+$B$2)&gt;1,((WEEKDAY($A139)+$T$2)&lt;7),(WEEKDAY($A139)&lt;&gt;1)),"work",(INDEX(Subject!$A:$I,MATCH(RANDBETWEEN(1,(MAX(Subject!$B:$B))),Subject!$B:$B,0),3))))</f>
        <v/>
      </c>
      <c r="K139" s="2" t="str">
        <f t="array" ref="K139">IF(NOW()&gt;AV139,"",IF(AND((WEEKDAY($A139)+$B$2)&gt;1,((WEEKDAY($A139)+$T$2)&lt;7),(WEEKDAY($A139)&lt;&gt;1)),"work",(INDEX(Subject!$A:$I,MATCH(RANDBETWEEN(1,(MAX(Subject!$B:$B))),Subject!$B:$B,0),3))))</f>
        <v/>
      </c>
      <c r="L139" s="2" t="str">
        <f t="array" ref="L139">IF(NOW()&gt;AW139,"",IF(AND((WEEKDAY($A139)+$B$2)&gt;1,((WEEKDAY($A139)+$T$2)&lt;7),(WEEKDAY($A139)&lt;&gt;1)),"work",(INDEX(Subject!$A:$I,MATCH(RANDBETWEEN(1,(MAX(Subject!$B:$B))),Subject!$B:$B,0),3))))</f>
        <v/>
      </c>
      <c r="M139" s="2" t="str">
        <f t="array" ref="M139">IF(NOW()&gt;AX139,"",IF(AND((WEEKDAY($A139)+$B$2)&gt;1,((WEEKDAY($A139)+$T$2)&lt;7),(WEEKDAY($A139)&lt;&gt;1)),"work",(INDEX(Subject!$A:$I,MATCH(RANDBETWEEN(1,(MAX(Subject!$B:$B))),Subject!$B:$B,0),3))))</f>
        <v/>
      </c>
      <c r="N139" s="2" t="str">
        <f t="array" ref="N139">IF(NOW()&gt;AY139,"",IF(AND((WEEKDAY($A139)+$B$2)&gt;1,((WEEKDAY($A139)+$T$2)&lt;7),(WEEKDAY($A139)&lt;&gt;1)),"work",(INDEX(Subject!$A:$I,MATCH(RANDBETWEEN(1,(MAX(Subject!$B:$B))),Subject!$B:$B,0),3))))</f>
        <v/>
      </c>
      <c r="O139" s="2" t="str">
        <f t="array" ref="O139">IF(NOW()&gt;AZ139,"",IF(AND((WEEKDAY($A139)+$B$2)&gt;1,((WEEKDAY($A139)+$T$2)&lt;7),(WEEKDAY($A139)&lt;&gt;1)),"work",(INDEX(Subject!$A:$I,MATCH(RANDBETWEEN(1,(MAX(Subject!$B:$B))),Subject!$B:$B,0),3))))</f>
        <v/>
      </c>
      <c r="P139" s="2" t="str">
        <f t="array" ref="P139">IF(NOW()&gt;BA139,"",IF(AND((WEEKDAY($A139)+$B$2)&gt;1,((WEEKDAY($A139)+$T$2)&lt;7),(WEEKDAY($A139)&lt;&gt;1)),"work",(INDEX(Subject!$A:$I,MATCH(RANDBETWEEN(1,(MAX(Subject!$B:$B))),Subject!$B:$B,0),3))))</f>
        <v/>
      </c>
      <c r="Q139" s="2" t="str">
        <f t="array" ref="Q139">IF(NOW()&gt;BB139,"",IF(AND((WEEKDAY($A139)+$B$2)&gt;1,((WEEKDAY($A139)+$T$2)&lt;7),(WEEKDAY($A139)&lt;&gt;1)),"work",(INDEX(Subject!$A:$I,MATCH(RANDBETWEEN(1,(MAX(Subject!$B:$B))),Subject!$B:$B,0),3))))</f>
        <v/>
      </c>
      <c r="R139" s="2" t="str">
        <f t="array" ref="R139">IF(NOW()&gt;BC139,"",IF(AND((WEEKDAY($A139)+$B$2)&gt;1,((WEEKDAY($A139)+$T$2)&lt;7),(WEEKDAY($A139)&lt;&gt;1)),"work",(INDEX(Subject!$A:$I,MATCH(RANDBETWEEN(1,(MAX(Subject!$B:$B))),Subject!$B:$B,0),3))))</f>
        <v/>
      </c>
      <c r="S139" s="2" t="str">
        <f t="array" ref="S139">IF(NOW()&gt;BD139,"",IF(AND((WEEKDAY($A139)+$B$2)&gt;1,((WEEKDAY($A139)+$T$2)&lt;7),(WEEKDAY($A139)&lt;&gt;1)),"work",(INDEX(Subject!$A:$I,MATCH(RANDBETWEEN(1,(MAX(Subject!$B:$B))),Subject!$B:$B,0),3))))</f>
        <v/>
      </c>
      <c r="T139" s="2" t="str">
        <f t="array" ref="T139">IF(NOW()&gt;BE139,"",IF(AND((WEEKDAY($A139)+$B$2)&gt;1,((WEEKDAY($A139)+$T$2)&lt;7),(WEEKDAY($A139)&lt;&gt;1)),"work",(INDEX(Subject!$A:$I,MATCH(RANDBETWEEN(1,(MAX(Subject!$B:$B))),Subject!$B:$B,0),3))))</f>
        <v/>
      </c>
      <c r="U139" s="8" t="str">
        <f t="array" ref="U139">INDEX(Subject!$A:$I,MATCH(RANDBETWEEN(1,16),Subject!$B:$B,0),3)</f>
        <v>#N/A</v>
      </c>
      <c r="V139" s="8" t="str">
        <f t="array" ref="V139">INDEX(Subject!$A:$I,MATCH(RANDBETWEEN(1,16),Subject!$B:$B,0),3)</f>
        <v>#N/A</v>
      </c>
      <c r="W139" s="8" t="str">
        <f t="array" ref="W139">INDEX(Subject!$A:$I,MATCH(RANDBETWEEN(1,16),Subject!$B:$B,0),3)</f>
        <v>#N/A</v>
      </c>
      <c r="X139" s="8" t="str">
        <f t="array" ref="X139">INDEX(Subject!$A:$I,MATCH(RANDBETWEEN(1,16),Subject!$B:$B,0),3)</f>
        <v>#N/A</v>
      </c>
      <c r="Y139" s="8" t="str">
        <f t="array" ref="Y139">INDEX(Subject!$A:$I,MATCH(RANDBETWEEN(1,16),Subject!$B:$B,0),3)</f>
        <v>#N/A</v>
      </c>
      <c r="Z139" s="8" t="str">
        <f t="array" ref="Z139">INDEX(Subject!$A:$I,MATCH(RANDBETWEEN(1,16),Subject!$B:$B,0),3)</f>
        <v>#N/A</v>
      </c>
      <c r="AA139" s="8" t="str">
        <f t="array" ref="AA139">INDEX(Subject!$A:$I,MATCH(RANDBETWEEN(1,16),Subject!$B:$B,0),3)</f>
        <v>#N/A</v>
      </c>
      <c r="AB139" s="8" t="str">
        <f t="array" ref="AB139">INDEX(Subject!$A:$I,MATCH(RANDBETWEEN(1,16),Subject!$B:$B,0),3)</f>
        <v>#N/A</v>
      </c>
      <c r="AC139" s="8" t="str">
        <f t="array" ref="AC139">INDEX(Subject!$A:$I,MATCH(RANDBETWEEN(1,16),Subject!$B:$B,0),3)</f>
        <v>#N/A</v>
      </c>
      <c r="AD139" s="8" t="str">
        <f t="array" ref="AD139">INDEX(Subject!$A:$I,MATCH(RANDBETWEEN(1,16),Subject!$B:$B,0),3)</f>
        <v>#N/A</v>
      </c>
      <c r="AE139" s="8" t="str">
        <f t="array" ref="AE139">INDEX(Subject!$A:$I,MATCH(RANDBETWEEN(1,16),Subject!$B:$B,0),3)</f>
        <v>#N/A</v>
      </c>
      <c r="AF139" s="8" t="str">
        <f t="array" ref="AF139">INDEX(Subject!$A:$I,MATCH(RANDBETWEEN(1,16),Subject!$B:$B,0),3)</f>
        <v>#N/A</v>
      </c>
      <c r="AG139" s="8" t="str">
        <f t="array" ref="AG139">INDEX(Subject!$A:$I,MATCH(RANDBETWEEN(1,16),Subject!$B:$B,0),3)</f>
        <v/>
      </c>
      <c r="AH139" s="8" t="str">
        <f t="array" ref="AH139">INDEX(Subject!$A:$I,MATCH(RANDBETWEEN(1,16),Subject!$B:$B,0),3)</f>
        <v>#N/A</v>
      </c>
      <c r="AI139" s="8" t="str">
        <f t="array" ref="AI139">INDEX(Subject!$A:$I,MATCH(RANDBETWEEN(1,16),Subject!$B:$B,0),3)</f>
        <v>#N/A</v>
      </c>
      <c r="AJ139" s="8" t="str">
        <f t="array" ref="AJ139">INDEX(Subject!$A:$I,MATCH(RANDBETWEEN(1,16),Subject!$B:$B,0),3)</f>
        <v>#N/A</v>
      </c>
      <c r="AK139" s="8" t="str">
        <f t="array" ref="AK139">INDEX(Subject!$A:$I,MATCH(RANDBETWEEN(1,16),Subject!$B:$B,0),3)</f>
        <v>#N/A</v>
      </c>
      <c r="AL139" s="8" t="str">
        <f t="array" ref="AL139">INDEX(Subject!$A:$I,MATCH(RANDBETWEEN(1,16),Subject!$B:$B,0),3)</f>
        <v>#N/A</v>
      </c>
      <c r="AM139" s="18">
        <f t="shared" si="4"/>
        <v>45639.33333</v>
      </c>
      <c r="AN139" s="19">
        <f t="shared" ref="AN139:BZ139" si="139">$A139+C$1</f>
        <v>45639.35417</v>
      </c>
      <c r="AO139" s="19">
        <f t="shared" si="139"/>
        <v>45639.375</v>
      </c>
      <c r="AP139" s="19">
        <f t="shared" si="139"/>
        <v>45639.39583</v>
      </c>
      <c r="AQ139" s="19">
        <f t="shared" si="139"/>
        <v>45639.41667</v>
      </c>
      <c r="AR139" s="19">
        <f t="shared" si="139"/>
        <v>45639.4375</v>
      </c>
      <c r="AS139" s="19">
        <f t="shared" si="139"/>
        <v>45639.45833</v>
      </c>
      <c r="AT139" s="19">
        <f t="shared" si="139"/>
        <v>45639.47917</v>
      </c>
      <c r="AU139" s="19">
        <f t="shared" si="139"/>
        <v>45639.5</v>
      </c>
      <c r="AV139" s="19">
        <f t="shared" si="139"/>
        <v>45639.52083</v>
      </c>
      <c r="AW139" s="19">
        <f t="shared" si="139"/>
        <v>45639.54167</v>
      </c>
      <c r="AX139" s="19">
        <f t="shared" si="139"/>
        <v>45639.5625</v>
      </c>
      <c r="AY139" s="19">
        <f t="shared" si="139"/>
        <v>45639.58333</v>
      </c>
      <c r="AZ139" s="19">
        <f t="shared" si="139"/>
        <v>45639.60417</v>
      </c>
      <c r="BA139" s="19">
        <f t="shared" si="139"/>
        <v>45639.625</v>
      </c>
      <c r="BB139" s="19">
        <f t="shared" si="139"/>
        <v>45639.64583</v>
      </c>
      <c r="BC139" s="19">
        <f t="shared" si="139"/>
        <v>45639.66667</v>
      </c>
      <c r="BD139" s="19">
        <f t="shared" si="139"/>
        <v>45639.6875</v>
      </c>
      <c r="BE139" s="19">
        <f t="shared" si="139"/>
        <v>45639.70833</v>
      </c>
      <c r="BF139" s="19">
        <f t="shared" si="139"/>
        <v>45639.72917</v>
      </c>
      <c r="BG139" s="19">
        <f t="shared" si="139"/>
        <v>45639.75</v>
      </c>
      <c r="BH139" s="19">
        <f t="shared" si="139"/>
        <v>45639.77083</v>
      </c>
      <c r="BI139" s="19">
        <f t="shared" si="139"/>
        <v>45639.79167</v>
      </c>
      <c r="BJ139" s="19">
        <f t="shared" si="139"/>
        <v>45639.8125</v>
      </c>
      <c r="BK139" s="19">
        <f t="shared" si="139"/>
        <v>45639.83333</v>
      </c>
      <c r="BL139" s="19">
        <f t="shared" si="139"/>
        <v>45639.85417</v>
      </c>
      <c r="BM139" s="19">
        <f t="shared" si="139"/>
        <v>45639.875</v>
      </c>
      <c r="BN139" s="19">
        <f t="shared" si="139"/>
        <v>45639.89583</v>
      </c>
      <c r="BO139" s="19">
        <f t="shared" si="139"/>
        <v>45639.91667</v>
      </c>
      <c r="BP139" s="19">
        <f t="shared" si="139"/>
        <v>45639.9375</v>
      </c>
      <c r="BQ139" s="19">
        <f t="shared" si="139"/>
        <v>45639.95833</v>
      </c>
      <c r="BR139" s="19">
        <f t="shared" si="139"/>
        <v>45639.97917</v>
      </c>
      <c r="BS139" s="19">
        <f t="shared" si="139"/>
        <v>45640</v>
      </c>
      <c r="BT139" s="19">
        <f t="shared" si="139"/>
        <v>45640.02083</v>
      </c>
      <c r="BU139" s="19">
        <f t="shared" si="139"/>
        <v>45640.04167</v>
      </c>
      <c r="BV139" s="19">
        <f t="shared" si="139"/>
        <v>45640.0625</v>
      </c>
      <c r="BW139" s="19">
        <f t="shared" si="139"/>
        <v>45640.08333</v>
      </c>
      <c r="BX139" s="19">
        <f t="shared" si="139"/>
        <v>45639</v>
      </c>
      <c r="BY139" s="19">
        <f t="shared" si="139"/>
        <v>45639</v>
      </c>
      <c r="BZ139" s="19">
        <f t="shared" si="139"/>
        <v>45639</v>
      </c>
    </row>
    <row r="140" ht="14.25" customHeight="1">
      <c r="A140" s="17">
        <v>45640.0</v>
      </c>
      <c r="B140" s="2" t="str">
        <f t="array" ref="B140">IF(NOW()&gt;AM140,"",IF(AND((WEEKDAY($A140)+$B$2)&gt;1,((WEEKDAY($A140)+$T$2)&lt;7),(WEEKDAY($A140)&lt;&gt;1)),"work",(INDEX(Subject!$A:$I,MATCH(RANDBETWEEN(1,(MAX(Subject!$B:$B))),Subject!$B:$B,0),3))))</f>
        <v/>
      </c>
      <c r="C140" s="2" t="str">
        <f t="array" ref="C140">IF(NOW()&gt;AN140,"",IF(AND((WEEKDAY($A140)+$B$2)&gt;1,((WEEKDAY($A140)+$T$2)&lt;7),(WEEKDAY($A140)&lt;&gt;1)),"work",(INDEX(Subject!$A:$I,MATCH(RANDBETWEEN(1,(MAX(Subject!$B:$B))),Subject!$B:$B,0),3))))</f>
        <v/>
      </c>
      <c r="D140" s="2" t="str">
        <f t="array" ref="D140">IF(NOW()&gt;AO140,"",IF(AND((WEEKDAY($A140)+$B$2)&gt;1,((WEEKDAY($A140)+$T$2)&lt;7),(WEEKDAY($A140)&lt;&gt;1)),"work",(INDEX(Subject!$A:$I,MATCH(RANDBETWEEN(1,(MAX(Subject!$B:$B))),Subject!$B:$B,0),3))))</f>
        <v/>
      </c>
      <c r="E140" s="2" t="str">
        <f t="array" ref="E140">IF(NOW()&gt;AP140,"",IF(AND((WEEKDAY($A140)+$B$2)&gt;1,((WEEKDAY($A140)+$T$2)&lt;7),(WEEKDAY($A140)&lt;&gt;1)),"work",(INDEX(Subject!$A:$I,MATCH(RANDBETWEEN(1,(MAX(Subject!$B:$B))),Subject!$B:$B,0),3))))</f>
        <v/>
      </c>
      <c r="F140" s="2" t="str">
        <f t="array" ref="F140">IF(NOW()&gt;AQ140,"",IF(AND((WEEKDAY($A140)+$B$2)&gt;1,((WEEKDAY($A140)+$T$2)&lt;7),(WEEKDAY($A140)&lt;&gt;1)),"work",(INDEX(Subject!$A:$I,MATCH(RANDBETWEEN(1,(MAX(Subject!$B:$B))),Subject!$B:$B,0),3))))</f>
        <v/>
      </c>
      <c r="G140" s="2" t="str">
        <f t="array" ref="G140">IF(NOW()&gt;AR140,"",IF(AND((WEEKDAY($A140)+$B$2)&gt;1,((WEEKDAY($A140)+$T$2)&lt;7),(WEEKDAY($A140)&lt;&gt;1)),"work",(INDEX(Subject!$A:$I,MATCH(RANDBETWEEN(1,(MAX(Subject!$B:$B))),Subject!$B:$B,0),3))))</f>
        <v/>
      </c>
      <c r="H140" s="2" t="str">
        <f t="array" ref="H140">IF(NOW()&gt;AS140,"",IF(AND((WEEKDAY($A140)+$B$2)&gt;1,((WEEKDAY($A140)+$T$2)&lt;7),(WEEKDAY($A140)&lt;&gt;1)),"work",(INDEX(Subject!$A:$I,MATCH(RANDBETWEEN(1,(MAX(Subject!$B:$B))),Subject!$B:$B,0),3))))</f>
        <v/>
      </c>
      <c r="I140" s="2" t="str">
        <f t="array" ref="I140">IF(NOW()&gt;AT140,"",IF(AND((WEEKDAY($A140)+$B$2)&gt;1,((WEEKDAY($A140)+$T$2)&lt;7),(WEEKDAY($A140)&lt;&gt;1)),"work",(INDEX(Subject!$A:$I,MATCH(RANDBETWEEN(1,(MAX(Subject!$B:$B))),Subject!$B:$B,0),3))))</f>
        <v/>
      </c>
      <c r="J140" s="2" t="str">
        <f t="array" ref="J140">IF(NOW()&gt;AU140,"",IF(AND((WEEKDAY($A140)+$B$2)&gt;1,((WEEKDAY($A140)+$T$2)&lt;7),(WEEKDAY($A140)&lt;&gt;1)),"work",(INDEX(Subject!$A:$I,MATCH(RANDBETWEEN(1,(MAX(Subject!$B:$B))),Subject!$B:$B,0),3))))</f>
        <v/>
      </c>
      <c r="K140" s="2" t="str">
        <f t="array" ref="K140">IF(NOW()&gt;AV140,"",IF(AND((WEEKDAY($A140)+$B$2)&gt;1,((WEEKDAY($A140)+$T$2)&lt;7),(WEEKDAY($A140)&lt;&gt;1)),"work",(INDEX(Subject!$A:$I,MATCH(RANDBETWEEN(1,(MAX(Subject!$B:$B))),Subject!$B:$B,0),3))))</f>
        <v/>
      </c>
      <c r="L140" s="2" t="str">
        <f t="array" ref="L140">IF(NOW()&gt;AW140,"",IF(AND((WEEKDAY($A140)+$B$2)&gt;1,((WEEKDAY($A140)+$T$2)&lt;7),(WEEKDAY($A140)&lt;&gt;1)),"work",(INDEX(Subject!$A:$I,MATCH(RANDBETWEEN(1,(MAX(Subject!$B:$B))),Subject!$B:$B,0),3))))</f>
        <v/>
      </c>
      <c r="M140" s="2" t="str">
        <f t="array" ref="M140">IF(NOW()&gt;AX140,"",IF(AND((WEEKDAY($A140)+$B$2)&gt;1,((WEEKDAY($A140)+$T$2)&lt;7),(WEEKDAY($A140)&lt;&gt;1)),"work",(INDEX(Subject!$A:$I,MATCH(RANDBETWEEN(1,(MAX(Subject!$B:$B))),Subject!$B:$B,0),3))))</f>
        <v/>
      </c>
      <c r="N140" s="2" t="str">
        <f t="array" ref="N140">IF(NOW()&gt;AY140,"",IF(AND((WEEKDAY($A140)+$B$2)&gt;1,((WEEKDAY($A140)+$T$2)&lt;7),(WEEKDAY($A140)&lt;&gt;1)),"work",(INDEX(Subject!$A:$I,MATCH(RANDBETWEEN(1,(MAX(Subject!$B:$B))),Subject!$B:$B,0),3))))</f>
        <v/>
      </c>
      <c r="O140" s="2" t="str">
        <f t="array" ref="O140">IF(NOW()&gt;AZ140,"",IF(AND((WEEKDAY($A140)+$B$2)&gt;1,((WEEKDAY($A140)+$T$2)&lt;7),(WEEKDAY($A140)&lt;&gt;1)),"work",(INDEX(Subject!$A:$I,MATCH(RANDBETWEEN(1,(MAX(Subject!$B:$B))),Subject!$B:$B,0),3))))</f>
        <v/>
      </c>
      <c r="P140" s="2" t="str">
        <f t="array" ref="P140">IF(NOW()&gt;BA140,"",IF(AND((WEEKDAY($A140)+$B$2)&gt;1,((WEEKDAY($A140)+$T$2)&lt;7),(WEEKDAY($A140)&lt;&gt;1)),"work",(INDEX(Subject!$A:$I,MATCH(RANDBETWEEN(1,(MAX(Subject!$B:$B))),Subject!$B:$B,0),3))))</f>
        <v/>
      </c>
      <c r="Q140" s="2" t="str">
        <f t="array" ref="Q140">IF(NOW()&gt;BB140,"",IF(AND((WEEKDAY($A140)+$B$2)&gt;1,((WEEKDAY($A140)+$T$2)&lt;7),(WEEKDAY($A140)&lt;&gt;1)),"work",(INDEX(Subject!$A:$I,MATCH(RANDBETWEEN(1,(MAX(Subject!$B:$B))),Subject!$B:$B,0),3))))</f>
        <v/>
      </c>
      <c r="R140" s="2" t="str">
        <f t="array" ref="R140">IF(NOW()&gt;BC140,"",IF(AND((WEEKDAY($A140)+$B$2)&gt;1,((WEEKDAY($A140)+$T$2)&lt;7),(WEEKDAY($A140)&lt;&gt;1)),"work",(INDEX(Subject!$A:$I,MATCH(RANDBETWEEN(1,(MAX(Subject!$B:$B))),Subject!$B:$B,0),3))))</f>
        <v/>
      </c>
      <c r="S140" s="2" t="str">
        <f t="array" ref="S140">IF(NOW()&gt;BD140,"",IF(AND((WEEKDAY($A140)+$B$2)&gt;1,((WEEKDAY($A140)+$T$2)&lt;7),(WEEKDAY($A140)&lt;&gt;1)),"work",(INDEX(Subject!$A:$I,MATCH(RANDBETWEEN(1,(MAX(Subject!$B:$B))),Subject!$B:$B,0),3))))</f>
        <v/>
      </c>
      <c r="T140" s="2" t="str">
        <f t="array" ref="T140">IF(NOW()&gt;BE140,"",IF(AND((WEEKDAY($A140)+$B$2)&gt;1,((WEEKDAY($A140)+$T$2)&lt;7),(WEEKDAY($A140)&lt;&gt;1)),"work",(INDEX(Subject!$A:$I,MATCH(RANDBETWEEN(1,(MAX(Subject!$B:$B))),Subject!$B:$B,0),3))))</f>
        <v/>
      </c>
      <c r="U140" s="8" t="str">
        <f t="array" ref="U140">INDEX(Subject!$A:$I,MATCH(RANDBETWEEN(1,16),Subject!$B:$B,0),3)</f>
        <v>#N/A</v>
      </c>
      <c r="V140" s="8" t="str">
        <f t="array" ref="V140">INDEX(Subject!$A:$I,MATCH(RANDBETWEEN(1,16),Subject!$B:$B,0),3)</f>
        <v>#N/A</v>
      </c>
      <c r="W140" s="8" t="str">
        <f t="array" ref="W140">INDEX(Subject!$A:$I,MATCH(RANDBETWEEN(1,16),Subject!$B:$B,0),3)</f>
        <v>#N/A</v>
      </c>
      <c r="X140" s="8" t="str">
        <f t="array" ref="X140">INDEX(Subject!$A:$I,MATCH(RANDBETWEEN(1,16),Subject!$B:$B,0),3)</f>
        <v>#N/A</v>
      </c>
      <c r="Y140" s="8" t="str">
        <f t="array" ref="Y140">INDEX(Subject!$A:$I,MATCH(RANDBETWEEN(1,16),Subject!$B:$B,0),3)</f>
        <v>#N/A</v>
      </c>
      <c r="Z140" s="8" t="str">
        <f t="array" ref="Z140">INDEX(Subject!$A:$I,MATCH(RANDBETWEEN(1,16),Subject!$B:$B,0),3)</f>
        <v>#N/A</v>
      </c>
      <c r="AA140" s="8" t="str">
        <f t="array" ref="AA140">INDEX(Subject!$A:$I,MATCH(RANDBETWEEN(1,16),Subject!$B:$B,0),3)</f>
        <v>#N/A</v>
      </c>
      <c r="AB140" s="8" t="str">
        <f t="array" ref="AB140">INDEX(Subject!$A:$I,MATCH(RANDBETWEEN(1,16),Subject!$B:$B,0),3)</f>
        <v>#N/A</v>
      </c>
      <c r="AC140" s="8" t="str">
        <f t="array" ref="AC140">INDEX(Subject!$A:$I,MATCH(RANDBETWEEN(1,16),Subject!$B:$B,0),3)</f>
        <v>#N/A</v>
      </c>
      <c r="AD140" s="8" t="str">
        <f t="array" ref="AD140">INDEX(Subject!$A:$I,MATCH(RANDBETWEEN(1,16),Subject!$B:$B,0),3)</f>
        <v>#N/A</v>
      </c>
      <c r="AE140" s="8" t="str">
        <f t="array" ref="AE140">INDEX(Subject!$A:$I,MATCH(RANDBETWEEN(1,16),Subject!$B:$B,0),3)</f>
        <v>#N/A</v>
      </c>
      <c r="AF140" s="8" t="str">
        <f t="array" ref="AF140">INDEX(Subject!$A:$I,MATCH(RANDBETWEEN(1,16),Subject!$B:$B,0),3)</f>
        <v>#N/A</v>
      </c>
      <c r="AG140" s="8" t="str">
        <f t="array" ref="AG140">INDEX(Subject!$A:$I,MATCH(RANDBETWEEN(1,16),Subject!$B:$B,0),3)</f>
        <v>#N/A</v>
      </c>
      <c r="AH140" s="8" t="str">
        <f t="array" ref="AH140">INDEX(Subject!$A:$I,MATCH(RANDBETWEEN(1,16),Subject!$B:$B,0),3)</f>
        <v>#N/A</v>
      </c>
      <c r="AI140" s="8" t="str">
        <f t="array" ref="AI140">INDEX(Subject!$A:$I,MATCH(RANDBETWEEN(1,16),Subject!$B:$B,0),3)</f>
        <v>#N/A</v>
      </c>
      <c r="AJ140" s="8" t="str">
        <f t="array" ref="AJ140">INDEX(Subject!$A:$I,MATCH(RANDBETWEEN(1,16),Subject!$B:$B,0),3)</f>
        <v>#N/A</v>
      </c>
      <c r="AK140" s="8" t="str">
        <f t="array" ref="AK140">INDEX(Subject!$A:$I,MATCH(RANDBETWEEN(1,16),Subject!$B:$B,0),3)</f>
        <v>#N/A</v>
      </c>
      <c r="AL140" s="8" t="str">
        <f t="array" ref="AL140">INDEX(Subject!$A:$I,MATCH(RANDBETWEEN(1,16),Subject!$B:$B,0),3)</f>
        <v>#N/A</v>
      </c>
      <c r="AM140" s="18">
        <f t="shared" si="4"/>
        <v>45640.33333</v>
      </c>
      <c r="AN140" s="19">
        <f t="shared" ref="AN140:BZ140" si="140">$A140+C$1</f>
        <v>45640.35417</v>
      </c>
      <c r="AO140" s="19">
        <f t="shared" si="140"/>
        <v>45640.375</v>
      </c>
      <c r="AP140" s="19">
        <f t="shared" si="140"/>
        <v>45640.39583</v>
      </c>
      <c r="AQ140" s="19">
        <f t="shared" si="140"/>
        <v>45640.41667</v>
      </c>
      <c r="AR140" s="19">
        <f t="shared" si="140"/>
        <v>45640.4375</v>
      </c>
      <c r="AS140" s="19">
        <f t="shared" si="140"/>
        <v>45640.45833</v>
      </c>
      <c r="AT140" s="19">
        <f t="shared" si="140"/>
        <v>45640.47917</v>
      </c>
      <c r="AU140" s="19">
        <f t="shared" si="140"/>
        <v>45640.5</v>
      </c>
      <c r="AV140" s="19">
        <f t="shared" si="140"/>
        <v>45640.52083</v>
      </c>
      <c r="AW140" s="19">
        <f t="shared" si="140"/>
        <v>45640.54167</v>
      </c>
      <c r="AX140" s="19">
        <f t="shared" si="140"/>
        <v>45640.5625</v>
      </c>
      <c r="AY140" s="19">
        <f t="shared" si="140"/>
        <v>45640.58333</v>
      </c>
      <c r="AZ140" s="19">
        <f t="shared" si="140"/>
        <v>45640.60417</v>
      </c>
      <c r="BA140" s="19">
        <f t="shared" si="140"/>
        <v>45640.625</v>
      </c>
      <c r="BB140" s="19">
        <f t="shared" si="140"/>
        <v>45640.64583</v>
      </c>
      <c r="BC140" s="19">
        <f t="shared" si="140"/>
        <v>45640.66667</v>
      </c>
      <c r="BD140" s="19">
        <f t="shared" si="140"/>
        <v>45640.6875</v>
      </c>
      <c r="BE140" s="19">
        <f t="shared" si="140"/>
        <v>45640.70833</v>
      </c>
      <c r="BF140" s="19">
        <f t="shared" si="140"/>
        <v>45640.72917</v>
      </c>
      <c r="BG140" s="19">
        <f t="shared" si="140"/>
        <v>45640.75</v>
      </c>
      <c r="BH140" s="19">
        <f t="shared" si="140"/>
        <v>45640.77083</v>
      </c>
      <c r="BI140" s="19">
        <f t="shared" si="140"/>
        <v>45640.79167</v>
      </c>
      <c r="BJ140" s="19">
        <f t="shared" si="140"/>
        <v>45640.8125</v>
      </c>
      <c r="BK140" s="19">
        <f t="shared" si="140"/>
        <v>45640.83333</v>
      </c>
      <c r="BL140" s="19">
        <f t="shared" si="140"/>
        <v>45640.85417</v>
      </c>
      <c r="BM140" s="19">
        <f t="shared" si="140"/>
        <v>45640.875</v>
      </c>
      <c r="BN140" s="19">
        <f t="shared" si="140"/>
        <v>45640.89583</v>
      </c>
      <c r="BO140" s="19">
        <f t="shared" si="140"/>
        <v>45640.91667</v>
      </c>
      <c r="BP140" s="19">
        <f t="shared" si="140"/>
        <v>45640.9375</v>
      </c>
      <c r="BQ140" s="19">
        <f t="shared" si="140"/>
        <v>45640.95833</v>
      </c>
      <c r="BR140" s="19">
        <f t="shared" si="140"/>
        <v>45640.97917</v>
      </c>
      <c r="BS140" s="19">
        <f t="shared" si="140"/>
        <v>45641</v>
      </c>
      <c r="BT140" s="19">
        <f t="shared" si="140"/>
        <v>45641.02083</v>
      </c>
      <c r="BU140" s="19">
        <f t="shared" si="140"/>
        <v>45641.04167</v>
      </c>
      <c r="BV140" s="19">
        <f t="shared" si="140"/>
        <v>45641.0625</v>
      </c>
      <c r="BW140" s="19">
        <f t="shared" si="140"/>
        <v>45641.08333</v>
      </c>
      <c r="BX140" s="19">
        <f t="shared" si="140"/>
        <v>45640</v>
      </c>
      <c r="BY140" s="19">
        <f t="shared" si="140"/>
        <v>45640</v>
      </c>
      <c r="BZ140" s="19">
        <f t="shared" si="140"/>
        <v>45640</v>
      </c>
    </row>
    <row r="141" ht="14.25" customHeight="1">
      <c r="A141" s="17">
        <v>45641.0</v>
      </c>
      <c r="B141" s="2" t="str">
        <f t="array" ref="B141">IF(NOW()&gt;AM141,"",IF(AND((WEEKDAY($A141)+$B$2)&gt;1,((WEEKDAY($A141)+$T$2)&lt;7),(WEEKDAY($A141)&lt;&gt;1)),"work",(INDEX(Subject!$A:$I,MATCH(RANDBETWEEN(1,(MAX(Subject!$B:$B))),Subject!$B:$B,0),3))))</f>
        <v/>
      </c>
      <c r="C141" s="2" t="str">
        <f t="array" ref="C141">IF(NOW()&gt;AN141,"",IF(AND((WEEKDAY($A141)+$B$2)&gt;1,((WEEKDAY($A141)+$T$2)&lt;7),(WEEKDAY($A141)&lt;&gt;1)),"work",(INDEX(Subject!$A:$I,MATCH(RANDBETWEEN(1,(MAX(Subject!$B:$B))),Subject!$B:$B,0),3))))</f>
        <v/>
      </c>
      <c r="D141" s="2" t="str">
        <f t="array" ref="D141">IF(NOW()&gt;AO141,"",IF(AND((WEEKDAY($A141)+$B$2)&gt;1,((WEEKDAY($A141)+$T$2)&lt;7),(WEEKDAY($A141)&lt;&gt;1)),"work",(INDEX(Subject!$A:$I,MATCH(RANDBETWEEN(1,(MAX(Subject!$B:$B))),Subject!$B:$B,0),3))))</f>
        <v/>
      </c>
      <c r="E141" s="2" t="str">
        <f t="array" ref="E141">IF(NOW()&gt;AP141,"",IF(AND((WEEKDAY($A141)+$B$2)&gt;1,((WEEKDAY($A141)+$T$2)&lt;7),(WEEKDAY($A141)&lt;&gt;1)),"work",(INDEX(Subject!$A:$I,MATCH(RANDBETWEEN(1,(MAX(Subject!$B:$B))),Subject!$B:$B,0),3))))</f>
        <v/>
      </c>
      <c r="F141" s="2" t="str">
        <f t="array" ref="F141">IF(NOW()&gt;AQ141,"",IF(AND((WEEKDAY($A141)+$B$2)&gt;1,((WEEKDAY($A141)+$T$2)&lt;7),(WEEKDAY($A141)&lt;&gt;1)),"work",(INDEX(Subject!$A:$I,MATCH(RANDBETWEEN(1,(MAX(Subject!$B:$B))),Subject!$B:$B,0),3))))</f>
        <v/>
      </c>
      <c r="G141" s="2" t="str">
        <f t="array" ref="G141">IF(NOW()&gt;AR141,"",IF(AND((WEEKDAY($A141)+$B$2)&gt;1,((WEEKDAY($A141)+$T$2)&lt;7),(WEEKDAY($A141)&lt;&gt;1)),"work",(INDEX(Subject!$A:$I,MATCH(RANDBETWEEN(1,(MAX(Subject!$B:$B))),Subject!$B:$B,0),3))))</f>
        <v/>
      </c>
      <c r="H141" s="2" t="str">
        <f t="array" ref="H141">IF(NOW()&gt;AS141,"",IF(AND((WEEKDAY($A141)+$B$2)&gt;1,((WEEKDAY($A141)+$T$2)&lt;7),(WEEKDAY($A141)&lt;&gt;1)),"work",(INDEX(Subject!$A:$I,MATCH(RANDBETWEEN(1,(MAX(Subject!$B:$B))),Subject!$B:$B,0),3))))</f>
        <v/>
      </c>
      <c r="I141" s="2" t="str">
        <f t="array" ref="I141">IF(NOW()&gt;AT141,"",IF(AND((WEEKDAY($A141)+$B$2)&gt;1,((WEEKDAY($A141)+$T$2)&lt;7),(WEEKDAY($A141)&lt;&gt;1)),"work",(INDEX(Subject!$A:$I,MATCH(RANDBETWEEN(1,(MAX(Subject!$B:$B))),Subject!$B:$B,0),3))))</f>
        <v/>
      </c>
      <c r="J141" s="2" t="str">
        <f t="array" ref="J141">IF(NOW()&gt;AU141,"",IF(AND((WEEKDAY($A141)+$B$2)&gt;1,((WEEKDAY($A141)+$T$2)&lt;7),(WEEKDAY($A141)&lt;&gt;1)),"work",(INDEX(Subject!$A:$I,MATCH(RANDBETWEEN(1,(MAX(Subject!$B:$B))),Subject!$B:$B,0),3))))</f>
        <v/>
      </c>
      <c r="K141" s="2" t="str">
        <f t="array" ref="K141">IF(NOW()&gt;AV141,"",IF(AND((WEEKDAY($A141)+$B$2)&gt;1,((WEEKDAY($A141)+$T$2)&lt;7),(WEEKDAY($A141)&lt;&gt;1)),"work",(INDEX(Subject!$A:$I,MATCH(RANDBETWEEN(1,(MAX(Subject!$B:$B))),Subject!$B:$B,0),3))))</f>
        <v/>
      </c>
      <c r="L141" s="2" t="str">
        <f t="array" ref="L141">IF(NOW()&gt;AW141,"",IF(AND((WEEKDAY($A141)+$B$2)&gt;1,((WEEKDAY($A141)+$T$2)&lt;7),(WEEKDAY($A141)&lt;&gt;1)),"work",(INDEX(Subject!$A:$I,MATCH(RANDBETWEEN(1,(MAX(Subject!$B:$B))),Subject!$B:$B,0),3))))</f>
        <v/>
      </c>
      <c r="M141" s="2" t="str">
        <f t="array" ref="M141">IF(NOW()&gt;AX141,"",IF(AND((WEEKDAY($A141)+$B$2)&gt;1,((WEEKDAY($A141)+$T$2)&lt;7),(WEEKDAY($A141)&lt;&gt;1)),"work",(INDEX(Subject!$A:$I,MATCH(RANDBETWEEN(1,(MAX(Subject!$B:$B))),Subject!$B:$B,0),3))))</f>
        <v/>
      </c>
      <c r="N141" s="2" t="str">
        <f t="array" ref="N141">IF(NOW()&gt;AY141,"",IF(AND((WEEKDAY($A141)+$B$2)&gt;1,((WEEKDAY($A141)+$T$2)&lt;7),(WEEKDAY($A141)&lt;&gt;1)),"work",(INDEX(Subject!$A:$I,MATCH(RANDBETWEEN(1,(MAX(Subject!$B:$B))),Subject!$B:$B,0),3))))</f>
        <v/>
      </c>
      <c r="O141" s="2" t="str">
        <f t="array" ref="O141">IF(NOW()&gt;AZ141,"",IF(AND((WEEKDAY($A141)+$B$2)&gt;1,((WEEKDAY($A141)+$T$2)&lt;7),(WEEKDAY($A141)&lt;&gt;1)),"work",(INDEX(Subject!$A:$I,MATCH(RANDBETWEEN(1,(MAX(Subject!$B:$B))),Subject!$B:$B,0),3))))</f>
        <v/>
      </c>
      <c r="P141" s="2" t="str">
        <f t="array" ref="P141">IF(NOW()&gt;BA141,"",IF(AND((WEEKDAY($A141)+$B$2)&gt;1,((WEEKDAY($A141)+$T$2)&lt;7),(WEEKDAY($A141)&lt;&gt;1)),"work",(INDEX(Subject!$A:$I,MATCH(RANDBETWEEN(1,(MAX(Subject!$B:$B))),Subject!$B:$B,0),3))))</f>
        <v/>
      </c>
      <c r="Q141" s="2" t="str">
        <f t="array" ref="Q141">IF(NOW()&gt;BB141,"",IF(AND((WEEKDAY($A141)+$B$2)&gt;1,((WEEKDAY($A141)+$T$2)&lt;7),(WEEKDAY($A141)&lt;&gt;1)),"work",(INDEX(Subject!$A:$I,MATCH(RANDBETWEEN(1,(MAX(Subject!$B:$B))),Subject!$B:$B,0),3))))</f>
        <v/>
      </c>
      <c r="R141" s="2" t="str">
        <f t="array" ref="R141">IF(NOW()&gt;BC141,"",IF(AND((WEEKDAY($A141)+$B$2)&gt;1,((WEEKDAY($A141)+$T$2)&lt;7),(WEEKDAY($A141)&lt;&gt;1)),"work",(INDEX(Subject!$A:$I,MATCH(RANDBETWEEN(1,(MAX(Subject!$B:$B))),Subject!$B:$B,0),3))))</f>
        <v/>
      </c>
      <c r="S141" s="2" t="str">
        <f t="array" ref="S141">IF(NOW()&gt;BD141,"",IF(AND((WEEKDAY($A141)+$B$2)&gt;1,((WEEKDAY($A141)+$T$2)&lt;7),(WEEKDAY($A141)&lt;&gt;1)),"work",(INDEX(Subject!$A:$I,MATCH(RANDBETWEEN(1,(MAX(Subject!$B:$B))),Subject!$B:$B,0),3))))</f>
        <v/>
      </c>
      <c r="T141" s="2" t="str">
        <f t="array" ref="T141">IF(NOW()&gt;BE141,"",IF(AND((WEEKDAY($A141)+$B$2)&gt;1,((WEEKDAY($A141)+$T$2)&lt;7),(WEEKDAY($A141)&lt;&gt;1)),"work",(INDEX(Subject!$A:$I,MATCH(RANDBETWEEN(1,(MAX(Subject!$B:$B))),Subject!$B:$B,0),3))))</f>
        <v/>
      </c>
      <c r="U141" s="8" t="str">
        <f t="array" ref="U141">INDEX(Subject!$A:$I,MATCH(RANDBETWEEN(1,16),Subject!$B:$B,0),3)</f>
        <v>#N/A</v>
      </c>
      <c r="V141" s="8" t="str">
        <f t="array" ref="V141">INDEX(Subject!$A:$I,MATCH(RANDBETWEEN(1,16),Subject!$B:$B,0),3)</f>
        <v>#N/A</v>
      </c>
      <c r="W141" s="8" t="str">
        <f t="array" ref="W141">INDEX(Subject!$A:$I,MATCH(RANDBETWEEN(1,16),Subject!$B:$B,0),3)</f>
        <v>#N/A</v>
      </c>
      <c r="X141" s="8" t="str">
        <f t="array" ref="X141">INDEX(Subject!$A:$I,MATCH(RANDBETWEEN(1,16),Subject!$B:$B,0),3)</f>
        <v>#N/A</v>
      </c>
      <c r="Y141" s="8" t="str">
        <f t="array" ref="Y141">INDEX(Subject!$A:$I,MATCH(RANDBETWEEN(1,16),Subject!$B:$B,0),3)</f>
        <v>#N/A</v>
      </c>
      <c r="Z141" s="8" t="str">
        <f t="array" ref="Z141">INDEX(Subject!$A:$I,MATCH(RANDBETWEEN(1,16),Subject!$B:$B,0),3)</f>
        <v>#N/A</v>
      </c>
      <c r="AA141" s="8" t="str">
        <f t="array" ref="AA141">INDEX(Subject!$A:$I,MATCH(RANDBETWEEN(1,16),Subject!$B:$B,0),3)</f>
        <v>#N/A</v>
      </c>
      <c r="AB141" s="8" t="str">
        <f t="array" ref="AB141">INDEX(Subject!$A:$I,MATCH(RANDBETWEEN(1,16),Subject!$B:$B,0),3)</f>
        <v>#N/A</v>
      </c>
      <c r="AC141" s="8" t="str">
        <f t="array" ref="AC141">INDEX(Subject!$A:$I,MATCH(RANDBETWEEN(1,16),Subject!$B:$B,0),3)</f>
        <v>#N/A</v>
      </c>
      <c r="AD141" s="8" t="str">
        <f t="array" ref="AD141">INDEX(Subject!$A:$I,MATCH(RANDBETWEEN(1,16),Subject!$B:$B,0),3)</f>
        <v>#N/A</v>
      </c>
      <c r="AE141" s="8" t="str">
        <f t="array" ref="AE141">INDEX(Subject!$A:$I,MATCH(RANDBETWEEN(1,16),Subject!$B:$B,0),3)</f>
        <v>#N/A</v>
      </c>
      <c r="AF141" s="8" t="str">
        <f t="array" ref="AF141">INDEX(Subject!$A:$I,MATCH(RANDBETWEEN(1,16),Subject!$B:$B,0),3)</f>
        <v>#N/A</v>
      </c>
      <c r="AG141" s="8" t="str">
        <f t="array" ref="AG141">INDEX(Subject!$A:$I,MATCH(RANDBETWEEN(1,16),Subject!$B:$B,0),3)</f>
        <v>#N/A</v>
      </c>
      <c r="AH141" s="8" t="str">
        <f t="array" ref="AH141">INDEX(Subject!$A:$I,MATCH(RANDBETWEEN(1,16),Subject!$B:$B,0),3)</f>
        <v>#N/A</v>
      </c>
      <c r="AI141" s="8" t="str">
        <f t="array" ref="AI141">INDEX(Subject!$A:$I,MATCH(RANDBETWEEN(1,16),Subject!$B:$B,0),3)</f>
        <v>#N/A</v>
      </c>
      <c r="AJ141" s="8" t="str">
        <f t="array" ref="AJ141">INDEX(Subject!$A:$I,MATCH(RANDBETWEEN(1,16),Subject!$B:$B,0),3)</f>
        <v>#N/A</v>
      </c>
      <c r="AK141" s="8" t="str">
        <f t="array" ref="AK141">INDEX(Subject!$A:$I,MATCH(RANDBETWEEN(1,16),Subject!$B:$B,0),3)</f>
        <v>#N/A</v>
      </c>
      <c r="AL141" s="8" t="str">
        <f t="array" ref="AL141">INDEX(Subject!$A:$I,MATCH(RANDBETWEEN(1,16),Subject!$B:$B,0),3)</f>
        <v>#N/A</v>
      </c>
      <c r="AM141" s="18">
        <f t="shared" si="4"/>
        <v>45641.33333</v>
      </c>
      <c r="AN141" s="19">
        <f t="shared" ref="AN141:BZ141" si="141">$A141+C$1</f>
        <v>45641.35417</v>
      </c>
      <c r="AO141" s="19">
        <f t="shared" si="141"/>
        <v>45641.375</v>
      </c>
      <c r="AP141" s="19">
        <f t="shared" si="141"/>
        <v>45641.39583</v>
      </c>
      <c r="AQ141" s="19">
        <f t="shared" si="141"/>
        <v>45641.41667</v>
      </c>
      <c r="AR141" s="19">
        <f t="shared" si="141"/>
        <v>45641.4375</v>
      </c>
      <c r="AS141" s="19">
        <f t="shared" si="141"/>
        <v>45641.45833</v>
      </c>
      <c r="AT141" s="19">
        <f t="shared" si="141"/>
        <v>45641.47917</v>
      </c>
      <c r="AU141" s="19">
        <f t="shared" si="141"/>
        <v>45641.5</v>
      </c>
      <c r="AV141" s="19">
        <f t="shared" si="141"/>
        <v>45641.52083</v>
      </c>
      <c r="AW141" s="19">
        <f t="shared" si="141"/>
        <v>45641.54167</v>
      </c>
      <c r="AX141" s="19">
        <f t="shared" si="141"/>
        <v>45641.5625</v>
      </c>
      <c r="AY141" s="19">
        <f t="shared" si="141"/>
        <v>45641.58333</v>
      </c>
      <c r="AZ141" s="19">
        <f t="shared" si="141"/>
        <v>45641.60417</v>
      </c>
      <c r="BA141" s="19">
        <f t="shared" si="141"/>
        <v>45641.625</v>
      </c>
      <c r="BB141" s="19">
        <f t="shared" si="141"/>
        <v>45641.64583</v>
      </c>
      <c r="BC141" s="19">
        <f t="shared" si="141"/>
        <v>45641.66667</v>
      </c>
      <c r="BD141" s="19">
        <f t="shared" si="141"/>
        <v>45641.6875</v>
      </c>
      <c r="BE141" s="19">
        <f t="shared" si="141"/>
        <v>45641.70833</v>
      </c>
      <c r="BF141" s="19">
        <f t="shared" si="141"/>
        <v>45641.72917</v>
      </c>
      <c r="BG141" s="19">
        <f t="shared" si="141"/>
        <v>45641.75</v>
      </c>
      <c r="BH141" s="19">
        <f t="shared" si="141"/>
        <v>45641.77083</v>
      </c>
      <c r="BI141" s="19">
        <f t="shared" si="141"/>
        <v>45641.79167</v>
      </c>
      <c r="BJ141" s="19">
        <f t="shared" si="141"/>
        <v>45641.8125</v>
      </c>
      <c r="BK141" s="19">
        <f t="shared" si="141"/>
        <v>45641.83333</v>
      </c>
      <c r="BL141" s="19">
        <f t="shared" si="141"/>
        <v>45641.85417</v>
      </c>
      <c r="BM141" s="19">
        <f t="shared" si="141"/>
        <v>45641.875</v>
      </c>
      <c r="BN141" s="19">
        <f t="shared" si="141"/>
        <v>45641.89583</v>
      </c>
      <c r="BO141" s="19">
        <f t="shared" si="141"/>
        <v>45641.91667</v>
      </c>
      <c r="BP141" s="19">
        <f t="shared" si="141"/>
        <v>45641.9375</v>
      </c>
      <c r="BQ141" s="19">
        <f t="shared" si="141"/>
        <v>45641.95833</v>
      </c>
      <c r="BR141" s="19">
        <f t="shared" si="141"/>
        <v>45641.97917</v>
      </c>
      <c r="BS141" s="19">
        <f t="shared" si="141"/>
        <v>45642</v>
      </c>
      <c r="BT141" s="19">
        <f t="shared" si="141"/>
        <v>45642.02083</v>
      </c>
      <c r="BU141" s="19">
        <f t="shared" si="141"/>
        <v>45642.04167</v>
      </c>
      <c r="BV141" s="19">
        <f t="shared" si="141"/>
        <v>45642.0625</v>
      </c>
      <c r="BW141" s="19">
        <f t="shared" si="141"/>
        <v>45642.08333</v>
      </c>
      <c r="BX141" s="19">
        <f t="shared" si="141"/>
        <v>45641</v>
      </c>
      <c r="BY141" s="19">
        <f t="shared" si="141"/>
        <v>45641</v>
      </c>
      <c r="BZ141" s="19">
        <f t="shared" si="141"/>
        <v>45641</v>
      </c>
    </row>
    <row r="142" ht="14.25" customHeight="1">
      <c r="A142" s="17">
        <v>45642.0</v>
      </c>
      <c r="B142" s="2" t="str">
        <f t="array" ref="B142">IF(NOW()&gt;AM142,"",IF(AND((WEEKDAY($A142)+$B$2)&gt;1,((WEEKDAY($A142)+$T$2)&lt;7),(WEEKDAY($A142)&lt;&gt;1)),"work",(INDEX(Subject!$A:$I,MATCH(RANDBETWEEN(1,(MAX(Subject!$B:$B))),Subject!$B:$B,0),3))))</f>
        <v/>
      </c>
      <c r="C142" s="2" t="str">
        <f t="array" ref="C142">IF(NOW()&gt;AN142,"",IF(AND((WEEKDAY($A142)+$B$2)&gt;1,((WEEKDAY($A142)+$T$2)&lt;7),(WEEKDAY($A142)&lt;&gt;1)),"work",(INDEX(Subject!$A:$I,MATCH(RANDBETWEEN(1,(MAX(Subject!$B:$B))),Subject!$B:$B,0),3))))</f>
        <v/>
      </c>
      <c r="D142" s="2" t="str">
        <f t="array" ref="D142">IF(NOW()&gt;AO142,"",IF(AND((WEEKDAY($A142)+$B$2)&gt;1,((WEEKDAY($A142)+$T$2)&lt;7),(WEEKDAY($A142)&lt;&gt;1)),"work",(INDEX(Subject!$A:$I,MATCH(RANDBETWEEN(1,(MAX(Subject!$B:$B))),Subject!$B:$B,0),3))))</f>
        <v/>
      </c>
      <c r="E142" s="2" t="str">
        <f t="array" ref="E142">IF(NOW()&gt;AP142,"",IF(AND((WEEKDAY($A142)+$B$2)&gt;1,((WEEKDAY($A142)+$T$2)&lt;7),(WEEKDAY($A142)&lt;&gt;1)),"work",(INDEX(Subject!$A:$I,MATCH(RANDBETWEEN(1,(MAX(Subject!$B:$B))),Subject!$B:$B,0),3))))</f>
        <v/>
      </c>
      <c r="F142" s="2" t="str">
        <f t="array" ref="F142">IF(NOW()&gt;AQ142,"",IF(AND((WEEKDAY($A142)+$B$2)&gt;1,((WEEKDAY($A142)+$T$2)&lt;7),(WEEKDAY($A142)&lt;&gt;1)),"work",(INDEX(Subject!$A:$I,MATCH(RANDBETWEEN(1,(MAX(Subject!$B:$B))),Subject!$B:$B,0),3))))</f>
        <v/>
      </c>
      <c r="G142" s="2" t="str">
        <f t="array" ref="G142">IF(NOW()&gt;AR142,"",IF(AND((WEEKDAY($A142)+$B$2)&gt;1,((WEEKDAY($A142)+$T$2)&lt;7),(WEEKDAY($A142)&lt;&gt;1)),"work",(INDEX(Subject!$A:$I,MATCH(RANDBETWEEN(1,(MAX(Subject!$B:$B))),Subject!$B:$B,0),3))))</f>
        <v/>
      </c>
      <c r="H142" s="2" t="str">
        <f t="array" ref="H142">IF(NOW()&gt;AS142,"",IF(AND((WEEKDAY($A142)+$B$2)&gt;1,((WEEKDAY($A142)+$T$2)&lt;7),(WEEKDAY($A142)&lt;&gt;1)),"work",(INDEX(Subject!$A:$I,MATCH(RANDBETWEEN(1,(MAX(Subject!$B:$B))),Subject!$B:$B,0),3))))</f>
        <v/>
      </c>
      <c r="I142" s="2" t="str">
        <f t="array" ref="I142">IF(NOW()&gt;AT142,"",IF(AND((WEEKDAY($A142)+$B$2)&gt;1,((WEEKDAY($A142)+$T$2)&lt;7),(WEEKDAY($A142)&lt;&gt;1)),"work",(INDEX(Subject!$A:$I,MATCH(RANDBETWEEN(1,(MAX(Subject!$B:$B))),Subject!$B:$B,0),3))))</f>
        <v/>
      </c>
      <c r="J142" s="2" t="str">
        <f t="array" ref="J142">IF(NOW()&gt;AU142,"",IF(AND((WEEKDAY($A142)+$B$2)&gt;1,((WEEKDAY($A142)+$T$2)&lt;7),(WEEKDAY($A142)&lt;&gt;1)),"work",(INDEX(Subject!$A:$I,MATCH(RANDBETWEEN(1,(MAX(Subject!$B:$B))),Subject!$B:$B,0),3))))</f>
        <v/>
      </c>
      <c r="K142" s="2" t="str">
        <f t="array" ref="K142">IF(NOW()&gt;AV142,"",IF(AND((WEEKDAY($A142)+$B$2)&gt;1,((WEEKDAY($A142)+$T$2)&lt;7),(WEEKDAY($A142)&lt;&gt;1)),"work",(INDEX(Subject!$A:$I,MATCH(RANDBETWEEN(1,(MAX(Subject!$B:$B))),Subject!$B:$B,0),3))))</f>
        <v/>
      </c>
      <c r="L142" s="2" t="str">
        <f t="array" ref="L142">IF(NOW()&gt;AW142,"",IF(AND((WEEKDAY($A142)+$B$2)&gt;1,((WEEKDAY($A142)+$T$2)&lt;7),(WEEKDAY($A142)&lt;&gt;1)),"work",(INDEX(Subject!$A:$I,MATCH(RANDBETWEEN(1,(MAX(Subject!$B:$B))),Subject!$B:$B,0),3))))</f>
        <v/>
      </c>
      <c r="M142" s="2" t="str">
        <f t="array" ref="M142">IF(NOW()&gt;AX142,"",IF(AND((WEEKDAY($A142)+$B$2)&gt;1,((WEEKDAY($A142)+$T$2)&lt;7),(WEEKDAY($A142)&lt;&gt;1)),"work",(INDEX(Subject!$A:$I,MATCH(RANDBETWEEN(1,(MAX(Subject!$B:$B))),Subject!$B:$B,0),3))))</f>
        <v/>
      </c>
      <c r="N142" s="2" t="str">
        <f t="array" ref="N142">IF(NOW()&gt;AY142,"",IF(AND((WEEKDAY($A142)+$B$2)&gt;1,((WEEKDAY($A142)+$T$2)&lt;7),(WEEKDAY($A142)&lt;&gt;1)),"work",(INDEX(Subject!$A:$I,MATCH(RANDBETWEEN(1,(MAX(Subject!$B:$B))),Subject!$B:$B,0),3))))</f>
        <v/>
      </c>
      <c r="O142" s="2" t="str">
        <f t="array" ref="O142">IF(NOW()&gt;AZ142,"",IF(AND((WEEKDAY($A142)+$B$2)&gt;1,((WEEKDAY($A142)+$T$2)&lt;7),(WEEKDAY($A142)&lt;&gt;1)),"work",(INDEX(Subject!$A:$I,MATCH(RANDBETWEEN(1,(MAX(Subject!$B:$B))),Subject!$B:$B,0),3))))</f>
        <v/>
      </c>
      <c r="P142" s="2" t="str">
        <f t="array" ref="P142">IF(NOW()&gt;BA142,"",IF(AND((WEEKDAY($A142)+$B$2)&gt;1,((WEEKDAY($A142)+$T$2)&lt;7),(WEEKDAY($A142)&lt;&gt;1)),"work",(INDEX(Subject!$A:$I,MATCH(RANDBETWEEN(1,(MAX(Subject!$B:$B))),Subject!$B:$B,0),3))))</f>
        <v/>
      </c>
      <c r="Q142" s="2" t="str">
        <f t="array" ref="Q142">IF(NOW()&gt;BB142,"",IF(AND((WEEKDAY($A142)+$B$2)&gt;1,((WEEKDAY($A142)+$T$2)&lt;7),(WEEKDAY($A142)&lt;&gt;1)),"work",(INDEX(Subject!$A:$I,MATCH(RANDBETWEEN(1,(MAX(Subject!$B:$B))),Subject!$B:$B,0),3))))</f>
        <v/>
      </c>
      <c r="R142" s="2" t="str">
        <f t="array" ref="R142">IF(NOW()&gt;BC142,"",IF(AND((WEEKDAY($A142)+$B$2)&gt;1,((WEEKDAY($A142)+$T$2)&lt;7),(WEEKDAY($A142)&lt;&gt;1)),"work",(INDEX(Subject!$A:$I,MATCH(RANDBETWEEN(1,(MAX(Subject!$B:$B))),Subject!$B:$B,0),3))))</f>
        <v/>
      </c>
      <c r="S142" s="2" t="str">
        <f t="array" ref="S142">IF(NOW()&gt;BD142,"",IF(AND((WEEKDAY($A142)+$B$2)&gt;1,((WEEKDAY($A142)+$T$2)&lt;7),(WEEKDAY($A142)&lt;&gt;1)),"work",(INDEX(Subject!$A:$I,MATCH(RANDBETWEEN(1,(MAX(Subject!$B:$B))),Subject!$B:$B,0),3))))</f>
        <v/>
      </c>
      <c r="T142" s="2" t="str">
        <f t="array" ref="T142">IF(NOW()&gt;BE142,"",IF(AND((WEEKDAY($A142)+$B$2)&gt;1,((WEEKDAY($A142)+$T$2)&lt;7),(WEEKDAY($A142)&lt;&gt;1)),"work",(INDEX(Subject!$A:$I,MATCH(RANDBETWEEN(1,(MAX(Subject!$B:$B))),Subject!$B:$B,0),3))))</f>
        <v/>
      </c>
      <c r="U142" s="8" t="str">
        <f t="array" ref="U142">INDEX(Subject!$A:$I,MATCH(RANDBETWEEN(1,16),Subject!$B:$B,0),3)</f>
        <v>#N/A</v>
      </c>
      <c r="V142" s="8" t="str">
        <f t="array" ref="V142">INDEX(Subject!$A:$I,MATCH(RANDBETWEEN(1,16),Subject!$B:$B,0),3)</f>
        <v>#N/A</v>
      </c>
      <c r="W142" s="8" t="str">
        <f t="array" ref="W142">INDEX(Subject!$A:$I,MATCH(RANDBETWEEN(1,16),Subject!$B:$B,0),3)</f>
        <v>#N/A</v>
      </c>
      <c r="X142" s="8" t="str">
        <f t="array" ref="X142">INDEX(Subject!$A:$I,MATCH(RANDBETWEEN(1,16),Subject!$B:$B,0),3)</f>
        <v/>
      </c>
      <c r="Y142" s="8" t="str">
        <f t="array" ref="Y142">INDEX(Subject!$A:$I,MATCH(RANDBETWEEN(1,16),Subject!$B:$B,0),3)</f>
        <v>#N/A</v>
      </c>
      <c r="Z142" s="8" t="str">
        <f t="array" ref="Z142">INDEX(Subject!$A:$I,MATCH(RANDBETWEEN(1,16),Subject!$B:$B,0),3)</f>
        <v>#N/A</v>
      </c>
      <c r="AA142" s="8" t="str">
        <f t="array" ref="AA142">INDEX(Subject!$A:$I,MATCH(RANDBETWEEN(1,16),Subject!$B:$B,0),3)</f>
        <v>#N/A</v>
      </c>
      <c r="AB142" s="8" t="str">
        <f t="array" ref="AB142">INDEX(Subject!$A:$I,MATCH(RANDBETWEEN(1,16),Subject!$B:$B,0),3)</f>
        <v/>
      </c>
      <c r="AC142" s="8" t="str">
        <f t="array" ref="AC142">INDEX(Subject!$A:$I,MATCH(RANDBETWEEN(1,16),Subject!$B:$B,0),3)</f>
        <v>#N/A</v>
      </c>
      <c r="AD142" s="8" t="str">
        <f t="array" ref="AD142">INDEX(Subject!$A:$I,MATCH(RANDBETWEEN(1,16),Subject!$B:$B,0),3)</f>
        <v>#N/A</v>
      </c>
      <c r="AE142" s="8" t="str">
        <f t="array" ref="AE142">INDEX(Subject!$A:$I,MATCH(RANDBETWEEN(1,16),Subject!$B:$B,0),3)</f>
        <v/>
      </c>
      <c r="AF142" s="8" t="str">
        <f t="array" ref="AF142">INDEX(Subject!$A:$I,MATCH(RANDBETWEEN(1,16),Subject!$B:$B,0),3)</f>
        <v>#N/A</v>
      </c>
      <c r="AG142" s="8" t="str">
        <f t="array" ref="AG142">INDEX(Subject!$A:$I,MATCH(RANDBETWEEN(1,16),Subject!$B:$B,0),3)</f>
        <v>#N/A</v>
      </c>
      <c r="AH142" s="8" t="str">
        <f t="array" ref="AH142">INDEX(Subject!$A:$I,MATCH(RANDBETWEEN(1,16),Subject!$B:$B,0),3)</f>
        <v>#N/A</v>
      </c>
      <c r="AI142" s="8" t="str">
        <f t="array" ref="AI142">INDEX(Subject!$A:$I,MATCH(RANDBETWEEN(1,16),Subject!$B:$B,0),3)</f>
        <v>#N/A</v>
      </c>
      <c r="AJ142" s="8" t="str">
        <f t="array" ref="AJ142">INDEX(Subject!$A:$I,MATCH(RANDBETWEEN(1,16),Subject!$B:$B,0),3)</f>
        <v>#N/A</v>
      </c>
      <c r="AK142" s="8" t="str">
        <f t="array" ref="AK142">INDEX(Subject!$A:$I,MATCH(RANDBETWEEN(1,16),Subject!$B:$B,0),3)</f>
        <v>#N/A</v>
      </c>
      <c r="AL142" s="8" t="str">
        <f t="array" ref="AL142">INDEX(Subject!$A:$I,MATCH(RANDBETWEEN(1,16),Subject!$B:$B,0),3)</f>
        <v>#N/A</v>
      </c>
      <c r="AM142" s="18">
        <f t="shared" si="4"/>
        <v>45642.33333</v>
      </c>
      <c r="AN142" s="19">
        <f t="shared" ref="AN142:BZ142" si="142">$A142+C$1</f>
        <v>45642.35417</v>
      </c>
      <c r="AO142" s="19">
        <f t="shared" si="142"/>
        <v>45642.375</v>
      </c>
      <c r="AP142" s="19">
        <f t="shared" si="142"/>
        <v>45642.39583</v>
      </c>
      <c r="AQ142" s="19">
        <f t="shared" si="142"/>
        <v>45642.41667</v>
      </c>
      <c r="AR142" s="19">
        <f t="shared" si="142"/>
        <v>45642.4375</v>
      </c>
      <c r="AS142" s="19">
        <f t="shared" si="142"/>
        <v>45642.45833</v>
      </c>
      <c r="AT142" s="19">
        <f t="shared" si="142"/>
        <v>45642.47917</v>
      </c>
      <c r="AU142" s="19">
        <f t="shared" si="142"/>
        <v>45642.5</v>
      </c>
      <c r="AV142" s="19">
        <f t="shared" si="142"/>
        <v>45642.52083</v>
      </c>
      <c r="AW142" s="19">
        <f t="shared" si="142"/>
        <v>45642.54167</v>
      </c>
      <c r="AX142" s="19">
        <f t="shared" si="142"/>
        <v>45642.5625</v>
      </c>
      <c r="AY142" s="19">
        <f t="shared" si="142"/>
        <v>45642.58333</v>
      </c>
      <c r="AZ142" s="19">
        <f t="shared" si="142"/>
        <v>45642.60417</v>
      </c>
      <c r="BA142" s="19">
        <f t="shared" si="142"/>
        <v>45642.625</v>
      </c>
      <c r="BB142" s="19">
        <f t="shared" si="142"/>
        <v>45642.64583</v>
      </c>
      <c r="BC142" s="19">
        <f t="shared" si="142"/>
        <v>45642.66667</v>
      </c>
      <c r="BD142" s="19">
        <f t="shared" si="142"/>
        <v>45642.6875</v>
      </c>
      <c r="BE142" s="19">
        <f t="shared" si="142"/>
        <v>45642.70833</v>
      </c>
      <c r="BF142" s="19">
        <f t="shared" si="142"/>
        <v>45642.72917</v>
      </c>
      <c r="BG142" s="19">
        <f t="shared" si="142"/>
        <v>45642.75</v>
      </c>
      <c r="BH142" s="19">
        <f t="shared" si="142"/>
        <v>45642.77083</v>
      </c>
      <c r="BI142" s="19">
        <f t="shared" si="142"/>
        <v>45642.79167</v>
      </c>
      <c r="BJ142" s="19">
        <f t="shared" si="142"/>
        <v>45642.8125</v>
      </c>
      <c r="BK142" s="19">
        <f t="shared" si="142"/>
        <v>45642.83333</v>
      </c>
      <c r="BL142" s="19">
        <f t="shared" si="142"/>
        <v>45642.85417</v>
      </c>
      <c r="BM142" s="19">
        <f t="shared" si="142"/>
        <v>45642.875</v>
      </c>
      <c r="BN142" s="19">
        <f t="shared" si="142"/>
        <v>45642.89583</v>
      </c>
      <c r="BO142" s="19">
        <f t="shared" si="142"/>
        <v>45642.91667</v>
      </c>
      <c r="BP142" s="19">
        <f t="shared" si="142"/>
        <v>45642.9375</v>
      </c>
      <c r="BQ142" s="19">
        <f t="shared" si="142"/>
        <v>45642.95833</v>
      </c>
      <c r="BR142" s="19">
        <f t="shared" si="142"/>
        <v>45642.97917</v>
      </c>
      <c r="BS142" s="19">
        <f t="shared" si="142"/>
        <v>45643</v>
      </c>
      <c r="BT142" s="19">
        <f t="shared" si="142"/>
        <v>45643.02083</v>
      </c>
      <c r="BU142" s="19">
        <f t="shared" si="142"/>
        <v>45643.04167</v>
      </c>
      <c r="BV142" s="19">
        <f t="shared" si="142"/>
        <v>45643.0625</v>
      </c>
      <c r="BW142" s="19">
        <f t="shared" si="142"/>
        <v>45643.08333</v>
      </c>
      <c r="BX142" s="19">
        <f t="shared" si="142"/>
        <v>45642</v>
      </c>
      <c r="BY142" s="19">
        <f t="shared" si="142"/>
        <v>45642</v>
      </c>
      <c r="BZ142" s="19">
        <f t="shared" si="142"/>
        <v>45642</v>
      </c>
    </row>
    <row r="143" ht="14.25" customHeight="1">
      <c r="A143" s="17">
        <v>45643.0</v>
      </c>
      <c r="B143" s="2" t="str">
        <f t="array" ref="B143">IF(NOW()&gt;AM143,"",IF(AND((WEEKDAY($A143)+$B$2)&gt;1,((WEEKDAY($A143)+$T$2)&lt;7),(WEEKDAY($A143)&lt;&gt;1)),"work",(INDEX(Subject!$A:$I,MATCH(RANDBETWEEN(1,(MAX(Subject!$B:$B))),Subject!$B:$B,0),3))))</f>
        <v/>
      </c>
      <c r="C143" s="2" t="str">
        <f t="array" ref="C143">IF(NOW()&gt;AN143,"",IF(AND((WEEKDAY($A143)+$B$2)&gt;1,((WEEKDAY($A143)+$T$2)&lt;7),(WEEKDAY($A143)&lt;&gt;1)),"work",(INDEX(Subject!$A:$I,MATCH(RANDBETWEEN(1,(MAX(Subject!$B:$B))),Subject!$B:$B,0),3))))</f>
        <v/>
      </c>
      <c r="D143" s="2" t="str">
        <f t="array" ref="D143">IF(NOW()&gt;AO143,"",IF(AND((WEEKDAY($A143)+$B$2)&gt;1,((WEEKDAY($A143)+$T$2)&lt;7),(WEEKDAY($A143)&lt;&gt;1)),"work",(INDEX(Subject!$A:$I,MATCH(RANDBETWEEN(1,(MAX(Subject!$B:$B))),Subject!$B:$B,0),3))))</f>
        <v/>
      </c>
      <c r="E143" s="2" t="str">
        <f t="array" ref="E143">IF(NOW()&gt;AP143,"",IF(AND((WEEKDAY($A143)+$B$2)&gt;1,((WEEKDAY($A143)+$T$2)&lt;7),(WEEKDAY($A143)&lt;&gt;1)),"work",(INDEX(Subject!$A:$I,MATCH(RANDBETWEEN(1,(MAX(Subject!$B:$B))),Subject!$B:$B,0),3))))</f>
        <v/>
      </c>
      <c r="F143" s="2" t="str">
        <f t="array" ref="F143">IF(NOW()&gt;AQ143,"",IF(AND((WEEKDAY($A143)+$B$2)&gt;1,((WEEKDAY($A143)+$T$2)&lt;7),(WEEKDAY($A143)&lt;&gt;1)),"work",(INDEX(Subject!$A:$I,MATCH(RANDBETWEEN(1,(MAX(Subject!$B:$B))),Subject!$B:$B,0),3))))</f>
        <v/>
      </c>
      <c r="G143" s="2" t="str">
        <f t="array" ref="G143">IF(NOW()&gt;AR143,"",IF(AND((WEEKDAY($A143)+$B$2)&gt;1,((WEEKDAY($A143)+$T$2)&lt;7),(WEEKDAY($A143)&lt;&gt;1)),"work",(INDEX(Subject!$A:$I,MATCH(RANDBETWEEN(1,(MAX(Subject!$B:$B))),Subject!$B:$B,0),3))))</f>
        <v/>
      </c>
      <c r="H143" s="2" t="str">
        <f t="array" ref="H143">IF(NOW()&gt;AS143,"",IF(AND((WEEKDAY($A143)+$B$2)&gt;1,((WEEKDAY($A143)+$T$2)&lt;7),(WEEKDAY($A143)&lt;&gt;1)),"work",(INDEX(Subject!$A:$I,MATCH(RANDBETWEEN(1,(MAX(Subject!$B:$B))),Subject!$B:$B,0),3))))</f>
        <v/>
      </c>
      <c r="I143" s="2" t="str">
        <f t="array" ref="I143">IF(NOW()&gt;AT143,"",IF(AND((WEEKDAY($A143)+$B$2)&gt;1,((WEEKDAY($A143)+$T$2)&lt;7),(WEEKDAY($A143)&lt;&gt;1)),"work",(INDEX(Subject!$A:$I,MATCH(RANDBETWEEN(1,(MAX(Subject!$B:$B))),Subject!$B:$B,0),3))))</f>
        <v/>
      </c>
      <c r="J143" s="2" t="str">
        <f t="array" ref="J143">IF(NOW()&gt;AU143,"",IF(AND((WEEKDAY($A143)+$B$2)&gt;1,((WEEKDAY($A143)+$T$2)&lt;7),(WEEKDAY($A143)&lt;&gt;1)),"work",(INDEX(Subject!$A:$I,MATCH(RANDBETWEEN(1,(MAX(Subject!$B:$B))),Subject!$B:$B,0),3))))</f>
        <v/>
      </c>
      <c r="K143" s="2" t="str">
        <f t="array" ref="K143">IF(NOW()&gt;AV143,"",IF(AND((WEEKDAY($A143)+$B$2)&gt;1,((WEEKDAY($A143)+$T$2)&lt;7),(WEEKDAY($A143)&lt;&gt;1)),"work",(INDEX(Subject!$A:$I,MATCH(RANDBETWEEN(1,(MAX(Subject!$B:$B))),Subject!$B:$B,0),3))))</f>
        <v/>
      </c>
      <c r="L143" s="2" t="str">
        <f t="array" ref="L143">IF(NOW()&gt;AW143,"",IF(AND((WEEKDAY($A143)+$B$2)&gt;1,((WEEKDAY($A143)+$T$2)&lt;7),(WEEKDAY($A143)&lt;&gt;1)),"work",(INDEX(Subject!$A:$I,MATCH(RANDBETWEEN(1,(MAX(Subject!$B:$B))),Subject!$B:$B,0),3))))</f>
        <v/>
      </c>
      <c r="M143" s="2" t="str">
        <f t="array" ref="M143">IF(NOW()&gt;AX143,"",IF(AND((WEEKDAY($A143)+$B$2)&gt;1,((WEEKDAY($A143)+$T$2)&lt;7),(WEEKDAY($A143)&lt;&gt;1)),"work",(INDEX(Subject!$A:$I,MATCH(RANDBETWEEN(1,(MAX(Subject!$B:$B))),Subject!$B:$B,0),3))))</f>
        <v/>
      </c>
      <c r="N143" s="2" t="str">
        <f t="array" ref="N143">IF(NOW()&gt;AY143,"",IF(AND((WEEKDAY($A143)+$B$2)&gt;1,((WEEKDAY($A143)+$T$2)&lt;7),(WEEKDAY($A143)&lt;&gt;1)),"work",(INDEX(Subject!$A:$I,MATCH(RANDBETWEEN(1,(MAX(Subject!$B:$B))),Subject!$B:$B,0),3))))</f>
        <v/>
      </c>
      <c r="O143" s="2" t="str">
        <f t="array" ref="O143">IF(NOW()&gt;AZ143,"",IF(AND((WEEKDAY($A143)+$B$2)&gt;1,((WEEKDAY($A143)+$T$2)&lt;7),(WEEKDAY($A143)&lt;&gt;1)),"work",(INDEX(Subject!$A:$I,MATCH(RANDBETWEEN(1,(MAX(Subject!$B:$B))),Subject!$B:$B,0),3))))</f>
        <v/>
      </c>
      <c r="P143" s="2" t="str">
        <f t="array" ref="P143">IF(NOW()&gt;BA143,"",IF(AND((WEEKDAY($A143)+$B$2)&gt;1,((WEEKDAY($A143)+$T$2)&lt;7),(WEEKDAY($A143)&lt;&gt;1)),"work",(INDEX(Subject!$A:$I,MATCH(RANDBETWEEN(1,(MAX(Subject!$B:$B))),Subject!$B:$B,0),3))))</f>
        <v/>
      </c>
      <c r="Q143" s="2" t="str">
        <f t="array" ref="Q143">IF(NOW()&gt;BB143,"",IF(AND((WEEKDAY($A143)+$B$2)&gt;1,((WEEKDAY($A143)+$T$2)&lt;7),(WEEKDAY($A143)&lt;&gt;1)),"work",(INDEX(Subject!$A:$I,MATCH(RANDBETWEEN(1,(MAX(Subject!$B:$B))),Subject!$B:$B,0),3))))</f>
        <v/>
      </c>
      <c r="R143" s="2" t="str">
        <f t="array" ref="R143">IF(NOW()&gt;BC143,"",IF(AND((WEEKDAY($A143)+$B$2)&gt;1,((WEEKDAY($A143)+$T$2)&lt;7),(WEEKDAY($A143)&lt;&gt;1)),"work",(INDEX(Subject!$A:$I,MATCH(RANDBETWEEN(1,(MAX(Subject!$B:$B))),Subject!$B:$B,0),3))))</f>
        <v/>
      </c>
      <c r="S143" s="2" t="str">
        <f t="array" ref="S143">IF(NOW()&gt;BD143,"",IF(AND((WEEKDAY($A143)+$B$2)&gt;1,((WEEKDAY($A143)+$T$2)&lt;7),(WEEKDAY($A143)&lt;&gt;1)),"work",(INDEX(Subject!$A:$I,MATCH(RANDBETWEEN(1,(MAX(Subject!$B:$B))),Subject!$B:$B,0),3))))</f>
        <v/>
      </c>
      <c r="T143" s="2" t="str">
        <f t="array" ref="T143">IF(NOW()&gt;BE143,"",IF(AND((WEEKDAY($A143)+$B$2)&gt;1,((WEEKDAY($A143)+$T$2)&lt;7),(WEEKDAY($A143)&lt;&gt;1)),"work",(INDEX(Subject!$A:$I,MATCH(RANDBETWEEN(1,(MAX(Subject!$B:$B))),Subject!$B:$B,0),3))))</f>
        <v/>
      </c>
      <c r="U143" s="8" t="str">
        <f t="array" ref="U143">INDEX(Subject!$A:$I,MATCH(RANDBETWEEN(1,16),Subject!$B:$B,0),3)</f>
        <v>#N/A</v>
      </c>
      <c r="V143" s="8" t="str">
        <f t="array" ref="V143">INDEX(Subject!$A:$I,MATCH(RANDBETWEEN(1,16),Subject!$B:$B,0),3)</f>
        <v>#N/A</v>
      </c>
      <c r="W143" s="8" t="str">
        <f t="array" ref="W143">INDEX(Subject!$A:$I,MATCH(RANDBETWEEN(1,16),Subject!$B:$B,0),3)</f>
        <v>#N/A</v>
      </c>
      <c r="X143" s="8" t="str">
        <f t="array" ref="X143">INDEX(Subject!$A:$I,MATCH(RANDBETWEEN(1,16),Subject!$B:$B,0),3)</f>
        <v>#N/A</v>
      </c>
      <c r="Y143" s="8" t="str">
        <f t="array" ref="Y143">INDEX(Subject!$A:$I,MATCH(RANDBETWEEN(1,16),Subject!$B:$B,0),3)</f>
        <v>#N/A</v>
      </c>
      <c r="Z143" s="8" t="str">
        <f t="array" ref="Z143">INDEX(Subject!$A:$I,MATCH(RANDBETWEEN(1,16),Subject!$B:$B,0),3)</f>
        <v>#N/A</v>
      </c>
      <c r="AA143" s="8" t="str">
        <f t="array" ref="AA143">INDEX(Subject!$A:$I,MATCH(RANDBETWEEN(1,16),Subject!$B:$B,0),3)</f>
        <v>#N/A</v>
      </c>
      <c r="AB143" s="8" t="str">
        <f t="array" ref="AB143">INDEX(Subject!$A:$I,MATCH(RANDBETWEEN(1,16),Subject!$B:$B,0),3)</f>
        <v>#N/A</v>
      </c>
      <c r="AC143" s="8" t="str">
        <f t="array" ref="AC143">INDEX(Subject!$A:$I,MATCH(RANDBETWEEN(1,16),Subject!$B:$B,0),3)</f>
        <v>#N/A</v>
      </c>
      <c r="AD143" s="8" t="str">
        <f t="array" ref="AD143">INDEX(Subject!$A:$I,MATCH(RANDBETWEEN(1,16),Subject!$B:$B,0),3)</f>
        <v>#N/A</v>
      </c>
      <c r="AE143" s="8" t="str">
        <f t="array" ref="AE143">INDEX(Subject!$A:$I,MATCH(RANDBETWEEN(1,16),Subject!$B:$B,0),3)</f>
        <v>#N/A</v>
      </c>
      <c r="AF143" s="8" t="str">
        <f t="array" ref="AF143">INDEX(Subject!$A:$I,MATCH(RANDBETWEEN(1,16),Subject!$B:$B,0),3)</f>
        <v>#N/A</v>
      </c>
      <c r="AG143" s="8" t="str">
        <f t="array" ref="AG143">INDEX(Subject!$A:$I,MATCH(RANDBETWEEN(1,16),Subject!$B:$B,0),3)</f>
        <v>#N/A</v>
      </c>
      <c r="AH143" s="8" t="str">
        <f t="array" ref="AH143">INDEX(Subject!$A:$I,MATCH(RANDBETWEEN(1,16),Subject!$B:$B,0),3)</f>
        <v>#N/A</v>
      </c>
      <c r="AI143" s="8" t="str">
        <f t="array" ref="AI143">INDEX(Subject!$A:$I,MATCH(RANDBETWEEN(1,16),Subject!$B:$B,0),3)</f>
        <v>#N/A</v>
      </c>
      <c r="AJ143" s="8" t="str">
        <f t="array" ref="AJ143">INDEX(Subject!$A:$I,MATCH(RANDBETWEEN(1,16),Subject!$B:$B,0),3)</f>
        <v>#N/A</v>
      </c>
      <c r="AK143" s="8" t="str">
        <f t="array" ref="AK143">INDEX(Subject!$A:$I,MATCH(RANDBETWEEN(1,16),Subject!$B:$B,0),3)</f>
        <v>#N/A</v>
      </c>
      <c r="AL143" s="8" t="str">
        <f t="array" ref="AL143">INDEX(Subject!$A:$I,MATCH(RANDBETWEEN(1,16),Subject!$B:$B,0),3)</f>
        <v>#N/A</v>
      </c>
      <c r="AM143" s="18">
        <f t="shared" si="4"/>
        <v>45643.33333</v>
      </c>
      <c r="AN143" s="19">
        <f t="shared" ref="AN143:BZ143" si="143">$A143+C$1</f>
        <v>45643.35417</v>
      </c>
      <c r="AO143" s="19">
        <f t="shared" si="143"/>
        <v>45643.375</v>
      </c>
      <c r="AP143" s="19">
        <f t="shared" si="143"/>
        <v>45643.39583</v>
      </c>
      <c r="AQ143" s="19">
        <f t="shared" si="143"/>
        <v>45643.41667</v>
      </c>
      <c r="AR143" s="19">
        <f t="shared" si="143"/>
        <v>45643.4375</v>
      </c>
      <c r="AS143" s="19">
        <f t="shared" si="143"/>
        <v>45643.45833</v>
      </c>
      <c r="AT143" s="19">
        <f t="shared" si="143"/>
        <v>45643.47917</v>
      </c>
      <c r="AU143" s="19">
        <f t="shared" si="143"/>
        <v>45643.5</v>
      </c>
      <c r="AV143" s="19">
        <f t="shared" si="143"/>
        <v>45643.52083</v>
      </c>
      <c r="AW143" s="19">
        <f t="shared" si="143"/>
        <v>45643.54167</v>
      </c>
      <c r="AX143" s="19">
        <f t="shared" si="143"/>
        <v>45643.5625</v>
      </c>
      <c r="AY143" s="19">
        <f t="shared" si="143"/>
        <v>45643.58333</v>
      </c>
      <c r="AZ143" s="19">
        <f t="shared" si="143"/>
        <v>45643.60417</v>
      </c>
      <c r="BA143" s="19">
        <f t="shared" si="143"/>
        <v>45643.625</v>
      </c>
      <c r="BB143" s="19">
        <f t="shared" si="143"/>
        <v>45643.64583</v>
      </c>
      <c r="BC143" s="19">
        <f t="shared" si="143"/>
        <v>45643.66667</v>
      </c>
      <c r="BD143" s="19">
        <f t="shared" si="143"/>
        <v>45643.6875</v>
      </c>
      <c r="BE143" s="19">
        <f t="shared" si="143"/>
        <v>45643.70833</v>
      </c>
      <c r="BF143" s="19">
        <f t="shared" si="143"/>
        <v>45643.72917</v>
      </c>
      <c r="BG143" s="19">
        <f t="shared" si="143"/>
        <v>45643.75</v>
      </c>
      <c r="BH143" s="19">
        <f t="shared" si="143"/>
        <v>45643.77083</v>
      </c>
      <c r="BI143" s="19">
        <f t="shared" si="143"/>
        <v>45643.79167</v>
      </c>
      <c r="BJ143" s="19">
        <f t="shared" si="143"/>
        <v>45643.8125</v>
      </c>
      <c r="BK143" s="19">
        <f t="shared" si="143"/>
        <v>45643.83333</v>
      </c>
      <c r="BL143" s="19">
        <f t="shared" si="143"/>
        <v>45643.85417</v>
      </c>
      <c r="BM143" s="19">
        <f t="shared" si="143"/>
        <v>45643.875</v>
      </c>
      <c r="BN143" s="19">
        <f t="shared" si="143"/>
        <v>45643.89583</v>
      </c>
      <c r="BO143" s="19">
        <f t="shared" si="143"/>
        <v>45643.91667</v>
      </c>
      <c r="BP143" s="19">
        <f t="shared" si="143"/>
        <v>45643.9375</v>
      </c>
      <c r="BQ143" s="19">
        <f t="shared" si="143"/>
        <v>45643.95833</v>
      </c>
      <c r="BR143" s="19">
        <f t="shared" si="143"/>
        <v>45643.97917</v>
      </c>
      <c r="BS143" s="19">
        <f t="shared" si="143"/>
        <v>45644</v>
      </c>
      <c r="BT143" s="19">
        <f t="shared" si="143"/>
        <v>45644.02083</v>
      </c>
      <c r="BU143" s="19">
        <f t="shared" si="143"/>
        <v>45644.04167</v>
      </c>
      <c r="BV143" s="19">
        <f t="shared" si="143"/>
        <v>45644.0625</v>
      </c>
      <c r="BW143" s="19">
        <f t="shared" si="143"/>
        <v>45644.08333</v>
      </c>
      <c r="BX143" s="19">
        <f t="shared" si="143"/>
        <v>45643</v>
      </c>
      <c r="BY143" s="19">
        <f t="shared" si="143"/>
        <v>45643</v>
      </c>
      <c r="BZ143" s="19">
        <f t="shared" si="143"/>
        <v>45643</v>
      </c>
    </row>
    <row r="144" ht="14.25" customHeight="1">
      <c r="A144" s="17">
        <v>45644.0</v>
      </c>
      <c r="B144" s="2" t="str">
        <f t="array" ref="B144">IF(NOW()&gt;AM144,"",IF(AND((WEEKDAY($A144)+$B$2)&gt;1,((WEEKDAY($A144)+$T$2)&lt;7),(WEEKDAY($A144)&lt;&gt;1)),"work",(INDEX(Subject!$A:$I,MATCH(RANDBETWEEN(1,(MAX(Subject!$B:$B))),Subject!$B:$B,0),3))))</f>
        <v/>
      </c>
      <c r="C144" s="2" t="str">
        <f t="array" ref="C144">IF(NOW()&gt;AN144,"",IF(AND((WEEKDAY($A144)+$B$2)&gt;1,((WEEKDAY($A144)+$T$2)&lt;7),(WEEKDAY($A144)&lt;&gt;1)),"work",(INDEX(Subject!$A:$I,MATCH(RANDBETWEEN(1,(MAX(Subject!$B:$B))),Subject!$B:$B,0),3))))</f>
        <v/>
      </c>
      <c r="D144" s="2" t="str">
        <f t="array" ref="D144">IF(NOW()&gt;AO144,"",IF(AND((WEEKDAY($A144)+$B$2)&gt;1,((WEEKDAY($A144)+$T$2)&lt;7),(WEEKDAY($A144)&lt;&gt;1)),"work",(INDEX(Subject!$A:$I,MATCH(RANDBETWEEN(1,(MAX(Subject!$B:$B))),Subject!$B:$B,0),3))))</f>
        <v/>
      </c>
      <c r="E144" s="2" t="str">
        <f t="array" ref="E144">IF(NOW()&gt;AP144,"",IF(AND((WEEKDAY($A144)+$B$2)&gt;1,((WEEKDAY($A144)+$T$2)&lt;7),(WEEKDAY($A144)&lt;&gt;1)),"work",(INDEX(Subject!$A:$I,MATCH(RANDBETWEEN(1,(MAX(Subject!$B:$B))),Subject!$B:$B,0),3))))</f>
        <v/>
      </c>
      <c r="F144" s="2" t="str">
        <f t="array" ref="F144">IF(NOW()&gt;AQ144,"",IF(AND((WEEKDAY($A144)+$B$2)&gt;1,((WEEKDAY($A144)+$T$2)&lt;7),(WEEKDAY($A144)&lt;&gt;1)),"work",(INDEX(Subject!$A:$I,MATCH(RANDBETWEEN(1,(MAX(Subject!$B:$B))),Subject!$B:$B,0),3))))</f>
        <v/>
      </c>
      <c r="G144" s="2" t="str">
        <f t="array" ref="G144">IF(NOW()&gt;AR144,"",IF(AND((WEEKDAY($A144)+$B$2)&gt;1,((WEEKDAY($A144)+$T$2)&lt;7),(WEEKDAY($A144)&lt;&gt;1)),"work",(INDEX(Subject!$A:$I,MATCH(RANDBETWEEN(1,(MAX(Subject!$B:$B))),Subject!$B:$B,0),3))))</f>
        <v/>
      </c>
      <c r="H144" s="2" t="str">
        <f t="array" ref="H144">IF(NOW()&gt;AS144,"",IF(AND((WEEKDAY($A144)+$B$2)&gt;1,((WEEKDAY($A144)+$T$2)&lt;7),(WEEKDAY($A144)&lt;&gt;1)),"work",(INDEX(Subject!$A:$I,MATCH(RANDBETWEEN(1,(MAX(Subject!$B:$B))),Subject!$B:$B,0),3))))</f>
        <v/>
      </c>
      <c r="I144" s="2" t="str">
        <f t="array" ref="I144">IF(NOW()&gt;AT144,"",IF(AND((WEEKDAY($A144)+$B$2)&gt;1,((WEEKDAY($A144)+$T$2)&lt;7),(WEEKDAY($A144)&lt;&gt;1)),"work",(INDEX(Subject!$A:$I,MATCH(RANDBETWEEN(1,(MAX(Subject!$B:$B))),Subject!$B:$B,0),3))))</f>
        <v/>
      </c>
      <c r="J144" s="2" t="str">
        <f t="array" ref="J144">IF(NOW()&gt;AU144,"",IF(AND((WEEKDAY($A144)+$B$2)&gt;1,((WEEKDAY($A144)+$T$2)&lt;7),(WEEKDAY($A144)&lt;&gt;1)),"work",(INDEX(Subject!$A:$I,MATCH(RANDBETWEEN(1,(MAX(Subject!$B:$B))),Subject!$B:$B,0),3))))</f>
        <v/>
      </c>
      <c r="K144" s="2" t="str">
        <f t="array" ref="K144">IF(NOW()&gt;AV144,"",IF(AND((WEEKDAY($A144)+$B$2)&gt;1,((WEEKDAY($A144)+$T$2)&lt;7),(WEEKDAY($A144)&lt;&gt;1)),"work",(INDEX(Subject!$A:$I,MATCH(RANDBETWEEN(1,(MAX(Subject!$B:$B))),Subject!$B:$B,0),3))))</f>
        <v/>
      </c>
      <c r="L144" s="2" t="str">
        <f t="array" ref="L144">IF(NOW()&gt;AW144,"",IF(AND((WEEKDAY($A144)+$B$2)&gt;1,((WEEKDAY($A144)+$T$2)&lt;7),(WEEKDAY($A144)&lt;&gt;1)),"work",(INDEX(Subject!$A:$I,MATCH(RANDBETWEEN(1,(MAX(Subject!$B:$B))),Subject!$B:$B,0),3))))</f>
        <v/>
      </c>
      <c r="M144" s="2" t="str">
        <f t="array" ref="M144">IF(NOW()&gt;AX144,"",IF(AND((WEEKDAY($A144)+$B$2)&gt;1,((WEEKDAY($A144)+$T$2)&lt;7),(WEEKDAY($A144)&lt;&gt;1)),"work",(INDEX(Subject!$A:$I,MATCH(RANDBETWEEN(1,(MAX(Subject!$B:$B))),Subject!$B:$B,0),3))))</f>
        <v/>
      </c>
      <c r="N144" s="2" t="str">
        <f t="array" ref="N144">IF(NOW()&gt;AY144,"",IF(AND((WEEKDAY($A144)+$B$2)&gt;1,((WEEKDAY($A144)+$T$2)&lt;7),(WEEKDAY($A144)&lt;&gt;1)),"work",(INDEX(Subject!$A:$I,MATCH(RANDBETWEEN(1,(MAX(Subject!$B:$B))),Subject!$B:$B,0),3))))</f>
        <v/>
      </c>
      <c r="O144" s="2" t="str">
        <f t="array" ref="O144">IF(NOW()&gt;AZ144,"",IF(AND((WEEKDAY($A144)+$B$2)&gt;1,((WEEKDAY($A144)+$T$2)&lt;7),(WEEKDAY($A144)&lt;&gt;1)),"work",(INDEX(Subject!$A:$I,MATCH(RANDBETWEEN(1,(MAX(Subject!$B:$B))),Subject!$B:$B,0),3))))</f>
        <v/>
      </c>
      <c r="P144" s="2" t="str">
        <f t="array" ref="P144">IF(NOW()&gt;BA144,"",IF(AND((WEEKDAY($A144)+$B$2)&gt;1,((WEEKDAY($A144)+$T$2)&lt;7),(WEEKDAY($A144)&lt;&gt;1)),"work",(INDEX(Subject!$A:$I,MATCH(RANDBETWEEN(1,(MAX(Subject!$B:$B))),Subject!$B:$B,0),3))))</f>
        <v/>
      </c>
      <c r="Q144" s="2" t="str">
        <f t="array" ref="Q144">IF(NOW()&gt;BB144,"",IF(AND((WEEKDAY($A144)+$B$2)&gt;1,((WEEKDAY($A144)+$T$2)&lt;7),(WEEKDAY($A144)&lt;&gt;1)),"work",(INDEX(Subject!$A:$I,MATCH(RANDBETWEEN(1,(MAX(Subject!$B:$B))),Subject!$B:$B,0),3))))</f>
        <v/>
      </c>
      <c r="R144" s="2" t="str">
        <f t="array" ref="R144">IF(NOW()&gt;BC144,"",IF(AND((WEEKDAY($A144)+$B$2)&gt;1,((WEEKDAY($A144)+$T$2)&lt;7),(WEEKDAY($A144)&lt;&gt;1)),"work",(INDEX(Subject!$A:$I,MATCH(RANDBETWEEN(1,(MAX(Subject!$B:$B))),Subject!$B:$B,0),3))))</f>
        <v/>
      </c>
      <c r="S144" s="2" t="str">
        <f t="array" ref="S144">IF(NOW()&gt;BD144,"",IF(AND((WEEKDAY($A144)+$B$2)&gt;1,((WEEKDAY($A144)+$T$2)&lt;7),(WEEKDAY($A144)&lt;&gt;1)),"work",(INDEX(Subject!$A:$I,MATCH(RANDBETWEEN(1,(MAX(Subject!$B:$B))),Subject!$B:$B,0),3))))</f>
        <v/>
      </c>
      <c r="T144" s="2" t="str">
        <f t="array" ref="T144">IF(NOW()&gt;BE144,"",IF(AND((WEEKDAY($A144)+$B$2)&gt;1,((WEEKDAY($A144)+$T$2)&lt;7),(WEEKDAY($A144)&lt;&gt;1)),"work",(INDEX(Subject!$A:$I,MATCH(RANDBETWEEN(1,(MAX(Subject!$B:$B))),Subject!$B:$B,0),3))))</f>
        <v/>
      </c>
      <c r="U144" s="8" t="str">
        <f t="array" ref="U144">INDEX(Subject!$A:$I,MATCH(RANDBETWEEN(1,16),Subject!$B:$B,0),3)</f>
        <v>#N/A</v>
      </c>
      <c r="V144" s="8" t="str">
        <f t="array" ref="V144">INDEX(Subject!$A:$I,MATCH(RANDBETWEEN(1,16),Subject!$B:$B,0),3)</f>
        <v>#N/A</v>
      </c>
      <c r="W144" s="8" t="str">
        <f t="array" ref="W144">INDEX(Subject!$A:$I,MATCH(RANDBETWEEN(1,16),Subject!$B:$B,0),3)</f>
        <v>#N/A</v>
      </c>
      <c r="X144" s="8" t="str">
        <f t="array" ref="X144">INDEX(Subject!$A:$I,MATCH(RANDBETWEEN(1,16),Subject!$B:$B,0),3)</f>
        <v>#N/A</v>
      </c>
      <c r="Y144" s="8" t="str">
        <f t="array" ref="Y144">INDEX(Subject!$A:$I,MATCH(RANDBETWEEN(1,16),Subject!$B:$B,0),3)</f>
        <v>#N/A</v>
      </c>
      <c r="Z144" s="8" t="str">
        <f t="array" ref="Z144">INDEX(Subject!$A:$I,MATCH(RANDBETWEEN(1,16),Subject!$B:$B,0),3)</f>
        <v>#N/A</v>
      </c>
      <c r="AA144" s="8" t="str">
        <f t="array" ref="AA144">INDEX(Subject!$A:$I,MATCH(RANDBETWEEN(1,16),Subject!$B:$B,0),3)</f>
        <v>#N/A</v>
      </c>
      <c r="AB144" s="8" t="str">
        <f t="array" ref="AB144">INDEX(Subject!$A:$I,MATCH(RANDBETWEEN(1,16),Subject!$B:$B,0),3)</f>
        <v>#N/A</v>
      </c>
      <c r="AC144" s="8" t="str">
        <f t="array" ref="AC144">INDEX(Subject!$A:$I,MATCH(RANDBETWEEN(1,16),Subject!$B:$B,0),3)</f>
        <v>#N/A</v>
      </c>
      <c r="AD144" s="8" t="str">
        <f t="array" ref="AD144">INDEX(Subject!$A:$I,MATCH(RANDBETWEEN(1,16),Subject!$B:$B,0),3)</f>
        <v>#N/A</v>
      </c>
      <c r="AE144" s="8" t="str">
        <f t="array" ref="AE144">INDEX(Subject!$A:$I,MATCH(RANDBETWEEN(1,16),Subject!$B:$B,0),3)</f>
        <v>#N/A</v>
      </c>
      <c r="AF144" s="8" t="str">
        <f t="array" ref="AF144">INDEX(Subject!$A:$I,MATCH(RANDBETWEEN(1,16),Subject!$B:$B,0),3)</f>
        <v>#N/A</v>
      </c>
      <c r="AG144" s="8" t="str">
        <f t="array" ref="AG144">INDEX(Subject!$A:$I,MATCH(RANDBETWEEN(1,16),Subject!$B:$B,0),3)</f>
        <v>#N/A</v>
      </c>
      <c r="AH144" s="8" t="str">
        <f t="array" ref="AH144">INDEX(Subject!$A:$I,MATCH(RANDBETWEEN(1,16),Subject!$B:$B,0),3)</f>
        <v>#N/A</v>
      </c>
      <c r="AI144" s="8" t="str">
        <f t="array" ref="AI144">INDEX(Subject!$A:$I,MATCH(RANDBETWEEN(1,16),Subject!$B:$B,0),3)</f>
        <v>#N/A</v>
      </c>
      <c r="AJ144" s="8" t="str">
        <f t="array" ref="AJ144">INDEX(Subject!$A:$I,MATCH(RANDBETWEEN(1,16),Subject!$B:$B,0),3)</f>
        <v>#N/A</v>
      </c>
      <c r="AK144" s="8" t="str">
        <f t="array" ref="AK144">INDEX(Subject!$A:$I,MATCH(RANDBETWEEN(1,16),Subject!$B:$B,0),3)</f>
        <v/>
      </c>
      <c r="AL144" s="8" t="str">
        <f t="array" ref="AL144">INDEX(Subject!$A:$I,MATCH(RANDBETWEEN(1,16),Subject!$B:$B,0),3)</f>
        <v>#N/A</v>
      </c>
      <c r="AM144" s="18">
        <f t="shared" si="4"/>
        <v>45644.33333</v>
      </c>
      <c r="AN144" s="19">
        <f t="shared" ref="AN144:BZ144" si="144">$A144+C$1</f>
        <v>45644.35417</v>
      </c>
      <c r="AO144" s="19">
        <f t="shared" si="144"/>
        <v>45644.375</v>
      </c>
      <c r="AP144" s="19">
        <f t="shared" si="144"/>
        <v>45644.39583</v>
      </c>
      <c r="AQ144" s="19">
        <f t="shared" si="144"/>
        <v>45644.41667</v>
      </c>
      <c r="AR144" s="19">
        <f t="shared" si="144"/>
        <v>45644.4375</v>
      </c>
      <c r="AS144" s="19">
        <f t="shared" si="144"/>
        <v>45644.45833</v>
      </c>
      <c r="AT144" s="19">
        <f t="shared" si="144"/>
        <v>45644.47917</v>
      </c>
      <c r="AU144" s="19">
        <f t="shared" si="144"/>
        <v>45644.5</v>
      </c>
      <c r="AV144" s="19">
        <f t="shared" si="144"/>
        <v>45644.52083</v>
      </c>
      <c r="AW144" s="19">
        <f t="shared" si="144"/>
        <v>45644.54167</v>
      </c>
      <c r="AX144" s="19">
        <f t="shared" si="144"/>
        <v>45644.5625</v>
      </c>
      <c r="AY144" s="19">
        <f t="shared" si="144"/>
        <v>45644.58333</v>
      </c>
      <c r="AZ144" s="19">
        <f t="shared" si="144"/>
        <v>45644.60417</v>
      </c>
      <c r="BA144" s="19">
        <f t="shared" si="144"/>
        <v>45644.625</v>
      </c>
      <c r="BB144" s="19">
        <f t="shared" si="144"/>
        <v>45644.64583</v>
      </c>
      <c r="BC144" s="19">
        <f t="shared" si="144"/>
        <v>45644.66667</v>
      </c>
      <c r="BD144" s="19">
        <f t="shared" si="144"/>
        <v>45644.6875</v>
      </c>
      <c r="BE144" s="19">
        <f t="shared" si="144"/>
        <v>45644.70833</v>
      </c>
      <c r="BF144" s="19">
        <f t="shared" si="144"/>
        <v>45644.72917</v>
      </c>
      <c r="BG144" s="19">
        <f t="shared" si="144"/>
        <v>45644.75</v>
      </c>
      <c r="BH144" s="19">
        <f t="shared" si="144"/>
        <v>45644.77083</v>
      </c>
      <c r="BI144" s="19">
        <f t="shared" si="144"/>
        <v>45644.79167</v>
      </c>
      <c r="BJ144" s="19">
        <f t="shared" si="144"/>
        <v>45644.8125</v>
      </c>
      <c r="BK144" s="19">
        <f t="shared" si="144"/>
        <v>45644.83333</v>
      </c>
      <c r="BL144" s="19">
        <f t="shared" si="144"/>
        <v>45644.85417</v>
      </c>
      <c r="BM144" s="19">
        <f t="shared" si="144"/>
        <v>45644.875</v>
      </c>
      <c r="BN144" s="19">
        <f t="shared" si="144"/>
        <v>45644.89583</v>
      </c>
      <c r="BO144" s="19">
        <f t="shared" si="144"/>
        <v>45644.91667</v>
      </c>
      <c r="BP144" s="19">
        <f t="shared" si="144"/>
        <v>45644.9375</v>
      </c>
      <c r="BQ144" s="19">
        <f t="shared" si="144"/>
        <v>45644.95833</v>
      </c>
      <c r="BR144" s="19">
        <f t="shared" si="144"/>
        <v>45644.97917</v>
      </c>
      <c r="BS144" s="19">
        <f t="shared" si="144"/>
        <v>45645</v>
      </c>
      <c r="BT144" s="19">
        <f t="shared" si="144"/>
        <v>45645.02083</v>
      </c>
      <c r="BU144" s="19">
        <f t="shared" si="144"/>
        <v>45645.04167</v>
      </c>
      <c r="BV144" s="19">
        <f t="shared" si="144"/>
        <v>45645.0625</v>
      </c>
      <c r="BW144" s="19">
        <f t="shared" si="144"/>
        <v>45645.08333</v>
      </c>
      <c r="BX144" s="19">
        <f t="shared" si="144"/>
        <v>45644</v>
      </c>
      <c r="BY144" s="19">
        <f t="shared" si="144"/>
        <v>45644</v>
      </c>
      <c r="BZ144" s="19">
        <f t="shared" si="144"/>
        <v>45644</v>
      </c>
    </row>
    <row r="145" ht="14.25" customHeight="1">
      <c r="A145" s="17">
        <v>45645.0</v>
      </c>
      <c r="B145" s="2" t="str">
        <f t="array" ref="B145">IF(NOW()&gt;AM145,"",IF(AND((WEEKDAY($A145)+$B$2)&gt;1,((WEEKDAY($A145)+$T$2)&lt;7),(WEEKDAY($A145)&lt;&gt;1)),"work",(INDEX(Subject!$A:$I,MATCH(RANDBETWEEN(1,(MAX(Subject!$B:$B))),Subject!$B:$B,0),3))))</f>
        <v/>
      </c>
      <c r="C145" s="2" t="str">
        <f t="array" ref="C145">IF(NOW()&gt;AN145,"",IF(AND((WEEKDAY($A145)+$B$2)&gt;1,((WEEKDAY($A145)+$T$2)&lt;7),(WEEKDAY($A145)&lt;&gt;1)),"work",(INDEX(Subject!$A:$I,MATCH(RANDBETWEEN(1,(MAX(Subject!$B:$B))),Subject!$B:$B,0),3))))</f>
        <v/>
      </c>
      <c r="D145" s="2" t="str">
        <f t="array" ref="D145">IF(NOW()&gt;AO145,"",IF(AND((WEEKDAY($A145)+$B$2)&gt;1,((WEEKDAY($A145)+$T$2)&lt;7),(WEEKDAY($A145)&lt;&gt;1)),"work",(INDEX(Subject!$A:$I,MATCH(RANDBETWEEN(1,(MAX(Subject!$B:$B))),Subject!$B:$B,0),3))))</f>
        <v/>
      </c>
      <c r="E145" s="2" t="str">
        <f t="array" ref="E145">IF(NOW()&gt;AP145,"",IF(AND((WEEKDAY($A145)+$B$2)&gt;1,((WEEKDAY($A145)+$T$2)&lt;7),(WEEKDAY($A145)&lt;&gt;1)),"work",(INDEX(Subject!$A:$I,MATCH(RANDBETWEEN(1,(MAX(Subject!$B:$B))),Subject!$B:$B,0),3))))</f>
        <v/>
      </c>
      <c r="F145" s="2" t="str">
        <f t="array" ref="F145">IF(NOW()&gt;AQ145,"",IF(AND((WEEKDAY($A145)+$B$2)&gt;1,((WEEKDAY($A145)+$T$2)&lt;7),(WEEKDAY($A145)&lt;&gt;1)),"work",(INDEX(Subject!$A:$I,MATCH(RANDBETWEEN(1,(MAX(Subject!$B:$B))),Subject!$B:$B,0),3))))</f>
        <v/>
      </c>
      <c r="G145" s="2" t="str">
        <f t="array" ref="G145">IF(NOW()&gt;AR145,"",IF(AND((WEEKDAY($A145)+$B$2)&gt;1,((WEEKDAY($A145)+$T$2)&lt;7),(WEEKDAY($A145)&lt;&gt;1)),"work",(INDEX(Subject!$A:$I,MATCH(RANDBETWEEN(1,(MAX(Subject!$B:$B))),Subject!$B:$B,0),3))))</f>
        <v/>
      </c>
      <c r="H145" s="2" t="str">
        <f t="array" ref="H145">IF(NOW()&gt;AS145,"",IF(AND((WEEKDAY($A145)+$B$2)&gt;1,((WEEKDAY($A145)+$T$2)&lt;7),(WEEKDAY($A145)&lt;&gt;1)),"work",(INDEX(Subject!$A:$I,MATCH(RANDBETWEEN(1,(MAX(Subject!$B:$B))),Subject!$B:$B,0),3))))</f>
        <v/>
      </c>
      <c r="I145" s="2" t="str">
        <f t="array" ref="I145">IF(NOW()&gt;AT145,"",IF(AND((WEEKDAY($A145)+$B$2)&gt;1,((WEEKDAY($A145)+$T$2)&lt;7),(WEEKDAY($A145)&lt;&gt;1)),"work",(INDEX(Subject!$A:$I,MATCH(RANDBETWEEN(1,(MAX(Subject!$B:$B))),Subject!$B:$B,0),3))))</f>
        <v/>
      </c>
      <c r="J145" s="2" t="str">
        <f t="array" ref="J145">IF(NOW()&gt;AU145,"",IF(AND((WEEKDAY($A145)+$B$2)&gt;1,((WEEKDAY($A145)+$T$2)&lt;7),(WEEKDAY($A145)&lt;&gt;1)),"work",(INDEX(Subject!$A:$I,MATCH(RANDBETWEEN(1,(MAX(Subject!$B:$B))),Subject!$B:$B,0),3))))</f>
        <v/>
      </c>
      <c r="K145" s="2" t="str">
        <f t="array" ref="K145">IF(NOW()&gt;AV145,"",IF(AND((WEEKDAY($A145)+$B$2)&gt;1,((WEEKDAY($A145)+$T$2)&lt;7),(WEEKDAY($A145)&lt;&gt;1)),"work",(INDEX(Subject!$A:$I,MATCH(RANDBETWEEN(1,(MAX(Subject!$B:$B))),Subject!$B:$B,0),3))))</f>
        <v/>
      </c>
      <c r="L145" s="2" t="str">
        <f t="array" ref="L145">IF(NOW()&gt;AW145,"",IF(AND((WEEKDAY($A145)+$B$2)&gt;1,((WEEKDAY($A145)+$T$2)&lt;7),(WEEKDAY($A145)&lt;&gt;1)),"work",(INDEX(Subject!$A:$I,MATCH(RANDBETWEEN(1,(MAX(Subject!$B:$B))),Subject!$B:$B,0),3))))</f>
        <v/>
      </c>
      <c r="M145" s="2" t="str">
        <f t="array" ref="M145">IF(NOW()&gt;AX145,"",IF(AND((WEEKDAY($A145)+$B$2)&gt;1,((WEEKDAY($A145)+$T$2)&lt;7),(WEEKDAY($A145)&lt;&gt;1)),"work",(INDEX(Subject!$A:$I,MATCH(RANDBETWEEN(1,(MAX(Subject!$B:$B))),Subject!$B:$B,0),3))))</f>
        <v/>
      </c>
      <c r="N145" s="2" t="str">
        <f t="array" ref="N145">IF(NOW()&gt;AY145,"",IF(AND((WEEKDAY($A145)+$B$2)&gt;1,((WEEKDAY($A145)+$T$2)&lt;7),(WEEKDAY($A145)&lt;&gt;1)),"work",(INDEX(Subject!$A:$I,MATCH(RANDBETWEEN(1,(MAX(Subject!$B:$B))),Subject!$B:$B,0),3))))</f>
        <v/>
      </c>
      <c r="O145" s="2" t="str">
        <f t="array" ref="O145">IF(NOW()&gt;AZ145,"",IF(AND((WEEKDAY($A145)+$B$2)&gt;1,((WEEKDAY($A145)+$T$2)&lt;7),(WEEKDAY($A145)&lt;&gt;1)),"work",(INDEX(Subject!$A:$I,MATCH(RANDBETWEEN(1,(MAX(Subject!$B:$B))),Subject!$B:$B,0),3))))</f>
        <v/>
      </c>
      <c r="P145" s="2" t="str">
        <f t="array" ref="P145">IF(NOW()&gt;BA145,"",IF(AND((WEEKDAY($A145)+$B$2)&gt;1,((WEEKDAY($A145)+$T$2)&lt;7),(WEEKDAY($A145)&lt;&gt;1)),"work",(INDEX(Subject!$A:$I,MATCH(RANDBETWEEN(1,(MAX(Subject!$B:$B))),Subject!$B:$B,0),3))))</f>
        <v/>
      </c>
      <c r="Q145" s="2" t="str">
        <f t="array" ref="Q145">IF(NOW()&gt;BB145,"",IF(AND((WEEKDAY($A145)+$B$2)&gt;1,((WEEKDAY($A145)+$T$2)&lt;7),(WEEKDAY($A145)&lt;&gt;1)),"work",(INDEX(Subject!$A:$I,MATCH(RANDBETWEEN(1,(MAX(Subject!$B:$B))),Subject!$B:$B,0),3))))</f>
        <v/>
      </c>
      <c r="R145" s="2" t="str">
        <f t="array" ref="R145">IF(NOW()&gt;BC145,"",IF(AND((WEEKDAY($A145)+$B$2)&gt;1,((WEEKDAY($A145)+$T$2)&lt;7),(WEEKDAY($A145)&lt;&gt;1)),"work",(INDEX(Subject!$A:$I,MATCH(RANDBETWEEN(1,(MAX(Subject!$B:$B))),Subject!$B:$B,0),3))))</f>
        <v/>
      </c>
      <c r="S145" s="2" t="str">
        <f t="array" ref="S145">IF(NOW()&gt;BD145,"",IF(AND((WEEKDAY($A145)+$B$2)&gt;1,((WEEKDAY($A145)+$T$2)&lt;7),(WEEKDAY($A145)&lt;&gt;1)),"work",(INDEX(Subject!$A:$I,MATCH(RANDBETWEEN(1,(MAX(Subject!$B:$B))),Subject!$B:$B,0),3))))</f>
        <v/>
      </c>
      <c r="T145" s="2" t="str">
        <f t="array" ref="T145">IF(NOW()&gt;BE145,"",IF(AND((WEEKDAY($A145)+$B$2)&gt;1,((WEEKDAY($A145)+$T$2)&lt;7),(WEEKDAY($A145)&lt;&gt;1)),"work",(INDEX(Subject!$A:$I,MATCH(RANDBETWEEN(1,(MAX(Subject!$B:$B))),Subject!$B:$B,0),3))))</f>
        <v/>
      </c>
      <c r="U145" s="8" t="str">
        <f t="array" ref="U145">INDEX(Subject!$A:$I,MATCH(RANDBETWEEN(1,16),Subject!$B:$B,0),3)</f>
        <v>#N/A</v>
      </c>
      <c r="V145" s="8" t="str">
        <f t="array" ref="V145">INDEX(Subject!$A:$I,MATCH(RANDBETWEEN(1,16),Subject!$B:$B,0),3)</f>
        <v>#N/A</v>
      </c>
      <c r="W145" s="8" t="str">
        <f t="array" ref="W145">INDEX(Subject!$A:$I,MATCH(RANDBETWEEN(1,16),Subject!$B:$B,0),3)</f>
        <v>#N/A</v>
      </c>
      <c r="X145" s="8" t="str">
        <f t="array" ref="X145">INDEX(Subject!$A:$I,MATCH(RANDBETWEEN(1,16),Subject!$B:$B,0),3)</f>
        <v>#N/A</v>
      </c>
      <c r="Y145" s="8" t="str">
        <f t="array" ref="Y145">INDEX(Subject!$A:$I,MATCH(RANDBETWEEN(1,16),Subject!$B:$B,0),3)</f>
        <v>#N/A</v>
      </c>
      <c r="Z145" s="8" t="str">
        <f t="array" ref="Z145">INDEX(Subject!$A:$I,MATCH(RANDBETWEEN(1,16),Subject!$B:$B,0),3)</f>
        <v>#N/A</v>
      </c>
      <c r="AA145" s="8" t="str">
        <f t="array" ref="AA145">INDEX(Subject!$A:$I,MATCH(RANDBETWEEN(1,16),Subject!$B:$B,0),3)</f>
        <v>#N/A</v>
      </c>
      <c r="AB145" s="8" t="str">
        <f t="array" ref="AB145">INDEX(Subject!$A:$I,MATCH(RANDBETWEEN(1,16),Subject!$B:$B,0),3)</f>
        <v>#N/A</v>
      </c>
      <c r="AC145" s="8" t="str">
        <f t="array" ref="AC145">INDEX(Subject!$A:$I,MATCH(RANDBETWEEN(1,16),Subject!$B:$B,0),3)</f>
        <v>#N/A</v>
      </c>
      <c r="AD145" s="8" t="str">
        <f t="array" ref="AD145">INDEX(Subject!$A:$I,MATCH(RANDBETWEEN(1,16),Subject!$B:$B,0),3)</f>
        <v>#N/A</v>
      </c>
      <c r="AE145" s="8" t="str">
        <f t="array" ref="AE145">INDEX(Subject!$A:$I,MATCH(RANDBETWEEN(1,16),Subject!$B:$B,0),3)</f>
        <v>#N/A</v>
      </c>
      <c r="AF145" s="8" t="str">
        <f t="array" ref="AF145">INDEX(Subject!$A:$I,MATCH(RANDBETWEEN(1,16),Subject!$B:$B,0),3)</f>
        <v>#N/A</v>
      </c>
      <c r="AG145" s="8" t="str">
        <f t="array" ref="AG145">INDEX(Subject!$A:$I,MATCH(RANDBETWEEN(1,16),Subject!$B:$B,0),3)</f>
        <v>#N/A</v>
      </c>
      <c r="AH145" s="8" t="str">
        <f t="array" ref="AH145">INDEX(Subject!$A:$I,MATCH(RANDBETWEEN(1,16),Subject!$B:$B,0),3)</f>
        <v>#N/A</v>
      </c>
      <c r="AI145" s="8" t="str">
        <f t="array" ref="AI145">INDEX(Subject!$A:$I,MATCH(RANDBETWEEN(1,16),Subject!$B:$B,0),3)</f>
        <v>#N/A</v>
      </c>
      <c r="AJ145" s="8" t="str">
        <f t="array" ref="AJ145">INDEX(Subject!$A:$I,MATCH(RANDBETWEEN(1,16),Subject!$B:$B,0),3)</f>
        <v>#N/A</v>
      </c>
      <c r="AK145" s="8" t="str">
        <f t="array" ref="AK145">INDEX(Subject!$A:$I,MATCH(RANDBETWEEN(1,16),Subject!$B:$B,0),3)</f>
        <v>#N/A</v>
      </c>
      <c r="AL145" s="8" t="str">
        <f t="array" ref="AL145">INDEX(Subject!$A:$I,MATCH(RANDBETWEEN(1,16),Subject!$B:$B,0),3)</f>
        <v>#N/A</v>
      </c>
      <c r="AM145" s="18">
        <f t="shared" si="4"/>
        <v>45645.33333</v>
      </c>
      <c r="AN145" s="19">
        <f t="shared" ref="AN145:BZ145" si="145">$A145+C$1</f>
        <v>45645.35417</v>
      </c>
      <c r="AO145" s="19">
        <f t="shared" si="145"/>
        <v>45645.375</v>
      </c>
      <c r="AP145" s="19">
        <f t="shared" si="145"/>
        <v>45645.39583</v>
      </c>
      <c r="AQ145" s="19">
        <f t="shared" si="145"/>
        <v>45645.41667</v>
      </c>
      <c r="AR145" s="19">
        <f t="shared" si="145"/>
        <v>45645.4375</v>
      </c>
      <c r="AS145" s="19">
        <f t="shared" si="145"/>
        <v>45645.45833</v>
      </c>
      <c r="AT145" s="19">
        <f t="shared" si="145"/>
        <v>45645.47917</v>
      </c>
      <c r="AU145" s="19">
        <f t="shared" si="145"/>
        <v>45645.5</v>
      </c>
      <c r="AV145" s="19">
        <f t="shared" si="145"/>
        <v>45645.52083</v>
      </c>
      <c r="AW145" s="19">
        <f t="shared" si="145"/>
        <v>45645.54167</v>
      </c>
      <c r="AX145" s="19">
        <f t="shared" si="145"/>
        <v>45645.5625</v>
      </c>
      <c r="AY145" s="19">
        <f t="shared" si="145"/>
        <v>45645.58333</v>
      </c>
      <c r="AZ145" s="19">
        <f t="shared" si="145"/>
        <v>45645.60417</v>
      </c>
      <c r="BA145" s="19">
        <f t="shared" si="145"/>
        <v>45645.625</v>
      </c>
      <c r="BB145" s="19">
        <f t="shared" si="145"/>
        <v>45645.64583</v>
      </c>
      <c r="BC145" s="19">
        <f t="shared" si="145"/>
        <v>45645.66667</v>
      </c>
      <c r="BD145" s="19">
        <f t="shared" si="145"/>
        <v>45645.6875</v>
      </c>
      <c r="BE145" s="19">
        <f t="shared" si="145"/>
        <v>45645.70833</v>
      </c>
      <c r="BF145" s="19">
        <f t="shared" si="145"/>
        <v>45645.72917</v>
      </c>
      <c r="BG145" s="19">
        <f t="shared" si="145"/>
        <v>45645.75</v>
      </c>
      <c r="BH145" s="19">
        <f t="shared" si="145"/>
        <v>45645.77083</v>
      </c>
      <c r="BI145" s="19">
        <f t="shared" si="145"/>
        <v>45645.79167</v>
      </c>
      <c r="BJ145" s="19">
        <f t="shared" si="145"/>
        <v>45645.8125</v>
      </c>
      <c r="BK145" s="19">
        <f t="shared" si="145"/>
        <v>45645.83333</v>
      </c>
      <c r="BL145" s="19">
        <f t="shared" si="145"/>
        <v>45645.85417</v>
      </c>
      <c r="BM145" s="19">
        <f t="shared" si="145"/>
        <v>45645.875</v>
      </c>
      <c r="BN145" s="19">
        <f t="shared" si="145"/>
        <v>45645.89583</v>
      </c>
      <c r="BO145" s="19">
        <f t="shared" si="145"/>
        <v>45645.91667</v>
      </c>
      <c r="BP145" s="19">
        <f t="shared" si="145"/>
        <v>45645.9375</v>
      </c>
      <c r="BQ145" s="19">
        <f t="shared" si="145"/>
        <v>45645.95833</v>
      </c>
      <c r="BR145" s="19">
        <f t="shared" si="145"/>
        <v>45645.97917</v>
      </c>
      <c r="BS145" s="19">
        <f t="shared" si="145"/>
        <v>45646</v>
      </c>
      <c r="BT145" s="19">
        <f t="shared" si="145"/>
        <v>45646.02083</v>
      </c>
      <c r="BU145" s="19">
        <f t="shared" si="145"/>
        <v>45646.04167</v>
      </c>
      <c r="BV145" s="19">
        <f t="shared" si="145"/>
        <v>45646.0625</v>
      </c>
      <c r="BW145" s="19">
        <f t="shared" si="145"/>
        <v>45646.08333</v>
      </c>
      <c r="BX145" s="19">
        <f t="shared" si="145"/>
        <v>45645</v>
      </c>
      <c r="BY145" s="19">
        <f t="shared" si="145"/>
        <v>45645</v>
      </c>
      <c r="BZ145" s="19">
        <f t="shared" si="145"/>
        <v>45645</v>
      </c>
    </row>
    <row r="146" ht="14.25" customHeight="1">
      <c r="A146" s="17">
        <v>45646.0</v>
      </c>
      <c r="B146" s="2" t="str">
        <f t="array" ref="B146">IF(NOW()&gt;AM146,"",IF(AND((WEEKDAY($A146)+$B$2)&gt;1,((WEEKDAY($A146)+$T$2)&lt;7),(WEEKDAY($A146)&lt;&gt;1)),"work",(INDEX(Subject!$A:$I,MATCH(RANDBETWEEN(1,(MAX(Subject!$B:$B))),Subject!$B:$B,0),3))))</f>
        <v/>
      </c>
      <c r="C146" s="2" t="str">
        <f t="array" ref="C146">IF(NOW()&gt;AN146,"",IF(AND((WEEKDAY($A146)+$B$2)&gt;1,((WEEKDAY($A146)+$T$2)&lt;7),(WEEKDAY($A146)&lt;&gt;1)),"work",(INDEX(Subject!$A:$I,MATCH(RANDBETWEEN(1,(MAX(Subject!$B:$B))),Subject!$B:$B,0),3))))</f>
        <v/>
      </c>
      <c r="D146" s="2" t="str">
        <f t="array" ref="D146">IF(NOW()&gt;AO146,"",IF(AND((WEEKDAY($A146)+$B$2)&gt;1,((WEEKDAY($A146)+$T$2)&lt;7),(WEEKDAY($A146)&lt;&gt;1)),"work",(INDEX(Subject!$A:$I,MATCH(RANDBETWEEN(1,(MAX(Subject!$B:$B))),Subject!$B:$B,0),3))))</f>
        <v/>
      </c>
      <c r="E146" s="2" t="str">
        <f t="array" ref="E146">IF(NOW()&gt;AP146,"",IF(AND((WEEKDAY($A146)+$B$2)&gt;1,((WEEKDAY($A146)+$T$2)&lt;7),(WEEKDAY($A146)&lt;&gt;1)),"work",(INDEX(Subject!$A:$I,MATCH(RANDBETWEEN(1,(MAX(Subject!$B:$B))),Subject!$B:$B,0),3))))</f>
        <v/>
      </c>
      <c r="F146" s="2" t="str">
        <f t="array" ref="F146">IF(NOW()&gt;AQ146,"",IF(AND((WEEKDAY($A146)+$B$2)&gt;1,((WEEKDAY($A146)+$T$2)&lt;7),(WEEKDAY($A146)&lt;&gt;1)),"work",(INDEX(Subject!$A:$I,MATCH(RANDBETWEEN(1,(MAX(Subject!$B:$B))),Subject!$B:$B,0),3))))</f>
        <v/>
      </c>
      <c r="G146" s="2" t="str">
        <f t="array" ref="G146">IF(NOW()&gt;AR146,"",IF(AND((WEEKDAY($A146)+$B$2)&gt;1,((WEEKDAY($A146)+$T$2)&lt;7),(WEEKDAY($A146)&lt;&gt;1)),"work",(INDEX(Subject!$A:$I,MATCH(RANDBETWEEN(1,(MAX(Subject!$B:$B))),Subject!$B:$B,0),3))))</f>
        <v/>
      </c>
      <c r="H146" s="2" t="str">
        <f t="array" ref="H146">IF(NOW()&gt;AS146,"",IF(AND((WEEKDAY($A146)+$B$2)&gt;1,((WEEKDAY($A146)+$T$2)&lt;7),(WEEKDAY($A146)&lt;&gt;1)),"work",(INDEX(Subject!$A:$I,MATCH(RANDBETWEEN(1,(MAX(Subject!$B:$B))),Subject!$B:$B,0),3))))</f>
        <v/>
      </c>
      <c r="I146" s="2" t="str">
        <f t="array" ref="I146">IF(NOW()&gt;AT146,"",IF(AND((WEEKDAY($A146)+$B$2)&gt;1,((WEEKDAY($A146)+$T$2)&lt;7),(WEEKDAY($A146)&lt;&gt;1)),"work",(INDEX(Subject!$A:$I,MATCH(RANDBETWEEN(1,(MAX(Subject!$B:$B))),Subject!$B:$B,0),3))))</f>
        <v/>
      </c>
      <c r="J146" s="2" t="str">
        <f t="array" ref="J146">IF(NOW()&gt;AU146,"",IF(AND((WEEKDAY($A146)+$B$2)&gt;1,((WEEKDAY($A146)+$T$2)&lt;7),(WEEKDAY($A146)&lt;&gt;1)),"work",(INDEX(Subject!$A:$I,MATCH(RANDBETWEEN(1,(MAX(Subject!$B:$B))),Subject!$B:$B,0),3))))</f>
        <v/>
      </c>
      <c r="K146" s="2" t="str">
        <f t="array" ref="K146">IF(NOW()&gt;AV146,"",IF(AND((WEEKDAY($A146)+$B$2)&gt;1,((WEEKDAY($A146)+$T$2)&lt;7),(WEEKDAY($A146)&lt;&gt;1)),"work",(INDEX(Subject!$A:$I,MATCH(RANDBETWEEN(1,(MAX(Subject!$B:$B))),Subject!$B:$B,0),3))))</f>
        <v/>
      </c>
      <c r="L146" s="2" t="str">
        <f t="array" ref="L146">IF(NOW()&gt;AW146,"",IF(AND((WEEKDAY($A146)+$B$2)&gt;1,((WEEKDAY($A146)+$T$2)&lt;7),(WEEKDAY($A146)&lt;&gt;1)),"work",(INDEX(Subject!$A:$I,MATCH(RANDBETWEEN(1,(MAX(Subject!$B:$B))),Subject!$B:$B,0),3))))</f>
        <v/>
      </c>
      <c r="M146" s="2" t="str">
        <f t="array" ref="M146">IF(NOW()&gt;AX146,"",IF(AND((WEEKDAY($A146)+$B$2)&gt;1,((WEEKDAY($A146)+$T$2)&lt;7),(WEEKDAY($A146)&lt;&gt;1)),"work",(INDEX(Subject!$A:$I,MATCH(RANDBETWEEN(1,(MAX(Subject!$B:$B))),Subject!$B:$B,0),3))))</f>
        <v/>
      </c>
      <c r="N146" s="2" t="str">
        <f t="array" ref="N146">IF(NOW()&gt;AY146,"",IF(AND((WEEKDAY($A146)+$B$2)&gt;1,((WEEKDAY($A146)+$T$2)&lt;7),(WEEKDAY($A146)&lt;&gt;1)),"work",(INDEX(Subject!$A:$I,MATCH(RANDBETWEEN(1,(MAX(Subject!$B:$B))),Subject!$B:$B,0),3))))</f>
        <v/>
      </c>
      <c r="O146" s="2" t="str">
        <f t="array" ref="O146">IF(NOW()&gt;AZ146,"",IF(AND((WEEKDAY($A146)+$B$2)&gt;1,((WEEKDAY($A146)+$T$2)&lt;7),(WEEKDAY($A146)&lt;&gt;1)),"work",(INDEX(Subject!$A:$I,MATCH(RANDBETWEEN(1,(MAX(Subject!$B:$B))),Subject!$B:$B,0),3))))</f>
        <v/>
      </c>
      <c r="P146" s="2" t="str">
        <f t="array" ref="P146">IF(NOW()&gt;BA146,"",IF(AND((WEEKDAY($A146)+$B$2)&gt;1,((WEEKDAY($A146)+$T$2)&lt;7),(WEEKDAY($A146)&lt;&gt;1)),"work",(INDEX(Subject!$A:$I,MATCH(RANDBETWEEN(1,(MAX(Subject!$B:$B))),Subject!$B:$B,0),3))))</f>
        <v/>
      </c>
      <c r="Q146" s="2" t="str">
        <f t="array" ref="Q146">IF(NOW()&gt;BB146,"",IF(AND((WEEKDAY($A146)+$B$2)&gt;1,((WEEKDAY($A146)+$T$2)&lt;7),(WEEKDAY($A146)&lt;&gt;1)),"work",(INDEX(Subject!$A:$I,MATCH(RANDBETWEEN(1,(MAX(Subject!$B:$B))),Subject!$B:$B,0),3))))</f>
        <v/>
      </c>
      <c r="R146" s="2" t="str">
        <f t="array" ref="R146">IF(NOW()&gt;BC146,"",IF(AND((WEEKDAY($A146)+$B$2)&gt;1,((WEEKDAY($A146)+$T$2)&lt;7),(WEEKDAY($A146)&lt;&gt;1)),"work",(INDEX(Subject!$A:$I,MATCH(RANDBETWEEN(1,(MAX(Subject!$B:$B))),Subject!$B:$B,0),3))))</f>
        <v/>
      </c>
      <c r="S146" s="2" t="str">
        <f t="array" ref="S146">IF(NOW()&gt;BD146,"",IF(AND((WEEKDAY($A146)+$B$2)&gt;1,((WEEKDAY($A146)+$T$2)&lt;7),(WEEKDAY($A146)&lt;&gt;1)),"work",(INDEX(Subject!$A:$I,MATCH(RANDBETWEEN(1,(MAX(Subject!$B:$B))),Subject!$B:$B,0),3))))</f>
        <v/>
      </c>
      <c r="T146" s="2" t="str">
        <f t="array" ref="T146">IF(NOW()&gt;BE146,"",IF(AND((WEEKDAY($A146)+$B$2)&gt;1,((WEEKDAY($A146)+$T$2)&lt;7),(WEEKDAY($A146)&lt;&gt;1)),"work",(INDEX(Subject!$A:$I,MATCH(RANDBETWEEN(1,(MAX(Subject!$B:$B))),Subject!$B:$B,0),3))))</f>
        <v/>
      </c>
      <c r="U146" s="8" t="str">
        <f t="array" ref="U146">INDEX(Subject!$A:$I,MATCH(RANDBETWEEN(1,16),Subject!$B:$B,0),3)</f>
        <v>#N/A</v>
      </c>
      <c r="V146" s="8" t="str">
        <f t="array" ref="V146">INDEX(Subject!$A:$I,MATCH(RANDBETWEEN(1,16),Subject!$B:$B,0),3)</f>
        <v>#N/A</v>
      </c>
      <c r="W146" s="8" t="str">
        <f t="array" ref="W146">INDEX(Subject!$A:$I,MATCH(RANDBETWEEN(1,16),Subject!$B:$B,0),3)</f>
        <v>#N/A</v>
      </c>
      <c r="X146" s="8" t="str">
        <f t="array" ref="X146">INDEX(Subject!$A:$I,MATCH(RANDBETWEEN(1,16),Subject!$B:$B,0),3)</f>
        <v>#N/A</v>
      </c>
      <c r="Y146" s="8" t="str">
        <f t="array" ref="Y146">INDEX(Subject!$A:$I,MATCH(RANDBETWEEN(1,16),Subject!$B:$B,0),3)</f>
        <v>#N/A</v>
      </c>
      <c r="Z146" s="8" t="str">
        <f t="array" ref="Z146">INDEX(Subject!$A:$I,MATCH(RANDBETWEEN(1,16),Subject!$B:$B,0),3)</f>
        <v/>
      </c>
      <c r="AA146" s="8" t="str">
        <f t="array" ref="AA146">INDEX(Subject!$A:$I,MATCH(RANDBETWEEN(1,16),Subject!$B:$B,0),3)</f>
        <v>#N/A</v>
      </c>
      <c r="AB146" s="8" t="str">
        <f t="array" ref="AB146">INDEX(Subject!$A:$I,MATCH(RANDBETWEEN(1,16),Subject!$B:$B,0),3)</f>
        <v>#N/A</v>
      </c>
      <c r="AC146" s="8" t="str">
        <f t="array" ref="AC146">INDEX(Subject!$A:$I,MATCH(RANDBETWEEN(1,16),Subject!$B:$B,0),3)</f>
        <v>#N/A</v>
      </c>
      <c r="AD146" s="8" t="str">
        <f t="array" ref="AD146">INDEX(Subject!$A:$I,MATCH(RANDBETWEEN(1,16),Subject!$B:$B,0),3)</f>
        <v>#N/A</v>
      </c>
      <c r="AE146" s="8" t="str">
        <f t="array" ref="AE146">INDEX(Subject!$A:$I,MATCH(RANDBETWEEN(1,16),Subject!$B:$B,0),3)</f>
        <v>#N/A</v>
      </c>
      <c r="AF146" s="8" t="str">
        <f t="array" ref="AF146">INDEX(Subject!$A:$I,MATCH(RANDBETWEEN(1,16),Subject!$B:$B,0),3)</f>
        <v>#N/A</v>
      </c>
      <c r="AG146" s="8" t="str">
        <f t="array" ref="AG146">INDEX(Subject!$A:$I,MATCH(RANDBETWEEN(1,16),Subject!$B:$B,0),3)</f>
        <v>#N/A</v>
      </c>
      <c r="AH146" s="8" t="str">
        <f t="array" ref="AH146">INDEX(Subject!$A:$I,MATCH(RANDBETWEEN(1,16),Subject!$B:$B,0),3)</f>
        <v>#N/A</v>
      </c>
      <c r="AI146" s="8" t="str">
        <f t="array" ref="AI146">INDEX(Subject!$A:$I,MATCH(RANDBETWEEN(1,16),Subject!$B:$B,0),3)</f>
        <v>#N/A</v>
      </c>
      <c r="AJ146" s="8" t="str">
        <f t="array" ref="AJ146">INDEX(Subject!$A:$I,MATCH(RANDBETWEEN(1,16),Subject!$B:$B,0),3)</f>
        <v>#N/A</v>
      </c>
      <c r="AK146" s="8" t="str">
        <f t="array" ref="AK146">INDEX(Subject!$A:$I,MATCH(RANDBETWEEN(1,16),Subject!$B:$B,0),3)</f>
        <v>#N/A</v>
      </c>
      <c r="AL146" s="8" t="str">
        <f t="array" ref="AL146">INDEX(Subject!$A:$I,MATCH(RANDBETWEEN(1,16),Subject!$B:$B,0),3)</f>
        <v/>
      </c>
      <c r="AM146" s="18">
        <f t="shared" si="4"/>
        <v>45646.33333</v>
      </c>
      <c r="AN146" s="19">
        <f t="shared" ref="AN146:BZ146" si="146">$A146+C$1</f>
        <v>45646.35417</v>
      </c>
      <c r="AO146" s="19">
        <f t="shared" si="146"/>
        <v>45646.375</v>
      </c>
      <c r="AP146" s="19">
        <f t="shared" si="146"/>
        <v>45646.39583</v>
      </c>
      <c r="AQ146" s="19">
        <f t="shared" si="146"/>
        <v>45646.41667</v>
      </c>
      <c r="AR146" s="19">
        <f t="shared" si="146"/>
        <v>45646.4375</v>
      </c>
      <c r="AS146" s="19">
        <f t="shared" si="146"/>
        <v>45646.45833</v>
      </c>
      <c r="AT146" s="19">
        <f t="shared" si="146"/>
        <v>45646.47917</v>
      </c>
      <c r="AU146" s="19">
        <f t="shared" si="146"/>
        <v>45646.5</v>
      </c>
      <c r="AV146" s="19">
        <f t="shared" si="146"/>
        <v>45646.52083</v>
      </c>
      <c r="AW146" s="19">
        <f t="shared" si="146"/>
        <v>45646.54167</v>
      </c>
      <c r="AX146" s="19">
        <f t="shared" si="146"/>
        <v>45646.5625</v>
      </c>
      <c r="AY146" s="19">
        <f t="shared" si="146"/>
        <v>45646.58333</v>
      </c>
      <c r="AZ146" s="19">
        <f t="shared" si="146"/>
        <v>45646.60417</v>
      </c>
      <c r="BA146" s="19">
        <f t="shared" si="146"/>
        <v>45646.625</v>
      </c>
      <c r="BB146" s="19">
        <f t="shared" si="146"/>
        <v>45646.64583</v>
      </c>
      <c r="BC146" s="19">
        <f t="shared" si="146"/>
        <v>45646.66667</v>
      </c>
      <c r="BD146" s="19">
        <f t="shared" si="146"/>
        <v>45646.6875</v>
      </c>
      <c r="BE146" s="19">
        <f t="shared" si="146"/>
        <v>45646.70833</v>
      </c>
      <c r="BF146" s="19">
        <f t="shared" si="146"/>
        <v>45646.72917</v>
      </c>
      <c r="BG146" s="19">
        <f t="shared" si="146"/>
        <v>45646.75</v>
      </c>
      <c r="BH146" s="19">
        <f t="shared" si="146"/>
        <v>45646.77083</v>
      </c>
      <c r="BI146" s="19">
        <f t="shared" si="146"/>
        <v>45646.79167</v>
      </c>
      <c r="BJ146" s="19">
        <f t="shared" si="146"/>
        <v>45646.8125</v>
      </c>
      <c r="BK146" s="19">
        <f t="shared" si="146"/>
        <v>45646.83333</v>
      </c>
      <c r="BL146" s="19">
        <f t="shared" si="146"/>
        <v>45646.85417</v>
      </c>
      <c r="BM146" s="19">
        <f t="shared" si="146"/>
        <v>45646.875</v>
      </c>
      <c r="BN146" s="19">
        <f t="shared" si="146"/>
        <v>45646.89583</v>
      </c>
      <c r="BO146" s="19">
        <f t="shared" si="146"/>
        <v>45646.91667</v>
      </c>
      <c r="BP146" s="19">
        <f t="shared" si="146"/>
        <v>45646.9375</v>
      </c>
      <c r="BQ146" s="19">
        <f t="shared" si="146"/>
        <v>45646.95833</v>
      </c>
      <c r="BR146" s="19">
        <f t="shared" si="146"/>
        <v>45646.97917</v>
      </c>
      <c r="BS146" s="19">
        <f t="shared" si="146"/>
        <v>45647</v>
      </c>
      <c r="BT146" s="19">
        <f t="shared" si="146"/>
        <v>45647.02083</v>
      </c>
      <c r="BU146" s="19">
        <f t="shared" si="146"/>
        <v>45647.04167</v>
      </c>
      <c r="BV146" s="19">
        <f t="shared" si="146"/>
        <v>45647.0625</v>
      </c>
      <c r="BW146" s="19">
        <f t="shared" si="146"/>
        <v>45647.08333</v>
      </c>
      <c r="BX146" s="19">
        <f t="shared" si="146"/>
        <v>45646</v>
      </c>
      <c r="BY146" s="19">
        <f t="shared" si="146"/>
        <v>45646</v>
      </c>
      <c r="BZ146" s="19">
        <f t="shared" si="146"/>
        <v>45646</v>
      </c>
    </row>
    <row r="147" ht="14.25" customHeight="1">
      <c r="A147" s="17">
        <v>45647.0</v>
      </c>
      <c r="B147" s="2" t="str">
        <f t="array" ref="B147">IF(NOW()&gt;AM147,"",IF(AND((WEEKDAY($A147)+$B$2)&gt;1,((WEEKDAY($A147)+$T$2)&lt;7),(WEEKDAY($A147)&lt;&gt;1)),"work",(INDEX(Subject!$A:$I,MATCH(RANDBETWEEN(1,(MAX(Subject!$B:$B))),Subject!$B:$B,0),3))))</f>
        <v/>
      </c>
      <c r="C147" s="2" t="str">
        <f t="array" ref="C147">IF(NOW()&gt;AN147,"",IF(AND((WEEKDAY($A147)+$B$2)&gt;1,((WEEKDAY($A147)+$T$2)&lt;7),(WEEKDAY($A147)&lt;&gt;1)),"work",(INDEX(Subject!$A:$I,MATCH(RANDBETWEEN(1,(MAX(Subject!$B:$B))),Subject!$B:$B,0),3))))</f>
        <v/>
      </c>
      <c r="D147" s="2" t="str">
        <f t="array" ref="D147">IF(NOW()&gt;AO147,"",IF(AND((WEEKDAY($A147)+$B$2)&gt;1,((WEEKDAY($A147)+$T$2)&lt;7),(WEEKDAY($A147)&lt;&gt;1)),"work",(INDEX(Subject!$A:$I,MATCH(RANDBETWEEN(1,(MAX(Subject!$B:$B))),Subject!$B:$B,0),3))))</f>
        <v/>
      </c>
      <c r="E147" s="2" t="str">
        <f t="array" ref="E147">IF(NOW()&gt;AP147,"",IF(AND((WEEKDAY($A147)+$B$2)&gt;1,((WEEKDAY($A147)+$T$2)&lt;7),(WEEKDAY($A147)&lt;&gt;1)),"work",(INDEX(Subject!$A:$I,MATCH(RANDBETWEEN(1,(MAX(Subject!$B:$B))),Subject!$B:$B,0),3))))</f>
        <v/>
      </c>
      <c r="F147" s="2" t="str">
        <f t="array" ref="F147">IF(NOW()&gt;AQ147,"",IF(AND((WEEKDAY($A147)+$B$2)&gt;1,((WEEKDAY($A147)+$T$2)&lt;7),(WEEKDAY($A147)&lt;&gt;1)),"work",(INDEX(Subject!$A:$I,MATCH(RANDBETWEEN(1,(MAX(Subject!$B:$B))),Subject!$B:$B,0),3))))</f>
        <v/>
      </c>
      <c r="G147" s="2" t="str">
        <f t="array" ref="G147">IF(NOW()&gt;AR147,"",IF(AND((WEEKDAY($A147)+$B$2)&gt;1,((WEEKDAY($A147)+$T$2)&lt;7),(WEEKDAY($A147)&lt;&gt;1)),"work",(INDEX(Subject!$A:$I,MATCH(RANDBETWEEN(1,(MAX(Subject!$B:$B))),Subject!$B:$B,0),3))))</f>
        <v/>
      </c>
      <c r="H147" s="2" t="str">
        <f t="array" ref="H147">IF(NOW()&gt;AS147,"",IF(AND((WEEKDAY($A147)+$B$2)&gt;1,((WEEKDAY($A147)+$T$2)&lt;7),(WEEKDAY($A147)&lt;&gt;1)),"work",(INDEX(Subject!$A:$I,MATCH(RANDBETWEEN(1,(MAX(Subject!$B:$B))),Subject!$B:$B,0),3))))</f>
        <v/>
      </c>
      <c r="I147" s="2" t="str">
        <f t="array" ref="I147">IF(NOW()&gt;AT147,"",IF(AND((WEEKDAY($A147)+$B$2)&gt;1,((WEEKDAY($A147)+$T$2)&lt;7),(WEEKDAY($A147)&lt;&gt;1)),"work",(INDEX(Subject!$A:$I,MATCH(RANDBETWEEN(1,(MAX(Subject!$B:$B))),Subject!$B:$B,0),3))))</f>
        <v/>
      </c>
      <c r="J147" s="2" t="str">
        <f t="array" ref="J147">IF(NOW()&gt;AU147,"",IF(AND((WEEKDAY($A147)+$B$2)&gt;1,((WEEKDAY($A147)+$T$2)&lt;7),(WEEKDAY($A147)&lt;&gt;1)),"work",(INDEX(Subject!$A:$I,MATCH(RANDBETWEEN(1,(MAX(Subject!$B:$B))),Subject!$B:$B,0),3))))</f>
        <v/>
      </c>
      <c r="K147" s="2" t="str">
        <f t="array" ref="K147">IF(NOW()&gt;AV147,"",IF(AND((WEEKDAY($A147)+$B$2)&gt;1,((WEEKDAY($A147)+$T$2)&lt;7),(WEEKDAY($A147)&lt;&gt;1)),"work",(INDEX(Subject!$A:$I,MATCH(RANDBETWEEN(1,(MAX(Subject!$B:$B))),Subject!$B:$B,0),3))))</f>
        <v/>
      </c>
      <c r="L147" s="2" t="str">
        <f t="array" ref="L147">IF(NOW()&gt;AW147,"",IF(AND((WEEKDAY($A147)+$B$2)&gt;1,((WEEKDAY($A147)+$T$2)&lt;7),(WEEKDAY($A147)&lt;&gt;1)),"work",(INDEX(Subject!$A:$I,MATCH(RANDBETWEEN(1,(MAX(Subject!$B:$B))),Subject!$B:$B,0),3))))</f>
        <v/>
      </c>
      <c r="M147" s="2" t="str">
        <f t="array" ref="M147">IF(NOW()&gt;AX147,"",IF(AND((WEEKDAY($A147)+$B$2)&gt;1,((WEEKDAY($A147)+$T$2)&lt;7),(WEEKDAY($A147)&lt;&gt;1)),"work",(INDEX(Subject!$A:$I,MATCH(RANDBETWEEN(1,(MAX(Subject!$B:$B))),Subject!$B:$B,0),3))))</f>
        <v/>
      </c>
      <c r="N147" s="2" t="str">
        <f t="array" ref="N147">IF(NOW()&gt;AY147,"",IF(AND((WEEKDAY($A147)+$B$2)&gt;1,((WEEKDAY($A147)+$T$2)&lt;7),(WEEKDAY($A147)&lt;&gt;1)),"work",(INDEX(Subject!$A:$I,MATCH(RANDBETWEEN(1,(MAX(Subject!$B:$B))),Subject!$B:$B,0),3))))</f>
        <v/>
      </c>
      <c r="O147" s="2" t="str">
        <f t="array" ref="O147">IF(NOW()&gt;AZ147,"",IF(AND((WEEKDAY($A147)+$B$2)&gt;1,((WEEKDAY($A147)+$T$2)&lt;7),(WEEKDAY($A147)&lt;&gt;1)),"work",(INDEX(Subject!$A:$I,MATCH(RANDBETWEEN(1,(MAX(Subject!$B:$B))),Subject!$B:$B,0),3))))</f>
        <v/>
      </c>
      <c r="P147" s="2" t="str">
        <f t="array" ref="P147">IF(NOW()&gt;BA147,"",IF(AND((WEEKDAY($A147)+$B$2)&gt;1,((WEEKDAY($A147)+$T$2)&lt;7),(WEEKDAY($A147)&lt;&gt;1)),"work",(INDEX(Subject!$A:$I,MATCH(RANDBETWEEN(1,(MAX(Subject!$B:$B))),Subject!$B:$B,0),3))))</f>
        <v/>
      </c>
      <c r="Q147" s="2" t="str">
        <f t="array" ref="Q147">IF(NOW()&gt;BB147,"",IF(AND((WEEKDAY($A147)+$B$2)&gt;1,((WEEKDAY($A147)+$T$2)&lt;7),(WEEKDAY($A147)&lt;&gt;1)),"work",(INDEX(Subject!$A:$I,MATCH(RANDBETWEEN(1,(MAX(Subject!$B:$B))),Subject!$B:$B,0),3))))</f>
        <v/>
      </c>
      <c r="R147" s="2" t="str">
        <f t="array" ref="R147">IF(NOW()&gt;BC147,"",IF(AND((WEEKDAY($A147)+$B$2)&gt;1,((WEEKDAY($A147)+$T$2)&lt;7),(WEEKDAY($A147)&lt;&gt;1)),"work",(INDEX(Subject!$A:$I,MATCH(RANDBETWEEN(1,(MAX(Subject!$B:$B))),Subject!$B:$B,0),3))))</f>
        <v/>
      </c>
      <c r="S147" s="2" t="str">
        <f t="array" ref="S147">IF(NOW()&gt;BD147,"",IF(AND((WEEKDAY($A147)+$B$2)&gt;1,((WEEKDAY($A147)+$T$2)&lt;7),(WEEKDAY($A147)&lt;&gt;1)),"work",(INDEX(Subject!$A:$I,MATCH(RANDBETWEEN(1,(MAX(Subject!$B:$B))),Subject!$B:$B,0),3))))</f>
        <v/>
      </c>
      <c r="T147" s="2" t="str">
        <f t="array" ref="T147">IF(NOW()&gt;BE147,"",IF(AND((WEEKDAY($A147)+$B$2)&gt;1,((WEEKDAY($A147)+$T$2)&lt;7),(WEEKDAY($A147)&lt;&gt;1)),"work",(INDEX(Subject!$A:$I,MATCH(RANDBETWEEN(1,(MAX(Subject!$B:$B))),Subject!$B:$B,0),3))))</f>
        <v/>
      </c>
      <c r="U147" s="8" t="str">
        <f t="array" ref="U147">INDEX(Subject!$A:$I,MATCH(RANDBETWEEN(1,16),Subject!$B:$B,0),3)</f>
        <v>#N/A</v>
      </c>
      <c r="V147" s="8" t="str">
        <f t="array" ref="V147">INDEX(Subject!$A:$I,MATCH(RANDBETWEEN(1,16),Subject!$B:$B,0),3)</f>
        <v>#N/A</v>
      </c>
      <c r="W147" s="8" t="str">
        <f t="array" ref="W147">INDEX(Subject!$A:$I,MATCH(RANDBETWEEN(1,16),Subject!$B:$B,0),3)</f>
        <v/>
      </c>
      <c r="X147" s="8" t="str">
        <f t="array" ref="X147">INDEX(Subject!$A:$I,MATCH(RANDBETWEEN(1,16),Subject!$B:$B,0),3)</f>
        <v>#N/A</v>
      </c>
      <c r="Y147" s="8" t="str">
        <f t="array" ref="Y147">INDEX(Subject!$A:$I,MATCH(RANDBETWEEN(1,16),Subject!$B:$B,0),3)</f>
        <v>#N/A</v>
      </c>
      <c r="Z147" s="8" t="str">
        <f t="array" ref="Z147">INDEX(Subject!$A:$I,MATCH(RANDBETWEEN(1,16),Subject!$B:$B,0),3)</f>
        <v>#N/A</v>
      </c>
      <c r="AA147" s="8" t="str">
        <f t="array" ref="AA147">INDEX(Subject!$A:$I,MATCH(RANDBETWEEN(1,16),Subject!$B:$B,0),3)</f>
        <v>#N/A</v>
      </c>
      <c r="AB147" s="8" t="str">
        <f t="array" ref="AB147">INDEX(Subject!$A:$I,MATCH(RANDBETWEEN(1,16),Subject!$B:$B,0),3)</f>
        <v>#N/A</v>
      </c>
      <c r="AC147" s="8" t="str">
        <f t="array" ref="AC147">INDEX(Subject!$A:$I,MATCH(RANDBETWEEN(1,16),Subject!$B:$B,0),3)</f>
        <v>#N/A</v>
      </c>
      <c r="AD147" s="8" t="str">
        <f t="array" ref="AD147">INDEX(Subject!$A:$I,MATCH(RANDBETWEEN(1,16),Subject!$B:$B,0),3)</f>
        <v>#N/A</v>
      </c>
      <c r="AE147" s="8" t="str">
        <f t="array" ref="AE147">INDEX(Subject!$A:$I,MATCH(RANDBETWEEN(1,16),Subject!$B:$B,0),3)</f>
        <v>#N/A</v>
      </c>
      <c r="AF147" s="8" t="str">
        <f t="array" ref="AF147">INDEX(Subject!$A:$I,MATCH(RANDBETWEEN(1,16),Subject!$B:$B,0),3)</f>
        <v>#N/A</v>
      </c>
      <c r="AG147" s="8" t="str">
        <f t="array" ref="AG147">INDEX(Subject!$A:$I,MATCH(RANDBETWEEN(1,16),Subject!$B:$B,0),3)</f>
        <v>#N/A</v>
      </c>
      <c r="AH147" s="8" t="str">
        <f t="array" ref="AH147">INDEX(Subject!$A:$I,MATCH(RANDBETWEEN(1,16),Subject!$B:$B,0),3)</f>
        <v>#N/A</v>
      </c>
      <c r="AI147" s="8" t="str">
        <f t="array" ref="AI147">INDEX(Subject!$A:$I,MATCH(RANDBETWEEN(1,16),Subject!$B:$B,0),3)</f>
        <v/>
      </c>
      <c r="AJ147" s="8" t="str">
        <f t="array" ref="AJ147">INDEX(Subject!$A:$I,MATCH(RANDBETWEEN(1,16),Subject!$B:$B,0),3)</f>
        <v>#N/A</v>
      </c>
      <c r="AK147" s="8" t="str">
        <f t="array" ref="AK147">INDEX(Subject!$A:$I,MATCH(RANDBETWEEN(1,16),Subject!$B:$B,0),3)</f>
        <v>#N/A</v>
      </c>
      <c r="AL147" s="8" t="str">
        <f t="array" ref="AL147">INDEX(Subject!$A:$I,MATCH(RANDBETWEEN(1,16),Subject!$B:$B,0),3)</f>
        <v>#N/A</v>
      </c>
      <c r="AM147" s="18">
        <f t="shared" si="4"/>
        <v>45647.33333</v>
      </c>
      <c r="AN147" s="19">
        <f t="shared" ref="AN147:BZ147" si="147">$A147+C$1</f>
        <v>45647.35417</v>
      </c>
      <c r="AO147" s="19">
        <f t="shared" si="147"/>
        <v>45647.375</v>
      </c>
      <c r="AP147" s="19">
        <f t="shared" si="147"/>
        <v>45647.39583</v>
      </c>
      <c r="AQ147" s="19">
        <f t="shared" si="147"/>
        <v>45647.41667</v>
      </c>
      <c r="AR147" s="19">
        <f t="shared" si="147"/>
        <v>45647.4375</v>
      </c>
      <c r="AS147" s="19">
        <f t="shared" si="147"/>
        <v>45647.45833</v>
      </c>
      <c r="AT147" s="19">
        <f t="shared" si="147"/>
        <v>45647.47917</v>
      </c>
      <c r="AU147" s="19">
        <f t="shared" si="147"/>
        <v>45647.5</v>
      </c>
      <c r="AV147" s="19">
        <f t="shared" si="147"/>
        <v>45647.52083</v>
      </c>
      <c r="AW147" s="19">
        <f t="shared" si="147"/>
        <v>45647.54167</v>
      </c>
      <c r="AX147" s="19">
        <f t="shared" si="147"/>
        <v>45647.5625</v>
      </c>
      <c r="AY147" s="19">
        <f t="shared" si="147"/>
        <v>45647.58333</v>
      </c>
      <c r="AZ147" s="19">
        <f t="shared" si="147"/>
        <v>45647.60417</v>
      </c>
      <c r="BA147" s="19">
        <f t="shared" si="147"/>
        <v>45647.625</v>
      </c>
      <c r="BB147" s="19">
        <f t="shared" si="147"/>
        <v>45647.64583</v>
      </c>
      <c r="BC147" s="19">
        <f t="shared" si="147"/>
        <v>45647.66667</v>
      </c>
      <c r="BD147" s="19">
        <f t="shared" si="147"/>
        <v>45647.6875</v>
      </c>
      <c r="BE147" s="19">
        <f t="shared" si="147"/>
        <v>45647.70833</v>
      </c>
      <c r="BF147" s="19">
        <f t="shared" si="147"/>
        <v>45647.72917</v>
      </c>
      <c r="BG147" s="19">
        <f t="shared" si="147"/>
        <v>45647.75</v>
      </c>
      <c r="BH147" s="19">
        <f t="shared" si="147"/>
        <v>45647.77083</v>
      </c>
      <c r="BI147" s="19">
        <f t="shared" si="147"/>
        <v>45647.79167</v>
      </c>
      <c r="BJ147" s="19">
        <f t="shared" si="147"/>
        <v>45647.8125</v>
      </c>
      <c r="BK147" s="19">
        <f t="shared" si="147"/>
        <v>45647.83333</v>
      </c>
      <c r="BL147" s="19">
        <f t="shared" si="147"/>
        <v>45647.85417</v>
      </c>
      <c r="BM147" s="19">
        <f t="shared" si="147"/>
        <v>45647.875</v>
      </c>
      <c r="BN147" s="19">
        <f t="shared" si="147"/>
        <v>45647.89583</v>
      </c>
      <c r="BO147" s="19">
        <f t="shared" si="147"/>
        <v>45647.91667</v>
      </c>
      <c r="BP147" s="19">
        <f t="shared" si="147"/>
        <v>45647.9375</v>
      </c>
      <c r="BQ147" s="19">
        <f t="shared" si="147"/>
        <v>45647.95833</v>
      </c>
      <c r="BR147" s="19">
        <f t="shared" si="147"/>
        <v>45647.97917</v>
      </c>
      <c r="BS147" s="19">
        <f t="shared" si="147"/>
        <v>45648</v>
      </c>
      <c r="BT147" s="19">
        <f t="shared" si="147"/>
        <v>45648.02083</v>
      </c>
      <c r="BU147" s="19">
        <f t="shared" si="147"/>
        <v>45648.04167</v>
      </c>
      <c r="BV147" s="19">
        <f t="shared" si="147"/>
        <v>45648.0625</v>
      </c>
      <c r="BW147" s="19">
        <f t="shared" si="147"/>
        <v>45648.08333</v>
      </c>
      <c r="BX147" s="19">
        <f t="shared" si="147"/>
        <v>45647</v>
      </c>
      <c r="BY147" s="19">
        <f t="shared" si="147"/>
        <v>45647</v>
      </c>
      <c r="BZ147" s="19">
        <f t="shared" si="147"/>
        <v>45647</v>
      </c>
    </row>
    <row r="148" ht="14.25" customHeight="1">
      <c r="A148" s="17">
        <v>45648.0</v>
      </c>
      <c r="B148" s="2" t="str">
        <f t="array" ref="B148">IF(NOW()&gt;AM148,"",IF(AND((WEEKDAY($A148)+$B$2)&gt;1,((WEEKDAY($A148)+$T$2)&lt;7),(WEEKDAY($A148)&lt;&gt;1)),"work",(INDEX(Subject!$A:$I,MATCH(RANDBETWEEN(1,(MAX(Subject!$B:$B))),Subject!$B:$B,0),3))))</f>
        <v/>
      </c>
      <c r="C148" s="2" t="str">
        <f t="array" ref="C148">IF(NOW()&gt;AN148,"",IF(AND((WEEKDAY($A148)+$B$2)&gt;1,((WEEKDAY($A148)+$T$2)&lt;7),(WEEKDAY($A148)&lt;&gt;1)),"work",(INDEX(Subject!$A:$I,MATCH(RANDBETWEEN(1,(MAX(Subject!$B:$B))),Subject!$B:$B,0),3))))</f>
        <v/>
      </c>
      <c r="D148" s="2" t="str">
        <f t="array" ref="D148">IF(NOW()&gt;AO148,"",IF(AND((WEEKDAY($A148)+$B$2)&gt;1,((WEEKDAY($A148)+$T$2)&lt;7),(WEEKDAY($A148)&lt;&gt;1)),"work",(INDEX(Subject!$A:$I,MATCH(RANDBETWEEN(1,(MAX(Subject!$B:$B))),Subject!$B:$B,0),3))))</f>
        <v/>
      </c>
      <c r="E148" s="2" t="str">
        <f t="array" ref="E148">IF(NOW()&gt;AP148,"",IF(AND((WEEKDAY($A148)+$B$2)&gt;1,((WEEKDAY($A148)+$T$2)&lt;7),(WEEKDAY($A148)&lt;&gt;1)),"work",(INDEX(Subject!$A:$I,MATCH(RANDBETWEEN(1,(MAX(Subject!$B:$B))),Subject!$B:$B,0),3))))</f>
        <v/>
      </c>
      <c r="F148" s="2" t="str">
        <f t="array" ref="F148">IF(NOW()&gt;AQ148,"",IF(AND((WEEKDAY($A148)+$B$2)&gt;1,((WEEKDAY($A148)+$T$2)&lt;7),(WEEKDAY($A148)&lt;&gt;1)),"work",(INDEX(Subject!$A:$I,MATCH(RANDBETWEEN(1,(MAX(Subject!$B:$B))),Subject!$B:$B,0),3))))</f>
        <v/>
      </c>
      <c r="G148" s="2" t="str">
        <f t="array" ref="G148">IF(NOW()&gt;AR148,"",IF(AND((WEEKDAY($A148)+$B$2)&gt;1,((WEEKDAY($A148)+$T$2)&lt;7),(WEEKDAY($A148)&lt;&gt;1)),"work",(INDEX(Subject!$A:$I,MATCH(RANDBETWEEN(1,(MAX(Subject!$B:$B))),Subject!$B:$B,0),3))))</f>
        <v/>
      </c>
      <c r="H148" s="2" t="str">
        <f t="array" ref="H148">IF(NOW()&gt;AS148,"",IF(AND((WEEKDAY($A148)+$B$2)&gt;1,((WEEKDAY($A148)+$T$2)&lt;7),(WEEKDAY($A148)&lt;&gt;1)),"work",(INDEX(Subject!$A:$I,MATCH(RANDBETWEEN(1,(MAX(Subject!$B:$B))),Subject!$B:$B,0),3))))</f>
        <v/>
      </c>
      <c r="I148" s="2" t="str">
        <f t="array" ref="I148">IF(NOW()&gt;AT148,"",IF(AND((WEEKDAY($A148)+$B$2)&gt;1,((WEEKDAY($A148)+$T$2)&lt;7),(WEEKDAY($A148)&lt;&gt;1)),"work",(INDEX(Subject!$A:$I,MATCH(RANDBETWEEN(1,(MAX(Subject!$B:$B))),Subject!$B:$B,0),3))))</f>
        <v/>
      </c>
      <c r="J148" s="2" t="str">
        <f t="array" ref="J148">IF(NOW()&gt;AU148,"",IF(AND((WEEKDAY($A148)+$B$2)&gt;1,((WEEKDAY($A148)+$T$2)&lt;7),(WEEKDAY($A148)&lt;&gt;1)),"work",(INDEX(Subject!$A:$I,MATCH(RANDBETWEEN(1,(MAX(Subject!$B:$B))),Subject!$B:$B,0),3))))</f>
        <v/>
      </c>
      <c r="K148" s="2" t="str">
        <f t="array" ref="K148">IF(NOW()&gt;AV148,"",IF(AND((WEEKDAY($A148)+$B$2)&gt;1,((WEEKDAY($A148)+$T$2)&lt;7),(WEEKDAY($A148)&lt;&gt;1)),"work",(INDEX(Subject!$A:$I,MATCH(RANDBETWEEN(1,(MAX(Subject!$B:$B))),Subject!$B:$B,0),3))))</f>
        <v/>
      </c>
      <c r="L148" s="2" t="str">
        <f t="array" ref="L148">IF(NOW()&gt;AW148,"",IF(AND((WEEKDAY($A148)+$B$2)&gt;1,((WEEKDAY($A148)+$T$2)&lt;7),(WEEKDAY($A148)&lt;&gt;1)),"work",(INDEX(Subject!$A:$I,MATCH(RANDBETWEEN(1,(MAX(Subject!$B:$B))),Subject!$B:$B,0),3))))</f>
        <v/>
      </c>
      <c r="M148" s="2" t="str">
        <f t="array" ref="M148">IF(NOW()&gt;AX148,"",IF(AND((WEEKDAY($A148)+$B$2)&gt;1,((WEEKDAY($A148)+$T$2)&lt;7),(WEEKDAY($A148)&lt;&gt;1)),"work",(INDEX(Subject!$A:$I,MATCH(RANDBETWEEN(1,(MAX(Subject!$B:$B))),Subject!$B:$B,0),3))))</f>
        <v/>
      </c>
      <c r="N148" s="2" t="str">
        <f t="array" ref="N148">IF(NOW()&gt;AY148,"",IF(AND((WEEKDAY($A148)+$B$2)&gt;1,((WEEKDAY($A148)+$T$2)&lt;7),(WEEKDAY($A148)&lt;&gt;1)),"work",(INDEX(Subject!$A:$I,MATCH(RANDBETWEEN(1,(MAX(Subject!$B:$B))),Subject!$B:$B,0),3))))</f>
        <v/>
      </c>
      <c r="O148" s="2" t="str">
        <f t="array" ref="O148">IF(NOW()&gt;AZ148,"",IF(AND((WEEKDAY($A148)+$B$2)&gt;1,((WEEKDAY($A148)+$T$2)&lt;7),(WEEKDAY($A148)&lt;&gt;1)),"work",(INDEX(Subject!$A:$I,MATCH(RANDBETWEEN(1,(MAX(Subject!$B:$B))),Subject!$B:$B,0),3))))</f>
        <v/>
      </c>
      <c r="P148" s="2" t="str">
        <f t="array" ref="P148">IF(NOW()&gt;BA148,"",IF(AND((WEEKDAY($A148)+$B$2)&gt;1,((WEEKDAY($A148)+$T$2)&lt;7),(WEEKDAY($A148)&lt;&gt;1)),"work",(INDEX(Subject!$A:$I,MATCH(RANDBETWEEN(1,(MAX(Subject!$B:$B))),Subject!$B:$B,0),3))))</f>
        <v/>
      </c>
      <c r="Q148" s="2" t="str">
        <f t="array" ref="Q148">IF(NOW()&gt;BB148,"",IF(AND((WEEKDAY($A148)+$B$2)&gt;1,((WEEKDAY($A148)+$T$2)&lt;7),(WEEKDAY($A148)&lt;&gt;1)),"work",(INDEX(Subject!$A:$I,MATCH(RANDBETWEEN(1,(MAX(Subject!$B:$B))),Subject!$B:$B,0),3))))</f>
        <v/>
      </c>
      <c r="R148" s="2" t="str">
        <f t="array" ref="R148">IF(NOW()&gt;BC148,"",IF(AND((WEEKDAY($A148)+$B$2)&gt;1,((WEEKDAY($A148)+$T$2)&lt;7),(WEEKDAY($A148)&lt;&gt;1)),"work",(INDEX(Subject!$A:$I,MATCH(RANDBETWEEN(1,(MAX(Subject!$B:$B))),Subject!$B:$B,0),3))))</f>
        <v/>
      </c>
      <c r="S148" s="2" t="str">
        <f t="array" ref="S148">IF(NOW()&gt;BD148,"",IF(AND((WEEKDAY($A148)+$B$2)&gt;1,((WEEKDAY($A148)+$T$2)&lt;7),(WEEKDAY($A148)&lt;&gt;1)),"work",(INDEX(Subject!$A:$I,MATCH(RANDBETWEEN(1,(MAX(Subject!$B:$B))),Subject!$B:$B,0),3))))</f>
        <v/>
      </c>
      <c r="T148" s="2" t="str">
        <f t="array" ref="T148">IF(NOW()&gt;BE148,"",IF(AND((WEEKDAY($A148)+$B$2)&gt;1,((WEEKDAY($A148)+$T$2)&lt;7),(WEEKDAY($A148)&lt;&gt;1)),"work",(INDEX(Subject!$A:$I,MATCH(RANDBETWEEN(1,(MAX(Subject!$B:$B))),Subject!$B:$B,0),3))))</f>
        <v/>
      </c>
      <c r="U148" s="8" t="str">
        <f t="array" ref="U148">INDEX(Subject!$A:$I,MATCH(RANDBETWEEN(1,16),Subject!$B:$B,0),3)</f>
        <v>#N/A</v>
      </c>
      <c r="V148" s="8" t="str">
        <f t="array" ref="V148">INDEX(Subject!$A:$I,MATCH(RANDBETWEEN(1,16),Subject!$B:$B,0),3)</f>
        <v>#N/A</v>
      </c>
      <c r="W148" s="8" t="str">
        <f t="array" ref="W148">INDEX(Subject!$A:$I,MATCH(RANDBETWEEN(1,16),Subject!$B:$B,0),3)</f>
        <v>#N/A</v>
      </c>
      <c r="X148" s="8" t="str">
        <f t="array" ref="X148">INDEX(Subject!$A:$I,MATCH(RANDBETWEEN(1,16),Subject!$B:$B,0),3)</f>
        <v>#N/A</v>
      </c>
      <c r="Y148" s="8" t="str">
        <f t="array" ref="Y148">INDEX(Subject!$A:$I,MATCH(RANDBETWEEN(1,16),Subject!$B:$B,0),3)</f>
        <v>#N/A</v>
      </c>
      <c r="Z148" s="8" t="str">
        <f t="array" ref="Z148">INDEX(Subject!$A:$I,MATCH(RANDBETWEEN(1,16),Subject!$B:$B,0),3)</f>
        <v>#N/A</v>
      </c>
      <c r="AA148" s="8" t="str">
        <f t="array" ref="AA148">INDEX(Subject!$A:$I,MATCH(RANDBETWEEN(1,16),Subject!$B:$B,0),3)</f>
        <v>#N/A</v>
      </c>
      <c r="AB148" s="8" t="str">
        <f t="array" ref="AB148">INDEX(Subject!$A:$I,MATCH(RANDBETWEEN(1,16),Subject!$B:$B,0),3)</f>
        <v>#N/A</v>
      </c>
      <c r="AC148" s="8" t="str">
        <f t="array" ref="AC148">INDEX(Subject!$A:$I,MATCH(RANDBETWEEN(1,16),Subject!$B:$B,0),3)</f>
        <v>#N/A</v>
      </c>
      <c r="AD148" s="8" t="str">
        <f t="array" ref="AD148">INDEX(Subject!$A:$I,MATCH(RANDBETWEEN(1,16),Subject!$B:$B,0),3)</f>
        <v>#N/A</v>
      </c>
      <c r="AE148" s="8" t="str">
        <f t="array" ref="AE148">INDEX(Subject!$A:$I,MATCH(RANDBETWEEN(1,16),Subject!$B:$B,0),3)</f>
        <v>#N/A</v>
      </c>
      <c r="AF148" s="8" t="str">
        <f t="array" ref="AF148">INDEX(Subject!$A:$I,MATCH(RANDBETWEEN(1,16),Subject!$B:$B,0),3)</f>
        <v>#N/A</v>
      </c>
      <c r="AG148" s="8" t="str">
        <f t="array" ref="AG148">INDEX(Subject!$A:$I,MATCH(RANDBETWEEN(1,16),Subject!$B:$B,0),3)</f>
        <v>#N/A</v>
      </c>
      <c r="AH148" s="8" t="str">
        <f t="array" ref="AH148">INDEX(Subject!$A:$I,MATCH(RANDBETWEEN(1,16),Subject!$B:$B,0),3)</f>
        <v>#N/A</v>
      </c>
      <c r="AI148" s="8" t="str">
        <f t="array" ref="AI148">INDEX(Subject!$A:$I,MATCH(RANDBETWEEN(1,16),Subject!$B:$B,0),3)</f>
        <v>#N/A</v>
      </c>
      <c r="AJ148" s="8" t="str">
        <f t="array" ref="AJ148">INDEX(Subject!$A:$I,MATCH(RANDBETWEEN(1,16),Subject!$B:$B,0),3)</f>
        <v>#N/A</v>
      </c>
      <c r="AK148" s="8" t="str">
        <f t="array" ref="AK148">INDEX(Subject!$A:$I,MATCH(RANDBETWEEN(1,16),Subject!$B:$B,0),3)</f>
        <v>#N/A</v>
      </c>
      <c r="AL148" s="8" t="str">
        <f t="array" ref="AL148">INDEX(Subject!$A:$I,MATCH(RANDBETWEEN(1,16),Subject!$B:$B,0),3)</f>
        <v>#N/A</v>
      </c>
      <c r="AM148" s="18">
        <f t="shared" si="4"/>
        <v>45648.33333</v>
      </c>
      <c r="AN148" s="19">
        <f t="shared" ref="AN148:BZ148" si="148">$A148+C$1</f>
        <v>45648.35417</v>
      </c>
      <c r="AO148" s="19">
        <f t="shared" si="148"/>
        <v>45648.375</v>
      </c>
      <c r="AP148" s="19">
        <f t="shared" si="148"/>
        <v>45648.39583</v>
      </c>
      <c r="AQ148" s="19">
        <f t="shared" si="148"/>
        <v>45648.41667</v>
      </c>
      <c r="AR148" s="19">
        <f t="shared" si="148"/>
        <v>45648.4375</v>
      </c>
      <c r="AS148" s="19">
        <f t="shared" si="148"/>
        <v>45648.45833</v>
      </c>
      <c r="AT148" s="19">
        <f t="shared" si="148"/>
        <v>45648.47917</v>
      </c>
      <c r="AU148" s="19">
        <f t="shared" si="148"/>
        <v>45648.5</v>
      </c>
      <c r="AV148" s="19">
        <f t="shared" si="148"/>
        <v>45648.52083</v>
      </c>
      <c r="AW148" s="19">
        <f t="shared" si="148"/>
        <v>45648.54167</v>
      </c>
      <c r="AX148" s="19">
        <f t="shared" si="148"/>
        <v>45648.5625</v>
      </c>
      <c r="AY148" s="19">
        <f t="shared" si="148"/>
        <v>45648.58333</v>
      </c>
      <c r="AZ148" s="19">
        <f t="shared" si="148"/>
        <v>45648.60417</v>
      </c>
      <c r="BA148" s="19">
        <f t="shared" si="148"/>
        <v>45648.625</v>
      </c>
      <c r="BB148" s="19">
        <f t="shared" si="148"/>
        <v>45648.64583</v>
      </c>
      <c r="BC148" s="19">
        <f t="shared" si="148"/>
        <v>45648.66667</v>
      </c>
      <c r="BD148" s="19">
        <f t="shared" si="148"/>
        <v>45648.6875</v>
      </c>
      <c r="BE148" s="19">
        <f t="shared" si="148"/>
        <v>45648.70833</v>
      </c>
      <c r="BF148" s="19">
        <f t="shared" si="148"/>
        <v>45648.72917</v>
      </c>
      <c r="BG148" s="19">
        <f t="shared" si="148"/>
        <v>45648.75</v>
      </c>
      <c r="BH148" s="19">
        <f t="shared" si="148"/>
        <v>45648.77083</v>
      </c>
      <c r="BI148" s="19">
        <f t="shared" si="148"/>
        <v>45648.79167</v>
      </c>
      <c r="BJ148" s="19">
        <f t="shared" si="148"/>
        <v>45648.8125</v>
      </c>
      <c r="BK148" s="19">
        <f t="shared" si="148"/>
        <v>45648.83333</v>
      </c>
      <c r="BL148" s="19">
        <f t="shared" si="148"/>
        <v>45648.85417</v>
      </c>
      <c r="BM148" s="19">
        <f t="shared" si="148"/>
        <v>45648.875</v>
      </c>
      <c r="BN148" s="19">
        <f t="shared" si="148"/>
        <v>45648.89583</v>
      </c>
      <c r="BO148" s="19">
        <f t="shared" si="148"/>
        <v>45648.91667</v>
      </c>
      <c r="BP148" s="19">
        <f t="shared" si="148"/>
        <v>45648.9375</v>
      </c>
      <c r="BQ148" s="19">
        <f t="shared" si="148"/>
        <v>45648.95833</v>
      </c>
      <c r="BR148" s="19">
        <f t="shared" si="148"/>
        <v>45648.97917</v>
      </c>
      <c r="BS148" s="19">
        <f t="shared" si="148"/>
        <v>45649</v>
      </c>
      <c r="BT148" s="19">
        <f t="shared" si="148"/>
        <v>45649.02083</v>
      </c>
      <c r="BU148" s="19">
        <f t="shared" si="148"/>
        <v>45649.04167</v>
      </c>
      <c r="BV148" s="19">
        <f t="shared" si="148"/>
        <v>45649.0625</v>
      </c>
      <c r="BW148" s="19">
        <f t="shared" si="148"/>
        <v>45649.08333</v>
      </c>
      <c r="BX148" s="19">
        <f t="shared" si="148"/>
        <v>45648</v>
      </c>
      <c r="BY148" s="19">
        <f t="shared" si="148"/>
        <v>45648</v>
      </c>
      <c r="BZ148" s="19">
        <f t="shared" si="148"/>
        <v>45648</v>
      </c>
    </row>
    <row r="149" ht="14.25" customHeight="1">
      <c r="A149" s="17">
        <v>45649.0</v>
      </c>
      <c r="B149" s="2" t="str">
        <f t="array" ref="B149">IF(NOW()&gt;AM149,"",IF(AND((WEEKDAY($A149)+$B$2)&gt;1,((WEEKDAY($A149)+$T$2)&lt;7),(WEEKDAY($A149)&lt;&gt;1)),"work",(INDEX(Subject!$A:$I,MATCH(RANDBETWEEN(1,(MAX(Subject!$B:$B))),Subject!$B:$B,0),3))))</f>
        <v/>
      </c>
      <c r="C149" s="2" t="str">
        <f t="array" ref="C149">IF(NOW()&gt;AN149,"",IF(AND((WEEKDAY($A149)+$B$2)&gt;1,((WEEKDAY($A149)+$T$2)&lt;7),(WEEKDAY($A149)&lt;&gt;1)),"work",(INDEX(Subject!$A:$I,MATCH(RANDBETWEEN(1,(MAX(Subject!$B:$B))),Subject!$B:$B,0),3))))</f>
        <v/>
      </c>
      <c r="D149" s="2" t="str">
        <f t="array" ref="D149">IF(NOW()&gt;AO149,"",IF(AND((WEEKDAY($A149)+$B$2)&gt;1,((WEEKDAY($A149)+$T$2)&lt;7),(WEEKDAY($A149)&lt;&gt;1)),"work",(INDEX(Subject!$A:$I,MATCH(RANDBETWEEN(1,(MAX(Subject!$B:$B))),Subject!$B:$B,0),3))))</f>
        <v/>
      </c>
      <c r="E149" s="2" t="str">
        <f t="array" ref="E149">IF(NOW()&gt;AP149,"",IF(AND((WEEKDAY($A149)+$B$2)&gt;1,((WEEKDAY($A149)+$T$2)&lt;7),(WEEKDAY($A149)&lt;&gt;1)),"work",(INDEX(Subject!$A:$I,MATCH(RANDBETWEEN(1,(MAX(Subject!$B:$B))),Subject!$B:$B,0),3))))</f>
        <v/>
      </c>
      <c r="F149" s="2" t="str">
        <f t="array" ref="F149">IF(NOW()&gt;AQ149,"",IF(AND((WEEKDAY($A149)+$B$2)&gt;1,((WEEKDAY($A149)+$T$2)&lt;7),(WEEKDAY($A149)&lt;&gt;1)),"work",(INDEX(Subject!$A:$I,MATCH(RANDBETWEEN(1,(MAX(Subject!$B:$B))),Subject!$B:$B,0),3))))</f>
        <v/>
      </c>
      <c r="G149" s="2" t="str">
        <f t="array" ref="G149">IF(NOW()&gt;AR149,"",IF(AND((WEEKDAY($A149)+$B$2)&gt;1,((WEEKDAY($A149)+$T$2)&lt;7),(WEEKDAY($A149)&lt;&gt;1)),"work",(INDEX(Subject!$A:$I,MATCH(RANDBETWEEN(1,(MAX(Subject!$B:$B))),Subject!$B:$B,0),3))))</f>
        <v/>
      </c>
      <c r="H149" s="2" t="str">
        <f t="array" ref="H149">IF(NOW()&gt;AS149,"",IF(AND((WEEKDAY($A149)+$B$2)&gt;1,((WEEKDAY($A149)+$T$2)&lt;7),(WEEKDAY($A149)&lt;&gt;1)),"work",(INDEX(Subject!$A:$I,MATCH(RANDBETWEEN(1,(MAX(Subject!$B:$B))),Subject!$B:$B,0),3))))</f>
        <v/>
      </c>
      <c r="I149" s="2" t="str">
        <f t="array" ref="I149">IF(NOW()&gt;AT149,"",IF(AND((WEEKDAY($A149)+$B$2)&gt;1,((WEEKDAY($A149)+$T$2)&lt;7),(WEEKDAY($A149)&lt;&gt;1)),"work",(INDEX(Subject!$A:$I,MATCH(RANDBETWEEN(1,(MAX(Subject!$B:$B))),Subject!$B:$B,0),3))))</f>
        <v/>
      </c>
      <c r="J149" s="2" t="str">
        <f t="array" ref="J149">IF(NOW()&gt;AU149,"",IF(AND((WEEKDAY($A149)+$B$2)&gt;1,((WEEKDAY($A149)+$T$2)&lt;7),(WEEKDAY($A149)&lt;&gt;1)),"work",(INDEX(Subject!$A:$I,MATCH(RANDBETWEEN(1,(MAX(Subject!$B:$B))),Subject!$B:$B,0),3))))</f>
        <v/>
      </c>
      <c r="K149" s="2" t="str">
        <f t="array" ref="K149">IF(NOW()&gt;AV149,"",IF(AND((WEEKDAY($A149)+$B$2)&gt;1,((WEEKDAY($A149)+$T$2)&lt;7),(WEEKDAY($A149)&lt;&gt;1)),"work",(INDEX(Subject!$A:$I,MATCH(RANDBETWEEN(1,(MAX(Subject!$B:$B))),Subject!$B:$B,0),3))))</f>
        <v/>
      </c>
      <c r="L149" s="2" t="str">
        <f t="array" ref="L149">IF(NOW()&gt;AW149,"",IF(AND((WEEKDAY($A149)+$B$2)&gt;1,((WEEKDAY($A149)+$T$2)&lt;7),(WEEKDAY($A149)&lt;&gt;1)),"work",(INDEX(Subject!$A:$I,MATCH(RANDBETWEEN(1,(MAX(Subject!$B:$B))),Subject!$B:$B,0),3))))</f>
        <v/>
      </c>
      <c r="M149" s="2" t="str">
        <f t="array" ref="M149">IF(NOW()&gt;AX149,"",IF(AND((WEEKDAY($A149)+$B$2)&gt;1,((WEEKDAY($A149)+$T$2)&lt;7),(WEEKDAY($A149)&lt;&gt;1)),"work",(INDEX(Subject!$A:$I,MATCH(RANDBETWEEN(1,(MAX(Subject!$B:$B))),Subject!$B:$B,0),3))))</f>
        <v/>
      </c>
      <c r="N149" s="2" t="str">
        <f t="array" ref="N149">IF(NOW()&gt;AY149,"",IF(AND((WEEKDAY($A149)+$B$2)&gt;1,((WEEKDAY($A149)+$T$2)&lt;7),(WEEKDAY($A149)&lt;&gt;1)),"work",(INDEX(Subject!$A:$I,MATCH(RANDBETWEEN(1,(MAX(Subject!$B:$B))),Subject!$B:$B,0),3))))</f>
        <v/>
      </c>
      <c r="O149" s="2" t="str">
        <f t="array" ref="O149">IF(NOW()&gt;AZ149,"",IF(AND((WEEKDAY($A149)+$B$2)&gt;1,((WEEKDAY($A149)+$T$2)&lt;7),(WEEKDAY($A149)&lt;&gt;1)),"work",(INDEX(Subject!$A:$I,MATCH(RANDBETWEEN(1,(MAX(Subject!$B:$B))),Subject!$B:$B,0),3))))</f>
        <v/>
      </c>
      <c r="P149" s="2" t="str">
        <f t="array" ref="P149">IF(NOW()&gt;BA149,"",IF(AND((WEEKDAY($A149)+$B$2)&gt;1,((WEEKDAY($A149)+$T$2)&lt;7),(WEEKDAY($A149)&lt;&gt;1)),"work",(INDEX(Subject!$A:$I,MATCH(RANDBETWEEN(1,(MAX(Subject!$B:$B))),Subject!$B:$B,0),3))))</f>
        <v/>
      </c>
      <c r="Q149" s="2" t="str">
        <f t="array" ref="Q149">IF(NOW()&gt;BB149,"",IF(AND((WEEKDAY($A149)+$B$2)&gt;1,((WEEKDAY($A149)+$T$2)&lt;7),(WEEKDAY($A149)&lt;&gt;1)),"work",(INDEX(Subject!$A:$I,MATCH(RANDBETWEEN(1,(MAX(Subject!$B:$B))),Subject!$B:$B,0),3))))</f>
        <v/>
      </c>
      <c r="R149" s="2" t="str">
        <f t="array" ref="R149">IF(NOW()&gt;BC149,"",IF(AND((WEEKDAY($A149)+$B$2)&gt;1,((WEEKDAY($A149)+$T$2)&lt;7),(WEEKDAY($A149)&lt;&gt;1)),"work",(INDEX(Subject!$A:$I,MATCH(RANDBETWEEN(1,(MAX(Subject!$B:$B))),Subject!$B:$B,0),3))))</f>
        <v/>
      </c>
      <c r="S149" s="2" t="str">
        <f t="array" ref="S149">IF(NOW()&gt;BD149,"",IF(AND((WEEKDAY($A149)+$B$2)&gt;1,((WEEKDAY($A149)+$T$2)&lt;7),(WEEKDAY($A149)&lt;&gt;1)),"work",(INDEX(Subject!$A:$I,MATCH(RANDBETWEEN(1,(MAX(Subject!$B:$B))),Subject!$B:$B,0),3))))</f>
        <v/>
      </c>
      <c r="T149" s="2" t="str">
        <f t="array" ref="T149">IF(NOW()&gt;BE149,"",IF(AND((WEEKDAY($A149)+$B$2)&gt;1,((WEEKDAY($A149)+$T$2)&lt;7),(WEEKDAY($A149)&lt;&gt;1)),"work",(INDEX(Subject!$A:$I,MATCH(RANDBETWEEN(1,(MAX(Subject!$B:$B))),Subject!$B:$B,0),3))))</f>
        <v/>
      </c>
      <c r="U149" s="8" t="str">
        <f t="array" ref="U149">INDEX(Subject!$A:$I,MATCH(RANDBETWEEN(1,16),Subject!$B:$B,0),3)</f>
        <v>#N/A</v>
      </c>
      <c r="V149" s="8" t="str">
        <f t="array" ref="V149">INDEX(Subject!$A:$I,MATCH(RANDBETWEEN(1,16),Subject!$B:$B,0),3)</f>
        <v>#N/A</v>
      </c>
      <c r="W149" s="8" t="str">
        <f t="array" ref="W149">INDEX(Subject!$A:$I,MATCH(RANDBETWEEN(1,16),Subject!$B:$B,0),3)</f>
        <v>#N/A</v>
      </c>
      <c r="X149" s="8" t="str">
        <f t="array" ref="X149">INDEX(Subject!$A:$I,MATCH(RANDBETWEEN(1,16),Subject!$B:$B,0),3)</f>
        <v>#N/A</v>
      </c>
      <c r="Y149" s="8" t="str">
        <f t="array" ref="Y149">INDEX(Subject!$A:$I,MATCH(RANDBETWEEN(1,16),Subject!$B:$B,0),3)</f>
        <v>#N/A</v>
      </c>
      <c r="Z149" s="8" t="str">
        <f t="array" ref="Z149">INDEX(Subject!$A:$I,MATCH(RANDBETWEEN(1,16),Subject!$B:$B,0),3)</f>
        <v>#N/A</v>
      </c>
      <c r="AA149" s="8" t="str">
        <f t="array" ref="AA149">INDEX(Subject!$A:$I,MATCH(RANDBETWEEN(1,16),Subject!$B:$B,0),3)</f>
        <v>#N/A</v>
      </c>
      <c r="AB149" s="8" t="str">
        <f t="array" ref="AB149">INDEX(Subject!$A:$I,MATCH(RANDBETWEEN(1,16),Subject!$B:$B,0),3)</f>
        <v>#N/A</v>
      </c>
      <c r="AC149" s="8" t="str">
        <f t="array" ref="AC149">INDEX(Subject!$A:$I,MATCH(RANDBETWEEN(1,16),Subject!$B:$B,0),3)</f>
        <v>#N/A</v>
      </c>
      <c r="AD149" s="8" t="str">
        <f t="array" ref="AD149">INDEX(Subject!$A:$I,MATCH(RANDBETWEEN(1,16),Subject!$B:$B,0),3)</f>
        <v>#N/A</v>
      </c>
      <c r="AE149" s="8" t="str">
        <f t="array" ref="AE149">INDEX(Subject!$A:$I,MATCH(RANDBETWEEN(1,16),Subject!$B:$B,0),3)</f>
        <v>#N/A</v>
      </c>
      <c r="AF149" s="8" t="str">
        <f t="array" ref="AF149">INDEX(Subject!$A:$I,MATCH(RANDBETWEEN(1,16),Subject!$B:$B,0),3)</f>
        <v>#N/A</v>
      </c>
      <c r="AG149" s="8" t="str">
        <f t="array" ref="AG149">INDEX(Subject!$A:$I,MATCH(RANDBETWEEN(1,16),Subject!$B:$B,0),3)</f>
        <v>#N/A</v>
      </c>
      <c r="AH149" s="8" t="str">
        <f t="array" ref="AH149">INDEX(Subject!$A:$I,MATCH(RANDBETWEEN(1,16),Subject!$B:$B,0),3)</f>
        <v>#N/A</v>
      </c>
      <c r="AI149" s="8" t="str">
        <f t="array" ref="AI149">INDEX(Subject!$A:$I,MATCH(RANDBETWEEN(1,16),Subject!$B:$B,0),3)</f>
        <v>#N/A</v>
      </c>
      <c r="AJ149" s="8" t="str">
        <f t="array" ref="AJ149">INDEX(Subject!$A:$I,MATCH(RANDBETWEEN(1,16),Subject!$B:$B,0),3)</f>
        <v>#N/A</v>
      </c>
      <c r="AK149" s="8" t="str">
        <f t="array" ref="AK149">INDEX(Subject!$A:$I,MATCH(RANDBETWEEN(1,16),Subject!$B:$B,0),3)</f>
        <v>#N/A</v>
      </c>
      <c r="AL149" s="8" t="str">
        <f t="array" ref="AL149">INDEX(Subject!$A:$I,MATCH(RANDBETWEEN(1,16),Subject!$B:$B,0),3)</f>
        <v/>
      </c>
      <c r="AM149" s="18">
        <f t="shared" si="4"/>
        <v>45649.33333</v>
      </c>
      <c r="AN149" s="19">
        <f t="shared" ref="AN149:BZ149" si="149">$A149+C$1</f>
        <v>45649.35417</v>
      </c>
      <c r="AO149" s="19">
        <f t="shared" si="149"/>
        <v>45649.375</v>
      </c>
      <c r="AP149" s="19">
        <f t="shared" si="149"/>
        <v>45649.39583</v>
      </c>
      <c r="AQ149" s="19">
        <f t="shared" si="149"/>
        <v>45649.41667</v>
      </c>
      <c r="AR149" s="19">
        <f t="shared" si="149"/>
        <v>45649.4375</v>
      </c>
      <c r="AS149" s="19">
        <f t="shared" si="149"/>
        <v>45649.45833</v>
      </c>
      <c r="AT149" s="19">
        <f t="shared" si="149"/>
        <v>45649.47917</v>
      </c>
      <c r="AU149" s="19">
        <f t="shared" si="149"/>
        <v>45649.5</v>
      </c>
      <c r="AV149" s="19">
        <f t="shared" si="149"/>
        <v>45649.52083</v>
      </c>
      <c r="AW149" s="19">
        <f t="shared" si="149"/>
        <v>45649.54167</v>
      </c>
      <c r="AX149" s="19">
        <f t="shared" si="149"/>
        <v>45649.5625</v>
      </c>
      <c r="AY149" s="19">
        <f t="shared" si="149"/>
        <v>45649.58333</v>
      </c>
      <c r="AZ149" s="19">
        <f t="shared" si="149"/>
        <v>45649.60417</v>
      </c>
      <c r="BA149" s="19">
        <f t="shared" si="149"/>
        <v>45649.625</v>
      </c>
      <c r="BB149" s="19">
        <f t="shared" si="149"/>
        <v>45649.64583</v>
      </c>
      <c r="BC149" s="19">
        <f t="shared" si="149"/>
        <v>45649.66667</v>
      </c>
      <c r="BD149" s="19">
        <f t="shared" si="149"/>
        <v>45649.6875</v>
      </c>
      <c r="BE149" s="19">
        <f t="shared" si="149"/>
        <v>45649.70833</v>
      </c>
      <c r="BF149" s="19">
        <f t="shared" si="149"/>
        <v>45649.72917</v>
      </c>
      <c r="BG149" s="19">
        <f t="shared" si="149"/>
        <v>45649.75</v>
      </c>
      <c r="BH149" s="19">
        <f t="shared" si="149"/>
        <v>45649.77083</v>
      </c>
      <c r="BI149" s="19">
        <f t="shared" si="149"/>
        <v>45649.79167</v>
      </c>
      <c r="BJ149" s="19">
        <f t="shared" si="149"/>
        <v>45649.8125</v>
      </c>
      <c r="BK149" s="19">
        <f t="shared" si="149"/>
        <v>45649.83333</v>
      </c>
      <c r="BL149" s="19">
        <f t="shared" si="149"/>
        <v>45649.85417</v>
      </c>
      <c r="BM149" s="19">
        <f t="shared" si="149"/>
        <v>45649.875</v>
      </c>
      <c r="BN149" s="19">
        <f t="shared" si="149"/>
        <v>45649.89583</v>
      </c>
      <c r="BO149" s="19">
        <f t="shared" si="149"/>
        <v>45649.91667</v>
      </c>
      <c r="BP149" s="19">
        <f t="shared" si="149"/>
        <v>45649.9375</v>
      </c>
      <c r="BQ149" s="19">
        <f t="shared" si="149"/>
        <v>45649.95833</v>
      </c>
      <c r="BR149" s="19">
        <f t="shared" si="149"/>
        <v>45649.97917</v>
      </c>
      <c r="BS149" s="19">
        <f t="shared" si="149"/>
        <v>45650</v>
      </c>
      <c r="BT149" s="19">
        <f t="shared" si="149"/>
        <v>45650.02083</v>
      </c>
      <c r="BU149" s="19">
        <f t="shared" si="149"/>
        <v>45650.04167</v>
      </c>
      <c r="BV149" s="19">
        <f t="shared" si="149"/>
        <v>45650.0625</v>
      </c>
      <c r="BW149" s="19">
        <f t="shared" si="149"/>
        <v>45650.08333</v>
      </c>
      <c r="BX149" s="19">
        <f t="shared" si="149"/>
        <v>45649</v>
      </c>
      <c r="BY149" s="19">
        <f t="shared" si="149"/>
        <v>45649</v>
      </c>
      <c r="BZ149" s="19">
        <f t="shared" si="149"/>
        <v>45649</v>
      </c>
    </row>
    <row r="150" ht="14.25" customHeight="1">
      <c r="A150" s="17">
        <v>45650.0</v>
      </c>
      <c r="B150" s="2" t="str">
        <f t="array" ref="B150">IF(NOW()&gt;AM150,"",IF(AND((WEEKDAY($A150)+$B$2)&gt;1,((WEEKDAY($A150)+$T$2)&lt;7),(WEEKDAY($A150)&lt;&gt;1)),"work",(INDEX(Subject!$A:$I,MATCH(RANDBETWEEN(1,(MAX(Subject!$B:$B))),Subject!$B:$B,0),3))))</f>
        <v/>
      </c>
      <c r="C150" s="2" t="str">
        <f t="array" ref="C150">IF(NOW()&gt;AN150,"",IF(AND((WEEKDAY($A150)+$B$2)&gt;1,((WEEKDAY($A150)+$T$2)&lt;7),(WEEKDAY($A150)&lt;&gt;1)),"work",(INDEX(Subject!$A:$I,MATCH(RANDBETWEEN(1,(MAX(Subject!$B:$B))),Subject!$B:$B,0),3))))</f>
        <v/>
      </c>
      <c r="D150" s="2" t="str">
        <f t="array" ref="D150">IF(NOW()&gt;AO150,"",IF(AND((WEEKDAY($A150)+$B$2)&gt;1,((WEEKDAY($A150)+$T$2)&lt;7),(WEEKDAY($A150)&lt;&gt;1)),"work",(INDEX(Subject!$A:$I,MATCH(RANDBETWEEN(1,(MAX(Subject!$B:$B))),Subject!$B:$B,0),3))))</f>
        <v/>
      </c>
      <c r="E150" s="2" t="str">
        <f t="array" ref="E150">IF(NOW()&gt;AP150,"",IF(AND((WEEKDAY($A150)+$B$2)&gt;1,((WEEKDAY($A150)+$T$2)&lt;7),(WEEKDAY($A150)&lt;&gt;1)),"work",(INDEX(Subject!$A:$I,MATCH(RANDBETWEEN(1,(MAX(Subject!$B:$B))),Subject!$B:$B,0),3))))</f>
        <v/>
      </c>
      <c r="F150" s="2" t="str">
        <f t="array" ref="F150">IF(NOW()&gt;AQ150,"",IF(AND((WEEKDAY($A150)+$B$2)&gt;1,((WEEKDAY($A150)+$T$2)&lt;7),(WEEKDAY($A150)&lt;&gt;1)),"work",(INDEX(Subject!$A:$I,MATCH(RANDBETWEEN(1,(MAX(Subject!$B:$B))),Subject!$B:$B,0),3))))</f>
        <v/>
      </c>
      <c r="G150" s="2" t="str">
        <f t="array" ref="G150">IF(NOW()&gt;AR150,"",IF(AND((WEEKDAY($A150)+$B$2)&gt;1,((WEEKDAY($A150)+$T$2)&lt;7),(WEEKDAY($A150)&lt;&gt;1)),"work",(INDEX(Subject!$A:$I,MATCH(RANDBETWEEN(1,(MAX(Subject!$B:$B))),Subject!$B:$B,0),3))))</f>
        <v/>
      </c>
      <c r="H150" s="2" t="str">
        <f t="array" ref="H150">IF(NOW()&gt;AS150,"",IF(AND((WEEKDAY($A150)+$B$2)&gt;1,((WEEKDAY($A150)+$T$2)&lt;7),(WEEKDAY($A150)&lt;&gt;1)),"work",(INDEX(Subject!$A:$I,MATCH(RANDBETWEEN(1,(MAX(Subject!$B:$B))),Subject!$B:$B,0),3))))</f>
        <v/>
      </c>
      <c r="I150" s="2" t="str">
        <f t="array" ref="I150">IF(NOW()&gt;AT150,"",IF(AND((WEEKDAY($A150)+$B$2)&gt;1,((WEEKDAY($A150)+$T$2)&lt;7),(WEEKDAY($A150)&lt;&gt;1)),"work",(INDEX(Subject!$A:$I,MATCH(RANDBETWEEN(1,(MAX(Subject!$B:$B))),Subject!$B:$B,0),3))))</f>
        <v/>
      </c>
      <c r="J150" s="2" t="str">
        <f t="array" ref="J150">IF(NOW()&gt;AU150,"",IF(AND((WEEKDAY($A150)+$B$2)&gt;1,((WEEKDAY($A150)+$T$2)&lt;7),(WEEKDAY($A150)&lt;&gt;1)),"work",(INDEX(Subject!$A:$I,MATCH(RANDBETWEEN(1,(MAX(Subject!$B:$B))),Subject!$B:$B,0),3))))</f>
        <v/>
      </c>
      <c r="K150" s="2" t="str">
        <f t="array" ref="K150">IF(NOW()&gt;AV150,"",IF(AND((WEEKDAY($A150)+$B$2)&gt;1,((WEEKDAY($A150)+$T$2)&lt;7),(WEEKDAY($A150)&lt;&gt;1)),"work",(INDEX(Subject!$A:$I,MATCH(RANDBETWEEN(1,(MAX(Subject!$B:$B))),Subject!$B:$B,0),3))))</f>
        <v/>
      </c>
      <c r="L150" s="2" t="str">
        <f t="array" ref="L150">IF(NOW()&gt;AW150,"",IF(AND((WEEKDAY($A150)+$B$2)&gt;1,((WEEKDAY($A150)+$T$2)&lt;7),(WEEKDAY($A150)&lt;&gt;1)),"work",(INDEX(Subject!$A:$I,MATCH(RANDBETWEEN(1,(MAX(Subject!$B:$B))),Subject!$B:$B,0),3))))</f>
        <v/>
      </c>
      <c r="M150" s="2" t="str">
        <f t="array" ref="M150">IF(NOW()&gt;AX150,"",IF(AND((WEEKDAY($A150)+$B$2)&gt;1,((WEEKDAY($A150)+$T$2)&lt;7),(WEEKDAY($A150)&lt;&gt;1)),"work",(INDEX(Subject!$A:$I,MATCH(RANDBETWEEN(1,(MAX(Subject!$B:$B))),Subject!$B:$B,0),3))))</f>
        <v/>
      </c>
      <c r="N150" s="2" t="str">
        <f t="array" ref="N150">IF(NOW()&gt;AY150,"",IF(AND((WEEKDAY($A150)+$B$2)&gt;1,((WEEKDAY($A150)+$T$2)&lt;7),(WEEKDAY($A150)&lt;&gt;1)),"work",(INDEX(Subject!$A:$I,MATCH(RANDBETWEEN(1,(MAX(Subject!$B:$B))),Subject!$B:$B,0),3))))</f>
        <v/>
      </c>
      <c r="O150" s="2" t="str">
        <f t="array" ref="O150">IF(NOW()&gt;AZ150,"",IF(AND((WEEKDAY($A150)+$B$2)&gt;1,((WEEKDAY($A150)+$T$2)&lt;7),(WEEKDAY($A150)&lt;&gt;1)),"work",(INDEX(Subject!$A:$I,MATCH(RANDBETWEEN(1,(MAX(Subject!$B:$B))),Subject!$B:$B,0),3))))</f>
        <v/>
      </c>
      <c r="P150" s="2" t="str">
        <f t="array" ref="P150">IF(NOW()&gt;BA150,"",IF(AND((WEEKDAY($A150)+$B$2)&gt;1,((WEEKDAY($A150)+$T$2)&lt;7),(WEEKDAY($A150)&lt;&gt;1)),"work",(INDEX(Subject!$A:$I,MATCH(RANDBETWEEN(1,(MAX(Subject!$B:$B))),Subject!$B:$B,0),3))))</f>
        <v/>
      </c>
      <c r="Q150" s="2" t="str">
        <f t="array" ref="Q150">IF(NOW()&gt;BB150,"",IF(AND((WEEKDAY($A150)+$B$2)&gt;1,((WEEKDAY($A150)+$T$2)&lt;7),(WEEKDAY($A150)&lt;&gt;1)),"work",(INDEX(Subject!$A:$I,MATCH(RANDBETWEEN(1,(MAX(Subject!$B:$B))),Subject!$B:$B,0),3))))</f>
        <v/>
      </c>
      <c r="R150" s="2" t="str">
        <f t="array" ref="R150">IF(NOW()&gt;BC150,"",IF(AND((WEEKDAY($A150)+$B$2)&gt;1,((WEEKDAY($A150)+$T$2)&lt;7),(WEEKDAY($A150)&lt;&gt;1)),"work",(INDEX(Subject!$A:$I,MATCH(RANDBETWEEN(1,(MAX(Subject!$B:$B))),Subject!$B:$B,0),3))))</f>
        <v/>
      </c>
      <c r="S150" s="2" t="str">
        <f t="array" ref="S150">IF(NOW()&gt;BD150,"",IF(AND((WEEKDAY($A150)+$B$2)&gt;1,((WEEKDAY($A150)+$T$2)&lt;7),(WEEKDAY($A150)&lt;&gt;1)),"work",(INDEX(Subject!$A:$I,MATCH(RANDBETWEEN(1,(MAX(Subject!$B:$B))),Subject!$B:$B,0),3))))</f>
        <v/>
      </c>
      <c r="T150" s="2" t="str">
        <f t="array" ref="T150">IF(NOW()&gt;BE150,"",IF(AND((WEEKDAY($A150)+$B$2)&gt;1,((WEEKDAY($A150)+$T$2)&lt;7),(WEEKDAY($A150)&lt;&gt;1)),"work",(INDEX(Subject!$A:$I,MATCH(RANDBETWEEN(1,(MAX(Subject!$B:$B))),Subject!$B:$B,0),3))))</f>
        <v/>
      </c>
      <c r="U150" s="8" t="str">
        <f t="array" ref="U150">INDEX(Subject!$A:$I,MATCH(RANDBETWEEN(1,16),Subject!$B:$B,0),3)</f>
        <v>#N/A</v>
      </c>
      <c r="V150" s="8" t="str">
        <f t="array" ref="V150">INDEX(Subject!$A:$I,MATCH(RANDBETWEEN(1,16),Subject!$B:$B,0),3)</f>
        <v>#N/A</v>
      </c>
      <c r="W150" s="8" t="str">
        <f t="array" ref="W150">INDEX(Subject!$A:$I,MATCH(RANDBETWEEN(1,16),Subject!$B:$B,0),3)</f>
        <v>#N/A</v>
      </c>
      <c r="X150" s="8" t="str">
        <f t="array" ref="X150">INDEX(Subject!$A:$I,MATCH(RANDBETWEEN(1,16),Subject!$B:$B,0),3)</f>
        <v>#N/A</v>
      </c>
      <c r="Y150" s="8" t="str">
        <f t="array" ref="Y150">INDEX(Subject!$A:$I,MATCH(RANDBETWEEN(1,16),Subject!$B:$B,0),3)</f>
        <v>#N/A</v>
      </c>
      <c r="Z150" s="8" t="str">
        <f t="array" ref="Z150">INDEX(Subject!$A:$I,MATCH(RANDBETWEEN(1,16),Subject!$B:$B,0),3)</f>
        <v>#N/A</v>
      </c>
      <c r="AA150" s="8" t="str">
        <f t="array" ref="AA150">INDEX(Subject!$A:$I,MATCH(RANDBETWEEN(1,16),Subject!$B:$B,0),3)</f>
        <v>#N/A</v>
      </c>
      <c r="AB150" s="8" t="str">
        <f t="array" ref="AB150">INDEX(Subject!$A:$I,MATCH(RANDBETWEEN(1,16),Subject!$B:$B,0),3)</f>
        <v>#N/A</v>
      </c>
      <c r="AC150" s="8" t="str">
        <f t="array" ref="AC150">INDEX(Subject!$A:$I,MATCH(RANDBETWEEN(1,16),Subject!$B:$B,0),3)</f>
        <v>#N/A</v>
      </c>
      <c r="AD150" s="8" t="str">
        <f t="array" ref="AD150">INDEX(Subject!$A:$I,MATCH(RANDBETWEEN(1,16),Subject!$B:$B,0),3)</f>
        <v>#N/A</v>
      </c>
      <c r="AE150" s="8" t="str">
        <f t="array" ref="AE150">INDEX(Subject!$A:$I,MATCH(RANDBETWEEN(1,16),Subject!$B:$B,0),3)</f>
        <v>#N/A</v>
      </c>
      <c r="AF150" s="8" t="str">
        <f t="array" ref="AF150">INDEX(Subject!$A:$I,MATCH(RANDBETWEEN(1,16),Subject!$B:$B,0),3)</f>
        <v>#N/A</v>
      </c>
      <c r="AG150" s="8" t="str">
        <f t="array" ref="AG150">INDEX(Subject!$A:$I,MATCH(RANDBETWEEN(1,16),Subject!$B:$B,0),3)</f>
        <v>#N/A</v>
      </c>
      <c r="AH150" s="8" t="str">
        <f t="array" ref="AH150">INDEX(Subject!$A:$I,MATCH(RANDBETWEEN(1,16),Subject!$B:$B,0),3)</f>
        <v>#N/A</v>
      </c>
      <c r="AI150" s="8" t="str">
        <f t="array" ref="AI150">INDEX(Subject!$A:$I,MATCH(RANDBETWEEN(1,16),Subject!$B:$B,0),3)</f>
        <v>#N/A</v>
      </c>
      <c r="AJ150" s="8" t="str">
        <f t="array" ref="AJ150">INDEX(Subject!$A:$I,MATCH(RANDBETWEEN(1,16),Subject!$B:$B,0),3)</f>
        <v>#N/A</v>
      </c>
      <c r="AK150" s="8" t="str">
        <f t="array" ref="AK150">INDEX(Subject!$A:$I,MATCH(RANDBETWEEN(1,16),Subject!$B:$B,0),3)</f>
        <v>#N/A</v>
      </c>
      <c r="AL150" s="8" t="str">
        <f t="array" ref="AL150">INDEX(Subject!$A:$I,MATCH(RANDBETWEEN(1,16),Subject!$B:$B,0),3)</f>
        <v>#N/A</v>
      </c>
      <c r="AM150" s="18">
        <f t="shared" si="4"/>
        <v>45650.33333</v>
      </c>
      <c r="AN150" s="19">
        <f t="shared" ref="AN150:BZ150" si="150">$A150+C$1</f>
        <v>45650.35417</v>
      </c>
      <c r="AO150" s="19">
        <f t="shared" si="150"/>
        <v>45650.375</v>
      </c>
      <c r="AP150" s="19">
        <f t="shared" si="150"/>
        <v>45650.39583</v>
      </c>
      <c r="AQ150" s="19">
        <f t="shared" si="150"/>
        <v>45650.41667</v>
      </c>
      <c r="AR150" s="19">
        <f t="shared" si="150"/>
        <v>45650.4375</v>
      </c>
      <c r="AS150" s="19">
        <f t="shared" si="150"/>
        <v>45650.45833</v>
      </c>
      <c r="AT150" s="19">
        <f t="shared" si="150"/>
        <v>45650.47917</v>
      </c>
      <c r="AU150" s="19">
        <f t="shared" si="150"/>
        <v>45650.5</v>
      </c>
      <c r="AV150" s="19">
        <f t="shared" si="150"/>
        <v>45650.52083</v>
      </c>
      <c r="AW150" s="19">
        <f t="shared" si="150"/>
        <v>45650.54167</v>
      </c>
      <c r="AX150" s="19">
        <f t="shared" si="150"/>
        <v>45650.5625</v>
      </c>
      <c r="AY150" s="19">
        <f t="shared" si="150"/>
        <v>45650.58333</v>
      </c>
      <c r="AZ150" s="19">
        <f t="shared" si="150"/>
        <v>45650.60417</v>
      </c>
      <c r="BA150" s="19">
        <f t="shared" si="150"/>
        <v>45650.625</v>
      </c>
      <c r="BB150" s="19">
        <f t="shared" si="150"/>
        <v>45650.64583</v>
      </c>
      <c r="BC150" s="19">
        <f t="shared" si="150"/>
        <v>45650.66667</v>
      </c>
      <c r="BD150" s="19">
        <f t="shared" si="150"/>
        <v>45650.6875</v>
      </c>
      <c r="BE150" s="19">
        <f t="shared" si="150"/>
        <v>45650.70833</v>
      </c>
      <c r="BF150" s="19">
        <f t="shared" si="150"/>
        <v>45650.72917</v>
      </c>
      <c r="BG150" s="19">
        <f t="shared" si="150"/>
        <v>45650.75</v>
      </c>
      <c r="BH150" s="19">
        <f t="shared" si="150"/>
        <v>45650.77083</v>
      </c>
      <c r="BI150" s="19">
        <f t="shared" si="150"/>
        <v>45650.79167</v>
      </c>
      <c r="BJ150" s="19">
        <f t="shared" si="150"/>
        <v>45650.8125</v>
      </c>
      <c r="BK150" s="19">
        <f t="shared" si="150"/>
        <v>45650.83333</v>
      </c>
      <c r="BL150" s="19">
        <f t="shared" si="150"/>
        <v>45650.85417</v>
      </c>
      <c r="BM150" s="19">
        <f t="shared" si="150"/>
        <v>45650.875</v>
      </c>
      <c r="BN150" s="19">
        <f t="shared" si="150"/>
        <v>45650.89583</v>
      </c>
      <c r="BO150" s="19">
        <f t="shared" si="150"/>
        <v>45650.91667</v>
      </c>
      <c r="BP150" s="19">
        <f t="shared" si="150"/>
        <v>45650.9375</v>
      </c>
      <c r="BQ150" s="19">
        <f t="shared" si="150"/>
        <v>45650.95833</v>
      </c>
      <c r="BR150" s="19">
        <f t="shared" si="150"/>
        <v>45650.97917</v>
      </c>
      <c r="BS150" s="19">
        <f t="shared" si="150"/>
        <v>45651</v>
      </c>
      <c r="BT150" s="19">
        <f t="shared" si="150"/>
        <v>45651.02083</v>
      </c>
      <c r="BU150" s="19">
        <f t="shared" si="150"/>
        <v>45651.04167</v>
      </c>
      <c r="BV150" s="19">
        <f t="shared" si="150"/>
        <v>45651.0625</v>
      </c>
      <c r="BW150" s="19">
        <f t="shared" si="150"/>
        <v>45651.08333</v>
      </c>
      <c r="BX150" s="19">
        <f t="shared" si="150"/>
        <v>45650</v>
      </c>
      <c r="BY150" s="19">
        <f t="shared" si="150"/>
        <v>45650</v>
      </c>
      <c r="BZ150" s="19">
        <f t="shared" si="150"/>
        <v>45650</v>
      </c>
    </row>
    <row r="151" ht="14.25" customHeight="1">
      <c r="A151" s="17">
        <v>45651.0</v>
      </c>
      <c r="B151" s="2" t="str">
        <f t="array" ref="B151">IF(NOW()&gt;AM151,"",IF(AND((WEEKDAY($A151)+$B$2)&gt;1,((WEEKDAY($A151)+$T$2)&lt;7),(WEEKDAY($A151)&lt;&gt;1)),"work",(INDEX(Subject!$A:$I,MATCH(RANDBETWEEN(1,(MAX(Subject!$B:$B))),Subject!$B:$B,0),3))))</f>
        <v/>
      </c>
      <c r="C151" s="2" t="str">
        <f t="array" ref="C151">IF(NOW()&gt;AN151,"",IF(AND((WEEKDAY($A151)+$B$2)&gt;1,((WEEKDAY($A151)+$T$2)&lt;7),(WEEKDAY($A151)&lt;&gt;1)),"work",(INDEX(Subject!$A:$I,MATCH(RANDBETWEEN(1,(MAX(Subject!$B:$B))),Subject!$B:$B,0),3))))</f>
        <v/>
      </c>
      <c r="D151" s="2" t="str">
        <f t="array" ref="D151">IF(NOW()&gt;AO151,"",IF(AND((WEEKDAY($A151)+$B$2)&gt;1,((WEEKDAY($A151)+$T$2)&lt;7),(WEEKDAY($A151)&lt;&gt;1)),"work",(INDEX(Subject!$A:$I,MATCH(RANDBETWEEN(1,(MAX(Subject!$B:$B))),Subject!$B:$B,0),3))))</f>
        <v/>
      </c>
      <c r="E151" s="2" t="str">
        <f t="array" ref="E151">IF(NOW()&gt;AP151,"",IF(AND((WEEKDAY($A151)+$B$2)&gt;1,((WEEKDAY($A151)+$T$2)&lt;7),(WEEKDAY($A151)&lt;&gt;1)),"work",(INDEX(Subject!$A:$I,MATCH(RANDBETWEEN(1,(MAX(Subject!$B:$B))),Subject!$B:$B,0),3))))</f>
        <v/>
      </c>
      <c r="F151" s="2" t="str">
        <f t="array" ref="F151">IF(NOW()&gt;AQ151,"",IF(AND((WEEKDAY($A151)+$B$2)&gt;1,((WEEKDAY($A151)+$T$2)&lt;7),(WEEKDAY($A151)&lt;&gt;1)),"work",(INDEX(Subject!$A:$I,MATCH(RANDBETWEEN(1,(MAX(Subject!$B:$B))),Subject!$B:$B,0),3))))</f>
        <v/>
      </c>
      <c r="G151" s="2" t="str">
        <f t="array" ref="G151">IF(NOW()&gt;AR151,"",IF(AND((WEEKDAY($A151)+$B$2)&gt;1,((WEEKDAY($A151)+$T$2)&lt;7),(WEEKDAY($A151)&lt;&gt;1)),"work",(INDEX(Subject!$A:$I,MATCH(RANDBETWEEN(1,(MAX(Subject!$B:$B))),Subject!$B:$B,0),3))))</f>
        <v/>
      </c>
      <c r="H151" s="2" t="str">
        <f t="array" ref="H151">IF(NOW()&gt;AS151,"",IF(AND((WEEKDAY($A151)+$B$2)&gt;1,((WEEKDAY($A151)+$T$2)&lt;7),(WEEKDAY($A151)&lt;&gt;1)),"work",(INDEX(Subject!$A:$I,MATCH(RANDBETWEEN(1,(MAX(Subject!$B:$B))),Subject!$B:$B,0),3))))</f>
        <v/>
      </c>
      <c r="I151" s="2" t="str">
        <f t="array" ref="I151">IF(NOW()&gt;AT151,"",IF(AND((WEEKDAY($A151)+$B$2)&gt;1,((WEEKDAY($A151)+$T$2)&lt;7),(WEEKDAY($A151)&lt;&gt;1)),"work",(INDEX(Subject!$A:$I,MATCH(RANDBETWEEN(1,(MAX(Subject!$B:$B))),Subject!$B:$B,0),3))))</f>
        <v/>
      </c>
      <c r="J151" s="2" t="str">
        <f t="array" ref="J151">IF(NOW()&gt;AU151,"",IF(AND((WEEKDAY($A151)+$B$2)&gt;1,((WEEKDAY($A151)+$T$2)&lt;7),(WEEKDAY($A151)&lt;&gt;1)),"work",(INDEX(Subject!$A:$I,MATCH(RANDBETWEEN(1,(MAX(Subject!$B:$B))),Subject!$B:$B,0),3))))</f>
        <v/>
      </c>
      <c r="K151" s="2" t="str">
        <f t="array" ref="K151">IF(NOW()&gt;AV151,"",IF(AND((WEEKDAY($A151)+$B$2)&gt;1,((WEEKDAY($A151)+$T$2)&lt;7),(WEEKDAY($A151)&lt;&gt;1)),"work",(INDEX(Subject!$A:$I,MATCH(RANDBETWEEN(1,(MAX(Subject!$B:$B))),Subject!$B:$B,0),3))))</f>
        <v/>
      </c>
      <c r="L151" s="2" t="str">
        <f t="array" ref="L151">IF(NOW()&gt;AW151,"",IF(AND((WEEKDAY($A151)+$B$2)&gt;1,((WEEKDAY($A151)+$T$2)&lt;7),(WEEKDAY($A151)&lt;&gt;1)),"work",(INDEX(Subject!$A:$I,MATCH(RANDBETWEEN(1,(MAX(Subject!$B:$B))),Subject!$B:$B,0),3))))</f>
        <v/>
      </c>
      <c r="M151" s="2" t="str">
        <f t="array" ref="M151">IF(NOW()&gt;AX151,"",IF(AND((WEEKDAY($A151)+$B$2)&gt;1,((WEEKDAY($A151)+$T$2)&lt;7),(WEEKDAY($A151)&lt;&gt;1)),"work",(INDEX(Subject!$A:$I,MATCH(RANDBETWEEN(1,(MAX(Subject!$B:$B))),Subject!$B:$B,0),3))))</f>
        <v/>
      </c>
      <c r="N151" s="2" t="str">
        <f t="array" ref="N151">IF(NOW()&gt;AY151,"",IF(AND((WEEKDAY($A151)+$B$2)&gt;1,((WEEKDAY($A151)+$T$2)&lt;7),(WEEKDAY($A151)&lt;&gt;1)),"work",(INDEX(Subject!$A:$I,MATCH(RANDBETWEEN(1,(MAX(Subject!$B:$B))),Subject!$B:$B,0),3))))</f>
        <v/>
      </c>
      <c r="O151" s="2" t="str">
        <f t="array" ref="O151">IF(NOW()&gt;AZ151,"",IF(AND((WEEKDAY($A151)+$B$2)&gt;1,((WEEKDAY($A151)+$T$2)&lt;7),(WEEKDAY($A151)&lt;&gt;1)),"work",(INDEX(Subject!$A:$I,MATCH(RANDBETWEEN(1,(MAX(Subject!$B:$B))),Subject!$B:$B,0),3))))</f>
        <v/>
      </c>
      <c r="P151" s="2" t="str">
        <f t="array" ref="P151">IF(NOW()&gt;BA151,"",IF(AND((WEEKDAY($A151)+$B$2)&gt;1,((WEEKDAY($A151)+$T$2)&lt;7),(WEEKDAY($A151)&lt;&gt;1)),"work",(INDEX(Subject!$A:$I,MATCH(RANDBETWEEN(1,(MAX(Subject!$B:$B))),Subject!$B:$B,0),3))))</f>
        <v/>
      </c>
      <c r="Q151" s="2" t="str">
        <f t="array" ref="Q151">IF(NOW()&gt;BB151,"",IF(AND((WEEKDAY($A151)+$B$2)&gt;1,((WEEKDAY($A151)+$T$2)&lt;7),(WEEKDAY($A151)&lt;&gt;1)),"work",(INDEX(Subject!$A:$I,MATCH(RANDBETWEEN(1,(MAX(Subject!$B:$B))),Subject!$B:$B,0),3))))</f>
        <v/>
      </c>
      <c r="R151" s="2" t="str">
        <f t="array" ref="R151">IF(NOW()&gt;BC151,"",IF(AND((WEEKDAY($A151)+$B$2)&gt;1,((WEEKDAY($A151)+$T$2)&lt;7),(WEEKDAY($A151)&lt;&gt;1)),"work",(INDEX(Subject!$A:$I,MATCH(RANDBETWEEN(1,(MAX(Subject!$B:$B))),Subject!$B:$B,0),3))))</f>
        <v/>
      </c>
      <c r="S151" s="2" t="str">
        <f t="array" ref="S151">IF(NOW()&gt;BD151,"",IF(AND((WEEKDAY($A151)+$B$2)&gt;1,((WEEKDAY($A151)+$T$2)&lt;7),(WEEKDAY($A151)&lt;&gt;1)),"work",(INDEX(Subject!$A:$I,MATCH(RANDBETWEEN(1,(MAX(Subject!$B:$B))),Subject!$B:$B,0),3))))</f>
        <v/>
      </c>
      <c r="T151" s="2" t="str">
        <f t="array" ref="T151">IF(NOW()&gt;BE151,"",IF(AND((WEEKDAY($A151)+$B$2)&gt;1,((WEEKDAY($A151)+$T$2)&lt;7),(WEEKDAY($A151)&lt;&gt;1)),"work",(INDEX(Subject!$A:$I,MATCH(RANDBETWEEN(1,(MAX(Subject!$B:$B))),Subject!$B:$B,0),3))))</f>
        <v/>
      </c>
      <c r="U151" s="8" t="str">
        <f t="array" ref="U151">INDEX(Subject!$A:$I,MATCH(RANDBETWEEN(1,16),Subject!$B:$B,0),3)</f>
        <v>#N/A</v>
      </c>
      <c r="V151" s="8" t="str">
        <f t="array" ref="V151">INDEX(Subject!$A:$I,MATCH(RANDBETWEEN(1,16),Subject!$B:$B,0),3)</f>
        <v>#N/A</v>
      </c>
      <c r="W151" s="8" t="str">
        <f t="array" ref="W151">INDEX(Subject!$A:$I,MATCH(RANDBETWEEN(1,16),Subject!$B:$B,0),3)</f>
        <v>#N/A</v>
      </c>
      <c r="X151" s="8" t="str">
        <f t="array" ref="X151">INDEX(Subject!$A:$I,MATCH(RANDBETWEEN(1,16),Subject!$B:$B,0),3)</f>
        <v>#N/A</v>
      </c>
      <c r="Y151" s="8" t="str">
        <f t="array" ref="Y151">INDEX(Subject!$A:$I,MATCH(RANDBETWEEN(1,16),Subject!$B:$B,0),3)</f>
        <v>#N/A</v>
      </c>
      <c r="Z151" s="8" t="str">
        <f t="array" ref="Z151">INDEX(Subject!$A:$I,MATCH(RANDBETWEEN(1,16),Subject!$B:$B,0),3)</f>
        <v>#N/A</v>
      </c>
      <c r="AA151" s="8" t="str">
        <f t="array" ref="AA151">INDEX(Subject!$A:$I,MATCH(RANDBETWEEN(1,16),Subject!$B:$B,0),3)</f>
        <v>#N/A</v>
      </c>
      <c r="AB151" s="8" t="str">
        <f t="array" ref="AB151">INDEX(Subject!$A:$I,MATCH(RANDBETWEEN(1,16),Subject!$B:$B,0),3)</f>
        <v>#N/A</v>
      </c>
      <c r="AC151" s="8" t="str">
        <f t="array" ref="AC151">INDEX(Subject!$A:$I,MATCH(RANDBETWEEN(1,16),Subject!$B:$B,0),3)</f>
        <v>#N/A</v>
      </c>
      <c r="AD151" s="8" t="str">
        <f t="array" ref="AD151">INDEX(Subject!$A:$I,MATCH(RANDBETWEEN(1,16),Subject!$B:$B,0),3)</f>
        <v>#N/A</v>
      </c>
      <c r="AE151" s="8" t="str">
        <f t="array" ref="AE151">INDEX(Subject!$A:$I,MATCH(RANDBETWEEN(1,16),Subject!$B:$B,0),3)</f>
        <v>#N/A</v>
      </c>
      <c r="AF151" s="8" t="str">
        <f t="array" ref="AF151">INDEX(Subject!$A:$I,MATCH(RANDBETWEEN(1,16),Subject!$B:$B,0),3)</f>
        <v>#N/A</v>
      </c>
      <c r="AG151" s="8" t="str">
        <f t="array" ref="AG151">INDEX(Subject!$A:$I,MATCH(RANDBETWEEN(1,16),Subject!$B:$B,0),3)</f>
        <v>#N/A</v>
      </c>
      <c r="AH151" s="8" t="str">
        <f t="array" ref="AH151">INDEX(Subject!$A:$I,MATCH(RANDBETWEEN(1,16),Subject!$B:$B,0),3)</f>
        <v>#N/A</v>
      </c>
      <c r="AI151" s="8" t="str">
        <f t="array" ref="AI151">INDEX(Subject!$A:$I,MATCH(RANDBETWEEN(1,16),Subject!$B:$B,0),3)</f>
        <v>#N/A</v>
      </c>
      <c r="AJ151" s="8" t="str">
        <f t="array" ref="AJ151">INDEX(Subject!$A:$I,MATCH(RANDBETWEEN(1,16),Subject!$B:$B,0),3)</f>
        <v>#N/A</v>
      </c>
      <c r="AK151" s="8" t="str">
        <f t="array" ref="AK151">INDEX(Subject!$A:$I,MATCH(RANDBETWEEN(1,16),Subject!$B:$B,0),3)</f>
        <v>#N/A</v>
      </c>
      <c r="AL151" s="8" t="str">
        <f t="array" ref="AL151">INDEX(Subject!$A:$I,MATCH(RANDBETWEEN(1,16),Subject!$B:$B,0),3)</f>
        <v>#N/A</v>
      </c>
      <c r="AM151" s="18">
        <f t="shared" si="4"/>
        <v>45651.33333</v>
      </c>
      <c r="AN151" s="19">
        <f t="shared" ref="AN151:BZ151" si="151">$A151+C$1</f>
        <v>45651.35417</v>
      </c>
      <c r="AO151" s="19">
        <f t="shared" si="151"/>
        <v>45651.375</v>
      </c>
      <c r="AP151" s="19">
        <f t="shared" si="151"/>
        <v>45651.39583</v>
      </c>
      <c r="AQ151" s="19">
        <f t="shared" si="151"/>
        <v>45651.41667</v>
      </c>
      <c r="AR151" s="19">
        <f t="shared" si="151"/>
        <v>45651.4375</v>
      </c>
      <c r="AS151" s="19">
        <f t="shared" si="151"/>
        <v>45651.45833</v>
      </c>
      <c r="AT151" s="19">
        <f t="shared" si="151"/>
        <v>45651.47917</v>
      </c>
      <c r="AU151" s="19">
        <f t="shared" si="151"/>
        <v>45651.5</v>
      </c>
      <c r="AV151" s="19">
        <f t="shared" si="151"/>
        <v>45651.52083</v>
      </c>
      <c r="AW151" s="19">
        <f t="shared" si="151"/>
        <v>45651.54167</v>
      </c>
      <c r="AX151" s="19">
        <f t="shared" si="151"/>
        <v>45651.5625</v>
      </c>
      <c r="AY151" s="19">
        <f t="shared" si="151"/>
        <v>45651.58333</v>
      </c>
      <c r="AZ151" s="19">
        <f t="shared" si="151"/>
        <v>45651.60417</v>
      </c>
      <c r="BA151" s="19">
        <f t="shared" si="151"/>
        <v>45651.625</v>
      </c>
      <c r="BB151" s="19">
        <f t="shared" si="151"/>
        <v>45651.64583</v>
      </c>
      <c r="BC151" s="19">
        <f t="shared" si="151"/>
        <v>45651.66667</v>
      </c>
      <c r="BD151" s="19">
        <f t="shared" si="151"/>
        <v>45651.6875</v>
      </c>
      <c r="BE151" s="19">
        <f t="shared" si="151"/>
        <v>45651.70833</v>
      </c>
      <c r="BF151" s="19">
        <f t="shared" si="151"/>
        <v>45651.72917</v>
      </c>
      <c r="BG151" s="19">
        <f t="shared" si="151"/>
        <v>45651.75</v>
      </c>
      <c r="BH151" s="19">
        <f t="shared" si="151"/>
        <v>45651.77083</v>
      </c>
      <c r="BI151" s="19">
        <f t="shared" si="151"/>
        <v>45651.79167</v>
      </c>
      <c r="BJ151" s="19">
        <f t="shared" si="151"/>
        <v>45651.8125</v>
      </c>
      <c r="BK151" s="19">
        <f t="shared" si="151"/>
        <v>45651.83333</v>
      </c>
      <c r="BL151" s="19">
        <f t="shared" si="151"/>
        <v>45651.85417</v>
      </c>
      <c r="BM151" s="19">
        <f t="shared" si="151"/>
        <v>45651.875</v>
      </c>
      <c r="BN151" s="19">
        <f t="shared" si="151"/>
        <v>45651.89583</v>
      </c>
      <c r="BO151" s="19">
        <f t="shared" si="151"/>
        <v>45651.91667</v>
      </c>
      <c r="BP151" s="19">
        <f t="shared" si="151"/>
        <v>45651.9375</v>
      </c>
      <c r="BQ151" s="19">
        <f t="shared" si="151"/>
        <v>45651.95833</v>
      </c>
      <c r="BR151" s="19">
        <f t="shared" si="151"/>
        <v>45651.97917</v>
      </c>
      <c r="BS151" s="19">
        <f t="shared" si="151"/>
        <v>45652</v>
      </c>
      <c r="BT151" s="19">
        <f t="shared" si="151"/>
        <v>45652.02083</v>
      </c>
      <c r="BU151" s="19">
        <f t="shared" si="151"/>
        <v>45652.04167</v>
      </c>
      <c r="BV151" s="19">
        <f t="shared" si="151"/>
        <v>45652.0625</v>
      </c>
      <c r="BW151" s="19">
        <f t="shared" si="151"/>
        <v>45652.08333</v>
      </c>
      <c r="BX151" s="19">
        <f t="shared" si="151"/>
        <v>45651</v>
      </c>
      <c r="BY151" s="19">
        <f t="shared" si="151"/>
        <v>45651</v>
      </c>
      <c r="BZ151" s="19">
        <f t="shared" si="151"/>
        <v>45651</v>
      </c>
    </row>
    <row r="152" ht="14.25" customHeight="1">
      <c r="A152" s="17">
        <v>45652.0</v>
      </c>
      <c r="B152" s="2" t="str">
        <f t="array" ref="B152">IF(NOW()&gt;AM152,"",IF(AND((WEEKDAY($A152)+$B$2)&gt;1,((WEEKDAY($A152)+$T$2)&lt;7),(WEEKDAY($A152)&lt;&gt;1)),"work",(INDEX(Subject!$A:$I,MATCH(RANDBETWEEN(1,(MAX(Subject!$B:$B))),Subject!$B:$B,0),3))))</f>
        <v/>
      </c>
      <c r="C152" s="2" t="str">
        <f t="array" ref="C152">IF(NOW()&gt;AN152,"",IF(AND((WEEKDAY($A152)+$B$2)&gt;1,((WEEKDAY($A152)+$T$2)&lt;7),(WEEKDAY($A152)&lt;&gt;1)),"work",(INDEX(Subject!$A:$I,MATCH(RANDBETWEEN(1,(MAX(Subject!$B:$B))),Subject!$B:$B,0),3))))</f>
        <v/>
      </c>
      <c r="D152" s="2" t="str">
        <f t="array" ref="D152">IF(NOW()&gt;AO152,"",IF(AND((WEEKDAY($A152)+$B$2)&gt;1,((WEEKDAY($A152)+$T$2)&lt;7),(WEEKDAY($A152)&lt;&gt;1)),"work",(INDEX(Subject!$A:$I,MATCH(RANDBETWEEN(1,(MAX(Subject!$B:$B))),Subject!$B:$B,0),3))))</f>
        <v/>
      </c>
      <c r="E152" s="2" t="str">
        <f t="array" ref="E152">IF(NOW()&gt;AP152,"",IF(AND((WEEKDAY($A152)+$B$2)&gt;1,((WEEKDAY($A152)+$T$2)&lt;7),(WEEKDAY($A152)&lt;&gt;1)),"work",(INDEX(Subject!$A:$I,MATCH(RANDBETWEEN(1,(MAX(Subject!$B:$B))),Subject!$B:$B,0),3))))</f>
        <v/>
      </c>
      <c r="F152" s="2" t="str">
        <f t="array" ref="F152">IF(NOW()&gt;AQ152,"",IF(AND((WEEKDAY($A152)+$B$2)&gt;1,((WEEKDAY($A152)+$T$2)&lt;7),(WEEKDAY($A152)&lt;&gt;1)),"work",(INDEX(Subject!$A:$I,MATCH(RANDBETWEEN(1,(MAX(Subject!$B:$B))),Subject!$B:$B,0),3))))</f>
        <v/>
      </c>
      <c r="G152" s="2" t="str">
        <f t="array" ref="G152">IF(NOW()&gt;AR152,"",IF(AND((WEEKDAY($A152)+$B$2)&gt;1,((WEEKDAY($A152)+$T$2)&lt;7),(WEEKDAY($A152)&lt;&gt;1)),"work",(INDEX(Subject!$A:$I,MATCH(RANDBETWEEN(1,(MAX(Subject!$B:$B))),Subject!$B:$B,0),3))))</f>
        <v/>
      </c>
      <c r="H152" s="2" t="str">
        <f t="array" ref="H152">IF(NOW()&gt;AS152,"",IF(AND((WEEKDAY($A152)+$B$2)&gt;1,((WEEKDAY($A152)+$T$2)&lt;7),(WEEKDAY($A152)&lt;&gt;1)),"work",(INDEX(Subject!$A:$I,MATCH(RANDBETWEEN(1,(MAX(Subject!$B:$B))),Subject!$B:$B,0),3))))</f>
        <v/>
      </c>
      <c r="I152" s="2" t="str">
        <f t="array" ref="I152">IF(NOW()&gt;AT152,"",IF(AND((WEEKDAY($A152)+$B$2)&gt;1,((WEEKDAY($A152)+$T$2)&lt;7),(WEEKDAY($A152)&lt;&gt;1)),"work",(INDEX(Subject!$A:$I,MATCH(RANDBETWEEN(1,(MAX(Subject!$B:$B))),Subject!$B:$B,0),3))))</f>
        <v/>
      </c>
      <c r="J152" s="2" t="str">
        <f t="array" ref="J152">IF(NOW()&gt;AU152,"",IF(AND((WEEKDAY($A152)+$B$2)&gt;1,((WEEKDAY($A152)+$T$2)&lt;7),(WEEKDAY($A152)&lt;&gt;1)),"work",(INDEX(Subject!$A:$I,MATCH(RANDBETWEEN(1,(MAX(Subject!$B:$B))),Subject!$B:$B,0),3))))</f>
        <v/>
      </c>
      <c r="K152" s="2" t="str">
        <f t="array" ref="K152">IF(NOW()&gt;AV152,"",IF(AND((WEEKDAY($A152)+$B$2)&gt;1,((WEEKDAY($A152)+$T$2)&lt;7),(WEEKDAY($A152)&lt;&gt;1)),"work",(INDEX(Subject!$A:$I,MATCH(RANDBETWEEN(1,(MAX(Subject!$B:$B))),Subject!$B:$B,0),3))))</f>
        <v/>
      </c>
      <c r="L152" s="2" t="str">
        <f t="array" ref="L152">IF(NOW()&gt;AW152,"",IF(AND((WEEKDAY($A152)+$B$2)&gt;1,((WEEKDAY($A152)+$T$2)&lt;7),(WEEKDAY($A152)&lt;&gt;1)),"work",(INDEX(Subject!$A:$I,MATCH(RANDBETWEEN(1,(MAX(Subject!$B:$B))),Subject!$B:$B,0),3))))</f>
        <v/>
      </c>
      <c r="M152" s="2" t="str">
        <f t="array" ref="M152">IF(NOW()&gt;AX152,"",IF(AND((WEEKDAY($A152)+$B$2)&gt;1,((WEEKDAY($A152)+$T$2)&lt;7),(WEEKDAY($A152)&lt;&gt;1)),"work",(INDEX(Subject!$A:$I,MATCH(RANDBETWEEN(1,(MAX(Subject!$B:$B))),Subject!$B:$B,0),3))))</f>
        <v/>
      </c>
      <c r="N152" s="2" t="str">
        <f t="array" ref="N152">IF(NOW()&gt;AY152,"",IF(AND((WEEKDAY($A152)+$B$2)&gt;1,((WEEKDAY($A152)+$T$2)&lt;7),(WEEKDAY($A152)&lt;&gt;1)),"work",(INDEX(Subject!$A:$I,MATCH(RANDBETWEEN(1,(MAX(Subject!$B:$B))),Subject!$B:$B,0),3))))</f>
        <v/>
      </c>
      <c r="O152" s="2" t="str">
        <f t="array" ref="O152">IF(NOW()&gt;AZ152,"",IF(AND((WEEKDAY($A152)+$B$2)&gt;1,((WEEKDAY($A152)+$T$2)&lt;7),(WEEKDAY($A152)&lt;&gt;1)),"work",(INDEX(Subject!$A:$I,MATCH(RANDBETWEEN(1,(MAX(Subject!$B:$B))),Subject!$B:$B,0),3))))</f>
        <v/>
      </c>
      <c r="P152" s="2" t="str">
        <f t="array" ref="P152">IF(NOW()&gt;BA152,"",IF(AND((WEEKDAY($A152)+$B$2)&gt;1,((WEEKDAY($A152)+$T$2)&lt;7),(WEEKDAY($A152)&lt;&gt;1)),"work",(INDEX(Subject!$A:$I,MATCH(RANDBETWEEN(1,(MAX(Subject!$B:$B))),Subject!$B:$B,0),3))))</f>
        <v/>
      </c>
      <c r="Q152" s="2" t="str">
        <f t="array" ref="Q152">IF(NOW()&gt;BB152,"",IF(AND((WEEKDAY($A152)+$B$2)&gt;1,((WEEKDAY($A152)+$T$2)&lt;7),(WEEKDAY($A152)&lt;&gt;1)),"work",(INDEX(Subject!$A:$I,MATCH(RANDBETWEEN(1,(MAX(Subject!$B:$B))),Subject!$B:$B,0),3))))</f>
        <v/>
      </c>
      <c r="R152" s="2" t="str">
        <f t="array" ref="R152">IF(NOW()&gt;BC152,"",IF(AND((WEEKDAY($A152)+$B$2)&gt;1,((WEEKDAY($A152)+$T$2)&lt;7),(WEEKDAY($A152)&lt;&gt;1)),"work",(INDEX(Subject!$A:$I,MATCH(RANDBETWEEN(1,(MAX(Subject!$B:$B))),Subject!$B:$B,0),3))))</f>
        <v/>
      </c>
      <c r="S152" s="2" t="str">
        <f t="array" ref="S152">IF(NOW()&gt;BD152,"",IF(AND((WEEKDAY($A152)+$B$2)&gt;1,((WEEKDAY($A152)+$T$2)&lt;7),(WEEKDAY($A152)&lt;&gt;1)),"work",(INDEX(Subject!$A:$I,MATCH(RANDBETWEEN(1,(MAX(Subject!$B:$B))),Subject!$B:$B,0),3))))</f>
        <v/>
      </c>
      <c r="T152" s="2" t="str">
        <f t="array" ref="T152">IF(NOW()&gt;BE152,"",IF(AND((WEEKDAY($A152)+$B$2)&gt;1,((WEEKDAY($A152)+$T$2)&lt;7),(WEEKDAY($A152)&lt;&gt;1)),"work",(INDEX(Subject!$A:$I,MATCH(RANDBETWEEN(1,(MAX(Subject!$B:$B))),Subject!$B:$B,0),3))))</f>
        <v/>
      </c>
      <c r="U152" s="8" t="str">
        <f t="array" ref="U152">INDEX(Subject!$A:$I,MATCH(RANDBETWEEN(1,16),Subject!$B:$B,0),3)</f>
        <v>#N/A</v>
      </c>
      <c r="V152" s="8" t="str">
        <f t="array" ref="V152">INDEX(Subject!$A:$I,MATCH(RANDBETWEEN(1,16),Subject!$B:$B,0),3)</f>
        <v>#N/A</v>
      </c>
      <c r="W152" s="8" t="str">
        <f t="array" ref="W152">INDEX(Subject!$A:$I,MATCH(RANDBETWEEN(1,16),Subject!$B:$B,0),3)</f>
        <v>#N/A</v>
      </c>
      <c r="X152" s="8" t="str">
        <f t="array" ref="X152">INDEX(Subject!$A:$I,MATCH(RANDBETWEEN(1,16),Subject!$B:$B,0),3)</f>
        <v>#N/A</v>
      </c>
      <c r="Y152" s="8" t="str">
        <f t="array" ref="Y152">INDEX(Subject!$A:$I,MATCH(RANDBETWEEN(1,16),Subject!$B:$B,0),3)</f>
        <v>#N/A</v>
      </c>
      <c r="Z152" s="8" t="str">
        <f t="array" ref="Z152">INDEX(Subject!$A:$I,MATCH(RANDBETWEEN(1,16),Subject!$B:$B,0),3)</f>
        <v>#N/A</v>
      </c>
      <c r="AA152" s="8" t="str">
        <f t="array" ref="AA152">INDEX(Subject!$A:$I,MATCH(RANDBETWEEN(1,16),Subject!$B:$B,0),3)</f>
        <v>#N/A</v>
      </c>
      <c r="AB152" s="8" t="str">
        <f t="array" ref="AB152">INDEX(Subject!$A:$I,MATCH(RANDBETWEEN(1,16),Subject!$B:$B,0),3)</f>
        <v>#N/A</v>
      </c>
      <c r="AC152" s="8" t="str">
        <f t="array" ref="AC152">INDEX(Subject!$A:$I,MATCH(RANDBETWEEN(1,16),Subject!$B:$B,0),3)</f>
        <v/>
      </c>
      <c r="AD152" s="8" t="str">
        <f t="array" ref="AD152">INDEX(Subject!$A:$I,MATCH(RANDBETWEEN(1,16),Subject!$B:$B,0),3)</f>
        <v>#N/A</v>
      </c>
      <c r="AE152" s="8" t="str">
        <f t="array" ref="AE152">INDEX(Subject!$A:$I,MATCH(RANDBETWEEN(1,16),Subject!$B:$B,0),3)</f>
        <v>#N/A</v>
      </c>
      <c r="AF152" s="8" t="str">
        <f t="array" ref="AF152">INDEX(Subject!$A:$I,MATCH(RANDBETWEEN(1,16),Subject!$B:$B,0),3)</f>
        <v>#N/A</v>
      </c>
      <c r="AG152" s="8" t="str">
        <f t="array" ref="AG152">INDEX(Subject!$A:$I,MATCH(RANDBETWEEN(1,16),Subject!$B:$B,0),3)</f>
        <v>#N/A</v>
      </c>
      <c r="AH152" s="8" t="str">
        <f t="array" ref="AH152">INDEX(Subject!$A:$I,MATCH(RANDBETWEEN(1,16),Subject!$B:$B,0),3)</f>
        <v/>
      </c>
      <c r="AI152" s="8" t="str">
        <f t="array" ref="AI152">INDEX(Subject!$A:$I,MATCH(RANDBETWEEN(1,16),Subject!$B:$B,0),3)</f>
        <v>#N/A</v>
      </c>
      <c r="AJ152" s="8" t="str">
        <f t="array" ref="AJ152">INDEX(Subject!$A:$I,MATCH(RANDBETWEEN(1,16),Subject!$B:$B,0),3)</f>
        <v>#N/A</v>
      </c>
      <c r="AK152" s="8" t="str">
        <f t="array" ref="AK152">INDEX(Subject!$A:$I,MATCH(RANDBETWEEN(1,16),Subject!$B:$B,0),3)</f>
        <v>#N/A</v>
      </c>
      <c r="AL152" s="8" t="str">
        <f t="array" ref="AL152">INDEX(Subject!$A:$I,MATCH(RANDBETWEEN(1,16),Subject!$B:$B,0),3)</f>
        <v>#N/A</v>
      </c>
      <c r="AM152" s="18">
        <f t="shared" si="4"/>
        <v>45652.33333</v>
      </c>
      <c r="AN152" s="19">
        <f t="shared" ref="AN152:BZ152" si="152">$A152+C$1</f>
        <v>45652.35417</v>
      </c>
      <c r="AO152" s="19">
        <f t="shared" si="152"/>
        <v>45652.375</v>
      </c>
      <c r="AP152" s="19">
        <f t="shared" si="152"/>
        <v>45652.39583</v>
      </c>
      <c r="AQ152" s="19">
        <f t="shared" si="152"/>
        <v>45652.41667</v>
      </c>
      <c r="AR152" s="19">
        <f t="shared" si="152"/>
        <v>45652.4375</v>
      </c>
      <c r="AS152" s="19">
        <f t="shared" si="152"/>
        <v>45652.45833</v>
      </c>
      <c r="AT152" s="19">
        <f t="shared" si="152"/>
        <v>45652.47917</v>
      </c>
      <c r="AU152" s="19">
        <f t="shared" si="152"/>
        <v>45652.5</v>
      </c>
      <c r="AV152" s="19">
        <f t="shared" si="152"/>
        <v>45652.52083</v>
      </c>
      <c r="AW152" s="19">
        <f t="shared" si="152"/>
        <v>45652.54167</v>
      </c>
      <c r="AX152" s="19">
        <f t="shared" si="152"/>
        <v>45652.5625</v>
      </c>
      <c r="AY152" s="19">
        <f t="shared" si="152"/>
        <v>45652.58333</v>
      </c>
      <c r="AZ152" s="19">
        <f t="shared" si="152"/>
        <v>45652.60417</v>
      </c>
      <c r="BA152" s="19">
        <f t="shared" si="152"/>
        <v>45652.625</v>
      </c>
      <c r="BB152" s="19">
        <f t="shared" si="152"/>
        <v>45652.64583</v>
      </c>
      <c r="BC152" s="19">
        <f t="shared" si="152"/>
        <v>45652.66667</v>
      </c>
      <c r="BD152" s="19">
        <f t="shared" si="152"/>
        <v>45652.6875</v>
      </c>
      <c r="BE152" s="19">
        <f t="shared" si="152"/>
        <v>45652.70833</v>
      </c>
      <c r="BF152" s="19">
        <f t="shared" si="152"/>
        <v>45652.72917</v>
      </c>
      <c r="BG152" s="19">
        <f t="shared" si="152"/>
        <v>45652.75</v>
      </c>
      <c r="BH152" s="19">
        <f t="shared" si="152"/>
        <v>45652.77083</v>
      </c>
      <c r="BI152" s="19">
        <f t="shared" si="152"/>
        <v>45652.79167</v>
      </c>
      <c r="BJ152" s="19">
        <f t="shared" si="152"/>
        <v>45652.8125</v>
      </c>
      <c r="BK152" s="19">
        <f t="shared" si="152"/>
        <v>45652.83333</v>
      </c>
      <c r="BL152" s="19">
        <f t="shared" si="152"/>
        <v>45652.85417</v>
      </c>
      <c r="BM152" s="19">
        <f t="shared" si="152"/>
        <v>45652.875</v>
      </c>
      <c r="BN152" s="19">
        <f t="shared" si="152"/>
        <v>45652.89583</v>
      </c>
      <c r="BO152" s="19">
        <f t="shared" si="152"/>
        <v>45652.91667</v>
      </c>
      <c r="BP152" s="19">
        <f t="shared" si="152"/>
        <v>45652.9375</v>
      </c>
      <c r="BQ152" s="19">
        <f t="shared" si="152"/>
        <v>45652.95833</v>
      </c>
      <c r="BR152" s="19">
        <f t="shared" si="152"/>
        <v>45652.97917</v>
      </c>
      <c r="BS152" s="19">
        <f t="shared" si="152"/>
        <v>45653</v>
      </c>
      <c r="BT152" s="19">
        <f t="shared" si="152"/>
        <v>45653.02083</v>
      </c>
      <c r="BU152" s="19">
        <f t="shared" si="152"/>
        <v>45653.04167</v>
      </c>
      <c r="BV152" s="19">
        <f t="shared" si="152"/>
        <v>45653.0625</v>
      </c>
      <c r="BW152" s="19">
        <f t="shared" si="152"/>
        <v>45653.08333</v>
      </c>
      <c r="BX152" s="19">
        <f t="shared" si="152"/>
        <v>45652</v>
      </c>
      <c r="BY152" s="19">
        <f t="shared" si="152"/>
        <v>45652</v>
      </c>
      <c r="BZ152" s="19">
        <f t="shared" si="152"/>
        <v>45652</v>
      </c>
    </row>
    <row r="153" ht="14.25" customHeight="1">
      <c r="A153" s="17">
        <v>45653.0</v>
      </c>
      <c r="B153" s="2" t="str">
        <f t="array" ref="B153">IF(NOW()&gt;AM153,"",IF(AND((WEEKDAY($A153)+$B$2)&gt;1,((WEEKDAY($A153)+$T$2)&lt;7),(WEEKDAY($A153)&lt;&gt;1)),"work",(INDEX(Subject!$A:$I,MATCH(RANDBETWEEN(1,(MAX(Subject!$B:$B))),Subject!$B:$B,0),3))))</f>
        <v/>
      </c>
      <c r="C153" s="2" t="str">
        <f t="array" ref="C153">IF(NOW()&gt;AN153,"",IF(AND((WEEKDAY($A153)+$B$2)&gt;1,((WEEKDAY($A153)+$T$2)&lt;7),(WEEKDAY($A153)&lt;&gt;1)),"work",(INDEX(Subject!$A:$I,MATCH(RANDBETWEEN(1,(MAX(Subject!$B:$B))),Subject!$B:$B,0),3))))</f>
        <v/>
      </c>
      <c r="D153" s="2" t="str">
        <f t="array" ref="D153">IF(NOW()&gt;AO153,"",IF(AND((WEEKDAY($A153)+$B$2)&gt;1,((WEEKDAY($A153)+$T$2)&lt;7),(WEEKDAY($A153)&lt;&gt;1)),"work",(INDEX(Subject!$A:$I,MATCH(RANDBETWEEN(1,(MAX(Subject!$B:$B))),Subject!$B:$B,0),3))))</f>
        <v/>
      </c>
      <c r="E153" s="2" t="str">
        <f t="array" ref="E153">IF(NOW()&gt;AP153,"",IF(AND((WEEKDAY($A153)+$B$2)&gt;1,((WEEKDAY($A153)+$T$2)&lt;7),(WEEKDAY($A153)&lt;&gt;1)),"work",(INDEX(Subject!$A:$I,MATCH(RANDBETWEEN(1,(MAX(Subject!$B:$B))),Subject!$B:$B,0),3))))</f>
        <v/>
      </c>
      <c r="F153" s="2" t="str">
        <f t="array" ref="F153">IF(NOW()&gt;AQ153,"",IF(AND((WEEKDAY($A153)+$B$2)&gt;1,((WEEKDAY($A153)+$T$2)&lt;7),(WEEKDAY($A153)&lt;&gt;1)),"work",(INDEX(Subject!$A:$I,MATCH(RANDBETWEEN(1,(MAX(Subject!$B:$B))),Subject!$B:$B,0),3))))</f>
        <v/>
      </c>
      <c r="G153" s="2" t="str">
        <f t="array" ref="G153">IF(NOW()&gt;AR153,"",IF(AND((WEEKDAY($A153)+$B$2)&gt;1,((WEEKDAY($A153)+$T$2)&lt;7),(WEEKDAY($A153)&lt;&gt;1)),"work",(INDEX(Subject!$A:$I,MATCH(RANDBETWEEN(1,(MAX(Subject!$B:$B))),Subject!$B:$B,0),3))))</f>
        <v/>
      </c>
      <c r="H153" s="2" t="str">
        <f t="array" ref="H153">IF(NOW()&gt;AS153,"",IF(AND((WEEKDAY($A153)+$B$2)&gt;1,((WEEKDAY($A153)+$T$2)&lt;7),(WEEKDAY($A153)&lt;&gt;1)),"work",(INDEX(Subject!$A:$I,MATCH(RANDBETWEEN(1,(MAX(Subject!$B:$B))),Subject!$B:$B,0),3))))</f>
        <v/>
      </c>
      <c r="I153" s="2" t="str">
        <f t="array" ref="I153">IF(NOW()&gt;AT153,"",IF(AND((WEEKDAY($A153)+$B$2)&gt;1,((WEEKDAY($A153)+$T$2)&lt;7),(WEEKDAY($A153)&lt;&gt;1)),"work",(INDEX(Subject!$A:$I,MATCH(RANDBETWEEN(1,(MAX(Subject!$B:$B))),Subject!$B:$B,0),3))))</f>
        <v/>
      </c>
      <c r="J153" s="2" t="str">
        <f t="array" ref="J153">IF(NOW()&gt;AU153,"",IF(AND((WEEKDAY($A153)+$B$2)&gt;1,((WEEKDAY($A153)+$T$2)&lt;7),(WEEKDAY($A153)&lt;&gt;1)),"work",(INDEX(Subject!$A:$I,MATCH(RANDBETWEEN(1,(MAX(Subject!$B:$B))),Subject!$B:$B,0),3))))</f>
        <v/>
      </c>
      <c r="K153" s="2" t="str">
        <f t="array" ref="K153">IF(NOW()&gt;AV153,"",IF(AND((WEEKDAY($A153)+$B$2)&gt;1,((WEEKDAY($A153)+$T$2)&lt;7),(WEEKDAY($A153)&lt;&gt;1)),"work",(INDEX(Subject!$A:$I,MATCH(RANDBETWEEN(1,(MAX(Subject!$B:$B))),Subject!$B:$B,0),3))))</f>
        <v/>
      </c>
      <c r="L153" s="2" t="str">
        <f t="array" ref="L153">IF(NOW()&gt;AW153,"",IF(AND((WEEKDAY($A153)+$B$2)&gt;1,((WEEKDAY($A153)+$T$2)&lt;7),(WEEKDAY($A153)&lt;&gt;1)),"work",(INDEX(Subject!$A:$I,MATCH(RANDBETWEEN(1,(MAX(Subject!$B:$B))),Subject!$B:$B,0),3))))</f>
        <v/>
      </c>
      <c r="M153" s="2" t="str">
        <f t="array" ref="M153">IF(NOW()&gt;AX153,"",IF(AND((WEEKDAY($A153)+$B$2)&gt;1,((WEEKDAY($A153)+$T$2)&lt;7),(WEEKDAY($A153)&lt;&gt;1)),"work",(INDEX(Subject!$A:$I,MATCH(RANDBETWEEN(1,(MAX(Subject!$B:$B))),Subject!$B:$B,0),3))))</f>
        <v/>
      </c>
      <c r="N153" s="2" t="str">
        <f t="array" ref="N153">IF(NOW()&gt;AY153,"",IF(AND((WEEKDAY($A153)+$B$2)&gt;1,((WEEKDAY($A153)+$T$2)&lt;7),(WEEKDAY($A153)&lt;&gt;1)),"work",(INDEX(Subject!$A:$I,MATCH(RANDBETWEEN(1,(MAX(Subject!$B:$B))),Subject!$B:$B,0),3))))</f>
        <v/>
      </c>
      <c r="O153" s="2" t="str">
        <f t="array" ref="O153">IF(NOW()&gt;AZ153,"",IF(AND((WEEKDAY($A153)+$B$2)&gt;1,((WEEKDAY($A153)+$T$2)&lt;7),(WEEKDAY($A153)&lt;&gt;1)),"work",(INDEX(Subject!$A:$I,MATCH(RANDBETWEEN(1,(MAX(Subject!$B:$B))),Subject!$B:$B,0),3))))</f>
        <v/>
      </c>
      <c r="P153" s="2" t="str">
        <f t="array" ref="P153">IF(NOW()&gt;BA153,"",IF(AND((WEEKDAY($A153)+$B$2)&gt;1,((WEEKDAY($A153)+$T$2)&lt;7),(WEEKDAY($A153)&lt;&gt;1)),"work",(INDEX(Subject!$A:$I,MATCH(RANDBETWEEN(1,(MAX(Subject!$B:$B))),Subject!$B:$B,0),3))))</f>
        <v/>
      </c>
      <c r="Q153" s="2" t="str">
        <f t="array" ref="Q153">IF(NOW()&gt;BB153,"",IF(AND((WEEKDAY($A153)+$B$2)&gt;1,((WEEKDAY($A153)+$T$2)&lt;7),(WEEKDAY($A153)&lt;&gt;1)),"work",(INDEX(Subject!$A:$I,MATCH(RANDBETWEEN(1,(MAX(Subject!$B:$B))),Subject!$B:$B,0),3))))</f>
        <v/>
      </c>
      <c r="R153" s="2" t="str">
        <f t="array" ref="R153">IF(NOW()&gt;BC153,"",IF(AND((WEEKDAY($A153)+$B$2)&gt;1,((WEEKDAY($A153)+$T$2)&lt;7),(WEEKDAY($A153)&lt;&gt;1)),"work",(INDEX(Subject!$A:$I,MATCH(RANDBETWEEN(1,(MAX(Subject!$B:$B))),Subject!$B:$B,0),3))))</f>
        <v/>
      </c>
      <c r="S153" s="2" t="str">
        <f t="array" ref="S153">IF(NOW()&gt;BD153,"",IF(AND((WEEKDAY($A153)+$B$2)&gt;1,((WEEKDAY($A153)+$T$2)&lt;7),(WEEKDAY($A153)&lt;&gt;1)),"work",(INDEX(Subject!$A:$I,MATCH(RANDBETWEEN(1,(MAX(Subject!$B:$B))),Subject!$B:$B,0),3))))</f>
        <v/>
      </c>
      <c r="T153" s="2" t="str">
        <f t="array" ref="T153">IF(NOW()&gt;BE153,"",IF(AND((WEEKDAY($A153)+$B$2)&gt;1,((WEEKDAY($A153)+$T$2)&lt;7),(WEEKDAY($A153)&lt;&gt;1)),"work",(INDEX(Subject!$A:$I,MATCH(RANDBETWEEN(1,(MAX(Subject!$B:$B))),Subject!$B:$B,0),3))))</f>
        <v/>
      </c>
      <c r="U153" s="8" t="str">
        <f t="array" ref="U153">INDEX(Subject!$A:$I,MATCH(RANDBETWEEN(1,16),Subject!$B:$B,0),3)</f>
        <v>#N/A</v>
      </c>
      <c r="V153" s="8" t="str">
        <f t="array" ref="V153">INDEX(Subject!$A:$I,MATCH(RANDBETWEEN(1,16),Subject!$B:$B,0),3)</f>
        <v/>
      </c>
      <c r="W153" s="8" t="str">
        <f t="array" ref="W153">INDEX(Subject!$A:$I,MATCH(RANDBETWEEN(1,16),Subject!$B:$B,0),3)</f>
        <v>#N/A</v>
      </c>
      <c r="X153" s="8" t="str">
        <f t="array" ref="X153">INDEX(Subject!$A:$I,MATCH(RANDBETWEEN(1,16),Subject!$B:$B,0),3)</f>
        <v>#N/A</v>
      </c>
      <c r="Y153" s="8" t="str">
        <f t="array" ref="Y153">INDEX(Subject!$A:$I,MATCH(RANDBETWEEN(1,16),Subject!$B:$B,0),3)</f>
        <v>#N/A</v>
      </c>
      <c r="Z153" s="8" t="str">
        <f t="array" ref="Z153">INDEX(Subject!$A:$I,MATCH(RANDBETWEEN(1,16),Subject!$B:$B,0),3)</f>
        <v>#N/A</v>
      </c>
      <c r="AA153" s="8" t="str">
        <f t="array" ref="AA153">INDEX(Subject!$A:$I,MATCH(RANDBETWEEN(1,16),Subject!$B:$B,0),3)</f>
        <v>#N/A</v>
      </c>
      <c r="AB153" s="8" t="str">
        <f t="array" ref="AB153">INDEX(Subject!$A:$I,MATCH(RANDBETWEEN(1,16),Subject!$B:$B,0),3)</f>
        <v>#N/A</v>
      </c>
      <c r="AC153" s="8" t="str">
        <f t="array" ref="AC153">INDEX(Subject!$A:$I,MATCH(RANDBETWEEN(1,16),Subject!$B:$B,0),3)</f>
        <v>#N/A</v>
      </c>
      <c r="AD153" s="8" t="str">
        <f t="array" ref="AD153">INDEX(Subject!$A:$I,MATCH(RANDBETWEEN(1,16),Subject!$B:$B,0),3)</f>
        <v>#N/A</v>
      </c>
      <c r="AE153" s="8" t="str">
        <f t="array" ref="AE153">INDEX(Subject!$A:$I,MATCH(RANDBETWEEN(1,16),Subject!$B:$B,0),3)</f>
        <v>#N/A</v>
      </c>
      <c r="AF153" s="8" t="str">
        <f t="array" ref="AF153">INDEX(Subject!$A:$I,MATCH(RANDBETWEEN(1,16),Subject!$B:$B,0),3)</f>
        <v>#N/A</v>
      </c>
      <c r="AG153" s="8" t="str">
        <f t="array" ref="AG153">INDEX(Subject!$A:$I,MATCH(RANDBETWEEN(1,16),Subject!$B:$B,0),3)</f>
        <v>#N/A</v>
      </c>
      <c r="AH153" s="8" t="str">
        <f t="array" ref="AH153">INDEX(Subject!$A:$I,MATCH(RANDBETWEEN(1,16),Subject!$B:$B,0),3)</f>
        <v>#N/A</v>
      </c>
      <c r="AI153" s="8" t="str">
        <f t="array" ref="AI153">INDEX(Subject!$A:$I,MATCH(RANDBETWEEN(1,16),Subject!$B:$B,0),3)</f>
        <v>#N/A</v>
      </c>
      <c r="AJ153" s="8" t="str">
        <f t="array" ref="AJ153">INDEX(Subject!$A:$I,MATCH(RANDBETWEEN(1,16),Subject!$B:$B,0),3)</f>
        <v>#N/A</v>
      </c>
      <c r="AK153" s="8" t="str">
        <f t="array" ref="AK153">INDEX(Subject!$A:$I,MATCH(RANDBETWEEN(1,16),Subject!$B:$B,0),3)</f>
        <v>#N/A</v>
      </c>
      <c r="AL153" s="8" t="str">
        <f t="array" ref="AL153">INDEX(Subject!$A:$I,MATCH(RANDBETWEEN(1,16),Subject!$B:$B,0),3)</f>
        <v>#N/A</v>
      </c>
      <c r="AM153" s="18">
        <f t="shared" si="4"/>
        <v>45653.33333</v>
      </c>
      <c r="AN153" s="19">
        <f t="shared" ref="AN153:BZ153" si="153">$A153+C$1</f>
        <v>45653.35417</v>
      </c>
      <c r="AO153" s="19">
        <f t="shared" si="153"/>
        <v>45653.375</v>
      </c>
      <c r="AP153" s="19">
        <f t="shared" si="153"/>
        <v>45653.39583</v>
      </c>
      <c r="AQ153" s="19">
        <f t="shared" si="153"/>
        <v>45653.41667</v>
      </c>
      <c r="AR153" s="19">
        <f t="shared" si="153"/>
        <v>45653.4375</v>
      </c>
      <c r="AS153" s="19">
        <f t="shared" si="153"/>
        <v>45653.45833</v>
      </c>
      <c r="AT153" s="19">
        <f t="shared" si="153"/>
        <v>45653.47917</v>
      </c>
      <c r="AU153" s="19">
        <f t="shared" si="153"/>
        <v>45653.5</v>
      </c>
      <c r="AV153" s="19">
        <f t="shared" si="153"/>
        <v>45653.52083</v>
      </c>
      <c r="AW153" s="19">
        <f t="shared" si="153"/>
        <v>45653.54167</v>
      </c>
      <c r="AX153" s="19">
        <f t="shared" si="153"/>
        <v>45653.5625</v>
      </c>
      <c r="AY153" s="19">
        <f t="shared" si="153"/>
        <v>45653.58333</v>
      </c>
      <c r="AZ153" s="19">
        <f t="shared" si="153"/>
        <v>45653.60417</v>
      </c>
      <c r="BA153" s="19">
        <f t="shared" si="153"/>
        <v>45653.625</v>
      </c>
      <c r="BB153" s="19">
        <f t="shared" si="153"/>
        <v>45653.64583</v>
      </c>
      <c r="BC153" s="19">
        <f t="shared" si="153"/>
        <v>45653.66667</v>
      </c>
      <c r="BD153" s="19">
        <f t="shared" si="153"/>
        <v>45653.6875</v>
      </c>
      <c r="BE153" s="19">
        <f t="shared" si="153"/>
        <v>45653.70833</v>
      </c>
      <c r="BF153" s="19">
        <f t="shared" si="153"/>
        <v>45653.72917</v>
      </c>
      <c r="BG153" s="19">
        <f t="shared" si="153"/>
        <v>45653.75</v>
      </c>
      <c r="BH153" s="19">
        <f t="shared" si="153"/>
        <v>45653.77083</v>
      </c>
      <c r="BI153" s="19">
        <f t="shared" si="153"/>
        <v>45653.79167</v>
      </c>
      <c r="BJ153" s="19">
        <f t="shared" si="153"/>
        <v>45653.8125</v>
      </c>
      <c r="BK153" s="19">
        <f t="shared" si="153"/>
        <v>45653.83333</v>
      </c>
      <c r="BL153" s="19">
        <f t="shared" si="153"/>
        <v>45653.85417</v>
      </c>
      <c r="BM153" s="19">
        <f t="shared" si="153"/>
        <v>45653.875</v>
      </c>
      <c r="BN153" s="19">
        <f t="shared" si="153"/>
        <v>45653.89583</v>
      </c>
      <c r="BO153" s="19">
        <f t="shared" si="153"/>
        <v>45653.91667</v>
      </c>
      <c r="BP153" s="19">
        <f t="shared" si="153"/>
        <v>45653.9375</v>
      </c>
      <c r="BQ153" s="19">
        <f t="shared" si="153"/>
        <v>45653.95833</v>
      </c>
      <c r="BR153" s="19">
        <f t="shared" si="153"/>
        <v>45653.97917</v>
      </c>
      <c r="BS153" s="19">
        <f t="shared" si="153"/>
        <v>45654</v>
      </c>
      <c r="BT153" s="19">
        <f t="shared" si="153"/>
        <v>45654.02083</v>
      </c>
      <c r="BU153" s="19">
        <f t="shared" si="153"/>
        <v>45654.04167</v>
      </c>
      <c r="BV153" s="19">
        <f t="shared" si="153"/>
        <v>45654.0625</v>
      </c>
      <c r="BW153" s="19">
        <f t="shared" si="153"/>
        <v>45654.08333</v>
      </c>
      <c r="BX153" s="19">
        <f t="shared" si="153"/>
        <v>45653</v>
      </c>
      <c r="BY153" s="19">
        <f t="shared" si="153"/>
        <v>45653</v>
      </c>
      <c r="BZ153" s="19">
        <f t="shared" si="153"/>
        <v>45653</v>
      </c>
    </row>
    <row r="154" ht="14.25" customHeight="1">
      <c r="A154" s="17">
        <v>45654.0</v>
      </c>
      <c r="B154" s="2" t="str">
        <f t="array" ref="B154">IF(NOW()&gt;AM154,"",IF(AND((WEEKDAY($A154)+$B$2)&gt;1,((WEEKDAY($A154)+$T$2)&lt;7),(WEEKDAY($A154)&lt;&gt;1)),"work",(INDEX(Subject!$A:$I,MATCH(RANDBETWEEN(1,(MAX(Subject!$B:$B))),Subject!$B:$B,0),3))))</f>
        <v/>
      </c>
      <c r="C154" s="2" t="str">
        <f t="array" ref="C154">IF(NOW()&gt;AN154,"",IF(AND((WEEKDAY($A154)+$B$2)&gt;1,((WEEKDAY($A154)+$T$2)&lt;7),(WEEKDAY($A154)&lt;&gt;1)),"work",(INDEX(Subject!$A:$I,MATCH(RANDBETWEEN(1,(MAX(Subject!$B:$B))),Subject!$B:$B,0),3))))</f>
        <v/>
      </c>
      <c r="D154" s="2" t="str">
        <f t="array" ref="D154">IF(NOW()&gt;AO154,"",IF(AND((WEEKDAY($A154)+$B$2)&gt;1,((WEEKDAY($A154)+$T$2)&lt;7),(WEEKDAY($A154)&lt;&gt;1)),"work",(INDEX(Subject!$A:$I,MATCH(RANDBETWEEN(1,(MAX(Subject!$B:$B))),Subject!$B:$B,0),3))))</f>
        <v/>
      </c>
      <c r="E154" s="2" t="str">
        <f t="array" ref="E154">IF(NOW()&gt;AP154,"",IF(AND((WEEKDAY($A154)+$B$2)&gt;1,((WEEKDAY($A154)+$T$2)&lt;7),(WEEKDAY($A154)&lt;&gt;1)),"work",(INDEX(Subject!$A:$I,MATCH(RANDBETWEEN(1,(MAX(Subject!$B:$B))),Subject!$B:$B,0),3))))</f>
        <v/>
      </c>
      <c r="F154" s="2" t="str">
        <f t="array" ref="F154">IF(NOW()&gt;AQ154,"",IF(AND((WEEKDAY($A154)+$B$2)&gt;1,((WEEKDAY($A154)+$T$2)&lt;7),(WEEKDAY($A154)&lt;&gt;1)),"work",(INDEX(Subject!$A:$I,MATCH(RANDBETWEEN(1,(MAX(Subject!$B:$B))),Subject!$B:$B,0),3))))</f>
        <v/>
      </c>
      <c r="G154" s="2" t="str">
        <f t="array" ref="G154">IF(NOW()&gt;AR154,"",IF(AND((WEEKDAY($A154)+$B$2)&gt;1,((WEEKDAY($A154)+$T$2)&lt;7),(WEEKDAY($A154)&lt;&gt;1)),"work",(INDEX(Subject!$A:$I,MATCH(RANDBETWEEN(1,(MAX(Subject!$B:$B))),Subject!$B:$B,0),3))))</f>
        <v/>
      </c>
      <c r="H154" s="2" t="str">
        <f t="array" ref="H154">IF(NOW()&gt;AS154,"",IF(AND((WEEKDAY($A154)+$B$2)&gt;1,((WEEKDAY($A154)+$T$2)&lt;7),(WEEKDAY($A154)&lt;&gt;1)),"work",(INDEX(Subject!$A:$I,MATCH(RANDBETWEEN(1,(MAX(Subject!$B:$B))),Subject!$B:$B,0),3))))</f>
        <v/>
      </c>
      <c r="I154" s="2" t="str">
        <f t="array" ref="I154">IF(NOW()&gt;AT154,"",IF(AND((WEEKDAY($A154)+$B$2)&gt;1,((WEEKDAY($A154)+$T$2)&lt;7),(WEEKDAY($A154)&lt;&gt;1)),"work",(INDEX(Subject!$A:$I,MATCH(RANDBETWEEN(1,(MAX(Subject!$B:$B))),Subject!$B:$B,0),3))))</f>
        <v/>
      </c>
      <c r="J154" s="2" t="str">
        <f t="array" ref="J154">IF(NOW()&gt;AU154,"",IF(AND((WEEKDAY($A154)+$B$2)&gt;1,((WEEKDAY($A154)+$T$2)&lt;7),(WEEKDAY($A154)&lt;&gt;1)),"work",(INDEX(Subject!$A:$I,MATCH(RANDBETWEEN(1,(MAX(Subject!$B:$B))),Subject!$B:$B,0),3))))</f>
        <v/>
      </c>
      <c r="K154" s="2" t="str">
        <f t="array" ref="K154">IF(NOW()&gt;AV154,"",IF(AND((WEEKDAY($A154)+$B$2)&gt;1,((WEEKDAY($A154)+$T$2)&lt;7),(WEEKDAY($A154)&lt;&gt;1)),"work",(INDEX(Subject!$A:$I,MATCH(RANDBETWEEN(1,(MAX(Subject!$B:$B))),Subject!$B:$B,0),3))))</f>
        <v/>
      </c>
      <c r="L154" s="2" t="str">
        <f t="array" ref="L154">IF(NOW()&gt;AW154,"",IF(AND((WEEKDAY($A154)+$B$2)&gt;1,((WEEKDAY($A154)+$T$2)&lt;7),(WEEKDAY($A154)&lt;&gt;1)),"work",(INDEX(Subject!$A:$I,MATCH(RANDBETWEEN(1,(MAX(Subject!$B:$B))),Subject!$B:$B,0),3))))</f>
        <v/>
      </c>
      <c r="M154" s="2" t="str">
        <f t="array" ref="M154">IF(NOW()&gt;AX154,"",IF(AND((WEEKDAY($A154)+$B$2)&gt;1,((WEEKDAY($A154)+$T$2)&lt;7),(WEEKDAY($A154)&lt;&gt;1)),"work",(INDEX(Subject!$A:$I,MATCH(RANDBETWEEN(1,(MAX(Subject!$B:$B))),Subject!$B:$B,0),3))))</f>
        <v/>
      </c>
      <c r="N154" s="2" t="str">
        <f t="array" ref="N154">IF(NOW()&gt;AY154,"",IF(AND((WEEKDAY($A154)+$B$2)&gt;1,((WEEKDAY($A154)+$T$2)&lt;7),(WEEKDAY($A154)&lt;&gt;1)),"work",(INDEX(Subject!$A:$I,MATCH(RANDBETWEEN(1,(MAX(Subject!$B:$B))),Subject!$B:$B,0),3))))</f>
        <v/>
      </c>
      <c r="O154" s="2" t="str">
        <f t="array" ref="O154">IF(NOW()&gt;AZ154,"",IF(AND((WEEKDAY($A154)+$B$2)&gt;1,((WEEKDAY($A154)+$T$2)&lt;7),(WEEKDAY($A154)&lt;&gt;1)),"work",(INDEX(Subject!$A:$I,MATCH(RANDBETWEEN(1,(MAX(Subject!$B:$B))),Subject!$B:$B,0),3))))</f>
        <v/>
      </c>
      <c r="P154" s="2" t="str">
        <f t="array" ref="P154">IF(NOW()&gt;BA154,"",IF(AND((WEEKDAY($A154)+$B$2)&gt;1,((WEEKDAY($A154)+$T$2)&lt;7),(WEEKDAY($A154)&lt;&gt;1)),"work",(INDEX(Subject!$A:$I,MATCH(RANDBETWEEN(1,(MAX(Subject!$B:$B))),Subject!$B:$B,0),3))))</f>
        <v/>
      </c>
      <c r="Q154" s="2" t="str">
        <f t="array" ref="Q154">IF(NOW()&gt;BB154,"",IF(AND((WEEKDAY($A154)+$B$2)&gt;1,((WEEKDAY($A154)+$T$2)&lt;7),(WEEKDAY($A154)&lt;&gt;1)),"work",(INDEX(Subject!$A:$I,MATCH(RANDBETWEEN(1,(MAX(Subject!$B:$B))),Subject!$B:$B,0),3))))</f>
        <v/>
      </c>
      <c r="R154" s="2" t="str">
        <f t="array" ref="R154">IF(NOW()&gt;BC154,"",IF(AND((WEEKDAY($A154)+$B$2)&gt;1,((WEEKDAY($A154)+$T$2)&lt;7),(WEEKDAY($A154)&lt;&gt;1)),"work",(INDEX(Subject!$A:$I,MATCH(RANDBETWEEN(1,(MAX(Subject!$B:$B))),Subject!$B:$B,0),3))))</f>
        <v/>
      </c>
      <c r="S154" s="2" t="str">
        <f t="array" ref="S154">IF(NOW()&gt;BD154,"",IF(AND((WEEKDAY($A154)+$B$2)&gt;1,((WEEKDAY($A154)+$T$2)&lt;7),(WEEKDAY($A154)&lt;&gt;1)),"work",(INDEX(Subject!$A:$I,MATCH(RANDBETWEEN(1,(MAX(Subject!$B:$B))),Subject!$B:$B,0),3))))</f>
        <v/>
      </c>
      <c r="T154" s="2" t="str">
        <f t="array" ref="T154">IF(NOW()&gt;BE154,"",IF(AND((WEEKDAY($A154)+$B$2)&gt;1,((WEEKDAY($A154)+$T$2)&lt;7),(WEEKDAY($A154)&lt;&gt;1)),"work",(INDEX(Subject!$A:$I,MATCH(RANDBETWEEN(1,(MAX(Subject!$B:$B))),Subject!$B:$B,0),3))))</f>
        <v/>
      </c>
      <c r="U154" s="8" t="str">
        <f t="array" ref="U154">INDEX(Subject!$A:$I,MATCH(RANDBETWEEN(1,16),Subject!$B:$B,0),3)</f>
        <v>#N/A</v>
      </c>
      <c r="V154" s="8" t="str">
        <f t="array" ref="V154">INDEX(Subject!$A:$I,MATCH(RANDBETWEEN(1,16),Subject!$B:$B,0),3)</f>
        <v>#N/A</v>
      </c>
      <c r="W154" s="8" t="str">
        <f t="array" ref="W154">INDEX(Subject!$A:$I,MATCH(RANDBETWEEN(1,16),Subject!$B:$B,0),3)</f>
        <v>#N/A</v>
      </c>
      <c r="X154" s="8" t="str">
        <f t="array" ref="X154">INDEX(Subject!$A:$I,MATCH(RANDBETWEEN(1,16),Subject!$B:$B,0),3)</f>
        <v>#N/A</v>
      </c>
      <c r="Y154" s="8" t="str">
        <f t="array" ref="Y154">INDEX(Subject!$A:$I,MATCH(RANDBETWEEN(1,16),Subject!$B:$B,0),3)</f>
        <v>#N/A</v>
      </c>
      <c r="Z154" s="8" t="str">
        <f t="array" ref="Z154">INDEX(Subject!$A:$I,MATCH(RANDBETWEEN(1,16),Subject!$B:$B,0),3)</f>
        <v>#N/A</v>
      </c>
      <c r="AA154" s="8" t="str">
        <f t="array" ref="AA154">INDEX(Subject!$A:$I,MATCH(RANDBETWEEN(1,16),Subject!$B:$B,0),3)</f>
        <v>#N/A</v>
      </c>
      <c r="AB154" s="8" t="str">
        <f t="array" ref="AB154">INDEX(Subject!$A:$I,MATCH(RANDBETWEEN(1,16),Subject!$B:$B,0),3)</f>
        <v>#N/A</v>
      </c>
      <c r="AC154" s="8" t="str">
        <f t="array" ref="AC154">INDEX(Subject!$A:$I,MATCH(RANDBETWEEN(1,16),Subject!$B:$B,0),3)</f>
        <v>#N/A</v>
      </c>
      <c r="AD154" s="8" t="str">
        <f t="array" ref="AD154">INDEX(Subject!$A:$I,MATCH(RANDBETWEEN(1,16),Subject!$B:$B,0),3)</f>
        <v>#N/A</v>
      </c>
      <c r="AE154" s="8" t="str">
        <f t="array" ref="AE154">INDEX(Subject!$A:$I,MATCH(RANDBETWEEN(1,16),Subject!$B:$B,0),3)</f>
        <v>#N/A</v>
      </c>
      <c r="AF154" s="8" t="str">
        <f t="array" ref="AF154">INDEX(Subject!$A:$I,MATCH(RANDBETWEEN(1,16),Subject!$B:$B,0),3)</f>
        <v>#N/A</v>
      </c>
      <c r="AG154" s="8" t="str">
        <f t="array" ref="AG154">INDEX(Subject!$A:$I,MATCH(RANDBETWEEN(1,16),Subject!$B:$B,0),3)</f>
        <v>#N/A</v>
      </c>
      <c r="AH154" s="8" t="str">
        <f t="array" ref="AH154">INDEX(Subject!$A:$I,MATCH(RANDBETWEEN(1,16),Subject!$B:$B,0),3)</f>
        <v>#N/A</v>
      </c>
      <c r="AI154" s="8" t="str">
        <f t="array" ref="AI154">INDEX(Subject!$A:$I,MATCH(RANDBETWEEN(1,16),Subject!$B:$B,0),3)</f>
        <v>#N/A</v>
      </c>
      <c r="AJ154" s="8" t="str">
        <f t="array" ref="AJ154">INDEX(Subject!$A:$I,MATCH(RANDBETWEEN(1,16),Subject!$B:$B,0),3)</f>
        <v>#N/A</v>
      </c>
      <c r="AK154" s="8" t="str">
        <f t="array" ref="AK154">INDEX(Subject!$A:$I,MATCH(RANDBETWEEN(1,16),Subject!$B:$B,0),3)</f>
        <v>#N/A</v>
      </c>
      <c r="AL154" s="8" t="str">
        <f t="array" ref="AL154">INDEX(Subject!$A:$I,MATCH(RANDBETWEEN(1,16),Subject!$B:$B,0),3)</f>
        <v>#N/A</v>
      </c>
      <c r="AM154" s="18">
        <f t="shared" si="4"/>
        <v>45654.33333</v>
      </c>
      <c r="AN154" s="19">
        <f t="shared" ref="AN154:BZ154" si="154">$A154+C$1</f>
        <v>45654.35417</v>
      </c>
      <c r="AO154" s="19">
        <f t="shared" si="154"/>
        <v>45654.375</v>
      </c>
      <c r="AP154" s="19">
        <f t="shared" si="154"/>
        <v>45654.39583</v>
      </c>
      <c r="AQ154" s="19">
        <f t="shared" si="154"/>
        <v>45654.41667</v>
      </c>
      <c r="AR154" s="19">
        <f t="shared" si="154"/>
        <v>45654.4375</v>
      </c>
      <c r="AS154" s="19">
        <f t="shared" si="154"/>
        <v>45654.45833</v>
      </c>
      <c r="AT154" s="19">
        <f t="shared" si="154"/>
        <v>45654.47917</v>
      </c>
      <c r="AU154" s="19">
        <f t="shared" si="154"/>
        <v>45654.5</v>
      </c>
      <c r="AV154" s="19">
        <f t="shared" si="154"/>
        <v>45654.52083</v>
      </c>
      <c r="AW154" s="19">
        <f t="shared" si="154"/>
        <v>45654.54167</v>
      </c>
      <c r="AX154" s="19">
        <f t="shared" si="154"/>
        <v>45654.5625</v>
      </c>
      <c r="AY154" s="19">
        <f t="shared" si="154"/>
        <v>45654.58333</v>
      </c>
      <c r="AZ154" s="19">
        <f t="shared" si="154"/>
        <v>45654.60417</v>
      </c>
      <c r="BA154" s="19">
        <f t="shared" si="154"/>
        <v>45654.625</v>
      </c>
      <c r="BB154" s="19">
        <f t="shared" si="154"/>
        <v>45654.64583</v>
      </c>
      <c r="BC154" s="19">
        <f t="shared" si="154"/>
        <v>45654.66667</v>
      </c>
      <c r="BD154" s="19">
        <f t="shared" si="154"/>
        <v>45654.6875</v>
      </c>
      <c r="BE154" s="19">
        <f t="shared" si="154"/>
        <v>45654.70833</v>
      </c>
      <c r="BF154" s="19">
        <f t="shared" si="154"/>
        <v>45654.72917</v>
      </c>
      <c r="BG154" s="19">
        <f t="shared" si="154"/>
        <v>45654.75</v>
      </c>
      <c r="BH154" s="19">
        <f t="shared" si="154"/>
        <v>45654.77083</v>
      </c>
      <c r="BI154" s="19">
        <f t="shared" si="154"/>
        <v>45654.79167</v>
      </c>
      <c r="BJ154" s="19">
        <f t="shared" si="154"/>
        <v>45654.8125</v>
      </c>
      <c r="BK154" s="19">
        <f t="shared" si="154"/>
        <v>45654.83333</v>
      </c>
      <c r="BL154" s="19">
        <f t="shared" si="154"/>
        <v>45654.85417</v>
      </c>
      <c r="BM154" s="19">
        <f t="shared" si="154"/>
        <v>45654.875</v>
      </c>
      <c r="BN154" s="19">
        <f t="shared" si="154"/>
        <v>45654.89583</v>
      </c>
      <c r="BO154" s="19">
        <f t="shared" si="154"/>
        <v>45654.91667</v>
      </c>
      <c r="BP154" s="19">
        <f t="shared" si="154"/>
        <v>45654.9375</v>
      </c>
      <c r="BQ154" s="19">
        <f t="shared" si="154"/>
        <v>45654.95833</v>
      </c>
      <c r="BR154" s="19">
        <f t="shared" si="154"/>
        <v>45654.97917</v>
      </c>
      <c r="BS154" s="19">
        <f t="shared" si="154"/>
        <v>45655</v>
      </c>
      <c r="BT154" s="19">
        <f t="shared" si="154"/>
        <v>45655.02083</v>
      </c>
      <c r="BU154" s="19">
        <f t="shared" si="154"/>
        <v>45655.04167</v>
      </c>
      <c r="BV154" s="19">
        <f t="shared" si="154"/>
        <v>45655.0625</v>
      </c>
      <c r="BW154" s="19">
        <f t="shared" si="154"/>
        <v>45655.08333</v>
      </c>
      <c r="BX154" s="19">
        <f t="shared" si="154"/>
        <v>45654</v>
      </c>
      <c r="BY154" s="19">
        <f t="shared" si="154"/>
        <v>45654</v>
      </c>
      <c r="BZ154" s="19">
        <f t="shared" si="154"/>
        <v>45654</v>
      </c>
    </row>
    <row r="155" ht="14.25" customHeight="1">
      <c r="A155" s="17">
        <v>45655.0</v>
      </c>
      <c r="B155" s="2" t="str">
        <f t="array" ref="B155">IF(NOW()&gt;AM155,"",IF(AND((WEEKDAY($A155)+$B$2)&gt;1,((WEEKDAY($A155)+$T$2)&lt;7),(WEEKDAY($A155)&lt;&gt;1)),"work",(INDEX(Subject!$A:$I,MATCH(RANDBETWEEN(1,(MAX(Subject!$B:$B))),Subject!$B:$B,0),3))))</f>
        <v/>
      </c>
      <c r="C155" s="2" t="str">
        <f t="array" ref="C155">IF(NOW()&gt;AN155,"",IF(AND((WEEKDAY($A155)+$B$2)&gt;1,((WEEKDAY($A155)+$T$2)&lt;7),(WEEKDAY($A155)&lt;&gt;1)),"work",(INDEX(Subject!$A:$I,MATCH(RANDBETWEEN(1,(MAX(Subject!$B:$B))),Subject!$B:$B,0),3))))</f>
        <v/>
      </c>
      <c r="D155" s="2" t="str">
        <f t="array" ref="D155">IF(NOW()&gt;AO155,"",IF(AND((WEEKDAY($A155)+$B$2)&gt;1,((WEEKDAY($A155)+$T$2)&lt;7),(WEEKDAY($A155)&lt;&gt;1)),"work",(INDEX(Subject!$A:$I,MATCH(RANDBETWEEN(1,(MAX(Subject!$B:$B))),Subject!$B:$B,0),3))))</f>
        <v/>
      </c>
      <c r="E155" s="2" t="str">
        <f t="array" ref="E155">IF(NOW()&gt;AP155,"",IF(AND((WEEKDAY($A155)+$B$2)&gt;1,((WEEKDAY($A155)+$T$2)&lt;7),(WEEKDAY($A155)&lt;&gt;1)),"work",(INDEX(Subject!$A:$I,MATCH(RANDBETWEEN(1,(MAX(Subject!$B:$B))),Subject!$B:$B,0),3))))</f>
        <v/>
      </c>
      <c r="F155" s="2" t="str">
        <f t="array" ref="F155">IF(NOW()&gt;AQ155,"",IF(AND((WEEKDAY($A155)+$B$2)&gt;1,((WEEKDAY($A155)+$T$2)&lt;7),(WEEKDAY($A155)&lt;&gt;1)),"work",(INDEX(Subject!$A:$I,MATCH(RANDBETWEEN(1,(MAX(Subject!$B:$B))),Subject!$B:$B,0),3))))</f>
        <v/>
      </c>
      <c r="G155" s="2" t="str">
        <f t="array" ref="G155">IF(NOW()&gt;AR155,"",IF(AND((WEEKDAY($A155)+$B$2)&gt;1,((WEEKDAY($A155)+$T$2)&lt;7),(WEEKDAY($A155)&lt;&gt;1)),"work",(INDEX(Subject!$A:$I,MATCH(RANDBETWEEN(1,(MAX(Subject!$B:$B))),Subject!$B:$B,0),3))))</f>
        <v/>
      </c>
      <c r="H155" s="2" t="str">
        <f t="array" ref="H155">IF(NOW()&gt;AS155,"",IF(AND((WEEKDAY($A155)+$B$2)&gt;1,((WEEKDAY($A155)+$T$2)&lt;7),(WEEKDAY($A155)&lt;&gt;1)),"work",(INDEX(Subject!$A:$I,MATCH(RANDBETWEEN(1,(MAX(Subject!$B:$B))),Subject!$B:$B,0),3))))</f>
        <v/>
      </c>
      <c r="I155" s="2" t="str">
        <f t="array" ref="I155">IF(NOW()&gt;AT155,"",IF(AND((WEEKDAY($A155)+$B$2)&gt;1,((WEEKDAY($A155)+$T$2)&lt;7),(WEEKDAY($A155)&lt;&gt;1)),"work",(INDEX(Subject!$A:$I,MATCH(RANDBETWEEN(1,(MAX(Subject!$B:$B))),Subject!$B:$B,0),3))))</f>
        <v/>
      </c>
      <c r="J155" s="2" t="str">
        <f t="array" ref="J155">IF(NOW()&gt;AU155,"",IF(AND((WEEKDAY($A155)+$B$2)&gt;1,((WEEKDAY($A155)+$T$2)&lt;7),(WEEKDAY($A155)&lt;&gt;1)),"work",(INDEX(Subject!$A:$I,MATCH(RANDBETWEEN(1,(MAX(Subject!$B:$B))),Subject!$B:$B,0),3))))</f>
        <v/>
      </c>
      <c r="K155" s="2" t="str">
        <f t="array" ref="K155">IF(NOW()&gt;AV155,"",IF(AND((WEEKDAY($A155)+$B$2)&gt;1,((WEEKDAY($A155)+$T$2)&lt;7),(WEEKDAY($A155)&lt;&gt;1)),"work",(INDEX(Subject!$A:$I,MATCH(RANDBETWEEN(1,(MAX(Subject!$B:$B))),Subject!$B:$B,0),3))))</f>
        <v/>
      </c>
      <c r="L155" s="2" t="str">
        <f t="array" ref="L155">IF(NOW()&gt;AW155,"",IF(AND((WEEKDAY($A155)+$B$2)&gt;1,((WEEKDAY($A155)+$T$2)&lt;7),(WEEKDAY($A155)&lt;&gt;1)),"work",(INDEX(Subject!$A:$I,MATCH(RANDBETWEEN(1,(MAX(Subject!$B:$B))),Subject!$B:$B,0),3))))</f>
        <v/>
      </c>
      <c r="M155" s="2" t="str">
        <f t="array" ref="M155">IF(NOW()&gt;AX155,"",IF(AND((WEEKDAY($A155)+$B$2)&gt;1,((WEEKDAY($A155)+$T$2)&lt;7),(WEEKDAY($A155)&lt;&gt;1)),"work",(INDEX(Subject!$A:$I,MATCH(RANDBETWEEN(1,(MAX(Subject!$B:$B))),Subject!$B:$B,0),3))))</f>
        <v/>
      </c>
      <c r="N155" s="2" t="str">
        <f t="array" ref="N155">IF(NOW()&gt;AY155,"",IF(AND((WEEKDAY($A155)+$B$2)&gt;1,((WEEKDAY($A155)+$T$2)&lt;7),(WEEKDAY($A155)&lt;&gt;1)),"work",(INDEX(Subject!$A:$I,MATCH(RANDBETWEEN(1,(MAX(Subject!$B:$B))),Subject!$B:$B,0),3))))</f>
        <v/>
      </c>
      <c r="O155" s="2" t="str">
        <f t="array" ref="O155">IF(NOW()&gt;AZ155,"",IF(AND((WEEKDAY($A155)+$B$2)&gt;1,((WEEKDAY($A155)+$T$2)&lt;7),(WEEKDAY($A155)&lt;&gt;1)),"work",(INDEX(Subject!$A:$I,MATCH(RANDBETWEEN(1,(MAX(Subject!$B:$B))),Subject!$B:$B,0),3))))</f>
        <v/>
      </c>
      <c r="P155" s="2" t="str">
        <f t="array" ref="P155">IF(NOW()&gt;BA155,"",IF(AND((WEEKDAY($A155)+$B$2)&gt;1,((WEEKDAY($A155)+$T$2)&lt;7),(WEEKDAY($A155)&lt;&gt;1)),"work",(INDEX(Subject!$A:$I,MATCH(RANDBETWEEN(1,(MAX(Subject!$B:$B))),Subject!$B:$B,0),3))))</f>
        <v/>
      </c>
      <c r="Q155" s="2" t="str">
        <f t="array" ref="Q155">IF(NOW()&gt;BB155,"",IF(AND((WEEKDAY($A155)+$B$2)&gt;1,((WEEKDAY($A155)+$T$2)&lt;7),(WEEKDAY($A155)&lt;&gt;1)),"work",(INDEX(Subject!$A:$I,MATCH(RANDBETWEEN(1,(MAX(Subject!$B:$B))),Subject!$B:$B,0),3))))</f>
        <v/>
      </c>
      <c r="R155" s="2" t="str">
        <f t="array" ref="R155">IF(NOW()&gt;BC155,"",IF(AND((WEEKDAY($A155)+$B$2)&gt;1,((WEEKDAY($A155)+$T$2)&lt;7),(WEEKDAY($A155)&lt;&gt;1)),"work",(INDEX(Subject!$A:$I,MATCH(RANDBETWEEN(1,(MAX(Subject!$B:$B))),Subject!$B:$B,0),3))))</f>
        <v/>
      </c>
      <c r="S155" s="2" t="str">
        <f t="array" ref="S155">IF(NOW()&gt;BD155,"",IF(AND((WEEKDAY($A155)+$B$2)&gt;1,((WEEKDAY($A155)+$T$2)&lt;7),(WEEKDAY($A155)&lt;&gt;1)),"work",(INDEX(Subject!$A:$I,MATCH(RANDBETWEEN(1,(MAX(Subject!$B:$B))),Subject!$B:$B,0),3))))</f>
        <v/>
      </c>
      <c r="T155" s="2" t="str">
        <f t="array" ref="T155">IF(NOW()&gt;BE155,"",IF(AND((WEEKDAY($A155)+$B$2)&gt;1,((WEEKDAY($A155)+$T$2)&lt;7),(WEEKDAY($A155)&lt;&gt;1)),"work",(INDEX(Subject!$A:$I,MATCH(RANDBETWEEN(1,(MAX(Subject!$B:$B))),Subject!$B:$B,0),3))))</f>
        <v/>
      </c>
      <c r="U155" s="8" t="str">
        <f t="array" ref="U155">INDEX(Subject!$A:$I,MATCH(RANDBETWEEN(1,16),Subject!$B:$B,0),3)</f>
        <v>#N/A</v>
      </c>
      <c r="V155" s="8" t="str">
        <f t="array" ref="V155">INDEX(Subject!$A:$I,MATCH(RANDBETWEEN(1,16),Subject!$B:$B,0),3)</f>
        <v>#N/A</v>
      </c>
      <c r="W155" s="8" t="str">
        <f t="array" ref="W155">INDEX(Subject!$A:$I,MATCH(RANDBETWEEN(1,16),Subject!$B:$B,0),3)</f>
        <v>#N/A</v>
      </c>
      <c r="X155" s="8" t="str">
        <f t="array" ref="X155">INDEX(Subject!$A:$I,MATCH(RANDBETWEEN(1,16),Subject!$B:$B,0),3)</f>
        <v>#N/A</v>
      </c>
      <c r="Y155" s="8" t="str">
        <f t="array" ref="Y155">INDEX(Subject!$A:$I,MATCH(RANDBETWEEN(1,16),Subject!$B:$B,0),3)</f>
        <v>#N/A</v>
      </c>
      <c r="Z155" s="8" t="str">
        <f t="array" ref="Z155">INDEX(Subject!$A:$I,MATCH(RANDBETWEEN(1,16),Subject!$B:$B,0),3)</f>
        <v>#N/A</v>
      </c>
      <c r="AA155" s="8" t="str">
        <f t="array" ref="AA155">INDEX(Subject!$A:$I,MATCH(RANDBETWEEN(1,16),Subject!$B:$B,0),3)</f>
        <v/>
      </c>
      <c r="AB155" s="8" t="str">
        <f t="array" ref="AB155">INDEX(Subject!$A:$I,MATCH(RANDBETWEEN(1,16),Subject!$B:$B,0),3)</f>
        <v>#N/A</v>
      </c>
      <c r="AC155" s="8" t="str">
        <f t="array" ref="AC155">INDEX(Subject!$A:$I,MATCH(RANDBETWEEN(1,16),Subject!$B:$B,0),3)</f>
        <v>#N/A</v>
      </c>
      <c r="AD155" s="8" t="str">
        <f t="array" ref="AD155">INDEX(Subject!$A:$I,MATCH(RANDBETWEEN(1,16),Subject!$B:$B,0),3)</f>
        <v>#N/A</v>
      </c>
      <c r="AE155" s="8" t="str">
        <f t="array" ref="AE155">INDEX(Subject!$A:$I,MATCH(RANDBETWEEN(1,16),Subject!$B:$B,0),3)</f>
        <v>#N/A</v>
      </c>
      <c r="AF155" s="8" t="str">
        <f t="array" ref="AF155">INDEX(Subject!$A:$I,MATCH(RANDBETWEEN(1,16),Subject!$B:$B,0),3)</f>
        <v>#N/A</v>
      </c>
      <c r="AG155" s="8" t="str">
        <f t="array" ref="AG155">INDEX(Subject!$A:$I,MATCH(RANDBETWEEN(1,16),Subject!$B:$B,0),3)</f>
        <v>#N/A</v>
      </c>
      <c r="AH155" s="8" t="str">
        <f t="array" ref="AH155">INDEX(Subject!$A:$I,MATCH(RANDBETWEEN(1,16),Subject!$B:$B,0),3)</f>
        <v>#N/A</v>
      </c>
      <c r="AI155" s="8" t="str">
        <f t="array" ref="AI155">INDEX(Subject!$A:$I,MATCH(RANDBETWEEN(1,16),Subject!$B:$B,0),3)</f>
        <v>#N/A</v>
      </c>
      <c r="AJ155" s="8" t="str">
        <f t="array" ref="AJ155">INDEX(Subject!$A:$I,MATCH(RANDBETWEEN(1,16),Subject!$B:$B,0),3)</f>
        <v>#N/A</v>
      </c>
      <c r="AK155" s="8" t="str">
        <f t="array" ref="AK155">INDEX(Subject!$A:$I,MATCH(RANDBETWEEN(1,16),Subject!$B:$B,0),3)</f>
        <v>#N/A</v>
      </c>
      <c r="AL155" s="8" t="str">
        <f t="array" ref="AL155">INDEX(Subject!$A:$I,MATCH(RANDBETWEEN(1,16),Subject!$B:$B,0),3)</f>
        <v>#N/A</v>
      </c>
      <c r="AM155" s="18">
        <f t="shared" si="4"/>
        <v>45655.33333</v>
      </c>
      <c r="AN155" s="19">
        <f t="shared" ref="AN155:BZ155" si="155">$A155+C$1</f>
        <v>45655.35417</v>
      </c>
      <c r="AO155" s="19">
        <f t="shared" si="155"/>
        <v>45655.375</v>
      </c>
      <c r="AP155" s="19">
        <f t="shared" si="155"/>
        <v>45655.39583</v>
      </c>
      <c r="AQ155" s="19">
        <f t="shared" si="155"/>
        <v>45655.41667</v>
      </c>
      <c r="AR155" s="19">
        <f t="shared" si="155"/>
        <v>45655.4375</v>
      </c>
      <c r="AS155" s="19">
        <f t="shared" si="155"/>
        <v>45655.45833</v>
      </c>
      <c r="AT155" s="19">
        <f t="shared" si="155"/>
        <v>45655.47917</v>
      </c>
      <c r="AU155" s="19">
        <f t="shared" si="155"/>
        <v>45655.5</v>
      </c>
      <c r="AV155" s="19">
        <f t="shared" si="155"/>
        <v>45655.52083</v>
      </c>
      <c r="AW155" s="19">
        <f t="shared" si="155"/>
        <v>45655.54167</v>
      </c>
      <c r="AX155" s="19">
        <f t="shared" si="155"/>
        <v>45655.5625</v>
      </c>
      <c r="AY155" s="19">
        <f t="shared" si="155"/>
        <v>45655.58333</v>
      </c>
      <c r="AZ155" s="19">
        <f t="shared" si="155"/>
        <v>45655.60417</v>
      </c>
      <c r="BA155" s="19">
        <f t="shared" si="155"/>
        <v>45655.625</v>
      </c>
      <c r="BB155" s="19">
        <f t="shared" si="155"/>
        <v>45655.64583</v>
      </c>
      <c r="BC155" s="19">
        <f t="shared" si="155"/>
        <v>45655.66667</v>
      </c>
      <c r="BD155" s="19">
        <f t="shared" si="155"/>
        <v>45655.6875</v>
      </c>
      <c r="BE155" s="19">
        <f t="shared" si="155"/>
        <v>45655.70833</v>
      </c>
      <c r="BF155" s="19">
        <f t="shared" si="155"/>
        <v>45655.72917</v>
      </c>
      <c r="BG155" s="19">
        <f t="shared" si="155"/>
        <v>45655.75</v>
      </c>
      <c r="BH155" s="19">
        <f t="shared" si="155"/>
        <v>45655.77083</v>
      </c>
      <c r="BI155" s="19">
        <f t="shared" si="155"/>
        <v>45655.79167</v>
      </c>
      <c r="BJ155" s="19">
        <f t="shared" si="155"/>
        <v>45655.8125</v>
      </c>
      <c r="BK155" s="19">
        <f t="shared" si="155"/>
        <v>45655.83333</v>
      </c>
      <c r="BL155" s="19">
        <f t="shared" si="155"/>
        <v>45655.85417</v>
      </c>
      <c r="BM155" s="19">
        <f t="shared" si="155"/>
        <v>45655.875</v>
      </c>
      <c r="BN155" s="19">
        <f t="shared" si="155"/>
        <v>45655.89583</v>
      </c>
      <c r="BO155" s="19">
        <f t="shared" si="155"/>
        <v>45655.91667</v>
      </c>
      <c r="BP155" s="19">
        <f t="shared" si="155"/>
        <v>45655.9375</v>
      </c>
      <c r="BQ155" s="19">
        <f t="shared" si="155"/>
        <v>45655.95833</v>
      </c>
      <c r="BR155" s="19">
        <f t="shared" si="155"/>
        <v>45655.97917</v>
      </c>
      <c r="BS155" s="19">
        <f t="shared" si="155"/>
        <v>45656</v>
      </c>
      <c r="BT155" s="19">
        <f t="shared" si="155"/>
        <v>45656.02083</v>
      </c>
      <c r="BU155" s="19">
        <f t="shared" si="155"/>
        <v>45656.04167</v>
      </c>
      <c r="BV155" s="19">
        <f t="shared" si="155"/>
        <v>45656.0625</v>
      </c>
      <c r="BW155" s="19">
        <f t="shared" si="155"/>
        <v>45656.08333</v>
      </c>
      <c r="BX155" s="19">
        <f t="shared" si="155"/>
        <v>45655</v>
      </c>
      <c r="BY155" s="19">
        <f t="shared" si="155"/>
        <v>45655</v>
      </c>
      <c r="BZ155" s="19">
        <f t="shared" si="155"/>
        <v>45655</v>
      </c>
    </row>
    <row r="156" ht="14.25" customHeight="1">
      <c r="A156" s="17">
        <v>45656.0</v>
      </c>
      <c r="B156" s="2" t="str">
        <f t="array" ref="B156">IF(NOW()&gt;AM156,"",IF(AND((WEEKDAY($A156)+$B$2)&gt;1,((WEEKDAY($A156)+$T$2)&lt;7),(WEEKDAY($A156)&lt;&gt;1)),"work",(INDEX(Subject!$A:$I,MATCH(RANDBETWEEN(1,(MAX(Subject!$B:$B))),Subject!$B:$B,0),3))))</f>
        <v/>
      </c>
      <c r="C156" s="2" t="str">
        <f t="array" ref="C156">IF(NOW()&gt;AN156,"",IF(AND((WEEKDAY($A156)+$B$2)&gt;1,((WEEKDAY($A156)+$T$2)&lt;7),(WEEKDAY($A156)&lt;&gt;1)),"work",(INDEX(Subject!$A:$I,MATCH(RANDBETWEEN(1,(MAX(Subject!$B:$B))),Subject!$B:$B,0),3))))</f>
        <v/>
      </c>
      <c r="D156" s="2" t="str">
        <f t="array" ref="D156">IF(NOW()&gt;AO156,"",IF(AND((WEEKDAY($A156)+$B$2)&gt;1,((WEEKDAY($A156)+$T$2)&lt;7),(WEEKDAY($A156)&lt;&gt;1)),"work",(INDEX(Subject!$A:$I,MATCH(RANDBETWEEN(1,(MAX(Subject!$B:$B))),Subject!$B:$B,0),3))))</f>
        <v/>
      </c>
      <c r="E156" s="2" t="str">
        <f t="array" ref="E156">IF(NOW()&gt;AP156,"",IF(AND((WEEKDAY($A156)+$B$2)&gt;1,((WEEKDAY($A156)+$T$2)&lt;7),(WEEKDAY($A156)&lt;&gt;1)),"work",(INDEX(Subject!$A:$I,MATCH(RANDBETWEEN(1,(MAX(Subject!$B:$B))),Subject!$B:$B,0),3))))</f>
        <v/>
      </c>
      <c r="F156" s="2" t="str">
        <f t="array" ref="F156">IF(NOW()&gt;AQ156,"",IF(AND((WEEKDAY($A156)+$B$2)&gt;1,((WEEKDAY($A156)+$T$2)&lt;7),(WEEKDAY($A156)&lt;&gt;1)),"work",(INDEX(Subject!$A:$I,MATCH(RANDBETWEEN(1,(MAX(Subject!$B:$B))),Subject!$B:$B,0),3))))</f>
        <v/>
      </c>
      <c r="G156" s="2" t="str">
        <f t="array" ref="G156">IF(NOW()&gt;AR156,"",IF(AND((WEEKDAY($A156)+$B$2)&gt;1,((WEEKDAY($A156)+$T$2)&lt;7),(WEEKDAY($A156)&lt;&gt;1)),"work",(INDEX(Subject!$A:$I,MATCH(RANDBETWEEN(1,(MAX(Subject!$B:$B))),Subject!$B:$B,0),3))))</f>
        <v/>
      </c>
      <c r="H156" s="2" t="str">
        <f t="array" ref="H156">IF(NOW()&gt;AS156,"",IF(AND((WEEKDAY($A156)+$B$2)&gt;1,((WEEKDAY($A156)+$T$2)&lt;7),(WEEKDAY($A156)&lt;&gt;1)),"work",(INDEX(Subject!$A:$I,MATCH(RANDBETWEEN(1,(MAX(Subject!$B:$B))),Subject!$B:$B,0),3))))</f>
        <v/>
      </c>
      <c r="I156" s="2" t="str">
        <f t="array" ref="I156">IF(NOW()&gt;AT156,"",IF(AND((WEEKDAY($A156)+$B$2)&gt;1,((WEEKDAY($A156)+$T$2)&lt;7),(WEEKDAY($A156)&lt;&gt;1)),"work",(INDEX(Subject!$A:$I,MATCH(RANDBETWEEN(1,(MAX(Subject!$B:$B))),Subject!$B:$B,0),3))))</f>
        <v/>
      </c>
      <c r="J156" s="2" t="str">
        <f t="array" ref="J156">IF(NOW()&gt;AU156,"",IF(AND((WEEKDAY($A156)+$B$2)&gt;1,((WEEKDAY($A156)+$T$2)&lt;7),(WEEKDAY($A156)&lt;&gt;1)),"work",(INDEX(Subject!$A:$I,MATCH(RANDBETWEEN(1,(MAX(Subject!$B:$B))),Subject!$B:$B,0),3))))</f>
        <v/>
      </c>
      <c r="K156" s="2" t="str">
        <f t="array" ref="K156">IF(NOW()&gt;AV156,"",IF(AND((WEEKDAY($A156)+$B$2)&gt;1,((WEEKDAY($A156)+$T$2)&lt;7),(WEEKDAY($A156)&lt;&gt;1)),"work",(INDEX(Subject!$A:$I,MATCH(RANDBETWEEN(1,(MAX(Subject!$B:$B))),Subject!$B:$B,0),3))))</f>
        <v/>
      </c>
      <c r="L156" s="2" t="str">
        <f t="array" ref="L156">IF(NOW()&gt;AW156,"",IF(AND((WEEKDAY($A156)+$B$2)&gt;1,((WEEKDAY($A156)+$T$2)&lt;7),(WEEKDAY($A156)&lt;&gt;1)),"work",(INDEX(Subject!$A:$I,MATCH(RANDBETWEEN(1,(MAX(Subject!$B:$B))),Subject!$B:$B,0),3))))</f>
        <v/>
      </c>
      <c r="M156" s="2" t="str">
        <f t="array" ref="M156">IF(NOW()&gt;AX156,"",IF(AND((WEEKDAY($A156)+$B$2)&gt;1,((WEEKDAY($A156)+$T$2)&lt;7),(WEEKDAY($A156)&lt;&gt;1)),"work",(INDEX(Subject!$A:$I,MATCH(RANDBETWEEN(1,(MAX(Subject!$B:$B))),Subject!$B:$B,0),3))))</f>
        <v/>
      </c>
      <c r="N156" s="2" t="str">
        <f t="array" ref="N156">IF(NOW()&gt;AY156,"",IF(AND((WEEKDAY($A156)+$B$2)&gt;1,((WEEKDAY($A156)+$T$2)&lt;7),(WEEKDAY($A156)&lt;&gt;1)),"work",(INDEX(Subject!$A:$I,MATCH(RANDBETWEEN(1,(MAX(Subject!$B:$B))),Subject!$B:$B,0),3))))</f>
        <v/>
      </c>
      <c r="O156" s="2" t="str">
        <f t="array" ref="O156">IF(NOW()&gt;AZ156,"",IF(AND((WEEKDAY($A156)+$B$2)&gt;1,((WEEKDAY($A156)+$T$2)&lt;7),(WEEKDAY($A156)&lt;&gt;1)),"work",(INDEX(Subject!$A:$I,MATCH(RANDBETWEEN(1,(MAX(Subject!$B:$B))),Subject!$B:$B,0),3))))</f>
        <v/>
      </c>
      <c r="P156" s="2" t="str">
        <f t="array" ref="P156">IF(NOW()&gt;BA156,"",IF(AND((WEEKDAY($A156)+$B$2)&gt;1,((WEEKDAY($A156)+$T$2)&lt;7),(WEEKDAY($A156)&lt;&gt;1)),"work",(INDEX(Subject!$A:$I,MATCH(RANDBETWEEN(1,(MAX(Subject!$B:$B))),Subject!$B:$B,0),3))))</f>
        <v/>
      </c>
      <c r="Q156" s="2" t="str">
        <f t="array" ref="Q156">IF(NOW()&gt;BB156,"",IF(AND((WEEKDAY($A156)+$B$2)&gt;1,((WEEKDAY($A156)+$T$2)&lt;7),(WEEKDAY($A156)&lt;&gt;1)),"work",(INDEX(Subject!$A:$I,MATCH(RANDBETWEEN(1,(MAX(Subject!$B:$B))),Subject!$B:$B,0),3))))</f>
        <v/>
      </c>
      <c r="R156" s="2" t="str">
        <f t="array" ref="R156">IF(NOW()&gt;BC156,"",IF(AND((WEEKDAY($A156)+$B$2)&gt;1,((WEEKDAY($A156)+$T$2)&lt;7),(WEEKDAY($A156)&lt;&gt;1)),"work",(INDEX(Subject!$A:$I,MATCH(RANDBETWEEN(1,(MAX(Subject!$B:$B))),Subject!$B:$B,0),3))))</f>
        <v/>
      </c>
      <c r="S156" s="2" t="str">
        <f t="array" ref="S156">IF(NOW()&gt;BD156,"",IF(AND((WEEKDAY($A156)+$B$2)&gt;1,((WEEKDAY($A156)+$T$2)&lt;7),(WEEKDAY($A156)&lt;&gt;1)),"work",(INDEX(Subject!$A:$I,MATCH(RANDBETWEEN(1,(MAX(Subject!$B:$B))),Subject!$B:$B,0),3))))</f>
        <v/>
      </c>
      <c r="T156" s="2" t="str">
        <f t="array" ref="T156">IF(NOW()&gt;BE156,"",IF(AND((WEEKDAY($A156)+$B$2)&gt;1,((WEEKDAY($A156)+$T$2)&lt;7),(WEEKDAY($A156)&lt;&gt;1)),"work",(INDEX(Subject!$A:$I,MATCH(RANDBETWEEN(1,(MAX(Subject!$B:$B))),Subject!$B:$B,0),3))))</f>
        <v/>
      </c>
      <c r="U156" s="8" t="str">
        <f t="array" ref="U156">INDEX(Subject!$A:$I,MATCH(RANDBETWEEN(1,16),Subject!$B:$B,0),3)</f>
        <v>#N/A</v>
      </c>
      <c r="V156" s="8" t="str">
        <f t="array" ref="V156">INDEX(Subject!$A:$I,MATCH(RANDBETWEEN(1,16),Subject!$B:$B,0),3)</f>
        <v>#N/A</v>
      </c>
      <c r="W156" s="8" t="str">
        <f t="array" ref="W156">INDEX(Subject!$A:$I,MATCH(RANDBETWEEN(1,16),Subject!$B:$B,0),3)</f>
        <v>#N/A</v>
      </c>
      <c r="X156" s="8" t="str">
        <f t="array" ref="X156">INDEX(Subject!$A:$I,MATCH(RANDBETWEEN(1,16),Subject!$B:$B,0),3)</f>
        <v/>
      </c>
      <c r="Y156" s="8" t="str">
        <f t="array" ref="Y156">INDEX(Subject!$A:$I,MATCH(RANDBETWEEN(1,16),Subject!$B:$B,0),3)</f>
        <v>#N/A</v>
      </c>
      <c r="Z156" s="8" t="str">
        <f t="array" ref="Z156">INDEX(Subject!$A:$I,MATCH(RANDBETWEEN(1,16),Subject!$B:$B,0),3)</f>
        <v>#N/A</v>
      </c>
      <c r="AA156" s="8" t="str">
        <f t="array" ref="AA156">INDEX(Subject!$A:$I,MATCH(RANDBETWEEN(1,16),Subject!$B:$B,0),3)</f>
        <v>#N/A</v>
      </c>
      <c r="AB156" s="8" t="str">
        <f t="array" ref="AB156">INDEX(Subject!$A:$I,MATCH(RANDBETWEEN(1,16),Subject!$B:$B,0),3)</f>
        <v>#N/A</v>
      </c>
      <c r="AC156" s="8" t="str">
        <f t="array" ref="AC156">INDEX(Subject!$A:$I,MATCH(RANDBETWEEN(1,16),Subject!$B:$B,0),3)</f>
        <v>#N/A</v>
      </c>
      <c r="AD156" s="8" t="str">
        <f t="array" ref="AD156">INDEX(Subject!$A:$I,MATCH(RANDBETWEEN(1,16),Subject!$B:$B,0),3)</f>
        <v>#N/A</v>
      </c>
      <c r="AE156" s="8" t="str">
        <f t="array" ref="AE156">INDEX(Subject!$A:$I,MATCH(RANDBETWEEN(1,16),Subject!$B:$B,0),3)</f>
        <v>#N/A</v>
      </c>
      <c r="AF156" s="8" t="str">
        <f t="array" ref="AF156">INDEX(Subject!$A:$I,MATCH(RANDBETWEEN(1,16),Subject!$B:$B,0),3)</f>
        <v>#N/A</v>
      </c>
      <c r="AG156" s="8" t="str">
        <f t="array" ref="AG156">INDEX(Subject!$A:$I,MATCH(RANDBETWEEN(1,16),Subject!$B:$B,0),3)</f>
        <v>#N/A</v>
      </c>
      <c r="AH156" s="8" t="str">
        <f t="array" ref="AH156">INDEX(Subject!$A:$I,MATCH(RANDBETWEEN(1,16),Subject!$B:$B,0),3)</f>
        <v>#N/A</v>
      </c>
      <c r="AI156" s="8" t="str">
        <f t="array" ref="AI156">INDEX(Subject!$A:$I,MATCH(RANDBETWEEN(1,16),Subject!$B:$B,0),3)</f>
        <v>#N/A</v>
      </c>
      <c r="AJ156" s="8" t="str">
        <f t="array" ref="AJ156">INDEX(Subject!$A:$I,MATCH(RANDBETWEEN(1,16),Subject!$B:$B,0),3)</f>
        <v>#N/A</v>
      </c>
      <c r="AK156" s="8" t="str">
        <f t="array" ref="AK156">INDEX(Subject!$A:$I,MATCH(RANDBETWEEN(1,16),Subject!$B:$B,0),3)</f>
        <v>#N/A</v>
      </c>
      <c r="AL156" s="8" t="str">
        <f t="array" ref="AL156">INDEX(Subject!$A:$I,MATCH(RANDBETWEEN(1,16),Subject!$B:$B,0),3)</f>
        <v>#N/A</v>
      </c>
      <c r="AM156" s="18">
        <f t="shared" si="4"/>
        <v>45656.33333</v>
      </c>
      <c r="AN156" s="19">
        <f t="shared" ref="AN156:BZ156" si="156">$A156+C$1</f>
        <v>45656.35417</v>
      </c>
      <c r="AO156" s="19">
        <f t="shared" si="156"/>
        <v>45656.375</v>
      </c>
      <c r="AP156" s="19">
        <f t="shared" si="156"/>
        <v>45656.39583</v>
      </c>
      <c r="AQ156" s="19">
        <f t="shared" si="156"/>
        <v>45656.41667</v>
      </c>
      <c r="AR156" s="19">
        <f t="shared" si="156"/>
        <v>45656.4375</v>
      </c>
      <c r="AS156" s="19">
        <f t="shared" si="156"/>
        <v>45656.45833</v>
      </c>
      <c r="AT156" s="19">
        <f t="shared" si="156"/>
        <v>45656.47917</v>
      </c>
      <c r="AU156" s="19">
        <f t="shared" si="156"/>
        <v>45656.5</v>
      </c>
      <c r="AV156" s="19">
        <f t="shared" si="156"/>
        <v>45656.52083</v>
      </c>
      <c r="AW156" s="19">
        <f t="shared" si="156"/>
        <v>45656.54167</v>
      </c>
      <c r="AX156" s="19">
        <f t="shared" si="156"/>
        <v>45656.5625</v>
      </c>
      <c r="AY156" s="19">
        <f t="shared" si="156"/>
        <v>45656.58333</v>
      </c>
      <c r="AZ156" s="19">
        <f t="shared" si="156"/>
        <v>45656.60417</v>
      </c>
      <c r="BA156" s="19">
        <f t="shared" si="156"/>
        <v>45656.625</v>
      </c>
      <c r="BB156" s="19">
        <f t="shared" si="156"/>
        <v>45656.64583</v>
      </c>
      <c r="BC156" s="19">
        <f t="shared" si="156"/>
        <v>45656.66667</v>
      </c>
      <c r="BD156" s="19">
        <f t="shared" si="156"/>
        <v>45656.6875</v>
      </c>
      <c r="BE156" s="19">
        <f t="shared" si="156"/>
        <v>45656.70833</v>
      </c>
      <c r="BF156" s="19">
        <f t="shared" si="156"/>
        <v>45656.72917</v>
      </c>
      <c r="BG156" s="19">
        <f t="shared" si="156"/>
        <v>45656.75</v>
      </c>
      <c r="BH156" s="19">
        <f t="shared" si="156"/>
        <v>45656.77083</v>
      </c>
      <c r="BI156" s="19">
        <f t="shared" si="156"/>
        <v>45656.79167</v>
      </c>
      <c r="BJ156" s="19">
        <f t="shared" si="156"/>
        <v>45656.8125</v>
      </c>
      <c r="BK156" s="19">
        <f t="shared" si="156"/>
        <v>45656.83333</v>
      </c>
      <c r="BL156" s="19">
        <f t="shared" si="156"/>
        <v>45656.85417</v>
      </c>
      <c r="BM156" s="19">
        <f t="shared" si="156"/>
        <v>45656.875</v>
      </c>
      <c r="BN156" s="19">
        <f t="shared" si="156"/>
        <v>45656.89583</v>
      </c>
      <c r="BO156" s="19">
        <f t="shared" si="156"/>
        <v>45656.91667</v>
      </c>
      <c r="BP156" s="19">
        <f t="shared" si="156"/>
        <v>45656.9375</v>
      </c>
      <c r="BQ156" s="19">
        <f t="shared" si="156"/>
        <v>45656.95833</v>
      </c>
      <c r="BR156" s="19">
        <f t="shared" si="156"/>
        <v>45656.97917</v>
      </c>
      <c r="BS156" s="19">
        <f t="shared" si="156"/>
        <v>45657</v>
      </c>
      <c r="BT156" s="19">
        <f t="shared" si="156"/>
        <v>45657.02083</v>
      </c>
      <c r="BU156" s="19">
        <f t="shared" si="156"/>
        <v>45657.04167</v>
      </c>
      <c r="BV156" s="19">
        <f t="shared" si="156"/>
        <v>45657.0625</v>
      </c>
      <c r="BW156" s="19">
        <f t="shared" si="156"/>
        <v>45657.08333</v>
      </c>
      <c r="BX156" s="19">
        <f t="shared" si="156"/>
        <v>45656</v>
      </c>
      <c r="BY156" s="19">
        <f t="shared" si="156"/>
        <v>45656</v>
      </c>
      <c r="BZ156" s="19">
        <f t="shared" si="156"/>
        <v>45656</v>
      </c>
    </row>
    <row r="157" ht="14.25" customHeight="1">
      <c r="A157" s="17">
        <v>45657.0</v>
      </c>
      <c r="B157" s="2" t="str">
        <f t="array" ref="B157">IF(NOW()&gt;AM157,"",IF(AND((WEEKDAY($A157)+$B$2)&gt;1,((WEEKDAY($A157)+$T$2)&lt;7),(WEEKDAY($A157)&lt;&gt;1)),"work",(INDEX(Subject!$A:$I,MATCH(RANDBETWEEN(1,(MAX(Subject!$B:$B))),Subject!$B:$B,0),3))))</f>
        <v/>
      </c>
      <c r="C157" s="2" t="str">
        <f t="array" ref="C157">IF(NOW()&gt;AN157,"",IF(AND((WEEKDAY($A157)+$B$2)&gt;1,((WEEKDAY($A157)+$T$2)&lt;7),(WEEKDAY($A157)&lt;&gt;1)),"work",(INDEX(Subject!$A:$I,MATCH(RANDBETWEEN(1,(MAX(Subject!$B:$B))),Subject!$B:$B,0),3))))</f>
        <v/>
      </c>
      <c r="D157" s="2" t="str">
        <f t="array" ref="D157">IF(NOW()&gt;AO157,"",IF(AND((WEEKDAY($A157)+$B$2)&gt;1,((WEEKDAY($A157)+$T$2)&lt;7),(WEEKDAY($A157)&lt;&gt;1)),"work",(INDEX(Subject!$A:$I,MATCH(RANDBETWEEN(1,(MAX(Subject!$B:$B))),Subject!$B:$B,0),3))))</f>
        <v/>
      </c>
      <c r="E157" s="2" t="str">
        <f t="array" ref="E157">IF(NOW()&gt;AP157,"",IF(AND((WEEKDAY($A157)+$B$2)&gt;1,((WEEKDAY($A157)+$T$2)&lt;7),(WEEKDAY($A157)&lt;&gt;1)),"work",(INDEX(Subject!$A:$I,MATCH(RANDBETWEEN(1,(MAX(Subject!$B:$B))),Subject!$B:$B,0),3))))</f>
        <v/>
      </c>
      <c r="F157" s="2" t="str">
        <f t="array" ref="F157">IF(NOW()&gt;AQ157,"",IF(AND((WEEKDAY($A157)+$B$2)&gt;1,((WEEKDAY($A157)+$T$2)&lt;7),(WEEKDAY($A157)&lt;&gt;1)),"work",(INDEX(Subject!$A:$I,MATCH(RANDBETWEEN(1,(MAX(Subject!$B:$B))),Subject!$B:$B,0),3))))</f>
        <v/>
      </c>
      <c r="G157" s="2" t="str">
        <f t="array" ref="G157">IF(NOW()&gt;AR157,"",IF(AND((WEEKDAY($A157)+$B$2)&gt;1,((WEEKDAY($A157)+$T$2)&lt;7),(WEEKDAY($A157)&lt;&gt;1)),"work",(INDEX(Subject!$A:$I,MATCH(RANDBETWEEN(1,(MAX(Subject!$B:$B))),Subject!$B:$B,0),3))))</f>
        <v/>
      </c>
      <c r="H157" s="2" t="str">
        <f t="array" ref="H157">IF(NOW()&gt;AS157,"",IF(AND((WEEKDAY($A157)+$B$2)&gt;1,((WEEKDAY($A157)+$T$2)&lt;7),(WEEKDAY($A157)&lt;&gt;1)),"work",(INDEX(Subject!$A:$I,MATCH(RANDBETWEEN(1,(MAX(Subject!$B:$B))),Subject!$B:$B,0),3))))</f>
        <v/>
      </c>
      <c r="I157" s="2" t="str">
        <f t="array" ref="I157">IF(NOW()&gt;AT157,"",IF(AND((WEEKDAY($A157)+$B$2)&gt;1,((WEEKDAY($A157)+$T$2)&lt;7),(WEEKDAY($A157)&lt;&gt;1)),"work",(INDEX(Subject!$A:$I,MATCH(RANDBETWEEN(1,(MAX(Subject!$B:$B))),Subject!$B:$B,0),3))))</f>
        <v/>
      </c>
      <c r="J157" s="2" t="str">
        <f t="array" ref="J157">IF(NOW()&gt;AU157,"",IF(AND((WEEKDAY($A157)+$B$2)&gt;1,((WEEKDAY($A157)+$T$2)&lt;7),(WEEKDAY($A157)&lt;&gt;1)),"work",(INDEX(Subject!$A:$I,MATCH(RANDBETWEEN(1,(MAX(Subject!$B:$B))),Subject!$B:$B,0),3))))</f>
        <v/>
      </c>
      <c r="K157" s="2" t="str">
        <f t="array" ref="K157">IF(NOW()&gt;AV157,"",IF(AND((WEEKDAY($A157)+$B$2)&gt;1,((WEEKDAY($A157)+$T$2)&lt;7),(WEEKDAY($A157)&lt;&gt;1)),"work",(INDEX(Subject!$A:$I,MATCH(RANDBETWEEN(1,(MAX(Subject!$B:$B))),Subject!$B:$B,0),3))))</f>
        <v/>
      </c>
      <c r="L157" s="2" t="str">
        <f t="array" ref="L157">IF(NOW()&gt;AW157,"",IF(AND((WEEKDAY($A157)+$B$2)&gt;1,((WEEKDAY($A157)+$T$2)&lt;7),(WEEKDAY($A157)&lt;&gt;1)),"work",(INDEX(Subject!$A:$I,MATCH(RANDBETWEEN(1,(MAX(Subject!$B:$B))),Subject!$B:$B,0),3))))</f>
        <v/>
      </c>
      <c r="M157" s="2" t="str">
        <f t="array" ref="M157">IF(NOW()&gt;AX157,"",IF(AND((WEEKDAY($A157)+$B$2)&gt;1,((WEEKDAY($A157)+$T$2)&lt;7),(WEEKDAY($A157)&lt;&gt;1)),"work",(INDEX(Subject!$A:$I,MATCH(RANDBETWEEN(1,(MAX(Subject!$B:$B))),Subject!$B:$B,0),3))))</f>
        <v/>
      </c>
      <c r="N157" s="2" t="str">
        <f t="array" ref="N157">IF(NOW()&gt;AY157,"",IF(AND((WEEKDAY($A157)+$B$2)&gt;1,((WEEKDAY($A157)+$T$2)&lt;7),(WEEKDAY($A157)&lt;&gt;1)),"work",(INDEX(Subject!$A:$I,MATCH(RANDBETWEEN(1,(MAX(Subject!$B:$B))),Subject!$B:$B,0),3))))</f>
        <v/>
      </c>
      <c r="O157" s="2" t="str">
        <f t="array" ref="O157">IF(NOW()&gt;AZ157,"",IF(AND((WEEKDAY($A157)+$B$2)&gt;1,((WEEKDAY($A157)+$T$2)&lt;7),(WEEKDAY($A157)&lt;&gt;1)),"work",(INDEX(Subject!$A:$I,MATCH(RANDBETWEEN(1,(MAX(Subject!$B:$B))),Subject!$B:$B,0),3))))</f>
        <v/>
      </c>
      <c r="P157" s="2" t="str">
        <f t="array" ref="P157">IF(NOW()&gt;BA157,"",IF(AND((WEEKDAY($A157)+$B$2)&gt;1,((WEEKDAY($A157)+$T$2)&lt;7),(WEEKDAY($A157)&lt;&gt;1)),"work",(INDEX(Subject!$A:$I,MATCH(RANDBETWEEN(1,(MAX(Subject!$B:$B))),Subject!$B:$B,0),3))))</f>
        <v/>
      </c>
      <c r="Q157" s="2" t="str">
        <f t="array" ref="Q157">IF(NOW()&gt;BB157,"",IF(AND((WEEKDAY($A157)+$B$2)&gt;1,((WEEKDAY($A157)+$T$2)&lt;7),(WEEKDAY($A157)&lt;&gt;1)),"work",(INDEX(Subject!$A:$I,MATCH(RANDBETWEEN(1,(MAX(Subject!$B:$B))),Subject!$B:$B,0),3))))</f>
        <v/>
      </c>
      <c r="R157" s="2" t="str">
        <f t="array" ref="R157">IF(NOW()&gt;BC157,"",IF(AND((WEEKDAY($A157)+$B$2)&gt;1,((WEEKDAY($A157)+$T$2)&lt;7),(WEEKDAY($A157)&lt;&gt;1)),"work",(INDEX(Subject!$A:$I,MATCH(RANDBETWEEN(1,(MAX(Subject!$B:$B))),Subject!$B:$B,0),3))))</f>
        <v/>
      </c>
      <c r="S157" s="2" t="str">
        <f t="array" ref="S157">IF(NOW()&gt;BD157,"",IF(AND((WEEKDAY($A157)+$B$2)&gt;1,((WEEKDAY($A157)+$T$2)&lt;7),(WEEKDAY($A157)&lt;&gt;1)),"work",(INDEX(Subject!$A:$I,MATCH(RANDBETWEEN(1,(MAX(Subject!$B:$B))),Subject!$B:$B,0),3))))</f>
        <v/>
      </c>
      <c r="T157" s="2" t="str">
        <f t="array" ref="T157">IF(NOW()&gt;BE157,"",IF(AND((WEEKDAY($A157)+$B$2)&gt;1,((WEEKDAY($A157)+$T$2)&lt;7),(WEEKDAY($A157)&lt;&gt;1)),"work",(INDEX(Subject!$A:$I,MATCH(RANDBETWEEN(1,(MAX(Subject!$B:$B))),Subject!$B:$B,0),3))))</f>
        <v/>
      </c>
      <c r="U157" s="8" t="str">
        <f t="array" ref="U157">INDEX(Subject!$A:$I,MATCH(RANDBETWEEN(1,16),Subject!$B:$B,0),3)</f>
        <v>#N/A</v>
      </c>
      <c r="V157" s="8" t="str">
        <f t="array" ref="V157">INDEX(Subject!$A:$I,MATCH(RANDBETWEEN(1,16),Subject!$B:$B,0),3)</f>
        <v/>
      </c>
      <c r="W157" s="8" t="str">
        <f t="array" ref="W157">INDEX(Subject!$A:$I,MATCH(RANDBETWEEN(1,16),Subject!$B:$B,0),3)</f>
        <v>#N/A</v>
      </c>
      <c r="X157" s="8" t="str">
        <f t="array" ref="X157">INDEX(Subject!$A:$I,MATCH(RANDBETWEEN(1,16),Subject!$B:$B,0),3)</f>
        <v>#N/A</v>
      </c>
      <c r="Y157" s="8" t="str">
        <f t="array" ref="Y157">INDEX(Subject!$A:$I,MATCH(RANDBETWEEN(1,16),Subject!$B:$B,0),3)</f>
        <v>#N/A</v>
      </c>
      <c r="Z157" s="8" t="str">
        <f t="array" ref="Z157">INDEX(Subject!$A:$I,MATCH(RANDBETWEEN(1,16),Subject!$B:$B,0),3)</f>
        <v>#N/A</v>
      </c>
      <c r="AA157" s="8" t="str">
        <f t="array" ref="AA157">INDEX(Subject!$A:$I,MATCH(RANDBETWEEN(1,16),Subject!$B:$B,0),3)</f>
        <v>#N/A</v>
      </c>
      <c r="AB157" s="8" t="str">
        <f t="array" ref="AB157">INDEX(Subject!$A:$I,MATCH(RANDBETWEEN(1,16),Subject!$B:$B,0),3)</f>
        <v>#N/A</v>
      </c>
      <c r="AC157" s="8" t="str">
        <f t="array" ref="AC157">INDEX(Subject!$A:$I,MATCH(RANDBETWEEN(1,16),Subject!$B:$B,0),3)</f>
        <v>#N/A</v>
      </c>
      <c r="AD157" s="8" t="str">
        <f t="array" ref="AD157">INDEX(Subject!$A:$I,MATCH(RANDBETWEEN(1,16),Subject!$B:$B,0),3)</f>
        <v>#N/A</v>
      </c>
      <c r="AE157" s="8" t="str">
        <f t="array" ref="AE157">INDEX(Subject!$A:$I,MATCH(RANDBETWEEN(1,16),Subject!$B:$B,0),3)</f>
        <v>#N/A</v>
      </c>
      <c r="AF157" s="8" t="str">
        <f t="array" ref="AF157">INDEX(Subject!$A:$I,MATCH(RANDBETWEEN(1,16),Subject!$B:$B,0),3)</f>
        <v>#N/A</v>
      </c>
      <c r="AG157" s="8" t="str">
        <f t="array" ref="AG157">INDEX(Subject!$A:$I,MATCH(RANDBETWEEN(1,16),Subject!$B:$B,0),3)</f>
        <v>#N/A</v>
      </c>
      <c r="AH157" s="8" t="str">
        <f t="array" ref="AH157">INDEX(Subject!$A:$I,MATCH(RANDBETWEEN(1,16),Subject!$B:$B,0),3)</f>
        <v>#N/A</v>
      </c>
      <c r="AI157" s="8" t="str">
        <f t="array" ref="AI157">INDEX(Subject!$A:$I,MATCH(RANDBETWEEN(1,16),Subject!$B:$B,0),3)</f>
        <v>#N/A</v>
      </c>
      <c r="AJ157" s="8" t="str">
        <f t="array" ref="AJ157">INDEX(Subject!$A:$I,MATCH(RANDBETWEEN(1,16),Subject!$B:$B,0),3)</f>
        <v>#N/A</v>
      </c>
      <c r="AK157" s="8" t="str">
        <f t="array" ref="AK157">INDEX(Subject!$A:$I,MATCH(RANDBETWEEN(1,16),Subject!$B:$B,0),3)</f>
        <v>#N/A</v>
      </c>
      <c r="AL157" s="8" t="str">
        <f t="array" ref="AL157">INDEX(Subject!$A:$I,MATCH(RANDBETWEEN(1,16),Subject!$B:$B,0),3)</f>
        <v>#N/A</v>
      </c>
      <c r="AM157" s="18">
        <f t="shared" si="4"/>
        <v>45657.33333</v>
      </c>
      <c r="AN157" s="19">
        <f t="shared" ref="AN157:BZ157" si="157">$A157+C$1</f>
        <v>45657.35417</v>
      </c>
      <c r="AO157" s="19">
        <f t="shared" si="157"/>
        <v>45657.375</v>
      </c>
      <c r="AP157" s="19">
        <f t="shared" si="157"/>
        <v>45657.39583</v>
      </c>
      <c r="AQ157" s="19">
        <f t="shared" si="157"/>
        <v>45657.41667</v>
      </c>
      <c r="AR157" s="19">
        <f t="shared" si="157"/>
        <v>45657.4375</v>
      </c>
      <c r="AS157" s="19">
        <f t="shared" si="157"/>
        <v>45657.45833</v>
      </c>
      <c r="AT157" s="19">
        <f t="shared" si="157"/>
        <v>45657.47917</v>
      </c>
      <c r="AU157" s="19">
        <f t="shared" si="157"/>
        <v>45657.5</v>
      </c>
      <c r="AV157" s="19">
        <f t="shared" si="157"/>
        <v>45657.52083</v>
      </c>
      <c r="AW157" s="19">
        <f t="shared" si="157"/>
        <v>45657.54167</v>
      </c>
      <c r="AX157" s="19">
        <f t="shared" si="157"/>
        <v>45657.5625</v>
      </c>
      <c r="AY157" s="19">
        <f t="shared" si="157"/>
        <v>45657.58333</v>
      </c>
      <c r="AZ157" s="19">
        <f t="shared" si="157"/>
        <v>45657.60417</v>
      </c>
      <c r="BA157" s="19">
        <f t="shared" si="157"/>
        <v>45657.625</v>
      </c>
      <c r="BB157" s="19">
        <f t="shared" si="157"/>
        <v>45657.64583</v>
      </c>
      <c r="BC157" s="19">
        <f t="shared" si="157"/>
        <v>45657.66667</v>
      </c>
      <c r="BD157" s="19">
        <f t="shared" si="157"/>
        <v>45657.6875</v>
      </c>
      <c r="BE157" s="19">
        <f t="shared" si="157"/>
        <v>45657.70833</v>
      </c>
      <c r="BF157" s="19">
        <f t="shared" si="157"/>
        <v>45657.72917</v>
      </c>
      <c r="BG157" s="19">
        <f t="shared" si="157"/>
        <v>45657.75</v>
      </c>
      <c r="BH157" s="19">
        <f t="shared" si="157"/>
        <v>45657.77083</v>
      </c>
      <c r="BI157" s="19">
        <f t="shared" si="157"/>
        <v>45657.79167</v>
      </c>
      <c r="BJ157" s="19">
        <f t="shared" si="157"/>
        <v>45657.8125</v>
      </c>
      <c r="BK157" s="19">
        <f t="shared" si="157"/>
        <v>45657.83333</v>
      </c>
      <c r="BL157" s="19">
        <f t="shared" si="157"/>
        <v>45657.85417</v>
      </c>
      <c r="BM157" s="19">
        <f t="shared" si="157"/>
        <v>45657.875</v>
      </c>
      <c r="BN157" s="19">
        <f t="shared" si="157"/>
        <v>45657.89583</v>
      </c>
      <c r="BO157" s="19">
        <f t="shared" si="157"/>
        <v>45657.91667</v>
      </c>
      <c r="BP157" s="19">
        <f t="shared" si="157"/>
        <v>45657.9375</v>
      </c>
      <c r="BQ157" s="19">
        <f t="shared" si="157"/>
        <v>45657.95833</v>
      </c>
      <c r="BR157" s="19">
        <f t="shared" si="157"/>
        <v>45657.97917</v>
      </c>
      <c r="BS157" s="19">
        <f t="shared" si="157"/>
        <v>45658</v>
      </c>
      <c r="BT157" s="19">
        <f t="shared" si="157"/>
        <v>45658.02083</v>
      </c>
      <c r="BU157" s="19">
        <f t="shared" si="157"/>
        <v>45658.04167</v>
      </c>
      <c r="BV157" s="19">
        <f t="shared" si="157"/>
        <v>45658.0625</v>
      </c>
      <c r="BW157" s="19">
        <f t="shared" si="157"/>
        <v>45658.08333</v>
      </c>
      <c r="BX157" s="19">
        <f t="shared" si="157"/>
        <v>45657</v>
      </c>
      <c r="BY157" s="19">
        <f t="shared" si="157"/>
        <v>45657</v>
      </c>
      <c r="BZ157" s="19">
        <f t="shared" si="157"/>
        <v>45657</v>
      </c>
    </row>
    <row r="158" ht="14.25" customHeight="1">
      <c r="A158" s="17">
        <v>45658.0</v>
      </c>
      <c r="B158" s="2" t="str">
        <f t="array" ref="B158">IF(NOW()&gt;AM158,"",IF(AND((WEEKDAY($A158)+$B$2)&gt;1,((WEEKDAY($A158)+$T$2)&lt;7),(WEEKDAY($A158)&lt;&gt;1)),"work",(INDEX(Subject!$A:$I,MATCH(RANDBETWEEN(1,(MAX(Subject!$B:$B))),Subject!$B:$B,0),3))))</f>
        <v/>
      </c>
      <c r="C158" s="2" t="str">
        <f t="array" ref="C158">IF(NOW()&gt;AN158,"",IF(AND((WEEKDAY($A158)+$B$2)&gt;1,((WEEKDAY($A158)+$T$2)&lt;7),(WEEKDAY($A158)&lt;&gt;1)),"work",(INDEX(Subject!$A:$I,MATCH(RANDBETWEEN(1,(MAX(Subject!$B:$B))),Subject!$B:$B,0),3))))</f>
        <v/>
      </c>
      <c r="D158" s="2" t="str">
        <f t="array" ref="D158">IF(NOW()&gt;AO158,"",IF(AND((WEEKDAY($A158)+$B$2)&gt;1,((WEEKDAY($A158)+$T$2)&lt;7),(WEEKDAY($A158)&lt;&gt;1)),"work",(INDEX(Subject!$A:$I,MATCH(RANDBETWEEN(1,(MAX(Subject!$B:$B))),Subject!$B:$B,0),3))))</f>
        <v/>
      </c>
      <c r="E158" s="2" t="str">
        <f t="array" ref="E158">IF(NOW()&gt;AP158,"",IF(AND((WEEKDAY($A158)+$B$2)&gt;1,((WEEKDAY($A158)+$T$2)&lt;7),(WEEKDAY($A158)&lt;&gt;1)),"work",(INDEX(Subject!$A:$I,MATCH(RANDBETWEEN(1,(MAX(Subject!$B:$B))),Subject!$B:$B,0),3))))</f>
        <v/>
      </c>
      <c r="F158" s="2" t="str">
        <f t="array" ref="F158">IF(NOW()&gt;AQ158,"",IF(AND((WEEKDAY($A158)+$B$2)&gt;1,((WEEKDAY($A158)+$T$2)&lt;7),(WEEKDAY($A158)&lt;&gt;1)),"work",(INDEX(Subject!$A:$I,MATCH(RANDBETWEEN(1,(MAX(Subject!$B:$B))),Subject!$B:$B,0),3))))</f>
        <v/>
      </c>
      <c r="G158" s="2" t="str">
        <f t="array" ref="G158">IF(NOW()&gt;AR158,"",IF(AND((WEEKDAY($A158)+$B$2)&gt;1,((WEEKDAY($A158)+$T$2)&lt;7),(WEEKDAY($A158)&lt;&gt;1)),"work",(INDEX(Subject!$A:$I,MATCH(RANDBETWEEN(1,(MAX(Subject!$B:$B))),Subject!$B:$B,0),3))))</f>
        <v/>
      </c>
      <c r="H158" s="2" t="str">
        <f t="array" ref="H158">IF(NOW()&gt;AS158,"",IF(AND((WEEKDAY($A158)+$B$2)&gt;1,((WEEKDAY($A158)+$T$2)&lt;7),(WEEKDAY($A158)&lt;&gt;1)),"work",(INDEX(Subject!$A:$I,MATCH(RANDBETWEEN(1,(MAX(Subject!$B:$B))),Subject!$B:$B,0),3))))</f>
        <v/>
      </c>
      <c r="I158" s="2" t="str">
        <f t="array" ref="I158">IF(NOW()&gt;AT158,"",IF(AND((WEEKDAY($A158)+$B$2)&gt;1,((WEEKDAY($A158)+$T$2)&lt;7),(WEEKDAY($A158)&lt;&gt;1)),"work",(INDEX(Subject!$A:$I,MATCH(RANDBETWEEN(1,(MAX(Subject!$B:$B))),Subject!$B:$B,0),3))))</f>
        <v/>
      </c>
      <c r="J158" s="2" t="str">
        <f t="array" ref="J158">IF(NOW()&gt;AU158,"",IF(AND((WEEKDAY($A158)+$B$2)&gt;1,((WEEKDAY($A158)+$T$2)&lt;7),(WEEKDAY($A158)&lt;&gt;1)),"work",(INDEX(Subject!$A:$I,MATCH(RANDBETWEEN(1,(MAX(Subject!$B:$B))),Subject!$B:$B,0),3))))</f>
        <v/>
      </c>
      <c r="K158" s="2" t="str">
        <f t="array" ref="K158">IF(NOW()&gt;AV158,"",IF(AND((WEEKDAY($A158)+$B$2)&gt;1,((WEEKDAY($A158)+$T$2)&lt;7),(WEEKDAY($A158)&lt;&gt;1)),"work",(INDEX(Subject!$A:$I,MATCH(RANDBETWEEN(1,(MAX(Subject!$B:$B))),Subject!$B:$B,0),3))))</f>
        <v/>
      </c>
      <c r="L158" s="2" t="str">
        <f t="array" ref="L158">IF(NOW()&gt;AW158,"",IF(AND((WEEKDAY($A158)+$B$2)&gt;1,((WEEKDAY($A158)+$T$2)&lt;7),(WEEKDAY($A158)&lt;&gt;1)),"work",(INDEX(Subject!$A:$I,MATCH(RANDBETWEEN(1,(MAX(Subject!$B:$B))),Subject!$B:$B,0),3))))</f>
        <v/>
      </c>
      <c r="M158" s="2" t="str">
        <f t="array" ref="M158">IF(NOW()&gt;AX158,"",IF(AND((WEEKDAY($A158)+$B$2)&gt;1,((WEEKDAY($A158)+$T$2)&lt;7),(WEEKDAY($A158)&lt;&gt;1)),"work",(INDEX(Subject!$A:$I,MATCH(RANDBETWEEN(1,(MAX(Subject!$B:$B))),Subject!$B:$B,0),3))))</f>
        <v/>
      </c>
      <c r="N158" s="2" t="str">
        <f t="array" ref="N158">IF(NOW()&gt;AY158,"",IF(AND((WEEKDAY($A158)+$B$2)&gt;1,((WEEKDAY($A158)+$T$2)&lt;7),(WEEKDAY($A158)&lt;&gt;1)),"work",(INDEX(Subject!$A:$I,MATCH(RANDBETWEEN(1,(MAX(Subject!$B:$B))),Subject!$B:$B,0),3))))</f>
        <v/>
      </c>
      <c r="O158" s="2" t="str">
        <f t="array" ref="O158">IF(NOW()&gt;AZ158,"",IF(AND((WEEKDAY($A158)+$B$2)&gt;1,((WEEKDAY($A158)+$T$2)&lt;7),(WEEKDAY($A158)&lt;&gt;1)),"work",(INDEX(Subject!$A:$I,MATCH(RANDBETWEEN(1,(MAX(Subject!$B:$B))),Subject!$B:$B,0),3))))</f>
        <v/>
      </c>
      <c r="P158" s="2" t="str">
        <f t="array" ref="P158">IF(NOW()&gt;BA158,"",IF(AND((WEEKDAY($A158)+$B$2)&gt;1,((WEEKDAY($A158)+$T$2)&lt;7),(WEEKDAY($A158)&lt;&gt;1)),"work",(INDEX(Subject!$A:$I,MATCH(RANDBETWEEN(1,(MAX(Subject!$B:$B))),Subject!$B:$B,0),3))))</f>
        <v/>
      </c>
      <c r="Q158" s="2" t="str">
        <f t="array" ref="Q158">IF(NOW()&gt;BB158,"",IF(AND((WEEKDAY($A158)+$B$2)&gt;1,((WEEKDAY($A158)+$T$2)&lt;7),(WEEKDAY($A158)&lt;&gt;1)),"work",(INDEX(Subject!$A:$I,MATCH(RANDBETWEEN(1,(MAX(Subject!$B:$B))),Subject!$B:$B,0),3))))</f>
        <v/>
      </c>
      <c r="R158" s="2" t="str">
        <f t="array" ref="R158">IF(NOW()&gt;BC158,"",IF(AND((WEEKDAY($A158)+$B$2)&gt;1,((WEEKDAY($A158)+$T$2)&lt;7),(WEEKDAY($A158)&lt;&gt;1)),"work",(INDEX(Subject!$A:$I,MATCH(RANDBETWEEN(1,(MAX(Subject!$B:$B))),Subject!$B:$B,0),3))))</f>
        <v/>
      </c>
      <c r="S158" s="2" t="str">
        <f t="array" ref="S158">IF(NOW()&gt;BD158,"",IF(AND((WEEKDAY($A158)+$B$2)&gt;1,((WEEKDAY($A158)+$T$2)&lt;7),(WEEKDAY($A158)&lt;&gt;1)),"work",(INDEX(Subject!$A:$I,MATCH(RANDBETWEEN(1,(MAX(Subject!$B:$B))),Subject!$B:$B,0),3))))</f>
        <v/>
      </c>
      <c r="T158" s="2" t="str">
        <f t="array" ref="T158">IF(NOW()&gt;BE158,"",IF(AND((WEEKDAY($A158)+$B$2)&gt;1,((WEEKDAY($A158)+$T$2)&lt;7),(WEEKDAY($A158)&lt;&gt;1)),"work",(INDEX(Subject!$A:$I,MATCH(RANDBETWEEN(1,(MAX(Subject!$B:$B))),Subject!$B:$B,0),3))))</f>
        <v/>
      </c>
      <c r="U158" s="8" t="str">
        <f t="array" ref="U158">INDEX(Subject!$A:$I,MATCH(RANDBETWEEN(1,16),Subject!$B:$B,0),3)</f>
        <v>#N/A</v>
      </c>
      <c r="V158" s="8" t="str">
        <f t="array" ref="V158">INDEX(Subject!$A:$I,MATCH(RANDBETWEEN(1,16),Subject!$B:$B,0),3)</f>
        <v>#N/A</v>
      </c>
      <c r="W158" s="8" t="str">
        <f t="array" ref="W158">INDEX(Subject!$A:$I,MATCH(RANDBETWEEN(1,16),Subject!$B:$B,0),3)</f>
        <v>#N/A</v>
      </c>
      <c r="X158" s="8" t="str">
        <f t="array" ref="X158">INDEX(Subject!$A:$I,MATCH(RANDBETWEEN(1,16),Subject!$B:$B,0),3)</f>
        <v>#N/A</v>
      </c>
      <c r="Y158" s="8" t="str">
        <f t="array" ref="Y158">INDEX(Subject!$A:$I,MATCH(RANDBETWEEN(1,16),Subject!$B:$B,0),3)</f>
        <v>#N/A</v>
      </c>
      <c r="Z158" s="8" t="str">
        <f t="array" ref="Z158">INDEX(Subject!$A:$I,MATCH(RANDBETWEEN(1,16),Subject!$B:$B,0),3)</f>
        <v/>
      </c>
      <c r="AA158" s="8" t="str">
        <f t="array" ref="AA158">INDEX(Subject!$A:$I,MATCH(RANDBETWEEN(1,16),Subject!$B:$B,0),3)</f>
        <v>#N/A</v>
      </c>
      <c r="AB158" s="8" t="str">
        <f t="array" ref="AB158">INDEX(Subject!$A:$I,MATCH(RANDBETWEEN(1,16),Subject!$B:$B,0),3)</f>
        <v>#N/A</v>
      </c>
      <c r="AC158" s="8" t="str">
        <f t="array" ref="AC158">INDEX(Subject!$A:$I,MATCH(RANDBETWEEN(1,16),Subject!$B:$B,0),3)</f>
        <v>#N/A</v>
      </c>
      <c r="AD158" s="8" t="str">
        <f t="array" ref="AD158">INDEX(Subject!$A:$I,MATCH(RANDBETWEEN(1,16),Subject!$B:$B,0),3)</f>
        <v>#N/A</v>
      </c>
      <c r="AE158" s="8" t="str">
        <f t="array" ref="AE158">INDEX(Subject!$A:$I,MATCH(RANDBETWEEN(1,16),Subject!$B:$B,0),3)</f>
        <v>#N/A</v>
      </c>
      <c r="AF158" s="8" t="str">
        <f t="array" ref="AF158">INDEX(Subject!$A:$I,MATCH(RANDBETWEEN(1,16),Subject!$B:$B,0),3)</f>
        <v>#N/A</v>
      </c>
      <c r="AG158" s="8" t="str">
        <f t="array" ref="AG158">INDEX(Subject!$A:$I,MATCH(RANDBETWEEN(1,16),Subject!$B:$B,0),3)</f>
        <v>#N/A</v>
      </c>
      <c r="AH158" s="8" t="str">
        <f t="array" ref="AH158">INDEX(Subject!$A:$I,MATCH(RANDBETWEEN(1,16),Subject!$B:$B,0),3)</f>
        <v>#N/A</v>
      </c>
      <c r="AI158" s="8" t="str">
        <f t="array" ref="AI158">INDEX(Subject!$A:$I,MATCH(RANDBETWEEN(1,16),Subject!$B:$B,0),3)</f>
        <v>#N/A</v>
      </c>
      <c r="AJ158" s="8" t="str">
        <f t="array" ref="AJ158">INDEX(Subject!$A:$I,MATCH(RANDBETWEEN(1,16),Subject!$B:$B,0),3)</f>
        <v>#N/A</v>
      </c>
      <c r="AK158" s="8" t="str">
        <f t="array" ref="AK158">INDEX(Subject!$A:$I,MATCH(RANDBETWEEN(1,16),Subject!$B:$B,0),3)</f>
        <v>#N/A</v>
      </c>
      <c r="AL158" s="8" t="str">
        <f t="array" ref="AL158">INDEX(Subject!$A:$I,MATCH(RANDBETWEEN(1,16),Subject!$B:$B,0),3)</f>
        <v>#N/A</v>
      </c>
      <c r="AM158" s="18">
        <f t="shared" si="4"/>
        <v>45658.33333</v>
      </c>
      <c r="AN158" s="19">
        <f t="shared" ref="AN158:BZ158" si="158">$A158+C$1</f>
        <v>45658.35417</v>
      </c>
      <c r="AO158" s="19">
        <f t="shared" si="158"/>
        <v>45658.375</v>
      </c>
      <c r="AP158" s="19">
        <f t="shared" si="158"/>
        <v>45658.39583</v>
      </c>
      <c r="AQ158" s="19">
        <f t="shared" si="158"/>
        <v>45658.41667</v>
      </c>
      <c r="AR158" s="19">
        <f t="shared" si="158"/>
        <v>45658.4375</v>
      </c>
      <c r="AS158" s="19">
        <f t="shared" si="158"/>
        <v>45658.45833</v>
      </c>
      <c r="AT158" s="19">
        <f t="shared" si="158"/>
        <v>45658.47917</v>
      </c>
      <c r="AU158" s="19">
        <f t="shared" si="158"/>
        <v>45658.5</v>
      </c>
      <c r="AV158" s="19">
        <f t="shared" si="158"/>
        <v>45658.52083</v>
      </c>
      <c r="AW158" s="19">
        <f t="shared" si="158"/>
        <v>45658.54167</v>
      </c>
      <c r="AX158" s="19">
        <f t="shared" si="158"/>
        <v>45658.5625</v>
      </c>
      <c r="AY158" s="19">
        <f t="shared" si="158"/>
        <v>45658.58333</v>
      </c>
      <c r="AZ158" s="19">
        <f t="shared" si="158"/>
        <v>45658.60417</v>
      </c>
      <c r="BA158" s="19">
        <f t="shared" si="158"/>
        <v>45658.625</v>
      </c>
      <c r="BB158" s="19">
        <f t="shared" si="158"/>
        <v>45658.64583</v>
      </c>
      <c r="BC158" s="19">
        <f t="shared" si="158"/>
        <v>45658.66667</v>
      </c>
      <c r="BD158" s="19">
        <f t="shared" si="158"/>
        <v>45658.6875</v>
      </c>
      <c r="BE158" s="19">
        <f t="shared" si="158"/>
        <v>45658.70833</v>
      </c>
      <c r="BF158" s="19">
        <f t="shared" si="158"/>
        <v>45658.72917</v>
      </c>
      <c r="BG158" s="19">
        <f t="shared" si="158"/>
        <v>45658.75</v>
      </c>
      <c r="BH158" s="19">
        <f t="shared" si="158"/>
        <v>45658.77083</v>
      </c>
      <c r="BI158" s="19">
        <f t="shared" si="158"/>
        <v>45658.79167</v>
      </c>
      <c r="BJ158" s="19">
        <f t="shared" si="158"/>
        <v>45658.8125</v>
      </c>
      <c r="BK158" s="19">
        <f t="shared" si="158"/>
        <v>45658.83333</v>
      </c>
      <c r="BL158" s="19">
        <f t="shared" si="158"/>
        <v>45658.85417</v>
      </c>
      <c r="BM158" s="19">
        <f t="shared" si="158"/>
        <v>45658.875</v>
      </c>
      <c r="BN158" s="19">
        <f t="shared" si="158"/>
        <v>45658.89583</v>
      </c>
      <c r="BO158" s="19">
        <f t="shared" si="158"/>
        <v>45658.91667</v>
      </c>
      <c r="BP158" s="19">
        <f t="shared" si="158"/>
        <v>45658.9375</v>
      </c>
      <c r="BQ158" s="19">
        <f t="shared" si="158"/>
        <v>45658.95833</v>
      </c>
      <c r="BR158" s="19">
        <f t="shared" si="158"/>
        <v>45658.97917</v>
      </c>
      <c r="BS158" s="19">
        <f t="shared" si="158"/>
        <v>45659</v>
      </c>
      <c r="BT158" s="19">
        <f t="shared" si="158"/>
        <v>45659.02083</v>
      </c>
      <c r="BU158" s="19">
        <f t="shared" si="158"/>
        <v>45659.04167</v>
      </c>
      <c r="BV158" s="19">
        <f t="shared" si="158"/>
        <v>45659.0625</v>
      </c>
      <c r="BW158" s="19">
        <f t="shared" si="158"/>
        <v>45659.08333</v>
      </c>
      <c r="BX158" s="19">
        <f t="shared" si="158"/>
        <v>45658</v>
      </c>
      <c r="BY158" s="19">
        <f t="shared" si="158"/>
        <v>45658</v>
      </c>
      <c r="BZ158" s="19">
        <f t="shared" si="158"/>
        <v>45658</v>
      </c>
    </row>
    <row r="159" ht="14.25" customHeight="1">
      <c r="A159" s="17">
        <v>45659.0</v>
      </c>
      <c r="B159" s="2" t="str">
        <f t="array" ref="B159">IF(NOW()&gt;AM159,"",IF(AND((WEEKDAY($A159)+$B$2)&gt;1,((WEEKDAY($A159)+$T$2)&lt;7),(WEEKDAY($A159)&lt;&gt;1)),"work",(INDEX(Subject!$A:$I,MATCH(RANDBETWEEN(1,(MAX(Subject!$B:$B))),Subject!$B:$B,0),3))))</f>
        <v/>
      </c>
      <c r="C159" s="2" t="str">
        <f t="array" ref="C159">IF(NOW()&gt;AN159,"",IF(AND((WEEKDAY($A159)+$B$2)&gt;1,((WEEKDAY($A159)+$T$2)&lt;7),(WEEKDAY($A159)&lt;&gt;1)),"work",(INDEX(Subject!$A:$I,MATCH(RANDBETWEEN(1,(MAX(Subject!$B:$B))),Subject!$B:$B,0),3))))</f>
        <v/>
      </c>
      <c r="D159" s="2" t="str">
        <f t="array" ref="D159">IF(NOW()&gt;AO159,"",IF(AND((WEEKDAY($A159)+$B$2)&gt;1,((WEEKDAY($A159)+$T$2)&lt;7),(WEEKDAY($A159)&lt;&gt;1)),"work",(INDEX(Subject!$A:$I,MATCH(RANDBETWEEN(1,(MAX(Subject!$B:$B))),Subject!$B:$B,0),3))))</f>
        <v/>
      </c>
      <c r="E159" s="2" t="str">
        <f t="array" ref="E159">IF(NOW()&gt;AP159,"",IF(AND((WEEKDAY($A159)+$B$2)&gt;1,((WEEKDAY($A159)+$T$2)&lt;7),(WEEKDAY($A159)&lt;&gt;1)),"work",(INDEX(Subject!$A:$I,MATCH(RANDBETWEEN(1,(MAX(Subject!$B:$B))),Subject!$B:$B,0),3))))</f>
        <v/>
      </c>
      <c r="F159" s="2" t="str">
        <f t="array" ref="F159">IF(NOW()&gt;AQ159,"",IF(AND((WEEKDAY($A159)+$B$2)&gt;1,((WEEKDAY($A159)+$T$2)&lt;7),(WEEKDAY($A159)&lt;&gt;1)),"work",(INDEX(Subject!$A:$I,MATCH(RANDBETWEEN(1,(MAX(Subject!$B:$B))),Subject!$B:$B,0),3))))</f>
        <v/>
      </c>
      <c r="G159" s="2" t="str">
        <f t="array" ref="G159">IF(NOW()&gt;AR159,"",IF(AND((WEEKDAY($A159)+$B$2)&gt;1,((WEEKDAY($A159)+$T$2)&lt;7),(WEEKDAY($A159)&lt;&gt;1)),"work",(INDEX(Subject!$A:$I,MATCH(RANDBETWEEN(1,(MAX(Subject!$B:$B))),Subject!$B:$B,0),3))))</f>
        <v/>
      </c>
      <c r="H159" s="2" t="str">
        <f t="array" ref="H159">IF(NOW()&gt;AS159,"",IF(AND((WEEKDAY($A159)+$B$2)&gt;1,((WEEKDAY($A159)+$T$2)&lt;7),(WEEKDAY($A159)&lt;&gt;1)),"work",(INDEX(Subject!$A:$I,MATCH(RANDBETWEEN(1,(MAX(Subject!$B:$B))),Subject!$B:$B,0),3))))</f>
        <v/>
      </c>
      <c r="I159" s="2" t="str">
        <f t="array" ref="I159">IF(NOW()&gt;AT159,"",IF(AND((WEEKDAY($A159)+$B$2)&gt;1,((WEEKDAY($A159)+$T$2)&lt;7),(WEEKDAY($A159)&lt;&gt;1)),"work",(INDEX(Subject!$A:$I,MATCH(RANDBETWEEN(1,(MAX(Subject!$B:$B))),Subject!$B:$B,0),3))))</f>
        <v/>
      </c>
      <c r="J159" s="2" t="str">
        <f t="array" ref="J159">IF(NOW()&gt;AU159,"",IF(AND((WEEKDAY($A159)+$B$2)&gt;1,((WEEKDAY($A159)+$T$2)&lt;7),(WEEKDAY($A159)&lt;&gt;1)),"work",(INDEX(Subject!$A:$I,MATCH(RANDBETWEEN(1,(MAX(Subject!$B:$B))),Subject!$B:$B,0),3))))</f>
        <v/>
      </c>
      <c r="K159" s="2" t="str">
        <f t="array" ref="K159">IF(NOW()&gt;AV159,"",IF(AND((WEEKDAY($A159)+$B$2)&gt;1,((WEEKDAY($A159)+$T$2)&lt;7),(WEEKDAY($A159)&lt;&gt;1)),"work",(INDEX(Subject!$A:$I,MATCH(RANDBETWEEN(1,(MAX(Subject!$B:$B))),Subject!$B:$B,0),3))))</f>
        <v/>
      </c>
      <c r="L159" s="2" t="str">
        <f t="array" ref="L159">IF(NOW()&gt;AW159,"",IF(AND((WEEKDAY($A159)+$B$2)&gt;1,((WEEKDAY($A159)+$T$2)&lt;7),(WEEKDAY($A159)&lt;&gt;1)),"work",(INDEX(Subject!$A:$I,MATCH(RANDBETWEEN(1,(MAX(Subject!$B:$B))),Subject!$B:$B,0),3))))</f>
        <v/>
      </c>
      <c r="M159" s="2" t="str">
        <f t="array" ref="M159">IF(NOW()&gt;AX159,"",IF(AND((WEEKDAY($A159)+$B$2)&gt;1,((WEEKDAY($A159)+$T$2)&lt;7),(WEEKDAY($A159)&lt;&gt;1)),"work",(INDEX(Subject!$A:$I,MATCH(RANDBETWEEN(1,(MAX(Subject!$B:$B))),Subject!$B:$B,0),3))))</f>
        <v/>
      </c>
      <c r="N159" s="2" t="str">
        <f t="array" ref="N159">IF(NOW()&gt;AY159,"",IF(AND((WEEKDAY($A159)+$B$2)&gt;1,((WEEKDAY($A159)+$T$2)&lt;7),(WEEKDAY($A159)&lt;&gt;1)),"work",(INDEX(Subject!$A:$I,MATCH(RANDBETWEEN(1,(MAX(Subject!$B:$B))),Subject!$B:$B,0),3))))</f>
        <v/>
      </c>
      <c r="O159" s="2" t="str">
        <f t="array" ref="O159">IF(NOW()&gt;AZ159,"",IF(AND((WEEKDAY($A159)+$B$2)&gt;1,((WEEKDAY($A159)+$T$2)&lt;7),(WEEKDAY($A159)&lt;&gt;1)),"work",(INDEX(Subject!$A:$I,MATCH(RANDBETWEEN(1,(MAX(Subject!$B:$B))),Subject!$B:$B,0),3))))</f>
        <v/>
      </c>
      <c r="P159" s="2" t="str">
        <f t="array" ref="P159">IF(NOW()&gt;BA159,"",IF(AND((WEEKDAY($A159)+$B$2)&gt;1,((WEEKDAY($A159)+$T$2)&lt;7),(WEEKDAY($A159)&lt;&gt;1)),"work",(INDEX(Subject!$A:$I,MATCH(RANDBETWEEN(1,(MAX(Subject!$B:$B))),Subject!$B:$B,0),3))))</f>
        <v/>
      </c>
      <c r="Q159" s="2" t="str">
        <f t="array" ref="Q159">IF(NOW()&gt;BB159,"",IF(AND((WEEKDAY($A159)+$B$2)&gt;1,((WEEKDAY($A159)+$T$2)&lt;7),(WEEKDAY($A159)&lt;&gt;1)),"work",(INDEX(Subject!$A:$I,MATCH(RANDBETWEEN(1,(MAX(Subject!$B:$B))),Subject!$B:$B,0),3))))</f>
        <v/>
      </c>
      <c r="R159" s="2" t="str">
        <f t="array" ref="R159">IF(NOW()&gt;BC159,"",IF(AND((WEEKDAY($A159)+$B$2)&gt;1,((WEEKDAY($A159)+$T$2)&lt;7),(WEEKDAY($A159)&lt;&gt;1)),"work",(INDEX(Subject!$A:$I,MATCH(RANDBETWEEN(1,(MAX(Subject!$B:$B))),Subject!$B:$B,0),3))))</f>
        <v/>
      </c>
      <c r="S159" s="2" t="str">
        <f t="array" ref="S159">IF(NOW()&gt;BD159,"",IF(AND((WEEKDAY($A159)+$B$2)&gt;1,((WEEKDAY($A159)+$T$2)&lt;7),(WEEKDAY($A159)&lt;&gt;1)),"work",(INDEX(Subject!$A:$I,MATCH(RANDBETWEEN(1,(MAX(Subject!$B:$B))),Subject!$B:$B,0),3))))</f>
        <v/>
      </c>
      <c r="T159" s="2" t="str">
        <f t="array" ref="T159">IF(NOW()&gt;BE159,"",IF(AND((WEEKDAY($A159)+$B$2)&gt;1,((WEEKDAY($A159)+$T$2)&lt;7),(WEEKDAY($A159)&lt;&gt;1)),"work",(INDEX(Subject!$A:$I,MATCH(RANDBETWEEN(1,(MAX(Subject!$B:$B))),Subject!$B:$B,0),3))))</f>
        <v/>
      </c>
      <c r="U159" s="8" t="str">
        <f t="array" ref="U159">INDEX(Subject!$A:$I,MATCH(RANDBETWEEN(1,16),Subject!$B:$B,0),3)</f>
        <v>#N/A</v>
      </c>
      <c r="V159" s="8" t="str">
        <f t="array" ref="V159">INDEX(Subject!$A:$I,MATCH(RANDBETWEEN(1,16),Subject!$B:$B,0),3)</f>
        <v>#N/A</v>
      </c>
      <c r="W159" s="8" t="str">
        <f t="array" ref="W159">INDEX(Subject!$A:$I,MATCH(RANDBETWEEN(1,16),Subject!$B:$B,0),3)</f>
        <v>#N/A</v>
      </c>
      <c r="X159" s="8" t="str">
        <f t="array" ref="X159">INDEX(Subject!$A:$I,MATCH(RANDBETWEEN(1,16),Subject!$B:$B,0),3)</f>
        <v>#N/A</v>
      </c>
      <c r="Y159" s="8" t="str">
        <f t="array" ref="Y159">INDEX(Subject!$A:$I,MATCH(RANDBETWEEN(1,16),Subject!$B:$B,0),3)</f>
        <v>#N/A</v>
      </c>
      <c r="Z159" s="8" t="str">
        <f t="array" ref="Z159">INDEX(Subject!$A:$I,MATCH(RANDBETWEEN(1,16),Subject!$B:$B,0),3)</f>
        <v>#N/A</v>
      </c>
      <c r="AA159" s="8" t="str">
        <f t="array" ref="AA159">INDEX(Subject!$A:$I,MATCH(RANDBETWEEN(1,16),Subject!$B:$B,0),3)</f>
        <v>#N/A</v>
      </c>
      <c r="AB159" s="8" t="str">
        <f t="array" ref="AB159">INDEX(Subject!$A:$I,MATCH(RANDBETWEEN(1,16),Subject!$B:$B,0),3)</f>
        <v>#N/A</v>
      </c>
      <c r="AC159" s="8" t="str">
        <f t="array" ref="AC159">INDEX(Subject!$A:$I,MATCH(RANDBETWEEN(1,16),Subject!$B:$B,0),3)</f>
        <v>#N/A</v>
      </c>
      <c r="AD159" s="8" t="str">
        <f t="array" ref="AD159">INDEX(Subject!$A:$I,MATCH(RANDBETWEEN(1,16),Subject!$B:$B,0),3)</f>
        <v>#N/A</v>
      </c>
      <c r="AE159" s="8" t="str">
        <f t="array" ref="AE159">INDEX(Subject!$A:$I,MATCH(RANDBETWEEN(1,16),Subject!$B:$B,0),3)</f>
        <v>#N/A</v>
      </c>
      <c r="AF159" s="8" t="str">
        <f t="array" ref="AF159">INDEX(Subject!$A:$I,MATCH(RANDBETWEEN(1,16),Subject!$B:$B,0),3)</f>
        <v/>
      </c>
      <c r="AG159" s="8" t="str">
        <f t="array" ref="AG159">INDEX(Subject!$A:$I,MATCH(RANDBETWEEN(1,16),Subject!$B:$B,0),3)</f>
        <v/>
      </c>
      <c r="AH159" s="8" t="str">
        <f t="array" ref="AH159">INDEX(Subject!$A:$I,MATCH(RANDBETWEEN(1,16),Subject!$B:$B,0),3)</f>
        <v>#N/A</v>
      </c>
      <c r="AI159" s="8" t="str">
        <f t="array" ref="AI159">INDEX(Subject!$A:$I,MATCH(RANDBETWEEN(1,16),Subject!$B:$B,0),3)</f>
        <v>#N/A</v>
      </c>
      <c r="AJ159" s="8" t="str">
        <f t="array" ref="AJ159">INDEX(Subject!$A:$I,MATCH(RANDBETWEEN(1,16),Subject!$B:$B,0),3)</f>
        <v>#N/A</v>
      </c>
      <c r="AK159" s="8" t="str">
        <f t="array" ref="AK159">INDEX(Subject!$A:$I,MATCH(RANDBETWEEN(1,16),Subject!$B:$B,0),3)</f>
        <v>#N/A</v>
      </c>
      <c r="AL159" s="8" t="str">
        <f t="array" ref="AL159">INDEX(Subject!$A:$I,MATCH(RANDBETWEEN(1,16),Subject!$B:$B,0),3)</f>
        <v>#N/A</v>
      </c>
      <c r="AM159" s="18">
        <f t="shared" si="4"/>
        <v>45659.33333</v>
      </c>
      <c r="AN159" s="19">
        <f t="shared" ref="AN159:BZ159" si="159">$A159+C$1</f>
        <v>45659.35417</v>
      </c>
      <c r="AO159" s="19">
        <f t="shared" si="159"/>
        <v>45659.375</v>
      </c>
      <c r="AP159" s="19">
        <f t="shared" si="159"/>
        <v>45659.39583</v>
      </c>
      <c r="AQ159" s="19">
        <f t="shared" si="159"/>
        <v>45659.41667</v>
      </c>
      <c r="AR159" s="19">
        <f t="shared" si="159"/>
        <v>45659.4375</v>
      </c>
      <c r="AS159" s="19">
        <f t="shared" si="159"/>
        <v>45659.45833</v>
      </c>
      <c r="AT159" s="19">
        <f t="shared" si="159"/>
        <v>45659.47917</v>
      </c>
      <c r="AU159" s="19">
        <f t="shared" si="159"/>
        <v>45659.5</v>
      </c>
      <c r="AV159" s="19">
        <f t="shared" si="159"/>
        <v>45659.52083</v>
      </c>
      <c r="AW159" s="19">
        <f t="shared" si="159"/>
        <v>45659.54167</v>
      </c>
      <c r="AX159" s="19">
        <f t="shared" si="159"/>
        <v>45659.5625</v>
      </c>
      <c r="AY159" s="19">
        <f t="shared" si="159"/>
        <v>45659.58333</v>
      </c>
      <c r="AZ159" s="19">
        <f t="shared" si="159"/>
        <v>45659.60417</v>
      </c>
      <c r="BA159" s="19">
        <f t="shared" si="159"/>
        <v>45659.625</v>
      </c>
      <c r="BB159" s="19">
        <f t="shared" si="159"/>
        <v>45659.64583</v>
      </c>
      <c r="BC159" s="19">
        <f t="shared" si="159"/>
        <v>45659.66667</v>
      </c>
      <c r="BD159" s="19">
        <f t="shared" si="159"/>
        <v>45659.6875</v>
      </c>
      <c r="BE159" s="19">
        <f t="shared" si="159"/>
        <v>45659.70833</v>
      </c>
      <c r="BF159" s="19">
        <f t="shared" si="159"/>
        <v>45659.72917</v>
      </c>
      <c r="BG159" s="19">
        <f t="shared" si="159"/>
        <v>45659.75</v>
      </c>
      <c r="BH159" s="19">
        <f t="shared" si="159"/>
        <v>45659.77083</v>
      </c>
      <c r="BI159" s="19">
        <f t="shared" si="159"/>
        <v>45659.79167</v>
      </c>
      <c r="BJ159" s="19">
        <f t="shared" si="159"/>
        <v>45659.8125</v>
      </c>
      <c r="BK159" s="19">
        <f t="shared" si="159"/>
        <v>45659.83333</v>
      </c>
      <c r="BL159" s="19">
        <f t="shared" si="159"/>
        <v>45659.85417</v>
      </c>
      <c r="BM159" s="19">
        <f t="shared" si="159"/>
        <v>45659.875</v>
      </c>
      <c r="BN159" s="19">
        <f t="shared" si="159"/>
        <v>45659.89583</v>
      </c>
      <c r="BO159" s="19">
        <f t="shared" si="159"/>
        <v>45659.91667</v>
      </c>
      <c r="BP159" s="19">
        <f t="shared" si="159"/>
        <v>45659.9375</v>
      </c>
      <c r="BQ159" s="19">
        <f t="shared" si="159"/>
        <v>45659.95833</v>
      </c>
      <c r="BR159" s="19">
        <f t="shared" si="159"/>
        <v>45659.97917</v>
      </c>
      <c r="BS159" s="19">
        <f t="shared" si="159"/>
        <v>45660</v>
      </c>
      <c r="BT159" s="19">
        <f t="shared" si="159"/>
        <v>45660.02083</v>
      </c>
      <c r="BU159" s="19">
        <f t="shared" si="159"/>
        <v>45660.04167</v>
      </c>
      <c r="BV159" s="19">
        <f t="shared" si="159"/>
        <v>45660.0625</v>
      </c>
      <c r="BW159" s="19">
        <f t="shared" si="159"/>
        <v>45660.08333</v>
      </c>
      <c r="BX159" s="19">
        <f t="shared" si="159"/>
        <v>45659</v>
      </c>
      <c r="BY159" s="19">
        <f t="shared" si="159"/>
        <v>45659</v>
      </c>
      <c r="BZ159" s="19">
        <f t="shared" si="159"/>
        <v>45659</v>
      </c>
    </row>
    <row r="160" ht="14.25" customHeight="1">
      <c r="A160" s="17">
        <v>45660.0</v>
      </c>
      <c r="B160" s="2" t="str">
        <f t="array" ref="B160">IF(NOW()&gt;AM160,"",IF(AND((WEEKDAY($A160)+$B$2)&gt;1,((WEEKDAY($A160)+$T$2)&lt;7),(WEEKDAY($A160)&lt;&gt;1)),"work",(INDEX(Subject!$A:$I,MATCH(RANDBETWEEN(1,(MAX(Subject!$B:$B))),Subject!$B:$B,0),3))))</f>
        <v/>
      </c>
      <c r="C160" s="2" t="str">
        <f t="array" ref="C160">IF(NOW()&gt;AN160,"",IF(AND((WEEKDAY($A160)+$B$2)&gt;1,((WEEKDAY($A160)+$T$2)&lt;7),(WEEKDAY($A160)&lt;&gt;1)),"work",(INDEX(Subject!$A:$I,MATCH(RANDBETWEEN(1,(MAX(Subject!$B:$B))),Subject!$B:$B,0),3))))</f>
        <v/>
      </c>
      <c r="D160" s="2" t="str">
        <f t="array" ref="D160">IF(NOW()&gt;AO160,"",IF(AND((WEEKDAY($A160)+$B$2)&gt;1,((WEEKDAY($A160)+$T$2)&lt;7),(WEEKDAY($A160)&lt;&gt;1)),"work",(INDEX(Subject!$A:$I,MATCH(RANDBETWEEN(1,(MAX(Subject!$B:$B))),Subject!$B:$B,0),3))))</f>
        <v/>
      </c>
      <c r="E160" s="2" t="str">
        <f t="array" ref="E160">IF(NOW()&gt;AP160,"",IF(AND((WEEKDAY($A160)+$B$2)&gt;1,((WEEKDAY($A160)+$T$2)&lt;7),(WEEKDAY($A160)&lt;&gt;1)),"work",(INDEX(Subject!$A:$I,MATCH(RANDBETWEEN(1,(MAX(Subject!$B:$B))),Subject!$B:$B,0),3))))</f>
        <v/>
      </c>
      <c r="F160" s="2" t="str">
        <f t="array" ref="F160">IF(NOW()&gt;AQ160,"",IF(AND((WEEKDAY($A160)+$B$2)&gt;1,((WEEKDAY($A160)+$T$2)&lt;7),(WEEKDAY($A160)&lt;&gt;1)),"work",(INDEX(Subject!$A:$I,MATCH(RANDBETWEEN(1,(MAX(Subject!$B:$B))),Subject!$B:$B,0),3))))</f>
        <v/>
      </c>
      <c r="G160" s="2" t="str">
        <f t="array" ref="G160">IF(NOW()&gt;AR160,"",IF(AND((WEEKDAY($A160)+$B$2)&gt;1,((WEEKDAY($A160)+$T$2)&lt;7),(WEEKDAY($A160)&lt;&gt;1)),"work",(INDEX(Subject!$A:$I,MATCH(RANDBETWEEN(1,(MAX(Subject!$B:$B))),Subject!$B:$B,0),3))))</f>
        <v/>
      </c>
      <c r="H160" s="2" t="str">
        <f t="array" ref="H160">IF(NOW()&gt;AS160,"",IF(AND((WEEKDAY($A160)+$B$2)&gt;1,((WEEKDAY($A160)+$T$2)&lt;7),(WEEKDAY($A160)&lt;&gt;1)),"work",(INDEX(Subject!$A:$I,MATCH(RANDBETWEEN(1,(MAX(Subject!$B:$B))),Subject!$B:$B,0),3))))</f>
        <v/>
      </c>
      <c r="I160" s="2" t="str">
        <f t="array" ref="I160">IF(NOW()&gt;AT160,"",IF(AND((WEEKDAY($A160)+$B$2)&gt;1,((WEEKDAY($A160)+$T$2)&lt;7),(WEEKDAY($A160)&lt;&gt;1)),"work",(INDEX(Subject!$A:$I,MATCH(RANDBETWEEN(1,(MAX(Subject!$B:$B))),Subject!$B:$B,0),3))))</f>
        <v/>
      </c>
      <c r="J160" s="2" t="str">
        <f t="array" ref="J160">IF(NOW()&gt;AU160,"",IF(AND((WEEKDAY($A160)+$B$2)&gt;1,((WEEKDAY($A160)+$T$2)&lt;7),(WEEKDAY($A160)&lt;&gt;1)),"work",(INDEX(Subject!$A:$I,MATCH(RANDBETWEEN(1,(MAX(Subject!$B:$B))),Subject!$B:$B,0),3))))</f>
        <v/>
      </c>
      <c r="K160" s="2" t="str">
        <f t="array" ref="K160">IF(NOW()&gt;AV160,"",IF(AND((WEEKDAY($A160)+$B$2)&gt;1,((WEEKDAY($A160)+$T$2)&lt;7),(WEEKDAY($A160)&lt;&gt;1)),"work",(INDEX(Subject!$A:$I,MATCH(RANDBETWEEN(1,(MAX(Subject!$B:$B))),Subject!$B:$B,0),3))))</f>
        <v/>
      </c>
      <c r="L160" s="2" t="str">
        <f t="array" ref="L160">IF(NOW()&gt;AW160,"",IF(AND((WEEKDAY($A160)+$B$2)&gt;1,((WEEKDAY($A160)+$T$2)&lt;7),(WEEKDAY($A160)&lt;&gt;1)),"work",(INDEX(Subject!$A:$I,MATCH(RANDBETWEEN(1,(MAX(Subject!$B:$B))),Subject!$B:$B,0),3))))</f>
        <v/>
      </c>
      <c r="M160" s="2" t="str">
        <f t="array" ref="M160">IF(NOW()&gt;AX160,"",IF(AND((WEEKDAY($A160)+$B$2)&gt;1,((WEEKDAY($A160)+$T$2)&lt;7),(WEEKDAY($A160)&lt;&gt;1)),"work",(INDEX(Subject!$A:$I,MATCH(RANDBETWEEN(1,(MAX(Subject!$B:$B))),Subject!$B:$B,0),3))))</f>
        <v/>
      </c>
      <c r="N160" s="2" t="str">
        <f t="array" ref="N160">IF(NOW()&gt;AY160,"",IF(AND((WEEKDAY($A160)+$B$2)&gt;1,((WEEKDAY($A160)+$T$2)&lt;7),(WEEKDAY($A160)&lt;&gt;1)),"work",(INDEX(Subject!$A:$I,MATCH(RANDBETWEEN(1,(MAX(Subject!$B:$B))),Subject!$B:$B,0),3))))</f>
        <v/>
      </c>
      <c r="O160" s="2" t="str">
        <f t="array" ref="O160">IF(NOW()&gt;AZ160,"",IF(AND((WEEKDAY($A160)+$B$2)&gt;1,((WEEKDAY($A160)+$T$2)&lt;7),(WEEKDAY($A160)&lt;&gt;1)),"work",(INDEX(Subject!$A:$I,MATCH(RANDBETWEEN(1,(MAX(Subject!$B:$B))),Subject!$B:$B,0),3))))</f>
        <v/>
      </c>
      <c r="P160" s="2" t="str">
        <f t="array" ref="P160">IF(NOW()&gt;BA160,"",IF(AND((WEEKDAY($A160)+$B$2)&gt;1,((WEEKDAY($A160)+$T$2)&lt;7),(WEEKDAY($A160)&lt;&gt;1)),"work",(INDEX(Subject!$A:$I,MATCH(RANDBETWEEN(1,(MAX(Subject!$B:$B))),Subject!$B:$B,0),3))))</f>
        <v/>
      </c>
      <c r="Q160" s="2" t="str">
        <f t="array" ref="Q160">IF(NOW()&gt;BB160,"",IF(AND((WEEKDAY($A160)+$B$2)&gt;1,((WEEKDAY($A160)+$T$2)&lt;7),(WEEKDAY($A160)&lt;&gt;1)),"work",(INDEX(Subject!$A:$I,MATCH(RANDBETWEEN(1,(MAX(Subject!$B:$B))),Subject!$B:$B,0),3))))</f>
        <v/>
      </c>
      <c r="R160" s="2" t="str">
        <f t="array" ref="R160">IF(NOW()&gt;BC160,"",IF(AND((WEEKDAY($A160)+$B$2)&gt;1,((WEEKDAY($A160)+$T$2)&lt;7),(WEEKDAY($A160)&lt;&gt;1)),"work",(INDEX(Subject!$A:$I,MATCH(RANDBETWEEN(1,(MAX(Subject!$B:$B))),Subject!$B:$B,0),3))))</f>
        <v/>
      </c>
      <c r="S160" s="2" t="str">
        <f t="array" ref="S160">IF(NOW()&gt;BD160,"",IF(AND((WEEKDAY($A160)+$B$2)&gt;1,((WEEKDAY($A160)+$T$2)&lt;7),(WEEKDAY($A160)&lt;&gt;1)),"work",(INDEX(Subject!$A:$I,MATCH(RANDBETWEEN(1,(MAX(Subject!$B:$B))),Subject!$B:$B,0),3))))</f>
        <v/>
      </c>
      <c r="T160" s="2" t="str">
        <f t="array" ref="T160">IF(NOW()&gt;BE160,"",IF(AND((WEEKDAY($A160)+$B$2)&gt;1,((WEEKDAY($A160)+$T$2)&lt;7),(WEEKDAY($A160)&lt;&gt;1)),"work",(INDEX(Subject!$A:$I,MATCH(RANDBETWEEN(1,(MAX(Subject!$B:$B))),Subject!$B:$B,0),3))))</f>
        <v/>
      </c>
      <c r="U160" s="8" t="str">
        <f t="array" ref="U160">INDEX(Subject!$A:$I,MATCH(RANDBETWEEN(1,16),Subject!$B:$B,0),3)</f>
        <v>#N/A</v>
      </c>
      <c r="V160" s="8" t="str">
        <f t="array" ref="V160">INDEX(Subject!$A:$I,MATCH(RANDBETWEEN(1,16),Subject!$B:$B,0),3)</f>
        <v>#N/A</v>
      </c>
      <c r="W160" s="8" t="str">
        <f t="array" ref="W160">INDEX(Subject!$A:$I,MATCH(RANDBETWEEN(1,16),Subject!$B:$B,0),3)</f>
        <v>#N/A</v>
      </c>
      <c r="X160" s="8" t="str">
        <f t="array" ref="X160">INDEX(Subject!$A:$I,MATCH(RANDBETWEEN(1,16),Subject!$B:$B,0),3)</f>
        <v>#N/A</v>
      </c>
      <c r="Y160" s="8" t="str">
        <f t="array" ref="Y160">INDEX(Subject!$A:$I,MATCH(RANDBETWEEN(1,16),Subject!$B:$B,0),3)</f>
        <v/>
      </c>
      <c r="Z160" s="8" t="str">
        <f t="array" ref="Z160">INDEX(Subject!$A:$I,MATCH(RANDBETWEEN(1,16),Subject!$B:$B,0),3)</f>
        <v>#N/A</v>
      </c>
      <c r="AA160" s="8" t="str">
        <f t="array" ref="AA160">INDEX(Subject!$A:$I,MATCH(RANDBETWEEN(1,16),Subject!$B:$B,0),3)</f>
        <v>#N/A</v>
      </c>
      <c r="AB160" s="8" t="str">
        <f t="array" ref="AB160">INDEX(Subject!$A:$I,MATCH(RANDBETWEEN(1,16),Subject!$B:$B,0),3)</f>
        <v>#N/A</v>
      </c>
      <c r="AC160" s="8" t="str">
        <f t="array" ref="AC160">INDEX(Subject!$A:$I,MATCH(RANDBETWEEN(1,16),Subject!$B:$B,0),3)</f>
        <v>#N/A</v>
      </c>
      <c r="AD160" s="8" t="str">
        <f t="array" ref="AD160">INDEX(Subject!$A:$I,MATCH(RANDBETWEEN(1,16),Subject!$B:$B,0),3)</f>
        <v>#N/A</v>
      </c>
      <c r="AE160" s="8" t="str">
        <f t="array" ref="AE160">INDEX(Subject!$A:$I,MATCH(RANDBETWEEN(1,16),Subject!$B:$B,0),3)</f>
        <v>#N/A</v>
      </c>
      <c r="AF160" s="8" t="str">
        <f t="array" ref="AF160">INDEX(Subject!$A:$I,MATCH(RANDBETWEEN(1,16),Subject!$B:$B,0),3)</f>
        <v>#N/A</v>
      </c>
      <c r="AG160" s="8" t="str">
        <f t="array" ref="AG160">INDEX(Subject!$A:$I,MATCH(RANDBETWEEN(1,16),Subject!$B:$B,0),3)</f>
        <v>#N/A</v>
      </c>
      <c r="AH160" s="8" t="str">
        <f t="array" ref="AH160">INDEX(Subject!$A:$I,MATCH(RANDBETWEEN(1,16),Subject!$B:$B,0),3)</f>
        <v>#N/A</v>
      </c>
      <c r="AI160" s="8" t="str">
        <f t="array" ref="AI160">INDEX(Subject!$A:$I,MATCH(RANDBETWEEN(1,16),Subject!$B:$B,0),3)</f>
        <v>#N/A</v>
      </c>
      <c r="AJ160" s="8" t="str">
        <f t="array" ref="AJ160">INDEX(Subject!$A:$I,MATCH(RANDBETWEEN(1,16),Subject!$B:$B,0),3)</f>
        <v>#N/A</v>
      </c>
      <c r="AK160" s="8" t="str">
        <f t="array" ref="AK160">INDEX(Subject!$A:$I,MATCH(RANDBETWEEN(1,16),Subject!$B:$B,0),3)</f>
        <v>#N/A</v>
      </c>
      <c r="AL160" s="8" t="str">
        <f t="array" ref="AL160">INDEX(Subject!$A:$I,MATCH(RANDBETWEEN(1,16),Subject!$B:$B,0),3)</f>
        <v>#N/A</v>
      </c>
      <c r="AM160" s="18">
        <f t="shared" si="4"/>
        <v>45660.33333</v>
      </c>
      <c r="AN160" s="19">
        <f t="shared" ref="AN160:BZ160" si="160">$A160+C$1</f>
        <v>45660.35417</v>
      </c>
      <c r="AO160" s="19">
        <f t="shared" si="160"/>
        <v>45660.375</v>
      </c>
      <c r="AP160" s="19">
        <f t="shared" si="160"/>
        <v>45660.39583</v>
      </c>
      <c r="AQ160" s="19">
        <f t="shared" si="160"/>
        <v>45660.41667</v>
      </c>
      <c r="AR160" s="19">
        <f t="shared" si="160"/>
        <v>45660.4375</v>
      </c>
      <c r="AS160" s="19">
        <f t="shared" si="160"/>
        <v>45660.45833</v>
      </c>
      <c r="AT160" s="19">
        <f t="shared" si="160"/>
        <v>45660.47917</v>
      </c>
      <c r="AU160" s="19">
        <f t="shared" si="160"/>
        <v>45660.5</v>
      </c>
      <c r="AV160" s="19">
        <f t="shared" si="160"/>
        <v>45660.52083</v>
      </c>
      <c r="AW160" s="19">
        <f t="shared" si="160"/>
        <v>45660.54167</v>
      </c>
      <c r="AX160" s="19">
        <f t="shared" si="160"/>
        <v>45660.5625</v>
      </c>
      <c r="AY160" s="19">
        <f t="shared" si="160"/>
        <v>45660.58333</v>
      </c>
      <c r="AZ160" s="19">
        <f t="shared" si="160"/>
        <v>45660.60417</v>
      </c>
      <c r="BA160" s="19">
        <f t="shared" si="160"/>
        <v>45660.625</v>
      </c>
      <c r="BB160" s="19">
        <f t="shared" si="160"/>
        <v>45660.64583</v>
      </c>
      <c r="BC160" s="19">
        <f t="shared" si="160"/>
        <v>45660.66667</v>
      </c>
      <c r="BD160" s="19">
        <f t="shared" si="160"/>
        <v>45660.6875</v>
      </c>
      <c r="BE160" s="19">
        <f t="shared" si="160"/>
        <v>45660.70833</v>
      </c>
      <c r="BF160" s="19">
        <f t="shared" si="160"/>
        <v>45660.72917</v>
      </c>
      <c r="BG160" s="19">
        <f t="shared" si="160"/>
        <v>45660.75</v>
      </c>
      <c r="BH160" s="19">
        <f t="shared" si="160"/>
        <v>45660.77083</v>
      </c>
      <c r="BI160" s="19">
        <f t="shared" si="160"/>
        <v>45660.79167</v>
      </c>
      <c r="BJ160" s="19">
        <f t="shared" si="160"/>
        <v>45660.8125</v>
      </c>
      <c r="BK160" s="19">
        <f t="shared" si="160"/>
        <v>45660.83333</v>
      </c>
      <c r="BL160" s="19">
        <f t="shared" si="160"/>
        <v>45660.85417</v>
      </c>
      <c r="BM160" s="19">
        <f t="shared" si="160"/>
        <v>45660.875</v>
      </c>
      <c r="BN160" s="19">
        <f t="shared" si="160"/>
        <v>45660.89583</v>
      </c>
      <c r="BO160" s="19">
        <f t="shared" si="160"/>
        <v>45660.91667</v>
      </c>
      <c r="BP160" s="19">
        <f t="shared" si="160"/>
        <v>45660.9375</v>
      </c>
      <c r="BQ160" s="19">
        <f t="shared" si="160"/>
        <v>45660.95833</v>
      </c>
      <c r="BR160" s="19">
        <f t="shared" si="160"/>
        <v>45660.97917</v>
      </c>
      <c r="BS160" s="19">
        <f t="shared" si="160"/>
        <v>45661</v>
      </c>
      <c r="BT160" s="19">
        <f t="shared" si="160"/>
        <v>45661.02083</v>
      </c>
      <c r="BU160" s="19">
        <f t="shared" si="160"/>
        <v>45661.04167</v>
      </c>
      <c r="BV160" s="19">
        <f t="shared" si="160"/>
        <v>45661.0625</v>
      </c>
      <c r="BW160" s="19">
        <f t="shared" si="160"/>
        <v>45661.08333</v>
      </c>
      <c r="BX160" s="19">
        <f t="shared" si="160"/>
        <v>45660</v>
      </c>
      <c r="BY160" s="19">
        <f t="shared" si="160"/>
        <v>45660</v>
      </c>
      <c r="BZ160" s="19">
        <f t="shared" si="160"/>
        <v>45660</v>
      </c>
    </row>
    <row r="161" ht="14.25" customHeight="1">
      <c r="A161" s="17">
        <v>45661.0</v>
      </c>
      <c r="B161" s="2" t="str">
        <f t="array" ref="B161">IF(NOW()&gt;AM161,"",IF(AND((WEEKDAY($A161)+$B$2)&gt;1,((WEEKDAY($A161)+$T$2)&lt;7),(WEEKDAY($A161)&lt;&gt;1)),"work",(INDEX(Subject!$A:$I,MATCH(RANDBETWEEN(1,(MAX(Subject!$B:$B))),Subject!$B:$B,0),3))))</f>
        <v/>
      </c>
      <c r="C161" s="2" t="str">
        <f t="array" ref="C161">IF(NOW()&gt;AN161,"",IF(AND((WEEKDAY($A161)+$B$2)&gt;1,((WEEKDAY($A161)+$T$2)&lt;7),(WEEKDAY($A161)&lt;&gt;1)),"work",(INDEX(Subject!$A:$I,MATCH(RANDBETWEEN(1,(MAX(Subject!$B:$B))),Subject!$B:$B,0),3))))</f>
        <v/>
      </c>
      <c r="D161" s="2" t="str">
        <f t="array" ref="D161">IF(NOW()&gt;AO161,"",IF(AND((WEEKDAY($A161)+$B$2)&gt;1,((WEEKDAY($A161)+$T$2)&lt;7),(WEEKDAY($A161)&lt;&gt;1)),"work",(INDEX(Subject!$A:$I,MATCH(RANDBETWEEN(1,(MAX(Subject!$B:$B))),Subject!$B:$B,0),3))))</f>
        <v/>
      </c>
      <c r="E161" s="2" t="str">
        <f t="array" ref="E161">IF(NOW()&gt;AP161,"",IF(AND((WEEKDAY($A161)+$B$2)&gt;1,((WEEKDAY($A161)+$T$2)&lt;7),(WEEKDAY($A161)&lt;&gt;1)),"work",(INDEX(Subject!$A:$I,MATCH(RANDBETWEEN(1,(MAX(Subject!$B:$B))),Subject!$B:$B,0),3))))</f>
        <v/>
      </c>
      <c r="F161" s="2" t="str">
        <f t="array" ref="F161">IF(NOW()&gt;AQ161,"",IF(AND((WEEKDAY($A161)+$B$2)&gt;1,((WEEKDAY($A161)+$T$2)&lt;7),(WEEKDAY($A161)&lt;&gt;1)),"work",(INDEX(Subject!$A:$I,MATCH(RANDBETWEEN(1,(MAX(Subject!$B:$B))),Subject!$B:$B,0),3))))</f>
        <v/>
      </c>
      <c r="G161" s="2" t="str">
        <f t="array" ref="G161">IF(NOW()&gt;AR161,"",IF(AND((WEEKDAY($A161)+$B$2)&gt;1,((WEEKDAY($A161)+$T$2)&lt;7),(WEEKDAY($A161)&lt;&gt;1)),"work",(INDEX(Subject!$A:$I,MATCH(RANDBETWEEN(1,(MAX(Subject!$B:$B))),Subject!$B:$B,0),3))))</f>
        <v/>
      </c>
      <c r="H161" s="2" t="str">
        <f t="array" ref="H161">IF(NOW()&gt;AS161,"",IF(AND((WEEKDAY($A161)+$B$2)&gt;1,((WEEKDAY($A161)+$T$2)&lt;7),(WEEKDAY($A161)&lt;&gt;1)),"work",(INDEX(Subject!$A:$I,MATCH(RANDBETWEEN(1,(MAX(Subject!$B:$B))),Subject!$B:$B,0),3))))</f>
        <v/>
      </c>
      <c r="I161" s="2" t="str">
        <f t="array" ref="I161">IF(NOW()&gt;AT161,"",IF(AND((WEEKDAY($A161)+$B$2)&gt;1,((WEEKDAY($A161)+$T$2)&lt;7),(WEEKDAY($A161)&lt;&gt;1)),"work",(INDEX(Subject!$A:$I,MATCH(RANDBETWEEN(1,(MAX(Subject!$B:$B))),Subject!$B:$B,0),3))))</f>
        <v/>
      </c>
      <c r="J161" s="2" t="str">
        <f t="array" ref="J161">IF(NOW()&gt;AU161,"",IF(AND((WEEKDAY($A161)+$B$2)&gt;1,((WEEKDAY($A161)+$T$2)&lt;7),(WEEKDAY($A161)&lt;&gt;1)),"work",(INDEX(Subject!$A:$I,MATCH(RANDBETWEEN(1,(MAX(Subject!$B:$B))),Subject!$B:$B,0),3))))</f>
        <v/>
      </c>
      <c r="K161" s="2" t="str">
        <f t="array" ref="K161">IF(NOW()&gt;AV161,"",IF(AND((WEEKDAY($A161)+$B$2)&gt;1,((WEEKDAY($A161)+$T$2)&lt;7),(WEEKDAY($A161)&lt;&gt;1)),"work",(INDEX(Subject!$A:$I,MATCH(RANDBETWEEN(1,(MAX(Subject!$B:$B))),Subject!$B:$B,0),3))))</f>
        <v/>
      </c>
      <c r="L161" s="2" t="str">
        <f t="array" ref="L161">IF(NOW()&gt;AW161,"",IF(AND((WEEKDAY($A161)+$B$2)&gt;1,((WEEKDAY($A161)+$T$2)&lt;7),(WEEKDAY($A161)&lt;&gt;1)),"work",(INDEX(Subject!$A:$I,MATCH(RANDBETWEEN(1,(MAX(Subject!$B:$B))),Subject!$B:$B,0),3))))</f>
        <v/>
      </c>
      <c r="M161" s="2" t="str">
        <f t="array" ref="M161">IF(NOW()&gt;AX161,"",IF(AND((WEEKDAY($A161)+$B$2)&gt;1,((WEEKDAY($A161)+$T$2)&lt;7),(WEEKDAY($A161)&lt;&gt;1)),"work",(INDEX(Subject!$A:$I,MATCH(RANDBETWEEN(1,(MAX(Subject!$B:$B))),Subject!$B:$B,0),3))))</f>
        <v/>
      </c>
      <c r="N161" s="2" t="str">
        <f t="array" ref="N161">IF(NOW()&gt;AY161,"",IF(AND((WEEKDAY($A161)+$B$2)&gt;1,((WEEKDAY($A161)+$T$2)&lt;7),(WEEKDAY($A161)&lt;&gt;1)),"work",(INDEX(Subject!$A:$I,MATCH(RANDBETWEEN(1,(MAX(Subject!$B:$B))),Subject!$B:$B,0),3))))</f>
        <v/>
      </c>
      <c r="O161" s="2" t="str">
        <f t="array" ref="O161">IF(NOW()&gt;AZ161,"",IF(AND((WEEKDAY($A161)+$B$2)&gt;1,((WEEKDAY($A161)+$T$2)&lt;7),(WEEKDAY($A161)&lt;&gt;1)),"work",(INDEX(Subject!$A:$I,MATCH(RANDBETWEEN(1,(MAX(Subject!$B:$B))),Subject!$B:$B,0),3))))</f>
        <v/>
      </c>
      <c r="P161" s="2" t="str">
        <f t="array" ref="P161">IF(NOW()&gt;BA161,"",IF(AND((WEEKDAY($A161)+$B$2)&gt;1,((WEEKDAY($A161)+$T$2)&lt;7),(WEEKDAY($A161)&lt;&gt;1)),"work",(INDEX(Subject!$A:$I,MATCH(RANDBETWEEN(1,(MAX(Subject!$B:$B))),Subject!$B:$B,0),3))))</f>
        <v/>
      </c>
      <c r="Q161" s="2" t="str">
        <f t="array" ref="Q161">IF(NOW()&gt;BB161,"",IF(AND((WEEKDAY($A161)+$B$2)&gt;1,((WEEKDAY($A161)+$T$2)&lt;7),(WEEKDAY($A161)&lt;&gt;1)),"work",(INDEX(Subject!$A:$I,MATCH(RANDBETWEEN(1,(MAX(Subject!$B:$B))),Subject!$B:$B,0),3))))</f>
        <v/>
      </c>
      <c r="R161" s="2" t="str">
        <f t="array" ref="R161">IF(NOW()&gt;BC161,"",IF(AND((WEEKDAY($A161)+$B$2)&gt;1,((WEEKDAY($A161)+$T$2)&lt;7),(WEEKDAY($A161)&lt;&gt;1)),"work",(INDEX(Subject!$A:$I,MATCH(RANDBETWEEN(1,(MAX(Subject!$B:$B))),Subject!$B:$B,0),3))))</f>
        <v/>
      </c>
      <c r="S161" s="2" t="str">
        <f t="array" ref="S161">IF(NOW()&gt;BD161,"",IF(AND((WEEKDAY($A161)+$B$2)&gt;1,((WEEKDAY($A161)+$T$2)&lt;7),(WEEKDAY($A161)&lt;&gt;1)),"work",(INDEX(Subject!$A:$I,MATCH(RANDBETWEEN(1,(MAX(Subject!$B:$B))),Subject!$B:$B,0),3))))</f>
        <v/>
      </c>
      <c r="T161" s="2" t="str">
        <f t="array" ref="T161">IF(NOW()&gt;BE161,"",IF(AND((WEEKDAY($A161)+$B$2)&gt;1,((WEEKDAY($A161)+$T$2)&lt;7),(WEEKDAY($A161)&lt;&gt;1)),"work",(INDEX(Subject!$A:$I,MATCH(RANDBETWEEN(1,(MAX(Subject!$B:$B))),Subject!$B:$B,0),3))))</f>
        <v/>
      </c>
      <c r="U161" s="8" t="str">
        <f t="array" ref="U161">INDEX(Subject!$A:$I,MATCH(RANDBETWEEN(1,16),Subject!$B:$B,0),3)</f>
        <v>#N/A</v>
      </c>
      <c r="V161" s="8" t="str">
        <f t="array" ref="V161">INDEX(Subject!$A:$I,MATCH(RANDBETWEEN(1,16),Subject!$B:$B,0),3)</f>
        <v>#N/A</v>
      </c>
      <c r="W161" s="8" t="str">
        <f t="array" ref="W161">INDEX(Subject!$A:$I,MATCH(RANDBETWEEN(1,16),Subject!$B:$B,0),3)</f>
        <v>#N/A</v>
      </c>
      <c r="X161" s="8" t="str">
        <f t="array" ref="X161">INDEX(Subject!$A:$I,MATCH(RANDBETWEEN(1,16),Subject!$B:$B,0),3)</f>
        <v>#N/A</v>
      </c>
      <c r="Y161" s="8" t="str">
        <f t="array" ref="Y161">INDEX(Subject!$A:$I,MATCH(RANDBETWEEN(1,16),Subject!$B:$B,0),3)</f>
        <v>#N/A</v>
      </c>
      <c r="Z161" s="8" t="str">
        <f t="array" ref="Z161">INDEX(Subject!$A:$I,MATCH(RANDBETWEEN(1,16),Subject!$B:$B,0),3)</f>
        <v>#N/A</v>
      </c>
      <c r="AA161" s="8" t="str">
        <f t="array" ref="AA161">INDEX(Subject!$A:$I,MATCH(RANDBETWEEN(1,16),Subject!$B:$B,0),3)</f>
        <v>#N/A</v>
      </c>
      <c r="AB161" s="8" t="str">
        <f t="array" ref="AB161">INDEX(Subject!$A:$I,MATCH(RANDBETWEEN(1,16),Subject!$B:$B,0),3)</f>
        <v>#N/A</v>
      </c>
      <c r="AC161" s="8" t="str">
        <f t="array" ref="AC161">INDEX(Subject!$A:$I,MATCH(RANDBETWEEN(1,16),Subject!$B:$B,0),3)</f>
        <v/>
      </c>
      <c r="AD161" s="8" t="str">
        <f t="array" ref="AD161">INDEX(Subject!$A:$I,MATCH(RANDBETWEEN(1,16),Subject!$B:$B,0),3)</f>
        <v>#N/A</v>
      </c>
      <c r="AE161" s="8" t="str">
        <f t="array" ref="AE161">INDEX(Subject!$A:$I,MATCH(RANDBETWEEN(1,16),Subject!$B:$B,0),3)</f>
        <v>#N/A</v>
      </c>
      <c r="AF161" s="8" t="str">
        <f t="array" ref="AF161">INDEX(Subject!$A:$I,MATCH(RANDBETWEEN(1,16),Subject!$B:$B,0),3)</f>
        <v>#N/A</v>
      </c>
      <c r="AG161" s="8" t="str">
        <f t="array" ref="AG161">INDEX(Subject!$A:$I,MATCH(RANDBETWEEN(1,16),Subject!$B:$B,0),3)</f>
        <v>#N/A</v>
      </c>
      <c r="AH161" s="8" t="str">
        <f t="array" ref="AH161">INDEX(Subject!$A:$I,MATCH(RANDBETWEEN(1,16),Subject!$B:$B,0),3)</f>
        <v>#N/A</v>
      </c>
      <c r="AI161" s="8" t="str">
        <f t="array" ref="AI161">INDEX(Subject!$A:$I,MATCH(RANDBETWEEN(1,16),Subject!$B:$B,0),3)</f>
        <v>#N/A</v>
      </c>
      <c r="AJ161" s="8" t="str">
        <f t="array" ref="AJ161">INDEX(Subject!$A:$I,MATCH(RANDBETWEEN(1,16),Subject!$B:$B,0),3)</f>
        <v>#N/A</v>
      </c>
      <c r="AK161" s="8" t="str">
        <f t="array" ref="AK161">INDEX(Subject!$A:$I,MATCH(RANDBETWEEN(1,16),Subject!$B:$B,0),3)</f>
        <v>#N/A</v>
      </c>
      <c r="AL161" s="8" t="str">
        <f t="array" ref="AL161">INDEX(Subject!$A:$I,MATCH(RANDBETWEEN(1,16),Subject!$B:$B,0),3)</f>
        <v>#N/A</v>
      </c>
      <c r="AM161" s="18">
        <f t="shared" si="4"/>
        <v>45661.33333</v>
      </c>
      <c r="AN161" s="19">
        <f t="shared" ref="AN161:BZ161" si="161">$A161+C$1</f>
        <v>45661.35417</v>
      </c>
      <c r="AO161" s="19">
        <f t="shared" si="161"/>
        <v>45661.375</v>
      </c>
      <c r="AP161" s="19">
        <f t="shared" si="161"/>
        <v>45661.39583</v>
      </c>
      <c r="AQ161" s="19">
        <f t="shared" si="161"/>
        <v>45661.41667</v>
      </c>
      <c r="AR161" s="19">
        <f t="shared" si="161"/>
        <v>45661.4375</v>
      </c>
      <c r="AS161" s="19">
        <f t="shared" si="161"/>
        <v>45661.45833</v>
      </c>
      <c r="AT161" s="19">
        <f t="shared" si="161"/>
        <v>45661.47917</v>
      </c>
      <c r="AU161" s="19">
        <f t="shared" si="161"/>
        <v>45661.5</v>
      </c>
      <c r="AV161" s="19">
        <f t="shared" si="161"/>
        <v>45661.52083</v>
      </c>
      <c r="AW161" s="19">
        <f t="shared" si="161"/>
        <v>45661.54167</v>
      </c>
      <c r="AX161" s="19">
        <f t="shared" si="161"/>
        <v>45661.5625</v>
      </c>
      <c r="AY161" s="19">
        <f t="shared" si="161"/>
        <v>45661.58333</v>
      </c>
      <c r="AZ161" s="19">
        <f t="shared" si="161"/>
        <v>45661.60417</v>
      </c>
      <c r="BA161" s="19">
        <f t="shared" si="161"/>
        <v>45661.625</v>
      </c>
      <c r="BB161" s="19">
        <f t="shared" si="161"/>
        <v>45661.64583</v>
      </c>
      <c r="BC161" s="19">
        <f t="shared" si="161"/>
        <v>45661.66667</v>
      </c>
      <c r="BD161" s="19">
        <f t="shared" si="161"/>
        <v>45661.6875</v>
      </c>
      <c r="BE161" s="19">
        <f t="shared" si="161"/>
        <v>45661.70833</v>
      </c>
      <c r="BF161" s="19">
        <f t="shared" si="161"/>
        <v>45661.72917</v>
      </c>
      <c r="BG161" s="19">
        <f t="shared" si="161"/>
        <v>45661.75</v>
      </c>
      <c r="BH161" s="19">
        <f t="shared" si="161"/>
        <v>45661.77083</v>
      </c>
      <c r="BI161" s="19">
        <f t="shared" si="161"/>
        <v>45661.79167</v>
      </c>
      <c r="BJ161" s="19">
        <f t="shared" si="161"/>
        <v>45661.8125</v>
      </c>
      <c r="BK161" s="19">
        <f t="shared" si="161"/>
        <v>45661.83333</v>
      </c>
      <c r="BL161" s="19">
        <f t="shared" si="161"/>
        <v>45661.85417</v>
      </c>
      <c r="BM161" s="19">
        <f t="shared" si="161"/>
        <v>45661.875</v>
      </c>
      <c r="BN161" s="19">
        <f t="shared" si="161"/>
        <v>45661.89583</v>
      </c>
      <c r="BO161" s="19">
        <f t="shared" si="161"/>
        <v>45661.91667</v>
      </c>
      <c r="BP161" s="19">
        <f t="shared" si="161"/>
        <v>45661.9375</v>
      </c>
      <c r="BQ161" s="19">
        <f t="shared" si="161"/>
        <v>45661.95833</v>
      </c>
      <c r="BR161" s="19">
        <f t="shared" si="161"/>
        <v>45661.97917</v>
      </c>
      <c r="BS161" s="19">
        <f t="shared" si="161"/>
        <v>45662</v>
      </c>
      <c r="BT161" s="19">
        <f t="shared" si="161"/>
        <v>45662.02083</v>
      </c>
      <c r="BU161" s="19">
        <f t="shared" si="161"/>
        <v>45662.04167</v>
      </c>
      <c r="BV161" s="19">
        <f t="shared" si="161"/>
        <v>45662.0625</v>
      </c>
      <c r="BW161" s="19">
        <f t="shared" si="161"/>
        <v>45662.08333</v>
      </c>
      <c r="BX161" s="19">
        <f t="shared" si="161"/>
        <v>45661</v>
      </c>
      <c r="BY161" s="19">
        <f t="shared" si="161"/>
        <v>45661</v>
      </c>
      <c r="BZ161" s="19">
        <f t="shared" si="161"/>
        <v>45661</v>
      </c>
    </row>
    <row r="162" ht="14.25" customHeight="1">
      <c r="A162" s="17">
        <v>45662.0</v>
      </c>
      <c r="B162" s="2" t="str">
        <f t="array" ref="B162">IF(NOW()&gt;AM162,"",IF(AND((WEEKDAY($A162)+$B$2)&gt;1,((WEEKDAY($A162)+$T$2)&lt;7),(WEEKDAY($A162)&lt;&gt;1)),"work",(INDEX(Subject!$A:$I,MATCH(RANDBETWEEN(1,(MAX(Subject!$B:$B))),Subject!$B:$B,0),3))))</f>
        <v/>
      </c>
      <c r="C162" s="2" t="str">
        <f t="array" ref="C162">IF(NOW()&gt;AN162,"",IF(AND((WEEKDAY($A162)+$B$2)&gt;1,((WEEKDAY($A162)+$T$2)&lt;7),(WEEKDAY($A162)&lt;&gt;1)),"work",(INDEX(Subject!$A:$I,MATCH(RANDBETWEEN(1,(MAX(Subject!$B:$B))),Subject!$B:$B,0),3))))</f>
        <v/>
      </c>
      <c r="D162" s="2" t="str">
        <f t="array" ref="D162">IF(NOW()&gt;AO162,"",IF(AND((WEEKDAY($A162)+$B$2)&gt;1,((WEEKDAY($A162)+$T$2)&lt;7),(WEEKDAY($A162)&lt;&gt;1)),"work",(INDEX(Subject!$A:$I,MATCH(RANDBETWEEN(1,(MAX(Subject!$B:$B))),Subject!$B:$B,0),3))))</f>
        <v/>
      </c>
      <c r="E162" s="2" t="str">
        <f t="array" ref="E162">IF(NOW()&gt;AP162,"",IF(AND((WEEKDAY($A162)+$B$2)&gt;1,((WEEKDAY($A162)+$T$2)&lt;7),(WEEKDAY($A162)&lt;&gt;1)),"work",(INDEX(Subject!$A:$I,MATCH(RANDBETWEEN(1,(MAX(Subject!$B:$B))),Subject!$B:$B,0),3))))</f>
        <v/>
      </c>
      <c r="F162" s="2" t="str">
        <f t="array" ref="F162">IF(NOW()&gt;AQ162,"",IF(AND((WEEKDAY($A162)+$B$2)&gt;1,((WEEKDAY($A162)+$T$2)&lt;7),(WEEKDAY($A162)&lt;&gt;1)),"work",(INDEX(Subject!$A:$I,MATCH(RANDBETWEEN(1,(MAX(Subject!$B:$B))),Subject!$B:$B,0),3))))</f>
        <v/>
      </c>
      <c r="G162" s="2" t="str">
        <f t="array" ref="G162">IF(NOW()&gt;AR162,"",IF(AND((WEEKDAY($A162)+$B$2)&gt;1,((WEEKDAY($A162)+$T$2)&lt;7),(WEEKDAY($A162)&lt;&gt;1)),"work",(INDEX(Subject!$A:$I,MATCH(RANDBETWEEN(1,(MAX(Subject!$B:$B))),Subject!$B:$B,0),3))))</f>
        <v/>
      </c>
      <c r="H162" s="2" t="str">
        <f t="array" ref="H162">IF(NOW()&gt;AS162,"",IF(AND((WEEKDAY($A162)+$B$2)&gt;1,((WEEKDAY($A162)+$T$2)&lt;7),(WEEKDAY($A162)&lt;&gt;1)),"work",(INDEX(Subject!$A:$I,MATCH(RANDBETWEEN(1,(MAX(Subject!$B:$B))),Subject!$B:$B,0),3))))</f>
        <v/>
      </c>
      <c r="I162" s="2" t="str">
        <f t="array" ref="I162">IF(NOW()&gt;AT162,"",IF(AND((WEEKDAY($A162)+$B$2)&gt;1,((WEEKDAY($A162)+$T$2)&lt;7),(WEEKDAY($A162)&lt;&gt;1)),"work",(INDEX(Subject!$A:$I,MATCH(RANDBETWEEN(1,(MAX(Subject!$B:$B))),Subject!$B:$B,0),3))))</f>
        <v/>
      </c>
      <c r="J162" s="2" t="str">
        <f t="array" ref="J162">IF(NOW()&gt;AU162,"",IF(AND((WEEKDAY($A162)+$B$2)&gt;1,((WEEKDAY($A162)+$T$2)&lt;7),(WEEKDAY($A162)&lt;&gt;1)),"work",(INDEX(Subject!$A:$I,MATCH(RANDBETWEEN(1,(MAX(Subject!$B:$B))),Subject!$B:$B,0),3))))</f>
        <v/>
      </c>
      <c r="K162" s="2" t="str">
        <f t="array" ref="K162">IF(NOW()&gt;AV162,"",IF(AND((WEEKDAY($A162)+$B$2)&gt;1,((WEEKDAY($A162)+$T$2)&lt;7),(WEEKDAY($A162)&lt;&gt;1)),"work",(INDEX(Subject!$A:$I,MATCH(RANDBETWEEN(1,(MAX(Subject!$B:$B))),Subject!$B:$B,0),3))))</f>
        <v/>
      </c>
      <c r="L162" s="2" t="str">
        <f t="array" ref="L162">IF(NOW()&gt;AW162,"",IF(AND((WEEKDAY($A162)+$B$2)&gt;1,((WEEKDAY($A162)+$T$2)&lt;7),(WEEKDAY($A162)&lt;&gt;1)),"work",(INDEX(Subject!$A:$I,MATCH(RANDBETWEEN(1,(MAX(Subject!$B:$B))),Subject!$B:$B,0),3))))</f>
        <v/>
      </c>
      <c r="M162" s="2" t="str">
        <f t="array" ref="M162">IF(NOW()&gt;AX162,"",IF(AND((WEEKDAY($A162)+$B$2)&gt;1,((WEEKDAY($A162)+$T$2)&lt;7),(WEEKDAY($A162)&lt;&gt;1)),"work",(INDEX(Subject!$A:$I,MATCH(RANDBETWEEN(1,(MAX(Subject!$B:$B))),Subject!$B:$B,0),3))))</f>
        <v/>
      </c>
      <c r="N162" s="2" t="str">
        <f t="array" ref="N162">IF(NOW()&gt;AY162,"",IF(AND((WEEKDAY($A162)+$B$2)&gt;1,((WEEKDAY($A162)+$T$2)&lt;7),(WEEKDAY($A162)&lt;&gt;1)),"work",(INDEX(Subject!$A:$I,MATCH(RANDBETWEEN(1,(MAX(Subject!$B:$B))),Subject!$B:$B,0),3))))</f>
        <v/>
      </c>
      <c r="O162" s="2" t="str">
        <f t="array" ref="O162">IF(NOW()&gt;AZ162,"",IF(AND((WEEKDAY($A162)+$B$2)&gt;1,((WEEKDAY($A162)+$T$2)&lt;7),(WEEKDAY($A162)&lt;&gt;1)),"work",(INDEX(Subject!$A:$I,MATCH(RANDBETWEEN(1,(MAX(Subject!$B:$B))),Subject!$B:$B,0),3))))</f>
        <v/>
      </c>
      <c r="P162" s="2" t="str">
        <f t="array" ref="P162">IF(NOW()&gt;BA162,"",IF(AND((WEEKDAY($A162)+$B$2)&gt;1,((WEEKDAY($A162)+$T$2)&lt;7),(WEEKDAY($A162)&lt;&gt;1)),"work",(INDEX(Subject!$A:$I,MATCH(RANDBETWEEN(1,(MAX(Subject!$B:$B))),Subject!$B:$B,0),3))))</f>
        <v/>
      </c>
      <c r="Q162" s="2" t="str">
        <f t="array" ref="Q162">IF(NOW()&gt;BB162,"",IF(AND((WEEKDAY($A162)+$B$2)&gt;1,((WEEKDAY($A162)+$T$2)&lt;7),(WEEKDAY($A162)&lt;&gt;1)),"work",(INDEX(Subject!$A:$I,MATCH(RANDBETWEEN(1,(MAX(Subject!$B:$B))),Subject!$B:$B,0),3))))</f>
        <v/>
      </c>
      <c r="R162" s="2" t="str">
        <f t="array" ref="R162">IF(NOW()&gt;BC162,"",IF(AND((WEEKDAY($A162)+$B$2)&gt;1,((WEEKDAY($A162)+$T$2)&lt;7),(WEEKDAY($A162)&lt;&gt;1)),"work",(INDEX(Subject!$A:$I,MATCH(RANDBETWEEN(1,(MAX(Subject!$B:$B))),Subject!$B:$B,0),3))))</f>
        <v/>
      </c>
      <c r="S162" s="2" t="str">
        <f t="array" ref="S162">IF(NOW()&gt;BD162,"",IF(AND((WEEKDAY($A162)+$B$2)&gt;1,((WEEKDAY($A162)+$T$2)&lt;7),(WEEKDAY($A162)&lt;&gt;1)),"work",(INDEX(Subject!$A:$I,MATCH(RANDBETWEEN(1,(MAX(Subject!$B:$B))),Subject!$B:$B,0),3))))</f>
        <v/>
      </c>
      <c r="T162" s="2" t="str">
        <f t="array" ref="T162">IF(NOW()&gt;BE162,"",IF(AND((WEEKDAY($A162)+$B$2)&gt;1,((WEEKDAY($A162)+$T$2)&lt;7),(WEEKDAY($A162)&lt;&gt;1)),"work",(INDEX(Subject!$A:$I,MATCH(RANDBETWEEN(1,(MAX(Subject!$B:$B))),Subject!$B:$B,0),3))))</f>
        <v/>
      </c>
      <c r="U162" s="8" t="str">
        <f t="array" ref="U162">INDEX(Subject!$A:$I,MATCH(RANDBETWEEN(1,16),Subject!$B:$B,0),3)</f>
        <v>#N/A</v>
      </c>
      <c r="V162" s="8" t="str">
        <f t="array" ref="V162">INDEX(Subject!$A:$I,MATCH(RANDBETWEEN(1,16),Subject!$B:$B,0),3)</f>
        <v>#N/A</v>
      </c>
      <c r="W162" s="8" t="str">
        <f t="array" ref="W162">INDEX(Subject!$A:$I,MATCH(RANDBETWEEN(1,16),Subject!$B:$B,0),3)</f>
        <v>#N/A</v>
      </c>
      <c r="X162" s="8" t="str">
        <f t="array" ref="X162">INDEX(Subject!$A:$I,MATCH(RANDBETWEEN(1,16),Subject!$B:$B,0),3)</f>
        <v>#N/A</v>
      </c>
      <c r="Y162" s="8" t="str">
        <f t="array" ref="Y162">INDEX(Subject!$A:$I,MATCH(RANDBETWEEN(1,16),Subject!$B:$B,0),3)</f>
        <v>#N/A</v>
      </c>
      <c r="Z162" s="8" t="str">
        <f t="array" ref="Z162">INDEX(Subject!$A:$I,MATCH(RANDBETWEEN(1,16),Subject!$B:$B,0),3)</f>
        <v>#N/A</v>
      </c>
      <c r="AA162" s="8" t="str">
        <f t="array" ref="AA162">INDEX(Subject!$A:$I,MATCH(RANDBETWEEN(1,16),Subject!$B:$B,0),3)</f>
        <v>#N/A</v>
      </c>
      <c r="AB162" s="8" t="str">
        <f t="array" ref="AB162">INDEX(Subject!$A:$I,MATCH(RANDBETWEEN(1,16),Subject!$B:$B,0),3)</f>
        <v>#N/A</v>
      </c>
      <c r="AC162" s="8" t="str">
        <f t="array" ref="AC162">INDEX(Subject!$A:$I,MATCH(RANDBETWEEN(1,16),Subject!$B:$B,0),3)</f>
        <v>#N/A</v>
      </c>
      <c r="AD162" s="8" t="str">
        <f t="array" ref="AD162">INDEX(Subject!$A:$I,MATCH(RANDBETWEEN(1,16),Subject!$B:$B,0),3)</f>
        <v>#N/A</v>
      </c>
      <c r="AE162" s="8" t="str">
        <f t="array" ref="AE162">INDEX(Subject!$A:$I,MATCH(RANDBETWEEN(1,16),Subject!$B:$B,0),3)</f>
        <v>#N/A</v>
      </c>
      <c r="AF162" s="8" t="str">
        <f t="array" ref="AF162">INDEX(Subject!$A:$I,MATCH(RANDBETWEEN(1,16),Subject!$B:$B,0),3)</f>
        <v>#N/A</v>
      </c>
      <c r="AG162" s="8" t="str">
        <f t="array" ref="AG162">INDEX(Subject!$A:$I,MATCH(RANDBETWEEN(1,16),Subject!$B:$B,0),3)</f>
        <v>#N/A</v>
      </c>
      <c r="AH162" s="8" t="str">
        <f t="array" ref="AH162">INDEX(Subject!$A:$I,MATCH(RANDBETWEEN(1,16),Subject!$B:$B,0),3)</f>
        <v>#N/A</v>
      </c>
      <c r="AI162" s="8" t="str">
        <f t="array" ref="AI162">INDEX(Subject!$A:$I,MATCH(RANDBETWEEN(1,16),Subject!$B:$B,0),3)</f>
        <v>#N/A</v>
      </c>
      <c r="AJ162" s="8" t="str">
        <f t="array" ref="AJ162">INDEX(Subject!$A:$I,MATCH(RANDBETWEEN(1,16),Subject!$B:$B,0),3)</f>
        <v/>
      </c>
      <c r="AK162" s="8" t="str">
        <f t="array" ref="AK162">INDEX(Subject!$A:$I,MATCH(RANDBETWEEN(1,16),Subject!$B:$B,0),3)</f>
        <v>#N/A</v>
      </c>
      <c r="AL162" s="8" t="str">
        <f t="array" ref="AL162">INDEX(Subject!$A:$I,MATCH(RANDBETWEEN(1,16),Subject!$B:$B,0),3)</f>
        <v>#N/A</v>
      </c>
      <c r="AM162" s="18">
        <f t="shared" si="4"/>
        <v>45662.33333</v>
      </c>
      <c r="AN162" s="19">
        <f t="shared" ref="AN162:BZ162" si="162">$A162+C$1</f>
        <v>45662.35417</v>
      </c>
      <c r="AO162" s="19">
        <f t="shared" si="162"/>
        <v>45662.375</v>
      </c>
      <c r="AP162" s="19">
        <f t="shared" si="162"/>
        <v>45662.39583</v>
      </c>
      <c r="AQ162" s="19">
        <f t="shared" si="162"/>
        <v>45662.41667</v>
      </c>
      <c r="AR162" s="19">
        <f t="shared" si="162"/>
        <v>45662.4375</v>
      </c>
      <c r="AS162" s="19">
        <f t="shared" si="162"/>
        <v>45662.45833</v>
      </c>
      <c r="AT162" s="19">
        <f t="shared" si="162"/>
        <v>45662.47917</v>
      </c>
      <c r="AU162" s="19">
        <f t="shared" si="162"/>
        <v>45662.5</v>
      </c>
      <c r="AV162" s="19">
        <f t="shared" si="162"/>
        <v>45662.52083</v>
      </c>
      <c r="AW162" s="19">
        <f t="shared" si="162"/>
        <v>45662.54167</v>
      </c>
      <c r="AX162" s="19">
        <f t="shared" si="162"/>
        <v>45662.5625</v>
      </c>
      <c r="AY162" s="19">
        <f t="shared" si="162"/>
        <v>45662.58333</v>
      </c>
      <c r="AZ162" s="19">
        <f t="shared" si="162"/>
        <v>45662.60417</v>
      </c>
      <c r="BA162" s="19">
        <f t="shared" si="162"/>
        <v>45662.625</v>
      </c>
      <c r="BB162" s="19">
        <f t="shared" si="162"/>
        <v>45662.64583</v>
      </c>
      <c r="BC162" s="19">
        <f t="shared" si="162"/>
        <v>45662.66667</v>
      </c>
      <c r="BD162" s="19">
        <f t="shared" si="162"/>
        <v>45662.6875</v>
      </c>
      <c r="BE162" s="19">
        <f t="shared" si="162"/>
        <v>45662.70833</v>
      </c>
      <c r="BF162" s="19">
        <f t="shared" si="162"/>
        <v>45662.72917</v>
      </c>
      <c r="BG162" s="19">
        <f t="shared" si="162"/>
        <v>45662.75</v>
      </c>
      <c r="BH162" s="19">
        <f t="shared" si="162"/>
        <v>45662.77083</v>
      </c>
      <c r="BI162" s="19">
        <f t="shared" si="162"/>
        <v>45662.79167</v>
      </c>
      <c r="BJ162" s="19">
        <f t="shared" si="162"/>
        <v>45662.8125</v>
      </c>
      <c r="BK162" s="19">
        <f t="shared" si="162"/>
        <v>45662.83333</v>
      </c>
      <c r="BL162" s="19">
        <f t="shared" si="162"/>
        <v>45662.85417</v>
      </c>
      <c r="BM162" s="19">
        <f t="shared" si="162"/>
        <v>45662.875</v>
      </c>
      <c r="BN162" s="19">
        <f t="shared" si="162"/>
        <v>45662.89583</v>
      </c>
      <c r="BO162" s="19">
        <f t="shared" si="162"/>
        <v>45662.91667</v>
      </c>
      <c r="BP162" s="19">
        <f t="shared" si="162"/>
        <v>45662.9375</v>
      </c>
      <c r="BQ162" s="19">
        <f t="shared" si="162"/>
        <v>45662.95833</v>
      </c>
      <c r="BR162" s="19">
        <f t="shared" si="162"/>
        <v>45662.97917</v>
      </c>
      <c r="BS162" s="19">
        <f t="shared" si="162"/>
        <v>45663</v>
      </c>
      <c r="BT162" s="19">
        <f t="shared" si="162"/>
        <v>45663.02083</v>
      </c>
      <c r="BU162" s="19">
        <f t="shared" si="162"/>
        <v>45663.04167</v>
      </c>
      <c r="BV162" s="19">
        <f t="shared" si="162"/>
        <v>45663.0625</v>
      </c>
      <c r="BW162" s="19">
        <f t="shared" si="162"/>
        <v>45663.08333</v>
      </c>
      <c r="BX162" s="19">
        <f t="shared" si="162"/>
        <v>45662</v>
      </c>
      <c r="BY162" s="19">
        <f t="shared" si="162"/>
        <v>45662</v>
      </c>
      <c r="BZ162" s="19">
        <f t="shared" si="162"/>
        <v>45662</v>
      </c>
    </row>
    <row r="163" ht="14.25" customHeight="1">
      <c r="A163" s="17">
        <v>45663.0</v>
      </c>
      <c r="B163" s="2" t="str">
        <f t="array" ref="B163">IF(NOW()&gt;AM163,"",IF(AND((WEEKDAY($A163)+$B$2)&gt;1,((WEEKDAY($A163)+$T$2)&lt;7),(WEEKDAY($A163)&lt;&gt;1)),"work",(INDEX(Subject!$A:$I,MATCH(RANDBETWEEN(1,(MAX(Subject!$B:$B))),Subject!$B:$B,0),3))))</f>
        <v/>
      </c>
      <c r="C163" s="2" t="str">
        <f t="array" ref="C163">IF(NOW()&gt;AN163,"",IF(AND((WEEKDAY($A163)+$B$2)&gt;1,((WEEKDAY($A163)+$T$2)&lt;7),(WEEKDAY($A163)&lt;&gt;1)),"work",(INDEX(Subject!$A:$I,MATCH(RANDBETWEEN(1,(MAX(Subject!$B:$B))),Subject!$B:$B,0),3))))</f>
        <v/>
      </c>
      <c r="D163" s="2" t="str">
        <f t="array" ref="D163">IF(NOW()&gt;AO163,"",IF(AND((WEEKDAY($A163)+$B$2)&gt;1,((WEEKDAY($A163)+$T$2)&lt;7),(WEEKDAY($A163)&lt;&gt;1)),"work",(INDEX(Subject!$A:$I,MATCH(RANDBETWEEN(1,(MAX(Subject!$B:$B))),Subject!$B:$B,0),3))))</f>
        <v/>
      </c>
      <c r="E163" s="2" t="str">
        <f t="array" ref="E163">IF(NOW()&gt;AP163,"",IF(AND((WEEKDAY($A163)+$B$2)&gt;1,((WEEKDAY($A163)+$T$2)&lt;7),(WEEKDAY($A163)&lt;&gt;1)),"work",(INDEX(Subject!$A:$I,MATCH(RANDBETWEEN(1,(MAX(Subject!$B:$B))),Subject!$B:$B,0),3))))</f>
        <v/>
      </c>
      <c r="F163" s="2" t="str">
        <f t="array" ref="F163">IF(NOW()&gt;AQ163,"",IF(AND((WEEKDAY($A163)+$B$2)&gt;1,((WEEKDAY($A163)+$T$2)&lt;7),(WEEKDAY($A163)&lt;&gt;1)),"work",(INDEX(Subject!$A:$I,MATCH(RANDBETWEEN(1,(MAX(Subject!$B:$B))),Subject!$B:$B,0),3))))</f>
        <v/>
      </c>
      <c r="G163" s="2" t="str">
        <f t="array" ref="G163">IF(NOW()&gt;AR163,"",IF(AND((WEEKDAY($A163)+$B$2)&gt;1,((WEEKDAY($A163)+$T$2)&lt;7),(WEEKDAY($A163)&lt;&gt;1)),"work",(INDEX(Subject!$A:$I,MATCH(RANDBETWEEN(1,(MAX(Subject!$B:$B))),Subject!$B:$B,0),3))))</f>
        <v/>
      </c>
      <c r="H163" s="2" t="str">
        <f t="array" ref="H163">IF(NOW()&gt;AS163,"",IF(AND((WEEKDAY($A163)+$B$2)&gt;1,((WEEKDAY($A163)+$T$2)&lt;7),(WEEKDAY($A163)&lt;&gt;1)),"work",(INDEX(Subject!$A:$I,MATCH(RANDBETWEEN(1,(MAX(Subject!$B:$B))),Subject!$B:$B,0),3))))</f>
        <v/>
      </c>
      <c r="I163" s="2" t="str">
        <f t="array" ref="I163">IF(NOW()&gt;AT163,"",IF(AND((WEEKDAY($A163)+$B$2)&gt;1,((WEEKDAY($A163)+$T$2)&lt;7),(WEEKDAY($A163)&lt;&gt;1)),"work",(INDEX(Subject!$A:$I,MATCH(RANDBETWEEN(1,(MAX(Subject!$B:$B))),Subject!$B:$B,0),3))))</f>
        <v/>
      </c>
      <c r="J163" s="2" t="str">
        <f t="array" ref="J163">IF(NOW()&gt;AU163,"",IF(AND((WEEKDAY($A163)+$B$2)&gt;1,((WEEKDAY($A163)+$T$2)&lt;7),(WEEKDAY($A163)&lt;&gt;1)),"work",(INDEX(Subject!$A:$I,MATCH(RANDBETWEEN(1,(MAX(Subject!$B:$B))),Subject!$B:$B,0),3))))</f>
        <v/>
      </c>
      <c r="K163" s="2" t="str">
        <f t="array" ref="K163">IF(NOW()&gt;AV163,"",IF(AND((WEEKDAY($A163)+$B$2)&gt;1,((WEEKDAY($A163)+$T$2)&lt;7),(WEEKDAY($A163)&lt;&gt;1)),"work",(INDEX(Subject!$A:$I,MATCH(RANDBETWEEN(1,(MAX(Subject!$B:$B))),Subject!$B:$B,0),3))))</f>
        <v/>
      </c>
      <c r="L163" s="2" t="str">
        <f t="array" ref="L163">IF(NOW()&gt;AW163,"",IF(AND((WEEKDAY($A163)+$B$2)&gt;1,((WEEKDAY($A163)+$T$2)&lt;7),(WEEKDAY($A163)&lt;&gt;1)),"work",(INDEX(Subject!$A:$I,MATCH(RANDBETWEEN(1,(MAX(Subject!$B:$B))),Subject!$B:$B,0),3))))</f>
        <v/>
      </c>
      <c r="M163" s="2" t="str">
        <f t="array" ref="M163">IF(NOW()&gt;AX163,"",IF(AND((WEEKDAY($A163)+$B$2)&gt;1,((WEEKDAY($A163)+$T$2)&lt;7),(WEEKDAY($A163)&lt;&gt;1)),"work",(INDEX(Subject!$A:$I,MATCH(RANDBETWEEN(1,(MAX(Subject!$B:$B))),Subject!$B:$B,0),3))))</f>
        <v/>
      </c>
      <c r="N163" s="2" t="str">
        <f t="array" ref="N163">IF(NOW()&gt;AY163,"",IF(AND((WEEKDAY($A163)+$B$2)&gt;1,((WEEKDAY($A163)+$T$2)&lt;7),(WEEKDAY($A163)&lt;&gt;1)),"work",(INDEX(Subject!$A:$I,MATCH(RANDBETWEEN(1,(MAX(Subject!$B:$B))),Subject!$B:$B,0),3))))</f>
        <v/>
      </c>
      <c r="O163" s="2" t="str">
        <f t="array" ref="O163">IF(NOW()&gt;AZ163,"",IF(AND((WEEKDAY($A163)+$B$2)&gt;1,((WEEKDAY($A163)+$T$2)&lt;7),(WEEKDAY($A163)&lt;&gt;1)),"work",(INDEX(Subject!$A:$I,MATCH(RANDBETWEEN(1,(MAX(Subject!$B:$B))),Subject!$B:$B,0),3))))</f>
        <v/>
      </c>
      <c r="P163" s="2" t="str">
        <f t="array" ref="P163">IF(NOW()&gt;BA163,"",IF(AND((WEEKDAY($A163)+$B$2)&gt;1,((WEEKDAY($A163)+$T$2)&lt;7),(WEEKDAY($A163)&lt;&gt;1)),"work",(INDEX(Subject!$A:$I,MATCH(RANDBETWEEN(1,(MAX(Subject!$B:$B))),Subject!$B:$B,0),3))))</f>
        <v/>
      </c>
      <c r="Q163" s="2" t="str">
        <f t="array" ref="Q163">IF(NOW()&gt;BB163,"",IF(AND((WEEKDAY($A163)+$B$2)&gt;1,((WEEKDAY($A163)+$T$2)&lt;7),(WEEKDAY($A163)&lt;&gt;1)),"work",(INDEX(Subject!$A:$I,MATCH(RANDBETWEEN(1,(MAX(Subject!$B:$B))),Subject!$B:$B,0),3))))</f>
        <v/>
      </c>
      <c r="R163" s="2" t="str">
        <f t="array" ref="R163">IF(NOW()&gt;BC163,"",IF(AND((WEEKDAY($A163)+$B$2)&gt;1,((WEEKDAY($A163)+$T$2)&lt;7),(WEEKDAY($A163)&lt;&gt;1)),"work",(INDEX(Subject!$A:$I,MATCH(RANDBETWEEN(1,(MAX(Subject!$B:$B))),Subject!$B:$B,0),3))))</f>
        <v/>
      </c>
      <c r="S163" s="2" t="str">
        <f t="array" ref="S163">IF(NOW()&gt;BD163,"",IF(AND((WEEKDAY($A163)+$B$2)&gt;1,((WEEKDAY($A163)+$T$2)&lt;7),(WEEKDAY($A163)&lt;&gt;1)),"work",(INDEX(Subject!$A:$I,MATCH(RANDBETWEEN(1,(MAX(Subject!$B:$B))),Subject!$B:$B,0),3))))</f>
        <v/>
      </c>
      <c r="T163" s="2" t="str">
        <f t="array" ref="T163">IF(NOW()&gt;BE163,"",IF(AND((WEEKDAY($A163)+$B$2)&gt;1,((WEEKDAY($A163)+$T$2)&lt;7),(WEEKDAY($A163)&lt;&gt;1)),"work",(INDEX(Subject!$A:$I,MATCH(RANDBETWEEN(1,(MAX(Subject!$B:$B))),Subject!$B:$B,0),3))))</f>
        <v/>
      </c>
      <c r="U163" s="8" t="str">
        <f t="array" ref="U163">INDEX(Subject!$A:$I,MATCH(RANDBETWEEN(1,16),Subject!$B:$B,0),3)</f>
        <v>#N/A</v>
      </c>
      <c r="V163" s="8" t="str">
        <f t="array" ref="V163">INDEX(Subject!$A:$I,MATCH(RANDBETWEEN(1,16),Subject!$B:$B,0),3)</f>
        <v>#N/A</v>
      </c>
      <c r="W163" s="8" t="str">
        <f t="array" ref="W163">INDEX(Subject!$A:$I,MATCH(RANDBETWEEN(1,16),Subject!$B:$B,0),3)</f>
        <v>#N/A</v>
      </c>
      <c r="X163" s="8" t="str">
        <f t="array" ref="X163">INDEX(Subject!$A:$I,MATCH(RANDBETWEEN(1,16),Subject!$B:$B,0),3)</f>
        <v>#N/A</v>
      </c>
      <c r="Y163" s="8" t="str">
        <f t="array" ref="Y163">INDEX(Subject!$A:$I,MATCH(RANDBETWEEN(1,16),Subject!$B:$B,0),3)</f>
        <v>#N/A</v>
      </c>
      <c r="Z163" s="8" t="str">
        <f t="array" ref="Z163">INDEX(Subject!$A:$I,MATCH(RANDBETWEEN(1,16),Subject!$B:$B,0),3)</f>
        <v>#N/A</v>
      </c>
      <c r="AA163" s="8" t="str">
        <f t="array" ref="AA163">INDEX(Subject!$A:$I,MATCH(RANDBETWEEN(1,16),Subject!$B:$B,0),3)</f>
        <v>#N/A</v>
      </c>
      <c r="AB163" s="8" t="str">
        <f t="array" ref="AB163">INDEX(Subject!$A:$I,MATCH(RANDBETWEEN(1,16),Subject!$B:$B,0),3)</f>
        <v>#N/A</v>
      </c>
      <c r="AC163" s="8" t="str">
        <f t="array" ref="AC163">INDEX(Subject!$A:$I,MATCH(RANDBETWEEN(1,16),Subject!$B:$B,0),3)</f>
        <v>#N/A</v>
      </c>
      <c r="AD163" s="8" t="str">
        <f t="array" ref="AD163">INDEX(Subject!$A:$I,MATCH(RANDBETWEEN(1,16),Subject!$B:$B,0),3)</f>
        <v>#N/A</v>
      </c>
      <c r="AE163" s="8" t="str">
        <f t="array" ref="AE163">INDEX(Subject!$A:$I,MATCH(RANDBETWEEN(1,16),Subject!$B:$B,0),3)</f>
        <v/>
      </c>
      <c r="AF163" s="8" t="str">
        <f t="array" ref="AF163">INDEX(Subject!$A:$I,MATCH(RANDBETWEEN(1,16),Subject!$B:$B,0),3)</f>
        <v>#N/A</v>
      </c>
      <c r="AG163" s="8" t="str">
        <f t="array" ref="AG163">INDEX(Subject!$A:$I,MATCH(RANDBETWEEN(1,16),Subject!$B:$B,0),3)</f>
        <v>#N/A</v>
      </c>
      <c r="AH163" s="8" t="str">
        <f t="array" ref="AH163">INDEX(Subject!$A:$I,MATCH(RANDBETWEEN(1,16),Subject!$B:$B,0),3)</f>
        <v>#N/A</v>
      </c>
      <c r="AI163" s="8" t="str">
        <f t="array" ref="AI163">INDEX(Subject!$A:$I,MATCH(RANDBETWEEN(1,16),Subject!$B:$B,0),3)</f>
        <v>#N/A</v>
      </c>
      <c r="AJ163" s="8" t="str">
        <f t="array" ref="AJ163">INDEX(Subject!$A:$I,MATCH(RANDBETWEEN(1,16),Subject!$B:$B,0),3)</f>
        <v>#N/A</v>
      </c>
      <c r="AK163" s="8" t="str">
        <f t="array" ref="AK163">INDEX(Subject!$A:$I,MATCH(RANDBETWEEN(1,16),Subject!$B:$B,0),3)</f>
        <v>#N/A</v>
      </c>
      <c r="AL163" s="8" t="str">
        <f t="array" ref="AL163">INDEX(Subject!$A:$I,MATCH(RANDBETWEEN(1,16),Subject!$B:$B,0),3)</f>
        <v>#N/A</v>
      </c>
      <c r="AM163" s="18">
        <f t="shared" si="4"/>
        <v>45663.33333</v>
      </c>
      <c r="AN163" s="19">
        <f t="shared" ref="AN163:BZ163" si="163">$A163+C$1</f>
        <v>45663.35417</v>
      </c>
      <c r="AO163" s="19">
        <f t="shared" si="163"/>
        <v>45663.375</v>
      </c>
      <c r="AP163" s="19">
        <f t="shared" si="163"/>
        <v>45663.39583</v>
      </c>
      <c r="AQ163" s="19">
        <f t="shared" si="163"/>
        <v>45663.41667</v>
      </c>
      <c r="AR163" s="19">
        <f t="shared" si="163"/>
        <v>45663.4375</v>
      </c>
      <c r="AS163" s="19">
        <f t="shared" si="163"/>
        <v>45663.45833</v>
      </c>
      <c r="AT163" s="19">
        <f t="shared" si="163"/>
        <v>45663.47917</v>
      </c>
      <c r="AU163" s="19">
        <f t="shared" si="163"/>
        <v>45663.5</v>
      </c>
      <c r="AV163" s="19">
        <f t="shared" si="163"/>
        <v>45663.52083</v>
      </c>
      <c r="AW163" s="19">
        <f t="shared" si="163"/>
        <v>45663.54167</v>
      </c>
      <c r="AX163" s="19">
        <f t="shared" si="163"/>
        <v>45663.5625</v>
      </c>
      <c r="AY163" s="19">
        <f t="shared" si="163"/>
        <v>45663.58333</v>
      </c>
      <c r="AZ163" s="19">
        <f t="shared" si="163"/>
        <v>45663.60417</v>
      </c>
      <c r="BA163" s="19">
        <f t="shared" si="163"/>
        <v>45663.625</v>
      </c>
      <c r="BB163" s="19">
        <f t="shared" si="163"/>
        <v>45663.64583</v>
      </c>
      <c r="BC163" s="19">
        <f t="shared" si="163"/>
        <v>45663.66667</v>
      </c>
      <c r="BD163" s="19">
        <f t="shared" si="163"/>
        <v>45663.6875</v>
      </c>
      <c r="BE163" s="19">
        <f t="shared" si="163"/>
        <v>45663.70833</v>
      </c>
      <c r="BF163" s="19">
        <f t="shared" si="163"/>
        <v>45663.72917</v>
      </c>
      <c r="BG163" s="19">
        <f t="shared" si="163"/>
        <v>45663.75</v>
      </c>
      <c r="BH163" s="19">
        <f t="shared" si="163"/>
        <v>45663.77083</v>
      </c>
      <c r="BI163" s="19">
        <f t="shared" si="163"/>
        <v>45663.79167</v>
      </c>
      <c r="BJ163" s="19">
        <f t="shared" si="163"/>
        <v>45663.8125</v>
      </c>
      <c r="BK163" s="19">
        <f t="shared" si="163"/>
        <v>45663.83333</v>
      </c>
      <c r="BL163" s="19">
        <f t="shared" si="163"/>
        <v>45663.85417</v>
      </c>
      <c r="BM163" s="19">
        <f t="shared" si="163"/>
        <v>45663.875</v>
      </c>
      <c r="BN163" s="19">
        <f t="shared" si="163"/>
        <v>45663.89583</v>
      </c>
      <c r="BO163" s="19">
        <f t="shared" si="163"/>
        <v>45663.91667</v>
      </c>
      <c r="BP163" s="19">
        <f t="shared" si="163"/>
        <v>45663.9375</v>
      </c>
      <c r="BQ163" s="19">
        <f t="shared" si="163"/>
        <v>45663.95833</v>
      </c>
      <c r="BR163" s="19">
        <f t="shared" si="163"/>
        <v>45663.97917</v>
      </c>
      <c r="BS163" s="19">
        <f t="shared" si="163"/>
        <v>45664</v>
      </c>
      <c r="BT163" s="19">
        <f t="shared" si="163"/>
        <v>45664.02083</v>
      </c>
      <c r="BU163" s="19">
        <f t="shared" si="163"/>
        <v>45664.04167</v>
      </c>
      <c r="BV163" s="19">
        <f t="shared" si="163"/>
        <v>45664.0625</v>
      </c>
      <c r="BW163" s="19">
        <f t="shared" si="163"/>
        <v>45664.08333</v>
      </c>
      <c r="BX163" s="19">
        <f t="shared" si="163"/>
        <v>45663</v>
      </c>
      <c r="BY163" s="19">
        <f t="shared" si="163"/>
        <v>45663</v>
      </c>
      <c r="BZ163" s="19">
        <f t="shared" si="163"/>
        <v>45663</v>
      </c>
    </row>
    <row r="164" ht="14.25" customHeight="1">
      <c r="A164" s="17">
        <v>45664.0</v>
      </c>
      <c r="B164" s="2" t="str">
        <f t="array" ref="B164">IF(NOW()&gt;AM164,"",IF(AND((WEEKDAY($A164)+$B$2)&gt;1,((WEEKDAY($A164)+$T$2)&lt;7),(WEEKDAY($A164)&lt;&gt;1)),"work",(INDEX(Subject!$A:$I,MATCH(RANDBETWEEN(1,(MAX(Subject!$B:$B))),Subject!$B:$B,0),3))))</f>
        <v/>
      </c>
      <c r="C164" s="2" t="str">
        <f t="array" ref="C164">IF(NOW()&gt;AN164,"",IF(AND((WEEKDAY($A164)+$B$2)&gt;1,((WEEKDAY($A164)+$T$2)&lt;7),(WEEKDAY($A164)&lt;&gt;1)),"work",(INDEX(Subject!$A:$I,MATCH(RANDBETWEEN(1,(MAX(Subject!$B:$B))),Subject!$B:$B,0),3))))</f>
        <v/>
      </c>
      <c r="D164" s="2" t="str">
        <f t="array" ref="D164">IF(NOW()&gt;AO164,"",IF(AND((WEEKDAY($A164)+$B$2)&gt;1,((WEEKDAY($A164)+$T$2)&lt;7),(WEEKDAY($A164)&lt;&gt;1)),"work",(INDEX(Subject!$A:$I,MATCH(RANDBETWEEN(1,(MAX(Subject!$B:$B))),Subject!$B:$B,0),3))))</f>
        <v/>
      </c>
      <c r="E164" s="2" t="str">
        <f t="array" ref="E164">IF(NOW()&gt;AP164,"",IF(AND((WEEKDAY($A164)+$B$2)&gt;1,((WEEKDAY($A164)+$T$2)&lt;7),(WEEKDAY($A164)&lt;&gt;1)),"work",(INDEX(Subject!$A:$I,MATCH(RANDBETWEEN(1,(MAX(Subject!$B:$B))),Subject!$B:$B,0),3))))</f>
        <v/>
      </c>
      <c r="F164" s="2" t="str">
        <f t="array" ref="F164">IF(NOW()&gt;AQ164,"",IF(AND((WEEKDAY($A164)+$B$2)&gt;1,((WEEKDAY($A164)+$T$2)&lt;7),(WEEKDAY($A164)&lt;&gt;1)),"work",(INDEX(Subject!$A:$I,MATCH(RANDBETWEEN(1,(MAX(Subject!$B:$B))),Subject!$B:$B,0),3))))</f>
        <v/>
      </c>
      <c r="G164" s="2" t="str">
        <f t="array" ref="G164">IF(NOW()&gt;AR164,"",IF(AND((WEEKDAY($A164)+$B$2)&gt;1,((WEEKDAY($A164)+$T$2)&lt;7),(WEEKDAY($A164)&lt;&gt;1)),"work",(INDEX(Subject!$A:$I,MATCH(RANDBETWEEN(1,(MAX(Subject!$B:$B))),Subject!$B:$B,0),3))))</f>
        <v/>
      </c>
      <c r="H164" s="2" t="str">
        <f t="array" ref="H164">IF(NOW()&gt;AS164,"",IF(AND((WEEKDAY($A164)+$B$2)&gt;1,((WEEKDAY($A164)+$T$2)&lt;7),(WEEKDAY($A164)&lt;&gt;1)),"work",(INDEX(Subject!$A:$I,MATCH(RANDBETWEEN(1,(MAX(Subject!$B:$B))),Subject!$B:$B,0),3))))</f>
        <v/>
      </c>
      <c r="I164" s="2" t="str">
        <f t="array" ref="I164">IF(NOW()&gt;AT164,"",IF(AND((WEEKDAY($A164)+$B$2)&gt;1,((WEEKDAY($A164)+$T$2)&lt;7),(WEEKDAY($A164)&lt;&gt;1)),"work",(INDEX(Subject!$A:$I,MATCH(RANDBETWEEN(1,(MAX(Subject!$B:$B))),Subject!$B:$B,0),3))))</f>
        <v/>
      </c>
      <c r="J164" s="2" t="str">
        <f t="array" ref="J164">IF(NOW()&gt;AU164,"",IF(AND((WEEKDAY($A164)+$B$2)&gt;1,((WEEKDAY($A164)+$T$2)&lt;7),(WEEKDAY($A164)&lt;&gt;1)),"work",(INDEX(Subject!$A:$I,MATCH(RANDBETWEEN(1,(MAX(Subject!$B:$B))),Subject!$B:$B,0),3))))</f>
        <v/>
      </c>
      <c r="K164" s="2" t="str">
        <f t="array" ref="K164">IF(NOW()&gt;AV164,"",IF(AND((WEEKDAY($A164)+$B$2)&gt;1,((WEEKDAY($A164)+$T$2)&lt;7),(WEEKDAY($A164)&lt;&gt;1)),"work",(INDEX(Subject!$A:$I,MATCH(RANDBETWEEN(1,(MAX(Subject!$B:$B))),Subject!$B:$B,0),3))))</f>
        <v/>
      </c>
      <c r="L164" s="2" t="str">
        <f t="array" ref="L164">IF(NOW()&gt;AW164,"",IF(AND((WEEKDAY($A164)+$B$2)&gt;1,((WEEKDAY($A164)+$T$2)&lt;7),(WEEKDAY($A164)&lt;&gt;1)),"work",(INDEX(Subject!$A:$I,MATCH(RANDBETWEEN(1,(MAX(Subject!$B:$B))),Subject!$B:$B,0),3))))</f>
        <v/>
      </c>
      <c r="M164" s="2" t="str">
        <f t="array" ref="M164">IF(NOW()&gt;AX164,"",IF(AND((WEEKDAY($A164)+$B$2)&gt;1,((WEEKDAY($A164)+$T$2)&lt;7),(WEEKDAY($A164)&lt;&gt;1)),"work",(INDEX(Subject!$A:$I,MATCH(RANDBETWEEN(1,(MAX(Subject!$B:$B))),Subject!$B:$B,0),3))))</f>
        <v/>
      </c>
      <c r="N164" s="2" t="str">
        <f t="array" ref="N164">IF(NOW()&gt;AY164,"",IF(AND((WEEKDAY($A164)+$B$2)&gt;1,((WEEKDAY($A164)+$T$2)&lt;7),(WEEKDAY($A164)&lt;&gt;1)),"work",(INDEX(Subject!$A:$I,MATCH(RANDBETWEEN(1,(MAX(Subject!$B:$B))),Subject!$B:$B,0),3))))</f>
        <v/>
      </c>
      <c r="O164" s="2" t="str">
        <f t="array" ref="O164">IF(NOW()&gt;AZ164,"",IF(AND((WEEKDAY($A164)+$B$2)&gt;1,((WEEKDAY($A164)+$T$2)&lt;7),(WEEKDAY($A164)&lt;&gt;1)),"work",(INDEX(Subject!$A:$I,MATCH(RANDBETWEEN(1,(MAX(Subject!$B:$B))),Subject!$B:$B,0),3))))</f>
        <v/>
      </c>
      <c r="P164" s="2" t="str">
        <f t="array" ref="P164">IF(NOW()&gt;BA164,"",IF(AND((WEEKDAY($A164)+$B$2)&gt;1,((WEEKDAY($A164)+$T$2)&lt;7),(WEEKDAY($A164)&lt;&gt;1)),"work",(INDEX(Subject!$A:$I,MATCH(RANDBETWEEN(1,(MAX(Subject!$B:$B))),Subject!$B:$B,0),3))))</f>
        <v/>
      </c>
      <c r="Q164" s="2" t="str">
        <f t="array" ref="Q164">IF(NOW()&gt;BB164,"",IF(AND((WEEKDAY($A164)+$B$2)&gt;1,((WEEKDAY($A164)+$T$2)&lt;7),(WEEKDAY($A164)&lt;&gt;1)),"work",(INDEX(Subject!$A:$I,MATCH(RANDBETWEEN(1,(MAX(Subject!$B:$B))),Subject!$B:$B,0),3))))</f>
        <v/>
      </c>
      <c r="R164" s="2" t="str">
        <f t="array" ref="R164">IF(NOW()&gt;BC164,"",IF(AND((WEEKDAY($A164)+$B$2)&gt;1,((WEEKDAY($A164)+$T$2)&lt;7),(WEEKDAY($A164)&lt;&gt;1)),"work",(INDEX(Subject!$A:$I,MATCH(RANDBETWEEN(1,(MAX(Subject!$B:$B))),Subject!$B:$B,0),3))))</f>
        <v/>
      </c>
      <c r="S164" s="2" t="str">
        <f t="array" ref="S164">IF(NOW()&gt;BD164,"",IF(AND((WEEKDAY($A164)+$B$2)&gt;1,((WEEKDAY($A164)+$T$2)&lt;7),(WEEKDAY($A164)&lt;&gt;1)),"work",(INDEX(Subject!$A:$I,MATCH(RANDBETWEEN(1,(MAX(Subject!$B:$B))),Subject!$B:$B,0),3))))</f>
        <v/>
      </c>
      <c r="T164" s="2" t="str">
        <f t="array" ref="T164">IF(NOW()&gt;BE164,"",IF(AND((WEEKDAY($A164)+$B$2)&gt;1,((WEEKDAY($A164)+$T$2)&lt;7),(WEEKDAY($A164)&lt;&gt;1)),"work",(INDEX(Subject!$A:$I,MATCH(RANDBETWEEN(1,(MAX(Subject!$B:$B))),Subject!$B:$B,0),3))))</f>
        <v/>
      </c>
      <c r="U164" s="8" t="str">
        <f t="array" ref="U164">INDEX(Subject!$A:$I,MATCH(RANDBETWEEN(1,16),Subject!$B:$B,0),3)</f>
        <v/>
      </c>
      <c r="V164" s="8" t="str">
        <f t="array" ref="V164">INDEX(Subject!$A:$I,MATCH(RANDBETWEEN(1,16),Subject!$B:$B,0),3)</f>
        <v>#N/A</v>
      </c>
      <c r="W164" s="8" t="str">
        <f t="array" ref="W164">INDEX(Subject!$A:$I,MATCH(RANDBETWEEN(1,16),Subject!$B:$B,0),3)</f>
        <v>#N/A</v>
      </c>
      <c r="X164" s="8" t="str">
        <f t="array" ref="X164">INDEX(Subject!$A:$I,MATCH(RANDBETWEEN(1,16),Subject!$B:$B,0),3)</f>
        <v>#N/A</v>
      </c>
      <c r="Y164" s="8" t="str">
        <f t="array" ref="Y164">INDEX(Subject!$A:$I,MATCH(RANDBETWEEN(1,16),Subject!$B:$B,0),3)</f>
        <v>#N/A</v>
      </c>
      <c r="Z164" s="8" t="str">
        <f t="array" ref="Z164">INDEX(Subject!$A:$I,MATCH(RANDBETWEEN(1,16),Subject!$B:$B,0),3)</f>
        <v>#N/A</v>
      </c>
      <c r="AA164" s="8" t="str">
        <f t="array" ref="AA164">INDEX(Subject!$A:$I,MATCH(RANDBETWEEN(1,16),Subject!$B:$B,0),3)</f>
        <v>#N/A</v>
      </c>
      <c r="AB164" s="8" t="str">
        <f t="array" ref="AB164">INDEX(Subject!$A:$I,MATCH(RANDBETWEEN(1,16),Subject!$B:$B,0),3)</f>
        <v>#N/A</v>
      </c>
      <c r="AC164" s="8" t="str">
        <f t="array" ref="AC164">INDEX(Subject!$A:$I,MATCH(RANDBETWEEN(1,16),Subject!$B:$B,0),3)</f>
        <v>#N/A</v>
      </c>
      <c r="AD164" s="8" t="str">
        <f t="array" ref="AD164">INDEX(Subject!$A:$I,MATCH(RANDBETWEEN(1,16),Subject!$B:$B,0),3)</f>
        <v>#N/A</v>
      </c>
      <c r="AE164" s="8" t="str">
        <f t="array" ref="AE164">INDEX(Subject!$A:$I,MATCH(RANDBETWEEN(1,16),Subject!$B:$B,0),3)</f>
        <v>#N/A</v>
      </c>
      <c r="AF164" s="8" t="str">
        <f t="array" ref="AF164">INDEX(Subject!$A:$I,MATCH(RANDBETWEEN(1,16),Subject!$B:$B,0),3)</f>
        <v>#N/A</v>
      </c>
      <c r="AG164" s="8" t="str">
        <f t="array" ref="AG164">INDEX(Subject!$A:$I,MATCH(RANDBETWEEN(1,16),Subject!$B:$B,0),3)</f>
        <v>#N/A</v>
      </c>
      <c r="AH164" s="8" t="str">
        <f t="array" ref="AH164">INDEX(Subject!$A:$I,MATCH(RANDBETWEEN(1,16),Subject!$B:$B,0),3)</f>
        <v/>
      </c>
      <c r="AI164" s="8" t="str">
        <f t="array" ref="AI164">INDEX(Subject!$A:$I,MATCH(RANDBETWEEN(1,16),Subject!$B:$B,0),3)</f>
        <v>#N/A</v>
      </c>
      <c r="AJ164" s="8" t="str">
        <f t="array" ref="AJ164">INDEX(Subject!$A:$I,MATCH(RANDBETWEEN(1,16),Subject!$B:$B,0),3)</f>
        <v>#N/A</v>
      </c>
      <c r="AK164" s="8" t="str">
        <f t="array" ref="AK164">INDEX(Subject!$A:$I,MATCH(RANDBETWEEN(1,16),Subject!$B:$B,0),3)</f>
        <v>#N/A</v>
      </c>
      <c r="AL164" s="8" t="str">
        <f t="array" ref="AL164">INDEX(Subject!$A:$I,MATCH(RANDBETWEEN(1,16),Subject!$B:$B,0),3)</f>
        <v>#N/A</v>
      </c>
      <c r="AM164" s="18">
        <f t="shared" si="4"/>
        <v>45664.33333</v>
      </c>
      <c r="AN164" s="19">
        <f t="shared" ref="AN164:BZ164" si="164">$A164+C$1</f>
        <v>45664.35417</v>
      </c>
      <c r="AO164" s="19">
        <f t="shared" si="164"/>
        <v>45664.375</v>
      </c>
      <c r="AP164" s="19">
        <f t="shared" si="164"/>
        <v>45664.39583</v>
      </c>
      <c r="AQ164" s="19">
        <f t="shared" si="164"/>
        <v>45664.41667</v>
      </c>
      <c r="AR164" s="19">
        <f t="shared" si="164"/>
        <v>45664.4375</v>
      </c>
      <c r="AS164" s="19">
        <f t="shared" si="164"/>
        <v>45664.45833</v>
      </c>
      <c r="AT164" s="19">
        <f t="shared" si="164"/>
        <v>45664.47917</v>
      </c>
      <c r="AU164" s="19">
        <f t="shared" si="164"/>
        <v>45664.5</v>
      </c>
      <c r="AV164" s="19">
        <f t="shared" si="164"/>
        <v>45664.52083</v>
      </c>
      <c r="AW164" s="19">
        <f t="shared" si="164"/>
        <v>45664.54167</v>
      </c>
      <c r="AX164" s="19">
        <f t="shared" si="164"/>
        <v>45664.5625</v>
      </c>
      <c r="AY164" s="19">
        <f t="shared" si="164"/>
        <v>45664.58333</v>
      </c>
      <c r="AZ164" s="19">
        <f t="shared" si="164"/>
        <v>45664.60417</v>
      </c>
      <c r="BA164" s="19">
        <f t="shared" si="164"/>
        <v>45664.625</v>
      </c>
      <c r="BB164" s="19">
        <f t="shared" si="164"/>
        <v>45664.64583</v>
      </c>
      <c r="BC164" s="19">
        <f t="shared" si="164"/>
        <v>45664.66667</v>
      </c>
      <c r="BD164" s="19">
        <f t="shared" si="164"/>
        <v>45664.6875</v>
      </c>
      <c r="BE164" s="19">
        <f t="shared" si="164"/>
        <v>45664.70833</v>
      </c>
      <c r="BF164" s="19">
        <f t="shared" si="164"/>
        <v>45664.72917</v>
      </c>
      <c r="BG164" s="19">
        <f t="shared" si="164"/>
        <v>45664.75</v>
      </c>
      <c r="BH164" s="19">
        <f t="shared" si="164"/>
        <v>45664.77083</v>
      </c>
      <c r="BI164" s="19">
        <f t="shared" si="164"/>
        <v>45664.79167</v>
      </c>
      <c r="BJ164" s="19">
        <f t="shared" si="164"/>
        <v>45664.8125</v>
      </c>
      <c r="BK164" s="19">
        <f t="shared" si="164"/>
        <v>45664.83333</v>
      </c>
      <c r="BL164" s="19">
        <f t="shared" si="164"/>
        <v>45664.85417</v>
      </c>
      <c r="BM164" s="19">
        <f t="shared" si="164"/>
        <v>45664.875</v>
      </c>
      <c r="BN164" s="19">
        <f t="shared" si="164"/>
        <v>45664.89583</v>
      </c>
      <c r="BO164" s="19">
        <f t="shared" si="164"/>
        <v>45664.91667</v>
      </c>
      <c r="BP164" s="19">
        <f t="shared" si="164"/>
        <v>45664.9375</v>
      </c>
      <c r="BQ164" s="19">
        <f t="shared" si="164"/>
        <v>45664.95833</v>
      </c>
      <c r="BR164" s="19">
        <f t="shared" si="164"/>
        <v>45664.97917</v>
      </c>
      <c r="BS164" s="19">
        <f t="shared" si="164"/>
        <v>45665</v>
      </c>
      <c r="BT164" s="19">
        <f t="shared" si="164"/>
        <v>45665.02083</v>
      </c>
      <c r="BU164" s="19">
        <f t="shared" si="164"/>
        <v>45665.04167</v>
      </c>
      <c r="BV164" s="19">
        <f t="shared" si="164"/>
        <v>45665.0625</v>
      </c>
      <c r="BW164" s="19">
        <f t="shared" si="164"/>
        <v>45665.08333</v>
      </c>
      <c r="BX164" s="19">
        <f t="shared" si="164"/>
        <v>45664</v>
      </c>
      <c r="BY164" s="19">
        <f t="shared" si="164"/>
        <v>45664</v>
      </c>
      <c r="BZ164" s="19">
        <f t="shared" si="164"/>
        <v>45664</v>
      </c>
    </row>
    <row r="165" ht="14.25" customHeight="1">
      <c r="A165" s="17">
        <v>45665.0</v>
      </c>
      <c r="B165" s="2" t="str">
        <f t="array" ref="B165">IF(NOW()&gt;AM165,"",IF(AND((WEEKDAY($A165)+$B$2)&gt;1,((WEEKDAY($A165)+$T$2)&lt;7),(WEEKDAY($A165)&lt;&gt;1)),"work",(INDEX(Subject!$A:$I,MATCH(RANDBETWEEN(1,(MAX(Subject!$B:$B))),Subject!$B:$B,0),3))))</f>
        <v/>
      </c>
      <c r="C165" s="2" t="str">
        <f t="array" ref="C165">IF(NOW()&gt;AN165,"",IF(AND((WEEKDAY($A165)+$B$2)&gt;1,((WEEKDAY($A165)+$T$2)&lt;7),(WEEKDAY($A165)&lt;&gt;1)),"work",(INDEX(Subject!$A:$I,MATCH(RANDBETWEEN(1,(MAX(Subject!$B:$B))),Subject!$B:$B,0),3))))</f>
        <v/>
      </c>
      <c r="D165" s="2" t="str">
        <f t="array" ref="D165">IF(NOW()&gt;AO165,"",IF(AND((WEEKDAY($A165)+$B$2)&gt;1,((WEEKDAY($A165)+$T$2)&lt;7),(WEEKDAY($A165)&lt;&gt;1)),"work",(INDEX(Subject!$A:$I,MATCH(RANDBETWEEN(1,(MAX(Subject!$B:$B))),Subject!$B:$B,0),3))))</f>
        <v/>
      </c>
      <c r="E165" s="2" t="str">
        <f t="array" ref="E165">IF(NOW()&gt;AP165,"",IF(AND((WEEKDAY($A165)+$B$2)&gt;1,((WEEKDAY($A165)+$T$2)&lt;7),(WEEKDAY($A165)&lt;&gt;1)),"work",(INDEX(Subject!$A:$I,MATCH(RANDBETWEEN(1,(MAX(Subject!$B:$B))),Subject!$B:$B,0),3))))</f>
        <v/>
      </c>
      <c r="F165" s="2" t="str">
        <f t="array" ref="F165">IF(NOW()&gt;AQ165,"",IF(AND((WEEKDAY($A165)+$B$2)&gt;1,((WEEKDAY($A165)+$T$2)&lt;7),(WEEKDAY($A165)&lt;&gt;1)),"work",(INDEX(Subject!$A:$I,MATCH(RANDBETWEEN(1,(MAX(Subject!$B:$B))),Subject!$B:$B,0),3))))</f>
        <v/>
      </c>
      <c r="G165" s="2" t="str">
        <f t="array" ref="G165">IF(NOW()&gt;AR165,"",IF(AND((WEEKDAY($A165)+$B$2)&gt;1,((WEEKDAY($A165)+$T$2)&lt;7),(WEEKDAY($A165)&lt;&gt;1)),"work",(INDEX(Subject!$A:$I,MATCH(RANDBETWEEN(1,(MAX(Subject!$B:$B))),Subject!$B:$B,0),3))))</f>
        <v/>
      </c>
      <c r="H165" s="2" t="str">
        <f t="array" ref="H165">IF(NOW()&gt;AS165,"",IF(AND((WEEKDAY($A165)+$B$2)&gt;1,((WEEKDAY($A165)+$T$2)&lt;7),(WEEKDAY($A165)&lt;&gt;1)),"work",(INDEX(Subject!$A:$I,MATCH(RANDBETWEEN(1,(MAX(Subject!$B:$B))),Subject!$B:$B,0),3))))</f>
        <v/>
      </c>
      <c r="I165" s="2" t="str">
        <f t="array" ref="I165">IF(NOW()&gt;AT165,"",IF(AND((WEEKDAY($A165)+$B$2)&gt;1,((WEEKDAY($A165)+$T$2)&lt;7),(WEEKDAY($A165)&lt;&gt;1)),"work",(INDEX(Subject!$A:$I,MATCH(RANDBETWEEN(1,(MAX(Subject!$B:$B))),Subject!$B:$B,0),3))))</f>
        <v/>
      </c>
      <c r="J165" s="2" t="str">
        <f t="array" ref="J165">IF(NOW()&gt;AU165,"",IF(AND((WEEKDAY($A165)+$B$2)&gt;1,((WEEKDAY($A165)+$T$2)&lt;7),(WEEKDAY($A165)&lt;&gt;1)),"work",(INDEX(Subject!$A:$I,MATCH(RANDBETWEEN(1,(MAX(Subject!$B:$B))),Subject!$B:$B,0),3))))</f>
        <v/>
      </c>
      <c r="K165" s="2" t="str">
        <f t="array" ref="K165">IF(NOW()&gt;AV165,"",IF(AND((WEEKDAY($A165)+$B$2)&gt;1,((WEEKDAY($A165)+$T$2)&lt;7),(WEEKDAY($A165)&lt;&gt;1)),"work",(INDEX(Subject!$A:$I,MATCH(RANDBETWEEN(1,(MAX(Subject!$B:$B))),Subject!$B:$B,0),3))))</f>
        <v/>
      </c>
      <c r="L165" s="2" t="str">
        <f t="array" ref="L165">IF(NOW()&gt;AW165,"",IF(AND((WEEKDAY($A165)+$B$2)&gt;1,((WEEKDAY($A165)+$T$2)&lt;7),(WEEKDAY($A165)&lt;&gt;1)),"work",(INDEX(Subject!$A:$I,MATCH(RANDBETWEEN(1,(MAX(Subject!$B:$B))),Subject!$B:$B,0),3))))</f>
        <v/>
      </c>
      <c r="M165" s="2" t="str">
        <f t="array" ref="M165">IF(NOW()&gt;AX165,"",IF(AND((WEEKDAY($A165)+$B$2)&gt;1,((WEEKDAY($A165)+$T$2)&lt;7),(WEEKDAY($A165)&lt;&gt;1)),"work",(INDEX(Subject!$A:$I,MATCH(RANDBETWEEN(1,(MAX(Subject!$B:$B))),Subject!$B:$B,0),3))))</f>
        <v/>
      </c>
      <c r="N165" s="2" t="str">
        <f t="array" ref="N165">IF(NOW()&gt;AY165,"",IF(AND((WEEKDAY($A165)+$B$2)&gt;1,((WEEKDAY($A165)+$T$2)&lt;7),(WEEKDAY($A165)&lt;&gt;1)),"work",(INDEX(Subject!$A:$I,MATCH(RANDBETWEEN(1,(MAX(Subject!$B:$B))),Subject!$B:$B,0),3))))</f>
        <v/>
      </c>
      <c r="O165" s="2" t="str">
        <f t="array" ref="O165">IF(NOW()&gt;AZ165,"",IF(AND((WEEKDAY($A165)+$B$2)&gt;1,((WEEKDAY($A165)+$T$2)&lt;7),(WEEKDAY($A165)&lt;&gt;1)),"work",(INDEX(Subject!$A:$I,MATCH(RANDBETWEEN(1,(MAX(Subject!$B:$B))),Subject!$B:$B,0),3))))</f>
        <v/>
      </c>
      <c r="P165" s="2" t="str">
        <f t="array" ref="P165">IF(NOW()&gt;BA165,"",IF(AND((WEEKDAY($A165)+$B$2)&gt;1,((WEEKDAY($A165)+$T$2)&lt;7),(WEEKDAY($A165)&lt;&gt;1)),"work",(INDEX(Subject!$A:$I,MATCH(RANDBETWEEN(1,(MAX(Subject!$B:$B))),Subject!$B:$B,0),3))))</f>
        <v/>
      </c>
      <c r="Q165" s="2" t="str">
        <f t="array" ref="Q165">IF(NOW()&gt;BB165,"",IF(AND((WEEKDAY($A165)+$B$2)&gt;1,((WEEKDAY($A165)+$T$2)&lt;7),(WEEKDAY($A165)&lt;&gt;1)),"work",(INDEX(Subject!$A:$I,MATCH(RANDBETWEEN(1,(MAX(Subject!$B:$B))),Subject!$B:$B,0),3))))</f>
        <v/>
      </c>
      <c r="R165" s="2" t="str">
        <f t="array" ref="R165">IF(NOW()&gt;BC165,"",IF(AND((WEEKDAY($A165)+$B$2)&gt;1,((WEEKDAY($A165)+$T$2)&lt;7),(WEEKDAY($A165)&lt;&gt;1)),"work",(INDEX(Subject!$A:$I,MATCH(RANDBETWEEN(1,(MAX(Subject!$B:$B))),Subject!$B:$B,0),3))))</f>
        <v/>
      </c>
      <c r="S165" s="2" t="str">
        <f t="array" ref="S165">IF(NOW()&gt;BD165,"",IF(AND((WEEKDAY($A165)+$B$2)&gt;1,((WEEKDAY($A165)+$T$2)&lt;7),(WEEKDAY($A165)&lt;&gt;1)),"work",(INDEX(Subject!$A:$I,MATCH(RANDBETWEEN(1,(MAX(Subject!$B:$B))),Subject!$B:$B,0),3))))</f>
        <v/>
      </c>
      <c r="T165" s="2" t="str">
        <f t="array" ref="T165">IF(NOW()&gt;BE165,"",IF(AND((WEEKDAY($A165)+$B$2)&gt;1,((WEEKDAY($A165)+$T$2)&lt;7),(WEEKDAY($A165)&lt;&gt;1)),"work",(INDEX(Subject!$A:$I,MATCH(RANDBETWEEN(1,(MAX(Subject!$B:$B))),Subject!$B:$B,0),3))))</f>
        <v/>
      </c>
      <c r="U165" s="8" t="str">
        <f t="array" ref="U165">INDEX(Subject!$A:$I,MATCH(RANDBETWEEN(1,16),Subject!$B:$B,0),3)</f>
        <v>#N/A</v>
      </c>
      <c r="V165" s="8" t="str">
        <f t="array" ref="V165">INDEX(Subject!$A:$I,MATCH(RANDBETWEEN(1,16),Subject!$B:$B,0),3)</f>
        <v>#N/A</v>
      </c>
      <c r="W165" s="8" t="str">
        <f t="array" ref="W165">INDEX(Subject!$A:$I,MATCH(RANDBETWEEN(1,16),Subject!$B:$B,0),3)</f>
        <v>#N/A</v>
      </c>
      <c r="X165" s="8" t="str">
        <f t="array" ref="X165">INDEX(Subject!$A:$I,MATCH(RANDBETWEEN(1,16),Subject!$B:$B,0),3)</f>
        <v>#N/A</v>
      </c>
      <c r="Y165" s="8" t="str">
        <f t="array" ref="Y165">INDEX(Subject!$A:$I,MATCH(RANDBETWEEN(1,16),Subject!$B:$B,0),3)</f>
        <v>#N/A</v>
      </c>
      <c r="Z165" s="8" t="str">
        <f t="array" ref="Z165">INDEX(Subject!$A:$I,MATCH(RANDBETWEEN(1,16),Subject!$B:$B,0),3)</f>
        <v/>
      </c>
      <c r="AA165" s="8" t="str">
        <f t="array" ref="AA165">INDEX(Subject!$A:$I,MATCH(RANDBETWEEN(1,16),Subject!$B:$B,0),3)</f>
        <v>#N/A</v>
      </c>
      <c r="AB165" s="8" t="str">
        <f t="array" ref="AB165">INDEX(Subject!$A:$I,MATCH(RANDBETWEEN(1,16),Subject!$B:$B,0),3)</f>
        <v/>
      </c>
      <c r="AC165" s="8" t="str">
        <f t="array" ref="AC165">INDEX(Subject!$A:$I,MATCH(RANDBETWEEN(1,16),Subject!$B:$B,0),3)</f>
        <v>#N/A</v>
      </c>
      <c r="AD165" s="8" t="str">
        <f t="array" ref="AD165">INDEX(Subject!$A:$I,MATCH(RANDBETWEEN(1,16),Subject!$B:$B,0),3)</f>
        <v>#N/A</v>
      </c>
      <c r="AE165" s="8" t="str">
        <f t="array" ref="AE165">INDEX(Subject!$A:$I,MATCH(RANDBETWEEN(1,16),Subject!$B:$B,0),3)</f>
        <v>#N/A</v>
      </c>
      <c r="AF165" s="8" t="str">
        <f t="array" ref="AF165">INDEX(Subject!$A:$I,MATCH(RANDBETWEEN(1,16),Subject!$B:$B,0),3)</f>
        <v>#N/A</v>
      </c>
      <c r="AG165" s="8" t="str">
        <f t="array" ref="AG165">INDEX(Subject!$A:$I,MATCH(RANDBETWEEN(1,16),Subject!$B:$B,0),3)</f>
        <v>#N/A</v>
      </c>
      <c r="AH165" s="8" t="str">
        <f t="array" ref="AH165">INDEX(Subject!$A:$I,MATCH(RANDBETWEEN(1,16),Subject!$B:$B,0),3)</f>
        <v>#N/A</v>
      </c>
      <c r="AI165" s="8" t="str">
        <f t="array" ref="AI165">INDEX(Subject!$A:$I,MATCH(RANDBETWEEN(1,16),Subject!$B:$B,0),3)</f>
        <v>#N/A</v>
      </c>
      <c r="AJ165" s="8" t="str">
        <f t="array" ref="AJ165">INDEX(Subject!$A:$I,MATCH(RANDBETWEEN(1,16),Subject!$B:$B,0),3)</f>
        <v>#N/A</v>
      </c>
      <c r="AK165" s="8" t="str">
        <f t="array" ref="AK165">INDEX(Subject!$A:$I,MATCH(RANDBETWEEN(1,16),Subject!$B:$B,0),3)</f>
        <v>#N/A</v>
      </c>
      <c r="AL165" s="8" t="str">
        <f t="array" ref="AL165">INDEX(Subject!$A:$I,MATCH(RANDBETWEEN(1,16),Subject!$B:$B,0),3)</f>
        <v>#N/A</v>
      </c>
      <c r="AM165" s="18">
        <f t="shared" si="4"/>
        <v>45665.33333</v>
      </c>
      <c r="AN165" s="19">
        <f t="shared" ref="AN165:BZ165" si="165">$A165+C$1</f>
        <v>45665.35417</v>
      </c>
      <c r="AO165" s="19">
        <f t="shared" si="165"/>
        <v>45665.375</v>
      </c>
      <c r="AP165" s="19">
        <f t="shared" si="165"/>
        <v>45665.39583</v>
      </c>
      <c r="AQ165" s="19">
        <f t="shared" si="165"/>
        <v>45665.41667</v>
      </c>
      <c r="AR165" s="19">
        <f t="shared" si="165"/>
        <v>45665.4375</v>
      </c>
      <c r="AS165" s="19">
        <f t="shared" si="165"/>
        <v>45665.45833</v>
      </c>
      <c r="AT165" s="19">
        <f t="shared" si="165"/>
        <v>45665.47917</v>
      </c>
      <c r="AU165" s="19">
        <f t="shared" si="165"/>
        <v>45665.5</v>
      </c>
      <c r="AV165" s="19">
        <f t="shared" si="165"/>
        <v>45665.52083</v>
      </c>
      <c r="AW165" s="19">
        <f t="shared" si="165"/>
        <v>45665.54167</v>
      </c>
      <c r="AX165" s="19">
        <f t="shared" si="165"/>
        <v>45665.5625</v>
      </c>
      <c r="AY165" s="19">
        <f t="shared" si="165"/>
        <v>45665.58333</v>
      </c>
      <c r="AZ165" s="19">
        <f t="shared" si="165"/>
        <v>45665.60417</v>
      </c>
      <c r="BA165" s="19">
        <f t="shared" si="165"/>
        <v>45665.625</v>
      </c>
      <c r="BB165" s="19">
        <f t="shared" si="165"/>
        <v>45665.64583</v>
      </c>
      <c r="BC165" s="19">
        <f t="shared" si="165"/>
        <v>45665.66667</v>
      </c>
      <c r="BD165" s="19">
        <f t="shared" si="165"/>
        <v>45665.6875</v>
      </c>
      <c r="BE165" s="19">
        <f t="shared" si="165"/>
        <v>45665.70833</v>
      </c>
      <c r="BF165" s="19">
        <f t="shared" si="165"/>
        <v>45665.72917</v>
      </c>
      <c r="BG165" s="19">
        <f t="shared" si="165"/>
        <v>45665.75</v>
      </c>
      <c r="BH165" s="19">
        <f t="shared" si="165"/>
        <v>45665.77083</v>
      </c>
      <c r="BI165" s="19">
        <f t="shared" si="165"/>
        <v>45665.79167</v>
      </c>
      <c r="BJ165" s="19">
        <f t="shared" si="165"/>
        <v>45665.8125</v>
      </c>
      <c r="BK165" s="19">
        <f t="shared" si="165"/>
        <v>45665.83333</v>
      </c>
      <c r="BL165" s="19">
        <f t="shared" si="165"/>
        <v>45665.85417</v>
      </c>
      <c r="BM165" s="19">
        <f t="shared" si="165"/>
        <v>45665.875</v>
      </c>
      <c r="BN165" s="19">
        <f t="shared" si="165"/>
        <v>45665.89583</v>
      </c>
      <c r="BO165" s="19">
        <f t="shared" si="165"/>
        <v>45665.91667</v>
      </c>
      <c r="BP165" s="19">
        <f t="shared" si="165"/>
        <v>45665.9375</v>
      </c>
      <c r="BQ165" s="19">
        <f t="shared" si="165"/>
        <v>45665.95833</v>
      </c>
      <c r="BR165" s="19">
        <f t="shared" si="165"/>
        <v>45665.97917</v>
      </c>
      <c r="BS165" s="19">
        <f t="shared" si="165"/>
        <v>45666</v>
      </c>
      <c r="BT165" s="19">
        <f t="shared" si="165"/>
        <v>45666.02083</v>
      </c>
      <c r="BU165" s="19">
        <f t="shared" si="165"/>
        <v>45666.04167</v>
      </c>
      <c r="BV165" s="19">
        <f t="shared" si="165"/>
        <v>45666.0625</v>
      </c>
      <c r="BW165" s="19">
        <f t="shared" si="165"/>
        <v>45666.08333</v>
      </c>
      <c r="BX165" s="19">
        <f t="shared" si="165"/>
        <v>45665</v>
      </c>
      <c r="BY165" s="19">
        <f t="shared" si="165"/>
        <v>45665</v>
      </c>
      <c r="BZ165" s="19">
        <f t="shared" si="165"/>
        <v>45665</v>
      </c>
    </row>
    <row r="166" ht="14.25" customHeight="1">
      <c r="A166" s="17">
        <v>45666.0</v>
      </c>
      <c r="B166" s="2" t="str">
        <f t="array" ref="B166">IF(NOW()&gt;AM166,"",IF(AND((WEEKDAY($A166)+$B$2)&gt;1,((WEEKDAY($A166)+$T$2)&lt;7),(WEEKDAY($A166)&lt;&gt;1)),"work",(INDEX(Subject!$A:$I,MATCH(RANDBETWEEN(1,(MAX(Subject!$B:$B))),Subject!$B:$B,0),3))))</f>
        <v/>
      </c>
      <c r="C166" s="2" t="str">
        <f t="array" ref="C166">IF(NOW()&gt;AN166,"",IF(AND((WEEKDAY($A166)+$B$2)&gt;1,((WEEKDAY($A166)+$T$2)&lt;7),(WEEKDAY($A166)&lt;&gt;1)),"work",(INDEX(Subject!$A:$I,MATCH(RANDBETWEEN(1,(MAX(Subject!$B:$B))),Subject!$B:$B,0),3))))</f>
        <v/>
      </c>
      <c r="D166" s="2" t="str">
        <f t="array" ref="D166">IF(NOW()&gt;AO166,"",IF(AND((WEEKDAY($A166)+$B$2)&gt;1,((WEEKDAY($A166)+$T$2)&lt;7),(WEEKDAY($A166)&lt;&gt;1)),"work",(INDEX(Subject!$A:$I,MATCH(RANDBETWEEN(1,(MAX(Subject!$B:$B))),Subject!$B:$B,0),3))))</f>
        <v/>
      </c>
      <c r="E166" s="2" t="str">
        <f t="array" ref="E166">IF(NOW()&gt;AP166,"",IF(AND((WEEKDAY($A166)+$B$2)&gt;1,((WEEKDAY($A166)+$T$2)&lt;7),(WEEKDAY($A166)&lt;&gt;1)),"work",(INDEX(Subject!$A:$I,MATCH(RANDBETWEEN(1,(MAX(Subject!$B:$B))),Subject!$B:$B,0),3))))</f>
        <v/>
      </c>
      <c r="F166" s="2" t="str">
        <f t="array" ref="F166">IF(NOW()&gt;AQ166,"",IF(AND((WEEKDAY($A166)+$B$2)&gt;1,((WEEKDAY($A166)+$T$2)&lt;7),(WEEKDAY($A166)&lt;&gt;1)),"work",(INDEX(Subject!$A:$I,MATCH(RANDBETWEEN(1,(MAX(Subject!$B:$B))),Subject!$B:$B,0),3))))</f>
        <v/>
      </c>
      <c r="G166" s="2" t="str">
        <f t="array" ref="G166">IF(NOW()&gt;AR166,"",IF(AND((WEEKDAY($A166)+$B$2)&gt;1,((WEEKDAY($A166)+$T$2)&lt;7),(WEEKDAY($A166)&lt;&gt;1)),"work",(INDEX(Subject!$A:$I,MATCH(RANDBETWEEN(1,(MAX(Subject!$B:$B))),Subject!$B:$B,0),3))))</f>
        <v/>
      </c>
      <c r="H166" s="2" t="str">
        <f t="array" ref="H166">IF(NOW()&gt;AS166,"",IF(AND((WEEKDAY($A166)+$B$2)&gt;1,((WEEKDAY($A166)+$T$2)&lt;7),(WEEKDAY($A166)&lt;&gt;1)),"work",(INDEX(Subject!$A:$I,MATCH(RANDBETWEEN(1,(MAX(Subject!$B:$B))),Subject!$B:$B,0),3))))</f>
        <v/>
      </c>
      <c r="I166" s="2" t="str">
        <f t="array" ref="I166">IF(NOW()&gt;AT166,"",IF(AND((WEEKDAY($A166)+$B$2)&gt;1,((WEEKDAY($A166)+$T$2)&lt;7),(WEEKDAY($A166)&lt;&gt;1)),"work",(INDEX(Subject!$A:$I,MATCH(RANDBETWEEN(1,(MAX(Subject!$B:$B))),Subject!$B:$B,0),3))))</f>
        <v/>
      </c>
      <c r="J166" s="2" t="str">
        <f t="array" ref="J166">IF(NOW()&gt;AU166,"",IF(AND((WEEKDAY($A166)+$B$2)&gt;1,((WEEKDAY($A166)+$T$2)&lt;7),(WEEKDAY($A166)&lt;&gt;1)),"work",(INDEX(Subject!$A:$I,MATCH(RANDBETWEEN(1,(MAX(Subject!$B:$B))),Subject!$B:$B,0),3))))</f>
        <v/>
      </c>
      <c r="K166" s="2" t="str">
        <f t="array" ref="K166">IF(NOW()&gt;AV166,"",IF(AND((WEEKDAY($A166)+$B$2)&gt;1,((WEEKDAY($A166)+$T$2)&lt;7),(WEEKDAY($A166)&lt;&gt;1)),"work",(INDEX(Subject!$A:$I,MATCH(RANDBETWEEN(1,(MAX(Subject!$B:$B))),Subject!$B:$B,0),3))))</f>
        <v/>
      </c>
      <c r="L166" s="2" t="str">
        <f t="array" ref="L166">IF(NOW()&gt;AW166,"",IF(AND((WEEKDAY($A166)+$B$2)&gt;1,((WEEKDAY($A166)+$T$2)&lt;7),(WEEKDAY($A166)&lt;&gt;1)),"work",(INDEX(Subject!$A:$I,MATCH(RANDBETWEEN(1,(MAX(Subject!$B:$B))),Subject!$B:$B,0),3))))</f>
        <v/>
      </c>
      <c r="M166" s="2" t="str">
        <f t="array" ref="M166">IF(NOW()&gt;AX166,"",IF(AND((WEEKDAY($A166)+$B$2)&gt;1,((WEEKDAY($A166)+$T$2)&lt;7),(WEEKDAY($A166)&lt;&gt;1)),"work",(INDEX(Subject!$A:$I,MATCH(RANDBETWEEN(1,(MAX(Subject!$B:$B))),Subject!$B:$B,0),3))))</f>
        <v/>
      </c>
      <c r="N166" s="2" t="str">
        <f t="array" ref="N166">IF(NOW()&gt;AY166,"",IF(AND((WEEKDAY($A166)+$B$2)&gt;1,((WEEKDAY($A166)+$T$2)&lt;7),(WEEKDAY($A166)&lt;&gt;1)),"work",(INDEX(Subject!$A:$I,MATCH(RANDBETWEEN(1,(MAX(Subject!$B:$B))),Subject!$B:$B,0),3))))</f>
        <v/>
      </c>
      <c r="O166" s="2" t="str">
        <f t="array" ref="O166">IF(NOW()&gt;AZ166,"",IF(AND((WEEKDAY($A166)+$B$2)&gt;1,((WEEKDAY($A166)+$T$2)&lt;7),(WEEKDAY($A166)&lt;&gt;1)),"work",(INDEX(Subject!$A:$I,MATCH(RANDBETWEEN(1,(MAX(Subject!$B:$B))),Subject!$B:$B,0),3))))</f>
        <v/>
      </c>
      <c r="P166" s="2" t="str">
        <f t="array" ref="P166">IF(NOW()&gt;BA166,"",IF(AND((WEEKDAY($A166)+$B$2)&gt;1,((WEEKDAY($A166)+$T$2)&lt;7),(WEEKDAY($A166)&lt;&gt;1)),"work",(INDEX(Subject!$A:$I,MATCH(RANDBETWEEN(1,(MAX(Subject!$B:$B))),Subject!$B:$B,0),3))))</f>
        <v/>
      </c>
      <c r="Q166" s="2" t="str">
        <f t="array" ref="Q166">IF(NOW()&gt;BB166,"",IF(AND((WEEKDAY($A166)+$B$2)&gt;1,((WEEKDAY($A166)+$T$2)&lt;7),(WEEKDAY($A166)&lt;&gt;1)),"work",(INDEX(Subject!$A:$I,MATCH(RANDBETWEEN(1,(MAX(Subject!$B:$B))),Subject!$B:$B,0),3))))</f>
        <v/>
      </c>
      <c r="R166" s="2" t="str">
        <f t="array" ref="R166">IF(NOW()&gt;BC166,"",IF(AND((WEEKDAY($A166)+$B$2)&gt;1,((WEEKDAY($A166)+$T$2)&lt;7),(WEEKDAY($A166)&lt;&gt;1)),"work",(INDEX(Subject!$A:$I,MATCH(RANDBETWEEN(1,(MAX(Subject!$B:$B))),Subject!$B:$B,0),3))))</f>
        <v/>
      </c>
      <c r="S166" s="2" t="str">
        <f t="array" ref="S166">IF(NOW()&gt;BD166,"",IF(AND((WEEKDAY($A166)+$B$2)&gt;1,((WEEKDAY($A166)+$T$2)&lt;7),(WEEKDAY($A166)&lt;&gt;1)),"work",(INDEX(Subject!$A:$I,MATCH(RANDBETWEEN(1,(MAX(Subject!$B:$B))),Subject!$B:$B,0),3))))</f>
        <v/>
      </c>
      <c r="T166" s="2" t="str">
        <f t="array" ref="T166">IF(NOW()&gt;BE166,"",IF(AND((WEEKDAY($A166)+$B$2)&gt;1,((WEEKDAY($A166)+$T$2)&lt;7),(WEEKDAY($A166)&lt;&gt;1)),"work",(INDEX(Subject!$A:$I,MATCH(RANDBETWEEN(1,(MAX(Subject!$B:$B))),Subject!$B:$B,0),3))))</f>
        <v/>
      </c>
      <c r="U166" s="8" t="str">
        <f t="array" ref="U166">INDEX(Subject!$A:$I,MATCH(RANDBETWEEN(1,16),Subject!$B:$B,0),3)</f>
        <v>#N/A</v>
      </c>
      <c r="V166" s="8" t="str">
        <f t="array" ref="V166">INDEX(Subject!$A:$I,MATCH(RANDBETWEEN(1,16),Subject!$B:$B,0),3)</f>
        <v>#N/A</v>
      </c>
      <c r="W166" s="8" t="str">
        <f t="array" ref="W166">INDEX(Subject!$A:$I,MATCH(RANDBETWEEN(1,16),Subject!$B:$B,0),3)</f>
        <v>#N/A</v>
      </c>
      <c r="X166" s="8" t="str">
        <f t="array" ref="X166">INDEX(Subject!$A:$I,MATCH(RANDBETWEEN(1,16),Subject!$B:$B,0),3)</f>
        <v>#N/A</v>
      </c>
      <c r="Y166" s="8" t="str">
        <f t="array" ref="Y166">INDEX(Subject!$A:$I,MATCH(RANDBETWEEN(1,16),Subject!$B:$B,0),3)</f>
        <v>#N/A</v>
      </c>
      <c r="Z166" s="8" t="str">
        <f t="array" ref="Z166">INDEX(Subject!$A:$I,MATCH(RANDBETWEEN(1,16),Subject!$B:$B,0),3)</f>
        <v>#N/A</v>
      </c>
      <c r="AA166" s="8" t="str">
        <f t="array" ref="AA166">INDEX(Subject!$A:$I,MATCH(RANDBETWEEN(1,16),Subject!$B:$B,0),3)</f>
        <v>#N/A</v>
      </c>
      <c r="AB166" s="8" t="str">
        <f t="array" ref="AB166">INDEX(Subject!$A:$I,MATCH(RANDBETWEEN(1,16),Subject!$B:$B,0),3)</f>
        <v>#N/A</v>
      </c>
      <c r="AC166" s="8" t="str">
        <f t="array" ref="AC166">INDEX(Subject!$A:$I,MATCH(RANDBETWEEN(1,16),Subject!$B:$B,0),3)</f>
        <v>#N/A</v>
      </c>
      <c r="AD166" s="8" t="str">
        <f t="array" ref="AD166">INDEX(Subject!$A:$I,MATCH(RANDBETWEEN(1,16),Subject!$B:$B,0),3)</f>
        <v>#N/A</v>
      </c>
      <c r="AE166" s="8" t="str">
        <f t="array" ref="AE166">INDEX(Subject!$A:$I,MATCH(RANDBETWEEN(1,16),Subject!$B:$B,0),3)</f>
        <v>#N/A</v>
      </c>
      <c r="AF166" s="8" t="str">
        <f t="array" ref="AF166">INDEX(Subject!$A:$I,MATCH(RANDBETWEEN(1,16),Subject!$B:$B,0),3)</f>
        <v>#N/A</v>
      </c>
      <c r="AG166" s="8" t="str">
        <f t="array" ref="AG166">INDEX(Subject!$A:$I,MATCH(RANDBETWEEN(1,16),Subject!$B:$B,0),3)</f>
        <v>#N/A</v>
      </c>
      <c r="AH166" s="8" t="str">
        <f t="array" ref="AH166">INDEX(Subject!$A:$I,MATCH(RANDBETWEEN(1,16),Subject!$B:$B,0),3)</f>
        <v>#N/A</v>
      </c>
      <c r="AI166" s="8" t="str">
        <f t="array" ref="AI166">INDEX(Subject!$A:$I,MATCH(RANDBETWEEN(1,16),Subject!$B:$B,0),3)</f>
        <v>#N/A</v>
      </c>
      <c r="AJ166" s="8" t="str">
        <f t="array" ref="AJ166">INDEX(Subject!$A:$I,MATCH(RANDBETWEEN(1,16),Subject!$B:$B,0),3)</f>
        <v>#N/A</v>
      </c>
      <c r="AK166" s="8" t="str">
        <f t="array" ref="AK166">INDEX(Subject!$A:$I,MATCH(RANDBETWEEN(1,16),Subject!$B:$B,0),3)</f>
        <v>#N/A</v>
      </c>
      <c r="AL166" s="8" t="str">
        <f t="array" ref="AL166">INDEX(Subject!$A:$I,MATCH(RANDBETWEEN(1,16),Subject!$B:$B,0),3)</f>
        <v>#N/A</v>
      </c>
      <c r="AM166" s="18">
        <f t="shared" si="4"/>
        <v>45666.33333</v>
      </c>
      <c r="AN166" s="19">
        <f t="shared" ref="AN166:BZ166" si="166">$A166+C$1</f>
        <v>45666.35417</v>
      </c>
      <c r="AO166" s="19">
        <f t="shared" si="166"/>
        <v>45666.375</v>
      </c>
      <c r="AP166" s="19">
        <f t="shared" si="166"/>
        <v>45666.39583</v>
      </c>
      <c r="AQ166" s="19">
        <f t="shared" si="166"/>
        <v>45666.41667</v>
      </c>
      <c r="AR166" s="19">
        <f t="shared" si="166"/>
        <v>45666.4375</v>
      </c>
      <c r="AS166" s="19">
        <f t="shared" si="166"/>
        <v>45666.45833</v>
      </c>
      <c r="AT166" s="19">
        <f t="shared" si="166"/>
        <v>45666.47917</v>
      </c>
      <c r="AU166" s="19">
        <f t="shared" si="166"/>
        <v>45666.5</v>
      </c>
      <c r="AV166" s="19">
        <f t="shared" si="166"/>
        <v>45666.52083</v>
      </c>
      <c r="AW166" s="19">
        <f t="shared" si="166"/>
        <v>45666.54167</v>
      </c>
      <c r="AX166" s="19">
        <f t="shared" si="166"/>
        <v>45666.5625</v>
      </c>
      <c r="AY166" s="19">
        <f t="shared" si="166"/>
        <v>45666.58333</v>
      </c>
      <c r="AZ166" s="19">
        <f t="shared" si="166"/>
        <v>45666.60417</v>
      </c>
      <c r="BA166" s="19">
        <f t="shared" si="166"/>
        <v>45666.625</v>
      </c>
      <c r="BB166" s="19">
        <f t="shared" si="166"/>
        <v>45666.64583</v>
      </c>
      <c r="BC166" s="19">
        <f t="shared" si="166"/>
        <v>45666.66667</v>
      </c>
      <c r="BD166" s="19">
        <f t="shared" si="166"/>
        <v>45666.6875</v>
      </c>
      <c r="BE166" s="19">
        <f t="shared" si="166"/>
        <v>45666.70833</v>
      </c>
      <c r="BF166" s="19">
        <f t="shared" si="166"/>
        <v>45666.72917</v>
      </c>
      <c r="BG166" s="19">
        <f t="shared" si="166"/>
        <v>45666.75</v>
      </c>
      <c r="BH166" s="19">
        <f t="shared" si="166"/>
        <v>45666.77083</v>
      </c>
      <c r="BI166" s="19">
        <f t="shared" si="166"/>
        <v>45666.79167</v>
      </c>
      <c r="BJ166" s="19">
        <f t="shared" si="166"/>
        <v>45666.8125</v>
      </c>
      <c r="BK166" s="19">
        <f t="shared" si="166"/>
        <v>45666.83333</v>
      </c>
      <c r="BL166" s="19">
        <f t="shared" si="166"/>
        <v>45666.85417</v>
      </c>
      <c r="BM166" s="19">
        <f t="shared" si="166"/>
        <v>45666.875</v>
      </c>
      <c r="BN166" s="19">
        <f t="shared" si="166"/>
        <v>45666.89583</v>
      </c>
      <c r="BO166" s="19">
        <f t="shared" si="166"/>
        <v>45666.91667</v>
      </c>
      <c r="BP166" s="19">
        <f t="shared" si="166"/>
        <v>45666.9375</v>
      </c>
      <c r="BQ166" s="19">
        <f t="shared" si="166"/>
        <v>45666.95833</v>
      </c>
      <c r="BR166" s="19">
        <f t="shared" si="166"/>
        <v>45666.97917</v>
      </c>
      <c r="BS166" s="19">
        <f t="shared" si="166"/>
        <v>45667</v>
      </c>
      <c r="BT166" s="19">
        <f t="shared" si="166"/>
        <v>45667.02083</v>
      </c>
      <c r="BU166" s="19">
        <f t="shared" si="166"/>
        <v>45667.04167</v>
      </c>
      <c r="BV166" s="19">
        <f t="shared" si="166"/>
        <v>45667.0625</v>
      </c>
      <c r="BW166" s="19">
        <f t="shared" si="166"/>
        <v>45667.08333</v>
      </c>
      <c r="BX166" s="19">
        <f t="shared" si="166"/>
        <v>45666</v>
      </c>
      <c r="BY166" s="19">
        <f t="shared" si="166"/>
        <v>45666</v>
      </c>
      <c r="BZ166" s="19">
        <f t="shared" si="166"/>
        <v>45666</v>
      </c>
    </row>
    <row r="167" ht="14.25" customHeight="1">
      <c r="A167" s="17">
        <v>45667.0</v>
      </c>
      <c r="B167" s="2" t="str">
        <f t="array" ref="B167">IF(NOW()&gt;AM167,"",IF(AND((WEEKDAY($A167)+$B$2)&gt;1,((WEEKDAY($A167)+$T$2)&lt;7),(WEEKDAY($A167)&lt;&gt;1)),"work",(INDEX(Subject!$A:$I,MATCH(RANDBETWEEN(1,(MAX(Subject!$B:$B))),Subject!$B:$B,0),3))))</f>
        <v/>
      </c>
      <c r="C167" s="2" t="str">
        <f t="array" ref="C167">IF(NOW()&gt;AN167,"",IF(AND((WEEKDAY($A167)+$B$2)&gt;1,((WEEKDAY($A167)+$T$2)&lt;7),(WEEKDAY($A167)&lt;&gt;1)),"work",(INDEX(Subject!$A:$I,MATCH(RANDBETWEEN(1,(MAX(Subject!$B:$B))),Subject!$B:$B,0),3))))</f>
        <v/>
      </c>
      <c r="D167" s="2" t="str">
        <f t="array" ref="D167">IF(NOW()&gt;AO167,"",IF(AND((WEEKDAY($A167)+$B$2)&gt;1,((WEEKDAY($A167)+$T$2)&lt;7),(WEEKDAY($A167)&lt;&gt;1)),"work",(INDEX(Subject!$A:$I,MATCH(RANDBETWEEN(1,(MAX(Subject!$B:$B))),Subject!$B:$B,0),3))))</f>
        <v/>
      </c>
      <c r="E167" s="2" t="str">
        <f t="array" ref="E167">IF(NOW()&gt;AP167,"",IF(AND((WEEKDAY($A167)+$B$2)&gt;1,((WEEKDAY($A167)+$T$2)&lt;7),(WEEKDAY($A167)&lt;&gt;1)),"work",(INDEX(Subject!$A:$I,MATCH(RANDBETWEEN(1,(MAX(Subject!$B:$B))),Subject!$B:$B,0),3))))</f>
        <v/>
      </c>
      <c r="F167" s="2" t="str">
        <f t="array" ref="F167">IF(NOW()&gt;AQ167,"",IF(AND((WEEKDAY($A167)+$B$2)&gt;1,((WEEKDAY($A167)+$T$2)&lt;7),(WEEKDAY($A167)&lt;&gt;1)),"work",(INDEX(Subject!$A:$I,MATCH(RANDBETWEEN(1,(MAX(Subject!$B:$B))),Subject!$B:$B,0),3))))</f>
        <v/>
      </c>
      <c r="G167" s="2" t="str">
        <f t="array" ref="G167">IF(NOW()&gt;AR167,"",IF(AND((WEEKDAY($A167)+$B$2)&gt;1,((WEEKDAY($A167)+$T$2)&lt;7),(WEEKDAY($A167)&lt;&gt;1)),"work",(INDEX(Subject!$A:$I,MATCH(RANDBETWEEN(1,(MAX(Subject!$B:$B))),Subject!$B:$B,0),3))))</f>
        <v/>
      </c>
      <c r="H167" s="2" t="str">
        <f t="array" ref="H167">IF(NOW()&gt;AS167,"",IF(AND((WEEKDAY($A167)+$B$2)&gt;1,((WEEKDAY($A167)+$T$2)&lt;7),(WEEKDAY($A167)&lt;&gt;1)),"work",(INDEX(Subject!$A:$I,MATCH(RANDBETWEEN(1,(MAX(Subject!$B:$B))),Subject!$B:$B,0),3))))</f>
        <v/>
      </c>
      <c r="I167" s="2" t="str">
        <f t="array" ref="I167">IF(NOW()&gt;AT167,"",IF(AND((WEEKDAY($A167)+$B$2)&gt;1,((WEEKDAY($A167)+$T$2)&lt;7),(WEEKDAY($A167)&lt;&gt;1)),"work",(INDEX(Subject!$A:$I,MATCH(RANDBETWEEN(1,(MAX(Subject!$B:$B))),Subject!$B:$B,0),3))))</f>
        <v/>
      </c>
      <c r="J167" s="2" t="str">
        <f t="array" ref="J167">IF(NOW()&gt;AU167,"",IF(AND((WEEKDAY($A167)+$B$2)&gt;1,((WEEKDAY($A167)+$T$2)&lt;7),(WEEKDAY($A167)&lt;&gt;1)),"work",(INDEX(Subject!$A:$I,MATCH(RANDBETWEEN(1,(MAX(Subject!$B:$B))),Subject!$B:$B,0),3))))</f>
        <v/>
      </c>
      <c r="K167" s="2" t="str">
        <f t="array" ref="K167">IF(NOW()&gt;AV167,"",IF(AND((WEEKDAY($A167)+$B$2)&gt;1,((WEEKDAY($A167)+$T$2)&lt;7),(WEEKDAY($A167)&lt;&gt;1)),"work",(INDEX(Subject!$A:$I,MATCH(RANDBETWEEN(1,(MAX(Subject!$B:$B))),Subject!$B:$B,0),3))))</f>
        <v/>
      </c>
      <c r="L167" s="2" t="str">
        <f t="array" ref="L167">IF(NOW()&gt;AW167,"",IF(AND((WEEKDAY($A167)+$B$2)&gt;1,((WEEKDAY($A167)+$T$2)&lt;7),(WEEKDAY($A167)&lt;&gt;1)),"work",(INDEX(Subject!$A:$I,MATCH(RANDBETWEEN(1,(MAX(Subject!$B:$B))),Subject!$B:$B,0),3))))</f>
        <v/>
      </c>
      <c r="M167" s="2" t="str">
        <f t="array" ref="M167">IF(NOW()&gt;AX167,"",IF(AND((WEEKDAY($A167)+$B$2)&gt;1,((WEEKDAY($A167)+$T$2)&lt;7),(WEEKDAY($A167)&lt;&gt;1)),"work",(INDEX(Subject!$A:$I,MATCH(RANDBETWEEN(1,(MAX(Subject!$B:$B))),Subject!$B:$B,0),3))))</f>
        <v/>
      </c>
      <c r="N167" s="2" t="str">
        <f t="array" ref="N167">IF(NOW()&gt;AY167,"",IF(AND((WEEKDAY($A167)+$B$2)&gt;1,((WEEKDAY($A167)+$T$2)&lt;7),(WEEKDAY($A167)&lt;&gt;1)),"work",(INDEX(Subject!$A:$I,MATCH(RANDBETWEEN(1,(MAX(Subject!$B:$B))),Subject!$B:$B,0),3))))</f>
        <v/>
      </c>
      <c r="O167" s="2" t="str">
        <f t="array" ref="O167">IF(NOW()&gt;AZ167,"",IF(AND((WEEKDAY($A167)+$B$2)&gt;1,((WEEKDAY($A167)+$T$2)&lt;7),(WEEKDAY($A167)&lt;&gt;1)),"work",(INDEX(Subject!$A:$I,MATCH(RANDBETWEEN(1,(MAX(Subject!$B:$B))),Subject!$B:$B,0),3))))</f>
        <v/>
      </c>
      <c r="P167" s="2" t="str">
        <f t="array" ref="P167">IF(NOW()&gt;BA167,"",IF(AND((WEEKDAY($A167)+$B$2)&gt;1,((WEEKDAY($A167)+$T$2)&lt;7),(WEEKDAY($A167)&lt;&gt;1)),"work",(INDEX(Subject!$A:$I,MATCH(RANDBETWEEN(1,(MAX(Subject!$B:$B))),Subject!$B:$B,0),3))))</f>
        <v/>
      </c>
      <c r="Q167" s="2" t="str">
        <f t="array" ref="Q167">IF(NOW()&gt;BB167,"",IF(AND((WEEKDAY($A167)+$B$2)&gt;1,((WEEKDAY($A167)+$T$2)&lt;7),(WEEKDAY($A167)&lt;&gt;1)),"work",(INDEX(Subject!$A:$I,MATCH(RANDBETWEEN(1,(MAX(Subject!$B:$B))),Subject!$B:$B,0),3))))</f>
        <v/>
      </c>
      <c r="R167" s="2" t="str">
        <f t="array" ref="R167">IF(NOW()&gt;BC167,"",IF(AND((WEEKDAY($A167)+$B$2)&gt;1,((WEEKDAY($A167)+$T$2)&lt;7),(WEEKDAY($A167)&lt;&gt;1)),"work",(INDEX(Subject!$A:$I,MATCH(RANDBETWEEN(1,(MAX(Subject!$B:$B))),Subject!$B:$B,0),3))))</f>
        <v/>
      </c>
      <c r="S167" s="2" t="str">
        <f t="array" ref="S167">IF(NOW()&gt;BD167,"",IF(AND((WEEKDAY($A167)+$B$2)&gt;1,((WEEKDAY($A167)+$T$2)&lt;7),(WEEKDAY($A167)&lt;&gt;1)),"work",(INDEX(Subject!$A:$I,MATCH(RANDBETWEEN(1,(MAX(Subject!$B:$B))),Subject!$B:$B,0),3))))</f>
        <v/>
      </c>
      <c r="T167" s="2" t="str">
        <f t="array" ref="T167">IF(NOW()&gt;BE167,"",IF(AND((WEEKDAY($A167)+$B$2)&gt;1,((WEEKDAY($A167)+$T$2)&lt;7),(WEEKDAY($A167)&lt;&gt;1)),"work",(INDEX(Subject!$A:$I,MATCH(RANDBETWEEN(1,(MAX(Subject!$B:$B))),Subject!$B:$B,0),3))))</f>
        <v/>
      </c>
      <c r="U167" s="8" t="str">
        <f t="array" ref="U167">INDEX(Subject!$A:$I,MATCH(RANDBETWEEN(1,16),Subject!$B:$B,0),3)</f>
        <v>#N/A</v>
      </c>
      <c r="V167" s="8" t="str">
        <f t="array" ref="V167">INDEX(Subject!$A:$I,MATCH(RANDBETWEEN(1,16),Subject!$B:$B,0),3)</f>
        <v>#N/A</v>
      </c>
      <c r="W167" s="8" t="str">
        <f t="array" ref="W167">INDEX(Subject!$A:$I,MATCH(RANDBETWEEN(1,16),Subject!$B:$B,0),3)</f>
        <v>#N/A</v>
      </c>
      <c r="X167" s="8" t="str">
        <f t="array" ref="X167">INDEX(Subject!$A:$I,MATCH(RANDBETWEEN(1,16),Subject!$B:$B,0),3)</f>
        <v>#N/A</v>
      </c>
      <c r="Y167" s="8" t="str">
        <f t="array" ref="Y167">INDEX(Subject!$A:$I,MATCH(RANDBETWEEN(1,16),Subject!$B:$B,0),3)</f>
        <v>#N/A</v>
      </c>
      <c r="Z167" s="8" t="str">
        <f t="array" ref="Z167">INDEX(Subject!$A:$I,MATCH(RANDBETWEEN(1,16),Subject!$B:$B,0),3)</f>
        <v>#N/A</v>
      </c>
      <c r="AA167" s="8" t="str">
        <f t="array" ref="AA167">INDEX(Subject!$A:$I,MATCH(RANDBETWEEN(1,16),Subject!$B:$B,0),3)</f>
        <v>#N/A</v>
      </c>
      <c r="AB167" s="8" t="str">
        <f t="array" ref="AB167">INDEX(Subject!$A:$I,MATCH(RANDBETWEEN(1,16),Subject!$B:$B,0),3)</f>
        <v>#N/A</v>
      </c>
      <c r="AC167" s="8" t="str">
        <f t="array" ref="AC167">INDEX(Subject!$A:$I,MATCH(RANDBETWEEN(1,16),Subject!$B:$B,0),3)</f>
        <v>#N/A</v>
      </c>
      <c r="AD167" s="8" t="str">
        <f t="array" ref="AD167">INDEX(Subject!$A:$I,MATCH(RANDBETWEEN(1,16),Subject!$B:$B,0),3)</f>
        <v>#N/A</v>
      </c>
      <c r="AE167" s="8" t="str">
        <f t="array" ref="AE167">INDEX(Subject!$A:$I,MATCH(RANDBETWEEN(1,16),Subject!$B:$B,0),3)</f>
        <v>#N/A</v>
      </c>
      <c r="AF167" s="8" t="str">
        <f t="array" ref="AF167">INDEX(Subject!$A:$I,MATCH(RANDBETWEEN(1,16),Subject!$B:$B,0),3)</f>
        <v>#N/A</v>
      </c>
      <c r="AG167" s="8" t="str">
        <f t="array" ref="AG167">INDEX(Subject!$A:$I,MATCH(RANDBETWEEN(1,16),Subject!$B:$B,0),3)</f>
        <v>#N/A</v>
      </c>
      <c r="AH167" s="8" t="str">
        <f t="array" ref="AH167">INDEX(Subject!$A:$I,MATCH(RANDBETWEEN(1,16),Subject!$B:$B,0),3)</f>
        <v>#N/A</v>
      </c>
      <c r="AI167" s="8" t="str">
        <f t="array" ref="AI167">INDEX(Subject!$A:$I,MATCH(RANDBETWEEN(1,16),Subject!$B:$B,0),3)</f>
        <v>#N/A</v>
      </c>
      <c r="AJ167" s="8" t="str">
        <f t="array" ref="AJ167">INDEX(Subject!$A:$I,MATCH(RANDBETWEEN(1,16),Subject!$B:$B,0),3)</f>
        <v>#N/A</v>
      </c>
      <c r="AK167" s="8" t="str">
        <f t="array" ref="AK167">INDEX(Subject!$A:$I,MATCH(RANDBETWEEN(1,16),Subject!$B:$B,0),3)</f>
        <v>#N/A</v>
      </c>
      <c r="AL167" s="8" t="str">
        <f t="array" ref="AL167">INDEX(Subject!$A:$I,MATCH(RANDBETWEEN(1,16),Subject!$B:$B,0),3)</f>
        <v>#N/A</v>
      </c>
      <c r="AM167" s="18">
        <f t="shared" si="4"/>
        <v>45667.33333</v>
      </c>
      <c r="AN167" s="19">
        <f t="shared" ref="AN167:BZ167" si="167">$A167+C$1</f>
        <v>45667.35417</v>
      </c>
      <c r="AO167" s="19">
        <f t="shared" si="167"/>
        <v>45667.375</v>
      </c>
      <c r="AP167" s="19">
        <f t="shared" si="167"/>
        <v>45667.39583</v>
      </c>
      <c r="AQ167" s="19">
        <f t="shared" si="167"/>
        <v>45667.41667</v>
      </c>
      <c r="AR167" s="19">
        <f t="shared" si="167"/>
        <v>45667.4375</v>
      </c>
      <c r="AS167" s="19">
        <f t="shared" si="167"/>
        <v>45667.45833</v>
      </c>
      <c r="AT167" s="19">
        <f t="shared" si="167"/>
        <v>45667.47917</v>
      </c>
      <c r="AU167" s="19">
        <f t="shared" si="167"/>
        <v>45667.5</v>
      </c>
      <c r="AV167" s="19">
        <f t="shared" si="167"/>
        <v>45667.52083</v>
      </c>
      <c r="AW167" s="19">
        <f t="shared" si="167"/>
        <v>45667.54167</v>
      </c>
      <c r="AX167" s="19">
        <f t="shared" si="167"/>
        <v>45667.5625</v>
      </c>
      <c r="AY167" s="19">
        <f t="shared" si="167"/>
        <v>45667.58333</v>
      </c>
      <c r="AZ167" s="19">
        <f t="shared" si="167"/>
        <v>45667.60417</v>
      </c>
      <c r="BA167" s="19">
        <f t="shared" si="167"/>
        <v>45667.625</v>
      </c>
      <c r="BB167" s="19">
        <f t="shared" si="167"/>
        <v>45667.64583</v>
      </c>
      <c r="BC167" s="19">
        <f t="shared" si="167"/>
        <v>45667.66667</v>
      </c>
      <c r="BD167" s="19">
        <f t="shared" si="167"/>
        <v>45667.6875</v>
      </c>
      <c r="BE167" s="19">
        <f t="shared" si="167"/>
        <v>45667.70833</v>
      </c>
      <c r="BF167" s="19">
        <f t="shared" si="167"/>
        <v>45667.72917</v>
      </c>
      <c r="BG167" s="19">
        <f t="shared" si="167"/>
        <v>45667.75</v>
      </c>
      <c r="BH167" s="19">
        <f t="shared" si="167"/>
        <v>45667.77083</v>
      </c>
      <c r="BI167" s="19">
        <f t="shared" si="167"/>
        <v>45667.79167</v>
      </c>
      <c r="BJ167" s="19">
        <f t="shared" si="167"/>
        <v>45667.8125</v>
      </c>
      <c r="BK167" s="19">
        <f t="shared" si="167"/>
        <v>45667.83333</v>
      </c>
      <c r="BL167" s="19">
        <f t="shared" si="167"/>
        <v>45667.85417</v>
      </c>
      <c r="BM167" s="19">
        <f t="shared" si="167"/>
        <v>45667.875</v>
      </c>
      <c r="BN167" s="19">
        <f t="shared" si="167"/>
        <v>45667.89583</v>
      </c>
      <c r="BO167" s="19">
        <f t="shared" si="167"/>
        <v>45667.91667</v>
      </c>
      <c r="BP167" s="19">
        <f t="shared" si="167"/>
        <v>45667.9375</v>
      </c>
      <c r="BQ167" s="19">
        <f t="shared" si="167"/>
        <v>45667.95833</v>
      </c>
      <c r="BR167" s="19">
        <f t="shared" si="167"/>
        <v>45667.97917</v>
      </c>
      <c r="BS167" s="19">
        <f t="shared" si="167"/>
        <v>45668</v>
      </c>
      <c r="BT167" s="19">
        <f t="shared" si="167"/>
        <v>45668.02083</v>
      </c>
      <c r="BU167" s="19">
        <f t="shared" si="167"/>
        <v>45668.04167</v>
      </c>
      <c r="BV167" s="19">
        <f t="shared" si="167"/>
        <v>45668.0625</v>
      </c>
      <c r="BW167" s="19">
        <f t="shared" si="167"/>
        <v>45668.08333</v>
      </c>
      <c r="BX167" s="19">
        <f t="shared" si="167"/>
        <v>45667</v>
      </c>
      <c r="BY167" s="19">
        <f t="shared" si="167"/>
        <v>45667</v>
      </c>
      <c r="BZ167" s="19">
        <f t="shared" si="167"/>
        <v>45667</v>
      </c>
    </row>
    <row r="168" ht="14.25" customHeight="1">
      <c r="A168" s="17">
        <v>45668.0</v>
      </c>
      <c r="B168" s="2" t="str">
        <f t="array" ref="B168">IF(NOW()&gt;AM168,"",IF(AND((WEEKDAY($A168)+$B$2)&gt;1,((WEEKDAY($A168)+$T$2)&lt;7),(WEEKDAY($A168)&lt;&gt;1)),"work",(INDEX(Subject!$A:$I,MATCH(RANDBETWEEN(1,(MAX(Subject!$B:$B))),Subject!$B:$B,0),3))))</f>
        <v/>
      </c>
      <c r="C168" s="2" t="str">
        <f t="array" ref="C168">IF(NOW()&gt;AN168,"",IF(AND((WEEKDAY($A168)+$B$2)&gt;1,((WEEKDAY($A168)+$T$2)&lt;7),(WEEKDAY($A168)&lt;&gt;1)),"work",(INDEX(Subject!$A:$I,MATCH(RANDBETWEEN(1,(MAX(Subject!$B:$B))),Subject!$B:$B,0),3))))</f>
        <v/>
      </c>
      <c r="D168" s="2" t="str">
        <f t="array" ref="D168">IF(NOW()&gt;AO168,"",IF(AND((WEEKDAY($A168)+$B$2)&gt;1,((WEEKDAY($A168)+$T$2)&lt;7),(WEEKDAY($A168)&lt;&gt;1)),"work",(INDEX(Subject!$A:$I,MATCH(RANDBETWEEN(1,(MAX(Subject!$B:$B))),Subject!$B:$B,0),3))))</f>
        <v/>
      </c>
      <c r="E168" s="2" t="str">
        <f t="array" ref="E168">IF(NOW()&gt;AP168,"",IF(AND((WEEKDAY($A168)+$B$2)&gt;1,((WEEKDAY($A168)+$T$2)&lt;7),(WEEKDAY($A168)&lt;&gt;1)),"work",(INDEX(Subject!$A:$I,MATCH(RANDBETWEEN(1,(MAX(Subject!$B:$B))),Subject!$B:$B,0),3))))</f>
        <v/>
      </c>
      <c r="F168" s="2" t="str">
        <f t="array" ref="F168">IF(NOW()&gt;AQ168,"",IF(AND((WEEKDAY($A168)+$B$2)&gt;1,((WEEKDAY($A168)+$T$2)&lt;7),(WEEKDAY($A168)&lt;&gt;1)),"work",(INDEX(Subject!$A:$I,MATCH(RANDBETWEEN(1,(MAX(Subject!$B:$B))),Subject!$B:$B,0),3))))</f>
        <v/>
      </c>
      <c r="G168" s="2" t="str">
        <f t="array" ref="G168">IF(NOW()&gt;AR168,"",IF(AND((WEEKDAY($A168)+$B$2)&gt;1,((WEEKDAY($A168)+$T$2)&lt;7),(WEEKDAY($A168)&lt;&gt;1)),"work",(INDEX(Subject!$A:$I,MATCH(RANDBETWEEN(1,(MAX(Subject!$B:$B))),Subject!$B:$B,0),3))))</f>
        <v/>
      </c>
      <c r="H168" s="2" t="str">
        <f t="array" ref="H168">IF(NOW()&gt;AS168,"",IF(AND((WEEKDAY($A168)+$B$2)&gt;1,((WEEKDAY($A168)+$T$2)&lt;7),(WEEKDAY($A168)&lt;&gt;1)),"work",(INDEX(Subject!$A:$I,MATCH(RANDBETWEEN(1,(MAX(Subject!$B:$B))),Subject!$B:$B,0),3))))</f>
        <v/>
      </c>
      <c r="I168" s="2" t="str">
        <f t="array" ref="I168">IF(NOW()&gt;AT168,"",IF(AND((WEEKDAY($A168)+$B$2)&gt;1,((WEEKDAY($A168)+$T$2)&lt;7),(WEEKDAY($A168)&lt;&gt;1)),"work",(INDEX(Subject!$A:$I,MATCH(RANDBETWEEN(1,(MAX(Subject!$B:$B))),Subject!$B:$B,0),3))))</f>
        <v/>
      </c>
      <c r="J168" s="2" t="str">
        <f t="array" ref="J168">IF(NOW()&gt;AU168,"",IF(AND((WEEKDAY($A168)+$B$2)&gt;1,((WEEKDAY($A168)+$T$2)&lt;7),(WEEKDAY($A168)&lt;&gt;1)),"work",(INDEX(Subject!$A:$I,MATCH(RANDBETWEEN(1,(MAX(Subject!$B:$B))),Subject!$B:$B,0),3))))</f>
        <v/>
      </c>
      <c r="K168" s="2" t="str">
        <f t="array" ref="K168">IF(NOW()&gt;AV168,"",IF(AND((WEEKDAY($A168)+$B$2)&gt;1,((WEEKDAY($A168)+$T$2)&lt;7),(WEEKDAY($A168)&lt;&gt;1)),"work",(INDEX(Subject!$A:$I,MATCH(RANDBETWEEN(1,(MAX(Subject!$B:$B))),Subject!$B:$B,0),3))))</f>
        <v/>
      </c>
      <c r="L168" s="2" t="str">
        <f t="array" ref="L168">IF(NOW()&gt;AW168,"",IF(AND((WEEKDAY($A168)+$B$2)&gt;1,((WEEKDAY($A168)+$T$2)&lt;7),(WEEKDAY($A168)&lt;&gt;1)),"work",(INDEX(Subject!$A:$I,MATCH(RANDBETWEEN(1,(MAX(Subject!$B:$B))),Subject!$B:$B,0),3))))</f>
        <v/>
      </c>
      <c r="M168" s="2" t="str">
        <f t="array" ref="M168">IF(NOW()&gt;AX168,"",IF(AND((WEEKDAY($A168)+$B$2)&gt;1,((WEEKDAY($A168)+$T$2)&lt;7),(WEEKDAY($A168)&lt;&gt;1)),"work",(INDEX(Subject!$A:$I,MATCH(RANDBETWEEN(1,(MAX(Subject!$B:$B))),Subject!$B:$B,0),3))))</f>
        <v/>
      </c>
      <c r="N168" s="2" t="str">
        <f t="array" ref="N168">IF(NOW()&gt;AY168,"",IF(AND((WEEKDAY($A168)+$B$2)&gt;1,((WEEKDAY($A168)+$T$2)&lt;7),(WEEKDAY($A168)&lt;&gt;1)),"work",(INDEX(Subject!$A:$I,MATCH(RANDBETWEEN(1,(MAX(Subject!$B:$B))),Subject!$B:$B,0),3))))</f>
        <v/>
      </c>
      <c r="O168" s="2" t="str">
        <f t="array" ref="O168">IF(NOW()&gt;AZ168,"",IF(AND((WEEKDAY($A168)+$B$2)&gt;1,((WEEKDAY($A168)+$T$2)&lt;7),(WEEKDAY($A168)&lt;&gt;1)),"work",(INDEX(Subject!$A:$I,MATCH(RANDBETWEEN(1,(MAX(Subject!$B:$B))),Subject!$B:$B,0),3))))</f>
        <v/>
      </c>
      <c r="P168" s="2" t="str">
        <f t="array" ref="P168">IF(NOW()&gt;BA168,"",IF(AND((WEEKDAY($A168)+$B$2)&gt;1,((WEEKDAY($A168)+$T$2)&lt;7),(WEEKDAY($A168)&lt;&gt;1)),"work",(INDEX(Subject!$A:$I,MATCH(RANDBETWEEN(1,(MAX(Subject!$B:$B))),Subject!$B:$B,0),3))))</f>
        <v/>
      </c>
      <c r="Q168" s="2" t="str">
        <f t="array" ref="Q168">IF(NOW()&gt;BB168,"",IF(AND((WEEKDAY($A168)+$B$2)&gt;1,((WEEKDAY($A168)+$T$2)&lt;7),(WEEKDAY($A168)&lt;&gt;1)),"work",(INDEX(Subject!$A:$I,MATCH(RANDBETWEEN(1,(MAX(Subject!$B:$B))),Subject!$B:$B,0),3))))</f>
        <v/>
      </c>
      <c r="R168" s="2" t="str">
        <f t="array" ref="R168">IF(NOW()&gt;BC168,"",IF(AND((WEEKDAY($A168)+$B$2)&gt;1,((WEEKDAY($A168)+$T$2)&lt;7),(WEEKDAY($A168)&lt;&gt;1)),"work",(INDEX(Subject!$A:$I,MATCH(RANDBETWEEN(1,(MAX(Subject!$B:$B))),Subject!$B:$B,0),3))))</f>
        <v/>
      </c>
      <c r="S168" s="2" t="str">
        <f t="array" ref="S168">IF(NOW()&gt;BD168,"",IF(AND((WEEKDAY($A168)+$B$2)&gt;1,((WEEKDAY($A168)+$T$2)&lt;7),(WEEKDAY($A168)&lt;&gt;1)),"work",(INDEX(Subject!$A:$I,MATCH(RANDBETWEEN(1,(MAX(Subject!$B:$B))),Subject!$B:$B,0),3))))</f>
        <v/>
      </c>
      <c r="T168" s="2" t="str">
        <f t="array" ref="T168">IF(NOW()&gt;BE168,"",IF(AND((WEEKDAY($A168)+$B$2)&gt;1,((WEEKDAY($A168)+$T$2)&lt;7),(WEEKDAY($A168)&lt;&gt;1)),"work",(INDEX(Subject!$A:$I,MATCH(RANDBETWEEN(1,(MAX(Subject!$B:$B))),Subject!$B:$B,0),3))))</f>
        <v/>
      </c>
      <c r="U168" s="8" t="str">
        <f t="array" ref="U168">INDEX(Subject!$A:$I,MATCH(RANDBETWEEN(1,16),Subject!$B:$B,0),3)</f>
        <v>#N/A</v>
      </c>
      <c r="V168" s="8" t="str">
        <f t="array" ref="V168">INDEX(Subject!$A:$I,MATCH(RANDBETWEEN(1,16),Subject!$B:$B,0),3)</f>
        <v>#N/A</v>
      </c>
      <c r="W168" s="8" t="str">
        <f t="array" ref="W168">INDEX(Subject!$A:$I,MATCH(RANDBETWEEN(1,16),Subject!$B:$B,0),3)</f>
        <v>#N/A</v>
      </c>
      <c r="X168" s="8" t="str">
        <f t="array" ref="X168">INDEX(Subject!$A:$I,MATCH(RANDBETWEEN(1,16),Subject!$B:$B,0),3)</f>
        <v>#N/A</v>
      </c>
      <c r="Y168" s="8" t="str">
        <f t="array" ref="Y168">INDEX(Subject!$A:$I,MATCH(RANDBETWEEN(1,16),Subject!$B:$B,0),3)</f>
        <v/>
      </c>
      <c r="Z168" s="8" t="str">
        <f t="array" ref="Z168">INDEX(Subject!$A:$I,MATCH(RANDBETWEEN(1,16),Subject!$B:$B,0),3)</f>
        <v>#N/A</v>
      </c>
      <c r="AA168" s="8" t="str">
        <f t="array" ref="AA168">INDEX(Subject!$A:$I,MATCH(RANDBETWEEN(1,16),Subject!$B:$B,0),3)</f>
        <v>#N/A</v>
      </c>
      <c r="AB168" s="8" t="str">
        <f t="array" ref="AB168">INDEX(Subject!$A:$I,MATCH(RANDBETWEEN(1,16),Subject!$B:$B,0),3)</f>
        <v>#N/A</v>
      </c>
      <c r="AC168" s="8" t="str">
        <f t="array" ref="AC168">INDEX(Subject!$A:$I,MATCH(RANDBETWEEN(1,16),Subject!$B:$B,0),3)</f>
        <v>#N/A</v>
      </c>
      <c r="AD168" s="8" t="str">
        <f t="array" ref="AD168">INDEX(Subject!$A:$I,MATCH(RANDBETWEEN(1,16),Subject!$B:$B,0),3)</f>
        <v>#N/A</v>
      </c>
      <c r="AE168" s="8" t="str">
        <f t="array" ref="AE168">INDEX(Subject!$A:$I,MATCH(RANDBETWEEN(1,16),Subject!$B:$B,0),3)</f>
        <v>#N/A</v>
      </c>
      <c r="AF168" s="8" t="str">
        <f t="array" ref="AF168">INDEX(Subject!$A:$I,MATCH(RANDBETWEEN(1,16),Subject!$B:$B,0),3)</f>
        <v>#N/A</v>
      </c>
      <c r="AG168" s="8" t="str">
        <f t="array" ref="AG168">INDEX(Subject!$A:$I,MATCH(RANDBETWEEN(1,16),Subject!$B:$B,0),3)</f>
        <v>#N/A</v>
      </c>
      <c r="AH168" s="8" t="str">
        <f t="array" ref="AH168">INDEX(Subject!$A:$I,MATCH(RANDBETWEEN(1,16),Subject!$B:$B,0),3)</f>
        <v>#N/A</v>
      </c>
      <c r="AI168" s="8" t="str">
        <f t="array" ref="AI168">INDEX(Subject!$A:$I,MATCH(RANDBETWEEN(1,16),Subject!$B:$B,0),3)</f>
        <v>#N/A</v>
      </c>
      <c r="AJ168" s="8" t="str">
        <f t="array" ref="AJ168">INDEX(Subject!$A:$I,MATCH(RANDBETWEEN(1,16),Subject!$B:$B,0),3)</f>
        <v>#N/A</v>
      </c>
      <c r="AK168" s="8" t="str">
        <f t="array" ref="AK168">INDEX(Subject!$A:$I,MATCH(RANDBETWEEN(1,16),Subject!$B:$B,0),3)</f>
        <v>#N/A</v>
      </c>
      <c r="AL168" s="8" t="str">
        <f t="array" ref="AL168">INDEX(Subject!$A:$I,MATCH(RANDBETWEEN(1,16),Subject!$B:$B,0),3)</f>
        <v>#N/A</v>
      </c>
      <c r="AM168" s="18">
        <f t="shared" si="4"/>
        <v>45668.33333</v>
      </c>
      <c r="AN168" s="19">
        <f t="shared" ref="AN168:BZ168" si="168">$A168+C$1</f>
        <v>45668.35417</v>
      </c>
      <c r="AO168" s="19">
        <f t="shared" si="168"/>
        <v>45668.375</v>
      </c>
      <c r="AP168" s="19">
        <f t="shared" si="168"/>
        <v>45668.39583</v>
      </c>
      <c r="AQ168" s="19">
        <f t="shared" si="168"/>
        <v>45668.41667</v>
      </c>
      <c r="AR168" s="19">
        <f t="shared" si="168"/>
        <v>45668.4375</v>
      </c>
      <c r="AS168" s="19">
        <f t="shared" si="168"/>
        <v>45668.45833</v>
      </c>
      <c r="AT168" s="19">
        <f t="shared" si="168"/>
        <v>45668.47917</v>
      </c>
      <c r="AU168" s="19">
        <f t="shared" si="168"/>
        <v>45668.5</v>
      </c>
      <c r="AV168" s="19">
        <f t="shared" si="168"/>
        <v>45668.52083</v>
      </c>
      <c r="AW168" s="19">
        <f t="shared" si="168"/>
        <v>45668.54167</v>
      </c>
      <c r="AX168" s="19">
        <f t="shared" si="168"/>
        <v>45668.5625</v>
      </c>
      <c r="AY168" s="19">
        <f t="shared" si="168"/>
        <v>45668.58333</v>
      </c>
      <c r="AZ168" s="19">
        <f t="shared" si="168"/>
        <v>45668.60417</v>
      </c>
      <c r="BA168" s="19">
        <f t="shared" si="168"/>
        <v>45668.625</v>
      </c>
      <c r="BB168" s="19">
        <f t="shared" si="168"/>
        <v>45668.64583</v>
      </c>
      <c r="BC168" s="19">
        <f t="shared" si="168"/>
        <v>45668.66667</v>
      </c>
      <c r="BD168" s="19">
        <f t="shared" si="168"/>
        <v>45668.6875</v>
      </c>
      <c r="BE168" s="19">
        <f t="shared" si="168"/>
        <v>45668.70833</v>
      </c>
      <c r="BF168" s="19">
        <f t="shared" si="168"/>
        <v>45668.72917</v>
      </c>
      <c r="BG168" s="19">
        <f t="shared" si="168"/>
        <v>45668.75</v>
      </c>
      <c r="BH168" s="19">
        <f t="shared" si="168"/>
        <v>45668.77083</v>
      </c>
      <c r="BI168" s="19">
        <f t="shared" si="168"/>
        <v>45668.79167</v>
      </c>
      <c r="BJ168" s="19">
        <f t="shared" si="168"/>
        <v>45668.8125</v>
      </c>
      <c r="BK168" s="19">
        <f t="shared" si="168"/>
        <v>45668.83333</v>
      </c>
      <c r="BL168" s="19">
        <f t="shared" si="168"/>
        <v>45668.85417</v>
      </c>
      <c r="BM168" s="19">
        <f t="shared" si="168"/>
        <v>45668.875</v>
      </c>
      <c r="BN168" s="19">
        <f t="shared" si="168"/>
        <v>45668.89583</v>
      </c>
      <c r="BO168" s="19">
        <f t="shared" si="168"/>
        <v>45668.91667</v>
      </c>
      <c r="BP168" s="19">
        <f t="shared" si="168"/>
        <v>45668.9375</v>
      </c>
      <c r="BQ168" s="19">
        <f t="shared" si="168"/>
        <v>45668.95833</v>
      </c>
      <c r="BR168" s="19">
        <f t="shared" si="168"/>
        <v>45668.97917</v>
      </c>
      <c r="BS168" s="19">
        <f t="shared" si="168"/>
        <v>45669</v>
      </c>
      <c r="BT168" s="19">
        <f t="shared" si="168"/>
        <v>45669.02083</v>
      </c>
      <c r="BU168" s="19">
        <f t="shared" si="168"/>
        <v>45669.04167</v>
      </c>
      <c r="BV168" s="19">
        <f t="shared" si="168"/>
        <v>45669.0625</v>
      </c>
      <c r="BW168" s="19">
        <f t="shared" si="168"/>
        <v>45669.08333</v>
      </c>
      <c r="BX168" s="19">
        <f t="shared" si="168"/>
        <v>45668</v>
      </c>
      <c r="BY168" s="19">
        <f t="shared" si="168"/>
        <v>45668</v>
      </c>
      <c r="BZ168" s="19">
        <f t="shared" si="168"/>
        <v>45668</v>
      </c>
    </row>
    <row r="169" ht="14.25" customHeight="1">
      <c r="A169" s="17">
        <v>45669.0</v>
      </c>
      <c r="B169" s="2" t="str">
        <f t="array" ref="B169">IF(NOW()&gt;AM169,"",IF(AND((WEEKDAY($A169)+$B$2)&gt;1,((WEEKDAY($A169)+$T$2)&lt;7),(WEEKDAY($A169)&lt;&gt;1)),"work",(INDEX(Subject!$A:$I,MATCH(RANDBETWEEN(1,(MAX(Subject!$B:$B))),Subject!$B:$B,0),3))))</f>
        <v/>
      </c>
      <c r="C169" s="2" t="str">
        <f t="array" ref="C169">IF(NOW()&gt;AN169,"",IF(AND((WEEKDAY($A169)+$B$2)&gt;1,((WEEKDAY($A169)+$T$2)&lt;7),(WEEKDAY($A169)&lt;&gt;1)),"work",(INDEX(Subject!$A:$I,MATCH(RANDBETWEEN(1,(MAX(Subject!$B:$B))),Subject!$B:$B,0),3))))</f>
        <v/>
      </c>
      <c r="D169" s="2" t="str">
        <f t="array" ref="D169">IF(NOW()&gt;AO169,"",IF(AND((WEEKDAY($A169)+$B$2)&gt;1,((WEEKDAY($A169)+$T$2)&lt;7),(WEEKDAY($A169)&lt;&gt;1)),"work",(INDEX(Subject!$A:$I,MATCH(RANDBETWEEN(1,(MAX(Subject!$B:$B))),Subject!$B:$B,0),3))))</f>
        <v/>
      </c>
      <c r="E169" s="2" t="str">
        <f t="array" ref="E169">IF(NOW()&gt;AP169,"",IF(AND((WEEKDAY($A169)+$B$2)&gt;1,((WEEKDAY($A169)+$T$2)&lt;7),(WEEKDAY($A169)&lt;&gt;1)),"work",(INDEX(Subject!$A:$I,MATCH(RANDBETWEEN(1,(MAX(Subject!$B:$B))),Subject!$B:$B,0),3))))</f>
        <v/>
      </c>
      <c r="F169" s="2" t="str">
        <f t="array" ref="F169">IF(NOW()&gt;AQ169,"",IF(AND((WEEKDAY($A169)+$B$2)&gt;1,((WEEKDAY($A169)+$T$2)&lt;7),(WEEKDAY($A169)&lt;&gt;1)),"work",(INDEX(Subject!$A:$I,MATCH(RANDBETWEEN(1,(MAX(Subject!$B:$B))),Subject!$B:$B,0),3))))</f>
        <v/>
      </c>
      <c r="G169" s="2" t="str">
        <f t="array" ref="G169">IF(NOW()&gt;AR169,"",IF(AND((WEEKDAY($A169)+$B$2)&gt;1,((WEEKDAY($A169)+$T$2)&lt;7),(WEEKDAY($A169)&lt;&gt;1)),"work",(INDEX(Subject!$A:$I,MATCH(RANDBETWEEN(1,(MAX(Subject!$B:$B))),Subject!$B:$B,0),3))))</f>
        <v/>
      </c>
      <c r="H169" s="2" t="str">
        <f t="array" ref="H169">IF(NOW()&gt;AS169,"",IF(AND((WEEKDAY($A169)+$B$2)&gt;1,((WEEKDAY($A169)+$T$2)&lt;7),(WEEKDAY($A169)&lt;&gt;1)),"work",(INDEX(Subject!$A:$I,MATCH(RANDBETWEEN(1,(MAX(Subject!$B:$B))),Subject!$B:$B,0),3))))</f>
        <v/>
      </c>
      <c r="I169" s="2" t="str">
        <f t="array" ref="I169">IF(NOW()&gt;AT169,"",IF(AND((WEEKDAY($A169)+$B$2)&gt;1,((WEEKDAY($A169)+$T$2)&lt;7),(WEEKDAY($A169)&lt;&gt;1)),"work",(INDEX(Subject!$A:$I,MATCH(RANDBETWEEN(1,(MAX(Subject!$B:$B))),Subject!$B:$B,0),3))))</f>
        <v/>
      </c>
      <c r="J169" s="2" t="str">
        <f t="array" ref="J169">IF(NOW()&gt;AU169,"",IF(AND((WEEKDAY($A169)+$B$2)&gt;1,((WEEKDAY($A169)+$T$2)&lt;7),(WEEKDAY($A169)&lt;&gt;1)),"work",(INDEX(Subject!$A:$I,MATCH(RANDBETWEEN(1,(MAX(Subject!$B:$B))),Subject!$B:$B,0),3))))</f>
        <v/>
      </c>
      <c r="K169" s="2" t="str">
        <f t="array" ref="K169">IF(NOW()&gt;AV169,"",IF(AND((WEEKDAY($A169)+$B$2)&gt;1,((WEEKDAY($A169)+$T$2)&lt;7),(WEEKDAY($A169)&lt;&gt;1)),"work",(INDEX(Subject!$A:$I,MATCH(RANDBETWEEN(1,(MAX(Subject!$B:$B))),Subject!$B:$B,0),3))))</f>
        <v/>
      </c>
      <c r="L169" s="2" t="str">
        <f t="array" ref="L169">IF(NOW()&gt;AW169,"",IF(AND((WEEKDAY($A169)+$B$2)&gt;1,((WEEKDAY($A169)+$T$2)&lt;7),(WEEKDAY($A169)&lt;&gt;1)),"work",(INDEX(Subject!$A:$I,MATCH(RANDBETWEEN(1,(MAX(Subject!$B:$B))),Subject!$B:$B,0),3))))</f>
        <v/>
      </c>
      <c r="M169" s="2" t="str">
        <f t="array" ref="M169">IF(NOW()&gt;AX169,"",IF(AND((WEEKDAY($A169)+$B$2)&gt;1,((WEEKDAY($A169)+$T$2)&lt;7),(WEEKDAY($A169)&lt;&gt;1)),"work",(INDEX(Subject!$A:$I,MATCH(RANDBETWEEN(1,(MAX(Subject!$B:$B))),Subject!$B:$B,0),3))))</f>
        <v/>
      </c>
      <c r="N169" s="2" t="str">
        <f t="array" ref="N169">IF(NOW()&gt;AY169,"",IF(AND((WEEKDAY($A169)+$B$2)&gt;1,((WEEKDAY($A169)+$T$2)&lt;7),(WEEKDAY($A169)&lt;&gt;1)),"work",(INDEX(Subject!$A:$I,MATCH(RANDBETWEEN(1,(MAX(Subject!$B:$B))),Subject!$B:$B,0),3))))</f>
        <v/>
      </c>
      <c r="O169" s="2" t="str">
        <f t="array" ref="O169">IF(NOW()&gt;AZ169,"",IF(AND((WEEKDAY($A169)+$B$2)&gt;1,((WEEKDAY($A169)+$T$2)&lt;7),(WEEKDAY($A169)&lt;&gt;1)),"work",(INDEX(Subject!$A:$I,MATCH(RANDBETWEEN(1,(MAX(Subject!$B:$B))),Subject!$B:$B,0),3))))</f>
        <v/>
      </c>
      <c r="P169" s="2" t="str">
        <f t="array" ref="P169">IF(NOW()&gt;BA169,"",IF(AND((WEEKDAY($A169)+$B$2)&gt;1,((WEEKDAY($A169)+$T$2)&lt;7),(WEEKDAY($A169)&lt;&gt;1)),"work",(INDEX(Subject!$A:$I,MATCH(RANDBETWEEN(1,(MAX(Subject!$B:$B))),Subject!$B:$B,0),3))))</f>
        <v/>
      </c>
      <c r="Q169" s="2" t="str">
        <f t="array" ref="Q169">IF(NOW()&gt;BB169,"",IF(AND((WEEKDAY($A169)+$B$2)&gt;1,((WEEKDAY($A169)+$T$2)&lt;7),(WEEKDAY($A169)&lt;&gt;1)),"work",(INDEX(Subject!$A:$I,MATCH(RANDBETWEEN(1,(MAX(Subject!$B:$B))),Subject!$B:$B,0),3))))</f>
        <v/>
      </c>
      <c r="R169" s="2" t="str">
        <f t="array" ref="R169">IF(NOW()&gt;BC169,"",IF(AND((WEEKDAY($A169)+$B$2)&gt;1,((WEEKDAY($A169)+$T$2)&lt;7),(WEEKDAY($A169)&lt;&gt;1)),"work",(INDEX(Subject!$A:$I,MATCH(RANDBETWEEN(1,(MAX(Subject!$B:$B))),Subject!$B:$B,0),3))))</f>
        <v/>
      </c>
      <c r="S169" s="2" t="str">
        <f t="array" ref="S169">IF(NOW()&gt;BD169,"",IF(AND((WEEKDAY($A169)+$B$2)&gt;1,((WEEKDAY($A169)+$T$2)&lt;7),(WEEKDAY($A169)&lt;&gt;1)),"work",(INDEX(Subject!$A:$I,MATCH(RANDBETWEEN(1,(MAX(Subject!$B:$B))),Subject!$B:$B,0),3))))</f>
        <v/>
      </c>
      <c r="T169" s="2" t="str">
        <f t="array" ref="T169">IF(NOW()&gt;BE169,"",IF(AND((WEEKDAY($A169)+$B$2)&gt;1,((WEEKDAY($A169)+$T$2)&lt;7),(WEEKDAY($A169)&lt;&gt;1)),"work",(INDEX(Subject!$A:$I,MATCH(RANDBETWEEN(1,(MAX(Subject!$B:$B))),Subject!$B:$B,0),3))))</f>
        <v/>
      </c>
      <c r="U169" s="8" t="str">
        <f t="array" ref="U169">INDEX(Subject!$A:$I,MATCH(RANDBETWEEN(1,16),Subject!$B:$B,0),3)</f>
        <v>#N/A</v>
      </c>
      <c r="V169" s="8" t="str">
        <f t="array" ref="V169">INDEX(Subject!$A:$I,MATCH(RANDBETWEEN(1,16),Subject!$B:$B,0),3)</f>
        <v>#N/A</v>
      </c>
      <c r="W169" s="8" t="str">
        <f t="array" ref="W169">INDEX(Subject!$A:$I,MATCH(RANDBETWEEN(1,16),Subject!$B:$B,0),3)</f>
        <v>#N/A</v>
      </c>
      <c r="X169" s="8" t="str">
        <f t="array" ref="X169">INDEX(Subject!$A:$I,MATCH(RANDBETWEEN(1,16),Subject!$B:$B,0),3)</f>
        <v>#N/A</v>
      </c>
      <c r="Y169" s="8" t="str">
        <f t="array" ref="Y169">INDEX(Subject!$A:$I,MATCH(RANDBETWEEN(1,16),Subject!$B:$B,0),3)</f>
        <v>#N/A</v>
      </c>
      <c r="Z169" s="8" t="str">
        <f t="array" ref="Z169">INDEX(Subject!$A:$I,MATCH(RANDBETWEEN(1,16),Subject!$B:$B,0),3)</f>
        <v>#N/A</v>
      </c>
      <c r="AA169" s="8" t="str">
        <f t="array" ref="AA169">INDEX(Subject!$A:$I,MATCH(RANDBETWEEN(1,16),Subject!$B:$B,0),3)</f>
        <v>#N/A</v>
      </c>
      <c r="AB169" s="8" t="str">
        <f t="array" ref="AB169">INDEX(Subject!$A:$I,MATCH(RANDBETWEEN(1,16),Subject!$B:$B,0),3)</f>
        <v>#N/A</v>
      </c>
      <c r="AC169" s="8" t="str">
        <f t="array" ref="AC169">INDEX(Subject!$A:$I,MATCH(RANDBETWEEN(1,16),Subject!$B:$B,0),3)</f>
        <v>#N/A</v>
      </c>
      <c r="AD169" s="8" t="str">
        <f t="array" ref="AD169">INDEX(Subject!$A:$I,MATCH(RANDBETWEEN(1,16),Subject!$B:$B,0),3)</f>
        <v>#N/A</v>
      </c>
      <c r="AE169" s="8" t="str">
        <f t="array" ref="AE169">INDEX(Subject!$A:$I,MATCH(RANDBETWEEN(1,16),Subject!$B:$B,0),3)</f>
        <v>#N/A</v>
      </c>
      <c r="AF169" s="8" t="str">
        <f t="array" ref="AF169">INDEX(Subject!$A:$I,MATCH(RANDBETWEEN(1,16),Subject!$B:$B,0),3)</f>
        <v>#N/A</v>
      </c>
      <c r="AG169" s="8" t="str">
        <f t="array" ref="AG169">INDEX(Subject!$A:$I,MATCH(RANDBETWEEN(1,16),Subject!$B:$B,0),3)</f>
        <v>#N/A</v>
      </c>
      <c r="AH169" s="8" t="str">
        <f t="array" ref="AH169">INDEX(Subject!$A:$I,MATCH(RANDBETWEEN(1,16),Subject!$B:$B,0),3)</f>
        <v>#N/A</v>
      </c>
      <c r="AI169" s="8" t="str">
        <f t="array" ref="AI169">INDEX(Subject!$A:$I,MATCH(RANDBETWEEN(1,16),Subject!$B:$B,0),3)</f>
        <v>#N/A</v>
      </c>
      <c r="AJ169" s="8" t="str">
        <f t="array" ref="AJ169">INDEX(Subject!$A:$I,MATCH(RANDBETWEEN(1,16),Subject!$B:$B,0),3)</f>
        <v>#N/A</v>
      </c>
      <c r="AK169" s="8" t="str">
        <f t="array" ref="AK169">INDEX(Subject!$A:$I,MATCH(RANDBETWEEN(1,16),Subject!$B:$B,0),3)</f>
        <v>#N/A</v>
      </c>
      <c r="AL169" s="8" t="str">
        <f t="array" ref="AL169">INDEX(Subject!$A:$I,MATCH(RANDBETWEEN(1,16),Subject!$B:$B,0),3)</f>
        <v>#N/A</v>
      </c>
      <c r="AM169" s="18">
        <f t="shared" si="4"/>
        <v>45669.33333</v>
      </c>
      <c r="AN169" s="19">
        <f t="shared" ref="AN169:BZ169" si="169">$A169+C$1</f>
        <v>45669.35417</v>
      </c>
      <c r="AO169" s="19">
        <f t="shared" si="169"/>
        <v>45669.375</v>
      </c>
      <c r="AP169" s="19">
        <f t="shared" si="169"/>
        <v>45669.39583</v>
      </c>
      <c r="AQ169" s="19">
        <f t="shared" si="169"/>
        <v>45669.41667</v>
      </c>
      <c r="AR169" s="19">
        <f t="shared" si="169"/>
        <v>45669.4375</v>
      </c>
      <c r="AS169" s="19">
        <f t="shared" si="169"/>
        <v>45669.45833</v>
      </c>
      <c r="AT169" s="19">
        <f t="shared" si="169"/>
        <v>45669.47917</v>
      </c>
      <c r="AU169" s="19">
        <f t="shared" si="169"/>
        <v>45669.5</v>
      </c>
      <c r="AV169" s="19">
        <f t="shared" si="169"/>
        <v>45669.52083</v>
      </c>
      <c r="AW169" s="19">
        <f t="shared" si="169"/>
        <v>45669.54167</v>
      </c>
      <c r="AX169" s="19">
        <f t="shared" si="169"/>
        <v>45669.5625</v>
      </c>
      <c r="AY169" s="19">
        <f t="shared" si="169"/>
        <v>45669.58333</v>
      </c>
      <c r="AZ169" s="19">
        <f t="shared" si="169"/>
        <v>45669.60417</v>
      </c>
      <c r="BA169" s="19">
        <f t="shared" si="169"/>
        <v>45669.625</v>
      </c>
      <c r="BB169" s="19">
        <f t="shared" si="169"/>
        <v>45669.64583</v>
      </c>
      <c r="BC169" s="19">
        <f t="shared" si="169"/>
        <v>45669.66667</v>
      </c>
      <c r="BD169" s="19">
        <f t="shared" si="169"/>
        <v>45669.6875</v>
      </c>
      <c r="BE169" s="19">
        <f t="shared" si="169"/>
        <v>45669.70833</v>
      </c>
      <c r="BF169" s="19">
        <f t="shared" si="169"/>
        <v>45669.72917</v>
      </c>
      <c r="BG169" s="19">
        <f t="shared" si="169"/>
        <v>45669.75</v>
      </c>
      <c r="BH169" s="19">
        <f t="shared" si="169"/>
        <v>45669.77083</v>
      </c>
      <c r="BI169" s="19">
        <f t="shared" si="169"/>
        <v>45669.79167</v>
      </c>
      <c r="BJ169" s="19">
        <f t="shared" si="169"/>
        <v>45669.8125</v>
      </c>
      <c r="BK169" s="19">
        <f t="shared" si="169"/>
        <v>45669.83333</v>
      </c>
      <c r="BL169" s="19">
        <f t="shared" si="169"/>
        <v>45669.85417</v>
      </c>
      <c r="BM169" s="19">
        <f t="shared" si="169"/>
        <v>45669.875</v>
      </c>
      <c r="BN169" s="19">
        <f t="shared" si="169"/>
        <v>45669.89583</v>
      </c>
      <c r="BO169" s="19">
        <f t="shared" si="169"/>
        <v>45669.91667</v>
      </c>
      <c r="BP169" s="19">
        <f t="shared" si="169"/>
        <v>45669.9375</v>
      </c>
      <c r="BQ169" s="19">
        <f t="shared" si="169"/>
        <v>45669.95833</v>
      </c>
      <c r="BR169" s="19">
        <f t="shared" si="169"/>
        <v>45669.97917</v>
      </c>
      <c r="BS169" s="19">
        <f t="shared" si="169"/>
        <v>45670</v>
      </c>
      <c r="BT169" s="19">
        <f t="shared" si="169"/>
        <v>45670.02083</v>
      </c>
      <c r="BU169" s="19">
        <f t="shared" si="169"/>
        <v>45670.04167</v>
      </c>
      <c r="BV169" s="19">
        <f t="shared" si="169"/>
        <v>45670.0625</v>
      </c>
      <c r="BW169" s="19">
        <f t="shared" si="169"/>
        <v>45670.08333</v>
      </c>
      <c r="BX169" s="19">
        <f t="shared" si="169"/>
        <v>45669</v>
      </c>
      <c r="BY169" s="19">
        <f t="shared" si="169"/>
        <v>45669</v>
      </c>
      <c r="BZ169" s="19">
        <f t="shared" si="169"/>
        <v>45669</v>
      </c>
    </row>
    <row r="170" ht="14.25" customHeight="1">
      <c r="A170" s="17">
        <v>45670.0</v>
      </c>
      <c r="B170" s="2" t="str">
        <f t="array" ref="B170">IF(NOW()&gt;AM170,"",IF(AND((WEEKDAY($A170)+$B$2)&gt;1,((WEEKDAY($A170)+$T$2)&lt;7),(WEEKDAY($A170)&lt;&gt;1)),"work",(INDEX(Subject!$A:$I,MATCH(RANDBETWEEN(1,(MAX(Subject!$B:$B))),Subject!$B:$B,0),3))))</f>
        <v/>
      </c>
      <c r="C170" s="2" t="str">
        <f t="array" ref="C170">IF(NOW()&gt;AN170,"",IF(AND((WEEKDAY($A170)+$B$2)&gt;1,((WEEKDAY($A170)+$T$2)&lt;7),(WEEKDAY($A170)&lt;&gt;1)),"work",(INDEX(Subject!$A:$I,MATCH(RANDBETWEEN(1,(MAX(Subject!$B:$B))),Subject!$B:$B,0),3))))</f>
        <v/>
      </c>
      <c r="D170" s="2" t="str">
        <f t="array" ref="D170">IF(NOW()&gt;AO170,"",IF(AND((WEEKDAY($A170)+$B$2)&gt;1,((WEEKDAY($A170)+$T$2)&lt;7),(WEEKDAY($A170)&lt;&gt;1)),"work",(INDEX(Subject!$A:$I,MATCH(RANDBETWEEN(1,(MAX(Subject!$B:$B))),Subject!$B:$B,0),3))))</f>
        <v/>
      </c>
      <c r="E170" s="2" t="str">
        <f t="array" ref="E170">IF(NOW()&gt;AP170,"",IF(AND((WEEKDAY($A170)+$B$2)&gt;1,((WEEKDAY($A170)+$T$2)&lt;7),(WEEKDAY($A170)&lt;&gt;1)),"work",(INDEX(Subject!$A:$I,MATCH(RANDBETWEEN(1,(MAX(Subject!$B:$B))),Subject!$B:$B,0),3))))</f>
        <v/>
      </c>
      <c r="F170" s="2" t="str">
        <f t="array" ref="F170">IF(NOW()&gt;AQ170,"",IF(AND((WEEKDAY($A170)+$B$2)&gt;1,((WEEKDAY($A170)+$T$2)&lt;7),(WEEKDAY($A170)&lt;&gt;1)),"work",(INDEX(Subject!$A:$I,MATCH(RANDBETWEEN(1,(MAX(Subject!$B:$B))),Subject!$B:$B,0),3))))</f>
        <v/>
      </c>
      <c r="G170" s="2" t="str">
        <f t="array" ref="G170">IF(NOW()&gt;AR170,"",IF(AND((WEEKDAY($A170)+$B$2)&gt;1,((WEEKDAY($A170)+$T$2)&lt;7),(WEEKDAY($A170)&lt;&gt;1)),"work",(INDEX(Subject!$A:$I,MATCH(RANDBETWEEN(1,(MAX(Subject!$B:$B))),Subject!$B:$B,0),3))))</f>
        <v/>
      </c>
      <c r="H170" s="2" t="str">
        <f t="array" ref="H170">IF(NOW()&gt;AS170,"",IF(AND((WEEKDAY($A170)+$B$2)&gt;1,((WEEKDAY($A170)+$T$2)&lt;7),(WEEKDAY($A170)&lt;&gt;1)),"work",(INDEX(Subject!$A:$I,MATCH(RANDBETWEEN(1,(MAX(Subject!$B:$B))),Subject!$B:$B,0),3))))</f>
        <v/>
      </c>
      <c r="I170" s="2" t="str">
        <f t="array" ref="I170">IF(NOW()&gt;AT170,"",IF(AND((WEEKDAY($A170)+$B$2)&gt;1,((WEEKDAY($A170)+$T$2)&lt;7),(WEEKDAY($A170)&lt;&gt;1)),"work",(INDEX(Subject!$A:$I,MATCH(RANDBETWEEN(1,(MAX(Subject!$B:$B))),Subject!$B:$B,0),3))))</f>
        <v/>
      </c>
      <c r="J170" s="2" t="str">
        <f t="array" ref="J170">IF(NOW()&gt;AU170,"",IF(AND((WEEKDAY($A170)+$B$2)&gt;1,((WEEKDAY($A170)+$T$2)&lt;7),(WEEKDAY($A170)&lt;&gt;1)),"work",(INDEX(Subject!$A:$I,MATCH(RANDBETWEEN(1,(MAX(Subject!$B:$B))),Subject!$B:$B,0),3))))</f>
        <v/>
      </c>
      <c r="K170" s="2" t="str">
        <f t="array" ref="K170">IF(NOW()&gt;AV170,"",IF(AND((WEEKDAY($A170)+$B$2)&gt;1,((WEEKDAY($A170)+$T$2)&lt;7),(WEEKDAY($A170)&lt;&gt;1)),"work",(INDEX(Subject!$A:$I,MATCH(RANDBETWEEN(1,(MAX(Subject!$B:$B))),Subject!$B:$B,0),3))))</f>
        <v/>
      </c>
      <c r="L170" s="2" t="str">
        <f t="array" ref="L170">IF(NOW()&gt;AW170,"",IF(AND((WEEKDAY($A170)+$B$2)&gt;1,((WEEKDAY($A170)+$T$2)&lt;7),(WEEKDAY($A170)&lt;&gt;1)),"work",(INDEX(Subject!$A:$I,MATCH(RANDBETWEEN(1,(MAX(Subject!$B:$B))),Subject!$B:$B,0),3))))</f>
        <v/>
      </c>
      <c r="M170" s="2" t="str">
        <f t="array" ref="M170">IF(NOW()&gt;AX170,"",IF(AND((WEEKDAY($A170)+$B$2)&gt;1,((WEEKDAY($A170)+$T$2)&lt;7),(WEEKDAY($A170)&lt;&gt;1)),"work",(INDEX(Subject!$A:$I,MATCH(RANDBETWEEN(1,(MAX(Subject!$B:$B))),Subject!$B:$B,0),3))))</f>
        <v/>
      </c>
      <c r="N170" s="2" t="str">
        <f t="array" ref="N170">IF(NOW()&gt;AY170,"",IF(AND((WEEKDAY($A170)+$B$2)&gt;1,((WEEKDAY($A170)+$T$2)&lt;7),(WEEKDAY($A170)&lt;&gt;1)),"work",(INDEX(Subject!$A:$I,MATCH(RANDBETWEEN(1,(MAX(Subject!$B:$B))),Subject!$B:$B,0),3))))</f>
        <v/>
      </c>
      <c r="O170" s="2" t="str">
        <f t="array" ref="O170">IF(NOW()&gt;AZ170,"",IF(AND((WEEKDAY($A170)+$B$2)&gt;1,((WEEKDAY($A170)+$T$2)&lt;7),(WEEKDAY($A170)&lt;&gt;1)),"work",(INDEX(Subject!$A:$I,MATCH(RANDBETWEEN(1,(MAX(Subject!$B:$B))),Subject!$B:$B,0),3))))</f>
        <v/>
      </c>
      <c r="P170" s="2" t="str">
        <f t="array" ref="P170">IF(NOW()&gt;BA170,"",IF(AND((WEEKDAY($A170)+$B$2)&gt;1,((WEEKDAY($A170)+$T$2)&lt;7),(WEEKDAY($A170)&lt;&gt;1)),"work",(INDEX(Subject!$A:$I,MATCH(RANDBETWEEN(1,(MAX(Subject!$B:$B))),Subject!$B:$B,0),3))))</f>
        <v/>
      </c>
      <c r="Q170" s="2" t="str">
        <f t="array" ref="Q170">IF(NOW()&gt;BB170,"",IF(AND((WEEKDAY($A170)+$B$2)&gt;1,((WEEKDAY($A170)+$T$2)&lt;7),(WEEKDAY($A170)&lt;&gt;1)),"work",(INDEX(Subject!$A:$I,MATCH(RANDBETWEEN(1,(MAX(Subject!$B:$B))),Subject!$B:$B,0),3))))</f>
        <v/>
      </c>
      <c r="R170" s="2" t="str">
        <f t="array" ref="R170">IF(NOW()&gt;BC170,"",IF(AND((WEEKDAY($A170)+$B$2)&gt;1,((WEEKDAY($A170)+$T$2)&lt;7),(WEEKDAY($A170)&lt;&gt;1)),"work",(INDEX(Subject!$A:$I,MATCH(RANDBETWEEN(1,(MAX(Subject!$B:$B))),Subject!$B:$B,0),3))))</f>
        <v/>
      </c>
      <c r="S170" s="2" t="str">
        <f t="array" ref="S170">IF(NOW()&gt;BD170,"",IF(AND((WEEKDAY($A170)+$B$2)&gt;1,((WEEKDAY($A170)+$T$2)&lt;7),(WEEKDAY($A170)&lt;&gt;1)),"work",(INDEX(Subject!$A:$I,MATCH(RANDBETWEEN(1,(MAX(Subject!$B:$B))),Subject!$B:$B,0),3))))</f>
        <v/>
      </c>
      <c r="T170" s="2" t="str">
        <f t="array" ref="T170">IF(NOW()&gt;BE170,"",IF(AND((WEEKDAY($A170)+$B$2)&gt;1,((WEEKDAY($A170)+$T$2)&lt;7),(WEEKDAY($A170)&lt;&gt;1)),"work",(INDEX(Subject!$A:$I,MATCH(RANDBETWEEN(1,(MAX(Subject!$B:$B))),Subject!$B:$B,0),3))))</f>
        <v/>
      </c>
      <c r="U170" s="8" t="str">
        <f t="array" ref="U170">INDEX(Subject!$A:$I,MATCH(RANDBETWEEN(1,16),Subject!$B:$B,0),3)</f>
        <v>#N/A</v>
      </c>
      <c r="V170" s="8" t="str">
        <f t="array" ref="V170">INDEX(Subject!$A:$I,MATCH(RANDBETWEEN(1,16),Subject!$B:$B,0),3)</f>
        <v>#N/A</v>
      </c>
      <c r="W170" s="8" t="str">
        <f t="array" ref="W170">INDEX(Subject!$A:$I,MATCH(RANDBETWEEN(1,16),Subject!$B:$B,0),3)</f>
        <v>#N/A</v>
      </c>
      <c r="X170" s="8" t="str">
        <f t="array" ref="X170">INDEX(Subject!$A:$I,MATCH(RANDBETWEEN(1,16),Subject!$B:$B,0),3)</f>
        <v>#N/A</v>
      </c>
      <c r="Y170" s="8" t="str">
        <f t="array" ref="Y170">INDEX(Subject!$A:$I,MATCH(RANDBETWEEN(1,16),Subject!$B:$B,0),3)</f>
        <v>#N/A</v>
      </c>
      <c r="Z170" s="8" t="str">
        <f t="array" ref="Z170">INDEX(Subject!$A:$I,MATCH(RANDBETWEEN(1,16),Subject!$B:$B,0),3)</f>
        <v>#N/A</v>
      </c>
      <c r="AA170" s="8" t="str">
        <f t="array" ref="AA170">INDEX(Subject!$A:$I,MATCH(RANDBETWEEN(1,16),Subject!$B:$B,0),3)</f>
        <v>#N/A</v>
      </c>
      <c r="AB170" s="8" t="str">
        <f t="array" ref="AB170">INDEX(Subject!$A:$I,MATCH(RANDBETWEEN(1,16),Subject!$B:$B,0),3)</f>
        <v>#N/A</v>
      </c>
      <c r="AC170" s="8" t="str">
        <f t="array" ref="AC170">INDEX(Subject!$A:$I,MATCH(RANDBETWEEN(1,16),Subject!$B:$B,0),3)</f>
        <v>#N/A</v>
      </c>
      <c r="AD170" s="8" t="str">
        <f t="array" ref="AD170">INDEX(Subject!$A:$I,MATCH(RANDBETWEEN(1,16),Subject!$B:$B,0),3)</f>
        <v>#N/A</v>
      </c>
      <c r="AE170" s="8" t="str">
        <f t="array" ref="AE170">INDEX(Subject!$A:$I,MATCH(RANDBETWEEN(1,16),Subject!$B:$B,0),3)</f>
        <v>#N/A</v>
      </c>
      <c r="AF170" s="8" t="str">
        <f t="array" ref="AF170">INDEX(Subject!$A:$I,MATCH(RANDBETWEEN(1,16),Subject!$B:$B,0),3)</f>
        <v/>
      </c>
      <c r="AG170" s="8" t="str">
        <f t="array" ref="AG170">INDEX(Subject!$A:$I,MATCH(RANDBETWEEN(1,16),Subject!$B:$B,0),3)</f>
        <v/>
      </c>
      <c r="AH170" s="8" t="str">
        <f t="array" ref="AH170">INDEX(Subject!$A:$I,MATCH(RANDBETWEEN(1,16),Subject!$B:$B,0),3)</f>
        <v>#N/A</v>
      </c>
      <c r="AI170" s="8" t="str">
        <f t="array" ref="AI170">INDEX(Subject!$A:$I,MATCH(RANDBETWEEN(1,16),Subject!$B:$B,0),3)</f>
        <v>#N/A</v>
      </c>
      <c r="AJ170" s="8" t="str">
        <f t="array" ref="AJ170">INDEX(Subject!$A:$I,MATCH(RANDBETWEEN(1,16),Subject!$B:$B,0),3)</f>
        <v>#N/A</v>
      </c>
      <c r="AK170" s="8" t="str">
        <f t="array" ref="AK170">INDEX(Subject!$A:$I,MATCH(RANDBETWEEN(1,16),Subject!$B:$B,0),3)</f>
        <v>#N/A</v>
      </c>
      <c r="AL170" s="8" t="str">
        <f t="array" ref="AL170">INDEX(Subject!$A:$I,MATCH(RANDBETWEEN(1,16),Subject!$B:$B,0),3)</f>
        <v>#N/A</v>
      </c>
      <c r="AM170" s="18">
        <f t="shared" si="4"/>
        <v>45670.33333</v>
      </c>
      <c r="AN170" s="19">
        <f t="shared" ref="AN170:BZ170" si="170">$A170+C$1</f>
        <v>45670.35417</v>
      </c>
      <c r="AO170" s="19">
        <f t="shared" si="170"/>
        <v>45670.375</v>
      </c>
      <c r="AP170" s="19">
        <f t="shared" si="170"/>
        <v>45670.39583</v>
      </c>
      <c r="AQ170" s="19">
        <f t="shared" si="170"/>
        <v>45670.41667</v>
      </c>
      <c r="AR170" s="19">
        <f t="shared" si="170"/>
        <v>45670.4375</v>
      </c>
      <c r="AS170" s="19">
        <f t="shared" si="170"/>
        <v>45670.45833</v>
      </c>
      <c r="AT170" s="19">
        <f t="shared" si="170"/>
        <v>45670.47917</v>
      </c>
      <c r="AU170" s="19">
        <f t="shared" si="170"/>
        <v>45670.5</v>
      </c>
      <c r="AV170" s="19">
        <f t="shared" si="170"/>
        <v>45670.52083</v>
      </c>
      <c r="AW170" s="19">
        <f t="shared" si="170"/>
        <v>45670.54167</v>
      </c>
      <c r="AX170" s="19">
        <f t="shared" si="170"/>
        <v>45670.5625</v>
      </c>
      <c r="AY170" s="19">
        <f t="shared" si="170"/>
        <v>45670.58333</v>
      </c>
      <c r="AZ170" s="19">
        <f t="shared" si="170"/>
        <v>45670.60417</v>
      </c>
      <c r="BA170" s="19">
        <f t="shared" si="170"/>
        <v>45670.625</v>
      </c>
      <c r="BB170" s="19">
        <f t="shared" si="170"/>
        <v>45670.64583</v>
      </c>
      <c r="BC170" s="19">
        <f t="shared" si="170"/>
        <v>45670.66667</v>
      </c>
      <c r="BD170" s="19">
        <f t="shared" si="170"/>
        <v>45670.6875</v>
      </c>
      <c r="BE170" s="19">
        <f t="shared" si="170"/>
        <v>45670.70833</v>
      </c>
      <c r="BF170" s="19">
        <f t="shared" si="170"/>
        <v>45670.72917</v>
      </c>
      <c r="BG170" s="19">
        <f t="shared" si="170"/>
        <v>45670.75</v>
      </c>
      <c r="BH170" s="19">
        <f t="shared" si="170"/>
        <v>45670.77083</v>
      </c>
      <c r="BI170" s="19">
        <f t="shared" si="170"/>
        <v>45670.79167</v>
      </c>
      <c r="BJ170" s="19">
        <f t="shared" si="170"/>
        <v>45670.8125</v>
      </c>
      <c r="BK170" s="19">
        <f t="shared" si="170"/>
        <v>45670.83333</v>
      </c>
      <c r="BL170" s="19">
        <f t="shared" si="170"/>
        <v>45670.85417</v>
      </c>
      <c r="BM170" s="19">
        <f t="shared" si="170"/>
        <v>45670.875</v>
      </c>
      <c r="BN170" s="19">
        <f t="shared" si="170"/>
        <v>45670.89583</v>
      </c>
      <c r="BO170" s="19">
        <f t="shared" si="170"/>
        <v>45670.91667</v>
      </c>
      <c r="BP170" s="19">
        <f t="shared" si="170"/>
        <v>45670.9375</v>
      </c>
      <c r="BQ170" s="19">
        <f t="shared" si="170"/>
        <v>45670.95833</v>
      </c>
      <c r="BR170" s="19">
        <f t="shared" si="170"/>
        <v>45670.97917</v>
      </c>
      <c r="BS170" s="19">
        <f t="shared" si="170"/>
        <v>45671</v>
      </c>
      <c r="BT170" s="19">
        <f t="shared" si="170"/>
        <v>45671.02083</v>
      </c>
      <c r="BU170" s="19">
        <f t="shared" si="170"/>
        <v>45671.04167</v>
      </c>
      <c r="BV170" s="19">
        <f t="shared" si="170"/>
        <v>45671.0625</v>
      </c>
      <c r="BW170" s="19">
        <f t="shared" si="170"/>
        <v>45671.08333</v>
      </c>
      <c r="BX170" s="19">
        <f t="shared" si="170"/>
        <v>45670</v>
      </c>
      <c r="BY170" s="19">
        <f t="shared" si="170"/>
        <v>45670</v>
      </c>
      <c r="BZ170" s="19">
        <f t="shared" si="170"/>
        <v>45670</v>
      </c>
    </row>
    <row r="171" ht="14.25" customHeight="1">
      <c r="A171" s="17">
        <v>45671.0</v>
      </c>
      <c r="B171" s="2" t="str">
        <f t="array" ref="B171">IF(NOW()&gt;AM171,"",IF(AND((WEEKDAY($A171)+$B$2)&gt;1,((WEEKDAY($A171)+$T$2)&lt;7),(WEEKDAY($A171)&lt;&gt;1)),"work",(INDEX(Subject!$A:$I,MATCH(RANDBETWEEN(1,(MAX(Subject!$B:$B))),Subject!$B:$B,0),3))))</f>
        <v/>
      </c>
      <c r="C171" s="2" t="str">
        <f t="array" ref="C171">IF(NOW()&gt;AN171,"",IF(AND((WEEKDAY($A171)+$B$2)&gt;1,((WEEKDAY($A171)+$T$2)&lt;7),(WEEKDAY($A171)&lt;&gt;1)),"work",(INDEX(Subject!$A:$I,MATCH(RANDBETWEEN(1,(MAX(Subject!$B:$B))),Subject!$B:$B,0),3))))</f>
        <v/>
      </c>
      <c r="D171" s="2" t="str">
        <f t="array" ref="D171">IF(NOW()&gt;AO171,"",IF(AND((WEEKDAY($A171)+$B$2)&gt;1,((WEEKDAY($A171)+$T$2)&lt;7),(WEEKDAY($A171)&lt;&gt;1)),"work",(INDEX(Subject!$A:$I,MATCH(RANDBETWEEN(1,(MAX(Subject!$B:$B))),Subject!$B:$B,0),3))))</f>
        <v/>
      </c>
      <c r="E171" s="2" t="str">
        <f t="array" ref="E171">IF(NOW()&gt;AP171,"",IF(AND((WEEKDAY($A171)+$B$2)&gt;1,((WEEKDAY($A171)+$T$2)&lt;7),(WEEKDAY($A171)&lt;&gt;1)),"work",(INDEX(Subject!$A:$I,MATCH(RANDBETWEEN(1,(MAX(Subject!$B:$B))),Subject!$B:$B,0),3))))</f>
        <v/>
      </c>
      <c r="F171" s="2" t="str">
        <f t="array" ref="F171">IF(NOW()&gt;AQ171,"",IF(AND((WEEKDAY($A171)+$B$2)&gt;1,((WEEKDAY($A171)+$T$2)&lt;7),(WEEKDAY($A171)&lt;&gt;1)),"work",(INDEX(Subject!$A:$I,MATCH(RANDBETWEEN(1,(MAX(Subject!$B:$B))),Subject!$B:$B,0),3))))</f>
        <v/>
      </c>
      <c r="G171" s="2" t="str">
        <f t="array" ref="G171">IF(NOW()&gt;AR171,"",IF(AND((WEEKDAY($A171)+$B$2)&gt;1,((WEEKDAY($A171)+$T$2)&lt;7),(WEEKDAY($A171)&lt;&gt;1)),"work",(INDEX(Subject!$A:$I,MATCH(RANDBETWEEN(1,(MAX(Subject!$B:$B))),Subject!$B:$B,0),3))))</f>
        <v/>
      </c>
      <c r="H171" s="2" t="str">
        <f t="array" ref="H171">IF(NOW()&gt;AS171,"",IF(AND((WEEKDAY($A171)+$B$2)&gt;1,((WEEKDAY($A171)+$T$2)&lt;7),(WEEKDAY($A171)&lt;&gt;1)),"work",(INDEX(Subject!$A:$I,MATCH(RANDBETWEEN(1,(MAX(Subject!$B:$B))),Subject!$B:$B,0),3))))</f>
        <v/>
      </c>
      <c r="I171" s="2" t="str">
        <f t="array" ref="I171">IF(NOW()&gt;AT171,"",IF(AND((WEEKDAY($A171)+$B$2)&gt;1,((WEEKDAY($A171)+$T$2)&lt;7),(WEEKDAY($A171)&lt;&gt;1)),"work",(INDEX(Subject!$A:$I,MATCH(RANDBETWEEN(1,(MAX(Subject!$B:$B))),Subject!$B:$B,0),3))))</f>
        <v/>
      </c>
      <c r="J171" s="2" t="str">
        <f t="array" ref="J171">IF(NOW()&gt;AU171,"",IF(AND((WEEKDAY($A171)+$B$2)&gt;1,((WEEKDAY($A171)+$T$2)&lt;7),(WEEKDAY($A171)&lt;&gt;1)),"work",(INDEX(Subject!$A:$I,MATCH(RANDBETWEEN(1,(MAX(Subject!$B:$B))),Subject!$B:$B,0),3))))</f>
        <v/>
      </c>
      <c r="K171" s="2" t="str">
        <f t="array" ref="K171">IF(NOW()&gt;AV171,"",IF(AND((WEEKDAY($A171)+$B$2)&gt;1,((WEEKDAY($A171)+$T$2)&lt;7),(WEEKDAY($A171)&lt;&gt;1)),"work",(INDEX(Subject!$A:$I,MATCH(RANDBETWEEN(1,(MAX(Subject!$B:$B))),Subject!$B:$B,0),3))))</f>
        <v/>
      </c>
      <c r="L171" s="2" t="str">
        <f t="array" ref="L171">IF(NOW()&gt;AW171,"",IF(AND((WEEKDAY($A171)+$B$2)&gt;1,((WEEKDAY($A171)+$T$2)&lt;7),(WEEKDAY($A171)&lt;&gt;1)),"work",(INDEX(Subject!$A:$I,MATCH(RANDBETWEEN(1,(MAX(Subject!$B:$B))),Subject!$B:$B,0),3))))</f>
        <v/>
      </c>
      <c r="M171" s="2" t="str">
        <f t="array" ref="M171">IF(NOW()&gt;AX171,"",IF(AND((WEEKDAY($A171)+$B$2)&gt;1,((WEEKDAY($A171)+$T$2)&lt;7),(WEEKDAY($A171)&lt;&gt;1)),"work",(INDEX(Subject!$A:$I,MATCH(RANDBETWEEN(1,(MAX(Subject!$B:$B))),Subject!$B:$B,0),3))))</f>
        <v/>
      </c>
      <c r="N171" s="2" t="str">
        <f t="array" ref="N171">IF(NOW()&gt;AY171,"",IF(AND((WEEKDAY($A171)+$B$2)&gt;1,((WEEKDAY($A171)+$T$2)&lt;7),(WEEKDAY($A171)&lt;&gt;1)),"work",(INDEX(Subject!$A:$I,MATCH(RANDBETWEEN(1,(MAX(Subject!$B:$B))),Subject!$B:$B,0),3))))</f>
        <v/>
      </c>
      <c r="O171" s="2" t="str">
        <f t="array" ref="O171">IF(NOW()&gt;AZ171,"",IF(AND((WEEKDAY($A171)+$B$2)&gt;1,((WEEKDAY($A171)+$T$2)&lt;7),(WEEKDAY($A171)&lt;&gt;1)),"work",(INDEX(Subject!$A:$I,MATCH(RANDBETWEEN(1,(MAX(Subject!$B:$B))),Subject!$B:$B,0),3))))</f>
        <v/>
      </c>
      <c r="P171" s="2" t="str">
        <f t="array" ref="P171">IF(NOW()&gt;BA171,"",IF(AND((WEEKDAY($A171)+$B$2)&gt;1,((WEEKDAY($A171)+$T$2)&lt;7),(WEEKDAY($A171)&lt;&gt;1)),"work",(INDEX(Subject!$A:$I,MATCH(RANDBETWEEN(1,(MAX(Subject!$B:$B))),Subject!$B:$B,0),3))))</f>
        <v/>
      </c>
      <c r="Q171" s="2" t="str">
        <f t="array" ref="Q171">IF(NOW()&gt;BB171,"",IF(AND((WEEKDAY($A171)+$B$2)&gt;1,((WEEKDAY($A171)+$T$2)&lt;7),(WEEKDAY($A171)&lt;&gt;1)),"work",(INDEX(Subject!$A:$I,MATCH(RANDBETWEEN(1,(MAX(Subject!$B:$B))),Subject!$B:$B,0),3))))</f>
        <v/>
      </c>
      <c r="R171" s="2" t="str">
        <f t="array" ref="R171">IF(NOW()&gt;BC171,"",IF(AND((WEEKDAY($A171)+$B$2)&gt;1,((WEEKDAY($A171)+$T$2)&lt;7),(WEEKDAY($A171)&lt;&gt;1)),"work",(INDEX(Subject!$A:$I,MATCH(RANDBETWEEN(1,(MAX(Subject!$B:$B))),Subject!$B:$B,0),3))))</f>
        <v/>
      </c>
      <c r="S171" s="2" t="str">
        <f t="array" ref="S171">IF(NOW()&gt;BD171,"",IF(AND((WEEKDAY($A171)+$B$2)&gt;1,((WEEKDAY($A171)+$T$2)&lt;7),(WEEKDAY($A171)&lt;&gt;1)),"work",(INDEX(Subject!$A:$I,MATCH(RANDBETWEEN(1,(MAX(Subject!$B:$B))),Subject!$B:$B,0),3))))</f>
        <v/>
      </c>
      <c r="T171" s="2" t="str">
        <f t="array" ref="T171">IF(NOW()&gt;BE171,"",IF(AND((WEEKDAY($A171)+$B$2)&gt;1,((WEEKDAY($A171)+$T$2)&lt;7),(WEEKDAY($A171)&lt;&gt;1)),"work",(INDEX(Subject!$A:$I,MATCH(RANDBETWEEN(1,(MAX(Subject!$B:$B))),Subject!$B:$B,0),3))))</f>
        <v/>
      </c>
      <c r="U171" s="8" t="str">
        <f t="array" ref="U171">INDEX(Subject!$A:$I,MATCH(RANDBETWEEN(1,16),Subject!$B:$B,0),3)</f>
        <v>#N/A</v>
      </c>
      <c r="V171" s="8" t="str">
        <f t="array" ref="V171">INDEX(Subject!$A:$I,MATCH(RANDBETWEEN(1,16),Subject!$B:$B,0),3)</f>
        <v>#N/A</v>
      </c>
      <c r="W171" s="8" t="str">
        <f t="array" ref="W171">INDEX(Subject!$A:$I,MATCH(RANDBETWEEN(1,16),Subject!$B:$B,0),3)</f>
        <v>#N/A</v>
      </c>
      <c r="X171" s="8" t="str">
        <f t="array" ref="X171">INDEX(Subject!$A:$I,MATCH(RANDBETWEEN(1,16),Subject!$B:$B,0),3)</f>
        <v>#N/A</v>
      </c>
      <c r="Y171" s="8" t="str">
        <f t="array" ref="Y171">INDEX(Subject!$A:$I,MATCH(RANDBETWEEN(1,16),Subject!$B:$B,0),3)</f>
        <v>#N/A</v>
      </c>
      <c r="Z171" s="8" t="str">
        <f t="array" ref="Z171">INDEX(Subject!$A:$I,MATCH(RANDBETWEEN(1,16),Subject!$B:$B,0),3)</f>
        <v>#N/A</v>
      </c>
      <c r="AA171" s="8" t="str">
        <f t="array" ref="AA171">INDEX(Subject!$A:$I,MATCH(RANDBETWEEN(1,16),Subject!$B:$B,0),3)</f>
        <v>#N/A</v>
      </c>
      <c r="AB171" s="8" t="str">
        <f t="array" ref="AB171">INDEX(Subject!$A:$I,MATCH(RANDBETWEEN(1,16),Subject!$B:$B,0),3)</f>
        <v>#N/A</v>
      </c>
      <c r="AC171" s="8" t="str">
        <f t="array" ref="AC171">INDEX(Subject!$A:$I,MATCH(RANDBETWEEN(1,16),Subject!$B:$B,0),3)</f>
        <v>#N/A</v>
      </c>
      <c r="AD171" s="8" t="str">
        <f t="array" ref="AD171">INDEX(Subject!$A:$I,MATCH(RANDBETWEEN(1,16),Subject!$B:$B,0),3)</f>
        <v>#N/A</v>
      </c>
      <c r="AE171" s="8" t="str">
        <f t="array" ref="AE171">INDEX(Subject!$A:$I,MATCH(RANDBETWEEN(1,16),Subject!$B:$B,0),3)</f>
        <v>#N/A</v>
      </c>
      <c r="AF171" s="8" t="str">
        <f t="array" ref="AF171">INDEX(Subject!$A:$I,MATCH(RANDBETWEEN(1,16),Subject!$B:$B,0),3)</f>
        <v>#N/A</v>
      </c>
      <c r="AG171" s="8" t="str">
        <f t="array" ref="AG171">INDEX(Subject!$A:$I,MATCH(RANDBETWEEN(1,16),Subject!$B:$B,0),3)</f>
        <v>#N/A</v>
      </c>
      <c r="AH171" s="8" t="str">
        <f t="array" ref="AH171">INDEX(Subject!$A:$I,MATCH(RANDBETWEEN(1,16),Subject!$B:$B,0),3)</f>
        <v>#N/A</v>
      </c>
      <c r="AI171" s="8" t="str">
        <f t="array" ref="AI171">INDEX(Subject!$A:$I,MATCH(RANDBETWEEN(1,16),Subject!$B:$B,0),3)</f>
        <v>#N/A</v>
      </c>
      <c r="AJ171" s="8" t="str">
        <f t="array" ref="AJ171">INDEX(Subject!$A:$I,MATCH(RANDBETWEEN(1,16),Subject!$B:$B,0),3)</f>
        <v>#N/A</v>
      </c>
      <c r="AK171" s="8" t="str">
        <f t="array" ref="AK171">INDEX(Subject!$A:$I,MATCH(RANDBETWEEN(1,16),Subject!$B:$B,0),3)</f>
        <v>#N/A</v>
      </c>
      <c r="AL171" s="8" t="str">
        <f t="array" ref="AL171">INDEX(Subject!$A:$I,MATCH(RANDBETWEEN(1,16),Subject!$B:$B,0),3)</f>
        <v>#N/A</v>
      </c>
      <c r="AM171" s="18">
        <f t="shared" si="4"/>
        <v>45671.33333</v>
      </c>
      <c r="AN171" s="19">
        <f t="shared" ref="AN171:BZ171" si="171">$A171+C$1</f>
        <v>45671.35417</v>
      </c>
      <c r="AO171" s="19">
        <f t="shared" si="171"/>
        <v>45671.375</v>
      </c>
      <c r="AP171" s="19">
        <f t="shared" si="171"/>
        <v>45671.39583</v>
      </c>
      <c r="AQ171" s="19">
        <f t="shared" si="171"/>
        <v>45671.41667</v>
      </c>
      <c r="AR171" s="19">
        <f t="shared" si="171"/>
        <v>45671.4375</v>
      </c>
      <c r="AS171" s="19">
        <f t="shared" si="171"/>
        <v>45671.45833</v>
      </c>
      <c r="AT171" s="19">
        <f t="shared" si="171"/>
        <v>45671.47917</v>
      </c>
      <c r="AU171" s="19">
        <f t="shared" si="171"/>
        <v>45671.5</v>
      </c>
      <c r="AV171" s="19">
        <f t="shared" si="171"/>
        <v>45671.52083</v>
      </c>
      <c r="AW171" s="19">
        <f t="shared" si="171"/>
        <v>45671.54167</v>
      </c>
      <c r="AX171" s="19">
        <f t="shared" si="171"/>
        <v>45671.5625</v>
      </c>
      <c r="AY171" s="19">
        <f t="shared" si="171"/>
        <v>45671.58333</v>
      </c>
      <c r="AZ171" s="19">
        <f t="shared" si="171"/>
        <v>45671.60417</v>
      </c>
      <c r="BA171" s="19">
        <f t="shared" si="171"/>
        <v>45671.625</v>
      </c>
      <c r="BB171" s="19">
        <f t="shared" si="171"/>
        <v>45671.64583</v>
      </c>
      <c r="BC171" s="19">
        <f t="shared" si="171"/>
        <v>45671.66667</v>
      </c>
      <c r="BD171" s="19">
        <f t="shared" si="171"/>
        <v>45671.6875</v>
      </c>
      <c r="BE171" s="19">
        <f t="shared" si="171"/>
        <v>45671.70833</v>
      </c>
      <c r="BF171" s="19">
        <f t="shared" si="171"/>
        <v>45671.72917</v>
      </c>
      <c r="BG171" s="19">
        <f t="shared" si="171"/>
        <v>45671.75</v>
      </c>
      <c r="BH171" s="19">
        <f t="shared" si="171"/>
        <v>45671.77083</v>
      </c>
      <c r="BI171" s="19">
        <f t="shared" si="171"/>
        <v>45671.79167</v>
      </c>
      <c r="BJ171" s="19">
        <f t="shared" si="171"/>
        <v>45671.8125</v>
      </c>
      <c r="BK171" s="19">
        <f t="shared" si="171"/>
        <v>45671.83333</v>
      </c>
      <c r="BL171" s="19">
        <f t="shared" si="171"/>
        <v>45671.85417</v>
      </c>
      <c r="BM171" s="19">
        <f t="shared" si="171"/>
        <v>45671.875</v>
      </c>
      <c r="BN171" s="19">
        <f t="shared" si="171"/>
        <v>45671.89583</v>
      </c>
      <c r="BO171" s="19">
        <f t="shared" si="171"/>
        <v>45671.91667</v>
      </c>
      <c r="BP171" s="19">
        <f t="shared" si="171"/>
        <v>45671.9375</v>
      </c>
      <c r="BQ171" s="19">
        <f t="shared" si="171"/>
        <v>45671.95833</v>
      </c>
      <c r="BR171" s="19">
        <f t="shared" si="171"/>
        <v>45671.97917</v>
      </c>
      <c r="BS171" s="19">
        <f t="shared" si="171"/>
        <v>45672</v>
      </c>
      <c r="BT171" s="19">
        <f t="shared" si="171"/>
        <v>45672.02083</v>
      </c>
      <c r="BU171" s="19">
        <f t="shared" si="171"/>
        <v>45672.04167</v>
      </c>
      <c r="BV171" s="19">
        <f t="shared" si="171"/>
        <v>45672.0625</v>
      </c>
      <c r="BW171" s="19">
        <f t="shared" si="171"/>
        <v>45672.08333</v>
      </c>
      <c r="BX171" s="19">
        <f t="shared" si="171"/>
        <v>45671</v>
      </c>
      <c r="BY171" s="19">
        <f t="shared" si="171"/>
        <v>45671</v>
      </c>
      <c r="BZ171" s="19">
        <f t="shared" si="171"/>
        <v>45671</v>
      </c>
    </row>
    <row r="172" ht="14.25" customHeight="1">
      <c r="A172" s="17">
        <v>45672.0</v>
      </c>
      <c r="B172" s="2" t="str">
        <f t="array" ref="B172">IF(NOW()&gt;AM172,"",IF(AND((WEEKDAY($A172)+$B$2)&gt;1,((WEEKDAY($A172)+$T$2)&lt;7),(WEEKDAY($A172)&lt;&gt;1)),"work",(INDEX(Subject!$A:$I,MATCH(RANDBETWEEN(1,(MAX(Subject!$B:$B))),Subject!$B:$B,0),3))))</f>
        <v/>
      </c>
      <c r="C172" s="2" t="str">
        <f t="array" ref="C172">IF(NOW()&gt;AN172,"",IF(AND((WEEKDAY($A172)+$B$2)&gt;1,((WEEKDAY($A172)+$T$2)&lt;7),(WEEKDAY($A172)&lt;&gt;1)),"work",(INDEX(Subject!$A:$I,MATCH(RANDBETWEEN(1,(MAX(Subject!$B:$B))),Subject!$B:$B,0),3))))</f>
        <v/>
      </c>
      <c r="D172" s="2" t="str">
        <f t="array" ref="D172">IF(NOW()&gt;AO172,"",IF(AND((WEEKDAY($A172)+$B$2)&gt;1,((WEEKDAY($A172)+$T$2)&lt;7),(WEEKDAY($A172)&lt;&gt;1)),"work",(INDEX(Subject!$A:$I,MATCH(RANDBETWEEN(1,(MAX(Subject!$B:$B))),Subject!$B:$B,0),3))))</f>
        <v/>
      </c>
      <c r="E172" s="2" t="str">
        <f t="array" ref="E172">IF(NOW()&gt;AP172,"",IF(AND((WEEKDAY($A172)+$B$2)&gt;1,((WEEKDAY($A172)+$T$2)&lt;7),(WEEKDAY($A172)&lt;&gt;1)),"work",(INDEX(Subject!$A:$I,MATCH(RANDBETWEEN(1,(MAX(Subject!$B:$B))),Subject!$B:$B,0),3))))</f>
        <v/>
      </c>
      <c r="F172" s="2" t="str">
        <f t="array" ref="F172">IF(NOW()&gt;AQ172,"",IF(AND((WEEKDAY($A172)+$B$2)&gt;1,((WEEKDAY($A172)+$T$2)&lt;7),(WEEKDAY($A172)&lt;&gt;1)),"work",(INDEX(Subject!$A:$I,MATCH(RANDBETWEEN(1,(MAX(Subject!$B:$B))),Subject!$B:$B,0),3))))</f>
        <v/>
      </c>
      <c r="G172" s="2" t="str">
        <f t="array" ref="G172">IF(NOW()&gt;AR172,"",IF(AND((WEEKDAY($A172)+$B$2)&gt;1,((WEEKDAY($A172)+$T$2)&lt;7),(WEEKDAY($A172)&lt;&gt;1)),"work",(INDEX(Subject!$A:$I,MATCH(RANDBETWEEN(1,(MAX(Subject!$B:$B))),Subject!$B:$B,0),3))))</f>
        <v/>
      </c>
      <c r="H172" s="2" t="str">
        <f t="array" ref="H172">IF(NOW()&gt;AS172,"",IF(AND((WEEKDAY($A172)+$B$2)&gt;1,((WEEKDAY($A172)+$T$2)&lt;7),(WEEKDAY($A172)&lt;&gt;1)),"work",(INDEX(Subject!$A:$I,MATCH(RANDBETWEEN(1,(MAX(Subject!$B:$B))),Subject!$B:$B,0),3))))</f>
        <v/>
      </c>
      <c r="I172" s="2" t="str">
        <f t="array" ref="I172">IF(NOW()&gt;AT172,"",IF(AND((WEEKDAY($A172)+$B$2)&gt;1,((WEEKDAY($A172)+$T$2)&lt;7),(WEEKDAY($A172)&lt;&gt;1)),"work",(INDEX(Subject!$A:$I,MATCH(RANDBETWEEN(1,(MAX(Subject!$B:$B))),Subject!$B:$B,0),3))))</f>
        <v/>
      </c>
      <c r="J172" s="2" t="str">
        <f t="array" ref="J172">IF(NOW()&gt;AU172,"",IF(AND((WEEKDAY($A172)+$B$2)&gt;1,((WEEKDAY($A172)+$T$2)&lt;7),(WEEKDAY($A172)&lt;&gt;1)),"work",(INDEX(Subject!$A:$I,MATCH(RANDBETWEEN(1,(MAX(Subject!$B:$B))),Subject!$B:$B,0),3))))</f>
        <v/>
      </c>
      <c r="K172" s="2" t="str">
        <f t="array" ref="K172">IF(NOW()&gt;AV172,"",IF(AND((WEEKDAY($A172)+$B$2)&gt;1,((WEEKDAY($A172)+$T$2)&lt;7),(WEEKDAY($A172)&lt;&gt;1)),"work",(INDEX(Subject!$A:$I,MATCH(RANDBETWEEN(1,(MAX(Subject!$B:$B))),Subject!$B:$B,0),3))))</f>
        <v/>
      </c>
      <c r="L172" s="2" t="str">
        <f t="array" ref="L172">IF(NOW()&gt;AW172,"",IF(AND((WEEKDAY($A172)+$B$2)&gt;1,((WEEKDAY($A172)+$T$2)&lt;7),(WEEKDAY($A172)&lt;&gt;1)),"work",(INDEX(Subject!$A:$I,MATCH(RANDBETWEEN(1,(MAX(Subject!$B:$B))),Subject!$B:$B,0),3))))</f>
        <v/>
      </c>
      <c r="M172" s="2" t="str">
        <f t="array" ref="M172">IF(NOW()&gt;AX172,"",IF(AND((WEEKDAY($A172)+$B$2)&gt;1,((WEEKDAY($A172)+$T$2)&lt;7),(WEEKDAY($A172)&lt;&gt;1)),"work",(INDEX(Subject!$A:$I,MATCH(RANDBETWEEN(1,(MAX(Subject!$B:$B))),Subject!$B:$B,0),3))))</f>
        <v/>
      </c>
      <c r="N172" s="2" t="str">
        <f t="array" ref="N172">IF(NOW()&gt;AY172,"",IF(AND((WEEKDAY($A172)+$B$2)&gt;1,((WEEKDAY($A172)+$T$2)&lt;7),(WEEKDAY($A172)&lt;&gt;1)),"work",(INDEX(Subject!$A:$I,MATCH(RANDBETWEEN(1,(MAX(Subject!$B:$B))),Subject!$B:$B,0),3))))</f>
        <v/>
      </c>
      <c r="O172" s="2" t="str">
        <f t="array" ref="O172">IF(NOW()&gt;AZ172,"",IF(AND((WEEKDAY($A172)+$B$2)&gt;1,((WEEKDAY($A172)+$T$2)&lt;7),(WEEKDAY($A172)&lt;&gt;1)),"work",(INDEX(Subject!$A:$I,MATCH(RANDBETWEEN(1,(MAX(Subject!$B:$B))),Subject!$B:$B,0),3))))</f>
        <v/>
      </c>
      <c r="P172" s="2" t="str">
        <f t="array" ref="P172">IF(NOW()&gt;BA172,"",IF(AND((WEEKDAY($A172)+$B$2)&gt;1,((WEEKDAY($A172)+$T$2)&lt;7),(WEEKDAY($A172)&lt;&gt;1)),"work",(INDEX(Subject!$A:$I,MATCH(RANDBETWEEN(1,(MAX(Subject!$B:$B))),Subject!$B:$B,0),3))))</f>
        <v/>
      </c>
      <c r="Q172" s="2" t="str">
        <f t="array" ref="Q172">IF(NOW()&gt;BB172,"",IF(AND((WEEKDAY($A172)+$B$2)&gt;1,((WEEKDAY($A172)+$T$2)&lt;7),(WEEKDAY($A172)&lt;&gt;1)),"work",(INDEX(Subject!$A:$I,MATCH(RANDBETWEEN(1,(MAX(Subject!$B:$B))),Subject!$B:$B,0),3))))</f>
        <v/>
      </c>
      <c r="R172" s="2" t="str">
        <f t="array" ref="R172">IF(NOW()&gt;BC172,"",IF(AND((WEEKDAY($A172)+$B$2)&gt;1,((WEEKDAY($A172)+$T$2)&lt;7),(WEEKDAY($A172)&lt;&gt;1)),"work",(INDEX(Subject!$A:$I,MATCH(RANDBETWEEN(1,(MAX(Subject!$B:$B))),Subject!$B:$B,0),3))))</f>
        <v/>
      </c>
      <c r="S172" s="2" t="str">
        <f t="array" ref="S172">IF(NOW()&gt;BD172,"",IF(AND((WEEKDAY($A172)+$B$2)&gt;1,((WEEKDAY($A172)+$T$2)&lt;7),(WEEKDAY($A172)&lt;&gt;1)),"work",(INDEX(Subject!$A:$I,MATCH(RANDBETWEEN(1,(MAX(Subject!$B:$B))),Subject!$B:$B,0),3))))</f>
        <v/>
      </c>
      <c r="T172" s="2" t="str">
        <f t="array" ref="T172">IF(NOW()&gt;BE172,"",IF(AND((WEEKDAY($A172)+$B$2)&gt;1,((WEEKDAY($A172)+$T$2)&lt;7),(WEEKDAY($A172)&lt;&gt;1)),"work",(INDEX(Subject!$A:$I,MATCH(RANDBETWEEN(1,(MAX(Subject!$B:$B))),Subject!$B:$B,0),3))))</f>
        <v/>
      </c>
      <c r="U172" s="8" t="str">
        <f t="array" ref="U172">INDEX(Subject!$A:$I,MATCH(RANDBETWEEN(1,16),Subject!$B:$B,0),3)</f>
        <v>#N/A</v>
      </c>
      <c r="V172" s="8" t="str">
        <f t="array" ref="V172">INDEX(Subject!$A:$I,MATCH(RANDBETWEEN(1,16),Subject!$B:$B,0),3)</f>
        <v>#N/A</v>
      </c>
      <c r="W172" s="8" t="str">
        <f t="array" ref="W172">INDEX(Subject!$A:$I,MATCH(RANDBETWEEN(1,16),Subject!$B:$B,0),3)</f>
        <v/>
      </c>
      <c r="X172" s="8" t="str">
        <f t="array" ref="X172">INDEX(Subject!$A:$I,MATCH(RANDBETWEEN(1,16),Subject!$B:$B,0),3)</f>
        <v>#N/A</v>
      </c>
      <c r="Y172" s="8" t="str">
        <f t="array" ref="Y172">INDEX(Subject!$A:$I,MATCH(RANDBETWEEN(1,16),Subject!$B:$B,0),3)</f>
        <v>#N/A</v>
      </c>
      <c r="Z172" s="8" t="str">
        <f t="array" ref="Z172">INDEX(Subject!$A:$I,MATCH(RANDBETWEEN(1,16),Subject!$B:$B,0),3)</f>
        <v>#N/A</v>
      </c>
      <c r="AA172" s="8" t="str">
        <f t="array" ref="AA172">INDEX(Subject!$A:$I,MATCH(RANDBETWEEN(1,16),Subject!$B:$B,0),3)</f>
        <v>#N/A</v>
      </c>
      <c r="AB172" s="8" t="str">
        <f t="array" ref="AB172">INDEX(Subject!$A:$I,MATCH(RANDBETWEEN(1,16),Subject!$B:$B,0),3)</f>
        <v>#N/A</v>
      </c>
      <c r="AC172" s="8" t="str">
        <f t="array" ref="AC172">INDEX(Subject!$A:$I,MATCH(RANDBETWEEN(1,16),Subject!$B:$B,0),3)</f>
        <v>#N/A</v>
      </c>
      <c r="AD172" s="8" t="str">
        <f t="array" ref="AD172">INDEX(Subject!$A:$I,MATCH(RANDBETWEEN(1,16),Subject!$B:$B,0),3)</f>
        <v>#N/A</v>
      </c>
      <c r="AE172" s="8" t="str">
        <f t="array" ref="AE172">INDEX(Subject!$A:$I,MATCH(RANDBETWEEN(1,16),Subject!$B:$B,0),3)</f>
        <v/>
      </c>
      <c r="AF172" s="8" t="str">
        <f t="array" ref="AF172">INDEX(Subject!$A:$I,MATCH(RANDBETWEEN(1,16),Subject!$B:$B,0),3)</f>
        <v>#N/A</v>
      </c>
      <c r="AG172" s="8" t="str">
        <f t="array" ref="AG172">INDEX(Subject!$A:$I,MATCH(RANDBETWEEN(1,16),Subject!$B:$B,0),3)</f>
        <v>#N/A</v>
      </c>
      <c r="AH172" s="8" t="str">
        <f t="array" ref="AH172">INDEX(Subject!$A:$I,MATCH(RANDBETWEEN(1,16),Subject!$B:$B,0),3)</f>
        <v>#N/A</v>
      </c>
      <c r="AI172" s="8" t="str">
        <f t="array" ref="AI172">INDEX(Subject!$A:$I,MATCH(RANDBETWEEN(1,16),Subject!$B:$B,0),3)</f>
        <v>#N/A</v>
      </c>
      <c r="AJ172" s="8" t="str">
        <f t="array" ref="AJ172">INDEX(Subject!$A:$I,MATCH(RANDBETWEEN(1,16),Subject!$B:$B,0),3)</f>
        <v>#N/A</v>
      </c>
      <c r="AK172" s="8" t="str">
        <f t="array" ref="AK172">INDEX(Subject!$A:$I,MATCH(RANDBETWEEN(1,16),Subject!$B:$B,0),3)</f>
        <v>#N/A</v>
      </c>
      <c r="AL172" s="8" t="str">
        <f t="array" ref="AL172">INDEX(Subject!$A:$I,MATCH(RANDBETWEEN(1,16),Subject!$B:$B,0),3)</f>
        <v>#N/A</v>
      </c>
      <c r="AM172" s="18">
        <f t="shared" si="4"/>
        <v>45672.33333</v>
      </c>
      <c r="AN172" s="19">
        <f t="shared" ref="AN172:BZ172" si="172">$A172+C$1</f>
        <v>45672.35417</v>
      </c>
      <c r="AO172" s="19">
        <f t="shared" si="172"/>
        <v>45672.375</v>
      </c>
      <c r="AP172" s="19">
        <f t="shared" si="172"/>
        <v>45672.39583</v>
      </c>
      <c r="AQ172" s="19">
        <f t="shared" si="172"/>
        <v>45672.41667</v>
      </c>
      <c r="AR172" s="19">
        <f t="shared" si="172"/>
        <v>45672.4375</v>
      </c>
      <c r="AS172" s="19">
        <f t="shared" si="172"/>
        <v>45672.45833</v>
      </c>
      <c r="AT172" s="19">
        <f t="shared" si="172"/>
        <v>45672.47917</v>
      </c>
      <c r="AU172" s="19">
        <f t="shared" si="172"/>
        <v>45672.5</v>
      </c>
      <c r="AV172" s="19">
        <f t="shared" si="172"/>
        <v>45672.52083</v>
      </c>
      <c r="AW172" s="19">
        <f t="shared" si="172"/>
        <v>45672.54167</v>
      </c>
      <c r="AX172" s="19">
        <f t="shared" si="172"/>
        <v>45672.5625</v>
      </c>
      <c r="AY172" s="19">
        <f t="shared" si="172"/>
        <v>45672.58333</v>
      </c>
      <c r="AZ172" s="19">
        <f t="shared" si="172"/>
        <v>45672.60417</v>
      </c>
      <c r="BA172" s="19">
        <f t="shared" si="172"/>
        <v>45672.625</v>
      </c>
      <c r="BB172" s="19">
        <f t="shared" si="172"/>
        <v>45672.64583</v>
      </c>
      <c r="BC172" s="19">
        <f t="shared" si="172"/>
        <v>45672.66667</v>
      </c>
      <c r="BD172" s="19">
        <f t="shared" si="172"/>
        <v>45672.6875</v>
      </c>
      <c r="BE172" s="19">
        <f t="shared" si="172"/>
        <v>45672.70833</v>
      </c>
      <c r="BF172" s="19">
        <f t="shared" si="172"/>
        <v>45672.72917</v>
      </c>
      <c r="BG172" s="19">
        <f t="shared" si="172"/>
        <v>45672.75</v>
      </c>
      <c r="BH172" s="19">
        <f t="shared" si="172"/>
        <v>45672.77083</v>
      </c>
      <c r="BI172" s="19">
        <f t="shared" si="172"/>
        <v>45672.79167</v>
      </c>
      <c r="BJ172" s="19">
        <f t="shared" si="172"/>
        <v>45672.8125</v>
      </c>
      <c r="BK172" s="19">
        <f t="shared" si="172"/>
        <v>45672.83333</v>
      </c>
      <c r="BL172" s="19">
        <f t="shared" si="172"/>
        <v>45672.85417</v>
      </c>
      <c r="BM172" s="19">
        <f t="shared" si="172"/>
        <v>45672.875</v>
      </c>
      <c r="BN172" s="19">
        <f t="shared" si="172"/>
        <v>45672.89583</v>
      </c>
      <c r="BO172" s="19">
        <f t="shared" si="172"/>
        <v>45672.91667</v>
      </c>
      <c r="BP172" s="19">
        <f t="shared" si="172"/>
        <v>45672.9375</v>
      </c>
      <c r="BQ172" s="19">
        <f t="shared" si="172"/>
        <v>45672.95833</v>
      </c>
      <c r="BR172" s="19">
        <f t="shared" si="172"/>
        <v>45672.97917</v>
      </c>
      <c r="BS172" s="19">
        <f t="shared" si="172"/>
        <v>45673</v>
      </c>
      <c r="BT172" s="19">
        <f t="shared" si="172"/>
        <v>45673.02083</v>
      </c>
      <c r="BU172" s="19">
        <f t="shared" si="172"/>
        <v>45673.04167</v>
      </c>
      <c r="BV172" s="19">
        <f t="shared" si="172"/>
        <v>45673.0625</v>
      </c>
      <c r="BW172" s="19">
        <f t="shared" si="172"/>
        <v>45673.08333</v>
      </c>
      <c r="BX172" s="19">
        <f t="shared" si="172"/>
        <v>45672</v>
      </c>
      <c r="BY172" s="19">
        <f t="shared" si="172"/>
        <v>45672</v>
      </c>
      <c r="BZ172" s="19">
        <f t="shared" si="172"/>
        <v>45672</v>
      </c>
    </row>
    <row r="173" ht="14.25" customHeight="1">
      <c r="A173" s="17">
        <v>45673.0</v>
      </c>
      <c r="B173" s="2" t="str">
        <f t="array" ref="B173">IF(NOW()&gt;AM173,"",IF(AND((WEEKDAY($A173)+$B$2)&gt;1,((WEEKDAY($A173)+$T$2)&lt;7),(WEEKDAY($A173)&lt;&gt;1)),"work",(INDEX(Subject!$A:$I,MATCH(RANDBETWEEN(1,(MAX(Subject!$B:$B))),Subject!$B:$B,0),3))))</f>
        <v/>
      </c>
      <c r="C173" s="2" t="str">
        <f t="array" ref="C173">IF(NOW()&gt;AN173,"",IF(AND((WEEKDAY($A173)+$B$2)&gt;1,((WEEKDAY($A173)+$T$2)&lt;7),(WEEKDAY($A173)&lt;&gt;1)),"work",(INDEX(Subject!$A:$I,MATCH(RANDBETWEEN(1,(MAX(Subject!$B:$B))),Subject!$B:$B,0),3))))</f>
        <v/>
      </c>
      <c r="D173" s="2" t="str">
        <f t="array" ref="D173">IF(NOW()&gt;AO173,"",IF(AND((WEEKDAY($A173)+$B$2)&gt;1,((WEEKDAY($A173)+$T$2)&lt;7),(WEEKDAY($A173)&lt;&gt;1)),"work",(INDEX(Subject!$A:$I,MATCH(RANDBETWEEN(1,(MAX(Subject!$B:$B))),Subject!$B:$B,0),3))))</f>
        <v/>
      </c>
      <c r="E173" s="2" t="str">
        <f t="array" ref="E173">IF(NOW()&gt;AP173,"",IF(AND((WEEKDAY($A173)+$B$2)&gt;1,((WEEKDAY($A173)+$T$2)&lt;7),(WEEKDAY($A173)&lt;&gt;1)),"work",(INDEX(Subject!$A:$I,MATCH(RANDBETWEEN(1,(MAX(Subject!$B:$B))),Subject!$B:$B,0),3))))</f>
        <v/>
      </c>
      <c r="F173" s="2" t="str">
        <f t="array" ref="F173">IF(NOW()&gt;AQ173,"",IF(AND((WEEKDAY($A173)+$B$2)&gt;1,((WEEKDAY($A173)+$T$2)&lt;7),(WEEKDAY($A173)&lt;&gt;1)),"work",(INDEX(Subject!$A:$I,MATCH(RANDBETWEEN(1,(MAX(Subject!$B:$B))),Subject!$B:$B,0),3))))</f>
        <v/>
      </c>
      <c r="G173" s="2" t="str">
        <f t="array" ref="G173">IF(NOW()&gt;AR173,"",IF(AND((WEEKDAY($A173)+$B$2)&gt;1,((WEEKDAY($A173)+$T$2)&lt;7),(WEEKDAY($A173)&lt;&gt;1)),"work",(INDEX(Subject!$A:$I,MATCH(RANDBETWEEN(1,(MAX(Subject!$B:$B))),Subject!$B:$B,0),3))))</f>
        <v/>
      </c>
      <c r="H173" s="2" t="str">
        <f t="array" ref="H173">IF(NOW()&gt;AS173,"",IF(AND((WEEKDAY($A173)+$B$2)&gt;1,((WEEKDAY($A173)+$T$2)&lt;7),(WEEKDAY($A173)&lt;&gt;1)),"work",(INDEX(Subject!$A:$I,MATCH(RANDBETWEEN(1,(MAX(Subject!$B:$B))),Subject!$B:$B,0),3))))</f>
        <v/>
      </c>
      <c r="I173" s="2" t="str">
        <f t="array" ref="I173">IF(NOW()&gt;AT173,"",IF(AND((WEEKDAY($A173)+$B$2)&gt;1,((WEEKDAY($A173)+$T$2)&lt;7),(WEEKDAY($A173)&lt;&gt;1)),"work",(INDEX(Subject!$A:$I,MATCH(RANDBETWEEN(1,(MAX(Subject!$B:$B))),Subject!$B:$B,0),3))))</f>
        <v/>
      </c>
      <c r="J173" s="2" t="str">
        <f t="array" ref="J173">IF(NOW()&gt;AU173,"",IF(AND((WEEKDAY($A173)+$B$2)&gt;1,((WEEKDAY($A173)+$T$2)&lt;7),(WEEKDAY($A173)&lt;&gt;1)),"work",(INDEX(Subject!$A:$I,MATCH(RANDBETWEEN(1,(MAX(Subject!$B:$B))),Subject!$B:$B,0),3))))</f>
        <v/>
      </c>
      <c r="K173" s="2" t="str">
        <f t="array" ref="K173">IF(NOW()&gt;AV173,"",IF(AND((WEEKDAY($A173)+$B$2)&gt;1,((WEEKDAY($A173)+$T$2)&lt;7),(WEEKDAY($A173)&lt;&gt;1)),"work",(INDEX(Subject!$A:$I,MATCH(RANDBETWEEN(1,(MAX(Subject!$B:$B))),Subject!$B:$B,0),3))))</f>
        <v/>
      </c>
      <c r="L173" s="2" t="str">
        <f t="array" ref="L173">IF(NOW()&gt;AW173,"",IF(AND((WEEKDAY($A173)+$B$2)&gt;1,((WEEKDAY($A173)+$T$2)&lt;7),(WEEKDAY($A173)&lt;&gt;1)),"work",(INDEX(Subject!$A:$I,MATCH(RANDBETWEEN(1,(MAX(Subject!$B:$B))),Subject!$B:$B,0),3))))</f>
        <v/>
      </c>
      <c r="M173" s="2" t="str">
        <f t="array" ref="M173">IF(NOW()&gt;AX173,"",IF(AND((WEEKDAY($A173)+$B$2)&gt;1,((WEEKDAY($A173)+$T$2)&lt;7),(WEEKDAY($A173)&lt;&gt;1)),"work",(INDEX(Subject!$A:$I,MATCH(RANDBETWEEN(1,(MAX(Subject!$B:$B))),Subject!$B:$B,0),3))))</f>
        <v/>
      </c>
      <c r="N173" s="2" t="str">
        <f t="array" ref="N173">IF(NOW()&gt;AY173,"",IF(AND((WEEKDAY($A173)+$B$2)&gt;1,((WEEKDAY($A173)+$T$2)&lt;7),(WEEKDAY($A173)&lt;&gt;1)),"work",(INDEX(Subject!$A:$I,MATCH(RANDBETWEEN(1,(MAX(Subject!$B:$B))),Subject!$B:$B,0),3))))</f>
        <v/>
      </c>
      <c r="O173" s="2" t="str">
        <f t="array" ref="O173">IF(NOW()&gt;AZ173,"",IF(AND((WEEKDAY($A173)+$B$2)&gt;1,((WEEKDAY($A173)+$T$2)&lt;7),(WEEKDAY($A173)&lt;&gt;1)),"work",(INDEX(Subject!$A:$I,MATCH(RANDBETWEEN(1,(MAX(Subject!$B:$B))),Subject!$B:$B,0),3))))</f>
        <v/>
      </c>
      <c r="P173" s="2" t="str">
        <f t="array" ref="P173">IF(NOW()&gt;BA173,"",IF(AND((WEEKDAY($A173)+$B$2)&gt;1,((WEEKDAY($A173)+$T$2)&lt;7),(WEEKDAY($A173)&lt;&gt;1)),"work",(INDEX(Subject!$A:$I,MATCH(RANDBETWEEN(1,(MAX(Subject!$B:$B))),Subject!$B:$B,0),3))))</f>
        <v/>
      </c>
      <c r="Q173" s="2" t="str">
        <f t="array" ref="Q173">IF(NOW()&gt;BB173,"",IF(AND((WEEKDAY($A173)+$B$2)&gt;1,((WEEKDAY($A173)+$T$2)&lt;7),(WEEKDAY($A173)&lt;&gt;1)),"work",(INDEX(Subject!$A:$I,MATCH(RANDBETWEEN(1,(MAX(Subject!$B:$B))),Subject!$B:$B,0),3))))</f>
        <v/>
      </c>
      <c r="R173" s="2" t="str">
        <f t="array" ref="R173">IF(NOW()&gt;BC173,"",IF(AND((WEEKDAY($A173)+$B$2)&gt;1,((WEEKDAY($A173)+$T$2)&lt;7),(WEEKDAY($A173)&lt;&gt;1)),"work",(INDEX(Subject!$A:$I,MATCH(RANDBETWEEN(1,(MAX(Subject!$B:$B))),Subject!$B:$B,0),3))))</f>
        <v/>
      </c>
      <c r="S173" s="2" t="str">
        <f t="array" ref="S173">IF(NOW()&gt;BD173,"",IF(AND((WEEKDAY($A173)+$B$2)&gt;1,((WEEKDAY($A173)+$T$2)&lt;7),(WEEKDAY($A173)&lt;&gt;1)),"work",(INDEX(Subject!$A:$I,MATCH(RANDBETWEEN(1,(MAX(Subject!$B:$B))),Subject!$B:$B,0),3))))</f>
        <v/>
      </c>
      <c r="T173" s="2" t="str">
        <f t="array" ref="T173">IF(NOW()&gt;BE173,"",IF(AND((WEEKDAY($A173)+$B$2)&gt;1,((WEEKDAY($A173)+$T$2)&lt;7),(WEEKDAY($A173)&lt;&gt;1)),"work",(INDEX(Subject!$A:$I,MATCH(RANDBETWEEN(1,(MAX(Subject!$B:$B))),Subject!$B:$B,0),3))))</f>
        <v/>
      </c>
      <c r="U173" s="8" t="str">
        <f t="array" ref="U173">INDEX(Subject!$A:$I,MATCH(RANDBETWEEN(1,16),Subject!$B:$B,0),3)</f>
        <v>#N/A</v>
      </c>
      <c r="V173" s="8" t="str">
        <f t="array" ref="V173">INDEX(Subject!$A:$I,MATCH(RANDBETWEEN(1,16),Subject!$B:$B,0),3)</f>
        <v/>
      </c>
      <c r="W173" s="8" t="str">
        <f t="array" ref="W173">INDEX(Subject!$A:$I,MATCH(RANDBETWEEN(1,16),Subject!$B:$B,0),3)</f>
        <v/>
      </c>
      <c r="X173" s="8" t="str">
        <f t="array" ref="X173">INDEX(Subject!$A:$I,MATCH(RANDBETWEEN(1,16),Subject!$B:$B,0),3)</f>
        <v>#N/A</v>
      </c>
      <c r="Y173" s="8" t="str">
        <f t="array" ref="Y173">INDEX(Subject!$A:$I,MATCH(RANDBETWEEN(1,16),Subject!$B:$B,0),3)</f>
        <v/>
      </c>
      <c r="Z173" s="8" t="str">
        <f t="array" ref="Z173">INDEX(Subject!$A:$I,MATCH(RANDBETWEEN(1,16),Subject!$B:$B,0),3)</f>
        <v>#N/A</v>
      </c>
      <c r="AA173" s="8" t="str">
        <f t="array" ref="AA173">INDEX(Subject!$A:$I,MATCH(RANDBETWEEN(1,16),Subject!$B:$B,0),3)</f>
        <v>#N/A</v>
      </c>
      <c r="AB173" s="8" t="str">
        <f t="array" ref="AB173">INDEX(Subject!$A:$I,MATCH(RANDBETWEEN(1,16),Subject!$B:$B,0),3)</f>
        <v>#N/A</v>
      </c>
      <c r="AC173" s="8" t="str">
        <f t="array" ref="AC173">INDEX(Subject!$A:$I,MATCH(RANDBETWEEN(1,16),Subject!$B:$B,0),3)</f>
        <v>#N/A</v>
      </c>
      <c r="AD173" s="8" t="str">
        <f t="array" ref="AD173">INDEX(Subject!$A:$I,MATCH(RANDBETWEEN(1,16),Subject!$B:$B,0),3)</f>
        <v>#N/A</v>
      </c>
      <c r="AE173" s="8" t="str">
        <f t="array" ref="AE173">INDEX(Subject!$A:$I,MATCH(RANDBETWEEN(1,16),Subject!$B:$B,0),3)</f>
        <v>#N/A</v>
      </c>
      <c r="AF173" s="8" t="str">
        <f t="array" ref="AF173">INDEX(Subject!$A:$I,MATCH(RANDBETWEEN(1,16),Subject!$B:$B,0),3)</f>
        <v>#N/A</v>
      </c>
      <c r="AG173" s="8" t="str">
        <f t="array" ref="AG173">INDEX(Subject!$A:$I,MATCH(RANDBETWEEN(1,16),Subject!$B:$B,0),3)</f>
        <v>#N/A</v>
      </c>
      <c r="AH173" s="8" t="str">
        <f t="array" ref="AH173">INDEX(Subject!$A:$I,MATCH(RANDBETWEEN(1,16),Subject!$B:$B,0),3)</f>
        <v>#N/A</v>
      </c>
      <c r="AI173" s="8" t="str">
        <f t="array" ref="AI173">INDEX(Subject!$A:$I,MATCH(RANDBETWEEN(1,16),Subject!$B:$B,0),3)</f>
        <v>#N/A</v>
      </c>
      <c r="AJ173" s="8" t="str">
        <f t="array" ref="AJ173">INDEX(Subject!$A:$I,MATCH(RANDBETWEEN(1,16),Subject!$B:$B,0),3)</f>
        <v>#N/A</v>
      </c>
      <c r="AK173" s="8" t="str">
        <f t="array" ref="AK173">INDEX(Subject!$A:$I,MATCH(RANDBETWEEN(1,16),Subject!$B:$B,0),3)</f>
        <v>#N/A</v>
      </c>
      <c r="AL173" s="8" t="str">
        <f t="array" ref="AL173">INDEX(Subject!$A:$I,MATCH(RANDBETWEEN(1,16),Subject!$B:$B,0),3)</f>
        <v>#N/A</v>
      </c>
      <c r="AM173" s="18">
        <f t="shared" si="4"/>
        <v>45673.33333</v>
      </c>
      <c r="AN173" s="19">
        <f t="shared" ref="AN173:BZ173" si="173">$A173+C$1</f>
        <v>45673.35417</v>
      </c>
      <c r="AO173" s="19">
        <f t="shared" si="173"/>
        <v>45673.375</v>
      </c>
      <c r="AP173" s="19">
        <f t="shared" si="173"/>
        <v>45673.39583</v>
      </c>
      <c r="AQ173" s="19">
        <f t="shared" si="173"/>
        <v>45673.41667</v>
      </c>
      <c r="AR173" s="19">
        <f t="shared" si="173"/>
        <v>45673.4375</v>
      </c>
      <c r="AS173" s="19">
        <f t="shared" si="173"/>
        <v>45673.45833</v>
      </c>
      <c r="AT173" s="19">
        <f t="shared" si="173"/>
        <v>45673.47917</v>
      </c>
      <c r="AU173" s="19">
        <f t="shared" si="173"/>
        <v>45673.5</v>
      </c>
      <c r="AV173" s="19">
        <f t="shared" si="173"/>
        <v>45673.52083</v>
      </c>
      <c r="AW173" s="19">
        <f t="shared" si="173"/>
        <v>45673.54167</v>
      </c>
      <c r="AX173" s="19">
        <f t="shared" si="173"/>
        <v>45673.5625</v>
      </c>
      <c r="AY173" s="19">
        <f t="shared" si="173"/>
        <v>45673.58333</v>
      </c>
      <c r="AZ173" s="19">
        <f t="shared" si="173"/>
        <v>45673.60417</v>
      </c>
      <c r="BA173" s="19">
        <f t="shared" si="173"/>
        <v>45673.625</v>
      </c>
      <c r="BB173" s="19">
        <f t="shared" si="173"/>
        <v>45673.64583</v>
      </c>
      <c r="BC173" s="19">
        <f t="shared" si="173"/>
        <v>45673.66667</v>
      </c>
      <c r="BD173" s="19">
        <f t="shared" si="173"/>
        <v>45673.6875</v>
      </c>
      <c r="BE173" s="19">
        <f t="shared" si="173"/>
        <v>45673.70833</v>
      </c>
      <c r="BF173" s="19">
        <f t="shared" si="173"/>
        <v>45673.72917</v>
      </c>
      <c r="BG173" s="19">
        <f t="shared" si="173"/>
        <v>45673.75</v>
      </c>
      <c r="BH173" s="19">
        <f t="shared" si="173"/>
        <v>45673.77083</v>
      </c>
      <c r="BI173" s="19">
        <f t="shared" si="173"/>
        <v>45673.79167</v>
      </c>
      <c r="BJ173" s="19">
        <f t="shared" si="173"/>
        <v>45673.8125</v>
      </c>
      <c r="BK173" s="19">
        <f t="shared" si="173"/>
        <v>45673.83333</v>
      </c>
      <c r="BL173" s="19">
        <f t="shared" si="173"/>
        <v>45673.85417</v>
      </c>
      <c r="BM173" s="19">
        <f t="shared" si="173"/>
        <v>45673.875</v>
      </c>
      <c r="BN173" s="19">
        <f t="shared" si="173"/>
        <v>45673.89583</v>
      </c>
      <c r="BO173" s="19">
        <f t="shared" si="173"/>
        <v>45673.91667</v>
      </c>
      <c r="BP173" s="19">
        <f t="shared" si="173"/>
        <v>45673.9375</v>
      </c>
      <c r="BQ173" s="19">
        <f t="shared" si="173"/>
        <v>45673.95833</v>
      </c>
      <c r="BR173" s="19">
        <f t="shared" si="173"/>
        <v>45673.97917</v>
      </c>
      <c r="BS173" s="19">
        <f t="shared" si="173"/>
        <v>45674</v>
      </c>
      <c r="BT173" s="19">
        <f t="shared" si="173"/>
        <v>45674.02083</v>
      </c>
      <c r="BU173" s="19">
        <f t="shared" si="173"/>
        <v>45674.04167</v>
      </c>
      <c r="BV173" s="19">
        <f t="shared" si="173"/>
        <v>45674.0625</v>
      </c>
      <c r="BW173" s="19">
        <f t="shared" si="173"/>
        <v>45674.08333</v>
      </c>
      <c r="BX173" s="19">
        <f t="shared" si="173"/>
        <v>45673</v>
      </c>
      <c r="BY173" s="19">
        <f t="shared" si="173"/>
        <v>45673</v>
      </c>
      <c r="BZ173" s="19">
        <f t="shared" si="173"/>
        <v>45673</v>
      </c>
    </row>
    <row r="174" ht="14.25" customHeight="1">
      <c r="A174" s="17">
        <v>45674.0</v>
      </c>
      <c r="B174" s="2" t="str">
        <f t="array" ref="B174">IF(NOW()&gt;AM174,"",IF(AND((WEEKDAY($A174)+$B$2)&gt;1,((WEEKDAY($A174)+$T$2)&lt;7),(WEEKDAY($A174)&lt;&gt;1)),"work",(INDEX(Subject!$A:$I,MATCH(RANDBETWEEN(1,(MAX(Subject!$B:$B))),Subject!$B:$B,0),3))))</f>
        <v/>
      </c>
      <c r="C174" s="2" t="str">
        <f t="array" ref="C174">IF(NOW()&gt;AN174,"",IF(AND((WEEKDAY($A174)+$B$2)&gt;1,((WEEKDAY($A174)+$T$2)&lt;7),(WEEKDAY($A174)&lt;&gt;1)),"work",(INDEX(Subject!$A:$I,MATCH(RANDBETWEEN(1,(MAX(Subject!$B:$B))),Subject!$B:$B,0),3))))</f>
        <v/>
      </c>
      <c r="D174" s="2" t="str">
        <f t="array" ref="D174">IF(NOW()&gt;AO174,"",IF(AND((WEEKDAY($A174)+$B$2)&gt;1,((WEEKDAY($A174)+$T$2)&lt;7),(WEEKDAY($A174)&lt;&gt;1)),"work",(INDEX(Subject!$A:$I,MATCH(RANDBETWEEN(1,(MAX(Subject!$B:$B))),Subject!$B:$B,0),3))))</f>
        <v/>
      </c>
      <c r="E174" s="2" t="str">
        <f t="array" ref="E174">IF(NOW()&gt;AP174,"",IF(AND((WEEKDAY($A174)+$B$2)&gt;1,((WEEKDAY($A174)+$T$2)&lt;7),(WEEKDAY($A174)&lt;&gt;1)),"work",(INDEX(Subject!$A:$I,MATCH(RANDBETWEEN(1,(MAX(Subject!$B:$B))),Subject!$B:$B,0),3))))</f>
        <v/>
      </c>
      <c r="F174" s="2" t="str">
        <f t="array" ref="F174">IF(NOW()&gt;AQ174,"",IF(AND((WEEKDAY($A174)+$B$2)&gt;1,((WEEKDAY($A174)+$T$2)&lt;7),(WEEKDAY($A174)&lt;&gt;1)),"work",(INDEX(Subject!$A:$I,MATCH(RANDBETWEEN(1,(MAX(Subject!$B:$B))),Subject!$B:$B,0),3))))</f>
        <v/>
      </c>
      <c r="G174" s="2" t="str">
        <f t="array" ref="G174">IF(NOW()&gt;AR174,"",IF(AND((WEEKDAY($A174)+$B$2)&gt;1,((WEEKDAY($A174)+$T$2)&lt;7),(WEEKDAY($A174)&lt;&gt;1)),"work",(INDEX(Subject!$A:$I,MATCH(RANDBETWEEN(1,(MAX(Subject!$B:$B))),Subject!$B:$B,0),3))))</f>
        <v/>
      </c>
      <c r="H174" s="2" t="str">
        <f t="array" ref="H174">IF(NOW()&gt;AS174,"",IF(AND((WEEKDAY($A174)+$B$2)&gt;1,((WEEKDAY($A174)+$T$2)&lt;7),(WEEKDAY($A174)&lt;&gt;1)),"work",(INDEX(Subject!$A:$I,MATCH(RANDBETWEEN(1,(MAX(Subject!$B:$B))),Subject!$B:$B,0),3))))</f>
        <v/>
      </c>
      <c r="I174" s="2" t="str">
        <f t="array" ref="I174">IF(NOW()&gt;AT174,"",IF(AND((WEEKDAY($A174)+$B$2)&gt;1,((WEEKDAY($A174)+$T$2)&lt;7),(WEEKDAY($A174)&lt;&gt;1)),"work",(INDEX(Subject!$A:$I,MATCH(RANDBETWEEN(1,(MAX(Subject!$B:$B))),Subject!$B:$B,0),3))))</f>
        <v/>
      </c>
      <c r="J174" s="2" t="str">
        <f t="array" ref="J174">IF(NOW()&gt;AU174,"",IF(AND((WEEKDAY($A174)+$B$2)&gt;1,((WEEKDAY($A174)+$T$2)&lt;7),(WEEKDAY($A174)&lt;&gt;1)),"work",(INDEX(Subject!$A:$I,MATCH(RANDBETWEEN(1,(MAX(Subject!$B:$B))),Subject!$B:$B,0),3))))</f>
        <v/>
      </c>
      <c r="K174" s="2" t="str">
        <f t="array" ref="K174">IF(NOW()&gt;AV174,"",IF(AND((WEEKDAY($A174)+$B$2)&gt;1,((WEEKDAY($A174)+$T$2)&lt;7),(WEEKDAY($A174)&lt;&gt;1)),"work",(INDEX(Subject!$A:$I,MATCH(RANDBETWEEN(1,(MAX(Subject!$B:$B))),Subject!$B:$B,0),3))))</f>
        <v/>
      </c>
      <c r="L174" s="2" t="str">
        <f t="array" ref="L174">IF(NOW()&gt;AW174,"",IF(AND((WEEKDAY($A174)+$B$2)&gt;1,((WEEKDAY($A174)+$T$2)&lt;7),(WEEKDAY($A174)&lt;&gt;1)),"work",(INDEX(Subject!$A:$I,MATCH(RANDBETWEEN(1,(MAX(Subject!$B:$B))),Subject!$B:$B,0),3))))</f>
        <v/>
      </c>
      <c r="M174" s="2" t="str">
        <f t="array" ref="M174">IF(NOW()&gt;AX174,"",IF(AND((WEEKDAY($A174)+$B$2)&gt;1,((WEEKDAY($A174)+$T$2)&lt;7),(WEEKDAY($A174)&lt;&gt;1)),"work",(INDEX(Subject!$A:$I,MATCH(RANDBETWEEN(1,(MAX(Subject!$B:$B))),Subject!$B:$B,0),3))))</f>
        <v/>
      </c>
      <c r="N174" s="2" t="str">
        <f t="array" ref="N174">IF(NOW()&gt;AY174,"",IF(AND((WEEKDAY($A174)+$B$2)&gt;1,((WEEKDAY($A174)+$T$2)&lt;7),(WEEKDAY($A174)&lt;&gt;1)),"work",(INDEX(Subject!$A:$I,MATCH(RANDBETWEEN(1,(MAX(Subject!$B:$B))),Subject!$B:$B,0),3))))</f>
        <v/>
      </c>
      <c r="O174" s="2" t="str">
        <f t="array" ref="O174">IF(NOW()&gt;AZ174,"",IF(AND((WEEKDAY($A174)+$B$2)&gt;1,((WEEKDAY($A174)+$T$2)&lt;7),(WEEKDAY($A174)&lt;&gt;1)),"work",(INDEX(Subject!$A:$I,MATCH(RANDBETWEEN(1,(MAX(Subject!$B:$B))),Subject!$B:$B,0),3))))</f>
        <v/>
      </c>
      <c r="P174" s="2" t="str">
        <f t="array" ref="P174">IF(NOW()&gt;BA174,"",IF(AND((WEEKDAY($A174)+$B$2)&gt;1,((WEEKDAY($A174)+$T$2)&lt;7),(WEEKDAY($A174)&lt;&gt;1)),"work",(INDEX(Subject!$A:$I,MATCH(RANDBETWEEN(1,(MAX(Subject!$B:$B))),Subject!$B:$B,0),3))))</f>
        <v/>
      </c>
      <c r="Q174" s="2" t="str">
        <f t="array" ref="Q174">IF(NOW()&gt;BB174,"",IF(AND((WEEKDAY($A174)+$B$2)&gt;1,((WEEKDAY($A174)+$T$2)&lt;7),(WEEKDAY($A174)&lt;&gt;1)),"work",(INDEX(Subject!$A:$I,MATCH(RANDBETWEEN(1,(MAX(Subject!$B:$B))),Subject!$B:$B,0),3))))</f>
        <v/>
      </c>
      <c r="R174" s="2" t="str">
        <f t="array" ref="R174">IF(NOW()&gt;BC174,"",IF(AND((WEEKDAY($A174)+$B$2)&gt;1,((WEEKDAY($A174)+$T$2)&lt;7),(WEEKDAY($A174)&lt;&gt;1)),"work",(INDEX(Subject!$A:$I,MATCH(RANDBETWEEN(1,(MAX(Subject!$B:$B))),Subject!$B:$B,0),3))))</f>
        <v/>
      </c>
      <c r="S174" s="2" t="str">
        <f t="array" ref="S174">IF(NOW()&gt;BD174,"",IF(AND((WEEKDAY($A174)+$B$2)&gt;1,((WEEKDAY($A174)+$T$2)&lt;7),(WEEKDAY($A174)&lt;&gt;1)),"work",(INDEX(Subject!$A:$I,MATCH(RANDBETWEEN(1,(MAX(Subject!$B:$B))),Subject!$B:$B,0),3))))</f>
        <v/>
      </c>
      <c r="T174" s="2" t="str">
        <f t="array" ref="T174">IF(NOW()&gt;BE174,"",IF(AND((WEEKDAY($A174)+$B$2)&gt;1,((WEEKDAY($A174)+$T$2)&lt;7),(WEEKDAY($A174)&lt;&gt;1)),"work",(INDEX(Subject!$A:$I,MATCH(RANDBETWEEN(1,(MAX(Subject!$B:$B))),Subject!$B:$B,0),3))))</f>
        <v/>
      </c>
      <c r="U174" s="8" t="str">
        <f t="array" ref="U174">INDEX(Subject!$A:$I,MATCH(RANDBETWEEN(1,16),Subject!$B:$B,0),3)</f>
        <v>#N/A</v>
      </c>
      <c r="V174" s="8" t="str">
        <f t="array" ref="V174">INDEX(Subject!$A:$I,MATCH(RANDBETWEEN(1,16),Subject!$B:$B,0),3)</f>
        <v>#N/A</v>
      </c>
      <c r="W174" s="8" t="str">
        <f t="array" ref="W174">INDEX(Subject!$A:$I,MATCH(RANDBETWEEN(1,16),Subject!$B:$B,0),3)</f>
        <v>#N/A</v>
      </c>
      <c r="X174" s="8" t="str">
        <f t="array" ref="X174">INDEX(Subject!$A:$I,MATCH(RANDBETWEEN(1,16),Subject!$B:$B,0),3)</f>
        <v>#N/A</v>
      </c>
      <c r="Y174" s="8" t="str">
        <f t="array" ref="Y174">INDEX(Subject!$A:$I,MATCH(RANDBETWEEN(1,16),Subject!$B:$B,0),3)</f>
        <v>#N/A</v>
      </c>
      <c r="Z174" s="8" t="str">
        <f t="array" ref="Z174">INDEX(Subject!$A:$I,MATCH(RANDBETWEEN(1,16),Subject!$B:$B,0),3)</f>
        <v>#N/A</v>
      </c>
      <c r="AA174" s="8" t="str">
        <f t="array" ref="AA174">INDEX(Subject!$A:$I,MATCH(RANDBETWEEN(1,16),Subject!$B:$B,0),3)</f>
        <v>#N/A</v>
      </c>
      <c r="AB174" s="8" t="str">
        <f t="array" ref="AB174">INDEX(Subject!$A:$I,MATCH(RANDBETWEEN(1,16),Subject!$B:$B,0),3)</f>
        <v>#N/A</v>
      </c>
      <c r="AC174" s="8" t="str">
        <f t="array" ref="AC174">INDEX(Subject!$A:$I,MATCH(RANDBETWEEN(1,16),Subject!$B:$B,0),3)</f>
        <v/>
      </c>
      <c r="AD174" s="8" t="str">
        <f t="array" ref="AD174">INDEX(Subject!$A:$I,MATCH(RANDBETWEEN(1,16),Subject!$B:$B,0),3)</f>
        <v>#N/A</v>
      </c>
      <c r="AE174" s="8" t="str">
        <f t="array" ref="AE174">INDEX(Subject!$A:$I,MATCH(RANDBETWEEN(1,16),Subject!$B:$B,0),3)</f>
        <v>#N/A</v>
      </c>
      <c r="AF174" s="8" t="str">
        <f t="array" ref="AF174">INDEX(Subject!$A:$I,MATCH(RANDBETWEEN(1,16),Subject!$B:$B,0),3)</f>
        <v>#N/A</v>
      </c>
      <c r="AG174" s="8" t="str">
        <f t="array" ref="AG174">INDEX(Subject!$A:$I,MATCH(RANDBETWEEN(1,16),Subject!$B:$B,0),3)</f>
        <v>#N/A</v>
      </c>
      <c r="AH174" s="8" t="str">
        <f t="array" ref="AH174">INDEX(Subject!$A:$I,MATCH(RANDBETWEEN(1,16),Subject!$B:$B,0),3)</f>
        <v>#N/A</v>
      </c>
      <c r="AI174" s="8" t="str">
        <f t="array" ref="AI174">INDEX(Subject!$A:$I,MATCH(RANDBETWEEN(1,16),Subject!$B:$B,0),3)</f>
        <v>#N/A</v>
      </c>
      <c r="AJ174" s="8" t="str">
        <f t="array" ref="AJ174">INDEX(Subject!$A:$I,MATCH(RANDBETWEEN(1,16),Subject!$B:$B,0),3)</f>
        <v>#N/A</v>
      </c>
      <c r="AK174" s="8" t="str">
        <f t="array" ref="AK174">INDEX(Subject!$A:$I,MATCH(RANDBETWEEN(1,16),Subject!$B:$B,0),3)</f>
        <v>#N/A</v>
      </c>
      <c r="AL174" s="8" t="str">
        <f t="array" ref="AL174">INDEX(Subject!$A:$I,MATCH(RANDBETWEEN(1,16),Subject!$B:$B,0),3)</f>
        <v>#N/A</v>
      </c>
      <c r="AM174" s="18">
        <f t="shared" si="4"/>
        <v>45674.33333</v>
      </c>
      <c r="AN174" s="19">
        <f t="shared" ref="AN174:BZ174" si="174">$A174+C$1</f>
        <v>45674.35417</v>
      </c>
      <c r="AO174" s="19">
        <f t="shared" si="174"/>
        <v>45674.375</v>
      </c>
      <c r="AP174" s="19">
        <f t="shared" si="174"/>
        <v>45674.39583</v>
      </c>
      <c r="AQ174" s="19">
        <f t="shared" si="174"/>
        <v>45674.41667</v>
      </c>
      <c r="AR174" s="19">
        <f t="shared" si="174"/>
        <v>45674.4375</v>
      </c>
      <c r="AS174" s="19">
        <f t="shared" si="174"/>
        <v>45674.45833</v>
      </c>
      <c r="AT174" s="19">
        <f t="shared" si="174"/>
        <v>45674.47917</v>
      </c>
      <c r="AU174" s="19">
        <f t="shared" si="174"/>
        <v>45674.5</v>
      </c>
      <c r="AV174" s="19">
        <f t="shared" si="174"/>
        <v>45674.52083</v>
      </c>
      <c r="AW174" s="19">
        <f t="shared" si="174"/>
        <v>45674.54167</v>
      </c>
      <c r="AX174" s="19">
        <f t="shared" si="174"/>
        <v>45674.5625</v>
      </c>
      <c r="AY174" s="19">
        <f t="shared" si="174"/>
        <v>45674.58333</v>
      </c>
      <c r="AZ174" s="19">
        <f t="shared" si="174"/>
        <v>45674.60417</v>
      </c>
      <c r="BA174" s="19">
        <f t="shared" si="174"/>
        <v>45674.625</v>
      </c>
      <c r="BB174" s="19">
        <f t="shared" si="174"/>
        <v>45674.64583</v>
      </c>
      <c r="BC174" s="19">
        <f t="shared" si="174"/>
        <v>45674.66667</v>
      </c>
      <c r="BD174" s="19">
        <f t="shared" si="174"/>
        <v>45674.6875</v>
      </c>
      <c r="BE174" s="19">
        <f t="shared" si="174"/>
        <v>45674.70833</v>
      </c>
      <c r="BF174" s="19">
        <f t="shared" si="174"/>
        <v>45674.72917</v>
      </c>
      <c r="BG174" s="19">
        <f t="shared" si="174"/>
        <v>45674.75</v>
      </c>
      <c r="BH174" s="19">
        <f t="shared" si="174"/>
        <v>45674.77083</v>
      </c>
      <c r="BI174" s="19">
        <f t="shared" si="174"/>
        <v>45674.79167</v>
      </c>
      <c r="BJ174" s="19">
        <f t="shared" si="174"/>
        <v>45674.8125</v>
      </c>
      <c r="BK174" s="19">
        <f t="shared" si="174"/>
        <v>45674.83333</v>
      </c>
      <c r="BL174" s="19">
        <f t="shared" si="174"/>
        <v>45674.85417</v>
      </c>
      <c r="BM174" s="19">
        <f t="shared" si="174"/>
        <v>45674.875</v>
      </c>
      <c r="BN174" s="19">
        <f t="shared" si="174"/>
        <v>45674.89583</v>
      </c>
      <c r="BO174" s="19">
        <f t="shared" si="174"/>
        <v>45674.91667</v>
      </c>
      <c r="BP174" s="19">
        <f t="shared" si="174"/>
        <v>45674.9375</v>
      </c>
      <c r="BQ174" s="19">
        <f t="shared" si="174"/>
        <v>45674.95833</v>
      </c>
      <c r="BR174" s="19">
        <f t="shared" si="174"/>
        <v>45674.97917</v>
      </c>
      <c r="BS174" s="19">
        <f t="shared" si="174"/>
        <v>45675</v>
      </c>
      <c r="BT174" s="19">
        <f t="shared" si="174"/>
        <v>45675.02083</v>
      </c>
      <c r="BU174" s="19">
        <f t="shared" si="174"/>
        <v>45675.04167</v>
      </c>
      <c r="BV174" s="19">
        <f t="shared" si="174"/>
        <v>45675.0625</v>
      </c>
      <c r="BW174" s="19">
        <f t="shared" si="174"/>
        <v>45675.08333</v>
      </c>
      <c r="BX174" s="19">
        <f t="shared" si="174"/>
        <v>45674</v>
      </c>
      <c r="BY174" s="19">
        <f t="shared" si="174"/>
        <v>45674</v>
      </c>
      <c r="BZ174" s="19">
        <f t="shared" si="174"/>
        <v>45674</v>
      </c>
    </row>
    <row r="175" ht="14.25" customHeight="1">
      <c r="A175" s="17">
        <v>45675.0</v>
      </c>
      <c r="B175" s="2" t="str">
        <f t="array" ref="B175">IF(NOW()&gt;AM175,"",IF(AND((WEEKDAY($A175)+$B$2)&gt;1,((WEEKDAY($A175)+$T$2)&lt;7),(WEEKDAY($A175)&lt;&gt;1)),"work",(INDEX(Subject!$A:$I,MATCH(RANDBETWEEN(1,(MAX(Subject!$B:$B))),Subject!$B:$B,0),3))))</f>
        <v/>
      </c>
      <c r="C175" s="2" t="str">
        <f t="array" ref="C175">IF(NOW()&gt;AN175,"",IF(AND((WEEKDAY($A175)+$B$2)&gt;1,((WEEKDAY($A175)+$T$2)&lt;7),(WEEKDAY($A175)&lt;&gt;1)),"work",(INDEX(Subject!$A:$I,MATCH(RANDBETWEEN(1,(MAX(Subject!$B:$B))),Subject!$B:$B,0),3))))</f>
        <v/>
      </c>
      <c r="D175" s="2" t="str">
        <f t="array" ref="D175">IF(NOW()&gt;AO175,"",IF(AND((WEEKDAY($A175)+$B$2)&gt;1,((WEEKDAY($A175)+$T$2)&lt;7),(WEEKDAY($A175)&lt;&gt;1)),"work",(INDEX(Subject!$A:$I,MATCH(RANDBETWEEN(1,(MAX(Subject!$B:$B))),Subject!$B:$B,0),3))))</f>
        <v/>
      </c>
      <c r="E175" s="2" t="str">
        <f t="array" ref="E175">IF(NOW()&gt;AP175,"",IF(AND((WEEKDAY($A175)+$B$2)&gt;1,((WEEKDAY($A175)+$T$2)&lt;7),(WEEKDAY($A175)&lt;&gt;1)),"work",(INDEX(Subject!$A:$I,MATCH(RANDBETWEEN(1,(MAX(Subject!$B:$B))),Subject!$B:$B,0),3))))</f>
        <v/>
      </c>
      <c r="F175" s="2" t="str">
        <f t="array" ref="F175">IF(NOW()&gt;AQ175,"",IF(AND((WEEKDAY($A175)+$B$2)&gt;1,((WEEKDAY($A175)+$T$2)&lt;7),(WEEKDAY($A175)&lt;&gt;1)),"work",(INDEX(Subject!$A:$I,MATCH(RANDBETWEEN(1,(MAX(Subject!$B:$B))),Subject!$B:$B,0),3))))</f>
        <v/>
      </c>
      <c r="G175" s="2" t="str">
        <f t="array" ref="G175">IF(NOW()&gt;AR175,"",IF(AND((WEEKDAY($A175)+$B$2)&gt;1,((WEEKDAY($A175)+$T$2)&lt;7),(WEEKDAY($A175)&lt;&gt;1)),"work",(INDEX(Subject!$A:$I,MATCH(RANDBETWEEN(1,(MAX(Subject!$B:$B))),Subject!$B:$B,0),3))))</f>
        <v/>
      </c>
      <c r="H175" s="2" t="str">
        <f t="array" ref="H175">IF(NOW()&gt;AS175,"",IF(AND((WEEKDAY($A175)+$B$2)&gt;1,((WEEKDAY($A175)+$T$2)&lt;7),(WEEKDAY($A175)&lt;&gt;1)),"work",(INDEX(Subject!$A:$I,MATCH(RANDBETWEEN(1,(MAX(Subject!$B:$B))),Subject!$B:$B,0),3))))</f>
        <v/>
      </c>
      <c r="I175" s="2" t="str">
        <f t="array" ref="I175">IF(NOW()&gt;AT175,"",IF(AND((WEEKDAY($A175)+$B$2)&gt;1,((WEEKDAY($A175)+$T$2)&lt;7),(WEEKDAY($A175)&lt;&gt;1)),"work",(INDEX(Subject!$A:$I,MATCH(RANDBETWEEN(1,(MAX(Subject!$B:$B))),Subject!$B:$B,0),3))))</f>
        <v/>
      </c>
      <c r="J175" s="2" t="str">
        <f t="array" ref="J175">IF(NOW()&gt;AU175,"",IF(AND((WEEKDAY($A175)+$B$2)&gt;1,((WEEKDAY($A175)+$T$2)&lt;7),(WEEKDAY($A175)&lt;&gt;1)),"work",(INDEX(Subject!$A:$I,MATCH(RANDBETWEEN(1,(MAX(Subject!$B:$B))),Subject!$B:$B,0),3))))</f>
        <v/>
      </c>
      <c r="K175" s="2" t="str">
        <f t="array" ref="K175">IF(NOW()&gt;AV175,"",IF(AND((WEEKDAY($A175)+$B$2)&gt;1,((WEEKDAY($A175)+$T$2)&lt;7),(WEEKDAY($A175)&lt;&gt;1)),"work",(INDEX(Subject!$A:$I,MATCH(RANDBETWEEN(1,(MAX(Subject!$B:$B))),Subject!$B:$B,0),3))))</f>
        <v/>
      </c>
      <c r="L175" s="2" t="str">
        <f t="array" ref="L175">IF(NOW()&gt;AW175,"",IF(AND((WEEKDAY($A175)+$B$2)&gt;1,((WEEKDAY($A175)+$T$2)&lt;7),(WEEKDAY($A175)&lt;&gt;1)),"work",(INDEX(Subject!$A:$I,MATCH(RANDBETWEEN(1,(MAX(Subject!$B:$B))),Subject!$B:$B,0),3))))</f>
        <v/>
      </c>
      <c r="M175" s="2" t="str">
        <f t="array" ref="M175">IF(NOW()&gt;AX175,"",IF(AND((WEEKDAY($A175)+$B$2)&gt;1,((WEEKDAY($A175)+$T$2)&lt;7),(WEEKDAY($A175)&lt;&gt;1)),"work",(INDEX(Subject!$A:$I,MATCH(RANDBETWEEN(1,(MAX(Subject!$B:$B))),Subject!$B:$B,0),3))))</f>
        <v/>
      </c>
      <c r="N175" s="2" t="str">
        <f t="array" ref="N175">IF(NOW()&gt;AY175,"",IF(AND((WEEKDAY($A175)+$B$2)&gt;1,((WEEKDAY($A175)+$T$2)&lt;7),(WEEKDAY($A175)&lt;&gt;1)),"work",(INDEX(Subject!$A:$I,MATCH(RANDBETWEEN(1,(MAX(Subject!$B:$B))),Subject!$B:$B,0),3))))</f>
        <v/>
      </c>
      <c r="O175" s="2" t="str">
        <f t="array" ref="O175">IF(NOW()&gt;AZ175,"",IF(AND((WEEKDAY($A175)+$B$2)&gt;1,((WEEKDAY($A175)+$T$2)&lt;7),(WEEKDAY($A175)&lt;&gt;1)),"work",(INDEX(Subject!$A:$I,MATCH(RANDBETWEEN(1,(MAX(Subject!$B:$B))),Subject!$B:$B,0),3))))</f>
        <v/>
      </c>
      <c r="P175" s="2" t="str">
        <f t="array" ref="P175">IF(NOW()&gt;BA175,"",IF(AND((WEEKDAY($A175)+$B$2)&gt;1,((WEEKDAY($A175)+$T$2)&lt;7),(WEEKDAY($A175)&lt;&gt;1)),"work",(INDEX(Subject!$A:$I,MATCH(RANDBETWEEN(1,(MAX(Subject!$B:$B))),Subject!$B:$B,0),3))))</f>
        <v/>
      </c>
      <c r="Q175" s="2" t="str">
        <f t="array" ref="Q175">IF(NOW()&gt;BB175,"",IF(AND((WEEKDAY($A175)+$B$2)&gt;1,((WEEKDAY($A175)+$T$2)&lt;7),(WEEKDAY($A175)&lt;&gt;1)),"work",(INDEX(Subject!$A:$I,MATCH(RANDBETWEEN(1,(MAX(Subject!$B:$B))),Subject!$B:$B,0),3))))</f>
        <v/>
      </c>
      <c r="R175" s="2" t="str">
        <f t="array" ref="R175">IF(NOW()&gt;BC175,"",IF(AND((WEEKDAY($A175)+$B$2)&gt;1,((WEEKDAY($A175)+$T$2)&lt;7),(WEEKDAY($A175)&lt;&gt;1)),"work",(INDEX(Subject!$A:$I,MATCH(RANDBETWEEN(1,(MAX(Subject!$B:$B))),Subject!$B:$B,0),3))))</f>
        <v/>
      </c>
      <c r="S175" s="2" t="str">
        <f t="array" ref="S175">IF(NOW()&gt;BD175,"",IF(AND((WEEKDAY($A175)+$B$2)&gt;1,((WEEKDAY($A175)+$T$2)&lt;7),(WEEKDAY($A175)&lt;&gt;1)),"work",(INDEX(Subject!$A:$I,MATCH(RANDBETWEEN(1,(MAX(Subject!$B:$B))),Subject!$B:$B,0),3))))</f>
        <v/>
      </c>
      <c r="T175" s="2" t="str">
        <f t="array" ref="T175">IF(NOW()&gt;BE175,"",IF(AND((WEEKDAY($A175)+$B$2)&gt;1,((WEEKDAY($A175)+$T$2)&lt;7),(WEEKDAY($A175)&lt;&gt;1)),"work",(INDEX(Subject!$A:$I,MATCH(RANDBETWEEN(1,(MAX(Subject!$B:$B))),Subject!$B:$B,0),3))))</f>
        <v/>
      </c>
      <c r="U175" s="8" t="str">
        <f t="array" ref="U175">INDEX(Subject!$A:$I,MATCH(RANDBETWEEN(1,16),Subject!$B:$B,0),3)</f>
        <v>#N/A</v>
      </c>
      <c r="V175" s="8" t="str">
        <f t="array" ref="V175">INDEX(Subject!$A:$I,MATCH(RANDBETWEEN(1,16),Subject!$B:$B,0),3)</f>
        <v>#N/A</v>
      </c>
      <c r="W175" s="8" t="str">
        <f t="array" ref="W175">INDEX(Subject!$A:$I,MATCH(RANDBETWEEN(1,16),Subject!$B:$B,0),3)</f>
        <v>#N/A</v>
      </c>
      <c r="X175" s="8" t="str">
        <f t="array" ref="X175">INDEX(Subject!$A:$I,MATCH(RANDBETWEEN(1,16),Subject!$B:$B,0),3)</f>
        <v>#N/A</v>
      </c>
      <c r="Y175" s="8" t="str">
        <f t="array" ref="Y175">INDEX(Subject!$A:$I,MATCH(RANDBETWEEN(1,16),Subject!$B:$B,0),3)</f>
        <v>#N/A</v>
      </c>
      <c r="Z175" s="8" t="str">
        <f t="array" ref="Z175">INDEX(Subject!$A:$I,MATCH(RANDBETWEEN(1,16),Subject!$B:$B,0),3)</f>
        <v>#N/A</v>
      </c>
      <c r="AA175" s="8" t="str">
        <f t="array" ref="AA175">INDEX(Subject!$A:$I,MATCH(RANDBETWEEN(1,16),Subject!$B:$B,0),3)</f>
        <v/>
      </c>
      <c r="AB175" s="8" t="str">
        <f t="array" ref="AB175">INDEX(Subject!$A:$I,MATCH(RANDBETWEEN(1,16),Subject!$B:$B,0),3)</f>
        <v>#N/A</v>
      </c>
      <c r="AC175" s="8" t="str">
        <f t="array" ref="AC175">INDEX(Subject!$A:$I,MATCH(RANDBETWEEN(1,16),Subject!$B:$B,0),3)</f>
        <v>#N/A</v>
      </c>
      <c r="AD175" s="8" t="str">
        <f t="array" ref="AD175">INDEX(Subject!$A:$I,MATCH(RANDBETWEEN(1,16),Subject!$B:$B,0),3)</f>
        <v>#N/A</v>
      </c>
      <c r="AE175" s="8" t="str">
        <f t="array" ref="AE175">INDEX(Subject!$A:$I,MATCH(RANDBETWEEN(1,16),Subject!$B:$B,0),3)</f>
        <v>#N/A</v>
      </c>
      <c r="AF175" s="8" t="str">
        <f t="array" ref="AF175">INDEX(Subject!$A:$I,MATCH(RANDBETWEEN(1,16),Subject!$B:$B,0),3)</f>
        <v>#N/A</v>
      </c>
      <c r="AG175" s="8" t="str">
        <f t="array" ref="AG175">INDEX(Subject!$A:$I,MATCH(RANDBETWEEN(1,16),Subject!$B:$B,0),3)</f>
        <v>#N/A</v>
      </c>
      <c r="AH175" s="8" t="str">
        <f t="array" ref="AH175">INDEX(Subject!$A:$I,MATCH(RANDBETWEEN(1,16),Subject!$B:$B,0),3)</f>
        <v>#N/A</v>
      </c>
      <c r="AI175" s="8" t="str">
        <f t="array" ref="AI175">INDEX(Subject!$A:$I,MATCH(RANDBETWEEN(1,16),Subject!$B:$B,0),3)</f>
        <v>#N/A</v>
      </c>
      <c r="AJ175" s="8" t="str">
        <f t="array" ref="AJ175">INDEX(Subject!$A:$I,MATCH(RANDBETWEEN(1,16),Subject!$B:$B,0),3)</f>
        <v/>
      </c>
      <c r="AK175" s="8" t="str">
        <f t="array" ref="AK175">INDEX(Subject!$A:$I,MATCH(RANDBETWEEN(1,16),Subject!$B:$B,0),3)</f>
        <v>#N/A</v>
      </c>
      <c r="AL175" s="8" t="str">
        <f t="array" ref="AL175">INDEX(Subject!$A:$I,MATCH(RANDBETWEEN(1,16),Subject!$B:$B,0),3)</f>
        <v>#N/A</v>
      </c>
      <c r="AM175" s="18">
        <f t="shared" si="4"/>
        <v>45675.33333</v>
      </c>
      <c r="AN175" s="19">
        <f t="shared" ref="AN175:BZ175" si="175">$A175+C$1</f>
        <v>45675.35417</v>
      </c>
      <c r="AO175" s="19">
        <f t="shared" si="175"/>
        <v>45675.375</v>
      </c>
      <c r="AP175" s="19">
        <f t="shared" si="175"/>
        <v>45675.39583</v>
      </c>
      <c r="AQ175" s="19">
        <f t="shared" si="175"/>
        <v>45675.41667</v>
      </c>
      <c r="AR175" s="19">
        <f t="shared" si="175"/>
        <v>45675.4375</v>
      </c>
      <c r="AS175" s="19">
        <f t="shared" si="175"/>
        <v>45675.45833</v>
      </c>
      <c r="AT175" s="19">
        <f t="shared" si="175"/>
        <v>45675.47917</v>
      </c>
      <c r="AU175" s="19">
        <f t="shared" si="175"/>
        <v>45675.5</v>
      </c>
      <c r="AV175" s="19">
        <f t="shared" si="175"/>
        <v>45675.52083</v>
      </c>
      <c r="AW175" s="19">
        <f t="shared" si="175"/>
        <v>45675.54167</v>
      </c>
      <c r="AX175" s="19">
        <f t="shared" si="175"/>
        <v>45675.5625</v>
      </c>
      <c r="AY175" s="19">
        <f t="shared" si="175"/>
        <v>45675.58333</v>
      </c>
      <c r="AZ175" s="19">
        <f t="shared" si="175"/>
        <v>45675.60417</v>
      </c>
      <c r="BA175" s="19">
        <f t="shared" si="175"/>
        <v>45675.625</v>
      </c>
      <c r="BB175" s="19">
        <f t="shared" si="175"/>
        <v>45675.64583</v>
      </c>
      <c r="BC175" s="19">
        <f t="shared" si="175"/>
        <v>45675.66667</v>
      </c>
      <c r="BD175" s="19">
        <f t="shared" si="175"/>
        <v>45675.6875</v>
      </c>
      <c r="BE175" s="19">
        <f t="shared" si="175"/>
        <v>45675.70833</v>
      </c>
      <c r="BF175" s="19">
        <f t="shared" si="175"/>
        <v>45675.72917</v>
      </c>
      <c r="BG175" s="19">
        <f t="shared" si="175"/>
        <v>45675.75</v>
      </c>
      <c r="BH175" s="19">
        <f t="shared" si="175"/>
        <v>45675.77083</v>
      </c>
      <c r="BI175" s="19">
        <f t="shared" si="175"/>
        <v>45675.79167</v>
      </c>
      <c r="BJ175" s="19">
        <f t="shared" si="175"/>
        <v>45675.8125</v>
      </c>
      <c r="BK175" s="19">
        <f t="shared" si="175"/>
        <v>45675.83333</v>
      </c>
      <c r="BL175" s="19">
        <f t="shared" si="175"/>
        <v>45675.85417</v>
      </c>
      <c r="BM175" s="19">
        <f t="shared" si="175"/>
        <v>45675.875</v>
      </c>
      <c r="BN175" s="19">
        <f t="shared" si="175"/>
        <v>45675.89583</v>
      </c>
      <c r="BO175" s="19">
        <f t="shared" si="175"/>
        <v>45675.91667</v>
      </c>
      <c r="BP175" s="19">
        <f t="shared" si="175"/>
        <v>45675.9375</v>
      </c>
      <c r="BQ175" s="19">
        <f t="shared" si="175"/>
        <v>45675.95833</v>
      </c>
      <c r="BR175" s="19">
        <f t="shared" si="175"/>
        <v>45675.97917</v>
      </c>
      <c r="BS175" s="19">
        <f t="shared" si="175"/>
        <v>45676</v>
      </c>
      <c r="BT175" s="19">
        <f t="shared" si="175"/>
        <v>45676.02083</v>
      </c>
      <c r="BU175" s="19">
        <f t="shared" si="175"/>
        <v>45676.04167</v>
      </c>
      <c r="BV175" s="19">
        <f t="shared" si="175"/>
        <v>45676.0625</v>
      </c>
      <c r="BW175" s="19">
        <f t="shared" si="175"/>
        <v>45676.08333</v>
      </c>
      <c r="BX175" s="19">
        <f t="shared" si="175"/>
        <v>45675</v>
      </c>
      <c r="BY175" s="19">
        <f t="shared" si="175"/>
        <v>45675</v>
      </c>
      <c r="BZ175" s="19">
        <f t="shared" si="175"/>
        <v>45675</v>
      </c>
    </row>
    <row r="176" ht="14.25" customHeight="1">
      <c r="A176" s="17">
        <v>45676.0</v>
      </c>
      <c r="B176" s="2" t="str">
        <f t="array" ref="B176">IF(NOW()&gt;AM176,"",IF(AND((WEEKDAY($A176)+$B$2)&gt;1,((WEEKDAY($A176)+$T$2)&lt;7),(WEEKDAY($A176)&lt;&gt;1)),"work",(INDEX(Subject!$A:$I,MATCH(RANDBETWEEN(1,(MAX(Subject!$B:$B))),Subject!$B:$B,0),3))))</f>
        <v/>
      </c>
      <c r="C176" s="2" t="str">
        <f t="array" ref="C176">IF(NOW()&gt;AN176,"",IF(AND((WEEKDAY($A176)+$B$2)&gt;1,((WEEKDAY($A176)+$T$2)&lt;7),(WEEKDAY($A176)&lt;&gt;1)),"work",(INDEX(Subject!$A:$I,MATCH(RANDBETWEEN(1,(MAX(Subject!$B:$B))),Subject!$B:$B,0),3))))</f>
        <v/>
      </c>
      <c r="D176" s="2" t="str">
        <f t="array" ref="D176">IF(NOW()&gt;AO176,"",IF(AND((WEEKDAY($A176)+$B$2)&gt;1,((WEEKDAY($A176)+$T$2)&lt;7),(WEEKDAY($A176)&lt;&gt;1)),"work",(INDEX(Subject!$A:$I,MATCH(RANDBETWEEN(1,(MAX(Subject!$B:$B))),Subject!$B:$B,0),3))))</f>
        <v/>
      </c>
      <c r="E176" s="2" t="str">
        <f t="array" ref="E176">IF(NOW()&gt;AP176,"",IF(AND((WEEKDAY($A176)+$B$2)&gt;1,((WEEKDAY($A176)+$T$2)&lt;7),(WEEKDAY($A176)&lt;&gt;1)),"work",(INDEX(Subject!$A:$I,MATCH(RANDBETWEEN(1,(MAX(Subject!$B:$B))),Subject!$B:$B,0),3))))</f>
        <v/>
      </c>
      <c r="F176" s="2" t="str">
        <f t="array" ref="F176">IF(NOW()&gt;AQ176,"",IF(AND((WEEKDAY($A176)+$B$2)&gt;1,((WEEKDAY($A176)+$T$2)&lt;7),(WEEKDAY($A176)&lt;&gt;1)),"work",(INDEX(Subject!$A:$I,MATCH(RANDBETWEEN(1,(MAX(Subject!$B:$B))),Subject!$B:$B,0),3))))</f>
        <v/>
      </c>
      <c r="G176" s="2" t="str">
        <f t="array" ref="G176">IF(NOW()&gt;AR176,"",IF(AND((WEEKDAY($A176)+$B$2)&gt;1,((WEEKDAY($A176)+$T$2)&lt;7),(WEEKDAY($A176)&lt;&gt;1)),"work",(INDEX(Subject!$A:$I,MATCH(RANDBETWEEN(1,(MAX(Subject!$B:$B))),Subject!$B:$B,0),3))))</f>
        <v/>
      </c>
      <c r="H176" s="2" t="str">
        <f t="array" ref="H176">IF(NOW()&gt;AS176,"",IF(AND((WEEKDAY($A176)+$B$2)&gt;1,((WEEKDAY($A176)+$T$2)&lt;7),(WEEKDAY($A176)&lt;&gt;1)),"work",(INDEX(Subject!$A:$I,MATCH(RANDBETWEEN(1,(MAX(Subject!$B:$B))),Subject!$B:$B,0),3))))</f>
        <v/>
      </c>
      <c r="I176" s="2" t="str">
        <f t="array" ref="I176">IF(NOW()&gt;AT176,"",IF(AND((WEEKDAY($A176)+$B$2)&gt;1,((WEEKDAY($A176)+$T$2)&lt;7),(WEEKDAY($A176)&lt;&gt;1)),"work",(INDEX(Subject!$A:$I,MATCH(RANDBETWEEN(1,(MAX(Subject!$B:$B))),Subject!$B:$B,0),3))))</f>
        <v/>
      </c>
      <c r="J176" s="2" t="str">
        <f t="array" ref="J176">IF(NOW()&gt;AU176,"",IF(AND((WEEKDAY($A176)+$B$2)&gt;1,((WEEKDAY($A176)+$T$2)&lt;7),(WEEKDAY($A176)&lt;&gt;1)),"work",(INDEX(Subject!$A:$I,MATCH(RANDBETWEEN(1,(MAX(Subject!$B:$B))),Subject!$B:$B,0),3))))</f>
        <v/>
      </c>
      <c r="K176" s="2" t="str">
        <f t="array" ref="K176">IF(NOW()&gt;AV176,"",IF(AND((WEEKDAY($A176)+$B$2)&gt;1,((WEEKDAY($A176)+$T$2)&lt;7),(WEEKDAY($A176)&lt;&gt;1)),"work",(INDEX(Subject!$A:$I,MATCH(RANDBETWEEN(1,(MAX(Subject!$B:$B))),Subject!$B:$B,0),3))))</f>
        <v/>
      </c>
      <c r="L176" s="2" t="str">
        <f t="array" ref="L176">IF(NOW()&gt;AW176,"",IF(AND((WEEKDAY($A176)+$B$2)&gt;1,((WEEKDAY($A176)+$T$2)&lt;7),(WEEKDAY($A176)&lt;&gt;1)),"work",(INDEX(Subject!$A:$I,MATCH(RANDBETWEEN(1,(MAX(Subject!$B:$B))),Subject!$B:$B,0),3))))</f>
        <v/>
      </c>
      <c r="M176" s="2" t="str">
        <f t="array" ref="M176">IF(NOW()&gt;AX176,"",IF(AND((WEEKDAY($A176)+$B$2)&gt;1,((WEEKDAY($A176)+$T$2)&lt;7),(WEEKDAY($A176)&lt;&gt;1)),"work",(INDEX(Subject!$A:$I,MATCH(RANDBETWEEN(1,(MAX(Subject!$B:$B))),Subject!$B:$B,0),3))))</f>
        <v/>
      </c>
      <c r="N176" s="2" t="str">
        <f t="array" ref="N176">IF(NOW()&gt;AY176,"",IF(AND((WEEKDAY($A176)+$B$2)&gt;1,((WEEKDAY($A176)+$T$2)&lt;7),(WEEKDAY($A176)&lt;&gt;1)),"work",(INDEX(Subject!$A:$I,MATCH(RANDBETWEEN(1,(MAX(Subject!$B:$B))),Subject!$B:$B,0),3))))</f>
        <v/>
      </c>
      <c r="O176" s="2" t="str">
        <f t="array" ref="O176">IF(NOW()&gt;AZ176,"",IF(AND((WEEKDAY($A176)+$B$2)&gt;1,((WEEKDAY($A176)+$T$2)&lt;7),(WEEKDAY($A176)&lt;&gt;1)),"work",(INDEX(Subject!$A:$I,MATCH(RANDBETWEEN(1,(MAX(Subject!$B:$B))),Subject!$B:$B,0),3))))</f>
        <v/>
      </c>
      <c r="P176" s="2" t="str">
        <f t="array" ref="P176">IF(NOW()&gt;BA176,"",IF(AND((WEEKDAY($A176)+$B$2)&gt;1,((WEEKDAY($A176)+$T$2)&lt;7),(WEEKDAY($A176)&lt;&gt;1)),"work",(INDEX(Subject!$A:$I,MATCH(RANDBETWEEN(1,(MAX(Subject!$B:$B))),Subject!$B:$B,0),3))))</f>
        <v/>
      </c>
      <c r="Q176" s="2" t="str">
        <f t="array" ref="Q176">IF(NOW()&gt;BB176,"",IF(AND((WEEKDAY($A176)+$B$2)&gt;1,((WEEKDAY($A176)+$T$2)&lt;7),(WEEKDAY($A176)&lt;&gt;1)),"work",(INDEX(Subject!$A:$I,MATCH(RANDBETWEEN(1,(MAX(Subject!$B:$B))),Subject!$B:$B,0),3))))</f>
        <v/>
      </c>
      <c r="R176" s="2" t="str">
        <f t="array" ref="R176">IF(NOW()&gt;BC176,"",IF(AND((WEEKDAY($A176)+$B$2)&gt;1,((WEEKDAY($A176)+$T$2)&lt;7),(WEEKDAY($A176)&lt;&gt;1)),"work",(INDEX(Subject!$A:$I,MATCH(RANDBETWEEN(1,(MAX(Subject!$B:$B))),Subject!$B:$B,0),3))))</f>
        <v/>
      </c>
      <c r="S176" s="2" t="str">
        <f t="array" ref="S176">IF(NOW()&gt;BD176,"",IF(AND((WEEKDAY($A176)+$B$2)&gt;1,((WEEKDAY($A176)+$T$2)&lt;7),(WEEKDAY($A176)&lt;&gt;1)),"work",(INDEX(Subject!$A:$I,MATCH(RANDBETWEEN(1,(MAX(Subject!$B:$B))),Subject!$B:$B,0),3))))</f>
        <v/>
      </c>
      <c r="T176" s="2" t="str">
        <f t="array" ref="T176">IF(NOW()&gt;BE176,"",IF(AND((WEEKDAY($A176)+$B$2)&gt;1,((WEEKDAY($A176)+$T$2)&lt;7),(WEEKDAY($A176)&lt;&gt;1)),"work",(INDEX(Subject!$A:$I,MATCH(RANDBETWEEN(1,(MAX(Subject!$B:$B))),Subject!$B:$B,0),3))))</f>
        <v/>
      </c>
      <c r="U176" s="8" t="str">
        <f t="array" ref="U176">INDEX(Subject!$A:$I,MATCH(RANDBETWEEN(1,16),Subject!$B:$B,0),3)</f>
        <v>#N/A</v>
      </c>
      <c r="V176" s="8" t="str">
        <f t="array" ref="V176">INDEX(Subject!$A:$I,MATCH(RANDBETWEEN(1,16),Subject!$B:$B,0),3)</f>
        <v>#N/A</v>
      </c>
      <c r="W176" s="8" t="str">
        <f t="array" ref="W176">INDEX(Subject!$A:$I,MATCH(RANDBETWEEN(1,16),Subject!$B:$B,0),3)</f>
        <v>#N/A</v>
      </c>
      <c r="X176" s="8" t="str">
        <f t="array" ref="X176">INDEX(Subject!$A:$I,MATCH(RANDBETWEEN(1,16),Subject!$B:$B,0),3)</f>
        <v>#N/A</v>
      </c>
      <c r="Y176" s="8" t="str">
        <f t="array" ref="Y176">INDEX(Subject!$A:$I,MATCH(RANDBETWEEN(1,16),Subject!$B:$B,0),3)</f>
        <v>#N/A</v>
      </c>
      <c r="Z176" s="8" t="str">
        <f t="array" ref="Z176">INDEX(Subject!$A:$I,MATCH(RANDBETWEEN(1,16),Subject!$B:$B,0),3)</f>
        <v>#N/A</v>
      </c>
      <c r="AA176" s="8" t="str">
        <f t="array" ref="AA176">INDEX(Subject!$A:$I,MATCH(RANDBETWEEN(1,16),Subject!$B:$B,0),3)</f>
        <v>#N/A</v>
      </c>
      <c r="AB176" s="8" t="str">
        <f t="array" ref="AB176">INDEX(Subject!$A:$I,MATCH(RANDBETWEEN(1,16),Subject!$B:$B,0),3)</f>
        <v>#N/A</v>
      </c>
      <c r="AC176" s="8" t="str">
        <f t="array" ref="AC176">INDEX(Subject!$A:$I,MATCH(RANDBETWEEN(1,16),Subject!$B:$B,0),3)</f>
        <v>#N/A</v>
      </c>
      <c r="AD176" s="8" t="str">
        <f t="array" ref="AD176">INDEX(Subject!$A:$I,MATCH(RANDBETWEEN(1,16),Subject!$B:$B,0),3)</f>
        <v>#N/A</v>
      </c>
      <c r="AE176" s="8" t="str">
        <f t="array" ref="AE176">INDEX(Subject!$A:$I,MATCH(RANDBETWEEN(1,16),Subject!$B:$B,0),3)</f>
        <v/>
      </c>
      <c r="AF176" s="8" t="str">
        <f t="array" ref="AF176">INDEX(Subject!$A:$I,MATCH(RANDBETWEEN(1,16),Subject!$B:$B,0),3)</f>
        <v>#N/A</v>
      </c>
      <c r="AG176" s="8" t="str">
        <f t="array" ref="AG176">INDEX(Subject!$A:$I,MATCH(RANDBETWEEN(1,16),Subject!$B:$B,0),3)</f>
        <v>#N/A</v>
      </c>
      <c r="AH176" s="8" t="str">
        <f t="array" ref="AH176">INDEX(Subject!$A:$I,MATCH(RANDBETWEEN(1,16),Subject!$B:$B,0),3)</f>
        <v>#N/A</v>
      </c>
      <c r="AI176" s="8" t="str">
        <f t="array" ref="AI176">INDEX(Subject!$A:$I,MATCH(RANDBETWEEN(1,16),Subject!$B:$B,0),3)</f>
        <v>#N/A</v>
      </c>
      <c r="AJ176" s="8" t="str">
        <f t="array" ref="AJ176">INDEX(Subject!$A:$I,MATCH(RANDBETWEEN(1,16),Subject!$B:$B,0),3)</f>
        <v>#N/A</v>
      </c>
      <c r="AK176" s="8" t="str">
        <f t="array" ref="AK176">INDEX(Subject!$A:$I,MATCH(RANDBETWEEN(1,16),Subject!$B:$B,0),3)</f>
        <v>#N/A</v>
      </c>
      <c r="AL176" s="8" t="str">
        <f t="array" ref="AL176">INDEX(Subject!$A:$I,MATCH(RANDBETWEEN(1,16),Subject!$B:$B,0),3)</f>
        <v>#N/A</v>
      </c>
      <c r="AM176" s="18">
        <f t="shared" si="4"/>
        <v>45676.33333</v>
      </c>
      <c r="AN176" s="19">
        <f t="shared" ref="AN176:BZ176" si="176">$A176+C$1</f>
        <v>45676.35417</v>
      </c>
      <c r="AO176" s="19">
        <f t="shared" si="176"/>
        <v>45676.375</v>
      </c>
      <c r="AP176" s="19">
        <f t="shared" si="176"/>
        <v>45676.39583</v>
      </c>
      <c r="AQ176" s="19">
        <f t="shared" si="176"/>
        <v>45676.41667</v>
      </c>
      <c r="AR176" s="19">
        <f t="shared" si="176"/>
        <v>45676.4375</v>
      </c>
      <c r="AS176" s="19">
        <f t="shared" si="176"/>
        <v>45676.45833</v>
      </c>
      <c r="AT176" s="19">
        <f t="shared" si="176"/>
        <v>45676.47917</v>
      </c>
      <c r="AU176" s="19">
        <f t="shared" si="176"/>
        <v>45676.5</v>
      </c>
      <c r="AV176" s="19">
        <f t="shared" si="176"/>
        <v>45676.52083</v>
      </c>
      <c r="AW176" s="19">
        <f t="shared" si="176"/>
        <v>45676.54167</v>
      </c>
      <c r="AX176" s="19">
        <f t="shared" si="176"/>
        <v>45676.5625</v>
      </c>
      <c r="AY176" s="19">
        <f t="shared" si="176"/>
        <v>45676.58333</v>
      </c>
      <c r="AZ176" s="19">
        <f t="shared" si="176"/>
        <v>45676.60417</v>
      </c>
      <c r="BA176" s="19">
        <f t="shared" si="176"/>
        <v>45676.625</v>
      </c>
      <c r="BB176" s="19">
        <f t="shared" si="176"/>
        <v>45676.64583</v>
      </c>
      <c r="BC176" s="19">
        <f t="shared" si="176"/>
        <v>45676.66667</v>
      </c>
      <c r="BD176" s="19">
        <f t="shared" si="176"/>
        <v>45676.6875</v>
      </c>
      <c r="BE176" s="19">
        <f t="shared" si="176"/>
        <v>45676.70833</v>
      </c>
      <c r="BF176" s="19">
        <f t="shared" si="176"/>
        <v>45676.72917</v>
      </c>
      <c r="BG176" s="19">
        <f t="shared" si="176"/>
        <v>45676.75</v>
      </c>
      <c r="BH176" s="19">
        <f t="shared" si="176"/>
        <v>45676.77083</v>
      </c>
      <c r="BI176" s="19">
        <f t="shared" si="176"/>
        <v>45676.79167</v>
      </c>
      <c r="BJ176" s="19">
        <f t="shared" si="176"/>
        <v>45676.8125</v>
      </c>
      <c r="BK176" s="19">
        <f t="shared" si="176"/>
        <v>45676.83333</v>
      </c>
      <c r="BL176" s="19">
        <f t="shared" si="176"/>
        <v>45676.85417</v>
      </c>
      <c r="BM176" s="19">
        <f t="shared" si="176"/>
        <v>45676.875</v>
      </c>
      <c r="BN176" s="19">
        <f t="shared" si="176"/>
        <v>45676.89583</v>
      </c>
      <c r="BO176" s="19">
        <f t="shared" si="176"/>
        <v>45676.91667</v>
      </c>
      <c r="BP176" s="19">
        <f t="shared" si="176"/>
        <v>45676.9375</v>
      </c>
      <c r="BQ176" s="19">
        <f t="shared" si="176"/>
        <v>45676.95833</v>
      </c>
      <c r="BR176" s="19">
        <f t="shared" si="176"/>
        <v>45676.97917</v>
      </c>
      <c r="BS176" s="19">
        <f t="shared" si="176"/>
        <v>45677</v>
      </c>
      <c r="BT176" s="19">
        <f t="shared" si="176"/>
        <v>45677.02083</v>
      </c>
      <c r="BU176" s="19">
        <f t="shared" si="176"/>
        <v>45677.04167</v>
      </c>
      <c r="BV176" s="19">
        <f t="shared" si="176"/>
        <v>45677.0625</v>
      </c>
      <c r="BW176" s="19">
        <f t="shared" si="176"/>
        <v>45677.08333</v>
      </c>
      <c r="BX176" s="19">
        <f t="shared" si="176"/>
        <v>45676</v>
      </c>
      <c r="BY176" s="19">
        <f t="shared" si="176"/>
        <v>45676</v>
      </c>
      <c r="BZ176" s="19">
        <f t="shared" si="176"/>
        <v>45676</v>
      </c>
    </row>
    <row r="177" ht="14.25" customHeight="1">
      <c r="A177" s="17">
        <v>45677.0</v>
      </c>
      <c r="B177" s="2" t="str">
        <f t="array" ref="B177">IF(NOW()&gt;AM177,"",IF(AND((WEEKDAY($A177)+$B$2)&gt;1,((WEEKDAY($A177)+$T$2)&lt;7),(WEEKDAY($A177)&lt;&gt;1)),"work",(INDEX(Subject!$A:$I,MATCH(RANDBETWEEN(1,(MAX(Subject!$B:$B))),Subject!$B:$B,0),3))))</f>
        <v/>
      </c>
      <c r="C177" s="2" t="str">
        <f t="array" ref="C177">IF(NOW()&gt;AN177,"",IF(AND((WEEKDAY($A177)+$B$2)&gt;1,((WEEKDAY($A177)+$T$2)&lt;7),(WEEKDAY($A177)&lt;&gt;1)),"work",(INDEX(Subject!$A:$I,MATCH(RANDBETWEEN(1,(MAX(Subject!$B:$B))),Subject!$B:$B,0),3))))</f>
        <v/>
      </c>
      <c r="D177" s="2" t="str">
        <f t="array" ref="D177">IF(NOW()&gt;AO177,"",IF(AND((WEEKDAY($A177)+$B$2)&gt;1,((WEEKDAY($A177)+$T$2)&lt;7),(WEEKDAY($A177)&lt;&gt;1)),"work",(INDEX(Subject!$A:$I,MATCH(RANDBETWEEN(1,(MAX(Subject!$B:$B))),Subject!$B:$B,0),3))))</f>
        <v/>
      </c>
      <c r="E177" s="2" t="str">
        <f t="array" ref="E177">IF(NOW()&gt;AP177,"",IF(AND((WEEKDAY($A177)+$B$2)&gt;1,((WEEKDAY($A177)+$T$2)&lt;7),(WEEKDAY($A177)&lt;&gt;1)),"work",(INDEX(Subject!$A:$I,MATCH(RANDBETWEEN(1,(MAX(Subject!$B:$B))),Subject!$B:$B,0),3))))</f>
        <v/>
      </c>
      <c r="F177" s="2" t="str">
        <f t="array" ref="F177">IF(NOW()&gt;AQ177,"",IF(AND((WEEKDAY($A177)+$B$2)&gt;1,((WEEKDAY($A177)+$T$2)&lt;7),(WEEKDAY($A177)&lt;&gt;1)),"work",(INDEX(Subject!$A:$I,MATCH(RANDBETWEEN(1,(MAX(Subject!$B:$B))),Subject!$B:$B,0),3))))</f>
        <v/>
      </c>
      <c r="G177" s="2" t="str">
        <f t="array" ref="G177">IF(NOW()&gt;AR177,"",IF(AND((WEEKDAY($A177)+$B$2)&gt;1,((WEEKDAY($A177)+$T$2)&lt;7),(WEEKDAY($A177)&lt;&gt;1)),"work",(INDEX(Subject!$A:$I,MATCH(RANDBETWEEN(1,(MAX(Subject!$B:$B))),Subject!$B:$B,0),3))))</f>
        <v/>
      </c>
      <c r="H177" s="2" t="str">
        <f t="array" ref="H177">IF(NOW()&gt;AS177,"",IF(AND((WEEKDAY($A177)+$B$2)&gt;1,((WEEKDAY($A177)+$T$2)&lt;7),(WEEKDAY($A177)&lt;&gt;1)),"work",(INDEX(Subject!$A:$I,MATCH(RANDBETWEEN(1,(MAX(Subject!$B:$B))),Subject!$B:$B,0),3))))</f>
        <v/>
      </c>
      <c r="I177" s="2" t="str">
        <f t="array" ref="I177">IF(NOW()&gt;AT177,"",IF(AND((WEEKDAY($A177)+$B$2)&gt;1,((WEEKDAY($A177)+$T$2)&lt;7),(WEEKDAY($A177)&lt;&gt;1)),"work",(INDEX(Subject!$A:$I,MATCH(RANDBETWEEN(1,(MAX(Subject!$B:$B))),Subject!$B:$B,0),3))))</f>
        <v/>
      </c>
      <c r="J177" s="2" t="str">
        <f t="array" ref="J177">IF(NOW()&gt;AU177,"",IF(AND((WEEKDAY($A177)+$B$2)&gt;1,((WEEKDAY($A177)+$T$2)&lt;7),(WEEKDAY($A177)&lt;&gt;1)),"work",(INDEX(Subject!$A:$I,MATCH(RANDBETWEEN(1,(MAX(Subject!$B:$B))),Subject!$B:$B,0),3))))</f>
        <v/>
      </c>
      <c r="K177" s="2" t="str">
        <f t="array" ref="K177">IF(NOW()&gt;AV177,"",IF(AND((WEEKDAY($A177)+$B$2)&gt;1,((WEEKDAY($A177)+$T$2)&lt;7),(WEEKDAY($A177)&lt;&gt;1)),"work",(INDEX(Subject!$A:$I,MATCH(RANDBETWEEN(1,(MAX(Subject!$B:$B))),Subject!$B:$B,0),3))))</f>
        <v/>
      </c>
      <c r="L177" s="2" t="str">
        <f t="array" ref="L177">IF(NOW()&gt;AW177,"",IF(AND((WEEKDAY($A177)+$B$2)&gt;1,((WEEKDAY($A177)+$T$2)&lt;7),(WEEKDAY($A177)&lt;&gt;1)),"work",(INDEX(Subject!$A:$I,MATCH(RANDBETWEEN(1,(MAX(Subject!$B:$B))),Subject!$B:$B,0),3))))</f>
        <v/>
      </c>
      <c r="M177" s="2" t="str">
        <f t="array" ref="M177">IF(NOW()&gt;AX177,"",IF(AND((WEEKDAY($A177)+$B$2)&gt;1,((WEEKDAY($A177)+$T$2)&lt;7),(WEEKDAY($A177)&lt;&gt;1)),"work",(INDEX(Subject!$A:$I,MATCH(RANDBETWEEN(1,(MAX(Subject!$B:$B))),Subject!$B:$B,0),3))))</f>
        <v/>
      </c>
      <c r="N177" s="2" t="str">
        <f t="array" ref="N177">IF(NOW()&gt;AY177,"",IF(AND((WEEKDAY($A177)+$B$2)&gt;1,((WEEKDAY($A177)+$T$2)&lt;7),(WEEKDAY($A177)&lt;&gt;1)),"work",(INDEX(Subject!$A:$I,MATCH(RANDBETWEEN(1,(MAX(Subject!$B:$B))),Subject!$B:$B,0),3))))</f>
        <v/>
      </c>
      <c r="O177" s="2" t="str">
        <f t="array" ref="O177">IF(NOW()&gt;AZ177,"",IF(AND((WEEKDAY($A177)+$B$2)&gt;1,((WEEKDAY($A177)+$T$2)&lt;7),(WEEKDAY($A177)&lt;&gt;1)),"work",(INDEX(Subject!$A:$I,MATCH(RANDBETWEEN(1,(MAX(Subject!$B:$B))),Subject!$B:$B,0),3))))</f>
        <v/>
      </c>
      <c r="P177" s="2" t="str">
        <f t="array" ref="P177">IF(NOW()&gt;BA177,"",IF(AND((WEEKDAY($A177)+$B$2)&gt;1,((WEEKDAY($A177)+$T$2)&lt;7),(WEEKDAY($A177)&lt;&gt;1)),"work",(INDEX(Subject!$A:$I,MATCH(RANDBETWEEN(1,(MAX(Subject!$B:$B))),Subject!$B:$B,0),3))))</f>
        <v/>
      </c>
      <c r="Q177" s="2" t="str">
        <f t="array" ref="Q177">IF(NOW()&gt;BB177,"",IF(AND((WEEKDAY($A177)+$B$2)&gt;1,((WEEKDAY($A177)+$T$2)&lt;7),(WEEKDAY($A177)&lt;&gt;1)),"work",(INDEX(Subject!$A:$I,MATCH(RANDBETWEEN(1,(MAX(Subject!$B:$B))),Subject!$B:$B,0),3))))</f>
        <v/>
      </c>
      <c r="R177" s="2" t="str">
        <f t="array" ref="R177">IF(NOW()&gt;BC177,"",IF(AND((WEEKDAY($A177)+$B$2)&gt;1,((WEEKDAY($A177)+$T$2)&lt;7),(WEEKDAY($A177)&lt;&gt;1)),"work",(INDEX(Subject!$A:$I,MATCH(RANDBETWEEN(1,(MAX(Subject!$B:$B))),Subject!$B:$B,0),3))))</f>
        <v/>
      </c>
      <c r="S177" s="2" t="str">
        <f t="array" ref="S177">IF(NOW()&gt;BD177,"",IF(AND((WEEKDAY($A177)+$B$2)&gt;1,((WEEKDAY($A177)+$T$2)&lt;7),(WEEKDAY($A177)&lt;&gt;1)),"work",(INDEX(Subject!$A:$I,MATCH(RANDBETWEEN(1,(MAX(Subject!$B:$B))),Subject!$B:$B,0),3))))</f>
        <v/>
      </c>
      <c r="T177" s="2" t="str">
        <f t="array" ref="T177">IF(NOW()&gt;BE177,"",IF(AND((WEEKDAY($A177)+$B$2)&gt;1,((WEEKDAY($A177)+$T$2)&lt;7),(WEEKDAY($A177)&lt;&gt;1)),"work",(INDEX(Subject!$A:$I,MATCH(RANDBETWEEN(1,(MAX(Subject!$B:$B))),Subject!$B:$B,0),3))))</f>
        <v/>
      </c>
      <c r="U177" s="8" t="str">
        <f t="array" ref="U177">INDEX(Subject!$A:$I,MATCH(RANDBETWEEN(1,16),Subject!$B:$B,0),3)</f>
        <v>#N/A</v>
      </c>
      <c r="V177" s="8" t="str">
        <f t="array" ref="V177">INDEX(Subject!$A:$I,MATCH(RANDBETWEEN(1,16),Subject!$B:$B,0),3)</f>
        <v>#N/A</v>
      </c>
      <c r="W177" s="8" t="str">
        <f t="array" ref="W177">INDEX(Subject!$A:$I,MATCH(RANDBETWEEN(1,16),Subject!$B:$B,0),3)</f>
        <v>#N/A</v>
      </c>
      <c r="X177" s="8" t="str">
        <f t="array" ref="X177">INDEX(Subject!$A:$I,MATCH(RANDBETWEEN(1,16),Subject!$B:$B,0),3)</f>
        <v>#N/A</v>
      </c>
      <c r="Y177" s="8" t="str">
        <f t="array" ref="Y177">INDEX(Subject!$A:$I,MATCH(RANDBETWEEN(1,16),Subject!$B:$B,0),3)</f>
        <v>#N/A</v>
      </c>
      <c r="Z177" s="8" t="str">
        <f t="array" ref="Z177">INDEX(Subject!$A:$I,MATCH(RANDBETWEEN(1,16),Subject!$B:$B,0),3)</f>
        <v>#N/A</v>
      </c>
      <c r="AA177" s="8" t="str">
        <f t="array" ref="AA177">INDEX(Subject!$A:$I,MATCH(RANDBETWEEN(1,16),Subject!$B:$B,0),3)</f>
        <v>#N/A</v>
      </c>
      <c r="AB177" s="8" t="str">
        <f t="array" ref="AB177">INDEX(Subject!$A:$I,MATCH(RANDBETWEEN(1,16),Subject!$B:$B,0),3)</f>
        <v>#N/A</v>
      </c>
      <c r="AC177" s="8" t="str">
        <f t="array" ref="AC177">INDEX(Subject!$A:$I,MATCH(RANDBETWEEN(1,16),Subject!$B:$B,0),3)</f>
        <v>#N/A</v>
      </c>
      <c r="AD177" s="8" t="str">
        <f t="array" ref="AD177">INDEX(Subject!$A:$I,MATCH(RANDBETWEEN(1,16),Subject!$B:$B,0),3)</f>
        <v>#N/A</v>
      </c>
      <c r="AE177" s="8" t="str">
        <f t="array" ref="AE177">INDEX(Subject!$A:$I,MATCH(RANDBETWEEN(1,16),Subject!$B:$B,0),3)</f>
        <v>#N/A</v>
      </c>
      <c r="AF177" s="8" t="str">
        <f t="array" ref="AF177">INDEX(Subject!$A:$I,MATCH(RANDBETWEEN(1,16),Subject!$B:$B,0),3)</f>
        <v>#N/A</v>
      </c>
      <c r="AG177" s="8" t="str">
        <f t="array" ref="AG177">INDEX(Subject!$A:$I,MATCH(RANDBETWEEN(1,16),Subject!$B:$B,0),3)</f>
        <v>#N/A</v>
      </c>
      <c r="AH177" s="8" t="str">
        <f t="array" ref="AH177">INDEX(Subject!$A:$I,MATCH(RANDBETWEEN(1,16),Subject!$B:$B,0),3)</f>
        <v>#N/A</v>
      </c>
      <c r="AI177" s="8" t="str">
        <f t="array" ref="AI177">INDEX(Subject!$A:$I,MATCH(RANDBETWEEN(1,16),Subject!$B:$B,0),3)</f>
        <v>#N/A</v>
      </c>
      <c r="AJ177" s="8" t="str">
        <f t="array" ref="AJ177">INDEX(Subject!$A:$I,MATCH(RANDBETWEEN(1,16),Subject!$B:$B,0),3)</f>
        <v>#N/A</v>
      </c>
      <c r="AK177" s="8" t="str">
        <f t="array" ref="AK177">INDEX(Subject!$A:$I,MATCH(RANDBETWEEN(1,16),Subject!$B:$B,0),3)</f>
        <v>#N/A</v>
      </c>
      <c r="AL177" s="8" t="str">
        <f t="array" ref="AL177">INDEX(Subject!$A:$I,MATCH(RANDBETWEEN(1,16),Subject!$B:$B,0),3)</f>
        <v>#N/A</v>
      </c>
      <c r="AM177" s="18">
        <f t="shared" si="4"/>
        <v>45677.33333</v>
      </c>
      <c r="AN177" s="19">
        <f t="shared" ref="AN177:BZ177" si="177">$A177+C$1</f>
        <v>45677.35417</v>
      </c>
      <c r="AO177" s="19">
        <f t="shared" si="177"/>
        <v>45677.375</v>
      </c>
      <c r="AP177" s="19">
        <f t="shared" si="177"/>
        <v>45677.39583</v>
      </c>
      <c r="AQ177" s="19">
        <f t="shared" si="177"/>
        <v>45677.41667</v>
      </c>
      <c r="AR177" s="19">
        <f t="shared" si="177"/>
        <v>45677.4375</v>
      </c>
      <c r="AS177" s="19">
        <f t="shared" si="177"/>
        <v>45677.45833</v>
      </c>
      <c r="AT177" s="19">
        <f t="shared" si="177"/>
        <v>45677.47917</v>
      </c>
      <c r="AU177" s="19">
        <f t="shared" si="177"/>
        <v>45677.5</v>
      </c>
      <c r="AV177" s="19">
        <f t="shared" si="177"/>
        <v>45677.52083</v>
      </c>
      <c r="AW177" s="19">
        <f t="shared" si="177"/>
        <v>45677.54167</v>
      </c>
      <c r="AX177" s="19">
        <f t="shared" si="177"/>
        <v>45677.5625</v>
      </c>
      <c r="AY177" s="19">
        <f t="shared" si="177"/>
        <v>45677.58333</v>
      </c>
      <c r="AZ177" s="19">
        <f t="shared" si="177"/>
        <v>45677.60417</v>
      </c>
      <c r="BA177" s="19">
        <f t="shared" si="177"/>
        <v>45677.625</v>
      </c>
      <c r="BB177" s="19">
        <f t="shared" si="177"/>
        <v>45677.64583</v>
      </c>
      <c r="BC177" s="19">
        <f t="shared" si="177"/>
        <v>45677.66667</v>
      </c>
      <c r="BD177" s="19">
        <f t="shared" si="177"/>
        <v>45677.6875</v>
      </c>
      <c r="BE177" s="19">
        <f t="shared" si="177"/>
        <v>45677.70833</v>
      </c>
      <c r="BF177" s="19">
        <f t="shared" si="177"/>
        <v>45677.72917</v>
      </c>
      <c r="BG177" s="19">
        <f t="shared" si="177"/>
        <v>45677.75</v>
      </c>
      <c r="BH177" s="19">
        <f t="shared" si="177"/>
        <v>45677.77083</v>
      </c>
      <c r="BI177" s="19">
        <f t="shared" si="177"/>
        <v>45677.79167</v>
      </c>
      <c r="BJ177" s="19">
        <f t="shared" si="177"/>
        <v>45677.8125</v>
      </c>
      <c r="BK177" s="19">
        <f t="shared" si="177"/>
        <v>45677.83333</v>
      </c>
      <c r="BL177" s="19">
        <f t="shared" si="177"/>
        <v>45677.85417</v>
      </c>
      <c r="BM177" s="19">
        <f t="shared" si="177"/>
        <v>45677.875</v>
      </c>
      <c r="BN177" s="19">
        <f t="shared" si="177"/>
        <v>45677.89583</v>
      </c>
      <c r="BO177" s="19">
        <f t="shared" si="177"/>
        <v>45677.91667</v>
      </c>
      <c r="BP177" s="19">
        <f t="shared" si="177"/>
        <v>45677.9375</v>
      </c>
      <c r="BQ177" s="19">
        <f t="shared" si="177"/>
        <v>45677.95833</v>
      </c>
      <c r="BR177" s="19">
        <f t="shared" si="177"/>
        <v>45677.97917</v>
      </c>
      <c r="BS177" s="19">
        <f t="shared" si="177"/>
        <v>45678</v>
      </c>
      <c r="BT177" s="19">
        <f t="shared" si="177"/>
        <v>45678.02083</v>
      </c>
      <c r="BU177" s="19">
        <f t="shared" si="177"/>
        <v>45678.04167</v>
      </c>
      <c r="BV177" s="19">
        <f t="shared" si="177"/>
        <v>45678.0625</v>
      </c>
      <c r="BW177" s="19">
        <f t="shared" si="177"/>
        <v>45678.08333</v>
      </c>
      <c r="BX177" s="19">
        <f t="shared" si="177"/>
        <v>45677</v>
      </c>
      <c r="BY177" s="19">
        <f t="shared" si="177"/>
        <v>45677</v>
      </c>
      <c r="BZ177" s="19">
        <f t="shared" si="177"/>
        <v>45677</v>
      </c>
    </row>
    <row r="178" ht="14.25" customHeight="1">
      <c r="A178" s="17">
        <v>45678.0</v>
      </c>
      <c r="B178" s="2" t="str">
        <f t="array" ref="B178">IF(NOW()&gt;AM178,"",IF(AND((WEEKDAY($A178)+$B$2)&gt;1,((WEEKDAY($A178)+$T$2)&lt;7),(WEEKDAY($A178)&lt;&gt;1)),"work",(INDEX(Subject!$A:$I,MATCH(RANDBETWEEN(1,(MAX(Subject!$B:$B))),Subject!$B:$B,0),3))))</f>
        <v/>
      </c>
      <c r="C178" s="2" t="str">
        <f t="array" ref="C178">IF(NOW()&gt;AN178,"",IF(AND((WEEKDAY($A178)+$B$2)&gt;1,((WEEKDAY($A178)+$T$2)&lt;7),(WEEKDAY($A178)&lt;&gt;1)),"work",(INDEX(Subject!$A:$I,MATCH(RANDBETWEEN(1,(MAX(Subject!$B:$B))),Subject!$B:$B,0),3))))</f>
        <v/>
      </c>
      <c r="D178" s="2" t="str">
        <f t="array" ref="D178">IF(NOW()&gt;AO178,"",IF(AND((WEEKDAY($A178)+$B$2)&gt;1,((WEEKDAY($A178)+$T$2)&lt;7),(WEEKDAY($A178)&lt;&gt;1)),"work",(INDEX(Subject!$A:$I,MATCH(RANDBETWEEN(1,(MAX(Subject!$B:$B))),Subject!$B:$B,0),3))))</f>
        <v/>
      </c>
      <c r="E178" s="2" t="str">
        <f t="array" ref="E178">IF(NOW()&gt;AP178,"",IF(AND((WEEKDAY($A178)+$B$2)&gt;1,((WEEKDAY($A178)+$T$2)&lt;7),(WEEKDAY($A178)&lt;&gt;1)),"work",(INDEX(Subject!$A:$I,MATCH(RANDBETWEEN(1,(MAX(Subject!$B:$B))),Subject!$B:$B,0),3))))</f>
        <v/>
      </c>
      <c r="F178" s="2" t="str">
        <f t="array" ref="F178">IF(NOW()&gt;AQ178,"",IF(AND((WEEKDAY($A178)+$B$2)&gt;1,((WEEKDAY($A178)+$T$2)&lt;7),(WEEKDAY($A178)&lt;&gt;1)),"work",(INDEX(Subject!$A:$I,MATCH(RANDBETWEEN(1,(MAX(Subject!$B:$B))),Subject!$B:$B,0),3))))</f>
        <v/>
      </c>
      <c r="G178" s="2" t="str">
        <f t="array" ref="G178">IF(NOW()&gt;AR178,"",IF(AND((WEEKDAY($A178)+$B$2)&gt;1,((WEEKDAY($A178)+$T$2)&lt;7),(WEEKDAY($A178)&lt;&gt;1)),"work",(INDEX(Subject!$A:$I,MATCH(RANDBETWEEN(1,(MAX(Subject!$B:$B))),Subject!$B:$B,0),3))))</f>
        <v/>
      </c>
      <c r="H178" s="2" t="str">
        <f t="array" ref="H178">IF(NOW()&gt;AS178,"",IF(AND((WEEKDAY($A178)+$B$2)&gt;1,((WEEKDAY($A178)+$T$2)&lt;7),(WEEKDAY($A178)&lt;&gt;1)),"work",(INDEX(Subject!$A:$I,MATCH(RANDBETWEEN(1,(MAX(Subject!$B:$B))),Subject!$B:$B,0),3))))</f>
        <v/>
      </c>
      <c r="I178" s="2" t="str">
        <f t="array" ref="I178">IF(NOW()&gt;AT178,"",IF(AND((WEEKDAY($A178)+$B$2)&gt;1,((WEEKDAY($A178)+$T$2)&lt;7),(WEEKDAY($A178)&lt;&gt;1)),"work",(INDEX(Subject!$A:$I,MATCH(RANDBETWEEN(1,(MAX(Subject!$B:$B))),Subject!$B:$B,0),3))))</f>
        <v/>
      </c>
      <c r="J178" s="2" t="str">
        <f t="array" ref="J178">IF(NOW()&gt;AU178,"",IF(AND((WEEKDAY($A178)+$B$2)&gt;1,((WEEKDAY($A178)+$T$2)&lt;7),(WEEKDAY($A178)&lt;&gt;1)),"work",(INDEX(Subject!$A:$I,MATCH(RANDBETWEEN(1,(MAX(Subject!$B:$B))),Subject!$B:$B,0),3))))</f>
        <v/>
      </c>
      <c r="K178" s="2" t="str">
        <f t="array" ref="K178">IF(NOW()&gt;AV178,"",IF(AND((WEEKDAY($A178)+$B$2)&gt;1,((WEEKDAY($A178)+$T$2)&lt;7),(WEEKDAY($A178)&lt;&gt;1)),"work",(INDEX(Subject!$A:$I,MATCH(RANDBETWEEN(1,(MAX(Subject!$B:$B))),Subject!$B:$B,0),3))))</f>
        <v/>
      </c>
      <c r="L178" s="2" t="str">
        <f t="array" ref="L178">IF(NOW()&gt;AW178,"",IF(AND((WEEKDAY($A178)+$B$2)&gt;1,((WEEKDAY($A178)+$T$2)&lt;7),(WEEKDAY($A178)&lt;&gt;1)),"work",(INDEX(Subject!$A:$I,MATCH(RANDBETWEEN(1,(MAX(Subject!$B:$B))),Subject!$B:$B,0),3))))</f>
        <v/>
      </c>
      <c r="M178" s="2" t="str">
        <f t="array" ref="M178">IF(NOW()&gt;AX178,"",IF(AND((WEEKDAY($A178)+$B$2)&gt;1,((WEEKDAY($A178)+$T$2)&lt;7),(WEEKDAY($A178)&lt;&gt;1)),"work",(INDEX(Subject!$A:$I,MATCH(RANDBETWEEN(1,(MAX(Subject!$B:$B))),Subject!$B:$B,0),3))))</f>
        <v/>
      </c>
      <c r="N178" s="2" t="str">
        <f t="array" ref="N178">IF(NOW()&gt;AY178,"",IF(AND((WEEKDAY($A178)+$B$2)&gt;1,((WEEKDAY($A178)+$T$2)&lt;7),(WEEKDAY($A178)&lt;&gt;1)),"work",(INDEX(Subject!$A:$I,MATCH(RANDBETWEEN(1,(MAX(Subject!$B:$B))),Subject!$B:$B,0),3))))</f>
        <v/>
      </c>
      <c r="O178" s="2" t="str">
        <f t="array" ref="O178">IF(NOW()&gt;AZ178,"",IF(AND((WEEKDAY($A178)+$B$2)&gt;1,((WEEKDAY($A178)+$T$2)&lt;7),(WEEKDAY($A178)&lt;&gt;1)),"work",(INDEX(Subject!$A:$I,MATCH(RANDBETWEEN(1,(MAX(Subject!$B:$B))),Subject!$B:$B,0),3))))</f>
        <v/>
      </c>
      <c r="P178" s="2" t="str">
        <f t="array" ref="P178">IF(NOW()&gt;BA178,"",IF(AND((WEEKDAY($A178)+$B$2)&gt;1,((WEEKDAY($A178)+$T$2)&lt;7),(WEEKDAY($A178)&lt;&gt;1)),"work",(INDEX(Subject!$A:$I,MATCH(RANDBETWEEN(1,(MAX(Subject!$B:$B))),Subject!$B:$B,0),3))))</f>
        <v/>
      </c>
      <c r="Q178" s="2" t="str">
        <f t="array" ref="Q178">IF(NOW()&gt;BB178,"",IF(AND((WEEKDAY($A178)+$B$2)&gt;1,((WEEKDAY($A178)+$T$2)&lt;7),(WEEKDAY($A178)&lt;&gt;1)),"work",(INDEX(Subject!$A:$I,MATCH(RANDBETWEEN(1,(MAX(Subject!$B:$B))),Subject!$B:$B,0),3))))</f>
        <v/>
      </c>
      <c r="R178" s="2" t="str">
        <f t="array" ref="R178">IF(NOW()&gt;BC178,"",IF(AND((WEEKDAY($A178)+$B$2)&gt;1,((WEEKDAY($A178)+$T$2)&lt;7),(WEEKDAY($A178)&lt;&gt;1)),"work",(INDEX(Subject!$A:$I,MATCH(RANDBETWEEN(1,(MAX(Subject!$B:$B))),Subject!$B:$B,0),3))))</f>
        <v/>
      </c>
      <c r="S178" s="2" t="str">
        <f t="array" ref="S178">IF(NOW()&gt;BD178,"",IF(AND((WEEKDAY($A178)+$B$2)&gt;1,((WEEKDAY($A178)+$T$2)&lt;7),(WEEKDAY($A178)&lt;&gt;1)),"work",(INDEX(Subject!$A:$I,MATCH(RANDBETWEEN(1,(MAX(Subject!$B:$B))),Subject!$B:$B,0),3))))</f>
        <v/>
      </c>
      <c r="T178" s="2" t="str">
        <f t="array" ref="T178">IF(NOW()&gt;BE178,"",IF(AND((WEEKDAY($A178)+$B$2)&gt;1,((WEEKDAY($A178)+$T$2)&lt;7),(WEEKDAY($A178)&lt;&gt;1)),"work",(INDEX(Subject!$A:$I,MATCH(RANDBETWEEN(1,(MAX(Subject!$B:$B))),Subject!$B:$B,0),3))))</f>
        <v/>
      </c>
      <c r="U178" s="8" t="str">
        <f t="array" ref="U178">INDEX(Subject!$A:$I,MATCH(RANDBETWEEN(1,16),Subject!$B:$B,0),3)</f>
        <v>#N/A</v>
      </c>
      <c r="V178" s="8" t="str">
        <f t="array" ref="V178">INDEX(Subject!$A:$I,MATCH(RANDBETWEEN(1,16),Subject!$B:$B,0),3)</f>
        <v>#N/A</v>
      </c>
      <c r="W178" s="8" t="str">
        <f t="array" ref="W178">INDEX(Subject!$A:$I,MATCH(RANDBETWEEN(1,16),Subject!$B:$B,0),3)</f>
        <v>#N/A</v>
      </c>
      <c r="X178" s="8" t="str">
        <f t="array" ref="X178">INDEX(Subject!$A:$I,MATCH(RANDBETWEEN(1,16),Subject!$B:$B,0),3)</f>
        <v>#N/A</v>
      </c>
      <c r="Y178" s="8" t="str">
        <f t="array" ref="Y178">INDEX(Subject!$A:$I,MATCH(RANDBETWEEN(1,16),Subject!$B:$B,0),3)</f>
        <v>#N/A</v>
      </c>
      <c r="Z178" s="8" t="str">
        <f t="array" ref="Z178">INDEX(Subject!$A:$I,MATCH(RANDBETWEEN(1,16),Subject!$B:$B,0),3)</f>
        <v>#N/A</v>
      </c>
      <c r="AA178" s="8" t="str">
        <f t="array" ref="AA178">INDEX(Subject!$A:$I,MATCH(RANDBETWEEN(1,16),Subject!$B:$B,0),3)</f>
        <v>#N/A</v>
      </c>
      <c r="AB178" s="8" t="str">
        <f t="array" ref="AB178">INDEX(Subject!$A:$I,MATCH(RANDBETWEEN(1,16),Subject!$B:$B,0),3)</f>
        <v>#N/A</v>
      </c>
      <c r="AC178" s="8" t="str">
        <f t="array" ref="AC178">INDEX(Subject!$A:$I,MATCH(RANDBETWEEN(1,16),Subject!$B:$B,0),3)</f>
        <v>#N/A</v>
      </c>
      <c r="AD178" s="8" t="str">
        <f t="array" ref="AD178">INDEX(Subject!$A:$I,MATCH(RANDBETWEEN(1,16),Subject!$B:$B,0),3)</f>
        <v>#N/A</v>
      </c>
      <c r="AE178" s="8" t="str">
        <f t="array" ref="AE178">INDEX(Subject!$A:$I,MATCH(RANDBETWEEN(1,16),Subject!$B:$B,0),3)</f>
        <v>#N/A</v>
      </c>
      <c r="AF178" s="8" t="str">
        <f t="array" ref="AF178">INDEX(Subject!$A:$I,MATCH(RANDBETWEEN(1,16),Subject!$B:$B,0),3)</f>
        <v/>
      </c>
      <c r="AG178" s="8" t="str">
        <f t="array" ref="AG178">INDEX(Subject!$A:$I,MATCH(RANDBETWEEN(1,16),Subject!$B:$B,0),3)</f>
        <v>#N/A</v>
      </c>
      <c r="AH178" s="8" t="str">
        <f t="array" ref="AH178">INDEX(Subject!$A:$I,MATCH(RANDBETWEEN(1,16),Subject!$B:$B,0),3)</f>
        <v>#N/A</v>
      </c>
      <c r="AI178" s="8" t="str">
        <f t="array" ref="AI178">INDEX(Subject!$A:$I,MATCH(RANDBETWEEN(1,16),Subject!$B:$B,0),3)</f>
        <v>#N/A</v>
      </c>
      <c r="AJ178" s="8" t="str">
        <f t="array" ref="AJ178">INDEX(Subject!$A:$I,MATCH(RANDBETWEEN(1,16),Subject!$B:$B,0),3)</f>
        <v>#N/A</v>
      </c>
      <c r="AK178" s="8" t="str">
        <f t="array" ref="AK178">INDEX(Subject!$A:$I,MATCH(RANDBETWEEN(1,16),Subject!$B:$B,0),3)</f>
        <v>#N/A</v>
      </c>
      <c r="AL178" s="8" t="str">
        <f t="array" ref="AL178">INDEX(Subject!$A:$I,MATCH(RANDBETWEEN(1,16),Subject!$B:$B,0),3)</f>
        <v>#N/A</v>
      </c>
      <c r="AM178" s="18">
        <f t="shared" si="4"/>
        <v>45678.33333</v>
      </c>
      <c r="AN178" s="19">
        <f t="shared" ref="AN178:BZ178" si="178">$A178+C$1</f>
        <v>45678.35417</v>
      </c>
      <c r="AO178" s="19">
        <f t="shared" si="178"/>
        <v>45678.375</v>
      </c>
      <c r="AP178" s="19">
        <f t="shared" si="178"/>
        <v>45678.39583</v>
      </c>
      <c r="AQ178" s="19">
        <f t="shared" si="178"/>
        <v>45678.41667</v>
      </c>
      <c r="AR178" s="19">
        <f t="shared" si="178"/>
        <v>45678.4375</v>
      </c>
      <c r="AS178" s="19">
        <f t="shared" si="178"/>
        <v>45678.45833</v>
      </c>
      <c r="AT178" s="19">
        <f t="shared" si="178"/>
        <v>45678.47917</v>
      </c>
      <c r="AU178" s="19">
        <f t="shared" si="178"/>
        <v>45678.5</v>
      </c>
      <c r="AV178" s="19">
        <f t="shared" si="178"/>
        <v>45678.52083</v>
      </c>
      <c r="AW178" s="19">
        <f t="shared" si="178"/>
        <v>45678.54167</v>
      </c>
      <c r="AX178" s="19">
        <f t="shared" si="178"/>
        <v>45678.5625</v>
      </c>
      <c r="AY178" s="19">
        <f t="shared" si="178"/>
        <v>45678.58333</v>
      </c>
      <c r="AZ178" s="19">
        <f t="shared" si="178"/>
        <v>45678.60417</v>
      </c>
      <c r="BA178" s="19">
        <f t="shared" si="178"/>
        <v>45678.625</v>
      </c>
      <c r="BB178" s="19">
        <f t="shared" si="178"/>
        <v>45678.64583</v>
      </c>
      <c r="BC178" s="19">
        <f t="shared" si="178"/>
        <v>45678.66667</v>
      </c>
      <c r="BD178" s="19">
        <f t="shared" si="178"/>
        <v>45678.6875</v>
      </c>
      <c r="BE178" s="19">
        <f t="shared" si="178"/>
        <v>45678.70833</v>
      </c>
      <c r="BF178" s="19">
        <f t="shared" si="178"/>
        <v>45678.72917</v>
      </c>
      <c r="BG178" s="19">
        <f t="shared" si="178"/>
        <v>45678.75</v>
      </c>
      <c r="BH178" s="19">
        <f t="shared" si="178"/>
        <v>45678.77083</v>
      </c>
      <c r="BI178" s="19">
        <f t="shared" si="178"/>
        <v>45678.79167</v>
      </c>
      <c r="BJ178" s="19">
        <f t="shared" si="178"/>
        <v>45678.8125</v>
      </c>
      <c r="BK178" s="19">
        <f t="shared" si="178"/>
        <v>45678.83333</v>
      </c>
      <c r="BL178" s="19">
        <f t="shared" si="178"/>
        <v>45678.85417</v>
      </c>
      <c r="BM178" s="19">
        <f t="shared" si="178"/>
        <v>45678.875</v>
      </c>
      <c r="BN178" s="19">
        <f t="shared" si="178"/>
        <v>45678.89583</v>
      </c>
      <c r="BO178" s="19">
        <f t="shared" si="178"/>
        <v>45678.91667</v>
      </c>
      <c r="BP178" s="19">
        <f t="shared" si="178"/>
        <v>45678.9375</v>
      </c>
      <c r="BQ178" s="19">
        <f t="shared" si="178"/>
        <v>45678.95833</v>
      </c>
      <c r="BR178" s="19">
        <f t="shared" si="178"/>
        <v>45678.97917</v>
      </c>
      <c r="BS178" s="19">
        <f t="shared" si="178"/>
        <v>45679</v>
      </c>
      <c r="BT178" s="19">
        <f t="shared" si="178"/>
        <v>45679.02083</v>
      </c>
      <c r="BU178" s="19">
        <f t="shared" si="178"/>
        <v>45679.04167</v>
      </c>
      <c r="BV178" s="19">
        <f t="shared" si="178"/>
        <v>45679.0625</v>
      </c>
      <c r="BW178" s="19">
        <f t="shared" si="178"/>
        <v>45679.08333</v>
      </c>
      <c r="BX178" s="19">
        <f t="shared" si="178"/>
        <v>45678</v>
      </c>
      <c r="BY178" s="19">
        <f t="shared" si="178"/>
        <v>45678</v>
      </c>
      <c r="BZ178" s="19">
        <f t="shared" si="178"/>
        <v>45678</v>
      </c>
    </row>
    <row r="179" ht="14.25" customHeight="1">
      <c r="A179" s="17">
        <v>45679.0</v>
      </c>
      <c r="B179" s="2" t="str">
        <f t="array" ref="B179">IF(NOW()&gt;AM179,"",IF(AND((WEEKDAY($A179)+$B$2)&gt;1,((WEEKDAY($A179)+$T$2)&lt;7),(WEEKDAY($A179)&lt;&gt;1)),"work",(INDEX(Subject!$A:$I,MATCH(RANDBETWEEN(1,(MAX(Subject!$B:$B))),Subject!$B:$B,0),3))))</f>
        <v/>
      </c>
      <c r="C179" s="2" t="str">
        <f t="array" ref="C179">IF(NOW()&gt;AN179,"",IF(AND((WEEKDAY($A179)+$B$2)&gt;1,((WEEKDAY($A179)+$T$2)&lt;7),(WEEKDAY($A179)&lt;&gt;1)),"work",(INDEX(Subject!$A:$I,MATCH(RANDBETWEEN(1,(MAX(Subject!$B:$B))),Subject!$B:$B,0),3))))</f>
        <v/>
      </c>
      <c r="D179" s="2" t="str">
        <f t="array" ref="D179">IF(NOW()&gt;AO179,"",IF(AND((WEEKDAY($A179)+$B$2)&gt;1,((WEEKDAY($A179)+$T$2)&lt;7),(WEEKDAY($A179)&lt;&gt;1)),"work",(INDEX(Subject!$A:$I,MATCH(RANDBETWEEN(1,(MAX(Subject!$B:$B))),Subject!$B:$B,0),3))))</f>
        <v/>
      </c>
      <c r="E179" s="2" t="str">
        <f t="array" ref="E179">IF(NOW()&gt;AP179,"",IF(AND((WEEKDAY($A179)+$B$2)&gt;1,((WEEKDAY($A179)+$T$2)&lt;7),(WEEKDAY($A179)&lt;&gt;1)),"work",(INDEX(Subject!$A:$I,MATCH(RANDBETWEEN(1,(MAX(Subject!$B:$B))),Subject!$B:$B,0),3))))</f>
        <v/>
      </c>
      <c r="F179" s="2" t="str">
        <f t="array" ref="F179">IF(NOW()&gt;AQ179,"",IF(AND((WEEKDAY($A179)+$B$2)&gt;1,((WEEKDAY($A179)+$T$2)&lt;7),(WEEKDAY($A179)&lt;&gt;1)),"work",(INDEX(Subject!$A:$I,MATCH(RANDBETWEEN(1,(MAX(Subject!$B:$B))),Subject!$B:$B,0),3))))</f>
        <v/>
      </c>
      <c r="G179" s="2" t="str">
        <f t="array" ref="G179">IF(NOW()&gt;AR179,"",IF(AND((WEEKDAY($A179)+$B$2)&gt;1,((WEEKDAY($A179)+$T$2)&lt;7),(WEEKDAY($A179)&lt;&gt;1)),"work",(INDEX(Subject!$A:$I,MATCH(RANDBETWEEN(1,(MAX(Subject!$B:$B))),Subject!$B:$B,0),3))))</f>
        <v/>
      </c>
      <c r="H179" s="2" t="str">
        <f t="array" ref="H179">IF(NOW()&gt;AS179,"",IF(AND((WEEKDAY($A179)+$B$2)&gt;1,((WEEKDAY($A179)+$T$2)&lt;7),(WEEKDAY($A179)&lt;&gt;1)),"work",(INDEX(Subject!$A:$I,MATCH(RANDBETWEEN(1,(MAX(Subject!$B:$B))),Subject!$B:$B,0),3))))</f>
        <v/>
      </c>
      <c r="I179" s="2" t="str">
        <f t="array" ref="I179">IF(NOW()&gt;AT179,"",IF(AND((WEEKDAY($A179)+$B$2)&gt;1,((WEEKDAY($A179)+$T$2)&lt;7),(WEEKDAY($A179)&lt;&gt;1)),"work",(INDEX(Subject!$A:$I,MATCH(RANDBETWEEN(1,(MAX(Subject!$B:$B))),Subject!$B:$B,0),3))))</f>
        <v/>
      </c>
      <c r="J179" s="2" t="str">
        <f t="array" ref="J179">IF(NOW()&gt;AU179,"",IF(AND((WEEKDAY($A179)+$B$2)&gt;1,((WEEKDAY($A179)+$T$2)&lt;7),(WEEKDAY($A179)&lt;&gt;1)),"work",(INDEX(Subject!$A:$I,MATCH(RANDBETWEEN(1,(MAX(Subject!$B:$B))),Subject!$B:$B,0),3))))</f>
        <v/>
      </c>
      <c r="K179" s="2" t="str">
        <f t="array" ref="K179">IF(NOW()&gt;AV179,"",IF(AND((WEEKDAY($A179)+$B$2)&gt;1,((WEEKDAY($A179)+$T$2)&lt;7),(WEEKDAY($A179)&lt;&gt;1)),"work",(INDEX(Subject!$A:$I,MATCH(RANDBETWEEN(1,(MAX(Subject!$B:$B))),Subject!$B:$B,0),3))))</f>
        <v/>
      </c>
      <c r="L179" s="2" t="str">
        <f t="array" ref="L179">IF(NOW()&gt;AW179,"",IF(AND((WEEKDAY($A179)+$B$2)&gt;1,((WEEKDAY($A179)+$T$2)&lt;7),(WEEKDAY($A179)&lt;&gt;1)),"work",(INDEX(Subject!$A:$I,MATCH(RANDBETWEEN(1,(MAX(Subject!$B:$B))),Subject!$B:$B,0),3))))</f>
        <v/>
      </c>
      <c r="M179" s="2" t="str">
        <f t="array" ref="M179">IF(NOW()&gt;AX179,"",IF(AND((WEEKDAY($A179)+$B$2)&gt;1,((WEEKDAY($A179)+$T$2)&lt;7),(WEEKDAY($A179)&lt;&gt;1)),"work",(INDEX(Subject!$A:$I,MATCH(RANDBETWEEN(1,(MAX(Subject!$B:$B))),Subject!$B:$B,0),3))))</f>
        <v/>
      </c>
      <c r="N179" s="2" t="str">
        <f t="array" ref="N179">IF(NOW()&gt;AY179,"",IF(AND((WEEKDAY($A179)+$B$2)&gt;1,((WEEKDAY($A179)+$T$2)&lt;7),(WEEKDAY($A179)&lt;&gt;1)),"work",(INDEX(Subject!$A:$I,MATCH(RANDBETWEEN(1,(MAX(Subject!$B:$B))),Subject!$B:$B,0),3))))</f>
        <v/>
      </c>
      <c r="O179" s="2" t="str">
        <f t="array" ref="O179">IF(NOW()&gt;AZ179,"",IF(AND((WEEKDAY($A179)+$B$2)&gt;1,((WEEKDAY($A179)+$T$2)&lt;7),(WEEKDAY($A179)&lt;&gt;1)),"work",(INDEX(Subject!$A:$I,MATCH(RANDBETWEEN(1,(MAX(Subject!$B:$B))),Subject!$B:$B,0),3))))</f>
        <v/>
      </c>
      <c r="P179" s="2" t="str">
        <f t="array" ref="P179">IF(NOW()&gt;BA179,"",IF(AND((WEEKDAY($A179)+$B$2)&gt;1,((WEEKDAY($A179)+$T$2)&lt;7),(WEEKDAY($A179)&lt;&gt;1)),"work",(INDEX(Subject!$A:$I,MATCH(RANDBETWEEN(1,(MAX(Subject!$B:$B))),Subject!$B:$B,0),3))))</f>
        <v/>
      </c>
      <c r="Q179" s="2" t="str">
        <f t="array" ref="Q179">IF(NOW()&gt;BB179,"",IF(AND((WEEKDAY($A179)+$B$2)&gt;1,((WEEKDAY($A179)+$T$2)&lt;7),(WEEKDAY($A179)&lt;&gt;1)),"work",(INDEX(Subject!$A:$I,MATCH(RANDBETWEEN(1,(MAX(Subject!$B:$B))),Subject!$B:$B,0),3))))</f>
        <v/>
      </c>
      <c r="R179" s="2" t="str">
        <f t="array" ref="R179">IF(NOW()&gt;BC179,"",IF(AND((WEEKDAY($A179)+$B$2)&gt;1,((WEEKDAY($A179)+$T$2)&lt;7),(WEEKDAY($A179)&lt;&gt;1)),"work",(INDEX(Subject!$A:$I,MATCH(RANDBETWEEN(1,(MAX(Subject!$B:$B))),Subject!$B:$B,0),3))))</f>
        <v/>
      </c>
      <c r="S179" s="2" t="str">
        <f t="array" ref="S179">IF(NOW()&gt;BD179,"",IF(AND((WEEKDAY($A179)+$B$2)&gt;1,((WEEKDAY($A179)+$T$2)&lt;7),(WEEKDAY($A179)&lt;&gt;1)),"work",(INDEX(Subject!$A:$I,MATCH(RANDBETWEEN(1,(MAX(Subject!$B:$B))),Subject!$B:$B,0),3))))</f>
        <v/>
      </c>
      <c r="T179" s="2" t="str">
        <f t="array" ref="T179">IF(NOW()&gt;BE179,"",IF(AND((WEEKDAY($A179)+$B$2)&gt;1,((WEEKDAY($A179)+$T$2)&lt;7),(WEEKDAY($A179)&lt;&gt;1)),"work",(INDEX(Subject!$A:$I,MATCH(RANDBETWEEN(1,(MAX(Subject!$B:$B))),Subject!$B:$B,0),3))))</f>
        <v/>
      </c>
      <c r="U179" s="8" t="str">
        <f t="array" ref="U179">INDEX(Subject!$A:$I,MATCH(RANDBETWEEN(1,16),Subject!$B:$B,0),3)</f>
        <v>#N/A</v>
      </c>
      <c r="V179" s="8" t="str">
        <f t="array" ref="V179">INDEX(Subject!$A:$I,MATCH(RANDBETWEEN(1,16),Subject!$B:$B,0),3)</f>
        <v/>
      </c>
      <c r="W179" s="8" t="str">
        <f t="array" ref="W179">INDEX(Subject!$A:$I,MATCH(RANDBETWEEN(1,16),Subject!$B:$B,0),3)</f>
        <v>#N/A</v>
      </c>
      <c r="X179" s="8" t="str">
        <f t="array" ref="X179">INDEX(Subject!$A:$I,MATCH(RANDBETWEEN(1,16),Subject!$B:$B,0),3)</f>
        <v>#N/A</v>
      </c>
      <c r="Y179" s="8" t="str">
        <f t="array" ref="Y179">INDEX(Subject!$A:$I,MATCH(RANDBETWEEN(1,16),Subject!$B:$B,0),3)</f>
        <v>#N/A</v>
      </c>
      <c r="Z179" s="8" t="str">
        <f t="array" ref="Z179">INDEX(Subject!$A:$I,MATCH(RANDBETWEEN(1,16),Subject!$B:$B,0),3)</f>
        <v>#N/A</v>
      </c>
      <c r="AA179" s="8" t="str">
        <f t="array" ref="AA179">INDEX(Subject!$A:$I,MATCH(RANDBETWEEN(1,16),Subject!$B:$B,0),3)</f>
        <v/>
      </c>
      <c r="AB179" s="8" t="str">
        <f t="array" ref="AB179">INDEX(Subject!$A:$I,MATCH(RANDBETWEEN(1,16),Subject!$B:$B,0),3)</f>
        <v>#N/A</v>
      </c>
      <c r="AC179" s="8" t="str">
        <f t="array" ref="AC179">INDEX(Subject!$A:$I,MATCH(RANDBETWEEN(1,16),Subject!$B:$B,0),3)</f>
        <v>#N/A</v>
      </c>
      <c r="AD179" s="8" t="str">
        <f t="array" ref="AD179">INDEX(Subject!$A:$I,MATCH(RANDBETWEEN(1,16),Subject!$B:$B,0),3)</f>
        <v>#N/A</v>
      </c>
      <c r="AE179" s="8" t="str">
        <f t="array" ref="AE179">INDEX(Subject!$A:$I,MATCH(RANDBETWEEN(1,16),Subject!$B:$B,0),3)</f>
        <v/>
      </c>
      <c r="AF179" s="8" t="str">
        <f t="array" ref="AF179">INDEX(Subject!$A:$I,MATCH(RANDBETWEEN(1,16),Subject!$B:$B,0),3)</f>
        <v>#N/A</v>
      </c>
      <c r="AG179" s="8" t="str">
        <f t="array" ref="AG179">INDEX(Subject!$A:$I,MATCH(RANDBETWEEN(1,16),Subject!$B:$B,0),3)</f>
        <v>#N/A</v>
      </c>
      <c r="AH179" s="8" t="str">
        <f t="array" ref="AH179">INDEX(Subject!$A:$I,MATCH(RANDBETWEEN(1,16),Subject!$B:$B,0),3)</f>
        <v>#N/A</v>
      </c>
      <c r="AI179" s="8" t="str">
        <f t="array" ref="AI179">INDEX(Subject!$A:$I,MATCH(RANDBETWEEN(1,16),Subject!$B:$B,0),3)</f>
        <v/>
      </c>
      <c r="AJ179" s="8" t="str">
        <f t="array" ref="AJ179">INDEX(Subject!$A:$I,MATCH(RANDBETWEEN(1,16),Subject!$B:$B,0),3)</f>
        <v>#N/A</v>
      </c>
      <c r="AK179" s="8" t="str">
        <f t="array" ref="AK179">INDEX(Subject!$A:$I,MATCH(RANDBETWEEN(1,16),Subject!$B:$B,0),3)</f>
        <v>#N/A</v>
      </c>
      <c r="AL179" s="8" t="str">
        <f t="array" ref="AL179">INDEX(Subject!$A:$I,MATCH(RANDBETWEEN(1,16),Subject!$B:$B,0),3)</f>
        <v>#N/A</v>
      </c>
      <c r="AM179" s="18">
        <f t="shared" si="4"/>
        <v>45679.33333</v>
      </c>
      <c r="AN179" s="19">
        <f t="shared" ref="AN179:BZ179" si="179">$A179+C$1</f>
        <v>45679.35417</v>
      </c>
      <c r="AO179" s="19">
        <f t="shared" si="179"/>
        <v>45679.375</v>
      </c>
      <c r="AP179" s="19">
        <f t="shared" si="179"/>
        <v>45679.39583</v>
      </c>
      <c r="AQ179" s="19">
        <f t="shared" si="179"/>
        <v>45679.41667</v>
      </c>
      <c r="AR179" s="19">
        <f t="shared" si="179"/>
        <v>45679.4375</v>
      </c>
      <c r="AS179" s="19">
        <f t="shared" si="179"/>
        <v>45679.45833</v>
      </c>
      <c r="AT179" s="19">
        <f t="shared" si="179"/>
        <v>45679.47917</v>
      </c>
      <c r="AU179" s="19">
        <f t="shared" si="179"/>
        <v>45679.5</v>
      </c>
      <c r="AV179" s="19">
        <f t="shared" si="179"/>
        <v>45679.52083</v>
      </c>
      <c r="AW179" s="19">
        <f t="shared" si="179"/>
        <v>45679.54167</v>
      </c>
      <c r="AX179" s="19">
        <f t="shared" si="179"/>
        <v>45679.5625</v>
      </c>
      <c r="AY179" s="19">
        <f t="shared" si="179"/>
        <v>45679.58333</v>
      </c>
      <c r="AZ179" s="19">
        <f t="shared" si="179"/>
        <v>45679.60417</v>
      </c>
      <c r="BA179" s="19">
        <f t="shared" si="179"/>
        <v>45679.625</v>
      </c>
      <c r="BB179" s="19">
        <f t="shared" si="179"/>
        <v>45679.64583</v>
      </c>
      <c r="BC179" s="19">
        <f t="shared" si="179"/>
        <v>45679.66667</v>
      </c>
      <c r="BD179" s="19">
        <f t="shared" si="179"/>
        <v>45679.6875</v>
      </c>
      <c r="BE179" s="19">
        <f t="shared" si="179"/>
        <v>45679.70833</v>
      </c>
      <c r="BF179" s="19">
        <f t="shared" si="179"/>
        <v>45679.72917</v>
      </c>
      <c r="BG179" s="19">
        <f t="shared" si="179"/>
        <v>45679.75</v>
      </c>
      <c r="BH179" s="19">
        <f t="shared" si="179"/>
        <v>45679.77083</v>
      </c>
      <c r="BI179" s="19">
        <f t="shared" si="179"/>
        <v>45679.79167</v>
      </c>
      <c r="BJ179" s="19">
        <f t="shared" si="179"/>
        <v>45679.8125</v>
      </c>
      <c r="BK179" s="19">
        <f t="shared" si="179"/>
        <v>45679.83333</v>
      </c>
      <c r="BL179" s="19">
        <f t="shared" si="179"/>
        <v>45679.85417</v>
      </c>
      <c r="BM179" s="19">
        <f t="shared" si="179"/>
        <v>45679.875</v>
      </c>
      <c r="BN179" s="19">
        <f t="shared" si="179"/>
        <v>45679.89583</v>
      </c>
      <c r="BO179" s="19">
        <f t="shared" si="179"/>
        <v>45679.91667</v>
      </c>
      <c r="BP179" s="19">
        <f t="shared" si="179"/>
        <v>45679.9375</v>
      </c>
      <c r="BQ179" s="19">
        <f t="shared" si="179"/>
        <v>45679.95833</v>
      </c>
      <c r="BR179" s="19">
        <f t="shared" si="179"/>
        <v>45679.97917</v>
      </c>
      <c r="BS179" s="19">
        <f t="shared" si="179"/>
        <v>45680</v>
      </c>
      <c r="BT179" s="19">
        <f t="shared" si="179"/>
        <v>45680.02083</v>
      </c>
      <c r="BU179" s="19">
        <f t="shared" si="179"/>
        <v>45680.04167</v>
      </c>
      <c r="BV179" s="19">
        <f t="shared" si="179"/>
        <v>45680.0625</v>
      </c>
      <c r="BW179" s="19">
        <f t="shared" si="179"/>
        <v>45680.08333</v>
      </c>
      <c r="BX179" s="19">
        <f t="shared" si="179"/>
        <v>45679</v>
      </c>
      <c r="BY179" s="19">
        <f t="shared" si="179"/>
        <v>45679</v>
      </c>
      <c r="BZ179" s="19">
        <f t="shared" si="179"/>
        <v>45679</v>
      </c>
    </row>
    <row r="180" ht="14.25" customHeight="1">
      <c r="A180" s="17">
        <v>45680.0</v>
      </c>
      <c r="B180" s="2" t="str">
        <f t="array" ref="B180">IF(NOW()&gt;AM180,"",IF(AND((WEEKDAY($A180)+$B$2)&gt;1,((WEEKDAY($A180)+$T$2)&lt;7),(WEEKDAY($A180)&lt;&gt;1)),"work",(INDEX(Subject!$A:$I,MATCH(RANDBETWEEN(1,(MAX(Subject!$B:$B))),Subject!$B:$B,0),3))))</f>
        <v/>
      </c>
      <c r="C180" s="2" t="str">
        <f t="array" ref="C180">IF(NOW()&gt;AN180,"",IF(AND((WEEKDAY($A180)+$B$2)&gt;1,((WEEKDAY($A180)+$T$2)&lt;7),(WEEKDAY($A180)&lt;&gt;1)),"work",(INDEX(Subject!$A:$I,MATCH(RANDBETWEEN(1,(MAX(Subject!$B:$B))),Subject!$B:$B,0),3))))</f>
        <v/>
      </c>
      <c r="D180" s="2" t="str">
        <f t="array" ref="D180">IF(NOW()&gt;AO180,"",IF(AND((WEEKDAY($A180)+$B$2)&gt;1,((WEEKDAY($A180)+$T$2)&lt;7),(WEEKDAY($A180)&lt;&gt;1)),"work",(INDEX(Subject!$A:$I,MATCH(RANDBETWEEN(1,(MAX(Subject!$B:$B))),Subject!$B:$B,0),3))))</f>
        <v/>
      </c>
      <c r="E180" s="2" t="str">
        <f t="array" ref="E180">IF(NOW()&gt;AP180,"",IF(AND((WEEKDAY($A180)+$B$2)&gt;1,((WEEKDAY($A180)+$T$2)&lt;7),(WEEKDAY($A180)&lt;&gt;1)),"work",(INDEX(Subject!$A:$I,MATCH(RANDBETWEEN(1,(MAX(Subject!$B:$B))),Subject!$B:$B,0),3))))</f>
        <v/>
      </c>
      <c r="F180" s="2" t="str">
        <f t="array" ref="F180">IF(NOW()&gt;AQ180,"",IF(AND((WEEKDAY($A180)+$B$2)&gt;1,((WEEKDAY($A180)+$T$2)&lt;7),(WEEKDAY($A180)&lt;&gt;1)),"work",(INDEX(Subject!$A:$I,MATCH(RANDBETWEEN(1,(MAX(Subject!$B:$B))),Subject!$B:$B,0),3))))</f>
        <v/>
      </c>
      <c r="G180" s="2" t="str">
        <f t="array" ref="G180">IF(NOW()&gt;AR180,"",IF(AND((WEEKDAY($A180)+$B$2)&gt;1,((WEEKDAY($A180)+$T$2)&lt;7),(WEEKDAY($A180)&lt;&gt;1)),"work",(INDEX(Subject!$A:$I,MATCH(RANDBETWEEN(1,(MAX(Subject!$B:$B))),Subject!$B:$B,0),3))))</f>
        <v/>
      </c>
      <c r="H180" s="2" t="str">
        <f t="array" ref="H180">IF(NOW()&gt;AS180,"",IF(AND((WEEKDAY($A180)+$B$2)&gt;1,((WEEKDAY($A180)+$T$2)&lt;7),(WEEKDAY($A180)&lt;&gt;1)),"work",(INDEX(Subject!$A:$I,MATCH(RANDBETWEEN(1,(MAX(Subject!$B:$B))),Subject!$B:$B,0),3))))</f>
        <v/>
      </c>
      <c r="I180" s="2" t="str">
        <f t="array" ref="I180">IF(NOW()&gt;AT180,"",IF(AND((WEEKDAY($A180)+$B$2)&gt;1,((WEEKDAY($A180)+$T$2)&lt;7),(WEEKDAY($A180)&lt;&gt;1)),"work",(INDEX(Subject!$A:$I,MATCH(RANDBETWEEN(1,(MAX(Subject!$B:$B))),Subject!$B:$B,0),3))))</f>
        <v/>
      </c>
      <c r="J180" s="2" t="str">
        <f t="array" ref="J180">IF(NOW()&gt;AU180,"",IF(AND((WEEKDAY($A180)+$B$2)&gt;1,((WEEKDAY($A180)+$T$2)&lt;7),(WEEKDAY($A180)&lt;&gt;1)),"work",(INDEX(Subject!$A:$I,MATCH(RANDBETWEEN(1,(MAX(Subject!$B:$B))),Subject!$B:$B,0),3))))</f>
        <v/>
      </c>
      <c r="K180" s="2" t="str">
        <f t="array" ref="K180">IF(NOW()&gt;AV180,"",IF(AND((WEEKDAY($A180)+$B$2)&gt;1,((WEEKDAY($A180)+$T$2)&lt;7),(WEEKDAY($A180)&lt;&gt;1)),"work",(INDEX(Subject!$A:$I,MATCH(RANDBETWEEN(1,(MAX(Subject!$B:$B))),Subject!$B:$B,0),3))))</f>
        <v/>
      </c>
      <c r="L180" s="2" t="str">
        <f t="array" ref="L180">IF(NOW()&gt;AW180,"",IF(AND((WEEKDAY($A180)+$B$2)&gt;1,((WEEKDAY($A180)+$T$2)&lt;7),(WEEKDAY($A180)&lt;&gt;1)),"work",(INDEX(Subject!$A:$I,MATCH(RANDBETWEEN(1,(MAX(Subject!$B:$B))),Subject!$B:$B,0),3))))</f>
        <v/>
      </c>
      <c r="M180" s="2" t="str">
        <f t="array" ref="M180">IF(NOW()&gt;AX180,"",IF(AND((WEEKDAY($A180)+$B$2)&gt;1,((WEEKDAY($A180)+$T$2)&lt;7),(WEEKDAY($A180)&lt;&gt;1)),"work",(INDEX(Subject!$A:$I,MATCH(RANDBETWEEN(1,(MAX(Subject!$B:$B))),Subject!$B:$B,0),3))))</f>
        <v/>
      </c>
      <c r="N180" s="2" t="str">
        <f t="array" ref="N180">IF(NOW()&gt;AY180,"",IF(AND((WEEKDAY($A180)+$B$2)&gt;1,((WEEKDAY($A180)+$T$2)&lt;7),(WEEKDAY($A180)&lt;&gt;1)),"work",(INDEX(Subject!$A:$I,MATCH(RANDBETWEEN(1,(MAX(Subject!$B:$B))),Subject!$B:$B,0),3))))</f>
        <v/>
      </c>
      <c r="O180" s="2" t="str">
        <f t="array" ref="O180">IF(NOW()&gt;AZ180,"",IF(AND((WEEKDAY($A180)+$B$2)&gt;1,((WEEKDAY($A180)+$T$2)&lt;7),(WEEKDAY($A180)&lt;&gt;1)),"work",(INDEX(Subject!$A:$I,MATCH(RANDBETWEEN(1,(MAX(Subject!$B:$B))),Subject!$B:$B,0),3))))</f>
        <v/>
      </c>
      <c r="P180" s="2" t="str">
        <f t="array" ref="P180">IF(NOW()&gt;BA180,"",IF(AND((WEEKDAY($A180)+$B$2)&gt;1,((WEEKDAY($A180)+$T$2)&lt;7),(WEEKDAY($A180)&lt;&gt;1)),"work",(INDEX(Subject!$A:$I,MATCH(RANDBETWEEN(1,(MAX(Subject!$B:$B))),Subject!$B:$B,0),3))))</f>
        <v/>
      </c>
      <c r="Q180" s="2" t="str">
        <f t="array" ref="Q180">IF(NOW()&gt;BB180,"",IF(AND((WEEKDAY($A180)+$B$2)&gt;1,((WEEKDAY($A180)+$T$2)&lt;7),(WEEKDAY($A180)&lt;&gt;1)),"work",(INDEX(Subject!$A:$I,MATCH(RANDBETWEEN(1,(MAX(Subject!$B:$B))),Subject!$B:$B,0),3))))</f>
        <v/>
      </c>
      <c r="R180" s="2" t="str">
        <f t="array" ref="R180">IF(NOW()&gt;BC180,"",IF(AND((WEEKDAY($A180)+$B$2)&gt;1,((WEEKDAY($A180)+$T$2)&lt;7),(WEEKDAY($A180)&lt;&gt;1)),"work",(INDEX(Subject!$A:$I,MATCH(RANDBETWEEN(1,(MAX(Subject!$B:$B))),Subject!$B:$B,0),3))))</f>
        <v/>
      </c>
      <c r="S180" s="2" t="str">
        <f t="array" ref="S180">IF(NOW()&gt;BD180,"",IF(AND((WEEKDAY($A180)+$B$2)&gt;1,((WEEKDAY($A180)+$T$2)&lt;7),(WEEKDAY($A180)&lt;&gt;1)),"work",(INDEX(Subject!$A:$I,MATCH(RANDBETWEEN(1,(MAX(Subject!$B:$B))),Subject!$B:$B,0),3))))</f>
        <v/>
      </c>
      <c r="T180" s="2" t="str">
        <f t="array" ref="T180">IF(NOW()&gt;BE180,"",IF(AND((WEEKDAY($A180)+$B$2)&gt;1,((WEEKDAY($A180)+$T$2)&lt;7),(WEEKDAY($A180)&lt;&gt;1)),"work",(INDEX(Subject!$A:$I,MATCH(RANDBETWEEN(1,(MAX(Subject!$B:$B))),Subject!$B:$B,0),3))))</f>
        <v/>
      </c>
      <c r="U180" s="8" t="str">
        <f t="array" ref="U180">INDEX(Subject!$A:$I,MATCH(RANDBETWEEN(1,16),Subject!$B:$B,0),3)</f>
        <v>#N/A</v>
      </c>
      <c r="V180" s="8" t="str">
        <f t="array" ref="V180">INDEX(Subject!$A:$I,MATCH(RANDBETWEEN(1,16),Subject!$B:$B,0),3)</f>
        <v>#N/A</v>
      </c>
      <c r="W180" s="8" t="str">
        <f t="array" ref="W180">INDEX(Subject!$A:$I,MATCH(RANDBETWEEN(1,16),Subject!$B:$B,0),3)</f>
        <v>#N/A</v>
      </c>
      <c r="X180" s="8" t="str">
        <f t="array" ref="X180">INDEX(Subject!$A:$I,MATCH(RANDBETWEEN(1,16),Subject!$B:$B,0),3)</f>
        <v>#N/A</v>
      </c>
      <c r="Y180" s="8" t="str">
        <f t="array" ref="Y180">INDEX(Subject!$A:$I,MATCH(RANDBETWEEN(1,16),Subject!$B:$B,0),3)</f>
        <v>#N/A</v>
      </c>
      <c r="Z180" s="8" t="str">
        <f t="array" ref="Z180">INDEX(Subject!$A:$I,MATCH(RANDBETWEEN(1,16),Subject!$B:$B,0),3)</f>
        <v>#N/A</v>
      </c>
      <c r="AA180" s="8" t="str">
        <f t="array" ref="AA180">INDEX(Subject!$A:$I,MATCH(RANDBETWEEN(1,16),Subject!$B:$B,0),3)</f>
        <v>#N/A</v>
      </c>
      <c r="AB180" s="8" t="str">
        <f t="array" ref="AB180">INDEX(Subject!$A:$I,MATCH(RANDBETWEEN(1,16),Subject!$B:$B,0),3)</f>
        <v>#N/A</v>
      </c>
      <c r="AC180" s="8" t="str">
        <f t="array" ref="AC180">INDEX(Subject!$A:$I,MATCH(RANDBETWEEN(1,16),Subject!$B:$B,0),3)</f>
        <v>#N/A</v>
      </c>
      <c r="AD180" s="8" t="str">
        <f t="array" ref="AD180">INDEX(Subject!$A:$I,MATCH(RANDBETWEEN(1,16),Subject!$B:$B,0),3)</f>
        <v>#N/A</v>
      </c>
      <c r="AE180" s="8" t="str">
        <f t="array" ref="AE180">INDEX(Subject!$A:$I,MATCH(RANDBETWEEN(1,16),Subject!$B:$B,0),3)</f>
        <v>#N/A</v>
      </c>
      <c r="AF180" s="8" t="str">
        <f t="array" ref="AF180">INDEX(Subject!$A:$I,MATCH(RANDBETWEEN(1,16),Subject!$B:$B,0),3)</f>
        <v>#N/A</v>
      </c>
      <c r="AG180" s="8" t="str">
        <f t="array" ref="AG180">INDEX(Subject!$A:$I,MATCH(RANDBETWEEN(1,16),Subject!$B:$B,0),3)</f>
        <v>#N/A</v>
      </c>
      <c r="AH180" s="8" t="str">
        <f t="array" ref="AH180">INDEX(Subject!$A:$I,MATCH(RANDBETWEEN(1,16),Subject!$B:$B,0),3)</f>
        <v>#N/A</v>
      </c>
      <c r="AI180" s="8" t="str">
        <f t="array" ref="AI180">INDEX(Subject!$A:$I,MATCH(RANDBETWEEN(1,16),Subject!$B:$B,0),3)</f>
        <v>#N/A</v>
      </c>
      <c r="AJ180" s="8" t="str">
        <f t="array" ref="AJ180">INDEX(Subject!$A:$I,MATCH(RANDBETWEEN(1,16),Subject!$B:$B,0),3)</f>
        <v>#N/A</v>
      </c>
      <c r="AK180" s="8" t="str">
        <f t="array" ref="AK180">INDEX(Subject!$A:$I,MATCH(RANDBETWEEN(1,16),Subject!$B:$B,0),3)</f>
        <v>#N/A</v>
      </c>
      <c r="AL180" s="8" t="str">
        <f t="array" ref="AL180">INDEX(Subject!$A:$I,MATCH(RANDBETWEEN(1,16),Subject!$B:$B,0),3)</f>
        <v>#N/A</v>
      </c>
      <c r="AM180" s="18">
        <f t="shared" si="4"/>
        <v>45680.33333</v>
      </c>
      <c r="AN180" s="19">
        <f t="shared" ref="AN180:BZ180" si="180">$A180+C$1</f>
        <v>45680.35417</v>
      </c>
      <c r="AO180" s="19">
        <f t="shared" si="180"/>
        <v>45680.375</v>
      </c>
      <c r="AP180" s="19">
        <f t="shared" si="180"/>
        <v>45680.39583</v>
      </c>
      <c r="AQ180" s="19">
        <f t="shared" si="180"/>
        <v>45680.41667</v>
      </c>
      <c r="AR180" s="19">
        <f t="shared" si="180"/>
        <v>45680.4375</v>
      </c>
      <c r="AS180" s="19">
        <f t="shared" si="180"/>
        <v>45680.45833</v>
      </c>
      <c r="AT180" s="19">
        <f t="shared" si="180"/>
        <v>45680.47917</v>
      </c>
      <c r="AU180" s="19">
        <f t="shared" si="180"/>
        <v>45680.5</v>
      </c>
      <c r="AV180" s="19">
        <f t="shared" si="180"/>
        <v>45680.52083</v>
      </c>
      <c r="AW180" s="19">
        <f t="shared" si="180"/>
        <v>45680.54167</v>
      </c>
      <c r="AX180" s="19">
        <f t="shared" si="180"/>
        <v>45680.5625</v>
      </c>
      <c r="AY180" s="19">
        <f t="shared" si="180"/>
        <v>45680.58333</v>
      </c>
      <c r="AZ180" s="19">
        <f t="shared" si="180"/>
        <v>45680.60417</v>
      </c>
      <c r="BA180" s="19">
        <f t="shared" si="180"/>
        <v>45680.625</v>
      </c>
      <c r="BB180" s="19">
        <f t="shared" si="180"/>
        <v>45680.64583</v>
      </c>
      <c r="BC180" s="19">
        <f t="shared" si="180"/>
        <v>45680.66667</v>
      </c>
      <c r="BD180" s="19">
        <f t="shared" si="180"/>
        <v>45680.6875</v>
      </c>
      <c r="BE180" s="19">
        <f t="shared" si="180"/>
        <v>45680.70833</v>
      </c>
      <c r="BF180" s="19">
        <f t="shared" si="180"/>
        <v>45680.72917</v>
      </c>
      <c r="BG180" s="19">
        <f t="shared" si="180"/>
        <v>45680.75</v>
      </c>
      <c r="BH180" s="19">
        <f t="shared" si="180"/>
        <v>45680.77083</v>
      </c>
      <c r="BI180" s="19">
        <f t="shared" si="180"/>
        <v>45680.79167</v>
      </c>
      <c r="BJ180" s="19">
        <f t="shared" si="180"/>
        <v>45680.8125</v>
      </c>
      <c r="BK180" s="19">
        <f t="shared" si="180"/>
        <v>45680.83333</v>
      </c>
      <c r="BL180" s="19">
        <f t="shared" si="180"/>
        <v>45680.85417</v>
      </c>
      <c r="BM180" s="19">
        <f t="shared" si="180"/>
        <v>45680.875</v>
      </c>
      <c r="BN180" s="19">
        <f t="shared" si="180"/>
        <v>45680.89583</v>
      </c>
      <c r="BO180" s="19">
        <f t="shared" si="180"/>
        <v>45680.91667</v>
      </c>
      <c r="BP180" s="19">
        <f t="shared" si="180"/>
        <v>45680.9375</v>
      </c>
      <c r="BQ180" s="19">
        <f t="shared" si="180"/>
        <v>45680.95833</v>
      </c>
      <c r="BR180" s="19">
        <f t="shared" si="180"/>
        <v>45680.97917</v>
      </c>
      <c r="BS180" s="19">
        <f t="shared" si="180"/>
        <v>45681</v>
      </c>
      <c r="BT180" s="19">
        <f t="shared" si="180"/>
        <v>45681.02083</v>
      </c>
      <c r="BU180" s="19">
        <f t="shared" si="180"/>
        <v>45681.04167</v>
      </c>
      <c r="BV180" s="19">
        <f t="shared" si="180"/>
        <v>45681.0625</v>
      </c>
      <c r="BW180" s="19">
        <f t="shared" si="180"/>
        <v>45681.08333</v>
      </c>
      <c r="BX180" s="19">
        <f t="shared" si="180"/>
        <v>45680</v>
      </c>
      <c r="BY180" s="19">
        <f t="shared" si="180"/>
        <v>45680</v>
      </c>
      <c r="BZ180" s="19">
        <f t="shared" si="180"/>
        <v>45680</v>
      </c>
    </row>
    <row r="181" ht="14.25" customHeight="1">
      <c r="A181" s="17">
        <v>45681.0</v>
      </c>
      <c r="B181" s="2" t="str">
        <f t="array" ref="B181">IF(NOW()&gt;AM181,"",IF(AND((WEEKDAY($A181)+$B$2)&gt;1,((WEEKDAY($A181)+$T$2)&lt;7),(WEEKDAY($A181)&lt;&gt;1)),"work",(INDEX(Subject!$A:$I,MATCH(RANDBETWEEN(1,(MAX(Subject!$B:$B))),Subject!$B:$B,0),3))))</f>
        <v/>
      </c>
      <c r="C181" s="2" t="str">
        <f t="array" ref="C181">IF(NOW()&gt;AN181,"",IF(AND((WEEKDAY($A181)+$B$2)&gt;1,((WEEKDAY($A181)+$T$2)&lt;7),(WEEKDAY($A181)&lt;&gt;1)),"work",(INDEX(Subject!$A:$I,MATCH(RANDBETWEEN(1,(MAX(Subject!$B:$B))),Subject!$B:$B,0),3))))</f>
        <v/>
      </c>
      <c r="D181" s="2" t="str">
        <f t="array" ref="D181">IF(NOW()&gt;AO181,"",IF(AND((WEEKDAY($A181)+$B$2)&gt;1,((WEEKDAY($A181)+$T$2)&lt;7),(WEEKDAY($A181)&lt;&gt;1)),"work",(INDEX(Subject!$A:$I,MATCH(RANDBETWEEN(1,(MAX(Subject!$B:$B))),Subject!$B:$B,0),3))))</f>
        <v/>
      </c>
      <c r="E181" s="2" t="str">
        <f t="array" ref="E181">IF(NOW()&gt;AP181,"",IF(AND((WEEKDAY($A181)+$B$2)&gt;1,((WEEKDAY($A181)+$T$2)&lt;7),(WEEKDAY($A181)&lt;&gt;1)),"work",(INDEX(Subject!$A:$I,MATCH(RANDBETWEEN(1,(MAX(Subject!$B:$B))),Subject!$B:$B,0),3))))</f>
        <v/>
      </c>
      <c r="F181" s="2" t="str">
        <f t="array" ref="F181">IF(NOW()&gt;AQ181,"",IF(AND((WEEKDAY($A181)+$B$2)&gt;1,((WEEKDAY($A181)+$T$2)&lt;7),(WEEKDAY($A181)&lt;&gt;1)),"work",(INDEX(Subject!$A:$I,MATCH(RANDBETWEEN(1,(MAX(Subject!$B:$B))),Subject!$B:$B,0),3))))</f>
        <v/>
      </c>
      <c r="G181" s="2" t="str">
        <f t="array" ref="G181">IF(NOW()&gt;AR181,"",IF(AND((WEEKDAY($A181)+$B$2)&gt;1,((WEEKDAY($A181)+$T$2)&lt;7),(WEEKDAY($A181)&lt;&gt;1)),"work",(INDEX(Subject!$A:$I,MATCH(RANDBETWEEN(1,(MAX(Subject!$B:$B))),Subject!$B:$B,0),3))))</f>
        <v/>
      </c>
      <c r="H181" s="2" t="str">
        <f t="array" ref="H181">IF(NOW()&gt;AS181,"",IF(AND((WEEKDAY($A181)+$B$2)&gt;1,((WEEKDAY($A181)+$T$2)&lt;7),(WEEKDAY($A181)&lt;&gt;1)),"work",(INDEX(Subject!$A:$I,MATCH(RANDBETWEEN(1,(MAX(Subject!$B:$B))),Subject!$B:$B,0),3))))</f>
        <v/>
      </c>
      <c r="I181" s="2" t="str">
        <f t="array" ref="I181">IF(NOW()&gt;AT181,"",IF(AND((WEEKDAY($A181)+$B$2)&gt;1,((WEEKDAY($A181)+$T$2)&lt;7),(WEEKDAY($A181)&lt;&gt;1)),"work",(INDEX(Subject!$A:$I,MATCH(RANDBETWEEN(1,(MAX(Subject!$B:$B))),Subject!$B:$B,0),3))))</f>
        <v/>
      </c>
      <c r="J181" s="2" t="str">
        <f t="array" ref="J181">IF(NOW()&gt;AU181,"",IF(AND((WEEKDAY($A181)+$B$2)&gt;1,((WEEKDAY($A181)+$T$2)&lt;7),(WEEKDAY($A181)&lt;&gt;1)),"work",(INDEX(Subject!$A:$I,MATCH(RANDBETWEEN(1,(MAX(Subject!$B:$B))),Subject!$B:$B,0),3))))</f>
        <v/>
      </c>
      <c r="K181" s="2" t="str">
        <f t="array" ref="K181">IF(NOW()&gt;AV181,"",IF(AND((WEEKDAY($A181)+$B$2)&gt;1,((WEEKDAY($A181)+$T$2)&lt;7),(WEEKDAY($A181)&lt;&gt;1)),"work",(INDEX(Subject!$A:$I,MATCH(RANDBETWEEN(1,(MAX(Subject!$B:$B))),Subject!$B:$B,0),3))))</f>
        <v/>
      </c>
      <c r="L181" s="2" t="str">
        <f t="array" ref="L181">IF(NOW()&gt;AW181,"",IF(AND((WEEKDAY($A181)+$B$2)&gt;1,((WEEKDAY($A181)+$T$2)&lt;7),(WEEKDAY($A181)&lt;&gt;1)),"work",(INDEX(Subject!$A:$I,MATCH(RANDBETWEEN(1,(MAX(Subject!$B:$B))),Subject!$B:$B,0),3))))</f>
        <v/>
      </c>
      <c r="M181" s="2" t="str">
        <f t="array" ref="M181">IF(NOW()&gt;AX181,"",IF(AND((WEEKDAY($A181)+$B$2)&gt;1,((WEEKDAY($A181)+$T$2)&lt;7),(WEEKDAY($A181)&lt;&gt;1)),"work",(INDEX(Subject!$A:$I,MATCH(RANDBETWEEN(1,(MAX(Subject!$B:$B))),Subject!$B:$B,0),3))))</f>
        <v/>
      </c>
      <c r="N181" s="2" t="str">
        <f t="array" ref="N181">IF(NOW()&gt;AY181,"",IF(AND((WEEKDAY($A181)+$B$2)&gt;1,((WEEKDAY($A181)+$T$2)&lt;7),(WEEKDAY($A181)&lt;&gt;1)),"work",(INDEX(Subject!$A:$I,MATCH(RANDBETWEEN(1,(MAX(Subject!$B:$B))),Subject!$B:$B,0),3))))</f>
        <v/>
      </c>
      <c r="O181" s="2" t="str">
        <f t="array" ref="O181">IF(NOW()&gt;AZ181,"",IF(AND((WEEKDAY($A181)+$B$2)&gt;1,((WEEKDAY($A181)+$T$2)&lt;7),(WEEKDAY($A181)&lt;&gt;1)),"work",(INDEX(Subject!$A:$I,MATCH(RANDBETWEEN(1,(MAX(Subject!$B:$B))),Subject!$B:$B,0),3))))</f>
        <v/>
      </c>
      <c r="P181" s="2" t="str">
        <f t="array" ref="P181">IF(NOW()&gt;BA181,"",IF(AND((WEEKDAY($A181)+$B$2)&gt;1,((WEEKDAY($A181)+$T$2)&lt;7),(WEEKDAY($A181)&lt;&gt;1)),"work",(INDEX(Subject!$A:$I,MATCH(RANDBETWEEN(1,(MAX(Subject!$B:$B))),Subject!$B:$B,0),3))))</f>
        <v/>
      </c>
      <c r="Q181" s="2" t="str">
        <f t="array" ref="Q181">IF(NOW()&gt;BB181,"",IF(AND((WEEKDAY($A181)+$B$2)&gt;1,((WEEKDAY($A181)+$T$2)&lt;7),(WEEKDAY($A181)&lt;&gt;1)),"work",(INDEX(Subject!$A:$I,MATCH(RANDBETWEEN(1,(MAX(Subject!$B:$B))),Subject!$B:$B,0),3))))</f>
        <v/>
      </c>
      <c r="R181" s="2" t="str">
        <f t="array" ref="R181">IF(NOW()&gt;BC181,"",IF(AND((WEEKDAY($A181)+$B$2)&gt;1,((WEEKDAY($A181)+$T$2)&lt;7),(WEEKDAY($A181)&lt;&gt;1)),"work",(INDEX(Subject!$A:$I,MATCH(RANDBETWEEN(1,(MAX(Subject!$B:$B))),Subject!$B:$B,0),3))))</f>
        <v/>
      </c>
      <c r="S181" s="2" t="str">
        <f t="array" ref="S181">IF(NOW()&gt;BD181,"",IF(AND((WEEKDAY($A181)+$B$2)&gt;1,((WEEKDAY($A181)+$T$2)&lt;7),(WEEKDAY($A181)&lt;&gt;1)),"work",(INDEX(Subject!$A:$I,MATCH(RANDBETWEEN(1,(MAX(Subject!$B:$B))),Subject!$B:$B,0),3))))</f>
        <v/>
      </c>
      <c r="T181" s="2" t="str">
        <f t="array" ref="T181">IF(NOW()&gt;BE181,"",IF(AND((WEEKDAY($A181)+$B$2)&gt;1,((WEEKDAY($A181)+$T$2)&lt;7),(WEEKDAY($A181)&lt;&gt;1)),"work",(INDEX(Subject!$A:$I,MATCH(RANDBETWEEN(1,(MAX(Subject!$B:$B))),Subject!$B:$B,0),3))))</f>
        <v/>
      </c>
      <c r="U181" s="8" t="str">
        <f t="array" ref="U181">INDEX(Subject!$A:$I,MATCH(RANDBETWEEN(1,16),Subject!$B:$B,0),3)</f>
        <v>#N/A</v>
      </c>
      <c r="V181" s="8" t="str">
        <f t="array" ref="V181">INDEX(Subject!$A:$I,MATCH(RANDBETWEEN(1,16),Subject!$B:$B,0),3)</f>
        <v>#N/A</v>
      </c>
      <c r="W181" s="8" t="str">
        <f t="array" ref="W181">INDEX(Subject!$A:$I,MATCH(RANDBETWEEN(1,16),Subject!$B:$B,0),3)</f>
        <v>#N/A</v>
      </c>
      <c r="X181" s="8" t="str">
        <f t="array" ref="X181">INDEX(Subject!$A:$I,MATCH(RANDBETWEEN(1,16),Subject!$B:$B,0),3)</f>
        <v>#N/A</v>
      </c>
      <c r="Y181" s="8" t="str">
        <f t="array" ref="Y181">INDEX(Subject!$A:$I,MATCH(RANDBETWEEN(1,16),Subject!$B:$B,0),3)</f>
        <v>#N/A</v>
      </c>
      <c r="Z181" s="8" t="str">
        <f t="array" ref="Z181">INDEX(Subject!$A:$I,MATCH(RANDBETWEEN(1,16),Subject!$B:$B,0),3)</f>
        <v>#N/A</v>
      </c>
      <c r="AA181" s="8" t="str">
        <f t="array" ref="AA181">INDEX(Subject!$A:$I,MATCH(RANDBETWEEN(1,16),Subject!$B:$B,0),3)</f>
        <v>#N/A</v>
      </c>
      <c r="AB181" s="8" t="str">
        <f t="array" ref="AB181">INDEX(Subject!$A:$I,MATCH(RANDBETWEEN(1,16),Subject!$B:$B,0),3)</f>
        <v>#N/A</v>
      </c>
      <c r="AC181" s="8" t="str">
        <f t="array" ref="AC181">INDEX(Subject!$A:$I,MATCH(RANDBETWEEN(1,16),Subject!$B:$B,0),3)</f>
        <v>#N/A</v>
      </c>
      <c r="AD181" s="8" t="str">
        <f t="array" ref="AD181">INDEX(Subject!$A:$I,MATCH(RANDBETWEEN(1,16),Subject!$B:$B,0),3)</f>
        <v>#N/A</v>
      </c>
      <c r="AE181" s="8" t="str">
        <f t="array" ref="AE181">INDEX(Subject!$A:$I,MATCH(RANDBETWEEN(1,16),Subject!$B:$B,0),3)</f>
        <v>#N/A</v>
      </c>
      <c r="AF181" s="8" t="str">
        <f t="array" ref="AF181">INDEX(Subject!$A:$I,MATCH(RANDBETWEEN(1,16),Subject!$B:$B,0),3)</f>
        <v>#N/A</v>
      </c>
      <c r="AG181" s="8" t="str">
        <f t="array" ref="AG181">INDEX(Subject!$A:$I,MATCH(RANDBETWEEN(1,16),Subject!$B:$B,0),3)</f>
        <v>#N/A</v>
      </c>
      <c r="AH181" s="8" t="str">
        <f t="array" ref="AH181">INDEX(Subject!$A:$I,MATCH(RANDBETWEEN(1,16),Subject!$B:$B,0),3)</f>
        <v/>
      </c>
      <c r="AI181" s="8" t="str">
        <f t="array" ref="AI181">INDEX(Subject!$A:$I,MATCH(RANDBETWEEN(1,16),Subject!$B:$B,0),3)</f>
        <v>#N/A</v>
      </c>
      <c r="AJ181" s="8" t="str">
        <f t="array" ref="AJ181">INDEX(Subject!$A:$I,MATCH(RANDBETWEEN(1,16),Subject!$B:$B,0),3)</f>
        <v>#N/A</v>
      </c>
      <c r="AK181" s="8" t="str">
        <f t="array" ref="AK181">INDEX(Subject!$A:$I,MATCH(RANDBETWEEN(1,16),Subject!$B:$B,0),3)</f>
        <v>#N/A</v>
      </c>
      <c r="AL181" s="8" t="str">
        <f t="array" ref="AL181">INDEX(Subject!$A:$I,MATCH(RANDBETWEEN(1,16),Subject!$B:$B,0),3)</f>
        <v>#N/A</v>
      </c>
      <c r="AM181" s="18">
        <f t="shared" si="4"/>
        <v>45681.33333</v>
      </c>
      <c r="AN181" s="19">
        <f t="shared" ref="AN181:BZ181" si="181">$A181+C$1</f>
        <v>45681.35417</v>
      </c>
      <c r="AO181" s="19">
        <f t="shared" si="181"/>
        <v>45681.375</v>
      </c>
      <c r="AP181" s="19">
        <f t="shared" si="181"/>
        <v>45681.39583</v>
      </c>
      <c r="AQ181" s="19">
        <f t="shared" si="181"/>
        <v>45681.41667</v>
      </c>
      <c r="AR181" s="19">
        <f t="shared" si="181"/>
        <v>45681.4375</v>
      </c>
      <c r="AS181" s="19">
        <f t="shared" si="181"/>
        <v>45681.45833</v>
      </c>
      <c r="AT181" s="19">
        <f t="shared" si="181"/>
        <v>45681.47917</v>
      </c>
      <c r="AU181" s="19">
        <f t="shared" si="181"/>
        <v>45681.5</v>
      </c>
      <c r="AV181" s="19">
        <f t="shared" si="181"/>
        <v>45681.52083</v>
      </c>
      <c r="AW181" s="19">
        <f t="shared" si="181"/>
        <v>45681.54167</v>
      </c>
      <c r="AX181" s="19">
        <f t="shared" si="181"/>
        <v>45681.5625</v>
      </c>
      <c r="AY181" s="19">
        <f t="shared" si="181"/>
        <v>45681.58333</v>
      </c>
      <c r="AZ181" s="19">
        <f t="shared" si="181"/>
        <v>45681.60417</v>
      </c>
      <c r="BA181" s="19">
        <f t="shared" si="181"/>
        <v>45681.625</v>
      </c>
      <c r="BB181" s="19">
        <f t="shared" si="181"/>
        <v>45681.64583</v>
      </c>
      <c r="BC181" s="19">
        <f t="shared" si="181"/>
        <v>45681.66667</v>
      </c>
      <c r="BD181" s="19">
        <f t="shared" si="181"/>
        <v>45681.6875</v>
      </c>
      <c r="BE181" s="19">
        <f t="shared" si="181"/>
        <v>45681.70833</v>
      </c>
      <c r="BF181" s="19">
        <f t="shared" si="181"/>
        <v>45681.72917</v>
      </c>
      <c r="BG181" s="19">
        <f t="shared" si="181"/>
        <v>45681.75</v>
      </c>
      <c r="BH181" s="19">
        <f t="shared" si="181"/>
        <v>45681.77083</v>
      </c>
      <c r="BI181" s="19">
        <f t="shared" si="181"/>
        <v>45681.79167</v>
      </c>
      <c r="BJ181" s="19">
        <f t="shared" si="181"/>
        <v>45681.8125</v>
      </c>
      <c r="BK181" s="19">
        <f t="shared" si="181"/>
        <v>45681.83333</v>
      </c>
      <c r="BL181" s="19">
        <f t="shared" si="181"/>
        <v>45681.85417</v>
      </c>
      <c r="BM181" s="19">
        <f t="shared" si="181"/>
        <v>45681.875</v>
      </c>
      <c r="BN181" s="19">
        <f t="shared" si="181"/>
        <v>45681.89583</v>
      </c>
      <c r="BO181" s="19">
        <f t="shared" si="181"/>
        <v>45681.91667</v>
      </c>
      <c r="BP181" s="19">
        <f t="shared" si="181"/>
        <v>45681.9375</v>
      </c>
      <c r="BQ181" s="19">
        <f t="shared" si="181"/>
        <v>45681.95833</v>
      </c>
      <c r="BR181" s="19">
        <f t="shared" si="181"/>
        <v>45681.97917</v>
      </c>
      <c r="BS181" s="19">
        <f t="shared" si="181"/>
        <v>45682</v>
      </c>
      <c r="BT181" s="19">
        <f t="shared" si="181"/>
        <v>45682.02083</v>
      </c>
      <c r="BU181" s="19">
        <f t="shared" si="181"/>
        <v>45682.04167</v>
      </c>
      <c r="BV181" s="19">
        <f t="shared" si="181"/>
        <v>45682.0625</v>
      </c>
      <c r="BW181" s="19">
        <f t="shared" si="181"/>
        <v>45682.08333</v>
      </c>
      <c r="BX181" s="19">
        <f t="shared" si="181"/>
        <v>45681</v>
      </c>
      <c r="BY181" s="19">
        <f t="shared" si="181"/>
        <v>45681</v>
      </c>
      <c r="BZ181" s="19">
        <f t="shared" si="181"/>
        <v>45681</v>
      </c>
    </row>
    <row r="182" ht="14.25" customHeight="1">
      <c r="A182" s="17">
        <v>45682.0</v>
      </c>
      <c r="B182" s="2" t="str">
        <f t="array" ref="B182">IF(NOW()&gt;AM182,"",IF(AND((WEEKDAY($A182)+$B$2)&gt;1,((WEEKDAY($A182)+$T$2)&lt;7),(WEEKDAY($A182)&lt;&gt;1)),"work",(INDEX(Subject!$A:$I,MATCH(RANDBETWEEN(1,(MAX(Subject!$B:$B))),Subject!$B:$B,0),3))))</f>
        <v/>
      </c>
      <c r="C182" s="2" t="str">
        <f t="array" ref="C182">IF(NOW()&gt;AN182,"",IF(AND((WEEKDAY($A182)+$B$2)&gt;1,((WEEKDAY($A182)+$T$2)&lt;7),(WEEKDAY($A182)&lt;&gt;1)),"work",(INDEX(Subject!$A:$I,MATCH(RANDBETWEEN(1,(MAX(Subject!$B:$B))),Subject!$B:$B,0),3))))</f>
        <v/>
      </c>
      <c r="D182" s="2" t="str">
        <f t="array" ref="D182">IF(NOW()&gt;AO182,"",IF(AND((WEEKDAY($A182)+$B$2)&gt;1,((WEEKDAY($A182)+$T$2)&lt;7),(WEEKDAY($A182)&lt;&gt;1)),"work",(INDEX(Subject!$A:$I,MATCH(RANDBETWEEN(1,(MAX(Subject!$B:$B))),Subject!$B:$B,0),3))))</f>
        <v/>
      </c>
      <c r="E182" s="2" t="str">
        <f t="array" ref="E182">IF(NOW()&gt;AP182,"",IF(AND((WEEKDAY($A182)+$B$2)&gt;1,((WEEKDAY($A182)+$T$2)&lt;7),(WEEKDAY($A182)&lt;&gt;1)),"work",(INDEX(Subject!$A:$I,MATCH(RANDBETWEEN(1,(MAX(Subject!$B:$B))),Subject!$B:$B,0),3))))</f>
        <v/>
      </c>
      <c r="F182" s="2" t="str">
        <f t="array" ref="F182">IF(NOW()&gt;AQ182,"",IF(AND((WEEKDAY($A182)+$B$2)&gt;1,((WEEKDAY($A182)+$T$2)&lt;7),(WEEKDAY($A182)&lt;&gt;1)),"work",(INDEX(Subject!$A:$I,MATCH(RANDBETWEEN(1,(MAX(Subject!$B:$B))),Subject!$B:$B,0),3))))</f>
        <v/>
      </c>
      <c r="G182" s="2" t="str">
        <f t="array" ref="G182">IF(NOW()&gt;AR182,"",IF(AND((WEEKDAY($A182)+$B$2)&gt;1,((WEEKDAY($A182)+$T$2)&lt;7),(WEEKDAY($A182)&lt;&gt;1)),"work",(INDEX(Subject!$A:$I,MATCH(RANDBETWEEN(1,(MAX(Subject!$B:$B))),Subject!$B:$B,0),3))))</f>
        <v/>
      </c>
      <c r="H182" s="2" t="str">
        <f t="array" ref="H182">IF(NOW()&gt;AS182,"",IF(AND((WEEKDAY($A182)+$B$2)&gt;1,((WEEKDAY($A182)+$T$2)&lt;7),(WEEKDAY($A182)&lt;&gt;1)),"work",(INDEX(Subject!$A:$I,MATCH(RANDBETWEEN(1,(MAX(Subject!$B:$B))),Subject!$B:$B,0),3))))</f>
        <v/>
      </c>
      <c r="I182" s="2" t="str">
        <f t="array" ref="I182">IF(NOW()&gt;AT182,"",IF(AND((WEEKDAY($A182)+$B$2)&gt;1,((WEEKDAY($A182)+$T$2)&lt;7),(WEEKDAY($A182)&lt;&gt;1)),"work",(INDEX(Subject!$A:$I,MATCH(RANDBETWEEN(1,(MAX(Subject!$B:$B))),Subject!$B:$B,0),3))))</f>
        <v/>
      </c>
      <c r="J182" s="2" t="str">
        <f t="array" ref="J182">IF(NOW()&gt;AU182,"",IF(AND((WEEKDAY($A182)+$B$2)&gt;1,((WEEKDAY($A182)+$T$2)&lt;7),(WEEKDAY($A182)&lt;&gt;1)),"work",(INDEX(Subject!$A:$I,MATCH(RANDBETWEEN(1,(MAX(Subject!$B:$B))),Subject!$B:$B,0),3))))</f>
        <v/>
      </c>
      <c r="K182" s="2" t="str">
        <f t="array" ref="K182">IF(NOW()&gt;AV182,"",IF(AND((WEEKDAY($A182)+$B$2)&gt;1,((WEEKDAY($A182)+$T$2)&lt;7),(WEEKDAY($A182)&lt;&gt;1)),"work",(INDEX(Subject!$A:$I,MATCH(RANDBETWEEN(1,(MAX(Subject!$B:$B))),Subject!$B:$B,0),3))))</f>
        <v/>
      </c>
      <c r="L182" s="2" t="str">
        <f t="array" ref="L182">IF(NOW()&gt;AW182,"",IF(AND((WEEKDAY($A182)+$B$2)&gt;1,((WEEKDAY($A182)+$T$2)&lt;7),(WEEKDAY($A182)&lt;&gt;1)),"work",(INDEX(Subject!$A:$I,MATCH(RANDBETWEEN(1,(MAX(Subject!$B:$B))),Subject!$B:$B,0),3))))</f>
        <v/>
      </c>
      <c r="M182" s="2" t="str">
        <f t="array" ref="M182">IF(NOW()&gt;AX182,"",IF(AND((WEEKDAY($A182)+$B$2)&gt;1,((WEEKDAY($A182)+$T$2)&lt;7),(WEEKDAY($A182)&lt;&gt;1)),"work",(INDEX(Subject!$A:$I,MATCH(RANDBETWEEN(1,(MAX(Subject!$B:$B))),Subject!$B:$B,0),3))))</f>
        <v/>
      </c>
      <c r="N182" s="2" t="str">
        <f t="array" ref="N182">IF(NOW()&gt;AY182,"",IF(AND((WEEKDAY($A182)+$B$2)&gt;1,((WEEKDAY($A182)+$T$2)&lt;7),(WEEKDAY($A182)&lt;&gt;1)),"work",(INDEX(Subject!$A:$I,MATCH(RANDBETWEEN(1,(MAX(Subject!$B:$B))),Subject!$B:$B,0),3))))</f>
        <v/>
      </c>
      <c r="O182" s="2" t="str">
        <f t="array" ref="O182">IF(NOW()&gt;AZ182,"",IF(AND((WEEKDAY($A182)+$B$2)&gt;1,((WEEKDAY($A182)+$T$2)&lt;7),(WEEKDAY($A182)&lt;&gt;1)),"work",(INDEX(Subject!$A:$I,MATCH(RANDBETWEEN(1,(MAX(Subject!$B:$B))),Subject!$B:$B,0),3))))</f>
        <v/>
      </c>
      <c r="P182" s="2" t="str">
        <f t="array" ref="P182">IF(NOW()&gt;BA182,"",IF(AND((WEEKDAY($A182)+$B$2)&gt;1,((WEEKDAY($A182)+$T$2)&lt;7),(WEEKDAY($A182)&lt;&gt;1)),"work",(INDEX(Subject!$A:$I,MATCH(RANDBETWEEN(1,(MAX(Subject!$B:$B))),Subject!$B:$B,0),3))))</f>
        <v/>
      </c>
      <c r="Q182" s="2" t="str">
        <f t="array" ref="Q182">IF(NOW()&gt;BB182,"",IF(AND((WEEKDAY($A182)+$B$2)&gt;1,((WEEKDAY($A182)+$T$2)&lt;7),(WEEKDAY($A182)&lt;&gt;1)),"work",(INDEX(Subject!$A:$I,MATCH(RANDBETWEEN(1,(MAX(Subject!$B:$B))),Subject!$B:$B,0),3))))</f>
        <v/>
      </c>
      <c r="R182" s="2" t="str">
        <f t="array" ref="R182">IF(NOW()&gt;BC182,"",IF(AND((WEEKDAY($A182)+$B$2)&gt;1,((WEEKDAY($A182)+$T$2)&lt;7),(WEEKDAY($A182)&lt;&gt;1)),"work",(INDEX(Subject!$A:$I,MATCH(RANDBETWEEN(1,(MAX(Subject!$B:$B))),Subject!$B:$B,0),3))))</f>
        <v/>
      </c>
      <c r="S182" s="2" t="str">
        <f t="array" ref="S182">IF(NOW()&gt;BD182,"",IF(AND((WEEKDAY($A182)+$B$2)&gt;1,((WEEKDAY($A182)+$T$2)&lt;7),(WEEKDAY($A182)&lt;&gt;1)),"work",(INDEX(Subject!$A:$I,MATCH(RANDBETWEEN(1,(MAX(Subject!$B:$B))),Subject!$B:$B,0),3))))</f>
        <v/>
      </c>
      <c r="T182" s="2" t="str">
        <f t="array" ref="T182">IF(NOW()&gt;BE182,"",IF(AND((WEEKDAY($A182)+$B$2)&gt;1,((WEEKDAY($A182)+$T$2)&lt;7),(WEEKDAY($A182)&lt;&gt;1)),"work",(INDEX(Subject!$A:$I,MATCH(RANDBETWEEN(1,(MAX(Subject!$B:$B))),Subject!$B:$B,0),3))))</f>
        <v/>
      </c>
      <c r="U182" s="8" t="str">
        <f t="array" ref="U182">INDEX(Subject!$A:$I,MATCH(RANDBETWEEN(1,16),Subject!$B:$B,0),3)</f>
        <v/>
      </c>
      <c r="V182" s="8" t="str">
        <f t="array" ref="V182">INDEX(Subject!$A:$I,MATCH(RANDBETWEEN(1,16),Subject!$B:$B,0),3)</f>
        <v>#N/A</v>
      </c>
      <c r="W182" s="8" t="str">
        <f t="array" ref="W182">INDEX(Subject!$A:$I,MATCH(RANDBETWEEN(1,16),Subject!$B:$B,0),3)</f>
        <v>#N/A</v>
      </c>
      <c r="X182" s="8" t="str">
        <f t="array" ref="X182">INDEX(Subject!$A:$I,MATCH(RANDBETWEEN(1,16),Subject!$B:$B,0),3)</f>
        <v>#N/A</v>
      </c>
      <c r="Y182" s="8" t="str">
        <f t="array" ref="Y182">INDEX(Subject!$A:$I,MATCH(RANDBETWEEN(1,16),Subject!$B:$B,0),3)</f>
        <v>#N/A</v>
      </c>
      <c r="Z182" s="8" t="str">
        <f t="array" ref="Z182">INDEX(Subject!$A:$I,MATCH(RANDBETWEEN(1,16),Subject!$B:$B,0),3)</f>
        <v>#N/A</v>
      </c>
      <c r="AA182" s="8" t="str">
        <f t="array" ref="AA182">INDEX(Subject!$A:$I,MATCH(RANDBETWEEN(1,16),Subject!$B:$B,0),3)</f>
        <v/>
      </c>
      <c r="AB182" s="8" t="str">
        <f t="array" ref="AB182">INDEX(Subject!$A:$I,MATCH(RANDBETWEEN(1,16),Subject!$B:$B,0),3)</f>
        <v>#N/A</v>
      </c>
      <c r="AC182" s="8" t="str">
        <f t="array" ref="AC182">INDEX(Subject!$A:$I,MATCH(RANDBETWEEN(1,16),Subject!$B:$B,0),3)</f>
        <v>#N/A</v>
      </c>
      <c r="AD182" s="8" t="str">
        <f t="array" ref="AD182">INDEX(Subject!$A:$I,MATCH(RANDBETWEEN(1,16),Subject!$B:$B,0),3)</f>
        <v>#N/A</v>
      </c>
      <c r="AE182" s="8" t="str">
        <f t="array" ref="AE182">INDEX(Subject!$A:$I,MATCH(RANDBETWEEN(1,16),Subject!$B:$B,0),3)</f>
        <v>#N/A</v>
      </c>
      <c r="AF182" s="8" t="str">
        <f t="array" ref="AF182">INDEX(Subject!$A:$I,MATCH(RANDBETWEEN(1,16),Subject!$B:$B,0),3)</f>
        <v/>
      </c>
      <c r="AG182" s="8" t="str">
        <f t="array" ref="AG182">INDEX(Subject!$A:$I,MATCH(RANDBETWEEN(1,16),Subject!$B:$B,0),3)</f>
        <v>#N/A</v>
      </c>
      <c r="AH182" s="8" t="str">
        <f t="array" ref="AH182">INDEX(Subject!$A:$I,MATCH(RANDBETWEEN(1,16),Subject!$B:$B,0),3)</f>
        <v>#N/A</v>
      </c>
      <c r="AI182" s="8" t="str">
        <f t="array" ref="AI182">INDEX(Subject!$A:$I,MATCH(RANDBETWEEN(1,16),Subject!$B:$B,0),3)</f>
        <v>#N/A</v>
      </c>
      <c r="AJ182" s="8" t="str">
        <f t="array" ref="AJ182">INDEX(Subject!$A:$I,MATCH(RANDBETWEEN(1,16),Subject!$B:$B,0),3)</f>
        <v>#N/A</v>
      </c>
      <c r="AK182" s="8" t="str">
        <f t="array" ref="AK182">INDEX(Subject!$A:$I,MATCH(RANDBETWEEN(1,16),Subject!$B:$B,0),3)</f>
        <v>#N/A</v>
      </c>
      <c r="AL182" s="8" t="str">
        <f t="array" ref="AL182">INDEX(Subject!$A:$I,MATCH(RANDBETWEEN(1,16),Subject!$B:$B,0),3)</f>
        <v>#N/A</v>
      </c>
      <c r="AM182" s="18">
        <f t="shared" si="4"/>
        <v>45682.33333</v>
      </c>
      <c r="AN182" s="19">
        <f t="shared" ref="AN182:BZ182" si="182">$A182+C$1</f>
        <v>45682.35417</v>
      </c>
      <c r="AO182" s="19">
        <f t="shared" si="182"/>
        <v>45682.375</v>
      </c>
      <c r="AP182" s="19">
        <f t="shared" si="182"/>
        <v>45682.39583</v>
      </c>
      <c r="AQ182" s="19">
        <f t="shared" si="182"/>
        <v>45682.41667</v>
      </c>
      <c r="AR182" s="19">
        <f t="shared" si="182"/>
        <v>45682.4375</v>
      </c>
      <c r="AS182" s="19">
        <f t="shared" si="182"/>
        <v>45682.45833</v>
      </c>
      <c r="AT182" s="19">
        <f t="shared" si="182"/>
        <v>45682.47917</v>
      </c>
      <c r="AU182" s="19">
        <f t="shared" si="182"/>
        <v>45682.5</v>
      </c>
      <c r="AV182" s="19">
        <f t="shared" si="182"/>
        <v>45682.52083</v>
      </c>
      <c r="AW182" s="19">
        <f t="shared" si="182"/>
        <v>45682.54167</v>
      </c>
      <c r="AX182" s="19">
        <f t="shared" si="182"/>
        <v>45682.5625</v>
      </c>
      <c r="AY182" s="19">
        <f t="shared" si="182"/>
        <v>45682.58333</v>
      </c>
      <c r="AZ182" s="19">
        <f t="shared" si="182"/>
        <v>45682.60417</v>
      </c>
      <c r="BA182" s="19">
        <f t="shared" si="182"/>
        <v>45682.625</v>
      </c>
      <c r="BB182" s="19">
        <f t="shared" si="182"/>
        <v>45682.64583</v>
      </c>
      <c r="BC182" s="19">
        <f t="shared" si="182"/>
        <v>45682.66667</v>
      </c>
      <c r="BD182" s="19">
        <f t="shared" si="182"/>
        <v>45682.6875</v>
      </c>
      <c r="BE182" s="19">
        <f t="shared" si="182"/>
        <v>45682.70833</v>
      </c>
      <c r="BF182" s="19">
        <f t="shared" si="182"/>
        <v>45682.72917</v>
      </c>
      <c r="BG182" s="19">
        <f t="shared" si="182"/>
        <v>45682.75</v>
      </c>
      <c r="BH182" s="19">
        <f t="shared" si="182"/>
        <v>45682.77083</v>
      </c>
      <c r="BI182" s="19">
        <f t="shared" si="182"/>
        <v>45682.79167</v>
      </c>
      <c r="BJ182" s="19">
        <f t="shared" si="182"/>
        <v>45682.8125</v>
      </c>
      <c r="BK182" s="19">
        <f t="shared" si="182"/>
        <v>45682.83333</v>
      </c>
      <c r="BL182" s="19">
        <f t="shared" si="182"/>
        <v>45682.85417</v>
      </c>
      <c r="BM182" s="19">
        <f t="shared" si="182"/>
        <v>45682.875</v>
      </c>
      <c r="BN182" s="19">
        <f t="shared" si="182"/>
        <v>45682.89583</v>
      </c>
      <c r="BO182" s="19">
        <f t="shared" si="182"/>
        <v>45682.91667</v>
      </c>
      <c r="BP182" s="19">
        <f t="shared" si="182"/>
        <v>45682.9375</v>
      </c>
      <c r="BQ182" s="19">
        <f t="shared" si="182"/>
        <v>45682.95833</v>
      </c>
      <c r="BR182" s="19">
        <f t="shared" si="182"/>
        <v>45682.97917</v>
      </c>
      <c r="BS182" s="19">
        <f t="shared" si="182"/>
        <v>45683</v>
      </c>
      <c r="BT182" s="19">
        <f t="shared" si="182"/>
        <v>45683.02083</v>
      </c>
      <c r="BU182" s="19">
        <f t="shared" si="182"/>
        <v>45683.04167</v>
      </c>
      <c r="BV182" s="19">
        <f t="shared" si="182"/>
        <v>45683.0625</v>
      </c>
      <c r="BW182" s="19">
        <f t="shared" si="182"/>
        <v>45683.08333</v>
      </c>
      <c r="BX182" s="19">
        <f t="shared" si="182"/>
        <v>45682</v>
      </c>
      <c r="BY182" s="19">
        <f t="shared" si="182"/>
        <v>45682</v>
      </c>
      <c r="BZ182" s="19">
        <f t="shared" si="182"/>
        <v>45682</v>
      </c>
    </row>
    <row r="183" ht="14.25" customHeight="1">
      <c r="A183" s="17">
        <v>45683.0</v>
      </c>
      <c r="B183" s="2" t="str">
        <f t="array" ref="B183">IF(NOW()&gt;AM183,"",IF(AND((WEEKDAY($A183)+$B$2)&gt;1,((WEEKDAY($A183)+$T$2)&lt;7),(WEEKDAY($A183)&lt;&gt;1)),"work",(INDEX(Subject!$A:$I,MATCH(RANDBETWEEN(1,(MAX(Subject!$B:$B))),Subject!$B:$B,0),3))))</f>
        <v/>
      </c>
      <c r="C183" s="2" t="str">
        <f t="array" ref="C183">IF(NOW()&gt;AN183,"",IF(AND((WEEKDAY($A183)+$B$2)&gt;1,((WEEKDAY($A183)+$T$2)&lt;7),(WEEKDAY($A183)&lt;&gt;1)),"work",(INDEX(Subject!$A:$I,MATCH(RANDBETWEEN(1,(MAX(Subject!$B:$B))),Subject!$B:$B,0),3))))</f>
        <v/>
      </c>
      <c r="D183" s="2" t="str">
        <f t="array" ref="D183">IF(NOW()&gt;AO183,"",IF(AND((WEEKDAY($A183)+$B$2)&gt;1,((WEEKDAY($A183)+$T$2)&lt;7),(WEEKDAY($A183)&lt;&gt;1)),"work",(INDEX(Subject!$A:$I,MATCH(RANDBETWEEN(1,(MAX(Subject!$B:$B))),Subject!$B:$B,0),3))))</f>
        <v/>
      </c>
      <c r="E183" s="2" t="str">
        <f t="array" ref="E183">IF(NOW()&gt;AP183,"",IF(AND((WEEKDAY($A183)+$B$2)&gt;1,((WEEKDAY($A183)+$T$2)&lt;7),(WEEKDAY($A183)&lt;&gt;1)),"work",(INDEX(Subject!$A:$I,MATCH(RANDBETWEEN(1,(MAX(Subject!$B:$B))),Subject!$B:$B,0),3))))</f>
        <v/>
      </c>
      <c r="F183" s="2" t="str">
        <f t="array" ref="F183">IF(NOW()&gt;AQ183,"",IF(AND((WEEKDAY($A183)+$B$2)&gt;1,((WEEKDAY($A183)+$T$2)&lt;7),(WEEKDAY($A183)&lt;&gt;1)),"work",(INDEX(Subject!$A:$I,MATCH(RANDBETWEEN(1,(MAX(Subject!$B:$B))),Subject!$B:$B,0),3))))</f>
        <v/>
      </c>
      <c r="G183" s="2" t="str">
        <f t="array" ref="G183">IF(NOW()&gt;AR183,"",IF(AND((WEEKDAY($A183)+$B$2)&gt;1,((WEEKDAY($A183)+$T$2)&lt;7),(WEEKDAY($A183)&lt;&gt;1)),"work",(INDEX(Subject!$A:$I,MATCH(RANDBETWEEN(1,(MAX(Subject!$B:$B))),Subject!$B:$B,0),3))))</f>
        <v/>
      </c>
      <c r="H183" s="2" t="str">
        <f t="array" ref="H183">IF(NOW()&gt;AS183,"",IF(AND((WEEKDAY($A183)+$B$2)&gt;1,((WEEKDAY($A183)+$T$2)&lt;7),(WEEKDAY($A183)&lt;&gt;1)),"work",(INDEX(Subject!$A:$I,MATCH(RANDBETWEEN(1,(MAX(Subject!$B:$B))),Subject!$B:$B,0),3))))</f>
        <v/>
      </c>
      <c r="I183" s="2" t="str">
        <f t="array" ref="I183">IF(NOW()&gt;AT183,"",IF(AND((WEEKDAY($A183)+$B$2)&gt;1,((WEEKDAY($A183)+$T$2)&lt;7),(WEEKDAY($A183)&lt;&gt;1)),"work",(INDEX(Subject!$A:$I,MATCH(RANDBETWEEN(1,(MAX(Subject!$B:$B))),Subject!$B:$B,0),3))))</f>
        <v/>
      </c>
      <c r="J183" s="2" t="str">
        <f t="array" ref="J183">IF(NOW()&gt;AU183,"",IF(AND((WEEKDAY($A183)+$B$2)&gt;1,((WEEKDAY($A183)+$T$2)&lt;7),(WEEKDAY($A183)&lt;&gt;1)),"work",(INDEX(Subject!$A:$I,MATCH(RANDBETWEEN(1,(MAX(Subject!$B:$B))),Subject!$B:$B,0),3))))</f>
        <v/>
      </c>
      <c r="K183" s="2" t="str">
        <f t="array" ref="K183">IF(NOW()&gt;AV183,"",IF(AND((WEEKDAY($A183)+$B$2)&gt;1,((WEEKDAY($A183)+$T$2)&lt;7),(WEEKDAY($A183)&lt;&gt;1)),"work",(INDEX(Subject!$A:$I,MATCH(RANDBETWEEN(1,(MAX(Subject!$B:$B))),Subject!$B:$B,0),3))))</f>
        <v/>
      </c>
      <c r="L183" s="2" t="str">
        <f t="array" ref="L183">IF(NOW()&gt;AW183,"",IF(AND((WEEKDAY($A183)+$B$2)&gt;1,((WEEKDAY($A183)+$T$2)&lt;7),(WEEKDAY($A183)&lt;&gt;1)),"work",(INDEX(Subject!$A:$I,MATCH(RANDBETWEEN(1,(MAX(Subject!$B:$B))),Subject!$B:$B,0),3))))</f>
        <v/>
      </c>
      <c r="M183" s="2" t="str">
        <f t="array" ref="M183">IF(NOW()&gt;AX183,"",IF(AND((WEEKDAY($A183)+$B$2)&gt;1,((WEEKDAY($A183)+$T$2)&lt;7),(WEEKDAY($A183)&lt;&gt;1)),"work",(INDEX(Subject!$A:$I,MATCH(RANDBETWEEN(1,(MAX(Subject!$B:$B))),Subject!$B:$B,0),3))))</f>
        <v/>
      </c>
      <c r="N183" s="2" t="str">
        <f t="array" ref="N183">IF(NOW()&gt;AY183,"",IF(AND((WEEKDAY($A183)+$B$2)&gt;1,((WEEKDAY($A183)+$T$2)&lt;7),(WEEKDAY($A183)&lt;&gt;1)),"work",(INDEX(Subject!$A:$I,MATCH(RANDBETWEEN(1,(MAX(Subject!$B:$B))),Subject!$B:$B,0),3))))</f>
        <v/>
      </c>
      <c r="O183" s="2" t="str">
        <f t="array" ref="O183">IF(NOW()&gt;AZ183,"",IF(AND((WEEKDAY($A183)+$B$2)&gt;1,((WEEKDAY($A183)+$T$2)&lt;7),(WEEKDAY($A183)&lt;&gt;1)),"work",(INDEX(Subject!$A:$I,MATCH(RANDBETWEEN(1,(MAX(Subject!$B:$B))),Subject!$B:$B,0),3))))</f>
        <v/>
      </c>
      <c r="P183" s="2" t="str">
        <f t="array" ref="P183">IF(NOW()&gt;BA183,"",IF(AND((WEEKDAY($A183)+$B$2)&gt;1,((WEEKDAY($A183)+$T$2)&lt;7),(WEEKDAY($A183)&lt;&gt;1)),"work",(INDEX(Subject!$A:$I,MATCH(RANDBETWEEN(1,(MAX(Subject!$B:$B))),Subject!$B:$B,0),3))))</f>
        <v/>
      </c>
      <c r="Q183" s="2" t="str">
        <f t="array" ref="Q183">IF(NOW()&gt;BB183,"",IF(AND((WEEKDAY($A183)+$B$2)&gt;1,((WEEKDAY($A183)+$T$2)&lt;7),(WEEKDAY($A183)&lt;&gt;1)),"work",(INDEX(Subject!$A:$I,MATCH(RANDBETWEEN(1,(MAX(Subject!$B:$B))),Subject!$B:$B,0),3))))</f>
        <v/>
      </c>
      <c r="R183" s="2" t="str">
        <f t="array" ref="R183">IF(NOW()&gt;BC183,"",IF(AND((WEEKDAY($A183)+$B$2)&gt;1,((WEEKDAY($A183)+$T$2)&lt;7),(WEEKDAY($A183)&lt;&gt;1)),"work",(INDEX(Subject!$A:$I,MATCH(RANDBETWEEN(1,(MAX(Subject!$B:$B))),Subject!$B:$B,0),3))))</f>
        <v/>
      </c>
      <c r="S183" s="2" t="str">
        <f t="array" ref="S183">IF(NOW()&gt;BD183,"",IF(AND((WEEKDAY($A183)+$B$2)&gt;1,((WEEKDAY($A183)+$T$2)&lt;7),(WEEKDAY($A183)&lt;&gt;1)),"work",(INDEX(Subject!$A:$I,MATCH(RANDBETWEEN(1,(MAX(Subject!$B:$B))),Subject!$B:$B,0),3))))</f>
        <v/>
      </c>
      <c r="T183" s="2" t="str">
        <f t="array" ref="T183">IF(NOW()&gt;BE183,"",IF(AND((WEEKDAY($A183)+$B$2)&gt;1,((WEEKDAY($A183)+$T$2)&lt;7),(WEEKDAY($A183)&lt;&gt;1)),"work",(INDEX(Subject!$A:$I,MATCH(RANDBETWEEN(1,(MAX(Subject!$B:$B))),Subject!$B:$B,0),3))))</f>
        <v/>
      </c>
      <c r="U183" s="8" t="str">
        <f t="array" ref="U183">INDEX(Subject!$A:$I,MATCH(RANDBETWEEN(1,16),Subject!$B:$B,0),3)</f>
        <v>#N/A</v>
      </c>
      <c r="V183" s="8" t="str">
        <f t="array" ref="V183">INDEX(Subject!$A:$I,MATCH(RANDBETWEEN(1,16),Subject!$B:$B,0),3)</f>
        <v>#N/A</v>
      </c>
      <c r="W183" s="8" t="str">
        <f t="array" ref="W183">INDEX(Subject!$A:$I,MATCH(RANDBETWEEN(1,16),Subject!$B:$B,0),3)</f>
        <v>#N/A</v>
      </c>
      <c r="X183" s="8" t="str">
        <f t="array" ref="X183">INDEX(Subject!$A:$I,MATCH(RANDBETWEEN(1,16),Subject!$B:$B,0),3)</f>
        <v/>
      </c>
      <c r="Y183" s="8" t="str">
        <f t="array" ref="Y183">INDEX(Subject!$A:$I,MATCH(RANDBETWEEN(1,16),Subject!$B:$B,0),3)</f>
        <v>#N/A</v>
      </c>
      <c r="Z183" s="8" t="str">
        <f t="array" ref="Z183">INDEX(Subject!$A:$I,MATCH(RANDBETWEEN(1,16),Subject!$B:$B,0),3)</f>
        <v>#N/A</v>
      </c>
      <c r="AA183" s="8" t="str">
        <f t="array" ref="AA183">INDEX(Subject!$A:$I,MATCH(RANDBETWEEN(1,16),Subject!$B:$B,0),3)</f>
        <v>#N/A</v>
      </c>
      <c r="AB183" s="8" t="str">
        <f t="array" ref="AB183">INDEX(Subject!$A:$I,MATCH(RANDBETWEEN(1,16),Subject!$B:$B,0),3)</f>
        <v>#N/A</v>
      </c>
      <c r="AC183" s="8" t="str">
        <f t="array" ref="AC183">INDEX(Subject!$A:$I,MATCH(RANDBETWEEN(1,16),Subject!$B:$B,0),3)</f>
        <v>#N/A</v>
      </c>
      <c r="AD183" s="8" t="str">
        <f t="array" ref="AD183">INDEX(Subject!$A:$I,MATCH(RANDBETWEEN(1,16),Subject!$B:$B,0),3)</f>
        <v/>
      </c>
      <c r="AE183" s="8" t="str">
        <f t="array" ref="AE183">INDEX(Subject!$A:$I,MATCH(RANDBETWEEN(1,16),Subject!$B:$B,0),3)</f>
        <v>#N/A</v>
      </c>
      <c r="AF183" s="8" t="str">
        <f t="array" ref="AF183">INDEX(Subject!$A:$I,MATCH(RANDBETWEEN(1,16),Subject!$B:$B,0),3)</f>
        <v>#N/A</v>
      </c>
      <c r="AG183" s="8" t="str">
        <f t="array" ref="AG183">INDEX(Subject!$A:$I,MATCH(RANDBETWEEN(1,16),Subject!$B:$B,0),3)</f>
        <v>#N/A</v>
      </c>
      <c r="AH183" s="8" t="str">
        <f t="array" ref="AH183">INDEX(Subject!$A:$I,MATCH(RANDBETWEEN(1,16),Subject!$B:$B,0),3)</f>
        <v>#N/A</v>
      </c>
      <c r="AI183" s="8" t="str">
        <f t="array" ref="AI183">INDEX(Subject!$A:$I,MATCH(RANDBETWEEN(1,16),Subject!$B:$B,0),3)</f>
        <v>#N/A</v>
      </c>
      <c r="AJ183" s="8" t="str">
        <f t="array" ref="AJ183">INDEX(Subject!$A:$I,MATCH(RANDBETWEEN(1,16),Subject!$B:$B,0),3)</f>
        <v>#N/A</v>
      </c>
      <c r="AK183" s="8" t="str">
        <f t="array" ref="AK183">INDEX(Subject!$A:$I,MATCH(RANDBETWEEN(1,16),Subject!$B:$B,0),3)</f>
        <v>#N/A</v>
      </c>
      <c r="AL183" s="8" t="str">
        <f t="array" ref="AL183">INDEX(Subject!$A:$I,MATCH(RANDBETWEEN(1,16),Subject!$B:$B,0),3)</f>
        <v>#N/A</v>
      </c>
      <c r="AM183" s="18">
        <f t="shared" si="4"/>
        <v>45683.33333</v>
      </c>
      <c r="AN183" s="19">
        <f t="shared" ref="AN183:BZ183" si="183">$A183+C$1</f>
        <v>45683.35417</v>
      </c>
      <c r="AO183" s="19">
        <f t="shared" si="183"/>
        <v>45683.375</v>
      </c>
      <c r="AP183" s="19">
        <f t="shared" si="183"/>
        <v>45683.39583</v>
      </c>
      <c r="AQ183" s="19">
        <f t="shared" si="183"/>
        <v>45683.41667</v>
      </c>
      <c r="AR183" s="19">
        <f t="shared" si="183"/>
        <v>45683.4375</v>
      </c>
      <c r="AS183" s="19">
        <f t="shared" si="183"/>
        <v>45683.45833</v>
      </c>
      <c r="AT183" s="19">
        <f t="shared" si="183"/>
        <v>45683.47917</v>
      </c>
      <c r="AU183" s="19">
        <f t="shared" si="183"/>
        <v>45683.5</v>
      </c>
      <c r="AV183" s="19">
        <f t="shared" si="183"/>
        <v>45683.52083</v>
      </c>
      <c r="AW183" s="19">
        <f t="shared" si="183"/>
        <v>45683.54167</v>
      </c>
      <c r="AX183" s="19">
        <f t="shared" si="183"/>
        <v>45683.5625</v>
      </c>
      <c r="AY183" s="19">
        <f t="shared" si="183"/>
        <v>45683.58333</v>
      </c>
      <c r="AZ183" s="19">
        <f t="shared" si="183"/>
        <v>45683.60417</v>
      </c>
      <c r="BA183" s="19">
        <f t="shared" si="183"/>
        <v>45683.625</v>
      </c>
      <c r="BB183" s="19">
        <f t="shared" si="183"/>
        <v>45683.64583</v>
      </c>
      <c r="BC183" s="19">
        <f t="shared" si="183"/>
        <v>45683.66667</v>
      </c>
      <c r="BD183" s="19">
        <f t="shared" si="183"/>
        <v>45683.6875</v>
      </c>
      <c r="BE183" s="19">
        <f t="shared" si="183"/>
        <v>45683.70833</v>
      </c>
      <c r="BF183" s="19">
        <f t="shared" si="183"/>
        <v>45683.72917</v>
      </c>
      <c r="BG183" s="19">
        <f t="shared" si="183"/>
        <v>45683.75</v>
      </c>
      <c r="BH183" s="19">
        <f t="shared" si="183"/>
        <v>45683.77083</v>
      </c>
      <c r="BI183" s="19">
        <f t="shared" si="183"/>
        <v>45683.79167</v>
      </c>
      <c r="BJ183" s="19">
        <f t="shared" si="183"/>
        <v>45683.8125</v>
      </c>
      <c r="BK183" s="19">
        <f t="shared" si="183"/>
        <v>45683.83333</v>
      </c>
      <c r="BL183" s="19">
        <f t="shared" si="183"/>
        <v>45683.85417</v>
      </c>
      <c r="BM183" s="19">
        <f t="shared" si="183"/>
        <v>45683.875</v>
      </c>
      <c r="BN183" s="19">
        <f t="shared" si="183"/>
        <v>45683.89583</v>
      </c>
      <c r="BO183" s="19">
        <f t="shared" si="183"/>
        <v>45683.91667</v>
      </c>
      <c r="BP183" s="19">
        <f t="shared" si="183"/>
        <v>45683.9375</v>
      </c>
      <c r="BQ183" s="19">
        <f t="shared" si="183"/>
        <v>45683.95833</v>
      </c>
      <c r="BR183" s="19">
        <f t="shared" si="183"/>
        <v>45683.97917</v>
      </c>
      <c r="BS183" s="19">
        <f t="shared" si="183"/>
        <v>45684</v>
      </c>
      <c r="BT183" s="19">
        <f t="shared" si="183"/>
        <v>45684.02083</v>
      </c>
      <c r="BU183" s="19">
        <f t="shared" si="183"/>
        <v>45684.04167</v>
      </c>
      <c r="BV183" s="19">
        <f t="shared" si="183"/>
        <v>45684.0625</v>
      </c>
      <c r="BW183" s="19">
        <f t="shared" si="183"/>
        <v>45684.08333</v>
      </c>
      <c r="BX183" s="19">
        <f t="shared" si="183"/>
        <v>45683</v>
      </c>
      <c r="BY183" s="19">
        <f t="shared" si="183"/>
        <v>45683</v>
      </c>
      <c r="BZ183" s="19">
        <f t="shared" si="183"/>
        <v>45683</v>
      </c>
    </row>
    <row r="184" ht="14.25" customHeight="1">
      <c r="A184" s="17">
        <v>45684.0</v>
      </c>
      <c r="B184" s="2" t="str">
        <f t="array" ref="B184">IF(NOW()&gt;AM184,"",IF(AND((WEEKDAY($A184)+$B$2)&gt;1,((WEEKDAY($A184)+$T$2)&lt;7),(WEEKDAY($A184)&lt;&gt;1)),"work",(INDEX(Subject!$A:$I,MATCH(RANDBETWEEN(1,(MAX(Subject!$B:$B))),Subject!$B:$B,0),3))))</f>
        <v/>
      </c>
      <c r="C184" s="2" t="str">
        <f t="array" ref="C184">IF(NOW()&gt;AN184,"",IF(AND((WEEKDAY($A184)+$B$2)&gt;1,((WEEKDAY($A184)+$T$2)&lt;7),(WEEKDAY($A184)&lt;&gt;1)),"work",(INDEX(Subject!$A:$I,MATCH(RANDBETWEEN(1,(MAX(Subject!$B:$B))),Subject!$B:$B,0),3))))</f>
        <v/>
      </c>
      <c r="D184" s="2" t="str">
        <f t="array" ref="D184">IF(NOW()&gt;AO184,"",IF(AND((WEEKDAY($A184)+$B$2)&gt;1,((WEEKDAY($A184)+$T$2)&lt;7),(WEEKDAY($A184)&lt;&gt;1)),"work",(INDEX(Subject!$A:$I,MATCH(RANDBETWEEN(1,(MAX(Subject!$B:$B))),Subject!$B:$B,0),3))))</f>
        <v/>
      </c>
      <c r="E184" s="2" t="str">
        <f t="array" ref="E184">IF(NOW()&gt;AP184,"",IF(AND((WEEKDAY($A184)+$B$2)&gt;1,((WEEKDAY($A184)+$T$2)&lt;7),(WEEKDAY($A184)&lt;&gt;1)),"work",(INDEX(Subject!$A:$I,MATCH(RANDBETWEEN(1,(MAX(Subject!$B:$B))),Subject!$B:$B,0),3))))</f>
        <v/>
      </c>
      <c r="F184" s="2" t="str">
        <f t="array" ref="F184">IF(NOW()&gt;AQ184,"",IF(AND((WEEKDAY($A184)+$B$2)&gt;1,((WEEKDAY($A184)+$T$2)&lt;7),(WEEKDAY($A184)&lt;&gt;1)),"work",(INDEX(Subject!$A:$I,MATCH(RANDBETWEEN(1,(MAX(Subject!$B:$B))),Subject!$B:$B,0),3))))</f>
        <v/>
      </c>
      <c r="G184" s="2" t="str">
        <f t="array" ref="G184">IF(NOW()&gt;AR184,"",IF(AND((WEEKDAY($A184)+$B$2)&gt;1,((WEEKDAY($A184)+$T$2)&lt;7),(WEEKDAY($A184)&lt;&gt;1)),"work",(INDEX(Subject!$A:$I,MATCH(RANDBETWEEN(1,(MAX(Subject!$B:$B))),Subject!$B:$B,0),3))))</f>
        <v/>
      </c>
      <c r="H184" s="2" t="str">
        <f t="array" ref="H184">IF(NOW()&gt;AS184,"",IF(AND((WEEKDAY($A184)+$B$2)&gt;1,((WEEKDAY($A184)+$T$2)&lt;7),(WEEKDAY($A184)&lt;&gt;1)),"work",(INDEX(Subject!$A:$I,MATCH(RANDBETWEEN(1,(MAX(Subject!$B:$B))),Subject!$B:$B,0),3))))</f>
        <v/>
      </c>
      <c r="I184" s="2" t="str">
        <f t="array" ref="I184">IF(NOW()&gt;AT184,"",IF(AND((WEEKDAY($A184)+$B$2)&gt;1,((WEEKDAY($A184)+$T$2)&lt;7),(WEEKDAY($A184)&lt;&gt;1)),"work",(INDEX(Subject!$A:$I,MATCH(RANDBETWEEN(1,(MAX(Subject!$B:$B))),Subject!$B:$B,0),3))))</f>
        <v/>
      </c>
      <c r="J184" s="2" t="str">
        <f t="array" ref="J184">IF(NOW()&gt;AU184,"",IF(AND((WEEKDAY($A184)+$B$2)&gt;1,((WEEKDAY($A184)+$T$2)&lt;7),(WEEKDAY($A184)&lt;&gt;1)),"work",(INDEX(Subject!$A:$I,MATCH(RANDBETWEEN(1,(MAX(Subject!$B:$B))),Subject!$B:$B,0),3))))</f>
        <v/>
      </c>
      <c r="K184" s="2" t="str">
        <f t="array" ref="K184">IF(NOW()&gt;AV184,"",IF(AND((WEEKDAY($A184)+$B$2)&gt;1,((WEEKDAY($A184)+$T$2)&lt;7),(WEEKDAY($A184)&lt;&gt;1)),"work",(INDEX(Subject!$A:$I,MATCH(RANDBETWEEN(1,(MAX(Subject!$B:$B))),Subject!$B:$B,0),3))))</f>
        <v/>
      </c>
      <c r="L184" s="2" t="str">
        <f t="array" ref="L184">IF(NOW()&gt;AW184,"",IF(AND((WEEKDAY($A184)+$B$2)&gt;1,((WEEKDAY($A184)+$T$2)&lt;7),(WEEKDAY($A184)&lt;&gt;1)),"work",(INDEX(Subject!$A:$I,MATCH(RANDBETWEEN(1,(MAX(Subject!$B:$B))),Subject!$B:$B,0),3))))</f>
        <v/>
      </c>
      <c r="M184" s="2" t="str">
        <f t="array" ref="M184">IF(NOW()&gt;AX184,"",IF(AND((WEEKDAY($A184)+$B$2)&gt;1,((WEEKDAY($A184)+$T$2)&lt;7),(WEEKDAY($A184)&lt;&gt;1)),"work",(INDEX(Subject!$A:$I,MATCH(RANDBETWEEN(1,(MAX(Subject!$B:$B))),Subject!$B:$B,0),3))))</f>
        <v/>
      </c>
      <c r="N184" s="2" t="str">
        <f t="array" ref="N184">IF(NOW()&gt;AY184,"",IF(AND((WEEKDAY($A184)+$B$2)&gt;1,((WEEKDAY($A184)+$T$2)&lt;7),(WEEKDAY($A184)&lt;&gt;1)),"work",(INDEX(Subject!$A:$I,MATCH(RANDBETWEEN(1,(MAX(Subject!$B:$B))),Subject!$B:$B,0),3))))</f>
        <v/>
      </c>
      <c r="O184" s="2" t="str">
        <f t="array" ref="O184">IF(NOW()&gt;AZ184,"",IF(AND((WEEKDAY($A184)+$B$2)&gt;1,((WEEKDAY($A184)+$T$2)&lt;7),(WEEKDAY($A184)&lt;&gt;1)),"work",(INDEX(Subject!$A:$I,MATCH(RANDBETWEEN(1,(MAX(Subject!$B:$B))),Subject!$B:$B,0),3))))</f>
        <v/>
      </c>
      <c r="P184" s="2" t="str">
        <f t="array" ref="P184">IF(NOW()&gt;BA184,"",IF(AND((WEEKDAY($A184)+$B$2)&gt;1,((WEEKDAY($A184)+$T$2)&lt;7),(WEEKDAY($A184)&lt;&gt;1)),"work",(INDEX(Subject!$A:$I,MATCH(RANDBETWEEN(1,(MAX(Subject!$B:$B))),Subject!$B:$B,0),3))))</f>
        <v/>
      </c>
      <c r="Q184" s="2" t="str">
        <f t="array" ref="Q184">IF(NOW()&gt;BB184,"",IF(AND((WEEKDAY($A184)+$B$2)&gt;1,((WEEKDAY($A184)+$T$2)&lt;7),(WEEKDAY($A184)&lt;&gt;1)),"work",(INDEX(Subject!$A:$I,MATCH(RANDBETWEEN(1,(MAX(Subject!$B:$B))),Subject!$B:$B,0),3))))</f>
        <v/>
      </c>
      <c r="R184" s="2" t="str">
        <f t="array" ref="R184">IF(NOW()&gt;BC184,"",IF(AND((WEEKDAY($A184)+$B$2)&gt;1,((WEEKDAY($A184)+$T$2)&lt;7),(WEEKDAY($A184)&lt;&gt;1)),"work",(INDEX(Subject!$A:$I,MATCH(RANDBETWEEN(1,(MAX(Subject!$B:$B))),Subject!$B:$B,0),3))))</f>
        <v/>
      </c>
      <c r="S184" s="2" t="str">
        <f t="array" ref="S184">IF(NOW()&gt;BD184,"",IF(AND((WEEKDAY($A184)+$B$2)&gt;1,((WEEKDAY($A184)+$T$2)&lt;7),(WEEKDAY($A184)&lt;&gt;1)),"work",(INDEX(Subject!$A:$I,MATCH(RANDBETWEEN(1,(MAX(Subject!$B:$B))),Subject!$B:$B,0),3))))</f>
        <v/>
      </c>
      <c r="T184" s="2" t="str">
        <f t="array" ref="T184">IF(NOW()&gt;BE184,"",IF(AND((WEEKDAY($A184)+$B$2)&gt;1,((WEEKDAY($A184)+$T$2)&lt;7),(WEEKDAY($A184)&lt;&gt;1)),"work",(INDEX(Subject!$A:$I,MATCH(RANDBETWEEN(1,(MAX(Subject!$B:$B))),Subject!$B:$B,0),3))))</f>
        <v/>
      </c>
      <c r="U184" s="8" t="str">
        <f t="array" ref="U184">INDEX(Subject!$A:$I,MATCH(RANDBETWEEN(1,16),Subject!$B:$B,0),3)</f>
        <v>#N/A</v>
      </c>
      <c r="V184" s="8" t="str">
        <f t="array" ref="V184">INDEX(Subject!$A:$I,MATCH(RANDBETWEEN(1,16),Subject!$B:$B,0),3)</f>
        <v>#N/A</v>
      </c>
      <c r="W184" s="8" t="str">
        <f t="array" ref="W184">INDEX(Subject!$A:$I,MATCH(RANDBETWEEN(1,16),Subject!$B:$B,0),3)</f>
        <v/>
      </c>
      <c r="X184" s="8" t="str">
        <f t="array" ref="X184">INDEX(Subject!$A:$I,MATCH(RANDBETWEEN(1,16),Subject!$B:$B,0),3)</f>
        <v>#N/A</v>
      </c>
      <c r="Y184" s="8" t="str">
        <f t="array" ref="Y184">INDEX(Subject!$A:$I,MATCH(RANDBETWEEN(1,16),Subject!$B:$B,0),3)</f>
        <v>#N/A</v>
      </c>
      <c r="Z184" s="8" t="str">
        <f t="array" ref="Z184">INDEX(Subject!$A:$I,MATCH(RANDBETWEEN(1,16),Subject!$B:$B,0),3)</f>
        <v>#N/A</v>
      </c>
      <c r="AA184" s="8" t="str">
        <f t="array" ref="AA184">INDEX(Subject!$A:$I,MATCH(RANDBETWEEN(1,16),Subject!$B:$B,0),3)</f>
        <v>#N/A</v>
      </c>
      <c r="AB184" s="8" t="str">
        <f t="array" ref="AB184">INDEX(Subject!$A:$I,MATCH(RANDBETWEEN(1,16),Subject!$B:$B,0),3)</f>
        <v>#N/A</v>
      </c>
      <c r="AC184" s="8" t="str">
        <f t="array" ref="AC184">INDEX(Subject!$A:$I,MATCH(RANDBETWEEN(1,16),Subject!$B:$B,0),3)</f>
        <v>#N/A</v>
      </c>
      <c r="AD184" s="8" t="str">
        <f t="array" ref="AD184">INDEX(Subject!$A:$I,MATCH(RANDBETWEEN(1,16),Subject!$B:$B,0),3)</f>
        <v>#N/A</v>
      </c>
      <c r="AE184" s="8" t="str">
        <f t="array" ref="AE184">INDEX(Subject!$A:$I,MATCH(RANDBETWEEN(1,16),Subject!$B:$B,0),3)</f>
        <v>#N/A</v>
      </c>
      <c r="AF184" s="8" t="str">
        <f t="array" ref="AF184">INDEX(Subject!$A:$I,MATCH(RANDBETWEEN(1,16),Subject!$B:$B,0),3)</f>
        <v>#N/A</v>
      </c>
      <c r="AG184" s="8" t="str">
        <f t="array" ref="AG184">INDEX(Subject!$A:$I,MATCH(RANDBETWEEN(1,16),Subject!$B:$B,0),3)</f>
        <v>#N/A</v>
      </c>
      <c r="AH184" s="8" t="str">
        <f t="array" ref="AH184">INDEX(Subject!$A:$I,MATCH(RANDBETWEEN(1,16),Subject!$B:$B,0),3)</f>
        <v>#N/A</v>
      </c>
      <c r="AI184" s="8" t="str">
        <f t="array" ref="AI184">INDEX(Subject!$A:$I,MATCH(RANDBETWEEN(1,16),Subject!$B:$B,0),3)</f>
        <v>#N/A</v>
      </c>
      <c r="AJ184" s="8" t="str">
        <f t="array" ref="AJ184">INDEX(Subject!$A:$I,MATCH(RANDBETWEEN(1,16),Subject!$B:$B,0),3)</f>
        <v/>
      </c>
      <c r="AK184" s="8" t="str">
        <f t="array" ref="AK184">INDEX(Subject!$A:$I,MATCH(RANDBETWEEN(1,16),Subject!$B:$B,0),3)</f>
        <v>#N/A</v>
      </c>
      <c r="AL184" s="8" t="str">
        <f t="array" ref="AL184">INDEX(Subject!$A:$I,MATCH(RANDBETWEEN(1,16),Subject!$B:$B,0),3)</f>
        <v>#N/A</v>
      </c>
      <c r="AM184" s="18">
        <f t="shared" si="4"/>
        <v>45684.33333</v>
      </c>
      <c r="AN184" s="19">
        <f t="shared" ref="AN184:BZ184" si="184">$A184+C$1</f>
        <v>45684.35417</v>
      </c>
      <c r="AO184" s="19">
        <f t="shared" si="184"/>
        <v>45684.375</v>
      </c>
      <c r="AP184" s="19">
        <f t="shared" si="184"/>
        <v>45684.39583</v>
      </c>
      <c r="AQ184" s="19">
        <f t="shared" si="184"/>
        <v>45684.41667</v>
      </c>
      <c r="AR184" s="19">
        <f t="shared" si="184"/>
        <v>45684.4375</v>
      </c>
      <c r="AS184" s="19">
        <f t="shared" si="184"/>
        <v>45684.45833</v>
      </c>
      <c r="AT184" s="19">
        <f t="shared" si="184"/>
        <v>45684.47917</v>
      </c>
      <c r="AU184" s="19">
        <f t="shared" si="184"/>
        <v>45684.5</v>
      </c>
      <c r="AV184" s="19">
        <f t="shared" si="184"/>
        <v>45684.52083</v>
      </c>
      <c r="AW184" s="19">
        <f t="shared" si="184"/>
        <v>45684.54167</v>
      </c>
      <c r="AX184" s="19">
        <f t="shared" si="184"/>
        <v>45684.5625</v>
      </c>
      <c r="AY184" s="19">
        <f t="shared" si="184"/>
        <v>45684.58333</v>
      </c>
      <c r="AZ184" s="19">
        <f t="shared" si="184"/>
        <v>45684.60417</v>
      </c>
      <c r="BA184" s="19">
        <f t="shared" si="184"/>
        <v>45684.625</v>
      </c>
      <c r="BB184" s="19">
        <f t="shared" si="184"/>
        <v>45684.64583</v>
      </c>
      <c r="BC184" s="19">
        <f t="shared" si="184"/>
        <v>45684.66667</v>
      </c>
      <c r="BD184" s="19">
        <f t="shared" si="184"/>
        <v>45684.6875</v>
      </c>
      <c r="BE184" s="19">
        <f t="shared" si="184"/>
        <v>45684.70833</v>
      </c>
      <c r="BF184" s="19">
        <f t="shared" si="184"/>
        <v>45684.72917</v>
      </c>
      <c r="BG184" s="19">
        <f t="shared" si="184"/>
        <v>45684.75</v>
      </c>
      <c r="BH184" s="19">
        <f t="shared" si="184"/>
        <v>45684.77083</v>
      </c>
      <c r="BI184" s="19">
        <f t="shared" si="184"/>
        <v>45684.79167</v>
      </c>
      <c r="BJ184" s="19">
        <f t="shared" si="184"/>
        <v>45684.8125</v>
      </c>
      <c r="BK184" s="19">
        <f t="shared" si="184"/>
        <v>45684.83333</v>
      </c>
      <c r="BL184" s="19">
        <f t="shared" si="184"/>
        <v>45684.85417</v>
      </c>
      <c r="BM184" s="19">
        <f t="shared" si="184"/>
        <v>45684.875</v>
      </c>
      <c r="BN184" s="19">
        <f t="shared" si="184"/>
        <v>45684.89583</v>
      </c>
      <c r="BO184" s="19">
        <f t="shared" si="184"/>
        <v>45684.91667</v>
      </c>
      <c r="BP184" s="19">
        <f t="shared" si="184"/>
        <v>45684.9375</v>
      </c>
      <c r="BQ184" s="19">
        <f t="shared" si="184"/>
        <v>45684.95833</v>
      </c>
      <c r="BR184" s="19">
        <f t="shared" si="184"/>
        <v>45684.97917</v>
      </c>
      <c r="BS184" s="19">
        <f t="shared" si="184"/>
        <v>45685</v>
      </c>
      <c r="BT184" s="19">
        <f t="shared" si="184"/>
        <v>45685.02083</v>
      </c>
      <c r="BU184" s="19">
        <f t="shared" si="184"/>
        <v>45685.04167</v>
      </c>
      <c r="BV184" s="19">
        <f t="shared" si="184"/>
        <v>45685.0625</v>
      </c>
      <c r="BW184" s="19">
        <f t="shared" si="184"/>
        <v>45685.08333</v>
      </c>
      <c r="BX184" s="19">
        <f t="shared" si="184"/>
        <v>45684</v>
      </c>
      <c r="BY184" s="19">
        <f t="shared" si="184"/>
        <v>45684</v>
      </c>
      <c r="BZ184" s="19">
        <f t="shared" si="184"/>
        <v>45684</v>
      </c>
    </row>
    <row r="185" ht="14.25" customHeight="1">
      <c r="A185" s="17">
        <v>45685.0</v>
      </c>
      <c r="B185" s="2" t="str">
        <f t="array" ref="B185">IF(NOW()&gt;AM185,"",IF(AND((WEEKDAY($A185)+$B$2)&gt;1,((WEEKDAY($A185)+$T$2)&lt;7),(WEEKDAY($A185)&lt;&gt;1)),"work",(INDEX(Subject!$A:$I,MATCH(RANDBETWEEN(1,(MAX(Subject!$B:$B))),Subject!$B:$B,0),3))))</f>
        <v/>
      </c>
      <c r="C185" s="2" t="str">
        <f t="array" ref="C185">IF(NOW()&gt;AN185,"",IF(AND((WEEKDAY($A185)+$B$2)&gt;1,((WEEKDAY($A185)+$T$2)&lt;7),(WEEKDAY($A185)&lt;&gt;1)),"work",(INDEX(Subject!$A:$I,MATCH(RANDBETWEEN(1,(MAX(Subject!$B:$B))),Subject!$B:$B,0),3))))</f>
        <v/>
      </c>
      <c r="D185" s="2" t="str">
        <f t="array" ref="D185">IF(NOW()&gt;AO185,"",IF(AND((WEEKDAY($A185)+$B$2)&gt;1,((WEEKDAY($A185)+$T$2)&lt;7),(WEEKDAY($A185)&lt;&gt;1)),"work",(INDEX(Subject!$A:$I,MATCH(RANDBETWEEN(1,(MAX(Subject!$B:$B))),Subject!$B:$B,0),3))))</f>
        <v/>
      </c>
      <c r="E185" s="2" t="str">
        <f t="array" ref="E185">IF(NOW()&gt;AP185,"",IF(AND((WEEKDAY($A185)+$B$2)&gt;1,((WEEKDAY($A185)+$T$2)&lt;7),(WEEKDAY($A185)&lt;&gt;1)),"work",(INDEX(Subject!$A:$I,MATCH(RANDBETWEEN(1,(MAX(Subject!$B:$B))),Subject!$B:$B,0),3))))</f>
        <v/>
      </c>
      <c r="F185" s="2" t="str">
        <f t="array" ref="F185">IF(NOW()&gt;AQ185,"",IF(AND((WEEKDAY($A185)+$B$2)&gt;1,((WEEKDAY($A185)+$T$2)&lt;7),(WEEKDAY($A185)&lt;&gt;1)),"work",(INDEX(Subject!$A:$I,MATCH(RANDBETWEEN(1,(MAX(Subject!$B:$B))),Subject!$B:$B,0),3))))</f>
        <v/>
      </c>
      <c r="G185" s="2" t="str">
        <f t="array" ref="G185">IF(NOW()&gt;AR185,"",IF(AND((WEEKDAY($A185)+$B$2)&gt;1,((WEEKDAY($A185)+$T$2)&lt;7),(WEEKDAY($A185)&lt;&gt;1)),"work",(INDEX(Subject!$A:$I,MATCH(RANDBETWEEN(1,(MAX(Subject!$B:$B))),Subject!$B:$B,0),3))))</f>
        <v/>
      </c>
      <c r="H185" s="2" t="str">
        <f t="array" ref="H185">IF(NOW()&gt;AS185,"",IF(AND((WEEKDAY($A185)+$B$2)&gt;1,((WEEKDAY($A185)+$T$2)&lt;7),(WEEKDAY($A185)&lt;&gt;1)),"work",(INDEX(Subject!$A:$I,MATCH(RANDBETWEEN(1,(MAX(Subject!$B:$B))),Subject!$B:$B,0),3))))</f>
        <v/>
      </c>
      <c r="I185" s="2" t="str">
        <f t="array" ref="I185">IF(NOW()&gt;AT185,"",IF(AND((WEEKDAY($A185)+$B$2)&gt;1,((WEEKDAY($A185)+$T$2)&lt;7),(WEEKDAY($A185)&lt;&gt;1)),"work",(INDEX(Subject!$A:$I,MATCH(RANDBETWEEN(1,(MAX(Subject!$B:$B))),Subject!$B:$B,0),3))))</f>
        <v/>
      </c>
      <c r="J185" s="2" t="str">
        <f t="array" ref="J185">IF(NOW()&gt;AU185,"",IF(AND((WEEKDAY($A185)+$B$2)&gt;1,((WEEKDAY($A185)+$T$2)&lt;7),(WEEKDAY($A185)&lt;&gt;1)),"work",(INDEX(Subject!$A:$I,MATCH(RANDBETWEEN(1,(MAX(Subject!$B:$B))),Subject!$B:$B,0),3))))</f>
        <v/>
      </c>
      <c r="K185" s="2" t="str">
        <f t="array" ref="K185">IF(NOW()&gt;AV185,"",IF(AND((WEEKDAY($A185)+$B$2)&gt;1,((WEEKDAY($A185)+$T$2)&lt;7),(WEEKDAY($A185)&lt;&gt;1)),"work",(INDEX(Subject!$A:$I,MATCH(RANDBETWEEN(1,(MAX(Subject!$B:$B))),Subject!$B:$B,0),3))))</f>
        <v/>
      </c>
      <c r="L185" s="2" t="str">
        <f t="array" ref="L185">IF(NOW()&gt;AW185,"",IF(AND((WEEKDAY($A185)+$B$2)&gt;1,((WEEKDAY($A185)+$T$2)&lt;7),(WEEKDAY($A185)&lt;&gt;1)),"work",(INDEX(Subject!$A:$I,MATCH(RANDBETWEEN(1,(MAX(Subject!$B:$B))),Subject!$B:$B,0),3))))</f>
        <v/>
      </c>
      <c r="M185" s="2" t="str">
        <f t="array" ref="M185">IF(NOW()&gt;AX185,"",IF(AND((WEEKDAY($A185)+$B$2)&gt;1,((WEEKDAY($A185)+$T$2)&lt;7),(WEEKDAY($A185)&lt;&gt;1)),"work",(INDEX(Subject!$A:$I,MATCH(RANDBETWEEN(1,(MAX(Subject!$B:$B))),Subject!$B:$B,0),3))))</f>
        <v/>
      </c>
      <c r="N185" s="2" t="str">
        <f t="array" ref="N185">IF(NOW()&gt;AY185,"",IF(AND((WEEKDAY($A185)+$B$2)&gt;1,((WEEKDAY($A185)+$T$2)&lt;7),(WEEKDAY($A185)&lt;&gt;1)),"work",(INDEX(Subject!$A:$I,MATCH(RANDBETWEEN(1,(MAX(Subject!$B:$B))),Subject!$B:$B,0),3))))</f>
        <v/>
      </c>
      <c r="O185" s="2" t="str">
        <f t="array" ref="O185">IF(NOW()&gt;AZ185,"",IF(AND((WEEKDAY($A185)+$B$2)&gt;1,((WEEKDAY($A185)+$T$2)&lt;7),(WEEKDAY($A185)&lt;&gt;1)),"work",(INDEX(Subject!$A:$I,MATCH(RANDBETWEEN(1,(MAX(Subject!$B:$B))),Subject!$B:$B,0),3))))</f>
        <v/>
      </c>
      <c r="P185" s="2" t="str">
        <f t="array" ref="P185">IF(NOW()&gt;BA185,"",IF(AND((WEEKDAY($A185)+$B$2)&gt;1,((WEEKDAY($A185)+$T$2)&lt;7),(WEEKDAY($A185)&lt;&gt;1)),"work",(INDEX(Subject!$A:$I,MATCH(RANDBETWEEN(1,(MAX(Subject!$B:$B))),Subject!$B:$B,0),3))))</f>
        <v/>
      </c>
      <c r="Q185" s="2" t="str">
        <f t="array" ref="Q185">IF(NOW()&gt;BB185,"",IF(AND((WEEKDAY($A185)+$B$2)&gt;1,((WEEKDAY($A185)+$T$2)&lt;7),(WEEKDAY($A185)&lt;&gt;1)),"work",(INDEX(Subject!$A:$I,MATCH(RANDBETWEEN(1,(MAX(Subject!$B:$B))),Subject!$B:$B,0),3))))</f>
        <v/>
      </c>
      <c r="R185" s="2" t="str">
        <f t="array" ref="R185">IF(NOW()&gt;BC185,"",IF(AND((WEEKDAY($A185)+$B$2)&gt;1,((WEEKDAY($A185)+$T$2)&lt;7),(WEEKDAY($A185)&lt;&gt;1)),"work",(INDEX(Subject!$A:$I,MATCH(RANDBETWEEN(1,(MAX(Subject!$B:$B))),Subject!$B:$B,0),3))))</f>
        <v/>
      </c>
      <c r="S185" s="2" t="str">
        <f t="array" ref="S185">IF(NOW()&gt;BD185,"",IF(AND((WEEKDAY($A185)+$B$2)&gt;1,((WEEKDAY($A185)+$T$2)&lt;7),(WEEKDAY($A185)&lt;&gt;1)),"work",(INDEX(Subject!$A:$I,MATCH(RANDBETWEEN(1,(MAX(Subject!$B:$B))),Subject!$B:$B,0),3))))</f>
        <v/>
      </c>
      <c r="T185" s="2" t="str">
        <f t="array" ref="T185">IF(NOW()&gt;BE185,"",IF(AND((WEEKDAY($A185)+$B$2)&gt;1,((WEEKDAY($A185)+$T$2)&lt;7),(WEEKDAY($A185)&lt;&gt;1)),"work",(INDEX(Subject!$A:$I,MATCH(RANDBETWEEN(1,(MAX(Subject!$B:$B))),Subject!$B:$B,0),3))))</f>
        <v/>
      </c>
      <c r="U185" s="8" t="str">
        <f t="array" ref="U185">INDEX(Subject!$A:$I,MATCH(RANDBETWEEN(1,16),Subject!$B:$B,0),3)</f>
        <v/>
      </c>
      <c r="V185" s="8" t="str">
        <f t="array" ref="V185">INDEX(Subject!$A:$I,MATCH(RANDBETWEEN(1,16),Subject!$B:$B,0),3)</f>
        <v>#N/A</v>
      </c>
      <c r="W185" s="8" t="str">
        <f t="array" ref="W185">INDEX(Subject!$A:$I,MATCH(RANDBETWEEN(1,16),Subject!$B:$B,0),3)</f>
        <v>#N/A</v>
      </c>
      <c r="X185" s="8" t="str">
        <f t="array" ref="X185">INDEX(Subject!$A:$I,MATCH(RANDBETWEEN(1,16),Subject!$B:$B,0),3)</f>
        <v>#N/A</v>
      </c>
      <c r="Y185" s="8" t="str">
        <f t="array" ref="Y185">INDEX(Subject!$A:$I,MATCH(RANDBETWEEN(1,16),Subject!$B:$B,0),3)</f>
        <v>#N/A</v>
      </c>
      <c r="Z185" s="8" t="str">
        <f t="array" ref="Z185">INDEX(Subject!$A:$I,MATCH(RANDBETWEEN(1,16),Subject!$B:$B,0),3)</f>
        <v>#N/A</v>
      </c>
      <c r="AA185" s="8" t="str">
        <f t="array" ref="AA185">INDEX(Subject!$A:$I,MATCH(RANDBETWEEN(1,16),Subject!$B:$B,0),3)</f>
        <v>#N/A</v>
      </c>
      <c r="AB185" s="8" t="str">
        <f t="array" ref="AB185">INDEX(Subject!$A:$I,MATCH(RANDBETWEEN(1,16),Subject!$B:$B,0),3)</f>
        <v>#N/A</v>
      </c>
      <c r="AC185" s="8" t="str">
        <f t="array" ref="AC185">INDEX(Subject!$A:$I,MATCH(RANDBETWEEN(1,16),Subject!$B:$B,0),3)</f>
        <v>#N/A</v>
      </c>
      <c r="AD185" s="8" t="str">
        <f t="array" ref="AD185">INDEX(Subject!$A:$I,MATCH(RANDBETWEEN(1,16),Subject!$B:$B,0),3)</f>
        <v>#N/A</v>
      </c>
      <c r="AE185" s="8" t="str">
        <f t="array" ref="AE185">INDEX(Subject!$A:$I,MATCH(RANDBETWEEN(1,16),Subject!$B:$B,0),3)</f>
        <v>#N/A</v>
      </c>
      <c r="AF185" s="8" t="str">
        <f t="array" ref="AF185">INDEX(Subject!$A:$I,MATCH(RANDBETWEEN(1,16),Subject!$B:$B,0),3)</f>
        <v>#N/A</v>
      </c>
      <c r="AG185" s="8" t="str">
        <f t="array" ref="AG185">INDEX(Subject!$A:$I,MATCH(RANDBETWEEN(1,16),Subject!$B:$B,0),3)</f>
        <v>#N/A</v>
      </c>
      <c r="AH185" s="8" t="str">
        <f t="array" ref="AH185">INDEX(Subject!$A:$I,MATCH(RANDBETWEEN(1,16),Subject!$B:$B,0),3)</f>
        <v>#N/A</v>
      </c>
      <c r="AI185" s="8" t="str">
        <f t="array" ref="AI185">INDEX(Subject!$A:$I,MATCH(RANDBETWEEN(1,16),Subject!$B:$B,0),3)</f>
        <v>#N/A</v>
      </c>
      <c r="AJ185" s="8" t="str">
        <f t="array" ref="AJ185">INDEX(Subject!$A:$I,MATCH(RANDBETWEEN(1,16),Subject!$B:$B,0),3)</f>
        <v>#N/A</v>
      </c>
      <c r="AK185" s="8" t="str">
        <f t="array" ref="AK185">INDEX(Subject!$A:$I,MATCH(RANDBETWEEN(1,16),Subject!$B:$B,0),3)</f>
        <v>#N/A</v>
      </c>
      <c r="AL185" s="8" t="str">
        <f t="array" ref="AL185">INDEX(Subject!$A:$I,MATCH(RANDBETWEEN(1,16),Subject!$B:$B,0),3)</f>
        <v>#N/A</v>
      </c>
      <c r="AM185" s="18">
        <f t="shared" si="4"/>
        <v>45685.33333</v>
      </c>
      <c r="AN185" s="19">
        <f t="shared" ref="AN185:BZ185" si="185">$A185+C$1</f>
        <v>45685.35417</v>
      </c>
      <c r="AO185" s="19">
        <f t="shared" si="185"/>
        <v>45685.375</v>
      </c>
      <c r="AP185" s="19">
        <f t="shared" si="185"/>
        <v>45685.39583</v>
      </c>
      <c r="AQ185" s="19">
        <f t="shared" si="185"/>
        <v>45685.41667</v>
      </c>
      <c r="AR185" s="19">
        <f t="shared" si="185"/>
        <v>45685.4375</v>
      </c>
      <c r="AS185" s="19">
        <f t="shared" si="185"/>
        <v>45685.45833</v>
      </c>
      <c r="AT185" s="19">
        <f t="shared" si="185"/>
        <v>45685.47917</v>
      </c>
      <c r="AU185" s="19">
        <f t="shared" si="185"/>
        <v>45685.5</v>
      </c>
      <c r="AV185" s="19">
        <f t="shared" si="185"/>
        <v>45685.52083</v>
      </c>
      <c r="AW185" s="19">
        <f t="shared" si="185"/>
        <v>45685.54167</v>
      </c>
      <c r="AX185" s="19">
        <f t="shared" si="185"/>
        <v>45685.5625</v>
      </c>
      <c r="AY185" s="19">
        <f t="shared" si="185"/>
        <v>45685.58333</v>
      </c>
      <c r="AZ185" s="19">
        <f t="shared" si="185"/>
        <v>45685.60417</v>
      </c>
      <c r="BA185" s="19">
        <f t="shared" si="185"/>
        <v>45685.625</v>
      </c>
      <c r="BB185" s="19">
        <f t="shared" si="185"/>
        <v>45685.64583</v>
      </c>
      <c r="BC185" s="19">
        <f t="shared" si="185"/>
        <v>45685.66667</v>
      </c>
      <c r="BD185" s="19">
        <f t="shared" si="185"/>
        <v>45685.6875</v>
      </c>
      <c r="BE185" s="19">
        <f t="shared" si="185"/>
        <v>45685.70833</v>
      </c>
      <c r="BF185" s="19">
        <f t="shared" si="185"/>
        <v>45685.72917</v>
      </c>
      <c r="BG185" s="19">
        <f t="shared" si="185"/>
        <v>45685.75</v>
      </c>
      <c r="BH185" s="19">
        <f t="shared" si="185"/>
        <v>45685.77083</v>
      </c>
      <c r="BI185" s="19">
        <f t="shared" si="185"/>
        <v>45685.79167</v>
      </c>
      <c r="BJ185" s="19">
        <f t="shared" si="185"/>
        <v>45685.8125</v>
      </c>
      <c r="BK185" s="19">
        <f t="shared" si="185"/>
        <v>45685.83333</v>
      </c>
      <c r="BL185" s="19">
        <f t="shared" si="185"/>
        <v>45685.85417</v>
      </c>
      <c r="BM185" s="19">
        <f t="shared" si="185"/>
        <v>45685.875</v>
      </c>
      <c r="BN185" s="19">
        <f t="shared" si="185"/>
        <v>45685.89583</v>
      </c>
      <c r="BO185" s="19">
        <f t="shared" si="185"/>
        <v>45685.91667</v>
      </c>
      <c r="BP185" s="19">
        <f t="shared" si="185"/>
        <v>45685.9375</v>
      </c>
      <c r="BQ185" s="19">
        <f t="shared" si="185"/>
        <v>45685.95833</v>
      </c>
      <c r="BR185" s="19">
        <f t="shared" si="185"/>
        <v>45685.97917</v>
      </c>
      <c r="BS185" s="19">
        <f t="shared" si="185"/>
        <v>45686</v>
      </c>
      <c r="BT185" s="19">
        <f t="shared" si="185"/>
        <v>45686.02083</v>
      </c>
      <c r="BU185" s="19">
        <f t="shared" si="185"/>
        <v>45686.04167</v>
      </c>
      <c r="BV185" s="19">
        <f t="shared" si="185"/>
        <v>45686.0625</v>
      </c>
      <c r="BW185" s="19">
        <f t="shared" si="185"/>
        <v>45686.08333</v>
      </c>
      <c r="BX185" s="19">
        <f t="shared" si="185"/>
        <v>45685</v>
      </c>
      <c r="BY185" s="19">
        <f t="shared" si="185"/>
        <v>45685</v>
      </c>
      <c r="BZ185" s="19">
        <f t="shared" si="185"/>
        <v>45685</v>
      </c>
    </row>
    <row r="186" ht="14.25" customHeight="1">
      <c r="A186" s="17">
        <v>45686.0</v>
      </c>
      <c r="B186" s="2" t="str">
        <f t="array" ref="B186">IF(NOW()&gt;AM186,"",IF(AND((WEEKDAY($A186)+$B$2)&gt;1,((WEEKDAY($A186)+$T$2)&lt;7),(WEEKDAY($A186)&lt;&gt;1)),"work",(INDEX(Subject!$A:$I,MATCH(RANDBETWEEN(1,(MAX(Subject!$B:$B))),Subject!$B:$B,0),3))))</f>
        <v/>
      </c>
      <c r="C186" s="2" t="str">
        <f t="array" ref="C186">IF(NOW()&gt;AN186,"",IF(AND((WEEKDAY($A186)+$B$2)&gt;1,((WEEKDAY($A186)+$T$2)&lt;7),(WEEKDAY($A186)&lt;&gt;1)),"work",(INDEX(Subject!$A:$I,MATCH(RANDBETWEEN(1,(MAX(Subject!$B:$B))),Subject!$B:$B,0),3))))</f>
        <v/>
      </c>
      <c r="D186" s="2" t="str">
        <f t="array" ref="D186">IF(NOW()&gt;AO186,"",IF(AND((WEEKDAY($A186)+$B$2)&gt;1,((WEEKDAY($A186)+$T$2)&lt;7),(WEEKDAY($A186)&lt;&gt;1)),"work",(INDEX(Subject!$A:$I,MATCH(RANDBETWEEN(1,(MAX(Subject!$B:$B))),Subject!$B:$B,0),3))))</f>
        <v/>
      </c>
      <c r="E186" s="2" t="str">
        <f t="array" ref="E186">IF(NOW()&gt;AP186,"",IF(AND((WEEKDAY($A186)+$B$2)&gt;1,((WEEKDAY($A186)+$T$2)&lt;7),(WEEKDAY($A186)&lt;&gt;1)),"work",(INDEX(Subject!$A:$I,MATCH(RANDBETWEEN(1,(MAX(Subject!$B:$B))),Subject!$B:$B,0),3))))</f>
        <v/>
      </c>
      <c r="F186" s="2" t="str">
        <f t="array" ref="F186">IF(NOW()&gt;AQ186,"",IF(AND((WEEKDAY($A186)+$B$2)&gt;1,((WEEKDAY($A186)+$T$2)&lt;7),(WEEKDAY($A186)&lt;&gt;1)),"work",(INDEX(Subject!$A:$I,MATCH(RANDBETWEEN(1,(MAX(Subject!$B:$B))),Subject!$B:$B,0),3))))</f>
        <v/>
      </c>
      <c r="G186" s="2" t="str">
        <f t="array" ref="G186">IF(NOW()&gt;AR186,"",IF(AND((WEEKDAY($A186)+$B$2)&gt;1,((WEEKDAY($A186)+$T$2)&lt;7),(WEEKDAY($A186)&lt;&gt;1)),"work",(INDEX(Subject!$A:$I,MATCH(RANDBETWEEN(1,(MAX(Subject!$B:$B))),Subject!$B:$B,0),3))))</f>
        <v/>
      </c>
      <c r="H186" s="2" t="str">
        <f t="array" ref="H186">IF(NOW()&gt;AS186,"",IF(AND((WEEKDAY($A186)+$B$2)&gt;1,((WEEKDAY($A186)+$T$2)&lt;7),(WEEKDAY($A186)&lt;&gt;1)),"work",(INDEX(Subject!$A:$I,MATCH(RANDBETWEEN(1,(MAX(Subject!$B:$B))),Subject!$B:$B,0),3))))</f>
        <v/>
      </c>
      <c r="I186" s="2" t="str">
        <f t="array" ref="I186">IF(NOW()&gt;AT186,"",IF(AND((WEEKDAY($A186)+$B$2)&gt;1,((WEEKDAY($A186)+$T$2)&lt;7),(WEEKDAY($A186)&lt;&gt;1)),"work",(INDEX(Subject!$A:$I,MATCH(RANDBETWEEN(1,(MAX(Subject!$B:$B))),Subject!$B:$B,0),3))))</f>
        <v/>
      </c>
      <c r="J186" s="2" t="str">
        <f t="array" ref="J186">IF(NOW()&gt;AU186,"",IF(AND((WEEKDAY($A186)+$B$2)&gt;1,((WEEKDAY($A186)+$T$2)&lt;7),(WEEKDAY($A186)&lt;&gt;1)),"work",(INDEX(Subject!$A:$I,MATCH(RANDBETWEEN(1,(MAX(Subject!$B:$B))),Subject!$B:$B,0),3))))</f>
        <v/>
      </c>
      <c r="K186" s="2" t="str">
        <f t="array" ref="K186">IF(NOW()&gt;AV186,"",IF(AND((WEEKDAY($A186)+$B$2)&gt;1,((WEEKDAY($A186)+$T$2)&lt;7),(WEEKDAY($A186)&lt;&gt;1)),"work",(INDEX(Subject!$A:$I,MATCH(RANDBETWEEN(1,(MAX(Subject!$B:$B))),Subject!$B:$B,0),3))))</f>
        <v/>
      </c>
      <c r="L186" s="2" t="str">
        <f t="array" ref="L186">IF(NOW()&gt;AW186,"",IF(AND((WEEKDAY($A186)+$B$2)&gt;1,((WEEKDAY($A186)+$T$2)&lt;7),(WEEKDAY($A186)&lt;&gt;1)),"work",(INDEX(Subject!$A:$I,MATCH(RANDBETWEEN(1,(MAX(Subject!$B:$B))),Subject!$B:$B,0),3))))</f>
        <v/>
      </c>
      <c r="M186" s="2" t="str">
        <f t="array" ref="M186">IF(NOW()&gt;AX186,"",IF(AND((WEEKDAY($A186)+$B$2)&gt;1,((WEEKDAY($A186)+$T$2)&lt;7),(WEEKDAY($A186)&lt;&gt;1)),"work",(INDEX(Subject!$A:$I,MATCH(RANDBETWEEN(1,(MAX(Subject!$B:$B))),Subject!$B:$B,0),3))))</f>
        <v/>
      </c>
      <c r="N186" s="2" t="str">
        <f t="array" ref="N186">IF(NOW()&gt;AY186,"",IF(AND((WEEKDAY($A186)+$B$2)&gt;1,((WEEKDAY($A186)+$T$2)&lt;7),(WEEKDAY($A186)&lt;&gt;1)),"work",(INDEX(Subject!$A:$I,MATCH(RANDBETWEEN(1,(MAX(Subject!$B:$B))),Subject!$B:$B,0),3))))</f>
        <v/>
      </c>
      <c r="O186" s="2" t="str">
        <f t="array" ref="O186">IF(NOW()&gt;AZ186,"",IF(AND((WEEKDAY($A186)+$B$2)&gt;1,((WEEKDAY($A186)+$T$2)&lt;7),(WEEKDAY($A186)&lt;&gt;1)),"work",(INDEX(Subject!$A:$I,MATCH(RANDBETWEEN(1,(MAX(Subject!$B:$B))),Subject!$B:$B,0),3))))</f>
        <v/>
      </c>
      <c r="P186" s="2" t="str">
        <f t="array" ref="P186">IF(NOW()&gt;BA186,"",IF(AND((WEEKDAY($A186)+$B$2)&gt;1,((WEEKDAY($A186)+$T$2)&lt;7),(WEEKDAY($A186)&lt;&gt;1)),"work",(INDEX(Subject!$A:$I,MATCH(RANDBETWEEN(1,(MAX(Subject!$B:$B))),Subject!$B:$B,0),3))))</f>
        <v/>
      </c>
      <c r="Q186" s="2" t="str">
        <f t="array" ref="Q186">IF(NOW()&gt;BB186,"",IF(AND((WEEKDAY($A186)+$B$2)&gt;1,((WEEKDAY($A186)+$T$2)&lt;7),(WEEKDAY($A186)&lt;&gt;1)),"work",(INDEX(Subject!$A:$I,MATCH(RANDBETWEEN(1,(MAX(Subject!$B:$B))),Subject!$B:$B,0),3))))</f>
        <v/>
      </c>
      <c r="R186" s="2" t="str">
        <f t="array" ref="R186">IF(NOW()&gt;BC186,"",IF(AND((WEEKDAY($A186)+$B$2)&gt;1,((WEEKDAY($A186)+$T$2)&lt;7),(WEEKDAY($A186)&lt;&gt;1)),"work",(INDEX(Subject!$A:$I,MATCH(RANDBETWEEN(1,(MAX(Subject!$B:$B))),Subject!$B:$B,0),3))))</f>
        <v/>
      </c>
      <c r="S186" s="2" t="str">
        <f t="array" ref="S186">IF(NOW()&gt;BD186,"",IF(AND((WEEKDAY($A186)+$B$2)&gt;1,((WEEKDAY($A186)+$T$2)&lt;7),(WEEKDAY($A186)&lt;&gt;1)),"work",(INDEX(Subject!$A:$I,MATCH(RANDBETWEEN(1,(MAX(Subject!$B:$B))),Subject!$B:$B,0),3))))</f>
        <v/>
      </c>
      <c r="T186" s="2" t="str">
        <f t="array" ref="T186">IF(NOW()&gt;BE186,"",IF(AND((WEEKDAY($A186)+$B$2)&gt;1,((WEEKDAY($A186)+$T$2)&lt;7),(WEEKDAY($A186)&lt;&gt;1)),"work",(INDEX(Subject!$A:$I,MATCH(RANDBETWEEN(1,(MAX(Subject!$B:$B))),Subject!$B:$B,0),3))))</f>
        <v/>
      </c>
      <c r="U186" s="8" t="str">
        <f t="array" ref="U186">INDEX(Subject!$A:$I,MATCH(RANDBETWEEN(1,16),Subject!$B:$B,0),3)</f>
        <v>#N/A</v>
      </c>
      <c r="V186" s="8" t="str">
        <f t="array" ref="V186">INDEX(Subject!$A:$I,MATCH(RANDBETWEEN(1,16),Subject!$B:$B,0),3)</f>
        <v>#N/A</v>
      </c>
      <c r="W186" s="8" t="str">
        <f t="array" ref="W186">INDEX(Subject!$A:$I,MATCH(RANDBETWEEN(1,16),Subject!$B:$B,0),3)</f>
        <v>#N/A</v>
      </c>
      <c r="X186" s="8" t="str">
        <f t="array" ref="X186">INDEX(Subject!$A:$I,MATCH(RANDBETWEEN(1,16),Subject!$B:$B,0),3)</f>
        <v>#N/A</v>
      </c>
      <c r="Y186" s="8" t="str">
        <f t="array" ref="Y186">INDEX(Subject!$A:$I,MATCH(RANDBETWEEN(1,16),Subject!$B:$B,0),3)</f>
        <v>#N/A</v>
      </c>
      <c r="Z186" s="8" t="str">
        <f t="array" ref="Z186">INDEX(Subject!$A:$I,MATCH(RANDBETWEEN(1,16),Subject!$B:$B,0),3)</f>
        <v>#N/A</v>
      </c>
      <c r="AA186" s="8" t="str">
        <f t="array" ref="AA186">INDEX(Subject!$A:$I,MATCH(RANDBETWEEN(1,16),Subject!$B:$B,0),3)</f>
        <v>#N/A</v>
      </c>
      <c r="AB186" s="8" t="str">
        <f t="array" ref="AB186">INDEX(Subject!$A:$I,MATCH(RANDBETWEEN(1,16),Subject!$B:$B,0),3)</f>
        <v>#N/A</v>
      </c>
      <c r="AC186" s="8" t="str">
        <f t="array" ref="AC186">INDEX(Subject!$A:$I,MATCH(RANDBETWEEN(1,16),Subject!$B:$B,0),3)</f>
        <v>#N/A</v>
      </c>
      <c r="AD186" s="8" t="str">
        <f t="array" ref="AD186">INDEX(Subject!$A:$I,MATCH(RANDBETWEEN(1,16),Subject!$B:$B,0),3)</f>
        <v>#N/A</v>
      </c>
      <c r="AE186" s="8" t="str">
        <f t="array" ref="AE186">INDEX(Subject!$A:$I,MATCH(RANDBETWEEN(1,16),Subject!$B:$B,0),3)</f>
        <v>#N/A</v>
      </c>
      <c r="AF186" s="8" t="str">
        <f t="array" ref="AF186">INDEX(Subject!$A:$I,MATCH(RANDBETWEEN(1,16),Subject!$B:$B,0),3)</f>
        <v/>
      </c>
      <c r="AG186" s="8" t="str">
        <f t="array" ref="AG186">INDEX(Subject!$A:$I,MATCH(RANDBETWEEN(1,16),Subject!$B:$B,0),3)</f>
        <v>#N/A</v>
      </c>
      <c r="AH186" s="8" t="str">
        <f t="array" ref="AH186">INDEX(Subject!$A:$I,MATCH(RANDBETWEEN(1,16),Subject!$B:$B,0),3)</f>
        <v>#N/A</v>
      </c>
      <c r="AI186" s="8" t="str">
        <f t="array" ref="AI186">INDEX(Subject!$A:$I,MATCH(RANDBETWEEN(1,16),Subject!$B:$B,0),3)</f>
        <v>#N/A</v>
      </c>
      <c r="AJ186" s="8" t="str">
        <f t="array" ref="AJ186">INDEX(Subject!$A:$I,MATCH(RANDBETWEEN(1,16),Subject!$B:$B,0),3)</f>
        <v/>
      </c>
      <c r="AK186" s="8" t="str">
        <f t="array" ref="AK186">INDEX(Subject!$A:$I,MATCH(RANDBETWEEN(1,16),Subject!$B:$B,0),3)</f>
        <v>#N/A</v>
      </c>
      <c r="AL186" s="8" t="str">
        <f t="array" ref="AL186">INDEX(Subject!$A:$I,MATCH(RANDBETWEEN(1,16),Subject!$B:$B,0),3)</f>
        <v>#N/A</v>
      </c>
      <c r="AM186" s="18">
        <f t="shared" si="4"/>
        <v>45686.33333</v>
      </c>
      <c r="AN186" s="19">
        <f t="shared" ref="AN186:BZ186" si="186">$A186+C$1</f>
        <v>45686.35417</v>
      </c>
      <c r="AO186" s="19">
        <f t="shared" si="186"/>
        <v>45686.375</v>
      </c>
      <c r="AP186" s="19">
        <f t="shared" si="186"/>
        <v>45686.39583</v>
      </c>
      <c r="AQ186" s="19">
        <f t="shared" si="186"/>
        <v>45686.41667</v>
      </c>
      <c r="AR186" s="19">
        <f t="shared" si="186"/>
        <v>45686.4375</v>
      </c>
      <c r="AS186" s="19">
        <f t="shared" si="186"/>
        <v>45686.45833</v>
      </c>
      <c r="AT186" s="19">
        <f t="shared" si="186"/>
        <v>45686.47917</v>
      </c>
      <c r="AU186" s="19">
        <f t="shared" si="186"/>
        <v>45686.5</v>
      </c>
      <c r="AV186" s="19">
        <f t="shared" si="186"/>
        <v>45686.52083</v>
      </c>
      <c r="AW186" s="19">
        <f t="shared" si="186"/>
        <v>45686.54167</v>
      </c>
      <c r="AX186" s="19">
        <f t="shared" si="186"/>
        <v>45686.5625</v>
      </c>
      <c r="AY186" s="19">
        <f t="shared" si="186"/>
        <v>45686.58333</v>
      </c>
      <c r="AZ186" s="19">
        <f t="shared" si="186"/>
        <v>45686.60417</v>
      </c>
      <c r="BA186" s="19">
        <f t="shared" si="186"/>
        <v>45686.625</v>
      </c>
      <c r="BB186" s="19">
        <f t="shared" si="186"/>
        <v>45686.64583</v>
      </c>
      <c r="BC186" s="19">
        <f t="shared" si="186"/>
        <v>45686.66667</v>
      </c>
      <c r="BD186" s="19">
        <f t="shared" si="186"/>
        <v>45686.6875</v>
      </c>
      <c r="BE186" s="19">
        <f t="shared" si="186"/>
        <v>45686.70833</v>
      </c>
      <c r="BF186" s="19">
        <f t="shared" si="186"/>
        <v>45686.72917</v>
      </c>
      <c r="BG186" s="19">
        <f t="shared" si="186"/>
        <v>45686.75</v>
      </c>
      <c r="BH186" s="19">
        <f t="shared" si="186"/>
        <v>45686.77083</v>
      </c>
      <c r="BI186" s="19">
        <f t="shared" si="186"/>
        <v>45686.79167</v>
      </c>
      <c r="BJ186" s="19">
        <f t="shared" si="186"/>
        <v>45686.8125</v>
      </c>
      <c r="BK186" s="19">
        <f t="shared" si="186"/>
        <v>45686.83333</v>
      </c>
      <c r="BL186" s="19">
        <f t="shared" si="186"/>
        <v>45686.85417</v>
      </c>
      <c r="BM186" s="19">
        <f t="shared" si="186"/>
        <v>45686.875</v>
      </c>
      <c r="BN186" s="19">
        <f t="shared" si="186"/>
        <v>45686.89583</v>
      </c>
      <c r="BO186" s="19">
        <f t="shared" si="186"/>
        <v>45686.91667</v>
      </c>
      <c r="BP186" s="19">
        <f t="shared" si="186"/>
        <v>45686.9375</v>
      </c>
      <c r="BQ186" s="19">
        <f t="shared" si="186"/>
        <v>45686.95833</v>
      </c>
      <c r="BR186" s="19">
        <f t="shared" si="186"/>
        <v>45686.97917</v>
      </c>
      <c r="BS186" s="19">
        <f t="shared" si="186"/>
        <v>45687</v>
      </c>
      <c r="BT186" s="19">
        <f t="shared" si="186"/>
        <v>45687.02083</v>
      </c>
      <c r="BU186" s="19">
        <f t="shared" si="186"/>
        <v>45687.04167</v>
      </c>
      <c r="BV186" s="19">
        <f t="shared" si="186"/>
        <v>45687.0625</v>
      </c>
      <c r="BW186" s="19">
        <f t="shared" si="186"/>
        <v>45687.08333</v>
      </c>
      <c r="BX186" s="19">
        <f t="shared" si="186"/>
        <v>45686</v>
      </c>
      <c r="BY186" s="19">
        <f t="shared" si="186"/>
        <v>45686</v>
      </c>
      <c r="BZ186" s="19">
        <f t="shared" si="186"/>
        <v>45686</v>
      </c>
    </row>
    <row r="187" ht="14.25" customHeight="1">
      <c r="A187" s="17">
        <v>45687.0</v>
      </c>
      <c r="B187" s="2" t="str">
        <f t="array" ref="B187">IF(NOW()&gt;AM187,"",IF(AND((WEEKDAY($A187)+$B$2)&gt;1,((WEEKDAY($A187)+$T$2)&lt;7),(WEEKDAY($A187)&lt;&gt;1)),"work",(INDEX(Subject!$A:$I,MATCH(RANDBETWEEN(1,(MAX(Subject!$B:$B))),Subject!$B:$B,0),3))))</f>
        <v/>
      </c>
      <c r="C187" s="2" t="str">
        <f t="array" ref="C187">IF(NOW()&gt;AN187,"",IF(AND((WEEKDAY($A187)+$B$2)&gt;1,((WEEKDAY($A187)+$T$2)&lt;7),(WEEKDAY($A187)&lt;&gt;1)),"work",(INDEX(Subject!$A:$I,MATCH(RANDBETWEEN(1,(MAX(Subject!$B:$B))),Subject!$B:$B,0),3))))</f>
        <v/>
      </c>
      <c r="D187" s="2" t="str">
        <f t="array" ref="D187">IF(NOW()&gt;AO187,"",IF(AND((WEEKDAY($A187)+$B$2)&gt;1,((WEEKDAY($A187)+$T$2)&lt;7),(WEEKDAY($A187)&lt;&gt;1)),"work",(INDEX(Subject!$A:$I,MATCH(RANDBETWEEN(1,(MAX(Subject!$B:$B))),Subject!$B:$B,0),3))))</f>
        <v/>
      </c>
      <c r="E187" s="2" t="str">
        <f t="array" ref="E187">IF(NOW()&gt;AP187,"",IF(AND((WEEKDAY($A187)+$B$2)&gt;1,((WEEKDAY($A187)+$T$2)&lt;7),(WEEKDAY($A187)&lt;&gt;1)),"work",(INDEX(Subject!$A:$I,MATCH(RANDBETWEEN(1,(MAX(Subject!$B:$B))),Subject!$B:$B,0),3))))</f>
        <v/>
      </c>
      <c r="F187" s="2" t="str">
        <f t="array" ref="F187">IF(NOW()&gt;AQ187,"",IF(AND((WEEKDAY($A187)+$B$2)&gt;1,((WEEKDAY($A187)+$T$2)&lt;7),(WEEKDAY($A187)&lt;&gt;1)),"work",(INDEX(Subject!$A:$I,MATCH(RANDBETWEEN(1,(MAX(Subject!$B:$B))),Subject!$B:$B,0),3))))</f>
        <v/>
      </c>
      <c r="G187" s="2" t="str">
        <f t="array" ref="G187">IF(NOW()&gt;AR187,"",IF(AND((WEEKDAY($A187)+$B$2)&gt;1,((WEEKDAY($A187)+$T$2)&lt;7),(WEEKDAY($A187)&lt;&gt;1)),"work",(INDEX(Subject!$A:$I,MATCH(RANDBETWEEN(1,(MAX(Subject!$B:$B))),Subject!$B:$B,0),3))))</f>
        <v/>
      </c>
      <c r="H187" s="2" t="str">
        <f t="array" ref="H187">IF(NOW()&gt;AS187,"",IF(AND((WEEKDAY($A187)+$B$2)&gt;1,((WEEKDAY($A187)+$T$2)&lt;7),(WEEKDAY($A187)&lt;&gt;1)),"work",(INDEX(Subject!$A:$I,MATCH(RANDBETWEEN(1,(MAX(Subject!$B:$B))),Subject!$B:$B,0),3))))</f>
        <v/>
      </c>
      <c r="I187" s="2" t="str">
        <f t="array" ref="I187">IF(NOW()&gt;AT187,"",IF(AND((WEEKDAY($A187)+$B$2)&gt;1,((WEEKDAY($A187)+$T$2)&lt;7),(WEEKDAY($A187)&lt;&gt;1)),"work",(INDEX(Subject!$A:$I,MATCH(RANDBETWEEN(1,(MAX(Subject!$B:$B))),Subject!$B:$B,0),3))))</f>
        <v/>
      </c>
      <c r="J187" s="2" t="str">
        <f t="array" ref="J187">IF(NOW()&gt;AU187,"",IF(AND((WEEKDAY($A187)+$B$2)&gt;1,((WEEKDAY($A187)+$T$2)&lt;7),(WEEKDAY($A187)&lt;&gt;1)),"work",(INDEX(Subject!$A:$I,MATCH(RANDBETWEEN(1,(MAX(Subject!$B:$B))),Subject!$B:$B,0),3))))</f>
        <v/>
      </c>
      <c r="K187" s="2" t="str">
        <f t="array" ref="K187">IF(NOW()&gt;AV187,"",IF(AND((WEEKDAY($A187)+$B$2)&gt;1,((WEEKDAY($A187)+$T$2)&lt;7),(WEEKDAY($A187)&lt;&gt;1)),"work",(INDEX(Subject!$A:$I,MATCH(RANDBETWEEN(1,(MAX(Subject!$B:$B))),Subject!$B:$B,0),3))))</f>
        <v/>
      </c>
      <c r="L187" s="2" t="str">
        <f t="array" ref="L187">IF(NOW()&gt;AW187,"",IF(AND((WEEKDAY($A187)+$B$2)&gt;1,((WEEKDAY($A187)+$T$2)&lt;7),(WEEKDAY($A187)&lt;&gt;1)),"work",(INDEX(Subject!$A:$I,MATCH(RANDBETWEEN(1,(MAX(Subject!$B:$B))),Subject!$B:$B,0),3))))</f>
        <v/>
      </c>
      <c r="M187" s="2" t="str">
        <f t="array" ref="M187">IF(NOW()&gt;AX187,"",IF(AND((WEEKDAY($A187)+$B$2)&gt;1,((WEEKDAY($A187)+$T$2)&lt;7),(WEEKDAY($A187)&lt;&gt;1)),"work",(INDEX(Subject!$A:$I,MATCH(RANDBETWEEN(1,(MAX(Subject!$B:$B))),Subject!$B:$B,0),3))))</f>
        <v/>
      </c>
      <c r="N187" s="2" t="str">
        <f t="array" ref="N187">IF(NOW()&gt;AY187,"",IF(AND((WEEKDAY($A187)+$B$2)&gt;1,((WEEKDAY($A187)+$T$2)&lt;7),(WEEKDAY($A187)&lt;&gt;1)),"work",(INDEX(Subject!$A:$I,MATCH(RANDBETWEEN(1,(MAX(Subject!$B:$B))),Subject!$B:$B,0),3))))</f>
        <v/>
      </c>
      <c r="O187" s="2" t="str">
        <f t="array" ref="O187">IF(NOW()&gt;AZ187,"",IF(AND((WEEKDAY($A187)+$B$2)&gt;1,((WEEKDAY($A187)+$T$2)&lt;7),(WEEKDAY($A187)&lt;&gt;1)),"work",(INDEX(Subject!$A:$I,MATCH(RANDBETWEEN(1,(MAX(Subject!$B:$B))),Subject!$B:$B,0),3))))</f>
        <v/>
      </c>
      <c r="P187" s="2" t="str">
        <f t="array" ref="P187">IF(NOW()&gt;BA187,"",IF(AND((WEEKDAY($A187)+$B$2)&gt;1,((WEEKDAY($A187)+$T$2)&lt;7),(WEEKDAY($A187)&lt;&gt;1)),"work",(INDEX(Subject!$A:$I,MATCH(RANDBETWEEN(1,(MAX(Subject!$B:$B))),Subject!$B:$B,0),3))))</f>
        <v/>
      </c>
      <c r="Q187" s="2" t="str">
        <f t="array" ref="Q187">IF(NOW()&gt;BB187,"",IF(AND((WEEKDAY($A187)+$B$2)&gt;1,((WEEKDAY($A187)+$T$2)&lt;7),(WEEKDAY($A187)&lt;&gt;1)),"work",(INDEX(Subject!$A:$I,MATCH(RANDBETWEEN(1,(MAX(Subject!$B:$B))),Subject!$B:$B,0),3))))</f>
        <v/>
      </c>
      <c r="R187" s="2" t="str">
        <f t="array" ref="R187">IF(NOW()&gt;BC187,"",IF(AND((WEEKDAY($A187)+$B$2)&gt;1,((WEEKDAY($A187)+$T$2)&lt;7),(WEEKDAY($A187)&lt;&gt;1)),"work",(INDEX(Subject!$A:$I,MATCH(RANDBETWEEN(1,(MAX(Subject!$B:$B))),Subject!$B:$B,0),3))))</f>
        <v/>
      </c>
      <c r="S187" s="2" t="str">
        <f t="array" ref="S187">IF(NOW()&gt;BD187,"",IF(AND((WEEKDAY($A187)+$B$2)&gt;1,((WEEKDAY($A187)+$T$2)&lt;7),(WEEKDAY($A187)&lt;&gt;1)),"work",(INDEX(Subject!$A:$I,MATCH(RANDBETWEEN(1,(MAX(Subject!$B:$B))),Subject!$B:$B,0),3))))</f>
        <v/>
      </c>
      <c r="T187" s="2" t="str">
        <f t="array" ref="T187">IF(NOW()&gt;BE187,"",IF(AND((WEEKDAY($A187)+$B$2)&gt;1,((WEEKDAY($A187)+$T$2)&lt;7),(WEEKDAY($A187)&lt;&gt;1)),"work",(INDEX(Subject!$A:$I,MATCH(RANDBETWEEN(1,(MAX(Subject!$B:$B))),Subject!$B:$B,0),3))))</f>
        <v/>
      </c>
      <c r="U187" s="8" t="str">
        <f t="array" ref="U187">INDEX(Subject!$A:$I,MATCH(RANDBETWEEN(1,16),Subject!$B:$B,0),3)</f>
        <v>#N/A</v>
      </c>
      <c r="V187" s="8" t="str">
        <f t="array" ref="V187">INDEX(Subject!$A:$I,MATCH(RANDBETWEEN(1,16),Subject!$B:$B,0),3)</f>
        <v>#N/A</v>
      </c>
      <c r="W187" s="8" t="str">
        <f t="array" ref="W187">INDEX(Subject!$A:$I,MATCH(RANDBETWEEN(1,16),Subject!$B:$B,0),3)</f>
        <v>#N/A</v>
      </c>
      <c r="X187" s="8" t="str">
        <f t="array" ref="X187">INDEX(Subject!$A:$I,MATCH(RANDBETWEEN(1,16),Subject!$B:$B,0),3)</f>
        <v>#N/A</v>
      </c>
      <c r="Y187" s="8" t="str">
        <f t="array" ref="Y187">INDEX(Subject!$A:$I,MATCH(RANDBETWEEN(1,16),Subject!$B:$B,0),3)</f>
        <v>#N/A</v>
      </c>
      <c r="Z187" s="8" t="str">
        <f t="array" ref="Z187">INDEX(Subject!$A:$I,MATCH(RANDBETWEEN(1,16),Subject!$B:$B,0),3)</f>
        <v>#N/A</v>
      </c>
      <c r="AA187" s="8" t="str">
        <f t="array" ref="AA187">INDEX(Subject!$A:$I,MATCH(RANDBETWEEN(1,16),Subject!$B:$B,0),3)</f>
        <v>#N/A</v>
      </c>
      <c r="AB187" s="8" t="str">
        <f t="array" ref="AB187">INDEX(Subject!$A:$I,MATCH(RANDBETWEEN(1,16),Subject!$B:$B,0),3)</f>
        <v>#N/A</v>
      </c>
      <c r="AC187" s="8" t="str">
        <f t="array" ref="AC187">INDEX(Subject!$A:$I,MATCH(RANDBETWEEN(1,16),Subject!$B:$B,0),3)</f>
        <v>#N/A</v>
      </c>
      <c r="AD187" s="8" t="str">
        <f t="array" ref="AD187">INDEX(Subject!$A:$I,MATCH(RANDBETWEEN(1,16),Subject!$B:$B,0),3)</f>
        <v>#N/A</v>
      </c>
      <c r="AE187" s="8" t="str">
        <f t="array" ref="AE187">INDEX(Subject!$A:$I,MATCH(RANDBETWEEN(1,16),Subject!$B:$B,0),3)</f>
        <v>#N/A</v>
      </c>
      <c r="AF187" s="8" t="str">
        <f t="array" ref="AF187">INDEX(Subject!$A:$I,MATCH(RANDBETWEEN(1,16),Subject!$B:$B,0),3)</f>
        <v>#N/A</v>
      </c>
      <c r="AG187" s="8" t="str">
        <f t="array" ref="AG187">INDEX(Subject!$A:$I,MATCH(RANDBETWEEN(1,16),Subject!$B:$B,0),3)</f>
        <v>#N/A</v>
      </c>
      <c r="AH187" s="8" t="str">
        <f t="array" ref="AH187">INDEX(Subject!$A:$I,MATCH(RANDBETWEEN(1,16),Subject!$B:$B,0),3)</f>
        <v>#N/A</v>
      </c>
      <c r="AI187" s="8" t="str">
        <f t="array" ref="AI187">INDEX(Subject!$A:$I,MATCH(RANDBETWEEN(1,16),Subject!$B:$B,0),3)</f>
        <v>#N/A</v>
      </c>
      <c r="AJ187" s="8" t="str">
        <f t="array" ref="AJ187">INDEX(Subject!$A:$I,MATCH(RANDBETWEEN(1,16),Subject!$B:$B,0),3)</f>
        <v>#N/A</v>
      </c>
      <c r="AK187" s="8" t="str">
        <f t="array" ref="AK187">INDEX(Subject!$A:$I,MATCH(RANDBETWEEN(1,16),Subject!$B:$B,0),3)</f>
        <v>#N/A</v>
      </c>
      <c r="AL187" s="8" t="str">
        <f t="array" ref="AL187">INDEX(Subject!$A:$I,MATCH(RANDBETWEEN(1,16),Subject!$B:$B,0),3)</f>
        <v>#N/A</v>
      </c>
      <c r="AM187" s="18">
        <f t="shared" si="4"/>
        <v>45687.33333</v>
      </c>
      <c r="AN187" s="19">
        <f t="shared" ref="AN187:BZ187" si="187">$A187+C$1</f>
        <v>45687.35417</v>
      </c>
      <c r="AO187" s="19">
        <f t="shared" si="187"/>
        <v>45687.375</v>
      </c>
      <c r="AP187" s="19">
        <f t="shared" si="187"/>
        <v>45687.39583</v>
      </c>
      <c r="AQ187" s="19">
        <f t="shared" si="187"/>
        <v>45687.41667</v>
      </c>
      <c r="AR187" s="19">
        <f t="shared" si="187"/>
        <v>45687.4375</v>
      </c>
      <c r="AS187" s="19">
        <f t="shared" si="187"/>
        <v>45687.45833</v>
      </c>
      <c r="AT187" s="19">
        <f t="shared" si="187"/>
        <v>45687.47917</v>
      </c>
      <c r="AU187" s="19">
        <f t="shared" si="187"/>
        <v>45687.5</v>
      </c>
      <c r="AV187" s="19">
        <f t="shared" si="187"/>
        <v>45687.52083</v>
      </c>
      <c r="AW187" s="19">
        <f t="shared" si="187"/>
        <v>45687.54167</v>
      </c>
      <c r="AX187" s="19">
        <f t="shared" si="187"/>
        <v>45687.5625</v>
      </c>
      <c r="AY187" s="19">
        <f t="shared" si="187"/>
        <v>45687.58333</v>
      </c>
      <c r="AZ187" s="19">
        <f t="shared" si="187"/>
        <v>45687.60417</v>
      </c>
      <c r="BA187" s="19">
        <f t="shared" si="187"/>
        <v>45687.625</v>
      </c>
      <c r="BB187" s="19">
        <f t="shared" si="187"/>
        <v>45687.64583</v>
      </c>
      <c r="BC187" s="19">
        <f t="shared" si="187"/>
        <v>45687.66667</v>
      </c>
      <c r="BD187" s="19">
        <f t="shared" si="187"/>
        <v>45687.6875</v>
      </c>
      <c r="BE187" s="19">
        <f t="shared" si="187"/>
        <v>45687.70833</v>
      </c>
      <c r="BF187" s="19">
        <f t="shared" si="187"/>
        <v>45687.72917</v>
      </c>
      <c r="BG187" s="19">
        <f t="shared" si="187"/>
        <v>45687.75</v>
      </c>
      <c r="BH187" s="19">
        <f t="shared" si="187"/>
        <v>45687.77083</v>
      </c>
      <c r="BI187" s="19">
        <f t="shared" si="187"/>
        <v>45687.79167</v>
      </c>
      <c r="BJ187" s="19">
        <f t="shared" si="187"/>
        <v>45687.8125</v>
      </c>
      <c r="BK187" s="19">
        <f t="shared" si="187"/>
        <v>45687.83333</v>
      </c>
      <c r="BL187" s="19">
        <f t="shared" si="187"/>
        <v>45687.85417</v>
      </c>
      <c r="BM187" s="19">
        <f t="shared" si="187"/>
        <v>45687.875</v>
      </c>
      <c r="BN187" s="19">
        <f t="shared" si="187"/>
        <v>45687.89583</v>
      </c>
      <c r="BO187" s="19">
        <f t="shared" si="187"/>
        <v>45687.91667</v>
      </c>
      <c r="BP187" s="19">
        <f t="shared" si="187"/>
        <v>45687.9375</v>
      </c>
      <c r="BQ187" s="19">
        <f t="shared" si="187"/>
        <v>45687.95833</v>
      </c>
      <c r="BR187" s="19">
        <f t="shared" si="187"/>
        <v>45687.97917</v>
      </c>
      <c r="BS187" s="19">
        <f t="shared" si="187"/>
        <v>45688</v>
      </c>
      <c r="BT187" s="19">
        <f t="shared" si="187"/>
        <v>45688.02083</v>
      </c>
      <c r="BU187" s="19">
        <f t="shared" si="187"/>
        <v>45688.04167</v>
      </c>
      <c r="BV187" s="19">
        <f t="shared" si="187"/>
        <v>45688.0625</v>
      </c>
      <c r="BW187" s="19">
        <f t="shared" si="187"/>
        <v>45688.08333</v>
      </c>
      <c r="BX187" s="19">
        <f t="shared" si="187"/>
        <v>45687</v>
      </c>
      <c r="BY187" s="19">
        <f t="shared" si="187"/>
        <v>45687</v>
      </c>
      <c r="BZ187" s="19">
        <f t="shared" si="187"/>
        <v>45687</v>
      </c>
    </row>
    <row r="188" ht="14.25" customHeight="1">
      <c r="A188" s="17">
        <v>45688.0</v>
      </c>
      <c r="B188" s="2" t="str">
        <f t="array" ref="B188">IF(NOW()&gt;AM188,"",IF(AND((WEEKDAY($A188)+$B$2)&gt;1,((WEEKDAY($A188)+$T$2)&lt;7),(WEEKDAY($A188)&lt;&gt;1)),"work",(INDEX(Subject!$A:$I,MATCH(RANDBETWEEN(1,(MAX(Subject!$B:$B))),Subject!$B:$B,0),3))))</f>
        <v/>
      </c>
      <c r="C188" s="2" t="str">
        <f t="array" ref="C188">IF(NOW()&gt;AN188,"",IF(AND((WEEKDAY($A188)+$B$2)&gt;1,((WEEKDAY($A188)+$T$2)&lt;7),(WEEKDAY($A188)&lt;&gt;1)),"work",(INDEX(Subject!$A:$I,MATCH(RANDBETWEEN(1,(MAX(Subject!$B:$B))),Subject!$B:$B,0),3))))</f>
        <v/>
      </c>
      <c r="D188" s="2" t="str">
        <f t="array" ref="D188">IF(NOW()&gt;AO188,"",IF(AND((WEEKDAY($A188)+$B$2)&gt;1,((WEEKDAY($A188)+$T$2)&lt;7),(WEEKDAY($A188)&lt;&gt;1)),"work",(INDEX(Subject!$A:$I,MATCH(RANDBETWEEN(1,(MAX(Subject!$B:$B))),Subject!$B:$B,0),3))))</f>
        <v/>
      </c>
      <c r="E188" s="2" t="str">
        <f t="array" ref="E188">IF(NOW()&gt;AP188,"",IF(AND((WEEKDAY($A188)+$B$2)&gt;1,((WEEKDAY($A188)+$T$2)&lt;7),(WEEKDAY($A188)&lt;&gt;1)),"work",(INDEX(Subject!$A:$I,MATCH(RANDBETWEEN(1,(MAX(Subject!$B:$B))),Subject!$B:$B,0),3))))</f>
        <v/>
      </c>
      <c r="F188" s="2" t="str">
        <f t="array" ref="F188">IF(NOW()&gt;AQ188,"",IF(AND((WEEKDAY($A188)+$B$2)&gt;1,((WEEKDAY($A188)+$T$2)&lt;7),(WEEKDAY($A188)&lt;&gt;1)),"work",(INDEX(Subject!$A:$I,MATCH(RANDBETWEEN(1,(MAX(Subject!$B:$B))),Subject!$B:$B,0),3))))</f>
        <v/>
      </c>
      <c r="G188" s="2" t="str">
        <f t="array" ref="G188">IF(NOW()&gt;AR188,"",IF(AND((WEEKDAY($A188)+$B$2)&gt;1,((WEEKDAY($A188)+$T$2)&lt;7),(WEEKDAY($A188)&lt;&gt;1)),"work",(INDEX(Subject!$A:$I,MATCH(RANDBETWEEN(1,(MAX(Subject!$B:$B))),Subject!$B:$B,0),3))))</f>
        <v/>
      </c>
      <c r="H188" s="2" t="str">
        <f t="array" ref="H188">IF(NOW()&gt;AS188,"",IF(AND((WEEKDAY($A188)+$B$2)&gt;1,((WEEKDAY($A188)+$T$2)&lt;7),(WEEKDAY($A188)&lt;&gt;1)),"work",(INDEX(Subject!$A:$I,MATCH(RANDBETWEEN(1,(MAX(Subject!$B:$B))),Subject!$B:$B,0),3))))</f>
        <v/>
      </c>
      <c r="I188" s="2" t="str">
        <f t="array" ref="I188">IF(NOW()&gt;AT188,"",IF(AND((WEEKDAY($A188)+$B$2)&gt;1,((WEEKDAY($A188)+$T$2)&lt;7),(WEEKDAY($A188)&lt;&gt;1)),"work",(INDEX(Subject!$A:$I,MATCH(RANDBETWEEN(1,(MAX(Subject!$B:$B))),Subject!$B:$B,0),3))))</f>
        <v/>
      </c>
      <c r="J188" s="2" t="str">
        <f t="array" ref="J188">IF(NOW()&gt;AU188,"",IF(AND((WEEKDAY($A188)+$B$2)&gt;1,((WEEKDAY($A188)+$T$2)&lt;7),(WEEKDAY($A188)&lt;&gt;1)),"work",(INDEX(Subject!$A:$I,MATCH(RANDBETWEEN(1,(MAX(Subject!$B:$B))),Subject!$B:$B,0),3))))</f>
        <v/>
      </c>
      <c r="K188" s="2" t="str">
        <f t="array" ref="K188">IF(NOW()&gt;AV188,"",IF(AND((WEEKDAY($A188)+$B$2)&gt;1,((WEEKDAY($A188)+$T$2)&lt;7),(WEEKDAY($A188)&lt;&gt;1)),"work",(INDEX(Subject!$A:$I,MATCH(RANDBETWEEN(1,(MAX(Subject!$B:$B))),Subject!$B:$B,0),3))))</f>
        <v/>
      </c>
      <c r="L188" s="2" t="str">
        <f t="array" ref="L188">IF(NOW()&gt;AW188,"",IF(AND((WEEKDAY($A188)+$B$2)&gt;1,((WEEKDAY($A188)+$T$2)&lt;7),(WEEKDAY($A188)&lt;&gt;1)),"work",(INDEX(Subject!$A:$I,MATCH(RANDBETWEEN(1,(MAX(Subject!$B:$B))),Subject!$B:$B,0),3))))</f>
        <v/>
      </c>
      <c r="M188" s="2" t="str">
        <f t="array" ref="M188">IF(NOW()&gt;AX188,"",IF(AND((WEEKDAY($A188)+$B$2)&gt;1,((WEEKDAY($A188)+$T$2)&lt;7),(WEEKDAY($A188)&lt;&gt;1)),"work",(INDEX(Subject!$A:$I,MATCH(RANDBETWEEN(1,(MAX(Subject!$B:$B))),Subject!$B:$B,0),3))))</f>
        <v/>
      </c>
      <c r="N188" s="2" t="str">
        <f t="array" ref="N188">IF(NOW()&gt;AY188,"",IF(AND((WEEKDAY($A188)+$B$2)&gt;1,((WEEKDAY($A188)+$T$2)&lt;7),(WEEKDAY($A188)&lt;&gt;1)),"work",(INDEX(Subject!$A:$I,MATCH(RANDBETWEEN(1,(MAX(Subject!$B:$B))),Subject!$B:$B,0),3))))</f>
        <v/>
      </c>
      <c r="O188" s="2" t="str">
        <f t="array" ref="O188">IF(NOW()&gt;AZ188,"",IF(AND((WEEKDAY($A188)+$B$2)&gt;1,((WEEKDAY($A188)+$T$2)&lt;7),(WEEKDAY($A188)&lt;&gt;1)),"work",(INDEX(Subject!$A:$I,MATCH(RANDBETWEEN(1,(MAX(Subject!$B:$B))),Subject!$B:$B,0),3))))</f>
        <v/>
      </c>
      <c r="P188" s="2" t="str">
        <f t="array" ref="P188">IF(NOW()&gt;BA188,"",IF(AND((WEEKDAY($A188)+$B$2)&gt;1,((WEEKDAY($A188)+$T$2)&lt;7),(WEEKDAY($A188)&lt;&gt;1)),"work",(INDEX(Subject!$A:$I,MATCH(RANDBETWEEN(1,(MAX(Subject!$B:$B))),Subject!$B:$B,0),3))))</f>
        <v/>
      </c>
      <c r="Q188" s="2" t="str">
        <f t="array" ref="Q188">IF(NOW()&gt;BB188,"",IF(AND((WEEKDAY($A188)+$B$2)&gt;1,((WEEKDAY($A188)+$T$2)&lt;7),(WEEKDAY($A188)&lt;&gt;1)),"work",(INDEX(Subject!$A:$I,MATCH(RANDBETWEEN(1,(MAX(Subject!$B:$B))),Subject!$B:$B,0),3))))</f>
        <v/>
      </c>
      <c r="R188" s="2" t="str">
        <f t="array" ref="R188">IF(NOW()&gt;BC188,"",IF(AND((WEEKDAY($A188)+$B$2)&gt;1,((WEEKDAY($A188)+$T$2)&lt;7),(WEEKDAY($A188)&lt;&gt;1)),"work",(INDEX(Subject!$A:$I,MATCH(RANDBETWEEN(1,(MAX(Subject!$B:$B))),Subject!$B:$B,0),3))))</f>
        <v/>
      </c>
      <c r="S188" s="2" t="str">
        <f t="array" ref="S188">IF(NOW()&gt;BD188,"",IF(AND((WEEKDAY($A188)+$B$2)&gt;1,((WEEKDAY($A188)+$T$2)&lt;7),(WEEKDAY($A188)&lt;&gt;1)),"work",(INDEX(Subject!$A:$I,MATCH(RANDBETWEEN(1,(MAX(Subject!$B:$B))),Subject!$B:$B,0),3))))</f>
        <v/>
      </c>
      <c r="T188" s="2" t="str">
        <f t="array" ref="T188">IF(NOW()&gt;BE188,"",IF(AND((WEEKDAY($A188)+$B$2)&gt;1,((WEEKDAY($A188)+$T$2)&lt;7),(WEEKDAY($A188)&lt;&gt;1)),"work",(INDEX(Subject!$A:$I,MATCH(RANDBETWEEN(1,(MAX(Subject!$B:$B))),Subject!$B:$B,0),3))))</f>
        <v/>
      </c>
      <c r="U188" s="8" t="str">
        <f t="array" ref="U188">INDEX(Subject!$A:$I,MATCH(RANDBETWEEN(1,16),Subject!$B:$B,0),3)</f>
        <v>#N/A</v>
      </c>
      <c r="V188" s="8" t="str">
        <f t="array" ref="V188">INDEX(Subject!$A:$I,MATCH(RANDBETWEEN(1,16),Subject!$B:$B,0),3)</f>
        <v>#N/A</v>
      </c>
      <c r="W188" s="8" t="str">
        <f t="array" ref="W188">INDEX(Subject!$A:$I,MATCH(RANDBETWEEN(1,16),Subject!$B:$B,0),3)</f>
        <v>#N/A</v>
      </c>
      <c r="X188" s="8" t="str">
        <f t="array" ref="X188">INDEX(Subject!$A:$I,MATCH(RANDBETWEEN(1,16),Subject!$B:$B,0),3)</f>
        <v>#N/A</v>
      </c>
      <c r="Y188" s="8" t="str">
        <f t="array" ref="Y188">INDEX(Subject!$A:$I,MATCH(RANDBETWEEN(1,16),Subject!$B:$B,0),3)</f>
        <v>#N/A</v>
      </c>
      <c r="Z188" s="8" t="str">
        <f t="array" ref="Z188">INDEX(Subject!$A:$I,MATCH(RANDBETWEEN(1,16),Subject!$B:$B,0),3)</f>
        <v>#N/A</v>
      </c>
      <c r="AA188" s="8" t="str">
        <f t="array" ref="AA188">INDEX(Subject!$A:$I,MATCH(RANDBETWEEN(1,16),Subject!$B:$B,0),3)</f>
        <v>#N/A</v>
      </c>
      <c r="AB188" s="8" t="str">
        <f t="array" ref="AB188">INDEX(Subject!$A:$I,MATCH(RANDBETWEEN(1,16),Subject!$B:$B,0),3)</f>
        <v>#N/A</v>
      </c>
      <c r="AC188" s="8" t="str">
        <f t="array" ref="AC188">INDEX(Subject!$A:$I,MATCH(RANDBETWEEN(1,16),Subject!$B:$B,0),3)</f>
        <v>#N/A</v>
      </c>
      <c r="AD188" s="8" t="str">
        <f t="array" ref="AD188">INDEX(Subject!$A:$I,MATCH(RANDBETWEEN(1,16),Subject!$B:$B,0),3)</f>
        <v>#N/A</v>
      </c>
      <c r="AE188" s="8" t="str">
        <f t="array" ref="AE188">INDEX(Subject!$A:$I,MATCH(RANDBETWEEN(1,16),Subject!$B:$B,0),3)</f>
        <v>#N/A</v>
      </c>
      <c r="AF188" s="8" t="str">
        <f t="array" ref="AF188">INDEX(Subject!$A:$I,MATCH(RANDBETWEEN(1,16),Subject!$B:$B,0),3)</f>
        <v>#N/A</v>
      </c>
      <c r="AG188" s="8" t="str">
        <f t="array" ref="AG188">INDEX(Subject!$A:$I,MATCH(RANDBETWEEN(1,16),Subject!$B:$B,0),3)</f>
        <v>#N/A</v>
      </c>
      <c r="AH188" s="8" t="str">
        <f t="array" ref="AH188">INDEX(Subject!$A:$I,MATCH(RANDBETWEEN(1,16),Subject!$B:$B,0),3)</f>
        <v>#N/A</v>
      </c>
      <c r="AI188" s="8" t="str">
        <f t="array" ref="AI188">INDEX(Subject!$A:$I,MATCH(RANDBETWEEN(1,16),Subject!$B:$B,0),3)</f>
        <v>#N/A</v>
      </c>
      <c r="AJ188" s="8" t="str">
        <f t="array" ref="AJ188">INDEX(Subject!$A:$I,MATCH(RANDBETWEEN(1,16),Subject!$B:$B,0),3)</f>
        <v>#N/A</v>
      </c>
      <c r="AK188" s="8" t="str">
        <f t="array" ref="AK188">INDEX(Subject!$A:$I,MATCH(RANDBETWEEN(1,16),Subject!$B:$B,0),3)</f>
        <v>#N/A</v>
      </c>
      <c r="AL188" s="8" t="str">
        <f t="array" ref="AL188">INDEX(Subject!$A:$I,MATCH(RANDBETWEEN(1,16),Subject!$B:$B,0),3)</f>
        <v>#N/A</v>
      </c>
      <c r="AM188" s="18">
        <f t="shared" si="4"/>
        <v>45688.33333</v>
      </c>
      <c r="AN188" s="19">
        <f t="shared" ref="AN188:BZ188" si="188">$A188+C$1</f>
        <v>45688.35417</v>
      </c>
      <c r="AO188" s="19">
        <f t="shared" si="188"/>
        <v>45688.375</v>
      </c>
      <c r="AP188" s="19">
        <f t="shared" si="188"/>
        <v>45688.39583</v>
      </c>
      <c r="AQ188" s="19">
        <f t="shared" si="188"/>
        <v>45688.41667</v>
      </c>
      <c r="AR188" s="19">
        <f t="shared" si="188"/>
        <v>45688.4375</v>
      </c>
      <c r="AS188" s="19">
        <f t="shared" si="188"/>
        <v>45688.45833</v>
      </c>
      <c r="AT188" s="19">
        <f t="shared" si="188"/>
        <v>45688.47917</v>
      </c>
      <c r="AU188" s="19">
        <f t="shared" si="188"/>
        <v>45688.5</v>
      </c>
      <c r="AV188" s="19">
        <f t="shared" si="188"/>
        <v>45688.52083</v>
      </c>
      <c r="AW188" s="19">
        <f t="shared" si="188"/>
        <v>45688.54167</v>
      </c>
      <c r="AX188" s="19">
        <f t="shared" si="188"/>
        <v>45688.5625</v>
      </c>
      <c r="AY188" s="19">
        <f t="shared" si="188"/>
        <v>45688.58333</v>
      </c>
      <c r="AZ188" s="19">
        <f t="shared" si="188"/>
        <v>45688.60417</v>
      </c>
      <c r="BA188" s="19">
        <f t="shared" si="188"/>
        <v>45688.625</v>
      </c>
      <c r="BB188" s="19">
        <f t="shared" si="188"/>
        <v>45688.64583</v>
      </c>
      <c r="BC188" s="19">
        <f t="shared" si="188"/>
        <v>45688.66667</v>
      </c>
      <c r="BD188" s="19">
        <f t="shared" si="188"/>
        <v>45688.6875</v>
      </c>
      <c r="BE188" s="19">
        <f t="shared" si="188"/>
        <v>45688.70833</v>
      </c>
      <c r="BF188" s="19">
        <f t="shared" si="188"/>
        <v>45688.72917</v>
      </c>
      <c r="BG188" s="19">
        <f t="shared" si="188"/>
        <v>45688.75</v>
      </c>
      <c r="BH188" s="19">
        <f t="shared" si="188"/>
        <v>45688.77083</v>
      </c>
      <c r="BI188" s="19">
        <f t="shared" si="188"/>
        <v>45688.79167</v>
      </c>
      <c r="BJ188" s="19">
        <f t="shared" si="188"/>
        <v>45688.8125</v>
      </c>
      <c r="BK188" s="19">
        <f t="shared" si="188"/>
        <v>45688.83333</v>
      </c>
      <c r="BL188" s="19">
        <f t="shared" si="188"/>
        <v>45688.85417</v>
      </c>
      <c r="BM188" s="19">
        <f t="shared" si="188"/>
        <v>45688.875</v>
      </c>
      <c r="BN188" s="19">
        <f t="shared" si="188"/>
        <v>45688.89583</v>
      </c>
      <c r="BO188" s="19">
        <f t="shared" si="188"/>
        <v>45688.91667</v>
      </c>
      <c r="BP188" s="19">
        <f t="shared" si="188"/>
        <v>45688.9375</v>
      </c>
      <c r="BQ188" s="19">
        <f t="shared" si="188"/>
        <v>45688.95833</v>
      </c>
      <c r="BR188" s="19">
        <f t="shared" si="188"/>
        <v>45688.97917</v>
      </c>
      <c r="BS188" s="19">
        <f t="shared" si="188"/>
        <v>45689</v>
      </c>
      <c r="BT188" s="19">
        <f t="shared" si="188"/>
        <v>45689.02083</v>
      </c>
      <c r="BU188" s="19">
        <f t="shared" si="188"/>
        <v>45689.04167</v>
      </c>
      <c r="BV188" s="19">
        <f t="shared" si="188"/>
        <v>45689.0625</v>
      </c>
      <c r="BW188" s="19">
        <f t="shared" si="188"/>
        <v>45689.08333</v>
      </c>
      <c r="BX188" s="19">
        <f t="shared" si="188"/>
        <v>45688</v>
      </c>
      <c r="BY188" s="19">
        <f t="shared" si="188"/>
        <v>45688</v>
      </c>
      <c r="BZ188" s="19">
        <f t="shared" si="188"/>
        <v>45688</v>
      </c>
    </row>
    <row r="189" ht="14.25" customHeight="1">
      <c r="A189" s="17">
        <v>45689.0</v>
      </c>
      <c r="B189" s="2" t="str">
        <f t="array" ref="B189">IF(NOW()&gt;AM189,"",IF(AND((WEEKDAY($A189)+$B$2)&gt;1,((WEEKDAY($A189)+$T$2)&lt;7),(WEEKDAY($A189)&lt;&gt;1)),"work",(INDEX(Subject!$A:$I,MATCH(RANDBETWEEN(1,(MAX(Subject!$B:$B))),Subject!$B:$B,0),3))))</f>
        <v/>
      </c>
      <c r="C189" s="2" t="str">
        <f t="array" ref="C189">IF(NOW()&gt;AN189,"",IF(AND((WEEKDAY($A189)+$B$2)&gt;1,((WEEKDAY($A189)+$T$2)&lt;7),(WEEKDAY($A189)&lt;&gt;1)),"work",(INDEX(Subject!$A:$I,MATCH(RANDBETWEEN(1,(MAX(Subject!$B:$B))),Subject!$B:$B,0),3))))</f>
        <v/>
      </c>
      <c r="D189" s="2" t="str">
        <f t="array" ref="D189">IF(NOW()&gt;AO189,"",IF(AND((WEEKDAY($A189)+$B$2)&gt;1,((WEEKDAY($A189)+$T$2)&lt;7),(WEEKDAY($A189)&lt;&gt;1)),"work",(INDEX(Subject!$A:$I,MATCH(RANDBETWEEN(1,(MAX(Subject!$B:$B))),Subject!$B:$B,0),3))))</f>
        <v/>
      </c>
      <c r="E189" s="2" t="str">
        <f t="array" ref="E189">IF(NOW()&gt;AP189,"",IF(AND((WEEKDAY($A189)+$B$2)&gt;1,((WEEKDAY($A189)+$T$2)&lt;7),(WEEKDAY($A189)&lt;&gt;1)),"work",(INDEX(Subject!$A:$I,MATCH(RANDBETWEEN(1,(MAX(Subject!$B:$B))),Subject!$B:$B,0),3))))</f>
        <v/>
      </c>
      <c r="F189" s="2" t="str">
        <f t="array" ref="F189">IF(NOW()&gt;AQ189,"",IF(AND((WEEKDAY($A189)+$B$2)&gt;1,((WEEKDAY($A189)+$T$2)&lt;7),(WEEKDAY($A189)&lt;&gt;1)),"work",(INDEX(Subject!$A:$I,MATCH(RANDBETWEEN(1,(MAX(Subject!$B:$B))),Subject!$B:$B,0),3))))</f>
        <v/>
      </c>
      <c r="G189" s="2" t="str">
        <f t="array" ref="G189">IF(NOW()&gt;AR189,"",IF(AND((WEEKDAY($A189)+$B$2)&gt;1,((WEEKDAY($A189)+$T$2)&lt;7),(WEEKDAY($A189)&lt;&gt;1)),"work",(INDEX(Subject!$A:$I,MATCH(RANDBETWEEN(1,(MAX(Subject!$B:$B))),Subject!$B:$B,0),3))))</f>
        <v/>
      </c>
      <c r="H189" s="2" t="str">
        <f t="array" ref="H189">IF(NOW()&gt;AS189,"",IF(AND((WEEKDAY($A189)+$B$2)&gt;1,((WEEKDAY($A189)+$T$2)&lt;7),(WEEKDAY($A189)&lt;&gt;1)),"work",(INDEX(Subject!$A:$I,MATCH(RANDBETWEEN(1,(MAX(Subject!$B:$B))),Subject!$B:$B,0),3))))</f>
        <v/>
      </c>
      <c r="I189" s="2" t="str">
        <f t="array" ref="I189">IF(NOW()&gt;AT189,"",IF(AND((WEEKDAY($A189)+$B$2)&gt;1,((WEEKDAY($A189)+$T$2)&lt;7),(WEEKDAY($A189)&lt;&gt;1)),"work",(INDEX(Subject!$A:$I,MATCH(RANDBETWEEN(1,(MAX(Subject!$B:$B))),Subject!$B:$B,0),3))))</f>
        <v/>
      </c>
      <c r="J189" s="2" t="str">
        <f t="array" ref="J189">IF(NOW()&gt;AU189,"",IF(AND((WEEKDAY($A189)+$B$2)&gt;1,((WEEKDAY($A189)+$T$2)&lt;7),(WEEKDAY($A189)&lt;&gt;1)),"work",(INDEX(Subject!$A:$I,MATCH(RANDBETWEEN(1,(MAX(Subject!$B:$B))),Subject!$B:$B,0),3))))</f>
        <v/>
      </c>
      <c r="K189" s="2" t="str">
        <f t="array" ref="K189">IF(NOW()&gt;AV189,"",IF(AND((WEEKDAY($A189)+$B$2)&gt;1,((WEEKDAY($A189)+$T$2)&lt;7),(WEEKDAY($A189)&lt;&gt;1)),"work",(INDEX(Subject!$A:$I,MATCH(RANDBETWEEN(1,(MAX(Subject!$B:$B))),Subject!$B:$B,0),3))))</f>
        <v/>
      </c>
      <c r="L189" s="2" t="str">
        <f t="array" ref="L189">IF(NOW()&gt;AW189,"",IF(AND((WEEKDAY($A189)+$B$2)&gt;1,((WEEKDAY($A189)+$T$2)&lt;7),(WEEKDAY($A189)&lt;&gt;1)),"work",(INDEX(Subject!$A:$I,MATCH(RANDBETWEEN(1,(MAX(Subject!$B:$B))),Subject!$B:$B,0),3))))</f>
        <v/>
      </c>
      <c r="M189" s="2" t="str">
        <f t="array" ref="M189">IF(NOW()&gt;AX189,"",IF(AND((WEEKDAY($A189)+$B$2)&gt;1,((WEEKDAY($A189)+$T$2)&lt;7),(WEEKDAY($A189)&lt;&gt;1)),"work",(INDEX(Subject!$A:$I,MATCH(RANDBETWEEN(1,(MAX(Subject!$B:$B))),Subject!$B:$B,0),3))))</f>
        <v/>
      </c>
      <c r="N189" s="2" t="str">
        <f t="array" ref="N189">IF(NOW()&gt;AY189,"",IF(AND((WEEKDAY($A189)+$B$2)&gt;1,((WEEKDAY($A189)+$T$2)&lt;7),(WEEKDAY($A189)&lt;&gt;1)),"work",(INDEX(Subject!$A:$I,MATCH(RANDBETWEEN(1,(MAX(Subject!$B:$B))),Subject!$B:$B,0),3))))</f>
        <v/>
      </c>
      <c r="O189" s="2" t="str">
        <f t="array" ref="O189">IF(NOW()&gt;AZ189,"",IF(AND((WEEKDAY($A189)+$B$2)&gt;1,((WEEKDAY($A189)+$T$2)&lt;7),(WEEKDAY($A189)&lt;&gt;1)),"work",(INDEX(Subject!$A:$I,MATCH(RANDBETWEEN(1,(MAX(Subject!$B:$B))),Subject!$B:$B,0),3))))</f>
        <v/>
      </c>
      <c r="P189" s="2" t="str">
        <f t="array" ref="P189">IF(NOW()&gt;BA189,"",IF(AND((WEEKDAY($A189)+$B$2)&gt;1,((WEEKDAY($A189)+$T$2)&lt;7),(WEEKDAY($A189)&lt;&gt;1)),"work",(INDEX(Subject!$A:$I,MATCH(RANDBETWEEN(1,(MAX(Subject!$B:$B))),Subject!$B:$B,0),3))))</f>
        <v/>
      </c>
      <c r="Q189" s="2" t="str">
        <f t="array" ref="Q189">IF(NOW()&gt;BB189,"",IF(AND((WEEKDAY($A189)+$B$2)&gt;1,((WEEKDAY($A189)+$T$2)&lt;7),(WEEKDAY($A189)&lt;&gt;1)),"work",(INDEX(Subject!$A:$I,MATCH(RANDBETWEEN(1,(MAX(Subject!$B:$B))),Subject!$B:$B,0),3))))</f>
        <v/>
      </c>
      <c r="R189" s="2" t="str">
        <f t="array" ref="R189">IF(NOW()&gt;BC189,"",IF(AND((WEEKDAY($A189)+$B$2)&gt;1,((WEEKDAY($A189)+$T$2)&lt;7),(WEEKDAY($A189)&lt;&gt;1)),"work",(INDEX(Subject!$A:$I,MATCH(RANDBETWEEN(1,(MAX(Subject!$B:$B))),Subject!$B:$B,0),3))))</f>
        <v/>
      </c>
      <c r="S189" s="2" t="str">
        <f t="array" ref="S189">IF(NOW()&gt;BD189,"",IF(AND((WEEKDAY($A189)+$B$2)&gt;1,((WEEKDAY($A189)+$T$2)&lt;7),(WEEKDAY($A189)&lt;&gt;1)),"work",(INDEX(Subject!$A:$I,MATCH(RANDBETWEEN(1,(MAX(Subject!$B:$B))),Subject!$B:$B,0),3))))</f>
        <v/>
      </c>
      <c r="T189" s="2" t="str">
        <f t="array" ref="T189">IF(NOW()&gt;BE189,"",IF(AND((WEEKDAY($A189)+$B$2)&gt;1,((WEEKDAY($A189)+$T$2)&lt;7),(WEEKDAY($A189)&lt;&gt;1)),"work",(INDEX(Subject!$A:$I,MATCH(RANDBETWEEN(1,(MAX(Subject!$B:$B))),Subject!$B:$B,0),3))))</f>
        <v/>
      </c>
      <c r="U189" s="8" t="str">
        <f t="array" ref="U189">INDEX(Subject!$A:$I,MATCH(RANDBETWEEN(1,16),Subject!$B:$B,0),3)</f>
        <v>#N/A</v>
      </c>
      <c r="V189" s="8" t="str">
        <f t="array" ref="V189">INDEX(Subject!$A:$I,MATCH(RANDBETWEEN(1,16),Subject!$B:$B,0),3)</f>
        <v>#N/A</v>
      </c>
      <c r="W189" s="8" t="str">
        <f t="array" ref="W189">INDEX(Subject!$A:$I,MATCH(RANDBETWEEN(1,16),Subject!$B:$B,0),3)</f>
        <v>#N/A</v>
      </c>
      <c r="X189" s="8" t="str">
        <f t="array" ref="X189">INDEX(Subject!$A:$I,MATCH(RANDBETWEEN(1,16),Subject!$B:$B,0),3)</f>
        <v>#N/A</v>
      </c>
      <c r="Y189" s="8" t="str">
        <f t="array" ref="Y189">INDEX(Subject!$A:$I,MATCH(RANDBETWEEN(1,16),Subject!$B:$B,0),3)</f>
        <v>#N/A</v>
      </c>
      <c r="Z189" s="8" t="str">
        <f t="array" ref="Z189">INDEX(Subject!$A:$I,MATCH(RANDBETWEEN(1,16),Subject!$B:$B,0),3)</f>
        <v>#N/A</v>
      </c>
      <c r="AA189" s="8" t="str">
        <f t="array" ref="AA189">INDEX(Subject!$A:$I,MATCH(RANDBETWEEN(1,16),Subject!$B:$B,0),3)</f>
        <v>#N/A</v>
      </c>
      <c r="AB189" s="8" t="str">
        <f t="array" ref="AB189">INDEX(Subject!$A:$I,MATCH(RANDBETWEEN(1,16),Subject!$B:$B,0),3)</f>
        <v>#N/A</v>
      </c>
      <c r="AC189" s="8" t="str">
        <f t="array" ref="AC189">INDEX(Subject!$A:$I,MATCH(RANDBETWEEN(1,16),Subject!$B:$B,0),3)</f>
        <v>#N/A</v>
      </c>
      <c r="AD189" s="8" t="str">
        <f t="array" ref="AD189">INDEX(Subject!$A:$I,MATCH(RANDBETWEEN(1,16),Subject!$B:$B,0),3)</f>
        <v>#N/A</v>
      </c>
      <c r="AE189" s="8" t="str">
        <f t="array" ref="AE189">INDEX(Subject!$A:$I,MATCH(RANDBETWEEN(1,16),Subject!$B:$B,0),3)</f>
        <v>#N/A</v>
      </c>
      <c r="AF189" s="8" t="str">
        <f t="array" ref="AF189">INDEX(Subject!$A:$I,MATCH(RANDBETWEEN(1,16),Subject!$B:$B,0),3)</f>
        <v>#N/A</v>
      </c>
      <c r="AG189" s="8" t="str">
        <f t="array" ref="AG189">INDEX(Subject!$A:$I,MATCH(RANDBETWEEN(1,16),Subject!$B:$B,0),3)</f>
        <v>#N/A</v>
      </c>
      <c r="AH189" s="8" t="str">
        <f t="array" ref="AH189">INDEX(Subject!$A:$I,MATCH(RANDBETWEEN(1,16),Subject!$B:$B,0),3)</f>
        <v>#N/A</v>
      </c>
      <c r="AI189" s="8" t="str">
        <f t="array" ref="AI189">INDEX(Subject!$A:$I,MATCH(RANDBETWEEN(1,16),Subject!$B:$B,0),3)</f>
        <v>#N/A</v>
      </c>
      <c r="AJ189" s="8" t="str">
        <f t="array" ref="AJ189">INDEX(Subject!$A:$I,MATCH(RANDBETWEEN(1,16),Subject!$B:$B,0),3)</f>
        <v>#N/A</v>
      </c>
      <c r="AK189" s="8" t="str">
        <f t="array" ref="AK189">INDEX(Subject!$A:$I,MATCH(RANDBETWEEN(1,16),Subject!$B:$B,0),3)</f>
        <v>#N/A</v>
      </c>
      <c r="AL189" s="8" t="str">
        <f t="array" ref="AL189">INDEX(Subject!$A:$I,MATCH(RANDBETWEEN(1,16),Subject!$B:$B,0),3)</f>
        <v>#N/A</v>
      </c>
      <c r="AM189" s="18">
        <f t="shared" si="4"/>
        <v>45689.33333</v>
      </c>
      <c r="AN189" s="19">
        <f t="shared" ref="AN189:BZ189" si="189">$A189+C$1</f>
        <v>45689.35417</v>
      </c>
      <c r="AO189" s="19">
        <f t="shared" si="189"/>
        <v>45689.375</v>
      </c>
      <c r="AP189" s="19">
        <f t="shared" si="189"/>
        <v>45689.39583</v>
      </c>
      <c r="AQ189" s="19">
        <f t="shared" si="189"/>
        <v>45689.41667</v>
      </c>
      <c r="AR189" s="19">
        <f t="shared" si="189"/>
        <v>45689.4375</v>
      </c>
      <c r="AS189" s="19">
        <f t="shared" si="189"/>
        <v>45689.45833</v>
      </c>
      <c r="AT189" s="19">
        <f t="shared" si="189"/>
        <v>45689.47917</v>
      </c>
      <c r="AU189" s="19">
        <f t="shared" si="189"/>
        <v>45689.5</v>
      </c>
      <c r="AV189" s="19">
        <f t="shared" si="189"/>
        <v>45689.52083</v>
      </c>
      <c r="AW189" s="19">
        <f t="shared" si="189"/>
        <v>45689.54167</v>
      </c>
      <c r="AX189" s="19">
        <f t="shared" si="189"/>
        <v>45689.5625</v>
      </c>
      <c r="AY189" s="19">
        <f t="shared" si="189"/>
        <v>45689.58333</v>
      </c>
      <c r="AZ189" s="19">
        <f t="shared" si="189"/>
        <v>45689.60417</v>
      </c>
      <c r="BA189" s="19">
        <f t="shared" si="189"/>
        <v>45689.625</v>
      </c>
      <c r="BB189" s="19">
        <f t="shared" si="189"/>
        <v>45689.64583</v>
      </c>
      <c r="BC189" s="19">
        <f t="shared" si="189"/>
        <v>45689.66667</v>
      </c>
      <c r="BD189" s="19">
        <f t="shared" si="189"/>
        <v>45689.6875</v>
      </c>
      <c r="BE189" s="19">
        <f t="shared" si="189"/>
        <v>45689.70833</v>
      </c>
      <c r="BF189" s="19">
        <f t="shared" si="189"/>
        <v>45689.72917</v>
      </c>
      <c r="BG189" s="19">
        <f t="shared" si="189"/>
        <v>45689.75</v>
      </c>
      <c r="BH189" s="19">
        <f t="shared" si="189"/>
        <v>45689.77083</v>
      </c>
      <c r="BI189" s="19">
        <f t="shared" si="189"/>
        <v>45689.79167</v>
      </c>
      <c r="BJ189" s="19">
        <f t="shared" si="189"/>
        <v>45689.8125</v>
      </c>
      <c r="BK189" s="19">
        <f t="shared" si="189"/>
        <v>45689.83333</v>
      </c>
      <c r="BL189" s="19">
        <f t="shared" si="189"/>
        <v>45689.85417</v>
      </c>
      <c r="BM189" s="19">
        <f t="shared" si="189"/>
        <v>45689.875</v>
      </c>
      <c r="BN189" s="19">
        <f t="shared" si="189"/>
        <v>45689.89583</v>
      </c>
      <c r="BO189" s="19">
        <f t="shared" si="189"/>
        <v>45689.91667</v>
      </c>
      <c r="BP189" s="19">
        <f t="shared" si="189"/>
        <v>45689.9375</v>
      </c>
      <c r="BQ189" s="19">
        <f t="shared" si="189"/>
        <v>45689.95833</v>
      </c>
      <c r="BR189" s="19">
        <f t="shared" si="189"/>
        <v>45689.97917</v>
      </c>
      <c r="BS189" s="19">
        <f t="shared" si="189"/>
        <v>45690</v>
      </c>
      <c r="BT189" s="19">
        <f t="shared" si="189"/>
        <v>45690.02083</v>
      </c>
      <c r="BU189" s="19">
        <f t="shared" si="189"/>
        <v>45690.04167</v>
      </c>
      <c r="BV189" s="19">
        <f t="shared" si="189"/>
        <v>45690.0625</v>
      </c>
      <c r="BW189" s="19">
        <f t="shared" si="189"/>
        <v>45690.08333</v>
      </c>
      <c r="BX189" s="19">
        <f t="shared" si="189"/>
        <v>45689</v>
      </c>
      <c r="BY189" s="19">
        <f t="shared" si="189"/>
        <v>45689</v>
      </c>
      <c r="BZ189" s="19">
        <f t="shared" si="189"/>
        <v>45689</v>
      </c>
    </row>
    <row r="190" ht="14.25" customHeight="1">
      <c r="A190" s="17">
        <v>45690.0</v>
      </c>
      <c r="B190" s="2" t="str">
        <f t="array" ref="B190">IF(NOW()&gt;AM190,"",IF(AND((WEEKDAY($A190)+$B$2)&gt;1,((WEEKDAY($A190)+$T$2)&lt;7),(WEEKDAY($A190)&lt;&gt;1)),"work",(INDEX(Subject!$A:$I,MATCH(RANDBETWEEN(1,(MAX(Subject!$B:$B))),Subject!$B:$B,0),3))))</f>
        <v/>
      </c>
      <c r="C190" s="2" t="str">
        <f t="array" ref="C190">IF(NOW()&gt;AN190,"",IF(AND((WEEKDAY($A190)+$B$2)&gt;1,((WEEKDAY($A190)+$T$2)&lt;7),(WEEKDAY($A190)&lt;&gt;1)),"work",(INDEX(Subject!$A:$I,MATCH(RANDBETWEEN(1,(MAX(Subject!$B:$B))),Subject!$B:$B,0),3))))</f>
        <v/>
      </c>
      <c r="D190" s="2" t="str">
        <f t="array" ref="D190">IF(NOW()&gt;AO190,"",IF(AND((WEEKDAY($A190)+$B$2)&gt;1,((WEEKDAY($A190)+$T$2)&lt;7),(WEEKDAY($A190)&lt;&gt;1)),"work",(INDEX(Subject!$A:$I,MATCH(RANDBETWEEN(1,(MAX(Subject!$B:$B))),Subject!$B:$B,0),3))))</f>
        <v/>
      </c>
      <c r="E190" s="2" t="str">
        <f t="array" ref="E190">IF(NOW()&gt;AP190,"",IF(AND((WEEKDAY($A190)+$B$2)&gt;1,((WEEKDAY($A190)+$T$2)&lt;7),(WEEKDAY($A190)&lt;&gt;1)),"work",(INDEX(Subject!$A:$I,MATCH(RANDBETWEEN(1,(MAX(Subject!$B:$B))),Subject!$B:$B,0),3))))</f>
        <v/>
      </c>
      <c r="F190" s="2" t="str">
        <f t="array" ref="F190">IF(NOW()&gt;AQ190,"",IF(AND((WEEKDAY($A190)+$B$2)&gt;1,((WEEKDAY($A190)+$T$2)&lt;7),(WEEKDAY($A190)&lt;&gt;1)),"work",(INDEX(Subject!$A:$I,MATCH(RANDBETWEEN(1,(MAX(Subject!$B:$B))),Subject!$B:$B,0),3))))</f>
        <v/>
      </c>
      <c r="G190" s="2" t="str">
        <f t="array" ref="G190">IF(NOW()&gt;AR190,"",IF(AND((WEEKDAY($A190)+$B$2)&gt;1,((WEEKDAY($A190)+$T$2)&lt;7),(WEEKDAY($A190)&lt;&gt;1)),"work",(INDEX(Subject!$A:$I,MATCH(RANDBETWEEN(1,(MAX(Subject!$B:$B))),Subject!$B:$B,0),3))))</f>
        <v/>
      </c>
      <c r="H190" s="2" t="str">
        <f t="array" ref="H190">IF(NOW()&gt;AS190,"",IF(AND((WEEKDAY($A190)+$B$2)&gt;1,((WEEKDAY($A190)+$T$2)&lt;7),(WEEKDAY($A190)&lt;&gt;1)),"work",(INDEX(Subject!$A:$I,MATCH(RANDBETWEEN(1,(MAX(Subject!$B:$B))),Subject!$B:$B,0),3))))</f>
        <v/>
      </c>
      <c r="I190" s="2" t="str">
        <f t="array" ref="I190">IF(NOW()&gt;AT190,"",IF(AND((WEEKDAY($A190)+$B$2)&gt;1,((WEEKDAY($A190)+$T$2)&lt;7),(WEEKDAY($A190)&lt;&gt;1)),"work",(INDEX(Subject!$A:$I,MATCH(RANDBETWEEN(1,(MAX(Subject!$B:$B))),Subject!$B:$B,0),3))))</f>
        <v/>
      </c>
      <c r="J190" s="2" t="str">
        <f t="array" ref="J190">IF(NOW()&gt;AU190,"",IF(AND((WEEKDAY($A190)+$B$2)&gt;1,((WEEKDAY($A190)+$T$2)&lt;7),(WEEKDAY($A190)&lt;&gt;1)),"work",(INDEX(Subject!$A:$I,MATCH(RANDBETWEEN(1,(MAX(Subject!$B:$B))),Subject!$B:$B,0),3))))</f>
        <v/>
      </c>
      <c r="K190" s="2" t="str">
        <f t="array" ref="K190">IF(NOW()&gt;AV190,"",IF(AND((WEEKDAY($A190)+$B$2)&gt;1,((WEEKDAY($A190)+$T$2)&lt;7),(WEEKDAY($A190)&lt;&gt;1)),"work",(INDEX(Subject!$A:$I,MATCH(RANDBETWEEN(1,(MAX(Subject!$B:$B))),Subject!$B:$B,0),3))))</f>
        <v/>
      </c>
      <c r="L190" s="2" t="str">
        <f t="array" ref="L190">IF(NOW()&gt;AW190,"",IF(AND((WEEKDAY($A190)+$B$2)&gt;1,((WEEKDAY($A190)+$T$2)&lt;7),(WEEKDAY($A190)&lt;&gt;1)),"work",(INDEX(Subject!$A:$I,MATCH(RANDBETWEEN(1,(MAX(Subject!$B:$B))),Subject!$B:$B,0),3))))</f>
        <v/>
      </c>
      <c r="M190" s="2" t="str">
        <f t="array" ref="M190">IF(NOW()&gt;AX190,"",IF(AND((WEEKDAY($A190)+$B$2)&gt;1,((WEEKDAY($A190)+$T$2)&lt;7),(WEEKDAY($A190)&lt;&gt;1)),"work",(INDEX(Subject!$A:$I,MATCH(RANDBETWEEN(1,(MAX(Subject!$B:$B))),Subject!$B:$B,0),3))))</f>
        <v/>
      </c>
      <c r="N190" s="2" t="str">
        <f t="array" ref="N190">IF(NOW()&gt;AY190,"",IF(AND((WEEKDAY($A190)+$B$2)&gt;1,((WEEKDAY($A190)+$T$2)&lt;7),(WEEKDAY($A190)&lt;&gt;1)),"work",(INDEX(Subject!$A:$I,MATCH(RANDBETWEEN(1,(MAX(Subject!$B:$B))),Subject!$B:$B,0),3))))</f>
        <v/>
      </c>
      <c r="O190" s="2" t="str">
        <f t="array" ref="O190">IF(NOW()&gt;AZ190,"",IF(AND((WEEKDAY($A190)+$B$2)&gt;1,((WEEKDAY($A190)+$T$2)&lt;7),(WEEKDAY($A190)&lt;&gt;1)),"work",(INDEX(Subject!$A:$I,MATCH(RANDBETWEEN(1,(MAX(Subject!$B:$B))),Subject!$B:$B,0),3))))</f>
        <v/>
      </c>
      <c r="P190" s="2" t="str">
        <f t="array" ref="P190">IF(NOW()&gt;BA190,"",IF(AND((WEEKDAY($A190)+$B$2)&gt;1,((WEEKDAY($A190)+$T$2)&lt;7),(WEEKDAY($A190)&lt;&gt;1)),"work",(INDEX(Subject!$A:$I,MATCH(RANDBETWEEN(1,(MAX(Subject!$B:$B))),Subject!$B:$B,0),3))))</f>
        <v/>
      </c>
      <c r="Q190" s="2" t="str">
        <f t="array" ref="Q190">IF(NOW()&gt;BB190,"",IF(AND((WEEKDAY($A190)+$B$2)&gt;1,((WEEKDAY($A190)+$T$2)&lt;7),(WEEKDAY($A190)&lt;&gt;1)),"work",(INDEX(Subject!$A:$I,MATCH(RANDBETWEEN(1,(MAX(Subject!$B:$B))),Subject!$B:$B,0),3))))</f>
        <v/>
      </c>
      <c r="R190" s="2" t="str">
        <f t="array" ref="R190">IF(NOW()&gt;BC190,"",IF(AND((WEEKDAY($A190)+$B$2)&gt;1,((WEEKDAY($A190)+$T$2)&lt;7),(WEEKDAY($A190)&lt;&gt;1)),"work",(INDEX(Subject!$A:$I,MATCH(RANDBETWEEN(1,(MAX(Subject!$B:$B))),Subject!$B:$B,0),3))))</f>
        <v/>
      </c>
      <c r="S190" s="2" t="str">
        <f t="array" ref="S190">IF(NOW()&gt;BD190,"",IF(AND((WEEKDAY($A190)+$B$2)&gt;1,((WEEKDAY($A190)+$T$2)&lt;7),(WEEKDAY($A190)&lt;&gt;1)),"work",(INDEX(Subject!$A:$I,MATCH(RANDBETWEEN(1,(MAX(Subject!$B:$B))),Subject!$B:$B,0),3))))</f>
        <v/>
      </c>
      <c r="T190" s="2" t="str">
        <f t="array" ref="T190">IF(NOW()&gt;BE190,"",IF(AND((WEEKDAY($A190)+$B$2)&gt;1,((WEEKDAY($A190)+$T$2)&lt;7),(WEEKDAY($A190)&lt;&gt;1)),"work",(INDEX(Subject!$A:$I,MATCH(RANDBETWEEN(1,(MAX(Subject!$B:$B))),Subject!$B:$B,0),3))))</f>
        <v/>
      </c>
      <c r="U190" s="8" t="str">
        <f t="array" ref="U190">INDEX(Subject!$A:$I,MATCH(RANDBETWEEN(1,16),Subject!$B:$B,0),3)</f>
        <v>#N/A</v>
      </c>
      <c r="V190" s="8" t="str">
        <f t="array" ref="V190">INDEX(Subject!$A:$I,MATCH(RANDBETWEEN(1,16),Subject!$B:$B,0),3)</f>
        <v>#N/A</v>
      </c>
      <c r="W190" s="8" t="str">
        <f t="array" ref="W190">INDEX(Subject!$A:$I,MATCH(RANDBETWEEN(1,16),Subject!$B:$B,0),3)</f>
        <v>#N/A</v>
      </c>
      <c r="X190" s="8" t="str">
        <f t="array" ref="X190">INDEX(Subject!$A:$I,MATCH(RANDBETWEEN(1,16),Subject!$B:$B,0),3)</f>
        <v>#N/A</v>
      </c>
      <c r="Y190" s="8" t="str">
        <f t="array" ref="Y190">INDEX(Subject!$A:$I,MATCH(RANDBETWEEN(1,16),Subject!$B:$B,0),3)</f>
        <v>#N/A</v>
      </c>
      <c r="Z190" s="8" t="str">
        <f t="array" ref="Z190">INDEX(Subject!$A:$I,MATCH(RANDBETWEEN(1,16),Subject!$B:$B,0),3)</f>
        <v>#N/A</v>
      </c>
      <c r="AA190" s="8" t="str">
        <f t="array" ref="AA190">INDEX(Subject!$A:$I,MATCH(RANDBETWEEN(1,16),Subject!$B:$B,0),3)</f>
        <v>#N/A</v>
      </c>
      <c r="AB190" s="8" t="str">
        <f t="array" ref="AB190">INDEX(Subject!$A:$I,MATCH(RANDBETWEEN(1,16),Subject!$B:$B,0),3)</f>
        <v>#N/A</v>
      </c>
      <c r="AC190" s="8" t="str">
        <f t="array" ref="AC190">INDEX(Subject!$A:$I,MATCH(RANDBETWEEN(1,16),Subject!$B:$B,0),3)</f>
        <v>#N/A</v>
      </c>
      <c r="AD190" s="8" t="str">
        <f t="array" ref="AD190">INDEX(Subject!$A:$I,MATCH(RANDBETWEEN(1,16),Subject!$B:$B,0),3)</f>
        <v>#N/A</v>
      </c>
      <c r="AE190" s="8" t="str">
        <f t="array" ref="AE190">INDEX(Subject!$A:$I,MATCH(RANDBETWEEN(1,16),Subject!$B:$B,0),3)</f>
        <v>#N/A</v>
      </c>
      <c r="AF190" s="8" t="str">
        <f t="array" ref="AF190">INDEX(Subject!$A:$I,MATCH(RANDBETWEEN(1,16),Subject!$B:$B,0),3)</f>
        <v>#N/A</v>
      </c>
      <c r="AG190" s="8" t="str">
        <f t="array" ref="AG190">INDEX(Subject!$A:$I,MATCH(RANDBETWEEN(1,16),Subject!$B:$B,0),3)</f>
        <v>#N/A</v>
      </c>
      <c r="AH190" s="8" t="str">
        <f t="array" ref="AH190">INDEX(Subject!$A:$I,MATCH(RANDBETWEEN(1,16),Subject!$B:$B,0),3)</f>
        <v>#N/A</v>
      </c>
      <c r="AI190" s="8" t="str">
        <f t="array" ref="AI190">INDEX(Subject!$A:$I,MATCH(RANDBETWEEN(1,16),Subject!$B:$B,0),3)</f>
        <v>#N/A</v>
      </c>
      <c r="AJ190" s="8" t="str">
        <f t="array" ref="AJ190">INDEX(Subject!$A:$I,MATCH(RANDBETWEEN(1,16),Subject!$B:$B,0),3)</f>
        <v>#N/A</v>
      </c>
      <c r="AK190" s="8" t="str">
        <f t="array" ref="AK190">INDEX(Subject!$A:$I,MATCH(RANDBETWEEN(1,16),Subject!$B:$B,0),3)</f>
        <v>#N/A</v>
      </c>
      <c r="AL190" s="8" t="str">
        <f t="array" ref="AL190">INDEX(Subject!$A:$I,MATCH(RANDBETWEEN(1,16),Subject!$B:$B,0),3)</f>
        <v>#N/A</v>
      </c>
      <c r="AM190" s="18">
        <f t="shared" si="4"/>
        <v>45690.33333</v>
      </c>
      <c r="AN190" s="19">
        <f t="shared" ref="AN190:BZ190" si="190">$A190+C$1</f>
        <v>45690.35417</v>
      </c>
      <c r="AO190" s="19">
        <f t="shared" si="190"/>
        <v>45690.375</v>
      </c>
      <c r="AP190" s="19">
        <f t="shared" si="190"/>
        <v>45690.39583</v>
      </c>
      <c r="AQ190" s="19">
        <f t="shared" si="190"/>
        <v>45690.41667</v>
      </c>
      <c r="AR190" s="19">
        <f t="shared" si="190"/>
        <v>45690.4375</v>
      </c>
      <c r="AS190" s="19">
        <f t="shared" si="190"/>
        <v>45690.45833</v>
      </c>
      <c r="AT190" s="19">
        <f t="shared" si="190"/>
        <v>45690.47917</v>
      </c>
      <c r="AU190" s="19">
        <f t="shared" si="190"/>
        <v>45690.5</v>
      </c>
      <c r="AV190" s="19">
        <f t="shared" si="190"/>
        <v>45690.52083</v>
      </c>
      <c r="AW190" s="19">
        <f t="shared" si="190"/>
        <v>45690.54167</v>
      </c>
      <c r="AX190" s="19">
        <f t="shared" si="190"/>
        <v>45690.5625</v>
      </c>
      <c r="AY190" s="19">
        <f t="shared" si="190"/>
        <v>45690.58333</v>
      </c>
      <c r="AZ190" s="19">
        <f t="shared" si="190"/>
        <v>45690.60417</v>
      </c>
      <c r="BA190" s="19">
        <f t="shared" si="190"/>
        <v>45690.625</v>
      </c>
      <c r="BB190" s="19">
        <f t="shared" si="190"/>
        <v>45690.64583</v>
      </c>
      <c r="BC190" s="19">
        <f t="shared" si="190"/>
        <v>45690.66667</v>
      </c>
      <c r="BD190" s="19">
        <f t="shared" si="190"/>
        <v>45690.6875</v>
      </c>
      <c r="BE190" s="19">
        <f t="shared" si="190"/>
        <v>45690.70833</v>
      </c>
      <c r="BF190" s="19">
        <f t="shared" si="190"/>
        <v>45690.72917</v>
      </c>
      <c r="BG190" s="19">
        <f t="shared" si="190"/>
        <v>45690.75</v>
      </c>
      <c r="BH190" s="19">
        <f t="shared" si="190"/>
        <v>45690.77083</v>
      </c>
      <c r="BI190" s="19">
        <f t="shared" si="190"/>
        <v>45690.79167</v>
      </c>
      <c r="BJ190" s="19">
        <f t="shared" si="190"/>
        <v>45690.8125</v>
      </c>
      <c r="BK190" s="19">
        <f t="shared" si="190"/>
        <v>45690.83333</v>
      </c>
      <c r="BL190" s="19">
        <f t="shared" si="190"/>
        <v>45690.85417</v>
      </c>
      <c r="BM190" s="19">
        <f t="shared" si="190"/>
        <v>45690.875</v>
      </c>
      <c r="BN190" s="19">
        <f t="shared" si="190"/>
        <v>45690.89583</v>
      </c>
      <c r="BO190" s="19">
        <f t="shared" si="190"/>
        <v>45690.91667</v>
      </c>
      <c r="BP190" s="19">
        <f t="shared" si="190"/>
        <v>45690.9375</v>
      </c>
      <c r="BQ190" s="19">
        <f t="shared" si="190"/>
        <v>45690.95833</v>
      </c>
      <c r="BR190" s="19">
        <f t="shared" si="190"/>
        <v>45690.97917</v>
      </c>
      <c r="BS190" s="19">
        <f t="shared" si="190"/>
        <v>45691</v>
      </c>
      <c r="BT190" s="19">
        <f t="shared" si="190"/>
        <v>45691.02083</v>
      </c>
      <c r="BU190" s="19">
        <f t="shared" si="190"/>
        <v>45691.04167</v>
      </c>
      <c r="BV190" s="19">
        <f t="shared" si="190"/>
        <v>45691.0625</v>
      </c>
      <c r="BW190" s="19">
        <f t="shared" si="190"/>
        <v>45691.08333</v>
      </c>
      <c r="BX190" s="19">
        <f t="shared" si="190"/>
        <v>45690</v>
      </c>
      <c r="BY190" s="19">
        <f t="shared" si="190"/>
        <v>45690</v>
      </c>
      <c r="BZ190" s="19">
        <f t="shared" si="190"/>
        <v>45690</v>
      </c>
    </row>
    <row r="191" ht="14.25" customHeight="1">
      <c r="A191" s="17">
        <v>45691.0</v>
      </c>
      <c r="B191" s="2" t="str">
        <f t="array" ref="B191">IF(NOW()&gt;AM191,"",IF(AND((WEEKDAY($A191)+$B$2)&gt;1,((WEEKDAY($A191)+$T$2)&lt;7),(WEEKDAY($A191)&lt;&gt;1)),"work",(INDEX(Subject!$A:$I,MATCH(RANDBETWEEN(1,(MAX(Subject!$B:$B))),Subject!$B:$B,0),3))))</f>
        <v/>
      </c>
      <c r="C191" s="2" t="str">
        <f t="array" ref="C191">IF(NOW()&gt;AN191,"",IF(AND((WEEKDAY($A191)+$B$2)&gt;1,((WEEKDAY($A191)+$T$2)&lt;7),(WEEKDAY($A191)&lt;&gt;1)),"work",(INDEX(Subject!$A:$I,MATCH(RANDBETWEEN(1,(MAX(Subject!$B:$B))),Subject!$B:$B,0),3))))</f>
        <v/>
      </c>
      <c r="D191" s="2" t="str">
        <f t="array" ref="D191">IF(NOW()&gt;AO191,"",IF(AND((WEEKDAY($A191)+$B$2)&gt;1,((WEEKDAY($A191)+$T$2)&lt;7),(WEEKDAY($A191)&lt;&gt;1)),"work",(INDEX(Subject!$A:$I,MATCH(RANDBETWEEN(1,(MAX(Subject!$B:$B))),Subject!$B:$B,0),3))))</f>
        <v/>
      </c>
      <c r="E191" s="2" t="str">
        <f t="array" ref="E191">IF(NOW()&gt;AP191,"",IF(AND((WEEKDAY($A191)+$B$2)&gt;1,((WEEKDAY($A191)+$T$2)&lt;7),(WEEKDAY($A191)&lt;&gt;1)),"work",(INDEX(Subject!$A:$I,MATCH(RANDBETWEEN(1,(MAX(Subject!$B:$B))),Subject!$B:$B,0),3))))</f>
        <v/>
      </c>
      <c r="F191" s="2" t="str">
        <f t="array" ref="F191">IF(NOW()&gt;AQ191,"",IF(AND((WEEKDAY($A191)+$B$2)&gt;1,((WEEKDAY($A191)+$T$2)&lt;7),(WEEKDAY($A191)&lt;&gt;1)),"work",(INDEX(Subject!$A:$I,MATCH(RANDBETWEEN(1,(MAX(Subject!$B:$B))),Subject!$B:$B,0),3))))</f>
        <v/>
      </c>
      <c r="G191" s="2" t="str">
        <f t="array" ref="G191">IF(NOW()&gt;AR191,"",IF(AND((WEEKDAY($A191)+$B$2)&gt;1,((WEEKDAY($A191)+$T$2)&lt;7),(WEEKDAY($A191)&lt;&gt;1)),"work",(INDEX(Subject!$A:$I,MATCH(RANDBETWEEN(1,(MAX(Subject!$B:$B))),Subject!$B:$B,0),3))))</f>
        <v/>
      </c>
      <c r="H191" s="2" t="str">
        <f t="array" ref="H191">IF(NOW()&gt;AS191,"",IF(AND((WEEKDAY($A191)+$B$2)&gt;1,((WEEKDAY($A191)+$T$2)&lt;7),(WEEKDAY($A191)&lt;&gt;1)),"work",(INDEX(Subject!$A:$I,MATCH(RANDBETWEEN(1,(MAX(Subject!$B:$B))),Subject!$B:$B,0),3))))</f>
        <v/>
      </c>
      <c r="I191" s="2" t="str">
        <f t="array" ref="I191">IF(NOW()&gt;AT191,"",IF(AND((WEEKDAY($A191)+$B$2)&gt;1,((WEEKDAY($A191)+$T$2)&lt;7),(WEEKDAY($A191)&lt;&gt;1)),"work",(INDEX(Subject!$A:$I,MATCH(RANDBETWEEN(1,(MAX(Subject!$B:$B))),Subject!$B:$B,0),3))))</f>
        <v/>
      </c>
      <c r="J191" s="2" t="str">
        <f t="array" ref="J191">IF(NOW()&gt;AU191,"",IF(AND((WEEKDAY($A191)+$B$2)&gt;1,((WEEKDAY($A191)+$T$2)&lt;7),(WEEKDAY($A191)&lt;&gt;1)),"work",(INDEX(Subject!$A:$I,MATCH(RANDBETWEEN(1,(MAX(Subject!$B:$B))),Subject!$B:$B,0),3))))</f>
        <v/>
      </c>
      <c r="K191" s="2" t="str">
        <f t="array" ref="K191">IF(NOW()&gt;AV191,"",IF(AND((WEEKDAY($A191)+$B$2)&gt;1,((WEEKDAY($A191)+$T$2)&lt;7),(WEEKDAY($A191)&lt;&gt;1)),"work",(INDEX(Subject!$A:$I,MATCH(RANDBETWEEN(1,(MAX(Subject!$B:$B))),Subject!$B:$B,0),3))))</f>
        <v/>
      </c>
      <c r="L191" s="2" t="str">
        <f t="array" ref="L191">IF(NOW()&gt;AW191,"",IF(AND((WEEKDAY($A191)+$B$2)&gt;1,((WEEKDAY($A191)+$T$2)&lt;7),(WEEKDAY($A191)&lt;&gt;1)),"work",(INDEX(Subject!$A:$I,MATCH(RANDBETWEEN(1,(MAX(Subject!$B:$B))),Subject!$B:$B,0),3))))</f>
        <v/>
      </c>
      <c r="M191" s="2" t="str">
        <f t="array" ref="M191">IF(NOW()&gt;AX191,"",IF(AND((WEEKDAY($A191)+$B$2)&gt;1,((WEEKDAY($A191)+$T$2)&lt;7),(WEEKDAY($A191)&lt;&gt;1)),"work",(INDEX(Subject!$A:$I,MATCH(RANDBETWEEN(1,(MAX(Subject!$B:$B))),Subject!$B:$B,0),3))))</f>
        <v/>
      </c>
      <c r="N191" s="2" t="str">
        <f t="array" ref="N191">IF(NOW()&gt;AY191,"",IF(AND((WEEKDAY($A191)+$B$2)&gt;1,((WEEKDAY($A191)+$T$2)&lt;7),(WEEKDAY($A191)&lt;&gt;1)),"work",(INDEX(Subject!$A:$I,MATCH(RANDBETWEEN(1,(MAX(Subject!$B:$B))),Subject!$B:$B,0),3))))</f>
        <v/>
      </c>
      <c r="O191" s="2" t="str">
        <f t="array" ref="O191">IF(NOW()&gt;AZ191,"",IF(AND((WEEKDAY($A191)+$B$2)&gt;1,((WEEKDAY($A191)+$T$2)&lt;7),(WEEKDAY($A191)&lt;&gt;1)),"work",(INDEX(Subject!$A:$I,MATCH(RANDBETWEEN(1,(MAX(Subject!$B:$B))),Subject!$B:$B,0),3))))</f>
        <v/>
      </c>
      <c r="P191" s="2" t="str">
        <f t="array" ref="P191">IF(NOW()&gt;BA191,"",IF(AND((WEEKDAY($A191)+$B$2)&gt;1,((WEEKDAY($A191)+$T$2)&lt;7),(WEEKDAY($A191)&lt;&gt;1)),"work",(INDEX(Subject!$A:$I,MATCH(RANDBETWEEN(1,(MAX(Subject!$B:$B))),Subject!$B:$B,0),3))))</f>
        <v/>
      </c>
      <c r="Q191" s="2" t="str">
        <f t="array" ref="Q191">IF(NOW()&gt;BB191,"",IF(AND((WEEKDAY($A191)+$B$2)&gt;1,((WEEKDAY($A191)+$T$2)&lt;7),(WEEKDAY($A191)&lt;&gt;1)),"work",(INDEX(Subject!$A:$I,MATCH(RANDBETWEEN(1,(MAX(Subject!$B:$B))),Subject!$B:$B,0),3))))</f>
        <v/>
      </c>
      <c r="R191" s="2" t="str">
        <f t="array" ref="R191">IF(NOW()&gt;BC191,"",IF(AND((WEEKDAY($A191)+$B$2)&gt;1,((WEEKDAY($A191)+$T$2)&lt;7),(WEEKDAY($A191)&lt;&gt;1)),"work",(INDEX(Subject!$A:$I,MATCH(RANDBETWEEN(1,(MAX(Subject!$B:$B))),Subject!$B:$B,0),3))))</f>
        <v/>
      </c>
      <c r="S191" s="2" t="str">
        <f t="array" ref="S191">IF(NOW()&gt;BD191,"",IF(AND((WEEKDAY($A191)+$B$2)&gt;1,((WEEKDAY($A191)+$T$2)&lt;7),(WEEKDAY($A191)&lt;&gt;1)),"work",(INDEX(Subject!$A:$I,MATCH(RANDBETWEEN(1,(MAX(Subject!$B:$B))),Subject!$B:$B,0),3))))</f>
        <v/>
      </c>
      <c r="T191" s="2" t="str">
        <f t="array" ref="T191">IF(NOW()&gt;BE191,"",IF(AND((WEEKDAY($A191)+$B$2)&gt;1,((WEEKDAY($A191)+$T$2)&lt;7),(WEEKDAY($A191)&lt;&gt;1)),"work",(INDEX(Subject!$A:$I,MATCH(RANDBETWEEN(1,(MAX(Subject!$B:$B))),Subject!$B:$B,0),3))))</f>
        <v/>
      </c>
      <c r="U191" s="8" t="str">
        <f t="array" ref="U191">INDEX(Subject!$A:$I,MATCH(RANDBETWEEN(1,16),Subject!$B:$B,0),3)</f>
        <v>#N/A</v>
      </c>
      <c r="V191" s="8" t="str">
        <f t="array" ref="V191">INDEX(Subject!$A:$I,MATCH(RANDBETWEEN(1,16),Subject!$B:$B,0),3)</f>
        <v>#N/A</v>
      </c>
      <c r="W191" s="8" t="str">
        <f t="array" ref="W191">INDEX(Subject!$A:$I,MATCH(RANDBETWEEN(1,16),Subject!$B:$B,0),3)</f>
        <v>#N/A</v>
      </c>
      <c r="X191" s="8" t="str">
        <f t="array" ref="X191">INDEX(Subject!$A:$I,MATCH(RANDBETWEEN(1,16),Subject!$B:$B,0),3)</f>
        <v>#N/A</v>
      </c>
      <c r="Y191" s="8" t="str">
        <f t="array" ref="Y191">INDEX(Subject!$A:$I,MATCH(RANDBETWEEN(1,16),Subject!$B:$B,0),3)</f>
        <v>#N/A</v>
      </c>
      <c r="Z191" s="8" t="str">
        <f t="array" ref="Z191">INDEX(Subject!$A:$I,MATCH(RANDBETWEEN(1,16),Subject!$B:$B,0),3)</f>
        <v/>
      </c>
      <c r="AA191" s="8" t="str">
        <f t="array" ref="AA191">INDEX(Subject!$A:$I,MATCH(RANDBETWEEN(1,16),Subject!$B:$B,0),3)</f>
        <v>#N/A</v>
      </c>
      <c r="AB191" s="8" t="str">
        <f t="array" ref="AB191">INDEX(Subject!$A:$I,MATCH(RANDBETWEEN(1,16),Subject!$B:$B,0),3)</f>
        <v>#N/A</v>
      </c>
      <c r="AC191" s="8" t="str">
        <f t="array" ref="AC191">INDEX(Subject!$A:$I,MATCH(RANDBETWEEN(1,16),Subject!$B:$B,0),3)</f>
        <v>#N/A</v>
      </c>
      <c r="AD191" s="8" t="str">
        <f t="array" ref="AD191">INDEX(Subject!$A:$I,MATCH(RANDBETWEEN(1,16),Subject!$B:$B,0),3)</f>
        <v>#N/A</v>
      </c>
      <c r="AE191" s="8" t="str">
        <f t="array" ref="AE191">INDEX(Subject!$A:$I,MATCH(RANDBETWEEN(1,16),Subject!$B:$B,0),3)</f>
        <v>#N/A</v>
      </c>
      <c r="AF191" s="8" t="str">
        <f t="array" ref="AF191">INDEX(Subject!$A:$I,MATCH(RANDBETWEEN(1,16),Subject!$B:$B,0),3)</f>
        <v>#N/A</v>
      </c>
      <c r="AG191" s="8" t="str">
        <f t="array" ref="AG191">INDEX(Subject!$A:$I,MATCH(RANDBETWEEN(1,16),Subject!$B:$B,0),3)</f>
        <v>#N/A</v>
      </c>
      <c r="AH191" s="8" t="str">
        <f t="array" ref="AH191">INDEX(Subject!$A:$I,MATCH(RANDBETWEEN(1,16),Subject!$B:$B,0),3)</f>
        <v>#N/A</v>
      </c>
      <c r="AI191" s="8" t="str">
        <f t="array" ref="AI191">INDEX(Subject!$A:$I,MATCH(RANDBETWEEN(1,16),Subject!$B:$B,0),3)</f>
        <v>#N/A</v>
      </c>
      <c r="AJ191" s="8" t="str">
        <f t="array" ref="AJ191">INDEX(Subject!$A:$I,MATCH(RANDBETWEEN(1,16),Subject!$B:$B,0),3)</f>
        <v>#N/A</v>
      </c>
      <c r="AK191" s="8" t="str">
        <f t="array" ref="AK191">INDEX(Subject!$A:$I,MATCH(RANDBETWEEN(1,16),Subject!$B:$B,0),3)</f>
        <v>#N/A</v>
      </c>
      <c r="AL191" s="8" t="str">
        <f t="array" ref="AL191">INDEX(Subject!$A:$I,MATCH(RANDBETWEEN(1,16),Subject!$B:$B,0),3)</f>
        <v>#N/A</v>
      </c>
      <c r="AM191" s="18">
        <f t="shared" si="4"/>
        <v>45691.33333</v>
      </c>
      <c r="AN191" s="19">
        <f t="shared" ref="AN191:BZ191" si="191">$A191+C$1</f>
        <v>45691.35417</v>
      </c>
      <c r="AO191" s="19">
        <f t="shared" si="191"/>
        <v>45691.375</v>
      </c>
      <c r="AP191" s="19">
        <f t="shared" si="191"/>
        <v>45691.39583</v>
      </c>
      <c r="AQ191" s="19">
        <f t="shared" si="191"/>
        <v>45691.41667</v>
      </c>
      <c r="AR191" s="19">
        <f t="shared" si="191"/>
        <v>45691.4375</v>
      </c>
      <c r="AS191" s="19">
        <f t="shared" si="191"/>
        <v>45691.45833</v>
      </c>
      <c r="AT191" s="19">
        <f t="shared" si="191"/>
        <v>45691.47917</v>
      </c>
      <c r="AU191" s="19">
        <f t="shared" si="191"/>
        <v>45691.5</v>
      </c>
      <c r="AV191" s="19">
        <f t="shared" si="191"/>
        <v>45691.52083</v>
      </c>
      <c r="AW191" s="19">
        <f t="shared" si="191"/>
        <v>45691.54167</v>
      </c>
      <c r="AX191" s="19">
        <f t="shared" si="191"/>
        <v>45691.5625</v>
      </c>
      <c r="AY191" s="19">
        <f t="shared" si="191"/>
        <v>45691.58333</v>
      </c>
      <c r="AZ191" s="19">
        <f t="shared" si="191"/>
        <v>45691.60417</v>
      </c>
      <c r="BA191" s="19">
        <f t="shared" si="191"/>
        <v>45691.625</v>
      </c>
      <c r="BB191" s="19">
        <f t="shared" si="191"/>
        <v>45691.64583</v>
      </c>
      <c r="BC191" s="19">
        <f t="shared" si="191"/>
        <v>45691.66667</v>
      </c>
      <c r="BD191" s="19">
        <f t="shared" si="191"/>
        <v>45691.6875</v>
      </c>
      <c r="BE191" s="19">
        <f t="shared" si="191"/>
        <v>45691.70833</v>
      </c>
      <c r="BF191" s="19">
        <f t="shared" si="191"/>
        <v>45691.72917</v>
      </c>
      <c r="BG191" s="19">
        <f t="shared" si="191"/>
        <v>45691.75</v>
      </c>
      <c r="BH191" s="19">
        <f t="shared" si="191"/>
        <v>45691.77083</v>
      </c>
      <c r="BI191" s="19">
        <f t="shared" si="191"/>
        <v>45691.79167</v>
      </c>
      <c r="BJ191" s="19">
        <f t="shared" si="191"/>
        <v>45691.8125</v>
      </c>
      <c r="BK191" s="19">
        <f t="shared" si="191"/>
        <v>45691.83333</v>
      </c>
      <c r="BL191" s="19">
        <f t="shared" si="191"/>
        <v>45691.85417</v>
      </c>
      <c r="BM191" s="19">
        <f t="shared" si="191"/>
        <v>45691.875</v>
      </c>
      <c r="BN191" s="19">
        <f t="shared" si="191"/>
        <v>45691.89583</v>
      </c>
      <c r="BO191" s="19">
        <f t="shared" si="191"/>
        <v>45691.91667</v>
      </c>
      <c r="BP191" s="19">
        <f t="shared" si="191"/>
        <v>45691.9375</v>
      </c>
      <c r="BQ191" s="19">
        <f t="shared" si="191"/>
        <v>45691.95833</v>
      </c>
      <c r="BR191" s="19">
        <f t="shared" si="191"/>
        <v>45691.97917</v>
      </c>
      <c r="BS191" s="19">
        <f t="shared" si="191"/>
        <v>45692</v>
      </c>
      <c r="BT191" s="19">
        <f t="shared" si="191"/>
        <v>45692.02083</v>
      </c>
      <c r="BU191" s="19">
        <f t="shared" si="191"/>
        <v>45692.04167</v>
      </c>
      <c r="BV191" s="19">
        <f t="shared" si="191"/>
        <v>45692.0625</v>
      </c>
      <c r="BW191" s="19">
        <f t="shared" si="191"/>
        <v>45692.08333</v>
      </c>
      <c r="BX191" s="19">
        <f t="shared" si="191"/>
        <v>45691</v>
      </c>
      <c r="BY191" s="19">
        <f t="shared" si="191"/>
        <v>45691</v>
      </c>
      <c r="BZ191" s="19">
        <f t="shared" si="191"/>
        <v>45691</v>
      </c>
    </row>
    <row r="192" ht="14.25" customHeight="1">
      <c r="A192" s="17">
        <v>45692.0</v>
      </c>
      <c r="B192" s="2" t="str">
        <f t="array" ref="B192">IF(NOW()&gt;AM192,"",IF(AND((WEEKDAY($A192)+$B$2)&gt;1,((WEEKDAY($A192)+$T$2)&lt;7),(WEEKDAY($A192)&lt;&gt;1)),"work",(INDEX(Subject!$A:$I,MATCH(RANDBETWEEN(1,(MAX(Subject!$B:$B))),Subject!$B:$B,0),3))))</f>
        <v/>
      </c>
      <c r="C192" s="2" t="str">
        <f t="array" ref="C192">IF(NOW()&gt;AN192,"",IF(AND((WEEKDAY($A192)+$B$2)&gt;1,((WEEKDAY($A192)+$T$2)&lt;7),(WEEKDAY($A192)&lt;&gt;1)),"work",(INDEX(Subject!$A:$I,MATCH(RANDBETWEEN(1,(MAX(Subject!$B:$B))),Subject!$B:$B,0),3))))</f>
        <v/>
      </c>
      <c r="D192" s="2" t="str">
        <f t="array" ref="D192">IF(NOW()&gt;AO192,"",IF(AND((WEEKDAY($A192)+$B$2)&gt;1,((WEEKDAY($A192)+$T$2)&lt;7),(WEEKDAY($A192)&lt;&gt;1)),"work",(INDEX(Subject!$A:$I,MATCH(RANDBETWEEN(1,(MAX(Subject!$B:$B))),Subject!$B:$B,0),3))))</f>
        <v/>
      </c>
      <c r="E192" s="2" t="str">
        <f t="array" ref="E192">IF(NOW()&gt;AP192,"",IF(AND((WEEKDAY($A192)+$B$2)&gt;1,((WEEKDAY($A192)+$T$2)&lt;7),(WEEKDAY($A192)&lt;&gt;1)),"work",(INDEX(Subject!$A:$I,MATCH(RANDBETWEEN(1,(MAX(Subject!$B:$B))),Subject!$B:$B,0),3))))</f>
        <v/>
      </c>
      <c r="F192" s="2" t="str">
        <f t="array" ref="F192">IF(NOW()&gt;AQ192,"",IF(AND((WEEKDAY($A192)+$B$2)&gt;1,((WEEKDAY($A192)+$T$2)&lt;7),(WEEKDAY($A192)&lt;&gt;1)),"work",(INDEX(Subject!$A:$I,MATCH(RANDBETWEEN(1,(MAX(Subject!$B:$B))),Subject!$B:$B,0),3))))</f>
        <v/>
      </c>
      <c r="G192" s="2" t="str">
        <f t="array" ref="G192">IF(NOW()&gt;AR192,"",IF(AND((WEEKDAY($A192)+$B$2)&gt;1,((WEEKDAY($A192)+$T$2)&lt;7),(WEEKDAY($A192)&lt;&gt;1)),"work",(INDEX(Subject!$A:$I,MATCH(RANDBETWEEN(1,(MAX(Subject!$B:$B))),Subject!$B:$B,0),3))))</f>
        <v/>
      </c>
      <c r="H192" s="2" t="str">
        <f t="array" ref="H192">IF(NOW()&gt;AS192,"",IF(AND((WEEKDAY($A192)+$B$2)&gt;1,((WEEKDAY($A192)+$T$2)&lt;7),(WEEKDAY($A192)&lt;&gt;1)),"work",(INDEX(Subject!$A:$I,MATCH(RANDBETWEEN(1,(MAX(Subject!$B:$B))),Subject!$B:$B,0),3))))</f>
        <v/>
      </c>
      <c r="I192" s="2" t="str">
        <f t="array" ref="I192">IF(NOW()&gt;AT192,"",IF(AND((WEEKDAY($A192)+$B$2)&gt;1,((WEEKDAY($A192)+$T$2)&lt;7),(WEEKDAY($A192)&lt;&gt;1)),"work",(INDEX(Subject!$A:$I,MATCH(RANDBETWEEN(1,(MAX(Subject!$B:$B))),Subject!$B:$B,0),3))))</f>
        <v/>
      </c>
      <c r="J192" s="2" t="str">
        <f t="array" ref="J192">IF(NOW()&gt;AU192,"",IF(AND((WEEKDAY($A192)+$B$2)&gt;1,((WEEKDAY($A192)+$T$2)&lt;7),(WEEKDAY($A192)&lt;&gt;1)),"work",(INDEX(Subject!$A:$I,MATCH(RANDBETWEEN(1,(MAX(Subject!$B:$B))),Subject!$B:$B,0),3))))</f>
        <v/>
      </c>
      <c r="K192" s="2" t="str">
        <f t="array" ref="K192">IF(NOW()&gt;AV192,"",IF(AND((WEEKDAY($A192)+$B$2)&gt;1,((WEEKDAY($A192)+$T$2)&lt;7),(WEEKDAY($A192)&lt;&gt;1)),"work",(INDEX(Subject!$A:$I,MATCH(RANDBETWEEN(1,(MAX(Subject!$B:$B))),Subject!$B:$B,0),3))))</f>
        <v/>
      </c>
      <c r="L192" s="2" t="str">
        <f t="array" ref="L192">IF(NOW()&gt;AW192,"",IF(AND((WEEKDAY($A192)+$B$2)&gt;1,((WEEKDAY($A192)+$T$2)&lt;7),(WEEKDAY($A192)&lt;&gt;1)),"work",(INDEX(Subject!$A:$I,MATCH(RANDBETWEEN(1,(MAX(Subject!$B:$B))),Subject!$B:$B,0),3))))</f>
        <v/>
      </c>
      <c r="M192" s="2" t="str">
        <f t="array" ref="M192">IF(NOW()&gt;AX192,"",IF(AND((WEEKDAY($A192)+$B$2)&gt;1,((WEEKDAY($A192)+$T$2)&lt;7),(WEEKDAY($A192)&lt;&gt;1)),"work",(INDEX(Subject!$A:$I,MATCH(RANDBETWEEN(1,(MAX(Subject!$B:$B))),Subject!$B:$B,0),3))))</f>
        <v/>
      </c>
      <c r="N192" s="2" t="str">
        <f t="array" ref="N192">IF(NOW()&gt;AY192,"",IF(AND((WEEKDAY($A192)+$B$2)&gt;1,((WEEKDAY($A192)+$T$2)&lt;7),(WEEKDAY($A192)&lt;&gt;1)),"work",(INDEX(Subject!$A:$I,MATCH(RANDBETWEEN(1,(MAX(Subject!$B:$B))),Subject!$B:$B,0),3))))</f>
        <v/>
      </c>
      <c r="O192" s="2" t="str">
        <f t="array" ref="O192">IF(NOW()&gt;AZ192,"",IF(AND((WEEKDAY($A192)+$B$2)&gt;1,((WEEKDAY($A192)+$T$2)&lt;7),(WEEKDAY($A192)&lt;&gt;1)),"work",(INDEX(Subject!$A:$I,MATCH(RANDBETWEEN(1,(MAX(Subject!$B:$B))),Subject!$B:$B,0),3))))</f>
        <v/>
      </c>
      <c r="P192" s="2" t="str">
        <f t="array" ref="P192">IF(NOW()&gt;BA192,"",IF(AND((WEEKDAY($A192)+$B$2)&gt;1,((WEEKDAY($A192)+$T$2)&lt;7),(WEEKDAY($A192)&lt;&gt;1)),"work",(INDEX(Subject!$A:$I,MATCH(RANDBETWEEN(1,(MAX(Subject!$B:$B))),Subject!$B:$B,0),3))))</f>
        <v/>
      </c>
      <c r="Q192" s="2" t="str">
        <f t="array" ref="Q192">IF(NOW()&gt;BB192,"",IF(AND((WEEKDAY($A192)+$B$2)&gt;1,((WEEKDAY($A192)+$T$2)&lt;7),(WEEKDAY($A192)&lt;&gt;1)),"work",(INDEX(Subject!$A:$I,MATCH(RANDBETWEEN(1,(MAX(Subject!$B:$B))),Subject!$B:$B,0),3))))</f>
        <v/>
      </c>
      <c r="R192" s="2" t="str">
        <f t="array" ref="R192">IF(NOW()&gt;BC192,"",IF(AND((WEEKDAY($A192)+$B$2)&gt;1,((WEEKDAY($A192)+$T$2)&lt;7),(WEEKDAY($A192)&lt;&gt;1)),"work",(INDEX(Subject!$A:$I,MATCH(RANDBETWEEN(1,(MAX(Subject!$B:$B))),Subject!$B:$B,0),3))))</f>
        <v/>
      </c>
      <c r="S192" s="2" t="str">
        <f t="array" ref="S192">IF(NOW()&gt;BD192,"",IF(AND((WEEKDAY($A192)+$B$2)&gt;1,((WEEKDAY($A192)+$T$2)&lt;7),(WEEKDAY($A192)&lt;&gt;1)),"work",(INDEX(Subject!$A:$I,MATCH(RANDBETWEEN(1,(MAX(Subject!$B:$B))),Subject!$B:$B,0),3))))</f>
        <v/>
      </c>
      <c r="T192" s="2" t="str">
        <f t="array" ref="T192">IF(NOW()&gt;BE192,"",IF(AND((WEEKDAY($A192)+$B$2)&gt;1,((WEEKDAY($A192)+$T$2)&lt;7),(WEEKDAY($A192)&lt;&gt;1)),"work",(INDEX(Subject!$A:$I,MATCH(RANDBETWEEN(1,(MAX(Subject!$B:$B))),Subject!$B:$B,0),3))))</f>
        <v/>
      </c>
      <c r="U192" s="8" t="str">
        <f t="array" ref="U192">INDEX(Subject!$A:$I,MATCH(RANDBETWEEN(1,16),Subject!$B:$B,0),3)</f>
        <v>#N/A</v>
      </c>
      <c r="V192" s="8" t="str">
        <f t="array" ref="V192">INDEX(Subject!$A:$I,MATCH(RANDBETWEEN(1,16),Subject!$B:$B,0),3)</f>
        <v>#N/A</v>
      </c>
      <c r="W192" s="8" t="str">
        <f t="array" ref="W192">INDEX(Subject!$A:$I,MATCH(RANDBETWEEN(1,16),Subject!$B:$B,0),3)</f>
        <v>#N/A</v>
      </c>
      <c r="X192" s="8" t="str">
        <f t="array" ref="X192">INDEX(Subject!$A:$I,MATCH(RANDBETWEEN(1,16),Subject!$B:$B,0),3)</f>
        <v>#N/A</v>
      </c>
      <c r="Y192" s="8" t="str">
        <f t="array" ref="Y192">INDEX(Subject!$A:$I,MATCH(RANDBETWEEN(1,16),Subject!$B:$B,0),3)</f>
        <v>#N/A</v>
      </c>
      <c r="Z192" s="8" t="str">
        <f t="array" ref="Z192">INDEX(Subject!$A:$I,MATCH(RANDBETWEEN(1,16),Subject!$B:$B,0),3)</f>
        <v>#N/A</v>
      </c>
      <c r="AA192" s="8" t="str">
        <f t="array" ref="AA192">INDEX(Subject!$A:$I,MATCH(RANDBETWEEN(1,16),Subject!$B:$B,0),3)</f>
        <v>#N/A</v>
      </c>
      <c r="AB192" s="8" t="str">
        <f t="array" ref="AB192">INDEX(Subject!$A:$I,MATCH(RANDBETWEEN(1,16),Subject!$B:$B,0),3)</f>
        <v>#N/A</v>
      </c>
      <c r="AC192" s="8" t="str">
        <f t="array" ref="AC192">INDEX(Subject!$A:$I,MATCH(RANDBETWEEN(1,16),Subject!$B:$B,0),3)</f>
        <v>#N/A</v>
      </c>
      <c r="AD192" s="8" t="str">
        <f t="array" ref="AD192">INDEX(Subject!$A:$I,MATCH(RANDBETWEEN(1,16),Subject!$B:$B,0),3)</f>
        <v>#N/A</v>
      </c>
      <c r="AE192" s="8" t="str">
        <f t="array" ref="AE192">INDEX(Subject!$A:$I,MATCH(RANDBETWEEN(1,16),Subject!$B:$B,0),3)</f>
        <v/>
      </c>
      <c r="AF192" s="8" t="str">
        <f t="array" ref="AF192">INDEX(Subject!$A:$I,MATCH(RANDBETWEEN(1,16),Subject!$B:$B,0),3)</f>
        <v>#N/A</v>
      </c>
      <c r="AG192" s="8" t="str">
        <f t="array" ref="AG192">INDEX(Subject!$A:$I,MATCH(RANDBETWEEN(1,16),Subject!$B:$B,0),3)</f>
        <v>#N/A</v>
      </c>
      <c r="AH192" s="8" t="str">
        <f t="array" ref="AH192">INDEX(Subject!$A:$I,MATCH(RANDBETWEEN(1,16),Subject!$B:$B,0),3)</f>
        <v>#N/A</v>
      </c>
      <c r="AI192" s="8" t="str">
        <f t="array" ref="AI192">INDEX(Subject!$A:$I,MATCH(RANDBETWEEN(1,16),Subject!$B:$B,0),3)</f>
        <v>#N/A</v>
      </c>
      <c r="AJ192" s="8" t="str">
        <f t="array" ref="AJ192">INDEX(Subject!$A:$I,MATCH(RANDBETWEEN(1,16),Subject!$B:$B,0),3)</f>
        <v>#N/A</v>
      </c>
      <c r="AK192" s="8" t="str">
        <f t="array" ref="AK192">INDEX(Subject!$A:$I,MATCH(RANDBETWEEN(1,16),Subject!$B:$B,0),3)</f>
        <v>#N/A</v>
      </c>
      <c r="AL192" s="8" t="str">
        <f t="array" ref="AL192">INDEX(Subject!$A:$I,MATCH(RANDBETWEEN(1,16),Subject!$B:$B,0),3)</f>
        <v/>
      </c>
      <c r="AM192" s="18">
        <f t="shared" si="4"/>
        <v>45692.33333</v>
      </c>
      <c r="AN192" s="19">
        <f t="shared" ref="AN192:BZ192" si="192">$A192+C$1</f>
        <v>45692.35417</v>
      </c>
      <c r="AO192" s="19">
        <f t="shared" si="192"/>
        <v>45692.375</v>
      </c>
      <c r="AP192" s="19">
        <f t="shared" si="192"/>
        <v>45692.39583</v>
      </c>
      <c r="AQ192" s="19">
        <f t="shared" si="192"/>
        <v>45692.41667</v>
      </c>
      <c r="AR192" s="19">
        <f t="shared" si="192"/>
        <v>45692.4375</v>
      </c>
      <c r="AS192" s="19">
        <f t="shared" si="192"/>
        <v>45692.45833</v>
      </c>
      <c r="AT192" s="19">
        <f t="shared" si="192"/>
        <v>45692.47917</v>
      </c>
      <c r="AU192" s="19">
        <f t="shared" si="192"/>
        <v>45692.5</v>
      </c>
      <c r="AV192" s="19">
        <f t="shared" si="192"/>
        <v>45692.52083</v>
      </c>
      <c r="AW192" s="19">
        <f t="shared" si="192"/>
        <v>45692.54167</v>
      </c>
      <c r="AX192" s="19">
        <f t="shared" si="192"/>
        <v>45692.5625</v>
      </c>
      <c r="AY192" s="19">
        <f t="shared" si="192"/>
        <v>45692.58333</v>
      </c>
      <c r="AZ192" s="19">
        <f t="shared" si="192"/>
        <v>45692.60417</v>
      </c>
      <c r="BA192" s="19">
        <f t="shared" si="192"/>
        <v>45692.625</v>
      </c>
      <c r="BB192" s="19">
        <f t="shared" si="192"/>
        <v>45692.64583</v>
      </c>
      <c r="BC192" s="19">
        <f t="shared" si="192"/>
        <v>45692.66667</v>
      </c>
      <c r="BD192" s="19">
        <f t="shared" si="192"/>
        <v>45692.6875</v>
      </c>
      <c r="BE192" s="19">
        <f t="shared" si="192"/>
        <v>45692.70833</v>
      </c>
      <c r="BF192" s="19">
        <f t="shared" si="192"/>
        <v>45692.72917</v>
      </c>
      <c r="BG192" s="19">
        <f t="shared" si="192"/>
        <v>45692.75</v>
      </c>
      <c r="BH192" s="19">
        <f t="shared" si="192"/>
        <v>45692.77083</v>
      </c>
      <c r="BI192" s="19">
        <f t="shared" si="192"/>
        <v>45692.79167</v>
      </c>
      <c r="BJ192" s="19">
        <f t="shared" si="192"/>
        <v>45692.8125</v>
      </c>
      <c r="BK192" s="19">
        <f t="shared" si="192"/>
        <v>45692.83333</v>
      </c>
      <c r="BL192" s="19">
        <f t="shared" si="192"/>
        <v>45692.85417</v>
      </c>
      <c r="BM192" s="19">
        <f t="shared" si="192"/>
        <v>45692.875</v>
      </c>
      <c r="BN192" s="19">
        <f t="shared" si="192"/>
        <v>45692.89583</v>
      </c>
      <c r="BO192" s="19">
        <f t="shared" si="192"/>
        <v>45692.91667</v>
      </c>
      <c r="BP192" s="19">
        <f t="shared" si="192"/>
        <v>45692.9375</v>
      </c>
      <c r="BQ192" s="19">
        <f t="shared" si="192"/>
        <v>45692.95833</v>
      </c>
      <c r="BR192" s="19">
        <f t="shared" si="192"/>
        <v>45692.97917</v>
      </c>
      <c r="BS192" s="19">
        <f t="shared" si="192"/>
        <v>45693</v>
      </c>
      <c r="BT192" s="19">
        <f t="shared" si="192"/>
        <v>45693.02083</v>
      </c>
      <c r="BU192" s="19">
        <f t="shared" si="192"/>
        <v>45693.04167</v>
      </c>
      <c r="BV192" s="19">
        <f t="shared" si="192"/>
        <v>45693.0625</v>
      </c>
      <c r="BW192" s="19">
        <f t="shared" si="192"/>
        <v>45693.08333</v>
      </c>
      <c r="BX192" s="19">
        <f t="shared" si="192"/>
        <v>45692</v>
      </c>
      <c r="BY192" s="19">
        <f t="shared" si="192"/>
        <v>45692</v>
      </c>
      <c r="BZ192" s="19">
        <f t="shared" si="192"/>
        <v>45692</v>
      </c>
    </row>
    <row r="193" ht="14.25" customHeight="1">
      <c r="A193" s="17">
        <v>45693.0</v>
      </c>
      <c r="B193" s="2" t="str">
        <f t="array" ref="B193">IF(NOW()&gt;AM193,"",IF(AND((WEEKDAY($A193)+$B$2)&gt;1,((WEEKDAY($A193)+$T$2)&lt;7),(WEEKDAY($A193)&lt;&gt;1)),"work",(INDEX(Subject!$A:$I,MATCH(RANDBETWEEN(1,(MAX(Subject!$B:$B))),Subject!$B:$B,0),3))))</f>
        <v/>
      </c>
      <c r="C193" s="2" t="str">
        <f t="array" ref="C193">IF(NOW()&gt;AN193,"",IF(AND((WEEKDAY($A193)+$B$2)&gt;1,((WEEKDAY($A193)+$T$2)&lt;7),(WEEKDAY($A193)&lt;&gt;1)),"work",(INDEX(Subject!$A:$I,MATCH(RANDBETWEEN(1,(MAX(Subject!$B:$B))),Subject!$B:$B,0),3))))</f>
        <v/>
      </c>
      <c r="D193" s="2" t="str">
        <f t="array" ref="D193">IF(NOW()&gt;AO193,"",IF(AND((WEEKDAY($A193)+$B$2)&gt;1,((WEEKDAY($A193)+$T$2)&lt;7),(WEEKDAY($A193)&lt;&gt;1)),"work",(INDEX(Subject!$A:$I,MATCH(RANDBETWEEN(1,(MAX(Subject!$B:$B))),Subject!$B:$B,0),3))))</f>
        <v/>
      </c>
      <c r="E193" s="2" t="str">
        <f t="array" ref="E193">IF(NOW()&gt;AP193,"",IF(AND((WEEKDAY($A193)+$B$2)&gt;1,((WEEKDAY($A193)+$T$2)&lt;7),(WEEKDAY($A193)&lt;&gt;1)),"work",(INDEX(Subject!$A:$I,MATCH(RANDBETWEEN(1,(MAX(Subject!$B:$B))),Subject!$B:$B,0),3))))</f>
        <v/>
      </c>
      <c r="F193" s="2" t="str">
        <f t="array" ref="F193">IF(NOW()&gt;AQ193,"",IF(AND((WEEKDAY($A193)+$B$2)&gt;1,((WEEKDAY($A193)+$T$2)&lt;7),(WEEKDAY($A193)&lt;&gt;1)),"work",(INDEX(Subject!$A:$I,MATCH(RANDBETWEEN(1,(MAX(Subject!$B:$B))),Subject!$B:$B,0),3))))</f>
        <v/>
      </c>
      <c r="G193" s="2" t="str">
        <f t="array" ref="G193">IF(NOW()&gt;AR193,"",IF(AND((WEEKDAY($A193)+$B$2)&gt;1,((WEEKDAY($A193)+$T$2)&lt;7),(WEEKDAY($A193)&lt;&gt;1)),"work",(INDEX(Subject!$A:$I,MATCH(RANDBETWEEN(1,(MAX(Subject!$B:$B))),Subject!$B:$B,0),3))))</f>
        <v/>
      </c>
      <c r="H193" s="2" t="str">
        <f t="array" ref="H193">IF(NOW()&gt;AS193,"",IF(AND((WEEKDAY($A193)+$B$2)&gt;1,((WEEKDAY($A193)+$T$2)&lt;7),(WEEKDAY($A193)&lt;&gt;1)),"work",(INDEX(Subject!$A:$I,MATCH(RANDBETWEEN(1,(MAX(Subject!$B:$B))),Subject!$B:$B,0),3))))</f>
        <v/>
      </c>
      <c r="I193" s="2" t="str">
        <f t="array" ref="I193">IF(NOW()&gt;AT193,"",IF(AND((WEEKDAY($A193)+$B$2)&gt;1,((WEEKDAY($A193)+$T$2)&lt;7),(WEEKDAY($A193)&lt;&gt;1)),"work",(INDEX(Subject!$A:$I,MATCH(RANDBETWEEN(1,(MAX(Subject!$B:$B))),Subject!$B:$B,0),3))))</f>
        <v/>
      </c>
      <c r="J193" s="2" t="str">
        <f t="array" ref="J193">IF(NOW()&gt;AU193,"",IF(AND((WEEKDAY($A193)+$B$2)&gt;1,((WEEKDAY($A193)+$T$2)&lt;7),(WEEKDAY($A193)&lt;&gt;1)),"work",(INDEX(Subject!$A:$I,MATCH(RANDBETWEEN(1,(MAX(Subject!$B:$B))),Subject!$B:$B,0),3))))</f>
        <v/>
      </c>
      <c r="K193" s="2" t="str">
        <f t="array" ref="K193">IF(NOW()&gt;AV193,"",IF(AND((WEEKDAY($A193)+$B$2)&gt;1,((WEEKDAY($A193)+$T$2)&lt;7),(WEEKDAY($A193)&lt;&gt;1)),"work",(INDEX(Subject!$A:$I,MATCH(RANDBETWEEN(1,(MAX(Subject!$B:$B))),Subject!$B:$B,0),3))))</f>
        <v/>
      </c>
      <c r="L193" s="2" t="str">
        <f t="array" ref="L193">IF(NOW()&gt;AW193,"",IF(AND((WEEKDAY($A193)+$B$2)&gt;1,((WEEKDAY($A193)+$T$2)&lt;7),(WEEKDAY($A193)&lt;&gt;1)),"work",(INDEX(Subject!$A:$I,MATCH(RANDBETWEEN(1,(MAX(Subject!$B:$B))),Subject!$B:$B,0),3))))</f>
        <v/>
      </c>
      <c r="M193" s="2" t="str">
        <f t="array" ref="M193">IF(NOW()&gt;AX193,"",IF(AND((WEEKDAY($A193)+$B$2)&gt;1,((WEEKDAY($A193)+$T$2)&lt;7),(WEEKDAY($A193)&lt;&gt;1)),"work",(INDEX(Subject!$A:$I,MATCH(RANDBETWEEN(1,(MAX(Subject!$B:$B))),Subject!$B:$B,0),3))))</f>
        <v/>
      </c>
      <c r="N193" s="2" t="str">
        <f t="array" ref="N193">IF(NOW()&gt;AY193,"",IF(AND((WEEKDAY($A193)+$B$2)&gt;1,((WEEKDAY($A193)+$T$2)&lt;7),(WEEKDAY($A193)&lt;&gt;1)),"work",(INDEX(Subject!$A:$I,MATCH(RANDBETWEEN(1,(MAX(Subject!$B:$B))),Subject!$B:$B,0),3))))</f>
        <v/>
      </c>
      <c r="O193" s="2" t="str">
        <f t="array" ref="O193">IF(NOW()&gt;AZ193,"",IF(AND((WEEKDAY($A193)+$B$2)&gt;1,((WEEKDAY($A193)+$T$2)&lt;7),(WEEKDAY($A193)&lt;&gt;1)),"work",(INDEX(Subject!$A:$I,MATCH(RANDBETWEEN(1,(MAX(Subject!$B:$B))),Subject!$B:$B,0),3))))</f>
        <v/>
      </c>
      <c r="P193" s="2" t="str">
        <f t="array" ref="P193">IF(NOW()&gt;BA193,"",IF(AND((WEEKDAY($A193)+$B$2)&gt;1,((WEEKDAY($A193)+$T$2)&lt;7),(WEEKDAY($A193)&lt;&gt;1)),"work",(INDEX(Subject!$A:$I,MATCH(RANDBETWEEN(1,(MAX(Subject!$B:$B))),Subject!$B:$B,0),3))))</f>
        <v/>
      </c>
      <c r="Q193" s="2" t="str">
        <f t="array" ref="Q193">IF(NOW()&gt;BB193,"",IF(AND((WEEKDAY($A193)+$B$2)&gt;1,((WEEKDAY($A193)+$T$2)&lt;7),(WEEKDAY($A193)&lt;&gt;1)),"work",(INDEX(Subject!$A:$I,MATCH(RANDBETWEEN(1,(MAX(Subject!$B:$B))),Subject!$B:$B,0),3))))</f>
        <v/>
      </c>
      <c r="R193" s="2" t="str">
        <f t="array" ref="R193">IF(NOW()&gt;BC193,"",IF(AND((WEEKDAY($A193)+$B$2)&gt;1,((WEEKDAY($A193)+$T$2)&lt;7),(WEEKDAY($A193)&lt;&gt;1)),"work",(INDEX(Subject!$A:$I,MATCH(RANDBETWEEN(1,(MAX(Subject!$B:$B))),Subject!$B:$B,0),3))))</f>
        <v/>
      </c>
      <c r="S193" s="2" t="str">
        <f t="array" ref="S193">IF(NOW()&gt;BD193,"",IF(AND((WEEKDAY($A193)+$B$2)&gt;1,((WEEKDAY($A193)+$T$2)&lt;7),(WEEKDAY($A193)&lt;&gt;1)),"work",(INDEX(Subject!$A:$I,MATCH(RANDBETWEEN(1,(MAX(Subject!$B:$B))),Subject!$B:$B,0),3))))</f>
        <v/>
      </c>
      <c r="T193" s="2" t="str">
        <f t="array" ref="T193">IF(NOW()&gt;BE193,"",IF(AND((WEEKDAY($A193)+$B$2)&gt;1,((WEEKDAY($A193)+$T$2)&lt;7),(WEEKDAY($A193)&lt;&gt;1)),"work",(INDEX(Subject!$A:$I,MATCH(RANDBETWEEN(1,(MAX(Subject!$B:$B))),Subject!$B:$B,0),3))))</f>
        <v/>
      </c>
      <c r="U193" s="8" t="str">
        <f t="array" ref="U193">INDEX(Subject!$A:$I,MATCH(RANDBETWEEN(1,16),Subject!$B:$B,0),3)</f>
        <v>#N/A</v>
      </c>
      <c r="V193" s="8" t="str">
        <f t="array" ref="V193">INDEX(Subject!$A:$I,MATCH(RANDBETWEEN(1,16),Subject!$B:$B,0),3)</f>
        <v>#N/A</v>
      </c>
      <c r="W193" s="8" t="str">
        <f t="array" ref="W193">INDEX(Subject!$A:$I,MATCH(RANDBETWEEN(1,16),Subject!$B:$B,0),3)</f>
        <v>#N/A</v>
      </c>
      <c r="X193" s="8" t="str">
        <f t="array" ref="X193">INDEX(Subject!$A:$I,MATCH(RANDBETWEEN(1,16),Subject!$B:$B,0),3)</f>
        <v>#N/A</v>
      </c>
      <c r="Y193" s="8" t="str">
        <f t="array" ref="Y193">INDEX(Subject!$A:$I,MATCH(RANDBETWEEN(1,16),Subject!$B:$B,0),3)</f>
        <v>#N/A</v>
      </c>
      <c r="Z193" s="8" t="str">
        <f t="array" ref="Z193">INDEX(Subject!$A:$I,MATCH(RANDBETWEEN(1,16),Subject!$B:$B,0),3)</f>
        <v>#N/A</v>
      </c>
      <c r="AA193" s="8" t="str">
        <f t="array" ref="AA193">INDEX(Subject!$A:$I,MATCH(RANDBETWEEN(1,16),Subject!$B:$B,0),3)</f>
        <v>#N/A</v>
      </c>
      <c r="AB193" s="8" t="str">
        <f t="array" ref="AB193">INDEX(Subject!$A:$I,MATCH(RANDBETWEEN(1,16),Subject!$B:$B,0),3)</f>
        <v>#N/A</v>
      </c>
      <c r="AC193" s="8" t="str">
        <f t="array" ref="AC193">INDEX(Subject!$A:$I,MATCH(RANDBETWEEN(1,16),Subject!$B:$B,0),3)</f>
        <v>#N/A</v>
      </c>
      <c r="AD193" s="8" t="str">
        <f t="array" ref="AD193">INDEX(Subject!$A:$I,MATCH(RANDBETWEEN(1,16),Subject!$B:$B,0),3)</f>
        <v/>
      </c>
      <c r="AE193" s="8" t="str">
        <f t="array" ref="AE193">INDEX(Subject!$A:$I,MATCH(RANDBETWEEN(1,16),Subject!$B:$B,0),3)</f>
        <v>#N/A</v>
      </c>
      <c r="AF193" s="8" t="str">
        <f t="array" ref="AF193">INDEX(Subject!$A:$I,MATCH(RANDBETWEEN(1,16),Subject!$B:$B,0),3)</f>
        <v>#N/A</v>
      </c>
      <c r="AG193" s="8" t="str">
        <f t="array" ref="AG193">INDEX(Subject!$A:$I,MATCH(RANDBETWEEN(1,16),Subject!$B:$B,0),3)</f>
        <v>#N/A</v>
      </c>
      <c r="AH193" s="8" t="str">
        <f t="array" ref="AH193">INDEX(Subject!$A:$I,MATCH(RANDBETWEEN(1,16),Subject!$B:$B,0),3)</f>
        <v>#N/A</v>
      </c>
      <c r="AI193" s="8" t="str">
        <f t="array" ref="AI193">INDEX(Subject!$A:$I,MATCH(RANDBETWEEN(1,16),Subject!$B:$B,0),3)</f>
        <v/>
      </c>
      <c r="AJ193" s="8" t="str">
        <f t="array" ref="AJ193">INDEX(Subject!$A:$I,MATCH(RANDBETWEEN(1,16),Subject!$B:$B,0),3)</f>
        <v>#N/A</v>
      </c>
      <c r="AK193" s="8" t="str">
        <f t="array" ref="AK193">INDEX(Subject!$A:$I,MATCH(RANDBETWEEN(1,16),Subject!$B:$B,0),3)</f>
        <v>#N/A</v>
      </c>
      <c r="AL193" s="8" t="str">
        <f t="array" ref="AL193">INDEX(Subject!$A:$I,MATCH(RANDBETWEEN(1,16),Subject!$B:$B,0),3)</f>
        <v>#N/A</v>
      </c>
      <c r="AM193" s="18">
        <f t="shared" si="4"/>
        <v>45693.33333</v>
      </c>
      <c r="AN193" s="19">
        <f t="shared" ref="AN193:BZ193" si="193">$A193+C$1</f>
        <v>45693.35417</v>
      </c>
      <c r="AO193" s="19">
        <f t="shared" si="193"/>
        <v>45693.375</v>
      </c>
      <c r="AP193" s="19">
        <f t="shared" si="193"/>
        <v>45693.39583</v>
      </c>
      <c r="AQ193" s="19">
        <f t="shared" si="193"/>
        <v>45693.41667</v>
      </c>
      <c r="AR193" s="19">
        <f t="shared" si="193"/>
        <v>45693.4375</v>
      </c>
      <c r="AS193" s="19">
        <f t="shared" si="193"/>
        <v>45693.45833</v>
      </c>
      <c r="AT193" s="19">
        <f t="shared" si="193"/>
        <v>45693.47917</v>
      </c>
      <c r="AU193" s="19">
        <f t="shared" si="193"/>
        <v>45693.5</v>
      </c>
      <c r="AV193" s="19">
        <f t="shared" si="193"/>
        <v>45693.52083</v>
      </c>
      <c r="AW193" s="19">
        <f t="shared" si="193"/>
        <v>45693.54167</v>
      </c>
      <c r="AX193" s="19">
        <f t="shared" si="193"/>
        <v>45693.5625</v>
      </c>
      <c r="AY193" s="19">
        <f t="shared" si="193"/>
        <v>45693.58333</v>
      </c>
      <c r="AZ193" s="19">
        <f t="shared" si="193"/>
        <v>45693.60417</v>
      </c>
      <c r="BA193" s="19">
        <f t="shared" si="193"/>
        <v>45693.625</v>
      </c>
      <c r="BB193" s="19">
        <f t="shared" si="193"/>
        <v>45693.64583</v>
      </c>
      <c r="BC193" s="19">
        <f t="shared" si="193"/>
        <v>45693.66667</v>
      </c>
      <c r="BD193" s="19">
        <f t="shared" si="193"/>
        <v>45693.6875</v>
      </c>
      <c r="BE193" s="19">
        <f t="shared" si="193"/>
        <v>45693.70833</v>
      </c>
      <c r="BF193" s="19">
        <f t="shared" si="193"/>
        <v>45693.72917</v>
      </c>
      <c r="BG193" s="19">
        <f t="shared" si="193"/>
        <v>45693.75</v>
      </c>
      <c r="BH193" s="19">
        <f t="shared" si="193"/>
        <v>45693.77083</v>
      </c>
      <c r="BI193" s="19">
        <f t="shared" si="193"/>
        <v>45693.79167</v>
      </c>
      <c r="BJ193" s="19">
        <f t="shared" si="193"/>
        <v>45693.8125</v>
      </c>
      <c r="BK193" s="19">
        <f t="shared" si="193"/>
        <v>45693.83333</v>
      </c>
      <c r="BL193" s="19">
        <f t="shared" si="193"/>
        <v>45693.85417</v>
      </c>
      <c r="BM193" s="19">
        <f t="shared" si="193"/>
        <v>45693.875</v>
      </c>
      <c r="BN193" s="19">
        <f t="shared" si="193"/>
        <v>45693.89583</v>
      </c>
      <c r="BO193" s="19">
        <f t="shared" si="193"/>
        <v>45693.91667</v>
      </c>
      <c r="BP193" s="19">
        <f t="shared" si="193"/>
        <v>45693.9375</v>
      </c>
      <c r="BQ193" s="19">
        <f t="shared" si="193"/>
        <v>45693.95833</v>
      </c>
      <c r="BR193" s="19">
        <f t="shared" si="193"/>
        <v>45693.97917</v>
      </c>
      <c r="BS193" s="19">
        <f t="shared" si="193"/>
        <v>45694</v>
      </c>
      <c r="BT193" s="19">
        <f t="shared" si="193"/>
        <v>45694.02083</v>
      </c>
      <c r="BU193" s="19">
        <f t="shared" si="193"/>
        <v>45694.04167</v>
      </c>
      <c r="BV193" s="19">
        <f t="shared" si="193"/>
        <v>45694.0625</v>
      </c>
      <c r="BW193" s="19">
        <f t="shared" si="193"/>
        <v>45694.08333</v>
      </c>
      <c r="BX193" s="19">
        <f t="shared" si="193"/>
        <v>45693</v>
      </c>
      <c r="BY193" s="19">
        <f t="shared" si="193"/>
        <v>45693</v>
      </c>
      <c r="BZ193" s="19">
        <f t="shared" si="193"/>
        <v>45693</v>
      </c>
    </row>
    <row r="194" ht="14.25" customHeight="1">
      <c r="A194" s="17">
        <v>45694.0</v>
      </c>
      <c r="B194" s="2" t="str">
        <f t="array" ref="B194">IF(NOW()&gt;AM194,"",IF(AND((WEEKDAY($A194)+$B$2)&gt;1,((WEEKDAY($A194)+$T$2)&lt;7),(WEEKDAY($A194)&lt;&gt;1)),"work",(INDEX(Subject!$A:$I,MATCH(RANDBETWEEN(1,(MAX(Subject!$B:$B))),Subject!$B:$B,0),3))))</f>
        <v/>
      </c>
      <c r="C194" s="2" t="str">
        <f t="array" ref="C194">IF(NOW()&gt;AN194,"",IF(AND((WEEKDAY($A194)+$B$2)&gt;1,((WEEKDAY($A194)+$T$2)&lt;7),(WEEKDAY($A194)&lt;&gt;1)),"work",(INDEX(Subject!$A:$I,MATCH(RANDBETWEEN(1,(MAX(Subject!$B:$B))),Subject!$B:$B,0),3))))</f>
        <v/>
      </c>
      <c r="D194" s="2" t="str">
        <f t="array" ref="D194">IF(NOW()&gt;AO194,"",IF(AND((WEEKDAY($A194)+$B$2)&gt;1,((WEEKDAY($A194)+$T$2)&lt;7),(WEEKDAY($A194)&lt;&gt;1)),"work",(INDEX(Subject!$A:$I,MATCH(RANDBETWEEN(1,(MAX(Subject!$B:$B))),Subject!$B:$B,0),3))))</f>
        <v/>
      </c>
      <c r="E194" s="2" t="str">
        <f t="array" ref="E194">IF(NOW()&gt;AP194,"",IF(AND((WEEKDAY($A194)+$B$2)&gt;1,((WEEKDAY($A194)+$T$2)&lt;7),(WEEKDAY($A194)&lt;&gt;1)),"work",(INDEX(Subject!$A:$I,MATCH(RANDBETWEEN(1,(MAX(Subject!$B:$B))),Subject!$B:$B,0),3))))</f>
        <v/>
      </c>
      <c r="F194" s="2" t="str">
        <f t="array" ref="F194">IF(NOW()&gt;AQ194,"",IF(AND((WEEKDAY($A194)+$B$2)&gt;1,((WEEKDAY($A194)+$T$2)&lt;7),(WEEKDAY($A194)&lt;&gt;1)),"work",(INDEX(Subject!$A:$I,MATCH(RANDBETWEEN(1,(MAX(Subject!$B:$B))),Subject!$B:$B,0),3))))</f>
        <v/>
      </c>
      <c r="G194" s="2" t="str">
        <f t="array" ref="G194">IF(NOW()&gt;AR194,"",IF(AND((WEEKDAY($A194)+$B$2)&gt;1,((WEEKDAY($A194)+$T$2)&lt;7),(WEEKDAY($A194)&lt;&gt;1)),"work",(INDEX(Subject!$A:$I,MATCH(RANDBETWEEN(1,(MAX(Subject!$B:$B))),Subject!$B:$B,0),3))))</f>
        <v/>
      </c>
      <c r="H194" s="2" t="str">
        <f t="array" ref="H194">IF(NOW()&gt;AS194,"",IF(AND((WEEKDAY($A194)+$B$2)&gt;1,((WEEKDAY($A194)+$T$2)&lt;7),(WEEKDAY($A194)&lt;&gt;1)),"work",(INDEX(Subject!$A:$I,MATCH(RANDBETWEEN(1,(MAX(Subject!$B:$B))),Subject!$B:$B,0),3))))</f>
        <v/>
      </c>
      <c r="I194" s="2" t="str">
        <f t="array" ref="I194">IF(NOW()&gt;AT194,"",IF(AND((WEEKDAY($A194)+$B$2)&gt;1,((WEEKDAY($A194)+$T$2)&lt;7),(WEEKDAY($A194)&lt;&gt;1)),"work",(INDEX(Subject!$A:$I,MATCH(RANDBETWEEN(1,(MAX(Subject!$B:$B))),Subject!$B:$B,0),3))))</f>
        <v/>
      </c>
      <c r="J194" s="2" t="str">
        <f t="array" ref="J194">IF(NOW()&gt;AU194,"",IF(AND((WEEKDAY($A194)+$B$2)&gt;1,((WEEKDAY($A194)+$T$2)&lt;7),(WEEKDAY($A194)&lt;&gt;1)),"work",(INDEX(Subject!$A:$I,MATCH(RANDBETWEEN(1,(MAX(Subject!$B:$B))),Subject!$B:$B,0),3))))</f>
        <v/>
      </c>
      <c r="K194" s="2" t="str">
        <f t="array" ref="K194">IF(NOW()&gt;AV194,"",IF(AND((WEEKDAY($A194)+$B$2)&gt;1,((WEEKDAY($A194)+$T$2)&lt;7),(WEEKDAY($A194)&lt;&gt;1)),"work",(INDEX(Subject!$A:$I,MATCH(RANDBETWEEN(1,(MAX(Subject!$B:$B))),Subject!$B:$B,0),3))))</f>
        <v/>
      </c>
      <c r="L194" s="2" t="str">
        <f t="array" ref="L194">IF(NOW()&gt;AW194,"",IF(AND((WEEKDAY($A194)+$B$2)&gt;1,((WEEKDAY($A194)+$T$2)&lt;7),(WEEKDAY($A194)&lt;&gt;1)),"work",(INDEX(Subject!$A:$I,MATCH(RANDBETWEEN(1,(MAX(Subject!$B:$B))),Subject!$B:$B,0),3))))</f>
        <v/>
      </c>
      <c r="M194" s="2" t="str">
        <f t="array" ref="M194">IF(NOW()&gt;AX194,"",IF(AND((WEEKDAY($A194)+$B$2)&gt;1,((WEEKDAY($A194)+$T$2)&lt;7),(WEEKDAY($A194)&lt;&gt;1)),"work",(INDEX(Subject!$A:$I,MATCH(RANDBETWEEN(1,(MAX(Subject!$B:$B))),Subject!$B:$B,0),3))))</f>
        <v/>
      </c>
      <c r="N194" s="2" t="str">
        <f t="array" ref="N194">IF(NOW()&gt;AY194,"",IF(AND((WEEKDAY($A194)+$B$2)&gt;1,((WEEKDAY($A194)+$T$2)&lt;7),(WEEKDAY($A194)&lt;&gt;1)),"work",(INDEX(Subject!$A:$I,MATCH(RANDBETWEEN(1,(MAX(Subject!$B:$B))),Subject!$B:$B,0),3))))</f>
        <v/>
      </c>
      <c r="O194" s="2" t="str">
        <f t="array" ref="O194">IF(NOW()&gt;AZ194,"",IF(AND((WEEKDAY($A194)+$B$2)&gt;1,((WEEKDAY($A194)+$T$2)&lt;7),(WEEKDAY($A194)&lt;&gt;1)),"work",(INDEX(Subject!$A:$I,MATCH(RANDBETWEEN(1,(MAX(Subject!$B:$B))),Subject!$B:$B,0),3))))</f>
        <v/>
      </c>
      <c r="P194" s="2" t="str">
        <f t="array" ref="P194">IF(NOW()&gt;BA194,"",IF(AND((WEEKDAY($A194)+$B$2)&gt;1,((WEEKDAY($A194)+$T$2)&lt;7),(WEEKDAY($A194)&lt;&gt;1)),"work",(INDEX(Subject!$A:$I,MATCH(RANDBETWEEN(1,(MAX(Subject!$B:$B))),Subject!$B:$B,0),3))))</f>
        <v/>
      </c>
      <c r="Q194" s="2" t="str">
        <f t="array" ref="Q194">IF(NOW()&gt;BB194,"",IF(AND((WEEKDAY($A194)+$B$2)&gt;1,((WEEKDAY($A194)+$T$2)&lt;7),(WEEKDAY($A194)&lt;&gt;1)),"work",(INDEX(Subject!$A:$I,MATCH(RANDBETWEEN(1,(MAX(Subject!$B:$B))),Subject!$B:$B,0),3))))</f>
        <v/>
      </c>
      <c r="R194" s="2" t="str">
        <f t="array" ref="R194">IF(NOW()&gt;BC194,"",IF(AND((WEEKDAY($A194)+$B$2)&gt;1,((WEEKDAY($A194)+$T$2)&lt;7),(WEEKDAY($A194)&lt;&gt;1)),"work",(INDEX(Subject!$A:$I,MATCH(RANDBETWEEN(1,(MAX(Subject!$B:$B))),Subject!$B:$B,0),3))))</f>
        <v/>
      </c>
      <c r="S194" s="2" t="str">
        <f t="array" ref="S194">IF(NOW()&gt;BD194,"",IF(AND((WEEKDAY($A194)+$B$2)&gt;1,((WEEKDAY($A194)+$T$2)&lt;7),(WEEKDAY($A194)&lt;&gt;1)),"work",(INDEX(Subject!$A:$I,MATCH(RANDBETWEEN(1,(MAX(Subject!$B:$B))),Subject!$B:$B,0),3))))</f>
        <v/>
      </c>
      <c r="T194" s="2" t="str">
        <f t="array" ref="T194">IF(NOW()&gt;BE194,"",IF(AND((WEEKDAY($A194)+$B$2)&gt;1,((WEEKDAY($A194)+$T$2)&lt;7),(WEEKDAY($A194)&lt;&gt;1)),"work",(INDEX(Subject!$A:$I,MATCH(RANDBETWEEN(1,(MAX(Subject!$B:$B))),Subject!$B:$B,0),3))))</f>
        <v/>
      </c>
      <c r="U194" s="8" t="str">
        <f t="array" ref="U194">INDEX(Subject!$A:$I,MATCH(RANDBETWEEN(1,16),Subject!$B:$B,0),3)</f>
        <v>#N/A</v>
      </c>
      <c r="V194" s="8" t="str">
        <f t="array" ref="V194">INDEX(Subject!$A:$I,MATCH(RANDBETWEEN(1,16),Subject!$B:$B,0),3)</f>
        <v>#N/A</v>
      </c>
      <c r="W194" s="8" t="str">
        <f t="array" ref="W194">INDEX(Subject!$A:$I,MATCH(RANDBETWEEN(1,16),Subject!$B:$B,0),3)</f>
        <v>#N/A</v>
      </c>
      <c r="X194" s="8" t="str">
        <f t="array" ref="X194">INDEX(Subject!$A:$I,MATCH(RANDBETWEEN(1,16),Subject!$B:$B,0),3)</f>
        <v>#N/A</v>
      </c>
      <c r="Y194" s="8" t="str">
        <f t="array" ref="Y194">INDEX(Subject!$A:$I,MATCH(RANDBETWEEN(1,16),Subject!$B:$B,0),3)</f>
        <v>#N/A</v>
      </c>
      <c r="Z194" s="8" t="str">
        <f t="array" ref="Z194">INDEX(Subject!$A:$I,MATCH(RANDBETWEEN(1,16),Subject!$B:$B,0),3)</f>
        <v>#N/A</v>
      </c>
      <c r="AA194" s="8" t="str">
        <f t="array" ref="AA194">INDEX(Subject!$A:$I,MATCH(RANDBETWEEN(1,16),Subject!$B:$B,0),3)</f>
        <v>#N/A</v>
      </c>
      <c r="AB194" s="8" t="str">
        <f t="array" ref="AB194">INDEX(Subject!$A:$I,MATCH(RANDBETWEEN(1,16),Subject!$B:$B,0),3)</f>
        <v/>
      </c>
      <c r="AC194" s="8" t="str">
        <f t="array" ref="AC194">INDEX(Subject!$A:$I,MATCH(RANDBETWEEN(1,16),Subject!$B:$B,0),3)</f>
        <v/>
      </c>
      <c r="AD194" s="8" t="str">
        <f t="array" ref="AD194">INDEX(Subject!$A:$I,MATCH(RANDBETWEEN(1,16),Subject!$B:$B,0),3)</f>
        <v>#N/A</v>
      </c>
      <c r="AE194" s="8" t="str">
        <f t="array" ref="AE194">INDEX(Subject!$A:$I,MATCH(RANDBETWEEN(1,16),Subject!$B:$B,0),3)</f>
        <v/>
      </c>
      <c r="AF194" s="8" t="str">
        <f t="array" ref="AF194">INDEX(Subject!$A:$I,MATCH(RANDBETWEEN(1,16),Subject!$B:$B,0),3)</f>
        <v>#N/A</v>
      </c>
      <c r="AG194" s="8" t="str">
        <f t="array" ref="AG194">INDEX(Subject!$A:$I,MATCH(RANDBETWEEN(1,16),Subject!$B:$B,0),3)</f>
        <v>#N/A</v>
      </c>
      <c r="AH194" s="8" t="str">
        <f t="array" ref="AH194">INDEX(Subject!$A:$I,MATCH(RANDBETWEEN(1,16),Subject!$B:$B,0),3)</f>
        <v>#N/A</v>
      </c>
      <c r="AI194" s="8" t="str">
        <f t="array" ref="AI194">INDEX(Subject!$A:$I,MATCH(RANDBETWEEN(1,16),Subject!$B:$B,0),3)</f>
        <v>#N/A</v>
      </c>
      <c r="AJ194" s="8" t="str">
        <f t="array" ref="AJ194">INDEX(Subject!$A:$I,MATCH(RANDBETWEEN(1,16),Subject!$B:$B,0),3)</f>
        <v>#N/A</v>
      </c>
      <c r="AK194" s="8" t="str">
        <f t="array" ref="AK194">INDEX(Subject!$A:$I,MATCH(RANDBETWEEN(1,16),Subject!$B:$B,0),3)</f>
        <v>#N/A</v>
      </c>
      <c r="AL194" s="8" t="str">
        <f t="array" ref="AL194">INDEX(Subject!$A:$I,MATCH(RANDBETWEEN(1,16),Subject!$B:$B,0),3)</f>
        <v>#N/A</v>
      </c>
      <c r="AM194" s="18">
        <f t="shared" si="4"/>
        <v>45694.33333</v>
      </c>
      <c r="AN194" s="19">
        <f t="shared" ref="AN194:BZ194" si="194">$A194+C$1</f>
        <v>45694.35417</v>
      </c>
      <c r="AO194" s="19">
        <f t="shared" si="194"/>
        <v>45694.375</v>
      </c>
      <c r="AP194" s="19">
        <f t="shared" si="194"/>
        <v>45694.39583</v>
      </c>
      <c r="AQ194" s="19">
        <f t="shared" si="194"/>
        <v>45694.41667</v>
      </c>
      <c r="AR194" s="19">
        <f t="shared" si="194"/>
        <v>45694.4375</v>
      </c>
      <c r="AS194" s="19">
        <f t="shared" si="194"/>
        <v>45694.45833</v>
      </c>
      <c r="AT194" s="19">
        <f t="shared" si="194"/>
        <v>45694.47917</v>
      </c>
      <c r="AU194" s="19">
        <f t="shared" si="194"/>
        <v>45694.5</v>
      </c>
      <c r="AV194" s="19">
        <f t="shared" si="194"/>
        <v>45694.52083</v>
      </c>
      <c r="AW194" s="19">
        <f t="shared" si="194"/>
        <v>45694.54167</v>
      </c>
      <c r="AX194" s="19">
        <f t="shared" si="194"/>
        <v>45694.5625</v>
      </c>
      <c r="AY194" s="19">
        <f t="shared" si="194"/>
        <v>45694.58333</v>
      </c>
      <c r="AZ194" s="19">
        <f t="shared" si="194"/>
        <v>45694.60417</v>
      </c>
      <c r="BA194" s="19">
        <f t="shared" si="194"/>
        <v>45694.625</v>
      </c>
      <c r="BB194" s="19">
        <f t="shared" si="194"/>
        <v>45694.64583</v>
      </c>
      <c r="BC194" s="19">
        <f t="shared" si="194"/>
        <v>45694.66667</v>
      </c>
      <c r="BD194" s="19">
        <f t="shared" si="194"/>
        <v>45694.6875</v>
      </c>
      <c r="BE194" s="19">
        <f t="shared" si="194"/>
        <v>45694.70833</v>
      </c>
      <c r="BF194" s="19">
        <f t="shared" si="194"/>
        <v>45694.72917</v>
      </c>
      <c r="BG194" s="19">
        <f t="shared" si="194"/>
        <v>45694.75</v>
      </c>
      <c r="BH194" s="19">
        <f t="shared" si="194"/>
        <v>45694.77083</v>
      </c>
      <c r="BI194" s="19">
        <f t="shared" si="194"/>
        <v>45694.79167</v>
      </c>
      <c r="BJ194" s="19">
        <f t="shared" si="194"/>
        <v>45694.8125</v>
      </c>
      <c r="BK194" s="19">
        <f t="shared" si="194"/>
        <v>45694.83333</v>
      </c>
      <c r="BL194" s="19">
        <f t="shared" si="194"/>
        <v>45694.85417</v>
      </c>
      <c r="BM194" s="19">
        <f t="shared" si="194"/>
        <v>45694.875</v>
      </c>
      <c r="BN194" s="19">
        <f t="shared" si="194"/>
        <v>45694.89583</v>
      </c>
      <c r="BO194" s="19">
        <f t="shared" si="194"/>
        <v>45694.91667</v>
      </c>
      <c r="BP194" s="19">
        <f t="shared" si="194"/>
        <v>45694.9375</v>
      </c>
      <c r="BQ194" s="19">
        <f t="shared" si="194"/>
        <v>45694.95833</v>
      </c>
      <c r="BR194" s="19">
        <f t="shared" si="194"/>
        <v>45694.97917</v>
      </c>
      <c r="BS194" s="19">
        <f t="shared" si="194"/>
        <v>45695</v>
      </c>
      <c r="BT194" s="19">
        <f t="shared" si="194"/>
        <v>45695.02083</v>
      </c>
      <c r="BU194" s="19">
        <f t="shared" si="194"/>
        <v>45695.04167</v>
      </c>
      <c r="BV194" s="19">
        <f t="shared" si="194"/>
        <v>45695.0625</v>
      </c>
      <c r="BW194" s="19">
        <f t="shared" si="194"/>
        <v>45695.08333</v>
      </c>
      <c r="BX194" s="19">
        <f t="shared" si="194"/>
        <v>45694</v>
      </c>
      <c r="BY194" s="19">
        <f t="shared" si="194"/>
        <v>45694</v>
      </c>
      <c r="BZ194" s="19">
        <f t="shared" si="194"/>
        <v>45694</v>
      </c>
    </row>
    <row r="195" ht="14.25" customHeight="1">
      <c r="A195" s="17">
        <v>45695.0</v>
      </c>
      <c r="B195" s="2" t="str">
        <f t="array" ref="B195">IF(NOW()&gt;AM195,"",IF(AND((WEEKDAY($A195)+$B$2)&gt;1,((WEEKDAY($A195)+$T$2)&lt;7),(WEEKDAY($A195)&lt;&gt;1)),"work",(INDEX(Subject!$A:$I,MATCH(RANDBETWEEN(1,(MAX(Subject!$B:$B))),Subject!$B:$B,0),3))))</f>
        <v/>
      </c>
      <c r="C195" s="2" t="str">
        <f t="array" ref="C195">IF(NOW()&gt;AN195,"",IF(AND((WEEKDAY($A195)+$B$2)&gt;1,((WEEKDAY($A195)+$T$2)&lt;7),(WEEKDAY($A195)&lt;&gt;1)),"work",(INDEX(Subject!$A:$I,MATCH(RANDBETWEEN(1,(MAX(Subject!$B:$B))),Subject!$B:$B,0),3))))</f>
        <v/>
      </c>
      <c r="D195" s="2" t="str">
        <f t="array" ref="D195">IF(NOW()&gt;AO195,"",IF(AND((WEEKDAY($A195)+$B$2)&gt;1,((WEEKDAY($A195)+$T$2)&lt;7),(WEEKDAY($A195)&lt;&gt;1)),"work",(INDEX(Subject!$A:$I,MATCH(RANDBETWEEN(1,(MAX(Subject!$B:$B))),Subject!$B:$B,0),3))))</f>
        <v/>
      </c>
      <c r="E195" s="2" t="str">
        <f t="array" ref="E195">IF(NOW()&gt;AP195,"",IF(AND((WEEKDAY($A195)+$B$2)&gt;1,((WEEKDAY($A195)+$T$2)&lt;7),(WEEKDAY($A195)&lt;&gt;1)),"work",(INDEX(Subject!$A:$I,MATCH(RANDBETWEEN(1,(MAX(Subject!$B:$B))),Subject!$B:$B,0),3))))</f>
        <v/>
      </c>
      <c r="F195" s="2" t="str">
        <f t="array" ref="F195">IF(NOW()&gt;AQ195,"",IF(AND((WEEKDAY($A195)+$B$2)&gt;1,((WEEKDAY($A195)+$T$2)&lt;7),(WEEKDAY($A195)&lt;&gt;1)),"work",(INDEX(Subject!$A:$I,MATCH(RANDBETWEEN(1,(MAX(Subject!$B:$B))),Subject!$B:$B,0),3))))</f>
        <v/>
      </c>
      <c r="G195" s="2" t="str">
        <f t="array" ref="G195">IF(NOW()&gt;AR195,"",IF(AND((WEEKDAY($A195)+$B$2)&gt;1,((WEEKDAY($A195)+$T$2)&lt;7),(WEEKDAY($A195)&lt;&gt;1)),"work",(INDEX(Subject!$A:$I,MATCH(RANDBETWEEN(1,(MAX(Subject!$B:$B))),Subject!$B:$B,0),3))))</f>
        <v/>
      </c>
      <c r="H195" s="2" t="str">
        <f t="array" ref="H195">IF(NOW()&gt;AS195,"",IF(AND((WEEKDAY($A195)+$B$2)&gt;1,((WEEKDAY($A195)+$T$2)&lt;7),(WEEKDAY($A195)&lt;&gt;1)),"work",(INDEX(Subject!$A:$I,MATCH(RANDBETWEEN(1,(MAX(Subject!$B:$B))),Subject!$B:$B,0),3))))</f>
        <v/>
      </c>
      <c r="I195" s="2" t="str">
        <f t="array" ref="I195">IF(NOW()&gt;AT195,"",IF(AND((WEEKDAY($A195)+$B$2)&gt;1,((WEEKDAY($A195)+$T$2)&lt;7),(WEEKDAY($A195)&lt;&gt;1)),"work",(INDEX(Subject!$A:$I,MATCH(RANDBETWEEN(1,(MAX(Subject!$B:$B))),Subject!$B:$B,0),3))))</f>
        <v/>
      </c>
      <c r="J195" s="2" t="str">
        <f t="array" ref="J195">IF(NOW()&gt;AU195,"",IF(AND((WEEKDAY($A195)+$B$2)&gt;1,((WEEKDAY($A195)+$T$2)&lt;7),(WEEKDAY($A195)&lt;&gt;1)),"work",(INDEX(Subject!$A:$I,MATCH(RANDBETWEEN(1,(MAX(Subject!$B:$B))),Subject!$B:$B,0),3))))</f>
        <v/>
      </c>
      <c r="K195" s="2" t="str">
        <f t="array" ref="K195">IF(NOW()&gt;AV195,"",IF(AND((WEEKDAY($A195)+$B$2)&gt;1,((WEEKDAY($A195)+$T$2)&lt;7),(WEEKDAY($A195)&lt;&gt;1)),"work",(INDEX(Subject!$A:$I,MATCH(RANDBETWEEN(1,(MAX(Subject!$B:$B))),Subject!$B:$B,0),3))))</f>
        <v/>
      </c>
      <c r="L195" s="2" t="str">
        <f t="array" ref="L195">IF(NOW()&gt;AW195,"",IF(AND((WEEKDAY($A195)+$B$2)&gt;1,((WEEKDAY($A195)+$T$2)&lt;7),(WEEKDAY($A195)&lt;&gt;1)),"work",(INDEX(Subject!$A:$I,MATCH(RANDBETWEEN(1,(MAX(Subject!$B:$B))),Subject!$B:$B,0),3))))</f>
        <v/>
      </c>
      <c r="M195" s="2" t="str">
        <f t="array" ref="M195">IF(NOW()&gt;AX195,"",IF(AND((WEEKDAY($A195)+$B$2)&gt;1,((WEEKDAY($A195)+$T$2)&lt;7),(WEEKDAY($A195)&lt;&gt;1)),"work",(INDEX(Subject!$A:$I,MATCH(RANDBETWEEN(1,(MAX(Subject!$B:$B))),Subject!$B:$B,0),3))))</f>
        <v/>
      </c>
      <c r="N195" s="2" t="str">
        <f t="array" ref="N195">IF(NOW()&gt;AY195,"",IF(AND((WEEKDAY($A195)+$B$2)&gt;1,((WEEKDAY($A195)+$T$2)&lt;7),(WEEKDAY($A195)&lt;&gt;1)),"work",(INDEX(Subject!$A:$I,MATCH(RANDBETWEEN(1,(MAX(Subject!$B:$B))),Subject!$B:$B,0),3))))</f>
        <v/>
      </c>
      <c r="O195" s="2" t="str">
        <f t="array" ref="O195">IF(NOW()&gt;AZ195,"",IF(AND((WEEKDAY($A195)+$B$2)&gt;1,((WEEKDAY($A195)+$T$2)&lt;7),(WEEKDAY($A195)&lt;&gt;1)),"work",(INDEX(Subject!$A:$I,MATCH(RANDBETWEEN(1,(MAX(Subject!$B:$B))),Subject!$B:$B,0),3))))</f>
        <v/>
      </c>
      <c r="P195" s="2" t="str">
        <f t="array" ref="P195">IF(NOW()&gt;BA195,"",IF(AND((WEEKDAY($A195)+$B$2)&gt;1,((WEEKDAY($A195)+$T$2)&lt;7),(WEEKDAY($A195)&lt;&gt;1)),"work",(INDEX(Subject!$A:$I,MATCH(RANDBETWEEN(1,(MAX(Subject!$B:$B))),Subject!$B:$B,0),3))))</f>
        <v/>
      </c>
      <c r="Q195" s="2" t="str">
        <f t="array" ref="Q195">IF(NOW()&gt;BB195,"",IF(AND((WEEKDAY($A195)+$B$2)&gt;1,((WEEKDAY($A195)+$T$2)&lt;7),(WEEKDAY($A195)&lt;&gt;1)),"work",(INDEX(Subject!$A:$I,MATCH(RANDBETWEEN(1,(MAX(Subject!$B:$B))),Subject!$B:$B,0),3))))</f>
        <v/>
      </c>
      <c r="R195" s="2" t="str">
        <f t="array" ref="R195">IF(NOW()&gt;BC195,"",IF(AND((WEEKDAY($A195)+$B$2)&gt;1,((WEEKDAY($A195)+$T$2)&lt;7),(WEEKDAY($A195)&lt;&gt;1)),"work",(INDEX(Subject!$A:$I,MATCH(RANDBETWEEN(1,(MAX(Subject!$B:$B))),Subject!$B:$B,0),3))))</f>
        <v/>
      </c>
      <c r="S195" s="2" t="str">
        <f t="array" ref="S195">IF(NOW()&gt;BD195,"",IF(AND((WEEKDAY($A195)+$B$2)&gt;1,((WEEKDAY($A195)+$T$2)&lt;7),(WEEKDAY($A195)&lt;&gt;1)),"work",(INDEX(Subject!$A:$I,MATCH(RANDBETWEEN(1,(MAX(Subject!$B:$B))),Subject!$B:$B,0),3))))</f>
        <v/>
      </c>
      <c r="T195" s="2" t="str">
        <f t="array" ref="T195">IF(NOW()&gt;BE195,"",IF(AND((WEEKDAY($A195)+$B$2)&gt;1,((WEEKDAY($A195)+$T$2)&lt;7),(WEEKDAY($A195)&lt;&gt;1)),"work",(INDEX(Subject!$A:$I,MATCH(RANDBETWEEN(1,(MAX(Subject!$B:$B))),Subject!$B:$B,0),3))))</f>
        <v/>
      </c>
      <c r="U195" s="8" t="str">
        <f t="array" ref="U195">INDEX(Subject!$A:$I,MATCH(RANDBETWEEN(1,16),Subject!$B:$B,0),3)</f>
        <v>#N/A</v>
      </c>
      <c r="V195" s="8" t="str">
        <f t="array" ref="V195">INDEX(Subject!$A:$I,MATCH(RANDBETWEEN(1,16),Subject!$B:$B,0),3)</f>
        <v>#N/A</v>
      </c>
      <c r="W195" s="8" t="str">
        <f t="array" ref="W195">INDEX(Subject!$A:$I,MATCH(RANDBETWEEN(1,16),Subject!$B:$B,0),3)</f>
        <v>#N/A</v>
      </c>
      <c r="X195" s="8" t="str">
        <f t="array" ref="X195">INDEX(Subject!$A:$I,MATCH(RANDBETWEEN(1,16),Subject!$B:$B,0),3)</f>
        <v>#N/A</v>
      </c>
      <c r="Y195" s="8" t="str">
        <f t="array" ref="Y195">INDEX(Subject!$A:$I,MATCH(RANDBETWEEN(1,16),Subject!$B:$B,0),3)</f>
        <v>#N/A</v>
      </c>
      <c r="Z195" s="8" t="str">
        <f t="array" ref="Z195">INDEX(Subject!$A:$I,MATCH(RANDBETWEEN(1,16),Subject!$B:$B,0),3)</f>
        <v>#N/A</v>
      </c>
      <c r="AA195" s="8" t="str">
        <f t="array" ref="AA195">INDEX(Subject!$A:$I,MATCH(RANDBETWEEN(1,16),Subject!$B:$B,0),3)</f>
        <v>#N/A</v>
      </c>
      <c r="AB195" s="8" t="str">
        <f t="array" ref="AB195">INDEX(Subject!$A:$I,MATCH(RANDBETWEEN(1,16),Subject!$B:$B,0),3)</f>
        <v>#N/A</v>
      </c>
      <c r="AC195" s="8" t="str">
        <f t="array" ref="AC195">INDEX(Subject!$A:$I,MATCH(RANDBETWEEN(1,16),Subject!$B:$B,0),3)</f>
        <v>#N/A</v>
      </c>
      <c r="AD195" s="8" t="str">
        <f t="array" ref="AD195">INDEX(Subject!$A:$I,MATCH(RANDBETWEEN(1,16),Subject!$B:$B,0),3)</f>
        <v>#N/A</v>
      </c>
      <c r="AE195" s="8" t="str">
        <f t="array" ref="AE195">INDEX(Subject!$A:$I,MATCH(RANDBETWEEN(1,16),Subject!$B:$B,0),3)</f>
        <v>#N/A</v>
      </c>
      <c r="AF195" s="8" t="str">
        <f t="array" ref="AF195">INDEX(Subject!$A:$I,MATCH(RANDBETWEEN(1,16),Subject!$B:$B,0),3)</f>
        <v>#N/A</v>
      </c>
      <c r="AG195" s="8" t="str">
        <f t="array" ref="AG195">INDEX(Subject!$A:$I,MATCH(RANDBETWEEN(1,16),Subject!$B:$B,0),3)</f>
        <v>#N/A</v>
      </c>
      <c r="AH195" s="8" t="str">
        <f t="array" ref="AH195">INDEX(Subject!$A:$I,MATCH(RANDBETWEEN(1,16),Subject!$B:$B,0),3)</f>
        <v>#N/A</v>
      </c>
      <c r="AI195" s="8" t="str">
        <f t="array" ref="AI195">INDEX(Subject!$A:$I,MATCH(RANDBETWEEN(1,16),Subject!$B:$B,0),3)</f>
        <v>#N/A</v>
      </c>
      <c r="AJ195" s="8" t="str">
        <f t="array" ref="AJ195">INDEX(Subject!$A:$I,MATCH(RANDBETWEEN(1,16),Subject!$B:$B,0),3)</f>
        <v>#N/A</v>
      </c>
      <c r="AK195" s="8" t="str">
        <f t="array" ref="AK195">INDEX(Subject!$A:$I,MATCH(RANDBETWEEN(1,16),Subject!$B:$B,0),3)</f>
        <v>#N/A</v>
      </c>
      <c r="AL195" s="8" t="str">
        <f t="array" ref="AL195">INDEX(Subject!$A:$I,MATCH(RANDBETWEEN(1,16),Subject!$B:$B,0),3)</f>
        <v>#N/A</v>
      </c>
      <c r="AM195" s="18">
        <f t="shared" si="4"/>
        <v>45695.33333</v>
      </c>
      <c r="AN195" s="19">
        <f t="shared" ref="AN195:BZ195" si="195">$A195+C$1</f>
        <v>45695.35417</v>
      </c>
      <c r="AO195" s="19">
        <f t="shared" si="195"/>
        <v>45695.375</v>
      </c>
      <c r="AP195" s="19">
        <f t="shared" si="195"/>
        <v>45695.39583</v>
      </c>
      <c r="AQ195" s="19">
        <f t="shared" si="195"/>
        <v>45695.41667</v>
      </c>
      <c r="AR195" s="19">
        <f t="shared" si="195"/>
        <v>45695.4375</v>
      </c>
      <c r="AS195" s="19">
        <f t="shared" si="195"/>
        <v>45695.45833</v>
      </c>
      <c r="AT195" s="19">
        <f t="shared" si="195"/>
        <v>45695.47917</v>
      </c>
      <c r="AU195" s="19">
        <f t="shared" si="195"/>
        <v>45695.5</v>
      </c>
      <c r="AV195" s="19">
        <f t="shared" si="195"/>
        <v>45695.52083</v>
      </c>
      <c r="AW195" s="19">
        <f t="shared" si="195"/>
        <v>45695.54167</v>
      </c>
      <c r="AX195" s="19">
        <f t="shared" si="195"/>
        <v>45695.5625</v>
      </c>
      <c r="AY195" s="19">
        <f t="shared" si="195"/>
        <v>45695.58333</v>
      </c>
      <c r="AZ195" s="19">
        <f t="shared" si="195"/>
        <v>45695.60417</v>
      </c>
      <c r="BA195" s="19">
        <f t="shared" si="195"/>
        <v>45695.625</v>
      </c>
      <c r="BB195" s="19">
        <f t="shared" si="195"/>
        <v>45695.64583</v>
      </c>
      <c r="BC195" s="19">
        <f t="shared" si="195"/>
        <v>45695.66667</v>
      </c>
      <c r="BD195" s="19">
        <f t="shared" si="195"/>
        <v>45695.6875</v>
      </c>
      <c r="BE195" s="19">
        <f t="shared" si="195"/>
        <v>45695.70833</v>
      </c>
      <c r="BF195" s="19">
        <f t="shared" si="195"/>
        <v>45695.72917</v>
      </c>
      <c r="BG195" s="19">
        <f t="shared" si="195"/>
        <v>45695.75</v>
      </c>
      <c r="BH195" s="19">
        <f t="shared" si="195"/>
        <v>45695.77083</v>
      </c>
      <c r="BI195" s="19">
        <f t="shared" si="195"/>
        <v>45695.79167</v>
      </c>
      <c r="BJ195" s="19">
        <f t="shared" si="195"/>
        <v>45695.8125</v>
      </c>
      <c r="BK195" s="19">
        <f t="shared" si="195"/>
        <v>45695.83333</v>
      </c>
      <c r="BL195" s="19">
        <f t="shared" si="195"/>
        <v>45695.85417</v>
      </c>
      <c r="BM195" s="19">
        <f t="shared" si="195"/>
        <v>45695.875</v>
      </c>
      <c r="BN195" s="19">
        <f t="shared" si="195"/>
        <v>45695.89583</v>
      </c>
      <c r="BO195" s="19">
        <f t="shared" si="195"/>
        <v>45695.91667</v>
      </c>
      <c r="BP195" s="19">
        <f t="shared" si="195"/>
        <v>45695.9375</v>
      </c>
      <c r="BQ195" s="19">
        <f t="shared" si="195"/>
        <v>45695.95833</v>
      </c>
      <c r="BR195" s="19">
        <f t="shared" si="195"/>
        <v>45695.97917</v>
      </c>
      <c r="BS195" s="19">
        <f t="shared" si="195"/>
        <v>45696</v>
      </c>
      <c r="BT195" s="19">
        <f t="shared" si="195"/>
        <v>45696.02083</v>
      </c>
      <c r="BU195" s="19">
        <f t="shared" si="195"/>
        <v>45696.04167</v>
      </c>
      <c r="BV195" s="19">
        <f t="shared" si="195"/>
        <v>45696.0625</v>
      </c>
      <c r="BW195" s="19">
        <f t="shared" si="195"/>
        <v>45696.08333</v>
      </c>
      <c r="BX195" s="19">
        <f t="shared" si="195"/>
        <v>45695</v>
      </c>
      <c r="BY195" s="19">
        <f t="shared" si="195"/>
        <v>45695</v>
      </c>
      <c r="BZ195" s="19">
        <f t="shared" si="195"/>
        <v>45695</v>
      </c>
    </row>
    <row r="196" ht="14.25" customHeight="1">
      <c r="A196" s="17">
        <v>45696.0</v>
      </c>
      <c r="B196" s="2" t="str">
        <f t="array" ref="B196">IF(NOW()&gt;AM196,"",IF(AND((WEEKDAY($A196)+$B$2)&gt;1,((WEEKDAY($A196)+$T$2)&lt;7),(WEEKDAY($A196)&lt;&gt;1)),"work",(INDEX(Subject!$A:$I,MATCH(RANDBETWEEN(1,(MAX(Subject!$B:$B))),Subject!$B:$B,0),3))))</f>
        <v/>
      </c>
      <c r="C196" s="2" t="str">
        <f t="array" ref="C196">IF(NOW()&gt;AN196,"",IF(AND((WEEKDAY($A196)+$B$2)&gt;1,((WEEKDAY($A196)+$T$2)&lt;7),(WEEKDAY($A196)&lt;&gt;1)),"work",(INDEX(Subject!$A:$I,MATCH(RANDBETWEEN(1,(MAX(Subject!$B:$B))),Subject!$B:$B,0),3))))</f>
        <v/>
      </c>
      <c r="D196" s="2" t="str">
        <f t="array" ref="D196">IF(NOW()&gt;AO196,"",IF(AND((WEEKDAY($A196)+$B$2)&gt;1,((WEEKDAY($A196)+$T$2)&lt;7),(WEEKDAY($A196)&lt;&gt;1)),"work",(INDEX(Subject!$A:$I,MATCH(RANDBETWEEN(1,(MAX(Subject!$B:$B))),Subject!$B:$B,0),3))))</f>
        <v/>
      </c>
      <c r="E196" s="2" t="str">
        <f t="array" ref="E196">IF(NOW()&gt;AP196,"",IF(AND((WEEKDAY($A196)+$B$2)&gt;1,((WEEKDAY($A196)+$T$2)&lt;7),(WEEKDAY($A196)&lt;&gt;1)),"work",(INDEX(Subject!$A:$I,MATCH(RANDBETWEEN(1,(MAX(Subject!$B:$B))),Subject!$B:$B,0),3))))</f>
        <v/>
      </c>
      <c r="F196" s="2" t="str">
        <f t="array" ref="F196">IF(NOW()&gt;AQ196,"",IF(AND((WEEKDAY($A196)+$B$2)&gt;1,((WEEKDAY($A196)+$T$2)&lt;7),(WEEKDAY($A196)&lt;&gt;1)),"work",(INDEX(Subject!$A:$I,MATCH(RANDBETWEEN(1,(MAX(Subject!$B:$B))),Subject!$B:$B,0),3))))</f>
        <v/>
      </c>
      <c r="G196" s="2" t="str">
        <f t="array" ref="G196">IF(NOW()&gt;AR196,"",IF(AND((WEEKDAY($A196)+$B$2)&gt;1,((WEEKDAY($A196)+$T$2)&lt;7),(WEEKDAY($A196)&lt;&gt;1)),"work",(INDEX(Subject!$A:$I,MATCH(RANDBETWEEN(1,(MAX(Subject!$B:$B))),Subject!$B:$B,0),3))))</f>
        <v/>
      </c>
      <c r="H196" s="2" t="str">
        <f t="array" ref="H196">IF(NOW()&gt;AS196,"",IF(AND((WEEKDAY($A196)+$B$2)&gt;1,((WEEKDAY($A196)+$T$2)&lt;7),(WEEKDAY($A196)&lt;&gt;1)),"work",(INDEX(Subject!$A:$I,MATCH(RANDBETWEEN(1,(MAX(Subject!$B:$B))),Subject!$B:$B,0),3))))</f>
        <v/>
      </c>
      <c r="I196" s="2" t="str">
        <f t="array" ref="I196">IF(NOW()&gt;AT196,"",IF(AND((WEEKDAY($A196)+$B$2)&gt;1,((WEEKDAY($A196)+$T$2)&lt;7),(WEEKDAY($A196)&lt;&gt;1)),"work",(INDEX(Subject!$A:$I,MATCH(RANDBETWEEN(1,(MAX(Subject!$B:$B))),Subject!$B:$B,0),3))))</f>
        <v/>
      </c>
      <c r="J196" s="2" t="str">
        <f t="array" ref="J196">IF(NOW()&gt;AU196,"",IF(AND((WEEKDAY($A196)+$B$2)&gt;1,((WEEKDAY($A196)+$T$2)&lt;7),(WEEKDAY($A196)&lt;&gt;1)),"work",(INDEX(Subject!$A:$I,MATCH(RANDBETWEEN(1,(MAX(Subject!$B:$B))),Subject!$B:$B,0),3))))</f>
        <v/>
      </c>
      <c r="K196" s="2" t="str">
        <f t="array" ref="K196">IF(NOW()&gt;AV196,"",IF(AND((WEEKDAY($A196)+$B$2)&gt;1,((WEEKDAY($A196)+$T$2)&lt;7),(WEEKDAY($A196)&lt;&gt;1)),"work",(INDEX(Subject!$A:$I,MATCH(RANDBETWEEN(1,(MAX(Subject!$B:$B))),Subject!$B:$B,0),3))))</f>
        <v/>
      </c>
      <c r="L196" s="2" t="str">
        <f t="array" ref="L196">IF(NOW()&gt;AW196,"",IF(AND((WEEKDAY($A196)+$B$2)&gt;1,((WEEKDAY($A196)+$T$2)&lt;7),(WEEKDAY($A196)&lt;&gt;1)),"work",(INDEX(Subject!$A:$I,MATCH(RANDBETWEEN(1,(MAX(Subject!$B:$B))),Subject!$B:$B,0),3))))</f>
        <v/>
      </c>
      <c r="M196" s="2" t="str">
        <f t="array" ref="M196">IF(NOW()&gt;AX196,"",IF(AND((WEEKDAY($A196)+$B$2)&gt;1,((WEEKDAY($A196)+$T$2)&lt;7),(WEEKDAY($A196)&lt;&gt;1)),"work",(INDEX(Subject!$A:$I,MATCH(RANDBETWEEN(1,(MAX(Subject!$B:$B))),Subject!$B:$B,0),3))))</f>
        <v/>
      </c>
      <c r="N196" s="2" t="str">
        <f t="array" ref="N196">IF(NOW()&gt;AY196,"",IF(AND((WEEKDAY($A196)+$B$2)&gt;1,((WEEKDAY($A196)+$T$2)&lt;7),(WEEKDAY($A196)&lt;&gt;1)),"work",(INDEX(Subject!$A:$I,MATCH(RANDBETWEEN(1,(MAX(Subject!$B:$B))),Subject!$B:$B,0),3))))</f>
        <v/>
      </c>
      <c r="O196" s="2" t="str">
        <f t="array" ref="O196">IF(NOW()&gt;AZ196,"",IF(AND((WEEKDAY($A196)+$B$2)&gt;1,((WEEKDAY($A196)+$T$2)&lt;7),(WEEKDAY($A196)&lt;&gt;1)),"work",(INDEX(Subject!$A:$I,MATCH(RANDBETWEEN(1,(MAX(Subject!$B:$B))),Subject!$B:$B,0),3))))</f>
        <v/>
      </c>
      <c r="P196" s="2" t="str">
        <f t="array" ref="P196">IF(NOW()&gt;BA196,"",IF(AND((WEEKDAY($A196)+$B$2)&gt;1,((WEEKDAY($A196)+$T$2)&lt;7),(WEEKDAY($A196)&lt;&gt;1)),"work",(INDEX(Subject!$A:$I,MATCH(RANDBETWEEN(1,(MAX(Subject!$B:$B))),Subject!$B:$B,0),3))))</f>
        <v/>
      </c>
      <c r="Q196" s="2" t="str">
        <f t="array" ref="Q196">IF(NOW()&gt;BB196,"",IF(AND((WEEKDAY($A196)+$B$2)&gt;1,((WEEKDAY($A196)+$T$2)&lt;7),(WEEKDAY($A196)&lt;&gt;1)),"work",(INDEX(Subject!$A:$I,MATCH(RANDBETWEEN(1,(MAX(Subject!$B:$B))),Subject!$B:$B,0),3))))</f>
        <v/>
      </c>
      <c r="R196" s="2" t="str">
        <f t="array" ref="R196">IF(NOW()&gt;BC196,"",IF(AND((WEEKDAY($A196)+$B$2)&gt;1,((WEEKDAY($A196)+$T$2)&lt;7),(WEEKDAY($A196)&lt;&gt;1)),"work",(INDEX(Subject!$A:$I,MATCH(RANDBETWEEN(1,(MAX(Subject!$B:$B))),Subject!$B:$B,0),3))))</f>
        <v/>
      </c>
      <c r="S196" s="2" t="str">
        <f t="array" ref="S196">IF(NOW()&gt;BD196,"",IF(AND((WEEKDAY($A196)+$B$2)&gt;1,((WEEKDAY($A196)+$T$2)&lt;7),(WEEKDAY($A196)&lt;&gt;1)),"work",(INDEX(Subject!$A:$I,MATCH(RANDBETWEEN(1,(MAX(Subject!$B:$B))),Subject!$B:$B,0),3))))</f>
        <v/>
      </c>
      <c r="T196" s="2" t="str">
        <f t="array" ref="T196">IF(NOW()&gt;BE196,"",IF(AND((WEEKDAY($A196)+$B$2)&gt;1,((WEEKDAY($A196)+$T$2)&lt;7),(WEEKDAY($A196)&lt;&gt;1)),"work",(INDEX(Subject!$A:$I,MATCH(RANDBETWEEN(1,(MAX(Subject!$B:$B))),Subject!$B:$B,0),3))))</f>
        <v/>
      </c>
      <c r="U196" s="8" t="str">
        <f t="array" ref="U196">INDEX(Subject!$A:$I,MATCH(RANDBETWEEN(1,16),Subject!$B:$B,0),3)</f>
        <v>#N/A</v>
      </c>
      <c r="V196" s="8" t="str">
        <f t="array" ref="V196">INDEX(Subject!$A:$I,MATCH(RANDBETWEEN(1,16),Subject!$B:$B,0),3)</f>
        <v>#N/A</v>
      </c>
      <c r="W196" s="8" t="str">
        <f t="array" ref="W196">INDEX(Subject!$A:$I,MATCH(RANDBETWEEN(1,16),Subject!$B:$B,0),3)</f>
        <v>#N/A</v>
      </c>
      <c r="X196" s="8" t="str">
        <f t="array" ref="X196">INDEX(Subject!$A:$I,MATCH(RANDBETWEEN(1,16),Subject!$B:$B,0),3)</f>
        <v>#N/A</v>
      </c>
      <c r="Y196" s="8" t="str">
        <f t="array" ref="Y196">INDEX(Subject!$A:$I,MATCH(RANDBETWEEN(1,16),Subject!$B:$B,0),3)</f>
        <v>#N/A</v>
      </c>
      <c r="Z196" s="8" t="str">
        <f t="array" ref="Z196">INDEX(Subject!$A:$I,MATCH(RANDBETWEEN(1,16),Subject!$B:$B,0),3)</f>
        <v>#N/A</v>
      </c>
      <c r="AA196" s="8" t="str">
        <f t="array" ref="AA196">INDEX(Subject!$A:$I,MATCH(RANDBETWEEN(1,16),Subject!$B:$B,0),3)</f>
        <v>#N/A</v>
      </c>
      <c r="AB196" s="8" t="str">
        <f t="array" ref="AB196">INDEX(Subject!$A:$I,MATCH(RANDBETWEEN(1,16),Subject!$B:$B,0),3)</f>
        <v>#N/A</v>
      </c>
      <c r="AC196" s="8" t="str">
        <f t="array" ref="AC196">INDEX(Subject!$A:$I,MATCH(RANDBETWEEN(1,16),Subject!$B:$B,0),3)</f>
        <v>#N/A</v>
      </c>
      <c r="AD196" s="8" t="str">
        <f t="array" ref="AD196">INDEX(Subject!$A:$I,MATCH(RANDBETWEEN(1,16),Subject!$B:$B,0),3)</f>
        <v>#N/A</v>
      </c>
      <c r="AE196" s="8" t="str">
        <f t="array" ref="AE196">INDEX(Subject!$A:$I,MATCH(RANDBETWEEN(1,16),Subject!$B:$B,0),3)</f>
        <v>#N/A</v>
      </c>
      <c r="AF196" s="8" t="str">
        <f t="array" ref="AF196">INDEX(Subject!$A:$I,MATCH(RANDBETWEEN(1,16),Subject!$B:$B,0),3)</f>
        <v>#N/A</v>
      </c>
      <c r="AG196" s="8" t="str">
        <f t="array" ref="AG196">INDEX(Subject!$A:$I,MATCH(RANDBETWEEN(1,16),Subject!$B:$B,0),3)</f>
        <v>#N/A</v>
      </c>
      <c r="AH196" s="8" t="str">
        <f t="array" ref="AH196">INDEX(Subject!$A:$I,MATCH(RANDBETWEEN(1,16),Subject!$B:$B,0),3)</f>
        <v>#N/A</v>
      </c>
      <c r="AI196" s="8" t="str">
        <f t="array" ref="AI196">INDEX(Subject!$A:$I,MATCH(RANDBETWEEN(1,16),Subject!$B:$B,0),3)</f>
        <v>#N/A</v>
      </c>
      <c r="AJ196" s="8" t="str">
        <f t="array" ref="AJ196">INDEX(Subject!$A:$I,MATCH(RANDBETWEEN(1,16),Subject!$B:$B,0),3)</f>
        <v>#N/A</v>
      </c>
      <c r="AK196" s="8" t="str">
        <f t="array" ref="AK196">INDEX(Subject!$A:$I,MATCH(RANDBETWEEN(1,16),Subject!$B:$B,0),3)</f>
        <v>#N/A</v>
      </c>
      <c r="AL196" s="8" t="str">
        <f t="array" ref="AL196">INDEX(Subject!$A:$I,MATCH(RANDBETWEEN(1,16),Subject!$B:$B,0),3)</f>
        <v>#N/A</v>
      </c>
      <c r="AM196" s="18">
        <f t="shared" si="4"/>
        <v>45696.33333</v>
      </c>
      <c r="AN196" s="19">
        <f t="shared" ref="AN196:BZ196" si="196">$A196+C$1</f>
        <v>45696.35417</v>
      </c>
      <c r="AO196" s="19">
        <f t="shared" si="196"/>
        <v>45696.375</v>
      </c>
      <c r="AP196" s="19">
        <f t="shared" si="196"/>
        <v>45696.39583</v>
      </c>
      <c r="AQ196" s="19">
        <f t="shared" si="196"/>
        <v>45696.41667</v>
      </c>
      <c r="AR196" s="19">
        <f t="shared" si="196"/>
        <v>45696.4375</v>
      </c>
      <c r="AS196" s="19">
        <f t="shared" si="196"/>
        <v>45696.45833</v>
      </c>
      <c r="AT196" s="19">
        <f t="shared" si="196"/>
        <v>45696.47917</v>
      </c>
      <c r="AU196" s="19">
        <f t="shared" si="196"/>
        <v>45696.5</v>
      </c>
      <c r="AV196" s="19">
        <f t="shared" si="196"/>
        <v>45696.52083</v>
      </c>
      <c r="AW196" s="19">
        <f t="shared" si="196"/>
        <v>45696.54167</v>
      </c>
      <c r="AX196" s="19">
        <f t="shared" si="196"/>
        <v>45696.5625</v>
      </c>
      <c r="AY196" s="19">
        <f t="shared" si="196"/>
        <v>45696.58333</v>
      </c>
      <c r="AZ196" s="19">
        <f t="shared" si="196"/>
        <v>45696.60417</v>
      </c>
      <c r="BA196" s="19">
        <f t="shared" si="196"/>
        <v>45696.625</v>
      </c>
      <c r="BB196" s="19">
        <f t="shared" si="196"/>
        <v>45696.64583</v>
      </c>
      <c r="BC196" s="19">
        <f t="shared" si="196"/>
        <v>45696.66667</v>
      </c>
      <c r="BD196" s="19">
        <f t="shared" si="196"/>
        <v>45696.6875</v>
      </c>
      <c r="BE196" s="19">
        <f t="shared" si="196"/>
        <v>45696.70833</v>
      </c>
      <c r="BF196" s="19">
        <f t="shared" si="196"/>
        <v>45696.72917</v>
      </c>
      <c r="BG196" s="19">
        <f t="shared" si="196"/>
        <v>45696.75</v>
      </c>
      <c r="BH196" s="19">
        <f t="shared" si="196"/>
        <v>45696.77083</v>
      </c>
      <c r="BI196" s="19">
        <f t="shared" si="196"/>
        <v>45696.79167</v>
      </c>
      <c r="BJ196" s="19">
        <f t="shared" si="196"/>
        <v>45696.8125</v>
      </c>
      <c r="BK196" s="19">
        <f t="shared" si="196"/>
        <v>45696.83333</v>
      </c>
      <c r="BL196" s="19">
        <f t="shared" si="196"/>
        <v>45696.85417</v>
      </c>
      <c r="BM196" s="19">
        <f t="shared" si="196"/>
        <v>45696.875</v>
      </c>
      <c r="BN196" s="19">
        <f t="shared" si="196"/>
        <v>45696.89583</v>
      </c>
      <c r="BO196" s="19">
        <f t="shared" si="196"/>
        <v>45696.91667</v>
      </c>
      <c r="BP196" s="19">
        <f t="shared" si="196"/>
        <v>45696.9375</v>
      </c>
      <c r="BQ196" s="19">
        <f t="shared" si="196"/>
        <v>45696.95833</v>
      </c>
      <c r="BR196" s="19">
        <f t="shared" si="196"/>
        <v>45696.97917</v>
      </c>
      <c r="BS196" s="19">
        <f t="shared" si="196"/>
        <v>45697</v>
      </c>
      <c r="BT196" s="19">
        <f t="shared" si="196"/>
        <v>45697.02083</v>
      </c>
      <c r="BU196" s="19">
        <f t="shared" si="196"/>
        <v>45697.04167</v>
      </c>
      <c r="BV196" s="19">
        <f t="shared" si="196"/>
        <v>45697.0625</v>
      </c>
      <c r="BW196" s="19">
        <f t="shared" si="196"/>
        <v>45697.08333</v>
      </c>
      <c r="BX196" s="19">
        <f t="shared" si="196"/>
        <v>45696</v>
      </c>
      <c r="BY196" s="19">
        <f t="shared" si="196"/>
        <v>45696</v>
      </c>
      <c r="BZ196" s="19">
        <f t="shared" si="196"/>
        <v>45696</v>
      </c>
    </row>
    <row r="197" ht="14.25" customHeight="1">
      <c r="A197" s="17">
        <v>45697.0</v>
      </c>
      <c r="B197" s="2" t="str">
        <f t="array" ref="B197">IF(NOW()&gt;AM197,"",IF(AND((WEEKDAY($A197)+$B$2)&gt;1,((WEEKDAY($A197)+$T$2)&lt;7),(WEEKDAY($A197)&lt;&gt;1)),"work",(INDEX(Subject!$A:$I,MATCH(RANDBETWEEN(1,(MAX(Subject!$B:$B))),Subject!$B:$B,0),3))))</f>
        <v/>
      </c>
      <c r="C197" s="2" t="str">
        <f t="array" ref="C197">IF(NOW()&gt;AN197,"",IF(AND((WEEKDAY($A197)+$B$2)&gt;1,((WEEKDAY($A197)+$T$2)&lt;7),(WEEKDAY($A197)&lt;&gt;1)),"work",(INDEX(Subject!$A:$I,MATCH(RANDBETWEEN(1,(MAX(Subject!$B:$B))),Subject!$B:$B,0),3))))</f>
        <v/>
      </c>
      <c r="D197" s="2" t="str">
        <f t="array" ref="D197">IF(NOW()&gt;AO197,"",IF(AND((WEEKDAY($A197)+$B$2)&gt;1,((WEEKDAY($A197)+$T$2)&lt;7),(WEEKDAY($A197)&lt;&gt;1)),"work",(INDEX(Subject!$A:$I,MATCH(RANDBETWEEN(1,(MAX(Subject!$B:$B))),Subject!$B:$B,0),3))))</f>
        <v/>
      </c>
      <c r="E197" s="2" t="str">
        <f t="array" ref="E197">IF(NOW()&gt;AP197,"",IF(AND((WEEKDAY($A197)+$B$2)&gt;1,((WEEKDAY($A197)+$T$2)&lt;7),(WEEKDAY($A197)&lt;&gt;1)),"work",(INDEX(Subject!$A:$I,MATCH(RANDBETWEEN(1,(MAX(Subject!$B:$B))),Subject!$B:$B,0),3))))</f>
        <v/>
      </c>
      <c r="F197" s="2" t="str">
        <f t="array" ref="F197">IF(NOW()&gt;AQ197,"",IF(AND((WEEKDAY($A197)+$B$2)&gt;1,((WEEKDAY($A197)+$T$2)&lt;7),(WEEKDAY($A197)&lt;&gt;1)),"work",(INDEX(Subject!$A:$I,MATCH(RANDBETWEEN(1,(MAX(Subject!$B:$B))),Subject!$B:$B,0),3))))</f>
        <v/>
      </c>
      <c r="G197" s="2" t="str">
        <f t="array" ref="G197">IF(NOW()&gt;AR197,"",IF(AND((WEEKDAY($A197)+$B$2)&gt;1,((WEEKDAY($A197)+$T$2)&lt;7),(WEEKDAY($A197)&lt;&gt;1)),"work",(INDEX(Subject!$A:$I,MATCH(RANDBETWEEN(1,(MAX(Subject!$B:$B))),Subject!$B:$B,0),3))))</f>
        <v/>
      </c>
      <c r="H197" s="2" t="str">
        <f t="array" ref="H197">IF(NOW()&gt;AS197,"",IF(AND((WEEKDAY($A197)+$B$2)&gt;1,((WEEKDAY($A197)+$T$2)&lt;7),(WEEKDAY($A197)&lt;&gt;1)),"work",(INDEX(Subject!$A:$I,MATCH(RANDBETWEEN(1,(MAX(Subject!$B:$B))),Subject!$B:$B,0),3))))</f>
        <v/>
      </c>
      <c r="I197" s="2" t="str">
        <f t="array" ref="I197">IF(NOW()&gt;AT197,"",IF(AND((WEEKDAY($A197)+$B$2)&gt;1,((WEEKDAY($A197)+$T$2)&lt;7),(WEEKDAY($A197)&lt;&gt;1)),"work",(INDEX(Subject!$A:$I,MATCH(RANDBETWEEN(1,(MAX(Subject!$B:$B))),Subject!$B:$B,0),3))))</f>
        <v/>
      </c>
      <c r="J197" s="2" t="str">
        <f t="array" ref="J197">IF(NOW()&gt;AU197,"",IF(AND((WEEKDAY($A197)+$B$2)&gt;1,((WEEKDAY($A197)+$T$2)&lt;7),(WEEKDAY($A197)&lt;&gt;1)),"work",(INDEX(Subject!$A:$I,MATCH(RANDBETWEEN(1,(MAX(Subject!$B:$B))),Subject!$B:$B,0),3))))</f>
        <v/>
      </c>
      <c r="K197" s="2" t="str">
        <f t="array" ref="K197">IF(NOW()&gt;AV197,"",IF(AND((WEEKDAY($A197)+$B$2)&gt;1,((WEEKDAY($A197)+$T$2)&lt;7),(WEEKDAY($A197)&lt;&gt;1)),"work",(INDEX(Subject!$A:$I,MATCH(RANDBETWEEN(1,(MAX(Subject!$B:$B))),Subject!$B:$B,0),3))))</f>
        <v/>
      </c>
      <c r="L197" s="2" t="str">
        <f t="array" ref="L197">IF(NOW()&gt;AW197,"",IF(AND((WEEKDAY($A197)+$B$2)&gt;1,((WEEKDAY($A197)+$T$2)&lt;7),(WEEKDAY($A197)&lt;&gt;1)),"work",(INDEX(Subject!$A:$I,MATCH(RANDBETWEEN(1,(MAX(Subject!$B:$B))),Subject!$B:$B,0),3))))</f>
        <v/>
      </c>
      <c r="M197" s="2" t="str">
        <f t="array" ref="M197">IF(NOW()&gt;AX197,"",IF(AND((WEEKDAY($A197)+$B$2)&gt;1,((WEEKDAY($A197)+$T$2)&lt;7),(WEEKDAY($A197)&lt;&gt;1)),"work",(INDEX(Subject!$A:$I,MATCH(RANDBETWEEN(1,(MAX(Subject!$B:$B))),Subject!$B:$B,0),3))))</f>
        <v/>
      </c>
      <c r="N197" s="2" t="str">
        <f t="array" ref="N197">IF(NOW()&gt;AY197,"",IF(AND((WEEKDAY($A197)+$B$2)&gt;1,((WEEKDAY($A197)+$T$2)&lt;7),(WEEKDAY($A197)&lt;&gt;1)),"work",(INDEX(Subject!$A:$I,MATCH(RANDBETWEEN(1,(MAX(Subject!$B:$B))),Subject!$B:$B,0),3))))</f>
        <v/>
      </c>
      <c r="O197" s="2" t="str">
        <f t="array" ref="O197">IF(NOW()&gt;AZ197,"",IF(AND((WEEKDAY($A197)+$B$2)&gt;1,((WEEKDAY($A197)+$T$2)&lt;7),(WEEKDAY($A197)&lt;&gt;1)),"work",(INDEX(Subject!$A:$I,MATCH(RANDBETWEEN(1,(MAX(Subject!$B:$B))),Subject!$B:$B,0),3))))</f>
        <v/>
      </c>
      <c r="P197" s="2" t="str">
        <f t="array" ref="P197">IF(NOW()&gt;BA197,"",IF(AND((WEEKDAY($A197)+$B$2)&gt;1,((WEEKDAY($A197)+$T$2)&lt;7),(WEEKDAY($A197)&lt;&gt;1)),"work",(INDEX(Subject!$A:$I,MATCH(RANDBETWEEN(1,(MAX(Subject!$B:$B))),Subject!$B:$B,0),3))))</f>
        <v/>
      </c>
      <c r="Q197" s="2" t="str">
        <f t="array" ref="Q197">IF(NOW()&gt;BB197,"",IF(AND((WEEKDAY($A197)+$B$2)&gt;1,((WEEKDAY($A197)+$T$2)&lt;7),(WEEKDAY($A197)&lt;&gt;1)),"work",(INDEX(Subject!$A:$I,MATCH(RANDBETWEEN(1,(MAX(Subject!$B:$B))),Subject!$B:$B,0),3))))</f>
        <v/>
      </c>
      <c r="R197" s="2" t="str">
        <f t="array" ref="R197">IF(NOW()&gt;BC197,"",IF(AND((WEEKDAY($A197)+$B$2)&gt;1,((WEEKDAY($A197)+$T$2)&lt;7),(WEEKDAY($A197)&lt;&gt;1)),"work",(INDEX(Subject!$A:$I,MATCH(RANDBETWEEN(1,(MAX(Subject!$B:$B))),Subject!$B:$B,0),3))))</f>
        <v/>
      </c>
      <c r="S197" s="2" t="str">
        <f t="array" ref="S197">IF(NOW()&gt;BD197,"",IF(AND((WEEKDAY($A197)+$B$2)&gt;1,((WEEKDAY($A197)+$T$2)&lt;7),(WEEKDAY($A197)&lt;&gt;1)),"work",(INDEX(Subject!$A:$I,MATCH(RANDBETWEEN(1,(MAX(Subject!$B:$B))),Subject!$B:$B,0),3))))</f>
        <v/>
      </c>
      <c r="T197" s="2" t="str">
        <f t="array" ref="T197">IF(NOW()&gt;BE197,"",IF(AND((WEEKDAY($A197)+$B$2)&gt;1,((WEEKDAY($A197)+$T$2)&lt;7),(WEEKDAY($A197)&lt;&gt;1)),"work",(INDEX(Subject!$A:$I,MATCH(RANDBETWEEN(1,(MAX(Subject!$B:$B))),Subject!$B:$B,0),3))))</f>
        <v/>
      </c>
      <c r="U197" s="8" t="str">
        <f t="array" ref="U197">INDEX(Subject!$A:$I,MATCH(RANDBETWEEN(1,16),Subject!$B:$B,0),3)</f>
        <v>#N/A</v>
      </c>
      <c r="V197" s="8" t="str">
        <f t="array" ref="V197">INDEX(Subject!$A:$I,MATCH(RANDBETWEEN(1,16),Subject!$B:$B,0),3)</f>
        <v>#N/A</v>
      </c>
      <c r="W197" s="8" t="str">
        <f t="array" ref="W197">INDEX(Subject!$A:$I,MATCH(RANDBETWEEN(1,16),Subject!$B:$B,0),3)</f>
        <v>#N/A</v>
      </c>
      <c r="X197" s="8" t="str">
        <f t="array" ref="X197">INDEX(Subject!$A:$I,MATCH(RANDBETWEEN(1,16),Subject!$B:$B,0),3)</f>
        <v>#N/A</v>
      </c>
      <c r="Y197" s="8" t="str">
        <f t="array" ref="Y197">INDEX(Subject!$A:$I,MATCH(RANDBETWEEN(1,16),Subject!$B:$B,0),3)</f>
        <v>#N/A</v>
      </c>
      <c r="Z197" s="8" t="str">
        <f t="array" ref="Z197">INDEX(Subject!$A:$I,MATCH(RANDBETWEEN(1,16),Subject!$B:$B,0),3)</f>
        <v>#N/A</v>
      </c>
      <c r="AA197" s="8" t="str">
        <f t="array" ref="AA197">INDEX(Subject!$A:$I,MATCH(RANDBETWEEN(1,16),Subject!$B:$B,0),3)</f>
        <v>#N/A</v>
      </c>
      <c r="AB197" s="8" t="str">
        <f t="array" ref="AB197">INDEX(Subject!$A:$I,MATCH(RANDBETWEEN(1,16),Subject!$B:$B,0),3)</f>
        <v>#N/A</v>
      </c>
      <c r="AC197" s="8" t="str">
        <f t="array" ref="AC197">INDEX(Subject!$A:$I,MATCH(RANDBETWEEN(1,16),Subject!$B:$B,0),3)</f>
        <v>#N/A</v>
      </c>
      <c r="AD197" s="8" t="str">
        <f t="array" ref="AD197">INDEX(Subject!$A:$I,MATCH(RANDBETWEEN(1,16),Subject!$B:$B,0),3)</f>
        <v>#N/A</v>
      </c>
      <c r="AE197" s="8" t="str">
        <f t="array" ref="AE197">INDEX(Subject!$A:$I,MATCH(RANDBETWEEN(1,16),Subject!$B:$B,0),3)</f>
        <v>#N/A</v>
      </c>
      <c r="AF197" s="8" t="str">
        <f t="array" ref="AF197">INDEX(Subject!$A:$I,MATCH(RANDBETWEEN(1,16),Subject!$B:$B,0),3)</f>
        <v>#N/A</v>
      </c>
      <c r="AG197" s="8" t="str">
        <f t="array" ref="AG197">INDEX(Subject!$A:$I,MATCH(RANDBETWEEN(1,16),Subject!$B:$B,0),3)</f>
        <v>#N/A</v>
      </c>
      <c r="AH197" s="8" t="str">
        <f t="array" ref="AH197">INDEX(Subject!$A:$I,MATCH(RANDBETWEEN(1,16),Subject!$B:$B,0),3)</f>
        <v>#N/A</v>
      </c>
      <c r="AI197" s="8" t="str">
        <f t="array" ref="AI197">INDEX(Subject!$A:$I,MATCH(RANDBETWEEN(1,16),Subject!$B:$B,0),3)</f>
        <v>#N/A</v>
      </c>
      <c r="AJ197" s="8" t="str">
        <f t="array" ref="AJ197">INDEX(Subject!$A:$I,MATCH(RANDBETWEEN(1,16),Subject!$B:$B,0),3)</f>
        <v>#N/A</v>
      </c>
      <c r="AK197" s="8" t="str">
        <f t="array" ref="AK197">INDEX(Subject!$A:$I,MATCH(RANDBETWEEN(1,16),Subject!$B:$B,0),3)</f>
        <v>#N/A</v>
      </c>
      <c r="AL197" s="8" t="str">
        <f t="array" ref="AL197">INDEX(Subject!$A:$I,MATCH(RANDBETWEEN(1,16),Subject!$B:$B,0),3)</f>
        <v>#N/A</v>
      </c>
      <c r="AM197" s="18">
        <f t="shared" si="4"/>
        <v>45697.33333</v>
      </c>
      <c r="AN197" s="19">
        <f t="shared" ref="AN197:BZ197" si="197">$A197+C$1</f>
        <v>45697.35417</v>
      </c>
      <c r="AO197" s="19">
        <f t="shared" si="197"/>
        <v>45697.375</v>
      </c>
      <c r="AP197" s="19">
        <f t="shared" si="197"/>
        <v>45697.39583</v>
      </c>
      <c r="AQ197" s="19">
        <f t="shared" si="197"/>
        <v>45697.41667</v>
      </c>
      <c r="AR197" s="19">
        <f t="shared" si="197"/>
        <v>45697.4375</v>
      </c>
      <c r="AS197" s="19">
        <f t="shared" si="197"/>
        <v>45697.45833</v>
      </c>
      <c r="AT197" s="19">
        <f t="shared" si="197"/>
        <v>45697.47917</v>
      </c>
      <c r="AU197" s="19">
        <f t="shared" si="197"/>
        <v>45697.5</v>
      </c>
      <c r="AV197" s="19">
        <f t="shared" si="197"/>
        <v>45697.52083</v>
      </c>
      <c r="AW197" s="19">
        <f t="shared" si="197"/>
        <v>45697.54167</v>
      </c>
      <c r="AX197" s="19">
        <f t="shared" si="197"/>
        <v>45697.5625</v>
      </c>
      <c r="AY197" s="19">
        <f t="shared" si="197"/>
        <v>45697.58333</v>
      </c>
      <c r="AZ197" s="19">
        <f t="shared" si="197"/>
        <v>45697.60417</v>
      </c>
      <c r="BA197" s="19">
        <f t="shared" si="197"/>
        <v>45697.625</v>
      </c>
      <c r="BB197" s="19">
        <f t="shared" si="197"/>
        <v>45697.64583</v>
      </c>
      <c r="BC197" s="19">
        <f t="shared" si="197"/>
        <v>45697.66667</v>
      </c>
      <c r="BD197" s="19">
        <f t="shared" si="197"/>
        <v>45697.6875</v>
      </c>
      <c r="BE197" s="19">
        <f t="shared" si="197"/>
        <v>45697.70833</v>
      </c>
      <c r="BF197" s="19">
        <f t="shared" si="197"/>
        <v>45697.72917</v>
      </c>
      <c r="BG197" s="19">
        <f t="shared" si="197"/>
        <v>45697.75</v>
      </c>
      <c r="BH197" s="19">
        <f t="shared" si="197"/>
        <v>45697.77083</v>
      </c>
      <c r="BI197" s="19">
        <f t="shared" si="197"/>
        <v>45697.79167</v>
      </c>
      <c r="BJ197" s="19">
        <f t="shared" si="197"/>
        <v>45697.8125</v>
      </c>
      <c r="BK197" s="19">
        <f t="shared" si="197"/>
        <v>45697.83333</v>
      </c>
      <c r="BL197" s="19">
        <f t="shared" si="197"/>
        <v>45697.85417</v>
      </c>
      <c r="BM197" s="19">
        <f t="shared" si="197"/>
        <v>45697.875</v>
      </c>
      <c r="BN197" s="19">
        <f t="shared" si="197"/>
        <v>45697.89583</v>
      </c>
      <c r="BO197" s="19">
        <f t="shared" si="197"/>
        <v>45697.91667</v>
      </c>
      <c r="BP197" s="19">
        <f t="shared" si="197"/>
        <v>45697.9375</v>
      </c>
      <c r="BQ197" s="19">
        <f t="shared" si="197"/>
        <v>45697.95833</v>
      </c>
      <c r="BR197" s="19">
        <f t="shared" si="197"/>
        <v>45697.97917</v>
      </c>
      <c r="BS197" s="19">
        <f t="shared" si="197"/>
        <v>45698</v>
      </c>
      <c r="BT197" s="19">
        <f t="shared" si="197"/>
        <v>45698.02083</v>
      </c>
      <c r="BU197" s="19">
        <f t="shared" si="197"/>
        <v>45698.04167</v>
      </c>
      <c r="BV197" s="19">
        <f t="shared" si="197"/>
        <v>45698.0625</v>
      </c>
      <c r="BW197" s="19">
        <f t="shared" si="197"/>
        <v>45698.08333</v>
      </c>
      <c r="BX197" s="19">
        <f t="shared" si="197"/>
        <v>45697</v>
      </c>
      <c r="BY197" s="19">
        <f t="shared" si="197"/>
        <v>45697</v>
      </c>
      <c r="BZ197" s="19">
        <f t="shared" si="197"/>
        <v>45697</v>
      </c>
    </row>
    <row r="198" ht="14.25" customHeight="1">
      <c r="A198" s="17">
        <v>45698.0</v>
      </c>
      <c r="B198" s="2" t="str">
        <f t="array" ref="B198">IF(NOW()&gt;AM198,"",IF(AND((WEEKDAY($A198)+$B$2)&gt;1,((WEEKDAY($A198)+$T$2)&lt;7),(WEEKDAY($A198)&lt;&gt;1)),"work",(INDEX(Subject!$A:$I,MATCH(RANDBETWEEN(1,(MAX(Subject!$B:$B))),Subject!$B:$B,0),3))))</f>
        <v/>
      </c>
      <c r="C198" s="2" t="str">
        <f t="array" ref="C198">IF(NOW()&gt;AN198,"",IF(AND((WEEKDAY($A198)+$B$2)&gt;1,((WEEKDAY($A198)+$T$2)&lt;7),(WEEKDAY($A198)&lt;&gt;1)),"work",(INDEX(Subject!$A:$I,MATCH(RANDBETWEEN(1,(MAX(Subject!$B:$B))),Subject!$B:$B,0),3))))</f>
        <v/>
      </c>
      <c r="D198" s="2" t="str">
        <f t="array" ref="D198">IF(NOW()&gt;AO198,"",IF(AND((WEEKDAY($A198)+$B$2)&gt;1,((WEEKDAY($A198)+$T$2)&lt;7),(WEEKDAY($A198)&lt;&gt;1)),"work",(INDEX(Subject!$A:$I,MATCH(RANDBETWEEN(1,(MAX(Subject!$B:$B))),Subject!$B:$B,0),3))))</f>
        <v/>
      </c>
      <c r="E198" s="2" t="str">
        <f t="array" ref="E198">IF(NOW()&gt;AP198,"",IF(AND((WEEKDAY($A198)+$B$2)&gt;1,((WEEKDAY($A198)+$T$2)&lt;7),(WEEKDAY($A198)&lt;&gt;1)),"work",(INDEX(Subject!$A:$I,MATCH(RANDBETWEEN(1,(MAX(Subject!$B:$B))),Subject!$B:$B,0),3))))</f>
        <v/>
      </c>
      <c r="F198" s="2" t="str">
        <f t="array" ref="F198">IF(NOW()&gt;AQ198,"",IF(AND((WEEKDAY($A198)+$B$2)&gt;1,((WEEKDAY($A198)+$T$2)&lt;7),(WEEKDAY($A198)&lt;&gt;1)),"work",(INDEX(Subject!$A:$I,MATCH(RANDBETWEEN(1,(MAX(Subject!$B:$B))),Subject!$B:$B,0),3))))</f>
        <v/>
      </c>
      <c r="G198" s="2" t="str">
        <f t="array" ref="G198">IF(NOW()&gt;AR198,"",IF(AND((WEEKDAY($A198)+$B$2)&gt;1,((WEEKDAY($A198)+$T$2)&lt;7),(WEEKDAY($A198)&lt;&gt;1)),"work",(INDEX(Subject!$A:$I,MATCH(RANDBETWEEN(1,(MAX(Subject!$B:$B))),Subject!$B:$B,0),3))))</f>
        <v/>
      </c>
      <c r="H198" s="2" t="str">
        <f t="array" ref="H198">IF(NOW()&gt;AS198,"",IF(AND((WEEKDAY($A198)+$B$2)&gt;1,((WEEKDAY($A198)+$T$2)&lt;7),(WEEKDAY($A198)&lt;&gt;1)),"work",(INDEX(Subject!$A:$I,MATCH(RANDBETWEEN(1,(MAX(Subject!$B:$B))),Subject!$B:$B,0),3))))</f>
        <v/>
      </c>
      <c r="I198" s="2" t="str">
        <f t="array" ref="I198">IF(NOW()&gt;AT198,"",IF(AND((WEEKDAY($A198)+$B$2)&gt;1,((WEEKDAY($A198)+$T$2)&lt;7),(WEEKDAY($A198)&lt;&gt;1)),"work",(INDEX(Subject!$A:$I,MATCH(RANDBETWEEN(1,(MAX(Subject!$B:$B))),Subject!$B:$B,0),3))))</f>
        <v/>
      </c>
      <c r="J198" s="2" t="str">
        <f t="array" ref="J198">IF(NOW()&gt;AU198,"",IF(AND((WEEKDAY($A198)+$B$2)&gt;1,((WEEKDAY($A198)+$T$2)&lt;7),(WEEKDAY($A198)&lt;&gt;1)),"work",(INDEX(Subject!$A:$I,MATCH(RANDBETWEEN(1,(MAX(Subject!$B:$B))),Subject!$B:$B,0),3))))</f>
        <v/>
      </c>
      <c r="K198" s="2" t="str">
        <f t="array" ref="K198">IF(NOW()&gt;AV198,"",IF(AND((WEEKDAY($A198)+$B$2)&gt;1,((WEEKDAY($A198)+$T$2)&lt;7),(WEEKDAY($A198)&lt;&gt;1)),"work",(INDEX(Subject!$A:$I,MATCH(RANDBETWEEN(1,(MAX(Subject!$B:$B))),Subject!$B:$B,0),3))))</f>
        <v/>
      </c>
      <c r="L198" s="2" t="str">
        <f t="array" ref="L198">IF(NOW()&gt;AW198,"",IF(AND((WEEKDAY($A198)+$B$2)&gt;1,((WEEKDAY($A198)+$T$2)&lt;7),(WEEKDAY($A198)&lt;&gt;1)),"work",(INDEX(Subject!$A:$I,MATCH(RANDBETWEEN(1,(MAX(Subject!$B:$B))),Subject!$B:$B,0),3))))</f>
        <v/>
      </c>
      <c r="M198" s="2" t="str">
        <f t="array" ref="M198">IF(NOW()&gt;AX198,"",IF(AND((WEEKDAY($A198)+$B$2)&gt;1,((WEEKDAY($A198)+$T$2)&lt;7),(WEEKDAY($A198)&lt;&gt;1)),"work",(INDEX(Subject!$A:$I,MATCH(RANDBETWEEN(1,(MAX(Subject!$B:$B))),Subject!$B:$B,0),3))))</f>
        <v/>
      </c>
      <c r="N198" s="2" t="str">
        <f t="array" ref="N198">IF(NOW()&gt;AY198,"",IF(AND((WEEKDAY($A198)+$B$2)&gt;1,((WEEKDAY($A198)+$T$2)&lt;7),(WEEKDAY($A198)&lt;&gt;1)),"work",(INDEX(Subject!$A:$I,MATCH(RANDBETWEEN(1,(MAX(Subject!$B:$B))),Subject!$B:$B,0),3))))</f>
        <v/>
      </c>
      <c r="O198" s="2" t="str">
        <f t="array" ref="O198">IF(NOW()&gt;AZ198,"",IF(AND((WEEKDAY($A198)+$B$2)&gt;1,((WEEKDAY($A198)+$T$2)&lt;7),(WEEKDAY($A198)&lt;&gt;1)),"work",(INDEX(Subject!$A:$I,MATCH(RANDBETWEEN(1,(MAX(Subject!$B:$B))),Subject!$B:$B,0),3))))</f>
        <v/>
      </c>
      <c r="P198" s="2" t="str">
        <f t="array" ref="P198">IF(NOW()&gt;BA198,"",IF(AND((WEEKDAY($A198)+$B$2)&gt;1,((WEEKDAY($A198)+$T$2)&lt;7),(WEEKDAY($A198)&lt;&gt;1)),"work",(INDEX(Subject!$A:$I,MATCH(RANDBETWEEN(1,(MAX(Subject!$B:$B))),Subject!$B:$B,0),3))))</f>
        <v/>
      </c>
      <c r="Q198" s="2" t="str">
        <f t="array" ref="Q198">IF(NOW()&gt;BB198,"",IF(AND((WEEKDAY($A198)+$B$2)&gt;1,((WEEKDAY($A198)+$T$2)&lt;7),(WEEKDAY($A198)&lt;&gt;1)),"work",(INDEX(Subject!$A:$I,MATCH(RANDBETWEEN(1,(MAX(Subject!$B:$B))),Subject!$B:$B,0),3))))</f>
        <v/>
      </c>
      <c r="R198" s="2" t="str">
        <f t="array" ref="R198">IF(NOW()&gt;BC198,"",IF(AND((WEEKDAY($A198)+$B$2)&gt;1,((WEEKDAY($A198)+$T$2)&lt;7),(WEEKDAY($A198)&lt;&gt;1)),"work",(INDEX(Subject!$A:$I,MATCH(RANDBETWEEN(1,(MAX(Subject!$B:$B))),Subject!$B:$B,0),3))))</f>
        <v/>
      </c>
      <c r="S198" s="2" t="str">
        <f t="array" ref="S198">IF(NOW()&gt;BD198,"",IF(AND((WEEKDAY($A198)+$B$2)&gt;1,((WEEKDAY($A198)+$T$2)&lt;7),(WEEKDAY($A198)&lt;&gt;1)),"work",(INDEX(Subject!$A:$I,MATCH(RANDBETWEEN(1,(MAX(Subject!$B:$B))),Subject!$B:$B,0),3))))</f>
        <v/>
      </c>
      <c r="T198" s="2" t="str">
        <f t="array" ref="T198">IF(NOW()&gt;BE198,"",IF(AND((WEEKDAY($A198)+$B$2)&gt;1,((WEEKDAY($A198)+$T$2)&lt;7),(WEEKDAY($A198)&lt;&gt;1)),"work",(INDEX(Subject!$A:$I,MATCH(RANDBETWEEN(1,(MAX(Subject!$B:$B))),Subject!$B:$B,0),3))))</f>
        <v/>
      </c>
      <c r="U198" s="8" t="str">
        <f t="array" ref="U198">INDEX(Subject!$A:$I,MATCH(RANDBETWEEN(1,16),Subject!$B:$B,0),3)</f>
        <v>#N/A</v>
      </c>
      <c r="V198" s="8" t="str">
        <f t="array" ref="V198">INDEX(Subject!$A:$I,MATCH(RANDBETWEEN(1,16),Subject!$B:$B,0),3)</f>
        <v>#N/A</v>
      </c>
      <c r="W198" s="8" t="str">
        <f t="array" ref="W198">INDEX(Subject!$A:$I,MATCH(RANDBETWEEN(1,16),Subject!$B:$B,0),3)</f>
        <v>#N/A</v>
      </c>
      <c r="X198" s="8" t="str">
        <f t="array" ref="X198">INDEX(Subject!$A:$I,MATCH(RANDBETWEEN(1,16),Subject!$B:$B,0),3)</f>
        <v>#N/A</v>
      </c>
      <c r="Y198" s="8" t="str">
        <f t="array" ref="Y198">INDEX(Subject!$A:$I,MATCH(RANDBETWEEN(1,16),Subject!$B:$B,0),3)</f>
        <v>#N/A</v>
      </c>
      <c r="Z198" s="8" t="str">
        <f t="array" ref="Z198">INDEX(Subject!$A:$I,MATCH(RANDBETWEEN(1,16),Subject!$B:$B,0),3)</f>
        <v>#N/A</v>
      </c>
      <c r="AA198" s="8" t="str">
        <f t="array" ref="AA198">INDEX(Subject!$A:$I,MATCH(RANDBETWEEN(1,16),Subject!$B:$B,0),3)</f>
        <v>#N/A</v>
      </c>
      <c r="AB198" s="8" t="str">
        <f t="array" ref="AB198">INDEX(Subject!$A:$I,MATCH(RANDBETWEEN(1,16),Subject!$B:$B,0),3)</f>
        <v>#N/A</v>
      </c>
      <c r="AC198" s="8" t="str">
        <f t="array" ref="AC198">INDEX(Subject!$A:$I,MATCH(RANDBETWEEN(1,16),Subject!$B:$B,0),3)</f>
        <v>#N/A</v>
      </c>
      <c r="AD198" s="8" t="str">
        <f t="array" ref="AD198">INDEX(Subject!$A:$I,MATCH(RANDBETWEEN(1,16),Subject!$B:$B,0),3)</f>
        <v>#N/A</v>
      </c>
      <c r="AE198" s="8" t="str">
        <f t="array" ref="AE198">INDEX(Subject!$A:$I,MATCH(RANDBETWEEN(1,16),Subject!$B:$B,0),3)</f>
        <v>#N/A</v>
      </c>
      <c r="AF198" s="8" t="str">
        <f t="array" ref="AF198">INDEX(Subject!$A:$I,MATCH(RANDBETWEEN(1,16),Subject!$B:$B,0),3)</f>
        <v>#N/A</v>
      </c>
      <c r="AG198" s="8" t="str">
        <f t="array" ref="AG198">INDEX(Subject!$A:$I,MATCH(RANDBETWEEN(1,16),Subject!$B:$B,0),3)</f>
        <v>#N/A</v>
      </c>
      <c r="AH198" s="8" t="str">
        <f t="array" ref="AH198">INDEX(Subject!$A:$I,MATCH(RANDBETWEEN(1,16),Subject!$B:$B,0),3)</f>
        <v>#N/A</v>
      </c>
      <c r="AI198" s="8" t="str">
        <f t="array" ref="AI198">INDEX(Subject!$A:$I,MATCH(RANDBETWEEN(1,16),Subject!$B:$B,0),3)</f>
        <v>#N/A</v>
      </c>
      <c r="AJ198" s="8" t="str">
        <f t="array" ref="AJ198">INDEX(Subject!$A:$I,MATCH(RANDBETWEEN(1,16),Subject!$B:$B,0),3)</f>
        <v>#N/A</v>
      </c>
      <c r="AK198" s="8" t="str">
        <f t="array" ref="AK198">INDEX(Subject!$A:$I,MATCH(RANDBETWEEN(1,16),Subject!$B:$B,0),3)</f>
        <v>#N/A</v>
      </c>
      <c r="AL198" s="8" t="str">
        <f t="array" ref="AL198">INDEX(Subject!$A:$I,MATCH(RANDBETWEEN(1,16),Subject!$B:$B,0),3)</f>
        <v>#N/A</v>
      </c>
      <c r="AM198" s="18">
        <f t="shared" si="4"/>
        <v>45698.33333</v>
      </c>
      <c r="AN198" s="19">
        <f t="shared" ref="AN198:BZ198" si="198">$A198+C$1</f>
        <v>45698.35417</v>
      </c>
      <c r="AO198" s="19">
        <f t="shared" si="198"/>
        <v>45698.375</v>
      </c>
      <c r="AP198" s="19">
        <f t="shared" si="198"/>
        <v>45698.39583</v>
      </c>
      <c r="AQ198" s="19">
        <f t="shared" si="198"/>
        <v>45698.41667</v>
      </c>
      <c r="AR198" s="19">
        <f t="shared" si="198"/>
        <v>45698.4375</v>
      </c>
      <c r="AS198" s="19">
        <f t="shared" si="198"/>
        <v>45698.45833</v>
      </c>
      <c r="AT198" s="19">
        <f t="shared" si="198"/>
        <v>45698.47917</v>
      </c>
      <c r="AU198" s="19">
        <f t="shared" si="198"/>
        <v>45698.5</v>
      </c>
      <c r="AV198" s="19">
        <f t="shared" si="198"/>
        <v>45698.52083</v>
      </c>
      <c r="AW198" s="19">
        <f t="shared" si="198"/>
        <v>45698.54167</v>
      </c>
      <c r="AX198" s="19">
        <f t="shared" si="198"/>
        <v>45698.5625</v>
      </c>
      <c r="AY198" s="19">
        <f t="shared" si="198"/>
        <v>45698.58333</v>
      </c>
      <c r="AZ198" s="19">
        <f t="shared" si="198"/>
        <v>45698.60417</v>
      </c>
      <c r="BA198" s="19">
        <f t="shared" si="198"/>
        <v>45698.625</v>
      </c>
      <c r="BB198" s="19">
        <f t="shared" si="198"/>
        <v>45698.64583</v>
      </c>
      <c r="BC198" s="19">
        <f t="shared" si="198"/>
        <v>45698.66667</v>
      </c>
      <c r="BD198" s="19">
        <f t="shared" si="198"/>
        <v>45698.6875</v>
      </c>
      <c r="BE198" s="19">
        <f t="shared" si="198"/>
        <v>45698.70833</v>
      </c>
      <c r="BF198" s="19">
        <f t="shared" si="198"/>
        <v>45698.72917</v>
      </c>
      <c r="BG198" s="19">
        <f t="shared" si="198"/>
        <v>45698.75</v>
      </c>
      <c r="BH198" s="19">
        <f t="shared" si="198"/>
        <v>45698.77083</v>
      </c>
      <c r="BI198" s="19">
        <f t="shared" si="198"/>
        <v>45698.79167</v>
      </c>
      <c r="BJ198" s="19">
        <f t="shared" si="198"/>
        <v>45698.8125</v>
      </c>
      <c r="BK198" s="19">
        <f t="shared" si="198"/>
        <v>45698.83333</v>
      </c>
      <c r="BL198" s="19">
        <f t="shared" si="198"/>
        <v>45698.85417</v>
      </c>
      <c r="BM198" s="19">
        <f t="shared" si="198"/>
        <v>45698.875</v>
      </c>
      <c r="BN198" s="19">
        <f t="shared" si="198"/>
        <v>45698.89583</v>
      </c>
      <c r="BO198" s="19">
        <f t="shared" si="198"/>
        <v>45698.91667</v>
      </c>
      <c r="BP198" s="19">
        <f t="shared" si="198"/>
        <v>45698.9375</v>
      </c>
      <c r="BQ198" s="19">
        <f t="shared" si="198"/>
        <v>45698.95833</v>
      </c>
      <c r="BR198" s="19">
        <f t="shared" si="198"/>
        <v>45698.97917</v>
      </c>
      <c r="BS198" s="19">
        <f t="shared" si="198"/>
        <v>45699</v>
      </c>
      <c r="BT198" s="19">
        <f t="shared" si="198"/>
        <v>45699.02083</v>
      </c>
      <c r="BU198" s="19">
        <f t="shared" si="198"/>
        <v>45699.04167</v>
      </c>
      <c r="BV198" s="19">
        <f t="shared" si="198"/>
        <v>45699.0625</v>
      </c>
      <c r="BW198" s="19">
        <f t="shared" si="198"/>
        <v>45699.08333</v>
      </c>
      <c r="BX198" s="19">
        <f t="shared" si="198"/>
        <v>45698</v>
      </c>
      <c r="BY198" s="19">
        <f t="shared" si="198"/>
        <v>45698</v>
      </c>
      <c r="BZ198" s="19">
        <f t="shared" si="198"/>
        <v>45698</v>
      </c>
    </row>
    <row r="199" ht="14.25" customHeight="1">
      <c r="A199" s="17">
        <v>45699.0</v>
      </c>
      <c r="B199" s="2" t="str">
        <f t="array" ref="B199">IF(NOW()&gt;AM199,"",IF(AND((WEEKDAY($A199)+$B$2)&gt;1,((WEEKDAY($A199)+$T$2)&lt;7),(WEEKDAY($A199)&lt;&gt;1)),"work",(INDEX(Subject!$A:$I,MATCH(RANDBETWEEN(1,(MAX(Subject!$B:$B))),Subject!$B:$B,0),3))))</f>
        <v/>
      </c>
      <c r="C199" s="2" t="str">
        <f t="array" ref="C199">IF(NOW()&gt;AN199,"",IF(AND((WEEKDAY($A199)+$B$2)&gt;1,((WEEKDAY($A199)+$T$2)&lt;7),(WEEKDAY($A199)&lt;&gt;1)),"work",(INDEX(Subject!$A:$I,MATCH(RANDBETWEEN(1,(MAX(Subject!$B:$B))),Subject!$B:$B,0),3))))</f>
        <v/>
      </c>
      <c r="D199" s="2" t="str">
        <f t="array" ref="D199">IF(NOW()&gt;AO199,"",IF(AND((WEEKDAY($A199)+$B$2)&gt;1,((WEEKDAY($A199)+$T$2)&lt;7),(WEEKDAY($A199)&lt;&gt;1)),"work",(INDEX(Subject!$A:$I,MATCH(RANDBETWEEN(1,(MAX(Subject!$B:$B))),Subject!$B:$B,0),3))))</f>
        <v/>
      </c>
      <c r="E199" s="2" t="str">
        <f t="array" ref="E199">IF(NOW()&gt;AP199,"",IF(AND((WEEKDAY($A199)+$B$2)&gt;1,((WEEKDAY($A199)+$T$2)&lt;7),(WEEKDAY($A199)&lt;&gt;1)),"work",(INDEX(Subject!$A:$I,MATCH(RANDBETWEEN(1,(MAX(Subject!$B:$B))),Subject!$B:$B,0),3))))</f>
        <v/>
      </c>
      <c r="F199" s="2" t="str">
        <f t="array" ref="F199">IF(NOW()&gt;AQ199,"",IF(AND((WEEKDAY($A199)+$B$2)&gt;1,((WEEKDAY($A199)+$T$2)&lt;7),(WEEKDAY($A199)&lt;&gt;1)),"work",(INDEX(Subject!$A:$I,MATCH(RANDBETWEEN(1,(MAX(Subject!$B:$B))),Subject!$B:$B,0),3))))</f>
        <v/>
      </c>
      <c r="G199" s="2" t="str">
        <f t="array" ref="G199">IF(NOW()&gt;AR199,"",IF(AND((WEEKDAY($A199)+$B$2)&gt;1,((WEEKDAY($A199)+$T$2)&lt;7),(WEEKDAY($A199)&lt;&gt;1)),"work",(INDEX(Subject!$A:$I,MATCH(RANDBETWEEN(1,(MAX(Subject!$B:$B))),Subject!$B:$B,0),3))))</f>
        <v/>
      </c>
      <c r="H199" s="2" t="str">
        <f t="array" ref="H199">IF(NOW()&gt;AS199,"",IF(AND((WEEKDAY($A199)+$B$2)&gt;1,((WEEKDAY($A199)+$T$2)&lt;7),(WEEKDAY($A199)&lt;&gt;1)),"work",(INDEX(Subject!$A:$I,MATCH(RANDBETWEEN(1,(MAX(Subject!$B:$B))),Subject!$B:$B,0),3))))</f>
        <v/>
      </c>
      <c r="I199" s="2" t="str">
        <f t="array" ref="I199">IF(NOW()&gt;AT199,"",IF(AND((WEEKDAY($A199)+$B$2)&gt;1,((WEEKDAY($A199)+$T$2)&lt;7),(WEEKDAY($A199)&lt;&gt;1)),"work",(INDEX(Subject!$A:$I,MATCH(RANDBETWEEN(1,(MAX(Subject!$B:$B))),Subject!$B:$B,0),3))))</f>
        <v/>
      </c>
      <c r="J199" s="2" t="str">
        <f t="array" ref="J199">IF(NOW()&gt;AU199,"",IF(AND((WEEKDAY($A199)+$B$2)&gt;1,((WEEKDAY($A199)+$T$2)&lt;7),(WEEKDAY($A199)&lt;&gt;1)),"work",(INDEX(Subject!$A:$I,MATCH(RANDBETWEEN(1,(MAX(Subject!$B:$B))),Subject!$B:$B,0),3))))</f>
        <v/>
      </c>
      <c r="K199" s="2" t="str">
        <f t="array" ref="K199">IF(NOW()&gt;AV199,"",IF(AND((WEEKDAY($A199)+$B$2)&gt;1,((WEEKDAY($A199)+$T$2)&lt;7),(WEEKDAY($A199)&lt;&gt;1)),"work",(INDEX(Subject!$A:$I,MATCH(RANDBETWEEN(1,(MAX(Subject!$B:$B))),Subject!$B:$B,0),3))))</f>
        <v/>
      </c>
      <c r="L199" s="2" t="str">
        <f t="array" ref="L199">IF(NOW()&gt;AW199,"",IF(AND((WEEKDAY($A199)+$B$2)&gt;1,((WEEKDAY($A199)+$T$2)&lt;7),(WEEKDAY($A199)&lt;&gt;1)),"work",(INDEX(Subject!$A:$I,MATCH(RANDBETWEEN(1,(MAX(Subject!$B:$B))),Subject!$B:$B,0),3))))</f>
        <v/>
      </c>
      <c r="M199" s="2" t="str">
        <f t="array" ref="M199">IF(NOW()&gt;AX199,"",IF(AND((WEEKDAY($A199)+$B$2)&gt;1,((WEEKDAY($A199)+$T$2)&lt;7),(WEEKDAY($A199)&lt;&gt;1)),"work",(INDEX(Subject!$A:$I,MATCH(RANDBETWEEN(1,(MAX(Subject!$B:$B))),Subject!$B:$B,0),3))))</f>
        <v/>
      </c>
      <c r="N199" s="2" t="str">
        <f t="array" ref="N199">IF(NOW()&gt;AY199,"",IF(AND((WEEKDAY($A199)+$B$2)&gt;1,((WEEKDAY($A199)+$T$2)&lt;7),(WEEKDAY($A199)&lt;&gt;1)),"work",(INDEX(Subject!$A:$I,MATCH(RANDBETWEEN(1,(MAX(Subject!$B:$B))),Subject!$B:$B,0),3))))</f>
        <v/>
      </c>
      <c r="O199" s="2" t="str">
        <f t="array" ref="O199">IF(NOW()&gt;AZ199,"",IF(AND((WEEKDAY($A199)+$B$2)&gt;1,((WEEKDAY($A199)+$T$2)&lt;7),(WEEKDAY($A199)&lt;&gt;1)),"work",(INDEX(Subject!$A:$I,MATCH(RANDBETWEEN(1,(MAX(Subject!$B:$B))),Subject!$B:$B,0),3))))</f>
        <v/>
      </c>
      <c r="P199" s="2" t="str">
        <f t="array" ref="P199">IF(NOW()&gt;BA199,"",IF(AND((WEEKDAY($A199)+$B$2)&gt;1,((WEEKDAY($A199)+$T$2)&lt;7),(WEEKDAY($A199)&lt;&gt;1)),"work",(INDEX(Subject!$A:$I,MATCH(RANDBETWEEN(1,(MAX(Subject!$B:$B))),Subject!$B:$B,0),3))))</f>
        <v/>
      </c>
      <c r="Q199" s="2" t="str">
        <f t="array" ref="Q199">IF(NOW()&gt;BB199,"",IF(AND((WEEKDAY($A199)+$B$2)&gt;1,((WEEKDAY($A199)+$T$2)&lt;7),(WEEKDAY($A199)&lt;&gt;1)),"work",(INDEX(Subject!$A:$I,MATCH(RANDBETWEEN(1,(MAX(Subject!$B:$B))),Subject!$B:$B,0),3))))</f>
        <v/>
      </c>
      <c r="R199" s="2" t="str">
        <f t="array" ref="R199">IF(NOW()&gt;BC199,"",IF(AND((WEEKDAY($A199)+$B$2)&gt;1,((WEEKDAY($A199)+$T$2)&lt;7),(WEEKDAY($A199)&lt;&gt;1)),"work",(INDEX(Subject!$A:$I,MATCH(RANDBETWEEN(1,(MAX(Subject!$B:$B))),Subject!$B:$B,0),3))))</f>
        <v/>
      </c>
      <c r="S199" s="2" t="str">
        <f t="array" ref="S199">IF(NOW()&gt;BD199,"",IF(AND((WEEKDAY($A199)+$B$2)&gt;1,((WEEKDAY($A199)+$T$2)&lt;7),(WEEKDAY($A199)&lt;&gt;1)),"work",(INDEX(Subject!$A:$I,MATCH(RANDBETWEEN(1,(MAX(Subject!$B:$B))),Subject!$B:$B,0),3))))</f>
        <v/>
      </c>
      <c r="T199" s="2" t="str">
        <f t="array" ref="T199">IF(NOW()&gt;BE199,"",IF(AND((WEEKDAY($A199)+$B$2)&gt;1,((WEEKDAY($A199)+$T$2)&lt;7),(WEEKDAY($A199)&lt;&gt;1)),"work",(INDEX(Subject!$A:$I,MATCH(RANDBETWEEN(1,(MAX(Subject!$B:$B))),Subject!$B:$B,0),3))))</f>
        <v/>
      </c>
      <c r="U199" s="8" t="str">
        <f t="array" ref="U199">INDEX(Subject!$A:$I,MATCH(RANDBETWEEN(1,16),Subject!$B:$B,0),3)</f>
        <v>#N/A</v>
      </c>
      <c r="V199" s="8" t="str">
        <f t="array" ref="V199">INDEX(Subject!$A:$I,MATCH(RANDBETWEEN(1,16),Subject!$B:$B,0),3)</f>
        <v>#N/A</v>
      </c>
      <c r="W199" s="8" t="str">
        <f t="array" ref="W199">INDEX(Subject!$A:$I,MATCH(RANDBETWEEN(1,16),Subject!$B:$B,0),3)</f>
        <v>#N/A</v>
      </c>
      <c r="X199" s="8" t="str">
        <f t="array" ref="X199">INDEX(Subject!$A:$I,MATCH(RANDBETWEEN(1,16),Subject!$B:$B,0),3)</f>
        <v>#N/A</v>
      </c>
      <c r="Y199" s="8" t="str">
        <f t="array" ref="Y199">INDEX(Subject!$A:$I,MATCH(RANDBETWEEN(1,16),Subject!$B:$B,0),3)</f>
        <v>#N/A</v>
      </c>
      <c r="Z199" s="8" t="str">
        <f t="array" ref="Z199">INDEX(Subject!$A:$I,MATCH(RANDBETWEEN(1,16),Subject!$B:$B,0),3)</f>
        <v>#N/A</v>
      </c>
      <c r="AA199" s="8" t="str">
        <f t="array" ref="AA199">INDEX(Subject!$A:$I,MATCH(RANDBETWEEN(1,16),Subject!$B:$B,0),3)</f>
        <v>#N/A</v>
      </c>
      <c r="AB199" s="8" t="str">
        <f t="array" ref="AB199">INDEX(Subject!$A:$I,MATCH(RANDBETWEEN(1,16),Subject!$B:$B,0),3)</f>
        <v>#N/A</v>
      </c>
      <c r="AC199" s="8" t="str">
        <f t="array" ref="AC199">INDEX(Subject!$A:$I,MATCH(RANDBETWEEN(1,16),Subject!$B:$B,0),3)</f>
        <v>#N/A</v>
      </c>
      <c r="AD199" s="8" t="str">
        <f t="array" ref="AD199">INDEX(Subject!$A:$I,MATCH(RANDBETWEEN(1,16),Subject!$B:$B,0),3)</f>
        <v>#N/A</v>
      </c>
      <c r="AE199" s="8" t="str">
        <f t="array" ref="AE199">INDEX(Subject!$A:$I,MATCH(RANDBETWEEN(1,16),Subject!$B:$B,0),3)</f>
        <v>#N/A</v>
      </c>
      <c r="AF199" s="8" t="str">
        <f t="array" ref="AF199">INDEX(Subject!$A:$I,MATCH(RANDBETWEEN(1,16),Subject!$B:$B,0),3)</f>
        <v>#N/A</v>
      </c>
      <c r="AG199" s="8" t="str">
        <f t="array" ref="AG199">INDEX(Subject!$A:$I,MATCH(RANDBETWEEN(1,16),Subject!$B:$B,0),3)</f>
        <v>#N/A</v>
      </c>
      <c r="AH199" s="8" t="str">
        <f t="array" ref="AH199">INDEX(Subject!$A:$I,MATCH(RANDBETWEEN(1,16),Subject!$B:$B,0),3)</f>
        <v>#N/A</v>
      </c>
      <c r="AI199" s="8" t="str">
        <f t="array" ref="AI199">INDEX(Subject!$A:$I,MATCH(RANDBETWEEN(1,16),Subject!$B:$B,0),3)</f>
        <v>#N/A</v>
      </c>
      <c r="AJ199" s="8" t="str">
        <f t="array" ref="AJ199">INDEX(Subject!$A:$I,MATCH(RANDBETWEEN(1,16),Subject!$B:$B,0),3)</f>
        <v>#N/A</v>
      </c>
      <c r="AK199" s="8" t="str">
        <f t="array" ref="AK199">INDEX(Subject!$A:$I,MATCH(RANDBETWEEN(1,16),Subject!$B:$B,0),3)</f>
        <v>#N/A</v>
      </c>
      <c r="AL199" s="8" t="str">
        <f t="array" ref="AL199">INDEX(Subject!$A:$I,MATCH(RANDBETWEEN(1,16),Subject!$B:$B,0),3)</f>
        <v>#N/A</v>
      </c>
      <c r="AM199" s="18">
        <f t="shared" si="4"/>
        <v>45699.33333</v>
      </c>
      <c r="AN199" s="19">
        <f t="shared" ref="AN199:BZ199" si="199">$A199+C$1</f>
        <v>45699.35417</v>
      </c>
      <c r="AO199" s="19">
        <f t="shared" si="199"/>
        <v>45699.375</v>
      </c>
      <c r="AP199" s="19">
        <f t="shared" si="199"/>
        <v>45699.39583</v>
      </c>
      <c r="AQ199" s="19">
        <f t="shared" si="199"/>
        <v>45699.41667</v>
      </c>
      <c r="AR199" s="19">
        <f t="shared" si="199"/>
        <v>45699.4375</v>
      </c>
      <c r="AS199" s="19">
        <f t="shared" si="199"/>
        <v>45699.45833</v>
      </c>
      <c r="AT199" s="19">
        <f t="shared" si="199"/>
        <v>45699.47917</v>
      </c>
      <c r="AU199" s="19">
        <f t="shared" si="199"/>
        <v>45699.5</v>
      </c>
      <c r="AV199" s="19">
        <f t="shared" si="199"/>
        <v>45699.52083</v>
      </c>
      <c r="AW199" s="19">
        <f t="shared" si="199"/>
        <v>45699.54167</v>
      </c>
      <c r="AX199" s="19">
        <f t="shared" si="199"/>
        <v>45699.5625</v>
      </c>
      <c r="AY199" s="19">
        <f t="shared" si="199"/>
        <v>45699.58333</v>
      </c>
      <c r="AZ199" s="19">
        <f t="shared" si="199"/>
        <v>45699.60417</v>
      </c>
      <c r="BA199" s="19">
        <f t="shared" si="199"/>
        <v>45699.625</v>
      </c>
      <c r="BB199" s="19">
        <f t="shared" si="199"/>
        <v>45699.64583</v>
      </c>
      <c r="BC199" s="19">
        <f t="shared" si="199"/>
        <v>45699.66667</v>
      </c>
      <c r="BD199" s="19">
        <f t="shared" si="199"/>
        <v>45699.6875</v>
      </c>
      <c r="BE199" s="19">
        <f t="shared" si="199"/>
        <v>45699.70833</v>
      </c>
      <c r="BF199" s="19">
        <f t="shared" si="199"/>
        <v>45699.72917</v>
      </c>
      <c r="BG199" s="19">
        <f t="shared" si="199"/>
        <v>45699.75</v>
      </c>
      <c r="BH199" s="19">
        <f t="shared" si="199"/>
        <v>45699.77083</v>
      </c>
      <c r="BI199" s="19">
        <f t="shared" si="199"/>
        <v>45699.79167</v>
      </c>
      <c r="BJ199" s="19">
        <f t="shared" si="199"/>
        <v>45699.8125</v>
      </c>
      <c r="BK199" s="19">
        <f t="shared" si="199"/>
        <v>45699.83333</v>
      </c>
      <c r="BL199" s="19">
        <f t="shared" si="199"/>
        <v>45699.85417</v>
      </c>
      <c r="BM199" s="19">
        <f t="shared" si="199"/>
        <v>45699.875</v>
      </c>
      <c r="BN199" s="19">
        <f t="shared" si="199"/>
        <v>45699.89583</v>
      </c>
      <c r="BO199" s="19">
        <f t="shared" si="199"/>
        <v>45699.91667</v>
      </c>
      <c r="BP199" s="19">
        <f t="shared" si="199"/>
        <v>45699.9375</v>
      </c>
      <c r="BQ199" s="19">
        <f t="shared" si="199"/>
        <v>45699.95833</v>
      </c>
      <c r="BR199" s="19">
        <f t="shared" si="199"/>
        <v>45699.97917</v>
      </c>
      <c r="BS199" s="19">
        <f t="shared" si="199"/>
        <v>45700</v>
      </c>
      <c r="BT199" s="19">
        <f t="shared" si="199"/>
        <v>45700.02083</v>
      </c>
      <c r="BU199" s="19">
        <f t="shared" si="199"/>
        <v>45700.04167</v>
      </c>
      <c r="BV199" s="19">
        <f t="shared" si="199"/>
        <v>45700.0625</v>
      </c>
      <c r="BW199" s="19">
        <f t="shared" si="199"/>
        <v>45700.08333</v>
      </c>
      <c r="BX199" s="19">
        <f t="shared" si="199"/>
        <v>45699</v>
      </c>
      <c r="BY199" s="19">
        <f t="shared" si="199"/>
        <v>45699</v>
      </c>
      <c r="BZ199" s="19">
        <f t="shared" si="199"/>
        <v>45699</v>
      </c>
    </row>
    <row r="200" ht="14.25" customHeight="1">
      <c r="A200" s="17">
        <v>45700.0</v>
      </c>
      <c r="B200" s="2" t="str">
        <f t="array" ref="B200">IF(NOW()&gt;AM200,"",IF(AND((WEEKDAY($A200)+$B$2)&gt;1,((WEEKDAY($A200)+$T$2)&lt;7),(WEEKDAY($A200)&lt;&gt;1)),"work",(INDEX(Subject!$A:$I,MATCH(RANDBETWEEN(1,(MAX(Subject!$B:$B))),Subject!$B:$B,0),3))))</f>
        <v/>
      </c>
      <c r="C200" s="2" t="str">
        <f t="array" ref="C200">IF(NOW()&gt;AN200,"",IF(AND((WEEKDAY($A200)+$B$2)&gt;1,((WEEKDAY($A200)+$T$2)&lt;7),(WEEKDAY($A200)&lt;&gt;1)),"work",(INDEX(Subject!$A:$I,MATCH(RANDBETWEEN(1,(MAX(Subject!$B:$B))),Subject!$B:$B,0),3))))</f>
        <v/>
      </c>
      <c r="D200" s="2" t="str">
        <f t="array" ref="D200">IF(NOW()&gt;AO200,"",IF(AND((WEEKDAY($A200)+$B$2)&gt;1,((WEEKDAY($A200)+$T$2)&lt;7),(WEEKDAY($A200)&lt;&gt;1)),"work",(INDEX(Subject!$A:$I,MATCH(RANDBETWEEN(1,(MAX(Subject!$B:$B))),Subject!$B:$B,0),3))))</f>
        <v/>
      </c>
      <c r="E200" s="2" t="str">
        <f t="array" ref="E200">IF(NOW()&gt;AP200,"",IF(AND((WEEKDAY($A200)+$B$2)&gt;1,((WEEKDAY($A200)+$T$2)&lt;7),(WEEKDAY($A200)&lt;&gt;1)),"work",(INDEX(Subject!$A:$I,MATCH(RANDBETWEEN(1,(MAX(Subject!$B:$B))),Subject!$B:$B,0),3))))</f>
        <v/>
      </c>
      <c r="F200" s="2" t="str">
        <f t="array" ref="F200">IF(NOW()&gt;AQ200,"",IF(AND((WEEKDAY($A200)+$B$2)&gt;1,((WEEKDAY($A200)+$T$2)&lt;7),(WEEKDAY($A200)&lt;&gt;1)),"work",(INDEX(Subject!$A:$I,MATCH(RANDBETWEEN(1,(MAX(Subject!$B:$B))),Subject!$B:$B,0),3))))</f>
        <v/>
      </c>
      <c r="G200" s="2" t="str">
        <f t="array" ref="G200">IF(NOW()&gt;AR200,"",IF(AND((WEEKDAY($A200)+$B$2)&gt;1,((WEEKDAY($A200)+$T$2)&lt;7),(WEEKDAY($A200)&lt;&gt;1)),"work",(INDEX(Subject!$A:$I,MATCH(RANDBETWEEN(1,(MAX(Subject!$B:$B))),Subject!$B:$B,0),3))))</f>
        <v/>
      </c>
      <c r="H200" s="2" t="str">
        <f t="array" ref="H200">IF(NOW()&gt;AS200,"",IF(AND((WEEKDAY($A200)+$B$2)&gt;1,((WEEKDAY($A200)+$T$2)&lt;7),(WEEKDAY($A200)&lt;&gt;1)),"work",(INDEX(Subject!$A:$I,MATCH(RANDBETWEEN(1,(MAX(Subject!$B:$B))),Subject!$B:$B,0),3))))</f>
        <v/>
      </c>
      <c r="I200" s="2" t="str">
        <f t="array" ref="I200">IF(NOW()&gt;AT200,"",IF(AND((WEEKDAY($A200)+$B$2)&gt;1,((WEEKDAY($A200)+$T$2)&lt;7),(WEEKDAY($A200)&lt;&gt;1)),"work",(INDEX(Subject!$A:$I,MATCH(RANDBETWEEN(1,(MAX(Subject!$B:$B))),Subject!$B:$B,0),3))))</f>
        <v/>
      </c>
      <c r="J200" s="2" t="str">
        <f t="array" ref="J200">IF(NOW()&gt;AU200,"",IF(AND((WEEKDAY($A200)+$B$2)&gt;1,((WEEKDAY($A200)+$T$2)&lt;7),(WEEKDAY($A200)&lt;&gt;1)),"work",(INDEX(Subject!$A:$I,MATCH(RANDBETWEEN(1,(MAX(Subject!$B:$B))),Subject!$B:$B,0),3))))</f>
        <v/>
      </c>
      <c r="K200" s="2" t="str">
        <f t="array" ref="K200">IF(NOW()&gt;AV200,"",IF(AND((WEEKDAY($A200)+$B$2)&gt;1,((WEEKDAY($A200)+$T$2)&lt;7),(WEEKDAY($A200)&lt;&gt;1)),"work",(INDEX(Subject!$A:$I,MATCH(RANDBETWEEN(1,(MAX(Subject!$B:$B))),Subject!$B:$B,0),3))))</f>
        <v/>
      </c>
      <c r="L200" s="2" t="str">
        <f t="array" ref="L200">IF(NOW()&gt;AW200,"",IF(AND((WEEKDAY($A200)+$B$2)&gt;1,((WEEKDAY($A200)+$T$2)&lt;7),(WEEKDAY($A200)&lt;&gt;1)),"work",(INDEX(Subject!$A:$I,MATCH(RANDBETWEEN(1,(MAX(Subject!$B:$B))),Subject!$B:$B,0),3))))</f>
        <v/>
      </c>
      <c r="M200" s="2" t="str">
        <f t="array" ref="M200">IF(NOW()&gt;AX200,"",IF(AND((WEEKDAY($A200)+$B$2)&gt;1,((WEEKDAY($A200)+$T$2)&lt;7),(WEEKDAY($A200)&lt;&gt;1)),"work",(INDEX(Subject!$A:$I,MATCH(RANDBETWEEN(1,(MAX(Subject!$B:$B))),Subject!$B:$B,0),3))))</f>
        <v/>
      </c>
      <c r="N200" s="2" t="str">
        <f t="array" ref="N200">IF(NOW()&gt;AY200,"",IF(AND((WEEKDAY($A200)+$B$2)&gt;1,((WEEKDAY($A200)+$T$2)&lt;7),(WEEKDAY($A200)&lt;&gt;1)),"work",(INDEX(Subject!$A:$I,MATCH(RANDBETWEEN(1,(MAX(Subject!$B:$B))),Subject!$B:$B,0),3))))</f>
        <v/>
      </c>
      <c r="O200" s="2" t="str">
        <f t="array" ref="O200">IF(NOW()&gt;AZ200,"",IF(AND((WEEKDAY($A200)+$B$2)&gt;1,((WEEKDAY($A200)+$T$2)&lt;7),(WEEKDAY($A200)&lt;&gt;1)),"work",(INDEX(Subject!$A:$I,MATCH(RANDBETWEEN(1,(MAX(Subject!$B:$B))),Subject!$B:$B,0),3))))</f>
        <v/>
      </c>
      <c r="P200" s="2" t="str">
        <f t="array" ref="P200">IF(NOW()&gt;BA200,"",IF(AND((WEEKDAY($A200)+$B$2)&gt;1,((WEEKDAY($A200)+$T$2)&lt;7),(WEEKDAY($A200)&lt;&gt;1)),"work",(INDEX(Subject!$A:$I,MATCH(RANDBETWEEN(1,(MAX(Subject!$B:$B))),Subject!$B:$B,0),3))))</f>
        <v/>
      </c>
      <c r="Q200" s="2" t="str">
        <f t="array" ref="Q200">IF(NOW()&gt;BB200,"",IF(AND((WEEKDAY($A200)+$B$2)&gt;1,((WEEKDAY($A200)+$T$2)&lt;7),(WEEKDAY($A200)&lt;&gt;1)),"work",(INDEX(Subject!$A:$I,MATCH(RANDBETWEEN(1,(MAX(Subject!$B:$B))),Subject!$B:$B,0),3))))</f>
        <v/>
      </c>
      <c r="R200" s="2" t="str">
        <f t="array" ref="R200">IF(NOW()&gt;BC200,"",IF(AND((WEEKDAY($A200)+$B$2)&gt;1,((WEEKDAY($A200)+$T$2)&lt;7),(WEEKDAY($A200)&lt;&gt;1)),"work",(INDEX(Subject!$A:$I,MATCH(RANDBETWEEN(1,(MAX(Subject!$B:$B))),Subject!$B:$B,0),3))))</f>
        <v/>
      </c>
      <c r="S200" s="2" t="str">
        <f t="array" ref="S200">IF(NOW()&gt;BD200,"",IF(AND((WEEKDAY($A200)+$B$2)&gt;1,((WEEKDAY($A200)+$T$2)&lt;7),(WEEKDAY($A200)&lt;&gt;1)),"work",(INDEX(Subject!$A:$I,MATCH(RANDBETWEEN(1,(MAX(Subject!$B:$B))),Subject!$B:$B,0),3))))</f>
        <v/>
      </c>
      <c r="T200" s="2" t="str">
        <f t="array" ref="T200">IF(NOW()&gt;BE200,"",IF(AND((WEEKDAY($A200)+$B$2)&gt;1,((WEEKDAY($A200)+$T$2)&lt;7),(WEEKDAY($A200)&lt;&gt;1)),"work",(INDEX(Subject!$A:$I,MATCH(RANDBETWEEN(1,(MAX(Subject!$B:$B))),Subject!$B:$B,0),3))))</f>
        <v/>
      </c>
      <c r="U200" s="8" t="str">
        <f t="array" ref="U200">INDEX(Subject!$A:$I,MATCH(RANDBETWEEN(1,16),Subject!$B:$B,0),3)</f>
        <v>#N/A</v>
      </c>
      <c r="V200" s="8" t="str">
        <f t="array" ref="V200">INDEX(Subject!$A:$I,MATCH(RANDBETWEEN(1,16),Subject!$B:$B,0),3)</f>
        <v>#N/A</v>
      </c>
      <c r="W200" s="8" t="str">
        <f t="array" ref="W200">INDEX(Subject!$A:$I,MATCH(RANDBETWEEN(1,16),Subject!$B:$B,0),3)</f>
        <v/>
      </c>
      <c r="X200" s="8" t="str">
        <f t="array" ref="X200">INDEX(Subject!$A:$I,MATCH(RANDBETWEEN(1,16),Subject!$B:$B,0),3)</f>
        <v>#N/A</v>
      </c>
      <c r="Y200" s="8" t="str">
        <f t="array" ref="Y200">INDEX(Subject!$A:$I,MATCH(RANDBETWEEN(1,16),Subject!$B:$B,0),3)</f>
        <v>#N/A</v>
      </c>
      <c r="Z200" s="8" t="str">
        <f t="array" ref="Z200">INDEX(Subject!$A:$I,MATCH(RANDBETWEEN(1,16),Subject!$B:$B,0),3)</f>
        <v>#N/A</v>
      </c>
      <c r="AA200" s="8" t="str">
        <f t="array" ref="AA200">INDEX(Subject!$A:$I,MATCH(RANDBETWEEN(1,16),Subject!$B:$B,0),3)</f>
        <v>#N/A</v>
      </c>
      <c r="AB200" s="8" t="str">
        <f t="array" ref="AB200">INDEX(Subject!$A:$I,MATCH(RANDBETWEEN(1,16),Subject!$B:$B,0),3)</f>
        <v>#N/A</v>
      </c>
      <c r="AC200" s="8" t="str">
        <f t="array" ref="AC200">INDEX(Subject!$A:$I,MATCH(RANDBETWEEN(1,16),Subject!$B:$B,0),3)</f>
        <v>#N/A</v>
      </c>
      <c r="AD200" s="8" t="str">
        <f t="array" ref="AD200">INDEX(Subject!$A:$I,MATCH(RANDBETWEEN(1,16),Subject!$B:$B,0),3)</f>
        <v>#N/A</v>
      </c>
      <c r="AE200" s="8" t="str">
        <f t="array" ref="AE200">INDEX(Subject!$A:$I,MATCH(RANDBETWEEN(1,16),Subject!$B:$B,0),3)</f>
        <v>#N/A</v>
      </c>
      <c r="AF200" s="8" t="str">
        <f t="array" ref="AF200">INDEX(Subject!$A:$I,MATCH(RANDBETWEEN(1,16),Subject!$B:$B,0),3)</f>
        <v>#N/A</v>
      </c>
      <c r="AG200" s="8" t="str">
        <f t="array" ref="AG200">INDEX(Subject!$A:$I,MATCH(RANDBETWEEN(1,16),Subject!$B:$B,0),3)</f>
        <v>#N/A</v>
      </c>
      <c r="AH200" s="8" t="str">
        <f t="array" ref="AH200">INDEX(Subject!$A:$I,MATCH(RANDBETWEEN(1,16),Subject!$B:$B,0),3)</f>
        <v>#N/A</v>
      </c>
      <c r="AI200" s="8" t="str">
        <f t="array" ref="AI200">INDEX(Subject!$A:$I,MATCH(RANDBETWEEN(1,16),Subject!$B:$B,0),3)</f>
        <v>#N/A</v>
      </c>
      <c r="AJ200" s="8" t="str">
        <f t="array" ref="AJ200">INDEX(Subject!$A:$I,MATCH(RANDBETWEEN(1,16),Subject!$B:$B,0),3)</f>
        <v>#N/A</v>
      </c>
      <c r="AK200" s="8" t="str">
        <f t="array" ref="AK200">INDEX(Subject!$A:$I,MATCH(RANDBETWEEN(1,16),Subject!$B:$B,0),3)</f>
        <v>#N/A</v>
      </c>
      <c r="AL200" s="8" t="str">
        <f t="array" ref="AL200">INDEX(Subject!$A:$I,MATCH(RANDBETWEEN(1,16),Subject!$B:$B,0),3)</f>
        <v>#N/A</v>
      </c>
      <c r="AM200" s="18">
        <f t="shared" si="4"/>
        <v>45700.33333</v>
      </c>
      <c r="AN200" s="19">
        <f t="shared" ref="AN200:BZ200" si="200">$A200+C$1</f>
        <v>45700.35417</v>
      </c>
      <c r="AO200" s="19">
        <f t="shared" si="200"/>
        <v>45700.375</v>
      </c>
      <c r="AP200" s="19">
        <f t="shared" si="200"/>
        <v>45700.39583</v>
      </c>
      <c r="AQ200" s="19">
        <f t="shared" si="200"/>
        <v>45700.41667</v>
      </c>
      <c r="AR200" s="19">
        <f t="shared" si="200"/>
        <v>45700.4375</v>
      </c>
      <c r="AS200" s="19">
        <f t="shared" si="200"/>
        <v>45700.45833</v>
      </c>
      <c r="AT200" s="19">
        <f t="shared" si="200"/>
        <v>45700.47917</v>
      </c>
      <c r="AU200" s="19">
        <f t="shared" si="200"/>
        <v>45700.5</v>
      </c>
      <c r="AV200" s="19">
        <f t="shared" si="200"/>
        <v>45700.52083</v>
      </c>
      <c r="AW200" s="19">
        <f t="shared" si="200"/>
        <v>45700.54167</v>
      </c>
      <c r="AX200" s="19">
        <f t="shared" si="200"/>
        <v>45700.5625</v>
      </c>
      <c r="AY200" s="19">
        <f t="shared" si="200"/>
        <v>45700.58333</v>
      </c>
      <c r="AZ200" s="19">
        <f t="shared" si="200"/>
        <v>45700.60417</v>
      </c>
      <c r="BA200" s="19">
        <f t="shared" si="200"/>
        <v>45700.625</v>
      </c>
      <c r="BB200" s="19">
        <f t="shared" si="200"/>
        <v>45700.64583</v>
      </c>
      <c r="BC200" s="19">
        <f t="shared" si="200"/>
        <v>45700.66667</v>
      </c>
      <c r="BD200" s="19">
        <f t="shared" si="200"/>
        <v>45700.6875</v>
      </c>
      <c r="BE200" s="19">
        <f t="shared" si="200"/>
        <v>45700.70833</v>
      </c>
      <c r="BF200" s="19">
        <f t="shared" si="200"/>
        <v>45700.72917</v>
      </c>
      <c r="BG200" s="19">
        <f t="shared" si="200"/>
        <v>45700.75</v>
      </c>
      <c r="BH200" s="19">
        <f t="shared" si="200"/>
        <v>45700.77083</v>
      </c>
      <c r="BI200" s="19">
        <f t="shared" si="200"/>
        <v>45700.79167</v>
      </c>
      <c r="BJ200" s="19">
        <f t="shared" si="200"/>
        <v>45700.8125</v>
      </c>
      <c r="BK200" s="19">
        <f t="shared" si="200"/>
        <v>45700.83333</v>
      </c>
      <c r="BL200" s="19">
        <f t="shared" si="200"/>
        <v>45700.85417</v>
      </c>
      <c r="BM200" s="19">
        <f t="shared" si="200"/>
        <v>45700.875</v>
      </c>
      <c r="BN200" s="19">
        <f t="shared" si="200"/>
        <v>45700.89583</v>
      </c>
      <c r="BO200" s="19">
        <f t="shared" si="200"/>
        <v>45700.91667</v>
      </c>
      <c r="BP200" s="19">
        <f t="shared" si="200"/>
        <v>45700.9375</v>
      </c>
      <c r="BQ200" s="19">
        <f t="shared" si="200"/>
        <v>45700.95833</v>
      </c>
      <c r="BR200" s="19">
        <f t="shared" si="200"/>
        <v>45700.97917</v>
      </c>
      <c r="BS200" s="19">
        <f t="shared" si="200"/>
        <v>45701</v>
      </c>
      <c r="BT200" s="19">
        <f t="shared" si="200"/>
        <v>45701.02083</v>
      </c>
      <c r="BU200" s="19">
        <f t="shared" si="200"/>
        <v>45701.04167</v>
      </c>
      <c r="BV200" s="19">
        <f t="shared" si="200"/>
        <v>45701.0625</v>
      </c>
      <c r="BW200" s="19">
        <f t="shared" si="200"/>
        <v>45701.08333</v>
      </c>
      <c r="BX200" s="19">
        <f t="shared" si="200"/>
        <v>45700</v>
      </c>
      <c r="BY200" s="19">
        <f t="shared" si="200"/>
        <v>45700</v>
      </c>
      <c r="BZ200" s="19">
        <f t="shared" si="200"/>
        <v>45700</v>
      </c>
    </row>
    <row r="201" ht="14.25" customHeight="1">
      <c r="A201" s="17">
        <v>45701.0</v>
      </c>
      <c r="B201" s="2" t="str">
        <f t="array" ref="B201">IF(NOW()&gt;AM201,"",IF(AND((WEEKDAY($A201)+$B$2)&gt;1,((WEEKDAY($A201)+$T$2)&lt;7),(WEEKDAY($A201)&lt;&gt;1)),"work",(INDEX(Subject!$A:$I,MATCH(RANDBETWEEN(1,(MAX(Subject!$B:$B))),Subject!$B:$B,0),3))))</f>
        <v/>
      </c>
      <c r="C201" s="2" t="str">
        <f t="array" ref="C201">IF(NOW()&gt;AN201,"",IF(AND((WEEKDAY($A201)+$B$2)&gt;1,((WEEKDAY($A201)+$T$2)&lt;7),(WEEKDAY($A201)&lt;&gt;1)),"work",(INDEX(Subject!$A:$I,MATCH(RANDBETWEEN(1,(MAX(Subject!$B:$B))),Subject!$B:$B,0),3))))</f>
        <v/>
      </c>
      <c r="D201" s="2" t="str">
        <f t="array" ref="D201">IF(NOW()&gt;AO201,"",IF(AND((WEEKDAY($A201)+$B$2)&gt;1,((WEEKDAY($A201)+$T$2)&lt;7),(WEEKDAY($A201)&lt;&gt;1)),"work",(INDEX(Subject!$A:$I,MATCH(RANDBETWEEN(1,(MAX(Subject!$B:$B))),Subject!$B:$B,0),3))))</f>
        <v/>
      </c>
      <c r="E201" s="2" t="str">
        <f t="array" ref="E201">IF(NOW()&gt;AP201,"",IF(AND((WEEKDAY($A201)+$B$2)&gt;1,((WEEKDAY($A201)+$T$2)&lt;7),(WEEKDAY($A201)&lt;&gt;1)),"work",(INDEX(Subject!$A:$I,MATCH(RANDBETWEEN(1,(MAX(Subject!$B:$B))),Subject!$B:$B,0),3))))</f>
        <v/>
      </c>
      <c r="F201" s="2" t="str">
        <f t="array" ref="F201">IF(NOW()&gt;AQ201,"",IF(AND((WEEKDAY($A201)+$B$2)&gt;1,((WEEKDAY($A201)+$T$2)&lt;7),(WEEKDAY($A201)&lt;&gt;1)),"work",(INDEX(Subject!$A:$I,MATCH(RANDBETWEEN(1,(MAX(Subject!$B:$B))),Subject!$B:$B,0),3))))</f>
        <v/>
      </c>
      <c r="G201" s="2" t="str">
        <f t="array" ref="G201">IF(NOW()&gt;AR201,"",IF(AND((WEEKDAY($A201)+$B$2)&gt;1,((WEEKDAY($A201)+$T$2)&lt;7),(WEEKDAY($A201)&lt;&gt;1)),"work",(INDEX(Subject!$A:$I,MATCH(RANDBETWEEN(1,(MAX(Subject!$B:$B))),Subject!$B:$B,0),3))))</f>
        <v/>
      </c>
      <c r="H201" s="2" t="str">
        <f t="array" ref="H201">IF(NOW()&gt;AS201,"",IF(AND((WEEKDAY($A201)+$B$2)&gt;1,((WEEKDAY($A201)+$T$2)&lt;7),(WEEKDAY($A201)&lt;&gt;1)),"work",(INDEX(Subject!$A:$I,MATCH(RANDBETWEEN(1,(MAX(Subject!$B:$B))),Subject!$B:$B,0),3))))</f>
        <v/>
      </c>
      <c r="I201" s="2" t="str">
        <f t="array" ref="I201">IF(NOW()&gt;AT201,"",IF(AND((WEEKDAY($A201)+$B$2)&gt;1,((WEEKDAY($A201)+$T$2)&lt;7),(WEEKDAY($A201)&lt;&gt;1)),"work",(INDEX(Subject!$A:$I,MATCH(RANDBETWEEN(1,(MAX(Subject!$B:$B))),Subject!$B:$B,0),3))))</f>
        <v/>
      </c>
      <c r="J201" s="2" t="str">
        <f t="array" ref="J201">IF(NOW()&gt;AU201,"",IF(AND((WEEKDAY($A201)+$B$2)&gt;1,((WEEKDAY($A201)+$T$2)&lt;7),(WEEKDAY($A201)&lt;&gt;1)),"work",(INDEX(Subject!$A:$I,MATCH(RANDBETWEEN(1,(MAX(Subject!$B:$B))),Subject!$B:$B,0),3))))</f>
        <v/>
      </c>
      <c r="K201" s="2" t="str">
        <f t="array" ref="K201">IF(NOW()&gt;AV201,"",IF(AND((WEEKDAY($A201)+$B$2)&gt;1,((WEEKDAY($A201)+$T$2)&lt;7),(WEEKDAY($A201)&lt;&gt;1)),"work",(INDEX(Subject!$A:$I,MATCH(RANDBETWEEN(1,(MAX(Subject!$B:$B))),Subject!$B:$B,0),3))))</f>
        <v/>
      </c>
      <c r="L201" s="2" t="str">
        <f t="array" ref="L201">IF(NOW()&gt;AW201,"",IF(AND((WEEKDAY($A201)+$B$2)&gt;1,((WEEKDAY($A201)+$T$2)&lt;7),(WEEKDAY($A201)&lt;&gt;1)),"work",(INDEX(Subject!$A:$I,MATCH(RANDBETWEEN(1,(MAX(Subject!$B:$B))),Subject!$B:$B,0),3))))</f>
        <v/>
      </c>
      <c r="M201" s="2" t="str">
        <f t="array" ref="M201">IF(NOW()&gt;AX201,"",IF(AND((WEEKDAY($A201)+$B$2)&gt;1,((WEEKDAY($A201)+$T$2)&lt;7),(WEEKDAY($A201)&lt;&gt;1)),"work",(INDEX(Subject!$A:$I,MATCH(RANDBETWEEN(1,(MAX(Subject!$B:$B))),Subject!$B:$B,0),3))))</f>
        <v/>
      </c>
      <c r="N201" s="2" t="str">
        <f t="array" ref="N201">IF(NOW()&gt;AY201,"",IF(AND((WEEKDAY($A201)+$B$2)&gt;1,((WEEKDAY($A201)+$T$2)&lt;7),(WEEKDAY($A201)&lt;&gt;1)),"work",(INDEX(Subject!$A:$I,MATCH(RANDBETWEEN(1,(MAX(Subject!$B:$B))),Subject!$B:$B,0),3))))</f>
        <v/>
      </c>
      <c r="O201" s="2" t="str">
        <f t="array" ref="O201">IF(NOW()&gt;AZ201,"",IF(AND((WEEKDAY($A201)+$B$2)&gt;1,((WEEKDAY($A201)+$T$2)&lt;7),(WEEKDAY($A201)&lt;&gt;1)),"work",(INDEX(Subject!$A:$I,MATCH(RANDBETWEEN(1,(MAX(Subject!$B:$B))),Subject!$B:$B,0),3))))</f>
        <v/>
      </c>
      <c r="P201" s="2" t="str">
        <f t="array" ref="P201">IF(NOW()&gt;BA201,"",IF(AND((WEEKDAY($A201)+$B$2)&gt;1,((WEEKDAY($A201)+$T$2)&lt;7),(WEEKDAY($A201)&lt;&gt;1)),"work",(INDEX(Subject!$A:$I,MATCH(RANDBETWEEN(1,(MAX(Subject!$B:$B))),Subject!$B:$B,0),3))))</f>
        <v/>
      </c>
      <c r="Q201" s="2" t="str">
        <f t="array" ref="Q201">IF(NOW()&gt;BB201,"",IF(AND((WEEKDAY($A201)+$B$2)&gt;1,((WEEKDAY($A201)+$T$2)&lt;7),(WEEKDAY($A201)&lt;&gt;1)),"work",(INDEX(Subject!$A:$I,MATCH(RANDBETWEEN(1,(MAX(Subject!$B:$B))),Subject!$B:$B,0),3))))</f>
        <v/>
      </c>
      <c r="R201" s="2" t="str">
        <f t="array" ref="R201">IF(NOW()&gt;BC201,"",IF(AND((WEEKDAY($A201)+$B$2)&gt;1,((WEEKDAY($A201)+$T$2)&lt;7),(WEEKDAY($A201)&lt;&gt;1)),"work",(INDEX(Subject!$A:$I,MATCH(RANDBETWEEN(1,(MAX(Subject!$B:$B))),Subject!$B:$B,0),3))))</f>
        <v/>
      </c>
      <c r="S201" s="2" t="str">
        <f t="array" ref="S201">IF(NOW()&gt;BD201,"",IF(AND((WEEKDAY($A201)+$B$2)&gt;1,((WEEKDAY($A201)+$T$2)&lt;7),(WEEKDAY($A201)&lt;&gt;1)),"work",(INDEX(Subject!$A:$I,MATCH(RANDBETWEEN(1,(MAX(Subject!$B:$B))),Subject!$B:$B,0),3))))</f>
        <v/>
      </c>
      <c r="T201" s="2" t="str">
        <f t="array" ref="T201">IF(NOW()&gt;BE201,"",IF(AND((WEEKDAY($A201)+$B$2)&gt;1,((WEEKDAY($A201)+$T$2)&lt;7),(WEEKDAY($A201)&lt;&gt;1)),"work",(INDEX(Subject!$A:$I,MATCH(RANDBETWEEN(1,(MAX(Subject!$B:$B))),Subject!$B:$B,0),3))))</f>
        <v/>
      </c>
      <c r="U201" s="8" t="str">
        <f t="array" ref="U201">INDEX(Subject!$A:$I,MATCH(RANDBETWEEN(1,16),Subject!$B:$B,0),3)</f>
        <v>#N/A</v>
      </c>
      <c r="V201" s="8" t="str">
        <f t="array" ref="V201">INDEX(Subject!$A:$I,MATCH(RANDBETWEEN(1,16),Subject!$B:$B,0),3)</f>
        <v>#N/A</v>
      </c>
      <c r="W201" s="8" t="str">
        <f t="array" ref="W201">INDEX(Subject!$A:$I,MATCH(RANDBETWEEN(1,16),Subject!$B:$B,0),3)</f>
        <v>#N/A</v>
      </c>
      <c r="X201" s="8" t="str">
        <f t="array" ref="X201">INDEX(Subject!$A:$I,MATCH(RANDBETWEEN(1,16),Subject!$B:$B,0),3)</f>
        <v>#N/A</v>
      </c>
      <c r="Y201" s="8" t="str">
        <f t="array" ref="Y201">INDEX(Subject!$A:$I,MATCH(RANDBETWEEN(1,16),Subject!$B:$B,0),3)</f>
        <v>#N/A</v>
      </c>
      <c r="Z201" s="8" t="str">
        <f t="array" ref="Z201">INDEX(Subject!$A:$I,MATCH(RANDBETWEEN(1,16),Subject!$B:$B,0),3)</f>
        <v>#N/A</v>
      </c>
      <c r="AA201" s="8" t="str">
        <f t="array" ref="AA201">INDEX(Subject!$A:$I,MATCH(RANDBETWEEN(1,16),Subject!$B:$B,0),3)</f>
        <v>#N/A</v>
      </c>
      <c r="AB201" s="8" t="str">
        <f t="array" ref="AB201">INDEX(Subject!$A:$I,MATCH(RANDBETWEEN(1,16),Subject!$B:$B,0),3)</f>
        <v>#N/A</v>
      </c>
      <c r="AC201" s="8" t="str">
        <f t="array" ref="AC201">INDEX(Subject!$A:$I,MATCH(RANDBETWEEN(1,16),Subject!$B:$B,0),3)</f>
        <v>#N/A</v>
      </c>
      <c r="AD201" s="8" t="str">
        <f t="array" ref="AD201">INDEX(Subject!$A:$I,MATCH(RANDBETWEEN(1,16),Subject!$B:$B,0),3)</f>
        <v>#N/A</v>
      </c>
      <c r="AE201" s="8" t="str">
        <f t="array" ref="AE201">INDEX(Subject!$A:$I,MATCH(RANDBETWEEN(1,16),Subject!$B:$B,0),3)</f>
        <v>#N/A</v>
      </c>
      <c r="AF201" s="8" t="str">
        <f t="array" ref="AF201">INDEX(Subject!$A:$I,MATCH(RANDBETWEEN(1,16),Subject!$B:$B,0),3)</f>
        <v>#N/A</v>
      </c>
      <c r="AG201" s="8" t="str">
        <f t="array" ref="AG201">INDEX(Subject!$A:$I,MATCH(RANDBETWEEN(1,16),Subject!$B:$B,0),3)</f>
        <v>#N/A</v>
      </c>
      <c r="AH201" s="8" t="str">
        <f t="array" ref="AH201">INDEX(Subject!$A:$I,MATCH(RANDBETWEEN(1,16),Subject!$B:$B,0),3)</f>
        <v>#N/A</v>
      </c>
      <c r="AI201" s="8" t="str">
        <f t="array" ref="AI201">INDEX(Subject!$A:$I,MATCH(RANDBETWEEN(1,16),Subject!$B:$B,0),3)</f>
        <v>#N/A</v>
      </c>
      <c r="AJ201" s="8" t="str">
        <f t="array" ref="AJ201">INDEX(Subject!$A:$I,MATCH(RANDBETWEEN(1,16),Subject!$B:$B,0),3)</f>
        <v>#N/A</v>
      </c>
      <c r="AK201" s="8" t="str">
        <f t="array" ref="AK201">INDEX(Subject!$A:$I,MATCH(RANDBETWEEN(1,16),Subject!$B:$B,0),3)</f>
        <v>#N/A</v>
      </c>
      <c r="AL201" s="8" t="str">
        <f t="array" ref="AL201">INDEX(Subject!$A:$I,MATCH(RANDBETWEEN(1,16),Subject!$B:$B,0),3)</f>
        <v>#N/A</v>
      </c>
      <c r="AM201" s="18">
        <f t="shared" si="4"/>
        <v>45701.33333</v>
      </c>
      <c r="AN201" s="19">
        <f t="shared" ref="AN201:BZ201" si="201">$A201+C$1</f>
        <v>45701.35417</v>
      </c>
      <c r="AO201" s="19">
        <f t="shared" si="201"/>
        <v>45701.375</v>
      </c>
      <c r="AP201" s="19">
        <f t="shared" si="201"/>
        <v>45701.39583</v>
      </c>
      <c r="AQ201" s="19">
        <f t="shared" si="201"/>
        <v>45701.41667</v>
      </c>
      <c r="AR201" s="19">
        <f t="shared" si="201"/>
        <v>45701.4375</v>
      </c>
      <c r="AS201" s="19">
        <f t="shared" si="201"/>
        <v>45701.45833</v>
      </c>
      <c r="AT201" s="19">
        <f t="shared" si="201"/>
        <v>45701.47917</v>
      </c>
      <c r="AU201" s="19">
        <f t="shared" si="201"/>
        <v>45701.5</v>
      </c>
      <c r="AV201" s="19">
        <f t="shared" si="201"/>
        <v>45701.52083</v>
      </c>
      <c r="AW201" s="19">
        <f t="shared" si="201"/>
        <v>45701.54167</v>
      </c>
      <c r="AX201" s="19">
        <f t="shared" si="201"/>
        <v>45701.5625</v>
      </c>
      <c r="AY201" s="19">
        <f t="shared" si="201"/>
        <v>45701.58333</v>
      </c>
      <c r="AZ201" s="19">
        <f t="shared" si="201"/>
        <v>45701.60417</v>
      </c>
      <c r="BA201" s="19">
        <f t="shared" si="201"/>
        <v>45701.625</v>
      </c>
      <c r="BB201" s="19">
        <f t="shared" si="201"/>
        <v>45701.64583</v>
      </c>
      <c r="BC201" s="19">
        <f t="shared" si="201"/>
        <v>45701.66667</v>
      </c>
      <c r="BD201" s="19">
        <f t="shared" si="201"/>
        <v>45701.6875</v>
      </c>
      <c r="BE201" s="19">
        <f t="shared" si="201"/>
        <v>45701.70833</v>
      </c>
      <c r="BF201" s="19">
        <f t="shared" si="201"/>
        <v>45701.72917</v>
      </c>
      <c r="BG201" s="19">
        <f t="shared" si="201"/>
        <v>45701.75</v>
      </c>
      <c r="BH201" s="19">
        <f t="shared" si="201"/>
        <v>45701.77083</v>
      </c>
      <c r="BI201" s="19">
        <f t="shared" si="201"/>
        <v>45701.79167</v>
      </c>
      <c r="BJ201" s="19">
        <f t="shared" si="201"/>
        <v>45701.8125</v>
      </c>
      <c r="BK201" s="19">
        <f t="shared" si="201"/>
        <v>45701.83333</v>
      </c>
      <c r="BL201" s="19">
        <f t="shared" si="201"/>
        <v>45701.85417</v>
      </c>
      <c r="BM201" s="19">
        <f t="shared" si="201"/>
        <v>45701.875</v>
      </c>
      <c r="BN201" s="19">
        <f t="shared" si="201"/>
        <v>45701.89583</v>
      </c>
      <c r="BO201" s="19">
        <f t="shared" si="201"/>
        <v>45701.91667</v>
      </c>
      <c r="BP201" s="19">
        <f t="shared" si="201"/>
        <v>45701.9375</v>
      </c>
      <c r="BQ201" s="19">
        <f t="shared" si="201"/>
        <v>45701.95833</v>
      </c>
      <c r="BR201" s="19">
        <f t="shared" si="201"/>
        <v>45701.97917</v>
      </c>
      <c r="BS201" s="19">
        <f t="shared" si="201"/>
        <v>45702</v>
      </c>
      <c r="BT201" s="19">
        <f t="shared" si="201"/>
        <v>45702.02083</v>
      </c>
      <c r="BU201" s="19">
        <f t="shared" si="201"/>
        <v>45702.04167</v>
      </c>
      <c r="BV201" s="19">
        <f t="shared" si="201"/>
        <v>45702.0625</v>
      </c>
      <c r="BW201" s="19">
        <f t="shared" si="201"/>
        <v>45702.08333</v>
      </c>
      <c r="BX201" s="19">
        <f t="shared" si="201"/>
        <v>45701</v>
      </c>
      <c r="BY201" s="19">
        <f t="shared" si="201"/>
        <v>45701</v>
      </c>
      <c r="BZ201" s="19">
        <f t="shared" si="201"/>
        <v>45701</v>
      </c>
    </row>
    <row r="202" ht="14.25" customHeight="1">
      <c r="A202" s="17">
        <v>45702.0</v>
      </c>
      <c r="B202" s="2" t="str">
        <f t="array" ref="B202">IF(NOW()&gt;AM202,"",IF(AND((WEEKDAY($A202)+$B$2)&gt;1,((WEEKDAY($A202)+$T$2)&lt;7),(WEEKDAY($A202)&lt;&gt;1)),"work",(INDEX(Subject!$A:$I,MATCH(RANDBETWEEN(1,(MAX(Subject!$B:$B))),Subject!$B:$B,0),3))))</f>
        <v/>
      </c>
      <c r="C202" s="2" t="str">
        <f t="array" ref="C202">IF(NOW()&gt;AN202,"",IF(AND((WEEKDAY($A202)+$B$2)&gt;1,((WEEKDAY($A202)+$T$2)&lt;7),(WEEKDAY($A202)&lt;&gt;1)),"work",(INDEX(Subject!$A:$I,MATCH(RANDBETWEEN(1,(MAX(Subject!$B:$B))),Subject!$B:$B,0),3))))</f>
        <v/>
      </c>
      <c r="D202" s="2" t="str">
        <f t="array" ref="D202">IF(NOW()&gt;AO202,"",IF(AND((WEEKDAY($A202)+$B$2)&gt;1,((WEEKDAY($A202)+$T$2)&lt;7),(WEEKDAY($A202)&lt;&gt;1)),"work",(INDEX(Subject!$A:$I,MATCH(RANDBETWEEN(1,(MAX(Subject!$B:$B))),Subject!$B:$B,0),3))))</f>
        <v/>
      </c>
      <c r="E202" s="2" t="str">
        <f t="array" ref="E202">IF(NOW()&gt;AP202,"",IF(AND((WEEKDAY($A202)+$B$2)&gt;1,((WEEKDAY($A202)+$T$2)&lt;7),(WEEKDAY($A202)&lt;&gt;1)),"work",(INDEX(Subject!$A:$I,MATCH(RANDBETWEEN(1,(MAX(Subject!$B:$B))),Subject!$B:$B,0),3))))</f>
        <v/>
      </c>
      <c r="F202" s="2" t="str">
        <f t="array" ref="F202">IF(NOW()&gt;AQ202,"",IF(AND((WEEKDAY($A202)+$B$2)&gt;1,((WEEKDAY($A202)+$T$2)&lt;7),(WEEKDAY($A202)&lt;&gt;1)),"work",(INDEX(Subject!$A:$I,MATCH(RANDBETWEEN(1,(MAX(Subject!$B:$B))),Subject!$B:$B,0),3))))</f>
        <v/>
      </c>
      <c r="G202" s="2" t="str">
        <f t="array" ref="G202">IF(NOW()&gt;AR202,"",IF(AND((WEEKDAY($A202)+$B$2)&gt;1,((WEEKDAY($A202)+$T$2)&lt;7),(WEEKDAY($A202)&lt;&gt;1)),"work",(INDEX(Subject!$A:$I,MATCH(RANDBETWEEN(1,(MAX(Subject!$B:$B))),Subject!$B:$B,0),3))))</f>
        <v/>
      </c>
      <c r="H202" s="2" t="str">
        <f t="array" ref="H202">IF(NOW()&gt;AS202,"",IF(AND((WEEKDAY($A202)+$B$2)&gt;1,((WEEKDAY($A202)+$T$2)&lt;7),(WEEKDAY($A202)&lt;&gt;1)),"work",(INDEX(Subject!$A:$I,MATCH(RANDBETWEEN(1,(MAX(Subject!$B:$B))),Subject!$B:$B,0),3))))</f>
        <v/>
      </c>
      <c r="I202" s="2" t="str">
        <f t="array" ref="I202">IF(NOW()&gt;AT202,"",IF(AND((WEEKDAY($A202)+$B$2)&gt;1,((WEEKDAY($A202)+$T$2)&lt;7),(WEEKDAY($A202)&lt;&gt;1)),"work",(INDEX(Subject!$A:$I,MATCH(RANDBETWEEN(1,(MAX(Subject!$B:$B))),Subject!$B:$B,0),3))))</f>
        <v/>
      </c>
      <c r="J202" s="2" t="str">
        <f t="array" ref="J202">IF(NOW()&gt;AU202,"",IF(AND((WEEKDAY($A202)+$B$2)&gt;1,((WEEKDAY($A202)+$T$2)&lt;7),(WEEKDAY($A202)&lt;&gt;1)),"work",(INDEX(Subject!$A:$I,MATCH(RANDBETWEEN(1,(MAX(Subject!$B:$B))),Subject!$B:$B,0),3))))</f>
        <v/>
      </c>
      <c r="K202" s="2" t="str">
        <f t="array" ref="K202">IF(NOW()&gt;AV202,"",IF(AND((WEEKDAY($A202)+$B$2)&gt;1,((WEEKDAY($A202)+$T$2)&lt;7),(WEEKDAY($A202)&lt;&gt;1)),"work",(INDEX(Subject!$A:$I,MATCH(RANDBETWEEN(1,(MAX(Subject!$B:$B))),Subject!$B:$B,0),3))))</f>
        <v/>
      </c>
      <c r="L202" s="2" t="str">
        <f t="array" ref="L202">IF(NOW()&gt;AW202,"",IF(AND((WEEKDAY($A202)+$B$2)&gt;1,((WEEKDAY($A202)+$T$2)&lt;7),(WEEKDAY($A202)&lt;&gt;1)),"work",(INDEX(Subject!$A:$I,MATCH(RANDBETWEEN(1,(MAX(Subject!$B:$B))),Subject!$B:$B,0),3))))</f>
        <v/>
      </c>
      <c r="M202" s="2" t="str">
        <f t="array" ref="M202">IF(NOW()&gt;AX202,"",IF(AND((WEEKDAY($A202)+$B$2)&gt;1,((WEEKDAY($A202)+$T$2)&lt;7),(WEEKDAY($A202)&lt;&gt;1)),"work",(INDEX(Subject!$A:$I,MATCH(RANDBETWEEN(1,(MAX(Subject!$B:$B))),Subject!$B:$B,0),3))))</f>
        <v/>
      </c>
      <c r="N202" s="2" t="str">
        <f t="array" ref="N202">IF(NOW()&gt;AY202,"",IF(AND((WEEKDAY($A202)+$B$2)&gt;1,((WEEKDAY($A202)+$T$2)&lt;7),(WEEKDAY($A202)&lt;&gt;1)),"work",(INDEX(Subject!$A:$I,MATCH(RANDBETWEEN(1,(MAX(Subject!$B:$B))),Subject!$B:$B,0),3))))</f>
        <v/>
      </c>
      <c r="O202" s="2" t="str">
        <f t="array" ref="O202">IF(NOW()&gt;AZ202,"",IF(AND((WEEKDAY($A202)+$B$2)&gt;1,((WEEKDAY($A202)+$T$2)&lt;7),(WEEKDAY($A202)&lt;&gt;1)),"work",(INDEX(Subject!$A:$I,MATCH(RANDBETWEEN(1,(MAX(Subject!$B:$B))),Subject!$B:$B,0),3))))</f>
        <v/>
      </c>
      <c r="P202" s="2" t="str">
        <f t="array" ref="P202">IF(NOW()&gt;BA202,"",IF(AND((WEEKDAY($A202)+$B$2)&gt;1,((WEEKDAY($A202)+$T$2)&lt;7),(WEEKDAY($A202)&lt;&gt;1)),"work",(INDEX(Subject!$A:$I,MATCH(RANDBETWEEN(1,(MAX(Subject!$B:$B))),Subject!$B:$B,0),3))))</f>
        <v/>
      </c>
      <c r="Q202" s="2" t="str">
        <f t="array" ref="Q202">IF(NOW()&gt;BB202,"",IF(AND((WEEKDAY($A202)+$B$2)&gt;1,((WEEKDAY($A202)+$T$2)&lt;7),(WEEKDAY($A202)&lt;&gt;1)),"work",(INDEX(Subject!$A:$I,MATCH(RANDBETWEEN(1,(MAX(Subject!$B:$B))),Subject!$B:$B,0),3))))</f>
        <v/>
      </c>
      <c r="R202" s="2" t="str">
        <f t="array" ref="R202">IF(NOW()&gt;BC202,"",IF(AND((WEEKDAY($A202)+$B$2)&gt;1,((WEEKDAY($A202)+$T$2)&lt;7),(WEEKDAY($A202)&lt;&gt;1)),"work",(INDEX(Subject!$A:$I,MATCH(RANDBETWEEN(1,(MAX(Subject!$B:$B))),Subject!$B:$B,0),3))))</f>
        <v/>
      </c>
      <c r="S202" s="2" t="str">
        <f t="array" ref="S202">IF(NOW()&gt;BD202,"",IF(AND((WEEKDAY($A202)+$B$2)&gt;1,((WEEKDAY($A202)+$T$2)&lt;7),(WEEKDAY($A202)&lt;&gt;1)),"work",(INDEX(Subject!$A:$I,MATCH(RANDBETWEEN(1,(MAX(Subject!$B:$B))),Subject!$B:$B,0),3))))</f>
        <v/>
      </c>
      <c r="T202" s="2" t="str">
        <f t="array" ref="T202">IF(NOW()&gt;BE202,"",IF(AND((WEEKDAY($A202)+$B$2)&gt;1,((WEEKDAY($A202)+$T$2)&lt;7),(WEEKDAY($A202)&lt;&gt;1)),"work",(INDEX(Subject!$A:$I,MATCH(RANDBETWEEN(1,(MAX(Subject!$B:$B))),Subject!$B:$B,0),3))))</f>
        <v/>
      </c>
      <c r="U202" s="8" t="str">
        <f t="array" ref="U202">INDEX(Subject!$A:$I,MATCH(RANDBETWEEN(1,16),Subject!$B:$B,0),3)</f>
        <v>#N/A</v>
      </c>
      <c r="V202" s="8" t="str">
        <f t="array" ref="V202">INDEX(Subject!$A:$I,MATCH(RANDBETWEEN(1,16),Subject!$B:$B,0),3)</f>
        <v>#N/A</v>
      </c>
      <c r="W202" s="8" t="str">
        <f t="array" ref="W202">INDEX(Subject!$A:$I,MATCH(RANDBETWEEN(1,16),Subject!$B:$B,0),3)</f>
        <v>#N/A</v>
      </c>
      <c r="X202" s="8" t="str">
        <f t="array" ref="X202">INDEX(Subject!$A:$I,MATCH(RANDBETWEEN(1,16),Subject!$B:$B,0),3)</f>
        <v>#N/A</v>
      </c>
      <c r="Y202" s="8" t="str">
        <f t="array" ref="Y202">INDEX(Subject!$A:$I,MATCH(RANDBETWEEN(1,16),Subject!$B:$B,0),3)</f>
        <v>#N/A</v>
      </c>
      <c r="Z202" s="8" t="str">
        <f t="array" ref="Z202">INDEX(Subject!$A:$I,MATCH(RANDBETWEEN(1,16),Subject!$B:$B,0),3)</f>
        <v>#N/A</v>
      </c>
      <c r="AA202" s="8" t="str">
        <f t="array" ref="AA202">INDEX(Subject!$A:$I,MATCH(RANDBETWEEN(1,16),Subject!$B:$B,0),3)</f>
        <v>#N/A</v>
      </c>
      <c r="AB202" s="8" t="str">
        <f t="array" ref="AB202">INDEX(Subject!$A:$I,MATCH(RANDBETWEEN(1,16),Subject!$B:$B,0),3)</f>
        <v>#N/A</v>
      </c>
      <c r="AC202" s="8" t="str">
        <f t="array" ref="AC202">INDEX(Subject!$A:$I,MATCH(RANDBETWEEN(1,16),Subject!$B:$B,0),3)</f>
        <v>#N/A</v>
      </c>
      <c r="AD202" s="8" t="str">
        <f t="array" ref="AD202">INDEX(Subject!$A:$I,MATCH(RANDBETWEEN(1,16),Subject!$B:$B,0),3)</f>
        <v>#N/A</v>
      </c>
      <c r="AE202" s="8" t="str">
        <f t="array" ref="AE202">INDEX(Subject!$A:$I,MATCH(RANDBETWEEN(1,16),Subject!$B:$B,0),3)</f>
        <v>#N/A</v>
      </c>
      <c r="AF202" s="8" t="str">
        <f t="array" ref="AF202">INDEX(Subject!$A:$I,MATCH(RANDBETWEEN(1,16),Subject!$B:$B,0),3)</f>
        <v>#N/A</v>
      </c>
      <c r="AG202" s="8" t="str">
        <f t="array" ref="AG202">INDEX(Subject!$A:$I,MATCH(RANDBETWEEN(1,16),Subject!$B:$B,0),3)</f>
        <v>#N/A</v>
      </c>
      <c r="AH202" s="8" t="str">
        <f t="array" ref="AH202">INDEX(Subject!$A:$I,MATCH(RANDBETWEEN(1,16),Subject!$B:$B,0),3)</f>
        <v>#N/A</v>
      </c>
      <c r="AI202" s="8" t="str">
        <f t="array" ref="AI202">INDEX(Subject!$A:$I,MATCH(RANDBETWEEN(1,16),Subject!$B:$B,0),3)</f>
        <v>#N/A</v>
      </c>
      <c r="AJ202" s="8" t="str">
        <f t="array" ref="AJ202">INDEX(Subject!$A:$I,MATCH(RANDBETWEEN(1,16),Subject!$B:$B,0),3)</f>
        <v>#N/A</v>
      </c>
      <c r="AK202" s="8" t="str">
        <f t="array" ref="AK202">INDEX(Subject!$A:$I,MATCH(RANDBETWEEN(1,16),Subject!$B:$B,0),3)</f>
        <v>#N/A</v>
      </c>
      <c r="AL202" s="8" t="str">
        <f t="array" ref="AL202">INDEX(Subject!$A:$I,MATCH(RANDBETWEEN(1,16),Subject!$B:$B,0),3)</f>
        <v>#N/A</v>
      </c>
      <c r="AM202" s="18">
        <f t="shared" si="4"/>
        <v>45702.33333</v>
      </c>
      <c r="AN202" s="19">
        <f t="shared" ref="AN202:BZ202" si="202">$A202+C$1</f>
        <v>45702.35417</v>
      </c>
      <c r="AO202" s="19">
        <f t="shared" si="202"/>
        <v>45702.375</v>
      </c>
      <c r="AP202" s="19">
        <f t="shared" si="202"/>
        <v>45702.39583</v>
      </c>
      <c r="AQ202" s="19">
        <f t="shared" si="202"/>
        <v>45702.41667</v>
      </c>
      <c r="AR202" s="19">
        <f t="shared" si="202"/>
        <v>45702.4375</v>
      </c>
      <c r="AS202" s="19">
        <f t="shared" si="202"/>
        <v>45702.45833</v>
      </c>
      <c r="AT202" s="19">
        <f t="shared" si="202"/>
        <v>45702.47917</v>
      </c>
      <c r="AU202" s="19">
        <f t="shared" si="202"/>
        <v>45702.5</v>
      </c>
      <c r="AV202" s="19">
        <f t="shared" si="202"/>
        <v>45702.52083</v>
      </c>
      <c r="AW202" s="19">
        <f t="shared" si="202"/>
        <v>45702.54167</v>
      </c>
      <c r="AX202" s="19">
        <f t="shared" si="202"/>
        <v>45702.5625</v>
      </c>
      <c r="AY202" s="19">
        <f t="shared" si="202"/>
        <v>45702.58333</v>
      </c>
      <c r="AZ202" s="19">
        <f t="shared" si="202"/>
        <v>45702.60417</v>
      </c>
      <c r="BA202" s="19">
        <f t="shared" si="202"/>
        <v>45702.625</v>
      </c>
      <c r="BB202" s="19">
        <f t="shared" si="202"/>
        <v>45702.64583</v>
      </c>
      <c r="BC202" s="19">
        <f t="shared" si="202"/>
        <v>45702.66667</v>
      </c>
      <c r="BD202" s="19">
        <f t="shared" si="202"/>
        <v>45702.6875</v>
      </c>
      <c r="BE202" s="19">
        <f t="shared" si="202"/>
        <v>45702.70833</v>
      </c>
      <c r="BF202" s="19">
        <f t="shared" si="202"/>
        <v>45702.72917</v>
      </c>
      <c r="BG202" s="19">
        <f t="shared" si="202"/>
        <v>45702.75</v>
      </c>
      <c r="BH202" s="19">
        <f t="shared" si="202"/>
        <v>45702.77083</v>
      </c>
      <c r="BI202" s="19">
        <f t="shared" si="202"/>
        <v>45702.79167</v>
      </c>
      <c r="BJ202" s="19">
        <f t="shared" si="202"/>
        <v>45702.8125</v>
      </c>
      <c r="BK202" s="19">
        <f t="shared" si="202"/>
        <v>45702.83333</v>
      </c>
      <c r="BL202" s="19">
        <f t="shared" si="202"/>
        <v>45702.85417</v>
      </c>
      <c r="BM202" s="19">
        <f t="shared" si="202"/>
        <v>45702.875</v>
      </c>
      <c r="BN202" s="19">
        <f t="shared" si="202"/>
        <v>45702.89583</v>
      </c>
      <c r="BO202" s="19">
        <f t="shared" si="202"/>
        <v>45702.91667</v>
      </c>
      <c r="BP202" s="19">
        <f t="shared" si="202"/>
        <v>45702.9375</v>
      </c>
      <c r="BQ202" s="19">
        <f t="shared" si="202"/>
        <v>45702.95833</v>
      </c>
      <c r="BR202" s="19">
        <f t="shared" si="202"/>
        <v>45702.97917</v>
      </c>
      <c r="BS202" s="19">
        <f t="shared" si="202"/>
        <v>45703</v>
      </c>
      <c r="BT202" s="19">
        <f t="shared" si="202"/>
        <v>45703.02083</v>
      </c>
      <c r="BU202" s="19">
        <f t="shared" si="202"/>
        <v>45703.04167</v>
      </c>
      <c r="BV202" s="19">
        <f t="shared" si="202"/>
        <v>45703.0625</v>
      </c>
      <c r="BW202" s="19">
        <f t="shared" si="202"/>
        <v>45703.08333</v>
      </c>
      <c r="BX202" s="19">
        <f t="shared" si="202"/>
        <v>45702</v>
      </c>
      <c r="BY202" s="19">
        <f t="shared" si="202"/>
        <v>45702</v>
      </c>
      <c r="BZ202" s="19">
        <f t="shared" si="202"/>
        <v>45702</v>
      </c>
    </row>
    <row r="203" ht="14.25" customHeight="1">
      <c r="A203" s="17">
        <v>45703.0</v>
      </c>
      <c r="B203" s="2" t="str">
        <f t="array" ref="B203">IF(NOW()&gt;AM203,"",IF(AND((WEEKDAY($A203)+$B$2)&gt;1,((WEEKDAY($A203)+$T$2)&lt;7),(WEEKDAY($A203)&lt;&gt;1)),"work",(INDEX(Subject!$A:$I,MATCH(RANDBETWEEN(1,(MAX(Subject!$B:$B))),Subject!$B:$B,0),3))))</f>
        <v/>
      </c>
      <c r="C203" s="2" t="str">
        <f t="array" ref="C203">IF(NOW()&gt;AN203,"",IF(AND((WEEKDAY($A203)+$B$2)&gt;1,((WEEKDAY($A203)+$T$2)&lt;7),(WEEKDAY($A203)&lt;&gt;1)),"work",(INDEX(Subject!$A:$I,MATCH(RANDBETWEEN(1,(MAX(Subject!$B:$B))),Subject!$B:$B,0),3))))</f>
        <v/>
      </c>
      <c r="D203" s="2" t="str">
        <f t="array" ref="D203">IF(NOW()&gt;AO203,"",IF(AND((WEEKDAY($A203)+$B$2)&gt;1,((WEEKDAY($A203)+$T$2)&lt;7),(WEEKDAY($A203)&lt;&gt;1)),"work",(INDEX(Subject!$A:$I,MATCH(RANDBETWEEN(1,(MAX(Subject!$B:$B))),Subject!$B:$B,0),3))))</f>
        <v/>
      </c>
      <c r="E203" s="2" t="str">
        <f t="array" ref="E203">IF(NOW()&gt;AP203,"",IF(AND((WEEKDAY($A203)+$B$2)&gt;1,((WEEKDAY($A203)+$T$2)&lt;7),(WEEKDAY($A203)&lt;&gt;1)),"work",(INDEX(Subject!$A:$I,MATCH(RANDBETWEEN(1,(MAX(Subject!$B:$B))),Subject!$B:$B,0),3))))</f>
        <v/>
      </c>
      <c r="F203" s="2" t="str">
        <f t="array" ref="F203">IF(NOW()&gt;AQ203,"",IF(AND((WEEKDAY($A203)+$B$2)&gt;1,((WEEKDAY($A203)+$T$2)&lt;7),(WEEKDAY($A203)&lt;&gt;1)),"work",(INDEX(Subject!$A:$I,MATCH(RANDBETWEEN(1,(MAX(Subject!$B:$B))),Subject!$B:$B,0),3))))</f>
        <v/>
      </c>
      <c r="G203" s="2" t="str">
        <f t="array" ref="G203">IF(NOW()&gt;AR203,"",IF(AND((WEEKDAY($A203)+$B$2)&gt;1,((WEEKDAY($A203)+$T$2)&lt;7),(WEEKDAY($A203)&lt;&gt;1)),"work",(INDEX(Subject!$A:$I,MATCH(RANDBETWEEN(1,(MAX(Subject!$B:$B))),Subject!$B:$B,0),3))))</f>
        <v/>
      </c>
      <c r="H203" s="2" t="str">
        <f t="array" ref="H203">IF(NOW()&gt;AS203,"",IF(AND((WEEKDAY($A203)+$B$2)&gt;1,((WEEKDAY($A203)+$T$2)&lt;7),(WEEKDAY($A203)&lt;&gt;1)),"work",(INDEX(Subject!$A:$I,MATCH(RANDBETWEEN(1,(MAX(Subject!$B:$B))),Subject!$B:$B,0),3))))</f>
        <v/>
      </c>
      <c r="I203" s="2" t="str">
        <f t="array" ref="I203">IF(NOW()&gt;AT203,"",IF(AND((WEEKDAY($A203)+$B$2)&gt;1,((WEEKDAY($A203)+$T$2)&lt;7),(WEEKDAY($A203)&lt;&gt;1)),"work",(INDEX(Subject!$A:$I,MATCH(RANDBETWEEN(1,(MAX(Subject!$B:$B))),Subject!$B:$B,0),3))))</f>
        <v/>
      </c>
      <c r="J203" s="2" t="str">
        <f t="array" ref="J203">IF(NOW()&gt;AU203,"",IF(AND((WEEKDAY($A203)+$B$2)&gt;1,((WEEKDAY($A203)+$T$2)&lt;7),(WEEKDAY($A203)&lt;&gt;1)),"work",(INDEX(Subject!$A:$I,MATCH(RANDBETWEEN(1,(MAX(Subject!$B:$B))),Subject!$B:$B,0),3))))</f>
        <v/>
      </c>
      <c r="K203" s="2" t="str">
        <f t="array" ref="K203">IF(NOW()&gt;AV203,"",IF(AND((WEEKDAY($A203)+$B$2)&gt;1,((WEEKDAY($A203)+$T$2)&lt;7),(WEEKDAY($A203)&lt;&gt;1)),"work",(INDEX(Subject!$A:$I,MATCH(RANDBETWEEN(1,(MAX(Subject!$B:$B))),Subject!$B:$B,0),3))))</f>
        <v/>
      </c>
      <c r="L203" s="2" t="str">
        <f t="array" ref="L203">IF(NOW()&gt;AW203,"",IF(AND((WEEKDAY($A203)+$B$2)&gt;1,((WEEKDAY($A203)+$T$2)&lt;7),(WEEKDAY($A203)&lt;&gt;1)),"work",(INDEX(Subject!$A:$I,MATCH(RANDBETWEEN(1,(MAX(Subject!$B:$B))),Subject!$B:$B,0),3))))</f>
        <v/>
      </c>
      <c r="M203" s="2" t="str">
        <f t="array" ref="M203">IF(NOW()&gt;AX203,"",IF(AND((WEEKDAY($A203)+$B$2)&gt;1,((WEEKDAY($A203)+$T$2)&lt;7),(WEEKDAY($A203)&lt;&gt;1)),"work",(INDEX(Subject!$A:$I,MATCH(RANDBETWEEN(1,(MAX(Subject!$B:$B))),Subject!$B:$B,0),3))))</f>
        <v/>
      </c>
      <c r="N203" s="2" t="str">
        <f t="array" ref="N203">IF(NOW()&gt;AY203,"",IF(AND((WEEKDAY($A203)+$B$2)&gt;1,((WEEKDAY($A203)+$T$2)&lt;7),(WEEKDAY($A203)&lt;&gt;1)),"work",(INDEX(Subject!$A:$I,MATCH(RANDBETWEEN(1,(MAX(Subject!$B:$B))),Subject!$B:$B,0),3))))</f>
        <v/>
      </c>
      <c r="O203" s="2" t="str">
        <f t="array" ref="O203">IF(NOW()&gt;AZ203,"",IF(AND((WEEKDAY($A203)+$B$2)&gt;1,((WEEKDAY($A203)+$T$2)&lt;7),(WEEKDAY($A203)&lt;&gt;1)),"work",(INDEX(Subject!$A:$I,MATCH(RANDBETWEEN(1,(MAX(Subject!$B:$B))),Subject!$B:$B,0),3))))</f>
        <v/>
      </c>
      <c r="P203" s="2" t="str">
        <f t="array" ref="P203">IF(NOW()&gt;BA203,"",IF(AND((WEEKDAY($A203)+$B$2)&gt;1,((WEEKDAY($A203)+$T$2)&lt;7),(WEEKDAY($A203)&lt;&gt;1)),"work",(INDEX(Subject!$A:$I,MATCH(RANDBETWEEN(1,(MAX(Subject!$B:$B))),Subject!$B:$B,0),3))))</f>
        <v/>
      </c>
      <c r="Q203" s="2" t="str">
        <f t="array" ref="Q203">IF(NOW()&gt;BB203,"",IF(AND((WEEKDAY($A203)+$B$2)&gt;1,((WEEKDAY($A203)+$T$2)&lt;7),(WEEKDAY($A203)&lt;&gt;1)),"work",(INDEX(Subject!$A:$I,MATCH(RANDBETWEEN(1,(MAX(Subject!$B:$B))),Subject!$B:$B,0),3))))</f>
        <v/>
      </c>
      <c r="R203" s="2" t="str">
        <f t="array" ref="R203">IF(NOW()&gt;BC203,"",IF(AND((WEEKDAY($A203)+$B$2)&gt;1,((WEEKDAY($A203)+$T$2)&lt;7),(WEEKDAY($A203)&lt;&gt;1)),"work",(INDEX(Subject!$A:$I,MATCH(RANDBETWEEN(1,(MAX(Subject!$B:$B))),Subject!$B:$B,0),3))))</f>
        <v/>
      </c>
      <c r="S203" s="2" t="str">
        <f t="array" ref="S203">IF(NOW()&gt;BD203,"",IF(AND((WEEKDAY($A203)+$B$2)&gt;1,((WEEKDAY($A203)+$T$2)&lt;7),(WEEKDAY($A203)&lt;&gt;1)),"work",(INDEX(Subject!$A:$I,MATCH(RANDBETWEEN(1,(MAX(Subject!$B:$B))),Subject!$B:$B,0),3))))</f>
        <v/>
      </c>
      <c r="T203" s="2" t="str">
        <f t="array" ref="T203">IF(NOW()&gt;BE203,"",IF(AND((WEEKDAY($A203)+$B$2)&gt;1,((WEEKDAY($A203)+$T$2)&lt;7),(WEEKDAY($A203)&lt;&gt;1)),"work",(INDEX(Subject!$A:$I,MATCH(RANDBETWEEN(1,(MAX(Subject!$B:$B))),Subject!$B:$B,0),3))))</f>
        <v/>
      </c>
      <c r="U203" s="8" t="str">
        <f t="array" ref="U203">INDEX(Subject!$A:$I,MATCH(RANDBETWEEN(1,16),Subject!$B:$B,0),3)</f>
        <v>#N/A</v>
      </c>
      <c r="V203" s="8" t="str">
        <f t="array" ref="V203">INDEX(Subject!$A:$I,MATCH(RANDBETWEEN(1,16),Subject!$B:$B,0),3)</f>
        <v>#N/A</v>
      </c>
      <c r="W203" s="8" t="str">
        <f t="array" ref="W203">INDEX(Subject!$A:$I,MATCH(RANDBETWEEN(1,16),Subject!$B:$B,0),3)</f>
        <v>#N/A</v>
      </c>
      <c r="X203" s="8" t="str">
        <f t="array" ref="X203">INDEX(Subject!$A:$I,MATCH(RANDBETWEEN(1,16),Subject!$B:$B,0),3)</f>
        <v>#N/A</v>
      </c>
      <c r="Y203" s="8" t="str">
        <f t="array" ref="Y203">INDEX(Subject!$A:$I,MATCH(RANDBETWEEN(1,16),Subject!$B:$B,0),3)</f>
        <v>#N/A</v>
      </c>
      <c r="Z203" s="8" t="str">
        <f t="array" ref="Z203">INDEX(Subject!$A:$I,MATCH(RANDBETWEEN(1,16),Subject!$B:$B,0),3)</f>
        <v>#N/A</v>
      </c>
      <c r="AA203" s="8" t="str">
        <f t="array" ref="AA203">INDEX(Subject!$A:$I,MATCH(RANDBETWEEN(1,16),Subject!$B:$B,0),3)</f>
        <v>#N/A</v>
      </c>
      <c r="AB203" s="8" t="str">
        <f t="array" ref="AB203">INDEX(Subject!$A:$I,MATCH(RANDBETWEEN(1,16),Subject!$B:$B,0),3)</f>
        <v>#N/A</v>
      </c>
      <c r="AC203" s="8" t="str">
        <f t="array" ref="AC203">INDEX(Subject!$A:$I,MATCH(RANDBETWEEN(1,16),Subject!$B:$B,0),3)</f>
        <v>#N/A</v>
      </c>
      <c r="AD203" s="8" t="str">
        <f t="array" ref="AD203">INDEX(Subject!$A:$I,MATCH(RANDBETWEEN(1,16),Subject!$B:$B,0),3)</f>
        <v>#N/A</v>
      </c>
      <c r="AE203" s="8" t="str">
        <f t="array" ref="AE203">INDEX(Subject!$A:$I,MATCH(RANDBETWEEN(1,16),Subject!$B:$B,0),3)</f>
        <v/>
      </c>
      <c r="AF203" s="8" t="str">
        <f t="array" ref="AF203">INDEX(Subject!$A:$I,MATCH(RANDBETWEEN(1,16),Subject!$B:$B,0),3)</f>
        <v>#N/A</v>
      </c>
      <c r="AG203" s="8" t="str">
        <f t="array" ref="AG203">INDEX(Subject!$A:$I,MATCH(RANDBETWEEN(1,16),Subject!$B:$B,0),3)</f>
        <v>#N/A</v>
      </c>
      <c r="AH203" s="8" t="str">
        <f t="array" ref="AH203">INDEX(Subject!$A:$I,MATCH(RANDBETWEEN(1,16),Subject!$B:$B,0),3)</f>
        <v>#N/A</v>
      </c>
      <c r="AI203" s="8" t="str">
        <f t="array" ref="AI203">INDEX(Subject!$A:$I,MATCH(RANDBETWEEN(1,16),Subject!$B:$B,0),3)</f>
        <v>#N/A</v>
      </c>
      <c r="AJ203" s="8" t="str">
        <f t="array" ref="AJ203">INDEX(Subject!$A:$I,MATCH(RANDBETWEEN(1,16),Subject!$B:$B,0),3)</f>
        <v>#N/A</v>
      </c>
      <c r="AK203" s="8" t="str">
        <f t="array" ref="AK203">INDEX(Subject!$A:$I,MATCH(RANDBETWEEN(1,16),Subject!$B:$B,0),3)</f>
        <v/>
      </c>
      <c r="AL203" s="8" t="str">
        <f t="array" ref="AL203">INDEX(Subject!$A:$I,MATCH(RANDBETWEEN(1,16),Subject!$B:$B,0),3)</f>
        <v>#N/A</v>
      </c>
      <c r="AM203" s="18">
        <f t="shared" si="4"/>
        <v>45703.33333</v>
      </c>
      <c r="AN203" s="19">
        <f t="shared" ref="AN203:BZ203" si="203">$A203+C$1</f>
        <v>45703.35417</v>
      </c>
      <c r="AO203" s="19">
        <f t="shared" si="203"/>
        <v>45703.375</v>
      </c>
      <c r="AP203" s="19">
        <f t="shared" si="203"/>
        <v>45703.39583</v>
      </c>
      <c r="AQ203" s="19">
        <f t="shared" si="203"/>
        <v>45703.41667</v>
      </c>
      <c r="AR203" s="19">
        <f t="shared" si="203"/>
        <v>45703.4375</v>
      </c>
      <c r="AS203" s="19">
        <f t="shared" si="203"/>
        <v>45703.45833</v>
      </c>
      <c r="AT203" s="19">
        <f t="shared" si="203"/>
        <v>45703.47917</v>
      </c>
      <c r="AU203" s="19">
        <f t="shared" si="203"/>
        <v>45703.5</v>
      </c>
      <c r="AV203" s="19">
        <f t="shared" si="203"/>
        <v>45703.52083</v>
      </c>
      <c r="AW203" s="19">
        <f t="shared" si="203"/>
        <v>45703.54167</v>
      </c>
      <c r="AX203" s="19">
        <f t="shared" si="203"/>
        <v>45703.5625</v>
      </c>
      <c r="AY203" s="19">
        <f t="shared" si="203"/>
        <v>45703.58333</v>
      </c>
      <c r="AZ203" s="19">
        <f t="shared" si="203"/>
        <v>45703.60417</v>
      </c>
      <c r="BA203" s="19">
        <f t="shared" si="203"/>
        <v>45703.625</v>
      </c>
      <c r="BB203" s="19">
        <f t="shared" si="203"/>
        <v>45703.64583</v>
      </c>
      <c r="BC203" s="19">
        <f t="shared" si="203"/>
        <v>45703.66667</v>
      </c>
      <c r="BD203" s="19">
        <f t="shared" si="203"/>
        <v>45703.6875</v>
      </c>
      <c r="BE203" s="19">
        <f t="shared" si="203"/>
        <v>45703.70833</v>
      </c>
      <c r="BF203" s="19">
        <f t="shared" si="203"/>
        <v>45703.72917</v>
      </c>
      <c r="BG203" s="19">
        <f t="shared" si="203"/>
        <v>45703.75</v>
      </c>
      <c r="BH203" s="19">
        <f t="shared" si="203"/>
        <v>45703.77083</v>
      </c>
      <c r="BI203" s="19">
        <f t="shared" si="203"/>
        <v>45703.79167</v>
      </c>
      <c r="BJ203" s="19">
        <f t="shared" si="203"/>
        <v>45703.8125</v>
      </c>
      <c r="BK203" s="19">
        <f t="shared" si="203"/>
        <v>45703.83333</v>
      </c>
      <c r="BL203" s="19">
        <f t="shared" si="203"/>
        <v>45703.85417</v>
      </c>
      <c r="BM203" s="19">
        <f t="shared" si="203"/>
        <v>45703.875</v>
      </c>
      <c r="BN203" s="19">
        <f t="shared" si="203"/>
        <v>45703.89583</v>
      </c>
      <c r="BO203" s="19">
        <f t="shared" si="203"/>
        <v>45703.91667</v>
      </c>
      <c r="BP203" s="19">
        <f t="shared" si="203"/>
        <v>45703.9375</v>
      </c>
      <c r="BQ203" s="19">
        <f t="shared" si="203"/>
        <v>45703.95833</v>
      </c>
      <c r="BR203" s="19">
        <f t="shared" si="203"/>
        <v>45703.97917</v>
      </c>
      <c r="BS203" s="19">
        <f t="shared" si="203"/>
        <v>45704</v>
      </c>
      <c r="BT203" s="19">
        <f t="shared" si="203"/>
        <v>45704.02083</v>
      </c>
      <c r="BU203" s="19">
        <f t="shared" si="203"/>
        <v>45704.04167</v>
      </c>
      <c r="BV203" s="19">
        <f t="shared" si="203"/>
        <v>45704.0625</v>
      </c>
      <c r="BW203" s="19">
        <f t="shared" si="203"/>
        <v>45704.08333</v>
      </c>
      <c r="BX203" s="19">
        <f t="shared" si="203"/>
        <v>45703</v>
      </c>
      <c r="BY203" s="19">
        <f t="shared" si="203"/>
        <v>45703</v>
      </c>
      <c r="BZ203" s="19">
        <f t="shared" si="203"/>
        <v>45703</v>
      </c>
    </row>
    <row r="204" ht="14.25" customHeight="1">
      <c r="A204" s="17">
        <v>45704.0</v>
      </c>
      <c r="B204" s="2" t="str">
        <f t="array" ref="B204">IF(NOW()&gt;AM204,"",IF(AND((WEEKDAY($A204)+$B$2)&gt;1,((WEEKDAY($A204)+$T$2)&lt;7),(WEEKDAY($A204)&lt;&gt;1)),"work",(INDEX(Subject!$A:$I,MATCH(RANDBETWEEN(1,(MAX(Subject!$B:$B))),Subject!$B:$B,0),3))))</f>
        <v/>
      </c>
      <c r="C204" s="2" t="str">
        <f t="array" ref="C204">IF(NOW()&gt;AN204,"",IF(AND((WEEKDAY($A204)+$B$2)&gt;1,((WEEKDAY($A204)+$T$2)&lt;7),(WEEKDAY($A204)&lt;&gt;1)),"work",(INDEX(Subject!$A:$I,MATCH(RANDBETWEEN(1,(MAX(Subject!$B:$B))),Subject!$B:$B,0),3))))</f>
        <v/>
      </c>
      <c r="D204" s="2" t="str">
        <f t="array" ref="D204">IF(NOW()&gt;AO204,"",IF(AND((WEEKDAY($A204)+$B$2)&gt;1,((WEEKDAY($A204)+$T$2)&lt;7),(WEEKDAY($A204)&lt;&gt;1)),"work",(INDEX(Subject!$A:$I,MATCH(RANDBETWEEN(1,(MAX(Subject!$B:$B))),Subject!$B:$B,0),3))))</f>
        <v/>
      </c>
      <c r="E204" s="2" t="str">
        <f t="array" ref="E204">IF(NOW()&gt;AP204,"",IF(AND((WEEKDAY($A204)+$B$2)&gt;1,((WEEKDAY($A204)+$T$2)&lt;7),(WEEKDAY($A204)&lt;&gt;1)),"work",(INDEX(Subject!$A:$I,MATCH(RANDBETWEEN(1,(MAX(Subject!$B:$B))),Subject!$B:$B,0),3))))</f>
        <v/>
      </c>
      <c r="F204" s="2" t="str">
        <f t="array" ref="F204">IF(NOW()&gt;AQ204,"",IF(AND((WEEKDAY($A204)+$B$2)&gt;1,((WEEKDAY($A204)+$T$2)&lt;7),(WEEKDAY($A204)&lt;&gt;1)),"work",(INDEX(Subject!$A:$I,MATCH(RANDBETWEEN(1,(MAX(Subject!$B:$B))),Subject!$B:$B,0),3))))</f>
        <v/>
      </c>
      <c r="G204" s="2" t="str">
        <f t="array" ref="G204">IF(NOW()&gt;AR204,"",IF(AND((WEEKDAY($A204)+$B$2)&gt;1,((WEEKDAY($A204)+$T$2)&lt;7),(WEEKDAY($A204)&lt;&gt;1)),"work",(INDEX(Subject!$A:$I,MATCH(RANDBETWEEN(1,(MAX(Subject!$B:$B))),Subject!$B:$B,0),3))))</f>
        <v/>
      </c>
      <c r="H204" s="2" t="str">
        <f t="array" ref="H204">IF(NOW()&gt;AS204,"",IF(AND((WEEKDAY($A204)+$B$2)&gt;1,((WEEKDAY($A204)+$T$2)&lt;7),(WEEKDAY($A204)&lt;&gt;1)),"work",(INDEX(Subject!$A:$I,MATCH(RANDBETWEEN(1,(MAX(Subject!$B:$B))),Subject!$B:$B,0),3))))</f>
        <v/>
      </c>
      <c r="I204" s="2" t="str">
        <f t="array" ref="I204">IF(NOW()&gt;AT204,"",IF(AND((WEEKDAY($A204)+$B$2)&gt;1,((WEEKDAY($A204)+$T$2)&lt;7),(WEEKDAY($A204)&lt;&gt;1)),"work",(INDEX(Subject!$A:$I,MATCH(RANDBETWEEN(1,(MAX(Subject!$B:$B))),Subject!$B:$B,0),3))))</f>
        <v/>
      </c>
      <c r="J204" s="2" t="str">
        <f t="array" ref="J204">IF(NOW()&gt;AU204,"",IF(AND((WEEKDAY($A204)+$B$2)&gt;1,((WEEKDAY($A204)+$T$2)&lt;7),(WEEKDAY($A204)&lt;&gt;1)),"work",(INDEX(Subject!$A:$I,MATCH(RANDBETWEEN(1,(MAX(Subject!$B:$B))),Subject!$B:$B,0),3))))</f>
        <v/>
      </c>
      <c r="K204" s="2" t="str">
        <f t="array" ref="K204">IF(NOW()&gt;AV204,"",IF(AND((WEEKDAY($A204)+$B$2)&gt;1,((WEEKDAY($A204)+$T$2)&lt;7),(WEEKDAY($A204)&lt;&gt;1)),"work",(INDEX(Subject!$A:$I,MATCH(RANDBETWEEN(1,(MAX(Subject!$B:$B))),Subject!$B:$B,0),3))))</f>
        <v/>
      </c>
      <c r="L204" s="2" t="str">
        <f t="array" ref="L204">IF(NOW()&gt;AW204,"",IF(AND((WEEKDAY($A204)+$B$2)&gt;1,((WEEKDAY($A204)+$T$2)&lt;7),(WEEKDAY($A204)&lt;&gt;1)),"work",(INDEX(Subject!$A:$I,MATCH(RANDBETWEEN(1,(MAX(Subject!$B:$B))),Subject!$B:$B,0),3))))</f>
        <v/>
      </c>
      <c r="M204" s="2" t="str">
        <f t="array" ref="M204">IF(NOW()&gt;AX204,"",IF(AND((WEEKDAY($A204)+$B$2)&gt;1,((WEEKDAY($A204)+$T$2)&lt;7),(WEEKDAY($A204)&lt;&gt;1)),"work",(INDEX(Subject!$A:$I,MATCH(RANDBETWEEN(1,(MAX(Subject!$B:$B))),Subject!$B:$B,0),3))))</f>
        <v/>
      </c>
      <c r="N204" s="2" t="str">
        <f t="array" ref="N204">IF(NOW()&gt;AY204,"",IF(AND((WEEKDAY($A204)+$B$2)&gt;1,((WEEKDAY($A204)+$T$2)&lt;7),(WEEKDAY($A204)&lt;&gt;1)),"work",(INDEX(Subject!$A:$I,MATCH(RANDBETWEEN(1,(MAX(Subject!$B:$B))),Subject!$B:$B,0),3))))</f>
        <v/>
      </c>
      <c r="O204" s="2" t="str">
        <f t="array" ref="O204">IF(NOW()&gt;AZ204,"",IF(AND((WEEKDAY($A204)+$B$2)&gt;1,((WEEKDAY($A204)+$T$2)&lt;7),(WEEKDAY($A204)&lt;&gt;1)),"work",(INDEX(Subject!$A:$I,MATCH(RANDBETWEEN(1,(MAX(Subject!$B:$B))),Subject!$B:$B,0),3))))</f>
        <v/>
      </c>
      <c r="P204" s="2" t="str">
        <f t="array" ref="P204">IF(NOW()&gt;BA204,"",IF(AND((WEEKDAY($A204)+$B$2)&gt;1,((WEEKDAY($A204)+$T$2)&lt;7),(WEEKDAY($A204)&lt;&gt;1)),"work",(INDEX(Subject!$A:$I,MATCH(RANDBETWEEN(1,(MAX(Subject!$B:$B))),Subject!$B:$B,0),3))))</f>
        <v/>
      </c>
      <c r="Q204" s="2" t="str">
        <f t="array" ref="Q204">IF(NOW()&gt;BB204,"",IF(AND((WEEKDAY($A204)+$B$2)&gt;1,((WEEKDAY($A204)+$T$2)&lt;7),(WEEKDAY($A204)&lt;&gt;1)),"work",(INDEX(Subject!$A:$I,MATCH(RANDBETWEEN(1,(MAX(Subject!$B:$B))),Subject!$B:$B,0),3))))</f>
        <v/>
      </c>
      <c r="R204" s="2" t="str">
        <f t="array" ref="R204">IF(NOW()&gt;BC204,"",IF(AND((WEEKDAY($A204)+$B$2)&gt;1,((WEEKDAY($A204)+$T$2)&lt;7),(WEEKDAY($A204)&lt;&gt;1)),"work",(INDEX(Subject!$A:$I,MATCH(RANDBETWEEN(1,(MAX(Subject!$B:$B))),Subject!$B:$B,0),3))))</f>
        <v/>
      </c>
      <c r="S204" s="2" t="str">
        <f t="array" ref="S204">IF(NOW()&gt;BD204,"",IF(AND((WEEKDAY($A204)+$B$2)&gt;1,((WEEKDAY($A204)+$T$2)&lt;7),(WEEKDAY($A204)&lt;&gt;1)),"work",(INDEX(Subject!$A:$I,MATCH(RANDBETWEEN(1,(MAX(Subject!$B:$B))),Subject!$B:$B,0),3))))</f>
        <v/>
      </c>
      <c r="T204" s="2" t="str">
        <f t="array" ref="T204">IF(NOW()&gt;BE204,"",IF(AND((WEEKDAY($A204)+$B$2)&gt;1,((WEEKDAY($A204)+$T$2)&lt;7),(WEEKDAY($A204)&lt;&gt;1)),"work",(INDEX(Subject!$A:$I,MATCH(RANDBETWEEN(1,(MAX(Subject!$B:$B))),Subject!$B:$B,0),3))))</f>
        <v/>
      </c>
      <c r="U204" s="8" t="str">
        <f t="array" ref="U204">INDEX(Subject!$A:$I,MATCH(RANDBETWEEN(1,16),Subject!$B:$B,0),3)</f>
        <v>#N/A</v>
      </c>
      <c r="V204" s="8" t="str">
        <f t="array" ref="V204">INDEX(Subject!$A:$I,MATCH(RANDBETWEEN(1,16),Subject!$B:$B,0),3)</f>
        <v>#N/A</v>
      </c>
      <c r="W204" s="8" t="str">
        <f t="array" ref="W204">INDEX(Subject!$A:$I,MATCH(RANDBETWEEN(1,16),Subject!$B:$B,0),3)</f>
        <v>#N/A</v>
      </c>
      <c r="X204" s="8" t="str">
        <f t="array" ref="X204">INDEX(Subject!$A:$I,MATCH(RANDBETWEEN(1,16),Subject!$B:$B,0),3)</f>
        <v>#N/A</v>
      </c>
      <c r="Y204" s="8" t="str">
        <f t="array" ref="Y204">INDEX(Subject!$A:$I,MATCH(RANDBETWEEN(1,16),Subject!$B:$B,0),3)</f>
        <v>#N/A</v>
      </c>
      <c r="Z204" s="8" t="str">
        <f t="array" ref="Z204">INDEX(Subject!$A:$I,MATCH(RANDBETWEEN(1,16),Subject!$B:$B,0),3)</f>
        <v>#N/A</v>
      </c>
      <c r="AA204" s="8" t="str">
        <f t="array" ref="AA204">INDEX(Subject!$A:$I,MATCH(RANDBETWEEN(1,16),Subject!$B:$B,0),3)</f>
        <v>#N/A</v>
      </c>
      <c r="AB204" s="8" t="str">
        <f t="array" ref="AB204">INDEX(Subject!$A:$I,MATCH(RANDBETWEEN(1,16),Subject!$B:$B,0),3)</f>
        <v>#N/A</v>
      </c>
      <c r="AC204" s="8" t="str">
        <f t="array" ref="AC204">INDEX(Subject!$A:$I,MATCH(RANDBETWEEN(1,16),Subject!$B:$B,0),3)</f>
        <v>#N/A</v>
      </c>
      <c r="AD204" s="8" t="str">
        <f t="array" ref="AD204">INDEX(Subject!$A:$I,MATCH(RANDBETWEEN(1,16),Subject!$B:$B,0),3)</f>
        <v>#N/A</v>
      </c>
      <c r="AE204" s="8" t="str">
        <f t="array" ref="AE204">INDEX(Subject!$A:$I,MATCH(RANDBETWEEN(1,16),Subject!$B:$B,0),3)</f>
        <v>#N/A</v>
      </c>
      <c r="AF204" s="8" t="str">
        <f t="array" ref="AF204">INDEX(Subject!$A:$I,MATCH(RANDBETWEEN(1,16),Subject!$B:$B,0),3)</f>
        <v>#N/A</v>
      </c>
      <c r="AG204" s="8" t="str">
        <f t="array" ref="AG204">INDEX(Subject!$A:$I,MATCH(RANDBETWEEN(1,16),Subject!$B:$B,0),3)</f>
        <v>#N/A</v>
      </c>
      <c r="AH204" s="8" t="str">
        <f t="array" ref="AH204">INDEX(Subject!$A:$I,MATCH(RANDBETWEEN(1,16),Subject!$B:$B,0),3)</f>
        <v/>
      </c>
      <c r="AI204" s="8" t="str">
        <f t="array" ref="AI204">INDEX(Subject!$A:$I,MATCH(RANDBETWEEN(1,16),Subject!$B:$B,0),3)</f>
        <v>#N/A</v>
      </c>
      <c r="AJ204" s="8" t="str">
        <f t="array" ref="AJ204">INDEX(Subject!$A:$I,MATCH(RANDBETWEEN(1,16),Subject!$B:$B,0),3)</f>
        <v>#N/A</v>
      </c>
      <c r="AK204" s="8" t="str">
        <f t="array" ref="AK204">INDEX(Subject!$A:$I,MATCH(RANDBETWEEN(1,16),Subject!$B:$B,0),3)</f>
        <v>#N/A</v>
      </c>
      <c r="AL204" s="8" t="str">
        <f t="array" ref="AL204">INDEX(Subject!$A:$I,MATCH(RANDBETWEEN(1,16),Subject!$B:$B,0),3)</f>
        <v>#N/A</v>
      </c>
      <c r="AM204" s="18">
        <f t="shared" si="4"/>
        <v>45704.33333</v>
      </c>
      <c r="AN204" s="19">
        <f t="shared" ref="AN204:BZ204" si="204">$A204+C$1</f>
        <v>45704.35417</v>
      </c>
      <c r="AO204" s="19">
        <f t="shared" si="204"/>
        <v>45704.375</v>
      </c>
      <c r="AP204" s="19">
        <f t="shared" si="204"/>
        <v>45704.39583</v>
      </c>
      <c r="AQ204" s="19">
        <f t="shared" si="204"/>
        <v>45704.41667</v>
      </c>
      <c r="AR204" s="19">
        <f t="shared" si="204"/>
        <v>45704.4375</v>
      </c>
      <c r="AS204" s="19">
        <f t="shared" si="204"/>
        <v>45704.45833</v>
      </c>
      <c r="AT204" s="19">
        <f t="shared" si="204"/>
        <v>45704.47917</v>
      </c>
      <c r="AU204" s="19">
        <f t="shared" si="204"/>
        <v>45704.5</v>
      </c>
      <c r="AV204" s="19">
        <f t="shared" si="204"/>
        <v>45704.52083</v>
      </c>
      <c r="AW204" s="19">
        <f t="shared" si="204"/>
        <v>45704.54167</v>
      </c>
      <c r="AX204" s="19">
        <f t="shared" si="204"/>
        <v>45704.5625</v>
      </c>
      <c r="AY204" s="19">
        <f t="shared" si="204"/>
        <v>45704.58333</v>
      </c>
      <c r="AZ204" s="19">
        <f t="shared" si="204"/>
        <v>45704.60417</v>
      </c>
      <c r="BA204" s="19">
        <f t="shared" si="204"/>
        <v>45704.625</v>
      </c>
      <c r="BB204" s="19">
        <f t="shared" si="204"/>
        <v>45704.64583</v>
      </c>
      <c r="BC204" s="19">
        <f t="shared" si="204"/>
        <v>45704.66667</v>
      </c>
      <c r="BD204" s="19">
        <f t="shared" si="204"/>
        <v>45704.6875</v>
      </c>
      <c r="BE204" s="19">
        <f t="shared" si="204"/>
        <v>45704.70833</v>
      </c>
      <c r="BF204" s="19">
        <f t="shared" si="204"/>
        <v>45704.72917</v>
      </c>
      <c r="BG204" s="19">
        <f t="shared" si="204"/>
        <v>45704.75</v>
      </c>
      <c r="BH204" s="19">
        <f t="shared" si="204"/>
        <v>45704.77083</v>
      </c>
      <c r="BI204" s="19">
        <f t="shared" si="204"/>
        <v>45704.79167</v>
      </c>
      <c r="BJ204" s="19">
        <f t="shared" si="204"/>
        <v>45704.8125</v>
      </c>
      <c r="BK204" s="19">
        <f t="shared" si="204"/>
        <v>45704.83333</v>
      </c>
      <c r="BL204" s="19">
        <f t="shared" si="204"/>
        <v>45704.85417</v>
      </c>
      <c r="BM204" s="19">
        <f t="shared" si="204"/>
        <v>45704.875</v>
      </c>
      <c r="BN204" s="19">
        <f t="shared" si="204"/>
        <v>45704.89583</v>
      </c>
      <c r="BO204" s="19">
        <f t="shared" si="204"/>
        <v>45704.91667</v>
      </c>
      <c r="BP204" s="19">
        <f t="shared" si="204"/>
        <v>45704.9375</v>
      </c>
      <c r="BQ204" s="19">
        <f t="shared" si="204"/>
        <v>45704.95833</v>
      </c>
      <c r="BR204" s="19">
        <f t="shared" si="204"/>
        <v>45704.97917</v>
      </c>
      <c r="BS204" s="19">
        <f t="shared" si="204"/>
        <v>45705</v>
      </c>
      <c r="BT204" s="19">
        <f t="shared" si="204"/>
        <v>45705.02083</v>
      </c>
      <c r="BU204" s="19">
        <f t="shared" si="204"/>
        <v>45705.04167</v>
      </c>
      <c r="BV204" s="19">
        <f t="shared" si="204"/>
        <v>45705.0625</v>
      </c>
      <c r="BW204" s="19">
        <f t="shared" si="204"/>
        <v>45705.08333</v>
      </c>
      <c r="BX204" s="19">
        <f t="shared" si="204"/>
        <v>45704</v>
      </c>
      <c r="BY204" s="19">
        <f t="shared" si="204"/>
        <v>45704</v>
      </c>
      <c r="BZ204" s="19">
        <f t="shared" si="204"/>
        <v>45704</v>
      </c>
    </row>
    <row r="205" ht="14.25" customHeight="1">
      <c r="A205" s="17">
        <v>45705.0</v>
      </c>
      <c r="B205" s="2" t="str">
        <f t="array" ref="B205">IF(NOW()&gt;AM205,"",IF(AND((WEEKDAY($A205)+$B$2)&gt;1,((WEEKDAY($A205)+$T$2)&lt;7),(WEEKDAY($A205)&lt;&gt;1)),"work",(INDEX(Subject!$A:$I,MATCH(RANDBETWEEN(1,(MAX(Subject!$B:$B))),Subject!$B:$B,0),3))))</f>
        <v/>
      </c>
      <c r="C205" s="2" t="str">
        <f t="array" ref="C205">IF(NOW()&gt;AN205,"",IF(AND((WEEKDAY($A205)+$B$2)&gt;1,((WEEKDAY($A205)+$T$2)&lt;7),(WEEKDAY($A205)&lt;&gt;1)),"work",(INDEX(Subject!$A:$I,MATCH(RANDBETWEEN(1,(MAX(Subject!$B:$B))),Subject!$B:$B,0),3))))</f>
        <v/>
      </c>
      <c r="D205" s="2" t="str">
        <f t="array" ref="D205">IF(NOW()&gt;AO205,"",IF(AND((WEEKDAY($A205)+$B$2)&gt;1,((WEEKDAY($A205)+$T$2)&lt;7),(WEEKDAY($A205)&lt;&gt;1)),"work",(INDEX(Subject!$A:$I,MATCH(RANDBETWEEN(1,(MAX(Subject!$B:$B))),Subject!$B:$B,0),3))))</f>
        <v/>
      </c>
      <c r="E205" s="2" t="str">
        <f t="array" ref="E205">IF(NOW()&gt;AP205,"",IF(AND((WEEKDAY($A205)+$B$2)&gt;1,((WEEKDAY($A205)+$T$2)&lt;7),(WEEKDAY($A205)&lt;&gt;1)),"work",(INDEX(Subject!$A:$I,MATCH(RANDBETWEEN(1,(MAX(Subject!$B:$B))),Subject!$B:$B,0),3))))</f>
        <v/>
      </c>
      <c r="F205" s="2" t="str">
        <f t="array" ref="F205">IF(NOW()&gt;AQ205,"",IF(AND((WEEKDAY($A205)+$B$2)&gt;1,((WEEKDAY($A205)+$T$2)&lt;7),(WEEKDAY($A205)&lt;&gt;1)),"work",(INDEX(Subject!$A:$I,MATCH(RANDBETWEEN(1,(MAX(Subject!$B:$B))),Subject!$B:$B,0),3))))</f>
        <v/>
      </c>
      <c r="G205" s="2" t="str">
        <f t="array" ref="G205">IF(NOW()&gt;AR205,"",IF(AND((WEEKDAY($A205)+$B$2)&gt;1,((WEEKDAY($A205)+$T$2)&lt;7),(WEEKDAY($A205)&lt;&gt;1)),"work",(INDEX(Subject!$A:$I,MATCH(RANDBETWEEN(1,(MAX(Subject!$B:$B))),Subject!$B:$B,0),3))))</f>
        <v/>
      </c>
      <c r="H205" s="2" t="str">
        <f t="array" ref="H205">IF(NOW()&gt;AS205,"",IF(AND((WEEKDAY($A205)+$B$2)&gt;1,((WEEKDAY($A205)+$T$2)&lt;7),(WEEKDAY($A205)&lt;&gt;1)),"work",(INDEX(Subject!$A:$I,MATCH(RANDBETWEEN(1,(MAX(Subject!$B:$B))),Subject!$B:$B,0),3))))</f>
        <v/>
      </c>
      <c r="I205" s="2" t="str">
        <f t="array" ref="I205">IF(NOW()&gt;AT205,"",IF(AND((WEEKDAY($A205)+$B$2)&gt;1,((WEEKDAY($A205)+$T$2)&lt;7),(WEEKDAY($A205)&lt;&gt;1)),"work",(INDEX(Subject!$A:$I,MATCH(RANDBETWEEN(1,(MAX(Subject!$B:$B))),Subject!$B:$B,0),3))))</f>
        <v/>
      </c>
      <c r="J205" s="2" t="str">
        <f t="array" ref="J205">IF(NOW()&gt;AU205,"",IF(AND((WEEKDAY($A205)+$B$2)&gt;1,((WEEKDAY($A205)+$T$2)&lt;7),(WEEKDAY($A205)&lt;&gt;1)),"work",(INDEX(Subject!$A:$I,MATCH(RANDBETWEEN(1,(MAX(Subject!$B:$B))),Subject!$B:$B,0),3))))</f>
        <v/>
      </c>
      <c r="K205" s="2" t="str">
        <f t="array" ref="K205">IF(NOW()&gt;AV205,"",IF(AND((WEEKDAY($A205)+$B$2)&gt;1,((WEEKDAY($A205)+$T$2)&lt;7),(WEEKDAY($A205)&lt;&gt;1)),"work",(INDEX(Subject!$A:$I,MATCH(RANDBETWEEN(1,(MAX(Subject!$B:$B))),Subject!$B:$B,0),3))))</f>
        <v/>
      </c>
      <c r="L205" s="2" t="str">
        <f t="array" ref="L205">IF(NOW()&gt;AW205,"",IF(AND((WEEKDAY($A205)+$B$2)&gt;1,((WEEKDAY($A205)+$T$2)&lt;7),(WEEKDAY($A205)&lt;&gt;1)),"work",(INDEX(Subject!$A:$I,MATCH(RANDBETWEEN(1,(MAX(Subject!$B:$B))),Subject!$B:$B,0),3))))</f>
        <v/>
      </c>
      <c r="M205" s="2" t="str">
        <f t="array" ref="M205">IF(NOW()&gt;AX205,"",IF(AND((WEEKDAY($A205)+$B$2)&gt;1,((WEEKDAY($A205)+$T$2)&lt;7),(WEEKDAY($A205)&lt;&gt;1)),"work",(INDEX(Subject!$A:$I,MATCH(RANDBETWEEN(1,(MAX(Subject!$B:$B))),Subject!$B:$B,0),3))))</f>
        <v/>
      </c>
      <c r="N205" s="2" t="str">
        <f t="array" ref="N205">IF(NOW()&gt;AY205,"",IF(AND((WEEKDAY($A205)+$B$2)&gt;1,((WEEKDAY($A205)+$T$2)&lt;7),(WEEKDAY($A205)&lt;&gt;1)),"work",(INDEX(Subject!$A:$I,MATCH(RANDBETWEEN(1,(MAX(Subject!$B:$B))),Subject!$B:$B,0),3))))</f>
        <v/>
      </c>
      <c r="O205" s="2" t="str">
        <f t="array" ref="O205">IF(NOW()&gt;AZ205,"",IF(AND((WEEKDAY($A205)+$B$2)&gt;1,((WEEKDAY($A205)+$T$2)&lt;7),(WEEKDAY($A205)&lt;&gt;1)),"work",(INDEX(Subject!$A:$I,MATCH(RANDBETWEEN(1,(MAX(Subject!$B:$B))),Subject!$B:$B,0),3))))</f>
        <v/>
      </c>
      <c r="P205" s="2" t="str">
        <f t="array" ref="P205">IF(NOW()&gt;BA205,"",IF(AND((WEEKDAY($A205)+$B$2)&gt;1,((WEEKDAY($A205)+$T$2)&lt;7),(WEEKDAY($A205)&lt;&gt;1)),"work",(INDEX(Subject!$A:$I,MATCH(RANDBETWEEN(1,(MAX(Subject!$B:$B))),Subject!$B:$B,0),3))))</f>
        <v/>
      </c>
      <c r="Q205" s="2" t="str">
        <f t="array" ref="Q205">IF(NOW()&gt;BB205,"",IF(AND((WEEKDAY($A205)+$B$2)&gt;1,((WEEKDAY($A205)+$T$2)&lt;7),(WEEKDAY($A205)&lt;&gt;1)),"work",(INDEX(Subject!$A:$I,MATCH(RANDBETWEEN(1,(MAX(Subject!$B:$B))),Subject!$B:$B,0),3))))</f>
        <v/>
      </c>
      <c r="R205" s="2" t="str">
        <f t="array" ref="R205">IF(NOW()&gt;BC205,"",IF(AND((WEEKDAY($A205)+$B$2)&gt;1,((WEEKDAY($A205)+$T$2)&lt;7),(WEEKDAY($A205)&lt;&gt;1)),"work",(INDEX(Subject!$A:$I,MATCH(RANDBETWEEN(1,(MAX(Subject!$B:$B))),Subject!$B:$B,0),3))))</f>
        <v/>
      </c>
      <c r="S205" s="2" t="str">
        <f t="array" ref="S205">IF(NOW()&gt;BD205,"",IF(AND((WEEKDAY($A205)+$B$2)&gt;1,((WEEKDAY($A205)+$T$2)&lt;7),(WEEKDAY($A205)&lt;&gt;1)),"work",(INDEX(Subject!$A:$I,MATCH(RANDBETWEEN(1,(MAX(Subject!$B:$B))),Subject!$B:$B,0),3))))</f>
        <v/>
      </c>
      <c r="T205" s="2" t="str">
        <f t="array" ref="T205">IF(NOW()&gt;BE205,"",IF(AND((WEEKDAY($A205)+$B$2)&gt;1,((WEEKDAY($A205)+$T$2)&lt;7),(WEEKDAY($A205)&lt;&gt;1)),"work",(INDEX(Subject!$A:$I,MATCH(RANDBETWEEN(1,(MAX(Subject!$B:$B))),Subject!$B:$B,0),3))))</f>
        <v/>
      </c>
      <c r="U205" s="8" t="str">
        <f t="array" ref="U205">INDEX(Subject!$A:$I,MATCH(RANDBETWEEN(1,16),Subject!$B:$B,0),3)</f>
        <v>#N/A</v>
      </c>
      <c r="V205" s="8" t="str">
        <f t="array" ref="V205">INDEX(Subject!$A:$I,MATCH(RANDBETWEEN(1,16),Subject!$B:$B,0),3)</f>
        <v/>
      </c>
      <c r="W205" s="8" t="str">
        <f t="array" ref="W205">INDEX(Subject!$A:$I,MATCH(RANDBETWEEN(1,16),Subject!$B:$B,0),3)</f>
        <v>#N/A</v>
      </c>
      <c r="X205" s="8" t="str">
        <f t="array" ref="X205">INDEX(Subject!$A:$I,MATCH(RANDBETWEEN(1,16),Subject!$B:$B,0),3)</f>
        <v>#N/A</v>
      </c>
      <c r="Y205" s="8" t="str">
        <f t="array" ref="Y205">INDEX(Subject!$A:$I,MATCH(RANDBETWEEN(1,16),Subject!$B:$B,0),3)</f>
        <v>#N/A</v>
      </c>
      <c r="Z205" s="8" t="str">
        <f t="array" ref="Z205">INDEX(Subject!$A:$I,MATCH(RANDBETWEEN(1,16),Subject!$B:$B,0),3)</f>
        <v>#N/A</v>
      </c>
      <c r="AA205" s="8" t="str">
        <f t="array" ref="AA205">INDEX(Subject!$A:$I,MATCH(RANDBETWEEN(1,16),Subject!$B:$B,0),3)</f>
        <v/>
      </c>
      <c r="AB205" s="8" t="str">
        <f t="array" ref="AB205">INDEX(Subject!$A:$I,MATCH(RANDBETWEEN(1,16),Subject!$B:$B,0),3)</f>
        <v>#N/A</v>
      </c>
      <c r="AC205" s="8" t="str">
        <f t="array" ref="AC205">INDEX(Subject!$A:$I,MATCH(RANDBETWEEN(1,16),Subject!$B:$B,0),3)</f>
        <v>#N/A</v>
      </c>
      <c r="AD205" s="8" t="str">
        <f t="array" ref="AD205">INDEX(Subject!$A:$I,MATCH(RANDBETWEEN(1,16),Subject!$B:$B,0),3)</f>
        <v>#N/A</v>
      </c>
      <c r="AE205" s="8" t="str">
        <f t="array" ref="AE205">INDEX(Subject!$A:$I,MATCH(RANDBETWEEN(1,16),Subject!$B:$B,0),3)</f>
        <v>#N/A</v>
      </c>
      <c r="AF205" s="8" t="str">
        <f t="array" ref="AF205">INDEX(Subject!$A:$I,MATCH(RANDBETWEEN(1,16),Subject!$B:$B,0),3)</f>
        <v>#N/A</v>
      </c>
      <c r="AG205" s="8" t="str">
        <f t="array" ref="AG205">INDEX(Subject!$A:$I,MATCH(RANDBETWEEN(1,16),Subject!$B:$B,0),3)</f>
        <v>#N/A</v>
      </c>
      <c r="AH205" s="8" t="str">
        <f t="array" ref="AH205">INDEX(Subject!$A:$I,MATCH(RANDBETWEEN(1,16),Subject!$B:$B,0),3)</f>
        <v>#N/A</v>
      </c>
      <c r="AI205" s="8" t="str">
        <f t="array" ref="AI205">INDEX(Subject!$A:$I,MATCH(RANDBETWEEN(1,16),Subject!$B:$B,0),3)</f>
        <v>#N/A</v>
      </c>
      <c r="AJ205" s="8" t="str">
        <f t="array" ref="AJ205">INDEX(Subject!$A:$I,MATCH(RANDBETWEEN(1,16),Subject!$B:$B,0),3)</f>
        <v>#N/A</v>
      </c>
      <c r="AK205" s="8" t="str">
        <f t="array" ref="AK205">INDEX(Subject!$A:$I,MATCH(RANDBETWEEN(1,16),Subject!$B:$B,0),3)</f>
        <v>#N/A</v>
      </c>
      <c r="AL205" s="8" t="str">
        <f t="array" ref="AL205">INDEX(Subject!$A:$I,MATCH(RANDBETWEEN(1,16),Subject!$B:$B,0),3)</f>
        <v>#N/A</v>
      </c>
      <c r="AM205" s="18">
        <f t="shared" si="4"/>
        <v>45705.33333</v>
      </c>
      <c r="AN205" s="19">
        <f t="shared" ref="AN205:BZ205" si="205">$A205+C$1</f>
        <v>45705.35417</v>
      </c>
      <c r="AO205" s="19">
        <f t="shared" si="205"/>
        <v>45705.375</v>
      </c>
      <c r="AP205" s="19">
        <f t="shared" si="205"/>
        <v>45705.39583</v>
      </c>
      <c r="AQ205" s="19">
        <f t="shared" si="205"/>
        <v>45705.41667</v>
      </c>
      <c r="AR205" s="19">
        <f t="shared" si="205"/>
        <v>45705.4375</v>
      </c>
      <c r="AS205" s="19">
        <f t="shared" si="205"/>
        <v>45705.45833</v>
      </c>
      <c r="AT205" s="19">
        <f t="shared" si="205"/>
        <v>45705.47917</v>
      </c>
      <c r="AU205" s="19">
        <f t="shared" si="205"/>
        <v>45705.5</v>
      </c>
      <c r="AV205" s="19">
        <f t="shared" si="205"/>
        <v>45705.52083</v>
      </c>
      <c r="AW205" s="19">
        <f t="shared" si="205"/>
        <v>45705.54167</v>
      </c>
      <c r="AX205" s="19">
        <f t="shared" si="205"/>
        <v>45705.5625</v>
      </c>
      <c r="AY205" s="19">
        <f t="shared" si="205"/>
        <v>45705.58333</v>
      </c>
      <c r="AZ205" s="19">
        <f t="shared" si="205"/>
        <v>45705.60417</v>
      </c>
      <c r="BA205" s="19">
        <f t="shared" si="205"/>
        <v>45705.625</v>
      </c>
      <c r="BB205" s="19">
        <f t="shared" si="205"/>
        <v>45705.64583</v>
      </c>
      <c r="BC205" s="19">
        <f t="shared" si="205"/>
        <v>45705.66667</v>
      </c>
      <c r="BD205" s="19">
        <f t="shared" si="205"/>
        <v>45705.6875</v>
      </c>
      <c r="BE205" s="19">
        <f t="shared" si="205"/>
        <v>45705.70833</v>
      </c>
      <c r="BF205" s="19">
        <f t="shared" si="205"/>
        <v>45705.72917</v>
      </c>
      <c r="BG205" s="19">
        <f t="shared" si="205"/>
        <v>45705.75</v>
      </c>
      <c r="BH205" s="19">
        <f t="shared" si="205"/>
        <v>45705.77083</v>
      </c>
      <c r="BI205" s="19">
        <f t="shared" si="205"/>
        <v>45705.79167</v>
      </c>
      <c r="BJ205" s="19">
        <f t="shared" si="205"/>
        <v>45705.8125</v>
      </c>
      <c r="BK205" s="19">
        <f t="shared" si="205"/>
        <v>45705.83333</v>
      </c>
      <c r="BL205" s="19">
        <f t="shared" si="205"/>
        <v>45705.85417</v>
      </c>
      <c r="BM205" s="19">
        <f t="shared" si="205"/>
        <v>45705.875</v>
      </c>
      <c r="BN205" s="19">
        <f t="shared" si="205"/>
        <v>45705.89583</v>
      </c>
      <c r="BO205" s="19">
        <f t="shared" si="205"/>
        <v>45705.91667</v>
      </c>
      <c r="BP205" s="19">
        <f t="shared" si="205"/>
        <v>45705.9375</v>
      </c>
      <c r="BQ205" s="19">
        <f t="shared" si="205"/>
        <v>45705.95833</v>
      </c>
      <c r="BR205" s="19">
        <f t="shared" si="205"/>
        <v>45705.97917</v>
      </c>
      <c r="BS205" s="19">
        <f t="shared" si="205"/>
        <v>45706</v>
      </c>
      <c r="BT205" s="19">
        <f t="shared" si="205"/>
        <v>45706.02083</v>
      </c>
      <c r="BU205" s="19">
        <f t="shared" si="205"/>
        <v>45706.04167</v>
      </c>
      <c r="BV205" s="19">
        <f t="shared" si="205"/>
        <v>45706.0625</v>
      </c>
      <c r="BW205" s="19">
        <f t="shared" si="205"/>
        <v>45706.08333</v>
      </c>
      <c r="BX205" s="19">
        <f t="shared" si="205"/>
        <v>45705</v>
      </c>
      <c r="BY205" s="19">
        <f t="shared" si="205"/>
        <v>45705</v>
      </c>
      <c r="BZ205" s="19">
        <f t="shared" si="205"/>
        <v>45705</v>
      </c>
    </row>
    <row r="206" ht="14.25" customHeight="1">
      <c r="A206" s="17">
        <v>45706.0</v>
      </c>
      <c r="B206" s="2" t="str">
        <f t="array" ref="B206">IF(NOW()&gt;AM206,"",IF(AND((WEEKDAY($A206)+$B$2)&gt;1,((WEEKDAY($A206)+$T$2)&lt;7),(WEEKDAY($A206)&lt;&gt;1)),"work",(INDEX(Subject!$A:$I,MATCH(RANDBETWEEN(1,(MAX(Subject!$B:$B))),Subject!$B:$B,0),3))))</f>
        <v/>
      </c>
      <c r="C206" s="2" t="str">
        <f t="array" ref="C206">IF(NOW()&gt;AN206,"",IF(AND((WEEKDAY($A206)+$B$2)&gt;1,((WEEKDAY($A206)+$T$2)&lt;7),(WEEKDAY($A206)&lt;&gt;1)),"work",(INDEX(Subject!$A:$I,MATCH(RANDBETWEEN(1,(MAX(Subject!$B:$B))),Subject!$B:$B,0),3))))</f>
        <v/>
      </c>
      <c r="D206" s="2" t="str">
        <f t="array" ref="D206">IF(NOW()&gt;AO206,"",IF(AND((WEEKDAY($A206)+$B$2)&gt;1,((WEEKDAY($A206)+$T$2)&lt;7),(WEEKDAY($A206)&lt;&gt;1)),"work",(INDEX(Subject!$A:$I,MATCH(RANDBETWEEN(1,(MAX(Subject!$B:$B))),Subject!$B:$B,0),3))))</f>
        <v/>
      </c>
      <c r="E206" s="2" t="str">
        <f t="array" ref="E206">IF(NOW()&gt;AP206,"",IF(AND((WEEKDAY($A206)+$B$2)&gt;1,((WEEKDAY($A206)+$T$2)&lt;7),(WEEKDAY($A206)&lt;&gt;1)),"work",(INDEX(Subject!$A:$I,MATCH(RANDBETWEEN(1,(MAX(Subject!$B:$B))),Subject!$B:$B,0),3))))</f>
        <v/>
      </c>
      <c r="F206" s="2" t="str">
        <f t="array" ref="F206">IF(NOW()&gt;AQ206,"",IF(AND((WEEKDAY($A206)+$B$2)&gt;1,((WEEKDAY($A206)+$T$2)&lt;7),(WEEKDAY($A206)&lt;&gt;1)),"work",(INDEX(Subject!$A:$I,MATCH(RANDBETWEEN(1,(MAX(Subject!$B:$B))),Subject!$B:$B,0),3))))</f>
        <v/>
      </c>
      <c r="G206" s="2" t="str">
        <f t="array" ref="G206">IF(NOW()&gt;AR206,"",IF(AND((WEEKDAY($A206)+$B$2)&gt;1,((WEEKDAY($A206)+$T$2)&lt;7),(WEEKDAY($A206)&lt;&gt;1)),"work",(INDEX(Subject!$A:$I,MATCH(RANDBETWEEN(1,(MAX(Subject!$B:$B))),Subject!$B:$B,0),3))))</f>
        <v/>
      </c>
      <c r="H206" s="2" t="str">
        <f t="array" ref="H206">IF(NOW()&gt;AS206,"",IF(AND((WEEKDAY($A206)+$B$2)&gt;1,((WEEKDAY($A206)+$T$2)&lt;7),(WEEKDAY($A206)&lt;&gt;1)),"work",(INDEX(Subject!$A:$I,MATCH(RANDBETWEEN(1,(MAX(Subject!$B:$B))),Subject!$B:$B,0),3))))</f>
        <v/>
      </c>
      <c r="I206" s="2" t="str">
        <f t="array" ref="I206">IF(NOW()&gt;AT206,"",IF(AND((WEEKDAY($A206)+$B$2)&gt;1,((WEEKDAY($A206)+$T$2)&lt;7),(WEEKDAY($A206)&lt;&gt;1)),"work",(INDEX(Subject!$A:$I,MATCH(RANDBETWEEN(1,(MAX(Subject!$B:$B))),Subject!$B:$B,0),3))))</f>
        <v/>
      </c>
      <c r="J206" s="2" t="str">
        <f t="array" ref="J206">IF(NOW()&gt;AU206,"",IF(AND((WEEKDAY($A206)+$B$2)&gt;1,((WEEKDAY($A206)+$T$2)&lt;7),(WEEKDAY($A206)&lt;&gt;1)),"work",(INDEX(Subject!$A:$I,MATCH(RANDBETWEEN(1,(MAX(Subject!$B:$B))),Subject!$B:$B,0),3))))</f>
        <v/>
      </c>
      <c r="K206" s="2" t="str">
        <f t="array" ref="K206">IF(NOW()&gt;AV206,"",IF(AND((WEEKDAY($A206)+$B$2)&gt;1,((WEEKDAY($A206)+$T$2)&lt;7),(WEEKDAY($A206)&lt;&gt;1)),"work",(INDEX(Subject!$A:$I,MATCH(RANDBETWEEN(1,(MAX(Subject!$B:$B))),Subject!$B:$B,0),3))))</f>
        <v/>
      </c>
      <c r="L206" s="2" t="str">
        <f t="array" ref="L206">IF(NOW()&gt;AW206,"",IF(AND((WEEKDAY($A206)+$B$2)&gt;1,((WEEKDAY($A206)+$T$2)&lt;7),(WEEKDAY($A206)&lt;&gt;1)),"work",(INDEX(Subject!$A:$I,MATCH(RANDBETWEEN(1,(MAX(Subject!$B:$B))),Subject!$B:$B,0),3))))</f>
        <v/>
      </c>
      <c r="M206" s="2" t="str">
        <f t="array" ref="M206">IF(NOW()&gt;AX206,"",IF(AND((WEEKDAY($A206)+$B$2)&gt;1,((WEEKDAY($A206)+$T$2)&lt;7),(WEEKDAY($A206)&lt;&gt;1)),"work",(INDEX(Subject!$A:$I,MATCH(RANDBETWEEN(1,(MAX(Subject!$B:$B))),Subject!$B:$B,0),3))))</f>
        <v/>
      </c>
      <c r="N206" s="2" t="str">
        <f t="array" ref="N206">IF(NOW()&gt;AY206,"",IF(AND((WEEKDAY($A206)+$B$2)&gt;1,((WEEKDAY($A206)+$T$2)&lt;7),(WEEKDAY($A206)&lt;&gt;1)),"work",(INDEX(Subject!$A:$I,MATCH(RANDBETWEEN(1,(MAX(Subject!$B:$B))),Subject!$B:$B,0),3))))</f>
        <v/>
      </c>
      <c r="O206" s="2" t="str">
        <f t="array" ref="O206">IF(NOW()&gt;AZ206,"",IF(AND((WEEKDAY($A206)+$B$2)&gt;1,((WEEKDAY($A206)+$T$2)&lt;7),(WEEKDAY($A206)&lt;&gt;1)),"work",(INDEX(Subject!$A:$I,MATCH(RANDBETWEEN(1,(MAX(Subject!$B:$B))),Subject!$B:$B,0),3))))</f>
        <v/>
      </c>
      <c r="P206" s="2" t="str">
        <f t="array" ref="P206">IF(NOW()&gt;BA206,"",IF(AND((WEEKDAY($A206)+$B$2)&gt;1,((WEEKDAY($A206)+$T$2)&lt;7),(WEEKDAY($A206)&lt;&gt;1)),"work",(INDEX(Subject!$A:$I,MATCH(RANDBETWEEN(1,(MAX(Subject!$B:$B))),Subject!$B:$B,0),3))))</f>
        <v/>
      </c>
      <c r="Q206" s="2" t="str">
        <f t="array" ref="Q206">IF(NOW()&gt;BB206,"",IF(AND((WEEKDAY($A206)+$B$2)&gt;1,((WEEKDAY($A206)+$T$2)&lt;7),(WEEKDAY($A206)&lt;&gt;1)),"work",(INDEX(Subject!$A:$I,MATCH(RANDBETWEEN(1,(MAX(Subject!$B:$B))),Subject!$B:$B,0),3))))</f>
        <v/>
      </c>
      <c r="R206" s="2" t="str">
        <f t="array" ref="R206">IF(NOW()&gt;BC206,"",IF(AND((WEEKDAY($A206)+$B$2)&gt;1,((WEEKDAY($A206)+$T$2)&lt;7),(WEEKDAY($A206)&lt;&gt;1)),"work",(INDEX(Subject!$A:$I,MATCH(RANDBETWEEN(1,(MAX(Subject!$B:$B))),Subject!$B:$B,0),3))))</f>
        <v/>
      </c>
      <c r="S206" s="2" t="str">
        <f t="array" ref="S206">IF(NOW()&gt;BD206,"",IF(AND((WEEKDAY($A206)+$B$2)&gt;1,((WEEKDAY($A206)+$T$2)&lt;7),(WEEKDAY($A206)&lt;&gt;1)),"work",(INDEX(Subject!$A:$I,MATCH(RANDBETWEEN(1,(MAX(Subject!$B:$B))),Subject!$B:$B,0),3))))</f>
        <v/>
      </c>
      <c r="T206" s="2" t="str">
        <f t="array" ref="T206">IF(NOW()&gt;BE206,"",IF(AND((WEEKDAY($A206)+$B$2)&gt;1,((WEEKDAY($A206)+$T$2)&lt;7),(WEEKDAY($A206)&lt;&gt;1)),"work",(INDEX(Subject!$A:$I,MATCH(RANDBETWEEN(1,(MAX(Subject!$B:$B))),Subject!$B:$B,0),3))))</f>
        <v/>
      </c>
      <c r="U206" s="8" t="str">
        <f t="array" ref="U206">INDEX(Subject!$A:$I,MATCH(RANDBETWEEN(1,16),Subject!$B:$B,0),3)</f>
        <v>#N/A</v>
      </c>
      <c r="V206" s="8" t="str">
        <f t="array" ref="V206">INDEX(Subject!$A:$I,MATCH(RANDBETWEEN(1,16),Subject!$B:$B,0),3)</f>
        <v>#N/A</v>
      </c>
      <c r="W206" s="8" t="str">
        <f t="array" ref="W206">INDEX(Subject!$A:$I,MATCH(RANDBETWEEN(1,16),Subject!$B:$B,0),3)</f>
        <v>#N/A</v>
      </c>
      <c r="X206" s="8" t="str">
        <f t="array" ref="X206">INDEX(Subject!$A:$I,MATCH(RANDBETWEEN(1,16),Subject!$B:$B,0),3)</f>
        <v>#N/A</v>
      </c>
      <c r="Y206" s="8" t="str">
        <f t="array" ref="Y206">INDEX(Subject!$A:$I,MATCH(RANDBETWEEN(1,16),Subject!$B:$B,0),3)</f>
        <v>#N/A</v>
      </c>
      <c r="Z206" s="8" t="str">
        <f t="array" ref="Z206">INDEX(Subject!$A:$I,MATCH(RANDBETWEEN(1,16),Subject!$B:$B,0),3)</f>
        <v>#N/A</v>
      </c>
      <c r="AA206" s="8" t="str">
        <f t="array" ref="AA206">INDEX(Subject!$A:$I,MATCH(RANDBETWEEN(1,16),Subject!$B:$B,0),3)</f>
        <v>#N/A</v>
      </c>
      <c r="AB206" s="8" t="str">
        <f t="array" ref="AB206">INDEX(Subject!$A:$I,MATCH(RANDBETWEEN(1,16),Subject!$B:$B,0),3)</f>
        <v>#N/A</v>
      </c>
      <c r="AC206" s="8" t="str">
        <f t="array" ref="AC206">INDEX(Subject!$A:$I,MATCH(RANDBETWEEN(1,16),Subject!$B:$B,0),3)</f>
        <v>#N/A</v>
      </c>
      <c r="AD206" s="8" t="str">
        <f t="array" ref="AD206">INDEX(Subject!$A:$I,MATCH(RANDBETWEEN(1,16),Subject!$B:$B,0),3)</f>
        <v>#N/A</v>
      </c>
      <c r="AE206" s="8" t="str">
        <f t="array" ref="AE206">INDEX(Subject!$A:$I,MATCH(RANDBETWEEN(1,16),Subject!$B:$B,0),3)</f>
        <v>#N/A</v>
      </c>
      <c r="AF206" s="8" t="str">
        <f t="array" ref="AF206">INDEX(Subject!$A:$I,MATCH(RANDBETWEEN(1,16),Subject!$B:$B,0),3)</f>
        <v>#N/A</v>
      </c>
      <c r="AG206" s="8" t="str">
        <f t="array" ref="AG206">INDEX(Subject!$A:$I,MATCH(RANDBETWEEN(1,16),Subject!$B:$B,0),3)</f>
        <v>#N/A</v>
      </c>
      <c r="AH206" s="8" t="str">
        <f t="array" ref="AH206">INDEX(Subject!$A:$I,MATCH(RANDBETWEEN(1,16),Subject!$B:$B,0),3)</f>
        <v>#N/A</v>
      </c>
      <c r="AI206" s="8" t="str">
        <f t="array" ref="AI206">INDEX(Subject!$A:$I,MATCH(RANDBETWEEN(1,16),Subject!$B:$B,0),3)</f>
        <v>#N/A</v>
      </c>
      <c r="AJ206" s="8" t="str">
        <f t="array" ref="AJ206">INDEX(Subject!$A:$I,MATCH(RANDBETWEEN(1,16),Subject!$B:$B,0),3)</f>
        <v>#N/A</v>
      </c>
      <c r="AK206" s="8" t="str">
        <f t="array" ref="AK206">INDEX(Subject!$A:$I,MATCH(RANDBETWEEN(1,16),Subject!$B:$B,0),3)</f>
        <v>#N/A</v>
      </c>
      <c r="AL206" s="8" t="str">
        <f t="array" ref="AL206">INDEX(Subject!$A:$I,MATCH(RANDBETWEEN(1,16),Subject!$B:$B,0),3)</f>
        <v>#N/A</v>
      </c>
      <c r="AM206" s="18">
        <f t="shared" si="4"/>
        <v>45706.33333</v>
      </c>
      <c r="AN206" s="19">
        <f t="shared" ref="AN206:BZ206" si="206">$A206+C$1</f>
        <v>45706.35417</v>
      </c>
      <c r="AO206" s="19">
        <f t="shared" si="206"/>
        <v>45706.375</v>
      </c>
      <c r="AP206" s="19">
        <f t="shared" si="206"/>
        <v>45706.39583</v>
      </c>
      <c r="AQ206" s="19">
        <f t="shared" si="206"/>
        <v>45706.41667</v>
      </c>
      <c r="AR206" s="19">
        <f t="shared" si="206"/>
        <v>45706.4375</v>
      </c>
      <c r="AS206" s="19">
        <f t="shared" si="206"/>
        <v>45706.45833</v>
      </c>
      <c r="AT206" s="19">
        <f t="shared" si="206"/>
        <v>45706.47917</v>
      </c>
      <c r="AU206" s="19">
        <f t="shared" si="206"/>
        <v>45706.5</v>
      </c>
      <c r="AV206" s="19">
        <f t="shared" si="206"/>
        <v>45706.52083</v>
      </c>
      <c r="AW206" s="19">
        <f t="shared" si="206"/>
        <v>45706.54167</v>
      </c>
      <c r="AX206" s="19">
        <f t="shared" si="206"/>
        <v>45706.5625</v>
      </c>
      <c r="AY206" s="19">
        <f t="shared" si="206"/>
        <v>45706.58333</v>
      </c>
      <c r="AZ206" s="19">
        <f t="shared" si="206"/>
        <v>45706.60417</v>
      </c>
      <c r="BA206" s="19">
        <f t="shared" si="206"/>
        <v>45706.625</v>
      </c>
      <c r="BB206" s="19">
        <f t="shared" si="206"/>
        <v>45706.64583</v>
      </c>
      <c r="BC206" s="19">
        <f t="shared" si="206"/>
        <v>45706.66667</v>
      </c>
      <c r="BD206" s="19">
        <f t="shared" si="206"/>
        <v>45706.6875</v>
      </c>
      <c r="BE206" s="19">
        <f t="shared" si="206"/>
        <v>45706.70833</v>
      </c>
      <c r="BF206" s="19">
        <f t="shared" si="206"/>
        <v>45706.72917</v>
      </c>
      <c r="BG206" s="19">
        <f t="shared" si="206"/>
        <v>45706.75</v>
      </c>
      <c r="BH206" s="19">
        <f t="shared" si="206"/>
        <v>45706.77083</v>
      </c>
      <c r="BI206" s="19">
        <f t="shared" si="206"/>
        <v>45706.79167</v>
      </c>
      <c r="BJ206" s="19">
        <f t="shared" si="206"/>
        <v>45706.8125</v>
      </c>
      <c r="BK206" s="19">
        <f t="shared" si="206"/>
        <v>45706.83333</v>
      </c>
      <c r="BL206" s="19">
        <f t="shared" si="206"/>
        <v>45706.85417</v>
      </c>
      <c r="BM206" s="19">
        <f t="shared" si="206"/>
        <v>45706.875</v>
      </c>
      <c r="BN206" s="19">
        <f t="shared" si="206"/>
        <v>45706.89583</v>
      </c>
      <c r="BO206" s="19">
        <f t="shared" si="206"/>
        <v>45706.91667</v>
      </c>
      <c r="BP206" s="19">
        <f t="shared" si="206"/>
        <v>45706.9375</v>
      </c>
      <c r="BQ206" s="19">
        <f t="shared" si="206"/>
        <v>45706.95833</v>
      </c>
      <c r="BR206" s="19">
        <f t="shared" si="206"/>
        <v>45706.97917</v>
      </c>
      <c r="BS206" s="19">
        <f t="shared" si="206"/>
        <v>45707</v>
      </c>
      <c r="BT206" s="19">
        <f t="shared" si="206"/>
        <v>45707.02083</v>
      </c>
      <c r="BU206" s="19">
        <f t="shared" si="206"/>
        <v>45707.04167</v>
      </c>
      <c r="BV206" s="19">
        <f t="shared" si="206"/>
        <v>45707.0625</v>
      </c>
      <c r="BW206" s="19">
        <f t="shared" si="206"/>
        <v>45707.08333</v>
      </c>
      <c r="BX206" s="19">
        <f t="shared" si="206"/>
        <v>45706</v>
      </c>
      <c r="BY206" s="19">
        <f t="shared" si="206"/>
        <v>45706</v>
      </c>
      <c r="BZ206" s="19">
        <f t="shared" si="206"/>
        <v>45706</v>
      </c>
    </row>
    <row r="207" ht="14.25" customHeight="1">
      <c r="A207" s="17">
        <v>45707.0</v>
      </c>
      <c r="B207" s="2" t="str">
        <f t="array" ref="B207">IF(NOW()&gt;AM207,"",IF(AND((WEEKDAY($A207)+$B$2)&gt;1,((WEEKDAY($A207)+$T$2)&lt;7),(WEEKDAY($A207)&lt;&gt;1)),"work",(INDEX(Subject!$A:$I,MATCH(RANDBETWEEN(1,(MAX(Subject!$B:$B))),Subject!$B:$B,0),3))))</f>
        <v/>
      </c>
      <c r="C207" s="2" t="str">
        <f t="array" ref="C207">IF(NOW()&gt;AN207,"",IF(AND((WEEKDAY($A207)+$B$2)&gt;1,((WEEKDAY($A207)+$T$2)&lt;7),(WEEKDAY($A207)&lt;&gt;1)),"work",(INDEX(Subject!$A:$I,MATCH(RANDBETWEEN(1,(MAX(Subject!$B:$B))),Subject!$B:$B,0),3))))</f>
        <v/>
      </c>
      <c r="D207" s="2" t="str">
        <f t="array" ref="D207">IF(NOW()&gt;AO207,"",IF(AND((WEEKDAY($A207)+$B$2)&gt;1,((WEEKDAY($A207)+$T$2)&lt;7),(WEEKDAY($A207)&lt;&gt;1)),"work",(INDEX(Subject!$A:$I,MATCH(RANDBETWEEN(1,(MAX(Subject!$B:$B))),Subject!$B:$B,0),3))))</f>
        <v/>
      </c>
      <c r="E207" s="2" t="str">
        <f t="array" ref="E207">IF(NOW()&gt;AP207,"",IF(AND((WEEKDAY($A207)+$B$2)&gt;1,((WEEKDAY($A207)+$T$2)&lt;7),(WEEKDAY($A207)&lt;&gt;1)),"work",(INDEX(Subject!$A:$I,MATCH(RANDBETWEEN(1,(MAX(Subject!$B:$B))),Subject!$B:$B,0),3))))</f>
        <v/>
      </c>
      <c r="F207" s="2" t="str">
        <f t="array" ref="F207">IF(NOW()&gt;AQ207,"",IF(AND((WEEKDAY($A207)+$B$2)&gt;1,((WEEKDAY($A207)+$T$2)&lt;7),(WEEKDAY($A207)&lt;&gt;1)),"work",(INDEX(Subject!$A:$I,MATCH(RANDBETWEEN(1,(MAX(Subject!$B:$B))),Subject!$B:$B,0),3))))</f>
        <v/>
      </c>
      <c r="G207" s="2" t="str">
        <f t="array" ref="G207">IF(NOW()&gt;AR207,"",IF(AND((WEEKDAY($A207)+$B$2)&gt;1,((WEEKDAY($A207)+$T$2)&lt;7),(WEEKDAY($A207)&lt;&gt;1)),"work",(INDEX(Subject!$A:$I,MATCH(RANDBETWEEN(1,(MAX(Subject!$B:$B))),Subject!$B:$B,0),3))))</f>
        <v/>
      </c>
      <c r="H207" s="2" t="str">
        <f t="array" ref="H207">IF(NOW()&gt;AS207,"",IF(AND((WEEKDAY($A207)+$B$2)&gt;1,((WEEKDAY($A207)+$T$2)&lt;7),(WEEKDAY($A207)&lt;&gt;1)),"work",(INDEX(Subject!$A:$I,MATCH(RANDBETWEEN(1,(MAX(Subject!$B:$B))),Subject!$B:$B,0),3))))</f>
        <v/>
      </c>
      <c r="I207" s="2" t="str">
        <f t="array" ref="I207">IF(NOW()&gt;AT207,"",IF(AND((WEEKDAY($A207)+$B$2)&gt;1,((WEEKDAY($A207)+$T$2)&lt;7),(WEEKDAY($A207)&lt;&gt;1)),"work",(INDEX(Subject!$A:$I,MATCH(RANDBETWEEN(1,(MAX(Subject!$B:$B))),Subject!$B:$B,0),3))))</f>
        <v/>
      </c>
      <c r="J207" s="2" t="str">
        <f t="array" ref="J207">IF(NOW()&gt;AU207,"",IF(AND((WEEKDAY($A207)+$B$2)&gt;1,((WEEKDAY($A207)+$T$2)&lt;7),(WEEKDAY($A207)&lt;&gt;1)),"work",(INDEX(Subject!$A:$I,MATCH(RANDBETWEEN(1,(MAX(Subject!$B:$B))),Subject!$B:$B,0),3))))</f>
        <v/>
      </c>
      <c r="K207" s="2" t="str">
        <f t="array" ref="K207">IF(NOW()&gt;AV207,"",IF(AND((WEEKDAY($A207)+$B$2)&gt;1,((WEEKDAY($A207)+$T$2)&lt;7),(WEEKDAY($A207)&lt;&gt;1)),"work",(INDEX(Subject!$A:$I,MATCH(RANDBETWEEN(1,(MAX(Subject!$B:$B))),Subject!$B:$B,0),3))))</f>
        <v/>
      </c>
      <c r="L207" s="2" t="str">
        <f t="array" ref="L207">IF(NOW()&gt;AW207,"",IF(AND((WEEKDAY($A207)+$B$2)&gt;1,((WEEKDAY($A207)+$T$2)&lt;7),(WEEKDAY($A207)&lt;&gt;1)),"work",(INDEX(Subject!$A:$I,MATCH(RANDBETWEEN(1,(MAX(Subject!$B:$B))),Subject!$B:$B,0),3))))</f>
        <v/>
      </c>
      <c r="M207" s="2" t="str">
        <f t="array" ref="M207">IF(NOW()&gt;AX207,"",IF(AND((WEEKDAY($A207)+$B$2)&gt;1,((WEEKDAY($A207)+$T$2)&lt;7),(WEEKDAY($A207)&lt;&gt;1)),"work",(INDEX(Subject!$A:$I,MATCH(RANDBETWEEN(1,(MAX(Subject!$B:$B))),Subject!$B:$B,0),3))))</f>
        <v/>
      </c>
      <c r="N207" s="2" t="str">
        <f t="array" ref="N207">IF(NOW()&gt;AY207,"",IF(AND((WEEKDAY($A207)+$B$2)&gt;1,((WEEKDAY($A207)+$T$2)&lt;7),(WEEKDAY($A207)&lt;&gt;1)),"work",(INDEX(Subject!$A:$I,MATCH(RANDBETWEEN(1,(MAX(Subject!$B:$B))),Subject!$B:$B,0),3))))</f>
        <v/>
      </c>
      <c r="O207" s="2" t="str">
        <f t="array" ref="O207">IF(NOW()&gt;AZ207,"",IF(AND((WEEKDAY($A207)+$B$2)&gt;1,((WEEKDAY($A207)+$T$2)&lt;7),(WEEKDAY($A207)&lt;&gt;1)),"work",(INDEX(Subject!$A:$I,MATCH(RANDBETWEEN(1,(MAX(Subject!$B:$B))),Subject!$B:$B,0),3))))</f>
        <v/>
      </c>
      <c r="P207" s="2" t="str">
        <f t="array" ref="P207">IF(NOW()&gt;BA207,"",IF(AND((WEEKDAY($A207)+$B$2)&gt;1,((WEEKDAY($A207)+$T$2)&lt;7),(WEEKDAY($A207)&lt;&gt;1)),"work",(INDEX(Subject!$A:$I,MATCH(RANDBETWEEN(1,(MAX(Subject!$B:$B))),Subject!$B:$B,0),3))))</f>
        <v/>
      </c>
      <c r="Q207" s="2" t="str">
        <f t="array" ref="Q207">IF(NOW()&gt;BB207,"",IF(AND((WEEKDAY($A207)+$B$2)&gt;1,((WEEKDAY($A207)+$T$2)&lt;7),(WEEKDAY($A207)&lt;&gt;1)),"work",(INDEX(Subject!$A:$I,MATCH(RANDBETWEEN(1,(MAX(Subject!$B:$B))),Subject!$B:$B,0),3))))</f>
        <v/>
      </c>
      <c r="R207" s="2" t="str">
        <f t="array" ref="R207">IF(NOW()&gt;BC207,"",IF(AND((WEEKDAY($A207)+$B$2)&gt;1,((WEEKDAY($A207)+$T$2)&lt;7),(WEEKDAY($A207)&lt;&gt;1)),"work",(INDEX(Subject!$A:$I,MATCH(RANDBETWEEN(1,(MAX(Subject!$B:$B))),Subject!$B:$B,0),3))))</f>
        <v/>
      </c>
      <c r="S207" s="2" t="str">
        <f t="array" ref="S207">IF(NOW()&gt;BD207,"",IF(AND((WEEKDAY($A207)+$B$2)&gt;1,((WEEKDAY($A207)+$T$2)&lt;7),(WEEKDAY($A207)&lt;&gt;1)),"work",(INDEX(Subject!$A:$I,MATCH(RANDBETWEEN(1,(MAX(Subject!$B:$B))),Subject!$B:$B,0),3))))</f>
        <v/>
      </c>
      <c r="T207" s="2" t="str">
        <f t="array" ref="T207">IF(NOW()&gt;BE207,"",IF(AND((WEEKDAY($A207)+$B$2)&gt;1,((WEEKDAY($A207)+$T$2)&lt;7),(WEEKDAY($A207)&lt;&gt;1)),"work",(INDEX(Subject!$A:$I,MATCH(RANDBETWEEN(1,(MAX(Subject!$B:$B))),Subject!$B:$B,0),3))))</f>
        <v/>
      </c>
      <c r="U207" s="8" t="str">
        <f t="array" ref="U207">INDEX(Subject!$A:$I,MATCH(RANDBETWEEN(1,16),Subject!$B:$B,0),3)</f>
        <v>#N/A</v>
      </c>
      <c r="V207" s="8" t="str">
        <f t="array" ref="V207">INDEX(Subject!$A:$I,MATCH(RANDBETWEEN(1,16),Subject!$B:$B,0),3)</f>
        <v>#N/A</v>
      </c>
      <c r="W207" s="8" t="str">
        <f t="array" ref="W207">INDEX(Subject!$A:$I,MATCH(RANDBETWEEN(1,16),Subject!$B:$B,0),3)</f>
        <v>#N/A</v>
      </c>
      <c r="X207" s="8" t="str">
        <f t="array" ref="X207">INDEX(Subject!$A:$I,MATCH(RANDBETWEEN(1,16),Subject!$B:$B,0),3)</f>
        <v>#N/A</v>
      </c>
      <c r="Y207" s="8" t="str">
        <f t="array" ref="Y207">INDEX(Subject!$A:$I,MATCH(RANDBETWEEN(1,16),Subject!$B:$B,0),3)</f>
        <v>#N/A</v>
      </c>
      <c r="Z207" s="8" t="str">
        <f t="array" ref="Z207">INDEX(Subject!$A:$I,MATCH(RANDBETWEEN(1,16),Subject!$B:$B,0),3)</f>
        <v>#N/A</v>
      </c>
      <c r="AA207" s="8" t="str">
        <f t="array" ref="AA207">INDEX(Subject!$A:$I,MATCH(RANDBETWEEN(1,16),Subject!$B:$B,0),3)</f>
        <v/>
      </c>
      <c r="AB207" s="8" t="str">
        <f t="array" ref="AB207">INDEX(Subject!$A:$I,MATCH(RANDBETWEEN(1,16),Subject!$B:$B,0),3)</f>
        <v>#N/A</v>
      </c>
      <c r="AC207" s="8" t="str">
        <f t="array" ref="AC207">INDEX(Subject!$A:$I,MATCH(RANDBETWEEN(1,16),Subject!$B:$B,0),3)</f>
        <v>#N/A</v>
      </c>
      <c r="AD207" s="8" t="str">
        <f t="array" ref="AD207">INDEX(Subject!$A:$I,MATCH(RANDBETWEEN(1,16),Subject!$B:$B,0),3)</f>
        <v>#N/A</v>
      </c>
      <c r="AE207" s="8" t="str">
        <f t="array" ref="AE207">INDEX(Subject!$A:$I,MATCH(RANDBETWEEN(1,16),Subject!$B:$B,0),3)</f>
        <v>#N/A</v>
      </c>
      <c r="AF207" s="8" t="str">
        <f t="array" ref="AF207">INDEX(Subject!$A:$I,MATCH(RANDBETWEEN(1,16),Subject!$B:$B,0),3)</f>
        <v>#N/A</v>
      </c>
      <c r="AG207" s="8" t="str">
        <f t="array" ref="AG207">INDEX(Subject!$A:$I,MATCH(RANDBETWEEN(1,16),Subject!$B:$B,0),3)</f>
        <v>#N/A</v>
      </c>
      <c r="AH207" s="8" t="str">
        <f t="array" ref="AH207">INDEX(Subject!$A:$I,MATCH(RANDBETWEEN(1,16),Subject!$B:$B,0),3)</f>
        <v>#N/A</v>
      </c>
      <c r="AI207" s="8" t="str">
        <f t="array" ref="AI207">INDEX(Subject!$A:$I,MATCH(RANDBETWEEN(1,16),Subject!$B:$B,0),3)</f>
        <v>#N/A</v>
      </c>
      <c r="AJ207" s="8" t="str">
        <f t="array" ref="AJ207">INDEX(Subject!$A:$I,MATCH(RANDBETWEEN(1,16),Subject!$B:$B,0),3)</f>
        <v>#N/A</v>
      </c>
      <c r="AK207" s="8" t="str">
        <f t="array" ref="AK207">INDEX(Subject!$A:$I,MATCH(RANDBETWEEN(1,16),Subject!$B:$B,0),3)</f>
        <v>#N/A</v>
      </c>
      <c r="AL207" s="8" t="str">
        <f t="array" ref="AL207">INDEX(Subject!$A:$I,MATCH(RANDBETWEEN(1,16),Subject!$B:$B,0),3)</f>
        <v>#N/A</v>
      </c>
      <c r="AM207" s="18">
        <f t="shared" si="4"/>
        <v>45707.33333</v>
      </c>
      <c r="AN207" s="19">
        <f t="shared" ref="AN207:BZ207" si="207">$A207+C$1</f>
        <v>45707.35417</v>
      </c>
      <c r="AO207" s="19">
        <f t="shared" si="207"/>
        <v>45707.375</v>
      </c>
      <c r="AP207" s="19">
        <f t="shared" si="207"/>
        <v>45707.39583</v>
      </c>
      <c r="AQ207" s="19">
        <f t="shared" si="207"/>
        <v>45707.41667</v>
      </c>
      <c r="AR207" s="19">
        <f t="shared" si="207"/>
        <v>45707.4375</v>
      </c>
      <c r="AS207" s="19">
        <f t="shared" si="207"/>
        <v>45707.45833</v>
      </c>
      <c r="AT207" s="19">
        <f t="shared" si="207"/>
        <v>45707.47917</v>
      </c>
      <c r="AU207" s="19">
        <f t="shared" si="207"/>
        <v>45707.5</v>
      </c>
      <c r="AV207" s="19">
        <f t="shared" si="207"/>
        <v>45707.52083</v>
      </c>
      <c r="AW207" s="19">
        <f t="shared" si="207"/>
        <v>45707.54167</v>
      </c>
      <c r="AX207" s="19">
        <f t="shared" si="207"/>
        <v>45707.5625</v>
      </c>
      <c r="AY207" s="19">
        <f t="shared" si="207"/>
        <v>45707.58333</v>
      </c>
      <c r="AZ207" s="19">
        <f t="shared" si="207"/>
        <v>45707.60417</v>
      </c>
      <c r="BA207" s="19">
        <f t="shared" si="207"/>
        <v>45707.625</v>
      </c>
      <c r="BB207" s="19">
        <f t="shared" si="207"/>
        <v>45707.64583</v>
      </c>
      <c r="BC207" s="19">
        <f t="shared" si="207"/>
        <v>45707.66667</v>
      </c>
      <c r="BD207" s="19">
        <f t="shared" si="207"/>
        <v>45707.6875</v>
      </c>
      <c r="BE207" s="19">
        <f t="shared" si="207"/>
        <v>45707.70833</v>
      </c>
      <c r="BF207" s="19">
        <f t="shared" si="207"/>
        <v>45707.72917</v>
      </c>
      <c r="BG207" s="19">
        <f t="shared" si="207"/>
        <v>45707.75</v>
      </c>
      <c r="BH207" s="19">
        <f t="shared" si="207"/>
        <v>45707.77083</v>
      </c>
      <c r="BI207" s="19">
        <f t="shared" si="207"/>
        <v>45707.79167</v>
      </c>
      <c r="BJ207" s="19">
        <f t="shared" si="207"/>
        <v>45707.8125</v>
      </c>
      <c r="BK207" s="19">
        <f t="shared" si="207"/>
        <v>45707.83333</v>
      </c>
      <c r="BL207" s="19">
        <f t="shared" si="207"/>
        <v>45707.85417</v>
      </c>
      <c r="BM207" s="19">
        <f t="shared" si="207"/>
        <v>45707.875</v>
      </c>
      <c r="BN207" s="19">
        <f t="shared" si="207"/>
        <v>45707.89583</v>
      </c>
      <c r="BO207" s="19">
        <f t="shared" si="207"/>
        <v>45707.91667</v>
      </c>
      <c r="BP207" s="19">
        <f t="shared" si="207"/>
        <v>45707.9375</v>
      </c>
      <c r="BQ207" s="19">
        <f t="shared" si="207"/>
        <v>45707.95833</v>
      </c>
      <c r="BR207" s="19">
        <f t="shared" si="207"/>
        <v>45707.97917</v>
      </c>
      <c r="BS207" s="19">
        <f t="shared" si="207"/>
        <v>45708</v>
      </c>
      <c r="BT207" s="19">
        <f t="shared" si="207"/>
        <v>45708.02083</v>
      </c>
      <c r="BU207" s="19">
        <f t="shared" si="207"/>
        <v>45708.04167</v>
      </c>
      <c r="BV207" s="19">
        <f t="shared" si="207"/>
        <v>45708.0625</v>
      </c>
      <c r="BW207" s="19">
        <f t="shared" si="207"/>
        <v>45708.08333</v>
      </c>
      <c r="BX207" s="19">
        <f t="shared" si="207"/>
        <v>45707</v>
      </c>
      <c r="BY207" s="19">
        <f t="shared" si="207"/>
        <v>45707</v>
      </c>
      <c r="BZ207" s="19">
        <f t="shared" si="207"/>
        <v>45707</v>
      </c>
    </row>
    <row r="208" ht="14.25" customHeight="1">
      <c r="A208" s="17">
        <v>45708.0</v>
      </c>
      <c r="B208" s="2" t="str">
        <f t="array" ref="B208">IF(NOW()&gt;AM208,"",IF(AND((WEEKDAY($A208)+$B$2)&gt;1,((WEEKDAY($A208)+$T$2)&lt;7),(WEEKDAY($A208)&lt;&gt;1)),"work",(INDEX(Subject!$A:$I,MATCH(RANDBETWEEN(1,(MAX(Subject!$B:$B))),Subject!$B:$B,0),3))))</f>
        <v/>
      </c>
      <c r="C208" s="2" t="str">
        <f t="array" ref="C208">IF(NOW()&gt;AN208,"",IF(AND((WEEKDAY($A208)+$B$2)&gt;1,((WEEKDAY($A208)+$T$2)&lt;7),(WEEKDAY($A208)&lt;&gt;1)),"work",(INDEX(Subject!$A:$I,MATCH(RANDBETWEEN(1,(MAX(Subject!$B:$B))),Subject!$B:$B,0),3))))</f>
        <v/>
      </c>
      <c r="D208" s="2" t="str">
        <f t="array" ref="D208">IF(NOW()&gt;AO208,"",IF(AND((WEEKDAY($A208)+$B$2)&gt;1,((WEEKDAY($A208)+$T$2)&lt;7),(WEEKDAY($A208)&lt;&gt;1)),"work",(INDEX(Subject!$A:$I,MATCH(RANDBETWEEN(1,(MAX(Subject!$B:$B))),Subject!$B:$B,0),3))))</f>
        <v/>
      </c>
      <c r="E208" s="2" t="str">
        <f t="array" ref="E208">IF(NOW()&gt;AP208,"",IF(AND((WEEKDAY($A208)+$B$2)&gt;1,((WEEKDAY($A208)+$T$2)&lt;7),(WEEKDAY($A208)&lt;&gt;1)),"work",(INDEX(Subject!$A:$I,MATCH(RANDBETWEEN(1,(MAX(Subject!$B:$B))),Subject!$B:$B,0),3))))</f>
        <v/>
      </c>
      <c r="F208" s="2" t="str">
        <f t="array" ref="F208">IF(NOW()&gt;AQ208,"",IF(AND((WEEKDAY($A208)+$B$2)&gt;1,((WEEKDAY($A208)+$T$2)&lt;7),(WEEKDAY($A208)&lt;&gt;1)),"work",(INDEX(Subject!$A:$I,MATCH(RANDBETWEEN(1,(MAX(Subject!$B:$B))),Subject!$B:$B,0),3))))</f>
        <v/>
      </c>
      <c r="G208" s="2" t="str">
        <f t="array" ref="G208">IF(NOW()&gt;AR208,"",IF(AND((WEEKDAY($A208)+$B$2)&gt;1,((WEEKDAY($A208)+$T$2)&lt;7),(WEEKDAY($A208)&lt;&gt;1)),"work",(INDEX(Subject!$A:$I,MATCH(RANDBETWEEN(1,(MAX(Subject!$B:$B))),Subject!$B:$B,0),3))))</f>
        <v/>
      </c>
      <c r="H208" s="2" t="str">
        <f t="array" ref="H208">IF(NOW()&gt;AS208,"",IF(AND((WEEKDAY($A208)+$B$2)&gt;1,((WEEKDAY($A208)+$T$2)&lt;7),(WEEKDAY($A208)&lt;&gt;1)),"work",(INDEX(Subject!$A:$I,MATCH(RANDBETWEEN(1,(MAX(Subject!$B:$B))),Subject!$B:$B,0),3))))</f>
        <v/>
      </c>
      <c r="I208" s="2" t="str">
        <f t="array" ref="I208">IF(NOW()&gt;AT208,"",IF(AND((WEEKDAY($A208)+$B$2)&gt;1,((WEEKDAY($A208)+$T$2)&lt;7),(WEEKDAY($A208)&lt;&gt;1)),"work",(INDEX(Subject!$A:$I,MATCH(RANDBETWEEN(1,(MAX(Subject!$B:$B))),Subject!$B:$B,0),3))))</f>
        <v/>
      </c>
      <c r="J208" s="2" t="str">
        <f t="array" ref="J208">IF(NOW()&gt;AU208,"",IF(AND((WEEKDAY($A208)+$B$2)&gt;1,((WEEKDAY($A208)+$T$2)&lt;7),(WEEKDAY($A208)&lt;&gt;1)),"work",(INDEX(Subject!$A:$I,MATCH(RANDBETWEEN(1,(MAX(Subject!$B:$B))),Subject!$B:$B,0),3))))</f>
        <v/>
      </c>
      <c r="K208" s="2" t="str">
        <f t="array" ref="K208">IF(NOW()&gt;AV208,"",IF(AND((WEEKDAY($A208)+$B$2)&gt;1,((WEEKDAY($A208)+$T$2)&lt;7),(WEEKDAY($A208)&lt;&gt;1)),"work",(INDEX(Subject!$A:$I,MATCH(RANDBETWEEN(1,(MAX(Subject!$B:$B))),Subject!$B:$B,0),3))))</f>
        <v/>
      </c>
      <c r="L208" s="2" t="str">
        <f t="array" ref="L208">IF(NOW()&gt;AW208,"",IF(AND((WEEKDAY($A208)+$B$2)&gt;1,((WEEKDAY($A208)+$T$2)&lt;7),(WEEKDAY($A208)&lt;&gt;1)),"work",(INDEX(Subject!$A:$I,MATCH(RANDBETWEEN(1,(MAX(Subject!$B:$B))),Subject!$B:$B,0),3))))</f>
        <v/>
      </c>
      <c r="M208" s="2" t="str">
        <f t="array" ref="M208">IF(NOW()&gt;AX208,"",IF(AND((WEEKDAY($A208)+$B$2)&gt;1,((WEEKDAY($A208)+$T$2)&lt;7),(WEEKDAY($A208)&lt;&gt;1)),"work",(INDEX(Subject!$A:$I,MATCH(RANDBETWEEN(1,(MAX(Subject!$B:$B))),Subject!$B:$B,0),3))))</f>
        <v/>
      </c>
      <c r="N208" s="2" t="str">
        <f t="array" ref="N208">IF(NOW()&gt;AY208,"",IF(AND((WEEKDAY($A208)+$B$2)&gt;1,((WEEKDAY($A208)+$T$2)&lt;7),(WEEKDAY($A208)&lt;&gt;1)),"work",(INDEX(Subject!$A:$I,MATCH(RANDBETWEEN(1,(MAX(Subject!$B:$B))),Subject!$B:$B,0),3))))</f>
        <v/>
      </c>
      <c r="O208" s="2" t="str">
        <f t="array" ref="O208">IF(NOW()&gt;AZ208,"",IF(AND((WEEKDAY($A208)+$B$2)&gt;1,((WEEKDAY($A208)+$T$2)&lt;7),(WEEKDAY($A208)&lt;&gt;1)),"work",(INDEX(Subject!$A:$I,MATCH(RANDBETWEEN(1,(MAX(Subject!$B:$B))),Subject!$B:$B,0),3))))</f>
        <v/>
      </c>
      <c r="P208" s="2" t="str">
        <f t="array" ref="P208">IF(NOW()&gt;BA208,"",IF(AND((WEEKDAY($A208)+$B$2)&gt;1,((WEEKDAY($A208)+$T$2)&lt;7),(WEEKDAY($A208)&lt;&gt;1)),"work",(INDEX(Subject!$A:$I,MATCH(RANDBETWEEN(1,(MAX(Subject!$B:$B))),Subject!$B:$B,0),3))))</f>
        <v/>
      </c>
      <c r="Q208" s="2" t="str">
        <f t="array" ref="Q208">IF(NOW()&gt;BB208,"",IF(AND((WEEKDAY($A208)+$B$2)&gt;1,((WEEKDAY($A208)+$T$2)&lt;7),(WEEKDAY($A208)&lt;&gt;1)),"work",(INDEX(Subject!$A:$I,MATCH(RANDBETWEEN(1,(MAX(Subject!$B:$B))),Subject!$B:$B,0),3))))</f>
        <v/>
      </c>
      <c r="R208" s="2" t="str">
        <f t="array" ref="R208">IF(NOW()&gt;BC208,"",IF(AND((WEEKDAY($A208)+$B$2)&gt;1,((WEEKDAY($A208)+$T$2)&lt;7),(WEEKDAY($A208)&lt;&gt;1)),"work",(INDEX(Subject!$A:$I,MATCH(RANDBETWEEN(1,(MAX(Subject!$B:$B))),Subject!$B:$B,0),3))))</f>
        <v/>
      </c>
      <c r="S208" s="2" t="str">
        <f t="array" ref="S208">IF(NOW()&gt;BD208,"",IF(AND((WEEKDAY($A208)+$B$2)&gt;1,((WEEKDAY($A208)+$T$2)&lt;7),(WEEKDAY($A208)&lt;&gt;1)),"work",(INDEX(Subject!$A:$I,MATCH(RANDBETWEEN(1,(MAX(Subject!$B:$B))),Subject!$B:$B,0),3))))</f>
        <v/>
      </c>
      <c r="T208" s="2" t="str">
        <f t="array" ref="T208">IF(NOW()&gt;BE208,"",IF(AND((WEEKDAY($A208)+$B$2)&gt;1,((WEEKDAY($A208)+$T$2)&lt;7),(WEEKDAY($A208)&lt;&gt;1)),"work",(INDEX(Subject!$A:$I,MATCH(RANDBETWEEN(1,(MAX(Subject!$B:$B))),Subject!$B:$B,0),3))))</f>
        <v/>
      </c>
      <c r="U208" s="8" t="str">
        <f t="array" ref="U208">INDEX(Subject!$A:$I,MATCH(RANDBETWEEN(1,16),Subject!$B:$B,0),3)</f>
        <v>#N/A</v>
      </c>
      <c r="V208" s="8" t="str">
        <f t="array" ref="V208">INDEX(Subject!$A:$I,MATCH(RANDBETWEEN(1,16),Subject!$B:$B,0),3)</f>
        <v>#N/A</v>
      </c>
      <c r="W208" s="8" t="str">
        <f t="array" ref="W208">INDEX(Subject!$A:$I,MATCH(RANDBETWEEN(1,16),Subject!$B:$B,0),3)</f>
        <v>#N/A</v>
      </c>
      <c r="X208" s="8" t="str">
        <f t="array" ref="X208">INDEX(Subject!$A:$I,MATCH(RANDBETWEEN(1,16),Subject!$B:$B,0),3)</f>
        <v>#N/A</v>
      </c>
      <c r="Y208" s="8" t="str">
        <f t="array" ref="Y208">INDEX(Subject!$A:$I,MATCH(RANDBETWEEN(1,16),Subject!$B:$B,0),3)</f>
        <v>#N/A</v>
      </c>
      <c r="Z208" s="8" t="str">
        <f t="array" ref="Z208">INDEX(Subject!$A:$I,MATCH(RANDBETWEEN(1,16),Subject!$B:$B,0),3)</f>
        <v>#N/A</v>
      </c>
      <c r="AA208" s="8" t="str">
        <f t="array" ref="AA208">INDEX(Subject!$A:$I,MATCH(RANDBETWEEN(1,16),Subject!$B:$B,0),3)</f>
        <v>#N/A</v>
      </c>
      <c r="AB208" s="8" t="str">
        <f t="array" ref="AB208">INDEX(Subject!$A:$I,MATCH(RANDBETWEEN(1,16),Subject!$B:$B,0),3)</f>
        <v>#N/A</v>
      </c>
      <c r="AC208" s="8" t="str">
        <f t="array" ref="AC208">INDEX(Subject!$A:$I,MATCH(RANDBETWEEN(1,16),Subject!$B:$B,0),3)</f>
        <v>#N/A</v>
      </c>
      <c r="AD208" s="8" t="str">
        <f t="array" ref="AD208">INDEX(Subject!$A:$I,MATCH(RANDBETWEEN(1,16),Subject!$B:$B,0),3)</f>
        <v>#N/A</v>
      </c>
      <c r="AE208" s="8" t="str">
        <f t="array" ref="AE208">INDEX(Subject!$A:$I,MATCH(RANDBETWEEN(1,16),Subject!$B:$B,0),3)</f>
        <v>#N/A</v>
      </c>
      <c r="AF208" s="8" t="str">
        <f t="array" ref="AF208">INDEX(Subject!$A:$I,MATCH(RANDBETWEEN(1,16),Subject!$B:$B,0),3)</f>
        <v>#N/A</v>
      </c>
      <c r="AG208" s="8" t="str">
        <f t="array" ref="AG208">INDEX(Subject!$A:$I,MATCH(RANDBETWEEN(1,16),Subject!$B:$B,0),3)</f>
        <v/>
      </c>
      <c r="AH208" s="8" t="str">
        <f t="array" ref="AH208">INDEX(Subject!$A:$I,MATCH(RANDBETWEEN(1,16),Subject!$B:$B,0),3)</f>
        <v>#N/A</v>
      </c>
      <c r="AI208" s="8" t="str">
        <f t="array" ref="AI208">INDEX(Subject!$A:$I,MATCH(RANDBETWEEN(1,16),Subject!$B:$B,0),3)</f>
        <v>#N/A</v>
      </c>
      <c r="AJ208" s="8" t="str">
        <f t="array" ref="AJ208">INDEX(Subject!$A:$I,MATCH(RANDBETWEEN(1,16),Subject!$B:$B,0),3)</f>
        <v>#N/A</v>
      </c>
      <c r="AK208" s="8" t="str">
        <f t="array" ref="AK208">INDEX(Subject!$A:$I,MATCH(RANDBETWEEN(1,16),Subject!$B:$B,0),3)</f>
        <v>#N/A</v>
      </c>
      <c r="AL208" s="8" t="str">
        <f t="array" ref="AL208">INDEX(Subject!$A:$I,MATCH(RANDBETWEEN(1,16),Subject!$B:$B,0),3)</f>
        <v>#N/A</v>
      </c>
      <c r="AM208" s="18">
        <f t="shared" si="4"/>
        <v>45708.33333</v>
      </c>
      <c r="AN208" s="19">
        <f t="shared" ref="AN208:BZ208" si="208">$A208+C$1</f>
        <v>45708.35417</v>
      </c>
      <c r="AO208" s="19">
        <f t="shared" si="208"/>
        <v>45708.375</v>
      </c>
      <c r="AP208" s="19">
        <f t="shared" si="208"/>
        <v>45708.39583</v>
      </c>
      <c r="AQ208" s="19">
        <f t="shared" si="208"/>
        <v>45708.41667</v>
      </c>
      <c r="AR208" s="19">
        <f t="shared" si="208"/>
        <v>45708.4375</v>
      </c>
      <c r="AS208" s="19">
        <f t="shared" si="208"/>
        <v>45708.45833</v>
      </c>
      <c r="AT208" s="19">
        <f t="shared" si="208"/>
        <v>45708.47917</v>
      </c>
      <c r="AU208" s="19">
        <f t="shared" si="208"/>
        <v>45708.5</v>
      </c>
      <c r="AV208" s="19">
        <f t="shared" si="208"/>
        <v>45708.52083</v>
      </c>
      <c r="AW208" s="19">
        <f t="shared" si="208"/>
        <v>45708.54167</v>
      </c>
      <c r="AX208" s="19">
        <f t="shared" si="208"/>
        <v>45708.5625</v>
      </c>
      <c r="AY208" s="19">
        <f t="shared" si="208"/>
        <v>45708.58333</v>
      </c>
      <c r="AZ208" s="19">
        <f t="shared" si="208"/>
        <v>45708.60417</v>
      </c>
      <c r="BA208" s="19">
        <f t="shared" si="208"/>
        <v>45708.625</v>
      </c>
      <c r="BB208" s="19">
        <f t="shared" si="208"/>
        <v>45708.64583</v>
      </c>
      <c r="BC208" s="19">
        <f t="shared" si="208"/>
        <v>45708.66667</v>
      </c>
      <c r="BD208" s="19">
        <f t="shared" si="208"/>
        <v>45708.6875</v>
      </c>
      <c r="BE208" s="19">
        <f t="shared" si="208"/>
        <v>45708.70833</v>
      </c>
      <c r="BF208" s="19">
        <f t="shared" si="208"/>
        <v>45708.72917</v>
      </c>
      <c r="BG208" s="19">
        <f t="shared" si="208"/>
        <v>45708.75</v>
      </c>
      <c r="BH208" s="19">
        <f t="shared" si="208"/>
        <v>45708.77083</v>
      </c>
      <c r="BI208" s="19">
        <f t="shared" si="208"/>
        <v>45708.79167</v>
      </c>
      <c r="BJ208" s="19">
        <f t="shared" si="208"/>
        <v>45708.8125</v>
      </c>
      <c r="BK208" s="19">
        <f t="shared" si="208"/>
        <v>45708.83333</v>
      </c>
      <c r="BL208" s="19">
        <f t="shared" si="208"/>
        <v>45708.85417</v>
      </c>
      <c r="BM208" s="19">
        <f t="shared" si="208"/>
        <v>45708.875</v>
      </c>
      <c r="BN208" s="19">
        <f t="shared" si="208"/>
        <v>45708.89583</v>
      </c>
      <c r="BO208" s="19">
        <f t="shared" si="208"/>
        <v>45708.91667</v>
      </c>
      <c r="BP208" s="19">
        <f t="shared" si="208"/>
        <v>45708.9375</v>
      </c>
      <c r="BQ208" s="19">
        <f t="shared" si="208"/>
        <v>45708.95833</v>
      </c>
      <c r="BR208" s="19">
        <f t="shared" si="208"/>
        <v>45708.97917</v>
      </c>
      <c r="BS208" s="19">
        <f t="shared" si="208"/>
        <v>45709</v>
      </c>
      <c r="BT208" s="19">
        <f t="shared" si="208"/>
        <v>45709.02083</v>
      </c>
      <c r="BU208" s="19">
        <f t="shared" si="208"/>
        <v>45709.04167</v>
      </c>
      <c r="BV208" s="19">
        <f t="shared" si="208"/>
        <v>45709.0625</v>
      </c>
      <c r="BW208" s="19">
        <f t="shared" si="208"/>
        <v>45709.08333</v>
      </c>
      <c r="BX208" s="19">
        <f t="shared" si="208"/>
        <v>45708</v>
      </c>
      <c r="BY208" s="19">
        <f t="shared" si="208"/>
        <v>45708</v>
      </c>
      <c r="BZ208" s="19">
        <f t="shared" si="208"/>
        <v>45708</v>
      </c>
    </row>
    <row r="209" ht="14.25" customHeight="1">
      <c r="A209" s="17">
        <v>45709.0</v>
      </c>
      <c r="B209" s="2" t="str">
        <f t="array" ref="B209">IF(NOW()&gt;AM209,"",IF(AND((WEEKDAY($A209)+$B$2)&gt;1,((WEEKDAY($A209)+$T$2)&lt;7),(WEEKDAY($A209)&lt;&gt;1)),"work",(INDEX(Subject!$A:$I,MATCH(RANDBETWEEN(1,(MAX(Subject!$B:$B))),Subject!$B:$B,0),3))))</f>
        <v/>
      </c>
      <c r="C209" s="2" t="str">
        <f t="array" ref="C209">IF(NOW()&gt;AN209,"",IF(AND((WEEKDAY($A209)+$B$2)&gt;1,((WEEKDAY($A209)+$T$2)&lt;7),(WEEKDAY($A209)&lt;&gt;1)),"work",(INDEX(Subject!$A:$I,MATCH(RANDBETWEEN(1,(MAX(Subject!$B:$B))),Subject!$B:$B,0),3))))</f>
        <v/>
      </c>
      <c r="D209" s="2" t="str">
        <f t="array" ref="D209">IF(NOW()&gt;AO209,"",IF(AND((WEEKDAY($A209)+$B$2)&gt;1,((WEEKDAY($A209)+$T$2)&lt;7),(WEEKDAY($A209)&lt;&gt;1)),"work",(INDEX(Subject!$A:$I,MATCH(RANDBETWEEN(1,(MAX(Subject!$B:$B))),Subject!$B:$B,0),3))))</f>
        <v/>
      </c>
      <c r="E209" s="2" t="str">
        <f t="array" ref="E209">IF(NOW()&gt;AP209,"",IF(AND((WEEKDAY($A209)+$B$2)&gt;1,((WEEKDAY($A209)+$T$2)&lt;7),(WEEKDAY($A209)&lt;&gt;1)),"work",(INDEX(Subject!$A:$I,MATCH(RANDBETWEEN(1,(MAX(Subject!$B:$B))),Subject!$B:$B,0),3))))</f>
        <v/>
      </c>
      <c r="F209" s="2" t="str">
        <f t="array" ref="F209">IF(NOW()&gt;AQ209,"",IF(AND((WEEKDAY($A209)+$B$2)&gt;1,((WEEKDAY($A209)+$T$2)&lt;7),(WEEKDAY($A209)&lt;&gt;1)),"work",(INDEX(Subject!$A:$I,MATCH(RANDBETWEEN(1,(MAX(Subject!$B:$B))),Subject!$B:$B,0),3))))</f>
        <v/>
      </c>
      <c r="G209" s="2" t="str">
        <f t="array" ref="G209">IF(NOW()&gt;AR209,"",IF(AND((WEEKDAY($A209)+$B$2)&gt;1,((WEEKDAY($A209)+$T$2)&lt;7),(WEEKDAY($A209)&lt;&gt;1)),"work",(INDEX(Subject!$A:$I,MATCH(RANDBETWEEN(1,(MAX(Subject!$B:$B))),Subject!$B:$B,0),3))))</f>
        <v/>
      </c>
      <c r="H209" s="2" t="str">
        <f t="array" ref="H209">IF(NOW()&gt;AS209,"",IF(AND((WEEKDAY($A209)+$B$2)&gt;1,((WEEKDAY($A209)+$T$2)&lt;7),(WEEKDAY($A209)&lt;&gt;1)),"work",(INDEX(Subject!$A:$I,MATCH(RANDBETWEEN(1,(MAX(Subject!$B:$B))),Subject!$B:$B,0),3))))</f>
        <v/>
      </c>
      <c r="I209" s="2" t="str">
        <f t="array" ref="I209">IF(NOW()&gt;AT209,"",IF(AND((WEEKDAY($A209)+$B$2)&gt;1,((WEEKDAY($A209)+$T$2)&lt;7),(WEEKDAY($A209)&lt;&gt;1)),"work",(INDEX(Subject!$A:$I,MATCH(RANDBETWEEN(1,(MAX(Subject!$B:$B))),Subject!$B:$B,0),3))))</f>
        <v/>
      </c>
      <c r="J209" s="2" t="str">
        <f t="array" ref="J209">IF(NOW()&gt;AU209,"",IF(AND((WEEKDAY($A209)+$B$2)&gt;1,((WEEKDAY($A209)+$T$2)&lt;7),(WEEKDAY($A209)&lt;&gt;1)),"work",(INDEX(Subject!$A:$I,MATCH(RANDBETWEEN(1,(MAX(Subject!$B:$B))),Subject!$B:$B,0),3))))</f>
        <v/>
      </c>
      <c r="K209" s="2" t="str">
        <f t="array" ref="K209">IF(NOW()&gt;AV209,"",IF(AND((WEEKDAY($A209)+$B$2)&gt;1,((WEEKDAY($A209)+$T$2)&lt;7),(WEEKDAY($A209)&lt;&gt;1)),"work",(INDEX(Subject!$A:$I,MATCH(RANDBETWEEN(1,(MAX(Subject!$B:$B))),Subject!$B:$B,0),3))))</f>
        <v/>
      </c>
      <c r="L209" s="2" t="str">
        <f t="array" ref="L209">IF(NOW()&gt;AW209,"",IF(AND((WEEKDAY($A209)+$B$2)&gt;1,((WEEKDAY($A209)+$T$2)&lt;7),(WEEKDAY($A209)&lt;&gt;1)),"work",(INDEX(Subject!$A:$I,MATCH(RANDBETWEEN(1,(MAX(Subject!$B:$B))),Subject!$B:$B,0),3))))</f>
        <v/>
      </c>
      <c r="M209" s="2" t="str">
        <f t="array" ref="M209">IF(NOW()&gt;AX209,"",IF(AND((WEEKDAY($A209)+$B$2)&gt;1,((WEEKDAY($A209)+$T$2)&lt;7),(WEEKDAY($A209)&lt;&gt;1)),"work",(INDEX(Subject!$A:$I,MATCH(RANDBETWEEN(1,(MAX(Subject!$B:$B))),Subject!$B:$B,0),3))))</f>
        <v/>
      </c>
      <c r="N209" s="2" t="str">
        <f t="array" ref="N209">IF(NOW()&gt;AY209,"",IF(AND((WEEKDAY($A209)+$B$2)&gt;1,((WEEKDAY($A209)+$T$2)&lt;7),(WEEKDAY($A209)&lt;&gt;1)),"work",(INDEX(Subject!$A:$I,MATCH(RANDBETWEEN(1,(MAX(Subject!$B:$B))),Subject!$B:$B,0),3))))</f>
        <v/>
      </c>
      <c r="O209" s="2" t="str">
        <f t="array" ref="O209">IF(NOW()&gt;AZ209,"",IF(AND((WEEKDAY($A209)+$B$2)&gt;1,((WEEKDAY($A209)+$T$2)&lt;7),(WEEKDAY($A209)&lt;&gt;1)),"work",(INDEX(Subject!$A:$I,MATCH(RANDBETWEEN(1,(MAX(Subject!$B:$B))),Subject!$B:$B,0),3))))</f>
        <v/>
      </c>
      <c r="P209" s="2" t="str">
        <f t="array" ref="P209">IF(NOW()&gt;BA209,"",IF(AND((WEEKDAY($A209)+$B$2)&gt;1,((WEEKDAY($A209)+$T$2)&lt;7),(WEEKDAY($A209)&lt;&gt;1)),"work",(INDEX(Subject!$A:$I,MATCH(RANDBETWEEN(1,(MAX(Subject!$B:$B))),Subject!$B:$B,0),3))))</f>
        <v/>
      </c>
      <c r="Q209" s="2" t="str">
        <f t="array" ref="Q209">IF(NOW()&gt;BB209,"",IF(AND((WEEKDAY($A209)+$B$2)&gt;1,((WEEKDAY($A209)+$T$2)&lt;7),(WEEKDAY($A209)&lt;&gt;1)),"work",(INDEX(Subject!$A:$I,MATCH(RANDBETWEEN(1,(MAX(Subject!$B:$B))),Subject!$B:$B,0),3))))</f>
        <v/>
      </c>
      <c r="R209" s="2" t="str">
        <f t="array" ref="R209">IF(NOW()&gt;BC209,"",IF(AND((WEEKDAY($A209)+$B$2)&gt;1,((WEEKDAY($A209)+$T$2)&lt;7),(WEEKDAY($A209)&lt;&gt;1)),"work",(INDEX(Subject!$A:$I,MATCH(RANDBETWEEN(1,(MAX(Subject!$B:$B))),Subject!$B:$B,0),3))))</f>
        <v/>
      </c>
      <c r="S209" s="2" t="str">
        <f t="array" ref="S209">IF(NOW()&gt;BD209,"",IF(AND((WEEKDAY($A209)+$B$2)&gt;1,((WEEKDAY($A209)+$T$2)&lt;7),(WEEKDAY($A209)&lt;&gt;1)),"work",(INDEX(Subject!$A:$I,MATCH(RANDBETWEEN(1,(MAX(Subject!$B:$B))),Subject!$B:$B,0),3))))</f>
        <v/>
      </c>
      <c r="T209" s="2" t="str">
        <f t="array" ref="T209">IF(NOW()&gt;BE209,"",IF(AND((WEEKDAY($A209)+$B$2)&gt;1,((WEEKDAY($A209)+$T$2)&lt;7),(WEEKDAY($A209)&lt;&gt;1)),"work",(INDEX(Subject!$A:$I,MATCH(RANDBETWEEN(1,(MAX(Subject!$B:$B))),Subject!$B:$B,0),3))))</f>
        <v/>
      </c>
      <c r="U209" s="8" t="str">
        <f t="array" ref="U209">INDEX(Subject!$A:$I,MATCH(RANDBETWEEN(1,16),Subject!$B:$B,0),3)</f>
        <v>#N/A</v>
      </c>
      <c r="V209" s="8" t="str">
        <f t="array" ref="V209">INDEX(Subject!$A:$I,MATCH(RANDBETWEEN(1,16),Subject!$B:$B,0),3)</f>
        <v/>
      </c>
      <c r="W209" s="8" t="str">
        <f t="array" ref="W209">INDEX(Subject!$A:$I,MATCH(RANDBETWEEN(1,16),Subject!$B:$B,0),3)</f>
        <v/>
      </c>
      <c r="X209" s="8" t="str">
        <f t="array" ref="X209">INDEX(Subject!$A:$I,MATCH(RANDBETWEEN(1,16),Subject!$B:$B,0),3)</f>
        <v/>
      </c>
      <c r="Y209" s="8" t="str">
        <f t="array" ref="Y209">INDEX(Subject!$A:$I,MATCH(RANDBETWEEN(1,16),Subject!$B:$B,0),3)</f>
        <v>#N/A</v>
      </c>
      <c r="Z209" s="8" t="str">
        <f t="array" ref="Z209">INDEX(Subject!$A:$I,MATCH(RANDBETWEEN(1,16),Subject!$B:$B,0),3)</f>
        <v>#N/A</v>
      </c>
      <c r="AA209" s="8" t="str">
        <f t="array" ref="AA209">INDEX(Subject!$A:$I,MATCH(RANDBETWEEN(1,16),Subject!$B:$B,0),3)</f>
        <v>#N/A</v>
      </c>
      <c r="AB209" s="8" t="str">
        <f t="array" ref="AB209">INDEX(Subject!$A:$I,MATCH(RANDBETWEEN(1,16),Subject!$B:$B,0),3)</f>
        <v>#N/A</v>
      </c>
      <c r="AC209" s="8" t="str">
        <f t="array" ref="AC209">INDEX(Subject!$A:$I,MATCH(RANDBETWEEN(1,16),Subject!$B:$B,0),3)</f>
        <v>#N/A</v>
      </c>
      <c r="AD209" s="8" t="str">
        <f t="array" ref="AD209">INDEX(Subject!$A:$I,MATCH(RANDBETWEEN(1,16),Subject!$B:$B,0),3)</f>
        <v>#N/A</v>
      </c>
      <c r="AE209" s="8" t="str">
        <f t="array" ref="AE209">INDEX(Subject!$A:$I,MATCH(RANDBETWEEN(1,16),Subject!$B:$B,0),3)</f>
        <v>#N/A</v>
      </c>
      <c r="AF209" s="8" t="str">
        <f t="array" ref="AF209">INDEX(Subject!$A:$I,MATCH(RANDBETWEEN(1,16),Subject!$B:$B,0),3)</f>
        <v>#N/A</v>
      </c>
      <c r="AG209" s="8" t="str">
        <f t="array" ref="AG209">INDEX(Subject!$A:$I,MATCH(RANDBETWEEN(1,16),Subject!$B:$B,0),3)</f>
        <v>#N/A</v>
      </c>
      <c r="AH209" s="8" t="str">
        <f t="array" ref="AH209">INDEX(Subject!$A:$I,MATCH(RANDBETWEEN(1,16),Subject!$B:$B,0),3)</f>
        <v>#N/A</v>
      </c>
      <c r="AI209" s="8" t="str">
        <f t="array" ref="AI209">INDEX(Subject!$A:$I,MATCH(RANDBETWEEN(1,16),Subject!$B:$B,0),3)</f>
        <v/>
      </c>
      <c r="AJ209" s="8" t="str">
        <f t="array" ref="AJ209">INDEX(Subject!$A:$I,MATCH(RANDBETWEEN(1,16),Subject!$B:$B,0),3)</f>
        <v>#N/A</v>
      </c>
      <c r="AK209" s="8" t="str">
        <f t="array" ref="AK209">INDEX(Subject!$A:$I,MATCH(RANDBETWEEN(1,16),Subject!$B:$B,0),3)</f>
        <v>#N/A</v>
      </c>
      <c r="AL209" s="8" t="str">
        <f t="array" ref="AL209">INDEX(Subject!$A:$I,MATCH(RANDBETWEEN(1,16),Subject!$B:$B,0),3)</f>
        <v>#N/A</v>
      </c>
      <c r="AM209" s="18">
        <f t="shared" si="4"/>
        <v>45709.33333</v>
      </c>
      <c r="AN209" s="19">
        <f t="shared" ref="AN209:BZ209" si="209">$A209+C$1</f>
        <v>45709.35417</v>
      </c>
      <c r="AO209" s="19">
        <f t="shared" si="209"/>
        <v>45709.375</v>
      </c>
      <c r="AP209" s="19">
        <f t="shared" si="209"/>
        <v>45709.39583</v>
      </c>
      <c r="AQ209" s="19">
        <f t="shared" si="209"/>
        <v>45709.41667</v>
      </c>
      <c r="AR209" s="19">
        <f t="shared" si="209"/>
        <v>45709.4375</v>
      </c>
      <c r="AS209" s="19">
        <f t="shared" si="209"/>
        <v>45709.45833</v>
      </c>
      <c r="AT209" s="19">
        <f t="shared" si="209"/>
        <v>45709.47917</v>
      </c>
      <c r="AU209" s="19">
        <f t="shared" si="209"/>
        <v>45709.5</v>
      </c>
      <c r="AV209" s="19">
        <f t="shared" si="209"/>
        <v>45709.52083</v>
      </c>
      <c r="AW209" s="19">
        <f t="shared" si="209"/>
        <v>45709.54167</v>
      </c>
      <c r="AX209" s="19">
        <f t="shared" si="209"/>
        <v>45709.5625</v>
      </c>
      <c r="AY209" s="19">
        <f t="shared" si="209"/>
        <v>45709.58333</v>
      </c>
      <c r="AZ209" s="19">
        <f t="shared" si="209"/>
        <v>45709.60417</v>
      </c>
      <c r="BA209" s="19">
        <f t="shared" si="209"/>
        <v>45709.625</v>
      </c>
      <c r="BB209" s="19">
        <f t="shared" si="209"/>
        <v>45709.64583</v>
      </c>
      <c r="BC209" s="19">
        <f t="shared" si="209"/>
        <v>45709.66667</v>
      </c>
      <c r="BD209" s="19">
        <f t="shared" si="209"/>
        <v>45709.6875</v>
      </c>
      <c r="BE209" s="19">
        <f t="shared" si="209"/>
        <v>45709.70833</v>
      </c>
      <c r="BF209" s="19">
        <f t="shared" si="209"/>
        <v>45709.72917</v>
      </c>
      <c r="BG209" s="19">
        <f t="shared" si="209"/>
        <v>45709.75</v>
      </c>
      <c r="BH209" s="19">
        <f t="shared" si="209"/>
        <v>45709.77083</v>
      </c>
      <c r="BI209" s="19">
        <f t="shared" si="209"/>
        <v>45709.79167</v>
      </c>
      <c r="BJ209" s="19">
        <f t="shared" si="209"/>
        <v>45709.8125</v>
      </c>
      <c r="BK209" s="19">
        <f t="shared" si="209"/>
        <v>45709.83333</v>
      </c>
      <c r="BL209" s="19">
        <f t="shared" si="209"/>
        <v>45709.85417</v>
      </c>
      <c r="BM209" s="19">
        <f t="shared" si="209"/>
        <v>45709.875</v>
      </c>
      <c r="BN209" s="19">
        <f t="shared" si="209"/>
        <v>45709.89583</v>
      </c>
      <c r="BO209" s="19">
        <f t="shared" si="209"/>
        <v>45709.91667</v>
      </c>
      <c r="BP209" s="19">
        <f t="shared" si="209"/>
        <v>45709.9375</v>
      </c>
      <c r="BQ209" s="19">
        <f t="shared" si="209"/>
        <v>45709.95833</v>
      </c>
      <c r="BR209" s="19">
        <f t="shared" si="209"/>
        <v>45709.97917</v>
      </c>
      <c r="BS209" s="19">
        <f t="shared" si="209"/>
        <v>45710</v>
      </c>
      <c r="BT209" s="19">
        <f t="shared" si="209"/>
        <v>45710.02083</v>
      </c>
      <c r="BU209" s="19">
        <f t="shared" si="209"/>
        <v>45710.04167</v>
      </c>
      <c r="BV209" s="19">
        <f t="shared" si="209"/>
        <v>45710.0625</v>
      </c>
      <c r="BW209" s="19">
        <f t="shared" si="209"/>
        <v>45710.08333</v>
      </c>
      <c r="BX209" s="19">
        <f t="shared" si="209"/>
        <v>45709</v>
      </c>
      <c r="BY209" s="19">
        <f t="shared" si="209"/>
        <v>45709</v>
      </c>
      <c r="BZ209" s="19">
        <f t="shared" si="209"/>
        <v>45709</v>
      </c>
    </row>
    <row r="210" ht="14.25" customHeight="1">
      <c r="A210" s="17">
        <v>45710.0</v>
      </c>
      <c r="B210" s="2" t="str">
        <f t="array" ref="B210">IF(NOW()&gt;AM210,"",IF(AND((WEEKDAY($A210)+$B$2)&gt;1,((WEEKDAY($A210)+$T$2)&lt;7),(WEEKDAY($A210)&lt;&gt;1)),"work",(INDEX(Subject!$A:$I,MATCH(RANDBETWEEN(1,(MAX(Subject!$B:$B))),Subject!$B:$B,0),3))))</f>
        <v/>
      </c>
      <c r="C210" s="2" t="str">
        <f t="array" ref="C210">IF(NOW()&gt;AN210,"",IF(AND((WEEKDAY($A210)+$B$2)&gt;1,((WEEKDAY($A210)+$T$2)&lt;7),(WEEKDAY($A210)&lt;&gt;1)),"work",(INDEX(Subject!$A:$I,MATCH(RANDBETWEEN(1,(MAX(Subject!$B:$B))),Subject!$B:$B,0),3))))</f>
        <v/>
      </c>
      <c r="D210" s="2" t="str">
        <f t="array" ref="D210">IF(NOW()&gt;AO210,"",IF(AND((WEEKDAY($A210)+$B$2)&gt;1,((WEEKDAY($A210)+$T$2)&lt;7),(WEEKDAY($A210)&lt;&gt;1)),"work",(INDEX(Subject!$A:$I,MATCH(RANDBETWEEN(1,(MAX(Subject!$B:$B))),Subject!$B:$B,0),3))))</f>
        <v/>
      </c>
      <c r="E210" s="2" t="str">
        <f t="array" ref="E210">IF(NOW()&gt;AP210,"",IF(AND((WEEKDAY($A210)+$B$2)&gt;1,((WEEKDAY($A210)+$T$2)&lt;7),(WEEKDAY($A210)&lt;&gt;1)),"work",(INDEX(Subject!$A:$I,MATCH(RANDBETWEEN(1,(MAX(Subject!$B:$B))),Subject!$B:$B,0),3))))</f>
        <v/>
      </c>
      <c r="F210" s="2" t="str">
        <f t="array" ref="F210">IF(NOW()&gt;AQ210,"",IF(AND((WEEKDAY($A210)+$B$2)&gt;1,((WEEKDAY($A210)+$T$2)&lt;7),(WEEKDAY($A210)&lt;&gt;1)),"work",(INDEX(Subject!$A:$I,MATCH(RANDBETWEEN(1,(MAX(Subject!$B:$B))),Subject!$B:$B,0),3))))</f>
        <v/>
      </c>
      <c r="G210" s="2" t="str">
        <f t="array" ref="G210">IF(NOW()&gt;AR210,"",IF(AND((WEEKDAY($A210)+$B$2)&gt;1,((WEEKDAY($A210)+$T$2)&lt;7),(WEEKDAY($A210)&lt;&gt;1)),"work",(INDEX(Subject!$A:$I,MATCH(RANDBETWEEN(1,(MAX(Subject!$B:$B))),Subject!$B:$B,0),3))))</f>
        <v/>
      </c>
      <c r="H210" s="2" t="str">
        <f t="array" ref="H210">IF(NOW()&gt;AS210,"",IF(AND((WEEKDAY($A210)+$B$2)&gt;1,((WEEKDAY($A210)+$T$2)&lt;7),(WEEKDAY($A210)&lt;&gt;1)),"work",(INDEX(Subject!$A:$I,MATCH(RANDBETWEEN(1,(MAX(Subject!$B:$B))),Subject!$B:$B,0),3))))</f>
        <v/>
      </c>
      <c r="I210" s="2" t="str">
        <f t="array" ref="I210">IF(NOW()&gt;AT210,"",IF(AND((WEEKDAY($A210)+$B$2)&gt;1,((WEEKDAY($A210)+$T$2)&lt;7),(WEEKDAY($A210)&lt;&gt;1)),"work",(INDEX(Subject!$A:$I,MATCH(RANDBETWEEN(1,(MAX(Subject!$B:$B))),Subject!$B:$B,0),3))))</f>
        <v/>
      </c>
      <c r="J210" s="2" t="str">
        <f t="array" ref="J210">IF(NOW()&gt;AU210,"",IF(AND((WEEKDAY($A210)+$B$2)&gt;1,((WEEKDAY($A210)+$T$2)&lt;7),(WEEKDAY($A210)&lt;&gt;1)),"work",(INDEX(Subject!$A:$I,MATCH(RANDBETWEEN(1,(MAX(Subject!$B:$B))),Subject!$B:$B,0),3))))</f>
        <v/>
      </c>
      <c r="K210" s="2" t="str">
        <f t="array" ref="K210">IF(NOW()&gt;AV210,"",IF(AND((WEEKDAY($A210)+$B$2)&gt;1,((WEEKDAY($A210)+$T$2)&lt;7),(WEEKDAY($A210)&lt;&gt;1)),"work",(INDEX(Subject!$A:$I,MATCH(RANDBETWEEN(1,(MAX(Subject!$B:$B))),Subject!$B:$B,0),3))))</f>
        <v/>
      </c>
      <c r="L210" s="2" t="str">
        <f t="array" ref="L210">IF(NOW()&gt;AW210,"",IF(AND((WEEKDAY($A210)+$B$2)&gt;1,((WEEKDAY($A210)+$T$2)&lt;7),(WEEKDAY($A210)&lt;&gt;1)),"work",(INDEX(Subject!$A:$I,MATCH(RANDBETWEEN(1,(MAX(Subject!$B:$B))),Subject!$B:$B,0),3))))</f>
        <v/>
      </c>
      <c r="M210" s="2" t="str">
        <f t="array" ref="M210">IF(NOW()&gt;AX210,"",IF(AND((WEEKDAY($A210)+$B$2)&gt;1,((WEEKDAY($A210)+$T$2)&lt;7),(WEEKDAY($A210)&lt;&gt;1)),"work",(INDEX(Subject!$A:$I,MATCH(RANDBETWEEN(1,(MAX(Subject!$B:$B))),Subject!$B:$B,0),3))))</f>
        <v/>
      </c>
      <c r="N210" s="2" t="str">
        <f t="array" ref="N210">IF(NOW()&gt;AY210,"",IF(AND((WEEKDAY($A210)+$B$2)&gt;1,((WEEKDAY($A210)+$T$2)&lt;7),(WEEKDAY($A210)&lt;&gt;1)),"work",(INDEX(Subject!$A:$I,MATCH(RANDBETWEEN(1,(MAX(Subject!$B:$B))),Subject!$B:$B,0),3))))</f>
        <v/>
      </c>
      <c r="O210" s="2" t="str">
        <f t="array" ref="O210">IF(NOW()&gt;AZ210,"",IF(AND((WEEKDAY($A210)+$B$2)&gt;1,((WEEKDAY($A210)+$T$2)&lt;7),(WEEKDAY($A210)&lt;&gt;1)),"work",(INDEX(Subject!$A:$I,MATCH(RANDBETWEEN(1,(MAX(Subject!$B:$B))),Subject!$B:$B,0),3))))</f>
        <v/>
      </c>
      <c r="P210" s="2" t="str">
        <f t="array" ref="P210">IF(NOW()&gt;BA210,"",IF(AND((WEEKDAY($A210)+$B$2)&gt;1,((WEEKDAY($A210)+$T$2)&lt;7),(WEEKDAY($A210)&lt;&gt;1)),"work",(INDEX(Subject!$A:$I,MATCH(RANDBETWEEN(1,(MAX(Subject!$B:$B))),Subject!$B:$B,0),3))))</f>
        <v/>
      </c>
      <c r="Q210" s="2" t="str">
        <f t="array" ref="Q210">IF(NOW()&gt;BB210,"",IF(AND((WEEKDAY($A210)+$B$2)&gt;1,((WEEKDAY($A210)+$T$2)&lt;7),(WEEKDAY($A210)&lt;&gt;1)),"work",(INDEX(Subject!$A:$I,MATCH(RANDBETWEEN(1,(MAX(Subject!$B:$B))),Subject!$B:$B,0),3))))</f>
        <v/>
      </c>
      <c r="R210" s="2" t="str">
        <f t="array" ref="R210">IF(NOW()&gt;BC210,"",IF(AND((WEEKDAY($A210)+$B$2)&gt;1,((WEEKDAY($A210)+$T$2)&lt;7),(WEEKDAY($A210)&lt;&gt;1)),"work",(INDEX(Subject!$A:$I,MATCH(RANDBETWEEN(1,(MAX(Subject!$B:$B))),Subject!$B:$B,0),3))))</f>
        <v/>
      </c>
      <c r="S210" s="2" t="str">
        <f t="array" ref="S210">IF(NOW()&gt;BD210,"",IF(AND((WEEKDAY($A210)+$B$2)&gt;1,((WEEKDAY($A210)+$T$2)&lt;7),(WEEKDAY($A210)&lt;&gt;1)),"work",(INDEX(Subject!$A:$I,MATCH(RANDBETWEEN(1,(MAX(Subject!$B:$B))),Subject!$B:$B,0),3))))</f>
        <v/>
      </c>
      <c r="T210" s="2" t="str">
        <f t="array" ref="T210">IF(NOW()&gt;BE210,"",IF(AND((WEEKDAY($A210)+$B$2)&gt;1,((WEEKDAY($A210)+$T$2)&lt;7),(WEEKDAY($A210)&lt;&gt;1)),"work",(INDEX(Subject!$A:$I,MATCH(RANDBETWEEN(1,(MAX(Subject!$B:$B))),Subject!$B:$B,0),3))))</f>
        <v/>
      </c>
      <c r="U210" s="8" t="str">
        <f t="array" ref="U210">INDEX(Subject!$A:$I,MATCH(RANDBETWEEN(1,16),Subject!$B:$B,0),3)</f>
        <v>#N/A</v>
      </c>
      <c r="V210" s="8" t="str">
        <f t="array" ref="V210">INDEX(Subject!$A:$I,MATCH(RANDBETWEEN(1,16),Subject!$B:$B,0),3)</f>
        <v>#N/A</v>
      </c>
      <c r="W210" s="8" t="str">
        <f t="array" ref="W210">INDEX(Subject!$A:$I,MATCH(RANDBETWEEN(1,16),Subject!$B:$B,0),3)</f>
        <v>#N/A</v>
      </c>
      <c r="X210" s="8" t="str">
        <f t="array" ref="X210">INDEX(Subject!$A:$I,MATCH(RANDBETWEEN(1,16),Subject!$B:$B,0),3)</f>
        <v>#N/A</v>
      </c>
      <c r="Y210" s="8" t="str">
        <f t="array" ref="Y210">INDEX(Subject!$A:$I,MATCH(RANDBETWEEN(1,16),Subject!$B:$B,0),3)</f>
        <v/>
      </c>
      <c r="Z210" s="8" t="str">
        <f t="array" ref="Z210">INDEX(Subject!$A:$I,MATCH(RANDBETWEEN(1,16),Subject!$B:$B,0),3)</f>
        <v>#N/A</v>
      </c>
      <c r="AA210" s="8" t="str">
        <f t="array" ref="AA210">INDEX(Subject!$A:$I,MATCH(RANDBETWEEN(1,16),Subject!$B:$B,0),3)</f>
        <v>#N/A</v>
      </c>
      <c r="AB210" s="8" t="str">
        <f t="array" ref="AB210">INDEX(Subject!$A:$I,MATCH(RANDBETWEEN(1,16),Subject!$B:$B,0),3)</f>
        <v>#N/A</v>
      </c>
      <c r="AC210" s="8" t="str">
        <f t="array" ref="AC210">INDEX(Subject!$A:$I,MATCH(RANDBETWEEN(1,16),Subject!$B:$B,0),3)</f>
        <v>#N/A</v>
      </c>
      <c r="AD210" s="8" t="str">
        <f t="array" ref="AD210">INDEX(Subject!$A:$I,MATCH(RANDBETWEEN(1,16),Subject!$B:$B,0),3)</f>
        <v>#N/A</v>
      </c>
      <c r="AE210" s="8" t="str">
        <f t="array" ref="AE210">INDEX(Subject!$A:$I,MATCH(RANDBETWEEN(1,16),Subject!$B:$B,0),3)</f>
        <v>#N/A</v>
      </c>
      <c r="AF210" s="8" t="str">
        <f t="array" ref="AF210">INDEX(Subject!$A:$I,MATCH(RANDBETWEEN(1,16),Subject!$B:$B,0),3)</f>
        <v>#N/A</v>
      </c>
      <c r="AG210" s="8" t="str">
        <f t="array" ref="AG210">INDEX(Subject!$A:$I,MATCH(RANDBETWEEN(1,16),Subject!$B:$B,0),3)</f>
        <v>#N/A</v>
      </c>
      <c r="AH210" s="8" t="str">
        <f t="array" ref="AH210">INDEX(Subject!$A:$I,MATCH(RANDBETWEEN(1,16),Subject!$B:$B,0),3)</f>
        <v>#N/A</v>
      </c>
      <c r="AI210" s="8" t="str">
        <f t="array" ref="AI210">INDEX(Subject!$A:$I,MATCH(RANDBETWEEN(1,16),Subject!$B:$B,0),3)</f>
        <v/>
      </c>
      <c r="AJ210" s="8" t="str">
        <f t="array" ref="AJ210">INDEX(Subject!$A:$I,MATCH(RANDBETWEEN(1,16),Subject!$B:$B,0),3)</f>
        <v>#N/A</v>
      </c>
      <c r="AK210" s="8" t="str">
        <f t="array" ref="AK210">INDEX(Subject!$A:$I,MATCH(RANDBETWEEN(1,16),Subject!$B:$B,0),3)</f>
        <v>#N/A</v>
      </c>
      <c r="AL210" s="8" t="str">
        <f t="array" ref="AL210">INDEX(Subject!$A:$I,MATCH(RANDBETWEEN(1,16),Subject!$B:$B,0),3)</f>
        <v>#N/A</v>
      </c>
      <c r="AM210" s="18">
        <f t="shared" si="4"/>
        <v>45710.33333</v>
      </c>
      <c r="AN210" s="19">
        <f t="shared" ref="AN210:BZ210" si="210">$A210+C$1</f>
        <v>45710.35417</v>
      </c>
      <c r="AO210" s="19">
        <f t="shared" si="210"/>
        <v>45710.375</v>
      </c>
      <c r="AP210" s="19">
        <f t="shared" si="210"/>
        <v>45710.39583</v>
      </c>
      <c r="AQ210" s="19">
        <f t="shared" si="210"/>
        <v>45710.41667</v>
      </c>
      <c r="AR210" s="19">
        <f t="shared" si="210"/>
        <v>45710.4375</v>
      </c>
      <c r="AS210" s="19">
        <f t="shared" si="210"/>
        <v>45710.45833</v>
      </c>
      <c r="AT210" s="19">
        <f t="shared" si="210"/>
        <v>45710.47917</v>
      </c>
      <c r="AU210" s="19">
        <f t="shared" si="210"/>
        <v>45710.5</v>
      </c>
      <c r="AV210" s="19">
        <f t="shared" si="210"/>
        <v>45710.52083</v>
      </c>
      <c r="AW210" s="19">
        <f t="shared" si="210"/>
        <v>45710.54167</v>
      </c>
      <c r="AX210" s="19">
        <f t="shared" si="210"/>
        <v>45710.5625</v>
      </c>
      <c r="AY210" s="19">
        <f t="shared" si="210"/>
        <v>45710.58333</v>
      </c>
      <c r="AZ210" s="19">
        <f t="shared" si="210"/>
        <v>45710.60417</v>
      </c>
      <c r="BA210" s="19">
        <f t="shared" si="210"/>
        <v>45710.625</v>
      </c>
      <c r="BB210" s="19">
        <f t="shared" si="210"/>
        <v>45710.64583</v>
      </c>
      <c r="BC210" s="19">
        <f t="shared" si="210"/>
        <v>45710.66667</v>
      </c>
      <c r="BD210" s="19">
        <f t="shared" si="210"/>
        <v>45710.6875</v>
      </c>
      <c r="BE210" s="19">
        <f t="shared" si="210"/>
        <v>45710.70833</v>
      </c>
      <c r="BF210" s="19">
        <f t="shared" si="210"/>
        <v>45710.72917</v>
      </c>
      <c r="BG210" s="19">
        <f t="shared" si="210"/>
        <v>45710.75</v>
      </c>
      <c r="BH210" s="19">
        <f t="shared" si="210"/>
        <v>45710.77083</v>
      </c>
      <c r="BI210" s="19">
        <f t="shared" si="210"/>
        <v>45710.79167</v>
      </c>
      <c r="BJ210" s="19">
        <f t="shared" si="210"/>
        <v>45710.8125</v>
      </c>
      <c r="BK210" s="19">
        <f t="shared" si="210"/>
        <v>45710.83333</v>
      </c>
      <c r="BL210" s="19">
        <f t="shared" si="210"/>
        <v>45710.85417</v>
      </c>
      <c r="BM210" s="19">
        <f t="shared" si="210"/>
        <v>45710.875</v>
      </c>
      <c r="BN210" s="19">
        <f t="shared" si="210"/>
        <v>45710.89583</v>
      </c>
      <c r="BO210" s="19">
        <f t="shared" si="210"/>
        <v>45710.91667</v>
      </c>
      <c r="BP210" s="19">
        <f t="shared" si="210"/>
        <v>45710.9375</v>
      </c>
      <c r="BQ210" s="19">
        <f t="shared" si="210"/>
        <v>45710.95833</v>
      </c>
      <c r="BR210" s="19">
        <f t="shared" si="210"/>
        <v>45710.97917</v>
      </c>
      <c r="BS210" s="19">
        <f t="shared" si="210"/>
        <v>45711</v>
      </c>
      <c r="BT210" s="19">
        <f t="shared" si="210"/>
        <v>45711.02083</v>
      </c>
      <c r="BU210" s="19">
        <f t="shared" si="210"/>
        <v>45711.04167</v>
      </c>
      <c r="BV210" s="19">
        <f t="shared" si="210"/>
        <v>45711.0625</v>
      </c>
      <c r="BW210" s="19">
        <f t="shared" si="210"/>
        <v>45711.08333</v>
      </c>
      <c r="BX210" s="19">
        <f t="shared" si="210"/>
        <v>45710</v>
      </c>
      <c r="BY210" s="19">
        <f t="shared" si="210"/>
        <v>45710</v>
      </c>
      <c r="BZ210" s="19">
        <f t="shared" si="210"/>
        <v>45710</v>
      </c>
    </row>
    <row r="211" ht="14.25" customHeight="1">
      <c r="A211" s="17">
        <v>45711.0</v>
      </c>
      <c r="B211" s="2" t="str">
        <f t="array" ref="B211">IF(NOW()&gt;AM211,"",IF(AND((WEEKDAY($A211)+$B$2)&gt;1,((WEEKDAY($A211)+$T$2)&lt;7),(WEEKDAY($A211)&lt;&gt;1)),"work",(INDEX(Subject!$A:$I,MATCH(RANDBETWEEN(1,(MAX(Subject!$B:$B))),Subject!$B:$B,0),3))))</f>
        <v/>
      </c>
      <c r="C211" s="2" t="str">
        <f t="array" ref="C211">IF(NOW()&gt;AN211,"",IF(AND((WEEKDAY($A211)+$B$2)&gt;1,((WEEKDAY($A211)+$T$2)&lt;7),(WEEKDAY($A211)&lt;&gt;1)),"work",(INDEX(Subject!$A:$I,MATCH(RANDBETWEEN(1,(MAX(Subject!$B:$B))),Subject!$B:$B,0),3))))</f>
        <v/>
      </c>
      <c r="D211" s="2" t="str">
        <f t="array" ref="D211">IF(NOW()&gt;AO211,"",IF(AND((WEEKDAY($A211)+$B$2)&gt;1,((WEEKDAY($A211)+$T$2)&lt;7),(WEEKDAY($A211)&lt;&gt;1)),"work",(INDEX(Subject!$A:$I,MATCH(RANDBETWEEN(1,(MAX(Subject!$B:$B))),Subject!$B:$B,0),3))))</f>
        <v/>
      </c>
      <c r="E211" s="2" t="str">
        <f t="array" ref="E211">IF(NOW()&gt;AP211,"",IF(AND((WEEKDAY($A211)+$B$2)&gt;1,((WEEKDAY($A211)+$T$2)&lt;7),(WEEKDAY($A211)&lt;&gt;1)),"work",(INDEX(Subject!$A:$I,MATCH(RANDBETWEEN(1,(MAX(Subject!$B:$B))),Subject!$B:$B,0),3))))</f>
        <v/>
      </c>
      <c r="F211" s="2" t="str">
        <f t="array" ref="F211">IF(NOW()&gt;AQ211,"",IF(AND((WEEKDAY($A211)+$B$2)&gt;1,((WEEKDAY($A211)+$T$2)&lt;7),(WEEKDAY($A211)&lt;&gt;1)),"work",(INDEX(Subject!$A:$I,MATCH(RANDBETWEEN(1,(MAX(Subject!$B:$B))),Subject!$B:$B,0),3))))</f>
        <v/>
      </c>
      <c r="G211" s="2" t="str">
        <f t="array" ref="G211">IF(NOW()&gt;AR211,"",IF(AND((WEEKDAY($A211)+$B$2)&gt;1,((WEEKDAY($A211)+$T$2)&lt;7),(WEEKDAY($A211)&lt;&gt;1)),"work",(INDEX(Subject!$A:$I,MATCH(RANDBETWEEN(1,(MAX(Subject!$B:$B))),Subject!$B:$B,0),3))))</f>
        <v/>
      </c>
      <c r="H211" s="2" t="str">
        <f t="array" ref="H211">IF(NOW()&gt;AS211,"",IF(AND((WEEKDAY($A211)+$B$2)&gt;1,((WEEKDAY($A211)+$T$2)&lt;7),(WEEKDAY($A211)&lt;&gt;1)),"work",(INDEX(Subject!$A:$I,MATCH(RANDBETWEEN(1,(MAX(Subject!$B:$B))),Subject!$B:$B,0),3))))</f>
        <v/>
      </c>
      <c r="I211" s="2" t="str">
        <f t="array" ref="I211">IF(NOW()&gt;AT211,"",IF(AND((WEEKDAY($A211)+$B$2)&gt;1,((WEEKDAY($A211)+$T$2)&lt;7),(WEEKDAY($A211)&lt;&gt;1)),"work",(INDEX(Subject!$A:$I,MATCH(RANDBETWEEN(1,(MAX(Subject!$B:$B))),Subject!$B:$B,0),3))))</f>
        <v/>
      </c>
      <c r="J211" s="2" t="str">
        <f t="array" ref="J211">IF(NOW()&gt;AU211,"",IF(AND((WEEKDAY($A211)+$B$2)&gt;1,((WEEKDAY($A211)+$T$2)&lt;7),(WEEKDAY($A211)&lt;&gt;1)),"work",(INDEX(Subject!$A:$I,MATCH(RANDBETWEEN(1,(MAX(Subject!$B:$B))),Subject!$B:$B,0),3))))</f>
        <v/>
      </c>
      <c r="K211" s="2" t="str">
        <f t="array" ref="K211">IF(NOW()&gt;AV211,"",IF(AND((WEEKDAY($A211)+$B$2)&gt;1,((WEEKDAY($A211)+$T$2)&lt;7),(WEEKDAY($A211)&lt;&gt;1)),"work",(INDEX(Subject!$A:$I,MATCH(RANDBETWEEN(1,(MAX(Subject!$B:$B))),Subject!$B:$B,0),3))))</f>
        <v/>
      </c>
      <c r="L211" s="2" t="str">
        <f t="array" ref="L211">IF(NOW()&gt;AW211,"",IF(AND((WEEKDAY($A211)+$B$2)&gt;1,((WEEKDAY($A211)+$T$2)&lt;7),(WEEKDAY($A211)&lt;&gt;1)),"work",(INDEX(Subject!$A:$I,MATCH(RANDBETWEEN(1,(MAX(Subject!$B:$B))),Subject!$B:$B,0),3))))</f>
        <v/>
      </c>
      <c r="M211" s="2" t="str">
        <f t="array" ref="M211">IF(NOW()&gt;AX211,"",IF(AND((WEEKDAY($A211)+$B$2)&gt;1,((WEEKDAY($A211)+$T$2)&lt;7),(WEEKDAY($A211)&lt;&gt;1)),"work",(INDEX(Subject!$A:$I,MATCH(RANDBETWEEN(1,(MAX(Subject!$B:$B))),Subject!$B:$B,0),3))))</f>
        <v/>
      </c>
      <c r="N211" s="2" t="str">
        <f t="array" ref="N211">IF(NOW()&gt;AY211,"",IF(AND((WEEKDAY($A211)+$B$2)&gt;1,((WEEKDAY($A211)+$T$2)&lt;7),(WEEKDAY($A211)&lt;&gt;1)),"work",(INDEX(Subject!$A:$I,MATCH(RANDBETWEEN(1,(MAX(Subject!$B:$B))),Subject!$B:$B,0),3))))</f>
        <v/>
      </c>
      <c r="O211" s="2" t="str">
        <f t="array" ref="O211">IF(NOW()&gt;AZ211,"",IF(AND((WEEKDAY($A211)+$B$2)&gt;1,((WEEKDAY($A211)+$T$2)&lt;7),(WEEKDAY($A211)&lt;&gt;1)),"work",(INDEX(Subject!$A:$I,MATCH(RANDBETWEEN(1,(MAX(Subject!$B:$B))),Subject!$B:$B,0),3))))</f>
        <v/>
      </c>
      <c r="P211" s="2" t="str">
        <f t="array" ref="P211">IF(NOW()&gt;BA211,"",IF(AND((WEEKDAY($A211)+$B$2)&gt;1,((WEEKDAY($A211)+$T$2)&lt;7),(WEEKDAY($A211)&lt;&gt;1)),"work",(INDEX(Subject!$A:$I,MATCH(RANDBETWEEN(1,(MAX(Subject!$B:$B))),Subject!$B:$B,0),3))))</f>
        <v/>
      </c>
      <c r="Q211" s="2" t="str">
        <f t="array" ref="Q211">IF(NOW()&gt;BB211,"",IF(AND((WEEKDAY($A211)+$B$2)&gt;1,((WEEKDAY($A211)+$T$2)&lt;7),(WEEKDAY($A211)&lt;&gt;1)),"work",(INDEX(Subject!$A:$I,MATCH(RANDBETWEEN(1,(MAX(Subject!$B:$B))),Subject!$B:$B,0),3))))</f>
        <v/>
      </c>
      <c r="R211" s="2" t="str">
        <f t="array" ref="R211">IF(NOW()&gt;BC211,"",IF(AND((WEEKDAY($A211)+$B$2)&gt;1,((WEEKDAY($A211)+$T$2)&lt;7),(WEEKDAY($A211)&lt;&gt;1)),"work",(INDEX(Subject!$A:$I,MATCH(RANDBETWEEN(1,(MAX(Subject!$B:$B))),Subject!$B:$B,0),3))))</f>
        <v/>
      </c>
      <c r="S211" s="2" t="str">
        <f t="array" ref="S211">IF(NOW()&gt;BD211,"",IF(AND((WEEKDAY($A211)+$B$2)&gt;1,((WEEKDAY($A211)+$T$2)&lt;7),(WEEKDAY($A211)&lt;&gt;1)),"work",(INDEX(Subject!$A:$I,MATCH(RANDBETWEEN(1,(MAX(Subject!$B:$B))),Subject!$B:$B,0),3))))</f>
        <v/>
      </c>
      <c r="T211" s="2" t="str">
        <f t="array" ref="T211">IF(NOW()&gt;BE211,"",IF(AND((WEEKDAY($A211)+$B$2)&gt;1,((WEEKDAY($A211)+$T$2)&lt;7),(WEEKDAY($A211)&lt;&gt;1)),"work",(INDEX(Subject!$A:$I,MATCH(RANDBETWEEN(1,(MAX(Subject!$B:$B))),Subject!$B:$B,0),3))))</f>
        <v/>
      </c>
      <c r="U211" s="8" t="str">
        <f t="array" ref="U211">INDEX(Subject!$A:$I,MATCH(RANDBETWEEN(1,16),Subject!$B:$B,0),3)</f>
        <v>#N/A</v>
      </c>
      <c r="V211" s="8" t="str">
        <f t="array" ref="V211">INDEX(Subject!$A:$I,MATCH(RANDBETWEEN(1,16),Subject!$B:$B,0),3)</f>
        <v>#N/A</v>
      </c>
      <c r="W211" s="8" t="str">
        <f t="array" ref="W211">INDEX(Subject!$A:$I,MATCH(RANDBETWEEN(1,16),Subject!$B:$B,0),3)</f>
        <v>#N/A</v>
      </c>
      <c r="X211" s="8" t="str">
        <f t="array" ref="X211">INDEX(Subject!$A:$I,MATCH(RANDBETWEEN(1,16),Subject!$B:$B,0),3)</f>
        <v>#N/A</v>
      </c>
      <c r="Y211" s="8" t="str">
        <f t="array" ref="Y211">INDEX(Subject!$A:$I,MATCH(RANDBETWEEN(1,16),Subject!$B:$B,0),3)</f>
        <v>#N/A</v>
      </c>
      <c r="Z211" s="8" t="str">
        <f t="array" ref="Z211">INDEX(Subject!$A:$I,MATCH(RANDBETWEEN(1,16),Subject!$B:$B,0),3)</f>
        <v>#N/A</v>
      </c>
      <c r="AA211" s="8" t="str">
        <f t="array" ref="AA211">INDEX(Subject!$A:$I,MATCH(RANDBETWEEN(1,16),Subject!$B:$B,0),3)</f>
        <v>#N/A</v>
      </c>
      <c r="AB211" s="8" t="str">
        <f t="array" ref="AB211">INDEX(Subject!$A:$I,MATCH(RANDBETWEEN(1,16),Subject!$B:$B,0),3)</f>
        <v>#N/A</v>
      </c>
      <c r="AC211" s="8" t="str">
        <f t="array" ref="AC211">INDEX(Subject!$A:$I,MATCH(RANDBETWEEN(1,16),Subject!$B:$B,0),3)</f>
        <v>#N/A</v>
      </c>
      <c r="AD211" s="8" t="str">
        <f t="array" ref="AD211">INDEX(Subject!$A:$I,MATCH(RANDBETWEEN(1,16),Subject!$B:$B,0),3)</f>
        <v>#N/A</v>
      </c>
      <c r="AE211" s="8" t="str">
        <f t="array" ref="AE211">INDEX(Subject!$A:$I,MATCH(RANDBETWEEN(1,16),Subject!$B:$B,0),3)</f>
        <v>#N/A</v>
      </c>
      <c r="AF211" s="8" t="str">
        <f t="array" ref="AF211">INDEX(Subject!$A:$I,MATCH(RANDBETWEEN(1,16),Subject!$B:$B,0),3)</f>
        <v>#N/A</v>
      </c>
      <c r="AG211" s="8" t="str">
        <f t="array" ref="AG211">INDEX(Subject!$A:$I,MATCH(RANDBETWEEN(1,16),Subject!$B:$B,0),3)</f>
        <v>#N/A</v>
      </c>
      <c r="AH211" s="8" t="str">
        <f t="array" ref="AH211">INDEX(Subject!$A:$I,MATCH(RANDBETWEEN(1,16),Subject!$B:$B,0),3)</f>
        <v/>
      </c>
      <c r="AI211" s="8" t="str">
        <f t="array" ref="AI211">INDEX(Subject!$A:$I,MATCH(RANDBETWEEN(1,16),Subject!$B:$B,0),3)</f>
        <v>#N/A</v>
      </c>
      <c r="AJ211" s="8" t="str">
        <f t="array" ref="AJ211">INDEX(Subject!$A:$I,MATCH(RANDBETWEEN(1,16),Subject!$B:$B,0),3)</f>
        <v>#N/A</v>
      </c>
      <c r="AK211" s="8" t="str">
        <f t="array" ref="AK211">INDEX(Subject!$A:$I,MATCH(RANDBETWEEN(1,16),Subject!$B:$B,0),3)</f>
        <v>#N/A</v>
      </c>
      <c r="AL211" s="8" t="str">
        <f t="array" ref="AL211">INDEX(Subject!$A:$I,MATCH(RANDBETWEEN(1,16),Subject!$B:$B,0),3)</f>
        <v>#N/A</v>
      </c>
      <c r="AM211" s="18">
        <f t="shared" si="4"/>
        <v>45711.33333</v>
      </c>
      <c r="AN211" s="19">
        <f t="shared" ref="AN211:BZ211" si="211">$A211+C$1</f>
        <v>45711.35417</v>
      </c>
      <c r="AO211" s="19">
        <f t="shared" si="211"/>
        <v>45711.375</v>
      </c>
      <c r="AP211" s="19">
        <f t="shared" si="211"/>
        <v>45711.39583</v>
      </c>
      <c r="AQ211" s="19">
        <f t="shared" si="211"/>
        <v>45711.41667</v>
      </c>
      <c r="AR211" s="19">
        <f t="shared" si="211"/>
        <v>45711.4375</v>
      </c>
      <c r="AS211" s="19">
        <f t="shared" si="211"/>
        <v>45711.45833</v>
      </c>
      <c r="AT211" s="19">
        <f t="shared" si="211"/>
        <v>45711.47917</v>
      </c>
      <c r="AU211" s="19">
        <f t="shared" si="211"/>
        <v>45711.5</v>
      </c>
      <c r="AV211" s="19">
        <f t="shared" si="211"/>
        <v>45711.52083</v>
      </c>
      <c r="AW211" s="19">
        <f t="shared" si="211"/>
        <v>45711.54167</v>
      </c>
      <c r="AX211" s="19">
        <f t="shared" si="211"/>
        <v>45711.5625</v>
      </c>
      <c r="AY211" s="19">
        <f t="shared" si="211"/>
        <v>45711.58333</v>
      </c>
      <c r="AZ211" s="19">
        <f t="shared" si="211"/>
        <v>45711.60417</v>
      </c>
      <c r="BA211" s="19">
        <f t="shared" si="211"/>
        <v>45711.625</v>
      </c>
      <c r="BB211" s="19">
        <f t="shared" si="211"/>
        <v>45711.64583</v>
      </c>
      <c r="BC211" s="19">
        <f t="shared" si="211"/>
        <v>45711.66667</v>
      </c>
      <c r="BD211" s="19">
        <f t="shared" si="211"/>
        <v>45711.6875</v>
      </c>
      <c r="BE211" s="19">
        <f t="shared" si="211"/>
        <v>45711.70833</v>
      </c>
      <c r="BF211" s="19">
        <f t="shared" si="211"/>
        <v>45711.72917</v>
      </c>
      <c r="BG211" s="19">
        <f t="shared" si="211"/>
        <v>45711.75</v>
      </c>
      <c r="BH211" s="19">
        <f t="shared" si="211"/>
        <v>45711.77083</v>
      </c>
      <c r="BI211" s="19">
        <f t="shared" si="211"/>
        <v>45711.79167</v>
      </c>
      <c r="BJ211" s="19">
        <f t="shared" si="211"/>
        <v>45711.8125</v>
      </c>
      <c r="BK211" s="19">
        <f t="shared" si="211"/>
        <v>45711.83333</v>
      </c>
      <c r="BL211" s="19">
        <f t="shared" si="211"/>
        <v>45711.85417</v>
      </c>
      <c r="BM211" s="19">
        <f t="shared" si="211"/>
        <v>45711.875</v>
      </c>
      <c r="BN211" s="19">
        <f t="shared" si="211"/>
        <v>45711.89583</v>
      </c>
      <c r="BO211" s="19">
        <f t="shared" si="211"/>
        <v>45711.91667</v>
      </c>
      <c r="BP211" s="19">
        <f t="shared" si="211"/>
        <v>45711.9375</v>
      </c>
      <c r="BQ211" s="19">
        <f t="shared" si="211"/>
        <v>45711.95833</v>
      </c>
      <c r="BR211" s="19">
        <f t="shared" si="211"/>
        <v>45711.97917</v>
      </c>
      <c r="BS211" s="19">
        <f t="shared" si="211"/>
        <v>45712</v>
      </c>
      <c r="BT211" s="19">
        <f t="shared" si="211"/>
        <v>45712.02083</v>
      </c>
      <c r="BU211" s="19">
        <f t="shared" si="211"/>
        <v>45712.04167</v>
      </c>
      <c r="BV211" s="19">
        <f t="shared" si="211"/>
        <v>45712.0625</v>
      </c>
      <c r="BW211" s="19">
        <f t="shared" si="211"/>
        <v>45712.08333</v>
      </c>
      <c r="BX211" s="19">
        <f t="shared" si="211"/>
        <v>45711</v>
      </c>
      <c r="BY211" s="19">
        <f t="shared" si="211"/>
        <v>45711</v>
      </c>
      <c r="BZ211" s="19">
        <f t="shared" si="211"/>
        <v>45711</v>
      </c>
    </row>
    <row r="212" ht="14.25" customHeight="1">
      <c r="A212" s="17">
        <v>45712.0</v>
      </c>
      <c r="B212" s="2" t="str">
        <f t="array" ref="B212">IF(NOW()&gt;AM212,"",IF(AND((WEEKDAY($A212)+$B$2)&gt;1,((WEEKDAY($A212)+$T$2)&lt;7),(WEEKDAY($A212)&lt;&gt;1)),"work",(INDEX(Subject!$A:$I,MATCH(RANDBETWEEN(1,(MAX(Subject!$B:$B))),Subject!$B:$B,0),3))))</f>
        <v/>
      </c>
      <c r="C212" s="2" t="str">
        <f t="array" ref="C212">IF(NOW()&gt;AN212,"",IF(AND((WEEKDAY($A212)+$B$2)&gt;1,((WEEKDAY($A212)+$T$2)&lt;7),(WEEKDAY($A212)&lt;&gt;1)),"work",(INDEX(Subject!$A:$I,MATCH(RANDBETWEEN(1,(MAX(Subject!$B:$B))),Subject!$B:$B,0),3))))</f>
        <v/>
      </c>
      <c r="D212" s="2" t="str">
        <f t="array" ref="D212">IF(NOW()&gt;AO212,"",IF(AND((WEEKDAY($A212)+$B$2)&gt;1,((WEEKDAY($A212)+$T$2)&lt;7),(WEEKDAY($A212)&lt;&gt;1)),"work",(INDEX(Subject!$A:$I,MATCH(RANDBETWEEN(1,(MAX(Subject!$B:$B))),Subject!$B:$B,0),3))))</f>
        <v/>
      </c>
      <c r="E212" s="2" t="str">
        <f t="array" ref="E212">IF(NOW()&gt;AP212,"",IF(AND((WEEKDAY($A212)+$B$2)&gt;1,((WEEKDAY($A212)+$T$2)&lt;7),(WEEKDAY($A212)&lt;&gt;1)),"work",(INDEX(Subject!$A:$I,MATCH(RANDBETWEEN(1,(MAX(Subject!$B:$B))),Subject!$B:$B,0),3))))</f>
        <v/>
      </c>
      <c r="F212" s="2" t="str">
        <f t="array" ref="F212">IF(NOW()&gt;AQ212,"",IF(AND((WEEKDAY($A212)+$B$2)&gt;1,((WEEKDAY($A212)+$T$2)&lt;7),(WEEKDAY($A212)&lt;&gt;1)),"work",(INDEX(Subject!$A:$I,MATCH(RANDBETWEEN(1,(MAX(Subject!$B:$B))),Subject!$B:$B,0),3))))</f>
        <v/>
      </c>
      <c r="G212" s="2" t="str">
        <f t="array" ref="G212">IF(NOW()&gt;AR212,"",IF(AND((WEEKDAY($A212)+$B$2)&gt;1,((WEEKDAY($A212)+$T$2)&lt;7),(WEEKDAY($A212)&lt;&gt;1)),"work",(INDEX(Subject!$A:$I,MATCH(RANDBETWEEN(1,(MAX(Subject!$B:$B))),Subject!$B:$B,0),3))))</f>
        <v/>
      </c>
      <c r="H212" s="2" t="str">
        <f t="array" ref="H212">IF(NOW()&gt;AS212,"",IF(AND((WEEKDAY($A212)+$B$2)&gt;1,((WEEKDAY($A212)+$T$2)&lt;7),(WEEKDAY($A212)&lt;&gt;1)),"work",(INDEX(Subject!$A:$I,MATCH(RANDBETWEEN(1,(MAX(Subject!$B:$B))),Subject!$B:$B,0),3))))</f>
        <v/>
      </c>
      <c r="I212" s="2" t="str">
        <f t="array" ref="I212">IF(NOW()&gt;AT212,"",IF(AND((WEEKDAY($A212)+$B$2)&gt;1,((WEEKDAY($A212)+$T$2)&lt;7),(WEEKDAY($A212)&lt;&gt;1)),"work",(INDEX(Subject!$A:$I,MATCH(RANDBETWEEN(1,(MAX(Subject!$B:$B))),Subject!$B:$B,0),3))))</f>
        <v/>
      </c>
      <c r="J212" s="2" t="str">
        <f t="array" ref="J212">IF(NOW()&gt;AU212,"",IF(AND((WEEKDAY($A212)+$B$2)&gt;1,((WEEKDAY($A212)+$T$2)&lt;7),(WEEKDAY($A212)&lt;&gt;1)),"work",(INDEX(Subject!$A:$I,MATCH(RANDBETWEEN(1,(MAX(Subject!$B:$B))),Subject!$B:$B,0),3))))</f>
        <v/>
      </c>
      <c r="K212" s="2" t="str">
        <f t="array" ref="K212">IF(NOW()&gt;AV212,"",IF(AND((WEEKDAY($A212)+$B$2)&gt;1,((WEEKDAY($A212)+$T$2)&lt;7),(WEEKDAY($A212)&lt;&gt;1)),"work",(INDEX(Subject!$A:$I,MATCH(RANDBETWEEN(1,(MAX(Subject!$B:$B))),Subject!$B:$B,0),3))))</f>
        <v/>
      </c>
      <c r="L212" s="2" t="str">
        <f t="array" ref="L212">IF(NOW()&gt;AW212,"",IF(AND((WEEKDAY($A212)+$B$2)&gt;1,((WEEKDAY($A212)+$T$2)&lt;7),(WEEKDAY($A212)&lt;&gt;1)),"work",(INDEX(Subject!$A:$I,MATCH(RANDBETWEEN(1,(MAX(Subject!$B:$B))),Subject!$B:$B,0),3))))</f>
        <v/>
      </c>
      <c r="M212" s="2" t="str">
        <f t="array" ref="M212">IF(NOW()&gt;AX212,"",IF(AND((WEEKDAY($A212)+$B$2)&gt;1,((WEEKDAY($A212)+$T$2)&lt;7),(WEEKDAY($A212)&lt;&gt;1)),"work",(INDEX(Subject!$A:$I,MATCH(RANDBETWEEN(1,(MAX(Subject!$B:$B))),Subject!$B:$B,0),3))))</f>
        <v/>
      </c>
      <c r="N212" s="2" t="str">
        <f t="array" ref="N212">IF(NOW()&gt;AY212,"",IF(AND((WEEKDAY($A212)+$B$2)&gt;1,((WEEKDAY($A212)+$T$2)&lt;7),(WEEKDAY($A212)&lt;&gt;1)),"work",(INDEX(Subject!$A:$I,MATCH(RANDBETWEEN(1,(MAX(Subject!$B:$B))),Subject!$B:$B,0),3))))</f>
        <v/>
      </c>
      <c r="O212" s="2" t="str">
        <f t="array" ref="O212">IF(NOW()&gt;AZ212,"",IF(AND((WEEKDAY($A212)+$B$2)&gt;1,((WEEKDAY($A212)+$T$2)&lt;7),(WEEKDAY($A212)&lt;&gt;1)),"work",(INDEX(Subject!$A:$I,MATCH(RANDBETWEEN(1,(MAX(Subject!$B:$B))),Subject!$B:$B,0),3))))</f>
        <v/>
      </c>
      <c r="P212" s="2" t="str">
        <f t="array" ref="P212">IF(NOW()&gt;BA212,"",IF(AND((WEEKDAY($A212)+$B$2)&gt;1,((WEEKDAY($A212)+$T$2)&lt;7),(WEEKDAY($A212)&lt;&gt;1)),"work",(INDEX(Subject!$A:$I,MATCH(RANDBETWEEN(1,(MAX(Subject!$B:$B))),Subject!$B:$B,0),3))))</f>
        <v/>
      </c>
      <c r="Q212" s="2" t="str">
        <f t="array" ref="Q212">IF(NOW()&gt;BB212,"",IF(AND((WEEKDAY($A212)+$B$2)&gt;1,((WEEKDAY($A212)+$T$2)&lt;7),(WEEKDAY($A212)&lt;&gt;1)),"work",(INDEX(Subject!$A:$I,MATCH(RANDBETWEEN(1,(MAX(Subject!$B:$B))),Subject!$B:$B,0),3))))</f>
        <v/>
      </c>
      <c r="R212" s="2" t="str">
        <f t="array" ref="R212">IF(NOW()&gt;BC212,"",IF(AND((WEEKDAY($A212)+$B$2)&gt;1,((WEEKDAY($A212)+$T$2)&lt;7),(WEEKDAY($A212)&lt;&gt;1)),"work",(INDEX(Subject!$A:$I,MATCH(RANDBETWEEN(1,(MAX(Subject!$B:$B))),Subject!$B:$B,0),3))))</f>
        <v/>
      </c>
      <c r="S212" s="2" t="str">
        <f t="array" ref="S212">IF(NOW()&gt;BD212,"",IF(AND((WEEKDAY($A212)+$B$2)&gt;1,((WEEKDAY($A212)+$T$2)&lt;7),(WEEKDAY($A212)&lt;&gt;1)),"work",(INDEX(Subject!$A:$I,MATCH(RANDBETWEEN(1,(MAX(Subject!$B:$B))),Subject!$B:$B,0),3))))</f>
        <v/>
      </c>
      <c r="T212" s="2" t="str">
        <f t="array" ref="T212">IF(NOW()&gt;BE212,"",IF(AND((WEEKDAY($A212)+$B$2)&gt;1,((WEEKDAY($A212)+$T$2)&lt;7),(WEEKDAY($A212)&lt;&gt;1)),"work",(INDEX(Subject!$A:$I,MATCH(RANDBETWEEN(1,(MAX(Subject!$B:$B))),Subject!$B:$B,0),3))))</f>
        <v/>
      </c>
      <c r="U212" s="8" t="str">
        <f t="array" ref="U212">INDEX(Subject!$A:$I,MATCH(RANDBETWEEN(1,16),Subject!$B:$B,0),3)</f>
        <v>#N/A</v>
      </c>
      <c r="V212" s="8" t="str">
        <f t="array" ref="V212">INDEX(Subject!$A:$I,MATCH(RANDBETWEEN(1,16),Subject!$B:$B,0),3)</f>
        <v>#N/A</v>
      </c>
      <c r="W212" s="8" t="str">
        <f t="array" ref="W212">INDEX(Subject!$A:$I,MATCH(RANDBETWEEN(1,16),Subject!$B:$B,0),3)</f>
        <v>#N/A</v>
      </c>
      <c r="X212" s="8" t="str">
        <f t="array" ref="X212">INDEX(Subject!$A:$I,MATCH(RANDBETWEEN(1,16),Subject!$B:$B,0),3)</f>
        <v>#N/A</v>
      </c>
      <c r="Y212" s="8" t="str">
        <f t="array" ref="Y212">INDEX(Subject!$A:$I,MATCH(RANDBETWEEN(1,16),Subject!$B:$B,0),3)</f>
        <v>#N/A</v>
      </c>
      <c r="Z212" s="8" t="str">
        <f t="array" ref="Z212">INDEX(Subject!$A:$I,MATCH(RANDBETWEEN(1,16),Subject!$B:$B,0),3)</f>
        <v>#N/A</v>
      </c>
      <c r="AA212" s="8" t="str">
        <f t="array" ref="AA212">INDEX(Subject!$A:$I,MATCH(RANDBETWEEN(1,16),Subject!$B:$B,0),3)</f>
        <v>#N/A</v>
      </c>
      <c r="AB212" s="8" t="str">
        <f t="array" ref="AB212">INDEX(Subject!$A:$I,MATCH(RANDBETWEEN(1,16),Subject!$B:$B,0),3)</f>
        <v>#N/A</v>
      </c>
      <c r="AC212" s="8" t="str">
        <f t="array" ref="AC212">INDEX(Subject!$A:$I,MATCH(RANDBETWEEN(1,16),Subject!$B:$B,0),3)</f>
        <v>#N/A</v>
      </c>
      <c r="AD212" s="8" t="str">
        <f t="array" ref="AD212">INDEX(Subject!$A:$I,MATCH(RANDBETWEEN(1,16),Subject!$B:$B,0),3)</f>
        <v>#N/A</v>
      </c>
      <c r="AE212" s="8" t="str">
        <f t="array" ref="AE212">INDEX(Subject!$A:$I,MATCH(RANDBETWEEN(1,16),Subject!$B:$B,0),3)</f>
        <v>#N/A</v>
      </c>
      <c r="AF212" s="8" t="str">
        <f t="array" ref="AF212">INDEX(Subject!$A:$I,MATCH(RANDBETWEEN(1,16),Subject!$B:$B,0),3)</f>
        <v>#N/A</v>
      </c>
      <c r="AG212" s="8" t="str">
        <f t="array" ref="AG212">INDEX(Subject!$A:$I,MATCH(RANDBETWEEN(1,16),Subject!$B:$B,0),3)</f>
        <v>#N/A</v>
      </c>
      <c r="AH212" s="8" t="str">
        <f t="array" ref="AH212">INDEX(Subject!$A:$I,MATCH(RANDBETWEEN(1,16),Subject!$B:$B,0),3)</f>
        <v>#N/A</v>
      </c>
      <c r="AI212" s="8" t="str">
        <f t="array" ref="AI212">INDEX(Subject!$A:$I,MATCH(RANDBETWEEN(1,16),Subject!$B:$B,0),3)</f>
        <v>#N/A</v>
      </c>
      <c r="AJ212" s="8" t="str">
        <f t="array" ref="AJ212">INDEX(Subject!$A:$I,MATCH(RANDBETWEEN(1,16),Subject!$B:$B,0),3)</f>
        <v>#N/A</v>
      </c>
      <c r="AK212" s="8" t="str">
        <f t="array" ref="AK212">INDEX(Subject!$A:$I,MATCH(RANDBETWEEN(1,16),Subject!$B:$B,0),3)</f>
        <v>#N/A</v>
      </c>
      <c r="AL212" s="8" t="str">
        <f t="array" ref="AL212">INDEX(Subject!$A:$I,MATCH(RANDBETWEEN(1,16),Subject!$B:$B,0),3)</f>
        <v>#N/A</v>
      </c>
      <c r="AM212" s="18">
        <f t="shared" si="4"/>
        <v>45712.33333</v>
      </c>
      <c r="AN212" s="19">
        <f t="shared" ref="AN212:BZ212" si="212">$A212+C$1</f>
        <v>45712.35417</v>
      </c>
      <c r="AO212" s="19">
        <f t="shared" si="212"/>
        <v>45712.375</v>
      </c>
      <c r="AP212" s="19">
        <f t="shared" si="212"/>
        <v>45712.39583</v>
      </c>
      <c r="AQ212" s="19">
        <f t="shared" si="212"/>
        <v>45712.41667</v>
      </c>
      <c r="AR212" s="19">
        <f t="shared" si="212"/>
        <v>45712.4375</v>
      </c>
      <c r="AS212" s="19">
        <f t="shared" si="212"/>
        <v>45712.45833</v>
      </c>
      <c r="AT212" s="19">
        <f t="shared" si="212"/>
        <v>45712.47917</v>
      </c>
      <c r="AU212" s="19">
        <f t="shared" si="212"/>
        <v>45712.5</v>
      </c>
      <c r="AV212" s="19">
        <f t="shared" si="212"/>
        <v>45712.52083</v>
      </c>
      <c r="AW212" s="19">
        <f t="shared" si="212"/>
        <v>45712.54167</v>
      </c>
      <c r="AX212" s="19">
        <f t="shared" si="212"/>
        <v>45712.5625</v>
      </c>
      <c r="AY212" s="19">
        <f t="shared" si="212"/>
        <v>45712.58333</v>
      </c>
      <c r="AZ212" s="19">
        <f t="shared" si="212"/>
        <v>45712.60417</v>
      </c>
      <c r="BA212" s="19">
        <f t="shared" si="212"/>
        <v>45712.625</v>
      </c>
      <c r="BB212" s="19">
        <f t="shared" si="212"/>
        <v>45712.64583</v>
      </c>
      <c r="BC212" s="19">
        <f t="shared" si="212"/>
        <v>45712.66667</v>
      </c>
      <c r="BD212" s="19">
        <f t="shared" si="212"/>
        <v>45712.6875</v>
      </c>
      <c r="BE212" s="19">
        <f t="shared" si="212"/>
        <v>45712.70833</v>
      </c>
      <c r="BF212" s="19">
        <f t="shared" si="212"/>
        <v>45712.72917</v>
      </c>
      <c r="BG212" s="19">
        <f t="shared" si="212"/>
        <v>45712.75</v>
      </c>
      <c r="BH212" s="19">
        <f t="shared" si="212"/>
        <v>45712.77083</v>
      </c>
      <c r="BI212" s="19">
        <f t="shared" si="212"/>
        <v>45712.79167</v>
      </c>
      <c r="BJ212" s="19">
        <f t="shared" si="212"/>
        <v>45712.8125</v>
      </c>
      <c r="BK212" s="19">
        <f t="shared" si="212"/>
        <v>45712.83333</v>
      </c>
      <c r="BL212" s="19">
        <f t="shared" si="212"/>
        <v>45712.85417</v>
      </c>
      <c r="BM212" s="19">
        <f t="shared" si="212"/>
        <v>45712.875</v>
      </c>
      <c r="BN212" s="19">
        <f t="shared" si="212"/>
        <v>45712.89583</v>
      </c>
      <c r="BO212" s="19">
        <f t="shared" si="212"/>
        <v>45712.91667</v>
      </c>
      <c r="BP212" s="19">
        <f t="shared" si="212"/>
        <v>45712.9375</v>
      </c>
      <c r="BQ212" s="19">
        <f t="shared" si="212"/>
        <v>45712.95833</v>
      </c>
      <c r="BR212" s="19">
        <f t="shared" si="212"/>
        <v>45712.97917</v>
      </c>
      <c r="BS212" s="19">
        <f t="shared" si="212"/>
        <v>45713</v>
      </c>
      <c r="BT212" s="19">
        <f t="shared" si="212"/>
        <v>45713.02083</v>
      </c>
      <c r="BU212" s="19">
        <f t="shared" si="212"/>
        <v>45713.04167</v>
      </c>
      <c r="BV212" s="19">
        <f t="shared" si="212"/>
        <v>45713.0625</v>
      </c>
      <c r="BW212" s="19">
        <f t="shared" si="212"/>
        <v>45713.08333</v>
      </c>
      <c r="BX212" s="19">
        <f t="shared" si="212"/>
        <v>45712</v>
      </c>
      <c r="BY212" s="19">
        <f t="shared" si="212"/>
        <v>45712</v>
      </c>
      <c r="BZ212" s="19">
        <f t="shared" si="212"/>
        <v>45712</v>
      </c>
    </row>
    <row r="213" ht="14.25" customHeight="1">
      <c r="A213" s="17">
        <v>45713.0</v>
      </c>
      <c r="B213" s="2" t="str">
        <f t="array" ref="B213">IF(NOW()&gt;AM213,"",IF(AND((WEEKDAY($A213)+$B$2)&gt;1,((WEEKDAY($A213)+$T$2)&lt;7),(WEEKDAY($A213)&lt;&gt;1)),"work",(INDEX(Subject!$A:$I,MATCH(RANDBETWEEN(1,(MAX(Subject!$B:$B))),Subject!$B:$B,0),3))))</f>
        <v/>
      </c>
      <c r="C213" s="2" t="str">
        <f t="array" ref="C213">IF(NOW()&gt;AN213,"",IF(AND((WEEKDAY($A213)+$B$2)&gt;1,((WEEKDAY($A213)+$T$2)&lt;7),(WEEKDAY($A213)&lt;&gt;1)),"work",(INDEX(Subject!$A:$I,MATCH(RANDBETWEEN(1,(MAX(Subject!$B:$B))),Subject!$B:$B,0),3))))</f>
        <v/>
      </c>
      <c r="D213" s="2" t="str">
        <f t="array" ref="D213">IF(NOW()&gt;AO213,"",IF(AND((WEEKDAY($A213)+$B$2)&gt;1,((WEEKDAY($A213)+$T$2)&lt;7),(WEEKDAY($A213)&lt;&gt;1)),"work",(INDEX(Subject!$A:$I,MATCH(RANDBETWEEN(1,(MAX(Subject!$B:$B))),Subject!$B:$B,0),3))))</f>
        <v/>
      </c>
      <c r="E213" s="2" t="str">
        <f t="array" ref="E213">IF(NOW()&gt;AP213,"",IF(AND((WEEKDAY($A213)+$B$2)&gt;1,((WEEKDAY($A213)+$T$2)&lt;7),(WEEKDAY($A213)&lt;&gt;1)),"work",(INDEX(Subject!$A:$I,MATCH(RANDBETWEEN(1,(MAX(Subject!$B:$B))),Subject!$B:$B,0),3))))</f>
        <v/>
      </c>
      <c r="F213" s="2" t="str">
        <f t="array" ref="F213">IF(NOW()&gt;AQ213,"",IF(AND((WEEKDAY($A213)+$B$2)&gt;1,((WEEKDAY($A213)+$T$2)&lt;7),(WEEKDAY($A213)&lt;&gt;1)),"work",(INDEX(Subject!$A:$I,MATCH(RANDBETWEEN(1,(MAX(Subject!$B:$B))),Subject!$B:$B,0),3))))</f>
        <v/>
      </c>
      <c r="G213" s="2" t="str">
        <f t="array" ref="G213">IF(NOW()&gt;AR213,"",IF(AND((WEEKDAY($A213)+$B$2)&gt;1,((WEEKDAY($A213)+$T$2)&lt;7),(WEEKDAY($A213)&lt;&gt;1)),"work",(INDEX(Subject!$A:$I,MATCH(RANDBETWEEN(1,(MAX(Subject!$B:$B))),Subject!$B:$B,0),3))))</f>
        <v/>
      </c>
      <c r="H213" s="2" t="str">
        <f t="array" ref="H213">IF(NOW()&gt;AS213,"",IF(AND((WEEKDAY($A213)+$B$2)&gt;1,((WEEKDAY($A213)+$T$2)&lt;7),(WEEKDAY($A213)&lt;&gt;1)),"work",(INDEX(Subject!$A:$I,MATCH(RANDBETWEEN(1,(MAX(Subject!$B:$B))),Subject!$B:$B,0),3))))</f>
        <v/>
      </c>
      <c r="I213" s="2" t="str">
        <f t="array" ref="I213">IF(NOW()&gt;AT213,"",IF(AND((WEEKDAY($A213)+$B$2)&gt;1,((WEEKDAY($A213)+$T$2)&lt;7),(WEEKDAY($A213)&lt;&gt;1)),"work",(INDEX(Subject!$A:$I,MATCH(RANDBETWEEN(1,(MAX(Subject!$B:$B))),Subject!$B:$B,0),3))))</f>
        <v/>
      </c>
      <c r="J213" s="2" t="str">
        <f t="array" ref="J213">IF(NOW()&gt;AU213,"",IF(AND((WEEKDAY($A213)+$B$2)&gt;1,((WEEKDAY($A213)+$T$2)&lt;7),(WEEKDAY($A213)&lt;&gt;1)),"work",(INDEX(Subject!$A:$I,MATCH(RANDBETWEEN(1,(MAX(Subject!$B:$B))),Subject!$B:$B,0),3))))</f>
        <v/>
      </c>
      <c r="K213" s="2" t="str">
        <f t="array" ref="K213">IF(NOW()&gt;AV213,"",IF(AND((WEEKDAY($A213)+$B$2)&gt;1,((WEEKDAY($A213)+$T$2)&lt;7),(WEEKDAY($A213)&lt;&gt;1)),"work",(INDEX(Subject!$A:$I,MATCH(RANDBETWEEN(1,(MAX(Subject!$B:$B))),Subject!$B:$B,0),3))))</f>
        <v/>
      </c>
      <c r="L213" s="2" t="str">
        <f t="array" ref="L213">IF(NOW()&gt;AW213,"",IF(AND((WEEKDAY($A213)+$B$2)&gt;1,((WEEKDAY($A213)+$T$2)&lt;7),(WEEKDAY($A213)&lt;&gt;1)),"work",(INDEX(Subject!$A:$I,MATCH(RANDBETWEEN(1,(MAX(Subject!$B:$B))),Subject!$B:$B,0),3))))</f>
        <v/>
      </c>
      <c r="M213" s="2" t="str">
        <f t="array" ref="M213">IF(NOW()&gt;AX213,"",IF(AND((WEEKDAY($A213)+$B$2)&gt;1,((WEEKDAY($A213)+$T$2)&lt;7),(WEEKDAY($A213)&lt;&gt;1)),"work",(INDEX(Subject!$A:$I,MATCH(RANDBETWEEN(1,(MAX(Subject!$B:$B))),Subject!$B:$B,0),3))))</f>
        <v/>
      </c>
      <c r="N213" s="2" t="str">
        <f t="array" ref="N213">IF(NOW()&gt;AY213,"",IF(AND((WEEKDAY($A213)+$B$2)&gt;1,((WEEKDAY($A213)+$T$2)&lt;7),(WEEKDAY($A213)&lt;&gt;1)),"work",(INDEX(Subject!$A:$I,MATCH(RANDBETWEEN(1,(MAX(Subject!$B:$B))),Subject!$B:$B,0),3))))</f>
        <v/>
      </c>
      <c r="O213" s="2" t="str">
        <f t="array" ref="O213">IF(NOW()&gt;AZ213,"",IF(AND((WEEKDAY($A213)+$B$2)&gt;1,((WEEKDAY($A213)+$T$2)&lt;7),(WEEKDAY($A213)&lt;&gt;1)),"work",(INDEX(Subject!$A:$I,MATCH(RANDBETWEEN(1,(MAX(Subject!$B:$B))),Subject!$B:$B,0),3))))</f>
        <v/>
      </c>
      <c r="P213" s="2" t="str">
        <f t="array" ref="P213">IF(NOW()&gt;BA213,"",IF(AND((WEEKDAY($A213)+$B$2)&gt;1,((WEEKDAY($A213)+$T$2)&lt;7),(WEEKDAY($A213)&lt;&gt;1)),"work",(INDEX(Subject!$A:$I,MATCH(RANDBETWEEN(1,(MAX(Subject!$B:$B))),Subject!$B:$B,0),3))))</f>
        <v/>
      </c>
      <c r="Q213" s="2" t="str">
        <f t="array" ref="Q213">IF(NOW()&gt;BB213,"",IF(AND((WEEKDAY($A213)+$B$2)&gt;1,((WEEKDAY($A213)+$T$2)&lt;7),(WEEKDAY($A213)&lt;&gt;1)),"work",(INDEX(Subject!$A:$I,MATCH(RANDBETWEEN(1,(MAX(Subject!$B:$B))),Subject!$B:$B,0),3))))</f>
        <v/>
      </c>
      <c r="R213" s="2" t="str">
        <f t="array" ref="R213">IF(NOW()&gt;BC213,"",IF(AND((WEEKDAY($A213)+$B$2)&gt;1,((WEEKDAY($A213)+$T$2)&lt;7),(WEEKDAY($A213)&lt;&gt;1)),"work",(INDEX(Subject!$A:$I,MATCH(RANDBETWEEN(1,(MAX(Subject!$B:$B))),Subject!$B:$B,0),3))))</f>
        <v/>
      </c>
      <c r="S213" s="2" t="str">
        <f t="array" ref="S213">IF(NOW()&gt;BD213,"",IF(AND((WEEKDAY($A213)+$B$2)&gt;1,((WEEKDAY($A213)+$T$2)&lt;7),(WEEKDAY($A213)&lt;&gt;1)),"work",(INDEX(Subject!$A:$I,MATCH(RANDBETWEEN(1,(MAX(Subject!$B:$B))),Subject!$B:$B,0),3))))</f>
        <v/>
      </c>
      <c r="T213" s="2" t="str">
        <f t="array" ref="T213">IF(NOW()&gt;BE213,"",IF(AND((WEEKDAY($A213)+$B$2)&gt;1,((WEEKDAY($A213)+$T$2)&lt;7),(WEEKDAY($A213)&lt;&gt;1)),"work",(INDEX(Subject!$A:$I,MATCH(RANDBETWEEN(1,(MAX(Subject!$B:$B))),Subject!$B:$B,0),3))))</f>
        <v/>
      </c>
      <c r="U213" s="8" t="str">
        <f t="array" ref="U213">INDEX(Subject!$A:$I,MATCH(RANDBETWEEN(1,16),Subject!$B:$B,0),3)</f>
        <v>#N/A</v>
      </c>
      <c r="V213" s="8" t="str">
        <f t="array" ref="V213">INDEX(Subject!$A:$I,MATCH(RANDBETWEEN(1,16),Subject!$B:$B,0),3)</f>
        <v>#N/A</v>
      </c>
      <c r="W213" s="8" t="str">
        <f t="array" ref="W213">INDEX(Subject!$A:$I,MATCH(RANDBETWEEN(1,16),Subject!$B:$B,0),3)</f>
        <v>#N/A</v>
      </c>
      <c r="X213" s="8" t="str">
        <f t="array" ref="X213">INDEX(Subject!$A:$I,MATCH(RANDBETWEEN(1,16),Subject!$B:$B,0),3)</f>
        <v>#N/A</v>
      </c>
      <c r="Y213" s="8" t="str">
        <f t="array" ref="Y213">INDEX(Subject!$A:$I,MATCH(RANDBETWEEN(1,16),Subject!$B:$B,0),3)</f>
        <v>#N/A</v>
      </c>
      <c r="Z213" s="8" t="str">
        <f t="array" ref="Z213">INDEX(Subject!$A:$I,MATCH(RANDBETWEEN(1,16),Subject!$B:$B,0),3)</f>
        <v>#N/A</v>
      </c>
      <c r="AA213" s="8" t="str">
        <f t="array" ref="AA213">INDEX(Subject!$A:$I,MATCH(RANDBETWEEN(1,16),Subject!$B:$B,0),3)</f>
        <v>#N/A</v>
      </c>
      <c r="AB213" s="8" t="str">
        <f t="array" ref="AB213">INDEX(Subject!$A:$I,MATCH(RANDBETWEEN(1,16),Subject!$B:$B,0),3)</f>
        <v>#N/A</v>
      </c>
      <c r="AC213" s="8" t="str">
        <f t="array" ref="AC213">INDEX(Subject!$A:$I,MATCH(RANDBETWEEN(1,16),Subject!$B:$B,0),3)</f>
        <v>#N/A</v>
      </c>
      <c r="AD213" s="8" t="str">
        <f t="array" ref="AD213">INDEX(Subject!$A:$I,MATCH(RANDBETWEEN(1,16),Subject!$B:$B,0),3)</f>
        <v>#N/A</v>
      </c>
      <c r="AE213" s="8" t="str">
        <f t="array" ref="AE213">INDEX(Subject!$A:$I,MATCH(RANDBETWEEN(1,16),Subject!$B:$B,0),3)</f>
        <v>#N/A</v>
      </c>
      <c r="AF213" s="8" t="str">
        <f t="array" ref="AF213">INDEX(Subject!$A:$I,MATCH(RANDBETWEEN(1,16),Subject!$B:$B,0),3)</f>
        <v>#N/A</v>
      </c>
      <c r="AG213" s="8" t="str">
        <f t="array" ref="AG213">INDEX(Subject!$A:$I,MATCH(RANDBETWEEN(1,16),Subject!$B:$B,0),3)</f>
        <v>#N/A</v>
      </c>
      <c r="AH213" s="8" t="str">
        <f t="array" ref="AH213">INDEX(Subject!$A:$I,MATCH(RANDBETWEEN(1,16),Subject!$B:$B,0),3)</f>
        <v>#N/A</v>
      </c>
      <c r="AI213" s="8" t="str">
        <f t="array" ref="AI213">INDEX(Subject!$A:$I,MATCH(RANDBETWEEN(1,16),Subject!$B:$B,0),3)</f>
        <v/>
      </c>
      <c r="AJ213" s="8" t="str">
        <f t="array" ref="AJ213">INDEX(Subject!$A:$I,MATCH(RANDBETWEEN(1,16),Subject!$B:$B,0),3)</f>
        <v>#N/A</v>
      </c>
      <c r="AK213" s="8" t="str">
        <f t="array" ref="AK213">INDEX(Subject!$A:$I,MATCH(RANDBETWEEN(1,16),Subject!$B:$B,0),3)</f>
        <v>#N/A</v>
      </c>
      <c r="AL213" s="8" t="str">
        <f t="array" ref="AL213">INDEX(Subject!$A:$I,MATCH(RANDBETWEEN(1,16),Subject!$B:$B,0),3)</f>
        <v>#N/A</v>
      </c>
      <c r="AM213" s="18">
        <f t="shared" si="4"/>
        <v>45713.33333</v>
      </c>
      <c r="AN213" s="19">
        <f t="shared" ref="AN213:BZ213" si="213">$A213+C$1</f>
        <v>45713.35417</v>
      </c>
      <c r="AO213" s="19">
        <f t="shared" si="213"/>
        <v>45713.375</v>
      </c>
      <c r="AP213" s="19">
        <f t="shared" si="213"/>
        <v>45713.39583</v>
      </c>
      <c r="AQ213" s="19">
        <f t="shared" si="213"/>
        <v>45713.41667</v>
      </c>
      <c r="AR213" s="19">
        <f t="shared" si="213"/>
        <v>45713.4375</v>
      </c>
      <c r="AS213" s="19">
        <f t="shared" si="213"/>
        <v>45713.45833</v>
      </c>
      <c r="AT213" s="19">
        <f t="shared" si="213"/>
        <v>45713.47917</v>
      </c>
      <c r="AU213" s="19">
        <f t="shared" si="213"/>
        <v>45713.5</v>
      </c>
      <c r="AV213" s="19">
        <f t="shared" si="213"/>
        <v>45713.52083</v>
      </c>
      <c r="AW213" s="19">
        <f t="shared" si="213"/>
        <v>45713.54167</v>
      </c>
      <c r="AX213" s="19">
        <f t="shared" si="213"/>
        <v>45713.5625</v>
      </c>
      <c r="AY213" s="19">
        <f t="shared" si="213"/>
        <v>45713.58333</v>
      </c>
      <c r="AZ213" s="19">
        <f t="shared" si="213"/>
        <v>45713.60417</v>
      </c>
      <c r="BA213" s="19">
        <f t="shared" si="213"/>
        <v>45713.625</v>
      </c>
      <c r="BB213" s="19">
        <f t="shared" si="213"/>
        <v>45713.64583</v>
      </c>
      <c r="BC213" s="19">
        <f t="shared" si="213"/>
        <v>45713.66667</v>
      </c>
      <c r="BD213" s="19">
        <f t="shared" si="213"/>
        <v>45713.6875</v>
      </c>
      <c r="BE213" s="19">
        <f t="shared" si="213"/>
        <v>45713.70833</v>
      </c>
      <c r="BF213" s="19">
        <f t="shared" si="213"/>
        <v>45713.72917</v>
      </c>
      <c r="BG213" s="19">
        <f t="shared" si="213"/>
        <v>45713.75</v>
      </c>
      <c r="BH213" s="19">
        <f t="shared" si="213"/>
        <v>45713.77083</v>
      </c>
      <c r="BI213" s="19">
        <f t="shared" si="213"/>
        <v>45713.79167</v>
      </c>
      <c r="BJ213" s="19">
        <f t="shared" si="213"/>
        <v>45713.8125</v>
      </c>
      <c r="BK213" s="19">
        <f t="shared" si="213"/>
        <v>45713.83333</v>
      </c>
      <c r="BL213" s="19">
        <f t="shared" si="213"/>
        <v>45713.85417</v>
      </c>
      <c r="BM213" s="19">
        <f t="shared" si="213"/>
        <v>45713.875</v>
      </c>
      <c r="BN213" s="19">
        <f t="shared" si="213"/>
        <v>45713.89583</v>
      </c>
      <c r="BO213" s="19">
        <f t="shared" si="213"/>
        <v>45713.91667</v>
      </c>
      <c r="BP213" s="19">
        <f t="shared" si="213"/>
        <v>45713.9375</v>
      </c>
      <c r="BQ213" s="19">
        <f t="shared" si="213"/>
        <v>45713.95833</v>
      </c>
      <c r="BR213" s="19">
        <f t="shared" si="213"/>
        <v>45713.97917</v>
      </c>
      <c r="BS213" s="19">
        <f t="shared" si="213"/>
        <v>45714</v>
      </c>
      <c r="BT213" s="19">
        <f t="shared" si="213"/>
        <v>45714.02083</v>
      </c>
      <c r="BU213" s="19">
        <f t="shared" si="213"/>
        <v>45714.04167</v>
      </c>
      <c r="BV213" s="19">
        <f t="shared" si="213"/>
        <v>45714.0625</v>
      </c>
      <c r="BW213" s="19">
        <f t="shared" si="213"/>
        <v>45714.08333</v>
      </c>
      <c r="BX213" s="19">
        <f t="shared" si="213"/>
        <v>45713</v>
      </c>
      <c r="BY213" s="19">
        <f t="shared" si="213"/>
        <v>45713</v>
      </c>
      <c r="BZ213" s="19">
        <f t="shared" si="213"/>
        <v>45713</v>
      </c>
    </row>
    <row r="214" ht="14.25" customHeight="1">
      <c r="A214" s="17">
        <v>45714.0</v>
      </c>
      <c r="B214" s="2" t="str">
        <f t="array" ref="B214">IF(NOW()&gt;AM214,"",IF(AND((WEEKDAY($A214)+$B$2)&gt;1,((WEEKDAY($A214)+$T$2)&lt;7),(WEEKDAY($A214)&lt;&gt;1)),"work",(INDEX(Subject!$A:$I,MATCH(RANDBETWEEN(1,(MAX(Subject!$B:$B))),Subject!$B:$B,0),3))))</f>
        <v/>
      </c>
      <c r="C214" s="2" t="str">
        <f t="array" ref="C214">IF(NOW()&gt;AN214,"",IF(AND((WEEKDAY($A214)+$B$2)&gt;1,((WEEKDAY($A214)+$T$2)&lt;7),(WEEKDAY($A214)&lt;&gt;1)),"work",(INDEX(Subject!$A:$I,MATCH(RANDBETWEEN(1,(MAX(Subject!$B:$B))),Subject!$B:$B,0),3))))</f>
        <v/>
      </c>
      <c r="D214" s="2" t="str">
        <f t="array" ref="D214">IF(NOW()&gt;AO214,"",IF(AND((WEEKDAY($A214)+$B$2)&gt;1,((WEEKDAY($A214)+$T$2)&lt;7),(WEEKDAY($A214)&lt;&gt;1)),"work",(INDEX(Subject!$A:$I,MATCH(RANDBETWEEN(1,(MAX(Subject!$B:$B))),Subject!$B:$B,0),3))))</f>
        <v/>
      </c>
      <c r="E214" s="2" t="str">
        <f t="array" ref="E214">IF(NOW()&gt;AP214,"",IF(AND((WEEKDAY($A214)+$B$2)&gt;1,((WEEKDAY($A214)+$T$2)&lt;7),(WEEKDAY($A214)&lt;&gt;1)),"work",(INDEX(Subject!$A:$I,MATCH(RANDBETWEEN(1,(MAX(Subject!$B:$B))),Subject!$B:$B,0),3))))</f>
        <v/>
      </c>
      <c r="F214" s="2" t="str">
        <f t="array" ref="F214">IF(NOW()&gt;AQ214,"",IF(AND((WEEKDAY($A214)+$B$2)&gt;1,((WEEKDAY($A214)+$T$2)&lt;7),(WEEKDAY($A214)&lt;&gt;1)),"work",(INDEX(Subject!$A:$I,MATCH(RANDBETWEEN(1,(MAX(Subject!$B:$B))),Subject!$B:$B,0),3))))</f>
        <v/>
      </c>
      <c r="G214" s="2" t="str">
        <f t="array" ref="G214">IF(NOW()&gt;AR214,"",IF(AND((WEEKDAY($A214)+$B$2)&gt;1,((WEEKDAY($A214)+$T$2)&lt;7),(WEEKDAY($A214)&lt;&gt;1)),"work",(INDEX(Subject!$A:$I,MATCH(RANDBETWEEN(1,(MAX(Subject!$B:$B))),Subject!$B:$B,0),3))))</f>
        <v/>
      </c>
      <c r="H214" s="2" t="str">
        <f t="array" ref="H214">IF(NOW()&gt;AS214,"",IF(AND((WEEKDAY($A214)+$B$2)&gt;1,((WEEKDAY($A214)+$T$2)&lt;7),(WEEKDAY($A214)&lt;&gt;1)),"work",(INDEX(Subject!$A:$I,MATCH(RANDBETWEEN(1,(MAX(Subject!$B:$B))),Subject!$B:$B,0),3))))</f>
        <v/>
      </c>
      <c r="I214" s="2" t="str">
        <f t="array" ref="I214">IF(NOW()&gt;AT214,"",IF(AND((WEEKDAY($A214)+$B$2)&gt;1,((WEEKDAY($A214)+$T$2)&lt;7),(WEEKDAY($A214)&lt;&gt;1)),"work",(INDEX(Subject!$A:$I,MATCH(RANDBETWEEN(1,(MAX(Subject!$B:$B))),Subject!$B:$B,0),3))))</f>
        <v/>
      </c>
      <c r="J214" s="2" t="str">
        <f t="array" ref="J214">IF(NOW()&gt;AU214,"",IF(AND((WEEKDAY($A214)+$B$2)&gt;1,((WEEKDAY($A214)+$T$2)&lt;7),(WEEKDAY($A214)&lt;&gt;1)),"work",(INDEX(Subject!$A:$I,MATCH(RANDBETWEEN(1,(MAX(Subject!$B:$B))),Subject!$B:$B,0),3))))</f>
        <v/>
      </c>
      <c r="K214" s="2" t="str">
        <f t="array" ref="K214">IF(NOW()&gt;AV214,"",IF(AND((WEEKDAY($A214)+$B$2)&gt;1,((WEEKDAY($A214)+$T$2)&lt;7),(WEEKDAY($A214)&lt;&gt;1)),"work",(INDEX(Subject!$A:$I,MATCH(RANDBETWEEN(1,(MAX(Subject!$B:$B))),Subject!$B:$B,0),3))))</f>
        <v/>
      </c>
      <c r="L214" s="2" t="str">
        <f t="array" ref="L214">IF(NOW()&gt;AW214,"",IF(AND((WEEKDAY($A214)+$B$2)&gt;1,((WEEKDAY($A214)+$T$2)&lt;7),(WEEKDAY($A214)&lt;&gt;1)),"work",(INDEX(Subject!$A:$I,MATCH(RANDBETWEEN(1,(MAX(Subject!$B:$B))),Subject!$B:$B,0),3))))</f>
        <v/>
      </c>
      <c r="M214" s="2" t="str">
        <f t="array" ref="M214">IF(NOW()&gt;AX214,"",IF(AND((WEEKDAY($A214)+$B$2)&gt;1,((WEEKDAY($A214)+$T$2)&lt;7),(WEEKDAY($A214)&lt;&gt;1)),"work",(INDEX(Subject!$A:$I,MATCH(RANDBETWEEN(1,(MAX(Subject!$B:$B))),Subject!$B:$B,0),3))))</f>
        <v/>
      </c>
      <c r="N214" s="2" t="str">
        <f t="array" ref="N214">IF(NOW()&gt;AY214,"",IF(AND((WEEKDAY($A214)+$B$2)&gt;1,((WEEKDAY($A214)+$T$2)&lt;7),(WEEKDAY($A214)&lt;&gt;1)),"work",(INDEX(Subject!$A:$I,MATCH(RANDBETWEEN(1,(MAX(Subject!$B:$B))),Subject!$B:$B,0),3))))</f>
        <v/>
      </c>
      <c r="O214" s="2" t="str">
        <f t="array" ref="O214">IF(NOW()&gt;AZ214,"",IF(AND((WEEKDAY($A214)+$B$2)&gt;1,((WEEKDAY($A214)+$T$2)&lt;7),(WEEKDAY($A214)&lt;&gt;1)),"work",(INDEX(Subject!$A:$I,MATCH(RANDBETWEEN(1,(MAX(Subject!$B:$B))),Subject!$B:$B,0),3))))</f>
        <v/>
      </c>
      <c r="P214" s="2" t="str">
        <f t="array" ref="P214">IF(NOW()&gt;BA214,"",IF(AND((WEEKDAY($A214)+$B$2)&gt;1,((WEEKDAY($A214)+$T$2)&lt;7),(WEEKDAY($A214)&lt;&gt;1)),"work",(INDEX(Subject!$A:$I,MATCH(RANDBETWEEN(1,(MAX(Subject!$B:$B))),Subject!$B:$B,0),3))))</f>
        <v/>
      </c>
      <c r="Q214" s="2" t="str">
        <f t="array" ref="Q214">IF(NOW()&gt;BB214,"",IF(AND((WEEKDAY($A214)+$B$2)&gt;1,((WEEKDAY($A214)+$T$2)&lt;7),(WEEKDAY($A214)&lt;&gt;1)),"work",(INDEX(Subject!$A:$I,MATCH(RANDBETWEEN(1,(MAX(Subject!$B:$B))),Subject!$B:$B,0),3))))</f>
        <v/>
      </c>
      <c r="R214" s="2" t="str">
        <f t="array" ref="R214">IF(NOW()&gt;BC214,"",IF(AND((WEEKDAY($A214)+$B$2)&gt;1,((WEEKDAY($A214)+$T$2)&lt;7),(WEEKDAY($A214)&lt;&gt;1)),"work",(INDEX(Subject!$A:$I,MATCH(RANDBETWEEN(1,(MAX(Subject!$B:$B))),Subject!$B:$B,0),3))))</f>
        <v/>
      </c>
      <c r="S214" s="2" t="str">
        <f t="array" ref="S214">IF(NOW()&gt;BD214,"",IF(AND((WEEKDAY($A214)+$B$2)&gt;1,((WEEKDAY($A214)+$T$2)&lt;7),(WEEKDAY($A214)&lt;&gt;1)),"work",(INDEX(Subject!$A:$I,MATCH(RANDBETWEEN(1,(MAX(Subject!$B:$B))),Subject!$B:$B,0),3))))</f>
        <v/>
      </c>
      <c r="T214" s="2" t="str">
        <f t="array" ref="T214">IF(NOW()&gt;BE214,"",IF(AND((WEEKDAY($A214)+$B$2)&gt;1,((WEEKDAY($A214)+$T$2)&lt;7),(WEEKDAY($A214)&lt;&gt;1)),"work",(INDEX(Subject!$A:$I,MATCH(RANDBETWEEN(1,(MAX(Subject!$B:$B))),Subject!$B:$B,0),3))))</f>
        <v/>
      </c>
      <c r="U214" s="8" t="str">
        <f t="array" ref="U214">INDEX(Subject!$A:$I,MATCH(RANDBETWEEN(1,16),Subject!$B:$B,0),3)</f>
        <v>#N/A</v>
      </c>
      <c r="V214" s="8" t="str">
        <f t="array" ref="V214">INDEX(Subject!$A:$I,MATCH(RANDBETWEEN(1,16),Subject!$B:$B,0),3)</f>
        <v>#N/A</v>
      </c>
      <c r="W214" s="8" t="str">
        <f t="array" ref="W214">INDEX(Subject!$A:$I,MATCH(RANDBETWEEN(1,16),Subject!$B:$B,0),3)</f>
        <v>#N/A</v>
      </c>
      <c r="X214" s="8" t="str">
        <f t="array" ref="X214">INDEX(Subject!$A:$I,MATCH(RANDBETWEEN(1,16),Subject!$B:$B,0),3)</f>
        <v>#N/A</v>
      </c>
      <c r="Y214" s="8" t="str">
        <f t="array" ref="Y214">INDEX(Subject!$A:$I,MATCH(RANDBETWEEN(1,16),Subject!$B:$B,0),3)</f>
        <v>#N/A</v>
      </c>
      <c r="Z214" s="8" t="str">
        <f t="array" ref="Z214">INDEX(Subject!$A:$I,MATCH(RANDBETWEEN(1,16),Subject!$B:$B,0),3)</f>
        <v>#N/A</v>
      </c>
      <c r="AA214" s="8" t="str">
        <f t="array" ref="AA214">INDEX(Subject!$A:$I,MATCH(RANDBETWEEN(1,16),Subject!$B:$B,0),3)</f>
        <v>#N/A</v>
      </c>
      <c r="AB214" s="8" t="str">
        <f t="array" ref="AB214">INDEX(Subject!$A:$I,MATCH(RANDBETWEEN(1,16),Subject!$B:$B,0),3)</f>
        <v>#N/A</v>
      </c>
      <c r="AC214" s="8" t="str">
        <f t="array" ref="AC214">INDEX(Subject!$A:$I,MATCH(RANDBETWEEN(1,16),Subject!$B:$B,0),3)</f>
        <v>#N/A</v>
      </c>
      <c r="AD214" s="8" t="str">
        <f t="array" ref="AD214">INDEX(Subject!$A:$I,MATCH(RANDBETWEEN(1,16),Subject!$B:$B,0),3)</f>
        <v>#N/A</v>
      </c>
      <c r="AE214" s="8" t="str">
        <f t="array" ref="AE214">INDEX(Subject!$A:$I,MATCH(RANDBETWEEN(1,16),Subject!$B:$B,0),3)</f>
        <v>#N/A</v>
      </c>
      <c r="AF214" s="8" t="str">
        <f t="array" ref="AF214">INDEX(Subject!$A:$I,MATCH(RANDBETWEEN(1,16),Subject!$B:$B,0),3)</f>
        <v>#N/A</v>
      </c>
      <c r="AG214" s="8" t="str">
        <f t="array" ref="AG214">INDEX(Subject!$A:$I,MATCH(RANDBETWEEN(1,16),Subject!$B:$B,0),3)</f>
        <v>#N/A</v>
      </c>
      <c r="AH214" s="8" t="str">
        <f t="array" ref="AH214">INDEX(Subject!$A:$I,MATCH(RANDBETWEEN(1,16),Subject!$B:$B,0),3)</f>
        <v>#N/A</v>
      </c>
      <c r="AI214" s="8" t="str">
        <f t="array" ref="AI214">INDEX(Subject!$A:$I,MATCH(RANDBETWEEN(1,16),Subject!$B:$B,0),3)</f>
        <v>#N/A</v>
      </c>
      <c r="AJ214" s="8" t="str">
        <f t="array" ref="AJ214">INDEX(Subject!$A:$I,MATCH(RANDBETWEEN(1,16),Subject!$B:$B,0),3)</f>
        <v>#N/A</v>
      </c>
      <c r="AK214" s="8" t="str">
        <f t="array" ref="AK214">INDEX(Subject!$A:$I,MATCH(RANDBETWEEN(1,16),Subject!$B:$B,0),3)</f>
        <v>#N/A</v>
      </c>
      <c r="AL214" s="8" t="str">
        <f t="array" ref="AL214">INDEX(Subject!$A:$I,MATCH(RANDBETWEEN(1,16),Subject!$B:$B,0),3)</f>
        <v>#N/A</v>
      </c>
      <c r="AM214" s="18">
        <f t="shared" si="4"/>
        <v>45714.33333</v>
      </c>
      <c r="AN214" s="19">
        <f t="shared" ref="AN214:BZ214" si="214">$A214+C$1</f>
        <v>45714.35417</v>
      </c>
      <c r="AO214" s="19">
        <f t="shared" si="214"/>
        <v>45714.375</v>
      </c>
      <c r="AP214" s="19">
        <f t="shared" si="214"/>
        <v>45714.39583</v>
      </c>
      <c r="AQ214" s="19">
        <f t="shared" si="214"/>
        <v>45714.41667</v>
      </c>
      <c r="AR214" s="19">
        <f t="shared" si="214"/>
        <v>45714.4375</v>
      </c>
      <c r="AS214" s="19">
        <f t="shared" si="214"/>
        <v>45714.45833</v>
      </c>
      <c r="AT214" s="19">
        <f t="shared" si="214"/>
        <v>45714.47917</v>
      </c>
      <c r="AU214" s="19">
        <f t="shared" si="214"/>
        <v>45714.5</v>
      </c>
      <c r="AV214" s="19">
        <f t="shared" si="214"/>
        <v>45714.52083</v>
      </c>
      <c r="AW214" s="19">
        <f t="shared" si="214"/>
        <v>45714.54167</v>
      </c>
      <c r="AX214" s="19">
        <f t="shared" si="214"/>
        <v>45714.5625</v>
      </c>
      <c r="AY214" s="19">
        <f t="shared" si="214"/>
        <v>45714.58333</v>
      </c>
      <c r="AZ214" s="19">
        <f t="shared" si="214"/>
        <v>45714.60417</v>
      </c>
      <c r="BA214" s="19">
        <f t="shared" si="214"/>
        <v>45714.625</v>
      </c>
      <c r="BB214" s="19">
        <f t="shared" si="214"/>
        <v>45714.64583</v>
      </c>
      <c r="BC214" s="19">
        <f t="shared" si="214"/>
        <v>45714.66667</v>
      </c>
      <c r="BD214" s="19">
        <f t="shared" si="214"/>
        <v>45714.6875</v>
      </c>
      <c r="BE214" s="19">
        <f t="shared" si="214"/>
        <v>45714.70833</v>
      </c>
      <c r="BF214" s="19">
        <f t="shared" si="214"/>
        <v>45714.72917</v>
      </c>
      <c r="BG214" s="19">
        <f t="shared" si="214"/>
        <v>45714.75</v>
      </c>
      <c r="BH214" s="19">
        <f t="shared" si="214"/>
        <v>45714.77083</v>
      </c>
      <c r="BI214" s="19">
        <f t="shared" si="214"/>
        <v>45714.79167</v>
      </c>
      <c r="BJ214" s="19">
        <f t="shared" si="214"/>
        <v>45714.8125</v>
      </c>
      <c r="BK214" s="19">
        <f t="shared" si="214"/>
        <v>45714.83333</v>
      </c>
      <c r="BL214" s="19">
        <f t="shared" si="214"/>
        <v>45714.85417</v>
      </c>
      <c r="BM214" s="19">
        <f t="shared" si="214"/>
        <v>45714.875</v>
      </c>
      <c r="BN214" s="19">
        <f t="shared" si="214"/>
        <v>45714.89583</v>
      </c>
      <c r="BO214" s="19">
        <f t="shared" si="214"/>
        <v>45714.91667</v>
      </c>
      <c r="BP214" s="19">
        <f t="shared" si="214"/>
        <v>45714.9375</v>
      </c>
      <c r="BQ214" s="19">
        <f t="shared" si="214"/>
        <v>45714.95833</v>
      </c>
      <c r="BR214" s="19">
        <f t="shared" si="214"/>
        <v>45714.97917</v>
      </c>
      <c r="BS214" s="19">
        <f t="shared" si="214"/>
        <v>45715</v>
      </c>
      <c r="BT214" s="19">
        <f t="shared" si="214"/>
        <v>45715.02083</v>
      </c>
      <c r="BU214" s="19">
        <f t="shared" si="214"/>
        <v>45715.04167</v>
      </c>
      <c r="BV214" s="19">
        <f t="shared" si="214"/>
        <v>45715.0625</v>
      </c>
      <c r="BW214" s="19">
        <f t="shared" si="214"/>
        <v>45715.08333</v>
      </c>
      <c r="BX214" s="19">
        <f t="shared" si="214"/>
        <v>45714</v>
      </c>
      <c r="BY214" s="19">
        <f t="shared" si="214"/>
        <v>45714</v>
      </c>
      <c r="BZ214" s="19">
        <f t="shared" si="214"/>
        <v>45714</v>
      </c>
    </row>
    <row r="215" ht="14.25" customHeight="1">
      <c r="A215" s="17">
        <v>45715.0</v>
      </c>
      <c r="B215" s="2" t="str">
        <f t="array" ref="B215">IF(NOW()&gt;AM215,"",IF(AND((WEEKDAY($A215)+$B$2)&gt;1,((WEEKDAY($A215)+$T$2)&lt;7),(WEEKDAY($A215)&lt;&gt;1)),"work",(INDEX(Subject!$A:$I,MATCH(RANDBETWEEN(1,(MAX(Subject!$B:$B))),Subject!$B:$B,0),3))))</f>
        <v/>
      </c>
      <c r="C215" s="2" t="str">
        <f t="array" ref="C215">IF(NOW()&gt;AN215,"",IF(AND((WEEKDAY($A215)+$B$2)&gt;1,((WEEKDAY($A215)+$T$2)&lt;7),(WEEKDAY($A215)&lt;&gt;1)),"work",(INDEX(Subject!$A:$I,MATCH(RANDBETWEEN(1,(MAX(Subject!$B:$B))),Subject!$B:$B,0),3))))</f>
        <v/>
      </c>
      <c r="D215" s="2" t="str">
        <f t="array" ref="D215">IF(NOW()&gt;AO215,"",IF(AND((WEEKDAY($A215)+$B$2)&gt;1,((WEEKDAY($A215)+$T$2)&lt;7),(WEEKDAY($A215)&lt;&gt;1)),"work",(INDEX(Subject!$A:$I,MATCH(RANDBETWEEN(1,(MAX(Subject!$B:$B))),Subject!$B:$B,0),3))))</f>
        <v/>
      </c>
      <c r="E215" s="2" t="str">
        <f t="array" ref="E215">IF(NOW()&gt;AP215,"",IF(AND((WEEKDAY($A215)+$B$2)&gt;1,((WEEKDAY($A215)+$T$2)&lt;7),(WEEKDAY($A215)&lt;&gt;1)),"work",(INDEX(Subject!$A:$I,MATCH(RANDBETWEEN(1,(MAX(Subject!$B:$B))),Subject!$B:$B,0),3))))</f>
        <v/>
      </c>
      <c r="F215" s="2" t="str">
        <f t="array" ref="F215">IF(NOW()&gt;AQ215,"",IF(AND((WEEKDAY($A215)+$B$2)&gt;1,((WEEKDAY($A215)+$T$2)&lt;7),(WEEKDAY($A215)&lt;&gt;1)),"work",(INDEX(Subject!$A:$I,MATCH(RANDBETWEEN(1,(MAX(Subject!$B:$B))),Subject!$B:$B,0),3))))</f>
        <v/>
      </c>
      <c r="G215" s="2" t="str">
        <f t="array" ref="G215">IF(NOW()&gt;AR215,"",IF(AND((WEEKDAY($A215)+$B$2)&gt;1,((WEEKDAY($A215)+$T$2)&lt;7),(WEEKDAY($A215)&lt;&gt;1)),"work",(INDEX(Subject!$A:$I,MATCH(RANDBETWEEN(1,(MAX(Subject!$B:$B))),Subject!$B:$B,0),3))))</f>
        <v/>
      </c>
      <c r="H215" s="2" t="str">
        <f t="array" ref="H215">IF(NOW()&gt;AS215,"",IF(AND((WEEKDAY($A215)+$B$2)&gt;1,((WEEKDAY($A215)+$T$2)&lt;7),(WEEKDAY($A215)&lt;&gt;1)),"work",(INDEX(Subject!$A:$I,MATCH(RANDBETWEEN(1,(MAX(Subject!$B:$B))),Subject!$B:$B,0),3))))</f>
        <v/>
      </c>
      <c r="I215" s="2" t="str">
        <f t="array" ref="I215">IF(NOW()&gt;AT215,"",IF(AND((WEEKDAY($A215)+$B$2)&gt;1,((WEEKDAY($A215)+$T$2)&lt;7),(WEEKDAY($A215)&lt;&gt;1)),"work",(INDEX(Subject!$A:$I,MATCH(RANDBETWEEN(1,(MAX(Subject!$B:$B))),Subject!$B:$B,0),3))))</f>
        <v/>
      </c>
      <c r="J215" s="2" t="str">
        <f t="array" ref="J215">IF(NOW()&gt;AU215,"",IF(AND((WEEKDAY($A215)+$B$2)&gt;1,((WEEKDAY($A215)+$T$2)&lt;7),(WEEKDAY($A215)&lt;&gt;1)),"work",(INDEX(Subject!$A:$I,MATCH(RANDBETWEEN(1,(MAX(Subject!$B:$B))),Subject!$B:$B,0),3))))</f>
        <v/>
      </c>
      <c r="K215" s="2" t="str">
        <f t="array" ref="K215">IF(NOW()&gt;AV215,"",IF(AND((WEEKDAY($A215)+$B$2)&gt;1,((WEEKDAY($A215)+$T$2)&lt;7),(WEEKDAY($A215)&lt;&gt;1)),"work",(INDEX(Subject!$A:$I,MATCH(RANDBETWEEN(1,(MAX(Subject!$B:$B))),Subject!$B:$B,0),3))))</f>
        <v/>
      </c>
      <c r="L215" s="2" t="str">
        <f t="array" ref="L215">IF(NOW()&gt;AW215,"",IF(AND((WEEKDAY($A215)+$B$2)&gt;1,((WEEKDAY($A215)+$T$2)&lt;7),(WEEKDAY($A215)&lt;&gt;1)),"work",(INDEX(Subject!$A:$I,MATCH(RANDBETWEEN(1,(MAX(Subject!$B:$B))),Subject!$B:$B,0),3))))</f>
        <v/>
      </c>
      <c r="M215" s="2" t="str">
        <f t="array" ref="M215">IF(NOW()&gt;AX215,"",IF(AND((WEEKDAY($A215)+$B$2)&gt;1,((WEEKDAY($A215)+$T$2)&lt;7),(WEEKDAY($A215)&lt;&gt;1)),"work",(INDEX(Subject!$A:$I,MATCH(RANDBETWEEN(1,(MAX(Subject!$B:$B))),Subject!$B:$B,0),3))))</f>
        <v/>
      </c>
      <c r="N215" s="2" t="str">
        <f t="array" ref="N215">IF(NOW()&gt;AY215,"",IF(AND((WEEKDAY($A215)+$B$2)&gt;1,((WEEKDAY($A215)+$T$2)&lt;7),(WEEKDAY($A215)&lt;&gt;1)),"work",(INDEX(Subject!$A:$I,MATCH(RANDBETWEEN(1,(MAX(Subject!$B:$B))),Subject!$B:$B,0),3))))</f>
        <v/>
      </c>
      <c r="O215" s="2" t="str">
        <f t="array" ref="O215">IF(NOW()&gt;AZ215,"",IF(AND((WEEKDAY($A215)+$B$2)&gt;1,((WEEKDAY($A215)+$T$2)&lt;7),(WEEKDAY($A215)&lt;&gt;1)),"work",(INDEX(Subject!$A:$I,MATCH(RANDBETWEEN(1,(MAX(Subject!$B:$B))),Subject!$B:$B,0),3))))</f>
        <v/>
      </c>
      <c r="P215" s="2" t="str">
        <f t="array" ref="P215">IF(NOW()&gt;BA215,"",IF(AND((WEEKDAY($A215)+$B$2)&gt;1,((WEEKDAY($A215)+$T$2)&lt;7),(WEEKDAY($A215)&lt;&gt;1)),"work",(INDEX(Subject!$A:$I,MATCH(RANDBETWEEN(1,(MAX(Subject!$B:$B))),Subject!$B:$B,0),3))))</f>
        <v/>
      </c>
      <c r="Q215" s="2" t="str">
        <f t="array" ref="Q215">IF(NOW()&gt;BB215,"",IF(AND((WEEKDAY($A215)+$B$2)&gt;1,((WEEKDAY($A215)+$T$2)&lt;7),(WEEKDAY($A215)&lt;&gt;1)),"work",(INDEX(Subject!$A:$I,MATCH(RANDBETWEEN(1,(MAX(Subject!$B:$B))),Subject!$B:$B,0),3))))</f>
        <v/>
      </c>
      <c r="R215" s="2" t="str">
        <f t="array" ref="R215">IF(NOW()&gt;BC215,"",IF(AND((WEEKDAY($A215)+$B$2)&gt;1,((WEEKDAY($A215)+$T$2)&lt;7),(WEEKDAY($A215)&lt;&gt;1)),"work",(INDEX(Subject!$A:$I,MATCH(RANDBETWEEN(1,(MAX(Subject!$B:$B))),Subject!$B:$B,0),3))))</f>
        <v/>
      </c>
      <c r="S215" s="2" t="str">
        <f t="array" ref="S215">IF(NOW()&gt;BD215,"",IF(AND((WEEKDAY($A215)+$B$2)&gt;1,((WEEKDAY($A215)+$T$2)&lt;7),(WEEKDAY($A215)&lt;&gt;1)),"work",(INDEX(Subject!$A:$I,MATCH(RANDBETWEEN(1,(MAX(Subject!$B:$B))),Subject!$B:$B,0),3))))</f>
        <v/>
      </c>
      <c r="T215" s="2" t="str">
        <f t="array" ref="T215">IF(NOW()&gt;BE215,"",IF(AND((WEEKDAY($A215)+$B$2)&gt;1,((WEEKDAY($A215)+$T$2)&lt;7),(WEEKDAY($A215)&lt;&gt;1)),"work",(INDEX(Subject!$A:$I,MATCH(RANDBETWEEN(1,(MAX(Subject!$B:$B))),Subject!$B:$B,0),3))))</f>
        <v/>
      </c>
      <c r="U215" s="8" t="str">
        <f t="array" ref="U215">INDEX(Subject!$A:$I,MATCH(RANDBETWEEN(1,16),Subject!$B:$B,0),3)</f>
        <v>#N/A</v>
      </c>
      <c r="V215" s="8" t="str">
        <f t="array" ref="V215">INDEX(Subject!$A:$I,MATCH(RANDBETWEEN(1,16),Subject!$B:$B,0),3)</f>
        <v>#N/A</v>
      </c>
      <c r="W215" s="8" t="str">
        <f t="array" ref="W215">INDEX(Subject!$A:$I,MATCH(RANDBETWEEN(1,16),Subject!$B:$B,0),3)</f>
        <v>#N/A</v>
      </c>
      <c r="X215" s="8" t="str">
        <f t="array" ref="X215">INDEX(Subject!$A:$I,MATCH(RANDBETWEEN(1,16),Subject!$B:$B,0),3)</f>
        <v>#N/A</v>
      </c>
      <c r="Y215" s="8" t="str">
        <f t="array" ref="Y215">INDEX(Subject!$A:$I,MATCH(RANDBETWEEN(1,16),Subject!$B:$B,0),3)</f>
        <v>#N/A</v>
      </c>
      <c r="Z215" s="8" t="str">
        <f t="array" ref="Z215">INDEX(Subject!$A:$I,MATCH(RANDBETWEEN(1,16),Subject!$B:$B,0),3)</f>
        <v>#N/A</v>
      </c>
      <c r="AA215" s="8" t="str">
        <f t="array" ref="AA215">INDEX(Subject!$A:$I,MATCH(RANDBETWEEN(1,16),Subject!$B:$B,0),3)</f>
        <v>#N/A</v>
      </c>
      <c r="AB215" s="8" t="str">
        <f t="array" ref="AB215">INDEX(Subject!$A:$I,MATCH(RANDBETWEEN(1,16),Subject!$B:$B,0),3)</f>
        <v>#N/A</v>
      </c>
      <c r="AC215" s="8" t="str">
        <f t="array" ref="AC215">INDEX(Subject!$A:$I,MATCH(RANDBETWEEN(1,16),Subject!$B:$B,0),3)</f>
        <v>#N/A</v>
      </c>
      <c r="AD215" s="8" t="str">
        <f t="array" ref="AD215">INDEX(Subject!$A:$I,MATCH(RANDBETWEEN(1,16),Subject!$B:$B,0),3)</f>
        <v>#N/A</v>
      </c>
      <c r="AE215" s="8" t="str">
        <f t="array" ref="AE215">INDEX(Subject!$A:$I,MATCH(RANDBETWEEN(1,16),Subject!$B:$B,0),3)</f>
        <v>#N/A</v>
      </c>
      <c r="AF215" s="8" t="str">
        <f t="array" ref="AF215">INDEX(Subject!$A:$I,MATCH(RANDBETWEEN(1,16),Subject!$B:$B,0),3)</f>
        <v>#N/A</v>
      </c>
      <c r="AG215" s="8" t="str">
        <f t="array" ref="AG215">INDEX(Subject!$A:$I,MATCH(RANDBETWEEN(1,16),Subject!$B:$B,0),3)</f>
        <v/>
      </c>
      <c r="AH215" s="8" t="str">
        <f t="array" ref="AH215">INDEX(Subject!$A:$I,MATCH(RANDBETWEEN(1,16),Subject!$B:$B,0),3)</f>
        <v>#N/A</v>
      </c>
      <c r="AI215" s="8" t="str">
        <f t="array" ref="AI215">INDEX(Subject!$A:$I,MATCH(RANDBETWEEN(1,16),Subject!$B:$B,0),3)</f>
        <v>#N/A</v>
      </c>
      <c r="AJ215" s="8" t="str">
        <f t="array" ref="AJ215">INDEX(Subject!$A:$I,MATCH(RANDBETWEEN(1,16),Subject!$B:$B,0),3)</f>
        <v>#N/A</v>
      </c>
      <c r="AK215" s="8" t="str">
        <f t="array" ref="AK215">INDEX(Subject!$A:$I,MATCH(RANDBETWEEN(1,16),Subject!$B:$B,0),3)</f>
        <v>#N/A</v>
      </c>
      <c r="AL215" s="8" t="str">
        <f t="array" ref="AL215">INDEX(Subject!$A:$I,MATCH(RANDBETWEEN(1,16),Subject!$B:$B,0),3)</f>
        <v>#N/A</v>
      </c>
      <c r="AM215" s="18">
        <f t="shared" si="4"/>
        <v>45715.33333</v>
      </c>
      <c r="AN215" s="19">
        <f t="shared" ref="AN215:BZ215" si="215">$A215+C$1</f>
        <v>45715.35417</v>
      </c>
      <c r="AO215" s="19">
        <f t="shared" si="215"/>
        <v>45715.375</v>
      </c>
      <c r="AP215" s="19">
        <f t="shared" si="215"/>
        <v>45715.39583</v>
      </c>
      <c r="AQ215" s="19">
        <f t="shared" si="215"/>
        <v>45715.41667</v>
      </c>
      <c r="AR215" s="19">
        <f t="shared" si="215"/>
        <v>45715.4375</v>
      </c>
      <c r="AS215" s="19">
        <f t="shared" si="215"/>
        <v>45715.45833</v>
      </c>
      <c r="AT215" s="19">
        <f t="shared" si="215"/>
        <v>45715.47917</v>
      </c>
      <c r="AU215" s="19">
        <f t="shared" si="215"/>
        <v>45715.5</v>
      </c>
      <c r="AV215" s="19">
        <f t="shared" si="215"/>
        <v>45715.52083</v>
      </c>
      <c r="AW215" s="19">
        <f t="shared" si="215"/>
        <v>45715.54167</v>
      </c>
      <c r="AX215" s="19">
        <f t="shared" si="215"/>
        <v>45715.5625</v>
      </c>
      <c r="AY215" s="19">
        <f t="shared" si="215"/>
        <v>45715.58333</v>
      </c>
      <c r="AZ215" s="19">
        <f t="shared" si="215"/>
        <v>45715.60417</v>
      </c>
      <c r="BA215" s="19">
        <f t="shared" si="215"/>
        <v>45715.625</v>
      </c>
      <c r="BB215" s="19">
        <f t="shared" si="215"/>
        <v>45715.64583</v>
      </c>
      <c r="BC215" s="19">
        <f t="shared" si="215"/>
        <v>45715.66667</v>
      </c>
      <c r="BD215" s="19">
        <f t="shared" si="215"/>
        <v>45715.6875</v>
      </c>
      <c r="BE215" s="19">
        <f t="shared" si="215"/>
        <v>45715.70833</v>
      </c>
      <c r="BF215" s="19">
        <f t="shared" si="215"/>
        <v>45715.72917</v>
      </c>
      <c r="BG215" s="19">
        <f t="shared" si="215"/>
        <v>45715.75</v>
      </c>
      <c r="BH215" s="19">
        <f t="shared" si="215"/>
        <v>45715.77083</v>
      </c>
      <c r="BI215" s="19">
        <f t="shared" si="215"/>
        <v>45715.79167</v>
      </c>
      <c r="BJ215" s="19">
        <f t="shared" si="215"/>
        <v>45715.8125</v>
      </c>
      <c r="BK215" s="19">
        <f t="shared" si="215"/>
        <v>45715.83333</v>
      </c>
      <c r="BL215" s="19">
        <f t="shared" si="215"/>
        <v>45715.85417</v>
      </c>
      <c r="BM215" s="19">
        <f t="shared" si="215"/>
        <v>45715.875</v>
      </c>
      <c r="BN215" s="19">
        <f t="shared" si="215"/>
        <v>45715.89583</v>
      </c>
      <c r="BO215" s="19">
        <f t="shared" si="215"/>
        <v>45715.91667</v>
      </c>
      <c r="BP215" s="19">
        <f t="shared" si="215"/>
        <v>45715.9375</v>
      </c>
      <c r="BQ215" s="19">
        <f t="shared" si="215"/>
        <v>45715.95833</v>
      </c>
      <c r="BR215" s="19">
        <f t="shared" si="215"/>
        <v>45715.97917</v>
      </c>
      <c r="BS215" s="19">
        <f t="shared" si="215"/>
        <v>45716</v>
      </c>
      <c r="BT215" s="19">
        <f t="shared" si="215"/>
        <v>45716.02083</v>
      </c>
      <c r="BU215" s="19">
        <f t="shared" si="215"/>
        <v>45716.04167</v>
      </c>
      <c r="BV215" s="19">
        <f t="shared" si="215"/>
        <v>45716.0625</v>
      </c>
      <c r="BW215" s="19">
        <f t="shared" si="215"/>
        <v>45716.08333</v>
      </c>
      <c r="BX215" s="19">
        <f t="shared" si="215"/>
        <v>45715</v>
      </c>
      <c r="BY215" s="19">
        <f t="shared" si="215"/>
        <v>45715</v>
      </c>
      <c r="BZ215" s="19">
        <f t="shared" si="215"/>
        <v>45715</v>
      </c>
    </row>
    <row r="216" ht="14.25" customHeight="1">
      <c r="A216" s="17">
        <v>45716.0</v>
      </c>
      <c r="B216" s="2" t="str">
        <f t="array" ref="B216">IF(NOW()&gt;AM216,"",IF(AND((WEEKDAY($A216)+$B$2)&gt;1,((WEEKDAY($A216)+$T$2)&lt;7),(WEEKDAY($A216)&lt;&gt;1)),"work",(INDEX(Subject!$A:$I,MATCH(RANDBETWEEN(1,(MAX(Subject!$B:$B))),Subject!$B:$B,0),3))))</f>
        <v/>
      </c>
      <c r="C216" s="2" t="str">
        <f t="array" ref="C216">IF(NOW()&gt;AN216,"",IF(AND((WEEKDAY($A216)+$B$2)&gt;1,((WEEKDAY($A216)+$T$2)&lt;7),(WEEKDAY($A216)&lt;&gt;1)),"work",(INDEX(Subject!$A:$I,MATCH(RANDBETWEEN(1,(MAX(Subject!$B:$B))),Subject!$B:$B,0),3))))</f>
        <v/>
      </c>
      <c r="D216" s="2" t="str">
        <f t="array" ref="D216">IF(NOW()&gt;AO216,"",IF(AND((WEEKDAY($A216)+$B$2)&gt;1,((WEEKDAY($A216)+$T$2)&lt;7),(WEEKDAY($A216)&lt;&gt;1)),"work",(INDEX(Subject!$A:$I,MATCH(RANDBETWEEN(1,(MAX(Subject!$B:$B))),Subject!$B:$B,0),3))))</f>
        <v/>
      </c>
      <c r="E216" s="2" t="str">
        <f t="array" ref="E216">IF(NOW()&gt;AP216,"",IF(AND((WEEKDAY($A216)+$B$2)&gt;1,((WEEKDAY($A216)+$T$2)&lt;7),(WEEKDAY($A216)&lt;&gt;1)),"work",(INDEX(Subject!$A:$I,MATCH(RANDBETWEEN(1,(MAX(Subject!$B:$B))),Subject!$B:$B,0),3))))</f>
        <v/>
      </c>
      <c r="F216" s="2" t="str">
        <f t="array" ref="F216">IF(NOW()&gt;AQ216,"",IF(AND((WEEKDAY($A216)+$B$2)&gt;1,((WEEKDAY($A216)+$T$2)&lt;7),(WEEKDAY($A216)&lt;&gt;1)),"work",(INDEX(Subject!$A:$I,MATCH(RANDBETWEEN(1,(MAX(Subject!$B:$B))),Subject!$B:$B,0),3))))</f>
        <v/>
      </c>
      <c r="G216" s="2" t="str">
        <f t="array" ref="G216">IF(NOW()&gt;AR216,"",IF(AND((WEEKDAY($A216)+$B$2)&gt;1,((WEEKDAY($A216)+$T$2)&lt;7),(WEEKDAY($A216)&lt;&gt;1)),"work",(INDEX(Subject!$A:$I,MATCH(RANDBETWEEN(1,(MAX(Subject!$B:$B))),Subject!$B:$B,0),3))))</f>
        <v/>
      </c>
      <c r="H216" s="2" t="str">
        <f t="array" ref="H216">IF(NOW()&gt;AS216,"",IF(AND((WEEKDAY($A216)+$B$2)&gt;1,((WEEKDAY($A216)+$T$2)&lt;7),(WEEKDAY($A216)&lt;&gt;1)),"work",(INDEX(Subject!$A:$I,MATCH(RANDBETWEEN(1,(MAX(Subject!$B:$B))),Subject!$B:$B,0),3))))</f>
        <v/>
      </c>
      <c r="I216" s="2" t="str">
        <f t="array" ref="I216">IF(NOW()&gt;AT216,"",IF(AND((WEEKDAY($A216)+$B$2)&gt;1,((WEEKDAY($A216)+$T$2)&lt;7),(WEEKDAY($A216)&lt;&gt;1)),"work",(INDEX(Subject!$A:$I,MATCH(RANDBETWEEN(1,(MAX(Subject!$B:$B))),Subject!$B:$B,0),3))))</f>
        <v/>
      </c>
      <c r="J216" s="2" t="str">
        <f t="array" ref="J216">IF(NOW()&gt;AU216,"",IF(AND((WEEKDAY($A216)+$B$2)&gt;1,((WEEKDAY($A216)+$T$2)&lt;7),(WEEKDAY($A216)&lt;&gt;1)),"work",(INDEX(Subject!$A:$I,MATCH(RANDBETWEEN(1,(MAX(Subject!$B:$B))),Subject!$B:$B,0),3))))</f>
        <v/>
      </c>
      <c r="K216" s="2" t="str">
        <f t="array" ref="K216">IF(NOW()&gt;AV216,"",IF(AND((WEEKDAY($A216)+$B$2)&gt;1,((WEEKDAY($A216)+$T$2)&lt;7),(WEEKDAY($A216)&lt;&gt;1)),"work",(INDEX(Subject!$A:$I,MATCH(RANDBETWEEN(1,(MAX(Subject!$B:$B))),Subject!$B:$B,0),3))))</f>
        <v/>
      </c>
      <c r="L216" s="2" t="str">
        <f t="array" ref="L216">IF(NOW()&gt;AW216,"",IF(AND((WEEKDAY($A216)+$B$2)&gt;1,((WEEKDAY($A216)+$T$2)&lt;7),(WEEKDAY($A216)&lt;&gt;1)),"work",(INDEX(Subject!$A:$I,MATCH(RANDBETWEEN(1,(MAX(Subject!$B:$B))),Subject!$B:$B,0),3))))</f>
        <v/>
      </c>
      <c r="M216" s="2" t="str">
        <f t="array" ref="M216">IF(NOW()&gt;AX216,"",IF(AND((WEEKDAY($A216)+$B$2)&gt;1,((WEEKDAY($A216)+$T$2)&lt;7),(WEEKDAY($A216)&lt;&gt;1)),"work",(INDEX(Subject!$A:$I,MATCH(RANDBETWEEN(1,(MAX(Subject!$B:$B))),Subject!$B:$B,0),3))))</f>
        <v/>
      </c>
      <c r="N216" s="2" t="str">
        <f t="array" ref="N216">IF(NOW()&gt;AY216,"",IF(AND((WEEKDAY($A216)+$B$2)&gt;1,((WEEKDAY($A216)+$T$2)&lt;7),(WEEKDAY($A216)&lt;&gt;1)),"work",(INDEX(Subject!$A:$I,MATCH(RANDBETWEEN(1,(MAX(Subject!$B:$B))),Subject!$B:$B,0),3))))</f>
        <v/>
      </c>
      <c r="O216" s="2" t="str">
        <f t="array" ref="O216">IF(NOW()&gt;AZ216,"",IF(AND((WEEKDAY($A216)+$B$2)&gt;1,((WEEKDAY($A216)+$T$2)&lt;7),(WEEKDAY($A216)&lt;&gt;1)),"work",(INDEX(Subject!$A:$I,MATCH(RANDBETWEEN(1,(MAX(Subject!$B:$B))),Subject!$B:$B,0),3))))</f>
        <v/>
      </c>
      <c r="P216" s="2" t="str">
        <f t="array" ref="P216">IF(NOW()&gt;BA216,"",IF(AND((WEEKDAY($A216)+$B$2)&gt;1,((WEEKDAY($A216)+$T$2)&lt;7),(WEEKDAY($A216)&lt;&gt;1)),"work",(INDEX(Subject!$A:$I,MATCH(RANDBETWEEN(1,(MAX(Subject!$B:$B))),Subject!$B:$B,0),3))))</f>
        <v/>
      </c>
      <c r="Q216" s="2" t="str">
        <f t="array" ref="Q216">IF(NOW()&gt;BB216,"",IF(AND((WEEKDAY($A216)+$B$2)&gt;1,((WEEKDAY($A216)+$T$2)&lt;7),(WEEKDAY($A216)&lt;&gt;1)),"work",(INDEX(Subject!$A:$I,MATCH(RANDBETWEEN(1,(MAX(Subject!$B:$B))),Subject!$B:$B,0),3))))</f>
        <v/>
      </c>
      <c r="R216" s="2" t="str">
        <f t="array" ref="R216">IF(NOW()&gt;BC216,"",IF(AND((WEEKDAY($A216)+$B$2)&gt;1,((WEEKDAY($A216)+$T$2)&lt;7),(WEEKDAY($A216)&lt;&gt;1)),"work",(INDEX(Subject!$A:$I,MATCH(RANDBETWEEN(1,(MAX(Subject!$B:$B))),Subject!$B:$B,0),3))))</f>
        <v/>
      </c>
      <c r="S216" s="2" t="str">
        <f t="array" ref="S216">IF(NOW()&gt;BD216,"",IF(AND((WEEKDAY($A216)+$B$2)&gt;1,((WEEKDAY($A216)+$T$2)&lt;7),(WEEKDAY($A216)&lt;&gt;1)),"work",(INDEX(Subject!$A:$I,MATCH(RANDBETWEEN(1,(MAX(Subject!$B:$B))),Subject!$B:$B,0),3))))</f>
        <v/>
      </c>
      <c r="T216" s="2" t="str">
        <f t="array" ref="T216">IF(NOW()&gt;BE216,"",IF(AND((WEEKDAY($A216)+$B$2)&gt;1,((WEEKDAY($A216)+$T$2)&lt;7),(WEEKDAY($A216)&lt;&gt;1)),"work",(INDEX(Subject!$A:$I,MATCH(RANDBETWEEN(1,(MAX(Subject!$B:$B))),Subject!$B:$B,0),3))))</f>
        <v/>
      </c>
      <c r="U216" s="8" t="str">
        <f t="array" ref="U216">INDEX(Subject!$A:$I,MATCH(RANDBETWEEN(1,16),Subject!$B:$B,0),3)</f>
        <v>#N/A</v>
      </c>
      <c r="V216" s="8" t="str">
        <f t="array" ref="V216">INDEX(Subject!$A:$I,MATCH(RANDBETWEEN(1,16),Subject!$B:$B,0),3)</f>
        <v>#N/A</v>
      </c>
      <c r="W216" s="8" t="str">
        <f t="array" ref="W216">INDEX(Subject!$A:$I,MATCH(RANDBETWEEN(1,16),Subject!$B:$B,0),3)</f>
        <v/>
      </c>
      <c r="X216" s="8" t="str">
        <f t="array" ref="X216">INDEX(Subject!$A:$I,MATCH(RANDBETWEEN(1,16),Subject!$B:$B,0),3)</f>
        <v>#N/A</v>
      </c>
      <c r="Y216" s="8" t="str">
        <f t="array" ref="Y216">INDEX(Subject!$A:$I,MATCH(RANDBETWEEN(1,16),Subject!$B:$B,0),3)</f>
        <v>#N/A</v>
      </c>
      <c r="Z216" s="8" t="str">
        <f t="array" ref="Z216">INDEX(Subject!$A:$I,MATCH(RANDBETWEEN(1,16),Subject!$B:$B,0),3)</f>
        <v>#N/A</v>
      </c>
      <c r="AA216" s="8" t="str">
        <f t="array" ref="AA216">INDEX(Subject!$A:$I,MATCH(RANDBETWEEN(1,16),Subject!$B:$B,0),3)</f>
        <v>#N/A</v>
      </c>
      <c r="AB216" s="8" t="str">
        <f t="array" ref="AB216">INDEX(Subject!$A:$I,MATCH(RANDBETWEEN(1,16),Subject!$B:$B,0),3)</f>
        <v>#N/A</v>
      </c>
      <c r="AC216" s="8" t="str">
        <f t="array" ref="AC216">INDEX(Subject!$A:$I,MATCH(RANDBETWEEN(1,16),Subject!$B:$B,0),3)</f>
        <v>#N/A</v>
      </c>
      <c r="AD216" s="8" t="str">
        <f t="array" ref="AD216">INDEX(Subject!$A:$I,MATCH(RANDBETWEEN(1,16),Subject!$B:$B,0),3)</f>
        <v>#N/A</v>
      </c>
      <c r="AE216" s="8" t="str">
        <f t="array" ref="AE216">INDEX(Subject!$A:$I,MATCH(RANDBETWEEN(1,16),Subject!$B:$B,0),3)</f>
        <v>#N/A</v>
      </c>
      <c r="AF216" s="8" t="str">
        <f t="array" ref="AF216">INDEX(Subject!$A:$I,MATCH(RANDBETWEEN(1,16),Subject!$B:$B,0),3)</f>
        <v>#N/A</v>
      </c>
      <c r="AG216" s="8" t="str">
        <f t="array" ref="AG216">INDEX(Subject!$A:$I,MATCH(RANDBETWEEN(1,16),Subject!$B:$B,0),3)</f>
        <v>#N/A</v>
      </c>
      <c r="AH216" s="8" t="str">
        <f t="array" ref="AH216">INDEX(Subject!$A:$I,MATCH(RANDBETWEEN(1,16),Subject!$B:$B,0),3)</f>
        <v>#N/A</v>
      </c>
      <c r="AI216" s="8" t="str">
        <f t="array" ref="AI216">INDEX(Subject!$A:$I,MATCH(RANDBETWEEN(1,16),Subject!$B:$B,0),3)</f>
        <v>#N/A</v>
      </c>
      <c r="AJ216" s="8" t="str">
        <f t="array" ref="AJ216">INDEX(Subject!$A:$I,MATCH(RANDBETWEEN(1,16),Subject!$B:$B,0),3)</f>
        <v>#N/A</v>
      </c>
      <c r="AK216" s="8" t="str">
        <f t="array" ref="AK216">INDEX(Subject!$A:$I,MATCH(RANDBETWEEN(1,16),Subject!$B:$B,0),3)</f>
        <v>#N/A</v>
      </c>
      <c r="AL216" s="8" t="str">
        <f t="array" ref="AL216">INDEX(Subject!$A:$I,MATCH(RANDBETWEEN(1,16),Subject!$B:$B,0),3)</f>
        <v/>
      </c>
      <c r="AM216" s="18">
        <f t="shared" si="4"/>
        <v>45716.33333</v>
      </c>
      <c r="AN216" s="19">
        <f t="shared" ref="AN216:BZ216" si="216">$A216+C$1</f>
        <v>45716.35417</v>
      </c>
      <c r="AO216" s="19">
        <f t="shared" si="216"/>
        <v>45716.375</v>
      </c>
      <c r="AP216" s="19">
        <f t="shared" si="216"/>
        <v>45716.39583</v>
      </c>
      <c r="AQ216" s="19">
        <f t="shared" si="216"/>
        <v>45716.41667</v>
      </c>
      <c r="AR216" s="19">
        <f t="shared" si="216"/>
        <v>45716.4375</v>
      </c>
      <c r="AS216" s="19">
        <f t="shared" si="216"/>
        <v>45716.45833</v>
      </c>
      <c r="AT216" s="19">
        <f t="shared" si="216"/>
        <v>45716.47917</v>
      </c>
      <c r="AU216" s="19">
        <f t="shared" si="216"/>
        <v>45716.5</v>
      </c>
      <c r="AV216" s="19">
        <f t="shared" si="216"/>
        <v>45716.52083</v>
      </c>
      <c r="AW216" s="19">
        <f t="shared" si="216"/>
        <v>45716.54167</v>
      </c>
      <c r="AX216" s="19">
        <f t="shared" si="216"/>
        <v>45716.5625</v>
      </c>
      <c r="AY216" s="19">
        <f t="shared" si="216"/>
        <v>45716.58333</v>
      </c>
      <c r="AZ216" s="19">
        <f t="shared" si="216"/>
        <v>45716.60417</v>
      </c>
      <c r="BA216" s="19">
        <f t="shared" si="216"/>
        <v>45716.625</v>
      </c>
      <c r="BB216" s="19">
        <f t="shared" si="216"/>
        <v>45716.64583</v>
      </c>
      <c r="BC216" s="19">
        <f t="shared" si="216"/>
        <v>45716.66667</v>
      </c>
      <c r="BD216" s="19">
        <f t="shared" si="216"/>
        <v>45716.6875</v>
      </c>
      <c r="BE216" s="19">
        <f t="shared" si="216"/>
        <v>45716.70833</v>
      </c>
      <c r="BF216" s="19">
        <f t="shared" si="216"/>
        <v>45716.72917</v>
      </c>
      <c r="BG216" s="19">
        <f t="shared" si="216"/>
        <v>45716.75</v>
      </c>
      <c r="BH216" s="19">
        <f t="shared" si="216"/>
        <v>45716.77083</v>
      </c>
      <c r="BI216" s="19">
        <f t="shared" si="216"/>
        <v>45716.79167</v>
      </c>
      <c r="BJ216" s="19">
        <f t="shared" si="216"/>
        <v>45716.8125</v>
      </c>
      <c r="BK216" s="19">
        <f t="shared" si="216"/>
        <v>45716.83333</v>
      </c>
      <c r="BL216" s="19">
        <f t="shared" si="216"/>
        <v>45716.85417</v>
      </c>
      <c r="BM216" s="19">
        <f t="shared" si="216"/>
        <v>45716.875</v>
      </c>
      <c r="BN216" s="19">
        <f t="shared" si="216"/>
        <v>45716.89583</v>
      </c>
      <c r="BO216" s="19">
        <f t="shared" si="216"/>
        <v>45716.91667</v>
      </c>
      <c r="BP216" s="19">
        <f t="shared" si="216"/>
        <v>45716.9375</v>
      </c>
      <c r="BQ216" s="19">
        <f t="shared" si="216"/>
        <v>45716.95833</v>
      </c>
      <c r="BR216" s="19">
        <f t="shared" si="216"/>
        <v>45716.97917</v>
      </c>
      <c r="BS216" s="19">
        <f t="shared" si="216"/>
        <v>45717</v>
      </c>
      <c r="BT216" s="19">
        <f t="shared" si="216"/>
        <v>45717.02083</v>
      </c>
      <c r="BU216" s="19">
        <f t="shared" si="216"/>
        <v>45717.04167</v>
      </c>
      <c r="BV216" s="19">
        <f t="shared" si="216"/>
        <v>45717.0625</v>
      </c>
      <c r="BW216" s="19">
        <f t="shared" si="216"/>
        <v>45717.08333</v>
      </c>
      <c r="BX216" s="19">
        <f t="shared" si="216"/>
        <v>45716</v>
      </c>
      <c r="BY216" s="19">
        <f t="shared" si="216"/>
        <v>45716</v>
      </c>
      <c r="BZ216" s="19">
        <f t="shared" si="216"/>
        <v>45716</v>
      </c>
    </row>
    <row r="217" ht="14.25" customHeight="1">
      <c r="A217" s="17">
        <v>45717.0</v>
      </c>
      <c r="B217" s="2" t="str">
        <f t="array" ref="B217">IF(NOW()&gt;AM217,"",IF(AND((WEEKDAY($A217)+$B$2)&gt;1,((WEEKDAY($A217)+$T$2)&lt;7),(WEEKDAY($A217)&lt;&gt;1)),"work",(INDEX(Subject!$A:$I,MATCH(RANDBETWEEN(1,(MAX(Subject!$B:$B))),Subject!$B:$B,0),3))))</f>
        <v/>
      </c>
      <c r="C217" s="2" t="str">
        <f t="array" ref="C217">IF(NOW()&gt;AN217,"",IF(AND((WEEKDAY($A217)+$B$2)&gt;1,((WEEKDAY($A217)+$T$2)&lt;7),(WEEKDAY($A217)&lt;&gt;1)),"work",(INDEX(Subject!$A:$I,MATCH(RANDBETWEEN(1,(MAX(Subject!$B:$B))),Subject!$B:$B,0),3))))</f>
        <v/>
      </c>
      <c r="D217" s="2" t="str">
        <f t="array" ref="D217">IF(NOW()&gt;AO217,"",IF(AND((WEEKDAY($A217)+$B$2)&gt;1,((WEEKDAY($A217)+$T$2)&lt;7),(WEEKDAY($A217)&lt;&gt;1)),"work",(INDEX(Subject!$A:$I,MATCH(RANDBETWEEN(1,(MAX(Subject!$B:$B))),Subject!$B:$B,0),3))))</f>
        <v/>
      </c>
      <c r="E217" s="2" t="str">
        <f t="array" ref="E217">IF(NOW()&gt;AP217,"",IF(AND((WEEKDAY($A217)+$B$2)&gt;1,((WEEKDAY($A217)+$T$2)&lt;7),(WEEKDAY($A217)&lt;&gt;1)),"work",(INDEX(Subject!$A:$I,MATCH(RANDBETWEEN(1,(MAX(Subject!$B:$B))),Subject!$B:$B,0),3))))</f>
        <v/>
      </c>
      <c r="F217" s="2" t="str">
        <f t="array" ref="F217">IF(NOW()&gt;AQ217,"",IF(AND((WEEKDAY($A217)+$B$2)&gt;1,((WEEKDAY($A217)+$T$2)&lt;7),(WEEKDAY($A217)&lt;&gt;1)),"work",(INDEX(Subject!$A:$I,MATCH(RANDBETWEEN(1,(MAX(Subject!$B:$B))),Subject!$B:$B,0),3))))</f>
        <v/>
      </c>
      <c r="G217" s="2" t="str">
        <f t="array" ref="G217">IF(NOW()&gt;AR217,"",IF(AND((WEEKDAY($A217)+$B$2)&gt;1,((WEEKDAY($A217)+$T$2)&lt;7),(WEEKDAY($A217)&lt;&gt;1)),"work",(INDEX(Subject!$A:$I,MATCH(RANDBETWEEN(1,(MAX(Subject!$B:$B))),Subject!$B:$B,0),3))))</f>
        <v/>
      </c>
      <c r="H217" s="2" t="str">
        <f t="array" ref="H217">IF(NOW()&gt;AS217,"",IF(AND((WEEKDAY($A217)+$B$2)&gt;1,((WEEKDAY($A217)+$T$2)&lt;7),(WEEKDAY($A217)&lt;&gt;1)),"work",(INDEX(Subject!$A:$I,MATCH(RANDBETWEEN(1,(MAX(Subject!$B:$B))),Subject!$B:$B,0),3))))</f>
        <v/>
      </c>
      <c r="I217" s="2" t="str">
        <f t="array" ref="I217">IF(NOW()&gt;AT217,"",IF(AND((WEEKDAY($A217)+$B$2)&gt;1,((WEEKDAY($A217)+$T$2)&lt;7),(WEEKDAY($A217)&lt;&gt;1)),"work",(INDEX(Subject!$A:$I,MATCH(RANDBETWEEN(1,(MAX(Subject!$B:$B))),Subject!$B:$B,0),3))))</f>
        <v/>
      </c>
      <c r="J217" s="2" t="str">
        <f t="array" ref="J217">IF(NOW()&gt;AU217,"",IF(AND((WEEKDAY($A217)+$B$2)&gt;1,((WEEKDAY($A217)+$T$2)&lt;7),(WEEKDAY($A217)&lt;&gt;1)),"work",(INDEX(Subject!$A:$I,MATCH(RANDBETWEEN(1,(MAX(Subject!$B:$B))),Subject!$B:$B,0),3))))</f>
        <v/>
      </c>
      <c r="K217" s="2" t="str">
        <f t="array" ref="K217">IF(NOW()&gt;AV217,"",IF(AND((WEEKDAY($A217)+$B$2)&gt;1,((WEEKDAY($A217)+$T$2)&lt;7),(WEEKDAY($A217)&lt;&gt;1)),"work",(INDEX(Subject!$A:$I,MATCH(RANDBETWEEN(1,(MAX(Subject!$B:$B))),Subject!$B:$B,0),3))))</f>
        <v/>
      </c>
      <c r="L217" s="2" t="str">
        <f t="array" ref="L217">IF(NOW()&gt;AW217,"",IF(AND((WEEKDAY($A217)+$B$2)&gt;1,((WEEKDAY($A217)+$T$2)&lt;7),(WEEKDAY($A217)&lt;&gt;1)),"work",(INDEX(Subject!$A:$I,MATCH(RANDBETWEEN(1,(MAX(Subject!$B:$B))),Subject!$B:$B,0),3))))</f>
        <v/>
      </c>
      <c r="M217" s="2" t="str">
        <f t="array" ref="M217">IF(NOW()&gt;AX217,"",IF(AND((WEEKDAY($A217)+$B$2)&gt;1,((WEEKDAY($A217)+$T$2)&lt;7),(WEEKDAY($A217)&lt;&gt;1)),"work",(INDEX(Subject!$A:$I,MATCH(RANDBETWEEN(1,(MAX(Subject!$B:$B))),Subject!$B:$B,0),3))))</f>
        <v/>
      </c>
      <c r="N217" s="2" t="str">
        <f t="array" ref="N217">IF(NOW()&gt;AY217,"",IF(AND((WEEKDAY($A217)+$B$2)&gt;1,((WEEKDAY($A217)+$T$2)&lt;7),(WEEKDAY($A217)&lt;&gt;1)),"work",(INDEX(Subject!$A:$I,MATCH(RANDBETWEEN(1,(MAX(Subject!$B:$B))),Subject!$B:$B,0),3))))</f>
        <v/>
      </c>
      <c r="O217" s="2" t="str">
        <f t="array" ref="O217">IF(NOW()&gt;AZ217,"",IF(AND((WEEKDAY($A217)+$B$2)&gt;1,((WEEKDAY($A217)+$T$2)&lt;7),(WEEKDAY($A217)&lt;&gt;1)),"work",(INDEX(Subject!$A:$I,MATCH(RANDBETWEEN(1,(MAX(Subject!$B:$B))),Subject!$B:$B,0),3))))</f>
        <v/>
      </c>
      <c r="P217" s="2" t="str">
        <f t="array" ref="P217">IF(NOW()&gt;BA217,"",IF(AND((WEEKDAY($A217)+$B$2)&gt;1,((WEEKDAY($A217)+$T$2)&lt;7),(WEEKDAY($A217)&lt;&gt;1)),"work",(INDEX(Subject!$A:$I,MATCH(RANDBETWEEN(1,(MAX(Subject!$B:$B))),Subject!$B:$B,0),3))))</f>
        <v/>
      </c>
      <c r="Q217" s="2" t="str">
        <f t="array" ref="Q217">IF(NOW()&gt;BB217,"",IF(AND((WEEKDAY($A217)+$B$2)&gt;1,((WEEKDAY($A217)+$T$2)&lt;7),(WEEKDAY($A217)&lt;&gt;1)),"work",(INDEX(Subject!$A:$I,MATCH(RANDBETWEEN(1,(MAX(Subject!$B:$B))),Subject!$B:$B,0),3))))</f>
        <v/>
      </c>
      <c r="R217" s="2" t="str">
        <f t="array" ref="R217">IF(NOW()&gt;BC217,"",IF(AND((WEEKDAY($A217)+$B$2)&gt;1,((WEEKDAY($A217)+$T$2)&lt;7),(WEEKDAY($A217)&lt;&gt;1)),"work",(INDEX(Subject!$A:$I,MATCH(RANDBETWEEN(1,(MAX(Subject!$B:$B))),Subject!$B:$B,0),3))))</f>
        <v/>
      </c>
      <c r="S217" s="2" t="str">
        <f t="array" ref="S217">IF(NOW()&gt;BD217,"",IF(AND((WEEKDAY($A217)+$B$2)&gt;1,((WEEKDAY($A217)+$T$2)&lt;7),(WEEKDAY($A217)&lt;&gt;1)),"work",(INDEX(Subject!$A:$I,MATCH(RANDBETWEEN(1,(MAX(Subject!$B:$B))),Subject!$B:$B,0),3))))</f>
        <v/>
      </c>
      <c r="T217" s="2" t="str">
        <f t="array" ref="T217">IF(NOW()&gt;BE217,"",IF(AND((WEEKDAY($A217)+$B$2)&gt;1,((WEEKDAY($A217)+$T$2)&lt;7),(WEEKDAY($A217)&lt;&gt;1)),"work",(INDEX(Subject!$A:$I,MATCH(RANDBETWEEN(1,(MAX(Subject!$B:$B))),Subject!$B:$B,0),3))))</f>
        <v/>
      </c>
      <c r="U217" s="8" t="str">
        <f t="array" ref="U217">INDEX(Subject!$A:$I,MATCH(RANDBETWEEN(1,16),Subject!$B:$B,0),3)</f>
        <v>#N/A</v>
      </c>
      <c r="V217" s="8" t="str">
        <f t="array" ref="V217">INDEX(Subject!$A:$I,MATCH(RANDBETWEEN(1,16),Subject!$B:$B,0),3)</f>
        <v>#N/A</v>
      </c>
      <c r="W217" s="8" t="str">
        <f t="array" ref="W217">INDEX(Subject!$A:$I,MATCH(RANDBETWEEN(1,16),Subject!$B:$B,0),3)</f>
        <v/>
      </c>
      <c r="X217" s="8" t="str">
        <f t="array" ref="X217">INDEX(Subject!$A:$I,MATCH(RANDBETWEEN(1,16),Subject!$B:$B,0),3)</f>
        <v>#N/A</v>
      </c>
      <c r="Y217" s="8" t="str">
        <f t="array" ref="Y217">INDEX(Subject!$A:$I,MATCH(RANDBETWEEN(1,16),Subject!$B:$B,0),3)</f>
        <v>#N/A</v>
      </c>
      <c r="Z217" s="8" t="str">
        <f t="array" ref="Z217">INDEX(Subject!$A:$I,MATCH(RANDBETWEEN(1,16),Subject!$B:$B,0),3)</f>
        <v>#N/A</v>
      </c>
      <c r="AA217" s="8" t="str">
        <f t="array" ref="AA217">INDEX(Subject!$A:$I,MATCH(RANDBETWEEN(1,16),Subject!$B:$B,0),3)</f>
        <v>#N/A</v>
      </c>
      <c r="AB217" s="8" t="str">
        <f t="array" ref="AB217">INDEX(Subject!$A:$I,MATCH(RANDBETWEEN(1,16),Subject!$B:$B,0),3)</f>
        <v>#N/A</v>
      </c>
      <c r="AC217" s="8" t="str">
        <f t="array" ref="AC217">INDEX(Subject!$A:$I,MATCH(RANDBETWEEN(1,16),Subject!$B:$B,0),3)</f>
        <v>#N/A</v>
      </c>
      <c r="AD217" s="8" t="str">
        <f t="array" ref="AD217">INDEX(Subject!$A:$I,MATCH(RANDBETWEEN(1,16),Subject!$B:$B,0),3)</f>
        <v>#N/A</v>
      </c>
      <c r="AE217" s="8" t="str">
        <f t="array" ref="AE217">INDEX(Subject!$A:$I,MATCH(RANDBETWEEN(1,16),Subject!$B:$B,0),3)</f>
        <v>#N/A</v>
      </c>
      <c r="AF217" s="8" t="str">
        <f t="array" ref="AF217">INDEX(Subject!$A:$I,MATCH(RANDBETWEEN(1,16),Subject!$B:$B,0),3)</f>
        <v>#N/A</v>
      </c>
      <c r="AG217" s="8" t="str">
        <f t="array" ref="AG217">INDEX(Subject!$A:$I,MATCH(RANDBETWEEN(1,16),Subject!$B:$B,0),3)</f>
        <v>#N/A</v>
      </c>
      <c r="AH217" s="8" t="str">
        <f t="array" ref="AH217">INDEX(Subject!$A:$I,MATCH(RANDBETWEEN(1,16),Subject!$B:$B,0),3)</f>
        <v>#N/A</v>
      </c>
      <c r="AI217" s="8" t="str">
        <f t="array" ref="AI217">INDEX(Subject!$A:$I,MATCH(RANDBETWEEN(1,16),Subject!$B:$B,0),3)</f>
        <v>#N/A</v>
      </c>
      <c r="AJ217" s="8" t="str">
        <f t="array" ref="AJ217">INDEX(Subject!$A:$I,MATCH(RANDBETWEEN(1,16),Subject!$B:$B,0),3)</f>
        <v>#N/A</v>
      </c>
      <c r="AK217" s="8" t="str">
        <f t="array" ref="AK217">INDEX(Subject!$A:$I,MATCH(RANDBETWEEN(1,16),Subject!$B:$B,0),3)</f>
        <v>#N/A</v>
      </c>
      <c r="AL217" s="8" t="str">
        <f t="array" ref="AL217">INDEX(Subject!$A:$I,MATCH(RANDBETWEEN(1,16),Subject!$B:$B,0),3)</f>
        <v>#N/A</v>
      </c>
      <c r="AM217" s="18">
        <f t="shared" si="4"/>
        <v>45717.33333</v>
      </c>
      <c r="AN217" s="19">
        <f t="shared" ref="AN217:BZ217" si="217">$A217+C$1</f>
        <v>45717.35417</v>
      </c>
      <c r="AO217" s="19">
        <f t="shared" si="217"/>
        <v>45717.375</v>
      </c>
      <c r="AP217" s="19">
        <f t="shared" si="217"/>
        <v>45717.39583</v>
      </c>
      <c r="AQ217" s="19">
        <f t="shared" si="217"/>
        <v>45717.41667</v>
      </c>
      <c r="AR217" s="19">
        <f t="shared" si="217"/>
        <v>45717.4375</v>
      </c>
      <c r="AS217" s="19">
        <f t="shared" si="217"/>
        <v>45717.45833</v>
      </c>
      <c r="AT217" s="19">
        <f t="shared" si="217"/>
        <v>45717.47917</v>
      </c>
      <c r="AU217" s="19">
        <f t="shared" si="217"/>
        <v>45717.5</v>
      </c>
      <c r="AV217" s="19">
        <f t="shared" si="217"/>
        <v>45717.52083</v>
      </c>
      <c r="AW217" s="19">
        <f t="shared" si="217"/>
        <v>45717.54167</v>
      </c>
      <c r="AX217" s="19">
        <f t="shared" si="217"/>
        <v>45717.5625</v>
      </c>
      <c r="AY217" s="19">
        <f t="shared" si="217"/>
        <v>45717.58333</v>
      </c>
      <c r="AZ217" s="19">
        <f t="shared" si="217"/>
        <v>45717.60417</v>
      </c>
      <c r="BA217" s="19">
        <f t="shared" si="217"/>
        <v>45717.625</v>
      </c>
      <c r="BB217" s="19">
        <f t="shared" si="217"/>
        <v>45717.64583</v>
      </c>
      <c r="BC217" s="19">
        <f t="shared" si="217"/>
        <v>45717.66667</v>
      </c>
      <c r="BD217" s="19">
        <f t="shared" si="217"/>
        <v>45717.6875</v>
      </c>
      <c r="BE217" s="19">
        <f t="shared" si="217"/>
        <v>45717.70833</v>
      </c>
      <c r="BF217" s="19">
        <f t="shared" si="217"/>
        <v>45717.72917</v>
      </c>
      <c r="BG217" s="19">
        <f t="shared" si="217"/>
        <v>45717.75</v>
      </c>
      <c r="BH217" s="19">
        <f t="shared" si="217"/>
        <v>45717.77083</v>
      </c>
      <c r="BI217" s="19">
        <f t="shared" si="217"/>
        <v>45717.79167</v>
      </c>
      <c r="BJ217" s="19">
        <f t="shared" si="217"/>
        <v>45717.8125</v>
      </c>
      <c r="BK217" s="19">
        <f t="shared" si="217"/>
        <v>45717.83333</v>
      </c>
      <c r="BL217" s="19">
        <f t="shared" si="217"/>
        <v>45717.85417</v>
      </c>
      <c r="BM217" s="19">
        <f t="shared" si="217"/>
        <v>45717.875</v>
      </c>
      <c r="BN217" s="19">
        <f t="shared" si="217"/>
        <v>45717.89583</v>
      </c>
      <c r="BO217" s="19">
        <f t="shared" si="217"/>
        <v>45717.91667</v>
      </c>
      <c r="BP217" s="19">
        <f t="shared" si="217"/>
        <v>45717.9375</v>
      </c>
      <c r="BQ217" s="19">
        <f t="shared" si="217"/>
        <v>45717.95833</v>
      </c>
      <c r="BR217" s="19">
        <f t="shared" si="217"/>
        <v>45717.97917</v>
      </c>
      <c r="BS217" s="19">
        <f t="shared" si="217"/>
        <v>45718</v>
      </c>
      <c r="BT217" s="19">
        <f t="shared" si="217"/>
        <v>45718.02083</v>
      </c>
      <c r="BU217" s="19">
        <f t="shared" si="217"/>
        <v>45718.04167</v>
      </c>
      <c r="BV217" s="19">
        <f t="shared" si="217"/>
        <v>45718.0625</v>
      </c>
      <c r="BW217" s="19">
        <f t="shared" si="217"/>
        <v>45718.08333</v>
      </c>
      <c r="BX217" s="19">
        <f t="shared" si="217"/>
        <v>45717</v>
      </c>
      <c r="BY217" s="19">
        <f t="shared" si="217"/>
        <v>45717</v>
      </c>
      <c r="BZ217" s="19">
        <f t="shared" si="217"/>
        <v>45717</v>
      </c>
    </row>
    <row r="218" ht="14.25" customHeight="1">
      <c r="A218" s="17">
        <v>45718.0</v>
      </c>
      <c r="B218" s="2" t="str">
        <f t="array" ref="B218">IF(NOW()&gt;AM218,"",IF(AND((WEEKDAY($A218)+$B$2)&gt;1,((WEEKDAY($A218)+$T$2)&lt;7),(WEEKDAY($A218)&lt;&gt;1)),"work",(INDEX(Subject!$A:$I,MATCH(RANDBETWEEN(1,(MAX(Subject!$B:$B))),Subject!$B:$B,0),3))))</f>
        <v/>
      </c>
      <c r="C218" s="2" t="str">
        <f t="array" ref="C218">IF(NOW()&gt;AN218,"",IF(AND((WEEKDAY($A218)+$B$2)&gt;1,((WEEKDAY($A218)+$T$2)&lt;7),(WEEKDAY($A218)&lt;&gt;1)),"work",(INDEX(Subject!$A:$I,MATCH(RANDBETWEEN(1,(MAX(Subject!$B:$B))),Subject!$B:$B,0),3))))</f>
        <v/>
      </c>
      <c r="D218" s="2" t="str">
        <f t="array" ref="D218">IF(NOW()&gt;AO218,"",IF(AND((WEEKDAY($A218)+$B$2)&gt;1,((WEEKDAY($A218)+$T$2)&lt;7),(WEEKDAY($A218)&lt;&gt;1)),"work",(INDEX(Subject!$A:$I,MATCH(RANDBETWEEN(1,(MAX(Subject!$B:$B))),Subject!$B:$B,0),3))))</f>
        <v/>
      </c>
      <c r="E218" s="2" t="str">
        <f t="array" ref="E218">IF(NOW()&gt;AP218,"",IF(AND((WEEKDAY($A218)+$B$2)&gt;1,((WEEKDAY($A218)+$T$2)&lt;7),(WEEKDAY($A218)&lt;&gt;1)),"work",(INDEX(Subject!$A:$I,MATCH(RANDBETWEEN(1,(MAX(Subject!$B:$B))),Subject!$B:$B,0),3))))</f>
        <v/>
      </c>
      <c r="F218" s="2" t="str">
        <f t="array" ref="F218">IF(NOW()&gt;AQ218,"",IF(AND((WEEKDAY($A218)+$B$2)&gt;1,((WEEKDAY($A218)+$T$2)&lt;7),(WEEKDAY($A218)&lt;&gt;1)),"work",(INDEX(Subject!$A:$I,MATCH(RANDBETWEEN(1,(MAX(Subject!$B:$B))),Subject!$B:$B,0),3))))</f>
        <v/>
      </c>
      <c r="G218" s="2" t="str">
        <f t="array" ref="G218">IF(NOW()&gt;AR218,"",IF(AND((WEEKDAY($A218)+$B$2)&gt;1,((WEEKDAY($A218)+$T$2)&lt;7),(WEEKDAY($A218)&lt;&gt;1)),"work",(INDEX(Subject!$A:$I,MATCH(RANDBETWEEN(1,(MAX(Subject!$B:$B))),Subject!$B:$B,0),3))))</f>
        <v/>
      </c>
      <c r="H218" s="2" t="str">
        <f t="array" ref="H218">IF(NOW()&gt;AS218,"",IF(AND((WEEKDAY($A218)+$B$2)&gt;1,((WEEKDAY($A218)+$T$2)&lt;7),(WEEKDAY($A218)&lt;&gt;1)),"work",(INDEX(Subject!$A:$I,MATCH(RANDBETWEEN(1,(MAX(Subject!$B:$B))),Subject!$B:$B,0),3))))</f>
        <v/>
      </c>
      <c r="I218" s="2" t="str">
        <f t="array" ref="I218">IF(NOW()&gt;AT218,"",IF(AND((WEEKDAY($A218)+$B$2)&gt;1,((WEEKDAY($A218)+$T$2)&lt;7),(WEEKDAY($A218)&lt;&gt;1)),"work",(INDEX(Subject!$A:$I,MATCH(RANDBETWEEN(1,(MAX(Subject!$B:$B))),Subject!$B:$B,0),3))))</f>
        <v/>
      </c>
      <c r="J218" s="2" t="str">
        <f t="array" ref="J218">IF(NOW()&gt;AU218,"",IF(AND((WEEKDAY($A218)+$B$2)&gt;1,((WEEKDAY($A218)+$T$2)&lt;7),(WEEKDAY($A218)&lt;&gt;1)),"work",(INDEX(Subject!$A:$I,MATCH(RANDBETWEEN(1,(MAX(Subject!$B:$B))),Subject!$B:$B,0),3))))</f>
        <v/>
      </c>
      <c r="K218" s="2" t="str">
        <f t="array" ref="K218">IF(NOW()&gt;AV218,"",IF(AND((WEEKDAY($A218)+$B$2)&gt;1,((WEEKDAY($A218)+$T$2)&lt;7),(WEEKDAY($A218)&lt;&gt;1)),"work",(INDEX(Subject!$A:$I,MATCH(RANDBETWEEN(1,(MAX(Subject!$B:$B))),Subject!$B:$B,0),3))))</f>
        <v/>
      </c>
      <c r="L218" s="2" t="str">
        <f t="array" ref="L218">IF(NOW()&gt;AW218,"",IF(AND((WEEKDAY($A218)+$B$2)&gt;1,((WEEKDAY($A218)+$T$2)&lt;7),(WEEKDAY($A218)&lt;&gt;1)),"work",(INDEX(Subject!$A:$I,MATCH(RANDBETWEEN(1,(MAX(Subject!$B:$B))),Subject!$B:$B,0),3))))</f>
        <v/>
      </c>
      <c r="M218" s="2" t="str">
        <f t="array" ref="M218">IF(NOW()&gt;AX218,"",IF(AND((WEEKDAY($A218)+$B$2)&gt;1,((WEEKDAY($A218)+$T$2)&lt;7),(WEEKDAY($A218)&lt;&gt;1)),"work",(INDEX(Subject!$A:$I,MATCH(RANDBETWEEN(1,(MAX(Subject!$B:$B))),Subject!$B:$B,0),3))))</f>
        <v/>
      </c>
      <c r="N218" s="2" t="str">
        <f t="array" ref="N218">IF(NOW()&gt;AY218,"",IF(AND((WEEKDAY($A218)+$B$2)&gt;1,((WEEKDAY($A218)+$T$2)&lt;7),(WEEKDAY($A218)&lt;&gt;1)),"work",(INDEX(Subject!$A:$I,MATCH(RANDBETWEEN(1,(MAX(Subject!$B:$B))),Subject!$B:$B,0),3))))</f>
        <v/>
      </c>
      <c r="O218" s="2" t="str">
        <f t="array" ref="O218">IF(NOW()&gt;AZ218,"",IF(AND((WEEKDAY($A218)+$B$2)&gt;1,((WEEKDAY($A218)+$T$2)&lt;7),(WEEKDAY($A218)&lt;&gt;1)),"work",(INDEX(Subject!$A:$I,MATCH(RANDBETWEEN(1,(MAX(Subject!$B:$B))),Subject!$B:$B,0),3))))</f>
        <v/>
      </c>
      <c r="P218" s="2" t="str">
        <f t="array" ref="P218">IF(NOW()&gt;BA218,"",IF(AND((WEEKDAY($A218)+$B$2)&gt;1,((WEEKDAY($A218)+$T$2)&lt;7),(WEEKDAY($A218)&lt;&gt;1)),"work",(INDEX(Subject!$A:$I,MATCH(RANDBETWEEN(1,(MAX(Subject!$B:$B))),Subject!$B:$B,0),3))))</f>
        <v/>
      </c>
      <c r="Q218" s="2" t="str">
        <f t="array" ref="Q218">IF(NOW()&gt;BB218,"",IF(AND((WEEKDAY($A218)+$B$2)&gt;1,((WEEKDAY($A218)+$T$2)&lt;7),(WEEKDAY($A218)&lt;&gt;1)),"work",(INDEX(Subject!$A:$I,MATCH(RANDBETWEEN(1,(MAX(Subject!$B:$B))),Subject!$B:$B,0),3))))</f>
        <v/>
      </c>
      <c r="R218" s="2" t="str">
        <f t="array" ref="R218">IF(NOW()&gt;BC218,"",IF(AND((WEEKDAY($A218)+$B$2)&gt;1,((WEEKDAY($A218)+$T$2)&lt;7),(WEEKDAY($A218)&lt;&gt;1)),"work",(INDEX(Subject!$A:$I,MATCH(RANDBETWEEN(1,(MAX(Subject!$B:$B))),Subject!$B:$B,0),3))))</f>
        <v/>
      </c>
      <c r="S218" s="2" t="str">
        <f t="array" ref="S218">IF(NOW()&gt;BD218,"",IF(AND((WEEKDAY($A218)+$B$2)&gt;1,((WEEKDAY($A218)+$T$2)&lt;7),(WEEKDAY($A218)&lt;&gt;1)),"work",(INDEX(Subject!$A:$I,MATCH(RANDBETWEEN(1,(MAX(Subject!$B:$B))),Subject!$B:$B,0),3))))</f>
        <v/>
      </c>
      <c r="T218" s="2" t="str">
        <f t="array" ref="T218">IF(NOW()&gt;BE218,"",IF(AND((WEEKDAY($A218)+$B$2)&gt;1,((WEEKDAY($A218)+$T$2)&lt;7),(WEEKDAY($A218)&lt;&gt;1)),"work",(INDEX(Subject!$A:$I,MATCH(RANDBETWEEN(1,(MAX(Subject!$B:$B))),Subject!$B:$B,0),3))))</f>
        <v/>
      </c>
      <c r="U218" s="8" t="str">
        <f t="array" ref="U218">INDEX(Subject!$A:$I,MATCH(RANDBETWEEN(1,16),Subject!$B:$B,0),3)</f>
        <v>#N/A</v>
      </c>
      <c r="V218" s="8" t="str">
        <f t="array" ref="V218">INDEX(Subject!$A:$I,MATCH(RANDBETWEEN(1,16),Subject!$B:$B,0),3)</f>
        <v>#N/A</v>
      </c>
      <c r="W218" s="8" t="str">
        <f t="array" ref="W218">INDEX(Subject!$A:$I,MATCH(RANDBETWEEN(1,16),Subject!$B:$B,0),3)</f>
        <v>#N/A</v>
      </c>
      <c r="X218" s="8" t="str">
        <f t="array" ref="X218">INDEX(Subject!$A:$I,MATCH(RANDBETWEEN(1,16),Subject!$B:$B,0),3)</f>
        <v>#N/A</v>
      </c>
      <c r="Y218" s="8" t="str">
        <f t="array" ref="Y218">INDEX(Subject!$A:$I,MATCH(RANDBETWEEN(1,16),Subject!$B:$B,0),3)</f>
        <v>#N/A</v>
      </c>
      <c r="Z218" s="8" t="str">
        <f t="array" ref="Z218">INDEX(Subject!$A:$I,MATCH(RANDBETWEEN(1,16),Subject!$B:$B,0),3)</f>
        <v>#N/A</v>
      </c>
      <c r="AA218" s="8" t="str">
        <f t="array" ref="AA218">INDEX(Subject!$A:$I,MATCH(RANDBETWEEN(1,16),Subject!$B:$B,0),3)</f>
        <v>#N/A</v>
      </c>
      <c r="AB218" s="8" t="str">
        <f t="array" ref="AB218">INDEX(Subject!$A:$I,MATCH(RANDBETWEEN(1,16),Subject!$B:$B,0),3)</f>
        <v>#N/A</v>
      </c>
      <c r="AC218" s="8" t="str">
        <f t="array" ref="AC218">INDEX(Subject!$A:$I,MATCH(RANDBETWEEN(1,16),Subject!$B:$B,0),3)</f>
        <v>#N/A</v>
      </c>
      <c r="AD218" s="8" t="str">
        <f t="array" ref="AD218">INDEX(Subject!$A:$I,MATCH(RANDBETWEEN(1,16),Subject!$B:$B,0),3)</f>
        <v>#N/A</v>
      </c>
      <c r="AE218" s="8" t="str">
        <f t="array" ref="AE218">INDEX(Subject!$A:$I,MATCH(RANDBETWEEN(1,16),Subject!$B:$B,0),3)</f>
        <v/>
      </c>
      <c r="AF218" s="8" t="str">
        <f t="array" ref="AF218">INDEX(Subject!$A:$I,MATCH(RANDBETWEEN(1,16),Subject!$B:$B,0),3)</f>
        <v>#N/A</v>
      </c>
      <c r="AG218" s="8" t="str">
        <f t="array" ref="AG218">INDEX(Subject!$A:$I,MATCH(RANDBETWEEN(1,16),Subject!$B:$B,0),3)</f>
        <v>#N/A</v>
      </c>
      <c r="AH218" s="8" t="str">
        <f t="array" ref="AH218">INDEX(Subject!$A:$I,MATCH(RANDBETWEEN(1,16),Subject!$B:$B,0),3)</f>
        <v>#N/A</v>
      </c>
      <c r="AI218" s="8" t="str">
        <f t="array" ref="AI218">INDEX(Subject!$A:$I,MATCH(RANDBETWEEN(1,16),Subject!$B:$B,0),3)</f>
        <v>#N/A</v>
      </c>
      <c r="AJ218" s="8" t="str">
        <f t="array" ref="AJ218">INDEX(Subject!$A:$I,MATCH(RANDBETWEEN(1,16),Subject!$B:$B,0),3)</f>
        <v>#N/A</v>
      </c>
      <c r="AK218" s="8" t="str">
        <f t="array" ref="AK218">INDEX(Subject!$A:$I,MATCH(RANDBETWEEN(1,16),Subject!$B:$B,0),3)</f>
        <v>#N/A</v>
      </c>
      <c r="AL218" s="8" t="str">
        <f t="array" ref="AL218">INDEX(Subject!$A:$I,MATCH(RANDBETWEEN(1,16),Subject!$B:$B,0),3)</f>
        <v>#N/A</v>
      </c>
      <c r="AM218" s="18">
        <f t="shared" si="4"/>
        <v>45718.33333</v>
      </c>
      <c r="AN218" s="19">
        <f t="shared" ref="AN218:BZ218" si="218">$A218+C$1</f>
        <v>45718.35417</v>
      </c>
      <c r="AO218" s="19">
        <f t="shared" si="218"/>
        <v>45718.375</v>
      </c>
      <c r="AP218" s="19">
        <f t="shared" si="218"/>
        <v>45718.39583</v>
      </c>
      <c r="AQ218" s="19">
        <f t="shared" si="218"/>
        <v>45718.41667</v>
      </c>
      <c r="AR218" s="19">
        <f t="shared" si="218"/>
        <v>45718.4375</v>
      </c>
      <c r="AS218" s="19">
        <f t="shared" si="218"/>
        <v>45718.45833</v>
      </c>
      <c r="AT218" s="19">
        <f t="shared" si="218"/>
        <v>45718.47917</v>
      </c>
      <c r="AU218" s="19">
        <f t="shared" si="218"/>
        <v>45718.5</v>
      </c>
      <c r="AV218" s="19">
        <f t="shared" si="218"/>
        <v>45718.52083</v>
      </c>
      <c r="AW218" s="19">
        <f t="shared" si="218"/>
        <v>45718.54167</v>
      </c>
      <c r="AX218" s="19">
        <f t="shared" si="218"/>
        <v>45718.5625</v>
      </c>
      <c r="AY218" s="19">
        <f t="shared" si="218"/>
        <v>45718.58333</v>
      </c>
      <c r="AZ218" s="19">
        <f t="shared" si="218"/>
        <v>45718.60417</v>
      </c>
      <c r="BA218" s="19">
        <f t="shared" si="218"/>
        <v>45718.625</v>
      </c>
      <c r="BB218" s="19">
        <f t="shared" si="218"/>
        <v>45718.64583</v>
      </c>
      <c r="BC218" s="19">
        <f t="shared" si="218"/>
        <v>45718.66667</v>
      </c>
      <c r="BD218" s="19">
        <f t="shared" si="218"/>
        <v>45718.6875</v>
      </c>
      <c r="BE218" s="19">
        <f t="shared" si="218"/>
        <v>45718.70833</v>
      </c>
      <c r="BF218" s="19">
        <f t="shared" si="218"/>
        <v>45718.72917</v>
      </c>
      <c r="BG218" s="19">
        <f t="shared" si="218"/>
        <v>45718.75</v>
      </c>
      <c r="BH218" s="19">
        <f t="shared" si="218"/>
        <v>45718.77083</v>
      </c>
      <c r="BI218" s="19">
        <f t="shared" si="218"/>
        <v>45718.79167</v>
      </c>
      <c r="BJ218" s="19">
        <f t="shared" si="218"/>
        <v>45718.8125</v>
      </c>
      <c r="BK218" s="19">
        <f t="shared" si="218"/>
        <v>45718.83333</v>
      </c>
      <c r="BL218" s="19">
        <f t="shared" si="218"/>
        <v>45718.85417</v>
      </c>
      <c r="BM218" s="19">
        <f t="shared" si="218"/>
        <v>45718.875</v>
      </c>
      <c r="BN218" s="19">
        <f t="shared" si="218"/>
        <v>45718.89583</v>
      </c>
      <c r="BO218" s="19">
        <f t="shared" si="218"/>
        <v>45718.91667</v>
      </c>
      <c r="BP218" s="19">
        <f t="shared" si="218"/>
        <v>45718.9375</v>
      </c>
      <c r="BQ218" s="19">
        <f t="shared" si="218"/>
        <v>45718.95833</v>
      </c>
      <c r="BR218" s="19">
        <f t="shared" si="218"/>
        <v>45718.97917</v>
      </c>
      <c r="BS218" s="19">
        <f t="shared" si="218"/>
        <v>45719</v>
      </c>
      <c r="BT218" s="19">
        <f t="shared" si="218"/>
        <v>45719.02083</v>
      </c>
      <c r="BU218" s="19">
        <f t="shared" si="218"/>
        <v>45719.04167</v>
      </c>
      <c r="BV218" s="19">
        <f t="shared" si="218"/>
        <v>45719.0625</v>
      </c>
      <c r="BW218" s="19">
        <f t="shared" si="218"/>
        <v>45719.08333</v>
      </c>
      <c r="BX218" s="19">
        <f t="shared" si="218"/>
        <v>45718</v>
      </c>
      <c r="BY218" s="19">
        <f t="shared" si="218"/>
        <v>45718</v>
      </c>
      <c r="BZ218" s="19">
        <f t="shared" si="218"/>
        <v>45718</v>
      </c>
    </row>
    <row r="219" ht="14.25" customHeight="1">
      <c r="A219" s="17">
        <v>45719.0</v>
      </c>
      <c r="B219" s="2" t="str">
        <f t="array" ref="B219">IF(NOW()&gt;AM219,"",IF(AND((WEEKDAY($A219)+$B$2)&gt;1,((WEEKDAY($A219)+$T$2)&lt;7),(WEEKDAY($A219)&lt;&gt;1)),"work",(INDEX(Subject!$A:$I,MATCH(RANDBETWEEN(1,(MAX(Subject!$B:$B))),Subject!$B:$B,0),3))))</f>
        <v/>
      </c>
      <c r="C219" s="2" t="str">
        <f t="array" ref="C219">IF(NOW()&gt;AN219,"",IF(AND((WEEKDAY($A219)+$B$2)&gt;1,((WEEKDAY($A219)+$T$2)&lt;7),(WEEKDAY($A219)&lt;&gt;1)),"work",(INDEX(Subject!$A:$I,MATCH(RANDBETWEEN(1,(MAX(Subject!$B:$B))),Subject!$B:$B,0),3))))</f>
        <v/>
      </c>
      <c r="D219" s="2" t="str">
        <f t="array" ref="D219">IF(NOW()&gt;AO219,"",IF(AND((WEEKDAY($A219)+$B$2)&gt;1,((WEEKDAY($A219)+$T$2)&lt;7),(WEEKDAY($A219)&lt;&gt;1)),"work",(INDEX(Subject!$A:$I,MATCH(RANDBETWEEN(1,(MAX(Subject!$B:$B))),Subject!$B:$B,0),3))))</f>
        <v/>
      </c>
      <c r="E219" s="2" t="str">
        <f t="array" ref="E219">IF(NOW()&gt;AP219,"",IF(AND((WEEKDAY($A219)+$B$2)&gt;1,((WEEKDAY($A219)+$T$2)&lt;7),(WEEKDAY($A219)&lt;&gt;1)),"work",(INDEX(Subject!$A:$I,MATCH(RANDBETWEEN(1,(MAX(Subject!$B:$B))),Subject!$B:$B,0),3))))</f>
        <v/>
      </c>
      <c r="F219" s="2" t="str">
        <f t="array" ref="F219">IF(NOW()&gt;AQ219,"",IF(AND((WEEKDAY($A219)+$B$2)&gt;1,((WEEKDAY($A219)+$T$2)&lt;7),(WEEKDAY($A219)&lt;&gt;1)),"work",(INDEX(Subject!$A:$I,MATCH(RANDBETWEEN(1,(MAX(Subject!$B:$B))),Subject!$B:$B,0),3))))</f>
        <v/>
      </c>
      <c r="G219" s="2" t="str">
        <f t="array" ref="G219">IF(NOW()&gt;AR219,"",IF(AND((WEEKDAY($A219)+$B$2)&gt;1,((WEEKDAY($A219)+$T$2)&lt;7),(WEEKDAY($A219)&lt;&gt;1)),"work",(INDEX(Subject!$A:$I,MATCH(RANDBETWEEN(1,(MAX(Subject!$B:$B))),Subject!$B:$B,0),3))))</f>
        <v/>
      </c>
      <c r="H219" s="2" t="str">
        <f t="array" ref="H219">IF(NOW()&gt;AS219,"",IF(AND((WEEKDAY($A219)+$B$2)&gt;1,((WEEKDAY($A219)+$T$2)&lt;7),(WEEKDAY($A219)&lt;&gt;1)),"work",(INDEX(Subject!$A:$I,MATCH(RANDBETWEEN(1,(MAX(Subject!$B:$B))),Subject!$B:$B,0),3))))</f>
        <v/>
      </c>
      <c r="I219" s="2" t="str">
        <f t="array" ref="I219">IF(NOW()&gt;AT219,"",IF(AND((WEEKDAY($A219)+$B$2)&gt;1,((WEEKDAY($A219)+$T$2)&lt;7),(WEEKDAY($A219)&lt;&gt;1)),"work",(INDEX(Subject!$A:$I,MATCH(RANDBETWEEN(1,(MAX(Subject!$B:$B))),Subject!$B:$B,0),3))))</f>
        <v/>
      </c>
      <c r="J219" s="2" t="str">
        <f t="array" ref="J219">IF(NOW()&gt;AU219,"",IF(AND((WEEKDAY($A219)+$B$2)&gt;1,((WEEKDAY($A219)+$T$2)&lt;7),(WEEKDAY($A219)&lt;&gt;1)),"work",(INDEX(Subject!$A:$I,MATCH(RANDBETWEEN(1,(MAX(Subject!$B:$B))),Subject!$B:$B,0),3))))</f>
        <v/>
      </c>
      <c r="K219" s="2" t="str">
        <f t="array" ref="K219">IF(NOW()&gt;AV219,"",IF(AND((WEEKDAY($A219)+$B$2)&gt;1,((WEEKDAY($A219)+$T$2)&lt;7),(WEEKDAY($A219)&lt;&gt;1)),"work",(INDEX(Subject!$A:$I,MATCH(RANDBETWEEN(1,(MAX(Subject!$B:$B))),Subject!$B:$B,0),3))))</f>
        <v/>
      </c>
      <c r="L219" s="2" t="str">
        <f t="array" ref="L219">IF(NOW()&gt;AW219,"",IF(AND((WEEKDAY($A219)+$B$2)&gt;1,((WEEKDAY($A219)+$T$2)&lt;7),(WEEKDAY($A219)&lt;&gt;1)),"work",(INDEX(Subject!$A:$I,MATCH(RANDBETWEEN(1,(MAX(Subject!$B:$B))),Subject!$B:$B,0),3))))</f>
        <v/>
      </c>
      <c r="M219" s="2" t="str">
        <f t="array" ref="M219">IF(NOW()&gt;AX219,"",IF(AND((WEEKDAY($A219)+$B$2)&gt;1,((WEEKDAY($A219)+$T$2)&lt;7),(WEEKDAY($A219)&lt;&gt;1)),"work",(INDEX(Subject!$A:$I,MATCH(RANDBETWEEN(1,(MAX(Subject!$B:$B))),Subject!$B:$B,0),3))))</f>
        <v/>
      </c>
      <c r="N219" s="2" t="str">
        <f t="array" ref="N219">IF(NOW()&gt;AY219,"",IF(AND((WEEKDAY($A219)+$B$2)&gt;1,((WEEKDAY($A219)+$T$2)&lt;7),(WEEKDAY($A219)&lt;&gt;1)),"work",(INDEX(Subject!$A:$I,MATCH(RANDBETWEEN(1,(MAX(Subject!$B:$B))),Subject!$B:$B,0),3))))</f>
        <v/>
      </c>
      <c r="O219" s="2" t="str">
        <f t="array" ref="O219">IF(NOW()&gt;AZ219,"",IF(AND((WEEKDAY($A219)+$B$2)&gt;1,((WEEKDAY($A219)+$T$2)&lt;7),(WEEKDAY($A219)&lt;&gt;1)),"work",(INDEX(Subject!$A:$I,MATCH(RANDBETWEEN(1,(MAX(Subject!$B:$B))),Subject!$B:$B,0),3))))</f>
        <v/>
      </c>
      <c r="P219" s="2" t="str">
        <f t="array" ref="P219">IF(NOW()&gt;BA219,"",IF(AND((WEEKDAY($A219)+$B$2)&gt;1,((WEEKDAY($A219)+$T$2)&lt;7),(WEEKDAY($A219)&lt;&gt;1)),"work",(INDEX(Subject!$A:$I,MATCH(RANDBETWEEN(1,(MAX(Subject!$B:$B))),Subject!$B:$B,0),3))))</f>
        <v/>
      </c>
      <c r="Q219" s="2" t="str">
        <f t="array" ref="Q219">IF(NOW()&gt;BB219,"",IF(AND((WEEKDAY($A219)+$B$2)&gt;1,((WEEKDAY($A219)+$T$2)&lt;7),(WEEKDAY($A219)&lt;&gt;1)),"work",(INDEX(Subject!$A:$I,MATCH(RANDBETWEEN(1,(MAX(Subject!$B:$B))),Subject!$B:$B,0),3))))</f>
        <v/>
      </c>
      <c r="R219" s="2" t="str">
        <f t="array" ref="R219">IF(NOW()&gt;BC219,"",IF(AND((WEEKDAY($A219)+$B$2)&gt;1,((WEEKDAY($A219)+$T$2)&lt;7),(WEEKDAY($A219)&lt;&gt;1)),"work",(INDEX(Subject!$A:$I,MATCH(RANDBETWEEN(1,(MAX(Subject!$B:$B))),Subject!$B:$B,0),3))))</f>
        <v/>
      </c>
      <c r="S219" s="2" t="str">
        <f t="array" ref="S219">IF(NOW()&gt;BD219,"",IF(AND((WEEKDAY($A219)+$B$2)&gt;1,((WEEKDAY($A219)+$T$2)&lt;7),(WEEKDAY($A219)&lt;&gt;1)),"work",(INDEX(Subject!$A:$I,MATCH(RANDBETWEEN(1,(MAX(Subject!$B:$B))),Subject!$B:$B,0),3))))</f>
        <v/>
      </c>
      <c r="T219" s="2" t="str">
        <f t="array" ref="T219">IF(NOW()&gt;BE219,"",IF(AND((WEEKDAY($A219)+$B$2)&gt;1,((WEEKDAY($A219)+$T$2)&lt;7),(WEEKDAY($A219)&lt;&gt;1)),"work",(INDEX(Subject!$A:$I,MATCH(RANDBETWEEN(1,(MAX(Subject!$B:$B))),Subject!$B:$B,0),3))))</f>
        <v/>
      </c>
      <c r="U219" s="8" t="str">
        <f t="array" ref="U219">INDEX(Subject!$A:$I,MATCH(RANDBETWEEN(1,16),Subject!$B:$B,0),3)</f>
        <v>#N/A</v>
      </c>
      <c r="V219" s="8" t="str">
        <f t="array" ref="V219">INDEX(Subject!$A:$I,MATCH(RANDBETWEEN(1,16),Subject!$B:$B,0),3)</f>
        <v>#N/A</v>
      </c>
      <c r="W219" s="8" t="str">
        <f t="array" ref="W219">INDEX(Subject!$A:$I,MATCH(RANDBETWEEN(1,16),Subject!$B:$B,0),3)</f>
        <v>#N/A</v>
      </c>
      <c r="X219" s="8" t="str">
        <f t="array" ref="X219">INDEX(Subject!$A:$I,MATCH(RANDBETWEEN(1,16),Subject!$B:$B,0),3)</f>
        <v>#N/A</v>
      </c>
      <c r="Y219" s="8" t="str">
        <f t="array" ref="Y219">INDEX(Subject!$A:$I,MATCH(RANDBETWEEN(1,16),Subject!$B:$B,0),3)</f>
        <v>#N/A</v>
      </c>
      <c r="Z219" s="8" t="str">
        <f t="array" ref="Z219">INDEX(Subject!$A:$I,MATCH(RANDBETWEEN(1,16),Subject!$B:$B,0),3)</f>
        <v>#N/A</v>
      </c>
      <c r="AA219" s="8" t="str">
        <f t="array" ref="AA219">INDEX(Subject!$A:$I,MATCH(RANDBETWEEN(1,16),Subject!$B:$B,0),3)</f>
        <v>#N/A</v>
      </c>
      <c r="AB219" s="8" t="str">
        <f t="array" ref="AB219">INDEX(Subject!$A:$I,MATCH(RANDBETWEEN(1,16),Subject!$B:$B,0),3)</f>
        <v>#N/A</v>
      </c>
      <c r="AC219" s="8" t="str">
        <f t="array" ref="AC219">INDEX(Subject!$A:$I,MATCH(RANDBETWEEN(1,16),Subject!$B:$B,0),3)</f>
        <v>#N/A</v>
      </c>
      <c r="AD219" s="8" t="str">
        <f t="array" ref="AD219">INDEX(Subject!$A:$I,MATCH(RANDBETWEEN(1,16),Subject!$B:$B,0),3)</f>
        <v>#N/A</v>
      </c>
      <c r="AE219" s="8" t="str">
        <f t="array" ref="AE219">INDEX(Subject!$A:$I,MATCH(RANDBETWEEN(1,16),Subject!$B:$B,0),3)</f>
        <v>#N/A</v>
      </c>
      <c r="AF219" s="8" t="str">
        <f t="array" ref="AF219">INDEX(Subject!$A:$I,MATCH(RANDBETWEEN(1,16),Subject!$B:$B,0),3)</f>
        <v>#N/A</v>
      </c>
      <c r="AG219" s="8" t="str">
        <f t="array" ref="AG219">INDEX(Subject!$A:$I,MATCH(RANDBETWEEN(1,16),Subject!$B:$B,0),3)</f>
        <v>#N/A</v>
      </c>
      <c r="AH219" s="8" t="str">
        <f t="array" ref="AH219">INDEX(Subject!$A:$I,MATCH(RANDBETWEEN(1,16),Subject!$B:$B,0),3)</f>
        <v>#N/A</v>
      </c>
      <c r="AI219" s="8" t="str">
        <f t="array" ref="AI219">INDEX(Subject!$A:$I,MATCH(RANDBETWEEN(1,16),Subject!$B:$B,0),3)</f>
        <v>#N/A</v>
      </c>
      <c r="AJ219" s="8" t="str">
        <f t="array" ref="AJ219">INDEX(Subject!$A:$I,MATCH(RANDBETWEEN(1,16),Subject!$B:$B,0),3)</f>
        <v>#N/A</v>
      </c>
      <c r="AK219" s="8" t="str">
        <f t="array" ref="AK219">INDEX(Subject!$A:$I,MATCH(RANDBETWEEN(1,16),Subject!$B:$B,0),3)</f>
        <v>#N/A</v>
      </c>
      <c r="AL219" s="8" t="str">
        <f t="array" ref="AL219">INDEX(Subject!$A:$I,MATCH(RANDBETWEEN(1,16),Subject!$B:$B,0),3)</f>
        <v>#N/A</v>
      </c>
      <c r="AM219" s="18">
        <f t="shared" si="4"/>
        <v>45719.33333</v>
      </c>
      <c r="AN219" s="19">
        <f t="shared" ref="AN219:BZ219" si="219">$A219+C$1</f>
        <v>45719.35417</v>
      </c>
      <c r="AO219" s="19">
        <f t="shared" si="219"/>
        <v>45719.375</v>
      </c>
      <c r="AP219" s="19">
        <f t="shared" si="219"/>
        <v>45719.39583</v>
      </c>
      <c r="AQ219" s="19">
        <f t="shared" si="219"/>
        <v>45719.41667</v>
      </c>
      <c r="AR219" s="19">
        <f t="shared" si="219"/>
        <v>45719.4375</v>
      </c>
      <c r="AS219" s="19">
        <f t="shared" si="219"/>
        <v>45719.45833</v>
      </c>
      <c r="AT219" s="19">
        <f t="shared" si="219"/>
        <v>45719.47917</v>
      </c>
      <c r="AU219" s="19">
        <f t="shared" si="219"/>
        <v>45719.5</v>
      </c>
      <c r="AV219" s="19">
        <f t="shared" si="219"/>
        <v>45719.52083</v>
      </c>
      <c r="AW219" s="19">
        <f t="shared" si="219"/>
        <v>45719.54167</v>
      </c>
      <c r="AX219" s="19">
        <f t="shared" si="219"/>
        <v>45719.5625</v>
      </c>
      <c r="AY219" s="19">
        <f t="shared" si="219"/>
        <v>45719.58333</v>
      </c>
      <c r="AZ219" s="19">
        <f t="shared" si="219"/>
        <v>45719.60417</v>
      </c>
      <c r="BA219" s="19">
        <f t="shared" si="219"/>
        <v>45719.625</v>
      </c>
      <c r="BB219" s="19">
        <f t="shared" si="219"/>
        <v>45719.64583</v>
      </c>
      <c r="BC219" s="19">
        <f t="shared" si="219"/>
        <v>45719.66667</v>
      </c>
      <c r="BD219" s="19">
        <f t="shared" si="219"/>
        <v>45719.6875</v>
      </c>
      <c r="BE219" s="19">
        <f t="shared" si="219"/>
        <v>45719.70833</v>
      </c>
      <c r="BF219" s="19">
        <f t="shared" si="219"/>
        <v>45719.72917</v>
      </c>
      <c r="BG219" s="19">
        <f t="shared" si="219"/>
        <v>45719.75</v>
      </c>
      <c r="BH219" s="19">
        <f t="shared" si="219"/>
        <v>45719.77083</v>
      </c>
      <c r="BI219" s="19">
        <f t="shared" si="219"/>
        <v>45719.79167</v>
      </c>
      <c r="BJ219" s="19">
        <f t="shared" si="219"/>
        <v>45719.8125</v>
      </c>
      <c r="BK219" s="19">
        <f t="shared" si="219"/>
        <v>45719.83333</v>
      </c>
      <c r="BL219" s="19">
        <f t="shared" si="219"/>
        <v>45719.85417</v>
      </c>
      <c r="BM219" s="19">
        <f t="shared" si="219"/>
        <v>45719.875</v>
      </c>
      <c r="BN219" s="19">
        <f t="shared" si="219"/>
        <v>45719.89583</v>
      </c>
      <c r="BO219" s="19">
        <f t="shared" si="219"/>
        <v>45719.91667</v>
      </c>
      <c r="BP219" s="19">
        <f t="shared" si="219"/>
        <v>45719.9375</v>
      </c>
      <c r="BQ219" s="19">
        <f t="shared" si="219"/>
        <v>45719.95833</v>
      </c>
      <c r="BR219" s="19">
        <f t="shared" si="219"/>
        <v>45719.97917</v>
      </c>
      <c r="BS219" s="19">
        <f t="shared" si="219"/>
        <v>45720</v>
      </c>
      <c r="BT219" s="19">
        <f t="shared" si="219"/>
        <v>45720.02083</v>
      </c>
      <c r="BU219" s="19">
        <f t="shared" si="219"/>
        <v>45720.04167</v>
      </c>
      <c r="BV219" s="19">
        <f t="shared" si="219"/>
        <v>45720.0625</v>
      </c>
      <c r="BW219" s="19">
        <f t="shared" si="219"/>
        <v>45720.08333</v>
      </c>
      <c r="BX219" s="19">
        <f t="shared" si="219"/>
        <v>45719</v>
      </c>
      <c r="BY219" s="19">
        <f t="shared" si="219"/>
        <v>45719</v>
      </c>
      <c r="BZ219" s="19">
        <f t="shared" si="219"/>
        <v>45719</v>
      </c>
    </row>
    <row r="220" ht="14.25" customHeight="1">
      <c r="A220" s="17">
        <v>45720.0</v>
      </c>
      <c r="B220" s="2" t="str">
        <f t="array" ref="B220">IF(NOW()&gt;AM220,"",IF(AND((WEEKDAY($A220)+$B$2)&gt;1,((WEEKDAY($A220)+$T$2)&lt;7),(WEEKDAY($A220)&lt;&gt;1)),"work",(INDEX(Subject!$A:$I,MATCH(RANDBETWEEN(1,(MAX(Subject!$B:$B))),Subject!$B:$B,0),3))))</f>
        <v/>
      </c>
      <c r="C220" s="2" t="str">
        <f t="array" ref="C220">IF(NOW()&gt;AN220,"",IF(AND((WEEKDAY($A220)+$B$2)&gt;1,((WEEKDAY($A220)+$T$2)&lt;7),(WEEKDAY($A220)&lt;&gt;1)),"work",(INDEX(Subject!$A:$I,MATCH(RANDBETWEEN(1,(MAX(Subject!$B:$B))),Subject!$B:$B,0),3))))</f>
        <v/>
      </c>
      <c r="D220" s="2" t="str">
        <f t="array" ref="D220">IF(NOW()&gt;AO220,"",IF(AND((WEEKDAY($A220)+$B$2)&gt;1,((WEEKDAY($A220)+$T$2)&lt;7),(WEEKDAY($A220)&lt;&gt;1)),"work",(INDEX(Subject!$A:$I,MATCH(RANDBETWEEN(1,(MAX(Subject!$B:$B))),Subject!$B:$B,0),3))))</f>
        <v/>
      </c>
      <c r="E220" s="2" t="str">
        <f t="array" ref="E220">IF(NOW()&gt;AP220,"",IF(AND((WEEKDAY($A220)+$B$2)&gt;1,((WEEKDAY($A220)+$T$2)&lt;7),(WEEKDAY($A220)&lt;&gt;1)),"work",(INDEX(Subject!$A:$I,MATCH(RANDBETWEEN(1,(MAX(Subject!$B:$B))),Subject!$B:$B,0),3))))</f>
        <v/>
      </c>
      <c r="F220" s="2" t="str">
        <f t="array" ref="F220">IF(NOW()&gt;AQ220,"",IF(AND((WEEKDAY($A220)+$B$2)&gt;1,((WEEKDAY($A220)+$T$2)&lt;7),(WEEKDAY($A220)&lt;&gt;1)),"work",(INDEX(Subject!$A:$I,MATCH(RANDBETWEEN(1,(MAX(Subject!$B:$B))),Subject!$B:$B,0),3))))</f>
        <v/>
      </c>
      <c r="G220" s="2" t="str">
        <f t="array" ref="G220">IF(NOW()&gt;AR220,"",IF(AND((WEEKDAY($A220)+$B$2)&gt;1,((WEEKDAY($A220)+$T$2)&lt;7),(WEEKDAY($A220)&lt;&gt;1)),"work",(INDEX(Subject!$A:$I,MATCH(RANDBETWEEN(1,(MAX(Subject!$B:$B))),Subject!$B:$B,0),3))))</f>
        <v/>
      </c>
      <c r="H220" s="2" t="str">
        <f t="array" ref="H220">IF(NOW()&gt;AS220,"",IF(AND((WEEKDAY($A220)+$B$2)&gt;1,((WEEKDAY($A220)+$T$2)&lt;7),(WEEKDAY($A220)&lt;&gt;1)),"work",(INDEX(Subject!$A:$I,MATCH(RANDBETWEEN(1,(MAX(Subject!$B:$B))),Subject!$B:$B,0),3))))</f>
        <v/>
      </c>
      <c r="I220" s="2" t="str">
        <f t="array" ref="I220">IF(NOW()&gt;AT220,"",IF(AND((WEEKDAY($A220)+$B$2)&gt;1,((WEEKDAY($A220)+$T$2)&lt;7),(WEEKDAY($A220)&lt;&gt;1)),"work",(INDEX(Subject!$A:$I,MATCH(RANDBETWEEN(1,(MAX(Subject!$B:$B))),Subject!$B:$B,0),3))))</f>
        <v/>
      </c>
      <c r="J220" s="2" t="str">
        <f t="array" ref="J220">IF(NOW()&gt;AU220,"",IF(AND((WEEKDAY($A220)+$B$2)&gt;1,((WEEKDAY($A220)+$T$2)&lt;7),(WEEKDAY($A220)&lt;&gt;1)),"work",(INDEX(Subject!$A:$I,MATCH(RANDBETWEEN(1,(MAX(Subject!$B:$B))),Subject!$B:$B,0),3))))</f>
        <v/>
      </c>
      <c r="K220" s="2" t="str">
        <f t="array" ref="K220">IF(NOW()&gt;AV220,"",IF(AND((WEEKDAY($A220)+$B$2)&gt;1,((WEEKDAY($A220)+$T$2)&lt;7),(WEEKDAY($A220)&lt;&gt;1)),"work",(INDEX(Subject!$A:$I,MATCH(RANDBETWEEN(1,(MAX(Subject!$B:$B))),Subject!$B:$B,0),3))))</f>
        <v/>
      </c>
      <c r="L220" s="2" t="str">
        <f t="array" ref="L220">IF(NOW()&gt;AW220,"",IF(AND((WEEKDAY($A220)+$B$2)&gt;1,((WEEKDAY($A220)+$T$2)&lt;7),(WEEKDAY($A220)&lt;&gt;1)),"work",(INDEX(Subject!$A:$I,MATCH(RANDBETWEEN(1,(MAX(Subject!$B:$B))),Subject!$B:$B,0),3))))</f>
        <v/>
      </c>
      <c r="M220" s="2" t="str">
        <f t="array" ref="M220">IF(NOW()&gt;AX220,"",IF(AND((WEEKDAY($A220)+$B$2)&gt;1,((WEEKDAY($A220)+$T$2)&lt;7),(WEEKDAY($A220)&lt;&gt;1)),"work",(INDEX(Subject!$A:$I,MATCH(RANDBETWEEN(1,(MAX(Subject!$B:$B))),Subject!$B:$B,0),3))))</f>
        <v/>
      </c>
      <c r="N220" s="2" t="str">
        <f t="array" ref="N220">IF(NOW()&gt;AY220,"",IF(AND((WEEKDAY($A220)+$B$2)&gt;1,((WEEKDAY($A220)+$T$2)&lt;7),(WEEKDAY($A220)&lt;&gt;1)),"work",(INDEX(Subject!$A:$I,MATCH(RANDBETWEEN(1,(MAX(Subject!$B:$B))),Subject!$B:$B,0),3))))</f>
        <v/>
      </c>
      <c r="O220" s="2" t="str">
        <f t="array" ref="O220">IF(NOW()&gt;AZ220,"",IF(AND((WEEKDAY($A220)+$B$2)&gt;1,((WEEKDAY($A220)+$T$2)&lt;7),(WEEKDAY($A220)&lt;&gt;1)),"work",(INDEX(Subject!$A:$I,MATCH(RANDBETWEEN(1,(MAX(Subject!$B:$B))),Subject!$B:$B,0),3))))</f>
        <v/>
      </c>
      <c r="P220" s="2" t="str">
        <f t="array" ref="P220">IF(NOW()&gt;BA220,"",IF(AND((WEEKDAY($A220)+$B$2)&gt;1,((WEEKDAY($A220)+$T$2)&lt;7),(WEEKDAY($A220)&lt;&gt;1)),"work",(INDEX(Subject!$A:$I,MATCH(RANDBETWEEN(1,(MAX(Subject!$B:$B))),Subject!$B:$B,0),3))))</f>
        <v/>
      </c>
      <c r="Q220" s="2" t="str">
        <f t="array" ref="Q220">IF(NOW()&gt;BB220,"",IF(AND((WEEKDAY($A220)+$B$2)&gt;1,((WEEKDAY($A220)+$T$2)&lt;7),(WEEKDAY($A220)&lt;&gt;1)),"work",(INDEX(Subject!$A:$I,MATCH(RANDBETWEEN(1,(MAX(Subject!$B:$B))),Subject!$B:$B,0),3))))</f>
        <v/>
      </c>
      <c r="R220" s="2" t="str">
        <f t="array" ref="R220">IF(NOW()&gt;BC220,"",IF(AND((WEEKDAY($A220)+$B$2)&gt;1,((WEEKDAY($A220)+$T$2)&lt;7),(WEEKDAY($A220)&lt;&gt;1)),"work",(INDEX(Subject!$A:$I,MATCH(RANDBETWEEN(1,(MAX(Subject!$B:$B))),Subject!$B:$B,0),3))))</f>
        <v/>
      </c>
      <c r="S220" s="2" t="str">
        <f t="array" ref="S220">IF(NOW()&gt;BD220,"",IF(AND((WEEKDAY($A220)+$B$2)&gt;1,((WEEKDAY($A220)+$T$2)&lt;7),(WEEKDAY($A220)&lt;&gt;1)),"work",(INDEX(Subject!$A:$I,MATCH(RANDBETWEEN(1,(MAX(Subject!$B:$B))),Subject!$B:$B,0),3))))</f>
        <v/>
      </c>
      <c r="T220" s="2" t="str">
        <f t="array" ref="T220">IF(NOW()&gt;BE220,"",IF(AND((WEEKDAY($A220)+$B$2)&gt;1,((WEEKDAY($A220)+$T$2)&lt;7),(WEEKDAY($A220)&lt;&gt;1)),"work",(INDEX(Subject!$A:$I,MATCH(RANDBETWEEN(1,(MAX(Subject!$B:$B))),Subject!$B:$B,0),3))))</f>
        <v/>
      </c>
      <c r="U220" s="8" t="str">
        <f t="array" ref="U220">INDEX(Subject!$A:$I,MATCH(RANDBETWEEN(1,16),Subject!$B:$B,0),3)</f>
        <v>#N/A</v>
      </c>
      <c r="V220" s="8" t="str">
        <f t="array" ref="V220">INDEX(Subject!$A:$I,MATCH(RANDBETWEEN(1,16),Subject!$B:$B,0),3)</f>
        <v>#N/A</v>
      </c>
      <c r="W220" s="8" t="str">
        <f t="array" ref="W220">INDEX(Subject!$A:$I,MATCH(RANDBETWEEN(1,16),Subject!$B:$B,0),3)</f>
        <v>#N/A</v>
      </c>
      <c r="X220" s="8" t="str">
        <f t="array" ref="X220">INDEX(Subject!$A:$I,MATCH(RANDBETWEEN(1,16),Subject!$B:$B,0),3)</f>
        <v>#N/A</v>
      </c>
      <c r="Y220" s="8" t="str">
        <f t="array" ref="Y220">INDEX(Subject!$A:$I,MATCH(RANDBETWEEN(1,16),Subject!$B:$B,0),3)</f>
        <v>#N/A</v>
      </c>
      <c r="Z220" s="8" t="str">
        <f t="array" ref="Z220">INDEX(Subject!$A:$I,MATCH(RANDBETWEEN(1,16),Subject!$B:$B,0),3)</f>
        <v>#N/A</v>
      </c>
      <c r="AA220" s="8" t="str">
        <f t="array" ref="AA220">INDEX(Subject!$A:$I,MATCH(RANDBETWEEN(1,16),Subject!$B:$B,0),3)</f>
        <v>#N/A</v>
      </c>
      <c r="AB220" s="8" t="str">
        <f t="array" ref="AB220">INDEX(Subject!$A:$I,MATCH(RANDBETWEEN(1,16),Subject!$B:$B,0),3)</f>
        <v>#N/A</v>
      </c>
      <c r="AC220" s="8" t="str">
        <f t="array" ref="AC220">INDEX(Subject!$A:$I,MATCH(RANDBETWEEN(1,16),Subject!$B:$B,0),3)</f>
        <v>#N/A</v>
      </c>
      <c r="AD220" s="8" t="str">
        <f t="array" ref="AD220">INDEX(Subject!$A:$I,MATCH(RANDBETWEEN(1,16),Subject!$B:$B,0),3)</f>
        <v>#N/A</v>
      </c>
      <c r="AE220" s="8" t="str">
        <f t="array" ref="AE220">INDEX(Subject!$A:$I,MATCH(RANDBETWEEN(1,16),Subject!$B:$B,0),3)</f>
        <v>#N/A</v>
      </c>
      <c r="AF220" s="8" t="str">
        <f t="array" ref="AF220">INDEX(Subject!$A:$I,MATCH(RANDBETWEEN(1,16),Subject!$B:$B,0),3)</f>
        <v>#N/A</v>
      </c>
      <c r="AG220" s="8" t="str">
        <f t="array" ref="AG220">INDEX(Subject!$A:$I,MATCH(RANDBETWEEN(1,16),Subject!$B:$B,0),3)</f>
        <v/>
      </c>
      <c r="AH220" s="8" t="str">
        <f t="array" ref="AH220">INDEX(Subject!$A:$I,MATCH(RANDBETWEEN(1,16),Subject!$B:$B,0),3)</f>
        <v>#N/A</v>
      </c>
      <c r="AI220" s="8" t="str">
        <f t="array" ref="AI220">INDEX(Subject!$A:$I,MATCH(RANDBETWEEN(1,16),Subject!$B:$B,0),3)</f>
        <v>#N/A</v>
      </c>
      <c r="AJ220" s="8" t="str">
        <f t="array" ref="AJ220">INDEX(Subject!$A:$I,MATCH(RANDBETWEEN(1,16),Subject!$B:$B,0),3)</f>
        <v>#N/A</v>
      </c>
      <c r="AK220" s="8" t="str">
        <f t="array" ref="AK220">INDEX(Subject!$A:$I,MATCH(RANDBETWEEN(1,16),Subject!$B:$B,0),3)</f>
        <v>#N/A</v>
      </c>
      <c r="AL220" s="8" t="str">
        <f t="array" ref="AL220">INDEX(Subject!$A:$I,MATCH(RANDBETWEEN(1,16),Subject!$B:$B,0),3)</f>
        <v/>
      </c>
      <c r="AM220" s="18">
        <f t="shared" si="4"/>
        <v>45720.33333</v>
      </c>
      <c r="AN220" s="19">
        <f t="shared" ref="AN220:BZ220" si="220">$A220+C$1</f>
        <v>45720.35417</v>
      </c>
      <c r="AO220" s="19">
        <f t="shared" si="220"/>
        <v>45720.375</v>
      </c>
      <c r="AP220" s="19">
        <f t="shared" si="220"/>
        <v>45720.39583</v>
      </c>
      <c r="AQ220" s="19">
        <f t="shared" si="220"/>
        <v>45720.41667</v>
      </c>
      <c r="AR220" s="19">
        <f t="shared" si="220"/>
        <v>45720.4375</v>
      </c>
      <c r="AS220" s="19">
        <f t="shared" si="220"/>
        <v>45720.45833</v>
      </c>
      <c r="AT220" s="19">
        <f t="shared" si="220"/>
        <v>45720.47917</v>
      </c>
      <c r="AU220" s="19">
        <f t="shared" si="220"/>
        <v>45720.5</v>
      </c>
      <c r="AV220" s="19">
        <f t="shared" si="220"/>
        <v>45720.52083</v>
      </c>
      <c r="AW220" s="19">
        <f t="shared" si="220"/>
        <v>45720.54167</v>
      </c>
      <c r="AX220" s="19">
        <f t="shared" si="220"/>
        <v>45720.5625</v>
      </c>
      <c r="AY220" s="19">
        <f t="shared" si="220"/>
        <v>45720.58333</v>
      </c>
      <c r="AZ220" s="19">
        <f t="shared" si="220"/>
        <v>45720.60417</v>
      </c>
      <c r="BA220" s="19">
        <f t="shared" si="220"/>
        <v>45720.625</v>
      </c>
      <c r="BB220" s="19">
        <f t="shared" si="220"/>
        <v>45720.64583</v>
      </c>
      <c r="BC220" s="19">
        <f t="shared" si="220"/>
        <v>45720.66667</v>
      </c>
      <c r="BD220" s="19">
        <f t="shared" si="220"/>
        <v>45720.6875</v>
      </c>
      <c r="BE220" s="19">
        <f t="shared" si="220"/>
        <v>45720.70833</v>
      </c>
      <c r="BF220" s="19">
        <f t="shared" si="220"/>
        <v>45720.72917</v>
      </c>
      <c r="BG220" s="19">
        <f t="shared" si="220"/>
        <v>45720.75</v>
      </c>
      <c r="BH220" s="19">
        <f t="shared" si="220"/>
        <v>45720.77083</v>
      </c>
      <c r="BI220" s="19">
        <f t="shared" si="220"/>
        <v>45720.79167</v>
      </c>
      <c r="BJ220" s="19">
        <f t="shared" si="220"/>
        <v>45720.8125</v>
      </c>
      <c r="BK220" s="19">
        <f t="shared" si="220"/>
        <v>45720.83333</v>
      </c>
      <c r="BL220" s="19">
        <f t="shared" si="220"/>
        <v>45720.85417</v>
      </c>
      <c r="BM220" s="19">
        <f t="shared" si="220"/>
        <v>45720.875</v>
      </c>
      <c r="BN220" s="19">
        <f t="shared" si="220"/>
        <v>45720.89583</v>
      </c>
      <c r="BO220" s="19">
        <f t="shared" si="220"/>
        <v>45720.91667</v>
      </c>
      <c r="BP220" s="19">
        <f t="shared" si="220"/>
        <v>45720.9375</v>
      </c>
      <c r="BQ220" s="19">
        <f t="shared" si="220"/>
        <v>45720.95833</v>
      </c>
      <c r="BR220" s="19">
        <f t="shared" si="220"/>
        <v>45720.97917</v>
      </c>
      <c r="BS220" s="19">
        <f t="shared" si="220"/>
        <v>45721</v>
      </c>
      <c r="BT220" s="19">
        <f t="shared" si="220"/>
        <v>45721.02083</v>
      </c>
      <c r="BU220" s="19">
        <f t="shared" si="220"/>
        <v>45721.04167</v>
      </c>
      <c r="BV220" s="19">
        <f t="shared" si="220"/>
        <v>45721.0625</v>
      </c>
      <c r="BW220" s="19">
        <f t="shared" si="220"/>
        <v>45721.08333</v>
      </c>
      <c r="BX220" s="19">
        <f t="shared" si="220"/>
        <v>45720</v>
      </c>
      <c r="BY220" s="19">
        <f t="shared" si="220"/>
        <v>45720</v>
      </c>
      <c r="BZ220" s="19">
        <f t="shared" si="220"/>
        <v>45720</v>
      </c>
    </row>
    <row r="221" ht="14.25" customHeight="1">
      <c r="A221" s="17">
        <v>45721.0</v>
      </c>
      <c r="B221" s="2" t="str">
        <f t="array" ref="B221">IF(NOW()&gt;AM221,"",IF(AND((WEEKDAY($A221)+$B$2)&gt;1,((WEEKDAY($A221)+$T$2)&lt;7),(WEEKDAY($A221)&lt;&gt;1)),"work",(INDEX(Subject!$A:$I,MATCH(RANDBETWEEN(1,(MAX(Subject!$B:$B))),Subject!$B:$B,0),3))))</f>
        <v/>
      </c>
      <c r="C221" s="2" t="str">
        <f t="array" ref="C221">IF(NOW()&gt;AN221,"",IF(AND((WEEKDAY($A221)+$B$2)&gt;1,((WEEKDAY($A221)+$T$2)&lt;7),(WEEKDAY($A221)&lt;&gt;1)),"work",(INDEX(Subject!$A:$I,MATCH(RANDBETWEEN(1,(MAX(Subject!$B:$B))),Subject!$B:$B,0),3))))</f>
        <v/>
      </c>
      <c r="D221" s="2" t="str">
        <f t="array" ref="D221">IF(NOW()&gt;AO221,"",IF(AND((WEEKDAY($A221)+$B$2)&gt;1,((WEEKDAY($A221)+$T$2)&lt;7),(WEEKDAY($A221)&lt;&gt;1)),"work",(INDEX(Subject!$A:$I,MATCH(RANDBETWEEN(1,(MAX(Subject!$B:$B))),Subject!$B:$B,0),3))))</f>
        <v/>
      </c>
      <c r="E221" s="2" t="str">
        <f t="array" ref="E221">IF(NOW()&gt;AP221,"",IF(AND((WEEKDAY($A221)+$B$2)&gt;1,((WEEKDAY($A221)+$T$2)&lt;7),(WEEKDAY($A221)&lt;&gt;1)),"work",(INDEX(Subject!$A:$I,MATCH(RANDBETWEEN(1,(MAX(Subject!$B:$B))),Subject!$B:$B,0),3))))</f>
        <v/>
      </c>
      <c r="F221" s="2" t="str">
        <f t="array" ref="F221">IF(NOW()&gt;AQ221,"",IF(AND((WEEKDAY($A221)+$B$2)&gt;1,((WEEKDAY($A221)+$T$2)&lt;7),(WEEKDAY($A221)&lt;&gt;1)),"work",(INDEX(Subject!$A:$I,MATCH(RANDBETWEEN(1,(MAX(Subject!$B:$B))),Subject!$B:$B,0),3))))</f>
        <v/>
      </c>
      <c r="G221" s="2" t="str">
        <f t="array" ref="G221">IF(NOW()&gt;AR221,"",IF(AND((WEEKDAY($A221)+$B$2)&gt;1,((WEEKDAY($A221)+$T$2)&lt;7),(WEEKDAY($A221)&lt;&gt;1)),"work",(INDEX(Subject!$A:$I,MATCH(RANDBETWEEN(1,(MAX(Subject!$B:$B))),Subject!$B:$B,0),3))))</f>
        <v/>
      </c>
      <c r="H221" s="2" t="str">
        <f t="array" ref="H221">IF(NOW()&gt;AS221,"",IF(AND((WEEKDAY($A221)+$B$2)&gt;1,((WEEKDAY($A221)+$T$2)&lt;7),(WEEKDAY($A221)&lt;&gt;1)),"work",(INDEX(Subject!$A:$I,MATCH(RANDBETWEEN(1,(MAX(Subject!$B:$B))),Subject!$B:$B,0),3))))</f>
        <v/>
      </c>
      <c r="I221" s="2" t="str">
        <f t="array" ref="I221">IF(NOW()&gt;AT221,"",IF(AND((WEEKDAY($A221)+$B$2)&gt;1,((WEEKDAY($A221)+$T$2)&lt;7),(WEEKDAY($A221)&lt;&gt;1)),"work",(INDEX(Subject!$A:$I,MATCH(RANDBETWEEN(1,(MAX(Subject!$B:$B))),Subject!$B:$B,0),3))))</f>
        <v/>
      </c>
      <c r="J221" s="2" t="str">
        <f t="array" ref="J221">IF(NOW()&gt;AU221,"",IF(AND((WEEKDAY($A221)+$B$2)&gt;1,((WEEKDAY($A221)+$T$2)&lt;7),(WEEKDAY($A221)&lt;&gt;1)),"work",(INDEX(Subject!$A:$I,MATCH(RANDBETWEEN(1,(MAX(Subject!$B:$B))),Subject!$B:$B,0),3))))</f>
        <v/>
      </c>
      <c r="K221" s="2" t="str">
        <f t="array" ref="K221">IF(NOW()&gt;AV221,"",IF(AND((WEEKDAY($A221)+$B$2)&gt;1,((WEEKDAY($A221)+$T$2)&lt;7),(WEEKDAY($A221)&lt;&gt;1)),"work",(INDEX(Subject!$A:$I,MATCH(RANDBETWEEN(1,(MAX(Subject!$B:$B))),Subject!$B:$B,0),3))))</f>
        <v/>
      </c>
      <c r="L221" s="2" t="str">
        <f t="array" ref="L221">IF(NOW()&gt;AW221,"",IF(AND((WEEKDAY($A221)+$B$2)&gt;1,((WEEKDAY($A221)+$T$2)&lt;7),(WEEKDAY($A221)&lt;&gt;1)),"work",(INDEX(Subject!$A:$I,MATCH(RANDBETWEEN(1,(MAX(Subject!$B:$B))),Subject!$B:$B,0),3))))</f>
        <v/>
      </c>
      <c r="M221" s="2" t="str">
        <f t="array" ref="M221">IF(NOW()&gt;AX221,"",IF(AND((WEEKDAY($A221)+$B$2)&gt;1,((WEEKDAY($A221)+$T$2)&lt;7),(WEEKDAY($A221)&lt;&gt;1)),"work",(INDEX(Subject!$A:$I,MATCH(RANDBETWEEN(1,(MAX(Subject!$B:$B))),Subject!$B:$B,0),3))))</f>
        <v/>
      </c>
      <c r="N221" s="2" t="str">
        <f t="array" ref="N221">IF(NOW()&gt;AY221,"",IF(AND((WEEKDAY($A221)+$B$2)&gt;1,((WEEKDAY($A221)+$T$2)&lt;7),(WEEKDAY($A221)&lt;&gt;1)),"work",(INDEX(Subject!$A:$I,MATCH(RANDBETWEEN(1,(MAX(Subject!$B:$B))),Subject!$B:$B,0),3))))</f>
        <v/>
      </c>
      <c r="O221" s="2" t="str">
        <f t="array" ref="O221">IF(NOW()&gt;AZ221,"",IF(AND((WEEKDAY($A221)+$B$2)&gt;1,((WEEKDAY($A221)+$T$2)&lt;7),(WEEKDAY($A221)&lt;&gt;1)),"work",(INDEX(Subject!$A:$I,MATCH(RANDBETWEEN(1,(MAX(Subject!$B:$B))),Subject!$B:$B,0),3))))</f>
        <v/>
      </c>
      <c r="P221" s="2" t="str">
        <f t="array" ref="P221">IF(NOW()&gt;BA221,"",IF(AND((WEEKDAY($A221)+$B$2)&gt;1,((WEEKDAY($A221)+$T$2)&lt;7),(WEEKDAY($A221)&lt;&gt;1)),"work",(INDEX(Subject!$A:$I,MATCH(RANDBETWEEN(1,(MAX(Subject!$B:$B))),Subject!$B:$B,0),3))))</f>
        <v/>
      </c>
      <c r="Q221" s="2" t="str">
        <f t="array" ref="Q221">IF(NOW()&gt;BB221,"",IF(AND((WEEKDAY($A221)+$B$2)&gt;1,((WEEKDAY($A221)+$T$2)&lt;7),(WEEKDAY($A221)&lt;&gt;1)),"work",(INDEX(Subject!$A:$I,MATCH(RANDBETWEEN(1,(MAX(Subject!$B:$B))),Subject!$B:$B,0),3))))</f>
        <v/>
      </c>
      <c r="R221" s="2" t="str">
        <f t="array" ref="R221">IF(NOW()&gt;BC221,"",IF(AND((WEEKDAY($A221)+$B$2)&gt;1,((WEEKDAY($A221)+$T$2)&lt;7),(WEEKDAY($A221)&lt;&gt;1)),"work",(INDEX(Subject!$A:$I,MATCH(RANDBETWEEN(1,(MAX(Subject!$B:$B))),Subject!$B:$B,0),3))))</f>
        <v/>
      </c>
      <c r="S221" s="2" t="str">
        <f t="array" ref="S221">IF(NOW()&gt;BD221,"",IF(AND((WEEKDAY($A221)+$B$2)&gt;1,((WEEKDAY($A221)+$T$2)&lt;7),(WEEKDAY($A221)&lt;&gt;1)),"work",(INDEX(Subject!$A:$I,MATCH(RANDBETWEEN(1,(MAX(Subject!$B:$B))),Subject!$B:$B,0),3))))</f>
        <v/>
      </c>
      <c r="T221" s="2" t="str">
        <f t="array" ref="T221">IF(NOW()&gt;BE221,"",IF(AND((WEEKDAY($A221)+$B$2)&gt;1,((WEEKDAY($A221)+$T$2)&lt;7),(WEEKDAY($A221)&lt;&gt;1)),"work",(INDEX(Subject!$A:$I,MATCH(RANDBETWEEN(1,(MAX(Subject!$B:$B))),Subject!$B:$B,0),3))))</f>
        <v/>
      </c>
      <c r="U221" s="8" t="str">
        <f t="array" ref="U221">INDEX(Subject!$A:$I,MATCH(RANDBETWEEN(1,16),Subject!$B:$B,0),3)</f>
        <v>#N/A</v>
      </c>
      <c r="V221" s="8" t="str">
        <f t="array" ref="V221">INDEX(Subject!$A:$I,MATCH(RANDBETWEEN(1,16),Subject!$B:$B,0),3)</f>
        <v>#N/A</v>
      </c>
      <c r="W221" s="8" t="str">
        <f t="array" ref="W221">INDEX(Subject!$A:$I,MATCH(RANDBETWEEN(1,16),Subject!$B:$B,0),3)</f>
        <v>#N/A</v>
      </c>
      <c r="X221" s="8" t="str">
        <f t="array" ref="X221">INDEX(Subject!$A:$I,MATCH(RANDBETWEEN(1,16),Subject!$B:$B,0),3)</f>
        <v>#N/A</v>
      </c>
      <c r="Y221" s="8" t="str">
        <f t="array" ref="Y221">INDEX(Subject!$A:$I,MATCH(RANDBETWEEN(1,16),Subject!$B:$B,0),3)</f>
        <v>#N/A</v>
      </c>
      <c r="Z221" s="8" t="str">
        <f t="array" ref="Z221">INDEX(Subject!$A:$I,MATCH(RANDBETWEEN(1,16),Subject!$B:$B,0),3)</f>
        <v>#N/A</v>
      </c>
      <c r="AA221" s="8" t="str">
        <f t="array" ref="AA221">INDEX(Subject!$A:$I,MATCH(RANDBETWEEN(1,16),Subject!$B:$B,0),3)</f>
        <v>#N/A</v>
      </c>
      <c r="AB221" s="8" t="str">
        <f t="array" ref="AB221">INDEX(Subject!$A:$I,MATCH(RANDBETWEEN(1,16),Subject!$B:$B,0),3)</f>
        <v>#N/A</v>
      </c>
      <c r="AC221" s="8" t="str">
        <f t="array" ref="AC221">INDEX(Subject!$A:$I,MATCH(RANDBETWEEN(1,16),Subject!$B:$B,0),3)</f>
        <v>#N/A</v>
      </c>
      <c r="AD221" s="8" t="str">
        <f t="array" ref="AD221">INDEX(Subject!$A:$I,MATCH(RANDBETWEEN(1,16),Subject!$B:$B,0),3)</f>
        <v>#N/A</v>
      </c>
      <c r="AE221" s="8" t="str">
        <f t="array" ref="AE221">INDEX(Subject!$A:$I,MATCH(RANDBETWEEN(1,16),Subject!$B:$B,0),3)</f>
        <v>#N/A</v>
      </c>
      <c r="AF221" s="8" t="str">
        <f t="array" ref="AF221">INDEX(Subject!$A:$I,MATCH(RANDBETWEEN(1,16),Subject!$B:$B,0),3)</f>
        <v>#N/A</v>
      </c>
      <c r="AG221" s="8" t="str">
        <f t="array" ref="AG221">INDEX(Subject!$A:$I,MATCH(RANDBETWEEN(1,16),Subject!$B:$B,0),3)</f>
        <v>#N/A</v>
      </c>
      <c r="AH221" s="8" t="str">
        <f t="array" ref="AH221">INDEX(Subject!$A:$I,MATCH(RANDBETWEEN(1,16),Subject!$B:$B,0),3)</f>
        <v>#N/A</v>
      </c>
      <c r="AI221" s="8" t="str">
        <f t="array" ref="AI221">INDEX(Subject!$A:$I,MATCH(RANDBETWEEN(1,16),Subject!$B:$B,0),3)</f>
        <v>#N/A</v>
      </c>
      <c r="AJ221" s="8" t="str">
        <f t="array" ref="AJ221">INDEX(Subject!$A:$I,MATCH(RANDBETWEEN(1,16),Subject!$B:$B,0),3)</f>
        <v/>
      </c>
      <c r="AK221" s="8" t="str">
        <f t="array" ref="AK221">INDEX(Subject!$A:$I,MATCH(RANDBETWEEN(1,16),Subject!$B:$B,0),3)</f>
        <v>#N/A</v>
      </c>
      <c r="AL221" s="8" t="str">
        <f t="array" ref="AL221">INDEX(Subject!$A:$I,MATCH(RANDBETWEEN(1,16),Subject!$B:$B,0),3)</f>
        <v>#N/A</v>
      </c>
      <c r="AM221" s="18">
        <f t="shared" si="4"/>
        <v>45721.33333</v>
      </c>
      <c r="AN221" s="19">
        <f t="shared" ref="AN221:BZ221" si="221">$A221+C$1</f>
        <v>45721.35417</v>
      </c>
      <c r="AO221" s="19">
        <f t="shared" si="221"/>
        <v>45721.375</v>
      </c>
      <c r="AP221" s="19">
        <f t="shared" si="221"/>
        <v>45721.39583</v>
      </c>
      <c r="AQ221" s="19">
        <f t="shared" si="221"/>
        <v>45721.41667</v>
      </c>
      <c r="AR221" s="19">
        <f t="shared" si="221"/>
        <v>45721.4375</v>
      </c>
      <c r="AS221" s="19">
        <f t="shared" si="221"/>
        <v>45721.45833</v>
      </c>
      <c r="AT221" s="19">
        <f t="shared" si="221"/>
        <v>45721.47917</v>
      </c>
      <c r="AU221" s="19">
        <f t="shared" si="221"/>
        <v>45721.5</v>
      </c>
      <c r="AV221" s="19">
        <f t="shared" si="221"/>
        <v>45721.52083</v>
      </c>
      <c r="AW221" s="19">
        <f t="shared" si="221"/>
        <v>45721.54167</v>
      </c>
      <c r="AX221" s="19">
        <f t="shared" si="221"/>
        <v>45721.5625</v>
      </c>
      <c r="AY221" s="19">
        <f t="shared" si="221"/>
        <v>45721.58333</v>
      </c>
      <c r="AZ221" s="19">
        <f t="shared" si="221"/>
        <v>45721.60417</v>
      </c>
      <c r="BA221" s="19">
        <f t="shared" si="221"/>
        <v>45721.625</v>
      </c>
      <c r="BB221" s="19">
        <f t="shared" si="221"/>
        <v>45721.64583</v>
      </c>
      <c r="BC221" s="19">
        <f t="shared" si="221"/>
        <v>45721.66667</v>
      </c>
      <c r="BD221" s="19">
        <f t="shared" si="221"/>
        <v>45721.6875</v>
      </c>
      <c r="BE221" s="19">
        <f t="shared" si="221"/>
        <v>45721.70833</v>
      </c>
      <c r="BF221" s="19">
        <f t="shared" si="221"/>
        <v>45721.72917</v>
      </c>
      <c r="BG221" s="19">
        <f t="shared" si="221"/>
        <v>45721.75</v>
      </c>
      <c r="BH221" s="19">
        <f t="shared" si="221"/>
        <v>45721.77083</v>
      </c>
      <c r="BI221" s="19">
        <f t="shared" si="221"/>
        <v>45721.79167</v>
      </c>
      <c r="BJ221" s="19">
        <f t="shared" si="221"/>
        <v>45721.8125</v>
      </c>
      <c r="BK221" s="19">
        <f t="shared" si="221"/>
        <v>45721.83333</v>
      </c>
      <c r="BL221" s="19">
        <f t="shared" si="221"/>
        <v>45721.85417</v>
      </c>
      <c r="BM221" s="19">
        <f t="shared" si="221"/>
        <v>45721.875</v>
      </c>
      <c r="BN221" s="19">
        <f t="shared" si="221"/>
        <v>45721.89583</v>
      </c>
      <c r="BO221" s="19">
        <f t="shared" si="221"/>
        <v>45721.91667</v>
      </c>
      <c r="BP221" s="19">
        <f t="shared" si="221"/>
        <v>45721.9375</v>
      </c>
      <c r="BQ221" s="19">
        <f t="shared" si="221"/>
        <v>45721.95833</v>
      </c>
      <c r="BR221" s="19">
        <f t="shared" si="221"/>
        <v>45721.97917</v>
      </c>
      <c r="BS221" s="19">
        <f t="shared" si="221"/>
        <v>45722</v>
      </c>
      <c r="BT221" s="19">
        <f t="shared" si="221"/>
        <v>45722.02083</v>
      </c>
      <c r="BU221" s="19">
        <f t="shared" si="221"/>
        <v>45722.04167</v>
      </c>
      <c r="BV221" s="19">
        <f t="shared" si="221"/>
        <v>45722.0625</v>
      </c>
      <c r="BW221" s="19">
        <f t="shared" si="221"/>
        <v>45722.08333</v>
      </c>
      <c r="BX221" s="19">
        <f t="shared" si="221"/>
        <v>45721</v>
      </c>
      <c r="BY221" s="19">
        <f t="shared" si="221"/>
        <v>45721</v>
      </c>
      <c r="BZ221" s="19">
        <f t="shared" si="221"/>
        <v>45721</v>
      </c>
    </row>
    <row r="222" ht="14.25" customHeight="1">
      <c r="A222" s="17">
        <v>45722.0</v>
      </c>
      <c r="B222" s="2" t="str">
        <f t="array" ref="B222">IF(NOW()&gt;AM222,"",IF(AND((WEEKDAY($A222)+$B$2)&gt;1,((WEEKDAY($A222)+$T$2)&lt;7),(WEEKDAY($A222)&lt;&gt;1)),"work",(INDEX(Subject!$A:$I,MATCH(RANDBETWEEN(1,(MAX(Subject!$B:$B))),Subject!$B:$B,0),3))))</f>
        <v/>
      </c>
      <c r="C222" s="2" t="str">
        <f t="array" ref="C222">IF(NOW()&gt;AN222,"",IF(AND((WEEKDAY($A222)+$B$2)&gt;1,((WEEKDAY($A222)+$T$2)&lt;7),(WEEKDAY($A222)&lt;&gt;1)),"work",(INDEX(Subject!$A:$I,MATCH(RANDBETWEEN(1,(MAX(Subject!$B:$B))),Subject!$B:$B,0),3))))</f>
        <v/>
      </c>
      <c r="D222" s="2" t="str">
        <f t="array" ref="D222">IF(NOW()&gt;AO222,"",IF(AND((WEEKDAY($A222)+$B$2)&gt;1,((WEEKDAY($A222)+$T$2)&lt;7),(WEEKDAY($A222)&lt;&gt;1)),"work",(INDEX(Subject!$A:$I,MATCH(RANDBETWEEN(1,(MAX(Subject!$B:$B))),Subject!$B:$B,0),3))))</f>
        <v/>
      </c>
      <c r="E222" s="2" t="str">
        <f t="array" ref="E222">IF(NOW()&gt;AP222,"",IF(AND((WEEKDAY($A222)+$B$2)&gt;1,((WEEKDAY($A222)+$T$2)&lt;7),(WEEKDAY($A222)&lt;&gt;1)),"work",(INDEX(Subject!$A:$I,MATCH(RANDBETWEEN(1,(MAX(Subject!$B:$B))),Subject!$B:$B,0),3))))</f>
        <v/>
      </c>
      <c r="F222" s="2" t="str">
        <f t="array" ref="F222">IF(NOW()&gt;AQ222,"",IF(AND((WEEKDAY($A222)+$B$2)&gt;1,((WEEKDAY($A222)+$T$2)&lt;7),(WEEKDAY($A222)&lt;&gt;1)),"work",(INDEX(Subject!$A:$I,MATCH(RANDBETWEEN(1,(MAX(Subject!$B:$B))),Subject!$B:$B,0),3))))</f>
        <v/>
      </c>
      <c r="G222" s="2" t="str">
        <f t="array" ref="G222">IF(NOW()&gt;AR222,"",IF(AND((WEEKDAY($A222)+$B$2)&gt;1,((WEEKDAY($A222)+$T$2)&lt;7),(WEEKDAY($A222)&lt;&gt;1)),"work",(INDEX(Subject!$A:$I,MATCH(RANDBETWEEN(1,(MAX(Subject!$B:$B))),Subject!$B:$B,0),3))))</f>
        <v/>
      </c>
      <c r="H222" s="2" t="str">
        <f t="array" ref="H222">IF(NOW()&gt;AS222,"",IF(AND((WEEKDAY($A222)+$B$2)&gt;1,((WEEKDAY($A222)+$T$2)&lt;7),(WEEKDAY($A222)&lt;&gt;1)),"work",(INDEX(Subject!$A:$I,MATCH(RANDBETWEEN(1,(MAX(Subject!$B:$B))),Subject!$B:$B,0),3))))</f>
        <v/>
      </c>
      <c r="I222" s="2" t="str">
        <f t="array" ref="I222">IF(NOW()&gt;AT222,"",IF(AND((WEEKDAY($A222)+$B$2)&gt;1,((WEEKDAY($A222)+$T$2)&lt;7),(WEEKDAY($A222)&lt;&gt;1)),"work",(INDEX(Subject!$A:$I,MATCH(RANDBETWEEN(1,(MAX(Subject!$B:$B))),Subject!$B:$B,0),3))))</f>
        <v/>
      </c>
      <c r="J222" s="2" t="str">
        <f t="array" ref="J222">IF(NOW()&gt;AU222,"",IF(AND((WEEKDAY($A222)+$B$2)&gt;1,((WEEKDAY($A222)+$T$2)&lt;7),(WEEKDAY($A222)&lt;&gt;1)),"work",(INDEX(Subject!$A:$I,MATCH(RANDBETWEEN(1,(MAX(Subject!$B:$B))),Subject!$B:$B,0),3))))</f>
        <v/>
      </c>
      <c r="K222" s="2" t="str">
        <f t="array" ref="K222">IF(NOW()&gt;AV222,"",IF(AND((WEEKDAY($A222)+$B$2)&gt;1,((WEEKDAY($A222)+$T$2)&lt;7),(WEEKDAY($A222)&lt;&gt;1)),"work",(INDEX(Subject!$A:$I,MATCH(RANDBETWEEN(1,(MAX(Subject!$B:$B))),Subject!$B:$B,0),3))))</f>
        <v/>
      </c>
      <c r="L222" s="2" t="str">
        <f t="array" ref="L222">IF(NOW()&gt;AW222,"",IF(AND((WEEKDAY($A222)+$B$2)&gt;1,((WEEKDAY($A222)+$T$2)&lt;7),(WEEKDAY($A222)&lt;&gt;1)),"work",(INDEX(Subject!$A:$I,MATCH(RANDBETWEEN(1,(MAX(Subject!$B:$B))),Subject!$B:$B,0),3))))</f>
        <v/>
      </c>
      <c r="M222" s="2" t="str">
        <f t="array" ref="M222">IF(NOW()&gt;AX222,"",IF(AND((WEEKDAY($A222)+$B$2)&gt;1,((WEEKDAY($A222)+$T$2)&lt;7),(WEEKDAY($A222)&lt;&gt;1)),"work",(INDEX(Subject!$A:$I,MATCH(RANDBETWEEN(1,(MAX(Subject!$B:$B))),Subject!$B:$B,0),3))))</f>
        <v/>
      </c>
      <c r="N222" s="2" t="str">
        <f t="array" ref="N222">IF(NOW()&gt;AY222,"",IF(AND((WEEKDAY($A222)+$B$2)&gt;1,((WEEKDAY($A222)+$T$2)&lt;7),(WEEKDAY($A222)&lt;&gt;1)),"work",(INDEX(Subject!$A:$I,MATCH(RANDBETWEEN(1,(MAX(Subject!$B:$B))),Subject!$B:$B,0),3))))</f>
        <v/>
      </c>
      <c r="O222" s="2" t="str">
        <f t="array" ref="O222">IF(NOW()&gt;AZ222,"",IF(AND((WEEKDAY($A222)+$B$2)&gt;1,((WEEKDAY($A222)+$T$2)&lt;7),(WEEKDAY($A222)&lt;&gt;1)),"work",(INDEX(Subject!$A:$I,MATCH(RANDBETWEEN(1,(MAX(Subject!$B:$B))),Subject!$B:$B,0),3))))</f>
        <v/>
      </c>
      <c r="P222" s="2" t="str">
        <f t="array" ref="P222">IF(NOW()&gt;BA222,"",IF(AND((WEEKDAY($A222)+$B$2)&gt;1,((WEEKDAY($A222)+$T$2)&lt;7),(WEEKDAY($A222)&lt;&gt;1)),"work",(INDEX(Subject!$A:$I,MATCH(RANDBETWEEN(1,(MAX(Subject!$B:$B))),Subject!$B:$B,0),3))))</f>
        <v/>
      </c>
      <c r="Q222" s="2" t="str">
        <f t="array" ref="Q222">IF(NOW()&gt;BB222,"",IF(AND((WEEKDAY($A222)+$B$2)&gt;1,((WEEKDAY($A222)+$T$2)&lt;7),(WEEKDAY($A222)&lt;&gt;1)),"work",(INDEX(Subject!$A:$I,MATCH(RANDBETWEEN(1,(MAX(Subject!$B:$B))),Subject!$B:$B,0),3))))</f>
        <v/>
      </c>
      <c r="R222" s="2" t="str">
        <f t="array" ref="R222">IF(NOW()&gt;BC222,"",IF(AND((WEEKDAY($A222)+$B$2)&gt;1,((WEEKDAY($A222)+$T$2)&lt;7),(WEEKDAY($A222)&lt;&gt;1)),"work",(INDEX(Subject!$A:$I,MATCH(RANDBETWEEN(1,(MAX(Subject!$B:$B))),Subject!$B:$B,0),3))))</f>
        <v/>
      </c>
      <c r="S222" s="2" t="str">
        <f t="array" ref="S222">IF(NOW()&gt;BD222,"",IF(AND((WEEKDAY($A222)+$B$2)&gt;1,((WEEKDAY($A222)+$T$2)&lt;7),(WEEKDAY($A222)&lt;&gt;1)),"work",(INDEX(Subject!$A:$I,MATCH(RANDBETWEEN(1,(MAX(Subject!$B:$B))),Subject!$B:$B,0),3))))</f>
        <v/>
      </c>
      <c r="T222" s="2" t="str">
        <f t="array" ref="T222">IF(NOW()&gt;BE222,"",IF(AND((WEEKDAY($A222)+$B$2)&gt;1,((WEEKDAY($A222)+$T$2)&lt;7),(WEEKDAY($A222)&lt;&gt;1)),"work",(INDEX(Subject!$A:$I,MATCH(RANDBETWEEN(1,(MAX(Subject!$B:$B))),Subject!$B:$B,0),3))))</f>
        <v/>
      </c>
      <c r="U222" s="8" t="str">
        <f t="array" ref="U222">INDEX(Subject!$A:$I,MATCH(RANDBETWEEN(1,16),Subject!$B:$B,0),3)</f>
        <v>#N/A</v>
      </c>
      <c r="V222" s="8" t="str">
        <f t="array" ref="V222">INDEX(Subject!$A:$I,MATCH(RANDBETWEEN(1,16),Subject!$B:$B,0),3)</f>
        <v>#N/A</v>
      </c>
      <c r="W222" s="8" t="str">
        <f t="array" ref="W222">INDEX(Subject!$A:$I,MATCH(RANDBETWEEN(1,16),Subject!$B:$B,0),3)</f>
        <v>#N/A</v>
      </c>
      <c r="X222" s="8" t="str">
        <f t="array" ref="X222">INDEX(Subject!$A:$I,MATCH(RANDBETWEEN(1,16),Subject!$B:$B,0),3)</f>
        <v>#N/A</v>
      </c>
      <c r="Y222" s="8" t="str">
        <f t="array" ref="Y222">INDEX(Subject!$A:$I,MATCH(RANDBETWEEN(1,16),Subject!$B:$B,0),3)</f>
        <v>#N/A</v>
      </c>
      <c r="Z222" s="8" t="str">
        <f t="array" ref="Z222">INDEX(Subject!$A:$I,MATCH(RANDBETWEEN(1,16),Subject!$B:$B,0),3)</f>
        <v/>
      </c>
      <c r="AA222" s="8" t="str">
        <f t="array" ref="AA222">INDEX(Subject!$A:$I,MATCH(RANDBETWEEN(1,16),Subject!$B:$B,0),3)</f>
        <v>#N/A</v>
      </c>
      <c r="AB222" s="8" t="str">
        <f t="array" ref="AB222">INDEX(Subject!$A:$I,MATCH(RANDBETWEEN(1,16),Subject!$B:$B,0),3)</f>
        <v>#N/A</v>
      </c>
      <c r="AC222" s="8" t="str">
        <f t="array" ref="AC222">INDEX(Subject!$A:$I,MATCH(RANDBETWEEN(1,16),Subject!$B:$B,0),3)</f>
        <v>#N/A</v>
      </c>
      <c r="AD222" s="8" t="str">
        <f t="array" ref="AD222">INDEX(Subject!$A:$I,MATCH(RANDBETWEEN(1,16),Subject!$B:$B,0),3)</f>
        <v/>
      </c>
      <c r="AE222" s="8" t="str">
        <f t="array" ref="AE222">INDEX(Subject!$A:$I,MATCH(RANDBETWEEN(1,16),Subject!$B:$B,0),3)</f>
        <v>#N/A</v>
      </c>
      <c r="AF222" s="8" t="str">
        <f t="array" ref="AF222">INDEX(Subject!$A:$I,MATCH(RANDBETWEEN(1,16),Subject!$B:$B,0),3)</f>
        <v>#N/A</v>
      </c>
      <c r="AG222" s="8" t="str">
        <f t="array" ref="AG222">INDEX(Subject!$A:$I,MATCH(RANDBETWEEN(1,16),Subject!$B:$B,0),3)</f>
        <v>#N/A</v>
      </c>
      <c r="AH222" s="8" t="str">
        <f t="array" ref="AH222">INDEX(Subject!$A:$I,MATCH(RANDBETWEEN(1,16),Subject!$B:$B,0),3)</f>
        <v>#N/A</v>
      </c>
      <c r="AI222" s="8" t="str">
        <f t="array" ref="AI222">INDEX(Subject!$A:$I,MATCH(RANDBETWEEN(1,16),Subject!$B:$B,0),3)</f>
        <v>#N/A</v>
      </c>
      <c r="AJ222" s="8" t="str">
        <f t="array" ref="AJ222">INDEX(Subject!$A:$I,MATCH(RANDBETWEEN(1,16),Subject!$B:$B,0),3)</f>
        <v>#N/A</v>
      </c>
      <c r="AK222" s="8" t="str">
        <f t="array" ref="AK222">INDEX(Subject!$A:$I,MATCH(RANDBETWEEN(1,16),Subject!$B:$B,0),3)</f>
        <v>#N/A</v>
      </c>
      <c r="AL222" s="8" t="str">
        <f t="array" ref="AL222">INDEX(Subject!$A:$I,MATCH(RANDBETWEEN(1,16),Subject!$B:$B,0),3)</f>
        <v>#N/A</v>
      </c>
      <c r="AM222" s="18">
        <f t="shared" si="4"/>
        <v>45722.33333</v>
      </c>
      <c r="AN222" s="19">
        <f t="shared" ref="AN222:BZ222" si="222">$A222+C$1</f>
        <v>45722.35417</v>
      </c>
      <c r="AO222" s="19">
        <f t="shared" si="222"/>
        <v>45722.375</v>
      </c>
      <c r="AP222" s="19">
        <f t="shared" si="222"/>
        <v>45722.39583</v>
      </c>
      <c r="AQ222" s="19">
        <f t="shared" si="222"/>
        <v>45722.41667</v>
      </c>
      <c r="AR222" s="19">
        <f t="shared" si="222"/>
        <v>45722.4375</v>
      </c>
      <c r="AS222" s="19">
        <f t="shared" si="222"/>
        <v>45722.45833</v>
      </c>
      <c r="AT222" s="19">
        <f t="shared" si="222"/>
        <v>45722.47917</v>
      </c>
      <c r="AU222" s="19">
        <f t="shared" si="222"/>
        <v>45722.5</v>
      </c>
      <c r="AV222" s="19">
        <f t="shared" si="222"/>
        <v>45722.52083</v>
      </c>
      <c r="AW222" s="19">
        <f t="shared" si="222"/>
        <v>45722.54167</v>
      </c>
      <c r="AX222" s="19">
        <f t="shared" si="222"/>
        <v>45722.5625</v>
      </c>
      <c r="AY222" s="19">
        <f t="shared" si="222"/>
        <v>45722.58333</v>
      </c>
      <c r="AZ222" s="19">
        <f t="shared" si="222"/>
        <v>45722.60417</v>
      </c>
      <c r="BA222" s="19">
        <f t="shared" si="222"/>
        <v>45722.625</v>
      </c>
      <c r="BB222" s="19">
        <f t="shared" si="222"/>
        <v>45722.64583</v>
      </c>
      <c r="BC222" s="19">
        <f t="shared" si="222"/>
        <v>45722.66667</v>
      </c>
      <c r="BD222" s="19">
        <f t="shared" si="222"/>
        <v>45722.6875</v>
      </c>
      <c r="BE222" s="19">
        <f t="shared" si="222"/>
        <v>45722.70833</v>
      </c>
      <c r="BF222" s="19">
        <f t="shared" si="222"/>
        <v>45722.72917</v>
      </c>
      <c r="BG222" s="19">
        <f t="shared" si="222"/>
        <v>45722.75</v>
      </c>
      <c r="BH222" s="19">
        <f t="shared" si="222"/>
        <v>45722.77083</v>
      </c>
      <c r="BI222" s="19">
        <f t="shared" si="222"/>
        <v>45722.79167</v>
      </c>
      <c r="BJ222" s="19">
        <f t="shared" si="222"/>
        <v>45722.8125</v>
      </c>
      <c r="BK222" s="19">
        <f t="shared" si="222"/>
        <v>45722.83333</v>
      </c>
      <c r="BL222" s="19">
        <f t="shared" si="222"/>
        <v>45722.85417</v>
      </c>
      <c r="BM222" s="19">
        <f t="shared" si="222"/>
        <v>45722.875</v>
      </c>
      <c r="BN222" s="19">
        <f t="shared" si="222"/>
        <v>45722.89583</v>
      </c>
      <c r="BO222" s="19">
        <f t="shared" si="222"/>
        <v>45722.91667</v>
      </c>
      <c r="BP222" s="19">
        <f t="shared" si="222"/>
        <v>45722.9375</v>
      </c>
      <c r="BQ222" s="19">
        <f t="shared" si="222"/>
        <v>45722.95833</v>
      </c>
      <c r="BR222" s="19">
        <f t="shared" si="222"/>
        <v>45722.97917</v>
      </c>
      <c r="BS222" s="19">
        <f t="shared" si="222"/>
        <v>45723</v>
      </c>
      <c r="BT222" s="19">
        <f t="shared" si="222"/>
        <v>45723.02083</v>
      </c>
      <c r="BU222" s="19">
        <f t="shared" si="222"/>
        <v>45723.04167</v>
      </c>
      <c r="BV222" s="19">
        <f t="shared" si="222"/>
        <v>45723.0625</v>
      </c>
      <c r="BW222" s="19">
        <f t="shared" si="222"/>
        <v>45723.08333</v>
      </c>
      <c r="BX222" s="19">
        <f t="shared" si="222"/>
        <v>45722</v>
      </c>
      <c r="BY222" s="19">
        <f t="shared" si="222"/>
        <v>45722</v>
      </c>
      <c r="BZ222" s="19">
        <f t="shared" si="222"/>
        <v>45722</v>
      </c>
    </row>
    <row r="223" ht="14.25" customHeight="1">
      <c r="A223" s="17">
        <v>45723.0</v>
      </c>
      <c r="B223" s="2" t="str">
        <f t="array" ref="B223">IF(NOW()&gt;AM223,"",IF(AND((WEEKDAY($A223)+$B$2)&gt;1,((WEEKDAY($A223)+$T$2)&lt;7),(WEEKDAY($A223)&lt;&gt;1)),"work",(INDEX(Subject!$A:$I,MATCH(RANDBETWEEN(1,(MAX(Subject!$B:$B))),Subject!$B:$B,0),3))))</f>
        <v/>
      </c>
      <c r="C223" s="2" t="str">
        <f t="array" ref="C223">IF(NOW()&gt;AN223,"",IF(AND((WEEKDAY($A223)+$B$2)&gt;1,((WEEKDAY($A223)+$T$2)&lt;7),(WEEKDAY($A223)&lt;&gt;1)),"work",(INDEX(Subject!$A:$I,MATCH(RANDBETWEEN(1,(MAX(Subject!$B:$B))),Subject!$B:$B,0),3))))</f>
        <v/>
      </c>
      <c r="D223" s="2" t="str">
        <f t="array" ref="D223">IF(NOW()&gt;AO223,"",IF(AND((WEEKDAY($A223)+$B$2)&gt;1,((WEEKDAY($A223)+$T$2)&lt;7),(WEEKDAY($A223)&lt;&gt;1)),"work",(INDEX(Subject!$A:$I,MATCH(RANDBETWEEN(1,(MAX(Subject!$B:$B))),Subject!$B:$B,0),3))))</f>
        <v/>
      </c>
      <c r="E223" s="2" t="str">
        <f t="array" ref="E223">IF(NOW()&gt;AP223,"",IF(AND((WEEKDAY($A223)+$B$2)&gt;1,((WEEKDAY($A223)+$T$2)&lt;7),(WEEKDAY($A223)&lt;&gt;1)),"work",(INDEX(Subject!$A:$I,MATCH(RANDBETWEEN(1,(MAX(Subject!$B:$B))),Subject!$B:$B,0),3))))</f>
        <v/>
      </c>
      <c r="F223" s="2" t="str">
        <f t="array" ref="F223">IF(NOW()&gt;AQ223,"",IF(AND((WEEKDAY($A223)+$B$2)&gt;1,((WEEKDAY($A223)+$T$2)&lt;7),(WEEKDAY($A223)&lt;&gt;1)),"work",(INDEX(Subject!$A:$I,MATCH(RANDBETWEEN(1,(MAX(Subject!$B:$B))),Subject!$B:$B,0),3))))</f>
        <v/>
      </c>
      <c r="G223" s="2" t="str">
        <f t="array" ref="G223">IF(NOW()&gt;AR223,"",IF(AND((WEEKDAY($A223)+$B$2)&gt;1,((WEEKDAY($A223)+$T$2)&lt;7),(WEEKDAY($A223)&lt;&gt;1)),"work",(INDEX(Subject!$A:$I,MATCH(RANDBETWEEN(1,(MAX(Subject!$B:$B))),Subject!$B:$B,0),3))))</f>
        <v/>
      </c>
      <c r="H223" s="2" t="str">
        <f t="array" ref="H223">IF(NOW()&gt;AS223,"",IF(AND((WEEKDAY($A223)+$B$2)&gt;1,((WEEKDAY($A223)+$T$2)&lt;7),(WEEKDAY($A223)&lt;&gt;1)),"work",(INDEX(Subject!$A:$I,MATCH(RANDBETWEEN(1,(MAX(Subject!$B:$B))),Subject!$B:$B,0),3))))</f>
        <v/>
      </c>
      <c r="I223" s="2" t="str">
        <f t="array" ref="I223">IF(NOW()&gt;AT223,"",IF(AND((WEEKDAY($A223)+$B$2)&gt;1,((WEEKDAY($A223)+$T$2)&lt;7),(WEEKDAY($A223)&lt;&gt;1)),"work",(INDEX(Subject!$A:$I,MATCH(RANDBETWEEN(1,(MAX(Subject!$B:$B))),Subject!$B:$B,0),3))))</f>
        <v/>
      </c>
      <c r="J223" s="2" t="str">
        <f t="array" ref="J223">IF(NOW()&gt;AU223,"",IF(AND((WEEKDAY($A223)+$B$2)&gt;1,((WEEKDAY($A223)+$T$2)&lt;7),(WEEKDAY($A223)&lt;&gt;1)),"work",(INDEX(Subject!$A:$I,MATCH(RANDBETWEEN(1,(MAX(Subject!$B:$B))),Subject!$B:$B,0),3))))</f>
        <v/>
      </c>
      <c r="K223" s="2" t="str">
        <f t="array" ref="K223">IF(NOW()&gt;AV223,"",IF(AND((WEEKDAY($A223)+$B$2)&gt;1,((WEEKDAY($A223)+$T$2)&lt;7),(WEEKDAY($A223)&lt;&gt;1)),"work",(INDEX(Subject!$A:$I,MATCH(RANDBETWEEN(1,(MAX(Subject!$B:$B))),Subject!$B:$B,0),3))))</f>
        <v/>
      </c>
      <c r="L223" s="2" t="str">
        <f t="array" ref="L223">IF(NOW()&gt;AW223,"",IF(AND((WEEKDAY($A223)+$B$2)&gt;1,((WEEKDAY($A223)+$T$2)&lt;7),(WEEKDAY($A223)&lt;&gt;1)),"work",(INDEX(Subject!$A:$I,MATCH(RANDBETWEEN(1,(MAX(Subject!$B:$B))),Subject!$B:$B,0),3))))</f>
        <v/>
      </c>
      <c r="M223" s="2" t="str">
        <f t="array" ref="M223">IF(NOW()&gt;AX223,"",IF(AND((WEEKDAY($A223)+$B$2)&gt;1,((WEEKDAY($A223)+$T$2)&lt;7),(WEEKDAY($A223)&lt;&gt;1)),"work",(INDEX(Subject!$A:$I,MATCH(RANDBETWEEN(1,(MAX(Subject!$B:$B))),Subject!$B:$B,0),3))))</f>
        <v/>
      </c>
      <c r="N223" s="2" t="str">
        <f t="array" ref="N223">IF(NOW()&gt;AY223,"",IF(AND((WEEKDAY($A223)+$B$2)&gt;1,((WEEKDAY($A223)+$T$2)&lt;7),(WEEKDAY($A223)&lt;&gt;1)),"work",(INDEX(Subject!$A:$I,MATCH(RANDBETWEEN(1,(MAX(Subject!$B:$B))),Subject!$B:$B,0),3))))</f>
        <v/>
      </c>
      <c r="O223" s="2" t="str">
        <f t="array" ref="O223">IF(NOW()&gt;AZ223,"",IF(AND((WEEKDAY($A223)+$B$2)&gt;1,((WEEKDAY($A223)+$T$2)&lt;7),(WEEKDAY($A223)&lt;&gt;1)),"work",(INDEX(Subject!$A:$I,MATCH(RANDBETWEEN(1,(MAX(Subject!$B:$B))),Subject!$B:$B,0),3))))</f>
        <v/>
      </c>
      <c r="P223" s="2" t="str">
        <f t="array" ref="P223">IF(NOW()&gt;BA223,"",IF(AND((WEEKDAY($A223)+$B$2)&gt;1,((WEEKDAY($A223)+$T$2)&lt;7),(WEEKDAY($A223)&lt;&gt;1)),"work",(INDEX(Subject!$A:$I,MATCH(RANDBETWEEN(1,(MAX(Subject!$B:$B))),Subject!$B:$B,0),3))))</f>
        <v/>
      </c>
      <c r="Q223" s="2" t="str">
        <f t="array" ref="Q223">IF(NOW()&gt;BB223,"",IF(AND((WEEKDAY($A223)+$B$2)&gt;1,((WEEKDAY($A223)+$T$2)&lt;7),(WEEKDAY($A223)&lt;&gt;1)),"work",(INDEX(Subject!$A:$I,MATCH(RANDBETWEEN(1,(MAX(Subject!$B:$B))),Subject!$B:$B,0),3))))</f>
        <v/>
      </c>
      <c r="R223" s="2" t="str">
        <f t="array" ref="R223">IF(NOW()&gt;BC223,"",IF(AND((WEEKDAY($A223)+$B$2)&gt;1,((WEEKDAY($A223)+$T$2)&lt;7),(WEEKDAY($A223)&lt;&gt;1)),"work",(INDEX(Subject!$A:$I,MATCH(RANDBETWEEN(1,(MAX(Subject!$B:$B))),Subject!$B:$B,0),3))))</f>
        <v/>
      </c>
      <c r="S223" s="2" t="str">
        <f t="array" ref="S223">IF(NOW()&gt;BD223,"",IF(AND((WEEKDAY($A223)+$B$2)&gt;1,((WEEKDAY($A223)+$T$2)&lt;7),(WEEKDAY($A223)&lt;&gt;1)),"work",(INDEX(Subject!$A:$I,MATCH(RANDBETWEEN(1,(MAX(Subject!$B:$B))),Subject!$B:$B,0),3))))</f>
        <v/>
      </c>
      <c r="T223" s="2" t="str">
        <f t="array" ref="T223">IF(NOW()&gt;BE223,"",IF(AND((WEEKDAY($A223)+$B$2)&gt;1,((WEEKDAY($A223)+$T$2)&lt;7),(WEEKDAY($A223)&lt;&gt;1)),"work",(INDEX(Subject!$A:$I,MATCH(RANDBETWEEN(1,(MAX(Subject!$B:$B))),Subject!$B:$B,0),3))))</f>
        <v/>
      </c>
      <c r="U223" s="8" t="str">
        <f t="array" ref="U223">INDEX(Subject!$A:$I,MATCH(RANDBETWEEN(1,16),Subject!$B:$B,0),3)</f>
        <v>#N/A</v>
      </c>
      <c r="V223" s="8" t="str">
        <f t="array" ref="V223">INDEX(Subject!$A:$I,MATCH(RANDBETWEEN(1,16),Subject!$B:$B,0),3)</f>
        <v>#N/A</v>
      </c>
      <c r="W223" s="8" t="str">
        <f t="array" ref="W223">INDEX(Subject!$A:$I,MATCH(RANDBETWEEN(1,16),Subject!$B:$B,0),3)</f>
        <v>#N/A</v>
      </c>
      <c r="X223" s="8" t="str">
        <f t="array" ref="X223">INDEX(Subject!$A:$I,MATCH(RANDBETWEEN(1,16),Subject!$B:$B,0),3)</f>
        <v>#N/A</v>
      </c>
      <c r="Y223" s="8" t="str">
        <f t="array" ref="Y223">INDEX(Subject!$A:$I,MATCH(RANDBETWEEN(1,16),Subject!$B:$B,0),3)</f>
        <v>#N/A</v>
      </c>
      <c r="Z223" s="8" t="str">
        <f t="array" ref="Z223">INDEX(Subject!$A:$I,MATCH(RANDBETWEEN(1,16),Subject!$B:$B,0),3)</f>
        <v>#N/A</v>
      </c>
      <c r="AA223" s="8" t="str">
        <f t="array" ref="AA223">INDEX(Subject!$A:$I,MATCH(RANDBETWEEN(1,16),Subject!$B:$B,0),3)</f>
        <v>#N/A</v>
      </c>
      <c r="AB223" s="8" t="str">
        <f t="array" ref="AB223">INDEX(Subject!$A:$I,MATCH(RANDBETWEEN(1,16),Subject!$B:$B,0),3)</f>
        <v>#N/A</v>
      </c>
      <c r="AC223" s="8" t="str">
        <f t="array" ref="AC223">INDEX(Subject!$A:$I,MATCH(RANDBETWEEN(1,16),Subject!$B:$B,0),3)</f>
        <v>#N/A</v>
      </c>
      <c r="AD223" s="8" t="str">
        <f t="array" ref="AD223">INDEX(Subject!$A:$I,MATCH(RANDBETWEEN(1,16),Subject!$B:$B,0),3)</f>
        <v>#N/A</v>
      </c>
      <c r="AE223" s="8" t="str">
        <f t="array" ref="AE223">INDEX(Subject!$A:$I,MATCH(RANDBETWEEN(1,16),Subject!$B:$B,0),3)</f>
        <v>#N/A</v>
      </c>
      <c r="AF223" s="8" t="str">
        <f t="array" ref="AF223">INDEX(Subject!$A:$I,MATCH(RANDBETWEEN(1,16),Subject!$B:$B,0),3)</f>
        <v>#N/A</v>
      </c>
      <c r="AG223" s="8" t="str">
        <f t="array" ref="AG223">INDEX(Subject!$A:$I,MATCH(RANDBETWEEN(1,16),Subject!$B:$B,0),3)</f>
        <v>#N/A</v>
      </c>
      <c r="AH223" s="8" t="str">
        <f t="array" ref="AH223">INDEX(Subject!$A:$I,MATCH(RANDBETWEEN(1,16),Subject!$B:$B,0),3)</f>
        <v>#N/A</v>
      </c>
      <c r="AI223" s="8" t="str">
        <f t="array" ref="AI223">INDEX(Subject!$A:$I,MATCH(RANDBETWEEN(1,16),Subject!$B:$B,0),3)</f>
        <v>#N/A</v>
      </c>
      <c r="AJ223" s="8" t="str">
        <f t="array" ref="AJ223">INDEX(Subject!$A:$I,MATCH(RANDBETWEEN(1,16),Subject!$B:$B,0),3)</f>
        <v>#N/A</v>
      </c>
      <c r="AK223" s="8" t="str">
        <f t="array" ref="AK223">INDEX(Subject!$A:$I,MATCH(RANDBETWEEN(1,16),Subject!$B:$B,0),3)</f>
        <v>#N/A</v>
      </c>
      <c r="AL223" s="8" t="str">
        <f t="array" ref="AL223">INDEX(Subject!$A:$I,MATCH(RANDBETWEEN(1,16),Subject!$B:$B,0),3)</f>
        <v>#N/A</v>
      </c>
      <c r="AM223" s="18">
        <f t="shared" si="4"/>
        <v>45723.33333</v>
      </c>
      <c r="AN223" s="19">
        <f t="shared" ref="AN223:BZ223" si="223">$A223+C$1</f>
        <v>45723.35417</v>
      </c>
      <c r="AO223" s="19">
        <f t="shared" si="223"/>
        <v>45723.375</v>
      </c>
      <c r="AP223" s="19">
        <f t="shared" si="223"/>
        <v>45723.39583</v>
      </c>
      <c r="AQ223" s="19">
        <f t="shared" si="223"/>
        <v>45723.41667</v>
      </c>
      <c r="AR223" s="19">
        <f t="shared" si="223"/>
        <v>45723.4375</v>
      </c>
      <c r="AS223" s="19">
        <f t="shared" si="223"/>
        <v>45723.45833</v>
      </c>
      <c r="AT223" s="19">
        <f t="shared" si="223"/>
        <v>45723.47917</v>
      </c>
      <c r="AU223" s="19">
        <f t="shared" si="223"/>
        <v>45723.5</v>
      </c>
      <c r="AV223" s="19">
        <f t="shared" si="223"/>
        <v>45723.52083</v>
      </c>
      <c r="AW223" s="19">
        <f t="shared" si="223"/>
        <v>45723.54167</v>
      </c>
      <c r="AX223" s="19">
        <f t="shared" si="223"/>
        <v>45723.5625</v>
      </c>
      <c r="AY223" s="19">
        <f t="shared" si="223"/>
        <v>45723.58333</v>
      </c>
      <c r="AZ223" s="19">
        <f t="shared" si="223"/>
        <v>45723.60417</v>
      </c>
      <c r="BA223" s="19">
        <f t="shared" si="223"/>
        <v>45723.625</v>
      </c>
      <c r="BB223" s="19">
        <f t="shared" si="223"/>
        <v>45723.64583</v>
      </c>
      <c r="BC223" s="19">
        <f t="shared" si="223"/>
        <v>45723.66667</v>
      </c>
      <c r="BD223" s="19">
        <f t="shared" si="223"/>
        <v>45723.6875</v>
      </c>
      <c r="BE223" s="19">
        <f t="shared" si="223"/>
        <v>45723.70833</v>
      </c>
      <c r="BF223" s="19">
        <f t="shared" si="223"/>
        <v>45723.72917</v>
      </c>
      <c r="BG223" s="19">
        <f t="shared" si="223"/>
        <v>45723.75</v>
      </c>
      <c r="BH223" s="19">
        <f t="shared" si="223"/>
        <v>45723.77083</v>
      </c>
      <c r="BI223" s="19">
        <f t="shared" si="223"/>
        <v>45723.79167</v>
      </c>
      <c r="BJ223" s="19">
        <f t="shared" si="223"/>
        <v>45723.8125</v>
      </c>
      <c r="BK223" s="19">
        <f t="shared" si="223"/>
        <v>45723.83333</v>
      </c>
      <c r="BL223" s="19">
        <f t="shared" si="223"/>
        <v>45723.85417</v>
      </c>
      <c r="BM223" s="19">
        <f t="shared" si="223"/>
        <v>45723.875</v>
      </c>
      <c r="BN223" s="19">
        <f t="shared" si="223"/>
        <v>45723.89583</v>
      </c>
      <c r="BO223" s="19">
        <f t="shared" si="223"/>
        <v>45723.91667</v>
      </c>
      <c r="BP223" s="19">
        <f t="shared" si="223"/>
        <v>45723.9375</v>
      </c>
      <c r="BQ223" s="19">
        <f t="shared" si="223"/>
        <v>45723.95833</v>
      </c>
      <c r="BR223" s="19">
        <f t="shared" si="223"/>
        <v>45723.97917</v>
      </c>
      <c r="BS223" s="19">
        <f t="shared" si="223"/>
        <v>45724</v>
      </c>
      <c r="BT223" s="19">
        <f t="shared" si="223"/>
        <v>45724.02083</v>
      </c>
      <c r="BU223" s="19">
        <f t="shared" si="223"/>
        <v>45724.04167</v>
      </c>
      <c r="BV223" s="19">
        <f t="shared" si="223"/>
        <v>45724.0625</v>
      </c>
      <c r="BW223" s="19">
        <f t="shared" si="223"/>
        <v>45724.08333</v>
      </c>
      <c r="BX223" s="19">
        <f t="shared" si="223"/>
        <v>45723</v>
      </c>
      <c r="BY223" s="19">
        <f t="shared" si="223"/>
        <v>45723</v>
      </c>
      <c r="BZ223" s="19">
        <f t="shared" si="223"/>
        <v>45723</v>
      </c>
    </row>
    <row r="224" ht="14.25" customHeight="1">
      <c r="A224" s="17">
        <v>45724.0</v>
      </c>
      <c r="B224" s="2" t="str">
        <f t="array" ref="B224">IF(NOW()&gt;AM224,"",IF(AND((WEEKDAY($A224)+$B$2)&gt;1,((WEEKDAY($A224)+$T$2)&lt;7),(WEEKDAY($A224)&lt;&gt;1)),"work",(INDEX(Subject!$A:$I,MATCH(RANDBETWEEN(1,(MAX(Subject!$B:$B))),Subject!$B:$B,0),3))))</f>
        <v/>
      </c>
      <c r="C224" s="2" t="str">
        <f t="array" ref="C224">IF(NOW()&gt;AN224,"",IF(AND((WEEKDAY($A224)+$B$2)&gt;1,((WEEKDAY($A224)+$T$2)&lt;7),(WEEKDAY($A224)&lt;&gt;1)),"work",(INDEX(Subject!$A:$I,MATCH(RANDBETWEEN(1,(MAX(Subject!$B:$B))),Subject!$B:$B,0),3))))</f>
        <v/>
      </c>
      <c r="D224" s="2" t="str">
        <f t="array" ref="D224">IF(NOW()&gt;AO224,"",IF(AND((WEEKDAY($A224)+$B$2)&gt;1,((WEEKDAY($A224)+$T$2)&lt;7),(WEEKDAY($A224)&lt;&gt;1)),"work",(INDEX(Subject!$A:$I,MATCH(RANDBETWEEN(1,(MAX(Subject!$B:$B))),Subject!$B:$B,0),3))))</f>
        <v/>
      </c>
      <c r="E224" s="2" t="str">
        <f t="array" ref="E224">IF(NOW()&gt;AP224,"",IF(AND((WEEKDAY($A224)+$B$2)&gt;1,((WEEKDAY($A224)+$T$2)&lt;7),(WEEKDAY($A224)&lt;&gt;1)),"work",(INDEX(Subject!$A:$I,MATCH(RANDBETWEEN(1,(MAX(Subject!$B:$B))),Subject!$B:$B,0),3))))</f>
        <v/>
      </c>
      <c r="F224" s="2" t="str">
        <f t="array" ref="F224">IF(NOW()&gt;AQ224,"",IF(AND((WEEKDAY($A224)+$B$2)&gt;1,((WEEKDAY($A224)+$T$2)&lt;7),(WEEKDAY($A224)&lt;&gt;1)),"work",(INDEX(Subject!$A:$I,MATCH(RANDBETWEEN(1,(MAX(Subject!$B:$B))),Subject!$B:$B,0),3))))</f>
        <v/>
      </c>
      <c r="G224" s="2" t="str">
        <f t="array" ref="G224">IF(NOW()&gt;AR224,"",IF(AND((WEEKDAY($A224)+$B$2)&gt;1,((WEEKDAY($A224)+$T$2)&lt;7),(WEEKDAY($A224)&lt;&gt;1)),"work",(INDEX(Subject!$A:$I,MATCH(RANDBETWEEN(1,(MAX(Subject!$B:$B))),Subject!$B:$B,0),3))))</f>
        <v/>
      </c>
      <c r="H224" s="2" t="str">
        <f t="array" ref="H224">IF(NOW()&gt;AS224,"",IF(AND((WEEKDAY($A224)+$B$2)&gt;1,((WEEKDAY($A224)+$T$2)&lt;7),(WEEKDAY($A224)&lt;&gt;1)),"work",(INDEX(Subject!$A:$I,MATCH(RANDBETWEEN(1,(MAX(Subject!$B:$B))),Subject!$B:$B,0),3))))</f>
        <v/>
      </c>
      <c r="I224" s="2" t="str">
        <f t="array" ref="I224">IF(NOW()&gt;AT224,"",IF(AND((WEEKDAY($A224)+$B$2)&gt;1,((WEEKDAY($A224)+$T$2)&lt;7),(WEEKDAY($A224)&lt;&gt;1)),"work",(INDEX(Subject!$A:$I,MATCH(RANDBETWEEN(1,(MAX(Subject!$B:$B))),Subject!$B:$B,0),3))))</f>
        <v/>
      </c>
      <c r="J224" s="2" t="str">
        <f t="array" ref="J224">IF(NOW()&gt;AU224,"",IF(AND((WEEKDAY($A224)+$B$2)&gt;1,((WEEKDAY($A224)+$T$2)&lt;7),(WEEKDAY($A224)&lt;&gt;1)),"work",(INDEX(Subject!$A:$I,MATCH(RANDBETWEEN(1,(MAX(Subject!$B:$B))),Subject!$B:$B,0),3))))</f>
        <v/>
      </c>
      <c r="K224" s="2" t="str">
        <f t="array" ref="K224">IF(NOW()&gt;AV224,"",IF(AND((WEEKDAY($A224)+$B$2)&gt;1,((WEEKDAY($A224)+$T$2)&lt;7),(WEEKDAY($A224)&lt;&gt;1)),"work",(INDEX(Subject!$A:$I,MATCH(RANDBETWEEN(1,(MAX(Subject!$B:$B))),Subject!$B:$B,0),3))))</f>
        <v/>
      </c>
      <c r="L224" s="2" t="str">
        <f t="array" ref="L224">IF(NOW()&gt;AW224,"",IF(AND((WEEKDAY($A224)+$B$2)&gt;1,((WEEKDAY($A224)+$T$2)&lt;7),(WEEKDAY($A224)&lt;&gt;1)),"work",(INDEX(Subject!$A:$I,MATCH(RANDBETWEEN(1,(MAX(Subject!$B:$B))),Subject!$B:$B,0),3))))</f>
        <v/>
      </c>
      <c r="M224" s="2" t="str">
        <f t="array" ref="M224">IF(NOW()&gt;AX224,"",IF(AND((WEEKDAY($A224)+$B$2)&gt;1,((WEEKDAY($A224)+$T$2)&lt;7),(WEEKDAY($A224)&lt;&gt;1)),"work",(INDEX(Subject!$A:$I,MATCH(RANDBETWEEN(1,(MAX(Subject!$B:$B))),Subject!$B:$B,0),3))))</f>
        <v/>
      </c>
      <c r="N224" s="2" t="str">
        <f t="array" ref="N224">IF(NOW()&gt;AY224,"",IF(AND((WEEKDAY($A224)+$B$2)&gt;1,((WEEKDAY($A224)+$T$2)&lt;7),(WEEKDAY($A224)&lt;&gt;1)),"work",(INDEX(Subject!$A:$I,MATCH(RANDBETWEEN(1,(MAX(Subject!$B:$B))),Subject!$B:$B,0),3))))</f>
        <v/>
      </c>
      <c r="O224" s="2" t="str">
        <f t="array" ref="O224">IF(NOW()&gt;AZ224,"",IF(AND((WEEKDAY($A224)+$B$2)&gt;1,((WEEKDAY($A224)+$T$2)&lt;7),(WEEKDAY($A224)&lt;&gt;1)),"work",(INDEX(Subject!$A:$I,MATCH(RANDBETWEEN(1,(MAX(Subject!$B:$B))),Subject!$B:$B,0),3))))</f>
        <v/>
      </c>
      <c r="P224" s="2" t="str">
        <f t="array" ref="P224">IF(NOW()&gt;BA224,"",IF(AND((WEEKDAY($A224)+$B$2)&gt;1,((WEEKDAY($A224)+$T$2)&lt;7),(WEEKDAY($A224)&lt;&gt;1)),"work",(INDEX(Subject!$A:$I,MATCH(RANDBETWEEN(1,(MAX(Subject!$B:$B))),Subject!$B:$B,0),3))))</f>
        <v/>
      </c>
      <c r="Q224" s="2" t="str">
        <f t="array" ref="Q224">IF(NOW()&gt;BB224,"",IF(AND((WEEKDAY($A224)+$B$2)&gt;1,((WEEKDAY($A224)+$T$2)&lt;7),(WEEKDAY($A224)&lt;&gt;1)),"work",(INDEX(Subject!$A:$I,MATCH(RANDBETWEEN(1,(MAX(Subject!$B:$B))),Subject!$B:$B,0),3))))</f>
        <v/>
      </c>
      <c r="R224" s="2" t="str">
        <f t="array" ref="R224">IF(NOW()&gt;BC224,"",IF(AND((WEEKDAY($A224)+$B$2)&gt;1,((WEEKDAY($A224)+$T$2)&lt;7),(WEEKDAY($A224)&lt;&gt;1)),"work",(INDEX(Subject!$A:$I,MATCH(RANDBETWEEN(1,(MAX(Subject!$B:$B))),Subject!$B:$B,0),3))))</f>
        <v/>
      </c>
      <c r="S224" s="2" t="str">
        <f t="array" ref="S224">IF(NOW()&gt;BD224,"",IF(AND((WEEKDAY($A224)+$B$2)&gt;1,((WEEKDAY($A224)+$T$2)&lt;7),(WEEKDAY($A224)&lt;&gt;1)),"work",(INDEX(Subject!$A:$I,MATCH(RANDBETWEEN(1,(MAX(Subject!$B:$B))),Subject!$B:$B,0),3))))</f>
        <v/>
      </c>
      <c r="T224" s="2" t="str">
        <f t="array" ref="T224">IF(NOW()&gt;BE224,"",IF(AND((WEEKDAY($A224)+$B$2)&gt;1,((WEEKDAY($A224)+$T$2)&lt;7),(WEEKDAY($A224)&lt;&gt;1)),"work",(INDEX(Subject!$A:$I,MATCH(RANDBETWEEN(1,(MAX(Subject!$B:$B))),Subject!$B:$B,0),3))))</f>
        <v/>
      </c>
      <c r="U224" s="8" t="str">
        <f t="array" ref="U224">INDEX(Subject!$A:$I,MATCH(RANDBETWEEN(1,16),Subject!$B:$B,0),3)</f>
        <v>#N/A</v>
      </c>
      <c r="V224" s="8" t="str">
        <f t="array" ref="V224">INDEX(Subject!$A:$I,MATCH(RANDBETWEEN(1,16),Subject!$B:$B,0),3)</f>
        <v/>
      </c>
      <c r="W224" s="8" t="str">
        <f t="array" ref="W224">INDEX(Subject!$A:$I,MATCH(RANDBETWEEN(1,16),Subject!$B:$B,0),3)</f>
        <v>#N/A</v>
      </c>
      <c r="X224" s="8" t="str">
        <f t="array" ref="X224">INDEX(Subject!$A:$I,MATCH(RANDBETWEEN(1,16),Subject!$B:$B,0),3)</f>
        <v>#N/A</v>
      </c>
      <c r="Y224" s="8" t="str">
        <f t="array" ref="Y224">INDEX(Subject!$A:$I,MATCH(RANDBETWEEN(1,16),Subject!$B:$B,0),3)</f>
        <v>#N/A</v>
      </c>
      <c r="Z224" s="8" t="str">
        <f t="array" ref="Z224">INDEX(Subject!$A:$I,MATCH(RANDBETWEEN(1,16),Subject!$B:$B,0),3)</f>
        <v>#N/A</v>
      </c>
      <c r="AA224" s="8" t="str">
        <f t="array" ref="AA224">INDEX(Subject!$A:$I,MATCH(RANDBETWEEN(1,16),Subject!$B:$B,0),3)</f>
        <v>#N/A</v>
      </c>
      <c r="AB224" s="8" t="str">
        <f t="array" ref="AB224">INDEX(Subject!$A:$I,MATCH(RANDBETWEEN(1,16),Subject!$B:$B,0),3)</f>
        <v>#N/A</v>
      </c>
      <c r="AC224" s="8" t="str">
        <f t="array" ref="AC224">INDEX(Subject!$A:$I,MATCH(RANDBETWEEN(1,16),Subject!$B:$B,0),3)</f>
        <v>#N/A</v>
      </c>
      <c r="AD224" s="8" t="str">
        <f t="array" ref="AD224">INDEX(Subject!$A:$I,MATCH(RANDBETWEEN(1,16),Subject!$B:$B,0),3)</f>
        <v>#N/A</v>
      </c>
      <c r="AE224" s="8" t="str">
        <f t="array" ref="AE224">INDEX(Subject!$A:$I,MATCH(RANDBETWEEN(1,16),Subject!$B:$B,0),3)</f>
        <v>#N/A</v>
      </c>
      <c r="AF224" s="8" t="str">
        <f t="array" ref="AF224">INDEX(Subject!$A:$I,MATCH(RANDBETWEEN(1,16),Subject!$B:$B,0),3)</f>
        <v>#N/A</v>
      </c>
      <c r="AG224" s="8" t="str">
        <f t="array" ref="AG224">INDEX(Subject!$A:$I,MATCH(RANDBETWEEN(1,16),Subject!$B:$B,0),3)</f>
        <v>#N/A</v>
      </c>
      <c r="AH224" s="8" t="str">
        <f t="array" ref="AH224">INDEX(Subject!$A:$I,MATCH(RANDBETWEEN(1,16),Subject!$B:$B,0),3)</f>
        <v>#N/A</v>
      </c>
      <c r="AI224" s="8" t="str">
        <f t="array" ref="AI224">INDEX(Subject!$A:$I,MATCH(RANDBETWEEN(1,16),Subject!$B:$B,0),3)</f>
        <v>#N/A</v>
      </c>
      <c r="AJ224" s="8" t="str">
        <f t="array" ref="AJ224">INDEX(Subject!$A:$I,MATCH(RANDBETWEEN(1,16),Subject!$B:$B,0),3)</f>
        <v>#N/A</v>
      </c>
      <c r="AK224" s="8" t="str">
        <f t="array" ref="AK224">INDEX(Subject!$A:$I,MATCH(RANDBETWEEN(1,16),Subject!$B:$B,0),3)</f>
        <v>#N/A</v>
      </c>
      <c r="AL224" s="8" t="str">
        <f t="array" ref="AL224">INDEX(Subject!$A:$I,MATCH(RANDBETWEEN(1,16),Subject!$B:$B,0),3)</f>
        <v>#N/A</v>
      </c>
      <c r="AM224" s="18">
        <f t="shared" si="4"/>
        <v>45724.33333</v>
      </c>
      <c r="AN224" s="19">
        <f t="shared" ref="AN224:BZ224" si="224">$A224+C$1</f>
        <v>45724.35417</v>
      </c>
      <c r="AO224" s="19">
        <f t="shared" si="224"/>
        <v>45724.375</v>
      </c>
      <c r="AP224" s="19">
        <f t="shared" si="224"/>
        <v>45724.39583</v>
      </c>
      <c r="AQ224" s="19">
        <f t="shared" si="224"/>
        <v>45724.41667</v>
      </c>
      <c r="AR224" s="19">
        <f t="shared" si="224"/>
        <v>45724.4375</v>
      </c>
      <c r="AS224" s="19">
        <f t="shared" si="224"/>
        <v>45724.45833</v>
      </c>
      <c r="AT224" s="19">
        <f t="shared" si="224"/>
        <v>45724.47917</v>
      </c>
      <c r="AU224" s="19">
        <f t="shared" si="224"/>
        <v>45724.5</v>
      </c>
      <c r="AV224" s="19">
        <f t="shared" si="224"/>
        <v>45724.52083</v>
      </c>
      <c r="AW224" s="19">
        <f t="shared" si="224"/>
        <v>45724.54167</v>
      </c>
      <c r="AX224" s="19">
        <f t="shared" si="224"/>
        <v>45724.5625</v>
      </c>
      <c r="AY224" s="19">
        <f t="shared" si="224"/>
        <v>45724.58333</v>
      </c>
      <c r="AZ224" s="19">
        <f t="shared" si="224"/>
        <v>45724.60417</v>
      </c>
      <c r="BA224" s="19">
        <f t="shared" si="224"/>
        <v>45724.625</v>
      </c>
      <c r="BB224" s="19">
        <f t="shared" si="224"/>
        <v>45724.64583</v>
      </c>
      <c r="BC224" s="19">
        <f t="shared" si="224"/>
        <v>45724.66667</v>
      </c>
      <c r="BD224" s="19">
        <f t="shared" si="224"/>
        <v>45724.6875</v>
      </c>
      <c r="BE224" s="19">
        <f t="shared" si="224"/>
        <v>45724.70833</v>
      </c>
      <c r="BF224" s="19">
        <f t="shared" si="224"/>
        <v>45724.72917</v>
      </c>
      <c r="BG224" s="19">
        <f t="shared" si="224"/>
        <v>45724.75</v>
      </c>
      <c r="BH224" s="19">
        <f t="shared" si="224"/>
        <v>45724.77083</v>
      </c>
      <c r="BI224" s="19">
        <f t="shared" si="224"/>
        <v>45724.79167</v>
      </c>
      <c r="BJ224" s="19">
        <f t="shared" si="224"/>
        <v>45724.8125</v>
      </c>
      <c r="BK224" s="19">
        <f t="shared" si="224"/>
        <v>45724.83333</v>
      </c>
      <c r="BL224" s="19">
        <f t="shared" si="224"/>
        <v>45724.85417</v>
      </c>
      <c r="BM224" s="19">
        <f t="shared" si="224"/>
        <v>45724.875</v>
      </c>
      <c r="BN224" s="19">
        <f t="shared" si="224"/>
        <v>45724.89583</v>
      </c>
      <c r="BO224" s="19">
        <f t="shared" si="224"/>
        <v>45724.91667</v>
      </c>
      <c r="BP224" s="19">
        <f t="shared" si="224"/>
        <v>45724.9375</v>
      </c>
      <c r="BQ224" s="19">
        <f t="shared" si="224"/>
        <v>45724.95833</v>
      </c>
      <c r="BR224" s="19">
        <f t="shared" si="224"/>
        <v>45724.97917</v>
      </c>
      <c r="BS224" s="19">
        <f t="shared" si="224"/>
        <v>45725</v>
      </c>
      <c r="BT224" s="19">
        <f t="shared" si="224"/>
        <v>45725.02083</v>
      </c>
      <c r="BU224" s="19">
        <f t="shared" si="224"/>
        <v>45725.04167</v>
      </c>
      <c r="BV224" s="19">
        <f t="shared" si="224"/>
        <v>45725.0625</v>
      </c>
      <c r="BW224" s="19">
        <f t="shared" si="224"/>
        <v>45725.08333</v>
      </c>
      <c r="BX224" s="19">
        <f t="shared" si="224"/>
        <v>45724</v>
      </c>
      <c r="BY224" s="19">
        <f t="shared" si="224"/>
        <v>45724</v>
      </c>
      <c r="BZ224" s="19">
        <f t="shared" si="224"/>
        <v>45724</v>
      </c>
    </row>
    <row r="225" ht="14.25" customHeight="1">
      <c r="A225" s="17">
        <v>45725.0</v>
      </c>
      <c r="B225" s="2" t="str">
        <f t="array" ref="B225">IF(NOW()&gt;AM225,"",IF(AND((WEEKDAY($A225)+$B$2)&gt;1,((WEEKDAY($A225)+$T$2)&lt;7),(WEEKDAY($A225)&lt;&gt;1)),"work",(INDEX(Subject!$A:$I,MATCH(RANDBETWEEN(1,(MAX(Subject!$B:$B))),Subject!$B:$B,0),3))))</f>
        <v/>
      </c>
      <c r="C225" s="2" t="str">
        <f t="array" ref="C225">IF(NOW()&gt;AN225,"",IF(AND((WEEKDAY($A225)+$B$2)&gt;1,((WEEKDAY($A225)+$T$2)&lt;7),(WEEKDAY($A225)&lt;&gt;1)),"work",(INDEX(Subject!$A:$I,MATCH(RANDBETWEEN(1,(MAX(Subject!$B:$B))),Subject!$B:$B,0),3))))</f>
        <v/>
      </c>
      <c r="D225" s="2" t="str">
        <f t="array" ref="D225">IF(NOW()&gt;AO225,"",IF(AND((WEEKDAY($A225)+$B$2)&gt;1,((WEEKDAY($A225)+$T$2)&lt;7),(WEEKDAY($A225)&lt;&gt;1)),"work",(INDEX(Subject!$A:$I,MATCH(RANDBETWEEN(1,(MAX(Subject!$B:$B))),Subject!$B:$B,0),3))))</f>
        <v/>
      </c>
      <c r="E225" s="2" t="str">
        <f t="array" ref="E225">IF(NOW()&gt;AP225,"",IF(AND((WEEKDAY($A225)+$B$2)&gt;1,((WEEKDAY($A225)+$T$2)&lt;7),(WEEKDAY($A225)&lt;&gt;1)),"work",(INDEX(Subject!$A:$I,MATCH(RANDBETWEEN(1,(MAX(Subject!$B:$B))),Subject!$B:$B,0),3))))</f>
        <v/>
      </c>
      <c r="F225" s="2" t="str">
        <f t="array" ref="F225">IF(NOW()&gt;AQ225,"",IF(AND((WEEKDAY($A225)+$B$2)&gt;1,((WEEKDAY($A225)+$T$2)&lt;7),(WEEKDAY($A225)&lt;&gt;1)),"work",(INDEX(Subject!$A:$I,MATCH(RANDBETWEEN(1,(MAX(Subject!$B:$B))),Subject!$B:$B,0),3))))</f>
        <v/>
      </c>
      <c r="G225" s="2" t="str">
        <f t="array" ref="G225">IF(NOW()&gt;AR225,"",IF(AND((WEEKDAY($A225)+$B$2)&gt;1,((WEEKDAY($A225)+$T$2)&lt;7),(WEEKDAY($A225)&lt;&gt;1)),"work",(INDEX(Subject!$A:$I,MATCH(RANDBETWEEN(1,(MAX(Subject!$B:$B))),Subject!$B:$B,0),3))))</f>
        <v/>
      </c>
      <c r="H225" s="2" t="str">
        <f t="array" ref="H225">IF(NOW()&gt;AS225,"",IF(AND((WEEKDAY($A225)+$B$2)&gt;1,((WEEKDAY($A225)+$T$2)&lt;7),(WEEKDAY($A225)&lt;&gt;1)),"work",(INDEX(Subject!$A:$I,MATCH(RANDBETWEEN(1,(MAX(Subject!$B:$B))),Subject!$B:$B,0),3))))</f>
        <v/>
      </c>
      <c r="I225" s="2" t="str">
        <f t="array" ref="I225">IF(NOW()&gt;AT225,"",IF(AND((WEEKDAY($A225)+$B$2)&gt;1,((WEEKDAY($A225)+$T$2)&lt;7),(WEEKDAY($A225)&lt;&gt;1)),"work",(INDEX(Subject!$A:$I,MATCH(RANDBETWEEN(1,(MAX(Subject!$B:$B))),Subject!$B:$B,0),3))))</f>
        <v/>
      </c>
      <c r="J225" s="2" t="str">
        <f t="array" ref="J225">IF(NOW()&gt;AU225,"",IF(AND((WEEKDAY($A225)+$B$2)&gt;1,((WEEKDAY($A225)+$T$2)&lt;7),(WEEKDAY($A225)&lt;&gt;1)),"work",(INDEX(Subject!$A:$I,MATCH(RANDBETWEEN(1,(MAX(Subject!$B:$B))),Subject!$B:$B,0),3))))</f>
        <v/>
      </c>
      <c r="K225" s="2" t="str">
        <f t="array" ref="K225">IF(NOW()&gt;AV225,"",IF(AND((WEEKDAY($A225)+$B$2)&gt;1,((WEEKDAY($A225)+$T$2)&lt;7),(WEEKDAY($A225)&lt;&gt;1)),"work",(INDEX(Subject!$A:$I,MATCH(RANDBETWEEN(1,(MAX(Subject!$B:$B))),Subject!$B:$B,0),3))))</f>
        <v/>
      </c>
      <c r="L225" s="2" t="str">
        <f t="array" ref="L225">IF(NOW()&gt;AW225,"",IF(AND((WEEKDAY($A225)+$B$2)&gt;1,((WEEKDAY($A225)+$T$2)&lt;7),(WEEKDAY($A225)&lt;&gt;1)),"work",(INDEX(Subject!$A:$I,MATCH(RANDBETWEEN(1,(MAX(Subject!$B:$B))),Subject!$B:$B,0),3))))</f>
        <v/>
      </c>
      <c r="M225" s="2" t="str">
        <f t="array" ref="M225">IF(NOW()&gt;AX225,"",IF(AND((WEEKDAY($A225)+$B$2)&gt;1,((WEEKDAY($A225)+$T$2)&lt;7),(WEEKDAY($A225)&lt;&gt;1)),"work",(INDEX(Subject!$A:$I,MATCH(RANDBETWEEN(1,(MAX(Subject!$B:$B))),Subject!$B:$B,0),3))))</f>
        <v/>
      </c>
      <c r="N225" s="2" t="str">
        <f t="array" ref="N225">IF(NOW()&gt;AY225,"",IF(AND((WEEKDAY($A225)+$B$2)&gt;1,((WEEKDAY($A225)+$T$2)&lt;7),(WEEKDAY($A225)&lt;&gt;1)),"work",(INDEX(Subject!$A:$I,MATCH(RANDBETWEEN(1,(MAX(Subject!$B:$B))),Subject!$B:$B,0),3))))</f>
        <v/>
      </c>
      <c r="O225" s="2" t="str">
        <f t="array" ref="O225">IF(NOW()&gt;AZ225,"",IF(AND((WEEKDAY($A225)+$B$2)&gt;1,((WEEKDAY($A225)+$T$2)&lt;7),(WEEKDAY($A225)&lt;&gt;1)),"work",(INDEX(Subject!$A:$I,MATCH(RANDBETWEEN(1,(MAX(Subject!$B:$B))),Subject!$B:$B,0),3))))</f>
        <v/>
      </c>
      <c r="P225" s="2" t="str">
        <f t="array" ref="P225">IF(NOW()&gt;BA225,"",IF(AND((WEEKDAY($A225)+$B$2)&gt;1,((WEEKDAY($A225)+$T$2)&lt;7),(WEEKDAY($A225)&lt;&gt;1)),"work",(INDEX(Subject!$A:$I,MATCH(RANDBETWEEN(1,(MAX(Subject!$B:$B))),Subject!$B:$B,0),3))))</f>
        <v/>
      </c>
      <c r="Q225" s="2" t="str">
        <f t="array" ref="Q225">IF(NOW()&gt;BB225,"",IF(AND((WEEKDAY($A225)+$B$2)&gt;1,((WEEKDAY($A225)+$T$2)&lt;7),(WEEKDAY($A225)&lt;&gt;1)),"work",(INDEX(Subject!$A:$I,MATCH(RANDBETWEEN(1,(MAX(Subject!$B:$B))),Subject!$B:$B,0),3))))</f>
        <v/>
      </c>
      <c r="R225" s="2" t="str">
        <f t="array" ref="R225">IF(NOW()&gt;BC225,"",IF(AND((WEEKDAY($A225)+$B$2)&gt;1,((WEEKDAY($A225)+$T$2)&lt;7),(WEEKDAY($A225)&lt;&gt;1)),"work",(INDEX(Subject!$A:$I,MATCH(RANDBETWEEN(1,(MAX(Subject!$B:$B))),Subject!$B:$B,0),3))))</f>
        <v/>
      </c>
      <c r="S225" s="2" t="str">
        <f t="array" ref="S225">IF(NOW()&gt;BD225,"",IF(AND((WEEKDAY($A225)+$B$2)&gt;1,((WEEKDAY($A225)+$T$2)&lt;7),(WEEKDAY($A225)&lt;&gt;1)),"work",(INDEX(Subject!$A:$I,MATCH(RANDBETWEEN(1,(MAX(Subject!$B:$B))),Subject!$B:$B,0),3))))</f>
        <v/>
      </c>
      <c r="T225" s="2" t="str">
        <f t="array" ref="T225">IF(NOW()&gt;BE225,"",IF(AND((WEEKDAY($A225)+$B$2)&gt;1,((WEEKDAY($A225)+$T$2)&lt;7),(WEEKDAY($A225)&lt;&gt;1)),"work",(INDEX(Subject!$A:$I,MATCH(RANDBETWEEN(1,(MAX(Subject!$B:$B))),Subject!$B:$B,0),3))))</f>
        <v/>
      </c>
      <c r="U225" s="8" t="str">
        <f t="array" ref="U225">INDEX(Subject!$A:$I,MATCH(RANDBETWEEN(1,16),Subject!$B:$B,0),3)</f>
        <v>#N/A</v>
      </c>
      <c r="V225" s="8" t="str">
        <f t="array" ref="V225">INDEX(Subject!$A:$I,MATCH(RANDBETWEEN(1,16),Subject!$B:$B,0),3)</f>
        <v>#N/A</v>
      </c>
      <c r="W225" s="8" t="str">
        <f t="array" ref="W225">INDEX(Subject!$A:$I,MATCH(RANDBETWEEN(1,16),Subject!$B:$B,0),3)</f>
        <v>#N/A</v>
      </c>
      <c r="X225" s="8" t="str">
        <f t="array" ref="X225">INDEX(Subject!$A:$I,MATCH(RANDBETWEEN(1,16),Subject!$B:$B,0),3)</f>
        <v>#N/A</v>
      </c>
      <c r="Y225" s="8" t="str">
        <f t="array" ref="Y225">INDEX(Subject!$A:$I,MATCH(RANDBETWEEN(1,16),Subject!$B:$B,0),3)</f>
        <v>#N/A</v>
      </c>
      <c r="Z225" s="8" t="str">
        <f t="array" ref="Z225">INDEX(Subject!$A:$I,MATCH(RANDBETWEEN(1,16),Subject!$B:$B,0),3)</f>
        <v>#N/A</v>
      </c>
      <c r="AA225" s="8" t="str">
        <f t="array" ref="AA225">INDEX(Subject!$A:$I,MATCH(RANDBETWEEN(1,16),Subject!$B:$B,0),3)</f>
        <v>#N/A</v>
      </c>
      <c r="AB225" s="8" t="str">
        <f t="array" ref="AB225">INDEX(Subject!$A:$I,MATCH(RANDBETWEEN(1,16),Subject!$B:$B,0),3)</f>
        <v>#N/A</v>
      </c>
      <c r="AC225" s="8" t="str">
        <f t="array" ref="AC225">INDEX(Subject!$A:$I,MATCH(RANDBETWEEN(1,16),Subject!$B:$B,0),3)</f>
        <v>#N/A</v>
      </c>
      <c r="AD225" s="8" t="str">
        <f t="array" ref="AD225">INDEX(Subject!$A:$I,MATCH(RANDBETWEEN(1,16),Subject!$B:$B,0),3)</f>
        <v>#N/A</v>
      </c>
      <c r="AE225" s="8" t="str">
        <f t="array" ref="AE225">INDEX(Subject!$A:$I,MATCH(RANDBETWEEN(1,16),Subject!$B:$B,0),3)</f>
        <v>#N/A</v>
      </c>
      <c r="AF225" s="8" t="str">
        <f t="array" ref="AF225">INDEX(Subject!$A:$I,MATCH(RANDBETWEEN(1,16),Subject!$B:$B,0),3)</f>
        <v>#N/A</v>
      </c>
      <c r="AG225" s="8" t="str">
        <f t="array" ref="AG225">INDEX(Subject!$A:$I,MATCH(RANDBETWEEN(1,16),Subject!$B:$B,0),3)</f>
        <v>#N/A</v>
      </c>
      <c r="AH225" s="8" t="str">
        <f t="array" ref="AH225">INDEX(Subject!$A:$I,MATCH(RANDBETWEEN(1,16),Subject!$B:$B,0),3)</f>
        <v/>
      </c>
      <c r="AI225" s="8" t="str">
        <f t="array" ref="AI225">INDEX(Subject!$A:$I,MATCH(RANDBETWEEN(1,16),Subject!$B:$B,0),3)</f>
        <v>#N/A</v>
      </c>
      <c r="AJ225" s="8" t="str">
        <f t="array" ref="AJ225">INDEX(Subject!$A:$I,MATCH(RANDBETWEEN(1,16),Subject!$B:$B,0),3)</f>
        <v>#N/A</v>
      </c>
      <c r="AK225" s="8" t="str">
        <f t="array" ref="AK225">INDEX(Subject!$A:$I,MATCH(RANDBETWEEN(1,16),Subject!$B:$B,0),3)</f>
        <v>#N/A</v>
      </c>
      <c r="AL225" s="8" t="str">
        <f t="array" ref="AL225">INDEX(Subject!$A:$I,MATCH(RANDBETWEEN(1,16),Subject!$B:$B,0),3)</f>
        <v>#N/A</v>
      </c>
      <c r="AM225" s="18">
        <f t="shared" si="4"/>
        <v>45725.33333</v>
      </c>
      <c r="AN225" s="19">
        <f t="shared" ref="AN225:BZ225" si="225">$A225+C$1</f>
        <v>45725.35417</v>
      </c>
      <c r="AO225" s="19">
        <f t="shared" si="225"/>
        <v>45725.375</v>
      </c>
      <c r="AP225" s="19">
        <f t="shared" si="225"/>
        <v>45725.39583</v>
      </c>
      <c r="AQ225" s="19">
        <f t="shared" si="225"/>
        <v>45725.41667</v>
      </c>
      <c r="AR225" s="19">
        <f t="shared" si="225"/>
        <v>45725.4375</v>
      </c>
      <c r="AS225" s="19">
        <f t="shared" si="225"/>
        <v>45725.45833</v>
      </c>
      <c r="AT225" s="19">
        <f t="shared" si="225"/>
        <v>45725.47917</v>
      </c>
      <c r="AU225" s="19">
        <f t="shared" si="225"/>
        <v>45725.5</v>
      </c>
      <c r="AV225" s="19">
        <f t="shared" si="225"/>
        <v>45725.52083</v>
      </c>
      <c r="AW225" s="19">
        <f t="shared" si="225"/>
        <v>45725.54167</v>
      </c>
      <c r="AX225" s="19">
        <f t="shared" si="225"/>
        <v>45725.5625</v>
      </c>
      <c r="AY225" s="19">
        <f t="shared" si="225"/>
        <v>45725.58333</v>
      </c>
      <c r="AZ225" s="19">
        <f t="shared" si="225"/>
        <v>45725.60417</v>
      </c>
      <c r="BA225" s="19">
        <f t="shared" si="225"/>
        <v>45725.625</v>
      </c>
      <c r="BB225" s="19">
        <f t="shared" si="225"/>
        <v>45725.64583</v>
      </c>
      <c r="BC225" s="19">
        <f t="shared" si="225"/>
        <v>45725.66667</v>
      </c>
      <c r="BD225" s="19">
        <f t="shared" si="225"/>
        <v>45725.6875</v>
      </c>
      <c r="BE225" s="19">
        <f t="shared" si="225"/>
        <v>45725.70833</v>
      </c>
      <c r="BF225" s="19">
        <f t="shared" si="225"/>
        <v>45725.72917</v>
      </c>
      <c r="BG225" s="19">
        <f t="shared" si="225"/>
        <v>45725.75</v>
      </c>
      <c r="BH225" s="19">
        <f t="shared" si="225"/>
        <v>45725.77083</v>
      </c>
      <c r="BI225" s="19">
        <f t="shared" si="225"/>
        <v>45725.79167</v>
      </c>
      <c r="BJ225" s="19">
        <f t="shared" si="225"/>
        <v>45725.8125</v>
      </c>
      <c r="BK225" s="19">
        <f t="shared" si="225"/>
        <v>45725.83333</v>
      </c>
      <c r="BL225" s="19">
        <f t="shared" si="225"/>
        <v>45725.85417</v>
      </c>
      <c r="BM225" s="19">
        <f t="shared" si="225"/>
        <v>45725.875</v>
      </c>
      <c r="BN225" s="19">
        <f t="shared" si="225"/>
        <v>45725.89583</v>
      </c>
      <c r="BO225" s="19">
        <f t="shared" si="225"/>
        <v>45725.91667</v>
      </c>
      <c r="BP225" s="19">
        <f t="shared" si="225"/>
        <v>45725.9375</v>
      </c>
      <c r="BQ225" s="19">
        <f t="shared" si="225"/>
        <v>45725.95833</v>
      </c>
      <c r="BR225" s="19">
        <f t="shared" si="225"/>
        <v>45725.97917</v>
      </c>
      <c r="BS225" s="19">
        <f t="shared" si="225"/>
        <v>45726</v>
      </c>
      <c r="BT225" s="19">
        <f t="shared" si="225"/>
        <v>45726.02083</v>
      </c>
      <c r="BU225" s="19">
        <f t="shared" si="225"/>
        <v>45726.04167</v>
      </c>
      <c r="BV225" s="19">
        <f t="shared" si="225"/>
        <v>45726.0625</v>
      </c>
      <c r="BW225" s="19">
        <f t="shared" si="225"/>
        <v>45726.08333</v>
      </c>
      <c r="BX225" s="19">
        <f t="shared" si="225"/>
        <v>45725</v>
      </c>
      <c r="BY225" s="19">
        <f t="shared" si="225"/>
        <v>45725</v>
      </c>
      <c r="BZ225" s="19">
        <f t="shared" si="225"/>
        <v>45725</v>
      </c>
    </row>
    <row r="226" ht="14.25" customHeight="1">
      <c r="A226" s="17">
        <v>45726.0</v>
      </c>
      <c r="B226" s="2" t="str">
        <f t="array" ref="B226">IF(NOW()&gt;AM226,"",IF(AND((WEEKDAY($A226)+$B$2)&gt;1,((WEEKDAY($A226)+$T$2)&lt;7),(WEEKDAY($A226)&lt;&gt;1)),"work",(INDEX(Subject!$A:$I,MATCH(RANDBETWEEN(1,(MAX(Subject!$B:$B))),Subject!$B:$B,0),3))))</f>
        <v/>
      </c>
      <c r="C226" s="2" t="str">
        <f t="array" ref="C226">IF(NOW()&gt;AN226,"",IF(AND((WEEKDAY($A226)+$B$2)&gt;1,((WEEKDAY($A226)+$T$2)&lt;7),(WEEKDAY($A226)&lt;&gt;1)),"work",(INDEX(Subject!$A:$I,MATCH(RANDBETWEEN(1,(MAX(Subject!$B:$B))),Subject!$B:$B,0),3))))</f>
        <v/>
      </c>
      <c r="D226" s="2" t="str">
        <f t="array" ref="D226">IF(NOW()&gt;AO226,"",IF(AND((WEEKDAY($A226)+$B$2)&gt;1,((WEEKDAY($A226)+$T$2)&lt;7),(WEEKDAY($A226)&lt;&gt;1)),"work",(INDEX(Subject!$A:$I,MATCH(RANDBETWEEN(1,(MAX(Subject!$B:$B))),Subject!$B:$B,0),3))))</f>
        <v/>
      </c>
      <c r="E226" s="2" t="str">
        <f t="array" ref="E226">IF(NOW()&gt;AP226,"",IF(AND((WEEKDAY($A226)+$B$2)&gt;1,((WEEKDAY($A226)+$T$2)&lt;7),(WEEKDAY($A226)&lt;&gt;1)),"work",(INDEX(Subject!$A:$I,MATCH(RANDBETWEEN(1,(MAX(Subject!$B:$B))),Subject!$B:$B,0),3))))</f>
        <v/>
      </c>
      <c r="F226" s="2" t="str">
        <f t="array" ref="F226">IF(NOW()&gt;AQ226,"",IF(AND((WEEKDAY($A226)+$B$2)&gt;1,((WEEKDAY($A226)+$T$2)&lt;7),(WEEKDAY($A226)&lt;&gt;1)),"work",(INDEX(Subject!$A:$I,MATCH(RANDBETWEEN(1,(MAX(Subject!$B:$B))),Subject!$B:$B,0),3))))</f>
        <v/>
      </c>
      <c r="G226" s="2" t="str">
        <f t="array" ref="G226">IF(NOW()&gt;AR226,"",IF(AND((WEEKDAY($A226)+$B$2)&gt;1,((WEEKDAY($A226)+$T$2)&lt;7),(WEEKDAY($A226)&lt;&gt;1)),"work",(INDEX(Subject!$A:$I,MATCH(RANDBETWEEN(1,(MAX(Subject!$B:$B))),Subject!$B:$B,0),3))))</f>
        <v/>
      </c>
      <c r="H226" s="2" t="str">
        <f t="array" ref="H226">IF(NOW()&gt;AS226,"",IF(AND((WEEKDAY($A226)+$B$2)&gt;1,((WEEKDAY($A226)+$T$2)&lt;7),(WEEKDAY($A226)&lt;&gt;1)),"work",(INDEX(Subject!$A:$I,MATCH(RANDBETWEEN(1,(MAX(Subject!$B:$B))),Subject!$B:$B,0),3))))</f>
        <v/>
      </c>
      <c r="I226" s="2" t="str">
        <f t="array" ref="I226">IF(NOW()&gt;AT226,"",IF(AND((WEEKDAY($A226)+$B$2)&gt;1,((WEEKDAY($A226)+$T$2)&lt;7),(WEEKDAY($A226)&lt;&gt;1)),"work",(INDEX(Subject!$A:$I,MATCH(RANDBETWEEN(1,(MAX(Subject!$B:$B))),Subject!$B:$B,0),3))))</f>
        <v/>
      </c>
      <c r="J226" s="2" t="str">
        <f t="array" ref="J226">IF(NOW()&gt;AU226,"",IF(AND((WEEKDAY($A226)+$B$2)&gt;1,((WEEKDAY($A226)+$T$2)&lt;7),(WEEKDAY($A226)&lt;&gt;1)),"work",(INDEX(Subject!$A:$I,MATCH(RANDBETWEEN(1,(MAX(Subject!$B:$B))),Subject!$B:$B,0),3))))</f>
        <v/>
      </c>
      <c r="K226" s="2" t="str">
        <f t="array" ref="K226">IF(NOW()&gt;AV226,"",IF(AND((WEEKDAY($A226)+$B$2)&gt;1,((WEEKDAY($A226)+$T$2)&lt;7),(WEEKDAY($A226)&lt;&gt;1)),"work",(INDEX(Subject!$A:$I,MATCH(RANDBETWEEN(1,(MAX(Subject!$B:$B))),Subject!$B:$B,0),3))))</f>
        <v/>
      </c>
      <c r="L226" s="2" t="str">
        <f t="array" ref="L226">IF(NOW()&gt;AW226,"",IF(AND((WEEKDAY($A226)+$B$2)&gt;1,((WEEKDAY($A226)+$T$2)&lt;7),(WEEKDAY($A226)&lt;&gt;1)),"work",(INDEX(Subject!$A:$I,MATCH(RANDBETWEEN(1,(MAX(Subject!$B:$B))),Subject!$B:$B,0),3))))</f>
        <v/>
      </c>
      <c r="M226" s="2" t="str">
        <f t="array" ref="M226">IF(NOW()&gt;AX226,"",IF(AND((WEEKDAY($A226)+$B$2)&gt;1,((WEEKDAY($A226)+$T$2)&lt;7),(WEEKDAY($A226)&lt;&gt;1)),"work",(INDEX(Subject!$A:$I,MATCH(RANDBETWEEN(1,(MAX(Subject!$B:$B))),Subject!$B:$B,0),3))))</f>
        <v/>
      </c>
      <c r="N226" s="2" t="str">
        <f t="array" ref="N226">IF(NOW()&gt;AY226,"",IF(AND((WEEKDAY($A226)+$B$2)&gt;1,((WEEKDAY($A226)+$T$2)&lt;7),(WEEKDAY($A226)&lt;&gt;1)),"work",(INDEX(Subject!$A:$I,MATCH(RANDBETWEEN(1,(MAX(Subject!$B:$B))),Subject!$B:$B,0),3))))</f>
        <v/>
      </c>
      <c r="O226" s="2" t="str">
        <f t="array" ref="O226">IF(NOW()&gt;AZ226,"",IF(AND((WEEKDAY($A226)+$B$2)&gt;1,((WEEKDAY($A226)+$T$2)&lt;7),(WEEKDAY($A226)&lt;&gt;1)),"work",(INDEX(Subject!$A:$I,MATCH(RANDBETWEEN(1,(MAX(Subject!$B:$B))),Subject!$B:$B,0),3))))</f>
        <v/>
      </c>
      <c r="P226" s="2" t="str">
        <f t="array" ref="P226">IF(NOW()&gt;BA226,"",IF(AND((WEEKDAY($A226)+$B$2)&gt;1,((WEEKDAY($A226)+$T$2)&lt;7),(WEEKDAY($A226)&lt;&gt;1)),"work",(INDEX(Subject!$A:$I,MATCH(RANDBETWEEN(1,(MAX(Subject!$B:$B))),Subject!$B:$B,0),3))))</f>
        <v/>
      </c>
      <c r="Q226" s="2" t="str">
        <f t="array" ref="Q226">IF(NOW()&gt;BB226,"",IF(AND((WEEKDAY($A226)+$B$2)&gt;1,((WEEKDAY($A226)+$T$2)&lt;7),(WEEKDAY($A226)&lt;&gt;1)),"work",(INDEX(Subject!$A:$I,MATCH(RANDBETWEEN(1,(MAX(Subject!$B:$B))),Subject!$B:$B,0),3))))</f>
        <v/>
      </c>
      <c r="R226" s="2" t="str">
        <f t="array" ref="R226">IF(NOW()&gt;BC226,"",IF(AND((WEEKDAY($A226)+$B$2)&gt;1,((WEEKDAY($A226)+$T$2)&lt;7),(WEEKDAY($A226)&lt;&gt;1)),"work",(INDEX(Subject!$A:$I,MATCH(RANDBETWEEN(1,(MAX(Subject!$B:$B))),Subject!$B:$B,0),3))))</f>
        <v/>
      </c>
      <c r="S226" s="2" t="str">
        <f t="array" ref="S226">IF(NOW()&gt;BD226,"",IF(AND((WEEKDAY($A226)+$B$2)&gt;1,((WEEKDAY($A226)+$T$2)&lt;7),(WEEKDAY($A226)&lt;&gt;1)),"work",(INDEX(Subject!$A:$I,MATCH(RANDBETWEEN(1,(MAX(Subject!$B:$B))),Subject!$B:$B,0),3))))</f>
        <v/>
      </c>
      <c r="T226" s="2" t="str">
        <f t="array" ref="T226">IF(NOW()&gt;BE226,"",IF(AND((WEEKDAY($A226)+$B$2)&gt;1,((WEEKDAY($A226)+$T$2)&lt;7),(WEEKDAY($A226)&lt;&gt;1)),"work",(INDEX(Subject!$A:$I,MATCH(RANDBETWEEN(1,(MAX(Subject!$B:$B))),Subject!$B:$B,0),3))))</f>
        <v/>
      </c>
      <c r="U226" s="8" t="str">
        <f t="array" ref="U226">INDEX(Subject!$A:$I,MATCH(RANDBETWEEN(1,16),Subject!$B:$B,0),3)</f>
        <v>#N/A</v>
      </c>
      <c r="V226" s="8" t="str">
        <f t="array" ref="V226">INDEX(Subject!$A:$I,MATCH(RANDBETWEEN(1,16),Subject!$B:$B,0),3)</f>
        <v/>
      </c>
      <c r="W226" s="8" t="str">
        <f t="array" ref="W226">INDEX(Subject!$A:$I,MATCH(RANDBETWEEN(1,16),Subject!$B:$B,0),3)</f>
        <v>#N/A</v>
      </c>
      <c r="X226" s="8" t="str">
        <f t="array" ref="X226">INDEX(Subject!$A:$I,MATCH(RANDBETWEEN(1,16),Subject!$B:$B,0),3)</f>
        <v>#N/A</v>
      </c>
      <c r="Y226" s="8" t="str">
        <f t="array" ref="Y226">INDEX(Subject!$A:$I,MATCH(RANDBETWEEN(1,16),Subject!$B:$B,0),3)</f>
        <v>#N/A</v>
      </c>
      <c r="Z226" s="8" t="str">
        <f t="array" ref="Z226">INDEX(Subject!$A:$I,MATCH(RANDBETWEEN(1,16),Subject!$B:$B,0),3)</f>
        <v>#N/A</v>
      </c>
      <c r="AA226" s="8" t="str">
        <f t="array" ref="AA226">INDEX(Subject!$A:$I,MATCH(RANDBETWEEN(1,16),Subject!$B:$B,0),3)</f>
        <v>#N/A</v>
      </c>
      <c r="AB226" s="8" t="str">
        <f t="array" ref="AB226">INDEX(Subject!$A:$I,MATCH(RANDBETWEEN(1,16),Subject!$B:$B,0),3)</f>
        <v>#N/A</v>
      </c>
      <c r="AC226" s="8" t="str">
        <f t="array" ref="AC226">INDEX(Subject!$A:$I,MATCH(RANDBETWEEN(1,16),Subject!$B:$B,0),3)</f>
        <v/>
      </c>
      <c r="AD226" s="8" t="str">
        <f t="array" ref="AD226">INDEX(Subject!$A:$I,MATCH(RANDBETWEEN(1,16),Subject!$B:$B,0),3)</f>
        <v>#N/A</v>
      </c>
      <c r="AE226" s="8" t="str">
        <f t="array" ref="AE226">INDEX(Subject!$A:$I,MATCH(RANDBETWEEN(1,16),Subject!$B:$B,0),3)</f>
        <v>#N/A</v>
      </c>
      <c r="AF226" s="8" t="str">
        <f t="array" ref="AF226">INDEX(Subject!$A:$I,MATCH(RANDBETWEEN(1,16),Subject!$B:$B,0),3)</f>
        <v>#N/A</v>
      </c>
      <c r="AG226" s="8" t="str">
        <f t="array" ref="AG226">INDEX(Subject!$A:$I,MATCH(RANDBETWEEN(1,16),Subject!$B:$B,0),3)</f>
        <v>#N/A</v>
      </c>
      <c r="AH226" s="8" t="str">
        <f t="array" ref="AH226">INDEX(Subject!$A:$I,MATCH(RANDBETWEEN(1,16),Subject!$B:$B,0),3)</f>
        <v>#N/A</v>
      </c>
      <c r="AI226" s="8" t="str">
        <f t="array" ref="AI226">INDEX(Subject!$A:$I,MATCH(RANDBETWEEN(1,16),Subject!$B:$B,0),3)</f>
        <v>#N/A</v>
      </c>
      <c r="AJ226" s="8" t="str">
        <f t="array" ref="AJ226">INDEX(Subject!$A:$I,MATCH(RANDBETWEEN(1,16),Subject!$B:$B,0),3)</f>
        <v>#N/A</v>
      </c>
      <c r="AK226" s="8" t="str">
        <f t="array" ref="AK226">INDEX(Subject!$A:$I,MATCH(RANDBETWEEN(1,16),Subject!$B:$B,0),3)</f>
        <v>#N/A</v>
      </c>
      <c r="AL226" s="8" t="str">
        <f t="array" ref="AL226">INDEX(Subject!$A:$I,MATCH(RANDBETWEEN(1,16),Subject!$B:$B,0),3)</f>
        <v>#N/A</v>
      </c>
      <c r="AM226" s="18">
        <f t="shared" si="4"/>
        <v>45726.33333</v>
      </c>
      <c r="AN226" s="19">
        <f t="shared" ref="AN226:BZ226" si="226">$A226+C$1</f>
        <v>45726.35417</v>
      </c>
      <c r="AO226" s="19">
        <f t="shared" si="226"/>
        <v>45726.375</v>
      </c>
      <c r="AP226" s="19">
        <f t="shared" si="226"/>
        <v>45726.39583</v>
      </c>
      <c r="AQ226" s="19">
        <f t="shared" si="226"/>
        <v>45726.41667</v>
      </c>
      <c r="AR226" s="19">
        <f t="shared" si="226"/>
        <v>45726.4375</v>
      </c>
      <c r="AS226" s="19">
        <f t="shared" si="226"/>
        <v>45726.45833</v>
      </c>
      <c r="AT226" s="19">
        <f t="shared" si="226"/>
        <v>45726.47917</v>
      </c>
      <c r="AU226" s="19">
        <f t="shared" si="226"/>
        <v>45726.5</v>
      </c>
      <c r="AV226" s="19">
        <f t="shared" si="226"/>
        <v>45726.52083</v>
      </c>
      <c r="AW226" s="19">
        <f t="shared" si="226"/>
        <v>45726.54167</v>
      </c>
      <c r="AX226" s="19">
        <f t="shared" si="226"/>
        <v>45726.5625</v>
      </c>
      <c r="AY226" s="19">
        <f t="shared" si="226"/>
        <v>45726.58333</v>
      </c>
      <c r="AZ226" s="19">
        <f t="shared" si="226"/>
        <v>45726.60417</v>
      </c>
      <c r="BA226" s="19">
        <f t="shared" si="226"/>
        <v>45726.625</v>
      </c>
      <c r="BB226" s="19">
        <f t="shared" si="226"/>
        <v>45726.64583</v>
      </c>
      <c r="BC226" s="19">
        <f t="shared" si="226"/>
        <v>45726.66667</v>
      </c>
      <c r="BD226" s="19">
        <f t="shared" si="226"/>
        <v>45726.6875</v>
      </c>
      <c r="BE226" s="19">
        <f t="shared" si="226"/>
        <v>45726.70833</v>
      </c>
      <c r="BF226" s="19">
        <f t="shared" si="226"/>
        <v>45726.72917</v>
      </c>
      <c r="BG226" s="19">
        <f t="shared" si="226"/>
        <v>45726.75</v>
      </c>
      <c r="BH226" s="19">
        <f t="shared" si="226"/>
        <v>45726.77083</v>
      </c>
      <c r="BI226" s="19">
        <f t="shared" si="226"/>
        <v>45726.79167</v>
      </c>
      <c r="BJ226" s="19">
        <f t="shared" si="226"/>
        <v>45726.8125</v>
      </c>
      <c r="BK226" s="19">
        <f t="shared" si="226"/>
        <v>45726.83333</v>
      </c>
      <c r="BL226" s="19">
        <f t="shared" si="226"/>
        <v>45726.85417</v>
      </c>
      <c r="BM226" s="19">
        <f t="shared" si="226"/>
        <v>45726.875</v>
      </c>
      <c r="BN226" s="19">
        <f t="shared" si="226"/>
        <v>45726.89583</v>
      </c>
      <c r="BO226" s="19">
        <f t="shared" si="226"/>
        <v>45726.91667</v>
      </c>
      <c r="BP226" s="19">
        <f t="shared" si="226"/>
        <v>45726.9375</v>
      </c>
      <c r="BQ226" s="19">
        <f t="shared" si="226"/>
        <v>45726.95833</v>
      </c>
      <c r="BR226" s="19">
        <f t="shared" si="226"/>
        <v>45726.97917</v>
      </c>
      <c r="BS226" s="19">
        <f t="shared" si="226"/>
        <v>45727</v>
      </c>
      <c r="BT226" s="19">
        <f t="shared" si="226"/>
        <v>45727.02083</v>
      </c>
      <c r="BU226" s="19">
        <f t="shared" si="226"/>
        <v>45727.04167</v>
      </c>
      <c r="BV226" s="19">
        <f t="shared" si="226"/>
        <v>45727.0625</v>
      </c>
      <c r="BW226" s="19">
        <f t="shared" si="226"/>
        <v>45727.08333</v>
      </c>
      <c r="BX226" s="19">
        <f t="shared" si="226"/>
        <v>45726</v>
      </c>
      <c r="BY226" s="19">
        <f t="shared" si="226"/>
        <v>45726</v>
      </c>
      <c r="BZ226" s="19">
        <f t="shared" si="226"/>
        <v>45726</v>
      </c>
    </row>
    <row r="227" ht="14.25" customHeight="1">
      <c r="A227" s="17">
        <v>45727.0</v>
      </c>
      <c r="B227" s="2" t="str">
        <f t="array" ref="B227">IF(NOW()&gt;AM227,"",IF(AND((WEEKDAY($A227)+$B$2)&gt;1,((WEEKDAY($A227)+$T$2)&lt;7),(WEEKDAY($A227)&lt;&gt;1)),"work",(INDEX(Subject!$A:$I,MATCH(RANDBETWEEN(1,(MAX(Subject!$B:$B))),Subject!$B:$B,0),3))))</f>
        <v/>
      </c>
      <c r="C227" s="2" t="str">
        <f t="array" ref="C227">IF(NOW()&gt;AN227,"",IF(AND((WEEKDAY($A227)+$B$2)&gt;1,((WEEKDAY($A227)+$T$2)&lt;7),(WEEKDAY($A227)&lt;&gt;1)),"work",(INDEX(Subject!$A:$I,MATCH(RANDBETWEEN(1,(MAX(Subject!$B:$B))),Subject!$B:$B,0),3))))</f>
        <v/>
      </c>
      <c r="D227" s="2" t="str">
        <f t="array" ref="D227">IF(NOW()&gt;AO227,"",IF(AND((WEEKDAY($A227)+$B$2)&gt;1,((WEEKDAY($A227)+$T$2)&lt;7),(WEEKDAY($A227)&lt;&gt;1)),"work",(INDEX(Subject!$A:$I,MATCH(RANDBETWEEN(1,(MAX(Subject!$B:$B))),Subject!$B:$B,0),3))))</f>
        <v/>
      </c>
      <c r="E227" s="2" t="str">
        <f t="array" ref="E227">IF(NOW()&gt;AP227,"",IF(AND((WEEKDAY($A227)+$B$2)&gt;1,((WEEKDAY($A227)+$T$2)&lt;7),(WEEKDAY($A227)&lt;&gt;1)),"work",(INDEX(Subject!$A:$I,MATCH(RANDBETWEEN(1,(MAX(Subject!$B:$B))),Subject!$B:$B,0),3))))</f>
        <v/>
      </c>
      <c r="F227" s="2" t="str">
        <f t="array" ref="F227">IF(NOW()&gt;AQ227,"",IF(AND((WEEKDAY($A227)+$B$2)&gt;1,((WEEKDAY($A227)+$T$2)&lt;7),(WEEKDAY($A227)&lt;&gt;1)),"work",(INDEX(Subject!$A:$I,MATCH(RANDBETWEEN(1,(MAX(Subject!$B:$B))),Subject!$B:$B,0),3))))</f>
        <v/>
      </c>
      <c r="G227" s="2" t="str">
        <f t="array" ref="G227">IF(NOW()&gt;AR227,"",IF(AND((WEEKDAY($A227)+$B$2)&gt;1,((WEEKDAY($A227)+$T$2)&lt;7),(WEEKDAY($A227)&lt;&gt;1)),"work",(INDEX(Subject!$A:$I,MATCH(RANDBETWEEN(1,(MAX(Subject!$B:$B))),Subject!$B:$B,0),3))))</f>
        <v/>
      </c>
      <c r="H227" s="2" t="str">
        <f t="array" ref="H227">IF(NOW()&gt;AS227,"",IF(AND((WEEKDAY($A227)+$B$2)&gt;1,((WEEKDAY($A227)+$T$2)&lt;7),(WEEKDAY($A227)&lt;&gt;1)),"work",(INDEX(Subject!$A:$I,MATCH(RANDBETWEEN(1,(MAX(Subject!$B:$B))),Subject!$B:$B,0),3))))</f>
        <v/>
      </c>
      <c r="I227" s="2" t="str">
        <f t="array" ref="I227">IF(NOW()&gt;AT227,"",IF(AND((WEEKDAY($A227)+$B$2)&gt;1,((WEEKDAY($A227)+$T$2)&lt;7),(WEEKDAY($A227)&lt;&gt;1)),"work",(INDEX(Subject!$A:$I,MATCH(RANDBETWEEN(1,(MAX(Subject!$B:$B))),Subject!$B:$B,0),3))))</f>
        <v/>
      </c>
      <c r="J227" s="2" t="str">
        <f t="array" ref="J227">IF(NOW()&gt;AU227,"",IF(AND((WEEKDAY($A227)+$B$2)&gt;1,((WEEKDAY($A227)+$T$2)&lt;7),(WEEKDAY($A227)&lt;&gt;1)),"work",(INDEX(Subject!$A:$I,MATCH(RANDBETWEEN(1,(MAX(Subject!$B:$B))),Subject!$B:$B,0),3))))</f>
        <v/>
      </c>
      <c r="K227" s="2" t="str">
        <f t="array" ref="K227">IF(NOW()&gt;AV227,"",IF(AND((WEEKDAY($A227)+$B$2)&gt;1,((WEEKDAY($A227)+$T$2)&lt;7),(WEEKDAY($A227)&lt;&gt;1)),"work",(INDEX(Subject!$A:$I,MATCH(RANDBETWEEN(1,(MAX(Subject!$B:$B))),Subject!$B:$B,0),3))))</f>
        <v/>
      </c>
      <c r="L227" s="2" t="str">
        <f t="array" ref="L227">IF(NOW()&gt;AW227,"",IF(AND((WEEKDAY($A227)+$B$2)&gt;1,((WEEKDAY($A227)+$T$2)&lt;7),(WEEKDAY($A227)&lt;&gt;1)),"work",(INDEX(Subject!$A:$I,MATCH(RANDBETWEEN(1,(MAX(Subject!$B:$B))),Subject!$B:$B,0),3))))</f>
        <v/>
      </c>
      <c r="M227" s="2" t="str">
        <f t="array" ref="M227">IF(NOW()&gt;AX227,"",IF(AND((WEEKDAY($A227)+$B$2)&gt;1,((WEEKDAY($A227)+$T$2)&lt;7),(WEEKDAY($A227)&lt;&gt;1)),"work",(INDEX(Subject!$A:$I,MATCH(RANDBETWEEN(1,(MAX(Subject!$B:$B))),Subject!$B:$B,0),3))))</f>
        <v/>
      </c>
      <c r="N227" s="2" t="str">
        <f t="array" ref="N227">IF(NOW()&gt;AY227,"",IF(AND((WEEKDAY($A227)+$B$2)&gt;1,((WEEKDAY($A227)+$T$2)&lt;7),(WEEKDAY($A227)&lt;&gt;1)),"work",(INDEX(Subject!$A:$I,MATCH(RANDBETWEEN(1,(MAX(Subject!$B:$B))),Subject!$B:$B,0),3))))</f>
        <v/>
      </c>
      <c r="O227" s="2" t="str">
        <f t="array" ref="O227">IF(NOW()&gt;AZ227,"",IF(AND((WEEKDAY($A227)+$B$2)&gt;1,((WEEKDAY($A227)+$T$2)&lt;7),(WEEKDAY($A227)&lt;&gt;1)),"work",(INDEX(Subject!$A:$I,MATCH(RANDBETWEEN(1,(MAX(Subject!$B:$B))),Subject!$B:$B,0),3))))</f>
        <v/>
      </c>
      <c r="P227" s="2" t="str">
        <f t="array" ref="P227">IF(NOW()&gt;BA227,"",IF(AND((WEEKDAY($A227)+$B$2)&gt;1,((WEEKDAY($A227)+$T$2)&lt;7),(WEEKDAY($A227)&lt;&gt;1)),"work",(INDEX(Subject!$A:$I,MATCH(RANDBETWEEN(1,(MAX(Subject!$B:$B))),Subject!$B:$B,0),3))))</f>
        <v/>
      </c>
      <c r="Q227" s="2" t="str">
        <f t="array" ref="Q227">IF(NOW()&gt;BB227,"",IF(AND((WEEKDAY($A227)+$B$2)&gt;1,((WEEKDAY($A227)+$T$2)&lt;7),(WEEKDAY($A227)&lt;&gt;1)),"work",(INDEX(Subject!$A:$I,MATCH(RANDBETWEEN(1,(MAX(Subject!$B:$B))),Subject!$B:$B,0),3))))</f>
        <v/>
      </c>
      <c r="R227" s="2" t="str">
        <f t="array" ref="R227">IF(NOW()&gt;BC227,"",IF(AND((WEEKDAY($A227)+$B$2)&gt;1,((WEEKDAY($A227)+$T$2)&lt;7),(WEEKDAY($A227)&lt;&gt;1)),"work",(INDEX(Subject!$A:$I,MATCH(RANDBETWEEN(1,(MAX(Subject!$B:$B))),Subject!$B:$B,0),3))))</f>
        <v/>
      </c>
      <c r="S227" s="2" t="str">
        <f t="array" ref="S227">IF(NOW()&gt;BD227,"",IF(AND((WEEKDAY($A227)+$B$2)&gt;1,((WEEKDAY($A227)+$T$2)&lt;7),(WEEKDAY($A227)&lt;&gt;1)),"work",(INDEX(Subject!$A:$I,MATCH(RANDBETWEEN(1,(MAX(Subject!$B:$B))),Subject!$B:$B,0),3))))</f>
        <v/>
      </c>
      <c r="T227" s="2" t="str">
        <f t="array" ref="T227">IF(NOW()&gt;BE227,"",IF(AND((WEEKDAY($A227)+$B$2)&gt;1,((WEEKDAY($A227)+$T$2)&lt;7),(WEEKDAY($A227)&lt;&gt;1)),"work",(INDEX(Subject!$A:$I,MATCH(RANDBETWEEN(1,(MAX(Subject!$B:$B))),Subject!$B:$B,0),3))))</f>
        <v/>
      </c>
      <c r="U227" s="8" t="str">
        <f t="array" ref="U227">INDEX(Subject!$A:$I,MATCH(RANDBETWEEN(1,16),Subject!$B:$B,0),3)</f>
        <v>#N/A</v>
      </c>
      <c r="V227" s="8" t="str">
        <f t="array" ref="V227">INDEX(Subject!$A:$I,MATCH(RANDBETWEEN(1,16),Subject!$B:$B,0),3)</f>
        <v>#N/A</v>
      </c>
      <c r="W227" s="8" t="str">
        <f t="array" ref="W227">INDEX(Subject!$A:$I,MATCH(RANDBETWEEN(1,16),Subject!$B:$B,0),3)</f>
        <v>#N/A</v>
      </c>
      <c r="X227" s="8" t="str">
        <f t="array" ref="X227">INDEX(Subject!$A:$I,MATCH(RANDBETWEEN(1,16),Subject!$B:$B,0),3)</f>
        <v>#N/A</v>
      </c>
      <c r="Y227" s="8" t="str">
        <f t="array" ref="Y227">INDEX(Subject!$A:$I,MATCH(RANDBETWEEN(1,16),Subject!$B:$B,0),3)</f>
        <v>#N/A</v>
      </c>
      <c r="Z227" s="8" t="str">
        <f t="array" ref="Z227">INDEX(Subject!$A:$I,MATCH(RANDBETWEEN(1,16),Subject!$B:$B,0),3)</f>
        <v>#N/A</v>
      </c>
      <c r="AA227" s="8" t="str">
        <f t="array" ref="AA227">INDEX(Subject!$A:$I,MATCH(RANDBETWEEN(1,16),Subject!$B:$B,0),3)</f>
        <v>#N/A</v>
      </c>
      <c r="AB227" s="8" t="str">
        <f t="array" ref="AB227">INDEX(Subject!$A:$I,MATCH(RANDBETWEEN(1,16),Subject!$B:$B,0),3)</f>
        <v>#N/A</v>
      </c>
      <c r="AC227" s="8" t="str">
        <f t="array" ref="AC227">INDEX(Subject!$A:$I,MATCH(RANDBETWEEN(1,16),Subject!$B:$B,0),3)</f>
        <v/>
      </c>
      <c r="AD227" s="8" t="str">
        <f t="array" ref="AD227">INDEX(Subject!$A:$I,MATCH(RANDBETWEEN(1,16),Subject!$B:$B,0),3)</f>
        <v>#N/A</v>
      </c>
      <c r="AE227" s="8" t="str">
        <f t="array" ref="AE227">INDEX(Subject!$A:$I,MATCH(RANDBETWEEN(1,16),Subject!$B:$B,0),3)</f>
        <v>#N/A</v>
      </c>
      <c r="AF227" s="8" t="str">
        <f t="array" ref="AF227">INDEX(Subject!$A:$I,MATCH(RANDBETWEEN(1,16),Subject!$B:$B,0),3)</f>
        <v>#N/A</v>
      </c>
      <c r="AG227" s="8" t="str">
        <f t="array" ref="AG227">INDEX(Subject!$A:$I,MATCH(RANDBETWEEN(1,16),Subject!$B:$B,0),3)</f>
        <v>#N/A</v>
      </c>
      <c r="AH227" s="8" t="str">
        <f t="array" ref="AH227">INDEX(Subject!$A:$I,MATCH(RANDBETWEEN(1,16),Subject!$B:$B,0),3)</f>
        <v>#N/A</v>
      </c>
      <c r="AI227" s="8" t="str">
        <f t="array" ref="AI227">INDEX(Subject!$A:$I,MATCH(RANDBETWEEN(1,16),Subject!$B:$B,0),3)</f>
        <v>#N/A</v>
      </c>
      <c r="AJ227" s="8" t="str">
        <f t="array" ref="AJ227">INDEX(Subject!$A:$I,MATCH(RANDBETWEEN(1,16),Subject!$B:$B,0),3)</f>
        <v>#N/A</v>
      </c>
      <c r="AK227" s="8" t="str">
        <f t="array" ref="AK227">INDEX(Subject!$A:$I,MATCH(RANDBETWEEN(1,16),Subject!$B:$B,0),3)</f>
        <v>#N/A</v>
      </c>
      <c r="AL227" s="8" t="str">
        <f t="array" ref="AL227">INDEX(Subject!$A:$I,MATCH(RANDBETWEEN(1,16),Subject!$B:$B,0),3)</f>
        <v>#N/A</v>
      </c>
      <c r="AM227" s="18">
        <f t="shared" si="4"/>
        <v>45727.33333</v>
      </c>
      <c r="AN227" s="19">
        <f t="shared" ref="AN227:BZ227" si="227">$A227+C$1</f>
        <v>45727.35417</v>
      </c>
      <c r="AO227" s="19">
        <f t="shared" si="227"/>
        <v>45727.375</v>
      </c>
      <c r="AP227" s="19">
        <f t="shared" si="227"/>
        <v>45727.39583</v>
      </c>
      <c r="AQ227" s="19">
        <f t="shared" si="227"/>
        <v>45727.41667</v>
      </c>
      <c r="AR227" s="19">
        <f t="shared" si="227"/>
        <v>45727.4375</v>
      </c>
      <c r="AS227" s="19">
        <f t="shared" si="227"/>
        <v>45727.45833</v>
      </c>
      <c r="AT227" s="19">
        <f t="shared" si="227"/>
        <v>45727.47917</v>
      </c>
      <c r="AU227" s="19">
        <f t="shared" si="227"/>
        <v>45727.5</v>
      </c>
      <c r="AV227" s="19">
        <f t="shared" si="227"/>
        <v>45727.52083</v>
      </c>
      <c r="AW227" s="19">
        <f t="shared" si="227"/>
        <v>45727.54167</v>
      </c>
      <c r="AX227" s="19">
        <f t="shared" si="227"/>
        <v>45727.5625</v>
      </c>
      <c r="AY227" s="19">
        <f t="shared" si="227"/>
        <v>45727.58333</v>
      </c>
      <c r="AZ227" s="19">
        <f t="shared" si="227"/>
        <v>45727.60417</v>
      </c>
      <c r="BA227" s="19">
        <f t="shared" si="227"/>
        <v>45727.625</v>
      </c>
      <c r="BB227" s="19">
        <f t="shared" si="227"/>
        <v>45727.64583</v>
      </c>
      <c r="BC227" s="19">
        <f t="shared" si="227"/>
        <v>45727.66667</v>
      </c>
      <c r="BD227" s="19">
        <f t="shared" si="227"/>
        <v>45727.6875</v>
      </c>
      <c r="BE227" s="19">
        <f t="shared" si="227"/>
        <v>45727.70833</v>
      </c>
      <c r="BF227" s="19">
        <f t="shared" si="227"/>
        <v>45727.72917</v>
      </c>
      <c r="BG227" s="19">
        <f t="shared" si="227"/>
        <v>45727.75</v>
      </c>
      <c r="BH227" s="19">
        <f t="shared" si="227"/>
        <v>45727.77083</v>
      </c>
      <c r="BI227" s="19">
        <f t="shared" si="227"/>
        <v>45727.79167</v>
      </c>
      <c r="BJ227" s="19">
        <f t="shared" si="227"/>
        <v>45727.8125</v>
      </c>
      <c r="BK227" s="19">
        <f t="shared" si="227"/>
        <v>45727.83333</v>
      </c>
      <c r="BL227" s="19">
        <f t="shared" si="227"/>
        <v>45727.85417</v>
      </c>
      <c r="BM227" s="19">
        <f t="shared" si="227"/>
        <v>45727.875</v>
      </c>
      <c r="BN227" s="19">
        <f t="shared" si="227"/>
        <v>45727.89583</v>
      </c>
      <c r="BO227" s="19">
        <f t="shared" si="227"/>
        <v>45727.91667</v>
      </c>
      <c r="BP227" s="19">
        <f t="shared" si="227"/>
        <v>45727.9375</v>
      </c>
      <c r="BQ227" s="19">
        <f t="shared" si="227"/>
        <v>45727.95833</v>
      </c>
      <c r="BR227" s="19">
        <f t="shared" si="227"/>
        <v>45727.97917</v>
      </c>
      <c r="BS227" s="19">
        <f t="shared" si="227"/>
        <v>45728</v>
      </c>
      <c r="BT227" s="19">
        <f t="shared" si="227"/>
        <v>45728.02083</v>
      </c>
      <c r="BU227" s="19">
        <f t="shared" si="227"/>
        <v>45728.04167</v>
      </c>
      <c r="BV227" s="19">
        <f t="shared" si="227"/>
        <v>45728.0625</v>
      </c>
      <c r="BW227" s="19">
        <f t="shared" si="227"/>
        <v>45728.08333</v>
      </c>
      <c r="BX227" s="19">
        <f t="shared" si="227"/>
        <v>45727</v>
      </c>
      <c r="BY227" s="19">
        <f t="shared" si="227"/>
        <v>45727</v>
      </c>
      <c r="BZ227" s="19">
        <f t="shared" si="227"/>
        <v>45727</v>
      </c>
    </row>
    <row r="228" ht="14.25" customHeight="1">
      <c r="A228" s="17">
        <v>45728.0</v>
      </c>
      <c r="B228" s="2" t="str">
        <f t="array" ref="B228">IF(NOW()&gt;AM228,"",IF(AND((WEEKDAY($A228)+$B$2)&gt;1,((WEEKDAY($A228)+$T$2)&lt;7),(WEEKDAY($A228)&lt;&gt;1)),"work",(INDEX(Subject!$A:$I,MATCH(RANDBETWEEN(1,(MAX(Subject!$B:$B))),Subject!$B:$B,0),3))))</f>
        <v/>
      </c>
      <c r="C228" s="2" t="str">
        <f t="array" ref="C228">IF(NOW()&gt;AN228,"",IF(AND((WEEKDAY($A228)+$B$2)&gt;1,((WEEKDAY($A228)+$T$2)&lt;7),(WEEKDAY($A228)&lt;&gt;1)),"work",(INDEX(Subject!$A:$I,MATCH(RANDBETWEEN(1,(MAX(Subject!$B:$B))),Subject!$B:$B,0),3))))</f>
        <v/>
      </c>
      <c r="D228" s="2" t="str">
        <f t="array" ref="D228">IF(NOW()&gt;AO228,"",IF(AND((WEEKDAY($A228)+$B$2)&gt;1,((WEEKDAY($A228)+$T$2)&lt;7),(WEEKDAY($A228)&lt;&gt;1)),"work",(INDEX(Subject!$A:$I,MATCH(RANDBETWEEN(1,(MAX(Subject!$B:$B))),Subject!$B:$B,0),3))))</f>
        <v/>
      </c>
      <c r="E228" s="2" t="str">
        <f t="array" ref="E228">IF(NOW()&gt;AP228,"",IF(AND((WEEKDAY($A228)+$B$2)&gt;1,((WEEKDAY($A228)+$T$2)&lt;7),(WEEKDAY($A228)&lt;&gt;1)),"work",(INDEX(Subject!$A:$I,MATCH(RANDBETWEEN(1,(MAX(Subject!$B:$B))),Subject!$B:$B,0),3))))</f>
        <v/>
      </c>
      <c r="F228" s="2" t="str">
        <f t="array" ref="F228">IF(NOW()&gt;AQ228,"",IF(AND((WEEKDAY($A228)+$B$2)&gt;1,((WEEKDAY($A228)+$T$2)&lt;7),(WEEKDAY($A228)&lt;&gt;1)),"work",(INDEX(Subject!$A:$I,MATCH(RANDBETWEEN(1,(MAX(Subject!$B:$B))),Subject!$B:$B,0),3))))</f>
        <v/>
      </c>
      <c r="G228" s="2" t="str">
        <f t="array" ref="G228">IF(NOW()&gt;AR228,"",IF(AND((WEEKDAY($A228)+$B$2)&gt;1,((WEEKDAY($A228)+$T$2)&lt;7),(WEEKDAY($A228)&lt;&gt;1)),"work",(INDEX(Subject!$A:$I,MATCH(RANDBETWEEN(1,(MAX(Subject!$B:$B))),Subject!$B:$B,0),3))))</f>
        <v/>
      </c>
      <c r="H228" s="2" t="str">
        <f t="array" ref="H228">IF(NOW()&gt;AS228,"",IF(AND((WEEKDAY($A228)+$B$2)&gt;1,((WEEKDAY($A228)+$T$2)&lt;7),(WEEKDAY($A228)&lt;&gt;1)),"work",(INDEX(Subject!$A:$I,MATCH(RANDBETWEEN(1,(MAX(Subject!$B:$B))),Subject!$B:$B,0),3))))</f>
        <v/>
      </c>
      <c r="I228" s="2" t="str">
        <f t="array" ref="I228">IF(NOW()&gt;AT228,"",IF(AND((WEEKDAY($A228)+$B$2)&gt;1,((WEEKDAY($A228)+$T$2)&lt;7),(WEEKDAY($A228)&lt;&gt;1)),"work",(INDEX(Subject!$A:$I,MATCH(RANDBETWEEN(1,(MAX(Subject!$B:$B))),Subject!$B:$B,0),3))))</f>
        <v/>
      </c>
      <c r="J228" s="2" t="str">
        <f t="array" ref="J228">IF(NOW()&gt;AU228,"",IF(AND((WEEKDAY($A228)+$B$2)&gt;1,((WEEKDAY($A228)+$T$2)&lt;7),(WEEKDAY($A228)&lt;&gt;1)),"work",(INDEX(Subject!$A:$I,MATCH(RANDBETWEEN(1,(MAX(Subject!$B:$B))),Subject!$B:$B,0),3))))</f>
        <v/>
      </c>
      <c r="K228" s="2" t="str">
        <f t="array" ref="K228">IF(NOW()&gt;AV228,"",IF(AND((WEEKDAY($A228)+$B$2)&gt;1,((WEEKDAY($A228)+$T$2)&lt;7),(WEEKDAY($A228)&lt;&gt;1)),"work",(INDEX(Subject!$A:$I,MATCH(RANDBETWEEN(1,(MAX(Subject!$B:$B))),Subject!$B:$B,0),3))))</f>
        <v/>
      </c>
      <c r="L228" s="2" t="str">
        <f t="array" ref="L228">IF(NOW()&gt;AW228,"",IF(AND((WEEKDAY($A228)+$B$2)&gt;1,((WEEKDAY($A228)+$T$2)&lt;7),(WEEKDAY($A228)&lt;&gt;1)),"work",(INDEX(Subject!$A:$I,MATCH(RANDBETWEEN(1,(MAX(Subject!$B:$B))),Subject!$B:$B,0),3))))</f>
        <v/>
      </c>
      <c r="M228" s="2" t="str">
        <f t="array" ref="M228">IF(NOW()&gt;AX228,"",IF(AND((WEEKDAY($A228)+$B$2)&gt;1,((WEEKDAY($A228)+$T$2)&lt;7),(WEEKDAY($A228)&lt;&gt;1)),"work",(INDEX(Subject!$A:$I,MATCH(RANDBETWEEN(1,(MAX(Subject!$B:$B))),Subject!$B:$B,0),3))))</f>
        <v/>
      </c>
      <c r="N228" s="2" t="str">
        <f t="array" ref="N228">IF(NOW()&gt;AY228,"",IF(AND((WEEKDAY($A228)+$B$2)&gt;1,((WEEKDAY($A228)+$T$2)&lt;7),(WEEKDAY($A228)&lt;&gt;1)),"work",(INDEX(Subject!$A:$I,MATCH(RANDBETWEEN(1,(MAX(Subject!$B:$B))),Subject!$B:$B,0),3))))</f>
        <v/>
      </c>
      <c r="O228" s="2" t="str">
        <f t="array" ref="O228">IF(NOW()&gt;AZ228,"",IF(AND((WEEKDAY($A228)+$B$2)&gt;1,((WEEKDAY($A228)+$T$2)&lt;7),(WEEKDAY($A228)&lt;&gt;1)),"work",(INDEX(Subject!$A:$I,MATCH(RANDBETWEEN(1,(MAX(Subject!$B:$B))),Subject!$B:$B,0),3))))</f>
        <v/>
      </c>
      <c r="P228" s="2" t="str">
        <f t="array" ref="P228">IF(NOW()&gt;BA228,"",IF(AND((WEEKDAY($A228)+$B$2)&gt;1,((WEEKDAY($A228)+$T$2)&lt;7),(WEEKDAY($A228)&lt;&gt;1)),"work",(INDEX(Subject!$A:$I,MATCH(RANDBETWEEN(1,(MAX(Subject!$B:$B))),Subject!$B:$B,0),3))))</f>
        <v/>
      </c>
      <c r="Q228" s="2" t="str">
        <f t="array" ref="Q228">IF(NOW()&gt;BB228,"",IF(AND((WEEKDAY($A228)+$B$2)&gt;1,((WEEKDAY($A228)+$T$2)&lt;7),(WEEKDAY($A228)&lt;&gt;1)),"work",(INDEX(Subject!$A:$I,MATCH(RANDBETWEEN(1,(MAX(Subject!$B:$B))),Subject!$B:$B,0),3))))</f>
        <v/>
      </c>
      <c r="R228" s="2" t="str">
        <f t="array" ref="R228">IF(NOW()&gt;BC228,"",IF(AND((WEEKDAY($A228)+$B$2)&gt;1,((WEEKDAY($A228)+$T$2)&lt;7),(WEEKDAY($A228)&lt;&gt;1)),"work",(INDEX(Subject!$A:$I,MATCH(RANDBETWEEN(1,(MAX(Subject!$B:$B))),Subject!$B:$B,0),3))))</f>
        <v/>
      </c>
      <c r="S228" s="2" t="str">
        <f t="array" ref="S228">IF(NOW()&gt;BD228,"",IF(AND((WEEKDAY($A228)+$B$2)&gt;1,((WEEKDAY($A228)+$T$2)&lt;7),(WEEKDAY($A228)&lt;&gt;1)),"work",(INDEX(Subject!$A:$I,MATCH(RANDBETWEEN(1,(MAX(Subject!$B:$B))),Subject!$B:$B,0),3))))</f>
        <v/>
      </c>
      <c r="T228" s="2" t="str">
        <f t="array" ref="T228">IF(NOW()&gt;BE228,"",IF(AND((WEEKDAY($A228)+$B$2)&gt;1,((WEEKDAY($A228)+$T$2)&lt;7),(WEEKDAY($A228)&lt;&gt;1)),"work",(INDEX(Subject!$A:$I,MATCH(RANDBETWEEN(1,(MAX(Subject!$B:$B))),Subject!$B:$B,0),3))))</f>
        <v/>
      </c>
      <c r="U228" s="8" t="str">
        <f t="array" ref="U228">INDEX(Subject!$A:$I,MATCH(RANDBETWEEN(1,16),Subject!$B:$B,0),3)</f>
        <v>#N/A</v>
      </c>
      <c r="V228" s="8" t="str">
        <f t="array" ref="V228">INDEX(Subject!$A:$I,MATCH(RANDBETWEEN(1,16),Subject!$B:$B,0),3)</f>
        <v>#N/A</v>
      </c>
      <c r="W228" s="8" t="str">
        <f t="array" ref="W228">INDEX(Subject!$A:$I,MATCH(RANDBETWEEN(1,16),Subject!$B:$B,0),3)</f>
        <v>#N/A</v>
      </c>
      <c r="X228" s="8" t="str">
        <f t="array" ref="X228">INDEX(Subject!$A:$I,MATCH(RANDBETWEEN(1,16),Subject!$B:$B,0),3)</f>
        <v>#N/A</v>
      </c>
      <c r="Y228" s="8" t="str">
        <f t="array" ref="Y228">INDEX(Subject!$A:$I,MATCH(RANDBETWEEN(1,16),Subject!$B:$B,0),3)</f>
        <v>#N/A</v>
      </c>
      <c r="Z228" s="8" t="str">
        <f t="array" ref="Z228">INDEX(Subject!$A:$I,MATCH(RANDBETWEEN(1,16),Subject!$B:$B,0),3)</f>
        <v>#N/A</v>
      </c>
      <c r="AA228" s="8" t="str">
        <f t="array" ref="AA228">INDEX(Subject!$A:$I,MATCH(RANDBETWEEN(1,16),Subject!$B:$B,0),3)</f>
        <v>#N/A</v>
      </c>
      <c r="AB228" s="8" t="str">
        <f t="array" ref="AB228">INDEX(Subject!$A:$I,MATCH(RANDBETWEEN(1,16),Subject!$B:$B,0),3)</f>
        <v/>
      </c>
      <c r="AC228" s="8" t="str">
        <f t="array" ref="AC228">INDEX(Subject!$A:$I,MATCH(RANDBETWEEN(1,16),Subject!$B:$B,0),3)</f>
        <v>#N/A</v>
      </c>
      <c r="AD228" s="8" t="str">
        <f t="array" ref="AD228">INDEX(Subject!$A:$I,MATCH(RANDBETWEEN(1,16),Subject!$B:$B,0),3)</f>
        <v>#N/A</v>
      </c>
      <c r="AE228" s="8" t="str">
        <f t="array" ref="AE228">INDEX(Subject!$A:$I,MATCH(RANDBETWEEN(1,16),Subject!$B:$B,0),3)</f>
        <v>#N/A</v>
      </c>
      <c r="AF228" s="8" t="str">
        <f t="array" ref="AF228">INDEX(Subject!$A:$I,MATCH(RANDBETWEEN(1,16),Subject!$B:$B,0),3)</f>
        <v>#N/A</v>
      </c>
      <c r="AG228" s="8" t="str">
        <f t="array" ref="AG228">INDEX(Subject!$A:$I,MATCH(RANDBETWEEN(1,16),Subject!$B:$B,0),3)</f>
        <v>#N/A</v>
      </c>
      <c r="AH228" s="8" t="str">
        <f t="array" ref="AH228">INDEX(Subject!$A:$I,MATCH(RANDBETWEEN(1,16),Subject!$B:$B,0),3)</f>
        <v>#N/A</v>
      </c>
      <c r="AI228" s="8" t="str">
        <f t="array" ref="AI228">INDEX(Subject!$A:$I,MATCH(RANDBETWEEN(1,16),Subject!$B:$B,0),3)</f>
        <v>#N/A</v>
      </c>
      <c r="AJ228" s="8" t="str">
        <f t="array" ref="AJ228">INDEX(Subject!$A:$I,MATCH(RANDBETWEEN(1,16),Subject!$B:$B,0),3)</f>
        <v>#N/A</v>
      </c>
      <c r="AK228" s="8" t="str">
        <f t="array" ref="AK228">INDEX(Subject!$A:$I,MATCH(RANDBETWEEN(1,16),Subject!$B:$B,0),3)</f>
        <v>#N/A</v>
      </c>
      <c r="AL228" s="8" t="str">
        <f t="array" ref="AL228">INDEX(Subject!$A:$I,MATCH(RANDBETWEEN(1,16),Subject!$B:$B,0),3)</f>
        <v>#N/A</v>
      </c>
      <c r="AM228" s="18">
        <f t="shared" si="4"/>
        <v>45728.33333</v>
      </c>
      <c r="AN228" s="19">
        <f t="shared" ref="AN228:BZ228" si="228">$A228+C$1</f>
        <v>45728.35417</v>
      </c>
      <c r="AO228" s="19">
        <f t="shared" si="228"/>
        <v>45728.375</v>
      </c>
      <c r="AP228" s="19">
        <f t="shared" si="228"/>
        <v>45728.39583</v>
      </c>
      <c r="AQ228" s="19">
        <f t="shared" si="228"/>
        <v>45728.41667</v>
      </c>
      <c r="AR228" s="19">
        <f t="shared" si="228"/>
        <v>45728.4375</v>
      </c>
      <c r="AS228" s="19">
        <f t="shared" si="228"/>
        <v>45728.45833</v>
      </c>
      <c r="AT228" s="19">
        <f t="shared" si="228"/>
        <v>45728.47917</v>
      </c>
      <c r="AU228" s="19">
        <f t="shared" si="228"/>
        <v>45728.5</v>
      </c>
      <c r="AV228" s="19">
        <f t="shared" si="228"/>
        <v>45728.52083</v>
      </c>
      <c r="AW228" s="19">
        <f t="shared" si="228"/>
        <v>45728.54167</v>
      </c>
      <c r="AX228" s="19">
        <f t="shared" si="228"/>
        <v>45728.5625</v>
      </c>
      <c r="AY228" s="19">
        <f t="shared" si="228"/>
        <v>45728.58333</v>
      </c>
      <c r="AZ228" s="19">
        <f t="shared" si="228"/>
        <v>45728.60417</v>
      </c>
      <c r="BA228" s="19">
        <f t="shared" si="228"/>
        <v>45728.625</v>
      </c>
      <c r="BB228" s="19">
        <f t="shared" si="228"/>
        <v>45728.64583</v>
      </c>
      <c r="BC228" s="19">
        <f t="shared" si="228"/>
        <v>45728.66667</v>
      </c>
      <c r="BD228" s="19">
        <f t="shared" si="228"/>
        <v>45728.6875</v>
      </c>
      <c r="BE228" s="19">
        <f t="shared" si="228"/>
        <v>45728.70833</v>
      </c>
      <c r="BF228" s="19">
        <f t="shared" si="228"/>
        <v>45728.72917</v>
      </c>
      <c r="BG228" s="19">
        <f t="shared" si="228"/>
        <v>45728.75</v>
      </c>
      <c r="BH228" s="19">
        <f t="shared" si="228"/>
        <v>45728.77083</v>
      </c>
      <c r="BI228" s="19">
        <f t="shared" si="228"/>
        <v>45728.79167</v>
      </c>
      <c r="BJ228" s="19">
        <f t="shared" si="228"/>
        <v>45728.8125</v>
      </c>
      <c r="BK228" s="19">
        <f t="shared" si="228"/>
        <v>45728.83333</v>
      </c>
      <c r="BL228" s="19">
        <f t="shared" si="228"/>
        <v>45728.85417</v>
      </c>
      <c r="BM228" s="19">
        <f t="shared" si="228"/>
        <v>45728.875</v>
      </c>
      <c r="BN228" s="19">
        <f t="shared" si="228"/>
        <v>45728.89583</v>
      </c>
      <c r="BO228" s="19">
        <f t="shared" si="228"/>
        <v>45728.91667</v>
      </c>
      <c r="BP228" s="19">
        <f t="shared" si="228"/>
        <v>45728.9375</v>
      </c>
      <c r="BQ228" s="19">
        <f t="shared" si="228"/>
        <v>45728.95833</v>
      </c>
      <c r="BR228" s="19">
        <f t="shared" si="228"/>
        <v>45728.97917</v>
      </c>
      <c r="BS228" s="19">
        <f t="shared" si="228"/>
        <v>45729</v>
      </c>
      <c r="BT228" s="19">
        <f t="shared" si="228"/>
        <v>45729.02083</v>
      </c>
      <c r="BU228" s="19">
        <f t="shared" si="228"/>
        <v>45729.04167</v>
      </c>
      <c r="BV228" s="19">
        <f t="shared" si="228"/>
        <v>45729.0625</v>
      </c>
      <c r="BW228" s="19">
        <f t="shared" si="228"/>
        <v>45729.08333</v>
      </c>
      <c r="BX228" s="19">
        <f t="shared" si="228"/>
        <v>45728</v>
      </c>
      <c r="BY228" s="19">
        <f t="shared" si="228"/>
        <v>45728</v>
      </c>
      <c r="BZ228" s="19">
        <f t="shared" si="228"/>
        <v>45728</v>
      </c>
    </row>
    <row r="229" ht="14.25" customHeight="1">
      <c r="A229" s="17">
        <v>45729.0</v>
      </c>
      <c r="B229" s="2" t="str">
        <f t="array" ref="B229">IF(NOW()&gt;AM229,"",IF(AND((WEEKDAY($A229)+$B$2)&gt;1,((WEEKDAY($A229)+$T$2)&lt;7),(WEEKDAY($A229)&lt;&gt;1)),"work",(INDEX(Subject!$A:$I,MATCH(RANDBETWEEN(1,(MAX(Subject!$B:$B))),Subject!$B:$B,0),3))))</f>
        <v/>
      </c>
      <c r="C229" s="2" t="str">
        <f t="array" ref="C229">IF(NOW()&gt;AN229,"",IF(AND((WEEKDAY($A229)+$B$2)&gt;1,((WEEKDAY($A229)+$T$2)&lt;7),(WEEKDAY($A229)&lt;&gt;1)),"work",(INDEX(Subject!$A:$I,MATCH(RANDBETWEEN(1,(MAX(Subject!$B:$B))),Subject!$B:$B,0),3))))</f>
        <v/>
      </c>
      <c r="D229" s="2" t="str">
        <f t="array" ref="D229">IF(NOW()&gt;AO229,"",IF(AND((WEEKDAY($A229)+$B$2)&gt;1,((WEEKDAY($A229)+$T$2)&lt;7),(WEEKDAY($A229)&lt;&gt;1)),"work",(INDEX(Subject!$A:$I,MATCH(RANDBETWEEN(1,(MAX(Subject!$B:$B))),Subject!$B:$B,0),3))))</f>
        <v/>
      </c>
      <c r="E229" s="2" t="str">
        <f t="array" ref="E229">IF(NOW()&gt;AP229,"",IF(AND((WEEKDAY($A229)+$B$2)&gt;1,((WEEKDAY($A229)+$T$2)&lt;7),(WEEKDAY($A229)&lt;&gt;1)),"work",(INDEX(Subject!$A:$I,MATCH(RANDBETWEEN(1,(MAX(Subject!$B:$B))),Subject!$B:$B,0),3))))</f>
        <v/>
      </c>
      <c r="F229" s="2" t="str">
        <f t="array" ref="F229">IF(NOW()&gt;AQ229,"",IF(AND((WEEKDAY($A229)+$B$2)&gt;1,((WEEKDAY($A229)+$T$2)&lt;7),(WEEKDAY($A229)&lt;&gt;1)),"work",(INDEX(Subject!$A:$I,MATCH(RANDBETWEEN(1,(MAX(Subject!$B:$B))),Subject!$B:$B,0),3))))</f>
        <v/>
      </c>
      <c r="G229" s="2" t="str">
        <f t="array" ref="G229">IF(NOW()&gt;AR229,"",IF(AND((WEEKDAY($A229)+$B$2)&gt;1,((WEEKDAY($A229)+$T$2)&lt;7),(WEEKDAY($A229)&lt;&gt;1)),"work",(INDEX(Subject!$A:$I,MATCH(RANDBETWEEN(1,(MAX(Subject!$B:$B))),Subject!$B:$B,0),3))))</f>
        <v/>
      </c>
      <c r="H229" s="2" t="str">
        <f t="array" ref="H229">IF(NOW()&gt;AS229,"",IF(AND((WEEKDAY($A229)+$B$2)&gt;1,((WEEKDAY($A229)+$T$2)&lt;7),(WEEKDAY($A229)&lt;&gt;1)),"work",(INDEX(Subject!$A:$I,MATCH(RANDBETWEEN(1,(MAX(Subject!$B:$B))),Subject!$B:$B,0),3))))</f>
        <v/>
      </c>
      <c r="I229" s="2" t="str">
        <f t="array" ref="I229">IF(NOW()&gt;AT229,"",IF(AND((WEEKDAY($A229)+$B$2)&gt;1,((WEEKDAY($A229)+$T$2)&lt;7),(WEEKDAY($A229)&lt;&gt;1)),"work",(INDEX(Subject!$A:$I,MATCH(RANDBETWEEN(1,(MAX(Subject!$B:$B))),Subject!$B:$B,0),3))))</f>
        <v/>
      </c>
      <c r="J229" s="2" t="str">
        <f t="array" ref="J229">IF(NOW()&gt;AU229,"",IF(AND((WEEKDAY($A229)+$B$2)&gt;1,((WEEKDAY($A229)+$T$2)&lt;7),(WEEKDAY($A229)&lt;&gt;1)),"work",(INDEX(Subject!$A:$I,MATCH(RANDBETWEEN(1,(MAX(Subject!$B:$B))),Subject!$B:$B,0),3))))</f>
        <v/>
      </c>
      <c r="K229" s="2" t="str">
        <f t="array" ref="K229">IF(NOW()&gt;AV229,"",IF(AND((WEEKDAY($A229)+$B$2)&gt;1,((WEEKDAY($A229)+$T$2)&lt;7),(WEEKDAY($A229)&lt;&gt;1)),"work",(INDEX(Subject!$A:$I,MATCH(RANDBETWEEN(1,(MAX(Subject!$B:$B))),Subject!$B:$B,0),3))))</f>
        <v/>
      </c>
      <c r="L229" s="2" t="str">
        <f t="array" ref="L229">IF(NOW()&gt;AW229,"",IF(AND((WEEKDAY($A229)+$B$2)&gt;1,((WEEKDAY($A229)+$T$2)&lt;7),(WEEKDAY($A229)&lt;&gt;1)),"work",(INDEX(Subject!$A:$I,MATCH(RANDBETWEEN(1,(MAX(Subject!$B:$B))),Subject!$B:$B,0),3))))</f>
        <v/>
      </c>
      <c r="M229" s="2" t="str">
        <f t="array" ref="M229">IF(NOW()&gt;AX229,"",IF(AND((WEEKDAY($A229)+$B$2)&gt;1,((WEEKDAY($A229)+$T$2)&lt;7),(WEEKDAY($A229)&lt;&gt;1)),"work",(INDEX(Subject!$A:$I,MATCH(RANDBETWEEN(1,(MAX(Subject!$B:$B))),Subject!$B:$B,0),3))))</f>
        <v/>
      </c>
      <c r="N229" s="2" t="str">
        <f t="array" ref="N229">IF(NOW()&gt;AY229,"",IF(AND((WEEKDAY($A229)+$B$2)&gt;1,((WEEKDAY($A229)+$T$2)&lt;7),(WEEKDAY($A229)&lt;&gt;1)),"work",(INDEX(Subject!$A:$I,MATCH(RANDBETWEEN(1,(MAX(Subject!$B:$B))),Subject!$B:$B,0),3))))</f>
        <v/>
      </c>
      <c r="O229" s="2" t="str">
        <f t="array" ref="O229">IF(NOW()&gt;AZ229,"",IF(AND((WEEKDAY($A229)+$B$2)&gt;1,((WEEKDAY($A229)+$T$2)&lt;7),(WEEKDAY($A229)&lt;&gt;1)),"work",(INDEX(Subject!$A:$I,MATCH(RANDBETWEEN(1,(MAX(Subject!$B:$B))),Subject!$B:$B,0),3))))</f>
        <v/>
      </c>
      <c r="P229" s="2" t="str">
        <f t="array" ref="P229">IF(NOW()&gt;BA229,"",IF(AND((WEEKDAY($A229)+$B$2)&gt;1,((WEEKDAY($A229)+$T$2)&lt;7),(WEEKDAY($A229)&lt;&gt;1)),"work",(INDEX(Subject!$A:$I,MATCH(RANDBETWEEN(1,(MAX(Subject!$B:$B))),Subject!$B:$B,0),3))))</f>
        <v/>
      </c>
      <c r="Q229" s="2" t="str">
        <f t="array" ref="Q229">IF(NOW()&gt;BB229,"",IF(AND((WEEKDAY($A229)+$B$2)&gt;1,((WEEKDAY($A229)+$T$2)&lt;7),(WEEKDAY($A229)&lt;&gt;1)),"work",(INDEX(Subject!$A:$I,MATCH(RANDBETWEEN(1,(MAX(Subject!$B:$B))),Subject!$B:$B,0),3))))</f>
        <v/>
      </c>
      <c r="R229" s="2" t="str">
        <f t="array" ref="R229">IF(NOW()&gt;BC229,"",IF(AND((WEEKDAY($A229)+$B$2)&gt;1,((WEEKDAY($A229)+$T$2)&lt;7),(WEEKDAY($A229)&lt;&gt;1)),"work",(INDEX(Subject!$A:$I,MATCH(RANDBETWEEN(1,(MAX(Subject!$B:$B))),Subject!$B:$B,0),3))))</f>
        <v/>
      </c>
      <c r="S229" s="2" t="str">
        <f t="array" ref="S229">IF(NOW()&gt;BD229,"",IF(AND((WEEKDAY($A229)+$B$2)&gt;1,((WEEKDAY($A229)+$T$2)&lt;7),(WEEKDAY($A229)&lt;&gt;1)),"work",(INDEX(Subject!$A:$I,MATCH(RANDBETWEEN(1,(MAX(Subject!$B:$B))),Subject!$B:$B,0),3))))</f>
        <v/>
      </c>
      <c r="T229" s="2" t="str">
        <f t="array" ref="T229">IF(NOW()&gt;BE229,"",IF(AND((WEEKDAY($A229)+$B$2)&gt;1,((WEEKDAY($A229)+$T$2)&lt;7),(WEEKDAY($A229)&lt;&gt;1)),"work",(INDEX(Subject!$A:$I,MATCH(RANDBETWEEN(1,(MAX(Subject!$B:$B))),Subject!$B:$B,0),3))))</f>
        <v/>
      </c>
      <c r="U229" s="8" t="str">
        <f t="array" ref="U229">INDEX(Subject!$A:$I,MATCH(RANDBETWEEN(1,16),Subject!$B:$B,0),3)</f>
        <v>#N/A</v>
      </c>
      <c r="V229" s="8" t="str">
        <f t="array" ref="V229">INDEX(Subject!$A:$I,MATCH(RANDBETWEEN(1,16),Subject!$B:$B,0),3)</f>
        <v>#N/A</v>
      </c>
      <c r="W229" s="8" t="str">
        <f t="array" ref="W229">INDEX(Subject!$A:$I,MATCH(RANDBETWEEN(1,16),Subject!$B:$B,0),3)</f>
        <v/>
      </c>
      <c r="X229" s="8" t="str">
        <f t="array" ref="X229">INDEX(Subject!$A:$I,MATCH(RANDBETWEEN(1,16),Subject!$B:$B,0),3)</f>
        <v>#N/A</v>
      </c>
      <c r="Y229" s="8" t="str">
        <f t="array" ref="Y229">INDEX(Subject!$A:$I,MATCH(RANDBETWEEN(1,16),Subject!$B:$B,0),3)</f>
        <v>#N/A</v>
      </c>
      <c r="Z229" s="8" t="str">
        <f t="array" ref="Z229">INDEX(Subject!$A:$I,MATCH(RANDBETWEEN(1,16),Subject!$B:$B,0),3)</f>
        <v>#N/A</v>
      </c>
      <c r="AA229" s="8" t="str">
        <f t="array" ref="AA229">INDEX(Subject!$A:$I,MATCH(RANDBETWEEN(1,16),Subject!$B:$B,0),3)</f>
        <v>#N/A</v>
      </c>
      <c r="AB229" s="8" t="str">
        <f t="array" ref="AB229">INDEX(Subject!$A:$I,MATCH(RANDBETWEEN(1,16),Subject!$B:$B,0),3)</f>
        <v>#N/A</v>
      </c>
      <c r="AC229" s="8" t="str">
        <f t="array" ref="AC229">INDEX(Subject!$A:$I,MATCH(RANDBETWEEN(1,16),Subject!$B:$B,0),3)</f>
        <v>#N/A</v>
      </c>
      <c r="AD229" s="8" t="str">
        <f t="array" ref="AD229">INDEX(Subject!$A:$I,MATCH(RANDBETWEEN(1,16),Subject!$B:$B,0),3)</f>
        <v>#N/A</v>
      </c>
      <c r="AE229" s="8" t="str">
        <f t="array" ref="AE229">INDEX(Subject!$A:$I,MATCH(RANDBETWEEN(1,16),Subject!$B:$B,0),3)</f>
        <v>#N/A</v>
      </c>
      <c r="AF229" s="8" t="str">
        <f t="array" ref="AF229">INDEX(Subject!$A:$I,MATCH(RANDBETWEEN(1,16),Subject!$B:$B,0),3)</f>
        <v>#N/A</v>
      </c>
      <c r="AG229" s="8" t="str">
        <f t="array" ref="AG229">INDEX(Subject!$A:$I,MATCH(RANDBETWEEN(1,16),Subject!$B:$B,0),3)</f>
        <v>#N/A</v>
      </c>
      <c r="AH229" s="8" t="str">
        <f t="array" ref="AH229">INDEX(Subject!$A:$I,MATCH(RANDBETWEEN(1,16),Subject!$B:$B,0),3)</f>
        <v/>
      </c>
      <c r="AI229" s="8" t="str">
        <f t="array" ref="AI229">INDEX(Subject!$A:$I,MATCH(RANDBETWEEN(1,16),Subject!$B:$B,0),3)</f>
        <v>#N/A</v>
      </c>
      <c r="AJ229" s="8" t="str">
        <f t="array" ref="AJ229">INDEX(Subject!$A:$I,MATCH(RANDBETWEEN(1,16),Subject!$B:$B,0),3)</f>
        <v>#N/A</v>
      </c>
      <c r="AK229" s="8" t="str">
        <f t="array" ref="AK229">INDEX(Subject!$A:$I,MATCH(RANDBETWEEN(1,16),Subject!$B:$B,0),3)</f>
        <v>#N/A</v>
      </c>
      <c r="AL229" s="8" t="str">
        <f t="array" ref="AL229">INDEX(Subject!$A:$I,MATCH(RANDBETWEEN(1,16),Subject!$B:$B,0),3)</f>
        <v>#N/A</v>
      </c>
      <c r="AM229" s="18">
        <f t="shared" si="4"/>
        <v>45729.33333</v>
      </c>
      <c r="AN229" s="19">
        <f t="shared" ref="AN229:BZ229" si="229">$A229+C$1</f>
        <v>45729.35417</v>
      </c>
      <c r="AO229" s="19">
        <f t="shared" si="229"/>
        <v>45729.375</v>
      </c>
      <c r="AP229" s="19">
        <f t="shared" si="229"/>
        <v>45729.39583</v>
      </c>
      <c r="AQ229" s="19">
        <f t="shared" si="229"/>
        <v>45729.41667</v>
      </c>
      <c r="AR229" s="19">
        <f t="shared" si="229"/>
        <v>45729.4375</v>
      </c>
      <c r="AS229" s="19">
        <f t="shared" si="229"/>
        <v>45729.45833</v>
      </c>
      <c r="AT229" s="19">
        <f t="shared" si="229"/>
        <v>45729.47917</v>
      </c>
      <c r="AU229" s="19">
        <f t="shared" si="229"/>
        <v>45729.5</v>
      </c>
      <c r="AV229" s="19">
        <f t="shared" si="229"/>
        <v>45729.52083</v>
      </c>
      <c r="AW229" s="19">
        <f t="shared" si="229"/>
        <v>45729.54167</v>
      </c>
      <c r="AX229" s="19">
        <f t="shared" si="229"/>
        <v>45729.5625</v>
      </c>
      <c r="AY229" s="19">
        <f t="shared" si="229"/>
        <v>45729.58333</v>
      </c>
      <c r="AZ229" s="19">
        <f t="shared" si="229"/>
        <v>45729.60417</v>
      </c>
      <c r="BA229" s="19">
        <f t="shared" si="229"/>
        <v>45729.625</v>
      </c>
      <c r="BB229" s="19">
        <f t="shared" si="229"/>
        <v>45729.64583</v>
      </c>
      <c r="BC229" s="19">
        <f t="shared" si="229"/>
        <v>45729.66667</v>
      </c>
      <c r="BD229" s="19">
        <f t="shared" si="229"/>
        <v>45729.6875</v>
      </c>
      <c r="BE229" s="19">
        <f t="shared" si="229"/>
        <v>45729.70833</v>
      </c>
      <c r="BF229" s="19">
        <f t="shared" si="229"/>
        <v>45729.72917</v>
      </c>
      <c r="BG229" s="19">
        <f t="shared" si="229"/>
        <v>45729.75</v>
      </c>
      <c r="BH229" s="19">
        <f t="shared" si="229"/>
        <v>45729.77083</v>
      </c>
      <c r="BI229" s="19">
        <f t="shared" si="229"/>
        <v>45729.79167</v>
      </c>
      <c r="BJ229" s="19">
        <f t="shared" si="229"/>
        <v>45729.8125</v>
      </c>
      <c r="BK229" s="19">
        <f t="shared" si="229"/>
        <v>45729.83333</v>
      </c>
      <c r="BL229" s="19">
        <f t="shared" si="229"/>
        <v>45729.85417</v>
      </c>
      <c r="BM229" s="19">
        <f t="shared" si="229"/>
        <v>45729.875</v>
      </c>
      <c r="BN229" s="19">
        <f t="shared" si="229"/>
        <v>45729.89583</v>
      </c>
      <c r="BO229" s="19">
        <f t="shared" si="229"/>
        <v>45729.91667</v>
      </c>
      <c r="BP229" s="19">
        <f t="shared" si="229"/>
        <v>45729.9375</v>
      </c>
      <c r="BQ229" s="19">
        <f t="shared" si="229"/>
        <v>45729.95833</v>
      </c>
      <c r="BR229" s="19">
        <f t="shared" si="229"/>
        <v>45729.97917</v>
      </c>
      <c r="BS229" s="19">
        <f t="shared" si="229"/>
        <v>45730</v>
      </c>
      <c r="BT229" s="19">
        <f t="shared" si="229"/>
        <v>45730.02083</v>
      </c>
      <c r="BU229" s="19">
        <f t="shared" si="229"/>
        <v>45730.04167</v>
      </c>
      <c r="BV229" s="19">
        <f t="shared" si="229"/>
        <v>45730.0625</v>
      </c>
      <c r="BW229" s="19">
        <f t="shared" si="229"/>
        <v>45730.08333</v>
      </c>
      <c r="BX229" s="19">
        <f t="shared" si="229"/>
        <v>45729</v>
      </c>
      <c r="BY229" s="19">
        <f t="shared" si="229"/>
        <v>45729</v>
      </c>
      <c r="BZ229" s="19">
        <f t="shared" si="229"/>
        <v>45729</v>
      </c>
    </row>
    <row r="230" ht="14.25" customHeight="1">
      <c r="A230" s="17">
        <v>45730.0</v>
      </c>
      <c r="B230" s="2" t="str">
        <f t="array" ref="B230">IF(NOW()&gt;AM230,"",IF(AND((WEEKDAY($A230)+$B$2)&gt;1,((WEEKDAY($A230)+$T$2)&lt;7),(WEEKDAY($A230)&lt;&gt;1)),"work",(INDEX(Subject!$A:$I,MATCH(RANDBETWEEN(1,(MAX(Subject!$B:$B))),Subject!$B:$B,0),3))))</f>
        <v/>
      </c>
      <c r="C230" s="2" t="str">
        <f t="array" ref="C230">IF(NOW()&gt;AN230,"",IF(AND((WEEKDAY($A230)+$B$2)&gt;1,((WEEKDAY($A230)+$T$2)&lt;7),(WEEKDAY($A230)&lt;&gt;1)),"work",(INDEX(Subject!$A:$I,MATCH(RANDBETWEEN(1,(MAX(Subject!$B:$B))),Subject!$B:$B,0),3))))</f>
        <v/>
      </c>
      <c r="D230" s="2" t="str">
        <f t="array" ref="D230">IF(NOW()&gt;AO230,"",IF(AND((WEEKDAY($A230)+$B$2)&gt;1,((WEEKDAY($A230)+$T$2)&lt;7),(WEEKDAY($A230)&lt;&gt;1)),"work",(INDEX(Subject!$A:$I,MATCH(RANDBETWEEN(1,(MAX(Subject!$B:$B))),Subject!$B:$B,0),3))))</f>
        <v/>
      </c>
      <c r="E230" s="2" t="str">
        <f t="array" ref="E230">IF(NOW()&gt;AP230,"",IF(AND((WEEKDAY($A230)+$B$2)&gt;1,((WEEKDAY($A230)+$T$2)&lt;7),(WEEKDAY($A230)&lt;&gt;1)),"work",(INDEX(Subject!$A:$I,MATCH(RANDBETWEEN(1,(MAX(Subject!$B:$B))),Subject!$B:$B,0),3))))</f>
        <v/>
      </c>
      <c r="F230" s="2" t="str">
        <f t="array" ref="F230">IF(NOW()&gt;AQ230,"",IF(AND((WEEKDAY($A230)+$B$2)&gt;1,((WEEKDAY($A230)+$T$2)&lt;7),(WEEKDAY($A230)&lt;&gt;1)),"work",(INDEX(Subject!$A:$I,MATCH(RANDBETWEEN(1,(MAX(Subject!$B:$B))),Subject!$B:$B,0),3))))</f>
        <v/>
      </c>
      <c r="G230" s="2" t="str">
        <f t="array" ref="G230">IF(NOW()&gt;AR230,"",IF(AND((WEEKDAY($A230)+$B$2)&gt;1,((WEEKDAY($A230)+$T$2)&lt;7),(WEEKDAY($A230)&lt;&gt;1)),"work",(INDEX(Subject!$A:$I,MATCH(RANDBETWEEN(1,(MAX(Subject!$B:$B))),Subject!$B:$B,0),3))))</f>
        <v/>
      </c>
      <c r="H230" s="2" t="str">
        <f t="array" ref="H230">IF(NOW()&gt;AS230,"",IF(AND((WEEKDAY($A230)+$B$2)&gt;1,((WEEKDAY($A230)+$T$2)&lt;7),(WEEKDAY($A230)&lt;&gt;1)),"work",(INDEX(Subject!$A:$I,MATCH(RANDBETWEEN(1,(MAX(Subject!$B:$B))),Subject!$B:$B,0),3))))</f>
        <v/>
      </c>
      <c r="I230" s="2" t="str">
        <f t="array" ref="I230">IF(NOW()&gt;AT230,"",IF(AND((WEEKDAY($A230)+$B$2)&gt;1,((WEEKDAY($A230)+$T$2)&lt;7),(WEEKDAY($A230)&lt;&gt;1)),"work",(INDEX(Subject!$A:$I,MATCH(RANDBETWEEN(1,(MAX(Subject!$B:$B))),Subject!$B:$B,0),3))))</f>
        <v/>
      </c>
      <c r="J230" s="2" t="str">
        <f t="array" ref="J230">IF(NOW()&gt;AU230,"",IF(AND((WEEKDAY($A230)+$B$2)&gt;1,((WEEKDAY($A230)+$T$2)&lt;7),(WEEKDAY($A230)&lt;&gt;1)),"work",(INDEX(Subject!$A:$I,MATCH(RANDBETWEEN(1,(MAX(Subject!$B:$B))),Subject!$B:$B,0),3))))</f>
        <v/>
      </c>
      <c r="K230" s="2" t="str">
        <f t="array" ref="K230">IF(NOW()&gt;AV230,"",IF(AND((WEEKDAY($A230)+$B$2)&gt;1,((WEEKDAY($A230)+$T$2)&lt;7),(WEEKDAY($A230)&lt;&gt;1)),"work",(INDEX(Subject!$A:$I,MATCH(RANDBETWEEN(1,(MAX(Subject!$B:$B))),Subject!$B:$B,0),3))))</f>
        <v/>
      </c>
      <c r="L230" s="2" t="str">
        <f t="array" ref="L230">IF(NOW()&gt;AW230,"",IF(AND((WEEKDAY($A230)+$B$2)&gt;1,((WEEKDAY($A230)+$T$2)&lt;7),(WEEKDAY($A230)&lt;&gt;1)),"work",(INDEX(Subject!$A:$I,MATCH(RANDBETWEEN(1,(MAX(Subject!$B:$B))),Subject!$B:$B,0),3))))</f>
        <v/>
      </c>
      <c r="M230" s="2" t="str">
        <f t="array" ref="M230">IF(NOW()&gt;AX230,"",IF(AND((WEEKDAY($A230)+$B$2)&gt;1,((WEEKDAY($A230)+$T$2)&lt;7),(WEEKDAY($A230)&lt;&gt;1)),"work",(INDEX(Subject!$A:$I,MATCH(RANDBETWEEN(1,(MAX(Subject!$B:$B))),Subject!$B:$B,0),3))))</f>
        <v/>
      </c>
      <c r="N230" s="2" t="str">
        <f t="array" ref="N230">IF(NOW()&gt;AY230,"",IF(AND((WEEKDAY($A230)+$B$2)&gt;1,((WEEKDAY($A230)+$T$2)&lt;7),(WEEKDAY($A230)&lt;&gt;1)),"work",(INDEX(Subject!$A:$I,MATCH(RANDBETWEEN(1,(MAX(Subject!$B:$B))),Subject!$B:$B,0),3))))</f>
        <v/>
      </c>
      <c r="O230" s="2" t="str">
        <f t="array" ref="O230">IF(NOW()&gt;AZ230,"",IF(AND((WEEKDAY($A230)+$B$2)&gt;1,((WEEKDAY($A230)+$T$2)&lt;7),(WEEKDAY($A230)&lt;&gt;1)),"work",(INDEX(Subject!$A:$I,MATCH(RANDBETWEEN(1,(MAX(Subject!$B:$B))),Subject!$B:$B,0),3))))</f>
        <v/>
      </c>
      <c r="P230" s="2" t="str">
        <f t="array" ref="P230">IF(NOW()&gt;BA230,"",IF(AND((WEEKDAY($A230)+$B$2)&gt;1,((WEEKDAY($A230)+$T$2)&lt;7),(WEEKDAY($A230)&lt;&gt;1)),"work",(INDEX(Subject!$A:$I,MATCH(RANDBETWEEN(1,(MAX(Subject!$B:$B))),Subject!$B:$B,0),3))))</f>
        <v/>
      </c>
      <c r="Q230" s="2" t="str">
        <f t="array" ref="Q230">IF(NOW()&gt;BB230,"",IF(AND((WEEKDAY($A230)+$B$2)&gt;1,((WEEKDAY($A230)+$T$2)&lt;7),(WEEKDAY($A230)&lt;&gt;1)),"work",(INDEX(Subject!$A:$I,MATCH(RANDBETWEEN(1,(MAX(Subject!$B:$B))),Subject!$B:$B,0),3))))</f>
        <v/>
      </c>
      <c r="R230" s="2" t="str">
        <f t="array" ref="R230">IF(NOW()&gt;BC230,"",IF(AND((WEEKDAY($A230)+$B$2)&gt;1,((WEEKDAY($A230)+$T$2)&lt;7),(WEEKDAY($A230)&lt;&gt;1)),"work",(INDEX(Subject!$A:$I,MATCH(RANDBETWEEN(1,(MAX(Subject!$B:$B))),Subject!$B:$B,0),3))))</f>
        <v/>
      </c>
      <c r="S230" s="2" t="str">
        <f t="array" ref="S230">IF(NOW()&gt;BD230,"",IF(AND((WEEKDAY($A230)+$B$2)&gt;1,((WEEKDAY($A230)+$T$2)&lt;7),(WEEKDAY($A230)&lt;&gt;1)),"work",(INDEX(Subject!$A:$I,MATCH(RANDBETWEEN(1,(MAX(Subject!$B:$B))),Subject!$B:$B,0),3))))</f>
        <v/>
      </c>
      <c r="T230" s="2" t="str">
        <f t="array" ref="T230">IF(NOW()&gt;BE230,"",IF(AND((WEEKDAY($A230)+$B$2)&gt;1,((WEEKDAY($A230)+$T$2)&lt;7),(WEEKDAY($A230)&lt;&gt;1)),"work",(INDEX(Subject!$A:$I,MATCH(RANDBETWEEN(1,(MAX(Subject!$B:$B))),Subject!$B:$B,0),3))))</f>
        <v/>
      </c>
      <c r="U230" s="8" t="str">
        <f t="array" ref="U230">INDEX(Subject!$A:$I,MATCH(RANDBETWEEN(1,16),Subject!$B:$B,0),3)</f>
        <v/>
      </c>
      <c r="V230" s="8" t="str">
        <f t="array" ref="V230">INDEX(Subject!$A:$I,MATCH(RANDBETWEEN(1,16),Subject!$B:$B,0),3)</f>
        <v>#N/A</v>
      </c>
      <c r="W230" s="8" t="str">
        <f t="array" ref="W230">INDEX(Subject!$A:$I,MATCH(RANDBETWEEN(1,16),Subject!$B:$B,0),3)</f>
        <v>#N/A</v>
      </c>
      <c r="X230" s="8" t="str">
        <f t="array" ref="X230">INDEX(Subject!$A:$I,MATCH(RANDBETWEEN(1,16),Subject!$B:$B,0),3)</f>
        <v/>
      </c>
      <c r="Y230" s="8" t="str">
        <f t="array" ref="Y230">INDEX(Subject!$A:$I,MATCH(RANDBETWEEN(1,16),Subject!$B:$B,0),3)</f>
        <v>#N/A</v>
      </c>
      <c r="Z230" s="8" t="str">
        <f t="array" ref="Z230">INDEX(Subject!$A:$I,MATCH(RANDBETWEEN(1,16),Subject!$B:$B,0),3)</f>
        <v>#N/A</v>
      </c>
      <c r="AA230" s="8" t="str">
        <f t="array" ref="AA230">INDEX(Subject!$A:$I,MATCH(RANDBETWEEN(1,16),Subject!$B:$B,0),3)</f>
        <v>#N/A</v>
      </c>
      <c r="AB230" s="8" t="str">
        <f t="array" ref="AB230">INDEX(Subject!$A:$I,MATCH(RANDBETWEEN(1,16),Subject!$B:$B,0),3)</f>
        <v>#N/A</v>
      </c>
      <c r="AC230" s="8" t="str">
        <f t="array" ref="AC230">INDEX(Subject!$A:$I,MATCH(RANDBETWEEN(1,16),Subject!$B:$B,0),3)</f>
        <v>#N/A</v>
      </c>
      <c r="AD230" s="8" t="str">
        <f t="array" ref="AD230">INDEX(Subject!$A:$I,MATCH(RANDBETWEEN(1,16),Subject!$B:$B,0),3)</f>
        <v/>
      </c>
      <c r="AE230" s="8" t="str">
        <f t="array" ref="AE230">INDEX(Subject!$A:$I,MATCH(RANDBETWEEN(1,16),Subject!$B:$B,0),3)</f>
        <v>#N/A</v>
      </c>
      <c r="AF230" s="8" t="str">
        <f t="array" ref="AF230">INDEX(Subject!$A:$I,MATCH(RANDBETWEEN(1,16),Subject!$B:$B,0),3)</f>
        <v>#N/A</v>
      </c>
      <c r="AG230" s="8" t="str">
        <f t="array" ref="AG230">INDEX(Subject!$A:$I,MATCH(RANDBETWEEN(1,16),Subject!$B:$B,0),3)</f>
        <v>#N/A</v>
      </c>
      <c r="AH230" s="8" t="str">
        <f t="array" ref="AH230">INDEX(Subject!$A:$I,MATCH(RANDBETWEEN(1,16),Subject!$B:$B,0),3)</f>
        <v>#N/A</v>
      </c>
      <c r="AI230" s="8" t="str">
        <f t="array" ref="AI230">INDEX(Subject!$A:$I,MATCH(RANDBETWEEN(1,16),Subject!$B:$B,0),3)</f>
        <v>#N/A</v>
      </c>
      <c r="AJ230" s="8" t="str">
        <f t="array" ref="AJ230">INDEX(Subject!$A:$I,MATCH(RANDBETWEEN(1,16),Subject!$B:$B,0),3)</f>
        <v>#N/A</v>
      </c>
      <c r="AK230" s="8" t="str">
        <f t="array" ref="AK230">INDEX(Subject!$A:$I,MATCH(RANDBETWEEN(1,16),Subject!$B:$B,0),3)</f>
        <v>#N/A</v>
      </c>
      <c r="AL230" s="8" t="str">
        <f t="array" ref="AL230">INDEX(Subject!$A:$I,MATCH(RANDBETWEEN(1,16),Subject!$B:$B,0),3)</f>
        <v>#N/A</v>
      </c>
      <c r="AM230" s="18">
        <f t="shared" si="4"/>
        <v>45730.33333</v>
      </c>
      <c r="AN230" s="19">
        <f t="shared" ref="AN230:BZ230" si="230">$A230+C$1</f>
        <v>45730.35417</v>
      </c>
      <c r="AO230" s="19">
        <f t="shared" si="230"/>
        <v>45730.375</v>
      </c>
      <c r="AP230" s="19">
        <f t="shared" si="230"/>
        <v>45730.39583</v>
      </c>
      <c r="AQ230" s="19">
        <f t="shared" si="230"/>
        <v>45730.41667</v>
      </c>
      <c r="AR230" s="19">
        <f t="shared" si="230"/>
        <v>45730.4375</v>
      </c>
      <c r="AS230" s="19">
        <f t="shared" si="230"/>
        <v>45730.45833</v>
      </c>
      <c r="AT230" s="19">
        <f t="shared" si="230"/>
        <v>45730.47917</v>
      </c>
      <c r="AU230" s="19">
        <f t="shared" si="230"/>
        <v>45730.5</v>
      </c>
      <c r="AV230" s="19">
        <f t="shared" si="230"/>
        <v>45730.52083</v>
      </c>
      <c r="AW230" s="19">
        <f t="shared" si="230"/>
        <v>45730.54167</v>
      </c>
      <c r="AX230" s="19">
        <f t="shared" si="230"/>
        <v>45730.5625</v>
      </c>
      <c r="AY230" s="19">
        <f t="shared" si="230"/>
        <v>45730.58333</v>
      </c>
      <c r="AZ230" s="19">
        <f t="shared" si="230"/>
        <v>45730.60417</v>
      </c>
      <c r="BA230" s="19">
        <f t="shared" si="230"/>
        <v>45730.625</v>
      </c>
      <c r="BB230" s="19">
        <f t="shared" si="230"/>
        <v>45730.64583</v>
      </c>
      <c r="BC230" s="19">
        <f t="shared" si="230"/>
        <v>45730.66667</v>
      </c>
      <c r="BD230" s="19">
        <f t="shared" si="230"/>
        <v>45730.6875</v>
      </c>
      <c r="BE230" s="19">
        <f t="shared" si="230"/>
        <v>45730.70833</v>
      </c>
      <c r="BF230" s="19">
        <f t="shared" si="230"/>
        <v>45730.72917</v>
      </c>
      <c r="BG230" s="19">
        <f t="shared" si="230"/>
        <v>45730.75</v>
      </c>
      <c r="BH230" s="19">
        <f t="shared" si="230"/>
        <v>45730.77083</v>
      </c>
      <c r="BI230" s="19">
        <f t="shared" si="230"/>
        <v>45730.79167</v>
      </c>
      <c r="BJ230" s="19">
        <f t="shared" si="230"/>
        <v>45730.8125</v>
      </c>
      <c r="BK230" s="19">
        <f t="shared" si="230"/>
        <v>45730.83333</v>
      </c>
      <c r="BL230" s="19">
        <f t="shared" si="230"/>
        <v>45730.85417</v>
      </c>
      <c r="BM230" s="19">
        <f t="shared" si="230"/>
        <v>45730.875</v>
      </c>
      <c r="BN230" s="19">
        <f t="shared" si="230"/>
        <v>45730.89583</v>
      </c>
      <c r="BO230" s="19">
        <f t="shared" si="230"/>
        <v>45730.91667</v>
      </c>
      <c r="BP230" s="19">
        <f t="shared" si="230"/>
        <v>45730.9375</v>
      </c>
      <c r="BQ230" s="19">
        <f t="shared" si="230"/>
        <v>45730.95833</v>
      </c>
      <c r="BR230" s="19">
        <f t="shared" si="230"/>
        <v>45730.97917</v>
      </c>
      <c r="BS230" s="19">
        <f t="shared" si="230"/>
        <v>45731</v>
      </c>
      <c r="BT230" s="19">
        <f t="shared" si="230"/>
        <v>45731.02083</v>
      </c>
      <c r="BU230" s="19">
        <f t="shared" si="230"/>
        <v>45731.04167</v>
      </c>
      <c r="BV230" s="19">
        <f t="shared" si="230"/>
        <v>45731.0625</v>
      </c>
      <c r="BW230" s="19">
        <f t="shared" si="230"/>
        <v>45731.08333</v>
      </c>
      <c r="BX230" s="19">
        <f t="shared" si="230"/>
        <v>45730</v>
      </c>
      <c r="BY230" s="19">
        <f t="shared" si="230"/>
        <v>45730</v>
      </c>
      <c r="BZ230" s="19">
        <f t="shared" si="230"/>
        <v>45730</v>
      </c>
    </row>
    <row r="231" ht="14.25" customHeight="1">
      <c r="A231" s="17">
        <v>45731.0</v>
      </c>
      <c r="B231" s="2" t="str">
        <f t="array" ref="B231">IF(NOW()&gt;AM231,"",IF(AND((WEEKDAY($A231)+$B$2)&gt;1,((WEEKDAY($A231)+$T$2)&lt;7),(WEEKDAY($A231)&lt;&gt;1)),"work",(INDEX(Subject!$A:$I,MATCH(RANDBETWEEN(1,(MAX(Subject!$B:$B))),Subject!$B:$B,0),3))))</f>
        <v/>
      </c>
      <c r="C231" s="2" t="str">
        <f t="array" ref="C231">IF(NOW()&gt;AN231,"",IF(AND((WEEKDAY($A231)+$B$2)&gt;1,((WEEKDAY($A231)+$T$2)&lt;7),(WEEKDAY($A231)&lt;&gt;1)),"work",(INDEX(Subject!$A:$I,MATCH(RANDBETWEEN(1,(MAX(Subject!$B:$B))),Subject!$B:$B,0),3))))</f>
        <v/>
      </c>
      <c r="D231" s="2" t="str">
        <f t="array" ref="D231">IF(NOW()&gt;AO231,"",IF(AND((WEEKDAY($A231)+$B$2)&gt;1,((WEEKDAY($A231)+$T$2)&lt;7),(WEEKDAY($A231)&lt;&gt;1)),"work",(INDEX(Subject!$A:$I,MATCH(RANDBETWEEN(1,(MAX(Subject!$B:$B))),Subject!$B:$B,0),3))))</f>
        <v/>
      </c>
      <c r="E231" s="2" t="str">
        <f t="array" ref="E231">IF(NOW()&gt;AP231,"",IF(AND((WEEKDAY($A231)+$B$2)&gt;1,((WEEKDAY($A231)+$T$2)&lt;7),(WEEKDAY($A231)&lt;&gt;1)),"work",(INDEX(Subject!$A:$I,MATCH(RANDBETWEEN(1,(MAX(Subject!$B:$B))),Subject!$B:$B,0),3))))</f>
        <v/>
      </c>
      <c r="F231" s="2" t="str">
        <f t="array" ref="F231">IF(NOW()&gt;AQ231,"",IF(AND((WEEKDAY($A231)+$B$2)&gt;1,((WEEKDAY($A231)+$T$2)&lt;7),(WEEKDAY($A231)&lt;&gt;1)),"work",(INDEX(Subject!$A:$I,MATCH(RANDBETWEEN(1,(MAX(Subject!$B:$B))),Subject!$B:$B,0),3))))</f>
        <v/>
      </c>
      <c r="G231" s="2" t="str">
        <f t="array" ref="G231">IF(NOW()&gt;AR231,"",IF(AND((WEEKDAY($A231)+$B$2)&gt;1,((WEEKDAY($A231)+$T$2)&lt;7),(WEEKDAY($A231)&lt;&gt;1)),"work",(INDEX(Subject!$A:$I,MATCH(RANDBETWEEN(1,(MAX(Subject!$B:$B))),Subject!$B:$B,0),3))))</f>
        <v/>
      </c>
      <c r="H231" s="2" t="str">
        <f t="array" ref="H231">IF(NOW()&gt;AS231,"",IF(AND((WEEKDAY($A231)+$B$2)&gt;1,((WEEKDAY($A231)+$T$2)&lt;7),(WEEKDAY($A231)&lt;&gt;1)),"work",(INDEX(Subject!$A:$I,MATCH(RANDBETWEEN(1,(MAX(Subject!$B:$B))),Subject!$B:$B,0),3))))</f>
        <v/>
      </c>
      <c r="I231" s="2" t="str">
        <f t="array" ref="I231">IF(NOW()&gt;AT231,"",IF(AND((WEEKDAY($A231)+$B$2)&gt;1,((WEEKDAY($A231)+$T$2)&lt;7),(WEEKDAY($A231)&lt;&gt;1)),"work",(INDEX(Subject!$A:$I,MATCH(RANDBETWEEN(1,(MAX(Subject!$B:$B))),Subject!$B:$B,0),3))))</f>
        <v/>
      </c>
      <c r="J231" s="2" t="str">
        <f t="array" ref="J231">IF(NOW()&gt;AU231,"",IF(AND((WEEKDAY($A231)+$B$2)&gt;1,((WEEKDAY($A231)+$T$2)&lt;7),(WEEKDAY($A231)&lt;&gt;1)),"work",(INDEX(Subject!$A:$I,MATCH(RANDBETWEEN(1,(MAX(Subject!$B:$B))),Subject!$B:$B,0),3))))</f>
        <v/>
      </c>
      <c r="K231" s="2" t="str">
        <f t="array" ref="K231">IF(NOW()&gt;AV231,"",IF(AND((WEEKDAY($A231)+$B$2)&gt;1,((WEEKDAY($A231)+$T$2)&lt;7),(WEEKDAY($A231)&lt;&gt;1)),"work",(INDEX(Subject!$A:$I,MATCH(RANDBETWEEN(1,(MAX(Subject!$B:$B))),Subject!$B:$B,0),3))))</f>
        <v/>
      </c>
      <c r="L231" s="2" t="str">
        <f t="array" ref="L231">IF(NOW()&gt;AW231,"",IF(AND((WEEKDAY($A231)+$B$2)&gt;1,((WEEKDAY($A231)+$T$2)&lt;7),(WEEKDAY($A231)&lt;&gt;1)),"work",(INDEX(Subject!$A:$I,MATCH(RANDBETWEEN(1,(MAX(Subject!$B:$B))),Subject!$B:$B,0),3))))</f>
        <v/>
      </c>
      <c r="M231" s="2" t="str">
        <f t="array" ref="M231">IF(NOW()&gt;AX231,"",IF(AND((WEEKDAY($A231)+$B$2)&gt;1,((WEEKDAY($A231)+$T$2)&lt;7),(WEEKDAY($A231)&lt;&gt;1)),"work",(INDEX(Subject!$A:$I,MATCH(RANDBETWEEN(1,(MAX(Subject!$B:$B))),Subject!$B:$B,0),3))))</f>
        <v/>
      </c>
      <c r="N231" s="2" t="str">
        <f t="array" ref="N231">IF(NOW()&gt;AY231,"",IF(AND((WEEKDAY($A231)+$B$2)&gt;1,((WEEKDAY($A231)+$T$2)&lt;7),(WEEKDAY($A231)&lt;&gt;1)),"work",(INDEX(Subject!$A:$I,MATCH(RANDBETWEEN(1,(MAX(Subject!$B:$B))),Subject!$B:$B,0),3))))</f>
        <v/>
      </c>
      <c r="O231" s="2" t="str">
        <f t="array" ref="O231">IF(NOW()&gt;AZ231,"",IF(AND((WEEKDAY($A231)+$B$2)&gt;1,((WEEKDAY($A231)+$T$2)&lt;7),(WEEKDAY($A231)&lt;&gt;1)),"work",(INDEX(Subject!$A:$I,MATCH(RANDBETWEEN(1,(MAX(Subject!$B:$B))),Subject!$B:$B,0),3))))</f>
        <v/>
      </c>
      <c r="P231" s="2" t="str">
        <f t="array" ref="P231">IF(NOW()&gt;BA231,"",IF(AND((WEEKDAY($A231)+$B$2)&gt;1,((WEEKDAY($A231)+$T$2)&lt;7),(WEEKDAY($A231)&lt;&gt;1)),"work",(INDEX(Subject!$A:$I,MATCH(RANDBETWEEN(1,(MAX(Subject!$B:$B))),Subject!$B:$B,0),3))))</f>
        <v/>
      </c>
      <c r="Q231" s="2" t="str">
        <f t="array" ref="Q231">IF(NOW()&gt;BB231,"",IF(AND((WEEKDAY($A231)+$B$2)&gt;1,((WEEKDAY($A231)+$T$2)&lt;7),(WEEKDAY($A231)&lt;&gt;1)),"work",(INDEX(Subject!$A:$I,MATCH(RANDBETWEEN(1,(MAX(Subject!$B:$B))),Subject!$B:$B,0),3))))</f>
        <v/>
      </c>
      <c r="R231" s="2" t="str">
        <f t="array" ref="R231">IF(NOW()&gt;BC231,"",IF(AND((WEEKDAY($A231)+$B$2)&gt;1,((WEEKDAY($A231)+$T$2)&lt;7),(WEEKDAY($A231)&lt;&gt;1)),"work",(INDEX(Subject!$A:$I,MATCH(RANDBETWEEN(1,(MAX(Subject!$B:$B))),Subject!$B:$B,0),3))))</f>
        <v/>
      </c>
      <c r="S231" s="2" t="str">
        <f t="array" ref="S231">IF(NOW()&gt;BD231,"",IF(AND((WEEKDAY($A231)+$B$2)&gt;1,((WEEKDAY($A231)+$T$2)&lt;7),(WEEKDAY($A231)&lt;&gt;1)),"work",(INDEX(Subject!$A:$I,MATCH(RANDBETWEEN(1,(MAX(Subject!$B:$B))),Subject!$B:$B,0),3))))</f>
        <v/>
      </c>
      <c r="T231" s="2" t="str">
        <f t="array" ref="T231">IF(NOW()&gt;BE231,"",IF(AND((WEEKDAY($A231)+$B$2)&gt;1,((WEEKDAY($A231)+$T$2)&lt;7),(WEEKDAY($A231)&lt;&gt;1)),"work",(INDEX(Subject!$A:$I,MATCH(RANDBETWEEN(1,(MAX(Subject!$B:$B))),Subject!$B:$B,0),3))))</f>
        <v/>
      </c>
      <c r="U231" s="8" t="str">
        <f t="array" ref="U231">INDEX(Subject!$A:$I,MATCH(RANDBETWEEN(1,16),Subject!$B:$B,0),3)</f>
        <v>#N/A</v>
      </c>
      <c r="V231" s="8" t="str">
        <f t="array" ref="V231">INDEX(Subject!$A:$I,MATCH(RANDBETWEEN(1,16),Subject!$B:$B,0),3)</f>
        <v/>
      </c>
      <c r="W231" s="8" t="str">
        <f t="array" ref="W231">INDEX(Subject!$A:$I,MATCH(RANDBETWEEN(1,16),Subject!$B:$B,0),3)</f>
        <v>#N/A</v>
      </c>
      <c r="X231" s="8" t="str">
        <f t="array" ref="X231">INDEX(Subject!$A:$I,MATCH(RANDBETWEEN(1,16),Subject!$B:$B,0),3)</f>
        <v>#N/A</v>
      </c>
      <c r="Y231" s="8" t="str">
        <f t="array" ref="Y231">INDEX(Subject!$A:$I,MATCH(RANDBETWEEN(1,16),Subject!$B:$B,0),3)</f>
        <v>#N/A</v>
      </c>
      <c r="Z231" s="8" t="str">
        <f t="array" ref="Z231">INDEX(Subject!$A:$I,MATCH(RANDBETWEEN(1,16),Subject!$B:$B,0),3)</f>
        <v>#N/A</v>
      </c>
      <c r="AA231" s="8" t="str">
        <f t="array" ref="AA231">INDEX(Subject!$A:$I,MATCH(RANDBETWEEN(1,16),Subject!$B:$B,0),3)</f>
        <v>#N/A</v>
      </c>
      <c r="AB231" s="8" t="str">
        <f t="array" ref="AB231">INDEX(Subject!$A:$I,MATCH(RANDBETWEEN(1,16),Subject!$B:$B,0),3)</f>
        <v>#N/A</v>
      </c>
      <c r="AC231" s="8" t="str">
        <f t="array" ref="AC231">INDEX(Subject!$A:$I,MATCH(RANDBETWEEN(1,16),Subject!$B:$B,0),3)</f>
        <v>#N/A</v>
      </c>
      <c r="AD231" s="8" t="str">
        <f t="array" ref="AD231">INDEX(Subject!$A:$I,MATCH(RANDBETWEEN(1,16),Subject!$B:$B,0),3)</f>
        <v>#N/A</v>
      </c>
      <c r="AE231" s="8" t="str">
        <f t="array" ref="AE231">INDEX(Subject!$A:$I,MATCH(RANDBETWEEN(1,16),Subject!$B:$B,0),3)</f>
        <v>#N/A</v>
      </c>
      <c r="AF231" s="8" t="str">
        <f t="array" ref="AF231">INDEX(Subject!$A:$I,MATCH(RANDBETWEEN(1,16),Subject!$B:$B,0),3)</f>
        <v/>
      </c>
      <c r="AG231" s="8" t="str">
        <f t="array" ref="AG231">INDEX(Subject!$A:$I,MATCH(RANDBETWEEN(1,16),Subject!$B:$B,0),3)</f>
        <v>#N/A</v>
      </c>
      <c r="AH231" s="8" t="str">
        <f t="array" ref="AH231">INDEX(Subject!$A:$I,MATCH(RANDBETWEEN(1,16),Subject!$B:$B,0),3)</f>
        <v>#N/A</v>
      </c>
      <c r="AI231" s="8" t="str">
        <f t="array" ref="AI231">INDEX(Subject!$A:$I,MATCH(RANDBETWEEN(1,16),Subject!$B:$B,0),3)</f>
        <v>#N/A</v>
      </c>
      <c r="AJ231" s="8" t="str">
        <f t="array" ref="AJ231">INDEX(Subject!$A:$I,MATCH(RANDBETWEEN(1,16),Subject!$B:$B,0),3)</f>
        <v>#N/A</v>
      </c>
      <c r="AK231" s="8" t="str">
        <f t="array" ref="AK231">INDEX(Subject!$A:$I,MATCH(RANDBETWEEN(1,16),Subject!$B:$B,0),3)</f>
        <v>#N/A</v>
      </c>
      <c r="AL231" s="8" t="str">
        <f t="array" ref="AL231">INDEX(Subject!$A:$I,MATCH(RANDBETWEEN(1,16),Subject!$B:$B,0),3)</f>
        <v>#N/A</v>
      </c>
      <c r="AM231" s="18">
        <f t="shared" si="4"/>
        <v>45731.33333</v>
      </c>
      <c r="AN231" s="19">
        <f t="shared" ref="AN231:BZ231" si="231">$A231+C$1</f>
        <v>45731.35417</v>
      </c>
      <c r="AO231" s="19">
        <f t="shared" si="231"/>
        <v>45731.375</v>
      </c>
      <c r="AP231" s="19">
        <f t="shared" si="231"/>
        <v>45731.39583</v>
      </c>
      <c r="AQ231" s="19">
        <f t="shared" si="231"/>
        <v>45731.41667</v>
      </c>
      <c r="AR231" s="19">
        <f t="shared" si="231"/>
        <v>45731.4375</v>
      </c>
      <c r="AS231" s="19">
        <f t="shared" si="231"/>
        <v>45731.45833</v>
      </c>
      <c r="AT231" s="19">
        <f t="shared" si="231"/>
        <v>45731.47917</v>
      </c>
      <c r="AU231" s="19">
        <f t="shared" si="231"/>
        <v>45731.5</v>
      </c>
      <c r="AV231" s="19">
        <f t="shared" si="231"/>
        <v>45731.52083</v>
      </c>
      <c r="AW231" s="19">
        <f t="shared" si="231"/>
        <v>45731.54167</v>
      </c>
      <c r="AX231" s="19">
        <f t="shared" si="231"/>
        <v>45731.5625</v>
      </c>
      <c r="AY231" s="19">
        <f t="shared" si="231"/>
        <v>45731.58333</v>
      </c>
      <c r="AZ231" s="19">
        <f t="shared" si="231"/>
        <v>45731.60417</v>
      </c>
      <c r="BA231" s="19">
        <f t="shared" si="231"/>
        <v>45731.625</v>
      </c>
      <c r="BB231" s="19">
        <f t="shared" si="231"/>
        <v>45731.64583</v>
      </c>
      <c r="BC231" s="19">
        <f t="shared" si="231"/>
        <v>45731.66667</v>
      </c>
      <c r="BD231" s="19">
        <f t="shared" si="231"/>
        <v>45731.6875</v>
      </c>
      <c r="BE231" s="19">
        <f t="shared" si="231"/>
        <v>45731.70833</v>
      </c>
      <c r="BF231" s="19">
        <f t="shared" si="231"/>
        <v>45731.72917</v>
      </c>
      <c r="BG231" s="19">
        <f t="shared" si="231"/>
        <v>45731.75</v>
      </c>
      <c r="BH231" s="19">
        <f t="shared" si="231"/>
        <v>45731.77083</v>
      </c>
      <c r="BI231" s="19">
        <f t="shared" si="231"/>
        <v>45731.79167</v>
      </c>
      <c r="BJ231" s="19">
        <f t="shared" si="231"/>
        <v>45731.8125</v>
      </c>
      <c r="BK231" s="19">
        <f t="shared" si="231"/>
        <v>45731.83333</v>
      </c>
      <c r="BL231" s="19">
        <f t="shared" si="231"/>
        <v>45731.85417</v>
      </c>
      <c r="BM231" s="19">
        <f t="shared" si="231"/>
        <v>45731.875</v>
      </c>
      <c r="BN231" s="19">
        <f t="shared" si="231"/>
        <v>45731.89583</v>
      </c>
      <c r="BO231" s="19">
        <f t="shared" si="231"/>
        <v>45731.91667</v>
      </c>
      <c r="BP231" s="19">
        <f t="shared" si="231"/>
        <v>45731.9375</v>
      </c>
      <c r="BQ231" s="19">
        <f t="shared" si="231"/>
        <v>45731.95833</v>
      </c>
      <c r="BR231" s="19">
        <f t="shared" si="231"/>
        <v>45731.97917</v>
      </c>
      <c r="BS231" s="19">
        <f t="shared" si="231"/>
        <v>45732</v>
      </c>
      <c r="BT231" s="19">
        <f t="shared" si="231"/>
        <v>45732.02083</v>
      </c>
      <c r="BU231" s="19">
        <f t="shared" si="231"/>
        <v>45732.04167</v>
      </c>
      <c r="BV231" s="19">
        <f t="shared" si="231"/>
        <v>45732.0625</v>
      </c>
      <c r="BW231" s="19">
        <f t="shared" si="231"/>
        <v>45732.08333</v>
      </c>
      <c r="BX231" s="19">
        <f t="shared" si="231"/>
        <v>45731</v>
      </c>
      <c r="BY231" s="19">
        <f t="shared" si="231"/>
        <v>45731</v>
      </c>
      <c r="BZ231" s="19">
        <f t="shared" si="231"/>
        <v>45731</v>
      </c>
    </row>
    <row r="232" ht="14.25" customHeight="1">
      <c r="A232" s="17">
        <v>45732.0</v>
      </c>
      <c r="B232" s="2" t="str">
        <f t="array" ref="B232">IF(NOW()&gt;AM232,"",IF(AND((WEEKDAY($A232)+$B$2)&gt;1,((WEEKDAY($A232)+$T$2)&lt;7),(WEEKDAY($A232)&lt;&gt;1)),"work",(INDEX(Subject!$A:$I,MATCH(RANDBETWEEN(1,(MAX(Subject!$B:$B))),Subject!$B:$B,0),3))))</f>
        <v/>
      </c>
      <c r="C232" s="2" t="str">
        <f t="array" ref="C232">IF(NOW()&gt;AN232,"",IF(AND((WEEKDAY($A232)+$B$2)&gt;1,((WEEKDAY($A232)+$T$2)&lt;7),(WEEKDAY($A232)&lt;&gt;1)),"work",(INDEX(Subject!$A:$I,MATCH(RANDBETWEEN(1,(MAX(Subject!$B:$B))),Subject!$B:$B,0),3))))</f>
        <v/>
      </c>
      <c r="D232" s="2" t="str">
        <f t="array" ref="D232">IF(NOW()&gt;AO232,"",IF(AND((WEEKDAY($A232)+$B$2)&gt;1,((WEEKDAY($A232)+$T$2)&lt;7),(WEEKDAY($A232)&lt;&gt;1)),"work",(INDEX(Subject!$A:$I,MATCH(RANDBETWEEN(1,(MAX(Subject!$B:$B))),Subject!$B:$B,0),3))))</f>
        <v/>
      </c>
      <c r="E232" s="2" t="str">
        <f t="array" ref="E232">IF(NOW()&gt;AP232,"",IF(AND((WEEKDAY($A232)+$B$2)&gt;1,((WEEKDAY($A232)+$T$2)&lt;7),(WEEKDAY($A232)&lt;&gt;1)),"work",(INDEX(Subject!$A:$I,MATCH(RANDBETWEEN(1,(MAX(Subject!$B:$B))),Subject!$B:$B,0),3))))</f>
        <v/>
      </c>
      <c r="F232" s="2" t="str">
        <f t="array" ref="F232">IF(NOW()&gt;AQ232,"",IF(AND((WEEKDAY($A232)+$B$2)&gt;1,((WEEKDAY($A232)+$T$2)&lt;7),(WEEKDAY($A232)&lt;&gt;1)),"work",(INDEX(Subject!$A:$I,MATCH(RANDBETWEEN(1,(MAX(Subject!$B:$B))),Subject!$B:$B,0),3))))</f>
        <v/>
      </c>
      <c r="G232" s="2" t="str">
        <f t="array" ref="G232">IF(NOW()&gt;AR232,"",IF(AND((WEEKDAY($A232)+$B$2)&gt;1,((WEEKDAY($A232)+$T$2)&lt;7),(WEEKDAY($A232)&lt;&gt;1)),"work",(INDEX(Subject!$A:$I,MATCH(RANDBETWEEN(1,(MAX(Subject!$B:$B))),Subject!$B:$B,0),3))))</f>
        <v/>
      </c>
      <c r="H232" s="2" t="str">
        <f t="array" ref="H232">IF(NOW()&gt;AS232,"",IF(AND((WEEKDAY($A232)+$B$2)&gt;1,((WEEKDAY($A232)+$T$2)&lt;7),(WEEKDAY($A232)&lt;&gt;1)),"work",(INDEX(Subject!$A:$I,MATCH(RANDBETWEEN(1,(MAX(Subject!$B:$B))),Subject!$B:$B,0),3))))</f>
        <v/>
      </c>
      <c r="I232" s="2" t="str">
        <f t="array" ref="I232">IF(NOW()&gt;AT232,"",IF(AND((WEEKDAY($A232)+$B$2)&gt;1,((WEEKDAY($A232)+$T$2)&lt;7),(WEEKDAY($A232)&lt;&gt;1)),"work",(INDEX(Subject!$A:$I,MATCH(RANDBETWEEN(1,(MAX(Subject!$B:$B))),Subject!$B:$B,0),3))))</f>
        <v/>
      </c>
      <c r="J232" s="2" t="str">
        <f t="array" ref="J232">IF(NOW()&gt;AU232,"",IF(AND((WEEKDAY($A232)+$B$2)&gt;1,((WEEKDAY($A232)+$T$2)&lt;7),(WEEKDAY($A232)&lt;&gt;1)),"work",(INDEX(Subject!$A:$I,MATCH(RANDBETWEEN(1,(MAX(Subject!$B:$B))),Subject!$B:$B,0),3))))</f>
        <v/>
      </c>
      <c r="K232" s="2" t="str">
        <f t="array" ref="K232">IF(NOW()&gt;AV232,"",IF(AND((WEEKDAY($A232)+$B$2)&gt;1,((WEEKDAY($A232)+$T$2)&lt;7),(WEEKDAY($A232)&lt;&gt;1)),"work",(INDEX(Subject!$A:$I,MATCH(RANDBETWEEN(1,(MAX(Subject!$B:$B))),Subject!$B:$B,0),3))))</f>
        <v/>
      </c>
      <c r="L232" s="2" t="str">
        <f t="array" ref="L232">IF(NOW()&gt;AW232,"",IF(AND((WEEKDAY($A232)+$B$2)&gt;1,((WEEKDAY($A232)+$T$2)&lt;7),(WEEKDAY($A232)&lt;&gt;1)),"work",(INDEX(Subject!$A:$I,MATCH(RANDBETWEEN(1,(MAX(Subject!$B:$B))),Subject!$B:$B,0),3))))</f>
        <v/>
      </c>
      <c r="M232" s="2" t="str">
        <f t="array" ref="M232">IF(NOW()&gt;AX232,"",IF(AND((WEEKDAY($A232)+$B$2)&gt;1,((WEEKDAY($A232)+$T$2)&lt;7),(WEEKDAY($A232)&lt;&gt;1)),"work",(INDEX(Subject!$A:$I,MATCH(RANDBETWEEN(1,(MAX(Subject!$B:$B))),Subject!$B:$B,0),3))))</f>
        <v/>
      </c>
      <c r="N232" s="2" t="str">
        <f t="array" ref="N232">IF(NOW()&gt;AY232,"",IF(AND((WEEKDAY($A232)+$B$2)&gt;1,((WEEKDAY($A232)+$T$2)&lt;7),(WEEKDAY($A232)&lt;&gt;1)),"work",(INDEX(Subject!$A:$I,MATCH(RANDBETWEEN(1,(MAX(Subject!$B:$B))),Subject!$B:$B,0),3))))</f>
        <v/>
      </c>
      <c r="O232" s="2" t="str">
        <f t="array" ref="O232">IF(NOW()&gt;AZ232,"",IF(AND((WEEKDAY($A232)+$B$2)&gt;1,((WEEKDAY($A232)+$T$2)&lt;7),(WEEKDAY($A232)&lt;&gt;1)),"work",(INDEX(Subject!$A:$I,MATCH(RANDBETWEEN(1,(MAX(Subject!$B:$B))),Subject!$B:$B,0),3))))</f>
        <v/>
      </c>
      <c r="P232" s="2" t="str">
        <f t="array" ref="P232">IF(NOW()&gt;BA232,"",IF(AND((WEEKDAY($A232)+$B$2)&gt;1,((WEEKDAY($A232)+$T$2)&lt;7),(WEEKDAY($A232)&lt;&gt;1)),"work",(INDEX(Subject!$A:$I,MATCH(RANDBETWEEN(1,(MAX(Subject!$B:$B))),Subject!$B:$B,0),3))))</f>
        <v/>
      </c>
      <c r="Q232" s="2" t="str">
        <f t="array" ref="Q232">IF(NOW()&gt;BB232,"",IF(AND((WEEKDAY($A232)+$B$2)&gt;1,((WEEKDAY($A232)+$T$2)&lt;7),(WEEKDAY($A232)&lt;&gt;1)),"work",(INDEX(Subject!$A:$I,MATCH(RANDBETWEEN(1,(MAX(Subject!$B:$B))),Subject!$B:$B,0),3))))</f>
        <v/>
      </c>
      <c r="R232" s="2" t="str">
        <f t="array" ref="R232">IF(NOW()&gt;BC232,"",IF(AND((WEEKDAY($A232)+$B$2)&gt;1,((WEEKDAY($A232)+$T$2)&lt;7),(WEEKDAY($A232)&lt;&gt;1)),"work",(INDEX(Subject!$A:$I,MATCH(RANDBETWEEN(1,(MAX(Subject!$B:$B))),Subject!$B:$B,0),3))))</f>
        <v/>
      </c>
      <c r="S232" s="2" t="str">
        <f t="array" ref="S232">IF(NOW()&gt;BD232,"",IF(AND((WEEKDAY($A232)+$B$2)&gt;1,((WEEKDAY($A232)+$T$2)&lt;7),(WEEKDAY($A232)&lt;&gt;1)),"work",(INDEX(Subject!$A:$I,MATCH(RANDBETWEEN(1,(MAX(Subject!$B:$B))),Subject!$B:$B,0),3))))</f>
        <v/>
      </c>
      <c r="T232" s="2" t="str">
        <f t="array" ref="T232">IF(NOW()&gt;BE232,"",IF(AND((WEEKDAY($A232)+$B$2)&gt;1,((WEEKDAY($A232)+$T$2)&lt;7),(WEEKDAY($A232)&lt;&gt;1)),"work",(INDEX(Subject!$A:$I,MATCH(RANDBETWEEN(1,(MAX(Subject!$B:$B))),Subject!$B:$B,0),3))))</f>
        <v/>
      </c>
      <c r="U232" s="8" t="str">
        <f t="array" ref="U232">INDEX(Subject!$A:$I,MATCH(RANDBETWEEN(1,16),Subject!$B:$B,0),3)</f>
        <v>#N/A</v>
      </c>
      <c r="V232" s="8" t="str">
        <f t="array" ref="V232">INDEX(Subject!$A:$I,MATCH(RANDBETWEEN(1,16),Subject!$B:$B,0),3)</f>
        <v>#N/A</v>
      </c>
      <c r="W232" s="8" t="str">
        <f t="array" ref="W232">INDEX(Subject!$A:$I,MATCH(RANDBETWEEN(1,16),Subject!$B:$B,0),3)</f>
        <v>#N/A</v>
      </c>
      <c r="X232" s="8" t="str">
        <f t="array" ref="X232">INDEX(Subject!$A:$I,MATCH(RANDBETWEEN(1,16),Subject!$B:$B,0),3)</f>
        <v>#N/A</v>
      </c>
      <c r="Y232" s="8" t="str">
        <f t="array" ref="Y232">INDEX(Subject!$A:$I,MATCH(RANDBETWEEN(1,16),Subject!$B:$B,0),3)</f>
        <v>#N/A</v>
      </c>
      <c r="Z232" s="8" t="str">
        <f t="array" ref="Z232">INDEX(Subject!$A:$I,MATCH(RANDBETWEEN(1,16),Subject!$B:$B,0),3)</f>
        <v>#N/A</v>
      </c>
      <c r="AA232" s="8" t="str">
        <f t="array" ref="AA232">INDEX(Subject!$A:$I,MATCH(RANDBETWEEN(1,16),Subject!$B:$B,0),3)</f>
        <v>#N/A</v>
      </c>
      <c r="AB232" s="8" t="str">
        <f t="array" ref="AB232">INDEX(Subject!$A:$I,MATCH(RANDBETWEEN(1,16),Subject!$B:$B,0),3)</f>
        <v>#N/A</v>
      </c>
      <c r="AC232" s="8" t="str">
        <f t="array" ref="AC232">INDEX(Subject!$A:$I,MATCH(RANDBETWEEN(1,16),Subject!$B:$B,0),3)</f>
        <v>#N/A</v>
      </c>
      <c r="AD232" s="8" t="str">
        <f t="array" ref="AD232">INDEX(Subject!$A:$I,MATCH(RANDBETWEEN(1,16),Subject!$B:$B,0),3)</f>
        <v>#N/A</v>
      </c>
      <c r="AE232" s="8" t="str">
        <f t="array" ref="AE232">INDEX(Subject!$A:$I,MATCH(RANDBETWEEN(1,16),Subject!$B:$B,0),3)</f>
        <v>#N/A</v>
      </c>
      <c r="AF232" s="8" t="str">
        <f t="array" ref="AF232">INDEX(Subject!$A:$I,MATCH(RANDBETWEEN(1,16),Subject!$B:$B,0),3)</f>
        <v>#N/A</v>
      </c>
      <c r="AG232" s="8" t="str">
        <f t="array" ref="AG232">INDEX(Subject!$A:$I,MATCH(RANDBETWEEN(1,16),Subject!$B:$B,0),3)</f>
        <v>#N/A</v>
      </c>
      <c r="AH232" s="8" t="str">
        <f t="array" ref="AH232">INDEX(Subject!$A:$I,MATCH(RANDBETWEEN(1,16),Subject!$B:$B,0),3)</f>
        <v>#N/A</v>
      </c>
      <c r="AI232" s="8" t="str">
        <f t="array" ref="AI232">INDEX(Subject!$A:$I,MATCH(RANDBETWEEN(1,16),Subject!$B:$B,0),3)</f>
        <v>#N/A</v>
      </c>
      <c r="AJ232" s="8" t="str">
        <f t="array" ref="AJ232">INDEX(Subject!$A:$I,MATCH(RANDBETWEEN(1,16),Subject!$B:$B,0),3)</f>
        <v>#N/A</v>
      </c>
      <c r="AK232" s="8" t="str">
        <f t="array" ref="AK232">INDEX(Subject!$A:$I,MATCH(RANDBETWEEN(1,16),Subject!$B:$B,0),3)</f>
        <v>#N/A</v>
      </c>
      <c r="AL232" s="8" t="str">
        <f t="array" ref="AL232">INDEX(Subject!$A:$I,MATCH(RANDBETWEEN(1,16),Subject!$B:$B,0),3)</f>
        <v>#N/A</v>
      </c>
      <c r="AM232" s="18">
        <f t="shared" si="4"/>
        <v>45732.33333</v>
      </c>
      <c r="AN232" s="19">
        <f t="shared" ref="AN232:BZ232" si="232">$A232+C$1</f>
        <v>45732.35417</v>
      </c>
      <c r="AO232" s="19">
        <f t="shared" si="232"/>
        <v>45732.375</v>
      </c>
      <c r="AP232" s="19">
        <f t="shared" si="232"/>
        <v>45732.39583</v>
      </c>
      <c r="AQ232" s="19">
        <f t="shared" si="232"/>
        <v>45732.41667</v>
      </c>
      <c r="AR232" s="19">
        <f t="shared" si="232"/>
        <v>45732.4375</v>
      </c>
      <c r="AS232" s="19">
        <f t="shared" si="232"/>
        <v>45732.45833</v>
      </c>
      <c r="AT232" s="19">
        <f t="shared" si="232"/>
        <v>45732.47917</v>
      </c>
      <c r="AU232" s="19">
        <f t="shared" si="232"/>
        <v>45732.5</v>
      </c>
      <c r="AV232" s="19">
        <f t="shared" si="232"/>
        <v>45732.52083</v>
      </c>
      <c r="AW232" s="19">
        <f t="shared" si="232"/>
        <v>45732.54167</v>
      </c>
      <c r="AX232" s="19">
        <f t="shared" si="232"/>
        <v>45732.5625</v>
      </c>
      <c r="AY232" s="19">
        <f t="shared" si="232"/>
        <v>45732.58333</v>
      </c>
      <c r="AZ232" s="19">
        <f t="shared" si="232"/>
        <v>45732.60417</v>
      </c>
      <c r="BA232" s="19">
        <f t="shared" si="232"/>
        <v>45732.625</v>
      </c>
      <c r="BB232" s="19">
        <f t="shared" si="232"/>
        <v>45732.64583</v>
      </c>
      <c r="BC232" s="19">
        <f t="shared" si="232"/>
        <v>45732.66667</v>
      </c>
      <c r="BD232" s="19">
        <f t="shared" si="232"/>
        <v>45732.6875</v>
      </c>
      <c r="BE232" s="19">
        <f t="shared" si="232"/>
        <v>45732.70833</v>
      </c>
      <c r="BF232" s="19">
        <f t="shared" si="232"/>
        <v>45732.72917</v>
      </c>
      <c r="BG232" s="19">
        <f t="shared" si="232"/>
        <v>45732.75</v>
      </c>
      <c r="BH232" s="19">
        <f t="shared" si="232"/>
        <v>45732.77083</v>
      </c>
      <c r="BI232" s="19">
        <f t="shared" si="232"/>
        <v>45732.79167</v>
      </c>
      <c r="BJ232" s="19">
        <f t="shared" si="232"/>
        <v>45732.8125</v>
      </c>
      <c r="BK232" s="19">
        <f t="shared" si="232"/>
        <v>45732.83333</v>
      </c>
      <c r="BL232" s="19">
        <f t="shared" si="232"/>
        <v>45732.85417</v>
      </c>
      <c r="BM232" s="19">
        <f t="shared" si="232"/>
        <v>45732.875</v>
      </c>
      <c r="BN232" s="19">
        <f t="shared" si="232"/>
        <v>45732.89583</v>
      </c>
      <c r="BO232" s="19">
        <f t="shared" si="232"/>
        <v>45732.91667</v>
      </c>
      <c r="BP232" s="19">
        <f t="shared" si="232"/>
        <v>45732.9375</v>
      </c>
      <c r="BQ232" s="19">
        <f t="shared" si="232"/>
        <v>45732.95833</v>
      </c>
      <c r="BR232" s="19">
        <f t="shared" si="232"/>
        <v>45732.97917</v>
      </c>
      <c r="BS232" s="19">
        <f t="shared" si="232"/>
        <v>45733</v>
      </c>
      <c r="BT232" s="19">
        <f t="shared" si="232"/>
        <v>45733.02083</v>
      </c>
      <c r="BU232" s="19">
        <f t="shared" si="232"/>
        <v>45733.04167</v>
      </c>
      <c r="BV232" s="19">
        <f t="shared" si="232"/>
        <v>45733.0625</v>
      </c>
      <c r="BW232" s="19">
        <f t="shared" si="232"/>
        <v>45733.08333</v>
      </c>
      <c r="BX232" s="19">
        <f t="shared" si="232"/>
        <v>45732</v>
      </c>
      <c r="BY232" s="19">
        <f t="shared" si="232"/>
        <v>45732</v>
      </c>
      <c r="BZ232" s="19">
        <f t="shared" si="232"/>
        <v>45732</v>
      </c>
    </row>
    <row r="233" ht="14.25" customHeight="1">
      <c r="A233" s="17">
        <v>45733.0</v>
      </c>
      <c r="B233" s="2" t="str">
        <f t="array" ref="B233">IF(NOW()&gt;AM233,"",IF(AND((WEEKDAY($A233)+$B$2)&gt;1,((WEEKDAY($A233)+$T$2)&lt;7),(WEEKDAY($A233)&lt;&gt;1)),"work",(INDEX(Subject!$A:$I,MATCH(RANDBETWEEN(1,(MAX(Subject!$B:$B))),Subject!$B:$B,0),3))))</f>
        <v/>
      </c>
      <c r="C233" s="2" t="str">
        <f t="array" ref="C233">IF(NOW()&gt;AN233,"",IF(AND((WEEKDAY($A233)+$B$2)&gt;1,((WEEKDAY($A233)+$T$2)&lt;7),(WEEKDAY($A233)&lt;&gt;1)),"work",(INDEX(Subject!$A:$I,MATCH(RANDBETWEEN(1,(MAX(Subject!$B:$B))),Subject!$B:$B,0),3))))</f>
        <v/>
      </c>
      <c r="D233" s="2" t="str">
        <f t="array" ref="D233">IF(NOW()&gt;AO233,"",IF(AND((WEEKDAY($A233)+$B$2)&gt;1,((WEEKDAY($A233)+$T$2)&lt;7),(WEEKDAY($A233)&lt;&gt;1)),"work",(INDEX(Subject!$A:$I,MATCH(RANDBETWEEN(1,(MAX(Subject!$B:$B))),Subject!$B:$B,0),3))))</f>
        <v/>
      </c>
      <c r="E233" s="2" t="str">
        <f t="array" ref="E233">IF(NOW()&gt;AP233,"",IF(AND((WEEKDAY($A233)+$B$2)&gt;1,((WEEKDAY($A233)+$T$2)&lt;7),(WEEKDAY($A233)&lt;&gt;1)),"work",(INDEX(Subject!$A:$I,MATCH(RANDBETWEEN(1,(MAX(Subject!$B:$B))),Subject!$B:$B,0),3))))</f>
        <v/>
      </c>
      <c r="F233" s="2" t="str">
        <f t="array" ref="F233">IF(NOW()&gt;AQ233,"",IF(AND((WEEKDAY($A233)+$B$2)&gt;1,((WEEKDAY($A233)+$T$2)&lt;7),(WEEKDAY($A233)&lt;&gt;1)),"work",(INDEX(Subject!$A:$I,MATCH(RANDBETWEEN(1,(MAX(Subject!$B:$B))),Subject!$B:$B,0),3))))</f>
        <v/>
      </c>
      <c r="G233" s="2" t="str">
        <f t="array" ref="G233">IF(NOW()&gt;AR233,"",IF(AND((WEEKDAY($A233)+$B$2)&gt;1,((WEEKDAY($A233)+$T$2)&lt;7),(WEEKDAY($A233)&lt;&gt;1)),"work",(INDEX(Subject!$A:$I,MATCH(RANDBETWEEN(1,(MAX(Subject!$B:$B))),Subject!$B:$B,0),3))))</f>
        <v/>
      </c>
      <c r="H233" s="2" t="str">
        <f t="array" ref="H233">IF(NOW()&gt;AS233,"",IF(AND((WEEKDAY($A233)+$B$2)&gt;1,((WEEKDAY($A233)+$T$2)&lt;7),(WEEKDAY($A233)&lt;&gt;1)),"work",(INDEX(Subject!$A:$I,MATCH(RANDBETWEEN(1,(MAX(Subject!$B:$B))),Subject!$B:$B,0),3))))</f>
        <v/>
      </c>
      <c r="I233" s="2" t="str">
        <f t="array" ref="I233">IF(NOW()&gt;AT233,"",IF(AND((WEEKDAY($A233)+$B$2)&gt;1,((WEEKDAY($A233)+$T$2)&lt;7),(WEEKDAY($A233)&lt;&gt;1)),"work",(INDEX(Subject!$A:$I,MATCH(RANDBETWEEN(1,(MAX(Subject!$B:$B))),Subject!$B:$B,0),3))))</f>
        <v/>
      </c>
      <c r="J233" s="2" t="str">
        <f t="array" ref="J233">IF(NOW()&gt;AU233,"",IF(AND((WEEKDAY($A233)+$B$2)&gt;1,((WEEKDAY($A233)+$T$2)&lt;7),(WEEKDAY($A233)&lt;&gt;1)),"work",(INDEX(Subject!$A:$I,MATCH(RANDBETWEEN(1,(MAX(Subject!$B:$B))),Subject!$B:$B,0),3))))</f>
        <v/>
      </c>
      <c r="K233" s="2" t="str">
        <f t="array" ref="K233">IF(NOW()&gt;AV233,"",IF(AND((WEEKDAY($A233)+$B$2)&gt;1,((WEEKDAY($A233)+$T$2)&lt;7),(WEEKDAY($A233)&lt;&gt;1)),"work",(INDEX(Subject!$A:$I,MATCH(RANDBETWEEN(1,(MAX(Subject!$B:$B))),Subject!$B:$B,0),3))))</f>
        <v/>
      </c>
      <c r="L233" s="2" t="str">
        <f t="array" ref="L233">IF(NOW()&gt;AW233,"",IF(AND((WEEKDAY($A233)+$B$2)&gt;1,((WEEKDAY($A233)+$T$2)&lt;7),(WEEKDAY($A233)&lt;&gt;1)),"work",(INDEX(Subject!$A:$I,MATCH(RANDBETWEEN(1,(MAX(Subject!$B:$B))),Subject!$B:$B,0),3))))</f>
        <v/>
      </c>
      <c r="M233" s="2" t="str">
        <f t="array" ref="M233">IF(NOW()&gt;AX233,"",IF(AND((WEEKDAY($A233)+$B$2)&gt;1,((WEEKDAY($A233)+$T$2)&lt;7),(WEEKDAY($A233)&lt;&gt;1)),"work",(INDEX(Subject!$A:$I,MATCH(RANDBETWEEN(1,(MAX(Subject!$B:$B))),Subject!$B:$B,0),3))))</f>
        <v/>
      </c>
      <c r="N233" s="2" t="str">
        <f t="array" ref="N233">IF(NOW()&gt;AY233,"",IF(AND((WEEKDAY($A233)+$B$2)&gt;1,((WEEKDAY($A233)+$T$2)&lt;7),(WEEKDAY($A233)&lt;&gt;1)),"work",(INDEX(Subject!$A:$I,MATCH(RANDBETWEEN(1,(MAX(Subject!$B:$B))),Subject!$B:$B,0),3))))</f>
        <v/>
      </c>
      <c r="O233" s="2" t="str">
        <f t="array" ref="O233">IF(NOW()&gt;AZ233,"",IF(AND((WEEKDAY($A233)+$B$2)&gt;1,((WEEKDAY($A233)+$T$2)&lt;7),(WEEKDAY($A233)&lt;&gt;1)),"work",(INDEX(Subject!$A:$I,MATCH(RANDBETWEEN(1,(MAX(Subject!$B:$B))),Subject!$B:$B,0),3))))</f>
        <v/>
      </c>
      <c r="P233" s="2" t="str">
        <f t="array" ref="P233">IF(NOW()&gt;BA233,"",IF(AND((WEEKDAY($A233)+$B$2)&gt;1,((WEEKDAY($A233)+$T$2)&lt;7),(WEEKDAY($A233)&lt;&gt;1)),"work",(INDEX(Subject!$A:$I,MATCH(RANDBETWEEN(1,(MAX(Subject!$B:$B))),Subject!$B:$B,0),3))))</f>
        <v/>
      </c>
      <c r="Q233" s="2" t="str">
        <f t="array" ref="Q233">IF(NOW()&gt;BB233,"",IF(AND((WEEKDAY($A233)+$B$2)&gt;1,((WEEKDAY($A233)+$T$2)&lt;7),(WEEKDAY($A233)&lt;&gt;1)),"work",(INDEX(Subject!$A:$I,MATCH(RANDBETWEEN(1,(MAX(Subject!$B:$B))),Subject!$B:$B,0),3))))</f>
        <v/>
      </c>
      <c r="R233" s="2" t="str">
        <f t="array" ref="R233">IF(NOW()&gt;BC233,"",IF(AND((WEEKDAY($A233)+$B$2)&gt;1,((WEEKDAY($A233)+$T$2)&lt;7),(WEEKDAY($A233)&lt;&gt;1)),"work",(INDEX(Subject!$A:$I,MATCH(RANDBETWEEN(1,(MAX(Subject!$B:$B))),Subject!$B:$B,0),3))))</f>
        <v/>
      </c>
      <c r="S233" s="2" t="str">
        <f t="array" ref="S233">IF(NOW()&gt;BD233,"",IF(AND((WEEKDAY($A233)+$B$2)&gt;1,((WEEKDAY($A233)+$T$2)&lt;7),(WEEKDAY($A233)&lt;&gt;1)),"work",(INDEX(Subject!$A:$I,MATCH(RANDBETWEEN(1,(MAX(Subject!$B:$B))),Subject!$B:$B,0),3))))</f>
        <v/>
      </c>
      <c r="T233" s="2" t="str">
        <f t="array" ref="T233">IF(NOW()&gt;BE233,"",IF(AND((WEEKDAY($A233)+$B$2)&gt;1,((WEEKDAY($A233)+$T$2)&lt;7),(WEEKDAY($A233)&lt;&gt;1)),"work",(INDEX(Subject!$A:$I,MATCH(RANDBETWEEN(1,(MAX(Subject!$B:$B))),Subject!$B:$B,0),3))))</f>
        <v/>
      </c>
      <c r="U233" s="8" t="str">
        <f t="array" ref="U233">INDEX(Subject!$A:$I,MATCH(RANDBETWEEN(1,16),Subject!$B:$B,0),3)</f>
        <v>#N/A</v>
      </c>
      <c r="V233" s="8" t="str">
        <f t="array" ref="V233">INDEX(Subject!$A:$I,MATCH(RANDBETWEEN(1,16),Subject!$B:$B,0),3)</f>
        <v>#N/A</v>
      </c>
      <c r="W233" s="8" t="str">
        <f t="array" ref="W233">INDEX(Subject!$A:$I,MATCH(RANDBETWEEN(1,16),Subject!$B:$B,0),3)</f>
        <v>#N/A</v>
      </c>
      <c r="X233" s="8" t="str">
        <f t="array" ref="X233">INDEX(Subject!$A:$I,MATCH(RANDBETWEEN(1,16),Subject!$B:$B,0),3)</f>
        <v>#N/A</v>
      </c>
      <c r="Y233" s="8" t="str">
        <f t="array" ref="Y233">INDEX(Subject!$A:$I,MATCH(RANDBETWEEN(1,16),Subject!$B:$B,0),3)</f>
        <v>#N/A</v>
      </c>
      <c r="Z233" s="8" t="str">
        <f t="array" ref="Z233">INDEX(Subject!$A:$I,MATCH(RANDBETWEEN(1,16),Subject!$B:$B,0),3)</f>
        <v>#N/A</v>
      </c>
      <c r="AA233" s="8" t="str">
        <f t="array" ref="AA233">INDEX(Subject!$A:$I,MATCH(RANDBETWEEN(1,16),Subject!$B:$B,0),3)</f>
        <v>#N/A</v>
      </c>
      <c r="AB233" s="8" t="str">
        <f t="array" ref="AB233">INDEX(Subject!$A:$I,MATCH(RANDBETWEEN(1,16),Subject!$B:$B,0),3)</f>
        <v>#N/A</v>
      </c>
      <c r="AC233" s="8" t="str">
        <f t="array" ref="AC233">INDEX(Subject!$A:$I,MATCH(RANDBETWEEN(1,16),Subject!$B:$B,0),3)</f>
        <v/>
      </c>
      <c r="AD233" s="8" t="str">
        <f t="array" ref="AD233">INDEX(Subject!$A:$I,MATCH(RANDBETWEEN(1,16),Subject!$B:$B,0),3)</f>
        <v>#N/A</v>
      </c>
      <c r="AE233" s="8" t="str">
        <f t="array" ref="AE233">INDEX(Subject!$A:$I,MATCH(RANDBETWEEN(1,16),Subject!$B:$B,0),3)</f>
        <v>#N/A</v>
      </c>
      <c r="AF233" s="8" t="str">
        <f t="array" ref="AF233">INDEX(Subject!$A:$I,MATCH(RANDBETWEEN(1,16),Subject!$B:$B,0),3)</f>
        <v>#N/A</v>
      </c>
      <c r="AG233" s="8" t="str">
        <f t="array" ref="AG233">INDEX(Subject!$A:$I,MATCH(RANDBETWEEN(1,16),Subject!$B:$B,0),3)</f>
        <v>#N/A</v>
      </c>
      <c r="AH233" s="8" t="str">
        <f t="array" ref="AH233">INDEX(Subject!$A:$I,MATCH(RANDBETWEEN(1,16),Subject!$B:$B,0),3)</f>
        <v>#N/A</v>
      </c>
      <c r="AI233" s="8" t="str">
        <f t="array" ref="AI233">INDEX(Subject!$A:$I,MATCH(RANDBETWEEN(1,16),Subject!$B:$B,0),3)</f>
        <v>#N/A</v>
      </c>
      <c r="AJ233" s="8" t="str">
        <f t="array" ref="AJ233">INDEX(Subject!$A:$I,MATCH(RANDBETWEEN(1,16),Subject!$B:$B,0),3)</f>
        <v>#N/A</v>
      </c>
      <c r="AK233" s="8" t="str">
        <f t="array" ref="AK233">INDEX(Subject!$A:$I,MATCH(RANDBETWEEN(1,16),Subject!$B:$B,0),3)</f>
        <v>#N/A</v>
      </c>
      <c r="AL233" s="8" t="str">
        <f t="array" ref="AL233">INDEX(Subject!$A:$I,MATCH(RANDBETWEEN(1,16),Subject!$B:$B,0),3)</f>
        <v>#N/A</v>
      </c>
      <c r="AM233" s="18">
        <f t="shared" si="4"/>
        <v>45733.33333</v>
      </c>
      <c r="AN233" s="19">
        <f t="shared" ref="AN233:BZ233" si="233">$A233+C$1</f>
        <v>45733.35417</v>
      </c>
      <c r="AO233" s="19">
        <f t="shared" si="233"/>
        <v>45733.375</v>
      </c>
      <c r="AP233" s="19">
        <f t="shared" si="233"/>
        <v>45733.39583</v>
      </c>
      <c r="AQ233" s="19">
        <f t="shared" si="233"/>
        <v>45733.41667</v>
      </c>
      <c r="AR233" s="19">
        <f t="shared" si="233"/>
        <v>45733.4375</v>
      </c>
      <c r="AS233" s="19">
        <f t="shared" si="233"/>
        <v>45733.45833</v>
      </c>
      <c r="AT233" s="19">
        <f t="shared" si="233"/>
        <v>45733.47917</v>
      </c>
      <c r="AU233" s="19">
        <f t="shared" si="233"/>
        <v>45733.5</v>
      </c>
      <c r="AV233" s="19">
        <f t="shared" si="233"/>
        <v>45733.52083</v>
      </c>
      <c r="AW233" s="19">
        <f t="shared" si="233"/>
        <v>45733.54167</v>
      </c>
      <c r="AX233" s="19">
        <f t="shared" si="233"/>
        <v>45733.5625</v>
      </c>
      <c r="AY233" s="19">
        <f t="shared" si="233"/>
        <v>45733.58333</v>
      </c>
      <c r="AZ233" s="19">
        <f t="shared" si="233"/>
        <v>45733.60417</v>
      </c>
      <c r="BA233" s="19">
        <f t="shared" si="233"/>
        <v>45733.625</v>
      </c>
      <c r="BB233" s="19">
        <f t="shared" si="233"/>
        <v>45733.64583</v>
      </c>
      <c r="BC233" s="19">
        <f t="shared" si="233"/>
        <v>45733.66667</v>
      </c>
      <c r="BD233" s="19">
        <f t="shared" si="233"/>
        <v>45733.6875</v>
      </c>
      <c r="BE233" s="19">
        <f t="shared" si="233"/>
        <v>45733.70833</v>
      </c>
      <c r="BF233" s="19">
        <f t="shared" si="233"/>
        <v>45733.72917</v>
      </c>
      <c r="BG233" s="19">
        <f t="shared" si="233"/>
        <v>45733.75</v>
      </c>
      <c r="BH233" s="19">
        <f t="shared" si="233"/>
        <v>45733.77083</v>
      </c>
      <c r="BI233" s="19">
        <f t="shared" si="233"/>
        <v>45733.79167</v>
      </c>
      <c r="BJ233" s="19">
        <f t="shared" si="233"/>
        <v>45733.8125</v>
      </c>
      <c r="BK233" s="19">
        <f t="shared" si="233"/>
        <v>45733.83333</v>
      </c>
      <c r="BL233" s="19">
        <f t="shared" si="233"/>
        <v>45733.85417</v>
      </c>
      <c r="BM233" s="19">
        <f t="shared" si="233"/>
        <v>45733.875</v>
      </c>
      <c r="BN233" s="19">
        <f t="shared" si="233"/>
        <v>45733.89583</v>
      </c>
      <c r="BO233" s="19">
        <f t="shared" si="233"/>
        <v>45733.91667</v>
      </c>
      <c r="BP233" s="19">
        <f t="shared" si="233"/>
        <v>45733.9375</v>
      </c>
      <c r="BQ233" s="19">
        <f t="shared" si="233"/>
        <v>45733.95833</v>
      </c>
      <c r="BR233" s="19">
        <f t="shared" si="233"/>
        <v>45733.97917</v>
      </c>
      <c r="BS233" s="19">
        <f t="shared" si="233"/>
        <v>45734</v>
      </c>
      <c r="BT233" s="19">
        <f t="shared" si="233"/>
        <v>45734.02083</v>
      </c>
      <c r="BU233" s="19">
        <f t="shared" si="233"/>
        <v>45734.04167</v>
      </c>
      <c r="BV233" s="19">
        <f t="shared" si="233"/>
        <v>45734.0625</v>
      </c>
      <c r="BW233" s="19">
        <f t="shared" si="233"/>
        <v>45734.08333</v>
      </c>
      <c r="BX233" s="19">
        <f t="shared" si="233"/>
        <v>45733</v>
      </c>
      <c r="BY233" s="19">
        <f t="shared" si="233"/>
        <v>45733</v>
      </c>
      <c r="BZ233" s="19">
        <f t="shared" si="233"/>
        <v>45733</v>
      </c>
    </row>
    <row r="234" ht="14.25" customHeight="1">
      <c r="A234" s="17">
        <v>45734.0</v>
      </c>
      <c r="B234" s="2" t="str">
        <f t="array" ref="B234">IF(NOW()&gt;AM234,"",IF(AND((WEEKDAY($A234)+$B$2)&gt;1,((WEEKDAY($A234)+$T$2)&lt;7),(WEEKDAY($A234)&lt;&gt;1)),"work",(INDEX(Subject!$A:$I,MATCH(RANDBETWEEN(1,(MAX(Subject!$B:$B))),Subject!$B:$B,0),3))))</f>
        <v/>
      </c>
      <c r="C234" s="2" t="str">
        <f t="array" ref="C234">IF(NOW()&gt;AN234,"",IF(AND((WEEKDAY($A234)+$B$2)&gt;1,((WEEKDAY($A234)+$T$2)&lt;7),(WEEKDAY($A234)&lt;&gt;1)),"work",(INDEX(Subject!$A:$I,MATCH(RANDBETWEEN(1,(MAX(Subject!$B:$B))),Subject!$B:$B,0),3))))</f>
        <v/>
      </c>
      <c r="D234" s="2" t="str">
        <f t="array" ref="D234">IF(NOW()&gt;AO234,"",IF(AND((WEEKDAY($A234)+$B$2)&gt;1,((WEEKDAY($A234)+$T$2)&lt;7),(WEEKDAY($A234)&lt;&gt;1)),"work",(INDEX(Subject!$A:$I,MATCH(RANDBETWEEN(1,(MAX(Subject!$B:$B))),Subject!$B:$B,0),3))))</f>
        <v/>
      </c>
      <c r="E234" s="2" t="str">
        <f t="array" ref="E234">IF(NOW()&gt;AP234,"",IF(AND((WEEKDAY($A234)+$B$2)&gt;1,((WEEKDAY($A234)+$T$2)&lt;7),(WEEKDAY($A234)&lt;&gt;1)),"work",(INDEX(Subject!$A:$I,MATCH(RANDBETWEEN(1,(MAX(Subject!$B:$B))),Subject!$B:$B,0),3))))</f>
        <v/>
      </c>
      <c r="F234" s="2" t="str">
        <f t="array" ref="F234">IF(NOW()&gt;AQ234,"",IF(AND((WEEKDAY($A234)+$B$2)&gt;1,((WEEKDAY($A234)+$T$2)&lt;7),(WEEKDAY($A234)&lt;&gt;1)),"work",(INDEX(Subject!$A:$I,MATCH(RANDBETWEEN(1,(MAX(Subject!$B:$B))),Subject!$B:$B,0),3))))</f>
        <v/>
      </c>
      <c r="G234" s="2" t="str">
        <f t="array" ref="G234">IF(NOW()&gt;AR234,"",IF(AND((WEEKDAY($A234)+$B$2)&gt;1,((WEEKDAY($A234)+$T$2)&lt;7),(WEEKDAY($A234)&lt;&gt;1)),"work",(INDEX(Subject!$A:$I,MATCH(RANDBETWEEN(1,(MAX(Subject!$B:$B))),Subject!$B:$B,0),3))))</f>
        <v/>
      </c>
      <c r="H234" s="2" t="str">
        <f t="array" ref="H234">IF(NOW()&gt;AS234,"",IF(AND((WEEKDAY($A234)+$B$2)&gt;1,((WEEKDAY($A234)+$T$2)&lt;7),(WEEKDAY($A234)&lt;&gt;1)),"work",(INDEX(Subject!$A:$I,MATCH(RANDBETWEEN(1,(MAX(Subject!$B:$B))),Subject!$B:$B,0),3))))</f>
        <v/>
      </c>
      <c r="I234" s="2" t="str">
        <f t="array" ref="I234">IF(NOW()&gt;AT234,"",IF(AND((WEEKDAY($A234)+$B$2)&gt;1,((WEEKDAY($A234)+$T$2)&lt;7),(WEEKDAY($A234)&lt;&gt;1)),"work",(INDEX(Subject!$A:$I,MATCH(RANDBETWEEN(1,(MAX(Subject!$B:$B))),Subject!$B:$B,0),3))))</f>
        <v/>
      </c>
      <c r="J234" s="2" t="str">
        <f t="array" ref="J234">IF(NOW()&gt;AU234,"",IF(AND((WEEKDAY($A234)+$B$2)&gt;1,((WEEKDAY($A234)+$T$2)&lt;7),(WEEKDAY($A234)&lt;&gt;1)),"work",(INDEX(Subject!$A:$I,MATCH(RANDBETWEEN(1,(MAX(Subject!$B:$B))),Subject!$B:$B,0),3))))</f>
        <v/>
      </c>
      <c r="K234" s="2" t="str">
        <f t="array" ref="K234">IF(NOW()&gt;AV234,"",IF(AND((WEEKDAY($A234)+$B$2)&gt;1,((WEEKDAY($A234)+$T$2)&lt;7),(WEEKDAY($A234)&lt;&gt;1)),"work",(INDEX(Subject!$A:$I,MATCH(RANDBETWEEN(1,(MAX(Subject!$B:$B))),Subject!$B:$B,0),3))))</f>
        <v/>
      </c>
      <c r="L234" s="2" t="str">
        <f t="array" ref="L234">IF(NOW()&gt;AW234,"",IF(AND((WEEKDAY($A234)+$B$2)&gt;1,((WEEKDAY($A234)+$T$2)&lt;7),(WEEKDAY($A234)&lt;&gt;1)),"work",(INDEX(Subject!$A:$I,MATCH(RANDBETWEEN(1,(MAX(Subject!$B:$B))),Subject!$B:$B,0),3))))</f>
        <v/>
      </c>
      <c r="M234" s="2" t="str">
        <f t="array" ref="M234">IF(NOW()&gt;AX234,"",IF(AND((WEEKDAY($A234)+$B$2)&gt;1,((WEEKDAY($A234)+$T$2)&lt;7),(WEEKDAY($A234)&lt;&gt;1)),"work",(INDEX(Subject!$A:$I,MATCH(RANDBETWEEN(1,(MAX(Subject!$B:$B))),Subject!$B:$B,0),3))))</f>
        <v/>
      </c>
      <c r="N234" s="2" t="str">
        <f t="array" ref="N234">IF(NOW()&gt;AY234,"",IF(AND((WEEKDAY($A234)+$B$2)&gt;1,((WEEKDAY($A234)+$T$2)&lt;7),(WEEKDAY($A234)&lt;&gt;1)),"work",(INDEX(Subject!$A:$I,MATCH(RANDBETWEEN(1,(MAX(Subject!$B:$B))),Subject!$B:$B,0),3))))</f>
        <v/>
      </c>
      <c r="O234" s="2" t="str">
        <f t="array" ref="O234">IF(NOW()&gt;AZ234,"",IF(AND((WEEKDAY($A234)+$B$2)&gt;1,((WEEKDAY($A234)+$T$2)&lt;7),(WEEKDAY($A234)&lt;&gt;1)),"work",(INDEX(Subject!$A:$I,MATCH(RANDBETWEEN(1,(MAX(Subject!$B:$B))),Subject!$B:$B,0),3))))</f>
        <v/>
      </c>
      <c r="P234" s="2" t="str">
        <f t="array" ref="P234">IF(NOW()&gt;BA234,"",IF(AND((WEEKDAY($A234)+$B$2)&gt;1,((WEEKDAY($A234)+$T$2)&lt;7),(WEEKDAY($A234)&lt;&gt;1)),"work",(INDEX(Subject!$A:$I,MATCH(RANDBETWEEN(1,(MAX(Subject!$B:$B))),Subject!$B:$B,0),3))))</f>
        <v/>
      </c>
      <c r="Q234" s="2" t="str">
        <f t="array" ref="Q234">IF(NOW()&gt;BB234,"",IF(AND((WEEKDAY($A234)+$B$2)&gt;1,((WEEKDAY($A234)+$T$2)&lt;7),(WEEKDAY($A234)&lt;&gt;1)),"work",(INDEX(Subject!$A:$I,MATCH(RANDBETWEEN(1,(MAX(Subject!$B:$B))),Subject!$B:$B,0),3))))</f>
        <v/>
      </c>
      <c r="R234" s="2" t="str">
        <f t="array" ref="R234">IF(NOW()&gt;BC234,"",IF(AND((WEEKDAY($A234)+$B$2)&gt;1,((WEEKDAY($A234)+$T$2)&lt;7),(WEEKDAY($A234)&lt;&gt;1)),"work",(INDEX(Subject!$A:$I,MATCH(RANDBETWEEN(1,(MAX(Subject!$B:$B))),Subject!$B:$B,0),3))))</f>
        <v/>
      </c>
      <c r="S234" s="2" t="str">
        <f t="array" ref="S234">IF(NOW()&gt;BD234,"",IF(AND((WEEKDAY($A234)+$B$2)&gt;1,((WEEKDAY($A234)+$T$2)&lt;7),(WEEKDAY($A234)&lt;&gt;1)),"work",(INDEX(Subject!$A:$I,MATCH(RANDBETWEEN(1,(MAX(Subject!$B:$B))),Subject!$B:$B,0),3))))</f>
        <v/>
      </c>
      <c r="T234" s="2" t="str">
        <f t="array" ref="T234">IF(NOW()&gt;BE234,"",IF(AND((WEEKDAY($A234)+$B$2)&gt;1,((WEEKDAY($A234)+$T$2)&lt;7),(WEEKDAY($A234)&lt;&gt;1)),"work",(INDEX(Subject!$A:$I,MATCH(RANDBETWEEN(1,(MAX(Subject!$B:$B))),Subject!$B:$B,0),3))))</f>
        <v/>
      </c>
      <c r="U234" s="8" t="str">
        <f t="array" ref="U234">INDEX(Subject!$A:$I,MATCH(RANDBETWEEN(1,16),Subject!$B:$B,0),3)</f>
        <v>#N/A</v>
      </c>
      <c r="V234" s="8" t="str">
        <f t="array" ref="V234">INDEX(Subject!$A:$I,MATCH(RANDBETWEEN(1,16),Subject!$B:$B,0),3)</f>
        <v>#N/A</v>
      </c>
      <c r="W234" s="8" t="str">
        <f t="array" ref="W234">INDEX(Subject!$A:$I,MATCH(RANDBETWEEN(1,16),Subject!$B:$B,0),3)</f>
        <v>#N/A</v>
      </c>
      <c r="X234" s="8" t="str">
        <f t="array" ref="X234">INDEX(Subject!$A:$I,MATCH(RANDBETWEEN(1,16),Subject!$B:$B,0),3)</f>
        <v>#N/A</v>
      </c>
      <c r="Y234" s="8" t="str">
        <f t="array" ref="Y234">INDEX(Subject!$A:$I,MATCH(RANDBETWEEN(1,16),Subject!$B:$B,0),3)</f>
        <v>#N/A</v>
      </c>
      <c r="Z234" s="8" t="str">
        <f t="array" ref="Z234">INDEX(Subject!$A:$I,MATCH(RANDBETWEEN(1,16),Subject!$B:$B,0),3)</f>
        <v>#N/A</v>
      </c>
      <c r="AA234" s="8" t="str">
        <f t="array" ref="AA234">INDEX(Subject!$A:$I,MATCH(RANDBETWEEN(1,16),Subject!$B:$B,0),3)</f>
        <v>#N/A</v>
      </c>
      <c r="AB234" s="8" t="str">
        <f t="array" ref="AB234">INDEX(Subject!$A:$I,MATCH(RANDBETWEEN(1,16),Subject!$B:$B,0),3)</f>
        <v>#N/A</v>
      </c>
      <c r="AC234" s="8" t="str">
        <f t="array" ref="AC234">INDEX(Subject!$A:$I,MATCH(RANDBETWEEN(1,16),Subject!$B:$B,0),3)</f>
        <v/>
      </c>
      <c r="AD234" s="8" t="str">
        <f t="array" ref="AD234">INDEX(Subject!$A:$I,MATCH(RANDBETWEEN(1,16),Subject!$B:$B,0),3)</f>
        <v>#N/A</v>
      </c>
      <c r="AE234" s="8" t="str">
        <f t="array" ref="AE234">INDEX(Subject!$A:$I,MATCH(RANDBETWEEN(1,16),Subject!$B:$B,0),3)</f>
        <v>#N/A</v>
      </c>
      <c r="AF234" s="8" t="str">
        <f t="array" ref="AF234">INDEX(Subject!$A:$I,MATCH(RANDBETWEEN(1,16),Subject!$B:$B,0),3)</f>
        <v>#N/A</v>
      </c>
      <c r="AG234" s="8" t="str">
        <f t="array" ref="AG234">INDEX(Subject!$A:$I,MATCH(RANDBETWEEN(1,16),Subject!$B:$B,0),3)</f>
        <v>#N/A</v>
      </c>
      <c r="AH234" s="8" t="str">
        <f t="array" ref="AH234">INDEX(Subject!$A:$I,MATCH(RANDBETWEEN(1,16),Subject!$B:$B,0),3)</f>
        <v>#N/A</v>
      </c>
      <c r="AI234" s="8" t="str">
        <f t="array" ref="AI234">INDEX(Subject!$A:$I,MATCH(RANDBETWEEN(1,16),Subject!$B:$B,0),3)</f>
        <v>#N/A</v>
      </c>
      <c r="AJ234" s="8" t="str">
        <f t="array" ref="AJ234">INDEX(Subject!$A:$I,MATCH(RANDBETWEEN(1,16),Subject!$B:$B,0),3)</f>
        <v>#N/A</v>
      </c>
      <c r="AK234" s="8" t="str">
        <f t="array" ref="AK234">INDEX(Subject!$A:$I,MATCH(RANDBETWEEN(1,16),Subject!$B:$B,0),3)</f>
        <v>#N/A</v>
      </c>
      <c r="AL234" s="8" t="str">
        <f t="array" ref="AL234">INDEX(Subject!$A:$I,MATCH(RANDBETWEEN(1,16),Subject!$B:$B,0),3)</f>
        <v>#N/A</v>
      </c>
      <c r="AM234" s="18">
        <f t="shared" si="4"/>
        <v>45734.33333</v>
      </c>
      <c r="AN234" s="19">
        <f t="shared" ref="AN234:BZ234" si="234">$A234+C$1</f>
        <v>45734.35417</v>
      </c>
      <c r="AO234" s="19">
        <f t="shared" si="234"/>
        <v>45734.375</v>
      </c>
      <c r="AP234" s="19">
        <f t="shared" si="234"/>
        <v>45734.39583</v>
      </c>
      <c r="AQ234" s="19">
        <f t="shared" si="234"/>
        <v>45734.41667</v>
      </c>
      <c r="AR234" s="19">
        <f t="shared" si="234"/>
        <v>45734.4375</v>
      </c>
      <c r="AS234" s="19">
        <f t="shared" si="234"/>
        <v>45734.45833</v>
      </c>
      <c r="AT234" s="19">
        <f t="shared" si="234"/>
        <v>45734.47917</v>
      </c>
      <c r="AU234" s="19">
        <f t="shared" si="234"/>
        <v>45734.5</v>
      </c>
      <c r="AV234" s="19">
        <f t="shared" si="234"/>
        <v>45734.52083</v>
      </c>
      <c r="AW234" s="19">
        <f t="shared" si="234"/>
        <v>45734.54167</v>
      </c>
      <c r="AX234" s="19">
        <f t="shared" si="234"/>
        <v>45734.5625</v>
      </c>
      <c r="AY234" s="19">
        <f t="shared" si="234"/>
        <v>45734.58333</v>
      </c>
      <c r="AZ234" s="19">
        <f t="shared" si="234"/>
        <v>45734.60417</v>
      </c>
      <c r="BA234" s="19">
        <f t="shared" si="234"/>
        <v>45734.625</v>
      </c>
      <c r="BB234" s="19">
        <f t="shared" si="234"/>
        <v>45734.64583</v>
      </c>
      <c r="BC234" s="19">
        <f t="shared" si="234"/>
        <v>45734.66667</v>
      </c>
      <c r="BD234" s="19">
        <f t="shared" si="234"/>
        <v>45734.6875</v>
      </c>
      <c r="BE234" s="19">
        <f t="shared" si="234"/>
        <v>45734.70833</v>
      </c>
      <c r="BF234" s="19">
        <f t="shared" si="234"/>
        <v>45734.72917</v>
      </c>
      <c r="BG234" s="19">
        <f t="shared" si="234"/>
        <v>45734.75</v>
      </c>
      <c r="BH234" s="19">
        <f t="shared" si="234"/>
        <v>45734.77083</v>
      </c>
      <c r="BI234" s="19">
        <f t="shared" si="234"/>
        <v>45734.79167</v>
      </c>
      <c r="BJ234" s="19">
        <f t="shared" si="234"/>
        <v>45734.8125</v>
      </c>
      <c r="BK234" s="19">
        <f t="shared" si="234"/>
        <v>45734.83333</v>
      </c>
      <c r="BL234" s="19">
        <f t="shared" si="234"/>
        <v>45734.85417</v>
      </c>
      <c r="BM234" s="19">
        <f t="shared" si="234"/>
        <v>45734.875</v>
      </c>
      <c r="BN234" s="19">
        <f t="shared" si="234"/>
        <v>45734.89583</v>
      </c>
      <c r="BO234" s="19">
        <f t="shared" si="234"/>
        <v>45734.91667</v>
      </c>
      <c r="BP234" s="19">
        <f t="shared" si="234"/>
        <v>45734.9375</v>
      </c>
      <c r="BQ234" s="19">
        <f t="shared" si="234"/>
        <v>45734.95833</v>
      </c>
      <c r="BR234" s="19">
        <f t="shared" si="234"/>
        <v>45734.97917</v>
      </c>
      <c r="BS234" s="19">
        <f t="shared" si="234"/>
        <v>45735</v>
      </c>
      <c r="BT234" s="19">
        <f t="shared" si="234"/>
        <v>45735.02083</v>
      </c>
      <c r="BU234" s="19">
        <f t="shared" si="234"/>
        <v>45735.04167</v>
      </c>
      <c r="BV234" s="19">
        <f t="shared" si="234"/>
        <v>45735.0625</v>
      </c>
      <c r="BW234" s="19">
        <f t="shared" si="234"/>
        <v>45735.08333</v>
      </c>
      <c r="BX234" s="19">
        <f t="shared" si="234"/>
        <v>45734</v>
      </c>
      <c r="BY234" s="19">
        <f t="shared" si="234"/>
        <v>45734</v>
      </c>
      <c r="BZ234" s="19">
        <f t="shared" si="234"/>
        <v>45734</v>
      </c>
    </row>
    <row r="235" ht="14.25" customHeight="1">
      <c r="A235" s="17">
        <v>45735.0</v>
      </c>
      <c r="B235" s="2" t="str">
        <f t="array" ref="B235">IF(NOW()&gt;AM235,"",IF(AND((WEEKDAY($A235)+$B$2)&gt;1,((WEEKDAY($A235)+$T$2)&lt;7),(WEEKDAY($A235)&lt;&gt;1)),"work",(INDEX(Subject!$A:$I,MATCH(RANDBETWEEN(1,(MAX(Subject!$B:$B))),Subject!$B:$B,0),3))))</f>
        <v/>
      </c>
      <c r="C235" s="2" t="str">
        <f t="array" ref="C235">IF(NOW()&gt;AN235,"",IF(AND((WEEKDAY($A235)+$B$2)&gt;1,((WEEKDAY($A235)+$T$2)&lt;7),(WEEKDAY($A235)&lt;&gt;1)),"work",(INDEX(Subject!$A:$I,MATCH(RANDBETWEEN(1,(MAX(Subject!$B:$B))),Subject!$B:$B,0),3))))</f>
        <v/>
      </c>
      <c r="D235" s="2" t="str">
        <f t="array" ref="D235">IF(NOW()&gt;AO235,"",IF(AND((WEEKDAY($A235)+$B$2)&gt;1,((WEEKDAY($A235)+$T$2)&lt;7),(WEEKDAY($A235)&lt;&gt;1)),"work",(INDEX(Subject!$A:$I,MATCH(RANDBETWEEN(1,(MAX(Subject!$B:$B))),Subject!$B:$B,0),3))))</f>
        <v/>
      </c>
      <c r="E235" s="2" t="str">
        <f t="array" ref="E235">IF(NOW()&gt;AP235,"",IF(AND((WEEKDAY($A235)+$B$2)&gt;1,((WEEKDAY($A235)+$T$2)&lt;7),(WEEKDAY($A235)&lt;&gt;1)),"work",(INDEX(Subject!$A:$I,MATCH(RANDBETWEEN(1,(MAX(Subject!$B:$B))),Subject!$B:$B,0),3))))</f>
        <v/>
      </c>
      <c r="F235" s="2" t="str">
        <f t="array" ref="F235">IF(NOW()&gt;AQ235,"",IF(AND((WEEKDAY($A235)+$B$2)&gt;1,((WEEKDAY($A235)+$T$2)&lt;7),(WEEKDAY($A235)&lt;&gt;1)),"work",(INDEX(Subject!$A:$I,MATCH(RANDBETWEEN(1,(MAX(Subject!$B:$B))),Subject!$B:$B,0),3))))</f>
        <v/>
      </c>
      <c r="G235" s="2" t="str">
        <f t="array" ref="G235">IF(NOW()&gt;AR235,"",IF(AND((WEEKDAY($A235)+$B$2)&gt;1,((WEEKDAY($A235)+$T$2)&lt;7),(WEEKDAY($A235)&lt;&gt;1)),"work",(INDEX(Subject!$A:$I,MATCH(RANDBETWEEN(1,(MAX(Subject!$B:$B))),Subject!$B:$B,0),3))))</f>
        <v/>
      </c>
      <c r="H235" s="2" t="str">
        <f t="array" ref="H235">IF(NOW()&gt;AS235,"",IF(AND((WEEKDAY($A235)+$B$2)&gt;1,((WEEKDAY($A235)+$T$2)&lt;7),(WEEKDAY($A235)&lt;&gt;1)),"work",(INDEX(Subject!$A:$I,MATCH(RANDBETWEEN(1,(MAX(Subject!$B:$B))),Subject!$B:$B,0),3))))</f>
        <v/>
      </c>
      <c r="I235" s="2" t="str">
        <f t="array" ref="I235">IF(NOW()&gt;AT235,"",IF(AND((WEEKDAY($A235)+$B$2)&gt;1,((WEEKDAY($A235)+$T$2)&lt;7),(WEEKDAY($A235)&lt;&gt;1)),"work",(INDEX(Subject!$A:$I,MATCH(RANDBETWEEN(1,(MAX(Subject!$B:$B))),Subject!$B:$B,0),3))))</f>
        <v/>
      </c>
      <c r="J235" s="2" t="str">
        <f t="array" ref="J235">IF(NOW()&gt;AU235,"",IF(AND((WEEKDAY($A235)+$B$2)&gt;1,((WEEKDAY($A235)+$T$2)&lt;7),(WEEKDAY($A235)&lt;&gt;1)),"work",(INDEX(Subject!$A:$I,MATCH(RANDBETWEEN(1,(MAX(Subject!$B:$B))),Subject!$B:$B,0),3))))</f>
        <v/>
      </c>
      <c r="K235" s="2" t="str">
        <f t="array" ref="K235">IF(NOW()&gt;AV235,"",IF(AND((WEEKDAY($A235)+$B$2)&gt;1,((WEEKDAY($A235)+$T$2)&lt;7),(WEEKDAY($A235)&lt;&gt;1)),"work",(INDEX(Subject!$A:$I,MATCH(RANDBETWEEN(1,(MAX(Subject!$B:$B))),Subject!$B:$B,0),3))))</f>
        <v/>
      </c>
      <c r="L235" s="2" t="str">
        <f t="array" ref="L235">IF(NOW()&gt;AW235,"",IF(AND((WEEKDAY($A235)+$B$2)&gt;1,((WEEKDAY($A235)+$T$2)&lt;7),(WEEKDAY($A235)&lt;&gt;1)),"work",(INDEX(Subject!$A:$I,MATCH(RANDBETWEEN(1,(MAX(Subject!$B:$B))),Subject!$B:$B,0),3))))</f>
        <v/>
      </c>
      <c r="M235" s="2" t="str">
        <f t="array" ref="M235">IF(NOW()&gt;AX235,"",IF(AND((WEEKDAY($A235)+$B$2)&gt;1,((WEEKDAY($A235)+$T$2)&lt;7),(WEEKDAY($A235)&lt;&gt;1)),"work",(INDEX(Subject!$A:$I,MATCH(RANDBETWEEN(1,(MAX(Subject!$B:$B))),Subject!$B:$B,0),3))))</f>
        <v/>
      </c>
      <c r="N235" s="2" t="str">
        <f t="array" ref="N235">IF(NOW()&gt;AY235,"",IF(AND((WEEKDAY($A235)+$B$2)&gt;1,((WEEKDAY($A235)+$T$2)&lt;7),(WEEKDAY($A235)&lt;&gt;1)),"work",(INDEX(Subject!$A:$I,MATCH(RANDBETWEEN(1,(MAX(Subject!$B:$B))),Subject!$B:$B,0),3))))</f>
        <v/>
      </c>
      <c r="O235" s="2" t="str">
        <f t="array" ref="O235">IF(NOW()&gt;AZ235,"",IF(AND((WEEKDAY($A235)+$B$2)&gt;1,((WEEKDAY($A235)+$T$2)&lt;7),(WEEKDAY($A235)&lt;&gt;1)),"work",(INDEX(Subject!$A:$I,MATCH(RANDBETWEEN(1,(MAX(Subject!$B:$B))),Subject!$B:$B,0),3))))</f>
        <v/>
      </c>
      <c r="P235" s="2" t="str">
        <f t="array" ref="P235">IF(NOW()&gt;BA235,"",IF(AND((WEEKDAY($A235)+$B$2)&gt;1,((WEEKDAY($A235)+$T$2)&lt;7),(WEEKDAY($A235)&lt;&gt;1)),"work",(INDEX(Subject!$A:$I,MATCH(RANDBETWEEN(1,(MAX(Subject!$B:$B))),Subject!$B:$B,0),3))))</f>
        <v/>
      </c>
      <c r="Q235" s="2" t="str">
        <f t="array" ref="Q235">IF(NOW()&gt;BB235,"",IF(AND((WEEKDAY($A235)+$B$2)&gt;1,((WEEKDAY($A235)+$T$2)&lt;7),(WEEKDAY($A235)&lt;&gt;1)),"work",(INDEX(Subject!$A:$I,MATCH(RANDBETWEEN(1,(MAX(Subject!$B:$B))),Subject!$B:$B,0),3))))</f>
        <v/>
      </c>
      <c r="R235" s="2" t="str">
        <f t="array" ref="R235">IF(NOW()&gt;BC235,"",IF(AND((WEEKDAY($A235)+$B$2)&gt;1,((WEEKDAY($A235)+$T$2)&lt;7),(WEEKDAY($A235)&lt;&gt;1)),"work",(INDEX(Subject!$A:$I,MATCH(RANDBETWEEN(1,(MAX(Subject!$B:$B))),Subject!$B:$B,0),3))))</f>
        <v/>
      </c>
      <c r="S235" s="2" t="str">
        <f t="array" ref="S235">IF(NOW()&gt;BD235,"",IF(AND((WEEKDAY($A235)+$B$2)&gt;1,((WEEKDAY($A235)+$T$2)&lt;7),(WEEKDAY($A235)&lt;&gt;1)),"work",(INDEX(Subject!$A:$I,MATCH(RANDBETWEEN(1,(MAX(Subject!$B:$B))),Subject!$B:$B,0),3))))</f>
        <v/>
      </c>
      <c r="T235" s="2" t="str">
        <f t="array" ref="T235">IF(NOW()&gt;BE235,"",IF(AND((WEEKDAY($A235)+$B$2)&gt;1,((WEEKDAY($A235)+$T$2)&lt;7),(WEEKDAY($A235)&lt;&gt;1)),"work",(INDEX(Subject!$A:$I,MATCH(RANDBETWEEN(1,(MAX(Subject!$B:$B))),Subject!$B:$B,0),3))))</f>
        <v/>
      </c>
      <c r="U235" s="8" t="str">
        <f t="array" ref="U235">INDEX(Subject!$A:$I,MATCH(RANDBETWEEN(1,16),Subject!$B:$B,0),3)</f>
        <v>#N/A</v>
      </c>
      <c r="V235" s="8" t="str">
        <f t="array" ref="V235">INDEX(Subject!$A:$I,MATCH(RANDBETWEEN(1,16),Subject!$B:$B,0),3)</f>
        <v>#N/A</v>
      </c>
      <c r="W235" s="8" t="str">
        <f t="array" ref="W235">INDEX(Subject!$A:$I,MATCH(RANDBETWEEN(1,16),Subject!$B:$B,0),3)</f>
        <v/>
      </c>
      <c r="X235" s="8" t="str">
        <f t="array" ref="X235">INDEX(Subject!$A:$I,MATCH(RANDBETWEEN(1,16),Subject!$B:$B,0),3)</f>
        <v>#N/A</v>
      </c>
      <c r="Y235" s="8" t="str">
        <f t="array" ref="Y235">INDEX(Subject!$A:$I,MATCH(RANDBETWEEN(1,16),Subject!$B:$B,0),3)</f>
        <v>#N/A</v>
      </c>
      <c r="Z235" s="8" t="str">
        <f t="array" ref="Z235">INDEX(Subject!$A:$I,MATCH(RANDBETWEEN(1,16),Subject!$B:$B,0),3)</f>
        <v>#N/A</v>
      </c>
      <c r="AA235" s="8" t="str">
        <f t="array" ref="AA235">INDEX(Subject!$A:$I,MATCH(RANDBETWEEN(1,16),Subject!$B:$B,0),3)</f>
        <v>#N/A</v>
      </c>
      <c r="AB235" s="8" t="str">
        <f t="array" ref="AB235">INDEX(Subject!$A:$I,MATCH(RANDBETWEEN(1,16),Subject!$B:$B,0),3)</f>
        <v>#N/A</v>
      </c>
      <c r="AC235" s="8" t="str">
        <f t="array" ref="AC235">INDEX(Subject!$A:$I,MATCH(RANDBETWEEN(1,16),Subject!$B:$B,0),3)</f>
        <v>#N/A</v>
      </c>
      <c r="AD235" s="8" t="str">
        <f t="array" ref="AD235">INDEX(Subject!$A:$I,MATCH(RANDBETWEEN(1,16),Subject!$B:$B,0),3)</f>
        <v>#N/A</v>
      </c>
      <c r="AE235" s="8" t="str">
        <f t="array" ref="AE235">INDEX(Subject!$A:$I,MATCH(RANDBETWEEN(1,16),Subject!$B:$B,0),3)</f>
        <v>#N/A</v>
      </c>
      <c r="AF235" s="8" t="str">
        <f t="array" ref="AF235">INDEX(Subject!$A:$I,MATCH(RANDBETWEEN(1,16),Subject!$B:$B,0),3)</f>
        <v>#N/A</v>
      </c>
      <c r="AG235" s="8" t="str">
        <f t="array" ref="AG235">INDEX(Subject!$A:$I,MATCH(RANDBETWEEN(1,16),Subject!$B:$B,0),3)</f>
        <v>#N/A</v>
      </c>
      <c r="AH235" s="8" t="str">
        <f t="array" ref="AH235">INDEX(Subject!$A:$I,MATCH(RANDBETWEEN(1,16),Subject!$B:$B,0),3)</f>
        <v>#N/A</v>
      </c>
      <c r="AI235" s="8" t="str">
        <f t="array" ref="AI235">INDEX(Subject!$A:$I,MATCH(RANDBETWEEN(1,16),Subject!$B:$B,0),3)</f>
        <v>#N/A</v>
      </c>
      <c r="AJ235" s="8" t="str">
        <f t="array" ref="AJ235">INDEX(Subject!$A:$I,MATCH(RANDBETWEEN(1,16),Subject!$B:$B,0),3)</f>
        <v>#N/A</v>
      </c>
      <c r="AK235" s="8" t="str">
        <f t="array" ref="AK235">INDEX(Subject!$A:$I,MATCH(RANDBETWEEN(1,16),Subject!$B:$B,0),3)</f>
        <v>#N/A</v>
      </c>
      <c r="AL235" s="8" t="str">
        <f t="array" ref="AL235">INDEX(Subject!$A:$I,MATCH(RANDBETWEEN(1,16),Subject!$B:$B,0),3)</f>
        <v>#N/A</v>
      </c>
      <c r="AM235" s="18">
        <f t="shared" si="4"/>
        <v>45735.33333</v>
      </c>
      <c r="AN235" s="19">
        <f t="shared" ref="AN235:BZ235" si="235">$A235+C$1</f>
        <v>45735.35417</v>
      </c>
      <c r="AO235" s="19">
        <f t="shared" si="235"/>
        <v>45735.375</v>
      </c>
      <c r="AP235" s="19">
        <f t="shared" si="235"/>
        <v>45735.39583</v>
      </c>
      <c r="AQ235" s="19">
        <f t="shared" si="235"/>
        <v>45735.41667</v>
      </c>
      <c r="AR235" s="19">
        <f t="shared" si="235"/>
        <v>45735.4375</v>
      </c>
      <c r="AS235" s="19">
        <f t="shared" si="235"/>
        <v>45735.45833</v>
      </c>
      <c r="AT235" s="19">
        <f t="shared" si="235"/>
        <v>45735.47917</v>
      </c>
      <c r="AU235" s="19">
        <f t="shared" si="235"/>
        <v>45735.5</v>
      </c>
      <c r="AV235" s="19">
        <f t="shared" si="235"/>
        <v>45735.52083</v>
      </c>
      <c r="AW235" s="19">
        <f t="shared" si="235"/>
        <v>45735.54167</v>
      </c>
      <c r="AX235" s="19">
        <f t="shared" si="235"/>
        <v>45735.5625</v>
      </c>
      <c r="AY235" s="19">
        <f t="shared" si="235"/>
        <v>45735.58333</v>
      </c>
      <c r="AZ235" s="19">
        <f t="shared" si="235"/>
        <v>45735.60417</v>
      </c>
      <c r="BA235" s="19">
        <f t="shared" si="235"/>
        <v>45735.625</v>
      </c>
      <c r="BB235" s="19">
        <f t="shared" si="235"/>
        <v>45735.64583</v>
      </c>
      <c r="BC235" s="19">
        <f t="shared" si="235"/>
        <v>45735.66667</v>
      </c>
      <c r="BD235" s="19">
        <f t="shared" si="235"/>
        <v>45735.6875</v>
      </c>
      <c r="BE235" s="19">
        <f t="shared" si="235"/>
        <v>45735.70833</v>
      </c>
      <c r="BF235" s="19">
        <f t="shared" si="235"/>
        <v>45735.72917</v>
      </c>
      <c r="BG235" s="19">
        <f t="shared" si="235"/>
        <v>45735.75</v>
      </c>
      <c r="BH235" s="19">
        <f t="shared" si="235"/>
        <v>45735.77083</v>
      </c>
      <c r="BI235" s="19">
        <f t="shared" si="235"/>
        <v>45735.79167</v>
      </c>
      <c r="BJ235" s="19">
        <f t="shared" si="235"/>
        <v>45735.8125</v>
      </c>
      <c r="BK235" s="19">
        <f t="shared" si="235"/>
        <v>45735.83333</v>
      </c>
      <c r="BL235" s="19">
        <f t="shared" si="235"/>
        <v>45735.85417</v>
      </c>
      <c r="BM235" s="19">
        <f t="shared" si="235"/>
        <v>45735.875</v>
      </c>
      <c r="BN235" s="19">
        <f t="shared" si="235"/>
        <v>45735.89583</v>
      </c>
      <c r="BO235" s="19">
        <f t="shared" si="235"/>
        <v>45735.91667</v>
      </c>
      <c r="BP235" s="19">
        <f t="shared" si="235"/>
        <v>45735.9375</v>
      </c>
      <c r="BQ235" s="19">
        <f t="shared" si="235"/>
        <v>45735.95833</v>
      </c>
      <c r="BR235" s="19">
        <f t="shared" si="235"/>
        <v>45735.97917</v>
      </c>
      <c r="BS235" s="19">
        <f t="shared" si="235"/>
        <v>45736</v>
      </c>
      <c r="BT235" s="19">
        <f t="shared" si="235"/>
        <v>45736.02083</v>
      </c>
      <c r="BU235" s="19">
        <f t="shared" si="235"/>
        <v>45736.04167</v>
      </c>
      <c r="BV235" s="19">
        <f t="shared" si="235"/>
        <v>45736.0625</v>
      </c>
      <c r="BW235" s="19">
        <f t="shared" si="235"/>
        <v>45736.08333</v>
      </c>
      <c r="BX235" s="19">
        <f t="shared" si="235"/>
        <v>45735</v>
      </c>
      <c r="BY235" s="19">
        <f t="shared" si="235"/>
        <v>45735</v>
      </c>
      <c r="BZ235" s="19">
        <f t="shared" si="235"/>
        <v>45735</v>
      </c>
    </row>
    <row r="236" ht="14.25" customHeight="1">
      <c r="A236" s="17">
        <v>45736.0</v>
      </c>
      <c r="B236" s="2" t="str">
        <f t="array" ref="B236">IF(NOW()&gt;AM236,"",IF(AND((WEEKDAY($A236)+$B$2)&gt;1,((WEEKDAY($A236)+$T$2)&lt;7),(WEEKDAY($A236)&lt;&gt;1)),"work",(INDEX(Subject!$A:$I,MATCH(RANDBETWEEN(1,(MAX(Subject!$B:$B))),Subject!$B:$B,0),3))))</f>
        <v/>
      </c>
      <c r="C236" s="2" t="str">
        <f t="array" ref="C236">IF(NOW()&gt;AN236,"",IF(AND((WEEKDAY($A236)+$B$2)&gt;1,((WEEKDAY($A236)+$T$2)&lt;7),(WEEKDAY($A236)&lt;&gt;1)),"work",(INDEX(Subject!$A:$I,MATCH(RANDBETWEEN(1,(MAX(Subject!$B:$B))),Subject!$B:$B,0),3))))</f>
        <v/>
      </c>
      <c r="D236" s="2" t="str">
        <f t="array" ref="D236">IF(NOW()&gt;AO236,"",IF(AND((WEEKDAY($A236)+$B$2)&gt;1,((WEEKDAY($A236)+$T$2)&lt;7),(WEEKDAY($A236)&lt;&gt;1)),"work",(INDEX(Subject!$A:$I,MATCH(RANDBETWEEN(1,(MAX(Subject!$B:$B))),Subject!$B:$B,0),3))))</f>
        <v/>
      </c>
      <c r="E236" s="2" t="str">
        <f t="array" ref="E236">IF(NOW()&gt;AP236,"",IF(AND((WEEKDAY($A236)+$B$2)&gt;1,((WEEKDAY($A236)+$T$2)&lt;7),(WEEKDAY($A236)&lt;&gt;1)),"work",(INDEX(Subject!$A:$I,MATCH(RANDBETWEEN(1,(MAX(Subject!$B:$B))),Subject!$B:$B,0),3))))</f>
        <v/>
      </c>
      <c r="F236" s="2" t="str">
        <f t="array" ref="F236">IF(NOW()&gt;AQ236,"",IF(AND((WEEKDAY($A236)+$B$2)&gt;1,((WEEKDAY($A236)+$T$2)&lt;7),(WEEKDAY($A236)&lt;&gt;1)),"work",(INDEX(Subject!$A:$I,MATCH(RANDBETWEEN(1,(MAX(Subject!$B:$B))),Subject!$B:$B,0),3))))</f>
        <v/>
      </c>
      <c r="G236" s="2" t="str">
        <f t="array" ref="G236">IF(NOW()&gt;AR236,"",IF(AND((WEEKDAY($A236)+$B$2)&gt;1,((WEEKDAY($A236)+$T$2)&lt;7),(WEEKDAY($A236)&lt;&gt;1)),"work",(INDEX(Subject!$A:$I,MATCH(RANDBETWEEN(1,(MAX(Subject!$B:$B))),Subject!$B:$B,0),3))))</f>
        <v/>
      </c>
      <c r="H236" s="2" t="str">
        <f t="array" ref="H236">IF(NOW()&gt;AS236,"",IF(AND((WEEKDAY($A236)+$B$2)&gt;1,((WEEKDAY($A236)+$T$2)&lt;7),(WEEKDAY($A236)&lt;&gt;1)),"work",(INDEX(Subject!$A:$I,MATCH(RANDBETWEEN(1,(MAX(Subject!$B:$B))),Subject!$B:$B,0),3))))</f>
        <v/>
      </c>
      <c r="I236" s="2" t="str">
        <f t="array" ref="I236">IF(NOW()&gt;AT236,"",IF(AND((WEEKDAY($A236)+$B$2)&gt;1,((WEEKDAY($A236)+$T$2)&lt;7),(WEEKDAY($A236)&lt;&gt;1)),"work",(INDEX(Subject!$A:$I,MATCH(RANDBETWEEN(1,(MAX(Subject!$B:$B))),Subject!$B:$B,0),3))))</f>
        <v/>
      </c>
      <c r="J236" s="2" t="str">
        <f t="array" ref="J236">IF(NOW()&gt;AU236,"",IF(AND((WEEKDAY($A236)+$B$2)&gt;1,((WEEKDAY($A236)+$T$2)&lt;7),(WEEKDAY($A236)&lt;&gt;1)),"work",(INDEX(Subject!$A:$I,MATCH(RANDBETWEEN(1,(MAX(Subject!$B:$B))),Subject!$B:$B,0),3))))</f>
        <v/>
      </c>
      <c r="K236" s="2" t="str">
        <f t="array" ref="K236">IF(NOW()&gt;AV236,"",IF(AND((WEEKDAY($A236)+$B$2)&gt;1,((WEEKDAY($A236)+$T$2)&lt;7),(WEEKDAY($A236)&lt;&gt;1)),"work",(INDEX(Subject!$A:$I,MATCH(RANDBETWEEN(1,(MAX(Subject!$B:$B))),Subject!$B:$B,0),3))))</f>
        <v/>
      </c>
      <c r="L236" s="2" t="str">
        <f t="array" ref="L236">IF(NOW()&gt;AW236,"",IF(AND((WEEKDAY($A236)+$B$2)&gt;1,((WEEKDAY($A236)+$T$2)&lt;7),(WEEKDAY($A236)&lt;&gt;1)),"work",(INDEX(Subject!$A:$I,MATCH(RANDBETWEEN(1,(MAX(Subject!$B:$B))),Subject!$B:$B,0),3))))</f>
        <v/>
      </c>
      <c r="M236" s="2" t="str">
        <f t="array" ref="M236">IF(NOW()&gt;AX236,"",IF(AND((WEEKDAY($A236)+$B$2)&gt;1,((WEEKDAY($A236)+$T$2)&lt;7),(WEEKDAY($A236)&lt;&gt;1)),"work",(INDEX(Subject!$A:$I,MATCH(RANDBETWEEN(1,(MAX(Subject!$B:$B))),Subject!$B:$B,0),3))))</f>
        <v/>
      </c>
      <c r="N236" s="2" t="str">
        <f t="array" ref="N236">IF(NOW()&gt;AY236,"",IF(AND((WEEKDAY($A236)+$B$2)&gt;1,((WEEKDAY($A236)+$T$2)&lt;7),(WEEKDAY($A236)&lt;&gt;1)),"work",(INDEX(Subject!$A:$I,MATCH(RANDBETWEEN(1,(MAX(Subject!$B:$B))),Subject!$B:$B,0),3))))</f>
        <v/>
      </c>
      <c r="O236" s="2" t="str">
        <f t="array" ref="O236">IF(NOW()&gt;AZ236,"",IF(AND((WEEKDAY($A236)+$B$2)&gt;1,((WEEKDAY($A236)+$T$2)&lt;7),(WEEKDAY($A236)&lt;&gt;1)),"work",(INDEX(Subject!$A:$I,MATCH(RANDBETWEEN(1,(MAX(Subject!$B:$B))),Subject!$B:$B,0),3))))</f>
        <v/>
      </c>
      <c r="P236" s="2" t="str">
        <f t="array" ref="P236">IF(NOW()&gt;BA236,"",IF(AND((WEEKDAY($A236)+$B$2)&gt;1,((WEEKDAY($A236)+$T$2)&lt;7),(WEEKDAY($A236)&lt;&gt;1)),"work",(INDEX(Subject!$A:$I,MATCH(RANDBETWEEN(1,(MAX(Subject!$B:$B))),Subject!$B:$B,0),3))))</f>
        <v/>
      </c>
      <c r="Q236" s="2" t="str">
        <f t="array" ref="Q236">IF(NOW()&gt;BB236,"",IF(AND((WEEKDAY($A236)+$B$2)&gt;1,((WEEKDAY($A236)+$T$2)&lt;7),(WEEKDAY($A236)&lt;&gt;1)),"work",(INDEX(Subject!$A:$I,MATCH(RANDBETWEEN(1,(MAX(Subject!$B:$B))),Subject!$B:$B,0),3))))</f>
        <v/>
      </c>
      <c r="R236" s="2" t="str">
        <f t="array" ref="R236">IF(NOW()&gt;BC236,"",IF(AND((WEEKDAY($A236)+$B$2)&gt;1,((WEEKDAY($A236)+$T$2)&lt;7),(WEEKDAY($A236)&lt;&gt;1)),"work",(INDEX(Subject!$A:$I,MATCH(RANDBETWEEN(1,(MAX(Subject!$B:$B))),Subject!$B:$B,0),3))))</f>
        <v/>
      </c>
      <c r="S236" s="2" t="str">
        <f t="array" ref="S236">IF(NOW()&gt;BD236,"",IF(AND((WEEKDAY($A236)+$B$2)&gt;1,((WEEKDAY($A236)+$T$2)&lt;7),(WEEKDAY($A236)&lt;&gt;1)),"work",(INDEX(Subject!$A:$I,MATCH(RANDBETWEEN(1,(MAX(Subject!$B:$B))),Subject!$B:$B,0),3))))</f>
        <v/>
      </c>
      <c r="T236" s="2" t="str">
        <f t="array" ref="T236">IF(NOW()&gt;BE236,"",IF(AND((WEEKDAY($A236)+$B$2)&gt;1,((WEEKDAY($A236)+$T$2)&lt;7),(WEEKDAY($A236)&lt;&gt;1)),"work",(INDEX(Subject!$A:$I,MATCH(RANDBETWEEN(1,(MAX(Subject!$B:$B))),Subject!$B:$B,0),3))))</f>
        <v/>
      </c>
      <c r="U236" s="8" t="str">
        <f t="array" ref="U236">INDEX(Subject!$A:$I,MATCH(RANDBETWEEN(1,16),Subject!$B:$B,0),3)</f>
        <v/>
      </c>
      <c r="V236" s="8" t="str">
        <f t="array" ref="V236">INDEX(Subject!$A:$I,MATCH(RANDBETWEEN(1,16),Subject!$B:$B,0),3)</f>
        <v>#N/A</v>
      </c>
      <c r="W236" s="8" t="str">
        <f t="array" ref="W236">INDEX(Subject!$A:$I,MATCH(RANDBETWEEN(1,16),Subject!$B:$B,0),3)</f>
        <v>#N/A</v>
      </c>
      <c r="X236" s="8" t="str">
        <f t="array" ref="X236">INDEX(Subject!$A:$I,MATCH(RANDBETWEEN(1,16),Subject!$B:$B,0),3)</f>
        <v>#N/A</v>
      </c>
      <c r="Y236" s="8" t="str">
        <f t="array" ref="Y236">INDEX(Subject!$A:$I,MATCH(RANDBETWEEN(1,16),Subject!$B:$B,0),3)</f>
        <v>#N/A</v>
      </c>
      <c r="Z236" s="8" t="str">
        <f t="array" ref="Z236">INDEX(Subject!$A:$I,MATCH(RANDBETWEEN(1,16),Subject!$B:$B,0),3)</f>
        <v>#N/A</v>
      </c>
      <c r="AA236" s="8" t="str">
        <f t="array" ref="AA236">INDEX(Subject!$A:$I,MATCH(RANDBETWEEN(1,16),Subject!$B:$B,0),3)</f>
        <v>#N/A</v>
      </c>
      <c r="AB236" s="8" t="str">
        <f t="array" ref="AB236">INDEX(Subject!$A:$I,MATCH(RANDBETWEEN(1,16),Subject!$B:$B,0),3)</f>
        <v>#N/A</v>
      </c>
      <c r="AC236" s="8" t="str">
        <f t="array" ref="AC236">INDEX(Subject!$A:$I,MATCH(RANDBETWEEN(1,16),Subject!$B:$B,0),3)</f>
        <v>#N/A</v>
      </c>
      <c r="AD236" s="8" t="str">
        <f t="array" ref="AD236">INDEX(Subject!$A:$I,MATCH(RANDBETWEEN(1,16),Subject!$B:$B,0),3)</f>
        <v>#N/A</v>
      </c>
      <c r="AE236" s="8" t="str">
        <f t="array" ref="AE236">INDEX(Subject!$A:$I,MATCH(RANDBETWEEN(1,16),Subject!$B:$B,0),3)</f>
        <v>#N/A</v>
      </c>
      <c r="AF236" s="8" t="str">
        <f t="array" ref="AF236">INDEX(Subject!$A:$I,MATCH(RANDBETWEEN(1,16),Subject!$B:$B,0),3)</f>
        <v>#N/A</v>
      </c>
      <c r="AG236" s="8" t="str">
        <f t="array" ref="AG236">INDEX(Subject!$A:$I,MATCH(RANDBETWEEN(1,16),Subject!$B:$B,0),3)</f>
        <v>#N/A</v>
      </c>
      <c r="AH236" s="8" t="str">
        <f t="array" ref="AH236">INDEX(Subject!$A:$I,MATCH(RANDBETWEEN(1,16),Subject!$B:$B,0),3)</f>
        <v>#N/A</v>
      </c>
      <c r="AI236" s="8" t="str">
        <f t="array" ref="AI236">INDEX(Subject!$A:$I,MATCH(RANDBETWEEN(1,16),Subject!$B:$B,0),3)</f>
        <v>#N/A</v>
      </c>
      <c r="AJ236" s="8" t="str">
        <f t="array" ref="AJ236">INDEX(Subject!$A:$I,MATCH(RANDBETWEEN(1,16),Subject!$B:$B,0),3)</f>
        <v/>
      </c>
      <c r="AK236" s="8" t="str">
        <f t="array" ref="AK236">INDEX(Subject!$A:$I,MATCH(RANDBETWEEN(1,16),Subject!$B:$B,0),3)</f>
        <v>#N/A</v>
      </c>
      <c r="AL236" s="8" t="str">
        <f t="array" ref="AL236">INDEX(Subject!$A:$I,MATCH(RANDBETWEEN(1,16),Subject!$B:$B,0),3)</f>
        <v>#N/A</v>
      </c>
      <c r="AM236" s="18">
        <f t="shared" si="4"/>
        <v>45736.33333</v>
      </c>
      <c r="AN236" s="19">
        <f t="shared" ref="AN236:BZ236" si="236">$A236+C$1</f>
        <v>45736.35417</v>
      </c>
      <c r="AO236" s="19">
        <f t="shared" si="236"/>
        <v>45736.375</v>
      </c>
      <c r="AP236" s="19">
        <f t="shared" si="236"/>
        <v>45736.39583</v>
      </c>
      <c r="AQ236" s="19">
        <f t="shared" si="236"/>
        <v>45736.41667</v>
      </c>
      <c r="AR236" s="19">
        <f t="shared" si="236"/>
        <v>45736.4375</v>
      </c>
      <c r="AS236" s="19">
        <f t="shared" si="236"/>
        <v>45736.45833</v>
      </c>
      <c r="AT236" s="19">
        <f t="shared" si="236"/>
        <v>45736.47917</v>
      </c>
      <c r="AU236" s="19">
        <f t="shared" si="236"/>
        <v>45736.5</v>
      </c>
      <c r="AV236" s="19">
        <f t="shared" si="236"/>
        <v>45736.52083</v>
      </c>
      <c r="AW236" s="19">
        <f t="shared" si="236"/>
        <v>45736.54167</v>
      </c>
      <c r="AX236" s="19">
        <f t="shared" si="236"/>
        <v>45736.5625</v>
      </c>
      <c r="AY236" s="19">
        <f t="shared" si="236"/>
        <v>45736.58333</v>
      </c>
      <c r="AZ236" s="19">
        <f t="shared" si="236"/>
        <v>45736.60417</v>
      </c>
      <c r="BA236" s="19">
        <f t="shared" si="236"/>
        <v>45736.625</v>
      </c>
      <c r="BB236" s="19">
        <f t="shared" si="236"/>
        <v>45736.64583</v>
      </c>
      <c r="BC236" s="19">
        <f t="shared" si="236"/>
        <v>45736.66667</v>
      </c>
      <c r="BD236" s="19">
        <f t="shared" si="236"/>
        <v>45736.6875</v>
      </c>
      <c r="BE236" s="19">
        <f t="shared" si="236"/>
        <v>45736.70833</v>
      </c>
      <c r="BF236" s="19">
        <f t="shared" si="236"/>
        <v>45736.72917</v>
      </c>
      <c r="BG236" s="19">
        <f t="shared" si="236"/>
        <v>45736.75</v>
      </c>
      <c r="BH236" s="19">
        <f t="shared" si="236"/>
        <v>45736.77083</v>
      </c>
      <c r="BI236" s="19">
        <f t="shared" si="236"/>
        <v>45736.79167</v>
      </c>
      <c r="BJ236" s="19">
        <f t="shared" si="236"/>
        <v>45736.8125</v>
      </c>
      <c r="BK236" s="19">
        <f t="shared" si="236"/>
        <v>45736.83333</v>
      </c>
      <c r="BL236" s="19">
        <f t="shared" si="236"/>
        <v>45736.85417</v>
      </c>
      <c r="BM236" s="19">
        <f t="shared" si="236"/>
        <v>45736.875</v>
      </c>
      <c r="BN236" s="19">
        <f t="shared" si="236"/>
        <v>45736.89583</v>
      </c>
      <c r="BO236" s="19">
        <f t="shared" si="236"/>
        <v>45736.91667</v>
      </c>
      <c r="BP236" s="19">
        <f t="shared" si="236"/>
        <v>45736.9375</v>
      </c>
      <c r="BQ236" s="19">
        <f t="shared" si="236"/>
        <v>45736.95833</v>
      </c>
      <c r="BR236" s="19">
        <f t="shared" si="236"/>
        <v>45736.97917</v>
      </c>
      <c r="BS236" s="19">
        <f t="shared" si="236"/>
        <v>45737</v>
      </c>
      <c r="BT236" s="19">
        <f t="shared" si="236"/>
        <v>45737.02083</v>
      </c>
      <c r="BU236" s="19">
        <f t="shared" si="236"/>
        <v>45737.04167</v>
      </c>
      <c r="BV236" s="19">
        <f t="shared" si="236"/>
        <v>45737.0625</v>
      </c>
      <c r="BW236" s="19">
        <f t="shared" si="236"/>
        <v>45737.08333</v>
      </c>
      <c r="BX236" s="19">
        <f t="shared" si="236"/>
        <v>45736</v>
      </c>
      <c r="BY236" s="19">
        <f t="shared" si="236"/>
        <v>45736</v>
      </c>
      <c r="BZ236" s="19">
        <f t="shared" si="236"/>
        <v>45736</v>
      </c>
    </row>
    <row r="237" ht="14.25" customHeight="1">
      <c r="A237" s="17">
        <v>45737.0</v>
      </c>
      <c r="B237" s="2" t="str">
        <f t="array" ref="B237">IF(NOW()&gt;AM237,"",IF(AND((WEEKDAY($A237)+$B$2)&gt;1,((WEEKDAY($A237)+$T$2)&lt;7),(WEEKDAY($A237)&lt;&gt;1)),"work",(INDEX(Subject!$A:$I,MATCH(RANDBETWEEN(1,(MAX(Subject!$B:$B))),Subject!$B:$B,0),3))))</f>
        <v/>
      </c>
      <c r="C237" s="2" t="str">
        <f t="array" ref="C237">IF(NOW()&gt;AN237,"",IF(AND((WEEKDAY($A237)+$B$2)&gt;1,((WEEKDAY($A237)+$T$2)&lt;7),(WEEKDAY($A237)&lt;&gt;1)),"work",(INDEX(Subject!$A:$I,MATCH(RANDBETWEEN(1,(MAX(Subject!$B:$B))),Subject!$B:$B,0),3))))</f>
        <v/>
      </c>
      <c r="D237" s="2" t="str">
        <f t="array" ref="D237">IF(NOW()&gt;AO237,"",IF(AND((WEEKDAY($A237)+$B$2)&gt;1,((WEEKDAY($A237)+$T$2)&lt;7),(WEEKDAY($A237)&lt;&gt;1)),"work",(INDEX(Subject!$A:$I,MATCH(RANDBETWEEN(1,(MAX(Subject!$B:$B))),Subject!$B:$B,0),3))))</f>
        <v/>
      </c>
      <c r="E237" s="2" t="str">
        <f t="array" ref="E237">IF(NOW()&gt;AP237,"",IF(AND((WEEKDAY($A237)+$B$2)&gt;1,((WEEKDAY($A237)+$T$2)&lt;7),(WEEKDAY($A237)&lt;&gt;1)),"work",(INDEX(Subject!$A:$I,MATCH(RANDBETWEEN(1,(MAX(Subject!$B:$B))),Subject!$B:$B,0),3))))</f>
        <v/>
      </c>
      <c r="F237" s="2" t="str">
        <f t="array" ref="F237">IF(NOW()&gt;AQ237,"",IF(AND((WEEKDAY($A237)+$B$2)&gt;1,((WEEKDAY($A237)+$T$2)&lt;7),(WEEKDAY($A237)&lt;&gt;1)),"work",(INDEX(Subject!$A:$I,MATCH(RANDBETWEEN(1,(MAX(Subject!$B:$B))),Subject!$B:$B,0),3))))</f>
        <v/>
      </c>
      <c r="G237" s="2" t="str">
        <f t="array" ref="G237">IF(NOW()&gt;AR237,"",IF(AND((WEEKDAY($A237)+$B$2)&gt;1,((WEEKDAY($A237)+$T$2)&lt;7),(WEEKDAY($A237)&lt;&gt;1)),"work",(INDEX(Subject!$A:$I,MATCH(RANDBETWEEN(1,(MAX(Subject!$B:$B))),Subject!$B:$B,0),3))))</f>
        <v/>
      </c>
      <c r="H237" s="2" t="str">
        <f t="array" ref="H237">IF(NOW()&gt;AS237,"",IF(AND((WEEKDAY($A237)+$B$2)&gt;1,((WEEKDAY($A237)+$T$2)&lt;7),(WEEKDAY($A237)&lt;&gt;1)),"work",(INDEX(Subject!$A:$I,MATCH(RANDBETWEEN(1,(MAX(Subject!$B:$B))),Subject!$B:$B,0),3))))</f>
        <v/>
      </c>
      <c r="I237" s="2" t="str">
        <f t="array" ref="I237">IF(NOW()&gt;AT237,"",IF(AND((WEEKDAY($A237)+$B$2)&gt;1,((WEEKDAY($A237)+$T$2)&lt;7),(WEEKDAY($A237)&lt;&gt;1)),"work",(INDEX(Subject!$A:$I,MATCH(RANDBETWEEN(1,(MAX(Subject!$B:$B))),Subject!$B:$B,0),3))))</f>
        <v/>
      </c>
      <c r="J237" s="2" t="str">
        <f t="array" ref="J237">IF(NOW()&gt;AU237,"",IF(AND((WEEKDAY($A237)+$B$2)&gt;1,((WEEKDAY($A237)+$T$2)&lt;7),(WEEKDAY($A237)&lt;&gt;1)),"work",(INDEX(Subject!$A:$I,MATCH(RANDBETWEEN(1,(MAX(Subject!$B:$B))),Subject!$B:$B,0),3))))</f>
        <v/>
      </c>
      <c r="K237" s="2" t="str">
        <f t="array" ref="K237">IF(NOW()&gt;AV237,"",IF(AND((WEEKDAY($A237)+$B$2)&gt;1,((WEEKDAY($A237)+$T$2)&lt;7),(WEEKDAY($A237)&lt;&gt;1)),"work",(INDEX(Subject!$A:$I,MATCH(RANDBETWEEN(1,(MAX(Subject!$B:$B))),Subject!$B:$B,0),3))))</f>
        <v/>
      </c>
      <c r="L237" s="2" t="str">
        <f t="array" ref="L237">IF(NOW()&gt;AW237,"",IF(AND((WEEKDAY($A237)+$B$2)&gt;1,((WEEKDAY($A237)+$T$2)&lt;7),(WEEKDAY($A237)&lt;&gt;1)),"work",(INDEX(Subject!$A:$I,MATCH(RANDBETWEEN(1,(MAX(Subject!$B:$B))),Subject!$B:$B,0),3))))</f>
        <v/>
      </c>
      <c r="M237" s="2" t="str">
        <f t="array" ref="M237">IF(NOW()&gt;AX237,"",IF(AND((WEEKDAY($A237)+$B$2)&gt;1,((WEEKDAY($A237)+$T$2)&lt;7),(WEEKDAY($A237)&lt;&gt;1)),"work",(INDEX(Subject!$A:$I,MATCH(RANDBETWEEN(1,(MAX(Subject!$B:$B))),Subject!$B:$B,0),3))))</f>
        <v/>
      </c>
      <c r="N237" s="2" t="str">
        <f t="array" ref="N237">IF(NOW()&gt;AY237,"",IF(AND((WEEKDAY($A237)+$B$2)&gt;1,((WEEKDAY($A237)+$T$2)&lt;7),(WEEKDAY($A237)&lt;&gt;1)),"work",(INDEX(Subject!$A:$I,MATCH(RANDBETWEEN(1,(MAX(Subject!$B:$B))),Subject!$B:$B,0),3))))</f>
        <v/>
      </c>
      <c r="O237" s="2" t="str">
        <f t="array" ref="O237">IF(NOW()&gt;AZ237,"",IF(AND((WEEKDAY($A237)+$B$2)&gt;1,((WEEKDAY($A237)+$T$2)&lt;7),(WEEKDAY($A237)&lt;&gt;1)),"work",(INDEX(Subject!$A:$I,MATCH(RANDBETWEEN(1,(MAX(Subject!$B:$B))),Subject!$B:$B,0),3))))</f>
        <v/>
      </c>
      <c r="P237" s="2" t="str">
        <f t="array" ref="P237">IF(NOW()&gt;BA237,"",IF(AND((WEEKDAY($A237)+$B$2)&gt;1,((WEEKDAY($A237)+$T$2)&lt;7),(WEEKDAY($A237)&lt;&gt;1)),"work",(INDEX(Subject!$A:$I,MATCH(RANDBETWEEN(1,(MAX(Subject!$B:$B))),Subject!$B:$B,0),3))))</f>
        <v/>
      </c>
      <c r="Q237" s="2" t="str">
        <f t="array" ref="Q237">IF(NOW()&gt;BB237,"",IF(AND((WEEKDAY($A237)+$B$2)&gt;1,((WEEKDAY($A237)+$T$2)&lt;7),(WEEKDAY($A237)&lt;&gt;1)),"work",(INDEX(Subject!$A:$I,MATCH(RANDBETWEEN(1,(MAX(Subject!$B:$B))),Subject!$B:$B,0),3))))</f>
        <v/>
      </c>
      <c r="R237" s="2" t="str">
        <f t="array" ref="R237">IF(NOW()&gt;BC237,"",IF(AND((WEEKDAY($A237)+$B$2)&gt;1,((WEEKDAY($A237)+$T$2)&lt;7),(WEEKDAY($A237)&lt;&gt;1)),"work",(INDEX(Subject!$A:$I,MATCH(RANDBETWEEN(1,(MAX(Subject!$B:$B))),Subject!$B:$B,0),3))))</f>
        <v/>
      </c>
      <c r="S237" s="2" t="str">
        <f t="array" ref="S237">IF(NOW()&gt;BD237,"",IF(AND((WEEKDAY($A237)+$B$2)&gt;1,((WEEKDAY($A237)+$T$2)&lt;7),(WEEKDAY($A237)&lt;&gt;1)),"work",(INDEX(Subject!$A:$I,MATCH(RANDBETWEEN(1,(MAX(Subject!$B:$B))),Subject!$B:$B,0),3))))</f>
        <v/>
      </c>
      <c r="T237" s="2" t="str">
        <f t="array" ref="T237">IF(NOW()&gt;BE237,"",IF(AND((WEEKDAY($A237)+$B$2)&gt;1,((WEEKDAY($A237)+$T$2)&lt;7),(WEEKDAY($A237)&lt;&gt;1)),"work",(INDEX(Subject!$A:$I,MATCH(RANDBETWEEN(1,(MAX(Subject!$B:$B))),Subject!$B:$B,0),3))))</f>
        <v/>
      </c>
      <c r="U237" s="8" t="str">
        <f t="array" ref="U237">INDEX(Subject!$A:$I,MATCH(RANDBETWEEN(1,16),Subject!$B:$B,0),3)</f>
        <v>#N/A</v>
      </c>
      <c r="V237" s="8" t="str">
        <f t="array" ref="V237">INDEX(Subject!$A:$I,MATCH(RANDBETWEEN(1,16),Subject!$B:$B,0),3)</f>
        <v>#N/A</v>
      </c>
      <c r="W237" s="8" t="str">
        <f t="array" ref="W237">INDEX(Subject!$A:$I,MATCH(RANDBETWEEN(1,16),Subject!$B:$B,0),3)</f>
        <v>#N/A</v>
      </c>
      <c r="X237" s="8" t="str">
        <f t="array" ref="X237">INDEX(Subject!$A:$I,MATCH(RANDBETWEEN(1,16),Subject!$B:$B,0),3)</f>
        <v>#N/A</v>
      </c>
      <c r="Y237" s="8" t="str">
        <f t="array" ref="Y237">INDEX(Subject!$A:$I,MATCH(RANDBETWEEN(1,16),Subject!$B:$B,0),3)</f>
        <v>#N/A</v>
      </c>
      <c r="Z237" s="8" t="str">
        <f t="array" ref="Z237">INDEX(Subject!$A:$I,MATCH(RANDBETWEEN(1,16),Subject!$B:$B,0),3)</f>
        <v/>
      </c>
      <c r="AA237" s="8" t="str">
        <f t="array" ref="AA237">INDEX(Subject!$A:$I,MATCH(RANDBETWEEN(1,16),Subject!$B:$B,0),3)</f>
        <v>#N/A</v>
      </c>
      <c r="AB237" s="8" t="str">
        <f t="array" ref="AB237">INDEX(Subject!$A:$I,MATCH(RANDBETWEEN(1,16),Subject!$B:$B,0),3)</f>
        <v>#N/A</v>
      </c>
      <c r="AC237" s="8" t="str">
        <f t="array" ref="AC237">INDEX(Subject!$A:$I,MATCH(RANDBETWEEN(1,16),Subject!$B:$B,0),3)</f>
        <v>#N/A</v>
      </c>
      <c r="AD237" s="8" t="str">
        <f t="array" ref="AD237">INDEX(Subject!$A:$I,MATCH(RANDBETWEEN(1,16),Subject!$B:$B,0),3)</f>
        <v>#N/A</v>
      </c>
      <c r="AE237" s="8" t="str">
        <f t="array" ref="AE237">INDEX(Subject!$A:$I,MATCH(RANDBETWEEN(1,16),Subject!$B:$B,0),3)</f>
        <v>#N/A</v>
      </c>
      <c r="AF237" s="8" t="str">
        <f t="array" ref="AF237">INDEX(Subject!$A:$I,MATCH(RANDBETWEEN(1,16),Subject!$B:$B,0),3)</f>
        <v>#N/A</v>
      </c>
      <c r="AG237" s="8" t="str">
        <f t="array" ref="AG237">INDEX(Subject!$A:$I,MATCH(RANDBETWEEN(1,16),Subject!$B:$B,0),3)</f>
        <v>#N/A</v>
      </c>
      <c r="AH237" s="8" t="str">
        <f t="array" ref="AH237">INDEX(Subject!$A:$I,MATCH(RANDBETWEEN(1,16),Subject!$B:$B,0),3)</f>
        <v>#N/A</v>
      </c>
      <c r="AI237" s="8" t="str">
        <f t="array" ref="AI237">INDEX(Subject!$A:$I,MATCH(RANDBETWEEN(1,16),Subject!$B:$B,0),3)</f>
        <v>#N/A</v>
      </c>
      <c r="AJ237" s="8" t="str">
        <f t="array" ref="AJ237">INDEX(Subject!$A:$I,MATCH(RANDBETWEEN(1,16),Subject!$B:$B,0),3)</f>
        <v>#N/A</v>
      </c>
      <c r="AK237" s="8" t="str">
        <f t="array" ref="AK237">INDEX(Subject!$A:$I,MATCH(RANDBETWEEN(1,16),Subject!$B:$B,0),3)</f>
        <v>#N/A</v>
      </c>
      <c r="AL237" s="8" t="str">
        <f t="array" ref="AL237">INDEX(Subject!$A:$I,MATCH(RANDBETWEEN(1,16),Subject!$B:$B,0),3)</f>
        <v>#N/A</v>
      </c>
      <c r="AM237" s="18">
        <f t="shared" si="4"/>
        <v>45737.33333</v>
      </c>
      <c r="AN237" s="19">
        <f t="shared" ref="AN237:BZ237" si="237">$A237+C$1</f>
        <v>45737.35417</v>
      </c>
      <c r="AO237" s="19">
        <f t="shared" si="237"/>
        <v>45737.375</v>
      </c>
      <c r="AP237" s="19">
        <f t="shared" si="237"/>
        <v>45737.39583</v>
      </c>
      <c r="AQ237" s="19">
        <f t="shared" si="237"/>
        <v>45737.41667</v>
      </c>
      <c r="AR237" s="19">
        <f t="shared" si="237"/>
        <v>45737.4375</v>
      </c>
      <c r="AS237" s="19">
        <f t="shared" si="237"/>
        <v>45737.45833</v>
      </c>
      <c r="AT237" s="19">
        <f t="shared" si="237"/>
        <v>45737.47917</v>
      </c>
      <c r="AU237" s="19">
        <f t="shared" si="237"/>
        <v>45737.5</v>
      </c>
      <c r="AV237" s="19">
        <f t="shared" si="237"/>
        <v>45737.52083</v>
      </c>
      <c r="AW237" s="19">
        <f t="shared" si="237"/>
        <v>45737.54167</v>
      </c>
      <c r="AX237" s="19">
        <f t="shared" si="237"/>
        <v>45737.5625</v>
      </c>
      <c r="AY237" s="19">
        <f t="shared" si="237"/>
        <v>45737.58333</v>
      </c>
      <c r="AZ237" s="19">
        <f t="shared" si="237"/>
        <v>45737.60417</v>
      </c>
      <c r="BA237" s="19">
        <f t="shared" si="237"/>
        <v>45737.625</v>
      </c>
      <c r="BB237" s="19">
        <f t="shared" si="237"/>
        <v>45737.64583</v>
      </c>
      <c r="BC237" s="19">
        <f t="shared" si="237"/>
        <v>45737.66667</v>
      </c>
      <c r="BD237" s="19">
        <f t="shared" si="237"/>
        <v>45737.6875</v>
      </c>
      <c r="BE237" s="19">
        <f t="shared" si="237"/>
        <v>45737.70833</v>
      </c>
      <c r="BF237" s="19">
        <f t="shared" si="237"/>
        <v>45737.72917</v>
      </c>
      <c r="BG237" s="19">
        <f t="shared" si="237"/>
        <v>45737.75</v>
      </c>
      <c r="BH237" s="19">
        <f t="shared" si="237"/>
        <v>45737.77083</v>
      </c>
      <c r="BI237" s="19">
        <f t="shared" si="237"/>
        <v>45737.79167</v>
      </c>
      <c r="BJ237" s="19">
        <f t="shared" si="237"/>
        <v>45737.8125</v>
      </c>
      <c r="BK237" s="19">
        <f t="shared" si="237"/>
        <v>45737.83333</v>
      </c>
      <c r="BL237" s="19">
        <f t="shared" si="237"/>
        <v>45737.85417</v>
      </c>
      <c r="BM237" s="19">
        <f t="shared" si="237"/>
        <v>45737.875</v>
      </c>
      <c r="BN237" s="19">
        <f t="shared" si="237"/>
        <v>45737.89583</v>
      </c>
      <c r="BO237" s="19">
        <f t="shared" si="237"/>
        <v>45737.91667</v>
      </c>
      <c r="BP237" s="19">
        <f t="shared" si="237"/>
        <v>45737.9375</v>
      </c>
      <c r="BQ237" s="19">
        <f t="shared" si="237"/>
        <v>45737.95833</v>
      </c>
      <c r="BR237" s="19">
        <f t="shared" si="237"/>
        <v>45737.97917</v>
      </c>
      <c r="BS237" s="19">
        <f t="shared" si="237"/>
        <v>45738</v>
      </c>
      <c r="BT237" s="19">
        <f t="shared" si="237"/>
        <v>45738.02083</v>
      </c>
      <c r="BU237" s="19">
        <f t="shared" si="237"/>
        <v>45738.04167</v>
      </c>
      <c r="BV237" s="19">
        <f t="shared" si="237"/>
        <v>45738.0625</v>
      </c>
      <c r="BW237" s="19">
        <f t="shared" si="237"/>
        <v>45738.08333</v>
      </c>
      <c r="BX237" s="19">
        <f t="shared" si="237"/>
        <v>45737</v>
      </c>
      <c r="BY237" s="19">
        <f t="shared" si="237"/>
        <v>45737</v>
      </c>
      <c r="BZ237" s="19">
        <f t="shared" si="237"/>
        <v>45737</v>
      </c>
    </row>
    <row r="238" ht="14.25" customHeight="1">
      <c r="A238" s="17">
        <v>45738.0</v>
      </c>
      <c r="B238" s="2" t="str">
        <f t="array" ref="B238">IF(NOW()&gt;AM238,"",IF(AND((WEEKDAY($A238)+$B$2)&gt;1,((WEEKDAY($A238)+$T$2)&lt;7),(WEEKDAY($A238)&lt;&gt;1)),"work",(INDEX(Subject!$A:$I,MATCH(RANDBETWEEN(1,(MAX(Subject!$B:$B))),Subject!$B:$B,0),3))))</f>
        <v/>
      </c>
      <c r="C238" s="2" t="str">
        <f t="array" ref="C238">IF(NOW()&gt;AN238,"",IF(AND((WEEKDAY($A238)+$B$2)&gt;1,((WEEKDAY($A238)+$T$2)&lt;7),(WEEKDAY($A238)&lt;&gt;1)),"work",(INDEX(Subject!$A:$I,MATCH(RANDBETWEEN(1,(MAX(Subject!$B:$B))),Subject!$B:$B,0),3))))</f>
        <v/>
      </c>
      <c r="D238" s="2" t="str">
        <f t="array" ref="D238">IF(NOW()&gt;AO238,"",IF(AND((WEEKDAY($A238)+$B$2)&gt;1,((WEEKDAY($A238)+$T$2)&lt;7),(WEEKDAY($A238)&lt;&gt;1)),"work",(INDEX(Subject!$A:$I,MATCH(RANDBETWEEN(1,(MAX(Subject!$B:$B))),Subject!$B:$B,0),3))))</f>
        <v/>
      </c>
      <c r="E238" s="2" t="str">
        <f t="array" ref="E238">IF(NOW()&gt;AP238,"",IF(AND((WEEKDAY($A238)+$B$2)&gt;1,((WEEKDAY($A238)+$T$2)&lt;7),(WEEKDAY($A238)&lt;&gt;1)),"work",(INDEX(Subject!$A:$I,MATCH(RANDBETWEEN(1,(MAX(Subject!$B:$B))),Subject!$B:$B,0),3))))</f>
        <v/>
      </c>
      <c r="F238" s="2" t="str">
        <f t="array" ref="F238">IF(NOW()&gt;AQ238,"",IF(AND((WEEKDAY($A238)+$B$2)&gt;1,((WEEKDAY($A238)+$T$2)&lt;7),(WEEKDAY($A238)&lt;&gt;1)),"work",(INDEX(Subject!$A:$I,MATCH(RANDBETWEEN(1,(MAX(Subject!$B:$B))),Subject!$B:$B,0),3))))</f>
        <v/>
      </c>
      <c r="G238" s="2" t="str">
        <f t="array" ref="G238">IF(NOW()&gt;AR238,"",IF(AND((WEEKDAY($A238)+$B$2)&gt;1,((WEEKDAY($A238)+$T$2)&lt;7),(WEEKDAY($A238)&lt;&gt;1)),"work",(INDEX(Subject!$A:$I,MATCH(RANDBETWEEN(1,(MAX(Subject!$B:$B))),Subject!$B:$B,0),3))))</f>
        <v/>
      </c>
      <c r="H238" s="2" t="str">
        <f t="array" ref="H238">IF(NOW()&gt;AS238,"",IF(AND((WEEKDAY($A238)+$B$2)&gt;1,((WEEKDAY($A238)+$T$2)&lt;7),(WEEKDAY($A238)&lt;&gt;1)),"work",(INDEX(Subject!$A:$I,MATCH(RANDBETWEEN(1,(MAX(Subject!$B:$B))),Subject!$B:$B,0),3))))</f>
        <v/>
      </c>
      <c r="I238" s="2" t="str">
        <f t="array" ref="I238">IF(NOW()&gt;AT238,"",IF(AND((WEEKDAY($A238)+$B$2)&gt;1,((WEEKDAY($A238)+$T$2)&lt;7),(WEEKDAY($A238)&lt;&gt;1)),"work",(INDEX(Subject!$A:$I,MATCH(RANDBETWEEN(1,(MAX(Subject!$B:$B))),Subject!$B:$B,0),3))))</f>
        <v/>
      </c>
      <c r="J238" s="2" t="str">
        <f t="array" ref="J238">IF(NOW()&gt;AU238,"",IF(AND((WEEKDAY($A238)+$B$2)&gt;1,((WEEKDAY($A238)+$T$2)&lt;7),(WEEKDAY($A238)&lt;&gt;1)),"work",(INDEX(Subject!$A:$I,MATCH(RANDBETWEEN(1,(MAX(Subject!$B:$B))),Subject!$B:$B,0),3))))</f>
        <v/>
      </c>
      <c r="K238" s="2" t="str">
        <f t="array" ref="K238">IF(NOW()&gt;AV238,"",IF(AND((WEEKDAY($A238)+$B$2)&gt;1,((WEEKDAY($A238)+$T$2)&lt;7),(WEEKDAY($A238)&lt;&gt;1)),"work",(INDEX(Subject!$A:$I,MATCH(RANDBETWEEN(1,(MAX(Subject!$B:$B))),Subject!$B:$B,0),3))))</f>
        <v/>
      </c>
      <c r="L238" s="2" t="str">
        <f t="array" ref="L238">IF(NOW()&gt;AW238,"",IF(AND((WEEKDAY($A238)+$B$2)&gt;1,((WEEKDAY($A238)+$T$2)&lt;7),(WEEKDAY($A238)&lt;&gt;1)),"work",(INDEX(Subject!$A:$I,MATCH(RANDBETWEEN(1,(MAX(Subject!$B:$B))),Subject!$B:$B,0),3))))</f>
        <v/>
      </c>
      <c r="M238" s="2" t="str">
        <f t="array" ref="M238">IF(NOW()&gt;AX238,"",IF(AND((WEEKDAY($A238)+$B$2)&gt;1,((WEEKDAY($A238)+$T$2)&lt;7),(WEEKDAY($A238)&lt;&gt;1)),"work",(INDEX(Subject!$A:$I,MATCH(RANDBETWEEN(1,(MAX(Subject!$B:$B))),Subject!$B:$B,0),3))))</f>
        <v/>
      </c>
      <c r="N238" s="2" t="str">
        <f t="array" ref="N238">IF(NOW()&gt;AY238,"",IF(AND((WEEKDAY($A238)+$B$2)&gt;1,((WEEKDAY($A238)+$T$2)&lt;7),(WEEKDAY($A238)&lt;&gt;1)),"work",(INDEX(Subject!$A:$I,MATCH(RANDBETWEEN(1,(MAX(Subject!$B:$B))),Subject!$B:$B,0),3))))</f>
        <v/>
      </c>
      <c r="O238" s="2" t="str">
        <f t="array" ref="O238">IF(NOW()&gt;AZ238,"",IF(AND((WEEKDAY($A238)+$B$2)&gt;1,((WEEKDAY($A238)+$T$2)&lt;7),(WEEKDAY($A238)&lt;&gt;1)),"work",(INDEX(Subject!$A:$I,MATCH(RANDBETWEEN(1,(MAX(Subject!$B:$B))),Subject!$B:$B,0),3))))</f>
        <v/>
      </c>
      <c r="P238" s="2" t="str">
        <f t="array" ref="P238">IF(NOW()&gt;BA238,"",IF(AND((WEEKDAY($A238)+$B$2)&gt;1,((WEEKDAY($A238)+$T$2)&lt;7),(WEEKDAY($A238)&lt;&gt;1)),"work",(INDEX(Subject!$A:$I,MATCH(RANDBETWEEN(1,(MAX(Subject!$B:$B))),Subject!$B:$B,0),3))))</f>
        <v/>
      </c>
      <c r="Q238" s="2" t="str">
        <f t="array" ref="Q238">IF(NOW()&gt;BB238,"",IF(AND((WEEKDAY($A238)+$B$2)&gt;1,((WEEKDAY($A238)+$T$2)&lt;7),(WEEKDAY($A238)&lt;&gt;1)),"work",(INDEX(Subject!$A:$I,MATCH(RANDBETWEEN(1,(MAX(Subject!$B:$B))),Subject!$B:$B,0),3))))</f>
        <v/>
      </c>
      <c r="R238" s="2" t="str">
        <f t="array" ref="R238">IF(NOW()&gt;BC238,"",IF(AND((WEEKDAY($A238)+$B$2)&gt;1,((WEEKDAY($A238)+$T$2)&lt;7),(WEEKDAY($A238)&lt;&gt;1)),"work",(INDEX(Subject!$A:$I,MATCH(RANDBETWEEN(1,(MAX(Subject!$B:$B))),Subject!$B:$B,0),3))))</f>
        <v/>
      </c>
      <c r="S238" s="2" t="str">
        <f t="array" ref="S238">IF(NOW()&gt;BD238,"",IF(AND((WEEKDAY($A238)+$B$2)&gt;1,((WEEKDAY($A238)+$T$2)&lt;7),(WEEKDAY($A238)&lt;&gt;1)),"work",(INDEX(Subject!$A:$I,MATCH(RANDBETWEEN(1,(MAX(Subject!$B:$B))),Subject!$B:$B,0),3))))</f>
        <v/>
      </c>
      <c r="T238" s="2" t="str">
        <f t="array" ref="T238">IF(NOW()&gt;BE238,"",IF(AND((WEEKDAY($A238)+$B$2)&gt;1,((WEEKDAY($A238)+$T$2)&lt;7),(WEEKDAY($A238)&lt;&gt;1)),"work",(INDEX(Subject!$A:$I,MATCH(RANDBETWEEN(1,(MAX(Subject!$B:$B))),Subject!$B:$B,0),3))))</f>
        <v/>
      </c>
      <c r="U238" s="8" t="str">
        <f t="array" ref="U238">INDEX(Subject!$A:$I,MATCH(RANDBETWEEN(1,16),Subject!$B:$B,0),3)</f>
        <v/>
      </c>
      <c r="V238" s="8" t="str">
        <f t="array" ref="V238">INDEX(Subject!$A:$I,MATCH(RANDBETWEEN(1,16),Subject!$B:$B,0),3)</f>
        <v>#N/A</v>
      </c>
      <c r="W238" s="8" t="str">
        <f t="array" ref="W238">INDEX(Subject!$A:$I,MATCH(RANDBETWEEN(1,16),Subject!$B:$B,0),3)</f>
        <v>#N/A</v>
      </c>
      <c r="X238" s="8" t="str">
        <f t="array" ref="X238">INDEX(Subject!$A:$I,MATCH(RANDBETWEEN(1,16),Subject!$B:$B,0),3)</f>
        <v>#N/A</v>
      </c>
      <c r="Y238" s="8" t="str">
        <f t="array" ref="Y238">INDEX(Subject!$A:$I,MATCH(RANDBETWEEN(1,16),Subject!$B:$B,0),3)</f>
        <v>#N/A</v>
      </c>
      <c r="Z238" s="8" t="str">
        <f t="array" ref="Z238">INDEX(Subject!$A:$I,MATCH(RANDBETWEEN(1,16),Subject!$B:$B,0),3)</f>
        <v>#N/A</v>
      </c>
      <c r="AA238" s="8" t="str">
        <f t="array" ref="AA238">INDEX(Subject!$A:$I,MATCH(RANDBETWEEN(1,16),Subject!$B:$B,0),3)</f>
        <v>#N/A</v>
      </c>
      <c r="AB238" s="8" t="str">
        <f t="array" ref="AB238">INDEX(Subject!$A:$I,MATCH(RANDBETWEEN(1,16),Subject!$B:$B,0),3)</f>
        <v>#N/A</v>
      </c>
      <c r="AC238" s="8" t="str">
        <f t="array" ref="AC238">INDEX(Subject!$A:$I,MATCH(RANDBETWEEN(1,16),Subject!$B:$B,0),3)</f>
        <v>#N/A</v>
      </c>
      <c r="AD238" s="8" t="str">
        <f t="array" ref="AD238">INDEX(Subject!$A:$I,MATCH(RANDBETWEEN(1,16),Subject!$B:$B,0),3)</f>
        <v>#N/A</v>
      </c>
      <c r="AE238" s="8" t="str">
        <f t="array" ref="AE238">INDEX(Subject!$A:$I,MATCH(RANDBETWEEN(1,16),Subject!$B:$B,0),3)</f>
        <v>#N/A</v>
      </c>
      <c r="AF238" s="8" t="str">
        <f t="array" ref="AF238">INDEX(Subject!$A:$I,MATCH(RANDBETWEEN(1,16),Subject!$B:$B,0),3)</f>
        <v>#N/A</v>
      </c>
      <c r="AG238" s="8" t="str">
        <f t="array" ref="AG238">INDEX(Subject!$A:$I,MATCH(RANDBETWEEN(1,16),Subject!$B:$B,0),3)</f>
        <v>#N/A</v>
      </c>
      <c r="AH238" s="8" t="str">
        <f t="array" ref="AH238">INDEX(Subject!$A:$I,MATCH(RANDBETWEEN(1,16),Subject!$B:$B,0),3)</f>
        <v>#N/A</v>
      </c>
      <c r="AI238" s="8" t="str">
        <f t="array" ref="AI238">INDEX(Subject!$A:$I,MATCH(RANDBETWEEN(1,16),Subject!$B:$B,0),3)</f>
        <v>#N/A</v>
      </c>
      <c r="AJ238" s="8" t="str">
        <f t="array" ref="AJ238">INDEX(Subject!$A:$I,MATCH(RANDBETWEEN(1,16),Subject!$B:$B,0),3)</f>
        <v>#N/A</v>
      </c>
      <c r="AK238" s="8" t="str">
        <f t="array" ref="AK238">INDEX(Subject!$A:$I,MATCH(RANDBETWEEN(1,16),Subject!$B:$B,0),3)</f>
        <v>#N/A</v>
      </c>
      <c r="AL238" s="8" t="str">
        <f t="array" ref="AL238">INDEX(Subject!$A:$I,MATCH(RANDBETWEEN(1,16),Subject!$B:$B,0),3)</f>
        <v>#N/A</v>
      </c>
      <c r="AM238" s="18">
        <f t="shared" si="4"/>
        <v>45738.33333</v>
      </c>
      <c r="AN238" s="19">
        <f t="shared" ref="AN238:BZ238" si="238">$A238+C$1</f>
        <v>45738.35417</v>
      </c>
      <c r="AO238" s="19">
        <f t="shared" si="238"/>
        <v>45738.375</v>
      </c>
      <c r="AP238" s="19">
        <f t="shared" si="238"/>
        <v>45738.39583</v>
      </c>
      <c r="AQ238" s="19">
        <f t="shared" si="238"/>
        <v>45738.41667</v>
      </c>
      <c r="AR238" s="19">
        <f t="shared" si="238"/>
        <v>45738.4375</v>
      </c>
      <c r="AS238" s="19">
        <f t="shared" si="238"/>
        <v>45738.45833</v>
      </c>
      <c r="AT238" s="19">
        <f t="shared" si="238"/>
        <v>45738.47917</v>
      </c>
      <c r="AU238" s="19">
        <f t="shared" si="238"/>
        <v>45738.5</v>
      </c>
      <c r="AV238" s="19">
        <f t="shared" si="238"/>
        <v>45738.52083</v>
      </c>
      <c r="AW238" s="19">
        <f t="shared" si="238"/>
        <v>45738.54167</v>
      </c>
      <c r="AX238" s="19">
        <f t="shared" si="238"/>
        <v>45738.5625</v>
      </c>
      <c r="AY238" s="19">
        <f t="shared" si="238"/>
        <v>45738.58333</v>
      </c>
      <c r="AZ238" s="19">
        <f t="shared" si="238"/>
        <v>45738.60417</v>
      </c>
      <c r="BA238" s="19">
        <f t="shared" si="238"/>
        <v>45738.625</v>
      </c>
      <c r="BB238" s="19">
        <f t="shared" si="238"/>
        <v>45738.64583</v>
      </c>
      <c r="BC238" s="19">
        <f t="shared" si="238"/>
        <v>45738.66667</v>
      </c>
      <c r="BD238" s="19">
        <f t="shared" si="238"/>
        <v>45738.6875</v>
      </c>
      <c r="BE238" s="19">
        <f t="shared" si="238"/>
        <v>45738.70833</v>
      </c>
      <c r="BF238" s="19">
        <f t="shared" si="238"/>
        <v>45738.72917</v>
      </c>
      <c r="BG238" s="19">
        <f t="shared" si="238"/>
        <v>45738.75</v>
      </c>
      <c r="BH238" s="19">
        <f t="shared" si="238"/>
        <v>45738.77083</v>
      </c>
      <c r="BI238" s="19">
        <f t="shared" si="238"/>
        <v>45738.79167</v>
      </c>
      <c r="BJ238" s="19">
        <f t="shared" si="238"/>
        <v>45738.8125</v>
      </c>
      <c r="BK238" s="19">
        <f t="shared" si="238"/>
        <v>45738.83333</v>
      </c>
      <c r="BL238" s="19">
        <f t="shared" si="238"/>
        <v>45738.85417</v>
      </c>
      <c r="BM238" s="19">
        <f t="shared" si="238"/>
        <v>45738.875</v>
      </c>
      <c r="BN238" s="19">
        <f t="shared" si="238"/>
        <v>45738.89583</v>
      </c>
      <c r="BO238" s="19">
        <f t="shared" si="238"/>
        <v>45738.91667</v>
      </c>
      <c r="BP238" s="19">
        <f t="shared" si="238"/>
        <v>45738.9375</v>
      </c>
      <c r="BQ238" s="19">
        <f t="shared" si="238"/>
        <v>45738.95833</v>
      </c>
      <c r="BR238" s="19">
        <f t="shared" si="238"/>
        <v>45738.97917</v>
      </c>
      <c r="BS238" s="19">
        <f t="shared" si="238"/>
        <v>45739</v>
      </c>
      <c r="BT238" s="19">
        <f t="shared" si="238"/>
        <v>45739.02083</v>
      </c>
      <c r="BU238" s="19">
        <f t="shared" si="238"/>
        <v>45739.04167</v>
      </c>
      <c r="BV238" s="19">
        <f t="shared" si="238"/>
        <v>45739.0625</v>
      </c>
      <c r="BW238" s="19">
        <f t="shared" si="238"/>
        <v>45739.08333</v>
      </c>
      <c r="BX238" s="19">
        <f t="shared" si="238"/>
        <v>45738</v>
      </c>
      <c r="BY238" s="19">
        <f t="shared" si="238"/>
        <v>45738</v>
      </c>
      <c r="BZ238" s="19">
        <f t="shared" si="238"/>
        <v>45738</v>
      </c>
    </row>
    <row r="239" ht="14.25" customHeight="1">
      <c r="A239" s="17">
        <v>45739.0</v>
      </c>
      <c r="B239" s="2" t="str">
        <f t="array" ref="B239">IF(NOW()&gt;AM239,"",IF(AND((WEEKDAY($A239)+$B$2)&gt;1,((WEEKDAY($A239)+$T$2)&lt;7),(WEEKDAY($A239)&lt;&gt;1)),"work",(INDEX(Subject!$A:$I,MATCH(RANDBETWEEN(1,(MAX(Subject!$B:$B))),Subject!$B:$B,0),3))))</f>
        <v/>
      </c>
      <c r="C239" s="2" t="str">
        <f t="array" ref="C239">IF(NOW()&gt;AN239,"",IF(AND((WEEKDAY($A239)+$B$2)&gt;1,((WEEKDAY($A239)+$T$2)&lt;7),(WEEKDAY($A239)&lt;&gt;1)),"work",(INDEX(Subject!$A:$I,MATCH(RANDBETWEEN(1,(MAX(Subject!$B:$B))),Subject!$B:$B,0),3))))</f>
        <v/>
      </c>
      <c r="D239" s="2" t="str">
        <f t="array" ref="D239">IF(NOW()&gt;AO239,"",IF(AND((WEEKDAY($A239)+$B$2)&gt;1,((WEEKDAY($A239)+$T$2)&lt;7),(WEEKDAY($A239)&lt;&gt;1)),"work",(INDEX(Subject!$A:$I,MATCH(RANDBETWEEN(1,(MAX(Subject!$B:$B))),Subject!$B:$B,0),3))))</f>
        <v/>
      </c>
      <c r="E239" s="2" t="str">
        <f t="array" ref="E239">IF(NOW()&gt;AP239,"",IF(AND((WEEKDAY($A239)+$B$2)&gt;1,((WEEKDAY($A239)+$T$2)&lt;7),(WEEKDAY($A239)&lt;&gt;1)),"work",(INDEX(Subject!$A:$I,MATCH(RANDBETWEEN(1,(MAX(Subject!$B:$B))),Subject!$B:$B,0),3))))</f>
        <v/>
      </c>
      <c r="F239" s="2" t="str">
        <f t="array" ref="F239">IF(NOW()&gt;AQ239,"",IF(AND((WEEKDAY($A239)+$B$2)&gt;1,((WEEKDAY($A239)+$T$2)&lt;7),(WEEKDAY($A239)&lt;&gt;1)),"work",(INDEX(Subject!$A:$I,MATCH(RANDBETWEEN(1,(MAX(Subject!$B:$B))),Subject!$B:$B,0),3))))</f>
        <v/>
      </c>
      <c r="G239" s="2" t="str">
        <f t="array" ref="G239">IF(NOW()&gt;AR239,"",IF(AND((WEEKDAY($A239)+$B$2)&gt;1,((WEEKDAY($A239)+$T$2)&lt;7),(WEEKDAY($A239)&lt;&gt;1)),"work",(INDEX(Subject!$A:$I,MATCH(RANDBETWEEN(1,(MAX(Subject!$B:$B))),Subject!$B:$B,0),3))))</f>
        <v/>
      </c>
      <c r="H239" s="2" t="str">
        <f t="array" ref="H239">IF(NOW()&gt;AS239,"",IF(AND((WEEKDAY($A239)+$B$2)&gt;1,((WEEKDAY($A239)+$T$2)&lt;7),(WEEKDAY($A239)&lt;&gt;1)),"work",(INDEX(Subject!$A:$I,MATCH(RANDBETWEEN(1,(MAX(Subject!$B:$B))),Subject!$B:$B,0),3))))</f>
        <v/>
      </c>
      <c r="I239" s="2" t="str">
        <f t="array" ref="I239">IF(NOW()&gt;AT239,"",IF(AND((WEEKDAY($A239)+$B$2)&gt;1,((WEEKDAY($A239)+$T$2)&lt;7),(WEEKDAY($A239)&lt;&gt;1)),"work",(INDEX(Subject!$A:$I,MATCH(RANDBETWEEN(1,(MAX(Subject!$B:$B))),Subject!$B:$B,0),3))))</f>
        <v/>
      </c>
      <c r="J239" s="2" t="str">
        <f t="array" ref="J239">IF(NOW()&gt;AU239,"",IF(AND((WEEKDAY($A239)+$B$2)&gt;1,((WEEKDAY($A239)+$T$2)&lt;7),(WEEKDAY($A239)&lt;&gt;1)),"work",(INDEX(Subject!$A:$I,MATCH(RANDBETWEEN(1,(MAX(Subject!$B:$B))),Subject!$B:$B,0),3))))</f>
        <v/>
      </c>
      <c r="K239" s="2" t="str">
        <f t="array" ref="K239">IF(NOW()&gt;AV239,"",IF(AND((WEEKDAY($A239)+$B$2)&gt;1,((WEEKDAY($A239)+$T$2)&lt;7),(WEEKDAY($A239)&lt;&gt;1)),"work",(INDEX(Subject!$A:$I,MATCH(RANDBETWEEN(1,(MAX(Subject!$B:$B))),Subject!$B:$B,0),3))))</f>
        <v/>
      </c>
      <c r="L239" s="2" t="str">
        <f t="array" ref="L239">IF(NOW()&gt;AW239,"",IF(AND((WEEKDAY($A239)+$B$2)&gt;1,((WEEKDAY($A239)+$T$2)&lt;7),(WEEKDAY($A239)&lt;&gt;1)),"work",(INDEX(Subject!$A:$I,MATCH(RANDBETWEEN(1,(MAX(Subject!$B:$B))),Subject!$B:$B,0),3))))</f>
        <v/>
      </c>
      <c r="M239" s="2" t="str">
        <f t="array" ref="M239">IF(NOW()&gt;AX239,"",IF(AND((WEEKDAY($A239)+$B$2)&gt;1,((WEEKDAY($A239)+$T$2)&lt;7),(WEEKDAY($A239)&lt;&gt;1)),"work",(INDEX(Subject!$A:$I,MATCH(RANDBETWEEN(1,(MAX(Subject!$B:$B))),Subject!$B:$B,0),3))))</f>
        <v/>
      </c>
      <c r="N239" s="2" t="str">
        <f t="array" ref="N239">IF(NOW()&gt;AY239,"",IF(AND((WEEKDAY($A239)+$B$2)&gt;1,((WEEKDAY($A239)+$T$2)&lt;7),(WEEKDAY($A239)&lt;&gt;1)),"work",(INDEX(Subject!$A:$I,MATCH(RANDBETWEEN(1,(MAX(Subject!$B:$B))),Subject!$B:$B,0),3))))</f>
        <v/>
      </c>
      <c r="O239" s="2" t="str">
        <f t="array" ref="O239">IF(NOW()&gt;AZ239,"",IF(AND((WEEKDAY($A239)+$B$2)&gt;1,((WEEKDAY($A239)+$T$2)&lt;7),(WEEKDAY($A239)&lt;&gt;1)),"work",(INDEX(Subject!$A:$I,MATCH(RANDBETWEEN(1,(MAX(Subject!$B:$B))),Subject!$B:$B,0),3))))</f>
        <v/>
      </c>
      <c r="P239" s="2" t="str">
        <f t="array" ref="P239">IF(NOW()&gt;BA239,"",IF(AND((WEEKDAY($A239)+$B$2)&gt;1,((WEEKDAY($A239)+$T$2)&lt;7),(WEEKDAY($A239)&lt;&gt;1)),"work",(INDEX(Subject!$A:$I,MATCH(RANDBETWEEN(1,(MAX(Subject!$B:$B))),Subject!$B:$B,0),3))))</f>
        <v/>
      </c>
      <c r="Q239" s="2" t="str">
        <f t="array" ref="Q239">IF(NOW()&gt;BB239,"",IF(AND((WEEKDAY($A239)+$B$2)&gt;1,((WEEKDAY($A239)+$T$2)&lt;7),(WEEKDAY($A239)&lt;&gt;1)),"work",(INDEX(Subject!$A:$I,MATCH(RANDBETWEEN(1,(MAX(Subject!$B:$B))),Subject!$B:$B,0),3))))</f>
        <v/>
      </c>
      <c r="R239" s="2" t="str">
        <f t="array" ref="R239">IF(NOW()&gt;BC239,"",IF(AND((WEEKDAY($A239)+$B$2)&gt;1,((WEEKDAY($A239)+$T$2)&lt;7),(WEEKDAY($A239)&lt;&gt;1)),"work",(INDEX(Subject!$A:$I,MATCH(RANDBETWEEN(1,(MAX(Subject!$B:$B))),Subject!$B:$B,0),3))))</f>
        <v/>
      </c>
      <c r="S239" s="2" t="str">
        <f t="array" ref="S239">IF(NOW()&gt;BD239,"",IF(AND((WEEKDAY($A239)+$B$2)&gt;1,((WEEKDAY($A239)+$T$2)&lt;7),(WEEKDAY($A239)&lt;&gt;1)),"work",(INDEX(Subject!$A:$I,MATCH(RANDBETWEEN(1,(MAX(Subject!$B:$B))),Subject!$B:$B,0),3))))</f>
        <v/>
      </c>
      <c r="T239" s="2" t="str">
        <f t="array" ref="T239">IF(NOW()&gt;BE239,"",IF(AND((WEEKDAY($A239)+$B$2)&gt;1,((WEEKDAY($A239)+$T$2)&lt;7),(WEEKDAY($A239)&lt;&gt;1)),"work",(INDEX(Subject!$A:$I,MATCH(RANDBETWEEN(1,(MAX(Subject!$B:$B))),Subject!$B:$B,0),3))))</f>
        <v/>
      </c>
      <c r="U239" s="8" t="str">
        <f t="array" ref="U239">INDEX(Subject!$A:$I,MATCH(RANDBETWEEN(1,16),Subject!$B:$B,0),3)</f>
        <v/>
      </c>
      <c r="V239" s="8" t="str">
        <f t="array" ref="V239">INDEX(Subject!$A:$I,MATCH(RANDBETWEEN(1,16),Subject!$B:$B,0),3)</f>
        <v>#N/A</v>
      </c>
      <c r="W239" s="8" t="str">
        <f t="array" ref="W239">INDEX(Subject!$A:$I,MATCH(RANDBETWEEN(1,16),Subject!$B:$B,0),3)</f>
        <v>#N/A</v>
      </c>
      <c r="X239" s="8" t="str">
        <f t="array" ref="X239">INDEX(Subject!$A:$I,MATCH(RANDBETWEEN(1,16),Subject!$B:$B,0),3)</f>
        <v>#N/A</v>
      </c>
      <c r="Y239" s="8" t="str">
        <f t="array" ref="Y239">INDEX(Subject!$A:$I,MATCH(RANDBETWEEN(1,16),Subject!$B:$B,0),3)</f>
        <v>#N/A</v>
      </c>
      <c r="Z239" s="8" t="str">
        <f t="array" ref="Z239">INDEX(Subject!$A:$I,MATCH(RANDBETWEEN(1,16),Subject!$B:$B,0),3)</f>
        <v>#N/A</v>
      </c>
      <c r="AA239" s="8" t="str">
        <f t="array" ref="AA239">INDEX(Subject!$A:$I,MATCH(RANDBETWEEN(1,16),Subject!$B:$B,0),3)</f>
        <v>#N/A</v>
      </c>
      <c r="AB239" s="8" t="str">
        <f t="array" ref="AB239">INDEX(Subject!$A:$I,MATCH(RANDBETWEEN(1,16),Subject!$B:$B,0),3)</f>
        <v>#N/A</v>
      </c>
      <c r="AC239" s="8" t="str">
        <f t="array" ref="AC239">INDEX(Subject!$A:$I,MATCH(RANDBETWEEN(1,16),Subject!$B:$B,0),3)</f>
        <v>#N/A</v>
      </c>
      <c r="AD239" s="8" t="str">
        <f t="array" ref="AD239">INDEX(Subject!$A:$I,MATCH(RANDBETWEEN(1,16),Subject!$B:$B,0),3)</f>
        <v>#N/A</v>
      </c>
      <c r="AE239" s="8" t="str">
        <f t="array" ref="AE239">INDEX(Subject!$A:$I,MATCH(RANDBETWEEN(1,16),Subject!$B:$B,0),3)</f>
        <v>#N/A</v>
      </c>
      <c r="AF239" s="8" t="str">
        <f t="array" ref="AF239">INDEX(Subject!$A:$I,MATCH(RANDBETWEEN(1,16),Subject!$B:$B,0),3)</f>
        <v>#N/A</v>
      </c>
      <c r="AG239" s="8" t="str">
        <f t="array" ref="AG239">INDEX(Subject!$A:$I,MATCH(RANDBETWEEN(1,16),Subject!$B:$B,0),3)</f>
        <v>#N/A</v>
      </c>
      <c r="AH239" s="8" t="str">
        <f t="array" ref="AH239">INDEX(Subject!$A:$I,MATCH(RANDBETWEEN(1,16),Subject!$B:$B,0),3)</f>
        <v>#N/A</v>
      </c>
      <c r="AI239" s="8" t="str">
        <f t="array" ref="AI239">INDEX(Subject!$A:$I,MATCH(RANDBETWEEN(1,16),Subject!$B:$B,0),3)</f>
        <v>#N/A</v>
      </c>
      <c r="AJ239" s="8" t="str">
        <f t="array" ref="AJ239">INDEX(Subject!$A:$I,MATCH(RANDBETWEEN(1,16),Subject!$B:$B,0),3)</f>
        <v>#N/A</v>
      </c>
      <c r="AK239" s="8" t="str">
        <f t="array" ref="AK239">INDEX(Subject!$A:$I,MATCH(RANDBETWEEN(1,16),Subject!$B:$B,0),3)</f>
        <v>#N/A</v>
      </c>
      <c r="AL239" s="8" t="str">
        <f t="array" ref="AL239">INDEX(Subject!$A:$I,MATCH(RANDBETWEEN(1,16),Subject!$B:$B,0),3)</f>
        <v>#N/A</v>
      </c>
      <c r="AM239" s="18">
        <f t="shared" si="4"/>
        <v>45739.33333</v>
      </c>
      <c r="AN239" s="19">
        <f t="shared" ref="AN239:BZ239" si="239">$A239+C$1</f>
        <v>45739.35417</v>
      </c>
      <c r="AO239" s="19">
        <f t="shared" si="239"/>
        <v>45739.375</v>
      </c>
      <c r="AP239" s="19">
        <f t="shared" si="239"/>
        <v>45739.39583</v>
      </c>
      <c r="AQ239" s="19">
        <f t="shared" si="239"/>
        <v>45739.41667</v>
      </c>
      <c r="AR239" s="19">
        <f t="shared" si="239"/>
        <v>45739.4375</v>
      </c>
      <c r="AS239" s="19">
        <f t="shared" si="239"/>
        <v>45739.45833</v>
      </c>
      <c r="AT239" s="19">
        <f t="shared" si="239"/>
        <v>45739.47917</v>
      </c>
      <c r="AU239" s="19">
        <f t="shared" si="239"/>
        <v>45739.5</v>
      </c>
      <c r="AV239" s="19">
        <f t="shared" si="239"/>
        <v>45739.52083</v>
      </c>
      <c r="AW239" s="19">
        <f t="shared" si="239"/>
        <v>45739.54167</v>
      </c>
      <c r="AX239" s="19">
        <f t="shared" si="239"/>
        <v>45739.5625</v>
      </c>
      <c r="AY239" s="19">
        <f t="shared" si="239"/>
        <v>45739.58333</v>
      </c>
      <c r="AZ239" s="19">
        <f t="shared" si="239"/>
        <v>45739.60417</v>
      </c>
      <c r="BA239" s="19">
        <f t="shared" si="239"/>
        <v>45739.625</v>
      </c>
      <c r="BB239" s="19">
        <f t="shared" si="239"/>
        <v>45739.64583</v>
      </c>
      <c r="BC239" s="19">
        <f t="shared" si="239"/>
        <v>45739.66667</v>
      </c>
      <c r="BD239" s="19">
        <f t="shared" si="239"/>
        <v>45739.6875</v>
      </c>
      <c r="BE239" s="19">
        <f t="shared" si="239"/>
        <v>45739.70833</v>
      </c>
      <c r="BF239" s="19">
        <f t="shared" si="239"/>
        <v>45739.72917</v>
      </c>
      <c r="BG239" s="19">
        <f t="shared" si="239"/>
        <v>45739.75</v>
      </c>
      <c r="BH239" s="19">
        <f t="shared" si="239"/>
        <v>45739.77083</v>
      </c>
      <c r="BI239" s="19">
        <f t="shared" si="239"/>
        <v>45739.79167</v>
      </c>
      <c r="BJ239" s="19">
        <f t="shared" si="239"/>
        <v>45739.8125</v>
      </c>
      <c r="BK239" s="19">
        <f t="shared" si="239"/>
        <v>45739.83333</v>
      </c>
      <c r="BL239" s="19">
        <f t="shared" si="239"/>
        <v>45739.85417</v>
      </c>
      <c r="BM239" s="19">
        <f t="shared" si="239"/>
        <v>45739.875</v>
      </c>
      <c r="BN239" s="19">
        <f t="shared" si="239"/>
        <v>45739.89583</v>
      </c>
      <c r="BO239" s="19">
        <f t="shared" si="239"/>
        <v>45739.91667</v>
      </c>
      <c r="BP239" s="19">
        <f t="shared" si="239"/>
        <v>45739.9375</v>
      </c>
      <c r="BQ239" s="19">
        <f t="shared" si="239"/>
        <v>45739.95833</v>
      </c>
      <c r="BR239" s="19">
        <f t="shared" si="239"/>
        <v>45739.97917</v>
      </c>
      <c r="BS239" s="19">
        <f t="shared" si="239"/>
        <v>45740</v>
      </c>
      <c r="BT239" s="19">
        <f t="shared" si="239"/>
        <v>45740.02083</v>
      </c>
      <c r="BU239" s="19">
        <f t="shared" si="239"/>
        <v>45740.04167</v>
      </c>
      <c r="BV239" s="19">
        <f t="shared" si="239"/>
        <v>45740.0625</v>
      </c>
      <c r="BW239" s="19">
        <f t="shared" si="239"/>
        <v>45740.08333</v>
      </c>
      <c r="BX239" s="19">
        <f t="shared" si="239"/>
        <v>45739</v>
      </c>
      <c r="BY239" s="19">
        <f t="shared" si="239"/>
        <v>45739</v>
      </c>
      <c r="BZ239" s="19">
        <f t="shared" si="239"/>
        <v>45739</v>
      </c>
    </row>
    <row r="240" ht="14.25" customHeight="1">
      <c r="A240" s="17">
        <v>45740.0</v>
      </c>
      <c r="B240" s="2" t="str">
        <f t="array" ref="B240">IF(NOW()&gt;AM240,"",IF(AND((WEEKDAY($A240)+$B$2)&gt;1,((WEEKDAY($A240)+$T$2)&lt;7),(WEEKDAY($A240)&lt;&gt;1)),"work",(INDEX(Subject!$A:$I,MATCH(RANDBETWEEN(1,(MAX(Subject!$B:$B))),Subject!$B:$B,0),3))))</f>
        <v/>
      </c>
      <c r="C240" s="2" t="str">
        <f t="array" ref="C240">IF(NOW()&gt;AN240,"",IF(AND((WEEKDAY($A240)+$B$2)&gt;1,((WEEKDAY($A240)+$T$2)&lt;7),(WEEKDAY($A240)&lt;&gt;1)),"work",(INDEX(Subject!$A:$I,MATCH(RANDBETWEEN(1,(MAX(Subject!$B:$B))),Subject!$B:$B,0),3))))</f>
        <v/>
      </c>
      <c r="D240" s="2" t="str">
        <f t="array" ref="D240">IF(NOW()&gt;AO240,"",IF(AND((WEEKDAY($A240)+$B$2)&gt;1,((WEEKDAY($A240)+$T$2)&lt;7),(WEEKDAY($A240)&lt;&gt;1)),"work",(INDEX(Subject!$A:$I,MATCH(RANDBETWEEN(1,(MAX(Subject!$B:$B))),Subject!$B:$B,0),3))))</f>
        <v/>
      </c>
      <c r="E240" s="2" t="str">
        <f t="array" ref="E240">IF(NOW()&gt;AP240,"",IF(AND((WEEKDAY($A240)+$B$2)&gt;1,((WEEKDAY($A240)+$T$2)&lt;7),(WEEKDAY($A240)&lt;&gt;1)),"work",(INDEX(Subject!$A:$I,MATCH(RANDBETWEEN(1,(MAX(Subject!$B:$B))),Subject!$B:$B,0),3))))</f>
        <v/>
      </c>
      <c r="F240" s="2" t="str">
        <f t="array" ref="F240">IF(NOW()&gt;AQ240,"",IF(AND((WEEKDAY($A240)+$B$2)&gt;1,((WEEKDAY($A240)+$T$2)&lt;7),(WEEKDAY($A240)&lt;&gt;1)),"work",(INDEX(Subject!$A:$I,MATCH(RANDBETWEEN(1,(MAX(Subject!$B:$B))),Subject!$B:$B,0),3))))</f>
        <v/>
      </c>
      <c r="G240" s="2" t="str">
        <f t="array" ref="G240">IF(NOW()&gt;AR240,"",IF(AND((WEEKDAY($A240)+$B$2)&gt;1,((WEEKDAY($A240)+$T$2)&lt;7),(WEEKDAY($A240)&lt;&gt;1)),"work",(INDEX(Subject!$A:$I,MATCH(RANDBETWEEN(1,(MAX(Subject!$B:$B))),Subject!$B:$B,0),3))))</f>
        <v/>
      </c>
      <c r="H240" s="2" t="str">
        <f t="array" ref="H240">IF(NOW()&gt;AS240,"",IF(AND((WEEKDAY($A240)+$B$2)&gt;1,((WEEKDAY($A240)+$T$2)&lt;7),(WEEKDAY($A240)&lt;&gt;1)),"work",(INDEX(Subject!$A:$I,MATCH(RANDBETWEEN(1,(MAX(Subject!$B:$B))),Subject!$B:$B,0),3))))</f>
        <v/>
      </c>
      <c r="I240" s="2" t="str">
        <f t="array" ref="I240">IF(NOW()&gt;AT240,"",IF(AND((WEEKDAY($A240)+$B$2)&gt;1,((WEEKDAY($A240)+$T$2)&lt;7),(WEEKDAY($A240)&lt;&gt;1)),"work",(INDEX(Subject!$A:$I,MATCH(RANDBETWEEN(1,(MAX(Subject!$B:$B))),Subject!$B:$B,0),3))))</f>
        <v/>
      </c>
      <c r="J240" s="2" t="str">
        <f t="array" ref="J240">IF(NOW()&gt;AU240,"",IF(AND((WEEKDAY($A240)+$B$2)&gt;1,((WEEKDAY($A240)+$T$2)&lt;7),(WEEKDAY($A240)&lt;&gt;1)),"work",(INDEX(Subject!$A:$I,MATCH(RANDBETWEEN(1,(MAX(Subject!$B:$B))),Subject!$B:$B,0),3))))</f>
        <v/>
      </c>
      <c r="K240" s="2" t="str">
        <f t="array" ref="K240">IF(NOW()&gt;AV240,"",IF(AND((WEEKDAY($A240)+$B$2)&gt;1,((WEEKDAY($A240)+$T$2)&lt;7),(WEEKDAY($A240)&lt;&gt;1)),"work",(INDEX(Subject!$A:$I,MATCH(RANDBETWEEN(1,(MAX(Subject!$B:$B))),Subject!$B:$B,0),3))))</f>
        <v/>
      </c>
      <c r="L240" s="2" t="str">
        <f t="array" ref="L240">IF(NOW()&gt;AW240,"",IF(AND((WEEKDAY($A240)+$B$2)&gt;1,((WEEKDAY($A240)+$T$2)&lt;7),(WEEKDAY($A240)&lt;&gt;1)),"work",(INDEX(Subject!$A:$I,MATCH(RANDBETWEEN(1,(MAX(Subject!$B:$B))),Subject!$B:$B,0),3))))</f>
        <v/>
      </c>
      <c r="M240" s="2" t="str">
        <f t="array" ref="M240">IF(NOW()&gt;AX240,"",IF(AND((WEEKDAY($A240)+$B$2)&gt;1,((WEEKDAY($A240)+$T$2)&lt;7),(WEEKDAY($A240)&lt;&gt;1)),"work",(INDEX(Subject!$A:$I,MATCH(RANDBETWEEN(1,(MAX(Subject!$B:$B))),Subject!$B:$B,0),3))))</f>
        <v/>
      </c>
      <c r="N240" s="2" t="str">
        <f t="array" ref="N240">IF(NOW()&gt;AY240,"",IF(AND((WEEKDAY($A240)+$B$2)&gt;1,((WEEKDAY($A240)+$T$2)&lt;7),(WEEKDAY($A240)&lt;&gt;1)),"work",(INDEX(Subject!$A:$I,MATCH(RANDBETWEEN(1,(MAX(Subject!$B:$B))),Subject!$B:$B,0),3))))</f>
        <v/>
      </c>
      <c r="O240" s="2" t="str">
        <f t="array" ref="O240">IF(NOW()&gt;AZ240,"",IF(AND((WEEKDAY($A240)+$B$2)&gt;1,((WEEKDAY($A240)+$T$2)&lt;7),(WEEKDAY($A240)&lt;&gt;1)),"work",(INDEX(Subject!$A:$I,MATCH(RANDBETWEEN(1,(MAX(Subject!$B:$B))),Subject!$B:$B,0),3))))</f>
        <v/>
      </c>
      <c r="P240" s="2" t="str">
        <f t="array" ref="P240">IF(NOW()&gt;BA240,"",IF(AND((WEEKDAY($A240)+$B$2)&gt;1,((WEEKDAY($A240)+$T$2)&lt;7),(WEEKDAY($A240)&lt;&gt;1)),"work",(INDEX(Subject!$A:$I,MATCH(RANDBETWEEN(1,(MAX(Subject!$B:$B))),Subject!$B:$B,0),3))))</f>
        <v/>
      </c>
      <c r="Q240" s="2" t="str">
        <f t="array" ref="Q240">IF(NOW()&gt;BB240,"",IF(AND((WEEKDAY($A240)+$B$2)&gt;1,((WEEKDAY($A240)+$T$2)&lt;7),(WEEKDAY($A240)&lt;&gt;1)),"work",(INDEX(Subject!$A:$I,MATCH(RANDBETWEEN(1,(MAX(Subject!$B:$B))),Subject!$B:$B,0),3))))</f>
        <v/>
      </c>
      <c r="R240" s="2" t="str">
        <f t="array" ref="R240">IF(NOW()&gt;BC240,"",IF(AND((WEEKDAY($A240)+$B$2)&gt;1,((WEEKDAY($A240)+$T$2)&lt;7),(WEEKDAY($A240)&lt;&gt;1)),"work",(INDEX(Subject!$A:$I,MATCH(RANDBETWEEN(1,(MAX(Subject!$B:$B))),Subject!$B:$B,0),3))))</f>
        <v/>
      </c>
      <c r="S240" s="2" t="str">
        <f t="array" ref="S240">IF(NOW()&gt;BD240,"",IF(AND((WEEKDAY($A240)+$B$2)&gt;1,((WEEKDAY($A240)+$T$2)&lt;7),(WEEKDAY($A240)&lt;&gt;1)),"work",(INDEX(Subject!$A:$I,MATCH(RANDBETWEEN(1,(MAX(Subject!$B:$B))),Subject!$B:$B,0),3))))</f>
        <v/>
      </c>
      <c r="T240" s="2" t="str">
        <f t="array" ref="T240">IF(NOW()&gt;BE240,"",IF(AND((WEEKDAY($A240)+$B$2)&gt;1,((WEEKDAY($A240)+$T$2)&lt;7),(WEEKDAY($A240)&lt;&gt;1)),"work",(INDEX(Subject!$A:$I,MATCH(RANDBETWEEN(1,(MAX(Subject!$B:$B))),Subject!$B:$B,0),3))))</f>
        <v/>
      </c>
      <c r="U240" s="8" t="str">
        <f t="array" ref="U240">INDEX(Subject!$A:$I,MATCH(RANDBETWEEN(1,16),Subject!$B:$B,0),3)</f>
        <v>#N/A</v>
      </c>
      <c r="V240" s="8" t="str">
        <f t="array" ref="V240">INDEX(Subject!$A:$I,MATCH(RANDBETWEEN(1,16),Subject!$B:$B,0),3)</f>
        <v>#N/A</v>
      </c>
      <c r="W240" s="8" t="str">
        <f t="array" ref="W240">INDEX(Subject!$A:$I,MATCH(RANDBETWEEN(1,16),Subject!$B:$B,0),3)</f>
        <v>#N/A</v>
      </c>
      <c r="X240" s="8" t="str">
        <f t="array" ref="X240">INDEX(Subject!$A:$I,MATCH(RANDBETWEEN(1,16),Subject!$B:$B,0),3)</f>
        <v>#N/A</v>
      </c>
      <c r="Y240" s="8" t="str">
        <f t="array" ref="Y240">INDEX(Subject!$A:$I,MATCH(RANDBETWEEN(1,16),Subject!$B:$B,0),3)</f>
        <v/>
      </c>
      <c r="Z240" s="8" t="str">
        <f t="array" ref="Z240">INDEX(Subject!$A:$I,MATCH(RANDBETWEEN(1,16),Subject!$B:$B,0),3)</f>
        <v>#N/A</v>
      </c>
      <c r="AA240" s="8" t="str">
        <f t="array" ref="AA240">INDEX(Subject!$A:$I,MATCH(RANDBETWEEN(1,16),Subject!$B:$B,0),3)</f>
        <v>#N/A</v>
      </c>
      <c r="AB240" s="8" t="str">
        <f t="array" ref="AB240">INDEX(Subject!$A:$I,MATCH(RANDBETWEEN(1,16),Subject!$B:$B,0),3)</f>
        <v/>
      </c>
      <c r="AC240" s="8" t="str">
        <f t="array" ref="AC240">INDEX(Subject!$A:$I,MATCH(RANDBETWEEN(1,16),Subject!$B:$B,0),3)</f>
        <v>#N/A</v>
      </c>
      <c r="AD240" s="8" t="str">
        <f t="array" ref="AD240">INDEX(Subject!$A:$I,MATCH(RANDBETWEEN(1,16),Subject!$B:$B,0),3)</f>
        <v>#N/A</v>
      </c>
      <c r="AE240" s="8" t="str">
        <f t="array" ref="AE240">INDEX(Subject!$A:$I,MATCH(RANDBETWEEN(1,16),Subject!$B:$B,0),3)</f>
        <v>#N/A</v>
      </c>
      <c r="AF240" s="8" t="str">
        <f t="array" ref="AF240">INDEX(Subject!$A:$I,MATCH(RANDBETWEEN(1,16),Subject!$B:$B,0),3)</f>
        <v>#N/A</v>
      </c>
      <c r="AG240" s="8" t="str">
        <f t="array" ref="AG240">INDEX(Subject!$A:$I,MATCH(RANDBETWEEN(1,16),Subject!$B:$B,0),3)</f>
        <v>#N/A</v>
      </c>
      <c r="AH240" s="8" t="str">
        <f t="array" ref="AH240">INDEX(Subject!$A:$I,MATCH(RANDBETWEEN(1,16),Subject!$B:$B,0),3)</f>
        <v>#N/A</v>
      </c>
      <c r="AI240" s="8" t="str">
        <f t="array" ref="AI240">INDEX(Subject!$A:$I,MATCH(RANDBETWEEN(1,16),Subject!$B:$B,0),3)</f>
        <v/>
      </c>
      <c r="AJ240" s="8" t="str">
        <f t="array" ref="AJ240">INDEX(Subject!$A:$I,MATCH(RANDBETWEEN(1,16),Subject!$B:$B,0),3)</f>
        <v>#N/A</v>
      </c>
      <c r="AK240" s="8" t="str">
        <f t="array" ref="AK240">INDEX(Subject!$A:$I,MATCH(RANDBETWEEN(1,16),Subject!$B:$B,0),3)</f>
        <v>#N/A</v>
      </c>
      <c r="AL240" s="8" t="str">
        <f t="array" ref="AL240">INDEX(Subject!$A:$I,MATCH(RANDBETWEEN(1,16),Subject!$B:$B,0),3)</f>
        <v>#N/A</v>
      </c>
      <c r="AM240" s="18">
        <f t="shared" si="4"/>
        <v>45740.33333</v>
      </c>
      <c r="AN240" s="19">
        <f t="shared" ref="AN240:BZ240" si="240">$A240+C$1</f>
        <v>45740.35417</v>
      </c>
      <c r="AO240" s="19">
        <f t="shared" si="240"/>
        <v>45740.375</v>
      </c>
      <c r="AP240" s="19">
        <f t="shared" si="240"/>
        <v>45740.39583</v>
      </c>
      <c r="AQ240" s="19">
        <f t="shared" si="240"/>
        <v>45740.41667</v>
      </c>
      <c r="AR240" s="19">
        <f t="shared" si="240"/>
        <v>45740.4375</v>
      </c>
      <c r="AS240" s="19">
        <f t="shared" si="240"/>
        <v>45740.45833</v>
      </c>
      <c r="AT240" s="19">
        <f t="shared" si="240"/>
        <v>45740.47917</v>
      </c>
      <c r="AU240" s="19">
        <f t="shared" si="240"/>
        <v>45740.5</v>
      </c>
      <c r="AV240" s="19">
        <f t="shared" si="240"/>
        <v>45740.52083</v>
      </c>
      <c r="AW240" s="19">
        <f t="shared" si="240"/>
        <v>45740.54167</v>
      </c>
      <c r="AX240" s="19">
        <f t="shared" si="240"/>
        <v>45740.5625</v>
      </c>
      <c r="AY240" s="19">
        <f t="shared" si="240"/>
        <v>45740.58333</v>
      </c>
      <c r="AZ240" s="19">
        <f t="shared" si="240"/>
        <v>45740.60417</v>
      </c>
      <c r="BA240" s="19">
        <f t="shared" si="240"/>
        <v>45740.625</v>
      </c>
      <c r="BB240" s="19">
        <f t="shared" si="240"/>
        <v>45740.64583</v>
      </c>
      <c r="BC240" s="19">
        <f t="shared" si="240"/>
        <v>45740.66667</v>
      </c>
      <c r="BD240" s="19">
        <f t="shared" si="240"/>
        <v>45740.6875</v>
      </c>
      <c r="BE240" s="19">
        <f t="shared" si="240"/>
        <v>45740.70833</v>
      </c>
      <c r="BF240" s="19">
        <f t="shared" si="240"/>
        <v>45740.72917</v>
      </c>
      <c r="BG240" s="19">
        <f t="shared" si="240"/>
        <v>45740.75</v>
      </c>
      <c r="BH240" s="19">
        <f t="shared" si="240"/>
        <v>45740.77083</v>
      </c>
      <c r="BI240" s="19">
        <f t="shared" si="240"/>
        <v>45740.79167</v>
      </c>
      <c r="BJ240" s="19">
        <f t="shared" si="240"/>
        <v>45740.8125</v>
      </c>
      <c r="BK240" s="19">
        <f t="shared" si="240"/>
        <v>45740.83333</v>
      </c>
      <c r="BL240" s="19">
        <f t="shared" si="240"/>
        <v>45740.85417</v>
      </c>
      <c r="BM240" s="19">
        <f t="shared" si="240"/>
        <v>45740.875</v>
      </c>
      <c r="BN240" s="19">
        <f t="shared" si="240"/>
        <v>45740.89583</v>
      </c>
      <c r="BO240" s="19">
        <f t="shared" si="240"/>
        <v>45740.91667</v>
      </c>
      <c r="BP240" s="19">
        <f t="shared" si="240"/>
        <v>45740.9375</v>
      </c>
      <c r="BQ240" s="19">
        <f t="shared" si="240"/>
        <v>45740.95833</v>
      </c>
      <c r="BR240" s="19">
        <f t="shared" si="240"/>
        <v>45740.97917</v>
      </c>
      <c r="BS240" s="19">
        <f t="shared" si="240"/>
        <v>45741</v>
      </c>
      <c r="BT240" s="19">
        <f t="shared" si="240"/>
        <v>45741.02083</v>
      </c>
      <c r="BU240" s="19">
        <f t="shared" si="240"/>
        <v>45741.04167</v>
      </c>
      <c r="BV240" s="19">
        <f t="shared" si="240"/>
        <v>45741.0625</v>
      </c>
      <c r="BW240" s="19">
        <f t="shared" si="240"/>
        <v>45741.08333</v>
      </c>
      <c r="BX240" s="19">
        <f t="shared" si="240"/>
        <v>45740</v>
      </c>
      <c r="BY240" s="19">
        <f t="shared" si="240"/>
        <v>45740</v>
      </c>
      <c r="BZ240" s="19">
        <f t="shared" si="240"/>
        <v>45740</v>
      </c>
    </row>
    <row r="241" ht="14.25" customHeight="1">
      <c r="A241" s="17">
        <v>45741.0</v>
      </c>
      <c r="B241" s="2" t="str">
        <f t="array" ref="B241">IF(NOW()&gt;AM241,"",IF(AND((WEEKDAY($A241)+$B$2)&gt;1,((WEEKDAY($A241)+$T$2)&lt;7),(WEEKDAY($A241)&lt;&gt;1)),"work",(INDEX(Subject!$A:$I,MATCH(RANDBETWEEN(1,(MAX(Subject!$B:$B))),Subject!$B:$B,0),3))))</f>
        <v/>
      </c>
      <c r="C241" s="2" t="str">
        <f t="array" ref="C241">IF(NOW()&gt;AN241,"",IF(AND((WEEKDAY($A241)+$B$2)&gt;1,((WEEKDAY($A241)+$T$2)&lt;7),(WEEKDAY($A241)&lt;&gt;1)),"work",(INDEX(Subject!$A:$I,MATCH(RANDBETWEEN(1,(MAX(Subject!$B:$B))),Subject!$B:$B,0),3))))</f>
        <v/>
      </c>
      <c r="D241" s="2" t="str">
        <f t="array" ref="D241">IF(NOW()&gt;AO241,"",IF(AND((WEEKDAY($A241)+$B$2)&gt;1,((WEEKDAY($A241)+$T$2)&lt;7),(WEEKDAY($A241)&lt;&gt;1)),"work",(INDEX(Subject!$A:$I,MATCH(RANDBETWEEN(1,(MAX(Subject!$B:$B))),Subject!$B:$B,0),3))))</f>
        <v/>
      </c>
      <c r="E241" s="2" t="str">
        <f t="array" ref="E241">IF(NOW()&gt;AP241,"",IF(AND((WEEKDAY($A241)+$B$2)&gt;1,((WEEKDAY($A241)+$T$2)&lt;7),(WEEKDAY($A241)&lt;&gt;1)),"work",(INDEX(Subject!$A:$I,MATCH(RANDBETWEEN(1,(MAX(Subject!$B:$B))),Subject!$B:$B,0),3))))</f>
        <v/>
      </c>
      <c r="F241" s="2" t="str">
        <f t="array" ref="F241">IF(NOW()&gt;AQ241,"",IF(AND((WEEKDAY($A241)+$B$2)&gt;1,((WEEKDAY($A241)+$T$2)&lt;7),(WEEKDAY($A241)&lt;&gt;1)),"work",(INDEX(Subject!$A:$I,MATCH(RANDBETWEEN(1,(MAX(Subject!$B:$B))),Subject!$B:$B,0),3))))</f>
        <v/>
      </c>
      <c r="G241" s="2" t="str">
        <f t="array" ref="G241">IF(NOW()&gt;AR241,"",IF(AND((WEEKDAY($A241)+$B$2)&gt;1,((WEEKDAY($A241)+$T$2)&lt;7),(WEEKDAY($A241)&lt;&gt;1)),"work",(INDEX(Subject!$A:$I,MATCH(RANDBETWEEN(1,(MAX(Subject!$B:$B))),Subject!$B:$B,0),3))))</f>
        <v/>
      </c>
      <c r="H241" s="2" t="str">
        <f t="array" ref="H241">IF(NOW()&gt;AS241,"",IF(AND((WEEKDAY($A241)+$B$2)&gt;1,((WEEKDAY($A241)+$T$2)&lt;7),(WEEKDAY($A241)&lt;&gt;1)),"work",(INDEX(Subject!$A:$I,MATCH(RANDBETWEEN(1,(MAX(Subject!$B:$B))),Subject!$B:$B,0),3))))</f>
        <v/>
      </c>
      <c r="I241" s="2" t="str">
        <f t="array" ref="I241">IF(NOW()&gt;AT241,"",IF(AND((WEEKDAY($A241)+$B$2)&gt;1,((WEEKDAY($A241)+$T$2)&lt;7),(WEEKDAY($A241)&lt;&gt;1)),"work",(INDEX(Subject!$A:$I,MATCH(RANDBETWEEN(1,(MAX(Subject!$B:$B))),Subject!$B:$B,0),3))))</f>
        <v/>
      </c>
      <c r="J241" s="2" t="str">
        <f t="array" ref="J241">IF(NOW()&gt;AU241,"",IF(AND((WEEKDAY($A241)+$B$2)&gt;1,((WEEKDAY($A241)+$T$2)&lt;7),(WEEKDAY($A241)&lt;&gt;1)),"work",(INDEX(Subject!$A:$I,MATCH(RANDBETWEEN(1,(MAX(Subject!$B:$B))),Subject!$B:$B,0),3))))</f>
        <v/>
      </c>
      <c r="K241" s="2" t="str">
        <f t="array" ref="K241">IF(NOW()&gt;AV241,"",IF(AND((WEEKDAY($A241)+$B$2)&gt;1,((WEEKDAY($A241)+$T$2)&lt;7),(WEEKDAY($A241)&lt;&gt;1)),"work",(INDEX(Subject!$A:$I,MATCH(RANDBETWEEN(1,(MAX(Subject!$B:$B))),Subject!$B:$B,0),3))))</f>
        <v/>
      </c>
      <c r="L241" s="2" t="str">
        <f t="array" ref="L241">IF(NOW()&gt;AW241,"",IF(AND((WEEKDAY($A241)+$B$2)&gt;1,((WEEKDAY($A241)+$T$2)&lt;7),(WEEKDAY($A241)&lt;&gt;1)),"work",(INDEX(Subject!$A:$I,MATCH(RANDBETWEEN(1,(MAX(Subject!$B:$B))),Subject!$B:$B,0),3))))</f>
        <v/>
      </c>
      <c r="M241" s="2" t="str">
        <f t="array" ref="M241">IF(NOW()&gt;AX241,"",IF(AND((WEEKDAY($A241)+$B$2)&gt;1,((WEEKDAY($A241)+$T$2)&lt;7),(WEEKDAY($A241)&lt;&gt;1)),"work",(INDEX(Subject!$A:$I,MATCH(RANDBETWEEN(1,(MAX(Subject!$B:$B))),Subject!$B:$B,0),3))))</f>
        <v/>
      </c>
      <c r="N241" s="2" t="str">
        <f t="array" ref="N241">IF(NOW()&gt;AY241,"",IF(AND((WEEKDAY($A241)+$B$2)&gt;1,((WEEKDAY($A241)+$T$2)&lt;7),(WEEKDAY($A241)&lt;&gt;1)),"work",(INDEX(Subject!$A:$I,MATCH(RANDBETWEEN(1,(MAX(Subject!$B:$B))),Subject!$B:$B,0),3))))</f>
        <v/>
      </c>
      <c r="O241" s="2" t="str">
        <f t="array" ref="O241">IF(NOW()&gt;AZ241,"",IF(AND((WEEKDAY($A241)+$B$2)&gt;1,((WEEKDAY($A241)+$T$2)&lt;7),(WEEKDAY($A241)&lt;&gt;1)),"work",(INDEX(Subject!$A:$I,MATCH(RANDBETWEEN(1,(MAX(Subject!$B:$B))),Subject!$B:$B,0),3))))</f>
        <v/>
      </c>
      <c r="P241" s="2" t="str">
        <f t="array" ref="P241">IF(NOW()&gt;BA241,"",IF(AND((WEEKDAY($A241)+$B$2)&gt;1,((WEEKDAY($A241)+$T$2)&lt;7),(WEEKDAY($A241)&lt;&gt;1)),"work",(INDEX(Subject!$A:$I,MATCH(RANDBETWEEN(1,(MAX(Subject!$B:$B))),Subject!$B:$B,0),3))))</f>
        <v/>
      </c>
      <c r="Q241" s="2" t="str">
        <f t="array" ref="Q241">IF(NOW()&gt;BB241,"",IF(AND((WEEKDAY($A241)+$B$2)&gt;1,((WEEKDAY($A241)+$T$2)&lt;7),(WEEKDAY($A241)&lt;&gt;1)),"work",(INDEX(Subject!$A:$I,MATCH(RANDBETWEEN(1,(MAX(Subject!$B:$B))),Subject!$B:$B,0),3))))</f>
        <v/>
      </c>
      <c r="R241" s="2" t="str">
        <f t="array" ref="R241">IF(NOW()&gt;BC241,"",IF(AND((WEEKDAY($A241)+$B$2)&gt;1,((WEEKDAY($A241)+$T$2)&lt;7),(WEEKDAY($A241)&lt;&gt;1)),"work",(INDEX(Subject!$A:$I,MATCH(RANDBETWEEN(1,(MAX(Subject!$B:$B))),Subject!$B:$B,0),3))))</f>
        <v/>
      </c>
      <c r="S241" s="2" t="str">
        <f t="array" ref="S241">IF(NOW()&gt;BD241,"",IF(AND((WEEKDAY($A241)+$B$2)&gt;1,((WEEKDAY($A241)+$T$2)&lt;7),(WEEKDAY($A241)&lt;&gt;1)),"work",(INDEX(Subject!$A:$I,MATCH(RANDBETWEEN(1,(MAX(Subject!$B:$B))),Subject!$B:$B,0),3))))</f>
        <v/>
      </c>
      <c r="T241" s="2" t="str">
        <f t="array" ref="T241">IF(NOW()&gt;BE241,"",IF(AND((WEEKDAY($A241)+$B$2)&gt;1,((WEEKDAY($A241)+$T$2)&lt;7),(WEEKDAY($A241)&lt;&gt;1)),"work",(INDEX(Subject!$A:$I,MATCH(RANDBETWEEN(1,(MAX(Subject!$B:$B))),Subject!$B:$B,0),3))))</f>
        <v/>
      </c>
      <c r="U241" s="8" t="str">
        <f t="array" ref="U241">INDEX(Subject!$A:$I,MATCH(RANDBETWEEN(1,16),Subject!$B:$B,0),3)</f>
        <v>#N/A</v>
      </c>
      <c r="V241" s="8" t="str">
        <f t="array" ref="V241">INDEX(Subject!$A:$I,MATCH(RANDBETWEEN(1,16),Subject!$B:$B,0),3)</f>
        <v>#N/A</v>
      </c>
      <c r="W241" s="8" t="str">
        <f t="array" ref="W241">INDEX(Subject!$A:$I,MATCH(RANDBETWEEN(1,16),Subject!$B:$B,0),3)</f>
        <v>#N/A</v>
      </c>
      <c r="X241" s="8" t="str">
        <f t="array" ref="X241">INDEX(Subject!$A:$I,MATCH(RANDBETWEEN(1,16),Subject!$B:$B,0),3)</f>
        <v/>
      </c>
      <c r="Y241" s="8" t="str">
        <f t="array" ref="Y241">INDEX(Subject!$A:$I,MATCH(RANDBETWEEN(1,16),Subject!$B:$B,0),3)</f>
        <v>#N/A</v>
      </c>
      <c r="Z241" s="8" t="str">
        <f t="array" ref="Z241">INDEX(Subject!$A:$I,MATCH(RANDBETWEEN(1,16),Subject!$B:$B,0),3)</f>
        <v>#N/A</v>
      </c>
      <c r="AA241" s="8" t="str">
        <f t="array" ref="AA241">INDEX(Subject!$A:$I,MATCH(RANDBETWEEN(1,16),Subject!$B:$B,0),3)</f>
        <v/>
      </c>
      <c r="AB241" s="8" t="str">
        <f t="array" ref="AB241">INDEX(Subject!$A:$I,MATCH(RANDBETWEEN(1,16),Subject!$B:$B,0),3)</f>
        <v>#N/A</v>
      </c>
      <c r="AC241" s="8" t="str">
        <f t="array" ref="AC241">INDEX(Subject!$A:$I,MATCH(RANDBETWEEN(1,16),Subject!$B:$B,0),3)</f>
        <v>#N/A</v>
      </c>
      <c r="AD241" s="8" t="str">
        <f t="array" ref="AD241">INDEX(Subject!$A:$I,MATCH(RANDBETWEEN(1,16),Subject!$B:$B,0),3)</f>
        <v>#N/A</v>
      </c>
      <c r="AE241" s="8" t="str">
        <f t="array" ref="AE241">INDEX(Subject!$A:$I,MATCH(RANDBETWEEN(1,16),Subject!$B:$B,0),3)</f>
        <v>#N/A</v>
      </c>
      <c r="AF241" s="8" t="str">
        <f t="array" ref="AF241">INDEX(Subject!$A:$I,MATCH(RANDBETWEEN(1,16),Subject!$B:$B,0),3)</f>
        <v>#N/A</v>
      </c>
      <c r="AG241" s="8" t="str">
        <f t="array" ref="AG241">INDEX(Subject!$A:$I,MATCH(RANDBETWEEN(1,16),Subject!$B:$B,0),3)</f>
        <v>#N/A</v>
      </c>
      <c r="AH241" s="8" t="str">
        <f t="array" ref="AH241">INDEX(Subject!$A:$I,MATCH(RANDBETWEEN(1,16),Subject!$B:$B,0),3)</f>
        <v>#N/A</v>
      </c>
      <c r="AI241" s="8" t="str">
        <f t="array" ref="AI241">INDEX(Subject!$A:$I,MATCH(RANDBETWEEN(1,16),Subject!$B:$B,0),3)</f>
        <v>#N/A</v>
      </c>
      <c r="AJ241" s="8" t="str">
        <f t="array" ref="AJ241">INDEX(Subject!$A:$I,MATCH(RANDBETWEEN(1,16),Subject!$B:$B,0),3)</f>
        <v>#N/A</v>
      </c>
      <c r="AK241" s="8" t="str">
        <f t="array" ref="AK241">INDEX(Subject!$A:$I,MATCH(RANDBETWEEN(1,16),Subject!$B:$B,0),3)</f>
        <v>#N/A</v>
      </c>
      <c r="AL241" s="8" t="str">
        <f t="array" ref="AL241">INDEX(Subject!$A:$I,MATCH(RANDBETWEEN(1,16),Subject!$B:$B,0),3)</f>
        <v>#N/A</v>
      </c>
      <c r="AM241" s="18">
        <f t="shared" si="4"/>
        <v>45741.33333</v>
      </c>
      <c r="AN241" s="19">
        <f t="shared" ref="AN241:BZ241" si="241">$A241+C$1</f>
        <v>45741.35417</v>
      </c>
      <c r="AO241" s="19">
        <f t="shared" si="241"/>
        <v>45741.375</v>
      </c>
      <c r="AP241" s="19">
        <f t="shared" si="241"/>
        <v>45741.39583</v>
      </c>
      <c r="AQ241" s="19">
        <f t="shared" si="241"/>
        <v>45741.41667</v>
      </c>
      <c r="AR241" s="19">
        <f t="shared" si="241"/>
        <v>45741.4375</v>
      </c>
      <c r="AS241" s="19">
        <f t="shared" si="241"/>
        <v>45741.45833</v>
      </c>
      <c r="AT241" s="19">
        <f t="shared" si="241"/>
        <v>45741.47917</v>
      </c>
      <c r="AU241" s="19">
        <f t="shared" si="241"/>
        <v>45741.5</v>
      </c>
      <c r="AV241" s="19">
        <f t="shared" si="241"/>
        <v>45741.52083</v>
      </c>
      <c r="AW241" s="19">
        <f t="shared" si="241"/>
        <v>45741.54167</v>
      </c>
      <c r="AX241" s="19">
        <f t="shared" si="241"/>
        <v>45741.5625</v>
      </c>
      <c r="AY241" s="19">
        <f t="shared" si="241"/>
        <v>45741.58333</v>
      </c>
      <c r="AZ241" s="19">
        <f t="shared" si="241"/>
        <v>45741.60417</v>
      </c>
      <c r="BA241" s="19">
        <f t="shared" si="241"/>
        <v>45741.625</v>
      </c>
      <c r="BB241" s="19">
        <f t="shared" si="241"/>
        <v>45741.64583</v>
      </c>
      <c r="BC241" s="19">
        <f t="shared" si="241"/>
        <v>45741.66667</v>
      </c>
      <c r="BD241" s="19">
        <f t="shared" si="241"/>
        <v>45741.6875</v>
      </c>
      <c r="BE241" s="19">
        <f t="shared" si="241"/>
        <v>45741.70833</v>
      </c>
      <c r="BF241" s="19">
        <f t="shared" si="241"/>
        <v>45741.72917</v>
      </c>
      <c r="BG241" s="19">
        <f t="shared" si="241"/>
        <v>45741.75</v>
      </c>
      <c r="BH241" s="19">
        <f t="shared" si="241"/>
        <v>45741.77083</v>
      </c>
      <c r="BI241" s="19">
        <f t="shared" si="241"/>
        <v>45741.79167</v>
      </c>
      <c r="BJ241" s="19">
        <f t="shared" si="241"/>
        <v>45741.8125</v>
      </c>
      <c r="BK241" s="19">
        <f t="shared" si="241"/>
        <v>45741.83333</v>
      </c>
      <c r="BL241" s="19">
        <f t="shared" si="241"/>
        <v>45741.85417</v>
      </c>
      <c r="BM241" s="19">
        <f t="shared" si="241"/>
        <v>45741.875</v>
      </c>
      <c r="BN241" s="19">
        <f t="shared" si="241"/>
        <v>45741.89583</v>
      </c>
      <c r="BO241" s="19">
        <f t="shared" si="241"/>
        <v>45741.91667</v>
      </c>
      <c r="BP241" s="19">
        <f t="shared" si="241"/>
        <v>45741.9375</v>
      </c>
      <c r="BQ241" s="19">
        <f t="shared" si="241"/>
        <v>45741.95833</v>
      </c>
      <c r="BR241" s="19">
        <f t="shared" si="241"/>
        <v>45741.97917</v>
      </c>
      <c r="BS241" s="19">
        <f t="shared" si="241"/>
        <v>45742</v>
      </c>
      <c r="BT241" s="19">
        <f t="shared" si="241"/>
        <v>45742.02083</v>
      </c>
      <c r="BU241" s="19">
        <f t="shared" si="241"/>
        <v>45742.04167</v>
      </c>
      <c r="BV241" s="19">
        <f t="shared" si="241"/>
        <v>45742.0625</v>
      </c>
      <c r="BW241" s="19">
        <f t="shared" si="241"/>
        <v>45742.08333</v>
      </c>
      <c r="BX241" s="19">
        <f t="shared" si="241"/>
        <v>45741</v>
      </c>
      <c r="BY241" s="19">
        <f t="shared" si="241"/>
        <v>45741</v>
      </c>
      <c r="BZ241" s="19">
        <f t="shared" si="241"/>
        <v>45741</v>
      </c>
    </row>
    <row r="242" ht="14.25" customHeight="1">
      <c r="A242" s="17">
        <v>45742.0</v>
      </c>
      <c r="B242" s="2" t="str">
        <f t="array" ref="B242">IF(NOW()&gt;AM242,"",IF(AND((WEEKDAY($A242)+$B$2)&gt;1,((WEEKDAY($A242)+$T$2)&lt;7),(WEEKDAY($A242)&lt;&gt;1)),"work",(INDEX(Subject!$A:$I,MATCH(RANDBETWEEN(1,(MAX(Subject!$B:$B))),Subject!$B:$B,0),3))))</f>
        <v/>
      </c>
      <c r="C242" s="2" t="str">
        <f t="array" ref="C242">IF(NOW()&gt;AN242,"",IF(AND((WEEKDAY($A242)+$B$2)&gt;1,((WEEKDAY($A242)+$T$2)&lt;7),(WEEKDAY($A242)&lt;&gt;1)),"work",(INDEX(Subject!$A:$I,MATCH(RANDBETWEEN(1,(MAX(Subject!$B:$B))),Subject!$B:$B,0),3))))</f>
        <v/>
      </c>
      <c r="D242" s="2" t="str">
        <f t="array" ref="D242">IF(NOW()&gt;AO242,"",IF(AND((WEEKDAY($A242)+$B$2)&gt;1,((WEEKDAY($A242)+$T$2)&lt;7),(WEEKDAY($A242)&lt;&gt;1)),"work",(INDEX(Subject!$A:$I,MATCH(RANDBETWEEN(1,(MAX(Subject!$B:$B))),Subject!$B:$B,0),3))))</f>
        <v/>
      </c>
      <c r="E242" s="2" t="str">
        <f t="array" ref="E242">IF(NOW()&gt;AP242,"",IF(AND((WEEKDAY($A242)+$B$2)&gt;1,((WEEKDAY($A242)+$T$2)&lt;7),(WEEKDAY($A242)&lt;&gt;1)),"work",(INDEX(Subject!$A:$I,MATCH(RANDBETWEEN(1,(MAX(Subject!$B:$B))),Subject!$B:$B,0),3))))</f>
        <v/>
      </c>
      <c r="F242" s="2" t="str">
        <f t="array" ref="F242">IF(NOW()&gt;AQ242,"",IF(AND((WEEKDAY($A242)+$B$2)&gt;1,((WEEKDAY($A242)+$T$2)&lt;7),(WEEKDAY($A242)&lt;&gt;1)),"work",(INDEX(Subject!$A:$I,MATCH(RANDBETWEEN(1,(MAX(Subject!$B:$B))),Subject!$B:$B,0),3))))</f>
        <v/>
      </c>
      <c r="G242" s="2" t="str">
        <f t="array" ref="G242">IF(NOW()&gt;AR242,"",IF(AND((WEEKDAY($A242)+$B$2)&gt;1,((WEEKDAY($A242)+$T$2)&lt;7),(WEEKDAY($A242)&lt;&gt;1)),"work",(INDEX(Subject!$A:$I,MATCH(RANDBETWEEN(1,(MAX(Subject!$B:$B))),Subject!$B:$B,0),3))))</f>
        <v/>
      </c>
      <c r="H242" s="2" t="str">
        <f t="array" ref="H242">IF(NOW()&gt;AS242,"",IF(AND((WEEKDAY($A242)+$B$2)&gt;1,((WEEKDAY($A242)+$T$2)&lt;7),(WEEKDAY($A242)&lt;&gt;1)),"work",(INDEX(Subject!$A:$I,MATCH(RANDBETWEEN(1,(MAX(Subject!$B:$B))),Subject!$B:$B,0),3))))</f>
        <v/>
      </c>
      <c r="I242" s="2" t="str">
        <f t="array" ref="I242">IF(NOW()&gt;AT242,"",IF(AND((WEEKDAY($A242)+$B$2)&gt;1,((WEEKDAY($A242)+$T$2)&lt;7),(WEEKDAY($A242)&lt;&gt;1)),"work",(INDEX(Subject!$A:$I,MATCH(RANDBETWEEN(1,(MAX(Subject!$B:$B))),Subject!$B:$B,0),3))))</f>
        <v/>
      </c>
      <c r="J242" s="2" t="str">
        <f t="array" ref="J242">IF(NOW()&gt;AU242,"",IF(AND((WEEKDAY($A242)+$B$2)&gt;1,((WEEKDAY($A242)+$T$2)&lt;7),(WEEKDAY($A242)&lt;&gt;1)),"work",(INDEX(Subject!$A:$I,MATCH(RANDBETWEEN(1,(MAX(Subject!$B:$B))),Subject!$B:$B,0),3))))</f>
        <v/>
      </c>
      <c r="K242" s="2" t="str">
        <f t="array" ref="K242">IF(NOW()&gt;AV242,"",IF(AND((WEEKDAY($A242)+$B$2)&gt;1,((WEEKDAY($A242)+$T$2)&lt;7),(WEEKDAY($A242)&lt;&gt;1)),"work",(INDEX(Subject!$A:$I,MATCH(RANDBETWEEN(1,(MAX(Subject!$B:$B))),Subject!$B:$B,0),3))))</f>
        <v/>
      </c>
      <c r="L242" s="2" t="str">
        <f t="array" ref="L242">IF(NOW()&gt;AW242,"",IF(AND((WEEKDAY($A242)+$B$2)&gt;1,((WEEKDAY($A242)+$T$2)&lt;7),(WEEKDAY($A242)&lt;&gt;1)),"work",(INDEX(Subject!$A:$I,MATCH(RANDBETWEEN(1,(MAX(Subject!$B:$B))),Subject!$B:$B,0),3))))</f>
        <v/>
      </c>
      <c r="M242" s="2" t="str">
        <f t="array" ref="M242">IF(NOW()&gt;AX242,"",IF(AND((WEEKDAY($A242)+$B$2)&gt;1,((WEEKDAY($A242)+$T$2)&lt;7),(WEEKDAY($A242)&lt;&gt;1)),"work",(INDEX(Subject!$A:$I,MATCH(RANDBETWEEN(1,(MAX(Subject!$B:$B))),Subject!$B:$B,0),3))))</f>
        <v/>
      </c>
      <c r="N242" s="2" t="str">
        <f t="array" ref="N242">IF(NOW()&gt;AY242,"",IF(AND((WEEKDAY($A242)+$B$2)&gt;1,((WEEKDAY($A242)+$T$2)&lt;7),(WEEKDAY($A242)&lt;&gt;1)),"work",(INDEX(Subject!$A:$I,MATCH(RANDBETWEEN(1,(MAX(Subject!$B:$B))),Subject!$B:$B,0),3))))</f>
        <v/>
      </c>
      <c r="O242" s="2" t="str">
        <f t="array" ref="O242">IF(NOW()&gt;AZ242,"",IF(AND((WEEKDAY($A242)+$B$2)&gt;1,((WEEKDAY($A242)+$T$2)&lt;7),(WEEKDAY($A242)&lt;&gt;1)),"work",(INDEX(Subject!$A:$I,MATCH(RANDBETWEEN(1,(MAX(Subject!$B:$B))),Subject!$B:$B,0),3))))</f>
        <v/>
      </c>
      <c r="P242" s="2" t="str">
        <f t="array" ref="P242">IF(NOW()&gt;BA242,"",IF(AND((WEEKDAY($A242)+$B$2)&gt;1,((WEEKDAY($A242)+$T$2)&lt;7),(WEEKDAY($A242)&lt;&gt;1)),"work",(INDEX(Subject!$A:$I,MATCH(RANDBETWEEN(1,(MAX(Subject!$B:$B))),Subject!$B:$B,0),3))))</f>
        <v/>
      </c>
      <c r="Q242" s="2" t="str">
        <f t="array" ref="Q242">IF(NOW()&gt;BB242,"",IF(AND((WEEKDAY($A242)+$B$2)&gt;1,((WEEKDAY($A242)+$T$2)&lt;7),(WEEKDAY($A242)&lt;&gt;1)),"work",(INDEX(Subject!$A:$I,MATCH(RANDBETWEEN(1,(MAX(Subject!$B:$B))),Subject!$B:$B,0),3))))</f>
        <v/>
      </c>
      <c r="R242" s="2" t="str">
        <f t="array" ref="R242">IF(NOW()&gt;BC242,"",IF(AND((WEEKDAY($A242)+$B$2)&gt;1,((WEEKDAY($A242)+$T$2)&lt;7),(WEEKDAY($A242)&lt;&gt;1)),"work",(INDEX(Subject!$A:$I,MATCH(RANDBETWEEN(1,(MAX(Subject!$B:$B))),Subject!$B:$B,0),3))))</f>
        <v/>
      </c>
      <c r="S242" s="2" t="str">
        <f t="array" ref="S242">IF(NOW()&gt;BD242,"",IF(AND((WEEKDAY($A242)+$B$2)&gt;1,((WEEKDAY($A242)+$T$2)&lt;7),(WEEKDAY($A242)&lt;&gt;1)),"work",(INDEX(Subject!$A:$I,MATCH(RANDBETWEEN(1,(MAX(Subject!$B:$B))),Subject!$B:$B,0),3))))</f>
        <v/>
      </c>
      <c r="T242" s="2" t="str">
        <f t="array" ref="T242">IF(NOW()&gt;BE242,"",IF(AND((WEEKDAY($A242)+$B$2)&gt;1,((WEEKDAY($A242)+$T$2)&lt;7),(WEEKDAY($A242)&lt;&gt;1)),"work",(INDEX(Subject!$A:$I,MATCH(RANDBETWEEN(1,(MAX(Subject!$B:$B))),Subject!$B:$B,0),3))))</f>
        <v/>
      </c>
      <c r="U242" s="8" t="str">
        <f t="array" ref="U242">INDEX(Subject!$A:$I,MATCH(RANDBETWEEN(1,16),Subject!$B:$B,0),3)</f>
        <v>#N/A</v>
      </c>
      <c r="V242" s="8" t="str">
        <f t="array" ref="V242">INDEX(Subject!$A:$I,MATCH(RANDBETWEEN(1,16),Subject!$B:$B,0),3)</f>
        <v>#N/A</v>
      </c>
      <c r="W242" s="8" t="str">
        <f t="array" ref="W242">INDEX(Subject!$A:$I,MATCH(RANDBETWEEN(1,16),Subject!$B:$B,0),3)</f>
        <v>#N/A</v>
      </c>
      <c r="X242" s="8" t="str">
        <f t="array" ref="X242">INDEX(Subject!$A:$I,MATCH(RANDBETWEEN(1,16),Subject!$B:$B,0),3)</f>
        <v/>
      </c>
      <c r="Y242" s="8" t="str">
        <f t="array" ref="Y242">INDEX(Subject!$A:$I,MATCH(RANDBETWEEN(1,16),Subject!$B:$B,0),3)</f>
        <v>#N/A</v>
      </c>
      <c r="Z242" s="8" t="str">
        <f t="array" ref="Z242">INDEX(Subject!$A:$I,MATCH(RANDBETWEEN(1,16),Subject!$B:$B,0),3)</f>
        <v/>
      </c>
      <c r="AA242" s="8" t="str">
        <f t="array" ref="AA242">INDEX(Subject!$A:$I,MATCH(RANDBETWEEN(1,16),Subject!$B:$B,0),3)</f>
        <v>#N/A</v>
      </c>
      <c r="AB242" s="8" t="str">
        <f t="array" ref="AB242">INDEX(Subject!$A:$I,MATCH(RANDBETWEEN(1,16),Subject!$B:$B,0),3)</f>
        <v>#N/A</v>
      </c>
      <c r="AC242" s="8" t="str">
        <f t="array" ref="AC242">INDEX(Subject!$A:$I,MATCH(RANDBETWEEN(1,16),Subject!$B:$B,0),3)</f>
        <v/>
      </c>
      <c r="AD242" s="8" t="str">
        <f t="array" ref="AD242">INDEX(Subject!$A:$I,MATCH(RANDBETWEEN(1,16),Subject!$B:$B,0),3)</f>
        <v>#N/A</v>
      </c>
      <c r="AE242" s="8" t="str">
        <f t="array" ref="AE242">INDEX(Subject!$A:$I,MATCH(RANDBETWEEN(1,16),Subject!$B:$B,0),3)</f>
        <v>#N/A</v>
      </c>
      <c r="AF242" s="8" t="str">
        <f t="array" ref="AF242">INDEX(Subject!$A:$I,MATCH(RANDBETWEEN(1,16),Subject!$B:$B,0),3)</f>
        <v/>
      </c>
      <c r="AG242" s="8" t="str">
        <f t="array" ref="AG242">INDEX(Subject!$A:$I,MATCH(RANDBETWEEN(1,16),Subject!$B:$B,0),3)</f>
        <v>#N/A</v>
      </c>
      <c r="AH242" s="8" t="str">
        <f t="array" ref="AH242">INDEX(Subject!$A:$I,MATCH(RANDBETWEEN(1,16),Subject!$B:$B,0),3)</f>
        <v>#N/A</v>
      </c>
      <c r="AI242" s="8" t="str">
        <f t="array" ref="AI242">INDEX(Subject!$A:$I,MATCH(RANDBETWEEN(1,16),Subject!$B:$B,0),3)</f>
        <v>#N/A</v>
      </c>
      <c r="AJ242" s="8" t="str">
        <f t="array" ref="AJ242">INDEX(Subject!$A:$I,MATCH(RANDBETWEEN(1,16),Subject!$B:$B,0),3)</f>
        <v>#N/A</v>
      </c>
      <c r="AK242" s="8" t="str">
        <f t="array" ref="AK242">INDEX(Subject!$A:$I,MATCH(RANDBETWEEN(1,16),Subject!$B:$B,0),3)</f>
        <v>#N/A</v>
      </c>
      <c r="AL242" s="8" t="str">
        <f t="array" ref="AL242">INDEX(Subject!$A:$I,MATCH(RANDBETWEEN(1,16),Subject!$B:$B,0),3)</f>
        <v>#N/A</v>
      </c>
      <c r="AM242" s="18">
        <f t="shared" si="4"/>
        <v>45742.33333</v>
      </c>
      <c r="AN242" s="19">
        <f t="shared" ref="AN242:BZ242" si="242">$A242+C$1</f>
        <v>45742.35417</v>
      </c>
      <c r="AO242" s="19">
        <f t="shared" si="242"/>
        <v>45742.375</v>
      </c>
      <c r="AP242" s="19">
        <f t="shared" si="242"/>
        <v>45742.39583</v>
      </c>
      <c r="AQ242" s="19">
        <f t="shared" si="242"/>
        <v>45742.41667</v>
      </c>
      <c r="AR242" s="19">
        <f t="shared" si="242"/>
        <v>45742.4375</v>
      </c>
      <c r="AS242" s="19">
        <f t="shared" si="242"/>
        <v>45742.45833</v>
      </c>
      <c r="AT242" s="19">
        <f t="shared" si="242"/>
        <v>45742.47917</v>
      </c>
      <c r="AU242" s="19">
        <f t="shared" si="242"/>
        <v>45742.5</v>
      </c>
      <c r="AV242" s="19">
        <f t="shared" si="242"/>
        <v>45742.52083</v>
      </c>
      <c r="AW242" s="19">
        <f t="shared" si="242"/>
        <v>45742.54167</v>
      </c>
      <c r="AX242" s="19">
        <f t="shared" si="242"/>
        <v>45742.5625</v>
      </c>
      <c r="AY242" s="19">
        <f t="shared" si="242"/>
        <v>45742.58333</v>
      </c>
      <c r="AZ242" s="19">
        <f t="shared" si="242"/>
        <v>45742.60417</v>
      </c>
      <c r="BA242" s="19">
        <f t="shared" si="242"/>
        <v>45742.625</v>
      </c>
      <c r="BB242" s="19">
        <f t="shared" si="242"/>
        <v>45742.64583</v>
      </c>
      <c r="BC242" s="19">
        <f t="shared" si="242"/>
        <v>45742.66667</v>
      </c>
      <c r="BD242" s="19">
        <f t="shared" si="242"/>
        <v>45742.6875</v>
      </c>
      <c r="BE242" s="19">
        <f t="shared" si="242"/>
        <v>45742.70833</v>
      </c>
      <c r="BF242" s="19">
        <f t="shared" si="242"/>
        <v>45742.72917</v>
      </c>
      <c r="BG242" s="19">
        <f t="shared" si="242"/>
        <v>45742.75</v>
      </c>
      <c r="BH242" s="19">
        <f t="shared" si="242"/>
        <v>45742.77083</v>
      </c>
      <c r="BI242" s="19">
        <f t="shared" si="242"/>
        <v>45742.79167</v>
      </c>
      <c r="BJ242" s="19">
        <f t="shared" si="242"/>
        <v>45742.8125</v>
      </c>
      <c r="BK242" s="19">
        <f t="shared" si="242"/>
        <v>45742.83333</v>
      </c>
      <c r="BL242" s="19">
        <f t="shared" si="242"/>
        <v>45742.85417</v>
      </c>
      <c r="BM242" s="19">
        <f t="shared" si="242"/>
        <v>45742.875</v>
      </c>
      <c r="BN242" s="19">
        <f t="shared" si="242"/>
        <v>45742.89583</v>
      </c>
      <c r="BO242" s="19">
        <f t="shared" si="242"/>
        <v>45742.91667</v>
      </c>
      <c r="BP242" s="19">
        <f t="shared" si="242"/>
        <v>45742.9375</v>
      </c>
      <c r="BQ242" s="19">
        <f t="shared" si="242"/>
        <v>45742.95833</v>
      </c>
      <c r="BR242" s="19">
        <f t="shared" si="242"/>
        <v>45742.97917</v>
      </c>
      <c r="BS242" s="19">
        <f t="shared" si="242"/>
        <v>45743</v>
      </c>
      <c r="BT242" s="19">
        <f t="shared" si="242"/>
        <v>45743.02083</v>
      </c>
      <c r="BU242" s="19">
        <f t="shared" si="242"/>
        <v>45743.04167</v>
      </c>
      <c r="BV242" s="19">
        <f t="shared" si="242"/>
        <v>45743.0625</v>
      </c>
      <c r="BW242" s="19">
        <f t="shared" si="242"/>
        <v>45743.08333</v>
      </c>
      <c r="BX242" s="19">
        <f t="shared" si="242"/>
        <v>45742</v>
      </c>
      <c r="BY242" s="19">
        <f t="shared" si="242"/>
        <v>45742</v>
      </c>
      <c r="BZ242" s="19">
        <f t="shared" si="242"/>
        <v>45742</v>
      </c>
    </row>
    <row r="243" ht="14.25" customHeight="1">
      <c r="A243" s="17">
        <v>45743.0</v>
      </c>
      <c r="B243" s="2" t="str">
        <f t="array" ref="B243">IF(NOW()&gt;AM243,"",IF(AND((WEEKDAY($A243)+$B$2)&gt;1,((WEEKDAY($A243)+$T$2)&lt;7),(WEEKDAY($A243)&lt;&gt;1)),"work",(INDEX(Subject!$A:$I,MATCH(RANDBETWEEN(1,(MAX(Subject!$B:$B))),Subject!$B:$B,0),3))))</f>
        <v/>
      </c>
      <c r="C243" s="2" t="str">
        <f t="array" ref="C243">IF(NOW()&gt;AN243,"",IF(AND((WEEKDAY($A243)+$B$2)&gt;1,((WEEKDAY($A243)+$T$2)&lt;7),(WEEKDAY($A243)&lt;&gt;1)),"work",(INDEX(Subject!$A:$I,MATCH(RANDBETWEEN(1,(MAX(Subject!$B:$B))),Subject!$B:$B,0),3))))</f>
        <v/>
      </c>
      <c r="D243" s="2" t="str">
        <f t="array" ref="D243">IF(NOW()&gt;AO243,"",IF(AND((WEEKDAY($A243)+$B$2)&gt;1,((WEEKDAY($A243)+$T$2)&lt;7),(WEEKDAY($A243)&lt;&gt;1)),"work",(INDEX(Subject!$A:$I,MATCH(RANDBETWEEN(1,(MAX(Subject!$B:$B))),Subject!$B:$B,0),3))))</f>
        <v/>
      </c>
      <c r="E243" s="2" t="str">
        <f t="array" ref="E243">IF(NOW()&gt;AP243,"",IF(AND((WEEKDAY($A243)+$B$2)&gt;1,((WEEKDAY($A243)+$T$2)&lt;7),(WEEKDAY($A243)&lt;&gt;1)),"work",(INDEX(Subject!$A:$I,MATCH(RANDBETWEEN(1,(MAX(Subject!$B:$B))),Subject!$B:$B,0),3))))</f>
        <v/>
      </c>
      <c r="F243" s="2" t="str">
        <f t="array" ref="F243">IF(NOW()&gt;AQ243,"",IF(AND((WEEKDAY($A243)+$B$2)&gt;1,((WEEKDAY($A243)+$T$2)&lt;7),(WEEKDAY($A243)&lt;&gt;1)),"work",(INDEX(Subject!$A:$I,MATCH(RANDBETWEEN(1,(MAX(Subject!$B:$B))),Subject!$B:$B,0),3))))</f>
        <v/>
      </c>
      <c r="G243" s="2" t="str">
        <f t="array" ref="G243">IF(NOW()&gt;AR243,"",IF(AND((WEEKDAY($A243)+$B$2)&gt;1,((WEEKDAY($A243)+$T$2)&lt;7),(WEEKDAY($A243)&lt;&gt;1)),"work",(INDEX(Subject!$A:$I,MATCH(RANDBETWEEN(1,(MAX(Subject!$B:$B))),Subject!$B:$B,0),3))))</f>
        <v/>
      </c>
      <c r="H243" s="2" t="str">
        <f t="array" ref="H243">IF(NOW()&gt;AS243,"",IF(AND((WEEKDAY($A243)+$B$2)&gt;1,((WEEKDAY($A243)+$T$2)&lt;7),(WEEKDAY($A243)&lt;&gt;1)),"work",(INDEX(Subject!$A:$I,MATCH(RANDBETWEEN(1,(MAX(Subject!$B:$B))),Subject!$B:$B,0),3))))</f>
        <v/>
      </c>
      <c r="I243" s="2" t="str">
        <f t="array" ref="I243">IF(NOW()&gt;AT243,"",IF(AND((WEEKDAY($A243)+$B$2)&gt;1,((WEEKDAY($A243)+$T$2)&lt;7),(WEEKDAY($A243)&lt;&gt;1)),"work",(INDEX(Subject!$A:$I,MATCH(RANDBETWEEN(1,(MAX(Subject!$B:$B))),Subject!$B:$B,0),3))))</f>
        <v/>
      </c>
      <c r="J243" s="2" t="str">
        <f t="array" ref="J243">IF(NOW()&gt;AU243,"",IF(AND((WEEKDAY($A243)+$B$2)&gt;1,((WEEKDAY($A243)+$T$2)&lt;7),(WEEKDAY($A243)&lt;&gt;1)),"work",(INDEX(Subject!$A:$I,MATCH(RANDBETWEEN(1,(MAX(Subject!$B:$B))),Subject!$B:$B,0),3))))</f>
        <v/>
      </c>
      <c r="K243" s="2" t="str">
        <f t="array" ref="K243">IF(NOW()&gt;AV243,"",IF(AND((WEEKDAY($A243)+$B$2)&gt;1,((WEEKDAY($A243)+$T$2)&lt;7),(WEEKDAY($A243)&lt;&gt;1)),"work",(INDEX(Subject!$A:$I,MATCH(RANDBETWEEN(1,(MAX(Subject!$B:$B))),Subject!$B:$B,0),3))))</f>
        <v/>
      </c>
      <c r="L243" s="2" t="str">
        <f t="array" ref="L243">IF(NOW()&gt;AW243,"",IF(AND((WEEKDAY($A243)+$B$2)&gt;1,((WEEKDAY($A243)+$T$2)&lt;7),(WEEKDAY($A243)&lt;&gt;1)),"work",(INDEX(Subject!$A:$I,MATCH(RANDBETWEEN(1,(MAX(Subject!$B:$B))),Subject!$B:$B,0),3))))</f>
        <v/>
      </c>
      <c r="M243" s="2" t="str">
        <f t="array" ref="M243">IF(NOW()&gt;AX243,"",IF(AND((WEEKDAY($A243)+$B$2)&gt;1,((WEEKDAY($A243)+$T$2)&lt;7),(WEEKDAY($A243)&lt;&gt;1)),"work",(INDEX(Subject!$A:$I,MATCH(RANDBETWEEN(1,(MAX(Subject!$B:$B))),Subject!$B:$B,0),3))))</f>
        <v/>
      </c>
      <c r="N243" s="2" t="str">
        <f t="array" ref="N243">IF(NOW()&gt;AY243,"",IF(AND((WEEKDAY($A243)+$B$2)&gt;1,((WEEKDAY($A243)+$T$2)&lt;7),(WEEKDAY($A243)&lt;&gt;1)),"work",(INDEX(Subject!$A:$I,MATCH(RANDBETWEEN(1,(MAX(Subject!$B:$B))),Subject!$B:$B,0),3))))</f>
        <v/>
      </c>
      <c r="O243" s="2" t="str">
        <f t="array" ref="O243">IF(NOW()&gt;AZ243,"",IF(AND((WEEKDAY($A243)+$B$2)&gt;1,((WEEKDAY($A243)+$T$2)&lt;7),(WEEKDAY($A243)&lt;&gt;1)),"work",(INDEX(Subject!$A:$I,MATCH(RANDBETWEEN(1,(MAX(Subject!$B:$B))),Subject!$B:$B,0),3))))</f>
        <v/>
      </c>
      <c r="P243" s="2" t="str">
        <f t="array" ref="P243">IF(NOW()&gt;BA243,"",IF(AND((WEEKDAY($A243)+$B$2)&gt;1,((WEEKDAY($A243)+$T$2)&lt;7),(WEEKDAY($A243)&lt;&gt;1)),"work",(INDEX(Subject!$A:$I,MATCH(RANDBETWEEN(1,(MAX(Subject!$B:$B))),Subject!$B:$B,0),3))))</f>
        <v/>
      </c>
      <c r="Q243" s="2" t="str">
        <f t="array" ref="Q243">IF(NOW()&gt;BB243,"",IF(AND((WEEKDAY($A243)+$B$2)&gt;1,((WEEKDAY($A243)+$T$2)&lt;7),(WEEKDAY($A243)&lt;&gt;1)),"work",(INDEX(Subject!$A:$I,MATCH(RANDBETWEEN(1,(MAX(Subject!$B:$B))),Subject!$B:$B,0),3))))</f>
        <v/>
      </c>
      <c r="R243" s="2" t="str">
        <f t="array" ref="R243">IF(NOW()&gt;BC243,"",IF(AND((WEEKDAY($A243)+$B$2)&gt;1,((WEEKDAY($A243)+$T$2)&lt;7),(WEEKDAY($A243)&lt;&gt;1)),"work",(INDEX(Subject!$A:$I,MATCH(RANDBETWEEN(1,(MAX(Subject!$B:$B))),Subject!$B:$B,0),3))))</f>
        <v/>
      </c>
      <c r="S243" s="2" t="str">
        <f t="array" ref="S243">IF(NOW()&gt;BD243,"",IF(AND((WEEKDAY($A243)+$B$2)&gt;1,((WEEKDAY($A243)+$T$2)&lt;7),(WEEKDAY($A243)&lt;&gt;1)),"work",(INDEX(Subject!$A:$I,MATCH(RANDBETWEEN(1,(MAX(Subject!$B:$B))),Subject!$B:$B,0),3))))</f>
        <v/>
      </c>
      <c r="T243" s="2" t="str">
        <f t="array" ref="T243">IF(NOW()&gt;BE243,"",IF(AND((WEEKDAY($A243)+$B$2)&gt;1,((WEEKDAY($A243)+$T$2)&lt;7),(WEEKDAY($A243)&lt;&gt;1)),"work",(INDEX(Subject!$A:$I,MATCH(RANDBETWEEN(1,(MAX(Subject!$B:$B))),Subject!$B:$B,0),3))))</f>
        <v/>
      </c>
      <c r="U243" s="8" t="str">
        <f t="array" ref="U243">INDEX(Subject!$A:$I,MATCH(RANDBETWEEN(1,16),Subject!$B:$B,0),3)</f>
        <v>#N/A</v>
      </c>
      <c r="V243" s="8" t="str">
        <f t="array" ref="V243">INDEX(Subject!$A:$I,MATCH(RANDBETWEEN(1,16),Subject!$B:$B,0),3)</f>
        <v>#N/A</v>
      </c>
      <c r="W243" s="8" t="str">
        <f t="array" ref="W243">INDEX(Subject!$A:$I,MATCH(RANDBETWEEN(1,16),Subject!$B:$B,0),3)</f>
        <v>#N/A</v>
      </c>
      <c r="X243" s="8" t="str">
        <f t="array" ref="X243">INDEX(Subject!$A:$I,MATCH(RANDBETWEEN(1,16),Subject!$B:$B,0),3)</f>
        <v>#N/A</v>
      </c>
      <c r="Y243" s="8" t="str">
        <f t="array" ref="Y243">INDEX(Subject!$A:$I,MATCH(RANDBETWEEN(1,16),Subject!$B:$B,0),3)</f>
        <v>#N/A</v>
      </c>
      <c r="Z243" s="8" t="str">
        <f t="array" ref="Z243">INDEX(Subject!$A:$I,MATCH(RANDBETWEEN(1,16),Subject!$B:$B,0),3)</f>
        <v>#N/A</v>
      </c>
      <c r="AA243" s="8" t="str">
        <f t="array" ref="AA243">INDEX(Subject!$A:$I,MATCH(RANDBETWEEN(1,16),Subject!$B:$B,0),3)</f>
        <v>#N/A</v>
      </c>
      <c r="AB243" s="8" t="str">
        <f t="array" ref="AB243">INDEX(Subject!$A:$I,MATCH(RANDBETWEEN(1,16),Subject!$B:$B,0),3)</f>
        <v>#N/A</v>
      </c>
      <c r="AC243" s="8" t="str">
        <f t="array" ref="AC243">INDEX(Subject!$A:$I,MATCH(RANDBETWEEN(1,16),Subject!$B:$B,0),3)</f>
        <v>#N/A</v>
      </c>
      <c r="AD243" s="8" t="str">
        <f t="array" ref="AD243">INDEX(Subject!$A:$I,MATCH(RANDBETWEEN(1,16),Subject!$B:$B,0),3)</f>
        <v>#N/A</v>
      </c>
      <c r="AE243" s="8" t="str">
        <f t="array" ref="AE243">INDEX(Subject!$A:$I,MATCH(RANDBETWEEN(1,16),Subject!$B:$B,0),3)</f>
        <v>#N/A</v>
      </c>
      <c r="AF243" s="8" t="str">
        <f t="array" ref="AF243">INDEX(Subject!$A:$I,MATCH(RANDBETWEEN(1,16),Subject!$B:$B,0),3)</f>
        <v>#N/A</v>
      </c>
      <c r="AG243" s="8" t="str">
        <f t="array" ref="AG243">INDEX(Subject!$A:$I,MATCH(RANDBETWEEN(1,16),Subject!$B:$B,0),3)</f>
        <v>#N/A</v>
      </c>
      <c r="AH243" s="8" t="str">
        <f t="array" ref="AH243">INDEX(Subject!$A:$I,MATCH(RANDBETWEEN(1,16),Subject!$B:$B,0),3)</f>
        <v>#N/A</v>
      </c>
      <c r="AI243" s="8" t="str">
        <f t="array" ref="AI243">INDEX(Subject!$A:$I,MATCH(RANDBETWEEN(1,16),Subject!$B:$B,0),3)</f>
        <v>#N/A</v>
      </c>
      <c r="AJ243" s="8" t="str">
        <f t="array" ref="AJ243">INDEX(Subject!$A:$I,MATCH(RANDBETWEEN(1,16),Subject!$B:$B,0),3)</f>
        <v>#N/A</v>
      </c>
      <c r="AK243" s="8" t="str">
        <f t="array" ref="AK243">INDEX(Subject!$A:$I,MATCH(RANDBETWEEN(1,16),Subject!$B:$B,0),3)</f>
        <v>#N/A</v>
      </c>
      <c r="AL243" s="8" t="str">
        <f t="array" ref="AL243">INDEX(Subject!$A:$I,MATCH(RANDBETWEEN(1,16),Subject!$B:$B,0),3)</f>
        <v>#N/A</v>
      </c>
      <c r="AM243" s="18">
        <f t="shared" si="4"/>
        <v>45743.33333</v>
      </c>
      <c r="AN243" s="19">
        <f t="shared" ref="AN243:BZ243" si="243">$A243+C$1</f>
        <v>45743.35417</v>
      </c>
      <c r="AO243" s="19">
        <f t="shared" si="243"/>
        <v>45743.375</v>
      </c>
      <c r="AP243" s="19">
        <f t="shared" si="243"/>
        <v>45743.39583</v>
      </c>
      <c r="AQ243" s="19">
        <f t="shared" si="243"/>
        <v>45743.41667</v>
      </c>
      <c r="AR243" s="19">
        <f t="shared" si="243"/>
        <v>45743.4375</v>
      </c>
      <c r="AS243" s="19">
        <f t="shared" si="243"/>
        <v>45743.45833</v>
      </c>
      <c r="AT243" s="19">
        <f t="shared" si="243"/>
        <v>45743.47917</v>
      </c>
      <c r="AU243" s="19">
        <f t="shared" si="243"/>
        <v>45743.5</v>
      </c>
      <c r="AV243" s="19">
        <f t="shared" si="243"/>
        <v>45743.52083</v>
      </c>
      <c r="AW243" s="19">
        <f t="shared" si="243"/>
        <v>45743.54167</v>
      </c>
      <c r="AX243" s="19">
        <f t="shared" si="243"/>
        <v>45743.5625</v>
      </c>
      <c r="AY243" s="19">
        <f t="shared" si="243"/>
        <v>45743.58333</v>
      </c>
      <c r="AZ243" s="19">
        <f t="shared" si="243"/>
        <v>45743.60417</v>
      </c>
      <c r="BA243" s="19">
        <f t="shared" si="243"/>
        <v>45743.625</v>
      </c>
      <c r="BB243" s="19">
        <f t="shared" si="243"/>
        <v>45743.64583</v>
      </c>
      <c r="BC243" s="19">
        <f t="shared" si="243"/>
        <v>45743.66667</v>
      </c>
      <c r="BD243" s="19">
        <f t="shared" si="243"/>
        <v>45743.6875</v>
      </c>
      <c r="BE243" s="19">
        <f t="shared" si="243"/>
        <v>45743.70833</v>
      </c>
      <c r="BF243" s="19">
        <f t="shared" si="243"/>
        <v>45743.72917</v>
      </c>
      <c r="BG243" s="19">
        <f t="shared" si="243"/>
        <v>45743.75</v>
      </c>
      <c r="BH243" s="19">
        <f t="shared" si="243"/>
        <v>45743.77083</v>
      </c>
      <c r="BI243" s="19">
        <f t="shared" si="243"/>
        <v>45743.79167</v>
      </c>
      <c r="BJ243" s="19">
        <f t="shared" si="243"/>
        <v>45743.8125</v>
      </c>
      <c r="BK243" s="19">
        <f t="shared" si="243"/>
        <v>45743.83333</v>
      </c>
      <c r="BL243" s="19">
        <f t="shared" si="243"/>
        <v>45743.85417</v>
      </c>
      <c r="BM243" s="19">
        <f t="shared" si="243"/>
        <v>45743.875</v>
      </c>
      <c r="BN243" s="19">
        <f t="shared" si="243"/>
        <v>45743.89583</v>
      </c>
      <c r="BO243" s="19">
        <f t="shared" si="243"/>
        <v>45743.91667</v>
      </c>
      <c r="BP243" s="19">
        <f t="shared" si="243"/>
        <v>45743.9375</v>
      </c>
      <c r="BQ243" s="19">
        <f t="shared" si="243"/>
        <v>45743.95833</v>
      </c>
      <c r="BR243" s="19">
        <f t="shared" si="243"/>
        <v>45743.97917</v>
      </c>
      <c r="BS243" s="19">
        <f t="shared" si="243"/>
        <v>45744</v>
      </c>
      <c r="BT243" s="19">
        <f t="shared" si="243"/>
        <v>45744.02083</v>
      </c>
      <c r="BU243" s="19">
        <f t="shared" si="243"/>
        <v>45744.04167</v>
      </c>
      <c r="BV243" s="19">
        <f t="shared" si="243"/>
        <v>45744.0625</v>
      </c>
      <c r="BW243" s="19">
        <f t="shared" si="243"/>
        <v>45744.08333</v>
      </c>
      <c r="BX243" s="19">
        <f t="shared" si="243"/>
        <v>45743</v>
      </c>
      <c r="BY243" s="19">
        <f t="shared" si="243"/>
        <v>45743</v>
      </c>
      <c r="BZ243" s="19">
        <f t="shared" si="243"/>
        <v>45743</v>
      </c>
    </row>
    <row r="244" ht="14.25" customHeight="1">
      <c r="A244" s="17">
        <v>45744.0</v>
      </c>
      <c r="B244" s="2" t="str">
        <f t="array" ref="B244">IF(NOW()&gt;AM244,"",IF(AND((WEEKDAY($A244)+$B$2)&gt;1,((WEEKDAY($A244)+$T$2)&lt;7),(WEEKDAY($A244)&lt;&gt;1)),"work",(INDEX(Subject!$A:$I,MATCH(RANDBETWEEN(1,(MAX(Subject!$B:$B))),Subject!$B:$B,0),3))))</f>
        <v/>
      </c>
      <c r="C244" s="2" t="str">
        <f t="array" ref="C244">IF(NOW()&gt;AN244,"",IF(AND((WEEKDAY($A244)+$B$2)&gt;1,((WEEKDAY($A244)+$T$2)&lt;7),(WEEKDAY($A244)&lt;&gt;1)),"work",(INDEX(Subject!$A:$I,MATCH(RANDBETWEEN(1,(MAX(Subject!$B:$B))),Subject!$B:$B,0),3))))</f>
        <v/>
      </c>
      <c r="D244" s="2" t="str">
        <f t="array" ref="D244">IF(NOW()&gt;AO244,"",IF(AND((WEEKDAY($A244)+$B$2)&gt;1,((WEEKDAY($A244)+$T$2)&lt;7),(WEEKDAY($A244)&lt;&gt;1)),"work",(INDEX(Subject!$A:$I,MATCH(RANDBETWEEN(1,(MAX(Subject!$B:$B))),Subject!$B:$B,0),3))))</f>
        <v/>
      </c>
      <c r="E244" s="2" t="str">
        <f t="array" ref="E244">IF(NOW()&gt;AP244,"",IF(AND((WEEKDAY($A244)+$B$2)&gt;1,((WEEKDAY($A244)+$T$2)&lt;7),(WEEKDAY($A244)&lt;&gt;1)),"work",(INDEX(Subject!$A:$I,MATCH(RANDBETWEEN(1,(MAX(Subject!$B:$B))),Subject!$B:$B,0),3))))</f>
        <v/>
      </c>
      <c r="F244" s="2" t="str">
        <f t="array" ref="F244">IF(NOW()&gt;AQ244,"",IF(AND((WEEKDAY($A244)+$B$2)&gt;1,((WEEKDAY($A244)+$T$2)&lt;7),(WEEKDAY($A244)&lt;&gt;1)),"work",(INDEX(Subject!$A:$I,MATCH(RANDBETWEEN(1,(MAX(Subject!$B:$B))),Subject!$B:$B,0),3))))</f>
        <v/>
      </c>
      <c r="G244" s="2" t="str">
        <f t="array" ref="G244">IF(NOW()&gt;AR244,"",IF(AND((WEEKDAY($A244)+$B$2)&gt;1,((WEEKDAY($A244)+$T$2)&lt;7),(WEEKDAY($A244)&lt;&gt;1)),"work",(INDEX(Subject!$A:$I,MATCH(RANDBETWEEN(1,(MAX(Subject!$B:$B))),Subject!$B:$B,0),3))))</f>
        <v/>
      </c>
      <c r="H244" s="2" t="str">
        <f t="array" ref="H244">IF(NOW()&gt;AS244,"",IF(AND((WEEKDAY($A244)+$B$2)&gt;1,((WEEKDAY($A244)+$T$2)&lt;7),(WEEKDAY($A244)&lt;&gt;1)),"work",(INDEX(Subject!$A:$I,MATCH(RANDBETWEEN(1,(MAX(Subject!$B:$B))),Subject!$B:$B,0),3))))</f>
        <v/>
      </c>
      <c r="I244" s="2" t="str">
        <f t="array" ref="I244">IF(NOW()&gt;AT244,"",IF(AND((WEEKDAY($A244)+$B$2)&gt;1,((WEEKDAY($A244)+$T$2)&lt;7),(WEEKDAY($A244)&lt;&gt;1)),"work",(INDEX(Subject!$A:$I,MATCH(RANDBETWEEN(1,(MAX(Subject!$B:$B))),Subject!$B:$B,0),3))))</f>
        <v/>
      </c>
      <c r="J244" s="2" t="str">
        <f t="array" ref="J244">IF(NOW()&gt;AU244,"",IF(AND((WEEKDAY($A244)+$B$2)&gt;1,((WEEKDAY($A244)+$T$2)&lt;7),(WEEKDAY($A244)&lt;&gt;1)),"work",(INDEX(Subject!$A:$I,MATCH(RANDBETWEEN(1,(MAX(Subject!$B:$B))),Subject!$B:$B,0),3))))</f>
        <v/>
      </c>
      <c r="K244" s="2" t="str">
        <f t="array" ref="K244">IF(NOW()&gt;AV244,"",IF(AND((WEEKDAY($A244)+$B$2)&gt;1,((WEEKDAY($A244)+$T$2)&lt;7),(WEEKDAY($A244)&lt;&gt;1)),"work",(INDEX(Subject!$A:$I,MATCH(RANDBETWEEN(1,(MAX(Subject!$B:$B))),Subject!$B:$B,0),3))))</f>
        <v/>
      </c>
      <c r="L244" s="2" t="str">
        <f t="array" ref="L244">IF(NOW()&gt;AW244,"",IF(AND((WEEKDAY($A244)+$B$2)&gt;1,((WEEKDAY($A244)+$T$2)&lt;7),(WEEKDAY($A244)&lt;&gt;1)),"work",(INDEX(Subject!$A:$I,MATCH(RANDBETWEEN(1,(MAX(Subject!$B:$B))),Subject!$B:$B,0),3))))</f>
        <v/>
      </c>
      <c r="M244" s="2" t="str">
        <f t="array" ref="M244">IF(NOW()&gt;AX244,"",IF(AND((WEEKDAY($A244)+$B$2)&gt;1,((WEEKDAY($A244)+$T$2)&lt;7),(WEEKDAY($A244)&lt;&gt;1)),"work",(INDEX(Subject!$A:$I,MATCH(RANDBETWEEN(1,(MAX(Subject!$B:$B))),Subject!$B:$B,0),3))))</f>
        <v/>
      </c>
      <c r="N244" s="2" t="str">
        <f t="array" ref="N244">IF(NOW()&gt;AY244,"",IF(AND((WEEKDAY($A244)+$B$2)&gt;1,((WEEKDAY($A244)+$T$2)&lt;7),(WEEKDAY($A244)&lt;&gt;1)),"work",(INDEX(Subject!$A:$I,MATCH(RANDBETWEEN(1,(MAX(Subject!$B:$B))),Subject!$B:$B,0),3))))</f>
        <v/>
      </c>
      <c r="O244" s="2" t="str">
        <f t="array" ref="O244">IF(NOW()&gt;AZ244,"",IF(AND((WEEKDAY($A244)+$B$2)&gt;1,((WEEKDAY($A244)+$T$2)&lt;7),(WEEKDAY($A244)&lt;&gt;1)),"work",(INDEX(Subject!$A:$I,MATCH(RANDBETWEEN(1,(MAX(Subject!$B:$B))),Subject!$B:$B,0),3))))</f>
        <v/>
      </c>
      <c r="P244" s="2" t="str">
        <f t="array" ref="P244">IF(NOW()&gt;BA244,"",IF(AND((WEEKDAY($A244)+$B$2)&gt;1,((WEEKDAY($A244)+$T$2)&lt;7),(WEEKDAY($A244)&lt;&gt;1)),"work",(INDEX(Subject!$A:$I,MATCH(RANDBETWEEN(1,(MAX(Subject!$B:$B))),Subject!$B:$B,0),3))))</f>
        <v/>
      </c>
      <c r="Q244" s="2" t="str">
        <f t="array" ref="Q244">IF(NOW()&gt;BB244,"",IF(AND((WEEKDAY($A244)+$B$2)&gt;1,((WEEKDAY($A244)+$T$2)&lt;7),(WEEKDAY($A244)&lt;&gt;1)),"work",(INDEX(Subject!$A:$I,MATCH(RANDBETWEEN(1,(MAX(Subject!$B:$B))),Subject!$B:$B,0),3))))</f>
        <v/>
      </c>
      <c r="R244" s="2" t="str">
        <f t="array" ref="R244">IF(NOW()&gt;BC244,"",IF(AND((WEEKDAY($A244)+$B$2)&gt;1,((WEEKDAY($A244)+$T$2)&lt;7),(WEEKDAY($A244)&lt;&gt;1)),"work",(INDEX(Subject!$A:$I,MATCH(RANDBETWEEN(1,(MAX(Subject!$B:$B))),Subject!$B:$B,0),3))))</f>
        <v/>
      </c>
      <c r="S244" s="2" t="str">
        <f t="array" ref="S244">IF(NOW()&gt;BD244,"",IF(AND((WEEKDAY($A244)+$B$2)&gt;1,((WEEKDAY($A244)+$T$2)&lt;7),(WEEKDAY($A244)&lt;&gt;1)),"work",(INDEX(Subject!$A:$I,MATCH(RANDBETWEEN(1,(MAX(Subject!$B:$B))),Subject!$B:$B,0),3))))</f>
        <v/>
      </c>
      <c r="T244" s="2" t="str">
        <f t="array" ref="T244">IF(NOW()&gt;BE244,"",IF(AND((WEEKDAY($A244)+$B$2)&gt;1,((WEEKDAY($A244)+$T$2)&lt;7),(WEEKDAY($A244)&lt;&gt;1)),"work",(INDEX(Subject!$A:$I,MATCH(RANDBETWEEN(1,(MAX(Subject!$B:$B))),Subject!$B:$B,0),3))))</f>
        <v/>
      </c>
      <c r="U244" s="8" t="str">
        <f t="array" ref="U244">INDEX(Subject!$A:$I,MATCH(RANDBETWEEN(1,16),Subject!$B:$B,0),3)</f>
        <v/>
      </c>
      <c r="V244" s="8" t="str">
        <f t="array" ref="V244">INDEX(Subject!$A:$I,MATCH(RANDBETWEEN(1,16),Subject!$B:$B,0),3)</f>
        <v>#N/A</v>
      </c>
      <c r="W244" s="8" t="str">
        <f t="array" ref="W244">INDEX(Subject!$A:$I,MATCH(RANDBETWEEN(1,16),Subject!$B:$B,0),3)</f>
        <v>#N/A</v>
      </c>
      <c r="X244" s="8" t="str">
        <f t="array" ref="X244">INDEX(Subject!$A:$I,MATCH(RANDBETWEEN(1,16),Subject!$B:$B,0),3)</f>
        <v/>
      </c>
      <c r="Y244" s="8" t="str">
        <f t="array" ref="Y244">INDEX(Subject!$A:$I,MATCH(RANDBETWEEN(1,16),Subject!$B:$B,0),3)</f>
        <v>#N/A</v>
      </c>
      <c r="Z244" s="8" t="str">
        <f t="array" ref="Z244">INDEX(Subject!$A:$I,MATCH(RANDBETWEEN(1,16),Subject!$B:$B,0),3)</f>
        <v>#N/A</v>
      </c>
      <c r="AA244" s="8" t="str">
        <f t="array" ref="AA244">INDEX(Subject!$A:$I,MATCH(RANDBETWEEN(1,16),Subject!$B:$B,0),3)</f>
        <v>#N/A</v>
      </c>
      <c r="AB244" s="8" t="str">
        <f t="array" ref="AB244">INDEX(Subject!$A:$I,MATCH(RANDBETWEEN(1,16),Subject!$B:$B,0),3)</f>
        <v>#N/A</v>
      </c>
      <c r="AC244" s="8" t="str">
        <f t="array" ref="AC244">INDEX(Subject!$A:$I,MATCH(RANDBETWEEN(1,16),Subject!$B:$B,0),3)</f>
        <v>#N/A</v>
      </c>
      <c r="AD244" s="8" t="str">
        <f t="array" ref="AD244">INDEX(Subject!$A:$I,MATCH(RANDBETWEEN(1,16),Subject!$B:$B,0),3)</f>
        <v>#N/A</v>
      </c>
      <c r="AE244" s="8" t="str">
        <f t="array" ref="AE244">INDEX(Subject!$A:$I,MATCH(RANDBETWEEN(1,16),Subject!$B:$B,0),3)</f>
        <v>#N/A</v>
      </c>
      <c r="AF244" s="8" t="str">
        <f t="array" ref="AF244">INDEX(Subject!$A:$I,MATCH(RANDBETWEEN(1,16),Subject!$B:$B,0),3)</f>
        <v>#N/A</v>
      </c>
      <c r="AG244" s="8" t="str">
        <f t="array" ref="AG244">INDEX(Subject!$A:$I,MATCH(RANDBETWEEN(1,16),Subject!$B:$B,0),3)</f>
        <v>#N/A</v>
      </c>
      <c r="AH244" s="8" t="str">
        <f t="array" ref="AH244">INDEX(Subject!$A:$I,MATCH(RANDBETWEEN(1,16),Subject!$B:$B,0),3)</f>
        <v/>
      </c>
      <c r="AI244" s="8" t="str">
        <f t="array" ref="AI244">INDEX(Subject!$A:$I,MATCH(RANDBETWEEN(1,16),Subject!$B:$B,0),3)</f>
        <v>#N/A</v>
      </c>
      <c r="AJ244" s="8" t="str">
        <f t="array" ref="AJ244">INDEX(Subject!$A:$I,MATCH(RANDBETWEEN(1,16),Subject!$B:$B,0),3)</f>
        <v>#N/A</v>
      </c>
      <c r="AK244" s="8" t="str">
        <f t="array" ref="AK244">INDEX(Subject!$A:$I,MATCH(RANDBETWEEN(1,16),Subject!$B:$B,0),3)</f>
        <v>#N/A</v>
      </c>
      <c r="AL244" s="8" t="str">
        <f t="array" ref="AL244">INDEX(Subject!$A:$I,MATCH(RANDBETWEEN(1,16),Subject!$B:$B,0),3)</f>
        <v>#N/A</v>
      </c>
      <c r="AM244" s="18">
        <f t="shared" si="4"/>
        <v>45744.33333</v>
      </c>
      <c r="AN244" s="19">
        <f t="shared" ref="AN244:BZ244" si="244">$A244+C$1</f>
        <v>45744.35417</v>
      </c>
      <c r="AO244" s="19">
        <f t="shared" si="244"/>
        <v>45744.375</v>
      </c>
      <c r="AP244" s="19">
        <f t="shared" si="244"/>
        <v>45744.39583</v>
      </c>
      <c r="AQ244" s="19">
        <f t="shared" si="244"/>
        <v>45744.41667</v>
      </c>
      <c r="AR244" s="19">
        <f t="shared" si="244"/>
        <v>45744.4375</v>
      </c>
      <c r="AS244" s="19">
        <f t="shared" si="244"/>
        <v>45744.45833</v>
      </c>
      <c r="AT244" s="19">
        <f t="shared" si="244"/>
        <v>45744.47917</v>
      </c>
      <c r="AU244" s="19">
        <f t="shared" si="244"/>
        <v>45744.5</v>
      </c>
      <c r="AV244" s="19">
        <f t="shared" si="244"/>
        <v>45744.52083</v>
      </c>
      <c r="AW244" s="19">
        <f t="shared" si="244"/>
        <v>45744.54167</v>
      </c>
      <c r="AX244" s="19">
        <f t="shared" si="244"/>
        <v>45744.5625</v>
      </c>
      <c r="AY244" s="19">
        <f t="shared" si="244"/>
        <v>45744.58333</v>
      </c>
      <c r="AZ244" s="19">
        <f t="shared" si="244"/>
        <v>45744.60417</v>
      </c>
      <c r="BA244" s="19">
        <f t="shared" si="244"/>
        <v>45744.625</v>
      </c>
      <c r="BB244" s="19">
        <f t="shared" si="244"/>
        <v>45744.64583</v>
      </c>
      <c r="BC244" s="19">
        <f t="shared" si="244"/>
        <v>45744.66667</v>
      </c>
      <c r="BD244" s="19">
        <f t="shared" si="244"/>
        <v>45744.6875</v>
      </c>
      <c r="BE244" s="19">
        <f t="shared" si="244"/>
        <v>45744.70833</v>
      </c>
      <c r="BF244" s="19">
        <f t="shared" si="244"/>
        <v>45744.72917</v>
      </c>
      <c r="BG244" s="19">
        <f t="shared" si="244"/>
        <v>45744.75</v>
      </c>
      <c r="BH244" s="19">
        <f t="shared" si="244"/>
        <v>45744.77083</v>
      </c>
      <c r="BI244" s="19">
        <f t="shared" si="244"/>
        <v>45744.79167</v>
      </c>
      <c r="BJ244" s="19">
        <f t="shared" si="244"/>
        <v>45744.8125</v>
      </c>
      <c r="BK244" s="19">
        <f t="shared" si="244"/>
        <v>45744.83333</v>
      </c>
      <c r="BL244" s="19">
        <f t="shared" si="244"/>
        <v>45744.85417</v>
      </c>
      <c r="BM244" s="19">
        <f t="shared" si="244"/>
        <v>45744.875</v>
      </c>
      <c r="BN244" s="19">
        <f t="shared" si="244"/>
        <v>45744.89583</v>
      </c>
      <c r="BO244" s="19">
        <f t="shared" si="244"/>
        <v>45744.91667</v>
      </c>
      <c r="BP244" s="19">
        <f t="shared" si="244"/>
        <v>45744.9375</v>
      </c>
      <c r="BQ244" s="19">
        <f t="shared" si="244"/>
        <v>45744.95833</v>
      </c>
      <c r="BR244" s="19">
        <f t="shared" si="244"/>
        <v>45744.97917</v>
      </c>
      <c r="BS244" s="19">
        <f t="shared" si="244"/>
        <v>45745</v>
      </c>
      <c r="BT244" s="19">
        <f t="shared" si="244"/>
        <v>45745.02083</v>
      </c>
      <c r="BU244" s="19">
        <f t="shared" si="244"/>
        <v>45745.04167</v>
      </c>
      <c r="BV244" s="19">
        <f t="shared" si="244"/>
        <v>45745.0625</v>
      </c>
      <c r="BW244" s="19">
        <f t="shared" si="244"/>
        <v>45745.08333</v>
      </c>
      <c r="BX244" s="19">
        <f t="shared" si="244"/>
        <v>45744</v>
      </c>
      <c r="BY244" s="19">
        <f t="shared" si="244"/>
        <v>45744</v>
      </c>
      <c r="BZ244" s="19">
        <f t="shared" si="244"/>
        <v>45744</v>
      </c>
    </row>
    <row r="245" ht="14.25" customHeight="1">
      <c r="A245" s="17">
        <v>45745.0</v>
      </c>
      <c r="B245" s="2" t="str">
        <f t="array" ref="B245">IF(NOW()&gt;AM245,"",IF(AND((WEEKDAY($A245)+$B$2)&gt;1,((WEEKDAY($A245)+$T$2)&lt;7),(WEEKDAY($A245)&lt;&gt;1)),"work",(INDEX(Subject!$A:$I,MATCH(RANDBETWEEN(1,(MAX(Subject!$B:$B))),Subject!$B:$B,0),3))))</f>
        <v/>
      </c>
      <c r="C245" s="2" t="str">
        <f t="array" ref="C245">IF(NOW()&gt;AN245,"",IF(AND((WEEKDAY($A245)+$B$2)&gt;1,((WEEKDAY($A245)+$T$2)&lt;7),(WEEKDAY($A245)&lt;&gt;1)),"work",(INDEX(Subject!$A:$I,MATCH(RANDBETWEEN(1,(MAX(Subject!$B:$B))),Subject!$B:$B,0),3))))</f>
        <v/>
      </c>
      <c r="D245" s="2" t="str">
        <f t="array" ref="D245">IF(NOW()&gt;AO245,"",IF(AND((WEEKDAY($A245)+$B$2)&gt;1,((WEEKDAY($A245)+$T$2)&lt;7),(WEEKDAY($A245)&lt;&gt;1)),"work",(INDEX(Subject!$A:$I,MATCH(RANDBETWEEN(1,(MAX(Subject!$B:$B))),Subject!$B:$B,0),3))))</f>
        <v/>
      </c>
      <c r="E245" s="2" t="str">
        <f t="array" ref="E245">IF(NOW()&gt;AP245,"",IF(AND((WEEKDAY($A245)+$B$2)&gt;1,((WEEKDAY($A245)+$T$2)&lt;7),(WEEKDAY($A245)&lt;&gt;1)),"work",(INDEX(Subject!$A:$I,MATCH(RANDBETWEEN(1,(MAX(Subject!$B:$B))),Subject!$B:$B,0),3))))</f>
        <v/>
      </c>
      <c r="F245" s="2" t="str">
        <f t="array" ref="F245">IF(NOW()&gt;AQ245,"",IF(AND((WEEKDAY($A245)+$B$2)&gt;1,((WEEKDAY($A245)+$T$2)&lt;7),(WEEKDAY($A245)&lt;&gt;1)),"work",(INDEX(Subject!$A:$I,MATCH(RANDBETWEEN(1,(MAX(Subject!$B:$B))),Subject!$B:$B,0),3))))</f>
        <v/>
      </c>
      <c r="G245" s="2" t="str">
        <f t="array" ref="G245">IF(NOW()&gt;AR245,"",IF(AND((WEEKDAY($A245)+$B$2)&gt;1,((WEEKDAY($A245)+$T$2)&lt;7),(WEEKDAY($A245)&lt;&gt;1)),"work",(INDEX(Subject!$A:$I,MATCH(RANDBETWEEN(1,(MAX(Subject!$B:$B))),Subject!$B:$B,0),3))))</f>
        <v/>
      </c>
      <c r="H245" s="2" t="str">
        <f t="array" ref="H245">IF(NOW()&gt;AS245,"",IF(AND((WEEKDAY($A245)+$B$2)&gt;1,((WEEKDAY($A245)+$T$2)&lt;7),(WEEKDAY($A245)&lt;&gt;1)),"work",(INDEX(Subject!$A:$I,MATCH(RANDBETWEEN(1,(MAX(Subject!$B:$B))),Subject!$B:$B,0),3))))</f>
        <v/>
      </c>
      <c r="I245" s="2" t="str">
        <f t="array" ref="I245">IF(NOW()&gt;AT245,"",IF(AND((WEEKDAY($A245)+$B$2)&gt;1,((WEEKDAY($A245)+$T$2)&lt;7),(WEEKDAY($A245)&lt;&gt;1)),"work",(INDEX(Subject!$A:$I,MATCH(RANDBETWEEN(1,(MAX(Subject!$B:$B))),Subject!$B:$B,0),3))))</f>
        <v/>
      </c>
      <c r="J245" s="2" t="str">
        <f t="array" ref="J245">IF(NOW()&gt;AU245,"",IF(AND((WEEKDAY($A245)+$B$2)&gt;1,((WEEKDAY($A245)+$T$2)&lt;7),(WEEKDAY($A245)&lt;&gt;1)),"work",(INDEX(Subject!$A:$I,MATCH(RANDBETWEEN(1,(MAX(Subject!$B:$B))),Subject!$B:$B,0),3))))</f>
        <v/>
      </c>
      <c r="K245" s="2" t="str">
        <f t="array" ref="K245">IF(NOW()&gt;AV245,"",IF(AND((WEEKDAY($A245)+$B$2)&gt;1,((WEEKDAY($A245)+$T$2)&lt;7),(WEEKDAY($A245)&lt;&gt;1)),"work",(INDEX(Subject!$A:$I,MATCH(RANDBETWEEN(1,(MAX(Subject!$B:$B))),Subject!$B:$B,0),3))))</f>
        <v/>
      </c>
      <c r="L245" s="2" t="str">
        <f t="array" ref="L245">IF(NOW()&gt;AW245,"",IF(AND((WEEKDAY($A245)+$B$2)&gt;1,((WEEKDAY($A245)+$T$2)&lt;7),(WEEKDAY($A245)&lt;&gt;1)),"work",(INDEX(Subject!$A:$I,MATCH(RANDBETWEEN(1,(MAX(Subject!$B:$B))),Subject!$B:$B,0),3))))</f>
        <v/>
      </c>
      <c r="M245" s="2" t="str">
        <f t="array" ref="M245">IF(NOW()&gt;AX245,"",IF(AND((WEEKDAY($A245)+$B$2)&gt;1,((WEEKDAY($A245)+$T$2)&lt;7),(WEEKDAY($A245)&lt;&gt;1)),"work",(INDEX(Subject!$A:$I,MATCH(RANDBETWEEN(1,(MAX(Subject!$B:$B))),Subject!$B:$B,0),3))))</f>
        <v/>
      </c>
      <c r="N245" s="2" t="str">
        <f t="array" ref="N245">IF(NOW()&gt;AY245,"",IF(AND((WEEKDAY($A245)+$B$2)&gt;1,((WEEKDAY($A245)+$T$2)&lt;7),(WEEKDAY($A245)&lt;&gt;1)),"work",(INDEX(Subject!$A:$I,MATCH(RANDBETWEEN(1,(MAX(Subject!$B:$B))),Subject!$B:$B,0),3))))</f>
        <v/>
      </c>
      <c r="O245" s="2" t="str">
        <f t="array" ref="O245">IF(NOW()&gt;AZ245,"",IF(AND((WEEKDAY($A245)+$B$2)&gt;1,((WEEKDAY($A245)+$T$2)&lt;7),(WEEKDAY($A245)&lt;&gt;1)),"work",(INDEX(Subject!$A:$I,MATCH(RANDBETWEEN(1,(MAX(Subject!$B:$B))),Subject!$B:$B,0),3))))</f>
        <v/>
      </c>
      <c r="P245" s="2" t="str">
        <f t="array" ref="P245">IF(NOW()&gt;BA245,"",IF(AND((WEEKDAY($A245)+$B$2)&gt;1,((WEEKDAY($A245)+$T$2)&lt;7),(WEEKDAY($A245)&lt;&gt;1)),"work",(INDEX(Subject!$A:$I,MATCH(RANDBETWEEN(1,(MAX(Subject!$B:$B))),Subject!$B:$B,0),3))))</f>
        <v/>
      </c>
      <c r="Q245" s="2" t="str">
        <f t="array" ref="Q245">IF(NOW()&gt;BB245,"",IF(AND((WEEKDAY($A245)+$B$2)&gt;1,((WEEKDAY($A245)+$T$2)&lt;7),(WEEKDAY($A245)&lt;&gt;1)),"work",(INDEX(Subject!$A:$I,MATCH(RANDBETWEEN(1,(MAX(Subject!$B:$B))),Subject!$B:$B,0),3))))</f>
        <v/>
      </c>
      <c r="R245" s="2" t="str">
        <f t="array" ref="R245">IF(NOW()&gt;BC245,"",IF(AND((WEEKDAY($A245)+$B$2)&gt;1,((WEEKDAY($A245)+$T$2)&lt;7),(WEEKDAY($A245)&lt;&gt;1)),"work",(INDEX(Subject!$A:$I,MATCH(RANDBETWEEN(1,(MAX(Subject!$B:$B))),Subject!$B:$B,0),3))))</f>
        <v/>
      </c>
      <c r="S245" s="2" t="str">
        <f t="array" ref="S245">IF(NOW()&gt;BD245,"",IF(AND((WEEKDAY($A245)+$B$2)&gt;1,((WEEKDAY($A245)+$T$2)&lt;7),(WEEKDAY($A245)&lt;&gt;1)),"work",(INDEX(Subject!$A:$I,MATCH(RANDBETWEEN(1,(MAX(Subject!$B:$B))),Subject!$B:$B,0),3))))</f>
        <v/>
      </c>
      <c r="T245" s="2" t="str">
        <f t="array" ref="T245">IF(NOW()&gt;BE245,"",IF(AND((WEEKDAY($A245)+$B$2)&gt;1,((WEEKDAY($A245)+$T$2)&lt;7),(WEEKDAY($A245)&lt;&gt;1)),"work",(INDEX(Subject!$A:$I,MATCH(RANDBETWEEN(1,(MAX(Subject!$B:$B))),Subject!$B:$B,0),3))))</f>
        <v/>
      </c>
      <c r="U245" s="8" t="str">
        <f t="array" ref="U245">INDEX(Subject!$A:$I,MATCH(RANDBETWEEN(1,16),Subject!$B:$B,0),3)</f>
        <v>#N/A</v>
      </c>
      <c r="V245" s="8" t="str">
        <f t="array" ref="V245">INDEX(Subject!$A:$I,MATCH(RANDBETWEEN(1,16),Subject!$B:$B,0),3)</f>
        <v>#N/A</v>
      </c>
      <c r="W245" s="8" t="str">
        <f t="array" ref="W245">INDEX(Subject!$A:$I,MATCH(RANDBETWEEN(1,16),Subject!$B:$B,0),3)</f>
        <v>#N/A</v>
      </c>
      <c r="X245" s="8" t="str">
        <f t="array" ref="X245">INDEX(Subject!$A:$I,MATCH(RANDBETWEEN(1,16),Subject!$B:$B,0),3)</f>
        <v>#N/A</v>
      </c>
      <c r="Y245" s="8" t="str">
        <f t="array" ref="Y245">INDEX(Subject!$A:$I,MATCH(RANDBETWEEN(1,16),Subject!$B:$B,0),3)</f>
        <v>#N/A</v>
      </c>
      <c r="Z245" s="8" t="str">
        <f t="array" ref="Z245">INDEX(Subject!$A:$I,MATCH(RANDBETWEEN(1,16),Subject!$B:$B,0),3)</f>
        <v/>
      </c>
      <c r="AA245" s="8" t="str">
        <f t="array" ref="AA245">INDEX(Subject!$A:$I,MATCH(RANDBETWEEN(1,16),Subject!$B:$B,0),3)</f>
        <v>#N/A</v>
      </c>
      <c r="AB245" s="8" t="str">
        <f t="array" ref="AB245">INDEX(Subject!$A:$I,MATCH(RANDBETWEEN(1,16),Subject!$B:$B,0),3)</f>
        <v>#N/A</v>
      </c>
      <c r="AC245" s="8" t="str">
        <f t="array" ref="AC245">INDEX(Subject!$A:$I,MATCH(RANDBETWEEN(1,16),Subject!$B:$B,0),3)</f>
        <v>#N/A</v>
      </c>
      <c r="AD245" s="8" t="str">
        <f t="array" ref="AD245">INDEX(Subject!$A:$I,MATCH(RANDBETWEEN(1,16),Subject!$B:$B,0),3)</f>
        <v>#N/A</v>
      </c>
      <c r="AE245" s="8" t="str">
        <f t="array" ref="AE245">INDEX(Subject!$A:$I,MATCH(RANDBETWEEN(1,16),Subject!$B:$B,0),3)</f>
        <v>#N/A</v>
      </c>
      <c r="AF245" s="8" t="str">
        <f t="array" ref="AF245">INDEX(Subject!$A:$I,MATCH(RANDBETWEEN(1,16),Subject!$B:$B,0),3)</f>
        <v>#N/A</v>
      </c>
      <c r="AG245" s="8" t="str">
        <f t="array" ref="AG245">INDEX(Subject!$A:$I,MATCH(RANDBETWEEN(1,16),Subject!$B:$B,0),3)</f>
        <v>#N/A</v>
      </c>
      <c r="AH245" s="8" t="str">
        <f t="array" ref="AH245">INDEX(Subject!$A:$I,MATCH(RANDBETWEEN(1,16),Subject!$B:$B,0),3)</f>
        <v>#N/A</v>
      </c>
      <c r="AI245" s="8" t="str">
        <f t="array" ref="AI245">INDEX(Subject!$A:$I,MATCH(RANDBETWEEN(1,16),Subject!$B:$B,0),3)</f>
        <v>#N/A</v>
      </c>
      <c r="AJ245" s="8" t="str">
        <f t="array" ref="AJ245">INDEX(Subject!$A:$I,MATCH(RANDBETWEEN(1,16),Subject!$B:$B,0),3)</f>
        <v>#N/A</v>
      </c>
      <c r="AK245" s="8" t="str">
        <f t="array" ref="AK245">INDEX(Subject!$A:$I,MATCH(RANDBETWEEN(1,16),Subject!$B:$B,0),3)</f>
        <v>#N/A</v>
      </c>
      <c r="AL245" s="8" t="str">
        <f t="array" ref="AL245">INDEX(Subject!$A:$I,MATCH(RANDBETWEEN(1,16),Subject!$B:$B,0),3)</f>
        <v>#N/A</v>
      </c>
      <c r="AM245" s="18">
        <f t="shared" si="4"/>
        <v>45745.33333</v>
      </c>
      <c r="AN245" s="19">
        <f t="shared" ref="AN245:BZ245" si="245">$A245+C$1</f>
        <v>45745.35417</v>
      </c>
      <c r="AO245" s="19">
        <f t="shared" si="245"/>
        <v>45745.375</v>
      </c>
      <c r="AP245" s="19">
        <f t="shared" si="245"/>
        <v>45745.39583</v>
      </c>
      <c r="AQ245" s="19">
        <f t="shared" si="245"/>
        <v>45745.41667</v>
      </c>
      <c r="AR245" s="19">
        <f t="shared" si="245"/>
        <v>45745.4375</v>
      </c>
      <c r="AS245" s="19">
        <f t="shared" si="245"/>
        <v>45745.45833</v>
      </c>
      <c r="AT245" s="19">
        <f t="shared" si="245"/>
        <v>45745.47917</v>
      </c>
      <c r="AU245" s="19">
        <f t="shared" si="245"/>
        <v>45745.5</v>
      </c>
      <c r="AV245" s="19">
        <f t="shared" si="245"/>
        <v>45745.52083</v>
      </c>
      <c r="AW245" s="19">
        <f t="shared" si="245"/>
        <v>45745.54167</v>
      </c>
      <c r="AX245" s="19">
        <f t="shared" si="245"/>
        <v>45745.5625</v>
      </c>
      <c r="AY245" s="19">
        <f t="shared" si="245"/>
        <v>45745.58333</v>
      </c>
      <c r="AZ245" s="19">
        <f t="shared" si="245"/>
        <v>45745.60417</v>
      </c>
      <c r="BA245" s="19">
        <f t="shared" si="245"/>
        <v>45745.625</v>
      </c>
      <c r="BB245" s="19">
        <f t="shared" si="245"/>
        <v>45745.64583</v>
      </c>
      <c r="BC245" s="19">
        <f t="shared" si="245"/>
        <v>45745.66667</v>
      </c>
      <c r="BD245" s="19">
        <f t="shared" si="245"/>
        <v>45745.6875</v>
      </c>
      <c r="BE245" s="19">
        <f t="shared" si="245"/>
        <v>45745.70833</v>
      </c>
      <c r="BF245" s="19">
        <f t="shared" si="245"/>
        <v>45745.72917</v>
      </c>
      <c r="BG245" s="19">
        <f t="shared" si="245"/>
        <v>45745.75</v>
      </c>
      <c r="BH245" s="19">
        <f t="shared" si="245"/>
        <v>45745.77083</v>
      </c>
      <c r="BI245" s="19">
        <f t="shared" si="245"/>
        <v>45745.79167</v>
      </c>
      <c r="BJ245" s="19">
        <f t="shared" si="245"/>
        <v>45745.8125</v>
      </c>
      <c r="BK245" s="19">
        <f t="shared" si="245"/>
        <v>45745.83333</v>
      </c>
      <c r="BL245" s="19">
        <f t="shared" si="245"/>
        <v>45745.85417</v>
      </c>
      <c r="BM245" s="19">
        <f t="shared" si="245"/>
        <v>45745.875</v>
      </c>
      <c r="BN245" s="19">
        <f t="shared" si="245"/>
        <v>45745.89583</v>
      </c>
      <c r="BO245" s="19">
        <f t="shared" si="245"/>
        <v>45745.91667</v>
      </c>
      <c r="BP245" s="19">
        <f t="shared" si="245"/>
        <v>45745.9375</v>
      </c>
      <c r="BQ245" s="19">
        <f t="shared" si="245"/>
        <v>45745.95833</v>
      </c>
      <c r="BR245" s="19">
        <f t="shared" si="245"/>
        <v>45745.97917</v>
      </c>
      <c r="BS245" s="19">
        <f t="shared" si="245"/>
        <v>45746</v>
      </c>
      <c r="BT245" s="19">
        <f t="shared" si="245"/>
        <v>45746.02083</v>
      </c>
      <c r="BU245" s="19">
        <f t="shared" si="245"/>
        <v>45746.04167</v>
      </c>
      <c r="BV245" s="19">
        <f t="shared" si="245"/>
        <v>45746.0625</v>
      </c>
      <c r="BW245" s="19">
        <f t="shared" si="245"/>
        <v>45746.08333</v>
      </c>
      <c r="BX245" s="19">
        <f t="shared" si="245"/>
        <v>45745</v>
      </c>
      <c r="BY245" s="19">
        <f t="shared" si="245"/>
        <v>45745</v>
      </c>
      <c r="BZ245" s="19">
        <f t="shared" si="245"/>
        <v>45745</v>
      </c>
    </row>
    <row r="246" ht="14.25" customHeight="1">
      <c r="A246" s="17">
        <v>45746.0</v>
      </c>
      <c r="B246" s="2" t="str">
        <f t="array" ref="B246">IF(NOW()&gt;AM246,"",IF(AND((WEEKDAY($A246)+$B$2)&gt;1,((WEEKDAY($A246)+$T$2)&lt;7),(WEEKDAY($A246)&lt;&gt;1)),"work",(INDEX(Subject!$A:$I,MATCH(RANDBETWEEN(1,(MAX(Subject!$B:$B))),Subject!$B:$B,0),3))))</f>
        <v/>
      </c>
      <c r="C246" s="2" t="str">
        <f t="array" ref="C246">IF(NOW()&gt;AN246,"",IF(AND((WEEKDAY($A246)+$B$2)&gt;1,((WEEKDAY($A246)+$T$2)&lt;7),(WEEKDAY($A246)&lt;&gt;1)),"work",(INDEX(Subject!$A:$I,MATCH(RANDBETWEEN(1,(MAX(Subject!$B:$B))),Subject!$B:$B,0),3))))</f>
        <v/>
      </c>
      <c r="D246" s="2" t="str">
        <f t="array" ref="D246">IF(NOW()&gt;AO246,"",IF(AND((WEEKDAY($A246)+$B$2)&gt;1,((WEEKDAY($A246)+$T$2)&lt;7),(WEEKDAY($A246)&lt;&gt;1)),"work",(INDEX(Subject!$A:$I,MATCH(RANDBETWEEN(1,(MAX(Subject!$B:$B))),Subject!$B:$B,0),3))))</f>
        <v/>
      </c>
      <c r="E246" s="2" t="str">
        <f t="array" ref="E246">IF(NOW()&gt;AP246,"",IF(AND((WEEKDAY($A246)+$B$2)&gt;1,((WEEKDAY($A246)+$T$2)&lt;7),(WEEKDAY($A246)&lt;&gt;1)),"work",(INDEX(Subject!$A:$I,MATCH(RANDBETWEEN(1,(MAX(Subject!$B:$B))),Subject!$B:$B,0),3))))</f>
        <v/>
      </c>
      <c r="F246" s="2" t="str">
        <f t="array" ref="F246">IF(NOW()&gt;AQ246,"",IF(AND((WEEKDAY($A246)+$B$2)&gt;1,((WEEKDAY($A246)+$T$2)&lt;7),(WEEKDAY($A246)&lt;&gt;1)),"work",(INDEX(Subject!$A:$I,MATCH(RANDBETWEEN(1,(MAX(Subject!$B:$B))),Subject!$B:$B,0),3))))</f>
        <v/>
      </c>
      <c r="G246" s="2" t="str">
        <f t="array" ref="G246">IF(NOW()&gt;AR246,"",IF(AND((WEEKDAY($A246)+$B$2)&gt;1,((WEEKDAY($A246)+$T$2)&lt;7),(WEEKDAY($A246)&lt;&gt;1)),"work",(INDEX(Subject!$A:$I,MATCH(RANDBETWEEN(1,(MAX(Subject!$B:$B))),Subject!$B:$B,0),3))))</f>
        <v/>
      </c>
      <c r="H246" s="2" t="str">
        <f t="array" ref="H246">IF(NOW()&gt;AS246,"",IF(AND((WEEKDAY($A246)+$B$2)&gt;1,((WEEKDAY($A246)+$T$2)&lt;7),(WEEKDAY($A246)&lt;&gt;1)),"work",(INDEX(Subject!$A:$I,MATCH(RANDBETWEEN(1,(MAX(Subject!$B:$B))),Subject!$B:$B,0),3))))</f>
        <v/>
      </c>
      <c r="I246" s="2" t="str">
        <f t="array" ref="I246">IF(NOW()&gt;AT246,"",IF(AND((WEEKDAY($A246)+$B$2)&gt;1,((WEEKDAY($A246)+$T$2)&lt;7),(WEEKDAY($A246)&lt;&gt;1)),"work",(INDEX(Subject!$A:$I,MATCH(RANDBETWEEN(1,(MAX(Subject!$B:$B))),Subject!$B:$B,0),3))))</f>
        <v/>
      </c>
      <c r="J246" s="2" t="str">
        <f t="array" ref="J246">IF(NOW()&gt;AU246,"",IF(AND((WEEKDAY($A246)+$B$2)&gt;1,((WEEKDAY($A246)+$T$2)&lt;7),(WEEKDAY($A246)&lt;&gt;1)),"work",(INDEX(Subject!$A:$I,MATCH(RANDBETWEEN(1,(MAX(Subject!$B:$B))),Subject!$B:$B,0),3))))</f>
        <v/>
      </c>
      <c r="K246" s="2" t="str">
        <f t="array" ref="K246">IF(NOW()&gt;AV246,"",IF(AND((WEEKDAY($A246)+$B$2)&gt;1,((WEEKDAY($A246)+$T$2)&lt;7),(WEEKDAY($A246)&lt;&gt;1)),"work",(INDEX(Subject!$A:$I,MATCH(RANDBETWEEN(1,(MAX(Subject!$B:$B))),Subject!$B:$B,0),3))))</f>
        <v/>
      </c>
      <c r="L246" s="2" t="str">
        <f t="array" ref="L246">IF(NOW()&gt;AW246,"",IF(AND((WEEKDAY($A246)+$B$2)&gt;1,((WEEKDAY($A246)+$T$2)&lt;7),(WEEKDAY($A246)&lt;&gt;1)),"work",(INDEX(Subject!$A:$I,MATCH(RANDBETWEEN(1,(MAX(Subject!$B:$B))),Subject!$B:$B,0),3))))</f>
        <v/>
      </c>
      <c r="M246" s="2" t="str">
        <f t="array" ref="M246">IF(NOW()&gt;AX246,"",IF(AND((WEEKDAY($A246)+$B$2)&gt;1,((WEEKDAY($A246)+$T$2)&lt;7),(WEEKDAY($A246)&lt;&gt;1)),"work",(INDEX(Subject!$A:$I,MATCH(RANDBETWEEN(1,(MAX(Subject!$B:$B))),Subject!$B:$B,0),3))))</f>
        <v/>
      </c>
      <c r="N246" s="2" t="str">
        <f t="array" ref="N246">IF(NOW()&gt;AY246,"",IF(AND((WEEKDAY($A246)+$B$2)&gt;1,((WEEKDAY($A246)+$T$2)&lt;7),(WEEKDAY($A246)&lt;&gt;1)),"work",(INDEX(Subject!$A:$I,MATCH(RANDBETWEEN(1,(MAX(Subject!$B:$B))),Subject!$B:$B,0),3))))</f>
        <v/>
      </c>
      <c r="O246" s="2" t="str">
        <f t="array" ref="O246">IF(NOW()&gt;AZ246,"",IF(AND((WEEKDAY($A246)+$B$2)&gt;1,((WEEKDAY($A246)+$T$2)&lt;7),(WEEKDAY($A246)&lt;&gt;1)),"work",(INDEX(Subject!$A:$I,MATCH(RANDBETWEEN(1,(MAX(Subject!$B:$B))),Subject!$B:$B,0),3))))</f>
        <v/>
      </c>
      <c r="P246" s="2" t="str">
        <f t="array" ref="P246">IF(NOW()&gt;BA246,"",IF(AND((WEEKDAY($A246)+$B$2)&gt;1,((WEEKDAY($A246)+$T$2)&lt;7),(WEEKDAY($A246)&lt;&gt;1)),"work",(INDEX(Subject!$A:$I,MATCH(RANDBETWEEN(1,(MAX(Subject!$B:$B))),Subject!$B:$B,0),3))))</f>
        <v/>
      </c>
      <c r="Q246" s="2" t="str">
        <f t="array" ref="Q246">IF(NOW()&gt;BB246,"",IF(AND((WEEKDAY($A246)+$B$2)&gt;1,((WEEKDAY($A246)+$T$2)&lt;7),(WEEKDAY($A246)&lt;&gt;1)),"work",(INDEX(Subject!$A:$I,MATCH(RANDBETWEEN(1,(MAX(Subject!$B:$B))),Subject!$B:$B,0),3))))</f>
        <v/>
      </c>
      <c r="R246" s="2" t="str">
        <f t="array" ref="R246">IF(NOW()&gt;BC246,"",IF(AND((WEEKDAY($A246)+$B$2)&gt;1,((WEEKDAY($A246)+$T$2)&lt;7),(WEEKDAY($A246)&lt;&gt;1)),"work",(INDEX(Subject!$A:$I,MATCH(RANDBETWEEN(1,(MAX(Subject!$B:$B))),Subject!$B:$B,0),3))))</f>
        <v/>
      </c>
      <c r="S246" s="2" t="str">
        <f t="array" ref="S246">IF(NOW()&gt;BD246,"",IF(AND((WEEKDAY($A246)+$B$2)&gt;1,((WEEKDAY($A246)+$T$2)&lt;7),(WEEKDAY($A246)&lt;&gt;1)),"work",(INDEX(Subject!$A:$I,MATCH(RANDBETWEEN(1,(MAX(Subject!$B:$B))),Subject!$B:$B,0),3))))</f>
        <v/>
      </c>
      <c r="T246" s="2" t="str">
        <f t="array" ref="T246">IF(NOW()&gt;BE246,"",IF(AND((WEEKDAY($A246)+$B$2)&gt;1,((WEEKDAY($A246)+$T$2)&lt;7),(WEEKDAY($A246)&lt;&gt;1)),"work",(INDEX(Subject!$A:$I,MATCH(RANDBETWEEN(1,(MAX(Subject!$B:$B))),Subject!$B:$B,0),3))))</f>
        <v/>
      </c>
      <c r="U246" s="8" t="str">
        <f t="array" ref="U246">INDEX(Subject!$A:$I,MATCH(RANDBETWEEN(1,16),Subject!$B:$B,0),3)</f>
        <v>#N/A</v>
      </c>
      <c r="V246" s="8" t="str">
        <f t="array" ref="V246">INDEX(Subject!$A:$I,MATCH(RANDBETWEEN(1,16),Subject!$B:$B,0),3)</f>
        <v>#N/A</v>
      </c>
      <c r="W246" s="8" t="str">
        <f t="array" ref="W246">INDEX(Subject!$A:$I,MATCH(RANDBETWEEN(1,16),Subject!$B:$B,0),3)</f>
        <v>#N/A</v>
      </c>
      <c r="X246" s="8" t="str">
        <f t="array" ref="X246">INDEX(Subject!$A:$I,MATCH(RANDBETWEEN(1,16),Subject!$B:$B,0),3)</f>
        <v>#N/A</v>
      </c>
      <c r="Y246" s="8" t="str">
        <f t="array" ref="Y246">INDEX(Subject!$A:$I,MATCH(RANDBETWEEN(1,16),Subject!$B:$B,0),3)</f>
        <v>#N/A</v>
      </c>
      <c r="Z246" s="8" t="str">
        <f t="array" ref="Z246">INDEX(Subject!$A:$I,MATCH(RANDBETWEEN(1,16),Subject!$B:$B,0),3)</f>
        <v>#N/A</v>
      </c>
      <c r="AA246" s="8" t="str">
        <f t="array" ref="AA246">INDEX(Subject!$A:$I,MATCH(RANDBETWEEN(1,16),Subject!$B:$B,0),3)</f>
        <v>#N/A</v>
      </c>
      <c r="AB246" s="8" t="str">
        <f t="array" ref="AB246">INDEX(Subject!$A:$I,MATCH(RANDBETWEEN(1,16),Subject!$B:$B,0),3)</f>
        <v>#N/A</v>
      </c>
      <c r="AC246" s="8" t="str">
        <f t="array" ref="AC246">INDEX(Subject!$A:$I,MATCH(RANDBETWEEN(1,16),Subject!$B:$B,0),3)</f>
        <v>#N/A</v>
      </c>
      <c r="AD246" s="8" t="str">
        <f t="array" ref="AD246">INDEX(Subject!$A:$I,MATCH(RANDBETWEEN(1,16),Subject!$B:$B,0),3)</f>
        <v>#N/A</v>
      </c>
      <c r="AE246" s="8" t="str">
        <f t="array" ref="AE246">INDEX(Subject!$A:$I,MATCH(RANDBETWEEN(1,16),Subject!$B:$B,0),3)</f>
        <v>#N/A</v>
      </c>
      <c r="AF246" s="8" t="str">
        <f t="array" ref="AF246">INDEX(Subject!$A:$I,MATCH(RANDBETWEEN(1,16),Subject!$B:$B,0),3)</f>
        <v>#N/A</v>
      </c>
      <c r="AG246" s="8" t="str">
        <f t="array" ref="AG246">INDEX(Subject!$A:$I,MATCH(RANDBETWEEN(1,16),Subject!$B:$B,0),3)</f>
        <v>#N/A</v>
      </c>
      <c r="AH246" s="8" t="str">
        <f t="array" ref="AH246">INDEX(Subject!$A:$I,MATCH(RANDBETWEEN(1,16),Subject!$B:$B,0),3)</f>
        <v>#N/A</v>
      </c>
      <c r="AI246" s="8" t="str">
        <f t="array" ref="AI246">INDEX(Subject!$A:$I,MATCH(RANDBETWEEN(1,16),Subject!$B:$B,0),3)</f>
        <v>#N/A</v>
      </c>
      <c r="AJ246" s="8" t="str">
        <f t="array" ref="AJ246">INDEX(Subject!$A:$I,MATCH(RANDBETWEEN(1,16),Subject!$B:$B,0),3)</f>
        <v>#N/A</v>
      </c>
      <c r="AK246" s="8" t="str">
        <f t="array" ref="AK246">INDEX(Subject!$A:$I,MATCH(RANDBETWEEN(1,16),Subject!$B:$B,0),3)</f>
        <v>#N/A</v>
      </c>
      <c r="AL246" s="8" t="str">
        <f t="array" ref="AL246">INDEX(Subject!$A:$I,MATCH(RANDBETWEEN(1,16),Subject!$B:$B,0),3)</f>
        <v>#N/A</v>
      </c>
      <c r="AM246" s="18">
        <f t="shared" si="4"/>
        <v>45746.33333</v>
      </c>
      <c r="AN246" s="19">
        <f t="shared" ref="AN246:BZ246" si="246">$A246+C$1</f>
        <v>45746.35417</v>
      </c>
      <c r="AO246" s="19">
        <f t="shared" si="246"/>
        <v>45746.375</v>
      </c>
      <c r="AP246" s="19">
        <f t="shared" si="246"/>
        <v>45746.39583</v>
      </c>
      <c r="AQ246" s="19">
        <f t="shared" si="246"/>
        <v>45746.41667</v>
      </c>
      <c r="AR246" s="19">
        <f t="shared" si="246"/>
        <v>45746.4375</v>
      </c>
      <c r="AS246" s="19">
        <f t="shared" si="246"/>
        <v>45746.45833</v>
      </c>
      <c r="AT246" s="19">
        <f t="shared" si="246"/>
        <v>45746.47917</v>
      </c>
      <c r="AU246" s="19">
        <f t="shared" si="246"/>
        <v>45746.5</v>
      </c>
      <c r="AV246" s="19">
        <f t="shared" si="246"/>
        <v>45746.52083</v>
      </c>
      <c r="AW246" s="19">
        <f t="shared" si="246"/>
        <v>45746.54167</v>
      </c>
      <c r="AX246" s="19">
        <f t="shared" si="246"/>
        <v>45746.5625</v>
      </c>
      <c r="AY246" s="19">
        <f t="shared" si="246"/>
        <v>45746.58333</v>
      </c>
      <c r="AZ246" s="19">
        <f t="shared" si="246"/>
        <v>45746.60417</v>
      </c>
      <c r="BA246" s="19">
        <f t="shared" si="246"/>
        <v>45746.625</v>
      </c>
      <c r="BB246" s="19">
        <f t="shared" si="246"/>
        <v>45746.64583</v>
      </c>
      <c r="BC246" s="19">
        <f t="shared" si="246"/>
        <v>45746.66667</v>
      </c>
      <c r="BD246" s="19">
        <f t="shared" si="246"/>
        <v>45746.6875</v>
      </c>
      <c r="BE246" s="19">
        <f t="shared" si="246"/>
        <v>45746.70833</v>
      </c>
      <c r="BF246" s="19">
        <f t="shared" si="246"/>
        <v>45746.72917</v>
      </c>
      <c r="BG246" s="19">
        <f t="shared" si="246"/>
        <v>45746.75</v>
      </c>
      <c r="BH246" s="19">
        <f t="shared" si="246"/>
        <v>45746.77083</v>
      </c>
      <c r="BI246" s="19">
        <f t="shared" si="246"/>
        <v>45746.79167</v>
      </c>
      <c r="BJ246" s="19">
        <f t="shared" si="246"/>
        <v>45746.8125</v>
      </c>
      <c r="BK246" s="19">
        <f t="shared" si="246"/>
        <v>45746.83333</v>
      </c>
      <c r="BL246" s="19">
        <f t="shared" si="246"/>
        <v>45746.85417</v>
      </c>
      <c r="BM246" s="19">
        <f t="shared" si="246"/>
        <v>45746.875</v>
      </c>
      <c r="BN246" s="19">
        <f t="shared" si="246"/>
        <v>45746.89583</v>
      </c>
      <c r="BO246" s="19">
        <f t="shared" si="246"/>
        <v>45746.91667</v>
      </c>
      <c r="BP246" s="19">
        <f t="shared" si="246"/>
        <v>45746.9375</v>
      </c>
      <c r="BQ246" s="19">
        <f t="shared" si="246"/>
        <v>45746.95833</v>
      </c>
      <c r="BR246" s="19">
        <f t="shared" si="246"/>
        <v>45746.97917</v>
      </c>
      <c r="BS246" s="19">
        <f t="shared" si="246"/>
        <v>45747</v>
      </c>
      <c r="BT246" s="19">
        <f t="shared" si="246"/>
        <v>45747.02083</v>
      </c>
      <c r="BU246" s="19">
        <f t="shared" si="246"/>
        <v>45747.04167</v>
      </c>
      <c r="BV246" s="19">
        <f t="shared" si="246"/>
        <v>45747.0625</v>
      </c>
      <c r="BW246" s="19">
        <f t="shared" si="246"/>
        <v>45747.08333</v>
      </c>
      <c r="BX246" s="19">
        <f t="shared" si="246"/>
        <v>45746</v>
      </c>
      <c r="BY246" s="19">
        <f t="shared" si="246"/>
        <v>45746</v>
      </c>
      <c r="BZ246" s="19">
        <f t="shared" si="246"/>
        <v>45746</v>
      </c>
    </row>
    <row r="247" ht="14.25" customHeight="1">
      <c r="A247" s="17">
        <v>45747.0</v>
      </c>
      <c r="B247" s="2" t="str">
        <f t="array" ref="B247">IF(NOW()&gt;AM247,"",IF(AND((WEEKDAY($A247)+$B$2)&gt;1,((WEEKDAY($A247)+$T$2)&lt;7),(WEEKDAY($A247)&lt;&gt;1)),"work",(INDEX(Subject!$A:$I,MATCH(RANDBETWEEN(1,(MAX(Subject!$B:$B))),Subject!$B:$B,0),3))))</f>
        <v/>
      </c>
      <c r="C247" s="2" t="str">
        <f t="array" ref="C247">IF(NOW()&gt;AN247,"",IF(AND((WEEKDAY($A247)+$B$2)&gt;1,((WEEKDAY($A247)+$T$2)&lt;7),(WEEKDAY($A247)&lt;&gt;1)),"work",(INDEX(Subject!$A:$I,MATCH(RANDBETWEEN(1,(MAX(Subject!$B:$B))),Subject!$B:$B,0),3))))</f>
        <v/>
      </c>
      <c r="D247" s="2" t="str">
        <f t="array" ref="D247">IF(NOW()&gt;AO247,"",IF(AND((WEEKDAY($A247)+$B$2)&gt;1,((WEEKDAY($A247)+$T$2)&lt;7),(WEEKDAY($A247)&lt;&gt;1)),"work",(INDEX(Subject!$A:$I,MATCH(RANDBETWEEN(1,(MAX(Subject!$B:$B))),Subject!$B:$B,0),3))))</f>
        <v/>
      </c>
      <c r="E247" s="2" t="str">
        <f t="array" ref="E247">IF(NOW()&gt;AP247,"",IF(AND((WEEKDAY($A247)+$B$2)&gt;1,((WEEKDAY($A247)+$T$2)&lt;7),(WEEKDAY($A247)&lt;&gt;1)),"work",(INDEX(Subject!$A:$I,MATCH(RANDBETWEEN(1,(MAX(Subject!$B:$B))),Subject!$B:$B,0),3))))</f>
        <v/>
      </c>
      <c r="F247" s="2" t="str">
        <f t="array" ref="F247">IF(NOW()&gt;AQ247,"",IF(AND((WEEKDAY($A247)+$B$2)&gt;1,((WEEKDAY($A247)+$T$2)&lt;7),(WEEKDAY($A247)&lt;&gt;1)),"work",(INDEX(Subject!$A:$I,MATCH(RANDBETWEEN(1,(MAX(Subject!$B:$B))),Subject!$B:$B,0),3))))</f>
        <v/>
      </c>
      <c r="G247" s="2" t="str">
        <f t="array" ref="G247">IF(NOW()&gt;AR247,"",IF(AND((WEEKDAY($A247)+$B$2)&gt;1,((WEEKDAY($A247)+$T$2)&lt;7),(WEEKDAY($A247)&lt;&gt;1)),"work",(INDEX(Subject!$A:$I,MATCH(RANDBETWEEN(1,(MAX(Subject!$B:$B))),Subject!$B:$B,0),3))))</f>
        <v/>
      </c>
      <c r="H247" s="2" t="str">
        <f t="array" ref="H247">IF(NOW()&gt;AS247,"",IF(AND((WEEKDAY($A247)+$B$2)&gt;1,((WEEKDAY($A247)+$T$2)&lt;7),(WEEKDAY($A247)&lt;&gt;1)),"work",(INDEX(Subject!$A:$I,MATCH(RANDBETWEEN(1,(MAX(Subject!$B:$B))),Subject!$B:$B,0),3))))</f>
        <v/>
      </c>
      <c r="I247" s="2" t="str">
        <f t="array" ref="I247">IF(NOW()&gt;AT247,"",IF(AND((WEEKDAY($A247)+$B$2)&gt;1,((WEEKDAY($A247)+$T$2)&lt;7),(WEEKDAY($A247)&lt;&gt;1)),"work",(INDEX(Subject!$A:$I,MATCH(RANDBETWEEN(1,(MAX(Subject!$B:$B))),Subject!$B:$B,0),3))))</f>
        <v/>
      </c>
      <c r="J247" s="2" t="str">
        <f t="array" ref="J247">IF(NOW()&gt;AU247,"",IF(AND((WEEKDAY($A247)+$B$2)&gt;1,((WEEKDAY($A247)+$T$2)&lt;7),(WEEKDAY($A247)&lt;&gt;1)),"work",(INDEX(Subject!$A:$I,MATCH(RANDBETWEEN(1,(MAX(Subject!$B:$B))),Subject!$B:$B,0),3))))</f>
        <v/>
      </c>
      <c r="K247" s="2" t="str">
        <f t="array" ref="K247">IF(NOW()&gt;AV247,"",IF(AND((WEEKDAY($A247)+$B$2)&gt;1,((WEEKDAY($A247)+$T$2)&lt;7),(WEEKDAY($A247)&lt;&gt;1)),"work",(INDEX(Subject!$A:$I,MATCH(RANDBETWEEN(1,(MAX(Subject!$B:$B))),Subject!$B:$B,0),3))))</f>
        <v/>
      </c>
      <c r="L247" s="2" t="str">
        <f t="array" ref="L247">IF(NOW()&gt;AW247,"",IF(AND((WEEKDAY($A247)+$B$2)&gt;1,((WEEKDAY($A247)+$T$2)&lt;7),(WEEKDAY($A247)&lt;&gt;1)),"work",(INDEX(Subject!$A:$I,MATCH(RANDBETWEEN(1,(MAX(Subject!$B:$B))),Subject!$B:$B,0),3))))</f>
        <v/>
      </c>
      <c r="M247" s="2" t="str">
        <f t="array" ref="M247">IF(NOW()&gt;AX247,"",IF(AND((WEEKDAY($A247)+$B$2)&gt;1,((WEEKDAY($A247)+$T$2)&lt;7),(WEEKDAY($A247)&lt;&gt;1)),"work",(INDEX(Subject!$A:$I,MATCH(RANDBETWEEN(1,(MAX(Subject!$B:$B))),Subject!$B:$B,0),3))))</f>
        <v/>
      </c>
      <c r="N247" s="2" t="str">
        <f t="array" ref="N247">IF(NOW()&gt;AY247,"",IF(AND((WEEKDAY($A247)+$B$2)&gt;1,((WEEKDAY($A247)+$T$2)&lt;7),(WEEKDAY($A247)&lt;&gt;1)),"work",(INDEX(Subject!$A:$I,MATCH(RANDBETWEEN(1,(MAX(Subject!$B:$B))),Subject!$B:$B,0),3))))</f>
        <v/>
      </c>
      <c r="O247" s="2" t="str">
        <f t="array" ref="O247">IF(NOW()&gt;AZ247,"",IF(AND((WEEKDAY($A247)+$B$2)&gt;1,((WEEKDAY($A247)+$T$2)&lt;7),(WEEKDAY($A247)&lt;&gt;1)),"work",(INDEX(Subject!$A:$I,MATCH(RANDBETWEEN(1,(MAX(Subject!$B:$B))),Subject!$B:$B,0),3))))</f>
        <v/>
      </c>
      <c r="P247" s="2" t="str">
        <f t="array" ref="P247">IF(NOW()&gt;BA247,"",IF(AND((WEEKDAY($A247)+$B$2)&gt;1,((WEEKDAY($A247)+$T$2)&lt;7),(WEEKDAY($A247)&lt;&gt;1)),"work",(INDEX(Subject!$A:$I,MATCH(RANDBETWEEN(1,(MAX(Subject!$B:$B))),Subject!$B:$B,0),3))))</f>
        <v/>
      </c>
      <c r="Q247" s="2" t="str">
        <f t="array" ref="Q247">IF(NOW()&gt;BB247,"",IF(AND((WEEKDAY($A247)+$B$2)&gt;1,((WEEKDAY($A247)+$T$2)&lt;7),(WEEKDAY($A247)&lt;&gt;1)),"work",(INDEX(Subject!$A:$I,MATCH(RANDBETWEEN(1,(MAX(Subject!$B:$B))),Subject!$B:$B,0),3))))</f>
        <v/>
      </c>
      <c r="R247" s="2" t="str">
        <f t="array" ref="R247">IF(NOW()&gt;BC247,"",IF(AND((WEEKDAY($A247)+$B$2)&gt;1,((WEEKDAY($A247)+$T$2)&lt;7),(WEEKDAY($A247)&lt;&gt;1)),"work",(INDEX(Subject!$A:$I,MATCH(RANDBETWEEN(1,(MAX(Subject!$B:$B))),Subject!$B:$B,0),3))))</f>
        <v/>
      </c>
      <c r="S247" s="2" t="str">
        <f t="array" ref="S247">IF(NOW()&gt;BD247,"",IF(AND((WEEKDAY($A247)+$B$2)&gt;1,((WEEKDAY($A247)+$T$2)&lt;7),(WEEKDAY($A247)&lt;&gt;1)),"work",(INDEX(Subject!$A:$I,MATCH(RANDBETWEEN(1,(MAX(Subject!$B:$B))),Subject!$B:$B,0),3))))</f>
        <v/>
      </c>
      <c r="T247" s="2" t="str">
        <f t="array" ref="T247">IF(NOW()&gt;BE247,"",IF(AND((WEEKDAY($A247)+$B$2)&gt;1,((WEEKDAY($A247)+$T$2)&lt;7),(WEEKDAY($A247)&lt;&gt;1)),"work",(INDEX(Subject!$A:$I,MATCH(RANDBETWEEN(1,(MAX(Subject!$B:$B))),Subject!$B:$B,0),3))))</f>
        <v/>
      </c>
      <c r="U247" s="8" t="str">
        <f t="array" ref="U247">INDEX(Subject!$A:$I,MATCH(RANDBETWEEN(1,16),Subject!$B:$B,0),3)</f>
        <v>#N/A</v>
      </c>
      <c r="V247" s="8" t="str">
        <f t="array" ref="V247">INDEX(Subject!$A:$I,MATCH(RANDBETWEEN(1,16),Subject!$B:$B,0),3)</f>
        <v>#N/A</v>
      </c>
      <c r="W247" s="8" t="str">
        <f t="array" ref="W247">INDEX(Subject!$A:$I,MATCH(RANDBETWEEN(1,16),Subject!$B:$B,0),3)</f>
        <v>#N/A</v>
      </c>
      <c r="X247" s="8" t="str">
        <f t="array" ref="X247">INDEX(Subject!$A:$I,MATCH(RANDBETWEEN(1,16),Subject!$B:$B,0),3)</f>
        <v>#N/A</v>
      </c>
      <c r="Y247" s="8" t="str">
        <f t="array" ref="Y247">INDEX(Subject!$A:$I,MATCH(RANDBETWEEN(1,16),Subject!$B:$B,0),3)</f>
        <v>#N/A</v>
      </c>
      <c r="Z247" s="8" t="str">
        <f t="array" ref="Z247">INDEX(Subject!$A:$I,MATCH(RANDBETWEEN(1,16),Subject!$B:$B,0),3)</f>
        <v>#N/A</v>
      </c>
      <c r="AA247" s="8" t="str">
        <f t="array" ref="AA247">INDEX(Subject!$A:$I,MATCH(RANDBETWEEN(1,16),Subject!$B:$B,0),3)</f>
        <v>#N/A</v>
      </c>
      <c r="AB247" s="8" t="str">
        <f t="array" ref="AB247">INDEX(Subject!$A:$I,MATCH(RANDBETWEEN(1,16),Subject!$B:$B,0),3)</f>
        <v>#N/A</v>
      </c>
      <c r="AC247" s="8" t="str">
        <f t="array" ref="AC247">INDEX(Subject!$A:$I,MATCH(RANDBETWEEN(1,16),Subject!$B:$B,0),3)</f>
        <v/>
      </c>
      <c r="AD247" s="8" t="str">
        <f t="array" ref="AD247">INDEX(Subject!$A:$I,MATCH(RANDBETWEEN(1,16),Subject!$B:$B,0),3)</f>
        <v>#N/A</v>
      </c>
      <c r="AE247" s="8" t="str">
        <f t="array" ref="AE247">INDEX(Subject!$A:$I,MATCH(RANDBETWEEN(1,16),Subject!$B:$B,0),3)</f>
        <v>#N/A</v>
      </c>
      <c r="AF247" s="8" t="str">
        <f t="array" ref="AF247">INDEX(Subject!$A:$I,MATCH(RANDBETWEEN(1,16),Subject!$B:$B,0),3)</f>
        <v>#N/A</v>
      </c>
      <c r="AG247" s="8" t="str">
        <f t="array" ref="AG247">INDEX(Subject!$A:$I,MATCH(RANDBETWEEN(1,16),Subject!$B:$B,0),3)</f>
        <v>#N/A</v>
      </c>
      <c r="AH247" s="8" t="str">
        <f t="array" ref="AH247">INDEX(Subject!$A:$I,MATCH(RANDBETWEEN(1,16),Subject!$B:$B,0),3)</f>
        <v>#N/A</v>
      </c>
      <c r="AI247" s="8" t="str">
        <f t="array" ref="AI247">INDEX(Subject!$A:$I,MATCH(RANDBETWEEN(1,16),Subject!$B:$B,0),3)</f>
        <v>#N/A</v>
      </c>
      <c r="AJ247" s="8" t="str">
        <f t="array" ref="AJ247">INDEX(Subject!$A:$I,MATCH(RANDBETWEEN(1,16),Subject!$B:$B,0),3)</f>
        <v>#N/A</v>
      </c>
      <c r="AK247" s="8" t="str">
        <f t="array" ref="AK247">INDEX(Subject!$A:$I,MATCH(RANDBETWEEN(1,16),Subject!$B:$B,0),3)</f>
        <v/>
      </c>
      <c r="AL247" s="8" t="str">
        <f t="array" ref="AL247">INDEX(Subject!$A:$I,MATCH(RANDBETWEEN(1,16),Subject!$B:$B,0),3)</f>
        <v>#N/A</v>
      </c>
      <c r="AM247" s="18">
        <f t="shared" si="4"/>
        <v>45747.33333</v>
      </c>
      <c r="AN247" s="19">
        <f t="shared" ref="AN247:BZ247" si="247">$A247+C$1</f>
        <v>45747.35417</v>
      </c>
      <c r="AO247" s="19">
        <f t="shared" si="247"/>
        <v>45747.375</v>
      </c>
      <c r="AP247" s="19">
        <f t="shared" si="247"/>
        <v>45747.39583</v>
      </c>
      <c r="AQ247" s="19">
        <f t="shared" si="247"/>
        <v>45747.41667</v>
      </c>
      <c r="AR247" s="19">
        <f t="shared" si="247"/>
        <v>45747.4375</v>
      </c>
      <c r="AS247" s="19">
        <f t="shared" si="247"/>
        <v>45747.45833</v>
      </c>
      <c r="AT247" s="19">
        <f t="shared" si="247"/>
        <v>45747.47917</v>
      </c>
      <c r="AU247" s="19">
        <f t="shared" si="247"/>
        <v>45747.5</v>
      </c>
      <c r="AV247" s="19">
        <f t="shared" si="247"/>
        <v>45747.52083</v>
      </c>
      <c r="AW247" s="19">
        <f t="shared" si="247"/>
        <v>45747.54167</v>
      </c>
      <c r="AX247" s="19">
        <f t="shared" si="247"/>
        <v>45747.5625</v>
      </c>
      <c r="AY247" s="19">
        <f t="shared" si="247"/>
        <v>45747.58333</v>
      </c>
      <c r="AZ247" s="19">
        <f t="shared" si="247"/>
        <v>45747.60417</v>
      </c>
      <c r="BA247" s="19">
        <f t="shared" si="247"/>
        <v>45747.625</v>
      </c>
      <c r="BB247" s="19">
        <f t="shared" si="247"/>
        <v>45747.64583</v>
      </c>
      <c r="BC247" s="19">
        <f t="shared" si="247"/>
        <v>45747.66667</v>
      </c>
      <c r="BD247" s="19">
        <f t="shared" si="247"/>
        <v>45747.6875</v>
      </c>
      <c r="BE247" s="19">
        <f t="shared" si="247"/>
        <v>45747.70833</v>
      </c>
      <c r="BF247" s="19">
        <f t="shared" si="247"/>
        <v>45747.72917</v>
      </c>
      <c r="BG247" s="19">
        <f t="shared" si="247"/>
        <v>45747.75</v>
      </c>
      <c r="BH247" s="19">
        <f t="shared" si="247"/>
        <v>45747.77083</v>
      </c>
      <c r="BI247" s="19">
        <f t="shared" si="247"/>
        <v>45747.79167</v>
      </c>
      <c r="BJ247" s="19">
        <f t="shared" si="247"/>
        <v>45747.8125</v>
      </c>
      <c r="BK247" s="19">
        <f t="shared" si="247"/>
        <v>45747.83333</v>
      </c>
      <c r="BL247" s="19">
        <f t="shared" si="247"/>
        <v>45747.85417</v>
      </c>
      <c r="BM247" s="19">
        <f t="shared" si="247"/>
        <v>45747.875</v>
      </c>
      <c r="BN247" s="19">
        <f t="shared" si="247"/>
        <v>45747.89583</v>
      </c>
      <c r="BO247" s="19">
        <f t="shared" si="247"/>
        <v>45747.91667</v>
      </c>
      <c r="BP247" s="19">
        <f t="shared" si="247"/>
        <v>45747.9375</v>
      </c>
      <c r="BQ247" s="19">
        <f t="shared" si="247"/>
        <v>45747.95833</v>
      </c>
      <c r="BR247" s="19">
        <f t="shared" si="247"/>
        <v>45747.97917</v>
      </c>
      <c r="BS247" s="19">
        <f t="shared" si="247"/>
        <v>45748</v>
      </c>
      <c r="BT247" s="19">
        <f t="shared" si="247"/>
        <v>45748.02083</v>
      </c>
      <c r="BU247" s="19">
        <f t="shared" si="247"/>
        <v>45748.04167</v>
      </c>
      <c r="BV247" s="19">
        <f t="shared" si="247"/>
        <v>45748.0625</v>
      </c>
      <c r="BW247" s="19">
        <f t="shared" si="247"/>
        <v>45748.08333</v>
      </c>
      <c r="BX247" s="19">
        <f t="shared" si="247"/>
        <v>45747</v>
      </c>
      <c r="BY247" s="19">
        <f t="shared" si="247"/>
        <v>45747</v>
      </c>
      <c r="BZ247" s="19">
        <f t="shared" si="247"/>
        <v>45747</v>
      </c>
    </row>
    <row r="248" ht="14.25" customHeight="1">
      <c r="A248" s="17">
        <v>45748.0</v>
      </c>
      <c r="B248" s="2" t="str">
        <f t="array" ref="B248">IF(NOW()&gt;AM248,"",IF(AND((WEEKDAY($A248)+$B$2)&gt;1,((WEEKDAY($A248)+$T$2)&lt;7),(WEEKDAY($A248)&lt;&gt;1)),"work",(INDEX(Subject!$A:$I,MATCH(RANDBETWEEN(1,(MAX(Subject!$B:$B))),Subject!$B:$B,0),3))))</f>
        <v/>
      </c>
      <c r="C248" s="2" t="str">
        <f t="array" ref="C248">IF(NOW()&gt;AN248,"",IF(AND((WEEKDAY($A248)+$B$2)&gt;1,((WEEKDAY($A248)+$T$2)&lt;7),(WEEKDAY($A248)&lt;&gt;1)),"work",(INDEX(Subject!$A:$I,MATCH(RANDBETWEEN(1,(MAX(Subject!$B:$B))),Subject!$B:$B,0),3))))</f>
        <v/>
      </c>
      <c r="D248" s="2" t="str">
        <f t="array" ref="D248">IF(NOW()&gt;AO248,"",IF(AND((WEEKDAY($A248)+$B$2)&gt;1,((WEEKDAY($A248)+$T$2)&lt;7),(WEEKDAY($A248)&lt;&gt;1)),"work",(INDEX(Subject!$A:$I,MATCH(RANDBETWEEN(1,(MAX(Subject!$B:$B))),Subject!$B:$B,0),3))))</f>
        <v/>
      </c>
      <c r="E248" s="2" t="str">
        <f t="array" ref="E248">IF(NOW()&gt;AP248,"",IF(AND((WEEKDAY($A248)+$B$2)&gt;1,((WEEKDAY($A248)+$T$2)&lt;7),(WEEKDAY($A248)&lt;&gt;1)),"work",(INDEX(Subject!$A:$I,MATCH(RANDBETWEEN(1,(MAX(Subject!$B:$B))),Subject!$B:$B,0),3))))</f>
        <v/>
      </c>
      <c r="F248" s="2" t="str">
        <f t="array" ref="F248">IF(NOW()&gt;AQ248,"",IF(AND((WEEKDAY($A248)+$B$2)&gt;1,((WEEKDAY($A248)+$T$2)&lt;7),(WEEKDAY($A248)&lt;&gt;1)),"work",(INDEX(Subject!$A:$I,MATCH(RANDBETWEEN(1,(MAX(Subject!$B:$B))),Subject!$B:$B,0),3))))</f>
        <v/>
      </c>
      <c r="G248" s="2" t="str">
        <f t="array" ref="G248">IF(NOW()&gt;AR248,"",IF(AND((WEEKDAY($A248)+$B$2)&gt;1,((WEEKDAY($A248)+$T$2)&lt;7),(WEEKDAY($A248)&lt;&gt;1)),"work",(INDEX(Subject!$A:$I,MATCH(RANDBETWEEN(1,(MAX(Subject!$B:$B))),Subject!$B:$B,0),3))))</f>
        <v/>
      </c>
      <c r="H248" s="2" t="str">
        <f t="array" ref="H248">IF(NOW()&gt;AS248,"",IF(AND((WEEKDAY($A248)+$B$2)&gt;1,((WEEKDAY($A248)+$T$2)&lt;7),(WEEKDAY($A248)&lt;&gt;1)),"work",(INDEX(Subject!$A:$I,MATCH(RANDBETWEEN(1,(MAX(Subject!$B:$B))),Subject!$B:$B,0),3))))</f>
        <v/>
      </c>
      <c r="I248" s="2" t="str">
        <f t="array" ref="I248">IF(NOW()&gt;AT248,"",IF(AND((WEEKDAY($A248)+$B$2)&gt;1,((WEEKDAY($A248)+$T$2)&lt;7),(WEEKDAY($A248)&lt;&gt;1)),"work",(INDEX(Subject!$A:$I,MATCH(RANDBETWEEN(1,(MAX(Subject!$B:$B))),Subject!$B:$B,0),3))))</f>
        <v/>
      </c>
      <c r="J248" s="2" t="str">
        <f t="array" ref="J248">IF(NOW()&gt;AU248,"",IF(AND((WEEKDAY($A248)+$B$2)&gt;1,((WEEKDAY($A248)+$T$2)&lt;7),(WEEKDAY($A248)&lt;&gt;1)),"work",(INDEX(Subject!$A:$I,MATCH(RANDBETWEEN(1,(MAX(Subject!$B:$B))),Subject!$B:$B,0),3))))</f>
        <v/>
      </c>
      <c r="K248" s="2" t="str">
        <f t="array" ref="K248">IF(NOW()&gt;AV248,"",IF(AND((WEEKDAY($A248)+$B$2)&gt;1,((WEEKDAY($A248)+$T$2)&lt;7),(WEEKDAY($A248)&lt;&gt;1)),"work",(INDEX(Subject!$A:$I,MATCH(RANDBETWEEN(1,(MAX(Subject!$B:$B))),Subject!$B:$B,0),3))))</f>
        <v/>
      </c>
      <c r="L248" s="2" t="str">
        <f t="array" ref="L248">IF(NOW()&gt;AW248,"",IF(AND((WEEKDAY($A248)+$B$2)&gt;1,((WEEKDAY($A248)+$T$2)&lt;7),(WEEKDAY($A248)&lt;&gt;1)),"work",(INDEX(Subject!$A:$I,MATCH(RANDBETWEEN(1,(MAX(Subject!$B:$B))),Subject!$B:$B,0),3))))</f>
        <v/>
      </c>
      <c r="M248" s="2" t="str">
        <f t="array" ref="M248">IF(NOW()&gt;AX248,"",IF(AND((WEEKDAY($A248)+$B$2)&gt;1,((WEEKDAY($A248)+$T$2)&lt;7),(WEEKDAY($A248)&lt;&gt;1)),"work",(INDEX(Subject!$A:$I,MATCH(RANDBETWEEN(1,(MAX(Subject!$B:$B))),Subject!$B:$B,0),3))))</f>
        <v/>
      </c>
      <c r="N248" s="2" t="str">
        <f t="array" ref="N248">IF(NOW()&gt;AY248,"",IF(AND((WEEKDAY($A248)+$B$2)&gt;1,((WEEKDAY($A248)+$T$2)&lt;7),(WEEKDAY($A248)&lt;&gt;1)),"work",(INDEX(Subject!$A:$I,MATCH(RANDBETWEEN(1,(MAX(Subject!$B:$B))),Subject!$B:$B,0),3))))</f>
        <v/>
      </c>
      <c r="O248" s="2" t="str">
        <f t="array" ref="O248">IF(NOW()&gt;AZ248,"",IF(AND((WEEKDAY($A248)+$B$2)&gt;1,((WEEKDAY($A248)+$T$2)&lt;7),(WEEKDAY($A248)&lt;&gt;1)),"work",(INDEX(Subject!$A:$I,MATCH(RANDBETWEEN(1,(MAX(Subject!$B:$B))),Subject!$B:$B,0),3))))</f>
        <v/>
      </c>
      <c r="P248" s="2" t="str">
        <f t="array" ref="P248">IF(NOW()&gt;BA248,"",IF(AND((WEEKDAY($A248)+$B$2)&gt;1,((WEEKDAY($A248)+$T$2)&lt;7),(WEEKDAY($A248)&lt;&gt;1)),"work",(INDEX(Subject!$A:$I,MATCH(RANDBETWEEN(1,(MAX(Subject!$B:$B))),Subject!$B:$B,0),3))))</f>
        <v/>
      </c>
      <c r="Q248" s="2" t="str">
        <f t="array" ref="Q248">IF(NOW()&gt;BB248,"",IF(AND((WEEKDAY($A248)+$B$2)&gt;1,((WEEKDAY($A248)+$T$2)&lt;7),(WEEKDAY($A248)&lt;&gt;1)),"work",(INDEX(Subject!$A:$I,MATCH(RANDBETWEEN(1,(MAX(Subject!$B:$B))),Subject!$B:$B,0),3))))</f>
        <v/>
      </c>
      <c r="R248" s="2" t="str">
        <f t="array" ref="R248">IF(NOW()&gt;BC248,"",IF(AND((WEEKDAY($A248)+$B$2)&gt;1,((WEEKDAY($A248)+$T$2)&lt;7),(WEEKDAY($A248)&lt;&gt;1)),"work",(INDEX(Subject!$A:$I,MATCH(RANDBETWEEN(1,(MAX(Subject!$B:$B))),Subject!$B:$B,0),3))))</f>
        <v/>
      </c>
      <c r="S248" s="2" t="str">
        <f t="array" ref="S248">IF(NOW()&gt;BD248,"",IF(AND((WEEKDAY($A248)+$B$2)&gt;1,((WEEKDAY($A248)+$T$2)&lt;7),(WEEKDAY($A248)&lt;&gt;1)),"work",(INDEX(Subject!$A:$I,MATCH(RANDBETWEEN(1,(MAX(Subject!$B:$B))),Subject!$B:$B,0),3))))</f>
        <v/>
      </c>
      <c r="T248" s="2" t="str">
        <f t="array" ref="T248">IF(NOW()&gt;BE248,"",IF(AND((WEEKDAY($A248)+$B$2)&gt;1,((WEEKDAY($A248)+$T$2)&lt;7),(WEEKDAY($A248)&lt;&gt;1)),"work",(INDEX(Subject!$A:$I,MATCH(RANDBETWEEN(1,(MAX(Subject!$B:$B))),Subject!$B:$B,0),3))))</f>
        <v/>
      </c>
      <c r="U248" s="8" t="str">
        <f t="array" ref="U248">INDEX(Subject!$A:$I,MATCH(RANDBETWEEN(1,16),Subject!$B:$B,0),3)</f>
        <v>#N/A</v>
      </c>
      <c r="V248" s="8" t="str">
        <f t="array" ref="V248">INDEX(Subject!$A:$I,MATCH(RANDBETWEEN(1,16),Subject!$B:$B,0),3)</f>
        <v>#N/A</v>
      </c>
      <c r="W248" s="8" t="str">
        <f t="array" ref="W248">INDEX(Subject!$A:$I,MATCH(RANDBETWEEN(1,16),Subject!$B:$B,0),3)</f>
        <v>#N/A</v>
      </c>
      <c r="X248" s="8" t="str">
        <f t="array" ref="X248">INDEX(Subject!$A:$I,MATCH(RANDBETWEEN(1,16),Subject!$B:$B,0),3)</f>
        <v>#N/A</v>
      </c>
      <c r="Y248" s="8" t="str">
        <f t="array" ref="Y248">INDEX(Subject!$A:$I,MATCH(RANDBETWEEN(1,16),Subject!$B:$B,0),3)</f>
        <v>#N/A</v>
      </c>
      <c r="Z248" s="8" t="str">
        <f t="array" ref="Z248">INDEX(Subject!$A:$I,MATCH(RANDBETWEEN(1,16),Subject!$B:$B,0),3)</f>
        <v>#N/A</v>
      </c>
      <c r="AA248" s="8" t="str">
        <f t="array" ref="AA248">INDEX(Subject!$A:$I,MATCH(RANDBETWEEN(1,16),Subject!$B:$B,0),3)</f>
        <v>#N/A</v>
      </c>
      <c r="AB248" s="8" t="str">
        <f t="array" ref="AB248">INDEX(Subject!$A:$I,MATCH(RANDBETWEEN(1,16),Subject!$B:$B,0),3)</f>
        <v>#N/A</v>
      </c>
      <c r="AC248" s="8" t="str">
        <f t="array" ref="AC248">INDEX(Subject!$A:$I,MATCH(RANDBETWEEN(1,16),Subject!$B:$B,0),3)</f>
        <v>#N/A</v>
      </c>
      <c r="AD248" s="8" t="str">
        <f t="array" ref="AD248">INDEX(Subject!$A:$I,MATCH(RANDBETWEEN(1,16),Subject!$B:$B,0),3)</f>
        <v>#N/A</v>
      </c>
      <c r="AE248" s="8" t="str">
        <f t="array" ref="AE248">INDEX(Subject!$A:$I,MATCH(RANDBETWEEN(1,16),Subject!$B:$B,0),3)</f>
        <v>#N/A</v>
      </c>
      <c r="AF248" s="8" t="str">
        <f t="array" ref="AF248">INDEX(Subject!$A:$I,MATCH(RANDBETWEEN(1,16),Subject!$B:$B,0),3)</f>
        <v>#N/A</v>
      </c>
      <c r="AG248" s="8" t="str">
        <f t="array" ref="AG248">INDEX(Subject!$A:$I,MATCH(RANDBETWEEN(1,16),Subject!$B:$B,0),3)</f>
        <v/>
      </c>
      <c r="AH248" s="8" t="str">
        <f t="array" ref="AH248">INDEX(Subject!$A:$I,MATCH(RANDBETWEEN(1,16),Subject!$B:$B,0),3)</f>
        <v/>
      </c>
      <c r="AI248" s="8" t="str">
        <f t="array" ref="AI248">INDEX(Subject!$A:$I,MATCH(RANDBETWEEN(1,16),Subject!$B:$B,0),3)</f>
        <v>#N/A</v>
      </c>
      <c r="AJ248" s="8" t="str">
        <f t="array" ref="AJ248">INDEX(Subject!$A:$I,MATCH(RANDBETWEEN(1,16),Subject!$B:$B,0),3)</f>
        <v>#N/A</v>
      </c>
      <c r="AK248" s="8" t="str">
        <f t="array" ref="AK248">INDEX(Subject!$A:$I,MATCH(RANDBETWEEN(1,16),Subject!$B:$B,0),3)</f>
        <v>#N/A</v>
      </c>
      <c r="AL248" s="8" t="str">
        <f t="array" ref="AL248">INDEX(Subject!$A:$I,MATCH(RANDBETWEEN(1,16),Subject!$B:$B,0),3)</f>
        <v>#N/A</v>
      </c>
      <c r="AM248" s="18">
        <f t="shared" si="4"/>
        <v>45748.33333</v>
      </c>
      <c r="AN248" s="19">
        <f t="shared" ref="AN248:BZ248" si="248">$A248+C$1</f>
        <v>45748.35417</v>
      </c>
      <c r="AO248" s="19">
        <f t="shared" si="248"/>
        <v>45748.375</v>
      </c>
      <c r="AP248" s="19">
        <f t="shared" si="248"/>
        <v>45748.39583</v>
      </c>
      <c r="AQ248" s="19">
        <f t="shared" si="248"/>
        <v>45748.41667</v>
      </c>
      <c r="AR248" s="19">
        <f t="shared" si="248"/>
        <v>45748.4375</v>
      </c>
      <c r="AS248" s="19">
        <f t="shared" si="248"/>
        <v>45748.45833</v>
      </c>
      <c r="AT248" s="19">
        <f t="shared" si="248"/>
        <v>45748.47917</v>
      </c>
      <c r="AU248" s="19">
        <f t="shared" si="248"/>
        <v>45748.5</v>
      </c>
      <c r="AV248" s="19">
        <f t="shared" si="248"/>
        <v>45748.52083</v>
      </c>
      <c r="AW248" s="19">
        <f t="shared" si="248"/>
        <v>45748.54167</v>
      </c>
      <c r="AX248" s="19">
        <f t="shared" si="248"/>
        <v>45748.5625</v>
      </c>
      <c r="AY248" s="19">
        <f t="shared" si="248"/>
        <v>45748.58333</v>
      </c>
      <c r="AZ248" s="19">
        <f t="shared" si="248"/>
        <v>45748.60417</v>
      </c>
      <c r="BA248" s="19">
        <f t="shared" si="248"/>
        <v>45748.625</v>
      </c>
      <c r="BB248" s="19">
        <f t="shared" si="248"/>
        <v>45748.64583</v>
      </c>
      <c r="BC248" s="19">
        <f t="shared" si="248"/>
        <v>45748.66667</v>
      </c>
      <c r="BD248" s="19">
        <f t="shared" si="248"/>
        <v>45748.6875</v>
      </c>
      <c r="BE248" s="19">
        <f t="shared" si="248"/>
        <v>45748.70833</v>
      </c>
      <c r="BF248" s="19">
        <f t="shared" si="248"/>
        <v>45748.72917</v>
      </c>
      <c r="BG248" s="19">
        <f t="shared" si="248"/>
        <v>45748.75</v>
      </c>
      <c r="BH248" s="19">
        <f t="shared" si="248"/>
        <v>45748.77083</v>
      </c>
      <c r="BI248" s="19">
        <f t="shared" si="248"/>
        <v>45748.79167</v>
      </c>
      <c r="BJ248" s="19">
        <f t="shared" si="248"/>
        <v>45748.8125</v>
      </c>
      <c r="BK248" s="19">
        <f t="shared" si="248"/>
        <v>45748.83333</v>
      </c>
      <c r="BL248" s="19">
        <f t="shared" si="248"/>
        <v>45748.85417</v>
      </c>
      <c r="BM248" s="19">
        <f t="shared" si="248"/>
        <v>45748.875</v>
      </c>
      <c r="BN248" s="19">
        <f t="shared" si="248"/>
        <v>45748.89583</v>
      </c>
      <c r="BO248" s="19">
        <f t="shared" si="248"/>
        <v>45748.91667</v>
      </c>
      <c r="BP248" s="19">
        <f t="shared" si="248"/>
        <v>45748.9375</v>
      </c>
      <c r="BQ248" s="19">
        <f t="shared" si="248"/>
        <v>45748.95833</v>
      </c>
      <c r="BR248" s="19">
        <f t="shared" si="248"/>
        <v>45748.97917</v>
      </c>
      <c r="BS248" s="19">
        <f t="shared" si="248"/>
        <v>45749</v>
      </c>
      <c r="BT248" s="19">
        <f t="shared" si="248"/>
        <v>45749.02083</v>
      </c>
      <c r="BU248" s="19">
        <f t="shared" si="248"/>
        <v>45749.04167</v>
      </c>
      <c r="BV248" s="19">
        <f t="shared" si="248"/>
        <v>45749.0625</v>
      </c>
      <c r="BW248" s="19">
        <f t="shared" si="248"/>
        <v>45749.08333</v>
      </c>
      <c r="BX248" s="19">
        <f t="shared" si="248"/>
        <v>45748</v>
      </c>
      <c r="BY248" s="19">
        <f t="shared" si="248"/>
        <v>45748</v>
      </c>
      <c r="BZ248" s="19">
        <f t="shared" si="248"/>
        <v>45748</v>
      </c>
    </row>
    <row r="249" ht="14.25" customHeight="1">
      <c r="A249" s="17">
        <v>45749.0</v>
      </c>
      <c r="B249" s="2" t="str">
        <f t="array" ref="B249">IF(NOW()&gt;AM249,"",IF(AND((WEEKDAY($A249)+$B$2)&gt;1,((WEEKDAY($A249)+$T$2)&lt;7),(WEEKDAY($A249)&lt;&gt;1)),"work",(INDEX(Subject!$A:$I,MATCH(RANDBETWEEN(1,(MAX(Subject!$B:$B))),Subject!$B:$B,0),3))))</f>
        <v/>
      </c>
      <c r="C249" s="2" t="str">
        <f t="array" ref="C249">IF(NOW()&gt;AN249,"",IF(AND((WEEKDAY($A249)+$B$2)&gt;1,((WEEKDAY($A249)+$T$2)&lt;7),(WEEKDAY($A249)&lt;&gt;1)),"work",(INDEX(Subject!$A:$I,MATCH(RANDBETWEEN(1,(MAX(Subject!$B:$B))),Subject!$B:$B,0),3))))</f>
        <v/>
      </c>
      <c r="D249" s="2" t="str">
        <f t="array" ref="D249">IF(NOW()&gt;AO249,"",IF(AND((WEEKDAY($A249)+$B$2)&gt;1,((WEEKDAY($A249)+$T$2)&lt;7),(WEEKDAY($A249)&lt;&gt;1)),"work",(INDEX(Subject!$A:$I,MATCH(RANDBETWEEN(1,(MAX(Subject!$B:$B))),Subject!$B:$B,0),3))))</f>
        <v/>
      </c>
      <c r="E249" s="2" t="str">
        <f t="array" ref="E249">IF(NOW()&gt;AP249,"",IF(AND((WEEKDAY($A249)+$B$2)&gt;1,((WEEKDAY($A249)+$T$2)&lt;7),(WEEKDAY($A249)&lt;&gt;1)),"work",(INDEX(Subject!$A:$I,MATCH(RANDBETWEEN(1,(MAX(Subject!$B:$B))),Subject!$B:$B,0),3))))</f>
        <v/>
      </c>
      <c r="F249" s="2" t="str">
        <f t="array" ref="F249">IF(NOW()&gt;AQ249,"",IF(AND((WEEKDAY($A249)+$B$2)&gt;1,((WEEKDAY($A249)+$T$2)&lt;7),(WEEKDAY($A249)&lt;&gt;1)),"work",(INDEX(Subject!$A:$I,MATCH(RANDBETWEEN(1,(MAX(Subject!$B:$B))),Subject!$B:$B,0),3))))</f>
        <v/>
      </c>
      <c r="G249" s="2" t="str">
        <f t="array" ref="G249">IF(NOW()&gt;AR249,"",IF(AND((WEEKDAY($A249)+$B$2)&gt;1,((WEEKDAY($A249)+$T$2)&lt;7),(WEEKDAY($A249)&lt;&gt;1)),"work",(INDEX(Subject!$A:$I,MATCH(RANDBETWEEN(1,(MAX(Subject!$B:$B))),Subject!$B:$B,0),3))))</f>
        <v/>
      </c>
      <c r="H249" s="2" t="str">
        <f t="array" ref="H249">IF(NOW()&gt;AS249,"",IF(AND((WEEKDAY($A249)+$B$2)&gt;1,((WEEKDAY($A249)+$T$2)&lt;7),(WEEKDAY($A249)&lt;&gt;1)),"work",(INDEX(Subject!$A:$I,MATCH(RANDBETWEEN(1,(MAX(Subject!$B:$B))),Subject!$B:$B,0),3))))</f>
        <v/>
      </c>
      <c r="I249" s="2" t="str">
        <f t="array" ref="I249">IF(NOW()&gt;AT249,"",IF(AND((WEEKDAY($A249)+$B$2)&gt;1,((WEEKDAY($A249)+$T$2)&lt;7),(WEEKDAY($A249)&lt;&gt;1)),"work",(INDEX(Subject!$A:$I,MATCH(RANDBETWEEN(1,(MAX(Subject!$B:$B))),Subject!$B:$B,0),3))))</f>
        <v/>
      </c>
      <c r="J249" s="2" t="str">
        <f t="array" ref="J249">IF(NOW()&gt;AU249,"",IF(AND((WEEKDAY($A249)+$B$2)&gt;1,((WEEKDAY($A249)+$T$2)&lt;7),(WEEKDAY($A249)&lt;&gt;1)),"work",(INDEX(Subject!$A:$I,MATCH(RANDBETWEEN(1,(MAX(Subject!$B:$B))),Subject!$B:$B,0),3))))</f>
        <v/>
      </c>
      <c r="K249" s="2" t="str">
        <f t="array" ref="K249">IF(NOW()&gt;AV249,"",IF(AND((WEEKDAY($A249)+$B$2)&gt;1,((WEEKDAY($A249)+$T$2)&lt;7),(WEEKDAY($A249)&lt;&gt;1)),"work",(INDEX(Subject!$A:$I,MATCH(RANDBETWEEN(1,(MAX(Subject!$B:$B))),Subject!$B:$B,0),3))))</f>
        <v/>
      </c>
      <c r="L249" s="2" t="str">
        <f t="array" ref="L249">IF(NOW()&gt;AW249,"",IF(AND((WEEKDAY($A249)+$B$2)&gt;1,((WEEKDAY($A249)+$T$2)&lt;7),(WEEKDAY($A249)&lt;&gt;1)),"work",(INDEX(Subject!$A:$I,MATCH(RANDBETWEEN(1,(MAX(Subject!$B:$B))),Subject!$B:$B,0),3))))</f>
        <v/>
      </c>
      <c r="M249" s="2" t="str">
        <f t="array" ref="M249">IF(NOW()&gt;AX249,"",IF(AND((WEEKDAY($A249)+$B$2)&gt;1,((WEEKDAY($A249)+$T$2)&lt;7),(WEEKDAY($A249)&lt;&gt;1)),"work",(INDEX(Subject!$A:$I,MATCH(RANDBETWEEN(1,(MAX(Subject!$B:$B))),Subject!$B:$B,0),3))))</f>
        <v/>
      </c>
      <c r="N249" s="2" t="str">
        <f t="array" ref="N249">IF(NOW()&gt;AY249,"",IF(AND((WEEKDAY($A249)+$B$2)&gt;1,((WEEKDAY($A249)+$T$2)&lt;7),(WEEKDAY($A249)&lt;&gt;1)),"work",(INDEX(Subject!$A:$I,MATCH(RANDBETWEEN(1,(MAX(Subject!$B:$B))),Subject!$B:$B,0),3))))</f>
        <v/>
      </c>
      <c r="O249" s="2" t="str">
        <f t="array" ref="O249">IF(NOW()&gt;AZ249,"",IF(AND((WEEKDAY($A249)+$B$2)&gt;1,((WEEKDAY($A249)+$T$2)&lt;7),(WEEKDAY($A249)&lt;&gt;1)),"work",(INDEX(Subject!$A:$I,MATCH(RANDBETWEEN(1,(MAX(Subject!$B:$B))),Subject!$B:$B,0),3))))</f>
        <v/>
      </c>
      <c r="P249" s="2" t="str">
        <f t="array" ref="P249">IF(NOW()&gt;BA249,"",IF(AND((WEEKDAY($A249)+$B$2)&gt;1,((WEEKDAY($A249)+$T$2)&lt;7),(WEEKDAY($A249)&lt;&gt;1)),"work",(INDEX(Subject!$A:$I,MATCH(RANDBETWEEN(1,(MAX(Subject!$B:$B))),Subject!$B:$B,0),3))))</f>
        <v/>
      </c>
      <c r="Q249" s="2" t="str">
        <f t="array" ref="Q249">IF(NOW()&gt;BB249,"",IF(AND((WEEKDAY($A249)+$B$2)&gt;1,((WEEKDAY($A249)+$T$2)&lt;7),(WEEKDAY($A249)&lt;&gt;1)),"work",(INDEX(Subject!$A:$I,MATCH(RANDBETWEEN(1,(MAX(Subject!$B:$B))),Subject!$B:$B,0),3))))</f>
        <v/>
      </c>
      <c r="R249" s="2" t="str">
        <f t="array" ref="R249">IF(NOW()&gt;BC249,"",IF(AND((WEEKDAY($A249)+$B$2)&gt;1,((WEEKDAY($A249)+$T$2)&lt;7),(WEEKDAY($A249)&lt;&gt;1)),"work",(INDEX(Subject!$A:$I,MATCH(RANDBETWEEN(1,(MAX(Subject!$B:$B))),Subject!$B:$B,0),3))))</f>
        <v/>
      </c>
      <c r="S249" s="2" t="str">
        <f t="array" ref="S249">IF(NOW()&gt;BD249,"",IF(AND((WEEKDAY($A249)+$B$2)&gt;1,((WEEKDAY($A249)+$T$2)&lt;7),(WEEKDAY($A249)&lt;&gt;1)),"work",(INDEX(Subject!$A:$I,MATCH(RANDBETWEEN(1,(MAX(Subject!$B:$B))),Subject!$B:$B,0),3))))</f>
        <v/>
      </c>
      <c r="T249" s="2" t="str">
        <f t="array" ref="T249">IF(NOW()&gt;BE249,"",IF(AND((WEEKDAY($A249)+$B$2)&gt;1,((WEEKDAY($A249)+$T$2)&lt;7),(WEEKDAY($A249)&lt;&gt;1)),"work",(INDEX(Subject!$A:$I,MATCH(RANDBETWEEN(1,(MAX(Subject!$B:$B))),Subject!$B:$B,0),3))))</f>
        <v/>
      </c>
      <c r="U249" s="8" t="str">
        <f t="array" ref="U249">INDEX(Subject!$A:$I,MATCH(RANDBETWEEN(1,16),Subject!$B:$B,0),3)</f>
        <v>#N/A</v>
      </c>
      <c r="V249" s="8" t="str">
        <f t="array" ref="V249">INDEX(Subject!$A:$I,MATCH(RANDBETWEEN(1,16),Subject!$B:$B,0),3)</f>
        <v>#N/A</v>
      </c>
      <c r="W249" s="8" t="str">
        <f t="array" ref="W249">INDEX(Subject!$A:$I,MATCH(RANDBETWEEN(1,16),Subject!$B:$B,0),3)</f>
        <v>#N/A</v>
      </c>
      <c r="X249" s="8" t="str">
        <f t="array" ref="X249">INDEX(Subject!$A:$I,MATCH(RANDBETWEEN(1,16),Subject!$B:$B,0),3)</f>
        <v>#N/A</v>
      </c>
      <c r="Y249" s="8" t="str">
        <f t="array" ref="Y249">INDEX(Subject!$A:$I,MATCH(RANDBETWEEN(1,16),Subject!$B:$B,0),3)</f>
        <v>#N/A</v>
      </c>
      <c r="Z249" s="8" t="str">
        <f t="array" ref="Z249">INDEX(Subject!$A:$I,MATCH(RANDBETWEEN(1,16),Subject!$B:$B,0),3)</f>
        <v>#N/A</v>
      </c>
      <c r="AA249" s="8" t="str">
        <f t="array" ref="AA249">INDEX(Subject!$A:$I,MATCH(RANDBETWEEN(1,16),Subject!$B:$B,0),3)</f>
        <v>#N/A</v>
      </c>
      <c r="AB249" s="8" t="str">
        <f t="array" ref="AB249">INDEX(Subject!$A:$I,MATCH(RANDBETWEEN(1,16),Subject!$B:$B,0),3)</f>
        <v>#N/A</v>
      </c>
      <c r="AC249" s="8" t="str">
        <f t="array" ref="AC249">INDEX(Subject!$A:$I,MATCH(RANDBETWEEN(1,16),Subject!$B:$B,0),3)</f>
        <v>#N/A</v>
      </c>
      <c r="AD249" s="8" t="str">
        <f t="array" ref="AD249">INDEX(Subject!$A:$I,MATCH(RANDBETWEEN(1,16),Subject!$B:$B,0),3)</f>
        <v>#N/A</v>
      </c>
      <c r="AE249" s="8" t="str">
        <f t="array" ref="AE249">INDEX(Subject!$A:$I,MATCH(RANDBETWEEN(1,16),Subject!$B:$B,0),3)</f>
        <v>#N/A</v>
      </c>
      <c r="AF249" s="8" t="str">
        <f t="array" ref="AF249">INDEX(Subject!$A:$I,MATCH(RANDBETWEEN(1,16),Subject!$B:$B,0),3)</f>
        <v>#N/A</v>
      </c>
      <c r="AG249" s="8" t="str">
        <f t="array" ref="AG249">INDEX(Subject!$A:$I,MATCH(RANDBETWEEN(1,16),Subject!$B:$B,0),3)</f>
        <v>#N/A</v>
      </c>
      <c r="AH249" s="8" t="str">
        <f t="array" ref="AH249">INDEX(Subject!$A:$I,MATCH(RANDBETWEEN(1,16),Subject!$B:$B,0),3)</f>
        <v>#N/A</v>
      </c>
      <c r="AI249" s="8" t="str">
        <f t="array" ref="AI249">INDEX(Subject!$A:$I,MATCH(RANDBETWEEN(1,16),Subject!$B:$B,0),3)</f>
        <v/>
      </c>
      <c r="AJ249" s="8" t="str">
        <f t="array" ref="AJ249">INDEX(Subject!$A:$I,MATCH(RANDBETWEEN(1,16),Subject!$B:$B,0),3)</f>
        <v>#N/A</v>
      </c>
      <c r="AK249" s="8" t="str">
        <f t="array" ref="AK249">INDEX(Subject!$A:$I,MATCH(RANDBETWEEN(1,16),Subject!$B:$B,0),3)</f>
        <v>#N/A</v>
      </c>
      <c r="AL249" s="8" t="str">
        <f t="array" ref="AL249">INDEX(Subject!$A:$I,MATCH(RANDBETWEEN(1,16),Subject!$B:$B,0),3)</f>
        <v>#N/A</v>
      </c>
      <c r="AM249" s="18">
        <f t="shared" si="4"/>
        <v>45749.33333</v>
      </c>
      <c r="AN249" s="19">
        <f t="shared" ref="AN249:BZ249" si="249">$A249+C$1</f>
        <v>45749.35417</v>
      </c>
      <c r="AO249" s="19">
        <f t="shared" si="249"/>
        <v>45749.375</v>
      </c>
      <c r="AP249" s="19">
        <f t="shared" si="249"/>
        <v>45749.39583</v>
      </c>
      <c r="AQ249" s="19">
        <f t="shared" si="249"/>
        <v>45749.41667</v>
      </c>
      <c r="AR249" s="19">
        <f t="shared" si="249"/>
        <v>45749.4375</v>
      </c>
      <c r="AS249" s="19">
        <f t="shared" si="249"/>
        <v>45749.45833</v>
      </c>
      <c r="AT249" s="19">
        <f t="shared" si="249"/>
        <v>45749.47917</v>
      </c>
      <c r="AU249" s="19">
        <f t="shared" si="249"/>
        <v>45749.5</v>
      </c>
      <c r="AV249" s="19">
        <f t="shared" si="249"/>
        <v>45749.52083</v>
      </c>
      <c r="AW249" s="19">
        <f t="shared" si="249"/>
        <v>45749.54167</v>
      </c>
      <c r="AX249" s="19">
        <f t="shared" si="249"/>
        <v>45749.5625</v>
      </c>
      <c r="AY249" s="19">
        <f t="shared" si="249"/>
        <v>45749.58333</v>
      </c>
      <c r="AZ249" s="19">
        <f t="shared" si="249"/>
        <v>45749.60417</v>
      </c>
      <c r="BA249" s="19">
        <f t="shared" si="249"/>
        <v>45749.625</v>
      </c>
      <c r="BB249" s="19">
        <f t="shared" si="249"/>
        <v>45749.64583</v>
      </c>
      <c r="BC249" s="19">
        <f t="shared" si="249"/>
        <v>45749.66667</v>
      </c>
      <c r="BD249" s="19">
        <f t="shared" si="249"/>
        <v>45749.6875</v>
      </c>
      <c r="BE249" s="19">
        <f t="shared" si="249"/>
        <v>45749.70833</v>
      </c>
      <c r="BF249" s="19">
        <f t="shared" si="249"/>
        <v>45749.72917</v>
      </c>
      <c r="BG249" s="19">
        <f t="shared" si="249"/>
        <v>45749.75</v>
      </c>
      <c r="BH249" s="19">
        <f t="shared" si="249"/>
        <v>45749.77083</v>
      </c>
      <c r="BI249" s="19">
        <f t="shared" si="249"/>
        <v>45749.79167</v>
      </c>
      <c r="BJ249" s="19">
        <f t="shared" si="249"/>
        <v>45749.8125</v>
      </c>
      <c r="BK249" s="19">
        <f t="shared" si="249"/>
        <v>45749.83333</v>
      </c>
      <c r="BL249" s="19">
        <f t="shared" si="249"/>
        <v>45749.85417</v>
      </c>
      <c r="BM249" s="19">
        <f t="shared" si="249"/>
        <v>45749.875</v>
      </c>
      <c r="BN249" s="19">
        <f t="shared" si="249"/>
        <v>45749.89583</v>
      </c>
      <c r="BO249" s="19">
        <f t="shared" si="249"/>
        <v>45749.91667</v>
      </c>
      <c r="BP249" s="19">
        <f t="shared" si="249"/>
        <v>45749.9375</v>
      </c>
      <c r="BQ249" s="19">
        <f t="shared" si="249"/>
        <v>45749.95833</v>
      </c>
      <c r="BR249" s="19">
        <f t="shared" si="249"/>
        <v>45749.97917</v>
      </c>
      <c r="BS249" s="19">
        <f t="shared" si="249"/>
        <v>45750</v>
      </c>
      <c r="BT249" s="19">
        <f t="shared" si="249"/>
        <v>45750.02083</v>
      </c>
      <c r="BU249" s="19">
        <f t="shared" si="249"/>
        <v>45750.04167</v>
      </c>
      <c r="BV249" s="19">
        <f t="shared" si="249"/>
        <v>45750.0625</v>
      </c>
      <c r="BW249" s="19">
        <f t="shared" si="249"/>
        <v>45750.08333</v>
      </c>
      <c r="BX249" s="19">
        <f t="shared" si="249"/>
        <v>45749</v>
      </c>
      <c r="BY249" s="19">
        <f t="shared" si="249"/>
        <v>45749</v>
      </c>
      <c r="BZ249" s="19">
        <f t="shared" si="249"/>
        <v>45749</v>
      </c>
    </row>
    <row r="250" ht="14.25" customHeight="1">
      <c r="A250" s="17">
        <v>45750.0</v>
      </c>
      <c r="B250" s="2" t="str">
        <f t="array" ref="B250">IF(NOW()&gt;AM250,"",IF(AND((WEEKDAY($A250)+$B$2)&gt;1,((WEEKDAY($A250)+$T$2)&lt;7),(WEEKDAY($A250)&lt;&gt;1)),"work",(INDEX(Subject!$A:$I,MATCH(RANDBETWEEN(1,(MAX(Subject!$B:$B))),Subject!$B:$B,0),3))))</f>
        <v/>
      </c>
      <c r="C250" s="2" t="str">
        <f t="array" ref="C250">IF(NOW()&gt;AN250,"",IF(AND((WEEKDAY($A250)+$B$2)&gt;1,((WEEKDAY($A250)+$T$2)&lt;7),(WEEKDAY($A250)&lt;&gt;1)),"work",(INDEX(Subject!$A:$I,MATCH(RANDBETWEEN(1,(MAX(Subject!$B:$B))),Subject!$B:$B,0),3))))</f>
        <v/>
      </c>
      <c r="D250" s="2" t="str">
        <f t="array" ref="D250">IF(NOW()&gt;AO250,"",IF(AND((WEEKDAY($A250)+$B$2)&gt;1,((WEEKDAY($A250)+$T$2)&lt;7),(WEEKDAY($A250)&lt;&gt;1)),"work",(INDEX(Subject!$A:$I,MATCH(RANDBETWEEN(1,(MAX(Subject!$B:$B))),Subject!$B:$B,0),3))))</f>
        <v/>
      </c>
      <c r="E250" s="2" t="str">
        <f t="array" ref="E250">IF(NOW()&gt;AP250,"",IF(AND((WEEKDAY($A250)+$B$2)&gt;1,((WEEKDAY($A250)+$T$2)&lt;7),(WEEKDAY($A250)&lt;&gt;1)),"work",(INDEX(Subject!$A:$I,MATCH(RANDBETWEEN(1,(MAX(Subject!$B:$B))),Subject!$B:$B,0),3))))</f>
        <v/>
      </c>
      <c r="F250" s="2" t="str">
        <f t="array" ref="F250">IF(NOW()&gt;AQ250,"",IF(AND((WEEKDAY($A250)+$B$2)&gt;1,((WEEKDAY($A250)+$T$2)&lt;7),(WEEKDAY($A250)&lt;&gt;1)),"work",(INDEX(Subject!$A:$I,MATCH(RANDBETWEEN(1,(MAX(Subject!$B:$B))),Subject!$B:$B,0),3))))</f>
        <v/>
      </c>
      <c r="G250" s="2" t="str">
        <f t="array" ref="G250">IF(NOW()&gt;AR250,"",IF(AND((WEEKDAY($A250)+$B$2)&gt;1,((WEEKDAY($A250)+$T$2)&lt;7),(WEEKDAY($A250)&lt;&gt;1)),"work",(INDEX(Subject!$A:$I,MATCH(RANDBETWEEN(1,(MAX(Subject!$B:$B))),Subject!$B:$B,0),3))))</f>
        <v/>
      </c>
      <c r="H250" s="2" t="str">
        <f t="array" ref="H250">IF(NOW()&gt;AS250,"",IF(AND((WEEKDAY($A250)+$B$2)&gt;1,((WEEKDAY($A250)+$T$2)&lt;7),(WEEKDAY($A250)&lt;&gt;1)),"work",(INDEX(Subject!$A:$I,MATCH(RANDBETWEEN(1,(MAX(Subject!$B:$B))),Subject!$B:$B,0),3))))</f>
        <v/>
      </c>
      <c r="I250" s="2" t="str">
        <f t="array" ref="I250">IF(NOW()&gt;AT250,"",IF(AND((WEEKDAY($A250)+$B$2)&gt;1,((WEEKDAY($A250)+$T$2)&lt;7),(WEEKDAY($A250)&lt;&gt;1)),"work",(INDEX(Subject!$A:$I,MATCH(RANDBETWEEN(1,(MAX(Subject!$B:$B))),Subject!$B:$B,0),3))))</f>
        <v/>
      </c>
      <c r="J250" s="2" t="str">
        <f t="array" ref="J250">IF(NOW()&gt;AU250,"",IF(AND((WEEKDAY($A250)+$B$2)&gt;1,((WEEKDAY($A250)+$T$2)&lt;7),(WEEKDAY($A250)&lt;&gt;1)),"work",(INDEX(Subject!$A:$I,MATCH(RANDBETWEEN(1,(MAX(Subject!$B:$B))),Subject!$B:$B,0),3))))</f>
        <v/>
      </c>
      <c r="K250" s="2" t="str">
        <f t="array" ref="K250">IF(NOW()&gt;AV250,"",IF(AND((WEEKDAY($A250)+$B$2)&gt;1,((WEEKDAY($A250)+$T$2)&lt;7),(WEEKDAY($A250)&lt;&gt;1)),"work",(INDEX(Subject!$A:$I,MATCH(RANDBETWEEN(1,(MAX(Subject!$B:$B))),Subject!$B:$B,0),3))))</f>
        <v/>
      </c>
      <c r="L250" s="2" t="str">
        <f t="array" ref="L250">IF(NOW()&gt;AW250,"",IF(AND((WEEKDAY($A250)+$B$2)&gt;1,((WEEKDAY($A250)+$T$2)&lt;7),(WEEKDAY($A250)&lt;&gt;1)),"work",(INDEX(Subject!$A:$I,MATCH(RANDBETWEEN(1,(MAX(Subject!$B:$B))),Subject!$B:$B,0),3))))</f>
        <v/>
      </c>
      <c r="M250" s="2" t="str">
        <f t="array" ref="M250">IF(NOW()&gt;AX250,"",IF(AND((WEEKDAY($A250)+$B$2)&gt;1,((WEEKDAY($A250)+$T$2)&lt;7),(WEEKDAY($A250)&lt;&gt;1)),"work",(INDEX(Subject!$A:$I,MATCH(RANDBETWEEN(1,(MAX(Subject!$B:$B))),Subject!$B:$B,0),3))))</f>
        <v/>
      </c>
      <c r="N250" s="2" t="str">
        <f t="array" ref="N250">IF(NOW()&gt;AY250,"",IF(AND((WEEKDAY($A250)+$B$2)&gt;1,((WEEKDAY($A250)+$T$2)&lt;7),(WEEKDAY($A250)&lt;&gt;1)),"work",(INDEX(Subject!$A:$I,MATCH(RANDBETWEEN(1,(MAX(Subject!$B:$B))),Subject!$B:$B,0),3))))</f>
        <v/>
      </c>
      <c r="O250" s="2" t="str">
        <f t="array" ref="O250">IF(NOW()&gt;AZ250,"",IF(AND((WEEKDAY($A250)+$B$2)&gt;1,((WEEKDAY($A250)+$T$2)&lt;7),(WEEKDAY($A250)&lt;&gt;1)),"work",(INDEX(Subject!$A:$I,MATCH(RANDBETWEEN(1,(MAX(Subject!$B:$B))),Subject!$B:$B,0),3))))</f>
        <v/>
      </c>
      <c r="P250" s="2" t="str">
        <f t="array" ref="P250">IF(NOW()&gt;BA250,"",IF(AND((WEEKDAY($A250)+$B$2)&gt;1,((WEEKDAY($A250)+$T$2)&lt;7),(WEEKDAY($A250)&lt;&gt;1)),"work",(INDEX(Subject!$A:$I,MATCH(RANDBETWEEN(1,(MAX(Subject!$B:$B))),Subject!$B:$B,0),3))))</f>
        <v/>
      </c>
      <c r="Q250" s="2" t="str">
        <f t="array" ref="Q250">IF(NOW()&gt;BB250,"",IF(AND((WEEKDAY($A250)+$B$2)&gt;1,((WEEKDAY($A250)+$T$2)&lt;7),(WEEKDAY($A250)&lt;&gt;1)),"work",(INDEX(Subject!$A:$I,MATCH(RANDBETWEEN(1,(MAX(Subject!$B:$B))),Subject!$B:$B,0),3))))</f>
        <v/>
      </c>
      <c r="R250" s="2" t="str">
        <f t="array" ref="R250">IF(NOW()&gt;BC250,"",IF(AND((WEEKDAY($A250)+$B$2)&gt;1,((WEEKDAY($A250)+$T$2)&lt;7),(WEEKDAY($A250)&lt;&gt;1)),"work",(INDEX(Subject!$A:$I,MATCH(RANDBETWEEN(1,(MAX(Subject!$B:$B))),Subject!$B:$B,0),3))))</f>
        <v/>
      </c>
      <c r="S250" s="2" t="str">
        <f t="array" ref="S250">IF(NOW()&gt;BD250,"",IF(AND((WEEKDAY($A250)+$B$2)&gt;1,((WEEKDAY($A250)+$T$2)&lt;7),(WEEKDAY($A250)&lt;&gt;1)),"work",(INDEX(Subject!$A:$I,MATCH(RANDBETWEEN(1,(MAX(Subject!$B:$B))),Subject!$B:$B,0),3))))</f>
        <v/>
      </c>
      <c r="T250" s="2" t="str">
        <f t="array" ref="T250">IF(NOW()&gt;BE250,"",IF(AND((WEEKDAY($A250)+$B$2)&gt;1,((WEEKDAY($A250)+$T$2)&lt;7),(WEEKDAY($A250)&lt;&gt;1)),"work",(INDEX(Subject!$A:$I,MATCH(RANDBETWEEN(1,(MAX(Subject!$B:$B))),Subject!$B:$B,0),3))))</f>
        <v/>
      </c>
      <c r="U250" s="8" t="str">
        <f t="array" ref="U250">INDEX(Subject!$A:$I,MATCH(RANDBETWEEN(1,16),Subject!$B:$B,0),3)</f>
        <v>#N/A</v>
      </c>
      <c r="V250" s="8" t="str">
        <f t="array" ref="V250">INDEX(Subject!$A:$I,MATCH(RANDBETWEEN(1,16),Subject!$B:$B,0),3)</f>
        <v>#N/A</v>
      </c>
      <c r="W250" s="8" t="str">
        <f t="array" ref="W250">INDEX(Subject!$A:$I,MATCH(RANDBETWEEN(1,16),Subject!$B:$B,0),3)</f>
        <v>#N/A</v>
      </c>
      <c r="X250" s="8" t="str">
        <f t="array" ref="X250">INDEX(Subject!$A:$I,MATCH(RANDBETWEEN(1,16),Subject!$B:$B,0),3)</f>
        <v>#N/A</v>
      </c>
      <c r="Y250" s="8" t="str">
        <f t="array" ref="Y250">INDEX(Subject!$A:$I,MATCH(RANDBETWEEN(1,16),Subject!$B:$B,0),3)</f>
        <v>#N/A</v>
      </c>
      <c r="Z250" s="8" t="str">
        <f t="array" ref="Z250">INDEX(Subject!$A:$I,MATCH(RANDBETWEEN(1,16),Subject!$B:$B,0),3)</f>
        <v>#N/A</v>
      </c>
      <c r="AA250" s="8" t="str">
        <f t="array" ref="AA250">INDEX(Subject!$A:$I,MATCH(RANDBETWEEN(1,16),Subject!$B:$B,0),3)</f>
        <v>#N/A</v>
      </c>
      <c r="AB250" s="8" t="str">
        <f t="array" ref="AB250">INDEX(Subject!$A:$I,MATCH(RANDBETWEEN(1,16),Subject!$B:$B,0),3)</f>
        <v>#N/A</v>
      </c>
      <c r="AC250" s="8" t="str">
        <f t="array" ref="AC250">INDEX(Subject!$A:$I,MATCH(RANDBETWEEN(1,16),Subject!$B:$B,0),3)</f>
        <v>#N/A</v>
      </c>
      <c r="AD250" s="8" t="str">
        <f t="array" ref="AD250">INDEX(Subject!$A:$I,MATCH(RANDBETWEEN(1,16),Subject!$B:$B,0),3)</f>
        <v>#N/A</v>
      </c>
      <c r="AE250" s="8" t="str">
        <f t="array" ref="AE250">INDEX(Subject!$A:$I,MATCH(RANDBETWEEN(1,16),Subject!$B:$B,0),3)</f>
        <v>#N/A</v>
      </c>
      <c r="AF250" s="8" t="str">
        <f t="array" ref="AF250">INDEX(Subject!$A:$I,MATCH(RANDBETWEEN(1,16),Subject!$B:$B,0),3)</f>
        <v>#N/A</v>
      </c>
      <c r="AG250" s="8" t="str">
        <f t="array" ref="AG250">INDEX(Subject!$A:$I,MATCH(RANDBETWEEN(1,16),Subject!$B:$B,0),3)</f>
        <v>#N/A</v>
      </c>
      <c r="AH250" s="8" t="str">
        <f t="array" ref="AH250">INDEX(Subject!$A:$I,MATCH(RANDBETWEEN(1,16),Subject!$B:$B,0),3)</f>
        <v>#N/A</v>
      </c>
      <c r="AI250" s="8" t="str">
        <f t="array" ref="AI250">INDEX(Subject!$A:$I,MATCH(RANDBETWEEN(1,16),Subject!$B:$B,0),3)</f>
        <v>#N/A</v>
      </c>
      <c r="AJ250" s="8" t="str">
        <f t="array" ref="AJ250">INDEX(Subject!$A:$I,MATCH(RANDBETWEEN(1,16),Subject!$B:$B,0),3)</f>
        <v>#N/A</v>
      </c>
      <c r="AK250" s="8" t="str">
        <f t="array" ref="AK250">INDEX(Subject!$A:$I,MATCH(RANDBETWEEN(1,16),Subject!$B:$B,0),3)</f>
        <v>#N/A</v>
      </c>
      <c r="AL250" s="8" t="str">
        <f t="array" ref="AL250">INDEX(Subject!$A:$I,MATCH(RANDBETWEEN(1,16),Subject!$B:$B,0),3)</f>
        <v>#N/A</v>
      </c>
      <c r="AM250" s="18">
        <f t="shared" si="4"/>
        <v>45750.33333</v>
      </c>
      <c r="AN250" s="19">
        <f t="shared" ref="AN250:BZ250" si="250">$A250+C$1</f>
        <v>45750.35417</v>
      </c>
      <c r="AO250" s="19">
        <f t="shared" si="250"/>
        <v>45750.375</v>
      </c>
      <c r="AP250" s="19">
        <f t="shared" si="250"/>
        <v>45750.39583</v>
      </c>
      <c r="AQ250" s="19">
        <f t="shared" si="250"/>
        <v>45750.41667</v>
      </c>
      <c r="AR250" s="19">
        <f t="shared" si="250"/>
        <v>45750.4375</v>
      </c>
      <c r="AS250" s="19">
        <f t="shared" si="250"/>
        <v>45750.45833</v>
      </c>
      <c r="AT250" s="19">
        <f t="shared" si="250"/>
        <v>45750.47917</v>
      </c>
      <c r="AU250" s="19">
        <f t="shared" si="250"/>
        <v>45750.5</v>
      </c>
      <c r="AV250" s="19">
        <f t="shared" si="250"/>
        <v>45750.52083</v>
      </c>
      <c r="AW250" s="19">
        <f t="shared" si="250"/>
        <v>45750.54167</v>
      </c>
      <c r="AX250" s="19">
        <f t="shared" si="250"/>
        <v>45750.5625</v>
      </c>
      <c r="AY250" s="19">
        <f t="shared" si="250"/>
        <v>45750.58333</v>
      </c>
      <c r="AZ250" s="19">
        <f t="shared" si="250"/>
        <v>45750.60417</v>
      </c>
      <c r="BA250" s="19">
        <f t="shared" si="250"/>
        <v>45750.625</v>
      </c>
      <c r="BB250" s="19">
        <f t="shared" si="250"/>
        <v>45750.64583</v>
      </c>
      <c r="BC250" s="19">
        <f t="shared" si="250"/>
        <v>45750.66667</v>
      </c>
      <c r="BD250" s="19">
        <f t="shared" si="250"/>
        <v>45750.6875</v>
      </c>
      <c r="BE250" s="19">
        <f t="shared" si="250"/>
        <v>45750.70833</v>
      </c>
      <c r="BF250" s="19">
        <f t="shared" si="250"/>
        <v>45750.72917</v>
      </c>
      <c r="BG250" s="19">
        <f t="shared" si="250"/>
        <v>45750.75</v>
      </c>
      <c r="BH250" s="19">
        <f t="shared" si="250"/>
        <v>45750.77083</v>
      </c>
      <c r="BI250" s="19">
        <f t="shared" si="250"/>
        <v>45750.79167</v>
      </c>
      <c r="BJ250" s="19">
        <f t="shared" si="250"/>
        <v>45750.8125</v>
      </c>
      <c r="BK250" s="19">
        <f t="shared" si="250"/>
        <v>45750.83333</v>
      </c>
      <c r="BL250" s="19">
        <f t="shared" si="250"/>
        <v>45750.85417</v>
      </c>
      <c r="BM250" s="19">
        <f t="shared" si="250"/>
        <v>45750.875</v>
      </c>
      <c r="BN250" s="19">
        <f t="shared" si="250"/>
        <v>45750.89583</v>
      </c>
      <c r="BO250" s="19">
        <f t="shared" si="250"/>
        <v>45750.91667</v>
      </c>
      <c r="BP250" s="19">
        <f t="shared" si="250"/>
        <v>45750.9375</v>
      </c>
      <c r="BQ250" s="19">
        <f t="shared" si="250"/>
        <v>45750.95833</v>
      </c>
      <c r="BR250" s="19">
        <f t="shared" si="250"/>
        <v>45750.97917</v>
      </c>
      <c r="BS250" s="19">
        <f t="shared" si="250"/>
        <v>45751</v>
      </c>
      <c r="BT250" s="19">
        <f t="shared" si="250"/>
        <v>45751.02083</v>
      </c>
      <c r="BU250" s="19">
        <f t="shared" si="250"/>
        <v>45751.04167</v>
      </c>
      <c r="BV250" s="19">
        <f t="shared" si="250"/>
        <v>45751.0625</v>
      </c>
      <c r="BW250" s="19">
        <f t="shared" si="250"/>
        <v>45751.08333</v>
      </c>
      <c r="BX250" s="19">
        <f t="shared" si="250"/>
        <v>45750</v>
      </c>
      <c r="BY250" s="19">
        <f t="shared" si="250"/>
        <v>45750</v>
      </c>
      <c r="BZ250" s="19">
        <f t="shared" si="250"/>
        <v>45750</v>
      </c>
    </row>
    <row r="251" ht="14.25" customHeight="1">
      <c r="A251" s="17">
        <v>45751.0</v>
      </c>
      <c r="B251" s="2" t="str">
        <f t="array" ref="B251">IF(NOW()&gt;AM251,"",IF(AND((WEEKDAY($A251)+$B$2)&gt;1,((WEEKDAY($A251)+$T$2)&lt;7),(WEEKDAY($A251)&lt;&gt;1)),"work",(INDEX(Subject!$A:$I,MATCH(RANDBETWEEN(1,(MAX(Subject!$B:$B))),Subject!$B:$B,0),3))))</f>
        <v/>
      </c>
      <c r="C251" s="2" t="str">
        <f t="array" ref="C251">IF(NOW()&gt;AN251,"",IF(AND((WEEKDAY($A251)+$B$2)&gt;1,((WEEKDAY($A251)+$T$2)&lt;7),(WEEKDAY($A251)&lt;&gt;1)),"work",(INDEX(Subject!$A:$I,MATCH(RANDBETWEEN(1,(MAX(Subject!$B:$B))),Subject!$B:$B,0),3))))</f>
        <v/>
      </c>
      <c r="D251" s="2" t="str">
        <f t="array" ref="D251">IF(NOW()&gt;AO251,"",IF(AND((WEEKDAY($A251)+$B$2)&gt;1,((WEEKDAY($A251)+$T$2)&lt;7),(WEEKDAY($A251)&lt;&gt;1)),"work",(INDEX(Subject!$A:$I,MATCH(RANDBETWEEN(1,(MAX(Subject!$B:$B))),Subject!$B:$B,0),3))))</f>
        <v/>
      </c>
      <c r="E251" s="2" t="str">
        <f t="array" ref="E251">IF(NOW()&gt;AP251,"",IF(AND((WEEKDAY($A251)+$B$2)&gt;1,((WEEKDAY($A251)+$T$2)&lt;7),(WEEKDAY($A251)&lt;&gt;1)),"work",(INDEX(Subject!$A:$I,MATCH(RANDBETWEEN(1,(MAX(Subject!$B:$B))),Subject!$B:$B,0),3))))</f>
        <v/>
      </c>
      <c r="F251" s="2" t="str">
        <f t="array" ref="F251">IF(NOW()&gt;AQ251,"",IF(AND((WEEKDAY($A251)+$B$2)&gt;1,((WEEKDAY($A251)+$T$2)&lt;7),(WEEKDAY($A251)&lt;&gt;1)),"work",(INDEX(Subject!$A:$I,MATCH(RANDBETWEEN(1,(MAX(Subject!$B:$B))),Subject!$B:$B,0),3))))</f>
        <v/>
      </c>
      <c r="G251" s="2" t="str">
        <f t="array" ref="G251">IF(NOW()&gt;AR251,"",IF(AND((WEEKDAY($A251)+$B$2)&gt;1,((WEEKDAY($A251)+$T$2)&lt;7),(WEEKDAY($A251)&lt;&gt;1)),"work",(INDEX(Subject!$A:$I,MATCH(RANDBETWEEN(1,(MAX(Subject!$B:$B))),Subject!$B:$B,0),3))))</f>
        <v/>
      </c>
      <c r="H251" s="2" t="str">
        <f t="array" ref="H251">IF(NOW()&gt;AS251,"",IF(AND((WEEKDAY($A251)+$B$2)&gt;1,((WEEKDAY($A251)+$T$2)&lt;7),(WEEKDAY($A251)&lt;&gt;1)),"work",(INDEX(Subject!$A:$I,MATCH(RANDBETWEEN(1,(MAX(Subject!$B:$B))),Subject!$B:$B,0),3))))</f>
        <v/>
      </c>
      <c r="I251" s="2" t="str">
        <f t="array" ref="I251">IF(NOW()&gt;AT251,"",IF(AND((WEEKDAY($A251)+$B$2)&gt;1,((WEEKDAY($A251)+$T$2)&lt;7),(WEEKDAY($A251)&lt;&gt;1)),"work",(INDEX(Subject!$A:$I,MATCH(RANDBETWEEN(1,(MAX(Subject!$B:$B))),Subject!$B:$B,0),3))))</f>
        <v/>
      </c>
      <c r="J251" s="2" t="str">
        <f t="array" ref="J251">IF(NOW()&gt;AU251,"",IF(AND((WEEKDAY($A251)+$B$2)&gt;1,((WEEKDAY($A251)+$T$2)&lt;7),(WEEKDAY($A251)&lt;&gt;1)),"work",(INDEX(Subject!$A:$I,MATCH(RANDBETWEEN(1,(MAX(Subject!$B:$B))),Subject!$B:$B,0),3))))</f>
        <v/>
      </c>
      <c r="K251" s="2" t="str">
        <f t="array" ref="K251">IF(NOW()&gt;AV251,"",IF(AND((WEEKDAY($A251)+$B$2)&gt;1,((WEEKDAY($A251)+$T$2)&lt;7),(WEEKDAY($A251)&lt;&gt;1)),"work",(INDEX(Subject!$A:$I,MATCH(RANDBETWEEN(1,(MAX(Subject!$B:$B))),Subject!$B:$B,0),3))))</f>
        <v/>
      </c>
      <c r="L251" s="2" t="str">
        <f t="array" ref="L251">IF(NOW()&gt;AW251,"",IF(AND((WEEKDAY($A251)+$B$2)&gt;1,((WEEKDAY($A251)+$T$2)&lt;7),(WEEKDAY($A251)&lt;&gt;1)),"work",(INDEX(Subject!$A:$I,MATCH(RANDBETWEEN(1,(MAX(Subject!$B:$B))),Subject!$B:$B,0),3))))</f>
        <v/>
      </c>
      <c r="M251" s="2" t="str">
        <f t="array" ref="M251">IF(NOW()&gt;AX251,"",IF(AND((WEEKDAY($A251)+$B$2)&gt;1,((WEEKDAY($A251)+$T$2)&lt;7),(WEEKDAY($A251)&lt;&gt;1)),"work",(INDEX(Subject!$A:$I,MATCH(RANDBETWEEN(1,(MAX(Subject!$B:$B))),Subject!$B:$B,0),3))))</f>
        <v/>
      </c>
      <c r="N251" s="2" t="str">
        <f t="array" ref="N251">IF(NOW()&gt;AY251,"",IF(AND((WEEKDAY($A251)+$B$2)&gt;1,((WEEKDAY($A251)+$T$2)&lt;7),(WEEKDAY($A251)&lt;&gt;1)),"work",(INDEX(Subject!$A:$I,MATCH(RANDBETWEEN(1,(MAX(Subject!$B:$B))),Subject!$B:$B,0),3))))</f>
        <v/>
      </c>
      <c r="O251" s="2" t="str">
        <f t="array" ref="O251">IF(NOW()&gt;AZ251,"",IF(AND((WEEKDAY($A251)+$B$2)&gt;1,((WEEKDAY($A251)+$T$2)&lt;7),(WEEKDAY($A251)&lt;&gt;1)),"work",(INDEX(Subject!$A:$I,MATCH(RANDBETWEEN(1,(MAX(Subject!$B:$B))),Subject!$B:$B,0),3))))</f>
        <v/>
      </c>
      <c r="P251" s="2" t="str">
        <f t="array" ref="P251">IF(NOW()&gt;BA251,"",IF(AND((WEEKDAY($A251)+$B$2)&gt;1,((WEEKDAY($A251)+$T$2)&lt;7),(WEEKDAY($A251)&lt;&gt;1)),"work",(INDEX(Subject!$A:$I,MATCH(RANDBETWEEN(1,(MAX(Subject!$B:$B))),Subject!$B:$B,0),3))))</f>
        <v/>
      </c>
      <c r="Q251" s="2" t="str">
        <f t="array" ref="Q251">IF(NOW()&gt;BB251,"",IF(AND((WEEKDAY($A251)+$B$2)&gt;1,((WEEKDAY($A251)+$T$2)&lt;7),(WEEKDAY($A251)&lt;&gt;1)),"work",(INDEX(Subject!$A:$I,MATCH(RANDBETWEEN(1,(MAX(Subject!$B:$B))),Subject!$B:$B,0),3))))</f>
        <v/>
      </c>
      <c r="R251" s="2" t="str">
        <f t="array" ref="R251">IF(NOW()&gt;BC251,"",IF(AND((WEEKDAY($A251)+$B$2)&gt;1,((WEEKDAY($A251)+$T$2)&lt;7),(WEEKDAY($A251)&lt;&gt;1)),"work",(INDEX(Subject!$A:$I,MATCH(RANDBETWEEN(1,(MAX(Subject!$B:$B))),Subject!$B:$B,0),3))))</f>
        <v/>
      </c>
      <c r="S251" s="2" t="str">
        <f t="array" ref="S251">IF(NOW()&gt;BD251,"",IF(AND((WEEKDAY($A251)+$B$2)&gt;1,((WEEKDAY($A251)+$T$2)&lt;7),(WEEKDAY($A251)&lt;&gt;1)),"work",(INDEX(Subject!$A:$I,MATCH(RANDBETWEEN(1,(MAX(Subject!$B:$B))),Subject!$B:$B,0),3))))</f>
        <v/>
      </c>
      <c r="T251" s="2" t="str">
        <f t="array" ref="T251">IF(NOW()&gt;BE251,"",IF(AND((WEEKDAY($A251)+$B$2)&gt;1,((WEEKDAY($A251)+$T$2)&lt;7),(WEEKDAY($A251)&lt;&gt;1)),"work",(INDEX(Subject!$A:$I,MATCH(RANDBETWEEN(1,(MAX(Subject!$B:$B))),Subject!$B:$B,0),3))))</f>
        <v/>
      </c>
      <c r="U251" s="8" t="str">
        <f t="array" ref="U251">INDEX(Subject!$A:$I,MATCH(RANDBETWEEN(1,16),Subject!$B:$B,0),3)</f>
        <v>#N/A</v>
      </c>
      <c r="V251" s="8" t="str">
        <f t="array" ref="V251">INDEX(Subject!$A:$I,MATCH(RANDBETWEEN(1,16),Subject!$B:$B,0),3)</f>
        <v>#N/A</v>
      </c>
      <c r="W251" s="8" t="str">
        <f t="array" ref="W251">INDEX(Subject!$A:$I,MATCH(RANDBETWEEN(1,16),Subject!$B:$B,0),3)</f>
        <v>#N/A</v>
      </c>
      <c r="X251" s="8" t="str">
        <f t="array" ref="X251">INDEX(Subject!$A:$I,MATCH(RANDBETWEEN(1,16),Subject!$B:$B,0),3)</f>
        <v>#N/A</v>
      </c>
      <c r="Y251" s="8" t="str">
        <f t="array" ref="Y251">INDEX(Subject!$A:$I,MATCH(RANDBETWEEN(1,16),Subject!$B:$B,0),3)</f>
        <v/>
      </c>
      <c r="Z251" s="8" t="str">
        <f t="array" ref="Z251">INDEX(Subject!$A:$I,MATCH(RANDBETWEEN(1,16),Subject!$B:$B,0),3)</f>
        <v>#N/A</v>
      </c>
      <c r="AA251" s="8" t="str">
        <f t="array" ref="AA251">INDEX(Subject!$A:$I,MATCH(RANDBETWEEN(1,16),Subject!$B:$B,0),3)</f>
        <v>#N/A</v>
      </c>
      <c r="AB251" s="8" t="str">
        <f t="array" ref="AB251">INDEX(Subject!$A:$I,MATCH(RANDBETWEEN(1,16),Subject!$B:$B,0),3)</f>
        <v>#N/A</v>
      </c>
      <c r="AC251" s="8" t="str">
        <f t="array" ref="AC251">INDEX(Subject!$A:$I,MATCH(RANDBETWEEN(1,16),Subject!$B:$B,0),3)</f>
        <v>#N/A</v>
      </c>
      <c r="AD251" s="8" t="str">
        <f t="array" ref="AD251">INDEX(Subject!$A:$I,MATCH(RANDBETWEEN(1,16),Subject!$B:$B,0),3)</f>
        <v>#N/A</v>
      </c>
      <c r="AE251" s="8" t="str">
        <f t="array" ref="AE251">INDEX(Subject!$A:$I,MATCH(RANDBETWEEN(1,16),Subject!$B:$B,0),3)</f>
        <v>#N/A</v>
      </c>
      <c r="AF251" s="8" t="str">
        <f t="array" ref="AF251">INDEX(Subject!$A:$I,MATCH(RANDBETWEEN(1,16),Subject!$B:$B,0),3)</f>
        <v>#N/A</v>
      </c>
      <c r="AG251" s="8" t="str">
        <f t="array" ref="AG251">INDEX(Subject!$A:$I,MATCH(RANDBETWEEN(1,16),Subject!$B:$B,0),3)</f>
        <v>#N/A</v>
      </c>
      <c r="AH251" s="8" t="str">
        <f t="array" ref="AH251">INDEX(Subject!$A:$I,MATCH(RANDBETWEEN(1,16),Subject!$B:$B,0),3)</f>
        <v>#N/A</v>
      </c>
      <c r="AI251" s="8" t="str">
        <f t="array" ref="AI251">INDEX(Subject!$A:$I,MATCH(RANDBETWEEN(1,16),Subject!$B:$B,0),3)</f>
        <v>#N/A</v>
      </c>
      <c r="AJ251" s="8" t="str">
        <f t="array" ref="AJ251">INDEX(Subject!$A:$I,MATCH(RANDBETWEEN(1,16),Subject!$B:$B,0),3)</f>
        <v>#N/A</v>
      </c>
      <c r="AK251" s="8" t="str">
        <f t="array" ref="AK251">INDEX(Subject!$A:$I,MATCH(RANDBETWEEN(1,16),Subject!$B:$B,0),3)</f>
        <v>#N/A</v>
      </c>
      <c r="AL251" s="8" t="str">
        <f t="array" ref="AL251">INDEX(Subject!$A:$I,MATCH(RANDBETWEEN(1,16),Subject!$B:$B,0),3)</f>
        <v>#N/A</v>
      </c>
      <c r="AM251" s="18">
        <f t="shared" si="4"/>
        <v>45751.33333</v>
      </c>
      <c r="AN251" s="19">
        <f t="shared" ref="AN251:BZ251" si="251">$A251+C$1</f>
        <v>45751.35417</v>
      </c>
      <c r="AO251" s="19">
        <f t="shared" si="251"/>
        <v>45751.375</v>
      </c>
      <c r="AP251" s="19">
        <f t="shared" si="251"/>
        <v>45751.39583</v>
      </c>
      <c r="AQ251" s="19">
        <f t="shared" si="251"/>
        <v>45751.41667</v>
      </c>
      <c r="AR251" s="19">
        <f t="shared" si="251"/>
        <v>45751.4375</v>
      </c>
      <c r="AS251" s="19">
        <f t="shared" si="251"/>
        <v>45751.45833</v>
      </c>
      <c r="AT251" s="19">
        <f t="shared" si="251"/>
        <v>45751.47917</v>
      </c>
      <c r="AU251" s="19">
        <f t="shared" si="251"/>
        <v>45751.5</v>
      </c>
      <c r="AV251" s="19">
        <f t="shared" si="251"/>
        <v>45751.52083</v>
      </c>
      <c r="AW251" s="19">
        <f t="shared" si="251"/>
        <v>45751.54167</v>
      </c>
      <c r="AX251" s="19">
        <f t="shared" si="251"/>
        <v>45751.5625</v>
      </c>
      <c r="AY251" s="19">
        <f t="shared" si="251"/>
        <v>45751.58333</v>
      </c>
      <c r="AZ251" s="19">
        <f t="shared" si="251"/>
        <v>45751.60417</v>
      </c>
      <c r="BA251" s="19">
        <f t="shared" si="251"/>
        <v>45751.625</v>
      </c>
      <c r="BB251" s="19">
        <f t="shared" si="251"/>
        <v>45751.64583</v>
      </c>
      <c r="BC251" s="19">
        <f t="shared" si="251"/>
        <v>45751.66667</v>
      </c>
      <c r="BD251" s="19">
        <f t="shared" si="251"/>
        <v>45751.6875</v>
      </c>
      <c r="BE251" s="19">
        <f t="shared" si="251"/>
        <v>45751.70833</v>
      </c>
      <c r="BF251" s="19">
        <f t="shared" si="251"/>
        <v>45751.72917</v>
      </c>
      <c r="BG251" s="19">
        <f t="shared" si="251"/>
        <v>45751.75</v>
      </c>
      <c r="BH251" s="19">
        <f t="shared" si="251"/>
        <v>45751.77083</v>
      </c>
      <c r="BI251" s="19">
        <f t="shared" si="251"/>
        <v>45751.79167</v>
      </c>
      <c r="BJ251" s="19">
        <f t="shared" si="251"/>
        <v>45751.8125</v>
      </c>
      <c r="BK251" s="19">
        <f t="shared" si="251"/>
        <v>45751.83333</v>
      </c>
      <c r="BL251" s="19">
        <f t="shared" si="251"/>
        <v>45751.85417</v>
      </c>
      <c r="BM251" s="19">
        <f t="shared" si="251"/>
        <v>45751.875</v>
      </c>
      <c r="BN251" s="19">
        <f t="shared" si="251"/>
        <v>45751.89583</v>
      </c>
      <c r="BO251" s="19">
        <f t="shared" si="251"/>
        <v>45751.91667</v>
      </c>
      <c r="BP251" s="19">
        <f t="shared" si="251"/>
        <v>45751.9375</v>
      </c>
      <c r="BQ251" s="19">
        <f t="shared" si="251"/>
        <v>45751.95833</v>
      </c>
      <c r="BR251" s="19">
        <f t="shared" si="251"/>
        <v>45751.97917</v>
      </c>
      <c r="BS251" s="19">
        <f t="shared" si="251"/>
        <v>45752</v>
      </c>
      <c r="BT251" s="19">
        <f t="shared" si="251"/>
        <v>45752.02083</v>
      </c>
      <c r="BU251" s="19">
        <f t="shared" si="251"/>
        <v>45752.04167</v>
      </c>
      <c r="BV251" s="19">
        <f t="shared" si="251"/>
        <v>45752.0625</v>
      </c>
      <c r="BW251" s="19">
        <f t="shared" si="251"/>
        <v>45752.08333</v>
      </c>
      <c r="BX251" s="19">
        <f t="shared" si="251"/>
        <v>45751</v>
      </c>
      <c r="BY251" s="19">
        <f t="shared" si="251"/>
        <v>45751</v>
      </c>
      <c r="BZ251" s="19">
        <f t="shared" si="251"/>
        <v>45751</v>
      </c>
    </row>
    <row r="252" ht="14.25" customHeight="1">
      <c r="A252" s="17">
        <v>45752.0</v>
      </c>
      <c r="B252" s="2" t="str">
        <f t="array" ref="B252">IF(NOW()&gt;AM252,"",IF(AND((WEEKDAY($A252)+$B$2)&gt;1,((WEEKDAY($A252)+$T$2)&lt;7),(WEEKDAY($A252)&lt;&gt;1)),"work",(INDEX(Subject!$A:$I,MATCH(RANDBETWEEN(1,(MAX(Subject!$B:$B))),Subject!$B:$B,0),3))))</f>
        <v/>
      </c>
      <c r="C252" s="2" t="str">
        <f t="array" ref="C252">IF(NOW()&gt;AN252,"",IF(AND((WEEKDAY($A252)+$B$2)&gt;1,((WEEKDAY($A252)+$T$2)&lt;7),(WEEKDAY($A252)&lt;&gt;1)),"work",(INDEX(Subject!$A:$I,MATCH(RANDBETWEEN(1,(MAX(Subject!$B:$B))),Subject!$B:$B,0),3))))</f>
        <v/>
      </c>
      <c r="D252" s="2" t="str">
        <f t="array" ref="D252">IF(NOW()&gt;AO252,"",IF(AND((WEEKDAY($A252)+$B$2)&gt;1,((WEEKDAY($A252)+$T$2)&lt;7),(WEEKDAY($A252)&lt;&gt;1)),"work",(INDEX(Subject!$A:$I,MATCH(RANDBETWEEN(1,(MAX(Subject!$B:$B))),Subject!$B:$B,0),3))))</f>
        <v/>
      </c>
      <c r="E252" s="2" t="str">
        <f t="array" ref="E252">IF(NOW()&gt;AP252,"",IF(AND((WEEKDAY($A252)+$B$2)&gt;1,((WEEKDAY($A252)+$T$2)&lt;7),(WEEKDAY($A252)&lt;&gt;1)),"work",(INDEX(Subject!$A:$I,MATCH(RANDBETWEEN(1,(MAX(Subject!$B:$B))),Subject!$B:$B,0),3))))</f>
        <v/>
      </c>
      <c r="F252" s="2" t="str">
        <f t="array" ref="F252">IF(NOW()&gt;AQ252,"",IF(AND((WEEKDAY($A252)+$B$2)&gt;1,((WEEKDAY($A252)+$T$2)&lt;7),(WEEKDAY($A252)&lt;&gt;1)),"work",(INDEX(Subject!$A:$I,MATCH(RANDBETWEEN(1,(MAX(Subject!$B:$B))),Subject!$B:$B,0),3))))</f>
        <v/>
      </c>
      <c r="G252" s="2" t="str">
        <f t="array" ref="G252">IF(NOW()&gt;AR252,"",IF(AND((WEEKDAY($A252)+$B$2)&gt;1,((WEEKDAY($A252)+$T$2)&lt;7),(WEEKDAY($A252)&lt;&gt;1)),"work",(INDEX(Subject!$A:$I,MATCH(RANDBETWEEN(1,(MAX(Subject!$B:$B))),Subject!$B:$B,0),3))))</f>
        <v/>
      </c>
      <c r="H252" s="2" t="str">
        <f t="array" ref="H252">IF(NOW()&gt;AS252,"",IF(AND((WEEKDAY($A252)+$B$2)&gt;1,((WEEKDAY($A252)+$T$2)&lt;7),(WEEKDAY($A252)&lt;&gt;1)),"work",(INDEX(Subject!$A:$I,MATCH(RANDBETWEEN(1,(MAX(Subject!$B:$B))),Subject!$B:$B,0),3))))</f>
        <v/>
      </c>
      <c r="I252" s="2" t="str">
        <f t="array" ref="I252">IF(NOW()&gt;AT252,"",IF(AND((WEEKDAY($A252)+$B$2)&gt;1,((WEEKDAY($A252)+$T$2)&lt;7),(WEEKDAY($A252)&lt;&gt;1)),"work",(INDEX(Subject!$A:$I,MATCH(RANDBETWEEN(1,(MAX(Subject!$B:$B))),Subject!$B:$B,0),3))))</f>
        <v/>
      </c>
      <c r="J252" s="2" t="str">
        <f t="array" ref="J252">IF(NOW()&gt;AU252,"",IF(AND((WEEKDAY($A252)+$B$2)&gt;1,((WEEKDAY($A252)+$T$2)&lt;7),(WEEKDAY($A252)&lt;&gt;1)),"work",(INDEX(Subject!$A:$I,MATCH(RANDBETWEEN(1,(MAX(Subject!$B:$B))),Subject!$B:$B,0),3))))</f>
        <v/>
      </c>
      <c r="K252" s="2" t="str">
        <f t="array" ref="K252">IF(NOW()&gt;AV252,"",IF(AND((WEEKDAY($A252)+$B$2)&gt;1,((WEEKDAY($A252)+$T$2)&lt;7),(WEEKDAY($A252)&lt;&gt;1)),"work",(INDEX(Subject!$A:$I,MATCH(RANDBETWEEN(1,(MAX(Subject!$B:$B))),Subject!$B:$B,0),3))))</f>
        <v/>
      </c>
      <c r="L252" s="2" t="str">
        <f t="array" ref="L252">IF(NOW()&gt;AW252,"",IF(AND((WEEKDAY($A252)+$B$2)&gt;1,((WEEKDAY($A252)+$T$2)&lt;7),(WEEKDAY($A252)&lt;&gt;1)),"work",(INDEX(Subject!$A:$I,MATCH(RANDBETWEEN(1,(MAX(Subject!$B:$B))),Subject!$B:$B,0),3))))</f>
        <v/>
      </c>
      <c r="M252" s="2" t="str">
        <f t="array" ref="M252">IF(NOW()&gt;AX252,"",IF(AND((WEEKDAY($A252)+$B$2)&gt;1,((WEEKDAY($A252)+$T$2)&lt;7),(WEEKDAY($A252)&lt;&gt;1)),"work",(INDEX(Subject!$A:$I,MATCH(RANDBETWEEN(1,(MAX(Subject!$B:$B))),Subject!$B:$B,0),3))))</f>
        <v/>
      </c>
      <c r="N252" s="2" t="str">
        <f t="array" ref="N252">IF(NOW()&gt;AY252,"",IF(AND((WEEKDAY($A252)+$B$2)&gt;1,((WEEKDAY($A252)+$T$2)&lt;7),(WEEKDAY($A252)&lt;&gt;1)),"work",(INDEX(Subject!$A:$I,MATCH(RANDBETWEEN(1,(MAX(Subject!$B:$B))),Subject!$B:$B,0),3))))</f>
        <v/>
      </c>
      <c r="O252" s="2" t="str">
        <f t="array" ref="O252">IF(NOW()&gt;AZ252,"",IF(AND((WEEKDAY($A252)+$B$2)&gt;1,((WEEKDAY($A252)+$T$2)&lt;7),(WEEKDAY($A252)&lt;&gt;1)),"work",(INDEX(Subject!$A:$I,MATCH(RANDBETWEEN(1,(MAX(Subject!$B:$B))),Subject!$B:$B,0),3))))</f>
        <v/>
      </c>
      <c r="P252" s="2" t="str">
        <f t="array" ref="P252">IF(NOW()&gt;BA252,"",IF(AND((WEEKDAY($A252)+$B$2)&gt;1,((WEEKDAY($A252)+$T$2)&lt;7),(WEEKDAY($A252)&lt;&gt;1)),"work",(INDEX(Subject!$A:$I,MATCH(RANDBETWEEN(1,(MAX(Subject!$B:$B))),Subject!$B:$B,0),3))))</f>
        <v/>
      </c>
      <c r="Q252" s="2" t="str">
        <f t="array" ref="Q252">IF(NOW()&gt;BB252,"",IF(AND((WEEKDAY($A252)+$B$2)&gt;1,((WEEKDAY($A252)+$T$2)&lt;7),(WEEKDAY($A252)&lt;&gt;1)),"work",(INDEX(Subject!$A:$I,MATCH(RANDBETWEEN(1,(MAX(Subject!$B:$B))),Subject!$B:$B,0),3))))</f>
        <v/>
      </c>
      <c r="R252" s="2" t="str">
        <f t="array" ref="R252">IF(NOW()&gt;BC252,"",IF(AND((WEEKDAY($A252)+$B$2)&gt;1,((WEEKDAY($A252)+$T$2)&lt;7),(WEEKDAY($A252)&lt;&gt;1)),"work",(INDEX(Subject!$A:$I,MATCH(RANDBETWEEN(1,(MAX(Subject!$B:$B))),Subject!$B:$B,0),3))))</f>
        <v/>
      </c>
      <c r="S252" s="2" t="str">
        <f t="array" ref="S252">IF(NOW()&gt;BD252,"",IF(AND((WEEKDAY($A252)+$B$2)&gt;1,((WEEKDAY($A252)+$T$2)&lt;7),(WEEKDAY($A252)&lt;&gt;1)),"work",(INDEX(Subject!$A:$I,MATCH(RANDBETWEEN(1,(MAX(Subject!$B:$B))),Subject!$B:$B,0),3))))</f>
        <v/>
      </c>
      <c r="T252" s="2" t="str">
        <f t="array" ref="T252">IF(NOW()&gt;BE252,"",IF(AND((WEEKDAY($A252)+$B$2)&gt;1,((WEEKDAY($A252)+$T$2)&lt;7),(WEEKDAY($A252)&lt;&gt;1)),"work",(INDEX(Subject!$A:$I,MATCH(RANDBETWEEN(1,(MAX(Subject!$B:$B))),Subject!$B:$B,0),3))))</f>
        <v/>
      </c>
      <c r="U252" s="8" t="str">
        <f t="array" ref="U252">INDEX(Subject!$A:$I,MATCH(RANDBETWEEN(1,16),Subject!$B:$B,0),3)</f>
        <v>#N/A</v>
      </c>
      <c r="V252" s="8" t="str">
        <f t="array" ref="V252">INDEX(Subject!$A:$I,MATCH(RANDBETWEEN(1,16),Subject!$B:$B,0),3)</f>
        <v>#N/A</v>
      </c>
      <c r="W252" s="8" t="str">
        <f t="array" ref="W252">INDEX(Subject!$A:$I,MATCH(RANDBETWEEN(1,16),Subject!$B:$B,0),3)</f>
        <v>#N/A</v>
      </c>
      <c r="X252" s="8" t="str">
        <f t="array" ref="X252">INDEX(Subject!$A:$I,MATCH(RANDBETWEEN(1,16),Subject!$B:$B,0),3)</f>
        <v>#N/A</v>
      </c>
      <c r="Y252" s="8" t="str">
        <f t="array" ref="Y252">INDEX(Subject!$A:$I,MATCH(RANDBETWEEN(1,16),Subject!$B:$B,0),3)</f>
        <v>#N/A</v>
      </c>
      <c r="Z252" s="8" t="str">
        <f t="array" ref="Z252">INDEX(Subject!$A:$I,MATCH(RANDBETWEEN(1,16),Subject!$B:$B,0),3)</f>
        <v/>
      </c>
      <c r="AA252" s="8" t="str">
        <f t="array" ref="AA252">INDEX(Subject!$A:$I,MATCH(RANDBETWEEN(1,16),Subject!$B:$B,0),3)</f>
        <v>#N/A</v>
      </c>
      <c r="AB252" s="8" t="str">
        <f t="array" ref="AB252">INDEX(Subject!$A:$I,MATCH(RANDBETWEEN(1,16),Subject!$B:$B,0),3)</f>
        <v>#N/A</v>
      </c>
      <c r="AC252" s="8" t="str">
        <f t="array" ref="AC252">INDEX(Subject!$A:$I,MATCH(RANDBETWEEN(1,16),Subject!$B:$B,0),3)</f>
        <v>#N/A</v>
      </c>
      <c r="AD252" s="8" t="str">
        <f t="array" ref="AD252">INDEX(Subject!$A:$I,MATCH(RANDBETWEEN(1,16),Subject!$B:$B,0),3)</f>
        <v>#N/A</v>
      </c>
      <c r="AE252" s="8" t="str">
        <f t="array" ref="AE252">INDEX(Subject!$A:$I,MATCH(RANDBETWEEN(1,16),Subject!$B:$B,0),3)</f>
        <v>#N/A</v>
      </c>
      <c r="AF252" s="8" t="str">
        <f t="array" ref="AF252">INDEX(Subject!$A:$I,MATCH(RANDBETWEEN(1,16),Subject!$B:$B,0),3)</f>
        <v>#N/A</v>
      </c>
      <c r="AG252" s="8" t="str">
        <f t="array" ref="AG252">INDEX(Subject!$A:$I,MATCH(RANDBETWEEN(1,16),Subject!$B:$B,0),3)</f>
        <v>#N/A</v>
      </c>
      <c r="AH252" s="8" t="str">
        <f t="array" ref="AH252">INDEX(Subject!$A:$I,MATCH(RANDBETWEEN(1,16),Subject!$B:$B,0),3)</f>
        <v>#N/A</v>
      </c>
      <c r="AI252" s="8" t="str">
        <f t="array" ref="AI252">INDEX(Subject!$A:$I,MATCH(RANDBETWEEN(1,16),Subject!$B:$B,0),3)</f>
        <v>#N/A</v>
      </c>
      <c r="AJ252" s="8" t="str">
        <f t="array" ref="AJ252">INDEX(Subject!$A:$I,MATCH(RANDBETWEEN(1,16),Subject!$B:$B,0),3)</f>
        <v>#N/A</v>
      </c>
      <c r="AK252" s="8" t="str">
        <f t="array" ref="AK252">INDEX(Subject!$A:$I,MATCH(RANDBETWEEN(1,16),Subject!$B:$B,0),3)</f>
        <v>#N/A</v>
      </c>
      <c r="AL252" s="8" t="str">
        <f t="array" ref="AL252">INDEX(Subject!$A:$I,MATCH(RANDBETWEEN(1,16),Subject!$B:$B,0),3)</f>
        <v>#N/A</v>
      </c>
      <c r="AM252" s="18">
        <f t="shared" si="4"/>
        <v>45752.33333</v>
      </c>
      <c r="AN252" s="19">
        <f t="shared" ref="AN252:BZ252" si="252">$A252+C$1</f>
        <v>45752.35417</v>
      </c>
      <c r="AO252" s="19">
        <f t="shared" si="252"/>
        <v>45752.375</v>
      </c>
      <c r="AP252" s="19">
        <f t="shared" si="252"/>
        <v>45752.39583</v>
      </c>
      <c r="AQ252" s="19">
        <f t="shared" si="252"/>
        <v>45752.41667</v>
      </c>
      <c r="AR252" s="19">
        <f t="shared" si="252"/>
        <v>45752.4375</v>
      </c>
      <c r="AS252" s="19">
        <f t="shared" si="252"/>
        <v>45752.45833</v>
      </c>
      <c r="AT252" s="19">
        <f t="shared" si="252"/>
        <v>45752.47917</v>
      </c>
      <c r="AU252" s="19">
        <f t="shared" si="252"/>
        <v>45752.5</v>
      </c>
      <c r="AV252" s="19">
        <f t="shared" si="252"/>
        <v>45752.52083</v>
      </c>
      <c r="AW252" s="19">
        <f t="shared" si="252"/>
        <v>45752.54167</v>
      </c>
      <c r="AX252" s="19">
        <f t="shared" si="252"/>
        <v>45752.5625</v>
      </c>
      <c r="AY252" s="19">
        <f t="shared" si="252"/>
        <v>45752.58333</v>
      </c>
      <c r="AZ252" s="19">
        <f t="shared" si="252"/>
        <v>45752.60417</v>
      </c>
      <c r="BA252" s="19">
        <f t="shared" si="252"/>
        <v>45752.625</v>
      </c>
      <c r="BB252" s="19">
        <f t="shared" si="252"/>
        <v>45752.64583</v>
      </c>
      <c r="BC252" s="19">
        <f t="shared" si="252"/>
        <v>45752.66667</v>
      </c>
      <c r="BD252" s="19">
        <f t="shared" si="252"/>
        <v>45752.6875</v>
      </c>
      <c r="BE252" s="19">
        <f t="shared" si="252"/>
        <v>45752.70833</v>
      </c>
      <c r="BF252" s="19">
        <f t="shared" si="252"/>
        <v>45752.72917</v>
      </c>
      <c r="BG252" s="19">
        <f t="shared" si="252"/>
        <v>45752.75</v>
      </c>
      <c r="BH252" s="19">
        <f t="shared" si="252"/>
        <v>45752.77083</v>
      </c>
      <c r="BI252" s="19">
        <f t="shared" si="252"/>
        <v>45752.79167</v>
      </c>
      <c r="BJ252" s="19">
        <f t="shared" si="252"/>
        <v>45752.8125</v>
      </c>
      <c r="BK252" s="19">
        <f t="shared" si="252"/>
        <v>45752.83333</v>
      </c>
      <c r="BL252" s="19">
        <f t="shared" si="252"/>
        <v>45752.85417</v>
      </c>
      <c r="BM252" s="19">
        <f t="shared" si="252"/>
        <v>45752.875</v>
      </c>
      <c r="BN252" s="19">
        <f t="shared" si="252"/>
        <v>45752.89583</v>
      </c>
      <c r="BO252" s="19">
        <f t="shared" si="252"/>
        <v>45752.91667</v>
      </c>
      <c r="BP252" s="19">
        <f t="shared" si="252"/>
        <v>45752.9375</v>
      </c>
      <c r="BQ252" s="19">
        <f t="shared" si="252"/>
        <v>45752.95833</v>
      </c>
      <c r="BR252" s="19">
        <f t="shared" si="252"/>
        <v>45752.97917</v>
      </c>
      <c r="BS252" s="19">
        <f t="shared" si="252"/>
        <v>45753</v>
      </c>
      <c r="BT252" s="19">
        <f t="shared" si="252"/>
        <v>45753.02083</v>
      </c>
      <c r="BU252" s="19">
        <f t="shared" si="252"/>
        <v>45753.04167</v>
      </c>
      <c r="BV252" s="19">
        <f t="shared" si="252"/>
        <v>45753.0625</v>
      </c>
      <c r="BW252" s="19">
        <f t="shared" si="252"/>
        <v>45753.08333</v>
      </c>
      <c r="BX252" s="19">
        <f t="shared" si="252"/>
        <v>45752</v>
      </c>
      <c r="BY252" s="19">
        <f t="shared" si="252"/>
        <v>45752</v>
      </c>
      <c r="BZ252" s="19">
        <f t="shared" si="252"/>
        <v>45752</v>
      </c>
    </row>
    <row r="253" ht="14.25" customHeight="1">
      <c r="A253" s="17">
        <v>45753.0</v>
      </c>
      <c r="B253" s="2" t="str">
        <f t="array" ref="B253">IF(NOW()&gt;AM253,"",IF(AND((WEEKDAY($A253)+$B$2)&gt;1,((WEEKDAY($A253)+$T$2)&lt;7),(WEEKDAY($A253)&lt;&gt;1)),"work",(INDEX(Subject!$A:$I,MATCH(RANDBETWEEN(1,(MAX(Subject!$B:$B))),Subject!$B:$B,0),3))))</f>
        <v/>
      </c>
      <c r="C253" s="2" t="str">
        <f t="array" ref="C253">IF(NOW()&gt;AN253,"",IF(AND((WEEKDAY($A253)+$B$2)&gt;1,((WEEKDAY($A253)+$T$2)&lt;7),(WEEKDAY($A253)&lt;&gt;1)),"work",(INDEX(Subject!$A:$I,MATCH(RANDBETWEEN(1,(MAX(Subject!$B:$B))),Subject!$B:$B,0),3))))</f>
        <v/>
      </c>
      <c r="D253" s="2" t="str">
        <f t="array" ref="D253">IF(NOW()&gt;AO253,"",IF(AND((WEEKDAY($A253)+$B$2)&gt;1,((WEEKDAY($A253)+$T$2)&lt;7),(WEEKDAY($A253)&lt;&gt;1)),"work",(INDEX(Subject!$A:$I,MATCH(RANDBETWEEN(1,(MAX(Subject!$B:$B))),Subject!$B:$B,0),3))))</f>
        <v/>
      </c>
      <c r="E253" s="2" t="str">
        <f t="array" ref="E253">IF(NOW()&gt;AP253,"",IF(AND((WEEKDAY($A253)+$B$2)&gt;1,((WEEKDAY($A253)+$T$2)&lt;7),(WEEKDAY($A253)&lt;&gt;1)),"work",(INDEX(Subject!$A:$I,MATCH(RANDBETWEEN(1,(MAX(Subject!$B:$B))),Subject!$B:$B,0),3))))</f>
        <v/>
      </c>
      <c r="F253" s="2" t="str">
        <f t="array" ref="F253">IF(NOW()&gt;AQ253,"",IF(AND((WEEKDAY($A253)+$B$2)&gt;1,((WEEKDAY($A253)+$T$2)&lt;7),(WEEKDAY($A253)&lt;&gt;1)),"work",(INDEX(Subject!$A:$I,MATCH(RANDBETWEEN(1,(MAX(Subject!$B:$B))),Subject!$B:$B,0),3))))</f>
        <v/>
      </c>
      <c r="G253" s="2" t="str">
        <f t="array" ref="G253">IF(NOW()&gt;AR253,"",IF(AND((WEEKDAY($A253)+$B$2)&gt;1,((WEEKDAY($A253)+$T$2)&lt;7),(WEEKDAY($A253)&lt;&gt;1)),"work",(INDEX(Subject!$A:$I,MATCH(RANDBETWEEN(1,(MAX(Subject!$B:$B))),Subject!$B:$B,0),3))))</f>
        <v/>
      </c>
      <c r="H253" s="2" t="str">
        <f t="array" ref="H253">IF(NOW()&gt;AS253,"",IF(AND((WEEKDAY($A253)+$B$2)&gt;1,((WEEKDAY($A253)+$T$2)&lt;7),(WEEKDAY($A253)&lt;&gt;1)),"work",(INDEX(Subject!$A:$I,MATCH(RANDBETWEEN(1,(MAX(Subject!$B:$B))),Subject!$B:$B,0),3))))</f>
        <v/>
      </c>
      <c r="I253" s="2" t="str">
        <f t="array" ref="I253">IF(NOW()&gt;AT253,"",IF(AND((WEEKDAY($A253)+$B$2)&gt;1,((WEEKDAY($A253)+$T$2)&lt;7),(WEEKDAY($A253)&lt;&gt;1)),"work",(INDEX(Subject!$A:$I,MATCH(RANDBETWEEN(1,(MAX(Subject!$B:$B))),Subject!$B:$B,0),3))))</f>
        <v/>
      </c>
      <c r="J253" s="2" t="str">
        <f t="array" ref="J253">IF(NOW()&gt;AU253,"",IF(AND((WEEKDAY($A253)+$B$2)&gt;1,((WEEKDAY($A253)+$T$2)&lt;7),(WEEKDAY($A253)&lt;&gt;1)),"work",(INDEX(Subject!$A:$I,MATCH(RANDBETWEEN(1,(MAX(Subject!$B:$B))),Subject!$B:$B,0),3))))</f>
        <v/>
      </c>
      <c r="K253" s="2" t="str">
        <f t="array" ref="K253">IF(NOW()&gt;AV253,"",IF(AND((WEEKDAY($A253)+$B$2)&gt;1,((WEEKDAY($A253)+$T$2)&lt;7),(WEEKDAY($A253)&lt;&gt;1)),"work",(INDEX(Subject!$A:$I,MATCH(RANDBETWEEN(1,(MAX(Subject!$B:$B))),Subject!$B:$B,0),3))))</f>
        <v/>
      </c>
      <c r="L253" s="2" t="str">
        <f t="array" ref="L253">IF(NOW()&gt;AW253,"",IF(AND((WEEKDAY($A253)+$B$2)&gt;1,((WEEKDAY($A253)+$T$2)&lt;7),(WEEKDAY($A253)&lt;&gt;1)),"work",(INDEX(Subject!$A:$I,MATCH(RANDBETWEEN(1,(MAX(Subject!$B:$B))),Subject!$B:$B,0),3))))</f>
        <v/>
      </c>
      <c r="M253" s="2" t="str">
        <f t="array" ref="M253">IF(NOW()&gt;AX253,"",IF(AND((WEEKDAY($A253)+$B$2)&gt;1,((WEEKDAY($A253)+$T$2)&lt;7),(WEEKDAY($A253)&lt;&gt;1)),"work",(INDEX(Subject!$A:$I,MATCH(RANDBETWEEN(1,(MAX(Subject!$B:$B))),Subject!$B:$B,0),3))))</f>
        <v/>
      </c>
      <c r="N253" s="2" t="str">
        <f t="array" ref="N253">IF(NOW()&gt;AY253,"",IF(AND((WEEKDAY($A253)+$B$2)&gt;1,((WEEKDAY($A253)+$T$2)&lt;7),(WEEKDAY($A253)&lt;&gt;1)),"work",(INDEX(Subject!$A:$I,MATCH(RANDBETWEEN(1,(MAX(Subject!$B:$B))),Subject!$B:$B,0),3))))</f>
        <v/>
      </c>
      <c r="O253" s="2" t="str">
        <f t="array" ref="O253">IF(NOW()&gt;AZ253,"",IF(AND((WEEKDAY($A253)+$B$2)&gt;1,((WEEKDAY($A253)+$T$2)&lt;7),(WEEKDAY($A253)&lt;&gt;1)),"work",(INDEX(Subject!$A:$I,MATCH(RANDBETWEEN(1,(MAX(Subject!$B:$B))),Subject!$B:$B,0),3))))</f>
        <v/>
      </c>
      <c r="P253" s="2" t="str">
        <f t="array" ref="P253">IF(NOW()&gt;BA253,"",IF(AND((WEEKDAY($A253)+$B$2)&gt;1,((WEEKDAY($A253)+$T$2)&lt;7),(WEEKDAY($A253)&lt;&gt;1)),"work",(INDEX(Subject!$A:$I,MATCH(RANDBETWEEN(1,(MAX(Subject!$B:$B))),Subject!$B:$B,0),3))))</f>
        <v/>
      </c>
      <c r="Q253" s="2" t="str">
        <f t="array" ref="Q253">IF(NOW()&gt;BB253,"",IF(AND((WEEKDAY($A253)+$B$2)&gt;1,((WEEKDAY($A253)+$T$2)&lt;7),(WEEKDAY($A253)&lt;&gt;1)),"work",(INDEX(Subject!$A:$I,MATCH(RANDBETWEEN(1,(MAX(Subject!$B:$B))),Subject!$B:$B,0),3))))</f>
        <v/>
      </c>
      <c r="R253" s="2" t="str">
        <f t="array" ref="R253">IF(NOW()&gt;BC253,"",IF(AND((WEEKDAY($A253)+$B$2)&gt;1,((WEEKDAY($A253)+$T$2)&lt;7),(WEEKDAY($A253)&lt;&gt;1)),"work",(INDEX(Subject!$A:$I,MATCH(RANDBETWEEN(1,(MAX(Subject!$B:$B))),Subject!$B:$B,0),3))))</f>
        <v/>
      </c>
      <c r="S253" s="2" t="str">
        <f t="array" ref="S253">IF(NOW()&gt;BD253,"",IF(AND((WEEKDAY($A253)+$B$2)&gt;1,((WEEKDAY($A253)+$T$2)&lt;7),(WEEKDAY($A253)&lt;&gt;1)),"work",(INDEX(Subject!$A:$I,MATCH(RANDBETWEEN(1,(MAX(Subject!$B:$B))),Subject!$B:$B,0),3))))</f>
        <v/>
      </c>
      <c r="T253" s="2" t="str">
        <f t="array" ref="T253">IF(NOW()&gt;BE253,"",IF(AND((WEEKDAY($A253)+$B$2)&gt;1,((WEEKDAY($A253)+$T$2)&lt;7),(WEEKDAY($A253)&lt;&gt;1)),"work",(INDEX(Subject!$A:$I,MATCH(RANDBETWEEN(1,(MAX(Subject!$B:$B))),Subject!$B:$B,0),3))))</f>
        <v/>
      </c>
      <c r="U253" s="8" t="str">
        <f t="array" ref="U253">INDEX(Subject!$A:$I,MATCH(RANDBETWEEN(1,16),Subject!$B:$B,0),3)</f>
        <v>#N/A</v>
      </c>
      <c r="V253" s="8" t="str">
        <f t="array" ref="V253">INDEX(Subject!$A:$I,MATCH(RANDBETWEEN(1,16),Subject!$B:$B,0),3)</f>
        <v>#N/A</v>
      </c>
      <c r="W253" s="8" t="str">
        <f t="array" ref="W253">INDEX(Subject!$A:$I,MATCH(RANDBETWEEN(1,16),Subject!$B:$B,0),3)</f>
        <v>#N/A</v>
      </c>
      <c r="X253" s="8" t="str">
        <f t="array" ref="X253">INDEX(Subject!$A:$I,MATCH(RANDBETWEEN(1,16),Subject!$B:$B,0),3)</f>
        <v>#N/A</v>
      </c>
      <c r="Y253" s="8" t="str">
        <f t="array" ref="Y253">INDEX(Subject!$A:$I,MATCH(RANDBETWEEN(1,16),Subject!$B:$B,0),3)</f>
        <v>#N/A</v>
      </c>
      <c r="Z253" s="8" t="str">
        <f t="array" ref="Z253">INDEX(Subject!$A:$I,MATCH(RANDBETWEEN(1,16),Subject!$B:$B,0),3)</f>
        <v>#N/A</v>
      </c>
      <c r="AA253" s="8" t="str">
        <f t="array" ref="AA253">INDEX(Subject!$A:$I,MATCH(RANDBETWEEN(1,16),Subject!$B:$B,0),3)</f>
        <v>#N/A</v>
      </c>
      <c r="AB253" s="8" t="str">
        <f t="array" ref="AB253">INDEX(Subject!$A:$I,MATCH(RANDBETWEEN(1,16),Subject!$B:$B,0),3)</f>
        <v>#N/A</v>
      </c>
      <c r="AC253" s="8" t="str">
        <f t="array" ref="AC253">INDEX(Subject!$A:$I,MATCH(RANDBETWEEN(1,16),Subject!$B:$B,0),3)</f>
        <v>#N/A</v>
      </c>
      <c r="AD253" s="8" t="str">
        <f t="array" ref="AD253">INDEX(Subject!$A:$I,MATCH(RANDBETWEEN(1,16),Subject!$B:$B,0),3)</f>
        <v>#N/A</v>
      </c>
      <c r="AE253" s="8" t="str">
        <f t="array" ref="AE253">INDEX(Subject!$A:$I,MATCH(RANDBETWEEN(1,16),Subject!$B:$B,0),3)</f>
        <v>#N/A</v>
      </c>
      <c r="AF253" s="8" t="str">
        <f t="array" ref="AF253">INDEX(Subject!$A:$I,MATCH(RANDBETWEEN(1,16),Subject!$B:$B,0),3)</f>
        <v>#N/A</v>
      </c>
      <c r="AG253" s="8" t="str">
        <f t="array" ref="AG253">INDEX(Subject!$A:$I,MATCH(RANDBETWEEN(1,16),Subject!$B:$B,0),3)</f>
        <v>#N/A</v>
      </c>
      <c r="AH253" s="8" t="str">
        <f t="array" ref="AH253">INDEX(Subject!$A:$I,MATCH(RANDBETWEEN(1,16),Subject!$B:$B,0),3)</f>
        <v/>
      </c>
      <c r="AI253" s="8" t="str">
        <f t="array" ref="AI253">INDEX(Subject!$A:$I,MATCH(RANDBETWEEN(1,16),Subject!$B:$B,0),3)</f>
        <v>#N/A</v>
      </c>
      <c r="AJ253" s="8" t="str">
        <f t="array" ref="AJ253">INDEX(Subject!$A:$I,MATCH(RANDBETWEEN(1,16),Subject!$B:$B,0),3)</f>
        <v>#N/A</v>
      </c>
      <c r="AK253" s="8" t="str">
        <f t="array" ref="AK253">INDEX(Subject!$A:$I,MATCH(RANDBETWEEN(1,16),Subject!$B:$B,0),3)</f>
        <v>#N/A</v>
      </c>
      <c r="AL253" s="8" t="str">
        <f t="array" ref="AL253">INDEX(Subject!$A:$I,MATCH(RANDBETWEEN(1,16),Subject!$B:$B,0),3)</f>
        <v>#N/A</v>
      </c>
      <c r="AM253" s="18">
        <f t="shared" si="4"/>
        <v>45753.33333</v>
      </c>
      <c r="AN253" s="19">
        <f t="shared" ref="AN253:BZ253" si="253">$A253+C$1</f>
        <v>45753.35417</v>
      </c>
      <c r="AO253" s="19">
        <f t="shared" si="253"/>
        <v>45753.375</v>
      </c>
      <c r="AP253" s="19">
        <f t="shared" si="253"/>
        <v>45753.39583</v>
      </c>
      <c r="AQ253" s="19">
        <f t="shared" si="253"/>
        <v>45753.41667</v>
      </c>
      <c r="AR253" s="19">
        <f t="shared" si="253"/>
        <v>45753.4375</v>
      </c>
      <c r="AS253" s="19">
        <f t="shared" si="253"/>
        <v>45753.45833</v>
      </c>
      <c r="AT253" s="19">
        <f t="shared" si="253"/>
        <v>45753.47917</v>
      </c>
      <c r="AU253" s="19">
        <f t="shared" si="253"/>
        <v>45753.5</v>
      </c>
      <c r="AV253" s="19">
        <f t="shared" si="253"/>
        <v>45753.52083</v>
      </c>
      <c r="AW253" s="19">
        <f t="shared" si="253"/>
        <v>45753.54167</v>
      </c>
      <c r="AX253" s="19">
        <f t="shared" si="253"/>
        <v>45753.5625</v>
      </c>
      <c r="AY253" s="19">
        <f t="shared" si="253"/>
        <v>45753.58333</v>
      </c>
      <c r="AZ253" s="19">
        <f t="shared" si="253"/>
        <v>45753.60417</v>
      </c>
      <c r="BA253" s="19">
        <f t="shared" si="253"/>
        <v>45753.625</v>
      </c>
      <c r="BB253" s="19">
        <f t="shared" si="253"/>
        <v>45753.64583</v>
      </c>
      <c r="BC253" s="19">
        <f t="shared" si="253"/>
        <v>45753.66667</v>
      </c>
      <c r="BD253" s="19">
        <f t="shared" si="253"/>
        <v>45753.6875</v>
      </c>
      <c r="BE253" s="19">
        <f t="shared" si="253"/>
        <v>45753.70833</v>
      </c>
      <c r="BF253" s="19">
        <f t="shared" si="253"/>
        <v>45753.72917</v>
      </c>
      <c r="BG253" s="19">
        <f t="shared" si="253"/>
        <v>45753.75</v>
      </c>
      <c r="BH253" s="19">
        <f t="shared" si="253"/>
        <v>45753.77083</v>
      </c>
      <c r="BI253" s="19">
        <f t="shared" si="253"/>
        <v>45753.79167</v>
      </c>
      <c r="BJ253" s="19">
        <f t="shared" si="253"/>
        <v>45753.8125</v>
      </c>
      <c r="BK253" s="19">
        <f t="shared" si="253"/>
        <v>45753.83333</v>
      </c>
      <c r="BL253" s="19">
        <f t="shared" si="253"/>
        <v>45753.85417</v>
      </c>
      <c r="BM253" s="19">
        <f t="shared" si="253"/>
        <v>45753.875</v>
      </c>
      <c r="BN253" s="19">
        <f t="shared" si="253"/>
        <v>45753.89583</v>
      </c>
      <c r="BO253" s="19">
        <f t="shared" si="253"/>
        <v>45753.91667</v>
      </c>
      <c r="BP253" s="19">
        <f t="shared" si="253"/>
        <v>45753.9375</v>
      </c>
      <c r="BQ253" s="19">
        <f t="shared" si="253"/>
        <v>45753.95833</v>
      </c>
      <c r="BR253" s="19">
        <f t="shared" si="253"/>
        <v>45753.97917</v>
      </c>
      <c r="BS253" s="19">
        <f t="shared" si="253"/>
        <v>45754</v>
      </c>
      <c r="BT253" s="19">
        <f t="shared" si="253"/>
        <v>45754.02083</v>
      </c>
      <c r="BU253" s="19">
        <f t="shared" si="253"/>
        <v>45754.04167</v>
      </c>
      <c r="BV253" s="19">
        <f t="shared" si="253"/>
        <v>45754.0625</v>
      </c>
      <c r="BW253" s="19">
        <f t="shared" si="253"/>
        <v>45754.08333</v>
      </c>
      <c r="BX253" s="19">
        <f t="shared" si="253"/>
        <v>45753</v>
      </c>
      <c r="BY253" s="19">
        <f t="shared" si="253"/>
        <v>45753</v>
      </c>
      <c r="BZ253" s="19">
        <f t="shared" si="253"/>
        <v>45753</v>
      </c>
    </row>
    <row r="254" ht="14.25" customHeight="1">
      <c r="A254" s="17">
        <v>45754.0</v>
      </c>
      <c r="B254" s="2" t="str">
        <f t="array" ref="B254">IF(NOW()&gt;AM254,"",IF(AND((WEEKDAY($A254)+$B$2)&gt;1,((WEEKDAY($A254)+$T$2)&lt;7),(WEEKDAY($A254)&lt;&gt;1)),"work",(INDEX(Subject!$A:$I,MATCH(RANDBETWEEN(1,(MAX(Subject!$B:$B))),Subject!$B:$B,0),3))))</f>
        <v/>
      </c>
      <c r="C254" s="2" t="str">
        <f t="array" ref="C254">IF(NOW()&gt;AN254,"",IF(AND((WEEKDAY($A254)+$B$2)&gt;1,((WEEKDAY($A254)+$T$2)&lt;7),(WEEKDAY($A254)&lt;&gt;1)),"work",(INDEX(Subject!$A:$I,MATCH(RANDBETWEEN(1,(MAX(Subject!$B:$B))),Subject!$B:$B,0),3))))</f>
        <v/>
      </c>
      <c r="D254" s="2" t="str">
        <f t="array" ref="D254">IF(NOW()&gt;AO254,"",IF(AND((WEEKDAY($A254)+$B$2)&gt;1,((WEEKDAY($A254)+$T$2)&lt;7),(WEEKDAY($A254)&lt;&gt;1)),"work",(INDEX(Subject!$A:$I,MATCH(RANDBETWEEN(1,(MAX(Subject!$B:$B))),Subject!$B:$B,0),3))))</f>
        <v/>
      </c>
      <c r="E254" s="2" t="str">
        <f t="array" ref="E254">IF(NOW()&gt;AP254,"",IF(AND((WEEKDAY($A254)+$B$2)&gt;1,((WEEKDAY($A254)+$T$2)&lt;7),(WEEKDAY($A254)&lt;&gt;1)),"work",(INDEX(Subject!$A:$I,MATCH(RANDBETWEEN(1,(MAX(Subject!$B:$B))),Subject!$B:$B,0),3))))</f>
        <v/>
      </c>
      <c r="F254" s="2" t="str">
        <f t="array" ref="F254">IF(NOW()&gt;AQ254,"",IF(AND((WEEKDAY($A254)+$B$2)&gt;1,((WEEKDAY($A254)+$T$2)&lt;7),(WEEKDAY($A254)&lt;&gt;1)),"work",(INDEX(Subject!$A:$I,MATCH(RANDBETWEEN(1,(MAX(Subject!$B:$B))),Subject!$B:$B,0),3))))</f>
        <v/>
      </c>
      <c r="G254" s="2" t="str">
        <f t="array" ref="G254">IF(NOW()&gt;AR254,"",IF(AND((WEEKDAY($A254)+$B$2)&gt;1,((WEEKDAY($A254)+$T$2)&lt;7),(WEEKDAY($A254)&lt;&gt;1)),"work",(INDEX(Subject!$A:$I,MATCH(RANDBETWEEN(1,(MAX(Subject!$B:$B))),Subject!$B:$B,0),3))))</f>
        <v/>
      </c>
      <c r="H254" s="2" t="str">
        <f t="array" ref="H254">IF(NOW()&gt;AS254,"",IF(AND((WEEKDAY($A254)+$B$2)&gt;1,((WEEKDAY($A254)+$T$2)&lt;7),(WEEKDAY($A254)&lt;&gt;1)),"work",(INDEX(Subject!$A:$I,MATCH(RANDBETWEEN(1,(MAX(Subject!$B:$B))),Subject!$B:$B,0),3))))</f>
        <v/>
      </c>
      <c r="I254" s="2" t="str">
        <f t="array" ref="I254">IF(NOW()&gt;AT254,"",IF(AND((WEEKDAY($A254)+$B$2)&gt;1,((WEEKDAY($A254)+$T$2)&lt;7),(WEEKDAY($A254)&lt;&gt;1)),"work",(INDEX(Subject!$A:$I,MATCH(RANDBETWEEN(1,(MAX(Subject!$B:$B))),Subject!$B:$B,0),3))))</f>
        <v/>
      </c>
      <c r="J254" s="2" t="str">
        <f t="array" ref="J254">IF(NOW()&gt;AU254,"",IF(AND((WEEKDAY($A254)+$B$2)&gt;1,((WEEKDAY($A254)+$T$2)&lt;7),(WEEKDAY($A254)&lt;&gt;1)),"work",(INDEX(Subject!$A:$I,MATCH(RANDBETWEEN(1,(MAX(Subject!$B:$B))),Subject!$B:$B,0),3))))</f>
        <v/>
      </c>
      <c r="K254" s="2" t="str">
        <f t="array" ref="K254">IF(NOW()&gt;AV254,"",IF(AND((WEEKDAY($A254)+$B$2)&gt;1,((WEEKDAY($A254)+$T$2)&lt;7),(WEEKDAY($A254)&lt;&gt;1)),"work",(INDEX(Subject!$A:$I,MATCH(RANDBETWEEN(1,(MAX(Subject!$B:$B))),Subject!$B:$B,0),3))))</f>
        <v/>
      </c>
      <c r="L254" s="2" t="str">
        <f t="array" ref="L254">IF(NOW()&gt;AW254,"",IF(AND((WEEKDAY($A254)+$B$2)&gt;1,((WEEKDAY($A254)+$T$2)&lt;7),(WEEKDAY($A254)&lt;&gt;1)),"work",(INDEX(Subject!$A:$I,MATCH(RANDBETWEEN(1,(MAX(Subject!$B:$B))),Subject!$B:$B,0),3))))</f>
        <v/>
      </c>
      <c r="M254" s="2" t="str">
        <f t="array" ref="M254">IF(NOW()&gt;AX254,"",IF(AND((WEEKDAY($A254)+$B$2)&gt;1,((WEEKDAY($A254)+$T$2)&lt;7),(WEEKDAY($A254)&lt;&gt;1)),"work",(INDEX(Subject!$A:$I,MATCH(RANDBETWEEN(1,(MAX(Subject!$B:$B))),Subject!$B:$B,0),3))))</f>
        <v/>
      </c>
      <c r="N254" s="2" t="str">
        <f t="array" ref="N254">IF(NOW()&gt;AY254,"",IF(AND((WEEKDAY($A254)+$B$2)&gt;1,((WEEKDAY($A254)+$T$2)&lt;7),(WEEKDAY($A254)&lt;&gt;1)),"work",(INDEX(Subject!$A:$I,MATCH(RANDBETWEEN(1,(MAX(Subject!$B:$B))),Subject!$B:$B,0),3))))</f>
        <v/>
      </c>
      <c r="O254" s="2" t="str">
        <f t="array" ref="O254">IF(NOW()&gt;AZ254,"",IF(AND((WEEKDAY($A254)+$B$2)&gt;1,((WEEKDAY($A254)+$T$2)&lt;7),(WEEKDAY($A254)&lt;&gt;1)),"work",(INDEX(Subject!$A:$I,MATCH(RANDBETWEEN(1,(MAX(Subject!$B:$B))),Subject!$B:$B,0),3))))</f>
        <v/>
      </c>
      <c r="P254" s="2" t="str">
        <f t="array" ref="P254">IF(NOW()&gt;BA254,"",IF(AND((WEEKDAY($A254)+$B$2)&gt;1,((WEEKDAY($A254)+$T$2)&lt;7),(WEEKDAY($A254)&lt;&gt;1)),"work",(INDEX(Subject!$A:$I,MATCH(RANDBETWEEN(1,(MAX(Subject!$B:$B))),Subject!$B:$B,0),3))))</f>
        <v/>
      </c>
      <c r="Q254" s="2" t="str">
        <f t="array" ref="Q254">IF(NOW()&gt;BB254,"",IF(AND((WEEKDAY($A254)+$B$2)&gt;1,((WEEKDAY($A254)+$T$2)&lt;7),(WEEKDAY($A254)&lt;&gt;1)),"work",(INDEX(Subject!$A:$I,MATCH(RANDBETWEEN(1,(MAX(Subject!$B:$B))),Subject!$B:$B,0),3))))</f>
        <v/>
      </c>
      <c r="R254" s="2" t="str">
        <f t="array" ref="R254">IF(NOW()&gt;BC254,"",IF(AND((WEEKDAY($A254)+$B$2)&gt;1,((WEEKDAY($A254)+$T$2)&lt;7),(WEEKDAY($A254)&lt;&gt;1)),"work",(INDEX(Subject!$A:$I,MATCH(RANDBETWEEN(1,(MAX(Subject!$B:$B))),Subject!$B:$B,0),3))))</f>
        <v/>
      </c>
      <c r="S254" s="2" t="str">
        <f t="array" ref="S254">IF(NOW()&gt;BD254,"",IF(AND((WEEKDAY($A254)+$B$2)&gt;1,((WEEKDAY($A254)+$T$2)&lt;7),(WEEKDAY($A254)&lt;&gt;1)),"work",(INDEX(Subject!$A:$I,MATCH(RANDBETWEEN(1,(MAX(Subject!$B:$B))),Subject!$B:$B,0),3))))</f>
        <v/>
      </c>
      <c r="T254" s="2" t="str">
        <f t="array" ref="T254">IF(NOW()&gt;BE254,"",IF(AND((WEEKDAY($A254)+$B$2)&gt;1,((WEEKDAY($A254)+$T$2)&lt;7),(WEEKDAY($A254)&lt;&gt;1)),"work",(INDEX(Subject!$A:$I,MATCH(RANDBETWEEN(1,(MAX(Subject!$B:$B))),Subject!$B:$B,0),3))))</f>
        <v/>
      </c>
      <c r="U254" s="8" t="str">
        <f t="array" ref="U254">INDEX(Subject!$A:$I,MATCH(RANDBETWEEN(1,16),Subject!$B:$B,0),3)</f>
        <v>#N/A</v>
      </c>
      <c r="V254" s="8" t="str">
        <f t="array" ref="V254">INDEX(Subject!$A:$I,MATCH(RANDBETWEEN(1,16),Subject!$B:$B,0),3)</f>
        <v>#N/A</v>
      </c>
      <c r="W254" s="8" t="str">
        <f t="array" ref="W254">INDEX(Subject!$A:$I,MATCH(RANDBETWEEN(1,16),Subject!$B:$B,0),3)</f>
        <v>#N/A</v>
      </c>
      <c r="X254" s="8" t="str">
        <f t="array" ref="X254">INDEX(Subject!$A:$I,MATCH(RANDBETWEEN(1,16),Subject!$B:$B,0),3)</f>
        <v>#N/A</v>
      </c>
      <c r="Y254" s="8" t="str">
        <f t="array" ref="Y254">INDEX(Subject!$A:$I,MATCH(RANDBETWEEN(1,16),Subject!$B:$B,0),3)</f>
        <v>#N/A</v>
      </c>
      <c r="Z254" s="8" t="str">
        <f t="array" ref="Z254">INDEX(Subject!$A:$I,MATCH(RANDBETWEEN(1,16),Subject!$B:$B,0),3)</f>
        <v>#N/A</v>
      </c>
      <c r="AA254" s="8" t="str">
        <f t="array" ref="AA254">INDEX(Subject!$A:$I,MATCH(RANDBETWEEN(1,16),Subject!$B:$B,0),3)</f>
        <v>#N/A</v>
      </c>
      <c r="AB254" s="8" t="str">
        <f t="array" ref="AB254">INDEX(Subject!$A:$I,MATCH(RANDBETWEEN(1,16),Subject!$B:$B,0),3)</f>
        <v>#N/A</v>
      </c>
      <c r="AC254" s="8" t="str">
        <f t="array" ref="AC254">INDEX(Subject!$A:$I,MATCH(RANDBETWEEN(1,16),Subject!$B:$B,0),3)</f>
        <v>#N/A</v>
      </c>
      <c r="AD254" s="8" t="str">
        <f t="array" ref="AD254">INDEX(Subject!$A:$I,MATCH(RANDBETWEEN(1,16),Subject!$B:$B,0),3)</f>
        <v>#N/A</v>
      </c>
      <c r="AE254" s="8" t="str">
        <f t="array" ref="AE254">INDEX(Subject!$A:$I,MATCH(RANDBETWEEN(1,16),Subject!$B:$B,0),3)</f>
        <v>#N/A</v>
      </c>
      <c r="AF254" s="8" t="str">
        <f t="array" ref="AF254">INDEX(Subject!$A:$I,MATCH(RANDBETWEEN(1,16),Subject!$B:$B,0),3)</f>
        <v>#N/A</v>
      </c>
      <c r="AG254" s="8" t="str">
        <f t="array" ref="AG254">INDEX(Subject!$A:$I,MATCH(RANDBETWEEN(1,16),Subject!$B:$B,0),3)</f>
        <v>#N/A</v>
      </c>
      <c r="AH254" s="8" t="str">
        <f t="array" ref="AH254">INDEX(Subject!$A:$I,MATCH(RANDBETWEEN(1,16),Subject!$B:$B,0),3)</f>
        <v>#N/A</v>
      </c>
      <c r="AI254" s="8" t="str">
        <f t="array" ref="AI254">INDEX(Subject!$A:$I,MATCH(RANDBETWEEN(1,16),Subject!$B:$B,0),3)</f>
        <v>#N/A</v>
      </c>
      <c r="AJ254" s="8" t="str">
        <f t="array" ref="AJ254">INDEX(Subject!$A:$I,MATCH(RANDBETWEEN(1,16),Subject!$B:$B,0),3)</f>
        <v>#N/A</v>
      </c>
      <c r="AK254" s="8" t="str">
        <f t="array" ref="AK254">INDEX(Subject!$A:$I,MATCH(RANDBETWEEN(1,16),Subject!$B:$B,0),3)</f>
        <v>#N/A</v>
      </c>
      <c r="AL254" s="8" t="str">
        <f t="array" ref="AL254">INDEX(Subject!$A:$I,MATCH(RANDBETWEEN(1,16),Subject!$B:$B,0),3)</f>
        <v>#N/A</v>
      </c>
      <c r="AM254" s="18">
        <f t="shared" si="4"/>
        <v>45754.33333</v>
      </c>
      <c r="AN254" s="19">
        <f t="shared" ref="AN254:BZ254" si="254">$A254+C$1</f>
        <v>45754.35417</v>
      </c>
      <c r="AO254" s="19">
        <f t="shared" si="254"/>
        <v>45754.375</v>
      </c>
      <c r="AP254" s="19">
        <f t="shared" si="254"/>
        <v>45754.39583</v>
      </c>
      <c r="AQ254" s="19">
        <f t="shared" si="254"/>
        <v>45754.41667</v>
      </c>
      <c r="AR254" s="19">
        <f t="shared" si="254"/>
        <v>45754.4375</v>
      </c>
      <c r="AS254" s="19">
        <f t="shared" si="254"/>
        <v>45754.45833</v>
      </c>
      <c r="AT254" s="19">
        <f t="shared" si="254"/>
        <v>45754.47917</v>
      </c>
      <c r="AU254" s="19">
        <f t="shared" si="254"/>
        <v>45754.5</v>
      </c>
      <c r="AV254" s="19">
        <f t="shared" si="254"/>
        <v>45754.52083</v>
      </c>
      <c r="AW254" s="19">
        <f t="shared" si="254"/>
        <v>45754.54167</v>
      </c>
      <c r="AX254" s="19">
        <f t="shared" si="254"/>
        <v>45754.5625</v>
      </c>
      <c r="AY254" s="19">
        <f t="shared" si="254"/>
        <v>45754.58333</v>
      </c>
      <c r="AZ254" s="19">
        <f t="shared" si="254"/>
        <v>45754.60417</v>
      </c>
      <c r="BA254" s="19">
        <f t="shared" si="254"/>
        <v>45754.625</v>
      </c>
      <c r="BB254" s="19">
        <f t="shared" si="254"/>
        <v>45754.64583</v>
      </c>
      <c r="BC254" s="19">
        <f t="shared" si="254"/>
        <v>45754.66667</v>
      </c>
      <c r="BD254" s="19">
        <f t="shared" si="254"/>
        <v>45754.6875</v>
      </c>
      <c r="BE254" s="19">
        <f t="shared" si="254"/>
        <v>45754.70833</v>
      </c>
      <c r="BF254" s="19">
        <f t="shared" si="254"/>
        <v>45754.72917</v>
      </c>
      <c r="BG254" s="19">
        <f t="shared" si="254"/>
        <v>45754.75</v>
      </c>
      <c r="BH254" s="19">
        <f t="shared" si="254"/>
        <v>45754.77083</v>
      </c>
      <c r="BI254" s="19">
        <f t="shared" si="254"/>
        <v>45754.79167</v>
      </c>
      <c r="BJ254" s="19">
        <f t="shared" si="254"/>
        <v>45754.8125</v>
      </c>
      <c r="BK254" s="19">
        <f t="shared" si="254"/>
        <v>45754.83333</v>
      </c>
      <c r="BL254" s="19">
        <f t="shared" si="254"/>
        <v>45754.85417</v>
      </c>
      <c r="BM254" s="19">
        <f t="shared" si="254"/>
        <v>45754.875</v>
      </c>
      <c r="BN254" s="19">
        <f t="shared" si="254"/>
        <v>45754.89583</v>
      </c>
      <c r="BO254" s="19">
        <f t="shared" si="254"/>
        <v>45754.91667</v>
      </c>
      <c r="BP254" s="19">
        <f t="shared" si="254"/>
        <v>45754.9375</v>
      </c>
      <c r="BQ254" s="19">
        <f t="shared" si="254"/>
        <v>45754.95833</v>
      </c>
      <c r="BR254" s="19">
        <f t="shared" si="254"/>
        <v>45754.97917</v>
      </c>
      <c r="BS254" s="19">
        <f t="shared" si="254"/>
        <v>45755</v>
      </c>
      <c r="BT254" s="19">
        <f t="shared" si="254"/>
        <v>45755.02083</v>
      </c>
      <c r="BU254" s="19">
        <f t="shared" si="254"/>
        <v>45755.04167</v>
      </c>
      <c r="BV254" s="19">
        <f t="shared" si="254"/>
        <v>45755.0625</v>
      </c>
      <c r="BW254" s="19">
        <f t="shared" si="254"/>
        <v>45755.08333</v>
      </c>
      <c r="BX254" s="19">
        <f t="shared" si="254"/>
        <v>45754</v>
      </c>
      <c r="BY254" s="19">
        <f t="shared" si="254"/>
        <v>45754</v>
      </c>
      <c r="BZ254" s="19">
        <f t="shared" si="254"/>
        <v>45754</v>
      </c>
    </row>
    <row r="255" ht="14.25" customHeight="1">
      <c r="A255" s="17">
        <v>45755.0</v>
      </c>
      <c r="B255" s="2" t="str">
        <f t="array" ref="B255">IF(NOW()&gt;AM255,"",IF(AND((WEEKDAY($A255)+$B$2)&gt;1,((WEEKDAY($A255)+$T$2)&lt;7),(WEEKDAY($A255)&lt;&gt;1)),"work",(INDEX(Subject!$A:$I,MATCH(RANDBETWEEN(1,(MAX(Subject!$B:$B))),Subject!$B:$B,0),3))))</f>
        <v/>
      </c>
      <c r="C255" s="2" t="str">
        <f t="array" ref="C255">IF(NOW()&gt;AN255,"",IF(AND((WEEKDAY($A255)+$B$2)&gt;1,((WEEKDAY($A255)+$T$2)&lt;7),(WEEKDAY($A255)&lt;&gt;1)),"work",(INDEX(Subject!$A:$I,MATCH(RANDBETWEEN(1,(MAX(Subject!$B:$B))),Subject!$B:$B,0),3))))</f>
        <v/>
      </c>
      <c r="D255" s="2" t="str">
        <f t="array" ref="D255">IF(NOW()&gt;AO255,"",IF(AND((WEEKDAY($A255)+$B$2)&gt;1,((WEEKDAY($A255)+$T$2)&lt;7),(WEEKDAY($A255)&lt;&gt;1)),"work",(INDEX(Subject!$A:$I,MATCH(RANDBETWEEN(1,(MAX(Subject!$B:$B))),Subject!$B:$B,0),3))))</f>
        <v/>
      </c>
      <c r="E255" s="2" t="str">
        <f t="array" ref="E255">IF(NOW()&gt;AP255,"",IF(AND((WEEKDAY($A255)+$B$2)&gt;1,((WEEKDAY($A255)+$T$2)&lt;7),(WEEKDAY($A255)&lt;&gt;1)),"work",(INDEX(Subject!$A:$I,MATCH(RANDBETWEEN(1,(MAX(Subject!$B:$B))),Subject!$B:$B,0),3))))</f>
        <v/>
      </c>
      <c r="F255" s="2" t="str">
        <f t="array" ref="F255">IF(NOW()&gt;AQ255,"",IF(AND((WEEKDAY($A255)+$B$2)&gt;1,((WEEKDAY($A255)+$T$2)&lt;7),(WEEKDAY($A255)&lt;&gt;1)),"work",(INDEX(Subject!$A:$I,MATCH(RANDBETWEEN(1,(MAX(Subject!$B:$B))),Subject!$B:$B,0),3))))</f>
        <v/>
      </c>
      <c r="G255" s="2" t="str">
        <f t="array" ref="G255">IF(NOW()&gt;AR255,"",IF(AND((WEEKDAY($A255)+$B$2)&gt;1,((WEEKDAY($A255)+$T$2)&lt;7),(WEEKDAY($A255)&lt;&gt;1)),"work",(INDEX(Subject!$A:$I,MATCH(RANDBETWEEN(1,(MAX(Subject!$B:$B))),Subject!$B:$B,0),3))))</f>
        <v/>
      </c>
      <c r="H255" s="2" t="str">
        <f t="array" ref="H255">IF(NOW()&gt;AS255,"",IF(AND((WEEKDAY($A255)+$B$2)&gt;1,((WEEKDAY($A255)+$T$2)&lt;7),(WEEKDAY($A255)&lt;&gt;1)),"work",(INDEX(Subject!$A:$I,MATCH(RANDBETWEEN(1,(MAX(Subject!$B:$B))),Subject!$B:$B,0),3))))</f>
        <v/>
      </c>
      <c r="I255" s="2" t="str">
        <f t="array" ref="I255">IF(NOW()&gt;AT255,"",IF(AND((WEEKDAY($A255)+$B$2)&gt;1,((WEEKDAY($A255)+$T$2)&lt;7),(WEEKDAY($A255)&lt;&gt;1)),"work",(INDEX(Subject!$A:$I,MATCH(RANDBETWEEN(1,(MAX(Subject!$B:$B))),Subject!$B:$B,0),3))))</f>
        <v/>
      </c>
      <c r="J255" s="2" t="str">
        <f t="array" ref="J255">IF(NOW()&gt;AU255,"",IF(AND((WEEKDAY($A255)+$B$2)&gt;1,((WEEKDAY($A255)+$T$2)&lt;7),(WEEKDAY($A255)&lt;&gt;1)),"work",(INDEX(Subject!$A:$I,MATCH(RANDBETWEEN(1,(MAX(Subject!$B:$B))),Subject!$B:$B,0),3))))</f>
        <v/>
      </c>
      <c r="K255" s="2" t="str">
        <f t="array" ref="K255">IF(NOW()&gt;AV255,"",IF(AND((WEEKDAY($A255)+$B$2)&gt;1,((WEEKDAY($A255)+$T$2)&lt;7),(WEEKDAY($A255)&lt;&gt;1)),"work",(INDEX(Subject!$A:$I,MATCH(RANDBETWEEN(1,(MAX(Subject!$B:$B))),Subject!$B:$B,0),3))))</f>
        <v/>
      </c>
      <c r="L255" s="2" t="str">
        <f t="array" ref="L255">IF(NOW()&gt;AW255,"",IF(AND((WEEKDAY($A255)+$B$2)&gt;1,((WEEKDAY($A255)+$T$2)&lt;7),(WEEKDAY($A255)&lt;&gt;1)),"work",(INDEX(Subject!$A:$I,MATCH(RANDBETWEEN(1,(MAX(Subject!$B:$B))),Subject!$B:$B,0),3))))</f>
        <v/>
      </c>
      <c r="M255" s="2" t="str">
        <f t="array" ref="M255">IF(NOW()&gt;AX255,"",IF(AND((WEEKDAY($A255)+$B$2)&gt;1,((WEEKDAY($A255)+$T$2)&lt;7),(WEEKDAY($A255)&lt;&gt;1)),"work",(INDEX(Subject!$A:$I,MATCH(RANDBETWEEN(1,(MAX(Subject!$B:$B))),Subject!$B:$B,0),3))))</f>
        <v/>
      </c>
      <c r="N255" s="2" t="str">
        <f t="array" ref="N255">IF(NOW()&gt;AY255,"",IF(AND((WEEKDAY($A255)+$B$2)&gt;1,((WEEKDAY($A255)+$T$2)&lt;7),(WEEKDAY($A255)&lt;&gt;1)),"work",(INDEX(Subject!$A:$I,MATCH(RANDBETWEEN(1,(MAX(Subject!$B:$B))),Subject!$B:$B,0),3))))</f>
        <v/>
      </c>
      <c r="O255" s="2" t="str">
        <f t="array" ref="O255">IF(NOW()&gt;AZ255,"",IF(AND((WEEKDAY($A255)+$B$2)&gt;1,((WEEKDAY($A255)+$T$2)&lt;7),(WEEKDAY($A255)&lt;&gt;1)),"work",(INDEX(Subject!$A:$I,MATCH(RANDBETWEEN(1,(MAX(Subject!$B:$B))),Subject!$B:$B,0),3))))</f>
        <v/>
      </c>
      <c r="P255" s="2" t="str">
        <f t="array" ref="P255">IF(NOW()&gt;BA255,"",IF(AND((WEEKDAY($A255)+$B$2)&gt;1,((WEEKDAY($A255)+$T$2)&lt;7),(WEEKDAY($A255)&lt;&gt;1)),"work",(INDEX(Subject!$A:$I,MATCH(RANDBETWEEN(1,(MAX(Subject!$B:$B))),Subject!$B:$B,0),3))))</f>
        <v/>
      </c>
      <c r="Q255" s="2" t="str">
        <f t="array" ref="Q255">IF(NOW()&gt;BB255,"",IF(AND((WEEKDAY($A255)+$B$2)&gt;1,((WEEKDAY($A255)+$T$2)&lt;7),(WEEKDAY($A255)&lt;&gt;1)),"work",(INDEX(Subject!$A:$I,MATCH(RANDBETWEEN(1,(MAX(Subject!$B:$B))),Subject!$B:$B,0),3))))</f>
        <v/>
      </c>
      <c r="R255" s="2" t="str">
        <f t="array" ref="R255">IF(NOW()&gt;BC255,"",IF(AND((WEEKDAY($A255)+$B$2)&gt;1,((WEEKDAY($A255)+$T$2)&lt;7),(WEEKDAY($A255)&lt;&gt;1)),"work",(INDEX(Subject!$A:$I,MATCH(RANDBETWEEN(1,(MAX(Subject!$B:$B))),Subject!$B:$B,0),3))))</f>
        <v/>
      </c>
      <c r="S255" s="2" t="str">
        <f t="array" ref="S255">IF(NOW()&gt;BD255,"",IF(AND((WEEKDAY($A255)+$B$2)&gt;1,((WEEKDAY($A255)+$T$2)&lt;7),(WEEKDAY($A255)&lt;&gt;1)),"work",(INDEX(Subject!$A:$I,MATCH(RANDBETWEEN(1,(MAX(Subject!$B:$B))),Subject!$B:$B,0),3))))</f>
        <v/>
      </c>
      <c r="T255" s="2" t="str">
        <f t="array" ref="T255">IF(NOW()&gt;BE255,"",IF(AND((WEEKDAY($A255)+$B$2)&gt;1,((WEEKDAY($A255)+$T$2)&lt;7),(WEEKDAY($A255)&lt;&gt;1)),"work",(INDEX(Subject!$A:$I,MATCH(RANDBETWEEN(1,(MAX(Subject!$B:$B))),Subject!$B:$B,0),3))))</f>
        <v/>
      </c>
      <c r="U255" s="8" t="str">
        <f t="array" ref="U255">INDEX(Subject!$A:$I,MATCH(RANDBETWEEN(1,16),Subject!$B:$B,0),3)</f>
        <v>#N/A</v>
      </c>
      <c r="V255" s="8" t="str">
        <f t="array" ref="V255">INDEX(Subject!$A:$I,MATCH(RANDBETWEEN(1,16),Subject!$B:$B,0),3)</f>
        <v>#N/A</v>
      </c>
      <c r="W255" s="8" t="str">
        <f t="array" ref="W255">INDEX(Subject!$A:$I,MATCH(RANDBETWEEN(1,16),Subject!$B:$B,0),3)</f>
        <v>#N/A</v>
      </c>
      <c r="X255" s="8" t="str">
        <f t="array" ref="X255">INDEX(Subject!$A:$I,MATCH(RANDBETWEEN(1,16),Subject!$B:$B,0),3)</f>
        <v>#N/A</v>
      </c>
      <c r="Y255" s="8" t="str">
        <f t="array" ref="Y255">INDEX(Subject!$A:$I,MATCH(RANDBETWEEN(1,16),Subject!$B:$B,0),3)</f>
        <v>#N/A</v>
      </c>
      <c r="Z255" s="8" t="str">
        <f t="array" ref="Z255">INDEX(Subject!$A:$I,MATCH(RANDBETWEEN(1,16),Subject!$B:$B,0),3)</f>
        <v>#N/A</v>
      </c>
      <c r="AA255" s="8" t="str">
        <f t="array" ref="AA255">INDEX(Subject!$A:$I,MATCH(RANDBETWEEN(1,16),Subject!$B:$B,0),3)</f>
        <v>#N/A</v>
      </c>
      <c r="AB255" s="8" t="str">
        <f t="array" ref="AB255">INDEX(Subject!$A:$I,MATCH(RANDBETWEEN(1,16),Subject!$B:$B,0),3)</f>
        <v/>
      </c>
      <c r="AC255" s="8" t="str">
        <f t="array" ref="AC255">INDEX(Subject!$A:$I,MATCH(RANDBETWEEN(1,16),Subject!$B:$B,0),3)</f>
        <v>#N/A</v>
      </c>
      <c r="AD255" s="8" t="str">
        <f t="array" ref="AD255">INDEX(Subject!$A:$I,MATCH(RANDBETWEEN(1,16),Subject!$B:$B,0),3)</f>
        <v>#N/A</v>
      </c>
      <c r="AE255" s="8" t="str">
        <f t="array" ref="AE255">INDEX(Subject!$A:$I,MATCH(RANDBETWEEN(1,16),Subject!$B:$B,0),3)</f>
        <v>#N/A</v>
      </c>
      <c r="AF255" s="8" t="str">
        <f t="array" ref="AF255">INDEX(Subject!$A:$I,MATCH(RANDBETWEEN(1,16),Subject!$B:$B,0),3)</f>
        <v>#N/A</v>
      </c>
      <c r="AG255" s="8" t="str">
        <f t="array" ref="AG255">INDEX(Subject!$A:$I,MATCH(RANDBETWEEN(1,16),Subject!$B:$B,0),3)</f>
        <v>#N/A</v>
      </c>
      <c r="AH255" s="8" t="str">
        <f t="array" ref="AH255">INDEX(Subject!$A:$I,MATCH(RANDBETWEEN(1,16),Subject!$B:$B,0),3)</f>
        <v>#N/A</v>
      </c>
      <c r="AI255" s="8" t="str">
        <f t="array" ref="AI255">INDEX(Subject!$A:$I,MATCH(RANDBETWEEN(1,16),Subject!$B:$B,0),3)</f>
        <v>#N/A</v>
      </c>
      <c r="AJ255" s="8" t="str">
        <f t="array" ref="AJ255">INDEX(Subject!$A:$I,MATCH(RANDBETWEEN(1,16),Subject!$B:$B,0),3)</f>
        <v>#N/A</v>
      </c>
      <c r="AK255" s="8" t="str">
        <f t="array" ref="AK255">INDEX(Subject!$A:$I,MATCH(RANDBETWEEN(1,16),Subject!$B:$B,0),3)</f>
        <v>#N/A</v>
      </c>
      <c r="AL255" s="8" t="str">
        <f t="array" ref="AL255">INDEX(Subject!$A:$I,MATCH(RANDBETWEEN(1,16),Subject!$B:$B,0),3)</f>
        <v>#N/A</v>
      </c>
      <c r="AM255" s="18">
        <f t="shared" si="4"/>
        <v>45755.33333</v>
      </c>
      <c r="AN255" s="19">
        <f t="shared" ref="AN255:BZ255" si="255">$A255+C$1</f>
        <v>45755.35417</v>
      </c>
      <c r="AO255" s="19">
        <f t="shared" si="255"/>
        <v>45755.375</v>
      </c>
      <c r="AP255" s="19">
        <f t="shared" si="255"/>
        <v>45755.39583</v>
      </c>
      <c r="AQ255" s="19">
        <f t="shared" si="255"/>
        <v>45755.41667</v>
      </c>
      <c r="AR255" s="19">
        <f t="shared" si="255"/>
        <v>45755.4375</v>
      </c>
      <c r="AS255" s="19">
        <f t="shared" si="255"/>
        <v>45755.45833</v>
      </c>
      <c r="AT255" s="19">
        <f t="shared" si="255"/>
        <v>45755.47917</v>
      </c>
      <c r="AU255" s="19">
        <f t="shared" si="255"/>
        <v>45755.5</v>
      </c>
      <c r="AV255" s="19">
        <f t="shared" si="255"/>
        <v>45755.52083</v>
      </c>
      <c r="AW255" s="19">
        <f t="shared" si="255"/>
        <v>45755.54167</v>
      </c>
      <c r="AX255" s="19">
        <f t="shared" si="255"/>
        <v>45755.5625</v>
      </c>
      <c r="AY255" s="19">
        <f t="shared" si="255"/>
        <v>45755.58333</v>
      </c>
      <c r="AZ255" s="19">
        <f t="shared" si="255"/>
        <v>45755.60417</v>
      </c>
      <c r="BA255" s="19">
        <f t="shared" si="255"/>
        <v>45755.625</v>
      </c>
      <c r="BB255" s="19">
        <f t="shared" si="255"/>
        <v>45755.64583</v>
      </c>
      <c r="BC255" s="19">
        <f t="shared" si="255"/>
        <v>45755.66667</v>
      </c>
      <c r="BD255" s="19">
        <f t="shared" si="255"/>
        <v>45755.6875</v>
      </c>
      <c r="BE255" s="19">
        <f t="shared" si="255"/>
        <v>45755.70833</v>
      </c>
      <c r="BF255" s="19">
        <f t="shared" si="255"/>
        <v>45755.72917</v>
      </c>
      <c r="BG255" s="19">
        <f t="shared" si="255"/>
        <v>45755.75</v>
      </c>
      <c r="BH255" s="19">
        <f t="shared" si="255"/>
        <v>45755.77083</v>
      </c>
      <c r="BI255" s="19">
        <f t="shared" si="255"/>
        <v>45755.79167</v>
      </c>
      <c r="BJ255" s="19">
        <f t="shared" si="255"/>
        <v>45755.8125</v>
      </c>
      <c r="BK255" s="19">
        <f t="shared" si="255"/>
        <v>45755.83333</v>
      </c>
      <c r="BL255" s="19">
        <f t="shared" si="255"/>
        <v>45755.85417</v>
      </c>
      <c r="BM255" s="19">
        <f t="shared" si="255"/>
        <v>45755.875</v>
      </c>
      <c r="BN255" s="19">
        <f t="shared" si="255"/>
        <v>45755.89583</v>
      </c>
      <c r="BO255" s="19">
        <f t="shared" si="255"/>
        <v>45755.91667</v>
      </c>
      <c r="BP255" s="19">
        <f t="shared" si="255"/>
        <v>45755.9375</v>
      </c>
      <c r="BQ255" s="19">
        <f t="shared" si="255"/>
        <v>45755.95833</v>
      </c>
      <c r="BR255" s="19">
        <f t="shared" si="255"/>
        <v>45755.97917</v>
      </c>
      <c r="BS255" s="19">
        <f t="shared" si="255"/>
        <v>45756</v>
      </c>
      <c r="BT255" s="19">
        <f t="shared" si="255"/>
        <v>45756.02083</v>
      </c>
      <c r="BU255" s="19">
        <f t="shared" si="255"/>
        <v>45756.04167</v>
      </c>
      <c r="BV255" s="19">
        <f t="shared" si="255"/>
        <v>45756.0625</v>
      </c>
      <c r="BW255" s="19">
        <f t="shared" si="255"/>
        <v>45756.08333</v>
      </c>
      <c r="BX255" s="19">
        <f t="shared" si="255"/>
        <v>45755</v>
      </c>
      <c r="BY255" s="19">
        <f t="shared" si="255"/>
        <v>45755</v>
      </c>
      <c r="BZ255" s="19">
        <f t="shared" si="255"/>
        <v>45755</v>
      </c>
    </row>
    <row r="256" ht="14.25" customHeight="1">
      <c r="A256" s="17">
        <v>45756.0</v>
      </c>
      <c r="B256" s="2" t="str">
        <f t="array" ref="B256">IF(NOW()&gt;AM256,"",IF(AND((WEEKDAY($A256)+$B$2)&gt;1,((WEEKDAY($A256)+$T$2)&lt;7),(WEEKDAY($A256)&lt;&gt;1)),"work",(INDEX(Subject!$A:$I,MATCH(RANDBETWEEN(1,(MAX(Subject!$B:$B))),Subject!$B:$B,0),3))))</f>
        <v/>
      </c>
      <c r="C256" s="2" t="str">
        <f t="array" ref="C256">IF(NOW()&gt;AN256,"",IF(AND((WEEKDAY($A256)+$B$2)&gt;1,((WEEKDAY($A256)+$T$2)&lt;7),(WEEKDAY($A256)&lt;&gt;1)),"work",(INDEX(Subject!$A:$I,MATCH(RANDBETWEEN(1,(MAX(Subject!$B:$B))),Subject!$B:$B,0),3))))</f>
        <v/>
      </c>
      <c r="D256" s="2" t="str">
        <f t="array" ref="D256">IF(NOW()&gt;AO256,"",IF(AND((WEEKDAY($A256)+$B$2)&gt;1,((WEEKDAY($A256)+$T$2)&lt;7),(WEEKDAY($A256)&lt;&gt;1)),"work",(INDEX(Subject!$A:$I,MATCH(RANDBETWEEN(1,(MAX(Subject!$B:$B))),Subject!$B:$B,0),3))))</f>
        <v/>
      </c>
      <c r="E256" s="2" t="str">
        <f t="array" ref="E256">IF(NOW()&gt;AP256,"",IF(AND((WEEKDAY($A256)+$B$2)&gt;1,((WEEKDAY($A256)+$T$2)&lt;7),(WEEKDAY($A256)&lt;&gt;1)),"work",(INDEX(Subject!$A:$I,MATCH(RANDBETWEEN(1,(MAX(Subject!$B:$B))),Subject!$B:$B,0),3))))</f>
        <v/>
      </c>
      <c r="F256" s="2" t="str">
        <f t="array" ref="F256">IF(NOW()&gt;AQ256,"",IF(AND((WEEKDAY($A256)+$B$2)&gt;1,((WEEKDAY($A256)+$T$2)&lt;7),(WEEKDAY($A256)&lt;&gt;1)),"work",(INDEX(Subject!$A:$I,MATCH(RANDBETWEEN(1,(MAX(Subject!$B:$B))),Subject!$B:$B,0),3))))</f>
        <v/>
      </c>
      <c r="G256" s="2" t="str">
        <f t="array" ref="G256">IF(NOW()&gt;AR256,"",IF(AND((WEEKDAY($A256)+$B$2)&gt;1,((WEEKDAY($A256)+$T$2)&lt;7),(WEEKDAY($A256)&lt;&gt;1)),"work",(INDEX(Subject!$A:$I,MATCH(RANDBETWEEN(1,(MAX(Subject!$B:$B))),Subject!$B:$B,0),3))))</f>
        <v/>
      </c>
      <c r="H256" s="2" t="str">
        <f t="array" ref="H256">IF(NOW()&gt;AS256,"",IF(AND((WEEKDAY($A256)+$B$2)&gt;1,((WEEKDAY($A256)+$T$2)&lt;7),(WEEKDAY($A256)&lt;&gt;1)),"work",(INDEX(Subject!$A:$I,MATCH(RANDBETWEEN(1,(MAX(Subject!$B:$B))),Subject!$B:$B,0),3))))</f>
        <v/>
      </c>
      <c r="I256" s="2" t="str">
        <f t="array" ref="I256">IF(NOW()&gt;AT256,"",IF(AND((WEEKDAY($A256)+$B$2)&gt;1,((WEEKDAY($A256)+$T$2)&lt;7),(WEEKDAY($A256)&lt;&gt;1)),"work",(INDEX(Subject!$A:$I,MATCH(RANDBETWEEN(1,(MAX(Subject!$B:$B))),Subject!$B:$B,0),3))))</f>
        <v/>
      </c>
      <c r="J256" s="2" t="str">
        <f t="array" ref="J256">IF(NOW()&gt;AU256,"",IF(AND((WEEKDAY($A256)+$B$2)&gt;1,((WEEKDAY($A256)+$T$2)&lt;7),(WEEKDAY($A256)&lt;&gt;1)),"work",(INDEX(Subject!$A:$I,MATCH(RANDBETWEEN(1,(MAX(Subject!$B:$B))),Subject!$B:$B,0),3))))</f>
        <v/>
      </c>
      <c r="K256" s="2" t="str">
        <f t="array" ref="K256">IF(NOW()&gt;AV256,"",IF(AND((WEEKDAY($A256)+$B$2)&gt;1,((WEEKDAY($A256)+$T$2)&lt;7),(WEEKDAY($A256)&lt;&gt;1)),"work",(INDEX(Subject!$A:$I,MATCH(RANDBETWEEN(1,(MAX(Subject!$B:$B))),Subject!$B:$B,0),3))))</f>
        <v/>
      </c>
      <c r="L256" s="2" t="str">
        <f t="array" ref="L256">IF(NOW()&gt;AW256,"",IF(AND((WEEKDAY($A256)+$B$2)&gt;1,((WEEKDAY($A256)+$T$2)&lt;7),(WEEKDAY($A256)&lt;&gt;1)),"work",(INDEX(Subject!$A:$I,MATCH(RANDBETWEEN(1,(MAX(Subject!$B:$B))),Subject!$B:$B,0),3))))</f>
        <v/>
      </c>
      <c r="M256" s="2" t="str">
        <f t="array" ref="M256">IF(NOW()&gt;AX256,"",IF(AND((WEEKDAY($A256)+$B$2)&gt;1,((WEEKDAY($A256)+$T$2)&lt;7),(WEEKDAY($A256)&lt;&gt;1)),"work",(INDEX(Subject!$A:$I,MATCH(RANDBETWEEN(1,(MAX(Subject!$B:$B))),Subject!$B:$B,0),3))))</f>
        <v/>
      </c>
      <c r="N256" s="2" t="str">
        <f t="array" ref="N256">IF(NOW()&gt;AY256,"",IF(AND((WEEKDAY($A256)+$B$2)&gt;1,((WEEKDAY($A256)+$T$2)&lt;7),(WEEKDAY($A256)&lt;&gt;1)),"work",(INDEX(Subject!$A:$I,MATCH(RANDBETWEEN(1,(MAX(Subject!$B:$B))),Subject!$B:$B,0),3))))</f>
        <v/>
      </c>
      <c r="O256" s="2" t="str">
        <f t="array" ref="O256">IF(NOW()&gt;AZ256,"",IF(AND((WEEKDAY($A256)+$B$2)&gt;1,((WEEKDAY($A256)+$T$2)&lt;7),(WEEKDAY($A256)&lt;&gt;1)),"work",(INDEX(Subject!$A:$I,MATCH(RANDBETWEEN(1,(MAX(Subject!$B:$B))),Subject!$B:$B,0),3))))</f>
        <v/>
      </c>
      <c r="P256" s="2" t="str">
        <f t="array" ref="P256">IF(NOW()&gt;BA256,"",IF(AND((WEEKDAY($A256)+$B$2)&gt;1,((WEEKDAY($A256)+$T$2)&lt;7),(WEEKDAY($A256)&lt;&gt;1)),"work",(INDEX(Subject!$A:$I,MATCH(RANDBETWEEN(1,(MAX(Subject!$B:$B))),Subject!$B:$B,0),3))))</f>
        <v/>
      </c>
      <c r="Q256" s="2" t="str">
        <f t="array" ref="Q256">IF(NOW()&gt;BB256,"",IF(AND((WEEKDAY($A256)+$B$2)&gt;1,((WEEKDAY($A256)+$T$2)&lt;7),(WEEKDAY($A256)&lt;&gt;1)),"work",(INDEX(Subject!$A:$I,MATCH(RANDBETWEEN(1,(MAX(Subject!$B:$B))),Subject!$B:$B,0),3))))</f>
        <v/>
      </c>
      <c r="R256" s="2" t="str">
        <f t="array" ref="R256">IF(NOW()&gt;BC256,"",IF(AND((WEEKDAY($A256)+$B$2)&gt;1,((WEEKDAY($A256)+$T$2)&lt;7),(WEEKDAY($A256)&lt;&gt;1)),"work",(INDEX(Subject!$A:$I,MATCH(RANDBETWEEN(1,(MAX(Subject!$B:$B))),Subject!$B:$B,0),3))))</f>
        <v/>
      </c>
      <c r="S256" s="2" t="str">
        <f t="array" ref="S256">IF(NOW()&gt;BD256,"",IF(AND((WEEKDAY($A256)+$B$2)&gt;1,((WEEKDAY($A256)+$T$2)&lt;7),(WEEKDAY($A256)&lt;&gt;1)),"work",(INDEX(Subject!$A:$I,MATCH(RANDBETWEEN(1,(MAX(Subject!$B:$B))),Subject!$B:$B,0),3))))</f>
        <v/>
      </c>
      <c r="T256" s="2" t="str">
        <f t="array" ref="T256">IF(NOW()&gt;BE256,"",IF(AND((WEEKDAY($A256)+$B$2)&gt;1,((WEEKDAY($A256)+$T$2)&lt;7),(WEEKDAY($A256)&lt;&gt;1)),"work",(INDEX(Subject!$A:$I,MATCH(RANDBETWEEN(1,(MAX(Subject!$B:$B))),Subject!$B:$B,0),3))))</f>
        <v/>
      </c>
      <c r="U256" s="8" t="str">
        <f t="array" ref="U256">INDEX(Subject!$A:$I,MATCH(RANDBETWEEN(1,16),Subject!$B:$B,0),3)</f>
        <v>#N/A</v>
      </c>
      <c r="V256" s="8" t="str">
        <f t="array" ref="V256">INDEX(Subject!$A:$I,MATCH(RANDBETWEEN(1,16),Subject!$B:$B,0),3)</f>
        <v>#N/A</v>
      </c>
      <c r="W256" s="8" t="str">
        <f t="array" ref="W256">INDEX(Subject!$A:$I,MATCH(RANDBETWEEN(1,16),Subject!$B:$B,0),3)</f>
        <v>#N/A</v>
      </c>
      <c r="X256" s="8" t="str">
        <f t="array" ref="X256">INDEX(Subject!$A:$I,MATCH(RANDBETWEEN(1,16),Subject!$B:$B,0),3)</f>
        <v>#N/A</v>
      </c>
      <c r="Y256" s="8" t="str">
        <f t="array" ref="Y256">INDEX(Subject!$A:$I,MATCH(RANDBETWEEN(1,16),Subject!$B:$B,0),3)</f>
        <v>#N/A</v>
      </c>
      <c r="Z256" s="8" t="str">
        <f t="array" ref="Z256">INDEX(Subject!$A:$I,MATCH(RANDBETWEEN(1,16),Subject!$B:$B,0),3)</f>
        <v>#N/A</v>
      </c>
      <c r="AA256" s="8" t="str">
        <f t="array" ref="AA256">INDEX(Subject!$A:$I,MATCH(RANDBETWEEN(1,16),Subject!$B:$B,0),3)</f>
        <v>#N/A</v>
      </c>
      <c r="AB256" s="8" t="str">
        <f t="array" ref="AB256">INDEX(Subject!$A:$I,MATCH(RANDBETWEEN(1,16),Subject!$B:$B,0),3)</f>
        <v>#N/A</v>
      </c>
      <c r="AC256" s="8" t="str">
        <f t="array" ref="AC256">INDEX(Subject!$A:$I,MATCH(RANDBETWEEN(1,16),Subject!$B:$B,0),3)</f>
        <v>#N/A</v>
      </c>
      <c r="AD256" s="8" t="str">
        <f t="array" ref="AD256">INDEX(Subject!$A:$I,MATCH(RANDBETWEEN(1,16),Subject!$B:$B,0),3)</f>
        <v>#N/A</v>
      </c>
      <c r="AE256" s="8" t="str">
        <f t="array" ref="AE256">INDEX(Subject!$A:$I,MATCH(RANDBETWEEN(1,16),Subject!$B:$B,0),3)</f>
        <v>#N/A</v>
      </c>
      <c r="AF256" s="8" t="str">
        <f t="array" ref="AF256">INDEX(Subject!$A:$I,MATCH(RANDBETWEEN(1,16),Subject!$B:$B,0),3)</f>
        <v>#N/A</v>
      </c>
      <c r="AG256" s="8" t="str">
        <f t="array" ref="AG256">INDEX(Subject!$A:$I,MATCH(RANDBETWEEN(1,16),Subject!$B:$B,0),3)</f>
        <v>#N/A</v>
      </c>
      <c r="AH256" s="8" t="str">
        <f t="array" ref="AH256">INDEX(Subject!$A:$I,MATCH(RANDBETWEEN(1,16),Subject!$B:$B,0),3)</f>
        <v>#N/A</v>
      </c>
      <c r="AI256" s="8" t="str">
        <f t="array" ref="AI256">INDEX(Subject!$A:$I,MATCH(RANDBETWEEN(1,16),Subject!$B:$B,0),3)</f>
        <v>#N/A</v>
      </c>
      <c r="AJ256" s="8" t="str">
        <f t="array" ref="AJ256">INDEX(Subject!$A:$I,MATCH(RANDBETWEEN(1,16),Subject!$B:$B,0),3)</f>
        <v>#N/A</v>
      </c>
      <c r="AK256" s="8" t="str">
        <f t="array" ref="AK256">INDEX(Subject!$A:$I,MATCH(RANDBETWEEN(1,16),Subject!$B:$B,0),3)</f>
        <v>#N/A</v>
      </c>
      <c r="AL256" s="8" t="str">
        <f t="array" ref="AL256">INDEX(Subject!$A:$I,MATCH(RANDBETWEEN(1,16),Subject!$B:$B,0),3)</f>
        <v>#N/A</v>
      </c>
      <c r="AM256" s="18">
        <f t="shared" si="4"/>
        <v>45756.33333</v>
      </c>
      <c r="AN256" s="19">
        <f t="shared" ref="AN256:BZ256" si="256">$A256+C$1</f>
        <v>45756.35417</v>
      </c>
      <c r="AO256" s="19">
        <f t="shared" si="256"/>
        <v>45756.375</v>
      </c>
      <c r="AP256" s="19">
        <f t="shared" si="256"/>
        <v>45756.39583</v>
      </c>
      <c r="AQ256" s="19">
        <f t="shared" si="256"/>
        <v>45756.41667</v>
      </c>
      <c r="AR256" s="19">
        <f t="shared" si="256"/>
        <v>45756.4375</v>
      </c>
      <c r="AS256" s="19">
        <f t="shared" si="256"/>
        <v>45756.45833</v>
      </c>
      <c r="AT256" s="19">
        <f t="shared" si="256"/>
        <v>45756.47917</v>
      </c>
      <c r="AU256" s="19">
        <f t="shared" si="256"/>
        <v>45756.5</v>
      </c>
      <c r="AV256" s="19">
        <f t="shared" si="256"/>
        <v>45756.52083</v>
      </c>
      <c r="AW256" s="19">
        <f t="shared" si="256"/>
        <v>45756.54167</v>
      </c>
      <c r="AX256" s="19">
        <f t="shared" si="256"/>
        <v>45756.5625</v>
      </c>
      <c r="AY256" s="19">
        <f t="shared" si="256"/>
        <v>45756.58333</v>
      </c>
      <c r="AZ256" s="19">
        <f t="shared" si="256"/>
        <v>45756.60417</v>
      </c>
      <c r="BA256" s="19">
        <f t="shared" si="256"/>
        <v>45756.625</v>
      </c>
      <c r="BB256" s="19">
        <f t="shared" si="256"/>
        <v>45756.64583</v>
      </c>
      <c r="BC256" s="19">
        <f t="shared" si="256"/>
        <v>45756.66667</v>
      </c>
      <c r="BD256" s="19">
        <f t="shared" si="256"/>
        <v>45756.6875</v>
      </c>
      <c r="BE256" s="19">
        <f t="shared" si="256"/>
        <v>45756.70833</v>
      </c>
      <c r="BF256" s="19">
        <f t="shared" si="256"/>
        <v>45756.72917</v>
      </c>
      <c r="BG256" s="19">
        <f t="shared" si="256"/>
        <v>45756.75</v>
      </c>
      <c r="BH256" s="19">
        <f t="shared" si="256"/>
        <v>45756.77083</v>
      </c>
      <c r="BI256" s="19">
        <f t="shared" si="256"/>
        <v>45756.79167</v>
      </c>
      <c r="BJ256" s="19">
        <f t="shared" si="256"/>
        <v>45756.8125</v>
      </c>
      <c r="BK256" s="19">
        <f t="shared" si="256"/>
        <v>45756.83333</v>
      </c>
      <c r="BL256" s="19">
        <f t="shared" si="256"/>
        <v>45756.85417</v>
      </c>
      <c r="BM256" s="19">
        <f t="shared" si="256"/>
        <v>45756.875</v>
      </c>
      <c r="BN256" s="19">
        <f t="shared" si="256"/>
        <v>45756.89583</v>
      </c>
      <c r="BO256" s="19">
        <f t="shared" si="256"/>
        <v>45756.91667</v>
      </c>
      <c r="BP256" s="19">
        <f t="shared" si="256"/>
        <v>45756.9375</v>
      </c>
      <c r="BQ256" s="19">
        <f t="shared" si="256"/>
        <v>45756.95833</v>
      </c>
      <c r="BR256" s="19">
        <f t="shared" si="256"/>
        <v>45756.97917</v>
      </c>
      <c r="BS256" s="19">
        <f t="shared" si="256"/>
        <v>45757</v>
      </c>
      <c r="BT256" s="19">
        <f t="shared" si="256"/>
        <v>45757.02083</v>
      </c>
      <c r="BU256" s="19">
        <f t="shared" si="256"/>
        <v>45757.04167</v>
      </c>
      <c r="BV256" s="19">
        <f t="shared" si="256"/>
        <v>45757.0625</v>
      </c>
      <c r="BW256" s="19">
        <f t="shared" si="256"/>
        <v>45757.08333</v>
      </c>
      <c r="BX256" s="19">
        <f t="shared" si="256"/>
        <v>45756</v>
      </c>
      <c r="BY256" s="19">
        <f t="shared" si="256"/>
        <v>45756</v>
      </c>
      <c r="BZ256" s="19">
        <f t="shared" si="256"/>
        <v>45756</v>
      </c>
    </row>
    <row r="257" ht="14.25" customHeight="1">
      <c r="A257" s="17">
        <v>45757.0</v>
      </c>
      <c r="B257" s="2" t="str">
        <f t="array" ref="B257">IF(NOW()&gt;AM257,"",IF(AND((WEEKDAY($A257)+$B$2)&gt;1,((WEEKDAY($A257)+$T$2)&lt;7),(WEEKDAY($A257)&lt;&gt;1)),"work",(INDEX(Subject!$A:$I,MATCH(RANDBETWEEN(1,(MAX(Subject!$B:$B))),Subject!$B:$B,0),3))))</f>
        <v/>
      </c>
      <c r="C257" s="2" t="str">
        <f t="array" ref="C257">IF(NOW()&gt;AN257,"",IF(AND((WEEKDAY($A257)+$B$2)&gt;1,((WEEKDAY($A257)+$T$2)&lt;7),(WEEKDAY($A257)&lt;&gt;1)),"work",(INDEX(Subject!$A:$I,MATCH(RANDBETWEEN(1,(MAX(Subject!$B:$B))),Subject!$B:$B,0),3))))</f>
        <v/>
      </c>
      <c r="D257" s="2" t="str">
        <f t="array" ref="D257">IF(NOW()&gt;AO257,"",IF(AND((WEEKDAY($A257)+$B$2)&gt;1,((WEEKDAY($A257)+$T$2)&lt;7),(WEEKDAY($A257)&lt;&gt;1)),"work",(INDEX(Subject!$A:$I,MATCH(RANDBETWEEN(1,(MAX(Subject!$B:$B))),Subject!$B:$B,0),3))))</f>
        <v/>
      </c>
      <c r="E257" s="2" t="str">
        <f t="array" ref="E257">IF(NOW()&gt;AP257,"",IF(AND((WEEKDAY($A257)+$B$2)&gt;1,((WEEKDAY($A257)+$T$2)&lt;7),(WEEKDAY($A257)&lt;&gt;1)),"work",(INDEX(Subject!$A:$I,MATCH(RANDBETWEEN(1,(MAX(Subject!$B:$B))),Subject!$B:$B,0),3))))</f>
        <v/>
      </c>
      <c r="F257" s="2" t="str">
        <f t="array" ref="F257">IF(NOW()&gt;AQ257,"",IF(AND((WEEKDAY($A257)+$B$2)&gt;1,((WEEKDAY($A257)+$T$2)&lt;7),(WEEKDAY($A257)&lt;&gt;1)),"work",(INDEX(Subject!$A:$I,MATCH(RANDBETWEEN(1,(MAX(Subject!$B:$B))),Subject!$B:$B,0),3))))</f>
        <v/>
      </c>
      <c r="G257" s="2" t="str">
        <f t="array" ref="G257">IF(NOW()&gt;AR257,"",IF(AND((WEEKDAY($A257)+$B$2)&gt;1,((WEEKDAY($A257)+$T$2)&lt;7),(WEEKDAY($A257)&lt;&gt;1)),"work",(INDEX(Subject!$A:$I,MATCH(RANDBETWEEN(1,(MAX(Subject!$B:$B))),Subject!$B:$B,0),3))))</f>
        <v/>
      </c>
      <c r="H257" s="2" t="str">
        <f t="array" ref="H257">IF(NOW()&gt;AS257,"",IF(AND((WEEKDAY($A257)+$B$2)&gt;1,((WEEKDAY($A257)+$T$2)&lt;7),(WEEKDAY($A257)&lt;&gt;1)),"work",(INDEX(Subject!$A:$I,MATCH(RANDBETWEEN(1,(MAX(Subject!$B:$B))),Subject!$B:$B,0),3))))</f>
        <v/>
      </c>
      <c r="I257" s="2" t="str">
        <f t="array" ref="I257">IF(NOW()&gt;AT257,"",IF(AND((WEEKDAY($A257)+$B$2)&gt;1,((WEEKDAY($A257)+$T$2)&lt;7),(WEEKDAY($A257)&lt;&gt;1)),"work",(INDEX(Subject!$A:$I,MATCH(RANDBETWEEN(1,(MAX(Subject!$B:$B))),Subject!$B:$B,0),3))))</f>
        <v/>
      </c>
      <c r="J257" s="2" t="str">
        <f t="array" ref="J257">IF(NOW()&gt;AU257,"",IF(AND((WEEKDAY($A257)+$B$2)&gt;1,((WEEKDAY($A257)+$T$2)&lt;7),(WEEKDAY($A257)&lt;&gt;1)),"work",(INDEX(Subject!$A:$I,MATCH(RANDBETWEEN(1,(MAX(Subject!$B:$B))),Subject!$B:$B,0),3))))</f>
        <v/>
      </c>
      <c r="K257" s="2" t="str">
        <f t="array" ref="K257">IF(NOW()&gt;AV257,"",IF(AND((WEEKDAY($A257)+$B$2)&gt;1,((WEEKDAY($A257)+$T$2)&lt;7),(WEEKDAY($A257)&lt;&gt;1)),"work",(INDEX(Subject!$A:$I,MATCH(RANDBETWEEN(1,(MAX(Subject!$B:$B))),Subject!$B:$B,0),3))))</f>
        <v/>
      </c>
      <c r="L257" s="2" t="str">
        <f t="array" ref="L257">IF(NOW()&gt;AW257,"",IF(AND((WEEKDAY($A257)+$B$2)&gt;1,((WEEKDAY($A257)+$T$2)&lt;7),(WEEKDAY($A257)&lt;&gt;1)),"work",(INDEX(Subject!$A:$I,MATCH(RANDBETWEEN(1,(MAX(Subject!$B:$B))),Subject!$B:$B,0),3))))</f>
        <v/>
      </c>
      <c r="M257" s="2" t="str">
        <f t="array" ref="M257">IF(NOW()&gt;AX257,"",IF(AND((WEEKDAY($A257)+$B$2)&gt;1,((WEEKDAY($A257)+$T$2)&lt;7),(WEEKDAY($A257)&lt;&gt;1)),"work",(INDEX(Subject!$A:$I,MATCH(RANDBETWEEN(1,(MAX(Subject!$B:$B))),Subject!$B:$B,0),3))))</f>
        <v/>
      </c>
      <c r="N257" s="2" t="str">
        <f t="array" ref="N257">IF(NOW()&gt;AY257,"",IF(AND((WEEKDAY($A257)+$B$2)&gt;1,((WEEKDAY($A257)+$T$2)&lt;7),(WEEKDAY($A257)&lt;&gt;1)),"work",(INDEX(Subject!$A:$I,MATCH(RANDBETWEEN(1,(MAX(Subject!$B:$B))),Subject!$B:$B,0),3))))</f>
        <v/>
      </c>
      <c r="O257" s="2" t="str">
        <f t="array" ref="O257">IF(NOW()&gt;AZ257,"",IF(AND((WEEKDAY($A257)+$B$2)&gt;1,((WEEKDAY($A257)+$T$2)&lt;7),(WEEKDAY($A257)&lt;&gt;1)),"work",(INDEX(Subject!$A:$I,MATCH(RANDBETWEEN(1,(MAX(Subject!$B:$B))),Subject!$B:$B,0),3))))</f>
        <v/>
      </c>
      <c r="P257" s="2" t="str">
        <f t="array" ref="P257">IF(NOW()&gt;BA257,"",IF(AND((WEEKDAY($A257)+$B$2)&gt;1,((WEEKDAY($A257)+$T$2)&lt;7),(WEEKDAY($A257)&lt;&gt;1)),"work",(INDEX(Subject!$A:$I,MATCH(RANDBETWEEN(1,(MAX(Subject!$B:$B))),Subject!$B:$B,0),3))))</f>
        <v/>
      </c>
      <c r="Q257" s="2" t="str">
        <f t="array" ref="Q257">IF(NOW()&gt;BB257,"",IF(AND((WEEKDAY($A257)+$B$2)&gt;1,((WEEKDAY($A257)+$T$2)&lt;7),(WEEKDAY($A257)&lt;&gt;1)),"work",(INDEX(Subject!$A:$I,MATCH(RANDBETWEEN(1,(MAX(Subject!$B:$B))),Subject!$B:$B,0),3))))</f>
        <v/>
      </c>
      <c r="R257" s="2" t="str">
        <f t="array" ref="R257">IF(NOW()&gt;BC257,"",IF(AND((WEEKDAY($A257)+$B$2)&gt;1,((WEEKDAY($A257)+$T$2)&lt;7),(WEEKDAY($A257)&lt;&gt;1)),"work",(INDEX(Subject!$A:$I,MATCH(RANDBETWEEN(1,(MAX(Subject!$B:$B))),Subject!$B:$B,0),3))))</f>
        <v/>
      </c>
      <c r="S257" s="2" t="str">
        <f t="array" ref="S257">IF(NOW()&gt;BD257,"",IF(AND((WEEKDAY($A257)+$B$2)&gt;1,((WEEKDAY($A257)+$T$2)&lt;7),(WEEKDAY($A257)&lt;&gt;1)),"work",(INDEX(Subject!$A:$I,MATCH(RANDBETWEEN(1,(MAX(Subject!$B:$B))),Subject!$B:$B,0),3))))</f>
        <v/>
      </c>
      <c r="T257" s="2" t="str">
        <f t="array" ref="T257">IF(NOW()&gt;BE257,"",IF(AND((WEEKDAY($A257)+$B$2)&gt;1,((WEEKDAY($A257)+$T$2)&lt;7),(WEEKDAY($A257)&lt;&gt;1)),"work",(INDEX(Subject!$A:$I,MATCH(RANDBETWEEN(1,(MAX(Subject!$B:$B))),Subject!$B:$B,0),3))))</f>
        <v/>
      </c>
      <c r="U257" s="8" t="str">
        <f t="array" ref="U257">INDEX(Subject!$A:$I,MATCH(RANDBETWEEN(1,16),Subject!$B:$B,0),3)</f>
        <v>#N/A</v>
      </c>
      <c r="V257" s="8" t="str">
        <f t="array" ref="V257">INDEX(Subject!$A:$I,MATCH(RANDBETWEEN(1,16),Subject!$B:$B,0),3)</f>
        <v>#N/A</v>
      </c>
      <c r="W257" s="8" t="str">
        <f t="array" ref="W257">INDEX(Subject!$A:$I,MATCH(RANDBETWEEN(1,16),Subject!$B:$B,0),3)</f>
        <v>#N/A</v>
      </c>
      <c r="X257" s="8" t="str">
        <f t="array" ref="X257">INDEX(Subject!$A:$I,MATCH(RANDBETWEEN(1,16),Subject!$B:$B,0),3)</f>
        <v>#N/A</v>
      </c>
      <c r="Y257" s="8" t="str">
        <f t="array" ref="Y257">INDEX(Subject!$A:$I,MATCH(RANDBETWEEN(1,16),Subject!$B:$B,0),3)</f>
        <v>#N/A</v>
      </c>
      <c r="Z257" s="8" t="str">
        <f t="array" ref="Z257">INDEX(Subject!$A:$I,MATCH(RANDBETWEEN(1,16),Subject!$B:$B,0),3)</f>
        <v>#N/A</v>
      </c>
      <c r="AA257" s="8" t="str">
        <f t="array" ref="AA257">INDEX(Subject!$A:$I,MATCH(RANDBETWEEN(1,16),Subject!$B:$B,0),3)</f>
        <v>#N/A</v>
      </c>
      <c r="AB257" s="8" t="str">
        <f t="array" ref="AB257">INDEX(Subject!$A:$I,MATCH(RANDBETWEEN(1,16),Subject!$B:$B,0),3)</f>
        <v>#N/A</v>
      </c>
      <c r="AC257" s="8" t="str">
        <f t="array" ref="AC257">INDEX(Subject!$A:$I,MATCH(RANDBETWEEN(1,16),Subject!$B:$B,0),3)</f>
        <v>#N/A</v>
      </c>
      <c r="AD257" s="8" t="str">
        <f t="array" ref="AD257">INDEX(Subject!$A:$I,MATCH(RANDBETWEEN(1,16),Subject!$B:$B,0),3)</f>
        <v>#N/A</v>
      </c>
      <c r="AE257" s="8" t="str">
        <f t="array" ref="AE257">INDEX(Subject!$A:$I,MATCH(RANDBETWEEN(1,16),Subject!$B:$B,0),3)</f>
        <v>#N/A</v>
      </c>
      <c r="AF257" s="8" t="str">
        <f t="array" ref="AF257">INDEX(Subject!$A:$I,MATCH(RANDBETWEEN(1,16),Subject!$B:$B,0),3)</f>
        <v>#N/A</v>
      </c>
      <c r="AG257" s="8" t="str">
        <f t="array" ref="AG257">INDEX(Subject!$A:$I,MATCH(RANDBETWEEN(1,16),Subject!$B:$B,0),3)</f>
        <v>#N/A</v>
      </c>
      <c r="AH257" s="8" t="str">
        <f t="array" ref="AH257">INDEX(Subject!$A:$I,MATCH(RANDBETWEEN(1,16),Subject!$B:$B,0),3)</f>
        <v>#N/A</v>
      </c>
      <c r="AI257" s="8" t="str">
        <f t="array" ref="AI257">INDEX(Subject!$A:$I,MATCH(RANDBETWEEN(1,16),Subject!$B:$B,0),3)</f>
        <v>#N/A</v>
      </c>
      <c r="AJ257" s="8" t="str">
        <f t="array" ref="AJ257">INDEX(Subject!$A:$I,MATCH(RANDBETWEEN(1,16),Subject!$B:$B,0),3)</f>
        <v>#N/A</v>
      </c>
      <c r="AK257" s="8" t="str">
        <f t="array" ref="AK257">INDEX(Subject!$A:$I,MATCH(RANDBETWEEN(1,16),Subject!$B:$B,0),3)</f>
        <v>#N/A</v>
      </c>
      <c r="AL257" s="8" t="str">
        <f t="array" ref="AL257">INDEX(Subject!$A:$I,MATCH(RANDBETWEEN(1,16),Subject!$B:$B,0),3)</f>
        <v>#N/A</v>
      </c>
      <c r="AM257" s="18">
        <f t="shared" si="4"/>
        <v>45757.33333</v>
      </c>
      <c r="AN257" s="19">
        <f t="shared" ref="AN257:BZ257" si="257">$A257+C$1</f>
        <v>45757.35417</v>
      </c>
      <c r="AO257" s="19">
        <f t="shared" si="257"/>
        <v>45757.375</v>
      </c>
      <c r="AP257" s="19">
        <f t="shared" si="257"/>
        <v>45757.39583</v>
      </c>
      <c r="AQ257" s="19">
        <f t="shared" si="257"/>
        <v>45757.41667</v>
      </c>
      <c r="AR257" s="19">
        <f t="shared" si="257"/>
        <v>45757.4375</v>
      </c>
      <c r="AS257" s="19">
        <f t="shared" si="257"/>
        <v>45757.45833</v>
      </c>
      <c r="AT257" s="19">
        <f t="shared" si="257"/>
        <v>45757.47917</v>
      </c>
      <c r="AU257" s="19">
        <f t="shared" si="257"/>
        <v>45757.5</v>
      </c>
      <c r="AV257" s="19">
        <f t="shared" si="257"/>
        <v>45757.52083</v>
      </c>
      <c r="AW257" s="19">
        <f t="shared" si="257"/>
        <v>45757.54167</v>
      </c>
      <c r="AX257" s="19">
        <f t="shared" si="257"/>
        <v>45757.5625</v>
      </c>
      <c r="AY257" s="19">
        <f t="shared" si="257"/>
        <v>45757.58333</v>
      </c>
      <c r="AZ257" s="19">
        <f t="shared" si="257"/>
        <v>45757.60417</v>
      </c>
      <c r="BA257" s="19">
        <f t="shared" si="257"/>
        <v>45757.625</v>
      </c>
      <c r="BB257" s="19">
        <f t="shared" si="257"/>
        <v>45757.64583</v>
      </c>
      <c r="BC257" s="19">
        <f t="shared" si="257"/>
        <v>45757.66667</v>
      </c>
      <c r="BD257" s="19">
        <f t="shared" si="257"/>
        <v>45757.6875</v>
      </c>
      <c r="BE257" s="19">
        <f t="shared" si="257"/>
        <v>45757.70833</v>
      </c>
      <c r="BF257" s="19">
        <f t="shared" si="257"/>
        <v>45757.72917</v>
      </c>
      <c r="BG257" s="19">
        <f t="shared" si="257"/>
        <v>45757.75</v>
      </c>
      <c r="BH257" s="19">
        <f t="shared" si="257"/>
        <v>45757.77083</v>
      </c>
      <c r="BI257" s="19">
        <f t="shared" si="257"/>
        <v>45757.79167</v>
      </c>
      <c r="BJ257" s="19">
        <f t="shared" si="257"/>
        <v>45757.8125</v>
      </c>
      <c r="BK257" s="19">
        <f t="shared" si="257"/>
        <v>45757.83333</v>
      </c>
      <c r="BL257" s="19">
        <f t="shared" si="257"/>
        <v>45757.85417</v>
      </c>
      <c r="BM257" s="19">
        <f t="shared" si="257"/>
        <v>45757.875</v>
      </c>
      <c r="BN257" s="19">
        <f t="shared" si="257"/>
        <v>45757.89583</v>
      </c>
      <c r="BO257" s="19">
        <f t="shared" si="257"/>
        <v>45757.91667</v>
      </c>
      <c r="BP257" s="19">
        <f t="shared" si="257"/>
        <v>45757.9375</v>
      </c>
      <c r="BQ257" s="19">
        <f t="shared" si="257"/>
        <v>45757.95833</v>
      </c>
      <c r="BR257" s="19">
        <f t="shared" si="257"/>
        <v>45757.97917</v>
      </c>
      <c r="BS257" s="19">
        <f t="shared" si="257"/>
        <v>45758</v>
      </c>
      <c r="BT257" s="19">
        <f t="shared" si="257"/>
        <v>45758.02083</v>
      </c>
      <c r="BU257" s="19">
        <f t="shared" si="257"/>
        <v>45758.04167</v>
      </c>
      <c r="BV257" s="19">
        <f t="shared" si="257"/>
        <v>45758.0625</v>
      </c>
      <c r="BW257" s="19">
        <f t="shared" si="257"/>
        <v>45758.08333</v>
      </c>
      <c r="BX257" s="19">
        <f t="shared" si="257"/>
        <v>45757</v>
      </c>
      <c r="BY257" s="19">
        <f t="shared" si="257"/>
        <v>45757</v>
      </c>
      <c r="BZ257" s="19">
        <f t="shared" si="257"/>
        <v>45757</v>
      </c>
    </row>
    <row r="258" ht="14.25" customHeight="1">
      <c r="A258" s="17">
        <v>45758.0</v>
      </c>
      <c r="B258" s="2" t="str">
        <f t="array" ref="B258">IF(NOW()&gt;AM258,"",IF(AND((WEEKDAY($A258)+$B$2)&gt;1,((WEEKDAY($A258)+$T$2)&lt;7),(WEEKDAY($A258)&lt;&gt;1)),"work",(INDEX(Subject!$A:$I,MATCH(RANDBETWEEN(1,(MAX(Subject!$B:$B))),Subject!$B:$B,0),3))))</f>
        <v/>
      </c>
      <c r="C258" s="2" t="str">
        <f t="array" ref="C258">IF(NOW()&gt;AN258,"",IF(AND((WEEKDAY($A258)+$B$2)&gt;1,((WEEKDAY($A258)+$T$2)&lt;7),(WEEKDAY($A258)&lt;&gt;1)),"work",(INDEX(Subject!$A:$I,MATCH(RANDBETWEEN(1,(MAX(Subject!$B:$B))),Subject!$B:$B,0),3))))</f>
        <v/>
      </c>
      <c r="D258" s="2" t="str">
        <f t="array" ref="D258">IF(NOW()&gt;AO258,"",IF(AND((WEEKDAY($A258)+$B$2)&gt;1,((WEEKDAY($A258)+$T$2)&lt;7),(WEEKDAY($A258)&lt;&gt;1)),"work",(INDEX(Subject!$A:$I,MATCH(RANDBETWEEN(1,(MAX(Subject!$B:$B))),Subject!$B:$B,0),3))))</f>
        <v/>
      </c>
      <c r="E258" s="2" t="str">
        <f t="array" ref="E258">IF(NOW()&gt;AP258,"",IF(AND((WEEKDAY($A258)+$B$2)&gt;1,((WEEKDAY($A258)+$T$2)&lt;7),(WEEKDAY($A258)&lt;&gt;1)),"work",(INDEX(Subject!$A:$I,MATCH(RANDBETWEEN(1,(MAX(Subject!$B:$B))),Subject!$B:$B,0),3))))</f>
        <v/>
      </c>
      <c r="F258" s="2" t="str">
        <f t="array" ref="F258">IF(NOW()&gt;AQ258,"",IF(AND((WEEKDAY($A258)+$B$2)&gt;1,((WEEKDAY($A258)+$T$2)&lt;7),(WEEKDAY($A258)&lt;&gt;1)),"work",(INDEX(Subject!$A:$I,MATCH(RANDBETWEEN(1,(MAX(Subject!$B:$B))),Subject!$B:$B,0),3))))</f>
        <v/>
      </c>
      <c r="G258" s="2" t="str">
        <f t="array" ref="G258">IF(NOW()&gt;AR258,"",IF(AND((WEEKDAY($A258)+$B$2)&gt;1,((WEEKDAY($A258)+$T$2)&lt;7),(WEEKDAY($A258)&lt;&gt;1)),"work",(INDEX(Subject!$A:$I,MATCH(RANDBETWEEN(1,(MAX(Subject!$B:$B))),Subject!$B:$B,0),3))))</f>
        <v/>
      </c>
      <c r="H258" s="2" t="str">
        <f t="array" ref="H258">IF(NOW()&gt;AS258,"",IF(AND((WEEKDAY($A258)+$B$2)&gt;1,((WEEKDAY($A258)+$T$2)&lt;7),(WEEKDAY($A258)&lt;&gt;1)),"work",(INDEX(Subject!$A:$I,MATCH(RANDBETWEEN(1,(MAX(Subject!$B:$B))),Subject!$B:$B,0),3))))</f>
        <v/>
      </c>
      <c r="I258" s="2" t="str">
        <f t="array" ref="I258">IF(NOW()&gt;AT258,"",IF(AND((WEEKDAY($A258)+$B$2)&gt;1,((WEEKDAY($A258)+$T$2)&lt;7),(WEEKDAY($A258)&lt;&gt;1)),"work",(INDEX(Subject!$A:$I,MATCH(RANDBETWEEN(1,(MAX(Subject!$B:$B))),Subject!$B:$B,0),3))))</f>
        <v/>
      </c>
      <c r="J258" s="2" t="str">
        <f t="array" ref="J258">IF(NOW()&gt;AU258,"",IF(AND((WEEKDAY($A258)+$B$2)&gt;1,((WEEKDAY($A258)+$T$2)&lt;7),(WEEKDAY($A258)&lt;&gt;1)),"work",(INDEX(Subject!$A:$I,MATCH(RANDBETWEEN(1,(MAX(Subject!$B:$B))),Subject!$B:$B,0),3))))</f>
        <v/>
      </c>
      <c r="K258" s="2" t="str">
        <f t="array" ref="K258">IF(NOW()&gt;AV258,"",IF(AND((WEEKDAY($A258)+$B$2)&gt;1,((WEEKDAY($A258)+$T$2)&lt;7),(WEEKDAY($A258)&lt;&gt;1)),"work",(INDEX(Subject!$A:$I,MATCH(RANDBETWEEN(1,(MAX(Subject!$B:$B))),Subject!$B:$B,0),3))))</f>
        <v/>
      </c>
      <c r="L258" s="2" t="str">
        <f t="array" ref="L258">IF(NOW()&gt;AW258,"",IF(AND((WEEKDAY($A258)+$B$2)&gt;1,((WEEKDAY($A258)+$T$2)&lt;7),(WEEKDAY($A258)&lt;&gt;1)),"work",(INDEX(Subject!$A:$I,MATCH(RANDBETWEEN(1,(MAX(Subject!$B:$B))),Subject!$B:$B,0),3))))</f>
        <v/>
      </c>
      <c r="M258" s="2" t="str">
        <f t="array" ref="M258">IF(NOW()&gt;AX258,"",IF(AND((WEEKDAY($A258)+$B$2)&gt;1,((WEEKDAY($A258)+$T$2)&lt;7),(WEEKDAY($A258)&lt;&gt;1)),"work",(INDEX(Subject!$A:$I,MATCH(RANDBETWEEN(1,(MAX(Subject!$B:$B))),Subject!$B:$B,0),3))))</f>
        <v/>
      </c>
      <c r="N258" s="2" t="str">
        <f t="array" ref="N258">IF(NOW()&gt;AY258,"",IF(AND((WEEKDAY($A258)+$B$2)&gt;1,((WEEKDAY($A258)+$T$2)&lt;7),(WEEKDAY($A258)&lt;&gt;1)),"work",(INDEX(Subject!$A:$I,MATCH(RANDBETWEEN(1,(MAX(Subject!$B:$B))),Subject!$B:$B,0),3))))</f>
        <v/>
      </c>
      <c r="O258" s="2" t="str">
        <f t="array" ref="O258">IF(NOW()&gt;AZ258,"",IF(AND((WEEKDAY($A258)+$B$2)&gt;1,((WEEKDAY($A258)+$T$2)&lt;7),(WEEKDAY($A258)&lt;&gt;1)),"work",(INDEX(Subject!$A:$I,MATCH(RANDBETWEEN(1,(MAX(Subject!$B:$B))),Subject!$B:$B,0),3))))</f>
        <v/>
      </c>
      <c r="P258" s="2" t="str">
        <f t="array" ref="P258">IF(NOW()&gt;BA258,"",IF(AND((WEEKDAY($A258)+$B$2)&gt;1,((WEEKDAY($A258)+$T$2)&lt;7),(WEEKDAY($A258)&lt;&gt;1)),"work",(INDEX(Subject!$A:$I,MATCH(RANDBETWEEN(1,(MAX(Subject!$B:$B))),Subject!$B:$B,0),3))))</f>
        <v/>
      </c>
      <c r="Q258" s="2" t="str">
        <f t="array" ref="Q258">IF(NOW()&gt;BB258,"",IF(AND((WEEKDAY($A258)+$B$2)&gt;1,((WEEKDAY($A258)+$T$2)&lt;7),(WEEKDAY($A258)&lt;&gt;1)),"work",(INDEX(Subject!$A:$I,MATCH(RANDBETWEEN(1,(MAX(Subject!$B:$B))),Subject!$B:$B,0),3))))</f>
        <v/>
      </c>
      <c r="R258" s="2" t="str">
        <f t="array" ref="R258">IF(NOW()&gt;BC258,"",IF(AND((WEEKDAY($A258)+$B$2)&gt;1,((WEEKDAY($A258)+$T$2)&lt;7),(WEEKDAY($A258)&lt;&gt;1)),"work",(INDEX(Subject!$A:$I,MATCH(RANDBETWEEN(1,(MAX(Subject!$B:$B))),Subject!$B:$B,0),3))))</f>
        <v/>
      </c>
      <c r="S258" s="2" t="str">
        <f t="array" ref="S258">IF(NOW()&gt;BD258,"",IF(AND((WEEKDAY($A258)+$B$2)&gt;1,((WEEKDAY($A258)+$T$2)&lt;7),(WEEKDAY($A258)&lt;&gt;1)),"work",(INDEX(Subject!$A:$I,MATCH(RANDBETWEEN(1,(MAX(Subject!$B:$B))),Subject!$B:$B,0),3))))</f>
        <v/>
      </c>
      <c r="T258" s="2" t="str">
        <f t="array" ref="T258">IF(NOW()&gt;BE258,"",IF(AND((WEEKDAY($A258)+$B$2)&gt;1,((WEEKDAY($A258)+$T$2)&lt;7),(WEEKDAY($A258)&lt;&gt;1)),"work",(INDEX(Subject!$A:$I,MATCH(RANDBETWEEN(1,(MAX(Subject!$B:$B))),Subject!$B:$B,0),3))))</f>
        <v/>
      </c>
      <c r="U258" s="8" t="str">
        <f t="array" ref="U258">INDEX(Subject!$A:$I,MATCH(RANDBETWEEN(1,16),Subject!$B:$B,0),3)</f>
        <v/>
      </c>
      <c r="V258" s="8" t="str">
        <f t="array" ref="V258">INDEX(Subject!$A:$I,MATCH(RANDBETWEEN(1,16),Subject!$B:$B,0),3)</f>
        <v>#N/A</v>
      </c>
      <c r="W258" s="8" t="str">
        <f t="array" ref="W258">INDEX(Subject!$A:$I,MATCH(RANDBETWEEN(1,16),Subject!$B:$B,0),3)</f>
        <v>#N/A</v>
      </c>
      <c r="X258" s="8" t="str">
        <f t="array" ref="X258">INDEX(Subject!$A:$I,MATCH(RANDBETWEEN(1,16),Subject!$B:$B,0),3)</f>
        <v>#N/A</v>
      </c>
      <c r="Y258" s="8" t="str">
        <f t="array" ref="Y258">INDEX(Subject!$A:$I,MATCH(RANDBETWEEN(1,16),Subject!$B:$B,0),3)</f>
        <v>#N/A</v>
      </c>
      <c r="Z258" s="8" t="str">
        <f t="array" ref="Z258">INDEX(Subject!$A:$I,MATCH(RANDBETWEEN(1,16),Subject!$B:$B,0),3)</f>
        <v>#N/A</v>
      </c>
      <c r="AA258" s="8" t="str">
        <f t="array" ref="AA258">INDEX(Subject!$A:$I,MATCH(RANDBETWEEN(1,16),Subject!$B:$B,0),3)</f>
        <v>#N/A</v>
      </c>
      <c r="AB258" s="8" t="str">
        <f t="array" ref="AB258">INDEX(Subject!$A:$I,MATCH(RANDBETWEEN(1,16),Subject!$B:$B,0),3)</f>
        <v>#N/A</v>
      </c>
      <c r="AC258" s="8" t="str">
        <f t="array" ref="AC258">INDEX(Subject!$A:$I,MATCH(RANDBETWEEN(1,16),Subject!$B:$B,0),3)</f>
        <v>#N/A</v>
      </c>
      <c r="AD258" s="8" t="str">
        <f t="array" ref="AD258">INDEX(Subject!$A:$I,MATCH(RANDBETWEEN(1,16),Subject!$B:$B,0),3)</f>
        <v>#N/A</v>
      </c>
      <c r="AE258" s="8" t="str">
        <f t="array" ref="AE258">INDEX(Subject!$A:$I,MATCH(RANDBETWEEN(1,16),Subject!$B:$B,0),3)</f>
        <v>#N/A</v>
      </c>
      <c r="AF258" s="8" t="str">
        <f t="array" ref="AF258">INDEX(Subject!$A:$I,MATCH(RANDBETWEEN(1,16),Subject!$B:$B,0),3)</f>
        <v>#N/A</v>
      </c>
      <c r="AG258" s="8" t="str">
        <f t="array" ref="AG258">INDEX(Subject!$A:$I,MATCH(RANDBETWEEN(1,16),Subject!$B:$B,0),3)</f>
        <v/>
      </c>
      <c r="AH258" s="8" t="str">
        <f t="array" ref="AH258">INDEX(Subject!$A:$I,MATCH(RANDBETWEEN(1,16),Subject!$B:$B,0),3)</f>
        <v>#N/A</v>
      </c>
      <c r="AI258" s="8" t="str">
        <f t="array" ref="AI258">INDEX(Subject!$A:$I,MATCH(RANDBETWEEN(1,16),Subject!$B:$B,0),3)</f>
        <v>#N/A</v>
      </c>
      <c r="AJ258" s="8" t="str">
        <f t="array" ref="AJ258">INDEX(Subject!$A:$I,MATCH(RANDBETWEEN(1,16),Subject!$B:$B,0),3)</f>
        <v>#N/A</v>
      </c>
      <c r="AK258" s="8" t="str">
        <f t="array" ref="AK258">INDEX(Subject!$A:$I,MATCH(RANDBETWEEN(1,16),Subject!$B:$B,0),3)</f>
        <v>#N/A</v>
      </c>
      <c r="AL258" s="8" t="str">
        <f t="array" ref="AL258">INDEX(Subject!$A:$I,MATCH(RANDBETWEEN(1,16),Subject!$B:$B,0),3)</f>
        <v>#N/A</v>
      </c>
      <c r="AM258" s="18">
        <f t="shared" si="4"/>
        <v>45758.33333</v>
      </c>
      <c r="AN258" s="19">
        <f t="shared" ref="AN258:BZ258" si="258">$A258+C$1</f>
        <v>45758.35417</v>
      </c>
      <c r="AO258" s="19">
        <f t="shared" si="258"/>
        <v>45758.375</v>
      </c>
      <c r="AP258" s="19">
        <f t="shared" si="258"/>
        <v>45758.39583</v>
      </c>
      <c r="AQ258" s="19">
        <f t="shared" si="258"/>
        <v>45758.41667</v>
      </c>
      <c r="AR258" s="19">
        <f t="shared" si="258"/>
        <v>45758.4375</v>
      </c>
      <c r="AS258" s="19">
        <f t="shared" si="258"/>
        <v>45758.45833</v>
      </c>
      <c r="AT258" s="19">
        <f t="shared" si="258"/>
        <v>45758.47917</v>
      </c>
      <c r="AU258" s="19">
        <f t="shared" si="258"/>
        <v>45758.5</v>
      </c>
      <c r="AV258" s="19">
        <f t="shared" si="258"/>
        <v>45758.52083</v>
      </c>
      <c r="AW258" s="19">
        <f t="shared" si="258"/>
        <v>45758.54167</v>
      </c>
      <c r="AX258" s="19">
        <f t="shared" si="258"/>
        <v>45758.5625</v>
      </c>
      <c r="AY258" s="19">
        <f t="shared" si="258"/>
        <v>45758.58333</v>
      </c>
      <c r="AZ258" s="19">
        <f t="shared" si="258"/>
        <v>45758.60417</v>
      </c>
      <c r="BA258" s="19">
        <f t="shared" si="258"/>
        <v>45758.625</v>
      </c>
      <c r="BB258" s="19">
        <f t="shared" si="258"/>
        <v>45758.64583</v>
      </c>
      <c r="BC258" s="19">
        <f t="shared" si="258"/>
        <v>45758.66667</v>
      </c>
      <c r="BD258" s="19">
        <f t="shared" si="258"/>
        <v>45758.6875</v>
      </c>
      <c r="BE258" s="19">
        <f t="shared" si="258"/>
        <v>45758.70833</v>
      </c>
      <c r="BF258" s="19">
        <f t="shared" si="258"/>
        <v>45758.72917</v>
      </c>
      <c r="BG258" s="19">
        <f t="shared" si="258"/>
        <v>45758.75</v>
      </c>
      <c r="BH258" s="19">
        <f t="shared" si="258"/>
        <v>45758.77083</v>
      </c>
      <c r="BI258" s="19">
        <f t="shared" si="258"/>
        <v>45758.79167</v>
      </c>
      <c r="BJ258" s="19">
        <f t="shared" si="258"/>
        <v>45758.8125</v>
      </c>
      <c r="BK258" s="19">
        <f t="shared" si="258"/>
        <v>45758.83333</v>
      </c>
      <c r="BL258" s="19">
        <f t="shared" si="258"/>
        <v>45758.85417</v>
      </c>
      <c r="BM258" s="19">
        <f t="shared" si="258"/>
        <v>45758.875</v>
      </c>
      <c r="BN258" s="19">
        <f t="shared" si="258"/>
        <v>45758.89583</v>
      </c>
      <c r="BO258" s="19">
        <f t="shared" si="258"/>
        <v>45758.91667</v>
      </c>
      <c r="BP258" s="19">
        <f t="shared" si="258"/>
        <v>45758.9375</v>
      </c>
      <c r="BQ258" s="19">
        <f t="shared" si="258"/>
        <v>45758.95833</v>
      </c>
      <c r="BR258" s="19">
        <f t="shared" si="258"/>
        <v>45758.97917</v>
      </c>
      <c r="BS258" s="19">
        <f t="shared" si="258"/>
        <v>45759</v>
      </c>
      <c r="BT258" s="19">
        <f t="shared" si="258"/>
        <v>45759.02083</v>
      </c>
      <c r="BU258" s="19">
        <f t="shared" si="258"/>
        <v>45759.04167</v>
      </c>
      <c r="BV258" s="19">
        <f t="shared" si="258"/>
        <v>45759.0625</v>
      </c>
      <c r="BW258" s="19">
        <f t="shared" si="258"/>
        <v>45759.08333</v>
      </c>
      <c r="BX258" s="19">
        <f t="shared" si="258"/>
        <v>45758</v>
      </c>
      <c r="BY258" s="19">
        <f t="shared" si="258"/>
        <v>45758</v>
      </c>
      <c r="BZ258" s="19">
        <f t="shared" si="258"/>
        <v>45758</v>
      </c>
    </row>
    <row r="259" ht="14.25" customHeight="1">
      <c r="A259" s="17">
        <v>45759.0</v>
      </c>
      <c r="B259" s="2" t="str">
        <f t="array" ref="B259">IF(NOW()&gt;AM259,"",IF(AND((WEEKDAY($A259)+$B$2)&gt;1,((WEEKDAY($A259)+$T$2)&lt;7),(WEEKDAY($A259)&lt;&gt;1)),"work",(INDEX(Subject!$A:$I,MATCH(RANDBETWEEN(1,(MAX(Subject!$B:$B))),Subject!$B:$B,0),3))))</f>
        <v/>
      </c>
      <c r="C259" s="2" t="str">
        <f t="array" ref="C259">IF(NOW()&gt;AN259,"",IF(AND((WEEKDAY($A259)+$B$2)&gt;1,((WEEKDAY($A259)+$T$2)&lt;7),(WEEKDAY($A259)&lt;&gt;1)),"work",(INDEX(Subject!$A:$I,MATCH(RANDBETWEEN(1,(MAX(Subject!$B:$B))),Subject!$B:$B,0),3))))</f>
        <v/>
      </c>
      <c r="D259" s="2" t="str">
        <f t="array" ref="D259">IF(NOW()&gt;AO259,"",IF(AND((WEEKDAY($A259)+$B$2)&gt;1,((WEEKDAY($A259)+$T$2)&lt;7),(WEEKDAY($A259)&lt;&gt;1)),"work",(INDEX(Subject!$A:$I,MATCH(RANDBETWEEN(1,(MAX(Subject!$B:$B))),Subject!$B:$B,0),3))))</f>
        <v/>
      </c>
      <c r="E259" s="2" t="str">
        <f t="array" ref="E259">IF(NOW()&gt;AP259,"",IF(AND((WEEKDAY($A259)+$B$2)&gt;1,((WEEKDAY($A259)+$T$2)&lt;7),(WEEKDAY($A259)&lt;&gt;1)),"work",(INDEX(Subject!$A:$I,MATCH(RANDBETWEEN(1,(MAX(Subject!$B:$B))),Subject!$B:$B,0),3))))</f>
        <v/>
      </c>
      <c r="F259" s="2" t="str">
        <f t="array" ref="F259">IF(NOW()&gt;AQ259,"",IF(AND((WEEKDAY($A259)+$B$2)&gt;1,((WEEKDAY($A259)+$T$2)&lt;7),(WEEKDAY($A259)&lt;&gt;1)),"work",(INDEX(Subject!$A:$I,MATCH(RANDBETWEEN(1,(MAX(Subject!$B:$B))),Subject!$B:$B,0),3))))</f>
        <v/>
      </c>
      <c r="G259" s="2" t="str">
        <f t="array" ref="G259">IF(NOW()&gt;AR259,"",IF(AND((WEEKDAY($A259)+$B$2)&gt;1,((WEEKDAY($A259)+$T$2)&lt;7),(WEEKDAY($A259)&lt;&gt;1)),"work",(INDEX(Subject!$A:$I,MATCH(RANDBETWEEN(1,(MAX(Subject!$B:$B))),Subject!$B:$B,0),3))))</f>
        <v/>
      </c>
      <c r="H259" s="2" t="str">
        <f t="array" ref="H259">IF(NOW()&gt;AS259,"",IF(AND((WEEKDAY($A259)+$B$2)&gt;1,((WEEKDAY($A259)+$T$2)&lt;7),(WEEKDAY($A259)&lt;&gt;1)),"work",(INDEX(Subject!$A:$I,MATCH(RANDBETWEEN(1,(MAX(Subject!$B:$B))),Subject!$B:$B,0),3))))</f>
        <v/>
      </c>
      <c r="I259" s="2" t="str">
        <f t="array" ref="I259">IF(NOW()&gt;AT259,"",IF(AND((WEEKDAY($A259)+$B$2)&gt;1,((WEEKDAY($A259)+$T$2)&lt;7),(WEEKDAY($A259)&lt;&gt;1)),"work",(INDEX(Subject!$A:$I,MATCH(RANDBETWEEN(1,(MAX(Subject!$B:$B))),Subject!$B:$B,0),3))))</f>
        <v/>
      </c>
      <c r="J259" s="2" t="str">
        <f t="array" ref="J259">IF(NOW()&gt;AU259,"",IF(AND((WEEKDAY($A259)+$B$2)&gt;1,((WEEKDAY($A259)+$T$2)&lt;7),(WEEKDAY($A259)&lt;&gt;1)),"work",(INDEX(Subject!$A:$I,MATCH(RANDBETWEEN(1,(MAX(Subject!$B:$B))),Subject!$B:$B,0),3))))</f>
        <v/>
      </c>
      <c r="K259" s="2" t="str">
        <f t="array" ref="K259">IF(NOW()&gt;AV259,"",IF(AND((WEEKDAY($A259)+$B$2)&gt;1,((WEEKDAY($A259)+$T$2)&lt;7),(WEEKDAY($A259)&lt;&gt;1)),"work",(INDEX(Subject!$A:$I,MATCH(RANDBETWEEN(1,(MAX(Subject!$B:$B))),Subject!$B:$B,0),3))))</f>
        <v/>
      </c>
      <c r="L259" s="2" t="str">
        <f t="array" ref="L259">IF(NOW()&gt;AW259,"",IF(AND((WEEKDAY($A259)+$B$2)&gt;1,((WEEKDAY($A259)+$T$2)&lt;7),(WEEKDAY($A259)&lt;&gt;1)),"work",(INDEX(Subject!$A:$I,MATCH(RANDBETWEEN(1,(MAX(Subject!$B:$B))),Subject!$B:$B,0),3))))</f>
        <v/>
      </c>
      <c r="M259" s="2" t="str">
        <f t="array" ref="M259">IF(NOW()&gt;AX259,"",IF(AND((WEEKDAY($A259)+$B$2)&gt;1,((WEEKDAY($A259)+$T$2)&lt;7),(WEEKDAY($A259)&lt;&gt;1)),"work",(INDEX(Subject!$A:$I,MATCH(RANDBETWEEN(1,(MAX(Subject!$B:$B))),Subject!$B:$B,0),3))))</f>
        <v/>
      </c>
      <c r="N259" s="2" t="str">
        <f t="array" ref="N259">IF(NOW()&gt;AY259,"",IF(AND((WEEKDAY($A259)+$B$2)&gt;1,((WEEKDAY($A259)+$T$2)&lt;7),(WEEKDAY($A259)&lt;&gt;1)),"work",(INDEX(Subject!$A:$I,MATCH(RANDBETWEEN(1,(MAX(Subject!$B:$B))),Subject!$B:$B,0),3))))</f>
        <v/>
      </c>
      <c r="O259" s="2" t="str">
        <f t="array" ref="O259">IF(NOW()&gt;AZ259,"",IF(AND((WEEKDAY($A259)+$B$2)&gt;1,((WEEKDAY($A259)+$T$2)&lt;7),(WEEKDAY($A259)&lt;&gt;1)),"work",(INDEX(Subject!$A:$I,MATCH(RANDBETWEEN(1,(MAX(Subject!$B:$B))),Subject!$B:$B,0),3))))</f>
        <v/>
      </c>
      <c r="P259" s="2" t="str">
        <f t="array" ref="P259">IF(NOW()&gt;BA259,"",IF(AND((WEEKDAY($A259)+$B$2)&gt;1,((WEEKDAY($A259)+$T$2)&lt;7),(WEEKDAY($A259)&lt;&gt;1)),"work",(INDEX(Subject!$A:$I,MATCH(RANDBETWEEN(1,(MAX(Subject!$B:$B))),Subject!$B:$B,0),3))))</f>
        <v/>
      </c>
      <c r="Q259" s="2" t="str">
        <f t="array" ref="Q259">IF(NOW()&gt;BB259,"",IF(AND((WEEKDAY($A259)+$B$2)&gt;1,((WEEKDAY($A259)+$T$2)&lt;7),(WEEKDAY($A259)&lt;&gt;1)),"work",(INDEX(Subject!$A:$I,MATCH(RANDBETWEEN(1,(MAX(Subject!$B:$B))),Subject!$B:$B,0),3))))</f>
        <v/>
      </c>
      <c r="R259" s="2" t="str">
        <f t="array" ref="R259">IF(NOW()&gt;BC259,"",IF(AND((WEEKDAY($A259)+$B$2)&gt;1,((WEEKDAY($A259)+$T$2)&lt;7),(WEEKDAY($A259)&lt;&gt;1)),"work",(INDEX(Subject!$A:$I,MATCH(RANDBETWEEN(1,(MAX(Subject!$B:$B))),Subject!$B:$B,0),3))))</f>
        <v/>
      </c>
      <c r="S259" s="2" t="str">
        <f t="array" ref="S259">IF(NOW()&gt;BD259,"",IF(AND((WEEKDAY($A259)+$B$2)&gt;1,((WEEKDAY($A259)+$T$2)&lt;7),(WEEKDAY($A259)&lt;&gt;1)),"work",(INDEX(Subject!$A:$I,MATCH(RANDBETWEEN(1,(MAX(Subject!$B:$B))),Subject!$B:$B,0),3))))</f>
        <v/>
      </c>
      <c r="T259" s="2" t="str">
        <f t="array" ref="T259">IF(NOW()&gt;BE259,"",IF(AND((WEEKDAY($A259)+$B$2)&gt;1,((WEEKDAY($A259)+$T$2)&lt;7),(WEEKDAY($A259)&lt;&gt;1)),"work",(INDEX(Subject!$A:$I,MATCH(RANDBETWEEN(1,(MAX(Subject!$B:$B))),Subject!$B:$B,0),3))))</f>
        <v/>
      </c>
      <c r="U259" s="8" t="str">
        <f t="array" ref="U259">INDEX(Subject!$A:$I,MATCH(RANDBETWEEN(1,16),Subject!$B:$B,0),3)</f>
        <v>#N/A</v>
      </c>
      <c r="V259" s="8" t="str">
        <f t="array" ref="V259">INDEX(Subject!$A:$I,MATCH(RANDBETWEEN(1,16),Subject!$B:$B,0),3)</f>
        <v>#N/A</v>
      </c>
      <c r="W259" s="8" t="str">
        <f t="array" ref="W259">INDEX(Subject!$A:$I,MATCH(RANDBETWEEN(1,16),Subject!$B:$B,0),3)</f>
        <v>#N/A</v>
      </c>
      <c r="X259" s="8" t="str">
        <f t="array" ref="X259">INDEX(Subject!$A:$I,MATCH(RANDBETWEEN(1,16),Subject!$B:$B,0),3)</f>
        <v/>
      </c>
      <c r="Y259" s="8" t="str">
        <f t="array" ref="Y259">INDEX(Subject!$A:$I,MATCH(RANDBETWEEN(1,16),Subject!$B:$B,0),3)</f>
        <v>#N/A</v>
      </c>
      <c r="Z259" s="8" t="str">
        <f t="array" ref="Z259">INDEX(Subject!$A:$I,MATCH(RANDBETWEEN(1,16),Subject!$B:$B,0),3)</f>
        <v>#N/A</v>
      </c>
      <c r="AA259" s="8" t="str">
        <f t="array" ref="AA259">INDEX(Subject!$A:$I,MATCH(RANDBETWEEN(1,16),Subject!$B:$B,0),3)</f>
        <v>#N/A</v>
      </c>
      <c r="AB259" s="8" t="str">
        <f t="array" ref="AB259">INDEX(Subject!$A:$I,MATCH(RANDBETWEEN(1,16),Subject!$B:$B,0),3)</f>
        <v/>
      </c>
      <c r="AC259" s="8" t="str">
        <f t="array" ref="AC259">INDEX(Subject!$A:$I,MATCH(RANDBETWEEN(1,16),Subject!$B:$B,0),3)</f>
        <v>#N/A</v>
      </c>
      <c r="AD259" s="8" t="str">
        <f t="array" ref="AD259">INDEX(Subject!$A:$I,MATCH(RANDBETWEEN(1,16),Subject!$B:$B,0),3)</f>
        <v>#N/A</v>
      </c>
      <c r="AE259" s="8" t="str">
        <f t="array" ref="AE259">INDEX(Subject!$A:$I,MATCH(RANDBETWEEN(1,16),Subject!$B:$B,0),3)</f>
        <v>#N/A</v>
      </c>
      <c r="AF259" s="8" t="str">
        <f t="array" ref="AF259">INDEX(Subject!$A:$I,MATCH(RANDBETWEEN(1,16),Subject!$B:$B,0),3)</f>
        <v>#N/A</v>
      </c>
      <c r="AG259" s="8" t="str">
        <f t="array" ref="AG259">INDEX(Subject!$A:$I,MATCH(RANDBETWEEN(1,16),Subject!$B:$B,0),3)</f>
        <v>#N/A</v>
      </c>
      <c r="AH259" s="8" t="str">
        <f t="array" ref="AH259">INDEX(Subject!$A:$I,MATCH(RANDBETWEEN(1,16),Subject!$B:$B,0),3)</f>
        <v>#N/A</v>
      </c>
      <c r="AI259" s="8" t="str">
        <f t="array" ref="AI259">INDEX(Subject!$A:$I,MATCH(RANDBETWEEN(1,16),Subject!$B:$B,0),3)</f>
        <v>#N/A</v>
      </c>
      <c r="AJ259" s="8" t="str">
        <f t="array" ref="AJ259">INDEX(Subject!$A:$I,MATCH(RANDBETWEEN(1,16),Subject!$B:$B,0),3)</f>
        <v>#N/A</v>
      </c>
      <c r="AK259" s="8" t="str">
        <f t="array" ref="AK259">INDEX(Subject!$A:$I,MATCH(RANDBETWEEN(1,16),Subject!$B:$B,0),3)</f>
        <v>#N/A</v>
      </c>
      <c r="AL259" s="8" t="str">
        <f t="array" ref="AL259">INDEX(Subject!$A:$I,MATCH(RANDBETWEEN(1,16),Subject!$B:$B,0),3)</f>
        <v>#N/A</v>
      </c>
      <c r="AM259" s="18">
        <f t="shared" si="4"/>
        <v>45759.33333</v>
      </c>
      <c r="AN259" s="19">
        <f t="shared" ref="AN259:BZ259" si="259">$A259+C$1</f>
        <v>45759.35417</v>
      </c>
      <c r="AO259" s="19">
        <f t="shared" si="259"/>
        <v>45759.375</v>
      </c>
      <c r="AP259" s="19">
        <f t="shared" si="259"/>
        <v>45759.39583</v>
      </c>
      <c r="AQ259" s="19">
        <f t="shared" si="259"/>
        <v>45759.41667</v>
      </c>
      <c r="AR259" s="19">
        <f t="shared" si="259"/>
        <v>45759.4375</v>
      </c>
      <c r="AS259" s="19">
        <f t="shared" si="259"/>
        <v>45759.45833</v>
      </c>
      <c r="AT259" s="19">
        <f t="shared" si="259"/>
        <v>45759.47917</v>
      </c>
      <c r="AU259" s="19">
        <f t="shared" si="259"/>
        <v>45759.5</v>
      </c>
      <c r="AV259" s="19">
        <f t="shared" si="259"/>
        <v>45759.52083</v>
      </c>
      <c r="AW259" s="19">
        <f t="shared" si="259"/>
        <v>45759.54167</v>
      </c>
      <c r="AX259" s="19">
        <f t="shared" si="259"/>
        <v>45759.5625</v>
      </c>
      <c r="AY259" s="19">
        <f t="shared" si="259"/>
        <v>45759.58333</v>
      </c>
      <c r="AZ259" s="19">
        <f t="shared" si="259"/>
        <v>45759.60417</v>
      </c>
      <c r="BA259" s="19">
        <f t="shared" si="259"/>
        <v>45759.625</v>
      </c>
      <c r="BB259" s="19">
        <f t="shared" si="259"/>
        <v>45759.64583</v>
      </c>
      <c r="BC259" s="19">
        <f t="shared" si="259"/>
        <v>45759.66667</v>
      </c>
      <c r="BD259" s="19">
        <f t="shared" si="259"/>
        <v>45759.6875</v>
      </c>
      <c r="BE259" s="19">
        <f t="shared" si="259"/>
        <v>45759.70833</v>
      </c>
      <c r="BF259" s="19">
        <f t="shared" si="259"/>
        <v>45759.72917</v>
      </c>
      <c r="BG259" s="19">
        <f t="shared" si="259"/>
        <v>45759.75</v>
      </c>
      <c r="BH259" s="19">
        <f t="shared" si="259"/>
        <v>45759.77083</v>
      </c>
      <c r="BI259" s="19">
        <f t="shared" si="259"/>
        <v>45759.79167</v>
      </c>
      <c r="BJ259" s="19">
        <f t="shared" si="259"/>
        <v>45759.8125</v>
      </c>
      <c r="BK259" s="19">
        <f t="shared" si="259"/>
        <v>45759.83333</v>
      </c>
      <c r="BL259" s="19">
        <f t="shared" si="259"/>
        <v>45759.85417</v>
      </c>
      <c r="BM259" s="19">
        <f t="shared" si="259"/>
        <v>45759.875</v>
      </c>
      <c r="BN259" s="19">
        <f t="shared" si="259"/>
        <v>45759.89583</v>
      </c>
      <c r="BO259" s="19">
        <f t="shared" si="259"/>
        <v>45759.91667</v>
      </c>
      <c r="BP259" s="19">
        <f t="shared" si="259"/>
        <v>45759.9375</v>
      </c>
      <c r="BQ259" s="19">
        <f t="shared" si="259"/>
        <v>45759.95833</v>
      </c>
      <c r="BR259" s="19">
        <f t="shared" si="259"/>
        <v>45759.97917</v>
      </c>
      <c r="BS259" s="19">
        <f t="shared" si="259"/>
        <v>45760</v>
      </c>
      <c r="BT259" s="19">
        <f t="shared" si="259"/>
        <v>45760.02083</v>
      </c>
      <c r="BU259" s="19">
        <f t="shared" si="259"/>
        <v>45760.04167</v>
      </c>
      <c r="BV259" s="19">
        <f t="shared" si="259"/>
        <v>45760.0625</v>
      </c>
      <c r="BW259" s="19">
        <f t="shared" si="259"/>
        <v>45760.08333</v>
      </c>
      <c r="BX259" s="19">
        <f t="shared" si="259"/>
        <v>45759</v>
      </c>
      <c r="BY259" s="19">
        <f t="shared" si="259"/>
        <v>45759</v>
      </c>
      <c r="BZ259" s="19">
        <f t="shared" si="259"/>
        <v>45759</v>
      </c>
    </row>
    <row r="260" ht="14.25" customHeight="1">
      <c r="A260" s="17">
        <v>45760.0</v>
      </c>
      <c r="B260" s="2" t="str">
        <f t="array" ref="B260">IF(NOW()&gt;AM260,"",IF(AND((WEEKDAY($A260)+$B$2)&gt;1,((WEEKDAY($A260)+$T$2)&lt;7),(WEEKDAY($A260)&lt;&gt;1)),"work",(INDEX(Subject!$A:$I,MATCH(RANDBETWEEN(1,(MAX(Subject!$B:$B))),Subject!$B:$B,0),3))))</f>
        <v/>
      </c>
      <c r="C260" s="2" t="str">
        <f t="array" ref="C260">IF(NOW()&gt;AN260,"",IF(AND((WEEKDAY($A260)+$B$2)&gt;1,((WEEKDAY($A260)+$T$2)&lt;7),(WEEKDAY($A260)&lt;&gt;1)),"work",(INDEX(Subject!$A:$I,MATCH(RANDBETWEEN(1,(MAX(Subject!$B:$B))),Subject!$B:$B,0),3))))</f>
        <v/>
      </c>
      <c r="D260" s="2" t="str">
        <f t="array" ref="D260">IF(NOW()&gt;AO260,"",IF(AND((WEEKDAY($A260)+$B$2)&gt;1,((WEEKDAY($A260)+$T$2)&lt;7),(WEEKDAY($A260)&lt;&gt;1)),"work",(INDEX(Subject!$A:$I,MATCH(RANDBETWEEN(1,(MAX(Subject!$B:$B))),Subject!$B:$B,0),3))))</f>
        <v/>
      </c>
      <c r="E260" s="2" t="str">
        <f t="array" ref="E260">IF(NOW()&gt;AP260,"",IF(AND((WEEKDAY($A260)+$B$2)&gt;1,((WEEKDAY($A260)+$T$2)&lt;7),(WEEKDAY($A260)&lt;&gt;1)),"work",(INDEX(Subject!$A:$I,MATCH(RANDBETWEEN(1,(MAX(Subject!$B:$B))),Subject!$B:$B,0),3))))</f>
        <v/>
      </c>
      <c r="F260" s="2" t="str">
        <f t="array" ref="F260">IF(NOW()&gt;AQ260,"",IF(AND((WEEKDAY($A260)+$B$2)&gt;1,((WEEKDAY($A260)+$T$2)&lt;7),(WEEKDAY($A260)&lt;&gt;1)),"work",(INDEX(Subject!$A:$I,MATCH(RANDBETWEEN(1,(MAX(Subject!$B:$B))),Subject!$B:$B,0),3))))</f>
        <v/>
      </c>
      <c r="G260" s="2" t="str">
        <f t="array" ref="G260">IF(NOW()&gt;AR260,"",IF(AND((WEEKDAY($A260)+$B$2)&gt;1,((WEEKDAY($A260)+$T$2)&lt;7),(WEEKDAY($A260)&lt;&gt;1)),"work",(INDEX(Subject!$A:$I,MATCH(RANDBETWEEN(1,(MAX(Subject!$B:$B))),Subject!$B:$B,0),3))))</f>
        <v/>
      </c>
      <c r="H260" s="2" t="str">
        <f t="array" ref="H260">IF(NOW()&gt;AS260,"",IF(AND((WEEKDAY($A260)+$B$2)&gt;1,((WEEKDAY($A260)+$T$2)&lt;7),(WEEKDAY($A260)&lt;&gt;1)),"work",(INDEX(Subject!$A:$I,MATCH(RANDBETWEEN(1,(MAX(Subject!$B:$B))),Subject!$B:$B,0),3))))</f>
        <v/>
      </c>
      <c r="I260" s="2" t="str">
        <f t="array" ref="I260">IF(NOW()&gt;AT260,"",IF(AND((WEEKDAY($A260)+$B$2)&gt;1,((WEEKDAY($A260)+$T$2)&lt;7),(WEEKDAY($A260)&lt;&gt;1)),"work",(INDEX(Subject!$A:$I,MATCH(RANDBETWEEN(1,(MAX(Subject!$B:$B))),Subject!$B:$B,0),3))))</f>
        <v/>
      </c>
      <c r="J260" s="2" t="str">
        <f t="array" ref="J260">IF(NOW()&gt;AU260,"",IF(AND((WEEKDAY($A260)+$B$2)&gt;1,((WEEKDAY($A260)+$T$2)&lt;7),(WEEKDAY($A260)&lt;&gt;1)),"work",(INDEX(Subject!$A:$I,MATCH(RANDBETWEEN(1,(MAX(Subject!$B:$B))),Subject!$B:$B,0),3))))</f>
        <v/>
      </c>
      <c r="K260" s="2" t="str">
        <f t="array" ref="K260">IF(NOW()&gt;AV260,"",IF(AND((WEEKDAY($A260)+$B$2)&gt;1,((WEEKDAY($A260)+$T$2)&lt;7),(WEEKDAY($A260)&lt;&gt;1)),"work",(INDEX(Subject!$A:$I,MATCH(RANDBETWEEN(1,(MAX(Subject!$B:$B))),Subject!$B:$B,0),3))))</f>
        <v/>
      </c>
      <c r="L260" s="2" t="str">
        <f t="array" ref="L260">IF(NOW()&gt;AW260,"",IF(AND((WEEKDAY($A260)+$B$2)&gt;1,((WEEKDAY($A260)+$T$2)&lt;7),(WEEKDAY($A260)&lt;&gt;1)),"work",(INDEX(Subject!$A:$I,MATCH(RANDBETWEEN(1,(MAX(Subject!$B:$B))),Subject!$B:$B,0),3))))</f>
        <v/>
      </c>
      <c r="M260" s="2" t="str">
        <f t="array" ref="M260">IF(NOW()&gt;AX260,"",IF(AND((WEEKDAY($A260)+$B$2)&gt;1,((WEEKDAY($A260)+$T$2)&lt;7),(WEEKDAY($A260)&lt;&gt;1)),"work",(INDEX(Subject!$A:$I,MATCH(RANDBETWEEN(1,(MAX(Subject!$B:$B))),Subject!$B:$B,0),3))))</f>
        <v/>
      </c>
      <c r="N260" s="2" t="str">
        <f t="array" ref="N260">IF(NOW()&gt;AY260,"",IF(AND((WEEKDAY($A260)+$B$2)&gt;1,((WEEKDAY($A260)+$T$2)&lt;7),(WEEKDAY($A260)&lt;&gt;1)),"work",(INDEX(Subject!$A:$I,MATCH(RANDBETWEEN(1,(MAX(Subject!$B:$B))),Subject!$B:$B,0),3))))</f>
        <v/>
      </c>
      <c r="O260" s="2" t="str">
        <f t="array" ref="O260">IF(NOW()&gt;AZ260,"",IF(AND((WEEKDAY($A260)+$B$2)&gt;1,((WEEKDAY($A260)+$T$2)&lt;7),(WEEKDAY($A260)&lt;&gt;1)),"work",(INDEX(Subject!$A:$I,MATCH(RANDBETWEEN(1,(MAX(Subject!$B:$B))),Subject!$B:$B,0),3))))</f>
        <v/>
      </c>
      <c r="P260" s="2" t="str">
        <f t="array" ref="P260">IF(NOW()&gt;BA260,"",IF(AND((WEEKDAY($A260)+$B$2)&gt;1,((WEEKDAY($A260)+$T$2)&lt;7),(WEEKDAY($A260)&lt;&gt;1)),"work",(INDEX(Subject!$A:$I,MATCH(RANDBETWEEN(1,(MAX(Subject!$B:$B))),Subject!$B:$B,0),3))))</f>
        <v/>
      </c>
      <c r="Q260" s="2" t="str">
        <f t="array" ref="Q260">IF(NOW()&gt;BB260,"",IF(AND((WEEKDAY($A260)+$B$2)&gt;1,((WEEKDAY($A260)+$T$2)&lt;7),(WEEKDAY($A260)&lt;&gt;1)),"work",(INDEX(Subject!$A:$I,MATCH(RANDBETWEEN(1,(MAX(Subject!$B:$B))),Subject!$B:$B,0),3))))</f>
        <v/>
      </c>
      <c r="R260" s="2" t="str">
        <f t="array" ref="R260">IF(NOW()&gt;BC260,"",IF(AND((WEEKDAY($A260)+$B$2)&gt;1,((WEEKDAY($A260)+$T$2)&lt;7),(WEEKDAY($A260)&lt;&gt;1)),"work",(INDEX(Subject!$A:$I,MATCH(RANDBETWEEN(1,(MAX(Subject!$B:$B))),Subject!$B:$B,0),3))))</f>
        <v/>
      </c>
      <c r="S260" s="2" t="str">
        <f t="array" ref="S260">IF(NOW()&gt;BD260,"",IF(AND((WEEKDAY($A260)+$B$2)&gt;1,((WEEKDAY($A260)+$T$2)&lt;7),(WEEKDAY($A260)&lt;&gt;1)),"work",(INDEX(Subject!$A:$I,MATCH(RANDBETWEEN(1,(MAX(Subject!$B:$B))),Subject!$B:$B,0),3))))</f>
        <v/>
      </c>
      <c r="T260" s="2" t="str">
        <f t="array" ref="T260">IF(NOW()&gt;BE260,"",IF(AND((WEEKDAY($A260)+$B$2)&gt;1,((WEEKDAY($A260)+$T$2)&lt;7),(WEEKDAY($A260)&lt;&gt;1)),"work",(INDEX(Subject!$A:$I,MATCH(RANDBETWEEN(1,(MAX(Subject!$B:$B))),Subject!$B:$B,0),3))))</f>
        <v/>
      </c>
      <c r="U260" s="8" t="str">
        <f t="array" ref="U260">INDEX(Subject!$A:$I,MATCH(RANDBETWEEN(1,16),Subject!$B:$B,0),3)</f>
        <v>#N/A</v>
      </c>
      <c r="V260" s="8" t="str">
        <f t="array" ref="V260">INDEX(Subject!$A:$I,MATCH(RANDBETWEEN(1,16),Subject!$B:$B,0),3)</f>
        <v>#N/A</v>
      </c>
      <c r="W260" s="8" t="str">
        <f t="array" ref="W260">INDEX(Subject!$A:$I,MATCH(RANDBETWEEN(1,16),Subject!$B:$B,0),3)</f>
        <v>#N/A</v>
      </c>
      <c r="X260" s="8" t="str">
        <f t="array" ref="X260">INDEX(Subject!$A:$I,MATCH(RANDBETWEEN(1,16),Subject!$B:$B,0),3)</f>
        <v>#N/A</v>
      </c>
      <c r="Y260" s="8" t="str">
        <f t="array" ref="Y260">INDEX(Subject!$A:$I,MATCH(RANDBETWEEN(1,16),Subject!$B:$B,0),3)</f>
        <v>#N/A</v>
      </c>
      <c r="Z260" s="8" t="str">
        <f t="array" ref="Z260">INDEX(Subject!$A:$I,MATCH(RANDBETWEEN(1,16),Subject!$B:$B,0),3)</f>
        <v>#N/A</v>
      </c>
      <c r="AA260" s="8" t="str">
        <f t="array" ref="AA260">INDEX(Subject!$A:$I,MATCH(RANDBETWEEN(1,16),Subject!$B:$B,0),3)</f>
        <v>#N/A</v>
      </c>
      <c r="AB260" s="8" t="str">
        <f t="array" ref="AB260">INDEX(Subject!$A:$I,MATCH(RANDBETWEEN(1,16),Subject!$B:$B,0),3)</f>
        <v>#N/A</v>
      </c>
      <c r="AC260" s="8" t="str">
        <f t="array" ref="AC260">INDEX(Subject!$A:$I,MATCH(RANDBETWEEN(1,16),Subject!$B:$B,0),3)</f>
        <v>#N/A</v>
      </c>
      <c r="AD260" s="8" t="str">
        <f t="array" ref="AD260">INDEX(Subject!$A:$I,MATCH(RANDBETWEEN(1,16),Subject!$B:$B,0),3)</f>
        <v>#N/A</v>
      </c>
      <c r="AE260" s="8" t="str">
        <f t="array" ref="AE260">INDEX(Subject!$A:$I,MATCH(RANDBETWEEN(1,16),Subject!$B:$B,0),3)</f>
        <v>#N/A</v>
      </c>
      <c r="AF260" s="8" t="str">
        <f t="array" ref="AF260">INDEX(Subject!$A:$I,MATCH(RANDBETWEEN(1,16),Subject!$B:$B,0),3)</f>
        <v/>
      </c>
      <c r="AG260" s="8" t="str">
        <f t="array" ref="AG260">INDEX(Subject!$A:$I,MATCH(RANDBETWEEN(1,16),Subject!$B:$B,0),3)</f>
        <v>#N/A</v>
      </c>
      <c r="AH260" s="8" t="str">
        <f t="array" ref="AH260">INDEX(Subject!$A:$I,MATCH(RANDBETWEEN(1,16),Subject!$B:$B,0),3)</f>
        <v>#N/A</v>
      </c>
      <c r="AI260" s="8" t="str">
        <f t="array" ref="AI260">INDEX(Subject!$A:$I,MATCH(RANDBETWEEN(1,16),Subject!$B:$B,0),3)</f>
        <v/>
      </c>
      <c r="AJ260" s="8" t="str">
        <f t="array" ref="AJ260">INDEX(Subject!$A:$I,MATCH(RANDBETWEEN(1,16),Subject!$B:$B,0),3)</f>
        <v>#N/A</v>
      </c>
      <c r="AK260" s="8" t="str">
        <f t="array" ref="AK260">INDEX(Subject!$A:$I,MATCH(RANDBETWEEN(1,16),Subject!$B:$B,0),3)</f>
        <v>#N/A</v>
      </c>
      <c r="AL260" s="8" t="str">
        <f t="array" ref="AL260">INDEX(Subject!$A:$I,MATCH(RANDBETWEEN(1,16),Subject!$B:$B,0),3)</f>
        <v/>
      </c>
      <c r="AM260" s="18">
        <f t="shared" si="4"/>
        <v>45760.33333</v>
      </c>
      <c r="AN260" s="19">
        <f t="shared" ref="AN260:BZ260" si="260">$A260+C$1</f>
        <v>45760.35417</v>
      </c>
      <c r="AO260" s="19">
        <f t="shared" si="260"/>
        <v>45760.375</v>
      </c>
      <c r="AP260" s="19">
        <f t="shared" si="260"/>
        <v>45760.39583</v>
      </c>
      <c r="AQ260" s="19">
        <f t="shared" si="260"/>
        <v>45760.41667</v>
      </c>
      <c r="AR260" s="19">
        <f t="shared" si="260"/>
        <v>45760.4375</v>
      </c>
      <c r="AS260" s="19">
        <f t="shared" si="260"/>
        <v>45760.45833</v>
      </c>
      <c r="AT260" s="19">
        <f t="shared" si="260"/>
        <v>45760.47917</v>
      </c>
      <c r="AU260" s="19">
        <f t="shared" si="260"/>
        <v>45760.5</v>
      </c>
      <c r="AV260" s="19">
        <f t="shared" si="260"/>
        <v>45760.52083</v>
      </c>
      <c r="AW260" s="19">
        <f t="shared" si="260"/>
        <v>45760.54167</v>
      </c>
      <c r="AX260" s="19">
        <f t="shared" si="260"/>
        <v>45760.5625</v>
      </c>
      <c r="AY260" s="19">
        <f t="shared" si="260"/>
        <v>45760.58333</v>
      </c>
      <c r="AZ260" s="19">
        <f t="shared" si="260"/>
        <v>45760.60417</v>
      </c>
      <c r="BA260" s="19">
        <f t="shared" si="260"/>
        <v>45760.625</v>
      </c>
      <c r="BB260" s="19">
        <f t="shared" si="260"/>
        <v>45760.64583</v>
      </c>
      <c r="BC260" s="19">
        <f t="shared" si="260"/>
        <v>45760.66667</v>
      </c>
      <c r="BD260" s="19">
        <f t="shared" si="260"/>
        <v>45760.6875</v>
      </c>
      <c r="BE260" s="19">
        <f t="shared" si="260"/>
        <v>45760.70833</v>
      </c>
      <c r="BF260" s="19">
        <f t="shared" si="260"/>
        <v>45760.72917</v>
      </c>
      <c r="BG260" s="19">
        <f t="shared" si="260"/>
        <v>45760.75</v>
      </c>
      <c r="BH260" s="19">
        <f t="shared" si="260"/>
        <v>45760.77083</v>
      </c>
      <c r="BI260" s="19">
        <f t="shared" si="260"/>
        <v>45760.79167</v>
      </c>
      <c r="BJ260" s="19">
        <f t="shared" si="260"/>
        <v>45760.8125</v>
      </c>
      <c r="BK260" s="19">
        <f t="shared" si="260"/>
        <v>45760.83333</v>
      </c>
      <c r="BL260" s="19">
        <f t="shared" si="260"/>
        <v>45760.85417</v>
      </c>
      <c r="BM260" s="19">
        <f t="shared" si="260"/>
        <v>45760.875</v>
      </c>
      <c r="BN260" s="19">
        <f t="shared" si="260"/>
        <v>45760.89583</v>
      </c>
      <c r="BO260" s="19">
        <f t="shared" si="260"/>
        <v>45760.91667</v>
      </c>
      <c r="BP260" s="19">
        <f t="shared" si="260"/>
        <v>45760.9375</v>
      </c>
      <c r="BQ260" s="19">
        <f t="shared" si="260"/>
        <v>45760.95833</v>
      </c>
      <c r="BR260" s="19">
        <f t="shared" si="260"/>
        <v>45760.97917</v>
      </c>
      <c r="BS260" s="19">
        <f t="shared" si="260"/>
        <v>45761</v>
      </c>
      <c r="BT260" s="19">
        <f t="shared" si="260"/>
        <v>45761.02083</v>
      </c>
      <c r="BU260" s="19">
        <f t="shared" si="260"/>
        <v>45761.04167</v>
      </c>
      <c r="BV260" s="19">
        <f t="shared" si="260"/>
        <v>45761.0625</v>
      </c>
      <c r="BW260" s="19">
        <f t="shared" si="260"/>
        <v>45761.08333</v>
      </c>
      <c r="BX260" s="19">
        <f t="shared" si="260"/>
        <v>45760</v>
      </c>
      <c r="BY260" s="19">
        <f t="shared" si="260"/>
        <v>45760</v>
      </c>
      <c r="BZ260" s="19">
        <f t="shared" si="260"/>
        <v>45760</v>
      </c>
    </row>
    <row r="261" ht="14.25" customHeight="1">
      <c r="A261" s="17">
        <v>45761.0</v>
      </c>
      <c r="B261" s="2" t="str">
        <f t="array" ref="B261">IF(NOW()&gt;AM261,"",IF(AND((WEEKDAY($A261)+$B$2)&gt;1,((WEEKDAY($A261)+$T$2)&lt;7),(WEEKDAY($A261)&lt;&gt;1)),"work",(INDEX(Subject!$A:$I,MATCH(RANDBETWEEN(1,(MAX(Subject!$B:$B))),Subject!$B:$B,0),3))))</f>
        <v/>
      </c>
      <c r="C261" s="2" t="str">
        <f t="array" ref="C261">IF(NOW()&gt;AN261,"",IF(AND((WEEKDAY($A261)+$B$2)&gt;1,((WEEKDAY($A261)+$T$2)&lt;7),(WEEKDAY($A261)&lt;&gt;1)),"work",(INDEX(Subject!$A:$I,MATCH(RANDBETWEEN(1,(MAX(Subject!$B:$B))),Subject!$B:$B,0),3))))</f>
        <v/>
      </c>
      <c r="D261" s="2" t="str">
        <f t="array" ref="D261">IF(NOW()&gt;AO261,"",IF(AND((WEEKDAY($A261)+$B$2)&gt;1,((WEEKDAY($A261)+$T$2)&lt;7),(WEEKDAY($A261)&lt;&gt;1)),"work",(INDEX(Subject!$A:$I,MATCH(RANDBETWEEN(1,(MAX(Subject!$B:$B))),Subject!$B:$B,0),3))))</f>
        <v/>
      </c>
      <c r="E261" s="2" t="str">
        <f t="array" ref="E261">IF(NOW()&gt;AP261,"",IF(AND((WEEKDAY($A261)+$B$2)&gt;1,((WEEKDAY($A261)+$T$2)&lt;7),(WEEKDAY($A261)&lt;&gt;1)),"work",(INDEX(Subject!$A:$I,MATCH(RANDBETWEEN(1,(MAX(Subject!$B:$B))),Subject!$B:$B,0),3))))</f>
        <v/>
      </c>
      <c r="F261" s="2" t="str">
        <f t="array" ref="F261">IF(NOW()&gt;AQ261,"",IF(AND((WEEKDAY($A261)+$B$2)&gt;1,((WEEKDAY($A261)+$T$2)&lt;7),(WEEKDAY($A261)&lt;&gt;1)),"work",(INDEX(Subject!$A:$I,MATCH(RANDBETWEEN(1,(MAX(Subject!$B:$B))),Subject!$B:$B,0),3))))</f>
        <v/>
      </c>
      <c r="G261" s="2" t="str">
        <f t="array" ref="G261">IF(NOW()&gt;AR261,"",IF(AND((WEEKDAY($A261)+$B$2)&gt;1,((WEEKDAY($A261)+$T$2)&lt;7),(WEEKDAY($A261)&lt;&gt;1)),"work",(INDEX(Subject!$A:$I,MATCH(RANDBETWEEN(1,(MAX(Subject!$B:$B))),Subject!$B:$B,0),3))))</f>
        <v/>
      </c>
      <c r="H261" s="2" t="str">
        <f t="array" ref="H261">IF(NOW()&gt;AS261,"",IF(AND((WEEKDAY($A261)+$B$2)&gt;1,((WEEKDAY($A261)+$T$2)&lt;7),(WEEKDAY($A261)&lt;&gt;1)),"work",(INDEX(Subject!$A:$I,MATCH(RANDBETWEEN(1,(MAX(Subject!$B:$B))),Subject!$B:$B,0),3))))</f>
        <v/>
      </c>
      <c r="I261" s="2" t="str">
        <f t="array" ref="I261">IF(NOW()&gt;AT261,"",IF(AND((WEEKDAY($A261)+$B$2)&gt;1,((WEEKDAY($A261)+$T$2)&lt;7),(WEEKDAY($A261)&lt;&gt;1)),"work",(INDEX(Subject!$A:$I,MATCH(RANDBETWEEN(1,(MAX(Subject!$B:$B))),Subject!$B:$B,0),3))))</f>
        <v/>
      </c>
      <c r="J261" s="2" t="str">
        <f t="array" ref="J261">IF(NOW()&gt;AU261,"",IF(AND((WEEKDAY($A261)+$B$2)&gt;1,((WEEKDAY($A261)+$T$2)&lt;7),(WEEKDAY($A261)&lt;&gt;1)),"work",(INDEX(Subject!$A:$I,MATCH(RANDBETWEEN(1,(MAX(Subject!$B:$B))),Subject!$B:$B,0),3))))</f>
        <v/>
      </c>
      <c r="K261" s="2" t="str">
        <f t="array" ref="K261">IF(NOW()&gt;AV261,"",IF(AND((WEEKDAY($A261)+$B$2)&gt;1,((WEEKDAY($A261)+$T$2)&lt;7),(WEEKDAY($A261)&lt;&gt;1)),"work",(INDEX(Subject!$A:$I,MATCH(RANDBETWEEN(1,(MAX(Subject!$B:$B))),Subject!$B:$B,0),3))))</f>
        <v/>
      </c>
      <c r="L261" s="2" t="str">
        <f t="array" ref="L261">IF(NOW()&gt;AW261,"",IF(AND((WEEKDAY($A261)+$B$2)&gt;1,((WEEKDAY($A261)+$T$2)&lt;7),(WEEKDAY($A261)&lt;&gt;1)),"work",(INDEX(Subject!$A:$I,MATCH(RANDBETWEEN(1,(MAX(Subject!$B:$B))),Subject!$B:$B,0),3))))</f>
        <v/>
      </c>
      <c r="M261" s="2" t="str">
        <f t="array" ref="M261">IF(NOW()&gt;AX261,"",IF(AND((WEEKDAY($A261)+$B$2)&gt;1,((WEEKDAY($A261)+$T$2)&lt;7),(WEEKDAY($A261)&lt;&gt;1)),"work",(INDEX(Subject!$A:$I,MATCH(RANDBETWEEN(1,(MAX(Subject!$B:$B))),Subject!$B:$B,0),3))))</f>
        <v/>
      </c>
      <c r="N261" s="2" t="str">
        <f t="array" ref="N261">IF(NOW()&gt;AY261,"",IF(AND((WEEKDAY($A261)+$B$2)&gt;1,((WEEKDAY($A261)+$T$2)&lt;7),(WEEKDAY($A261)&lt;&gt;1)),"work",(INDEX(Subject!$A:$I,MATCH(RANDBETWEEN(1,(MAX(Subject!$B:$B))),Subject!$B:$B,0),3))))</f>
        <v/>
      </c>
      <c r="O261" s="2" t="str">
        <f t="array" ref="O261">IF(NOW()&gt;AZ261,"",IF(AND((WEEKDAY($A261)+$B$2)&gt;1,((WEEKDAY($A261)+$T$2)&lt;7),(WEEKDAY($A261)&lt;&gt;1)),"work",(INDEX(Subject!$A:$I,MATCH(RANDBETWEEN(1,(MAX(Subject!$B:$B))),Subject!$B:$B,0),3))))</f>
        <v/>
      </c>
      <c r="P261" s="2" t="str">
        <f t="array" ref="P261">IF(NOW()&gt;BA261,"",IF(AND((WEEKDAY($A261)+$B$2)&gt;1,((WEEKDAY($A261)+$T$2)&lt;7),(WEEKDAY($A261)&lt;&gt;1)),"work",(INDEX(Subject!$A:$I,MATCH(RANDBETWEEN(1,(MAX(Subject!$B:$B))),Subject!$B:$B,0),3))))</f>
        <v/>
      </c>
      <c r="Q261" s="2" t="str">
        <f t="array" ref="Q261">IF(NOW()&gt;BB261,"",IF(AND((WEEKDAY($A261)+$B$2)&gt;1,((WEEKDAY($A261)+$T$2)&lt;7),(WEEKDAY($A261)&lt;&gt;1)),"work",(INDEX(Subject!$A:$I,MATCH(RANDBETWEEN(1,(MAX(Subject!$B:$B))),Subject!$B:$B,0),3))))</f>
        <v/>
      </c>
      <c r="R261" s="2" t="str">
        <f t="array" ref="R261">IF(NOW()&gt;BC261,"",IF(AND((WEEKDAY($A261)+$B$2)&gt;1,((WEEKDAY($A261)+$T$2)&lt;7),(WEEKDAY($A261)&lt;&gt;1)),"work",(INDEX(Subject!$A:$I,MATCH(RANDBETWEEN(1,(MAX(Subject!$B:$B))),Subject!$B:$B,0),3))))</f>
        <v/>
      </c>
      <c r="S261" s="2" t="str">
        <f t="array" ref="S261">IF(NOW()&gt;BD261,"",IF(AND((WEEKDAY($A261)+$B$2)&gt;1,((WEEKDAY($A261)+$T$2)&lt;7),(WEEKDAY($A261)&lt;&gt;1)),"work",(INDEX(Subject!$A:$I,MATCH(RANDBETWEEN(1,(MAX(Subject!$B:$B))),Subject!$B:$B,0),3))))</f>
        <v/>
      </c>
      <c r="T261" s="2" t="str">
        <f t="array" ref="T261">IF(NOW()&gt;BE261,"",IF(AND((WEEKDAY($A261)+$B$2)&gt;1,((WEEKDAY($A261)+$T$2)&lt;7),(WEEKDAY($A261)&lt;&gt;1)),"work",(INDEX(Subject!$A:$I,MATCH(RANDBETWEEN(1,(MAX(Subject!$B:$B))),Subject!$B:$B,0),3))))</f>
        <v/>
      </c>
      <c r="U261" s="8" t="str">
        <f t="array" ref="U261">INDEX(Subject!$A:$I,MATCH(RANDBETWEEN(1,16),Subject!$B:$B,0),3)</f>
        <v>#N/A</v>
      </c>
      <c r="V261" s="8" t="str">
        <f t="array" ref="V261">INDEX(Subject!$A:$I,MATCH(RANDBETWEEN(1,16),Subject!$B:$B,0),3)</f>
        <v>#N/A</v>
      </c>
      <c r="W261" s="8" t="str">
        <f t="array" ref="W261">INDEX(Subject!$A:$I,MATCH(RANDBETWEEN(1,16),Subject!$B:$B,0),3)</f>
        <v>#N/A</v>
      </c>
      <c r="X261" s="8" t="str">
        <f t="array" ref="X261">INDEX(Subject!$A:$I,MATCH(RANDBETWEEN(1,16),Subject!$B:$B,0),3)</f>
        <v>#N/A</v>
      </c>
      <c r="Y261" s="8" t="str">
        <f t="array" ref="Y261">INDEX(Subject!$A:$I,MATCH(RANDBETWEEN(1,16),Subject!$B:$B,0),3)</f>
        <v>#N/A</v>
      </c>
      <c r="Z261" s="8" t="str">
        <f t="array" ref="Z261">INDEX(Subject!$A:$I,MATCH(RANDBETWEEN(1,16),Subject!$B:$B,0),3)</f>
        <v>#N/A</v>
      </c>
      <c r="AA261" s="8" t="str">
        <f t="array" ref="AA261">INDEX(Subject!$A:$I,MATCH(RANDBETWEEN(1,16),Subject!$B:$B,0),3)</f>
        <v>#N/A</v>
      </c>
      <c r="AB261" s="8" t="str">
        <f t="array" ref="AB261">INDEX(Subject!$A:$I,MATCH(RANDBETWEEN(1,16),Subject!$B:$B,0),3)</f>
        <v>#N/A</v>
      </c>
      <c r="AC261" s="8" t="str">
        <f t="array" ref="AC261">INDEX(Subject!$A:$I,MATCH(RANDBETWEEN(1,16),Subject!$B:$B,0),3)</f>
        <v>#N/A</v>
      </c>
      <c r="AD261" s="8" t="str">
        <f t="array" ref="AD261">INDEX(Subject!$A:$I,MATCH(RANDBETWEEN(1,16),Subject!$B:$B,0),3)</f>
        <v>#N/A</v>
      </c>
      <c r="AE261" s="8" t="str">
        <f t="array" ref="AE261">INDEX(Subject!$A:$I,MATCH(RANDBETWEEN(1,16),Subject!$B:$B,0),3)</f>
        <v>#N/A</v>
      </c>
      <c r="AF261" s="8" t="str">
        <f t="array" ref="AF261">INDEX(Subject!$A:$I,MATCH(RANDBETWEEN(1,16),Subject!$B:$B,0),3)</f>
        <v>#N/A</v>
      </c>
      <c r="AG261" s="8" t="str">
        <f t="array" ref="AG261">INDEX(Subject!$A:$I,MATCH(RANDBETWEEN(1,16),Subject!$B:$B,0),3)</f>
        <v>#N/A</v>
      </c>
      <c r="AH261" s="8" t="str">
        <f t="array" ref="AH261">INDEX(Subject!$A:$I,MATCH(RANDBETWEEN(1,16),Subject!$B:$B,0),3)</f>
        <v>#N/A</v>
      </c>
      <c r="AI261" s="8" t="str">
        <f t="array" ref="AI261">INDEX(Subject!$A:$I,MATCH(RANDBETWEEN(1,16),Subject!$B:$B,0),3)</f>
        <v>#N/A</v>
      </c>
      <c r="AJ261" s="8" t="str">
        <f t="array" ref="AJ261">INDEX(Subject!$A:$I,MATCH(RANDBETWEEN(1,16),Subject!$B:$B,0),3)</f>
        <v>#N/A</v>
      </c>
      <c r="AK261" s="8" t="str">
        <f t="array" ref="AK261">INDEX(Subject!$A:$I,MATCH(RANDBETWEEN(1,16),Subject!$B:$B,0),3)</f>
        <v>#N/A</v>
      </c>
      <c r="AL261" s="8" t="str">
        <f t="array" ref="AL261">INDEX(Subject!$A:$I,MATCH(RANDBETWEEN(1,16),Subject!$B:$B,0),3)</f>
        <v>#N/A</v>
      </c>
      <c r="AM261" s="18">
        <f t="shared" si="4"/>
        <v>45761.33333</v>
      </c>
      <c r="AN261" s="19">
        <f t="shared" ref="AN261:BZ261" si="261">$A261+C$1</f>
        <v>45761.35417</v>
      </c>
      <c r="AO261" s="19">
        <f t="shared" si="261"/>
        <v>45761.375</v>
      </c>
      <c r="AP261" s="19">
        <f t="shared" si="261"/>
        <v>45761.39583</v>
      </c>
      <c r="AQ261" s="19">
        <f t="shared" si="261"/>
        <v>45761.41667</v>
      </c>
      <c r="AR261" s="19">
        <f t="shared" si="261"/>
        <v>45761.4375</v>
      </c>
      <c r="AS261" s="19">
        <f t="shared" si="261"/>
        <v>45761.45833</v>
      </c>
      <c r="AT261" s="19">
        <f t="shared" si="261"/>
        <v>45761.47917</v>
      </c>
      <c r="AU261" s="19">
        <f t="shared" si="261"/>
        <v>45761.5</v>
      </c>
      <c r="AV261" s="19">
        <f t="shared" si="261"/>
        <v>45761.52083</v>
      </c>
      <c r="AW261" s="19">
        <f t="shared" si="261"/>
        <v>45761.54167</v>
      </c>
      <c r="AX261" s="19">
        <f t="shared" si="261"/>
        <v>45761.5625</v>
      </c>
      <c r="AY261" s="19">
        <f t="shared" si="261"/>
        <v>45761.58333</v>
      </c>
      <c r="AZ261" s="19">
        <f t="shared" si="261"/>
        <v>45761.60417</v>
      </c>
      <c r="BA261" s="19">
        <f t="shared" si="261"/>
        <v>45761.625</v>
      </c>
      <c r="BB261" s="19">
        <f t="shared" si="261"/>
        <v>45761.64583</v>
      </c>
      <c r="BC261" s="19">
        <f t="shared" si="261"/>
        <v>45761.66667</v>
      </c>
      <c r="BD261" s="19">
        <f t="shared" si="261"/>
        <v>45761.6875</v>
      </c>
      <c r="BE261" s="19">
        <f t="shared" si="261"/>
        <v>45761.70833</v>
      </c>
      <c r="BF261" s="19">
        <f t="shared" si="261"/>
        <v>45761.72917</v>
      </c>
      <c r="BG261" s="19">
        <f t="shared" si="261"/>
        <v>45761.75</v>
      </c>
      <c r="BH261" s="19">
        <f t="shared" si="261"/>
        <v>45761.77083</v>
      </c>
      <c r="BI261" s="19">
        <f t="shared" si="261"/>
        <v>45761.79167</v>
      </c>
      <c r="BJ261" s="19">
        <f t="shared" si="261"/>
        <v>45761.8125</v>
      </c>
      <c r="BK261" s="19">
        <f t="shared" si="261"/>
        <v>45761.83333</v>
      </c>
      <c r="BL261" s="19">
        <f t="shared" si="261"/>
        <v>45761.85417</v>
      </c>
      <c r="BM261" s="19">
        <f t="shared" si="261"/>
        <v>45761.875</v>
      </c>
      <c r="BN261" s="19">
        <f t="shared" si="261"/>
        <v>45761.89583</v>
      </c>
      <c r="BO261" s="19">
        <f t="shared" si="261"/>
        <v>45761.91667</v>
      </c>
      <c r="BP261" s="19">
        <f t="shared" si="261"/>
        <v>45761.9375</v>
      </c>
      <c r="BQ261" s="19">
        <f t="shared" si="261"/>
        <v>45761.95833</v>
      </c>
      <c r="BR261" s="19">
        <f t="shared" si="261"/>
        <v>45761.97917</v>
      </c>
      <c r="BS261" s="19">
        <f t="shared" si="261"/>
        <v>45762</v>
      </c>
      <c r="BT261" s="19">
        <f t="shared" si="261"/>
        <v>45762.02083</v>
      </c>
      <c r="BU261" s="19">
        <f t="shared" si="261"/>
        <v>45762.04167</v>
      </c>
      <c r="BV261" s="19">
        <f t="shared" si="261"/>
        <v>45762.0625</v>
      </c>
      <c r="BW261" s="19">
        <f t="shared" si="261"/>
        <v>45762.08333</v>
      </c>
      <c r="BX261" s="19">
        <f t="shared" si="261"/>
        <v>45761</v>
      </c>
      <c r="BY261" s="19">
        <f t="shared" si="261"/>
        <v>45761</v>
      </c>
      <c r="BZ261" s="19">
        <f t="shared" si="261"/>
        <v>45761</v>
      </c>
    </row>
    <row r="262" ht="14.25" customHeight="1">
      <c r="A262" s="17">
        <v>45762.0</v>
      </c>
      <c r="B262" s="2" t="str">
        <f t="array" ref="B262">IF(NOW()&gt;AM262,"",IF(AND((WEEKDAY($A262)+$B$2)&gt;1,((WEEKDAY($A262)+$T$2)&lt;7),(WEEKDAY($A262)&lt;&gt;1)),"work",(INDEX(Subject!$A:$I,MATCH(RANDBETWEEN(1,(MAX(Subject!$B:$B))),Subject!$B:$B,0),3))))</f>
        <v/>
      </c>
      <c r="C262" s="2" t="str">
        <f t="array" ref="C262">IF(NOW()&gt;AN262,"",IF(AND((WEEKDAY($A262)+$B$2)&gt;1,((WEEKDAY($A262)+$T$2)&lt;7),(WEEKDAY($A262)&lt;&gt;1)),"work",(INDEX(Subject!$A:$I,MATCH(RANDBETWEEN(1,(MAX(Subject!$B:$B))),Subject!$B:$B,0),3))))</f>
        <v/>
      </c>
      <c r="D262" s="2" t="str">
        <f t="array" ref="D262">IF(NOW()&gt;AO262,"",IF(AND((WEEKDAY($A262)+$B$2)&gt;1,((WEEKDAY($A262)+$T$2)&lt;7),(WEEKDAY($A262)&lt;&gt;1)),"work",(INDEX(Subject!$A:$I,MATCH(RANDBETWEEN(1,(MAX(Subject!$B:$B))),Subject!$B:$B,0),3))))</f>
        <v/>
      </c>
      <c r="E262" s="2" t="str">
        <f t="array" ref="E262">IF(NOW()&gt;AP262,"",IF(AND((WEEKDAY($A262)+$B$2)&gt;1,((WEEKDAY($A262)+$T$2)&lt;7),(WEEKDAY($A262)&lt;&gt;1)),"work",(INDEX(Subject!$A:$I,MATCH(RANDBETWEEN(1,(MAX(Subject!$B:$B))),Subject!$B:$B,0),3))))</f>
        <v/>
      </c>
      <c r="F262" s="2" t="str">
        <f t="array" ref="F262">IF(NOW()&gt;AQ262,"",IF(AND((WEEKDAY($A262)+$B$2)&gt;1,((WEEKDAY($A262)+$T$2)&lt;7),(WEEKDAY($A262)&lt;&gt;1)),"work",(INDEX(Subject!$A:$I,MATCH(RANDBETWEEN(1,(MAX(Subject!$B:$B))),Subject!$B:$B,0),3))))</f>
        <v/>
      </c>
      <c r="G262" s="2" t="str">
        <f t="array" ref="G262">IF(NOW()&gt;AR262,"",IF(AND((WEEKDAY($A262)+$B$2)&gt;1,((WEEKDAY($A262)+$T$2)&lt;7),(WEEKDAY($A262)&lt;&gt;1)),"work",(INDEX(Subject!$A:$I,MATCH(RANDBETWEEN(1,(MAX(Subject!$B:$B))),Subject!$B:$B,0),3))))</f>
        <v/>
      </c>
      <c r="H262" s="2" t="str">
        <f t="array" ref="H262">IF(NOW()&gt;AS262,"",IF(AND((WEEKDAY($A262)+$B$2)&gt;1,((WEEKDAY($A262)+$T$2)&lt;7),(WEEKDAY($A262)&lt;&gt;1)),"work",(INDEX(Subject!$A:$I,MATCH(RANDBETWEEN(1,(MAX(Subject!$B:$B))),Subject!$B:$B,0),3))))</f>
        <v/>
      </c>
      <c r="I262" s="2" t="str">
        <f t="array" ref="I262">IF(NOW()&gt;AT262,"",IF(AND((WEEKDAY($A262)+$B$2)&gt;1,((WEEKDAY($A262)+$T$2)&lt;7),(WEEKDAY($A262)&lt;&gt;1)),"work",(INDEX(Subject!$A:$I,MATCH(RANDBETWEEN(1,(MAX(Subject!$B:$B))),Subject!$B:$B,0),3))))</f>
        <v/>
      </c>
      <c r="J262" s="2" t="str">
        <f t="array" ref="J262">IF(NOW()&gt;AU262,"",IF(AND((WEEKDAY($A262)+$B$2)&gt;1,((WEEKDAY($A262)+$T$2)&lt;7),(WEEKDAY($A262)&lt;&gt;1)),"work",(INDEX(Subject!$A:$I,MATCH(RANDBETWEEN(1,(MAX(Subject!$B:$B))),Subject!$B:$B,0),3))))</f>
        <v/>
      </c>
      <c r="K262" s="2" t="str">
        <f t="array" ref="K262">IF(NOW()&gt;AV262,"",IF(AND((WEEKDAY($A262)+$B$2)&gt;1,((WEEKDAY($A262)+$T$2)&lt;7),(WEEKDAY($A262)&lt;&gt;1)),"work",(INDEX(Subject!$A:$I,MATCH(RANDBETWEEN(1,(MAX(Subject!$B:$B))),Subject!$B:$B,0),3))))</f>
        <v/>
      </c>
      <c r="L262" s="2" t="str">
        <f t="array" ref="L262">IF(NOW()&gt;AW262,"",IF(AND((WEEKDAY($A262)+$B$2)&gt;1,((WEEKDAY($A262)+$T$2)&lt;7),(WEEKDAY($A262)&lt;&gt;1)),"work",(INDEX(Subject!$A:$I,MATCH(RANDBETWEEN(1,(MAX(Subject!$B:$B))),Subject!$B:$B,0),3))))</f>
        <v/>
      </c>
      <c r="M262" s="2" t="str">
        <f t="array" ref="M262">IF(NOW()&gt;AX262,"",IF(AND((WEEKDAY($A262)+$B$2)&gt;1,((WEEKDAY($A262)+$T$2)&lt;7),(WEEKDAY($A262)&lt;&gt;1)),"work",(INDEX(Subject!$A:$I,MATCH(RANDBETWEEN(1,(MAX(Subject!$B:$B))),Subject!$B:$B,0),3))))</f>
        <v/>
      </c>
      <c r="N262" s="2" t="str">
        <f t="array" ref="N262">IF(NOW()&gt;AY262,"",IF(AND((WEEKDAY($A262)+$B$2)&gt;1,((WEEKDAY($A262)+$T$2)&lt;7),(WEEKDAY($A262)&lt;&gt;1)),"work",(INDEX(Subject!$A:$I,MATCH(RANDBETWEEN(1,(MAX(Subject!$B:$B))),Subject!$B:$B,0),3))))</f>
        <v/>
      </c>
      <c r="O262" s="2" t="str">
        <f t="array" ref="O262">IF(NOW()&gt;AZ262,"",IF(AND((WEEKDAY($A262)+$B$2)&gt;1,((WEEKDAY($A262)+$T$2)&lt;7),(WEEKDAY($A262)&lt;&gt;1)),"work",(INDEX(Subject!$A:$I,MATCH(RANDBETWEEN(1,(MAX(Subject!$B:$B))),Subject!$B:$B,0),3))))</f>
        <v/>
      </c>
      <c r="P262" s="2" t="str">
        <f t="array" ref="P262">IF(NOW()&gt;BA262,"",IF(AND((WEEKDAY($A262)+$B$2)&gt;1,((WEEKDAY($A262)+$T$2)&lt;7),(WEEKDAY($A262)&lt;&gt;1)),"work",(INDEX(Subject!$A:$I,MATCH(RANDBETWEEN(1,(MAX(Subject!$B:$B))),Subject!$B:$B,0),3))))</f>
        <v/>
      </c>
      <c r="Q262" s="2" t="str">
        <f t="array" ref="Q262">IF(NOW()&gt;BB262,"",IF(AND((WEEKDAY($A262)+$B$2)&gt;1,((WEEKDAY($A262)+$T$2)&lt;7),(WEEKDAY($A262)&lt;&gt;1)),"work",(INDEX(Subject!$A:$I,MATCH(RANDBETWEEN(1,(MAX(Subject!$B:$B))),Subject!$B:$B,0),3))))</f>
        <v/>
      </c>
      <c r="R262" s="2" t="str">
        <f t="array" ref="R262">IF(NOW()&gt;BC262,"",IF(AND((WEEKDAY($A262)+$B$2)&gt;1,((WEEKDAY($A262)+$T$2)&lt;7),(WEEKDAY($A262)&lt;&gt;1)),"work",(INDEX(Subject!$A:$I,MATCH(RANDBETWEEN(1,(MAX(Subject!$B:$B))),Subject!$B:$B,0),3))))</f>
        <v/>
      </c>
      <c r="S262" s="2" t="str">
        <f t="array" ref="S262">IF(NOW()&gt;BD262,"",IF(AND((WEEKDAY($A262)+$B$2)&gt;1,((WEEKDAY($A262)+$T$2)&lt;7),(WEEKDAY($A262)&lt;&gt;1)),"work",(INDEX(Subject!$A:$I,MATCH(RANDBETWEEN(1,(MAX(Subject!$B:$B))),Subject!$B:$B,0),3))))</f>
        <v/>
      </c>
      <c r="T262" s="2" t="str">
        <f t="array" ref="T262">IF(NOW()&gt;BE262,"",IF(AND((WEEKDAY($A262)+$B$2)&gt;1,((WEEKDAY($A262)+$T$2)&lt;7),(WEEKDAY($A262)&lt;&gt;1)),"work",(INDEX(Subject!$A:$I,MATCH(RANDBETWEEN(1,(MAX(Subject!$B:$B))),Subject!$B:$B,0),3))))</f>
        <v/>
      </c>
      <c r="U262" s="8" t="str">
        <f t="array" ref="U262">INDEX(Subject!$A:$I,MATCH(RANDBETWEEN(1,16),Subject!$B:$B,0),3)</f>
        <v>#N/A</v>
      </c>
      <c r="V262" s="8" t="str">
        <f t="array" ref="V262">INDEX(Subject!$A:$I,MATCH(RANDBETWEEN(1,16),Subject!$B:$B,0),3)</f>
        <v>#N/A</v>
      </c>
      <c r="W262" s="8" t="str">
        <f t="array" ref="W262">INDEX(Subject!$A:$I,MATCH(RANDBETWEEN(1,16),Subject!$B:$B,0),3)</f>
        <v>#N/A</v>
      </c>
      <c r="X262" s="8" t="str">
        <f t="array" ref="X262">INDEX(Subject!$A:$I,MATCH(RANDBETWEEN(1,16),Subject!$B:$B,0),3)</f>
        <v>#N/A</v>
      </c>
      <c r="Y262" s="8" t="str">
        <f t="array" ref="Y262">INDEX(Subject!$A:$I,MATCH(RANDBETWEEN(1,16),Subject!$B:$B,0),3)</f>
        <v>#N/A</v>
      </c>
      <c r="Z262" s="8" t="str">
        <f t="array" ref="Z262">INDEX(Subject!$A:$I,MATCH(RANDBETWEEN(1,16),Subject!$B:$B,0),3)</f>
        <v>#N/A</v>
      </c>
      <c r="AA262" s="8" t="str">
        <f t="array" ref="AA262">INDEX(Subject!$A:$I,MATCH(RANDBETWEEN(1,16),Subject!$B:$B,0),3)</f>
        <v>#N/A</v>
      </c>
      <c r="AB262" s="8" t="str">
        <f t="array" ref="AB262">INDEX(Subject!$A:$I,MATCH(RANDBETWEEN(1,16),Subject!$B:$B,0),3)</f>
        <v>#N/A</v>
      </c>
      <c r="AC262" s="8" t="str">
        <f t="array" ref="AC262">INDEX(Subject!$A:$I,MATCH(RANDBETWEEN(1,16),Subject!$B:$B,0),3)</f>
        <v>#N/A</v>
      </c>
      <c r="AD262" s="8" t="str">
        <f t="array" ref="AD262">INDEX(Subject!$A:$I,MATCH(RANDBETWEEN(1,16),Subject!$B:$B,0),3)</f>
        <v/>
      </c>
      <c r="AE262" s="8" t="str">
        <f t="array" ref="AE262">INDEX(Subject!$A:$I,MATCH(RANDBETWEEN(1,16),Subject!$B:$B,0),3)</f>
        <v>#N/A</v>
      </c>
      <c r="AF262" s="8" t="str">
        <f t="array" ref="AF262">INDEX(Subject!$A:$I,MATCH(RANDBETWEEN(1,16),Subject!$B:$B,0),3)</f>
        <v>#N/A</v>
      </c>
      <c r="AG262" s="8" t="str">
        <f t="array" ref="AG262">INDEX(Subject!$A:$I,MATCH(RANDBETWEEN(1,16),Subject!$B:$B,0),3)</f>
        <v>#N/A</v>
      </c>
      <c r="AH262" s="8" t="str">
        <f t="array" ref="AH262">INDEX(Subject!$A:$I,MATCH(RANDBETWEEN(1,16),Subject!$B:$B,0),3)</f>
        <v>#N/A</v>
      </c>
      <c r="AI262" s="8" t="str">
        <f t="array" ref="AI262">INDEX(Subject!$A:$I,MATCH(RANDBETWEEN(1,16),Subject!$B:$B,0),3)</f>
        <v>#N/A</v>
      </c>
      <c r="AJ262" s="8" t="str">
        <f t="array" ref="AJ262">INDEX(Subject!$A:$I,MATCH(RANDBETWEEN(1,16),Subject!$B:$B,0),3)</f>
        <v>#N/A</v>
      </c>
      <c r="AK262" s="8" t="str">
        <f t="array" ref="AK262">INDEX(Subject!$A:$I,MATCH(RANDBETWEEN(1,16),Subject!$B:$B,0),3)</f>
        <v>#N/A</v>
      </c>
      <c r="AL262" s="8" t="str">
        <f t="array" ref="AL262">INDEX(Subject!$A:$I,MATCH(RANDBETWEEN(1,16),Subject!$B:$B,0),3)</f>
        <v>#N/A</v>
      </c>
      <c r="AM262" s="18">
        <f t="shared" si="4"/>
        <v>45762.33333</v>
      </c>
      <c r="AN262" s="19">
        <f t="shared" ref="AN262:BZ262" si="262">$A262+C$1</f>
        <v>45762.35417</v>
      </c>
      <c r="AO262" s="19">
        <f t="shared" si="262"/>
        <v>45762.375</v>
      </c>
      <c r="AP262" s="19">
        <f t="shared" si="262"/>
        <v>45762.39583</v>
      </c>
      <c r="AQ262" s="19">
        <f t="shared" si="262"/>
        <v>45762.41667</v>
      </c>
      <c r="AR262" s="19">
        <f t="shared" si="262"/>
        <v>45762.4375</v>
      </c>
      <c r="AS262" s="19">
        <f t="shared" si="262"/>
        <v>45762.45833</v>
      </c>
      <c r="AT262" s="19">
        <f t="shared" si="262"/>
        <v>45762.47917</v>
      </c>
      <c r="AU262" s="19">
        <f t="shared" si="262"/>
        <v>45762.5</v>
      </c>
      <c r="AV262" s="19">
        <f t="shared" si="262"/>
        <v>45762.52083</v>
      </c>
      <c r="AW262" s="19">
        <f t="shared" si="262"/>
        <v>45762.54167</v>
      </c>
      <c r="AX262" s="19">
        <f t="shared" si="262"/>
        <v>45762.5625</v>
      </c>
      <c r="AY262" s="19">
        <f t="shared" si="262"/>
        <v>45762.58333</v>
      </c>
      <c r="AZ262" s="19">
        <f t="shared" si="262"/>
        <v>45762.60417</v>
      </c>
      <c r="BA262" s="19">
        <f t="shared" si="262"/>
        <v>45762.625</v>
      </c>
      <c r="BB262" s="19">
        <f t="shared" si="262"/>
        <v>45762.64583</v>
      </c>
      <c r="BC262" s="19">
        <f t="shared" si="262"/>
        <v>45762.66667</v>
      </c>
      <c r="BD262" s="19">
        <f t="shared" si="262"/>
        <v>45762.6875</v>
      </c>
      <c r="BE262" s="19">
        <f t="shared" si="262"/>
        <v>45762.70833</v>
      </c>
      <c r="BF262" s="19">
        <f t="shared" si="262"/>
        <v>45762.72917</v>
      </c>
      <c r="BG262" s="19">
        <f t="shared" si="262"/>
        <v>45762.75</v>
      </c>
      <c r="BH262" s="19">
        <f t="shared" si="262"/>
        <v>45762.77083</v>
      </c>
      <c r="BI262" s="19">
        <f t="shared" si="262"/>
        <v>45762.79167</v>
      </c>
      <c r="BJ262" s="19">
        <f t="shared" si="262"/>
        <v>45762.8125</v>
      </c>
      <c r="BK262" s="19">
        <f t="shared" si="262"/>
        <v>45762.83333</v>
      </c>
      <c r="BL262" s="19">
        <f t="shared" si="262"/>
        <v>45762.85417</v>
      </c>
      <c r="BM262" s="19">
        <f t="shared" si="262"/>
        <v>45762.875</v>
      </c>
      <c r="BN262" s="19">
        <f t="shared" si="262"/>
        <v>45762.89583</v>
      </c>
      <c r="BO262" s="19">
        <f t="shared" si="262"/>
        <v>45762.91667</v>
      </c>
      <c r="BP262" s="19">
        <f t="shared" si="262"/>
        <v>45762.9375</v>
      </c>
      <c r="BQ262" s="19">
        <f t="shared" si="262"/>
        <v>45762.95833</v>
      </c>
      <c r="BR262" s="19">
        <f t="shared" si="262"/>
        <v>45762.97917</v>
      </c>
      <c r="BS262" s="19">
        <f t="shared" si="262"/>
        <v>45763</v>
      </c>
      <c r="BT262" s="19">
        <f t="shared" si="262"/>
        <v>45763.02083</v>
      </c>
      <c r="BU262" s="19">
        <f t="shared" si="262"/>
        <v>45763.04167</v>
      </c>
      <c r="BV262" s="19">
        <f t="shared" si="262"/>
        <v>45763.0625</v>
      </c>
      <c r="BW262" s="19">
        <f t="shared" si="262"/>
        <v>45763.08333</v>
      </c>
      <c r="BX262" s="19">
        <f t="shared" si="262"/>
        <v>45762</v>
      </c>
      <c r="BY262" s="19">
        <f t="shared" si="262"/>
        <v>45762</v>
      </c>
      <c r="BZ262" s="19">
        <f t="shared" si="262"/>
        <v>45762</v>
      </c>
    </row>
    <row r="263" ht="14.25" customHeight="1">
      <c r="A263" s="17">
        <v>45763.0</v>
      </c>
      <c r="B263" s="2" t="str">
        <f t="array" ref="B263">IF(NOW()&gt;AM263,"",IF(AND((WEEKDAY($A263)+$B$2)&gt;1,((WEEKDAY($A263)+$T$2)&lt;7),(WEEKDAY($A263)&lt;&gt;1)),"work",(INDEX(Subject!$A:$I,MATCH(RANDBETWEEN(1,(MAX(Subject!$B:$B))),Subject!$B:$B,0),3))))</f>
        <v/>
      </c>
      <c r="C263" s="2" t="str">
        <f t="array" ref="C263">IF(NOW()&gt;AN263,"",IF(AND((WEEKDAY($A263)+$B$2)&gt;1,((WEEKDAY($A263)+$T$2)&lt;7),(WEEKDAY($A263)&lt;&gt;1)),"work",(INDEX(Subject!$A:$I,MATCH(RANDBETWEEN(1,(MAX(Subject!$B:$B))),Subject!$B:$B,0),3))))</f>
        <v/>
      </c>
      <c r="D263" s="2" t="str">
        <f t="array" ref="D263">IF(NOW()&gt;AO263,"",IF(AND((WEEKDAY($A263)+$B$2)&gt;1,((WEEKDAY($A263)+$T$2)&lt;7),(WEEKDAY($A263)&lt;&gt;1)),"work",(INDEX(Subject!$A:$I,MATCH(RANDBETWEEN(1,(MAX(Subject!$B:$B))),Subject!$B:$B,0),3))))</f>
        <v/>
      </c>
      <c r="E263" s="2" t="str">
        <f t="array" ref="E263">IF(NOW()&gt;AP263,"",IF(AND((WEEKDAY($A263)+$B$2)&gt;1,((WEEKDAY($A263)+$T$2)&lt;7),(WEEKDAY($A263)&lt;&gt;1)),"work",(INDEX(Subject!$A:$I,MATCH(RANDBETWEEN(1,(MAX(Subject!$B:$B))),Subject!$B:$B,0),3))))</f>
        <v/>
      </c>
      <c r="F263" s="2" t="str">
        <f t="array" ref="F263">IF(NOW()&gt;AQ263,"",IF(AND((WEEKDAY($A263)+$B$2)&gt;1,((WEEKDAY($A263)+$T$2)&lt;7),(WEEKDAY($A263)&lt;&gt;1)),"work",(INDEX(Subject!$A:$I,MATCH(RANDBETWEEN(1,(MAX(Subject!$B:$B))),Subject!$B:$B,0),3))))</f>
        <v/>
      </c>
      <c r="G263" s="2" t="str">
        <f t="array" ref="G263">IF(NOW()&gt;AR263,"",IF(AND((WEEKDAY($A263)+$B$2)&gt;1,((WEEKDAY($A263)+$T$2)&lt;7),(WEEKDAY($A263)&lt;&gt;1)),"work",(INDEX(Subject!$A:$I,MATCH(RANDBETWEEN(1,(MAX(Subject!$B:$B))),Subject!$B:$B,0),3))))</f>
        <v/>
      </c>
      <c r="H263" s="2" t="str">
        <f t="array" ref="H263">IF(NOW()&gt;AS263,"",IF(AND((WEEKDAY($A263)+$B$2)&gt;1,((WEEKDAY($A263)+$T$2)&lt;7),(WEEKDAY($A263)&lt;&gt;1)),"work",(INDEX(Subject!$A:$I,MATCH(RANDBETWEEN(1,(MAX(Subject!$B:$B))),Subject!$B:$B,0),3))))</f>
        <v/>
      </c>
      <c r="I263" s="2" t="str">
        <f t="array" ref="I263">IF(NOW()&gt;AT263,"",IF(AND((WEEKDAY($A263)+$B$2)&gt;1,((WEEKDAY($A263)+$T$2)&lt;7),(WEEKDAY($A263)&lt;&gt;1)),"work",(INDEX(Subject!$A:$I,MATCH(RANDBETWEEN(1,(MAX(Subject!$B:$B))),Subject!$B:$B,0),3))))</f>
        <v/>
      </c>
      <c r="J263" s="2" t="str">
        <f t="array" ref="J263">IF(NOW()&gt;AU263,"",IF(AND((WEEKDAY($A263)+$B$2)&gt;1,((WEEKDAY($A263)+$T$2)&lt;7),(WEEKDAY($A263)&lt;&gt;1)),"work",(INDEX(Subject!$A:$I,MATCH(RANDBETWEEN(1,(MAX(Subject!$B:$B))),Subject!$B:$B,0),3))))</f>
        <v/>
      </c>
      <c r="K263" s="2" t="str">
        <f t="array" ref="K263">IF(NOW()&gt;AV263,"",IF(AND((WEEKDAY($A263)+$B$2)&gt;1,((WEEKDAY($A263)+$T$2)&lt;7),(WEEKDAY($A263)&lt;&gt;1)),"work",(INDEX(Subject!$A:$I,MATCH(RANDBETWEEN(1,(MAX(Subject!$B:$B))),Subject!$B:$B,0),3))))</f>
        <v/>
      </c>
      <c r="L263" s="2" t="str">
        <f t="array" ref="L263">IF(NOW()&gt;AW263,"",IF(AND((WEEKDAY($A263)+$B$2)&gt;1,((WEEKDAY($A263)+$T$2)&lt;7),(WEEKDAY($A263)&lt;&gt;1)),"work",(INDEX(Subject!$A:$I,MATCH(RANDBETWEEN(1,(MAX(Subject!$B:$B))),Subject!$B:$B,0),3))))</f>
        <v/>
      </c>
      <c r="M263" s="2" t="str">
        <f t="array" ref="M263">IF(NOW()&gt;AX263,"",IF(AND((WEEKDAY($A263)+$B$2)&gt;1,((WEEKDAY($A263)+$T$2)&lt;7),(WEEKDAY($A263)&lt;&gt;1)),"work",(INDEX(Subject!$A:$I,MATCH(RANDBETWEEN(1,(MAX(Subject!$B:$B))),Subject!$B:$B,0),3))))</f>
        <v/>
      </c>
      <c r="N263" s="2" t="str">
        <f t="array" ref="N263">IF(NOW()&gt;AY263,"",IF(AND((WEEKDAY($A263)+$B$2)&gt;1,((WEEKDAY($A263)+$T$2)&lt;7),(WEEKDAY($A263)&lt;&gt;1)),"work",(INDEX(Subject!$A:$I,MATCH(RANDBETWEEN(1,(MAX(Subject!$B:$B))),Subject!$B:$B,0),3))))</f>
        <v/>
      </c>
      <c r="O263" s="2" t="str">
        <f t="array" ref="O263">IF(NOW()&gt;AZ263,"",IF(AND((WEEKDAY($A263)+$B$2)&gt;1,((WEEKDAY($A263)+$T$2)&lt;7),(WEEKDAY($A263)&lt;&gt;1)),"work",(INDEX(Subject!$A:$I,MATCH(RANDBETWEEN(1,(MAX(Subject!$B:$B))),Subject!$B:$B,0),3))))</f>
        <v/>
      </c>
      <c r="P263" s="2" t="str">
        <f t="array" ref="P263">IF(NOW()&gt;BA263,"",IF(AND((WEEKDAY($A263)+$B$2)&gt;1,((WEEKDAY($A263)+$T$2)&lt;7),(WEEKDAY($A263)&lt;&gt;1)),"work",(INDEX(Subject!$A:$I,MATCH(RANDBETWEEN(1,(MAX(Subject!$B:$B))),Subject!$B:$B,0),3))))</f>
        <v/>
      </c>
      <c r="Q263" s="2" t="str">
        <f t="array" ref="Q263">IF(NOW()&gt;BB263,"",IF(AND((WEEKDAY($A263)+$B$2)&gt;1,((WEEKDAY($A263)+$T$2)&lt;7),(WEEKDAY($A263)&lt;&gt;1)),"work",(INDEX(Subject!$A:$I,MATCH(RANDBETWEEN(1,(MAX(Subject!$B:$B))),Subject!$B:$B,0),3))))</f>
        <v/>
      </c>
      <c r="R263" s="2" t="str">
        <f t="array" ref="R263">IF(NOW()&gt;BC263,"",IF(AND((WEEKDAY($A263)+$B$2)&gt;1,((WEEKDAY($A263)+$T$2)&lt;7),(WEEKDAY($A263)&lt;&gt;1)),"work",(INDEX(Subject!$A:$I,MATCH(RANDBETWEEN(1,(MAX(Subject!$B:$B))),Subject!$B:$B,0),3))))</f>
        <v/>
      </c>
      <c r="S263" s="2" t="str">
        <f t="array" ref="S263">IF(NOW()&gt;BD263,"",IF(AND((WEEKDAY($A263)+$B$2)&gt;1,((WEEKDAY($A263)+$T$2)&lt;7),(WEEKDAY($A263)&lt;&gt;1)),"work",(INDEX(Subject!$A:$I,MATCH(RANDBETWEEN(1,(MAX(Subject!$B:$B))),Subject!$B:$B,0),3))))</f>
        <v/>
      </c>
      <c r="T263" s="2" t="str">
        <f t="array" ref="T263">IF(NOW()&gt;BE263,"",IF(AND((WEEKDAY($A263)+$B$2)&gt;1,((WEEKDAY($A263)+$T$2)&lt;7),(WEEKDAY($A263)&lt;&gt;1)),"work",(INDEX(Subject!$A:$I,MATCH(RANDBETWEEN(1,(MAX(Subject!$B:$B))),Subject!$B:$B,0),3))))</f>
        <v/>
      </c>
      <c r="U263" s="8" t="str">
        <f t="array" ref="U263">INDEX(Subject!$A:$I,MATCH(RANDBETWEEN(1,16),Subject!$B:$B,0),3)</f>
        <v>#N/A</v>
      </c>
      <c r="V263" s="8" t="str">
        <f t="array" ref="V263">INDEX(Subject!$A:$I,MATCH(RANDBETWEEN(1,16),Subject!$B:$B,0),3)</f>
        <v>#N/A</v>
      </c>
      <c r="W263" s="8" t="str">
        <f t="array" ref="W263">INDEX(Subject!$A:$I,MATCH(RANDBETWEEN(1,16),Subject!$B:$B,0),3)</f>
        <v>#N/A</v>
      </c>
      <c r="X263" s="8" t="str">
        <f t="array" ref="X263">INDEX(Subject!$A:$I,MATCH(RANDBETWEEN(1,16),Subject!$B:$B,0),3)</f>
        <v>#N/A</v>
      </c>
      <c r="Y263" s="8" t="str">
        <f t="array" ref="Y263">INDEX(Subject!$A:$I,MATCH(RANDBETWEEN(1,16),Subject!$B:$B,0),3)</f>
        <v>#N/A</v>
      </c>
      <c r="Z263" s="8" t="str">
        <f t="array" ref="Z263">INDEX(Subject!$A:$I,MATCH(RANDBETWEEN(1,16),Subject!$B:$B,0),3)</f>
        <v>#N/A</v>
      </c>
      <c r="AA263" s="8" t="str">
        <f t="array" ref="AA263">INDEX(Subject!$A:$I,MATCH(RANDBETWEEN(1,16),Subject!$B:$B,0),3)</f>
        <v>#N/A</v>
      </c>
      <c r="AB263" s="8" t="str">
        <f t="array" ref="AB263">INDEX(Subject!$A:$I,MATCH(RANDBETWEEN(1,16),Subject!$B:$B,0),3)</f>
        <v>#N/A</v>
      </c>
      <c r="AC263" s="8" t="str">
        <f t="array" ref="AC263">INDEX(Subject!$A:$I,MATCH(RANDBETWEEN(1,16),Subject!$B:$B,0),3)</f>
        <v>#N/A</v>
      </c>
      <c r="AD263" s="8" t="str">
        <f t="array" ref="AD263">INDEX(Subject!$A:$I,MATCH(RANDBETWEEN(1,16),Subject!$B:$B,0),3)</f>
        <v>#N/A</v>
      </c>
      <c r="AE263" s="8" t="str">
        <f t="array" ref="AE263">INDEX(Subject!$A:$I,MATCH(RANDBETWEEN(1,16),Subject!$B:$B,0),3)</f>
        <v>#N/A</v>
      </c>
      <c r="AF263" s="8" t="str">
        <f t="array" ref="AF263">INDEX(Subject!$A:$I,MATCH(RANDBETWEEN(1,16),Subject!$B:$B,0),3)</f>
        <v>#N/A</v>
      </c>
      <c r="AG263" s="8" t="str">
        <f t="array" ref="AG263">INDEX(Subject!$A:$I,MATCH(RANDBETWEEN(1,16),Subject!$B:$B,0),3)</f>
        <v>#N/A</v>
      </c>
      <c r="AH263" s="8" t="str">
        <f t="array" ref="AH263">INDEX(Subject!$A:$I,MATCH(RANDBETWEEN(1,16),Subject!$B:$B,0),3)</f>
        <v>#N/A</v>
      </c>
      <c r="AI263" s="8" t="str">
        <f t="array" ref="AI263">INDEX(Subject!$A:$I,MATCH(RANDBETWEEN(1,16),Subject!$B:$B,0),3)</f>
        <v>#N/A</v>
      </c>
      <c r="AJ263" s="8" t="str">
        <f t="array" ref="AJ263">INDEX(Subject!$A:$I,MATCH(RANDBETWEEN(1,16),Subject!$B:$B,0),3)</f>
        <v>#N/A</v>
      </c>
      <c r="AK263" s="8" t="str">
        <f t="array" ref="AK263">INDEX(Subject!$A:$I,MATCH(RANDBETWEEN(1,16),Subject!$B:$B,0),3)</f>
        <v>#N/A</v>
      </c>
      <c r="AL263" s="8" t="str">
        <f t="array" ref="AL263">INDEX(Subject!$A:$I,MATCH(RANDBETWEEN(1,16),Subject!$B:$B,0),3)</f>
        <v>#N/A</v>
      </c>
      <c r="AM263" s="18">
        <f t="shared" si="4"/>
        <v>45763.33333</v>
      </c>
      <c r="AN263" s="19">
        <f t="shared" ref="AN263:BZ263" si="263">$A263+C$1</f>
        <v>45763.35417</v>
      </c>
      <c r="AO263" s="19">
        <f t="shared" si="263"/>
        <v>45763.375</v>
      </c>
      <c r="AP263" s="19">
        <f t="shared" si="263"/>
        <v>45763.39583</v>
      </c>
      <c r="AQ263" s="19">
        <f t="shared" si="263"/>
        <v>45763.41667</v>
      </c>
      <c r="AR263" s="19">
        <f t="shared" si="263"/>
        <v>45763.4375</v>
      </c>
      <c r="AS263" s="19">
        <f t="shared" si="263"/>
        <v>45763.45833</v>
      </c>
      <c r="AT263" s="19">
        <f t="shared" si="263"/>
        <v>45763.47917</v>
      </c>
      <c r="AU263" s="19">
        <f t="shared" si="263"/>
        <v>45763.5</v>
      </c>
      <c r="AV263" s="19">
        <f t="shared" si="263"/>
        <v>45763.52083</v>
      </c>
      <c r="AW263" s="19">
        <f t="shared" si="263"/>
        <v>45763.54167</v>
      </c>
      <c r="AX263" s="19">
        <f t="shared" si="263"/>
        <v>45763.5625</v>
      </c>
      <c r="AY263" s="19">
        <f t="shared" si="263"/>
        <v>45763.58333</v>
      </c>
      <c r="AZ263" s="19">
        <f t="shared" si="263"/>
        <v>45763.60417</v>
      </c>
      <c r="BA263" s="19">
        <f t="shared" si="263"/>
        <v>45763.625</v>
      </c>
      <c r="BB263" s="19">
        <f t="shared" si="263"/>
        <v>45763.64583</v>
      </c>
      <c r="BC263" s="19">
        <f t="shared" si="263"/>
        <v>45763.66667</v>
      </c>
      <c r="BD263" s="19">
        <f t="shared" si="263"/>
        <v>45763.6875</v>
      </c>
      <c r="BE263" s="19">
        <f t="shared" si="263"/>
        <v>45763.70833</v>
      </c>
      <c r="BF263" s="19">
        <f t="shared" si="263"/>
        <v>45763.72917</v>
      </c>
      <c r="BG263" s="19">
        <f t="shared" si="263"/>
        <v>45763.75</v>
      </c>
      <c r="BH263" s="19">
        <f t="shared" si="263"/>
        <v>45763.77083</v>
      </c>
      <c r="BI263" s="19">
        <f t="shared" si="263"/>
        <v>45763.79167</v>
      </c>
      <c r="BJ263" s="19">
        <f t="shared" si="263"/>
        <v>45763.8125</v>
      </c>
      <c r="BK263" s="19">
        <f t="shared" si="263"/>
        <v>45763.83333</v>
      </c>
      <c r="BL263" s="19">
        <f t="shared" si="263"/>
        <v>45763.85417</v>
      </c>
      <c r="BM263" s="19">
        <f t="shared" si="263"/>
        <v>45763.875</v>
      </c>
      <c r="BN263" s="19">
        <f t="shared" si="263"/>
        <v>45763.89583</v>
      </c>
      <c r="BO263" s="19">
        <f t="shared" si="263"/>
        <v>45763.91667</v>
      </c>
      <c r="BP263" s="19">
        <f t="shared" si="263"/>
        <v>45763.9375</v>
      </c>
      <c r="BQ263" s="19">
        <f t="shared" si="263"/>
        <v>45763.95833</v>
      </c>
      <c r="BR263" s="19">
        <f t="shared" si="263"/>
        <v>45763.97917</v>
      </c>
      <c r="BS263" s="19">
        <f t="shared" si="263"/>
        <v>45764</v>
      </c>
      <c r="BT263" s="19">
        <f t="shared" si="263"/>
        <v>45764.02083</v>
      </c>
      <c r="BU263" s="19">
        <f t="shared" si="263"/>
        <v>45764.04167</v>
      </c>
      <c r="BV263" s="19">
        <f t="shared" si="263"/>
        <v>45764.0625</v>
      </c>
      <c r="BW263" s="19">
        <f t="shared" si="263"/>
        <v>45764.08333</v>
      </c>
      <c r="BX263" s="19">
        <f t="shared" si="263"/>
        <v>45763</v>
      </c>
      <c r="BY263" s="19">
        <f t="shared" si="263"/>
        <v>45763</v>
      </c>
      <c r="BZ263" s="19">
        <f t="shared" si="263"/>
        <v>45763</v>
      </c>
    </row>
    <row r="264" ht="14.25" customHeight="1">
      <c r="A264" s="17">
        <v>45764.0</v>
      </c>
      <c r="B264" s="2" t="str">
        <f t="array" ref="B264">IF(NOW()&gt;AM264,"",IF(AND((WEEKDAY($A264)+$B$2)&gt;1,((WEEKDAY($A264)+$T$2)&lt;7),(WEEKDAY($A264)&lt;&gt;1)),"work",(INDEX(Subject!$A:$I,MATCH(RANDBETWEEN(1,(MAX(Subject!$B:$B))),Subject!$B:$B,0),3))))</f>
        <v/>
      </c>
      <c r="C264" s="2" t="str">
        <f t="array" ref="C264">IF(NOW()&gt;AN264,"",IF(AND((WEEKDAY($A264)+$B$2)&gt;1,((WEEKDAY($A264)+$T$2)&lt;7),(WEEKDAY($A264)&lt;&gt;1)),"work",(INDEX(Subject!$A:$I,MATCH(RANDBETWEEN(1,(MAX(Subject!$B:$B))),Subject!$B:$B,0),3))))</f>
        <v/>
      </c>
      <c r="D264" s="2" t="str">
        <f t="array" ref="D264">IF(NOW()&gt;AO264,"",IF(AND((WEEKDAY($A264)+$B$2)&gt;1,((WEEKDAY($A264)+$T$2)&lt;7),(WEEKDAY($A264)&lt;&gt;1)),"work",(INDEX(Subject!$A:$I,MATCH(RANDBETWEEN(1,(MAX(Subject!$B:$B))),Subject!$B:$B,0),3))))</f>
        <v/>
      </c>
      <c r="E264" s="2" t="str">
        <f t="array" ref="E264">IF(NOW()&gt;AP264,"",IF(AND((WEEKDAY($A264)+$B$2)&gt;1,((WEEKDAY($A264)+$T$2)&lt;7),(WEEKDAY($A264)&lt;&gt;1)),"work",(INDEX(Subject!$A:$I,MATCH(RANDBETWEEN(1,(MAX(Subject!$B:$B))),Subject!$B:$B,0),3))))</f>
        <v/>
      </c>
      <c r="F264" s="2" t="str">
        <f t="array" ref="F264">IF(NOW()&gt;AQ264,"",IF(AND((WEEKDAY($A264)+$B$2)&gt;1,((WEEKDAY($A264)+$T$2)&lt;7),(WEEKDAY($A264)&lt;&gt;1)),"work",(INDEX(Subject!$A:$I,MATCH(RANDBETWEEN(1,(MAX(Subject!$B:$B))),Subject!$B:$B,0),3))))</f>
        <v/>
      </c>
      <c r="G264" s="2" t="str">
        <f t="array" ref="G264">IF(NOW()&gt;AR264,"",IF(AND((WEEKDAY($A264)+$B$2)&gt;1,((WEEKDAY($A264)+$T$2)&lt;7),(WEEKDAY($A264)&lt;&gt;1)),"work",(INDEX(Subject!$A:$I,MATCH(RANDBETWEEN(1,(MAX(Subject!$B:$B))),Subject!$B:$B,0),3))))</f>
        <v/>
      </c>
      <c r="H264" s="2" t="str">
        <f t="array" ref="H264">IF(NOW()&gt;AS264,"",IF(AND((WEEKDAY($A264)+$B$2)&gt;1,((WEEKDAY($A264)+$T$2)&lt;7),(WEEKDAY($A264)&lt;&gt;1)),"work",(INDEX(Subject!$A:$I,MATCH(RANDBETWEEN(1,(MAX(Subject!$B:$B))),Subject!$B:$B,0),3))))</f>
        <v/>
      </c>
      <c r="I264" s="2" t="str">
        <f t="array" ref="I264">IF(NOW()&gt;AT264,"",IF(AND((WEEKDAY($A264)+$B$2)&gt;1,((WEEKDAY($A264)+$T$2)&lt;7),(WEEKDAY($A264)&lt;&gt;1)),"work",(INDEX(Subject!$A:$I,MATCH(RANDBETWEEN(1,(MAX(Subject!$B:$B))),Subject!$B:$B,0),3))))</f>
        <v/>
      </c>
      <c r="J264" s="2" t="str">
        <f t="array" ref="J264">IF(NOW()&gt;AU264,"",IF(AND((WEEKDAY($A264)+$B$2)&gt;1,((WEEKDAY($A264)+$T$2)&lt;7),(WEEKDAY($A264)&lt;&gt;1)),"work",(INDEX(Subject!$A:$I,MATCH(RANDBETWEEN(1,(MAX(Subject!$B:$B))),Subject!$B:$B,0),3))))</f>
        <v/>
      </c>
      <c r="K264" s="2" t="str">
        <f t="array" ref="K264">IF(NOW()&gt;AV264,"",IF(AND((WEEKDAY($A264)+$B$2)&gt;1,((WEEKDAY($A264)+$T$2)&lt;7),(WEEKDAY($A264)&lt;&gt;1)),"work",(INDEX(Subject!$A:$I,MATCH(RANDBETWEEN(1,(MAX(Subject!$B:$B))),Subject!$B:$B,0),3))))</f>
        <v/>
      </c>
      <c r="L264" s="2" t="str">
        <f t="array" ref="L264">IF(NOW()&gt;AW264,"",IF(AND((WEEKDAY($A264)+$B$2)&gt;1,((WEEKDAY($A264)+$T$2)&lt;7),(WEEKDAY($A264)&lt;&gt;1)),"work",(INDEX(Subject!$A:$I,MATCH(RANDBETWEEN(1,(MAX(Subject!$B:$B))),Subject!$B:$B,0),3))))</f>
        <v/>
      </c>
      <c r="M264" s="2" t="str">
        <f t="array" ref="M264">IF(NOW()&gt;AX264,"",IF(AND((WEEKDAY($A264)+$B$2)&gt;1,((WEEKDAY($A264)+$T$2)&lt;7),(WEEKDAY($A264)&lt;&gt;1)),"work",(INDEX(Subject!$A:$I,MATCH(RANDBETWEEN(1,(MAX(Subject!$B:$B))),Subject!$B:$B,0),3))))</f>
        <v/>
      </c>
      <c r="N264" s="2" t="str">
        <f t="array" ref="N264">IF(NOW()&gt;AY264,"",IF(AND((WEEKDAY($A264)+$B$2)&gt;1,((WEEKDAY($A264)+$T$2)&lt;7),(WEEKDAY($A264)&lt;&gt;1)),"work",(INDEX(Subject!$A:$I,MATCH(RANDBETWEEN(1,(MAX(Subject!$B:$B))),Subject!$B:$B,0),3))))</f>
        <v/>
      </c>
      <c r="O264" s="2" t="str">
        <f t="array" ref="O264">IF(NOW()&gt;AZ264,"",IF(AND((WEEKDAY($A264)+$B$2)&gt;1,((WEEKDAY($A264)+$T$2)&lt;7),(WEEKDAY($A264)&lt;&gt;1)),"work",(INDEX(Subject!$A:$I,MATCH(RANDBETWEEN(1,(MAX(Subject!$B:$B))),Subject!$B:$B,0),3))))</f>
        <v/>
      </c>
      <c r="P264" s="2" t="str">
        <f t="array" ref="P264">IF(NOW()&gt;BA264,"",IF(AND((WEEKDAY($A264)+$B$2)&gt;1,((WEEKDAY($A264)+$T$2)&lt;7),(WEEKDAY($A264)&lt;&gt;1)),"work",(INDEX(Subject!$A:$I,MATCH(RANDBETWEEN(1,(MAX(Subject!$B:$B))),Subject!$B:$B,0),3))))</f>
        <v/>
      </c>
      <c r="Q264" s="2" t="str">
        <f t="array" ref="Q264">IF(NOW()&gt;BB264,"",IF(AND((WEEKDAY($A264)+$B$2)&gt;1,((WEEKDAY($A264)+$T$2)&lt;7),(WEEKDAY($A264)&lt;&gt;1)),"work",(INDEX(Subject!$A:$I,MATCH(RANDBETWEEN(1,(MAX(Subject!$B:$B))),Subject!$B:$B,0),3))))</f>
        <v/>
      </c>
      <c r="R264" s="2" t="str">
        <f t="array" ref="R264">IF(NOW()&gt;BC264,"",IF(AND((WEEKDAY($A264)+$B$2)&gt;1,((WEEKDAY($A264)+$T$2)&lt;7),(WEEKDAY($A264)&lt;&gt;1)),"work",(INDEX(Subject!$A:$I,MATCH(RANDBETWEEN(1,(MAX(Subject!$B:$B))),Subject!$B:$B,0),3))))</f>
        <v/>
      </c>
      <c r="S264" s="2" t="str">
        <f t="array" ref="S264">IF(NOW()&gt;BD264,"",IF(AND((WEEKDAY($A264)+$B$2)&gt;1,((WEEKDAY($A264)+$T$2)&lt;7),(WEEKDAY($A264)&lt;&gt;1)),"work",(INDEX(Subject!$A:$I,MATCH(RANDBETWEEN(1,(MAX(Subject!$B:$B))),Subject!$B:$B,0),3))))</f>
        <v/>
      </c>
      <c r="T264" s="2" t="str">
        <f t="array" ref="T264">IF(NOW()&gt;BE264,"",IF(AND((WEEKDAY($A264)+$B$2)&gt;1,((WEEKDAY($A264)+$T$2)&lt;7),(WEEKDAY($A264)&lt;&gt;1)),"work",(INDEX(Subject!$A:$I,MATCH(RANDBETWEEN(1,(MAX(Subject!$B:$B))),Subject!$B:$B,0),3))))</f>
        <v/>
      </c>
      <c r="U264" s="8" t="str">
        <f t="array" ref="U264">INDEX(Subject!$A:$I,MATCH(RANDBETWEEN(1,16),Subject!$B:$B,0),3)</f>
        <v>#N/A</v>
      </c>
      <c r="V264" s="8" t="str">
        <f t="array" ref="V264">INDEX(Subject!$A:$I,MATCH(RANDBETWEEN(1,16),Subject!$B:$B,0),3)</f>
        <v>#N/A</v>
      </c>
      <c r="W264" s="8" t="str">
        <f t="array" ref="W264">INDEX(Subject!$A:$I,MATCH(RANDBETWEEN(1,16),Subject!$B:$B,0),3)</f>
        <v>#N/A</v>
      </c>
      <c r="X264" s="8" t="str">
        <f t="array" ref="X264">INDEX(Subject!$A:$I,MATCH(RANDBETWEEN(1,16),Subject!$B:$B,0),3)</f>
        <v>#N/A</v>
      </c>
      <c r="Y264" s="8" t="str">
        <f t="array" ref="Y264">INDEX(Subject!$A:$I,MATCH(RANDBETWEEN(1,16),Subject!$B:$B,0),3)</f>
        <v>#N/A</v>
      </c>
      <c r="Z264" s="8" t="str">
        <f t="array" ref="Z264">INDEX(Subject!$A:$I,MATCH(RANDBETWEEN(1,16),Subject!$B:$B,0),3)</f>
        <v>#N/A</v>
      </c>
      <c r="AA264" s="8" t="str">
        <f t="array" ref="AA264">INDEX(Subject!$A:$I,MATCH(RANDBETWEEN(1,16),Subject!$B:$B,0),3)</f>
        <v>#N/A</v>
      </c>
      <c r="AB264" s="8" t="str">
        <f t="array" ref="AB264">INDEX(Subject!$A:$I,MATCH(RANDBETWEEN(1,16),Subject!$B:$B,0),3)</f>
        <v>#N/A</v>
      </c>
      <c r="AC264" s="8" t="str">
        <f t="array" ref="AC264">INDEX(Subject!$A:$I,MATCH(RANDBETWEEN(1,16),Subject!$B:$B,0),3)</f>
        <v>#N/A</v>
      </c>
      <c r="AD264" s="8" t="str">
        <f t="array" ref="AD264">INDEX(Subject!$A:$I,MATCH(RANDBETWEEN(1,16),Subject!$B:$B,0),3)</f>
        <v>#N/A</v>
      </c>
      <c r="AE264" s="8" t="str">
        <f t="array" ref="AE264">INDEX(Subject!$A:$I,MATCH(RANDBETWEEN(1,16),Subject!$B:$B,0),3)</f>
        <v>#N/A</v>
      </c>
      <c r="AF264" s="8" t="str">
        <f t="array" ref="AF264">INDEX(Subject!$A:$I,MATCH(RANDBETWEEN(1,16),Subject!$B:$B,0),3)</f>
        <v>#N/A</v>
      </c>
      <c r="AG264" s="8" t="str">
        <f t="array" ref="AG264">INDEX(Subject!$A:$I,MATCH(RANDBETWEEN(1,16),Subject!$B:$B,0),3)</f>
        <v>#N/A</v>
      </c>
      <c r="AH264" s="8" t="str">
        <f t="array" ref="AH264">INDEX(Subject!$A:$I,MATCH(RANDBETWEEN(1,16),Subject!$B:$B,0),3)</f>
        <v>#N/A</v>
      </c>
      <c r="AI264" s="8" t="str">
        <f t="array" ref="AI264">INDEX(Subject!$A:$I,MATCH(RANDBETWEEN(1,16),Subject!$B:$B,0),3)</f>
        <v>#N/A</v>
      </c>
      <c r="AJ264" s="8" t="str">
        <f t="array" ref="AJ264">INDEX(Subject!$A:$I,MATCH(RANDBETWEEN(1,16),Subject!$B:$B,0),3)</f>
        <v>#N/A</v>
      </c>
      <c r="AK264" s="8" t="str">
        <f t="array" ref="AK264">INDEX(Subject!$A:$I,MATCH(RANDBETWEEN(1,16),Subject!$B:$B,0),3)</f>
        <v>#N/A</v>
      </c>
      <c r="AL264" s="8" t="str">
        <f t="array" ref="AL264">INDEX(Subject!$A:$I,MATCH(RANDBETWEEN(1,16),Subject!$B:$B,0),3)</f>
        <v>#N/A</v>
      </c>
      <c r="AM264" s="18">
        <f t="shared" si="4"/>
        <v>45764.33333</v>
      </c>
      <c r="AN264" s="19">
        <f t="shared" ref="AN264:BZ264" si="264">$A264+C$1</f>
        <v>45764.35417</v>
      </c>
      <c r="AO264" s="19">
        <f t="shared" si="264"/>
        <v>45764.375</v>
      </c>
      <c r="AP264" s="19">
        <f t="shared" si="264"/>
        <v>45764.39583</v>
      </c>
      <c r="AQ264" s="19">
        <f t="shared" si="264"/>
        <v>45764.41667</v>
      </c>
      <c r="AR264" s="19">
        <f t="shared" si="264"/>
        <v>45764.4375</v>
      </c>
      <c r="AS264" s="19">
        <f t="shared" si="264"/>
        <v>45764.45833</v>
      </c>
      <c r="AT264" s="19">
        <f t="shared" si="264"/>
        <v>45764.47917</v>
      </c>
      <c r="AU264" s="19">
        <f t="shared" si="264"/>
        <v>45764.5</v>
      </c>
      <c r="AV264" s="19">
        <f t="shared" si="264"/>
        <v>45764.52083</v>
      </c>
      <c r="AW264" s="19">
        <f t="shared" si="264"/>
        <v>45764.54167</v>
      </c>
      <c r="AX264" s="19">
        <f t="shared" si="264"/>
        <v>45764.5625</v>
      </c>
      <c r="AY264" s="19">
        <f t="shared" si="264"/>
        <v>45764.58333</v>
      </c>
      <c r="AZ264" s="19">
        <f t="shared" si="264"/>
        <v>45764.60417</v>
      </c>
      <c r="BA264" s="19">
        <f t="shared" si="264"/>
        <v>45764.625</v>
      </c>
      <c r="BB264" s="19">
        <f t="shared" si="264"/>
        <v>45764.64583</v>
      </c>
      <c r="BC264" s="19">
        <f t="shared" si="264"/>
        <v>45764.66667</v>
      </c>
      <c r="BD264" s="19">
        <f t="shared" si="264"/>
        <v>45764.6875</v>
      </c>
      <c r="BE264" s="19">
        <f t="shared" si="264"/>
        <v>45764.70833</v>
      </c>
      <c r="BF264" s="19">
        <f t="shared" si="264"/>
        <v>45764.72917</v>
      </c>
      <c r="BG264" s="19">
        <f t="shared" si="264"/>
        <v>45764.75</v>
      </c>
      <c r="BH264" s="19">
        <f t="shared" si="264"/>
        <v>45764.77083</v>
      </c>
      <c r="BI264" s="19">
        <f t="shared" si="264"/>
        <v>45764.79167</v>
      </c>
      <c r="BJ264" s="19">
        <f t="shared" si="264"/>
        <v>45764.8125</v>
      </c>
      <c r="BK264" s="19">
        <f t="shared" si="264"/>
        <v>45764.83333</v>
      </c>
      <c r="BL264" s="19">
        <f t="shared" si="264"/>
        <v>45764.85417</v>
      </c>
      <c r="BM264" s="19">
        <f t="shared" si="264"/>
        <v>45764.875</v>
      </c>
      <c r="BN264" s="19">
        <f t="shared" si="264"/>
        <v>45764.89583</v>
      </c>
      <c r="BO264" s="19">
        <f t="shared" si="264"/>
        <v>45764.91667</v>
      </c>
      <c r="BP264" s="19">
        <f t="shared" si="264"/>
        <v>45764.9375</v>
      </c>
      <c r="BQ264" s="19">
        <f t="shared" si="264"/>
        <v>45764.95833</v>
      </c>
      <c r="BR264" s="19">
        <f t="shared" si="264"/>
        <v>45764.97917</v>
      </c>
      <c r="BS264" s="19">
        <f t="shared" si="264"/>
        <v>45765</v>
      </c>
      <c r="BT264" s="19">
        <f t="shared" si="264"/>
        <v>45765.02083</v>
      </c>
      <c r="BU264" s="19">
        <f t="shared" si="264"/>
        <v>45765.04167</v>
      </c>
      <c r="BV264" s="19">
        <f t="shared" si="264"/>
        <v>45765.0625</v>
      </c>
      <c r="BW264" s="19">
        <f t="shared" si="264"/>
        <v>45765.08333</v>
      </c>
      <c r="BX264" s="19">
        <f t="shared" si="264"/>
        <v>45764</v>
      </c>
      <c r="BY264" s="19">
        <f t="shared" si="264"/>
        <v>45764</v>
      </c>
      <c r="BZ264" s="19">
        <f t="shared" si="264"/>
        <v>45764</v>
      </c>
    </row>
    <row r="265" ht="14.25" customHeight="1">
      <c r="A265" s="17">
        <v>45765.0</v>
      </c>
      <c r="B265" s="2" t="str">
        <f t="array" ref="B265">IF(NOW()&gt;AM265,"",IF(AND((WEEKDAY($A265)+$B$2)&gt;1,((WEEKDAY($A265)+$T$2)&lt;7),(WEEKDAY($A265)&lt;&gt;1)),"work",(INDEX(Subject!$A:$I,MATCH(RANDBETWEEN(1,(MAX(Subject!$B:$B))),Subject!$B:$B,0),3))))</f>
        <v/>
      </c>
      <c r="C265" s="2" t="str">
        <f t="array" ref="C265">IF(NOW()&gt;AN265,"",IF(AND((WEEKDAY($A265)+$B$2)&gt;1,((WEEKDAY($A265)+$T$2)&lt;7),(WEEKDAY($A265)&lt;&gt;1)),"work",(INDEX(Subject!$A:$I,MATCH(RANDBETWEEN(1,(MAX(Subject!$B:$B))),Subject!$B:$B,0),3))))</f>
        <v/>
      </c>
      <c r="D265" s="2" t="str">
        <f t="array" ref="D265">IF(NOW()&gt;AO265,"",IF(AND((WEEKDAY($A265)+$B$2)&gt;1,((WEEKDAY($A265)+$T$2)&lt;7),(WEEKDAY($A265)&lt;&gt;1)),"work",(INDEX(Subject!$A:$I,MATCH(RANDBETWEEN(1,(MAX(Subject!$B:$B))),Subject!$B:$B,0),3))))</f>
        <v/>
      </c>
      <c r="E265" s="2" t="str">
        <f t="array" ref="E265">IF(NOW()&gt;AP265,"",IF(AND((WEEKDAY($A265)+$B$2)&gt;1,((WEEKDAY($A265)+$T$2)&lt;7),(WEEKDAY($A265)&lt;&gt;1)),"work",(INDEX(Subject!$A:$I,MATCH(RANDBETWEEN(1,(MAX(Subject!$B:$B))),Subject!$B:$B,0),3))))</f>
        <v/>
      </c>
      <c r="F265" s="2" t="str">
        <f t="array" ref="F265">IF(NOW()&gt;AQ265,"",IF(AND((WEEKDAY($A265)+$B$2)&gt;1,((WEEKDAY($A265)+$T$2)&lt;7),(WEEKDAY($A265)&lt;&gt;1)),"work",(INDEX(Subject!$A:$I,MATCH(RANDBETWEEN(1,(MAX(Subject!$B:$B))),Subject!$B:$B,0),3))))</f>
        <v/>
      </c>
      <c r="G265" s="2" t="str">
        <f t="array" ref="G265">IF(NOW()&gt;AR265,"",IF(AND((WEEKDAY($A265)+$B$2)&gt;1,((WEEKDAY($A265)+$T$2)&lt;7),(WEEKDAY($A265)&lt;&gt;1)),"work",(INDEX(Subject!$A:$I,MATCH(RANDBETWEEN(1,(MAX(Subject!$B:$B))),Subject!$B:$B,0),3))))</f>
        <v/>
      </c>
      <c r="H265" s="2" t="str">
        <f t="array" ref="H265">IF(NOW()&gt;AS265,"",IF(AND((WEEKDAY($A265)+$B$2)&gt;1,((WEEKDAY($A265)+$T$2)&lt;7),(WEEKDAY($A265)&lt;&gt;1)),"work",(INDEX(Subject!$A:$I,MATCH(RANDBETWEEN(1,(MAX(Subject!$B:$B))),Subject!$B:$B,0),3))))</f>
        <v/>
      </c>
      <c r="I265" s="2" t="str">
        <f t="array" ref="I265">IF(NOW()&gt;AT265,"",IF(AND((WEEKDAY($A265)+$B$2)&gt;1,((WEEKDAY($A265)+$T$2)&lt;7),(WEEKDAY($A265)&lt;&gt;1)),"work",(INDEX(Subject!$A:$I,MATCH(RANDBETWEEN(1,(MAX(Subject!$B:$B))),Subject!$B:$B,0),3))))</f>
        <v/>
      </c>
      <c r="J265" s="2" t="str">
        <f t="array" ref="J265">IF(NOW()&gt;AU265,"",IF(AND((WEEKDAY($A265)+$B$2)&gt;1,((WEEKDAY($A265)+$T$2)&lt;7),(WEEKDAY($A265)&lt;&gt;1)),"work",(INDEX(Subject!$A:$I,MATCH(RANDBETWEEN(1,(MAX(Subject!$B:$B))),Subject!$B:$B,0),3))))</f>
        <v/>
      </c>
      <c r="K265" s="2" t="str">
        <f t="array" ref="K265">IF(NOW()&gt;AV265,"",IF(AND((WEEKDAY($A265)+$B$2)&gt;1,((WEEKDAY($A265)+$T$2)&lt;7),(WEEKDAY($A265)&lt;&gt;1)),"work",(INDEX(Subject!$A:$I,MATCH(RANDBETWEEN(1,(MAX(Subject!$B:$B))),Subject!$B:$B,0),3))))</f>
        <v/>
      </c>
      <c r="L265" s="2" t="str">
        <f t="array" ref="L265">IF(NOW()&gt;AW265,"",IF(AND((WEEKDAY($A265)+$B$2)&gt;1,((WEEKDAY($A265)+$T$2)&lt;7),(WEEKDAY($A265)&lt;&gt;1)),"work",(INDEX(Subject!$A:$I,MATCH(RANDBETWEEN(1,(MAX(Subject!$B:$B))),Subject!$B:$B,0),3))))</f>
        <v/>
      </c>
      <c r="M265" s="2" t="str">
        <f t="array" ref="M265">IF(NOW()&gt;AX265,"",IF(AND((WEEKDAY($A265)+$B$2)&gt;1,((WEEKDAY($A265)+$T$2)&lt;7),(WEEKDAY($A265)&lt;&gt;1)),"work",(INDEX(Subject!$A:$I,MATCH(RANDBETWEEN(1,(MAX(Subject!$B:$B))),Subject!$B:$B,0),3))))</f>
        <v/>
      </c>
      <c r="N265" s="2" t="str">
        <f t="array" ref="N265">IF(NOW()&gt;AY265,"",IF(AND((WEEKDAY($A265)+$B$2)&gt;1,((WEEKDAY($A265)+$T$2)&lt;7),(WEEKDAY($A265)&lt;&gt;1)),"work",(INDEX(Subject!$A:$I,MATCH(RANDBETWEEN(1,(MAX(Subject!$B:$B))),Subject!$B:$B,0),3))))</f>
        <v/>
      </c>
      <c r="O265" s="2" t="str">
        <f t="array" ref="O265">IF(NOW()&gt;AZ265,"",IF(AND((WEEKDAY($A265)+$B$2)&gt;1,((WEEKDAY($A265)+$T$2)&lt;7),(WEEKDAY($A265)&lt;&gt;1)),"work",(INDEX(Subject!$A:$I,MATCH(RANDBETWEEN(1,(MAX(Subject!$B:$B))),Subject!$B:$B,0),3))))</f>
        <v/>
      </c>
      <c r="P265" s="2" t="str">
        <f t="array" ref="P265">IF(NOW()&gt;BA265,"",IF(AND((WEEKDAY($A265)+$B$2)&gt;1,((WEEKDAY($A265)+$T$2)&lt;7),(WEEKDAY($A265)&lt;&gt;1)),"work",(INDEX(Subject!$A:$I,MATCH(RANDBETWEEN(1,(MAX(Subject!$B:$B))),Subject!$B:$B,0),3))))</f>
        <v/>
      </c>
      <c r="Q265" s="2" t="str">
        <f t="array" ref="Q265">IF(NOW()&gt;BB265,"",IF(AND((WEEKDAY($A265)+$B$2)&gt;1,((WEEKDAY($A265)+$T$2)&lt;7),(WEEKDAY($A265)&lt;&gt;1)),"work",(INDEX(Subject!$A:$I,MATCH(RANDBETWEEN(1,(MAX(Subject!$B:$B))),Subject!$B:$B,0),3))))</f>
        <v/>
      </c>
      <c r="R265" s="2" t="str">
        <f t="array" ref="R265">IF(NOW()&gt;BC265,"",IF(AND((WEEKDAY($A265)+$B$2)&gt;1,((WEEKDAY($A265)+$T$2)&lt;7),(WEEKDAY($A265)&lt;&gt;1)),"work",(INDEX(Subject!$A:$I,MATCH(RANDBETWEEN(1,(MAX(Subject!$B:$B))),Subject!$B:$B,0),3))))</f>
        <v/>
      </c>
      <c r="S265" s="2" t="str">
        <f t="array" ref="S265">IF(NOW()&gt;BD265,"",IF(AND((WEEKDAY($A265)+$B$2)&gt;1,((WEEKDAY($A265)+$T$2)&lt;7),(WEEKDAY($A265)&lt;&gt;1)),"work",(INDEX(Subject!$A:$I,MATCH(RANDBETWEEN(1,(MAX(Subject!$B:$B))),Subject!$B:$B,0),3))))</f>
        <v/>
      </c>
      <c r="T265" s="2" t="str">
        <f t="array" ref="T265">IF(NOW()&gt;BE265,"",IF(AND((WEEKDAY($A265)+$B$2)&gt;1,((WEEKDAY($A265)+$T$2)&lt;7),(WEEKDAY($A265)&lt;&gt;1)),"work",(INDEX(Subject!$A:$I,MATCH(RANDBETWEEN(1,(MAX(Subject!$B:$B))),Subject!$B:$B,0),3))))</f>
        <v/>
      </c>
      <c r="U265" s="8" t="str">
        <f t="array" ref="U265">INDEX(Subject!$A:$I,MATCH(RANDBETWEEN(1,16),Subject!$B:$B,0),3)</f>
        <v>#N/A</v>
      </c>
      <c r="V265" s="8" t="str">
        <f t="array" ref="V265">INDEX(Subject!$A:$I,MATCH(RANDBETWEEN(1,16),Subject!$B:$B,0),3)</f>
        <v>#N/A</v>
      </c>
      <c r="W265" s="8" t="str">
        <f t="array" ref="W265">INDEX(Subject!$A:$I,MATCH(RANDBETWEEN(1,16),Subject!$B:$B,0),3)</f>
        <v>#N/A</v>
      </c>
      <c r="X265" s="8" t="str">
        <f t="array" ref="X265">INDEX(Subject!$A:$I,MATCH(RANDBETWEEN(1,16),Subject!$B:$B,0),3)</f>
        <v>#N/A</v>
      </c>
      <c r="Y265" s="8" t="str">
        <f t="array" ref="Y265">INDEX(Subject!$A:$I,MATCH(RANDBETWEEN(1,16),Subject!$B:$B,0),3)</f>
        <v>#N/A</v>
      </c>
      <c r="Z265" s="8" t="str">
        <f t="array" ref="Z265">INDEX(Subject!$A:$I,MATCH(RANDBETWEEN(1,16),Subject!$B:$B,0),3)</f>
        <v>#N/A</v>
      </c>
      <c r="AA265" s="8" t="str">
        <f t="array" ref="AA265">INDEX(Subject!$A:$I,MATCH(RANDBETWEEN(1,16),Subject!$B:$B,0),3)</f>
        <v>#N/A</v>
      </c>
      <c r="AB265" s="8" t="str">
        <f t="array" ref="AB265">INDEX(Subject!$A:$I,MATCH(RANDBETWEEN(1,16),Subject!$B:$B,0),3)</f>
        <v>#N/A</v>
      </c>
      <c r="AC265" s="8" t="str">
        <f t="array" ref="AC265">INDEX(Subject!$A:$I,MATCH(RANDBETWEEN(1,16),Subject!$B:$B,0),3)</f>
        <v>#N/A</v>
      </c>
      <c r="AD265" s="8" t="str">
        <f t="array" ref="AD265">INDEX(Subject!$A:$I,MATCH(RANDBETWEEN(1,16),Subject!$B:$B,0),3)</f>
        <v>#N/A</v>
      </c>
      <c r="AE265" s="8" t="str">
        <f t="array" ref="AE265">INDEX(Subject!$A:$I,MATCH(RANDBETWEEN(1,16),Subject!$B:$B,0),3)</f>
        <v>#N/A</v>
      </c>
      <c r="AF265" s="8" t="str">
        <f t="array" ref="AF265">INDEX(Subject!$A:$I,MATCH(RANDBETWEEN(1,16),Subject!$B:$B,0),3)</f>
        <v>#N/A</v>
      </c>
      <c r="AG265" s="8" t="str">
        <f t="array" ref="AG265">INDEX(Subject!$A:$I,MATCH(RANDBETWEEN(1,16),Subject!$B:$B,0),3)</f>
        <v>#N/A</v>
      </c>
      <c r="AH265" s="8" t="str">
        <f t="array" ref="AH265">INDEX(Subject!$A:$I,MATCH(RANDBETWEEN(1,16),Subject!$B:$B,0),3)</f>
        <v>#N/A</v>
      </c>
      <c r="AI265" s="8" t="str">
        <f t="array" ref="AI265">INDEX(Subject!$A:$I,MATCH(RANDBETWEEN(1,16),Subject!$B:$B,0),3)</f>
        <v>#N/A</v>
      </c>
      <c r="AJ265" s="8" t="str">
        <f t="array" ref="AJ265">INDEX(Subject!$A:$I,MATCH(RANDBETWEEN(1,16),Subject!$B:$B,0),3)</f>
        <v>#N/A</v>
      </c>
      <c r="AK265" s="8" t="str">
        <f t="array" ref="AK265">INDEX(Subject!$A:$I,MATCH(RANDBETWEEN(1,16),Subject!$B:$B,0),3)</f>
        <v>#N/A</v>
      </c>
      <c r="AL265" s="8" t="str">
        <f t="array" ref="AL265">INDEX(Subject!$A:$I,MATCH(RANDBETWEEN(1,16),Subject!$B:$B,0),3)</f>
        <v>#N/A</v>
      </c>
      <c r="AM265" s="18">
        <f t="shared" si="4"/>
        <v>45765.33333</v>
      </c>
      <c r="AN265" s="19">
        <f t="shared" ref="AN265:BZ265" si="265">$A265+C$1</f>
        <v>45765.35417</v>
      </c>
      <c r="AO265" s="19">
        <f t="shared" si="265"/>
        <v>45765.375</v>
      </c>
      <c r="AP265" s="19">
        <f t="shared" si="265"/>
        <v>45765.39583</v>
      </c>
      <c r="AQ265" s="19">
        <f t="shared" si="265"/>
        <v>45765.41667</v>
      </c>
      <c r="AR265" s="19">
        <f t="shared" si="265"/>
        <v>45765.4375</v>
      </c>
      <c r="AS265" s="19">
        <f t="shared" si="265"/>
        <v>45765.45833</v>
      </c>
      <c r="AT265" s="19">
        <f t="shared" si="265"/>
        <v>45765.47917</v>
      </c>
      <c r="AU265" s="19">
        <f t="shared" si="265"/>
        <v>45765.5</v>
      </c>
      <c r="AV265" s="19">
        <f t="shared" si="265"/>
        <v>45765.52083</v>
      </c>
      <c r="AW265" s="19">
        <f t="shared" si="265"/>
        <v>45765.54167</v>
      </c>
      <c r="AX265" s="19">
        <f t="shared" si="265"/>
        <v>45765.5625</v>
      </c>
      <c r="AY265" s="19">
        <f t="shared" si="265"/>
        <v>45765.58333</v>
      </c>
      <c r="AZ265" s="19">
        <f t="shared" si="265"/>
        <v>45765.60417</v>
      </c>
      <c r="BA265" s="19">
        <f t="shared" si="265"/>
        <v>45765.625</v>
      </c>
      <c r="BB265" s="19">
        <f t="shared" si="265"/>
        <v>45765.64583</v>
      </c>
      <c r="BC265" s="19">
        <f t="shared" si="265"/>
        <v>45765.66667</v>
      </c>
      <c r="BD265" s="19">
        <f t="shared" si="265"/>
        <v>45765.6875</v>
      </c>
      <c r="BE265" s="19">
        <f t="shared" si="265"/>
        <v>45765.70833</v>
      </c>
      <c r="BF265" s="19">
        <f t="shared" si="265"/>
        <v>45765.72917</v>
      </c>
      <c r="BG265" s="19">
        <f t="shared" si="265"/>
        <v>45765.75</v>
      </c>
      <c r="BH265" s="19">
        <f t="shared" si="265"/>
        <v>45765.77083</v>
      </c>
      <c r="BI265" s="19">
        <f t="shared" si="265"/>
        <v>45765.79167</v>
      </c>
      <c r="BJ265" s="19">
        <f t="shared" si="265"/>
        <v>45765.8125</v>
      </c>
      <c r="BK265" s="19">
        <f t="shared" si="265"/>
        <v>45765.83333</v>
      </c>
      <c r="BL265" s="19">
        <f t="shared" si="265"/>
        <v>45765.85417</v>
      </c>
      <c r="BM265" s="19">
        <f t="shared" si="265"/>
        <v>45765.875</v>
      </c>
      <c r="BN265" s="19">
        <f t="shared" si="265"/>
        <v>45765.89583</v>
      </c>
      <c r="BO265" s="19">
        <f t="shared" si="265"/>
        <v>45765.91667</v>
      </c>
      <c r="BP265" s="19">
        <f t="shared" si="265"/>
        <v>45765.9375</v>
      </c>
      <c r="BQ265" s="19">
        <f t="shared" si="265"/>
        <v>45765.95833</v>
      </c>
      <c r="BR265" s="19">
        <f t="shared" si="265"/>
        <v>45765.97917</v>
      </c>
      <c r="BS265" s="19">
        <f t="shared" si="265"/>
        <v>45766</v>
      </c>
      <c r="BT265" s="19">
        <f t="shared" si="265"/>
        <v>45766.02083</v>
      </c>
      <c r="BU265" s="19">
        <f t="shared" si="265"/>
        <v>45766.04167</v>
      </c>
      <c r="BV265" s="19">
        <f t="shared" si="265"/>
        <v>45766.0625</v>
      </c>
      <c r="BW265" s="19">
        <f t="shared" si="265"/>
        <v>45766.08333</v>
      </c>
      <c r="BX265" s="19">
        <f t="shared" si="265"/>
        <v>45765</v>
      </c>
      <c r="BY265" s="19">
        <f t="shared" si="265"/>
        <v>45765</v>
      </c>
      <c r="BZ265" s="19">
        <f t="shared" si="265"/>
        <v>45765</v>
      </c>
    </row>
    <row r="266" ht="14.25" customHeight="1">
      <c r="A266" s="17">
        <v>45766.0</v>
      </c>
      <c r="B266" s="2" t="str">
        <f t="array" ref="B266">IF(NOW()&gt;AM266,"",IF(AND((WEEKDAY($A266)+$B$2)&gt;1,((WEEKDAY($A266)+$T$2)&lt;7),(WEEKDAY($A266)&lt;&gt;1)),"work",(INDEX(Subject!$A:$I,MATCH(RANDBETWEEN(1,(MAX(Subject!$B:$B))),Subject!$B:$B,0),3))))</f>
        <v/>
      </c>
      <c r="C266" s="2" t="str">
        <f t="array" ref="C266">IF(NOW()&gt;AN266,"",IF(AND((WEEKDAY($A266)+$B$2)&gt;1,((WEEKDAY($A266)+$T$2)&lt;7),(WEEKDAY($A266)&lt;&gt;1)),"work",(INDEX(Subject!$A:$I,MATCH(RANDBETWEEN(1,(MAX(Subject!$B:$B))),Subject!$B:$B,0),3))))</f>
        <v/>
      </c>
      <c r="D266" s="2" t="str">
        <f t="array" ref="D266">IF(NOW()&gt;AO266,"",IF(AND((WEEKDAY($A266)+$B$2)&gt;1,((WEEKDAY($A266)+$T$2)&lt;7),(WEEKDAY($A266)&lt;&gt;1)),"work",(INDEX(Subject!$A:$I,MATCH(RANDBETWEEN(1,(MAX(Subject!$B:$B))),Subject!$B:$B,0),3))))</f>
        <v/>
      </c>
      <c r="E266" s="2" t="str">
        <f t="array" ref="E266">IF(NOW()&gt;AP266,"",IF(AND((WEEKDAY($A266)+$B$2)&gt;1,((WEEKDAY($A266)+$T$2)&lt;7),(WEEKDAY($A266)&lt;&gt;1)),"work",(INDEX(Subject!$A:$I,MATCH(RANDBETWEEN(1,(MAX(Subject!$B:$B))),Subject!$B:$B,0),3))))</f>
        <v/>
      </c>
      <c r="F266" s="2" t="str">
        <f t="array" ref="F266">IF(NOW()&gt;AQ266,"",IF(AND((WEEKDAY($A266)+$B$2)&gt;1,((WEEKDAY($A266)+$T$2)&lt;7),(WEEKDAY($A266)&lt;&gt;1)),"work",(INDEX(Subject!$A:$I,MATCH(RANDBETWEEN(1,(MAX(Subject!$B:$B))),Subject!$B:$B,0),3))))</f>
        <v/>
      </c>
      <c r="G266" s="2" t="str">
        <f t="array" ref="G266">IF(NOW()&gt;AR266,"",IF(AND((WEEKDAY($A266)+$B$2)&gt;1,((WEEKDAY($A266)+$T$2)&lt;7),(WEEKDAY($A266)&lt;&gt;1)),"work",(INDEX(Subject!$A:$I,MATCH(RANDBETWEEN(1,(MAX(Subject!$B:$B))),Subject!$B:$B,0),3))))</f>
        <v/>
      </c>
      <c r="H266" s="2" t="str">
        <f t="array" ref="H266">IF(NOW()&gt;AS266,"",IF(AND((WEEKDAY($A266)+$B$2)&gt;1,((WEEKDAY($A266)+$T$2)&lt;7),(WEEKDAY($A266)&lt;&gt;1)),"work",(INDEX(Subject!$A:$I,MATCH(RANDBETWEEN(1,(MAX(Subject!$B:$B))),Subject!$B:$B,0),3))))</f>
        <v/>
      </c>
      <c r="I266" s="2" t="str">
        <f t="array" ref="I266">IF(NOW()&gt;AT266,"",IF(AND((WEEKDAY($A266)+$B$2)&gt;1,((WEEKDAY($A266)+$T$2)&lt;7),(WEEKDAY($A266)&lt;&gt;1)),"work",(INDEX(Subject!$A:$I,MATCH(RANDBETWEEN(1,(MAX(Subject!$B:$B))),Subject!$B:$B,0),3))))</f>
        <v/>
      </c>
      <c r="J266" s="2" t="str">
        <f t="array" ref="J266">IF(NOW()&gt;AU266,"",IF(AND((WEEKDAY($A266)+$B$2)&gt;1,((WEEKDAY($A266)+$T$2)&lt;7),(WEEKDAY($A266)&lt;&gt;1)),"work",(INDEX(Subject!$A:$I,MATCH(RANDBETWEEN(1,(MAX(Subject!$B:$B))),Subject!$B:$B,0),3))))</f>
        <v/>
      </c>
      <c r="K266" s="2" t="str">
        <f t="array" ref="K266">IF(NOW()&gt;AV266,"",IF(AND((WEEKDAY($A266)+$B$2)&gt;1,((WEEKDAY($A266)+$T$2)&lt;7),(WEEKDAY($A266)&lt;&gt;1)),"work",(INDEX(Subject!$A:$I,MATCH(RANDBETWEEN(1,(MAX(Subject!$B:$B))),Subject!$B:$B,0),3))))</f>
        <v/>
      </c>
      <c r="L266" s="2" t="str">
        <f t="array" ref="L266">IF(NOW()&gt;AW266,"",IF(AND((WEEKDAY($A266)+$B$2)&gt;1,((WEEKDAY($A266)+$T$2)&lt;7),(WEEKDAY($A266)&lt;&gt;1)),"work",(INDEX(Subject!$A:$I,MATCH(RANDBETWEEN(1,(MAX(Subject!$B:$B))),Subject!$B:$B,0),3))))</f>
        <v/>
      </c>
      <c r="M266" s="2" t="str">
        <f t="array" ref="M266">IF(NOW()&gt;AX266,"",IF(AND((WEEKDAY($A266)+$B$2)&gt;1,((WEEKDAY($A266)+$T$2)&lt;7),(WEEKDAY($A266)&lt;&gt;1)),"work",(INDEX(Subject!$A:$I,MATCH(RANDBETWEEN(1,(MAX(Subject!$B:$B))),Subject!$B:$B,0),3))))</f>
        <v/>
      </c>
      <c r="N266" s="2" t="str">
        <f t="array" ref="N266">IF(NOW()&gt;AY266,"",IF(AND((WEEKDAY($A266)+$B$2)&gt;1,((WEEKDAY($A266)+$T$2)&lt;7),(WEEKDAY($A266)&lt;&gt;1)),"work",(INDEX(Subject!$A:$I,MATCH(RANDBETWEEN(1,(MAX(Subject!$B:$B))),Subject!$B:$B,0),3))))</f>
        <v/>
      </c>
      <c r="O266" s="2" t="str">
        <f t="array" ref="O266">IF(NOW()&gt;AZ266,"",IF(AND((WEEKDAY($A266)+$B$2)&gt;1,((WEEKDAY($A266)+$T$2)&lt;7),(WEEKDAY($A266)&lt;&gt;1)),"work",(INDEX(Subject!$A:$I,MATCH(RANDBETWEEN(1,(MAX(Subject!$B:$B))),Subject!$B:$B,0),3))))</f>
        <v/>
      </c>
      <c r="P266" s="2" t="str">
        <f t="array" ref="P266">IF(NOW()&gt;BA266,"",IF(AND((WEEKDAY($A266)+$B$2)&gt;1,((WEEKDAY($A266)+$T$2)&lt;7),(WEEKDAY($A266)&lt;&gt;1)),"work",(INDEX(Subject!$A:$I,MATCH(RANDBETWEEN(1,(MAX(Subject!$B:$B))),Subject!$B:$B,0),3))))</f>
        <v/>
      </c>
      <c r="Q266" s="2" t="str">
        <f t="array" ref="Q266">IF(NOW()&gt;BB266,"",IF(AND((WEEKDAY($A266)+$B$2)&gt;1,((WEEKDAY($A266)+$T$2)&lt;7),(WEEKDAY($A266)&lt;&gt;1)),"work",(INDEX(Subject!$A:$I,MATCH(RANDBETWEEN(1,(MAX(Subject!$B:$B))),Subject!$B:$B,0),3))))</f>
        <v/>
      </c>
      <c r="R266" s="2" t="str">
        <f t="array" ref="R266">IF(NOW()&gt;BC266,"",IF(AND((WEEKDAY($A266)+$B$2)&gt;1,((WEEKDAY($A266)+$T$2)&lt;7),(WEEKDAY($A266)&lt;&gt;1)),"work",(INDEX(Subject!$A:$I,MATCH(RANDBETWEEN(1,(MAX(Subject!$B:$B))),Subject!$B:$B,0),3))))</f>
        <v/>
      </c>
      <c r="S266" s="2" t="str">
        <f t="array" ref="S266">IF(NOW()&gt;BD266,"",IF(AND((WEEKDAY($A266)+$B$2)&gt;1,((WEEKDAY($A266)+$T$2)&lt;7),(WEEKDAY($A266)&lt;&gt;1)),"work",(INDEX(Subject!$A:$I,MATCH(RANDBETWEEN(1,(MAX(Subject!$B:$B))),Subject!$B:$B,0),3))))</f>
        <v/>
      </c>
      <c r="T266" s="2" t="str">
        <f t="array" ref="T266">IF(NOW()&gt;BE266,"",IF(AND((WEEKDAY($A266)+$B$2)&gt;1,((WEEKDAY($A266)+$T$2)&lt;7),(WEEKDAY($A266)&lt;&gt;1)),"work",(INDEX(Subject!$A:$I,MATCH(RANDBETWEEN(1,(MAX(Subject!$B:$B))),Subject!$B:$B,0),3))))</f>
        <v/>
      </c>
      <c r="U266" s="8" t="str">
        <f t="array" ref="U266">INDEX(Subject!$A:$I,MATCH(RANDBETWEEN(1,16),Subject!$B:$B,0),3)</f>
        <v>#N/A</v>
      </c>
      <c r="V266" s="8" t="str">
        <f t="array" ref="V266">INDEX(Subject!$A:$I,MATCH(RANDBETWEEN(1,16),Subject!$B:$B,0),3)</f>
        <v>#N/A</v>
      </c>
      <c r="W266" s="8" t="str">
        <f t="array" ref="W266">INDEX(Subject!$A:$I,MATCH(RANDBETWEEN(1,16),Subject!$B:$B,0),3)</f>
        <v>#N/A</v>
      </c>
      <c r="X266" s="8" t="str">
        <f t="array" ref="X266">INDEX(Subject!$A:$I,MATCH(RANDBETWEEN(1,16),Subject!$B:$B,0),3)</f>
        <v>#N/A</v>
      </c>
      <c r="Y266" s="8" t="str">
        <f t="array" ref="Y266">INDEX(Subject!$A:$I,MATCH(RANDBETWEEN(1,16),Subject!$B:$B,0),3)</f>
        <v>#N/A</v>
      </c>
      <c r="Z266" s="8" t="str">
        <f t="array" ref="Z266">INDEX(Subject!$A:$I,MATCH(RANDBETWEEN(1,16),Subject!$B:$B,0),3)</f>
        <v>#N/A</v>
      </c>
      <c r="AA266" s="8" t="str">
        <f t="array" ref="AA266">INDEX(Subject!$A:$I,MATCH(RANDBETWEEN(1,16),Subject!$B:$B,0),3)</f>
        <v>#N/A</v>
      </c>
      <c r="AB266" s="8" t="str">
        <f t="array" ref="AB266">INDEX(Subject!$A:$I,MATCH(RANDBETWEEN(1,16),Subject!$B:$B,0),3)</f>
        <v>#N/A</v>
      </c>
      <c r="AC266" s="8" t="str">
        <f t="array" ref="AC266">INDEX(Subject!$A:$I,MATCH(RANDBETWEEN(1,16),Subject!$B:$B,0),3)</f>
        <v>#N/A</v>
      </c>
      <c r="AD266" s="8" t="str">
        <f t="array" ref="AD266">INDEX(Subject!$A:$I,MATCH(RANDBETWEEN(1,16),Subject!$B:$B,0),3)</f>
        <v>#N/A</v>
      </c>
      <c r="AE266" s="8" t="str">
        <f t="array" ref="AE266">INDEX(Subject!$A:$I,MATCH(RANDBETWEEN(1,16),Subject!$B:$B,0),3)</f>
        <v>#N/A</v>
      </c>
      <c r="AF266" s="8" t="str">
        <f t="array" ref="AF266">INDEX(Subject!$A:$I,MATCH(RANDBETWEEN(1,16),Subject!$B:$B,0),3)</f>
        <v>#N/A</v>
      </c>
      <c r="AG266" s="8" t="str">
        <f t="array" ref="AG266">INDEX(Subject!$A:$I,MATCH(RANDBETWEEN(1,16),Subject!$B:$B,0),3)</f>
        <v>#N/A</v>
      </c>
      <c r="AH266" s="8" t="str">
        <f t="array" ref="AH266">INDEX(Subject!$A:$I,MATCH(RANDBETWEEN(1,16),Subject!$B:$B,0),3)</f>
        <v>#N/A</v>
      </c>
      <c r="AI266" s="8" t="str">
        <f t="array" ref="AI266">INDEX(Subject!$A:$I,MATCH(RANDBETWEEN(1,16),Subject!$B:$B,0),3)</f>
        <v>#N/A</v>
      </c>
      <c r="AJ266" s="8" t="str">
        <f t="array" ref="AJ266">INDEX(Subject!$A:$I,MATCH(RANDBETWEEN(1,16),Subject!$B:$B,0),3)</f>
        <v>#N/A</v>
      </c>
      <c r="AK266" s="8" t="str">
        <f t="array" ref="AK266">INDEX(Subject!$A:$I,MATCH(RANDBETWEEN(1,16),Subject!$B:$B,0),3)</f>
        <v>#N/A</v>
      </c>
      <c r="AL266" s="8" t="str">
        <f t="array" ref="AL266">INDEX(Subject!$A:$I,MATCH(RANDBETWEEN(1,16),Subject!$B:$B,0),3)</f>
        <v>#N/A</v>
      </c>
      <c r="AM266" s="18">
        <f t="shared" si="4"/>
        <v>45766.33333</v>
      </c>
      <c r="AN266" s="19">
        <f t="shared" ref="AN266:BZ266" si="266">$A266+C$1</f>
        <v>45766.35417</v>
      </c>
      <c r="AO266" s="19">
        <f t="shared" si="266"/>
        <v>45766.375</v>
      </c>
      <c r="AP266" s="19">
        <f t="shared" si="266"/>
        <v>45766.39583</v>
      </c>
      <c r="AQ266" s="19">
        <f t="shared" si="266"/>
        <v>45766.41667</v>
      </c>
      <c r="AR266" s="19">
        <f t="shared" si="266"/>
        <v>45766.4375</v>
      </c>
      <c r="AS266" s="19">
        <f t="shared" si="266"/>
        <v>45766.45833</v>
      </c>
      <c r="AT266" s="19">
        <f t="shared" si="266"/>
        <v>45766.47917</v>
      </c>
      <c r="AU266" s="19">
        <f t="shared" si="266"/>
        <v>45766.5</v>
      </c>
      <c r="AV266" s="19">
        <f t="shared" si="266"/>
        <v>45766.52083</v>
      </c>
      <c r="AW266" s="19">
        <f t="shared" si="266"/>
        <v>45766.54167</v>
      </c>
      <c r="AX266" s="19">
        <f t="shared" si="266"/>
        <v>45766.5625</v>
      </c>
      <c r="AY266" s="19">
        <f t="shared" si="266"/>
        <v>45766.58333</v>
      </c>
      <c r="AZ266" s="19">
        <f t="shared" si="266"/>
        <v>45766.60417</v>
      </c>
      <c r="BA266" s="19">
        <f t="shared" si="266"/>
        <v>45766.625</v>
      </c>
      <c r="BB266" s="19">
        <f t="shared" si="266"/>
        <v>45766.64583</v>
      </c>
      <c r="BC266" s="19">
        <f t="shared" si="266"/>
        <v>45766.66667</v>
      </c>
      <c r="BD266" s="19">
        <f t="shared" si="266"/>
        <v>45766.6875</v>
      </c>
      <c r="BE266" s="19">
        <f t="shared" si="266"/>
        <v>45766.70833</v>
      </c>
      <c r="BF266" s="19">
        <f t="shared" si="266"/>
        <v>45766.72917</v>
      </c>
      <c r="BG266" s="19">
        <f t="shared" si="266"/>
        <v>45766.75</v>
      </c>
      <c r="BH266" s="19">
        <f t="shared" si="266"/>
        <v>45766.77083</v>
      </c>
      <c r="BI266" s="19">
        <f t="shared" si="266"/>
        <v>45766.79167</v>
      </c>
      <c r="BJ266" s="19">
        <f t="shared" si="266"/>
        <v>45766.8125</v>
      </c>
      <c r="BK266" s="19">
        <f t="shared" si="266"/>
        <v>45766.83333</v>
      </c>
      <c r="BL266" s="19">
        <f t="shared" si="266"/>
        <v>45766.85417</v>
      </c>
      <c r="BM266" s="19">
        <f t="shared" si="266"/>
        <v>45766.875</v>
      </c>
      <c r="BN266" s="19">
        <f t="shared" si="266"/>
        <v>45766.89583</v>
      </c>
      <c r="BO266" s="19">
        <f t="shared" si="266"/>
        <v>45766.91667</v>
      </c>
      <c r="BP266" s="19">
        <f t="shared" si="266"/>
        <v>45766.9375</v>
      </c>
      <c r="BQ266" s="19">
        <f t="shared" si="266"/>
        <v>45766.95833</v>
      </c>
      <c r="BR266" s="19">
        <f t="shared" si="266"/>
        <v>45766.97917</v>
      </c>
      <c r="BS266" s="19">
        <f t="shared" si="266"/>
        <v>45767</v>
      </c>
      <c r="BT266" s="19">
        <f t="shared" si="266"/>
        <v>45767.02083</v>
      </c>
      <c r="BU266" s="19">
        <f t="shared" si="266"/>
        <v>45767.04167</v>
      </c>
      <c r="BV266" s="19">
        <f t="shared" si="266"/>
        <v>45767.0625</v>
      </c>
      <c r="BW266" s="19">
        <f t="shared" si="266"/>
        <v>45767.08333</v>
      </c>
      <c r="BX266" s="19">
        <f t="shared" si="266"/>
        <v>45766</v>
      </c>
      <c r="BY266" s="19">
        <f t="shared" si="266"/>
        <v>45766</v>
      </c>
      <c r="BZ266" s="19">
        <f t="shared" si="266"/>
        <v>45766</v>
      </c>
    </row>
    <row r="267" ht="14.25" customHeight="1">
      <c r="A267" s="17">
        <v>45767.0</v>
      </c>
      <c r="B267" s="2" t="str">
        <f t="array" ref="B267">IF(NOW()&gt;AM267,"",IF(AND((WEEKDAY($A267)+$B$2)&gt;1,((WEEKDAY($A267)+$T$2)&lt;7),(WEEKDAY($A267)&lt;&gt;1)),"work",(INDEX(Subject!$A:$I,MATCH(RANDBETWEEN(1,(MAX(Subject!$B:$B))),Subject!$B:$B,0),3))))</f>
        <v/>
      </c>
      <c r="C267" s="2" t="str">
        <f t="array" ref="C267">IF(NOW()&gt;AN267,"",IF(AND((WEEKDAY($A267)+$B$2)&gt;1,((WEEKDAY($A267)+$T$2)&lt;7),(WEEKDAY($A267)&lt;&gt;1)),"work",(INDEX(Subject!$A:$I,MATCH(RANDBETWEEN(1,(MAX(Subject!$B:$B))),Subject!$B:$B,0),3))))</f>
        <v/>
      </c>
      <c r="D267" s="2" t="str">
        <f t="array" ref="D267">IF(NOW()&gt;AO267,"",IF(AND((WEEKDAY($A267)+$B$2)&gt;1,((WEEKDAY($A267)+$T$2)&lt;7),(WEEKDAY($A267)&lt;&gt;1)),"work",(INDEX(Subject!$A:$I,MATCH(RANDBETWEEN(1,(MAX(Subject!$B:$B))),Subject!$B:$B,0),3))))</f>
        <v/>
      </c>
      <c r="E267" s="2" t="str">
        <f t="array" ref="E267">IF(NOW()&gt;AP267,"",IF(AND((WEEKDAY($A267)+$B$2)&gt;1,((WEEKDAY($A267)+$T$2)&lt;7),(WEEKDAY($A267)&lt;&gt;1)),"work",(INDEX(Subject!$A:$I,MATCH(RANDBETWEEN(1,(MAX(Subject!$B:$B))),Subject!$B:$B,0),3))))</f>
        <v/>
      </c>
      <c r="F267" s="2" t="str">
        <f t="array" ref="F267">IF(NOW()&gt;AQ267,"",IF(AND((WEEKDAY($A267)+$B$2)&gt;1,((WEEKDAY($A267)+$T$2)&lt;7),(WEEKDAY($A267)&lt;&gt;1)),"work",(INDEX(Subject!$A:$I,MATCH(RANDBETWEEN(1,(MAX(Subject!$B:$B))),Subject!$B:$B,0),3))))</f>
        <v/>
      </c>
      <c r="G267" s="2" t="str">
        <f t="array" ref="G267">IF(NOW()&gt;AR267,"",IF(AND((WEEKDAY($A267)+$B$2)&gt;1,((WEEKDAY($A267)+$T$2)&lt;7),(WEEKDAY($A267)&lt;&gt;1)),"work",(INDEX(Subject!$A:$I,MATCH(RANDBETWEEN(1,(MAX(Subject!$B:$B))),Subject!$B:$B,0),3))))</f>
        <v/>
      </c>
      <c r="H267" s="2" t="str">
        <f t="array" ref="H267">IF(NOW()&gt;AS267,"",IF(AND((WEEKDAY($A267)+$B$2)&gt;1,((WEEKDAY($A267)+$T$2)&lt;7),(WEEKDAY($A267)&lt;&gt;1)),"work",(INDEX(Subject!$A:$I,MATCH(RANDBETWEEN(1,(MAX(Subject!$B:$B))),Subject!$B:$B,0),3))))</f>
        <v/>
      </c>
      <c r="I267" s="2" t="str">
        <f t="array" ref="I267">IF(NOW()&gt;AT267,"",IF(AND((WEEKDAY($A267)+$B$2)&gt;1,((WEEKDAY($A267)+$T$2)&lt;7),(WEEKDAY($A267)&lt;&gt;1)),"work",(INDEX(Subject!$A:$I,MATCH(RANDBETWEEN(1,(MAX(Subject!$B:$B))),Subject!$B:$B,0),3))))</f>
        <v/>
      </c>
      <c r="J267" s="2" t="str">
        <f t="array" ref="J267">IF(NOW()&gt;AU267,"",IF(AND((WEEKDAY($A267)+$B$2)&gt;1,((WEEKDAY($A267)+$T$2)&lt;7),(WEEKDAY($A267)&lt;&gt;1)),"work",(INDEX(Subject!$A:$I,MATCH(RANDBETWEEN(1,(MAX(Subject!$B:$B))),Subject!$B:$B,0),3))))</f>
        <v/>
      </c>
      <c r="K267" s="2" t="str">
        <f t="array" ref="K267">IF(NOW()&gt;AV267,"",IF(AND((WEEKDAY($A267)+$B$2)&gt;1,((WEEKDAY($A267)+$T$2)&lt;7),(WEEKDAY($A267)&lt;&gt;1)),"work",(INDEX(Subject!$A:$I,MATCH(RANDBETWEEN(1,(MAX(Subject!$B:$B))),Subject!$B:$B,0),3))))</f>
        <v/>
      </c>
      <c r="L267" s="2" t="str">
        <f t="array" ref="L267">IF(NOW()&gt;AW267,"",IF(AND((WEEKDAY($A267)+$B$2)&gt;1,((WEEKDAY($A267)+$T$2)&lt;7),(WEEKDAY($A267)&lt;&gt;1)),"work",(INDEX(Subject!$A:$I,MATCH(RANDBETWEEN(1,(MAX(Subject!$B:$B))),Subject!$B:$B,0),3))))</f>
        <v/>
      </c>
      <c r="M267" s="2" t="str">
        <f t="array" ref="M267">IF(NOW()&gt;AX267,"",IF(AND((WEEKDAY($A267)+$B$2)&gt;1,((WEEKDAY($A267)+$T$2)&lt;7),(WEEKDAY($A267)&lt;&gt;1)),"work",(INDEX(Subject!$A:$I,MATCH(RANDBETWEEN(1,(MAX(Subject!$B:$B))),Subject!$B:$B,0),3))))</f>
        <v/>
      </c>
      <c r="N267" s="2" t="str">
        <f t="array" ref="N267">IF(NOW()&gt;AY267,"",IF(AND((WEEKDAY($A267)+$B$2)&gt;1,((WEEKDAY($A267)+$T$2)&lt;7),(WEEKDAY($A267)&lt;&gt;1)),"work",(INDEX(Subject!$A:$I,MATCH(RANDBETWEEN(1,(MAX(Subject!$B:$B))),Subject!$B:$B,0),3))))</f>
        <v/>
      </c>
      <c r="O267" s="2" t="str">
        <f t="array" ref="O267">IF(NOW()&gt;AZ267,"",IF(AND((WEEKDAY($A267)+$B$2)&gt;1,((WEEKDAY($A267)+$T$2)&lt;7),(WEEKDAY($A267)&lt;&gt;1)),"work",(INDEX(Subject!$A:$I,MATCH(RANDBETWEEN(1,(MAX(Subject!$B:$B))),Subject!$B:$B,0),3))))</f>
        <v/>
      </c>
      <c r="P267" s="2" t="str">
        <f t="array" ref="P267">IF(NOW()&gt;BA267,"",IF(AND((WEEKDAY($A267)+$B$2)&gt;1,((WEEKDAY($A267)+$T$2)&lt;7),(WEEKDAY($A267)&lt;&gt;1)),"work",(INDEX(Subject!$A:$I,MATCH(RANDBETWEEN(1,(MAX(Subject!$B:$B))),Subject!$B:$B,0),3))))</f>
        <v/>
      </c>
      <c r="Q267" s="2" t="str">
        <f t="array" ref="Q267">IF(NOW()&gt;BB267,"",IF(AND((WEEKDAY($A267)+$B$2)&gt;1,((WEEKDAY($A267)+$T$2)&lt;7),(WEEKDAY($A267)&lt;&gt;1)),"work",(INDEX(Subject!$A:$I,MATCH(RANDBETWEEN(1,(MAX(Subject!$B:$B))),Subject!$B:$B,0),3))))</f>
        <v/>
      </c>
      <c r="R267" s="2" t="str">
        <f t="array" ref="R267">IF(NOW()&gt;BC267,"",IF(AND((WEEKDAY($A267)+$B$2)&gt;1,((WEEKDAY($A267)+$T$2)&lt;7),(WEEKDAY($A267)&lt;&gt;1)),"work",(INDEX(Subject!$A:$I,MATCH(RANDBETWEEN(1,(MAX(Subject!$B:$B))),Subject!$B:$B,0),3))))</f>
        <v/>
      </c>
      <c r="S267" s="2" t="str">
        <f t="array" ref="S267">IF(NOW()&gt;BD267,"",IF(AND((WEEKDAY($A267)+$B$2)&gt;1,((WEEKDAY($A267)+$T$2)&lt;7),(WEEKDAY($A267)&lt;&gt;1)),"work",(INDEX(Subject!$A:$I,MATCH(RANDBETWEEN(1,(MAX(Subject!$B:$B))),Subject!$B:$B,0),3))))</f>
        <v/>
      </c>
      <c r="T267" s="2" t="str">
        <f t="array" ref="T267">IF(NOW()&gt;BE267,"",IF(AND((WEEKDAY($A267)+$B$2)&gt;1,((WEEKDAY($A267)+$T$2)&lt;7),(WEEKDAY($A267)&lt;&gt;1)),"work",(INDEX(Subject!$A:$I,MATCH(RANDBETWEEN(1,(MAX(Subject!$B:$B))),Subject!$B:$B,0),3))))</f>
        <v/>
      </c>
      <c r="U267" s="8" t="str">
        <f t="array" ref="U267">INDEX(Subject!$A:$I,MATCH(RANDBETWEEN(1,16),Subject!$B:$B,0),3)</f>
        <v>#N/A</v>
      </c>
      <c r="V267" s="8" t="str">
        <f t="array" ref="V267">INDEX(Subject!$A:$I,MATCH(RANDBETWEEN(1,16),Subject!$B:$B,0),3)</f>
        <v>#N/A</v>
      </c>
      <c r="W267" s="8" t="str">
        <f t="array" ref="W267">INDEX(Subject!$A:$I,MATCH(RANDBETWEEN(1,16),Subject!$B:$B,0),3)</f>
        <v>#N/A</v>
      </c>
      <c r="X267" s="8" t="str">
        <f t="array" ref="X267">INDEX(Subject!$A:$I,MATCH(RANDBETWEEN(1,16),Subject!$B:$B,0),3)</f>
        <v>#N/A</v>
      </c>
      <c r="Y267" s="8" t="str">
        <f t="array" ref="Y267">INDEX(Subject!$A:$I,MATCH(RANDBETWEEN(1,16),Subject!$B:$B,0),3)</f>
        <v>#N/A</v>
      </c>
      <c r="Z267" s="8" t="str">
        <f t="array" ref="Z267">INDEX(Subject!$A:$I,MATCH(RANDBETWEEN(1,16),Subject!$B:$B,0),3)</f>
        <v>#N/A</v>
      </c>
      <c r="AA267" s="8" t="str">
        <f t="array" ref="AA267">INDEX(Subject!$A:$I,MATCH(RANDBETWEEN(1,16),Subject!$B:$B,0),3)</f>
        <v>#N/A</v>
      </c>
      <c r="AB267" s="8" t="str">
        <f t="array" ref="AB267">INDEX(Subject!$A:$I,MATCH(RANDBETWEEN(1,16),Subject!$B:$B,0),3)</f>
        <v/>
      </c>
      <c r="AC267" s="8" t="str">
        <f t="array" ref="AC267">INDEX(Subject!$A:$I,MATCH(RANDBETWEEN(1,16),Subject!$B:$B,0),3)</f>
        <v>#N/A</v>
      </c>
      <c r="AD267" s="8" t="str">
        <f t="array" ref="AD267">INDEX(Subject!$A:$I,MATCH(RANDBETWEEN(1,16),Subject!$B:$B,0),3)</f>
        <v>#N/A</v>
      </c>
      <c r="AE267" s="8" t="str">
        <f t="array" ref="AE267">INDEX(Subject!$A:$I,MATCH(RANDBETWEEN(1,16),Subject!$B:$B,0),3)</f>
        <v>#N/A</v>
      </c>
      <c r="AF267" s="8" t="str">
        <f t="array" ref="AF267">INDEX(Subject!$A:$I,MATCH(RANDBETWEEN(1,16),Subject!$B:$B,0),3)</f>
        <v>#N/A</v>
      </c>
      <c r="AG267" s="8" t="str">
        <f t="array" ref="AG267">INDEX(Subject!$A:$I,MATCH(RANDBETWEEN(1,16),Subject!$B:$B,0),3)</f>
        <v>#N/A</v>
      </c>
      <c r="AH267" s="8" t="str">
        <f t="array" ref="AH267">INDEX(Subject!$A:$I,MATCH(RANDBETWEEN(1,16),Subject!$B:$B,0),3)</f>
        <v>#N/A</v>
      </c>
      <c r="AI267" s="8" t="str">
        <f t="array" ref="AI267">INDEX(Subject!$A:$I,MATCH(RANDBETWEEN(1,16),Subject!$B:$B,0),3)</f>
        <v>#N/A</v>
      </c>
      <c r="AJ267" s="8" t="str">
        <f t="array" ref="AJ267">INDEX(Subject!$A:$I,MATCH(RANDBETWEEN(1,16),Subject!$B:$B,0),3)</f>
        <v>#N/A</v>
      </c>
      <c r="AK267" s="8" t="str">
        <f t="array" ref="AK267">INDEX(Subject!$A:$I,MATCH(RANDBETWEEN(1,16),Subject!$B:$B,0),3)</f>
        <v>#N/A</v>
      </c>
      <c r="AL267" s="8" t="str">
        <f t="array" ref="AL267">INDEX(Subject!$A:$I,MATCH(RANDBETWEEN(1,16),Subject!$B:$B,0),3)</f>
        <v>#N/A</v>
      </c>
      <c r="AM267" s="18">
        <f t="shared" si="4"/>
        <v>45767.33333</v>
      </c>
      <c r="AN267" s="19">
        <f t="shared" ref="AN267:BZ267" si="267">$A267+C$1</f>
        <v>45767.35417</v>
      </c>
      <c r="AO267" s="19">
        <f t="shared" si="267"/>
        <v>45767.375</v>
      </c>
      <c r="AP267" s="19">
        <f t="shared" si="267"/>
        <v>45767.39583</v>
      </c>
      <c r="AQ267" s="19">
        <f t="shared" si="267"/>
        <v>45767.41667</v>
      </c>
      <c r="AR267" s="19">
        <f t="shared" si="267"/>
        <v>45767.4375</v>
      </c>
      <c r="AS267" s="19">
        <f t="shared" si="267"/>
        <v>45767.45833</v>
      </c>
      <c r="AT267" s="19">
        <f t="shared" si="267"/>
        <v>45767.47917</v>
      </c>
      <c r="AU267" s="19">
        <f t="shared" si="267"/>
        <v>45767.5</v>
      </c>
      <c r="AV267" s="19">
        <f t="shared" si="267"/>
        <v>45767.52083</v>
      </c>
      <c r="AW267" s="19">
        <f t="shared" si="267"/>
        <v>45767.54167</v>
      </c>
      <c r="AX267" s="19">
        <f t="shared" si="267"/>
        <v>45767.5625</v>
      </c>
      <c r="AY267" s="19">
        <f t="shared" si="267"/>
        <v>45767.58333</v>
      </c>
      <c r="AZ267" s="19">
        <f t="shared" si="267"/>
        <v>45767.60417</v>
      </c>
      <c r="BA267" s="19">
        <f t="shared" si="267"/>
        <v>45767.625</v>
      </c>
      <c r="BB267" s="19">
        <f t="shared" si="267"/>
        <v>45767.64583</v>
      </c>
      <c r="BC267" s="19">
        <f t="shared" si="267"/>
        <v>45767.66667</v>
      </c>
      <c r="BD267" s="19">
        <f t="shared" si="267"/>
        <v>45767.6875</v>
      </c>
      <c r="BE267" s="19">
        <f t="shared" si="267"/>
        <v>45767.70833</v>
      </c>
      <c r="BF267" s="19">
        <f t="shared" si="267"/>
        <v>45767.72917</v>
      </c>
      <c r="BG267" s="19">
        <f t="shared" si="267"/>
        <v>45767.75</v>
      </c>
      <c r="BH267" s="19">
        <f t="shared" si="267"/>
        <v>45767.77083</v>
      </c>
      <c r="BI267" s="19">
        <f t="shared" si="267"/>
        <v>45767.79167</v>
      </c>
      <c r="BJ267" s="19">
        <f t="shared" si="267"/>
        <v>45767.8125</v>
      </c>
      <c r="BK267" s="19">
        <f t="shared" si="267"/>
        <v>45767.83333</v>
      </c>
      <c r="BL267" s="19">
        <f t="shared" si="267"/>
        <v>45767.85417</v>
      </c>
      <c r="BM267" s="19">
        <f t="shared" si="267"/>
        <v>45767.875</v>
      </c>
      <c r="BN267" s="19">
        <f t="shared" si="267"/>
        <v>45767.89583</v>
      </c>
      <c r="BO267" s="19">
        <f t="shared" si="267"/>
        <v>45767.91667</v>
      </c>
      <c r="BP267" s="19">
        <f t="shared" si="267"/>
        <v>45767.9375</v>
      </c>
      <c r="BQ267" s="19">
        <f t="shared" si="267"/>
        <v>45767.95833</v>
      </c>
      <c r="BR267" s="19">
        <f t="shared" si="267"/>
        <v>45767.97917</v>
      </c>
      <c r="BS267" s="19">
        <f t="shared" si="267"/>
        <v>45768</v>
      </c>
      <c r="BT267" s="19">
        <f t="shared" si="267"/>
        <v>45768.02083</v>
      </c>
      <c r="BU267" s="19">
        <f t="shared" si="267"/>
        <v>45768.04167</v>
      </c>
      <c r="BV267" s="19">
        <f t="shared" si="267"/>
        <v>45768.0625</v>
      </c>
      <c r="BW267" s="19">
        <f t="shared" si="267"/>
        <v>45768.08333</v>
      </c>
      <c r="BX267" s="19">
        <f t="shared" si="267"/>
        <v>45767</v>
      </c>
      <c r="BY267" s="19">
        <f t="shared" si="267"/>
        <v>45767</v>
      </c>
      <c r="BZ267" s="19">
        <f t="shared" si="267"/>
        <v>45767</v>
      </c>
    </row>
    <row r="268" ht="14.25" customHeight="1">
      <c r="A268" s="17">
        <v>45768.0</v>
      </c>
      <c r="B268" s="2" t="str">
        <f t="array" ref="B268">IF(NOW()&gt;AM268,"",IF(AND((WEEKDAY($A268)+$B$2)&gt;1,((WEEKDAY($A268)+$T$2)&lt;7),(WEEKDAY($A268)&lt;&gt;1)),"work",(INDEX(Subject!$A:$I,MATCH(RANDBETWEEN(1,(MAX(Subject!$B:$B))),Subject!$B:$B,0),3))))</f>
        <v/>
      </c>
      <c r="C268" s="2" t="str">
        <f t="array" ref="C268">IF(NOW()&gt;AN268,"",IF(AND((WEEKDAY($A268)+$B$2)&gt;1,((WEEKDAY($A268)+$T$2)&lt;7),(WEEKDAY($A268)&lt;&gt;1)),"work",(INDEX(Subject!$A:$I,MATCH(RANDBETWEEN(1,(MAX(Subject!$B:$B))),Subject!$B:$B,0),3))))</f>
        <v/>
      </c>
      <c r="D268" s="2" t="str">
        <f t="array" ref="D268">IF(NOW()&gt;AO268,"",IF(AND((WEEKDAY($A268)+$B$2)&gt;1,((WEEKDAY($A268)+$T$2)&lt;7),(WEEKDAY($A268)&lt;&gt;1)),"work",(INDEX(Subject!$A:$I,MATCH(RANDBETWEEN(1,(MAX(Subject!$B:$B))),Subject!$B:$B,0),3))))</f>
        <v/>
      </c>
      <c r="E268" s="2" t="str">
        <f t="array" ref="E268">IF(NOW()&gt;AP268,"",IF(AND((WEEKDAY($A268)+$B$2)&gt;1,((WEEKDAY($A268)+$T$2)&lt;7),(WEEKDAY($A268)&lt;&gt;1)),"work",(INDEX(Subject!$A:$I,MATCH(RANDBETWEEN(1,(MAX(Subject!$B:$B))),Subject!$B:$B,0),3))))</f>
        <v/>
      </c>
      <c r="F268" s="2" t="str">
        <f t="array" ref="F268">IF(NOW()&gt;AQ268,"",IF(AND((WEEKDAY($A268)+$B$2)&gt;1,((WEEKDAY($A268)+$T$2)&lt;7),(WEEKDAY($A268)&lt;&gt;1)),"work",(INDEX(Subject!$A:$I,MATCH(RANDBETWEEN(1,(MAX(Subject!$B:$B))),Subject!$B:$B,0),3))))</f>
        <v/>
      </c>
      <c r="G268" s="2" t="str">
        <f t="array" ref="G268">IF(NOW()&gt;AR268,"",IF(AND((WEEKDAY($A268)+$B$2)&gt;1,((WEEKDAY($A268)+$T$2)&lt;7),(WEEKDAY($A268)&lt;&gt;1)),"work",(INDEX(Subject!$A:$I,MATCH(RANDBETWEEN(1,(MAX(Subject!$B:$B))),Subject!$B:$B,0),3))))</f>
        <v/>
      </c>
      <c r="H268" s="2" t="str">
        <f t="array" ref="H268">IF(NOW()&gt;AS268,"",IF(AND((WEEKDAY($A268)+$B$2)&gt;1,((WEEKDAY($A268)+$T$2)&lt;7),(WEEKDAY($A268)&lt;&gt;1)),"work",(INDEX(Subject!$A:$I,MATCH(RANDBETWEEN(1,(MAX(Subject!$B:$B))),Subject!$B:$B,0),3))))</f>
        <v/>
      </c>
      <c r="I268" s="2" t="str">
        <f t="array" ref="I268">IF(NOW()&gt;AT268,"",IF(AND((WEEKDAY($A268)+$B$2)&gt;1,((WEEKDAY($A268)+$T$2)&lt;7),(WEEKDAY($A268)&lt;&gt;1)),"work",(INDEX(Subject!$A:$I,MATCH(RANDBETWEEN(1,(MAX(Subject!$B:$B))),Subject!$B:$B,0),3))))</f>
        <v/>
      </c>
      <c r="J268" s="2" t="str">
        <f t="array" ref="J268">IF(NOW()&gt;AU268,"",IF(AND((WEEKDAY($A268)+$B$2)&gt;1,((WEEKDAY($A268)+$T$2)&lt;7),(WEEKDAY($A268)&lt;&gt;1)),"work",(INDEX(Subject!$A:$I,MATCH(RANDBETWEEN(1,(MAX(Subject!$B:$B))),Subject!$B:$B,0),3))))</f>
        <v/>
      </c>
      <c r="K268" s="2" t="str">
        <f t="array" ref="K268">IF(NOW()&gt;AV268,"",IF(AND((WEEKDAY($A268)+$B$2)&gt;1,((WEEKDAY($A268)+$T$2)&lt;7),(WEEKDAY($A268)&lt;&gt;1)),"work",(INDEX(Subject!$A:$I,MATCH(RANDBETWEEN(1,(MAX(Subject!$B:$B))),Subject!$B:$B,0),3))))</f>
        <v/>
      </c>
      <c r="L268" s="2" t="str">
        <f t="array" ref="L268">IF(NOW()&gt;AW268,"",IF(AND((WEEKDAY($A268)+$B$2)&gt;1,((WEEKDAY($A268)+$T$2)&lt;7),(WEEKDAY($A268)&lt;&gt;1)),"work",(INDEX(Subject!$A:$I,MATCH(RANDBETWEEN(1,(MAX(Subject!$B:$B))),Subject!$B:$B,0),3))))</f>
        <v/>
      </c>
      <c r="M268" s="2" t="str">
        <f t="array" ref="M268">IF(NOW()&gt;AX268,"",IF(AND((WEEKDAY($A268)+$B$2)&gt;1,((WEEKDAY($A268)+$T$2)&lt;7),(WEEKDAY($A268)&lt;&gt;1)),"work",(INDEX(Subject!$A:$I,MATCH(RANDBETWEEN(1,(MAX(Subject!$B:$B))),Subject!$B:$B,0),3))))</f>
        <v/>
      </c>
      <c r="N268" s="2" t="str">
        <f t="array" ref="N268">IF(NOW()&gt;AY268,"",IF(AND((WEEKDAY($A268)+$B$2)&gt;1,((WEEKDAY($A268)+$T$2)&lt;7),(WEEKDAY($A268)&lt;&gt;1)),"work",(INDEX(Subject!$A:$I,MATCH(RANDBETWEEN(1,(MAX(Subject!$B:$B))),Subject!$B:$B,0),3))))</f>
        <v/>
      </c>
      <c r="O268" s="2" t="str">
        <f t="array" ref="O268">IF(NOW()&gt;AZ268,"",IF(AND((WEEKDAY($A268)+$B$2)&gt;1,((WEEKDAY($A268)+$T$2)&lt;7),(WEEKDAY($A268)&lt;&gt;1)),"work",(INDEX(Subject!$A:$I,MATCH(RANDBETWEEN(1,(MAX(Subject!$B:$B))),Subject!$B:$B,0),3))))</f>
        <v/>
      </c>
      <c r="P268" s="2" t="str">
        <f t="array" ref="P268">IF(NOW()&gt;BA268,"",IF(AND((WEEKDAY($A268)+$B$2)&gt;1,((WEEKDAY($A268)+$T$2)&lt;7),(WEEKDAY($A268)&lt;&gt;1)),"work",(INDEX(Subject!$A:$I,MATCH(RANDBETWEEN(1,(MAX(Subject!$B:$B))),Subject!$B:$B,0),3))))</f>
        <v/>
      </c>
      <c r="Q268" s="2" t="str">
        <f t="array" ref="Q268">IF(NOW()&gt;BB268,"",IF(AND((WEEKDAY($A268)+$B$2)&gt;1,((WEEKDAY($A268)+$T$2)&lt;7),(WEEKDAY($A268)&lt;&gt;1)),"work",(INDEX(Subject!$A:$I,MATCH(RANDBETWEEN(1,(MAX(Subject!$B:$B))),Subject!$B:$B,0),3))))</f>
        <v/>
      </c>
      <c r="R268" s="2" t="str">
        <f t="array" ref="R268">IF(NOW()&gt;BC268,"",IF(AND((WEEKDAY($A268)+$B$2)&gt;1,((WEEKDAY($A268)+$T$2)&lt;7),(WEEKDAY($A268)&lt;&gt;1)),"work",(INDEX(Subject!$A:$I,MATCH(RANDBETWEEN(1,(MAX(Subject!$B:$B))),Subject!$B:$B,0),3))))</f>
        <v/>
      </c>
      <c r="S268" s="2" t="str">
        <f t="array" ref="S268">IF(NOW()&gt;BD268,"",IF(AND((WEEKDAY($A268)+$B$2)&gt;1,((WEEKDAY($A268)+$T$2)&lt;7),(WEEKDAY($A268)&lt;&gt;1)),"work",(INDEX(Subject!$A:$I,MATCH(RANDBETWEEN(1,(MAX(Subject!$B:$B))),Subject!$B:$B,0),3))))</f>
        <v/>
      </c>
      <c r="T268" s="2" t="str">
        <f t="array" ref="T268">IF(NOW()&gt;BE268,"",IF(AND((WEEKDAY($A268)+$B$2)&gt;1,((WEEKDAY($A268)+$T$2)&lt;7),(WEEKDAY($A268)&lt;&gt;1)),"work",(INDEX(Subject!$A:$I,MATCH(RANDBETWEEN(1,(MAX(Subject!$B:$B))),Subject!$B:$B,0),3))))</f>
        <v/>
      </c>
      <c r="U268" s="8" t="str">
        <f t="array" ref="U268">INDEX(Subject!$A:$I,MATCH(RANDBETWEEN(1,16),Subject!$B:$B,0),3)</f>
        <v>#N/A</v>
      </c>
      <c r="V268" s="8" t="str">
        <f t="array" ref="V268">INDEX(Subject!$A:$I,MATCH(RANDBETWEEN(1,16),Subject!$B:$B,0),3)</f>
        <v>#N/A</v>
      </c>
      <c r="W268" s="8" t="str">
        <f t="array" ref="W268">INDEX(Subject!$A:$I,MATCH(RANDBETWEEN(1,16),Subject!$B:$B,0),3)</f>
        <v/>
      </c>
      <c r="X268" s="8" t="str">
        <f t="array" ref="X268">INDEX(Subject!$A:$I,MATCH(RANDBETWEEN(1,16),Subject!$B:$B,0),3)</f>
        <v>#N/A</v>
      </c>
      <c r="Y268" s="8" t="str">
        <f t="array" ref="Y268">INDEX(Subject!$A:$I,MATCH(RANDBETWEEN(1,16),Subject!$B:$B,0),3)</f>
        <v>#N/A</v>
      </c>
      <c r="Z268" s="8" t="str">
        <f t="array" ref="Z268">INDEX(Subject!$A:$I,MATCH(RANDBETWEEN(1,16),Subject!$B:$B,0),3)</f>
        <v>#N/A</v>
      </c>
      <c r="AA268" s="8" t="str">
        <f t="array" ref="AA268">INDEX(Subject!$A:$I,MATCH(RANDBETWEEN(1,16),Subject!$B:$B,0),3)</f>
        <v>#N/A</v>
      </c>
      <c r="AB268" s="8" t="str">
        <f t="array" ref="AB268">INDEX(Subject!$A:$I,MATCH(RANDBETWEEN(1,16),Subject!$B:$B,0),3)</f>
        <v>#N/A</v>
      </c>
      <c r="AC268" s="8" t="str">
        <f t="array" ref="AC268">INDEX(Subject!$A:$I,MATCH(RANDBETWEEN(1,16),Subject!$B:$B,0),3)</f>
        <v>#N/A</v>
      </c>
      <c r="AD268" s="8" t="str">
        <f t="array" ref="AD268">INDEX(Subject!$A:$I,MATCH(RANDBETWEEN(1,16),Subject!$B:$B,0),3)</f>
        <v>#N/A</v>
      </c>
      <c r="AE268" s="8" t="str">
        <f t="array" ref="AE268">INDEX(Subject!$A:$I,MATCH(RANDBETWEEN(1,16),Subject!$B:$B,0),3)</f>
        <v>#N/A</v>
      </c>
      <c r="AF268" s="8" t="str">
        <f t="array" ref="AF268">INDEX(Subject!$A:$I,MATCH(RANDBETWEEN(1,16),Subject!$B:$B,0),3)</f>
        <v>#N/A</v>
      </c>
      <c r="AG268" s="8" t="str">
        <f t="array" ref="AG268">INDEX(Subject!$A:$I,MATCH(RANDBETWEEN(1,16),Subject!$B:$B,0),3)</f>
        <v>#N/A</v>
      </c>
      <c r="AH268" s="8" t="str">
        <f t="array" ref="AH268">INDEX(Subject!$A:$I,MATCH(RANDBETWEEN(1,16),Subject!$B:$B,0),3)</f>
        <v>#N/A</v>
      </c>
      <c r="AI268" s="8" t="str">
        <f t="array" ref="AI268">INDEX(Subject!$A:$I,MATCH(RANDBETWEEN(1,16),Subject!$B:$B,0),3)</f>
        <v>#N/A</v>
      </c>
      <c r="AJ268" s="8" t="str">
        <f t="array" ref="AJ268">INDEX(Subject!$A:$I,MATCH(RANDBETWEEN(1,16),Subject!$B:$B,0),3)</f>
        <v>#N/A</v>
      </c>
      <c r="AK268" s="8" t="str">
        <f t="array" ref="AK268">INDEX(Subject!$A:$I,MATCH(RANDBETWEEN(1,16),Subject!$B:$B,0),3)</f>
        <v>#N/A</v>
      </c>
      <c r="AL268" s="8" t="str">
        <f t="array" ref="AL268">INDEX(Subject!$A:$I,MATCH(RANDBETWEEN(1,16),Subject!$B:$B,0),3)</f>
        <v>#N/A</v>
      </c>
      <c r="AM268" s="18">
        <f t="shared" si="4"/>
        <v>45768.33333</v>
      </c>
      <c r="AN268" s="19">
        <f t="shared" ref="AN268:BZ268" si="268">$A268+C$1</f>
        <v>45768.35417</v>
      </c>
      <c r="AO268" s="19">
        <f t="shared" si="268"/>
        <v>45768.375</v>
      </c>
      <c r="AP268" s="19">
        <f t="shared" si="268"/>
        <v>45768.39583</v>
      </c>
      <c r="AQ268" s="19">
        <f t="shared" si="268"/>
        <v>45768.41667</v>
      </c>
      <c r="AR268" s="19">
        <f t="shared" si="268"/>
        <v>45768.4375</v>
      </c>
      <c r="AS268" s="19">
        <f t="shared" si="268"/>
        <v>45768.45833</v>
      </c>
      <c r="AT268" s="19">
        <f t="shared" si="268"/>
        <v>45768.47917</v>
      </c>
      <c r="AU268" s="19">
        <f t="shared" si="268"/>
        <v>45768.5</v>
      </c>
      <c r="AV268" s="19">
        <f t="shared" si="268"/>
        <v>45768.52083</v>
      </c>
      <c r="AW268" s="19">
        <f t="shared" si="268"/>
        <v>45768.54167</v>
      </c>
      <c r="AX268" s="19">
        <f t="shared" si="268"/>
        <v>45768.5625</v>
      </c>
      <c r="AY268" s="19">
        <f t="shared" si="268"/>
        <v>45768.58333</v>
      </c>
      <c r="AZ268" s="19">
        <f t="shared" si="268"/>
        <v>45768.60417</v>
      </c>
      <c r="BA268" s="19">
        <f t="shared" si="268"/>
        <v>45768.625</v>
      </c>
      <c r="BB268" s="19">
        <f t="shared" si="268"/>
        <v>45768.64583</v>
      </c>
      <c r="BC268" s="19">
        <f t="shared" si="268"/>
        <v>45768.66667</v>
      </c>
      <c r="BD268" s="19">
        <f t="shared" si="268"/>
        <v>45768.6875</v>
      </c>
      <c r="BE268" s="19">
        <f t="shared" si="268"/>
        <v>45768.70833</v>
      </c>
      <c r="BF268" s="19">
        <f t="shared" si="268"/>
        <v>45768.72917</v>
      </c>
      <c r="BG268" s="19">
        <f t="shared" si="268"/>
        <v>45768.75</v>
      </c>
      <c r="BH268" s="19">
        <f t="shared" si="268"/>
        <v>45768.77083</v>
      </c>
      <c r="BI268" s="19">
        <f t="shared" si="268"/>
        <v>45768.79167</v>
      </c>
      <c r="BJ268" s="19">
        <f t="shared" si="268"/>
        <v>45768.8125</v>
      </c>
      <c r="BK268" s="19">
        <f t="shared" si="268"/>
        <v>45768.83333</v>
      </c>
      <c r="BL268" s="19">
        <f t="shared" si="268"/>
        <v>45768.85417</v>
      </c>
      <c r="BM268" s="19">
        <f t="shared" si="268"/>
        <v>45768.875</v>
      </c>
      <c r="BN268" s="19">
        <f t="shared" si="268"/>
        <v>45768.89583</v>
      </c>
      <c r="BO268" s="19">
        <f t="shared" si="268"/>
        <v>45768.91667</v>
      </c>
      <c r="BP268" s="19">
        <f t="shared" si="268"/>
        <v>45768.9375</v>
      </c>
      <c r="BQ268" s="19">
        <f t="shared" si="268"/>
        <v>45768.95833</v>
      </c>
      <c r="BR268" s="19">
        <f t="shared" si="268"/>
        <v>45768.97917</v>
      </c>
      <c r="BS268" s="19">
        <f t="shared" si="268"/>
        <v>45769</v>
      </c>
      <c r="BT268" s="19">
        <f t="shared" si="268"/>
        <v>45769.02083</v>
      </c>
      <c r="BU268" s="19">
        <f t="shared" si="268"/>
        <v>45769.04167</v>
      </c>
      <c r="BV268" s="19">
        <f t="shared" si="268"/>
        <v>45769.0625</v>
      </c>
      <c r="BW268" s="19">
        <f t="shared" si="268"/>
        <v>45769.08333</v>
      </c>
      <c r="BX268" s="19">
        <f t="shared" si="268"/>
        <v>45768</v>
      </c>
      <c r="BY268" s="19">
        <f t="shared" si="268"/>
        <v>45768</v>
      </c>
      <c r="BZ268" s="19">
        <f t="shared" si="268"/>
        <v>45768</v>
      </c>
    </row>
    <row r="269" ht="14.25" customHeight="1">
      <c r="A269" s="17">
        <v>45769.0</v>
      </c>
      <c r="B269" s="2" t="str">
        <f t="array" ref="B269">IF(NOW()&gt;AM269,"",IF(AND((WEEKDAY($A269)+$B$2)&gt;1,((WEEKDAY($A269)+$T$2)&lt;7),(WEEKDAY($A269)&lt;&gt;1)),"work",(INDEX(Subject!$A:$I,MATCH(RANDBETWEEN(1,(MAX(Subject!$B:$B))),Subject!$B:$B,0),3))))</f>
        <v/>
      </c>
      <c r="C269" s="2" t="str">
        <f t="array" ref="C269">IF(NOW()&gt;AN269,"",IF(AND((WEEKDAY($A269)+$B$2)&gt;1,((WEEKDAY($A269)+$T$2)&lt;7),(WEEKDAY($A269)&lt;&gt;1)),"work",(INDEX(Subject!$A:$I,MATCH(RANDBETWEEN(1,(MAX(Subject!$B:$B))),Subject!$B:$B,0),3))))</f>
        <v/>
      </c>
      <c r="D269" s="2" t="str">
        <f t="array" ref="D269">IF(NOW()&gt;AO269,"",IF(AND((WEEKDAY($A269)+$B$2)&gt;1,((WEEKDAY($A269)+$T$2)&lt;7),(WEEKDAY($A269)&lt;&gt;1)),"work",(INDEX(Subject!$A:$I,MATCH(RANDBETWEEN(1,(MAX(Subject!$B:$B))),Subject!$B:$B,0),3))))</f>
        <v/>
      </c>
      <c r="E269" s="2" t="str">
        <f t="array" ref="E269">IF(NOW()&gt;AP269,"",IF(AND((WEEKDAY($A269)+$B$2)&gt;1,((WEEKDAY($A269)+$T$2)&lt;7),(WEEKDAY($A269)&lt;&gt;1)),"work",(INDEX(Subject!$A:$I,MATCH(RANDBETWEEN(1,(MAX(Subject!$B:$B))),Subject!$B:$B,0),3))))</f>
        <v/>
      </c>
      <c r="F269" s="2" t="str">
        <f t="array" ref="F269">IF(NOW()&gt;AQ269,"",IF(AND((WEEKDAY($A269)+$B$2)&gt;1,((WEEKDAY($A269)+$T$2)&lt;7),(WEEKDAY($A269)&lt;&gt;1)),"work",(INDEX(Subject!$A:$I,MATCH(RANDBETWEEN(1,(MAX(Subject!$B:$B))),Subject!$B:$B,0),3))))</f>
        <v/>
      </c>
      <c r="G269" s="2" t="str">
        <f t="array" ref="G269">IF(NOW()&gt;AR269,"",IF(AND((WEEKDAY($A269)+$B$2)&gt;1,((WEEKDAY($A269)+$T$2)&lt;7),(WEEKDAY($A269)&lt;&gt;1)),"work",(INDEX(Subject!$A:$I,MATCH(RANDBETWEEN(1,(MAX(Subject!$B:$B))),Subject!$B:$B,0),3))))</f>
        <v/>
      </c>
      <c r="H269" s="2" t="str">
        <f t="array" ref="H269">IF(NOW()&gt;AS269,"",IF(AND((WEEKDAY($A269)+$B$2)&gt;1,((WEEKDAY($A269)+$T$2)&lt;7),(WEEKDAY($A269)&lt;&gt;1)),"work",(INDEX(Subject!$A:$I,MATCH(RANDBETWEEN(1,(MAX(Subject!$B:$B))),Subject!$B:$B,0),3))))</f>
        <v/>
      </c>
      <c r="I269" s="2" t="str">
        <f t="array" ref="I269">IF(NOW()&gt;AT269,"",IF(AND((WEEKDAY($A269)+$B$2)&gt;1,((WEEKDAY($A269)+$T$2)&lt;7),(WEEKDAY($A269)&lt;&gt;1)),"work",(INDEX(Subject!$A:$I,MATCH(RANDBETWEEN(1,(MAX(Subject!$B:$B))),Subject!$B:$B,0),3))))</f>
        <v/>
      </c>
      <c r="J269" s="2" t="str">
        <f t="array" ref="J269">IF(NOW()&gt;AU269,"",IF(AND((WEEKDAY($A269)+$B$2)&gt;1,((WEEKDAY($A269)+$T$2)&lt;7),(WEEKDAY($A269)&lt;&gt;1)),"work",(INDEX(Subject!$A:$I,MATCH(RANDBETWEEN(1,(MAX(Subject!$B:$B))),Subject!$B:$B,0),3))))</f>
        <v/>
      </c>
      <c r="K269" s="2" t="str">
        <f t="array" ref="K269">IF(NOW()&gt;AV269,"",IF(AND((WEEKDAY($A269)+$B$2)&gt;1,((WEEKDAY($A269)+$T$2)&lt;7),(WEEKDAY($A269)&lt;&gt;1)),"work",(INDEX(Subject!$A:$I,MATCH(RANDBETWEEN(1,(MAX(Subject!$B:$B))),Subject!$B:$B,0),3))))</f>
        <v/>
      </c>
      <c r="L269" s="2" t="str">
        <f t="array" ref="L269">IF(NOW()&gt;AW269,"",IF(AND((WEEKDAY($A269)+$B$2)&gt;1,((WEEKDAY($A269)+$T$2)&lt;7),(WEEKDAY($A269)&lt;&gt;1)),"work",(INDEX(Subject!$A:$I,MATCH(RANDBETWEEN(1,(MAX(Subject!$B:$B))),Subject!$B:$B,0),3))))</f>
        <v/>
      </c>
      <c r="M269" s="2" t="str">
        <f t="array" ref="M269">IF(NOW()&gt;AX269,"",IF(AND((WEEKDAY($A269)+$B$2)&gt;1,((WEEKDAY($A269)+$T$2)&lt;7),(WEEKDAY($A269)&lt;&gt;1)),"work",(INDEX(Subject!$A:$I,MATCH(RANDBETWEEN(1,(MAX(Subject!$B:$B))),Subject!$B:$B,0),3))))</f>
        <v/>
      </c>
      <c r="N269" s="2" t="str">
        <f t="array" ref="N269">IF(NOW()&gt;AY269,"",IF(AND((WEEKDAY($A269)+$B$2)&gt;1,((WEEKDAY($A269)+$T$2)&lt;7),(WEEKDAY($A269)&lt;&gt;1)),"work",(INDEX(Subject!$A:$I,MATCH(RANDBETWEEN(1,(MAX(Subject!$B:$B))),Subject!$B:$B,0),3))))</f>
        <v/>
      </c>
      <c r="O269" s="2" t="str">
        <f t="array" ref="O269">IF(NOW()&gt;AZ269,"",IF(AND((WEEKDAY($A269)+$B$2)&gt;1,((WEEKDAY($A269)+$T$2)&lt;7),(WEEKDAY($A269)&lt;&gt;1)),"work",(INDEX(Subject!$A:$I,MATCH(RANDBETWEEN(1,(MAX(Subject!$B:$B))),Subject!$B:$B,0),3))))</f>
        <v/>
      </c>
      <c r="P269" s="2" t="str">
        <f t="array" ref="P269">IF(NOW()&gt;BA269,"",IF(AND((WEEKDAY($A269)+$B$2)&gt;1,((WEEKDAY($A269)+$T$2)&lt;7),(WEEKDAY($A269)&lt;&gt;1)),"work",(INDEX(Subject!$A:$I,MATCH(RANDBETWEEN(1,(MAX(Subject!$B:$B))),Subject!$B:$B,0),3))))</f>
        <v/>
      </c>
      <c r="Q269" s="2" t="str">
        <f t="array" ref="Q269">IF(NOW()&gt;BB269,"",IF(AND((WEEKDAY($A269)+$B$2)&gt;1,((WEEKDAY($A269)+$T$2)&lt;7),(WEEKDAY($A269)&lt;&gt;1)),"work",(INDEX(Subject!$A:$I,MATCH(RANDBETWEEN(1,(MAX(Subject!$B:$B))),Subject!$B:$B,0),3))))</f>
        <v/>
      </c>
      <c r="R269" s="2" t="str">
        <f t="array" ref="R269">IF(NOW()&gt;BC269,"",IF(AND((WEEKDAY($A269)+$B$2)&gt;1,((WEEKDAY($A269)+$T$2)&lt;7),(WEEKDAY($A269)&lt;&gt;1)),"work",(INDEX(Subject!$A:$I,MATCH(RANDBETWEEN(1,(MAX(Subject!$B:$B))),Subject!$B:$B,0),3))))</f>
        <v/>
      </c>
      <c r="S269" s="2" t="str">
        <f t="array" ref="S269">IF(NOW()&gt;BD269,"",IF(AND((WEEKDAY($A269)+$B$2)&gt;1,((WEEKDAY($A269)+$T$2)&lt;7),(WEEKDAY($A269)&lt;&gt;1)),"work",(INDEX(Subject!$A:$I,MATCH(RANDBETWEEN(1,(MAX(Subject!$B:$B))),Subject!$B:$B,0),3))))</f>
        <v/>
      </c>
      <c r="T269" s="2" t="str">
        <f t="array" ref="T269">IF(NOW()&gt;BE269,"",IF(AND((WEEKDAY($A269)+$B$2)&gt;1,((WEEKDAY($A269)+$T$2)&lt;7),(WEEKDAY($A269)&lt;&gt;1)),"work",(INDEX(Subject!$A:$I,MATCH(RANDBETWEEN(1,(MAX(Subject!$B:$B))),Subject!$B:$B,0),3))))</f>
        <v/>
      </c>
      <c r="U269" s="8" t="str">
        <f t="array" ref="U269">INDEX(Subject!$A:$I,MATCH(RANDBETWEEN(1,16),Subject!$B:$B,0),3)</f>
        <v>#N/A</v>
      </c>
      <c r="V269" s="8" t="str">
        <f t="array" ref="V269">INDEX(Subject!$A:$I,MATCH(RANDBETWEEN(1,16),Subject!$B:$B,0),3)</f>
        <v>#N/A</v>
      </c>
      <c r="W269" s="8" t="str">
        <f t="array" ref="W269">INDEX(Subject!$A:$I,MATCH(RANDBETWEEN(1,16),Subject!$B:$B,0),3)</f>
        <v>#N/A</v>
      </c>
      <c r="X269" s="8" t="str">
        <f t="array" ref="X269">INDEX(Subject!$A:$I,MATCH(RANDBETWEEN(1,16),Subject!$B:$B,0),3)</f>
        <v/>
      </c>
      <c r="Y269" s="8" t="str">
        <f t="array" ref="Y269">INDEX(Subject!$A:$I,MATCH(RANDBETWEEN(1,16),Subject!$B:$B,0),3)</f>
        <v>#N/A</v>
      </c>
      <c r="Z269" s="8" t="str">
        <f t="array" ref="Z269">INDEX(Subject!$A:$I,MATCH(RANDBETWEEN(1,16),Subject!$B:$B,0),3)</f>
        <v/>
      </c>
      <c r="AA269" s="8" t="str">
        <f t="array" ref="AA269">INDEX(Subject!$A:$I,MATCH(RANDBETWEEN(1,16),Subject!$B:$B,0),3)</f>
        <v>#N/A</v>
      </c>
      <c r="AB269" s="8" t="str">
        <f t="array" ref="AB269">INDEX(Subject!$A:$I,MATCH(RANDBETWEEN(1,16),Subject!$B:$B,0),3)</f>
        <v>#N/A</v>
      </c>
      <c r="AC269" s="8" t="str">
        <f t="array" ref="AC269">INDEX(Subject!$A:$I,MATCH(RANDBETWEEN(1,16),Subject!$B:$B,0),3)</f>
        <v>#N/A</v>
      </c>
      <c r="AD269" s="8" t="str">
        <f t="array" ref="AD269">INDEX(Subject!$A:$I,MATCH(RANDBETWEEN(1,16),Subject!$B:$B,0),3)</f>
        <v/>
      </c>
      <c r="AE269" s="8" t="str">
        <f t="array" ref="AE269">INDEX(Subject!$A:$I,MATCH(RANDBETWEEN(1,16),Subject!$B:$B,0),3)</f>
        <v>#N/A</v>
      </c>
      <c r="AF269" s="8" t="str">
        <f t="array" ref="AF269">INDEX(Subject!$A:$I,MATCH(RANDBETWEEN(1,16),Subject!$B:$B,0),3)</f>
        <v>#N/A</v>
      </c>
      <c r="AG269" s="8" t="str">
        <f t="array" ref="AG269">INDEX(Subject!$A:$I,MATCH(RANDBETWEEN(1,16),Subject!$B:$B,0),3)</f>
        <v>#N/A</v>
      </c>
      <c r="AH269" s="8" t="str">
        <f t="array" ref="AH269">INDEX(Subject!$A:$I,MATCH(RANDBETWEEN(1,16),Subject!$B:$B,0),3)</f>
        <v>#N/A</v>
      </c>
      <c r="AI269" s="8" t="str">
        <f t="array" ref="AI269">INDEX(Subject!$A:$I,MATCH(RANDBETWEEN(1,16),Subject!$B:$B,0),3)</f>
        <v>#N/A</v>
      </c>
      <c r="AJ269" s="8" t="str">
        <f t="array" ref="AJ269">INDEX(Subject!$A:$I,MATCH(RANDBETWEEN(1,16),Subject!$B:$B,0),3)</f>
        <v>#N/A</v>
      </c>
      <c r="AK269" s="8" t="str">
        <f t="array" ref="AK269">INDEX(Subject!$A:$I,MATCH(RANDBETWEEN(1,16),Subject!$B:$B,0),3)</f>
        <v>#N/A</v>
      </c>
      <c r="AL269" s="8" t="str">
        <f t="array" ref="AL269">INDEX(Subject!$A:$I,MATCH(RANDBETWEEN(1,16),Subject!$B:$B,0),3)</f>
        <v>#N/A</v>
      </c>
      <c r="AM269" s="18">
        <f t="shared" si="4"/>
        <v>45769.33333</v>
      </c>
      <c r="AN269" s="19">
        <f t="shared" ref="AN269:BZ269" si="269">$A269+C$1</f>
        <v>45769.35417</v>
      </c>
      <c r="AO269" s="19">
        <f t="shared" si="269"/>
        <v>45769.375</v>
      </c>
      <c r="AP269" s="19">
        <f t="shared" si="269"/>
        <v>45769.39583</v>
      </c>
      <c r="AQ269" s="19">
        <f t="shared" si="269"/>
        <v>45769.41667</v>
      </c>
      <c r="AR269" s="19">
        <f t="shared" si="269"/>
        <v>45769.4375</v>
      </c>
      <c r="AS269" s="19">
        <f t="shared" si="269"/>
        <v>45769.45833</v>
      </c>
      <c r="AT269" s="19">
        <f t="shared" si="269"/>
        <v>45769.47917</v>
      </c>
      <c r="AU269" s="19">
        <f t="shared" si="269"/>
        <v>45769.5</v>
      </c>
      <c r="AV269" s="19">
        <f t="shared" si="269"/>
        <v>45769.52083</v>
      </c>
      <c r="AW269" s="19">
        <f t="shared" si="269"/>
        <v>45769.54167</v>
      </c>
      <c r="AX269" s="19">
        <f t="shared" si="269"/>
        <v>45769.5625</v>
      </c>
      <c r="AY269" s="19">
        <f t="shared" si="269"/>
        <v>45769.58333</v>
      </c>
      <c r="AZ269" s="19">
        <f t="shared" si="269"/>
        <v>45769.60417</v>
      </c>
      <c r="BA269" s="19">
        <f t="shared" si="269"/>
        <v>45769.625</v>
      </c>
      <c r="BB269" s="19">
        <f t="shared" si="269"/>
        <v>45769.64583</v>
      </c>
      <c r="BC269" s="19">
        <f t="shared" si="269"/>
        <v>45769.66667</v>
      </c>
      <c r="BD269" s="19">
        <f t="shared" si="269"/>
        <v>45769.6875</v>
      </c>
      <c r="BE269" s="19">
        <f t="shared" si="269"/>
        <v>45769.70833</v>
      </c>
      <c r="BF269" s="19">
        <f t="shared" si="269"/>
        <v>45769.72917</v>
      </c>
      <c r="BG269" s="19">
        <f t="shared" si="269"/>
        <v>45769.75</v>
      </c>
      <c r="BH269" s="19">
        <f t="shared" si="269"/>
        <v>45769.77083</v>
      </c>
      <c r="BI269" s="19">
        <f t="shared" si="269"/>
        <v>45769.79167</v>
      </c>
      <c r="BJ269" s="19">
        <f t="shared" si="269"/>
        <v>45769.8125</v>
      </c>
      <c r="BK269" s="19">
        <f t="shared" si="269"/>
        <v>45769.83333</v>
      </c>
      <c r="BL269" s="19">
        <f t="shared" si="269"/>
        <v>45769.85417</v>
      </c>
      <c r="BM269" s="19">
        <f t="shared" si="269"/>
        <v>45769.875</v>
      </c>
      <c r="BN269" s="19">
        <f t="shared" si="269"/>
        <v>45769.89583</v>
      </c>
      <c r="BO269" s="19">
        <f t="shared" si="269"/>
        <v>45769.91667</v>
      </c>
      <c r="BP269" s="19">
        <f t="shared" si="269"/>
        <v>45769.9375</v>
      </c>
      <c r="BQ269" s="19">
        <f t="shared" si="269"/>
        <v>45769.95833</v>
      </c>
      <c r="BR269" s="19">
        <f t="shared" si="269"/>
        <v>45769.97917</v>
      </c>
      <c r="BS269" s="19">
        <f t="shared" si="269"/>
        <v>45770</v>
      </c>
      <c r="BT269" s="19">
        <f t="shared" si="269"/>
        <v>45770.02083</v>
      </c>
      <c r="BU269" s="19">
        <f t="shared" si="269"/>
        <v>45770.04167</v>
      </c>
      <c r="BV269" s="19">
        <f t="shared" si="269"/>
        <v>45770.0625</v>
      </c>
      <c r="BW269" s="19">
        <f t="shared" si="269"/>
        <v>45770.08333</v>
      </c>
      <c r="BX269" s="19">
        <f t="shared" si="269"/>
        <v>45769</v>
      </c>
      <c r="BY269" s="19">
        <f t="shared" si="269"/>
        <v>45769</v>
      </c>
      <c r="BZ269" s="19">
        <f t="shared" si="269"/>
        <v>45769</v>
      </c>
    </row>
    <row r="270" ht="14.25" customHeight="1">
      <c r="A270" s="17">
        <v>45770.0</v>
      </c>
      <c r="B270" s="2" t="str">
        <f t="array" ref="B270">IF(NOW()&gt;AM270,"",IF(AND((WEEKDAY($A270)+$B$2)&gt;1,((WEEKDAY($A270)+$T$2)&lt;7),(WEEKDAY($A270)&lt;&gt;1)),"work",(INDEX(Subject!$A:$I,MATCH(RANDBETWEEN(1,(MAX(Subject!$B:$B))),Subject!$B:$B,0),3))))</f>
        <v/>
      </c>
      <c r="C270" s="2" t="str">
        <f t="array" ref="C270">IF(NOW()&gt;AN270,"",IF(AND((WEEKDAY($A270)+$B$2)&gt;1,((WEEKDAY($A270)+$T$2)&lt;7),(WEEKDAY($A270)&lt;&gt;1)),"work",(INDEX(Subject!$A:$I,MATCH(RANDBETWEEN(1,(MAX(Subject!$B:$B))),Subject!$B:$B,0),3))))</f>
        <v/>
      </c>
      <c r="D270" s="2" t="str">
        <f t="array" ref="D270">IF(NOW()&gt;AO270,"",IF(AND((WEEKDAY($A270)+$B$2)&gt;1,((WEEKDAY($A270)+$T$2)&lt;7),(WEEKDAY($A270)&lt;&gt;1)),"work",(INDEX(Subject!$A:$I,MATCH(RANDBETWEEN(1,(MAX(Subject!$B:$B))),Subject!$B:$B,0),3))))</f>
        <v/>
      </c>
      <c r="E270" s="2" t="str">
        <f t="array" ref="E270">IF(NOW()&gt;AP270,"",IF(AND((WEEKDAY($A270)+$B$2)&gt;1,((WEEKDAY($A270)+$T$2)&lt;7),(WEEKDAY($A270)&lt;&gt;1)),"work",(INDEX(Subject!$A:$I,MATCH(RANDBETWEEN(1,(MAX(Subject!$B:$B))),Subject!$B:$B,0),3))))</f>
        <v/>
      </c>
      <c r="F270" s="2" t="str">
        <f t="array" ref="F270">IF(NOW()&gt;AQ270,"",IF(AND((WEEKDAY($A270)+$B$2)&gt;1,((WEEKDAY($A270)+$T$2)&lt;7),(WEEKDAY($A270)&lt;&gt;1)),"work",(INDEX(Subject!$A:$I,MATCH(RANDBETWEEN(1,(MAX(Subject!$B:$B))),Subject!$B:$B,0),3))))</f>
        <v/>
      </c>
      <c r="G270" s="2" t="str">
        <f t="array" ref="G270">IF(NOW()&gt;AR270,"",IF(AND((WEEKDAY($A270)+$B$2)&gt;1,((WEEKDAY($A270)+$T$2)&lt;7),(WEEKDAY($A270)&lt;&gt;1)),"work",(INDEX(Subject!$A:$I,MATCH(RANDBETWEEN(1,(MAX(Subject!$B:$B))),Subject!$B:$B,0),3))))</f>
        <v/>
      </c>
      <c r="H270" s="2" t="str">
        <f t="array" ref="H270">IF(NOW()&gt;AS270,"",IF(AND((WEEKDAY($A270)+$B$2)&gt;1,((WEEKDAY($A270)+$T$2)&lt;7),(WEEKDAY($A270)&lt;&gt;1)),"work",(INDEX(Subject!$A:$I,MATCH(RANDBETWEEN(1,(MAX(Subject!$B:$B))),Subject!$B:$B,0),3))))</f>
        <v/>
      </c>
      <c r="I270" s="2" t="str">
        <f t="array" ref="I270">IF(NOW()&gt;AT270,"",IF(AND((WEEKDAY($A270)+$B$2)&gt;1,((WEEKDAY($A270)+$T$2)&lt;7),(WEEKDAY($A270)&lt;&gt;1)),"work",(INDEX(Subject!$A:$I,MATCH(RANDBETWEEN(1,(MAX(Subject!$B:$B))),Subject!$B:$B,0),3))))</f>
        <v/>
      </c>
      <c r="J270" s="2" t="str">
        <f t="array" ref="J270">IF(NOW()&gt;AU270,"",IF(AND((WEEKDAY($A270)+$B$2)&gt;1,((WEEKDAY($A270)+$T$2)&lt;7),(WEEKDAY($A270)&lt;&gt;1)),"work",(INDEX(Subject!$A:$I,MATCH(RANDBETWEEN(1,(MAX(Subject!$B:$B))),Subject!$B:$B,0),3))))</f>
        <v/>
      </c>
      <c r="K270" s="2" t="str">
        <f t="array" ref="K270">IF(NOW()&gt;AV270,"",IF(AND((WEEKDAY($A270)+$B$2)&gt;1,((WEEKDAY($A270)+$T$2)&lt;7),(WEEKDAY($A270)&lt;&gt;1)),"work",(INDEX(Subject!$A:$I,MATCH(RANDBETWEEN(1,(MAX(Subject!$B:$B))),Subject!$B:$B,0),3))))</f>
        <v/>
      </c>
      <c r="L270" s="2" t="str">
        <f t="array" ref="L270">IF(NOW()&gt;AW270,"",IF(AND((WEEKDAY($A270)+$B$2)&gt;1,((WEEKDAY($A270)+$T$2)&lt;7),(WEEKDAY($A270)&lt;&gt;1)),"work",(INDEX(Subject!$A:$I,MATCH(RANDBETWEEN(1,(MAX(Subject!$B:$B))),Subject!$B:$B,0),3))))</f>
        <v/>
      </c>
      <c r="M270" s="2" t="str">
        <f t="array" ref="M270">IF(NOW()&gt;AX270,"",IF(AND((WEEKDAY($A270)+$B$2)&gt;1,((WEEKDAY($A270)+$T$2)&lt;7),(WEEKDAY($A270)&lt;&gt;1)),"work",(INDEX(Subject!$A:$I,MATCH(RANDBETWEEN(1,(MAX(Subject!$B:$B))),Subject!$B:$B,0),3))))</f>
        <v/>
      </c>
      <c r="N270" s="2" t="str">
        <f t="array" ref="N270">IF(NOW()&gt;AY270,"",IF(AND((WEEKDAY($A270)+$B$2)&gt;1,((WEEKDAY($A270)+$T$2)&lt;7),(WEEKDAY($A270)&lt;&gt;1)),"work",(INDEX(Subject!$A:$I,MATCH(RANDBETWEEN(1,(MAX(Subject!$B:$B))),Subject!$B:$B,0),3))))</f>
        <v/>
      </c>
      <c r="O270" s="2" t="str">
        <f t="array" ref="O270">IF(NOW()&gt;AZ270,"",IF(AND((WEEKDAY($A270)+$B$2)&gt;1,((WEEKDAY($A270)+$T$2)&lt;7),(WEEKDAY($A270)&lt;&gt;1)),"work",(INDEX(Subject!$A:$I,MATCH(RANDBETWEEN(1,(MAX(Subject!$B:$B))),Subject!$B:$B,0),3))))</f>
        <v/>
      </c>
      <c r="P270" s="2" t="str">
        <f t="array" ref="P270">IF(NOW()&gt;BA270,"",IF(AND((WEEKDAY($A270)+$B$2)&gt;1,((WEEKDAY($A270)+$T$2)&lt;7),(WEEKDAY($A270)&lt;&gt;1)),"work",(INDEX(Subject!$A:$I,MATCH(RANDBETWEEN(1,(MAX(Subject!$B:$B))),Subject!$B:$B,0),3))))</f>
        <v/>
      </c>
      <c r="Q270" s="2" t="str">
        <f t="array" ref="Q270">IF(NOW()&gt;BB270,"",IF(AND((WEEKDAY($A270)+$B$2)&gt;1,((WEEKDAY($A270)+$T$2)&lt;7),(WEEKDAY($A270)&lt;&gt;1)),"work",(INDEX(Subject!$A:$I,MATCH(RANDBETWEEN(1,(MAX(Subject!$B:$B))),Subject!$B:$B,0),3))))</f>
        <v/>
      </c>
      <c r="R270" s="2" t="str">
        <f t="array" ref="R270">IF(NOW()&gt;BC270,"",IF(AND((WEEKDAY($A270)+$B$2)&gt;1,((WEEKDAY($A270)+$T$2)&lt;7),(WEEKDAY($A270)&lt;&gt;1)),"work",(INDEX(Subject!$A:$I,MATCH(RANDBETWEEN(1,(MAX(Subject!$B:$B))),Subject!$B:$B,0),3))))</f>
        <v/>
      </c>
      <c r="S270" s="2" t="str">
        <f t="array" ref="S270">IF(NOW()&gt;BD270,"",IF(AND((WEEKDAY($A270)+$B$2)&gt;1,((WEEKDAY($A270)+$T$2)&lt;7),(WEEKDAY($A270)&lt;&gt;1)),"work",(INDEX(Subject!$A:$I,MATCH(RANDBETWEEN(1,(MAX(Subject!$B:$B))),Subject!$B:$B,0),3))))</f>
        <v/>
      </c>
      <c r="T270" s="2" t="str">
        <f t="array" ref="T270">IF(NOW()&gt;BE270,"",IF(AND((WEEKDAY($A270)+$B$2)&gt;1,((WEEKDAY($A270)+$T$2)&lt;7),(WEEKDAY($A270)&lt;&gt;1)),"work",(INDEX(Subject!$A:$I,MATCH(RANDBETWEEN(1,(MAX(Subject!$B:$B))),Subject!$B:$B,0),3))))</f>
        <v/>
      </c>
      <c r="U270" s="8" t="str">
        <f t="array" ref="U270">INDEX(Subject!$A:$I,MATCH(RANDBETWEEN(1,16),Subject!$B:$B,0),3)</f>
        <v>#N/A</v>
      </c>
      <c r="V270" s="8" t="str">
        <f t="array" ref="V270">INDEX(Subject!$A:$I,MATCH(RANDBETWEEN(1,16),Subject!$B:$B,0),3)</f>
        <v>#N/A</v>
      </c>
      <c r="W270" s="8" t="str">
        <f t="array" ref="W270">INDEX(Subject!$A:$I,MATCH(RANDBETWEEN(1,16),Subject!$B:$B,0),3)</f>
        <v>#N/A</v>
      </c>
      <c r="X270" s="8" t="str">
        <f t="array" ref="X270">INDEX(Subject!$A:$I,MATCH(RANDBETWEEN(1,16),Subject!$B:$B,0),3)</f>
        <v>#N/A</v>
      </c>
      <c r="Y270" s="8" t="str">
        <f t="array" ref="Y270">INDEX(Subject!$A:$I,MATCH(RANDBETWEEN(1,16),Subject!$B:$B,0),3)</f>
        <v>#N/A</v>
      </c>
      <c r="Z270" s="8" t="str">
        <f t="array" ref="Z270">INDEX(Subject!$A:$I,MATCH(RANDBETWEEN(1,16),Subject!$B:$B,0),3)</f>
        <v>#N/A</v>
      </c>
      <c r="AA270" s="8" t="str">
        <f t="array" ref="AA270">INDEX(Subject!$A:$I,MATCH(RANDBETWEEN(1,16),Subject!$B:$B,0),3)</f>
        <v>#N/A</v>
      </c>
      <c r="AB270" s="8" t="str">
        <f t="array" ref="AB270">INDEX(Subject!$A:$I,MATCH(RANDBETWEEN(1,16),Subject!$B:$B,0),3)</f>
        <v>#N/A</v>
      </c>
      <c r="AC270" s="8" t="str">
        <f t="array" ref="AC270">INDEX(Subject!$A:$I,MATCH(RANDBETWEEN(1,16),Subject!$B:$B,0),3)</f>
        <v>#N/A</v>
      </c>
      <c r="AD270" s="8" t="str">
        <f t="array" ref="AD270">INDEX(Subject!$A:$I,MATCH(RANDBETWEEN(1,16),Subject!$B:$B,0),3)</f>
        <v>#N/A</v>
      </c>
      <c r="AE270" s="8" t="str">
        <f t="array" ref="AE270">INDEX(Subject!$A:$I,MATCH(RANDBETWEEN(1,16),Subject!$B:$B,0),3)</f>
        <v>#N/A</v>
      </c>
      <c r="AF270" s="8" t="str">
        <f t="array" ref="AF270">INDEX(Subject!$A:$I,MATCH(RANDBETWEEN(1,16),Subject!$B:$B,0),3)</f>
        <v>#N/A</v>
      </c>
      <c r="AG270" s="8" t="str">
        <f t="array" ref="AG270">INDEX(Subject!$A:$I,MATCH(RANDBETWEEN(1,16),Subject!$B:$B,0),3)</f>
        <v>#N/A</v>
      </c>
      <c r="AH270" s="8" t="str">
        <f t="array" ref="AH270">INDEX(Subject!$A:$I,MATCH(RANDBETWEEN(1,16),Subject!$B:$B,0),3)</f>
        <v>#N/A</v>
      </c>
      <c r="AI270" s="8" t="str">
        <f t="array" ref="AI270">INDEX(Subject!$A:$I,MATCH(RANDBETWEEN(1,16),Subject!$B:$B,0),3)</f>
        <v>#N/A</v>
      </c>
      <c r="AJ270" s="8" t="str">
        <f t="array" ref="AJ270">INDEX(Subject!$A:$I,MATCH(RANDBETWEEN(1,16),Subject!$B:$B,0),3)</f>
        <v>#N/A</v>
      </c>
      <c r="AK270" s="8" t="str">
        <f t="array" ref="AK270">INDEX(Subject!$A:$I,MATCH(RANDBETWEEN(1,16),Subject!$B:$B,0),3)</f>
        <v>#N/A</v>
      </c>
      <c r="AL270" s="8" t="str">
        <f t="array" ref="AL270">INDEX(Subject!$A:$I,MATCH(RANDBETWEEN(1,16),Subject!$B:$B,0),3)</f>
        <v>#N/A</v>
      </c>
      <c r="AM270" s="18">
        <f t="shared" si="4"/>
        <v>45770.33333</v>
      </c>
      <c r="AN270" s="19">
        <f t="shared" ref="AN270:BZ270" si="270">$A270+C$1</f>
        <v>45770.35417</v>
      </c>
      <c r="AO270" s="19">
        <f t="shared" si="270"/>
        <v>45770.375</v>
      </c>
      <c r="AP270" s="19">
        <f t="shared" si="270"/>
        <v>45770.39583</v>
      </c>
      <c r="AQ270" s="19">
        <f t="shared" si="270"/>
        <v>45770.41667</v>
      </c>
      <c r="AR270" s="19">
        <f t="shared" si="270"/>
        <v>45770.4375</v>
      </c>
      <c r="AS270" s="19">
        <f t="shared" si="270"/>
        <v>45770.45833</v>
      </c>
      <c r="AT270" s="19">
        <f t="shared" si="270"/>
        <v>45770.47917</v>
      </c>
      <c r="AU270" s="19">
        <f t="shared" si="270"/>
        <v>45770.5</v>
      </c>
      <c r="AV270" s="19">
        <f t="shared" si="270"/>
        <v>45770.52083</v>
      </c>
      <c r="AW270" s="19">
        <f t="shared" si="270"/>
        <v>45770.54167</v>
      </c>
      <c r="AX270" s="19">
        <f t="shared" si="270"/>
        <v>45770.5625</v>
      </c>
      <c r="AY270" s="19">
        <f t="shared" si="270"/>
        <v>45770.58333</v>
      </c>
      <c r="AZ270" s="19">
        <f t="shared" si="270"/>
        <v>45770.60417</v>
      </c>
      <c r="BA270" s="19">
        <f t="shared" si="270"/>
        <v>45770.625</v>
      </c>
      <c r="BB270" s="19">
        <f t="shared" si="270"/>
        <v>45770.64583</v>
      </c>
      <c r="BC270" s="19">
        <f t="shared" si="270"/>
        <v>45770.66667</v>
      </c>
      <c r="BD270" s="19">
        <f t="shared" si="270"/>
        <v>45770.6875</v>
      </c>
      <c r="BE270" s="19">
        <f t="shared" si="270"/>
        <v>45770.70833</v>
      </c>
      <c r="BF270" s="19">
        <f t="shared" si="270"/>
        <v>45770.72917</v>
      </c>
      <c r="BG270" s="19">
        <f t="shared" si="270"/>
        <v>45770.75</v>
      </c>
      <c r="BH270" s="19">
        <f t="shared" si="270"/>
        <v>45770.77083</v>
      </c>
      <c r="BI270" s="19">
        <f t="shared" si="270"/>
        <v>45770.79167</v>
      </c>
      <c r="BJ270" s="19">
        <f t="shared" si="270"/>
        <v>45770.8125</v>
      </c>
      <c r="BK270" s="19">
        <f t="shared" si="270"/>
        <v>45770.83333</v>
      </c>
      <c r="BL270" s="19">
        <f t="shared" si="270"/>
        <v>45770.85417</v>
      </c>
      <c r="BM270" s="19">
        <f t="shared" si="270"/>
        <v>45770.875</v>
      </c>
      <c r="BN270" s="19">
        <f t="shared" si="270"/>
        <v>45770.89583</v>
      </c>
      <c r="BO270" s="19">
        <f t="shared" si="270"/>
        <v>45770.91667</v>
      </c>
      <c r="BP270" s="19">
        <f t="shared" si="270"/>
        <v>45770.9375</v>
      </c>
      <c r="BQ270" s="19">
        <f t="shared" si="270"/>
        <v>45770.95833</v>
      </c>
      <c r="BR270" s="19">
        <f t="shared" si="270"/>
        <v>45770.97917</v>
      </c>
      <c r="BS270" s="19">
        <f t="shared" si="270"/>
        <v>45771</v>
      </c>
      <c r="BT270" s="19">
        <f t="shared" si="270"/>
        <v>45771.02083</v>
      </c>
      <c r="BU270" s="19">
        <f t="shared" si="270"/>
        <v>45771.04167</v>
      </c>
      <c r="BV270" s="19">
        <f t="shared" si="270"/>
        <v>45771.0625</v>
      </c>
      <c r="BW270" s="19">
        <f t="shared" si="270"/>
        <v>45771.08333</v>
      </c>
      <c r="BX270" s="19">
        <f t="shared" si="270"/>
        <v>45770</v>
      </c>
      <c r="BY270" s="19">
        <f t="shared" si="270"/>
        <v>45770</v>
      </c>
      <c r="BZ270" s="19">
        <f t="shared" si="270"/>
        <v>45770</v>
      </c>
    </row>
    <row r="271" ht="14.25" customHeight="1">
      <c r="A271" s="17">
        <v>45771.0</v>
      </c>
      <c r="B271" s="2" t="str">
        <f t="array" ref="B271">IF(NOW()&gt;AM271,"",IF(AND((WEEKDAY($A271)+$B$2)&gt;1,((WEEKDAY($A271)+$T$2)&lt;7),(WEEKDAY($A271)&lt;&gt;1)),"work",(INDEX(Subject!$A:$I,MATCH(RANDBETWEEN(1,(MAX(Subject!$B:$B))),Subject!$B:$B,0),3))))</f>
        <v/>
      </c>
      <c r="C271" s="2" t="str">
        <f t="array" ref="C271">IF(NOW()&gt;AN271,"",IF(AND((WEEKDAY($A271)+$B$2)&gt;1,((WEEKDAY($A271)+$T$2)&lt;7),(WEEKDAY($A271)&lt;&gt;1)),"work",(INDEX(Subject!$A:$I,MATCH(RANDBETWEEN(1,(MAX(Subject!$B:$B))),Subject!$B:$B,0),3))))</f>
        <v/>
      </c>
      <c r="D271" s="2" t="str">
        <f t="array" ref="D271">IF(NOW()&gt;AO271,"",IF(AND((WEEKDAY($A271)+$B$2)&gt;1,((WEEKDAY($A271)+$T$2)&lt;7),(WEEKDAY($A271)&lt;&gt;1)),"work",(INDEX(Subject!$A:$I,MATCH(RANDBETWEEN(1,(MAX(Subject!$B:$B))),Subject!$B:$B,0),3))))</f>
        <v/>
      </c>
      <c r="E271" s="2" t="str">
        <f t="array" ref="E271">IF(NOW()&gt;AP271,"",IF(AND((WEEKDAY($A271)+$B$2)&gt;1,((WEEKDAY($A271)+$T$2)&lt;7),(WEEKDAY($A271)&lt;&gt;1)),"work",(INDEX(Subject!$A:$I,MATCH(RANDBETWEEN(1,(MAX(Subject!$B:$B))),Subject!$B:$B,0),3))))</f>
        <v/>
      </c>
      <c r="F271" s="2" t="str">
        <f t="array" ref="F271">IF(NOW()&gt;AQ271,"",IF(AND((WEEKDAY($A271)+$B$2)&gt;1,((WEEKDAY($A271)+$T$2)&lt;7),(WEEKDAY($A271)&lt;&gt;1)),"work",(INDEX(Subject!$A:$I,MATCH(RANDBETWEEN(1,(MAX(Subject!$B:$B))),Subject!$B:$B,0),3))))</f>
        <v/>
      </c>
      <c r="G271" s="2" t="str">
        <f t="array" ref="G271">IF(NOW()&gt;AR271,"",IF(AND((WEEKDAY($A271)+$B$2)&gt;1,((WEEKDAY($A271)+$T$2)&lt;7),(WEEKDAY($A271)&lt;&gt;1)),"work",(INDEX(Subject!$A:$I,MATCH(RANDBETWEEN(1,(MAX(Subject!$B:$B))),Subject!$B:$B,0),3))))</f>
        <v/>
      </c>
      <c r="H271" s="2" t="str">
        <f t="array" ref="H271">IF(NOW()&gt;AS271,"",IF(AND((WEEKDAY($A271)+$B$2)&gt;1,((WEEKDAY($A271)+$T$2)&lt;7),(WEEKDAY($A271)&lt;&gt;1)),"work",(INDEX(Subject!$A:$I,MATCH(RANDBETWEEN(1,(MAX(Subject!$B:$B))),Subject!$B:$B,0),3))))</f>
        <v/>
      </c>
      <c r="I271" s="2" t="str">
        <f t="array" ref="I271">IF(NOW()&gt;AT271,"",IF(AND((WEEKDAY($A271)+$B$2)&gt;1,((WEEKDAY($A271)+$T$2)&lt;7),(WEEKDAY($A271)&lt;&gt;1)),"work",(INDEX(Subject!$A:$I,MATCH(RANDBETWEEN(1,(MAX(Subject!$B:$B))),Subject!$B:$B,0),3))))</f>
        <v/>
      </c>
      <c r="J271" s="2" t="str">
        <f t="array" ref="J271">IF(NOW()&gt;AU271,"",IF(AND((WEEKDAY($A271)+$B$2)&gt;1,((WEEKDAY($A271)+$T$2)&lt;7),(WEEKDAY($A271)&lt;&gt;1)),"work",(INDEX(Subject!$A:$I,MATCH(RANDBETWEEN(1,(MAX(Subject!$B:$B))),Subject!$B:$B,0),3))))</f>
        <v/>
      </c>
      <c r="K271" s="2" t="str">
        <f t="array" ref="K271">IF(NOW()&gt;AV271,"",IF(AND((WEEKDAY($A271)+$B$2)&gt;1,((WEEKDAY($A271)+$T$2)&lt;7),(WEEKDAY($A271)&lt;&gt;1)),"work",(INDEX(Subject!$A:$I,MATCH(RANDBETWEEN(1,(MAX(Subject!$B:$B))),Subject!$B:$B,0),3))))</f>
        <v/>
      </c>
      <c r="L271" s="2" t="str">
        <f t="array" ref="L271">IF(NOW()&gt;AW271,"",IF(AND((WEEKDAY($A271)+$B$2)&gt;1,((WEEKDAY($A271)+$T$2)&lt;7),(WEEKDAY($A271)&lt;&gt;1)),"work",(INDEX(Subject!$A:$I,MATCH(RANDBETWEEN(1,(MAX(Subject!$B:$B))),Subject!$B:$B,0),3))))</f>
        <v/>
      </c>
      <c r="M271" s="2" t="str">
        <f t="array" ref="M271">IF(NOW()&gt;AX271,"",IF(AND((WEEKDAY($A271)+$B$2)&gt;1,((WEEKDAY($A271)+$T$2)&lt;7),(WEEKDAY($A271)&lt;&gt;1)),"work",(INDEX(Subject!$A:$I,MATCH(RANDBETWEEN(1,(MAX(Subject!$B:$B))),Subject!$B:$B,0),3))))</f>
        <v/>
      </c>
      <c r="N271" s="2" t="str">
        <f t="array" ref="N271">IF(NOW()&gt;AY271,"",IF(AND((WEEKDAY($A271)+$B$2)&gt;1,((WEEKDAY($A271)+$T$2)&lt;7),(WEEKDAY($A271)&lt;&gt;1)),"work",(INDEX(Subject!$A:$I,MATCH(RANDBETWEEN(1,(MAX(Subject!$B:$B))),Subject!$B:$B,0),3))))</f>
        <v/>
      </c>
      <c r="O271" s="2" t="str">
        <f t="array" ref="O271">IF(NOW()&gt;AZ271,"",IF(AND((WEEKDAY($A271)+$B$2)&gt;1,((WEEKDAY($A271)+$T$2)&lt;7),(WEEKDAY($A271)&lt;&gt;1)),"work",(INDEX(Subject!$A:$I,MATCH(RANDBETWEEN(1,(MAX(Subject!$B:$B))),Subject!$B:$B,0),3))))</f>
        <v/>
      </c>
      <c r="P271" s="2" t="str">
        <f t="array" ref="P271">IF(NOW()&gt;BA271,"",IF(AND((WEEKDAY($A271)+$B$2)&gt;1,((WEEKDAY($A271)+$T$2)&lt;7),(WEEKDAY($A271)&lt;&gt;1)),"work",(INDEX(Subject!$A:$I,MATCH(RANDBETWEEN(1,(MAX(Subject!$B:$B))),Subject!$B:$B,0),3))))</f>
        <v/>
      </c>
      <c r="Q271" s="2" t="str">
        <f t="array" ref="Q271">IF(NOW()&gt;BB271,"",IF(AND((WEEKDAY($A271)+$B$2)&gt;1,((WEEKDAY($A271)+$T$2)&lt;7),(WEEKDAY($A271)&lt;&gt;1)),"work",(INDEX(Subject!$A:$I,MATCH(RANDBETWEEN(1,(MAX(Subject!$B:$B))),Subject!$B:$B,0),3))))</f>
        <v/>
      </c>
      <c r="R271" s="2" t="str">
        <f t="array" ref="R271">IF(NOW()&gt;BC271,"",IF(AND((WEEKDAY($A271)+$B$2)&gt;1,((WEEKDAY($A271)+$T$2)&lt;7),(WEEKDAY($A271)&lt;&gt;1)),"work",(INDEX(Subject!$A:$I,MATCH(RANDBETWEEN(1,(MAX(Subject!$B:$B))),Subject!$B:$B,0),3))))</f>
        <v/>
      </c>
      <c r="S271" s="2" t="str">
        <f t="array" ref="S271">IF(NOW()&gt;BD271,"",IF(AND((WEEKDAY($A271)+$B$2)&gt;1,((WEEKDAY($A271)+$T$2)&lt;7),(WEEKDAY($A271)&lt;&gt;1)),"work",(INDEX(Subject!$A:$I,MATCH(RANDBETWEEN(1,(MAX(Subject!$B:$B))),Subject!$B:$B,0),3))))</f>
        <v/>
      </c>
      <c r="T271" s="2" t="str">
        <f t="array" ref="T271">IF(NOW()&gt;BE271,"",IF(AND((WEEKDAY($A271)+$B$2)&gt;1,((WEEKDAY($A271)+$T$2)&lt;7),(WEEKDAY($A271)&lt;&gt;1)),"work",(INDEX(Subject!$A:$I,MATCH(RANDBETWEEN(1,(MAX(Subject!$B:$B))),Subject!$B:$B,0),3))))</f>
        <v/>
      </c>
      <c r="U271" s="8" t="str">
        <f t="array" ref="U271">INDEX(Subject!$A:$I,MATCH(RANDBETWEEN(1,16),Subject!$B:$B,0),3)</f>
        <v>#N/A</v>
      </c>
      <c r="V271" s="8" t="str">
        <f t="array" ref="V271">INDEX(Subject!$A:$I,MATCH(RANDBETWEEN(1,16),Subject!$B:$B,0),3)</f>
        <v/>
      </c>
      <c r="W271" s="8" t="str">
        <f t="array" ref="W271">INDEX(Subject!$A:$I,MATCH(RANDBETWEEN(1,16),Subject!$B:$B,0),3)</f>
        <v>#N/A</v>
      </c>
      <c r="X271" s="8" t="str">
        <f t="array" ref="X271">INDEX(Subject!$A:$I,MATCH(RANDBETWEEN(1,16),Subject!$B:$B,0),3)</f>
        <v>#N/A</v>
      </c>
      <c r="Y271" s="8" t="str">
        <f t="array" ref="Y271">INDEX(Subject!$A:$I,MATCH(RANDBETWEEN(1,16),Subject!$B:$B,0),3)</f>
        <v>#N/A</v>
      </c>
      <c r="Z271" s="8" t="str">
        <f t="array" ref="Z271">INDEX(Subject!$A:$I,MATCH(RANDBETWEEN(1,16),Subject!$B:$B,0),3)</f>
        <v>#N/A</v>
      </c>
      <c r="AA271" s="8" t="str">
        <f t="array" ref="AA271">INDEX(Subject!$A:$I,MATCH(RANDBETWEEN(1,16),Subject!$B:$B,0),3)</f>
        <v>#N/A</v>
      </c>
      <c r="AB271" s="8" t="str">
        <f t="array" ref="AB271">INDEX(Subject!$A:$I,MATCH(RANDBETWEEN(1,16),Subject!$B:$B,0),3)</f>
        <v>#N/A</v>
      </c>
      <c r="AC271" s="8" t="str">
        <f t="array" ref="AC271">INDEX(Subject!$A:$I,MATCH(RANDBETWEEN(1,16),Subject!$B:$B,0),3)</f>
        <v>#N/A</v>
      </c>
      <c r="AD271" s="8" t="str">
        <f t="array" ref="AD271">INDEX(Subject!$A:$I,MATCH(RANDBETWEEN(1,16),Subject!$B:$B,0),3)</f>
        <v>#N/A</v>
      </c>
      <c r="AE271" s="8" t="str">
        <f t="array" ref="AE271">INDEX(Subject!$A:$I,MATCH(RANDBETWEEN(1,16),Subject!$B:$B,0),3)</f>
        <v>#N/A</v>
      </c>
      <c r="AF271" s="8" t="str">
        <f t="array" ref="AF271">INDEX(Subject!$A:$I,MATCH(RANDBETWEEN(1,16),Subject!$B:$B,0),3)</f>
        <v/>
      </c>
      <c r="AG271" s="8" t="str">
        <f t="array" ref="AG271">INDEX(Subject!$A:$I,MATCH(RANDBETWEEN(1,16),Subject!$B:$B,0),3)</f>
        <v/>
      </c>
      <c r="AH271" s="8" t="str">
        <f t="array" ref="AH271">INDEX(Subject!$A:$I,MATCH(RANDBETWEEN(1,16),Subject!$B:$B,0),3)</f>
        <v>#N/A</v>
      </c>
      <c r="AI271" s="8" t="str">
        <f t="array" ref="AI271">INDEX(Subject!$A:$I,MATCH(RANDBETWEEN(1,16),Subject!$B:$B,0),3)</f>
        <v>#N/A</v>
      </c>
      <c r="AJ271" s="8" t="str">
        <f t="array" ref="AJ271">INDEX(Subject!$A:$I,MATCH(RANDBETWEEN(1,16),Subject!$B:$B,0),3)</f>
        <v>#N/A</v>
      </c>
      <c r="AK271" s="8" t="str">
        <f t="array" ref="AK271">INDEX(Subject!$A:$I,MATCH(RANDBETWEEN(1,16),Subject!$B:$B,0),3)</f>
        <v>#N/A</v>
      </c>
      <c r="AL271" s="8" t="str">
        <f t="array" ref="AL271">INDEX(Subject!$A:$I,MATCH(RANDBETWEEN(1,16),Subject!$B:$B,0),3)</f>
        <v/>
      </c>
      <c r="AM271" s="18">
        <f t="shared" si="4"/>
        <v>45771.33333</v>
      </c>
      <c r="AN271" s="19">
        <f t="shared" ref="AN271:BZ271" si="271">$A271+C$1</f>
        <v>45771.35417</v>
      </c>
      <c r="AO271" s="19">
        <f t="shared" si="271"/>
        <v>45771.375</v>
      </c>
      <c r="AP271" s="19">
        <f t="shared" si="271"/>
        <v>45771.39583</v>
      </c>
      <c r="AQ271" s="19">
        <f t="shared" si="271"/>
        <v>45771.41667</v>
      </c>
      <c r="AR271" s="19">
        <f t="shared" si="271"/>
        <v>45771.4375</v>
      </c>
      <c r="AS271" s="19">
        <f t="shared" si="271"/>
        <v>45771.45833</v>
      </c>
      <c r="AT271" s="19">
        <f t="shared" si="271"/>
        <v>45771.47917</v>
      </c>
      <c r="AU271" s="19">
        <f t="shared" si="271"/>
        <v>45771.5</v>
      </c>
      <c r="AV271" s="19">
        <f t="shared" si="271"/>
        <v>45771.52083</v>
      </c>
      <c r="AW271" s="19">
        <f t="shared" si="271"/>
        <v>45771.54167</v>
      </c>
      <c r="AX271" s="19">
        <f t="shared" si="271"/>
        <v>45771.5625</v>
      </c>
      <c r="AY271" s="19">
        <f t="shared" si="271"/>
        <v>45771.58333</v>
      </c>
      <c r="AZ271" s="19">
        <f t="shared" si="271"/>
        <v>45771.60417</v>
      </c>
      <c r="BA271" s="19">
        <f t="shared" si="271"/>
        <v>45771.625</v>
      </c>
      <c r="BB271" s="19">
        <f t="shared" si="271"/>
        <v>45771.64583</v>
      </c>
      <c r="BC271" s="19">
        <f t="shared" si="271"/>
        <v>45771.66667</v>
      </c>
      <c r="BD271" s="19">
        <f t="shared" si="271"/>
        <v>45771.6875</v>
      </c>
      <c r="BE271" s="19">
        <f t="shared" si="271"/>
        <v>45771.70833</v>
      </c>
      <c r="BF271" s="19">
        <f t="shared" si="271"/>
        <v>45771.72917</v>
      </c>
      <c r="BG271" s="19">
        <f t="shared" si="271"/>
        <v>45771.75</v>
      </c>
      <c r="BH271" s="19">
        <f t="shared" si="271"/>
        <v>45771.77083</v>
      </c>
      <c r="BI271" s="19">
        <f t="shared" si="271"/>
        <v>45771.79167</v>
      </c>
      <c r="BJ271" s="19">
        <f t="shared" si="271"/>
        <v>45771.8125</v>
      </c>
      <c r="BK271" s="19">
        <f t="shared" si="271"/>
        <v>45771.83333</v>
      </c>
      <c r="BL271" s="19">
        <f t="shared" si="271"/>
        <v>45771.85417</v>
      </c>
      <c r="BM271" s="19">
        <f t="shared" si="271"/>
        <v>45771.875</v>
      </c>
      <c r="BN271" s="19">
        <f t="shared" si="271"/>
        <v>45771.89583</v>
      </c>
      <c r="BO271" s="19">
        <f t="shared" si="271"/>
        <v>45771.91667</v>
      </c>
      <c r="BP271" s="19">
        <f t="shared" si="271"/>
        <v>45771.9375</v>
      </c>
      <c r="BQ271" s="19">
        <f t="shared" si="271"/>
        <v>45771.95833</v>
      </c>
      <c r="BR271" s="19">
        <f t="shared" si="271"/>
        <v>45771.97917</v>
      </c>
      <c r="BS271" s="19">
        <f t="shared" si="271"/>
        <v>45772</v>
      </c>
      <c r="BT271" s="19">
        <f t="shared" si="271"/>
        <v>45772.02083</v>
      </c>
      <c r="BU271" s="19">
        <f t="shared" si="271"/>
        <v>45772.04167</v>
      </c>
      <c r="BV271" s="19">
        <f t="shared" si="271"/>
        <v>45772.0625</v>
      </c>
      <c r="BW271" s="19">
        <f t="shared" si="271"/>
        <v>45772.08333</v>
      </c>
      <c r="BX271" s="19">
        <f t="shared" si="271"/>
        <v>45771</v>
      </c>
      <c r="BY271" s="19">
        <f t="shared" si="271"/>
        <v>45771</v>
      </c>
      <c r="BZ271" s="19">
        <f t="shared" si="271"/>
        <v>45771</v>
      </c>
    </row>
    <row r="272" ht="14.25" customHeight="1">
      <c r="A272" s="17">
        <v>45772.0</v>
      </c>
      <c r="B272" s="2" t="str">
        <f t="array" ref="B272">IF(NOW()&gt;AM272,"",IF(AND((WEEKDAY($A272)+$B$2)&gt;1,((WEEKDAY($A272)+$T$2)&lt;7),(WEEKDAY($A272)&lt;&gt;1)),"work",(INDEX(Subject!$A:$I,MATCH(RANDBETWEEN(1,(MAX(Subject!$B:$B))),Subject!$B:$B,0),3))))</f>
        <v/>
      </c>
      <c r="C272" s="2" t="str">
        <f t="array" ref="C272">IF(NOW()&gt;AN272,"",IF(AND((WEEKDAY($A272)+$B$2)&gt;1,((WEEKDAY($A272)+$T$2)&lt;7),(WEEKDAY($A272)&lt;&gt;1)),"work",(INDEX(Subject!$A:$I,MATCH(RANDBETWEEN(1,(MAX(Subject!$B:$B))),Subject!$B:$B,0),3))))</f>
        <v/>
      </c>
      <c r="D272" s="2" t="str">
        <f t="array" ref="D272">IF(NOW()&gt;AO272,"",IF(AND((WEEKDAY($A272)+$B$2)&gt;1,((WEEKDAY($A272)+$T$2)&lt;7),(WEEKDAY($A272)&lt;&gt;1)),"work",(INDEX(Subject!$A:$I,MATCH(RANDBETWEEN(1,(MAX(Subject!$B:$B))),Subject!$B:$B,0),3))))</f>
        <v/>
      </c>
      <c r="E272" s="2" t="str">
        <f t="array" ref="E272">IF(NOW()&gt;AP272,"",IF(AND((WEEKDAY($A272)+$B$2)&gt;1,((WEEKDAY($A272)+$T$2)&lt;7),(WEEKDAY($A272)&lt;&gt;1)),"work",(INDEX(Subject!$A:$I,MATCH(RANDBETWEEN(1,(MAX(Subject!$B:$B))),Subject!$B:$B,0),3))))</f>
        <v/>
      </c>
      <c r="F272" s="2" t="str">
        <f t="array" ref="F272">IF(NOW()&gt;AQ272,"",IF(AND((WEEKDAY($A272)+$B$2)&gt;1,((WEEKDAY($A272)+$T$2)&lt;7),(WEEKDAY($A272)&lt;&gt;1)),"work",(INDEX(Subject!$A:$I,MATCH(RANDBETWEEN(1,(MAX(Subject!$B:$B))),Subject!$B:$B,0),3))))</f>
        <v/>
      </c>
      <c r="G272" s="2" t="str">
        <f t="array" ref="G272">IF(NOW()&gt;AR272,"",IF(AND((WEEKDAY($A272)+$B$2)&gt;1,((WEEKDAY($A272)+$T$2)&lt;7),(WEEKDAY($A272)&lt;&gt;1)),"work",(INDEX(Subject!$A:$I,MATCH(RANDBETWEEN(1,(MAX(Subject!$B:$B))),Subject!$B:$B,0),3))))</f>
        <v/>
      </c>
      <c r="H272" s="2" t="str">
        <f t="array" ref="H272">IF(NOW()&gt;AS272,"",IF(AND((WEEKDAY($A272)+$B$2)&gt;1,((WEEKDAY($A272)+$T$2)&lt;7),(WEEKDAY($A272)&lt;&gt;1)),"work",(INDEX(Subject!$A:$I,MATCH(RANDBETWEEN(1,(MAX(Subject!$B:$B))),Subject!$B:$B,0),3))))</f>
        <v/>
      </c>
      <c r="I272" s="2" t="str">
        <f t="array" ref="I272">IF(NOW()&gt;AT272,"",IF(AND((WEEKDAY($A272)+$B$2)&gt;1,((WEEKDAY($A272)+$T$2)&lt;7),(WEEKDAY($A272)&lt;&gt;1)),"work",(INDEX(Subject!$A:$I,MATCH(RANDBETWEEN(1,(MAX(Subject!$B:$B))),Subject!$B:$B,0),3))))</f>
        <v/>
      </c>
      <c r="J272" s="2" t="str">
        <f t="array" ref="J272">IF(NOW()&gt;AU272,"",IF(AND((WEEKDAY($A272)+$B$2)&gt;1,((WEEKDAY($A272)+$T$2)&lt;7),(WEEKDAY($A272)&lt;&gt;1)),"work",(INDEX(Subject!$A:$I,MATCH(RANDBETWEEN(1,(MAX(Subject!$B:$B))),Subject!$B:$B,0),3))))</f>
        <v/>
      </c>
      <c r="K272" s="2" t="str">
        <f t="array" ref="K272">IF(NOW()&gt;AV272,"",IF(AND((WEEKDAY($A272)+$B$2)&gt;1,((WEEKDAY($A272)+$T$2)&lt;7),(WEEKDAY($A272)&lt;&gt;1)),"work",(INDEX(Subject!$A:$I,MATCH(RANDBETWEEN(1,(MAX(Subject!$B:$B))),Subject!$B:$B,0),3))))</f>
        <v/>
      </c>
      <c r="L272" s="2" t="str">
        <f t="array" ref="L272">IF(NOW()&gt;AW272,"",IF(AND((WEEKDAY($A272)+$B$2)&gt;1,((WEEKDAY($A272)+$T$2)&lt;7),(WEEKDAY($A272)&lt;&gt;1)),"work",(INDEX(Subject!$A:$I,MATCH(RANDBETWEEN(1,(MAX(Subject!$B:$B))),Subject!$B:$B,0),3))))</f>
        <v/>
      </c>
      <c r="M272" s="2" t="str">
        <f t="array" ref="M272">IF(NOW()&gt;AX272,"",IF(AND((WEEKDAY($A272)+$B$2)&gt;1,((WEEKDAY($A272)+$T$2)&lt;7),(WEEKDAY($A272)&lt;&gt;1)),"work",(INDEX(Subject!$A:$I,MATCH(RANDBETWEEN(1,(MAX(Subject!$B:$B))),Subject!$B:$B,0),3))))</f>
        <v/>
      </c>
      <c r="N272" s="2" t="str">
        <f t="array" ref="N272">IF(NOW()&gt;AY272,"",IF(AND((WEEKDAY($A272)+$B$2)&gt;1,((WEEKDAY($A272)+$T$2)&lt;7),(WEEKDAY($A272)&lt;&gt;1)),"work",(INDEX(Subject!$A:$I,MATCH(RANDBETWEEN(1,(MAX(Subject!$B:$B))),Subject!$B:$B,0),3))))</f>
        <v/>
      </c>
      <c r="O272" s="2" t="str">
        <f t="array" ref="O272">IF(NOW()&gt;AZ272,"",IF(AND((WEEKDAY($A272)+$B$2)&gt;1,((WEEKDAY($A272)+$T$2)&lt;7),(WEEKDAY($A272)&lt;&gt;1)),"work",(INDEX(Subject!$A:$I,MATCH(RANDBETWEEN(1,(MAX(Subject!$B:$B))),Subject!$B:$B,0),3))))</f>
        <v/>
      </c>
      <c r="P272" s="2" t="str">
        <f t="array" ref="P272">IF(NOW()&gt;BA272,"",IF(AND((WEEKDAY($A272)+$B$2)&gt;1,((WEEKDAY($A272)+$T$2)&lt;7),(WEEKDAY($A272)&lt;&gt;1)),"work",(INDEX(Subject!$A:$I,MATCH(RANDBETWEEN(1,(MAX(Subject!$B:$B))),Subject!$B:$B,0),3))))</f>
        <v/>
      </c>
      <c r="Q272" s="2" t="str">
        <f t="array" ref="Q272">IF(NOW()&gt;BB272,"",IF(AND((WEEKDAY($A272)+$B$2)&gt;1,((WEEKDAY($A272)+$T$2)&lt;7),(WEEKDAY($A272)&lt;&gt;1)),"work",(INDEX(Subject!$A:$I,MATCH(RANDBETWEEN(1,(MAX(Subject!$B:$B))),Subject!$B:$B,0),3))))</f>
        <v/>
      </c>
      <c r="R272" s="2" t="str">
        <f t="array" ref="R272">IF(NOW()&gt;BC272,"",IF(AND((WEEKDAY($A272)+$B$2)&gt;1,((WEEKDAY($A272)+$T$2)&lt;7),(WEEKDAY($A272)&lt;&gt;1)),"work",(INDEX(Subject!$A:$I,MATCH(RANDBETWEEN(1,(MAX(Subject!$B:$B))),Subject!$B:$B,0),3))))</f>
        <v/>
      </c>
      <c r="S272" s="2" t="str">
        <f t="array" ref="S272">IF(NOW()&gt;BD272,"",IF(AND((WEEKDAY($A272)+$B$2)&gt;1,((WEEKDAY($A272)+$T$2)&lt;7),(WEEKDAY($A272)&lt;&gt;1)),"work",(INDEX(Subject!$A:$I,MATCH(RANDBETWEEN(1,(MAX(Subject!$B:$B))),Subject!$B:$B,0),3))))</f>
        <v/>
      </c>
      <c r="T272" s="2" t="str">
        <f t="array" ref="T272">IF(NOW()&gt;BE272,"",IF(AND((WEEKDAY($A272)+$B$2)&gt;1,((WEEKDAY($A272)+$T$2)&lt;7),(WEEKDAY($A272)&lt;&gt;1)),"work",(INDEX(Subject!$A:$I,MATCH(RANDBETWEEN(1,(MAX(Subject!$B:$B))),Subject!$B:$B,0),3))))</f>
        <v/>
      </c>
      <c r="U272" s="8" t="str">
        <f t="array" ref="U272">INDEX(Subject!$A:$I,MATCH(RANDBETWEEN(1,16),Subject!$B:$B,0),3)</f>
        <v>#N/A</v>
      </c>
      <c r="V272" s="8" t="str">
        <f t="array" ref="V272">INDEX(Subject!$A:$I,MATCH(RANDBETWEEN(1,16),Subject!$B:$B,0),3)</f>
        <v>#N/A</v>
      </c>
      <c r="W272" s="8" t="str">
        <f t="array" ref="W272">INDEX(Subject!$A:$I,MATCH(RANDBETWEEN(1,16),Subject!$B:$B,0),3)</f>
        <v>#N/A</v>
      </c>
      <c r="X272" s="8" t="str">
        <f t="array" ref="X272">INDEX(Subject!$A:$I,MATCH(RANDBETWEEN(1,16),Subject!$B:$B,0),3)</f>
        <v>#N/A</v>
      </c>
      <c r="Y272" s="8" t="str">
        <f t="array" ref="Y272">INDEX(Subject!$A:$I,MATCH(RANDBETWEEN(1,16),Subject!$B:$B,0),3)</f>
        <v>#N/A</v>
      </c>
      <c r="Z272" s="8" t="str">
        <f t="array" ref="Z272">INDEX(Subject!$A:$I,MATCH(RANDBETWEEN(1,16),Subject!$B:$B,0),3)</f>
        <v>#N/A</v>
      </c>
      <c r="AA272" s="8" t="str">
        <f t="array" ref="AA272">INDEX(Subject!$A:$I,MATCH(RANDBETWEEN(1,16),Subject!$B:$B,0),3)</f>
        <v>#N/A</v>
      </c>
      <c r="AB272" s="8" t="str">
        <f t="array" ref="AB272">INDEX(Subject!$A:$I,MATCH(RANDBETWEEN(1,16),Subject!$B:$B,0),3)</f>
        <v>#N/A</v>
      </c>
      <c r="AC272" s="8" t="str">
        <f t="array" ref="AC272">INDEX(Subject!$A:$I,MATCH(RANDBETWEEN(1,16),Subject!$B:$B,0),3)</f>
        <v>#N/A</v>
      </c>
      <c r="AD272" s="8" t="str">
        <f t="array" ref="AD272">INDEX(Subject!$A:$I,MATCH(RANDBETWEEN(1,16),Subject!$B:$B,0),3)</f>
        <v>#N/A</v>
      </c>
      <c r="AE272" s="8" t="str">
        <f t="array" ref="AE272">INDEX(Subject!$A:$I,MATCH(RANDBETWEEN(1,16),Subject!$B:$B,0),3)</f>
        <v>#N/A</v>
      </c>
      <c r="AF272" s="8" t="str">
        <f t="array" ref="AF272">INDEX(Subject!$A:$I,MATCH(RANDBETWEEN(1,16),Subject!$B:$B,0),3)</f>
        <v>#N/A</v>
      </c>
      <c r="AG272" s="8" t="str">
        <f t="array" ref="AG272">INDEX(Subject!$A:$I,MATCH(RANDBETWEEN(1,16),Subject!$B:$B,0),3)</f>
        <v>#N/A</v>
      </c>
      <c r="AH272" s="8" t="str">
        <f t="array" ref="AH272">INDEX(Subject!$A:$I,MATCH(RANDBETWEEN(1,16),Subject!$B:$B,0),3)</f>
        <v>#N/A</v>
      </c>
      <c r="AI272" s="8" t="str">
        <f t="array" ref="AI272">INDEX(Subject!$A:$I,MATCH(RANDBETWEEN(1,16),Subject!$B:$B,0),3)</f>
        <v>#N/A</v>
      </c>
      <c r="AJ272" s="8" t="str">
        <f t="array" ref="AJ272">INDEX(Subject!$A:$I,MATCH(RANDBETWEEN(1,16),Subject!$B:$B,0),3)</f>
        <v>#N/A</v>
      </c>
      <c r="AK272" s="8" t="str">
        <f t="array" ref="AK272">INDEX(Subject!$A:$I,MATCH(RANDBETWEEN(1,16),Subject!$B:$B,0),3)</f>
        <v>#N/A</v>
      </c>
      <c r="AL272" s="8" t="str">
        <f t="array" ref="AL272">INDEX(Subject!$A:$I,MATCH(RANDBETWEEN(1,16),Subject!$B:$B,0),3)</f>
        <v>#N/A</v>
      </c>
      <c r="AM272" s="18">
        <f t="shared" si="4"/>
        <v>45772.33333</v>
      </c>
      <c r="AN272" s="19">
        <f t="shared" ref="AN272:BZ272" si="272">$A272+C$1</f>
        <v>45772.35417</v>
      </c>
      <c r="AO272" s="19">
        <f t="shared" si="272"/>
        <v>45772.375</v>
      </c>
      <c r="AP272" s="19">
        <f t="shared" si="272"/>
        <v>45772.39583</v>
      </c>
      <c r="AQ272" s="19">
        <f t="shared" si="272"/>
        <v>45772.41667</v>
      </c>
      <c r="AR272" s="19">
        <f t="shared" si="272"/>
        <v>45772.4375</v>
      </c>
      <c r="AS272" s="19">
        <f t="shared" si="272"/>
        <v>45772.45833</v>
      </c>
      <c r="AT272" s="19">
        <f t="shared" si="272"/>
        <v>45772.47917</v>
      </c>
      <c r="AU272" s="19">
        <f t="shared" si="272"/>
        <v>45772.5</v>
      </c>
      <c r="AV272" s="19">
        <f t="shared" si="272"/>
        <v>45772.52083</v>
      </c>
      <c r="AW272" s="19">
        <f t="shared" si="272"/>
        <v>45772.54167</v>
      </c>
      <c r="AX272" s="19">
        <f t="shared" si="272"/>
        <v>45772.5625</v>
      </c>
      <c r="AY272" s="19">
        <f t="shared" si="272"/>
        <v>45772.58333</v>
      </c>
      <c r="AZ272" s="19">
        <f t="shared" si="272"/>
        <v>45772.60417</v>
      </c>
      <c r="BA272" s="19">
        <f t="shared" si="272"/>
        <v>45772.625</v>
      </c>
      <c r="BB272" s="19">
        <f t="shared" si="272"/>
        <v>45772.64583</v>
      </c>
      <c r="BC272" s="19">
        <f t="shared" si="272"/>
        <v>45772.66667</v>
      </c>
      <c r="BD272" s="19">
        <f t="shared" si="272"/>
        <v>45772.6875</v>
      </c>
      <c r="BE272" s="19">
        <f t="shared" si="272"/>
        <v>45772.70833</v>
      </c>
      <c r="BF272" s="19">
        <f t="shared" si="272"/>
        <v>45772.72917</v>
      </c>
      <c r="BG272" s="19">
        <f t="shared" si="272"/>
        <v>45772.75</v>
      </c>
      <c r="BH272" s="19">
        <f t="shared" si="272"/>
        <v>45772.77083</v>
      </c>
      <c r="BI272" s="19">
        <f t="shared" si="272"/>
        <v>45772.79167</v>
      </c>
      <c r="BJ272" s="19">
        <f t="shared" si="272"/>
        <v>45772.8125</v>
      </c>
      <c r="BK272" s="19">
        <f t="shared" si="272"/>
        <v>45772.83333</v>
      </c>
      <c r="BL272" s="19">
        <f t="shared" si="272"/>
        <v>45772.85417</v>
      </c>
      <c r="BM272" s="19">
        <f t="shared" si="272"/>
        <v>45772.875</v>
      </c>
      <c r="BN272" s="19">
        <f t="shared" si="272"/>
        <v>45772.89583</v>
      </c>
      <c r="BO272" s="19">
        <f t="shared" si="272"/>
        <v>45772.91667</v>
      </c>
      <c r="BP272" s="19">
        <f t="shared" si="272"/>
        <v>45772.9375</v>
      </c>
      <c r="BQ272" s="19">
        <f t="shared" si="272"/>
        <v>45772.95833</v>
      </c>
      <c r="BR272" s="19">
        <f t="shared" si="272"/>
        <v>45772.97917</v>
      </c>
      <c r="BS272" s="19">
        <f t="shared" si="272"/>
        <v>45773</v>
      </c>
      <c r="BT272" s="19">
        <f t="shared" si="272"/>
        <v>45773.02083</v>
      </c>
      <c r="BU272" s="19">
        <f t="shared" si="272"/>
        <v>45773.04167</v>
      </c>
      <c r="BV272" s="19">
        <f t="shared" si="272"/>
        <v>45773.0625</v>
      </c>
      <c r="BW272" s="19">
        <f t="shared" si="272"/>
        <v>45773.08333</v>
      </c>
      <c r="BX272" s="19">
        <f t="shared" si="272"/>
        <v>45772</v>
      </c>
      <c r="BY272" s="19">
        <f t="shared" si="272"/>
        <v>45772</v>
      </c>
      <c r="BZ272" s="19">
        <f t="shared" si="272"/>
        <v>45772</v>
      </c>
    </row>
    <row r="273" ht="14.25" customHeight="1">
      <c r="A273" s="17">
        <v>45773.0</v>
      </c>
      <c r="B273" s="2" t="str">
        <f t="array" ref="B273">IF(NOW()&gt;AM273,"",IF(AND((WEEKDAY($A273)+$B$2)&gt;1,((WEEKDAY($A273)+$T$2)&lt;7),(WEEKDAY($A273)&lt;&gt;1)),"work",(INDEX(Subject!$A:$I,MATCH(RANDBETWEEN(1,(MAX(Subject!$B:$B))),Subject!$B:$B,0),3))))</f>
        <v/>
      </c>
      <c r="C273" s="2" t="str">
        <f t="array" ref="C273">IF(NOW()&gt;AN273,"",IF(AND((WEEKDAY($A273)+$B$2)&gt;1,((WEEKDAY($A273)+$T$2)&lt;7),(WEEKDAY($A273)&lt;&gt;1)),"work",(INDEX(Subject!$A:$I,MATCH(RANDBETWEEN(1,(MAX(Subject!$B:$B))),Subject!$B:$B,0),3))))</f>
        <v/>
      </c>
      <c r="D273" s="2" t="str">
        <f t="array" ref="D273">IF(NOW()&gt;AO273,"",IF(AND((WEEKDAY($A273)+$B$2)&gt;1,((WEEKDAY($A273)+$T$2)&lt;7),(WEEKDAY($A273)&lt;&gt;1)),"work",(INDEX(Subject!$A:$I,MATCH(RANDBETWEEN(1,(MAX(Subject!$B:$B))),Subject!$B:$B,0),3))))</f>
        <v/>
      </c>
      <c r="E273" s="2" t="str">
        <f t="array" ref="E273">IF(NOW()&gt;AP273,"",IF(AND((WEEKDAY($A273)+$B$2)&gt;1,((WEEKDAY($A273)+$T$2)&lt;7),(WEEKDAY($A273)&lt;&gt;1)),"work",(INDEX(Subject!$A:$I,MATCH(RANDBETWEEN(1,(MAX(Subject!$B:$B))),Subject!$B:$B,0),3))))</f>
        <v/>
      </c>
      <c r="F273" s="2" t="str">
        <f t="array" ref="F273">IF(NOW()&gt;AQ273,"",IF(AND((WEEKDAY($A273)+$B$2)&gt;1,((WEEKDAY($A273)+$T$2)&lt;7),(WEEKDAY($A273)&lt;&gt;1)),"work",(INDEX(Subject!$A:$I,MATCH(RANDBETWEEN(1,(MAX(Subject!$B:$B))),Subject!$B:$B,0),3))))</f>
        <v/>
      </c>
      <c r="G273" s="2" t="str">
        <f t="array" ref="G273">IF(NOW()&gt;AR273,"",IF(AND((WEEKDAY($A273)+$B$2)&gt;1,((WEEKDAY($A273)+$T$2)&lt;7),(WEEKDAY($A273)&lt;&gt;1)),"work",(INDEX(Subject!$A:$I,MATCH(RANDBETWEEN(1,(MAX(Subject!$B:$B))),Subject!$B:$B,0),3))))</f>
        <v/>
      </c>
      <c r="H273" s="2" t="str">
        <f t="array" ref="H273">IF(NOW()&gt;AS273,"",IF(AND((WEEKDAY($A273)+$B$2)&gt;1,((WEEKDAY($A273)+$T$2)&lt;7),(WEEKDAY($A273)&lt;&gt;1)),"work",(INDEX(Subject!$A:$I,MATCH(RANDBETWEEN(1,(MAX(Subject!$B:$B))),Subject!$B:$B,0),3))))</f>
        <v/>
      </c>
      <c r="I273" s="2" t="str">
        <f t="array" ref="I273">IF(NOW()&gt;AT273,"",IF(AND((WEEKDAY($A273)+$B$2)&gt;1,((WEEKDAY($A273)+$T$2)&lt;7),(WEEKDAY($A273)&lt;&gt;1)),"work",(INDEX(Subject!$A:$I,MATCH(RANDBETWEEN(1,(MAX(Subject!$B:$B))),Subject!$B:$B,0),3))))</f>
        <v/>
      </c>
      <c r="J273" s="2" t="str">
        <f t="array" ref="J273">IF(NOW()&gt;AU273,"",IF(AND((WEEKDAY($A273)+$B$2)&gt;1,((WEEKDAY($A273)+$T$2)&lt;7),(WEEKDAY($A273)&lt;&gt;1)),"work",(INDEX(Subject!$A:$I,MATCH(RANDBETWEEN(1,(MAX(Subject!$B:$B))),Subject!$B:$B,0),3))))</f>
        <v/>
      </c>
      <c r="K273" s="2" t="str">
        <f t="array" ref="K273">IF(NOW()&gt;AV273,"",IF(AND((WEEKDAY($A273)+$B$2)&gt;1,((WEEKDAY($A273)+$T$2)&lt;7),(WEEKDAY($A273)&lt;&gt;1)),"work",(INDEX(Subject!$A:$I,MATCH(RANDBETWEEN(1,(MAX(Subject!$B:$B))),Subject!$B:$B,0),3))))</f>
        <v/>
      </c>
      <c r="L273" s="2" t="str">
        <f t="array" ref="L273">IF(NOW()&gt;AW273,"",IF(AND((WEEKDAY($A273)+$B$2)&gt;1,((WEEKDAY($A273)+$T$2)&lt;7),(WEEKDAY($A273)&lt;&gt;1)),"work",(INDEX(Subject!$A:$I,MATCH(RANDBETWEEN(1,(MAX(Subject!$B:$B))),Subject!$B:$B,0),3))))</f>
        <v/>
      </c>
      <c r="M273" s="2" t="str">
        <f t="array" ref="M273">IF(NOW()&gt;AX273,"",IF(AND((WEEKDAY($A273)+$B$2)&gt;1,((WEEKDAY($A273)+$T$2)&lt;7),(WEEKDAY($A273)&lt;&gt;1)),"work",(INDEX(Subject!$A:$I,MATCH(RANDBETWEEN(1,(MAX(Subject!$B:$B))),Subject!$B:$B,0),3))))</f>
        <v/>
      </c>
      <c r="N273" s="2" t="str">
        <f t="array" ref="N273">IF(NOW()&gt;AY273,"",IF(AND((WEEKDAY($A273)+$B$2)&gt;1,((WEEKDAY($A273)+$T$2)&lt;7),(WEEKDAY($A273)&lt;&gt;1)),"work",(INDEX(Subject!$A:$I,MATCH(RANDBETWEEN(1,(MAX(Subject!$B:$B))),Subject!$B:$B,0),3))))</f>
        <v/>
      </c>
      <c r="O273" s="2" t="str">
        <f t="array" ref="O273">IF(NOW()&gt;AZ273,"",IF(AND((WEEKDAY($A273)+$B$2)&gt;1,((WEEKDAY($A273)+$T$2)&lt;7),(WEEKDAY($A273)&lt;&gt;1)),"work",(INDEX(Subject!$A:$I,MATCH(RANDBETWEEN(1,(MAX(Subject!$B:$B))),Subject!$B:$B,0),3))))</f>
        <v/>
      </c>
      <c r="P273" s="2" t="str">
        <f t="array" ref="P273">IF(NOW()&gt;BA273,"",IF(AND((WEEKDAY($A273)+$B$2)&gt;1,((WEEKDAY($A273)+$T$2)&lt;7),(WEEKDAY($A273)&lt;&gt;1)),"work",(INDEX(Subject!$A:$I,MATCH(RANDBETWEEN(1,(MAX(Subject!$B:$B))),Subject!$B:$B,0),3))))</f>
        <v/>
      </c>
      <c r="Q273" s="2" t="str">
        <f t="array" ref="Q273">IF(NOW()&gt;BB273,"",IF(AND((WEEKDAY($A273)+$B$2)&gt;1,((WEEKDAY($A273)+$T$2)&lt;7),(WEEKDAY($A273)&lt;&gt;1)),"work",(INDEX(Subject!$A:$I,MATCH(RANDBETWEEN(1,(MAX(Subject!$B:$B))),Subject!$B:$B,0),3))))</f>
        <v/>
      </c>
      <c r="R273" s="2" t="str">
        <f t="array" ref="R273">IF(NOW()&gt;BC273,"",IF(AND((WEEKDAY($A273)+$B$2)&gt;1,((WEEKDAY($A273)+$T$2)&lt;7),(WEEKDAY($A273)&lt;&gt;1)),"work",(INDEX(Subject!$A:$I,MATCH(RANDBETWEEN(1,(MAX(Subject!$B:$B))),Subject!$B:$B,0),3))))</f>
        <v/>
      </c>
      <c r="S273" s="2" t="str">
        <f t="array" ref="S273">IF(NOW()&gt;BD273,"",IF(AND((WEEKDAY($A273)+$B$2)&gt;1,((WEEKDAY($A273)+$T$2)&lt;7),(WEEKDAY($A273)&lt;&gt;1)),"work",(INDEX(Subject!$A:$I,MATCH(RANDBETWEEN(1,(MAX(Subject!$B:$B))),Subject!$B:$B,0),3))))</f>
        <v/>
      </c>
      <c r="T273" s="2" t="str">
        <f t="array" ref="T273">IF(NOW()&gt;BE273,"",IF(AND((WEEKDAY($A273)+$B$2)&gt;1,((WEEKDAY($A273)+$T$2)&lt;7),(WEEKDAY($A273)&lt;&gt;1)),"work",(INDEX(Subject!$A:$I,MATCH(RANDBETWEEN(1,(MAX(Subject!$B:$B))),Subject!$B:$B,0),3))))</f>
        <v/>
      </c>
      <c r="U273" s="8" t="str">
        <f t="array" ref="U273">INDEX(Subject!$A:$I,MATCH(RANDBETWEEN(1,16),Subject!$B:$B,0),3)</f>
        <v>#N/A</v>
      </c>
      <c r="V273" s="8" t="str">
        <f t="array" ref="V273">INDEX(Subject!$A:$I,MATCH(RANDBETWEEN(1,16),Subject!$B:$B,0),3)</f>
        <v>#N/A</v>
      </c>
      <c r="W273" s="8" t="str">
        <f t="array" ref="W273">INDEX(Subject!$A:$I,MATCH(RANDBETWEEN(1,16),Subject!$B:$B,0),3)</f>
        <v>#N/A</v>
      </c>
      <c r="X273" s="8" t="str">
        <f t="array" ref="X273">INDEX(Subject!$A:$I,MATCH(RANDBETWEEN(1,16),Subject!$B:$B,0),3)</f>
        <v>#N/A</v>
      </c>
      <c r="Y273" s="8" t="str">
        <f t="array" ref="Y273">INDEX(Subject!$A:$I,MATCH(RANDBETWEEN(1,16),Subject!$B:$B,0),3)</f>
        <v>#N/A</v>
      </c>
      <c r="Z273" s="8" t="str">
        <f t="array" ref="Z273">INDEX(Subject!$A:$I,MATCH(RANDBETWEEN(1,16),Subject!$B:$B,0),3)</f>
        <v>#N/A</v>
      </c>
      <c r="AA273" s="8" t="str">
        <f t="array" ref="AA273">INDEX(Subject!$A:$I,MATCH(RANDBETWEEN(1,16),Subject!$B:$B,0),3)</f>
        <v>#N/A</v>
      </c>
      <c r="AB273" s="8" t="str">
        <f t="array" ref="AB273">INDEX(Subject!$A:$I,MATCH(RANDBETWEEN(1,16),Subject!$B:$B,0),3)</f>
        <v/>
      </c>
      <c r="AC273" s="8" t="str">
        <f t="array" ref="AC273">INDEX(Subject!$A:$I,MATCH(RANDBETWEEN(1,16),Subject!$B:$B,0),3)</f>
        <v>#N/A</v>
      </c>
      <c r="AD273" s="8" t="str">
        <f t="array" ref="AD273">INDEX(Subject!$A:$I,MATCH(RANDBETWEEN(1,16),Subject!$B:$B,0),3)</f>
        <v>#N/A</v>
      </c>
      <c r="AE273" s="8" t="str">
        <f t="array" ref="AE273">INDEX(Subject!$A:$I,MATCH(RANDBETWEEN(1,16),Subject!$B:$B,0),3)</f>
        <v>#N/A</v>
      </c>
      <c r="AF273" s="8" t="str">
        <f t="array" ref="AF273">INDEX(Subject!$A:$I,MATCH(RANDBETWEEN(1,16),Subject!$B:$B,0),3)</f>
        <v>#N/A</v>
      </c>
      <c r="AG273" s="8" t="str">
        <f t="array" ref="AG273">INDEX(Subject!$A:$I,MATCH(RANDBETWEEN(1,16),Subject!$B:$B,0),3)</f>
        <v>#N/A</v>
      </c>
      <c r="AH273" s="8" t="str">
        <f t="array" ref="AH273">INDEX(Subject!$A:$I,MATCH(RANDBETWEEN(1,16),Subject!$B:$B,0),3)</f>
        <v>#N/A</v>
      </c>
      <c r="AI273" s="8" t="str">
        <f t="array" ref="AI273">INDEX(Subject!$A:$I,MATCH(RANDBETWEEN(1,16),Subject!$B:$B,0),3)</f>
        <v>#N/A</v>
      </c>
      <c r="AJ273" s="8" t="str">
        <f t="array" ref="AJ273">INDEX(Subject!$A:$I,MATCH(RANDBETWEEN(1,16),Subject!$B:$B,0),3)</f>
        <v>#N/A</v>
      </c>
      <c r="AK273" s="8" t="str">
        <f t="array" ref="AK273">INDEX(Subject!$A:$I,MATCH(RANDBETWEEN(1,16),Subject!$B:$B,0),3)</f>
        <v>#N/A</v>
      </c>
      <c r="AL273" s="8" t="str">
        <f t="array" ref="AL273">INDEX(Subject!$A:$I,MATCH(RANDBETWEEN(1,16),Subject!$B:$B,0),3)</f>
        <v>#N/A</v>
      </c>
      <c r="AM273" s="18">
        <f t="shared" si="4"/>
        <v>45773.33333</v>
      </c>
      <c r="AN273" s="19">
        <f t="shared" ref="AN273:BZ273" si="273">$A273+C$1</f>
        <v>45773.35417</v>
      </c>
      <c r="AO273" s="19">
        <f t="shared" si="273"/>
        <v>45773.375</v>
      </c>
      <c r="AP273" s="19">
        <f t="shared" si="273"/>
        <v>45773.39583</v>
      </c>
      <c r="AQ273" s="19">
        <f t="shared" si="273"/>
        <v>45773.41667</v>
      </c>
      <c r="AR273" s="19">
        <f t="shared" si="273"/>
        <v>45773.4375</v>
      </c>
      <c r="AS273" s="19">
        <f t="shared" si="273"/>
        <v>45773.45833</v>
      </c>
      <c r="AT273" s="19">
        <f t="shared" si="273"/>
        <v>45773.47917</v>
      </c>
      <c r="AU273" s="19">
        <f t="shared" si="273"/>
        <v>45773.5</v>
      </c>
      <c r="AV273" s="19">
        <f t="shared" si="273"/>
        <v>45773.52083</v>
      </c>
      <c r="AW273" s="19">
        <f t="shared" si="273"/>
        <v>45773.54167</v>
      </c>
      <c r="AX273" s="19">
        <f t="shared" si="273"/>
        <v>45773.5625</v>
      </c>
      <c r="AY273" s="19">
        <f t="shared" si="273"/>
        <v>45773.58333</v>
      </c>
      <c r="AZ273" s="19">
        <f t="shared" si="273"/>
        <v>45773.60417</v>
      </c>
      <c r="BA273" s="19">
        <f t="shared" si="273"/>
        <v>45773.625</v>
      </c>
      <c r="BB273" s="19">
        <f t="shared" si="273"/>
        <v>45773.64583</v>
      </c>
      <c r="BC273" s="19">
        <f t="shared" si="273"/>
        <v>45773.66667</v>
      </c>
      <c r="BD273" s="19">
        <f t="shared" si="273"/>
        <v>45773.6875</v>
      </c>
      <c r="BE273" s="19">
        <f t="shared" si="273"/>
        <v>45773.70833</v>
      </c>
      <c r="BF273" s="19">
        <f t="shared" si="273"/>
        <v>45773.72917</v>
      </c>
      <c r="BG273" s="19">
        <f t="shared" si="273"/>
        <v>45773.75</v>
      </c>
      <c r="BH273" s="19">
        <f t="shared" si="273"/>
        <v>45773.77083</v>
      </c>
      <c r="BI273" s="19">
        <f t="shared" si="273"/>
        <v>45773.79167</v>
      </c>
      <c r="BJ273" s="19">
        <f t="shared" si="273"/>
        <v>45773.8125</v>
      </c>
      <c r="BK273" s="19">
        <f t="shared" si="273"/>
        <v>45773.83333</v>
      </c>
      <c r="BL273" s="19">
        <f t="shared" si="273"/>
        <v>45773.85417</v>
      </c>
      <c r="BM273" s="19">
        <f t="shared" si="273"/>
        <v>45773.875</v>
      </c>
      <c r="BN273" s="19">
        <f t="shared" si="273"/>
        <v>45773.89583</v>
      </c>
      <c r="BO273" s="19">
        <f t="shared" si="273"/>
        <v>45773.91667</v>
      </c>
      <c r="BP273" s="19">
        <f t="shared" si="273"/>
        <v>45773.9375</v>
      </c>
      <c r="BQ273" s="19">
        <f t="shared" si="273"/>
        <v>45773.95833</v>
      </c>
      <c r="BR273" s="19">
        <f t="shared" si="273"/>
        <v>45773.97917</v>
      </c>
      <c r="BS273" s="19">
        <f t="shared" si="273"/>
        <v>45774</v>
      </c>
      <c r="BT273" s="19">
        <f t="shared" si="273"/>
        <v>45774.02083</v>
      </c>
      <c r="BU273" s="19">
        <f t="shared" si="273"/>
        <v>45774.04167</v>
      </c>
      <c r="BV273" s="19">
        <f t="shared" si="273"/>
        <v>45774.0625</v>
      </c>
      <c r="BW273" s="19">
        <f t="shared" si="273"/>
        <v>45774.08333</v>
      </c>
      <c r="BX273" s="19">
        <f t="shared" si="273"/>
        <v>45773</v>
      </c>
      <c r="BY273" s="19">
        <f t="shared" si="273"/>
        <v>45773</v>
      </c>
      <c r="BZ273" s="19">
        <f t="shared" si="273"/>
        <v>45773</v>
      </c>
    </row>
    <row r="274" ht="14.25" customHeight="1">
      <c r="A274" s="17">
        <v>45774.0</v>
      </c>
      <c r="B274" s="2" t="str">
        <f t="array" ref="B274">IF(NOW()&gt;AM274,"",IF(AND((WEEKDAY($A274)+$B$2)&gt;1,((WEEKDAY($A274)+$T$2)&lt;7),(WEEKDAY($A274)&lt;&gt;1)),"work",(INDEX(Subject!$A:$I,MATCH(RANDBETWEEN(1,(MAX(Subject!$B:$B))),Subject!$B:$B,0),3))))</f>
        <v/>
      </c>
      <c r="C274" s="2" t="str">
        <f t="array" ref="C274">IF(NOW()&gt;AN274,"",IF(AND((WEEKDAY($A274)+$B$2)&gt;1,((WEEKDAY($A274)+$T$2)&lt;7),(WEEKDAY($A274)&lt;&gt;1)),"work",(INDEX(Subject!$A:$I,MATCH(RANDBETWEEN(1,(MAX(Subject!$B:$B))),Subject!$B:$B,0),3))))</f>
        <v/>
      </c>
      <c r="D274" s="2" t="str">
        <f t="array" ref="D274">IF(NOW()&gt;AO274,"",IF(AND((WEEKDAY($A274)+$B$2)&gt;1,((WEEKDAY($A274)+$T$2)&lt;7),(WEEKDAY($A274)&lt;&gt;1)),"work",(INDEX(Subject!$A:$I,MATCH(RANDBETWEEN(1,(MAX(Subject!$B:$B))),Subject!$B:$B,0),3))))</f>
        <v/>
      </c>
      <c r="E274" s="2" t="str">
        <f t="array" ref="E274">IF(NOW()&gt;AP274,"",IF(AND((WEEKDAY($A274)+$B$2)&gt;1,((WEEKDAY($A274)+$T$2)&lt;7),(WEEKDAY($A274)&lt;&gt;1)),"work",(INDEX(Subject!$A:$I,MATCH(RANDBETWEEN(1,(MAX(Subject!$B:$B))),Subject!$B:$B,0),3))))</f>
        <v/>
      </c>
      <c r="F274" s="2" t="str">
        <f t="array" ref="F274">IF(NOW()&gt;AQ274,"",IF(AND((WEEKDAY($A274)+$B$2)&gt;1,((WEEKDAY($A274)+$T$2)&lt;7),(WEEKDAY($A274)&lt;&gt;1)),"work",(INDEX(Subject!$A:$I,MATCH(RANDBETWEEN(1,(MAX(Subject!$B:$B))),Subject!$B:$B,0),3))))</f>
        <v/>
      </c>
      <c r="G274" s="2" t="str">
        <f t="array" ref="G274">IF(NOW()&gt;AR274,"",IF(AND((WEEKDAY($A274)+$B$2)&gt;1,((WEEKDAY($A274)+$T$2)&lt;7),(WEEKDAY($A274)&lt;&gt;1)),"work",(INDEX(Subject!$A:$I,MATCH(RANDBETWEEN(1,(MAX(Subject!$B:$B))),Subject!$B:$B,0),3))))</f>
        <v/>
      </c>
      <c r="H274" s="2" t="str">
        <f t="array" ref="H274">IF(NOW()&gt;AS274,"",IF(AND((WEEKDAY($A274)+$B$2)&gt;1,((WEEKDAY($A274)+$T$2)&lt;7),(WEEKDAY($A274)&lt;&gt;1)),"work",(INDEX(Subject!$A:$I,MATCH(RANDBETWEEN(1,(MAX(Subject!$B:$B))),Subject!$B:$B,0),3))))</f>
        <v/>
      </c>
      <c r="I274" s="2" t="str">
        <f t="array" ref="I274">IF(NOW()&gt;AT274,"",IF(AND((WEEKDAY($A274)+$B$2)&gt;1,((WEEKDAY($A274)+$T$2)&lt;7),(WEEKDAY($A274)&lt;&gt;1)),"work",(INDEX(Subject!$A:$I,MATCH(RANDBETWEEN(1,(MAX(Subject!$B:$B))),Subject!$B:$B,0),3))))</f>
        <v/>
      </c>
      <c r="J274" s="2" t="str">
        <f t="array" ref="J274">IF(NOW()&gt;AU274,"",IF(AND((WEEKDAY($A274)+$B$2)&gt;1,((WEEKDAY($A274)+$T$2)&lt;7),(WEEKDAY($A274)&lt;&gt;1)),"work",(INDEX(Subject!$A:$I,MATCH(RANDBETWEEN(1,(MAX(Subject!$B:$B))),Subject!$B:$B,0),3))))</f>
        <v/>
      </c>
      <c r="K274" s="2" t="str">
        <f t="array" ref="K274">IF(NOW()&gt;AV274,"",IF(AND((WEEKDAY($A274)+$B$2)&gt;1,((WEEKDAY($A274)+$T$2)&lt;7),(WEEKDAY($A274)&lt;&gt;1)),"work",(INDEX(Subject!$A:$I,MATCH(RANDBETWEEN(1,(MAX(Subject!$B:$B))),Subject!$B:$B,0),3))))</f>
        <v/>
      </c>
      <c r="L274" s="2" t="str">
        <f t="array" ref="L274">IF(NOW()&gt;AW274,"",IF(AND((WEEKDAY($A274)+$B$2)&gt;1,((WEEKDAY($A274)+$T$2)&lt;7),(WEEKDAY($A274)&lt;&gt;1)),"work",(INDEX(Subject!$A:$I,MATCH(RANDBETWEEN(1,(MAX(Subject!$B:$B))),Subject!$B:$B,0),3))))</f>
        <v/>
      </c>
      <c r="M274" s="2" t="str">
        <f t="array" ref="M274">IF(NOW()&gt;AX274,"",IF(AND((WEEKDAY($A274)+$B$2)&gt;1,((WEEKDAY($A274)+$T$2)&lt;7),(WEEKDAY($A274)&lt;&gt;1)),"work",(INDEX(Subject!$A:$I,MATCH(RANDBETWEEN(1,(MAX(Subject!$B:$B))),Subject!$B:$B,0),3))))</f>
        <v/>
      </c>
      <c r="N274" s="2" t="str">
        <f t="array" ref="N274">IF(NOW()&gt;AY274,"",IF(AND((WEEKDAY($A274)+$B$2)&gt;1,((WEEKDAY($A274)+$T$2)&lt;7),(WEEKDAY($A274)&lt;&gt;1)),"work",(INDEX(Subject!$A:$I,MATCH(RANDBETWEEN(1,(MAX(Subject!$B:$B))),Subject!$B:$B,0),3))))</f>
        <v/>
      </c>
      <c r="O274" s="2" t="str">
        <f t="array" ref="O274">IF(NOW()&gt;AZ274,"",IF(AND((WEEKDAY($A274)+$B$2)&gt;1,((WEEKDAY($A274)+$T$2)&lt;7),(WEEKDAY($A274)&lt;&gt;1)),"work",(INDEX(Subject!$A:$I,MATCH(RANDBETWEEN(1,(MAX(Subject!$B:$B))),Subject!$B:$B,0),3))))</f>
        <v/>
      </c>
      <c r="P274" s="2" t="str">
        <f t="array" ref="P274">IF(NOW()&gt;BA274,"",IF(AND((WEEKDAY($A274)+$B$2)&gt;1,((WEEKDAY($A274)+$T$2)&lt;7),(WEEKDAY($A274)&lt;&gt;1)),"work",(INDEX(Subject!$A:$I,MATCH(RANDBETWEEN(1,(MAX(Subject!$B:$B))),Subject!$B:$B,0),3))))</f>
        <v/>
      </c>
      <c r="Q274" s="2" t="str">
        <f t="array" ref="Q274">IF(NOW()&gt;BB274,"",IF(AND((WEEKDAY($A274)+$B$2)&gt;1,((WEEKDAY($A274)+$T$2)&lt;7),(WEEKDAY($A274)&lt;&gt;1)),"work",(INDEX(Subject!$A:$I,MATCH(RANDBETWEEN(1,(MAX(Subject!$B:$B))),Subject!$B:$B,0),3))))</f>
        <v/>
      </c>
      <c r="R274" s="2" t="str">
        <f t="array" ref="R274">IF(NOW()&gt;BC274,"",IF(AND((WEEKDAY($A274)+$B$2)&gt;1,((WEEKDAY($A274)+$T$2)&lt;7),(WEEKDAY($A274)&lt;&gt;1)),"work",(INDEX(Subject!$A:$I,MATCH(RANDBETWEEN(1,(MAX(Subject!$B:$B))),Subject!$B:$B,0),3))))</f>
        <v/>
      </c>
      <c r="S274" s="2" t="str">
        <f t="array" ref="S274">IF(NOW()&gt;BD274,"",IF(AND((WEEKDAY($A274)+$B$2)&gt;1,((WEEKDAY($A274)+$T$2)&lt;7),(WEEKDAY($A274)&lt;&gt;1)),"work",(INDEX(Subject!$A:$I,MATCH(RANDBETWEEN(1,(MAX(Subject!$B:$B))),Subject!$B:$B,0),3))))</f>
        <v/>
      </c>
      <c r="T274" s="2" t="str">
        <f t="array" ref="T274">IF(NOW()&gt;BE274,"",IF(AND((WEEKDAY($A274)+$B$2)&gt;1,((WEEKDAY($A274)+$T$2)&lt;7),(WEEKDAY($A274)&lt;&gt;1)),"work",(INDEX(Subject!$A:$I,MATCH(RANDBETWEEN(1,(MAX(Subject!$B:$B))),Subject!$B:$B,0),3))))</f>
        <v/>
      </c>
      <c r="U274" s="8" t="str">
        <f t="array" ref="U274">INDEX(Subject!$A:$I,MATCH(RANDBETWEEN(1,16),Subject!$B:$B,0),3)</f>
        <v>#N/A</v>
      </c>
      <c r="V274" s="8" t="str">
        <f t="array" ref="V274">INDEX(Subject!$A:$I,MATCH(RANDBETWEEN(1,16),Subject!$B:$B,0),3)</f>
        <v>#N/A</v>
      </c>
      <c r="W274" s="8" t="str">
        <f t="array" ref="W274">INDEX(Subject!$A:$I,MATCH(RANDBETWEEN(1,16),Subject!$B:$B,0),3)</f>
        <v>#N/A</v>
      </c>
      <c r="X274" s="8" t="str">
        <f t="array" ref="X274">INDEX(Subject!$A:$I,MATCH(RANDBETWEEN(1,16),Subject!$B:$B,0),3)</f>
        <v>#N/A</v>
      </c>
      <c r="Y274" s="8" t="str">
        <f t="array" ref="Y274">INDEX(Subject!$A:$I,MATCH(RANDBETWEEN(1,16),Subject!$B:$B,0),3)</f>
        <v>#N/A</v>
      </c>
      <c r="Z274" s="8" t="str">
        <f t="array" ref="Z274">INDEX(Subject!$A:$I,MATCH(RANDBETWEEN(1,16),Subject!$B:$B,0),3)</f>
        <v>#N/A</v>
      </c>
      <c r="AA274" s="8" t="str">
        <f t="array" ref="AA274">INDEX(Subject!$A:$I,MATCH(RANDBETWEEN(1,16),Subject!$B:$B,0),3)</f>
        <v>#N/A</v>
      </c>
      <c r="AB274" s="8" t="str">
        <f t="array" ref="AB274">INDEX(Subject!$A:$I,MATCH(RANDBETWEEN(1,16),Subject!$B:$B,0),3)</f>
        <v/>
      </c>
      <c r="AC274" s="8" t="str">
        <f t="array" ref="AC274">INDEX(Subject!$A:$I,MATCH(RANDBETWEEN(1,16),Subject!$B:$B,0),3)</f>
        <v>#N/A</v>
      </c>
      <c r="AD274" s="8" t="str">
        <f t="array" ref="AD274">INDEX(Subject!$A:$I,MATCH(RANDBETWEEN(1,16),Subject!$B:$B,0),3)</f>
        <v>#N/A</v>
      </c>
      <c r="AE274" s="8" t="str">
        <f t="array" ref="AE274">INDEX(Subject!$A:$I,MATCH(RANDBETWEEN(1,16),Subject!$B:$B,0),3)</f>
        <v>#N/A</v>
      </c>
      <c r="AF274" s="8" t="str">
        <f t="array" ref="AF274">INDEX(Subject!$A:$I,MATCH(RANDBETWEEN(1,16),Subject!$B:$B,0),3)</f>
        <v>#N/A</v>
      </c>
      <c r="AG274" s="8" t="str">
        <f t="array" ref="AG274">INDEX(Subject!$A:$I,MATCH(RANDBETWEEN(1,16),Subject!$B:$B,0),3)</f>
        <v>#N/A</v>
      </c>
      <c r="AH274" s="8" t="str">
        <f t="array" ref="AH274">INDEX(Subject!$A:$I,MATCH(RANDBETWEEN(1,16),Subject!$B:$B,0),3)</f>
        <v>#N/A</v>
      </c>
      <c r="AI274" s="8" t="str">
        <f t="array" ref="AI274">INDEX(Subject!$A:$I,MATCH(RANDBETWEEN(1,16),Subject!$B:$B,0),3)</f>
        <v>#N/A</v>
      </c>
      <c r="AJ274" s="8" t="str">
        <f t="array" ref="AJ274">INDEX(Subject!$A:$I,MATCH(RANDBETWEEN(1,16),Subject!$B:$B,0),3)</f>
        <v>#N/A</v>
      </c>
      <c r="AK274" s="8" t="str">
        <f t="array" ref="AK274">INDEX(Subject!$A:$I,MATCH(RANDBETWEEN(1,16),Subject!$B:$B,0),3)</f>
        <v/>
      </c>
      <c r="AL274" s="8" t="str">
        <f t="array" ref="AL274">INDEX(Subject!$A:$I,MATCH(RANDBETWEEN(1,16),Subject!$B:$B,0),3)</f>
        <v>#N/A</v>
      </c>
      <c r="AM274" s="18">
        <f t="shared" si="4"/>
        <v>45774.33333</v>
      </c>
      <c r="AN274" s="19">
        <f t="shared" ref="AN274:BZ274" si="274">$A274+C$1</f>
        <v>45774.35417</v>
      </c>
      <c r="AO274" s="19">
        <f t="shared" si="274"/>
        <v>45774.375</v>
      </c>
      <c r="AP274" s="19">
        <f t="shared" si="274"/>
        <v>45774.39583</v>
      </c>
      <c r="AQ274" s="19">
        <f t="shared" si="274"/>
        <v>45774.41667</v>
      </c>
      <c r="AR274" s="19">
        <f t="shared" si="274"/>
        <v>45774.4375</v>
      </c>
      <c r="AS274" s="19">
        <f t="shared" si="274"/>
        <v>45774.45833</v>
      </c>
      <c r="AT274" s="19">
        <f t="shared" si="274"/>
        <v>45774.47917</v>
      </c>
      <c r="AU274" s="19">
        <f t="shared" si="274"/>
        <v>45774.5</v>
      </c>
      <c r="AV274" s="19">
        <f t="shared" si="274"/>
        <v>45774.52083</v>
      </c>
      <c r="AW274" s="19">
        <f t="shared" si="274"/>
        <v>45774.54167</v>
      </c>
      <c r="AX274" s="19">
        <f t="shared" si="274"/>
        <v>45774.5625</v>
      </c>
      <c r="AY274" s="19">
        <f t="shared" si="274"/>
        <v>45774.58333</v>
      </c>
      <c r="AZ274" s="19">
        <f t="shared" si="274"/>
        <v>45774.60417</v>
      </c>
      <c r="BA274" s="19">
        <f t="shared" si="274"/>
        <v>45774.625</v>
      </c>
      <c r="BB274" s="19">
        <f t="shared" si="274"/>
        <v>45774.64583</v>
      </c>
      <c r="BC274" s="19">
        <f t="shared" si="274"/>
        <v>45774.66667</v>
      </c>
      <c r="BD274" s="19">
        <f t="shared" si="274"/>
        <v>45774.6875</v>
      </c>
      <c r="BE274" s="19">
        <f t="shared" si="274"/>
        <v>45774.70833</v>
      </c>
      <c r="BF274" s="19">
        <f t="shared" si="274"/>
        <v>45774.72917</v>
      </c>
      <c r="BG274" s="19">
        <f t="shared" si="274"/>
        <v>45774.75</v>
      </c>
      <c r="BH274" s="19">
        <f t="shared" si="274"/>
        <v>45774.77083</v>
      </c>
      <c r="BI274" s="19">
        <f t="shared" si="274"/>
        <v>45774.79167</v>
      </c>
      <c r="BJ274" s="19">
        <f t="shared" si="274"/>
        <v>45774.8125</v>
      </c>
      <c r="BK274" s="19">
        <f t="shared" si="274"/>
        <v>45774.83333</v>
      </c>
      <c r="BL274" s="19">
        <f t="shared" si="274"/>
        <v>45774.85417</v>
      </c>
      <c r="BM274" s="19">
        <f t="shared" si="274"/>
        <v>45774.875</v>
      </c>
      <c r="BN274" s="19">
        <f t="shared" si="274"/>
        <v>45774.89583</v>
      </c>
      <c r="BO274" s="19">
        <f t="shared" si="274"/>
        <v>45774.91667</v>
      </c>
      <c r="BP274" s="19">
        <f t="shared" si="274"/>
        <v>45774.9375</v>
      </c>
      <c r="BQ274" s="19">
        <f t="shared" si="274"/>
        <v>45774.95833</v>
      </c>
      <c r="BR274" s="19">
        <f t="shared" si="274"/>
        <v>45774.97917</v>
      </c>
      <c r="BS274" s="19">
        <f t="shared" si="274"/>
        <v>45775</v>
      </c>
      <c r="BT274" s="19">
        <f t="shared" si="274"/>
        <v>45775.02083</v>
      </c>
      <c r="BU274" s="19">
        <f t="shared" si="274"/>
        <v>45775.04167</v>
      </c>
      <c r="BV274" s="19">
        <f t="shared" si="274"/>
        <v>45775.0625</v>
      </c>
      <c r="BW274" s="19">
        <f t="shared" si="274"/>
        <v>45775.08333</v>
      </c>
      <c r="BX274" s="19">
        <f t="shared" si="274"/>
        <v>45774</v>
      </c>
      <c r="BY274" s="19">
        <f t="shared" si="274"/>
        <v>45774</v>
      </c>
      <c r="BZ274" s="19">
        <f t="shared" si="274"/>
        <v>45774</v>
      </c>
    </row>
    <row r="275" ht="14.25" customHeight="1">
      <c r="A275" s="17">
        <v>45775.0</v>
      </c>
      <c r="B275" s="2" t="str">
        <f t="array" ref="B275">IF(NOW()&gt;AM275,"",IF(AND((WEEKDAY($A275)+$B$2)&gt;1,((WEEKDAY($A275)+$T$2)&lt;7),(WEEKDAY($A275)&lt;&gt;1)),"work",(INDEX(Subject!$A:$I,MATCH(RANDBETWEEN(1,(MAX(Subject!$B:$B))),Subject!$B:$B,0),3))))</f>
        <v/>
      </c>
      <c r="C275" s="2" t="str">
        <f t="array" ref="C275">IF(NOW()&gt;AN275,"",IF(AND((WEEKDAY($A275)+$B$2)&gt;1,((WEEKDAY($A275)+$T$2)&lt;7),(WEEKDAY($A275)&lt;&gt;1)),"work",(INDEX(Subject!$A:$I,MATCH(RANDBETWEEN(1,(MAX(Subject!$B:$B))),Subject!$B:$B,0),3))))</f>
        <v/>
      </c>
      <c r="D275" s="2" t="str">
        <f t="array" ref="D275">IF(NOW()&gt;AO275,"",IF(AND((WEEKDAY($A275)+$B$2)&gt;1,((WEEKDAY($A275)+$T$2)&lt;7),(WEEKDAY($A275)&lt;&gt;1)),"work",(INDEX(Subject!$A:$I,MATCH(RANDBETWEEN(1,(MAX(Subject!$B:$B))),Subject!$B:$B,0),3))))</f>
        <v/>
      </c>
      <c r="E275" s="2" t="str">
        <f t="array" ref="E275">IF(NOW()&gt;AP275,"",IF(AND((WEEKDAY($A275)+$B$2)&gt;1,((WEEKDAY($A275)+$T$2)&lt;7),(WEEKDAY($A275)&lt;&gt;1)),"work",(INDEX(Subject!$A:$I,MATCH(RANDBETWEEN(1,(MAX(Subject!$B:$B))),Subject!$B:$B,0),3))))</f>
        <v/>
      </c>
      <c r="F275" s="2" t="str">
        <f t="array" ref="F275">IF(NOW()&gt;AQ275,"",IF(AND((WEEKDAY($A275)+$B$2)&gt;1,((WEEKDAY($A275)+$T$2)&lt;7),(WEEKDAY($A275)&lt;&gt;1)),"work",(INDEX(Subject!$A:$I,MATCH(RANDBETWEEN(1,(MAX(Subject!$B:$B))),Subject!$B:$B,0),3))))</f>
        <v/>
      </c>
      <c r="G275" s="2" t="str">
        <f t="array" ref="G275">IF(NOW()&gt;AR275,"",IF(AND((WEEKDAY($A275)+$B$2)&gt;1,((WEEKDAY($A275)+$T$2)&lt;7),(WEEKDAY($A275)&lt;&gt;1)),"work",(INDEX(Subject!$A:$I,MATCH(RANDBETWEEN(1,(MAX(Subject!$B:$B))),Subject!$B:$B,0),3))))</f>
        <v/>
      </c>
      <c r="H275" s="2" t="str">
        <f t="array" ref="H275">IF(NOW()&gt;AS275,"",IF(AND((WEEKDAY($A275)+$B$2)&gt;1,((WEEKDAY($A275)+$T$2)&lt;7),(WEEKDAY($A275)&lt;&gt;1)),"work",(INDEX(Subject!$A:$I,MATCH(RANDBETWEEN(1,(MAX(Subject!$B:$B))),Subject!$B:$B,0),3))))</f>
        <v/>
      </c>
      <c r="I275" s="2" t="str">
        <f t="array" ref="I275">IF(NOW()&gt;AT275,"",IF(AND((WEEKDAY($A275)+$B$2)&gt;1,((WEEKDAY($A275)+$T$2)&lt;7),(WEEKDAY($A275)&lt;&gt;1)),"work",(INDEX(Subject!$A:$I,MATCH(RANDBETWEEN(1,(MAX(Subject!$B:$B))),Subject!$B:$B,0),3))))</f>
        <v/>
      </c>
      <c r="J275" s="2" t="str">
        <f t="array" ref="J275">IF(NOW()&gt;AU275,"",IF(AND((WEEKDAY($A275)+$B$2)&gt;1,((WEEKDAY($A275)+$T$2)&lt;7),(WEEKDAY($A275)&lt;&gt;1)),"work",(INDEX(Subject!$A:$I,MATCH(RANDBETWEEN(1,(MAX(Subject!$B:$B))),Subject!$B:$B,0),3))))</f>
        <v/>
      </c>
      <c r="K275" s="2" t="str">
        <f t="array" ref="K275">IF(NOW()&gt;AV275,"",IF(AND((WEEKDAY($A275)+$B$2)&gt;1,((WEEKDAY($A275)+$T$2)&lt;7),(WEEKDAY($A275)&lt;&gt;1)),"work",(INDEX(Subject!$A:$I,MATCH(RANDBETWEEN(1,(MAX(Subject!$B:$B))),Subject!$B:$B,0),3))))</f>
        <v/>
      </c>
      <c r="L275" s="2" t="str">
        <f t="array" ref="L275">IF(NOW()&gt;AW275,"",IF(AND((WEEKDAY($A275)+$B$2)&gt;1,((WEEKDAY($A275)+$T$2)&lt;7),(WEEKDAY($A275)&lt;&gt;1)),"work",(INDEX(Subject!$A:$I,MATCH(RANDBETWEEN(1,(MAX(Subject!$B:$B))),Subject!$B:$B,0),3))))</f>
        <v/>
      </c>
      <c r="M275" s="2" t="str">
        <f t="array" ref="M275">IF(NOW()&gt;AX275,"",IF(AND((WEEKDAY($A275)+$B$2)&gt;1,((WEEKDAY($A275)+$T$2)&lt;7),(WEEKDAY($A275)&lt;&gt;1)),"work",(INDEX(Subject!$A:$I,MATCH(RANDBETWEEN(1,(MAX(Subject!$B:$B))),Subject!$B:$B,0),3))))</f>
        <v/>
      </c>
      <c r="N275" s="2" t="str">
        <f t="array" ref="N275">IF(NOW()&gt;AY275,"",IF(AND((WEEKDAY($A275)+$B$2)&gt;1,((WEEKDAY($A275)+$T$2)&lt;7),(WEEKDAY($A275)&lt;&gt;1)),"work",(INDEX(Subject!$A:$I,MATCH(RANDBETWEEN(1,(MAX(Subject!$B:$B))),Subject!$B:$B,0),3))))</f>
        <v/>
      </c>
      <c r="O275" s="2" t="str">
        <f t="array" ref="O275">IF(NOW()&gt;AZ275,"",IF(AND((WEEKDAY($A275)+$B$2)&gt;1,((WEEKDAY($A275)+$T$2)&lt;7),(WEEKDAY($A275)&lt;&gt;1)),"work",(INDEX(Subject!$A:$I,MATCH(RANDBETWEEN(1,(MAX(Subject!$B:$B))),Subject!$B:$B,0),3))))</f>
        <v/>
      </c>
      <c r="P275" s="2" t="str">
        <f t="array" ref="P275">IF(NOW()&gt;BA275,"",IF(AND((WEEKDAY($A275)+$B$2)&gt;1,((WEEKDAY($A275)+$T$2)&lt;7),(WEEKDAY($A275)&lt;&gt;1)),"work",(INDEX(Subject!$A:$I,MATCH(RANDBETWEEN(1,(MAX(Subject!$B:$B))),Subject!$B:$B,0),3))))</f>
        <v/>
      </c>
      <c r="Q275" s="2" t="str">
        <f t="array" ref="Q275">IF(NOW()&gt;BB275,"",IF(AND((WEEKDAY($A275)+$B$2)&gt;1,((WEEKDAY($A275)+$T$2)&lt;7),(WEEKDAY($A275)&lt;&gt;1)),"work",(INDEX(Subject!$A:$I,MATCH(RANDBETWEEN(1,(MAX(Subject!$B:$B))),Subject!$B:$B,0),3))))</f>
        <v/>
      </c>
      <c r="R275" s="2" t="str">
        <f t="array" ref="R275">IF(NOW()&gt;BC275,"",IF(AND((WEEKDAY($A275)+$B$2)&gt;1,((WEEKDAY($A275)+$T$2)&lt;7),(WEEKDAY($A275)&lt;&gt;1)),"work",(INDEX(Subject!$A:$I,MATCH(RANDBETWEEN(1,(MAX(Subject!$B:$B))),Subject!$B:$B,0),3))))</f>
        <v/>
      </c>
      <c r="S275" s="2" t="str">
        <f t="array" ref="S275">IF(NOW()&gt;BD275,"",IF(AND((WEEKDAY($A275)+$B$2)&gt;1,((WEEKDAY($A275)+$T$2)&lt;7),(WEEKDAY($A275)&lt;&gt;1)),"work",(INDEX(Subject!$A:$I,MATCH(RANDBETWEEN(1,(MAX(Subject!$B:$B))),Subject!$B:$B,0),3))))</f>
        <v/>
      </c>
      <c r="T275" s="2" t="str">
        <f t="array" ref="T275">IF(NOW()&gt;BE275,"",IF(AND((WEEKDAY($A275)+$B$2)&gt;1,((WEEKDAY($A275)+$T$2)&lt;7),(WEEKDAY($A275)&lt;&gt;1)),"work",(INDEX(Subject!$A:$I,MATCH(RANDBETWEEN(1,(MAX(Subject!$B:$B))),Subject!$B:$B,0),3))))</f>
        <v/>
      </c>
      <c r="U275" s="8" t="str">
        <f t="array" ref="U275">INDEX(Subject!$A:$I,MATCH(RANDBETWEEN(1,16),Subject!$B:$B,0),3)</f>
        <v>#N/A</v>
      </c>
      <c r="V275" s="8" t="str">
        <f t="array" ref="V275">INDEX(Subject!$A:$I,MATCH(RANDBETWEEN(1,16),Subject!$B:$B,0),3)</f>
        <v>#N/A</v>
      </c>
      <c r="W275" s="8" t="str">
        <f t="array" ref="W275">INDEX(Subject!$A:$I,MATCH(RANDBETWEEN(1,16),Subject!$B:$B,0),3)</f>
        <v>#N/A</v>
      </c>
      <c r="X275" s="8" t="str">
        <f t="array" ref="X275">INDEX(Subject!$A:$I,MATCH(RANDBETWEEN(1,16),Subject!$B:$B,0),3)</f>
        <v>#N/A</v>
      </c>
      <c r="Y275" s="8" t="str">
        <f t="array" ref="Y275">INDEX(Subject!$A:$I,MATCH(RANDBETWEEN(1,16),Subject!$B:$B,0),3)</f>
        <v>#N/A</v>
      </c>
      <c r="Z275" s="8" t="str">
        <f t="array" ref="Z275">INDEX(Subject!$A:$I,MATCH(RANDBETWEEN(1,16),Subject!$B:$B,0),3)</f>
        <v/>
      </c>
      <c r="AA275" s="8" t="str">
        <f t="array" ref="AA275">INDEX(Subject!$A:$I,MATCH(RANDBETWEEN(1,16),Subject!$B:$B,0),3)</f>
        <v>#N/A</v>
      </c>
      <c r="AB275" s="8" t="str">
        <f t="array" ref="AB275">INDEX(Subject!$A:$I,MATCH(RANDBETWEEN(1,16),Subject!$B:$B,0),3)</f>
        <v>#N/A</v>
      </c>
      <c r="AC275" s="8" t="str">
        <f t="array" ref="AC275">INDEX(Subject!$A:$I,MATCH(RANDBETWEEN(1,16),Subject!$B:$B,0),3)</f>
        <v>#N/A</v>
      </c>
      <c r="AD275" s="8" t="str">
        <f t="array" ref="AD275">INDEX(Subject!$A:$I,MATCH(RANDBETWEEN(1,16),Subject!$B:$B,0),3)</f>
        <v>#N/A</v>
      </c>
      <c r="AE275" s="8" t="str">
        <f t="array" ref="AE275">INDEX(Subject!$A:$I,MATCH(RANDBETWEEN(1,16),Subject!$B:$B,0),3)</f>
        <v>#N/A</v>
      </c>
      <c r="AF275" s="8" t="str">
        <f t="array" ref="AF275">INDEX(Subject!$A:$I,MATCH(RANDBETWEEN(1,16),Subject!$B:$B,0),3)</f>
        <v>#N/A</v>
      </c>
      <c r="AG275" s="8" t="str">
        <f t="array" ref="AG275">INDEX(Subject!$A:$I,MATCH(RANDBETWEEN(1,16),Subject!$B:$B,0),3)</f>
        <v>#N/A</v>
      </c>
      <c r="AH275" s="8" t="str">
        <f t="array" ref="AH275">INDEX(Subject!$A:$I,MATCH(RANDBETWEEN(1,16),Subject!$B:$B,0),3)</f>
        <v>#N/A</v>
      </c>
      <c r="AI275" s="8" t="str">
        <f t="array" ref="AI275">INDEX(Subject!$A:$I,MATCH(RANDBETWEEN(1,16),Subject!$B:$B,0),3)</f>
        <v>#N/A</v>
      </c>
      <c r="AJ275" s="8" t="str">
        <f t="array" ref="AJ275">INDEX(Subject!$A:$I,MATCH(RANDBETWEEN(1,16),Subject!$B:$B,0),3)</f>
        <v>#N/A</v>
      </c>
      <c r="AK275" s="8" t="str">
        <f t="array" ref="AK275">INDEX(Subject!$A:$I,MATCH(RANDBETWEEN(1,16),Subject!$B:$B,0),3)</f>
        <v/>
      </c>
      <c r="AL275" s="8" t="str">
        <f t="array" ref="AL275">INDEX(Subject!$A:$I,MATCH(RANDBETWEEN(1,16),Subject!$B:$B,0),3)</f>
        <v>#N/A</v>
      </c>
      <c r="AM275" s="18">
        <f t="shared" si="4"/>
        <v>45775.33333</v>
      </c>
      <c r="AN275" s="19">
        <f t="shared" ref="AN275:BZ275" si="275">$A275+C$1</f>
        <v>45775.35417</v>
      </c>
      <c r="AO275" s="19">
        <f t="shared" si="275"/>
        <v>45775.375</v>
      </c>
      <c r="AP275" s="19">
        <f t="shared" si="275"/>
        <v>45775.39583</v>
      </c>
      <c r="AQ275" s="19">
        <f t="shared" si="275"/>
        <v>45775.41667</v>
      </c>
      <c r="AR275" s="19">
        <f t="shared" si="275"/>
        <v>45775.4375</v>
      </c>
      <c r="AS275" s="19">
        <f t="shared" si="275"/>
        <v>45775.45833</v>
      </c>
      <c r="AT275" s="19">
        <f t="shared" si="275"/>
        <v>45775.47917</v>
      </c>
      <c r="AU275" s="19">
        <f t="shared" si="275"/>
        <v>45775.5</v>
      </c>
      <c r="AV275" s="19">
        <f t="shared" si="275"/>
        <v>45775.52083</v>
      </c>
      <c r="AW275" s="19">
        <f t="shared" si="275"/>
        <v>45775.54167</v>
      </c>
      <c r="AX275" s="19">
        <f t="shared" si="275"/>
        <v>45775.5625</v>
      </c>
      <c r="AY275" s="19">
        <f t="shared" si="275"/>
        <v>45775.58333</v>
      </c>
      <c r="AZ275" s="19">
        <f t="shared" si="275"/>
        <v>45775.60417</v>
      </c>
      <c r="BA275" s="19">
        <f t="shared" si="275"/>
        <v>45775.625</v>
      </c>
      <c r="BB275" s="19">
        <f t="shared" si="275"/>
        <v>45775.64583</v>
      </c>
      <c r="BC275" s="19">
        <f t="shared" si="275"/>
        <v>45775.66667</v>
      </c>
      <c r="BD275" s="19">
        <f t="shared" si="275"/>
        <v>45775.6875</v>
      </c>
      <c r="BE275" s="19">
        <f t="shared" si="275"/>
        <v>45775.70833</v>
      </c>
      <c r="BF275" s="19">
        <f t="shared" si="275"/>
        <v>45775.72917</v>
      </c>
      <c r="BG275" s="19">
        <f t="shared" si="275"/>
        <v>45775.75</v>
      </c>
      <c r="BH275" s="19">
        <f t="shared" si="275"/>
        <v>45775.77083</v>
      </c>
      <c r="BI275" s="19">
        <f t="shared" si="275"/>
        <v>45775.79167</v>
      </c>
      <c r="BJ275" s="19">
        <f t="shared" si="275"/>
        <v>45775.8125</v>
      </c>
      <c r="BK275" s="19">
        <f t="shared" si="275"/>
        <v>45775.83333</v>
      </c>
      <c r="BL275" s="19">
        <f t="shared" si="275"/>
        <v>45775.85417</v>
      </c>
      <c r="BM275" s="19">
        <f t="shared" si="275"/>
        <v>45775.875</v>
      </c>
      <c r="BN275" s="19">
        <f t="shared" si="275"/>
        <v>45775.89583</v>
      </c>
      <c r="BO275" s="19">
        <f t="shared" si="275"/>
        <v>45775.91667</v>
      </c>
      <c r="BP275" s="19">
        <f t="shared" si="275"/>
        <v>45775.9375</v>
      </c>
      <c r="BQ275" s="19">
        <f t="shared" si="275"/>
        <v>45775.95833</v>
      </c>
      <c r="BR275" s="19">
        <f t="shared" si="275"/>
        <v>45775.97917</v>
      </c>
      <c r="BS275" s="19">
        <f t="shared" si="275"/>
        <v>45776</v>
      </c>
      <c r="BT275" s="19">
        <f t="shared" si="275"/>
        <v>45776.02083</v>
      </c>
      <c r="BU275" s="19">
        <f t="shared" si="275"/>
        <v>45776.04167</v>
      </c>
      <c r="BV275" s="19">
        <f t="shared" si="275"/>
        <v>45776.0625</v>
      </c>
      <c r="BW275" s="19">
        <f t="shared" si="275"/>
        <v>45776.08333</v>
      </c>
      <c r="BX275" s="19">
        <f t="shared" si="275"/>
        <v>45775</v>
      </c>
      <c r="BY275" s="19">
        <f t="shared" si="275"/>
        <v>45775</v>
      </c>
      <c r="BZ275" s="19">
        <f t="shared" si="275"/>
        <v>45775</v>
      </c>
    </row>
    <row r="276" ht="14.25" customHeight="1">
      <c r="A276" s="17">
        <v>45776.0</v>
      </c>
      <c r="B276" s="2" t="str">
        <f t="array" ref="B276">IF(NOW()&gt;AM276,"",IF(AND((WEEKDAY($A276)+$B$2)&gt;1,((WEEKDAY($A276)+$T$2)&lt;7),(WEEKDAY($A276)&lt;&gt;1)),"work",(INDEX(Subject!$A:$I,MATCH(RANDBETWEEN(1,(MAX(Subject!$B:$B))),Subject!$B:$B,0),3))))</f>
        <v/>
      </c>
      <c r="C276" s="2" t="str">
        <f t="array" ref="C276">IF(NOW()&gt;AN276,"",IF(AND((WEEKDAY($A276)+$B$2)&gt;1,((WEEKDAY($A276)+$T$2)&lt;7),(WEEKDAY($A276)&lt;&gt;1)),"work",(INDEX(Subject!$A:$I,MATCH(RANDBETWEEN(1,(MAX(Subject!$B:$B))),Subject!$B:$B,0),3))))</f>
        <v/>
      </c>
      <c r="D276" s="2" t="str">
        <f t="array" ref="D276">IF(NOW()&gt;AO276,"",IF(AND((WEEKDAY($A276)+$B$2)&gt;1,((WEEKDAY($A276)+$T$2)&lt;7),(WEEKDAY($A276)&lt;&gt;1)),"work",(INDEX(Subject!$A:$I,MATCH(RANDBETWEEN(1,(MAX(Subject!$B:$B))),Subject!$B:$B,0),3))))</f>
        <v/>
      </c>
      <c r="E276" s="2" t="str">
        <f t="array" ref="E276">IF(NOW()&gt;AP276,"",IF(AND((WEEKDAY($A276)+$B$2)&gt;1,((WEEKDAY($A276)+$T$2)&lt;7),(WEEKDAY($A276)&lt;&gt;1)),"work",(INDEX(Subject!$A:$I,MATCH(RANDBETWEEN(1,(MAX(Subject!$B:$B))),Subject!$B:$B,0),3))))</f>
        <v/>
      </c>
      <c r="F276" s="2" t="str">
        <f t="array" ref="F276">IF(NOW()&gt;AQ276,"",IF(AND((WEEKDAY($A276)+$B$2)&gt;1,((WEEKDAY($A276)+$T$2)&lt;7),(WEEKDAY($A276)&lt;&gt;1)),"work",(INDEX(Subject!$A:$I,MATCH(RANDBETWEEN(1,(MAX(Subject!$B:$B))),Subject!$B:$B,0),3))))</f>
        <v/>
      </c>
      <c r="G276" s="2" t="str">
        <f t="array" ref="G276">IF(NOW()&gt;AR276,"",IF(AND((WEEKDAY($A276)+$B$2)&gt;1,((WEEKDAY($A276)+$T$2)&lt;7),(WEEKDAY($A276)&lt;&gt;1)),"work",(INDEX(Subject!$A:$I,MATCH(RANDBETWEEN(1,(MAX(Subject!$B:$B))),Subject!$B:$B,0),3))))</f>
        <v/>
      </c>
      <c r="H276" s="2" t="str">
        <f t="array" ref="H276">IF(NOW()&gt;AS276,"",IF(AND((WEEKDAY($A276)+$B$2)&gt;1,((WEEKDAY($A276)+$T$2)&lt;7),(WEEKDAY($A276)&lt;&gt;1)),"work",(INDEX(Subject!$A:$I,MATCH(RANDBETWEEN(1,(MAX(Subject!$B:$B))),Subject!$B:$B,0),3))))</f>
        <v/>
      </c>
      <c r="I276" s="2" t="str">
        <f t="array" ref="I276">IF(NOW()&gt;AT276,"",IF(AND((WEEKDAY($A276)+$B$2)&gt;1,((WEEKDAY($A276)+$T$2)&lt;7),(WEEKDAY($A276)&lt;&gt;1)),"work",(INDEX(Subject!$A:$I,MATCH(RANDBETWEEN(1,(MAX(Subject!$B:$B))),Subject!$B:$B,0),3))))</f>
        <v/>
      </c>
      <c r="J276" s="2" t="str">
        <f t="array" ref="J276">IF(NOW()&gt;AU276,"",IF(AND((WEEKDAY($A276)+$B$2)&gt;1,((WEEKDAY($A276)+$T$2)&lt;7),(WEEKDAY($A276)&lt;&gt;1)),"work",(INDEX(Subject!$A:$I,MATCH(RANDBETWEEN(1,(MAX(Subject!$B:$B))),Subject!$B:$B,0),3))))</f>
        <v/>
      </c>
      <c r="K276" s="2" t="str">
        <f t="array" ref="K276">IF(NOW()&gt;AV276,"",IF(AND((WEEKDAY($A276)+$B$2)&gt;1,((WEEKDAY($A276)+$T$2)&lt;7),(WEEKDAY($A276)&lt;&gt;1)),"work",(INDEX(Subject!$A:$I,MATCH(RANDBETWEEN(1,(MAX(Subject!$B:$B))),Subject!$B:$B,0),3))))</f>
        <v/>
      </c>
      <c r="L276" s="2" t="str">
        <f t="array" ref="L276">IF(NOW()&gt;AW276,"",IF(AND((WEEKDAY($A276)+$B$2)&gt;1,((WEEKDAY($A276)+$T$2)&lt;7),(WEEKDAY($A276)&lt;&gt;1)),"work",(INDEX(Subject!$A:$I,MATCH(RANDBETWEEN(1,(MAX(Subject!$B:$B))),Subject!$B:$B,0),3))))</f>
        <v/>
      </c>
      <c r="M276" s="2" t="str">
        <f t="array" ref="M276">IF(NOW()&gt;AX276,"",IF(AND((WEEKDAY($A276)+$B$2)&gt;1,((WEEKDAY($A276)+$T$2)&lt;7),(WEEKDAY($A276)&lt;&gt;1)),"work",(INDEX(Subject!$A:$I,MATCH(RANDBETWEEN(1,(MAX(Subject!$B:$B))),Subject!$B:$B,0),3))))</f>
        <v/>
      </c>
      <c r="N276" s="2" t="str">
        <f t="array" ref="N276">IF(NOW()&gt;AY276,"",IF(AND((WEEKDAY($A276)+$B$2)&gt;1,((WEEKDAY($A276)+$T$2)&lt;7),(WEEKDAY($A276)&lt;&gt;1)),"work",(INDEX(Subject!$A:$I,MATCH(RANDBETWEEN(1,(MAX(Subject!$B:$B))),Subject!$B:$B,0),3))))</f>
        <v/>
      </c>
      <c r="O276" s="2" t="str">
        <f t="array" ref="O276">IF(NOW()&gt;AZ276,"",IF(AND((WEEKDAY($A276)+$B$2)&gt;1,((WEEKDAY($A276)+$T$2)&lt;7),(WEEKDAY($A276)&lt;&gt;1)),"work",(INDEX(Subject!$A:$I,MATCH(RANDBETWEEN(1,(MAX(Subject!$B:$B))),Subject!$B:$B,0),3))))</f>
        <v/>
      </c>
      <c r="P276" s="2" t="str">
        <f t="array" ref="P276">IF(NOW()&gt;BA276,"",IF(AND((WEEKDAY($A276)+$B$2)&gt;1,((WEEKDAY($A276)+$T$2)&lt;7),(WEEKDAY($A276)&lt;&gt;1)),"work",(INDEX(Subject!$A:$I,MATCH(RANDBETWEEN(1,(MAX(Subject!$B:$B))),Subject!$B:$B,0),3))))</f>
        <v/>
      </c>
      <c r="Q276" s="2" t="str">
        <f t="array" ref="Q276">IF(NOW()&gt;BB276,"",IF(AND((WEEKDAY($A276)+$B$2)&gt;1,((WEEKDAY($A276)+$T$2)&lt;7),(WEEKDAY($A276)&lt;&gt;1)),"work",(INDEX(Subject!$A:$I,MATCH(RANDBETWEEN(1,(MAX(Subject!$B:$B))),Subject!$B:$B,0),3))))</f>
        <v/>
      </c>
      <c r="R276" s="2" t="str">
        <f t="array" ref="R276">IF(NOW()&gt;BC276,"",IF(AND((WEEKDAY($A276)+$B$2)&gt;1,((WEEKDAY($A276)+$T$2)&lt;7),(WEEKDAY($A276)&lt;&gt;1)),"work",(INDEX(Subject!$A:$I,MATCH(RANDBETWEEN(1,(MAX(Subject!$B:$B))),Subject!$B:$B,0),3))))</f>
        <v/>
      </c>
      <c r="S276" s="2" t="str">
        <f t="array" ref="S276">IF(NOW()&gt;BD276,"",IF(AND((WEEKDAY($A276)+$B$2)&gt;1,((WEEKDAY($A276)+$T$2)&lt;7),(WEEKDAY($A276)&lt;&gt;1)),"work",(INDEX(Subject!$A:$I,MATCH(RANDBETWEEN(1,(MAX(Subject!$B:$B))),Subject!$B:$B,0),3))))</f>
        <v/>
      </c>
      <c r="T276" s="2" t="str">
        <f t="array" ref="T276">IF(NOW()&gt;BE276,"",IF(AND((WEEKDAY($A276)+$B$2)&gt;1,((WEEKDAY($A276)+$T$2)&lt;7),(WEEKDAY($A276)&lt;&gt;1)),"work",(INDEX(Subject!$A:$I,MATCH(RANDBETWEEN(1,(MAX(Subject!$B:$B))),Subject!$B:$B,0),3))))</f>
        <v/>
      </c>
      <c r="U276" s="8" t="str">
        <f t="array" ref="U276">INDEX(Subject!$A:$I,MATCH(RANDBETWEEN(1,16),Subject!$B:$B,0),3)</f>
        <v>#N/A</v>
      </c>
      <c r="V276" s="8" t="str">
        <f t="array" ref="V276">INDEX(Subject!$A:$I,MATCH(RANDBETWEEN(1,16),Subject!$B:$B,0),3)</f>
        <v>#N/A</v>
      </c>
      <c r="W276" s="8" t="str">
        <f t="array" ref="W276">INDEX(Subject!$A:$I,MATCH(RANDBETWEEN(1,16),Subject!$B:$B,0),3)</f>
        <v>#N/A</v>
      </c>
      <c r="X276" s="8" t="str">
        <f t="array" ref="X276">INDEX(Subject!$A:$I,MATCH(RANDBETWEEN(1,16),Subject!$B:$B,0),3)</f>
        <v>#N/A</v>
      </c>
      <c r="Y276" s="8" t="str">
        <f t="array" ref="Y276">INDEX(Subject!$A:$I,MATCH(RANDBETWEEN(1,16),Subject!$B:$B,0),3)</f>
        <v>#N/A</v>
      </c>
      <c r="Z276" s="8" t="str">
        <f t="array" ref="Z276">INDEX(Subject!$A:$I,MATCH(RANDBETWEEN(1,16),Subject!$B:$B,0),3)</f>
        <v>#N/A</v>
      </c>
      <c r="AA276" s="8" t="str">
        <f t="array" ref="AA276">INDEX(Subject!$A:$I,MATCH(RANDBETWEEN(1,16),Subject!$B:$B,0),3)</f>
        <v>#N/A</v>
      </c>
      <c r="AB276" s="8" t="str">
        <f t="array" ref="AB276">INDEX(Subject!$A:$I,MATCH(RANDBETWEEN(1,16),Subject!$B:$B,0),3)</f>
        <v>#N/A</v>
      </c>
      <c r="AC276" s="8" t="str">
        <f t="array" ref="AC276">INDEX(Subject!$A:$I,MATCH(RANDBETWEEN(1,16),Subject!$B:$B,0),3)</f>
        <v>#N/A</v>
      </c>
      <c r="AD276" s="8" t="str">
        <f t="array" ref="AD276">INDEX(Subject!$A:$I,MATCH(RANDBETWEEN(1,16),Subject!$B:$B,0),3)</f>
        <v>#N/A</v>
      </c>
      <c r="AE276" s="8" t="str">
        <f t="array" ref="AE276">INDEX(Subject!$A:$I,MATCH(RANDBETWEEN(1,16),Subject!$B:$B,0),3)</f>
        <v>#N/A</v>
      </c>
      <c r="AF276" s="8" t="str">
        <f t="array" ref="AF276">INDEX(Subject!$A:$I,MATCH(RANDBETWEEN(1,16),Subject!$B:$B,0),3)</f>
        <v>#N/A</v>
      </c>
      <c r="AG276" s="8" t="str">
        <f t="array" ref="AG276">INDEX(Subject!$A:$I,MATCH(RANDBETWEEN(1,16),Subject!$B:$B,0),3)</f>
        <v>#N/A</v>
      </c>
      <c r="AH276" s="8" t="str">
        <f t="array" ref="AH276">INDEX(Subject!$A:$I,MATCH(RANDBETWEEN(1,16),Subject!$B:$B,0),3)</f>
        <v>#N/A</v>
      </c>
      <c r="AI276" s="8" t="str">
        <f t="array" ref="AI276">INDEX(Subject!$A:$I,MATCH(RANDBETWEEN(1,16),Subject!$B:$B,0),3)</f>
        <v>#N/A</v>
      </c>
      <c r="AJ276" s="8" t="str">
        <f t="array" ref="AJ276">INDEX(Subject!$A:$I,MATCH(RANDBETWEEN(1,16),Subject!$B:$B,0),3)</f>
        <v>#N/A</v>
      </c>
      <c r="AK276" s="8" t="str">
        <f t="array" ref="AK276">INDEX(Subject!$A:$I,MATCH(RANDBETWEEN(1,16),Subject!$B:$B,0),3)</f>
        <v>#N/A</v>
      </c>
      <c r="AL276" s="8" t="str">
        <f t="array" ref="AL276">INDEX(Subject!$A:$I,MATCH(RANDBETWEEN(1,16),Subject!$B:$B,0),3)</f>
        <v>#N/A</v>
      </c>
      <c r="AM276" s="18">
        <f t="shared" si="4"/>
        <v>45776.33333</v>
      </c>
      <c r="AN276" s="19">
        <f t="shared" ref="AN276:BZ276" si="276">$A276+C$1</f>
        <v>45776.35417</v>
      </c>
      <c r="AO276" s="19">
        <f t="shared" si="276"/>
        <v>45776.375</v>
      </c>
      <c r="AP276" s="19">
        <f t="shared" si="276"/>
        <v>45776.39583</v>
      </c>
      <c r="AQ276" s="19">
        <f t="shared" si="276"/>
        <v>45776.41667</v>
      </c>
      <c r="AR276" s="19">
        <f t="shared" si="276"/>
        <v>45776.4375</v>
      </c>
      <c r="AS276" s="19">
        <f t="shared" si="276"/>
        <v>45776.45833</v>
      </c>
      <c r="AT276" s="19">
        <f t="shared" si="276"/>
        <v>45776.47917</v>
      </c>
      <c r="AU276" s="19">
        <f t="shared" si="276"/>
        <v>45776.5</v>
      </c>
      <c r="AV276" s="19">
        <f t="shared" si="276"/>
        <v>45776.52083</v>
      </c>
      <c r="AW276" s="19">
        <f t="shared" si="276"/>
        <v>45776.54167</v>
      </c>
      <c r="AX276" s="19">
        <f t="shared" si="276"/>
        <v>45776.5625</v>
      </c>
      <c r="AY276" s="19">
        <f t="shared" si="276"/>
        <v>45776.58333</v>
      </c>
      <c r="AZ276" s="19">
        <f t="shared" si="276"/>
        <v>45776.60417</v>
      </c>
      <c r="BA276" s="19">
        <f t="shared" si="276"/>
        <v>45776.625</v>
      </c>
      <c r="BB276" s="19">
        <f t="shared" si="276"/>
        <v>45776.64583</v>
      </c>
      <c r="BC276" s="19">
        <f t="shared" si="276"/>
        <v>45776.66667</v>
      </c>
      <c r="BD276" s="19">
        <f t="shared" si="276"/>
        <v>45776.6875</v>
      </c>
      <c r="BE276" s="19">
        <f t="shared" si="276"/>
        <v>45776.70833</v>
      </c>
      <c r="BF276" s="19">
        <f t="shared" si="276"/>
        <v>45776.72917</v>
      </c>
      <c r="BG276" s="19">
        <f t="shared" si="276"/>
        <v>45776.75</v>
      </c>
      <c r="BH276" s="19">
        <f t="shared" si="276"/>
        <v>45776.77083</v>
      </c>
      <c r="BI276" s="19">
        <f t="shared" si="276"/>
        <v>45776.79167</v>
      </c>
      <c r="BJ276" s="19">
        <f t="shared" si="276"/>
        <v>45776.8125</v>
      </c>
      <c r="BK276" s="19">
        <f t="shared" si="276"/>
        <v>45776.83333</v>
      </c>
      <c r="BL276" s="19">
        <f t="shared" si="276"/>
        <v>45776.85417</v>
      </c>
      <c r="BM276" s="19">
        <f t="shared" si="276"/>
        <v>45776.875</v>
      </c>
      <c r="BN276" s="19">
        <f t="shared" si="276"/>
        <v>45776.89583</v>
      </c>
      <c r="BO276" s="19">
        <f t="shared" si="276"/>
        <v>45776.91667</v>
      </c>
      <c r="BP276" s="19">
        <f t="shared" si="276"/>
        <v>45776.9375</v>
      </c>
      <c r="BQ276" s="19">
        <f t="shared" si="276"/>
        <v>45776.95833</v>
      </c>
      <c r="BR276" s="19">
        <f t="shared" si="276"/>
        <v>45776.97917</v>
      </c>
      <c r="BS276" s="19">
        <f t="shared" si="276"/>
        <v>45777</v>
      </c>
      <c r="BT276" s="19">
        <f t="shared" si="276"/>
        <v>45777.02083</v>
      </c>
      <c r="BU276" s="19">
        <f t="shared" si="276"/>
        <v>45777.04167</v>
      </c>
      <c r="BV276" s="19">
        <f t="shared" si="276"/>
        <v>45777.0625</v>
      </c>
      <c r="BW276" s="19">
        <f t="shared" si="276"/>
        <v>45777.08333</v>
      </c>
      <c r="BX276" s="19">
        <f t="shared" si="276"/>
        <v>45776</v>
      </c>
      <c r="BY276" s="19">
        <f t="shared" si="276"/>
        <v>45776</v>
      </c>
      <c r="BZ276" s="19">
        <f t="shared" si="276"/>
        <v>45776</v>
      </c>
    </row>
    <row r="277" ht="14.25" customHeight="1">
      <c r="A277" s="17">
        <v>45777.0</v>
      </c>
      <c r="B277" s="2" t="str">
        <f t="array" ref="B277">IF(NOW()&gt;AM277,"",IF(AND((WEEKDAY($A277)+$B$2)&gt;1,((WEEKDAY($A277)+$T$2)&lt;7),(WEEKDAY($A277)&lt;&gt;1)),"work",(INDEX(Subject!$A:$I,MATCH(RANDBETWEEN(1,(MAX(Subject!$B:$B))),Subject!$B:$B,0),3))))</f>
        <v/>
      </c>
      <c r="C277" s="2" t="str">
        <f t="array" ref="C277">IF(NOW()&gt;AN277,"",IF(AND((WEEKDAY($A277)+$B$2)&gt;1,((WEEKDAY($A277)+$T$2)&lt;7),(WEEKDAY($A277)&lt;&gt;1)),"work",(INDEX(Subject!$A:$I,MATCH(RANDBETWEEN(1,(MAX(Subject!$B:$B))),Subject!$B:$B,0),3))))</f>
        <v/>
      </c>
      <c r="D277" s="2" t="str">
        <f t="array" ref="D277">IF(NOW()&gt;AO277,"",IF(AND((WEEKDAY($A277)+$B$2)&gt;1,((WEEKDAY($A277)+$T$2)&lt;7),(WEEKDAY($A277)&lt;&gt;1)),"work",(INDEX(Subject!$A:$I,MATCH(RANDBETWEEN(1,(MAX(Subject!$B:$B))),Subject!$B:$B,0),3))))</f>
        <v/>
      </c>
      <c r="E277" s="2" t="str">
        <f t="array" ref="E277">IF(NOW()&gt;AP277,"",IF(AND((WEEKDAY($A277)+$B$2)&gt;1,((WEEKDAY($A277)+$T$2)&lt;7),(WEEKDAY($A277)&lt;&gt;1)),"work",(INDEX(Subject!$A:$I,MATCH(RANDBETWEEN(1,(MAX(Subject!$B:$B))),Subject!$B:$B,0),3))))</f>
        <v/>
      </c>
      <c r="F277" s="2" t="str">
        <f t="array" ref="F277">IF(NOW()&gt;AQ277,"",IF(AND((WEEKDAY($A277)+$B$2)&gt;1,((WEEKDAY($A277)+$T$2)&lt;7),(WEEKDAY($A277)&lt;&gt;1)),"work",(INDEX(Subject!$A:$I,MATCH(RANDBETWEEN(1,(MAX(Subject!$B:$B))),Subject!$B:$B,0),3))))</f>
        <v/>
      </c>
      <c r="G277" s="2" t="str">
        <f t="array" ref="G277">IF(NOW()&gt;AR277,"",IF(AND((WEEKDAY($A277)+$B$2)&gt;1,((WEEKDAY($A277)+$T$2)&lt;7),(WEEKDAY($A277)&lt;&gt;1)),"work",(INDEX(Subject!$A:$I,MATCH(RANDBETWEEN(1,(MAX(Subject!$B:$B))),Subject!$B:$B,0),3))))</f>
        <v/>
      </c>
      <c r="H277" s="2" t="str">
        <f t="array" ref="H277">IF(NOW()&gt;AS277,"",IF(AND((WEEKDAY($A277)+$B$2)&gt;1,((WEEKDAY($A277)+$T$2)&lt;7),(WEEKDAY($A277)&lt;&gt;1)),"work",(INDEX(Subject!$A:$I,MATCH(RANDBETWEEN(1,(MAX(Subject!$B:$B))),Subject!$B:$B,0),3))))</f>
        <v/>
      </c>
      <c r="I277" s="2" t="str">
        <f t="array" ref="I277">IF(NOW()&gt;AT277,"",IF(AND((WEEKDAY($A277)+$B$2)&gt;1,((WEEKDAY($A277)+$T$2)&lt;7),(WEEKDAY($A277)&lt;&gt;1)),"work",(INDEX(Subject!$A:$I,MATCH(RANDBETWEEN(1,(MAX(Subject!$B:$B))),Subject!$B:$B,0),3))))</f>
        <v/>
      </c>
      <c r="J277" s="2" t="str">
        <f t="array" ref="J277">IF(NOW()&gt;AU277,"",IF(AND((WEEKDAY($A277)+$B$2)&gt;1,((WEEKDAY($A277)+$T$2)&lt;7),(WEEKDAY($A277)&lt;&gt;1)),"work",(INDEX(Subject!$A:$I,MATCH(RANDBETWEEN(1,(MAX(Subject!$B:$B))),Subject!$B:$B,0),3))))</f>
        <v/>
      </c>
      <c r="K277" s="2" t="str">
        <f t="array" ref="K277">IF(NOW()&gt;AV277,"",IF(AND((WEEKDAY($A277)+$B$2)&gt;1,((WEEKDAY($A277)+$T$2)&lt;7),(WEEKDAY($A277)&lt;&gt;1)),"work",(INDEX(Subject!$A:$I,MATCH(RANDBETWEEN(1,(MAX(Subject!$B:$B))),Subject!$B:$B,0),3))))</f>
        <v/>
      </c>
      <c r="L277" s="2" t="str">
        <f t="array" ref="L277">IF(NOW()&gt;AW277,"",IF(AND((WEEKDAY($A277)+$B$2)&gt;1,((WEEKDAY($A277)+$T$2)&lt;7),(WEEKDAY($A277)&lt;&gt;1)),"work",(INDEX(Subject!$A:$I,MATCH(RANDBETWEEN(1,(MAX(Subject!$B:$B))),Subject!$B:$B,0),3))))</f>
        <v/>
      </c>
      <c r="M277" s="2" t="str">
        <f t="array" ref="M277">IF(NOW()&gt;AX277,"",IF(AND((WEEKDAY($A277)+$B$2)&gt;1,((WEEKDAY($A277)+$T$2)&lt;7),(WEEKDAY($A277)&lt;&gt;1)),"work",(INDEX(Subject!$A:$I,MATCH(RANDBETWEEN(1,(MAX(Subject!$B:$B))),Subject!$B:$B,0),3))))</f>
        <v/>
      </c>
      <c r="N277" s="2" t="str">
        <f t="array" ref="N277">IF(NOW()&gt;AY277,"",IF(AND((WEEKDAY($A277)+$B$2)&gt;1,((WEEKDAY($A277)+$T$2)&lt;7),(WEEKDAY($A277)&lt;&gt;1)),"work",(INDEX(Subject!$A:$I,MATCH(RANDBETWEEN(1,(MAX(Subject!$B:$B))),Subject!$B:$B,0),3))))</f>
        <v/>
      </c>
      <c r="O277" s="2" t="str">
        <f t="array" ref="O277">IF(NOW()&gt;AZ277,"",IF(AND((WEEKDAY($A277)+$B$2)&gt;1,((WEEKDAY($A277)+$T$2)&lt;7),(WEEKDAY($A277)&lt;&gt;1)),"work",(INDEX(Subject!$A:$I,MATCH(RANDBETWEEN(1,(MAX(Subject!$B:$B))),Subject!$B:$B,0),3))))</f>
        <v/>
      </c>
      <c r="P277" s="2" t="str">
        <f t="array" ref="P277">IF(NOW()&gt;BA277,"",IF(AND((WEEKDAY($A277)+$B$2)&gt;1,((WEEKDAY($A277)+$T$2)&lt;7),(WEEKDAY($A277)&lt;&gt;1)),"work",(INDEX(Subject!$A:$I,MATCH(RANDBETWEEN(1,(MAX(Subject!$B:$B))),Subject!$B:$B,0),3))))</f>
        <v/>
      </c>
      <c r="Q277" s="2" t="str">
        <f t="array" ref="Q277">IF(NOW()&gt;BB277,"",IF(AND((WEEKDAY($A277)+$B$2)&gt;1,((WEEKDAY($A277)+$T$2)&lt;7),(WEEKDAY($A277)&lt;&gt;1)),"work",(INDEX(Subject!$A:$I,MATCH(RANDBETWEEN(1,(MAX(Subject!$B:$B))),Subject!$B:$B,0),3))))</f>
        <v/>
      </c>
      <c r="R277" s="2" t="str">
        <f t="array" ref="R277">IF(NOW()&gt;BC277,"",IF(AND((WEEKDAY($A277)+$B$2)&gt;1,((WEEKDAY($A277)+$T$2)&lt;7),(WEEKDAY($A277)&lt;&gt;1)),"work",(INDEX(Subject!$A:$I,MATCH(RANDBETWEEN(1,(MAX(Subject!$B:$B))),Subject!$B:$B,0),3))))</f>
        <v/>
      </c>
      <c r="S277" s="2" t="str">
        <f t="array" ref="S277">IF(NOW()&gt;BD277,"",IF(AND((WEEKDAY($A277)+$B$2)&gt;1,((WEEKDAY($A277)+$T$2)&lt;7),(WEEKDAY($A277)&lt;&gt;1)),"work",(INDEX(Subject!$A:$I,MATCH(RANDBETWEEN(1,(MAX(Subject!$B:$B))),Subject!$B:$B,0),3))))</f>
        <v/>
      </c>
      <c r="T277" s="2" t="str">
        <f t="array" ref="T277">IF(NOW()&gt;BE277,"",IF(AND((WEEKDAY($A277)+$B$2)&gt;1,((WEEKDAY($A277)+$T$2)&lt;7),(WEEKDAY($A277)&lt;&gt;1)),"work",(INDEX(Subject!$A:$I,MATCH(RANDBETWEEN(1,(MAX(Subject!$B:$B))),Subject!$B:$B,0),3))))</f>
        <v/>
      </c>
      <c r="U277" s="8" t="str">
        <f t="array" ref="U277">INDEX(Subject!$A:$I,MATCH(RANDBETWEEN(1,16),Subject!$B:$B,0),3)</f>
        <v>#N/A</v>
      </c>
      <c r="V277" s="8" t="str">
        <f t="array" ref="V277">INDEX(Subject!$A:$I,MATCH(RANDBETWEEN(1,16),Subject!$B:$B,0),3)</f>
        <v>#N/A</v>
      </c>
      <c r="W277" s="8" t="str">
        <f t="array" ref="W277">INDEX(Subject!$A:$I,MATCH(RANDBETWEEN(1,16),Subject!$B:$B,0),3)</f>
        <v/>
      </c>
      <c r="X277" s="8" t="str">
        <f t="array" ref="X277">INDEX(Subject!$A:$I,MATCH(RANDBETWEEN(1,16),Subject!$B:$B,0),3)</f>
        <v>#N/A</v>
      </c>
      <c r="Y277" s="8" t="str">
        <f t="array" ref="Y277">INDEX(Subject!$A:$I,MATCH(RANDBETWEEN(1,16),Subject!$B:$B,0),3)</f>
        <v>#N/A</v>
      </c>
      <c r="Z277" s="8" t="str">
        <f t="array" ref="Z277">INDEX(Subject!$A:$I,MATCH(RANDBETWEEN(1,16),Subject!$B:$B,0),3)</f>
        <v>#N/A</v>
      </c>
      <c r="AA277" s="8" t="str">
        <f t="array" ref="AA277">INDEX(Subject!$A:$I,MATCH(RANDBETWEEN(1,16),Subject!$B:$B,0),3)</f>
        <v>#N/A</v>
      </c>
      <c r="AB277" s="8" t="str">
        <f t="array" ref="AB277">INDEX(Subject!$A:$I,MATCH(RANDBETWEEN(1,16),Subject!$B:$B,0),3)</f>
        <v>#N/A</v>
      </c>
      <c r="AC277" s="8" t="str">
        <f t="array" ref="AC277">INDEX(Subject!$A:$I,MATCH(RANDBETWEEN(1,16),Subject!$B:$B,0),3)</f>
        <v>#N/A</v>
      </c>
      <c r="AD277" s="8" t="str">
        <f t="array" ref="AD277">INDEX(Subject!$A:$I,MATCH(RANDBETWEEN(1,16),Subject!$B:$B,0),3)</f>
        <v>#N/A</v>
      </c>
      <c r="AE277" s="8" t="str">
        <f t="array" ref="AE277">INDEX(Subject!$A:$I,MATCH(RANDBETWEEN(1,16),Subject!$B:$B,0),3)</f>
        <v>#N/A</v>
      </c>
      <c r="AF277" s="8" t="str">
        <f t="array" ref="AF277">INDEX(Subject!$A:$I,MATCH(RANDBETWEEN(1,16),Subject!$B:$B,0),3)</f>
        <v/>
      </c>
      <c r="AG277" s="8" t="str">
        <f t="array" ref="AG277">INDEX(Subject!$A:$I,MATCH(RANDBETWEEN(1,16),Subject!$B:$B,0),3)</f>
        <v>#N/A</v>
      </c>
      <c r="AH277" s="8" t="str">
        <f t="array" ref="AH277">INDEX(Subject!$A:$I,MATCH(RANDBETWEEN(1,16),Subject!$B:$B,0),3)</f>
        <v>#N/A</v>
      </c>
      <c r="AI277" s="8" t="str">
        <f t="array" ref="AI277">INDEX(Subject!$A:$I,MATCH(RANDBETWEEN(1,16),Subject!$B:$B,0),3)</f>
        <v>#N/A</v>
      </c>
      <c r="AJ277" s="8" t="str">
        <f t="array" ref="AJ277">INDEX(Subject!$A:$I,MATCH(RANDBETWEEN(1,16),Subject!$B:$B,0),3)</f>
        <v>#N/A</v>
      </c>
      <c r="AK277" s="8" t="str">
        <f t="array" ref="AK277">INDEX(Subject!$A:$I,MATCH(RANDBETWEEN(1,16),Subject!$B:$B,0),3)</f>
        <v>#N/A</v>
      </c>
      <c r="AL277" s="8" t="str">
        <f t="array" ref="AL277">INDEX(Subject!$A:$I,MATCH(RANDBETWEEN(1,16),Subject!$B:$B,0),3)</f>
        <v>#N/A</v>
      </c>
      <c r="AM277" s="18">
        <f t="shared" si="4"/>
        <v>45777.33333</v>
      </c>
      <c r="AN277" s="19">
        <f t="shared" ref="AN277:BZ277" si="277">$A277+C$1</f>
        <v>45777.35417</v>
      </c>
      <c r="AO277" s="19">
        <f t="shared" si="277"/>
        <v>45777.375</v>
      </c>
      <c r="AP277" s="19">
        <f t="shared" si="277"/>
        <v>45777.39583</v>
      </c>
      <c r="AQ277" s="19">
        <f t="shared" si="277"/>
        <v>45777.41667</v>
      </c>
      <c r="AR277" s="19">
        <f t="shared" si="277"/>
        <v>45777.4375</v>
      </c>
      <c r="AS277" s="19">
        <f t="shared" si="277"/>
        <v>45777.45833</v>
      </c>
      <c r="AT277" s="19">
        <f t="shared" si="277"/>
        <v>45777.47917</v>
      </c>
      <c r="AU277" s="19">
        <f t="shared" si="277"/>
        <v>45777.5</v>
      </c>
      <c r="AV277" s="19">
        <f t="shared" si="277"/>
        <v>45777.52083</v>
      </c>
      <c r="AW277" s="19">
        <f t="shared" si="277"/>
        <v>45777.54167</v>
      </c>
      <c r="AX277" s="19">
        <f t="shared" si="277"/>
        <v>45777.5625</v>
      </c>
      <c r="AY277" s="19">
        <f t="shared" si="277"/>
        <v>45777.58333</v>
      </c>
      <c r="AZ277" s="19">
        <f t="shared" si="277"/>
        <v>45777.60417</v>
      </c>
      <c r="BA277" s="19">
        <f t="shared" si="277"/>
        <v>45777.625</v>
      </c>
      <c r="BB277" s="19">
        <f t="shared" si="277"/>
        <v>45777.64583</v>
      </c>
      <c r="BC277" s="19">
        <f t="shared" si="277"/>
        <v>45777.66667</v>
      </c>
      <c r="BD277" s="19">
        <f t="shared" si="277"/>
        <v>45777.6875</v>
      </c>
      <c r="BE277" s="19">
        <f t="shared" si="277"/>
        <v>45777.70833</v>
      </c>
      <c r="BF277" s="19">
        <f t="shared" si="277"/>
        <v>45777.72917</v>
      </c>
      <c r="BG277" s="19">
        <f t="shared" si="277"/>
        <v>45777.75</v>
      </c>
      <c r="BH277" s="19">
        <f t="shared" si="277"/>
        <v>45777.77083</v>
      </c>
      <c r="BI277" s="19">
        <f t="shared" si="277"/>
        <v>45777.79167</v>
      </c>
      <c r="BJ277" s="19">
        <f t="shared" si="277"/>
        <v>45777.8125</v>
      </c>
      <c r="BK277" s="19">
        <f t="shared" si="277"/>
        <v>45777.83333</v>
      </c>
      <c r="BL277" s="19">
        <f t="shared" si="277"/>
        <v>45777.85417</v>
      </c>
      <c r="BM277" s="19">
        <f t="shared" si="277"/>
        <v>45777.875</v>
      </c>
      <c r="BN277" s="19">
        <f t="shared" si="277"/>
        <v>45777.89583</v>
      </c>
      <c r="BO277" s="19">
        <f t="shared" si="277"/>
        <v>45777.91667</v>
      </c>
      <c r="BP277" s="19">
        <f t="shared" si="277"/>
        <v>45777.9375</v>
      </c>
      <c r="BQ277" s="19">
        <f t="shared" si="277"/>
        <v>45777.95833</v>
      </c>
      <c r="BR277" s="19">
        <f t="shared" si="277"/>
        <v>45777.97917</v>
      </c>
      <c r="BS277" s="19">
        <f t="shared" si="277"/>
        <v>45778</v>
      </c>
      <c r="BT277" s="19">
        <f t="shared" si="277"/>
        <v>45778.02083</v>
      </c>
      <c r="BU277" s="19">
        <f t="shared" si="277"/>
        <v>45778.04167</v>
      </c>
      <c r="BV277" s="19">
        <f t="shared" si="277"/>
        <v>45778.0625</v>
      </c>
      <c r="BW277" s="19">
        <f t="shared" si="277"/>
        <v>45778.08333</v>
      </c>
      <c r="BX277" s="19">
        <f t="shared" si="277"/>
        <v>45777</v>
      </c>
      <c r="BY277" s="19">
        <f t="shared" si="277"/>
        <v>45777</v>
      </c>
      <c r="BZ277" s="19">
        <f t="shared" si="277"/>
        <v>45777</v>
      </c>
    </row>
    <row r="278" ht="14.25" customHeight="1">
      <c r="A278" s="17">
        <v>45778.0</v>
      </c>
      <c r="B278" s="2" t="str">
        <f t="array" ref="B278">IF(NOW()&gt;AM278,"",IF(AND((WEEKDAY($A278)+$B$2)&gt;1,((WEEKDAY($A278)+$T$2)&lt;7),(WEEKDAY($A278)&lt;&gt;1)),"work",(INDEX(Subject!$A:$I,MATCH(RANDBETWEEN(1,(MAX(Subject!$B:$B))),Subject!$B:$B,0),3))))</f>
        <v/>
      </c>
      <c r="C278" s="2" t="str">
        <f t="array" ref="C278">IF(NOW()&gt;AN278,"",IF(AND((WEEKDAY($A278)+$B$2)&gt;1,((WEEKDAY($A278)+$T$2)&lt;7),(WEEKDAY($A278)&lt;&gt;1)),"work",(INDEX(Subject!$A:$I,MATCH(RANDBETWEEN(1,(MAX(Subject!$B:$B))),Subject!$B:$B,0),3))))</f>
        <v/>
      </c>
      <c r="D278" s="2" t="str">
        <f t="array" ref="D278">IF(NOW()&gt;AO278,"",IF(AND((WEEKDAY($A278)+$B$2)&gt;1,((WEEKDAY($A278)+$T$2)&lt;7),(WEEKDAY($A278)&lt;&gt;1)),"work",(INDEX(Subject!$A:$I,MATCH(RANDBETWEEN(1,(MAX(Subject!$B:$B))),Subject!$B:$B,0),3))))</f>
        <v/>
      </c>
      <c r="E278" s="2" t="str">
        <f t="array" ref="E278">IF(NOW()&gt;AP278,"",IF(AND((WEEKDAY($A278)+$B$2)&gt;1,((WEEKDAY($A278)+$T$2)&lt;7),(WEEKDAY($A278)&lt;&gt;1)),"work",(INDEX(Subject!$A:$I,MATCH(RANDBETWEEN(1,(MAX(Subject!$B:$B))),Subject!$B:$B,0),3))))</f>
        <v/>
      </c>
      <c r="F278" s="2" t="str">
        <f t="array" ref="F278">IF(NOW()&gt;AQ278,"",IF(AND((WEEKDAY($A278)+$B$2)&gt;1,((WEEKDAY($A278)+$T$2)&lt;7),(WEEKDAY($A278)&lt;&gt;1)),"work",(INDEX(Subject!$A:$I,MATCH(RANDBETWEEN(1,(MAX(Subject!$B:$B))),Subject!$B:$B,0),3))))</f>
        <v/>
      </c>
      <c r="G278" s="2" t="str">
        <f t="array" ref="G278">IF(NOW()&gt;AR278,"",IF(AND((WEEKDAY($A278)+$B$2)&gt;1,((WEEKDAY($A278)+$T$2)&lt;7),(WEEKDAY($A278)&lt;&gt;1)),"work",(INDEX(Subject!$A:$I,MATCH(RANDBETWEEN(1,(MAX(Subject!$B:$B))),Subject!$B:$B,0),3))))</f>
        <v/>
      </c>
      <c r="H278" s="2" t="str">
        <f t="array" ref="H278">IF(NOW()&gt;AS278,"",IF(AND((WEEKDAY($A278)+$B$2)&gt;1,((WEEKDAY($A278)+$T$2)&lt;7),(WEEKDAY($A278)&lt;&gt;1)),"work",(INDEX(Subject!$A:$I,MATCH(RANDBETWEEN(1,(MAX(Subject!$B:$B))),Subject!$B:$B,0),3))))</f>
        <v/>
      </c>
      <c r="I278" s="2" t="str">
        <f t="array" ref="I278">IF(NOW()&gt;AT278,"",IF(AND((WEEKDAY($A278)+$B$2)&gt;1,((WEEKDAY($A278)+$T$2)&lt;7),(WEEKDAY($A278)&lt;&gt;1)),"work",(INDEX(Subject!$A:$I,MATCH(RANDBETWEEN(1,(MAX(Subject!$B:$B))),Subject!$B:$B,0),3))))</f>
        <v/>
      </c>
      <c r="J278" s="2" t="str">
        <f t="array" ref="J278">IF(NOW()&gt;AU278,"",IF(AND((WEEKDAY($A278)+$B$2)&gt;1,((WEEKDAY($A278)+$T$2)&lt;7),(WEEKDAY($A278)&lt;&gt;1)),"work",(INDEX(Subject!$A:$I,MATCH(RANDBETWEEN(1,(MAX(Subject!$B:$B))),Subject!$B:$B,0),3))))</f>
        <v/>
      </c>
      <c r="K278" s="2" t="str">
        <f t="array" ref="K278">IF(NOW()&gt;AV278,"",IF(AND((WEEKDAY($A278)+$B$2)&gt;1,((WEEKDAY($A278)+$T$2)&lt;7),(WEEKDAY($A278)&lt;&gt;1)),"work",(INDEX(Subject!$A:$I,MATCH(RANDBETWEEN(1,(MAX(Subject!$B:$B))),Subject!$B:$B,0),3))))</f>
        <v/>
      </c>
      <c r="L278" s="2" t="str">
        <f t="array" ref="L278">IF(NOW()&gt;AW278,"",IF(AND((WEEKDAY($A278)+$B$2)&gt;1,((WEEKDAY($A278)+$T$2)&lt;7),(WEEKDAY($A278)&lt;&gt;1)),"work",(INDEX(Subject!$A:$I,MATCH(RANDBETWEEN(1,(MAX(Subject!$B:$B))),Subject!$B:$B,0),3))))</f>
        <v/>
      </c>
      <c r="M278" s="2" t="str">
        <f t="array" ref="M278">IF(NOW()&gt;AX278,"",IF(AND((WEEKDAY($A278)+$B$2)&gt;1,((WEEKDAY($A278)+$T$2)&lt;7),(WEEKDAY($A278)&lt;&gt;1)),"work",(INDEX(Subject!$A:$I,MATCH(RANDBETWEEN(1,(MAX(Subject!$B:$B))),Subject!$B:$B,0),3))))</f>
        <v/>
      </c>
      <c r="N278" s="2" t="str">
        <f t="array" ref="N278">IF(NOW()&gt;AY278,"",IF(AND((WEEKDAY($A278)+$B$2)&gt;1,((WEEKDAY($A278)+$T$2)&lt;7),(WEEKDAY($A278)&lt;&gt;1)),"work",(INDEX(Subject!$A:$I,MATCH(RANDBETWEEN(1,(MAX(Subject!$B:$B))),Subject!$B:$B,0),3))))</f>
        <v/>
      </c>
      <c r="O278" s="2" t="str">
        <f t="array" ref="O278">IF(NOW()&gt;AZ278,"",IF(AND((WEEKDAY($A278)+$B$2)&gt;1,((WEEKDAY($A278)+$T$2)&lt;7),(WEEKDAY($A278)&lt;&gt;1)),"work",(INDEX(Subject!$A:$I,MATCH(RANDBETWEEN(1,(MAX(Subject!$B:$B))),Subject!$B:$B,0),3))))</f>
        <v/>
      </c>
      <c r="P278" s="2" t="str">
        <f t="array" ref="P278">IF(NOW()&gt;BA278,"",IF(AND((WEEKDAY($A278)+$B$2)&gt;1,((WEEKDAY($A278)+$T$2)&lt;7),(WEEKDAY($A278)&lt;&gt;1)),"work",(INDEX(Subject!$A:$I,MATCH(RANDBETWEEN(1,(MAX(Subject!$B:$B))),Subject!$B:$B,0),3))))</f>
        <v/>
      </c>
      <c r="Q278" s="2" t="str">
        <f t="array" ref="Q278">IF(NOW()&gt;BB278,"",IF(AND((WEEKDAY($A278)+$B$2)&gt;1,((WEEKDAY($A278)+$T$2)&lt;7),(WEEKDAY($A278)&lt;&gt;1)),"work",(INDEX(Subject!$A:$I,MATCH(RANDBETWEEN(1,(MAX(Subject!$B:$B))),Subject!$B:$B,0),3))))</f>
        <v/>
      </c>
      <c r="R278" s="2" t="str">
        <f t="array" ref="R278">IF(NOW()&gt;BC278,"",IF(AND((WEEKDAY($A278)+$B$2)&gt;1,((WEEKDAY($A278)+$T$2)&lt;7),(WEEKDAY($A278)&lt;&gt;1)),"work",(INDEX(Subject!$A:$I,MATCH(RANDBETWEEN(1,(MAX(Subject!$B:$B))),Subject!$B:$B,0),3))))</f>
        <v/>
      </c>
      <c r="S278" s="2" t="str">
        <f t="array" ref="S278">IF(NOW()&gt;BD278,"",IF(AND((WEEKDAY($A278)+$B$2)&gt;1,((WEEKDAY($A278)+$T$2)&lt;7),(WEEKDAY($A278)&lt;&gt;1)),"work",(INDEX(Subject!$A:$I,MATCH(RANDBETWEEN(1,(MAX(Subject!$B:$B))),Subject!$B:$B,0),3))))</f>
        <v/>
      </c>
      <c r="T278" s="2" t="str">
        <f t="array" ref="T278">IF(NOW()&gt;BE278,"",IF(AND((WEEKDAY($A278)+$B$2)&gt;1,((WEEKDAY($A278)+$T$2)&lt;7),(WEEKDAY($A278)&lt;&gt;1)),"work",(INDEX(Subject!$A:$I,MATCH(RANDBETWEEN(1,(MAX(Subject!$B:$B))),Subject!$B:$B,0),3))))</f>
        <v/>
      </c>
      <c r="U278" s="8" t="str">
        <f t="array" ref="U278">INDEX(Subject!$A:$I,MATCH(RANDBETWEEN(1,16),Subject!$B:$B,0),3)</f>
        <v>#N/A</v>
      </c>
      <c r="V278" s="8" t="str">
        <f t="array" ref="V278">INDEX(Subject!$A:$I,MATCH(RANDBETWEEN(1,16),Subject!$B:$B,0),3)</f>
        <v>#N/A</v>
      </c>
      <c r="W278" s="8" t="str">
        <f t="array" ref="W278">INDEX(Subject!$A:$I,MATCH(RANDBETWEEN(1,16),Subject!$B:$B,0),3)</f>
        <v>#N/A</v>
      </c>
      <c r="X278" s="8" t="str">
        <f t="array" ref="X278">INDEX(Subject!$A:$I,MATCH(RANDBETWEEN(1,16),Subject!$B:$B,0),3)</f>
        <v>#N/A</v>
      </c>
      <c r="Y278" s="8" t="str">
        <f t="array" ref="Y278">INDEX(Subject!$A:$I,MATCH(RANDBETWEEN(1,16),Subject!$B:$B,0),3)</f>
        <v>#N/A</v>
      </c>
      <c r="Z278" s="8" t="str">
        <f t="array" ref="Z278">INDEX(Subject!$A:$I,MATCH(RANDBETWEEN(1,16),Subject!$B:$B,0),3)</f>
        <v>#N/A</v>
      </c>
      <c r="AA278" s="8" t="str">
        <f t="array" ref="AA278">INDEX(Subject!$A:$I,MATCH(RANDBETWEEN(1,16),Subject!$B:$B,0),3)</f>
        <v>#N/A</v>
      </c>
      <c r="AB278" s="8" t="str">
        <f t="array" ref="AB278">INDEX(Subject!$A:$I,MATCH(RANDBETWEEN(1,16),Subject!$B:$B,0),3)</f>
        <v/>
      </c>
      <c r="AC278" s="8" t="str">
        <f t="array" ref="AC278">INDEX(Subject!$A:$I,MATCH(RANDBETWEEN(1,16),Subject!$B:$B,0),3)</f>
        <v>#N/A</v>
      </c>
      <c r="AD278" s="8" t="str">
        <f t="array" ref="AD278">INDEX(Subject!$A:$I,MATCH(RANDBETWEEN(1,16),Subject!$B:$B,0),3)</f>
        <v>#N/A</v>
      </c>
      <c r="AE278" s="8" t="str">
        <f t="array" ref="AE278">INDEX(Subject!$A:$I,MATCH(RANDBETWEEN(1,16),Subject!$B:$B,0),3)</f>
        <v>#N/A</v>
      </c>
      <c r="AF278" s="8" t="str">
        <f t="array" ref="AF278">INDEX(Subject!$A:$I,MATCH(RANDBETWEEN(1,16),Subject!$B:$B,0),3)</f>
        <v>#N/A</v>
      </c>
      <c r="AG278" s="8" t="str">
        <f t="array" ref="AG278">INDEX(Subject!$A:$I,MATCH(RANDBETWEEN(1,16),Subject!$B:$B,0),3)</f>
        <v>#N/A</v>
      </c>
      <c r="AH278" s="8" t="str">
        <f t="array" ref="AH278">INDEX(Subject!$A:$I,MATCH(RANDBETWEEN(1,16),Subject!$B:$B,0),3)</f>
        <v>#N/A</v>
      </c>
      <c r="AI278" s="8" t="str">
        <f t="array" ref="AI278">INDEX(Subject!$A:$I,MATCH(RANDBETWEEN(1,16),Subject!$B:$B,0),3)</f>
        <v>#N/A</v>
      </c>
      <c r="AJ278" s="8" t="str">
        <f t="array" ref="AJ278">INDEX(Subject!$A:$I,MATCH(RANDBETWEEN(1,16),Subject!$B:$B,0),3)</f>
        <v>#N/A</v>
      </c>
      <c r="AK278" s="8" t="str">
        <f t="array" ref="AK278">INDEX(Subject!$A:$I,MATCH(RANDBETWEEN(1,16),Subject!$B:$B,0),3)</f>
        <v>#N/A</v>
      </c>
      <c r="AL278" s="8" t="str">
        <f t="array" ref="AL278">INDEX(Subject!$A:$I,MATCH(RANDBETWEEN(1,16),Subject!$B:$B,0),3)</f>
        <v>#N/A</v>
      </c>
      <c r="AM278" s="18">
        <f t="shared" si="4"/>
        <v>45778.33333</v>
      </c>
      <c r="AN278" s="19">
        <f t="shared" ref="AN278:BZ278" si="278">$A278+C$1</f>
        <v>45778.35417</v>
      </c>
      <c r="AO278" s="19">
        <f t="shared" si="278"/>
        <v>45778.375</v>
      </c>
      <c r="AP278" s="19">
        <f t="shared" si="278"/>
        <v>45778.39583</v>
      </c>
      <c r="AQ278" s="19">
        <f t="shared" si="278"/>
        <v>45778.41667</v>
      </c>
      <c r="AR278" s="19">
        <f t="shared" si="278"/>
        <v>45778.4375</v>
      </c>
      <c r="AS278" s="19">
        <f t="shared" si="278"/>
        <v>45778.45833</v>
      </c>
      <c r="AT278" s="19">
        <f t="shared" si="278"/>
        <v>45778.47917</v>
      </c>
      <c r="AU278" s="19">
        <f t="shared" si="278"/>
        <v>45778.5</v>
      </c>
      <c r="AV278" s="19">
        <f t="shared" si="278"/>
        <v>45778.52083</v>
      </c>
      <c r="AW278" s="19">
        <f t="shared" si="278"/>
        <v>45778.54167</v>
      </c>
      <c r="AX278" s="19">
        <f t="shared" si="278"/>
        <v>45778.5625</v>
      </c>
      <c r="AY278" s="19">
        <f t="shared" si="278"/>
        <v>45778.58333</v>
      </c>
      <c r="AZ278" s="19">
        <f t="shared" si="278"/>
        <v>45778.60417</v>
      </c>
      <c r="BA278" s="19">
        <f t="shared" si="278"/>
        <v>45778.625</v>
      </c>
      <c r="BB278" s="19">
        <f t="shared" si="278"/>
        <v>45778.64583</v>
      </c>
      <c r="BC278" s="19">
        <f t="shared" si="278"/>
        <v>45778.66667</v>
      </c>
      <c r="BD278" s="19">
        <f t="shared" si="278"/>
        <v>45778.6875</v>
      </c>
      <c r="BE278" s="19">
        <f t="shared" si="278"/>
        <v>45778.70833</v>
      </c>
      <c r="BF278" s="19">
        <f t="shared" si="278"/>
        <v>45778.72917</v>
      </c>
      <c r="BG278" s="19">
        <f t="shared" si="278"/>
        <v>45778.75</v>
      </c>
      <c r="BH278" s="19">
        <f t="shared" si="278"/>
        <v>45778.77083</v>
      </c>
      <c r="BI278" s="19">
        <f t="shared" si="278"/>
        <v>45778.79167</v>
      </c>
      <c r="BJ278" s="19">
        <f t="shared" si="278"/>
        <v>45778.8125</v>
      </c>
      <c r="BK278" s="19">
        <f t="shared" si="278"/>
        <v>45778.83333</v>
      </c>
      <c r="BL278" s="19">
        <f t="shared" si="278"/>
        <v>45778.85417</v>
      </c>
      <c r="BM278" s="19">
        <f t="shared" si="278"/>
        <v>45778.875</v>
      </c>
      <c r="BN278" s="19">
        <f t="shared" si="278"/>
        <v>45778.89583</v>
      </c>
      <c r="BO278" s="19">
        <f t="shared" si="278"/>
        <v>45778.91667</v>
      </c>
      <c r="BP278" s="19">
        <f t="shared" si="278"/>
        <v>45778.9375</v>
      </c>
      <c r="BQ278" s="19">
        <f t="shared" si="278"/>
        <v>45778.95833</v>
      </c>
      <c r="BR278" s="19">
        <f t="shared" si="278"/>
        <v>45778.97917</v>
      </c>
      <c r="BS278" s="19">
        <f t="shared" si="278"/>
        <v>45779</v>
      </c>
      <c r="BT278" s="19">
        <f t="shared" si="278"/>
        <v>45779.02083</v>
      </c>
      <c r="BU278" s="19">
        <f t="shared" si="278"/>
        <v>45779.04167</v>
      </c>
      <c r="BV278" s="19">
        <f t="shared" si="278"/>
        <v>45779.0625</v>
      </c>
      <c r="BW278" s="19">
        <f t="shared" si="278"/>
        <v>45779.08333</v>
      </c>
      <c r="BX278" s="19">
        <f t="shared" si="278"/>
        <v>45778</v>
      </c>
      <c r="BY278" s="19">
        <f t="shared" si="278"/>
        <v>45778</v>
      </c>
      <c r="BZ278" s="19">
        <f t="shared" si="278"/>
        <v>45778</v>
      </c>
    </row>
    <row r="279" ht="14.25" customHeight="1">
      <c r="A279" s="17">
        <v>45779.0</v>
      </c>
      <c r="B279" s="2" t="str">
        <f t="array" ref="B279">IF(NOW()&gt;AM279,"",IF(AND((WEEKDAY($A279)+$B$2)&gt;1,((WEEKDAY($A279)+$T$2)&lt;7),(WEEKDAY($A279)&lt;&gt;1)),"work",(INDEX(Subject!$A:$I,MATCH(RANDBETWEEN(1,(MAX(Subject!$B:$B))),Subject!$B:$B,0),3))))</f>
        <v/>
      </c>
      <c r="C279" s="2" t="str">
        <f t="array" ref="C279">IF(NOW()&gt;AN279,"",IF(AND((WEEKDAY($A279)+$B$2)&gt;1,((WEEKDAY($A279)+$T$2)&lt;7),(WEEKDAY($A279)&lt;&gt;1)),"work",(INDEX(Subject!$A:$I,MATCH(RANDBETWEEN(1,(MAX(Subject!$B:$B))),Subject!$B:$B,0),3))))</f>
        <v/>
      </c>
      <c r="D279" s="2" t="str">
        <f t="array" ref="D279">IF(NOW()&gt;AO279,"",IF(AND((WEEKDAY($A279)+$B$2)&gt;1,((WEEKDAY($A279)+$T$2)&lt;7),(WEEKDAY($A279)&lt;&gt;1)),"work",(INDEX(Subject!$A:$I,MATCH(RANDBETWEEN(1,(MAX(Subject!$B:$B))),Subject!$B:$B,0),3))))</f>
        <v/>
      </c>
      <c r="E279" s="2" t="str">
        <f t="array" ref="E279">IF(NOW()&gt;AP279,"",IF(AND((WEEKDAY($A279)+$B$2)&gt;1,((WEEKDAY($A279)+$T$2)&lt;7),(WEEKDAY($A279)&lt;&gt;1)),"work",(INDEX(Subject!$A:$I,MATCH(RANDBETWEEN(1,(MAX(Subject!$B:$B))),Subject!$B:$B,0),3))))</f>
        <v/>
      </c>
      <c r="F279" s="2" t="str">
        <f t="array" ref="F279">IF(NOW()&gt;AQ279,"",IF(AND((WEEKDAY($A279)+$B$2)&gt;1,((WEEKDAY($A279)+$T$2)&lt;7),(WEEKDAY($A279)&lt;&gt;1)),"work",(INDEX(Subject!$A:$I,MATCH(RANDBETWEEN(1,(MAX(Subject!$B:$B))),Subject!$B:$B,0),3))))</f>
        <v/>
      </c>
      <c r="G279" s="2" t="str">
        <f t="array" ref="G279">IF(NOW()&gt;AR279,"",IF(AND((WEEKDAY($A279)+$B$2)&gt;1,((WEEKDAY($A279)+$T$2)&lt;7),(WEEKDAY($A279)&lt;&gt;1)),"work",(INDEX(Subject!$A:$I,MATCH(RANDBETWEEN(1,(MAX(Subject!$B:$B))),Subject!$B:$B,0),3))))</f>
        <v/>
      </c>
      <c r="H279" s="2" t="str">
        <f t="array" ref="H279">IF(NOW()&gt;AS279,"",IF(AND((WEEKDAY($A279)+$B$2)&gt;1,((WEEKDAY($A279)+$T$2)&lt;7),(WEEKDAY($A279)&lt;&gt;1)),"work",(INDEX(Subject!$A:$I,MATCH(RANDBETWEEN(1,(MAX(Subject!$B:$B))),Subject!$B:$B,0),3))))</f>
        <v/>
      </c>
      <c r="I279" s="2" t="str">
        <f t="array" ref="I279">IF(NOW()&gt;AT279,"",IF(AND((WEEKDAY($A279)+$B$2)&gt;1,((WEEKDAY($A279)+$T$2)&lt;7),(WEEKDAY($A279)&lt;&gt;1)),"work",(INDEX(Subject!$A:$I,MATCH(RANDBETWEEN(1,(MAX(Subject!$B:$B))),Subject!$B:$B,0),3))))</f>
        <v/>
      </c>
      <c r="J279" s="2" t="str">
        <f t="array" ref="J279">IF(NOW()&gt;AU279,"",IF(AND((WEEKDAY($A279)+$B$2)&gt;1,((WEEKDAY($A279)+$T$2)&lt;7),(WEEKDAY($A279)&lt;&gt;1)),"work",(INDEX(Subject!$A:$I,MATCH(RANDBETWEEN(1,(MAX(Subject!$B:$B))),Subject!$B:$B,0),3))))</f>
        <v/>
      </c>
      <c r="K279" s="2" t="str">
        <f t="array" ref="K279">IF(NOW()&gt;AV279,"",IF(AND((WEEKDAY($A279)+$B$2)&gt;1,((WEEKDAY($A279)+$T$2)&lt;7),(WEEKDAY($A279)&lt;&gt;1)),"work",(INDEX(Subject!$A:$I,MATCH(RANDBETWEEN(1,(MAX(Subject!$B:$B))),Subject!$B:$B,0),3))))</f>
        <v/>
      </c>
      <c r="L279" s="2" t="str">
        <f t="array" ref="L279">IF(NOW()&gt;AW279,"",IF(AND((WEEKDAY($A279)+$B$2)&gt;1,((WEEKDAY($A279)+$T$2)&lt;7),(WEEKDAY($A279)&lt;&gt;1)),"work",(INDEX(Subject!$A:$I,MATCH(RANDBETWEEN(1,(MAX(Subject!$B:$B))),Subject!$B:$B,0),3))))</f>
        <v/>
      </c>
      <c r="M279" s="2" t="str">
        <f t="array" ref="M279">IF(NOW()&gt;AX279,"",IF(AND((WEEKDAY($A279)+$B$2)&gt;1,((WEEKDAY($A279)+$T$2)&lt;7),(WEEKDAY($A279)&lt;&gt;1)),"work",(INDEX(Subject!$A:$I,MATCH(RANDBETWEEN(1,(MAX(Subject!$B:$B))),Subject!$B:$B,0),3))))</f>
        <v/>
      </c>
      <c r="N279" s="2" t="str">
        <f t="array" ref="N279">IF(NOW()&gt;AY279,"",IF(AND((WEEKDAY($A279)+$B$2)&gt;1,((WEEKDAY($A279)+$T$2)&lt;7),(WEEKDAY($A279)&lt;&gt;1)),"work",(INDEX(Subject!$A:$I,MATCH(RANDBETWEEN(1,(MAX(Subject!$B:$B))),Subject!$B:$B,0),3))))</f>
        <v/>
      </c>
      <c r="O279" s="2" t="str">
        <f t="array" ref="O279">IF(NOW()&gt;AZ279,"",IF(AND((WEEKDAY($A279)+$B$2)&gt;1,((WEEKDAY($A279)+$T$2)&lt;7),(WEEKDAY($A279)&lt;&gt;1)),"work",(INDEX(Subject!$A:$I,MATCH(RANDBETWEEN(1,(MAX(Subject!$B:$B))),Subject!$B:$B,0),3))))</f>
        <v/>
      </c>
      <c r="P279" s="2" t="str">
        <f t="array" ref="P279">IF(NOW()&gt;BA279,"",IF(AND((WEEKDAY($A279)+$B$2)&gt;1,((WEEKDAY($A279)+$T$2)&lt;7),(WEEKDAY($A279)&lt;&gt;1)),"work",(INDEX(Subject!$A:$I,MATCH(RANDBETWEEN(1,(MAX(Subject!$B:$B))),Subject!$B:$B,0),3))))</f>
        <v/>
      </c>
      <c r="Q279" s="2" t="str">
        <f t="array" ref="Q279">IF(NOW()&gt;BB279,"",IF(AND((WEEKDAY($A279)+$B$2)&gt;1,((WEEKDAY($A279)+$T$2)&lt;7),(WEEKDAY($A279)&lt;&gt;1)),"work",(INDEX(Subject!$A:$I,MATCH(RANDBETWEEN(1,(MAX(Subject!$B:$B))),Subject!$B:$B,0),3))))</f>
        <v/>
      </c>
      <c r="R279" s="2" t="str">
        <f t="array" ref="R279">IF(NOW()&gt;BC279,"",IF(AND((WEEKDAY($A279)+$B$2)&gt;1,((WEEKDAY($A279)+$T$2)&lt;7),(WEEKDAY($A279)&lt;&gt;1)),"work",(INDEX(Subject!$A:$I,MATCH(RANDBETWEEN(1,(MAX(Subject!$B:$B))),Subject!$B:$B,0),3))))</f>
        <v/>
      </c>
      <c r="S279" s="2" t="str">
        <f t="array" ref="S279">IF(NOW()&gt;BD279,"",IF(AND((WEEKDAY($A279)+$B$2)&gt;1,((WEEKDAY($A279)+$T$2)&lt;7),(WEEKDAY($A279)&lt;&gt;1)),"work",(INDEX(Subject!$A:$I,MATCH(RANDBETWEEN(1,(MAX(Subject!$B:$B))),Subject!$B:$B,0),3))))</f>
        <v/>
      </c>
      <c r="T279" s="2" t="str">
        <f t="array" ref="T279">IF(NOW()&gt;BE279,"",IF(AND((WEEKDAY($A279)+$B$2)&gt;1,((WEEKDAY($A279)+$T$2)&lt;7),(WEEKDAY($A279)&lt;&gt;1)),"work",(INDEX(Subject!$A:$I,MATCH(RANDBETWEEN(1,(MAX(Subject!$B:$B))),Subject!$B:$B,0),3))))</f>
        <v/>
      </c>
      <c r="U279" s="8" t="str">
        <f t="array" ref="U279">INDEX(Subject!$A:$I,MATCH(RANDBETWEEN(1,16),Subject!$B:$B,0),3)</f>
        <v>#N/A</v>
      </c>
      <c r="V279" s="8" t="str">
        <f t="array" ref="V279">INDEX(Subject!$A:$I,MATCH(RANDBETWEEN(1,16),Subject!$B:$B,0),3)</f>
        <v>#N/A</v>
      </c>
      <c r="W279" s="8" t="str">
        <f t="array" ref="W279">INDEX(Subject!$A:$I,MATCH(RANDBETWEEN(1,16),Subject!$B:$B,0),3)</f>
        <v>#N/A</v>
      </c>
      <c r="X279" s="8" t="str">
        <f t="array" ref="X279">INDEX(Subject!$A:$I,MATCH(RANDBETWEEN(1,16),Subject!$B:$B,0),3)</f>
        <v>#N/A</v>
      </c>
      <c r="Y279" s="8" t="str">
        <f t="array" ref="Y279">INDEX(Subject!$A:$I,MATCH(RANDBETWEEN(1,16),Subject!$B:$B,0),3)</f>
        <v>#N/A</v>
      </c>
      <c r="Z279" s="8" t="str">
        <f t="array" ref="Z279">INDEX(Subject!$A:$I,MATCH(RANDBETWEEN(1,16),Subject!$B:$B,0),3)</f>
        <v/>
      </c>
      <c r="AA279" s="8" t="str">
        <f t="array" ref="AA279">INDEX(Subject!$A:$I,MATCH(RANDBETWEEN(1,16),Subject!$B:$B,0),3)</f>
        <v>#N/A</v>
      </c>
      <c r="AB279" s="8" t="str">
        <f t="array" ref="AB279">INDEX(Subject!$A:$I,MATCH(RANDBETWEEN(1,16),Subject!$B:$B,0),3)</f>
        <v>#N/A</v>
      </c>
      <c r="AC279" s="8" t="str">
        <f t="array" ref="AC279">INDEX(Subject!$A:$I,MATCH(RANDBETWEEN(1,16),Subject!$B:$B,0),3)</f>
        <v>#N/A</v>
      </c>
      <c r="AD279" s="8" t="str">
        <f t="array" ref="AD279">INDEX(Subject!$A:$I,MATCH(RANDBETWEEN(1,16),Subject!$B:$B,0),3)</f>
        <v>#N/A</v>
      </c>
      <c r="AE279" s="8" t="str">
        <f t="array" ref="AE279">INDEX(Subject!$A:$I,MATCH(RANDBETWEEN(1,16),Subject!$B:$B,0),3)</f>
        <v>#N/A</v>
      </c>
      <c r="AF279" s="8" t="str">
        <f t="array" ref="AF279">INDEX(Subject!$A:$I,MATCH(RANDBETWEEN(1,16),Subject!$B:$B,0),3)</f>
        <v>#N/A</v>
      </c>
      <c r="AG279" s="8" t="str">
        <f t="array" ref="AG279">INDEX(Subject!$A:$I,MATCH(RANDBETWEEN(1,16),Subject!$B:$B,0),3)</f>
        <v>#N/A</v>
      </c>
      <c r="AH279" s="8" t="str">
        <f t="array" ref="AH279">INDEX(Subject!$A:$I,MATCH(RANDBETWEEN(1,16),Subject!$B:$B,0),3)</f>
        <v>#N/A</v>
      </c>
      <c r="AI279" s="8" t="str">
        <f t="array" ref="AI279">INDEX(Subject!$A:$I,MATCH(RANDBETWEEN(1,16),Subject!$B:$B,0),3)</f>
        <v>#N/A</v>
      </c>
      <c r="AJ279" s="8" t="str">
        <f t="array" ref="AJ279">INDEX(Subject!$A:$I,MATCH(RANDBETWEEN(1,16),Subject!$B:$B,0),3)</f>
        <v>#N/A</v>
      </c>
      <c r="AK279" s="8" t="str">
        <f t="array" ref="AK279">INDEX(Subject!$A:$I,MATCH(RANDBETWEEN(1,16),Subject!$B:$B,0),3)</f>
        <v>#N/A</v>
      </c>
      <c r="AL279" s="8" t="str">
        <f t="array" ref="AL279">INDEX(Subject!$A:$I,MATCH(RANDBETWEEN(1,16),Subject!$B:$B,0),3)</f>
        <v>#N/A</v>
      </c>
      <c r="AM279" s="18">
        <f t="shared" si="4"/>
        <v>45779.33333</v>
      </c>
      <c r="AN279" s="19">
        <f t="shared" ref="AN279:BZ279" si="279">$A279+C$1</f>
        <v>45779.35417</v>
      </c>
      <c r="AO279" s="19">
        <f t="shared" si="279"/>
        <v>45779.375</v>
      </c>
      <c r="AP279" s="19">
        <f t="shared" si="279"/>
        <v>45779.39583</v>
      </c>
      <c r="AQ279" s="19">
        <f t="shared" si="279"/>
        <v>45779.41667</v>
      </c>
      <c r="AR279" s="19">
        <f t="shared" si="279"/>
        <v>45779.4375</v>
      </c>
      <c r="AS279" s="19">
        <f t="shared" si="279"/>
        <v>45779.45833</v>
      </c>
      <c r="AT279" s="19">
        <f t="shared" si="279"/>
        <v>45779.47917</v>
      </c>
      <c r="AU279" s="19">
        <f t="shared" si="279"/>
        <v>45779.5</v>
      </c>
      <c r="AV279" s="19">
        <f t="shared" si="279"/>
        <v>45779.52083</v>
      </c>
      <c r="AW279" s="19">
        <f t="shared" si="279"/>
        <v>45779.54167</v>
      </c>
      <c r="AX279" s="19">
        <f t="shared" si="279"/>
        <v>45779.5625</v>
      </c>
      <c r="AY279" s="19">
        <f t="shared" si="279"/>
        <v>45779.58333</v>
      </c>
      <c r="AZ279" s="19">
        <f t="shared" si="279"/>
        <v>45779.60417</v>
      </c>
      <c r="BA279" s="19">
        <f t="shared" si="279"/>
        <v>45779.625</v>
      </c>
      <c r="BB279" s="19">
        <f t="shared" si="279"/>
        <v>45779.64583</v>
      </c>
      <c r="BC279" s="19">
        <f t="shared" si="279"/>
        <v>45779.66667</v>
      </c>
      <c r="BD279" s="19">
        <f t="shared" si="279"/>
        <v>45779.6875</v>
      </c>
      <c r="BE279" s="19">
        <f t="shared" si="279"/>
        <v>45779.70833</v>
      </c>
      <c r="BF279" s="19">
        <f t="shared" si="279"/>
        <v>45779.72917</v>
      </c>
      <c r="BG279" s="19">
        <f t="shared" si="279"/>
        <v>45779.75</v>
      </c>
      <c r="BH279" s="19">
        <f t="shared" si="279"/>
        <v>45779.77083</v>
      </c>
      <c r="BI279" s="19">
        <f t="shared" si="279"/>
        <v>45779.79167</v>
      </c>
      <c r="BJ279" s="19">
        <f t="shared" si="279"/>
        <v>45779.8125</v>
      </c>
      <c r="BK279" s="19">
        <f t="shared" si="279"/>
        <v>45779.83333</v>
      </c>
      <c r="BL279" s="19">
        <f t="shared" si="279"/>
        <v>45779.85417</v>
      </c>
      <c r="BM279" s="19">
        <f t="shared" si="279"/>
        <v>45779.875</v>
      </c>
      <c r="BN279" s="19">
        <f t="shared" si="279"/>
        <v>45779.89583</v>
      </c>
      <c r="BO279" s="19">
        <f t="shared" si="279"/>
        <v>45779.91667</v>
      </c>
      <c r="BP279" s="19">
        <f t="shared" si="279"/>
        <v>45779.9375</v>
      </c>
      <c r="BQ279" s="19">
        <f t="shared" si="279"/>
        <v>45779.95833</v>
      </c>
      <c r="BR279" s="19">
        <f t="shared" si="279"/>
        <v>45779.97917</v>
      </c>
      <c r="BS279" s="19">
        <f t="shared" si="279"/>
        <v>45780</v>
      </c>
      <c r="BT279" s="19">
        <f t="shared" si="279"/>
        <v>45780.02083</v>
      </c>
      <c r="BU279" s="19">
        <f t="shared" si="279"/>
        <v>45780.04167</v>
      </c>
      <c r="BV279" s="19">
        <f t="shared" si="279"/>
        <v>45780.0625</v>
      </c>
      <c r="BW279" s="19">
        <f t="shared" si="279"/>
        <v>45780.08333</v>
      </c>
      <c r="BX279" s="19">
        <f t="shared" si="279"/>
        <v>45779</v>
      </c>
      <c r="BY279" s="19">
        <f t="shared" si="279"/>
        <v>45779</v>
      </c>
      <c r="BZ279" s="19">
        <f t="shared" si="279"/>
        <v>45779</v>
      </c>
    </row>
    <row r="280" ht="14.25" customHeight="1">
      <c r="A280" s="17">
        <v>45780.0</v>
      </c>
      <c r="B280" s="2" t="str">
        <f t="array" ref="B280">IF(NOW()&gt;AM280,"",IF(AND((WEEKDAY($A280)+$B$2)&gt;1,((WEEKDAY($A280)+$T$2)&lt;7),(WEEKDAY($A280)&lt;&gt;1)),"work",(INDEX(Subject!$A:$I,MATCH(RANDBETWEEN(1,(MAX(Subject!$B:$B))),Subject!$B:$B,0),3))))</f>
        <v/>
      </c>
      <c r="C280" s="2" t="str">
        <f t="array" ref="C280">IF(NOW()&gt;AN280,"",IF(AND((WEEKDAY($A280)+$B$2)&gt;1,((WEEKDAY($A280)+$T$2)&lt;7),(WEEKDAY($A280)&lt;&gt;1)),"work",(INDEX(Subject!$A:$I,MATCH(RANDBETWEEN(1,(MAX(Subject!$B:$B))),Subject!$B:$B,0),3))))</f>
        <v/>
      </c>
      <c r="D280" s="2" t="str">
        <f t="array" ref="D280">IF(NOW()&gt;AO280,"",IF(AND((WEEKDAY($A280)+$B$2)&gt;1,((WEEKDAY($A280)+$T$2)&lt;7),(WEEKDAY($A280)&lt;&gt;1)),"work",(INDEX(Subject!$A:$I,MATCH(RANDBETWEEN(1,(MAX(Subject!$B:$B))),Subject!$B:$B,0),3))))</f>
        <v/>
      </c>
      <c r="E280" s="2" t="str">
        <f t="array" ref="E280">IF(NOW()&gt;AP280,"",IF(AND((WEEKDAY($A280)+$B$2)&gt;1,((WEEKDAY($A280)+$T$2)&lt;7),(WEEKDAY($A280)&lt;&gt;1)),"work",(INDEX(Subject!$A:$I,MATCH(RANDBETWEEN(1,(MAX(Subject!$B:$B))),Subject!$B:$B,0),3))))</f>
        <v/>
      </c>
      <c r="F280" s="2" t="str">
        <f t="array" ref="F280">IF(NOW()&gt;AQ280,"",IF(AND((WEEKDAY($A280)+$B$2)&gt;1,((WEEKDAY($A280)+$T$2)&lt;7),(WEEKDAY($A280)&lt;&gt;1)),"work",(INDEX(Subject!$A:$I,MATCH(RANDBETWEEN(1,(MAX(Subject!$B:$B))),Subject!$B:$B,0),3))))</f>
        <v/>
      </c>
      <c r="G280" s="2" t="str">
        <f t="array" ref="G280">IF(NOW()&gt;AR280,"",IF(AND((WEEKDAY($A280)+$B$2)&gt;1,((WEEKDAY($A280)+$T$2)&lt;7),(WEEKDAY($A280)&lt;&gt;1)),"work",(INDEX(Subject!$A:$I,MATCH(RANDBETWEEN(1,(MAX(Subject!$B:$B))),Subject!$B:$B,0),3))))</f>
        <v/>
      </c>
      <c r="H280" s="2" t="str">
        <f t="array" ref="H280">IF(NOW()&gt;AS280,"",IF(AND((WEEKDAY($A280)+$B$2)&gt;1,((WEEKDAY($A280)+$T$2)&lt;7),(WEEKDAY($A280)&lt;&gt;1)),"work",(INDEX(Subject!$A:$I,MATCH(RANDBETWEEN(1,(MAX(Subject!$B:$B))),Subject!$B:$B,0),3))))</f>
        <v/>
      </c>
      <c r="I280" s="2" t="str">
        <f t="array" ref="I280">IF(NOW()&gt;AT280,"",IF(AND((WEEKDAY($A280)+$B$2)&gt;1,((WEEKDAY($A280)+$T$2)&lt;7),(WEEKDAY($A280)&lt;&gt;1)),"work",(INDEX(Subject!$A:$I,MATCH(RANDBETWEEN(1,(MAX(Subject!$B:$B))),Subject!$B:$B,0),3))))</f>
        <v/>
      </c>
      <c r="J280" s="2" t="str">
        <f t="array" ref="J280">IF(NOW()&gt;AU280,"",IF(AND((WEEKDAY($A280)+$B$2)&gt;1,((WEEKDAY($A280)+$T$2)&lt;7),(WEEKDAY($A280)&lt;&gt;1)),"work",(INDEX(Subject!$A:$I,MATCH(RANDBETWEEN(1,(MAX(Subject!$B:$B))),Subject!$B:$B,0),3))))</f>
        <v/>
      </c>
      <c r="K280" s="2" t="str">
        <f t="array" ref="K280">IF(NOW()&gt;AV280,"",IF(AND((WEEKDAY($A280)+$B$2)&gt;1,((WEEKDAY($A280)+$T$2)&lt;7),(WEEKDAY($A280)&lt;&gt;1)),"work",(INDEX(Subject!$A:$I,MATCH(RANDBETWEEN(1,(MAX(Subject!$B:$B))),Subject!$B:$B,0),3))))</f>
        <v/>
      </c>
      <c r="L280" s="2" t="str">
        <f t="array" ref="L280">IF(NOW()&gt;AW280,"",IF(AND((WEEKDAY($A280)+$B$2)&gt;1,((WEEKDAY($A280)+$T$2)&lt;7),(WEEKDAY($A280)&lt;&gt;1)),"work",(INDEX(Subject!$A:$I,MATCH(RANDBETWEEN(1,(MAX(Subject!$B:$B))),Subject!$B:$B,0),3))))</f>
        <v/>
      </c>
      <c r="M280" s="2" t="str">
        <f t="array" ref="M280">IF(NOW()&gt;AX280,"",IF(AND((WEEKDAY($A280)+$B$2)&gt;1,((WEEKDAY($A280)+$T$2)&lt;7),(WEEKDAY($A280)&lt;&gt;1)),"work",(INDEX(Subject!$A:$I,MATCH(RANDBETWEEN(1,(MAX(Subject!$B:$B))),Subject!$B:$B,0),3))))</f>
        <v/>
      </c>
      <c r="N280" s="2" t="str">
        <f t="array" ref="N280">IF(NOW()&gt;AY280,"",IF(AND((WEEKDAY($A280)+$B$2)&gt;1,((WEEKDAY($A280)+$T$2)&lt;7),(WEEKDAY($A280)&lt;&gt;1)),"work",(INDEX(Subject!$A:$I,MATCH(RANDBETWEEN(1,(MAX(Subject!$B:$B))),Subject!$B:$B,0),3))))</f>
        <v/>
      </c>
      <c r="O280" s="2" t="str">
        <f t="array" ref="O280">IF(NOW()&gt;AZ280,"",IF(AND((WEEKDAY($A280)+$B$2)&gt;1,((WEEKDAY($A280)+$T$2)&lt;7),(WEEKDAY($A280)&lt;&gt;1)),"work",(INDEX(Subject!$A:$I,MATCH(RANDBETWEEN(1,(MAX(Subject!$B:$B))),Subject!$B:$B,0),3))))</f>
        <v/>
      </c>
      <c r="P280" s="2" t="str">
        <f t="array" ref="P280">IF(NOW()&gt;BA280,"",IF(AND((WEEKDAY($A280)+$B$2)&gt;1,((WEEKDAY($A280)+$T$2)&lt;7),(WEEKDAY($A280)&lt;&gt;1)),"work",(INDEX(Subject!$A:$I,MATCH(RANDBETWEEN(1,(MAX(Subject!$B:$B))),Subject!$B:$B,0),3))))</f>
        <v/>
      </c>
      <c r="Q280" s="2" t="str">
        <f t="array" ref="Q280">IF(NOW()&gt;BB280,"",IF(AND((WEEKDAY($A280)+$B$2)&gt;1,((WEEKDAY($A280)+$T$2)&lt;7),(WEEKDAY($A280)&lt;&gt;1)),"work",(INDEX(Subject!$A:$I,MATCH(RANDBETWEEN(1,(MAX(Subject!$B:$B))),Subject!$B:$B,0),3))))</f>
        <v/>
      </c>
      <c r="R280" s="2" t="str">
        <f t="array" ref="R280">IF(NOW()&gt;BC280,"",IF(AND((WEEKDAY($A280)+$B$2)&gt;1,((WEEKDAY($A280)+$T$2)&lt;7),(WEEKDAY($A280)&lt;&gt;1)),"work",(INDEX(Subject!$A:$I,MATCH(RANDBETWEEN(1,(MAX(Subject!$B:$B))),Subject!$B:$B,0),3))))</f>
        <v/>
      </c>
      <c r="S280" s="2" t="str">
        <f t="array" ref="S280">IF(NOW()&gt;BD280,"",IF(AND((WEEKDAY($A280)+$B$2)&gt;1,((WEEKDAY($A280)+$T$2)&lt;7),(WEEKDAY($A280)&lt;&gt;1)),"work",(INDEX(Subject!$A:$I,MATCH(RANDBETWEEN(1,(MAX(Subject!$B:$B))),Subject!$B:$B,0),3))))</f>
        <v/>
      </c>
      <c r="T280" s="2" t="str">
        <f t="array" ref="T280">IF(NOW()&gt;BE280,"",IF(AND((WEEKDAY($A280)+$B$2)&gt;1,((WEEKDAY($A280)+$T$2)&lt;7),(WEEKDAY($A280)&lt;&gt;1)),"work",(INDEX(Subject!$A:$I,MATCH(RANDBETWEEN(1,(MAX(Subject!$B:$B))),Subject!$B:$B,0),3))))</f>
        <v/>
      </c>
      <c r="U280" s="8" t="str">
        <f t="array" ref="U280">INDEX(Subject!$A:$I,MATCH(RANDBETWEEN(1,16),Subject!$B:$B,0),3)</f>
        <v>#N/A</v>
      </c>
      <c r="V280" s="8" t="str">
        <f t="array" ref="V280">INDEX(Subject!$A:$I,MATCH(RANDBETWEEN(1,16),Subject!$B:$B,0),3)</f>
        <v>#N/A</v>
      </c>
      <c r="W280" s="8" t="str">
        <f t="array" ref="W280">INDEX(Subject!$A:$I,MATCH(RANDBETWEEN(1,16),Subject!$B:$B,0),3)</f>
        <v>#N/A</v>
      </c>
      <c r="X280" s="8" t="str">
        <f t="array" ref="X280">INDEX(Subject!$A:$I,MATCH(RANDBETWEEN(1,16),Subject!$B:$B,0),3)</f>
        <v>#N/A</v>
      </c>
      <c r="Y280" s="8" t="str">
        <f t="array" ref="Y280">INDEX(Subject!$A:$I,MATCH(RANDBETWEEN(1,16),Subject!$B:$B,0),3)</f>
        <v/>
      </c>
      <c r="Z280" s="8" t="str">
        <f t="array" ref="Z280">INDEX(Subject!$A:$I,MATCH(RANDBETWEEN(1,16),Subject!$B:$B,0),3)</f>
        <v>#N/A</v>
      </c>
      <c r="AA280" s="8" t="str">
        <f t="array" ref="AA280">INDEX(Subject!$A:$I,MATCH(RANDBETWEEN(1,16),Subject!$B:$B,0),3)</f>
        <v>#N/A</v>
      </c>
      <c r="AB280" s="8" t="str">
        <f t="array" ref="AB280">INDEX(Subject!$A:$I,MATCH(RANDBETWEEN(1,16),Subject!$B:$B,0),3)</f>
        <v>#N/A</v>
      </c>
      <c r="AC280" s="8" t="str">
        <f t="array" ref="AC280">INDEX(Subject!$A:$I,MATCH(RANDBETWEEN(1,16),Subject!$B:$B,0),3)</f>
        <v>#N/A</v>
      </c>
      <c r="AD280" s="8" t="str">
        <f t="array" ref="AD280">INDEX(Subject!$A:$I,MATCH(RANDBETWEEN(1,16),Subject!$B:$B,0),3)</f>
        <v>#N/A</v>
      </c>
      <c r="AE280" s="8" t="str">
        <f t="array" ref="AE280">INDEX(Subject!$A:$I,MATCH(RANDBETWEEN(1,16),Subject!$B:$B,0),3)</f>
        <v>#N/A</v>
      </c>
      <c r="AF280" s="8" t="str">
        <f t="array" ref="AF280">INDEX(Subject!$A:$I,MATCH(RANDBETWEEN(1,16),Subject!$B:$B,0),3)</f>
        <v>#N/A</v>
      </c>
      <c r="AG280" s="8" t="str">
        <f t="array" ref="AG280">INDEX(Subject!$A:$I,MATCH(RANDBETWEEN(1,16),Subject!$B:$B,0),3)</f>
        <v>#N/A</v>
      </c>
      <c r="AH280" s="8" t="str">
        <f t="array" ref="AH280">INDEX(Subject!$A:$I,MATCH(RANDBETWEEN(1,16),Subject!$B:$B,0),3)</f>
        <v>#N/A</v>
      </c>
      <c r="AI280" s="8" t="str">
        <f t="array" ref="AI280">INDEX(Subject!$A:$I,MATCH(RANDBETWEEN(1,16),Subject!$B:$B,0),3)</f>
        <v>#N/A</v>
      </c>
      <c r="AJ280" s="8" t="str">
        <f t="array" ref="AJ280">INDEX(Subject!$A:$I,MATCH(RANDBETWEEN(1,16),Subject!$B:$B,0),3)</f>
        <v>#N/A</v>
      </c>
      <c r="AK280" s="8" t="str">
        <f t="array" ref="AK280">INDEX(Subject!$A:$I,MATCH(RANDBETWEEN(1,16),Subject!$B:$B,0),3)</f>
        <v/>
      </c>
      <c r="AL280" s="8" t="str">
        <f t="array" ref="AL280">INDEX(Subject!$A:$I,MATCH(RANDBETWEEN(1,16),Subject!$B:$B,0),3)</f>
        <v>#N/A</v>
      </c>
      <c r="AM280" s="18">
        <f t="shared" si="4"/>
        <v>45780.33333</v>
      </c>
      <c r="AN280" s="19">
        <f t="shared" ref="AN280:BZ280" si="280">$A280+C$1</f>
        <v>45780.35417</v>
      </c>
      <c r="AO280" s="19">
        <f t="shared" si="280"/>
        <v>45780.375</v>
      </c>
      <c r="AP280" s="19">
        <f t="shared" si="280"/>
        <v>45780.39583</v>
      </c>
      <c r="AQ280" s="19">
        <f t="shared" si="280"/>
        <v>45780.41667</v>
      </c>
      <c r="AR280" s="19">
        <f t="shared" si="280"/>
        <v>45780.4375</v>
      </c>
      <c r="AS280" s="19">
        <f t="shared" si="280"/>
        <v>45780.45833</v>
      </c>
      <c r="AT280" s="19">
        <f t="shared" si="280"/>
        <v>45780.47917</v>
      </c>
      <c r="AU280" s="19">
        <f t="shared" si="280"/>
        <v>45780.5</v>
      </c>
      <c r="AV280" s="19">
        <f t="shared" si="280"/>
        <v>45780.52083</v>
      </c>
      <c r="AW280" s="19">
        <f t="shared" si="280"/>
        <v>45780.54167</v>
      </c>
      <c r="AX280" s="19">
        <f t="shared" si="280"/>
        <v>45780.5625</v>
      </c>
      <c r="AY280" s="19">
        <f t="shared" si="280"/>
        <v>45780.58333</v>
      </c>
      <c r="AZ280" s="19">
        <f t="shared" si="280"/>
        <v>45780.60417</v>
      </c>
      <c r="BA280" s="19">
        <f t="shared" si="280"/>
        <v>45780.625</v>
      </c>
      <c r="BB280" s="19">
        <f t="shared" si="280"/>
        <v>45780.64583</v>
      </c>
      <c r="BC280" s="19">
        <f t="shared" si="280"/>
        <v>45780.66667</v>
      </c>
      <c r="BD280" s="19">
        <f t="shared" si="280"/>
        <v>45780.6875</v>
      </c>
      <c r="BE280" s="19">
        <f t="shared" si="280"/>
        <v>45780.70833</v>
      </c>
      <c r="BF280" s="19">
        <f t="shared" si="280"/>
        <v>45780.72917</v>
      </c>
      <c r="BG280" s="19">
        <f t="shared" si="280"/>
        <v>45780.75</v>
      </c>
      <c r="BH280" s="19">
        <f t="shared" si="280"/>
        <v>45780.77083</v>
      </c>
      <c r="BI280" s="19">
        <f t="shared" si="280"/>
        <v>45780.79167</v>
      </c>
      <c r="BJ280" s="19">
        <f t="shared" si="280"/>
        <v>45780.8125</v>
      </c>
      <c r="BK280" s="19">
        <f t="shared" si="280"/>
        <v>45780.83333</v>
      </c>
      <c r="BL280" s="19">
        <f t="shared" si="280"/>
        <v>45780.85417</v>
      </c>
      <c r="BM280" s="19">
        <f t="shared" si="280"/>
        <v>45780.875</v>
      </c>
      <c r="BN280" s="19">
        <f t="shared" si="280"/>
        <v>45780.89583</v>
      </c>
      <c r="BO280" s="19">
        <f t="shared" si="280"/>
        <v>45780.91667</v>
      </c>
      <c r="BP280" s="19">
        <f t="shared" si="280"/>
        <v>45780.9375</v>
      </c>
      <c r="BQ280" s="19">
        <f t="shared" si="280"/>
        <v>45780.95833</v>
      </c>
      <c r="BR280" s="19">
        <f t="shared" si="280"/>
        <v>45780.97917</v>
      </c>
      <c r="BS280" s="19">
        <f t="shared" si="280"/>
        <v>45781</v>
      </c>
      <c r="BT280" s="19">
        <f t="shared" si="280"/>
        <v>45781.02083</v>
      </c>
      <c r="BU280" s="19">
        <f t="shared" si="280"/>
        <v>45781.04167</v>
      </c>
      <c r="BV280" s="19">
        <f t="shared" si="280"/>
        <v>45781.0625</v>
      </c>
      <c r="BW280" s="19">
        <f t="shared" si="280"/>
        <v>45781.08333</v>
      </c>
      <c r="BX280" s="19">
        <f t="shared" si="280"/>
        <v>45780</v>
      </c>
      <c r="BY280" s="19">
        <f t="shared" si="280"/>
        <v>45780</v>
      </c>
      <c r="BZ280" s="19">
        <f t="shared" si="280"/>
        <v>45780</v>
      </c>
    </row>
    <row r="281" ht="14.25" customHeight="1">
      <c r="A281" s="17">
        <v>45781.0</v>
      </c>
      <c r="B281" s="2" t="str">
        <f t="array" ref="B281">IF(NOW()&gt;AM281,"",IF(AND((WEEKDAY($A281)+$B$2)&gt;1,((WEEKDAY($A281)+$T$2)&lt;7),(WEEKDAY($A281)&lt;&gt;1)),"work",(INDEX(Subject!$A:$I,MATCH(RANDBETWEEN(1,(MAX(Subject!$B:$B))),Subject!$B:$B,0),3))))</f>
        <v/>
      </c>
      <c r="C281" s="2" t="str">
        <f t="array" ref="C281">IF(NOW()&gt;AN281,"",IF(AND((WEEKDAY($A281)+$B$2)&gt;1,((WEEKDAY($A281)+$T$2)&lt;7),(WEEKDAY($A281)&lt;&gt;1)),"work",(INDEX(Subject!$A:$I,MATCH(RANDBETWEEN(1,(MAX(Subject!$B:$B))),Subject!$B:$B,0),3))))</f>
        <v/>
      </c>
      <c r="D281" s="2" t="str">
        <f t="array" ref="D281">IF(NOW()&gt;AO281,"",IF(AND((WEEKDAY($A281)+$B$2)&gt;1,((WEEKDAY($A281)+$T$2)&lt;7),(WEEKDAY($A281)&lt;&gt;1)),"work",(INDEX(Subject!$A:$I,MATCH(RANDBETWEEN(1,(MAX(Subject!$B:$B))),Subject!$B:$B,0),3))))</f>
        <v/>
      </c>
      <c r="E281" s="2" t="str">
        <f t="array" ref="E281">IF(NOW()&gt;AP281,"",IF(AND((WEEKDAY($A281)+$B$2)&gt;1,((WEEKDAY($A281)+$T$2)&lt;7),(WEEKDAY($A281)&lt;&gt;1)),"work",(INDEX(Subject!$A:$I,MATCH(RANDBETWEEN(1,(MAX(Subject!$B:$B))),Subject!$B:$B,0),3))))</f>
        <v/>
      </c>
      <c r="F281" s="2" t="str">
        <f t="array" ref="F281">IF(NOW()&gt;AQ281,"",IF(AND((WEEKDAY($A281)+$B$2)&gt;1,((WEEKDAY($A281)+$T$2)&lt;7),(WEEKDAY($A281)&lt;&gt;1)),"work",(INDEX(Subject!$A:$I,MATCH(RANDBETWEEN(1,(MAX(Subject!$B:$B))),Subject!$B:$B,0),3))))</f>
        <v/>
      </c>
      <c r="G281" s="2" t="str">
        <f t="array" ref="G281">IF(NOW()&gt;AR281,"",IF(AND((WEEKDAY($A281)+$B$2)&gt;1,((WEEKDAY($A281)+$T$2)&lt;7),(WEEKDAY($A281)&lt;&gt;1)),"work",(INDEX(Subject!$A:$I,MATCH(RANDBETWEEN(1,(MAX(Subject!$B:$B))),Subject!$B:$B,0),3))))</f>
        <v/>
      </c>
      <c r="H281" s="2" t="str">
        <f t="array" ref="H281">IF(NOW()&gt;AS281,"",IF(AND((WEEKDAY($A281)+$B$2)&gt;1,((WEEKDAY($A281)+$T$2)&lt;7),(WEEKDAY($A281)&lt;&gt;1)),"work",(INDEX(Subject!$A:$I,MATCH(RANDBETWEEN(1,(MAX(Subject!$B:$B))),Subject!$B:$B,0),3))))</f>
        <v/>
      </c>
      <c r="I281" s="2" t="str">
        <f t="array" ref="I281">IF(NOW()&gt;AT281,"",IF(AND((WEEKDAY($A281)+$B$2)&gt;1,((WEEKDAY($A281)+$T$2)&lt;7),(WEEKDAY($A281)&lt;&gt;1)),"work",(INDEX(Subject!$A:$I,MATCH(RANDBETWEEN(1,(MAX(Subject!$B:$B))),Subject!$B:$B,0),3))))</f>
        <v/>
      </c>
      <c r="J281" s="2" t="str">
        <f t="array" ref="J281">IF(NOW()&gt;AU281,"",IF(AND((WEEKDAY($A281)+$B$2)&gt;1,((WEEKDAY($A281)+$T$2)&lt;7),(WEEKDAY($A281)&lt;&gt;1)),"work",(INDEX(Subject!$A:$I,MATCH(RANDBETWEEN(1,(MAX(Subject!$B:$B))),Subject!$B:$B,0),3))))</f>
        <v/>
      </c>
      <c r="K281" s="2" t="str">
        <f t="array" ref="K281">IF(NOW()&gt;AV281,"",IF(AND((WEEKDAY($A281)+$B$2)&gt;1,((WEEKDAY($A281)+$T$2)&lt;7),(WEEKDAY($A281)&lt;&gt;1)),"work",(INDEX(Subject!$A:$I,MATCH(RANDBETWEEN(1,(MAX(Subject!$B:$B))),Subject!$B:$B,0),3))))</f>
        <v/>
      </c>
      <c r="L281" s="2" t="str">
        <f t="array" ref="L281">IF(NOW()&gt;AW281,"",IF(AND((WEEKDAY($A281)+$B$2)&gt;1,((WEEKDAY($A281)+$T$2)&lt;7),(WEEKDAY($A281)&lt;&gt;1)),"work",(INDEX(Subject!$A:$I,MATCH(RANDBETWEEN(1,(MAX(Subject!$B:$B))),Subject!$B:$B,0),3))))</f>
        <v/>
      </c>
      <c r="M281" s="2" t="str">
        <f t="array" ref="M281">IF(NOW()&gt;AX281,"",IF(AND((WEEKDAY($A281)+$B$2)&gt;1,((WEEKDAY($A281)+$T$2)&lt;7),(WEEKDAY($A281)&lt;&gt;1)),"work",(INDEX(Subject!$A:$I,MATCH(RANDBETWEEN(1,(MAX(Subject!$B:$B))),Subject!$B:$B,0),3))))</f>
        <v/>
      </c>
      <c r="N281" s="2" t="str">
        <f t="array" ref="N281">IF(NOW()&gt;AY281,"",IF(AND((WEEKDAY($A281)+$B$2)&gt;1,((WEEKDAY($A281)+$T$2)&lt;7),(WEEKDAY($A281)&lt;&gt;1)),"work",(INDEX(Subject!$A:$I,MATCH(RANDBETWEEN(1,(MAX(Subject!$B:$B))),Subject!$B:$B,0),3))))</f>
        <v/>
      </c>
      <c r="O281" s="2" t="str">
        <f t="array" ref="O281">IF(NOW()&gt;AZ281,"",IF(AND((WEEKDAY($A281)+$B$2)&gt;1,((WEEKDAY($A281)+$T$2)&lt;7),(WEEKDAY($A281)&lt;&gt;1)),"work",(INDEX(Subject!$A:$I,MATCH(RANDBETWEEN(1,(MAX(Subject!$B:$B))),Subject!$B:$B,0),3))))</f>
        <v/>
      </c>
      <c r="P281" s="2" t="str">
        <f t="array" ref="P281">IF(NOW()&gt;BA281,"",IF(AND((WEEKDAY($A281)+$B$2)&gt;1,((WEEKDAY($A281)+$T$2)&lt;7),(WEEKDAY($A281)&lt;&gt;1)),"work",(INDEX(Subject!$A:$I,MATCH(RANDBETWEEN(1,(MAX(Subject!$B:$B))),Subject!$B:$B,0),3))))</f>
        <v/>
      </c>
      <c r="Q281" s="2" t="str">
        <f t="array" ref="Q281">IF(NOW()&gt;BB281,"",IF(AND((WEEKDAY($A281)+$B$2)&gt;1,((WEEKDAY($A281)+$T$2)&lt;7),(WEEKDAY($A281)&lt;&gt;1)),"work",(INDEX(Subject!$A:$I,MATCH(RANDBETWEEN(1,(MAX(Subject!$B:$B))),Subject!$B:$B,0),3))))</f>
        <v/>
      </c>
      <c r="R281" s="2" t="str">
        <f t="array" ref="R281">IF(NOW()&gt;BC281,"",IF(AND((WEEKDAY($A281)+$B$2)&gt;1,((WEEKDAY($A281)+$T$2)&lt;7),(WEEKDAY($A281)&lt;&gt;1)),"work",(INDEX(Subject!$A:$I,MATCH(RANDBETWEEN(1,(MAX(Subject!$B:$B))),Subject!$B:$B,0),3))))</f>
        <v/>
      </c>
      <c r="S281" s="2" t="str">
        <f t="array" ref="S281">IF(NOW()&gt;BD281,"",IF(AND((WEEKDAY($A281)+$B$2)&gt;1,((WEEKDAY($A281)+$T$2)&lt;7),(WEEKDAY($A281)&lt;&gt;1)),"work",(INDEX(Subject!$A:$I,MATCH(RANDBETWEEN(1,(MAX(Subject!$B:$B))),Subject!$B:$B,0),3))))</f>
        <v/>
      </c>
      <c r="T281" s="2" t="str">
        <f t="array" ref="T281">IF(NOW()&gt;BE281,"",IF(AND((WEEKDAY($A281)+$B$2)&gt;1,((WEEKDAY($A281)+$T$2)&lt;7),(WEEKDAY($A281)&lt;&gt;1)),"work",(INDEX(Subject!$A:$I,MATCH(RANDBETWEEN(1,(MAX(Subject!$B:$B))),Subject!$B:$B,0),3))))</f>
        <v/>
      </c>
      <c r="U281" s="8" t="str">
        <f t="array" ref="U281">INDEX(Subject!$A:$I,MATCH(RANDBETWEEN(1,16),Subject!$B:$B,0),3)</f>
        <v/>
      </c>
      <c r="V281" s="8" t="str">
        <f t="array" ref="V281">INDEX(Subject!$A:$I,MATCH(RANDBETWEEN(1,16),Subject!$B:$B,0),3)</f>
        <v>#N/A</v>
      </c>
      <c r="W281" s="8" t="str">
        <f t="array" ref="W281">INDEX(Subject!$A:$I,MATCH(RANDBETWEEN(1,16),Subject!$B:$B,0),3)</f>
        <v>#N/A</v>
      </c>
      <c r="X281" s="8" t="str">
        <f t="array" ref="X281">INDEX(Subject!$A:$I,MATCH(RANDBETWEEN(1,16),Subject!$B:$B,0),3)</f>
        <v/>
      </c>
      <c r="Y281" s="8" t="str">
        <f t="array" ref="Y281">INDEX(Subject!$A:$I,MATCH(RANDBETWEEN(1,16),Subject!$B:$B,0),3)</f>
        <v>#N/A</v>
      </c>
      <c r="Z281" s="8" t="str">
        <f t="array" ref="Z281">INDEX(Subject!$A:$I,MATCH(RANDBETWEEN(1,16),Subject!$B:$B,0),3)</f>
        <v>#N/A</v>
      </c>
      <c r="AA281" s="8" t="str">
        <f t="array" ref="AA281">INDEX(Subject!$A:$I,MATCH(RANDBETWEEN(1,16),Subject!$B:$B,0),3)</f>
        <v>#N/A</v>
      </c>
      <c r="AB281" s="8" t="str">
        <f t="array" ref="AB281">INDEX(Subject!$A:$I,MATCH(RANDBETWEEN(1,16),Subject!$B:$B,0),3)</f>
        <v>#N/A</v>
      </c>
      <c r="AC281" s="8" t="str">
        <f t="array" ref="AC281">INDEX(Subject!$A:$I,MATCH(RANDBETWEEN(1,16),Subject!$B:$B,0),3)</f>
        <v/>
      </c>
      <c r="AD281" s="8" t="str">
        <f t="array" ref="AD281">INDEX(Subject!$A:$I,MATCH(RANDBETWEEN(1,16),Subject!$B:$B,0),3)</f>
        <v>#N/A</v>
      </c>
      <c r="AE281" s="8" t="str">
        <f t="array" ref="AE281">INDEX(Subject!$A:$I,MATCH(RANDBETWEEN(1,16),Subject!$B:$B,0),3)</f>
        <v/>
      </c>
      <c r="AF281" s="8" t="str">
        <f t="array" ref="AF281">INDEX(Subject!$A:$I,MATCH(RANDBETWEEN(1,16),Subject!$B:$B,0),3)</f>
        <v>#N/A</v>
      </c>
      <c r="AG281" s="8" t="str">
        <f t="array" ref="AG281">INDEX(Subject!$A:$I,MATCH(RANDBETWEEN(1,16),Subject!$B:$B,0),3)</f>
        <v>#N/A</v>
      </c>
      <c r="AH281" s="8" t="str">
        <f t="array" ref="AH281">INDEX(Subject!$A:$I,MATCH(RANDBETWEEN(1,16),Subject!$B:$B,0),3)</f>
        <v>#N/A</v>
      </c>
      <c r="AI281" s="8" t="str">
        <f t="array" ref="AI281">INDEX(Subject!$A:$I,MATCH(RANDBETWEEN(1,16),Subject!$B:$B,0),3)</f>
        <v>#N/A</v>
      </c>
      <c r="AJ281" s="8" t="str">
        <f t="array" ref="AJ281">INDEX(Subject!$A:$I,MATCH(RANDBETWEEN(1,16),Subject!$B:$B,0),3)</f>
        <v>#N/A</v>
      </c>
      <c r="AK281" s="8" t="str">
        <f t="array" ref="AK281">INDEX(Subject!$A:$I,MATCH(RANDBETWEEN(1,16),Subject!$B:$B,0),3)</f>
        <v>#N/A</v>
      </c>
      <c r="AL281" s="8" t="str">
        <f t="array" ref="AL281">INDEX(Subject!$A:$I,MATCH(RANDBETWEEN(1,16),Subject!$B:$B,0),3)</f>
        <v/>
      </c>
      <c r="AM281" s="18">
        <f t="shared" si="4"/>
        <v>45781.33333</v>
      </c>
      <c r="AN281" s="19">
        <f t="shared" ref="AN281:BZ281" si="281">$A281+C$1</f>
        <v>45781.35417</v>
      </c>
      <c r="AO281" s="19">
        <f t="shared" si="281"/>
        <v>45781.375</v>
      </c>
      <c r="AP281" s="19">
        <f t="shared" si="281"/>
        <v>45781.39583</v>
      </c>
      <c r="AQ281" s="19">
        <f t="shared" si="281"/>
        <v>45781.41667</v>
      </c>
      <c r="AR281" s="19">
        <f t="shared" si="281"/>
        <v>45781.4375</v>
      </c>
      <c r="AS281" s="19">
        <f t="shared" si="281"/>
        <v>45781.45833</v>
      </c>
      <c r="AT281" s="19">
        <f t="shared" si="281"/>
        <v>45781.47917</v>
      </c>
      <c r="AU281" s="19">
        <f t="shared" si="281"/>
        <v>45781.5</v>
      </c>
      <c r="AV281" s="19">
        <f t="shared" si="281"/>
        <v>45781.52083</v>
      </c>
      <c r="AW281" s="19">
        <f t="shared" si="281"/>
        <v>45781.54167</v>
      </c>
      <c r="AX281" s="19">
        <f t="shared" si="281"/>
        <v>45781.5625</v>
      </c>
      <c r="AY281" s="19">
        <f t="shared" si="281"/>
        <v>45781.58333</v>
      </c>
      <c r="AZ281" s="19">
        <f t="shared" si="281"/>
        <v>45781.60417</v>
      </c>
      <c r="BA281" s="19">
        <f t="shared" si="281"/>
        <v>45781.625</v>
      </c>
      <c r="BB281" s="19">
        <f t="shared" si="281"/>
        <v>45781.64583</v>
      </c>
      <c r="BC281" s="19">
        <f t="shared" si="281"/>
        <v>45781.66667</v>
      </c>
      <c r="BD281" s="19">
        <f t="shared" si="281"/>
        <v>45781.6875</v>
      </c>
      <c r="BE281" s="19">
        <f t="shared" si="281"/>
        <v>45781.70833</v>
      </c>
      <c r="BF281" s="19">
        <f t="shared" si="281"/>
        <v>45781.72917</v>
      </c>
      <c r="BG281" s="19">
        <f t="shared" si="281"/>
        <v>45781.75</v>
      </c>
      <c r="BH281" s="19">
        <f t="shared" si="281"/>
        <v>45781.77083</v>
      </c>
      <c r="BI281" s="19">
        <f t="shared" si="281"/>
        <v>45781.79167</v>
      </c>
      <c r="BJ281" s="19">
        <f t="shared" si="281"/>
        <v>45781.8125</v>
      </c>
      <c r="BK281" s="19">
        <f t="shared" si="281"/>
        <v>45781.83333</v>
      </c>
      <c r="BL281" s="19">
        <f t="shared" si="281"/>
        <v>45781.85417</v>
      </c>
      <c r="BM281" s="19">
        <f t="shared" si="281"/>
        <v>45781.875</v>
      </c>
      <c r="BN281" s="19">
        <f t="shared" si="281"/>
        <v>45781.89583</v>
      </c>
      <c r="BO281" s="19">
        <f t="shared" si="281"/>
        <v>45781.91667</v>
      </c>
      <c r="BP281" s="19">
        <f t="shared" si="281"/>
        <v>45781.9375</v>
      </c>
      <c r="BQ281" s="19">
        <f t="shared" si="281"/>
        <v>45781.95833</v>
      </c>
      <c r="BR281" s="19">
        <f t="shared" si="281"/>
        <v>45781.97917</v>
      </c>
      <c r="BS281" s="19">
        <f t="shared" si="281"/>
        <v>45782</v>
      </c>
      <c r="BT281" s="19">
        <f t="shared" si="281"/>
        <v>45782.02083</v>
      </c>
      <c r="BU281" s="19">
        <f t="shared" si="281"/>
        <v>45782.04167</v>
      </c>
      <c r="BV281" s="19">
        <f t="shared" si="281"/>
        <v>45782.0625</v>
      </c>
      <c r="BW281" s="19">
        <f t="shared" si="281"/>
        <v>45782.08333</v>
      </c>
      <c r="BX281" s="19">
        <f t="shared" si="281"/>
        <v>45781</v>
      </c>
      <c r="BY281" s="19">
        <f t="shared" si="281"/>
        <v>45781</v>
      </c>
      <c r="BZ281" s="19">
        <f t="shared" si="281"/>
        <v>45781</v>
      </c>
    </row>
    <row r="282" ht="14.25" customHeight="1">
      <c r="A282" s="17">
        <v>45782.0</v>
      </c>
      <c r="B282" s="2" t="str">
        <f t="array" ref="B282">IF(NOW()&gt;AM282,"",IF(AND((WEEKDAY($A282)+$B$2)&gt;1,((WEEKDAY($A282)+$T$2)&lt;7),(WEEKDAY($A282)&lt;&gt;1)),"work",(INDEX(Subject!$A:$I,MATCH(RANDBETWEEN(1,(MAX(Subject!$B:$B))),Subject!$B:$B,0),3))))</f>
        <v/>
      </c>
      <c r="C282" s="2" t="str">
        <f t="array" ref="C282">IF(NOW()&gt;AN282,"",IF(AND((WEEKDAY($A282)+$B$2)&gt;1,((WEEKDAY($A282)+$T$2)&lt;7),(WEEKDAY($A282)&lt;&gt;1)),"work",(INDEX(Subject!$A:$I,MATCH(RANDBETWEEN(1,(MAX(Subject!$B:$B))),Subject!$B:$B,0),3))))</f>
        <v/>
      </c>
      <c r="D282" s="2" t="str">
        <f t="array" ref="D282">IF(NOW()&gt;AO282,"",IF(AND((WEEKDAY($A282)+$B$2)&gt;1,((WEEKDAY($A282)+$T$2)&lt;7),(WEEKDAY($A282)&lt;&gt;1)),"work",(INDEX(Subject!$A:$I,MATCH(RANDBETWEEN(1,(MAX(Subject!$B:$B))),Subject!$B:$B,0),3))))</f>
        <v/>
      </c>
      <c r="E282" s="2" t="str">
        <f t="array" ref="E282">IF(NOW()&gt;AP282,"",IF(AND((WEEKDAY($A282)+$B$2)&gt;1,((WEEKDAY($A282)+$T$2)&lt;7),(WEEKDAY($A282)&lt;&gt;1)),"work",(INDEX(Subject!$A:$I,MATCH(RANDBETWEEN(1,(MAX(Subject!$B:$B))),Subject!$B:$B,0),3))))</f>
        <v/>
      </c>
      <c r="F282" s="2" t="str">
        <f t="array" ref="F282">IF(NOW()&gt;AQ282,"",IF(AND((WEEKDAY($A282)+$B$2)&gt;1,((WEEKDAY($A282)+$T$2)&lt;7),(WEEKDAY($A282)&lt;&gt;1)),"work",(INDEX(Subject!$A:$I,MATCH(RANDBETWEEN(1,(MAX(Subject!$B:$B))),Subject!$B:$B,0),3))))</f>
        <v/>
      </c>
      <c r="G282" s="2" t="str">
        <f t="array" ref="G282">IF(NOW()&gt;AR282,"",IF(AND((WEEKDAY($A282)+$B$2)&gt;1,((WEEKDAY($A282)+$T$2)&lt;7),(WEEKDAY($A282)&lt;&gt;1)),"work",(INDEX(Subject!$A:$I,MATCH(RANDBETWEEN(1,(MAX(Subject!$B:$B))),Subject!$B:$B,0),3))))</f>
        <v/>
      </c>
      <c r="H282" s="2" t="str">
        <f t="array" ref="H282">IF(NOW()&gt;AS282,"",IF(AND((WEEKDAY($A282)+$B$2)&gt;1,((WEEKDAY($A282)+$T$2)&lt;7),(WEEKDAY($A282)&lt;&gt;1)),"work",(INDEX(Subject!$A:$I,MATCH(RANDBETWEEN(1,(MAX(Subject!$B:$B))),Subject!$B:$B,0),3))))</f>
        <v/>
      </c>
      <c r="I282" s="2" t="str">
        <f t="array" ref="I282">IF(NOW()&gt;AT282,"",IF(AND((WEEKDAY($A282)+$B$2)&gt;1,((WEEKDAY($A282)+$T$2)&lt;7),(WEEKDAY($A282)&lt;&gt;1)),"work",(INDEX(Subject!$A:$I,MATCH(RANDBETWEEN(1,(MAX(Subject!$B:$B))),Subject!$B:$B,0),3))))</f>
        <v/>
      </c>
      <c r="J282" s="2" t="str">
        <f t="array" ref="J282">IF(NOW()&gt;AU282,"",IF(AND((WEEKDAY($A282)+$B$2)&gt;1,((WEEKDAY($A282)+$T$2)&lt;7),(WEEKDAY($A282)&lt;&gt;1)),"work",(INDEX(Subject!$A:$I,MATCH(RANDBETWEEN(1,(MAX(Subject!$B:$B))),Subject!$B:$B,0),3))))</f>
        <v/>
      </c>
      <c r="K282" s="2" t="str">
        <f t="array" ref="K282">IF(NOW()&gt;AV282,"",IF(AND((WEEKDAY($A282)+$B$2)&gt;1,((WEEKDAY($A282)+$T$2)&lt;7),(WEEKDAY($A282)&lt;&gt;1)),"work",(INDEX(Subject!$A:$I,MATCH(RANDBETWEEN(1,(MAX(Subject!$B:$B))),Subject!$B:$B,0),3))))</f>
        <v/>
      </c>
      <c r="L282" s="2" t="str">
        <f t="array" ref="L282">IF(NOW()&gt;AW282,"",IF(AND((WEEKDAY($A282)+$B$2)&gt;1,((WEEKDAY($A282)+$T$2)&lt;7),(WEEKDAY($A282)&lt;&gt;1)),"work",(INDEX(Subject!$A:$I,MATCH(RANDBETWEEN(1,(MAX(Subject!$B:$B))),Subject!$B:$B,0),3))))</f>
        <v/>
      </c>
      <c r="M282" s="2" t="str">
        <f t="array" ref="M282">IF(NOW()&gt;AX282,"",IF(AND((WEEKDAY($A282)+$B$2)&gt;1,((WEEKDAY($A282)+$T$2)&lt;7),(WEEKDAY($A282)&lt;&gt;1)),"work",(INDEX(Subject!$A:$I,MATCH(RANDBETWEEN(1,(MAX(Subject!$B:$B))),Subject!$B:$B,0),3))))</f>
        <v/>
      </c>
      <c r="N282" s="2" t="str">
        <f t="array" ref="N282">IF(NOW()&gt;AY282,"",IF(AND((WEEKDAY($A282)+$B$2)&gt;1,((WEEKDAY($A282)+$T$2)&lt;7),(WEEKDAY($A282)&lt;&gt;1)),"work",(INDEX(Subject!$A:$I,MATCH(RANDBETWEEN(1,(MAX(Subject!$B:$B))),Subject!$B:$B,0),3))))</f>
        <v/>
      </c>
      <c r="O282" s="2" t="str">
        <f t="array" ref="O282">IF(NOW()&gt;AZ282,"",IF(AND((WEEKDAY($A282)+$B$2)&gt;1,((WEEKDAY($A282)+$T$2)&lt;7),(WEEKDAY($A282)&lt;&gt;1)),"work",(INDEX(Subject!$A:$I,MATCH(RANDBETWEEN(1,(MAX(Subject!$B:$B))),Subject!$B:$B,0),3))))</f>
        <v/>
      </c>
      <c r="P282" s="2" t="str">
        <f t="array" ref="P282">IF(NOW()&gt;BA282,"",IF(AND((WEEKDAY($A282)+$B$2)&gt;1,((WEEKDAY($A282)+$T$2)&lt;7),(WEEKDAY($A282)&lt;&gt;1)),"work",(INDEX(Subject!$A:$I,MATCH(RANDBETWEEN(1,(MAX(Subject!$B:$B))),Subject!$B:$B,0),3))))</f>
        <v/>
      </c>
      <c r="Q282" s="2" t="str">
        <f t="array" ref="Q282">IF(NOW()&gt;BB282,"",IF(AND((WEEKDAY($A282)+$B$2)&gt;1,((WEEKDAY($A282)+$T$2)&lt;7),(WEEKDAY($A282)&lt;&gt;1)),"work",(INDEX(Subject!$A:$I,MATCH(RANDBETWEEN(1,(MAX(Subject!$B:$B))),Subject!$B:$B,0),3))))</f>
        <v/>
      </c>
      <c r="R282" s="2" t="str">
        <f t="array" ref="R282">IF(NOW()&gt;BC282,"",IF(AND((WEEKDAY($A282)+$B$2)&gt;1,((WEEKDAY($A282)+$T$2)&lt;7),(WEEKDAY($A282)&lt;&gt;1)),"work",(INDEX(Subject!$A:$I,MATCH(RANDBETWEEN(1,(MAX(Subject!$B:$B))),Subject!$B:$B,0),3))))</f>
        <v/>
      </c>
      <c r="S282" s="2" t="str">
        <f t="array" ref="S282">IF(NOW()&gt;BD282,"",IF(AND((WEEKDAY($A282)+$B$2)&gt;1,((WEEKDAY($A282)+$T$2)&lt;7),(WEEKDAY($A282)&lt;&gt;1)),"work",(INDEX(Subject!$A:$I,MATCH(RANDBETWEEN(1,(MAX(Subject!$B:$B))),Subject!$B:$B,0),3))))</f>
        <v/>
      </c>
      <c r="T282" s="2" t="str">
        <f t="array" ref="T282">IF(NOW()&gt;BE282,"",IF(AND((WEEKDAY($A282)+$B$2)&gt;1,((WEEKDAY($A282)+$T$2)&lt;7),(WEEKDAY($A282)&lt;&gt;1)),"work",(INDEX(Subject!$A:$I,MATCH(RANDBETWEEN(1,(MAX(Subject!$B:$B))),Subject!$B:$B,0),3))))</f>
        <v/>
      </c>
      <c r="U282" s="8" t="str">
        <f t="array" ref="U282">INDEX(Subject!$A:$I,MATCH(RANDBETWEEN(1,16),Subject!$B:$B,0),3)</f>
        <v>#N/A</v>
      </c>
      <c r="V282" s="8" t="str">
        <f t="array" ref="V282">INDEX(Subject!$A:$I,MATCH(RANDBETWEEN(1,16),Subject!$B:$B,0),3)</f>
        <v>#N/A</v>
      </c>
      <c r="W282" s="8" t="str">
        <f t="array" ref="W282">INDEX(Subject!$A:$I,MATCH(RANDBETWEEN(1,16),Subject!$B:$B,0),3)</f>
        <v>#N/A</v>
      </c>
      <c r="X282" s="8" t="str">
        <f t="array" ref="X282">INDEX(Subject!$A:$I,MATCH(RANDBETWEEN(1,16),Subject!$B:$B,0),3)</f>
        <v>#N/A</v>
      </c>
      <c r="Y282" s="8" t="str">
        <f t="array" ref="Y282">INDEX(Subject!$A:$I,MATCH(RANDBETWEEN(1,16),Subject!$B:$B,0),3)</f>
        <v>#N/A</v>
      </c>
      <c r="Z282" s="8" t="str">
        <f t="array" ref="Z282">INDEX(Subject!$A:$I,MATCH(RANDBETWEEN(1,16),Subject!$B:$B,0),3)</f>
        <v>#N/A</v>
      </c>
      <c r="AA282" s="8" t="str">
        <f t="array" ref="AA282">INDEX(Subject!$A:$I,MATCH(RANDBETWEEN(1,16),Subject!$B:$B,0),3)</f>
        <v>#N/A</v>
      </c>
      <c r="AB282" s="8" t="str">
        <f t="array" ref="AB282">INDEX(Subject!$A:$I,MATCH(RANDBETWEEN(1,16),Subject!$B:$B,0),3)</f>
        <v/>
      </c>
      <c r="AC282" s="8" t="str">
        <f t="array" ref="AC282">INDEX(Subject!$A:$I,MATCH(RANDBETWEEN(1,16),Subject!$B:$B,0),3)</f>
        <v>#N/A</v>
      </c>
      <c r="AD282" s="8" t="str">
        <f t="array" ref="AD282">INDEX(Subject!$A:$I,MATCH(RANDBETWEEN(1,16),Subject!$B:$B,0),3)</f>
        <v>#N/A</v>
      </c>
      <c r="AE282" s="8" t="str">
        <f t="array" ref="AE282">INDEX(Subject!$A:$I,MATCH(RANDBETWEEN(1,16),Subject!$B:$B,0),3)</f>
        <v>#N/A</v>
      </c>
      <c r="AF282" s="8" t="str">
        <f t="array" ref="AF282">INDEX(Subject!$A:$I,MATCH(RANDBETWEEN(1,16),Subject!$B:$B,0),3)</f>
        <v>#N/A</v>
      </c>
      <c r="AG282" s="8" t="str">
        <f t="array" ref="AG282">INDEX(Subject!$A:$I,MATCH(RANDBETWEEN(1,16),Subject!$B:$B,0),3)</f>
        <v>#N/A</v>
      </c>
      <c r="AH282" s="8" t="str">
        <f t="array" ref="AH282">INDEX(Subject!$A:$I,MATCH(RANDBETWEEN(1,16),Subject!$B:$B,0),3)</f>
        <v>#N/A</v>
      </c>
      <c r="AI282" s="8" t="str">
        <f t="array" ref="AI282">INDEX(Subject!$A:$I,MATCH(RANDBETWEEN(1,16),Subject!$B:$B,0),3)</f>
        <v>#N/A</v>
      </c>
      <c r="AJ282" s="8" t="str">
        <f t="array" ref="AJ282">INDEX(Subject!$A:$I,MATCH(RANDBETWEEN(1,16),Subject!$B:$B,0),3)</f>
        <v>#N/A</v>
      </c>
      <c r="AK282" s="8" t="str">
        <f t="array" ref="AK282">INDEX(Subject!$A:$I,MATCH(RANDBETWEEN(1,16),Subject!$B:$B,0),3)</f>
        <v>#N/A</v>
      </c>
      <c r="AL282" s="8" t="str">
        <f t="array" ref="AL282">INDEX(Subject!$A:$I,MATCH(RANDBETWEEN(1,16),Subject!$B:$B,0),3)</f>
        <v>#N/A</v>
      </c>
      <c r="AM282" s="18">
        <f t="shared" si="4"/>
        <v>45782.33333</v>
      </c>
      <c r="AN282" s="19">
        <f t="shared" ref="AN282:BZ282" si="282">$A282+C$1</f>
        <v>45782.35417</v>
      </c>
      <c r="AO282" s="19">
        <f t="shared" si="282"/>
        <v>45782.375</v>
      </c>
      <c r="AP282" s="19">
        <f t="shared" si="282"/>
        <v>45782.39583</v>
      </c>
      <c r="AQ282" s="19">
        <f t="shared" si="282"/>
        <v>45782.41667</v>
      </c>
      <c r="AR282" s="19">
        <f t="shared" si="282"/>
        <v>45782.4375</v>
      </c>
      <c r="AS282" s="19">
        <f t="shared" si="282"/>
        <v>45782.45833</v>
      </c>
      <c r="AT282" s="19">
        <f t="shared" si="282"/>
        <v>45782.47917</v>
      </c>
      <c r="AU282" s="19">
        <f t="shared" si="282"/>
        <v>45782.5</v>
      </c>
      <c r="AV282" s="19">
        <f t="shared" si="282"/>
        <v>45782.52083</v>
      </c>
      <c r="AW282" s="19">
        <f t="shared" si="282"/>
        <v>45782.54167</v>
      </c>
      <c r="AX282" s="19">
        <f t="shared" si="282"/>
        <v>45782.5625</v>
      </c>
      <c r="AY282" s="19">
        <f t="shared" si="282"/>
        <v>45782.58333</v>
      </c>
      <c r="AZ282" s="19">
        <f t="shared" si="282"/>
        <v>45782.60417</v>
      </c>
      <c r="BA282" s="19">
        <f t="shared" si="282"/>
        <v>45782.625</v>
      </c>
      <c r="BB282" s="19">
        <f t="shared" si="282"/>
        <v>45782.64583</v>
      </c>
      <c r="BC282" s="19">
        <f t="shared" si="282"/>
        <v>45782.66667</v>
      </c>
      <c r="BD282" s="19">
        <f t="shared" si="282"/>
        <v>45782.6875</v>
      </c>
      <c r="BE282" s="19">
        <f t="shared" si="282"/>
        <v>45782.70833</v>
      </c>
      <c r="BF282" s="19">
        <f t="shared" si="282"/>
        <v>45782.72917</v>
      </c>
      <c r="BG282" s="19">
        <f t="shared" si="282"/>
        <v>45782.75</v>
      </c>
      <c r="BH282" s="19">
        <f t="shared" si="282"/>
        <v>45782.77083</v>
      </c>
      <c r="BI282" s="19">
        <f t="shared" si="282"/>
        <v>45782.79167</v>
      </c>
      <c r="BJ282" s="19">
        <f t="shared" si="282"/>
        <v>45782.8125</v>
      </c>
      <c r="BK282" s="19">
        <f t="shared" si="282"/>
        <v>45782.83333</v>
      </c>
      <c r="BL282" s="19">
        <f t="shared" si="282"/>
        <v>45782.85417</v>
      </c>
      <c r="BM282" s="19">
        <f t="shared" si="282"/>
        <v>45782.875</v>
      </c>
      <c r="BN282" s="19">
        <f t="shared" si="282"/>
        <v>45782.89583</v>
      </c>
      <c r="BO282" s="19">
        <f t="shared" si="282"/>
        <v>45782.91667</v>
      </c>
      <c r="BP282" s="19">
        <f t="shared" si="282"/>
        <v>45782.9375</v>
      </c>
      <c r="BQ282" s="19">
        <f t="shared" si="282"/>
        <v>45782.95833</v>
      </c>
      <c r="BR282" s="19">
        <f t="shared" si="282"/>
        <v>45782.97917</v>
      </c>
      <c r="BS282" s="19">
        <f t="shared" si="282"/>
        <v>45783</v>
      </c>
      <c r="BT282" s="19">
        <f t="shared" si="282"/>
        <v>45783.02083</v>
      </c>
      <c r="BU282" s="19">
        <f t="shared" si="282"/>
        <v>45783.04167</v>
      </c>
      <c r="BV282" s="19">
        <f t="shared" si="282"/>
        <v>45783.0625</v>
      </c>
      <c r="BW282" s="19">
        <f t="shared" si="282"/>
        <v>45783.08333</v>
      </c>
      <c r="BX282" s="19">
        <f t="shared" si="282"/>
        <v>45782</v>
      </c>
      <c r="BY282" s="19">
        <f t="shared" si="282"/>
        <v>45782</v>
      </c>
      <c r="BZ282" s="19">
        <f t="shared" si="282"/>
        <v>45782</v>
      </c>
    </row>
    <row r="283" ht="14.25" customHeight="1">
      <c r="A283" s="17">
        <v>45783.0</v>
      </c>
      <c r="B283" s="2" t="str">
        <f t="array" ref="B283">IF(NOW()&gt;AM283,"",IF(AND((WEEKDAY($A283)+$B$2)&gt;1,((WEEKDAY($A283)+$T$2)&lt;7),(WEEKDAY($A283)&lt;&gt;1)),"work",(INDEX(Subject!$A:$I,MATCH(RANDBETWEEN(1,(MAX(Subject!$B:$B))),Subject!$B:$B,0),3))))</f>
        <v/>
      </c>
      <c r="C283" s="2" t="str">
        <f t="array" ref="C283">IF(NOW()&gt;AN283,"",IF(AND((WEEKDAY($A283)+$B$2)&gt;1,((WEEKDAY($A283)+$T$2)&lt;7),(WEEKDAY($A283)&lt;&gt;1)),"work",(INDEX(Subject!$A:$I,MATCH(RANDBETWEEN(1,(MAX(Subject!$B:$B))),Subject!$B:$B,0),3))))</f>
        <v/>
      </c>
      <c r="D283" s="2" t="str">
        <f t="array" ref="D283">IF(NOW()&gt;AO283,"",IF(AND((WEEKDAY($A283)+$B$2)&gt;1,((WEEKDAY($A283)+$T$2)&lt;7),(WEEKDAY($A283)&lt;&gt;1)),"work",(INDEX(Subject!$A:$I,MATCH(RANDBETWEEN(1,(MAX(Subject!$B:$B))),Subject!$B:$B,0),3))))</f>
        <v/>
      </c>
      <c r="E283" s="2" t="str">
        <f t="array" ref="E283">IF(NOW()&gt;AP283,"",IF(AND((WEEKDAY($A283)+$B$2)&gt;1,((WEEKDAY($A283)+$T$2)&lt;7),(WEEKDAY($A283)&lt;&gt;1)),"work",(INDEX(Subject!$A:$I,MATCH(RANDBETWEEN(1,(MAX(Subject!$B:$B))),Subject!$B:$B,0),3))))</f>
        <v/>
      </c>
      <c r="F283" s="2" t="str">
        <f t="array" ref="F283">IF(NOW()&gt;AQ283,"",IF(AND((WEEKDAY($A283)+$B$2)&gt;1,((WEEKDAY($A283)+$T$2)&lt;7),(WEEKDAY($A283)&lt;&gt;1)),"work",(INDEX(Subject!$A:$I,MATCH(RANDBETWEEN(1,(MAX(Subject!$B:$B))),Subject!$B:$B,0),3))))</f>
        <v/>
      </c>
      <c r="G283" s="2" t="str">
        <f t="array" ref="G283">IF(NOW()&gt;AR283,"",IF(AND((WEEKDAY($A283)+$B$2)&gt;1,((WEEKDAY($A283)+$T$2)&lt;7),(WEEKDAY($A283)&lt;&gt;1)),"work",(INDEX(Subject!$A:$I,MATCH(RANDBETWEEN(1,(MAX(Subject!$B:$B))),Subject!$B:$B,0),3))))</f>
        <v/>
      </c>
      <c r="H283" s="2" t="str">
        <f t="array" ref="H283">IF(NOW()&gt;AS283,"",IF(AND((WEEKDAY($A283)+$B$2)&gt;1,((WEEKDAY($A283)+$T$2)&lt;7),(WEEKDAY($A283)&lt;&gt;1)),"work",(INDEX(Subject!$A:$I,MATCH(RANDBETWEEN(1,(MAX(Subject!$B:$B))),Subject!$B:$B,0),3))))</f>
        <v/>
      </c>
      <c r="I283" s="2" t="str">
        <f t="array" ref="I283">IF(NOW()&gt;AT283,"",IF(AND((WEEKDAY($A283)+$B$2)&gt;1,((WEEKDAY($A283)+$T$2)&lt;7),(WEEKDAY($A283)&lt;&gt;1)),"work",(INDEX(Subject!$A:$I,MATCH(RANDBETWEEN(1,(MAX(Subject!$B:$B))),Subject!$B:$B,0),3))))</f>
        <v/>
      </c>
      <c r="J283" s="2" t="str">
        <f t="array" ref="J283">IF(NOW()&gt;AU283,"",IF(AND((WEEKDAY($A283)+$B$2)&gt;1,((WEEKDAY($A283)+$T$2)&lt;7),(WEEKDAY($A283)&lt;&gt;1)),"work",(INDEX(Subject!$A:$I,MATCH(RANDBETWEEN(1,(MAX(Subject!$B:$B))),Subject!$B:$B,0),3))))</f>
        <v/>
      </c>
      <c r="K283" s="2" t="str">
        <f t="array" ref="K283">IF(NOW()&gt;AV283,"",IF(AND((WEEKDAY($A283)+$B$2)&gt;1,((WEEKDAY($A283)+$T$2)&lt;7),(WEEKDAY($A283)&lt;&gt;1)),"work",(INDEX(Subject!$A:$I,MATCH(RANDBETWEEN(1,(MAX(Subject!$B:$B))),Subject!$B:$B,0),3))))</f>
        <v/>
      </c>
      <c r="L283" s="2" t="str">
        <f t="array" ref="L283">IF(NOW()&gt;AW283,"",IF(AND((WEEKDAY($A283)+$B$2)&gt;1,((WEEKDAY($A283)+$T$2)&lt;7),(WEEKDAY($A283)&lt;&gt;1)),"work",(INDEX(Subject!$A:$I,MATCH(RANDBETWEEN(1,(MAX(Subject!$B:$B))),Subject!$B:$B,0),3))))</f>
        <v/>
      </c>
      <c r="M283" s="2" t="str">
        <f t="array" ref="M283">IF(NOW()&gt;AX283,"",IF(AND((WEEKDAY($A283)+$B$2)&gt;1,((WEEKDAY($A283)+$T$2)&lt;7),(WEEKDAY($A283)&lt;&gt;1)),"work",(INDEX(Subject!$A:$I,MATCH(RANDBETWEEN(1,(MAX(Subject!$B:$B))),Subject!$B:$B,0),3))))</f>
        <v/>
      </c>
      <c r="N283" s="2" t="str">
        <f t="array" ref="N283">IF(NOW()&gt;AY283,"",IF(AND((WEEKDAY($A283)+$B$2)&gt;1,((WEEKDAY($A283)+$T$2)&lt;7),(WEEKDAY($A283)&lt;&gt;1)),"work",(INDEX(Subject!$A:$I,MATCH(RANDBETWEEN(1,(MAX(Subject!$B:$B))),Subject!$B:$B,0),3))))</f>
        <v/>
      </c>
      <c r="O283" s="2" t="str">
        <f t="array" ref="O283">IF(NOW()&gt;AZ283,"",IF(AND((WEEKDAY($A283)+$B$2)&gt;1,((WEEKDAY($A283)+$T$2)&lt;7),(WEEKDAY($A283)&lt;&gt;1)),"work",(INDEX(Subject!$A:$I,MATCH(RANDBETWEEN(1,(MAX(Subject!$B:$B))),Subject!$B:$B,0),3))))</f>
        <v/>
      </c>
      <c r="P283" s="2" t="str">
        <f t="array" ref="P283">IF(NOW()&gt;BA283,"",IF(AND((WEEKDAY($A283)+$B$2)&gt;1,((WEEKDAY($A283)+$T$2)&lt;7),(WEEKDAY($A283)&lt;&gt;1)),"work",(INDEX(Subject!$A:$I,MATCH(RANDBETWEEN(1,(MAX(Subject!$B:$B))),Subject!$B:$B,0),3))))</f>
        <v/>
      </c>
      <c r="Q283" s="2" t="str">
        <f t="array" ref="Q283">IF(NOW()&gt;BB283,"",IF(AND((WEEKDAY($A283)+$B$2)&gt;1,((WEEKDAY($A283)+$T$2)&lt;7),(WEEKDAY($A283)&lt;&gt;1)),"work",(INDEX(Subject!$A:$I,MATCH(RANDBETWEEN(1,(MAX(Subject!$B:$B))),Subject!$B:$B,0),3))))</f>
        <v/>
      </c>
      <c r="R283" s="2" t="str">
        <f t="array" ref="R283">IF(NOW()&gt;BC283,"",IF(AND((WEEKDAY($A283)+$B$2)&gt;1,((WEEKDAY($A283)+$T$2)&lt;7),(WEEKDAY($A283)&lt;&gt;1)),"work",(INDEX(Subject!$A:$I,MATCH(RANDBETWEEN(1,(MAX(Subject!$B:$B))),Subject!$B:$B,0),3))))</f>
        <v/>
      </c>
      <c r="S283" s="2" t="str">
        <f t="array" ref="S283">IF(NOW()&gt;BD283,"",IF(AND((WEEKDAY($A283)+$B$2)&gt;1,((WEEKDAY($A283)+$T$2)&lt;7),(WEEKDAY($A283)&lt;&gt;1)),"work",(INDEX(Subject!$A:$I,MATCH(RANDBETWEEN(1,(MAX(Subject!$B:$B))),Subject!$B:$B,0),3))))</f>
        <v/>
      </c>
      <c r="T283" s="2" t="str">
        <f t="array" ref="T283">IF(NOW()&gt;BE283,"",IF(AND((WEEKDAY($A283)+$B$2)&gt;1,((WEEKDAY($A283)+$T$2)&lt;7),(WEEKDAY($A283)&lt;&gt;1)),"work",(INDEX(Subject!$A:$I,MATCH(RANDBETWEEN(1,(MAX(Subject!$B:$B))),Subject!$B:$B,0),3))))</f>
        <v/>
      </c>
      <c r="U283" s="8" t="str">
        <f t="array" ref="U283">INDEX(Subject!$A:$I,MATCH(RANDBETWEEN(1,16),Subject!$B:$B,0),3)</f>
        <v>#N/A</v>
      </c>
      <c r="V283" s="8" t="str">
        <f t="array" ref="V283">INDEX(Subject!$A:$I,MATCH(RANDBETWEEN(1,16),Subject!$B:$B,0),3)</f>
        <v>#N/A</v>
      </c>
      <c r="W283" s="8" t="str">
        <f t="array" ref="W283">INDEX(Subject!$A:$I,MATCH(RANDBETWEEN(1,16),Subject!$B:$B,0),3)</f>
        <v>#N/A</v>
      </c>
      <c r="X283" s="8" t="str">
        <f t="array" ref="X283">INDEX(Subject!$A:$I,MATCH(RANDBETWEEN(1,16),Subject!$B:$B,0),3)</f>
        <v/>
      </c>
      <c r="Y283" s="8" t="str">
        <f t="array" ref="Y283">INDEX(Subject!$A:$I,MATCH(RANDBETWEEN(1,16),Subject!$B:$B,0),3)</f>
        <v/>
      </c>
      <c r="Z283" s="8" t="str">
        <f t="array" ref="Z283">INDEX(Subject!$A:$I,MATCH(RANDBETWEEN(1,16),Subject!$B:$B,0),3)</f>
        <v/>
      </c>
      <c r="AA283" s="8" t="str">
        <f t="array" ref="AA283">INDEX(Subject!$A:$I,MATCH(RANDBETWEEN(1,16),Subject!$B:$B,0),3)</f>
        <v>#N/A</v>
      </c>
      <c r="AB283" s="8" t="str">
        <f t="array" ref="AB283">INDEX(Subject!$A:$I,MATCH(RANDBETWEEN(1,16),Subject!$B:$B,0),3)</f>
        <v>#N/A</v>
      </c>
      <c r="AC283" s="8" t="str">
        <f t="array" ref="AC283">INDEX(Subject!$A:$I,MATCH(RANDBETWEEN(1,16),Subject!$B:$B,0),3)</f>
        <v>#N/A</v>
      </c>
      <c r="AD283" s="8" t="str">
        <f t="array" ref="AD283">INDEX(Subject!$A:$I,MATCH(RANDBETWEEN(1,16),Subject!$B:$B,0),3)</f>
        <v>#N/A</v>
      </c>
      <c r="AE283" s="8" t="str">
        <f t="array" ref="AE283">INDEX(Subject!$A:$I,MATCH(RANDBETWEEN(1,16),Subject!$B:$B,0),3)</f>
        <v>#N/A</v>
      </c>
      <c r="AF283" s="8" t="str">
        <f t="array" ref="AF283">INDEX(Subject!$A:$I,MATCH(RANDBETWEEN(1,16),Subject!$B:$B,0),3)</f>
        <v>#N/A</v>
      </c>
      <c r="AG283" s="8" t="str">
        <f t="array" ref="AG283">INDEX(Subject!$A:$I,MATCH(RANDBETWEEN(1,16),Subject!$B:$B,0),3)</f>
        <v>#N/A</v>
      </c>
      <c r="AH283" s="8" t="str">
        <f t="array" ref="AH283">INDEX(Subject!$A:$I,MATCH(RANDBETWEEN(1,16),Subject!$B:$B,0),3)</f>
        <v>#N/A</v>
      </c>
      <c r="AI283" s="8" t="str">
        <f t="array" ref="AI283">INDEX(Subject!$A:$I,MATCH(RANDBETWEEN(1,16),Subject!$B:$B,0),3)</f>
        <v>#N/A</v>
      </c>
      <c r="AJ283" s="8" t="str">
        <f t="array" ref="AJ283">INDEX(Subject!$A:$I,MATCH(RANDBETWEEN(1,16),Subject!$B:$B,0),3)</f>
        <v>#N/A</v>
      </c>
      <c r="AK283" s="8" t="str">
        <f t="array" ref="AK283">INDEX(Subject!$A:$I,MATCH(RANDBETWEEN(1,16),Subject!$B:$B,0),3)</f>
        <v>#N/A</v>
      </c>
      <c r="AL283" s="8" t="str">
        <f t="array" ref="AL283">INDEX(Subject!$A:$I,MATCH(RANDBETWEEN(1,16),Subject!$B:$B,0),3)</f>
        <v>#N/A</v>
      </c>
      <c r="AM283" s="18">
        <f t="shared" si="4"/>
        <v>45783.33333</v>
      </c>
      <c r="AN283" s="19">
        <f t="shared" ref="AN283:BZ283" si="283">$A283+C$1</f>
        <v>45783.35417</v>
      </c>
      <c r="AO283" s="19">
        <f t="shared" si="283"/>
        <v>45783.375</v>
      </c>
      <c r="AP283" s="19">
        <f t="shared" si="283"/>
        <v>45783.39583</v>
      </c>
      <c r="AQ283" s="19">
        <f t="shared" si="283"/>
        <v>45783.41667</v>
      </c>
      <c r="AR283" s="19">
        <f t="shared" si="283"/>
        <v>45783.4375</v>
      </c>
      <c r="AS283" s="19">
        <f t="shared" si="283"/>
        <v>45783.45833</v>
      </c>
      <c r="AT283" s="19">
        <f t="shared" si="283"/>
        <v>45783.47917</v>
      </c>
      <c r="AU283" s="19">
        <f t="shared" si="283"/>
        <v>45783.5</v>
      </c>
      <c r="AV283" s="19">
        <f t="shared" si="283"/>
        <v>45783.52083</v>
      </c>
      <c r="AW283" s="19">
        <f t="shared" si="283"/>
        <v>45783.54167</v>
      </c>
      <c r="AX283" s="19">
        <f t="shared" si="283"/>
        <v>45783.5625</v>
      </c>
      <c r="AY283" s="19">
        <f t="shared" si="283"/>
        <v>45783.58333</v>
      </c>
      <c r="AZ283" s="19">
        <f t="shared" si="283"/>
        <v>45783.60417</v>
      </c>
      <c r="BA283" s="19">
        <f t="shared" si="283"/>
        <v>45783.625</v>
      </c>
      <c r="BB283" s="19">
        <f t="shared" si="283"/>
        <v>45783.64583</v>
      </c>
      <c r="BC283" s="19">
        <f t="shared" si="283"/>
        <v>45783.66667</v>
      </c>
      <c r="BD283" s="19">
        <f t="shared" si="283"/>
        <v>45783.6875</v>
      </c>
      <c r="BE283" s="19">
        <f t="shared" si="283"/>
        <v>45783.70833</v>
      </c>
      <c r="BF283" s="19">
        <f t="shared" si="283"/>
        <v>45783.72917</v>
      </c>
      <c r="BG283" s="19">
        <f t="shared" si="283"/>
        <v>45783.75</v>
      </c>
      <c r="BH283" s="19">
        <f t="shared" si="283"/>
        <v>45783.77083</v>
      </c>
      <c r="BI283" s="19">
        <f t="shared" si="283"/>
        <v>45783.79167</v>
      </c>
      <c r="BJ283" s="19">
        <f t="shared" si="283"/>
        <v>45783.8125</v>
      </c>
      <c r="BK283" s="19">
        <f t="shared" si="283"/>
        <v>45783.83333</v>
      </c>
      <c r="BL283" s="19">
        <f t="shared" si="283"/>
        <v>45783.85417</v>
      </c>
      <c r="BM283" s="19">
        <f t="shared" si="283"/>
        <v>45783.875</v>
      </c>
      <c r="BN283" s="19">
        <f t="shared" si="283"/>
        <v>45783.89583</v>
      </c>
      <c r="BO283" s="19">
        <f t="shared" si="283"/>
        <v>45783.91667</v>
      </c>
      <c r="BP283" s="19">
        <f t="shared" si="283"/>
        <v>45783.9375</v>
      </c>
      <c r="BQ283" s="19">
        <f t="shared" si="283"/>
        <v>45783.95833</v>
      </c>
      <c r="BR283" s="19">
        <f t="shared" si="283"/>
        <v>45783.97917</v>
      </c>
      <c r="BS283" s="19">
        <f t="shared" si="283"/>
        <v>45784</v>
      </c>
      <c r="BT283" s="19">
        <f t="shared" si="283"/>
        <v>45784.02083</v>
      </c>
      <c r="BU283" s="19">
        <f t="shared" si="283"/>
        <v>45784.04167</v>
      </c>
      <c r="BV283" s="19">
        <f t="shared" si="283"/>
        <v>45784.0625</v>
      </c>
      <c r="BW283" s="19">
        <f t="shared" si="283"/>
        <v>45784.08333</v>
      </c>
      <c r="BX283" s="19">
        <f t="shared" si="283"/>
        <v>45783</v>
      </c>
      <c r="BY283" s="19">
        <f t="shared" si="283"/>
        <v>45783</v>
      </c>
      <c r="BZ283" s="19">
        <f t="shared" si="283"/>
        <v>45783</v>
      </c>
    </row>
    <row r="284" ht="14.25" customHeight="1">
      <c r="A284" s="17">
        <v>45784.0</v>
      </c>
      <c r="B284" s="2" t="str">
        <f t="array" ref="B284">IF(NOW()&gt;AM284,"",IF(AND((WEEKDAY($A284)+$B$2)&gt;1,((WEEKDAY($A284)+$T$2)&lt;7),(WEEKDAY($A284)&lt;&gt;1)),"work",(INDEX(Subject!$A:$I,MATCH(RANDBETWEEN(1,(MAX(Subject!$B:$B))),Subject!$B:$B,0),3))))</f>
        <v/>
      </c>
      <c r="C284" s="2" t="str">
        <f t="array" ref="C284">IF(NOW()&gt;AN284,"",IF(AND((WEEKDAY($A284)+$B$2)&gt;1,((WEEKDAY($A284)+$T$2)&lt;7),(WEEKDAY($A284)&lt;&gt;1)),"work",(INDEX(Subject!$A:$I,MATCH(RANDBETWEEN(1,(MAX(Subject!$B:$B))),Subject!$B:$B,0),3))))</f>
        <v/>
      </c>
      <c r="D284" s="2" t="str">
        <f t="array" ref="D284">IF(NOW()&gt;AO284,"",IF(AND((WEEKDAY($A284)+$B$2)&gt;1,((WEEKDAY($A284)+$T$2)&lt;7),(WEEKDAY($A284)&lt;&gt;1)),"work",(INDEX(Subject!$A:$I,MATCH(RANDBETWEEN(1,(MAX(Subject!$B:$B))),Subject!$B:$B,0),3))))</f>
        <v/>
      </c>
      <c r="E284" s="2" t="str">
        <f t="array" ref="E284">IF(NOW()&gt;AP284,"",IF(AND((WEEKDAY($A284)+$B$2)&gt;1,((WEEKDAY($A284)+$T$2)&lt;7),(WEEKDAY($A284)&lt;&gt;1)),"work",(INDEX(Subject!$A:$I,MATCH(RANDBETWEEN(1,(MAX(Subject!$B:$B))),Subject!$B:$B,0),3))))</f>
        <v/>
      </c>
      <c r="F284" s="2" t="str">
        <f t="array" ref="F284">IF(NOW()&gt;AQ284,"",IF(AND((WEEKDAY($A284)+$B$2)&gt;1,((WEEKDAY($A284)+$T$2)&lt;7),(WEEKDAY($A284)&lt;&gt;1)),"work",(INDEX(Subject!$A:$I,MATCH(RANDBETWEEN(1,(MAX(Subject!$B:$B))),Subject!$B:$B,0),3))))</f>
        <v/>
      </c>
      <c r="G284" s="2" t="str">
        <f t="array" ref="G284">IF(NOW()&gt;AR284,"",IF(AND((WEEKDAY($A284)+$B$2)&gt;1,((WEEKDAY($A284)+$T$2)&lt;7),(WEEKDAY($A284)&lt;&gt;1)),"work",(INDEX(Subject!$A:$I,MATCH(RANDBETWEEN(1,(MAX(Subject!$B:$B))),Subject!$B:$B,0),3))))</f>
        <v/>
      </c>
      <c r="H284" s="2" t="str">
        <f t="array" ref="H284">IF(NOW()&gt;AS284,"",IF(AND((WEEKDAY($A284)+$B$2)&gt;1,((WEEKDAY($A284)+$T$2)&lt;7),(WEEKDAY($A284)&lt;&gt;1)),"work",(INDEX(Subject!$A:$I,MATCH(RANDBETWEEN(1,(MAX(Subject!$B:$B))),Subject!$B:$B,0),3))))</f>
        <v/>
      </c>
      <c r="I284" s="2" t="str">
        <f t="array" ref="I284">IF(NOW()&gt;AT284,"",IF(AND((WEEKDAY($A284)+$B$2)&gt;1,((WEEKDAY($A284)+$T$2)&lt;7),(WEEKDAY($A284)&lt;&gt;1)),"work",(INDEX(Subject!$A:$I,MATCH(RANDBETWEEN(1,(MAX(Subject!$B:$B))),Subject!$B:$B,0),3))))</f>
        <v/>
      </c>
      <c r="J284" s="2" t="str">
        <f t="array" ref="J284">IF(NOW()&gt;AU284,"",IF(AND((WEEKDAY($A284)+$B$2)&gt;1,((WEEKDAY($A284)+$T$2)&lt;7),(WEEKDAY($A284)&lt;&gt;1)),"work",(INDEX(Subject!$A:$I,MATCH(RANDBETWEEN(1,(MAX(Subject!$B:$B))),Subject!$B:$B,0),3))))</f>
        <v/>
      </c>
      <c r="K284" s="2" t="str">
        <f t="array" ref="K284">IF(NOW()&gt;AV284,"",IF(AND((WEEKDAY($A284)+$B$2)&gt;1,((WEEKDAY($A284)+$T$2)&lt;7),(WEEKDAY($A284)&lt;&gt;1)),"work",(INDEX(Subject!$A:$I,MATCH(RANDBETWEEN(1,(MAX(Subject!$B:$B))),Subject!$B:$B,0),3))))</f>
        <v/>
      </c>
      <c r="L284" s="2" t="str">
        <f t="array" ref="L284">IF(NOW()&gt;AW284,"",IF(AND((WEEKDAY($A284)+$B$2)&gt;1,((WEEKDAY($A284)+$T$2)&lt;7),(WEEKDAY($A284)&lt;&gt;1)),"work",(INDEX(Subject!$A:$I,MATCH(RANDBETWEEN(1,(MAX(Subject!$B:$B))),Subject!$B:$B,0),3))))</f>
        <v/>
      </c>
      <c r="M284" s="2" t="str">
        <f t="array" ref="M284">IF(NOW()&gt;AX284,"",IF(AND((WEEKDAY($A284)+$B$2)&gt;1,((WEEKDAY($A284)+$T$2)&lt;7),(WEEKDAY($A284)&lt;&gt;1)),"work",(INDEX(Subject!$A:$I,MATCH(RANDBETWEEN(1,(MAX(Subject!$B:$B))),Subject!$B:$B,0),3))))</f>
        <v/>
      </c>
      <c r="N284" s="2" t="str">
        <f t="array" ref="N284">IF(NOW()&gt;AY284,"",IF(AND((WEEKDAY($A284)+$B$2)&gt;1,((WEEKDAY($A284)+$T$2)&lt;7),(WEEKDAY($A284)&lt;&gt;1)),"work",(INDEX(Subject!$A:$I,MATCH(RANDBETWEEN(1,(MAX(Subject!$B:$B))),Subject!$B:$B,0),3))))</f>
        <v/>
      </c>
      <c r="O284" s="2" t="str">
        <f t="array" ref="O284">IF(NOW()&gt;AZ284,"",IF(AND((WEEKDAY($A284)+$B$2)&gt;1,((WEEKDAY($A284)+$T$2)&lt;7),(WEEKDAY($A284)&lt;&gt;1)),"work",(INDEX(Subject!$A:$I,MATCH(RANDBETWEEN(1,(MAX(Subject!$B:$B))),Subject!$B:$B,0),3))))</f>
        <v/>
      </c>
      <c r="P284" s="2" t="str">
        <f t="array" ref="P284">IF(NOW()&gt;BA284,"",IF(AND((WEEKDAY($A284)+$B$2)&gt;1,((WEEKDAY($A284)+$T$2)&lt;7),(WEEKDAY($A284)&lt;&gt;1)),"work",(INDEX(Subject!$A:$I,MATCH(RANDBETWEEN(1,(MAX(Subject!$B:$B))),Subject!$B:$B,0),3))))</f>
        <v/>
      </c>
      <c r="Q284" s="2" t="str">
        <f t="array" ref="Q284">IF(NOW()&gt;BB284,"",IF(AND((WEEKDAY($A284)+$B$2)&gt;1,((WEEKDAY($A284)+$T$2)&lt;7),(WEEKDAY($A284)&lt;&gt;1)),"work",(INDEX(Subject!$A:$I,MATCH(RANDBETWEEN(1,(MAX(Subject!$B:$B))),Subject!$B:$B,0),3))))</f>
        <v/>
      </c>
      <c r="R284" s="2" t="str">
        <f t="array" ref="R284">IF(NOW()&gt;BC284,"",IF(AND((WEEKDAY($A284)+$B$2)&gt;1,((WEEKDAY($A284)+$T$2)&lt;7),(WEEKDAY($A284)&lt;&gt;1)),"work",(INDEX(Subject!$A:$I,MATCH(RANDBETWEEN(1,(MAX(Subject!$B:$B))),Subject!$B:$B,0),3))))</f>
        <v/>
      </c>
      <c r="S284" s="2" t="str">
        <f t="array" ref="S284">IF(NOW()&gt;BD284,"",IF(AND((WEEKDAY($A284)+$B$2)&gt;1,((WEEKDAY($A284)+$T$2)&lt;7),(WEEKDAY($A284)&lt;&gt;1)),"work",(INDEX(Subject!$A:$I,MATCH(RANDBETWEEN(1,(MAX(Subject!$B:$B))),Subject!$B:$B,0),3))))</f>
        <v/>
      </c>
      <c r="T284" s="2" t="str">
        <f t="array" ref="T284">IF(NOW()&gt;BE284,"",IF(AND((WEEKDAY($A284)+$B$2)&gt;1,((WEEKDAY($A284)+$T$2)&lt;7),(WEEKDAY($A284)&lt;&gt;1)),"work",(INDEX(Subject!$A:$I,MATCH(RANDBETWEEN(1,(MAX(Subject!$B:$B))),Subject!$B:$B,0),3))))</f>
        <v/>
      </c>
      <c r="U284" s="8" t="str">
        <f t="array" ref="U284">INDEX(Subject!$A:$I,MATCH(RANDBETWEEN(1,16),Subject!$B:$B,0),3)</f>
        <v>#N/A</v>
      </c>
      <c r="V284" s="8" t="str">
        <f t="array" ref="V284">INDEX(Subject!$A:$I,MATCH(RANDBETWEEN(1,16),Subject!$B:$B,0),3)</f>
        <v/>
      </c>
      <c r="W284" s="8" t="str">
        <f t="array" ref="W284">INDEX(Subject!$A:$I,MATCH(RANDBETWEEN(1,16),Subject!$B:$B,0),3)</f>
        <v>#N/A</v>
      </c>
      <c r="X284" s="8" t="str">
        <f t="array" ref="X284">INDEX(Subject!$A:$I,MATCH(RANDBETWEEN(1,16),Subject!$B:$B,0),3)</f>
        <v>#N/A</v>
      </c>
      <c r="Y284" s="8" t="str">
        <f t="array" ref="Y284">INDEX(Subject!$A:$I,MATCH(RANDBETWEEN(1,16),Subject!$B:$B,0),3)</f>
        <v>#N/A</v>
      </c>
      <c r="Z284" s="8" t="str">
        <f t="array" ref="Z284">INDEX(Subject!$A:$I,MATCH(RANDBETWEEN(1,16),Subject!$B:$B,0),3)</f>
        <v>#N/A</v>
      </c>
      <c r="AA284" s="8" t="str">
        <f t="array" ref="AA284">INDEX(Subject!$A:$I,MATCH(RANDBETWEEN(1,16),Subject!$B:$B,0),3)</f>
        <v>#N/A</v>
      </c>
      <c r="AB284" s="8" t="str">
        <f t="array" ref="AB284">INDEX(Subject!$A:$I,MATCH(RANDBETWEEN(1,16),Subject!$B:$B,0),3)</f>
        <v>#N/A</v>
      </c>
      <c r="AC284" s="8" t="str">
        <f t="array" ref="AC284">INDEX(Subject!$A:$I,MATCH(RANDBETWEEN(1,16),Subject!$B:$B,0),3)</f>
        <v>#N/A</v>
      </c>
      <c r="AD284" s="8" t="str">
        <f t="array" ref="AD284">INDEX(Subject!$A:$I,MATCH(RANDBETWEEN(1,16),Subject!$B:$B,0),3)</f>
        <v>#N/A</v>
      </c>
      <c r="AE284" s="8" t="str">
        <f t="array" ref="AE284">INDEX(Subject!$A:$I,MATCH(RANDBETWEEN(1,16),Subject!$B:$B,0),3)</f>
        <v>#N/A</v>
      </c>
      <c r="AF284" s="8" t="str">
        <f t="array" ref="AF284">INDEX(Subject!$A:$I,MATCH(RANDBETWEEN(1,16),Subject!$B:$B,0),3)</f>
        <v>#N/A</v>
      </c>
      <c r="AG284" s="8" t="str">
        <f t="array" ref="AG284">INDEX(Subject!$A:$I,MATCH(RANDBETWEEN(1,16),Subject!$B:$B,0),3)</f>
        <v>#N/A</v>
      </c>
      <c r="AH284" s="8" t="str">
        <f t="array" ref="AH284">INDEX(Subject!$A:$I,MATCH(RANDBETWEEN(1,16),Subject!$B:$B,0),3)</f>
        <v>#N/A</v>
      </c>
      <c r="AI284" s="8" t="str">
        <f t="array" ref="AI284">INDEX(Subject!$A:$I,MATCH(RANDBETWEEN(1,16),Subject!$B:$B,0),3)</f>
        <v>#N/A</v>
      </c>
      <c r="AJ284" s="8" t="str">
        <f t="array" ref="AJ284">INDEX(Subject!$A:$I,MATCH(RANDBETWEEN(1,16),Subject!$B:$B,0),3)</f>
        <v>#N/A</v>
      </c>
      <c r="AK284" s="8" t="str">
        <f t="array" ref="AK284">INDEX(Subject!$A:$I,MATCH(RANDBETWEEN(1,16),Subject!$B:$B,0),3)</f>
        <v>#N/A</v>
      </c>
      <c r="AL284" s="8" t="str">
        <f t="array" ref="AL284">INDEX(Subject!$A:$I,MATCH(RANDBETWEEN(1,16),Subject!$B:$B,0),3)</f>
        <v>#N/A</v>
      </c>
      <c r="AM284" s="18">
        <f t="shared" si="4"/>
        <v>45784.33333</v>
      </c>
      <c r="AN284" s="19">
        <f t="shared" ref="AN284:BZ284" si="284">$A284+C$1</f>
        <v>45784.35417</v>
      </c>
      <c r="AO284" s="19">
        <f t="shared" si="284"/>
        <v>45784.375</v>
      </c>
      <c r="AP284" s="19">
        <f t="shared" si="284"/>
        <v>45784.39583</v>
      </c>
      <c r="AQ284" s="19">
        <f t="shared" si="284"/>
        <v>45784.41667</v>
      </c>
      <c r="AR284" s="19">
        <f t="shared" si="284"/>
        <v>45784.4375</v>
      </c>
      <c r="AS284" s="19">
        <f t="shared" si="284"/>
        <v>45784.45833</v>
      </c>
      <c r="AT284" s="19">
        <f t="shared" si="284"/>
        <v>45784.47917</v>
      </c>
      <c r="AU284" s="19">
        <f t="shared" si="284"/>
        <v>45784.5</v>
      </c>
      <c r="AV284" s="19">
        <f t="shared" si="284"/>
        <v>45784.52083</v>
      </c>
      <c r="AW284" s="19">
        <f t="shared" si="284"/>
        <v>45784.54167</v>
      </c>
      <c r="AX284" s="19">
        <f t="shared" si="284"/>
        <v>45784.5625</v>
      </c>
      <c r="AY284" s="19">
        <f t="shared" si="284"/>
        <v>45784.58333</v>
      </c>
      <c r="AZ284" s="19">
        <f t="shared" si="284"/>
        <v>45784.60417</v>
      </c>
      <c r="BA284" s="19">
        <f t="shared" si="284"/>
        <v>45784.625</v>
      </c>
      <c r="BB284" s="19">
        <f t="shared" si="284"/>
        <v>45784.64583</v>
      </c>
      <c r="BC284" s="19">
        <f t="shared" si="284"/>
        <v>45784.66667</v>
      </c>
      <c r="BD284" s="19">
        <f t="shared" si="284"/>
        <v>45784.6875</v>
      </c>
      <c r="BE284" s="19">
        <f t="shared" si="284"/>
        <v>45784.70833</v>
      </c>
      <c r="BF284" s="19">
        <f t="shared" si="284"/>
        <v>45784.72917</v>
      </c>
      <c r="BG284" s="19">
        <f t="shared" si="284"/>
        <v>45784.75</v>
      </c>
      <c r="BH284" s="19">
        <f t="shared" si="284"/>
        <v>45784.77083</v>
      </c>
      <c r="BI284" s="19">
        <f t="shared" si="284"/>
        <v>45784.79167</v>
      </c>
      <c r="BJ284" s="19">
        <f t="shared" si="284"/>
        <v>45784.8125</v>
      </c>
      <c r="BK284" s="19">
        <f t="shared" si="284"/>
        <v>45784.83333</v>
      </c>
      <c r="BL284" s="19">
        <f t="shared" si="284"/>
        <v>45784.85417</v>
      </c>
      <c r="BM284" s="19">
        <f t="shared" si="284"/>
        <v>45784.875</v>
      </c>
      <c r="BN284" s="19">
        <f t="shared" si="284"/>
        <v>45784.89583</v>
      </c>
      <c r="BO284" s="19">
        <f t="shared" si="284"/>
        <v>45784.91667</v>
      </c>
      <c r="BP284" s="19">
        <f t="shared" si="284"/>
        <v>45784.9375</v>
      </c>
      <c r="BQ284" s="19">
        <f t="shared" si="284"/>
        <v>45784.95833</v>
      </c>
      <c r="BR284" s="19">
        <f t="shared" si="284"/>
        <v>45784.97917</v>
      </c>
      <c r="BS284" s="19">
        <f t="shared" si="284"/>
        <v>45785</v>
      </c>
      <c r="BT284" s="19">
        <f t="shared" si="284"/>
        <v>45785.02083</v>
      </c>
      <c r="BU284" s="19">
        <f t="shared" si="284"/>
        <v>45785.04167</v>
      </c>
      <c r="BV284" s="19">
        <f t="shared" si="284"/>
        <v>45785.0625</v>
      </c>
      <c r="BW284" s="19">
        <f t="shared" si="284"/>
        <v>45785.08333</v>
      </c>
      <c r="BX284" s="19">
        <f t="shared" si="284"/>
        <v>45784</v>
      </c>
      <c r="BY284" s="19">
        <f t="shared" si="284"/>
        <v>45784</v>
      </c>
      <c r="BZ284" s="19">
        <f t="shared" si="284"/>
        <v>45784</v>
      </c>
    </row>
    <row r="285" ht="14.25" customHeight="1">
      <c r="A285" s="17">
        <v>45785.0</v>
      </c>
      <c r="B285" s="2" t="str">
        <f t="array" ref="B285">IF(NOW()&gt;AM285,"",IF(AND((WEEKDAY($A285)+$B$2)&gt;1,((WEEKDAY($A285)+$T$2)&lt;7),(WEEKDAY($A285)&lt;&gt;1)),"work",(INDEX(Subject!$A:$I,MATCH(RANDBETWEEN(1,(MAX(Subject!$B:$B))),Subject!$B:$B,0),3))))</f>
        <v/>
      </c>
      <c r="C285" s="2" t="str">
        <f t="array" ref="C285">IF(NOW()&gt;AN285,"",IF(AND((WEEKDAY($A285)+$B$2)&gt;1,((WEEKDAY($A285)+$T$2)&lt;7),(WEEKDAY($A285)&lt;&gt;1)),"work",(INDEX(Subject!$A:$I,MATCH(RANDBETWEEN(1,(MAX(Subject!$B:$B))),Subject!$B:$B,0),3))))</f>
        <v/>
      </c>
      <c r="D285" s="2" t="str">
        <f t="array" ref="D285">IF(NOW()&gt;AO285,"",IF(AND((WEEKDAY($A285)+$B$2)&gt;1,((WEEKDAY($A285)+$T$2)&lt;7),(WEEKDAY($A285)&lt;&gt;1)),"work",(INDEX(Subject!$A:$I,MATCH(RANDBETWEEN(1,(MAX(Subject!$B:$B))),Subject!$B:$B,0),3))))</f>
        <v/>
      </c>
      <c r="E285" s="2" t="str">
        <f t="array" ref="E285">IF(NOW()&gt;AP285,"",IF(AND((WEEKDAY($A285)+$B$2)&gt;1,((WEEKDAY($A285)+$T$2)&lt;7),(WEEKDAY($A285)&lt;&gt;1)),"work",(INDEX(Subject!$A:$I,MATCH(RANDBETWEEN(1,(MAX(Subject!$B:$B))),Subject!$B:$B,0),3))))</f>
        <v/>
      </c>
      <c r="F285" s="2" t="str">
        <f t="array" ref="F285">IF(NOW()&gt;AQ285,"",IF(AND((WEEKDAY($A285)+$B$2)&gt;1,((WEEKDAY($A285)+$T$2)&lt;7),(WEEKDAY($A285)&lt;&gt;1)),"work",(INDEX(Subject!$A:$I,MATCH(RANDBETWEEN(1,(MAX(Subject!$B:$B))),Subject!$B:$B,0),3))))</f>
        <v/>
      </c>
      <c r="G285" s="2" t="str">
        <f t="array" ref="G285">IF(NOW()&gt;AR285,"",IF(AND((WEEKDAY($A285)+$B$2)&gt;1,((WEEKDAY($A285)+$T$2)&lt;7),(WEEKDAY($A285)&lt;&gt;1)),"work",(INDEX(Subject!$A:$I,MATCH(RANDBETWEEN(1,(MAX(Subject!$B:$B))),Subject!$B:$B,0),3))))</f>
        <v/>
      </c>
      <c r="H285" s="2" t="str">
        <f t="array" ref="H285">IF(NOW()&gt;AS285,"",IF(AND((WEEKDAY($A285)+$B$2)&gt;1,((WEEKDAY($A285)+$T$2)&lt;7),(WEEKDAY($A285)&lt;&gt;1)),"work",(INDEX(Subject!$A:$I,MATCH(RANDBETWEEN(1,(MAX(Subject!$B:$B))),Subject!$B:$B,0),3))))</f>
        <v/>
      </c>
      <c r="I285" s="2" t="str">
        <f t="array" ref="I285">IF(NOW()&gt;AT285,"",IF(AND((WEEKDAY($A285)+$B$2)&gt;1,((WEEKDAY($A285)+$T$2)&lt;7),(WEEKDAY($A285)&lt;&gt;1)),"work",(INDEX(Subject!$A:$I,MATCH(RANDBETWEEN(1,(MAX(Subject!$B:$B))),Subject!$B:$B,0),3))))</f>
        <v/>
      </c>
      <c r="J285" s="2" t="str">
        <f t="array" ref="J285">IF(NOW()&gt;AU285,"",IF(AND((WEEKDAY($A285)+$B$2)&gt;1,((WEEKDAY($A285)+$T$2)&lt;7),(WEEKDAY($A285)&lt;&gt;1)),"work",(INDEX(Subject!$A:$I,MATCH(RANDBETWEEN(1,(MAX(Subject!$B:$B))),Subject!$B:$B,0),3))))</f>
        <v/>
      </c>
      <c r="K285" s="2" t="str">
        <f t="array" ref="K285">IF(NOW()&gt;AV285,"",IF(AND((WEEKDAY($A285)+$B$2)&gt;1,((WEEKDAY($A285)+$T$2)&lt;7),(WEEKDAY($A285)&lt;&gt;1)),"work",(INDEX(Subject!$A:$I,MATCH(RANDBETWEEN(1,(MAX(Subject!$B:$B))),Subject!$B:$B,0),3))))</f>
        <v/>
      </c>
      <c r="L285" s="2" t="str">
        <f t="array" ref="L285">IF(NOW()&gt;AW285,"",IF(AND((WEEKDAY($A285)+$B$2)&gt;1,((WEEKDAY($A285)+$T$2)&lt;7),(WEEKDAY($A285)&lt;&gt;1)),"work",(INDEX(Subject!$A:$I,MATCH(RANDBETWEEN(1,(MAX(Subject!$B:$B))),Subject!$B:$B,0),3))))</f>
        <v/>
      </c>
      <c r="M285" s="2" t="str">
        <f t="array" ref="M285">IF(NOW()&gt;AX285,"",IF(AND((WEEKDAY($A285)+$B$2)&gt;1,((WEEKDAY($A285)+$T$2)&lt;7),(WEEKDAY($A285)&lt;&gt;1)),"work",(INDEX(Subject!$A:$I,MATCH(RANDBETWEEN(1,(MAX(Subject!$B:$B))),Subject!$B:$B,0),3))))</f>
        <v/>
      </c>
      <c r="N285" s="2" t="str">
        <f t="array" ref="N285">IF(NOW()&gt;AY285,"",IF(AND((WEEKDAY($A285)+$B$2)&gt;1,((WEEKDAY($A285)+$T$2)&lt;7),(WEEKDAY($A285)&lt;&gt;1)),"work",(INDEX(Subject!$A:$I,MATCH(RANDBETWEEN(1,(MAX(Subject!$B:$B))),Subject!$B:$B,0),3))))</f>
        <v/>
      </c>
      <c r="O285" s="2" t="str">
        <f t="array" ref="O285">IF(NOW()&gt;AZ285,"",IF(AND((WEEKDAY($A285)+$B$2)&gt;1,((WEEKDAY($A285)+$T$2)&lt;7),(WEEKDAY($A285)&lt;&gt;1)),"work",(INDEX(Subject!$A:$I,MATCH(RANDBETWEEN(1,(MAX(Subject!$B:$B))),Subject!$B:$B,0),3))))</f>
        <v/>
      </c>
      <c r="P285" s="2" t="str">
        <f t="array" ref="P285">IF(NOW()&gt;BA285,"",IF(AND((WEEKDAY($A285)+$B$2)&gt;1,((WEEKDAY($A285)+$T$2)&lt;7),(WEEKDAY($A285)&lt;&gt;1)),"work",(INDEX(Subject!$A:$I,MATCH(RANDBETWEEN(1,(MAX(Subject!$B:$B))),Subject!$B:$B,0),3))))</f>
        <v/>
      </c>
      <c r="Q285" s="2" t="str">
        <f t="array" ref="Q285">IF(NOW()&gt;BB285,"",IF(AND((WEEKDAY($A285)+$B$2)&gt;1,((WEEKDAY($A285)+$T$2)&lt;7),(WEEKDAY($A285)&lt;&gt;1)),"work",(INDEX(Subject!$A:$I,MATCH(RANDBETWEEN(1,(MAX(Subject!$B:$B))),Subject!$B:$B,0),3))))</f>
        <v/>
      </c>
      <c r="R285" s="2" t="str">
        <f t="array" ref="R285">IF(NOW()&gt;BC285,"",IF(AND((WEEKDAY($A285)+$B$2)&gt;1,((WEEKDAY($A285)+$T$2)&lt;7),(WEEKDAY($A285)&lt;&gt;1)),"work",(INDEX(Subject!$A:$I,MATCH(RANDBETWEEN(1,(MAX(Subject!$B:$B))),Subject!$B:$B,0),3))))</f>
        <v/>
      </c>
      <c r="S285" s="2" t="str">
        <f t="array" ref="S285">IF(NOW()&gt;BD285,"",IF(AND((WEEKDAY($A285)+$B$2)&gt;1,((WEEKDAY($A285)+$T$2)&lt;7),(WEEKDAY($A285)&lt;&gt;1)),"work",(INDEX(Subject!$A:$I,MATCH(RANDBETWEEN(1,(MAX(Subject!$B:$B))),Subject!$B:$B,0),3))))</f>
        <v/>
      </c>
      <c r="T285" s="2" t="str">
        <f t="array" ref="T285">IF(NOW()&gt;BE285,"",IF(AND((WEEKDAY($A285)+$B$2)&gt;1,((WEEKDAY($A285)+$T$2)&lt;7),(WEEKDAY($A285)&lt;&gt;1)),"work",(INDEX(Subject!$A:$I,MATCH(RANDBETWEEN(1,(MAX(Subject!$B:$B))),Subject!$B:$B,0),3))))</f>
        <v/>
      </c>
      <c r="U285" s="8" t="str">
        <f t="array" ref="U285">INDEX(Subject!$A:$I,MATCH(RANDBETWEEN(1,16),Subject!$B:$B,0),3)</f>
        <v>#N/A</v>
      </c>
      <c r="V285" s="8" t="str">
        <f t="array" ref="V285">INDEX(Subject!$A:$I,MATCH(RANDBETWEEN(1,16),Subject!$B:$B,0),3)</f>
        <v>#N/A</v>
      </c>
      <c r="W285" s="8" t="str">
        <f t="array" ref="W285">INDEX(Subject!$A:$I,MATCH(RANDBETWEEN(1,16),Subject!$B:$B,0),3)</f>
        <v/>
      </c>
      <c r="X285" s="8" t="str">
        <f t="array" ref="X285">INDEX(Subject!$A:$I,MATCH(RANDBETWEEN(1,16),Subject!$B:$B,0),3)</f>
        <v>#N/A</v>
      </c>
      <c r="Y285" s="8" t="str">
        <f t="array" ref="Y285">INDEX(Subject!$A:$I,MATCH(RANDBETWEEN(1,16),Subject!$B:$B,0),3)</f>
        <v>#N/A</v>
      </c>
      <c r="Z285" s="8" t="str">
        <f t="array" ref="Z285">INDEX(Subject!$A:$I,MATCH(RANDBETWEEN(1,16),Subject!$B:$B,0),3)</f>
        <v>#N/A</v>
      </c>
      <c r="AA285" s="8" t="str">
        <f t="array" ref="AA285">INDEX(Subject!$A:$I,MATCH(RANDBETWEEN(1,16),Subject!$B:$B,0),3)</f>
        <v/>
      </c>
      <c r="AB285" s="8" t="str">
        <f t="array" ref="AB285">INDEX(Subject!$A:$I,MATCH(RANDBETWEEN(1,16),Subject!$B:$B,0),3)</f>
        <v>#N/A</v>
      </c>
      <c r="AC285" s="8" t="str">
        <f t="array" ref="AC285">INDEX(Subject!$A:$I,MATCH(RANDBETWEEN(1,16),Subject!$B:$B,0),3)</f>
        <v>#N/A</v>
      </c>
      <c r="AD285" s="8" t="str">
        <f t="array" ref="AD285">INDEX(Subject!$A:$I,MATCH(RANDBETWEEN(1,16),Subject!$B:$B,0),3)</f>
        <v>#N/A</v>
      </c>
      <c r="AE285" s="8" t="str">
        <f t="array" ref="AE285">INDEX(Subject!$A:$I,MATCH(RANDBETWEEN(1,16),Subject!$B:$B,0),3)</f>
        <v>#N/A</v>
      </c>
      <c r="AF285" s="8" t="str">
        <f t="array" ref="AF285">INDEX(Subject!$A:$I,MATCH(RANDBETWEEN(1,16),Subject!$B:$B,0),3)</f>
        <v>#N/A</v>
      </c>
      <c r="AG285" s="8" t="str">
        <f t="array" ref="AG285">INDEX(Subject!$A:$I,MATCH(RANDBETWEEN(1,16),Subject!$B:$B,0),3)</f>
        <v/>
      </c>
      <c r="AH285" s="8" t="str">
        <f t="array" ref="AH285">INDEX(Subject!$A:$I,MATCH(RANDBETWEEN(1,16),Subject!$B:$B,0),3)</f>
        <v>#N/A</v>
      </c>
      <c r="AI285" s="8" t="str">
        <f t="array" ref="AI285">INDEX(Subject!$A:$I,MATCH(RANDBETWEEN(1,16),Subject!$B:$B,0),3)</f>
        <v>#N/A</v>
      </c>
      <c r="AJ285" s="8" t="str">
        <f t="array" ref="AJ285">INDEX(Subject!$A:$I,MATCH(RANDBETWEEN(1,16),Subject!$B:$B,0),3)</f>
        <v>#N/A</v>
      </c>
      <c r="AK285" s="8" t="str">
        <f t="array" ref="AK285">INDEX(Subject!$A:$I,MATCH(RANDBETWEEN(1,16),Subject!$B:$B,0),3)</f>
        <v>#N/A</v>
      </c>
      <c r="AL285" s="8" t="str">
        <f t="array" ref="AL285">INDEX(Subject!$A:$I,MATCH(RANDBETWEEN(1,16),Subject!$B:$B,0),3)</f>
        <v>#N/A</v>
      </c>
      <c r="AM285" s="18">
        <f t="shared" si="4"/>
        <v>45785.33333</v>
      </c>
      <c r="AN285" s="19">
        <f t="shared" ref="AN285:BZ285" si="285">$A285+C$1</f>
        <v>45785.35417</v>
      </c>
      <c r="AO285" s="19">
        <f t="shared" si="285"/>
        <v>45785.375</v>
      </c>
      <c r="AP285" s="19">
        <f t="shared" si="285"/>
        <v>45785.39583</v>
      </c>
      <c r="AQ285" s="19">
        <f t="shared" si="285"/>
        <v>45785.41667</v>
      </c>
      <c r="AR285" s="19">
        <f t="shared" si="285"/>
        <v>45785.4375</v>
      </c>
      <c r="AS285" s="19">
        <f t="shared" si="285"/>
        <v>45785.45833</v>
      </c>
      <c r="AT285" s="19">
        <f t="shared" si="285"/>
        <v>45785.47917</v>
      </c>
      <c r="AU285" s="19">
        <f t="shared" si="285"/>
        <v>45785.5</v>
      </c>
      <c r="AV285" s="19">
        <f t="shared" si="285"/>
        <v>45785.52083</v>
      </c>
      <c r="AW285" s="19">
        <f t="shared" si="285"/>
        <v>45785.54167</v>
      </c>
      <c r="AX285" s="19">
        <f t="shared" si="285"/>
        <v>45785.5625</v>
      </c>
      <c r="AY285" s="19">
        <f t="shared" si="285"/>
        <v>45785.58333</v>
      </c>
      <c r="AZ285" s="19">
        <f t="shared" si="285"/>
        <v>45785.60417</v>
      </c>
      <c r="BA285" s="19">
        <f t="shared" si="285"/>
        <v>45785.625</v>
      </c>
      <c r="BB285" s="19">
        <f t="shared" si="285"/>
        <v>45785.64583</v>
      </c>
      <c r="BC285" s="19">
        <f t="shared" si="285"/>
        <v>45785.66667</v>
      </c>
      <c r="BD285" s="19">
        <f t="shared" si="285"/>
        <v>45785.6875</v>
      </c>
      <c r="BE285" s="19">
        <f t="shared" si="285"/>
        <v>45785.70833</v>
      </c>
      <c r="BF285" s="19">
        <f t="shared" si="285"/>
        <v>45785.72917</v>
      </c>
      <c r="BG285" s="19">
        <f t="shared" si="285"/>
        <v>45785.75</v>
      </c>
      <c r="BH285" s="19">
        <f t="shared" si="285"/>
        <v>45785.77083</v>
      </c>
      <c r="BI285" s="19">
        <f t="shared" si="285"/>
        <v>45785.79167</v>
      </c>
      <c r="BJ285" s="19">
        <f t="shared" si="285"/>
        <v>45785.8125</v>
      </c>
      <c r="BK285" s="19">
        <f t="shared" si="285"/>
        <v>45785.83333</v>
      </c>
      <c r="BL285" s="19">
        <f t="shared" si="285"/>
        <v>45785.85417</v>
      </c>
      <c r="BM285" s="19">
        <f t="shared" si="285"/>
        <v>45785.875</v>
      </c>
      <c r="BN285" s="19">
        <f t="shared" si="285"/>
        <v>45785.89583</v>
      </c>
      <c r="BO285" s="19">
        <f t="shared" si="285"/>
        <v>45785.91667</v>
      </c>
      <c r="BP285" s="19">
        <f t="shared" si="285"/>
        <v>45785.9375</v>
      </c>
      <c r="BQ285" s="19">
        <f t="shared" si="285"/>
        <v>45785.95833</v>
      </c>
      <c r="BR285" s="19">
        <f t="shared" si="285"/>
        <v>45785.97917</v>
      </c>
      <c r="BS285" s="19">
        <f t="shared" si="285"/>
        <v>45786</v>
      </c>
      <c r="BT285" s="19">
        <f t="shared" si="285"/>
        <v>45786.02083</v>
      </c>
      <c r="BU285" s="19">
        <f t="shared" si="285"/>
        <v>45786.04167</v>
      </c>
      <c r="BV285" s="19">
        <f t="shared" si="285"/>
        <v>45786.0625</v>
      </c>
      <c r="BW285" s="19">
        <f t="shared" si="285"/>
        <v>45786.08333</v>
      </c>
      <c r="BX285" s="19">
        <f t="shared" si="285"/>
        <v>45785</v>
      </c>
      <c r="BY285" s="19">
        <f t="shared" si="285"/>
        <v>45785</v>
      </c>
      <c r="BZ285" s="19">
        <f t="shared" si="285"/>
        <v>45785</v>
      </c>
    </row>
    <row r="286" ht="14.25" customHeight="1">
      <c r="A286" s="17">
        <v>45786.0</v>
      </c>
      <c r="B286" s="2" t="str">
        <f t="array" ref="B286">IF(NOW()&gt;AM286,"",IF(AND((WEEKDAY($A286)+$B$2)&gt;1,((WEEKDAY($A286)+$T$2)&lt;7),(WEEKDAY($A286)&lt;&gt;1)),"work",(INDEX(Subject!$A:$I,MATCH(RANDBETWEEN(1,(MAX(Subject!$B:$B))),Subject!$B:$B,0),3))))</f>
        <v/>
      </c>
      <c r="C286" s="2" t="str">
        <f t="array" ref="C286">IF(NOW()&gt;AN286,"",IF(AND((WEEKDAY($A286)+$B$2)&gt;1,((WEEKDAY($A286)+$T$2)&lt;7),(WEEKDAY($A286)&lt;&gt;1)),"work",(INDEX(Subject!$A:$I,MATCH(RANDBETWEEN(1,(MAX(Subject!$B:$B))),Subject!$B:$B,0),3))))</f>
        <v/>
      </c>
      <c r="D286" s="2" t="str">
        <f t="array" ref="D286">IF(NOW()&gt;AO286,"",IF(AND((WEEKDAY($A286)+$B$2)&gt;1,((WEEKDAY($A286)+$T$2)&lt;7),(WEEKDAY($A286)&lt;&gt;1)),"work",(INDEX(Subject!$A:$I,MATCH(RANDBETWEEN(1,(MAX(Subject!$B:$B))),Subject!$B:$B,0),3))))</f>
        <v/>
      </c>
      <c r="E286" s="2" t="str">
        <f t="array" ref="E286">IF(NOW()&gt;AP286,"",IF(AND((WEEKDAY($A286)+$B$2)&gt;1,((WEEKDAY($A286)+$T$2)&lt;7),(WEEKDAY($A286)&lt;&gt;1)),"work",(INDEX(Subject!$A:$I,MATCH(RANDBETWEEN(1,(MAX(Subject!$B:$B))),Subject!$B:$B,0),3))))</f>
        <v/>
      </c>
      <c r="F286" s="2" t="str">
        <f t="array" ref="F286">IF(NOW()&gt;AQ286,"",IF(AND((WEEKDAY($A286)+$B$2)&gt;1,((WEEKDAY($A286)+$T$2)&lt;7),(WEEKDAY($A286)&lt;&gt;1)),"work",(INDEX(Subject!$A:$I,MATCH(RANDBETWEEN(1,(MAX(Subject!$B:$B))),Subject!$B:$B,0),3))))</f>
        <v/>
      </c>
      <c r="G286" s="2" t="str">
        <f t="array" ref="G286">IF(NOW()&gt;AR286,"",IF(AND((WEEKDAY($A286)+$B$2)&gt;1,((WEEKDAY($A286)+$T$2)&lt;7),(WEEKDAY($A286)&lt;&gt;1)),"work",(INDEX(Subject!$A:$I,MATCH(RANDBETWEEN(1,(MAX(Subject!$B:$B))),Subject!$B:$B,0),3))))</f>
        <v/>
      </c>
      <c r="H286" s="2" t="str">
        <f t="array" ref="H286">IF(NOW()&gt;AS286,"",IF(AND((WEEKDAY($A286)+$B$2)&gt;1,((WEEKDAY($A286)+$T$2)&lt;7),(WEEKDAY($A286)&lt;&gt;1)),"work",(INDEX(Subject!$A:$I,MATCH(RANDBETWEEN(1,(MAX(Subject!$B:$B))),Subject!$B:$B,0),3))))</f>
        <v/>
      </c>
      <c r="I286" s="2" t="str">
        <f t="array" ref="I286">IF(NOW()&gt;AT286,"",IF(AND((WEEKDAY($A286)+$B$2)&gt;1,((WEEKDAY($A286)+$T$2)&lt;7),(WEEKDAY($A286)&lt;&gt;1)),"work",(INDEX(Subject!$A:$I,MATCH(RANDBETWEEN(1,(MAX(Subject!$B:$B))),Subject!$B:$B,0),3))))</f>
        <v/>
      </c>
      <c r="J286" s="2" t="str">
        <f t="array" ref="J286">IF(NOW()&gt;AU286,"",IF(AND((WEEKDAY($A286)+$B$2)&gt;1,((WEEKDAY($A286)+$T$2)&lt;7),(WEEKDAY($A286)&lt;&gt;1)),"work",(INDEX(Subject!$A:$I,MATCH(RANDBETWEEN(1,(MAX(Subject!$B:$B))),Subject!$B:$B,0),3))))</f>
        <v/>
      </c>
      <c r="K286" s="2" t="str">
        <f t="array" ref="K286">IF(NOW()&gt;AV286,"",IF(AND((WEEKDAY($A286)+$B$2)&gt;1,((WEEKDAY($A286)+$T$2)&lt;7),(WEEKDAY($A286)&lt;&gt;1)),"work",(INDEX(Subject!$A:$I,MATCH(RANDBETWEEN(1,(MAX(Subject!$B:$B))),Subject!$B:$B,0),3))))</f>
        <v/>
      </c>
      <c r="L286" s="2" t="str">
        <f t="array" ref="L286">IF(NOW()&gt;AW286,"",IF(AND((WEEKDAY($A286)+$B$2)&gt;1,((WEEKDAY($A286)+$T$2)&lt;7),(WEEKDAY($A286)&lt;&gt;1)),"work",(INDEX(Subject!$A:$I,MATCH(RANDBETWEEN(1,(MAX(Subject!$B:$B))),Subject!$B:$B,0),3))))</f>
        <v/>
      </c>
      <c r="M286" s="2" t="str">
        <f t="array" ref="M286">IF(NOW()&gt;AX286,"",IF(AND((WEEKDAY($A286)+$B$2)&gt;1,((WEEKDAY($A286)+$T$2)&lt;7),(WEEKDAY($A286)&lt;&gt;1)),"work",(INDEX(Subject!$A:$I,MATCH(RANDBETWEEN(1,(MAX(Subject!$B:$B))),Subject!$B:$B,0),3))))</f>
        <v/>
      </c>
      <c r="N286" s="2" t="str">
        <f t="array" ref="N286">IF(NOW()&gt;AY286,"",IF(AND((WEEKDAY($A286)+$B$2)&gt;1,((WEEKDAY($A286)+$T$2)&lt;7),(WEEKDAY($A286)&lt;&gt;1)),"work",(INDEX(Subject!$A:$I,MATCH(RANDBETWEEN(1,(MAX(Subject!$B:$B))),Subject!$B:$B,0),3))))</f>
        <v/>
      </c>
      <c r="O286" s="2" t="str">
        <f t="array" ref="O286">IF(NOW()&gt;AZ286,"",IF(AND((WEEKDAY($A286)+$B$2)&gt;1,((WEEKDAY($A286)+$T$2)&lt;7),(WEEKDAY($A286)&lt;&gt;1)),"work",(INDEX(Subject!$A:$I,MATCH(RANDBETWEEN(1,(MAX(Subject!$B:$B))),Subject!$B:$B,0),3))))</f>
        <v/>
      </c>
      <c r="P286" s="2" t="str">
        <f t="array" ref="P286">IF(NOW()&gt;BA286,"",IF(AND((WEEKDAY($A286)+$B$2)&gt;1,((WEEKDAY($A286)+$T$2)&lt;7),(WEEKDAY($A286)&lt;&gt;1)),"work",(INDEX(Subject!$A:$I,MATCH(RANDBETWEEN(1,(MAX(Subject!$B:$B))),Subject!$B:$B,0),3))))</f>
        <v/>
      </c>
      <c r="Q286" s="2" t="str">
        <f t="array" ref="Q286">IF(NOW()&gt;BB286,"",IF(AND((WEEKDAY($A286)+$B$2)&gt;1,((WEEKDAY($A286)+$T$2)&lt;7),(WEEKDAY($A286)&lt;&gt;1)),"work",(INDEX(Subject!$A:$I,MATCH(RANDBETWEEN(1,(MAX(Subject!$B:$B))),Subject!$B:$B,0),3))))</f>
        <v/>
      </c>
      <c r="R286" s="2" t="str">
        <f t="array" ref="R286">IF(NOW()&gt;BC286,"",IF(AND((WEEKDAY($A286)+$B$2)&gt;1,((WEEKDAY($A286)+$T$2)&lt;7),(WEEKDAY($A286)&lt;&gt;1)),"work",(INDEX(Subject!$A:$I,MATCH(RANDBETWEEN(1,(MAX(Subject!$B:$B))),Subject!$B:$B,0),3))))</f>
        <v/>
      </c>
      <c r="S286" s="2" t="str">
        <f t="array" ref="S286">IF(NOW()&gt;BD286,"",IF(AND((WEEKDAY($A286)+$B$2)&gt;1,((WEEKDAY($A286)+$T$2)&lt;7),(WEEKDAY($A286)&lt;&gt;1)),"work",(INDEX(Subject!$A:$I,MATCH(RANDBETWEEN(1,(MAX(Subject!$B:$B))),Subject!$B:$B,0),3))))</f>
        <v/>
      </c>
      <c r="T286" s="2" t="str">
        <f t="array" ref="T286">IF(NOW()&gt;BE286,"",IF(AND((WEEKDAY($A286)+$B$2)&gt;1,((WEEKDAY($A286)+$T$2)&lt;7),(WEEKDAY($A286)&lt;&gt;1)),"work",(INDEX(Subject!$A:$I,MATCH(RANDBETWEEN(1,(MAX(Subject!$B:$B))),Subject!$B:$B,0),3))))</f>
        <v/>
      </c>
      <c r="U286" s="8" t="str">
        <f t="array" ref="U286">INDEX(Subject!$A:$I,MATCH(RANDBETWEEN(1,16),Subject!$B:$B,0),3)</f>
        <v>#N/A</v>
      </c>
      <c r="V286" s="8" t="str">
        <f t="array" ref="V286">INDEX(Subject!$A:$I,MATCH(RANDBETWEEN(1,16),Subject!$B:$B,0),3)</f>
        <v>#N/A</v>
      </c>
      <c r="W286" s="8" t="str">
        <f t="array" ref="W286">INDEX(Subject!$A:$I,MATCH(RANDBETWEEN(1,16),Subject!$B:$B,0),3)</f>
        <v>#N/A</v>
      </c>
      <c r="X286" s="8" t="str">
        <f t="array" ref="X286">INDEX(Subject!$A:$I,MATCH(RANDBETWEEN(1,16),Subject!$B:$B,0),3)</f>
        <v>#N/A</v>
      </c>
      <c r="Y286" s="8" t="str">
        <f t="array" ref="Y286">INDEX(Subject!$A:$I,MATCH(RANDBETWEEN(1,16),Subject!$B:$B,0),3)</f>
        <v>#N/A</v>
      </c>
      <c r="Z286" s="8" t="str">
        <f t="array" ref="Z286">INDEX(Subject!$A:$I,MATCH(RANDBETWEEN(1,16),Subject!$B:$B,0),3)</f>
        <v>#N/A</v>
      </c>
      <c r="AA286" s="8" t="str">
        <f t="array" ref="AA286">INDEX(Subject!$A:$I,MATCH(RANDBETWEEN(1,16),Subject!$B:$B,0),3)</f>
        <v>#N/A</v>
      </c>
      <c r="AB286" s="8" t="str">
        <f t="array" ref="AB286">INDEX(Subject!$A:$I,MATCH(RANDBETWEEN(1,16),Subject!$B:$B,0),3)</f>
        <v>#N/A</v>
      </c>
      <c r="AC286" s="8" t="str">
        <f t="array" ref="AC286">INDEX(Subject!$A:$I,MATCH(RANDBETWEEN(1,16),Subject!$B:$B,0),3)</f>
        <v>#N/A</v>
      </c>
      <c r="AD286" s="8" t="str">
        <f t="array" ref="AD286">INDEX(Subject!$A:$I,MATCH(RANDBETWEEN(1,16),Subject!$B:$B,0),3)</f>
        <v>#N/A</v>
      </c>
      <c r="AE286" s="8" t="str">
        <f t="array" ref="AE286">INDEX(Subject!$A:$I,MATCH(RANDBETWEEN(1,16),Subject!$B:$B,0),3)</f>
        <v>#N/A</v>
      </c>
      <c r="AF286" s="8" t="str">
        <f t="array" ref="AF286">INDEX(Subject!$A:$I,MATCH(RANDBETWEEN(1,16),Subject!$B:$B,0),3)</f>
        <v>#N/A</v>
      </c>
      <c r="AG286" s="8" t="str">
        <f t="array" ref="AG286">INDEX(Subject!$A:$I,MATCH(RANDBETWEEN(1,16),Subject!$B:$B,0),3)</f>
        <v>#N/A</v>
      </c>
      <c r="AH286" s="8" t="str">
        <f t="array" ref="AH286">INDEX(Subject!$A:$I,MATCH(RANDBETWEEN(1,16),Subject!$B:$B,0),3)</f>
        <v>#N/A</v>
      </c>
      <c r="AI286" s="8" t="str">
        <f t="array" ref="AI286">INDEX(Subject!$A:$I,MATCH(RANDBETWEEN(1,16),Subject!$B:$B,0),3)</f>
        <v>#N/A</v>
      </c>
      <c r="AJ286" s="8" t="str">
        <f t="array" ref="AJ286">INDEX(Subject!$A:$I,MATCH(RANDBETWEEN(1,16),Subject!$B:$B,0),3)</f>
        <v>#N/A</v>
      </c>
      <c r="AK286" s="8" t="str">
        <f t="array" ref="AK286">INDEX(Subject!$A:$I,MATCH(RANDBETWEEN(1,16),Subject!$B:$B,0),3)</f>
        <v>#N/A</v>
      </c>
      <c r="AL286" s="8" t="str">
        <f t="array" ref="AL286">INDEX(Subject!$A:$I,MATCH(RANDBETWEEN(1,16),Subject!$B:$B,0),3)</f>
        <v>#N/A</v>
      </c>
      <c r="AM286" s="18">
        <f t="shared" si="4"/>
        <v>45786.33333</v>
      </c>
      <c r="AN286" s="19">
        <f t="shared" ref="AN286:BZ286" si="286">$A286+C$1</f>
        <v>45786.35417</v>
      </c>
      <c r="AO286" s="19">
        <f t="shared" si="286"/>
        <v>45786.375</v>
      </c>
      <c r="AP286" s="19">
        <f t="shared" si="286"/>
        <v>45786.39583</v>
      </c>
      <c r="AQ286" s="19">
        <f t="shared" si="286"/>
        <v>45786.41667</v>
      </c>
      <c r="AR286" s="19">
        <f t="shared" si="286"/>
        <v>45786.4375</v>
      </c>
      <c r="AS286" s="19">
        <f t="shared" si="286"/>
        <v>45786.45833</v>
      </c>
      <c r="AT286" s="19">
        <f t="shared" si="286"/>
        <v>45786.47917</v>
      </c>
      <c r="AU286" s="19">
        <f t="shared" si="286"/>
        <v>45786.5</v>
      </c>
      <c r="AV286" s="19">
        <f t="shared" si="286"/>
        <v>45786.52083</v>
      </c>
      <c r="AW286" s="19">
        <f t="shared" si="286"/>
        <v>45786.54167</v>
      </c>
      <c r="AX286" s="19">
        <f t="shared" si="286"/>
        <v>45786.5625</v>
      </c>
      <c r="AY286" s="19">
        <f t="shared" si="286"/>
        <v>45786.58333</v>
      </c>
      <c r="AZ286" s="19">
        <f t="shared" si="286"/>
        <v>45786.60417</v>
      </c>
      <c r="BA286" s="19">
        <f t="shared" si="286"/>
        <v>45786.625</v>
      </c>
      <c r="BB286" s="19">
        <f t="shared" si="286"/>
        <v>45786.64583</v>
      </c>
      <c r="BC286" s="19">
        <f t="shared" si="286"/>
        <v>45786.66667</v>
      </c>
      <c r="BD286" s="19">
        <f t="shared" si="286"/>
        <v>45786.6875</v>
      </c>
      <c r="BE286" s="19">
        <f t="shared" si="286"/>
        <v>45786.70833</v>
      </c>
      <c r="BF286" s="19">
        <f t="shared" si="286"/>
        <v>45786.72917</v>
      </c>
      <c r="BG286" s="19">
        <f t="shared" si="286"/>
        <v>45786.75</v>
      </c>
      <c r="BH286" s="19">
        <f t="shared" si="286"/>
        <v>45786.77083</v>
      </c>
      <c r="BI286" s="19">
        <f t="shared" si="286"/>
        <v>45786.79167</v>
      </c>
      <c r="BJ286" s="19">
        <f t="shared" si="286"/>
        <v>45786.8125</v>
      </c>
      <c r="BK286" s="19">
        <f t="shared" si="286"/>
        <v>45786.83333</v>
      </c>
      <c r="BL286" s="19">
        <f t="shared" si="286"/>
        <v>45786.85417</v>
      </c>
      <c r="BM286" s="19">
        <f t="shared" si="286"/>
        <v>45786.875</v>
      </c>
      <c r="BN286" s="19">
        <f t="shared" si="286"/>
        <v>45786.89583</v>
      </c>
      <c r="BO286" s="19">
        <f t="shared" si="286"/>
        <v>45786.91667</v>
      </c>
      <c r="BP286" s="19">
        <f t="shared" si="286"/>
        <v>45786.9375</v>
      </c>
      <c r="BQ286" s="19">
        <f t="shared" si="286"/>
        <v>45786.95833</v>
      </c>
      <c r="BR286" s="19">
        <f t="shared" si="286"/>
        <v>45786.97917</v>
      </c>
      <c r="BS286" s="19">
        <f t="shared" si="286"/>
        <v>45787</v>
      </c>
      <c r="BT286" s="19">
        <f t="shared" si="286"/>
        <v>45787.02083</v>
      </c>
      <c r="BU286" s="19">
        <f t="shared" si="286"/>
        <v>45787.04167</v>
      </c>
      <c r="BV286" s="19">
        <f t="shared" si="286"/>
        <v>45787.0625</v>
      </c>
      <c r="BW286" s="19">
        <f t="shared" si="286"/>
        <v>45787.08333</v>
      </c>
      <c r="BX286" s="19">
        <f t="shared" si="286"/>
        <v>45786</v>
      </c>
      <c r="BY286" s="19">
        <f t="shared" si="286"/>
        <v>45786</v>
      </c>
      <c r="BZ286" s="19">
        <f t="shared" si="286"/>
        <v>45786</v>
      </c>
    </row>
    <row r="287" ht="14.25" customHeight="1">
      <c r="A287" s="17">
        <v>45787.0</v>
      </c>
      <c r="B287" s="2" t="str">
        <f t="array" ref="B287">IF(NOW()&gt;AM287,"",IF(AND((WEEKDAY($A287)+$B$2)&gt;1,((WEEKDAY($A287)+$T$2)&lt;7),(WEEKDAY($A287)&lt;&gt;1)),"work",(INDEX(Subject!$A:$I,MATCH(RANDBETWEEN(1,(MAX(Subject!$B:$B))),Subject!$B:$B,0),3))))</f>
        <v/>
      </c>
      <c r="C287" s="2" t="str">
        <f t="array" ref="C287">IF(NOW()&gt;AN287,"",IF(AND((WEEKDAY($A287)+$B$2)&gt;1,((WEEKDAY($A287)+$T$2)&lt;7),(WEEKDAY($A287)&lt;&gt;1)),"work",(INDEX(Subject!$A:$I,MATCH(RANDBETWEEN(1,(MAX(Subject!$B:$B))),Subject!$B:$B,0),3))))</f>
        <v/>
      </c>
      <c r="D287" s="2" t="str">
        <f t="array" ref="D287">IF(NOW()&gt;AO287,"",IF(AND((WEEKDAY($A287)+$B$2)&gt;1,((WEEKDAY($A287)+$T$2)&lt;7),(WEEKDAY($A287)&lt;&gt;1)),"work",(INDEX(Subject!$A:$I,MATCH(RANDBETWEEN(1,(MAX(Subject!$B:$B))),Subject!$B:$B,0),3))))</f>
        <v/>
      </c>
      <c r="E287" s="2" t="str">
        <f t="array" ref="E287">IF(NOW()&gt;AP287,"",IF(AND((WEEKDAY($A287)+$B$2)&gt;1,((WEEKDAY($A287)+$T$2)&lt;7),(WEEKDAY($A287)&lt;&gt;1)),"work",(INDEX(Subject!$A:$I,MATCH(RANDBETWEEN(1,(MAX(Subject!$B:$B))),Subject!$B:$B,0),3))))</f>
        <v/>
      </c>
      <c r="F287" s="2" t="str">
        <f t="array" ref="F287">IF(NOW()&gt;AQ287,"",IF(AND((WEEKDAY($A287)+$B$2)&gt;1,((WEEKDAY($A287)+$T$2)&lt;7),(WEEKDAY($A287)&lt;&gt;1)),"work",(INDEX(Subject!$A:$I,MATCH(RANDBETWEEN(1,(MAX(Subject!$B:$B))),Subject!$B:$B,0),3))))</f>
        <v/>
      </c>
      <c r="G287" s="2" t="str">
        <f t="array" ref="G287">IF(NOW()&gt;AR287,"",IF(AND((WEEKDAY($A287)+$B$2)&gt;1,((WEEKDAY($A287)+$T$2)&lt;7),(WEEKDAY($A287)&lt;&gt;1)),"work",(INDEX(Subject!$A:$I,MATCH(RANDBETWEEN(1,(MAX(Subject!$B:$B))),Subject!$B:$B,0),3))))</f>
        <v/>
      </c>
      <c r="H287" s="2" t="str">
        <f t="array" ref="H287">IF(NOW()&gt;AS287,"",IF(AND((WEEKDAY($A287)+$B$2)&gt;1,((WEEKDAY($A287)+$T$2)&lt;7),(WEEKDAY($A287)&lt;&gt;1)),"work",(INDEX(Subject!$A:$I,MATCH(RANDBETWEEN(1,(MAX(Subject!$B:$B))),Subject!$B:$B,0),3))))</f>
        <v/>
      </c>
      <c r="I287" s="2" t="str">
        <f t="array" ref="I287">IF(NOW()&gt;AT287,"",IF(AND((WEEKDAY($A287)+$B$2)&gt;1,((WEEKDAY($A287)+$T$2)&lt;7),(WEEKDAY($A287)&lt;&gt;1)),"work",(INDEX(Subject!$A:$I,MATCH(RANDBETWEEN(1,(MAX(Subject!$B:$B))),Subject!$B:$B,0),3))))</f>
        <v/>
      </c>
      <c r="J287" s="2" t="str">
        <f t="array" ref="J287">IF(NOW()&gt;AU287,"",IF(AND((WEEKDAY($A287)+$B$2)&gt;1,((WEEKDAY($A287)+$T$2)&lt;7),(WEEKDAY($A287)&lt;&gt;1)),"work",(INDEX(Subject!$A:$I,MATCH(RANDBETWEEN(1,(MAX(Subject!$B:$B))),Subject!$B:$B,0),3))))</f>
        <v/>
      </c>
      <c r="K287" s="2" t="str">
        <f t="array" ref="K287">IF(NOW()&gt;AV287,"",IF(AND((WEEKDAY($A287)+$B$2)&gt;1,((WEEKDAY($A287)+$T$2)&lt;7),(WEEKDAY($A287)&lt;&gt;1)),"work",(INDEX(Subject!$A:$I,MATCH(RANDBETWEEN(1,(MAX(Subject!$B:$B))),Subject!$B:$B,0),3))))</f>
        <v/>
      </c>
      <c r="L287" s="2" t="str">
        <f t="array" ref="L287">IF(NOW()&gt;AW287,"",IF(AND((WEEKDAY($A287)+$B$2)&gt;1,((WEEKDAY($A287)+$T$2)&lt;7),(WEEKDAY($A287)&lt;&gt;1)),"work",(INDEX(Subject!$A:$I,MATCH(RANDBETWEEN(1,(MAX(Subject!$B:$B))),Subject!$B:$B,0),3))))</f>
        <v/>
      </c>
      <c r="M287" s="2" t="str">
        <f t="array" ref="M287">IF(NOW()&gt;AX287,"",IF(AND((WEEKDAY($A287)+$B$2)&gt;1,((WEEKDAY($A287)+$T$2)&lt;7),(WEEKDAY($A287)&lt;&gt;1)),"work",(INDEX(Subject!$A:$I,MATCH(RANDBETWEEN(1,(MAX(Subject!$B:$B))),Subject!$B:$B,0),3))))</f>
        <v/>
      </c>
      <c r="N287" s="2" t="str">
        <f t="array" ref="N287">IF(NOW()&gt;AY287,"",IF(AND((WEEKDAY($A287)+$B$2)&gt;1,((WEEKDAY($A287)+$T$2)&lt;7),(WEEKDAY($A287)&lt;&gt;1)),"work",(INDEX(Subject!$A:$I,MATCH(RANDBETWEEN(1,(MAX(Subject!$B:$B))),Subject!$B:$B,0),3))))</f>
        <v/>
      </c>
      <c r="O287" s="2" t="str">
        <f t="array" ref="O287">IF(NOW()&gt;AZ287,"",IF(AND((WEEKDAY($A287)+$B$2)&gt;1,((WEEKDAY($A287)+$T$2)&lt;7),(WEEKDAY($A287)&lt;&gt;1)),"work",(INDEX(Subject!$A:$I,MATCH(RANDBETWEEN(1,(MAX(Subject!$B:$B))),Subject!$B:$B,0),3))))</f>
        <v/>
      </c>
      <c r="P287" s="2" t="str">
        <f t="array" ref="P287">IF(NOW()&gt;BA287,"",IF(AND((WEEKDAY($A287)+$B$2)&gt;1,((WEEKDAY($A287)+$T$2)&lt;7),(WEEKDAY($A287)&lt;&gt;1)),"work",(INDEX(Subject!$A:$I,MATCH(RANDBETWEEN(1,(MAX(Subject!$B:$B))),Subject!$B:$B,0),3))))</f>
        <v/>
      </c>
      <c r="Q287" s="2" t="str">
        <f t="array" ref="Q287">IF(NOW()&gt;BB287,"",IF(AND((WEEKDAY($A287)+$B$2)&gt;1,((WEEKDAY($A287)+$T$2)&lt;7),(WEEKDAY($A287)&lt;&gt;1)),"work",(INDEX(Subject!$A:$I,MATCH(RANDBETWEEN(1,(MAX(Subject!$B:$B))),Subject!$B:$B,0),3))))</f>
        <v/>
      </c>
      <c r="R287" s="2" t="str">
        <f t="array" ref="R287">IF(NOW()&gt;BC287,"",IF(AND((WEEKDAY($A287)+$B$2)&gt;1,((WEEKDAY($A287)+$T$2)&lt;7),(WEEKDAY($A287)&lt;&gt;1)),"work",(INDEX(Subject!$A:$I,MATCH(RANDBETWEEN(1,(MAX(Subject!$B:$B))),Subject!$B:$B,0),3))))</f>
        <v/>
      </c>
      <c r="S287" s="2" t="str">
        <f t="array" ref="S287">IF(NOW()&gt;BD287,"",IF(AND((WEEKDAY($A287)+$B$2)&gt;1,((WEEKDAY($A287)+$T$2)&lt;7),(WEEKDAY($A287)&lt;&gt;1)),"work",(INDEX(Subject!$A:$I,MATCH(RANDBETWEEN(1,(MAX(Subject!$B:$B))),Subject!$B:$B,0),3))))</f>
        <v/>
      </c>
      <c r="T287" s="2" t="str">
        <f t="array" ref="T287">IF(NOW()&gt;BE287,"",IF(AND((WEEKDAY($A287)+$B$2)&gt;1,((WEEKDAY($A287)+$T$2)&lt;7),(WEEKDAY($A287)&lt;&gt;1)),"work",(INDEX(Subject!$A:$I,MATCH(RANDBETWEEN(1,(MAX(Subject!$B:$B))),Subject!$B:$B,0),3))))</f>
        <v/>
      </c>
      <c r="U287" s="8" t="str">
        <f t="array" ref="U287">INDEX(Subject!$A:$I,MATCH(RANDBETWEEN(1,16),Subject!$B:$B,0),3)</f>
        <v>#N/A</v>
      </c>
      <c r="V287" s="8" t="str">
        <f t="array" ref="V287">INDEX(Subject!$A:$I,MATCH(RANDBETWEEN(1,16),Subject!$B:$B,0),3)</f>
        <v>#N/A</v>
      </c>
      <c r="W287" s="8" t="str">
        <f t="array" ref="W287">INDEX(Subject!$A:$I,MATCH(RANDBETWEEN(1,16),Subject!$B:$B,0),3)</f>
        <v>#N/A</v>
      </c>
      <c r="X287" s="8" t="str">
        <f t="array" ref="X287">INDEX(Subject!$A:$I,MATCH(RANDBETWEEN(1,16),Subject!$B:$B,0),3)</f>
        <v>#N/A</v>
      </c>
      <c r="Y287" s="8" t="str">
        <f t="array" ref="Y287">INDEX(Subject!$A:$I,MATCH(RANDBETWEEN(1,16),Subject!$B:$B,0),3)</f>
        <v>#N/A</v>
      </c>
      <c r="Z287" s="8" t="str">
        <f t="array" ref="Z287">INDEX(Subject!$A:$I,MATCH(RANDBETWEEN(1,16),Subject!$B:$B,0),3)</f>
        <v>#N/A</v>
      </c>
      <c r="AA287" s="8" t="str">
        <f t="array" ref="AA287">INDEX(Subject!$A:$I,MATCH(RANDBETWEEN(1,16),Subject!$B:$B,0),3)</f>
        <v>#N/A</v>
      </c>
      <c r="AB287" s="8" t="str">
        <f t="array" ref="AB287">INDEX(Subject!$A:$I,MATCH(RANDBETWEEN(1,16),Subject!$B:$B,0),3)</f>
        <v>#N/A</v>
      </c>
      <c r="AC287" s="8" t="str">
        <f t="array" ref="AC287">INDEX(Subject!$A:$I,MATCH(RANDBETWEEN(1,16),Subject!$B:$B,0),3)</f>
        <v>#N/A</v>
      </c>
      <c r="AD287" s="8" t="str">
        <f t="array" ref="AD287">INDEX(Subject!$A:$I,MATCH(RANDBETWEEN(1,16),Subject!$B:$B,0),3)</f>
        <v>#N/A</v>
      </c>
      <c r="AE287" s="8" t="str">
        <f t="array" ref="AE287">INDEX(Subject!$A:$I,MATCH(RANDBETWEEN(1,16),Subject!$B:$B,0),3)</f>
        <v>#N/A</v>
      </c>
      <c r="AF287" s="8" t="str">
        <f t="array" ref="AF287">INDEX(Subject!$A:$I,MATCH(RANDBETWEEN(1,16),Subject!$B:$B,0),3)</f>
        <v>#N/A</v>
      </c>
      <c r="AG287" s="8" t="str">
        <f t="array" ref="AG287">INDEX(Subject!$A:$I,MATCH(RANDBETWEEN(1,16),Subject!$B:$B,0),3)</f>
        <v>#N/A</v>
      </c>
      <c r="AH287" s="8" t="str">
        <f t="array" ref="AH287">INDEX(Subject!$A:$I,MATCH(RANDBETWEEN(1,16),Subject!$B:$B,0),3)</f>
        <v/>
      </c>
      <c r="AI287" s="8" t="str">
        <f t="array" ref="AI287">INDEX(Subject!$A:$I,MATCH(RANDBETWEEN(1,16),Subject!$B:$B,0),3)</f>
        <v>#N/A</v>
      </c>
      <c r="AJ287" s="8" t="str">
        <f t="array" ref="AJ287">INDEX(Subject!$A:$I,MATCH(RANDBETWEEN(1,16),Subject!$B:$B,0),3)</f>
        <v>#N/A</v>
      </c>
      <c r="AK287" s="8" t="str">
        <f t="array" ref="AK287">INDEX(Subject!$A:$I,MATCH(RANDBETWEEN(1,16),Subject!$B:$B,0),3)</f>
        <v/>
      </c>
      <c r="AL287" s="8" t="str">
        <f t="array" ref="AL287">INDEX(Subject!$A:$I,MATCH(RANDBETWEEN(1,16),Subject!$B:$B,0),3)</f>
        <v>#N/A</v>
      </c>
      <c r="AM287" s="18">
        <f t="shared" si="4"/>
        <v>45787.33333</v>
      </c>
      <c r="AN287" s="19">
        <f t="shared" ref="AN287:BZ287" si="287">$A287+C$1</f>
        <v>45787.35417</v>
      </c>
      <c r="AO287" s="19">
        <f t="shared" si="287"/>
        <v>45787.375</v>
      </c>
      <c r="AP287" s="19">
        <f t="shared" si="287"/>
        <v>45787.39583</v>
      </c>
      <c r="AQ287" s="19">
        <f t="shared" si="287"/>
        <v>45787.41667</v>
      </c>
      <c r="AR287" s="19">
        <f t="shared" si="287"/>
        <v>45787.4375</v>
      </c>
      <c r="AS287" s="19">
        <f t="shared" si="287"/>
        <v>45787.45833</v>
      </c>
      <c r="AT287" s="19">
        <f t="shared" si="287"/>
        <v>45787.47917</v>
      </c>
      <c r="AU287" s="19">
        <f t="shared" si="287"/>
        <v>45787.5</v>
      </c>
      <c r="AV287" s="19">
        <f t="shared" si="287"/>
        <v>45787.52083</v>
      </c>
      <c r="AW287" s="19">
        <f t="shared" si="287"/>
        <v>45787.54167</v>
      </c>
      <c r="AX287" s="19">
        <f t="shared" si="287"/>
        <v>45787.5625</v>
      </c>
      <c r="AY287" s="19">
        <f t="shared" si="287"/>
        <v>45787.58333</v>
      </c>
      <c r="AZ287" s="19">
        <f t="shared" si="287"/>
        <v>45787.60417</v>
      </c>
      <c r="BA287" s="19">
        <f t="shared" si="287"/>
        <v>45787.625</v>
      </c>
      <c r="BB287" s="19">
        <f t="shared" si="287"/>
        <v>45787.64583</v>
      </c>
      <c r="BC287" s="19">
        <f t="shared" si="287"/>
        <v>45787.66667</v>
      </c>
      <c r="BD287" s="19">
        <f t="shared" si="287"/>
        <v>45787.6875</v>
      </c>
      <c r="BE287" s="19">
        <f t="shared" si="287"/>
        <v>45787.70833</v>
      </c>
      <c r="BF287" s="19">
        <f t="shared" si="287"/>
        <v>45787.72917</v>
      </c>
      <c r="BG287" s="19">
        <f t="shared" si="287"/>
        <v>45787.75</v>
      </c>
      <c r="BH287" s="19">
        <f t="shared" si="287"/>
        <v>45787.77083</v>
      </c>
      <c r="BI287" s="19">
        <f t="shared" si="287"/>
        <v>45787.79167</v>
      </c>
      <c r="BJ287" s="19">
        <f t="shared" si="287"/>
        <v>45787.8125</v>
      </c>
      <c r="BK287" s="19">
        <f t="shared" si="287"/>
        <v>45787.83333</v>
      </c>
      <c r="BL287" s="19">
        <f t="shared" si="287"/>
        <v>45787.85417</v>
      </c>
      <c r="BM287" s="19">
        <f t="shared" si="287"/>
        <v>45787.875</v>
      </c>
      <c r="BN287" s="19">
        <f t="shared" si="287"/>
        <v>45787.89583</v>
      </c>
      <c r="BO287" s="19">
        <f t="shared" si="287"/>
        <v>45787.91667</v>
      </c>
      <c r="BP287" s="19">
        <f t="shared" si="287"/>
        <v>45787.9375</v>
      </c>
      <c r="BQ287" s="19">
        <f t="shared" si="287"/>
        <v>45787.95833</v>
      </c>
      <c r="BR287" s="19">
        <f t="shared" si="287"/>
        <v>45787.97917</v>
      </c>
      <c r="BS287" s="19">
        <f t="shared" si="287"/>
        <v>45788</v>
      </c>
      <c r="BT287" s="19">
        <f t="shared" si="287"/>
        <v>45788.02083</v>
      </c>
      <c r="BU287" s="19">
        <f t="shared" si="287"/>
        <v>45788.04167</v>
      </c>
      <c r="BV287" s="19">
        <f t="shared" si="287"/>
        <v>45788.0625</v>
      </c>
      <c r="BW287" s="19">
        <f t="shared" si="287"/>
        <v>45788.08333</v>
      </c>
      <c r="BX287" s="19">
        <f t="shared" si="287"/>
        <v>45787</v>
      </c>
      <c r="BY287" s="19">
        <f t="shared" si="287"/>
        <v>45787</v>
      </c>
      <c r="BZ287" s="19">
        <f t="shared" si="287"/>
        <v>45787</v>
      </c>
    </row>
    <row r="288" ht="14.25" customHeight="1">
      <c r="A288" s="17">
        <v>45788.0</v>
      </c>
      <c r="B288" s="2" t="str">
        <f t="array" ref="B288">IF(NOW()&gt;AM288,"",IF(AND((WEEKDAY($A288)+$B$2)&gt;1,((WEEKDAY($A288)+$T$2)&lt;7),(WEEKDAY($A288)&lt;&gt;1)),"work",(INDEX(Subject!$A:$I,MATCH(RANDBETWEEN(1,(MAX(Subject!$B:$B))),Subject!$B:$B,0),3))))</f>
        <v/>
      </c>
      <c r="C288" s="2" t="str">
        <f t="array" ref="C288">IF(NOW()&gt;AN288,"",IF(AND((WEEKDAY($A288)+$B$2)&gt;1,((WEEKDAY($A288)+$T$2)&lt;7),(WEEKDAY($A288)&lt;&gt;1)),"work",(INDEX(Subject!$A:$I,MATCH(RANDBETWEEN(1,(MAX(Subject!$B:$B))),Subject!$B:$B,0),3))))</f>
        <v/>
      </c>
      <c r="D288" s="2" t="str">
        <f t="array" ref="D288">IF(NOW()&gt;AO288,"",IF(AND((WEEKDAY($A288)+$B$2)&gt;1,((WEEKDAY($A288)+$T$2)&lt;7),(WEEKDAY($A288)&lt;&gt;1)),"work",(INDEX(Subject!$A:$I,MATCH(RANDBETWEEN(1,(MAX(Subject!$B:$B))),Subject!$B:$B,0),3))))</f>
        <v/>
      </c>
      <c r="E288" s="2" t="str">
        <f t="array" ref="E288">IF(NOW()&gt;AP288,"",IF(AND((WEEKDAY($A288)+$B$2)&gt;1,((WEEKDAY($A288)+$T$2)&lt;7),(WEEKDAY($A288)&lt;&gt;1)),"work",(INDEX(Subject!$A:$I,MATCH(RANDBETWEEN(1,(MAX(Subject!$B:$B))),Subject!$B:$B,0),3))))</f>
        <v/>
      </c>
      <c r="F288" s="2" t="str">
        <f t="array" ref="F288">IF(NOW()&gt;AQ288,"",IF(AND((WEEKDAY($A288)+$B$2)&gt;1,((WEEKDAY($A288)+$T$2)&lt;7),(WEEKDAY($A288)&lt;&gt;1)),"work",(INDEX(Subject!$A:$I,MATCH(RANDBETWEEN(1,(MAX(Subject!$B:$B))),Subject!$B:$B,0),3))))</f>
        <v/>
      </c>
      <c r="G288" s="2" t="str">
        <f t="array" ref="G288">IF(NOW()&gt;AR288,"",IF(AND((WEEKDAY($A288)+$B$2)&gt;1,((WEEKDAY($A288)+$T$2)&lt;7),(WEEKDAY($A288)&lt;&gt;1)),"work",(INDEX(Subject!$A:$I,MATCH(RANDBETWEEN(1,(MAX(Subject!$B:$B))),Subject!$B:$B,0),3))))</f>
        <v/>
      </c>
      <c r="H288" s="2" t="str">
        <f t="array" ref="H288">IF(NOW()&gt;AS288,"",IF(AND((WEEKDAY($A288)+$B$2)&gt;1,((WEEKDAY($A288)+$T$2)&lt;7),(WEEKDAY($A288)&lt;&gt;1)),"work",(INDEX(Subject!$A:$I,MATCH(RANDBETWEEN(1,(MAX(Subject!$B:$B))),Subject!$B:$B,0),3))))</f>
        <v/>
      </c>
      <c r="I288" s="2" t="str">
        <f t="array" ref="I288">IF(NOW()&gt;AT288,"",IF(AND((WEEKDAY($A288)+$B$2)&gt;1,((WEEKDAY($A288)+$T$2)&lt;7),(WEEKDAY($A288)&lt;&gt;1)),"work",(INDEX(Subject!$A:$I,MATCH(RANDBETWEEN(1,(MAX(Subject!$B:$B))),Subject!$B:$B,0),3))))</f>
        <v/>
      </c>
      <c r="J288" s="2" t="str">
        <f t="array" ref="J288">IF(NOW()&gt;AU288,"",IF(AND((WEEKDAY($A288)+$B$2)&gt;1,((WEEKDAY($A288)+$T$2)&lt;7),(WEEKDAY($A288)&lt;&gt;1)),"work",(INDEX(Subject!$A:$I,MATCH(RANDBETWEEN(1,(MAX(Subject!$B:$B))),Subject!$B:$B,0),3))))</f>
        <v/>
      </c>
      <c r="K288" s="2" t="str">
        <f t="array" ref="K288">IF(NOW()&gt;AV288,"",IF(AND((WEEKDAY($A288)+$B$2)&gt;1,((WEEKDAY($A288)+$T$2)&lt;7),(WEEKDAY($A288)&lt;&gt;1)),"work",(INDEX(Subject!$A:$I,MATCH(RANDBETWEEN(1,(MAX(Subject!$B:$B))),Subject!$B:$B,0),3))))</f>
        <v/>
      </c>
      <c r="L288" s="2" t="str">
        <f t="array" ref="L288">IF(NOW()&gt;AW288,"",IF(AND((WEEKDAY($A288)+$B$2)&gt;1,((WEEKDAY($A288)+$T$2)&lt;7),(WEEKDAY($A288)&lt;&gt;1)),"work",(INDEX(Subject!$A:$I,MATCH(RANDBETWEEN(1,(MAX(Subject!$B:$B))),Subject!$B:$B,0),3))))</f>
        <v/>
      </c>
      <c r="M288" s="2" t="str">
        <f t="array" ref="M288">IF(NOW()&gt;AX288,"",IF(AND((WEEKDAY($A288)+$B$2)&gt;1,((WEEKDAY($A288)+$T$2)&lt;7),(WEEKDAY($A288)&lt;&gt;1)),"work",(INDEX(Subject!$A:$I,MATCH(RANDBETWEEN(1,(MAX(Subject!$B:$B))),Subject!$B:$B,0),3))))</f>
        <v/>
      </c>
      <c r="N288" s="2" t="str">
        <f t="array" ref="N288">IF(NOW()&gt;AY288,"",IF(AND((WEEKDAY($A288)+$B$2)&gt;1,((WEEKDAY($A288)+$T$2)&lt;7),(WEEKDAY($A288)&lt;&gt;1)),"work",(INDEX(Subject!$A:$I,MATCH(RANDBETWEEN(1,(MAX(Subject!$B:$B))),Subject!$B:$B,0),3))))</f>
        <v/>
      </c>
      <c r="O288" s="2" t="str">
        <f t="array" ref="O288">IF(NOW()&gt;AZ288,"",IF(AND((WEEKDAY($A288)+$B$2)&gt;1,((WEEKDAY($A288)+$T$2)&lt;7),(WEEKDAY($A288)&lt;&gt;1)),"work",(INDEX(Subject!$A:$I,MATCH(RANDBETWEEN(1,(MAX(Subject!$B:$B))),Subject!$B:$B,0),3))))</f>
        <v/>
      </c>
      <c r="P288" s="2" t="str">
        <f t="array" ref="P288">IF(NOW()&gt;BA288,"",IF(AND((WEEKDAY($A288)+$B$2)&gt;1,((WEEKDAY($A288)+$T$2)&lt;7),(WEEKDAY($A288)&lt;&gt;1)),"work",(INDEX(Subject!$A:$I,MATCH(RANDBETWEEN(1,(MAX(Subject!$B:$B))),Subject!$B:$B,0),3))))</f>
        <v/>
      </c>
      <c r="Q288" s="2" t="str">
        <f t="array" ref="Q288">IF(NOW()&gt;BB288,"",IF(AND((WEEKDAY($A288)+$B$2)&gt;1,((WEEKDAY($A288)+$T$2)&lt;7),(WEEKDAY($A288)&lt;&gt;1)),"work",(INDEX(Subject!$A:$I,MATCH(RANDBETWEEN(1,(MAX(Subject!$B:$B))),Subject!$B:$B,0),3))))</f>
        <v/>
      </c>
      <c r="R288" s="2" t="str">
        <f t="array" ref="R288">IF(NOW()&gt;BC288,"",IF(AND((WEEKDAY($A288)+$B$2)&gt;1,((WEEKDAY($A288)+$T$2)&lt;7),(WEEKDAY($A288)&lt;&gt;1)),"work",(INDEX(Subject!$A:$I,MATCH(RANDBETWEEN(1,(MAX(Subject!$B:$B))),Subject!$B:$B,0),3))))</f>
        <v/>
      </c>
      <c r="S288" s="2" t="str">
        <f t="array" ref="S288">IF(NOW()&gt;BD288,"",IF(AND((WEEKDAY($A288)+$B$2)&gt;1,((WEEKDAY($A288)+$T$2)&lt;7),(WEEKDAY($A288)&lt;&gt;1)),"work",(INDEX(Subject!$A:$I,MATCH(RANDBETWEEN(1,(MAX(Subject!$B:$B))),Subject!$B:$B,0),3))))</f>
        <v/>
      </c>
      <c r="T288" s="2" t="str">
        <f t="array" ref="T288">IF(NOW()&gt;BE288,"",IF(AND((WEEKDAY($A288)+$B$2)&gt;1,((WEEKDAY($A288)+$T$2)&lt;7),(WEEKDAY($A288)&lt;&gt;1)),"work",(INDEX(Subject!$A:$I,MATCH(RANDBETWEEN(1,(MAX(Subject!$B:$B))),Subject!$B:$B,0),3))))</f>
        <v/>
      </c>
      <c r="U288" s="8" t="str">
        <f t="array" ref="U288">INDEX(Subject!$A:$I,MATCH(RANDBETWEEN(1,16),Subject!$B:$B,0),3)</f>
        <v>#N/A</v>
      </c>
      <c r="V288" s="8" t="str">
        <f t="array" ref="V288">INDEX(Subject!$A:$I,MATCH(RANDBETWEEN(1,16),Subject!$B:$B,0),3)</f>
        <v>#N/A</v>
      </c>
      <c r="W288" s="8" t="str">
        <f t="array" ref="W288">INDEX(Subject!$A:$I,MATCH(RANDBETWEEN(1,16),Subject!$B:$B,0),3)</f>
        <v/>
      </c>
      <c r="X288" s="8" t="str">
        <f t="array" ref="X288">INDEX(Subject!$A:$I,MATCH(RANDBETWEEN(1,16),Subject!$B:$B,0),3)</f>
        <v>#N/A</v>
      </c>
      <c r="Y288" s="8" t="str">
        <f t="array" ref="Y288">INDEX(Subject!$A:$I,MATCH(RANDBETWEEN(1,16),Subject!$B:$B,0),3)</f>
        <v>#N/A</v>
      </c>
      <c r="Z288" s="8" t="str">
        <f t="array" ref="Z288">INDEX(Subject!$A:$I,MATCH(RANDBETWEEN(1,16),Subject!$B:$B,0),3)</f>
        <v>#N/A</v>
      </c>
      <c r="AA288" s="8" t="str">
        <f t="array" ref="AA288">INDEX(Subject!$A:$I,MATCH(RANDBETWEEN(1,16),Subject!$B:$B,0),3)</f>
        <v>#N/A</v>
      </c>
      <c r="AB288" s="8" t="str">
        <f t="array" ref="AB288">INDEX(Subject!$A:$I,MATCH(RANDBETWEEN(1,16),Subject!$B:$B,0),3)</f>
        <v>#N/A</v>
      </c>
      <c r="AC288" s="8" t="str">
        <f t="array" ref="AC288">INDEX(Subject!$A:$I,MATCH(RANDBETWEEN(1,16),Subject!$B:$B,0),3)</f>
        <v>#N/A</v>
      </c>
      <c r="AD288" s="8" t="str">
        <f t="array" ref="AD288">INDEX(Subject!$A:$I,MATCH(RANDBETWEEN(1,16),Subject!$B:$B,0),3)</f>
        <v>#N/A</v>
      </c>
      <c r="AE288" s="8" t="str">
        <f t="array" ref="AE288">INDEX(Subject!$A:$I,MATCH(RANDBETWEEN(1,16),Subject!$B:$B,0),3)</f>
        <v>#N/A</v>
      </c>
      <c r="AF288" s="8" t="str">
        <f t="array" ref="AF288">INDEX(Subject!$A:$I,MATCH(RANDBETWEEN(1,16),Subject!$B:$B,0),3)</f>
        <v>#N/A</v>
      </c>
      <c r="AG288" s="8" t="str">
        <f t="array" ref="AG288">INDEX(Subject!$A:$I,MATCH(RANDBETWEEN(1,16),Subject!$B:$B,0),3)</f>
        <v>#N/A</v>
      </c>
      <c r="AH288" s="8" t="str">
        <f t="array" ref="AH288">INDEX(Subject!$A:$I,MATCH(RANDBETWEEN(1,16),Subject!$B:$B,0),3)</f>
        <v>#N/A</v>
      </c>
      <c r="AI288" s="8" t="str">
        <f t="array" ref="AI288">INDEX(Subject!$A:$I,MATCH(RANDBETWEEN(1,16),Subject!$B:$B,0),3)</f>
        <v>#N/A</v>
      </c>
      <c r="AJ288" s="8" t="str">
        <f t="array" ref="AJ288">INDEX(Subject!$A:$I,MATCH(RANDBETWEEN(1,16),Subject!$B:$B,0),3)</f>
        <v>#N/A</v>
      </c>
      <c r="AK288" s="8" t="str">
        <f t="array" ref="AK288">INDEX(Subject!$A:$I,MATCH(RANDBETWEEN(1,16),Subject!$B:$B,0),3)</f>
        <v>#N/A</v>
      </c>
      <c r="AL288" s="8" t="str">
        <f t="array" ref="AL288">INDEX(Subject!$A:$I,MATCH(RANDBETWEEN(1,16),Subject!$B:$B,0),3)</f>
        <v>#N/A</v>
      </c>
      <c r="AM288" s="18">
        <f t="shared" si="4"/>
        <v>45788.33333</v>
      </c>
      <c r="AN288" s="19">
        <f t="shared" ref="AN288:BZ288" si="288">$A288+C$1</f>
        <v>45788.35417</v>
      </c>
      <c r="AO288" s="19">
        <f t="shared" si="288"/>
        <v>45788.375</v>
      </c>
      <c r="AP288" s="19">
        <f t="shared" si="288"/>
        <v>45788.39583</v>
      </c>
      <c r="AQ288" s="19">
        <f t="shared" si="288"/>
        <v>45788.41667</v>
      </c>
      <c r="AR288" s="19">
        <f t="shared" si="288"/>
        <v>45788.4375</v>
      </c>
      <c r="AS288" s="19">
        <f t="shared" si="288"/>
        <v>45788.45833</v>
      </c>
      <c r="AT288" s="19">
        <f t="shared" si="288"/>
        <v>45788.47917</v>
      </c>
      <c r="AU288" s="19">
        <f t="shared" si="288"/>
        <v>45788.5</v>
      </c>
      <c r="AV288" s="19">
        <f t="shared" si="288"/>
        <v>45788.52083</v>
      </c>
      <c r="AW288" s="19">
        <f t="shared" si="288"/>
        <v>45788.54167</v>
      </c>
      <c r="AX288" s="19">
        <f t="shared" si="288"/>
        <v>45788.5625</v>
      </c>
      <c r="AY288" s="19">
        <f t="shared" si="288"/>
        <v>45788.58333</v>
      </c>
      <c r="AZ288" s="19">
        <f t="shared" si="288"/>
        <v>45788.60417</v>
      </c>
      <c r="BA288" s="19">
        <f t="shared" si="288"/>
        <v>45788.625</v>
      </c>
      <c r="BB288" s="19">
        <f t="shared" si="288"/>
        <v>45788.64583</v>
      </c>
      <c r="BC288" s="19">
        <f t="shared" si="288"/>
        <v>45788.66667</v>
      </c>
      <c r="BD288" s="19">
        <f t="shared" si="288"/>
        <v>45788.6875</v>
      </c>
      <c r="BE288" s="19">
        <f t="shared" si="288"/>
        <v>45788.70833</v>
      </c>
      <c r="BF288" s="19">
        <f t="shared" si="288"/>
        <v>45788.72917</v>
      </c>
      <c r="BG288" s="19">
        <f t="shared" si="288"/>
        <v>45788.75</v>
      </c>
      <c r="BH288" s="19">
        <f t="shared" si="288"/>
        <v>45788.77083</v>
      </c>
      <c r="BI288" s="19">
        <f t="shared" si="288"/>
        <v>45788.79167</v>
      </c>
      <c r="BJ288" s="19">
        <f t="shared" si="288"/>
        <v>45788.8125</v>
      </c>
      <c r="BK288" s="19">
        <f t="shared" si="288"/>
        <v>45788.83333</v>
      </c>
      <c r="BL288" s="19">
        <f t="shared" si="288"/>
        <v>45788.85417</v>
      </c>
      <c r="BM288" s="19">
        <f t="shared" si="288"/>
        <v>45788.875</v>
      </c>
      <c r="BN288" s="19">
        <f t="shared" si="288"/>
        <v>45788.89583</v>
      </c>
      <c r="BO288" s="19">
        <f t="shared" si="288"/>
        <v>45788.91667</v>
      </c>
      <c r="BP288" s="19">
        <f t="shared" si="288"/>
        <v>45788.9375</v>
      </c>
      <c r="BQ288" s="19">
        <f t="shared" si="288"/>
        <v>45788.95833</v>
      </c>
      <c r="BR288" s="19">
        <f t="shared" si="288"/>
        <v>45788.97917</v>
      </c>
      <c r="BS288" s="19">
        <f t="shared" si="288"/>
        <v>45789</v>
      </c>
      <c r="BT288" s="19">
        <f t="shared" si="288"/>
        <v>45789.02083</v>
      </c>
      <c r="BU288" s="19">
        <f t="shared" si="288"/>
        <v>45789.04167</v>
      </c>
      <c r="BV288" s="19">
        <f t="shared" si="288"/>
        <v>45789.0625</v>
      </c>
      <c r="BW288" s="19">
        <f t="shared" si="288"/>
        <v>45789.08333</v>
      </c>
      <c r="BX288" s="19">
        <f t="shared" si="288"/>
        <v>45788</v>
      </c>
      <c r="BY288" s="19">
        <f t="shared" si="288"/>
        <v>45788</v>
      </c>
      <c r="BZ288" s="19">
        <f t="shared" si="288"/>
        <v>45788</v>
      </c>
    </row>
    <row r="289" ht="14.25" customHeight="1">
      <c r="A289" s="17">
        <v>45789.0</v>
      </c>
      <c r="B289" s="2" t="str">
        <f t="array" ref="B289">IF(NOW()&gt;AM289,"",IF(AND((WEEKDAY($A289)+$B$2)&gt;1,((WEEKDAY($A289)+$T$2)&lt;7),(WEEKDAY($A289)&lt;&gt;1)),"work",(INDEX(Subject!$A:$I,MATCH(RANDBETWEEN(1,(MAX(Subject!$B:$B))),Subject!$B:$B,0),3))))</f>
        <v/>
      </c>
      <c r="C289" s="2" t="str">
        <f t="array" ref="C289">IF(NOW()&gt;AN289,"",IF(AND((WEEKDAY($A289)+$B$2)&gt;1,((WEEKDAY($A289)+$T$2)&lt;7),(WEEKDAY($A289)&lt;&gt;1)),"work",(INDEX(Subject!$A:$I,MATCH(RANDBETWEEN(1,(MAX(Subject!$B:$B))),Subject!$B:$B,0),3))))</f>
        <v/>
      </c>
      <c r="D289" s="2" t="str">
        <f t="array" ref="D289">IF(NOW()&gt;AO289,"",IF(AND((WEEKDAY($A289)+$B$2)&gt;1,((WEEKDAY($A289)+$T$2)&lt;7),(WEEKDAY($A289)&lt;&gt;1)),"work",(INDEX(Subject!$A:$I,MATCH(RANDBETWEEN(1,(MAX(Subject!$B:$B))),Subject!$B:$B,0),3))))</f>
        <v/>
      </c>
      <c r="E289" s="2" t="str">
        <f t="array" ref="E289">IF(NOW()&gt;AP289,"",IF(AND((WEEKDAY($A289)+$B$2)&gt;1,((WEEKDAY($A289)+$T$2)&lt;7),(WEEKDAY($A289)&lt;&gt;1)),"work",(INDEX(Subject!$A:$I,MATCH(RANDBETWEEN(1,(MAX(Subject!$B:$B))),Subject!$B:$B,0),3))))</f>
        <v/>
      </c>
      <c r="F289" s="2" t="str">
        <f t="array" ref="F289">IF(NOW()&gt;AQ289,"",IF(AND((WEEKDAY($A289)+$B$2)&gt;1,((WEEKDAY($A289)+$T$2)&lt;7),(WEEKDAY($A289)&lt;&gt;1)),"work",(INDEX(Subject!$A:$I,MATCH(RANDBETWEEN(1,(MAX(Subject!$B:$B))),Subject!$B:$B,0),3))))</f>
        <v/>
      </c>
      <c r="G289" s="2" t="str">
        <f t="array" ref="G289">IF(NOW()&gt;AR289,"",IF(AND((WEEKDAY($A289)+$B$2)&gt;1,((WEEKDAY($A289)+$T$2)&lt;7),(WEEKDAY($A289)&lt;&gt;1)),"work",(INDEX(Subject!$A:$I,MATCH(RANDBETWEEN(1,(MAX(Subject!$B:$B))),Subject!$B:$B,0),3))))</f>
        <v/>
      </c>
      <c r="H289" s="2" t="str">
        <f t="array" ref="H289">IF(NOW()&gt;AS289,"",IF(AND((WEEKDAY($A289)+$B$2)&gt;1,((WEEKDAY($A289)+$T$2)&lt;7),(WEEKDAY($A289)&lt;&gt;1)),"work",(INDEX(Subject!$A:$I,MATCH(RANDBETWEEN(1,(MAX(Subject!$B:$B))),Subject!$B:$B,0),3))))</f>
        <v/>
      </c>
      <c r="I289" s="2" t="str">
        <f t="array" ref="I289">IF(NOW()&gt;AT289,"",IF(AND((WEEKDAY($A289)+$B$2)&gt;1,((WEEKDAY($A289)+$T$2)&lt;7),(WEEKDAY($A289)&lt;&gt;1)),"work",(INDEX(Subject!$A:$I,MATCH(RANDBETWEEN(1,(MAX(Subject!$B:$B))),Subject!$B:$B,0),3))))</f>
        <v/>
      </c>
      <c r="J289" s="2" t="str">
        <f t="array" ref="J289">IF(NOW()&gt;AU289,"",IF(AND((WEEKDAY($A289)+$B$2)&gt;1,((WEEKDAY($A289)+$T$2)&lt;7),(WEEKDAY($A289)&lt;&gt;1)),"work",(INDEX(Subject!$A:$I,MATCH(RANDBETWEEN(1,(MAX(Subject!$B:$B))),Subject!$B:$B,0),3))))</f>
        <v/>
      </c>
      <c r="K289" s="2" t="str">
        <f t="array" ref="K289">IF(NOW()&gt;AV289,"",IF(AND((WEEKDAY($A289)+$B$2)&gt;1,((WEEKDAY($A289)+$T$2)&lt;7),(WEEKDAY($A289)&lt;&gt;1)),"work",(INDEX(Subject!$A:$I,MATCH(RANDBETWEEN(1,(MAX(Subject!$B:$B))),Subject!$B:$B,0),3))))</f>
        <v/>
      </c>
      <c r="L289" s="2" t="str">
        <f t="array" ref="L289">IF(NOW()&gt;AW289,"",IF(AND((WEEKDAY($A289)+$B$2)&gt;1,((WEEKDAY($A289)+$T$2)&lt;7),(WEEKDAY($A289)&lt;&gt;1)),"work",(INDEX(Subject!$A:$I,MATCH(RANDBETWEEN(1,(MAX(Subject!$B:$B))),Subject!$B:$B,0),3))))</f>
        <v/>
      </c>
      <c r="M289" s="2" t="str">
        <f t="array" ref="M289">IF(NOW()&gt;AX289,"",IF(AND((WEEKDAY($A289)+$B$2)&gt;1,((WEEKDAY($A289)+$T$2)&lt;7),(WEEKDAY($A289)&lt;&gt;1)),"work",(INDEX(Subject!$A:$I,MATCH(RANDBETWEEN(1,(MAX(Subject!$B:$B))),Subject!$B:$B,0),3))))</f>
        <v/>
      </c>
      <c r="N289" s="2" t="str">
        <f t="array" ref="N289">IF(NOW()&gt;AY289,"",IF(AND((WEEKDAY($A289)+$B$2)&gt;1,((WEEKDAY($A289)+$T$2)&lt;7),(WEEKDAY($A289)&lt;&gt;1)),"work",(INDEX(Subject!$A:$I,MATCH(RANDBETWEEN(1,(MAX(Subject!$B:$B))),Subject!$B:$B,0),3))))</f>
        <v/>
      </c>
      <c r="O289" s="2" t="str">
        <f t="array" ref="O289">IF(NOW()&gt;AZ289,"",IF(AND((WEEKDAY($A289)+$B$2)&gt;1,((WEEKDAY($A289)+$T$2)&lt;7),(WEEKDAY($A289)&lt;&gt;1)),"work",(INDEX(Subject!$A:$I,MATCH(RANDBETWEEN(1,(MAX(Subject!$B:$B))),Subject!$B:$B,0),3))))</f>
        <v/>
      </c>
      <c r="P289" s="2" t="str">
        <f t="array" ref="P289">IF(NOW()&gt;BA289,"",IF(AND((WEEKDAY($A289)+$B$2)&gt;1,((WEEKDAY($A289)+$T$2)&lt;7),(WEEKDAY($A289)&lt;&gt;1)),"work",(INDEX(Subject!$A:$I,MATCH(RANDBETWEEN(1,(MAX(Subject!$B:$B))),Subject!$B:$B,0),3))))</f>
        <v/>
      </c>
      <c r="Q289" s="2" t="str">
        <f t="array" ref="Q289">IF(NOW()&gt;BB289,"",IF(AND((WEEKDAY($A289)+$B$2)&gt;1,((WEEKDAY($A289)+$T$2)&lt;7),(WEEKDAY($A289)&lt;&gt;1)),"work",(INDEX(Subject!$A:$I,MATCH(RANDBETWEEN(1,(MAX(Subject!$B:$B))),Subject!$B:$B,0),3))))</f>
        <v/>
      </c>
      <c r="R289" s="2" t="str">
        <f t="array" ref="R289">IF(NOW()&gt;BC289,"",IF(AND((WEEKDAY($A289)+$B$2)&gt;1,((WEEKDAY($A289)+$T$2)&lt;7),(WEEKDAY($A289)&lt;&gt;1)),"work",(INDEX(Subject!$A:$I,MATCH(RANDBETWEEN(1,(MAX(Subject!$B:$B))),Subject!$B:$B,0),3))))</f>
        <v/>
      </c>
      <c r="S289" s="2" t="str">
        <f t="array" ref="S289">IF(NOW()&gt;BD289,"",IF(AND((WEEKDAY($A289)+$B$2)&gt;1,((WEEKDAY($A289)+$T$2)&lt;7),(WEEKDAY($A289)&lt;&gt;1)),"work",(INDEX(Subject!$A:$I,MATCH(RANDBETWEEN(1,(MAX(Subject!$B:$B))),Subject!$B:$B,0),3))))</f>
        <v/>
      </c>
      <c r="T289" s="2" t="str">
        <f t="array" ref="T289">IF(NOW()&gt;BE289,"",IF(AND((WEEKDAY($A289)+$B$2)&gt;1,((WEEKDAY($A289)+$T$2)&lt;7),(WEEKDAY($A289)&lt;&gt;1)),"work",(INDEX(Subject!$A:$I,MATCH(RANDBETWEEN(1,(MAX(Subject!$B:$B))),Subject!$B:$B,0),3))))</f>
        <v/>
      </c>
      <c r="U289" s="8" t="str">
        <f t="array" ref="U289">INDEX(Subject!$A:$I,MATCH(RANDBETWEEN(1,16),Subject!$B:$B,0),3)</f>
        <v/>
      </c>
      <c r="V289" s="8" t="str">
        <f t="array" ref="V289">INDEX(Subject!$A:$I,MATCH(RANDBETWEEN(1,16),Subject!$B:$B,0),3)</f>
        <v>#N/A</v>
      </c>
      <c r="W289" s="8" t="str">
        <f t="array" ref="W289">INDEX(Subject!$A:$I,MATCH(RANDBETWEEN(1,16),Subject!$B:$B,0),3)</f>
        <v>#N/A</v>
      </c>
      <c r="X289" s="8" t="str">
        <f t="array" ref="X289">INDEX(Subject!$A:$I,MATCH(RANDBETWEEN(1,16),Subject!$B:$B,0),3)</f>
        <v>#N/A</v>
      </c>
      <c r="Y289" s="8" t="str">
        <f t="array" ref="Y289">INDEX(Subject!$A:$I,MATCH(RANDBETWEEN(1,16),Subject!$B:$B,0),3)</f>
        <v>#N/A</v>
      </c>
      <c r="Z289" s="8" t="str">
        <f t="array" ref="Z289">INDEX(Subject!$A:$I,MATCH(RANDBETWEEN(1,16),Subject!$B:$B,0),3)</f>
        <v>#N/A</v>
      </c>
      <c r="AA289" s="8" t="str">
        <f t="array" ref="AA289">INDEX(Subject!$A:$I,MATCH(RANDBETWEEN(1,16),Subject!$B:$B,0),3)</f>
        <v>#N/A</v>
      </c>
      <c r="AB289" s="8" t="str">
        <f t="array" ref="AB289">INDEX(Subject!$A:$I,MATCH(RANDBETWEEN(1,16),Subject!$B:$B,0),3)</f>
        <v>#N/A</v>
      </c>
      <c r="AC289" s="8" t="str">
        <f t="array" ref="AC289">INDEX(Subject!$A:$I,MATCH(RANDBETWEEN(1,16),Subject!$B:$B,0),3)</f>
        <v>#N/A</v>
      </c>
      <c r="AD289" s="8" t="str">
        <f t="array" ref="AD289">INDEX(Subject!$A:$I,MATCH(RANDBETWEEN(1,16),Subject!$B:$B,0),3)</f>
        <v>#N/A</v>
      </c>
      <c r="AE289" s="8" t="str">
        <f t="array" ref="AE289">INDEX(Subject!$A:$I,MATCH(RANDBETWEEN(1,16),Subject!$B:$B,0),3)</f>
        <v>#N/A</v>
      </c>
      <c r="AF289" s="8" t="str">
        <f t="array" ref="AF289">INDEX(Subject!$A:$I,MATCH(RANDBETWEEN(1,16),Subject!$B:$B,0),3)</f>
        <v>#N/A</v>
      </c>
      <c r="AG289" s="8" t="str">
        <f t="array" ref="AG289">INDEX(Subject!$A:$I,MATCH(RANDBETWEEN(1,16),Subject!$B:$B,0),3)</f>
        <v>#N/A</v>
      </c>
      <c r="AH289" s="8" t="str">
        <f t="array" ref="AH289">INDEX(Subject!$A:$I,MATCH(RANDBETWEEN(1,16),Subject!$B:$B,0),3)</f>
        <v>#N/A</v>
      </c>
      <c r="AI289" s="8" t="str">
        <f t="array" ref="AI289">INDEX(Subject!$A:$I,MATCH(RANDBETWEEN(1,16),Subject!$B:$B,0),3)</f>
        <v>#N/A</v>
      </c>
      <c r="AJ289" s="8" t="str">
        <f t="array" ref="AJ289">INDEX(Subject!$A:$I,MATCH(RANDBETWEEN(1,16),Subject!$B:$B,0),3)</f>
        <v>#N/A</v>
      </c>
      <c r="AK289" s="8" t="str">
        <f t="array" ref="AK289">INDEX(Subject!$A:$I,MATCH(RANDBETWEEN(1,16),Subject!$B:$B,0),3)</f>
        <v>#N/A</v>
      </c>
      <c r="AL289" s="8" t="str">
        <f t="array" ref="AL289">INDEX(Subject!$A:$I,MATCH(RANDBETWEEN(1,16),Subject!$B:$B,0),3)</f>
        <v>#N/A</v>
      </c>
      <c r="AM289" s="18">
        <f t="shared" si="4"/>
        <v>45789.33333</v>
      </c>
      <c r="AN289" s="19">
        <f t="shared" ref="AN289:BZ289" si="289">$A289+C$1</f>
        <v>45789.35417</v>
      </c>
      <c r="AO289" s="19">
        <f t="shared" si="289"/>
        <v>45789.375</v>
      </c>
      <c r="AP289" s="19">
        <f t="shared" si="289"/>
        <v>45789.39583</v>
      </c>
      <c r="AQ289" s="19">
        <f t="shared" si="289"/>
        <v>45789.41667</v>
      </c>
      <c r="AR289" s="19">
        <f t="shared" si="289"/>
        <v>45789.4375</v>
      </c>
      <c r="AS289" s="19">
        <f t="shared" si="289"/>
        <v>45789.45833</v>
      </c>
      <c r="AT289" s="19">
        <f t="shared" si="289"/>
        <v>45789.47917</v>
      </c>
      <c r="AU289" s="19">
        <f t="shared" si="289"/>
        <v>45789.5</v>
      </c>
      <c r="AV289" s="19">
        <f t="shared" si="289"/>
        <v>45789.52083</v>
      </c>
      <c r="AW289" s="19">
        <f t="shared" si="289"/>
        <v>45789.54167</v>
      </c>
      <c r="AX289" s="19">
        <f t="shared" si="289"/>
        <v>45789.5625</v>
      </c>
      <c r="AY289" s="19">
        <f t="shared" si="289"/>
        <v>45789.58333</v>
      </c>
      <c r="AZ289" s="19">
        <f t="shared" si="289"/>
        <v>45789.60417</v>
      </c>
      <c r="BA289" s="19">
        <f t="shared" si="289"/>
        <v>45789.625</v>
      </c>
      <c r="BB289" s="19">
        <f t="shared" si="289"/>
        <v>45789.64583</v>
      </c>
      <c r="BC289" s="19">
        <f t="shared" si="289"/>
        <v>45789.66667</v>
      </c>
      <c r="BD289" s="19">
        <f t="shared" si="289"/>
        <v>45789.6875</v>
      </c>
      <c r="BE289" s="19">
        <f t="shared" si="289"/>
        <v>45789.70833</v>
      </c>
      <c r="BF289" s="19">
        <f t="shared" si="289"/>
        <v>45789.72917</v>
      </c>
      <c r="BG289" s="19">
        <f t="shared" si="289"/>
        <v>45789.75</v>
      </c>
      <c r="BH289" s="19">
        <f t="shared" si="289"/>
        <v>45789.77083</v>
      </c>
      <c r="BI289" s="19">
        <f t="shared" si="289"/>
        <v>45789.79167</v>
      </c>
      <c r="BJ289" s="19">
        <f t="shared" si="289"/>
        <v>45789.8125</v>
      </c>
      <c r="BK289" s="19">
        <f t="shared" si="289"/>
        <v>45789.83333</v>
      </c>
      <c r="BL289" s="19">
        <f t="shared" si="289"/>
        <v>45789.85417</v>
      </c>
      <c r="BM289" s="19">
        <f t="shared" si="289"/>
        <v>45789.875</v>
      </c>
      <c r="BN289" s="19">
        <f t="shared" si="289"/>
        <v>45789.89583</v>
      </c>
      <c r="BO289" s="19">
        <f t="shared" si="289"/>
        <v>45789.91667</v>
      </c>
      <c r="BP289" s="19">
        <f t="shared" si="289"/>
        <v>45789.9375</v>
      </c>
      <c r="BQ289" s="19">
        <f t="shared" si="289"/>
        <v>45789.95833</v>
      </c>
      <c r="BR289" s="19">
        <f t="shared" si="289"/>
        <v>45789.97917</v>
      </c>
      <c r="BS289" s="19">
        <f t="shared" si="289"/>
        <v>45790</v>
      </c>
      <c r="BT289" s="19">
        <f t="shared" si="289"/>
        <v>45790.02083</v>
      </c>
      <c r="BU289" s="19">
        <f t="shared" si="289"/>
        <v>45790.04167</v>
      </c>
      <c r="BV289" s="19">
        <f t="shared" si="289"/>
        <v>45790.0625</v>
      </c>
      <c r="BW289" s="19">
        <f t="shared" si="289"/>
        <v>45790.08333</v>
      </c>
      <c r="BX289" s="19">
        <f t="shared" si="289"/>
        <v>45789</v>
      </c>
      <c r="BY289" s="19">
        <f t="shared" si="289"/>
        <v>45789</v>
      </c>
      <c r="BZ289" s="19">
        <f t="shared" si="289"/>
        <v>45789</v>
      </c>
    </row>
    <row r="290" ht="14.25" customHeight="1">
      <c r="A290" s="17">
        <v>45790.0</v>
      </c>
      <c r="B290" s="2" t="str">
        <f t="array" ref="B290">IF(NOW()&gt;AM290,"",IF(AND((WEEKDAY($A290)+$B$2)&gt;1,((WEEKDAY($A290)+$T$2)&lt;7),(WEEKDAY($A290)&lt;&gt;1)),"work",(INDEX(Subject!$A:$I,MATCH(RANDBETWEEN(1,(MAX(Subject!$B:$B))),Subject!$B:$B,0),3))))</f>
        <v/>
      </c>
      <c r="C290" s="2" t="str">
        <f t="array" ref="C290">IF(NOW()&gt;AN290,"",IF(AND((WEEKDAY($A290)+$B$2)&gt;1,((WEEKDAY($A290)+$T$2)&lt;7),(WEEKDAY($A290)&lt;&gt;1)),"work",(INDEX(Subject!$A:$I,MATCH(RANDBETWEEN(1,(MAX(Subject!$B:$B))),Subject!$B:$B,0),3))))</f>
        <v/>
      </c>
      <c r="D290" s="2" t="str">
        <f t="array" ref="D290">IF(NOW()&gt;AO290,"",IF(AND((WEEKDAY($A290)+$B$2)&gt;1,((WEEKDAY($A290)+$T$2)&lt;7),(WEEKDAY($A290)&lt;&gt;1)),"work",(INDEX(Subject!$A:$I,MATCH(RANDBETWEEN(1,(MAX(Subject!$B:$B))),Subject!$B:$B,0),3))))</f>
        <v/>
      </c>
      <c r="E290" s="2" t="str">
        <f t="array" ref="E290">IF(NOW()&gt;AP290,"",IF(AND((WEEKDAY($A290)+$B$2)&gt;1,((WEEKDAY($A290)+$T$2)&lt;7),(WEEKDAY($A290)&lt;&gt;1)),"work",(INDEX(Subject!$A:$I,MATCH(RANDBETWEEN(1,(MAX(Subject!$B:$B))),Subject!$B:$B,0),3))))</f>
        <v/>
      </c>
      <c r="F290" s="2" t="str">
        <f t="array" ref="F290">IF(NOW()&gt;AQ290,"",IF(AND((WEEKDAY($A290)+$B$2)&gt;1,((WEEKDAY($A290)+$T$2)&lt;7),(WEEKDAY($A290)&lt;&gt;1)),"work",(INDEX(Subject!$A:$I,MATCH(RANDBETWEEN(1,(MAX(Subject!$B:$B))),Subject!$B:$B,0),3))))</f>
        <v/>
      </c>
      <c r="G290" s="2" t="str">
        <f t="array" ref="G290">IF(NOW()&gt;AR290,"",IF(AND((WEEKDAY($A290)+$B$2)&gt;1,((WEEKDAY($A290)+$T$2)&lt;7),(WEEKDAY($A290)&lt;&gt;1)),"work",(INDEX(Subject!$A:$I,MATCH(RANDBETWEEN(1,(MAX(Subject!$B:$B))),Subject!$B:$B,0),3))))</f>
        <v/>
      </c>
      <c r="H290" s="2" t="str">
        <f t="array" ref="H290">IF(NOW()&gt;AS290,"",IF(AND((WEEKDAY($A290)+$B$2)&gt;1,((WEEKDAY($A290)+$T$2)&lt;7),(WEEKDAY($A290)&lt;&gt;1)),"work",(INDEX(Subject!$A:$I,MATCH(RANDBETWEEN(1,(MAX(Subject!$B:$B))),Subject!$B:$B,0),3))))</f>
        <v/>
      </c>
      <c r="I290" s="2" t="str">
        <f t="array" ref="I290">IF(NOW()&gt;AT290,"",IF(AND((WEEKDAY($A290)+$B$2)&gt;1,((WEEKDAY($A290)+$T$2)&lt;7),(WEEKDAY($A290)&lt;&gt;1)),"work",(INDEX(Subject!$A:$I,MATCH(RANDBETWEEN(1,(MAX(Subject!$B:$B))),Subject!$B:$B,0),3))))</f>
        <v/>
      </c>
      <c r="J290" s="2" t="str">
        <f t="array" ref="J290">IF(NOW()&gt;AU290,"",IF(AND((WEEKDAY($A290)+$B$2)&gt;1,((WEEKDAY($A290)+$T$2)&lt;7),(WEEKDAY($A290)&lt;&gt;1)),"work",(INDEX(Subject!$A:$I,MATCH(RANDBETWEEN(1,(MAX(Subject!$B:$B))),Subject!$B:$B,0),3))))</f>
        <v/>
      </c>
      <c r="K290" s="2" t="str">
        <f t="array" ref="K290">IF(NOW()&gt;AV290,"",IF(AND((WEEKDAY($A290)+$B$2)&gt;1,((WEEKDAY($A290)+$T$2)&lt;7),(WEEKDAY($A290)&lt;&gt;1)),"work",(INDEX(Subject!$A:$I,MATCH(RANDBETWEEN(1,(MAX(Subject!$B:$B))),Subject!$B:$B,0),3))))</f>
        <v/>
      </c>
      <c r="L290" s="2" t="str">
        <f t="array" ref="L290">IF(NOW()&gt;AW290,"",IF(AND((WEEKDAY($A290)+$B$2)&gt;1,((WEEKDAY($A290)+$T$2)&lt;7),(WEEKDAY($A290)&lt;&gt;1)),"work",(INDEX(Subject!$A:$I,MATCH(RANDBETWEEN(1,(MAX(Subject!$B:$B))),Subject!$B:$B,0),3))))</f>
        <v/>
      </c>
      <c r="M290" s="2" t="str">
        <f t="array" ref="M290">IF(NOW()&gt;AX290,"",IF(AND((WEEKDAY($A290)+$B$2)&gt;1,((WEEKDAY($A290)+$T$2)&lt;7),(WEEKDAY($A290)&lt;&gt;1)),"work",(INDEX(Subject!$A:$I,MATCH(RANDBETWEEN(1,(MAX(Subject!$B:$B))),Subject!$B:$B,0),3))))</f>
        <v/>
      </c>
      <c r="N290" s="2" t="str">
        <f t="array" ref="N290">IF(NOW()&gt;AY290,"",IF(AND((WEEKDAY($A290)+$B$2)&gt;1,((WEEKDAY($A290)+$T$2)&lt;7),(WEEKDAY($A290)&lt;&gt;1)),"work",(INDEX(Subject!$A:$I,MATCH(RANDBETWEEN(1,(MAX(Subject!$B:$B))),Subject!$B:$B,0),3))))</f>
        <v/>
      </c>
      <c r="O290" s="2" t="str">
        <f t="array" ref="O290">IF(NOW()&gt;AZ290,"",IF(AND((WEEKDAY($A290)+$B$2)&gt;1,((WEEKDAY($A290)+$T$2)&lt;7),(WEEKDAY($A290)&lt;&gt;1)),"work",(INDEX(Subject!$A:$I,MATCH(RANDBETWEEN(1,(MAX(Subject!$B:$B))),Subject!$B:$B,0),3))))</f>
        <v/>
      </c>
      <c r="P290" s="2" t="str">
        <f t="array" ref="P290">IF(NOW()&gt;BA290,"",IF(AND((WEEKDAY($A290)+$B$2)&gt;1,((WEEKDAY($A290)+$T$2)&lt;7),(WEEKDAY($A290)&lt;&gt;1)),"work",(INDEX(Subject!$A:$I,MATCH(RANDBETWEEN(1,(MAX(Subject!$B:$B))),Subject!$B:$B,0),3))))</f>
        <v/>
      </c>
      <c r="Q290" s="2" t="str">
        <f t="array" ref="Q290">IF(NOW()&gt;BB290,"",IF(AND((WEEKDAY($A290)+$B$2)&gt;1,((WEEKDAY($A290)+$T$2)&lt;7),(WEEKDAY($A290)&lt;&gt;1)),"work",(INDEX(Subject!$A:$I,MATCH(RANDBETWEEN(1,(MAX(Subject!$B:$B))),Subject!$B:$B,0),3))))</f>
        <v/>
      </c>
      <c r="R290" s="2" t="str">
        <f t="array" ref="R290">IF(NOW()&gt;BC290,"",IF(AND((WEEKDAY($A290)+$B$2)&gt;1,((WEEKDAY($A290)+$T$2)&lt;7),(WEEKDAY($A290)&lt;&gt;1)),"work",(INDEX(Subject!$A:$I,MATCH(RANDBETWEEN(1,(MAX(Subject!$B:$B))),Subject!$B:$B,0),3))))</f>
        <v/>
      </c>
      <c r="S290" s="2" t="str">
        <f t="array" ref="S290">IF(NOW()&gt;BD290,"",IF(AND((WEEKDAY($A290)+$B$2)&gt;1,((WEEKDAY($A290)+$T$2)&lt;7),(WEEKDAY($A290)&lt;&gt;1)),"work",(INDEX(Subject!$A:$I,MATCH(RANDBETWEEN(1,(MAX(Subject!$B:$B))),Subject!$B:$B,0),3))))</f>
        <v/>
      </c>
      <c r="T290" s="2" t="str">
        <f t="array" ref="T290">IF(NOW()&gt;BE290,"",IF(AND((WEEKDAY($A290)+$B$2)&gt;1,((WEEKDAY($A290)+$T$2)&lt;7),(WEEKDAY($A290)&lt;&gt;1)),"work",(INDEX(Subject!$A:$I,MATCH(RANDBETWEEN(1,(MAX(Subject!$B:$B))),Subject!$B:$B,0),3))))</f>
        <v/>
      </c>
      <c r="U290" s="8" t="str">
        <f t="array" ref="U290">INDEX(Subject!$A:$I,MATCH(RANDBETWEEN(1,16),Subject!$B:$B,0),3)</f>
        <v>#N/A</v>
      </c>
      <c r="V290" s="8" t="str">
        <f t="array" ref="V290">INDEX(Subject!$A:$I,MATCH(RANDBETWEEN(1,16),Subject!$B:$B,0),3)</f>
        <v>#N/A</v>
      </c>
      <c r="W290" s="8" t="str">
        <f t="array" ref="W290">INDEX(Subject!$A:$I,MATCH(RANDBETWEEN(1,16),Subject!$B:$B,0),3)</f>
        <v>#N/A</v>
      </c>
      <c r="X290" s="8" t="str">
        <f t="array" ref="X290">INDEX(Subject!$A:$I,MATCH(RANDBETWEEN(1,16),Subject!$B:$B,0),3)</f>
        <v>#N/A</v>
      </c>
      <c r="Y290" s="8" t="str">
        <f t="array" ref="Y290">INDEX(Subject!$A:$I,MATCH(RANDBETWEEN(1,16),Subject!$B:$B,0),3)</f>
        <v>#N/A</v>
      </c>
      <c r="Z290" s="8" t="str">
        <f t="array" ref="Z290">INDEX(Subject!$A:$I,MATCH(RANDBETWEEN(1,16),Subject!$B:$B,0),3)</f>
        <v>#N/A</v>
      </c>
      <c r="AA290" s="8" t="str">
        <f t="array" ref="AA290">INDEX(Subject!$A:$I,MATCH(RANDBETWEEN(1,16),Subject!$B:$B,0),3)</f>
        <v>#N/A</v>
      </c>
      <c r="AB290" s="8" t="str">
        <f t="array" ref="AB290">INDEX(Subject!$A:$I,MATCH(RANDBETWEEN(1,16),Subject!$B:$B,0),3)</f>
        <v>#N/A</v>
      </c>
      <c r="AC290" s="8" t="str">
        <f t="array" ref="AC290">INDEX(Subject!$A:$I,MATCH(RANDBETWEEN(1,16),Subject!$B:$B,0),3)</f>
        <v>#N/A</v>
      </c>
      <c r="AD290" s="8" t="str">
        <f t="array" ref="AD290">INDEX(Subject!$A:$I,MATCH(RANDBETWEEN(1,16),Subject!$B:$B,0),3)</f>
        <v>#N/A</v>
      </c>
      <c r="AE290" s="8" t="str">
        <f t="array" ref="AE290">INDEX(Subject!$A:$I,MATCH(RANDBETWEEN(1,16),Subject!$B:$B,0),3)</f>
        <v>#N/A</v>
      </c>
      <c r="AF290" s="8" t="str">
        <f t="array" ref="AF290">INDEX(Subject!$A:$I,MATCH(RANDBETWEEN(1,16),Subject!$B:$B,0),3)</f>
        <v>#N/A</v>
      </c>
      <c r="AG290" s="8" t="str">
        <f t="array" ref="AG290">INDEX(Subject!$A:$I,MATCH(RANDBETWEEN(1,16),Subject!$B:$B,0),3)</f>
        <v>#N/A</v>
      </c>
      <c r="AH290" s="8" t="str">
        <f t="array" ref="AH290">INDEX(Subject!$A:$I,MATCH(RANDBETWEEN(1,16),Subject!$B:$B,0),3)</f>
        <v/>
      </c>
      <c r="AI290" s="8" t="str">
        <f t="array" ref="AI290">INDEX(Subject!$A:$I,MATCH(RANDBETWEEN(1,16),Subject!$B:$B,0),3)</f>
        <v>#N/A</v>
      </c>
      <c r="AJ290" s="8" t="str">
        <f t="array" ref="AJ290">INDEX(Subject!$A:$I,MATCH(RANDBETWEEN(1,16),Subject!$B:$B,0),3)</f>
        <v>#N/A</v>
      </c>
      <c r="AK290" s="8" t="str">
        <f t="array" ref="AK290">INDEX(Subject!$A:$I,MATCH(RANDBETWEEN(1,16),Subject!$B:$B,0),3)</f>
        <v>#N/A</v>
      </c>
      <c r="AL290" s="8" t="str">
        <f t="array" ref="AL290">INDEX(Subject!$A:$I,MATCH(RANDBETWEEN(1,16),Subject!$B:$B,0),3)</f>
        <v>#N/A</v>
      </c>
      <c r="AM290" s="18">
        <f t="shared" si="4"/>
        <v>45790.33333</v>
      </c>
      <c r="AN290" s="19">
        <f t="shared" ref="AN290:BZ290" si="290">$A290+C$1</f>
        <v>45790.35417</v>
      </c>
      <c r="AO290" s="19">
        <f t="shared" si="290"/>
        <v>45790.375</v>
      </c>
      <c r="AP290" s="19">
        <f t="shared" si="290"/>
        <v>45790.39583</v>
      </c>
      <c r="AQ290" s="19">
        <f t="shared" si="290"/>
        <v>45790.41667</v>
      </c>
      <c r="AR290" s="19">
        <f t="shared" si="290"/>
        <v>45790.4375</v>
      </c>
      <c r="AS290" s="19">
        <f t="shared" si="290"/>
        <v>45790.45833</v>
      </c>
      <c r="AT290" s="19">
        <f t="shared" si="290"/>
        <v>45790.47917</v>
      </c>
      <c r="AU290" s="19">
        <f t="shared" si="290"/>
        <v>45790.5</v>
      </c>
      <c r="AV290" s="19">
        <f t="shared" si="290"/>
        <v>45790.52083</v>
      </c>
      <c r="AW290" s="19">
        <f t="shared" si="290"/>
        <v>45790.54167</v>
      </c>
      <c r="AX290" s="19">
        <f t="shared" si="290"/>
        <v>45790.5625</v>
      </c>
      <c r="AY290" s="19">
        <f t="shared" si="290"/>
        <v>45790.58333</v>
      </c>
      <c r="AZ290" s="19">
        <f t="shared" si="290"/>
        <v>45790.60417</v>
      </c>
      <c r="BA290" s="19">
        <f t="shared" si="290"/>
        <v>45790.625</v>
      </c>
      <c r="BB290" s="19">
        <f t="shared" si="290"/>
        <v>45790.64583</v>
      </c>
      <c r="BC290" s="19">
        <f t="shared" si="290"/>
        <v>45790.66667</v>
      </c>
      <c r="BD290" s="19">
        <f t="shared" si="290"/>
        <v>45790.6875</v>
      </c>
      <c r="BE290" s="19">
        <f t="shared" si="290"/>
        <v>45790.70833</v>
      </c>
      <c r="BF290" s="19">
        <f t="shared" si="290"/>
        <v>45790.72917</v>
      </c>
      <c r="BG290" s="19">
        <f t="shared" si="290"/>
        <v>45790.75</v>
      </c>
      <c r="BH290" s="19">
        <f t="shared" si="290"/>
        <v>45790.77083</v>
      </c>
      <c r="BI290" s="19">
        <f t="shared" si="290"/>
        <v>45790.79167</v>
      </c>
      <c r="BJ290" s="19">
        <f t="shared" si="290"/>
        <v>45790.8125</v>
      </c>
      <c r="BK290" s="19">
        <f t="shared" si="290"/>
        <v>45790.83333</v>
      </c>
      <c r="BL290" s="19">
        <f t="shared" si="290"/>
        <v>45790.85417</v>
      </c>
      <c r="BM290" s="19">
        <f t="shared" si="290"/>
        <v>45790.875</v>
      </c>
      <c r="BN290" s="19">
        <f t="shared" si="290"/>
        <v>45790.89583</v>
      </c>
      <c r="BO290" s="19">
        <f t="shared" si="290"/>
        <v>45790.91667</v>
      </c>
      <c r="BP290" s="19">
        <f t="shared" si="290"/>
        <v>45790.9375</v>
      </c>
      <c r="BQ290" s="19">
        <f t="shared" si="290"/>
        <v>45790.95833</v>
      </c>
      <c r="BR290" s="19">
        <f t="shared" si="290"/>
        <v>45790.97917</v>
      </c>
      <c r="BS290" s="19">
        <f t="shared" si="290"/>
        <v>45791</v>
      </c>
      <c r="BT290" s="19">
        <f t="shared" si="290"/>
        <v>45791.02083</v>
      </c>
      <c r="BU290" s="19">
        <f t="shared" si="290"/>
        <v>45791.04167</v>
      </c>
      <c r="BV290" s="19">
        <f t="shared" si="290"/>
        <v>45791.0625</v>
      </c>
      <c r="BW290" s="19">
        <f t="shared" si="290"/>
        <v>45791.08333</v>
      </c>
      <c r="BX290" s="19">
        <f t="shared" si="290"/>
        <v>45790</v>
      </c>
      <c r="BY290" s="19">
        <f t="shared" si="290"/>
        <v>45790</v>
      </c>
      <c r="BZ290" s="19">
        <f t="shared" si="290"/>
        <v>45790</v>
      </c>
    </row>
    <row r="291" ht="14.25" customHeight="1">
      <c r="A291" s="17">
        <v>45791.0</v>
      </c>
      <c r="B291" s="2" t="str">
        <f t="array" ref="B291">IF(NOW()&gt;AM291,"",IF(AND((WEEKDAY($A291)+$B$2)&gt;1,((WEEKDAY($A291)+$T$2)&lt;7),(WEEKDAY($A291)&lt;&gt;1)),"work",(INDEX(Subject!$A:$I,MATCH(RANDBETWEEN(1,(MAX(Subject!$B:$B))),Subject!$B:$B,0),3))))</f>
        <v/>
      </c>
      <c r="C291" s="2" t="str">
        <f t="array" ref="C291">IF(NOW()&gt;AN291,"",IF(AND((WEEKDAY($A291)+$B$2)&gt;1,((WEEKDAY($A291)+$T$2)&lt;7),(WEEKDAY($A291)&lt;&gt;1)),"work",(INDEX(Subject!$A:$I,MATCH(RANDBETWEEN(1,(MAX(Subject!$B:$B))),Subject!$B:$B,0),3))))</f>
        <v/>
      </c>
      <c r="D291" s="2" t="str">
        <f t="array" ref="D291">IF(NOW()&gt;AO291,"",IF(AND((WEEKDAY($A291)+$B$2)&gt;1,((WEEKDAY($A291)+$T$2)&lt;7),(WEEKDAY($A291)&lt;&gt;1)),"work",(INDEX(Subject!$A:$I,MATCH(RANDBETWEEN(1,(MAX(Subject!$B:$B))),Subject!$B:$B,0),3))))</f>
        <v/>
      </c>
      <c r="E291" s="2" t="str">
        <f t="array" ref="E291">IF(NOW()&gt;AP291,"",IF(AND((WEEKDAY($A291)+$B$2)&gt;1,((WEEKDAY($A291)+$T$2)&lt;7),(WEEKDAY($A291)&lt;&gt;1)),"work",(INDEX(Subject!$A:$I,MATCH(RANDBETWEEN(1,(MAX(Subject!$B:$B))),Subject!$B:$B,0),3))))</f>
        <v/>
      </c>
      <c r="F291" s="2" t="str">
        <f t="array" ref="F291">IF(NOW()&gt;AQ291,"",IF(AND((WEEKDAY($A291)+$B$2)&gt;1,((WEEKDAY($A291)+$T$2)&lt;7),(WEEKDAY($A291)&lt;&gt;1)),"work",(INDEX(Subject!$A:$I,MATCH(RANDBETWEEN(1,(MAX(Subject!$B:$B))),Subject!$B:$B,0),3))))</f>
        <v/>
      </c>
      <c r="G291" s="2" t="str">
        <f t="array" ref="G291">IF(NOW()&gt;AR291,"",IF(AND((WEEKDAY($A291)+$B$2)&gt;1,((WEEKDAY($A291)+$T$2)&lt;7),(WEEKDAY($A291)&lt;&gt;1)),"work",(INDEX(Subject!$A:$I,MATCH(RANDBETWEEN(1,(MAX(Subject!$B:$B))),Subject!$B:$B,0),3))))</f>
        <v/>
      </c>
      <c r="H291" s="2" t="str">
        <f t="array" ref="H291">IF(NOW()&gt;AS291,"",IF(AND((WEEKDAY($A291)+$B$2)&gt;1,((WEEKDAY($A291)+$T$2)&lt;7),(WEEKDAY($A291)&lt;&gt;1)),"work",(INDEX(Subject!$A:$I,MATCH(RANDBETWEEN(1,(MAX(Subject!$B:$B))),Subject!$B:$B,0),3))))</f>
        <v/>
      </c>
      <c r="I291" s="2" t="str">
        <f t="array" ref="I291">IF(NOW()&gt;AT291,"",IF(AND((WEEKDAY($A291)+$B$2)&gt;1,((WEEKDAY($A291)+$T$2)&lt;7),(WEEKDAY($A291)&lt;&gt;1)),"work",(INDEX(Subject!$A:$I,MATCH(RANDBETWEEN(1,(MAX(Subject!$B:$B))),Subject!$B:$B,0),3))))</f>
        <v/>
      </c>
      <c r="J291" s="2" t="str">
        <f t="array" ref="J291">IF(NOW()&gt;AU291,"",IF(AND((WEEKDAY($A291)+$B$2)&gt;1,((WEEKDAY($A291)+$T$2)&lt;7),(WEEKDAY($A291)&lt;&gt;1)),"work",(INDEX(Subject!$A:$I,MATCH(RANDBETWEEN(1,(MAX(Subject!$B:$B))),Subject!$B:$B,0),3))))</f>
        <v/>
      </c>
      <c r="K291" s="2" t="str">
        <f t="array" ref="K291">IF(NOW()&gt;AV291,"",IF(AND((WEEKDAY($A291)+$B$2)&gt;1,((WEEKDAY($A291)+$T$2)&lt;7),(WEEKDAY($A291)&lt;&gt;1)),"work",(INDEX(Subject!$A:$I,MATCH(RANDBETWEEN(1,(MAX(Subject!$B:$B))),Subject!$B:$B,0),3))))</f>
        <v/>
      </c>
      <c r="L291" s="2" t="str">
        <f t="array" ref="L291">IF(NOW()&gt;AW291,"",IF(AND((WEEKDAY($A291)+$B$2)&gt;1,((WEEKDAY($A291)+$T$2)&lt;7),(WEEKDAY($A291)&lt;&gt;1)),"work",(INDEX(Subject!$A:$I,MATCH(RANDBETWEEN(1,(MAX(Subject!$B:$B))),Subject!$B:$B,0),3))))</f>
        <v/>
      </c>
      <c r="M291" s="2" t="str">
        <f t="array" ref="M291">IF(NOW()&gt;AX291,"",IF(AND((WEEKDAY($A291)+$B$2)&gt;1,((WEEKDAY($A291)+$T$2)&lt;7),(WEEKDAY($A291)&lt;&gt;1)),"work",(INDEX(Subject!$A:$I,MATCH(RANDBETWEEN(1,(MAX(Subject!$B:$B))),Subject!$B:$B,0),3))))</f>
        <v/>
      </c>
      <c r="N291" s="2" t="str">
        <f t="array" ref="N291">IF(NOW()&gt;AY291,"",IF(AND((WEEKDAY($A291)+$B$2)&gt;1,((WEEKDAY($A291)+$T$2)&lt;7),(WEEKDAY($A291)&lt;&gt;1)),"work",(INDEX(Subject!$A:$I,MATCH(RANDBETWEEN(1,(MAX(Subject!$B:$B))),Subject!$B:$B,0),3))))</f>
        <v/>
      </c>
      <c r="O291" s="2" t="str">
        <f t="array" ref="O291">IF(NOW()&gt;AZ291,"",IF(AND((WEEKDAY($A291)+$B$2)&gt;1,((WEEKDAY($A291)+$T$2)&lt;7),(WEEKDAY($A291)&lt;&gt;1)),"work",(INDEX(Subject!$A:$I,MATCH(RANDBETWEEN(1,(MAX(Subject!$B:$B))),Subject!$B:$B,0),3))))</f>
        <v/>
      </c>
      <c r="P291" s="2" t="str">
        <f t="array" ref="P291">IF(NOW()&gt;BA291,"",IF(AND((WEEKDAY($A291)+$B$2)&gt;1,((WEEKDAY($A291)+$T$2)&lt;7),(WEEKDAY($A291)&lt;&gt;1)),"work",(INDEX(Subject!$A:$I,MATCH(RANDBETWEEN(1,(MAX(Subject!$B:$B))),Subject!$B:$B,0),3))))</f>
        <v/>
      </c>
      <c r="Q291" s="2" t="str">
        <f t="array" ref="Q291">IF(NOW()&gt;BB291,"",IF(AND((WEEKDAY($A291)+$B$2)&gt;1,((WEEKDAY($A291)+$T$2)&lt;7),(WEEKDAY($A291)&lt;&gt;1)),"work",(INDEX(Subject!$A:$I,MATCH(RANDBETWEEN(1,(MAX(Subject!$B:$B))),Subject!$B:$B,0),3))))</f>
        <v/>
      </c>
      <c r="R291" s="2" t="str">
        <f t="array" ref="R291">IF(NOW()&gt;BC291,"",IF(AND((WEEKDAY($A291)+$B$2)&gt;1,((WEEKDAY($A291)+$T$2)&lt;7),(WEEKDAY($A291)&lt;&gt;1)),"work",(INDEX(Subject!$A:$I,MATCH(RANDBETWEEN(1,(MAX(Subject!$B:$B))),Subject!$B:$B,0),3))))</f>
        <v/>
      </c>
      <c r="S291" s="2" t="str">
        <f t="array" ref="S291">IF(NOW()&gt;BD291,"",IF(AND((WEEKDAY($A291)+$B$2)&gt;1,((WEEKDAY($A291)+$T$2)&lt;7),(WEEKDAY($A291)&lt;&gt;1)),"work",(INDEX(Subject!$A:$I,MATCH(RANDBETWEEN(1,(MAX(Subject!$B:$B))),Subject!$B:$B,0),3))))</f>
        <v/>
      </c>
      <c r="T291" s="2" t="str">
        <f t="array" ref="T291">IF(NOW()&gt;BE291,"",IF(AND((WEEKDAY($A291)+$B$2)&gt;1,((WEEKDAY($A291)+$T$2)&lt;7),(WEEKDAY($A291)&lt;&gt;1)),"work",(INDEX(Subject!$A:$I,MATCH(RANDBETWEEN(1,(MAX(Subject!$B:$B))),Subject!$B:$B,0),3))))</f>
        <v/>
      </c>
      <c r="U291" s="8" t="str">
        <f t="array" ref="U291">INDEX(Subject!$A:$I,MATCH(RANDBETWEEN(1,16),Subject!$B:$B,0),3)</f>
        <v>#N/A</v>
      </c>
      <c r="V291" s="8" t="str">
        <f t="array" ref="V291">INDEX(Subject!$A:$I,MATCH(RANDBETWEEN(1,16),Subject!$B:$B,0),3)</f>
        <v/>
      </c>
      <c r="W291" s="8" t="str">
        <f t="array" ref="W291">INDEX(Subject!$A:$I,MATCH(RANDBETWEEN(1,16),Subject!$B:$B,0),3)</f>
        <v>#N/A</v>
      </c>
      <c r="X291" s="8" t="str">
        <f t="array" ref="X291">INDEX(Subject!$A:$I,MATCH(RANDBETWEEN(1,16),Subject!$B:$B,0),3)</f>
        <v>#N/A</v>
      </c>
      <c r="Y291" s="8" t="str">
        <f t="array" ref="Y291">INDEX(Subject!$A:$I,MATCH(RANDBETWEEN(1,16),Subject!$B:$B,0),3)</f>
        <v>#N/A</v>
      </c>
      <c r="Z291" s="8" t="str">
        <f t="array" ref="Z291">INDEX(Subject!$A:$I,MATCH(RANDBETWEEN(1,16),Subject!$B:$B,0),3)</f>
        <v>#N/A</v>
      </c>
      <c r="AA291" s="8" t="str">
        <f t="array" ref="AA291">INDEX(Subject!$A:$I,MATCH(RANDBETWEEN(1,16),Subject!$B:$B,0),3)</f>
        <v>#N/A</v>
      </c>
      <c r="AB291" s="8" t="str">
        <f t="array" ref="AB291">INDEX(Subject!$A:$I,MATCH(RANDBETWEEN(1,16),Subject!$B:$B,0),3)</f>
        <v/>
      </c>
      <c r="AC291" s="8" t="str">
        <f t="array" ref="AC291">INDEX(Subject!$A:$I,MATCH(RANDBETWEEN(1,16),Subject!$B:$B,0),3)</f>
        <v>#N/A</v>
      </c>
      <c r="AD291" s="8" t="str">
        <f t="array" ref="AD291">INDEX(Subject!$A:$I,MATCH(RANDBETWEEN(1,16),Subject!$B:$B,0),3)</f>
        <v>#N/A</v>
      </c>
      <c r="AE291" s="8" t="str">
        <f t="array" ref="AE291">INDEX(Subject!$A:$I,MATCH(RANDBETWEEN(1,16),Subject!$B:$B,0),3)</f>
        <v>#N/A</v>
      </c>
      <c r="AF291" s="8" t="str">
        <f t="array" ref="AF291">INDEX(Subject!$A:$I,MATCH(RANDBETWEEN(1,16),Subject!$B:$B,0),3)</f>
        <v>#N/A</v>
      </c>
      <c r="AG291" s="8" t="str">
        <f t="array" ref="AG291">INDEX(Subject!$A:$I,MATCH(RANDBETWEEN(1,16),Subject!$B:$B,0),3)</f>
        <v>#N/A</v>
      </c>
      <c r="AH291" s="8" t="str">
        <f t="array" ref="AH291">INDEX(Subject!$A:$I,MATCH(RANDBETWEEN(1,16),Subject!$B:$B,0),3)</f>
        <v>#N/A</v>
      </c>
      <c r="AI291" s="8" t="str">
        <f t="array" ref="AI291">INDEX(Subject!$A:$I,MATCH(RANDBETWEEN(1,16),Subject!$B:$B,0),3)</f>
        <v>#N/A</v>
      </c>
      <c r="AJ291" s="8" t="str">
        <f t="array" ref="AJ291">INDEX(Subject!$A:$I,MATCH(RANDBETWEEN(1,16),Subject!$B:$B,0),3)</f>
        <v>#N/A</v>
      </c>
      <c r="AK291" s="8" t="str">
        <f t="array" ref="AK291">INDEX(Subject!$A:$I,MATCH(RANDBETWEEN(1,16),Subject!$B:$B,0),3)</f>
        <v>#N/A</v>
      </c>
      <c r="AL291" s="8" t="str">
        <f t="array" ref="AL291">INDEX(Subject!$A:$I,MATCH(RANDBETWEEN(1,16),Subject!$B:$B,0),3)</f>
        <v>#N/A</v>
      </c>
      <c r="AM291" s="18">
        <f t="shared" si="4"/>
        <v>45791.33333</v>
      </c>
      <c r="AN291" s="19">
        <f t="shared" ref="AN291:BZ291" si="291">$A291+C$1</f>
        <v>45791.35417</v>
      </c>
      <c r="AO291" s="19">
        <f t="shared" si="291"/>
        <v>45791.375</v>
      </c>
      <c r="AP291" s="19">
        <f t="shared" si="291"/>
        <v>45791.39583</v>
      </c>
      <c r="AQ291" s="19">
        <f t="shared" si="291"/>
        <v>45791.41667</v>
      </c>
      <c r="AR291" s="19">
        <f t="shared" si="291"/>
        <v>45791.4375</v>
      </c>
      <c r="AS291" s="19">
        <f t="shared" si="291"/>
        <v>45791.45833</v>
      </c>
      <c r="AT291" s="19">
        <f t="shared" si="291"/>
        <v>45791.47917</v>
      </c>
      <c r="AU291" s="19">
        <f t="shared" si="291"/>
        <v>45791.5</v>
      </c>
      <c r="AV291" s="19">
        <f t="shared" si="291"/>
        <v>45791.52083</v>
      </c>
      <c r="AW291" s="19">
        <f t="shared" si="291"/>
        <v>45791.54167</v>
      </c>
      <c r="AX291" s="19">
        <f t="shared" si="291"/>
        <v>45791.5625</v>
      </c>
      <c r="AY291" s="19">
        <f t="shared" si="291"/>
        <v>45791.58333</v>
      </c>
      <c r="AZ291" s="19">
        <f t="shared" si="291"/>
        <v>45791.60417</v>
      </c>
      <c r="BA291" s="19">
        <f t="shared" si="291"/>
        <v>45791.625</v>
      </c>
      <c r="BB291" s="19">
        <f t="shared" si="291"/>
        <v>45791.64583</v>
      </c>
      <c r="BC291" s="19">
        <f t="shared" si="291"/>
        <v>45791.66667</v>
      </c>
      <c r="BD291" s="19">
        <f t="shared" si="291"/>
        <v>45791.6875</v>
      </c>
      <c r="BE291" s="19">
        <f t="shared" si="291"/>
        <v>45791.70833</v>
      </c>
      <c r="BF291" s="19">
        <f t="shared" si="291"/>
        <v>45791.72917</v>
      </c>
      <c r="BG291" s="19">
        <f t="shared" si="291"/>
        <v>45791.75</v>
      </c>
      <c r="BH291" s="19">
        <f t="shared" si="291"/>
        <v>45791.77083</v>
      </c>
      <c r="BI291" s="19">
        <f t="shared" si="291"/>
        <v>45791.79167</v>
      </c>
      <c r="BJ291" s="19">
        <f t="shared" si="291"/>
        <v>45791.8125</v>
      </c>
      <c r="BK291" s="19">
        <f t="shared" si="291"/>
        <v>45791.83333</v>
      </c>
      <c r="BL291" s="19">
        <f t="shared" si="291"/>
        <v>45791.85417</v>
      </c>
      <c r="BM291" s="19">
        <f t="shared" si="291"/>
        <v>45791.875</v>
      </c>
      <c r="BN291" s="19">
        <f t="shared" si="291"/>
        <v>45791.89583</v>
      </c>
      <c r="BO291" s="19">
        <f t="shared" si="291"/>
        <v>45791.91667</v>
      </c>
      <c r="BP291" s="19">
        <f t="shared" si="291"/>
        <v>45791.9375</v>
      </c>
      <c r="BQ291" s="19">
        <f t="shared" si="291"/>
        <v>45791.95833</v>
      </c>
      <c r="BR291" s="19">
        <f t="shared" si="291"/>
        <v>45791.97917</v>
      </c>
      <c r="BS291" s="19">
        <f t="shared" si="291"/>
        <v>45792</v>
      </c>
      <c r="BT291" s="19">
        <f t="shared" si="291"/>
        <v>45792.02083</v>
      </c>
      <c r="BU291" s="19">
        <f t="shared" si="291"/>
        <v>45792.04167</v>
      </c>
      <c r="BV291" s="19">
        <f t="shared" si="291"/>
        <v>45792.0625</v>
      </c>
      <c r="BW291" s="19">
        <f t="shared" si="291"/>
        <v>45792.08333</v>
      </c>
      <c r="BX291" s="19">
        <f t="shared" si="291"/>
        <v>45791</v>
      </c>
      <c r="BY291" s="19">
        <f t="shared" si="291"/>
        <v>45791</v>
      </c>
      <c r="BZ291" s="19">
        <f t="shared" si="291"/>
        <v>45791</v>
      </c>
    </row>
    <row r="292" ht="14.25" customHeight="1">
      <c r="A292" s="17">
        <v>45792.0</v>
      </c>
      <c r="B292" s="2" t="str">
        <f t="array" ref="B292">IF(NOW()&gt;AM292,"",IF(AND((WEEKDAY($A292)+$B$2)&gt;1,((WEEKDAY($A292)+$T$2)&lt;7),(WEEKDAY($A292)&lt;&gt;1)),"work",(INDEX(Subject!$A:$I,MATCH(RANDBETWEEN(1,(MAX(Subject!$B:$B))),Subject!$B:$B,0),3))))</f>
        <v/>
      </c>
      <c r="C292" s="2" t="str">
        <f t="array" ref="C292">IF(NOW()&gt;AN292,"",IF(AND((WEEKDAY($A292)+$B$2)&gt;1,((WEEKDAY($A292)+$T$2)&lt;7),(WEEKDAY($A292)&lt;&gt;1)),"work",(INDEX(Subject!$A:$I,MATCH(RANDBETWEEN(1,(MAX(Subject!$B:$B))),Subject!$B:$B,0),3))))</f>
        <v/>
      </c>
      <c r="D292" s="2" t="str">
        <f t="array" ref="D292">IF(NOW()&gt;AO292,"",IF(AND((WEEKDAY($A292)+$B$2)&gt;1,((WEEKDAY($A292)+$T$2)&lt;7),(WEEKDAY($A292)&lt;&gt;1)),"work",(INDEX(Subject!$A:$I,MATCH(RANDBETWEEN(1,(MAX(Subject!$B:$B))),Subject!$B:$B,0),3))))</f>
        <v/>
      </c>
      <c r="E292" s="2" t="str">
        <f t="array" ref="E292">IF(NOW()&gt;AP292,"",IF(AND((WEEKDAY($A292)+$B$2)&gt;1,((WEEKDAY($A292)+$T$2)&lt;7),(WEEKDAY($A292)&lt;&gt;1)),"work",(INDEX(Subject!$A:$I,MATCH(RANDBETWEEN(1,(MAX(Subject!$B:$B))),Subject!$B:$B,0),3))))</f>
        <v/>
      </c>
      <c r="F292" s="2" t="str">
        <f t="array" ref="F292">IF(NOW()&gt;AQ292,"",IF(AND((WEEKDAY($A292)+$B$2)&gt;1,((WEEKDAY($A292)+$T$2)&lt;7),(WEEKDAY($A292)&lt;&gt;1)),"work",(INDEX(Subject!$A:$I,MATCH(RANDBETWEEN(1,(MAX(Subject!$B:$B))),Subject!$B:$B,0),3))))</f>
        <v/>
      </c>
      <c r="G292" s="2" t="str">
        <f t="array" ref="G292">IF(NOW()&gt;AR292,"",IF(AND((WEEKDAY($A292)+$B$2)&gt;1,((WEEKDAY($A292)+$T$2)&lt;7),(WEEKDAY($A292)&lt;&gt;1)),"work",(INDEX(Subject!$A:$I,MATCH(RANDBETWEEN(1,(MAX(Subject!$B:$B))),Subject!$B:$B,0),3))))</f>
        <v/>
      </c>
      <c r="H292" s="2" t="str">
        <f t="array" ref="H292">IF(NOW()&gt;AS292,"",IF(AND((WEEKDAY($A292)+$B$2)&gt;1,((WEEKDAY($A292)+$T$2)&lt;7),(WEEKDAY($A292)&lt;&gt;1)),"work",(INDEX(Subject!$A:$I,MATCH(RANDBETWEEN(1,(MAX(Subject!$B:$B))),Subject!$B:$B,0),3))))</f>
        <v/>
      </c>
      <c r="I292" s="2" t="str">
        <f t="array" ref="I292">IF(NOW()&gt;AT292,"",IF(AND((WEEKDAY($A292)+$B$2)&gt;1,((WEEKDAY($A292)+$T$2)&lt;7),(WEEKDAY($A292)&lt;&gt;1)),"work",(INDEX(Subject!$A:$I,MATCH(RANDBETWEEN(1,(MAX(Subject!$B:$B))),Subject!$B:$B,0),3))))</f>
        <v/>
      </c>
      <c r="J292" s="2" t="str">
        <f t="array" ref="J292">IF(NOW()&gt;AU292,"",IF(AND((WEEKDAY($A292)+$B$2)&gt;1,((WEEKDAY($A292)+$T$2)&lt;7),(WEEKDAY($A292)&lt;&gt;1)),"work",(INDEX(Subject!$A:$I,MATCH(RANDBETWEEN(1,(MAX(Subject!$B:$B))),Subject!$B:$B,0),3))))</f>
        <v/>
      </c>
      <c r="K292" s="2" t="str">
        <f t="array" ref="K292">IF(NOW()&gt;AV292,"",IF(AND((WEEKDAY($A292)+$B$2)&gt;1,((WEEKDAY($A292)+$T$2)&lt;7),(WEEKDAY($A292)&lt;&gt;1)),"work",(INDEX(Subject!$A:$I,MATCH(RANDBETWEEN(1,(MAX(Subject!$B:$B))),Subject!$B:$B,0),3))))</f>
        <v/>
      </c>
      <c r="L292" s="2" t="str">
        <f t="array" ref="L292">IF(NOW()&gt;AW292,"",IF(AND((WEEKDAY($A292)+$B$2)&gt;1,((WEEKDAY($A292)+$T$2)&lt;7),(WEEKDAY($A292)&lt;&gt;1)),"work",(INDEX(Subject!$A:$I,MATCH(RANDBETWEEN(1,(MAX(Subject!$B:$B))),Subject!$B:$B,0),3))))</f>
        <v/>
      </c>
      <c r="M292" s="2" t="str">
        <f t="array" ref="M292">IF(NOW()&gt;AX292,"",IF(AND((WEEKDAY($A292)+$B$2)&gt;1,((WEEKDAY($A292)+$T$2)&lt;7),(WEEKDAY($A292)&lt;&gt;1)),"work",(INDEX(Subject!$A:$I,MATCH(RANDBETWEEN(1,(MAX(Subject!$B:$B))),Subject!$B:$B,0),3))))</f>
        <v/>
      </c>
      <c r="N292" s="2" t="str">
        <f t="array" ref="N292">IF(NOW()&gt;AY292,"",IF(AND((WEEKDAY($A292)+$B$2)&gt;1,((WEEKDAY($A292)+$T$2)&lt;7),(WEEKDAY($A292)&lt;&gt;1)),"work",(INDEX(Subject!$A:$I,MATCH(RANDBETWEEN(1,(MAX(Subject!$B:$B))),Subject!$B:$B,0),3))))</f>
        <v/>
      </c>
      <c r="O292" s="2" t="str">
        <f t="array" ref="O292">IF(NOW()&gt;AZ292,"",IF(AND((WEEKDAY($A292)+$B$2)&gt;1,((WEEKDAY($A292)+$T$2)&lt;7),(WEEKDAY($A292)&lt;&gt;1)),"work",(INDEX(Subject!$A:$I,MATCH(RANDBETWEEN(1,(MAX(Subject!$B:$B))),Subject!$B:$B,0),3))))</f>
        <v/>
      </c>
      <c r="P292" s="2" t="str">
        <f t="array" ref="P292">IF(NOW()&gt;BA292,"",IF(AND((WEEKDAY($A292)+$B$2)&gt;1,((WEEKDAY($A292)+$T$2)&lt;7),(WEEKDAY($A292)&lt;&gt;1)),"work",(INDEX(Subject!$A:$I,MATCH(RANDBETWEEN(1,(MAX(Subject!$B:$B))),Subject!$B:$B,0),3))))</f>
        <v/>
      </c>
      <c r="Q292" s="2" t="str">
        <f t="array" ref="Q292">IF(NOW()&gt;BB292,"",IF(AND((WEEKDAY($A292)+$B$2)&gt;1,((WEEKDAY($A292)+$T$2)&lt;7),(WEEKDAY($A292)&lt;&gt;1)),"work",(INDEX(Subject!$A:$I,MATCH(RANDBETWEEN(1,(MAX(Subject!$B:$B))),Subject!$B:$B,0),3))))</f>
        <v/>
      </c>
      <c r="R292" s="2" t="str">
        <f t="array" ref="R292">IF(NOW()&gt;BC292,"",IF(AND((WEEKDAY($A292)+$B$2)&gt;1,((WEEKDAY($A292)+$T$2)&lt;7),(WEEKDAY($A292)&lt;&gt;1)),"work",(INDEX(Subject!$A:$I,MATCH(RANDBETWEEN(1,(MAX(Subject!$B:$B))),Subject!$B:$B,0),3))))</f>
        <v/>
      </c>
      <c r="S292" s="2" t="str">
        <f t="array" ref="S292">IF(NOW()&gt;BD292,"",IF(AND((WEEKDAY($A292)+$B$2)&gt;1,((WEEKDAY($A292)+$T$2)&lt;7),(WEEKDAY($A292)&lt;&gt;1)),"work",(INDEX(Subject!$A:$I,MATCH(RANDBETWEEN(1,(MAX(Subject!$B:$B))),Subject!$B:$B,0),3))))</f>
        <v/>
      </c>
      <c r="T292" s="2" t="str">
        <f t="array" ref="T292">IF(NOW()&gt;BE292,"",IF(AND((WEEKDAY($A292)+$B$2)&gt;1,((WEEKDAY($A292)+$T$2)&lt;7),(WEEKDAY($A292)&lt;&gt;1)),"work",(INDEX(Subject!$A:$I,MATCH(RANDBETWEEN(1,(MAX(Subject!$B:$B))),Subject!$B:$B,0),3))))</f>
        <v/>
      </c>
      <c r="U292" s="8" t="str">
        <f t="array" ref="U292">INDEX(Subject!$A:$I,MATCH(RANDBETWEEN(1,16),Subject!$B:$B,0),3)</f>
        <v>#N/A</v>
      </c>
      <c r="V292" s="8" t="str">
        <f t="array" ref="V292">INDEX(Subject!$A:$I,MATCH(RANDBETWEEN(1,16),Subject!$B:$B,0),3)</f>
        <v>#N/A</v>
      </c>
      <c r="W292" s="8" t="str">
        <f t="array" ref="W292">INDEX(Subject!$A:$I,MATCH(RANDBETWEEN(1,16),Subject!$B:$B,0),3)</f>
        <v>#N/A</v>
      </c>
      <c r="X292" s="8" t="str">
        <f t="array" ref="X292">INDEX(Subject!$A:$I,MATCH(RANDBETWEEN(1,16),Subject!$B:$B,0),3)</f>
        <v>#N/A</v>
      </c>
      <c r="Y292" s="8" t="str">
        <f t="array" ref="Y292">INDEX(Subject!$A:$I,MATCH(RANDBETWEEN(1,16),Subject!$B:$B,0),3)</f>
        <v>#N/A</v>
      </c>
      <c r="Z292" s="8" t="str">
        <f t="array" ref="Z292">INDEX(Subject!$A:$I,MATCH(RANDBETWEEN(1,16),Subject!$B:$B,0),3)</f>
        <v>#N/A</v>
      </c>
      <c r="AA292" s="8" t="str">
        <f t="array" ref="AA292">INDEX(Subject!$A:$I,MATCH(RANDBETWEEN(1,16),Subject!$B:$B,0),3)</f>
        <v>#N/A</v>
      </c>
      <c r="AB292" s="8" t="str">
        <f t="array" ref="AB292">INDEX(Subject!$A:$I,MATCH(RANDBETWEEN(1,16),Subject!$B:$B,0),3)</f>
        <v/>
      </c>
      <c r="AC292" s="8" t="str">
        <f t="array" ref="AC292">INDEX(Subject!$A:$I,MATCH(RANDBETWEEN(1,16),Subject!$B:$B,0),3)</f>
        <v>#N/A</v>
      </c>
      <c r="AD292" s="8" t="str">
        <f t="array" ref="AD292">INDEX(Subject!$A:$I,MATCH(RANDBETWEEN(1,16),Subject!$B:$B,0),3)</f>
        <v>#N/A</v>
      </c>
      <c r="AE292" s="8" t="str">
        <f t="array" ref="AE292">INDEX(Subject!$A:$I,MATCH(RANDBETWEEN(1,16),Subject!$B:$B,0),3)</f>
        <v/>
      </c>
      <c r="AF292" s="8" t="str">
        <f t="array" ref="AF292">INDEX(Subject!$A:$I,MATCH(RANDBETWEEN(1,16),Subject!$B:$B,0),3)</f>
        <v>#N/A</v>
      </c>
      <c r="AG292" s="8" t="str">
        <f t="array" ref="AG292">INDEX(Subject!$A:$I,MATCH(RANDBETWEEN(1,16),Subject!$B:$B,0),3)</f>
        <v>#N/A</v>
      </c>
      <c r="AH292" s="8" t="str">
        <f t="array" ref="AH292">INDEX(Subject!$A:$I,MATCH(RANDBETWEEN(1,16),Subject!$B:$B,0),3)</f>
        <v>#N/A</v>
      </c>
      <c r="AI292" s="8" t="str">
        <f t="array" ref="AI292">INDEX(Subject!$A:$I,MATCH(RANDBETWEEN(1,16),Subject!$B:$B,0),3)</f>
        <v>#N/A</v>
      </c>
      <c r="AJ292" s="8" t="str">
        <f t="array" ref="AJ292">INDEX(Subject!$A:$I,MATCH(RANDBETWEEN(1,16),Subject!$B:$B,0),3)</f>
        <v>#N/A</v>
      </c>
      <c r="AK292" s="8" t="str">
        <f t="array" ref="AK292">INDEX(Subject!$A:$I,MATCH(RANDBETWEEN(1,16),Subject!$B:$B,0),3)</f>
        <v>#N/A</v>
      </c>
      <c r="AL292" s="8" t="str">
        <f t="array" ref="AL292">INDEX(Subject!$A:$I,MATCH(RANDBETWEEN(1,16),Subject!$B:$B,0),3)</f>
        <v>#N/A</v>
      </c>
      <c r="AM292" s="18">
        <f t="shared" si="4"/>
        <v>45792.33333</v>
      </c>
      <c r="AN292" s="19">
        <f t="shared" ref="AN292:BZ292" si="292">$A292+C$1</f>
        <v>45792.35417</v>
      </c>
      <c r="AO292" s="19">
        <f t="shared" si="292"/>
        <v>45792.375</v>
      </c>
      <c r="AP292" s="19">
        <f t="shared" si="292"/>
        <v>45792.39583</v>
      </c>
      <c r="AQ292" s="19">
        <f t="shared" si="292"/>
        <v>45792.41667</v>
      </c>
      <c r="AR292" s="19">
        <f t="shared" si="292"/>
        <v>45792.4375</v>
      </c>
      <c r="AS292" s="19">
        <f t="shared" si="292"/>
        <v>45792.45833</v>
      </c>
      <c r="AT292" s="19">
        <f t="shared" si="292"/>
        <v>45792.47917</v>
      </c>
      <c r="AU292" s="19">
        <f t="shared" si="292"/>
        <v>45792.5</v>
      </c>
      <c r="AV292" s="19">
        <f t="shared" si="292"/>
        <v>45792.52083</v>
      </c>
      <c r="AW292" s="19">
        <f t="shared" si="292"/>
        <v>45792.54167</v>
      </c>
      <c r="AX292" s="19">
        <f t="shared" si="292"/>
        <v>45792.5625</v>
      </c>
      <c r="AY292" s="19">
        <f t="shared" si="292"/>
        <v>45792.58333</v>
      </c>
      <c r="AZ292" s="19">
        <f t="shared" si="292"/>
        <v>45792.60417</v>
      </c>
      <c r="BA292" s="19">
        <f t="shared" si="292"/>
        <v>45792.625</v>
      </c>
      <c r="BB292" s="19">
        <f t="shared" si="292"/>
        <v>45792.64583</v>
      </c>
      <c r="BC292" s="19">
        <f t="shared" si="292"/>
        <v>45792.66667</v>
      </c>
      <c r="BD292" s="19">
        <f t="shared" si="292"/>
        <v>45792.6875</v>
      </c>
      <c r="BE292" s="19">
        <f t="shared" si="292"/>
        <v>45792.70833</v>
      </c>
      <c r="BF292" s="19">
        <f t="shared" si="292"/>
        <v>45792.72917</v>
      </c>
      <c r="BG292" s="19">
        <f t="shared" si="292"/>
        <v>45792.75</v>
      </c>
      <c r="BH292" s="19">
        <f t="shared" si="292"/>
        <v>45792.77083</v>
      </c>
      <c r="BI292" s="19">
        <f t="shared" si="292"/>
        <v>45792.79167</v>
      </c>
      <c r="BJ292" s="19">
        <f t="shared" si="292"/>
        <v>45792.8125</v>
      </c>
      <c r="BK292" s="19">
        <f t="shared" si="292"/>
        <v>45792.83333</v>
      </c>
      <c r="BL292" s="19">
        <f t="shared" si="292"/>
        <v>45792.85417</v>
      </c>
      <c r="BM292" s="19">
        <f t="shared" si="292"/>
        <v>45792.875</v>
      </c>
      <c r="BN292" s="19">
        <f t="shared" si="292"/>
        <v>45792.89583</v>
      </c>
      <c r="BO292" s="19">
        <f t="shared" si="292"/>
        <v>45792.91667</v>
      </c>
      <c r="BP292" s="19">
        <f t="shared" si="292"/>
        <v>45792.9375</v>
      </c>
      <c r="BQ292" s="19">
        <f t="shared" si="292"/>
        <v>45792.95833</v>
      </c>
      <c r="BR292" s="19">
        <f t="shared" si="292"/>
        <v>45792.97917</v>
      </c>
      <c r="BS292" s="19">
        <f t="shared" si="292"/>
        <v>45793</v>
      </c>
      <c r="BT292" s="19">
        <f t="shared" si="292"/>
        <v>45793.02083</v>
      </c>
      <c r="BU292" s="19">
        <f t="shared" si="292"/>
        <v>45793.04167</v>
      </c>
      <c r="BV292" s="19">
        <f t="shared" si="292"/>
        <v>45793.0625</v>
      </c>
      <c r="BW292" s="19">
        <f t="shared" si="292"/>
        <v>45793.08333</v>
      </c>
      <c r="BX292" s="19">
        <f t="shared" si="292"/>
        <v>45792</v>
      </c>
      <c r="BY292" s="19">
        <f t="shared" si="292"/>
        <v>45792</v>
      </c>
      <c r="BZ292" s="19">
        <f t="shared" si="292"/>
        <v>45792</v>
      </c>
    </row>
    <row r="293" ht="14.25" customHeight="1">
      <c r="A293" s="17">
        <v>45793.0</v>
      </c>
      <c r="B293" s="2" t="str">
        <f t="array" ref="B293">IF(NOW()&gt;AM293,"",IF(AND((WEEKDAY($A293)+$B$2)&gt;1,((WEEKDAY($A293)+$T$2)&lt;7),(WEEKDAY($A293)&lt;&gt;1)),"work",(INDEX(Subject!$A:$I,MATCH(RANDBETWEEN(1,(MAX(Subject!$B:$B))),Subject!$B:$B,0),3))))</f>
        <v/>
      </c>
      <c r="C293" s="2" t="str">
        <f t="array" ref="C293">IF(NOW()&gt;AN293,"",IF(AND((WEEKDAY($A293)+$B$2)&gt;1,((WEEKDAY($A293)+$T$2)&lt;7),(WEEKDAY($A293)&lt;&gt;1)),"work",(INDEX(Subject!$A:$I,MATCH(RANDBETWEEN(1,(MAX(Subject!$B:$B))),Subject!$B:$B,0),3))))</f>
        <v/>
      </c>
      <c r="D293" s="2" t="str">
        <f t="array" ref="D293">IF(NOW()&gt;AO293,"",IF(AND((WEEKDAY($A293)+$B$2)&gt;1,((WEEKDAY($A293)+$T$2)&lt;7),(WEEKDAY($A293)&lt;&gt;1)),"work",(INDEX(Subject!$A:$I,MATCH(RANDBETWEEN(1,(MAX(Subject!$B:$B))),Subject!$B:$B,0),3))))</f>
        <v/>
      </c>
      <c r="E293" s="2" t="str">
        <f t="array" ref="E293">IF(NOW()&gt;AP293,"",IF(AND((WEEKDAY($A293)+$B$2)&gt;1,((WEEKDAY($A293)+$T$2)&lt;7),(WEEKDAY($A293)&lt;&gt;1)),"work",(INDEX(Subject!$A:$I,MATCH(RANDBETWEEN(1,(MAX(Subject!$B:$B))),Subject!$B:$B,0),3))))</f>
        <v/>
      </c>
      <c r="F293" s="2" t="str">
        <f t="array" ref="F293">IF(NOW()&gt;AQ293,"",IF(AND((WEEKDAY($A293)+$B$2)&gt;1,((WEEKDAY($A293)+$T$2)&lt;7),(WEEKDAY($A293)&lt;&gt;1)),"work",(INDEX(Subject!$A:$I,MATCH(RANDBETWEEN(1,(MAX(Subject!$B:$B))),Subject!$B:$B,0),3))))</f>
        <v/>
      </c>
      <c r="G293" s="2" t="str">
        <f t="array" ref="G293">IF(NOW()&gt;AR293,"",IF(AND((WEEKDAY($A293)+$B$2)&gt;1,((WEEKDAY($A293)+$T$2)&lt;7),(WEEKDAY($A293)&lt;&gt;1)),"work",(INDEX(Subject!$A:$I,MATCH(RANDBETWEEN(1,(MAX(Subject!$B:$B))),Subject!$B:$B,0),3))))</f>
        <v/>
      </c>
      <c r="H293" s="2" t="str">
        <f t="array" ref="H293">IF(NOW()&gt;AS293,"",IF(AND((WEEKDAY($A293)+$B$2)&gt;1,((WEEKDAY($A293)+$T$2)&lt;7),(WEEKDAY($A293)&lt;&gt;1)),"work",(INDEX(Subject!$A:$I,MATCH(RANDBETWEEN(1,(MAX(Subject!$B:$B))),Subject!$B:$B,0),3))))</f>
        <v/>
      </c>
      <c r="I293" s="2" t="str">
        <f t="array" ref="I293">IF(NOW()&gt;AT293,"",IF(AND((WEEKDAY($A293)+$B$2)&gt;1,((WEEKDAY($A293)+$T$2)&lt;7),(WEEKDAY($A293)&lt;&gt;1)),"work",(INDEX(Subject!$A:$I,MATCH(RANDBETWEEN(1,(MAX(Subject!$B:$B))),Subject!$B:$B,0),3))))</f>
        <v/>
      </c>
      <c r="J293" s="2" t="str">
        <f t="array" ref="J293">IF(NOW()&gt;AU293,"",IF(AND((WEEKDAY($A293)+$B$2)&gt;1,((WEEKDAY($A293)+$T$2)&lt;7),(WEEKDAY($A293)&lt;&gt;1)),"work",(INDEX(Subject!$A:$I,MATCH(RANDBETWEEN(1,(MAX(Subject!$B:$B))),Subject!$B:$B,0),3))))</f>
        <v/>
      </c>
      <c r="K293" s="2" t="str">
        <f t="array" ref="K293">IF(NOW()&gt;AV293,"",IF(AND((WEEKDAY($A293)+$B$2)&gt;1,((WEEKDAY($A293)+$T$2)&lt;7),(WEEKDAY($A293)&lt;&gt;1)),"work",(INDEX(Subject!$A:$I,MATCH(RANDBETWEEN(1,(MAX(Subject!$B:$B))),Subject!$B:$B,0),3))))</f>
        <v/>
      </c>
      <c r="L293" s="2" t="str">
        <f t="array" ref="L293">IF(NOW()&gt;AW293,"",IF(AND((WEEKDAY($A293)+$B$2)&gt;1,((WEEKDAY($A293)+$T$2)&lt;7),(WEEKDAY($A293)&lt;&gt;1)),"work",(INDEX(Subject!$A:$I,MATCH(RANDBETWEEN(1,(MAX(Subject!$B:$B))),Subject!$B:$B,0),3))))</f>
        <v/>
      </c>
      <c r="M293" s="2" t="str">
        <f t="array" ref="M293">IF(NOW()&gt;AX293,"",IF(AND((WEEKDAY($A293)+$B$2)&gt;1,((WEEKDAY($A293)+$T$2)&lt;7),(WEEKDAY($A293)&lt;&gt;1)),"work",(INDEX(Subject!$A:$I,MATCH(RANDBETWEEN(1,(MAX(Subject!$B:$B))),Subject!$B:$B,0),3))))</f>
        <v/>
      </c>
      <c r="N293" s="2" t="str">
        <f t="array" ref="N293">IF(NOW()&gt;AY293,"",IF(AND((WEEKDAY($A293)+$B$2)&gt;1,((WEEKDAY($A293)+$T$2)&lt;7),(WEEKDAY($A293)&lt;&gt;1)),"work",(INDEX(Subject!$A:$I,MATCH(RANDBETWEEN(1,(MAX(Subject!$B:$B))),Subject!$B:$B,0),3))))</f>
        <v/>
      </c>
      <c r="O293" s="2" t="str">
        <f t="array" ref="O293">IF(NOW()&gt;AZ293,"",IF(AND((WEEKDAY($A293)+$B$2)&gt;1,((WEEKDAY($A293)+$T$2)&lt;7),(WEEKDAY($A293)&lt;&gt;1)),"work",(INDEX(Subject!$A:$I,MATCH(RANDBETWEEN(1,(MAX(Subject!$B:$B))),Subject!$B:$B,0),3))))</f>
        <v/>
      </c>
      <c r="P293" s="2" t="str">
        <f t="array" ref="P293">IF(NOW()&gt;BA293,"",IF(AND((WEEKDAY($A293)+$B$2)&gt;1,((WEEKDAY($A293)+$T$2)&lt;7),(WEEKDAY($A293)&lt;&gt;1)),"work",(INDEX(Subject!$A:$I,MATCH(RANDBETWEEN(1,(MAX(Subject!$B:$B))),Subject!$B:$B,0),3))))</f>
        <v/>
      </c>
      <c r="Q293" s="2" t="str">
        <f t="array" ref="Q293">IF(NOW()&gt;BB293,"",IF(AND((WEEKDAY($A293)+$B$2)&gt;1,((WEEKDAY($A293)+$T$2)&lt;7),(WEEKDAY($A293)&lt;&gt;1)),"work",(INDEX(Subject!$A:$I,MATCH(RANDBETWEEN(1,(MAX(Subject!$B:$B))),Subject!$B:$B,0),3))))</f>
        <v/>
      </c>
      <c r="R293" s="2" t="str">
        <f t="array" ref="R293">IF(NOW()&gt;BC293,"",IF(AND((WEEKDAY($A293)+$B$2)&gt;1,((WEEKDAY($A293)+$T$2)&lt;7),(WEEKDAY($A293)&lt;&gt;1)),"work",(INDEX(Subject!$A:$I,MATCH(RANDBETWEEN(1,(MAX(Subject!$B:$B))),Subject!$B:$B,0),3))))</f>
        <v/>
      </c>
      <c r="S293" s="2" t="str">
        <f t="array" ref="S293">IF(NOW()&gt;BD293,"",IF(AND((WEEKDAY($A293)+$B$2)&gt;1,((WEEKDAY($A293)+$T$2)&lt;7),(WEEKDAY($A293)&lt;&gt;1)),"work",(INDEX(Subject!$A:$I,MATCH(RANDBETWEEN(1,(MAX(Subject!$B:$B))),Subject!$B:$B,0),3))))</f>
        <v/>
      </c>
      <c r="T293" s="2" t="str">
        <f t="array" ref="T293">IF(NOW()&gt;BE293,"",IF(AND((WEEKDAY($A293)+$B$2)&gt;1,((WEEKDAY($A293)+$T$2)&lt;7),(WEEKDAY($A293)&lt;&gt;1)),"work",(INDEX(Subject!$A:$I,MATCH(RANDBETWEEN(1,(MAX(Subject!$B:$B))),Subject!$B:$B,0),3))))</f>
        <v/>
      </c>
      <c r="U293" s="8" t="str">
        <f t="array" ref="U293">INDEX(Subject!$A:$I,MATCH(RANDBETWEEN(1,16),Subject!$B:$B,0),3)</f>
        <v>#N/A</v>
      </c>
      <c r="V293" s="8" t="str">
        <f t="array" ref="V293">INDEX(Subject!$A:$I,MATCH(RANDBETWEEN(1,16),Subject!$B:$B,0),3)</f>
        <v>#N/A</v>
      </c>
      <c r="W293" s="8" t="str">
        <f t="array" ref="W293">INDEX(Subject!$A:$I,MATCH(RANDBETWEEN(1,16),Subject!$B:$B,0),3)</f>
        <v>#N/A</v>
      </c>
      <c r="X293" s="8" t="str">
        <f t="array" ref="X293">INDEX(Subject!$A:$I,MATCH(RANDBETWEEN(1,16),Subject!$B:$B,0),3)</f>
        <v>#N/A</v>
      </c>
      <c r="Y293" s="8" t="str">
        <f t="array" ref="Y293">INDEX(Subject!$A:$I,MATCH(RANDBETWEEN(1,16),Subject!$B:$B,0),3)</f>
        <v>#N/A</v>
      </c>
      <c r="Z293" s="8" t="str">
        <f t="array" ref="Z293">INDEX(Subject!$A:$I,MATCH(RANDBETWEEN(1,16),Subject!$B:$B,0),3)</f>
        <v>#N/A</v>
      </c>
      <c r="AA293" s="8" t="str">
        <f t="array" ref="AA293">INDEX(Subject!$A:$I,MATCH(RANDBETWEEN(1,16),Subject!$B:$B,0),3)</f>
        <v>#N/A</v>
      </c>
      <c r="AB293" s="8" t="str">
        <f t="array" ref="AB293">INDEX(Subject!$A:$I,MATCH(RANDBETWEEN(1,16),Subject!$B:$B,0),3)</f>
        <v>#N/A</v>
      </c>
      <c r="AC293" s="8" t="str">
        <f t="array" ref="AC293">INDEX(Subject!$A:$I,MATCH(RANDBETWEEN(1,16),Subject!$B:$B,0),3)</f>
        <v>#N/A</v>
      </c>
      <c r="AD293" s="8" t="str">
        <f t="array" ref="AD293">INDEX(Subject!$A:$I,MATCH(RANDBETWEEN(1,16),Subject!$B:$B,0),3)</f>
        <v>#N/A</v>
      </c>
      <c r="AE293" s="8" t="str">
        <f t="array" ref="AE293">INDEX(Subject!$A:$I,MATCH(RANDBETWEEN(1,16),Subject!$B:$B,0),3)</f>
        <v>#N/A</v>
      </c>
      <c r="AF293" s="8" t="str">
        <f t="array" ref="AF293">INDEX(Subject!$A:$I,MATCH(RANDBETWEEN(1,16),Subject!$B:$B,0),3)</f>
        <v>#N/A</v>
      </c>
      <c r="AG293" s="8" t="str">
        <f t="array" ref="AG293">INDEX(Subject!$A:$I,MATCH(RANDBETWEEN(1,16),Subject!$B:$B,0),3)</f>
        <v>#N/A</v>
      </c>
      <c r="AH293" s="8" t="str">
        <f t="array" ref="AH293">INDEX(Subject!$A:$I,MATCH(RANDBETWEEN(1,16),Subject!$B:$B,0),3)</f>
        <v>#N/A</v>
      </c>
      <c r="AI293" s="8" t="str">
        <f t="array" ref="AI293">INDEX(Subject!$A:$I,MATCH(RANDBETWEEN(1,16),Subject!$B:$B,0),3)</f>
        <v>#N/A</v>
      </c>
      <c r="AJ293" s="8" t="str">
        <f t="array" ref="AJ293">INDEX(Subject!$A:$I,MATCH(RANDBETWEEN(1,16),Subject!$B:$B,0),3)</f>
        <v>#N/A</v>
      </c>
      <c r="AK293" s="8" t="str">
        <f t="array" ref="AK293">INDEX(Subject!$A:$I,MATCH(RANDBETWEEN(1,16),Subject!$B:$B,0),3)</f>
        <v>#N/A</v>
      </c>
      <c r="AL293" s="8" t="str">
        <f t="array" ref="AL293">INDEX(Subject!$A:$I,MATCH(RANDBETWEEN(1,16),Subject!$B:$B,0),3)</f>
        <v>#N/A</v>
      </c>
      <c r="AM293" s="18">
        <f t="shared" si="4"/>
        <v>45793.33333</v>
      </c>
      <c r="AN293" s="19">
        <f t="shared" ref="AN293:BZ293" si="293">$A293+C$1</f>
        <v>45793.35417</v>
      </c>
      <c r="AO293" s="19">
        <f t="shared" si="293"/>
        <v>45793.375</v>
      </c>
      <c r="AP293" s="19">
        <f t="shared" si="293"/>
        <v>45793.39583</v>
      </c>
      <c r="AQ293" s="19">
        <f t="shared" si="293"/>
        <v>45793.41667</v>
      </c>
      <c r="AR293" s="19">
        <f t="shared" si="293"/>
        <v>45793.4375</v>
      </c>
      <c r="AS293" s="19">
        <f t="shared" si="293"/>
        <v>45793.45833</v>
      </c>
      <c r="AT293" s="19">
        <f t="shared" si="293"/>
        <v>45793.47917</v>
      </c>
      <c r="AU293" s="19">
        <f t="shared" si="293"/>
        <v>45793.5</v>
      </c>
      <c r="AV293" s="19">
        <f t="shared" si="293"/>
        <v>45793.52083</v>
      </c>
      <c r="AW293" s="19">
        <f t="shared" si="293"/>
        <v>45793.54167</v>
      </c>
      <c r="AX293" s="19">
        <f t="shared" si="293"/>
        <v>45793.5625</v>
      </c>
      <c r="AY293" s="19">
        <f t="shared" si="293"/>
        <v>45793.58333</v>
      </c>
      <c r="AZ293" s="19">
        <f t="shared" si="293"/>
        <v>45793.60417</v>
      </c>
      <c r="BA293" s="19">
        <f t="shared" si="293"/>
        <v>45793.625</v>
      </c>
      <c r="BB293" s="19">
        <f t="shared" si="293"/>
        <v>45793.64583</v>
      </c>
      <c r="BC293" s="19">
        <f t="shared" si="293"/>
        <v>45793.66667</v>
      </c>
      <c r="BD293" s="19">
        <f t="shared" si="293"/>
        <v>45793.6875</v>
      </c>
      <c r="BE293" s="19">
        <f t="shared" si="293"/>
        <v>45793.70833</v>
      </c>
      <c r="BF293" s="19">
        <f t="shared" si="293"/>
        <v>45793.72917</v>
      </c>
      <c r="BG293" s="19">
        <f t="shared" si="293"/>
        <v>45793.75</v>
      </c>
      <c r="BH293" s="19">
        <f t="shared" si="293"/>
        <v>45793.77083</v>
      </c>
      <c r="BI293" s="19">
        <f t="shared" si="293"/>
        <v>45793.79167</v>
      </c>
      <c r="BJ293" s="19">
        <f t="shared" si="293"/>
        <v>45793.8125</v>
      </c>
      <c r="BK293" s="19">
        <f t="shared" si="293"/>
        <v>45793.83333</v>
      </c>
      <c r="BL293" s="19">
        <f t="shared" si="293"/>
        <v>45793.85417</v>
      </c>
      <c r="BM293" s="19">
        <f t="shared" si="293"/>
        <v>45793.875</v>
      </c>
      <c r="BN293" s="19">
        <f t="shared" si="293"/>
        <v>45793.89583</v>
      </c>
      <c r="BO293" s="19">
        <f t="shared" si="293"/>
        <v>45793.91667</v>
      </c>
      <c r="BP293" s="19">
        <f t="shared" si="293"/>
        <v>45793.9375</v>
      </c>
      <c r="BQ293" s="19">
        <f t="shared" si="293"/>
        <v>45793.95833</v>
      </c>
      <c r="BR293" s="19">
        <f t="shared" si="293"/>
        <v>45793.97917</v>
      </c>
      <c r="BS293" s="19">
        <f t="shared" si="293"/>
        <v>45794</v>
      </c>
      <c r="BT293" s="19">
        <f t="shared" si="293"/>
        <v>45794.02083</v>
      </c>
      <c r="BU293" s="19">
        <f t="shared" si="293"/>
        <v>45794.04167</v>
      </c>
      <c r="BV293" s="19">
        <f t="shared" si="293"/>
        <v>45794.0625</v>
      </c>
      <c r="BW293" s="19">
        <f t="shared" si="293"/>
        <v>45794.08333</v>
      </c>
      <c r="BX293" s="19">
        <f t="shared" si="293"/>
        <v>45793</v>
      </c>
      <c r="BY293" s="19">
        <f t="shared" si="293"/>
        <v>45793</v>
      </c>
      <c r="BZ293" s="19">
        <f t="shared" si="293"/>
        <v>45793</v>
      </c>
    </row>
    <row r="294" ht="14.25" customHeight="1">
      <c r="A294" s="17">
        <v>45794.0</v>
      </c>
      <c r="B294" s="2" t="str">
        <f t="array" ref="B294">IF(NOW()&gt;AM294,"",IF(AND((WEEKDAY($A294)+$B$2)&gt;1,((WEEKDAY($A294)+$T$2)&lt;7),(WEEKDAY($A294)&lt;&gt;1)),"work",(INDEX(Subject!$A:$I,MATCH(RANDBETWEEN(1,(MAX(Subject!$B:$B))),Subject!$B:$B,0),3))))</f>
        <v/>
      </c>
      <c r="C294" s="2" t="str">
        <f t="array" ref="C294">IF(NOW()&gt;AN294,"",IF(AND((WEEKDAY($A294)+$B$2)&gt;1,((WEEKDAY($A294)+$T$2)&lt;7),(WEEKDAY($A294)&lt;&gt;1)),"work",(INDEX(Subject!$A:$I,MATCH(RANDBETWEEN(1,(MAX(Subject!$B:$B))),Subject!$B:$B,0),3))))</f>
        <v/>
      </c>
      <c r="D294" s="2" t="str">
        <f t="array" ref="D294">IF(NOW()&gt;AO294,"",IF(AND((WEEKDAY($A294)+$B$2)&gt;1,((WEEKDAY($A294)+$T$2)&lt;7),(WEEKDAY($A294)&lt;&gt;1)),"work",(INDEX(Subject!$A:$I,MATCH(RANDBETWEEN(1,(MAX(Subject!$B:$B))),Subject!$B:$B,0),3))))</f>
        <v/>
      </c>
      <c r="E294" s="2" t="str">
        <f t="array" ref="E294">IF(NOW()&gt;AP294,"",IF(AND((WEEKDAY($A294)+$B$2)&gt;1,((WEEKDAY($A294)+$T$2)&lt;7),(WEEKDAY($A294)&lt;&gt;1)),"work",(INDEX(Subject!$A:$I,MATCH(RANDBETWEEN(1,(MAX(Subject!$B:$B))),Subject!$B:$B,0),3))))</f>
        <v/>
      </c>
      <c r="F294" s="2" t="str">
        <f t="array" ref="F294">IF(NOW()&gt;AQ294,"",IF(AND((WEEKDAY($A294)+$B$2)&gt;1,((WEEKDAY($A294)+$T$2)&lt;7),(WEEKDAY($A294)&lt;&gt;1)),"work",(INDEX(Subject!$A:$I,MATCH(RANDBETWEEN(1,(MAX(Subject!$B:$B))),Subject!$B:$B,0),3))))</f>
        <v/>
      </c>
      <c r="G294" s="2" t="str">
        <f t="array" ref="G294">IF(NOW()&gt;AR294,"",IF(AND((WEEKDAY($A294)+$B$2)&gt;1,((WEEKDAY($A294)+$T$2)&lt;7),(WEEKDAY($A294)&lt;&gt;1)),"work",(INDEX(Subject!$A:$I,MATCH(RANDBETWEEN(1,(MAX(Subject!$B:$B))),Subject!$B:$B,0),3))))</f>
        <v/>
      </c>
      <c r="H294" s="2" t="str">
        <f t="array" ref="H294">IF(NOW()&gt;AS294,"",IF(AND((WEEKDAY($A294)+$B$2)&gt;1,((WEEKDAY($A294)+$T$2)&lt;7),(WEEKDAY($A294)&lt;&gt;1)),"work",(INDEX(Subject!$A:$I,MATCH(RANDBETWEEN(1,(MAX(Subject!$B:$B))),Subject!$B:$B,0),3))))</f>
        <v/>
      </c>
      <c r="I294" s="2" t="str">
        <f t="array" ref="I294">IF(NOW()&gt;AT294,"",IF(AND((WEEKDAY($A294)+$B$2)&gt;1,((WEEKDAY($A294)+$T$2)&lt;7),(WEEKDAY($A294)&lt;&gt;1)),"work",(INDEX(Subject!$A:$I,MATCH(RANDBETWEEN(1,(MAX(Subject!$B:$B))),Subject!$B:$B,0),3))))</f>
        <v/>
      </c>
      <c r="J294" s="2" t="str">
        <f t="array" ref="J294">IF(NOW()&gt;AU294,"",IF(AND((WEEKDAY($A294)+$B$2)&gt;1,((WEEKDAY($A294)+$T$2)&lt;7),(WEEKDAY($A294)&lt;&gt;1)),"work",(INDEX(Subject!$A:$I,MATCH(RANDBETWEEN(1,(MAX(Subject!$B:$B))),Subject!$B:$B,0),3))))</f>
        <v/>
      </c>
      <c r="K294" s="2" t="str">
        <f t="array" ref="K294">IF(NOW()&gt;AV294,"",IF(AND((WEEKDAY($A294)+$B$2)&gt;1,((WEEKDAY($A294)+$T$2)&lt;7),(WEEKDAY($A294)&lt;&gt;1)),"work",(INDEX(Subject!$A:$I,MATCH(RANDBETWEEN(1,(MAX(Subject!$B:$B))),Subject!$B:$B,0),3))))</f>
        <v/>
      </c>
      <c r="L294" s="2" t="str">
        <f t="array" ref="L294">IF(NOW()&gt;AW294,"",IF(AND((WEEKDAY($A294)+$B$2)&gt;1,((WEEKDAY($A294)+$T$2)&lt;7),(WEEKDAY($A294)&lt;&gt;1)),"work",(INDEX(Subject!$A:$I,MATCH(RANDBETWEEN(1,(MAX(Subject!$B:$B))),Subject!$B:$B,0),3))))</f>
        <v/>
      </c>
      <c r="M294" s="2" t="str">
        <f t="array" ref="M294">IF(NOW()&gt;AX294,"",IF(AND((WEEKDAY($A294)+$B$2)&gt;1,((WEEKDAY($A294)+$T$2)&lt;7),(WEEKDAY($A294)&lt;&gt;1)),"work",(INDEX(Subject!$A:$I,MATCH(RANDBETWEEN(1,(MAX(Subject!$B:$B))),Subject!$B:$B,0),3))))</f>
        <v/>
      </c>
      <c r="N294" s="2" t="str">
        <f t="array" ref="N294">IF(NOW()&gt;AY294,"",IF(AND((WEEKDAY($A294)+$B$2)&gt;1,((WEEKDAY($A294)+$T$2)&lt;7),(WEEKDAY($A294)&lt;&gt;1)),"work",(INDEX(Subject!$A:$I,MATCH(RANDBETWEEN(1,(MAX(Subject!$B:$B))),Subject!$B:$B,0),3))))</f>
        <v/>
      </c>
      <c r="O294" s="2" t="str">
        <f t="array" ref="O294">IF(NOW()&gt;AZ294,"",IF(AND((WEEKDAY($A294)+$B$2)&gt;1,((WEEKDAY($A294)+$T$2)&lt;7),(WEEKDAY($A294)&lt;&gt;1)),"work",(INDEX(Subject!$A:$I,MATCH(RANDBETWEEN(1,(MAX(Subject!$B:$B))),Subject!$B:$B,0),3))))</f>
        <v/>
      </c>
      <c r="P294" s="2" t="str">
        <f t="array" ref="P294">IF(NOW()&gt;BA294,"",IF(AND((WEEKDAY($A294)+$B$2)&gt;1,((WEEKDAY($A294)+$T$2)&lt;7),(WEEKDAY($A294)&lt;&gt;1)),"work",(INDEX(Subject!$A:$I,MATCH(RANDBETWEEN(1,(MAX(Subject!$B:$B))),Subject!$B:$B,0),3))))</f>
        <v/>
      </c>
      <c r="Q294" s="2" t="str">
        <f t="array" ref="Q294">IF(NOW()&gt;BB294,"",IF(AND((WEEKDAY($A294)+$B$2)&gt;1,((WEEKDAY($A294)+$T$2)&lt;7),(WEEKDAY($A294)&lt;&gt;1)),"work",(INDEX(Subject!$A:$I,MATCH(RANDBETWEEN(1,(MAX(Subject!$B:$B))),Subject!$B:$B,0),3))))</f>
        <v/>
      </c>
      <c r="R294" s="2" t="str">
        <f t="array" ref="R294">IF(NOW()&gt;BC294,"",IF(AND((WEEKDAY($A294)+$B$2)&gt;1,((WEEKDAY($A294)+$T$2)&lt;7),(WEEKDAY($A294)&lt;&gt;1)),"work",(INDEX(Subject!$A:$I,MATCH(RANDBETWEEN(1,(MAX(Subject!$B:$B))),Subject!$B:$B,0),3))))</f>
        <v/>
      </c>
      <c r="S294" s="2" t="str">
        <f t="array" ref="S294">IF(NOW()&gt;BD294,"",IF(AND((WEEKDAY($A294)+$B$2)&gt;1,((WEEKDAY($A294)+$T$2)&lt;7),(WEEKDAY($A294)&lt;&gt;1)),"work",(INDEX(Subject!$A:$I,MATCH(RANDBETWEEN(1,(MAX(Subject!$B:$B))),Subject!$B:$B,0),3))))</f>
        <v/>
      </c>
      <c r="T294" s="2" t="str">
        <f t="array" ref="T294">IF(NOW()&gt;BE294,"",IF(AND((WEEKDAY($A294)+$B$2)&gt;1,((WEEKDAY($A294)+$T$2)&lt;7),(WEEKDAY($A294)&lt;&gt;1)),"work",(INDEX(Subject!$A:$I,MATCH(RANDBETWEEN(1,(MAX(Subject!$B:$B))),Subject!$B:$B,0),3))))</f>
        <v/>
      </c>
      <c r="U294" s="8" t="str">
        <f t="array" ref="U294">INDEX(Subject!$A:$I,MATCH(RANDBETWEEN(1,16),Subject!$B:$B,0),3)</f>
        <v>#N/A</v>
      </c>
      <c r="V294" s="8" t="str">
        <f t="array" ref="V294">INDEX(Subject!$A:$I,MATCH(RANDBETWEEN(1,16),Subject!$B:$B,0),3)</f>
        <v>#N/A</v>
      </c>
      <c r="W294" s="8" t="str">
        <f t="array" ref="W294">INDEX(Subject!$A:$I,MATCH(RANDBETWEEN(1,16),Subject!$B:$B,0),3)</f>
        <v>#N/A</v>
      </c>
      <c r="X294" s="8" t="str">
        <f t="array" ref="X294">INDEX(Subject!$A:$I,MATCH(RANDBETWEEN(1,16),Subject!$B:$B,0),3)</f>
        <v>#N/A</v>
      </c>
      <c r="Y294" s="8" t="str">
        <f t="array" ref="Y294">INDEX(Subject!$A:$I,MATCH(RANDBETWEEN(1,16),Subject!$B:$B,0),3)</f>
        <v>#N/A</v>
      </c>
      <c r="Z294" s="8" t="str">
        <f t="array" ref="Z294">INDEX(Subject!$A:$I,MATCH(RANDBETWEEN(1,16),Subject!$B:$B,0),3)</f>
        <v>#N/A</v>
      </c>
      <c r="AA294" s="8" t="str">
        <f t="array" ref="AA294">INDEX(Subject!$A:$I,MATCH(RANDBETWEEN(1,16),Subject!$B:$B,0),3)</f>
        <v>#N/A</v>
      </c>
      <c r="AB294" s="8" t="str">
        <f t="array" ref="AB294">INDEX(Subject!$A:$I,MATCH(RANDBETWEEN(1,16),Subject!$B:$B,0),3)</f>
        <v>#N/A</v>
      </c>
      <c r="AC294" s="8" t="str">
        <f t="array" ref="AC294">INDEX(Subject!$A:$I,MATCH(RANDBETWEEN(1,16),Subject!$B:$B,0),3)</f>
        <v>#N/A</v>
      </c>
      <c r="AD294" s="8" t="str">
        <f t="array" ref="AD294">INDEX(Subject!$A:$I,MATCH(RANDBETWEEN(1,16),Subject!$B:$B,0),3)</f>
        <v>#N/A</v>
      </c>
      <c r="AE294" s="8" t="str">
        <f t="array" ref="AE294">INDEX(Subject!$A:$I,MATCH(RANDBETWEEN(1,16),Subject!$B:$B,0),3)</f>
        <v>#N/A</v>
      </c>
      <c r="AF294" s="8" t="str">
        <f t="array" ref="AF294">INDEX(Subject!$A:$I,MATCH(RANDBETWEEN(1,16),Subject!$B:$B,0),3)</f>
        <v>#N/A</v>
      </c>
      <c r="AG294" s="8" t="str">
        <f t="array" ref="AG294">INDEX(Subject!$A:$I,MATCH(RANDBETWEEN(1,16),Subject!$B:$B,0),3)</f>
        <v>#N/A</v>
      </c>
      <c r="AH294" s="8" t="str">
        <f t="array" ref="AH294">INDEX(Subject!$A:$I,MATCH(RANDBETWEEN(1,16),Subject!$B:$B,0),3)</f>
        <v>#N/A</v>
      </c>
      <c r="AI294" s="8" t="str">
        <f t="array" ref="AI294">INDEX(Subject!$A:$I,MATCH(RANDBETWEEN(1,16),Subject!$B:$B,0),3)</f>
        <v>#N/A</v>
      </c>
      <c r="AJ294" s="8" t="str">
        <f t="array" ref="AJ294">INDEX(Subject!$A:$I,MATCH(RANDBETWEEN(1,16),Subject!$B:$B,0),3)</f>
        <v>#N/A</v>
      </c>
      <c r="AK294" s="8" t="str">
        <f t="array" ref="AK294">INDEX(Subject!$A:$I,MATCH(RANDBETWEEN(1,16),Subject!$B:$B,0),3)</f>
        <v>#N/A</v>
      </c>
      <c r="AL294" s="8" t="str">
        <f t="array" ref="AL294">INDEX(Subject!$A:$I,MATCH(RANDBETWEEN(1,16),Subject!$B:$B,0),3)</f>
        <v>#N/A</v>
      </c>
      <c r="AM294" s="18">
        <f t="shared" si="4"/>
        <v>45794.33333</v>
      </c>
      <c r="AN294" s="19">
        <f t="shared" ref="AN294:BZ294" si="294">$A294+C$1</f>
        <v>45794.35417</v>
      </c>
      <c r="AO294" s="19">
        <f t="shared" si="294"/>
        <v>45794.375</v>
      </c>
      <c r="AP294" s="19">
        <f t="shared" si="294"/>
        <v>45794.39583</v>
      </c>
      <c r="AQ294" s="19">
        <f t="shared" si="294"/>
        <v>45794.41667</v>
      </c>
      <c r="AR294" s="19">
        <f t="shared" si="294"/>
        <v>45794.4375</v>
      </c>
      <c r="AS294" s="19">
        <f t="shared" si="294"/>
        <v>45794.45833</v>
      </c>
      <c r="AT294" s="19">
        <f t="shared" si="294"/>
        <v>45794.47917</v>
      </c>
      <c r="AU294" s="19">
        <f t="shared" si="294"/>
        <v>45794.5</v>
      </c>
      <c r="AV294" s="19">
        <f t="shared" si="294"/>
        <v>45794.52083</v>
      </c>
      <c r="AW294" s="19">
        <f t="shared" si="294"/>
        <v>45794.54167</v>
      </c>
      <c r="AX294" s="19">
        <f t="shared" si="294"/>
        <v>45794.5625</v>
      </c>
      <c r="AY294" s="19">
        <f t="shared" si="294"/>
        <v>45794.58333</v>
      </c>
      <c r="AZ294" s="19">
        <f t="shared" si="294"/>
        <v>45794.60417</v>
      </c>
      <c r="BA294" s="19">
        <f t="shared" si="294"/>
        <v>45794.625</v>
      </c>
      <c r="BB294" s="19">
        <f t="shared" si="294"/>
        <v>45794.64583</v>
      </c>
      <c r="BC294" s="19">
        <f t="shared" si="294"/>
        <v>45794.66667</v>
      </c>
      <c r="BD294" s="19">
        <f t="shared" si="294"/>
        <v>45794.6875</v>
      </c>
      <c r="BE294" s="19">
        <f t="shared" si="294"/>
        <v>45794.70833</v>
      </c>
      <c r="BF294" s="19">
        <f t="shared" si="294"/>
        <v>45794.72917</v>
      </c>
      <c r="BG294" s="19">
        <f t="shared" si="294"/>
        <v>45794.75</v>
      </c>
      <c r="BH294" s="19">
        <f t="shared" si="294"/>
        <v>45794.77083</v>
      </c>
      <c r="BI294" s="19">
        <f t="shared" si="294"/>
        <v>45794.79167</v>
      </c>
      <c r="BJ294" s="19">
        <f t="shared" si="294"/>
        <v>45794.8125</v>
      </c>
      <c r="BK294" s="19">
        <f t="shared" si="294"/>
        <v>45794.83333</v>
      </c>
      <c r="BL294" s="19">
        <f t="shared" si="294"/>
        <v>45794.85417</v>
      </c>
      <c r="BM294" s="19">
        <f t="shared" si="294"/>
        <v>45794.875</v>
      </c>
      <c r="BN294" s="19">
        <f t="shared" si="294"/>
        <v>45794.89583</v>
      </c>
      <c r="BO294" s="19">
        <f t="shared" si="294"/>
        <v>45794.91667</v>
      </c>
      <c r="BP294" s="19">
        <f t="shared" si="294"/>
        <v>45794.9375</v>
      </c>
      <c r="BQ294" s="19">
        <f t="shared" si="294"/>
        <v>45794.95833</v>
      </c>
      <c r="BR294" s="19">
        <f t="shared" si="294"/>
        <v>45794.97917</v>
      </c>
      <c r="BS294" s="19">
        <f t="shared" si="294"/>
        <v>45795</v>
      </c>
      <c r="BT294" s="19">
        <f t="shared" si="294"/>
        <v>45795.02083</v>
      </c>
      <c r="BU294" s="19">
        <f t="shared" si="294"/>
        <v>45795.04167</v>
      </c>
      <c r="BV294" s="19">
        <f t="shared" si="294"/>
        <v>45795.0625</v>
      </c>
      <c r="BW294" s="19">
        <f t="shared" si="294"/>
        <v>45795.08333</v>
      </c>
      <c r="BX294" s="19">
        <f t="shared" si="294"/>
        <v>45794</v>
      </c>
      <c r="BY294" s="19">
        <f t="shared" si="294"/>
        <v>45794</v>
      </c>
      <c r="BZ294" s="19">
        <f t="shared" si="294"/>
        <v>45794</v>
      </c>
    </row>
    <row r="295" ht="14.25" customHeight="1">
      <c r="A295" s="17">
        <v>45795.0</v>
      </c>
      <c r="B295" s="2" t="str">
        <f t="array" ref="B295">IF(NOW()&gt;AM295,"",IF(AND((WEEKDAY($A295)+$B$2)&gt;1,((WEEKDAY($A295)+$T$2)&lt;7),(WEEKDAY($A295)&lt;&gt;1)),"work",(INDEX(Subject!$A:$I,MATCH(RANDBETWEEN(1,(MAX(Subject!$B:$B))),Subject!$B:$B,0),3))))</f>
        <v/>
      </c>
      <c r="C295" s="2" t="str">
        <f t="array" ref="C295">IF(NOW()&gt;AN295,"",IF(AND((WEEKDAY($A295)+$B$2)&gt;1,((WEEKDAY($A295)+$T$2)&lt;7),(WEEKDAY($A295)&lt;&gt;1)),"work",(INDEX(Subject!$A:$I,MATCH(RANDBETWEEN(1,(MAX(Subject!$B:$B))),Subject!$B:$B,0),3))))</f>
        <v/>
      </c>
      <c r="D295" s="2" t="str">
        <f t="array" ref="D295">IF(NOW()&gt;AO295,"",IF(AND((WEEKDAY($A295)+$B$2)&gt;1,((WEEKDAY($A295)+$T$2)&lt;7),(WEEKDAY($A295)&lt;&gt;1)),"work",(INDEX(Subject!$A:$I,MATCH(RANDBETWEEN(1,(MAX(Subject!$B:$B))),Subject!$B:$B,0),3))))</f>
        <v/>
      </c>
      <c r="E295" s="2" t="str">
        <f t="array" ref="E295">IF(NOW()&gt;AP295,"",IF(AND((WEEKDAY($A295)+$B$2)&gt;1,((WEEKDAY($A295)+$T$2)&lt;7),(WEEKDAY($A295)&lt;&gt;1)),"work",(INDEX(Subject!$A:$I,MATCH(RANDBETWEEN(1,(MAX(Subject!$B:$B))),Subject!$B:$B,0),3))))</f>
        <v/>
      </c>
      <c r="F295" s="2" t="str">
        <f t="array" ref="F295">IF(NOW()&gt;AQ295,"",IF(AND((WEEKDAY($A295)+$B$2)&gt;1,((WEEKDAY($A295)+$T$2)&lt;7),(WEEKDAY($A295)&lt;&gt;1)),"work",(INDEX(Subject!$A:$I,MATCH(RANDBETWEEN(1,(MAX(Subject!$B:$B))),Subject!$B:$B,0),3))))</f>
        <v/>
      </c>
      <c r="G295" s="2" t="str">
        <f t="array" ref="G295">IF(NOW()&gt;AR295,"",IF(AND((WEEKDAY($A295)+$B$2)&gt;1,((WEEKDAY($A295)+$T$2)&lt;7),(WEEKDAY($A295)&lt;&gt;1)),"work",(INDEX(Subject!$A:$I,MATCH(RANDBETWEEN(1,(MAX(Subject!$B:$B))),Subject!$B:$B,0),3))))</f>
        <v/>
      </c>
      <c r="H295" s="2" t="str">
        <f t="array" ref="H295">IF(NOW()&gt;AS295,"",IF(AND((WEEKDAY($A295)+$B$2)&gt;1,((WEEKDAY($A295)+$T$2)&lt;7),(WEEKDAY($A295)&lt;&gt;1)),"work",(INDEX(Subject!$A:$I,MATCH(RANDBETWEEN(1,(MAX(Subject!$B:$B))),Subject!$B:$B,0),3))))</f>
        <v/>
      </c>
      <c r="I295" s="2" t="str">
        <f t="array" ref="I295">IF(NOW()&gt;AT295,"",IF(AND((WEEKDAY($A295)+$B$2)&gt;1,((WEEKDAY($A295)+$T$2)&lt;7),(WEEKDAY($A295)&lt;&gt;1)),"work",(INDEX(Subject!$A:$I,MATCH(RANDBETWEEN(1,(MAX(Subject!$B:$B))),Subject!$B:$B,0),3))))</f>
        <v/>
      </c>
      <c r="J295" s="2" t="str">
        <f t="array" ref="J295">IF(NOW()&gt;AU295,"",IF(AND((WEEKDAY($A295)+$B$2)&gt;1,((WEEKDAY($A295)+$T$2)&lt;7),(WEEKDAY($A295)&lt;&gt;1)),"work",(INDEX(Subject!$A:$I,MATCH(RANDBETWEEN(1,(MAX(Subject!$B:$B))),Subject!$B:$B,0),3))))</f>
        <v/>
      </c>
      <c r="K295" s="2" t="str">
        <f t="array" ref="K295">IF(NOW()&gt;AV295,"",IF(AND((WEEKDAY($A295)+$B$2)&gt;1,((WEEKDAY($A295)+$T$2)&lt;7),(WEEKDAY($A295)&lt;&gt;1)),"work",(INDEX(Subject!$A:$I,MATCH(RANDBETWEEN(1,(MAX(Subject!$B:$B))),Subject!$B:$B,0),3))))</f>
        <v/>
      </c>
      <c r="L295" s="2" t="str">
        <f t="array" ref="L295">IF(NOW()&gt;AW295,"",IF(AND((WEEKDAY($A295)+$B$2)&gt;1,((WEEKDAY($A295)+$T$2)&lt;7),(WEEKDAY($A295)&lt;&gt;1)),"work",(INDEX(Subject!$A:$I,MATCH(RANDBETWEEN(1,(MAX(Subject!$B:$B))),Subject!$B:$B,0),3))))</f>
        <v/>
      </c>
      <c r="M295" s="2" t="str">
        <f t="array" ref="M295">IF(NOW()&gt;AX295,"",IF(AND((WEEKDAY($A295)+$B$2)&gt;1,((WEEKDAY($A295)+$T$2)&lt;7),(WEEKDAY($A295)&lt;&gt;1)),"work",(INDEX(Subject!$A:$I,MATCH(RANDBETWEEN(1,(MAX(Subject!$B:$B))),Subject!$B:$B,0),3))))</f>
        <v/>
      </c>
      <c r="N295" s="2" t="str">
        <f t="array" ref="N295">IF(NOW()&gt;AY295,"",IF(AND((WEEKDAY($A295)+$B$2)&gt;1,((WEEKDAY($A295)+$T$2)&lt;7),(WEEKDAY($A295)&lt;&gt;1)),"work",(INDEX(Subject!$A:$I,MATCH(RANDBETWEEN(1,(MAX(Subject!$B:$B))),Subject!$B:$B,0),3))))</f>
        <v/>
      </c>
      <c r="O295" s="2" t="str">
        <f t="array" ref="O295">IF(NOW()&gt;AZ295,"",IF(AND((WEEKDAY($A295)+$B$2)&gt;1,((WEEKDAY($A295)+$T$2)&lt;7),(WEEKDAY($A295)&lt;&gt;1)),"work",(INDEX(Subject!$A:$I,MATCH(RANDBETWEEN(1,(MAX(Subject!$B:$B))),Subject!$B:$B,0),3))))</f>
        <v/>
      </c>
      <c r="P295" s="2" t="str">
        <f t="array" ref="P295">IF(NOW()&gt;BA295,"",IF(AND((WEEKDAY($A295)+$B$2)&gt;1,((WEEKDAY($A295)+$T$2)&lt;7),(WEEKDAY($A295)&lt;&gt;1)),"work",(INDEX(Subject!$A:$I,MATCH(RANDBETWEEN(1,(MAX(Subject!$B:$B))),Subject!$B:$B,0),3))))</f>
        <v/>
      </c>
      <c r="Q295" s="2" t="str">
        <f t="array" ref="Q295">IF(NOW()&gt;BB295,"",IF(AND((WEEKDAY($A295)+$B$2)&gt;1,((WEEKDAY($A295)+$T$2)&lt;7),(WEEKDAY($A295)&lt;&gt;1)),"work",(INDEX(Subject!$A:$I,MATCH(RANDBETWEEN(1,(MAX(Subject!$B:$B))),Subject!$B:$B,0),3))))</f>
        <v/>
      </c>
      <c r="R295" s="2" t="str">
        <f t="array" ref="R295">IF(NOW()&gt;BC295,"",IF(AND((WEEKDAY($A295)+$B$2)&gt;1,((WEEKDAY($A295)+$T$2)&lt;7),(WEEKDAY($A295)&lt;&gt;1)),"work",(INDEX(Subject!$A:$I,MATCH(RANDBETWEEN(1,(MAX(Subject!$B:$B))),Subject!$B:$B,0),3))))</f>
        <v/>
      </c>
      <c r="S295" s="2" t="str">
        <f t="array" ref="S295">IF(NOW()&gt;BD295,"",IF(AND((WEEKDAY($A295)+$B$2)&gt;1,((WEEKDAY($A295)+$T$2)&lt;7),(WEEKDAY($A295)&lt;&gt;1)),"work",(INDEX(Subject!$A:$I,MATCH(RANDBETWEEN(1,(MAX(Subject!$B:$B))),Subject!$B:$B,0),3))))</f>
        <v/>
      </c>
      <c r="T295" s="2" t="str">
        <f t="array" ref="T295">IF(NOW()&gt;BE295,"",IF(AND((WEEKDAY($A295)+$B$2)&gt;1,((WEEKDAY($A295)+$T$2)&lt;7),(WEEKDAY($A295)&lt;&gt;1)),"work",(INDEX(Subject!$A:$I,MATCH(RANDBETWEEN(1,(MAX(Subject!$B:$B))),Subject!$B:$B,0),3))))</f>
        <v/>
      </c>
      <c r="U295" s="8" t="str">
        <f t="array" ref="U295">INDEX(Subject!$A:$I,MATCH(RANDBETWEEN(1,16),Subject!$B:$B,0),3)</f>
        <v>#N/A</v>
      </c>
      <c r="V295" s="8" t="str">
        <f t="array" ref="V295">INDEX(Subject!$A:$I,MATCH(RANDBETWEEN(1,16),Subject!$B:$B,0),3)</f>
        <v>#N/A</v>
      </c>
      <c r="W295" s="8" t="str">
        <f t="array" ref="W295">INDEX(Subject!$A:$I,MATCH(RANDBETWEEN(1,16),Subject!$B:$B,0),3)</f>
        <v>#N/A</v>
      </c>
      <c r="X295" s="8" t="str">
        <f t="array" ref="X295">INDEX(Subject!$A:$I,MATCH(RANDBETWEEN(1,16),Subject!$B:$B,0),3)</f>
        <v/>
      </c>
      <c r="Y295" s="8" t="str">
        <f t="array" ref="Y295">INDEX(Subject!$A:$I,MATCH(RANDBETWEEN(1,16),Subject!$B:$B,0),3)</f>
        <v>#N/A</v>
      </c>
      <c r="Z295" s="8" t="str">
        <f t="array" ref="Z295">INDEX(Subject!$A:$I,MATCH(RANDBETWEEN(1,16),Subject!$B:$B,0),3)</f>
        <v>#N/A</v>
      </c>
      <c r="AA295" s="8" t="str">
        <f t="array" ref="AA295">INDEX(Subject!$A:$I,MATCH(RANDBETWEEN(1,16),Subject!$B:$B,0),3)</f>
        <v>#N/A</v>
      </c>
      <c r="AB295" s="8" t="str">
        <f t="array" ref="AB295">INDEX(Subject!$A:$I,MATCH(RANDBETWEEN(1,16),Subject!$B:$B,0),3)</f>
        <v>#N/A</v>
      </c>
      <c r="AC295" s="8" t="str">
        <f t="array" ref="AC295">INDEX(Subject!$A:$I,MATCH(RANDBETWEEN(1,16),Subject!$B:$B,0),3)</f>
        <v>#N/A</v>
      </c>
      <c r="AD295" s="8" t="str">
        <f t="array" ref="AD295">INDEX(Subject!$A:$I,MATCH(RANDBETWEEN(1,16),Subject!$B:$B,0),3)</f>
        <v>#N/A</v>
      </c>
      <c r="AE295" s="8" t="str">
        <f t="array" ref="AE295">INDEX(Subject!$A:$I,MATCH(RANDBETWEEN(1,16),Subject!$B:$B,0),3)</f>
        <v>#N/A</v>
      </c>
      <c r="AF295" s="8" t="str">
        <f t="array" ref="AF295">INDEX(Subject!$A:$I,MATCH(RANDBETWEEN(1,16),Subject!$B:$B,0),3)</f>
        <v>#N/A</v>
      </c>
      <c r="AG295" s="8" t="str">
        <f t="array" ref="AG295">INDEX(Subject!$A:$I,MATCH(RANDBETWEEN(1,16),Subject!$B:$B,0),3)</f>
        <v>#N/A</v>
      </c>
      <c r="AH295" s="8" t="str">
        <f t="array" ref="AH295">INDEX(Subject!$A:$I,MATCH(RANDBETWEEN(1,16),Subject!$B:$B,0),3)</f>
        <v>#N/A</v>
      </c>
      <c r="AI295" s="8" t="str">
        <f t="array" ref="AI295">INDEX(Subject!$A:$I,MATCH(RANDBETWEEN(1,16),Subject!$B:$B,0),3)</f>
        <v>#N/A</v>
      </c>
      <c r="AJ295" s="8" t="str">
        <f t="array" ref="AJ295">INDEX(Subject!$A:$I,MATCH(RANDBETWEEN(1,16),Subject!$B:$B,0),3)</f>
        <v>#N/A</v>
      </c>
      <c r="AK295" s="8" t="str">
        <f t="array" ref="AK295">INDEX(Subject!$A:$I,MATCH(RANDBETWEEN(1,16),Subject!$B:$B,0),3)</f>
        <v>#N/A</v>
      </c>
      <c r="AL295" s="8" t="str">
        <f t="array" ref="AL295">INDEX(Subject!$A:$I,MATCH(RANDBETWEEN(1,16),Subject!$B:$B,0),3)</f>
        <v>#N/A</v>
      </c>
      <c r="AM295" s="18">
        <f t="shared" si="4"/>
        <v>45795.33333</v>
      </c>
      <c r="AN295" s="19">
        <f t="shared" ref="AN295:BZ295" si="295">$A295+C$1</f>
        <v>45795.35417</v>
      </c>
      <c r="AO295" s="19">
        <f t="shared" si="295"/>
        <v>45795.375</v>
      </c>
      <c r="AP295" s="19">
        <f t="shared" si="295"/>
        <v>45795.39583</v>
      </c>
      <c r="AQ295" s="19">
        <f t="shared" si="295"/>
        <v>45795.41667</v>
      </c>
      <c r="AR295" s="19">
        <f t="shared" si="295"/>
        <v>45795.4375</v>
      </c>
      <c r="AS295" s="19">
        <f t="shared" si="295"/>
        <v>45795.45833</v>
      </c>
      <c r="AT295" s="19">
        <f t="shared" si="295"/>
        <v>45795.47917</v>
      </c>
      <c r="AU295" s="19">
        <f t="shared" si="295"/>
        <v>45795.5</v>
      </c>
      <c r="AV295" s="19">
        <f t="shared" si="295"/>
        <v>45795.52083</v>
      </c>
      <c r="AW295" s="19">
        <f t="shared" si="295"/>
        <v>45795.54167</v>
      </c>
      <c r="AX295" s="19">
        <f t="shared" si="295"/>
        <v>45795.5625</v>
      </c>
      <c r="AY295" s="19">
        <f t="shared" si="295"/>
        <v>45795.58333</v>
      </c>
      <c r="AZ295" s="19">
        <f t="shared" si="295"/>
        <v>45795.60417</v>
      </c>
      <c r="BA295" s="19">
        <f t="shared" si="295"/>
        <v>45795.625</v>
      </c>
      <c r="BB295" s="19">
        <f t="shared" si="295"/>
        <v>45795.64583</v>
      </c>
      <c r="BC295" s="19">
        <f t="shared" si="295"/>
        <v>45795.66667</v>
      </c>
      <c r="BD295" s="19">
        <f t="shared" si="295"/>
        <v>45795.6875</v>
      </c>
      <c r="BE295" s="19">
        <f t="shared" si="295"/>
        <v>45795.70833</v>
      </c>
      <c r="BF295" s="19">
        <f t="shared" si="295"/>
        <v>45795.72917</v>
      </c>
      <c r="BG295" s="19">
        <f t="shared" si="295"/>
        <v>45795.75</v>
      </c>
      <c r="BH295" s="19">
        <f t="shared" si="295"/>
        <v>45795.77083</v>
      </c>
      <c r="BI295" s="19">
        <f t="shared" si="295"/>
        <v>45795.79167</v>
      </c>
      <c r="BJ295" s="19">
        <f t="shared" si="295"/>
        <v>45795.8125</v>
      </c>
      <c r="BK295" s="19">
        <f t="shared" si="295"/>
        <v>45795.83333</v>
      </c>
      <c r="BL295" s="19">
        <f t="shared" si="295"/>
        <v>45795.85417</v>
      </c>
      <c r="BM295" s="19">
        <f t="shared" si="295"/>
        <v>45795.875</v>
      </c>
      <c r="BN295" s="19">
        <f t="shared" si="295"/>
        <v>45795.89583</v>
      </c>
      <c r="BO295" s="19">
        <f t="shared" si="295"/>
        <v>45795.91667</v>
      </c>
      <c r="BP295" s="19">
        <f t="shared" si="295"/>
        <v>45795.9375</v>
      </c>
      <c r="BQ295" s="19">
        <f t="shared" si="295"/>
        <v>45795.95833</v>
      </c>
      <c r="BR295" s="19">
        <f t="shared" si="295"/>
        <v>45795.97917</v>
      </c>
      <c r="BS295" s="19">
        <f t="shared" si="295"/>
        <v>45796</v>
      </c>
      <c r="BT295" s="19">
        <f t="shared" si="295"/>
        <v>45796.02083</v>
      </c>
      <c r="BU295" s="19">
        <f t="shared" si="295"/>
        <v>45796.04167</v>
      </c>
      <c r="BV295" s="19">
        <f t="shared" si="295"/>
        <v>45796.0625</v>
      </c>
      <c r="BW295" s="19">
        <f t="shared" si="295"/>
        <v>45796.08333</v>
      </c>
      <c r="BX295" s="19">
        <f t="shared" si="295"/>
        <v>45795</v>
      </c>
      <c r="BY295" s="19">
        <f t="shared" si="295"/>
        <v>45795</v>
      </c>
      <c r="BZ295" s="19">
        <f t="shared" si="295"/>
        <v>45795</v>
      </c>
    </row>
    <row r="296" ht="14.25" customHeight="1">
      <c r="A296" s="17">
        <v>45796.0</v>
      </c>
      <c r="B296" s="2" t="str">
        <f t="array" ref="B296">IF(NOW()&gt;AM296,"",IF(AND((WEEKDAY($A296)+$B$2)&gt;1,((WEEKDAY($A296)+$T$2)&lt;7),(WEEKDAY($A296)&lt;&gt;1)),"work",(INDEX(Subject!$A:$I,MATCH(RANDBETWEEN(1,(MAX(Subject!$B:$B))),Subject!$B:$B,0),3))))</f>
        <v/>
      </c>
      <c r="C296" s="2" t="str">
        <f t="array" ref="C296">IF(NOW()&gt;AN296,"",IF(AND((WEEKDAY($A296)+$B$2)&gt;1,((WEEKDAY($A296)+$T$2)&lt;7),(WEEKDAY($A296)&lt;&gt;1)),"work",(INDEX(Subject!$A:$I,MATCH(RANDBETWEEN(1,(MAX(Subject!$B:$B))),Subject!$B:$B,0),3))))</f>
        <v/>
      </c>
      <c r="D296" s="2" t="str">
        <f t="array" ref="D296">IF(NOW()&gt;AO296,"",IF(AND((WEEKDAY($A296)+$B$2)&gt;1,((WEEKDAY($A296)+$T$2)&lt;7),(WEEKDAY($A296)&lt;&gt;1)),"work",(INDEX(Subject!$A:$I,MATCH(RANDBETWEEN(1,(MAX(Subject!$B:$B))),Subject!$B:$B,0),3))))</f>
        <v/>
      </c>
      <c r="E296" s="2" t="str">
        <f t="array" ref="E296">IF(NOW()&gt;AP296,"",IF(AND((WEEKDAY($A296)+$B$2)&gt;1,((WEEKDAY($A296)+$T$2)&lt;7),(WEEKDAY($A296)&lt;&gt;1)),"work",(INDEX(Subject!$A:$I,MATCH(RANDBETWEEN(1,(MAX(Subject!$B:$B))),Subject!$B:$B,0),3))))</f>
        <v/>
      </c>
      <c r="F296" s="2" t="str">
        <f t="array" ref="F296">IF(NOW()&gt;AQ296,"",IF(AND((WEEKDAY($A296)+$B$2)&gt;1,((WEEKDAY($A296)+$T$2)&lt;7),(WEEKDAY($A296)&lt;&gt;1)),"work",(INDEX(Subject!$A:$I,MATCH(RANDBETWEEN(1,(MAX(Subject!$B:$B))),Subject!$B:$B,0),3))))</f>
        <v/>
      </c>
      <c r="G296" s="2" t="str">
        <f t="array" ref="G296">IF(NOW()&gt;AR296,"",IF(AND((WEEKDAY($A296)+$B$2)&gt;1,((WEEKDAY($A296)+$T$2)&lt;7),(WEEKDAY($A296)&lt;&gt;1)),"work",(INDEX(Subject!$A:$I,MATCH(RANDBETWEEN(1,(MAX(Subject!$B:$B))),Subject!$B:$B,0),3))))</f>
        <v/>
      </c>
      <c r="H296" s="2" t="str">
        <f t="array" ref="H296">IF(NOW()&gt;AS296,"",IF(AND((WEEKDAY($A296)+$B$2)&gt;1,((WEEKDAY($A296)+$T$2)&lt;7),(WEEKDAY($A296)&lt;&gt;1)),"work",(INDEX(Subject!$A:$I,MATCH(RANDBETWEEN(1,(MAX(Subject!$B:$B))),Subject!$B:$B,0),3))))</f>
        <v/>
      </c>
      <c r="I296" s="2" t="str">
        <f t="array" ref="I296">IF(NOW()&gt;AT296,"",IF(AND((WEEKDAY($A296)+$B$2)&gt;1,((WEEKDAY($A296)+$T$2)&lt;7),(WEEKDAY($A296)&lt;&gt;1)),"work",(INDEX(Subject!$A:$I,MATCH(RANDBETWEEN(1,(MAX(Subject!$B:$B))),Subject!$B:$B,0),3))))</f>
        <v/>
      </c>
      <c r="J296" s="2" t="str">
        <f t="array" ref="J296">IF(NOW()&gt;AU296,"",IF(AND((WEEKDAY($A296)+$B$2)&gt;1,((WEEKDAY($A296)+$T$2)&lt;7),(WEEKDAY($A296)&lt;&gt;1)),"work",(INDEX(Subject!$A:$I,MATCH(RANDBETWEEN(1,(MAX(Subject!$B:$B))),Subject!$B:$B,0),3))))</f>
        <v/>
      </c>
      <c r="K296" s="2" t="str">
        <f t="array" ref="K296">IF(NOW()&gt;AV296,"",IF(AND((WEEKDAY($A296)+$B$2)&gt;1,((WEEKDAY($A296)+$T$2)&lt;7),(WEEKDAY($A296)&lt;&gt;1)),"work",(INDEX(Subject!$A:$I,MATCH(RANDBETWEEN(1,(MAX(Subject!$B:$B))),Subject!$B:$B,0),3))))</f>
        <v/>
      </c>
      <c r="L296" s="2" t="str">
        <f t="array" ref="L296">IF(NOW()&gt;AW296,"",IF(AND((WEEKDAY($A296)+$B$2)&gt;1,((WEEKDAY($A296)+$T$2)&lt;7),(WEEKDAY($A296)&lt;&gt;1)),"work",(INDEX(Subject!$A:$I,MATCH(RANDBETWEEN(1,(MAX(Subject!$B:$B))),Subject!$B:$B,0),3))))</f>
        <v/>
      </c>
      <c r="M296" s="2" t="str">
        <f t="array" ref="M296">IF(NOW()&gt;AX296,"",IF(AND((WEEKDAY($A296)+$B$2)&gt;1,((WEEKDAY($A296)+$T$2)&lt;7),(WEEKDAY($A296)&lt;&gt;1)),"work",(INDEX(Subject!$A:$I,MATCH(RANDBETWEEN(1,(MAX(Subject!$B:$B))),Subject!$B:$B,0),3))))</f>
        <v/>
      </c>
      <c r="N296" s="2" t="str">
        <f t="array" ref="N296">IF(NOW()&gt;AY296,"",IF(AND((WEEKDAY($A296)+$B$2)&gt;1,((WEEKDAY($A296)+$T$2)&lt;7),(WEEKDAY($A296)&lt;&gt;1)),"work",(INDEX(Subject!$A:$I,MATCH(RANDBETWEEN(1,(MAX(Subject!$B:$B))),Subject!$B:$B,0),3))))</f>
        <v/>
      </c>
      <c r="O296" s="2" t="str">
        <f t="array" ref="O296">IF(NOW()&gt;AZ296,"",IF(AND((WEEKDAY($A296)+$B$2)&gt;1,((WEEKDAY($A296)+$T$2)&lt;7),(WEEKDAY($A296)&lt;&gt;1)),"work",(INDEX(Subject!$A:$I,MATCH(RANDBETWEEN(1,(MAX(Subject!$B:$B))),Subject!$B:$B,0),3))))</f>
        <v/>
      </c>
      <c r="P296" s="2" t="str">
        <f t="array" ref="P296">IF(NOW()&gt;BA296,"",IF(AND((WEEKDAY($A296)+$B$2)&gt;1,((WEEKDAY($A296)+$T$2)&lt;7),(WEEKDAY($A296)&lt;&gt;1)),"work",(INDEX(Subject!$A:$I,MATCH(RANDBETWEEN(1,(MAX(Subject!$B:$B))),Subject!$B:$B,0),3))))</f>
        <v/>
      </c>
      <c r="Q296" s="2" t="str">
        <f t="array" ref="Q296">IF(NOW()&gt;BB296,"",IF(AND((WEEKDAY($A296)+$B$2)&gt;1,((WEEKDAY($A296)+$T$2)&lt;7),(WEEKDAY($A296)&lt;&gt;1)),"work",(INDEX(Subject!$A:$I,MATCH(RANDBETWEEN(1,(MAX(Subject!$B:$B))),Subject!$B:$B,0),3))))</f>
        <v/>
      </c>
      <c r="R296" s="2" t="str">
        <f t="array" ref="R296">IF(NOW()&gt;BC296,"",IF(AND((WEEKDAY($A296)+$B$2)&gt;1,((WEEKDAY($A296)+$T$2)&lt;7),(WEEKDAY($A296)&lt;&gt;1)),"work",(INDEX(Subject!$A:$I,MATCH(RANDBETWEEN(1,(MAX(Subject!$B:$B))),Subject!$B:$B,0),3))))</f>
        <v/>
      </c>
      <c r="S296" s="2" t="str">
        <f t="array" ref="S296">IF(NOW()&gt;BD296,"",IF(AND((WEEKDAY($A296)+$B$2)&gt;1,((WEEKDAY($A296)+$T$2)&lt;7),(WEEKDAY($A296)&lt;&gt;1)),"work",(INDEX(Subject!$A:$I,MATCH(RANDBETWEEN(1,(MAX(Subject!$B:$B))),Subject!$B:$B,0),3))))</f>
        <v/>
      </c>
      <c r="T296" s="2" t="str">
        <f t="array" ref="T296">IF(NOW()&gt;BE296,"",IF(AND((WEEKDAY($A296)+$B$2)&gt;1,((WEEKDAY($A296)+$T$2)&lt;7),(WEEKDAY($A296)&lt;&gt;1)),"work",(INDEX(Subject!$A:$I,MATCH(RANDBETWEEN(1,(MAX(Subject!$B:$B))),Subject!$B:$B,0),3))))</f>
        <v/>
      </c>
      <c r="U296" s="8" t="str">
        <f t="array" ref="U296">INDEX(Subject!$A:$I,MATCH(RANDBETWEEN(1,16),Subject!$B:$B,0),3)</f>
        <v>#N/A</v>
      </c>
      <c r="V296" s="8" t="str">
        <f t="array" ref="V296">INDEX(Subject!$A:$I,MATCH(RANDBETWEEN(1,16),Subject!$B:$B,0),3)</f>
        <v>#N/A</v>
      </c>
      <c r="W296" s="8" t="str">
        <f t="array" ref="W296">INDEX(Subject!$A:$I,MATCH(RANDBETWEEN(1,16),Subject!$B:$B,0),3)</f>
        <v>#N/A</v>
      </c>
      <c r="X296" s="8" t="str">
        <f t="array" ref="X296">INDEX(Subject!$A:$I,MATCH(RANDBETWEEN(1,16),Subject!$B:$B,0),3)</f>
        <v>#N/A</v>
      </c>
      <c r="Y296" s="8" t="str">
        <f t="array" ref="Y296">INDEX(Subject!$A:$I,MATCH(RANDBETWEEN(1,16),Subject!$B:$B,0),3)</f>
        <v>#N/A</v>
      </c>
      <c r="Z296" s="8" t="str">
        <f t="array" ref="Z296">INDEX(Subject!$A:$I,MATCH(RANDBETWEEN(1,16),Subject!$B:$B,0),3)</f>
        <v>#N/A</v>
      </c>
      <c r="AA296" s="8" t="str">
        <f t="array" ref="AA296">INDEX(Subject!$A:$I,MATCH(RANDBETWEEN(1,16),Subject!$B:$B,0),3)</f>
        <v>#N/A</v>
      </c>
      <c r="AB296" s="8" t="str">
        <f t="array" ref="AB296">INDEX(Subject!$A:$I,MATCH(RANDBETWEEN(1,16),Subject!$B:$B,0),3)</f>
        <v>#N/A</v>
      </c>
      <c r="AC296" s="8" t="str">
        <f t="array" ref="AC296">INDEX(Subject!$A:$I,MATCH(RANDBETWEEN(1,16),Subject!$B:$B,0),3)</f>
        <v>#N/A</v>
      </c>
      <c r="AD296" s="8" t="str">
        <f t="array" ref="AD296">INDEX(Subject!$A:$I,MATCH(RANDBETWEEN(1,16),Subject!$B:$B,0),3)</f>
        <v>#N/A</v>
      </c>
      <c r="AE296" s="8" t="str">
        <f t="array" ref="AE296">INDEX(Subject!$A:$I,MATCH(RANDBETWEEN(1,16),Subject!$B:$B,0),3)</f>
        <v>#N/A</v>
      </c>
      <c r="AF296" s="8" t="str">
        <f t="array" ref="AF296">INDEX(Subject!$A:$I,MATCH(RANDBETWEEN(1,16),Subject!$B:$B,0),3)</f>
        <v>#N/A</v>
      </c>
      <c r="AG296" s="8" t="str">
        <f t="array" ref="AG296">INDEX(Subject!$A:$I,MATCH(RANDBETWEEN(1,16),Subject!$B:$B,0),3)</f>
        <v>#N/A</v>
      </c>
      <c r="AH296" s="8" t="str">
        <f t="array" ref="AH296">INDEX(Subject!$A:$I,MATCH(RANDBETWEEN(1,16),Subject!$B:$B,0),3)</f>
        <v>#N/A</v>
      </c>
      <c r="AI296" s="8" t="str">
        <f t="array" ref="AI296">INDEX(Subject!$A:$I,MATCH(RANDBETWEEN(1,16),Subject!$B:$B,0),3)</f>
        <v>#N/A</v>
      </c>
      <c r="AJ296" s="8" t="str">
        <f t="array" ref="AJ296">INDEX(Subject!$A:$I,MATCH(RANDBETWEEN(1,16),Subject!$B:$B,0),3)</f>
        <v>#N/A</v>
      </c>
      <c r="AK296" s="8" t="str">
        <f t="array" ref="AK296">INDEX(Subject!$A:$I,MATCH(RANDBETWEEN(1,16),Subject!$B:$B,0),3)</f>
        <v>#N/A</v>
      </c>
      <c r="AL296" s="8" t="str">
        <f t="array" ref="AL296">INDEX(Subject!$A:$I,MATCH(RANDBETWEEN(1,16),Subject!$B:$B,0),3)</f>
        <v>#N/A</v>
      </c>
      <c r="AM296" s="18">
        <f t="shared" si="4"/>
        <v>45796.33333</v>
      </c>
      <c r="AN296" s="19">
        <f t="shared" ref="AN296:BZ296" si="296">$A296+C$1</f>
        <v>45796.35417</v>
      </c>
      <c r="AO296" s="19">
        <f t="shared" si="296"/>
        <v>45796.375</v>
      </c>
      <c r="AP296" s="19">
        <f t="shared" si="296"/>
        <v>45796.39583</v>
      </c>
      <c r="AQ296" s="19">
        <f t="shared" si="296"/>
        <v>45796.41667</v>
      </c>
      <c r="AR296" s="19">
        <f t="shared" si="296"/>
        <v>45796.4375</v>
      </c>
      <c r="AS296" s="19">
        <f t="shared" si="296"/>
        <v>45796.45833</v>
      </c>
      <c r="AT296" s="19">
        <f t="shared" si="296"/>
        <v>45796.47917</v>
      </c>
      <c r="AU296" s="19">
        <f t="shared" si="296"/>
        <v>45796.5</v>
      </c>
      <c r="AV296" s="19">
        <f t="shared" si="296"/>
        <v>45796.52083</v>
      </c>
      <c r="AW296" s="19">
        <f t="shared" si="296"/>
        <v>45796.54167</v>
      </c>
      <c r="AX296" s="19">
        <f t="shared" si="296"/>
        <v>45796.5625</v>
      </c>
      <c r="AY296" s="19">
        <f t="shared" si="296"/>
        <v>45796.58333</v>
      </c>
      <c r="AZ296" s="19">
        <f t="shared" si="296"/>
        <v>45796.60417</v>
      </c>
      <c r="BA296" s="19">
        <f t="shared" si="296"/>
        <v>45796.625</v>
      </c>
      <c r="BB296" s="19">
        <f t="shared" si="296"/>
        <v>45796.64583</v>
      </c>
      <c r="BC296" s="19">
        <f t="shared" si="296"/>
        <v>45796.66667</v>
      </c>
      <c r="BD296" s="19">
        <f t="shared" si="296"/>
        <v>45796.6875</v>
      </c>
      <c r="BE296" s="19">
        <f t="shared" si="296"/>
        <v>45796.70833</v>
      </c>
      <c r="BF296" s="19">
        <f t="shared" si="296"/>
        <v>45796.72917</v>
      </c>
      <c r="BG296" s="19">
        <f t="shared" si="296"/>
        <v>45796.75</v>
      </c>
      <c r="BH296" s="19">
        <f t="shared" si="296"/>
        <v>45796.77083</v>
      </c>
      <c r="BI296" s="19">
        <f t="shared" si="296"/>
        <v>45796.79167</v>
      </c>
      <c r="BJ296" s="19">
        <f t="shared" si="296"/>
        <v>45796.8125</v>
      </c>
      <c r="BK296" s="19">
        <f t="shared" si="296"/>
        <v>45796.83333</v>
      </c>
      <c r="BL296" s="19">
        <f t="shared" si="296"/>
        <v>45796.85417</v>
      </c>
      <c r="BM296" s="19">
        <f t="shared" si="296"/>
        <v>45796.875</v>
      </c>
      <c r="BN296" s="19">
        <f t="shared" si="296"/>
        <v>45796.89583</v>
      </c>
      <c r="BO296" s="19">
        <f t="shared" si="296"/>
        <v>45796.91667</v>
      </c>
      <c r="BP296" s="19">
        <f t="shared" si="296"/>
        <v>45796.9375</v>
      </c>
      <c r="BQ296" s="19">
        <f t="shared" si="296"/>
        <v>45796.95833</v>
      </c>
      <c r="BR296" s="19">
        <f t="shared" si="296"/>
        <v>45796.97917</v>
      </c>
      <c r="BS296" s="19">
        <f t="shared" si="296"/>
        <v>45797</v>
      </c>
      <c r="BT296" s="19">
        <f t="shared" si="296"/>
        <v>45797.02083</v>
      </c>
      <c r="BU296" s="19">
        <f t="shared" si="296"/>
        <v>45797.04167</v>
      </c>
      <c r="BV296" s="19">
        <f t="shared" si="296"/>
        <v>45797.0625</v>
      </c>
      <c r="BW296" s="19">
        <f t="shared" si="296"/>
        <v>45797.08333</v>
      </c>
      <c r="BX296" s="19">
        <f t="shared" si="296"/>
        <v>45796</v>
      </c>
      <c r="BY296" s="19">
        <f t="shared" si="296"/>
        <v>45796</v>
      </c>
      <c r="BZ296" s="19">
        <f t="shared" si="296"/>
        <v>45796</v>
      </c>
    </row>
    <row r="297" ht="14.25" customHeight="1">
      <c r="A297" s="17">
        <v>45797.0</v>
      </c>
      <c r="B297" s="2" t="str">
        <f t="array" ref="B297">IF(NOW()&gt;AM297,"",IF(AND((WEEKDAY($A297)+$B$2)&gt;1,((WEEKDAY($A297)+$T$2)&lt;7),(WEEKDAY($A297)&lt;&gt;1)),"work",(INDEX(Subject!$A:$I,MATCH(RANDBETWEEN(1,(MAX(Subject!$B:$B))),Subject!$B:$B,0),3))))</f>
        <v/>
      </c>
      <c r="C297" s="2" t="str">
        <f t="array" ref="C297">IF(NOW()&gt;AN297,"",IF(AND((WEEKDAY($A297)+$B$2)&gt;1,((WEEKDAY($A297)+$T$2)&lt;7),(WEEKDAY($A297)&lt;&gt;1)),"work",(INDEX(Subject!$A:$I,MATCH(RANDBETWEEN(1,(MAX(Subject!$B:$B))),Subject!$B:$B,0),3))))</f>
        <v/>
      </c>
      <c r="D297" s="2" t="str">
        <f t="array" ref="D297">IF(NOW()&gt;AO297,"",IF(AND((WEEKDAY($A297)+$B$2)&gt;1,((WEEKDAY($A297)+$T$2)&lt;7),(WEEKDAY($A297)&lt;&gt;1)),"work",(INDEX(Subject!$A:$I,MATCH(RANDBETWEEN(1,(MAX(Subject!$B:$B))),Subject!$B:$B,0),3))))</f>
        <v/>
      </c>
      <c r="E297" s="2" t="str">
        <f t="array" ref="E297">IF(NOW()&gt;AP297,"",IF(AND((WEEKDAY($A297)+$B$2)&gt;1,((WEEKDAY($A297)+$T$2)&lt;7),(WEEKDAY($A297)&lt;&gt;1)),"work",(INDEX(Subject!$A:$I,MATCH(RANDBETWEEN(1,(MAX(Subject!$B:$B))),Subject!$B:$B,0),3))))</f>
        <v/>
      </c>
      <c r="F297" s="2" t="str">
        <f t="array" ref="F297">IF(NOW()&gt;AQ297,"",IF(AND((WEEKDAY($A297)+$B$2)&gt;1,((WEEKDAY($A297)+$T$2)&lt;7),(WEEKDAY($A297)&lt;&gt;1)),"work",(INDEX(Subject!$A:$I,MATCH(RANDBETWEEN(1,(MAX(Subject!$B:$B))),Subject!$B:$B,0),3))))</f>
        <v/>
      </c>
      <c r="G297" s="2" t="str">
        <f t="array" ref="G297">IF(NOW()&gt;AR297,"",IF(AND((WEEKDAY($A297)+$B$2)&gt;1,((WEEKDAY($A297)+$T$2)&lt;7),(WEEKDAY($A297)&lt;&gt;1)),"work",(INDEX(Subject!$A:$I,MATCH(RANDBETWEEN(1,(MAX(Subject!$B:$B))),Subject!$B:$B,0),3))))</f>
        <v/>
      </c>
      <c r="H297" s="2" t="str">
        <f t="array" ref="H297">IF(NOW()&gt;AS297,"",IF(AND((WEEKDAY($A297)+$B$2)&gt;1,((WEEKDAY($A297)+$T$2)&lt;7),(WEEKDAY($A297)&lt;&gt;1)),"work",(INDEX(Subject!$A:$I,MATCH(RANDBETWEEN(1,(MAX(Subject!$B:$B))),Subject!$B:$B,0),3))))</f>
        <v/>
      </c>
      <c r="I297" s="2" t="str">
        <f t="array" ref="I297">IF(NOW()&gt;AT297,"",IF(AND((WEEKDAY($A297)+$B$2)&gt;1,((WEEKDAY($A297)+$T$2)&lt;7),(WEEKDAY($A297)&lt;&gt;1)),"work",(INDEX(Subject!$A:$I,MATCH(RANDBETWEEN(1,(MAX(Subject!$B:$B))),Subject!$B:$B,0),3))))</f>
        <v/>
      </c>
      <c r="J297" s="2" t="str">
        <f t="array" ref="J297">IF(NOW()&gt;AU297,"",IF(AND((WEEKDAY($A297)+$B$2)&gt;1,((WEEKDAY($A297)+$T$2)&lt;7),(WEEKDAY($A297)&lt;&gt;1)),"work",(INDEX(Subject!$A:$I,MATCH(RANDBETWEEN(1,(MAX(Subject!$B:$B))),Subject!$B:$B,0),3))))</f>
        <v/>
      </c>
      <c r="K297" s="2" t="str">
        <f t="array" ref="K297">IF(NOW()&gt;AV297,"",IF(AND((WEEKDAY($A297)+$B$2)&gt;1,((WEEKDAY($A297)+$T$2)&lt;7),(WEEKDAY($A297)&lt;&gt;1)),"work",(INDEX(Subject!$A:$I,MATCH(RANDBETWEEN(1,(MAX(Subject!$B:$B))),Subject!$B:$B,0),3))))</f>
        <v/>
      </c>
      <c r="L297" s="2" t="str">
        <f t="array" ref="L297">IF(NOW()&gt;AW297,"",IF(AND((WEEKDAY($A297)+$B$2)&gt;1,((WEEKDAY($A297)+$T$2)&lt;7),(WEEKDAY($A297)&lt;&gt;1)),"work",(INDEX(Subject!$A:$I,MATCH(RANDBETWEEN(1,(MAX(Subject!$B:$B))),Subject!$B:$B,0),3))))</f>
        <v/>
      </c>
      <c r="M297" s="2" t="str">
        <f t="array" ref="M297">IF(NOW()&gt;AX297,"",IF(AND((WEEKDAY($A297)+$B$2)&gt;1,((WEEKDAY($A297)+$T$2)&lt;7),(WEEKDAY($A297)&lt;&gt;1)),"work",(INDEX(Subject!$A:$I,MATCH(RANDBETWEEN(1,(MAX(Subject!$B:$B))),Subject!$B:$B,0),3))))</f>
        <v/>
      </c>
      <c r="N297" s="2" t="str">
        <f t="array" ref="N297">IF(NOW()&gt;AY297,"",IF(AND((WEEKDAY($A297)+$B$2)&gt;1,((WEEKDAY($A297)+$T$2)&lt;7),(WEEKDAY($A297)&lt;&gt;1)),"work",(INDEX(Subject!$A:$I,MATCH(RANDBETWEEN(1,(MAX(Subject!$B:$B))),Subject!$B:$B,0),3))))</f>
        <v/>
      </c>
      <c r="O297" s="2" t="str">
        <f t="array" ref="O297">IF(NOW()&gt;AZ297,"",IF(AND((WEEKDAY($A297)+$B$2)&gt;1,((WEEKDAY($A297)+$T$2)&lt;7),(WEEKDAY($A297)&lt;&gt;1)),"work",(INDEX(Subject!$A:$I,MATCH(RANDBETWEEN(1,(MAX(Subject!$B:$B))),Subject!$B:$B,0),3))))</f>
        <v/>
      </c>
      <c r="P297" s="2" t="str">
        <f t="array" ref="P297">IF(NOW()&gt;BA297,"",IF(AND((WEEKDAY($A297)+$B$2)&gt;1,((WEEKDAY($A297)+$T$2)&lt;7),(WEEKDAY($A297)&lt;&gt;1)),"work",(INDEX(Subject!$A:$I,MATCH(RANDBETWEEN(1,(MAX(Subject!$B:$B))),Subject!$B:$B,0),3))))</f>
        <v/>
      </c>
      <c r="Q297" s="2" t="str">
        <f t="array" ref="Q297">IF(NOW()&gt;BB297,"",IF(AND((WEEKDAY($A297)+$B$2)&gt;1,((WEEKDAY($A297)+$T$2)&lt;7),(WEEKDAY($A297)&lt;&gt;1)),"work",(INDEX(Subject!$A:$I,MATCH(RANDBETWEEN(1,(MAX(Subject!$B:$B))),Subject!$B:$B,0),3))))</f>
        <v/>
      </c>
      <c r="R297" s="2" t="str">
        <f t="array" ref="R297">IF(NOW()&gt;BC297,"",IF(AND((WEEKDAY($A297)+$B$2)&gt;1,((WEEKDAY($A297)+$T$2)&lt;7),(WEEKDAY($A297)&lt;&gt;1)),"work",(INDEX(Subject!$A:$I,MATCH(RANDBETWEEN(1,(MAX(Subject!$B:$B))),Subject!$B:$B,0),3))))</f>
        <v/>
      </c>
      <c r="S297" s="2" t="str">
        <f t="array" ref="S297">IF(NOW()&gt;BD297,"",IF(AND((WEEKDAY($A297)+$B$2)&gt;1,((WEEKDAY($A297)+$T$2)&lt;7),(WEEKDAY($A297)&lt;&gt;1)),"work",(INDEX(Subject!$A:$I,MATCH(RANDBETWEEN(1,(MAX(Subject!$B:$B))),Subject!$B:$B,0),3))))</f>
        <v/>
      </c>
      <c r="T297" s="2" t="str">
        <f t="array" ref="T297">IF(NOW()&gt;BE297,"",IF(AND((WEEKDAY($A297)+$B$2)&gt;1,((WEEKDAY($A297)+$T$2)&lt;7),(WEEKDAY($A297)&lt;&gt;1)),"work",(INDEX(Subject!$A:$I,MATCH(RANDBETWEEN(1,(MAX(Subject!$B:$B))),Subject!$B:$B,0),3))))</f>
        <v/>
      </c>
      <c r="U297" s="8" t="str">
        <f t="array" ref="U297">INDEX(Subject!$A:$I,MATCH(RANDBETWEEN(1,16),Subject!$B:$B,0),3)</f>
        <v>#N/A</v>
      </c>
      <c r="V297" s="8" t="str">
        <f t="array" ref="V297">INDEX(Subject!$A:$I,MATCH(RANDBETWEEN(1,16),Subject!$B:$B,0),3)</f>
        <v>#N/A</v>
      </c>
      <c r="W297" s="8" t="str">
        <f t="array" ref="W297">INDEX(Subject!$A:$I,MATCH(RANDBETWEEN(1,16),Subject!$B:$B,0),3)</f>
        <v>#N/A</v>
      </c>
      <c r="X297" s="8" t="str">
        <f t="array" ref="X297">INDEX(Subject!$A:$I,MATCH(RANDBETWEEN(1,16),Subject!$B:$B,0),3)</f>
        <v>#N/A</v>
      </c>
      <c r="Y297" s="8" t="str">
        <f t="array" ref="Y297">INDEX(Subject!$A:$I,MATCH(RANDBETWEEN(1,16),Subject!$B:$B,0),3)</f>
        <v>#N/A</v>
      </c>
      <c r="Z297" s="8" t="str">
        <f t="array" ref="Z297">INDEX(Subject!$A:$I,MATCH(RANDBETWEEN(1,16),Subject!$B:$B,0),3)</f>
        <v>#N/A</v>
      </c>
      <c r="AA297" s="8" t="str">
        <f t="array" ref="AA297">INDEX(Subject!$A:$I,MATCH(RANDBETWEEN(1,16),Subject!$B:$B,0),3)</f>
        <v>#N/A</v>
      </c>
      <c r="AB297" s="8" t="str">
        <f t="array" ref="AB297">INDEX(Subject!$A:$I,MATCH(RANDBETWEEN(1,16),Subject!$B:$B,0),3)</f>
        <v>#N/A</v>
      </c>
      <c r="AC297" s="8" t="str">
        <f t="array" ref="AC297">INDEX(Subject!$A:$I,MATCH(RANDBETWEEN(1,16),Subject!$B:$B,0),3)</f>
        <v>#N/A</v>
      </c>
      <c r="AD297" s="8" t="str">
        <f t="array" ref="AD297">INDEX(Subject!$A:$I,MATCH(RANDBETWEEN(1,16),Subject!$B:$B,0),3)</f>
        <v>#N/A</v>
      </c>
      <c r="AE297" s="8" t="str">
        <f t="array" ref="AE297">INDEX(Subject!$A:$I,MATCH(RANDBETWEEN(1,16),Subject!$B:$B,0),3)</f>
        <v>#N/A</v>
      </c>
      <c r="AF297" s="8" t="str">
        <f t="array" ref="AF297">INDEX(Subject!$A:$I,MATCH(RANDBETWEEN(1,16),Subject!$B:$B,0),3)</f>
        <v>#N/A</v>
      </c>
      <c r="AG297" s="8" t="str">
        <f t="array" ref="AG297">INDEX(Subject!$A:$I,MATCH(RANDBETWEEN(1,16),Subject!$B:$B,0),3)</f>
        <v>#N/A</v>
      </c>
      <c r="AH297" s="8" t="str">
        <f t="array" ref="AH297">INDEX(Subject!$A:$I,MATCH(RANDBETWEEN(1,16),Subject!$B:$B,0),3)</f>
        <v>#N/A</v>
      </c>
      <c r="AI297" s="8" t="str">
        <f t="array" ref="AI297">INDEX(Subject!$A:$I,MATCH(RANDBETWEEN(1,16),Subject!$B:$B,0),3)</f>
        <v>#N/A</v>
      </c>
      <c r="AJ297" s="8" t="str">
        <f t="array" ref="AJ297">INDEX(Subject!$A:$I,MATCH(RANDBETWEEN(1,16),Subject!$B:$B,0),3)</f>
        <v>#N/A</v>
      </c>
      <c r="AK297" s="8" t="str">
        <f t="array" ref="AK297">INDEX(Subject!$A:$I,MATCH(RANDBETWEEN(1,16),Subject!$B:$B,0),3)</f>
        <v>#N/A</v>
      </c>
      <c r="AL297" s="8" t="str">
        <f t="array" ref="AL297">INDEX(Subject!$A:$I,MATCH(RANDBETWEEN(1,16),Subject!$B:$B,0),3)</f>
        <v>#N/A</v>
      </c>
      <c r="AM297" s="18">
        <f t="shared" si="4"/>
        <v>45797.33333</v>
      </c>
      <c r="AN297" s="19">
        <f t="shared" ref="AN297:BZ297" si="297">$A297+C$1</f>
        <v>45797.35417</v>
      </c>
      <c r="AO297" s="19">
        <f t="shared" si="297"/>
        <v>45797.375</v>
      </c>
      <c r="AP297" s="19">
        <f t="shared" si="297"/>
        <v>45797.39583</v>
      </c>
      <c r="AQ297" s="19">
        <f t="shared" si="297"/>
        <v>45797.41667</v>
      </c>
      <c r="AR297" s="19">
        <f t="shared" si="297"/>
        <v>45797.4375</v>
      </c>
      <c r="AS297" s="19">
        <f t="shared" si="297"/>
        <v>45797.45833</v>
      </c>
      <c r="AT297" s="19">
        <f t="shared" si="297"/>
        <v>45797.47917</v>
      </c>
      <c r="AU297" s="19">
        <f t="shared" si="297"/>
        <v>45797.5</v>
      </c>
      <c r="AV297" s="19">
        <f t="shared" si="297"/>
        <v>45797.52083</v>
      </c>
      <c r="AW297" s="19">
        <f t="shared" si="297"/>
        <v>45797.54167</v>
      </c>
      <c r="AX297" s="19">
        <f t="shared" si="297"/>
        <v>45797.5625</v>
      </c>
      <c r="AY297" s="19">
        <f t="shared" si="297"/>
        <v>45797.58333</v>
      </c>
      <c r="AZ297" s="19">
        <f t="shared" si="297"/>
        <v>45797.60417</v>
      </c>
      <c r="BA297" s="19">
        <f t="shared" si="297"/>
        <v>45797.625</v>
      </c>
      <c r="BB297" s="19">
        <f t="shared" si="297"/>
        <v>45797.64583</v>
      </c>
      <c r="BC297" s="19">
        <f t="shared" si="297"/>
        <v>45797.66667</v>
      </c>
      <c r="BD297" s="19">
        <f t="shared" si="297"/>
        <v>45797.6875</v>
      </c>
      <c r="BE297" s="19">
        <f t="shared" si="297"/>
        <v>45797.70833</v>
      </c>
      <c r="BF297" s="19">
        <f t="shared" si="297"/>
        <v>45797.72917</v>
      </c>
      <c r="BG297" s="19">
        <f t="shared" si="297"/>
        <v>45797.75</v>
      </c>
      <c r="BH297" s="19">
        <f t="shared" si="297"/>
        <v>45797.77083</v>
      </c>
      <c r="BI297" s="19">
        <f t="shared" si="297"/>
        <v>45797.79167</v>
      </c>
      <c r="BJ297" s="19">
        <f t="shared" si="297"/>
        <v>45797.8125</v>
      </c>
      <c r="BK297" s="19">
        <f t="shared" si="297"/>
        <v>45797.83333</v>
      </c>
      <c r="BL297" s="19">
        <f t="shared" si="297"/>
        <v>45797.85417</v>
      </c>
      <c r="BM297" s="19">
        <f t="shared" si="297"/>
        <v>45797.875</v>
      </c>
      <c r="BN297" s="19">
        <f t="shared" si="297"/>
        <v>45797.89583</v>
      </c>
      <c r="BO297" s="19">
        <f t="shared" si="297"/>
        <v>45797.91667</v>
      </c>
      <c r="BP297" s="19">
        <f t="shared" si="297"/>
        <v>45797.9375</v>
      </c>
      <c r="BQ297" s="19">
        <f t="shared" si="297"/>
        <v>45797.95833</v>
      </c>
      <c r="BR297" s="19">
        <f t="shared" si="297"/>
        <v>45797.97917</v>
      </c>
      <c r="BS297" s="19">
        <f t="shared" si="297"/>
        <v>45798</v>
      </c>
      <c r="BT297" s="19">
        <f t="shared" si="297"/>
        <v>45798.02083</v>
      </c>
      <c r="BU297" s="19">
        <f t="shared" si="297"/>
        <v>45798.04167</v>
      </c>
      <c r="BV297" s="19">
        <f t="shared" si="297"/>
        <v>45798.0625</v>
      </c>
      <c r="BW297" s="19">
        <f t="shared" si="297"/>
        <v>45798.08333</v>
      </c>
      <c r="BX297" s="19">
        <f t="shared" si="297"/>
        <v>45797</v>
      </c>
      <c r="BY297" s="19">
        <f t="shared" si="297"/>
        <v>45797</v>
      </c>
      <c r="BZ297" s="19">
        <f t="shared" si="297"/>
        <v>45797</v>
      </c>
    </row>
    <row r="298" ht="14.25" customHeight="1">
      <c r="A298" s="17">
        <v>45798.0</v>
      </c>
      <c r="B298" s="2" t="str">
        <f t="array" ref="B298">IF(NOW()&gt;AM298,"",IF(AND((WEEKDAY($A298)+$B$2)&gt;1,((WEEKDAY($A298)+$T$2)&lt;7),(WEEKDAY($A298)&lt;&gt;1)),"work",(INDEX(Subject!$A:$I,MATCH(RANDBETWEEN(1,(MAX(Subject!$B:$B))),Subject!$B:$B,0),3))))</f>
        <v/>
      </c>
      <c r="C298" s="2" t="str">
        <f t="array" ref="C298">IF(NOW()&gt;AN298,"",IF(AND((WEEKDAY($A298)+$B$2)&gt;1,((WEEKDAY($A298)+$T$2)&lt;7),(WEEKDAY($A298)&lt;&gt;1)),"work",(INDEX(Subject!$A:$I,MATCH(RANDBETWEEN(1,(MAX(Subject!$B:$B))),Subject!$B:$B,0),3))))</f>
        <v/>
      </c>
      <c r="D298" s="2" t="str">
        <f t="array" ref="D298">IF(NOW()&gt;AO298,"",IF(AND((WEEKDAY($A298)+$B$2)&gt;1,((WEEKDAY($A298)+$T$2)&lt;7),(WEEKDAY($A298)&lt;&gt;1)),"work",(INDEX(Subject!$A:$I,MATCH(RANDBETWEEN(1,(MAX(Subject!$B:$B))),Subject!$B:$B,0),3))))</f>
        <v/>
      </c>
      <c r="E298" s="2" t="str">
        <f t="array" ref="E298">IF(NOW()&gt;AP298,"",IF(AND((WEEKDAY($A298)+$B$2)&gt;1,((WEEKDAY($A298)+$T$2)&lt;7),(WEEKDAY($A298)&lt;&gt;1)),"work",(INDEX(Subject!$A:$I,MATCH(RANDBETWEEN(1,(MAX(Subject!$B:$B))),Subject!$B:$B,0),3))))</f>
        <v/>
      </c>
      <c r="F298" s="2" t="str">
        <f t="array" ref="F298">IF(NOW()&gt;AQ298,"",IF(AND((WEEKDAY($A298)+$B$2)&gt;1,((WEEKDAY($A298)+$T$2)&lt;7),(WEEKDAY($A298)&lt;&gt;1)),"work",(INDEX(Subject!$A:$I,MATCH(RANDBETWEEN(1,(MAX(Subject!$B:$B))),Subject!$B:$B,0),3))))</f>
        <v/>
      </c>
      <c r="G298" s="2" t="str">
        <f t="array" ref="G298">IF(NOW()&gt;AR298,"",IF(AND((WEEKDAY($A298)+$B$2)&gt;1,((WEEKDAY($A298)+$T$2)&lt;7),(WEEKDAY($A298)&lt;&gt;1)),"work",(INDEX(Subject!$A:$I,MATCH(RANDBETWEEN(1,(MAX(Subject!$B:$B))),Subject!$B:$B,0),3))))</f>
        <v/>
      </c>
      <c r="H298" s="2" t="str">
        <f t="array" ref="H298">IF(NOW()&gt;AS298,"",IF(AND((WEEKDAY($A298)+$B$2)&gt;1,((WEEKDAY($A298)+$T$2)&lt;7),(WEEKDAY($A298)&lt;&gt;1)),"work",(INDEX(Subject!$A:$I,MATCH(RANDBETWEEN(1,(MAX(Subject!$B:$B))),Subject!$B:$B,0),3))))</f>
        <v/>
      </c>
      <c r="I298" s="2" t="str">
        <f t="array" ref="I298">IF(NOW()&gt;AT298,"",IF(AND((WEEKDAY($A298)+$B$2)&gt;1,((WEEKDAY($A298)+$T$2)&lt;7),(WEEKDAY($A298)&lt;&gt;1)),"work",(INDEX(Subject!$A:$I,MATCH(RANDBETWEEN(1,(MAX(Subject!$B:$B))),Subject!$B:$B,0),3))))</f>
        <v/>
      </c>
      <c r="J298" s="2" t="str">
        <f t="array" ref="J298">IF(NOW()&gt;AU298,"",IF(AND((WEEKDAY($A298)+$B$2)&gt;1,((WEEKDAY($A298)+$T$2)&lt;7),(WEEKDAY($A298)&lt;&gt;1)),"work",(INDEX(Subject!$A:$I,MATCH(RANDBETWEEN(1,(MAX(Subject!$B:$B))),Subject!$B:$B,0),3))))</f>
        <v/>
      </c>
      <c r="K298" s="2" t="str">
        <f t="array" ref="K298">IF(NOW()&gt;AV298,"",IF(AND((WEEKDAY($A298)+$B$2)&gt;1,((WEEKDAY($A298)+$T$2)&lt;7),(WEEKDAY($A298)&lt;&gt;1)),"work",(INDEX(Subject!$A:$I,MATCH(RANDBETWEEN(1,(MAX(Subject!$B:$B))),Subject!$B:$B,0),3))))</f>
        <v/>
      </c>
      <c r="L298" s="2" t="str">
        <f t="array" ref="L298">IF(NOW()&gt;AW298,"",IF(AND((WEEKDAY($A298)+$B$2)&gt;1,((WEEKDAY($A298)+$T$2)&lt;7),(WEEKDAY($A298)&lt;&gt;1)),"work",(INDEX(Subject!$A:$I,MATCH(RANDBETWEEN(1,(MAX(Subject!$B:$B))),Subject!$B:$B,0),3))))</f>
        <v/>
      </c>
      <c r="M298" s="2" t="str">
        <f t="array" ref="M298">IF(NOW()&gt;AX298,"",IF(AND((WEEKDAY($A298)+$B$2)&gt;1,((WEEKDAY($A298)+$T$2)&lt;7),(WEEKDAY($A298)&lt;&gt;1)),"work",(INDEX(Subject!$A:$I,MATCH(RANDBETWEEN(1,(MAX(Subject!$B:$B))),Subject!$B:$B,0),3))))</f>
        <v/>
      </c>
      <c r="N298" s="2" t="str">
        <f t="array" ref="N298">IF(NOW()&gt;AY298,"",IF(AND((WEEKDAY($A298)+$B$2)&gt;1,((WEEKDAY($A298)+$T$2)&lt;7),(WEEKDAY($A298)&lt;&gt;1)),"work",(INDEX(Subject!$A:$I,MATCH(RANDBETWEEN(1,(MAX(Subject!$B:$B))),Subject!$B:$B,0),3))))</f>
        <v/>
      </c>
      <c r="O298" s="2" t="str">
        <f t="array" ref="O298">IF(NOW()&gt;AZ298,"",IF(AND((WEEKDAY($A298)+$B$2)&gt;1,((WEEKDAY($A298)+$T$2)&lt;7),(WEEKDAY($A298)&lt;&gt;1)),"work",(INDEX(Subject!$A:$I,MATCH(RANDBETWEEN(1,(MAX(Subject!$B:$B))),Subject!$B:$B,0),3))))</f>
        <v/>
      </c>
      <c r="P298" s="2" t="str">
        <f t="array" ref="P298">IF(NOW()&gt;BA298,"",IF(AND((WEEKDAY($A298)+$B$2)&gt;1,((WEEKDAY($A298)+$T$2)&lt;7),(WEEKDAY($A298)&lt;&gt;1)),"work",(INDEX(Subject!$A:$I,MATCH(RANDBETWEEN(1,(MAX(Subject!$B:$B))),Subject!$B:$B,0),3))))</f>
        <v/>
      </c>
      <c r="Q298" s="2" t="str">
        <f t="array" ref="Q298">IF(NOW()&gt;BB298,"",IF(AND((WEEKDAY($A298)+$B$2)&gt;1,((WEEKDAY($A298)+$T$2)&lt;7),(WEEKDAY($A298)&lt;&gt;1)),"work",(INDEX(Subject!$A:$I,MATCH(RANDBETWEEN(1,(MAX(Subject!$B:$B))),Subject!$B:$B,0),3))))</f>
        <v/>
      </c>
      <c r="R298" s="2" t="str">
        <f t="array" ref="R298">IF(NOW()&gt;BC298,"",IF(AND((WEEKDAY($A298)+$B$2)&gt;1,((WEEKDAY($A298)+$T$2)&lt;7),(WEEKDAY($A298)&lt;&gt;1)),"work",(INDEX(Subject!$A:$I,MATCH(RANDBETWEEN(1,(MAX(Subject!$B:$B))),Subject!$B:$B,0),3))))</f>
        <v/>
      </c>
      <c r="S298" s="2" t="str">
        <f t="array" ref="S298">IF(NOW()&gt;BD298,"",IF(AND((WEEKDAY($A298)+$B$2)&gt;1,((WEEKDAY($A298)+$T$2)&lt;7),(WEEKDAY($A298)&lt;&gt;1)),"work",(INDEX(Subject!$A:$I,MATCH(RANDBETWEEN(1,(MAX(Subject!$B:$B))),Subject!$B:$B,0),3))))</f>
        <v/>
      </c>
      <c r="T298" s="2" t="str">
        <f t="array" ref="T298">IF(NOW()&gt;BE298,"",IF(AND((WEEKDAY($A298)+$B$2)&gt;1,((WEEKDAY($A298)+$T$2)&lt;7),(WEEKDAY($A298)&lt;&gt;1)),"work",(INDEX(Subject!$A:$I,MATCH(RANDBETWEEN(1,(MAX(Subject!$B:$B))),Subject!$B:$B,0),3))))</f>
        <v/>
      </c>
      <c r="U298" s="8" t="str">
        <f t="array" ref="U298">INDEX(Subject!$A:$I,MATCH(RANDBETWEEN(1,16),Subject!$B:$B,0),3)</f>
        <v>#N/A</v>
      </c>
      <c r="V298" s="8" t="str">
        <f t="array" ref="V298">INDEX(Subject!$A:$I,MATCH(RANDBETWEEN(1,16),Subject!$B:$B,0),3)</f>
        <v>#N/A</v>
      </c>
      <c r="W298" s="8" t="str">
        <f t="array" ref="W298">INDEX(Subject!$A:$I,MATCH(RANDBETWEEN(1,16),Subject!$B:$B,0),3)</f>
        <v>#N/A</v>
      </c>
      <c r="X298" s="8" t="str">
        <f t="array" ref="X298">INDEX(Subject!$A:$I,MATCH(RANDBETWEEN(1,16),Subject!$B:$B,0),3)</f>
        <v>#N/A</v>
      </c>
      <c r="Y298" s="8" t="str">
        <f t="array" ref="Y298">INDEX(Subject!$A:$I,MATCH(RANDBETWEEN(1,16),Subject!$B:$B,0),3)</f>
        <v>#N/A</v>
      </c>
      <c r="Z298" s="8" t="str">
        <f t="array" ref="Z298">INDEX(Subject!$A:$I,MATCH(RANDBETWEEN(1,16),Subject!$B:$B,0),3)</f>
        <v>#N/A</v>
      </c>
      <c r="AA298" s="8" t="str">
        <f t="array" ref="AA298">INDEX(Subject!$A:$I,MATCH(RANDBETWEEN(1,16),Subject!$B:$B,0),3)</f>
        <v>#N/A</v>
      </c>
      <c r="AB298" s="8" t="str">
        <f t="array" ref="AB298">INDEX(Subject!$A:$I,MATCH(RANDBETWEEN(1,16),Subject!$B:$B,0),3)</f>
        <v>#N/A</v>
      </c>
      <c r="AC298" s="8" t="str">
        <f t="array" ref="AC298">INDEX(Subject!$A:$I,MATCH(RANDBETWEEN(1,16),Subject!$B:$B,0),3)</f>
        <v>#N/A</v>
      </c>
      <c r="AD298" s="8" t="str">
        <f t="array" ref="AD298">INDEX(Subject!$A:$I,MATCH(RANDBETWEEN(1,16),Subject!$B:$B,0),3)</f>
        <v>#N/A</v>
      </c>
      <c r="AE298" s="8" t="str">
        <f t="array" ref="AE298">INDEX(Subject!$A:$I,MATCH(RANDBETWEEN(1,16),Subject!$B:$B,0),3)</f>
        <v>#N/A</v>
      </c>
      <c r="AF298" s="8" t="str">
        <f t="array" ref="AF298">INDEX(Subject!$A:$I,MATCH(RANDBETWEEN(1,16),Subject!$B:$B,0),3)</f>
        <v>#N/A</v>
      </c>
      <c r="AG298" s="8" t="str">
        <f t="array" ref="AG298">INDEX(Subject!$A:$I,MATCH(RANDBETWEEN(1,16),Subject!$B:$B,0),3)</f>
        <v>#N/A</v>
      </c>
      <c r="AH298" s="8" t="str">
        <f t="array" ref="AH298">INDEX(Subject!$A:$I,MATCH(RANDBETWEEN(1,16),Subject!$B:$B,0),3)</f>
        <v>#N/A</v>
      </c>
      <c r="AI298" s="8" t="str">
        <f t="array" ref="AI298">INDEX(Subject!$A:$I,MATCH(RANDBETWEEN(1,16),Subject!$B:$B,0),3)</f>
        <v>#N/A</v>
      </c>
      <c r="AJ298" s="8" t="str">
        <f t="array" ref="AJ298">INDEX(Subject!$A:$I,MATCH(RANDBETWEEN(1,16),Subject!$B:$B,0),3)</f>
        <v>#N/A</v>
      </c>
      <c r="AK298" s="8" t="str">
        <f t="array" ref="AK298">INDEX(Subject!$A:$I,MATCH(RANDBETWEEN(1,16),Subject!$B:$B,0),3)</f>
        <v>#N/A</v>
      </c>
      <c r="AL298" s="8" t="str">
        <f t="array" ref="AL298">INDEX(Subject!$A:$I,MATCH(RANDBETWEEN(1,16),Subject!$B:$B,0),3)</f>
        <v>#N/A</v>
      </c>
      <c r="AM298" s="18">
        <f t="shared" si="4"/>
        <v>45798.33333</v>
      </c>
      <c r="AN298" s="19">
        <f t="shared" ref="AN298:BZ298" si="298">$A298+C$1</f>
        <v>45798.35417</v>
      </c>
      <c r="AO298" s="19">
        <f t="shared" si="298"/>
        <v>45798.375</v>
      </c>
      <c r="AP298" s="19">
        <f t="shared" si="298"/>
        <v>45798.39583</v>
      </c>
      <c r="AQ298" s="19">
        <f t="shared" si="298"/>
        <v>45798.41667</v>
      </c>
      <c r="AR298" s="19">
        <f t="shared" si="298"/>
        <v>45798.4375</v>
      </c>
      <c r="AS298" s="19">
        <f t="shared" si="298"/>
        <v>45798.45833</v>
      </c>
      <c r="AT298" s="19">
        <f t="shared" si="298"/>
        <v>45798.47917</v>
      </c>
      <c r="AU298" s="19">
        <f t="shared" si="298"/>
        <v>45798.5</v>
      </c>
      <c r="AV298" s="19">
        <f t="shared" si="298"/>
        <v>45798.52083</v>
      </c>
      <c r="AW298" s="19">
        <f t="shared" si="298"/>
        <v>45798.54167</v>
      </c>
      <c r="AX298" s="19">
        <f t="shared" si="298"/>
        <v>45798.5625</v>
      </c>
      <c r="AY298" s="19">
        <f t="shared" si="298"/>
        <v>45798.58333</v>
      </c>
      <c r="AZ298" s="19">
        <f t="shared" si="298"/>
        <v>45798.60417</v>
      </c>
      <c r="BA298" s="19">
        <f t="shared" si="298"/>
        <v>45798.625</v>
      </c>
      <c r="BB298" s="19">
        <f t="shared" si="298"/>
        <v>45798.64583</v>
      </c>
      <c r="BC298" s="19">
        <f t="shared" si="298"/>
        <v>45798.66667</v>
      </c>
      <c r="BD298" s="19">
        <f t="shared" si="298"/>
        <v>45798.6875</v>
      </c>
      <c r="BE298" s="19">
        <f t="shared" si="298"/>
        <v>45798.70833</v>
      </c>
      <c r="BF298" s="19">
        <f t="shared" si="298"/>
        <v>45798.72917</v>
      </c>
      <c r="BG298" s="19">
        <f t="shared" si="298"/>
        <v>45798.75</v>
      </c>
      <c r="BH298" s="19">
        <f t="shared" si="298"/>
        <v>45798.77083</v>
      </c>
      <c r="BI298" s="19">
        <f t="shared" si="298"/>
        <v>45798.79167</v>
      </c>
      <c r="BJ298" s="19">
        <f t="shared" si="298"/>
        <v>45798.8125</v>
      </c>
      <c r="BK298" s="19">
        <f t="shared" si="298"/>
        <v>45798.83333</v>
      </c>
      <c r="BL298" s="19">
        <f t="shared" si="298"/>
        <v>45798.85417</v>
      </c>
      <c r="BM298" s="19">
        <f t="shared" si="298"/>
        <v>45798.875</v>
      </c>
      <c r="BN298" s="19">
        <f t="shared" si="298"/>
        <v>45798.89583</v>
      </c>
      <c r="BO298" s="19">
        <f t="shared" si="298"/>
        <v>45798.91667</v>
      </c>
      <c r="BP298" s="19">
        <f t="shared" si="298"/>
        <v>45798.9375</v>
      </c>
      <c r="BQ298" s="19">
        <f t="shared" si="298"/>
        <v>45798.95833</v>
      </c>
      <c r="BR298" s="19">
        <f t="shared" si="298"/>
        <v>45798.97917</v>
      </c>
      <c r="BS298" s="19">
        <f t="shared" si="298"/>
        <v>45799</v>
      </c>
      <c r="BT298" s="19">
        <f t="shared" si="298"/>
        <v>45799.02083</v>
      </c>
      <c r="BU298" s="19">
        <f t="shared" si="298"/>
        <v>45799.04167</v>
      </c>
      <c r="BV298" s="19">
        <f t="shared" si="298"/>
        <v>45799.0625</v>
      </c>
      <c r="BW298" s="19">
        <f t="shared" si="298"/>
        <v>45799.08333</v>
      </c>
      <c r="BX298" s="19">
        <f t="shared" si="298"/>
        <v>45798</v>
      </c>
      <c r="BY298" s="19">
        <f t="shared" si="298"/>
        <v>45798</v>
      </c>
      <c r="BZ298" s="19">
        <f t="shared" si="298"/>
        <v>45798</v>
      </c>
    </row>
    <row r="299" ht="14.25" customHeight="1">
      <c r="A299" s="17">
        <v>45799.0</v>
      </c>
      <c r="B299" s="2" t="str">
        <f t="array" ref="B299">IF(NOW()&gt;AM299,"",IF(AND((WEEKDAY($A299)+$B$2)&gt;1,((WEEKDAY($A299)+$T$2)&lt;7),(WEEKDAY($A299)&lt;&gt;1)),"work",(INDEX(Subject!$A:$I,MATCH(RANDBETWEEN(1,(MAX(Subject!$B:$B))),Subject!$B:$B,0),3))))</f>
        <v/>
      </c>
      <c r="C299" s="2" t="str">
        <f t="array" ref="C299">IF(NOW()&gt;AN299,"",IF(AND((WEEKDAY($A299)+$B$2)&gt;1,((WEEKDAY($A299)+$T$2)&lt;7),(WEEKDAY($A299)&lt;&gt;1)),"work",(INDEX(Subject!$A:$I,MATCH(RANDBETWEEN(1,(MAX(Subject!$B:$B))),Subject!$B:$B,0),3))))</f>
        <v/>
      </c>
      <c r="D299" s="2" t="str">
        <f t="array" ref="D299">IF(NOW()&gt;AO299,"",IF(AND((WEEKDAY($A299)+$B$2)&gt;1,((WEEKDAY($A299)+$T$2)&lt;7),(WEEKDAY($A299)&lt;&gt;1)),"work",(INDEX(Subject!$A:$I,MATCH(RANDBETWEEN(1,(MAX(Subject!$B:$B))),Subject!$B:$B,0),3))))</f>
        <v/>
      </c>
      <c r="E299" s="2" t="str">
        <f t="array" ref="E299">IF(NOW()&gt;AP299,"",IF(AND((WEEKDAY($A299)+$B$2)&gt;1,((WEEKDAY($A299)+$T$2)&lt;7),(WEEKDAY($A299)&lt;&gt;1)),"work",(INDEX(Subject!$A:$I,MATCH(RANDBETWEEN(1,(MAX(Subject!$B:$B))),Subject!$B:$B,0),3))))</f>
        <v/>
      </c>
      <c r="F299" s="2" t="str">
        <f t="array" ref="F299">IF(NOW()&gt;AQ299,"",IF(AND((WEEKDAY($A299)+$B$2)&gt;1,((WEEKDAY($A299)+$T$2)&lt;7),(WEEKDAY($A299)&lt;&gt;1)),"work",(INDEX(Subject!$A:$I,MATCH(RANDBETWEEN(1,(MAX(Subject!$B:$B))),Subject!$B:$B,0),3))))</f>
        <v/>
      </c>
      <c r="G299" s="2" t="str">
        <f t="array" ref="G299">IF(NOW()&gt;AR299,"",IF(AND((WEEKDAY($A299)+$B$2)&gt;1,((WEEKDAY($A299)+$T$2)&lt;7),(WEEKDAY($A299)&lt;&gt;1)),"work",(INDEX(Subject!$A:$I,MATCH(RANDBETWEEN(1,(MAX(Subject!$B:$B))),Subject!$B:$B,0),3))))</f>
        <v/>
      </c>
      <c r="H299" s="2" t="str">
        <f t="array" ref="H299">IF(NOW()&gt;AS299,"",IF(AND((WEEKDAY($A299)+$B$2)&gt;1,((WEEKDAY($A299)+$T$2)&lt;7),(WEEKDAY($A299)&lt;&gt;1)),"work",(INDEX(Subject!$A:$I,MATCH(RANDBETWEEN(1,(MAX(Subject!$B:$B))),Subject!$B:$B,0),3))))</f>
        <v/>
      </c>
      <c r="I299" s="2" t="str">
        <f t="array" ref="I299">IF(NOW()&gt;AT299,"",IF(AND((WEEKDAY($A299)+$B$2)&gt;1,((WEEKDAY($A299)+$T$2)&lt;7),(WEEKDAY($A299)&lt;&gt;1)),"work",(INDEX(Subject!$A:$I,MATCH(RANDBETWEEN(1,(MAX(Subject!$B:$B))),Subject!$B:$B,0),3))))</f>
        <v/>
      </c>
      <c r="J299" s="2" t="str">
        <f t="array" ref="J299">IF(NOW()&gt;AU299,"",IF(AND((WEEKDAY($A299)+$B$2)&gt;1,((WEEKDAY($A299)+$T$2)&lt;7),(WEEKDAY($A299)&lt;&gt;1)),"work",(INDEX(Subject!$A:$I,MATCH(RANDBETWEEN(1,(MAX(Subject!$B:$B))),Subject!$B:$B,0),3))))</f>
        <v/>
      </c>
      <c r="K299" s="2" t="str">
        <f t="array" ref="K299">IF(NOW()&gt;AV299,"",IF(AND((WEEKDAY($A299)+$B$2)&gt;1,((WEEKDAY($A299)+$T$2)&lt;7),(WEEKDAY($A299)&lt;&gt;1)),"work",(INDEX(Subject!$A:$I,MATCH(RANDBETWEEN(1,(MAX(Subject!$B:$B))),Subject!$B:$B,0),3))))</f>
        <v/>
      </c>
      <c r="L299" s="2" t="str">
        <f t="array" ref="L299">IF(NOW()&gt;AW299,"",IF(AND((WEEKDAY($A299)+$B$2)&gt;1,((WEEKDAY($A299)+$T$2)&lt;7),(WEEKDAY($A299)&lt;&gt;1)),"work",(INDEX(Subject!$A:$I,MATCH(RANDBETWEEN(1,(MAX(Subject!$B:$B))),Subject!$B:$B,0),3))))</f>
        <v/>
      </c>
      <c r="M299" s="2" t="str">
        <f t="array" ref="M299">IF(NOW()&gt;AX299,"",IF(AND((WEEKDAY($A299)+$B$2)&gt;1,((WEEKDAY($A299)+$T$2)&lt;7),(WEEKDAY($A299)&lt;&gt;1)),"work",(INDEX(Subject!$A:$I,MATCH(RANDBETWEEN(1,(MAX(Subject!$B:$B))),Subject!$B:$B,0),3))))</f>
        <v/>
      </c>
      <c r="N299" s="2" t="str">
        <f t="array" ref="N299">IF(NOW()&gt;AY299,"",IF(AND((WEEKDAY($A299)+$B$2)&gt;1,((WEEKDAY($A299)+$T$2)&lt;7),(WEEKDAY($A299)&lt;&gt;1)),"work",(INDEX(Subject!$A:$I,MATCH(RANDBETWEEN(1,(MAX(Subject!$B:$B))),Subject!$B:$B,0),3))))</f>
        <v/>
      </c>
      <c r="O299" s="2" t="str">
        <f t="array" ref="O299">IF(NOW()&gt;AZ299,"",IF(AND((WEEKDAY($A299)+$B$2)&gt;1,((WEEKDAY($A299)+$T$2)&lt;7),(WEEKDAY($A299)&lt;&gt;1)),"work",(INDEX(Subject!$A:$I,MATCH(RANDBETWEEN(1,(MAX(Subject!$B:$B))),Subject!$B:$B,0),3))))</f>
        <v/>
      </c>
      <c r="P299" s="2" t="str">
        <f t="array" ref="P299">IF(NOW()&gt;BA299,"",IF(AND((WEEKDAY($A299)+$B$2)&gt;1,((WEEKDAY($A299)+$T$2)&lt;7),(WEEKDAY($A299)&lt;&gt;1)),"work",(INDEX(Subject!$A:$I,MATCH(RANDBETWEEN(1,(MAX(Subject!$B:$B))),Subject!$B:$B,0),3))))</f>
        <v/>
      </c>
      <c r="Q299" s="2" t="str">
        <f t="array" ref="Q299">IF(NOW()&gt;BB299,"",IF(AND((WEEKDAY($A299)+$B$2)&gt;1,((WEEKDAY($A299)+$T$2)&lt;7),(WEEKDAY($A299)&lt;&gt;1)),"work",(INDEX(Subject!$A:$I,MATCH(RANDBETWEEN(1,(MAX(Subject!$B:$B))),Subject!$B:$B,0),3))))</f>
        <v/>
      </c>
      <c r="R299" s="2" t="str">
        <f t="array" ref="R299">IF(NOW()&gt;BC299,"",IF(AND((WEEKDAY($A299)+$B$2)&gt;1,((WEEKDAY($A299)+$T$2)&lt;7),(WEEKDAY($A299)&lt;&gt;1)),"work",(INDEX(Subject!$A:$I,MATCH(RANDBETWEEN(1,(MAX(Subject!$B:$B))),Subject!$B:$B,0),3))))</f>
        <v/>
      </c>
      <c r="S299" s="2" t="str">
        <f t="array" ref="S299">IF(NOW()&gt;BD299,"",IF(AND((WEEKDAY($A299)+$B$2)&gt;1,((WEEKDAY($A299)+$T$2)&lt;7),(WEEKDAY($A299)&lt;&gt;1)),"work",(INDEX(Subject!$A:$I,MATCH(RANDBETWEEN(1,(MAX(Subject!$B:$B))),Subject!$B:$B,0),3))))</f>
        <v/>
      </c>
      <c r="T299" s="2" t="str">
        <f t="array" ref="T299">IF(NOW()&gt;BE299,"",IF(AND((WEEKDAY($A299)+$B$2)&gt;1,((WEEKDAY($A299)+$T$2)&lt;7),(WEEKDAY($A299)&lt;&gt;1)),"work",(INDEX(Subject!$A:$I,MATCH(RANDBETWEEN(1,(MAX(Subject!$B:$B))),Subject!$B:$B,0),3))))</f>
        <v/>
      </c>
      <c r="U299" s="8" t="str">
        <f t="array" ref="U299">INDEX(Subject!$A:$I,MATCH(RANDBETWEEN(1,16),Subject!$B:$B,0),3)</f>
        <v/>
      </c>
      <c r="V299" s="8" t="str">
        <f t="array" ref="V299">INDEX(Subject!$A:$I,MATCH(RANDBETWEEN(1,16),Subject!$B:$B,0),3)</f>
        <v>#N/A</v>
      </c>
      <c r="W299" s="8" t="str">
        <f t="array" ref="W299">INDEX(Subject!$A:$I,MATCH(RANDBETWEEN(1,16),Subject!$B:$B,0),3)</f>
        <v>#N/A</v>
      </c>
      <c r="X299" s="8" t="str">
        <f t="array" ref="X299">INDEX(Subject!$A:$I,MATCH(RANDBETWEEN(1,16),Subject!$B:$B,0),3)</f>
        <v>#N/A</v>
      </c>
      <c r="Y299" s="8" t="str">
        <f t="array" ref="Y299">INDEX(Subject!$A:$I,MATCH(RANDBETWEEN(1,16),Subject!$B:$B,0),3)</f>
        <v>#N/A</v>
      </c>
      <c r="Z299" s="8" t="str">
        <f t="array" ref="Z299">INDEX(Subject!$A:$I,MATCH(RANDBETWEEN(1,16),Subject!$B:$B,0),3)</f>
        <v>#N/A</v>
      </c>
      <c r="AA299" s="8" t="str">
        <f t="array" ref="AA299">INDEX(Subject!$A:$I,MATCH(RANDBETWEEN(1,16),Subject!$B:$B,0),3)</f>
        <v>#N/A</v>
      </c>
      <c r="AB299" s="8" t="str">
        <f t="array" ref="AB299">INDEX(Subject!$A:$I,MATCH(RANDBETWEEN(1,16),Subject!$B:$B,0),3)</f>
        <v>#N/A</v>
      </c>
      <c r="AC299" s="8" t="str">
        <f t="array" ref="AC299">INDEX(Subject!$A:$I,MATCH(RANDBETWEEN(1,16),Subject!$B:$B,0),3)</f>
        <v>#N/A</v>
      </c>
      <c r="AD299" s="8" t="str">
        <f t="array" ref="AD299">INDEX(Subject!$A:$I,MATCH(RANDBETWEEN(1,16),Subject!$B:$B,0),3)</f>
        <v/>
      </c>
      <c r="AE299" s="8" t="str">
        <f t="array" ref="AE299">INDEX(Subject!$A:$I,MATCH(RANDBETWEEN(1,16),Subject!$B:$B,0),3)</f>
        <v>#N/A</v>
      </c>
      <c r="AF299" s="8" t="str">
        <f t="array" ref="AF299">INDEX(Subject!$A:$I,MATCH(RANDBETWEEN(1,16),Subject!$B:$B,0),3)</f>
        <v>#N/A</v>
      </c>
      <c r="AG299" s="8" t="str">
        <f t="array" ref="AG299">INDEX(Subject!$A:$I,MATCH(RANDBETWEEN(1,16),Subject!$B:$B,0),3)</f>
        <v>#N/A</v>
      </c>
      <c r="AH299" s="8" t="str">
        <f t="array" ref="AH299">INDEX(Subject!$A:$I,MATCH(RANDBETWEEN(1,16),Subject!$B:$B,0),3)</f>
        <v>#N/A</v>
      </c>
      <c r="AI299" s="8" t="str">
        <f t="array" ref="AI299">INDEX(Subject!$A:$I,MATCH(RANDBETWEEN(1,16),Subject!$B:$B,0),3)</f>
        <v>#N/A</v>
      </c>
      <c r="AJ299" s="8" t="str">
        <f t="array" ref="AJ299">INDEX(Subject!$A:$I,MATCH(RANDBETWEEN(1,16),Subject!$B:$B,0),3)</f>
        <v>#N/A</v>
      </c>
      <c r="AK299" s="8" t="str">
        <f t="array" ref="AK299">INDEX(Subject!$A:$I,MATCH(RANDBETWEEN(1,16),Subject!$B:$B,0),3)</f>
        <v>#N/A</v>
      </c>
      <c r="AL299" s="8" t="str">
        <f t="array" ref="AL299">INDEX(Subject!$A:$I,MATCH(RANDBETWEEN(1,16),Subject!$B:$B,0),3)</f>
        <v/>
      </c>
      <c r="AM299" s="18">
        <f t="shared" si="4"/>
        <v>45799.33333</v>
      </c>
      <c r="AN299" s="19">
        <f t="shared" ref="AN299:BZ299" si="299">$A299+C$1</f>
        <v>45799.35417</v>
      </c>
      <c r="AO299" s="19">
        <f t="shared" si="299"/>
        <v>45799.375</v>
      </c>
      <c r="AP299" s="19">
        <f t="shared" si="299"/>
        <v>45799.39583</v>
      </c>
      <c r="AQ299" s="19">
        <f t="shared" si="299"/>
        <v>45799.41667</v>
      </c>
      <c r="AR299" s="19">
        <f t="shared" si="299"/>
        <v>45799.4375</v>
      </c>
      <c r="AS299" s="19">
        <f t="shared" si="299"/>
        <v>45799.45833</v>
      </c>
      <c r="AT299" s="19">
        <f t="shared" si="299"/>
        <v>45799.47917</v>
      </c>
      <c r="AU299" s="19">
        <f t="shared" si="299"/>
        <v>45799.5</v>
      </c>
      <c r="AV299" s="19">
        <f t="shared" si="299"/>
        <v>45799.52083</v>
      </c>
      <c r="AW299" s="19">
        <f t="shared" si="299"/>
        <v>45799.54167</v>
      </c>
      <c r="AX299" s="19">
        <f t="shared" si="299"/>
        <v>45799.5625</v>
      </c>
      <c r="AY299" s="19">
        <f t="shared" si="299"/>
        <v>45799.58333</v>
      </c>
      <c r="AZ299" s="19">
        <f t="shared" si="299"/>
        <v>45799.60417</v>
      </c>
      <c r="BA299" s="19">
        <f t="shared" si="299"/>
        <v>45799.625</v>
      </c>
      <c r="BB299" s="19">
        <f t="shared" si="299"/>
        <v>45799.64583</v>
      </c>
      <c r="BC299" s="19">
        <f t="shared" si="299"/>
        <v>45799.66667</v>
      </c>
      <c r="BD299" s="19">
        <f t="shared" si="299"/>
        <v>45799.6875</v>
      </c>
      <c r="BE299" s="19">
        <f t="shared" si="299"/>
        <v>45799.70833</v>
      </c>
      <c r="BF299" s="19">
        <f t="shared" si="299"/>
        <v>45799.72917</v>
      </c>
      <c r="BG299" s="19">
        <f t="shared" si="299"/>
        <v>45799.75</v>
      </c>
      <c r="BH299" s="19">
        <f t="shared" si="299"/>
        <v>45799.77083</v>
      </c>
      <c r="BI299" s="19">
        <f t="shared" si="299"/>
        <v>45799.79167</v>
      </c>
      <c r="BJ299" s="19">
        <f t="shared" si="299"/>
        <v>45799.8125</v>
      </c>
      <c r="BK299" s="19">
        <f t="shared" si="299"/>
        <v>45799.83333</v>
      </c>
      <c r="BL299" s="19">
        <f t="shared" si="299"/>
        <v>45799.85417</v>
      </c>
      <c r="BM299" s="19">
        <f t="shared" si="299"/>
        <v>45799.875</v>
      </c>
      <c r="BN299" s="19">
        <f t="shared" si="299"/>
        <v>45799.89583</v>
      </c>
      <c r="BO299" s="19">
        <f t="shared" si="299"/>
        <v>45799.91667</v>
      </c>
      <c r="BP299" s="19">
        <f t="shared" si="299"/>
        <v>45799.9375</v>
      </c>
      <c r="BQ299" s="19">
        <f t="shared" si="299"/>
        <v>45799.95833</v>
      </c>
      <c r="BR299" s="19">
        <f t="shared" si="299"/>
        <v>45799.97917</v>
      </c>
      <c r="BS299" s="19">
        <f t="shared" si="299"/>
        <v>45800</v>
      </c>
      <c r="BT299" s="19">
        <f t="shared" si="299"/>
        <v>45800.02083</v>
      </c>
      <c r="BU299" s="19">
        <f t="shared" si="299"/>
        <v>45800.04167</v>
      </c>
      <c r="BV299" s="19">
        <f t="shared" si="299"/>
        <v>45800.0625</v>
      </c>
      <c r="BW299" s="19">
        <f t="shared" si="299"/>
        <v>45800.08333</v>
      </c>
      <c r="BX299" s="19">
        <f t="shared" si="299"/>
        <v>45799</v>
      </c>
      <c r="BY299" s="19">
        <f t="shared" si="299"/>
        <v>45799</v>
      </c>
      <c r="BZ299" s="19">
        <f t="shared" si="299"/>
        <v>45799</v>
      </c>
    </row>
    <row r="300" ht="14.25" customHeight="1">
      <c r="A300" s="17">
        <v>45800.0</v>
      </c>
      <c r="B300" s="2" t="str">
        <f t="array" ref="B300">IF(NOW()&gt;AM300,"",IF(AND((WEEKDAY($A300)+$B$2)&gt;1,((WEEKDAY($A300)+$T$2)&lt;7),(WEEKDAY($A300)&lt;&gt;1)),"work",(INDEX(Subject!$A:$I,MATCH(RANDBETWEEN(1,(MAX(Subject!$B:$B))),Subject!$B:$B,0),3))))</f>
        <v/>
      </c>
      <c r="C300" s="2" t="str">
        <f t="array" ref="C300">IF(NOW()&gt;AN300,"",IF(AND((WEEKDAY($A300)+$B$2)&gt;1,((WEEKDAY($A300)+$T$2)&lt;7),(WEEKDAY($A300)&lt;&gt;1)),"work",(INDEX(Subject!$A:$I,MATCH(RANDBETWEEN(1,(MAX(Subject!$B:$B))),Subject!$B:$B,0),3))))</f>
        <v/>
      </c>
      <c r="D300" s="2" t="str">
        <f t="array" ref="D300">IF(NOW()&gt;AO300,"",IF(AND((WEEKDAY($A300)+$B$2)&gt;1,((WEEKDAY($A300)+$T$2)&lt;7),(WEEKDAY($A300)&lt;&gt;1)),"work",(INDEX(Subject!$A:$I,MATCH(RANDBETWEEN(1,(MAX(Subject!$B:$B))),Subject!$B:$B,0),3))))</f>
        <v/>
      </c>
      <c r="E300" s="2" t="str">
        <f t="array" ref="E300">IF(NOW()&gt;AP300,"",IF(AND((WEEKDAY($A300)+$B$2)&gt;1,((WEEKDAY($A300)+$T$2)&lt;7),(WEEKDAY($A300)&lt;&gt;1)),"work",(INDEX(Subject!$A:$I,MATCH(RANDBETWEEN(1,(MAX(Subject!$B:$B))),Subject!$B:$B,0),3))))</f>
        <v/>
      </c>
      <c r="F300" s="2" t="str">
        <f t="array" ref="F300">IF(NOW()&gt;AQ300,"",IF(AND((WEEKDAY($A300)+$B$2)&gt;1,((WEEKDAY($A300)+$T$2)&lt;7),(WEEKDAY($A300)&lt;&gt;1)),"work",(INDEX(Subject!$A:$I,MATCH(RANDBETWEEN(1,(MAX(Subject!$B:$B))),Subject!$B:$B,0),3))))</f>
        <v/>
      </c>
      <c r="G300" s="2" t="str">
        <f t="array" ref="G300">IF(NOW()&gt;AR300,"",IF(AND((WEEKDAY($A300)+$B$2)&gt;1,((WEEKDAY($A300)+$T$2)&lt;7),(WEEKDAY($A300)&lt;&gt;1)),"work",(INDEX(Subject!$A:$I,MATCH(RANDBETWEEN(1,(MAX(Subject!$B:$B))),Subject!$B:$B,0),3))))</f>
        <v/>
      </c>
      <c r="H300" s="2" t="str">
        <f t="array" ref="H300">IF(NOW()&gt;AS300,"",IF(AND((WEEKDAY($A300)+$B$2)&gt;1,((WEEKDAY($A300)+$T$2)&lt;7),(WEEKDAY($A300)&lt;&gt;1)),"work",(INDEX(Subject!$A:$I,MATCH(RANDBETWEEN(1,(MAX(Subject!$B:$B))),Subject!$B:$B,0),3))))</f>
        <v/>
      </c>
      <c r="I300" s="2" t="str">
        <f t="array" ref="I300">IF(NOW()&gt;AT300,"",IF(AND((WEEKDAY($A300)+$B$2)&gt;1,((WEEKDAY($A300)+$T$2)&lt;7),(WEEKDAY($A300)&lt;&gt;1)),"work",(INDEX(Subject!$A:$I,MATCH(RANDBETWEEN(1,(MAX(Subject!$B:$B))),Subject!$B:$B,0),3))))</f>
        <v/>
      </c>
      <c r="J300" s="2" t="str">
        <f t="array" ref="J300">IF(NOW()&gt;AU300,"",IF(AND((WEEKDAY($A300)+$B$2)&gt;1,((WEEKDAY($A300)+$T$2)&lt;7),(WEEKDAY($A300)&lt;&gt;1)),"work",(INDEX(Subject!$A:$I,MATCH(RANDBETWEEN(1,(MAX(Subject!$B:$B))),Subject!$B:$B,0),3))))</f>
        <v/>
      </c>
      <c r="K300" s="2" t="str">
        <f t="array" ref="K300">IF(NOW()&gt;AV300,"",IF(AND((WEEKDAY($A300)+$B$2)&gt;1,((WEEKDAY($A300)+$T$2)&lt;7),(WEEKDAY($A300)&lt;&gt;1)),"work",(INDEX(Subject!$A:$I,MATCH(RANDBETWEEN(1,(MAX(Subject!$B:$B))),Subject!$B:$B,0),3))))</f>
        <v/>
      </c>
      <c r="L300" s="2" t="str">
        <f t="array" ref="L300">IF(NOW()&gt;AW300,"",IF(AND((WEEKDAY($A300)+$B$2)&gt;1,((WEEKDAY($A300)+$T$2)&lt;7),(WEEKDAY($A300)&lt;&gt;1)),"work",(INDEX(Subject!$A:$I,MATCH(RANDBETWEEN(1,(MAX(Subject!$B:$B))),Subject!$B:$B,0),3))))</f>
        <v/>
      </c>
      <c r="M300" s="2" t="str">
        <f t="array" ref="M300">IF(NOW()&gt;AX300,"",IF(AND((WEEKDAY($A300)+$B$2)&gt;1,((WEEKDAY($A300)+$T$2)&lt;7),(WEEKDAY($A300)&lt;&gt;1)),"work",(INDEX(Subject!$A:$I,MATCH(RANDBETWEEN(1,(MAX(Subject!$B:$B))),Subject!$B:$B,0),3))))</f>
        <v/>
      </c>
      <c r="N300" s="2" t="str">
        <f t="array" ref="N300">IF(NOW()&gt;AY300,"",IF(AND((WEEKDAY($A300)+$B$2)&gt;1,((WEEKDAY($A300)+$T$2)&lt;7),(WEEKDAY($A300)&lt;&gt;1)),"work",(INDEX(Subject!$A:$I,MATCH(RANDBETWEEN(1,(MAX(Subject!$B:$B))),Subject!$B:$B,0),3))))</f>
        <v/>
      </c>
      <c r="O300" s="2" t="str">
        <f t="array" ref="O300">IF(NOW()&gt;AZ300,"",IF(AND((WEEKDAY($A300)+$B$2)&gt;1,((WEEKDAY($A300)+$T$2)&lt;7),(WEEKDAY($A300)&lt;&gt;1)),"work",(INDEX(Subject!$A:$I,MATCH(RANDBETWEEN(1,(MAX(Subject!$B:$B))),Subject!$B:$B,0),3))))</f>
        <v/>
      </c>
      <c r="P300" s="2" t="str">
        <f t="array" ref="P300">IF(NOW()&gt;BA300,"",IF(AND((WEEKDAY($A300)+$B$2)&gt;1,((WEEKDAY($A300)+$T$2)&lt;7),(WEEKDAY($A300)&lt;&gt;1)),"work",(INDEX(Subject!$A:$I,MATCH(RANDBETWEEN(1,(MAX(Subject!$B:$B))),Subject!$B:$B,0),3))))</f>
        <v/>
      </c>
      <c r="Q300" s="2" t="str">
        <f t="array" ref="Q300">IF(NOW()&gt;BB300,"",IF(AND((WEEKDAY($A300)+$B$2)&gt;1,((WEEKDAY($A300)+$T$2)&lt;7),(WEEKDAY($A300)&lt;&gt;1)),"work",(INDEX(Subject!$A:$I,MATCH(RANDBETWEEN(1,(MAX(Subject!$B:$B))),Subject!$B:$B,0),3))))</f>
        <v/>
      </c>
      <c r="R300" s="2" t="str">
        <f t="array" ref="R300">IF(NOW()&gt;BC300,"",IF(AND((WEEKDAY($A300)+$B$2)&gt;1,((WEEKDAY($A300)+$T$2)&lt;7),(WEEKDAY($A300)&lt;&gt;1)),"work",(INDEX(Subject!$A:$I,MATCH(RANDBETWEEN(1,(MAX(Subject!$B:$B))),Subject!$B:$B,0),3))))</f>
        <v/>
      </c>
      <c r="S300" s="2" t="str">
        <f t="array" ref="S300">IF(NOW()&gt;BD300,"",IF(AND((WEEKDAY($A300)+$B$2)&gt;1,((WEEKDAY($A300)+$T$2)&lt;7),(WEEKDAY($A300)&lt;&gt;1)),"work",(INDEX(Subject!$A:$I,MATCH(RANDBETWEEN(1,(MAX(Subject!$B:$B))),Subject!$B:$B,0),3))))</f>
        <v/>
      </c>
      <c r="T300" s="2" t="str">
        <f t="array" ref="T300">IF(NOW()&gt;BE300,"",IF(AND((WEEKDAY($A300)+$B$2)&gt;1,((WEEKDAY($A300)+$T$2)&lt;7),(WEEKDAY($A300)&lt;&gt;1)),"work",(INDEX(Subject!$A:$I,MATCH(RANDBETWEEN(1,(MAX(Subject!$B:$B))),Subject!$B:$B,0),3))))</f>
        <v/>
      </c>
      <c r="U300" s="8" t="str">
        <f t="array" ref="U300">INDEX(Subject!$A:$I,MATCH(RANDBETWEEN(1,16),Subject!$B:$B,0),3)</f>
        <v>#N/A</v>
      </c>
      <c r="V300" s="8" t="str">
        <f t="array" ref="V300">INDEX(Subject!$A:$I,MATCH(RANDBETWEEN(1,16),Subject!$B:$B,0),3)</f>
        <v>#N/A</v>
      </c>
      <c r="W300" s="8" t="str">
        <f t="array" ref="W300">INDEX(Subject!$A:$I,MATCH(RANDBETWEEN(1,16),Subject!$B:$B,0),3)</f>
        <v>#N/A</v>
      </c>
      <c r="X300" s="8" t="str">
        <f t="array" ref="X300">INDEX(Subject!$A:$I,MATCH(RANDBETWEEN(1,16),Subject!$B:$B,0),3)</f>
        <v>#N/A</v>
      </c>
      <c r="Y300" s="8" t="str">
        <f t="array" ref="Y300">INDEX(Subject!$A:$I,MATCH(RANDBETWEEN(1,16),Subject!$B:$B,0),3)</f>
        <v>#N/A</v>
      </c>
      <c r="Z300" s="8" t="str">
        <f t="array" ref="Z300">INDEX(Subject!$A:$I,MATCH(RANDBETWEEN(1,16),Subject!$B:$B,0),3)</f>
        <v>#N/A</v>
      </c>
      <c r="AA300" s="8" t="str">
        <f t="array" ref="AA300">INDEX(Subject!$A:$I,MATCH(RANDBETWEEN(1,16),Subject!$B:$B,0),3)</f>
        <v/>
      </c>
      <c r="AB300" s="8" t="str">
        <f t="array" ref="AB300">INDEX(Subject!$A:$I,MATCH(RANDBETWEEN(1,16),Subject!$B:$B,0),3)</f>
        <v>#N/A</v>
      </c>
      <c r="AC300" s="8" t="str">
        <f t="array" ref="AC300">INDEX(Subject!$A:$I,MATCH(RANDBETWEEN(1,16),Subject!$B:$B,0),3)</f>
        <v>#N/A</v>
      </c>
      <c r="AD300" s="8" t="str">
        <f t="array" ref="AD300">INDEX(Subject!$A:$I,MATCH(RANDBETWEEN(1,16),Subject!$B:$B,0),3)</f>
        <v>#N/A</v>
      </c>
      <c r="AE300" s="8" t="str">
        <f t="array" ref="AE300">INDEX(Subject!$A:$I,MATCH(RANDBETWEEN(1,16),Subject!$B:$B,0),3)</f>
        <v>#N/A</v>
      </c>
      <c r="AF300" s="8" t="str">
        <f t="array" ref="AF300">INDEX(Subject!$A:$I,MATCH(RANDBETWEEN(1,16),Subject!$B:$B,0),3)</f>
        <v>#N/A</v>
      </c>
      <c r="AG300" s="8" t="str">
        <f t="array" ref="AG300">INDEX(Subject!$A:$I,MATCH(RANDBETWEEN(1,16),Subject!$B:$B,0),3)</f>
        <v>#N/A</v>
      </c>
      <c r="AH300" s="8" t="str">
        <f t="array" ref="AH300">INDEX(Subject!$A:$I,MATCH(RANDBETWEEN(1,16),Subject!$B:$B,0),3)</f>
        <v>#N/A</v>
      </c>
      <c r="AI300" s="8" t="str">
        <f t="array" ref="AI300">INDEX(Subject!$A:$I,MATCH(RANDBETWEEN(1,16),Subject!$B:$B,0),3)</f>
        <v>#N/A</v>
      </c>
      <c r="AJ300" s="8" t="str">
        <f t="array" ref="AJ300">INDEX(Subject!$A:$I,MATCH(RANDBETWEEN(1,16),Subject!$B:$B,0),3)</f>
        <v>#N/A</v>
      </c>
      <c r="AK300" s="8" t="str">
        <f t="array" ref="AK300">INDEX(Subject!$A:$I,MATCH(RANDBETWEEN(1,16),Subject!$B:$B,0),3)</f>
        <v>#N/A</v>
      </c>
      <c r="AL300" s="8" t="str">
        <f t="array" ref="AL300">INDEX(Subject!$A:$I,MATCH(RANDBETWEEN(1,16),Subject!$B:$B,0),3)</f>
        <v>#N/A</v>
      </c>
      <c r="AM300" s="18">
        <f t="shared" si="4"/>
        <v>45800.33333</v>
      </c>
      <c r="AN300" s="19">
        <f t="shared" ref="AN300:BZ300" si="300">$A300+C$1</f>
        <v>45800.35417</v>
      </c>
      <c r="AO300" s="19">
        <f t="shared" si="300"/>
        <v>45800.375</v>
      </c>
      <c r="AP300" s="19">
        <f t="shared" si="300"/>
        <v>45800.39583</v>
      </c>
      <c r="AQ300" s="19">
        <f t="shared" si="300"/>
        <v>45800.41667</v>
      </c>
      <c r="AR300" s="19">
        <f t="shared" si="300"/>
        <v>45800.4375</v>
      </c>
      <c r="AS300" s="19">
        <f t="shared" si="300"/>
        <v>45800.45833</v>
      </c>
      <c r="AT300" s="19">
        <f t="shared" si="300"/>
        <v>45800.47917</v>
      </c>
      <c r="AU300" s="19">
        <f t="shared" si="300"/>
        <v>45800.5</v>
      </c>
      <c r="AV300" s="19">
        <f t="shared" si="300"/>
        <v>45800.52083</v>
      </c>
      <c r="AW300" s="19">
        <f t="shared" si="300"/>
        <v>45800.54167</v>
      </c>
      <c r="AX300" s="19">
        <f t="shared" si="300"/>
        <v>45800.5625</v>
      </c>
      <c r="AY300" s="19">
        <f t="shared" si="300"/>
        <v>45800.58333</v>
      </c>
      <c r="AZ300" s="19">
        <f t="shared" si="300"/>
        <v>45800.60417</v>
      </c>
      <c r="BA300" s="19">
        <f t="shared" si="300"/>
        <v>45800.625</v>
      </c>
      <c r="BB300" s="19">
        <f t="shared" si="300"/>
        <v>45800.64583</v>
      </c>
      <c r="BC300" s="19">
        <f t="shared" si="300"/>
        <v>45800.66667</v>
      </c>
      <c r="BD300" s="19">
        <f t="shared" si="300"/>
        <v>45800.6875</v>
      </c>
      <c r="BE300" s="19">
        <f t="shared" si="300"/>
        <v>45800.70833</v>
      </c>
      <c r="BF300" s="19">
        <f t="shared" si="300"/>
        <v>45800.72917</v>
      </c>
      <c r="BG300" s="19">
        <f t="shared" si="300"/>
        <v>45800.75</v>
      </c>
      <c r="BH300" s="19">
        <f t="shared" si="300"/>
        <v>45800.77083</v>
      </c>
      <c r="BI300" s="19">
        <f t="shared" si="300"/>
        <v>45800.79167</v>
      </c>
      <c r="BJ300" s="19">
        <f t="shared" si="300"/>
        <v>45800.8125</v>
      </c>
      <c r="BK300" s="19">
        <f t="shared" si="300"/>
        <v>45800.83333</v>
      </c>
      <c r="BL300" s="19">
        <f t="shared" si="300"/>
        <v>45800.85417</v>
      </c>
      <c r="BM300" s="19">
        <f t="shared" si="300"/>
        <v>45800.875</v>
      </c>
      <c r="BN300" s="19">
        <f t="shared" si="300"/>
        <v>45800.89583</v>
      </c>
      <c r="BO300" s="19">
        <f t="shared" si="300"/>
        <v>45800.91667</v>
      </c>
      <c r="BP300" s="19">
        <f t="shared" si="300"/>
        <v>45800.9375</v>
      </c>
      <c r="BQ300" s="19">
        <f t="shared" si="300"/>
        <v>45800.95833</v>
      </c>
      <c r="BR300" s="19">
        <f t="shared" si="300"/>
        <v>45800.97917</v>
      </c>
      <c r="BS300" s="19">
        <f t="shared" si="300"/>
        <v>45801</v>
      </c>
      <c r="BT300" s="19">
        <f t="shared" si="300"/>
        <v>45801.02083</v>
      </c>
      <c r="BU300" s="19">
        <f t="shared" si="300"/>
        <v>45801.04167</v>
      </c>
      <c r="BV300" s="19">
        <f t="shared" si="300"/>
        <v>45801.0625</v>
      </c>
      <c r="BW300" s="19">
        <f t="shared" si="300"/>
        <v>45801.08333</v>
      </c>
      <c r="BX300" s="19">
        <f t="shared" si="300"/>
        <v>45800</v>
      </c>
      <c r="BY300" s="19">
        <f t="shared" si="300"/>
        <v>45800</v>
      </c>
      <c r="BZ300" s="19">
        <f t="shared" si="300"/>
        <v>45800</v>
      </c>
    </row>
    <row r="301" ht="14.25" customHeight="1">
      <c r="A301" s="17">
        <v>45801.0</v>
      </c>
      <c r="B301" s="2" t="str">
        <f t="array" ref="B301">IF(NOW()&gt;AM301,"",IF(AND((WEEKDAY($A301)+$B$2)&gt;1,((WEEKDAY($A301)+$T$2)&lt;7),(WEEKDAY($A301)&lt;&gt;1)),"work",(INDEX(Subject!$A:$I,MATCH(RANDBETWEEN(1,(MAX(Subject!$B:$B))),Subject!$B:$B,0),3))))</f>
        <v/>
      </c>
      <c r="C301" s="2" t="str">
        <f t="array" ref="C301">IF(NOW()&gt;AN301,"",IF(AND((WEEKDAY($A301)+$B$2)&gt;1,((WEEKDAY($A301)+$T$2)&lt;7),(WEEKDAY($A301)&lt;&gt;1)),"work",(INDEX(Subject!$A:$I,MATCH(RANDBETWEEN(1,(MAX(Subject!$B:$B))),Subject!$B:$B,0),3))))</f>
        <v/>
      </c>
      <c r="D301" s="2" t="str">
        <f t="array" ref="D301">IF(NOW()&gt;AO301,"",IF(AND((WEEKDAY($A301)+$B$2)&gt;1,((WEEKDAY($A301)+$T$2)&lt;7),(WEEKDAY($A301)&lt;&gt;1)),"work",(INDEX(Subject!$A:$I,MATCH(RANDBETWEEN(1,(MAX(Subject!$B:$B))),Subject!$B:$B,0),3))))</f>
        <v/>
      </c>
      <c r="E301" s="2" t="str">
        <f t="array" ref="E301">IF(NOW()&gt;AP301,"",IF(AND((WEEKDAY($A301)+$B$2)&gt;1,((WEEKDAY($A301)+$T$2)&lt;7),(WEEKDAY($A301)&lt;&gt;1)),"work",(INDEX(Subject!$A:$I,MATCH(RANDBETWEEN(1,(MAX(Subject!$B:$B))),Subject!$B:$B,0),3))))</f>
        <v/>
      </c>
      <c r="F301" s="2" t="str">
        <f t="array" ref="F301">IF(NOW()&gt;AQ301,"",IF(AND((WEEKDAY($A301)+$B$2)&gt;1,((WEEKDAY($A301)+$T$2)&lt;7),(WEEKDAY($A301)&lt;&gt;1)),"work",(INDEX(Subject!$A:$I,MATCH(RANDBETWEEN(1,(MAX(Subject!$B:$B))),Subject!$B:$B,0),3))))</f>
        <v/>
      </c>
      <c r="G301" s="2" t="str">
        <f t="array" ref="G301">IF(NOW()&gt;AR301,"",IF(AND((WEEKDAY($A301)+$B$2)&gt;1,((WEEKDAY($A301)+$T$2)&lt;7),(WEEKDAY($A301)&lt;&gt;1)),"work",(INDEX(Subject!$A:$I,MATCH(RANDBETWEEN(1,(MAX(Subject!$B:$B))),Subject!$B:$B,0),3))))</f>
        <v/>
      </c>
      <c r="H301" s="2" t="str">
        <f t="array" ref="H301">IF(NOW()&gt;AS301,"",IF(AND((WEEKDAY($A301)+$B$2)&gt;1,((WEEKDAY($A301)+$T$2)&lt;7),(WEEKDAY($A301)&lt;&gt;1)),"work",(INDEX(Subject!$A:$I,MATCH(RANDBETWEEN(1,(MAX(Subject!$B:$B))),Subject!$B:$B,0),3))))</f>
        <v/>
      </c>
      <c r="I301" s="2" t="str">
        <f t="array" ref="I301">IF(NOW()&gt;AT301,"",IF(AND((WEEKDAY($A301)+$B$2)&gt;1,((WEEKDAY($A301)+$T$2)&lt;7),(WEEKDAY($A301)&lt;&gt;1)),"work",(INDEX(Subject!$A:$I,MATCH(RANDBETWEEN(1,(MAX(Subject!$B:$B))),Subject!$B:$B,0),3))))</f>
        <v/>
      </c>
      <c r="J301" s="2" t="str">
        <f t="array" ref="J301">IF(NOW()&gt;AU301,"",IF(AND((WEEKDAY($A301)+$B$2)&gt;1,((WEEKDAY($A301)+$T$2)&lt;7),(WEEKDAY($A301)&lt;&gt;1)),"work",(INDEX(Subject!$A:$I,MATCH(RANDBETWEEN(1,(MAX(Subject!$B:$B))),Subject!$B:$B,0),3))))</f>
        <v/>
      </c>
      <c r="K301" s="2" t="str">
        <f t="array" ref="K301">IF(NOW()&gt;AV301,"",IF(AND((WEEKDAY($A301)+$B$2)&gt;1,((WEEKDAY($A301)+$T$2)&lt;7),(WEEKDAY($A301)&lt;&gt;1)),"work",(INDEX(Subject!$A:$I,MATCH(RANDBETWEEN(1,(MAX(Subject!$B:$B))),Subject!$B:$B,0),3))))</f>
        <v/>
      </c>
      <c r="L301" s="2" t="str">
        <f t="array" ref="L301">IF(NOW()&gt;AW301,"",IF(AND((WEEKDAY($A301)+$B$2)&gt;1,((WEEKDAY($A301)+$T$2)&lt;7),(WEEKDAY($A301)&lt;&gt;1)),"work",(INDEX(Subject!$A:$I,MATCH(RANDBETWEEN(1,(MAX(Subject!$B:$B))),Subject!$B:$B,0),3))))</f>
        <v/>
      </c>
      <c r="M301" s="2" t="str">
        <f t="array" ref="M301">IF(NOW()&gt;AX301,"",IF(AND((WEEKDAY($A301)+$B$2)&gt;1,((WEEKDAY($A301)+$T$2)&lt;7),(WEEKDAY($A301)&lt;&gt;1)),"work",(INDEX(Subject!$A:$I,MATCH(RANDBETWEEN(1,(MAX(Subject!$B:$B))),Subject!$B:$B,0),3))))</f>
        <v/>
      </c>
      <c r="N301" s="2" t="str">
        <f t="array" ref="N301">IF(NOW()&gt;AY301,"",IF(AND((WEEKDAY($A301)+$B$2)&gt;1,((WEEKDAY($A301)+$T$2)&lt;7),(WEEKDAY($A301)&lt;&gt;1)),"work",(INDEX(Subject!$A:$I,MATCH(RANDBETWEEN(1,(MAX(Subject!$B:$B))),Subject!$B:$B,0),3))))</f>
        <v/>
      </c>
      <c r="O301" s="2" t="str">
        <f t="array" ref="O301">IF(NOW()&gt;AZ301,"",IF(AND((WEEKDAY($A301)+$B$2)&gt;1,((WEEKDAY($A301)+$T$2)&lt;7),(WEEKDAY($A301)&lt;&gt;1)),"work",(INDEX(Subject!$A:$I,MATCH(RANDBETWEEN(1,(MAX(Subject!$B:$B))),Subject!$B:$B,0),3))))</f>
        <v/>
      </c>
      <c r="P301" s="2" t="str">
        <f t="array" ref="P301">IF(NOW()&gt;BA301,"",IF(AND((WEEKDAY($A301)+$B$2)&gt;1,((WEEKDAY($A301)+$T$2)&lt;7),(WEEKDAY($A301)&lt;&gt;1)),"work",(INDEX(Subject!$A:$I,MATCH(RANDBETWEEN(1,(MAX(Subject!$B:$B))),Subject!$B:$B,0),3))))</f>
        <v/>
      </c>
      <c r="Q301" s="2" t="str">
        <f t="array" ref="Q301">IF(NOW()&gt;BB301,"",IF(AND((WEEKDAY($A301)+$B$2)&gt;1,((WEEKDAY($A301)+$T$2)&lt;7),(WEEKDAY($A301)&lt;&gt;1)),"work",(INDEX(Subject!$A:$I,MATCH(RANDBETWEEN(1,(MAX(Subject!$B:$B))),Subject!$B:$B,0),3))))</f>
        <v/>
      </c>
      <c r="R301" s="2" t="str">
        <f t="array" ref="R301">IF(NOW()&gt;BC301,"",IF(AND((WEEKDAY($A301)+$B$2)&gt;1,((WEEKDAY($A301)+$T$2)&lt;7),(WEEKDAY($A301)&lt;&gt;1)),"work",(INDEX(Subject!$A:$I,MATCH(RANDBETWEEN(1,(MAX(Subject!$B:$B))),Subject!$B:$B,0),3))))</f>
        <v/>
      </c>
      <c r="S301" s="2" t="str">
        <f t="array" ref="S301">IF(NOW()&gt;BD301,"",IF(AND((WEEKDAY($A301)+$B$2)&gt;1,((WEEKDAY($A301)+$T$2)&lt;7),(WEEKDAY($A301)&lt;&gt;1)),"work",(INDEX(Subject!$A:$I,MATCH(RANDBETWEEN(1,(MAX(Subject!$B:$B))),Subject!$B:$B,0),3))))</f>
        <v/>
      </c>
      <c r="T301" s="2" t="str">
        <f t="array" ref="T301">IF(NOW()&gt;BE301,"",IF(AND((WEEKDAY($A301)+$B$2)&gt;1,((WEEKDAY($A301)+$T$2)&lt;7),(WEEKDAY($A301)&lt;&gt;1)),"work",(INDEX(Subject!$A:$I,MATCH(RANDBETWEEN(1,(MAX(Subject!$B:$B))),Subject!$B:$B,0),3))))</f>
        <v/>
      </c>
      <c r="U301" s="8" t="str">
        <f t="array" ref="U301">INDEX(Subject!$A:$I,MATCH(RANDBETWEEN(1,16),Subject!$B:$B,0),3)</f>
        <v>#N/A</v>
      </c>
      <c r="V301" s="8" t="str">
        <f t="array" ref="V301">INDEX(Subject!$A:$I,MATCH(RANDBETWEEN(1,16),Subject!$B:$B,0),3)</f>
        <v>#N/A</v>
      </c>
      <c r="W301" s="8" t="str">
        <f t="array" ref="W301">INDEX(Subject!$A:$I,MATCH(RANDBETWEEN(1,16),Subject!$B:$B,0),3)</f>
        <v>#N/A</v>
      </c>
      <c r="X301" s="8" t="str">
        <f t="array" ref="X301">INDEX(Subject!$A:$I,MATCH(RANDBETWEEN(1,16),Subject!$B:$B,0),3)</f>
        <v>#N/A</v>
      </c>
      <c r="Y301" s="8" t="str">
        <f t="array" ref="Y301">INDEX(Subject!$A:$I,MATCH(RANDBETWEEN(1,16),Subject!$B:$B,0),3)</f>
        <v>#N/A</v>
      </c>
      <c r="Z301" s="8" t="str">
        <f t="array" ref="Z301">INDEX(Subject!$A:$I,MATCH(RANDBETWEEN(1,16),Subject!$B:$B,0),3)</f>
        <v>#N/A</v>
      </c>
      <c r="AA301" s="8" t="str">
        <f t="array" ref="AA301">INDEX(Subject!$A:$I,MATCH(RANDBETWEEN(1,16),Subject!$B:$B,0),3)</f>
        <v>#N/A</v>
      </c>
      <c r="AB301" s="8" t="str">
        <f t="array" ref="AB301">INDEX(Subject!$A:$I,MATCH(RANDBETWEEN(1,16),Subject!$B:$B,0),3)</f>
        <v>#N/A</v>
      </c>
      <c r="AC301" s="8" t="str">
        <f t="array" ref="AC301">INDEX(Subject!$A:$I,MATCH(RANDBETWEEN(1,16),Subject!$B:$B,0),3)</f>
        <v>#N/A</v>
      </c>
      <c r="AD301" s="8" t="str">
        <f t="array" ref="AD301">INDEX(Subject!$A:$I,MATCH(RANDBETWEEN(1,16),Subject!$B:$B,0),3)</f>
        <v>#N/A</v>
      </c>
      <c r="AE301" s="8" t="str">
        <f t="array" ref="AE301">INDEX(Subject!$A:$I,MATCH(RANDBETWEEN(1,16),Subject!$B:$B,0),3)</f>
        <v>#N/A</v>
      </c>
      <c r="AF301" s="8" t="str">
        <f t="array" ref="AF301">INDEX(Subject!$A:$I,MATCH(RANDBETWEEN(1,16),Subject!$B:$B,0),3)</f>
        <v>#N/A</v>
      </c>
      <c r="AG301" s="8" t="str">
        <f t="array" ref="AG301">INDEX(Subject!$A:$I,MATCH(RANDBETWEEN(1,16),Subject!$B:$B,0),3)</f>
        <v>#N/A</v>
      </c>
      <c r="AH301" s="8" t="str">
        <f t="array" ref="AH301">INDEX(Subject!$A:$I,MATCH(RANDBETWEEN(1,16),Subject!$B:$B,0),3)</f>
        <v>#N/A</v>
      </c>
      <c r="AI301" s="8" t="str">
        <f t="array" ref="AI301">INDEX(Subject!$A:$I,MATCH(RANDBETWEEN(1,16),Subject!$B:$B,0),3)</f>
        <v>#N/A</v>
      </c>
      <c r="AJ301" s="8" t="str">
        <f t="array" ref="AJ301">INDEX(Subject!$A:$I,MATCH(RANDBETWEEN(1,16),Subject!$B:$B,0),3)</f>
        <v>#N/A</v>
      </c>
      <c r="AK301" s="8" t="str">
        <f t="array" ref="AK301">INDEX(Subject!$A:$I,MATCH(RANDBETWEEN(1,16),Subject!$B:$B,0),3)</f>
        <v>#N/A</v>
      </c>
      <c r="AL301" s="8" t="str">
        <f t="array" ref="AL301">INDEX(Subject!$A:$I,MATCH(RANDBETWEEN(1,16),Subject!$B:$B,0),3)</f>
        <v>#N/A</v>
      </c>
      <c r="AM301" s="18">
        <f t="shared" si="4"/>
        <v>45801.33333</v>
      </c>
      <c r="AN301" s="19">
        <f t="shared" ref="AN301:BZ301" si="301">$A301+C$1</f>
        <v>45801.35417</v>
      </c>
      <c r="AO301" s="19">
        <f t="shared" si="301"/>
        <v>45801.375</v>
      </c>
      <c r="AP301" s="19">
        <f t="shared" si="301"/>
        <v>45801.39583</v>
      </c>
      <c r="AQ301" s="19">
        <f t="shared" si="301"/>
        <v>45801.41667</v>
      </c>
      <c r="AR301" s="19">
        <f t="shared" si="301"/>
        <v>45801.4375</v>
      </c>
      <c r="AS301" s="19">
        <f t="shared" si="301"/>
        <v>45801.45833</v>
      </c>
      <c r="AT301" s="19">
        <f t="shared" si="301"/>
        <v>45801.47917</v>
      </c>
      <c r="AU301" s="19">
        <f t="shared" si="301"/>
        <v>45801.5</v>
      </c>
      <c r="AV301" s="19">
        <f t="shared" si="301"/>
        <v>45801.52083</v>
      </c>
      <c r="AW301" s="19">
        <f t="shared" si="301"/>
        <v>45801.54167</v>
      </c>
      <c r="AX301" s="19">
        <f t="shared" si="301"/>
        <v>45801.5625</v>
      </c>
      <c r="AY301" s="19">
        <f t="shared" si="301"/>
        <v>45801.58333</v>
      </c>
      <c r="AZ301" s="19">
        <f t="shared" si="301"/>
        <v>45801.60417</v>
      </c>
      <c r="BA301" s="19">
        <f t="shared" si="301"/>
        <v>45801.625</v>
      </c>
      <c r="BB301" s="19">
        <f t="shared" si="301"/>
        <v>45801.64583</v>
      </c>
      <c r="BC301" s="19">
        <f t="shared" si="301"/>
        <v>45801.66667</v>
      </c>
      <c r="BD301" s="19">
        <f t="shared" si="301"/>
        <v>45801.6875</v>
      </c>
      <c r="BE301" s="19">
        <f t="shared" si="301"/>
        <v>45801.70833</v>
      </c>
      <c r="BF301" s="19">
        <f t="shared" si="301"/>
        <v>45801.72917</v>
      </c>
      <c r="BG301" s="19">
        <f t="shared" si="301"/>
        <v>45801.75</v>
      </c>
      <c r="BH301" s="19">
        <f t="shared" si="301"/>
        <v>45801.77083</v>
      </c>
      <c r="BI301" s="19">
        <f t="shared" si="301"/>
        <v>45801.79167</v>
      </c>
      <c r="BJ301" s="19">
        <f t="shared" si="301"/>
        <v>45801.8125</v>
      </c>
      <c r="BK301" s="19">
        <f t="shared" si="301"/>
        <v>45801.83333</v>
      </c>
      <c r="BL301" s="19">
        <f t="shared" si="301"/>
        <v>45801.85417</v>
      </c>
      <c r="BM301" s="19">
        <f t="shared" si="301"/>
        <v>45801.875</v>
      </c>
      <c r="BN301" s="19">
        <f t="shared" si="301"/>
        <v>45801.89583</v>
      </c>
      <c r="BO301" s="19">
        <f t="shared" si="301"/>
        <v>45801.91667</v>
      </c>
      <c r="BP301" s="19">
        <f t="shared" si="301"/>
        <v>45801.9375</v>
      </c>
      <c r="BQ301" s="19">
        <f t="shared" si="301"/>
        <v>45801.95833</v>
      </c>
      <c r="BR301" s="19">
        <f t="shared" si="301"/>
        <v>45801.97917</v>
      </c>
      <c r="BS301" s="19">
        <f t="shared" si="301"/>
        <v>45802</v>
      </c>
      <c r="BT301" s="19">
        <f t="shared" si="301"/>
        <v>45802.02083</v>
      </c>
      <c r="BU301" s="19">
        <f t="shared" si="301"/>
        <v>45802.04167</v>
      </c>
      <c r="BV301" s="19">
        <f t="shared" si="301"/>
        <v>45802.0625</v>
      </c>
      <c r="BW301" s="19">
        <f t="shared" si="301"/>
        <v>45802.08333</v>
      </c>
      <c r="BX301" s="19">
        <f t="shared" si="301"/>
        <v>45801</v>
      </c>
      <c r="BY301" s="19">
        <f t="shared" si="301"/>
        <v>45801</v>
      </c>
      <c r="BZ301" s="19">
        <f t="shared" si="301"/>
        <v>45801</v>
      </c>
    </row>
    <row r="302" ht="14.25" customHeight="1">
      <c r="A302" s="17">
        <v>45802.0</v>
      </c>
      <c r="B302" s="2" t="str">
        <f t="array" ref="B302">IF(NOW()&gt;AM302,"",IF(AND((WEEKDAY($A302)+$B$2)&gt;1,((WEEKDAY($A302)+$T$2)&lt;7),(WEEKDAY($A302)&lt;&gt;1)),"work",(INDEX(Subject!$A:$I,MATCH(RANDBETWEEN(1,(MAX(Subject!$B:$B))),Subject!$B:$B,0),3))))</f>
        <v/>
      </c>
      <c r="C302" s="2" t="str">
        <f t="array" ref="C302">IF(NOW()&gt;AN302,"",IF(AND((WEEKDAY($A302)+$B$2)&gt;1,((WEEKDAY($A302)+$T$2)&lt;7),(WEEKDAY($A302)&lt;&gt;1)),"work",(INDEX(Subject!$A:$I,MATCH(RANDBETWEEN(1,(MAX(Subject!$B:$B))),Subject!$B:$B,0),3))))</f>
        <v/>
      </c>
      <c r="D302" s="2" t="str">
        <f t="array" ref="D302">IF(NOW()&gt;AO302,"",IF(AND((WEEKDAY($A302)+$B$2)&gt;1,((WEEKDAY($A302)+$T$2)&lt;7),(WEEKDAY($A302)&lt;&gt;1)),"work",(INDEX(Subject!$A:$I,MATCH(RANDBETWEEN(1,(MAX(Subject!$B:$B))),Subject!$B:$B,0),3))))</f>
        <v/>
      </c>
      <c r="E302" s="2" t="str">
        <f t="array" ref="E302">IF(NOW()&gt;AP302,"",IF(AND((WEEKDAY($A302)+$B$2)&gt;1,((WEEKDAY($A302)+$T$2)&lt;7),(WEEKDAY($A302)&lt;&gt;1)),"work",(INDEX(Subject!$A:$I,MATCH(RANDBETWEEN(1,(MAX(Subject!$B:$B))),Subject!$B:$B,0),3))))</f>
        <v/>
      </c>
      <c r="F302" s="2" t="str">
        <f t="array" ref="F302">IF(NOW()&gt;AQ302,"",IF(AND((WEEKDAY($A302)+$B$2)&gt;1,((WEEKDAY($A302)+$T$2)&lt;7),(WEEKDAY($A302)&lt;&gt;1)),"work",(INDEX(Subject!$A:$I,MATCH(RANDBETWEEN(1,(MAX(Subject!$B:$B))),Subject!$B:$B,0),3))))</f>
        <v/>
      </c>
      <c r="G302" s="2" t="str">
        <f t="array" ref="G302">IF(NOW()&gt;AR302,"",IF(AND((WEEKDAY($A302)+$B$2)&gt;1,((WEEKDAY($A302)+$T$2)&lt;7),(WEEKDAY($A302)&lt;&gt;1)),"work",(INDEX(Subject!$A:$I,MATCH(RANDBETWEEN(1,(MAX(Subject!$B:$B))),Subject!$B:$B,0),3))))</f>
        <v/>
      </c>
      <c r="H302" s="2" t="str">
        <f t="array" ref="H302">IF(NOW()&gt;AS302,"",IF(AND((WEEKDAY($A302)+$B$2)&gt;1,((WEEKDAY($A302)+$T$2)&lt;7),(WEEKDAY($A302)&lt;&gt;1)),"work",(INDEX(Subject!$A:$I,MATCH(RANDBETWEEN(1,(MAX(Subject!$B:$B))),Subject!$B:$B,0),3))))</f>
        <v/>
      </c>
      <c r="I302" s="2" t="str">
        <f t="array" ref="I302">IF(NOW()&gt;AT302,"",IF(AND((WEEKDAY($A302)+$B$2)&gt;1,((WEEKDAY($A302)+$T$2)&lt;7),(WEEKDAY($A302)&lt;&gt;1)),"work",(INDEX(Subject!$A:$I,MATCH(RANDBETWEEN(1,(MAX(Subject!$B:$B))),Subject!$B:$B,0),3))))</f>
        <v/>
      </c>
      <c r="J302" s="2" t="str">
        <f t="array" ref="J302">IF(NOW()&gt;AU302,"",IF(AND((WEEKDAY($A302)+$B$2)&gt;1,((WEEKDAY($A302)+$T$2)&lt;7),(WEEKDAY($A302)&lt;&gt;1)),"work",(INDEX(Subject!$A:$I,MATCH(RANDBETWEEN(1,(MAX(Subject!$B:$B))),Subject!$B:$B,0),3))))</f>
        <v/>
      </c>
      <c r="K302" s="2" t="str">
        <f t="array" ref="K302">IF(NOW()&gt;AV302,"",IF(AND((WEEKDAY($A302)+$B$2)&gt;1,((WEEKDAY($A302)+$T$2)&lt;7),(WEEKDAY($A302)&lt;&gt;1)),"work",(INDEX(Subject!$A:$I,MATCH(RANDBETWEEN(1,(MAX(Subject!$B:$B))),Subject!$B:$B,0),3))))</f>
        <v/>
      </c>
      <c r="L302" s="2" t="str">
        <f t="array" ref="L302">IF(NOW()&gt;AW302,"",IF(AND((WEEKDAY($A302)+$B$2)&gt;1,((WEEKDAY($A302)+$T$2)&lt;7),(WEEKDAY($A302)&lt;&gt;1)),"work",(INDEX(Subject!$A:$I,MATCH(RANDBETWEEN(1,(MAX(Subject!$B:$B))),Subject!$B:$B,0),3))))</f>
        <v/>
      </c>
      <c r="M302" s="2" t="str">
        <f t="array" ref="M302">IF(NOW()&gt;AX302,"",IF(AND((WEEKDAY($A302)+$B$2)&gt;1,((WEEKDAY($A302)+$T$2)&lt;7),(WEEKDAY($A302)&lt;&gt;1)),"work",(INDEX(Subject!$A:$I,MATCH(RANDBETWEEN(1,(MAX(Subject!$B:$B))),Subject!$B:$B,0),3))))</f>
        <v/>
      </c>
      <c r="N302" s="2" t="str">
        <f t="array" ref="N302">IF(NOW()&gt;AY302,"",IF(AND((WEEKDAY($A302)+$B$2)&gt;1,((WEEKDAY($A302)+$T$2)&lt;7),(WEEKDAY($A302)&lt;&gt;1)),"work",(INDEX(Subject!$A:$I,MATCH(RANDBETWEEN(1,(MAX(Subject!$B:$B))),Subject!$B:$B,0),3))))</f>
        <v/>
      </c>
      <c r="O302" s="2" t="str">
        <f t="array" ref="O302">IF(NOW()&gt;AZ302,"",IF(AND((WEEKDAY($A302)+$B$2)&gt;1,((WEEKDAY($A302)+$T$2)&lt;7),(WEEKDAY($A302)&lt;&gt;1)),"work",(INDEX(Subject!$A:$I,MATCH(RANDBETWEEN(1,(MAX(Subject!$B:$B))),Subject!$B:$B,0),3))))</f>
        <v/>
      </c>
      <c r="P302" s="2" t="str">
        <f t="array" ref="P302">IF(NOW()&gt;BA302,"",IF(AND((WEEKDAY($A302)+$B$2)&gt;1,((WEEKDAY($A302)+$T$2)&lt;7),(WEEKDAY($A302)&lt;&gt;1)),"work",(INDEX(Subject!$A:$I,MATCH(RANDBETWEEN(1,(MAX(Subject!$B:$B))),Subject!$B:$B,0),3))))</f>
        <v/>
      </c>
      <c r="Q302" s="2" t="str">
        <f t="array" ref="Q302">IF(NOW()&gt;BB302,"",IF(AND((WEEKDAY($A302)+$B$2)&gt;1,((WEEKDAY($A302)+$T$2)&lt;7),(WEEKDAY($A302)&lt;&gt;1)),"work",(INDEX(Subject!$A:$I,MATCH(RANDBETWEEN(1,(MAX(Subject!$B:$B))),Subject!$B:$B,0),3))))</f>
        <v/>
      </c>
      <c r="R302" s="2" t="str">
        <f t="array" ref="R302">IF(NOW()&gt;BC302,"",IF(AND((WEEKDAY($A302)+$B$2)&gt;1,((WEEKDAY($A302)+$T$2)&lt;7),(WEEKDAY($A302)&lt;&gt;1)),"work",(INDEX(Subject!$A:$I,MATCH(RANDBETWEEN(1,(MAX(Subject!$B:$B))),Subject!$B:$B,0),3))))</f>
        <v/>
      </c>
      <c r="S302" s="2" t="str">
        <f t="array" ref="S302">IF(NOW()&gt;BD302,"",IF(AND((WEEKDAY($A302)+$B$2)&gt;1,((WEEKDAY($A302)+$T$2)&lt;7),(WEEKDAY($A302)&lt;&gt;1)),"work",(INDEX(Subject!$A:$I,MATCH(RANDBETWEEN(1,(MAX(Subject!$B:$B))),Subject!$B:$B,0),3))))</f>
        <v/>
      </c>
      <c r="T302" s="2" t="str">
        <f t="array" ref="T302">IF(NOW()&gt;BE302,"",IF(AND((WEEKDAY($A302)+$B$2)&gt;1,((WEEKDAY($A302)+$T$2)&lt;7),(WEEKDAY($A302)&lt;&gt;1)),"work",(INDEX(Subject!$A:$I,MATCH(RANDBETWEEN(1,(MAX(Subject!$B:$B))),Subject!$B:$B,0),3))))</f>
        <v/>
      </c>
      <c r="U302" s="8" t="str">
        <f t="array" ref="U302">INDEX(Subject!$A:$I,MATCH(RANDBETWEEN(1,16),Subject!$B:$B,0),3)</f>
        <v>#N/A</v>
      </c>
      <c r="V302" s="8" t="str">
        <f t="array" ref="V302">INDEX(Subject!$A:$I,MATCH(RANDBETWEEN(1,16),Subject!$B:$B,0),3)</f>
        <v/>
      </c>
      <c r="W302" s="8" t="str">
        <f t="array" ref="W302">INDEX(Subject!$A:$I,MATCH(RANDBETWEEN(1,16),Subject!$B:$B,0),3)</f>
        <v>#N/A</v>
      </c>
      <c r="X302" s="8" t="str">
        <f t="array" ref="X302">INDEX(Subject!$A:$I,MATCH(RANDBETWEEN(1,16),Subject!$B:$B,0),3)</f>
        <v>#N/A</v>
      </c>
      <c r="Y302" s="8" t="str">
        <f t="array" ref="Y302">INDEX(Subject!$A:$I,MATCH(RANDBETWEEN(1,16),Subject!$B:$B,0),3)</f>
        <v>#N/A</v>
      </c>
      <c r="Z302" s="8" t="str">
        <f t="array" ref="Z302">INDEX(Subject!$A:$I,MATCH(RANDBETWEEN(1,16),Subject!$B:$B,0),3)</f>
        <v>#N/A</v>
      </c>
      <c r="AA302" s="8" t="str">
        <f t="array" ref="AA302">INDEX(Subject!$A:$I,MATCH(RANDBETWEEN(1,16),Subject!$B:$B,0),3)</f>
        <v>#N/A</v>
      </c>
      <c r="AB302" s="8" t="str">
        <f t="array" ref="AB302">INDEX(Subject!$A:$I,MATCH(RANDBETWEEN(1,16),Subject!$B:$B,0),3)</f>
        <v>#N/A</v>
      </c>
      <c r="AC302" s="8" t="str">
        <f t="array" ref="AC302">INDEX(Subject!$A:$I,MATCH(RANDBETWEEN(1,16),Subject!$B:$B,0),3)</f>
        <v>#N/A</v>
      </c>
      <c r="AD302" s="8" t="str">
        <f t="array" ref="AD302">INDEX(Subject!$A:$I,MATCH(RANDBETWEEN(1,16),Subject!$B:$B,0),3)</f>
        <v>#N/A</v>
      </c>
      <c r="AE302" s="8" t="str">
        <f t="array" ref="AE302">INDEX(Subject!$A:$I,MATCH(RANDBETWEEN(1,16),Subject!$B:$B,0),3)</f>
        <v>#N/A</v>
      </c>
      <c r="AF302" s="8" t="str">
        <f t="array" ref="AF302">INDEX(Subject!$A:$I,MATCH(RANDBETWEEN(1,16),Subject!$B:$B,0),3)</f>
        <v>#N/A</v>
      </c>
      <c r="AG302" s="8" t="str">
        <f t="array" ref="AG302">INDEX(Subject!$A:$I,MATCH(RANDBETWEEN(1,16),Subject!$B:$B,0),3)</f>
        <v>#N/A</v>
      </c>
      <c r="AH302" s="8" t="str">
        <f t="array" ref="AH302">INDEX(Subject!$A:$I,MATCH(RANDBETWEEN(1,16),Subject!$B:$B,0),3)</f>
        <v>#N/A</v>
      </c>
      <c r="AI302" s="8" t="str">
        <f t="array" ref="AI302">INDEX(Subject!$A:$I,MATCH(RANDBETWEEN(1,16),Subject!$B:$B,0),3)</f>
        <v>#N/A</v>
      </c>
      <c r="AJ302" s="8" t="str">
        <f t="array" ref="AJ302">INDEX(Subject!$A:$I,MATCH(RANDBETWEEN(1,16),Subject!$B:$B,0),3)</f>
        <v>#N/A</v>
      </c>
      <c r="AK302" s="8" t="str">
        <f t="array" ref="AK302">INDEX(Subject!$A:$I,MATCH(RANDBETWEEN(1,16),Subject!$B:$B,0),3)</f>
        <v>#N/A</v>
      </c>
      <c r="AL302" s="8" t="str">
        <f t="array" ref="AL302">INDEX(Subject!$A:$I,MATCH(RANDBETWEEN(1,16),Subject!$B:$B,0),3)</f>
        <v>#N/A</v>
      </c>
      <c r="AM302" s="18">
        <f t="shared" si="4"/>
        <v>45802.33333</v>
      </c>
      <c r="AN302" s="19">
        <f t="shared" ref="AN302:BZ302" si="302">$A302+C$1</f>
        <v>45802.35417</v>
      </c>
      <c r="AO302" s="19">
        <f t="shared" si="302"/>
        <v>45802.375</v>
      </c>
      <c r="AP302" s="19">
        <f t="shared" si="302"/>
        <v>45802.39583</v>
      </c>
      <c r="AQ302" s="19">
        <f t="shared" si="302"/>
        <v>45802.41667</v>
      </c>
      <c r="AR302" s="19">
        <f t="shared" si="302"/>
        <v>45802.4375</v>
      </c>
      <c r="AS302" s="19">
        <f t="shared" si="302"/>
        <v>45802.45833</v>
      </c>
      <c r="AT302" s="19">
        <f t="shared" si="302"/>
        <v>45802.47917</v>
      </c>
      <c r="AU302" s="19">
        <f t="shared" si="302"/>
        <v>45802.5</v>
      </c>
      <c r="AV302" s="19">
        <f t="shared" si="302"/>
        <v>45802.52083</v>
      </c>
      <c r="AW302" s="19">
        <f t="shared" si="302"/>
        <v>45802.54167</v>
      </c>
      <c r="AX302" s="19">
        <f t="shared" si="302"/>
        <v>45802.5625</v>
      </c>
      <c r="AY302" s="19">
        <f t="shared" si="302"/>
        <v>45802.58333</v>
      </c>
      <c r="AZ302" s="19">
        <f t="shared" si="302"/>
        <v>45802.60417</v>
      </c>
      <c r="BA302" s="19">
        <f t="shared" si="302"/>
        <v>45802.625</v>
      </c>
      <c r="BB302" s="19">
        <f t="shared" si="302"/>
        <v>45802.64583</v>
      </c>
      <c r="BC302" s="19">
        <f t="shared" si="302"/>
        <v>45802.66667</v>
      </c>
      <c r="BD302" s="19">
        <f t="shared" si="302"/>
        <v>45802.6875</v>
      </c>
      <c r="BE302" s="19">
        <f t="shared" si="302"/>
        <v>45802.70833</v>
      </c>
      <c r="BF302" s="19">
        <f t="shared" si="302"/>
        <v>45802.72917</v>
      </c>
      <c r="BG302" s="19">
        <f t="shared" si="302"/>
        <v>45802.75</v>
      </c>
      <c r="BH302" s="19">
        <f t="shared" si="302"/>
        <v>45802.77083</v>
      </c>
      <c r="BI302" s="19">
        <f t="shared" si="302"/>
        <v>45802.79167</v>
      </c>
      <c r="BJ302" s="19">
        <f t="shared" si="302"/>
        <v>45802.8125</v>
      </c>
      <c r="BK302" s="19">
        <f t="shared" si="302"/>
        <v>45802.83333</v>
      </c>
      <c r="BL302" s="19">
        <f t="shared" si="302"/>
        <v>45802.85417</v>
      </c>
      <c r="BM302" s="19">
        <f t="shared" si="302"/>
        <v>45802.875</v>
      </c>
      <c r="BN302" s="19">
        <f t="shared" si="302"/>
        <v>45802.89583</v>
      </c>
      <c r="BO302" s="19">
        <f t="shared" si="302"/>
        <v>45802.91667</v>
      </c>
      <c r="BP302" s="19">
        <f t="shared" si="302"/>
        <v>45802.9375</v>
      </c>
      <c r="BQ302" s="19">
        <f t="shared" si="302"/>
        <v>45802.95833</v>
      </c>
      <c r="BR302" s="19">
        <f t="shared" si="302"/>
        <v>45802.97917</v>
      </c>
      <c r="BS302" s="19">
        <f t="shared" si="302"/>
        <v>45803</v>
      </c>
      <c r="BT302" s="19">
        <f t="shared" si="302"/>
        <v>45803.02083</v>
      </c>
      <c r="BU302" s="19">
        <f t="shared" si="302"/>
        <v>45803.04167</v>
      </c>
      <c r="BV302" s="19">
        <f t="shared" si="302"/>
        <v>45803.0625</v>
      </c>
      <c r="BW302" s="19">
        <f t="shared" si="302"/>
        <v>45803.08333</v>
      </c>
      <c r="BX302" s="19">
        <f t="shared" si="302"/>
        <v>45802</v>
      </c>
      <c r="BY302" s="19">
        <f t="shared" si="302"/>
        <v>45802</v>
      </c>
      <c r="BZ302" s="19">
        <f t="shared" si="302"/>
        <v>45802</v>
      </c>
    </row>
    <row r="303" ht="14.25" customHeight="1">
      <c r="A303" s="17">
        <v>45803.0</v>
      </c>
      <c r="B303" s="2" t="str">
        <f t="array" ref="B303">IF(NOW()&gt;AM303,"",IF(AND((WEEKDAY($A303)+$B$2)&gt;1,((WEEKDAY($A303)+$T$2)&lt;7),(WEEKDAY($A303)&lt;&gt;1)),"work",(INDEX(Subject!$A:$I,MATCH(RANDBETWEEN(1,(MAX(Subject!$B:$B))),Subject!$B:$B,0),3))))</f>
        <v/>
      </c>
      <c r="C303" s="2" t="str">
        <f t="array" ref="C303">IF(NOW()&gt;AN303,"",IF(AND((WEEKDAY($A303)+$B$2)&gt;1,((WEEKDAY($A303)+$T$2)&lt;7),(WEEKDAY($A303)&lt;&gt;1)),"work",(INDEX(Subject!$A:$I,MATCH(RANDBETWEEN(1,(MAX(Subject!$B:$B))),Subject!$B:$B,0),3))))</f>
        <v/>
      </c>
      <c r="D303" s="2" t="str">
        <f t="array" ref="D303">IF(NOW()&gt;AO303,"",IF(AND((WEEKDAY($A303)+$B$2)&gt;1,((WEEKDAY($A303)+$T$2)&lt;7),(WEEKDAY($A303)&lt;&gt;1)),"work",(INDEX(Subject!$A:$I,MATCH(RANDBETWEEN(1,(MAX(Subject!$B:$B))),Subject!$B:$B,0),3))))</f>
        <v/>
      </c>
      <c r="E303" s="2" t="str">
        <f t="array" ref="E303">IF(NOW()&gt;AP303,"",IF(AND((WEEKDAY($A303)+$B$2)&gt;1,((WEEKDAY($A303)+$T$2)&lt;7),(WEEKDAY($A303)&lt;&gt;1)),"work",(INDEX(Subject!$A:$I,MATCH(RANDBETWEEN(1,(MAX(Subject!$B:$B))),Subject!$B:$B,0),3))))</f>
        <v/>
      </c>
      <c r="F303" s="2" t="str">
        <f t="array" ref="F303">IF(NOW()&gt;AQ303,"",IF(AND((WEEKDAY($A303)+$B$2)&gt;1,((WEEKDAY($A303)+$T$2)&lt;7),(WEEKDAY($A303)&lt;&gt;1)),"work",(INDEX(Subject!$A:$I,MATCH(RANDBETWEEN(1,(MAX(Subject!$B:$B))),Subject!$B:$B,0),3))))</f>
        <v/>
      </c>
      <c r="G303" s="2" t="str">
        <f t="array" ref="G303">IF(NOW()&gt;AR303,"",IF(AND((WEEKDAY($A303)+$B$2)&gt;1,((WEEKDAY($A303)+$T$2)&lt;7),(WEEKDAY($A303)&lt;&gt;1)),"work",(INDEX(Subject!$A:$I,MATCH(RANDBETWEEN(1,(MAX(Subject!$B:$B))),Subject!$B:$B,0),3))))</f>
        <v/>
      </c>
      <c r="H303" s="2" t="str">
        <f t="array" ref="H303">IF(NOW()&gt;AS303,"",IF(AND((WEEKDAY($A303)+$B$2)&gt;1,((WEEKDAY($A303)+$T$2)&lt;7),(WEEKDAY($A303)&lt;&gt;1)),"work",(INDEX(Subject!$A:$I,MATCH(RANDBETWEEN(1,(MAX(Subject!$B:$B))),Subject!$B:$B,0),3))))</f>
        <v/>
      </c>
      <c r="I303" s="2" t="str">
        <f t="array" ref="I303">IF(NOW()&gt;AT303,"",IF(AND((WEEKDAY($A303)+$B$2)&gt;1,((WEEKDAY($A303)+$T$2)&lt;7),(WEEKDAY($A303)&lt;&gt;1)),"work",(INDEX(Subject!$A:$I,MATCH(RANDBETWEEN(1,(MAX(Subject!$B:$B))),Subject!$B:$B,0),3))))</f>
        <v/>
      </c>
      <c r="J303" s="2" t="str">
        <f t="array" ref="J303">IF(NOW()&gt;AU303,"",IF(AND((WEEKDAY($A303)+$B$2)&gt;1,((WEEKDAY($A303)+$T$2)&lt;7),(WEEKDAY($A303)&lt;&gt;1)),"work",(INDEX(Subject!$A:$I,MATCH(RANDBETWEEN(1,(MAX(Subject!$B:$B))),Subject!$B:$B,0),3))))</f>
        <v/>
      </c>
      <c r="K303" s="2" t="str">
        <f t="array" ref="K303">IF(NOW()&gt;AV303,"",IF(AND((WEEKDAY($A303)+$B$2)&gt;1,((WEEKDAY($A303)+$T$2)&lt;7),(WEEKDAY($A303)&lt;&gt;1)),"work",(INDEX(Subject!$A:$I,MATCH(RANDBETWEEN(1,(MAX(Subject!$B:$B))),Subject!$B:$B,0),3))))</f>
        <v/>
      </c>
      <c r="L303" s="2" t="str">
        <f t="array" ref="L303">IF(NOW()&gt;AW303,"",IF(AND((WEEKDAY($A303)+$B$2)&gt;1,((WEEKDAY($A303)+$T$2)&lt;7),(WEEKDAY($A303)&lt;&gt;1)),"work",(INDEX(Subject!$A:$I,MATCH(RANDBETWEEN(1,(MAX(Subject!$B:$B))),Subject!$B:$B,0),3))))</f>
        <v/>
      </c>
      <c r="M303" s="2" t="str">
        <f t="array" ref="M303">IF(NOW()&gt;AX303,"",IF(AND((WEEKDAY($A303)+$B$2)&gt;1,((WEEKDAY($A303)+$T$2)&lt;7),(WEEKDAY($A303)&lt;&gt;1)),"work",(INDEX(Subject!$A:$I,MATCH(RANDBETWEEN(1,(MAX(Subject!$B:$B))),Subject!$B:$B,0),3))))</f>
        <v/>
      </c>
      <c r="N303" s="2" t="str">
        <f t="array" ref="N303">IF(NOW()&gt;AY303,"",IF(AND((WEEKDAY($A303)+$B$2)&gt;1,((WEEKDAY($A303)+$T$2)&lt;7),(WEEKDAY($A303)&lt;&gt;1)),"work",(INDEX(Subject!$A:$I,MATCH(RANDBETWEEN(1,(MAX(Subject!$B:$B))),Subject!$B:$B,0),3))))</f>
        <v/>
      </c>
      <c r="O303" s="2" t="str">
        <f t="array" ref="O303">IF(NOW()&gt;AZ303,"",IF(AND((WEEKDAY($A303)+$B$2)&gt;1,((WEEKDAY($A303)+$T$2)&lt;7),(WEEKDAY($A303)&lt;&gt;1)),"work",(INDEX(Subject!$A:$I,MATCH(RANDBETWEEN(1,(MAX(Subject!$B:$B))),Subject!$B:$B,0),3))))</f>
        <v/>
      </c>
      <c r="P303" s="2" t="str">
        <f t="array" ref="P303">IF(NOW()&gt;BA303,"",IF(AND((WEEKDAY($A303)+$B$2)&gt;1,((WEEKDAY($A303)+$T$2)&lt;7),(WEEKDAY($A303)&lt;&gt;1)),"work",(INDEX(Subject!$A:$I,MATCH(RANDBETWEEN(1,(MAX(Subject!$B:$B))),Subject!$B:$B,0),3))))</f>
        <v/>
      </c>
      <c r="Q303" s="2" t="str">
        <f t="array" ref="Q303">IF(NOW()&gt;BB303,"",IF(AND((WEEKDAY($A303)+$B$2)&gt;1,((WEEKDAY($A303)+$T$2)&lt;7),(WEEKDAY($A303)&lt;&gt;1)),"work",(INDEX(Subject!$A:$I,MATCH(RANDBETWEEN(1,(MAX(Subject!$B:$B))),Subject!$B:$B,0),3))))</f>
        <v/>
      </c>
      <c r="R303" s="2" t="str">
        <f t="array" ref="R303">IF(NOW()&gt;BC303,"",IF(AND((WEEKDAY($A303)+$B$2)&gt;1,((WEEKDAY($A303)+$T$2)&lt;7),(WEEKDAY($A303)&lt;&gt;1)),"work",(INDEX(Subject!$A:$I,MATCH(RANDBETWEEN(1,(MAX(Subject!$B:$B))),Subject!$B:$B,0),3))))</f>
        <v/>
      </c>
      <c r="S303" s="2" t="str">
        <f t="array" ref="S303">IF(NOW()&gt;BD303,"",IF(AND((WEEKDAY($A303)+$B$2)&gt;1,((WEEKDAY($A303)+$T$2)&lt;7),(WEEKDAY($A303)&lt;&gt;1)),"work",(INDEX(Subject!$A:$I,MATCH(RANDBETWEEN(1,(MAX(Subject!$B:$B))),Subject!$B:$B,0),3))))</f>
        <v/>
      </c>
      <c r="T303" s="2" t="str">
        <f t="array" ref="T303">IF(NOW()&gt;BE303,"",IF(AND((WEEKDAY($A303)+$B$2)&gt;1,((WEEKDAY($A303)+$T$2)&lt;7),(WEEKDAY($A303)&lt;&gt;1)),"work",(INDEX(Subject!$A:$I,MATCH(RANDBETWEEN(1,(MAX(Subject!$B:$B))),Subject!$B:$B,0),3))))</f>
        <v/>
      </c>
      <c r="U303" s="8" t="str">
        <f t="array" ref="U303">INDEX(Subject!$A:$I,MATCH(RANDBETWEEN(1,16),Subject!$B:$B,0),3)</f>
        <v>#N/A</v>
      </c>
      <c r="V303" s="8" t="str">
        <f t="array" ref="V303">INDEX(Subject!$A:$I,MATCH(RANDBETWEEN(1,16),Subject!$B:$B,0),3)</f>
        <v>#N/A</v>
      </c>
      <c r="W303" s="8" t="str">
        <f t="array" ref="W303">INDEX(Subject!$A:$I,MATCH(RANDBETWEEN(1,16),Subject!$B:$B,0),3)</f>
        <v>#N/A</v>
      </c>
      <c r="X303" s="8" t="str">
        <f t="array" ref="X303">INDEX(Subject!$A:$I,MATCH(RANDBETWEEN(1,16),Subject!$B:$B,0),3)</f>
        <v>#N/A</v>
      </c>
      <c r="Y303" s="8" t="str">
        <f t="array" ref="Y303">INDEX(Subject!$A:$I,MATCH(RANDBETWEEN(1,16),Subject!$B:$B,0),3)</f>
        <v>#N/A</v>
      </c>
      <c r="Z303" s="8" t="str">
        <f t="array" ref="Z303">INDEX(Subject!$A:$I,MATCH(RANDBETWEEN(1,16),Subject!$B:$B,0),3)</f>
        <v>#N/A</v>
      </c>
      <c r="AA303" s="8" t="str">
        <f t="array" ref="AA303">INDEX(Subject!$A:$I,MATCH(RANDBETWEEN(1,16),Subject!$B:$B,0),3)</f>
        <v>#N/A</v>
      </c>
      <c r="AB303" s="8" t="str">
        <f t="array" ref="AB303">INDEX(Subject!$A:$I,MATCH(RANDBETWEEN(1,16),Subject!$B:$B,0),3)</f>
        <v>#N/A</v>
      </c>
      <c r="AC303" s="8" t="str">
        <f t="array" ref="AC303">INDEX(Subject!$A:$I,MATCH(RANDBETWEEN(1,16),Subject!$B:$B,0),3)</f>
        <v>#N/A</v>
      </c>
      <c r="AD303" s="8" t="str">
        <f t="array" ref="AD303">INDEX(Subject!$A:$I,MATCH(RANDBETWEEN(1,16),Subject!$B:$B,0),3)</f>
        <v>#N/A</v>
      </c>
      <c r="AE303" s="8" t="str">
        <f t="array" ref="AE303">INDEX(Subject!$A:$I,MATCH(RANDBETWEEN(1,16),Subject!$B:$B,0),3)</f>
        <v>#N/A</v>
      </c>
      <c r="AF303" s="8" t="str">
        <f t="array" ref="AF303">INDEX(Subject!$A:$I,MATCH(RANDBETWEEN(1,16),Subject!$B:$B,0),3)</f>
        <v>#N/A</v>
      </c>
      <c r="AG303" s="8" t="str">
        <f t="array" ref="AG303">INDEX(Subject!$A:$I,MATCH(RANDBETWEEN(1,16),Subject!$B:$B,0),3)</f>
        <v>#N/A</v>
      </c>
      <c r="AH303" s="8" t="str">
        <f t="array" ref="AH303">INDEX(Subject!$A:$I,MATCH(RANDBETWEEN(1,16),Subject!$B:$B,0),3)</f>
        <v>#N/A</v>
      </c>
      <c r="AI303" s="8" t="str">
        <f t="array" ref="AI303">INDEX(Subject!$A:$I,MATCH(RANDBETWEEN(1,16),Subject!$B:$B,0),3)</f>
        <v>#N/A</v>
      </c>
      <c r="AJ303" s="8" t="str">
        <f t="array" ref="AJ303">INDEX(Subject!$A:$I,MATCH(RANDBETWEEN(1,16),Subject!$B:$B,0),3)</f>
        <v>#N/A</v>
      </c>
      <c r="AK303" s="8" t="str">
        <f t="array" ref="AK303">INDEX(Subject!$A:$I,MATCH(RANDBETWEEN(1,16),Subject!$B:$B,0),3)</f>
        <v>#N/A</v>
      </c>
      <c r="AL303" s="8" t="str">
        <f t="array" ref="AL303">INDEX(Subject!$A:$I,MATCH(RANDBETWEEN(1,16),Subject!$B:$B,0),3)</f>
        <v>#N/A</v>
      </c>
      <c r="AM303" s="18">
        <f t="shared" si="4"/>
        <v>45803.33333</v>
      </c>
      <c r="AN303" s="19">
        <f t="shared" ref="AN303:BZ303" si="303">$A303+C$1</f>
        <v>45803.35417</v>
      </c>
      <c r="AO303" s="19">
        <f t="shared" si="303"/>
        <v>45803.375</v>
      </c>
      <c r="AP303" s="19">
        <f t="shared" si="303"/>
        <v>45803.39583</v>
      </c>
      <c r="AQ303" s="19">
        <f t="shared" si="303"/>
        <v>45803.41667</v>
      </c>
      <c r="AR303" s="19">
        <f t="shared" si="303"/>
        <v>45803.4375</v>
      </c>
      <c r="AS303" s="19">
        <f t="shared" si="303"/>
        <v>45803.45833</v>
      </c>
      <c r="AT303" s="19">
        <f t="shared" si="303"/>
        <v>45803.47917</v>
      </c>
      <c r="AU303" s="19">
        <f t="shared" si="303"/>
        <v>45803.5</v>
      </c>
      <c r="AV303" s="19">
        <f t="shared" si="303"/>
        <v>45803.52083</v>
      </c>
      <c r="AW303" s="19">
        <f t="shared" si="303"/>
        <v>45803.54167</v>
      </c>
      <c r="AX303" s="19">
        <f t="shared" si="303"/>
        <v>45803.5625</v>
      </c>
      <c r="AY303" s="19">
        <f t="shared" si="303"/>
        <v>45803.58333</v>
      </c>
      <c r="AZ303" s="19">
        <f t="shared" si="303"/>
        <v>45803.60417</v>
      </c>
      <c r="BA303" s="19">
        <f t="shared" si="303"/>
        <v>45803.625</v>
      </c>
      <c r="BB303" s="19">
        <f t="shared" si="303"/>
        <v>45803.64583</v>
      </c>
      <c r="BC303" s="19">
        <f t="shared" si="303"/>
        <v>45803.66667</v>
      </c>
      <c r="BD303" s="19">
        <f t="shared" si="303"/>
        <v>45803.6875</v>
      </c>
      <c r="BE303" s="19">
        <f t="shared" si="303"/>
        <v>45803.70833</v>
      </c>
      <c r="BF303" s="19">
        <f t="shared" si="303"/>
        <v>45803.72917</v>
      </c>
      <c r="BG303" s="19">
        <f t="shared" si="303"/>
        <v>45803.75</v>
      </c>
      <c r="BH303" s="19">
        <f t="shared" si="303"/>
        <v>45803.77083</v>
      </c>
      <c r="BI303" s="19">
        <f t="shared" si="303"/>
        <v>45803.79167</v>
      </c>
      <c r="BJ303" s="19">
        <f t="shared" si="303"/>
        <v>45803.8125</v>
      </c>
      <c r="BK303" s="19">
        <f t="shared" si="303"/>
        <v>45803.83333</v>
      </c>
      <c r="BL303" s="19">
        <f t="shared" si="303"/>
        <v>45803.85417</v>
      </c>
      <c r="BM303" s="19">
        <f t="shared" si="303"/>
        <v>45803.875</v>
      </c>
      <c r="BN303" s="19">
        <f t="shared" si="303"/>
        <v>45803.89583</v>
      </c>
      <c r="BO303" s="19">
        <f t="shared" si="303"/>
        <v>45803.91667</v>
      </c>
      <c r="BP303" s="19">
        <f t="shared" si="303"/>
        <v>45803.9375</v>
      </c>
      <c r="BQ303" s="19">
        <f t="shared" si="303"/>
        <v>45803.95833</v>
      </c>
      <c r="BR303" s="19">
        <f t="shared" si="303"/>
        <v>45803.97917</v>
      </c>
      <c r="BS303" s="19">
        <f t="shared" si="303"/>
        <v>45804</v>
      </c>
      <c r="BT303" s="19">
        <f t="shared" si="303"/>
        <v>45804.02083</v>
      </c>
      <c r="BU303" s="19">
        <f t="shared" si="303"/>
        <v>45804.04167</v>
      </c>
      <c r="BV303" s="19">
        <f t="shared" si="303"/>
        <v>45804.0625</v>
      </c>
      <c r="BW303" s="19">
        <f t="shared" si="303"/>
        <v>45804.08333</v>
      </c>
      <c r="BX303" s="19">
        <f t="shared" si="303"/>
        <v>45803</v>
      </c>
      <c r="BY303" s="19">
        <f t="shared" si="303"/>
        <v>45803</v>
      </c>
      <c r="BZ303" s="19">
        <f t="shared" si="303"/>
        <v>45803</v>
      </c>
    </row>
    <row r="304" ht="14.25" customHeight="1">
      <c r="A304" s="17">
        <v>45804.0</v>
      </c>
      <c r="B304" s="2" t="str">
        <f t="array" ref="B304">IF(NOW()&gt;AM304,"",IF(AND((WEEKDAY($A304)+$B$2)&gt;1,((WEEKDAY($A304)+$T$2)&lt;7),(WEEKDAY($A304)&lt;&gt;1)),"work",(INDEX(Subject!$A:$I,MATCH(RANDBETWEEN(1,(MAX(Subject!$B:$B))),Subject!$B:$B,0),3))))</f>
        <v/>
      </c>
      <c r="C304" s="2" t="str">
        <f t="array" ref="C304">IF(NOW()&gt;AN304,"",IF(AND((WEEKDAY($A304)+$B$2)&gt;1,((WEEKDAY($A304)+$T$2)&lt;7),(WEEKDAY($A304)&lt;&gt;1)),"work",(INDEX(Subject!$A:$I,MATCH(RANDBETWEEN(1,(MAX(Subject!$B:$B))),Subject!$B:$B,0),3))))</f>
        <v/>
      </c>
      <c r="D304" s="2" t="str">
        <f t="array" ref="D304">IF(NOW()&gt;AO304,"",IF(AND((WEEKDAY($A304)+$B$2)&gt;1,((WEEKDAY($A304)+$T$2)&lt;7),(WEEKDAY($A304)&lt;&gt;1)),"work",(INDEX(Subject!$A:$I,MATCH(RANDBETWEEN(1,(MAX(Subject!$B:$B))),Subject!$B:$B,0),3))))</f>
        <v/>
      </c>
      <c r="E304" s="2" t="str">
        <f t="array" ref="E304">IF(NOW()&gt;AP304,"",IF(AND((WEEKDAY($A304)+$B$2)&gt;1,((WEEKDAY($A304)+$T$2)&lt;7),(WEEKDAY($A304)&lt;&gt;1)),"work",(INDEX(Subject!$A:$I,MATCH(RANDBETWEEN(1,(MAX(Subject!$B:$B))),Subject!$B:$B,0),3))))</f>
        <v/>
      </c>
      <c r="F304" s="2" t="str">
        <f t="array" ref="F304">IF(NOW()&gt;AQ304,"",IF(AND((WEEKDAY($A304)+$B$2)&gt;1,((WEEKDAY($A304)+$T$2)&lt;7),(WEEKDAY($A304)&lt;&gt;1)),"work",(INDEX(Subject!$A:$I,MATCH(RANDBETWEEN(1,(MAX(Subject!$B:$B))),Subject!$B:$B,0),3))))</f>
        <v/>
      </c>
      <c r="G304" s="2" t="str">
        <f t="array" ref="G304">IF(NOW()&gt;AR304,"",IF(AND((WEEKDAY($A304)+$B$2)&gt;1,((WEEKDAY($A304)+$T$2)&lt;7),(WEEKDAY($A304)&lt;&gt;1)),"work",(INDEX(Subject!$A:$I,MATCH(RANDBETWEEN(1,(MAX(Subject!$B:$B))),Subject!$B:$B,0),3))))</f>
        <v/>
      </c>
      <c r="H304" s="2" t="str">
        <f t="array" ref="H304">IF(NOW()&gt;AS304,"",IF(AND((WEEKDAY($A304)+$B$2)&gt;1,((WEEKDAY($A304)+$T$2)&lt;7),(WEEKDAY($A304)&lt;&gt;1)),"work",(INDEX(Subject!$A:$I,MATCH(RANDBETWEEN(1,(MAX(Subject!$B:$B))),Subject!$B:$B,0),3))))</f>
        <v/>
      </c>
      <c r="I304" s="2" t="str">
        <f t="array" ref="I304">IF(NOW()&gt;AT304,"",IF(AND((WEEKDAY($A304)+$B$2)&gt;1,((WEEKDAY($A304)+$T$2)&lt;7),(WEEKDAY($A304)&lt;&gt;1)),"work",(INDEX(Subject!$A:$I,MATCH(RANDBETWEEN(1,(MAX(Subject!$B:$B))),Subject!$B:$B,0),3))))</f>
        <v/>
      </c>
      <c r="J304" s="2" t="str">
        <f t="array" ref="J304">IF(NOW()&gt;AU304,"",IF(AND((WEEKDAY($A304)+$B$2)&gt;1,((WEEKDAY($A304)+$T$2)&lt;7),(WEEKDAY($A304)&lt;&gt;1)),"work",(INDEX(Subject!$A:$I,MATCH(RANDBETWEEN(1,(MAX(Subject!$B:$B))),Subject!$B:$B,0),3))))</f>
        <v/>
      </c>
      <c r="K304" s="2" t="str">
        <f t="array" ref="K304">IF(NOW()&gt;AV304,"",IF(AND((WEEKDAY($A304)+$B$2)&gt;1,((WEEKDAY($A304)+$T$2)&lt;7),(WEEKDAY($A304)&lt;&gt;1)),"work",(INDEX(Subject!$A:$I,MATCH(RANDBETWEEN(1,(MAX(Subject!$B:$B))),Subject!$B:$B,0),3))))</f>
        <v/>
      </c>
      <c r="L304" s="2" t="str">
        <f t="array" ref="L304">IF(NOW()&gt;AW304,"",IF(AND((WEEKDAY($A304)+$B$2)&gt;1,((WEEKDAY($A304)+$T$2)&lt;7),(WEEKDAY($A304)&lt;&gt;1)),"work",(INDEX(Subject!$A:$I,MATCH(RANDBETWEEN(1,(MAX(Subject!$B:$B))),Subject!$B:$B,0),3))))</f>
        <v/>
      </c>
      <c r="M304" s="2" t="str">
        <f t="array" ref="M304">IF(NOW()&gt;AX304,"",IF(AND((WEEKDAY($A304)+$B$2)&gt;1,((WEEKDAY($A304)+$T$2)&lt;7),(WEEKDAY($A304)&lt;&gt;1)),"work",(INDEX(Subject!$A:$I,MATCH(RANDBETWEEN(1,(MAX(Subject!$B:$B))),Subject!$B:$B,0),3))))</f>
        <v/>
      </c>
      <c r="N304" s="2" t="str">
        <f t="array" ref="N304">IF(NOW()&gt;AY304,"",IF(AND((WEEKDAY($A304)+$B$2)&gt;1,((WEEKDAY($A304)+$T$2)&lt;7),(WEEKDAY($A304)&lt;&gt;1)),"work",(INDEX(Subject!$A:$I,MATCH(RANDBETWEEN(1,(MAX(Subject!$B:$B))),Subject!$B:$B,0),3))))</f>
        <v/>
      </c>
      <c r="O304" s="2" t="str">
        <f t="array" ref="O304">IF(NOW()&gt;AZ304,"",IF(AND((WEEKDAY($A304)+$B$2)&gt;1,((WEEKDAY($A304)+$T$2)&lt;7),(WEEKDAY($A304)&lt;&gt;1)),"work",(INDEX(Subject!$A:$I,MATCH(RANDBETWEEN(1,(MAX(Subject!$B:$B))),Subject!$B:$B,0),3))))</f>
        <v/>
      </c>
      <c r="P304" s="2" t="str">
        <f t="array" ref="P304">IF(NOW()&gt;BA304,"",IF(AND((WEEKDAY($A304)+$B$2)&gt;1,((WEEKDAY($A304)+$T$2)&lt;7),(WEEKDAY($A304)&lt;&gt;1)),"work",(INDEX(Subject!$A:$I,MATCH(RANDBETWEEN(1,(MAX(Subject!$B:$B))),Subject!$B:$B,0),3))))</f>
        <v/>
      </c>
      <c r="Q304" s="2" t="str">
        <f t="array" ref="Q304">IF(NOW()&gt;BB304,"",IF(AND((WEEKDAY($A304)+$B$2)&gt;1,((WEEKDAY($A304)+$T$2)&lt;7),(WEEKDAY($A304)&lt;&gt;1)),"work",(INDEX(Subject!$A:$I,MATCH(RANDBETWEEN(1,(MAX(Subject!$B:$B))),Subject!$B:$B,0),3))))</f>
        <v/>
      </c>
      <c r="R304" s="2" t="str">
        <f t="array" ref="R304">IF(NOW()&gt;BC304,"",IF(AND((WEEKDAY($A304)+$B$2)&gt;1,((WEEKDAY($A304)+$T$2)&lt;7),(WEEKDAY($A304)&lt;&gt;1)),"work",(INDEX(Subject!$A:$I,MATCH(RANDBETWEEN(1,(MAX(Subject!$B:$B))),Subject!$B:$B,0),3))))</f>
        <v/>
      </c>
      <c r="S304" s="2" t="str">
        <f t="array" ref="S304">IF(NOW()&gt;BD304,"",IF(AND((WEEKDAY($A304)+$B$2)&gt;1,((WEEKDAY($A304)+$T$2)&lt;7),(WEEKDAY($A304)&lt;&gt;1)),"work",(INDEX(Subject!$A:$I,MATCH(RANDBETWEEN(1,(MAX(Subject!$B:$B))),Subject!$B:$B,0),3))))</f>
        <v/>
      </c>
      <c r="T304" s="2" t="str">
        <f t="array" ref="T304">IF(NOW()&gt;BE304,"",IF(AND((WEEKDAY($A304)+$B$2)&gt;1,((WEEKDAY($A304)+$T$2)&lt;7),(WEEKDAY($A304)&lt;&gt;1)),"work",(INDEX(Subject!$A:$I,MATCH(RANDBETWEEN(1,(MAX(Subject!$B:$B))),Subject!$B:$B,0),3))))</f>
        <v/>
      </c>
      <c r="U304" s="8" t="str">
        <f t="array" ref="U304">INDEX(Subject!$A:$I,MATCH(RANDBETWEEN(1,16),Subject!$B:$B,0),3)</f>
        <v/>
      </c>
      <c r="V304" s="8" t="str">
        <f t="array" ref="V304">INDEX(Subject!$A:$I,MATCH(RANDBETWEEN(1,16),Subject!$B:$B,0),3)</f>
        <v>#N/A</v>
      </c>
      <c r="W304" s="8" t="str">
        <f t="array" ref="W304">INDEX(Subject!$A:$I,MATCH(RANDBETWEEN(1,16),Subject!$B:$B,0),3)</f>
        <v>#N/A</v>
      </c>
      <c r="X304" s="8" t="str">
        <f t="array" ref="X304">INDEX(Subject!$A:$I,MATCH(RANDBETWEEN(1,16),Subject!$B:$B,0),3)</f>
        <v>#N/A</v>
      </c>
      <c r="Y304" s="8" t="str">
        <f t="array" ref="Y304">INDEX(Subject!$A:$I,MATCH(RANDBETWEEN(1,16),Subject!$B:$B,0),3)</f>
        <v>#N/A</v>
      </c>
      <c r="Z304" s="8" t="str">
        <f t="array" ref="Z304">INDEX(Subject!$A:$I,MATCH(RANDBETWEEN(1,16),Subject!$B:$B,0),3)</f>
        <v>#N/A</v>
      </c>
      <c r="AA304" s="8" t="str">
        <f t="array" ref="AA304">INDEX(Subject!$A:$I,MATCH(RANDBETWEEN(1,16),Subject!$B:$B,0),3)</f>
        <v>#N/A</v>
      </c>
      <c r="AB304" s="8" t="str">
        <f t="array" ref="AB304">INDEX(Subject!$A:$I,MATCH(RANDBETWEEN(1,16),Subject!$B:$B,0),3)</f>
        <v>#N/A</v>
      </c>
      <c r="AC304" s="8" t="str">
        <f t="array" ref="AC304">INDEX(Subject!$A:$I,MATCH(RANDBETWEEN(1,16),Subject!$B:$B,0),3)</f>
        <v>#N/A</v>
      </c>
      <c r="AD304" s="8" t="str">
        <f t="array" ref="AD304">INDEX(Subject!$A:$I,MATCH(RANDBETWEEN(1,16),Subject!$B:$B,0),3)</f>
        <v>#N/A</v>
      </c>
      <c r="AE304" s="8" t="str">
        <f t="array" ref="AE304">INDEX(Subject!$A:$I,MATCH(RANDBETWEEN(1,16),Subject!$B:$B,0),3)</f>
        <v>#N/A</v>
      </c>
      <c r="AF304" s="8" t="str">
        <f t="array" ref="AF304">INDEX(Subject!$A:$I,MATCH(RANDBETWEEN(1,16),Subject!$B:$B,0),3)</f>
        <v/>
      </c>
      <c r="AG304" s="8" t="str">
        <f t="array" ref="AG304">INDEX(Subject!$A:$I,MATCH(RANDBETWEEN(1,16),Subject!$B:$B,0),3)</f>
        <v>#N/A</v>
      </c>
      <c r="AH304" s="8" t="str">
        <f t="array" ref="AH304">INDEX(Subject!$A:$I,MATCH(RANDBETWEEN(1,16),Subject!$B:$B,0),3)</f>
        <v>#N/A</v>
      </c>
      <c r="AI304" s="8" t="str">
        <f t="array" ref="AI304">INDEX(Subject!$A:$I,MATCH(RANDBETWEEN(1,16),Subject!$B:$B,0),3)</f>
        <v>#N/A</v>
      </c>
      <c r="AJ304" s="8" t="str">
        <f t="array" ref="AJ304">INDEX(Subject!$A:$I,MATCH(RANDBETWEEN(1,16),Subject!$B:$B,0),3)</f>
        <v>#N/A</v>
      </c>
      <c r="AK304" s="8" t="str">
        <f t="array" ref="AK304">INDEX(Subject!$A:$I,MATCH(RANDBETWEEN(1,16),Subject!$B:$B,0),3)</f>
        <v>#N/A</v>
      </c>
      <c r="AL304" s="8" t="str">
        <f t="array" ref="AL304">INDEX(Subject!$A:$I,MATCH(RANDBETWEEN(1,16),Subject!$B:$B,0),3)</f>
        <v>#N/A</v>
      </c>
      <c r="AM304" s="18">
        <f t="shared" si="4"/>
        <v>45804.33333</v>
      </c>
      <c r="AN304" s="19">
        <f t="shared" ref="AN304:BZ304" si="304">$A304+C$1</f>
        <v>45804.35417</v>
      </c>
      <c r="AO304" s="19">
        <f t="shared" si="304"/>
        <v>45804.375</v>
      </c>
      <c r="AP304" s="19">
        <f t="shared" si="304"/>
        <v>45804.39583</v>
      </c>
      <c r="AQ304" s="19">
        <f t="shared" si="304"/>
        <v>45804.41667</v>
      </c>
      <c r="AR304" s="19">
        <f t="shared" si="304"/>
        <v>45804.4375</v>
      </c>
      <c r="AS304" s="19">
        <f t="shared" si="304"/>
        <v>45804.45833</v>
      </c>
      <c r="AT304" s="19">
        <f t="shared" si="304"/>
        <v>45804.47917</v>
      </c>
      <c r="AU304" s="19">
        <f t="shared" si="304"/>
        <v>45804.5</v>
      </c>
      <c r="AV304" s="19">
        <f t="shared" si="304"/>
        <v>45804.52083</v>
      </c>
      <c r="AW304" s="19">
        <f t="shared" si="304"/>
        <v>45804.54167</v>
      </c>
      <c r="AX304" s="19">
        <f t="shared" si="304"/>
        <v>45804.5625</v>
      </c>
      <c r="AY304" s="19">
        <f t="shared" si="304"/>
        <v>45804.58333</v>
      </c>
      <c r="AZ304" s="19">
        <f t="shared" si="304"/>
        <v>45804.60417</v>
      </c>
      <c r="BA304" s="19">
        <f t="shared" si="304"/>
        <v>45804.625</v>
      </c>
      <c r="BB304" s="19">
        <f t="shared" si="304"/>
        <v>45804.64583</v>
      </c>
      <c r="BC304" s="19">
        <f t="shared" si="304"/>
        <v>45804.66667</v>
      </c>
      <c r="BD304" s="19">
        <f t="shared" si="304"/>
        <v>45804.6875</v>
      </c>
      <c r="BE304" s="19">
        <f t="shared" si="304"/>
        <v>45804.70833</v>
      </c>
      <c r="BF304" s="19">
        <f t="shared" si="304"/>
        <v>45804.72917</v>
      </c>
      <c r="BG304" s="19">
        <f t="shared" si="304"/>
        <v>45804.75</v>
      </c>
      <c r="BH304" s="19">
        <f t="shared" si="304"/>
        <v>45804.77083</v>
      </c>
      <c r="BI304" s="19">
        <f t="shared" si="304"/>
        <v>45804.79167</v>
      </c>
      <c r="BJ304" s="19">
        <f t="shared" si="304"/>
        <v>45804.8125</v>
      </c>
      <c r="BK304" s="19">
        <f t="shared" si="304"/>
        <v>45804.83333</v>
      </c>
      <c r="BL304" s="19">
        <f t="shared" si="304"/>
        <v>45804.85417</v>
      </c>
      <c r="BM304" s="19">
        <f t="shared" si="304"/>
        <v>45804.875</v>
      </c>
      <c r="BN304" s="19">
        <f t="shared" si="304"/>
        <v>45804.89583</v>
      </c>
      <c r="BO304" s="19">
        <f t="shared" si="304"/>
        <v>45804.91667</v>
      </c>
      <c r="BP304" s="19">
        <f t="shared" si="304"/>
        <v>45804.9375</v>
      </c>
      <c r="BQ304" s="19">
        <f t="shared" si="304"/>
        <v>45804.95833</v>
      </c>
      <c r="BR304" s="19">
        <f t="shared" si="304"/>
        <v>45804.97917</v>
      </c>
      <c r="BS304" s="19">
        <f t="shared" si="304"/>
        <v>45805</v>
      </c>
      <c r="BT304" s="19">
        <f t="shared" si="304"/>
        <v>45805.02083</v>
      </c>
      <c r="BU304" s="19">
        <f t="shared" si="304"/>
        <v>45805.04167</v>
      </c>
      <c r="BV304" s="19">
        <f t="shared" si="304"/>
        <v>45805.0625</v>
      </c>
      <c r="BW304" s="19">
        <f t="shared" si="304"/>
        <v>45805.08333</v>
      </c>
      <c r="BX304" s="19">
        <f t="shared" si="304"/>
        <v>45804</v>
      </c>
      <c r="BY304" s="19">
        <f t="shared" si="304"/>
        <v>45804</v>
      </c>
      <c r="BZ304" s="19">
        <f t="shared" si="304"/>
        <v>45804</v>
      </c>
    </row>
    <row r="305" ht="14.25" customHeight="1">
      <c r="A305" s="17">
        <v>45805.0</v>
      </c>
      <c r="B305" s="2" t="str">
        <f t="array" ref="B305">IF(NOW()&gt;AM305,"",IF(AND((WEEKDAY($A305)+$B$2)&gt;1,((WEEKDAY($A305)+$T$2)&lt;7),(WEEKDAY($A305)&lt;&gt;1)),"work",(INDEX(Subject!$A:$I,MATCH(RANDBETWEEN(1,(MAX(Subject!$B:$B))),Subject!$B:$B,0),3))))</f>
        <v/>
      </c>
      <c r="C305" s="2" t="str">
        <f t="array" ref="C305">IF(NOW()&gt;AN305,"",IF(AND((WEEKDAY($A305)+$B$2)&gt;1,((WEEKDAY($A305)+$T$2)&lt;7),(WEEKDAY($A305)&lt;&gt;1)),"work",(INDEX(Subject!$A:$I,MATCH(RANDBETWEEN(1,(MAX(Subject!$B:$B))),Subject!$B:$B,0),3))))</f>
        <v/>
      </c>
      <c r="D305" s="2" t="str">
        <f t="array" ref="D305">IF(NOW()&gt;AO305,"",IF(AND((WEEKDAY($A305)+$B$2)&gt;1,((WEEKDAY($A305)+$T$2)&lt;7),(WEEKDAY($A305)&lt;&gt;1)),"work",(INDEX(Subject!$A:$I,MATCH(RANDBETWEEN(1,(MAX(Subject!$B:$B))),Subject!$B:$B,0),3))))</f>
        <v/>
      </c>
      <c r="E305" s="2" t="str">
        <f t="array" ref="E305">IF(NOW()&gt;AP305,"",IF(AND((WEEKDAY($A305)+$B$2)&gt;1,((WEEKDAY($A305)+$T$2)&lt;7),(WEEKDAY($A305)&lt;&gt;1)),"work",(INDEX(Subject!$A:$I,MATCH(RANDBETWEEN(1,(MAX(Subject!$B:$B))),Subject!$B:$B,0),3))))</f>
        <v/>
      </c>
      <c r="F305" s="2" t="str">
        <f t="array" ref="F305">IF(NOW()&gt;AQ305,"",IF(AND((WEEKDAY($A305)+$B$2)&gt;1,((WEEKDAY($A305)+$T$2)&lt;7),(WEEKDAY($A305)&lt;&gt;1)),"work",(INDEX(Subject!$A:$I,MATCH(RANDBETWEEN(1,(MAX(Subject!$B:$B))),Subject!$B:$B,0),3))))</f>
        <v/>
      </c>
      <c r="G305" s="2" t="str">
        <f t="array" ref="G305">IF(NOW()&gt;AR305,"",IF(AND((WEEKDAY($A305)+$B$2)&gt;1,((WEEKDAY($A305)+$T$2)&lt;7),(WEEKDAY($A305)&lt;&gt;1)),"work",(INDEX(Subject!$A:$I,MATCH(RANDBETWEEN(1,(MAX(Subject!$B:$B))),Subject!$B:$B,0),3))))</f>
        <v/>
      </c>
      <c r="H305" s="2" t="str">
        <f t="array" ref="H305">IF(NOW()&gt;AS305,"",IF(AND((WEEKDAY($A305)+$B$2)&gt;1,((WEEKDAY($A305)+$T$2)&lt;7),(WEEKDAY($A305)&lt;&gt;1)),"work",(INDEX(Subject!$A:$I,MATCH(RANDBETWEEN(1,(MAX(Subject!$B:$B))),Subject!$B:$B,0),3))))</f>
        <v/>
      </c>
      <c r="I305" s="2" t="str">
        <f t="array" ref="I305">IF(NOW()&gt;AT305,"",IF(AND((WEEKDAY($A305)+$B$2)&gt;1,((WEEKDAY($A305)+$T$2)&lt;7),(WEEKDAY($A305)&lt;&gt;1)),"work",(INDEX(Subject!$A:$I,MATCH(RANDBETWEEN(1,(MAX(Subject!$B:$B))),Subject!$B:$B,0),3))))</f>
        <v/>
      </c>
      <c r="J305" s="2" t="str">
        <f t="array" ref="J305">IF(NOW()&gt;AU305,"",IF(AND((WEEKDAY($A305)+$B$2)&gt;1,((WEEKDAY($A305)+$T$2)&lt;7),(WEEKDAY($A305)&lt;&gt;1)),"work",(INDEX(Subject!$A:$I,MATCH(RANDBETWEEN(1,(MAX(Subject!$B:$B))),Subject!$B:$B,0),3))))</f>
        <v/>
      </c>
      <c r="K305" s="2" t="str">
        <f t="array" ref="K305">IF(NOW()&gt;AV305,"",IF(AND((WEEKDAY($A305)+$B$2)&gt;1,((WEEKDAY($A305)+$T$2)&lt;7),(WEEKDAY($A305)&lt;&gt;1)),"work",(INDEX(Subject!$A:$I,MATCH(RANDBETWEEN(1,(MAX(Subject!$B:$B))),Subject!$B:$B,0),3))))</f>
        <v/>
      </c>
      <c r="L305" s="2" t="str">
        <f t="array" ref="L305">IF(NOW()&gt;AW305,"",IF(AND((WEEKDAY($A305)+$B$2)&gt;1,((WEEKDAY($A305)+$T$2)&lt;7),(WEEKDAY($A305)&lt;&gt;1)),"work",(INDEX(Subject!$A:$I,MATCH(RANDBETWEEN(1,(MAX(Subject!$B:$B))),Subject!$B:$B,0),3))))</f>
        <v/>
      </c>
      <c r="M305" s="2" t="str">
        <f t="array" ref="M305">IF(NOW()&gt;AX305,"",IF(AND((WEEKDAY($A305)+$B$2)&gt;1,((WEEKDAY($A305)+$T$2)&lt;7),(WEEKDAY($A305)&lt;&gt;1)),"work",(INDEX(Subject!$A:$I,MATCH(RANDBETWEEN(1,(MAX(Subject!$B:$B))),Subject!$B:$B,0),3))))</f>
        <v/>
      </c>
      <c r="N305" s="2" t="str">
        <f t="array" ref="N305">IF(NOW()&gt;AY305,"",IF(AND((WEEKDAY($A305)+$B$2)&gt;1,((WEEKDAY($A305)+$T$2)&lt;7),(WEEKDAY($A305)&lt;&gt;1)),"work",(INDEX(Subject!$A:$I,MATCH(RANDBETWEEN(1,(MAX(Subject!$B:$B))),Subject!$B:$B,0),3))))</f>
        <v/>
      </c>
      <c r="O305" s="2" t="str">
        <f t="array" ref="O305">IF(NOW()&gt;AZ305,"",IF(AND((WEEKDAY($A305)+$B$2)&gt;1,((WEEKDAY($A305)+$T$2)&lt;7),(WEEKDAY($A305)&lt;&gt;1)),"work",(INDEX(Subject!$A:$I,MATCH(RANDBETWEEN(1,(MAX(Subject!$B:$B))),Subject!$B:$B,0),3))))</f>
        <v/>
      </c>
      <c r="P305" s="2" t="str">
        <f t="array" ref="P305">IF(NOW()&gt;BA305,"",IF(AND((WEEKDAY($A305)+$B$2)&gt;1,((WEEKDAY($A305)+$T$2)&lt;7),(WEEKDAY($A305)&lt;&gt;1)),"work",(INDEX(Subject!$A:$I,MATCH(RANDBETWEEN(1,(MAX(Subject!$B:$B))),Subject!$B:$B,0),3))))</f>
        <v/>
      </c>
      <c r="Q305" s="2" t="str">
        <f t="array" ref="Q305">IF(NOW()&gt;BB305,"",IF(AND((WEEKDAY($A305)+$B$2)&gt;1,((WEEKDAY($A305)+$T$2)&lt;7),(WEEKDAY($A305)&lt;&gt;1)),"work",(INDEX(Subject!$A:$I,MATCH(RANDBETWEEN(1,(MAX(Subject!$B:$B))),Subject!$B:$B,0),3))))</f>
        <v/>
      </c>
      <c r="R305" s="2" t="str">
        <f t="array" ref="R305">IF(NOW()&gt;BC305,"",IF(AND((WEEKDAY($A305)+$B$2)&gt;1,((WEEKDAY($A305)+$T$2)&lt;7),(WEEKDAY($A305)&lt;&gt;1)),"work",(INDEX(Subject!$A:$I,MATCH(RANDBETWEEN(1,(MAX(Subject!$B:$B))),Subject!$B:$B,0),3))))</f>
        <v/>
      </c>
      <c r="S305" s="2" t="str">
        <f t="array" ref="S305">IF(NOW()&gt;BD305,"",IF(AND((WEEKDAY($A305)+$B$2)&gt;1,((WEEKDAY($A305)+$T$2)&lt;7),(WEEKDAY($A305)&lt;&gt;1)),"work",(INDEX(Subject!$A:$I,MATCH(RANDBETWEEN(1,(MAX(Subject!$B:$B))),Subject!$B:$B,0),3))))</f>
        <v/>
      </c>
      <c r="T305" s="2" t="str">
        <f t="array" ref="T305">IF(NOW()&gt;BE305,"",IF(AND((WEEKDAY($A305)+$B$2)&gt;1,((WEEKDAY($A305)+$T$2)&lt;7),(WEEKDAY($A305)&lt;&gt;1)),"work",(INDEX(Subject!$A:$I,MATCH(RANDBETWEEN(1,(MAX(Subject!$B:$B))),Subject!$B:$B,0),3))))</f>
        <v/>
      </c>
      <c r="U305" s="8" t="str">
        <f t="array" ref="U305">INDEX(Subject!$A:$I,MATCH(RANDBETWEEN(1,16),Subject!$B:$B,0),3)</f>
        <v>#N/A</v>
      </c>
      <c r="V305" s="8" t="str">
        <f t="array" ref="V305">INDEX(Subject!$A:$I,MATCH(RANDBETWEEN(1,16),Subject!$B:$B,0),3)</f>
        <v>#N/A</v>
      </c>
      <c r="W305" s="8" t="str">
        <f t="array" ref="W305">INDEX(Subject!$A:$I,MATCH(RANDBETWEEN(1,16),Subject!$B:$B,0),3)</f>
        <v>#N/A</v>
      </c>
      <c r="X305" s="8" t="str">
        <f t="array" ref="X305">INDEX(Subject!$A:$I,MATCH(RANDBETWEEN(1,16),Subject!$B:$B,0),3)</f>
        <v>#N/A</v>
      </c>
      <c r="Y305" s="8" t="str">
        <f t="array" ref="Y305">INDEX(Subject!$A:$I,MATCH(RANDBETWEEN(1,16),Subject!$B:$B,0),3)</f>
        <v>#N/A</v>
      </c>
      <c r="Z305" s="8" t="str">
        <f t="array" ref="Z305">INDEX(Subject!$A:$I,MATCH(RANDBETWEEN(1,16),Subject!$B:$B,0),3)</f>
        <v>#N/A</v>
      </c>
      <c r="AA305" s="8" t="str">
        <f t="array" ref="AA305">INDEX(Subject!$A:$I,MATCH(RANDBETWEEN(1,16),Subject!$B:$B,0),3)</f>
        <v>#N/A</v>
      </c>
      <c r="AB305" s="8" t="str">
        <f t="array" ref="AB305">INDEX(Subject!$A:$I,MATCH(RANDBETWEEN(1,16),Subject!$B:$B,0),3)</f>
        <v>#N/A</v>
      </c>
      <c r="AC305" s="8" t="str">
        <f t="array" ref="AC305">INDEX(Subject!$A:$I,MATCH(RANDBETWEEN(1,16),Subject!$B:$B,0),3)</f>
        <v>#N/A</v>
      </c>
      <c r="AD305" s="8" t="str">
        <f t="array" ref="AD305">INDEX(Subject!$A:$I,MATCH(RANDBETWEEN(1,16),Subject!$B:$B,0),3)</f>
        <v>#N/A</v>
      </c>
      <c r="AE305" s="8" t="str">
        <f t="array" ref="AE305">INDEX(Subject!$A:$I,MATCH(RANDBETWEEN(1,16),Subject!$B:$B,0),3)</f>
        <v>#N/A</v>
      </c>
      <c r="AF305" s="8" t="str">
        <f t="array" ref="AF305">INDEX(Subject!$A:$I,MATCH(RANDBETWEEN(1,16),Subject!$B:$B,0),3)</f>
        <v>#N/A</v>
      </c>
      <c r="AG305" s="8" t="str">
        <f t="array" ref="AG305">INDEX(Subject!$A:$I,MATCH(RANDBETWEEN(1,16),Subject!$B:$B,0),3)</f>
        <v>#N/A</v>
      </c>
      <c r="AH305" s="8" t="str">
        <f t="array" ref="AH305">INDEX(Subject!$A:$I,MATCH(RANDBETWEEN(1,16),Subject!$B:$B,0),3)</f>
        <v>#N/A</v>
      </c>
      <c r="AI305" s="8" t="str">
        <f t="array" ref="AI305">INDEX(Subject!$A:$I,MATCH(RANDBETWEEN(1,16),Subject!$B:$B,0),3)</f>
        <v/>
      </c>
      <c r="AJ305" s="8" t="str">
        <f t="array" ref="AJ305">INDEX(Subject!$A:$I,MATCH(RANDBETWEEN(1,16),Subject!$B:$B,0),3)</f>
        <v>#N/A</v>
      </c>
      <c r="AK305" s="8" t="str">
        <f t="array" ref="AK305">INDEX(Subject!$A:$I,MATCH(RANDBETWEEN(1,16),Subject!$B:$B,0),3)</f>
        <v>#N/A</v>
      </c>
      <c r="AL305" s="8" t="str">
        <f t="array" ref="AL305">INDEX(Subject!$A:$I,MATCH(RANDBETWEEN(1,16),Subject!$B:$B,0),3)</f>
        <v>#N/A</v>
      </c>
      <c r="AM305" s="18">
        <f t="shared" si="4"/>
        <v>45805.33333</v>
      </c>
      <c r="AN305" s="19">
        <f t="shared" ref="AN305:BZ305" si="305">$A305+C$1</f>
        <v>45805.35417</v>
      </c>
      <c r="AO305" s="19">
        <f t="shared" si="305"/>
        <v>45805.375</v>
      </c>
      <c r="AP305" s="19">
        <f t="shared" si="305"/>
        <v>45805.39583</v>
      </c>
      <c r="AQ305" s="19">
        <f t="shared" si="305"/>
        <v>45805.41667</v>
      </c>
      <c r="AR305" s="19">
        <f t="shared" si="305"/>
        <v>45805.4375</v>
      </c>
      <c r="AS305" s="19">
        <f t="shared" si="305"/>
        <v>45805.45833</v>
      </c>
      <c r="AT305" s="19">
        <f t="shared" si="305"/>
        <v>45805.47917</v>
      </c>
      <c r="AU305" s="19">
        <f t="shared" si="305"/>
        <v>45805.5</v>
      </c>
      <c r="AV305" s="19">
        <f t="shared" si="305"/>
        <v>45805.52083</v>
      </c>
      <c r="AW305" s="19">
        <f t="shared" si="305"/>
        <v>45805.54167</v>
      </c>
      <c r="AX305" s="19">
        <f t="shared" si="305"/>
        <v>45805.5625</v>
      </c>
      <c r="AY305" s="19">
        <f t="shared" si="305"/>
        <v>45805.58333</v>
      </c>
      <c r="AZ305" s="19">
        <f t="shared" si="305"/>
        <v>45805.60417</v>
      </c>
      <c r="BA305" s="19">
        <f t="shared" si="305"/>
        <v>45805.625</v>
      </c>
      <c r="BB305" s="19">
        <f t="shared" si="305"/>
        <v>45805.64583</v>
      </c>
      <c r="BC305" s="19">
        <f t="shared" si="305"/>
        <v>45805.66667</v>
      </c>
      <c r="BD305" s="19">
        <f t="shared" si="305"/>
        <v>45805.6875</v>
      </c>
      <c r="BE305" s="19">
        <f t="shared" si="305"/>
        <v>45805.70833</v>
      </c>
      <c r="BF305" s="19">
        <f t="shared" si="305"/>
        <v>45805.72917</v>
      </c>
      <c r="BG305" s="19">
        <f t="shared" si="305"/>
        <v>45805.75</v>
      </c>
      <c r="BH305" s="19">
        <f t="shared" si="305"/>
        <v>45805.77083</v>
      </c>
      <c r="BI305" s="19">
        <f t="shared" si="305"/>
        <v>45805.79167</v>
      </c>
      <c r="BJ305" s="19">
        <f t="shared" si="305"/>
        <v>45805.8125</v>
      </c>
      <c r="BK305" s="19">
        <f t="shared" si="305"/>
        <v>45805.83333</v>
      </c>
      <c r="BL305" s="19">
        <f t="shared" si="305"/>
        <v>45805.85417</v>
      </c>
      <c r="BM305" s="19">
        <f t="shared" si="305"/>
        <v>45805.875</v>
      </c>
      <c r="BN305" s="19">
        <f t="shared" si="305"/>
        <v>45805.89583</v>
      </c>
      <c r="BO305" s="19">
        <f t="shared" si="305"/>
        <v>45805.91667</v>
      </c>
      <c r="BP305" s="19">
        <f t="shared" si="305"/>
        <v>45805.9375</v>
      </c>
      <c r="BQ305" s="19">
        <f t="shared" si="305"/>
        <v>45805.95833</v>
      </c>
      <c r="BR305" s="19">
        <f t="shared" si="305"/>
        <v>45805.97917</v>
      </c>
      <c r="BS305" s="19">
        <f t="shared" si="305"/>
        <v>45806</v>
      </c>
      <c r="BT305" s="19">
        <f t="shared" si="305"/>
        <v>45806.02083</v>
      </c>
      <c r="BU305" s="19">
        <f t="shared" si="305"/>
        <v>45806.04167</v>
      </c>
      <c r="BV305" s="19">
        <f t="shared" si="305"/>
        <v>45806.0625</v>
      </c>
      <c r="BW305" s="19">
        <f t="shared" si="305"/>
        <v>45806.08333</v>
      </c>
      <c r="BX305" s="19">
        <f t="shared" si="305"/>
        <v>45805</v>
      </c>
      <c r="BY305" s="19">
        <f t="shared" si="305"/>
        <v>45805</v>
      </c>
      <c r="BZ305" s="19">
        <f t="shared" si="305"/>
        <v>45805</v>
      </c>
    </row>
    <row r="306" ht="14.25" customHeight="1">
      <c r="A306" s="17">
        <v>45806.0</v>
      </c>
      <c r="B306" s="2" t="str">
        <f t="array" ref="B306">IF(NOW()&gt;AM306,"",IF(AND((WEEKDAY($A306)+$B$2)&gt;1,((WEEKDAY($A306)+$T$2)&lt;7),(WEEKDAY($A306)&lt;&gt;1)),"work",(INDEX(Subject!$A:$I,MATCH(RANDBETWEEN(1,(MAX(Subject!$B:$B))),Subject!$B:$B,0),3))))</f>
        <v/>
      </c>
      <c r="C306" s="2" t="str">
        <f t="array" ref="C306">IF(NOW()&gt;AN306,"",IF(AND((WEEKDAY($A306)+$B$2)&gt;1,((WEEKDAY($A306)+$T$2)&lt;7),(WEEKDAY($A306)&lt;&gt;1)),"work",(INDEX(Subject!$A:$I,MATCH(RANDBETWEEN(1,(MAX(Subject!$B:$B))),Subject!$B:$B,0),3))))</f>
        <v/>
      </c>
      <c r="D306" s="2" t="str">
        <f t="array" ref="D306">IF(NOW()&gt;AO306,"",IF(AND((WEEKDAY($A306)+$B$2)&gt;1,((WEEKDAY($A306)+$T$2)&lt;7),(WEEKDAY($A306)&lt;&gt;1)),"work",(INDEX(Subject!$A:$I,MATCH(RANDBETWEEN(1,(MAX(Subject!$B:$B))),Subject!$B:$B,0),3))))</f>
        <v/>
      </c>
      <c r="E306" s="2" t="str">
        <f t="array" ref="E306">IF(NOW()&gt;AP306,"",IF(AND((WEEKDAY($A306)+$B$2)&gt;1,((WEEKDAY($A306)+$T$2)&lt;7),(WEEKDAY($A306)&lt;&gt;1)),"work",(INDEX(Subject!$A:$I,MATCH(RANDBETWEEN(1,(MAX(Subject!$B:$B))),Subject!$B:$B,0),3))))</f>
        <v/>
      </c>
      <c r="F306" s="2" t="str">
        <f t="array" ref="F306">IF(NOW()&gt;AQ306,"",IF(AND((WEEKDAY($A306)+$B$2)&gt;1,((WEEKDAY($A306)+$T$2)&lt;7),(WEEKDAY($A306)&lt;&gt;1)),"work",(INDEX(Subject!$A:$I,MATCH(RANDBETWEEN(1,(MAX(Subject!$B:$B))),Subject!$B:$B,0),3))))</f>
        <v/>
      </c>
      <c r="G306" s="2" t="str">
        <f t="array" ref="G306">IF(NOW()&gt;AR306,"",IF(AND((WEEKDAY($A306)+$B$2)&gt;1,((WEEKDAY($A306)+$T$2)&lt;7),(WEEKDAY($A306)&lt;&gt;1)),"work",(INDEX(Subject!$A:$I,MATCH(RANDBETWEEN(1,(MAX(Subject!$B:$B))),Subject!$B:$B,0),3))))</f>
        <v/>
      </c>
      <c r="H306" s="2" t="str">
        <f t="array" ref="H306">IF(NOW()&gt;AS306,"",IF(AND((WEEKDAY($A306)+$B$2)&gt;1,((WEEKDAY($A306)+$T$2)&lt;7),(WEEKDAY($A306)&lt;&gt;1)),"work",(INDEX(Subject!$A:$I,MATCH(RANDBETWEEN(1,(MAX(Subject!$B:$B))),Subject!$B:$B,0),3))))</f>
        <v/>
      </c>
      <c r="I306" s="2" t="str">
        <f t="array" ref="I306">IF(NOW()&gt;AT306,"",IF(AND((WEEKDAY($A306)+$B$2)&gt;1,((WEEKDAY($A306)+$T$2)&lt;7),(WEEKDAY($A306)&lt;&gt;1)),"work",(INDEX(Subject!$A:$I,MATCH(RANDBETWEEN(1,(MAX(Subject!$B:$B))),Subject!$B:$B,0),3))))</f>
        <v/>
      </c>
      <c r="J306" s="2" t="str">
        <f t="array" ref="J306">IF(NOW()&gt;AU306,"",IF(AND((WEEKDAY($A306)+$B$2)&gt;1,((WEEKDAY($A306)+$T$2)&lt;7),(WEEKDAY($A306)&lt;&gt;1)),"work",(INDEX(Subject!$A:$I,MATCH(RANDBETWEEN(1,(MAX(Subject!$B:$B))),Subject!$B:$B,0),3))))</f>
        <v/>
      </c>
      <c r="K306" s="2" t="str">
        <f t="array" ref="K306">IF(NOW()&gt;AV306,"",IF(AND((WEEKDAY($A306)+$B$2)&gt;1,((WEEKDAY($A306)+$T$2)&lt;7),(WEEKDAY($A306)&lt;&gt;1)),"work",(INDEX(Subject!$A:$I,MATCH(RANDBETWEEN(1,(MAX(Subject!$B:$B))),Subject!$B:$B,0),3))))</f>
        <v/>
      </c>
      <c r="L306" s="2" t="str">
        <f t="array" ref="L306">IF(NOW()&gt;AW306,"",IF(AND((WEEKDAY($A306)+$B$2)&gt;1,((WEEKDAY($A306)+$T$2)&lt;7),(WEEKDAY($A306)&lt;&gt;1)),"work",(INDEX(Subject!$A:$I,MATCH(RANDBETWEEN(1,(MAX(Subject!$B:$B))),Subject!$B:$B,0),3))))</f>
        <v/>
      </c>
      <c r="M306" s="2" t="str">
        <f t="array" ref="M306">IF(NOW()&gt;AX306,"",IF(AND((WEEKDAY($A306)+$B$2)&gt;1,((WEEKDAY($A306)+$T$2)&lt;7),(WEEKDAY($A306)&lt;&gt;1)),"work",(INDEX(Subject!$A:$I,MATCH(RANDBETWEEN(1,(MAX(Subject!$B:$B))),Subject!$B:$B,0),3))))</f>
        <v/>
      </c>
      <c r="N306" s="2" t="str">
        <f t="array" ref="N306">IF(NOW()&gt;AY306,"",IF(AND((WEEKDAY($A306)+$B$2)&gt;1,((WEEKDAY($A306)+$T$2)&lt;7),(WEEKDAY($A306)&lt;&gt;1)),"work",(INDEX(Subject!$A:$I,MATCH(RANDBETWEEN(1,(MAX(Subject!$B:$B))),Subject!$B:$B,0),3))))</f>
        <v/>
      </c>
      <c r="O306" s="2" t="str">
        <f t="array" ref="O306">IF(NOW()&gt;AZ306,"",IF(AND((WEEKDAY($A306)+$B$2)&gt;1,((WEEKDAY($A306)+$T$2)&lt;7),(WEEKDAY($A306)&lt;&gt;1)),"work",(INDEX(Subject!$A:$I,MATCH(RANDBETWEEN(1,(MAX(Subject!$B:$B))),Subject!$B:$B,0),3))))</f>
        <v/>
      </c>
      <c r="P306" s="2" t="str">
        <f t="array" ref="P306">IF(NOW()&gt;BA306,"",IF(AND((WEEKDAY($A306)+$B$2)&gt;1,((WEEKDAY($A306)+$T$2)&lt;7),(WEEKDAY($A306)&lt;&gt;1)),"work",(INDEX(Subject!$A:$I,MATCH(RANDBETWEEN(1,(MAX(Subject!$B:$B))),Subject!$B:$B,0),3))))</f>
        <v/>
      </c>
      <c r="Q306" s="2" t="str">
        <f t="array" ref="Q306">IF(NOW()&gt;BB306,"",IF(AND((WEEKDAY($A306)+$B$2)&gt;1,((WEEKDAY($A306)+$T$2)&lt;7),(WEEKDAY($A306)&lt;&gt;1)),"work",(INDEX(Subject!$A:$I,MATCH(RANDBETWEEN(1,(MAX(Subject!$B:$B))),Subject!$B:$B,0),3))))</f>
        <v/>
      </c>
      <c r="R306" s="2" t="str">
        <f t="array" ref="R306">IF(NOW()&gt;BC306,"",IF(AND((WEEKDAY($A306)+$B$2)&gt;1,((WEEKDAY($A306)+$T$2)&lt;7),(WEEKDAY($A306)&lt;&gt;1)),"work",(INDEX(Subject!$A:$I,MATCH(RANDBETWEEN(1,(MAX(Subject!$B:$B))),Subject!$B:$B,0),3))))</f>
        <v/>
      </c>
      <c r="S306" s="2" t="str">
        <f t="array" ref="S306">IF(NOW()&gt;BD306,"",IF(AND((WEEKDAY($A306)+$B$2)&gt;1,((WEEKDAY($A306)+$T$2)&lt;7),(WEEKDAY($A306)&lt;&gt;1)),"work",(INDEX(Subject!$A:$I,MATCH(RANDBETWEEN(1,(MAX(Subject!$B:$B))),Subject!$B:$B,0),3))))</f>
        <v/>
      </c>
      <c r="T306" s="2" t="str">
        <f t="array" ref="T306">IF(NOW()&gt;BE306,"",IF(AND((WEEKDAY($A306)+$B$2)&gt;1,((WEEKDAY($A306)+$T$2)&lt;7),(WEEKDAY($A306)&lt;&gt;1)),"work",(INDEX(Subject!$A:$I,MATCH(RANDBETWEEN(1,(MAX(Subject!$B:$B))),Subject!$B:$B,0),3))))</f>
        <v/>
      </c>
      <c r="U306" s="8" t="str">
        <f t="array" ref="U306">INDEX(Subject!$A:$I,MATCH(RANDBETWEEN(1,16),Subject!$B:$B,0),3)</f>
        <v>#N/A</v>
      </c>
      <c r="V306" s="8" t="str">
        <f t="array" ref="V306">INDEX(Subject!$A:$I,MATCH(RANDBETWEEN(1,16),Subject!$B:$B,0),3)</f>
        <v>#N/A</v>
      </c>
      <c r="W306" s="8" t="str">
        <f t="array" ref="W306">INDEX(Subject!$A:$I,MATCH(RANDBETWEEN(1,16),Subject!$B:$B,0),3)</f>
        <v>#N/A</v>
      </c>
      <c r="X306" s="8" t="str">
        <f t="array" ref="X306">INDEX(Subject!$A:$I,MATCH(RANDBETWEEN(1,16),Subject!$B:$B,0),3)</f>
        <v>#N/A</v>
      </c>
      <c r="Y306" s="8" t="str">
        <f t="array" ref="Y306">INDEX(Subject!$A:$I,MATCH(RANDBETWEEN(1,16),Subject!$B:$B,0),3)</f>
        <v>#N/A</v>
      </c>
      <c r="Z306" s="8" t="str">
        <f t="array" ref="Z306">INDEX(Subject!$A:$I,MATCH(RANDBETWEEN(1,16),Subject!$B:$B,0),3)</f>
        <v>#N/A</v>
      </c>
      <c r="AA306" s="8" t="str">
        <f t="array" ref="AA306">INDEX(Subject!$A:$I,MATCH(RANDBETWEEN(1,16),Subject!$B:$B,0),3)</f>
        <v>#N/A</v>
      </c>
      <c r="AB306" s="8" t="str">
        <f t="array" ref="AB306">INDEX(Subject!$A:$I,MATCH(RANDBETWEEN(1,16),Subject!$B:$B,0),3)</f>
        <v>#N/A</v>
      </c>
      <c r="AC306" s="8" t="str">
        <f t="array" ref="AC306">INDEX(Subject!$A:$I,MATCH(RANDBETWEEN(1,16),Subject!$B:$B,0),3)</f>
        <v/>
      </c>
      <c r="AD306" s="8" t="str">
        <f t="array" ref="AD306">INDEX(Subject!$A:$I,MATCH(RANDBETWEEN(1,16),Subject!$B:$B,0),3)</f>
        <v>#N/A</v>
      </c>
      <c r="AE306" s="8" t="str">
        <f t="array" ref="AE306">INDEX(Subject!$A:$I,MATCH(RANDBETWEEN(1,16),Subject!$B:$B,0),3)</f>
        <v>#N/A</v>
      </c>
      <c r="AF306" s="8" t="str">
        <f t="array" ref="AF306">INDEX(Subject!$A:$I,MATCH(RANDBETWEEN(1,16),Subject!$B:$B,0),3)</f>
        <v>#N/A</v>
      </c>
      <c r="AG306" s="8" t="str">
        <f t="array" ref="AG306">INDEX(Subject!$A:$I,MATCH(RANDBETWEEN(1,16),Subject!$B:$B,0),3)</f>
        <v>#N/A</v>
      </c>
      <c r="AH306" s="8" t="str">
        <f t="array" ref="AH306">INDEX(Subject!$A:$I,MATCH(RANDBETWEEN(1,16),Subject!$B:$B,0),3)</f>
        <v>#N/A</v>
      </c>
      <c r="AI306" s="8" t="str">
        <f t="array" ref="AI306">INDEX(Subject!$A:$I,MATCH(RANDBETWEEN(1,16),Subject!$B:$B,0),3)</f>
        <v>#N/A</v>
      </c>
      <c r="AJ306" s="8" t="str">
        <f t="array" ref="AJ306">INDEX(Subject!$A:$I,MATCH(RANDBETWEEN(1,16),Subject!$B:$B,0),3)</f>
        <v>#N/A</v>
      </c>
      <c r="AK306" s="8" t="str">
        <f t="array" ref="AK306">INDEX(Subject!$A:$I,MATCH(RANDBETWEEN(1,16),Subject!$B:$B,0),3)</f>
        <v>#N/A</v>
      </c>
      <c r="AL306" s="8" t="str">
        <f t="array" ref="AL306">INDEX(Subject!$A:$I,MATCH(RANDBETWEEN(1,16),Subject!$B:$B,0),3)</f>
        <v>#N/A</v>
      </c>
      <c r="AM306" s="18">
        <f t="shared" si="4"/>
        <v>45806.33333</v>
      </c>
      <c r="AN306" s="19">
        <f t="shared" ref="AN306:BZ306" si="306">$A306+C$1</f>
        <v>45806.35417</v>
      </c>
      <c r="AO306" s="19">
        <f t="shared" si="306"/>
        <v>45806.375</v>
      </c>
      <c r="AP306" s="19">
        <f t="shared" si="306"/>
        <v>45806.39583</v>
      </c>
      <c r="AQ306" s="19">
        <f t="shared" si="306"/>
        <v>45806.41667</v>
      </c>
      <c r="AR306" s="19">
        <f t="shared" si="306"/>
        <v>45806.4375</v>
      </c>
      <c r="AS306" s="19">
        <f t="shared" si="306"/>
        <v>45806.45833</v>
      </c>
      <c r="AT306" s="19">
        <f t="shared" si="306"/>
        <v>45806.47917</v>
      </c>
      <c r="AU306" s="19">
        <f t="shared" si="306"/>
        <v>45806.5</v>
      </c>
      <c r="AV306" s="19">
        <f t="shared" si="306"/>
        <v>45806.52083</v>
      </c>
      <c r="AW306" s="19">
        <f t="shared" si="306"/>
        <v>45806.54167</v>
      </c>
      <c r="AX306" s="19">
        <f t="shared" si="306"/>
        <v>45806.5625</v>
      </c>
      <c r="AY306" s="19">
        <f t="shared" si="306"/>
        <v>45806.58333</v>
      </c>
      <c r="AZ306" s="19">
        <f t="shared" si="306"/>
        <v>45806.60417</v>
      </c>
      <c r="BA306" s="19">
        <f t="shared" si="306"/>
        <v>45806.625</v>
      </c>
      <c r="BB306" s="19">
        <f t="shared" si="306"/>
        <v>45806.64583</v>
      </c>
      <c r="BC306" s="19">
        <f t="shared" si="306"/>
        <v>45806.66667</v>
      </c>
      <c r="BD306" s="19">
        <f t="shared" si="306"/>
        <v>45806.6875</v>
      </c>
      <c r="BE306" s="19">
        <f t="shared" si="306"/>
        <v>45806.70833</v>
      </c>
      <c r="BF306" s="19">
        <f t="shared" si="306"/>
        <v>45806.72917</v>
      </c>
      <c r="BG306" s="19">
        <f t="shared" si="306"/>
        <v>45806.75</v>
      </c>
      <c r="BH306" s="19">
        <f t="shared" si="306"/>
        <v>45806.77083</v>
      </c>
      <c r="BI306" s="19">
        <f t="shared" si="306"/>
        <v>45806.79167</v>
      </c>
      <c r="BJ306" s="19">
        <f t="shared" si="306"/>
        <v>45806.8125</v>
      </c>
      <c r="BK306" s="19">
        <f t="shared" si="306"/>
        <v>45806.83333</v>
      </c>
      <c r="BL306" s="19">
        <f t="shared" si="306"/>
        <v>45806.85417</v>
      </c>
      <c r="BM306" s="19">
        <f t="shared" si="306"/>
        <v>45806.875</v>
      </c>
      <c r="BN306" s="19">
        <f t="shared" si="306"/>
        <v>45806.89583</v>
      </c>
      <c r="BO306" s="19">
        <f t="shared" si="306"/>
        <v>45806.91667</v>
      </c>
      <c r="BP306" s="19">
        <f t="shared" si="306"/>
        <v>45806.9375</v>
      </c>
      <c r="BQ306" s="19">
        <f t="shared" si="306"/>
        <v>45806.95833</v>
      </c>
      <c r="BR306" s="19">
        <f t="shared" si="306"/>
        <v>45806.97917</v>
      </c>
      <c r="BS306" s="19">
        <f t="shared" si="306"/>
        <v>45807</v>
      </c>
      <c r="BT306" s="19">
        <f t="shared" si="306"/>
        <v>45807.02083</v>
      </c>
      <c r="BU306" s="19">
        <f t="shared" si="306"/>
        <v>45807.04167</v>
      </c>
      <c r="BV306" s="19">
        <f t="shared" si="306"/>
        <v>45807.0625</v>
      </c>
      <c r="BW306" s="19">
        <f t="shared" si="306"/>
        <v>45807.08333</v>
      </c>
      <c r="BX306" s="19">
        <f t="shared" si="306"/>
        <v>45806</v>
      </c>
      <c r="BY306" s="19">
        <f t="shared" si="306"/>
        <v>45806</v>
      </c>
      <c r="BZ306" s="19">
        <f t="shared" si="306"/>
        <v>45806</v>
      </c>
    </row>
    <row r="307" ht="14.25" customHeight="1">
      <c r="A307" s="17">
        <v>45807.0</v>
      </c>
      <c r="B307" s="2" t="str">
        <f t="array" ref="B307">IF(NOW()&gt;AM307,"",IF(AND((WEEKDAY($A307)+$B$2)&gt;1,((WEEKDAY($A307)+$T$2)&lt;7),(WEEKDAY($A307)&lt;&gt;1)),"work",(INDEX(Subject!$A:$I,MATCH(RANDBETWEEN(1,(MAX(Subject!$B:$B))),Subject!$B:$B,0),3))))</f>
        <v/>
      </c>
      <c r="C307" s="2" t="str">
        <f t="array" ref="C307">IF(NOW()&gt;AN307,"",IF(AND((WEEKDAY($A307)+$B$2)&gt;1,((WEEKDAY($A307)+$T$2)&lt;7),(WEEKDAY($A307)&lt;&gt;1)),"work",(INDEX(Subject!$A:$I,MATCH(RANDBETWEEN(1,(MAX(Subject!$B:$B))),Subject!$B:$B,0),3))))</f>
        <v/>
      </c>
      <c r="D307" s="2" t="str">
        <f t="array" ref="D307">IF(NOW()&gt;AO307,"",IF(AND((WEEKDAY($A307)+$B$2)&gt;1,((WEEKDAY($A307)+$T$2)&lt;7),(WEEKDAY($A307)&lt;&gt;1)),"work",(INDEX(Subject!$A:$I,MATCH(RANDBETWEEN(1,(MAX(Subject!$B:$B))),Subject!$B:$B,0),3))))</f>
        <v/>
      </c>
      <c r="E307" s="2" t="str">
        <f t="array" ref="E307">IF(NOW()&gt;AP307,"",IF(AND((WEEKDAY($A307)+$B$2)&gt;1,((WEEKDAY($A307)+$T$2)&lt;7),(WEEKDAY($A307)&lt;&gt;1)),"work",(INDEX(Subject!$A:$I,MATCH(RANDBETWEEN(1,(MAX(Subject!$B:$B))),Subject!$B:$B,0),3))))</f>
        <v/>
      </c>
      <c r="F307" s="2" t="str">
        <f t="array" ref="F307">IF(NOW()&gt;AQ307,"",IF(AND((WEEKDAY($A307)+$B$2)&gt;1,((WEEKDAY($A307)+$T$2)&lt;7),(WEEKDAY($A307)&lt;&gt;1)),"work",(INDEX(Subject!$A:$I,MATCH(RANDBETWEEN(1,(MAX(Subject!$B:$B))),Subject!$B:$B,0),3))))</f>
        <v/>
      </c>
      <c r="G307" s="2" t="str">
        <f t="array" ref="G307">IF(NOW()&gt;AR307,"",IF(AND((WEEKDAY($A307)+$B$2)&gt;1,((WEEKDAY($A307)+$T$2)&lt;7),(WEEKDAY($A307)&lt;&gt;1)),"work",(INDEX(Subject!$A:$I,MATCH(RANDBETWEEN(1,(MAX(Subject!$B:$B))),Subject!$B:$B,0),3))))</f>
        <v/>
      </c>
      <c r="H307" s="2" t="str">
        <f t="array" ref="H307">IF(NOW()&gt;AS307,"",IF(AND((WEEKDAY($A307)+$B$2)&gt;1,((WEEKDAY($A307)+$T$2)&lt;7),(WEEKDAY($A307)&lt;&gt;1)),"work",(INDEX(Subject!$A:$I,MATCH(RANDBETWEEN(1,(MAX(Subject!$B:$B))),Subject!$B:$B,0),3))))</f>
        <v/>
      </c>
      <c r="I307" s="2" t="str">
        <f t="array" ref="I307">IF(NOW()&gt;AT307,"",IF(AND((WEEKDAY($A307)+$B$2)&gt;1,((WEEKDAY($A307)+$T$2)&lt;7),(WEEKDAY($A307)&lt;&gt;1)),"work",(INDEX(Subject!$A:$I,MATCH(RANDBETWEEN(1,(MAX(Subject!$B:$B))),Subject!$B:$B,0),3))))</f>
        <v/>
      </c>
      <c r="J307" s="2" t="str">
        <f t="array" ref="J307">IF(NOW()&gt;AU307,"",IF(AND((WEEKDAY($A307)+$B$2)&gt;1,((WEEKDAY($A307)+$T$2)&lt;7),(WEEKDAY($A307)&lt;&gt;1)),"work",(INDEX(Subject!$A:$I,MATCH(RANDBETWEEN(1,(MAX(Subject!$B:$B))),Subject!$B:$B,0),3))))</f>
        <v/>
      </c>
      <c r="K307" s="2" t="str">
        <f t="array" ref="K307">IF(NOW()&gt;AV307,"",IF(AND((WEEKDAY($A307)+$B$2)&gt;1,((WEEKDAY($A307)+$T$2)&lt;7),(WEEKDAY($A307)&lt;&gt;1)),"work",(INDEX(Subject!$A:$I,MATCH(RANDBETWEEN(1,(MAX(Subject!$B:$B))),Subject!$B:$B,0),3))))</f>
        <v/>
      </c>
      <c r="L307" s="2" t="str">
        <f t="array" ref="L307">IF(NOW()&gt;AW307,"",IF(AND((WEEKDAY($A307)+$B$2)&gt;1,((WEEKDAY($A307)+$T$2)&lt;7),(WEEKDAY($A307)&lt;&gt;1)),"work",(INDEX(Subject!$A:$I,MATCH(RANDBETWEEN(1,(MAX(Subject!$B:$B))),Subject!$B:$B,0),3))))</f>
        <v/>
      </c>
      <c r="M307" s="2" t="str">
        <f t="array" ref="M307">IF(NOW()&gt;AX307,"",IF(AND((WEEKDAY($A307)+$B$2)&gt;1,((WEEKDAY($A307)+$T$2)&lt;7),(WEEKDAY($A307)&lt;&gt;1)),"work",(INDEX(Subject!$A:$I,MATCH(RANDBETWEEN(1,(MAX(Subject!$B:$B))),Subject!$B:$B,0),3))))</f>
        <v/>
      </c>
      <c r="N307" s="2" t="str">
        <f t="array" ref="N307">IF(NOW()&gt;AY307,"",IF(AND((WEEKDAY($A307)+$B$2)&gt;1,((WEEKDAY($A307)+$T$2)&lt;7),(WEEKDAY($A307)&lt;&gt;1)),"work",(INDEX(Subject!$A:$I,MATCH(RANDBETWEEN(1,(MAX(Subject!$B:$B))),Subject!$B:$B,0),3))))</f>
        <v/>
      </c>
      <c r="O307" s="2" t="str">
        <f t="array" ref="O307">IF(NOW()&gt;AZ307,"",IF(AND((WEEKDAY($A307)+$B$2)&gt;1,((WEEKDAY($A307)+$T$2)&lt;7),(WEEKDAY($A307)&lt;&gt;1)),"work",(INDEX(Subject!$A:$I,MATCH(RANDBETWEEN(1,(MAX(Subject!$B:$B))),Subject!$B:$B,0),3))))</f>
        <v/>
      </c>
      <c r="P307" s="2" t="str">
        <f t="array" ref="P307">IF(NOW()&gt;BA307,"",IF(AND((WEEKDAY($A307)+$B$2)&gt;1,((WEEKDAY($A307)+$T$2)&lt;7),(WEEKDAY($A307)&lt;&gt;1)),"work",(INDEX(Subject!$A:$I,MATCH(RANDBETWEEN(1,(MAX(Subject!$B:$B))),Subject!$B:$B,0),3))))</f>
        <v/>
      </c>
      <c r="Q307" s="2" t="str">
        <f t="array" ref="Q307">IF(NOW()&gt;BB307,"",IF(AND((WEEKDAY($A307)+$B$2)&gt;1,((WEEKDAY($A307)+$T$2)&lt;7),(WEEKDAY($A307)&lt;&gt;1)),"work",(INDEX(Subject!$A:$I,MATCH(RANDBETWEEN(1,(MAX(Subject!$B:$B))),Subject!$B:$B,0),3))))</f>
        <v/>
      </c>
      <c r="R307" s="2" t="str">
        <f t="array" ref="R307">IF(NOW()&gt;BC307,"",IF(AND((WEEKDAY($A307)+$B$2)&gt;1,((WEEKDAY($A307)+$T$2)&lt;7),(WEEKDAY($A307)&lt;&gt;1)),"work",(INDEX(Subject!$A:$I,MATCH(RANDBETWEEN(1,(MAX(Subject!$B:$B))),Subject!$B:$B,0),3))))</f>
        <v/>
      </c>
      <c r="S307" s="2" t="str">
        <f t="array" ref="S307">IF(NOW()&gt;BD307,"",IF(AND((WEEKDAY($A307)+$B$2)&gt;1,((WEEKDAY($A307)+$T$2)&lt;7),(WEEKDAY($A307)&lt;&gt;1)),"work",(INDEX(Subject!$A:$I,MATCH(RANDBETWEEN(1,(MAX(Subject!$B:$B))),Subject!$B:$B,0),3))))</f>
        <v/>
      </c>
      <c r="T307" s="2" t="str">
        <f t="array" ref="T307">IF(NOW()&gt;BE307,"",IF(AND((WEEKDAY($A307)+$B$2)&gt;1,((WEEKDAY($A307)+$T$2)&lt;7),(WEEKDAY($A307)&lt;&gt;1)),"work",(INDEX(Subject!$A:$I,MATCH(RANDBETWEEN(1,(MAX(Subject!$B:$B))),Subject!$B:$B,0),3))))</f>
        <v/>
      </c>
      <c r="U307" s="8" t="str">
        <f t="array" ref="U307">INDEX(Subject!$A:$I,MATCH(RANDBETWEEN(1,16),Subject!$B:$B,0),3)</f>
        <v>#N/A</v>
      </c>
      <c r="V307" s="8" t="str">
        <f t="array" ref="V307">INDEX(Subject!$A:$I,MATCH(RANDBETWEEN(1,16),Subject!$B:$B,0),3)</f>
        <v>#N/A</v>
      </c>
      <c r="W307" s="8" t="str">
        <f t="array" ref="W307">INDEX(Subject!$A:$I,MATCH(RANDBETWEEN(1,16),Subject!$B:$B,0),3)</f>
        <v/>
      </c>
      <c r="X307" s="8" t="str">
        <f t="array" ref="X307">INDEX(Subject!$A:$I,MATCH(RANDBETWEEN(1,16),Subject!$B:$B,0),3)</f>
        <v>#N/A</v>
      </c>
      <c r="Y307" s="8" t="str">
        <f t="array" ref="Y307">INDEX(Subject!$A:$I,MATCH(RANDBETWEEN(1,16),Subject!$B:$B,0),3)</f>
        <v>#N/A</v>
      </c>
      <c r="Z307" s="8" t="str">
        <f t="array" ref="Z307">INDEX(Subject!$A:$I,MATCH(RANDBETWEEN(1,16),Subject!$B:$B,0),3)</f>
        <v>#N/A</v>
      </c>
      <c r="AA307" s="8" t="str">
        <f t="array" ref="AA307">INDEX(Subject!$A:$I,MATCH(RANDBETWEEN(1,16),Subject!$B:$B,0),3)</f>
        <v>#N/A</v>
      </c>
      <c r="AB307" s="8" t="str">
        <f t="array" ref="AB307">INDEX(Subject!$A:$I,MATCH(RANDBETWEEN(1,16),Subject!$B:$B,0),3)</f>
        <v>#N/A</v>
      </c>
      <c r="AC307" s="8" t="str">
        <f t="array" ref="AC307">INDEX(Subject!$A:$I,MATCH(RANDBETWEEN(1,16),Subject!$B:$B,0),3)</f>
        <v/>
      </c>
      <c r="AD307" s="8" t="str">
        <f t="array" ref="AD307">INDEX(Subject!$A:$I,MATCH(RANDBETWEEN(1,16),Subject!$B:$B,0),3)</f>
        <v>#N/A</v>
      </c>
      <c r="AE307" s="8" t="str">
        <f t="array" ref="AE307">INDEX(Subject!$A:$I,MATCH(RANDBETWEEN(1,16),Subject!$B:$B,0),3)</f>
        <v>#N/A</v>
      </c>
      <c r="AF307" s="8" t="str">
        <f t="array" ref="AF307">INDEX(Subject!$A:$I,MATCH(RANDBETWEEN(1,16),Subject!$B:$B,0),3)</f>
        <v>#N/A</v>
      </c>
      <c r="AG307" s="8" t="str">
        <f t="array" ref="AG307">INDEX(Subject!$A:$I,MATCH(RANDBETWEEN(1,16),Subject!$B:$B,0),3)</f>
        <v>#N/A</v>
      </c>
      <c r="AH307" s="8" t="str">
        <f t="array" ref="AH307">INDEX(Subject!$A:$I,MATCH(RANDBETWEEN(1,16),Subject!$B:$B,0),3)</f>
        <v>#N/A</v>
      </c>
      <c r="AI307" s="8" t="str">
        <f t="array" ref="AI307">INDEX(Subject!$A:$I,MATCH(RANDBETWEEN(1,16),Subject!$B:$B,0),3)</f>
        <v>#N/A</v>
      </c>
      <c r="AJ307" s="8" t="str">
        <f t="array" ref="AJ307">INDEX(Subject!$A:$I,MATCH(RANDBETWEEN(1,16),Subject!$B:$B,0),3)</f>
        <v>#N/A</v>
      </c>
      <c r="AK307" s="8" t="str">
        <f t="array" ref="AK307">INDEX(Subject!$A:$I,MATCH(RANDBETWEEN(1,16),Subject!$B:$B,0),3)</f>
        <v>#N/A</v>
      </c>
      <c r="AL307" s="8" t="str">
        <f t="array" ref="AL307">INDEX(Subject!$A:$I,MATCH(RANDBETWEEN(1,16),Subject!$B:$B,0),3)</f>
        <v>#N/A</v>
      </c>
      <c r="AM307" s="18">
        <f t="shared" si="4"/>
        <v>45807.33333</v>
      </c>
      <c r="AN307" s="19">
        <f t="shared" ref="AN307:BZ307" si="307">$A307+C$1</f>
        <v>45807.35417</v>
      </c>
      <c r="AO307" s="19">
        <f t="shared" si="307"/>
        <v>45807.375</v>
      </c>
      <c r="AP307" s="19">
        <f t="shared" si="307"/>
        <v>45807.39583</v>
      </c>
      <c r="AQ307" s="19">
        <f t="shared" si="307"/>
        <v>45807.41667</v>
      </c>
      <c r="AR307" s="19">
        <f t="shared" si="307"/>
        <v>45807.4375</v>
      </c>
      <c r="AS307" s="19">
        <f t="shared" si="307"/>
        <v>45807.45833</v>
      </c>
      <c r="AT307" s="19">
        <f t="shared" si="307"/>
        <v>45807.47917</v>
      </c>
      <c r="AU307" s="19">
        <f t="shared" si="307"/>
        <v>45807.5</v>
      </c>
      <c r="AV307" s="19">
        <f t="shared" si="307"/>
        <v>45807.52083</v>
      </c>
      <c r="AW307" s="19">
        <f t="shared" si="307"/>
        <v>45807.54167</v>
      </c>
      <c r="AX307" s="19">
        <f t="shared" si="307"/>
        <v>45807.5625</v>
      </c>
      <c r="AY307" s="19">
        <f t="shared" si="307"/>
        <v>45807.58333</v>
      </c>
      <c r="AZ307" s="19">
        <f t="shared" si="307"/>
        <v>45807.60417</v>
      </c>
      <c r="BA307" s="19">
        <f t="shared" si="307"/>
        <v>45807.625</v>
      </c>
      <c r="BB307" s="19">
        <f t="shared" si="307"/>
        <v>45807.64583</v>
      </c>
      <c r="BC307" s="19">
        <f t="shared" si="307"/>
        <v>45807.66667</v>
      </c>
      <c r="BD307" s="19">
        <f t="shared" si="307"/>
        <v>45807.6875</v>
      </c>
      <c r="BE307" s="19">
        <f t="shared" si="307"/>
        <v>45807.70833</v>
      </c>
      <c r="BF307" s="19">
        <f t="shared" si="307"/>
        <v>45807.72917</v>
      </c>
      <c r="BG307" s="19">
        <f t="shared" si="307"/>
        <v>45807.75</v>
      </c>
      <c r="BH307" s="19">
        <f t="shared" si="307"/>
        <v>45807.77083</v>
      </c>
      <c r="BI307" s="19">
        <f t="shared" si="307"/>
        <v>45807.79167</v>
      </c>
      <c r="BJ307" s="19">
        <f t="shared" si="307"/>
        <v>45807.8125</v>
      </c>
      <c r="BK307" s="19">
        <f t="shared" si="307"/>
        <v>45807.83333</v>
      </c>
      <c r="BL307" s="19">
        <f t="shared" si="307"/>
        <v>45807.85417</v>
      </c>
      <c r="BM307" s="19">
        <f t="shared" si="307"/>
        <v>45807.875</v>
      </c>
      <c r="BN307" s="19">
        <f t="shared" si="307"/>
        <v>45807.89583</v>
      </c>
      <c r="BO307" s="19">
        <f t="shared" si="307"/>
        <v>45807.91667</v>
      </c>
      <c r="BP307" s="19">
        <f t="shared" si="307"/>
        <v>45807.9375</v>
      </c>
      <c r="BQ307" s="19">
        <f t="shared" si="307"/>
        <v>45807.95833</v>
      </c>
      <c r="BR307" s="19">
        <f t="shared" si="307"/>
        <v>45807.97917</v>
      </c>
      <c r="BS307" s="19">
        <f t="shared" si="307"/>
        <v>45808</v>
      </c>
      <c r="BT307" s="19">
        <f t="shared" si="307"/>
        <v>45808.02083</v>
      </c>
      <c r="BU307" s="19">
        <f t="shared" si="307"/>
        <v>45808.04167</v>
      </c>
      <c r="BV307" s="19">
        <f t="shared" si="307"/>
        <v>45808.0625</v>
      </c>
      <c r="BW307" s="19">
        <f t="shared" si="307"/>
        <v>45808.08333</v>
      </c>
      <c r="BX307" s="19">
        <f t="shared" si="307"/>
        <v>45807</v>
      </c>
      <c r="BY307" s="19">
        <f t="shared" si="307"/>
        <v>45807</v>
      </c>
      <c r="BZ307" s="19">
        <f t="shared" si="307"/>
        <v>45807</v>
      </c>
    </row>
    <row r="308" ht="14.25" customHeight="1">
      <c r="A308" s="17">
        <v>45808.0</v>
      </c>
      <c r="B308" s="2" t="str">
        <f t="array" ref="B308">IF(NOW()&gt;AM308,"",IF(AND((WEEKDAY($A308)+$B$2)&gt;1,((WEEKDAY($A308)+$T$2)&lt;7),(WEEKDAY($A308)&lt;&gt;1)),"work",(INDEX(Subject!$A:$I,MATCH(RANDBETWEEN(1,(MAX(Subject!$B:$B))),Subject!$B:$B,0),3))))</f>
        <v/>
      </c>
      <c r="C308" s="2" t="str">
        <f t="array" ref="C308">IF(NOW()&gt;AN308,"",IF(AND((WEEKDAY($A308)+$B$2)&gt;1,((WEEKDAY($A308)+$T$2)&lt;7),(WEEKDAY($A308)&lt;&gt;1)),"work",(INDEX(Subject!$A:$I,MATCH(RANDBETWEEN(1,(MAX(Subject!$B:$B))),Subject!$B:$B,0),3))))</f>
        <v/>
      </c>
      <c r="D308" s="2" t="str">
        <f t="array" ref="D308">IF(NOW()&gt;AO308,"",IF(AND((WEEKDAY($A308)+$B$2)&gt;1,((WEEKDAY($A308)+$T$2)&lt;7),(WEEKDAY($A308)&lt;&gt;1)),"work",(INDEX(Subject!$A:$I,MATCH(RANDBETWEEN(1,(MAX(Subject!$B:$B))),Subject!$B:$B,0),3))))</f>
        <v/>
      </c>
      <c r="E308" s="2" t="str">
        <f t="array" ref="E308">IF(NOW()&gt;AP308,"",IF(AND((WEEKDAY($A308)+$B$2)&gt;1,((WEEKDAY($A308)+$T$2)&lt;7),(WEEKDAY($A308)&lt;&gt;1)),"work",(INDEX(Subject!$A:$I,MATCH(RANDBETWEEN(1,(MAX(Subject!$B:$B))),Subject!$B:$B,0),3))))</f>
        <v/>
      </c>
      <c r="F308" s="2" t="str">
        <f t="array" ref="F308">IF(NOW()&gt;AQ308,"",IF(AND((WEEKDAY($A308)+$B$2)&gt;1,((WEEKDAY($A308)+$T$2)&lt;7),(WEEKDAY($A308)&lt;&gt;1)),"work",(INDEX(Subject!$A:$I,MATCH(RANDBETWEEN(1,(MAX(Subject!$B:$B))),Subject!$B:$B,0),3))))</f>
        <v/>
      </c>
      <c r="G308" s="2" t="str">
        <f t="array" ref="G308">IF(NOW()&gt;AR308,"",IF(AND((WEEKDAY($A308)+$B$2)&gt;1,((WEEKDAY($A308)+$T$2)&lt;7),(WEEKDAY($A308)&lt;&gt;1)),"work",(INDEX(Subject!$A:$I,MATCH(RANDBETWEEN(1,(MAX(Subject!$B:$B))),Subject!$B:$B,0),3))))</f>
        <v/>
      </c>
      <c r="H308" s="2" t="str">
        <f t="array" ref="H308">IF(NOW()&gt;AS308,"",IF(AND((WEEKDAY($A308)+$B$2)&gt;1,((WEEKDAY($A308)+$T$2)&lt;7),(WEEKDAY($A308)&lt;&gt;1)),"work",(INDEX(Subject!$A:$I,MATCH(RANDBETWEEN(1,(MAX(Subject!$B:$B))),Subject!$B:$B,0),3))))</f>
        <v/>
      </c>
      <c r="I308" s="2" t="str">
        <f t="array" ref="I308">IF(NOW()&gt;AT308,"",IF(AND((WEEKDAY($A308)+$B$2)&gt;1,((WEEKDAY($A308)+$T$2)&lt;7),(WEEKDAY($A308)&lt;&gt;1)),"work",(INDEX(Subject!$A:$I,MATCH(RANDBETWEEN(1,(MAX(Subject!$B:$B))),Subject!$B:$B,0),3))))</f>
        <v/>
      </c>
      <c r="J308" s="2" t="str">
        <f t="array" ref="J308">IF(NOW()&gt;AU308,"",IF(AND((WEEKDAY($A308)+$B$2)&gt;1,((WEEKDAY($A308)+$T$2)&lt;7),(WEEKDAY($A308)&lt;&gt;1)),"work",(INDEX(Subject!$A:$I,MATCH(RANDBETWEEN(1,(MAX(Subject!$B:$B))),Subject!$B:$B,0),3))))</f>
        <v/>
      </c>
      <c r="K308" s="2" t="str">
        <f t="array" ref="K308">IF(NOW()&gt;AV308,"",IF(AND((WEEKDAY($A308)+$B$2)&gt;1,((WEEKDAY($A308)+$T$2)&lt;7),(WEEKDAY($A308)&lt;&gt;1)),"work",(INDEX(Subject!$A:$I,MATCH(RANDBETWEEN(1,(MAX(Subject!$B:$B))),Subject!$B:$B,0),3))))</f>
        <v/>
      </c>
      <c r="L308" s="2" t="str">
        <f t="array" ref="L308">IF(NOW()&gt;AW308,"",IF(AND((WEEKDAY($A308)+$B$2)&gt;1,((WEEKDAY($A308)+$T$2)&lt;7),(WEEKDAY($A308)&lt;&gt;1)),"work",(INDEX(Subject!$A:$I,MATCH(RANDBETWEEN(1,(MAX(Subject!$B:$B))),Subject!$B:$B,0),3))))</f>
        <v/>
      </c>
      <c r="M308" s="2" t="str">
        <f t="array" ref="M308">IF(NOW()&gt;AX308,"",IF(AND((WEEKDAY($A308)+$B$2)&gt;1,((WEEKDAY($A308)+$T$2)&lt;7),(WEEKDAY($A308)&lt;&gt;1)),"work",(INDEX(Subject!$A:$I,MATCH(RANDBETWEEN(1,(MAX(Subject!$B:$B))),Subject!$B:$B,0),3))))</f>
        <v/>
      </c>
      <c r="N308" s="2" t="str">
        <f t="array" ref="N308">IF(NOW()&gt;AY308,"",IF(AND((WEEKDAY($A308)+$B$2)&gt;1,((WEEKDAY($A308)+$T$2)&lt;7),(WEEKDAY($A308)&lt;&gt;1)),"work",(INDEX(Subject!$A:$I,MATCH(RANDBETWEEN(1,(MAX(Subject!$B:$B))),Subject!$B:$B,0),3))))</f>
        <v/>
      </c>
      <c r="O308" s="2" t="str">
        <f t="array" ref="O308">IF(NOW()&gt;AZ308,"",IF(AND((WEEKDAY($A308)+$B$2)&gt;1,((WEEKDAY($A308)+$T$2)&lt;7),(WEEKDAY($A308)&lt;&gt;1)),"work",(INDEX(Subject!$A:$I,MATCH(RANDBETWEEN(1,(MAX(Subject!$B:$B))),Subject!$B:$B,0),3))))</f>
        <v/>
      </c>
      <c r="P308" s="2" t="str">
        <f t="array" ref="P308">IF(NOW()&gt;BA308,"",IF(AND((WEEKDAY($A308)+$B$2)&gt;1,((WEEKDAY($A308)+$T$2)&lt;7),(WEEKDAY($A308)&lt;&gt;1)),"work",(INDEX(Subject!$A:$I,MATCH(RANDBETWEEN(1,(MAX(Subject!$B:$B))),Subject!$B:$B,0),3))))</f>
        <v/>
      </c>
      <c r="Q308" s="2" t="str">
        <f t="array" ref="Q308">IF(NOW()&gt;BB308,"",IF(AND((WEEKDAY($A308)+$B$2)&gt;1,((WEEKDAY($A308)+$T$2)&lt;7),(WEEKDAY($A308)&lt;&gt;1)),"work",(INDEX(Subject!$A:$I,MATCH(RANDBETWEEN(1,(MAX(Subject!$B:$B))),Subject!$B:$B,0),3))))</f>
        <v/>
      </c>
      <c r="R308" s="2" t="str">
        <f t="array" ref="R308">IF(NOW()&gt;BC308,"",IF(AND((WEEKDAY($A308)+$B$2)&gt;1,((WEEKDAY($A308)+$T$2)&lt;7),(WEEKDAY($A308)&lt;&gt;1)),"work",(INDEX(Subject!$A:$I,MATCH(RANDBETWEEN(1,(MAX(Subject!$B:$B))),Subject!$B:$B,0),3))))</f>
        <v/>
      </c>
      <c r="S308" s="2" t="str">
        <f t="array" ref="S308">IF(NOW()&gt;BD308,"",IF(AND((WEEKDAY($A308)+$B$2)&gt;1,((WEEKDAY($A308)+$T$2)&lt;7),(WEEKDAY($A308)&lt;&gt;1)),"work",(INDEX(Subject!$A:$I,MATCH(RANDBETWEEN(1,(MAX(Subject!$B:$B))),Subject!$B:$B,0),3))))</f>
        <v/>
      </c>
      <c r="T308" s="2" t="str">
        <f t="array" ref="T308">IF(NOW()&gt;BE308,"",IF(AND((WEEKDAY($A308)+$B$2)&gt;1,((WEEKDAY($A308)+$T$2)&lt;7),(WEEKDAY($A308)&lt;&gt;1)),"work",(INDEX(Subject!$A:$I,MATCH(RANDBETWEEN(1,(MAX(Subject!$B:$B))),Subject!$B:$B,0),3))))</f>
        <v/>
      </c>
      <c r="U308" s="8" t="str">
        <f t="array" ref="U308">INDEX(Subject!$A:$I,MATCH(RANDBETWEEN(1,16),Subject!$B:$B,0),3)</f>
        <v>#N/A</v>
      </c>
      <c r="V308" s="8" t="str">
        <f t="array" ref="V308">INDEX(Subject!$A:$I,MATCH(RANDBETWEEN(1,16),Subject!$B:$B,0),3)</f>
        <v>#N/A</v>
      </c>
      <c r="W308" s="8" t="str">
        <f t="array" ref="W308">INDEX(Subject!$A:$I,MATCH(RANDBETWEEN(1,16),Subject!$B:$B,0),3)</f>
        <v>#N/A</v>
      </c>
      <c r="X308" s="8" t="str">
        <f t="array" ref="X308">INDEX(Subject!$A:$I,MATCH(RANDBETWEEN(1,16),Subject!$B:$B,0),3)</f>
        <v>#N/A</v>
      </c>
      <c r="Y308" s="8" t="str">
        <f t="array" ref="Y308">INDEX(Subject!$A:$I,MATCH(RANDBETWEEN(1,16),Subject!$B:$B,0),3)</f>
        <v>#N/A</v>
      </c>
      <c r="Z308" s="8" t="str">
        <f t="array" ref="Z308">INDEX(Subject!$A:$I,MATCH(RANDBETWEEN(1,16),Subject!$B:$B,0),3)</f>
        <v>#N/A</v>
      </c>
      <c r="AA308" s="8" t="str">
        <f t="array" ref="AA308">INDEX(Subject!$A:$I,MATCH(RANDBETWEEN(1,16),Subject!$B:$B,0),3)</f>
        <v>#N/A</v>
      </c>
      <c r="AB308" s="8" t="str">
        <f t="array" ref="AB308">INDEX(Subject!$A:$I,MATCH(RANDBETWEEN(1,16),Subject!$B:$B,0),3)</f>
        <v>#N/A</v>
      </c>
      <c r="AC308" s="8" t="str">
        <f t="array" ref="AC308">INDEX(Subject!$A:$I,MATCH(RANDBETWEEN(1,16),Subject!$B:$B,0),3)</f>
        <v>#N/A</v>
      </c>
      <c r="AD308" s="8" t="str">
        <f t="array" ref="AD308">INDEX(Subject!$A:$I,MATCH(RANDBETWEEN(1,16),Subject!$B:$B,0),3)</f>
        <v>#N/A</v>
      </c>
      <c r="AE308" s="8" t="str">
        <f t="array" ref="AE308">INDEX(Subject!$A:$I,MATCH(RANDBETWEEN(1,16),Subject!$B:$B,0),3)</f>
        <v>#N/A</v>
      </c>
      <c r="AF308" s="8" t="str">
        <f t="array" ref="AF308">INDEX(Subject!$A:$I,MATCH(RANDBETWEEN(1,16),Subject!$B:$B,0),3)</f>
        <v>#N/A</v>
      </c>
      <c r="AG308" s="8" t="str">
        <f t="array" ref="AG308">INDEX(Subject!$A:$I,MATCH(RANDBETWEEN(1,16),Subject!$B:$B,0),3)</f>
        <v>#N/A</v>
      </c>
      <c r="AH308" s="8" t="str">
        <f t="array" ref="AH308">INDEX(Subject!$A:$I,MATCH(RANDBETWEEN(1,16),Subject!$B:$B,0),3)</f>
        <v>#N/A</v>
      </c>
      <c r="AI308" s="8" t="str">
        <f t="array" ref="AI308">INDEX(Subject!$A:$I,MATCH(RANDBETWEEN(1,16),Subject!$B:$B,0),3)</f>
        <v>#N/A</v>
      </c>
      <c r="AJ308" s="8" t="str">
        <f t="array" ref="AJ308">INDEX(Subject!$A:$I,MATCH(RANDBETWEEN(1,16),Subject!$B:$B,0),3)</f>
        <v>#N/A</v>
      </c>
      <c r="AK308" s="8" t="str">
        <f t="array" ref="AK308">INDEX(Subject!$A:$I,MATCH(RANDBETWEEN(1,16),Subject!$B:$B,0),3)</f>
        <v>#N/A</v>
      </c>
      <c r="AL308" s="8" t="str">
        <f t="array" ref="AL308">INDEX(Subject!$A:$I,MATCH(RANDBETWEEN(1,16),Subject!$B:$B,0),3)</f>
        <v>#N/A</v>
      </c>
      <c r="AM308" s="18">
        <f t="shared" si="4"/>
        <v>45808.33333</v>
      </c>
      <c r="AN308" s="19">
        <f t="shared" ref="AN308:BZ308" si="308">$A308+C$1</f>
        <v>45808.35417</v>
      </c>
      <c r="AO308" s="19">
        <f t="shared" si="308"/>
        <v>45808.375</v>
      </c>
      <c r="AP308" s="19">
        <f t="shared" si="308"/>
        <v>45808.39583</v>
      </c>
      <c r="AQ308" s="19">
        <f t="shared" si="308"/>
        <v>45808.41667</v>
      </c>
      <c r="AR308" s="19">
        <f t="shared" si="308"/>
        <v>45808.4375</v>
      </c>
      <c r="AS308" s="19">
        <f t="shared" si="308"/>
        <v>45808.45833</v>
      </c>
      <c r="AT308" s="19">
        <f t="shared" si="308"/>
        <v>45808.47917</v>
      </c>
      <c r="AU308" s="19">
        <f t="shared" si="308"/>
        <v>45808.5</v>
      </c>
      <c r="AV308" s="19">
        <f t="shared" si="308"/>
        <v>45808.52083</v>
      </c>
      <c r="AW308" s="19">
        <f t="shared" si="308"/>
        <v>45808.54167</v>
      </c>
      <c r="AX308" s="19">
        <f t="shared" si="308"/>
        <v>45808.5625</v>
      </c>
      <c r="AY308" s="19">
        <f t="shared" si="308"/>
        <v>45808.58333</v>
      </c>
      <c r="AZ308" s="19">
        <f t="shared" si="308"/>
        <v>45808.60417</v>
      </c>
      <c r="BA308" s="19">
        <f t="shared" si="308"/>
        <v>45808.625</v>
      </c>
      <c r="BB308" s="19">
        <f t="shared" si="308"/>
        <v>45808.64583</v>
      </c>
      <c r="BC308" s="19">
        <f t="shared" si="308"/>
        <v>45808.66667</v>
      </c>
      <c r="BD308" s="19">
        <f t="shared" si="308"/>
        <v>45808.6875</v>
      </c>
      <c r="BE308" s="19">
        <f t="shared" si="308"/>
        <v>45808.70833</v>
      </c>
      <c r="BF308" s="19">
        <f t="shared" si="308"/>
        <v>45808.72917</v>
      </c>
      <c r="BG308" s="19">
        <f t="shared" si="308"/>
        <v>45808.75</v>
      </c>
      <c r="BH308" s="19">
        <f t="shared" si="308"/>
        <v>45808.77083</v>
      </c>
      <c r="BI308" s="19">
        <f t="shared" si="308"/>
        <v>45808.79167</v>
      </c>
      <c r="BJ308" s="19">
        <f t="shared" si="308"/>
        <v>45808.8125</v>
      </c>
      <c r="BK308" s="19">
        <f t="shared" si="308"/>
        <v>45808.83333</v>
      </c>
      <c r="BL308" s="19">
        <f t="shared" si="308"/>
        <v>45808.85417</v>
      </c>
      <c r="BM308" s="19">
        <f t="shared" si="308"/>
        <v>45808.875</v>
      </c>
      <c r="BN308" s="19">
        <f t="shared" si="308"/>
        <v>45808.89583</v>
      </c>
      <c r="BO308" s="19">
        <f t="shared" si="308"/>
        <v>45808.91667</v>
      </c>
      <c r="BP308" s="19">
        <f t="shared" si="308"/>
        <v>45808.9375</v>
      </c>
      <c r="BQ308" s="19">
        <f t="shared" si="308"/>
        <v>45808.95833</v>
      </c>
      <c r="BR308" s="19">
        <f t="shared" si="308"/>
        <v>45808.97917</v>
      </c>
      <c r="BS308" s="19">
        <f t="shared" si="308"/>
        <v>45809</v>
      </c>
      <c r="BT308" s="19">
        <f t="shared" si="308"/>
        <v>45809.02083</v>
      </c>
      <c r="BU308" s="19">
        <f t="shared" si="308"/>
        <v>45809.04167</v>
      </c>
      <c r="BV308" s="19">
        <f t="shared" si="308"/>
        <v>45809.0625</v>
      </c>
      <c r="BW308" s="19">
        <f t="shared" si="308"/>
        <v>45809.08333</v>
      </c>
      <c r="BX308" s="19">
        <f t="shared" si="308"/>
        <v>45808</v>
      </c>
      <c r="BY308" s="19">
        <f t="shared" si="308"/>
        <v>45808</v>
      </c>
      <c r="BZ308" s="19">
        <f t="shared" si="308"/>
        <v>45808</v>
      </c>
    </row>
    <row r="309" ht="14.25" customHeight="1">
      <c r="A309" s="17">
        <v>45809.0</v>
      </c>
      <c r="B309" s="2" t="str">
        <f t="array" ref="B309">IF(NOW()&gt;AM309,"",IF(AND((WEEKDAY($A309)+$B$2)&gt;1,((WEEKDAY($A309)+$T$2)&lt;7),(WEEKDAY($A309)&lt;&gt;1)),"work",(INDEX(Subject!$A:$I,MATCH(RANDBETWEEN(1,(MAX(Subject!$B:$B))),Subject!$B:$B,0),3))))</f>
        <v/>
      </c>
      <c r="C309" s="2" t="str">
        <f t="array" ref="C309">IF(NOW()&gt;AN309,"",IF(AND((WEEKDAY($A309)+$B$2)&gt;1,((WEEKDAY($A309)+$T$2)&lt;7),(WEEKDAY($A309)&lt;&gt;1)),"work",(INDEX(Subject!$A:$I,MATCH(RANDBETWEEN(1,(MAX(Subject!$B:$B))),Subject!$B:$B,0),3))))</f>
        <v/>
      </c>
      <c r="D309" s="2" t="str">
        <f t="array" ref="D309">IF(NOW()&gt;AO309,"",IF(AND((WEEKDAY($A309)+$B$2)&gt;1,((WEEKDAY($A309)+$T$2)&lt;7),(WEEKDAY($A309)&lt;&gt;1)),"work",(INDEX(Subject!$A:$I,MATCH(RANDBETWEEN(1,(MAX(Subject!$B:$B))),Subject!$B:$B,0),3))))</f>
        <v/>
      </c>
      <c r="E309" s="2" t="str">
        <f t="array" ref="E309">IF(NOW()&gt;AP309,"",IF(AND((WEEKDAY($A309)+$B$2)&gt;1,((WEEKDAY($A309)+$T$2)&lt;7),(WEEKDAY($A309)&lt;&gt;1)),"work",(INDEX(Subject!$A:$I,MATCH(RANDBETWEEN(1,(MAX(Subject!$B:$B))),Subject!$B:$B,0),3))))</f>
        <v/>
      </c>
      <c r="F309" s="2" t="str">
        <f t="array" ref="F309">IF(NOW()&gt;AQ309,"",IF(AND((WEEKDAY($A309)+$B$2)&gt;1,((WEEKDAY($A309)+$T$2)&lt;7),(WEEKDAY($A309)&lt;&gt;1)),"work",(INDEX(Subject!$A:$I,MATCH(RANDBETWEEN(1,(MAX(Subject!$B:$B))),Subject!$B:$B,0),3))))</f>
        <v/>
      </c>
      <c r="G309" s="2" t="str">
        <f t="array" ref="G309">IF(NOW()&gt;AR309,"",IF(AND((WEEKDAY($A309)+$B$2)&gt;1,((WEEKDAY($A309)+$T$2)&lt;7),(WEEKDAY($A309)&lt;&gt;1)),"work",(INDEX(Subject!$A:$I,MATCH(RANDBETWEEN(1,(MAX(Subject!$B:$B))),Subject!$B:$B,0),3))))</f>
        <v/>
      </c>
      <c r="H309" s="2" t="str">
        <f t="array" ref="H309">IF(NOW()&gt;AS309,"",IF(AND((WEEKDAY($A309)+$B$2)&gt;1,((WEEKDAY($A309)+$T$2)&lt;7),(WEEKDAY($A309)&lt;&gt;1)),"work",(INDEX(Subject!$A:$I,MATCH(RANDBETWEEN(1,(MAX(Subject!$B:$B))),Subject!$B:$B,0),3))))</f>
        <v/>
      </c>
      <c r="I309" s="2" t="str">
        <f t="array" ref="I309">IF(NOW()&gt;AT309,"",IF(AND((WEEKDAY($A309)+$B$2)&gt;1,((WEEKDAY($A309)+$T$2)&lt;7),(WEEKDAY($A309)&lt;&gt;1)),"work",(INDEX(Subject!$A:$I,MATCH(RANDBETWEEN(1,(MAX(Subject!$B:$B))),Subject!$B:$B,0),3))))</f>
        <v/>
      </c>
      <c r="J309" s="2" t="str">
        <f t="array" ref="J309">IF(NOW()&gt;AU309,"",IF(AND((WEEKDAY($A309)+$B$2)&gt;1,((WEEKDAY($A309)+$T$2)&lt;7),(WEEKDAY($A309)&lt;&gt;1)),"work",(INDEX(Subject!$A:$I,MATCH(RANDBETWEEN(1,(MAX(Subject!$B:$B))),Subject!$B:$B,0),3))))</f>
        <v/>
      </c>
      <c r="K309" s="2" t="str">
        <f t="array" ref="K309">IF(NOW()&gt;AV309,"",IF(AND((WEEKDAY($A309)+$B$2)&gt;1,((WEEKDAY($A309)+$T$2)&lt;7),(WEEKDAY($A309)&lt;&gt;1)),"work",(INDEX(Subject!$A:$I,MATCH(RANDBETWEEN(1,(MAX(Subject!$B:$B))),Subject!$B:$B,0),3))))</f>
        <v/>
      </c>
      <c r="L309" s="2" t="str">
        <f t="array" ref="L309">IF(NOW()&gt;AW309,"",IF(AND((WEEKDAY($A309)+$B$2)&gt;1,((WEEKDAY($A309)+$T$2)&lt;7),(WEEKDAY($A309)&lt;&gt;1)),"work",(INDEX(Subject!$A:$I,MATCH(RANDBETWEEN(1,(MAX(Subject!$B:$B))),Subject!$B:$B,0),3))))</f>
        <v/>
      </c>
      <c r="M309" s="2" t="str">
        <f t="array" ref="M309">IF(NOW()&gt;AX309,"",IF(AND((WEEKDAY($A309)+$B$2)&gt;1,((WEEKDAY($A309)+$T$2)&lt;7),(WEEKDAY($A309)&lt;&gt;1)),"work",(INDEX(Subject!$A:$I,MATCH(RANDBETWEEN(1,(MAX(Subject!$B:$B))),Subject!$B:$B,0),3))))</f>
        <v/>
      </c>
      <c r="N309" s="2" t="str">
        <f t="array" ref="N309">IF(NOW()&gt;AY309,"",IF(AND((WEEKDAY($A309)+$B$2)&gt;1,((WEEKDAY($A309)+$T$2)&lt;7),(WEEKDAY($A309)&lt;&gt;1)),"work",(INDEX(Subject!$A:$I,MATCH(RANDBETWEEN(1,(MAX(Subject!$B:$B))),Subject!$B:$B,0),3))))</f>
        <v/>
      </c>
      <c r="O309" s="2" t="str">
        <f t="array" ref="O309">IF(NOW()&gt;AZ309,"",IF(AND((WEEKDAY($A309)+$B$2)&gt;1,((WEEKDAY($A309)+$T$2)&lt;7),(WEEKDAY($A309)&lt;&gt;1)),"work",(INDEX(Subject!$A:$I,MATCH(RANDBETWEEN(1,(MAX(Subject!$B:$B))),Subject!$B:$B,0),3))))</f>
        <v/>
      </c>
      <c r="P309" s="2" t="str">
        <f t="array" ref="P309">IF(NOW()&gt;BA309,"",IF(AND((WEEKDAY($A309)+$B$2)&gt;1,((WEEKDAY($A309)+$T$2)&lt;7),(WEEKDAY($A309)&lt;&gt;1)),"work",(INDEX(Subject!$A:$I,MATCH(RANDBETWEEN(1,(MAX(Subject!$B:$B))),Subject!$B:$B,0),3))))</f>
        <v/>
      </c>
      <c r="Q309" s="2" t="str">
        <f t="array" ref="Q309">IF(NOW()&gt;BB309,"",IF(AND((WEEKDAY($A309)+$B$2)&gt;1,((WEEKDAY($A309)+$T$2)&lt;7),(WEEKDAY($A309)&lt;&gt;1)),"work",(INDEX(Subject!$A:$I,MATCH(RANDBETWEEN(1,(MAX(Subject!$B:$B))),Subject!$B:$B,0),3))))</f>
        <v/>
      </c>
      <c r="R309" s="2" t="str">
        <f t="array" ref="R309">IF(NOW()&gt;BC309,"",IF(AND((WEEKDAY($A309)+$B$2)&gt;1,((WEEKDAY($A309)+$T$2)&lt;7),(WEEKDAY($A309)&lt;&gt;1)),"work",(INDEX(Subject!$A:$I,MATCH(RANDBETWEEN(1,(MAX(Subject!$B:$B))),Subject!$B:$B,0),3))))</f>
        <v/>
      </c>
      <c r="S309" s="2" t="str">
        <f t="array" ref="S309">IF(NOW()&gt;BD309,"",IF(AND((WEEKDAY($A309)+$B$2)&gt;1,((WEEKDAY($A309)+$T$2)&lt;7),(WEEKDAY($A309)&lt;&gt;1)),"work",(INDEX(Subject!$A:$I,MATCH(RANDBETWEEN(1,(MAX(Subject!$B:$B))),Subject!$B:$B,0),3))))</f>
        <v/>
      </c>
      <c r="T309" s="2" t="str">
        <f t="array" ref="T309">IF(NOW()&gt;BE309,"",IF(AND((WEEKDAY($A309)+$B$2)&gt;1,((WEEKDAY($A309)+$T$2)&lt;7),(WEEKDAY($A309)&lt;&gt;1)),"work",(INDEX(Subject!$A:$I,MATCH(RANDBETWEEN(1,(MAX(Subject!$B:$B))),Subject!$B:$B,0),3))))</f>
        <v/>
      </c>
      <c r="U309" s="8" t="str">
        <f t="array" ref="U309">INDEX(Subject!$A:$I,MATCH(RANDBETWEEN(1,16),Subject!$B:$B,0),3)</f>
        <v>#N/A</v>
      </c>
      <c r="V309" s="8" t="str">
        <f t="array" ref="V309">INDEX(Subject!$A:$I,MATCH(RANDBETWEEN(1,16),Subject!$B:$B,0),3)</f>
        <v>#N/A</v>
      </c>
      <c r="W309" s="8" t="str">
        <f t="array" ref="W309">INDEX(Subject!$A:$I,MATCH(RANDBETWEEN(1,16),Subject!$B:$B,0),3)</f>
        <v>#N/A</v>
      </c>
      <c r="X309" s="8" t="str">
        <f t="array" ref="X309">INDEX(Subject!$A:$I,MATCH(RANDBETWEEN(1,16),Subject!$B:$B,0),3)</f>
        <v>#N/A</v>
      </c>
      <c r="Y309" s="8" t="str">
        <f t="array" ref="Y309">INDEX(Subject!$A:$I,MATCH(RANDBETWEEN(1,16),Subject!$B:$B,0),3)</f>
        <v>#N/A</v>
      </c>
      <c r="Z309" s="8" t="str">
        <f t="array" ref="Z309">INDEX(Subject!$A:$I,MATCH(RANDBETWEEN(1,16),Subject!$B:$B,0),3)</f>
        <v>#N/A</v>
      </c>
      <c r="AA309" s="8" t="str">
        <f t="array" ref="AA309">INDEX(Subject!$A:$I,MATCH(RANDBETWEEN(1,16),Subject!$B:$B,0),3)</f>
        <v>#N/A</v>
      </c>
      <c r="AB309" s="8" t="str">
        <f t="array" ref="AB309">INDEX(Subject!$A:$I,MATCH(RANDBETWEEN(1,16),Subject!$B:$B,0),3)</f>
        <v>#N/A</v>
      </c>
      <c r="AC309" s="8" t="str">
        <f t="array" ref="AC309">INDEX(Subject!$A:$I,MATCH(RANDBETWEEN(1,16),Subject!$B:$B,0),3)</f>
        <v>#N/A</v>
      </c>
      <c r="AD309" s="8" t="str">
        <f t="array" ref="AD309">INDEX(Subject!$A:$I,MATCH(RANDBETWEEN(1,16),Subject!$B:$B,0),3)</f>
        <v>#N/A</v>
      </c>
      <c r="AE309" s="8" t="str">
        <f t="array" ref="AE309">INDEX(Subject!$A:$I,MATCH(RANDBETWEEN(1,16),Subject!$B:$B,0),3)</f>
        <v>#N/A</v>
      </c>
      <c r="AF309" s="8" t="str">
        <f t="array" ref="AF309">INDEX(Subject!$A:$I,MATCH(RANDBETWEEN(1,16),Subject!$B:$B,0),3)</f>
        <v>#N/A</v>
      </c>
      <c r="AG309" s="8" t="str">
        <f t="array" ref="AG309">INDEX(Subject!$A:$I,MATCH(RANDBETWEEN(1,16),Subject!$B:$B,0),3)</f>
        <v>#N/A</v>
      </c>
      <c r="AH309" s="8" t="str">
        <f t="array" ref="AH309">INDEX(Subject!$A:$I,MATCH(RANDBETWEEN(1,16),Subject!$B:$B,0),3)</f>
        <v>#N/A</v>
      </c>
      <c r="AI309" s="8" t="str">
        <f t="array" ref="AI309">INDEX(Subject!$A:$I,MATCH(RANDBETWEEN(1,16),Subject!$B:$B,0),3)</f>
        <v>#N/A</v>
      </c>
      <c r="AJ309" s="8" t="str">
        <f t="array" ref="AJ309">INDEX(Subject!$A:$I,MATCH(RANDBETWEEN(1,16),Subject!$B:$B,0),3)</f>
        <v>#N/A</v>
      </c>
      <c r="AK309" s="8" t="str">
        <f t="array" ref="AK309">INDEX(Subject!$A:$I,MATCH(RANDBETWEEN(1,16),Subject!$B:$B,0),3)</f>
        <v>#N/A</v>
      </c>
      <c r="AL309" s="8" t="str">
        <f t="array" ref="AL309">INDEX(Subject!$A:$I,MATCH(RANDBETWEEN(1,16),Subject!$B:$B,0),3)</f>
        <v>#N/A</v>
      </c>
      <c r="AM309" s="18">
        <f t="shared" si="4"/>
        <v>45809.33333</v>
      </c>
      <c r="AN309" s="19">
        <f t="shared" ref="AN309:BZ309" si="309">$A309+C$1</f>
        <v>45809.35417</v>
      </c>
      <c r="AO309" s="19">
        <f t="shared" si="309"/>
        <v>45809.375</v>
      </c>
      <c r="AP309" s="19">
        <f t="shared" si="309"/>
        <v>45809.39583</v>
      </c>
      <c r="AQ309" s="19">
        <f t="shared" si="309"/>
        <v>45809.41667</v>
      </c>
      <c r="AR309" s="19">
        <f t="shared" si="309"/>
        <v>45809.4375</v>
      </c>
      <c r="AS309" s="19">
        <f t="shared" si="309"/>
        <v>45809.45833</v>
      </c>
      <c r="AT309" s="19">
        <f t="shared" si="309"/>
        <v>45809.47917</v>
      </c>
      <c r="AU309" s="19">
        <f t="shared" si="309"/>
        <v>45809.5</v>
      </c>
      <c r="AV309" s="19">
        <f t="shared" si="309"/>
        <v>45809.52083</v>
      </c>
      <c r="AW309" s="19">
        <f t="shared" si="309"/>
        <v>45809.54167</v>
      </c>
      <c r="AX309" s="19">
        <f t="shared" si="309"/>
        <v>45809.5625</v>
      </c>
      <c r="AY309" s="19">
        <f t="shared" si="309"/>
        <v>45809.58333</v>
      </c>
      <c r="AZ309" s="19">
        <f t="shared" si="309"/>
        <v>45809.60417</v>
      </c>
      <c r="BA309" s="19">
        <f t="shared" si="309"/>
        <v>45809.625</v>
      </c>
      <c r="BB309" s="19">
        <f t="shared" si="309"/>
        <v>45809.64583</v>
      </c>
      <c r="BC309" s="19">
        <f t="shared" si="309"/>
        <v>45809.66667</v>
      </c>
      <c r="BD309" s="19">
        <f t="shared" si="309"/>
        <v>45809.6875</v>
      </c>
      <c r="BE309" s="19">
        <f t="shared" si="309"/>
        <v>45809.70833</v>
      </c>
      <c r="BF309" s="19">
        <f t="shared" si="309"/>
        <v>45809.72917</v>
      </c>
      <c r="BG309" s="19">
        <f t="shared" si="309"/>
        <v>45809.75</v>
      </c>
      <c r="BH309" s="19">
        <f t="shared" si="309"/>
        <v>45809.77083</v>
      </c>
      <c r="BI309" s="19">
        <f t="shared" si="309"/>
        <v>45809.79167</v>
      </c>
      <c r="BJ309" s="19">
        <f t="shared" si="309"/>
        <v>45809.8125</v>
      </c>
      <c r="BK309" s="19">
        <f t="shared" si="309"/>
        <v>45809.83333</v>
      </c>
      <c r="BL309" s="19">
        <f t="shared" si="309"/>
        <v>45809.85417</v>
      </c>
      <c r="BM309" s="19">
        <f t="shared" si="309"/>
        <v>45809.875</v>
      </c>
      <c r="BN309" s="19">
        <f t="shared" si="309"/>
        <v>45809.89583</v>
      </c>
      <c r="BO309" s="19">
        <f t="shared" si="309"/>
        <v>45809.91667</v>
      </c>
      <c r="BP309" s="19">
        <f t="shared" si="309"/>
        <v>45809.9375</v>
      </c>
      <c r="BQ309" s="19">
        <f t="shared" si="309"/>
        <v>45809.95833</v>
      </c>
      <c r="BR309" s="19">
        <f t="shared" si="309"/>
        <v>45809.97917</v>
      </c>
      <c r="BS309" s="19">
        <f t="shared" si="309"/>
        <v>45810</v>
      </c>
      <c r="BT309" s="19">
        <f t="shared" si="309"/>
        <v>45810.02083</v>
      </c>
      <c r="BU309" s="19">
        <f t="shared" si="309"/>
        <v>45810.04167</v>
      </c>
      <c r="BV309" s="19">
        <f t="shared" si="309"/>
        <v>45810.0625</v>
      </c>
      <c r="BW309" s="19">
        <f t="shared" si="309"/>
        <v>45810.08333</v>
      </c>
      <c r="BX309" s="19">
        <f t="shared" si="309"/>
        <v>45809</v>
      </c>
      <c r="BY309" s="19">
        <f t="shared" si="309"/>
        <v>45809</v>
      </c>
      <c r="BZ309" s="19">
        <f t="shared" si="309"/>
        <v>45809</v>
      </c>
    </row>
    <row r="310" ht="14.25" customHeight="1">
      <c r="A310" s="17">
        <v>45810.0</v>
      </c>
      <c r="B310" s="2" t="str">
        <f t="array" ref="B310">IF(NOW()&gt;AM310,"",IF(AND((WEEKDAY($A310)+$B$2)&gt;1,((WEEKDAY($A310)+$T$2)&lt;7),(WEEKDAY($A310)&lt;&gt;1)),"work",(INDEX(Subject!$A:$I,MATCH(RANDBETWEEN(1,(MAX(Subject!$B:$B))),Subject!$B:$B,0),3))))</f>
        <v/>
      </c>
      <c r="C310" s="2" t="str">
        <f t="array" ref="C310">IF(NOW()&gt;AN310,"",IF(AND((WEEKDAY($A310)+$B$2)&gt;1,((WEEKDAY($A310)+$T$2)&lt;7),(WEEKDAY($A310)&lt;&gt;1)),"work",(INDEX(Subject!$A:$I,MATCH(RANDBETWEEN(1,(MAX(Subject!$B:$B))),Subject!$B:$B,0),3))))</f>
        <v/>
      </c>
      <c r="D310" s="2" t="str">
        <f t="array" ref="D310">IF(NOW()&gt;AO310,"",IF(AND((WEEKDAY($A310)+$B$2)&gt;1,((WEEKDAY($A310)+$T$2)&lt;7),(WEEKDAY($A310)&lt;&gt;1)),"work",(INDEX(Subject!$A:$I,MATCH(RANDBETWEEN(1,(MAX(Subject!$B:$B))),Subject!$B:$B,0),3))))</f>
        <v/>
      </c>
      <c r="E310" s="2" t="str">
        <f t="array" ref="E310">IF(NOW()&gt;AP310,"",IF(AND((WEEKDAY($A310)+$B$2)&gt;1,((WEEKDAY($A310)+$T$2)&lt;7),(WEEKDAY($A310)&lt;&gt;1)),"work",(INDEX(Subject!$A:$I,MATCH(RANDBETWEEN(1,(MAX(Subject!$B:$B))),Subject!$B:$B,0),3))))</f>
        <v/>
      </c>
      <c r="F310" s="2" t="str">
        <f t="array" ref="F310">IF(NOW()&gt;AQ310,"",IF(AND((WEEKDAY($A310)+$B$2)&gt;1,((WEEKDAY($A310)+$T$2)&lt;7),(WEEKDAY($A310)&lt;&gt;1)),"work",(INDEX(Subject!$A:$I,MATCH(RANDBETWEEN(1,(MAX(Subject!$B:$B))),Subject!$B:$B,0),3))))</f>
        <v/>
      </c>
      <c r="G310" s="2" t="str">
        <f t="array" ref="G310">IF(NOW()&gt;AR310,"",IF(AND((WEEKDAY($A310)+$B$2)&gt;1,((WEEKDAY($A310)+$T$2)&lt;7),(WEEKDAY($A310)&lt;&gt;1)),"work",(INDEX(Subject!$A:$I,MATCH(RANDBETWEEN(1,(MAX(Subject!$B:$B))),Subject!$B:$B,0),3))))</f>
        <v/>
      </c>
      <c r="H310" s="2" t="str">
        <f t="array" ref="H310">IF(NOW()&gt;AS310,"",IF(AND((WEEKDAY($A310)+$B$2)&gt;1,((WEEKDAY($A310)+$T$2)&lt;7),(WEEKDAY($A310)&lt;&gt;1)),"work",(INDEX(Subject!$A:$I,MATCH(RANDBETWEEN(1,(MAX(Subject!$B:$B))),Subject!$B:$B,0),3))))</f>
        <v/>
      </c>
      <c r="I310" s="2" t="str">
        <f t="array" ref="I310">IF(NOW()&gt;AT310,"",IF(AND((WEEKDAY($A310)+$B$2)&gt;1,((WEEKDAY($A310)+$T$2)&lt;7),(WEEKDAY($A310)&lt;&gt;1)),"work",(INDEX(Subject!$A:$I,MATCH(RANDBETWEEN(1,(MAX(Subject!$B:$B))),Subject!$B:$B,0),3))))</f>
        <v/>
      </c>
      <c r="J310" s="2" t="str">
        <f t="array" ref="J310">IF(NOW()&gt;AU310,"",IF(AND((WEEKDAY($A310)+$B$2)&gt;1,((WEEKDAY($A310)+$T$2)&lt;7),(WEEKDAY($A310)&lt;&gt;1)),"work",(INDEX(Subject!$A:$I,MATCH(RANDBETWEEN(1,(MAX(Subject!$B:$B))),Subject!$B:$B,0),3))))</f>
        <v/>
      </c>
      <c r="K310" s="2" t="str">
        <f t="array" ref="K310">IF(NOW()&gt;AV310,"",IF(AND((WEEKDAY($A310)+$B$2)&gt;1,((WEEKDAY($A310)+$T$2)&lt;7),(WEEKDAY($A310)&lt;&gt;1)),"work",(INDEX(Subject!$A:$I,MATCH(RANDBETWEEN(1,(MAX(Subject!$B:$B))),Subject!$B:$B,0),3))))</f>
        <v/>
      </c>
      <c r="L310" s="2" t="str">
        <f t="array" ref="L310">IF(NOW()&gt;AW310,"",IF(AND((WEEKDAY($A310)+$B$2)&gt;1,((WEEKDAY($A310)+$T$2)&lt;7),(WEEKDAY($A310)&lt;&gt;1)),"work",(INDEX(Subject!$A:$I,MATCH(RANDBETWEEN(1,(MAX(Subject!$B:$B))),Subject!$B:$B,0),3))))</f>
        <v/>
      </c>
      <c r="M310" s="2" t="str">
        <f t="array" ref="M310">IF(NOW()&gt;AX310,"",IF(AND((WEEKDAY($A310)+$B$2)&gt;1,((WEEKDAY($A310)+$T$2)&lt;7),(WEEKDAY($A310)&lt;&gt;1)),"work",(INDEX(Subject!$A:$I,MATCH(RANDBETWEEN(1,(MAX(Subject!$B:$B))),Subject!$B:$B,0),3))))</f>
        <v/>
      </c>
      <c r="N310" s="2" t="str">
        <f t="array" ref="N310">IF(NOW()&gt;AY310,"",IF(AND((WEEKDAY($A310)+$B$2)&gt;1,((WEEKDAY($A310)+$T$2)&lt;7),(WEEKDAY($A310)&lt;&gt;1)),"work",(INDEX(Subject!$A:$I,MATCH(RANDBETWEEN(1,(MAX(Subject!$B:$B))),Subject!$B:$B,0),3))))</f>
        <v/>
      </c>
      <c r="O310" s="2" t="str">
        <f t="array" ref="O310">IF(NOW()&gt;AZ310,"",IF(AND((WEEKDAY($A310)+$B$2)&gt;1,((WEEKDAY($A310)+$T$2)&lt;7),(WEEKDAY($A310)&lt;&gt;1)),"work",(INDEX(Subject!$A:$I,MATCH(RANDBETWEEN(1,(MAX(Subject!$B:$B))),Subject!$B:$B,0),3))))</f>
        <v/>
      </c>
      <c r="P310" s="2" t="str">
        <f t="array" ref="P310">IF(NOW()&gt;BA310,"",IF(AND((WEEKDAY($A310)+$B$2)&gt;1,((WEEKDAY($A310)+$T$2)&lt;7),(WEEKDAY($A310)&lt;&gt;1)),"work",(INDEX(Subject!$A:$I,MATCH(RANDBETWEEN(1,(MAX(Subject!$B:$B))),Subject!$B:$B,0),3))))</f>
        <v/>
      </c>
      <c r="Q310" s="2" t="str">
        <f t="array" ref="Q310">IF(NOW()&gt;BB310,"",IF(AND((WEEKDAY($A310)+$B$2)&gt;1,((WEEKDAY($A310)+$T$2)&lt;7),(WEEKDAY($A310)&lt;&gt;1)),"work",(INDEX(Subject!$A:$I,MATCH(RANDBETWEEN(1,(MAX(Subject!$B:$B))),Subject!$B:$B,0),3))))</f>
        <v/>
      </c>
      <c r="R310" s="2" t="str">
        <f t="array" ref="R310">IF(NOW()&gt;BC310,"",IF(AND((WEEKDAY($A310)+$B$2)&gt;1,((WEEKDAY($A310)+$T$2)&lt;7),(WEEKDAY($A310)&lt;&gt;1)),"work",(INDEX(Subject!$A:$I,MATCH(RANDBETWEEN(1,(MAX(Subject!$B:$B))),Subject!$B:$B,0),3))))</f>
        <v/>
      </c>
      <c r="S310" s="2" t="str">
        <f t="array" ref="S310">IF(NOW()&gt;BD310,"",IF(AND((WEEKDAY($A310)+$B$2)&gt;1,((WEEKDAY($A310)+$T$2)&lt;7),(WEEKDAY($A310)&lt;&gt;1)),"work",(INDEX(Subject!$A:$I,MATCH(RANDBETWEEN(1,(MAX(Subject!$B:$B))),Subject!$B:$B,0),3))))</f>
        <v/>
      </c>
      <c r="T310" s="2" t="str">
        <f t="array" ref="T310">IF(NOW()&gt;BE310,"",IF(AND((WEEKDAY($A310)+$B$2)&gt;1,((WEEKDAY($A310)+$T$2)&lt;7),(WEEKDAY($A310)&lt;&gt;1)),"work",(INDEX(Subject!$A:$I,MATCH(RANDBETWEEN(1,(MAX(Subject!$B:$B))),Subject!$B:$B,0),3))))</f>
        <v/>
      </c>
      <c r="U310" s="8" t="str">
        <f t="array" ref="U310">INDEX(Subject!$A:$I,MATCH(RANDBETWEEN(1,16),Subject!$B:$B,0),3)</f>
        <v>#N/A</v>
      </c>
      <c r="V310" s="8" t="str">
        <f t="array" ref="V310">INDEX(Subject!$A:$I,MATCH(RANDBETWEEN(1,16),Subject!$B:$B,0),3)</f>
        <v>#N/A</v>
      </c>
      <c r="W310" s="8" t="str">
        <f t="array" ref="W310">INDEX(Subject!$A:$I,MATCH(RANDBETWEEN(1,16),Subject!$B:$B,0),3)</f>
        <v>#N/A</v>
      </c>
      <c r="X310" s="8" t="str">
        <f t="array" ref="X310">INDEX(Subject!$A:$I,MATCH(RANDBETWEEN(1,16),Subject!$B:$B,0),3)</f>
        <v>#N/A</v>
      </c>
      <c r="Y310" s="8" t="str">
        <f t="array" ref="Y310">INDEX(Subject!$A:$I,MATCH(RANDBETWEEN(1,16),Subject!$B:$B,0),3)</f>
        <v>#N/A</v>
      </c>
      <c r="Z310" s="8" t="str">
        <f t="array" ref="Z310">INDEX(Subject!$A:$I,MATCH(RANDBETWEEN(1,16),Subject!$B:$B,0),3)</f>
        <v>#N/A</v>
      </c>
      <c r="AA310" s="8" t="str">
        <f t="array" ref="AA310">INDEX(Subject!$A:$I,MATCH(RANDBETWEEN(1,16),Subject!$B:$B,0),3)</f>
        <v>#N/A</v>
      </c>
      <c r="AB310" s="8" t="str">
        <f t="array" ref="AB310">INDEX(Subject!$A:$I,MATCH(RANDBETWEEN(1,16),Subject!$B:$B,0),3)</f>
        <v>#N/A</v>
      </c>
      <c r="AC310" s="8" t="str">
        <f t="array" ref="AC310">INDEX(Subject!$A:$I,MATCH(RANDBETWEEN(1,16),Subject!$B:$B,0),3)</f>
        <v/>
      </c>
      <c r="AD310" s="8" t="str">
        <f t="array" ref="AD310">INDEX(Subject!$A:$I,MATCH(RANDBETWEEN(1,16),Subject!$B:$B,0),3)</f>
        <v/>
      </c>
      <c r="AE310" s="8" t="str">
        <f t="array" ref="AE310">INDEX(Subject!$A:$I,MATCH(RANDBETWEEN(1,16),Subject!$B:$B,0),3)</f>
        <v>#N/A</v>
      </c>
      <c r="AF310" s="8" t="str">
        <f t="array" ref="AF310">INDEX(Subject!$A:$I,MATCH(RANDBETWEEN(1,16),Subject!$B:$B,0),3)</f>
        <v>#N/A</v>
      </c>
      <c r="AG310" s="8" t="str">
        <f t="array" ref="AG310">INDEX(Subject!$A:$I,MATCH(RANDBETWEEN(1,16),Subject!$B:$B,0),3)</f>
        <v>#N/A</v>
      </c>
      <c r="AH310" s="8" t="str">
        <f t="array" ref="AH310">INDEX(Subject!$A:$I,MATCH(RANDBETWEEN(1,16),Subject!$B:$B,0),3)</f>
        <v>#N/A</v>
      </c>
      <c r="AI310" s="8" t="str">
        <f t="array" ref="AI310">INDEX(Subject!$A:$I,MATCH(RANDBETWEEN(1,16),Subject!$B:$B,0),3)</f>
        <v>#N/A</v>
      </c>
      <c r="AJ310" s="8" t="str">
        <f t="array" ref="AJ310">INDEX(Subject!$A:$I,MATCH(RANDBETWEEN(1,16),Subject!$B:$B,0),3)</f>
        <v/>
      </c>
      <c r="AK310" s="8" t="str">
        <f t="array" ref="AK310">INDEX(Subject!$A:$I,MATCH(RANDBETWEEN(1,16),Subject!$B:$B,0),3)</f>
        <v/>
      </c>
      <c r="AL310" s="8" t="str">
        <f t="array" ref="AL310">INDEX(Subject!$A:$I,MATCH(RANDBETWEEN(1,16),Subject!$B:$B,0),3)</f>
        <v>#N/A</v>
      </c>
      <c r="AM310" s="18">
        <f t="shared" si="4"/>
        <v>45810.33333</v>
      </c>
      <c r="AN310" s="19">
        <f t="shared" ref="AN310:BZ310" si="310">$A310+C$1</f>
        <v>45810.35417</v>
      </c>
      <c r="AO310" s="19">
        <f t="shared" si="310"/>
        <v>45810.375</v>
      </c>
      <c r="AP310" s="19">
        <f t="shared" si="310"/>
        <v>45810.39583</v>
      </c>
      <c r="AQ310" s="19">
        <f t="shared" si="310"/>
        <v>45810.41667</v>
      </c>
      <c r="AR310" s="19">
        <f t="shared" si="310"/>
        <v>45810.4375</v>
      </c>
      <c r="AS310" s="19">
        <f t="shared" si="310"/>
        <v>45810.45833</v>
      </c>
      <c r="AT310" s="19">
        <f t="shared" si="310"/>
        <v>45810.47917</v>
      </c>
      <c r="AU310" s="19">
        <f t="shared" si="310"/>
        <v>45810.5</v>
      </c>
      <c r="AV310" s="19">
        <f t="shared" si="310"/>
        <v>45810.52083</v>
      </c>
      <c r="AW310" s="19">
        <f t="shared" si="310"/>
        <v>45810.54167</v>
      </c>
      <c r="AX310" s="19">
        <f t="shared" si="310"/>
        <v>45810.5625</v>
      </c>
      <c r="AY310" s="19">
        <f t="shared" si="310"/>
        <v>45810.58333</v>
      </c>
      <c r="AZ310" s="19">
        <f t="shared" si="310"/>
        <v>45810.60417</v>
      </c>
      <c r="BA310" s="19">
        <f t="shared" si="310"/>
        <v>45810.625</v>
      </c>
      <c r="BB310" s="19">
        <f t="shared" si="310"/>
        <v>45810.64583</v>
      </c>
      <c r="BC310" s="19">
        <f t="shared" si="310"/>
        <v>45810.66667</v>
      </c>
      <c r="BD310" s="19">
        <f t="shared" si="310"/>
        <v>45810.6875</v>
      </c>
      <c r="BE310" s="19">
        <f t="shared" si="310"/>
        <v>45810.70833</v>
      </c>
      <c r="BF310" s="19">
        <f t="shared" si="310"/>
        <v>45810.72917</v>
      </c>
      <c r="BG310" s="19">
        <f t="shared" si="310"/>
        <v>45810.75</v>
      </c>
      <c r="BH310" s="19">
        <f t="shared" si="310"/>
        <v>45810.77083</v>
      </c>
      <c r="BI310" s="19">
        <f t="shared" si="310"/>
        <v>45810.79167</v>
      </c>
      <c r="BJ310" s="19">
        <f t="shared" si="310"/>
        <v>45810.8125</v>
      </c>
      <c r="BK310" s="19">
        <f t="shared" si="310"/>
        <v>45810.83333</v>
      </c>
      <c r="BL310" s="19">
        <f t="shared" si="310"/>
        <v>45810.85417</v>
      </c>
      <c r="BM310" s="19">
        <f t="shared" si="310"/>
        <v>45810.875</v>
      </c>
      <c r="BN310" s="19">
        <f t="shared" si="310"/>
        <v>45810.89583</v>
      </c>
      <c r="BO310" s="19">
        <f t="shared" si="310"/>
        <v>45810.91667</v>
      </c>
      <c r="BP310" s="19">
        <f t="shared" si="310"/>
        <v>45810.9375</v>
      </c>
      <c r="BQ310" s="19">
        <f t="shared" si="310"/>
        <v>45810.95833</v>
      </c>
      <c r="BR310" s="19">
        <f t="shared" si="310"/>
        <v>45810.97917</v>
      </c>
      <c r="BS310" s="19">
        <f t="shared" si="310"/>
        <v>45811</v>
      </c>
      <c r="BT310" s="19">
        <f t="shared" si="310"/>
        <v>45811.02083</v>
      </c>
      <c r="BU310" s="19">
        <f t="shared" si="310"/>
        <v>45811.04167</v>
      </c>
      <c r="BV310" s="19">
        <f t="shared" si="310"/>
        <v>45811.0625</v>
      </c>
      <c r="BW310" s="19">
        <f t="shared" si="310"/>
        <v>45811.08333</v>
      </c>
      <c r="BX310" s="19">
        <f t="shared" si="310"/>
        <v>45810</v>
      </c>
      <c r="BY310" s="19">
        <f t="shared" si="310"/>
        <v>45810</v>
      </c>
      <c r="BZ310" s="19">
        <f t="shared" si="310"/>
        <v>45810</v>
      </c>
    </row>
    <row r="311" ht="14.25" customHeight="1">
      <c r="A311" s="17">
        <v>45811.0</v>
      </c>
      <c r="B311" s="2" t="str">
        <f t="array" ref="B311">IF(NOW()&gt;AM311,"",IF(AND((WEEKDAY($A311)+$B$2)&gt;1,((WEEKDAY($A311)+$T$2)&lt;7),(WEEKDAY($A311)&lt;&gt;1)),"work",(INDEX(Subject!$A:$I,MATCH(RANDBETWEEN(1,(MAX(Subject!$B:$B))),Subject!$B:$B,0),3))))</f>
        <v/>
      </c>
      <c r="C311" s="2" t="str">
        <f t="array" ref="C311">IF(NOW()&gt;AN311,"",IF(AND((WEEKDAY($A311)+$B$2)&gt;1,((WEEKDAY($A311)+$T$2)&lt;7),(WEEKDAY($A311)&lt;&gt;1)),"work",(INDEX(Subject!$A:$I,MATCH(RANDBETWEEN(1,(MAX(Subject!$B:$B))),Subject!$B:$B,0),3))))</f>
        <v/>
      </c>
      <c r="D311" s="2" t="str">
        <f t="array" ref="D311">IF(NOW()&gt;AO311,"",IF(AND((WEEKDAY($A311)+$B$2)&gt;1,((WEEKDAY($A311)+$T$2)&lt;7),(WEEKDAY($A311)&lt;&gt;1)),"work",(INDEX(Subject!$A:$I,MATCH(RANDBETWEEN(1,(MAX(Subject!$B:$B))),Subject!$B:$B,0),3))))</f>
        <v/>
      </c>
      <c r="E311" s="2" t="str">
        <f t="array" ref="E311">IF(NOW()&gt;AP311,"",IF(AND((WEEKDAY($A311)+$B$2)&gt;1,((WEEKDAY($A311)+$T$2)&lt;7),(WEEKDAY($A311)&lt;&gt;1)),"work",(INDEX(Subject!$A:$I,MATCH(RANDBETWEEN(1,(MAX(Subject!$B:$B))),Subject!$B:$B,0),3))))</f>
        <v/>
      </c>
      <c r="F311" s="2" t="str">
        <f t="array" ref="F311">IF(NOW()&gt;AQ311,"",IF(AND((WEEKDAY($A311)+$B$2)&gt;1,((WEEKDAY($A311)+$T$2)&lt;7),(WEEKDAY($A311)&lt;&gt;1)),"work",(INDEX(Subject!$A:$I,MATCH(RANDBETWEEN(1,(MAX(Subject!$B:$B))),Subject!$B:$B,0),3))))</f>
        <v/>
      </c>
      <c r="G311" s="2" t="str">
        <f t="array" ref="G311">IF(NOW()&gt;AR311,"",IF(AND((WEEKDAY($A311)+$B$2)&gt;1,((WEEKDAY($A311)+$T$2)&lt;7),(WEEKDAY($A311)&lt;&gt;1)),"work",(INDEX(Subject!$A:$I,MATCH(RANDBETWEEN(1,(MAX(Subject!$B:$B))),Subject!$B:$B,0),3))))</f>
        <v/>
      </c>
      <c r="H311" s="2" t="str">
        <f t="array" ref="H311">IF(NOW()&gt;AS311,"",IF(AND((WEEKDAY($A311)+$B$2)&gt;1,((WEEKDAY($A311)+$T$2)&lt;7),(WEEKDAY($A311)&lt;&gt;1)),"work",(INDEX(Subject!$A:$I,MATCH(RANDBETWEEN(1,(MAX(Subject!$B:$B))),Subject!$B:$B,0),3))))</f>
        <v/>
      </c>
      <c r="I311" s="2" t="str">
        <f t="array" ref="I311">IF(NOW()&gt;AT311,"",IF(AND((WEEKDAY($A311)+$B$2)&gt;1,((WEEKDAY($A311)+$T$2)&lt;7),(WEEKDAY($A311)&lt;&gt;1)),"work",(INDEX(Subject!$A:$I,MATCH(RANDBETWEEN(1,(MAX(Subject!$B:$B))),Subject!$B:$B,0),3))))</f>
        <v/>
      </c>
      <c r="J311" s="2" t="str">
        <f t="array" ref="J311">IF(NOW()&gt;AU311,"",IF(AND((WEEKDAY($A311)+$B$2)&gt;1,((WEEKDAY($A311)+$T$2)&lt;7),(WEEKDAY($A311)&lt;&gt;1)),"work",(INDEX(Subject!$A:$I,MATCH(RANDBETWEEN(1,(MAX(Subject!$B:$B))),Subject!$B:$B,0),3))))</f>
        <v/>
      </c>
      <c r="K311" s="2" t="str">
        <f t="array" ref="K311">IF(NOW()&gt;AV311,"",IF(AND((WEEKDAY($A311)+$B$2)&gt;1,((WEEKDAY($A311)+$T$2)&lt;7),(WEEKDAY($A311)&lt;&gt;1)),"work",(INDEX(Subject!$A:$I,MATCH(RANDBETWEEN(1,(MAX(Subject!$B:$B))),Subject!$B:$B,0),3))))</f>
        <v/>
      </c>
      <c r="L311" s="2" t="str">
        <f t="array" ref="L311">IF(NOW()&gt;AW311,"",IF(AND((WEEKDAY($A311)+$B$2)&gt;1,((WEEKDAY($A311)+$T$2)&lt;7),(WEEKDAY($A311)&lt;&gt;1)),"work",(INDEX(Subject!$A:$I,MATCH(RANDBETWEEN(1,(MAX(Subject!$B:$B))),Subject!$B:$B,0),3))))</f>
        <v/>
      </c>
      <c r="M311" s="2" t="str">
        <f t="array" ref="M311">IF(NOW()&gt;AX311,"",IF(AND((WEEKDAY($A311)+$B$2)&gt;1,((WEEKDAY($A311)+$T$2)&lt;7),(WEEKDAY($A311)&lt;&gt;1)),"work",(INDEX(Subject!$A:$I,MATCH(RANDBETWEEN(1,(MAX(Subject!$B:$B))),Subject!$B:$B,0),3))))</f>
        <v/>
      </c>
      <c r="N311" s="2" t="str">
        <f t="array" ref="N311">IF(NOW()&gt;AY311,"",IF(AND((WEEKDAY($A311)+$B$2)&gt;1,((WEEKDAY($A311)+$T$2)&lt;7),(WEEKDAY($A311)&lt;&gt;1)),"work",(INDEX(Subject!$A:$I,MATCH(RANDBETWEEN(1,(MAX(Subject!$B:$B))),Subject!$B:$B,0),3))))</f>
        <v/>
      </c>
      <c r="O311" s="2" t="str">
        <f t="array" ref="O311">IF(NOW()&gt;AZ311,"",IF(AND((WEEKDAY($A311)+$B$2)&gt;1,((WEEKDAY($A311)+$T$2)&lt;7),(WEEKDAY($A311)&lt;&gt;1)),"work",(INDEX(Subject!$A:$I,MATCH(RANDBETWEEN(1,(MAX(Subject!$B:$B))),Subject!$B:$B,0),3))))</f>
        <v/>
      </c>
      <c r="P311" s="2" t="str">
        <f t="array" ref="P311">IF(NOW()&gt;BA311,"",IF(AND((WEEKDAY($A311)+$B$2)&gt;1,((WEEKDAY($A311)+$T$2)&lt;7),(WEEKDAY($A311)&lt;&gt;1)),"work",(INDEX(Subject!$A:$I,MATCH(RANDBETWEEN(1,(MAX(Subject!$B:$B))),Subject!$B:$B,0),3))))</f>
        <v/>
      </c>
      <c r="Q311" s="2" t="str">
        <f t="array" ref="Q311">IF(NOW()&gt;BB311,"",IF(AND((WEEKDAY($A311)+$B$2)&gt;1,((WEEKDAY($A311)+$T$2)&lt;7),(WEEKDAY($A311)&lt;&gt;1)),"work",(INDEX(Subject!$A:$I,MATCH(RANDBETWEEN(1,(MAX(Subject!$B:$B))),Subject!$B:$B,0),3))))</f>
        <v/>
      </c>
      <c r="R311" s="2" t="str">
        <f t="array" ref="R311">IF(NOW()&gt;BC311,"",IF(AND((WEEKDAY($A311)+$B$2)&gt;1,((WEEKDAY($A311)+$T$2)&lt;7),(WEEKDAY($A311)&lt;&gt;1)),"work",(INDEX(Subject!$A:$I,MATCH(RANDBETWEEN(1,(MAX(Subject!$B:$B))),Subject!$B:$B,0),3))))</f>
        <v/>
      </c>
      <c r="S311" s="2" t="str">
        <f t="array" ref="S311">IF(NOW()&gt;BD311,"",IF(AND((WEEKDAY($A311)+$B$2)&gt;1,((WEEKDAY($A311)+$T$2)&lt;7),(WEEKDAY($A311)&lt;&gt;1)),"work",(INDEX(Subject!$A:$I,MATCH(RANDBETWEEN(1,(MAX(Subject!$B:$B))),Subject!$B:$B,0),3))))</f>
        <v/>
      </c>
      <c r="T311" s="2" t="str">
        <f t="array" ref="T311">IF(NOW()&gt;BE311,"",IF(AND((WEEKDAY($A311)+$B$2)&gt;1,((WEEKDAY($A311)+$T$2)&lt;7),(WEEKDAY($A311)&lt;&gt;1)),"work",(INDEX(Subject!$A:$I,MATCH(RANDBETWEEN(1,(MAX(Subject!$B:$B))),Subject!$B:$B,0),3))))</f>
        <v/>
      </c>
      <c r="U311" s="8" t="str">
        <f t="array" ref="U311">INDEX(Subject!$A:$I,MATCH(RANDBETWEEN(1,16),Subject!$B:$B,0),3)</f>
        <v>#N/A</v>
      </c>
      <c r="V311" s="8" t="str">
        <f t="array" ref="V311">INDEX(Subject!$A:$I,MATCH(RANDBETWEEN(1,16),Subject!$B:$B,0),3)</f>
        <v>#N/A</v>
      </c>
      <c r="W311" s="8" t="str">
        <f t="array" ref="W311">INDEX(Subject!$A:$I,MATCH(RANDBETWEEN(1,16),Subject!$B:$B,0),3)</f>
        <v>#N/A</v>
      </c>
      <c r="X311" s="8" t="str">
        <f t="array" ref="X311">INDEX(Subject!$A:$I,MATCH(RANDBETWEEN(1,16),Subject!$B:$B,0),3)</f>
        <v>#N/A</v>
      </c>
      <c r="Y311" s="8" t="str">
        <f t="array" ref="Y311">INDEX(Subject!$A:$I,MATCH(RANDBETWEEN(1,16),Subject!$B:$B,0),3)</f>
        <v>#N/A</v>
      </c>
      <c r="Z311" s="8" t="str">
        <f t="array" ref="Z311">INDEX(Subject!$A:$I,MATCH(RANDBETWEEN(1,16),Subject!$B:$B,0),3)</f>
        <v>#N/A</v>
      </c>
      <c r="AA311" s="8" t="str">
        <f t="array" ref="AA311">INDEX(Subject!$A:$I,MATCH(RANDBETWEEN(1,16),Subject!$B:$B,0),3)</f>
        <v>#N/A</v>
      </c>
      <c r="AB311" s="8" t="str">
        <f t="array" ref="AB311">INDEX(Subject!$A:$I,MATCH(RANDBETWEEN(1,16),Subject!$B:$B,0),3)</f>
        <v>#N/A</v>
      </c>
      <c r="AC311" s="8" t="str">
        <f t="array" ref="AC311">INDEX(Subject!$A:$I,MATCH(RANDBETWEEN(1,16),Subject!$B:$B,0),3)</f>
        <v>#N/A</v>
      </c>
      <c r="AD311" s="8" t="str">
        <f t="array" ref="AD311">INDEX(Subject!$A:$I,MATCH(RANDBETWEEN(1,16),Subject!$B:$B,0),3)</f>
        <v>#N/A</v>
      </c>
      <c r="AE311" s="8" t="str">
        <f t="array" ref="AE311">INDEX(Subject!$A:$I,MATCH(RANDBETWEEN(1,16),Subject!$B:$B,0),3)</f>
        <v>#N/A</v>
      </c>
      <c r="AF311" s="8" t="str">
        <f t="array" ref="AF311">INDEX(Subject!$A:$I,MATCH(RANDBETWEEN(1,16),Subject!$B:$B,0),3)</f>
        <v>#N/A</v>
      </c>
      <c r="AG311" s="8" t="str">
        <f t="array" ref="AG311">INDEX(Subject!$A:$I,MATCH(RANDBETWEEN(1,16),Subject!$B:$B,0),3)</f>
        <v>#N/A</v>
      </c>
      <c r="AH311" s="8" t="str">
        <f t="array" ref="AH311">INDEX(Subject!$A:$I,MATCH(RANDBETWEEN(1,16),Subject!$B:$B,0),3)</f>
        <v>#N/A</v>
      </c>
      <c r="AI311" s="8" t="str">
        <f t="array" ref="AI311">INDEX(Subject!$A:$I,MATCH(RANDBETWEEN(1,16),Subject!$B:$B,0),3)</f>
        <v>#N/A</v>
      </c>
      <c r="AJ311" s="8" t="str">
        <f t="array" ref="AJ311">INDEX(Subject!$A:$I,MATCH(RANDBETWEEN(1,16),Subject!$B:$B,0),3)</f>
        <v>#N/A</v>
      </c>
      <c r="AK311" s="8" t="str">
        <f t="array" ref="AK311">INDEX(Subject!$A:$I,MATCH(RANDBETWEEN(1,16),Subject!$B:$B,0),3)</f>
        <v>#N/A</v>
      </c>
      <c r="AL311" s="8" t="str">
        <f t="array" ref="AL311">INDEX(Subject!$A:$I,MATCH(RANDBETWEEN(1,16),Subject!$B:$B,0),3)</f>
        <v>#N/A</v>
      </c>
      <c r="AM311" s="18">
        <f t="shared" si="4"/>
        <v>45811.33333</v>
      </c>
      <c r="AN311" s="19">
        <f t="shared" ref="AN311:BZ311" si="311">$A311+C$1</f>
        <v>45811.35417</v>
      </c>
      <c r="AO311" s="19">
        <f t="shared" si="311"/>
        <v>45811.375</v>
      </c>
      <c r="AP311" s="19">
        <f t="shared" si="311"/>
        <v>45811.39583</v>
      </c>
      <c r="AQ311" s="19">
        <f t="shared" si="311"/>
        <v>45811.41667</v>
      </c>
      <c r="AR311" s="19">
        <f t="shared" si="311"/>
        <v>45811.4375</v>
      </c>
      <c r="AS311" s="19">
        <f t="shared" si="311"/>
        <v>45811.45833</v>
      </c>
      <c r="AT311" s="19">
        <f t="shared" si="311"/>
        <v>45811.47917</v>
      </c>
      <c r="AU311" s="19">
        <f t="shared" si="311"/>
        <v>45811.5</v>
      </c>
      <c r="AV311" s="19">
        <f t="shared" si="311"/>
        <v>45811.52083</v>
      </c>
      <c r="AW311" s="19">
        <f t="shared" si="311"/>
        <v>45811.54167</v>
      </c>
      <c r="AX311" s="19">
        <f t="shared" si="311"/>
        <v>45811.5625</v>
      </c>
      <c r="AY311" s="19">
        <f t="shared" si="311"/>
        <v>45811.58333</v>
      </c>
      <c r="AZ311" s="19">
        <f t="shared" si="311"/>
        <v>45811.60417</v>
      </c>
      <c r="BA311" s="19">
        <f t="shared" si="311"/>
        <v>45811.625</v>
      </c>
      <c r="BB311" s="19">
        <f t="shared" si="311"/>
        <v>45811.64583</v>
      </c>
      <c r="BC311" s="19">
        <f t="shared" si="311"/>
        <v>45811.66667</v>
      </c>
      <c r="BD311" s="19">
        <f t="shared" si="311"/>
        <v>45811.6875</v>
      </c>
      <c r="BE311" s="19">
        <f t="shared" si="311"/>
        <v>45811.70833</v>
      </c>
      <c r="BF311" s="19">
        <f t="shared" si="311"/>
        <v>45811.72917</v>
      </c>
      <c r="BG311" s="19">
        <f t="shared" si="311"/>
        <v>45811.75</v>
      </c>
      <c r="BH311" s="19">
        <f t="shared" si="311"/>
        <v>45811.77083</v>
      </c>
      <c r="BI311" s="19">
        <f t="shared" si="311"/>
        <v>45811.79167</v>
      </c>
      <c r="BJ311" s="19">
        <f t="shared" si="311"/>
        <v>45811.8125</v>
      </c>
      <c r="BK311" s="19">
        <f t="shared" si="311"/>
        <v>45811.83333</v>
      </c>
      <c r="BL311" s="19">
        <f t="shared" si="311"/>
        <v>45811.85417</v>
      </c>
      <c r="BM311" s="19">
        <f t="shared" si="311"/>
        <v>45811.875</v>
      </c>
      <c r="BN311" s="19">
        <f t="shared" si="311"/>
        <v>45811.89583</v>
      </c>
      <c r="BO311" s="19">
        <f t="shared" si="311"/>
        <v>45811.91667</v>
      </c>
      <c r="BP311" s="19">
        <f t="shared" si="311"/>
        <v>45811.9375</v>
      </c>
      <c r="BQ311" s="19">
        <f t="shared" si="311"/>
        <v>45811.95833</v>
      </c>
      <c r="BR311" s="19">
        <f t="shared" si="311"/>
        <v>45811.97917</v>
      </c>
      <c r="BS311" s="19">
        <f t="shared" si="311"/>
        <v>45812</v>
      </c>
      <c r="BT311" s="19">
        <f t="shared" si="311"/>
        <v>45812.02083</v>
      </c>
      <c r="BU311" s="19">
        <f t="shared" si="311"/>
        <v>45812.04167</v>
      </c>
      <c r="BV311" s="19">
        <f t="shared" si="311"/>
        <v>45812.0625</v>
      </c>
      <c r="BW311" s="19">
        <f t="shared" si="311"/>
        <v>45812.08333</v>
      </c>
      <c r="BX311" s="19">
        <f t="shared" si="311"/>
        <v>45811</v>
      </c>
      <c r="BY311" s="19">
        <f t="shared" si="311"/>
        <v>45811</v>
      </c>
      <c r="BZ311" s="19">
        <f t="shared" si="311"/>
        <v>45811</v>
      </c>
    </row>
    <row r="312" ht="14.25" customHeight="1">
      <c r="A312" s="17">
        <v>45812.0</v>
      </c>
      <c r="B312" s="2" t="str">
        <f t="array" ref="B312">IF(NOW()&gt;AM312,"",IF(AND((WEEKDAY($A312)+$B$2)&gt;1,((WEEKDAY($A312)+$T$2)&lt;7),(WEEKDAY($A312)&lt;&gt;1)),"work",(INDEX(Subject!$A:$I,MATCH(RANDBETWEEN(1,(MAX(Subject!$B:$B))),Subject!$B:$B,0),3))))</f>
        <v/>
      </c>
      <c r="C312" s="2" t="str">
        <f t="array" ref="C312">IF(NOW()&gt;AN312,"",IF(AND((WEEKDAY($A312)+$B$2)&gt;1,((WEEKDAY($A312)+$T$2)&lt;7),(WEEKDAY($A312)&lt;&gt;1)),"work",(INDEX(Subject!$A:$I,MATCH(RANDBETWEEN(1,(MAX(Subject!$B:$B))),Subject!$B:$B,0),3))))</f>
        <v/>
      </c>
      <c r="D312" s="2" t="str">
        <f t="array" ref="D312">IF(NOW()&gt;AO312,"",IF(AND((WEEKDAY($A312)+$B$2)&gt;1,((WEEKDAY($A312)+$T$2)&lt;7),(WEEKDAY($A312)&lt;&gt;1)),"work",(INDEX(Subject!$A:$I,MATCH(RANDBETWEEN(1,(MAX(Subject!$B:$B))),Subject!$B:$B,0),3))))</f>
        <v/>
      </c>
      <c r="E312" s="2" t="str">
        <f t="array" ref="E312">IF(NOW()&gt;AP312,"",IF(AND((WEEKDAY($A312)+$B$2)&gt;1,((WEEKDAY($A312)+$T$2)&lt;7),(WEEKDAY($A312)&lt;&gt;1)),"work",(INDEX(Subject!$A:$I,MATCH(RANDBETWEEN(1,(MAX(Subject!$B:$B))),Subject!$B:$B,0),3))))</f>
        <v/>
      </c>
      <c r="F312" s="2" t="str">
        <f t="array" ref="F312">IF(NOW()&gt;AQ312,"",IF(AND((WEEKDAY($A312)+$B$2)&gt;1,((WEEKDAY($A312)+$T$2)&lt;7),(WEEKDAY($A312)&lt;&gt;1)),"work",(INDEX(Subject!$A:$I,MATCH(RANDBETWEEN(1,(MAX(Subject!$B:$B))),Subject!$B:$B,0),3))))</f>
        <v/>
      </c>
      <c r="G312" s="2" t="str">
        <f t="array" ref="G312">IF(NOW()&gt;AR312,"",IF(AND((WEEKDAY($A312)+$B$2)&gt;1,((WEEKDAY($A312)+$T$2)&lt;7),(WEEKDAY($A312)&lt;&gt;1)),"work",(INDEX(Subject!$A:$I,MATCH(RANDBETWEEN(1,(MAX(Subject!$B:$B))),Subject!$B:$B,0),3))))</f>
        <v/>
      </c>
      <c r="H312" s="2" t="str">
        <f t="array" ref="H312">IF(NOW()&gt;AS312,"",IF(AND((WEEKDAY($A312)+$B$2)&gt;1,((WEEKDAY($A312)+$T$2)&lt;7),(WEEKDAY($A312)&lt;&gt;1)),"work",(INDEX(Subject!$A:$I,MATCH(RANDBETWEEN(1,(MAX(Subject!$B:$B))),Subject!$B:$B,0),3))))</f>
        <v/>
      </c>
      <c r="I312" s="2" t="str">
        <f t="array" ref="I312">IF(NOW()&gt;AT312,"",IF(AND((WEEKDAY($A312)+$B$2)&gt;1,((WEEKDAY($A312)+$T$2)&lt;7),(WEEKDAY($A312)&lt;&gt;1)),"work",(INDEX(Subject!$A:$I,MATCH(RANDBETWEEN(1,(MAX(Subject!$B:$B))),Subject!$B:$B,0),3))))</f>
        <v/>
      </c>
      <c r="J312" s="2" t="str">
        <f t="array" ref="J312">IF(NOW()&gt;AU312,"",IF(AND((WEEKDAY($A312)+$B$2)&gt;1,((WEEKDAY($A312)+$T$2)&lt;7),(WEEKDAY($A312)&lt;&gt;1)),"work",(INDEX(Subject!$A:$I,MATCH(RANDBETWEEN(1,(MAX(Subject!$B:$B))),Subject!$B:$B,0),3))))</f>
        <v/>
      </c>
      <c r="K312" s="2" t="str">
        <f t="array" ref="K312">IF(NOW()&gt;AV312,"",IF(AND((WEEKDAY($A312)+$B$2)&gt;1,((WEEKDAY($A312)+$T$2)&lt;7),(WEEKDAY($A312)&lt;&gt;1)),"work",(INDEX(Subject!$A:$I,MATCH(RANDBETWEEN(1,(MAX(Subject!$B:$B))),Subject!$B:$B,0),3))))</f>
        <v/>
      </c>
      <c r="L312" s="2" t="str">
        <f t="array" ref="L312">IF(NOW()&gt;AW312,"",IF(AND((WEEKDAY($A312)+$B$2)&gt;1,((WEEKDAY($A312)+$T$2)&lt;7),(WEEKDAY($A312)&lt;&gt;1)),"work",(INDEX(Subject!$A:$I,MATCH(RANDBETWEEN(1,(MAX(Subject!$B:$B))),Subject!$B:$B,0),3))))</f>
        <v/>
      </c>
      <c r="M312" s="2" t="str">
        <f t="array" ref="M312">IF(NOW()&gt;AX312,"",IF(AND((WEEKDAY($A312)+$B$2)&gt;1,((WEEKDAY($A312)+$T$2)&lt;7),(WEEKDAY($A312)&lt;&gt;1)),"work",(INDEX(Subject!$A:$I,MATCH(RANDBETWEEN(1,(MAX(Subject!$B:$B))),Subject!$B:$B,0),3))))</f>
        <v/>
      </c>
      <c r="N312" s="2" t="str">
        <f t="array" ref="N312">IF(NOW()&gt;AY312,"",IF(AND((WEEKDAY($A312)+$B$2)&gt;1,((WEEKDAY($A312)+$T$2)&lt;7),(WEEKDAY($A312)&lt;&gt;1)),"work",(INDEX(Subject!$A:$I,MATCH(RANDBETWEEN(1,(MAX(Subject!$B:$B))),Subject!$B:$B,0),3))))</f>
        <v/>
      </c>
      <c r="O312" s="2" t="str">
        <f t="array" ref="O312">IF(NOW()&gt;AZ312,"",IF(AND((WEEKDAY($A312)+$B$2)&gt;1,((WEEKDAY($A312)+$T$2)&lt;7),(WEEKDAY($A312)&lt;&gt;1)),"work",(INDEX(Subject!$A:$I,MATCH(RANDBETWEEN(1,(MAX(Subject!$B:$B))),Subject!$B:$B,0),3))))</f>
        <v/>
      </c>
      <c r="P312" s="2" t="str">
        <f t="array" ref="P312">IF(NOW()&gt;BA312,"",IF(AND((WEEKDAY($A312)+$B$2)&gt;1,((WEEKDAY($A312)+$T$2)&lt;7),(WEEKDAY($A312)&lt;&gt;1)),"work",(INDEX(Subject!$A:$I,MATCH(RANDBETWEEN(1,(MAX(Subject!$B:$B))),Subject!$B:$B,0),3))))</f>
        <v/>
      </c>
      <c r="Q312" s="2" t="str">
        <f t="array" ref="Q312">IF(NOW()&gt;BB312,"",IF(AND((WEEKDAY($A312)+$B$2)&gt;1,((WEEKDAY($A312)+$T$2)&lt;7),(WEEKDAY($A312)&lt;&gt;1)),"work",(INDEX(Subject!$A:$I,MATCH(RANDBETWEEN(1,(MAX(Subject!$B:$B))),Subject!$B:$B,0),3))))</f>
        <v/>
      </c>
      <c r="R312" s="2" t="str">
        <f t="array" ref="R312">IF(NOW()&gt;BC312,"",IF(AND((WEEKDAY($A312)+$B$2)&gt;1,((WEEKDAY($A312)+$T$2)&lt;7),(WEEKDAY($A312)&lt;&gt;1)),"work",(INDEX(Subject!$A:$I,MATCH(RANDBETWEEN(1,(MAX(Subject!$B:$B))),Subject!$B:$B,0),3))))</f>
        <v/>
      </c>
      <c r="S312" s="2" t="str">
        <f t="array" ref="S312">IF(NOW()&gt;BD312,"",IF(AND((WEEKDAY($A312)+$B$2)&gt;1,((WEEKDAY($A312)+$T$2)&lt;7),(WEEKDAY($A312)&lt;&gt;1)),"work",(INDEX(Subject!$A:$I,MATCH(RANDBETWEEN(1,(MAX(Subject!$B:$B))),Subject!$B:$B,0),3))))</f>
        <v/>
      </c>
      <c r="T312" s="2" t="str">
        <f t="array" ref="T312">IF(NOW()&gt;BE312,"",IF(AND((WEEKDAY($A312)+$B$2)&gt;1,((WEEKDAY($A312)+$T$2)&lt;7),(WEEKDAY($A312)&lt;&gt;1)),"work",(INDEX(Subject!$A:$I,MATCH(RANDBETWEEN(1,(MAX(Subject!$B:$B))),Subject!$B:$B,0),3))))</f>
        <v/>
      </c>
      <c r="U312" s="8" t="str">
        <f t="array" ref="U312">INDEX(Subject!$A:$I,MATCH(RANDBETWEEN(1,16),Subject!$B:$B,0),3)</f>
        <v>#N/A</v>
      </c>
      <c r="V312" s="8" t="str">
        <f t="array" ref="V312">INDEX(Subject!$A:$I,MATCH(RANDBETWEEN(1,16),Subject!$B:$B,0),3)</f>
        <v>#N/A</v>
      </c>
      <c r="W312" s="8" t="str">
        <f t="array" ref="W312">INDEX(Subject!$A:$I,MATCH(RANDBETWEEN(1,16),Subject!$B:$B,0),3)</f>
        <v>#N/A</v>
      </c>
      <c r="X312" s="8" t="str">
        <f t="array" ref="X312">INDEX(Subject!$A:$I,MATCH(RANDBETWEEN(1,16),Subject!$B:$B,0),3)</f>
        <v/>
      </c>
      <c r="Y312" s="8" t="str">
        <f t="array" ref="Y312">INDEX(Subject!$A:$I,MATCH(RANDBETWEEN(1,16),Subject!$B:$B,0),3)</f>
        <v>#N/A</v>
      </c>
      <c r="Z312" s="8" t="str">
        <f t="array" ref="Z312">INDEX(Subject!$A:$I,MATCH(RANDBETWEEN(1,16),Subject!$B:$B,0),3)</f>
        <v>#N/A</v>
      </c>
      <c r="AA312" s="8" t="str">
        <f t="array" ref="AA312">INDEX(Subject!$A:$I,MATCH(RANDBETWEEN(1,16),Subject!$B:$B,0),3)</f>
        <v>#N/A</v>
      </c>
      <c r="AB312" s="8" t="str">
        <f t="array" ref="AB312">INDEX(Subject!$A:$I,MATCH(RANDBETWEEN(1,16),Subject!$B:$B,0),3)</f>
        <v>#N/A</v>
      </c>
      <c r="AC312" s="8" t="str">
        <f t="array" ref="AC312">INDEX(Subject!$A:$I,MATCH(RANDBETWEEN(1,16),Subject!$B:$B,0),3)</f>
        <v>#N/A</v>
      </c>
      <c r="AD312" s="8" t="str">
        <f t="array" ref="AD312">INDEX(Subject!$A:$I,MATCH(RANDBETWEEN(1,16),Subject!$B:$B,0),3)</f>
        <v>#N/A</v>
      </c>
      <c r="AE312" s="8" t="str">
        <f t="array" ref="AE312">INDEX(Subject!$A:$I,MATCH(RANDBETWEEN(1,16),Subject!$B:$B,0),3)</f>
        <v>#N/A</v>
      </c>
      <c r="AF312" s="8" t="str">
        <f t="array" ref="AF312">INDEX(Subject!$A:$I,MATCH(RANDBETWEEN(1,16),Subject!$B:$B,0),3)</f>
        <v/>
      </c>
      <c r="AG312" s="8" t="str">
        <f t="array" ref="AG312">INDEX(Subject!$A:$I,MATCH(RANDBETWEEN(1,16),Subject!$B:$B,0),3)</f>
        <v/>
      </c>
      <c r="AH312" s="8" t="str">
        <f t="array" ref="AH312">INDEX(Subject!$A:$I,MATCH(RANDBETWEEN(1,16),Subject!$B:$B,0),3)</f>
        <v>#N/A</v>
      </c>
      <c r="AI312" s="8" t="str">
        <f t="array" ref="AI312">INDEX(Subject!$A:$I,MATCH(RANDBETWEEN(1,16),Subject!$B:$B,0),3)</f>
        <v>#N/A</v>
      </c>
      <c r="AJ312" s="8" t="str">
        <f t="array" ref="AJ312">INDEX(Subject!$A:$I,MATCH(RANDBETWEEN(1,16),Subject!$B:$B,0),3)</f>
        <v>#N/A</v>
      </c>
      <c r="AK312" s="8" t="str">
        <f t="array" ref="AK312">INDEX(Subject!$A:$I,MATCH(RANDBETWEEN(1,16),Subject!$B:$B,0),3)</f>
        <v>#N/A</v>
      </c>
      <c r="AL312" s="8" t="str">
        <f t="array" ref="AL312">INDEX(Subject!$A:$I,MATCH(RANDBETWEEN(1,16),Subject!$B:$B,0),3)</f>
        <v>#N/A</v>
      </c>
      <c r="AM312" s="18">
        <f t="shared" si="4"/>
        <v>45812.33333</v>
      </c>
      <c r="AN312" s="19">
        <f t="shared" ref="AN312:BZ312" si="312">$A312+C$1</f>
        <v>45812.35417</v>
      </c>
      <c r="AO312" s="19">
        <f t="shared" si="312"/>
        <v>45812.375</v>
      </c>
      <c r="AP312" s="19">
        <f t="shared" si="312"/>
        <v>45812.39583</v>
      </c>
      <c r="AQ312" s="19">
        <f t="shared" si="312"/>
        <v>45812.41667</v>
      </c>
      <c r="AR312" s="19">
        <f t="shared" si="312"/>
        <v>45812.4375</v>
      </c>
      <c r="AS312" s="19">
        <f t="shared" si="312"/>
        <v>45812.45833</v>
      </c>
      <c r="AT312" s="19">
        <f t="shared" si="312"/>
        <v>45812.47917</v>
      </c>
      <c r="AU312" s="19">
        <f t="shared" si="312"/>
        <v>45812.5</v>
      </c>
      <c r="AV312" s="19">
        <f t="shared" si="312"/>
        <v>45812.52083</v>
      </c>
      <c r="AW312" s="19">
        <f t="shared" si="312"/>
        <v>45812.54167</v>
      </c>
      <c r="AX312" s="19">
        <f t="shared" si="312"/>
        <v>45812.5625</v>
      </c>
      <c r="AY312" s="19">
        <f t="shared" si="312"/>
        <v>45812.58333</v>
      </c>
      <c r="AZ312" s="19">
        <f t="shared" si="312"/>
        <v>45812.60417</v>
      </c>
      <c r="BA312" s="19">
        <f t="shared" si="312"/>
        <v>45812.625</v>
      </c>
      <c r="BB312" s="19">
        <f t="shared" si="312"/>
        <v>45812.64583</v>
      </c>
      <c r="BC312" s="19">
        <f t="shared" si="312"/>
        <v>45812.66667</v>
      </c>
      <c r="BD312" s="19">
        <f t="shared" si="312"/>
        <v>45812.6875</v>
      </c>
      <c r="BE312" s="19">
        <f t="shared" si="312"/>
        <v>45812.70833</v>
      </c>
      <c r="BF312" s="19">
        <f t="shared" si="312"/>
        <v>45812.72917</v>
      </c>
      <c r="BG312" s="19">
        <f t="shared" si="312"/>
        <v>45812.75</v>
      </c>
      <c r="BH312" s="19">
        <f t="shared" si="312"/>
        <v>45812.77083</v>
      </c>
      <c r="BI312" s="19">
        <f t="shared" si="312"/>
        <v>45812.79167</v>
      </c>
      <c r="BJ312" s="19">
        <f t="shared" si="312"/>
        <v>45812.8125</v>
      </c>
      <c r="BK312" s="19">
        <f t="shared" si="312"/>
        <v>45812.83333</v>
      </c>
      <c r="BL312" s="19">
        <f t="shared" si="312"/>
        <v>45812.85417</v>
      </c>
      <c r="BM312" s="19">
        <f t="shared" si="312"/>
        <v>45812.875</v>
      </c>
      <c r="BN312" s="19">
        <f t="shared" si="312"/>
        <v>45812.89583</v>
      </c>
      <c r="BO312" s="19">
        <f t="shared" si="312"/>
        <v>45812.91667</v>
      </c>
      <c r="BP312" s="19">
        <f t="shared" si="312"/>
        <v>45812.9375</v>
      </c>
      <c r="BQ312" s="19">
        <f t="shared" si="312"/>
        <v>45812.95833</v>
      </c>
      <c r="BR312" s="19">
        <f t="shared" si="312"/>
        <v>45812.97917</v>
      </c>
      <c r="BS312" s="19">
        <f t="shared" si="312"/>
        <v>45813</v>
      </c>
      <c r="BT312" s="19">
        <f t="shared" si="312"/>
        <v>45813.02083</v>
      </c>
      <c r="BU312" s="19">
        <f t="shared" si="312"/>
        <v>45813.04167</v>
      </c>
      <c r="BV312" s="19">
        <f t="shared" si="312"/>
        <v>45813.0625</v>
      </c>
      <c r="BW312" s="19">
        <f t="shared" si="312"/>
        <v>45813.08333</v>
      </c>
      <c r="BX312" s="19">
        <f t="shared" si="312"/>
        <v>45812</v>
      </c>
      <c r="BY312" s="19">
        <f t="shared" si="312"/>
        <v>45812</v>
      </c>
      <c r="BZ312" s="19">
        <f t="shared" si="312"/>
        <v>45812</v>
      </c>
    </row>
    <row r="313" ht="14.25" customHeight="1">
      <c r="A313" s="17">
        <v>45813.0</v>
      </c>
      <c r="B313" s="2" t="str">
        <f t="array" ref="B313">IF(NOW()&gt;AM313,"",IF(AND((WEEKDAY($A313)+$B$2)&gt;1,((WEEKDAY($A313)+$T$2)&lt;7),(WEEKDAY($A313)&lt;&gt;1)),"work",(INDEX(Subject!$A:$I,MATCH(RANDBETWEEN(1,(MAX(Subject!$B:$B))),Subject!$B:$B,0),3))))</f>
        <v/>
      </c>
      <c r="C313" s="2" t="str">
        <f t="array" ref="C313">IF(NOW()&gt;AN313,"",IF(AND((WEEKDAY($A313)+$B$2)&gt;1,((WEEKDAY($A313)+$T$2)&lt;7),(WEEKDAY($A313)&lt;&gt;1)),"work",(INDEX(Subject!$A:$I,MATCH(RANDBETWEEN(1,(MAX(Subject!$B:$B))),Subject!$B:$B,0),3))))</f>
        <v/>
      </c>
      <c r="D313" s="2" t="str">
        <f t="array" ref="D313">IF(NOW()&gt;AO313,"",IF(AND((WEEKDAY($A313)+$B$2)&gt;1,((WEEKDAY($A313)+$T$2)&lt;7),(WEEKDAY($A313)&lt;&gt;1)),"work",(INDEX(Subject!$A:$I,MATCH(RANDBETWEEN(1,(MAX(Subject!$B:$B))),Subject!$B:$B,0),3))))</f>
        <v/>
      </c>
      <c r="E313" s="2" t="str">
        <f t="array" ref="E313">IF(NOW()&gt;AP313,"",IF(AND((WEEKDAY($A313)+$B$2)&gt;1,((WEEKDAY($A313)+$T$2)&lt;7),(WEEKDAY($A313)&lt;&gt;1)),"work",(INDEX(Subject!$A:$I,MATCH(RANDBETWEEN(1,(MAX(Subject!$B:$B))),Subject!$B:$B,0),3))))</f>
        <v/>
      </c>
      <c r="F313" s="2" t="str">
        <f t="array" ref="F313">IF(NOW()&gt;AQ313,"",IF(AND((WEEKDAY($A313)+$B$2)&gt;1,((WEEKDAY($A313)+$T$2)&lt;7),(WEEKDAY($A313)&lt;&gt;1)),"work",(INDEX(Subject!$A:$I,MATCH(RANDBETWEEN(1,(MAX(Subject!$B:$B))),Subject!$B:$B,0),3))))</f>
        <v/>
      </c>
      <c r="G313" s="2" t="str">
        <f t="array" ref="G313">IF(NOW()&gt;AR313,"",IF(AND((WEEKDAY($A313)+$B$2)&gt;1,((WEEKDAY($A313)+$T$2)&lt;7),(WEEKDAY($A313)&lt;&gt;1)),"work",(INDEX(Subject!$A:$I,MATCH(RANDBETWEEN(1,(MAX(Subject!$B:$B))),Subject!$B:$B,0),3))))</f>
        <v/>
      </c>
      <c r="H313" s="2" t="str">
        <f t="array" ref="H313">IF(NOW()&gt;AS313,"",IF(AND((WEEKDAY($A313)+$B$2)&gt;1,((WEEKDAY($A313)+$T$2)&lt;7),(WEEKDAY($A313)&lt;&gt;1)),"work",(INDEX(Subject!$A:$I,MATCH(RANDBETWEEN(1,(MAX(Subject!$B:$B))),Subject!$B:$B,0),3))))</f>
        <v/>
      </c>
      <c r="I313" s="2" t="str">
        <f t="array" ref="I313">IF(NOW()&gt;AT313,"",IF(AND((WEEKDAY($A313)+$B$2)&gt;1,((WEEKDAY($A313)+$T$2)&lt;7),(WEEKDAY($A313)&lt;&gt;1)),"work",(INDEX(Subject!$A:$I,MATCH(RANDBETWEEN(1,(MAX(Subject!$B:$B))),Subject!$B:$B,0),3))))</f>
        <v/>
      </c>
      <c r="J313" s="2" t="str">
        <f t="array" ref="J313">IF(NOW()&gt;AU313,"",IF(AND((WEEKDAY($A313)+$B$2)&gt;1,((WEEKDAY($A313)+$T$2)&lt;7),(WEEKDAY($A313)&lt;&gt;1)),"work",(INDEX(Subject!$A:$I,MATCH(RANDBETWEEN(1,(MAX(Subject!$B:$B))),Subject!$B:$B,0),3))))</f>
        <v/>
      </c>
      <c r="K313" s="2" t="str">
        <f t="array" ref="K313">IF(NOW()&gt;AV313,"",IF(AND((WEEKDAY($A313)+$B$2)&gt;1,((WEEKDAY($A313)+$T$2)&lt;7),(WEEKDAY($A313)&lt;&gt;1)),"work",(INDEX(Subject!$A:$I,MATCH(RANDBETWEEN(1,(MAX(Subject!$B:$B))),Subject!$B:$B,0),3))))</f>
        <v/>
      </c>
      <c r="L313" s="2" t="str">
        <f t="array" ref="L313">IF(NOW()&gt;AW313,"",IF(AND((WEEKDAY($A313)+$B$2)&gt;1,((WEEKDAY($A313)+$T$2)&lt;7),(WEEKDAY($A313)&lt;&gt;1)),"work",(INDEX(Subject!$A:$I,MATCH(RANDBETWEEN(1,(MAX(Subject!$B:$B))),Subject!$B:$B,0),3))))</f>
        <v/>
      </c>
      <c r="M313" s="2" t="str">
        <f t="array" ref="M313">IF(NOW()&gt;AX313,"",IF(AND((WEEKDAY($A313)+$B$2)&gt;1,((WEEKDAY($A313)+$T$2)&lt;7),(WEEKDAY($A313)&lt;&gt;1)),"work",(INDEX(Subject!$A:$I,MATCH(RANDBETWEEN(1,(MAX(Subject!$B:$B))),Subject!$B:$B,0),3))))</f>
        <v/>
      </c>
      <c r="N313" s="2" t="str">
        <f t="array" ref="N313">IF(NOW()&gt;AY313,"",IF(AND((WEEKDAY($A313)+$B$2)&gt;1,((WEEKDAY($A313)+$T$2)&lt;7),(WEEKDAY($A313)&lt;&gt;1)),"work",(INDEX(Subject!$A:$I,MATCH(RANDBETWEEN(1,(MAX(Subject!$B:$B))),Subject!$B:$B,0),3))))</f>
        <v/>
      </c>
      <c r="O313" s="2" t="str">
        <f t="array" ref="O313">IF(NOW()&gt;AZ313,"",IF(AND((WEEKDAY($A313)+$B$2)&gt;1,((WEEKDAY($A313)+$T$2)&lt;7),(WEEKDAY($A313)&lt;&gt;1)),"work",(INDEX(Subject!$A:$I,MATCH(RANDBETWEEN(1,(MAX(Subject!$B:$B))),Subject!$B:$B,0),3))))</f>
        <v/>
      </c>
      <c r="P313" s="2" t="str">
        <f t="array" ref="P313">IF(NOW()&gt;BA313,"",IF(AND((WEEKDAY($A313)+$B$2)&gt;1,((WEEKDAY($A313)+$T$2)&lt;7),(WEEKDAY($A313)&lt;&gt;1)),"work",(INDEX(Subject!$A:$I,MATCH(RANDBETWEEN(1,(MAX(Subject!$B:$B))),Subject!$B:$B,0),3))))</f>
        <v/>
      </c>
      <c r="Q313" s="2" t="str">
        <f t="array" ref="Q313">IF(NOW()&gt;BB313,"",IF(AND((WEEKDAY($A313)+$B$2)&gt;1,((WEEKDAY($A313)+$T$2)&lt;7),(WEEKDAY($A313)&lt;&gt;1)),"work",(INDEX(Subject!$A:$I,MATCH(RANDBETWEEN(1,(MAX(Subject!$B:$B))),Subject!$B:$B,0),3))))</f>
        <v/>
      </c>
      <c r="R313" s="2" t="str">
        <f t="array" ref="R313">IF(NOW()&gt;BC313,"",IF(AND((WEEKDAY($A313)+$B$2)&gt;1,((WEEKDAY($A313)+$T$2)&lt;7),(WEEKDAY($A313)&lt;&gt;1)),"work",(INDEX(Subject!$A:$I,MATCH(RANDBETWEEN(1,(MAX(Subject!$B:$B))),Subject!$B:$B,0),3))))</f>
        <v/>
      </c>
      <c r="S313" s="2" t="str">
        <f t="array" ref="S313">IF(NOW()&gt;BD313,"",IF(AND((WEEKDAY($A313)+$B$2)&gt;1,((WEEKDAY($A313)+$T$2)&lt;7),(WEEKDAY($A313)&lt;&gt;1)),"work",(INDEX(Subject!$A:$I,MATCH(RANDBETWEEN(1,(MAX(Subject!$B:$B))),Subject!$B:$B,0),3))))</f>
        <v/>
      </c>
      <c r="T313" s="2" t="str">
        <f t="array" ref="T313">IF(NOW()&gt;BE313,"",IF(AND((WEEKDAY($A313)+$B$2)&gt;1,((WEEKDAY($A313)+$T$2)&lt;7),(WEEKDAY($A313)&lt;&gt;1)),"work",(INDEX(Subject!$A:$I,MATCH(RANDBETWEEN(1,(MAX(Subject!$B:$B))),Subject!$B:$B,0),3))))</f>
        <v/>
      </c>
      <c r="U313" s="8" t="str">
        <f t="array" ref="U313">INDEX(Subject!$A:$I,MATCH(RANDBETWEEN(1,16),Subject!$B:$B,0),3)</f>
        <v>#N/A</v>
      </c>
      <c r="V313" s="8" t="str">
        <f t="array" ref="V313">INDEX(Subject!$A:$I,MATCH(RANDBETWEEN(1,16),Subject!$B:$B,0),3)</f>
        <v>#N/A</v>
      </c>
      <c r="W313" s="8" t="str">
        <f t="array" ref="W313">INDEX(Subject!$A:$I,MATCH(RANDBETWEEN(1,16),Subject!$B:$B,0),3)</f>
        <v>#N/A</v>
      </c>
      <c r="X313" s="8" t="str">
        <f t="array" ref="X313">INDEX(Subject!$A:$I,MATCH(RANDBETWEEN(1,16),Subject!$B:$B,0),3)</f>
        <v>#N/A</v>
      </c>
      <c r="Y313" s="8" t="str">
        <f t="array" ref="Y313">INDEX(Subject!$A:$I,MATCH(RANDBETWEEN(1,16),Subject!$B:$B,0),3)</f>
        <v>#N/A</v>
      </c>
      <c r="Z313" s="8" t="str">
        <f t="array" ref="Z313">INDEX(Subject!$A:$I,MATCH(RANDBETWEEN(1,16),Subject!$B:$B,0),3)</f>
        <v>#N/A</v>
      </c>
      <c r="AA313" s="8" t="str">
        <f t="array" ref="AA313">INDEX(Subject!$A:$I,MATCH(RANDBETWEEN(1,16),Subject!$B:$B,0),3)</f>
        <v>#N/A</v>
      </c>
      <c r="AB313" s="8" t="str">
        <f t="array" ref="AB313">INDEX(Subject!$A:$I,MATCH(RANDBETWEEN(1,16),Subject!$B:$B,0),3)</f>
        <v>#N/A</v>
      </c>
      <c r="AC313" s="8" t="str">
        <f t="array" ref="AC313">INDEX(Subject!$A:$I,MATCH(RANDBETWEEN(1,16),Subject!$B:$B,0),3)</f>
        <v>#N/A</v>
      </c>
      <c r="AD313" s="8" t="str">
        <f t="array" ref="AD313">INDEX(Subject!$A:$I,MATCH(RANDBETWEEN(1,16),Subject!$B:$B,0),3)</f>
        <v>#N/A</v>
      </c>
      <c r="AE313" s="8" t="str">
        <f t="array" ref="AE313">INDEX(Subject!$A:$I,MATCH(RANDBETWEEN(1,16),Subject!$B:$B,0),3)</f>
        <v>#N/A</v>
      </c>
      <c r="AF313" s="8" t="str">
        <f t="array" ref="AF313">INDEX(Subject!$A:$I,MATCH(RANDBETWEEN(1,16),Subject!$B:$B,0),3)</f>
        <v>#N/A</v>
      </c>
      <c r="AG313" s="8" t="str">
        <f t="array" ref="AG313">INDEX(Subject!$A:$I,MATCH(RANDBETWEEN(1,16),Subject!$B:$B,0),3)</f>
        <v>#N/A</v>
      </c>
      <c r="AH313" s="8" t="str">
        <f t="array" ref="AH313">INDEX(Subject!$A:$I,MATCH(RANDBETWEEN(1,16),Subject!$B:$B,0),3)</f>
        <v>#N/A</v>
      </c>
      <c r="AI313" s="8" t="str">
        <f t="array" ref="AI313">INDEX(Subject!$A:$I,MATCH(RANDBETWEEN(1,16),Subject!$B:$B,0),3)</f>
        <v>#N/A</v>
      </c>
      <c r="AJ313" s="8" t="str">
        <f t="array" ref="AJ313">INDEX(Subject!$A:$I,MATCH(RANDBETWEEN(1,16),Subject!$B:$B,0),3)</f>
        <v>#N/A</v>
      </c>
      <c r="AK313" s="8" t="str">
        <f t="array" ref="AK313">INDEX(Subject!$A:$I,MATCH(RANDBETWEEN(1,16),Subject!$B:$B,0),3)</f>
        <v>#N/A</v>
      </c>
      <c r="AL313" s="8" t="str">
        <f t="array" ref="AL313">INDEX(Subject!$A:$I,MATCH(RANDBETWEEN(1,16),Subject!$B:$B,0),3)</f>
        <v>#N/A</v>
      </c>
      <c r="AM313" s="18">
        <f t="shared" si="4"/>
        <v>45813.33333</v>
      </c>
      <c r="AN313" s="19">
        <f t="shared" ref="AN313:BZ313" si="313">$A313+C$1</f>
        <v>45813.35417</v>
      </c>
      <c r="AO313" s="19">
        <f t="shared" si="313"/>
        <v>45813.375</v>
      </c>
      <c r="AP313" s="19">
        <f t="shared" si="313"/>
        <v>45813.39583</v>
      </c>
      <c r="AQ313" s="19">
        <f t="shared" si="313"/>
        <v>45813.41667</v>
      </c>
      <c r="AR313" s="19">
        <f t="shared" si="313"/>
        <v>45813.4375</v>
      </c>
      <c r="AS313" s="19">
        <f t="shared" si="313"/>
        <v>45813.45833</v>
      </c>
      <c r="AT313" s="19">
        <f t="shared" si="313"/>
        <v>45813.47917</v>
      </c>
      <c r="AU313" s="19">
        <f t="shared" si="313"/>
        <v>45813.5</v>
      </c>
      <c r="AV313" s="19">
        <f t="shared" si="313"/>
        <v>45813.52083</v>
      </c>
      <c r="AW313" s="19">
        <f t="shared" si="313"/>
        <v>45813.54167</v>
      </c>
      <c r="AX313" s="19">
        <f t="shared" si="313"/>
        <v>45813.5625</v>
      </c>
      <c r="AY313" s="19">
        <f t="shared" si="313"/>
        <v>45813.58333</v>
      </c>
      <c r="AZ313" s="19">
        <f t="shared" si="313"/>
        <v>45813.60417</v>
      </c>
      <c r="BA313" s="19">
        <f t="shared" si="313"/>
        <v>45813.625</v>
      </c>
      <c r="BB313" s="19">
        <f t="shared" si="313"/>
        <v>45813.64583</v>
      </c>
      <c r="BC313" s="19">
        <f t="shared" si="313"/>
        <v>45813.66667</v>
      </c>
      <c r="BD313" s="19">
        <f t="shared" si="313"/>
        <v>45813.6875</v>
      </c>
      <c r="BE313" s="19">
        <f t="shared" si="313"/>
        <v>45813.70833</v>
      </c>
      <c r="BF313" s="19">
        <f t="shared" si="313"/>
        <v>45813.72917</v>
      </c>
      <c r="BG313" s="19">
        <f t="shared" si="313"/>
        <v>45813.75</v>
      </c>
      <c r="BH313" s="19">
        <f t="shared" si="313"/>
        <v>45813.77083</v>
      </c>
      <c r="BI313" s="19">
        <f t="shared" si="313"/>
        <v>45813.79167</v>
      </c>
      <c r="BJ313" s="19">
        <f t="shared" si="313"/>
        <v>45813.8125</v>
      </c>
      <c r="BK313" s="19">
        <f t="shared" si="313"/>
        <v>45813.83333</v>
      </c>
      <c r="BL313" s="19">
        <f t="shared" si="313"/>
        <v>45813.85417</v>
      </c>
      <c r="BM313" s="19">
        <f t="shared" si="313"/>
        <v>45813.875</v>
      </c>
      <c r="BN313" s="19">
        <f t="shared" si="313"/>
        <v>45813.89583</v>
      </c>
      <c r="BO313" s="19">
        <f t="shared" si="313"/>
        <v>45813.91667</v>
      </c>
      <c r="BP313" s="19">
        <f t="shared" si="313"/>
        <v>45813.9375</v>
      </c>
      <c r="BQ313" s="19">
        <f t="shared" si="313"/>
        <v>45813.95833</v>
      </c>
      <c r="BR313" s="19">
        <f t="shared" si="313"/>
        <v>45813.97917</v>
      </c>
      <c r="BS313" s="19">
        <f t="shared" si="313"/>
        <v>45814</v>
      </c>
      <c r="BT313" s="19">
        <f t="shared" si="313"/>
        <v>45814.02083</v>
      </c>
      <c r="BU313" s="19">
        <f t="shared" si="313"/>
        <v>45814.04167</v>
      </c>
      <c r="BV313" s="19">
        <f t="shared" si="313"/>
        <v>45814.0625</v>
      </c>
      <c r="BW313" s="19">
        <f t="shared" si="313"/>
        <v>45814.08333</v>
      </c>
      <c r="BX313" s="19">
        <f t="shared" si="313"/>
        <v>45813</v>
      </c>
      <c r="BY313" s="19">
        <f t="shared" si="313"/>
        <v>45813</v>
      </c>
      <c r="BZ313" s="19">
        <f t="shared" si="313"/>
        <v>45813</v>
      </c>
    </row>
    <row r="314" ht="14.25" customHeight="1">
      <c r="A314" s="17">
        <v>45814.0</v>
      </c>
      <c r="B314" s="2" t="str">
        <f t="array" ref="B314">IF(NOW()&gt;AM314,"",IF(AND((WEEKDAY($A314)+$B$2)&gt;1,((WEEKDAY($A314)+$T$2)&lt;7),(WEEKDAY($A314)&lt;&gt;1)),"work",(INDEX(Subject!$A:$I,MATCH(RANDBETWEEN(1,(MAX(Subject!$B:$B))),Subject!$B:$B,0),3))))</f>
        <v/>
      </c>
      <c r="C314" s="2" t="str">
        <f t="array" ref="C314">IF(NOW()&gt;AN314,"",IF(AND((WEEKDAY($A314)+$B$2)&gt;1,((WEEKDAY($A314)+$T$2)&lt;7),(WEEKDAY($A314)&lt;&gt;1)),"work",(INDEX(Subject!$A:$I,MATCH(RANDBETWEEN(1,(MAX(Subject!$B:$B))),Subject!$B:$B,0),3))))</f>
        <v/>
      </c>
      <c r="D314" s="2" t="str">
        <f t="array" ref="D314">IF(NOW()&gt;AO314,"",IF(AND((WEEKDAY($A314)+$B$2)&gt;1,((WEEKDAY($A314)+$T$2)&lt;7),(WEEKDAY($A314)&lt;&gt;1)),"work",(INDEX(Subject!$A:$I,MATCH(RANDBETWEEN(1,(MAX(Subject!$B:$B))),Subject!$B:$B,0),3))))</f>
        <v/>
      </c>
      <c r="E314" s="2" t="str">
        <f t="array" ref="E314">IF(NOW()&gt;AP314,"",IF(AND((WEEKDAY($A314)+$B$2)&gt;1,((WEEKDAY($A314)+$T$2)&lt;7),(WEEKDAY($A314)&lt;&gt;1)),"work",(INDEX(Subject!$A:$I,MATCH(RANDBETWEEN(1,(MAX(Subject!$B:$B))),Subject!$B:$B,0),3))))</f>
        <v/>
      </c>
      <c r="F314" s="2" t="str">
        <f t="array" ref="F314">IF(NOW()&gt;AQ314,"",IF(AND((WEEKDAY($A314)+$B$2)&gt;1,((WEEKDAY($A314)+$T$2)&lt;7),(WEEKDAY($A314)&lt;&gt;1)),"work",(INDEX(Subject!$A:$I,MATCH(RANDBETWEEN(1,(MAX(Subject!$B:$B))),Subject!$B:$B,0),3))))</f>
        <v/>
      </c>
      <c r="G314" s="2" t="str">
        <f t="array" ref="G314">IF(NOW()&gt;AR314,"",IF(AND((WEEKDAY($A314)+$B$2)&gt;1,((WEEKDAY($A314)+$T$2)&lt;7),(WEEKDAY($A314)&lt;&gt;1)),"work",(INDEX(Subject!$A:$I,MATCH(RANDBETWEEN(1,(MAX(Subject!$B:$B))),Subject!$B:$B,0),3))))</f>
        <v/>
      </c>
      <c r="H314" s="2" t="str">
        <f t="array" ref="H314">IF(NOW()&gt;AS314,"",IF(AND((WEEKDAY($A314)+$B$2)&gt;1,((WEEKDAY($A314)+$T$2)&lt;7),(WEEKDAY($A314)&lt;&gt;1)),"work",(INDEX(Subject!$A:$I,MATCH(RANDBETWEEN(1,(MAX(Subject!$B:$B))),Subject!$B:$B,0),3))))</f>
        <v/>
      </c>
      <c r="I314" s="2" t="str">
        <f t="array" ref="I314">IF(NOW()&gt;AT314,"",IF(AND((WEEKDAY($A314)+$B$2)&gt;1,((WEEKDAY($A314)+$T$2)&lt;7),(WEEKDAY($A314)&lt;&gt;1)),"work",(INDEX(Subject!$A:$I,MATCH(RANDBETWEEN(1,(MAX(Subject!$B:$B))),Subject!$B:$B,0),3))))</f>
        <v/>
      </c>
      <c r="J314" s="2" t="str">
        <f t="array" ref="J314">IF(NOW()&gt;AU314,"",IF(AND((WEEKDAY($A314)+$B$2)&gt;1,((WEEKDAY($A314)+$T$2)&lt;7),(WEEKDAY($A314)&lt;&gt;1)),"work",(INDEX(Subject!$A:$I,MATCH(RANDBETWEEN(1,(MAX(Subject!$B:$B))),Subject!$B:$B,0),3))))</f>
        <v/>
      </c>
      <c r="K314" s="2" t="str">
        <f t="array" ref="K314">IF(NOW()&gt;AV314,"",IF(AND((WEEKDAY($A314)+$B$2)&gt;1,((WEEKDAY($A314)+$T$2)&lt;7),(WEEKDAY($A314)&lt;&gt;1)),"work",(INDEX(Subject!$A:$I,MATCH(RANDBETWEEN(1,(MAX(Subject!$B:$B))),Subject!$B:$B,0),3))))</f>
        <v/>
      </c>
      <c r="L314" s="2" t="str">
        <f t="array" ref="L314">IF(NOW()&gt;AW314,"",IF(AND((WEEKDAY($A314)+$B$2)&gt;1,((WEEKDAY($A314)+$T$2)&lt;7),(WEEKDAY($A314)&lt;&gt;1)),"work",(INDEX(Subject!$A:$I,MATCH(RANDBETWEEN(1,(MAX(Subject!$B:$B))),Subject!$B:$B,0),3))))</f>
        <v/>
      </c>
      <c r="M314" s="2" t="str">
        <f t="array" ref="M314">IF(NOW()&gt;AX314,"",IF(AND((WEEKDAY($A314)+$B$2)&gt;1,((WEEKDAY($A314)+$T$2)&lt;7),(WEEKDAY($A314)&lt;&gt;1)),"work",(INDEX(Subject!$A:$I,MATCH(RANDBETWEEN(1,(MAX(Subject!$B:$B))),Subject!$B:$B,0),3))))</f>
        <v/>
      </c>
      <c r="N314" s="2" t="str">
        <f t="array" ref="N314">IF(NOW()&gt;AY314,"",IF(AND((WEEKDAY($A314)+$B$2)&gt;1,((WEEKDAY($A314)+$T$2)&lt;7),(WEEKDAY($A314)&lt;&gt;1)),"work",(INDEX(Subject!$A:$I,MATCH(RANDBETWEEN(1,(MAX(Subject!$B:$B))),Subject!$B:$B,0),3))))</f>
        <v/>
      </c>
      <c r="O314" s="2" t="str">
        <f t="array" ref="O314">IF(NOW()&gt;AZ314,"",IF(AND((WEEKDAY($A314)+$B$2)&gt;1,((WEEKDAY($A314)+$T$2)&lt;7),(WEEKDAY($A314)&lt;&gt;1)),"work",(INDEX(Subject!$A:$I,MATCH(RANDBETWEEN(1,(MAX(Subject!$B:$B))),Subject!$B:$B,0),3))))</f>
        <v/>
      </c>
      <c r="P314" s="2" t="str">
        <f t="array" ref="P314">IF(NOW()&gt;BA314,"",IF(AND((WEEKDAY($A314)+$B$2)&gt;1,((WEEKDAY($A314)+$T$2)&lt;7),(WEEKDAY($A314)&lt;&gt;1)),"work",(INDEX(Subject!$A:$I,MATCH(RANDBETWEEN(1,(MAX(Subject!$B:$B))),Subject!$B:$B,0),3))))</f>
        <v/>
      </c>
      <c r="Q314" s="2" t="str">
        <f t="array" ref="Q314">IF(NOW()&gt;BB314,"",IF(AND((WEEKDAY($A314)+$B$2)&gt;1,((WEEKDAY($A314)+$T$2)&lt;7),(WEEKDAY($A314)&lt;&gt;1)),"work",(INDEX(Subject!$A:$I,MATCH(RANDBETWEEN(1,(MAX(Subject!$B:$B))),Subject!$B:$B,0),3))))</f>
        <v/>
      </c>
      <c r="R314" s="2" t="str">
        <f t="array" ref="R314">IF(NOW()&gt;BC314,"",IF(AND((WEEKDAY($A314)+$B$2)&gt;1,((WEEKDAY($A314)+$T$2)&lt;7),(WEEKDAY($A314)&lt;&gt;1)),"work",(INDEX(Subject!$A:$I,MATCH(RANDBETWEEN(1,(MAX(Subject!$B:$B))),Subject!$B:$B,0),3))))</f>
        <v/>
      </c>
      <c r="S314" s="2" t="str">
        <f t="array" ref="S314">IF(NOW()&gt;BD314,"",IF(AND((WEEKDAY($A314)+$B$2)&gt;1,((WEEKDAY($A314)+$T$2)&lt;7),(WEEKDAY($A314)&lt;&gt;1)),"work",(INDEX(Subject!$A:$I,MATCH(RANDBETWEEN(1,(MAX(Subject!$B:$B))),Subject!$B:$B,0),3))))</f>
        <v/>
      </c>
      <c r="T314" s="2" t="str">
        <f t="array" ref="T314">IF(NOW()&gt;BE314,"",IF(AND((WEEKDAY($A314)+$B$2)&gt;1,((WEEKDAY($A314)+$T$2)&lt;7),(WEEKDAY($A314)&lt;&gt;1)),"work",(INDEX(Subject!$A:$I,MATCH(RANDBETWEEN(1,(MAX(Subject!$B:$B))),Subject!$B:$B,0),3))))</f>
        <v/>
      </c>
      <c r="U314" s="8" t="str">
        <f t="array" ref="U314">INDEX(Subject!$A:$I,MATCH(RANDBETWEEN(1,16),Subject!$B:$B,0),3)</f>
        <v>#N/A</v>
      </c>
      <c r="V314" s="8" t="str">
        <f t="array" ref="V314">INDEX(Subject!$A:$I,MATCH(RANDBETWEEN(1,16),Subject!$B:$B,0),3)</f>
        <v>#N/A</v>
      </c>
      <c r="W314" s="8" t="str">
        <f t="array" ref="W314">INDEX(Subject!$A:$I,MATCH(RANDBETWEEN(1,16),Subject!$B:$B,0),3)</f>
        <v>#N/A</v>
      </c>
      <c r="X314" s="8" t="str">
        <f t="array" ref="X314">INDEX(Subject!$A:$I,MATCH(RANDBETWEEN(1,16),Subject!$B:$B,0),3)</f>
        <v>#N/A</v>
      </c>
      <c r="Y314" s="8" t="str">
        <f t="array" ref="Y314">INDEX(Subject!$A:$I,MATCH(RANDBETWEEN(1,16),Subject!$B:$B,0),3)</f>
        <v>#N/A</v>
      </c>
      <c r="Z314" s="8" t="str">
        <f t="array" ref="Z314">INDEX(Subject!$A:$I,MATCH(RANDBETWEEN(1,16),Subject!$B:$B,0),3)</f>
        <v>#N/A</v>
      </c>
      <c r="AA314" s="8" t="str">
        <f t="array" ref="AA314">INDEX(Subject!$A:$I,MATCH(RANDBETWEEN(1,16),Subject!$B:$B,0),3)</f>
        <v>#N/A</v>
      </c>
      <c r="AB314" s="8" t="str">
        <f t="array" ref="AB314">INDEX(Subject!$A:$I,MATCH(RANDBETWEEN(1,16),Subject!$B:$B,0),3)</f>
        <v>#N/A</v>
      </c>
      <c r="AC314" s="8" t="str">
        <f t="array" ref="AC314">INDEX(Subject!$A:$I,MATCH(RANDBETWEEN(1,16),Subject!$B:$B,0),3)</f>
        <v>#N/A</v>
      </c>
      <c r="AD314" s="8" t="str">
        <f t="array" ref="AD314">INDEX(Subject!$A:$I,MATCH(RANDBETWEEN(1,16),Subject!$B:$B,0),3)</f>
        <v>#N/A</v>
      </c>
      <c r="AE314" s="8" t="str">
        <f t="array" ref="AE314">INDEX(Subject!$A:$I,MATCH(RANDBETWEEN(1,16),Subject!$B:$B,0),3)</f>
        <v>#N/A</v>
      </c>
      <c r="AF314" s="8" t="str">
        <f t="array" ref="AF314">INDEX(Subject!$A:$I,MATCH(RANDBETWEEN(1,16),Subject!$B:$B,0),3)</f>
        <v>#N/A</v>
      </c>
      <c r="AG314" s="8" t="str">
        <f t="array" ref="AG314">INDEX(Subject!$A:$I,MATCH(RANDBETWEEN(1,16),Subject!$B:$B,0),3)</f>
        <v>#N/A</v>
      </c>
      <c r="AH314" s="8" t="str">
        <f t="array" ref="AH314">INDEX(Subject!$A:$I,MATCH(RANDBETWEEN(1,16),Subject!$B:$B,0),3)</f>
        <v>#N/A</v>
      </c>
      <c r="AI314" s="8" t="str">
        <f t="array" ref="AI314">INDEX(Subject!$A:$I,MATCH(RANDBETWEEN(1,16),Subject!$B:$B,0),3)</f>
        <v>#N/A</v>
      </c>
      <c r="AJ314" s="8" t="str">
        <f t="array" ref="AJ314">INDEX(Subject!$A:$I,MATCH(RANDBETWEEN(1,16),Subject!$B:$B,0),3)</f>
        <v>#N/A</v>
      </c>
      <c r="AK314" s="8" t="str">
        <f t="array" ref="AK314">INDEX(Subject!$A:$I,MATCH(RANDBETWEEN(1,16),Subject!$B:$B,0),3)</f>
        <v>#N/A</v>
      </c>
      <c r="AL314" s="8" t="str">
        <f t="array" ref="AL314">INDEX(Subject!$A:$I,MATCH(RANDBETWEEN(1,16),Subject!$B:$B,0),3)</f>
        <v>#N/A</v>
      </c>
      <c r="AM314" s="18">
        <f t="shared" si="4"/>
        <v>45814.33333</v>
      </c>
      <c r="AN314" s="19">
        <f t="shared" ref="AN314:BZ314" si="314">$A314+C$1</f>
        <v>45814.35417</v>
      </c>
      <c r="AO314" s="19">
        <f t="shared" si="314"/>
        <v>45814.375</v>
      </c>
      <c r="AP314" s="19">
        <f t="shared" si="314"/>
        <v>45814.39583</v>
      </c>
      <c r="AQ314" s="19">
        <f t="shared" si="314"/>
        <v>45814.41667</v>
      </c>
      <c r="AR314" s="19">
        <f t="shared" si="314"/>
        <v>45814.4375</v>
      </c>
      <c r="AS314" s="19">
        <f t="shared" si="314"/>
        <v>45814.45833</v>
      </c>
      <c r="AT314" s="19">
        <f t="shared" si="314"/>
        <v>45814.47917</v>
      </c>
      <c r="AU314" s="19">
        <f t="shared" si="314"/>
        <v>45814.5</v>
      </c>
      <c r="AV314" s="19">
        <f t="shared" si="314"/>
        <v>45814.52083</v>
      </c>
      <c r="AW314" s="19">
        <f t="shared" si="314"/>
        <v>45814.54167</v>
      </c>
      <c r="AX314" s="19">
        <f t="shared" si="314"/>
        <v>45814.5625</v>
      </c>
      <c r="AY314" s="19">
        <f t="shared" si="314"/>
        <v>45814.58333</v>
      </c>
      <c r="AZ314" s="19">
        <f t="shared" si="314"/>
        <v>45814.60417</v>
      </c>
      <c r="BA314" s="19">
        <f t="shared" si="314"/>
        <v>45814.625</v>
      </c>
      <c r="BB314" s="19">
        <f t="shared" si="314"/>
        <v>45814.64583</v>
      </c>
      <c r="BC314" s="19">
        <f t="shared" si="314"/>
        <v>45814.66667</v>
      </c>
      <c r="BD314" s="19">
        <f t="shared" si="314"/>
        <v>45814.6875</v>
      </c>
      <c r="BE314" s="19">
        <f t="shared" si="314"/>
        <v>45814.70833</v>
      </c>
      <c r="BF314" s="19">
        <f t="shared" si="314"/>
        <v>45814.72917</v>
      </c>
      <c r="BG314" s="19">
        <f t="shared" si="314"/>
        <v>45814.75</v>
      </c>
      <c r="BH314" s="19">
        <f t="shared" si="314"/>
        <v>45814.77083</v>
      </c>
      <c r="BI314" s="19">
        <f t="shared" si="314"/>
        <v>45814.79167</v>
      </c>
      <c r="BJ314" s="19">
        <f t="shared" si="314"/>
        <v>45814.8125</v>
      </c>
      <c r="BK314" s="19">
        <f t="shared" si="314"/>
        <v>45814.83333</v>
      </c>
      <c r="BL314" s="19">
        <f t="shared" si="314"/>
        <v>45814.85417</v>
      </c>
      <c r="BM314" s="19">
        <f t="shared" si="314"/>
        <v>45814.875</v>
      </c>
      <c r="BN314" s="19">
        <f t="shared" si="314"/>
        <v>45814.89583</v>
      </c>
      <c r="BO314" s="19">
        <f t="shared" si="314"/>
        <v>45814.91667</v>
      </c>
      <c r="BP314" s="19">
        <f t="shared" si="314"/>
        <v>45814.9375</v>
      </c>
      <c r="BQ314" s="19">
        <f t="shared" si="314"/>
        <v>45814.95833</v>
      </c>
      <c r="BR314" s="19">
        <f t="shared" si="314"/>
        <v>45814.97917</v>
      </c>
      <c r="BS314" s="19">
        <f t="shared" si="314"/>
        <v>45815</v>
      </c>
      <c r="BT314" s="19">
        <f t="shared" si="314"/>
        <v>45815.02083</v>
      </c>
      <c r="BU314" s="19">
        <f t="shared" si="314"/>
        <v>45815.04167</v>
      </c>
      <c r="BV314" s="19">
        <f t="shared" si="314"/>
        <v>45815.0625</v>
      </c>
      <c r="BW314" s="19">
        <f t="shared" si="314"/>
        <v>45815.08333</v>
      </c>
      <c r="BX314" s="19">
        <f t="shared" si="314"/>
        <v>45814</v>
      </c>
      <c r="BY314" s="19">
        <f t="shared" si="314"/>
        <v>45814</v>
      </c>
      <c r="BZ314" s="19">
        <f t="shared" si="314"/>
        <v>45814</v>
      </c>
    </row>
    <row r="315" ht="14.25" customHeight="1">
      <c r="A315" s="17">
        <v>45815.0</v>
      </c>
      <c r="B315" s="2" t="str">
        <f t="array" ref="B315">IF(NOW()&gt;AM315,"",IF(AND((WEEKDAY($A315)+$B$2)&gt;1,((WEEKDAY($A315)+$T$2)&lt;7),(WEEKDAY($A315)&lt;&gt;1)),"work",(INDEX(Subject!$A:$I,MATCH(RANDBETWEEN(1,(MAX(Subject!$B:$B))),Subject!$B:$B,0),3))))</f>
        <v/>
      </c>
      <c r="C315" s="2" t="str">
        <f t="array" ref="C315">IF(NOW()&gt;AN315,"",IF(AND((WEEKDAY($A315)+$B$2)&gt;1,((WEEKDAY($A315)+$T$2)&lt;7),(WEEKDAY($A315)&lt;&gt;1)),"work",(INDEX(Subject!$A:$I,MATCH(RANDBETWEEN(1,(MAX(Subject!$B:$B))),Subject!$B:$B,0),3))))</f>
        <v/>
      </c>
      <c r="D315" s="2" t="str">
        <f t="array" ref="D315">IF(NOW()&gt;AO315,"",IF(AND((WEEKDAY($A315)+$B$2)&gt;1,((WEEKDAY($A315)+$T$2)&lt;7),(WEEKDAY($A315)&lt;&gt;1)),"work",(INDEX(Subject!$A:$I,MATCH(RANDBETWEEN(1,(MAX(Subject!$B:$B))),Subject!$B:$B,0),3))))</f>
        <v/>
      </c>
      <c r="E315" s="2" t="str">
        <f t="array" ref="E315">IF(NOW()&gt;AP315,"",IF(AND((WEEKDAY($A315)+$B$2)&gt;1,((WEEKDAY($A315)+$T$2)&lt;7),(WEEKDAY($A315)&lt;&gt;1)),"work",(INDEX(Subject!$A:$I,MATCH(RANDBETWEEN(1,(MAX(Subject!$B:$B))),Subject!$B:$B,0),3))))</f>
        <v/>
      </c>
      <c r="F315" s="2" t="str">
        <f t="array" ref="F315">IF(NOW()&gt;AQ315,"",IF(AND((WEEKDAY($A315)+$B$2)&gt;1,((WEEKDAY($A315)+$T$2)&lt;7),(WEEKDAY($A315)&lt;&gt;1)),"work",(INDEX(Subject!$A:$I,MATCH(RANDBETWEEN(1,(MAX(Subject!$B:$B))),Subject!$B:$B,0),3))))</f>
        <v/>
      </c>
      <c r="G315" s="2" t="str">
        <f t="array" ref="G315">IF(NOW()&gt;AR315,"",IF(AND((WEEKDAY($A315)+$B$2)&gt;1,((WEEKDAY($A315)+$T$2)&lt;7),(WEEKDAY($A315)&lt;&gt;1)),"work",(INDEX(Subject!$A:$I,MATCH(RANDBETWEEN(1,(MAX(Subject!$B:$B))),Subject!$B:$B,0),3))))</f>
        <v/>
      </c>
      <c r="H315" s="2" t="str">
        <f t="array" ref="H315">IF(NOW()&gt;AS315,"",IF(AND((WEEKDAY($A315)+$B$2)&gt;1,((WEEKDAY($A315)+$T$2)&lt;7),(WEEKDAY($A315)&lt;&gt;1)),"work",(INDEX(Subject!$A:$I,MATCH(RANDBETWEEN(1,(MAX(Subject!$B:$B))),Subject!$B:$B,0),3))))</f>
        <v/>
      </c>
      <c r="I315" s="2" t="str">
        <f t="array" ref="I315">IF(NOW()&gt;AT315,"",IF(AND((WEEKDAY($A315)+$B$2)&gt;1,((WEEKDAY($A315)+$T$2)&lt;7),(WEEKDAY($A315)&lt;&gt;1)),"work",(INDEX(Subject!$A:$I,MATCH(RANDBETWEEN(1,(MAX(Subject!$B:$B))),Subject!$B:$B,0),3))))</f>
        <v/>
      </c>
      <c r="J315" s="2" t="str">
        <f t="array" ref="J315">IF(NOW()&gt;AU315,"",IF(AND((WEEKDAY($A315)+$B$2)&gt;1,((WEEKDAY($A315)+$T$2)&lt;7),(WEEKDAY($A315)&lt;&gt;1)),"work",(INDEX(Subject!$A:$I,MATCH(RANDBETWEEN(1,(MAX(Subject!$B:$B))),Subject!$B:$B,0),3))))</f>
        <v/>
      </c>
      <c r="K315" s="2" t="str">
        <f t="array" ref="K315">IF(NOW()&gt;AV315,"",IF(AND((WEEKDAY($A315)+$B$2)&gt;1,((WEEKDAY($A315)+$T$2)&lt;7),(WEEKDAY($A315)&lt;&gt;1)),"work",(INDEX(Subject!$A:$I,MATCH(RANDBETWEEN(1,(MAX(Subject!$B:$B))),Subject!$B:$B,0),3))))</f>
        <v/>
      </c>
      <c r="L315" s="2" t="str">
        <f t="array" ref="L315">IF(NOW()&gt;AW315,"",IF(AND((WEEKDAY($A315)+$B$2)&gt;1,((WEEKDAY($A315)+$T$2)&lt;7),(WEEKDAY($A315)&lt;&gt;1)),"work",(INDEX(Subject!$A:$I,MATCH(RANDBETWEEN(1,(MAX(Subject!$B:$B))),Subject!$B:$B,0),3))))</f>
        <v/>
      </c>
      <c r="M315" s="2" t="str">
        <f t="array" ref="M315">IF(NOW()&gt;AX315,"",IF(AND((WEEKDAY($A315)+$B$2)&gt;1,((WEEKDAY($A315)+$T$2)&lt;7),(WEEKDAY($A315)&lt;&gt;1)),"work",(INDEX(Subject!$A:$I,MATCH(RANDBETWEEN(1,(MAX(Subject!$B:$B))),Subject!$B:$B,0),3))))</f>
        <v/>
      </c>
      <c r="N315" s="2" t="str">
        <f t="array" ref="N315">IF(NOW()&gt;AY315,"",IF(AND((WEEKDAY($A315)+$B$2)&gt;1,((WEEKDAY($A315)+$T$2)&lt;7),(WEEKDAY($A315)&lt;&gt;1)),"work",(INDEX(Subject!$A:$I,MATCH(RANDBETWEEN(1,(MAX(Subject!$B:$B))),Subject!$B:$B,0),3))))</f>
        <v/>
      </c>
      <c r="O315" s="2" t="str">
        <f t="array" ref="O315">IF(NOW()&gt;AZ315,"",IF(AND((WEEKDAY($A315)+$B$2)&gt;1,((WEEKDAY($A315)+$T$2)&lt;7),(WEEKDAY($A315)&lt;&gt;1)),"work",(INDEX(Subject!$A:$I,MATCH(RANDBETWEEN(1,(MAX(Subject!$B:$B))),Subject!$B:$B,0),3))))</f>
        <v/>
      </c>
      <c r="P315" s="2" t="str">
        <f t="array" ref="P315">IF(NOW()&gt;BA315,"",IF(AND((WEEKDAY($A315)+$B$2)&gt;1,((WEEKDAY($A315)+$T$2)&lt;7),(WEEKDAY($A315)&lt;&gt;1)),"work",(INDEX(Subject!$A:$I,MATCH(RANDBETWEEN(1,(MAX(Subject!$B:$B))),Subject!$B:$B,0),3))))</f>
        <v/>
      </c>
      <c r="Q315" s="2" t="str">
        <f t="array" ref="Q315">IF(NOW()&gt;BB315,"",IF(AND((WEEKDAY($A315)+$B$2)&gt;1,((WEEKDAY($A315)+$T$2)&lt;7),(WEEKDAY($A315)&lt;&gt;1)),"work",(INDEX(Subject!$A:$I,MATCH(RANDBETWEEN(1,(MAX(Subject!$B:$B))),Subject!$B:$B,0),3))))</f>
        <v/>
      </c>
      <c r="R315" s="2" t="str">
        <f t="array" ref="R315">IF(NOW()&gt;BC315,"",IF(AND((WEEKDAY($A315)+$B$2)&gt;1,((WEEKDAY($A315)+$T$2)&lt;7),(WEEKDAY($A315)&lt;&gt;1)),"work",(INDEX(Subject!$A:$I,MATCH(RANDBETWEEN(1,(MAX(Subject!$B:$B))),Subject!$B:$B,0),3))))</f>
        <v/>
      </c>
      <c r="S315" s="2" t="str">
        <f t="array" ref="S315">IF(NOW()&gt;BD315,"",IF(AND((WEEKDAY($A315)+$B$2)&gt;1,((WEEKDAY($A315)+$T$2)&lt;7),(WEEKDAY($A315)&lt;&gt;1)),"work",(INDEX(Subject!$A:$I,MATCH(RANDBETWEEN(1,(MAX(Subject!$B:$B))),Subject!$B:$B,0),3))))</f>
        <v/>
      </c>
      <c r="T315" s="2" t="str">
        <f t="array" ref="T315">IF(NOW()&gt;BE315,"",IF(AND((WEEKDAY($A315)+$B$2)&gt;1,((WEEKDAY($A315)+$T$2)&lt;7),(WEEKDAY($A315)&lt;&gt;1)),"work",(INDEX(Subject!$A:$I,MATCH(RANDBETWEEN(1,(MAX(Subject!$B:$B))),Subject!$B:$B,0),3))))</f>
        <v/>
      </c>
      <c r="U315" s="8" t="str">
        <f t="array" ref="U315">INDEX(Subject!$A:$I,MATCH(RANDBETWEEN(1,16),Subject!$B:$B,0),3)</f>
        <v>#N/A</v>
      </c>
      <c r="V315" s="8" t="str">
        <f t="array" ref="V315">INDEX(Subject!$A:$I,MATCH(RANDBETWEEN(1,16),Subject!$B:$B,0),3)</f>
        <v>#N/A</v>
      </c>
      <c r="W315" s="8" t="str">
        <f t="array" ref="W315">INDEX(Subject!$A:$I,MATCH(RANDBETWEEN(1,16),Subject!$B:$B,0),3)</f>
        <v>#N/A</v>
      </c>
      <c r="X315" s="8" t="str">
        <f t="array" ref="X315">INDEX(Subject!$A:$I,MATCH(RANDBETWEEN(1,16),Subject!$B:$B,0),3)</f>
        <v>#N/A</v>
      </c>
      <c r="Y315" s="8" t="str">
        <f t="array" ref="Y315">INDEX(Subject!$A:$I,MATCH(RANDBETWEEN(1,16),Subject!$B:$B,0),3)</f>
        <v>#N/A</v>
      </c>
      <c r="Z315" s="8" t="str">
        <f t="array" ref="Z315">INDEX(Subject!$A:$I,MATCH(RANDBETWEEN(1,16),Subject!$B:$B,0),3)</f>
        <v>#N/A</v>
      </c>
      <c r="AA315" s="8" t="str">
        <f t="array" ref="AA315">INDEX(Subject!$A:$I,MATCH(RANDBETWEEN(1,16),Subject!$B:$B,0),3)</f>
        <v>#N/A</v>
      </c>
      <c r="AB315" s="8" t="str">
        <f t="array" ref="AB315">INDEX(Subject!$A:$I,MATCH(RANDBETWEEN(1,16),Subject!$B:$B,0),3)</f>
        <v>#N/A</v>
      </c>
      <c r="AC315" s="8" t="str">
        <f t="array" ref="AC315">INDEX(Subject!$A:$I,MATCH(RANDBETWEEN(1,16),Subject!$B:$B,0),3)</f>
        <v>#N/A</v>
      </c>
      <c r="AD315" s="8" t="str">
        <f t="array" ref="AD315">INDEX(Subject!$A:$I,MATCH(RANDBETWEEN(1,16),Subject!$B:$B,0),3)</f>
        <v>#N/A</v>
      </c>
      <c r="AE315" s="8" t="str">
        <f t="array" ref="AE315">INDEX(Subject!$A:$I,MATCH(RANDBETWEEN(1,16),Subject!$B:$B,0),3)</f>
        <v>#N/A</v>
      </c>
      <c r="AF315" s="8" t="str">
        <f t="array" ref="AF315">INDEX(Subject!$A:$I,MATCH(RANDBETWEEN(1,16),Subject!$B:$B,0),3)</f>
        <v>#N/A</v>
      </c>
      <c r="AG315" s="8" t="str">
        <f t="array" ref="AG315">INDEX(Subject!$A:$I,MATCH(RANDBETWEEN(1,16),Subject!$B:$B,0),3)</f>
        <v>#N/A</v>
      </c>
      <c r="AH315" s="8" t="str">
        <f t="array" ref="AH315">INDEX(Subject!$A:$I,MATCH(RANDBETWEEN(1,16),Subject!$B:$B,0),3)</f>
        <v>#N/A</v>
      </c>
      <c r="AI315" s="8" t="str">
        <f t="array" ref="AI315">INDEX(Subject!$A:$I,MATCH(RANDBETWEEN(1,16),Subject!$B:$B,0),3)</f>
        <v>#N/A</v>
      </c>
      <c r="AJ315" s="8" t="str">
        <f t="array" ref="AJ315">INDEX(Subject!$A:$I,MATCH(RANDBETWEEN(1,16),Subject!$B:$B,0),3)</f>
        <v>#N/A</v>
      </c>
      <c r="AK315" s="8" t="str">
        <f t="array" ref="AK315">INDEX(Subject!$A:$I,MATCH(RANDBETWEEN(1,16),Subject!$B:$B,0),3)</f>
        <v>#N/A</v>
      </c>
      <c r="AL315" s="8" t="str">
        <f t="array" ref="AL315">INDEX(Subject!$A:$I,MATCH(RANDBETWEEN(1,16),Subject!$B:$B,0),3)</f>
        <v>#N/A</v>
      </c>
      <c r="AM315" s="18">
        <f t="shared" si="4"/>
        <v>45815.33333</v>
      </c>
      <c r="AN315" s="19">
        <f t="shared" ref="AN315:BZ315" si="315">$A315+C$1</f>
        <v>45815.35417</v>
      </c>
      <c r="AO315" s="19">
        <f t="shared" si="315"/>
        <v>45815.375</v>
      </c>
      <c r="AP315" s="19">
        <f t="shared" si="315"/>
        <v>45815.39583</v>
      </c>
      <c r="AQ315" s="19">
        <f t="shared" si="315"/>
        <v>45815.41667</v>
      </c>
      <c r="AR315" s="19">
        <f t="shared" si="315"/>
        <v>45815.4375</v>
      </c>
      <c r="AS315" s="19">
        <f t="shared" si="315"/>
        <v>45815.45833</v>
      </c>
      <c r="AT315" s="19">
        <f t="shared" si="315"/>
        <v>45815.47917</v>
      </c>
      <c r="AU315" s="19">
        <f t="shared" si="315"/>
        <v>45815.5</v>
      </c>
      <c r="AV315" s="19">
        <f t="shared" si="315"/>
        <v>45815.52083</v>
      </c>
      <c r="AW315" s="19">
        <f t="shared" si="315"/>
        <v>45815.54167</v>
      </c>
      <c r="AX315" s="19">
        <f t="shared" si="315"/>
        <v>45815.5625</v>
      </c>
      <c r="AY315" s="19">
        <f t="shared" si="315"/>
        <v>45815.58333</v>
      </c>
      <c r="AZ315" s="19">
        <f t="shared" si="315"/>
        <v>45815.60417</v>
      </c>
      <c r="BA315" s="19">
        <f t="shared" si="315"/>
        <v>45815.625</v>
      </c>
      <c r="BB315" s="19">
        <f t="shared" si="315"/>
        <v>45815.64583</v>
      </c>
      <c r="BC315" s="19">
        <f t="shared" si="315"/>
        <v>45815.66667</v>
      </c>
      <c r="BD315" s="19">
        <f t="shared" si="315"/>
        <v>45815.6875</v>
      </c>
      <c r="BE315" s="19">
        <f t="shared" si="315"/>
        <v>45815.70833</v>
      </c>
      <c r="BF315" s="19">
        <f t="shared" si="315"/>
        <v>45815.72917</v>
      </c>
      <c r="BG315" s="19">
        <f t="shared" si="315"/>
        <v>45815.75</v>
      </c>
      <c r="BH315" s="19">
        <f t="shared" si="315"/>
        <v>45815.77083</v>
      </c>
      <c r="BI315" s="19">
        <f t="shared" si="315"/>
        <v>45815.79167</v>
      </c>
      <c r="BJ315" s="19">
        <f t="shared" si="315"/>
        <v>45815.8125</v>
      </c>
      <c r="BK315" s="19">
        <f t="shared" si="315"/>
        <v>45815.83333</v>
      </c>
      <c r="BL315" s="19">
        <f t="shared" si="315"/>
        <v>45815.85417</v>
      </c>
      <c r="BM315" s="19">
        <f t="shared" si="315"/>
        <v>45815.875</v>
      </c>
      <c r="BN315" s="19">
        <f t="shared" si="315"/>
        <v>45815.89583</v>
      </c>
      <c r="BO315" s="19">
        <f t="shared" si="315"/>
        <v>45815.91667</v>
      </c>
      <c r="BP315" s="19">
        <f t="shared" si="315"/>
        <v>45815.9375</v>
      </c>
      <c r="BQ315" s="19">
        <f t="shared" si="315"/>
        <v>45815.95833</v>
      </c>
      <c r="BR315" s="19">
        <f t="shared" si="315"/>
        <v>45815.97917</v>
      </c>
      <c r="BS315" s="19">
        <f t="shared" si="315"/>
        <v>45816</v>
      </c>
      <c r="BT315" s="19">
        <f t="shared" si="315"/>
        <v>45816.02083</v>
      </c>
      <c r="BU315" s="19">
        <f t="shared" si="315"/>
        <v>45816.04167</v>
      </c>
      <c r="BV315" s="19">
        <f t="shared" si="315"/>
        <v>45816.0625</v>
      </c>
      <c r="BW315" s="19">
        <f t="shared" si="315"/>
        <v>45816.08333</v>
      </c>
      <c r="BX315" s="19">
        <f t="shared" si="315"/>
        <v>45815</v>
      </c>
      <c r="BY315" s="19">
        <f t="shared" si="315"/>
        <v>45815</v>
      </c>
      <c r="BZ315" s="19">
        <f t="shared" si="315"/>
        <v>45815</v>
      </c>
    </row>
    <row r="316" ht="14.25" customHeight="1">
      <c r="A316" s="17">
        <v>45816.0</v>
      </c>
      <c r="B316" s="2" t="str">
        <f t="array" ref="B316">IF(NOW()&gt;AM316,"",IF(AND((WEEKDAY($A316)+$B$2)&gt;1,((WEEKDAY($A316)+$T$2)&lt;7),(WEEKDAY($A316)&lt;&gt;1)),"work",(INDEX(Subject!$A:$I,MATCH(RANDBETWEEN(1,(MAX(Subject!$B:$B))),Subject!$B:$B,0),3))))</f>
        <v/>
      </c>
      <c r="C316" s="2" t="str">
        <f t="array" ref="C316">IF(NOW()&gt;AN316,"",IF(AND((WEEKDAY($A316)+$B$2)&gt;1,((WEEKDAY($A316)+$T$2)&lt;7),(WEEKDAY($A316)&lt;&gt;1)),"work",(INDEX(Subject!$A:$I,MATCH(RANDBETWEEN(1,(MAX(Subject!$B:$B))),Subject!$B:$B,0),3))))</f>
        <v/>
      </c>
      <c r="D316" s="2" t="str">
        <f t="array" ref="D316">IF(NOW()&gt;AO316,"",IF(AND((WEEKDAY($A316)+$B$2)&gt;1,((WEEKDAY($A316)+$T$2)&lt;7),(WEEKDAY($A316)&lt;&gt;1)),"work",(INDEX(Subject!$A:$I,MATCH(RANDBETWEEN(1,(MAX(Subject!$B:$B))),Subject!$B:$B,0),3))))</f>
        <v/>
      </c>
      <c r="E316" s="2" t="str">
        <f t="array" ref="E316">IF(NOW()&gt;AP316,"",IF(AND((WEEKDAY($A316)+$B$2)&gt;1,((WEEKDAY($A316)+$T$2)&lt;7),(WEEKDAY($A316)&lt;&gt;1)),"work",(INDEX(Subject!$A:$I,MATCH(RANDBETWEEN(1,(MAX(Subject!$B:$B))),Subject!$B:$B,0),3))))</f>
        <v/>
      </c>
      <c r="F316" s="2" t="str">
        <f t="array" ref="F316">IF(NOW()&gt;AQ316,"",IF(AND((WEEKDAY($A316)+$B$2)&gt;1,((WEEKDAY($A316)+$T$2)&lt;7),(WEEKDAY($A316)&lt;&gt;1)),"work",(INDEX(Subject!$A:$I,MATCH(RANDBETWEEN(1,(MAX(Subject!$B:$B))),Subject!$B:$B,0),3))))</f>
        <v/>
      </c>
      <c r="G316" s="2" t="str">
        <f t="array" ref="G316">IF(NOW()&gt;AR316,"",IF(AND((WEEKDAY($A316)+$B$2)&gt;1,((WEEKDAY($A316)+$T$2)&lt;7),(WEEKDAY($A316)&lt;&gt;1)),"work",(INDEX(Subject!$A:$I,MATCH(RANDBETWEEN(1,(MAX(Subject!$B:$B))),Subject!$B:$B,0),3))))</f>
        <v/>
      </c>
      <c r="H316" s="2" t="str">
        <f t="array" ref="H316">IF(NOW()&gt;AS316,"",IF(AND((WEEKDAY($A316)+$B$2)&gt;1,((WEEKDAY($A316)+$T$2)&lt;7),(WEEKDAY($A316)&lt;&gt;1)),"work",(INDEX(Subject!$A:$I,MATCH(RANDBETWEEN(1,(MAX(Subject!$B:$B))),Subject!$B:$B,0),3))))</f>
        <v/>
      </c>
      <c r="I316" s="2" t="str">
        <f t="array" ref="I316">IF(NOW()&gt;AT316,"",IF(AND((WEEKDAY($A316)+$B$2)&gt;1,((WEEKDAY($A316)+$T$2)&lt;7),(WEEKDAY($A316)&lt;&gt;1)),"work",(INDEX(Subject!$A:$I,MATCH(RANDBETWEEN(1,(MAX(Subject!$B:$B))),Subject!$B:$B,0),3))))</f>
        <v/>
      </c>
      <c r="J316" s="2" t="str">
        <f t="array" ref="J316">IF(NOW()&gt;AU316,"",IF(AND((WEEKDAY($A316)+$B$2)&gt;1,((WEEKDAY($A316)+$T$2)&lt;7),(WEEKDAY($A316)&lt;&gt;1)),"work",(INDEX(Subject!$A:$I,MATCH(RANDBETWEEN(1,(MAX(Subject!$B:$B))),Subject!$B:$B,0),3))))</f>
        <v/>
      </c>
      <c r="K316" s="2" t="str">
        <f t="array" ref="K316">IF(NOW()&gt;AV316,"",IF(AND((WEEKDAY($A316)+$B$2)&gt;1,((WEEKDAY($A316)+$T$2)&lt;7),(WEEKDAY($A316)&lt;&gt;1)),"work",(INDEX(Subject!$A:$I,MATCH(RANDBETWEEN(1,(MAX(Subject!$B:$B))),Subject!$B:$B,0),3))))</f>
        <v/>
      </c>
      <c r="L316" s="2" t="str">
        <f t="array" ref="L316">IF(NOW()&gt;AW316,"",IF(AND((WEEKDAY($A316)+$B$2)&gt;1,((WEEKDAY($A316)+$T$2)&lt;7),(WEEKDAY($A316)&lt;&gt;1)),"work",(INDEX(Subject!$A:$I,MATCH(RANDBETWEEN(1,(MAX(Subject!$B:$B))),Subject!$B:$B,0),3))))</f>
        <v/>
      </c>
      <c r="M316" s="2" t="str">
        <f t="array" ref="M316">IF(NOW()&gt;AX316,"",IF(AND((WEEKDAY($A316)+$B$2)&gt;1,((WEEKDAY($A316)+$T$2)&lt;7),(WEEKDAY($A316)&lt;&gt;1)),"work",(INDEX(Subject!$A:$I,MATCH(RANDBETWEEN(1,(MAX(Subject!$B:$B))),Subject!$B:$B,0),3))))</f>
        <v/>
      </c>
      <c r="N316" s="2" t="str">
        <f t="array" ref="N316">IF(NOW()&gt;AY316,"",IF(AND((WEEKDAY($A316)+$B$2)&gt;1,((WEEKDAY($A316)+$T$2)&lt;7),(WEEKDAY($A316)&lt;&gt;1)),"work",(INDEX(Subject!$A:$I,MATCH(RANDBETWEEN(1,(MAX(Subject!$B:$B))),Subject!$B:$B,0),3))))</f>
        <v/>
      </c>
      <c r="O316" s="2" t="str">
        <f t="array" ref="O316">IF(NOW()&gt;AZ316,"",IF(AND((WEEKDAY($A316)+$B$2)&gt;1,((WEEKDAY($A316)+$T$2)&lt;7),(WEEKDAY($A316)&lt;&gt;1)),"work",(INDEX(Subject!$A:$I,MATCH(RANDBETWEEN(1,(MAX(Subject!$B:$B))),Subject!$B:$B,0),3))))</f>
        <v/>
      </c>
      <c r="P316" s="2" t="str">
        <f t="array" ref="P316">IF(NOW()&gt;BA316,"",IF(AND((WEEKDAY($A316)+$B$2)&gt;1,((WEEKDAY($A316)+$T$2)&lt;7),(WEEKDAY($A316)&lt;&gt;1)),"work",(INDEX(Subject!$A:$I,MATCH(RANDBETWEEN(1,(MAX(Subject!$B:$B))),Subject!$B:$B,0),3))))</f>
        <v/>
      </c>
      <c r="Q316" s="2" t="str">
        <f t="array" ref="Q316">IF(NOW()&gt;BB316,"",IF(AND((WEEKDAY($A316)+$B$2)&gt;1,((WEEKDAY($A316)+$T$2)&lt;7),(WEEKDAY($A316)&lt;&gt;1)),"work",(INDEX(Subject!$A:$I,MATCH(RANDBETWEEN(1,(MAX(Subject!$B:$B))),Subject!$B:$B,0),3))))</f>
        <v/>
      </c>
      <c r="R316" s="2" t="str">
        <f t="array" ref="R316">IF(NOW()&gt;BC316,"",IF(AND((WEEKDAY($A316)+$B$2)&gt;1,((WEEKDAY($A316)+$T$2)&lt;7),(WEEKDAY($A316)&lt;&gt;1)),"work",(INDEX(Subject!$A:$I,MATCH(RANDBETWEEN(1,(MAX(Subject!$B:$B))),Subject!$B:$B,0),3))))</f>
        <v/>
      </c>
      <c r="S316" s="2" t="str">
        <f t="array" ref="S316">IF(NOW()&gt;BD316,"",IF(AND((WEEKDAY($A316)+$B$2)&gt;1,((WEEKDAY($A316)+$T$2)&lt;7),(WEEKDAY($A316)&lt;&gt;1)),"work",(INDEX(Subject!$A:$I,MATCH(RANDBETWEEN(1,(MAX(Subject!$B:$B))),Subject!$B:$B,0),3))))</f>
        <v/>
      </c>
      <c r="T316" s="2" t="str">
        <f t="array" ref="T316">IF(NOW()&gt;BE316,"",IF(AND((WEEKDAY($A316)+$B$2)&gt;1,((WEEKDAY($A316)+$T$2)&lt;7),(WEEKDAY($A316)&lt;&gt;1)),"work",(INDEX(Subject!$A:$I,MATCH(RANDBETWEEN(1,(MAX(Subject!$B:$B))),Subject!$B:$B,0),3))))</f>
        <v/>
      </c>
      <c r="U316" s="8" t="str">
        <f t="array" ref="U316">INDEX(Subject!$A:$I,MATCH(RANDBETWEEN(1,16),Subject!$B:$B,0),3)</f>
        <v>#N/A</v>
      </c>
      <c r="V316" s="8" t="str">
        <f t="array" ref="V316">INDEX(Subject!$A:$I,MATCH(RANDBETWEEN(1,16),Subject!$B:$B,0),3)</f>
        <v>#N/A</v>
      </c>
      <c r="W316" s="8" t="str">
        <f t="array" ref="W316">INDEX(Subject!$A:$I,MATCH(RANDBETWEEN(1,16),Subject!$B:$B,0),3)</f>
        <v>#N/A</v>
      </c>
      <c r="X316" s="8" t="str">
        <f t="array" ref="X316">INDEX(Subject!$A:$I,MATCH(RANDBETWEEN(1,16),Subject!$B:$B,0),3)</f>
        <v>#N/A</v>
      </c>
      <c r="Y316" s="8" t="str">
        <f t="array" ref="Y316">INDEX(Subject!$A:$I,MATCH(RANDBETWEEN(1,16),Subject!$B:$B,0),3)</f>
        <v>#N/A</v>
      </c>
      <c r="Z316" s="8" t="str">
        <f t="array" ref="Z316">INDEX(Subject!$A:$I,MATCH(RANDBETWEEN(1,16),Subject!$B:$B,0),3)</f>
        <v>#N/A</v>
      </c>
      <c r="AA316" s="8" t="str">
        <f t="array" ref="AA316">INDEX(Subject!$A:$I,MATCH(RANDBETWEEN(1,16),Subject!$B:$B,0),3)</f>
        <v>#N/A</v>
      </c>
      <c r="AB316" s="8" t="str">
        <f t="array" ref="AB316">INDEX(Subject!$A:$I,MATCH(RANDBETWEEN(1,16),Subject!$B:$B,0),3)</f>
        <v/>
      </c>
      <c r="AC316" s="8" t="str">
        <f t="array" ref="AC316">INDEX(Subject!$A:$I,MATCH(RANDBETWEEN(1,16),Subject!$B:$B,0),3)</f>
        <v>#N/A</v>
      </c>
      <c r="AD316" s="8" t="str">
        <f t="array" ref="AD316">INDEX(Subject!$A:$I,MATCH(RANDBETWEEN(1,16),Subject!$B:$B,0),3)</f>
        <v>#N/A</v>
      </c>
      <c r="AE316" s="8" t="str">
        <f t="array" ref="AE316">INDEX(Subject!$A:$I,MATCH(RANDBETWEEN(1,16),Subject!$B:$B,0),3)</f>
        <v>#N/A</v>
      </c>
      <c r="AF316" s="8" t="str">
        <f t="array" ref="AF316">INDEX(Subject!$A:$I,MATCH(RANDBETWEEN(1,16),Subject!$B:$B,0),3)</f>
        <v>#N/A</v>
      </c>
      <c r="AG316" s="8" t="str">
        <f t="array" ref="AG316">INDEX(Subject!$A:$I,MATCH(RANDBETWEEN(1,16),Subject!$B:$B,0),3)</f>
        <v>#N/A</v>
      </c>
      <c r="AH316" s="8" t="str">
        <f t="array" ref="AH316">INDEX(Subject!$A:$I,MATCH(RANDBETWEEN(1,16),Subject!$B:$B,0),3)</f>
        <v>#N/A</v>
      </c>
      <c r="AI316" s="8" t="str">
        <f t="array" ref="AI316">INDEX(Subject!$A:$I,MATCH(RANDBETWEEN(1,16),Subject!$B:$B,0),3)</f>
        <v>#N/A</v>
      </c>
      <c r="AJ316" s="8" t="str">
        <f t="array" ref="AJ316">INDEX(Subject!$A:$I,MATCH(RANDBETWEEN(1,16),Subject!$B:$B,0),3)</f>
        <v>#N/A</v>
      </c>
      <c r="AK316" s="8" t="str">
        <f t="array" ref="AK316">INDEX(Subject!$A:$I,MATCH(RANDBETWEEN(1,16),Subject!$B:$B,0),3)</f>
        <v>#N/A</v>
      </c>
      <c r="AL316" s="8" t="str">
        <f t="array" ref="AL316">INDEX(Subject!$A:$I,MATCH(RANDBETWEEN(1,16),Subject!$B:$B,0),3)</f>
        <v>#N/A</v>
      </c>
      <c r="AM316" s="18">
        <f t="shared" si="4"/>
        <v>45816.33333</v>
      </c>
      <c r="AN316" s="19">
        <f t="shared" ref="AN316:BZ316" si="316">$A316+C$1</f>
        <v>45816.35417</v>
      </c>
      <c r="AO316" s="19">
        <f t="shared" si="316"/>
        <v>45816.375</v>
      </c>
      <c r="AP316" s="19">
        <f t="shared" si="316"/>
        <v>45816.39583</v>
      </c>
      <c r="AQ316" s="19">
        <f t="shared" si="316"/>
        <v>45816.41667</v>
      </c>
      <c r="AR316" s="19">
        <f t="shared" si="316"/>
        <v>45816.4375</v>
      </c>
      <c r="AS316" s="19">
        <f t="shared" si="316"/>
        <v>45816.45833</v>
      </c>
      <c r="AT316" s="19">
        <f t="shared" si="316"/>
        <v>45816.47917</v>
      </c>
      <c r="AU316" s="19">
        <f t="shared" si="316"/>
        <v>45816.5</v>
      </c>
      <c r="AV316" s="19">
        <f t="shared" si="316"/>
        <v>45816.52083</v>
      </c>
      <c r="AW316" s="19">
        <f t="shared" si="316"/>
        <v>45816.54167</v>
      </c>
      <c r="AX316" s="19">
        <f t="shared" si="316"/>
        <v>45816.5625</v>
      </c>
      <c r="AY316" s="19">
        <f t="shared" si="316"/>
        <v>45816.58333</v>
      </c>
      <c r="AZ316" s="19">
        <f t="shared" si="316"/>
        <v>45816.60417</v>
      </c>
      <c r="BA316" s="19">
        <f t="shared" si="316"/>
        <v>45816.625</v>
      </c>
      <c r="BB316" s="19">
        <f t="shared" si="316"/>
        <v>45816.64583</v>
      </c>
      <c r="BC316" s="19">
        <f t="shared" si="316"/>
        <v>45816.66667</v>
      </c>
      <c r="BD316" s="19">
        <f t="shared" si="316"/>
        <v>45816.6875</v>
      </c>
      <c r="BE316" s="19">
        <f t="shared" si="316"/>
        <v>45816.70833</v>
      </c>
      <c r="BF316" s="19">
        <f t="shared" si="316"/>
        <v>45816.72917</v>
      </c>
      <c r="BG316" s="19">
        <f t="shared" si="316"/>
        <v>45816.75</v>
      </c>
      <c r="BH316" s="19">
        <f t="shared" si="316"/>
        <v>45816.77083</v>
      </c>
      <c r="BI316" s="19">
        <f t="shared" si="316"/>
        <v>45816.79167</v>
      </c>
      <c r="BJ316" s="19">
        <f t="shared" si="316"/>
        <v>45816.8125</v>
      </c>
      <c r="BK316" s="19">
        <f t="shared" si="316"/>
        <v>45816.83333</v>
      </c>
      <c r="BL316" s="19">
        <f t="shared" si="316"/>
        <v>45816.85417</v>
      </c>
      <c r="BM316" s="19">
        <f t="shared" si="316"/>
        <v>45816.875</v>
      </c>
      <c r="BN316" s="19">
        <f t="shared" si="316"/>
        <v>45816.89583</v>
      </c>
      <c r="BO316" s="19">
        <f t="shared" si="316"/>
        <v>45816.91667</v>
      </c>
      <c r="BP316" s="19">
        <f t="shared" si="316"/>
        <v>45816.9375</v>
      </c>
      <c r="BQ316" s="19">
        <f t="shared" si="316"/>
        <v>45816.95833</v>
      </c>
      <c r="BR316" s="19">
        <f t="shared" si="316"/>
        <v>45816.97917</v>
      </c>
      <c r="BS316" s="19">
        <f t="shared" si="316"/>
        <v>45817</v>
      </c>
      <c r="BT316" s="19">
        <f t="shared" si="316"/>
        <v>45817.02083</v>
      </c>
      <c r="BU316" s="19">
        <f t="shared" si="316"/>
        <v>45817.04167</v>
      </c>
      <c r="BV316" s="19">
        <f t="shared" si="316"/>
        <v>45817.0625</v>
      </c>
      <c r="BW316" s="19">
        <f t="shared" si="316"/>
        <v>45817.08333</v>
      </c>
      <c r="BX316" s="19">
        <f t="shared" si="316"/>
        <v>45816</v>
      </c>
      <c r="BY316" s="19">
        <f t="shared" si="316"/>
        <v>45816</v>
      </c>
      <c r="BZ316" s="19">
        <f t="shared" si="316"/>
        <v>45816</v>
      </c>
    </row>
    <row r="317" ht="14.25" customHeight="1">
      <c r="A317" s="17">
        <v>45817.0</v>
      </c>
      <c r="B317" s="2" t="str">
        <f t="array" ref="B317">IF(NOW()&gt;AM317,"",IF(AND((WEEKDAY($A317)+$B$2)&gt;1,((WEEKDAY($A317)+$T$2)&lt;7),(WEEKDAY($A317)&lt;&gt;1)),"work",(INDEX(Subject!$A:$I,MATCH(RANDBETWEEN(1,(MAX(Subject!$B:$B))),Subject!$B:$B,0),3))))</f>
        <v/>
      </c>
      <c r="C317" s="2" t="str">
        <f t="array" ref="C317">IF(NOW()&gt;AN317,"",IF(AND((WEEKDAY($A317)+$B$2)&gt;1,((WEEKDAY($A317)+$T$2)&lt;7),(WEEKDAY($A317)&lt;&gt;1)),"work",(INDEX(Subject!$A:$I,MATCH(RANDBETWEEN(1,(MAX(Subject!$B:$B))),Subject!$B:$B,0),3))))</f>
        <v/>
      </c>
      <c r="D317" s="2" t="str">
        <f t="array" ref="D317">IF(NOW()&gt;AO317,"",IF(AND((WEEKDAY($A317)+$B$2)&gt;1,((WEEKDAY($A317)+$T$2)&lt;7),(WEEKDAY($A317)&lt;&gt;1)),"work",(INDEX(Subject!$A:$I,MATCH(RANDBETWEEN(1,(MAX(Subject!$B:$B))),Subject!$B:$B,0),3))))</f>
        <v/>
      </c>
      <c r="E317" s="2" t="str">
        <f t="array" ref="E317">IF(NOW()&gt;AP317,"",IF(AND((WEEKDAY($A317)+$B$2)&gt;1,((WEEKDAY($A317)+$T$2)&lt;7),(WEEKDAY($A317)&lt;&gt;1)),"work",(INDEX(Subject!$A:$I,MATCH(RANDBETWEEN(1,(MAX(Subject!$B:$B))),Subject!$B:$B,0),3))))</f>
        <v/>
      </c>
      <c r="F317" s="2" t="str">
        <f t="array" ref="F317">IF(NOW()&gt;AQ317,"",IF(AND((WEEKDAY($A317)+$B$2)&gt;1,((WEEKDAY($A317)+$T$2)&lt;7),(WEEKDAY($A317)&lt;&gt;1)),"work",(INDEX(Subject!$A:$I,MATCH(RANDBETWEEN(1,(MAX(Subject!$B:$B))),Subject!$B:$B,0),3))))</f>
        <v/>
      </c>
      <c r="G317" s="2" t="str">
        <f t="array" ref="G317">IF(NOW()&gt;AR317,"",IF(AND((WEEKDAY($A317)+$B$2)&gt;1,((WEEKDAY($A317)+$T$2)&lt;7),(WEEKDAY($A317)&lt;&gt;1)),"work",(INDEX(Subject!$A:$I,MATCH(RANDBETWEEN(1,(MAX(Subject!$B:$B))),Subject!$B:$B,0),3))))</f>
        <v/>
      </c>
      <c r="H317" s="2" t="str">
        <f t="array" ref="H317">IF(NOW()&gt;AS317,"",IF(AND((WEEKDAY($A317)+$B$2)&gt;1,((WEEKDAY($A317)+$T$2)&lt;7),(WEEKDAY($A317)&lt;&gt;1)),"work",(INDEX(Subject!$A:$I,MATCH(RANDBETWEEN(1,(MAX(Subject!$B:$B))),Subject!$B:$B,0),3))))</f>
        <v/>
      </c>
      <c r="I317" s="2" t="str">
        <f t="array" ref="I317">IF(NOW()&gt;AT317,"",IF(AND((WEEKDAY($A317)+$B$2)&gt;1,((WEEKDAY($A317)+$T$2)&lt;7),(WEEKDAY($A317)&lt;&gt;1)),"work",(INDEX(Subject!$A:$I,MATCH(RANDBETWEEN(1,(MAX(Subject!$B:$B))),Subject!$B:$B,0),3))))</f>
        <v/>
      </c>
      <c r="J317" s="2" t="str">
        <f t="array" ref="J317">IF(NOW()&gt;AU317,"",IF(AND((WEEKDAY($A317)+$B$2)&gt;1,((WEEKDAY($A317)+$T$2)&lt;7),(WEEKDAY($A317)&lt;&gt;1)),"work",(INDEX(Subject!$A:$I,MATCH(RANDBETWEEN(1,(MAX(Subject!$B:$B))),Subject!$B:$B,0),3))))</f>
        <v/>
      </c>
      <c r="K317" s="2" t="str">
        <f t="array" ref="K317">IF(NOW()&gt;AV317,"",IF(AND((WEEKDAY($A317)+$B$2)&gt;1,((WEEKDAY($A317)+$T$2)&lt;7),(WEEKDAY($A317)&lt;&gt;1)),"work",(INDEX(Subject!$A:$I,MATCH(RANDBETWEEN(1,(MAX(Subject!$B:$B))),Subject!$B:$B,0),3))))</f>
        <v/>
      </c>
      <c r="L317" s="2" t="str">
        <f t="array" ref="L317">IF(NOW()&gt;AW317,"",IF(AND((WEEKDAY($A317)+$B$2)&gt;1,((WEEKDAY($A317)+$T$2)&lt;7),(WEEKDAY($A317)&lt;&gt;1)),"work",(INDEX(Subject!$A:$I,MATCH(RANDBETWEEN(1,(MAX(Subject!$B:$B))),Subject!$B:$B,0),3))))</f>
        <v/>
      </c>
      <c r="M317" s="2" t="str">
        <f t="array" ref="M317">IF(NOW()&gt;AX317,"",IF(AND((WEEKDAY($A317)+$B$2)&gt;1,((WEEKDAY($A317)+$T$2)&lt;7),(WEEKDAY($A317)&lt;&gt;1)),"work",(INDEX(Subject!$A:$I,MATCH(RANDBETWEEN(1,(MAX(Subject!$B:$B))),Subject!$B:$B,0),3))))</f>
        <v/>
      </c>
      <c r="N317" s="2" t="str">
        <f t="array" ref="N317">IF(NOW()&gt;AY317,"",IF(AND((WEEKDAY($A317)+$B$2)&gt;1,((WEEKDAY($A317)+$T$2)&lt;7),(WEEKDAY($A317)&lt;&gt;1)),"work",(INDEX(Subject!$A:$I,MATCH(RANDBETWEEN(1,(MAX(Subject!$B:$B))),Subject!$B:$B,0),3))))</f>
        <v/>
      </c>
      <c r="O317" s="2" t="str">
        <f t="array" ref="O317">IF(NOW()&gt;AZ317,"",IF(AND((WEEKDAY($A317)+$B$2)&gt;1,((WEEKDAY($A317)+$T$2)&lt;7),(WEEKDAY($A317)&lt;&gt;1)),"work",(INDEX(Subject!$A:$I,MATCH(RANDBETWEEN(1,(MAX(Subject!$B:$B))),Subject!$B:$B,0),3))))</f>
        <v/>
      </c>
      <c r="P317" s="2" t="str">
        <f t="array" ref="P317">IF(NOW()&gt;BA317,"",IF(AND((WEEKDAY($A317)+$B$2)&gt;1,((WEEKDAY($A317)+$T$2)&lt;7),(WEEKDAY($A317)&lt;&gt;1)),"work",(INDEX(Subject!$A:$I,MATCH(RANDBETWEEN(1,(MAX(Subject!$B:$B))),Subject!$B:$B,0),3))))</f>
        <v/>
      </c>
      <c r="Q317" s="2" t="str">
        <f t="array" ref="Q317">IF(NOW()&gt;BB317,"",IF(AND((WEEKDAY($A317)+$B$2)&gt;1,((WEEKDAY($A317)+$T$2)&lt;7),(WEEKDAY($A317)&lt;&gt;1)),"work",(INDEX(Subject!$A:$I,MATCH(RANDBETWEEN(1,(MAX(Subject!$B:$B))),Subject!$B:$B,0),3))))</f>
        <v/>
      </c>
      <c r="R317" s="2" t="str">
        <f t="array" ref="R317">IF(NOW()&gt;BC317,"",IF(AND((WEEKDAY($A317)+$B$2)&gt;1,((WEEKDAY($A317)+$T$2)&lt;7),(WEEKDAY($A317)&lt;&gt;1)),"work",(INDEX(Subject!$A:$I,MATCH(RANDBETWEEN(1,(MAX(Subject!$B:$B))),Subject!$B:$B,0),3))))</f>
        <v/>
      </c>
      <c r="S317" s="2" t="str">
        <f t="array" ref="S317">IF(NOW()&gt;BD317,"",IF(AND((WEEKDAY($A317)+$B$2)&gt;1,((WEEKDAY($A317)+$T$2)&lt;7),(WEEKDAY($A317)&lt;&gt;1)),"work",(INDEX(Subject!$A:$I,MATCH(RANDBETWEEN(1,(MAX(Subject!$B:$B))),Subject!$B:$B,0),3))))</f>
        <v/>
      </c>
      <c r="T317" s="2" t="str">
        <f t="array" ref="T317">IF(NOW()&gt;BE317,"",IF(AND((WEEKDAY($A317)+$B$2)&gt;1,((WEEKDAY($A317)+$T$2)&lt;7),(WEEKDAY($A317)&lt;&gt;1)),"work",(INDEX(Subject!$A:$I,MATCH(RANDBETWEEN(1,(MAX(Subject!$B:$B))),Subject!$B:$B,0),3))))</f>
        <v/>
      </c>
      <c r="U317" s="8" t="str">
        <f t="array" ref="U317">INDEX(Subject!$A:$I,MATCH(RANDBETWEEN(1,16),Subject!$B:$B,0),3)</f>
        <v>#N/A</v>
      </c>
      <c r="V317" s="8" t="str">
        <f t="array" ref="V317">INDEX(Subject!$A:$I,MATCH(RANDBETWEEN(1,16),Subject!$B:$B,0),3)</f>
        <v>#N/A</v>
      </c>
      <c r="W317" s="8" t="str">
        <f t="array" ref="W317">INDEX(Subject!$A:$I,MATCH(RANDBETWEEN(1,16),Subject!$B:$B,0),3)</f>
        <v>#N/A</v>
      </c>
      <c r="X317" s="8" t="str">
        <f t="array" ref="X317">INDEX(Subject!$A:$I,MATCH(RANDBETWEEN(1,16),Subject!$B:$B,0),3)</f>
        <v>#N/A</v>
      </c>
      <c r="Y317" s="8" t="str">
        <f t="array" ref="Y317">INDEX(Subject!$A:$I,MATCH(RANDBETWEEN(1,16),Subject!$B:$B,0),3)</f>
        <v>#N/A</v>
      </c>
      <c r="Z317" s="8" t="str">
        <f t="array" ref="Z317">INDEX(Subject!$A:$I,MATCH(RANDBETWEEN(1,16),Subject!$B:$B,0),3)</f>
        <v>#N/A</v>
      </c>
      <c r="AA317" s="8" t="str">
        <f t="array" ref="AA317">INDEX(Subject!$A:$I,MATCH(RANDBETWEEN(1,16),Subject!$B:$B,0),3)</f>
        <v>#N/A</v>
      </c>
      <c r="AB317" s="8" t="str">
        <f t="array" ref="AB317">INDEX(Subject!$A:$I,MATCH(RANDBETWEEN(1,16),Subject!$B:$B,0),3)</f>
        <v>#N/A</v>
      </c>
      <c r="AC317" s="8" t="str">
        <f t="array" ref="AC317">INDEX(Subject!$A:$I,MATCH(RANDBETWEEN(1,16),Subject!$B:$B,0),3)</f>
        <v>#N/A</v>
      </c>
      <c r="AD317" s="8" t="str">
        <f t="array" ref="AD317">INDEX(Subject!$A:$I,MATCH(RANDBETWEEN(1,16),Subject!$B:$B,0),3)</f>
        <v>#N/A</v>
      </c>
      <c r="AE317" s="8" t="str">
        <f t="array" ref="AE317">INDEX(Subject!$A:$I,MATCH(RANDBETWEEN(1,16),Subject!$B:$B,0),3)</f>
        <v>#N/A</v>
      </c>
      <c r="AF317" s="8" t="str">
        <f t="array" ref="AF317">INDEX(Subject!$A:$I,MATCH(RANDBETWEEN(1,16),Subject!$B:$B,0),3)</f>
        <v/>
      </c>
      <c r="AG317" s="8" t="str">
        <f t="array" ref="AG317">INDEX(Subject!$A:$I,MATCH(RANDBETWEEN(1,16),Subject!$B:$B,0),3)</f>
        <v>#N/A</v>
      </c>
      <c r="AH317" s="8" t="str">
        <f t="array" ref="AH317">INDEX(Subject!$A:$I,MATCH(RANDBETWEEN(1,16),Subject!$B:$B,0),3)</f>
        <v>#N/A</v>
      </c>
      <c r="AI317" s="8" t="str">
        <f t="array" ref="AI317">INDEX(Subject!$A:$I,MATCH(RANDBETWEEN(1,16),Subject!$B:$B,0),3)</f>
        <v>#N/A</v>
      </c>
      <c r="AJ317" s="8" t="str">
        <f t="array" ref="AJ317">INDEX(Subject!$A:$I,MATCH(RANDBETWEEN(1,16),Subject!$B:$B,0),3)</f>
        <v>#N/A</v>
      </c>
      <c r="AK317" s="8" t="str">
        <f t="array" ref="AK317">INDEX(Subject!$A:$I,MATCH(RANDBETWEEN(1,16),Subject!$B:$B,0),3)</f>
        <v>#N/A</v>
      </c>
      <c r="AL317" s="8" t="str">
        <f t="array" ref="AL317">INDEX(Subject!$A:$I,MATCH(RANDBETWEEN(1,16),Subject!$B:$B,0),3)</f>
        <v>#N/A</v>
      </c>
      <c r="AM317" s="18">
        <f t="shared" si="4"/>
        <v>45817.33333</v>
      </c>
      <c r="AN317" s="19">
        <f t="shared" ref="AN317:BZ317" si="317">$A317+C$1</f>
        <v>45817.35417</v>
      </c>
      <c r="AO317" s="19">
        <f t="shared" si="317"/>
        <v>45817.375</v>
      </c>
      <c r="AP317" s="19">
        <f t="shared" si="317"/>
        <v>45817.39583</v>
      </c>
      <c r="AQ317" s="19">
        <f t="shared" si="317"/>
        <v>45817.41667</v>
      </c>
      <c r="AR317" s="19">
        <f t="shared" si="317"/>
        <v>45817.4375</v>
      </c>
      <c r="AS317" s="19">
        <f t="shared" si="317"/>
        <v>45817.45833</v>
      </c>
      <c r="AT317" s="19">
        <f t="shared" si="317"/>
        <v>45817.47917</v>
      </c>
      <c r="AU317" s="19">
        <f t="shared" si="317"/>
        <v>45817.5</v>
      </c>
      <c r="AV317" s="19">
        <f t="shared" si="317"/>
        <v>45817.52083</v>
      </c>
      <c r="AW317" s="19">
        <f t="shared" si="317"/>
        <v>45817.54167</v>
      </c>
      <c r="AX317" s="19">
        <f t="shared" si="317"/>
        <v>45817.5625</v>
      </c>
      <c r="AY317" s="19">
        <f t="shared" si="317"/>
        <v>45817.58333</v>
      </c>
      <c r="AZ317" s="19">
        <f t="shared" si="317"/>
        <v>45817.60417</v>
      </c>
      <c r="BA317" s="19">
        <f t="shared" si="317"/>
        <v>45817.625</v>
      </c>
      <c r="BB317" s="19">
        <f t="shared" si="317"/>
        <v>45817.64583</v>
      </c>
      <c r="BC317" s="19">
        <f t="shared" si="317"/>
        <v>45817.66667</v>
      </c>
      <c r="BD317" s="19">
        <f t="shared" si="317"/>
        <v>45817.6875</v>
      </c>
      <c r="BE317" s="19">
        <f t="shared" si="317"/>
        <v>45817.70833</v>
      </c>
      <c r="BF317" s="19">
        <f t="shared" si="317"/>
        <v>45817.72917</v>
      </c>
      <c r="BG317" s="19">
        <f t="shared" si="317"/>
        <v>45817.75</v>
      </c>
      <c r="BH317" s="19">
        <f t="shared" si="317"/>
        <v>45817.77083</v>
      </c>
      <c r="BI317" s="19">
        <f t="shared" si="317"/>
        <v>45817.79167</v>
      </c>
      <c r="BJ317" s="19">
        <f t="shared" si="317"/>
        <v>45817.8125</v>
      </c>
      <c r="BK317" s="19">
        <f t="shared" si="317"/>
        <v>45817.83333</v>
      </c>
      <c r="BL317" s="19">
        <f t="shared" si="317"/>
        <v>45817.85417</v>
      </c>
      <c r="BM317" s="19">
        <f t="shared" si="317"/>
        <v>45817.875</v>
      </c>
      <c r="BN317" s="19">
        <f t="shared" si="317"/>
        <v>45817.89583</v>
      </c>
      <c r="BO317" s="19">
        <f t="shared" si="317"/>
        <v>45817.91667</v>
      </c>
      <c r="BP317" s="19">
        <f t="shared" si="317"/>
        <v>45817.9375</v>
      </c>
      <c r="BQ317" s="19">
        <f t="shared" si="317"/>
        <v>45817.95833</v>
      </c>
      <c r="BR317" s="19">
        <f t="shared" si="317"/>
        <v>45817.97917</v>
      </c>
      <c r="BS317" s="19">
        <f t="shared" si="317"/>
        <v>45818</v>
      </c>
      <c r="BT317" s="19">
        <f t="shared" si="317"/>
        <v>45818.02083</v>
      </c>
      <c r="BU317" s="19">
        <f t="shared" si="317"/>
        <v>45818.04167</v>
      </c>
      <c r="BV317" s="19">
        <f t="shared" si="317"/>
        <v>45818.0625</v>
      </c>
      <c r="BW317" s="19">
        <f t="shared" si="317"/>
        <v>45818.08333</v>
      </c>
      <c r="BX317" s="19">
        <f t="shared" si="317"/>
        <v>45817</v>
      </c>
      <c r="BY317" s="19">
        <f t="shared" si="317"/>
        <v>45817</v>
      </c>
      <c r="BZ317" s="19">
        <f t="shared" si="317"/>
        <v>45817</v>
      </c>
    </row>
    <row r="318" ht="14.25" customHeight="1">
      <c r="A318" s="17">
        <v>45818.0</v>
      </c>
      <c r="B318" s="2" t="str">
        <f t="array" ref="B318">IF(NOW()&gt;AM318,"",IF(AND((WEEKDAY($A318)+$B$2)&gt;1,((WEEKDAY($A318)+$T$2)&lt;7),(WEEKDAY($A318)&lt;&gt;1)),"work",(INDEX(Subject!$A:$I,MATCH(RANDBETWEEN(1,(MAX(Subject!$B:$B))),Subject!$B:$B,0),3))))</f>
        <v/>
      </c>
      <c r="C318" s="2" t="str">
        <f t="array" ref="C318">IF(NOW()&gt;AN318,"",IF(AND((WEEKDAY($A318)+$B$2)&gt;1,((WEEKDAY($A318)+$T$2)&lt;7),(WEEKDAY($A318)&lt;&gt;1)),"work",(INDEX(Subject!$A:$I,MATCH(RANDBETWEEN(1,(MAX(Subject!$B:$B))),Subject!$B:$B,0),3))))</f>
        <v/>
      </c>
      <c r="D318" s="2" t="str">
        <f t="array" ref="D318">IF(NOW()&gt;AO318,"",IF(AND((WEEKDAY($A318)+$B$2)&gt;1,((WEEKDAY($A318)+$T$2)&lt;7),(WEEKDAY($A318)&lt;&gt;1)),"work",(INDEX(Subject!$A:$I,MATCH(RANDBETWEEN(1,(MAX(Subject!$B:$B))),Subject!$B:$B,0),3))))</f>
        <v/>
      </c>
      <c r="E318" s="2" t="str">
        <f t="array" ref="E318">IF(NOW()&gt;AP318,"",IF(AND((WEEKDAY($A318)+$B$2)&gt;1,((WEEKDAY($A318)+$T$2)&lt;7),(WEEKDAY($A318)&lt;&gt;1)),"work",(INDEX(Subject!$A:$I,MATCH(RANDBETWEEN(1,(MAX(Subject!$B:$B))),Subject!$B:$B,0),3))))</f>
        <v/>
      </c>
      <c r="F318" s="2" t="str">
        <f t="array" ref="F318">IF(NOW()&gt;AQ318,"",IF(AND((WEEKDAY($A318)+$B$2)&gt;1,((WEEKDAY($A318)+$T$2)&lt;7),(WEEKDAY($A318)&lt;&gt;1)),"work",(INDEX(Subject!$A:$I,MATCH(RANDBETWEEN(1,(MAX(Subject!$B:$B))),Subject!$B:$B,0),3))))</f>
        <v/>
      </c>
      <c r="G318" s="2" t="str">
        <f t="array" ref="G318">IF(NOW()&gt;AR318,"",IF(AND((WEEKDAY($A318)+$B$2)&gt;1,((WEEKDAY($A318)+$T$2)&lt;7),(WEEKDAY($A318)&lt;&gt;1)),"work",(INDEX(Subject!$A:$I,MATCH(RANDBETWEEN(1,(MAX(Subject!$B:$B))),Subject!$B:$B,0),3))))</f>
        <v/>
      </c>
      <c r="H318" s="2" t="str">
        <f t="array" ref="H318">IF(NOW()&gt;AS318,"",IF(AND((WEEKDAY($A318)+$B$2)&gt;1,((WEEKDAY($A318)+$T$2)&lt;7),(WEEKDAY($A318)&lt;&gt;1)),"work",(INDEX(Subject!$A:$I,MATCH(RANDBETWEEN(1,(MAX(Subject!$B:$B))),Subject!$B:$B,0),3))))</f>
        <v/>
      </c>
      <c r="I318" s="2" t="str">
        <f t="array" ref="I318">IF(NOW()&gt;AT318,"",IF(AND((WEEKDAY($A318)+$B$2)&gt;1,((WEEKDAY($A318)+$T$2)&lt;7),(WEEKDAY($A318)&lt;&gt;1)),"work",(INDEX(Subject!$A:$I,MATCH(RANDBETWEEN(1,(MAX(Subject!$B:$B))),Subject!$B:$B,0),3))))</f>
        <v/>
      </c>
      <c r="J318" s="2" t="str">
        <f t="array" ref="J318">IF(NOW()&gt;AU318,"",IF(AND((WEEKDAY($A318)+$B$2)&gt;1,((WEEKDAY($A318)+$T$2)&lt;7),(WEEKDAY($A318)&lt;&gt;1)),"work",(INDEX(Subject!$A:$I,MATCH(RANDBETWEEN(1,(MAX(Subject!$B:$B))),Subject!$B:$B,0),3))))</f>
        <v/>
      </c>
      <c r="K318" s="2" t="str">
        <f t="array" ref="K318">IF(NOW()&gt;AV318,"",IF(AND((WEEKDAY($A318)+$B$2)&gt;1,((WEEKDAY($A318)+$T$2)&lt;7),(WEEKDAY($A318)&lt;&gt;1)),"work",(INDEX(Subject!$A:$I,MATCH(RANDBETWEEN(1,(MAX(Subject!$B:$B))),Subject!$B:$B,0),3))))</f>
        <v/>
      </c>
      <c r="L318" s="2" t="str">
        <f t="array" ref="L318">IF(NOW()&gt;AW318,"",IF(AND((WEEKDAY($A318)+$B$2)&gt;1,((WEEKDAY($A318)+$T$2)&lt;7),(WEEKDAY($A318)&lt;&gt;1)),"work",(INDEX(Subject!$A:$I,MATCH(RANDBETWEEN(1,(MAX(Subject!$B:$B))),Subject!$B:$B,0),3))))</f>
        <v/>
      </c>
      <c r="M318" s="2" t="str">
        <f t="array" ref="M318">IF(NOW()&gt;AX318,"",IF(AND((WEEKDAY($A318)+$B$2)&gt;1,((WEEKDAY($A318)+$T$2)&lt;7),(WEEKDAY($A318)&lt;&gt;1)),"work",(INDEX(Subject!$A:$I,MATCH(RANDBETWEEN(1,(MAX(Subject!$B:$B))),Subject!$B:$B,0),3))))</f>
        <v/>
      </c>
      <c r="N318" s="2" t="str">
        <f t="array" ref="N318">IF(NOW()&gt;AY318,"",IF(AND((WEEKDAY($A318)+$B$2)&gt;1,((WEEKDAY($A318)+$T$2)&lt;7),(WEEKDAY($A318)&lt;&gt;1)),"work",(INDEX(Subject!$A:$I,MATCH(RANDBETWEEN(1,(MAX(Subject!$B:$B))),Subject!$B:$B,0),3))))</f>
        <v/>
      </c>
      <c r="O318" s="2" t="str">
        <f t="array" ref="O318">IF(NOW()&gt;AZ318,"",IF(AND((WEEKDAY($A318)+$B$2)&gt;1,((WEEKDAY($A318)+$T$2)&lt;7),(WEEKDAY($A318)&lt;&gt;1)),"work",(INDEX(Subject!$A:$I,MATCH(RANDBETWEEN(1,(MAX(Subject!$B:$B))),Subject!$B:$B,0),3))))</f>
        <v/>
      </c>
      <c r="P318" s="2" t="str">
        <f t="array" ref="P318">IF(NOW()&gt;BA318,"",IF(AND((WEEKDAY($A318)+$B$2)&gt;1,((WEEKDAY($A318)+$T$2)&lt;7),(WEEKDAY($A318)&lt;&gt;1)),"work",(INDEX(Subject!$A:$I,MATCH(RANDBETWEEN(1,(MAX(Subject!$B:$B))),Subject!$B:$B,0),3))))</f>
        <v/>
      </c>
      <c r="Q318" s="2" t="str">
        <f t="array" ref="Q318">IF(NOW()&gt;BB318,"",IF(AND((WEEKDAY($A318)+$B$2)&gt;1,((WEEKDAY($A318)+$T$2)&lt;7),(WEEKDAY($A318)&lt;&gt;1)),"work",(INDEX(Subject!$A:$I,MATCH(RANDBETWEEN(1,(MAX(Subject!$B:$B))),Subject!$B:$B,0),3))))</f>
        <v/>
      </c>
      <c r="R318" s="2" t="str">
        <f t="array" ref="R318">IF(NOW()&gt;BC318,"",IF(AND((WEEKDAY($A318)+$B$2)&gt;1,((WEEKDAY($A318)+$T$2)&lt;7),(WEEKDAY($A318)&lt;&gt;1)),"work",(INDEX(Subject!$A:$I,MATCH(RANDBETWEEN(1,(MAX(Subject!$B:$B))),Subject!$B:$B,0),3))))</f>
        <v/>
      </c>
      <c r="S318" s="2" t="str">
        <f t="array" ref="S318">IF(NOW()&gt;BD318,"",IF(AND((WEEKDAY($A318)+$B$2)&gt;1,((WEEKDAY($A318)+$T$2)&lt;7),(WEEKDAY($A318)&lt;&gt;1)),"work",(INDEX(Subject!$A:$I,MATCH(RANDBETWEEN(1,(MAX(Subject!$B:$B))),Subject!$B:$B,0),3))))</f>
        <v/>
      </c>
      <c r="T318" s="2" t="str">
        <f t="array" ref="T318">IF(NOW()&gt;BE318,"",IF(AND((WEEKDAY($A318)+$B$2)&gt;1,((WEEKDAY($A318)+$T$2)&lt;7),(WEEKDAY($A318)&lt;&gt;1)),"work",(INDEX(Subject!$A:$I,MATCH(RANDBETWEEN(1,(MAX(Subject!$B:$B))),Subject!$B:$B,0),3))))</f>
        <v/>
      </c>
      <c r="U318" s="8" t="str">
        <f t="array" ref="U318">INDEX(Subject!$A:$I,MATCH(RANDBETWEEN(1,16),Subject!$B:$B,0),3)</f>
        <v>#N/A</v>
      </c>
      <c r="V318" s="8" t="str">
        <f t="array" ref="V318">INDEX(Subject!$A:$I,MATCH(RANDBETWEEN(1,16),Subject!$B:$B,0),3)</f>
        <v/>
      </c>
      <c r="W318" s="8" t="str">
        <f t="array" ref="W318">INDEX(Subject!$A:$I,MATCH(RANDBETWEEN(1,16),Subject!$B:$B,0),3)</f>
        <v>#N/A</v>
      </c>
      <c r="X318" s="8" t="str">
        <f t="array" ref="X318">INDEX(Subject!$A:$I,MATCH(RANDBETWEEN(1,16),Subject!$B:$B,0),3)</f>
        <v>#N/A</v>
      </c>
      <c r="Y318" s="8" t="str">
        <f t="array" ref="Y318">INDEX(Subject!$A:$I,MATCH(RANDBETWEEN(1,16),Subject!$B:$B,0),3)</f>
        <v>#N/A</v>
      </c>
      <c r="Z318" s="8" t="str">
        <f t="array" ref="Z318">INDEX(Subject!$A:$I,MATCH(RANDBETWEEN(1,16),Subject!$B:$B,0),3)</f>
        <v>#N/A</v>
      </c>
      <c r="AA318" s="8" t="str">
        <f t="array" ref="AA318">INDEX(Subject!$A:$I,MATCH(RANDBETWEEN(1,16),Subject!$B:$B,0),3)</f>
        <v>#N/A</v>
      </c>
      <c r="AB318" s="8" t="str">
        <f t="array" ref="AB318">INDEX(Subject!$A:$I,MATCH(RANDBETWEEN(1,16),Subject!$B:$B,0),3)</f>
        <v>#N/A</v>
      </c>
      <c r="AC318" s="8" t="str">
        <f t="array" ref="AC318">INDEX(Subject!$A:$I,MATCH(RANDBETWEEN(1,16),Subject!$B:$B,0),3)</f>
        <v>#N/A</v>
      </c>
      <c r="AD318" s="8" t="str">
        <f t="array" ref="AD318">INDEX(Subject!$A:$I,MATCH(RANDBETWEEN(1,16),Subject!$B:$B,0),3)</f>
        <v>#N/A</v>
      </c>
      <c r="AE318" s="8" t="str">
        <f t="array" ref="AE318">INDEX(Subject!$A:$I,MATCH(RANDBETWEEN(1,16),Subject!$B:$B,0),3)</f>
        <v>#N/A</v>
      </c>
      <c r="AF318" s="8" t="str">
        <f t="array" ref="AF318">INDEX(Subject!$A:$I,MATCH(RANDBETWEEN(1,16),Subject!$B:$B,0),3)</f>
        <v>#N/A</v>
      </c>
      <c r="AG318" s="8" t="str">
        <f t="array" ref="AG318">INDEX(Subject!$A:$I,MATCH(RANDBETWEEN(1,16),Subject!$B:$B,0),3)</f>
        <v>#N/A</v>
      </c>
      <c r="AH318" s="8" t="str">
        <f t="array" ref="AH318">INDEX(Subject!$A:$I,MATCH(RANDBETWEEN(1,16),Subject!$B:$B,0),3)</f>
        <v>#N/A</v>
      </c>
      <c r="AI318" s="8" t="str">
        <f t="array" ref="AI318">INDEX(Subject!$A:$I,MATCH(RANDBETWEEN(1,16),Subject!$B:$B,0),3)</f>
        <v>#N/A</v>
      </c>
      <c r="AJ318" s="8" t="str">
        <f t="array" ref="AJ318">INDEX(Subject!$A:$I,MATCH(RANDBETWEEN(1,16),Subject!$B:$B,0),3)</f>
        <v>#N/A</v>
      </c>
      <c r="AK318" s="8" t="str">
        <f t="array" ref="AK318">INDEX(Subject!$A:$I,MATCH(RANDBETWEEN(1,16),Subject!$B:$B,0),3)</f>
        <v/>
      </c>
      <c r="AL318" s="8" t="str">
        <f t="array" ref="AL318">INDEX(Subject!$A:$I,MATCH(RANDBETWEEN(1,16),Subject!$B:$B,0),3)</f>
        <v>#N/A</v>
      </c>
      <c r="AM318" s="18">
        <f t="shared" si="4"/>
        <v>45818.33333</v>
      </c>
      <c r="AN318" s="19">
        <f t="shared" ref="AN318:BZ318" si="318">$A318+C$1</f>
        <v>45818.35417</v>
      </c>
      <c r="AO318" s="19">
        <f t="shared" si="318"/>
        <v>45818.375</v>
      </c>
      <c r="AP318" s="19">
        <f t="shared" si="318"/>
        <v>45818.39583</v>
      </c>
      <c r="AQ318" s="19">
        <f t="shared" si="318"/>
        <v>45818.41667</v>
      </c>
      <c r="AR318" s="19">
        <f t="shared" si="318"/>
        <v>45818.4375</v>
      </c>
      <c r="AS318" s="19">
        <f t="shared" si="318"/>
        <v>45818.45833</v>
      </c>
      <c r="AT318" s="19">
        <f t="shared" si="318"/>
        <v>45818.47917</v>
      </c>
      <c r="AU318" s="19">
        <f t="shared" si="318"/>
        <v>45818.5</v>
      </c>
      <c r="AV318" s="19">
        <f t="shared" si="318"/>
        <v>45818.52083</v>
      </c>
      <c r="AW318" s="19">
        <f t="shared" si="318"/>
        <v>45818.54167</v>
      </c>
      <c r="AX318" s="19">
        <f t="shared" si="318"/>
        <v>45818.5625</v>
      </c>
      <c r="AY318" s="19">
        <f t="shared" si="318"/>
        <v>45818.58333</v>
      </c>
      <c r="AZ318" s="19">
        <f t="shared" si="318"/>
        <v>45818.60417</v>
      </c>
      <c r="BA318" s="19">
        <f t="shared" si="318"/>
        <v>45818.625</v>
      </c>
      <c r="BB318" s="19">
        <f t="shared" si="318"/>
        <v>45818.64583</v>
      </c>
      <c r="BC318" s="19">
        <f t="shared" si="318"/>
        <v>45818.66667</v>
      </c>
      <c r="BD318" s="19">
        <f t="shared" si="318"/>
        <v>45818.6875</v>
      </c>
      <c r="BE318" s="19">
        <f t="shared" si="318"/>
        <v>45818.70833</v>
      </c>
      <c r="BF318" s="19">
        <f t="shared" si="318"/>
        <v>45818.72917</v>
      </c>
      <c r="BG318" s="19">
        <f t="shared" si="318"/>
        <v>45818.75</v>
      </c>
      <c r="BH318" s="19">
        <f t="shared" si="318"/>
        <v>45818.77083</v>
      </c>
      <c r="BI318" s="19">
        <f t="shared" si="318"/>
        <v>45818.79167</v>
      </c>
      <c r="BJ318" s="19">
        <f t="shared" si="318"/>
        <v>45818.8125</v>
      </c>
      <c r="BK318" s="19">
        <f t="shared" si="318"/>
        <v>45818.83333</v>
      </c>
      <c r="BL318" s="19">
        <f t="shared" si="318"/>
        <v>45818.85417</v>
      </c>
      <c r="BM318" s="19">
        <f t="shared" si="318"/>
        <v>45818.875</v>
      </c>
      <c r="BN318" s="19">
        <f t="shared" si="318"/>
        <v>45818.89583</v>
      </c>
      <c r="BO318" s="19">
        <f t="shared" si="318"/>
        <v>45818.91667</v>
      </c>
      <c r="BP318" s="19">
        <f t="shared" si="318"/>
        <v>45818.9375</v>
      </c>
      <c r="BQ318" s="19">
        <f t="shared" si="318"/>
        <v>45818.95833</v>
      </c>
      <c r="BR318" s="19">
        <f t="shared" si="318"/>
        <v>45818.97917</v>
      </c>
      <c r="BS318" s="19">
        <f t="shared" si="318"/>
        <v>45819</v>
      </c>
      <c r="BT318" s="19">
        <f t="shared" si="318"/>
        <v>45819.02083</v>
      </c>
      <c r="BU318" s="19">
        <f t="shared" si="318"/>
        <v>45819.04167</v>
      </c>
      <c r="BV318" s="19">
        <f t="shared" si="318"/>
        <v>45819.0625</v>
      </c>
      <c r="BW318" s="19">
        <f t="shared" si="318"/>
        <v>45819.08333</v>
      </c>
      <c r="BX318" s="19">
        <f t="shared" si="318"/>
        <v>45818</v>
      </c>
      <c r="BY318" s="19">
        <f t="shared" si="318"/>
        <v>45818</v>
      </c>
      <c r="BZ318" s="19">
        <f t="shared" si="318"/>
        <v>45818</v>
      </c>
    </row>
    <row r="319" ht="14.25" customHeight="1">
      <c r="A319" s="17">
        <v>45819.0</v>
      </c>
      <c r="B319" s="2" t="str">
        <f t="array" ref="B319">IF(NOW()&gt;AM319,"",IF(AND((WEEKDAY($A319)+$B$2)&gt;1,((WEEKDAY($A319)+$T$2)&lt;7),(WEEKDAY($A319)&lt;&gt;1)),"work",(INDEX(Subject!$A:$I,MATCH(RANDBETWEEN(1,(MAX(Subject!$B:$B))),Subject!$B:$B,0),3))))</f>
        <v/>
      </c>
      <c r="C319" s="2" t="str">
        <f t="array" ref="C319">IF(NOW()&gt;AN319,"",IF(AND((WEEKDAY($A319)+$B$2)&gt;1,((WEEKDAY($A319)+$T$2)&lt;7),(WEEKDAY($A319)&lt;&gt;1)),"work",(INDEX(Subject!$A:$I,MATCH(RANDBETWEEN(1,(MAX(Subject!$B:$B))),Subject!$B:$B,0),3))))</f>
        <v/>
      </c>
      <c r="D319" s="2" t="str">
        <f t="array" ref="D319">IF(NOW()&gt;AO319,"",IF(AND((WEEKDAY($A319)+$B$2)&gt;1,((WEEKDAY($A319)+$T$2)&lt;7),(WEEKDAY($A319)&lt;&gt;1)),"work",(INDEX(Subject!$A:$I,MATCH(RANDBETWEEN(1,(MAX(Subject!$B:$B))),Subject!$B:$B,0),3))))</f>
        <v/>
      </c>
      <c r="E319" s="2" t="str">
        <f t="array" ref="E319">IF(NOW()&gt;AP319,"",IF(AND((WEEKDAY($A319)+$B$2)&gt;1,((WEEKDAY($A319)+$T$2)&lt;7),(WEEKDAY($A319)&lt;&gt;1)),"work",(INDEX(Subject!$A:$I,MATCH(RANDBETWEEN(1,(MAX(Subject!$B:$B))),Subject!$B:$B,0),3))))</f>
        <v/>
      </c>
      <c r="F319" s="2" t="str">
        <f t="array" ref="F319">IF(NOW()&gt;AQ319,"",IF(AND((WEEKDAY($A319)+$B$2)&gt;1,((WEEKDAY($A319)+$T$2)&lt;7),(WEEKDAY($A319)&lt;&gt;1)),"work",(INDEX(Subject!$A:$I,MATCH(RANDBETWEEN(1,(MAX(Subject!$B:$B))),Subject!$B:$B,0),3))))</f>
        <v/>
      </c>
      <c r="G319" s="2" t="str">
        <f t="array" ref="G319">IF(NOW()&gt;AR319,"",IF(AND((WEEKDAY($A319)+$B$2)&gt;1,((WEEKDAY($A319)+$T$2)&lt;7),(WEEKDAY($A319)&lt;&gt;1)),"work",(INDEX(Subject!$A:$I,MATCH(RANDBETWEEN(1,(MAX(Subject!$B:$B))),Subject!$B:$B,0),3))))</f>
        <v/>
      </c>
      <c r="H319" s="2" t="str">
        <f t="array" ref="H319">IF(NOW()&gt;AS319,"",IF(AND((WEEKDAY($A319)+$B$2)&gt;1,((WEEKDAY($A319)+$T$2)&lt;7),(WEEKDAY($A319)&lt;&gt;1)),"work",(INDEX(Subject!$A:$I,MATCH(RANDBETWEEN(1,(MAX(Subject!$B:$B))),Subject!$B:$B,0),3))))</f>
        <v/>
      </c>
      <c r="I319" s="2" t="str">
        <f t="array" ref="I319">IF(NOW()&gt;AT319,"",IF(AND((WEEKDAY($A319)+$B$2)&gt;1,((WEEKDAY($A319)+$T$2)&lt;7),(WEEKDAY($A319)&lt;&gt;1)),"work",(INDEX(Subject!$A:$I,MATCH(RANDBETWEEN(1,(MAX(Subject!$B:$B))),Subject!$B:$B,0),3))))</f>
        <v/>
      </c>
      <c r="J319" s="2" t="str">
        <f t="array" ref="J319">IF(NOW()&gt;AU319,"",IF(AND((WEEKDAY($A319)+$B$2)&gt;1,((WEEKDAY($A319)+$T$2)&lt;7),(WEEKDAY($A319)&lt;&gt;1)),"work",(INDEX(Subject!$A:$I,MATCH(RANDBETWEEN(1,(MAX(Subject!$B:$B))),Subject!$B:$B,0),3))))</f>
        <v/>
      </c>
      <c r="K319" s="2" t="str">
        <f t="array" ref="K319">IF(NOW()&gt;AV319,"",IF(AND((WEEKDAY($A319)+$B$2)&gt;1,((WEEKDAY($A319)+$T$2)&lt;7),(WEEKDAY($A319)&lt;&gt;1)),"work",(INDEX(Subject!$A:$I,MATCH(RANDBETWEEN(1,(MAX(Subject!$B:$B))),Subject!$B:$B,0),3))))</f>
        <v/>
      </c>
      <c r="L319" s="2" t="str">
        <f t="array" ref="L319">IF(NOW()&gt;AW319,"",IF(AND((WEEKDAY($A319)+$B$2)&gt;1,((WEEKDAY($A319)+$T$2)&lt;7),(WEEKDAY($A319)&lt;&gt;1)),"work",(INDEX(Subject!$A:$I,MATCH(RANDBETWEEN(1,(MAX(Subject!$B:$B))),Subject!$B:$B,0),3))))</f>
        <v/>
      </c>
      <c r="M319" s="2" t="str">
        <f t="array" ref="M319">IF(NOW()&gt;AX319,"",IF(AND((WEEKDAY($A319)+$B$2)&gt;1,((WEEKDAY($A319)+$T$2)&lt;7),(WEEKDAY($A319)&lt;&gt;1)),"work",(INDEX(Subject!$A:$I,MATCH(RANDBETWEEN(1,(MAX(Subject!$B:$B))),Subject!$B:$B,0),3))))</f>
        <v/>
      </c>
      <c r="N319" s="2" t="str">
        <f t="array" ref="N319">IF(NOW()&gt;AY319,"",IF(AND((WEEKDAY($A319)+$B$2)&gt;1,((WEEKDAY($A319)+$T$2)&lt;7),(WEEKDAY($A319)&lt;&gt;1)),"work",(INDEX(Subject!$A:$I,MATCH(RANDBETWEEN(1,(MAX(Subject!$B:$B))),Subject!$B:$B,0),3))))</f>
        <v/>
      </c>
      <c r="O319" s="2" t="str">
        <f t="array" ref="O319">IF(NOW()&gt;AZ319,"",IF(AND((WEEKDAY($A319)+$B$2)&gt;1,((WEEKDAY($A319)+$T$2)&lt;7),(WEEKDAY($A319)&lt;&gt;1)),"work",(INDEX(Subject!$A:$I,MATCH(RANDBETWEEN(1,(MAX(Subject!$B:$B))),Subject!$B:$B,0),3))))</f>
        <v/>
      </c>
      <c r="P319" s="2" t="str">
        <f t="array" ref="P319">IF(NOW()&gt;BA319,"",IF(AND((WEEKDAY($A319)+$B$2)&gt;1,((WEEKDAY($A319)+$T$2)&lt;7),(WEEKDAY($A319)&lt;&gt;1)),"work",(INDEX(Subject!$A:$I,MATCH(RANDBETWEEN(1,(MAX(Subject!$B:$B))),Subject!$B:$B,0),3))))</f>
        <v/>
      </c>
      <c r="Q319" s="2" t="str">
        <f t="array" ref="Q319">IF(NOW()&gt;BB319,"",IF(AND((WEEKDAY($A319)+$B$2)&gt;1,((WEEKDAY($A319)+$T$2)&lt;7),(WEEKDAY($A319)&lt;&gt;1)),"work",(INDEX(Subject!$A:$I,MATCH(RANDBETWEEN(1,(MAX(Subject!$B:$B))),Subject!$B:$B,0),3))))</f>
        <v/>
      </c>
      <c r="R319" s="2" t="str">
        <f t="array" ref="R319">IF(NOW()&gt;BC319,"",IF(AND((WEEKDAY($A319)+$B$2)&gt;1,((WEEKDAY($A319)+$T$2)&lt;7),(WEEKDAY($A319)&lt;&gt;1)),"work",(INDEX(Subject!$A:$I,MATCH(RANDBETWEEN(1,(MAX(Subject!$B:$B))),Subject!$B:$B,0),3))))</f>
        <v/>
      </c>
      <c r="S319" s="2" t="str">
        <f t="array" ref="S319">IF(NOW()&gt;BD319,"",IF(AND((WEEKDAY($A319)+$B$2)&gt;1,((WEEKDAY($A319)+$T$2)&lt;7),(WEEKDAY($A319)&lt;&gt;1)),"work",(INDEX(Subject!$A:$I,MATCH(RANDBETWEEN(1,(MAX(Subject!$B:$B))),Subject!$B:$B,0),3))))</f>
        <v/>
      </c>
      <c r="T319" s="2" t="str">
        <f t="array" ref="T319">IF(NOW()&gt;BE319,"",IF(AND((WEEKDAY($A319)+$B$2)&gt;1,((WEEKDAY($A319)+$T$2)&lt;7),(WEEKDAY($A319)&lt;&gt;1)),"work",(INDEX(Subject!$A:$I,MATCH(RANDBETWEEN(1,(MAX(Subject!$B:$B))),Subject!$B:$B,0),3))))</f>
        <v/>
      </c>
      <c r="U319" s="8" t="str">
        <f t="array" ref="U319">INDEX(Subject!$A:$I,MATCH(RANDBETWEEN(1,16),Subject!$B:$B,0),3)</f>
        <v/>
      </c>
      <c r="V319" s="8" t="str">
        <f t="array" ref="V319">INDEX(Subject!$A:$I,MATCH(RANDBETWEEN(1,16),Subject!$B:$B,0),3)</f>
        <v>#N/A</v>
      </c>
      <c r="W319" s="8" t="str">
        <f t="array" ref="W319">INDEX(Subject!$A:$I,MATCH(RANDBETWEEN(1,16),Subject!$B:$B,0),3)</f>
        <v>#N/A</v>
      </c>
      <c r="X319" s="8" t="str">
        <f t="array" ref="X319">INDEX(Subject!$A:$I,MATCH(RANDBETWEEN(1,16),Subject!$B:$B,0),3)</f>
        <v>#N/A</v>
      </c>
      <c r="Y319" s="8" t="str">
        <f t="array" ref="Y319">INDEX(Subject!$A:$I,MATCH(RANDBETWEEN(1,16),Subject!$B:$B,0),3)</f>
        <v>#N/A</v>
      </c>
      <c r="Z319" s="8" t="str">
        <f t="array" ref="Z319">INDEX(Subject!$A:$I,MATCH(RANDBETWEEN(1,16),Subject!$B:$B,0),3)</f>
        <v/>
      </c>
      <c r="AA319" s="8" t="str">
        <f t="array" ref="AA319">INDEX(Subject!$A:$I,MATCH(RANDBETWEEN(1,16),Subject!$B:$B,0),3)</f>
        <v>#N/A</v>
      </c>
      <c r="AB319" s="8" t="str">
        <f t="array" ref="AB319">INDEX(Subject!$A:$I,MATCH(RANDBETWEEN(1,16),Subject!$B:$B,0),3)</f>
        <v>#N/A</v>
      </c>
      <c r="AC319" s="8" t="str">
        <f t="array" ref="AC319">INDEX(Subject!$A:$I,MATCH(RANDBETWEEN(1,16),Subject!$B:$B,0),3)</f>
        <v>#N/A</v>
      </c>
      <c r="AD319" s="8" t="str">
        <f t="array" ref="AD319">INDEX(Subject!$A:$I,MATCH(RANDBETWEEN(1,16),Subject!$B:$B,0),3)</f>
        <v>#N/A</v>
      </c>
      <c r="AE319" s="8" t="str">
        <f t="array" ref="AE319">INDEX(Subject!$A:$I,MATCH(RANDBETWEEN(1,16),Subject!$B:$B,0),3)</f>
        <v>#N/A</v>
      </c>
      <c r="AF319" s="8" t="str">
        <f t="array" ref="AF319">INDEX(Subject!$A:$I,MATCH(RANDBETWEEN(1,16),Subject!$B:$B,0),3)</f>
        <v>#N/A</v>
      </c>
      <c r="AG319" s="8" t="str">
        <f t="array" ref="AG319">INDEX(Subject!$A:$I,MATCH(RANDBETWEEN(1,16),Subject!$B:$B,0),3)</f>
        <v/>
      </c>
      <c r="AH319" s="8" t="str">
        <f t="array" ref="AH319">INDEX(Subject!$A:$I,MATCH(RANDBETWEEN(1,16),Subject!$B:$B,0),3)</f>
        <v>#N/A</v>
      </c>
      <c r="AI319" s="8" t="str">
        <f t="array" ref="AI319">INDEX(Subject!$A:$I,MATCH(RANDBETWEEN(1,16),Subject!$B:$B,0),3)</f>
        <v>#N/A</v>
      </c>
      <c r="AJ319" s="8" t="str">
        <f t="array" ref="AJ319">INDEX(Subject!$A:$I,MATCH(RANDBETWEEN(1,16),Subject!$B:$B,0),3)</f>
        <v>#N/A</v>
      </c>
      <c r="AK319" s="8" t="str">
        <f t="array" ref="AK319">INDEX(Subject!$A:$I,MATCH(RANDBETWEEN(1,16),Subject!$B:$B,0),3)</f>
        <v>#N/A</v>
      </c>
      <c r="AL319" s="8" t="str">
        <f t="array" ref="AL319">INDEX(Subject!$A:$I,MATCH(RANDBETWEEN(1,16),Subject!$B:$B,0),3)</f>
        <v>#N/A</v>
      </c>
      <c r="AM319" s="18">
        <f t="shared" si="4"/>
        <v>45819.33333</v>
      </c>
      <c r="AN319" s="19">
        <f t="shared" ref="AN319:BZ319" si="319">$A319+C$1</f>
        <v>45819.35417</v>
      </c>
      <c r="AO319" s="19">
        <f t="shared" si="319"/>
        <v>45819.375</v>
      </c>
      <c r="AP319" s="19">
        <f t="shared" si="319"/>
        <v>45819.39583</v>
      </c>
      <c r="AQ319" s="19">
        <f t="shared" si="319"/>
        <v>45819.41667</v>
      </c>
      <c r="AR319" s="19">
        <f t="shared" si="319"/>
        <v>45819.4375</v>
      </c>
      <c r="AS319" s="19">
        <f t="shared" si="319"/>
        <v>45819.45833</v>
      </c>
      <c r="AT319" s="19">
        <f t="shared" si="319"/>
        <v>45819.47917</v>
      </c>
      <c r="AU319" s="19">
        <f t="shared" si="319"/>
        <v>45819.5</v>
      </c>
      <c r="AV319" s="19">
        <f t="shared" si="319"/>
        <v>45819.52083</v>
      </c>
      <c r="AW319" s="19">
        <f t="shared" si="319"/>
        <v>45819.54167</v>
      </c>
      <c r="AX319" s="19">
        <f t="shared" si="319"/>
        <v>45819.5625</v>
      </c>
      <c r="AY319" s="19">
        <f t="shared" si="319"/>
        <v>45819.58333</v>
      </c>
      <c r="AZ319" s="19">
        <f t="shared" si="319"/>
        <v>45819.60417</v>
      </c>
      <c r="BA319" s="19">
        <f t="shared" si="319"/>
        <v>45819.625</v>
      </c>
      <c r="BB319" s="19">
        <f t="shared" si="319"/>
        <v>45819.64583</v>
      </c>
      <c r="BC319" s="19">
        <f t="shared" si="319"/>
        <v>45819.66667</v>
      </c>
      <c r="BD319" s="19">
        <f t="shared" si="319"/>
        <v>45819.6875</v>
      </c>
      <c r="BE319" s="19">
        <f t="shared" si="319"/>
        <v>45819.70833</v>
      </c>
      <c r="BF319" s="19">
        <f t="shared" si="319"/>
        <v>45819.72917</v>
      </c>
      <c r="BG319" s="19">
        <f t="shared" si="319"/>
        <v>45819.75</v>
      </c>
      <c r="BH319" s="19">
        <f t="shared" si="319"/>
        <v>45819.77083</v>
      </c>
      <c r="BI319" s="19">
        <f t="shared" si="319"/>
        <v>45819.79167</v>
      </c>
      <c r="BJ319" s="19">
        <f t="shared" si="319"/>
        <v>45819.8125</v>
      </c>
      <c r="BK319" s="19">
        <f t="shared" si="319"/>
        <v>45819.83333</v>
      </c>
      <c r="BL319" s="19">
        <f t="shared" si="319"/>
        <v>45819.85417</v>
      </c>
      <c r="BM319" s="19">
        <f t="shared" si="319"/>
        <v>45819.875</v>
      </c>
      <c r="BN319" s="19">
        <f t="shared" si="319"/>
        <v>45819.89583</v>
      </c>
      <c r="BO319" s="19">
        <f t="shared" si="319"/>
        <v>45819.91667</v>
      </c>
      <c r="BP319" s="19">
        <f t="shared" si="319"/>
        <v>45819.9375</v>
      </c>
      <c r="BQ319" s="19">
        <f t="shared" si="319"/>
        <v>45819.95833</v>
      </c>
      <c r="BR319" s="19">
        <f t="shared" si="319"/>
        <v>45819.97917</v>
      </c>
      <c r="BS319" s="19">
        <f t="shared" si="319"/>
        <v>45820</v>
      </c>
      <c r="BT319" s="19">
        <f t="shared" si="319"/>
        <v>45820.02083</v>
      </c>
      <c r="BU319" s="19">
        <f t="shared" si="319"/>
        <v>45820.04167</v>
      </c>
      <c r="BV319" s="19">
        <f t="shared" si="319"/>
        <v>45820.0625</v>
      </c>
      <c r="BW319" s="19">
        <f t="shared" si="319"/>
        <v>45820.08333</v>
      </c>
      <c r="BX319" s="19">
        <f t="shared" si="319"/>
        <v>45819</v>
      </c>
      <c r="BY319" s="19">
        <f t="shared" si="319"/>
        <v>45819</v>
      </c>
      <c r="BZ319" s="19">
        <f t="shared" si="319"/>
        <v>45819</v>
      </c>
    </row>
    <row r="320" ht="14.25" customHeight="1">
      <c r="A320" s="17">
        <v>45820.0</v>
      </c>
      <c r="B320" s="2" t="str">
        <f t="array" ref="B320">IF(NOW()&gt;AM320,"",IF(AND((WEEKDAY($A320)+$B$2)&gt;1,((WEEKDAY($A320)+$T$2)&lt;7),(WEEKDAY($A320)&lt;&gt;1)),"work",(INDEX(Subject!$A:$I,MATCH(RANDBETWEEN(1,(MAX(Subject!$B:$B))),Subject!$B:$B,0),3))))</f>
        <v/>
      </c>
      <c r="C320" s="2" t="str">
        <f t="array" ref="C320">IF(NOW()&gt;AN320,"",IF(AND((WEEKDAY($A320)+$B$2)&gt;1,((WEEKDAY($A320)+$T$2)&lt;7),(WEEKDAY($A320)&lt;&gt;1)),"work",(INDEX(Subject!$A:$I,MATCH(RANDBETWEEN(1,(MAX(Subject!$B:$B))),Subject!$B:$B,0),3))))</f>
        <v/>
      </c>
      <c r="D320" s="2" t="str">
        <f t="array" ref="D320">IF(NOW()&gt;AO320,"",IF(AND((WEEKDAY($A320)+$B$2)&gt;1,((WEEKDAY($A320)+$T$2)&lt;7),(WEEKDAY($A320)&lt;&gt;1)),"work",(INDEX(Subject!$A:$I,MATCH(RANDBETWEEN(1,(MAX(Subject!$B:$B))),Subject!$B:$B,0),3))))</f>
        <v/>
      </c>
      <c r="E320" s="2" t="str">
        <f t="array" ref="E320">IF(NOW()&gt;AP320,"",IF(AND((WEEKDAY($A320)+$B$2)&gt;1,((WEEKDAY($A320)+$T$2)&lt;7),(WEEKDAY($A320)&lt;&gt;1)),"work",(INDEX(Subject!$A:$I,MATCH(RANDBETWEEN(1,(MAX(Subject!$B:$B))),Subject!$B:$B,0),3))))</f>
        <v/>
      </c>
      <c r="F320" s="2" t="str">
        <f t="array" ref="F320">IF(NOW()&gt;AQ320,"",IF(AND((WEEKDAY($A320)+$B$2)&gt;1,((WEEKDAY($A320)+$T$2)&lt;7),(WEEKDAY($A320)&lt;&gt;1)),"work",(INDEX(Subject!$A:$I,MATCH(RANDBETWEEN(1,(MAX(Subject!$B:$B))),Subject!$B:$B,0),3))))</f>
        <v/>
      </c>
      <c r="G320" s="2" t="str">
        <f t="array" ref="G320">IF(NOW()&gt;AR320,"",IF(AND((WEEKDAY($A320)+$B$2)&gt;1,((WEEKDAY($A320)+$T$2)&lt;7),(WEEKDAY($A320)&lt;&gt;1)),"work",(INDEX(Subject!$A:$I,MATCH(RANDBETWEEN(1,(MAX(Subject!$B:$B))),Subject!$B:$B,0),3))))</f>
        <v/>
      </c>
      <c r="H320" s="2" t="str">
        <f t="array" ref="H320">IF(NOW()&gt;AS320,"",IF(AND((WEEKDAY($A320)+$B$2)&gt;1,((WEEKDAY($A320)+$T$2)&lt;7),(WEEKDAY($A320)&lt;&gt;1)),"work",(INDEX(Subject!$A:$I,MATCH(RANDBETWEEN(1,(MAX(Subject!$B:$B))),Subject!$B:$B,0),3))))</f>
        <v/>
      </c>
      <c r="I320" s="2" t="str">
        <f t="array" ref="I320">IF(NOW()&gt;AT320,"",IF(AND((WEEKDAY($A320)+$B$2)&gt;1,((WEEKDAY($A320)+$T$2)&lt;7),(WEEKDAY($A320)&lt;&gt;1)),"work",(INDEX(Subject!$A:$I,MATCH(RANDBETWEEN(1,(MAX(Subject!$B:$B))),Subject!$B:$B,0),3))))</f>
        <v/>
      </c>
      <c r="J320" s="2" t="str">
        <f t="array" ref="J320">IF(NOW()&gt;AU320,"",IF(AND((WEEKDAY($A320)+$B$2)&gt;1,((WEEKDAY($A320)+$T$2)&lt;7),(WEEKDAY($A320)&lt;&gt;1)),"work",(INDEX(Subject!$A:$I,MATCH(RANDBETWEEN(1,(MAX(Subject!$B:$B))),Subject!$B:$B,0),3))))</f>
        <v/>
      </c>
      <c r="K320" s="2" t="str">
        <f t="array" ref="K320">IF(NOW()&gt;AV320,"",IF(AND((WEEKDAY($A320)+$B$2)&gt;1,((WEEKDAY($A320)+$T$2)&lt;7),(WEEKDAY($A320)&lt;&gt;1)),"work",(INDEX(Subject!$A:$I,MATCH(RANDBETWEEN(1,(MAX(Subject!$B:$B))),Subject!$B:$B,0),3))))</f>
        <v/>
      </c>
      <c r="L320" s="2" t="str">
        <f t="array" ref="L320">IF(NOW()&gt;AW320,"",IF(AND((WEEKDAY($A320)+$B$2)&gt;1,((WEEKDAY($A320)+$T$2)&lt;7),(WEEKDAY($A320)&lt;&gt;1)),"work",(INDEX(Subject!$A:$I,MATCH(RANDBETWEEN(1,(MAX(Subject!$B:$B))),Subject!$B:$B,0),3))))</f>
        <v/>
      </c>
      <c r="M320" s="2" t="str">
        <f t="array" ref="M320">IF(NOW()&gt;AX320,"",IF(AND((WEEKDAY($A320)+$B$2)&gt;1,((WEEKDAY($A320)+$T$2)&lt;7),(WEEKDAY($A320)&lt;&gt;1)),"work",(INDEX(Subject!$A:$I,MATCH(RANDBETWEEN(1,(MAX(Subject!$B:$B))),Subject!$B:$B,0),3))))</f>
        <v/>
      </c>
      <c r="N320" s="2" t="str">
        <f t="array" ref="N320">IF(NOW()&gt;AY320,"",IF(AND((WEEKDAY($A320)+$B$2)&gt;1,((WEEKDAY($A320)+$T$2)&lt;7),(WEEKDAY($A320)&lt;&gt;1)),"work",(INDEX(Subject!$A:$I,MATCH(RANDBETWEEN(1,(MAX(Subject!$B:$B))),Subject!$B:$B,0),3))))</f>
        <v/>
      </c>
      <c r="O320" s="2" t="str">
        <f t="array" ref="O320">IF(NOW()&gt;AZ320,"",IF(AND((WEEKDAY($A320)+$B$2)&gt;1,((WEEKDAY($A320)+$T$2)&lt;7),(WEEKDAY($A320)&lt;&gt;1)),"work",(INDEX(Subject!$A:$I,MATCH(RANDBETWEEN(1,(MAX(Subject!$B:$B))),Subject!$B:$B,0),3))))</f>
        <v/>
      </c>
      <c r="P320" s="2" t="str">
        <f t="array" ref="P320">IF(NOW()&gt;BA320,"",IF(AND((WEEKDAY($A320)+$B$2)&gt;1,((WEEKDAY($A320)+$T$2)&lt;7),(WEEKDAY($A320)&lt;&gt;1)),"work",(INDEX(Subject!$A:$I,MATCH(RANDBETWEEN(1,(MAX(Subject!$B:$B))),Subject!$B:$B,0),3))))</f>
        <v/>
      </c>
      <c r="Q320" s="2" t="str">
        <f t="array" ref="Q320">IF(NOW()&gt;BB320,"",IF(AND((WEEKDAY($A320)+$B$2)&gt;1,((WEEKDAY($A320)+$T$2)&lt;7),(WEEKDAY($A320)&lt;&gt;1)),"work",(INDEX(Subject!$A:$I,MATCH(RANDBETWEEN(1,(MAX(Subject!$B:$B))),Subject!$B:$B,0),3))))</f>
        <v/>
      </c>
      <c r="R320" s="2" t="str">
        <f t="array" ref="R320">IF(NOW()&gt;BC320,"",IF(AND((WEEKDAY($A320)+$B$2)&gt;1,((WEEKDAY($A320)+$T$2)&lt;7),(WEEKDAY($A320)&lt;&gt;1)),"work",(INDEX(Subject!$A:$I,MATCH(RANDBETWEEN(1,(MAX(Subject!$B:$B))),Subject!$B:$B,0),3))))</f>
        <v/>
      </c>
      <c r="S320" s="2" t="str">
        <f t="array" ref="S320">IF(NOW()&gt;BD320,"",IF(AND((WEEKDAY($A320)+$B$2)&gt;1,((WEEKDAY($A320)+$T$2)&lt;7),(WEEKDAY($A320)&lt;&gt;1)),"work",(INDEX(Subject!$A:$I,MATCH(RANDBETWEEN(1,(MAX(Subject!$B:$B))),Subject!$B:$B,0),3))))</f>
        <v/>
      </c>
      <c r="T320" s="2" t="str">
        <f t="array" ref="T320">IF(NOW()&gt;BE320,"",IF(AND((WEEKDAY($A320)+$B$2)&gt;1,((WEEKDAY($A320)+$T$2)&lt;7),(WEEKDAY($A320)&lt;&gt;1)),"work",(INDEX(Subject!$A:$I,MATCH(RANDBETWEEN(1,(MAX(Subject!$B:$B))),Subject!$B:$B,0),3))))</f>
        <v/>
      </c>
      <c r="U320" s="8" t="str">
        <f t="array" ref="U320">INDEX(Subject!$A:$I,MATCH(RANDBETWEEN(1,16),Subject!$B:$B,0),3)</f>
        <v>#N/A</v>
      </c>
      <c r="V320" s="8" t="str">
        <f t="array" ref="V320">INDEX(Subject!$A:$I,MATCH(RANDBETWEEN(1,16),Subject!$B:$B,0),3)</f>
        <v>#N/A</v>
      </c>
      <c r="W320" s="8" t="str">
        <f t="array" ref="W320">INDEX(Subject!$A:$I,MATCH(RANDBETWEEN(1,16),Subject!$B:$B,0),3)</f>
        <v>#N/A</v>
      </c>
      <c r="X320" s="8" t="str">
        <f t="array" ref="X320">INDEX(Subject!$A:$I,MATCH(RANDBETWEEN(1,16),Subject!$B:$B,0),3)</f>
        <v>#N/A</v>
      </c>
      <c r="Y320" s="8" t="str">
        <f t="array" ref="Y320">INDEX(Subject!$A:$I,MATCH(RANDBETWEEN(1,16),Subject!$B:$B,0),3)</f>
        <v>#N/A</v>
      </c>
      <c r="Z320" s="8" t="str">
        <f t="array" ref="Z320">INDEX(Subject!$A:$I,MATCH(RANDBETWEEN(1,16),Subject!$B:$B,0),3)</f>
        <v>#N/A</v>
      </c>
      <c r="AA320" s="8" t="str">
        <f t="array" ref="AA320">INDEX(Subject!$A:$I,MATCH(RANDBETWEEN(1,16),Subject!$B:$B,0),3)</f>
        <v>#N/A</v>
      </c>
      <c r="AB320" s="8" t="str">
        <f t="array" ref="AB320">INDEX(Subject!$A:$I,MATCH(RANDBETWEEN(1,16),Subject!$B:$B,0),3)</f>
        <v>#N/A</v>
      </c>
      <c r="AC320" s="8" t="str">
        <f t="array" ref="AC320">INDEX(Subject!$A:$I,MATCH(RANDBETWEEN(1,16),Subject!$B:$B,0),3)</f>
        <v>#N/A</v>
      </c>
      <c r="AD320" s="8" t="str">
        <f t="array" ref="AD320">INDEX(Subject!$A:$I,MATCH(RANDBETWEEN(1,16),Subject!$B:$B,0),3)</f>
        <v>#N/A</v>
      </c>
      <c r="AE320" s="8" t="str">
        <f t="array" ref="AE320">INDEX(Subject!$A:$I,MATCH(RANDBETWEEN(1,16),Subject!$B:$B,0),3)</f>
        <v/>
      </c>
      <c r="AF320" s="8" t="str">
        <f t="array" ref="AF320">INDEX(Subject!$A:$I,MATCH(RANDBETWEEN(1,16),Subject!$B:$B,0),3)</f>
        <v>#N/A</v>
      </c>
      <c r="AG320" s="8" t="str">
        <f t="array" ref="AG320">INDEX(Subject!$A:$I,MATCH(RANDBETWEEN(1,16),Subject!$B:$B,0),3)</f>
        <v>#N/A</v>
      </c>
      <c r="AH320" s="8" t="str">
        <f t="array" ref="AH320">INDEX(Subject!$A:$I,MATCH(RANDBETWEEN(1,16),Subject!$B:$B,0),3)</f>
        <v>#N/A</v>
      </c>
      <c r="AI320" s="8" t="str">
        <f t="array" ref="AI320">INDEX(Subject!$A:$I,MATCH(RANDBETWEEN(1,16),Subject!$B:$B,0),3)</f>
        <v>#N/A</v>
      </c>
      <c r="AJ320" s="8" t="str">
        <f t="array" ref="AJ320">INDEX(Subject!$A:$I,MATCH(RANDBETWEEN(1,16),Subject!$B:$B,0),3)</f>
        <v>#N/A</v>
      </c>
      <c r="AK320" s="8" t="str">
        <f t="array" ref="AK320">INDEX(Subject!$A:$I,MATCH(RANDBETWEEN(1,16),Subject!$B:$B,0),3)</f>
        <v>#N/A</v>
      </c>
      <c r="AL320" s="8" t="str">
        <f t="array" ref="AL320">INDEX(Subject!$A:$I,MATCH(RANDBETWEEN(1,16),Subject!$B:$B,0),3)</f>
        <v>#N/A</v>
      </c>
      <c r="AM320" s="18">
        <f t="shared" si="4"/>
        <v>45820.33333</v>
      </c>
      <c r="AN320" s="19">
        <f t="shared" ref="AN320:BZ320" si="320">$A320+C$1</f>
        <v>45820.35417</v>
      </c>
      <c r="AO320" s="19">
        <f t="shared" si="320"/>
        <v>45820.375</v>
      </c>
      <c r="AP320" s="19">
        <f t="shared" si="320"/>
        <v>45820.39583</v>
      </c>
      <c r="AQ320" s="19">
        <f t="shared" si="320"/>
        <v>45820.41667</v>
      </c>
      <c r="AR320" s="19">
        <f t="shared" si="320"/>
        <v>45820.4375</v>
      </c>
      <c r="AS320" s="19">
        <f t="shared" si="320"/>
        <v>45820.45833</v>
      </c>
      <c r="AT320" s="19">
        <f t="shared" si="320"/>
        <v>45820.47917</v>
      </c>
      <c r="AU320" s="19">
        <f t="shared" si="320"/>
        <v>45820.5</v>
      </c>
      <c r="AV320" s="19">
        <f t="shared" si="320"/>
        <v>45820.52083</v>
      </c>
      <c r="AW320" s="19">
        <f t="shared" si="320"/>
        <v>45820.54167</v>
      </c>
      <c r="AX320" s="19">
        <f t="shared" si="320"/>
        <v>45820.5625</v>
      </c>
      <c r="AY320" s="19">
        <f t="shared" si="320"/>
        <v>45820.58333</v>
      </c>
      <c r="AZ320" s="19">
        <f t="shared" si="320"/>
        <v>45820.60417</v>
      </c>
      <c r="BA320" s="19">
        <f t="shared" si="320"/>
        <v>45820.625</v>
      </c>
      <c r="BB320" s="19">
        <f t="shared" si="320"/>
        <v>45820.64583</v>
      </c>
      <c r="BC320" s="19">
        <f t="shared" si="320"/>
        <v>45820.66667</v>
      </c>
      <c r="BD320" s="19">
        <f t="shared" si="320"/>
        <v>45820.6875</v>
      </c>
      <c r="BE320" s="19">
        <f t="shared" si="320"/>
        <v>45820.70833</v>
      </c>
      <c r="BF320" s="19">
        <f t="shared" si="320"/>
        <v>45820.72917</v>
      </c>
      <c r="BG320" s="19">
        <f t="shared" si="320"/>
        <v>45820.75</v>
      </c>
      <c r="BH320" s="19">
        <f t="shared" si="320"/>
        <v>45820.77083</v>
      </c>
      <c r="BI320" s="19">
        <f t="shared" si="320"/>
        <v>45820.79167</v>
      </c>
      <c r="BJ320" s="19">
        <f t="shared" si="320"/>
        <v>45820.8125</v>
      </c>
      <c r="BK320" s="19">
        <f t="shared" si="320"/>
        <v>45820.83333</v>
      </c>
      <c r="BL320" s="19">
        <f t="shared" si="320"/>
        <v>45820.85417</v>
      </c>
      <c r="BM320" s="19">
        <f t="shared" si="320"/>
        <v>45820.875</v>
      </c>
      <c r="BN320" s="19">
        <f t="shared" si="320"/>
        <v>45820.89583</v>
      </c>
      <c r="BO320" s="19">
        <f t="shared" si="320"/>
        <v>45820.91667</v>
      </c>
      <c r="BP320" s="19">
        <f t="shared" si="320"/>
        <v>45820.9375</v>
      </c>
      <c r="BQ320" s="19">
        <f t="shared" si="320"/>
        <v>45820.95833</v>
      </c>
      <c r="BR320" s="19">
        <f t="shared" si="320"/>
        <v>45820.97917</v>
      </c>
      <c r="BS320" s="19">
        <f t="shared" si="320"/>
        <v>45821</v>
      </c>
      <c r="BT320" s="19">
        <f t="shared" si="320"/>
        <v>45821.02083</v>
      </c>
      <c r="BU320" s="19">
        <f t="shared" si="320"/>
        <v>45821.04167</v>
      </c>
      <c r="BV320" s="19">
        <f t="shared" si="320"/>
        <v>45821.0625</v>
      </c>
      <c r="BW320" s="19">
        <f t="shared" si="320"/>
        <v>45821.08333</v>
      </c>
      <c r="BX320" s="19">
        <f t="shared" si="320"/>
        <v>45820</v>
      </c>
      <c r="BY320" s="19">
        <f t="shared" si="320"/>
        <v>45820</v>
      </c>
      <c r="BZ320" s="19">
        <f t="shared" si="320"/>
        <v>45820</v>
      </c>
    </row>
    <row r="321" ht="14.25" customHeight="1">
      <c r="A321" s="17">
        <v>45821.0</v>
      </c>
      <c r="B321" s="2" t="str">
        <f t="array" ref="B321">IF(NOW()&gt;AM321,"",IF(AND((WEEKDAY($A321)+$B$2)&gt;1,((WEEKDAY($A321)+$T$2)&lt;7),(WEEKDAY($A321)&lt;&gt;1)),"work",(INDEX(Subject!$A:$I,MATCH(RANDBETWEEN(1,(MAX(Subject!$B:$B))),Subject!$B:$B,0),3))))</f>
        <v/>
      </c>
      <c r="C321" s="2" t="str">
        <f t="array" ref="C321">IF(NOW()&gt;AN321,"",IF(AND((WEEKDAY($A321)+$B$2)&gt;1,((WEEKDAY($A321)+$T$2)&lt;7),(WEEKDAY($A321)&lt;&gt;1)),"work",(INDEX(Subject!$A:$I,MATCH(RANDBETWEEN(1,(MAX(Subject!$B:$B))),Subject!$B:$B,0),3))))</f>
        <v/>
      </c>
      <c r="D321" s="2" t="str">
        <f t="array" ref="D321">IF(NOW()&gt;AO321,"",IF(AND((WEEKDAY($A321)+$B$2)&gt;1,((WEEKDAY($A321)+$T$2)&lt;7),(WEEKDAY($A321)&lt;&gt;1)),"work",(INDEX(Subject!$A:$I,MATCH(RANDBETWEEN(1,(MAX(Subject!$B:$B))),Subject!$B:$B,0),3))))</f>
        <v/>
      </c>
      <c r="E321" s="2" t="str">
        <f t="array" ref="E321">IF(NOW()&gt;AP321,"",IF(AND((WEEKDAY($A321)+$B$2)&gt;1,((WEEKDAY($A321)+$T$2)&lt;7),(WEEKDAY($A321)&lt;&gt;1)),"work",(INDEX(Subject!$A:$I,MATCH(RANDBETWEEN(1,(MAX(Subject!$B:$B))),Subject!$B:$B,0),3))))</f>
        <v/>
      </c>
      <c r="F321" s="2" t="str">
        <f t="array" ref="F321">IF(NOW()&gt;AQ321,"",IF(AND((WEEKDAY($A321)+$B$2)&gt;1,((WEEKDAY($A321)+$T$2)&lt;7),(WEEKDAY($A321)&lt;&gt;1)),"work",(INDEX(Subject!$A:$I,MATCH(RANDBETWEEN(1,(MAX(Subject!$B:$B))),Subject!$B:$B,0),3))))</f>
        <v/>
      </c>
      <c r="G321" s="2" t="str">
        <f t="array" ref="G321">IF(NOW()&gt;AR321,"",IF(AND((WEEKDAY($A321)+$B$2)&gt;1,((WEEKDAY($A321)+$T$2)&lt;7),(WEEKDAY($A321)&lt;&gt;1)),"work",(INDEX(Subject!$A:$I,MATCH(RANDBETWEEN(1,(MAX(Subject!$B:$B))),Subject!$B:$B,0),3))))</f>
        <v/>
      </c>
      <c r="H321" s="2" t="str">
        <f t="array" ref="H321">IF(NOW()&gt;AS321,"",IF(AND((WEEKDAY($A321)+$B$2)&gt;1,((WEEKDAY($A321)+$T$2)&lt;7),(WEEKDAY($A321)&lt;&gt;1)),"work",(INDEX(Subject!$A:$I,MATCH(RANDBETWEEN(1,(MAX(Subject!$B:$B))),Subject!$B:$B,0),3))))</f>
        <v/>
      </c>
      <c r="I321" s="2" t="str">
        <f t="array" ref="I321">IF(NOW()&gt;AT321,"",IF(AND((WEEKDAY($A321)+$B$2)&gt;1,((WEEKDAY($A321)+$T$2)&lt;7),(WEEKDAY($A321)&lt;&gt;1)),"work",(INDEX(Subject!$A:$I,MATCH(RANDBETWEEN(1,(MAX(Subject!$B:$B))),Subject!$B:$B,0),3))))</f>
        <v/>
      </c>
      <c r="J321" s="2" t="str">
        <f t="array" ref="J321">IF(NOW()&gt;AU321,"",IF(AND((WEEKDAY($A321)+$B$2)&gt;1,((WEEKDAY($A321)+$T$2)&lt;7),(WEEKDAY($A321)&lt;&gt;1)),"work",(INDEX(Subject!$A:$I,MATCH(RANDBETWEEN(1,(MAX(Subject!$B:$B))),Subject!$B:$B,0),3))))</f>
        <v/>
      </c>
      <c r="K321" s="2" t="str">
        <f t="array" ref="K321">IF(NOW()&gt;AV321,"",IF(AND((WEEKDAY($A321)+$B$2)&gt;1,((WEEKDAY($A321)+$T$2)&lt;7),(WEEKDAY($A321)&lt;&gt;1)),"work",(INDEX(Subject!$A:$I,MATCH(RANDBETWEEN(1,(MAX(Subject!$B:$B))),Subject!$B:$B,0),3))))</f>
        <v/>
      </c>
      <c r="L321" s="2" t="str">
        <f t="array" ref="L321">IF(NOW()&gt;AW321,"",IF(AND((WEEKDAY($A321)+$B$2)&gt;1,((WEEKDAY($A321)+$T$2)&lt;7),(WEEKDAY($A321)&lt;&gt;1)),"work",(INDEX(Subject!$A:$I,MATCH(RANDBETWEEN(1,(MAX(Subject!$B:$B))),Subject!$B:$B,0),3))))</f>
        <v/>
      </c>
      <c r="M321" s="2" t="str">
        <f t="array" ref="M321">IF(NOW()&gt;AX321,"",IF(AND((WEEKDAY($A321)+$B$2)&gt;1,((WEEKDAY($A321)+$T$2)&lt;7),(WEEKDAY($A321)&lt;&gt;1)),"work",(INDEX(Subject!$A:$I,MATCH(RANDBETWEEN(1,(MAX(Subject!$B:$B))),Subject!$B:$B,0),3))))</f>
        <v/>
      </c>
      <c r="N321" s="2" t="str">
        <f t="array" ref="N321">IF(NOW()&gt;AY321,"",IF(AND((WEEKDAY($A321)+$B$2)&gt;1,((WEEKDAY($A321)+$T$2)&lt;7),(WEEKDAY($A321)&lt;&gt;1)),"work",(INDEX(Subject!$A:$I,MATCH(RANDBETWEEN(1,(MAX(Subject!$B:$B))),Subject!$B:$B,0),3))))</f>
        <v/>
      </c>
      <c r="O321" s="2" t="str">
        <f t="array" ref="O321">IF(NOW()&gt;AZ321,"",IF(AND((WEEKDAY($A321)+$B$2)&gt;1,((WEEKDAY($A321)+$T$2)&lt;7),(WEEKDAY($A321)&lt;&gt;1)),"work",(INDEX(Subject!$A:$I,MATCH(RANDBETWEEN(1,(MAX(Subject!$B:$B))),Subject!$B:$B,0),3))))</f>
        <v/>
      </c>
      <c r="P321" s="2" t="str">
        <f t="array" ref="P321">IF(NOW()&gt;BA321,"",IF(AND((WEEKDAY($A321)+$B$2)&gt;1,((WEEKDAY($A321)+$T$2)&lt;7),(WEEKDAY($A321)&lt;&gt;1)),"work",(INDEX(Subject!$A:$I,MATCH(RANDBETWEEN(1,(MAX(Subject!$B:$B))),Subject!$B:$B,0),3))))</f>
        <v/>
      </c>
      <c r="Q321" s="2" t="str">
        <f t="array" ref="Q321">IF(NOW()&gt;BB321,"",IF(AND((WEEKDAY($A321)+$B$2)&gt;1,((WEEKDAY($A321)+$T$2)&lt;7),(WEEKDAY($A321)&lt;&gt;1)),"work",(INDEX(Subject!$A:$I,MATCH(RANDBETWEEN(1,(MAX(Subject!$B:$B))),Subject!$B:$B,0),3))))</f>
        <v/>
      </c>
      <c r="R321" s="2" t="str">
        <f t="array" ref="R321">IF(NOW()&gt;BC321,"",IF(AND((WEEKDAY($A321)+$B$2)&gt;1,((WEEKDAY($A321)+$T$2)&lt;7),(WEEKDAY($A321)&lt;&gt;1)),"work",(INDEX(Subject!$A:$I,MATCH(RANDBETWEEN(1,(MAX(Subject!$B:$B))),Subject!$B:$B,0),3))))</f>
        <v/>
      </c>
      <c r="S321" s="2" t="str">
        <f t="array" ref="S321">IF(NOW()&gt;BD321,"",IF(AND((WEEKDAY($A321)+$B$2)&gt;1,((WEEKDAY($A321)+$T$2)&lt;7),(WEEKDAY($A321)&lt;&gt;1)),"work",(INDEX(Subject!$A:$I,MATCH(RANDBETWEEN(1,(MAX(Subject!$B:$B))),Subject!$B:$B,0),3))))</f>
        <v/>
      </c>
      <c r="T321" s="2" t="str">
        <f t="array" ref="T321">IF(NOW()&gt;BE321,"",IF(AND((WEEKDAY($A321)+$B$2)&gt;1,((WEEKDAY($A321)+$T$2)&lt;7),(WEEKDAY($A321)&lt;&gt;1)),"work",(INDEX(Subject!$A:$I,MATCH(RANDBETWEEN(1,(MAX(Subject!$B:$B))),Subject!$B:$B,0),3))))</f>
        <v/>
      </c>
      <c r="U321" s="8" t="str">
        <f t="array" ref="U321">INDEX(Subject!$A:$I,MATCH(RANDBETWEEN(1,16),Subject!$B:$B,0),3)</f>
        <v>#N/A</v>
      </c>
      <c r="V321" s="8" t="str">
        <f t="array" ref="V321">INDEX(Subject!$A:$I,MATCH(RANDBETWEEN(1,16),Subject!$B:$B,0),3)</f>
        <v>#N/A</v>
      </c>
      <c r="W321" s="8" t="str">
        <f t="array" ref="W321">INDEX(Subject!$A:$I,MATCH(RANDBETWEEN(1,16),Subject!$B:$B,0),3)</f>
        <v>#N/A</v>
      </c>
      <c r="X321" s="8" t="str">
        <f t="array" ref="X321">INDEX(Subject!$A:$I,MATCH(RANDBETWEEN(1,16),Subject!$B:$B,0),3)</f>
        <v>#N/A</v>
      </c>
      <c r="Y321" s="8" t="str">
        <f t="array" ref="Y321">INDEX(Subject!$A:$I,MATCH(RANDBETWEEN(1,16),Subject!$B:$B,0),3)</f>
        <v/>
      </c>
      <c r="Z321" s="8" t="str">
        <f t="array" ref="Z321">INDEX(Subject!$A:$I,MATCH(RANDBETWEEN(1,16),Subject!$B:$B,0),3)</f>
        <v>#N/A</v>
      </c>
      <c r="AA321" s="8" t="str">
        <f t="array" ref="AA321">INDEX(Subject!$A:$I,MATCH(RANDBETWEEN(1,16),Subject!$B:$B,0),3)</f>
        <v>#N/A</v>
      </c>
      <c r="AB321" s="8" t="str">
        <f t="array" ref="AB321">INDEX(Subject!$A:$I,MATCH(RANDBETWEEN(1,16),Subject!$B:$B,0),3)</f>
        <v>#N/A</v>
      </c>
      <c r="AC321" s="8" t="str">
        <f t="array" ref="AC321">INDEX(Subject!$A:$I,MATCH(RANDBETWEEN(1,16),Subject!$B:$B,0),3)</f>
        <v>#N/A</v>
      </c>
      <c r="AD321" s="8" t="str">
        <f t="array" ref="AD321">INDEX(Subject!$A:$I,MATCH(RANDBETWEEN(1,16),Subject!$B:$B,0),3)</f>
        <v>#N/A</v>
      </c>
      <c r="AE321" s="8" t="str">
        <f t="array" ref="AE321">INDEX(Subject!$A:$I,MATCH(RANDBETWEEN(1,16),Subject!$B:$B,0),3)</f>
        <v>#N/A</v>
      </c>
      <c r="AF321" s="8" t="str">
        <f t="array" ref="AF321">INDEX(Subject!$A:$I,MATCH(RANDBETWEEN(1,16),Subject!$B:$B,0),3)</f>
        <v>#N/A</v>
      </c>
      <c r="AG321" s="8" t="str">
        <f t="array" ref="AG321">INDEX(Subject!$A:$I,MATCH(RANDBETWEEN(1,16),Subject!$B:$B,0),3)</f>
        <v/>
      </c>
      <c r="AH321" s="8" t="str">
        <f t="array" ref="AH321">INDEX(Subject!$A:$I,MATCH(RANDBETWEEN(1,16),Subject!$B:$B,0),3)</f>
        <v>#N/A</v>
      </c>
      <c r="AI321" s="8" t="str">
        <f t="array" ref="AI321">INDEX(Subject!$A:$I,MATCH(RANDBETWEEN(1,16),Subject!$B:$B,0),3)</f>
        <v>#N/A</v>
      </c>
      <c r="AJ321" s="8" t="str">
        <f t="array" ref="AJ321">INDEX(Subject!$A:$I,MATCH(RANDBETWEEN(1,16),Subject!$B:$B,0),3)</f>
        <v>#N/A</v>
      </c>
      <c r="AK321" s="8" t="str">
        <f t="array" ref="AK321">INDEX(Subject!$A:$I,MATCH(RANDBETWEEN(1,16),Subject!$B:$B,0),3)</f>
        <v>#N/A</v>
      </c>
      <c r="AL321" s="8" t="str">
        <f t="array" ref="AL321">INDEX(Subject!$A:$I,MATCH(RANDBETWEEN(1,16),Subject!$B:$B,0),3)</f>
        <v>#N/A</v>
      </c>
      <c r="AM321" s="18">
        <f t="shared" si="4"/>
        <v>45821.33333</v>
      </c>
      <c r="AN321" s="19">
        <f t="shared" ref="AN321:BZ321" si="321">$A321+C$1</f>
        <v>45821.35417</v>
      </c>
      <c r="AO321" s="19">
        <f t="shared" si="321"/>
        <v>45821.375</v>
      </c>
      <c r="AP321" s="19">
        <f t="shared" si="321"/>
        <v>45821.39583</v>
      </c>
      <c r="AQ321" s="19">
        <f t="shared" si="321"/>
        <v>45821.41667</v>
      </c>
      <c r="AR321" s="19">
        <f t="shared" si="321"/>
        <v>45821.4375</v>
      </c>
      <c r="AS321" s="19">
        <f t="shared" si="321"/>
        <v>45821.45833</v>
      </c>
      <c r="AT321" s="19">
        <f t="shared" si="321"/>
        <v>45821.47917</v>
      </c>
      <c r="AU321" s="19">
        <f t="shared" si="321"/>
        <v>45821.5</v>
      </c>
      <c r="AV321" s="19">
        <f t="shared" si="321"/>
        <v>45821.52083</v>
      </c>
      <c r="AW321" s="19">
        <f t="shared" si="321"/>
        <v>45821.54167</v>
      </c>
      <c r="AX321" s="19">
        <f t="shared" si="321"/>
        <v>45821.5625</v>
      </c>
      <c r="AY321" s="19">
        <f t="shared" si="321"/>
        <v>45821.58333</v>
      </c>
      <c r="AZ321" s="19">
        <f t="shared" si="321"/>
        <v>45821.60417</v>
      </c>
      <c r="BA321" s="19">
        <f t="shared" si="321"/>
        <v>45821.625</v>
      </c>
      <c r="BB321" s="19">
        <f t="shared" si="321"/>
        <v>45821.64583</v>
      </c>
      <c r="BC321" s="19">
        <f t="shared" si="321"/>
        <v>45821.66667</v>
      </c>
      <c r="BD321" s="19">
        <f t="shared" si="321"/>
        <v>45821.6875</v>
      </c>
      <c r="BE321" s="19">
        <f t="shared" si="321"/>
        <v>45821.70833</v>
      </c>
      <c r="BF321" s="19">
        <f t="shared" si="321"/>
        <v>45821.72917</v>
      </c>
      <c r="BG321" s="19">
        <f t="shared" si="321"/>
        <v>45821.75</v>
      </c>
      <c r="BH321" s="19">
        <f t="shared" si="321"/>
        <v>45821.77083</v>
      </c>
      <c r="BI321" s="19">
        <f t="shared" si="321"/>
        <v>45821.79167</v>
      </c>
      <c r="BJ321" s="19">
        <f t="shared" si="321"/>
        <v>45821.8125</v>
      </c>
      <c r="BK321" s="19">
        <f t="shared" si="321"/>
        <v>45821.83333</v>
      </c>
      <c r="BL321" s="19">
        <f t="shared" si="321"/>
        <v>45821.85417</v>
      </c>
      <c r="BM321" s="19">
        <f t="shared" si="321"/>
        <v>45821.875</v>
      </c>
      <c r="BN321" s="19">
        <f t="shared" si="321"/>
        <v>45821.89583</v>
      </c>
      <c r="BO321" s="19">
        <f t="shared" si="321"/>
        <v>45821.91667</v>
      </c>
      <c r="BP321" s="19">
        <f t="shared" si="321"/>
        <v>45821.9375</v>
      </c>
      <c r="BQ321" s="19">
        <f t="shared" si="321"/>
        <v>45821.95833</v>
      </c>
      <c r="BR321" s="19">
        <f t="shared" si="321"/>
        <v>45821.97917</v>
      </c>
      <c r="BS321" s="19">
        <f t="shared" si="321"/>
        <v>45822</v>
      </c>
      <c r="BT321" s="19">
        <f t="shared" si="321"/>
        <v>45822.02083</v>
      </c>
      <c r="BU321" s="19">
        <f t="shared" si="321"/>
        <v>45822.04167</v>
      </c>
      <c r="BV321" s="19">
        <f t="shared" si="321"/>
        <v>45822.0625</v>
      </c>
      <c r="BW321" s="19">
        <f t="shared" si="321"/>
        <v>45822.08333</v>
      </c>
      <c r="BX321" s="19">
        <f t="shared" si="321"/>
        <v>45821</v>
      </c>
      <c r="BY321" s="19">
        <f t="shared" si="321"/>
        <v>45821</v>
      </c>
      <c r="BZ321" s="19">
        <f t="shared" si="321"/>
        <v>45821</v>
      </c>
    </row>
    <row r="322" ht="14.25" customHeight="1">
      <c r="A322" s="17">
        <v>45822.0</v>
      </c>
      <c r="B322" s="2" t="str">
        <f t="array" ref="B322">IF(NOW()&gt;AM322,"",IF(AND((WEEKDAY($A322)+$B$2)&gt;1,((WEEKDAY($A322)+$T$2)&lt;7),(WEEKDAY($A322)&lt;&gt;1)),"work",(INDEX(Subject!$A:$I,MATCH(RANDBETWEEN(1,(MAX(Subject!$B:$B))),Subject!$B:$B,0),3))))</f>
        <v/>
      </c>
      <c r="C322" s="2" t="str">
        <f t="array" ref="C322">IF(NOW()&gt;AN322,"",IF(AND((WEEKDAY($A322)+$B$2)&gt;1,((WEEKDAY($A322)+$T$2)&lt;7),(WEEKDAY($A322)&lt;&gt;1)),"work",(INDEX(Subject!$A:$I,MATCH(RANDBETWEEN(1,(MAX(Subject!$B:$B))),Subject!$B:$B,0),3))))</f>
        <v/>
      </c>
      <c r="D322" s="2" t="str">
        <f t="array" ref="D322">IF(NOW()&gt;AO322,"",IF(AND((WEEKDAY($A322)+$B$2)&gt;1,((WEEKDAY($A322)+$T$2)&lt;7),(WEEKDAY($A322)&lt;&gt;1)),"work",(INDEX(Subject!$A:$I,MATCH(RANDBETWEEN(1,(MAX(Subject!$B:$B))),Subject!$B:$B,0),3))))</f>
        <v/>
      </c>
      <c r="E322" s="2" t="str">
        <f t="array" ref="E322">IF(NOW()&gt;AP322,"",IF(AND((WEEKDAY($A322)+$B$2)&gt;1,((WEEKDAY($A322)+$T$2)&lt;7),(WEEKDAY($A322)&lt;&gt;1)),"work",(INDEX(Subject!$A:$I,MATCH(RANDBETWEEN(1,(MAX(Subject!$B:$B))),Subject!$B:$B,0),3))))</f>
        <v/>
      </c>
      <c r="F322" s="2" t="str">
        <f t="array" ref="F322">IF(NOW()&gt;AQ322,"",IF(AND((WEEKDAY($A322)+$B$2)&gt;1,((WEEKDAY($A322)+$T$2)&lt;7),(WEEKDAY($A322)&lt;&gt;1)),"work",(INDEX(Subject!$A:$I,MATCH(RANDBETWEEN(1,(MAX(Subject!$B:$B))),Subject!$B:$B,0),3))))</f>
        <v/>
      </c>
      <c r="G322" s="2" t="str">
        <f t="array" ref="G322">IF(NOW()&gt;AR322,"",IF(AND((WEEKDAY($A322)+$B$2)&gt;1,((WEEKDAY($A322)+$T$2)&lt;7),(WEEKDAY($A322)&lt;&gt;1)),"work",(INDEX(Subject!$A:$I,MATCH(RANDBETWEEN(1,(MAX(Subject!$B:$B))),Subject!$B:$B,0),3))))</f>
        <v/>
      </c>
      <c r="H322" s="2" t="str">
        <f t="array" ref="H322">IF(NOW()&gt;AS322,"",IF(AND((WEEKDAY($A322)+$B$2)&gt;1,((WEEKDAY($A322)+$T$2)&lt;7),(WEEKDAY($A322)&lt;&gt;1)),"work",(INDEX(Subject!$A:$I,MATCH(RANDBETWEEN(1,(MAX(Subject!$B:$B))),Subject!$B:$B,0),3))))</f>
        <v/>
      </c>
      <c r="I322" s="2" t="str">
        <f t="array" ref="I322">IF(NOW()&gt;AT322,"",IF(AND((WEEKDAY($A322)+$B$2)&gt;1,((WEEKDAY($A322)+$T$2)&lt;7),(WEEKDAY($A322)&lt;&gt;1)),"work",(INDEX(Subject!$A:$I,MATCH(RANDBETWEEN(1,(MAX(Subject!$B:$B))),Subject!$B:$B,0),3))))</f>
        <v/>
      </c>
      <c r="J322" s="2" t="str">
        <f t="array" ref="J322">IF(NOW()&gt;AU322,"",IF(AND((WEEKDAY($A322)+$B$2)&gt;1,((WEEKDAY($A322)+$T$2)&lt;7),(WEEKDAY($A322)&lt;&gt;1)),"work",(INDEX(Subject!$A:$I,MATCH(RANDBETWEEN(1,(MAX(Subject!$B:$B))),Subject!$B:$B,0),3))))</f>
        <v/>
      </c>
      <c r="K322" s="2" t="str">
        <f t="array" ref="K322">IF(NOW()&gt;AV322,"",IF(AND((WEEKDAY($A322)+$B$2)&gt;1,((WEEKDAY($A322)+$T$2)&lt;7),(WEEKDAY($A322)&lt;&gt;1)),"work",(INDEX(Subject!$A:$I,MATCH(RANDBETWEEN(1,(MAX(Subject!$B:$B))),Subject!$B:$B,0),3))))</f>
        <v/>
      </c>
      <c r="L322" s="2" t="str">
        <f t="array" ref="L322">IF(NOW()&gt;AW322,"",IF(AND((WEEKDAY($A322)+$B$2)&gt;1,((WEEKDAY($A322)+$T$2)&lt;7),(WEEKDAY($A322)&lt;&gt;1)),"work",(INDEX(Subject!$A:$I,MATCH(RANDBETWEEN(1,(MAX(Subject!$B:$B))),Subject!$B:$B,0),3))))</f>
        <v/>
      </c>
      <c r="M322" s="2" t="str">
        <f t="array" ref="M322">IF(NOW()&gt;AX322,"",IF(AND((WEEKDAY($A322)+$B$2)&gt;1,((WEEKDAY($A322)+$T$2)&lt;7),(WEEKDAY($A322)&lt;&gt;1)),"work",(INDEX(Subject!$A:$I,MATCH(RANDBETWEEN(1,(MAX(Subject!$B:$B))),Subject!$B:$B,0),3))))</f>
        <v/>
      </c>
      <c r="N322" s="2" t="str">
        <f t="array" ref="N322">IF(NOW()&gt;AY322,"",IF(AND((WEEKDAY($A322)+$B$2)&gt;1,((WEEKDAY($A322)+$T$2)&lt;7),(WEEKDAY($A322)&lt;&gt;1)),"work",(INDEX(Subject!$A:$I,MATCH(RANDBETWEEN(1,(MAX(Subject!$B:$B))),Subject!$B:$B,0),3))))</f>
        <v/>
      </c>
      <c r="O322" s="2" t="str">
        <f t="array" ref="O322">IF(NOW()&gt;AZ322,"",IF(AND((WEEKDAY($A322)+$B$2)&gt;1,((WEEKDAY($A322)+$T$2)&lt;7),(WEEKDAY($A322)&lt;&gt;1)),"work",(INDEX(Subject!$A:$I,MATCH(RANDBETWEEN(1,(MAX(Subject!$B:$B))),Subject!$B:$B,0),3))))</f>
        <v/>
      </c>
      <c r="P322" s="2" t="str">
        <f t="array" ref="P322">IF(NOW()&gt;BA322,"",IF(AND((WEEKDAY($A322)+$B$2)&gt;1,((WEEKDAY($A322)+$T$2)&lt;7),(WEEKDAY($A322)&lt;&gt;1)),"work",(INDEX(Subject!$A:$I,MATCH(RANDBETWEEN(1,(MAX(Subject!$B:$B))),Subject!$B:$B,0),3))))</f>
        <v/>
      </c>
      <c r="Q322" s="2" t="str">
        <f t="array" ref="Q322">IF(NOW()&gt;BB322,"",IF(AND((WEEKDAY($A322)+$B$2)&gt;1,((WEEKDAY($A322)+$T$2)&lt;7),(WEEKDAY($A322)&lt;&gt;1)),"work",(INDEX(Subject!$A:$I,MATCH(RANDBETWEEN(1,(MAX(Subject!$B:$B))),Subject!$B:$B,0),3))))</f>
        <v/>
      </c>
      <c r="R322" s="2" t="str">
        <f t="array" ref="R322">IF(NOW()&gt;BC322,"",IF(AND((WEEKDAY($A322)+$B$2)&gt;1,((WEEKDAY($A322)+$T$2)&lt;7),(WEEKDAY($A322)&lt;&gt;1)),"work",(INDEX(Subject!$A:$I,MATCH(RANDBETWEEN(1,(MAX(Subject!$B:$B))),Subject!$B:$B,0),3))))</f>
        <v/>
      </c>
      <c r="S322" s="2" t="str">
        <f t="array" ref="S322">IF(NOW()&gt;BD322,"",IF(AND((WEEKDAY($A322)+$B$2)&gt;1,((WEEKDAY($A322)+$T$2)&lt;7),(WEEKDAY($A322)&lt;&gt;1)),"work",(INDEX(Subject!$A:$I,MATCH(RANDBETWEEN(1,(MAX(Subject!$B:$B))),Subject!$B:$B,0),3))))</f>
        <v/>
      </c>
      <c r="T322" s="2" t="str">
        <f t="array" ref="T322">IF(NOW()&gt;BE322,"",IF(AND((WEEKDAY($A322)+$B$2)&gt;1,((WEEKDAY($A322)+$T$2)&lt;7),(WEEKDAY($A322)&lt;&gt;1)),"work",(INDEX(Subject!$A:$I,MATCH(RANDBETWEEN(1,(MAX(Subject!$B:$B))),Subject!$B:$B,0),3))))</f>
        <v/>
      </c>
      <c r="U322" s="8" t="str">
        <f t="array" ref="U322">INDEX(Subject!$A:$I,MATCH(RANDBETWEEN(1,16),Subject!$B:$B,0),3)</f>
        <v/>
      </c>
      <c r="V322" s="8" t="str">
        <f t="array" ref="V322">INDEX(Subject!$A:$I,MATCH(RANDBETWEEN(1,16),Subject!$B:$B,0),3)</f>
        <v>#N/A</v>
      </c>
      <c r="W322" s="8" t="str">
        <f t="array" ref="W322">INDEX(Subject!$A:$I,MATCH(RANDBETWEEN(1,16),Subject!$B:$B,0),3)</f>
        <v>#N/A</v>
      </c>
      <c r="X322" s="8" t="str">
        <f t="array" ref="X322">INDEX(Subject!$A:$I,MATCH(RANDBETWEEN(1,16),Subject!$B:$B,0),3)</f>
        <v>#N/A</v>
      </c>
      <c r="Y322" s="8" t="str">
        <f t="array" ref="Y322">INDEX(Subject!$A:$I,MATCH(RANDBETWEEN(1,16),Subject!$B:$B,0),3)</f>
        <v>#N/A</v>
      </c>
      <c r="Z322" s="8" t="str">
        <f t="array" ref="Z322">INDEX(Subject!$A:$I,MATCH(RANDBETWEEN(1,16),Subject!$B:$B,0),3)</f>
        <v>#N/A</v>
      </c>
      <c r="AA322" s="8" t="str">
        <f t="array" ref="AA322">INDEX(Subject!$A:$I,MATCH(RANDBETWEEN(1,16),Subject!$B:$B,0),3)</f>
        <v>#N/A</v>
      </c>
      <c r="AB322" s="8" t="str">
        <f t="array" ref="AB322">INDEX(Subject!$A:$I,MATCH(RANDBETWEEN(1,16),Subject!$B:$B,0),3)</f>
        <v>#N/A</v>
      </c>
      <c r="AC322" s="8" t="str">
        <f t="array" ref="AC322">INDEX(Subject!$A:$I,MATCH(RANDBETWEEN(1,16),Subject!$B:$B,0),3)</f>
        <v>#N/A</v>
      </c>
      <c r="AD322" s="8" t="str">
        <f t="array" ref="AD322">INDEX(Subject!$A:$I,MATCH(RANDBETWEEN(1,16),Subject!$B:$B,0),3)</f>
        <v>#N/A</v>
      </c>
      <c r="AE322" s="8" t="str">
        <f t="array" ref="AE322">INDEX(Subject!$A:$I,MATCH(RANDBETWEEN(1,16),Subject!$B:$B,0),3)</f>
        <v>#N/A</v>
      </c>
      <c r="AF322" s="8" t="str">
        <f t="array" ref="AF322">INDEX(Subject!$A:$I,MATCH(RANDBETWEEN(1,16),Subject!$B:$B,0),3)</f>
        <v/>
      </c>
      <c r="AG322" s="8" t="str">
        <f t="array" ref="AG322">INDEX(Subject!$A:$I,MATCH(RANDBETWEEN(1,16),Subject!$B:$B,0),3)</f>
        <v>#N/A</v>
      </c>
      <c r="AH322" s="8" t="str">
        <f t="array" ref="AH322">INDEX(Subject!$A:$I,MATCH(RANDBETWEEN(1,16),Subject!$B:$B,0),3)</f>
        <v>#N/A</v>
      </c>
      <c r="AI322" s="8" t="str">
        <f t="array" ref="AI322">INDEX(Subject!$A:$I,MATCH(RANDBETWEEN(1,16),Subject!$B:$B,0),3)</f>
        <v>#N/A</v>
      </c>
      <c r="AJ322" s="8" t="str">
        <f t="array" ref="AJ322">INDEX(Subject!$A:$I,MATCH(RANDBETWEEN(1,16),Subject!$B:$B,0),3)</f>
        <v>#N/A</v>
      </c>
      <c r="AK322" s="8" t="str">
        <f t="array" ref="AK322">INDEX(Subject!$A:$I,MATCH(RANDBETWEEN(1,16),Subject!$B:$B,0),3)</f>
        <v>#N/A</v>
      </c>
      <c r="AL322" s="8" t="str">
        <f t="array" ref="AL322">INDEX(Subject!$A:$I,MATCH(RANDBETWEEN(1,16),Subject!$B:$B,0),3)</f>
        <v>#N/A</v>
      </c>
      <c r="AM322" s="18">
        <f t="shared" si="4"/>
        <v>45822.33333</v>
      </c>
      <c r="AN322" s="19">
        <f t="shared" ref="AN322:BZ322" si="322">$A322+C$1</f>
        <v>45822.35417</v>
      </c>
      <c r="AO322" s="19">
        <f t="shared" si="322"/>
        <v>45822.375</v>
      </c>
      <c r="AP322" s="19">
        <f t="shared" si="322"/>
        <v>45822.39583</v>
      </c>
      <c r="AQ322" s="19">
        <f t="shared" si="322"/>
        <v>45822.41667</v>
      </c>
      <c r="AR322" s="19">
        <f t="shared" si="322"/>
        <v>45822.4375</v>
      </c>
      <c r="AS322" s="19">
        <f t="shared" si="322"/>
        <v>45822.45833</v>
      </c>
      <c r="AT322" s="19">
        <f t="shared" si="322"/>
        <v>45822.47917</v>
      </c>
      <c r="AU322" s="19">
        <f t="shared" si="322"/>
        <v>45822.5</v>
      </c>
      <c r="AV322" s="19">
        <f t="shared" si="322"/>
        <v>45822.52083</v>
      </c>
      <c r="AW322" s="19">
        <f t="shared" si="322"/>
        <v>45822.54167</v>
      </c>
      <c r="AX322" s="19">
        <f t="shared" si="322"/>
        <v>45822.5625</v>
      </c>
      <c r="AY322" s="19">
        <f t="shared" si="322"/>
        <v>45822.58333</v>
      </c>
      <c r="AZ322" s="19">
        <f t="shared" si="322"/>
        <v>45822.60417</v>
      </c>
      <c r="BA322" s="19">
        <f t="shared" si="322"/>
        <v>45822.625</v>
      </c>
      <c r="BB322" s="19">
        <f t="shared" si="322"/>
        <v>45822.64583</v>
      </c>
      <c r="BC322" s="19">
        <f t="shared" si="322"/>
        <v>45822.66667</v>
      </c>
      <c r="BD322" s="19">
        <f t="shared" si="322"/>
        <v>45822.6875</v>
      </c>
      <c r="BE322" s="19">
        <f t="shared" si="322"/>
        <v>45822.70833</v>
      </c>
      <c r="BF322" s="19">
        <f t="shared" si="322"/>
        <v>45822.72917</v>
      </c>
      <c r="BG322" s="19">
        <f t="shared" si="322"/>
        <v>45822.75</v>
      </c>
      <c r="BH322" s="19">
        <f t="shared" si="322"/>
        <v>45822.77083</v>
      </c>
      <c r="BI322" s="19">
        <f t="shared" si="322"/>
        <v>45822.79167</v>
      </c>
      <c r="BJ322" s="19">
        <f t="shared" si="322"/>
        <v>45822.8125</v>
      </c>
      <c r="BK322" s="19">
        <f t="shared" si="322"/>
        <v>45822.83333</v>
      </c>
      <c r="BL322" s="19">
        <f t="shared" si="322"/>
        <v>45822.85417</v>
      </c>
      <c r="BM322" s="19">
        <f t="shared" si="322"/>
        <v>45822.875</v>
      </c>
      <c r="BN322" s="19">
        <f t="shared" si="322"/>
        <v>45822.89583</v>
      </c>
      <c r="BO322" s="19">
        <f t="shared" si="322"/>
        <v>45822.91667</v>
      </c>
      <c r="BP322" s="19">
        <f t="shared" si="322"/>
        <v>45822.9375</v>
      </c>
      <c r="BQ322" s="19">
        <f t="shared" si="322"/>
        <v>45822.95833</v>
      </c>
      <c r="BR322" s="19">
        <f t="shared" si="322"/>
        <v>45822.97917</v>
      </c>
      <c r="BS322" s="19">
        <f t="shared" si="322"/>
        <v>45823</v>
      </c>
      <c r="BT322" s="19">
        <f t="shared" si="322"/>
        <v>45823.02083</v>
      </c>
      <c r="BU322" s="19">
        <f t="shared" si="322"/>
        <v>45823.04167</v>
      </c>
      <c r="BV322" s="19">
        <f t="shared" si="322"/>
        <v>45823.0625</v>
      </c>
      <c r="BW322" s="19">
        <f t="shared" si="322"/>
        <v>45823.08333</v>
      </c>
      <c r="BX322" s="19">
        <f t="shared" si="322"/>
        <v>45822</v>
      </c>
      <c r="BY322" s="19">
        <f t="shared" si="322"/>
        <v>45822</v>
      </c>
      <c r="BZ322" s="19">
        <f t="shared" si="322"/>
        <v>45822</v>
      </c>
    </row>
    <row r="323" ht="14.25" customHeight="1">
      <c r="A323" s="17">
        <v>45823.0</v>
      </c>
      <c r="B323" s="2" t="str">
        <f t="array" ref="B323">IF(NOW()&gt;AM323,"",IF(AND((WEEKDAY($A323)+$B$2)&gt;1,((WEEKDAY($A323)+$T$2)&lt;7),(WEEKDAY($A323)&lt;&gt;1)),"work",(INDEX(Subject!$A:$I,MATCH(RANDBETWEEN(1,(MAX(Subject!$B:$B))),Subject!$B:$B,0),3))))</f>
        <v/>
      </c>
      <c r="C323" s="2" t="str">
        <f t="array" ref="C323">IF(NOW()&gt;AN323,"",IF(AND((WEEKDAY($A323)+$B$2)&gt;1,((WEEKDAY($A323)+$T$2)&lt;7),(WEEKDAY($A323)&lt;&gt;1)),"work",(INDEX(Subject!$A:$I,MATCH(RANDBETWEEN(1,(MAX(Subject!$B:$B))),Subject!$B:$B,0),3))))</f>
        <v/>
      </c>
      <c r="D323" s="2" t="str">
        <f t="array" ref="D323">IF(NOW()&gt;AO323,"",IF(AND((WEEKDAY($A323)+$B$2)&gt;1,((WEEKDAY($A323)+$T$2)&lt;7),(WEEKDAY($A323)&lt;&gt;1)),"work",(INDEX(Subject!$A:$I,MATCH(RANDBETWEEN(1,(MAX(Subject!$B:$B))),Subject!$B:$B,0),3))))</f>
        <v/>
      </c>
      <c r="E323" s="2" t="str">
        <f t="array" ref="E323">IF(NOW()&gt;AP323,"",IF(AND((WEEKDAY($A323)+$B$2)&gt;1,((WEEKDAY($A323)+$T$2)&lt;7),(WEEKDAY($A323)&lt;&gt;1)),"work",(INDEX(Subject!$A:$I,MATCH(RANDBETWEEN(1,(MAX(Subject!$B:$B))),Subject!$B:$B,0),3))))</f>
        <v/>
      </c>
      <c r="F323" s="2" t="str">
        <f t="array" ref="F323">IF(NOW()&gt;AQ323,"",IF(AND((WEEKDAY($A323)+$B$2)&gt;1,((WEEKDAY($A323)+$T$2)&lt;7),(WEEKDAY($A323)&lt;&gt;1)),"work",(INDEX(Subject!$A:$I,MATCH(RANDBETWEEN(1,(MAX(Subject!$B:$B))),Subject!$B:$B,0),3))))</f>
        <v/>
      </c>
      <c r="G323" s="2" t="str">
        <f t="array" ref="G323">IF(NOW()&gt;AR323,"",IF(AND((WEEKDAY($A323)+$B$2)&gt;1,((WEEKDAY($A323)+$T$2)&lt;7),(WEEKDAY($A323)&lt;&gt;1)),"work",(INDEX(Subject!$A:$I,MATCH(RANDBETWEEN(1,(MAX(Subject!$B:$B))),Subject!$B:$B,0),3))))</f>
        <v/>
      </c>
      <c r="H323" s="2" t="str">
        <f t="array" ref="H323">IF(NOW()&gt;AS323,"",IF(AND((WEEKDAY($A323)+$B$2)&gt;1,((WEEKDAY($A323)+$T$2)&lt;7),(WEEKDAY($A323)&lt;&gt;1)),"work",(INDEX(Subject!$A:$I,MATCH(RANDBETWEEN(1,(MAX(Subject!$B:$B))),Subject!$B:$B,0),3))))</f>
        <v/>
      </c>
      <c r="I323" s="2" t="str">
        <f t="array" ref="I323">IF(NOW()&gt;AT323,"",IF(AND((WEEKDAY($A323)+$B$2)&gt;1,((WEEKDAY($A323)+$T$2)&lt;7),(WEEKDAY($A323)&lt;&gt;1)),"work",(INDEX(Subject!$A:$I,MATCH(RANDBETWEEN(1,(MAX(Subject!$B:$B))),Subject!$B:$B,0),3))))</f>
        <v/>
      </c>
      <c r="J323" s="2" t="str">
        <f t="array" ref="J323">IF(NOW()&gt;AU323,"",IF(AND((WEEKDAY($A323)+$B$2)&gt;1,((WEEKDAY($A323)+$T$2)&lt;7),(WEEKDAY($A323)&lt;&gt;1)),"work",(INDEX(Subject!$A:$I,MATCH(RANDBETWEEN(1,(MAX(Subject!$B:$B))),Subject!$B:$B,0),3))))</f>
        <v/>
      </c>
      <c r="K323" s="2" t="str">
        <f t="array" ref="K323">IF(NOW()&gt;AV323,"",IF(AND((WEEKDAY($A323)+$B$2)&gt;1,((WEEKDAY($A323)+$T$2)&lt;7),(WEEKDAY($A323)&lt;&gt;1)),"work",(INDEX(Subject!$A:$I,MATCH(RANDBETWEEN(1,(MAX(Subject!$B:$B))),Subject!$B:$B,0),3))))</f>
        <v/>
      </c>
      <c r="L323" s="2" t="str">
        <f t="array" ref="L323">IF(NOW()&gt;AW323,"",IF(AND((WEEKDAY($A323)+$B$2)&gt;1,((WEEKDAY($A323)+$T$2)&lt;7),(WEEKDAY($A323)&lt;&gt;1)),"work",(INDEX(Subject!$A:$I,MATCH(RANDBETWEEN(1,(MAX(Subject!$B:$B))),Subject!$B:$B,0),3))))</f>
        <v/>
      </c>
      <c r="M323" s="2" t="str">
        <f t="array" ref="M323">IF(NOW()&gt;AX323,"",IF(AND((WEEKDAY($A323)+$B$2)&gt;1,((WEEKDAY($A323)+$T$2)&lt;7),(WEEKDAY($A323)&lt;&gt;1)),"work",(INDEX(Subject!$A:$I,MATCH(RANDBETWEEN(1,(MAX(Subject!$B:$B))),Subject!$B:$B,0),3))))</f>
        <v/>
      </c>
      <c r="N323" s="2" t="str">
        <f t="array" ref="N323">IF(NOW()&gt;AY323,"",IF(AND((WEEKDAY($A323)+$B$2)&gt;1,((WEEKDAY($A323)+$T$2)&lt;7),(WEEKDAY($A323)&lt;&gt;1)),"work",(INDEX(Subject!$A:$I,MATCH(RANDBETWEEN(1,(MAX(Subject!$B:$B))),Subject!$B:$B,0),3))))</f>
        <v/>
      </c>
      <c r="O323" s="2" t="str">
        <f t="array" ref="O323">IF(NOW()&gt;AZ323,"",IF(AND((WEEKDAY($A323)+$B$2)&gt;1,((WEEKDAY($A323)+$T$2)&lt;7),(WEEKDAY($A323)&lt;&gt;1)),"work",(INDEX(Subject!$A:$I,MATCH(RANDBETWEEN(1,(MAX(Subject!$B:$B))),Subject!$B:$B,0),3))))</f>
        <v/>
      </c>
      <c r="P323" s="2" t="str">
        <f t="array" ref="P323">IF(NOW()&gt;BA323,"",IF(AND((WEEKDAY($A323)+$B$2)&gt;1,((WEEKDAY($A323)+$T$2)&lt;7),(WEEKDAY($A323)&lt;&gt;1)),"work",(INDEX(Subject!$A:$I,MATCH(RANDBETWEEN(1,(MAX(Subject!$B:$B))),Subject!$B:$B,0),3))))</f>
        <v/>
      </c>
      <c r="Q323" s="2" t="str">
        <f t="array" ref="Q323">IF(NOW()&gt;BB323,"",IF(AND((WEEKDAY($A323)+$B$2)&gt;1,((WEEKDAY($A323)+$T$2)&lt;7),(WEEKDAY($A323)&lt;&gt;1)),"work",(INDEX(Subject!$A:$I,MATCH(RANDBETWEEN(1,(MAX(Subject!$B:$B))),Subject!$B:$B,0),3))))</f>
        <v/>
      </c>
      <c r="R323" s="2" t="str">
        <f t="array" ref="R323">IF(NOW()&gt;BC323,"",IF(AND((WEEKDAY($A323)+$B$2)&gt;1,((WEEKDAY($A323)+$T$2)&lt;7),(WEEKDAY($A323)&lt;&gt;1)),"work",(INDEX(Subject!$A:$I,MATCH(RANDBETWEEN(1,(MAX(Subject!$B:$B))),Subject!$B:$B,0),3))))</f>
        <v/>
      </c>
      <c r="S323" s="2" t="str">
        <f t="array" ref="S323">IF(NOW()&gt;BD323,"",IF(AND((WEEKDAY($A323)+$B$2)&gt;1,((WEEKDAY($A323)+$T$2)&lt;7),(WEEKDAY($A323)&lt;&gt;1)),"work",(INDEX(Subject!$A:$I,MATCH(RANDBETWEEN(1,(MAX(Subject!$B:$B))),Subject!$B:$B,0),3))))</f>
        <v/>
      </c>
      <c r="T323" s="2" t="str">
        <f t="array" ref="T323">IF(NOW()&gt;BE323,"",IF(AND((WEEKDAY($A323)+$B$2)&gt;1,((WEEKDAY($A323)+$T$2)&lt;7),(WEEKDAY($A323)&lt;&gt;1)),"work",(INDEX(Subject!$A:$I,MATCH(RANDBETWEEN(1,(MAX(Subject!$B:$B))),Subject!$B:$B,0),3))))</f>
        <v/>
      </c>
      <c r="U323" s="8" t="str">
        <f t="array" ref="U323">INDEX(Subject!$A:$I,MATCH(RANDBETWEEN(1,16),Subject!$B:$B,0),3)</f>
        <v>#N/A</v>
      </c>
      <c r="V323" s="8" t="str">
        <f t="array" ref="V323">INDEX(Subject!$A:$I,MATCH(RANDBETWEEN(1,16),Subject!$B:$B,0),3)</f>
        <v>#N/A</v>
      </c>
      <c r="W323" s="8" t="str">
        <f t="array" ref="W323">INDEX(Subject!$A:$I,MATCH(RANDBETWEEN(1,16),Subject!$B:$B,0),3)</f>
        <v>#N/A</v>
      </c>
      <c r="X323" s="8" t="str">
        <f t="array" ref="X323">INDEX(Subject!$A:$I,MATCH(RANDBETWEEN(1,16),Subject!$B:$B,0),3)</f>
        <v>#N/A</v>
      </c>
      <c r="Y323" s="8" t="str">
        <f t="array" ref="Y323">INDEX(Subject!$A:$I,MATCH(RANDBETWEEN(1,16),Subject!$B:$B,0),3)</f>
        <v>#N/A</v>
      </c>
      <c r="Z323" s="8" t="str">
        <f t="array" ref="Z323">INDEX(Subject!$A:$I,MATCH(RANDBETWEEN(1,16),Subject!$B:$B,0),3)</f>
        <v>#N/A</v>
      </c>
      <c r="AA323" s="8" t="str">
        <f t="array" ref="AA323">INDEX(Subject!$A:$I,MATCH(RANDBETWEEN(1,16),Subject!$B:$B,0),3)</f>
        <v>#N/A</v>
      </c>
      <c r="AB323" s="8" t="str">
        <f t="array" ref="AB323">INDEX(Subject!$A:$I,MATCH(RANDBETWEEN(1,16),Subject!$B:$B,0),3)</f>
        <v>#N/A</v>
      </c>
      <c r="AC323" s="8" t="str">
        <f t="array" ref="AC323">INDEX(Subject!$A:$I,MATCH(RANDBETWEEN(1,16),Subject!$B:$B,0),3)</f>
        <v>#N/A</v>
      </c>
      <c r="AD323" s="8" t="str">
        <f t="array" ref="AD323">INDEX(Subject!$A:$I,MATCH(RANDBETWEEN(1,16),Subject!$B:$B,0),3)</f>
        <v>#N/A</v>
      </c>
      <c r="AE323" s="8" t="str">
        <f t="array" ref="AE323">INDEX(Subject!$A:$I,MATCH(RANDBETWEEN(1,16),Subject!$B:$B,0),3)</f>
        <v>#N/A</v>
      </c>
      <c r="AF323" s="8" t="str">
        <f t="array" ref="AF323">INDEX(Subject!$A:$I,MATCH(RANDBETWEEN(1,16),Subject!$B:$B,0),3)</f>
        <v>#N/A</v>
      </c>
      <c r="AG323" s="8" t="str">
        <f t="array" ref="AG323">INDEX(Subject!$A:$I,MATCH(RANDBETWEEN(1,16),Subject!$B:$B,0),3)</f>
        <v>#N/A</v>
      </c>
      <c r="AH323" s="8" t="str">
        <f t="array" ref="AH323">INDEX(Subject!$A:$I,MATCH(RANDBETWEEN(1,16),Subject!$B:$B,0),3)</f>
        <v>#N/A</v>
      </c>
      <c r="AI323" s="8" t="str">
        <f t="array" ref="AI323">INDEX(Subject!$A:$I,MATCH(RANDBETWEEN(1,16),Subject!$B:$B,0),3)</f>
        <v>#N/A</v>
      </c>
      <c r="AJ323" s="8" t="str">
        <f t="array" ref="AJ323">INDEX(Subject!$A:$I,MATCH(RANDBETWEEN(1,16),Subject!$B:$B,0),3)</f>
        <v>#N/A</v>
      </c>
      <c r="AK323" s="8" t="str">
        <f t="array" ref="AK323">INDEX(Subject!$A:$I,MATCH(RANDBETWEEN(1,16),Subject!$B:$B,0),3)</f>
        <v>#N/A</v>
      </c>
      <c r="AL323" s="8" t="str">
        <f t="array" ref="AL323">INDEX(Subject!$A:$I,MATCH(RANDBETWEEN(1,16),Subject!$B:$B,0),3)</f>
        <v>#N/A</v>
      </c>
      <c r="AM323" s="18">
        <f t="shared" si="4"/>
        <v>45823.33333</v>
      </c>
      <c r="AN323" s="19">
        <f t="shared" ref="AN323:BZ323" si="323">$A323+C$1</f>
        <v>45823.35417</v>
      </c>
      <c r="AO323" s="19">
        <f t="shared" si="323"/>
        <v>45823.375</v>
      </c>
      <c r="AP323" s="19">
        <f t="shared" si="323"/>
        <v>45823.39583</v>
      </c>
      <c r="AQ323" s="19">
        <f t="shared" si="323"/>
        <v>45823.41667</v>
      </c>
      <c r="AR323" s="19">
        <f t="shared" si="323"/>
        <v>45823.4375</v>
      </c>
      <c r="AS323" s="19">
        <f t="shared" si="323"/>
        <v>45823.45833</v>
      </c>
      <c r="AT323" s="19">
        <f t="shared" si="323"/>
        <v>45823.47917</v>
      </c>
      <c r="AU323" s="19">
        <f t="shared" si="323"/>
        <v>45823.5</v>
      </c>
      <c r="AV323" s="19">
        <f t="shared" si="323"/>
        <v>45823.52083</v>
      </c>
      <c r="AW323" s="19">
        <f t="shared" si="323"/>
        <v>45823.54167</v>
      </c>
      <c r="AX323" s="19">
        <f t="shared" si="323"/>
        <v>45823.5625</v>
      </c>
      <c r="AY323" s="19">
        <f t="shared" si="323"/>
        <v>45823.58333</v>
      </c>
      <c r="AZ323" s="19">
        <f t="shared" si="323"/>
        <v>45823.60417</v>
      </c>
      <c r="BA323" s="19">
        <f t="shared" si="323"/>
        <v>45823.625</v>
      </c>
      <c r="BB323" s="19">
        <f t="shared" si="323"/>
        <v>45823.64583</v>
      </c>
      <c r="BC323" s="19">
        <f t="shared" si="323"/>
        <v>45823.66667</v>
      </c>
      <c r="BD323" s="19">
        <f t="shared" si="323"/>
        <v>45823.6875</v>
      </c>
      <c r="BE323" s="19">
        <f t="shared" si="323"/>
        <v>45823.70833</v>
      </c>
      <c r="BF323" s="19">
        <f t="shared" si="323"/>
        <v>45823.72917</v>
      </c>
      <c r="BG323" s="19">
        <f t="shared" si="323"/>
        <v>45823.75</v>
      </c>
      <c r="BH323" s="19">
        <f t="shared" si="323"/>
        <v>45823.77083</v>
      </c>
      <c r="BI323" s="19">
        <f t="shared" si="323"/>
        <v>45823.79167</v>
      </c>
      <c r="BJ323" s="19">
        <f t="shared" si="323"/>
        <v>45823.8125</v>
      </c>
      <c r="BK323" s="19">
        <f t="shared" si="323"/>
        <v>45823.83333</v>
      </c>
      <c r="BL323" s="19">
        <f t="shared" si="323"/>
        <v>45823.85417</v>
      </c>
      <c r="BM323" s="19">
        <f t="shared" si="323"/>
        <v>45823.875</v>
      </c>
      <c r="BN323" s="19">
        <f t="shared" si="323"/>
        <v>45823.89583</v>
      </c>
      <c r="BO323" s="19">
        <f t="shared" si="323"/>
        <v>45823.91667</v>
      </c>
      <c r="BP323" s="19">
        <f t="shared" si="323"/>
        <v>45823.9375</v>
      </c>
      <c r="BQ323" s="19">
        <f t="shared" si="323"/>
        <v>45823.95833</v>
      </c>
      <c r="BR323" s="19">
        <f t="shared" si="323"/>
        <v>45823.97917</v>
      </c>
      <c r="BS323" s="19">
        <f t="shared" si="323"/>
        <v>45824</v>
      </c>
      <c r="BT323" s="19">
        <f t="shared" si="323"/>
        <v>45824.02083</v>
      </c>
      <c r="BU323" s="19">
        <f t="shared" si="323"/>
        <v>45824.04167</v>
      </c>
      <c r="BV323" s="19">
        <f t="shared" si="323"/>
        <v>45824.0625</v>
      </c>
      <c r="BW323" s="19">
        <f t="shared" si="323"/>
        <v>45824.08333</v>
      </c>
      <c r="BX323" s="19">
        <f t="shared" si="323"/>
        <v>45823</v>
      </c>
      <c r="BY323" s="19">
        <f t="shared" si="323"/>
        <v>45823</v>
      </c>
      <c r="BZ323" s="19">
        <f t="shared" si="323"/>
        <v>45823</v>
      </c>
    </row>
    <row r="324" ht="14.25" customHeight="1">
      <c r="A324" s="17">
        <v>45824.0</v>
      </c>
      <c r="B324" s="2" t="str">
        <f t="array" ref="B324">IF(NOW()&gt;AM324,"",IF(AND((WEEKDAY($A324)+$B$2)&gt;1,((WEEKDAY($A324)+$T$2)&lt;7),(WEEKDAY($A324)&lt;&gt;1)),"work",(INDEX(Subject!$A:$I,MATCH(RANDBETWEEN(1,(MAX(Subject!$B:$B))),Subject!$B:$B,0),3))))</f>
        <v/>
      </c>
      <c r="C324" s="2" t="str">
        <f t="array" ref="C324">IF(NOW()&gt;AN324,"",IF(AND((WEEKDAY($A324)+$B$2)&gt;1,((WEEKDAY($A324)+$T$2)&lt;7),(WEEKDAY($A324)&lt;&gt;1)),"work",(INDEX(Subject!$A:$I,MATCH(RANDBETWEEN(1,(MAX(Subject!$B:$B))),Subject!$B:$B,0),3))))</f>
        <v/>
      </c>
      <c r="D324" s="2" t="str">
        <f t="array" ref="D324">IF(NOW()&gt;AO324,"",IF(AND((WEEKDAY($A324)+$B$2)&gt;1,((WEEKDAY($A324)+$T$2)&lt;7),(WEEKDAY($A324)&lt;&gt;1)),"work",(INDEX(Subject!$A:$I,MATCH(RANDBETWEEN(1,(MAX(Subject!$B:$B))),Subject!$B:$B,0),3))))</f>
        <v/>
      </c>
      <c r="E324" s="2" t="str">
        <f t="array" ref="E324">IF(NOW()&gt;AP324,"",IF(AND((WEEKDAY($A324)+$B$2)&gt;1,((WEEKDAY($A324)+$T$2)&lt;7),(WEEKDAY($A324)&lt;&gt;1)),"work",(INDEX(Subject!$A:$I,MATCH(RANDBETWEEN(1,(MAX(Subject!$B:$B))),Subject!$B:$B,0),3))))</f>
        <v/>
      </c>
      <c r="F324" s="2" t="str">
        <f t="array" ref="F324">IF(NOW()&gt;AQ324,"",IF(AND((WEEKDAY($A324)+$B$2)&gt;1,((WEEKDAY($A324)+$T$2)&lt;7),(WEEKDAY($A324)&lt;&gt;1)),"work",(INDEX(Subject!$A:$I,MATCH(RANDBETWEEN(1,(MAX(Subject!$B:$B))),Subject!$B:$B,0),3))))</f>
        <v/>
      </c>
      <c r="G324" s="2" t="str">
        <f t="array" ref="G324">IF(NOW()&gt;AR324,"",IF(AND((WEEKDAY($A324)+$B$2)&gt;1,((WEEKDAY($A324)+$T$2)&lt;7),(WEEKDAY($A324)&lt;&gt;1)),"work",(INDEX(Subject!$A:$I,MATCH(RANDBETWEEN(1,(MAX(Subject!$B:$B))),Subject!$B:$B,0),3))))</f>
        <v/>
      </c>
      <c r="H324" s="2" t="str">
        <f t="array" ref="H324">IF(NOW()&gt;AS324,"",IF(AND((WEEKDAY($A324)+$B$2)&gt;1,((WEEKDAY($A324)+$T$2)&lt;7),(WEEKDAY($A324)&lt;&gt;1)),"work",(INDEX(Subject!$A:$I,MATCH(RANDBETWEEN(1,(MAX(Subject!$B:$B))),Subject!$B:$B,0),3))))</f>
        <v/>
      </c>
      <c r="I324" s="2" t="str">
        <f t="array" ref="I324">IF(NOW()&gt;AT324,"",IF(AND((WEEKDAY($A324)+$B$2)&gt;1,((WEEKDAY($A324)+$T$2)&lt;7),(WEEKDAY($A324)&lt;&gt;1)),"work",(INDEX(Subject!$A:$I,MATCH(RANDBETWEEN(1,(MAX(Subject!$B:$B))),Subject!$B:$B,0),3))))</f>
        <v/>
      </c>
      <c r="J324" s="2" t="str">
        <f t="array" ref="J324">IF(NOW()&gt;AU324,"",IF(AND((WEEKDAY($A324)+$B$2)&gt;1,((WEEKDAY($A324)+$T$2)&lt;7),(WEEKDAY($A324)&lt;&gt;1)),"work",(INDEX(Subject!$A:$I,MATCH(RANDBETWEEN(1,(MAX(Subject!$B:$B))),Subject!$B:$B,0),3))))</f>
        <v/>
      </c>
      <c r="K324" s="2" t="str">
        <f t="array" ref="K324">IF(NOW()&gt;AV324,"",IF(AND((WEEKDAY($A324)+$B$2)&gt;1,((WEEKDAY($A324)+$T$2)&lt;7),(WEEKDAY($A324)&lt;&gt;1)),"work",(INDEX(Subject!$A:$I,MATCH(RANDBETWEEN(1,(MAX(Subject!$B:$B))),Subject!$B:$B,0),3))))</f>
        <v/>
      </c>
      <c r="L324" s="2" t="str">
        <f t="array" ref="L324">IF(NOW()&gt;AW324,"",IF(AND((WEEKDAY($A324)+$B$2)&gt;1,((WEEKDAY($A324)+$T$2)&lt;7),(WEEKDAY($A324)&lt;&gt;1)),"work",(INDEX(Subject!$A:$I,MATCH(RANDBETWEEN(1,(MAX(Subject!$B:$B))),Subject!$B:$B,0),3))))</f>
        <v/>
      </c>
      <c r="M324" s="2" t="str">
        <f t="array" ref="M324">IF(NOW()&gt;AX324,"",IF(AND((WEEKDAY($A324)+$B$2)&gt;1,((WEEKDAY($A324)+$T$2)&lt;7),(WEEKDAY($A324)&lt;&gt;1)),"work",(INDEX(Subject!$A:$I,MATCH(RANDBETWEEN(1,(MAX(Subject!$B:$B))),Subject!$B:$B,0),3))))</f>
        <v/>
      </c>
      <c r="N324" s="2" t="str">
        <f t="array" ref="N324">IF(NOW()&gt;AY324,"",IF(AND((WEEKDAY($A324)+$B$2)&gt;1,((WEEKDAY($A324)+$T$2)&lt;7),(WEEKDAY($A324)&lt;&gt;1)),"work",(INDEX(Subject!$A:$I,MATCH(RANDBETWEEN(1,(MAX(Subject!$B:$B))),Subject!$B:$B,0),3))))</f>
        <v/>
      </c>
      <c r="O324" s="2" t="str">
        <f t="array" ref="O324">IF(NOW()&gt;AZ324,"",IF(AND((WEEKDAY($A324)+$B$2)&gt;1,((WEEKDAY($A324)+$T$2)&lt;7),(WEEKDAY($A324)&lt;&gt;1)),"work",(INDEX(Subject!$A:$I,MATCH(RANDBETWEEN(1,(MAX(Subject!$B:$B))),Subject!$B:$B,0),3))))</f>
        <v/>
      </c>
      <c r="P324" s="2" t="str">
        <f t="array" ref="P324">IF(NOW()&gt;BA324,"",IF(AND((WEEKDAY($A324)+$B$2)&gt;1,((WEEKDAY($A324)+$T$2)&lt;7),(WEEKDAY($A324)&lt;&gt;1)),"work",(INDEX(Subject!$A:$I,MATCH(RANDBETWEEN(1,(MAX(Subject!$B:$B))),Subject!$B:$B,0),3))))</f>
        <v/>
      </c>
      <c r="Q324" s="2" t="str">
        <f t="array" ref="Q324">IF(NOW()&gt;BB324,"",IF(AND((WEEKDAY($A324)+$B$2)&gt;1,((WEEKDAY($A324)+$T$2)&lt;7),(WEEKDAY($A324)&lt;&gt;1)),"work",(INDEX(Subject!$A:$I,MATCH(RANDBETWEEN(1,(MAX(Subject!$B:$B))),Subject!$B:$B,0),3))))</f>
        <v/>
      </c>
      <c r="R324" s="2" t="str">
        <f t="array" ref="R324">IF(NOW()&gt;BC324,"",IF(AND((WEEKDAY($A324)+$B$2)&gt;1,((WEEKDAY($A324)+$T$2)&lt;7),(WEEKDAY($A324)&lt;&gt;1)),"work",(INDEX(Subject!$A:$I,MATCH(RANDBETWEEN(1,(MAX(Subject!$B:$B))),Subject!$B:$B,0),3))))</f>
        <v/>
      </c>
      <c r="S324" s="2" t="str">
        <f t="array" ref="S324">IF(NOW()&gt;BD324,"",IF(AND((WEEKDAY($A324)+$B$2)&gt;1,((WEEKDAY($A324)+$T$2)&lt;7),(WEEKDAY($A324)&lt;&gt;1)),"work",(INDEX(Subject!$A:$I,MATCH(RANDBETWEEN(1,(MAX(Subject!$B:$B))),Subject!$B:$B,0),3))))</f>
        <v/>
      </c>
      <c r="T324" s="2" t="str">
        <f t="array" ref="T324">IF(NOW()&gt;BE324,"",IF(AND((WEEKDAY($A324)+$B$2)&gt;1,((WEEKDAY($A324)+$T$2)&lt;7),(WEEKDAY($A324)&lt;&gt;1)),"work",(INDEX(Subject!$A:$I,MATCH(RANDBETWEEN(1,(MAX(Subject!$B:$B))),Subject!$B:$B,0),3))))</f>
        <v/>
      </c>
      <c r="U324" s="8" t="str">
        <f t="array" ref="U324">INDEX(Subject!$A:$I,MATCH(RANDBETWEEN(1,16),Subject!$B:$B,0),3)</f>
        <v>#N/A</v>
      </c>
      <c r="V324" s="8" t="str">
        <f t="array" ref="V324">INDEX(Subject!$A:$I,MATCH(RANDBETWEEN(1,16),Subject!$B:$B,0),3)</f>
        <v>#N/A</v>
      </c>
      <c r="W324" s="8" t="str">
        <f t="array" ref="W324">INDEX(Subject!$A:$I,MATCH(RANDBETWEEN(1,16),Subject!$B:$B,0),3)</f>
        <v>#N/A</v>
      </c>
      <c r="X324" s="8" t="str">
        <f t="array" ref="X324">INDEX(Subject!$A:$I,MATCH(RANDBETWEEN(1,16),Subject!$B:$B,0),3)</f>
        <v>#N/A</v>
      </c>
      <c r="Y324" s="8" t="str">
        <f t="array" ref="Y324">INDEX(Subject!$A:$I,MATCH(RANDBETWEEN(1,16),Subject!$B:$B,0),3)</f>
        <v>#N/A</v>
      </c>
      <c r="Z324" s="8" t="str">
        <f t="array" ref="Z324">INDEX(Subject!$A:$I,MATCH(RANDBETWEEN(1,16),Subject!$B:$B,0),3)</f>
        <v/>
      </c>
      <c r="AA324" s="8" t="str">
        <f t="array" ref="AA324">INDEX(Subject!$A:$I,MATCH(RANDBETWEEN(1,16),Subject!$B:$B,0),3)</f>
        <v>#N/A</v>
      </c>
      <c r="AB324" s="8" t="str">
        <f t="array" ref="AB324">INDEX(Subject!$A:$I,MATCH(RANDBETWEEN(1,16),Subject!$B:$B,0),3)</f>
        <v>#N/A</v>
      </c>
      <c r="AC324" s="8" t="str">
        <f t="array" ref="AC324">INDEX(Subject!$A:$I,MATCH(RANDBETWEEN(1,16),Subject!$B:$B,0),3)</f>
        <v>#N/A</v>
      </c>
      <c r="AD324" s="8" t="str">
        <f t="array" ref="AD324">INDEX(Subject!$A:$I,MATCH(RANDBETWEEN(1,16),Subject!$B:$B,0),3)</f>
        <v>#N/A</v>
      </c>
      <c r="AE324" s="8" t="str">
        <f t="array" ref="AE324">INDEX(Subject!$A:$I,MATCH(RANDBETWEEN(1,16),Subject!$B:$B,0),3)</f>
        <v>#N/A</v>
      </c>
      <c r="AF324" s="8" t="str">
        <f t="array" ref="AF324">INDEX(Subject!$A:$I,MATCH(RANDBETWEEN(1,16),Subject!$B:$B,0),3)</f>
        <v>#N/A</v>
      </c>
      <c r="AG324" s="8" t="str">
        <f t="array" ref="AG324">INDEX(Subject!$A:$I,MATCH(RANDBETWEEN(1,16),Subject!$B:$B,0),3)</f>
        <v>#N/A</v>
      </c>
      <c r="AH324" s="8" t="str">
        <f t="array" ref="AH324">INDEX(Subject!$A:$I,MATCH(RANDBETWEEN(1,16),Subject!$B:$B,0),3)</f>
        <v>#N/A</v>
      </c>
      <c r="AI324" s="8" t="str">
        <f t="array" ref="AI324">INDEX(Subject!$A:$I,MATCH(RANDBETWEEN(1,16),Subject!$B:$B,0),3)</f>
        <v>#N/A</v>
      </c>
      <c r="AJ324" s="8" t="str">
        <f t="array" ref="AJ324">INDEX(Subject!$A:$I,MATCH(RANDBETWEEN(1,16),Subject!$B:$B,0),3)</f>
        <v>#N/A</v>
      </c>
      <c r="AK324" s="8" t="str">
        <f t="array" ref="AK324">INDEX(Subject!$A:$I,MATCH(RANDBETWEEN(1,16),Subject!$B:$B,0),3)</f>
        <v>#N/A</v>
      </c>
      <c r="AL324" s="8" t="str">
        <f t="array" ref="AL324">INDEX(Subject!$A:$I,MATCH(RANDBETWEEN(1,16),Subject!$B:$B,0),3)</f>
        <v>#N/A</v>
      </c>
      <c r="AM324" s="18">
        <f t="shared" si="4"/>
        <v>45824.33333</v>
      </c>
      <c r="AN324" s="19">
        <f t="shared" ref="AN324:BZ324" si="324">$A324+C$1</f>
        <v>45824.35417</v>
      </c>
      <c r="AO324" s="19">
        <f t="shared" si="324"/>
        <v>45824.375</v>
      </c>
      <c r="AP324" s="19">
        <f t="shared" si="324"/>
        <v>45824.39583</v>
      </c>
      <c r="AQ324" s="19">
        <f t="shared" si="324"/>
        <v>45824.41667</v>
      </c>
      <c r="AR324" s="19">
        <f t="shared" si="324"/>
        <v>45824.4375</v>
      </c>
      <c r="AS324" s="19">
        <f t="shared" si="324"/>
        <v>45824.45833</v>
      </c>
      <c r="AT324" s="19">
        <f t="shared" si="324"/>
        <v>45824.47917</v>
      </c>
      <c r="AU324" s="19">
        <f t="shared" si="324"/>
        <v>45824.5</v>
      </c>
      <c r="AV324" s="19">
        <f t="shared" si="324"/>
        <v>45824.52083</v>
      </c>
      <c r="AW324" s="19">
        <f t="shared" si="324"/>
        <v>45824.54167</v>
      </c>
      <c r="AX324" s="19">
        <f t="shared" si="324"/>
        <v>45824.5625</v>
      </c>
      <c r="AY324" s="19">
        <f t="shared" si="324"/>
        <v>45824.58333</v>
      </c>
      <c r="AZ324" s="19">
        <f t="shared" si="324"/>
        <v>45824.60417</v>
      </c>
      <c r="BA324" s="19">
        <f t="shared" si="324"/>
        <v>45824.625</v>
      </c>
      <c r="BB324" s="19">
        <f t="shared" si="324"/>
        <v>45824.64583</v>
      </c>
      <c r="BC324" s="19">
        <f t="shared" si="324"/>
        <v>45824.66667</v>
      </c>
      <c r="BD324" s="19">
        <f t="shared" si="324"/>
        <v>45824.6875</v>
      </c>
      <c r="BE324" s="19">
        <f t="shared" si="324"/>
        <v>45824.70833</v>
      </c>
      <c r="BF324" s="19">
        <f t="shared" si="324"/>
        <v>45824.72917</v>
      </c>
      <c r="BG324" s="19">
        <f t="shared" si="324"/>
        <v>45824.75</v>
      </c>
      <c r="BH324" s="19">
        <f t="shared" si="324"/>
        <v>45824.77083</v>
      </c>
      <c r="BI324" s="19">
        <f t="shared" si="324"/>
        <v>45824.79167</v>
      </c>
      <c r="BJ324" s="19">
        <f t="shared" si="324"/>
        <v>45824.8125</v>
      </c>
      <c r="BK324" s="19">
        <f t="shared" si="324"/>
        <v>45824.83333</v>
      </c>
      <c r="BL324" s="19">
        <f t="shared" si="324"/>
        <v>45824.85417</v>
      </c>
      <c r="BM324" s="19">
        <f t="shared" si="324"/>
        <v>45824.875</v>
      </c>
      <c r="BN324" s="19">
        <f t="shared" si="324"/>
        <v>45824.89583</v>
      </c>
      <c r="BO324" s="19">
        <f t="shared" si="324"/>
        <v>45824.91667</v>
      </c>
      <c r="BP324" s="19">
        <f t="shared" si="324"/>
        <v>45824.9375</v>
      </c>
      <c r="BQ324" s="19">
        <f t="shared" si="324"/>
        <v>45824.95833</v>
      </c>
      <c r="BR324" s="19">
        <f t="shared" si="324"/>
        <v>45824.97917</v>
      </c>
      <c r="BS324" s="19">
        <f t="shared" si="324"/>
        <v>45825</v>
      </c>
      <c r="BT324" s="19">
        <f t="shared" si="324"/>
        <v>45825.02083</v>
      </c>
      <c r="BU324" s="19">
        <f t="shared" si="324"/>
        <v>45825.04167</v>
      </c>
      <c r="BV324" s="19">
        <f t="shared" si="324"/>
        <v>45825.0625</v>
      </c>
      <c r="BW324" s="19">
        <f t="shared" si="324"/>
        <v>45825.08333</v>
      </c>
      <c r="BX324" s="19">
        <f t="shared" si="324"/>
        <v>45824</v>
      </c>
      <c r="BY324" s="19">
        <f t="shared" si="324"/>
        <v>45824</v>
      </c>
      <c r="BZ324" s="19">
        <f t="shared" si="324"/>
        <v>45824</v>
      </c>
    </row>
    <row r="325" ht="14.25" customHeight="1">
      <c r="A325" s="17">
        <v>45825.0</v>
      </c>
      <c r="B325" s="2" t="str">
        <f t="array" ref="B325">IF(NOW()&gt;AM325,"",IF(AND((WEEKDAY($A325)+$B$2)&gt;1,((WEEKDAY($A325)+$T$2)&lt;7),(WEEKDAY($A325)&lt;&gt;1)),"work",(INDEX(Subject!$A:$I,MATCH(RANDBETWEEN(1,(MAX(Subject!$B:$B))),Subject!$B:$B,0),3))))</f>
        <v/>
      </c>
      <c r="C325" s="2" t="str">
        <f t="array" ref="C325">IF(NOW()&gt;AN325,"",IF(AND((WEEKDAY($A325)+$B$2)&gt;1,((WEEKDAY($A325)+$T$2)&lt;7),(WEEKDAY($A325)&lt;&gt;1)),"work",(INDEX(Subject!$A:$I,MATCH(RANDBETWEEN(1,(MAX(Subject!$B:$B))),Subject!$B:$B,0),3))))</f>
        <v/>
      </c>
      <c r="D325" s="2" t="str">
        <f t="array" ref="D325">IF(NOW()&gt;AO325,"",IF(AND((WEEKDAY($A325)+$B$2)&gt;1,((WEEKDAY($A325)+$T$2)&lt;7),(WEEKDAY($A325)&lt;&gt;1)),"work",(INDEX(Subject!$A:$I,MATCH(RANDBETWEEN(1,(MAX(Subject!$B:$B))),Subject!$B:$B,0),3))))</f>
        <v/>
      </c>
      <c r="E325" s="2" t="str">
        <f t="array" ref="E325">IF(NOW()&gt;AP325,"",IF(AND((WEEKDAY($A325)+$B$2)&gt;1,((WEEKDAY($A325)+$T$2)&lt;7),(WEEKDAY($A325)&lt;&gt;1)),"work",(INDEX(Subject!$A:$I,MATCH(RANDBETWEEN(1,(MAX(Subject!$B:$B))),Subject!$B:$B,0),3))))</f>
        <v/>
      </c>
      <c r="F325" s="2" t="str">
        <f t="array" ref="F325">IF(NOW()&gt;AQ325,"",IF(AND((WEEKDAY($A325)+$B$2)&gt;1,((WEEKDAY($A325)+$T$2)&lt;7),(WEEKDAY($A325)&lt;&gt;1)),"work",(INDEX(Subject!$A:$I,MATCH(RANDBETWEEN(1,(MAX(Subject!$B:$B))),Subject!$B:$B,0),3))))</f>
        <v/>
      </c>
      <c r="G325" s="2" t="str">
        <f t="array" ref="G325">IF(NOW()&gt;AR325,"",IF(AND((WEEKDAY($A325)+$B$2)&gt;1,((WEEKDAY($A325)+$T$2)&lt;7),(WEEKDAY($A325)&lt;&gt;1)),"work",(INDEX(Subject!$A:$I,MATCH(RANDBETWEEN(1,(MAX(Subject!$B:$B))),Subject!$B:$B,0),3))))</f>
        <v/>
      </c>
      <c r="H325" s="2" t="str">
        <f t="array" ref="H325">IF(NOW()&gt;AS325,"",IF(AND((WEEKDAY($A325)+$B$2)&gt;1,((WEEKDAY($A325)+$T$2)&lt;7),(WEEKDAY($A325)&lt;&gt;1)),"work",(INDEX(Subject!$A:$I,MATCH(RANDBETWEEN(1,(MAX(Subject!$B:$B))),Subject!$B:$B,0),3))))</f>
        <v/>
      </c>
      <c r="I325" s="2" t="str">
        <f t="array" ref="I325">IF(NOW()&gt;AT325,"",IF(AND((WEEKDAY($A325)+$B$2)&gt;1,((WEEKDAY($A325)+$T$2)&lt;7),(WEEKDAY($A325)&lt;&gt;1)),"work",(INDEX(Subject!$A:$I,MATCH(RANDBETWEEN(1,(MAX(Subject!$B:$B))),Subject!$B:$B,0),3))))</f>
        <v/>
      </c>
      <c r="J325" s="2" t="str">
        <f t="array" ref="J325">IF(NOW()&gt;AU325,"",IF(AND((WEEKDAY($A325)+$B$2)&gt;1,((WEEKDAY($A325)+$T$2)&lt;7),(WEEKDAY($A325)&lt;&gt;1)),"work",(INDEX(Subject!$A:$I,MATCH(RANDBETWEEN(1,(MAX(Subject!$B:$B))),Subject!$B:$B,0),3))))</f>
        <v/>
      </c>
      <c r="K325" s="2" t="str">
        <f t="array" ref="K325">IF(NOW()&gt;AV325,"",IF(AND((WEEKDAY($A325)+$B$2)&gt;1,((WEEKDAY($A325)+$T$2)&lt;7),(WEEKDAY($A325)&lt;&gt;1)),"work",(INDEX(Subject!$A:$I,MATCH(RANDBETWEEN(1,(MAX(Subject!$B:$B))),Subject!$B:$B,0),3))))</f>
        <v/>
      </c>
      <c r="L325" s="2" t="str">
        <f t="array" ref="L325">IF(NOW()&gt;AW325,"",IF(AND((WEEKDAY($A325)+$B$2)&gt;1,((WEEKDAY($A325)+$T$2)&lt;7),(WEEKDAY($A325)&lt;&gt;1)),"work",(INDEX(Subject!$A:$I,MATCH(RANDBETWEEN(1,(MAX(Subject!$B:$B))),Subject!$B:$B,0),3))))</f>
        <v/>
      </c>
      <c r="M325" s="2" t="str">
        <f t="array" ref="M325">IF(NOW()&gt;AX325,"",IF(AND((WEEKDAY($A325)+$B$2)&gt;1,((WEEKDAY($A325)+$T$2)&lt;7),(WEEKDAY($A325)&lt;&gt;1)),"work",(INDEX(Subject!$A:$I,MATCH(RANDBETWEEN(1,(MAX(Subject!$B:$B))),Subject!$B:$B,0),3))))</f>
        <v/>
      </c>
      <c r="N325" s="2" t="str">
        <f t="array" ref="N325">IF(NOW()&gt;AY325,"",IF(AND((WEEKDAY($A325)+$B$2)&gt;1,((WEEKDAY($A325)+$T$2)&lt;7),(WEEKDAY($A325)&lt;&gt;1)),"work",(INDEX(Subject!$A:$I,MATCH(RANDBETWEEN(1,(MAX(Subject!$B:$B))),Subject!$B:$B,0),3))))</f>
        <v/>
      </c>
      <c r="O325" s="2" t="str">
        <f t="array" ref="O325">IF(NOW()&gt;AZ325,"",IF(AND((WEEKDAY($A325)+$B$2)&gt;1,((WEEKDAY($A325)+$T$2)&lt;7),(WEEKDAY($A325)&lt;&gt;1)),"work",(INDEX(Subject!$A:$I,MATCH(RANDBETWEEN(1,(MAX(Subject!$B:$B))),Subject!$B:$B,0),3))))</f>
        <v/>
      </c>
      <c r="P325" s="2" t="str">
        <f t="array" ref="P325">IF(NOW()&gt;BA325,"",IF(AND((WEEKDAY($A325)+$B$2)&gt;1,((WEEKDAY($A325)+$T$2)&lt;7),(WEEKDAY($A325)&lt;&gt;1)),"work",(INDEX(Subject!$A:$I,MATCH(RANDBETWEEN(1,(MAX(Subject!$B:$B))),Subject!$B:$B,0),3))))</f>
        <v/>
      </c>
      <c r="Q325" s="2" t="str">
        <f t="array" ref="Q325">IF(NOW()&gt;BB325,"",IF(AND((WEEKDAY($A325)+$B$2)&gt;1,((WEEKDAY($A325)+$T$2)&lt;7),(WEEKDAY($A325)&lt;&gt;1)),"work",(INDEX(Subject!$A:$I,MATCH(RANDBETWEEN(1,(MAX(Subject!$B:$B))),Subject!$B:$B,0),3))))</f>
        <v/>
      </c>
      <c r="R325" s="2" t="str">
        <f t="array" ref="R325">IF(NOW()&gt;BC325,"",IF(AND((WEEKDAY($A325)+$B$2)&gt;1,((WEEKDAY($A325)+$T$2)&lt;7),(WEEKDAY($A325)&lt;&gt;1)),"work",(INDEX(Subject!$A:$I,MATCH(RANDBETWEEN(1,(MAX(Subject!$B:$B))),Subject!$B:$B,0),3))))</f>
        <v/>
      </c>
      <c r="S325" s="2" t="str">
        <f t="array" ref="S325">IF(NOW()&gt;BD325,"",IF(AND((WEEKDAY($A325)+$B$2)&gt;1,((WEEKDAY($A325)+$T$2)&lt;7),(WEEKDAY($A325)&lt;&gt;1)),"work",(INDEX(Subject!$A:$I,MATCH(RANDBETWEEN(1,(MAX(Subject!$B:$B))),Subject!$B:$B,0),3))))</f>
        <v/>
      </c>
      <c r="T325" s="2" t="str">
        <f t="array" ref="T325">IF(NOW()&gt;BE325,"",IF(AND((WEEKDAY($A325)+$B$2)&gt;1,((WEEKDAY($A325)+$T$2)&lt;7),(WEEKDAY($A325)&lt;&gt;1)),"work",(INDEX(Subject!$A:$I,MATCH(RANDBETWEEN(1,(MAX(Subject!$B:$B))),Subject!$B:$B,0),3))))</f>
        <v/>
      </c>
      <c r="U325" s="8" t="str">
        <f t="array" ref="U325">INDEX(Subject!$A:$I,MATCH(RANDBETWEEN(1,16),Subject!$B:$B,0),3)</f>
        <v>#N/A</v>
      </c>
      <c r="V325" s="8" t="str">
        <f t="array" ref="V325">INDEX(Subject!$A:$I,MATCH(RANDBETWEEN(1,16),Subject!$B:$B,0),3)</f>
        <v>#N/A</v>
      </c>
      <c r="W325" s="8" t="str">
        <f t="array" ref="W325">INDEX(Subject!$A:$I,MATCH(RANDBETWEEN(1,16),Subject!$B:$B,0),3)</f>
        <v>#N/A</v>
      </c>
      <c r="X325" s="8" t="str">
        <f t="array" ref="X325">INDEX(Subject!$A:$I,MATCH(RANDBETWEEN(1,16),Subject!$B:$B,0),3)</f>
        <v>#N/A</v>
      </c>
      <c r="Y325" s="8" t="str">
        <f t="array" ref="Y325">INDEX(Subject!$A:$I,MATCH(RANDBETWEEN(1,16),Subject!$B:$B,0),3)</f>
        <v>#N/A</v>
      </c>
      <c r="Z325" s="8" t="str">
        <f t="array" ref="Z325">INDEX(Subject!$A:$I,MATCH(RANDBETWEEN(1,16),Subject!$B:$B,0),3)</f>
        <v>#N/A</v>
      </c>
      <c r="AA325" s="8" t="str">
        <f t="array" ref="AA325">INDEX(Subject!$A:$I,MATCH(RANDBETWEEN(1,16),Subject!$B:$B,0),3)</f>
        <v>#N/A</v>
      </c>
      <c r="AB325" s="8" t="str">
        <f t="array" ref="AB325">INDEX(Subject!$A:$I,MATCH(RANDBETWEEN(1,16),Subject!$B:$B,0),3)</f>
        <v>#N/A</v>
      </c>
      <c r="AC325" s="8" t="str">
        <f t="array" ref="AC325">INDEX(Subject!$A:$I,MATCH(RANDBETWEEN(1,16),Subject!$B:$B,0),3)</f>
        <v>#N/A</v>
      </c>
      <c r="AD325" s="8" t="str">
        <f t="array" ref="AD325">INDEX(Subject!$A:$I,MATCH(RANDBETWEEN(1,16),Subject!$B:$B,0),3)</f>
        <v>#N/A</v>
      </c>
      <c r="AE325" s="8" t="str">
        <f t="array" ref="AE325">INDEX(Subject!$A:$I,MATCH(RANDBETWEEN(1,16),Subject!$B:$B,0),3)</f>
        <v>#N/A</v>
      </c>
      <c r="AF325" s="8" t="str">
        <f t="array" ref="AF325">INDEX(Subject!$A:$I,MATCH(RANDBETWEEN(1,16),Subject!$B:$B,0),3)</f>
        <v>#N/A</v>
      </c>
      <c r="AG325" s="8" t="str">
        <f t="array" ref="AG325">INDEX(Subject!$A:$I,MATCH(RANDBETWEEN(1,16),Subject!$B:$B,0),3)</f>
        <v>#N/A</v>
      </c>
      <c r="AH325" s="8" t="str">
        <f t="array" ref="AH325">INDEX(Subject!$A:$I,MATCH(RANDBETWEEN(1,16),Subject!$B:$B,0),3)</f>
        <v>#N/A</v>
      </c>
      <c r="AI325" s="8" t="str">
        <f t="array" ref="AI325">INDEX(Subject!$A:$I,MATCH(RANDBETWEEN(1,16),Subject!$B:$B,0),3)</f>
        <v>#N/A</v>
      </c>
      <c r="AJ325" s="8" t="str">
        <f t="array" ref="AJ325">INDEX(Subject!$A:$I,MATCH(RANDBETWEEN(1,16),Subject!$B:$B,0),3)</f>
        <v>#N/A</v>
      </c>
      <c r="AK325" s="8" t="str">
        <f t="array" ref="AK325">INDEX(Subject!$A:$I,MATCH(RANDBETWEEN(1,16),Subject!$B:$B,0),3)</f>
        <v>#N/A</v>
      </c>
      <c r="AL325" s="8" t="str">
        <f t="array" ref="AL325">INDEX(Subject!$A:$I,MATCH(RANDBETWEEN(1,16),Subject!$B:$B,0),3)</f>
        <v>#N/A</v>
      </c>
      <c r="AM325" s="18">
        <f t="shared" si="4"/>
        <v>45825.33333</v>
      </c>
      <c r="AN325" s="19">
        <f t="shared" ref="AN325:BZ325" si="325">$A325+C$1</f>
        <v>45825.35417</v>
      </c>
      <c r="AO325" s="19">
        <f t="shared" si="325"/>
        <v>45825.375</v>
      </c>
      <c r="AP325" s="19">
        <f t="shared" si="325"/>
        <v>45825.39583</v>
      </c>
      <c r="AQ325" s="19">
        <f t="shared" si="325"/>
        <v>45825.41667</v>
      </c>
      <c r="AR325" s="19">
        <f t="shared" si="325"/>
        <v>45825.4375</v>
      </c>
      <c r="AS325" s="19">
        <f t="shared" si="325"/>
        <v>45825.45833</v>
      </c>
      <c r="AT325" s="19">
        <f t="shared" si="325"/>
        <v>45825.47917</v>
      </c>
      <c r="AU325" s="19">
        <f t="shared" si="325"/>
        <v>45825.5</v>
      </c>
      <c r="AV325" s="19">
        <f t="shared" si="325"/>
        <v>45825.52083</v>
      </c>
      <c r="AW325" s="19">
        <f t="shared" si="325"/>
        <v>45825.54167</v>
      </c>
      <c r="AX325" s="19">
        <f t="shared" si="325"/>
        <v>45825.5625</v>
      </c>
      <c r="AY325" s="19">
        <f t="shared" si="325"/>
        <v>45825.58333</v>
      </c>
      <c r="AZ325" s="19">
        <f t="shared" si="325"/>
        <v>45825.60417</v>
      </c>
      <c r="BA325" s="19">
        <f t="shared" si="325"/>
        <v>45825.625</v>
      </c>
      <c r="BB325" s="19">
        <f t="shared" si="325"/>
        <v>45825.64583</v>
      </c>
      <c r="BC325" s="19">
        <f t="shared" si="325"/>
        <v>45825.66667</v>
      </c>
      <c r="BD325" s="19">
        <f t="shared" si="325"/>
        <v>45825.6875</v>
      </c>
      <c r="BE325" s="19">
        <f t="shared" si="325"/>
        <v>45825.70833</v>
      </c>
      <c r="BF325" s="19">
        <f t="shared" si="325"/>
        <v>45825.72917</v>
      </c>
      <c r="BG325" s="19">
        <f t="shared" si="325"/>
        <v>45825.75</v>
      </c>
      <c r="BH325" s="19">
        <f t="shared" si="325"/>
        <v>45825.77083</v>
      </c>
      <c r="BI325" s="19">
        <f t="shared" si="325"/>
        <v>45825.79167</v>
      </c>
      <c r="BJ325" s="19">
        <f t="shared" si="325"/>
        <v>45825.8125</v>
      </c>
      <c r="BK325" s="19">
        <f t="shared" si="325"/>
        <v>45825.83333</v>
      </c>
      <c r="BL325" s="19">
        <f t="shared" si="325"/>
        <v>45825.85417</v>
      </c>
      <c r="BM325" s="19">
        <f t="shared" si="325"/>
        <v>45825.875</v>
      </c>
      <c r="BN325" s="19">
        <f t="shared" si="325"/>
        <v>45825.89583</v>
      </c>
      <c r="BO325" s="19">
        <f t="shared" si="325"/>
        <v>45825.91667</v>
      </c>
      <c r="BP325" s="19">
        <f t="shared" si="325"/>
        <v>45825.9375</v>
      </c>
      <c r="BQ325" s="19">
        <f t="shared" si="325"/>
        <v>45825.95833</v>
      </c>
      <c r="BR325" s="19">
        <f t="shared" si="325"/>
        <v>45825.97917</v>
      </c>
      <c r="BS325" s="19">
        <f t="shared" si="325"/>
        <v>45826</v>
      </c>
      <c r="BT325" s="19">
        <f t="shared" si="325"/>
        <v>45826.02083</v>
      </c>
      <c r="BU325" s="19">
        <f t="shared" si="325"/>
        <v>45826.04167</v>
      </c>
      <c r="BV325" s="19">
        <f t="shared" si="325"/>
        <v>45826.0625</v>
      </c>
      <c r="BW325" s="19">
        <f t="shared" si="325"/>
        <v>45826.08333</v>
      </c>
      <c r="BX325" s="19">
        <f t="shared" si="325"/>
        <v>45825</v>
      </c>
      <c r="BY325" s="19">
        <f t="shared" si="325"/>
        <v>45825</v>
      </c>
      <c r="BZ325" s="19">
        <f t="shared" si="325"/>
        <v>45825</v>
      </c>
    </row>
    <row r="326" ht="14.25" customHeight="1">
      <c r="A326" s="17">
        <v>45826.0</v>
      </c>
      <c r="B326" s="2" t="str">
        <f t="array" ref="B326">IF(NOW()&gt;AM326,"",IF(AND((WEEKDAY($A326)+$B$2)&gt;1,((WEEKDAY($A326)+$T$2)&lt;7),(WEEKDAY($A326)&lt;&gt;1)),"work",(INDEX(Subject!$A:$I,MATCH(RANDBETWEEN(1,(MAX(Subject!$B:$B))),Subject!$B:$B,0),3))))</f>
        <v/>
      </c>
      <c r="C326" s="2" t="str">
        <f t="array" ref="C326">IF(NOW()&gt;AN326,"",IF(AND((WEEKDAY($A326)+$B$2)&gt;1,((WEEKDAY($A326)+$T$2)&lt;7),(WEEKDAY($A326)&lt;&gt;1)),"work",(INDEX(Subject!$A:$I,MATCH(RANDBETWEEN(1,(MAX(Subject!$B:$B))),Subject!$B:$B,0),3))))</f>
        <v/>
      </c>
      <c r="D326" s="2" t="str">
        <f t="array" ref="D326">IF(NOW()&gt;AO326,"",IF(AND((WEEKDAY($A326)+$B$2)&gt;1,((WEEKDAY($A326)+$T$2)&lt;7),(WEEKDAY($A326)&lt;&gt;1)),"work",(INDEX(Subject!$A:$I,MATCH(RANDBETWEEN(1,(MAX(Subject!$B:$B))),Subject!$B:$B,0),3))))</f>
        <v/>
      </c>
      <c r="E326" s="2" t="str">
        <f t="array" ref="E326">IF(NOW()&gt;AP326,"",IF(AND((WEEKDAY($A326)+$B$2)&gt;1,((WEEKDAY($A326)+$T$2)&lt;7),(WEEKDAY($A326)&lt;&gt;1)),"work",(INDEX(Subject!$A:$I,MATCH(RANDBETWEEN(1,(MAX(Subject!$B:$B))),Subject!$B:$B,0),3))))</f>
        <v/>
      </c>
      <c r="F326" s="2" t="str">
        <f t="array" ref="F326">IF(NOW()&gt;AQ326,"",IF(AND((WEEKDAY($A326)+$B$2)&gt;1,((WEEKDAY($A326)+$T$2)&lt;7),(WEEKDAY($A326)&lt;&gt;1)),"work",(INDEX(Subject!$A:$I,MATCH(RANDBETWEEN(1,(MAX(Subject!$B:$B))),Subject!$B:$B,0),3))))</f>
        <v/>
      </c>
      <c r="G326" s="2" t="str">
        <f t="array" ref="G326">IF(NOW()&gt;AR326,"",IF(AND((WEEKDAY($A326)+$B$2)&gt;1,((WEEKDAY($A326)+$T$2)&lt;7),(WEEKDAY($A326)&lt;&gt;1)),"work",(INDEX(Subject!$A:$I,MATCH(RANDBETWEEN(1,(MAX(Subject!$B:$B))),Subject!$B:$B,0),3))))</f>
        <v/>
      </c>
      <c r="H326" s="2" t="str">
        <f t="array" ref="H326">IF(NOW()&gt;AS326,"",IF(AND((WEEKDAY($A326)+$B$2)&gt;1,((WEEKDAY($A326)+$T$2)&lt;7),(WEEKDAY($A326)&lt;&gt;1)),"work",(INDEX(Subject!$A:$I,MATCH(RANDBETWEEN(1,(MAX(Subject!$B:$B))),Subject!$B:$B,0),3))))</f>
        <v/>
      </c>
      <c r="I326" s="2" t="str">
        <f t="array" ref="I326">IF(NOW()&gt;AT326,"",IF(AND((WEEKDAY($A326)+$B$2)&gt;1,((WEEKDAY($A326)+$T$2)&lt;7),(WEEKDAY($A326)&lt;&gt;1)),"work",(INDEX(Subject!$A:$I,MATCH(RANDBETWEEN(1,(MAX(Subject!$B:$B))),Subject!$B:$B,0),3))))</f>
        <v/>
      </c>
      <c r="J326" s="2" t="str">
        <f t="array" ref="J326">IF(NOW()&gt;AU326,"",IF(AND((WEEKDAY($A326)+$B$2)&gt;1,((WEEKDAY($A326)+$T$2)&lt;7),(WEEKDAY($A326)&lt;&gt;1)),"work",(INDEX(Subject!$A:$I,MATCH(RANDBETWEEN(1,(MAX(Subject!$B:$B))),Subject!$B:$B,0),3))))</f>
        <v/>
      </c>
      <c r="K326" s="2" t="str">
        <f t="array" ref="K326">IF(NOW()&gt;AV326,"",IF(AND((WEEKDAY($A326)+$B$2)&gt;1,((WEEKDAY($A326)+$T$2)&lt;7),(WEEKDAY($A326)&lt;&gt;1)),"work",(INDEX(Subject!$A:$I,MATCH(RANDBETWEEN(1,(MAX(Subject!$B:$B))),Subject!$B:$B,0),3))))</f>
        <v/>
      </c>
      <c r="L326" s="2" t="str">
        <f t="array" ref="L326">IF(NOW()&gt;AW326,"",IF(AND((WEEKDAY($A326)+$B$2)&gt;1,((WEEKDAY($A326)+$T$2)&lt;7),(WEEKDAY($A326)&lt;&gt;1)),"work",(INDEX(Subject!$A:$I,MATCH(RANDBETWEEN(1,(MAX(Subject!$B:$B))),Subject!$B:$B,0),3))))</f>
        <v/>
      </c>
      <c r="M326" s="2" t="str">
        <f t="array" ref="M326">IF(NOW()&gt;AX326,"",IF(AND((WEEKDAY($A326)+$B$2)&gt;1,((WEEKDAY($A326)+$T$2)&lt;7),(WEEKDAY($A326)&lt;&gt;1)),"work",(INDEX(Subject!$A:$I,MATCH(RANDBETWEEN(1,(MAX(Subject!$B:$B))),Subject!$B:$B,0),3))))</f>
        <v/>
      </c>
      <c r="N326" s="2" t="str">
        <f t="array" ref="N326">IF(NOW()&gt;AY326,"",IF(AND((WEEKDAY($A326)+$B$2)&gt;1,((WEEKDAY($A326)+$T$2)&lt;7),(WEEKDAY($A326)&lt;&gt;1)),"work",(INDEX(Subject!$A:$I,MATCH(RANDBETWEEN(1,(MAX(Subject!$B:$B))),Subject!$B:$B,0),3))))</f>
        <v/>
      </c>
      <c r="O326" s="2" t="str">
        <f t="array" ref="O326">IF(NOW()&gt;AZ326,"",IF(AND((WEEKDAY($A326)+$B$2)&gt;1,((WEEKDAY($A326)+$T$2)&lt;7),(WEEKDAY($A326)&lt;&gt;1)),"work",(INDEX(Subject!$A:$I,MATCH(RANDBETWEEN(1,(MAX(Subject!$B:$B))),Subject!$B:$B,0),3))))</f>
        <v/>
      </c>
      <c r="P326" s="2" t="str">
        <f t="array" ref="P326">IF(NOW()&gt;BA326,"",IF(AND((WEEKDAY($A326)+$B$2)&gt;1,((WEEKDAY($A326)+$T$2)&lt;7),(WEEKDAY($A326)&lt;&gt;1)),"work",(INDEX(Subject!$A:$I,MATCH(RANDBETWEEN(1,(MAX(Subject!$B:$B))),Subject!$B:$B,0),3))))</f>
        <v/>
      </c>
      <c r="Q326" s="2" t="str">
        <f t="array" ref="Q326">IF(NOW()&gt;BB326,"",IF(AND((WEEKDAY($A326)+$B$2)&gt;1,((WEEKDAY($A326)+$T$2)&lt;7),(WEEKDAY($A326)&lt;&gt;1)),"work",(INDEX(Subject!$A:$I,MATCH(RANDBETWEEN(1,(MAX(Subject!$B:$B))),Subject!$B:$B,0),3))))</f>
        <v/>
      </c>
      <c r="R326" s="2" t="str">
        <f t="array" ref="R326">IF(NOW()&gt;BC326,"",IF(AND((WEEKDAY($A326)+$B$2)&gt;1,((WEEKDAY($A326)+$T$2)&lt;7),(WEEKDAY($A326)&lt;&gt;1)),"work",(INDEX(Subject!$A:$I,MATCH(RANDBETWEEN(1,(MAX(Subject!$B:$B))),Subject!$B:$B,0),3))))</f>
        <v/>
      </c>
      <c r="S326" s="2" t="str">
        <f t="array" ref="S326">IF(NOW()&gt;BD326,"",IF(AND((WEEKDAY($A326)+$B$2)&gt;1,((WEEKDAY($A326)+$T$2)&lt;7),(WEEKDAY($A326)&lt;&gt;1)),"work",(INDEX(Subject!$A:$I,MATCH(RANDBETWEEN(1,(MAX(Subject!$B:$B))),Subject!$B:$B,0),3))))</f>
        <v/>
      </c>
      <c r="T326" s="2" t="str">
        <f t="array" ref="T326">IF(NOW()&gt;BE326,"",IF(AND((WEEKDAY($A326)+$B$2)&gt;1,((WEEKDAY($A326)+$T$2)&lt;7),(WEEKDAY($A326)&lt;&gt;1)),"work",(INDEX(Subject!$A:$I,MATCH(RANDBETWEEN(1,(MAX(Subject!$B:$B))),Subject!$B:$B,0),3))))</f>
        <v/>
      </c>
      <c r="U326" s="8" t="str">
        <f t="array" ref="U326">INDEX(Subject!$A:$I,MATCH(RANDBETWEEN(1,16),Subject!$B:$B,0),3)</f>
        <v>#N/A</v>
      </c>
      <c r="V326" s="8" t="str">
        <f t="array" ref="V326">INDEX(Subject!$A:$I,MATCH(RANDBETWEEN(1,16),Subject!$B:$B,0),3)</f>
        <v>#N/A</v>
      </c>
      <c r="W326" s="8" t="str">
        <f t="array" ref="W326">INDEX(Subject!$A:$I,MATCH(RANDBETWEEN(1,16),Subject!$B:$B,0),3)</f>
        <v>#N/A</v>
      </c>
      <c r="X326" s="8" t="str">
        <f t="array" ref="X326">INDEX(Subject!$A:$I,MATCH(RANDBETWEEN(1,16),Subject!$B:$B,0),3)</f>
        <v>#N/A</v>
      </c>
      <c r="Y326" s="8" t="str">
        <f t="array" ref="Y326">INDEX(Subject!$A:$I,MATCH(RANDBETWEEN(1,16),Subject!$B:$B,0),3)</f>
        <v>#N/A</v>
      </c>
      <c r="Z326" s="8" t="str">
        <f t="array" ref="Z326">INDEX(Subject!$A:$I,MATCH(RANDBETWEEN(1,16),Subject!$B:$B,0),3)</f>
        <v>#N/A</v>
      </c>
      <c r="AA326" s="8" t="str">
        <f t="array" ref="AA326">INDEX(Subject!$A:$I,MATCH(RANDBETWEEN(1,16),Subject!$B:$B,0),3)</f>
        <v>#N/A</v>
      </c>
      <c r="AB326" s="8" t="str">
        <f t="array" ref="AB326">INDEX(Subject!$A:$I,MATCH(RANDBETWEEN(1,16),Subject!$B:$B,0),3)</f>
        <v>#N/A</v>
      </c>
      <c r="AC326" s="8" t="str">
        <f t="array" ref="AC326">INDEX(Subject!$A:$I,MATCH(RANDBETWEEN(1,16),Subject!$B:$B,0),3)</f>
        <v>#N/A</v>
      </c>
      <c r="AD326" s="8" t="str">
        <f t="array" ref="AD326">INDEX(Subject!$A:$I,MATCH(RANDBETWEEN(1,16),Subject!$B:$B,0),3)</f>
        <v>#N/A</v>
      </c>
      <c r="AE326" s="8" t="str">
        <f t="array" ref="AE326">INDEX(Subject!$A:$I,MATCH(RANDBETWEEN(1,16),Subject!$B:$B,0),3)</f>
        <v>#N/A</v>
      </c>
      <c r="AF326" s="8" t="str">
        <f t="array" ref="AF326">INDEX(Subject!$A:$I,MATCH(RANDBETWEEN(1,16),Subject!$B:$B,0),3)</f>
        <v>#N/A</v>
      </c>
      <c r="AG326" s="8" t="str">
        <f t="array" ref="AG326">INDEX(Subject!$A:$I,MATCH(RANDBETWEEN(1,16),Subject!$B:$B,0),3)</f>
        <v>#N/A</v>
      </c>
      <c r="AH326" s="8" t="str">
        <f t="array" ref="AH326">INDEX(Subject!$A:$I,MATCH(RANDBETWEEN(1,16),Subject!$B:$B,0),3)</f>
        <v>#N/A</v>
      </c>
      <c r="AI326" s="8" t="str">
        <f t="array" ref="AI326">INDEX(Subject!$A:$I,MATCH(RANDBETWEEN(1,16),Subject!$B:$B,0),3)</f>
        <v>#N/A</v>
      </c>
      <c r="AJ326" s="8" t="str">
        <f t="array" ref="AJ326">INDEX(Subject!$A:$I,MATCH(RANDBETWEEN(1,16),Subject!$B:$B,0),3)</f>
        <v>#N/A</v>
      </c>
      <c r="AK326" s="8" t="str">
        <f t="array" ref="AK326">INDEX(Subject!$A:$I,MATCH(RANDBETWEEN(1,16),Subject!$B:$B,0),3)</f>
        <v>#N/A</v>
      </c>
      <c r="AL326" s="8" t="str">
        <f t="array" ref="AL326">INDEX(Subject!$A:$I,MATCH(RANDBETWEEN(1,16),Subject!$B:$B,0),3)</f>
        <v>#N/A</v>
      </c>
      <c r="AM326" s="18">
        <f t="shared" si="4"/>
        <v>45826.33333</v>
      </c>
      <c r="AN326" s="19">
        <f t="shared" ref="AN326:BZ326" si="326">$A326+C$1</f>
        <v>45826.35417</v>
      </c>
      <c r="AO326" s="19">
        <f t="shared" si="326"/>
        <v>45826.375</v>
      </c>
      <c r="AP326" s="19">
        <f t="shared" si="326"/>
        <v>45826.39583</v>
      </c>
      <c r="AQ326" s="19">
        <f t="shared" si="326"/>
        <v>45826.41667</v>
      </c>
      <c r="AR326" s="19">
        <f t="shared" si="326"/>
        <v>45826.4375</v>
      </c>
      <c r="AS326" s="19">
        <f t="shared" si="326"/>
        <v>45826.45833</v>
      </c>
      <c r="AT326" s="19">
        <f t="shared" si="326"/>
        <v>45826.47917</v>
      </c>
      <c r="AU326" s="19">
        <f t="shared" si="326"/>
        <v>45826.5</v>
      </c>
      <c r="AV326" s="19">
        <f t="shared" si="326"/>
        <v>45826.52083</v>
      </c>
      <c r="AW326" s="19">
        <f t="shared" si="326"/>
        <v>45826.54167</v>
      </c>
      <c r="AX326" s="19">
        <f t="shared" si="326"/>
        <v>45826.5625</v>
      </c>
      <c r="AY326" s="19">
        <f t="shared" si="326"/>
        <v>45826.58333</v>
      </c>
      <c r="AZ326" s="19">
        <f t="shared" si="326"/>
        <v>45826.60417</v>
      </c>
      <c r="BA326" s="19">
        <f t="shared" si="326"/>
        <v>45826.625</v>
      </c>
      <c r="BB326" s="19">
        <f t="shared" si="326"/>
        <v>45826.64583</v>
      </c>
      <c r="BC326" s="19">
        <f t="shared" si="326"/>
        <v>45826.66667</v>
      </c>
      <c r="BD326" s="19">
        <f t="shared" si="326"/>
        <v>45826.6875</v>
      </c>
      <c r="BE326" s="19">
        <f t="shared" si="326"/>
        <v>45826.70833</v>
      </c>
      <c r="BF326" s="19">
        <f t="shared" si="326"/>
        <v>45826.72917</v>
      </c>
      <c r="BG326" s="19">
        <f t="shared" si="326"/>
        <v>45826.75</v>
      </c>
      <c r="BH326" s="19">
        <f t="shared" si="326"/>
        <v>45826.77083</v>
      </c>
      <c r="BI326" s="19">
        <f t="shared" si="326"/>
        <v>45826.79167</v>
      </c>
      <c r="BJ326" s="19">
        <f t="shared" si="326"/>
        <v>45826.8125</v>
      </c>
      <c r="BK326" s="19">
        <f t="shared" si="326"/>
        <v>45826.83333</v>
      </c>
      <c r="BL326" s="19">
        <f t="shared" si="326"/>
        <v>45826.85417</v>
      </c>
      <c r="BM326" s="19">
        <f t="shared" si="326"/>
        <v>45826.875</v>
      </c>
      <c r="BN326" s="19">
        <f t="shared" si="326"/>
        <v>45826.89583</v>
      </c>
      <c r="BO326" s="19">
        <f t="shared" si="326"/>
        <v>45826.91667</v>
      </c>
      <c r="BP326" s="19">
        <f t="shared" si="326"/>
        <v>45826.9375</v>
      </c>
      <c r="BQ326" s="19">
        <f t="shared" si="326"/>
        <v>45826.95833</v>
      </c>
      <c r="BR326" s="19">
        <f t="shared" si="326"/>
        <v>45826.97917</v>
      </c>
      <c r="BS326" s="19">
        <f t="shared" si="326"/>
        <v>45827</v>
      </c>
      <c r="BT326" s="19">
        <f t="shared" si="326"/>
        <v>45827.02083</v>
      </c>
      <c r="BU326" s="19">
        <f t="shared" si="326"/>
        <v>45827.04167</v>
      </c>
      <c r="BV326" s="19">
        <f t="shared" si="326"/>
        <v>45827.0625</v>
      </c>
      <c r="BW326" s="19">
        <f t="shared" si="326"/>
        <v>45827.08333</v>
      </c>
      <c r="BX326" s="19">
        <f t="shared" si="326"/>
        <v>45826</v>
      </c>
      <c r="BY326" s="19">
        <f t="shared" si="326"/>
        <v>45826</v>
      </c>
      <c r="BZ326" s="19">
        <f t="shared" si="326"/>
        <v>45826</v>
      </c>
    </row>
    <row r="327" ht="14.25" customHeight="1">
      <c r="A327" s="17">
        <v>45827.0</v>
      </c>
      <c r="B327" s="2" t="str">
        <f t="array" ref="B327">IF(NOW()&gt;AM327,"",IF(AND((WEEKDAY($A327)+$B$2)&gt;1,((WEEKDAY($A327)+$T$2)&lt;7),(WEEKDAY($A327)&lt;&gt;1)),"work",(INDEX(Subject!$A:$I,MATCH(RANDBETWEEN(1,(MAX(Subject!$B:$B))),Subject!$B:$B,0),3))))</f>
        <v/>
      </c>
      <c r="C327" s="2" t="str">
        <f t="array" ref="C327">IF(NOW()&gt;AN327,"",IF(AND((WEEKDAY($A327)+$B$2)&gt;1,((WEEKDAY($A327)+$T$2)&lt;7),(WEEKDAY($A327)&lt;&gt;1)),"work",(INDEX(Subject!$A:$I,MATCH(RANDBETWEEN(1,(MAX(Subject!$B:$B))),Subject!$B:$B,0),3))))</f>
        <v/>
      </c>
      <c r="D327" s="2" t="str">
        <f t="array" ref="D327">IF(NOW()&gt;AO327,"",IF(AND((WEEKDAY($A327)+$B$2)&gt;1,((WEEKDAY($A327)+$T$2)&lt;7),(WEEKDAY($A327)&lt;&gt;1)),"work",(INDEX(Subject!$A:$I,MATCH(RANDBETWEEN(1,(MAX(Subject!$B:$B))),Subject!$B:$B,0),3))))</f>
        <v/>
      </c>
      <c r="E327" s="2" t="str">
        <f t="array" ref="E327">IF(NOW()&gt;AP327,"",IF(AND((WEEKDAY($A327)+$B$2)&gt;1,((WEEKDAY($A327)+$T$2)&lt;7),(WEEKDAY($A327)&lt;&gt;1)),"work",(INDEX(Subject!$A:$I,MATCH(RANDBETWEEN(1,(MAX(Subject!$B:$B))),Subject!$B:$B,0),3))))</f>
        <v/>
      </c>
      <c r="F327" s="2" t="str">
        <f t="array" ref="F327">IF(NOW()&gt;AQ327,"",IF(AND((WEEKDAY($A327)+$B$2)&gt;1,((WEEKDAY($A327)+$T$2)&lt;7),(WEEKDAY($A327)&lt;&gt;1)),"work",(INDEX(Subject!$A:$I,MATCH(RANDBETWEEN(1,(MAX(Subject!$B:$B))),Subject!$B:$B,0),3))))</f>
        <v/>
      </c>
      <c r="G327" s="2" t="str">
        <f t="array" ref="G327">IF(NOW()&gt;AR327,"",IF(AND((WEEKDAY($A327)+$B$2)&gt;1,((WEEKDAY($A327)+$T$2)&lt;7),(WEEKDAY($A327)&lt;&gt;1)),"work",(INDEX(Subject!$A:$I,MATCH(RANDBETWEEN(1,(MAX(Subject!$B:$B))),Subject!$B:$B,0),3))))</f>
        <v/>
      </c>
      <c r="H327" s="2" t="str">
        <f t="array" ref="H327">IF(NOW()&gt;AS327,"",IF(AND((WEEKDAY($A327)+$B$2)&gt;1,((WEEKDAY($A327)+$T$2)&lt;7),(WEEKDAY($A327)&lt;&gt;1)),"work",(INDEX(Subject!$A:$I,MATCH(RANDBETWEEN(1,(MAX(Subject!$B:$B))),Subject!$B:$B,0),3))))</f>
        <v/>
      </c>
      <c r="I327" s="2" t="str">
        <f t="array" ref="I327">IF(NOW()&gt;AT327,"",IF(AND((WEEKDAY($A327)+$B$2)&gt;1,((WEEKDAY($A327)+$T$2)&lt;7),(WEEKDAY($A327)&lt;&gt;1)),"work",(INDEX(Subject!$A:$I,MATCH(RANDBETWEEN(1,(MAX(Subject!$B:$B))),Subject!$B:$B,0),3))))</f>
        <v/>
      </c>
      <c r="J327" s="2" t="str">
        <f t="array" ref="J327">IF(NOW()&gt;AU327,"",IF(AND((WEEKDAY($A327)+$B$2)&gt;1,((WEEKDAY($A327)+$T$2)&lt;7),(WEEKDAY($A327)&lt;&gt;1)),"work",(INDEX(Subject!$A:$I,MATCH(RANDBETWEEN(1,(MAX(Subject!$B:$B))),Subject!$B:$B,0),3))))</f>
        <v/>
      </c>
      <c r="K327" s="2" t="str">
        <f t="array" ref="K327">IF(NOW()&gt;AV327,"",IF(AND((WEEKDAY($A327)+$B$2)&gt;1,((WEEKDAY($A327)+$T$2)&lt;7),(WEEKDAY($A327)&lt;&gt;1)),"work",(INDEX(Subject!$A:$I,MATCH(RANDBETWEEN(1,(MAX(Subject!$B:$B))),Subject!$B:$B,0),3))))</f>
        <v/>
      </c>
      <c r="L327" s="2" t="str">
        <f t="array" ref="L327">IF(NOW()&gt;AW327,"",IF(AND((WEEKDAY($A327)+$B$2)&gt;1,((WEEKDAY($A327)+$T$2)&lt;7),(WEEKDAY($A327)&lt;&gt;1)),"work",(INDEX(Subject!$A:$I,MATCH(RANDBETWEEN(1,(MAX(Subject!$B:$B))),Subject!$B:$B,0),3))))</f>
        <v/>
      </c>
      <c r="M327" s="2" t="str">
        <f t="array" ref="M327">IF(NOW()&gt;AX327,"",IF(AND((WEEKDAY($A327)+$B$2)&gt;1,((WEEKDAY($A327)+$T$2)&lt;7),(WEEKDAY($A327)&lt;&gt;1)),"work",(INDEX(Subject!$A:$I,MATCH(RANDBETWEEN(1,(MAX(Subject!$B:$B))),Subject!$B:$B,0),3))))</f>
        <v/>
      </c>
      <c r="N327" s="2" t="str">
        <f t="array" ref="N327">IF(NOW()&gt;AY327,"",IF(AND((WEEKDAY($A327)+$B$2)&gt;1,((WEEKDAY($A327)+$T$2)&lt;7),(WEEKDAY($A327)&lt;&gt;1)),"work",(INDEX(Subject!$A:$I,MATCH(RANDBETWEEN(1,(MAX(Subject!$B:$B))),Subject!$B:$B,0),3))))</f>
        <v/>
      </c>
      <c r="O327" s="2" t="str">
        <f t="array" ref="O327">IF(NOW()&gt;AZ327,"",IF(AND((WEEKDAY($A327)+$B$2)&gt;1,((WEEKDAY($A327)+$T$2)&lt;7),(WEEKDAY($A327)&lt;&gt;1)),"work",(INDEX(Subject!$A:$I,MATCH(RANDBETWEEN(1,(MAX(Subject!$B:$B))),Subject!$B:$B,0),3))))</f>
        <v/>
      </c>
      <c r="P327" s="2" t="str">
        <f t="array" ref="P327">IF(NOW()&gt;BA327,"",IF(AND((WEEKDAY($A327)+$B$2)&gt;1,((WEEKDAY($A327)+$T$2)&lt;7),(WEEKDAY($A327)&lt;&gt;1)),"work",(INDEX(Subject!$A:$I,MATCH(RANDBETWEEN(1,(MAX(Subject!$B:$B))),Subject!$B:$B,0),3))))</f>
        <v/>
      </c>
      <c r="Q327" s="2" t="str">
        <f t="array" ref="Q327">IF(NOW()&gt;BB327,"",IF(AND((WEEKDAY($A327)+$B$2)&gt;1,((WEEKDAY($A327)+$T$2)&lt;7),(WEEKDAY($A327)&lt;&gt;1)),"work",(INDEX(Subject!$A:$I,MATCH(RANDBETWEEN(1,(MAX(Subject!$B:$B))),Subject!$B:$B,0),3))))</f>
        <v/>
      </c>
      <c r="R327" s="2" t="str">
        <f t="array" ref="R327">IF(NOW()&gt;BC327,"",IF(AND((WEEKDAY($A327)+$B$2)&gt;1,((WEEKDAY($A327)+$T$2)&lt;7),(WEEKDAY($A327)&lt;&gt;1)),"work",(INDEX(Subject!$A:$I,MATCH(RANDBETWEEN(1,(MAX(Subject!$B:$B))),Subject!$B:$B,0),3))))</f>
        <v/>
      </c>
      <c r="S327" s="2" t="str">
        <f t="array" ref="S327">IF(NOW()&gt;BD327,"",IF(AND((WEEKDAY($A327)+$B$2)&gt;1,((WEEKDAY($A327)+$T$2)&lt;7),(WEEKDAY($A327)&lt;&gt;1)),"work",(INDEX(Subject!$A:$I,MATCH(RANDBETWEEN(1,(MAX(Subject!$B:$B))),Subject!$B:$B,0),3))))</f>
        <v/>
      </c>
      <c r="T327" s="2" t="str">
        <f t="array" ref="T327">IF(NOW()&gt;BE327,"",IF(AND((WEEKDAY($A327)+$B$2)&gt;1,((WEEKDAY($A327)+$T$2)&lt;7),(WEEKDAY($A327)&lt;&gt;1)),"work",(INDEX(Subject!$A:$I,MATCH(RANDBETWEEN(1,(MAX(Subject!$B:$B))),Subject!$B:$B,0),3))))</f>
        <v/>
      </c>
      <c r="U327" s="8" t="str">
        <f t="array" ref="U327">INDEX(Subject!$A:$I,MATCH(RANDBETWEEN(1,16),Subject!$B:$B,0),3)</f>
        <v>#N/A</v>
      </c>
      <c r="V327" s="8" t="str">
        <f t="array" ref="V327">INDEX(Subject!$A:$I,MATCH(RANDBETWEEN(1,16),Subject!$B:$B,0),3)</f>
        <v>#N/A</v>
      </c>
      <c r="W327" s="8" t="str">
        <f t="array" ref="W327">INDEX(Subject!$A:$I,MATCH(RANDBETWEEN(1,16),Subject!$B:$B,0),3)</f>
        <v>#N/A</v>
      </c>
      <c r="X327" s="8" t="str">
        <f t="array" ref="X327">INDEX(Subject!$A:$I,MATCH(RANDBETWEEN(1,16),Subject!$B:$B,0),3)</f>
        <v>#N/A</v>
      </c>
      <c r="Y327" s="8" t="str">
        <f t="array" ref="Y327">INDEX(Subject!$A:$I,MATCH(RANDBETWEEN(1,16),Subject!$B:$B,0),3)</f>
        <v>#N/A</v>
      </c>
      <c r="Z327" s="8" t="str">
        <f t="array" ref="Z327">INDEX(Subject!$A:$I,MATCH(RANDBETWEEN(1,16),Subject!$B:$B,0),3)</f>
        <v>#N/A</v>
      </c>
      <c r="AA327" s="8" t="str">
        <f t="array" ref="AA327">INDEX(Subject!$A:$I,MATCH(RANDBETWEEN(1,16),Subject!$B:$B,0),3)</f>
        <v>#N/A</v>
      </c>
      <c r="AB327" s="8" t="str">
        <f t="array" ref="AB327">INDEX(Subject!$A:$I,MATCH(RANDBETWEEN(1,16),Subject!$B:$B,0),3)</f>
        <v>#N/A</v>
      </c>
      <c r="AC327" s="8" t="str">
        <f t="array" ref="AC327">INDEX(Subject!$A:$I,MATCH(RANDBETWEEN(1,16),Subject!$B:$B,0),3)</f>
        <v>#N/A</v>
      </c>
      <c r="AD327" s="8" t="str">
        <f t="array" ref="AD327">INDEX(Subject!$A:$I,MATCH(RANDBETWEEN(1,16),Subject!$B:$B,0),3)</f>
        <v>#N/A</v>
      </c>
      <c r="AE327" s="8" t="str">
        <f t="array" ref="AE327">INDEX(Subject!$A:$I,MATCH(RANDBETWEEN(1,16),Subject!$B:$B,0),3)</f>
        <v>#N/A</v>
      </c>
      <c r="AF327" s="8" t="str">
        <f t="array" ref="AF327">INDEX(Subject!$A:$I,MATCH(RANDBETWEEN(1,16),Subject!$B:$B,0),3)</f>
        <v>#N/A</v>
      </c>
      <c r="AG327" s="8" t="str">
        <f t="array" ref="AG327">INDEX(Subject!$A:$I,MATCH(RANDBETWEEN(1,16),Subject!$B:$B,0),3)</f>
        <v>#N/A</v>
      </c>
      <c r="AH327" s="8" t="str">
        <f t="array" ref="AH327">INDEX(Subject!$A:$I,MATCH(RANDBETWEEN(1,16),Subject!$B:$B,0),3)</f>
        <v>#N/A</v>
      </c>
      <c r="AI327" s="8" t="str">
        <f t="array" ref="AI327">INDEX(Subject!$A:$I,MATCH(RANDBETWEEN(1,16),Subject!$B:$B,0),3)</f>
        <v>#N/A</v>
      </c>
      <c r="AJ327" s="8" t="str">
        <f t="array" ref="AJ327">INDEX(Subject!$A:$I,MATCH(RANDBETWEEN(1,16),Subject!$B:$B,0),3)</f>
        <v>#N/A</v>
      </c>
      <c r="AK327" s="8" t="str">
        <f t="array" ref="AK327">INDEX(Subject!$A:$I,MATCH(RANDBETWEEN(1,16),Subject!$B:$B,0),3)</f>
        <v>#N/A</v>
      </c>
      <c r="AL327" s="8" t="str">
        <f t="array" ref="AL327">INDEX(Subject!$A:$I,MATCH(RANDBETWEEN(1,16),Subject!$B:$B,0),3)</f>
        <v>#N/A</v>
      </c>
      <c r="AM327" s="18">
        <f t="shared" si="4"/>
        <v>45827.33333</v>
      </c>
      <c r="AN327" s="19">
        <f t="shared" ref="AN327:BZ327" si="327">$A327+C$1</f>
        <v>45827.35417</v>
      </c>
      <c r="AO327" s="19">
        <f t="shared" si="327"/>
        <v>45827.375</v>
      </c>
      <c r="AP327" s="19">
        <f t="shared" si="327"/>
        <v>45827.39583</v>
      </c>
      <c r="AQ327" s="19">
        <f t="shared" si="327"/>
        <v>45827.41667</v>
      </c>
      <c r="AR327" s="19">
        <f t="shared" si="327"/>
        <v>45827.4375</v>
      </c>
      <c r="AS327" s="19">
        <f t="shared" si="327"/>
        <v>45827.45833</v>
      </c>
      <c r="AT327" s="19">
        <f t="shared" si="327"/>
        <v>45827.47917</v>
      </c>
      <c r="AU327" s="19">
        <f t="shared" si="327"/>
        <v>45827.5</v>
      </c>
      <c r="AV327" s="19">
        <f t="shared" si="327"/>
        <v>45827.52083</v>
      </c>
      <c r="AW327" s="19">
        <f t="shared" si="327"/>
        <v>45827.54167</v>
      </c>
      <c r="AX327" s="19">
        <f t="shared" si="327"/>
        <v>45827.5625</v>
      </c>
      <c r="AY327" s="19">
        <f t="shared" si="327"/>
        <v>45827.58333</v>
      </c>
      <c r="AZ327" s="19">
        <f t="shared" si="327"/>
        <v>45827.60417</v>
      </c>
      <c r="BA327" s="19">
        <f t="shared" si="327"/>
        <v>45827.625</v>
      </c>
      <c r="BB327" s="19">
        <f t="shared" si="327"/>
        <v>45827.64583</v>
      </c>
      <c r="BC327" s="19">
        <f t="shared" si="327"/>
        <v>45827.66667</v>
      </c>
      <c r="BD327" s="19">
        <f t="shared" si="327"/>
        <v>45827.6875</v>
      </c>
      <c r="BE327" s="19">
        <f t="shared" si="327"/>
        <v>45827.70833</v>
      </c>
      <c r="BF327" s="19">
        <f t="shared" si="327"/>
        <v>45827.72917</v>
      </c>
      <c r="BG327" s="19">
        <f t="shared" si="327"/>
        <v>45827.75</v>
      </c>
      <c r="BH327" s="19">
        <f t="shared" si="327"/>
        <v>45827.77083</v>
      </c>
      <c r="BI327" s="19">
        <f t="shared" si="327"/>
        <v>45827.79167</v>
      </c>
      <c r="BJ327" s="19">
        <f t="shared" si="327"/>
        <v>45827.8125</v>
      </c>
      <c r="BK327" s="19">
        <f t="shared" si="327"/>
        <v>45827.83333</v>
      </c>
      <c r="BL327" s="19">
        <f t="shared" si="327"/>
        <v>45827.85417</v>
      </c>
      <c r="BM327" s="19">
        <f t="shared" si="327"/>
        <v>45827.875</v>
      </c>
      <c r="BN327" s="19">
        <f t="shared" si="327"/>
        <v>45827.89583</v>
      </c>
      <c r="BO327" s="19">
        <f t="shared" si="327"/>
        <v>45827.91667</v>
      </c>
      <c r="BP327" s="19">
        <f t="shared" si="327"/>
        <v>45827.9375</v>
      </c>
      <c r="BQ327" s="19">
        <f t="shared" si="327"/>
        <v>45827.95833</v>
      </c>
      <c r="BR327" s="19">
        <f t="shared" si="327"/>
        <v>45827.97917</v>
      </c>
      <c r="BS327" s="19">
        <f t="shared" si="327"/>
        <v>45828</v>
      </c>
      <c r="BT327" s="19">
        <f t="shared" si="327"/>
        <v>45828.02083</v>
      </c>
      <c r="BU327" s="19">
        <f t="shared" si="327"/>
        <v>45828.04167</v>
      </c>
      <c r="BV327" s="19">
        <f t="shared" si="327"/>
        <v>45828.0625</v>
      </c>
      <c r="BW327" s="19">
        <f t="shared" si="327"/>
        <v>45828.08333</v>
      </c>
      <c r="BX327" s="19">
        <f t="shared" si="327"/>
        <v>45827</v>
      </c>
      <c r="BY327" s="19">
        <f t="shared" si="327"/>
        <v>45827</v>
      </c>
      <c r="BZ327" s="19">
        <f t="shared" si="327"/>
        <v>45827</v>
      </c>
    </row>
    <row r="328" ht="14.25" customHeight="1">
      <c r="A328" s="17">
        <v>45828.0</v>
      </c>
      <c r="B328" s="2" t="str">
        <f t="array" ref="B328">IF(NOW()&gt;AM328,"",IF(AND((WEEKDAY($A328)+$B$2)&gt;1,((WEEKDAY($A328)+$T$2)&lt;7),(WEEKDAY($A328)&lt;&gt;1)),"work",(INDEX(Subject!$A:$I,MATCH(RANDBETWEEN(1,(MAX(Subject!$B:$B))),Subject!$B:$B,0),3))))</f>
        <v/>
      </c>
      <c r="C328" s="2" t="str">
        <f t="array" ref="C328">IF(NOW()&gt;AN328,"",IF(AND((WEEKDAY($A328)+$B$2)&gt;1,((WEEKDAY($A328)+$T$2)&lt;7),(WEEKDAY($A328)&lt;&gt;1)),"work",(INDEX(Subject!$A:$I,MATCH(RANDBETWEEN(1,(MAX(Subject!$B:$B))),Subject!$B:$B,0),3))))</f>
        <v/>
      </c>
      <c r="D328" s="2" t="str">
        <f t="array" ref="D328">IF(NOW()&gt;AO328,"",IF(AND((WEEKDAY($A328)+$B$2)&gt;1,((WEEKDAY($A328)+$T$2)&lt;7),(WEEKDAY($A328)&lt;&gt;1)),"work",(INDEX(Subject!$A:$I,MATCH(RANDBETWEEN(1,(MAX(Subject!$B:$B))),Subject!$B:$B,0),3))))</f>
        <v/>
      </c>
      <c r="E328" s="2" t="str">
        <f t="array" ref="E328">IF(NOW()&gt;AP328,"",IF(AND((WEEKDAY($A328)+$B$2)&gt;1,((WEEKDAY($A328)+$T$2)&lt;7),(WEEKDAY($A328)&lt;&gt;1)),"work",(INDEX(Subject!$A:$I,MATCH(RANDBETWEEN(1,(MAX(Subject!$B:$B))),Subject!$B:$B,0),3))))</f>
        <v/>
      </c>
      <c r="F328" s="2" t="str">
        <f t="array" ref="F328">IF(NOW()&gt;AQ328,"",IF(AND((WEEKDAY($A328)+$B$2)&gt;1,((WEEKDAY($A328)+$T$2)&lt;7),(WEEKDAY($A328)&lt;&gt;1)),"work",(INDEX(Subject!$A:$I,MATCH(RANDBETWEEN(1,(MAX(Subject!$B:$B))),Subject!$B:$B,0),3))))</f>
        <v/>
      </c>
      <c r="G328" s="2" t="str">
        <f t="array" ref="G328">IF(NOW()&gt;AR328,"",IF(AND((WEEKDAY($A328)+$B$2)&gt;1,((WEEKDAY($A328)+$T$2)&lt;7),(WEEKDAY($A328)&lt;&gt;1)),"work",(INDEX(Subject!$A:$I,MATCH(RANDBETWEEN(1,(MAX(Subject!$B:$B))),Subject!$B:$B,0),3))))</f>
        <v/>
      </c>
      <c r="H328" s="2" t="str">
        <f t="array" ref="H328">IF(NOW()&gt;AS328,"",IF(AND((WEEKDAY($A328)+$B$2)&gt;1,((WEEKDAY($A328)+$T$2)&lt;7),(WEEKDAY($A328)&lt;&gt;1)),"work",(INDEX(Subject!$A:$I,MATCH(RANDBETWEEN(1,(MAX(Subject!$B:$B))),Subject!$B:$B,0),3))))</f>
        <v/>
      </c>
      <c r="I328" s="2" t="str">
        <f t="array" ref="I328">IF(NOW()&gt;AT328,"",IF(AND((WEEKDAY($A328)+$B$2)&gt;1,((WEEKDAY($A328)+$T$2)&lt;7),(WEEKDAY($A328)&lt;&gt;1)),"work",(INDEX(Subject!$A:$I,MATCH(RANDBETWEEN(1,(MAX(Subject!$B:$B))),Subject!$B:$B,0),3))))</f>
        <v/>
      </c>
      <c r="J328" s="2" t="str">
        <f t="array" ref="J328">IF(NOW()&gt;AU328,"",IF(AND((WEEKDAY($A328)+$B$2)&gt;1,((WEEKDAY($A328)+$T$2)&lt;7),(WEEKDAY($A328)&lt;&gt;1)),"work",(INDEX(Subject!$A:$I,MATCH(RANDBETWEEN(1,(MAX(Subject!$B:$B))),Subject!$B:$B,0),3))))</f>
        <v/>
      </c>
      <c r="K328" s="2" t="str">
        <f t="array" ref="K328">IF(NOW()&gt;AV328,"",IF(AND((WEEKDAY($A328)+$B$2)&gt;1,((WEEKDAY($A328)+$T$2)&lt;7),(WEEKDAY($A328)&lt;&gt;1)),"work",(INDEX(Subject!$A:$I,MATCH(RANDBETWEEN(1,(MAX(Subject!$B:$B))),Subject!$B:$B,0),3))))</f>
        <v/>
      </c>
      <c r="L328" s="2" t="str">
        <f t="array" ref="L328">IF(NOW()&gt;AW328,"",IF(AND((WEEKDAY($A328)+$B$2)&gt;1,((WEEKDAY($A328)+$T$2)&lt;7),(WEEKDAY($A328)&lt;&gt;1)),"work",(INDEX(Subject!$A:$I,MATCH(RANDBETWEEN(1,(MAX(Subject!$B:$B))),Subject!$B:$B,0),3))))</f>
        <v/>
      </c>
      <c r="M328" s="2" t="str">
        <f t="array" ref="M328">IF(NOW()&gt;AX328,"",IF(AND((WEEKDAY($A328)+$B$2)&gt;1,((WEEKDAY($A328)+$T$2)&lt;7),(WEEKDAY($A328)&lt;&gt;1)),"work",(INDEX(Subject!$A:$I,MATCH(RANDBETWEEN(1,(MAX(Subject!$B:$B))),Subject!$B:$B,0),3))))</f>
        <v/>
      </c>
      <c r="N328" s="2" t="str">
        <f t="array" ref="N328">IF(NOW()&gt;AY328,"",IF(AND((WEEKDAY($A328)+$B$2)&gt;1,((WEEKDAY($A328)+$T$2)&lt;7),(WEEKDAY($A328)&lt;&gt;1)),"work",(INDEX(Subject!$A:$I,MATCH(RANDBETWEEN(1,(MAX(Subject!$B:$B))),Subject!$B:$B,0),3))))</f>
        <v/>
      </c>
      <c r="O328" s="2" t="str">
        <f t="array" ref="O328">IF(NOW()&gt;AZ328,"",IF(AND((WEEKDAY($A328)+$B$2)&gt;1,((WEEKDAY($A328)+$T$2)&lt;7),(WEEKDAY($A328)&lt;&gt;1)),"work",(INDEX(Subject!$A:$I,MATCH(RANDBETWEEN(1,(MAX(Subject!$B:$B))),Subject!$B:$B,0),3))))</f>
        <v/>
      </c>
      <c r="P328" s="2" t="str">
        <f t="array" ref="P328">IF(NOW()&gt;BA328,"",IF(AND((WEEKDAY($A328)+$B$2)&gt;1,((WEEKDAY($A328)+$T$2)&lt;7),(WEEKDAY($A328)&lt;&gt;1)),"work",(INDEX(Subject!$A:$I,MATCH(RANDBETWEEN(1,(MAX(Subject!$B:$B))),Subject!$B:$B,0),3))))</f>
        <v/>
      </c>
      <c r="Q328" s="2" t="str">
        <f t="array" ref="Q328">IF(NOW()&gt;BB328,"",IF(AND((WEEKDAY($A328)+$B$2)&gt;1,((WEEKDAY($A328)+$T$2)&lt;7),(WEEKDAY($A328)&lt;&gt;1)),"work",(INDEX(Subject!$A:$I,MATCH(RANDBETWEEN(1,(MAX(Subject!$B:$B))),Subject!$B:$B,0),3))))</f>
        <v/>
      </c>
      <c r="R328" s="2" t="str">
        <f t="array" ref="R328">IF(NOW()&gt;BC328,"",IF(AND((WEEKDAY($A328)+$B$2)&gt;1,((WEEKDAY($A328)+$T$2)&lt;7),(WEEKDAY($A328)&lt;&gt;1)),"work",(INDEX(Subject!$A:$I,MATCH(RANDBETWEEN(1,(MAX(Subject!$B:$B))),Subject!$B:$B,0),3))))</f>
        <v/>
      </c>
      <c r="S328" s="2" t="str">
        <f t="array" ref="S328">IF(NOW()&gt;BD328,"",IF(AND((WEEKDAY($A328)+$B$2)&gt;1,((WEEKDAY($A328)+$T$2)&lt;7),(WEEKDAY($A328)&lt;&gt;1)),"work",(INDEX(Subject!$A:$I,MATCH(RANDBETWEEN(1,(MAX(Subject!$B:$B))),Subject!$B:$B,0),3))))</f>
        <v/>
      </c>
      <c r="T328" s="2" t="str">
        <f t="array" ref="T328">IF(NOW()&gt;BE328,"",IF(AND((WEEKDAY($A328)+$B$2)&gt;1,((WEEKDAY($A328)+$T$2)&lt;7),(WEEKDAY($A328)&lt;&gt;1)),"work",(INDEX(Subject!$A:$I,MATCH(RANDBETWEEN(1,(MAX(Subject!$B:$B))),Subject!$B:$B,0),3))))</f>
        <v/>
      </c>
      <c r="U328" s="8" t="str">
        <f t="array" ref="U328">INDEX(Subject!$A:$I,MATCH(RANDBETWEEN(1,16),Subject!$B:$B,0),3)</f>
        <v>#N/A</v>
      </c>
      <c r="V328" s="8" t="str">
        <f t="array" ref="V328">INDEX(Subject!$A:$I,MATCH(RANDBETWEEN(1,16),Subject!$B:$B,0),3)</f>
        <v>#N/A</v>
      </c>
      <c r="W328" s="8" t="str">
        <f t="array" ref="W328">INDEX(Subject!$A:$I,MATCH(RANDBETWEEN(1,16),Subject!$B:$B,0),3)</f>
        <v>#N/A</v>
      </c>
      <c r="X328" s="8" t="str">
        <f t="array" ref="X328">INDEX(Subject!$A:$I,MATCH(RANDBETWEEN(1,16),Subject!$B:$B,0),3)</f>
        <v>#N/A</v>
      </c>
      <c r="Y328" s="8" t="str">
        <f t="array" ref="Y328">INDEX(Subject!$A:$I,MATCH(RANDBETWEEN(1,16),Subject!$B:$B,0),3)</f>
        <v>#N/A</v>
      </c>
      <c r="Z328" s="8" t="str">
        <f t="array" ref="Z328">INDEX(Subject!$A:$I,MATCH(RANDBETWEEN(1,16),Subject!$B:$B,0),3)</f>
        <v>#N/A</v>
      </c>
      <c r="AA328" s="8" t="str">
        <f t="array" ref="AA328">INDEX(Subject!$A:$I,MATCH(RANDBETWEEN(1,16),Subject!$B:$B,0),3)</f>
        <v>#N/A</v>
      </c>
      <c r="AB328" s="8" t="str">
        <f t="array" ref="AB328">INDEX(Subject!$A:$I,MATCH(RANDBETWEEN(1,16),Subject!$B:$B,0),3)</f>
        <v>#N/A</v>
      </c>
      <c r="AC328" s="8" t="str">
        <f t="array" ref="AC328">INDEX(Subject!$A:$I,MATCH(RANDBETWEEN(1,16),Subject!$B:$B,0),3)</f>
        <v>#N/A</v>
      </c>
      <c r="AD328" s="8" t="str">
        <f t="array" ref="AD328">INDEX(Subject!$A:$I,MATCH(RANDBETWEEN(1,16),Subject!$B:$B,0),3)</f>
        <v>#N/A</v>
      </c>
      <c r="AE328" s="8" t="str">
        <f t="array" ref="AE328">INDEX(Subject!$A:$I,MATCH(RANDBETWEEN(1,16),Subject!$B:$B,0),3)</f>
        <v>#N/A</v>
      </c>
      <c r="AF328" s="8" t="str">
        <f t="array" ref="AF328">INDEX(Subject!$A:$I,MATCH(RANDBETWEEN(1,16),Subject!$B:$B,0),3)</f>
        <v>#N/A</v>
      </c>
      <c r="AG328" s="8" t="str">
        <f t="array" ref="AG328">INDEX(Subject!$A:$I,MATCH(RANDBETWEEN(1,16),Subject!$B:$B,0),3)</f>
        <v>#N/A</v>
      </c>
      <c r="AH328" s="8" t="str">
        <f t="array" ref="AH328">INDEX(Subject!$A:$I,MATCH(RANDBETWEEN(1,16),Subject!$B:$B,0),3)</f>
        <v>#N/A</v>
      </c>
      <c r="AI328" s="8" t="str">
        <f t="array" ref="AI328">INDEX(Subject!$A:$I,MATCH(RANDBETWEEN(1,16),Subject!$B:$B,0),3)</f>
        <v>#N/A</v>
      </c>
      <c r="AJ328" s="8" t="str">
        <f t="array" ref="AJ328">INDEX(Subject!$A:$I,MATCH(RANDBETWEEN(1,16),Subject!$B:$B,0),3)</f>
        <v>#N/A</v>
      </c>
      <c r="AK328" s="8" t="str">
        <f t="array" ref="AK328">INDEX(Subject!$A:$I,MATCH(RANDBETWEEN(1,16),Subject!$B:$B,0),3)</f>
        <v/>
      </c>
      <c r="AL328" s="8" t="str">
        <f t="array" ref="AL328">INDEX(Subject!$A:$I,MATCH(RANDBETWEEN(1,16),Subject!$B:$B,0),3)</f>
        <v>#N/A</v>
      </c>
      <c r="AM328" s="18">
        <f t="shared" si="4"/>
        <v>45828.33333</v>
      </c>
      <c r="AN328" s="19">
        <f t="shared" ref="AN328:BZ328" si="328">$A328+C$1</f>
        <v>45828.35417</v>
      </c>
      <c r="AO328" s="19">
        <f t="shared" si="328"/>
        <v>45828.375</v>
      </c>
      <c r="AP328" s="19">
        <f t="shared" si="328"/>
        <v>45828.39583</v>
      </c>
      <c r="AQ328" s="19">
        <f t="shared" si="328"/>
        <v>45828.41667</v>
      </c>
      <c r="AR328" s="19">
        <f t="shared" si="328"/>
        <v>45828.4375</v>
      </c>
      <c r="AS328" s="19">
        <f t="shared" si="328"/>
        <v>45828.45833</v>
      </c>
      <c r="AT328" s="19">
        <f t="shared" si="328"/>
        <v>45828.47917</v>
      </c>
      <c r="AU328" s="19">
        <f t="shared" si="328"/>
        <v>45828.5</v>
      </c>
      <c r="AV328" s="19">
        <f t="shared" si="328"/>
        <v>45828.52083</v>
      </c>
      <c r="AW328" s="19">
        <f t="shared" si="328"/>
        <v>45828.54167</v>
      </c>
      <c r="AX328" s="19">
        <f t="shared" si="328"/>
        <v>45828.5625</v>
      </c>
      <c r="AY328" s="19">
        <f t="shared" si="328"/>
        <v>45828.58333</v>
      </c>
      <c r="AZ328" s="19">
        <f t="shared" si="328"/>
        <v>45828.60417</v>
      </c>
      <c r="BA328" s="19">
        <f t="shared" si="328"/>
        <v>45828.625</v>
      </c>
      <c r="BB328" s="19">
        <f t="shared" si="328"/>
        <v>45828.64583</v>
      </c>
      <c r="BC328" s="19">
        <f t="shared" si="328"/>
        <v>45828.66667</v>
      </c>
      <c r="BD328" s="19">
        <f t="shared" si="328"/>
        <v>45828.6875</v>
      </c>
      <c r="BE328" s="19">
        <f t="shared" si="328"/>
        <v>45828.70833</v>
      </c>
      <c r="BF328" s="19">
        <f t="shared" si="328"/>
        <v>45828.72917</v>
      </c>
      <c r="BG328" s="19">
        <f t="shared" si="328"/>
        <v>45828.75</v>
      </c>
      <c r="BH328" s="19">
        <f t="shared" si="328"/>
        <v>45828.77083</v>
      </c>
      <c r="BI328" s="19">
        <f t="shared" si="328"/>
        <v>45828.79167</v>
      </c>
      <c r="BJ328" s="19">
        <f t="shared" si="328"/>
        <v>45828.8125</v>
      </c>
      <c r="BK328" s="19">
        <f t="shared" si="328"/>
        <v>45828.83333</v>
      </c>
      <c r="BL328" s="19">
        <f t="shared" si="328"/>
        <v>45828.85417</v>
      </c>
      <c r="BM328" s="19">
        <f t="shared" si="328"/>
        <v>45828.875</v>
      </c>
      <c r="BN328" s="19">
        <f t="shared" si="328"/>
        <v>45828.89583</v>
      </c>
      <c r="BO328" s="19">
        <f t="shared" si="328"/>
        <v>45828.91667</v>
      </c>
      <c r="BP328" s="19">
        <f t="shared" si="328"/>
        <v>45828.9375</v>
      </c>
      <c r="BQ328" s="19">
        <f t="shared" si="328"/>
        <v>45828.95833</v>
      </c>
      <c r="BR328" s="19">
        <f t="shared" si="328"/>
        <v>45828.97917</v>
      </c>
      <c r="BS328" s="19">
        <f t="shared" si="328"/>
        <v>45829</v>
      </c>
      <c r="BT328" s="19">
        <f t="shared" si="328"/>
        <v>45829.02083</v>
      </c>
      <c r="BU328" s="19">
        <f t="shared" si="328"/>
        <v>45829.04167</v>
      </c>
      <c r="BV328" s="19">
        <f t="shared" si="328"/>
        <v>45829.0625</v>
      </c>
      <c r="BW328" s="19">
        <f t="shared" si="328"/>
        <v>45829.08333</v>
      </c>
      <c r="BX328" s="19">
        <f t="shared" si="328"/>
        <v>45828</v>
      </c>
      <c r="BY328" s="19">
        <f t="shared" si="328"/>
        <v>45828</v>
      </c>
      <c r="BZ328" s="19">
        <f t="shared" si="328"/>
        <v>45828</v>
      </c>
    </row>
    <row r="329" ht="14.25" customHeight="1">
      <c r="A329" s="17">
        <v>45829.0</v>
      </c>
      <c r="B329" s="2" t="str">
        <f t="array" ref="B329">IF(NOW()&gt;AM329,"",IF(AND((WEEKDAY($A329)+$B$2)&gt;1,((WEEKDAY($A329)+$T$2)&lt;7),(WEEKDAY($A329)&lt;&gt;1)),"work",(INDEX(Subject!$A:$I,MATCH(RANDBETWEEN(1,(MAX(Subject!$B:$B))),Subject!$B:$B,0),3))))</f>
        <v/>
      </c>
      <c r="C329" s="2" t="str">
        <f t="array" ref="C329">IF(NOW()&gt;AN329,"",IF(AND((WEEKDAY($A329)+$B$2)&gt;1,((WEEKDAY($A329)+$T$2)&lt;7),(WEEKDAY($A329)&lt;&gt;1)),"work",(INDEX(Subject!$A:$I,MATCH(RANDBETWEEN(1,(MAX(Subject!$B:$B))),Subject!$B:$B,0),3))))</f>
        <v/>
      </c>
      <c r="D329" s="2" t="str">
        <f t="array" ref="D329">IF(NOW()&gt;AO329,"",IF(AND((WEEKDAY($A329)+$B$2)&gt;1,((WEEKDAY($A329)+$T$2)&lt;7),(WEEKDAY($A329)&lt;&gt;1)),"work",(INDEX(Subject!$A:$I,MATCH(RANDBETWEEN(1,(MAX(Subject!$B:$B))),Subject!$B:$B,0),3))))</f>
        <v/>
      </c>
      <c r="E329" s="2" t="str">
        <f t="array" ref="E329">IF(NOW()&gt;AP329,"",IF(AND((WEEKDAY($A329)+$B$2)&gt;1,((WEEKDAY($A329)+$T$2)&lt;7),(WEEKDAY($A329)&lt;&gt;1)),"work",(INDEX(Subject!$A:$I,MATCH(RANDBETWEEN(1,(MAX(Subject!$B:$B))),Subject!$B:$B,0),3))))</f>
        <v/>
      </c>
      <c r="F329" s="2" t="str">
        <f t="array" ref="F329">IF(NOW()&gt;AQ329,"",IF(AND((WEEKDAY($A329)+$B$2)&gt;1,((WEEKDAY($A329)+$T$2)&lt;7),(WEEKDAY($A329)&lt;&gt;1)),"work",(INDEX(Subject!$A:$I,MATCH(RANDBETWEEN(1,(MAX(Subject!$B:$B))),Subject!$B:$B,0),3))))</f>
        <v/>
      </c>
      <c r="G329" s="2" t="str">
        <f t="array" ref="G329">IF(NOW()&gt;AR329,"",IF(AND((WEEKDAY($A329)+$B$2)&gt;1,((WEEKDAY($A329)+$T$2)&lt;7),(WEEKDAY($A329)&lt;&gt;1)),"work",(INDEX(Subject!$A:$I,MATCH(RANDBETWEEN(1,(MAX(Subject!$B:$B))),Subject!$B:$B,0),3))))</f>
        <v/>
      </c>
      <c r="H329" s="2" t="str">
        <f t="array" ref="H329">IF(NOW()&gt;AS329,"",IF(AND((WEEKDAY($A329)+$B$2)&gt;1,((WEEKDAY($A329)+$T$2)&lt;7),(WEEKDAY($A329)&lt;&gt;1)),"work",(INDEX(Subject!$A:$I,MATCH(RANDBETWEEN(1,(MAX(Subject!$B:$B))),Subject!$B:$B,0),3))))</f>
        <v/>
      </c>
      <c r="I329" s="2" t="str">
        <f t="array" ref="I329">IF(NOW()&gt;AT329,"",IF(AND((WEEKDAY($A329)+$B$2)&gt;1,((WEEKDAY($A329)+$T$2)&lt;7),(WEEKDAY($A329)&lt;&gt;1)),"work",(INDEX(Subject!$A:$I,MATCH(RANDBETWEEN(1,(MAX(Subject!$B:$B))),Subject!$B:$B,0),3))))</f>
        <v/>
      </c>
      <c r="J329" s="2" t="str">
        <f t="array" ref="J329">IF(NOW()&gt;AU329,"",IF(AND((WEEKDAY($A329)+$B$2)&gt;1,((WEEKDAY($A329)+$T$2)&lt;7),(WEEKDAY($A329)&lt;&gt;1)),"work",(INDEX(Subject!$A:$I,MATCH(RANDBETWEEN(1,(MAX(Subject!$B:$B))),Subject!$B:$B,0),3))))</f>
        <v/>
      </c>
      <c r="K329" s="2" t="str">
        <f t="array" ref="K329">IF(NOW()&gt;AV329,"",IF(AND((WEEKDAY($A329)+$B$2)&gt;1,((WEEKDAY($A329)+$T$2)&lt;7),(WEEKDAY($A329)&lt;&gt;1)),"work",(INDEX(Subject!$A:$I,MATCH(RANDBETWEEN(1,(MAX(Subject!$B:$B))),Subject!$B:$B,0),3))))</f>
        <v/>
      </c>
      <c r="L329" s="2" t="str">
        <f t="array" ref="L329">IF(NOW()&gt;AW329,"",IF(AND((WEEKDAY($A329)+$B$2)&gt;1,((WEEKDAY($A329)+$T$2)&lt;7),(WEEKDAY($A329)&lt;&gt;1)),"work",(INDEX(Subject!$A:$I,MATCH(RANDBETWEEN(1,(MAX(Subject!$B:$B))),Subject!$B:$B,0),3))))</f>
        <v/>
      </c>
      <c r="M329" s="2" t="str">
        <f t="array" ref="M329">IF(NOW()&gt;AX329,"",IF(AND((WEEKDAY($A329)+$B$2)&gt;1,((WEEKDAY($A329)+$T$2)&lt;7),(WEEKDAY($A329)&lt;&gt;1)),"work",(INDEX(Subject!$A:$I,MATCH(RANDBETWEEN(1,(MAX(Subject!$B:$B))),Subject!$B:$B,0),3))))</f>
        <v/>
      </c>
      <c r="N329" s="2" t="str">
        <f t="array" ref="N329">IF(NOW()&gt;AY329,"",IF(AND((WEEKDAY($A329)+$B$2)&gt;1,((WEEKDAY($A329)+$T$2)&lt;7),(WEEKDAY($A329)&lt;&gt;1)),"work",(INDEX(Subject!$A:$I,MATCH(RANDBETWEEN(1,(MAX(Subject!$B:$B))),Subject!$B:$B,0),3))))</f>
        <v/>
      </c>
      <c r="O329" s="2" t="str">
        <f t="array" ref="O329">IF(NOW()&gt;AZ329,"",IF(AND((WEEKDAY($A329)+$B$2)&gt;1,((WEEKDAY($A329)+$T$2)&lt;7),(WEEKDAY($A329)&lt;&gt;1)),"work",(INDEX(Subject!$A:$I,MATCH(RANDBETWEEN(1,(MAX(Subject!$B:$B))),Subject!$B:$B,0),3))))</f>
        <v/>
      </c>
      <c r="P329" s="2" t="str">
        <f t="array" ref="P329">IF(NOW()&gt;BA329,"",IF(AND((WEEKDAY($A329)+$B$2)&gt;1,((WEEKDAY($A329)+$T$2)&lt;7),(WEEKDAY($A329)&lt;&gt;1)),"work",(INDEX(Subject!$A:$I,MATCH(RANDBETWEEN(1,(MAX(Subject!$B:$B))),Subject!$B:$B,0),3))))</f>
        <v/>
      </c>
      <c r="Q329" s="2" t="str">
        <f t="array" ref="Q329">IF(NOW()&gt;BB329,"",IF(AND((WEEKDAY($A329)+$B$2)&gt;1,((WEEKDAY($A329)+$T$2)&lt;7),(WEEKDAY($A329)&lt;&gt;1)),"work",(INDEX(Subject!$A:$I,MATCH(RANDBETWEEN(1,(MAX(Subject!$B:$B))),Subject!$B:$B,0),3))))</f>
        <v/>
      </c>
      <c r="R329" s="2" t="str">
        <f t="array" ref="R329">IF(NOW()&gt;BC329,"",IF(AND((WEEKDAY($A329)+$B$2)&gt;1,((WEEKDAY($A329)+$T$2)&lt;7),(WEEKDAY($A329)&lt;&gt;1)),"work",(INDEX(Subject!$A:$I,MATCH(RANDBETWEEN(1,(MAX(Subject!$B:$B))),Subject!$B:$B,0),3))))</f>
        <v/>
      </c>
      <c r="S329" s="2" t="str">
        <f t="array" ref="S329">IF(NOW()&gt;BD329,"",IF(AND((WEEKDAY($A329)+$B$2)&gt;1,((WEEKDAY($A329)+$T$2)&lt;7),(WEEKDAY($A329)&lt;&gt;1)),"work",(INDEX(Subject!$A:$I,MATCH(RANDBETWEEN(1,(MAX(Subject!$B:$B))),Subject!$B:$B,0),3))))</f>
        <v/>
      </c>
      <c r="T329" s="2" t="str">
        <f t="array" ref="T329">IF(NOW()&gt;BE329,"",IF(AND((WEEKDAY($A329)+$B$2)&gt;1,((WEEKDAY($A329)+$T$2)&lt;7),(WEEKDAY($A329)&lt;&gt;1)),"work",(INDEX(Subject!$A:$I,MATCH(RANDBETWEEN(1,(MAX(Subject!$B:$B))),Subject!$B:$B,0),3))))</f>
        <v/>
      </c>
      <c r="U329" s="8" t="str">
        <f t="array" ref="U329">INDEX(Subject!$A:$I,MATCH(RANDBETWEEN(1,16),Subject!$B:$B,0),3)</f>
        <v>#N/A</v>
      </c>
      <c r="V329" s="8" t="str">
        <f t="array" ref="V329">INDEX(Subject!$A:$I,MATCH(RANDBETWEEN(1,16),Subject!$B:$B,0),3)</f>
        <v>#N/A</v>
      </c>
      <c r="W329" s="8" t="str">
        <f t="array" ref="W329">INDEX(Subject!$A:$I,MATCH(RANDBETWEEN(1,16),Subject!$B:$B,0),3)</f>
        <v>#N/A</v>
      </c>
      <c r="X329" s="8" t="str">
        <f t="array" ref="X329">INDEX(Subject!$A:$I,MATCH(RANDBETWEEN(1,16),Subject!$B:$B,0),3)</f>
        <v>#N/A</v>
      </c>
      <c r="Y329" s="8" t="str">
        <f t="array" ref="Y329">INDEX(Subject!$A:$I,MATCH(RANDBETWEEN(1,16),Subject!$B:$B,0),3)</f>
        <v>#N/A</v>
      </c>
      <c r="Z329" s="8" t="str">
        <f t="array" ref="Z329">INDEX(Subject!$A:$I,MATCH(RANDBETWEEN(1,16),Subject!$B:$B,0),3)</f>
        <v>#N/A</v>
      </c>
      <c r="AA329" s="8" t="str">
        <f t="array" ref="AA329">INDEX(Subject!$A:$I,MATCH(RANDBETWEEN(1,16),Subject!$B:$B,0),3)</f>
        <v>#N/A</v>
      </c>
      <c r="AB329" s="8" t="str">
        <f t="array" ref="AB329">INDEX(Subject!$A:$I,MATCH(RANDBETWEEN(1,16),Subject!$B:$B,0),3)</f>
        <v/>
      </c>
      <c r="AC329" s="8" t="str">
        <f t="array" ref="AC329">INDEX(Subject!$A:$I,MATCH(RANDBETWEEN(1,16),Subject!$B:$B,0),3)</f>
        <v>#N/A</v>
      </c>
      <c r="AD329" s="8" t="str">
        <f t="array" ref="AD329">INDEX(Subject!$A:$I,MATCH(RANDBETWEEN(1,16),Subject!$B:$B,0),3)</f>
        <v>#N/A</v>
      </c>
      <c r="AE329" s="8" t="str">
        <f t="array" ref="AE329">INDEX(Subject!$A:$I,MATCH(RANDBETWEEN(1,16),Subject!$B:$B,0),3)</f>
        <v>#N/A</v>
      </c>
      <c r="AF329" s="8" t="str">
        <f t="array" ref="AF329">INDEX(Subject!$A:$I,MATCH(RANDBETWEEN(1,16),Subject!$B:$B,0),3)</f>
        <v>#N/A</v>
      </c>
      <c r="AG329" s="8" t="str">
        <f t="array" ref="AG329">INDEX(Subject!$A:$I,MATCH(RANDBETWEEN(1,16),Subject!$B:$B,0),3)</f>
        <v>#N/A</v>
      </c>
      <c r="AH329" s="8" t="str">
        <f t="array" ref="AH329">INDEX(Subject!$A:$I,MATCH(RANDBETWEEN(1,16),Subject!$B:$B,0),3)</f>
        <v>#N/A</v>
      </c>
      <c r="AI329" s="8" t="str">
        <f t="array" ref="AI329">INDEX(Subject!$A:$I,MATCH(RANDBETWEEN(1,16),Subject!$B:$B,0),3)</f>
        <v>#N/A</v>
      </c>
      <c r="AJ329" s="8" t="str">
        <f t="array" ref="AJ329">INDEX(Subject!$A:$I,MATCH(RANDBETWEEN(1,16),Subject!$B:$B,0),3)</f>
        <v>#N/A</v>
      </c>
      <c r="AK329" s="8" t="str">
        <f t="array" ref="AK329">INDEX(Subject!$A:$I,MATCH(RANDBETWEEN(1,16),Subject!$B:$B,0),3)</f>
        <v>#N/A</v>
      </c>
      <c r="AL329" s="8" t="str">
        <f t="array" ref="AL329">INDEX(Subject!$A:$I,MATCH(RANDBETWEEN(1,16),Subject!$B:$B,0),3)</f>
        <v>#N/A</v>
      </c>
      <c r="AM329" s="18">
        <f t="shared" si="4"/>
        <v>45829.33333</v>
      </c>
      <c r="AN329" s="19">
        <f t="shared" ref="AN329:BZ329" si="329">$A329+C$1</f>
        <v>45829.35417</v>
      </c>
      <c r="AO329" s="19">
        <f t="shared" si="329"/>
        <v>45829.375</v>
      </c>
      <c r="AP329" s="19">
        <f t="shared" si="329"/>
        <v>45829.39583</v>
      </c>
      <c r="AQ329" s="19">
        <f t="shared" si="329"/>
        <v>45829.41667</v>
      </c>
      <c r="AR329" s="19">
        <f t="shared" si="329"/>
        <v>45829.4375</v>
      </c>
      <c r="AS329" s="19">
        <f t="shared" si="329"/>
        <v>45829.45833</v>
      </c>
      <c r="AT329" s="19">
        <f t="shared" si="329"/>
        <v>45829.47917</v>
      </c>
      <c r="AU329" s="19">
        <f t="shared" si="329"/>
        <v>45829.5</v>
      </c>
      <c r="AV329" s="19">
        <f t="shared" si="329"/>
        <v>45829.52083</v>
      </c>
      <c r="AW329" s="19">
        <f t="shared" si="329"/>
        <v>45829.54167</v>
      </c>
      <c r="AX329" s="19">
        <f t="shared" si="329"/>
        <v>45829.5625</v>
      </c>
      <c r="AY329" s="19">
        <f t="shared" si="329"/>
        <v>45829.58333</v>
      </c>
      <c r="AZ329" s="19">
        <f t="shared" si="329"/>
        <v>45829.60417</v>
      </c>
      <c r="BA329" s="19">
        <f t="shared" si="329"/>
        <v>45829.625</v>
      </c>
      <c r="BB329" s="19">
        <f t="shared" si="329"/>
        <v>45829.64583</v>
      </c>
      <c r="BC329" s="19">
        <f t="shared" si="329"/>
        <v>45829.66667</v>
      </c>
      <c r="BD329" s="19">
        <f t="shared" si="329"/>
        <v>45829.6875</v>
      </c>
      <c r="BE329" s="19">
        <f t="shared" si="329"/>
        <v>45829.70833</v>
      </c>
      <c r="BF329" s="19">
        <f t="shared" si="329"/>
        <v>45829.72917</v>
      </c>
      <c r="BG329" s="19">
        <f t="shared" si="329"/>
        <v>45829.75</v>
      </c>
      <c r="BH329" s="19">
        <f t="shared" si="329"/>
        <v>45829.77083</v>
      </c>
      <c r="BI329" s="19">
        <f t="shared" si="329"/>
        <v>45829.79167</v>
      </c>
      <c r="BJ329" s="19">
        <f t="shared" si="329"/>
        <v>45829.8125</v>
      </c>
      <c r="BK329" s="19">
        <f t="shared" si="329"/>
        <v>45829.83333</v>
      </c>
      <c r="BL329" s="19">
        <f t="shared" si="329"/>
        <v>45829.85417</v>
      </c>
      <c r="BM329" s="19">
        <f t="shared" si="329"/>
        <v>45829.875</v>
      </c>
      <c r="BN329" s="19">
        <f t="shared" si="329"/>
        <v>45829.89583</v>
      </c>
      <c r="BO329" s="19">
        <f t="shared" si="329"/>
        <v>45829.91667</v>
      </c>
      <c r="BP329" s="19">
        <f t="shared" si="329"/>
        <v>45829.9375</v>
      </c>
      <c r="BQ329" s="19">
        <f t="shared" si="329"/>
        <v>45829.95833</v>
      </c>
      <c r="BR329" s="19">
        <f t="shared" si="329"/>
        <v>45829.97917</v>
      </c>
      <c r="BS329" s="19">
        <f t="shared" si="329"/>
        <v>45830</v>
      </c>
      <c r="BT329" s="19">
        <f t="shared" si="329"/>
        <v>45830.02083</v>
      </c>
      <c r="BU329" s="19">
        <f t="shared" si="329"/>
        <v>45830.04167</v>
      </c>
      <c r="BV329" s="19">
        <f t="shared" si="329"/>
        <v>45830.0625</v>
      </c>
      <c r="BW329" s="19">
        <f t="shared" si="329"/>
        <v>45830.08333</v>
      </c>
      <c r="BX329" s="19">
        <f t="shared" si="329"/>
        <v>45829</v>
      </c>
      <c r="BY329" s="19">
        <f t="shared" si="329"/>
        <v>45829</v>
      </c>
      <c r="BZ329" s="19">
        <f t="shared" si="329"/>
        <v>45829</v>
      </c>
    </row>
    <row r="330" ht="14.25" customHeight="1">
      <c r="A330" s="17">
        <v>45830.0</v>
      </c>
      <c r="B330" s="2" t="str">
        <f t="array" ref="B330">IF(NOW()&gt;AM330,"",IF(AND((WEEKDAY($A330)+$B$2)&gt;1,((WEEKDAY($A330)+$T$2)&lt;7),(WEEKDAY($A330)&lt;&gt;1)),"work",(INDEX(Subject!$A:$I,MATCH(RANDBETWEEN(1,(MAX(Subject!$B:$B))),Subject!$B:$B,0),3))))</f>
        <v/>
      </c>
      <c r="C330" s="2" t="str">
        <f t="array" ref="C330">IF(NOW()&gt;AN330,"",IF(AND((WEEKDAY($A330)+$B$2)&gt;1,((WEEKDAY($A330)+$T$2)&lt;7),(WEEKDAY($A330)&lt;&gt;1)),"work",(INDEX(Subject!$A:$I,MATCH(RANDBETWEEN(1,(MAX(Subject!$B:$B))),Subject!$B:$B,0),3))))</f>
        <v/>
      </c>
      <c r="D330" s="2" t="str">
        <f t="array" ref="D330">IF(NOW()&gt;AO330,"",IF(AND((WEEKDAY($A330)+$B$2)&gt;1,((WEEKDAY($A330)+$T$2)&lt;7),(WEEKDAY($A330)&lt;&gt;1)),"work",(INDEX(Subject!$A:$I,MATCH(RANDBETWEEN(1,(MAX(Subject!$B:$B))),Subject!$B:$B,0),3))))</f>
        <v/>
      </c>
      <c r="E330" s="2" t="str">
        <f t="array" ref="E330">IF(NOW()&gt;AP330,"",IF(AND((WEEKDAY($A330)+$B$2)&gt;1,((WEEKDAY($A330)+$T$2)&lt;7),(WEEKDAY($A330)&lt;&gt;1)),"work",(INDEX(Subject!$A:$I,MATCH(RANDBETWEEN(1,(MAX(Subject!$B:$B))),Subject!$B:$B,0),3))))</f>
        <v/>
      </c>
      <c r="F330" s="2" t="str">
        <f t="array" ref="F330">IF(NOW()&gt;AQ330,"",IF(AND((WEEKDAY($A330)+$B$2)&gt;1,((WEEKDAY($A330)+$T$2)&lt;7),(WEEKDAY($A330)&lt;&gt;1)),"work",(INDEX(Subject!$A:$I,MATCH(RANDBETWEEN(1,(MAX(Subject!$B:$B))),Subject!$B:$B,0),3))))</f>
        <v/>
      </c>
      <c r="G330" s="2" t="str">
        <f t="array" ref="G330">IF(NOW()&gt;AR330,"",IF(AND((WEEKDAY($A330)+$B$2)&gt;1,((WEEKDAY($A330)+$T$2)&lt;7),(WEEKDAY($A330)&lt;&gt;1)),"work",(INDEX(Subject!$A:$I,MATCH(RANDBETWEEN(1,(MAX(Subject!$B:$B))),Subject!$B:$B,0),3))))</f>
        <v/>
      </c>
      <c r="H330" s="2" t="str">
        <f t="array" ref="H330">IF(NOW()&gt;AS330,"",IF(AND((WEEKDAY($A330)+$B$2)&gt;1,((WEEKDAY($A330)+$T$2)&lt;7),(WEEKDAY($A330)&lt;&gt;1)),"work",(INDEX(Subject!$A:$I,MATCH(RANDBETWEEN(1,(MAX(Subject!$B:$B))),Subject!$B:$B,0),3))))</f>
        <v/>
      </c>
      <c r="I330" s="2" t="str">
        <f t="array" ref="I330">IF(NOW()&gt;AT330,"",IF(AND((WEEKDAY($A330)+$B$2)&gt;1,((WEEKDAY($A330)+$T$2)&lt;7),(WEEKDAY($A330)&lt;&gt;1)),"work",(INDEX(Subject!$A:$I,MATCH(RANDBETWEEN(1,(MAX(Subject!$B:$B))),Subject!$B:$B,0),3))))</f>
        <v/>
      </c>
      <c r="J330" s="2" t="str">
        <f t="array" ref="J330">IF(NOW()&gt;AU330,"",IF(AND((WEEKDAY($A330)+$B$2)&gt;1,((WEEKDAY($A330)+$T$2)&lt;7),(WEEKDAY($A330)&lt;&gt;1)),"work",(INDEX(Subject!$A:$I,MATCH(RANDBETWEEN(1,(MAX(Subject!$B:$B))),Subject!$B:$B,0),3))))</f>
        <v/>
      </c>
      <c r="K330" s="2" t="str">
        <f t="array" ref="K330">IF(NOW()&gt;AV330,"",IF(AND((WEEKDAY($A330)+$B$2)&gt;1,((WEEKDAY($A330)+$T$2)&lt;7),(WEEKDAY($A330)&lt;&gt;1)),"work",(INDEX(Subject!$A:$I,MATCH(RANDBETWEEN(1,(MAX(Subject!$B:$B))),Subject!$B:$B,0),3))))</f>
        <v/>
      </c>
      <c r="L330" s="2" t="str">
        <f t="array" ref="L330">IF(NOW()&gt;AW330,"",IF(AND((WEEKDAY($A330)+$B$2)&gt;1,((WEEKDAY($A330)+$T$2)&lt;7),(WEEKDAY($A330)&lt;&gt;1)),"work",(INDEX(Subject!$A:$I,MATCH(RANDBETWEEN(1,(MAX(Subject!$B:$B))),Subject!$B:$B,0),3))))</f>
        <v/>
      </c>
      <c r="M330" s="2" t="str">
        <f t="array" ref="M330">IF(NOW()&gt;AX330,"",IF(AND((WEEKDAY($A330)+$B$2)&gt;1,((WEEKDAY($A330)+$T$2)&lt;7),(WEEKDAY($A330)&lt;&gt;1)),"work",(INDEX(Subject!$A:$I,MATCH(RANDBETWEEN(1,(MAX(Subject!$B:$B))),Subject!$B:$B,0),3))))</f>
        <v/>
      </c>
      <c r="N330" s="2" t="str">
        <f t="array" ref="N330">IF(NOW()&gt;AY330,"",IF(AND((WEEKDAY($A330)+$B$2)&gt;1,((WEEKDAY($A330)+$T$2)&lt;7),(WEEKDAY($A330)&lt;&gt;1)),"work",(INDEX(Subject!$A:$I,MATCH(RANDBETWEEN(1,(MAX(Subject!$B:$B))),Subject!$B:$B,0),3))))</f>
        <v/>
      </c>
      <c r="O330" s="2" t="str">
        <f t="array" ref="O330">IF(NOW()&gt;AZ330,"",IF(AND((WEEKDAY($A330)+$B$2)&gt;1,((WEEKDAY($A330)+$T$2)&lt;7),(WEEKDAY($A330)&lt;&gt;1)),"work",(INDEX(Subject!$A:$I,MATCH(RANDBETWEEN(1,(MAX(Subject!$B:$B))),Subject!$B:$B,0),3))))</f>
        <v/>
      </c>
      <c r="P330" s="2" t="str">
        <f t="array" ref="P330">IF(NOW()&gt;BA330,"",IF(AND((WEEKDAY($A330)+$B$2)&gt;1,((WEEKDAY($A330)+$T$2)&lt;7),(WEEKDAY($A330)&lt;&gt;1)),"work",(INDEX(Subject!$A:$I,MATCH(RANDBETWEEN(1,(MAX(Subject!$B:$B))),Subject!$B:$B,0),3))))</f>
        <v/>
      </c>
      <c r="Q330" s="2" t="str">
        <f t="array" ref="Q330">IF(NOW()&gt;BB330,"",IF(AND((WEEKDAY($A330)+$B$2)&gt;1,((WEEKDAY($A330)+$T$2)&lt;7),(WEEKDAY($A330)&lt;&gt;1)),"work",(INDEX(Subject!$A:$I,MATCH(RANDBETWEEN(1,(MAX(Subject!$B:$B))),Subject!$B:$B,0),3))))</f>
        <v/>
      </c>
      <c r="R330" s="2" t="str">
        <f t="array" ref="R330">IF(NOW()&gt;BC330,"",IF(AND((WEEKDAY($A330)+$B$2)&gt;1,((WEEKDAY($A330)+$T$2)&lt;7),(WEEKDAY($A330)&lt;&gt;1)),"work",(INDEX(Subject!$A:$I,MATCH(RANDBETWEEN(1,(MAX(Subject!$B:$B))),Subject!$B:$B,0),3))))</f>
        <v/>
      </c>
      <c r="S330" s="2" t="str">
        <f t="array" ref="S330">IF(NOW()&gt;BD330,"",IF(AND((WEEKDAY($A330)+$B$2)&gt;1,((WEEKDAY($A330)+$T$2)&lt;7),(WEEKDAY($A330)&lt;&gt;1)),"work",(INDEX(Subject!$A:$I,MATCH(RANDBETWEEN(1,(MAX(Subject!$B:$B))),Subject!$B:$B,0),3))))</f>
        <v/>
      </c>
      <c r="T330" s="2" t="str">
        <f t="array" ref="T330">IF(NOW()&gt;BE330,"",IF(AND((WEEKDAY($A330)+$B$2)&gt;1,((WEEKDAY($A330)+$T$2)&lt;7),(WEEKDAY($A330)&lt;&gt;1)),"work",(INDEX(Subject!$A:$I,MATCH(RANDBETWEEN(1,(MAX(Subject!$B:$B))),Subject!$B:$B,0),3))))</f>
        <v/>
      </c>
      <c r="U330" s="8" t="str">
        <f t="array" ref="U330">INDEX(Subject!$A:$I,MATCH(RANDBETWEEN(1,16),Subject!$B:$B,0),3)</f>
        <v>#N/A</v>
      </c>
      <c r="V330" s="8" t="str">
        <f t="array" ref="V330">INDEX(Subject!$A:$I,MATCH(RANDBETWEEN(1,16),Subject!$B:$B,0),3)</f>
        <v>#N/A</v>
      </c>
      <c r="W330" s="8" t="str">
        <f t="array" ref="W330">INDEX(Subject!$A:$I,MATCH(RANDBETWEEN(1,16),Subject!$B:$B,0),3)</f>
        <v>#N/A</v>
      </c>
      <c r="X330" s="8" t="str">
        <f t="array" ref="X330">INDEX(Subject!$A:$I,MATCH(RANDBETWEEN(1,16),Subject!$B:$B,0),3)</f>
        <v>#N/A</v>
      </c>
      <c r="Y330" s="8" t="str">
        <f t="array" ref="Y330">INDEX(Subject!$A:$I,MATCH(RANDBETWEEN(1,16),Subject!$B:$B,0),3)</f>
        <v>#N/A</v>
      </c>
      <c r="Z330" s="8" t="str">
        <f t="array" ref="Z330">INDEX(Subject!$A:$I,MATCH(RANDBETWEEN(1,16),Subject!$B:$B,0),3)</f>
        <v>#N/A</v>
      </c>
      <c r="AA330" s="8" t="str">
        <f t="array" ref="AA330">INDEX(Subject!$A:$I,MATCH(RANDBETWEEN(1,16),Subject!$B:$B,0),3)</f>
        <v>#N/A</v>
      </c>
      <c r="AB330" s="8" t="str">
        <f t="array" ref="AB330">INDEX(Subject!$A:$I,MATCH(RANDBETWEEN(1,16),Subject!$B:$B,0),3)</f>
        <v>#N/A</v>
      </c>
      <c r="AC330" s="8" t="str">
        <f t="array" ref="AC330">INDEX(Subject!$A:$I,MATCH(RANDBETWEEN(1,16),Subject!$B:$B,0),3)</f>
        <v>#N/A</v>
      </c>
      <c r="AD330" s="8" t="str">
        <f t="array" ref="AD330">INDEX(Subject!$A:$I,MATCH(RANDBETWEEN(1,16),Subject!$B:$B,0),3)</f>
        <v>#N/A</v>
      </c>
      <c r="AE330" s="8" t="str">
        <f t="array" ref="AE330">INDEX(Subject!$A:$I,MATCH(RANDBETWEEN(1,16),Subject!$B:$B,0),3)</f>
        <v>#N/A</v>
      </c>
      <c r="AF330" s="8" t="str">
        <f t="array" ref="AF330">INDEX(Subject!$A:$I,MATCH(RANDBETWEEN(1,16),Subject!$B:$B,0),3)</f>
        <v>#N/A</v>
      </c>
      <c r="AG330" s="8" t="str">
        <f t="array" ref="AG330">INDEX(Subject!$A:$I,MATCH(RANDBETWEEN(1,16),Subject!$B:$B,0),3)</f>
        <v>#N/A</v>
      </c>
      <c r="AH330" s="8" t="str">
        <f t="array" ref="AH330">INDEX(Subject!$A:$I,MATCH(RANDBETWEEN(1,16),Subject!$B:$B,0),3)</f>
        <v>#N/A</v>
      </c>
      <c r="AI330" s="8" t="str">
        <f t="array" ref="AI330">INDEX(Subject!$A:$I,MATCH(RANDBETWEEN(1,16),Subject!$B:$B,0),3)</f>
        <v>#N/A</v>
      </c>
      <c r="AJ330" s="8" t="str">
        <f t="array" ref="AJ330">INDEX(Subject!$A:$I,MATCH(RANDBETWEEN(1,16),Subject!$B:$B,0),3)</f>
        <v>#N/A</v>
      </c>
      <c r="AK330" s="8" t="str">
        <f t="array" ref="AK330">INDEX(Subject!$A:$I,MATCH(RANDBETWEEN(1,16),Subject!$B:$B,0),3)</f>
        <v>#N/A</v>
      </c>
      <c r="AL330" s="8" t="str">
        <f t="array" ref="AL330">INDEX(Subject!$A:$I,MATCH(RANDBETWEEN(1,16),Subject!$B:$B,0),3)</f>
        <v>#N/A</v>
      </c>
      <c r="AM330" s="18">
        <f t="shared" si="4"/>
        <v>45830.33333</v>
      </c>
      <c r="AN330" s="19">
        <f t="shared" ref="AN330:BZ330" si="330">$A330+C$1</f>
        <v>45830.35417</v>
      </c>
      <c r="AO330" s="19">
        <f t="shared" si="330"/>
        <v>45830.375</v>
      </c>
      <c r="AP330" s="19">
        <f t="shared" si="330"/>
        <v>45830.39583</v>
      </c>
      <c r="AQ330" s="19">
        <f t="shared" si="330"/>
        <v>45830.41667</v>
      </c>
      <c r="AR330" s="19">
        <f t="shared" si="330"/>
        <v>45830.4375</v>
      </c>
      <c r="AS330" s="19">
        <f t="shared" si="330"/>
        <v>45830.45833</v>
      </c>
      <c r="AT330" s="19">
        <f t="shared" si="330"/>
        <v>45830.47917</v>
      </c>
      <c r="AU330" s="19">
        <f t="shared" si="330"/>
        <v>45830.5</v>
      </c>
      <c r="AV330" s="19">
        <f t="shared" si="330"/>
        <v>45830.52083</v>
      </c>
      <c r="AW330" s="19">
        <f t="shared" si="330"/>
        <v>45830.54167</v>
      </c>
      <c r="AX330" s="19">
        <f t="shared" si="330"/>
        <v>45830.5625</v>
      </c>
      <c r="AY330" s="19">
        <f t="shared" si="330"/>
        <v>45830.58333</v>
      </c>
      <c r="AZ330" s="19">
        <f t="shared" si="330"/>
        <v>45830.60417</v>
      </c>
      <c r="BA330" s="19">
        <f t="shared" si="330"/>
        <v>45830.625</v>
      </c>
      <c r="BB330" s="19">
        <f t="shared" si="330"/>
        <v>45830.64583</v>
      </c>
      <c r="BC330" s="19">
        <f t="shared" si="330"/>
        <v>45830.66667</v>
      </c>
      <c r="BD330" s="19">
        <f t="shared" si="330"/>
        <v>45830.6875</v>
      </c>
      <c r="BE330" s="19">
        <f t="shared" si="330"/>
        <v>45830.70833</v>
      </c>
      <c r="BF330" s="19">
        <f t="shared" si="330"/>
        <v>45830.72917</v>
      </c>
      <c r="BG330" s="19">
        <f t="shared" si="330"/>
        <v>45830.75</v>
      </c>
      <c r="BH330" s="19">
        <f t="shared" si="330"/>
        <v>45830.77083</v>
      </c>
      <c r="BI330" s="19">
        <f t="shared" si="330"/>
        <v>45830.79167</v>
      </c>
      <c r="BJ330" s="19">
        <f t="shared" si="330"/>
        <v>45830.8125</v>
      </c>
      <c r="BK330" s="19">
        <f t="shared" si="330"/>
        <v>45830.83333</v>
      </c>
      <c r="BL330" s="19">
        <f t="shared" si="330"/>
        <v>45830.85417</v>
      </c>
      <c r="BM330" s="19">
        <f t="shared" si="330"/>
        <v>45830.875</v>
      </c>
      <c r="BN330" s="19">
        <f t="shared" si="330"/>
        <v>45830.89583</v>
      </c>
      <c r="BO330" s="19">
        <f t="shared" si="330"/>
        <v>45830.91667</v>
      </c>
      <c r="BP330" s="19">
        <f t="shared" si="330"/>
        <v>45830.9375</v>
      </c>
      <c r="BQ330" s="19">
        <f t="shared" si="330"/>
        <v>45830.95833</v>
      </c>
      <c r="BR330" s="19">
        <f t="shared" si="330"/>
        <v>45830.97917</v>
      </c>
      <c r="BS330" s="19">
        <f t="shared" si="330"/>
        <v>45831</v>
      </c>
      <c r="BT330" s="19">
        <f t="shared" si="330"/>
        <v>45831.02083</v>
      </c>
      <c r="BU330" s="19">
        <f t="shared" si="330"/>
        <v>45831.04167</v>
      </c>
      <c r="BV330" s="19">
        <f t="shared" si="330"/>
        <v>45831.0625</v>
      </c>
      <c r="BW330" s="19">
        <f t="shared" si="330"/>
        <v>45831.08333</v>
      </c>
      <c r="BX330" s="19">
        <f t="shared" si="330"/>
        <v>45830</v>
      </c>
      <c r="BY330" s="19">
        <f t="shared" si="330"/>
        <v>45830</v>
      </c>
      <c r="BZ330" s="19">
        <f t="shared" si="330"/>
        <v>45830</v>
      </c>
    </row>
    <row r="331" ht="14.25" customHeight="1">
      <c r="A331" s="17">
        <v>45831.0</v>
      </c>
      <c r="B331" s="2" t="str">
        <f t="array" ref="B331">IF(NOW()&gt;AM331,"",IF(AND((WEEKDAY($A331)+$B$2)&gt;1,((WEEKDAY($A331)+$T$2)&lt;7),(WEEKDAY($A331)&lt;&gt;1)),"work",(INDEX(Subject!$A:$I,MATCH(RANDBETWEEN(1,(MAX(Subject!$B:$B))),Subject!$B:$B,0),3))))</f>
        <v/>
      </c>
      <c r="C331" s="2" t="str">
        <f t="array" ref="C331">IF(NOW()&gt;AN331,"",IF(AND((WEEKDAY($A331)+$B$2)&gt;1,((WEEKDAY($A331)+$T$2)&lt;7),(WEEKDAY($A331)&lt;&gt;1)),"work",(INDEX(Subject!$A:$I,MATCH(RANDBETWEEN(1,(MAX(Subject!$B:$B))),Subject!$B:$B,0),3))))</f>
        <v/>
      </c>
      <c r="D331" s="2" t="str">
        <f t="array" ref="D331">IF(NOW()&gt;AO331,"",IF(AND((WEEKDAY($A331)+$B$2)&gt;1,((WEEKDAY($A331)+$T$2)&lt;7),(WEEKDAY($A331)&lt;&gt;1)),"work",(INDEX(Subject!$A:$I,MATCH(RANDBETWEEN(1,(MAX(Subject!$B:$B))),Subject!$B:$B,0),3))))</f>
        <v/>
      </c>
      <c r="E331" s="2" t="str">
        <f t="array" ref="E331">IF(NOW()&gt;AP331,"",IF(AND((WEEKDAY($A331)+$B$2)&gt;1,((WEEKDAY($A331)+$T$2)&lt;7),(WEEKDAY($A331)&lt;&gt;1)),"work",(INDEX(Subject!$A:$I,MATCH(RANDBETWEEN(1,(MAX(Subject!$B:$B))),Subject!$B:$B,0),3))))</f>
        <v/>
      </c>
      <c r="F331" s="2" t="str">
        <f t="array" ref="F331">IF(NOW()&gt;AQ331,"",IF(AND((WEEKDAY($A331)+$B$2)&gt;1,((WEEKDAY($A331)+$T$2)&lt;7),(WEEKDAY($A331)&lt;&gt;1)),"work",(INDEX(Subject!$A:$I,MATCH(RANDBETWEEN(1,(MAX(Subject!$B:$B))),Subject!$B:$B,0),3))))</f>
        <v/>
      </c>
      <c r="G331" s="2" t="str">
        <f t="array" ref="G331">IF(NOW()&gt;AR331,"",IF(AND((WEEKDAY($A331)+$B$2)&gt;1,((WEEKDAY($A331)+$T$2)&lt;7),(WEEKDAY($A331)&lt;&gt;1)),"work",(INDEX(Subject!$A:$I,MATCH(RANDBETWEEN(1,(MAX(Subject!$B:$B))),Subject!$B:$B,0),3))))</f>
        <v/>
      </c>
      <c r="H331" s="2" t="str">
        <f t="array" ref="H331">IF(NOW()&gt;AS331,"",IF(AND((WEEKDAY($A331)+$B$2)&gt;1,((WEEKDAY($A331)+$T$2)&lt;7),(WEEKDAY($A331)&lt;&gt;1)),"work",(INDEX(Subject!$A:$I,MATCH(RANDBETWEEN(1,(MAX(Subject!$B:$B))),Subject!$B:$B,0),3))))</f>
        <v/>
      </c>
      <c r="I331" s="2" t="str">
        <f t="array" ref="I331">IF(NOW()&gt;AT331,"",IF(AND((WEEKDAY($A331)+$B$2)&gt;1,((WEEKDAY($A331)+$T$2)&lt;7),(WEEKDAY($A331)&lt;&gt;1)),"work",(INDEX(Subject!$A:$I,MATCH(RANDBETWEEN(1,(MAX(Subject!$B:$B))),Subject!$B:$B,0),3))))</f>
        <v/>
      </c>
      <c r="J331" s="2" t="str">
        <f t="array" ref="J331">IF(NOW()&gt;AU331,"",IF(AND((WEEKDAY($A331)+$B$2)&gt;1,((WEEKDAY($A331)+$T$2)&lt;7),(WEEKDAY($A331)&lt;&gt;1)),"work",(INDEX(Subject!$A:$I,MATCH(RANDBETWEEN(1,(MAX(Subject!$B:$B))),Subject!$B:$B,0),3))))</f>
        <v/>
      </c>
      <c r="K331" s="2" t="str">
        <f t="array" ref="K331">IF(NOW()&gt;AV331,"",IF(AND((WEEKDAY($A331)+$B$2)&gt;1,((WEEKDAY($A331)+$T$2)&lt;7),(WEEKDAY($A331)&lt;&gt;1)),"work",(INDEX(Subject!$A:$I,MATCH(RANDBETWEEN(1,(MAX(Subject!$B:$B))),Subject!$B:$B,0),3))))</f>
        <v/>
      </c>
      <c r="L331" s="2" t="str">
        <f t="array" ref="L331">IF(NOW()&gt;AW331,"",IF(AND((WEEKDAY($A331)+$B$2)&gt;1,((WEEKDAY($A331)+$T$2)&lt;7),(WEEKDAY($A331)&lt;&gt;1)),"work",(INDEX(Subject!$A:$I,MATCH(RANDBETWEEN(1,(MAX(Subject!$B:$B))),Subject!$B:$B,0),3))))</f>
        <v/>
      </c>
      <c r="M331" s="2" t="str">
        <f t="array" ref="M331">IF(NOW()&gt;AX331,"",IF(AND((WEEKDAY($A331)+$B$2)&gt;1,((WEEKDAY($A331)+$T$2)&lt;7),(WEEKDAY($A331)&lt;&gt;1)),"work",(INDEX(Subject!$A:$I,MATCH(RANDBETWEEN(1,(MAX(Subject!$B:$B))),Subject!$B:$B,0),3))))</f>
        <v/>
      </c>
      <c r="N331" s="2" t="str">
        <f t="array" ref="N331">IF(NOW()&gt;AY331,"",IF(AND((WEEKDAY($A331)+$B$2)&gt;1,((WEEKDAY($A331)+$T$2)&lt;7),(WEEKDAY($A331)&lt;&gt;1)),"work",(INDEX(Subject!$A:$I,MATCH(RANDBETWEEN(1,(MAX(Subject!$B:$B))),Subject!$B:$B,0),3))))</f>
        <v/>
      </c>
      <c r="O331" s="2" t="str">
        <f t="array" ref="O331">IF(NOW()&gt;AZ331,"",IF(AND((WEEKDAY($A331)+$B$2)&gt;1,((WEEKDAY($A331)+$T$2)&lt;7),(WEEKDAY($A331)&lt;&gt;1)),"work",(INDEX(Subject!$A:$I,MATCH(RANDBETWEEN(1,(MAX(Subject!$B:$B))),Subject!$B:$B,0),3))))</f>
        <v/>
      </c>
      <c r="P331" s="2" t="str">
        <f t="array" ref="P331">IF(NOW()&gt;BA331,"",IF(AND((WEEKDAY($A331)+$B$2)&gt;1,((WEEKDAY($A331)+$T$2)&lt;7),(WEEKDAY($A331)&lt;&gt;1)),"work",(INDEX(Subject!$A:$I,MATCH(RANDBETWEEN(1,(MAX(Subject!$B:$B))),Subject!$B:$B,0),3))))</f>
        <v/>
      </c>
      <c r="Q331" s="2" t="str">
        <f t="array" ref="Q331">IF(NOW()&gt;BB331,"",IF(AND((WEEKDAY($A331)+$B$2)&gt;1,((WEEKDAY($A331)+$T$2)&lt;7),(WEEKDAY($A331)&lt;&gt;1)),"work",(INDEX(Subject!$A:$I,MATCH(RANDBETWEEN(1,(MAX(Subject!$B:$B))),Subject!$B:$B,0),3))))</f>
        <v/>
      </c>
      <c r="R331" s="2" t="str">
        <f t="array" ref="R331">IF(NOW()&gt;BC331,"",IF(AND((WEEKDAY($A331)+$B$2)&gt;1,((WEEKDAY($A331)+$T$2)&lt;7),(WEEKDAY($A331)&lt;&gt;1)),"work",(INDEX(Subject!$A:$I,MATCH(RANDBETWEEN(1,(MAX(Subject!$B:$B))),Subject!$B:$B,0),3))))</f>
        <v/>
      </c>
      <c r="S331" s="2" t="str">
        <f t="array" ref="S331">IF(NOW()&gt;BD331,"",IF(AND((WEEKDAY($A331)+$B$2)&gt;1,((WEEKDAY($A331)+$T$2)&lt;7),(WEEKDAY($A331)&lt;&gt;1)),"work",(INDEX(Subject!$A:$I,MATCH(RANDBETWEEN(1,(MAX(Subject!$B:$B))),Subject!$B:$B,0),3))))</f>
        <v/>
      </c>
      <c r="T331" s="2" t="str">
        <f t="array" ref="T331">IF(NOW()&gt;BE331,"",IF(AND((WEEKDAY($A331)+$B$2)&gt;1,((WEEKDAY($A331)+$T$2)&lt;7),(WEEKDAY($A331)&lt;&gt;1)),"work",(INDEX(Subject!$A:$I,MATCH(RANDBETWEEN(1,(MAX(Subject!$B:$B))),Subject!$B:$B,0),3))))</f>
        <v/>
      </c>
      <c r="U331" s="8" t="str">
        <f t="array" ref="U331">INDEX(Subject!$A:$I,MATCH(RANDBETWEEN(1,16),Subject!$B:$B,0),3)</f>
        <v>#N/A</v>
      </c>
      <c r="V331" s="8" t="str">
        <f t="array" ref="V331">INDEX(Subject!$A:$I,MATCH(RANDBETWEEN(1,16),Subject!$B:$B,0),3)</f>
        <v>#N/A</v>
      </c>
      <c r="W331" s="8" t="str">
        <f t="array" ref="W331">INDEX(Subject!$A:$I,MATCH(RANDBETWEEN(1,16),Subject!$B:$B,0),3)</f>
        <v>#N/A</v>
      </c>
      <c r="X331" s="8" t="str">
        <f t="array" ref="X331">INDEX(Subject!$A:$I,MATCH(RANDBETWEEN(1,16),Subject!$B:$B,0),3)</f>
        <v>#N/A</v>
      </c>
      <c r="Y331" s="8" t="str">
        <f t="array" ref="Y331">INDEX(Subject!$A:$I,MATCH(RANDBETWEEN(1,16),Subject!$B:$B,0),3)</f>
        <v>#N/A</v>
      </c>
      <c r="Z331" s="8" t="str">
        <f t="array" ref="Z331">INDEX(Subject!$A:$I,MATCH(RANDBETWEEN(1,16),Subject!$B:$B,0),3)</f>
        <v>#N/A</v>
      </c>
      <c r="AA331" s="8" t="str">
        <f t="array" ref="AA331">INDEX(Subject!$A:$I,MATCH(RANDBETWEEN(1,16),Subject!$B:$B,0),3)</f>
        <v>#N/A</v>
      </c>
      <c r="AB331" s="8" t="str">
        <f t="array" ref="AB331">INDEX(Subject!$A:$I,MATCH(RANDBETWEEN(1,16),Subject!$B:$B,0),3)</f>
        <v>#N/A</v>
      </c>
      <c r="AC331" s="8" t="str">
        <f t="array" ref="AC331">INDEX(Subject!$A:$I,MATCH(RANDBETWEEN(1,16),Subject!$B:$B,0),3)</f>
        <v>#N/A</v>
      </c>
      <c r="AD331" s="8" t="str">
        <f t="array" ref="AD331">INDEX(Subject!$A:$I,MATCH(RANDBETWEEN(1,16),Subject!$B:$B,0),3)</f>
        <v>#N/A</v>
      </c>
      <c r="AE331" s="8" t="str">
        <f t="array" ref="AE331">INDEX(Subject!$A:$I,MATCH(RANDBETWEEN(1,16),Subject!$B:$B,0),3)</f>
        <v>#N/A</v>
      </c>
      <c r="AF331" s="8" t="str">
        <f t="array" ref="AF331">INDEX(Subject!$A:$I,MATCH(RANDBETWEEN(1,16),Subject!$B:$B,0),3)</f>
        <v>#N/A</v>
      </c>
      <c r="AG331" s="8" t="str">
        <f t="array" ref="AG331">INDEX(Subject!$A:$I,MATCH(RANDBETWEEN(1,16),Subject!$B:$B,0),3)</f>
        <v>#N/A</v>
      </c>
      <c r="AH331" s="8" t="str">
        <f t="array" ref="AH331">INDEX(Subject!$A:$I,MATCH(RANDBETWEEN(1,16),Subject!$B:$B,0),3)</f>
        <v>#N/A</v>
      </c>
      <c r="AI331" s="8" t="str">
        <f t="array" ref="AI331">INDEX(Subject!$A:$I,MATCH(RANDBETWEEN(1,16),Subject!$B:$B,0),3)</f>
        <v>#N/A</v>
      </c>
      <c r="AJ331" s="8" t="str">
        <f t="array" ref="AJ331">INDEX(Subject!$A:$I,MATCH(RANDBETWEEN(1,16),Subject!$B:$B,0),3)</f>
        <v>#N/A</v>
      </c>
      <c r="AK331" s="8" t="str">
        <f t="array" ref="AK331">INDEX(Subject!$A:$I,MATCH(RANDBETWEEN(1,16),Subject!$B:$B,0),3)</f>
        <v>#N/A</v>
      </c>
      <c r="AL331" s="8" t="str">
        <f t="array" ref="AL331">INDEX(Subject!$A:$I,MATCH(RANDBETWEEN(1,16),Subject!$B:$B,0),3)</f>
        <v>#N/A</v>
      </c>
      <c r="AM331" s="18">
        <f t="shared" si="4"/>
        <v>45831.33333</v>
      </c>
      <c r="AN331" s="19">
        <f t="shared" ref="AN331:BZ331" si="331">$A331+C$1</f>
        <v>45831.35417</v>
      </c>
      <c r="AO331" s="19">
        <f t="shared" si="331"/>
        <v>45831.375</v>
      </c>
      <c r="AP331" s="19">
        <f t="shared" si="331"/>
        <v>45831.39583</v>
      </c>
      <c r="AQ331" s="19">
        <f t="shared" si="331"/>
        <v>45831.41667</v>
      </c>
      <c r="AR331" s="19">
        <f t="shared" si="331"/>
        <v>45831.4375</v>
      </c>
      <c r="AS331" s="19">
        <f t="shared" si="331"/>
        <v>45831.45833</v>
      </c>
      <c r="AT331" s="19">
        <f t="shared" si="331"/>
        <v>45831.47917</v>
      </c>
      <c r="AU331" s="19">
        <f t="shared" si="331"/>
        <v>45831.5</v>
      </c>
      <c r="AV331" s="19">
        <f t="shared" si="331"/>
        <v>45831.52083</v>
      </c>
      <c r="AW331" s="19">
        <f t="shared" si="331"/>
        <v>45831.54167</v>
      </c>
      <c r="AX331" s="19">
        <f t="shared" si="331"/>
        <v>45831.5625</v>
      </c>
      <c r="AY331" s="19">
        <f t="shared" si="331"/>
        <v>45831.58333</v>
      </c>
      <c r="AZ331" s="19">
        <f t="shared" si="331"/>
        <v>45831.60417</v>
      </c>
      <c r="BA331" s="19">
        <f t="shared" si="331"/>
        <v>45831.625</v>
      </c>
      <c r="BB331" s="19">
        <f t="shared" si="331"/>
        <v>45831.64583</v>
      </c>
      <c r="BC331" s="19">
        <f t="shared" si="331"/>
        <v>45831.66667</v>
      </c>
      <c r="BD331" s="19">
        <f t="shared" si="331"/>
        <v>45831.6875</v>
      </c>
      <c r="BE331" s="19">
        <f t="shared" si="331"/>
        <v>45831.70833</v>
      </c>
      <c r="BF331" s="19">
        <f t="shared" si="331"/>
        <v>45831.72917</v>
      </c>
      <c r="BG331" s="19">
        <f t="shared" si="331"/>
        <v>45831.75</v>
      </c>
      <c r="BH331" s="19">
        <f t="shared" si="331"/>
        <v>45831.77083</v>
      </c>
      <c r="BI331" s="19">
        <f t="shared" si="331"/>
        <v>45831.79167</v>
      </c>
      <c r="BJ331" s="19">
        <f t="shared" si="331"/>
        <v>45831.8125</v>
      </c>
      <c r="BK331" s="19">
        <f t="shared" si="331"/>
        <v>45831.83333</v>
      </c>
      <c r="BL331" s="19">
        <f t="shared" si="331"/>
        <v>45831.85417</v>
      </c>
      <c r="BM331" s="19">
        <f t="shared" si="331"/>
        <v>45831.875</v>
      </c>
      <c r="BN331" s="19">
        <f t="shared" si="331"/>
        <v>45831.89583</v>
      </c>
      <c r="BO331" s="19">
        <f t="shared" si="331"/>
        <v>45831.91667</v>
      </c>
      <c r="BP331" s="19">
        <f t="shared" si="331"/>
        <v>45831.9375</v>
      </c>
      <c r="BQ331" s="19">
        <f t="shared" si="331"/>
        <v>45831.95833</v>
      </c>
      <c r="BR331" s="19">
        <f t="shared" si="331"/>
        <v>45831.97917</v>
      </c>
      <c r="BS331" s="19">
        <f t="shared" si="331"/>
        <v>45832</v>
      </c>
      <c r="BT331" s="19">
        <f t="shared" si="331"/>
        <v>45832.02083</v>
      </c>
      <c r="BU331" s="19">
        <f t="shared" si="331"/>
        <v>45832.04167</v>
      </c>
      <c r="BV331" s="19">
        <f t="shared" si="331"/>
        <v>45832.0625</v>
      </c>
      <c r="BW331" s="19">
        <f t="shared" si="331"/>
        <v>45832.08333</v>
      </c>
      <c r="BX331" s="19">
        <f t="shared" si="331"/>
        <v>45831</v>
      </c>
      <c r="BY331" s="19">
        <f t="shared" si="331"/>
        <v>45831</v>
      </c>
      <c r="BZ331" s="19">
        <f t="shared" si="331"/>
        <v>45831</v>
      </c>
    </row>
    <row r="332" ht="14.25" customHeight="1">
      <c r="A332" s="17">
        <v>45832.0</v>
      </c>
      <c r="B332" s="2" t="str">
        <f t="array" ref="B332">IF(NOW()&gt;AM332,"",IF(AND((WEEKDAY($A332)+$B$2)&gt;1,((WEEKDAY($A332)+$T$2)&lt;7),(WEEKDAY($A332)&lt;&gt;1)),"work",(INDEX(Subject!$A:$I,MATCH(RANDBETWEEN(1,(MAX(Subject!$B:$B))),Subject!$B:$B,0),3))))</f>
        <v/>
      </c>
      <c r="C332" s="2" t="str">
        <f t="array" ref="C332">IF(NOW()&gt;AN332,"",IF(AND((WEEKDAY($A332)+$B$2)&gt;1,((WEEKDAY($A332)+$T$2)&lt;7),(WEEKDAY($A332)&lt;&gt;1)),"work",(INDEX(Subject!$A:$I,MATCH(RANDBETWEEN(1,(MAX(Subject!$B:$B))),Subject!$B:$B,0),3))))</f>
        <v/>
      </c>
      <c r="D332" s="2" t="str">
        <f t="array" ref="D332">IF(NOW()&gt;AO332,"",IF(AND((WEEKDAY($A332)+$B$2)&gt;1,((WEEKDAY($A332)+$T$2)&lt;7),(WEEKDAY($A332)&lt;&gt;1)),"work",(INDEX(Subject!$A:$I,MATCH(RANDBETWEEN(1,(MAX(Subject!$B:$B))),Subject!$B:$B,0),3))))</f>
        <v/>
      </c>
      <c r="E332" s="2" t="str">
        <f t="array" ref="E332">IF(NOW()&gt;AP332,"",IF(AND((WEEKDAY($A332)+$B$2)&gt;1,((WEEKDAY($A332)+$T$2)&lt;7),(WEEKDAY($A332)&lt;&gt;1)),"work",(INDEX(Subject!$A:$I,MATCH(RANDBETWEEN(1,(MAX(Subject!$B:$B))),Subject!$B:$B,0),3))))</f>
        <v/>
      </c>
      <c r="F332" s="2" t="str">
        <f t="array" ref="F332">IF(NOW()&gt;AQ332,"",IF(AND((WEEKDAY($A332)+$B$2)&gt;1,((WEEKDAY($A332)+$T$2)&lt;7),(WEEKDAY($A332)&lt;&gt;1)),"work",(INDEX(Subject!$A:$I,MATCH(RANDBETWEEN(1,(MAX(Subject!$B:$B))),Subject!$B:$B,0),3))))</f>
        <v/>
      </c>
      <c r="G332" s="2" t="str">
        <f t="array" ref="G332">IF(NOW()&gt;AR332,"",IF(AND((WEEKDAY($A332)+$B$2)&gt;1,((WEEKDAY($A332)+$T$2)&lt;7),(WEEKDAY($A332)&lt;&gt;1)),"work",(INDEX(Subject!$A:$I,MATCH(RANDBETWEEN(1,(MAX(Subject!$B:$B))),Subject!$B:$B,0),3))))</f>
        <v/>
      </c>
      <c r="H332" s="2" t="str">
        <f t="array" ref="H332">IF(NOW()&gt;AS332,"",IF(AND((WEEKDAY($A332)+$B$2)&gt;1,((WEEKDAY($A332)+$T$2)&lt;7),(WEEKDAY($A332)&lt;&gt;1)),"work",(INDEX(Subject!$A:$I,MATCH(RANDBETWEEN(1,(MAX(Subject!$B:$B))),Subject!$B:$B,0),3))))</f>
        <v/>
      </c>
      <c r="I332" s="2" t="str">
        <f t="array" ref="I332">IF(NOW()&gt;AT332,"",IF(AND((WEEKDAY($A332)+$B$2)&gt;1,((WEEKDAY($A332)+$T$2)&lt;7),(WEEKDAY($A332)&lt;&gt;1)),"work",(INDEX(Subject!$A:$I,MATCH(RANDBETWEEN(1,(MAX(Subject!$B:$B))),Subject!$B:$B,0),3))))</f>
        <v/>
      </c>
      <c r="J332" s="2" t="str">
        <f t="array" ref="J332">IF(NOW()&gt;AU332,"",IF(AND((WEEKDAY($A332)+$B$2)&gt;1,((WEEKDAY($A332)+$T$2)&lt;7),(WEEKDAY($A332)&lt;&gt;1)),"work",(INDEX(Subject!$A:$I,MATCH(RANDBETWEEN(1,(MAX(Subject!$B:$B))),Subject!$B:$B,0),3))))</f>
        <v/>
      </c>
      <c r="K332" s="2" t="str">
        <f t="array" ref="K332">IF(NOW()&gt;AV332,"",IF(AND((WEEKDAY($A332)+$B$2)&gt;1,((WEEKDAY($A332)+$T$2)&lt;7),(WEEKDAY($A332)&lt;&gt;1)),"work",(INDEX(Subject!$A:$I,MATCH(RANDBETWEEN(1,(MAX(Subject!$B:$B))),Subject!$B:$B,0),3))))</f>
        <v/>
      </c>
      <c r="L332" s="2" t="str">
        <f t="array" ref="L332">IF(NOW()&gt;AW332,"",IF(AND((WEEKDAY($A332)+$B$2)&gt;1,((WEEKDAY($A332)+$T$2)&lt;7),(WEEKDAY($A332)&lt;&gt;1)),"work",(INDEX(Subject!$A:$I,MATCH(RANDBETWEEN(1,(MAX(Subject!$B:$B))),Subject!$B:$B,0),3))))</f>
        <v/>
      </c>
      <c r="M332" s="2" t="str">
        <f t="array" ref="M332">IF(NOW()&gt;AX332,"",IF(AND((WEEKDAY($A332)+$B$2)&gt;1,((WEEKDAY($A332)+$T$2)&lt;7),(WEEKDAY($A332)&lt;&gt;1)),"work",(INDEX(Subject!$A:$I,MATCH(RANDBETWEEN(1,(MAX(Subject!$B:$B))),Subject!$B:$B,0),3))))</f>
        <v/>
      </c>
      <c r="N332" s="2" t="str">
        <f t="array" ref="N332">IF(NOW()&gt;AY332,"",IF(AND((WEEKDAY($A332)+$B$2)&gt;1,((WEEKDAY($A332)+$T$2)&lt;7),(WEEKDAY($A332)&lt;&gt;1)),"work",(INDEX(Subject!$A:$I,MATCH(RANDBETWEEN(1,(MAX(Subject!$B:$B))),Subject!$B:$B,0),3))))</f>
        <v/>
      </c>
      <c r="O332" s="2" t="str">
        <f t="array" ref="O332">IF(NOW()&gt;AZ332,"",IF(AND((WEEKDAY($A332)+$B$2)&gt;1,((WEEKDAY($A332)+$T$2)&lt;7),(WEEKDAY($A332)&lt;&gt;1)),"work",(INDEX(Subject!$A:$I,MATCH(RANDBETWEEN(1,(MAX(Subject!$B:$B))),Subject!$B:$B,0),3))))</f>
        <v/>
      </c>
      <c r="P332" s="2" t="str">
        <f t="array" ref="P332">IF(NOW()&gt;BA332,"",IF(AND((WEEKDAY($A332)+$B$2)&gt;1,((WEEKDAY($A332)+$T$2)&lt;7),(WEEKDAY($A332)&lt;&gt;1)),"work",(INDEX(Subject!$A:$I,MATCH(RANDBETWEEN(1,(MAX(Subject!$B:$B))),Subject!$B:$B,0),3))))</f>
        <v/>
      </c>
      <c r="Q332" s="2" t="str">
        <f t="array" ref="Q332">IF(NOW()&gt;BB332,"",IF(AND((WEEKDAY($A332)+$B$2)&gt;1,((WEEKDAY($A332)+$T$2)&lt;7),(WEEKDAY($A332)&lt;&gt;1)),"work",(INDEX(Subject!$A:$I,MATCH(RANDBETWEEN(1,(MAX(Subject!$B:$B))),Subject!$B:$B,0),3))))</f>
        <v/>
      </c>
      <c r="R332" s="2" t="str">
        <f t="array" ref="R332">IF(NOW()&gt;BC332,"",IF(AND((WEEKDAY($A332)+$B$2)&gt;1,((WEEKDAY($A332)+$T$2)&lt;7),(WEEKDAY($A332)&lt;&gt;1)),"work",(INDEX(Subject!$A:$I,MATCH(RANDBETWEEN(1,(MAX(Subject!$B:$B))),Subject!$B:$B,0),3))))</f>
        <v/>
      </c>
      <c r="S332" s="2" t="str">
        <f t="array" ref="S332">IF(NOW()&gt;BD332,"",IF(AND((WEEKDAY($A332)+$B$2)&gt;1,((WEEKDAY($A332)+$T$2)&lt;7),(WEEKDAY($A332)&lt;&gt;1)),"work",(INDEX(Subject!$A:$I,MATCH(RANDBETWEEN(1,(MAX(Subject!$B:$B))),Subject!$B:$B,0),3))))</f>
        <v/>
      </c>
      <c r="T332" s="2" t="str">
        <f t="array" ref="T332">IF(NOW()&gt;BE332,"",IF(AND((WEEKDAY($A332)+$B$2)&gt;1,((WEEKDAY($A332)+$T$2)&lt;7),(WEEKDAY($A332)&lt;&gt;1)),"work",(INDEX(Subject!$A:$I,MATCH(RANDBETWEEN(1,(MAX(Subject!$B:$B))),Subject!$B:$B,0),3))))</f>
        <v/>
      </c>
      <c r="U332" s="8" t="str">
        <f t="array" ref="U332">INDEX(Subject!$A:$I,MATCH(RANDBETWEEN(1,16),Subject!$B:$B,0),3)</f>
        <v>#N/A</v>
      </c>
      <c r="V332" s="8" t="str">
        <f t="array" ref="V332">INDEX(Subject!$A:$I,MATCH(RANDBETWEEN(1,16),Subject!$B:$B,0),3)</f>
        <v>#N/A</v>
      </c>
      <c r="W332" s="8" t="str">
        <f t="array" ref="W332">INDEX(Subject!$A:$I,MATCH(RANDBETWEEN(1,16),Subject!$B:$B,0),3)</f>
        <v>#N/A</v>
      </c>
      <c r="X332" s="8" t="str">
        <f t="array" ref="X332">INDEX(Subject!$A:$I,MATCH(RANDBETWEEN(1,16),Subject!$B:$B,0),3)</f>
        <v>#N/A</v>
      </c>
      <c r="Y332" s="8" t="str">
        <f t="array" ref="Y332">INDEX(Subject!$A:$I,MATCH(RANDBETWEEN(1,16),Subject!$B:$B,0),3)</f>
        <v/>
      </c>
      <c r="Z332" s="8" t="str">
        <f t="array" ref="Z332">INDEX(Subject!$A:$I,MATCH(RANDBETWEEN(1,16),Subject!$B:$B,0),3)</f>
        <v>#N/A</v>
      </c>
      <c r="AA332" s="8" t="str">
        <f t="array" ref="AA332">INDEX(Subject!$A:$I,MATCH(RANDBETWEEN(1,16),Subject!$B:$B,0),3)</f>
        <v/>
      </c>
      <c r="AB332" s="8" t="str">
        <f t="array" ref="AB332">INDEX(Subject!$A:$I,MATCH(RANDBETWEEN(1,16),Subject!$B:$B,0),3)</f>
        <v>#N/A</v>
      </c>
      <c r="AC332" s="8" t="str">
        <f t="array" ref="AC332">INDEX(Subject!$A:$I,MATCH(RANDBETWEEN(1,16),Subject!$B:$B,0),3)</f>
        <v>#N/A</v>
      </c>
      <c r="AD332" s="8" t="str">
        <f t="array" ref="AD332">INDEX(Subject!$A:$I,MATCH(RANDBETWEEN(1,16),Subject!$B:$B,0),3)</f>
        <v>#N/A</v>
      </c>
      <c r="AE332" s="8" t="str">
        <f t="array" ref="AE332">INDEX(Subject!$A:$I,MATCH(RANDBETWEEN(1,16),Subject!$B:$B,0),3)</f>
        <v/>
      </c>
      <c r="AF332" s="8" t="str">
        <f t="array" ref="AF332">INDEX(Subject!$A:$I,MATCH(RANDBETWEEN(1,16),Subject!$B:$B,0),3)</f>
        <v>#N/A</v>
      </c>
      <c r="AG332" s="8" t="str">
        <f t="array" ref="AG332">INDEX(Subject!$A:$I,MATCH(RANDBETWEEN(1,16),Subject!$B:$B,0),3)</f>
        <v>#N/A</v>
      </c>
      <c r="AH332" s="8" t="str">
        <f t="array" ref="AH332">INDEX(Subject!$A:$I,MATCH(RANDBETWEEN(1,16),Subject!$B:$B,0),3)</f>
        <v>#N/A</v>
      </c>
      <c r="AI332" s="8" t="str">
        <f t="array" ref="AI332">INDEX(Subject!$A:$I,MATCH(RANDBETWEEN(1,16),Subject!$B:$B,0),3)</f>
        <v>#N/A</v>
      </c>
      <c r="AJ332" s="8" t="str">
        <f t="array" ref="AJ332">INDEX(Subject!$A:$I,MATCH(RANDBETWEEN(1,16),Subject!$B:$B,0),3)</f>
        <v>#N/A</v>
      </c>
      <c r="AK332" s="8" t="str">
        <f t="array" ref="AK332">INDEX(Subject!$A:$I,MATCH(RANDBETWEEN(1,16),Subject!$B:$B,0),3)</f>
        <v>#N/A</v>
      </c>
      <c r="AL332" s="8" t="str">
        <f t="array" ref="AL332">INDEX(Subject!$A:$I,MATCH(RANDBETWEEN(1,16),Subject!$B:$B,0),3)</f>
        <v>#N/A</v>
      </c>
      <c r="AM332" s="18">
        <f t="shared" si="4"/>
        <v>45832.33333</v>
      </c>
      <c r="AN332" s="19">
        <f t="shared" ref="AN332:BZ332" si="332">$A332+C$1</f>
        <v>45832.35417</v>
      </c>
      <c r="AO332" s="19">
        <f t="shared" si="332"/>
        <v>45832.375</v>
      </c>
      <c r="AP332" s="19">
        <f t="shared" si="332"/>
        <v>45832.39583</v>
      </c>
      <c r="AQ332" s="19">
        <f t="shared" si="332"/>
        <v>45832.41667</v>
      </c>
      <c r="AR332" s="19">
        <f t="shared" si="332"/>
        <v>45832.4375</v>
      </c>
      <c r="AS332" s="19">
        <f t="shared" si="332"/>
        <v>45832.45833</v>
      </c>
      <c r="AT332" s="19">
        <f t="shared" si="332"/>
        <v>45832.47917</v>
      </c>
      <c r="AU332" s="19">
        <f t="shared" si="332"/>
        <v>45832.5</v>
      </c>
      <c r="AV332" s="19">
        <f t="shared" si="332"/>
        <v>45832.52083</v>
      </c>
      <c r="AW332" s="19">
        <f t="shared" si="332"/>
        <v>45832.54167</v>
      </c>
      <c r="AX332" s="19">
        <f t="shared" si="332"/>
        <v>45832.5625</v>
      </c>
      <c r="AY332" s="19">
        <f t="shared" si="332"/>
        <v>45832.58333</v>
      </c>
      <c r="AZ332" s="19">
        <f t="shared" si="332"/>
        <v>45832.60417</v>
      </c>
      <c r="BA332" s="19">
        <f t="shared" si="332"/>
        <v>45832.625</v>
      </c>
      <c r="BB332" s="19">
        <f t="shared" si="332"/>
        <v>45832.64583</v>
      </c>
      <c r="BC332" s="19">
        <f t="shared" si="332"/>
        <v>45832.66667</v>
      </c>
      <c r="BD332" s="19">
        <f t="shared" si="332"/>
        <v>45832.6875</v>
      </c>
      <c r="BE332" s="19">
        <f t="shared" si="332"/>
        <v>45832.70833</v>
      </c>
      <c r="BF332" s="19">
        <f t="shared" si="332"/>
        <v>45832.72917</v>
      </c>
      <c r="BG332" s="19">
        <f t="shared" si="332"/>
        <v>45832.75</v>
      </c>
      <c r="BH332" s="19">
        <f t="shared" si="332"/>
        <v>45832.77083</v>
      </c>
      <c r="BI332" s="19">
        <f t="shared" si="332"/>
        <v>45832.79167</v>
      </c>
      <c r="BJ332" s="19">
        <f t="shared" si="332"/>
        <v>45832.8125</v>
      </c>
      <c r="BK332" s="19">
        <f t="shared" si="332"/>
        <v>45832.83333</v>
      </c>
      <c r="BL332" s="19">
        <f t="shared" si="332"/>
        <v>45832.85417</v>
      </c>
      <c r="BM332" s="19">
        <f t="shared" si="332"/>
        <v>45832.875</v>
      </c>
      <c r="BN332" s="19">
        <f t="shared" si="332"/>
        <v>45832.89583</v>
      </c>
      <c r="BO332" s="19">
        <f t="shared" si="332"/>
        <v>45832.91667</v>
      </c>
      <c r="BP332" s="19">
        <f t="shared" si="332"/>
        <v>45832.9375</v>
      </c>
      <c r="BQ332" s="19">
        <f t="shared" si="332"/>
        <v>45832.95833</v>
      </c>
      <c r="BR332" s="19">
        <f t="shared" si="332"/>
        <v>45832.97917</v>
      </c>
      <c r="BS332" s="19">
        <f t="shared" si="332"/>
        <v>45833</v>
      </c>
      <c r="BT332" s="19">
        <f t="shared" si="332"/>
        <v>45833.02083</v>
      </c>
      <c r="BU332" s="19">
        <f t="shared" si="332"/>
        <v>45833.04167</v>
      </c>
      <c r="BV332" s="19">
        <f t="shared" si="332"/>
        <v>45833.0625</v>
      </c>
      <c r="BW332" s="19">
        <f t="shared" si="332"/>
        <v>45833.08333</v>
      </c>
      <c r="BX332" s="19">
        <f t="shared" si="332"/>
        <v>45832</v>
      </c>
      <c r="BY332" s="19">
        <f t="shared" si="332"/>
        <v>45832</v>
      </c>
      <c r="BZ332" s="19">
        <f t="shared" si="332"/>
        <v>45832</v>
      </c>
    </row>
    <row r="333" ht="14.25" customHeight="1">
      <c r="A333" s="17">
        <v>45833.0</v>
      </c>
      <c r="B333" s="2" t="str">
        <f t="array" ref="B333">IF(NOW()&gt;AM333,"",IF(AND((WEEKDAY($A333)+$B$2)&gt;1,((WEEKDAY($A333)+$T$2)&lt;7),(WEEKDAY($A333)&lt;&gt;1)),"work",(INDEX(Subject!$A:$I,MATCH(RANDBETWEEN(1,(MAX(Subject!$B:$B))),Subject!$B:$B,0),3))))</f>
        <v/>
      </c>
      <c r="C333" s="2" t="str">
        <f t="array" ref="C333">IF(NOW()&gt;AN333,"",IF(AND((WEEKDAY($A333)+$B$2)&gt;1,((WEEKDAY($A333)+$T$2)&lt;7),(WEEKDAY($A333)&lt;&gt;1)),"work",(INDEX(Subject!$A:$I,MATCH(RANDBETWEEN(1,(MAX(Subject!$B:$B))),Subject!$B:$B,0),3))))</f>
        <v/>
      </c>
      <c r="D333" s="2" t="str">
        <f t="array" ref="D333">IF(NOW()&gt;AO333,"",IF(AND((WEEKDAY($A333)+$B$2)&gt;1,((WEEKDAY($A333)+$T$2)&lt;7),(WEEKDAY($A333)&lt;&gt;1)),"work",(INDEX(Subject!$A:$I,MATCH(RANDBETWEEN(1,(MAX(Subject!$B:$B))),Subject!$B:$B,0),3))))</f>
        <v/>
      </c>
      <c r="E333" s="2" t="str">
        <f t="array" ref="E333">IF(NOW()&gt;AP333,"",IF(AND((WEEKDAY($A333)+$B$2)&gt;1,((WEEKDAY($A333)+$T$2)&lt;7),(WEEKDAY($A333)&lt;&gt;1)),"work",(INDEX(Subject!$A:$I,MATCH(RANDBETWEEN(1,(MAX(Subject!$B:$B))),Subject!$B:$B,0),3))))</f>
        <v/>
      </c>
      <c r="F333" s="2" t="str">
        <f t="array" ref="F333">IF(NOW()&gt;AQ333,"",IF(AND((WEEKDAY($A333)+$B$2)&gt;1,((WEEKDAY($A333)+$T$2)&lt;7),(WEEKDAY($A333)&lt;&gt;1)),"work",(INDEX(Subject!$A:$I,MATCH(RANDBETWEEN(1,(MAX(Subject!$B:$B))),Subject!$B:$B,0),3))))</f>
        <v/>
      </c>
      <c r="G333" s="2" t="str">
        <f t="array" ref="G333">IF(NOW()&gt;AR333,"",IF(AND((WEEKDAY($A333)+$B$2)&gt;1,((WEEKDAY($A333)+$T$2)&lt;7),(WEEKDAY($A333)&lt;&gt;1)),"work",(INDEX(Subject!$A:$I,MATCH(RANDBETWEEN(1,(MAX(Subject!$B:$B))),Subject!$B:$B,0),3))))</f>
        <v/>
      </c>
      <c r="H333" s="2" t="str">
        <f t="array" ref="H333">IF(NOW()&gt;AS333,"",IF(AND((WEEKDAY($A333)+$B$2)&gt;1,((WEEKDAY($A333)+$T$2)&lt;7),(WEEKDAY($A333)&lt;&gt;1)),"work",(INDEX(Subject!$A:$I,MATCH(RANDBETWEEN(1,(MAX(Subject!$B:$B))),Subject!$B:$B,0),3))))</f>
        <v/>
      </c>
      <c r="I333" s="2" t="str">
        <f t="array" ref="I333">IF(NOW()&gt;AT333,"",IF(AND((WEEKDAY($A333)+$B$2)&gt;1,((WEEKDAY($A333)+$T$2)&lt;7),(WEEKDAY($A333)&lt;&gt;1)),"work",(INDEX(Subject!$A:$I,MATCH(RANDBETWEEN(1,(MAX(Subject!$B:$B))),Subject!$B:$B,0),3))))</f>
        <v/>
      </c>
      <c r="J333" s="2" t="str">
        <f t="array" ref="J333">IF(NOW()&gt;AU333,"",IF(AND((WEEKDAY($A333)+$B$2)&gt;1,((WEEKDAY($A333)+$T$2)&lt;7),(WEEKDAY($A333)&lt;&gt;1)),"work",(INDEX(Subject!$A:$I,MATCH(RANDBETWEEN(1,(MAX(Subject!$B:$B))),Subject!$B:$B,0),3))))</f>
        <v/>
      </c>
      <c r="K333" s="2" t="str">
        <f t="array" ref="K333">IF(NOW()&gt;AV333,"",IF(AND((WEEKDAY($A333)+$B$2)&gt;1,((WEEKDAY($A333)+$T$2)&lt;7),(WEEKDAY($A333)&lt;&gt;1)),"work",(INDEX(Subject!$A:$I,MATCH(RANDBETWEEN(1,(MAX(Subject!$B:$B))),Subject!$B:$B,0),3))))</f>
        <v/>
      </c>
      <c r="L333" s="2" t="str">
        <f t="array" ref="L333">IF(NOW()&gt;AW333,"",IF(AND((WEEKDAY($A333)+$B$2)&gt;1,((WEEKDAY($A333)+$T$2)&lt;7),(WEEKDAY($A333)&lt;&gt;1)),"work",(INDEX(Subject!$A:$I,MATCH(RANDBETWEEN(1,(MAX(Subject!$B:$B))),Subject!$B:$B,0),3))))</f>
        <v/>
      </c>
      <c r="M333" s="2" t="str">
        <f t="array" ref="M333">IF(NOW()&gt;AX333,"",IF(AND((WEEKDAY($A333)+$B$2)&gt;1,((WEEKDAY($A333)+$T$2)&lt;7),(WEEKDAY($A333)&lt;&gt;1)),"work",(INDEX(Subject!$A:$I,MATCH(RANDBETWEEN(1,(MAX(Subject!$B:$B))),Subject!$B:$B,0),3))))</f>
        <v/>
      </c>
      <c r="N333" s="2" t="str">
        <f t="array" ref="N333">IF(NOW()&gt;AY333,"",IF(AND((WEEKDAY($A333)+$B$2)&gt;1,((WEEKDAY($A333)+$T$2)&lt;7),(WEEKDAY($A333)&lt;&gt;1)),"work",(INDEX(Subject!$A:$I,MATCH(RANDBETWEEN(1,(MAX(Subject!$B:$B))),Subject!$B:$B,0),3))))</f>
        <v/>
      </c>
      <c r="O333" s="2" t="str">
        <f t="array" ref="O333">IF(NOW()&gt;AZ333,"",IF(AND((WEEKDAY($A333)+$B$2)&gt;1,((WEEKDAY($A333)+$T$2)&lt;7),(WEEKDAY($A333)&lt;&gt;1)),"work",(INDEX(Subject!$A:$I,MATCH(RANDBETWEEN(1,(MAX(Subject!$B:$B))),Subject!$B:$B,0),3))))</f>
        <v/>
      </c>
      <c r="P333" s="2" t="str">
        <f t="array" ref="P333">IF(NOW()&gt;BA333,"",IF(AND((WEEKDAY($A333)+$B$2)&gt;1,((WEEKDAY($A333)+$T$2)&lt;7),(WEEKDAY($A333)&lt;&gt;1)),"work",(INDEX(Subject!$A:$I,MATCH(RANDBETWEEN(1,(MAX(Subject!$B:$B))),Subject!$B:$B,0),3))))</f>
        <v/>
      </c>
      <c r="Q333" s="2" t="str">
        <f t="array" ref="Q333">IF(NOW()&gt;BB333,"",IF(AND((WEEKDAY($A333)+$B$2)&gt;1,((WEEKDAY($A333)+$T$2)&lt;7),(WEEKDAY($A333)&lt;&gt;1)),"work",(INDEX(Subject!$A:$I,MATCH(RANDBETWEEN(1,(MAX(Subject!$B:$B))),Subject!$B:$B,0),3))))</f>
        <v/>
      </c>
      <c r="R333" s="2" t="str">
        <f t="array" ref="R333">IF(NOW()&gt;BC333,"",IF(AND((WEEKDAY($A333)+$B$2)&gt;1,((WEEKDAY($A333)+$T$2)&lt;7),(WEEKDAY($A333)&lt;&gt;1)),"work",(INDEX(Subject!$A:$I,MATCH(RANDBETWEEN(1,(MAX(Subject!$B:$B))),Subject!$B:$B,0),3))))</f>
        <v/>
      </c>
      <c r="S333" s="2" t="str">
        <f t="array" ref="S333">IF(NOW()&gt;BD333,"",IF(AND((WEEKDAY($A333)+$B$2)&gt;1,((WEEKDAY($A333)+$T$2)&lt;7),(WEEKDAY($A333)&lt;&gt;1)),"work",(INDEX(Subject!$A:$I,MATCH(RANDBETWEEN(1,(MAX(Subject!$B:$B))),Subject!$B:$B,0),3))))</f>
        <v/>
      </c>
      <c r="T333" s="2" t="str">
        <f t="array" ref="T333">IF(NOW()&gt;BE333,"",IF(AND((WEEKDAY($A333)+$B$2)&gt;1,((WEEKDAY($A333)+$T$2)&lt;7),(WEEKDAY($A333)&lt;&gt;1)),"work",(INDEX(Subject!$A:$I,MATCH(RANDBETWEEN(1,(MAX(Subject!$B:$B))),Subject!$B:$B,0),3))))</f>
        <v/>
      </c>
      <c r="U333" s="8" t="str">
        <f t="array" ref="U333">INDEX(Subject!$A:$I,MATCH(RANDBETWEEN(1,16),Subject!$B:$B,0),3)</f>
        <v>#N/A</v>
      </c>
      <c r="V333" s="8" t="str">
        <f t="array" ref="V333">INDEX(Subject!$A:$I,MATCH(RANDBETWEEN(1,16),Subject!$B:$B,0),3)</f>
        <v>#N/A</v>
      </c>
      <c r="W333" s="8" t="str">
        <f t="array" ref="W333">INDEX(Subject!$A:$I,MATCH(RANDBETWEEN(1,16),Subject!$B:$B,0),3)</f>
        <v>#N/A</v>
      </c>
      <c r="X333" s="8" t="str">
        <f t="array" ref="X333">INDEX(Subject!$A:$I,MATCH(RANDBETWEEN(1,16),Subject!$B:$B,0),3)</f>
        <v>#N/A</v>
      </c>
      <c r="Y333" s="8" t="str">
        <f t="array" ref="Y333">INDEX(Subject!$A:$I,MATCH(RANDBETWEEN(1,16),Subject!$B:$B,0),3)</f>
        <v>#N/A</v>
      </c>
      <c r="Z333" s="8" t="str">
        <f t="array" ref="Z333">INDEX(Subject!$A:$I,MATCH(RANDBETWEEN(1,16),Subject!$B:$B,0),3)</f>
        <v>#N/A</v>
      </c>
      <c r="AA333" s="8" t="str">
        <f t="array" ref="AA333">INDEX(Subject!$A:$I,MATCH(RANDBETWEEN(1,16),Subject!$B:$B,0),3)</f>
        <v>#N/A</v>
      </c>
      <c r="AB333" s="8" t="str">
        <f t="array" ref="AB333">INDEX(Subject!$A:$I,MATCH(RANDBETWEEN(1,16),Subject!$B:$B,0),3)</f>
        <v>#N/A</v>
      </c>
      <c r="AC333" s="8" t="str">
        <f t="array" ref="AC333">INDEX(Subject!$A:$I,MATCH(RANDBETWEEN(1,16),Subject!$B:$B,0),3)</f>
        <v>#N/A</v>
      </c>
      <c r="AD333" s="8" t="str">
        <f t="array" ref="AD333">INDEX(Subject!$A:$I,MATCH(RANDBETWEEN(1,16),Subject!$B:$B,0),3)</f>
        <v>#N/A</v>
      </c>
      <c r="AE333" s="8" t="str">
        <f t="array" ref="AE333">INDEX(Subject!$A:$I,MATCH(RANDBETWEEN(1,16),Subject!$B:$B,0),3)</f>
        <v>#N/A</v>
      </c>
      <c r="AF333" s="8" t="str">
        <f t="array" ref="AF333">INDEX(Subject!$A:$I,MATCH(RANDBETWEEN(1,16),Subject!$B:$B,0),3)</f>
        <v>#N/A</v>
      </c>
      <c r="AG333" s="8" t="str">
        <f t="array" ref="AG333">INDEX(Subject!$A:$I,MATCH(RANDBETWEEN(1,16),Subject!$B:$B,0),3)</f>
        <v>#N/A</v>
      </c>
      <c r="AH333" s="8" t="str">
        <f t="array" ref="AH333">INDEX(Subject!$A:$I,MATCH(RANDBETWEEN(1,16),Subject!$B:$B,0),3)</f>
        <v>#N/A</v>
      </c>
      <c r="AI333" s="8" t="str">
        <f t="array" ref="AI333">INDEX(Subject!$A:$I,MATCH(RANDBETWEEN(1,16),Subject!$B:$B,0),3)</f>
        <v>#N/A</v>
      </c>
      <c r="AJ333" s="8" t="str">
        <f t="array" ref="AJ333">INDEX(Subject!$A:$I,MATCH(RANDBETWEEN(1,16),Subject!$B:$B,0),3)</f>
        <v>#N/A</v>
      </c>
      <c r="AK333" s="8" t="str">
        <f t="array" ref="AK333">INDEX(Subject!$A:$I,MATCH(RANDBETWEEN(1,16),Subject!$B:$B,0),3)</f>
        <v>#N/A</v>
      </c>
      <c r="AL333" s="8" t="str">
        <f t="array" ref="AL333">INDEX(Subject!$A:$I,MATCH(RANDBETWEEN(1,16),Subject!$B:$B,0),3)</f>
        <v>#N/A</v>
      </c>
      <c r="AM333" s="18">
        <f t="shared" si="4"/>
        <v>45833.33333</v>
      </c>
      <c r="AN333" s="19">
        <f t="shared" ref="AN333:BZ333" si="333">$A333+C$1</f>
        <v>45833.35417</v>
      </c>
      <c r="AO333" s="19">
        <f t="shared" si="333"/>
        <v>45833.375</v>
      </c>
      <c r="AP333" s="19">
        <f t="shared" si="333"/>
        <v>45833.39583</v>
      </c>
      <c r="AQ333" s="19">
        <f t="shared" si="333"/>
        <v>45833.41667</v>
      </c>
      <c r="AR333" s="19">
        <f t="shared" si="333"/>
        <v>45833.4375</v>
      </c>
      <c r="AS333" s="19">
        <f t="shared" si="333"/>
        <v>45833.45833</v>
      </c>
      <c r="AT333" s="19">
        <f t="shared" si="333"/>
        <v>45833.47917</v>
      </c>
      <c r="AU333" s="19">
        <f t="shared" si="333"/>
        <v>45833.5</v>
      </c>
      <c r="AV333" s="19">
        <f t="shared" si="333"/>
        <v>45833.52083</v>
      </c>
      <c r="AW333" s="19">
        <f t="shared" si="333"/>
        <v>45833.54167</v>
      </c>
      <c r="AX333" s="19">
        <f t="shared" si="333"/>
        <v>45833.5625</v>
      </c>
      <c r="AY333" s="19">
        <f t="shared" si="333"/>
        <v>45833.58333</v>
      </c>
      <c r="AZ333" s="19">
        <f t="shared" si="333"/>
        <v>45833.60417</v>
      </c>
      <c r="BA333" s="19">
        <f t="shared" si="333"/>
        <v>45833.625</v>
      </c>
      <c r="BB333" s="19">
        <f t="shared" si="333"/>
        <v>45833.64583</v>
      </c>
      <c r="BC333" s="19">
        <f t="shared" si="333"/>
        <v>45833.66667</v>
      </c>
      <c r="BD333" s="19">
        <f t="shared" si="333"/>
        <v>45833.6875</v>
      </c>
      <c r="BE333" s="19">
        <f t="shared" si="333"/>
        <v>45833.70833</v>
      </c>
      <c r="BF333" s="19">
        <f t="shared" si="333"/>
        <v>45833.72917</v>
      </c>
      <c r="BG333" s="19">
        <f t="shared" si="333"/>
        <v>45833.75</v>
      </c>
      <c r="BH333" s="19">
        <f t="shared" si="333"/>
        <v>45833.77083</v>
      </c>
      <c r="BI333" s="19">
        <f t="shared" si="333"/>
        <v>45833.79167</v>
      </c>
      <c r="BJ333" s="19">
        <f t="shared" si="333"/>
        <v>45833.8125</v>
      </c>
      <c r="BK333" s="19">
        <f t="shared" si="333"/>
        <v>45833.83333</v>
      </c>
      <c r="BL333" s="19">
        <f t="shared" si="333"/>
        <v>45833.85417</v>
      </c>
      <c r="BM333" s="19">
        <f t="shared" si="333"/>
        <v>45833.875</v>
      </c>
      <c r="BN333" s="19">
        <f t="shared" si="333"/>
        <v>45833.89583</v>
      </c>
      <c r="BO333" s="19">
        <f t="shared" si="333"/>
        <v>45833.91667</v>
      </c>
      <c r="BP333" s="19">
        <f t="shared" si="333"/>
        <v>45833.9375</v>
      </c>
      <c r="BQ333" s="19">
        <f t="shared" si="333"/>
        <v>45833.95833</v>
      </c>
      <c r="BR333" s="19">
        <f t="shared" si="333"/>
        <v>45833.97917</v>
      </c>
      <c r="BS333" s="19">
        <f t="shared" si="333"/>
        <v>45834</v>
      </c>
      <c r="BT333" s="19">
        <f t="shared" si="333"/>
        <v>45834.02083</v>
      </c>
      <c r="BU333" s="19">
        <f t="shared" si="333"/>
        <v>45834.04167</v>
      </c>
      <c r="BV333" s="19">
        <f t="shared" si="333"/>
        <v>45834.0625</v>
      </c>
      <c r="BW333" s="19">
        <f t="shared" si="333"/>
        <v>45834.08333</v>
      </c>
      <c r="BX333" s="19">
        <f t="shared" si="333"/>
        <v>45833</v>
      </c>
      <c r="BY333" s="19">
        <f t="shared" si="333"/>
        <v>45833</v>
      </c>
      <c r="BZ333" s="19">
        <f t="shared" si="333"/>
        <v>45833</v>
      </c>
    </row>
    <row r="334" ht="14.25" customHeight="1">
      <c r="A334" s="17">
        <v>45834.0</v>
      </c>
      <c r="B334" s="2" t="str">
        <f t="array" ref="B334">IF(NOW()&gt;AM334,"",IF(AND((WEEKDAY($A334)+$B$2)&gt;1,((WEEKDAY($A334)+$T$2)&lt;7),(WEEKDAY($A334)&lt;&gt;1)),"work",(INDEX(Subject!$A:$I,MATCH(RANDBETWEEN(1,(MAX(Subject!$B:$B))),Subject!$B:$B,0),3))))</f>
        <v/>
      </c>
      <c r="C334" s="2" t="str">
        <f t="array" ref="C334">IF(NOW()&gt;AN334,"",IF(AND((WEEKDAY($A334)+$B$2)&gt;1,((WEEKDAY($A334)+$T$2)&lt;7),(WEEKDAY($A334)&lt;&gt;1)),"work",(INDEX(Subject!$A:$I,MATCH(RANDBETWEEN(1,(MAX(Subject!$B:$B))),Subject!$B:$B,0),3))))</f>
        <v/>
      </c>
      <c r="D334" s="2" t="str">
        <f t="array" ref="D334">IF(NOW()&gt;AO334,"",IF(AND((WEEKDAY($A334)+$B$2)&gt;1,((WEEKDAY($A334)+$T$2)&lt;7),(WEEKDAY($A334)&lt;&gt;1)),"work",(INDEX(Subject!$A:$I,MATCH(RANDBETWEEN(1,(MAX(Subject!$B:$B))),Subject!$B:$B,0),3))))</f>
        <v/>
      </c>
      <c r="E334" s="2" t="str">
        <f t="array" ref="E334">IF(NOW()&gt;AP334,"",IF(AND((WEEKDAY($A334)+$B$2)&gt;1,((WEEKDAY($A334)+$T$2)&lt;7),(WEEKDAY($A334)&lt;&gt;1)),"work",(INDEX(Subject!$A:$I,MATCH(RANDBETWEEN(1,(MAX(Subject!$B:$B))),Subject!$B:$B,0),3))))</f>
        <v/>
      </c>
      <c r="F334" s="2" t="str">
        <f t="array" ref="F334">IF(NOW()&gt;AQ334,"",IF(AND((WEEKDAY($A334)+$B$2)&gt;1,((WEEKDAY($A334)+$T$2)&lt;7),(WEEKDAY($A334)&lt;&gt;1)),"work",(INDEX(Subject!$A:$I,MATCH(RANDBETWEEN(1,(MAX(Subject!$B:$B))),Subject!$B:$B,0),3))))</f>
        <v/>
      </c>
      <c r="G334" s="2" t="str">
        <f t="array" ref="G334">IF(NOW()&gt;AR334,"",IF(AND((WEEKDAY($A334)+$B$2)&gt;1,((WEEKDAY($A334)+$T$2)&lt;7),(WEEKDAY($A334)&lt;&gt;1)),"work",(INDEX(Subject!$A:$I,MATCH(RANDBETWEEN(1,(MAX(Subject!$B:$B))),Subject!$B:$B,0),3))))</f>
        <v/>
      </c>
      <c r="H334" s="2" t="str">
        <f t="array" ref="H334">IF(NOW()&gt;AS334,"",IF(AND((WEEKDAY($A334)+$B$2)&gt;1,((WEEKDAY($A334)+$T$2)&lt;7),(WEEKDAY($A334)&lt;&gt;1)),"work",(INDEX(Subject!$A:$I,MATCH(RANDBETWEEN(1,(MAX(Subject!$B:$B))),Subject!$B:$B,0),3))))</f>
        <v/>
      </c>
      <c r="I334" s="2" t="str">
        <f t="array" ref="I334">IF(NOW()&gt;AT334,"",IF(AND((WEEKDAY($A334)+$B$2)&gt;1,((WEEKDAY($A334)+$T$2)&lt;7),(WEEKDAY($A334)&lt;&gt;1)),"work",(INDEX(Subject!$A:$I,MATCH(RANDBETWEEN(1,(MAX(Subject!$B:$B))),Subject!$B:$B,0),3))))</f>
        <v/>
      </c>
      <c r="J334" s="2" t="str">
        <f t="array" ref="J334">IF(NOW()&gt;AU334,"",IF(AND((WEEKDAY($A334)+$B$2)&gt;1,((WEEKDAY($A334)+$T$2)&lt;7),(WEEKDAY($A334)&lt;&gt;1)),"work",(INDEX(Subject!$A:$I,MATCH(RANDBETWEEN(1,(MAX(Subject!$B:$B))),Subject!$B:$B,0),3))))</f>
        <v/>
      </c>
      <c r="K334" s="2" t="str">
        <f t="array" ref="K334">IF(NOW()&gt;AV334,"",IF(AND((WEEKDAY($A334)+$B$2)&gt;1,((WEEKDAY($A334)+$T$2)&lt;7),(WEEKDAY($A334)&lt;&gt;1)),"work",(INDEX(Subject!$A:$I,MATCH(RANDBETWEEN(1,(MAX(Subject!$B:$B))),Subject!$B:$B,0),3))))</f>
        <v/>
      </c>
      <c r="L334" s="2" t="str">
        <f t="array" ref="L334">IF(NOW()&gt;AW334,"",IF(AND((WEEKDAY($A334)+$B$2)&gt;1,((WEEKDAY($A334)+$T$2)&lt;7),(WEEKDAY($A334)&lt;&gt;1)),"work",(INDEX(Subject!$A:$I,MATCH(RANDBETWEEN(1,(MAX(Subject!$B:$B))),Subject!$B:$B,0),3))))</f>
        <v/>
      </c>
      <c r="M334" s="2" t="str">
        <f t="array" ref="M334">IF(NOW()&gt;AX334,"",IF(AND((WEEKDAY($A334)+$B$2)&gt;1,((WEEKDAY($A334)+$T$2)&lt;7),(WEEKDAY($A334)&lt;&gt;1)),"work",(INDEX(Subject!$A:$I,MATCH(RANDBETWEEN(1,(MAX(Subject!$B:$B))),Subject!$B:$B,0),3))))</f>
        <v/>
      </c>
      <c r="N334" s="2" t="str">
        <f t="array" ref="N334">IF(NOW()&gt;AY334,"",IF(AND((WEEKDAY($A334)+$B$2)&gt;1,((WEEKDAY($A334)+$T$2)&lt;7),(WEEKDAY($A334)&lt;&gt;1)),"work",(INDEX(Subject!$A:$I,MATCH(RANDBETWEEN(1,(MAX(Subject!$B:$B))),Subject!$B:$B,0),3))))</f>
        <v/>
      </c>
      <c r="O334" s="2" t="str">
        <f t="array" ref="O334">IF(NOW()&gt;AZ334,"",IF(AND((WEEKDAY($A334)+$B$2)&gt;1,((WEEKDAY($A334)+$T$2)&lt;7),(WEEKDAY($A334)&lt;&gt;1)),"work",(INDEX(Subject!$A:$I,MATCH(RANDBETWEEN(1,(MAX(Subject!$B:$B))),Subject!$B:$B,0),3))))</f>
        <v/>
      </c>
      <c r="P334" s="2" t="str">
        <f t="array" ref="P334">IF(NOW()&gt;BA334,"",IF(AND((WEEKDAY($A334)+$B$2)&gt;1,((WEEKDAY($A334)+$T$2)&lt;7),(WEEKDAY($A334)&lt;&gt;1)),"work",(INDEX(Subject!$A:$I,MATCH(RANDBETWEEN(1,(MAX(Subject!$B:$B))),Subject!$B:$B,0),3))))</f>
        <v/>
      </c>
      <c r="Q334" s="2" t="str">
        <f t="array" ref="Q334">IF(NOW()&gt;BB334,"",IF(AND((WEEKDAY($A334)+$B$2)&gt;1,((WEEKDAY($A334)+$T$2)&lt;7),(WEEKDAY($A334)&lt;&gt;1)),"work",(INDEX(Subject!$A:$I,MATCH(RANDBETWEEN(1,(MAX(Subject!$B:$B))),Subject!$B:$B,0),3))))</f>
        <v/>
      </c>
      <c r="R334" s="2" t="str">
        <f t="array" ref="R334">IF(NOW()&gt;BC334,"",IF(AND((WEEKDAY($A334)+$B$2)&gt;1,((WEEKDAY($A334)+$T$2)&lt;7),(WEEKDAY($A334)&lt;&gt;1)),"work",(INDEX(Subject!$A:$I,MATCH(RANDBETWEEN(1,(MAX(Subject!$B:$B))),Subject!$B:$B,0),3))))</f>
        <v/>
      </c>
      <c r="S334" s="2" t="str">
        <f t="array" ref="S334">IF(NOW()&gt;BD334,"",IF(AND((WEEKDAY($A334)+$B$2)&gt;1,((WEEKDAY($A334)+$T$2)&lt;7),(WEEKDAY($A334)&lt;&gt;1)),"work",(INDEX(Subject!$A:$I,MATCH(RANDBETWEEN(1,(MAX(Subject!$B:$B))),Subject!$B:$B,0),3))))</f>
        <v/>
      </c>
      <c r="T334" s="2" t="str">
        <f t="array" ref="T334">IF(NOW()&gt;BE334,"",IF(AND((WEEKDAY($A334)+$B$2)&gt;1,((WEEKDAY($A334)+$T$2)&lt;7),(WEEKDAY($A334)&lt;&gt;1)),"work",(INDEX(Subject!$A:$I,MATCH(RANDBETWEEN(1,(MAX(Subject!$B:$B))),Subject!$B:$B,0),3))))</f>
        <v/>
      </c>
      <c r="U334" s="8" t="str">
        <f t="array" ref="U334">INDEX(Subject!$A:$I,MATCH(RANDBETWEEN(1,16),Subject!$B:$B,0),3)</f>
        <v>#N/A</v>
      </c>
      <c r="V334" s="8" t="str">
        <f t="array" ref="V334">INDEX(Subject!$A:$I,MATCH(RANDBETWEEN(1,16),Subject!$B:$B,0),3)</f>
        <v>#N/A</v>
      </c>
      <c r="W334" s="8" t="str">
        <f t="array" ref="W334">INDEX(Subject!$A:$I,MATCH(RANDBETWEEN(1,16),Subject!$B:$B,0),3)</f>
        <v>#N/A</v>
      </c>
      <c r="X334" s="8" t="str">
        <f t="array" ref="X334">INDEX(Subject!$A:$I,MATCH(RANDBETWEEN(1,16),Subject!$B:$B,0),3)</f>
        <v>#N/A</v>
      </c>
      <c r="Y334" s="8" t="str">
        <f t="array" ref="Y334">INDEX(Subject!$A:$I,MATCH(RANDBETWEEN(1,16),Subject!$B:$B,0),3)</f>
        <v>#N/A</v>
      </c>
      <c r="Z334" s="8" t="str">
        <f t="array" ref="Z334">INDEX(Subject!$A:$I,MATCH(RANDBETWEEN(1,16),Subject!$B:$B,0),3)</f>
        <v>#N/A</v>
      </c>
      <c r="AA334" s="8" t="str">
        <f t="array" ref="AA334">INDEX(Subject!$A:$I,MATCH(RANDBETWEEN(1,16),Subject!$B:$B,0),3)</f>
        <v>#N/A</v>
      </c>
      <c r="AB334" s="8" t="str">
        <f t="array" ref="AB334">INDEX(Subject!$A:$I,MATCH(RANDBETWEEN(1,16),Subject!$B:$B,0),3)</f>
        <v>#N/A</v>
      </c>
      <c r="AC334" s="8" t="str">
        <f t="array" ref="AC334">INDEX(Subject!$A:$I,MATCH(RANDBETWEEN(1,16),Subject!$B:$B,0),3)</f>
        <v>#N/A</v>
      </c>
      <c r="AD334" s="8" t="str">
        <f t="array" ref="AD334">INDEX(Subject!$A:$I,MATCH(RANDBETWEEN(1,16),Subject!$B:$B,0),3)</f>
        <v>#N/A</v>
      </c>
      <c r="AE334" s="8" t="str">
        <f t="array" ref="AE334">INDEX(Subject!$A:$I,MATCH(RANDBETWEEN(1,16),Subject!$B:$B,0),3)</f>
        <v>#N/A</v>
      </c>
      <c r="AF334" s="8" t="str">
        <f t="array" ref="AF334">INDEX(Subject!$A:$I,MATCH(RANDBETWEEN(1,16),Subject!$B:$B,0),3)</f>
        <v>#N/A</v>
      </c>
      <c r="AG334" s="8" t="str">
        <f t="array" ref="AG334">INDEX(Subject!$A:$I,MATCH(RANDBETWEEN(1,16),Subject!$B:$B,0),3)</f>
        <v/>
      </c>
      <c r="AH334" s="8" t="str">
        <f t="array" ref="AH334">INDEX(Subject!$A:$I,MATCH(RANDBETWEEN(1,16),Subject!$B:$B,0),3)</f>
        <v>#N/A</v>
      </c>
      <c r="AI334" s="8" t="str">
        <f t="array" ref="AI334">INDEX(Subject!$A:$I,MATCH(RANDBETWEEN(1,16),Subject!$B:$B,0),3)</f>
        <v>#N/A</v>
      </c>
      <c r="AJ334" s="8" t="str">
        <f t="array" ref="AJ334">INDEX(Subject!$A:$I,MATCH(RANDBETWEEN(1,16),Subject!$B:$B,0),3)</f>
        <v>#N/A</v>
      </c>
      <c r="AK334" s="8" t="str">
        <f t="array" ref="AK334">INDEX(Subject!$A:$I,MATCH(RANDBETWEEN(1,16),Subject!$B:$B,0),3)</f>
        <v>#N/A</v>
      </c>
      <c r="AL334" s="8" t="str">
        <f t="array" ref="AL334">INDEX(Subject!$A:$I,MATCH(RANDBETWEEN(1,16),Subject!$B:$B,0),3)</f>
        <v/>
      </c>
      <c r="AM334" s="18">
        <f t="shared" si="4"/>
        <v>45834.33333</v>
      </c>
      <c r="AN334" s="19">
        <f t="shared" ref="AN334:BZ334" si="334">$A334+C$1</f>
        <v>45834.35417</v>
      </c>
      <c r="AO334" s="19">
        <f t="shared" si="334"/>
        <v>45834.375</v>
      </c>
      <c r="AP334" s="19">
        <f t="shared" si="334"/>
        <v>45834.39583</v>
      </c>
      <c r="AQ334" s="19">
        <f t="shared" si="334"/>
        <v>45834.41667</v>
      </c>
      <c r="AR334" s="19">
        <f t="shared" si="334"/>
        <v>45834.4375</v>
      </c>
      <c r="AS334" s="19">
        <f t="shared" si="334"/>
        <v>45834.45833</v>
      </c>
      <c r="AT334" s="19">
        <f t="shared" si="334"/>
        <v>45834.47917</v>
      </c>
      <c r="AU334" s="19">
        <f t="shared" si="334"/>
        <v>45834.5</v>
      </c>
      <c r="AV334" s="19">
        <f t="shared" si="334"/>
        <v>45834.52083</v>
      </c>
      <c r="AW334" s="19">
        <f t="shared" si="334"/>
        <v>45834.54167</v>
      </c>
      <c r="AX334" s="19">
        <f t="shared" si="334"/>
        <v>45834.5625</v>
      </c>
      <c r="AY334" s="19">
        <f t="shared" si="334"/>
        <v>45834.58333</v>
      </c>
      <c r="AZ334" s="19">
        <f t="shared" si="334"/>
        <v>45834.60417</v>
      </c>
      <c r="BA334" s="19">
        <f t="shared" si="334"/>
        <v>45834.625</v>
      </c>
      <c r="BB334" s="19">
        <f t="shared" si="334"/>
        <v>45834.64583</v>
      </c>
      <c r="BC334" s="19">
        <f t="shared" si="334"/>
        <v>45834.66667</v>
      </c>
      <c r="BD334" s="19">
        <f t="shared" si="334"/>
        <v>45834.6875</v>
      </c>
      <c r="BE334" s="19">
        <f t="shared" si="334"/>
        <v>45834.70833</v>
      </c>
      <c r="BF334" s="19">
        <f t="shared" si="334"/>
        <v>45834.72917</v>
      </c>
      <c r="BG334" s="19">
        <f t="shared" si="334"/>
        <v>45834.75</v>
      </c>
      <c r="BH334" s="19">
        <f t="shared" si="334"/>
        <v>45834.77083</v>
      </c>
      <c r="BI334" s="19">
        <f t="shared" si="334"/>
        <v>45834.79167</v>
      </c>
      <c r="BJ334" s="19">
        <f t="shared" si="334"/>
        <v>45834.8125</v>
      </c>
      <c r="BK334" s="19">
        <f t="shared" si="334"/>
        <v>45834.83333</v>
      </c>
      <c r="BL334" s="19">
        <f t="shared" si="334"/>
        <v>45834.85417</v>
      </c>
      <c r="BM334" s="19">
        <f t="shared" si="334"/>
        <v>45834.875</v>
      </c>
      <c r="BN334" s="19">
        <f t="shared" si="334"/>
        <v>45834.89583</v>
      </c>
      <c r="BO334" s="19">
        <f t="shared" si="334"/>
        <v>45834.91667</v>
      </c>
      <c r="BP334" s="19">
        <f t="shared" si="334"/>
        <v>45834.9375</v>
      </c>
      <c r="BQ334" s="19">
        <f t="shared" si="334"/>
        <v>45834.95833</v>
      </c>
      <c r="BR334" s="19">
        <f t="shared" si="334"/>
        <v>45834.97917</v>
      </c>
      <c r="BS334" s="19">
        <f t="shared" si="334"/>
        <v>45835</v>
      </c>
      <c r="BT334" s="19">
        <f t="shared" si="334"/>
        <v>45835.02083</v>
      </c>
      <c r="BU334" s="19">
        <f t="shared" si="334"/>
        <v>45835.04167</v>
      </c>
      <c r="BV334" s="19">
        <f t="shared" si="334"/>
        <v>45835.0625</v>
      </c>
      <c r="BW334" s="19">
        <f t="shared" si="334"/>
        <v>45835.08333</v>
      </c>
      <c r="BX334" s="19">
        <f t="shared" si="334"/>
        <v>45834</v>
      </c>
      <c r="BY334" s="19">
        <f t="shared" si="334"/>
        <v>45834</v>
      </c>
      <c r="BZ334" s="19">
        <f t="shared" si="334"/>
        <v>45834</v>
      </c>
    </row>
    <row r="335" ht="14.25" customHeight="1">
      <c r="A335" s="17">
        <v>45835.0</v>
      </c>
      <c r="B335" s="2" t="str">
        <f t="array" ref="B335">IF(NOW()&gt;AM335,"",IF(AND((WEEKDAY($A335)+$B$2)&gt;1,((WEEKDAY($A335)+$T$2)&lt;7),(WEEKDAY($A335)&lt;&gt;1)),"work",(INDEX(Subject!$A:$I,MATCH(RANDBETWEEN(1,(MAX(Subject!$B:$B))),Subject!$B:$B,0),3))))</f>
        <v/>
      </c>
      <c r="C335" s="2" t="str">
        <f t="array" ref="C335">IF(NOW()&gt;AN335,"",IF(AND((WEEKDAY($A335)+$B$2)&gt;1,((WEEKDAY($A335)+$T$2)&lt;7),(WEEKDAY($A335)&lt;&gt;1)),"work",(INDEX(Subject!$A:$I,MATCH(RANDBETWEEN(1,(MAX(Subject!$B:$B))),Subject!$B:$B,0),3))))</f>
        <v/>
      </c>
      <c r="D335" s="2" t="str">
        <f t="array" ref="D335">IF(NOW()&gt;AO335,"",IF(AND((WEEKDAY($A335)+$B$2)&gt;1,((WEEKDAY($A335)+$T$2)&lt;7),(WEEKDAY($A335)&lt;&gt;1)),"work",(INDEX(Subject!$A:$I,MATCH(RANDBETWEEN(1,(MAX(Subject!$B:$B))),Subject!$B:$B,0),3))))</f>
        <v/>
      </c>
      <c r="E335" s="2" t="str">
        <f t="array" ref="E335">IF(NOW()&gt;AP335,"",IF(AND((WEEKDAY($A335)+$B$2)&gt;1,((WEEKDAY($A335)+$T$2)&lt;7),(WEEKDAY($A335)&lt;&gt;1)),"work",(INDEX(Subject!$A:$I,MATCH(RANDBETWEEN(1,(MAX(Subject!$B:$B))),Subject!$B:$B,0),3))))</f>
        <v/>
      </c>
      <c r="F335" s="2" t="str">
        <f t="array" ref="F335">IF(NOW()&gt;AQ335,"",IF(AND((WEEKDAY($A335)+$B$2)&gt;1,((WEEKDAY($A335)+$T$2)&lt;7),(WEEKDAY($A335)&lt;&gt;1)),"work",(INDEX(Subject!$A:$I,MATCH(RANDBETWEEN(1,(MAX(Subject!$B:$B))),Subject!$B:$B,0),3))))</f>
        <v/>
      </c>
      <c r="G335" s="2" t="str">
        <f t="array" ref="G335">IF(NOW()&gt;AR335,"",IF(AND((WEEKDAY($A335)+$B$2)&gt;1,((WEEKDAY($A335)+$T$2)&lt;7),(WEEKDAY($A335)&lt;&gt;1)),"work",(INDEX(Subject!$A:$I,MATCH(RANDBETWEEN(1,(MAX(Subject!$B:$B))),Subject!$B:$B,0),3))))</f>
        <v/>
      </c>
      <c r="H335" s="2" t="str">
        <f t="array" ref="H335">IF(NOW()&gt;AS335,"",IF(AND((WEEKDAY($A335)+$B$2)&gt;1,((WEEKDAY($A335)+$T$2)&lt;7),(WEEKDAY($A335)&lt;&gt;1)),"work",(INDEX(Subject!$A:$I,MATCH(RANDBETWEEN(1,(MAX(Subject!$B:$B))),Subject!$B:$B,0),3))))</f>
        <v/>
      </c>
      <c r="I335" s="2" t="str">
        <f t="array" ref="I335">IF(NOW()&gt;AT335,"",IF(AND((WEEKDAY($A335)+$B$2)&gt;1,((WEEKDAY($A335)+$T$2)&lt;7),(WEEKDAY($A335)&lt;&gt;1)),"work",(INDEX(Subject!$A:$I,MATCH(RANDBETWEEN(1,(MAX(Subject!$B:$B))),Subject!$B:$B,0),3))))</f>
        <v/>
      </c>
      <c r="J335" s="2" t="str">
        <f t="array" ref="J335">IF(NOW()&gt;AU335,"",IF(AND((WEEKDAY($A335)+$B$2)&gt;1,((WEEKDAY($A335)+$T$2)&lt;7),(WEEKDAY($A335)&lt;&gt;1)),"work",(INDEX(Subject!$A:$I,MATCH(RANDBETWEEN(1,(MAX(Subject!$B:$B))),Subject!$B:$B,0),3))))</f>
        <v/>
      </c>
      <c r="K335" s="2" t="str">
        <f t="array" ref="K335">IF(NOW()&gt;AV335,"",IF(AND((WEEKDAY($A335)+$B$2)&gt;1,((WEEKDAY($A335)+$T$2)&lt;7),(WEEKDAY($A335)&lt;&gt;1)),"work",(INDEX(Subject!$A:$I,MATCH(RANDBETWEEN(1,(MAX(Subject!$B:$B))),Subject!$B:$B,0),3))))</f>
        <v/>
      </c>
      <c r="L335" s="2" t="str">
        <f t="array" ref="L335">IF(NOW()&gt;AW335,"",IF(AND((WEEKDAY($A335)+$B$2)&gt;1,((WEEKDAY($A335)+$T$2)&lt;7),(WEEKDAY($A335)&lt;&gt;1)),"work",(INDEX(Subject!$A:$I,MATCH(RANDBETWEEN(1,(MAX(Subject!$B:$B))),Subject!$B:$B,0),3))))</f>
        <v/>
      </c>
      <c r="M335" s="2" t="str">
        <f t="array" ref="M335">IF(NOW()&gt;AX335,"",IF(AND((WEEKDAY($A335)+$B$2)&gt;1,((WEEKDAY($A335)+$T$2)&lt;7),(WEEKDAY($A335)&lt;&gt;1)),"work",(INDEX(Subject!$A:$I,MATCH(RANDBETWEEN(1,(MAX(Subject!$B:$B))),Subject!$B:$B,0),3))))</f>
        <v/>
      </c>
      <c r="N335" s="2" t="str">
        <f t="array" ref="N335">IF(NOW()&gt;AY335,"",IF(AND((WEEKDAY($A335)+$B$2)&gt;1,((WEEKDAY($A335)+$T$2)&lt;7),(WEEKDAY($A335)&lt;&gt;1)),"work",(INDEX(Subject!$A:$I,MATCH(RANDBETWEEN(1,(MAX(Subject!$B:$B))),Subject!$B:$B,0),3))))</f>
        <v/>
      </c>
      <c r="O335" s="2" t="str">
        <f t="array" ref="O335">IF(NOW()&gt;AZ335,"",IF(AND((WEEKDAY($A335)+$B$2)&gt;1,((WEEKDAY($A335)+$T$2)&lt;7),(WEEKDAY($A335)&lt;&gt;1)),"work",(INDEX(Subject!$A:$I,MATCH(RANDBETWEEN(1,(MAX(Subject!$B:$B))),Subject!$B:$B,0),3))))</f>
        <v/>
      </c>
      <c r="P335" s="2" t="str">
        <f t="array" ref="P335">IF(NOW()&gt;BA335,"",IF(AND((WEEKDAY($A335)+$B$2)&gt;1,((WEEKDAY($A335)+$T$2)&lt;7),(WEEKDAY($A335)&lt;&gt;1)),"work",(INDEX(Subject!$A:$I,MATCH(RANDBETWEEN(1,(MAX(Subject!$B:$B))),Subject!$B:$B,0),3))))</f>
        <v/>
      </c>
      <c r="Q335" s="2" t="str">
        <f t="array" ref="Q335">IF(NOW()&gt;BB335,"",IF(AND((WEEKDAY($A335)+$B$2)&gt;1,((WEEKDAY($A335)+$T$2)&lt;7),(WEEKDAY($A335)&lt;&gt;1)),"work",(INDEX(Subject!$A:$I,MATCH(RANDBETWEEN(1,(MAX(Subject!$B:$B))),Subject!$B:$B,0),3))))</f>
        <v/>
      </c>
      <c r="R335" s="2" t="str">
        <f t="array" ref="R335">IF(NOW()&gt;BC335,"",IF(AND((WEEKDAY($A335)+$B$2)&gt;1,((WEEKDAY($A335)+$T$2)&lt;7),(WEEKDAY($A335)&lt;&gt;1)),"work",(INDEX(Subject!$A:$I,MATCH(RANDBETWEEN(1,(MAX(Subject!$B:$B))),Subject!$B:$B,0),3))))</f>
        <v/>
      </c>
      <c r="S335" s="2" t="str">
        <f t="array" ref="S335">IF(NOW()&gt;BD335,"",IF(AND((WEEKDAY($A335)+$B$2)&gt;1,((WEEKDAY($A335)+$T$2)&lt;7),(WEEKDAY($A335)&lt;&gt;1)),"work",(INDEX(Subject!$A:$I,MATCH(RANDBETWEEN(1,(MAX(Subject!$B:$B))),Subject!$B:$B,0),3))))</f>
        <v/>
      </c>
      <c r="T335" s="2" t="str">
        <f t="array" ref="T335">IF(NOW()&gt;BE335,"",IF(AND((WEEKDAY($A335)+$B$2)&gt;1,((WEEKDAY($A335)+$T$2)&lt;7),(WEEKDAY($A335)&lt;&gt;1)),"work",(INDEX(Subject!$A:$I,MATCH(RANDBETWEEN(1,(MAX(Subject!$B:$B))),Subject!$B:$B,0),3))))</f>
        <v/>
      </c>
      <c r="U335" s="8" t="str">
        <f t="array" ref="U335">INDEX(Subject!$A:$I,MATCH(RANDBETWEEN(1,16),Subject!$B:$B,0),3)</f>
        <v>#N/A</v>
      </c>
      <c r="V335" s="8" t="str">
        <f t="array" ref="V335">INDEX(Subject!$A:$I,MATCH(RANDBETWEEN(1,16),Subject!$B:$B,0),3)</f>
        <v>#N/A</v>
      </c>
      <c r="W335" s="8" t="str">
        <f t="array" ref="W335">INDEX(Subject!$A:$I,MATCH(RANDBETWEEN(1,16),Subject!$B:$B,0),3)</f>
        <v>#N/A</v>
      </c>
      <c r="X335" s="8" t="str">
        <f t="array" ref="X335">INDEX(Subject!$A:$I,MATCH(RANDBETWEEN(1,16),Subject!$B:$B,0),3)</f>
        <v>#N/A</v>
      </c>
      <c r="Y335" s="8" t="str">
        <f t="array" ref="Y335">INDEX(Subject!$A:$I,MATCH(RANDBETWEEN(1,16),Subject!$B:$B,0),3)</f>
        <v>#N/A</v>
      </c>
      <c r="Z335" s="8" t="str">
        <f t="array" ref="Z335">INDEX(Subject!$A:$I,MATCH(RANDBETWEEN(1,16),Subject!$B:$B,0),3)</f>
        <v>#N/A</v>
      </c>
      <c r="AA335" s="8" t="str">
        <f t="array" ref="AA335">INDEX(Subject!$A:$I,MATCH(RANDBETWEEN(1,16),Subject!$B:$B,0),3)</f>
        <v>#N/A</v>
      </c>
      <c r="AB335" s="8" t="str">
        <f t="array" ref="AB335">INDEX(Subject!$A:$I,MATCH(RANDBETWEEN(1,16),Subject!$B:$B,0),3)</f>
        <v>#N/A</v>
      </c>
      <c r="AC335" s="8" t="str">
        <f t="array" ref="AC335">INDEX(Subject!$A:$I,MATCH(RANDBETWEEN(1,16),Subject!$B:$B,0),3)</f>
        <v>#N/A</v>
      </c>
      <c r="AD335" s="8" t="str">
        <f t="array" ref="AD335">INDEX(Subject!$A:$I,MATCH(RANDBETWEEN(1,16),Subject!$B:$B,0),3)</f>
        <v>#N/A</v>
      </c>
      <c r="AE335" s="8" t="str">
        <f t="array" ref="AE335">INDEX(Subject!$A:$I,MATCH(RANDBETWEEN(1,16),Subject!$B:$B,0),3)</f>
        <v>#N/A</v>
      </c>
      <c r="AF335" s="8" t="str">
        <f t="array" ref="AF335">INDEX(Subject!$A:$I,MATCH(RANDBETWEEN(1,16),Subject!$B:$B,0),3)</f>
        <v>#N/A</v>
      </c>
      <c r="AG335" s="8" t="str">
        <f t="array" ref="AG335">INDEX(Subject!$A:$I,MATCH(RANDBETWEEN(1,16),Subject!$B:$B,0),3)</f>
        <v>#N/A</v>
      </c>
      <c r="AH335" s="8" t="str">
        <f t="array" ref="AH335">INDEX(Subject!$A:$I,MATCH(RANDBETWEEN(1,16),Subject!$B:$B,0),3)</f>
        <v>#N/A</v>
      </c>
      <c r="AI335" s="8" t="str">
        <f t="array" ref="AI335">INDEX(Subject!$A:$I,MATCH(RANDBETWEEN(1,16),Subject!$B:$B,0),3)</f>
        <v/>
      </c>
      <c r="AJ335" s="8" t="str">
        <f t="array" ref="AJ335">INDEX(Subject!$A:$I,MATCH(RANDBETWEEN(1,16),Subject!$B:$B,0),3)</f>
        <v>#N/A</v>
      </c>
      <c r="AK335" s="8" t="str">
        <f t="array" ref="AK335">INDEX(Subject!$A:$I,MATCH(RANDBETWEEN(1,16),Subject!$B:$B,0),3)</f>
        <v>#N/A</v>
      </c>
      <c r="AL335" s="8" t="str">
        <f t="array" ref="AL335">INDEX(Subject!$A:$I,MATCH(RANDBETWEEN(1,16),Subject!$B:$B,0),3)</f>
        <v>#N/A</v>
      </c>
      <c r="AM335" s="18">
        <f t="shared" si="4"/>
        <v>45835.33333</v>
      </c>
      <c r="AN335" s="19">
        <f t="shared" ref="AN335:BZ335" si="335">$A335+C$1</f>
        <v>45835.35417</v>
      </c>
      <c r="AO335" s="19">
        <f t="shared" si="335"/>
        <v>45835.375</v>
      </c>
      <c r="AP335" s="19">
        <f t="shared" si="335"/>
        <v>45835.39583</v>
      </c>
      <c r="AQ335" s="19">
        <f t="shared" si="335"/>
        <v>45835.41667</v>
      </c>
      <c r="AR335" s="19">
        <f t="shared" si="335"/>
        <v>45835.4375</v>
      </c>
      <c r="AS335" s="19">
        <f t="shared" si="335"/>
        <v>45835.45833</v>
      </c>
      <c r="AT335" s="19">
        <f t="shared" si="335"/>
        <v>45835.47917</v>
      </c>
      <c r="AU335" s="19">
        <f t="shared" si="335"/>
        <v>45835.5</v>
      </c>
      <c r="AV335" s="19">
        <f t="shared" si="335"/>
        <v>45835.52083</v>
      </c>
      <c r="AW335" s="19">
        <f t="shared" si="335"/>
        <v>45835.54167</v>
      </c>
      <c r="AX335" s="19">
        <f t="shared" si="335"/>
        <v>45835.5625</v>
      </c>
      <c r="AY335" s="19">
        <f t="shared" si="335"/>
        <v>45835.58333</v>
      </c>
      <c r="AZ335" s="19">
        <f t="shared" si="335"/>
        <v>45835.60417</v>
      </c>
      <c r="BA335" s="19">
        <f t="shared" si="335"/>
        <v>45835.625</v>
      </c>
      <c r="BB335" s="19">
        <f t="shared" si="335"/>
        <v>45835.64583</v>
      </c>
      <c r="BC335" s="19">
        <f t="shared" si="335"/>
        <v>45835.66667</v>
      </c>
      <c r="BD335" s="19">
        <f t="shared" si="335"/>
        <v>45835.6875</v>
      </c>
      <c r="BE335" s="19">
        <f t="shared" si="335"/>
        <v>45835.70833</v>
      </c>
      <c r="BF335" s="19">
        <f t="shared" si="335"/>
        <v>45835.72917</v>
      </c>
      <c r="BG335" s="19">
        <f t="shared" si="335"/>
        <v>45835.75</v>
      </c>
      <c r="BH335" s="19">
        <f t="shared" si="335"/>
        <v>45835.77083</v>
      </c>
      <c r="BI335" s="19">
        <f t="shared" si="335"/>
        <v>45835.79167</v>
      </c>
      <c r="BJ335" s="19">
        <f t="shared" si="335"/>
        <v>45835.8125</v>
      </c>
      <c r="BK335" s="19">
        <f t="shared" si="335"/>
        <v>45835.83333</v>
      </c>
      <c r="BL335" s="19">
        <f t="shared" si="335"/>
        <v>45835.85417</v>
      </c>
      <c r="BM335" s="19">
        <f t="shared" si="335"/>
        <v>45835.875</v>
      </c>
      <c r="BN335" s="19">
        <f t="shared" si="335"/>
        <v>45835.89583</v>
      </c>
      <c r="BO335" s="19">
        <f t="shared" si="335"/>
        <v>45835.91667</v>
      </c>
      <c r="BP335" s="19">
        <f t="shared" si="335"/>
        <v>45835.9375</v>
      </c>
      <c r="BQ335" s="19">
        <f t="shared" si="335"/>
        <v>45835.95833</v>
      </c>
      <c r="BR335" s="19">
        <f t="shared" si="335"/>
        <v>45835.97917</v>
      </c>
      <c r="BS335" s="19">
        <f t="shared" si="335"/>
        <v>45836</v>
      </c>
      <c r="BT335" s="19">
        <f t="shared" si="335"/>
        <v>45836.02083</v>
      </c>
      <c r="BU335" s="19">
        <f t="shared" si="335"/>
        <v>45836.04167</v>
      </c>
      <c r="BV335" s="19">
        <f t="shared" si="335"/>
        <v>45836.0625</v>
      </c>
      <c r="BW335" s="19">
        <f t="shared" si="335"/>
        <v>45836.08333</v>
      </c>
      <c r="BX335" s="19">
        <f t="shared" si="335"/>
        <v>45835</v>
      </c>
      <c r="BY335" s="19">
        <f t="shared" si="335"/>
        <v>45835</v>
      </c>
      <c r="BZ335" s="19">
        <f t="shared" si="335"/>
        <v>45835</v>
      </c>
    </row>
    <row r="336" ht="14.25" customHeight="1">
      <c r="A336" s="17">
        <v>45836.0</v>
      </c>
      <c r="B336" s="2" t="str">
        <f t="array" ref="B336">IF(NOW()&gt;AM336,"",IF(AND((WEEKDAY($A336)+$B$2)&gt;1,((WEEKDAY($A336)+$T$2)&lt;7),(WEEKDAY($A336)&lt;&gt;1)),"work",(INDEX(Subject!$A:$I,MATCH(RANDBETWEEN(1,(MAX(Subject!$B:$B))),Subject!$B:$B,0),3))))</f>
        <v/>
      </c>
      <c r="C336" s="2" t="str">
        <f t="array" ref="C336">IF(NOW()&gt;AN336,"",IF(AND((WEEKDAY($A336)+$B$2)&gt;1,((WEEKDAY($A336)+$T$2)&lt;7),(WEEKDAY($A336)&lt;&gt;1)),"work",(INDEX(Subject!$A:$I,MATCH(RANDBETWEEN(1,(MAX(Subject!$B:$B))),Subject!$B:$B,0),3))))</f>
        <v/>
      </c>
      <c r="D336" s="2" t="str">
        <f t="array" ref="D336">IF(NOW()&gt;AO336,"",IF(AND((WEEKDAY($A336)+$B$2)&gt;1,((WEEKDAY($A336)+$T$2)&lt;7),(WEEKDAY($A336)&lt;&gt;1)),"work",(INDEX(Subject!$A:$I,MATCH(RANDBETWEEN(1,(MAX(Subject!$B:$B))),Subject!$B:$B,0),3))))</f>
        <v/>
      </c>
      <c r="E336" s="2" t="str">
        <f t="array" ref="E336">IF(NOW()&gt;AP336,"",IF(AND((WEEKDAY($A336)+$B$2)&gt;1,((WEEKDAY($A336)+$T$2)&lt;7),(WEEKDAY($A336)&lt;&gt;1)),"work",(INDEX(Subject!$A:$I,MATCH(RANDBETWEEN(1,(MAX(Subject!$B:$B))),Subject!$B:$B,0),3))))</f>
        <v/>
      </c>
      <c r="F336" s="2" t="str">
        <f t="array" ref="F336">IF(NOW()&gt;AQ336,"",IF(AND((WEEKDAY($A336)+$B$2)&gt;1,((WEEKDAY($A336)+$T$2)&lt;7),(WEEKDAY($A336)&lt;&gt;1)),"work",(INDEX(Subject!$A:$I,MATCH(RANDBETWEEN(1,(MAX(Subject!$B:$B))),Subject!$B:$B,0),3))))</f>
        <v/>
      </c>
      <c r="G336" s="2" t="str">
        <f t="array" ref="G336">IF(NOW()&gt;AR336,"",IF(AND((WEEKDAY($A336)+$B$2)&gt;1,((WEEKDAY($A336)+$T$2)&lt;7),(WEEKDAY($A336)&lt;&gt;1)),"work",(INDEX(Subject!$A:$I,MATCH(RANDBETWEEN(1,(MAX(Subject!$B:$B))),Subject!$B:$B,0),3))))</f>
        <v/>
      </c>
      <c r="H336" s="2" t="str">
        <f t="array" ref="H336">IF(NOW()&gt;AS336,"",IF(AND((WEEKDAY($A336)+$B$2)&gt;1,((WEEKDAY($A336)+$T$2)&lt;7),(WEEKDAY($A336)&lt;&gt;1)),"work",(INDEX(Subject!$A:$I,MATCH(RANDBETWEEN(1,(MAX(Subject!$B:$B))),Subject!$B:$B,0),3))))</f>
        <v/>
      </c>
      <c r="I336" s="2" t="str">
        <f t="array" ref="I336">IF(NOW()&gt;AT336,"",IF(AND((WEEKDAY($A336)+$B$2)&gt;1,((WEEKDAY($A336)+$T$2)&lt;7),(WEEKDAY($A336)&lt;&gt;1)),"work",(INDEX(Subject!$A:$I,MATCH(RANDBETWEEN(1,(MAX(Subject!$B:$B))),Subject!$B:$B,0),3))))</f>
        <v/>
      </c>
      <c r="J336" s="2" t="str">
        <f t="array" ref="J336">IF(NOW()&gt;AU336,"",IF(AND((WEEKDAY($A336)+$B$2)&gt;1,((WEEKDAY($A336)+$T$2)&lt;7),(WEEKDAY($A336)&lt;&gt;1)),"work",(INDEX(Subject!$A:$I,MATCH(RANDBETWEEN(1,(MAX(Subject!$B:$B))),Subject!$B:$B,0),3))))</f>
        <v/>
      </c>
      <c r="K336" s="2" t="str">
        <f t="array" ref="K336">IF(NOW()&gt;AV336,"",IF(AND((WEEKDAY($A336)+$B$2)&gt;1,((WEEKDAY($A336)+$T$2)&lt;7),(WEEKDAY($A336)&lt;&gt;1)),"work",(INDEX(Subject!$A:$I,MATCH(RANDBETWEEN(1,(MAX(Subject!$B:$B))),Subject!$B:$B,0),3))))</f>
        <v/>
      </c>
      <c r="L336" s="2" t="str">
        <f t="array" ref="L336">IF(NOW()&gt;AW336,"",IF(AND((WEEKDAY($A336)+$B$2)&gt;1,((WEEKDAY($A336)+$T$2)&lt;7),(WEEKDAY($A336)&lt;&gt;1)),"work",(INDEX(Subject!$A:$I,MATCH(RANDBETWEEN(1,(MAX(Subject!$B:$B))),Subject!$B:$B,0),3))))</f>
        <v/>
      </c>
      <c r="M336" s="2" t="str">
        <f t="array" ref="M336">IF(NOW()&gt;AX336,"",IF(AND((WEEKDAY($A336)+$B$2)&gt;1,((WEEKDAY($A336)+$T$2)&lt;7),(WEEKDAY($A336)&lt;&gt;1)),"work",(INDEX(Subject!$A:$I,MATCH(RANDBETWEEN(1,(MAX(Subject!$B:$B))),Subject!$B:$B,0),3))))</f>
        <v/>
      </c>
      <c r="N336" s="2" t="str">
        <f t="array" ref="N336">IF(NOW()&gt;AY336,"",IF(AND((WEEKDAY($A336)+$B$2)&gt;1,((WEEKDAY($A336)+$T$2)&lt;7),(WEEKDAY($A336)&lt;&gt;1)),"work",(INDEX(Subject!$A:$I,MATCH(RANDBETWEEN(1,(MAX(Subject!$B:$B))),Subject!$B:$B,0),3))))</f>
        <v/>
      </c>
      <c r="O336" s="2" t="str">
        <f t="array" ref="O336">IF(NOW()&gt;AZ336,"",IF(AND((WEEKDAY($A336)+$B$2)&gt;1,((WEEKDAY($A336)+$T$2)&lt;7),(WEEKDAY($A336)&lt;&gt;1)),"work",(INDEX(Subject!$A:$I,MATCH(RANDBETWEEN(1,(MAX(Subject!$B:$B))),Subject!$B:$B,0),3))))</f>
        <v/>
      </c>
      <c r="P336" s="2" t="str">
        <f t="array" ref="P336">IF(NOW()&gt;BA336,"",IF(AND((WEEKDAY($A336)+$B$2)&gt;1,((WEEKDAY($A336)+$T$2)&lt;7),(WEEKDAY($A336)&lt;&gt;1)),"work",(INDEX(Subject!$A:$I,MATCH(RANDBETWEEN(1,(MAX(Subject!$B:$B))),Subject!$B:$B,0),3))))</f>
        <v/>
      </c>
      <c r="Q336" s="2" t="str">
        <f t="array" ref="Q336">IF(NOW()&gt;BB336,"",IF(AND((WEEKDAY($A336)+$B$2)&gt;1,((WEEKDAY($A336)+$T$2)&lt;7),(WEEKDAY($A336)&lt;&gt;1)),"work",(INDEX(Subject!$A:$I,MATCH(RANDBETWEEN(1,(MAX(Subject!$B:$B))),Subject!$B:$B,0),3))))</f>
        <v/>
      </c>
      <c r="R336" s="2" t="str">
        <f t="array" ref="R336">IF(NOW()&gt;BC336,"",IF(AND((WEEKDAY($A336)+$B$2)&gt;1,((WEEKDAY($A336)+$T$2)&lt;7),(WEEKDAY($A336)&lt;&gt;1)),"work",(INDEX(Subject!$A:$I,MATCH(RANDBETWEEN(1,(MAX(Subject!$B:$B))),Subject!$B:$B,0),3))))</f>
        <v/>
      </c>
      <c r="S336" s="2" t="str">
        <f t="array" ref="S336">IF(NOW()&gt;BD336,"",IF(AND((WEEKDAY($A336)+$B$2)&gt;1,((WEEKDAY($A336)+$T$2)&lt;7),(WEEKDAY($A336)&lt;&gt;1)),"work",(INDEX(Subject!$A:$I,MATCH(RANDBETWEEN(1,(MAX(Subject!$B:$B))),Subject!$B:$B,0),3))))</f>
        <v/>
      </c>
      <c r="T336" s="2" t="str">
        <f t="array" ref="T336">IF(NOW()&gt;BE336,"",IF(AND((WEEKDAY($A336)+$B$2)&gt;1,((WEEKDAY($A336)+$T$2)&lt;7),(WEEKDAY($A336)&lt;&gt;1)),"work",(INDEX(Subject!$A:$I,MATCH(RANDBETWEEN(1,(MAX(Subject!$B:$B))),Subject!$B:$B,0),3))))</f>
        <v/>
      </c>
      <c r="U336" s="8" t="str">
        <f t="array" ref="U336">INDEX(Subject!$A:$I,MATCH(RANDBETWEEN(1,16),Subject!$B:$B,0),3)</f>
        <v>#N/A</v>
      </c>
      <c r="V336" s="8" t="str">
        <f t="array" ref="V336">INDEX(Subject!$A:$I,MATCH(RANDBETWEEN(1,16),Subject!$B:$B,0),3)</f>
        <v>#N/A</v>
      </c>
      <c r="W336" s="8" t="str">
        <f t="array" ref="W336">INDEX(Subject!$A:$I,MATCH(RANDBETWEEN(1,16),Subject!$B:$B,0),3)</f>
        <v>#N/A</v>
      </c>
      <c r="X336" s="8" t="str">
        <f t="array" ref="X336">INDEX(Subject!$A:$I,MATCH(RANDBETWEEN(1,16),Subject!$B:$B,0),3)</f>
        <v>#N/A</v>
      </c>
      <c r="Y336" s="8" t="str">
        <f t="array" ref="Y336">INDEX(Subject!$A:$I,MATCH(RANDBETWEEN(1,16),Subject!$B:$B,0),3)</f>
        <v>#N/A</v>
      </c>
      <c r="Z336" s="8" t="str">
        <f t="array" ref="Z336">INDEX(Subject!$A:$I,MATCH(RANDBETWEEN(1,16),Subject!$B:$B,0),3)</f>
        <v/>
      </c>
      <c r="AA336" s="8" t="str">
        <f t="array" ref="AA336">INDEX(Subject!$A:$I,MATCH(RANDBETWEEN(1,16),Subject!$B:$B,0),3)</f>
        <v>#N/A</v>
      </c>
      <c r="AB336" s="8" t="str">
        <f t="array" ref="AB336">INDEX(Subject!$A:$I,MATCH(RANDBETWEEN(1,16),Subject!$B:$B,0),3)</f>
        <v>#N/A</v>
      </c>
      <c r="AC336" s="8" t="str">
        <f t="array" ref="AC336">INDEX(Subject!$A:$I,MATCH(RANDBETWEEN(1,16),Subject!$B:$B,0),3)</f>
        <v>#N/A</v>
      </c>
      <c r="AD336" s="8" t="str">
        <f t="array" ref="AD336">INDEX(Subject!$A:$I,MATCH(RANDBETWEEN(1,16),Subject!$B:$B,0),3)</f>
        <v>#N/A</v>
      </c>
      <c r="AE336" s="8" t="str">
        <f t="array" ref="AE336">INDEX(Subject!$A:$I,MATCH(RANDBETWEEN(1,16),Subject!$B:$B,0),3)</f>
        <v>#N/A</v>
      </c>
      <c r="AF336" s="8" t="str">
        <f t="array" ref="AF336">INDEX(Subject!$A:$I,MATCH(RANDBETWEEN(1,16),Subject!$B:$B,0),3)</f>
        <v>#N/A</v>
      </c>
      <c r="AG336" s="8" t="str">
        <f t="array" ref="AG336">INDEX(Subject!$A:$I,MATCH(RANDBETWEEN(1,16),Subject!$B:$B,0),3)</f>
        <v>#N/A</v>
      </c>
      <c r="AH336" s="8" t="str">
        <f t="array" ref="AH336">INDEX(Subject!$A:$I,MATCH(RANDBETWEEN(1,16),Subject!$B:$B,0),3)</f>
        <v>#N/A</v>
      </c>
      <c r="AI336" s="8" t="str">
        <f t="array" ref="AI336">INDEX(Subject!$A:$I,MATCH(RANDBETWEEN(1,16),Subject!$B:$B,0),3)</f>
        <v>#N/A</v>
      </c>
      <c r="AJ336" s="8" t="str">
        <f t="array" ref="AJ336">INDEX(Subject!$A:$I,MATCH(RANDBETWEEN(1,16),Subject!$B:$B,0),3)</f>
        <v/>
      </c>
      <c r="AK336" s="8" t="str">
        <f t="array" ref="AK336">INDEX(Subject!$A:$I,MATCH(RANDBETWEEN(1,16),Subject!$B:$B,0),3)</f>
        <v>#N/A</v>
      </c>
      <c r="AL336" s="8" t="str">
        <f t="array" ref="AL336">INDEX(Subject!$A:$I,MATCH(RANDBETWEEN(1,16),Subject!$B:$B,0),3)</f>
        <v>#N/A</v>
      </c>
      <c r="AM336" s="18">
        <f t="shared" si="4"/>
        <v>45836.33333</v>
      </c>
      <c r="AN336" s="19">
        <f t="shared" ref="AN336:BZ336" si="336">$A336+C$1</f>
        <v>45836.35417</v>
      </c>
      <c r="AO336" s="19">
        <f t="shared" si="336"/>
        <v>45836.375</v>
      </c>
      <c r="AP336" s="19">
        <f t="shared" si="336"/>
        <v>45836.39583</v>
      </c>
      <c r="AQ336" s="19">
        <f t="shared" si="336"/>
        <v>45836.41667</v>
      </c>
      <c r="AR336" s="19">
        <f t="shared" si="336"/>
        <v>45836.4375</v>
      </c>
      <c r="AS336" s="19">
        <f t="shared" si="336"/>
        <v>45836.45833</v>
      </c>
      <c r="AT336" s="19">
        <f t="shared" si="336"/>
        <v>45836.47917</v>
      </c>
      <c r="AU336" s="19">
        <f t="shared" si="336"/>
        <v>45836.5</v>
      </c>
      <c r="AV336" s="19">
        <f t="shared" si="336"/>
        <v>45836.52083</v>
      </c>
      <c r="AW336" s="19">
        <f t="shared" si="336"/>
        <v>45836.54167</v>
      </c>
      <c r="AX336" s="19">
        <f t="shared" si="336"/>
        <v>45836.5625</v>
      </c>
      <c r="AY336" s="19">
        <f t="shared" si="336"/>
        <v>45836.58333</v>
      </c>
      <c r="AZ336" s="19">
        <f t="shared" si="336"/>
        <v>45836.60417</v>
      </c>
      <c r="BA336" s="19">
        <f t="shared" si="336"/>
        <v>45836.625</v>
      </c>
      <c r="BB336" s="19">
        <f t="shared" si="336"/>
        <v>45836.64583</v>
      </c>
      <c r="BC336" s="19">
        <f t="shared" si="336"/>
        <v>45836.66667</v>
      </c>
      <c r="BD336" s="19">
        <f t="shared" si="336"/>
        <v>45836.6875</v>
      </c>
      <c r="BE336" s="19">
        <f t="shared" si="336"/>
        <v>45836.70833</v>
      </c>
      <c r="BF336" s="19">
        <f t="shared" si="336"/>
        <v>45836.72917</v>
      </c>
      <c r="BG336" s="19">
        <f t="shared" si="336"/>
        <v>45836.75</v>
      </c>
      <c r="BH336" s="19">
        <f t="shared" si="336"/>
        <v>45836.77083</v>
      </c>
      <c r="BI336" s="19">
        <f t="shared" si="336"/>
        <v>45836.79167</v>
      </c>
      <c r="BJ336" s="19">
        <f t="shared" si="336"/>
        <v>45836.8125</v>
      </c>
      <c r="BK336" s="19">
        <f t="shared" si="336"/>
        <v>45836.83333</v>
      </c>
      <c r="BL336" s="19">
        <f t="shared" si="336"/>
        <v>45836.85417</v>
      </c>
      <c r="BM336" s="19">
        <f t="shared" si="336"/>
        <v>45836.875</v>
      </c>
      <c r="BN336" s="19">
        <f t="shared" si="336"/>
        <v>45836.89583</v>
      </c>
      <c r="BO336" s="19">
        <f t="shared" si="336"/>
        <v>45836.91667</v>
      </c>
      <c r="BP336" s="19">
        <f t="shared" si="336"/>
        <v>45836.9375</v>
      </c>
      <c r="BQ336" s="19">
        <f t="shared" si="336"/>
        <v>45836.95833</v>
      </c>
      <c r="BR336" s="19">
        <f t="shared" si="336"/>
        <v>45836.97917</v>
      </c>
      <c r="BS336" s="19">
        <f t="shared" si="336"/>
        <v>45837</v>
      </c>
      <c r="BT336" s="19">
        <f t="shared" si="336"/>
        <v>45837.02083</v>
      </c>
      <c r="BU336" s="19">
        <f t="shared" si="336"/>
        <v>45837.04167</v>
      </c>
      <c r="BV336" s="19">
        <f t="shared" si="336"/>
        <v>45837.0625</v>
      </c>
      <c r="BW336" s="19">
        <f t="shared" si="336"/>
        <v>45837.08333</v>
      </c>
      <c r="BX336" s="19">
        <f t="shared" si="336"/>
        <v>45836</v>
      </c>
      <c r="BY336" s="19">
        <f t="shared" si="336"/>
        <v>45836</v>
      </c>
      <c r="BZ336" s="19">
        <f t="shared" si="336"/>
        <v>45836</v>
      </c>
    </row>
    <row r="337" ht="14.25" customHeight="1">
      <c r="A337" s="17">
        <v>45837.0</v>
      </c>
      <c r="B337" s="2" t="str">
        <f t="array" ref="B337">IF(NOW()&gt;AM337,"",IF(AND((WEEKDAY($A337)+$B$2)&gt;1,((WEEKDAY($A337)+$T$2)&lt;7),(WEEKDAY($A337)&lt;&gt;1)),"work",(INDEX(Subject!$A:$I,MATCH(RANDBETWEEN(1,(MAX(Subject!$B:$B))),Subject!$B:$B,0),3))))</f>
        <v/>
      </c>
      <c r="C337" s="2" t="str">
        <f t="array" ref="C337">IF(NOW()&gt;AN337,"",IF(AND((WEEKDAY($A337)+$B$2)&gt;1,((WEEKDAY($A337)+$T$2)&lt;7),(WEEKDAY($A337)&lt;&gt;1)),"work",(INDEX(Subject!$A:$I,MATCH(RANDBETWEEN(1,(MAX(Subject!$B:$B))),Subject!$B:$B,0),3))))</f>
        <v/>
      </c>
      <c r="D337" s="2" t="str">
        <f t="array" ref="D337">IF(NOW()&gt;AO337,"",IF(AND((WEEKDAY($A337)+$B$2)&gt;1,((WEEKDAY($A337)+$T$2)&lt;7),(WEEKDAY($A337)&lt;&gt;1)),"work",(INDEX(Subject!$A:$I,MATCH(RANDBETWEEN(1,(MAX(Subject!$B:$B))),Subject!$B:$B,0),3))))</f>
        <v/>
      </c>
      <c r="E337" s="2" t="str">
        <f t="array" ref="E337">IF(NOW()&gt;AP337,"",IF(AND((WEEKDAY($A337)+$B$2)&gt;1,((WEEKDAY($A337)+$T$2)&lt;7),(WEEKDAY($A337)&lt;&gt;1)),"work",(INDEX(Subject!$A:$I,MATCH(RANDBETWEEN(1,(MAX(Subject!$B:$B))),Subject!$B:$B,0),3))))</f>
        <v/>
      </c>
      <c r="F337" s="2" t="str">
        <f t="array" ref="F337">IF(NOW()&gt;AQ337,"",IF(AND((WEEKDAY($A337)+$B$2)&gt;1,((WEEKDAY($A337)+$T$2)&lt;7),(WEEKDAY($A337)&lt;&gt;1)),"work",(INDEX(Subject!$A:$I,MATCH(RANDBETWEEN(1,(MAX(Subject!$B:$B))),Subject!$B:$B,0),3))))</f>
        <v/>
      </c>
      <c r="G337" s="2" t="str">
        <f t="array" ref="G337">IF(NOW()&gt;AR337,"",IF(AND((WEEKDAY($A337)+$B$2)&gt;1,((WEEKDAY($A337)+$T$2)&lt;7),(WEEKDAY($A337)&lt;&gt;1)),"work",(INDEX(Subject!$A:$I,MATCH(RANDBETWEEN(1,(MAX(Subject!$B:$B))),Subject!$B:$B,0),3))))</f>
        <v/>
      </c>
      <c r="H337" s="2" t="str">
        <f t="array" ref="H337">IF(NOW()&gt;AS337,"",IF(AND((WEEKDAY($A337)+$B$2)&gt;1,((WEEKDAY($A337)+$T$2)&lt;7),(WEEKDAY($A337)&lt;&gt;1)),"work",(INDEX(Subject!$A:$I,MATCH(RANDBETWEEN(1,(MAX(Subject!$B:$B))),Subject!$B:$B,0),3))))</f>
        <v/>
      </c>
      <c r="I337" s="2" t="str">
        <f t="array" ref="I337">IF(NOW()&gt;AT337,"",IF(AND((WEEKDAY($A337)+$B$2)&gt;1,((WEEKDAY($A337)+$T$2)&lt;7),(WEEKDAY($A337)&lt;&gt;1)),"work",(INDEX(Subject!$A:$I,MATCH(RANDBETWEEN(1,(MAX(Subject!$B:$B))),Subject!$B:$B,0),3))))</f>
        <v/>
      </c>
      <c r="J337" s="2" t="str">
        <f t="array" ref="J337">IF(NOW()&gt;AU337,"",IF(AND((WEEKDAY($A337)+$B$2)&gt;1,((WEEKDAY($A337)+$T$2)&lt;7),(WEEKDAY($A337)&lt;&gt;1)),"work",(INDEX(Subject!$A:$I,MATCH(RANDBETWEEN(1,(MAX(Subject!$B:$B))),Subject!$B:$B,0),3))))</f>
        <v/>
      </c>
      <c r="K337" s="2" t="str">
        <f t="array" ref="K337">IF(NOW()&gt;AV337,"",IF(AND((WEEKDAY($A337)+$B$2)&gt;1,((WEEKDAY($A337)+$T$2)&lt;7),(WEEKDAY($A337)&lt;&gt;1)),"work",(INDEX(Subject!$A:$I,MATCH(RANDBETWEEN(1,(MAX(Subject!$B:$B))),Subject!$B:$B,0),3))))</f>
        <v/>
      </c>
      <c r="L337" s="2" t="str">
        <f t="array" ref="L337">IF(NOW()&gt;AW337,"",IF(AND((WEEKDAY($A337)+$B$2)&gt;1,((WEEKDAY($A337)+$T$2)&lt;7),(WEEKDAY($A337)&lt;&gt;1)),"work",(INDEX(Subject!$A:$I,MATCH(RANDBETWEEN(1,(MAX(Subject!$B:$B))),Subject!$B:$B,0),3))))</f>
        <v/>
      </c>
      <c r="M337" s="2" t="str">
        <f t="array" ref="M337">IF(NOW()&gt;AX337,"",IF(AND((WEEKDAY($A337)+$B$2)&gt;1,((WEEKDAY($A337)+$T$2)&lt;7),(WEEKDAY($A337)&lt;&gt;1)),"work",(INDEX(Subject!$A:$I,MATCH(RANDBETWEEN(1,(MAX(Subject!$B:$B))),Subject!$B:$B,0),3))))</f>
        <v/>
      </c>
      <c r="N337" s="2" t="str">
        <f t="array" ref="N337">IF(NOW()&gt;AY337,"",IF(AND((WEEKDAY($A337)+$B$2)&gt;1,((WEEKDAY($A337)+$T$2)&lt;7),(WEEKDAY($A337)&lt;&gt;1)),"work",(INDEX(Subject!$A:$I,MATCH(RANDBETWEEN(1,(MAX(Subject!$B:$B))),Subject!$B:$B,0),3))))</f>
        <v/>
      </c>
      <c r="O337" s="2" t="str">
        <f t="array" ref="O337">IF(NOW()&gt;AZ337,"",IF(AND((WEEKDAY($A337)+$B$2)&gt;1,((WEEKDAY($A337)+$T$2)&lt;7),(WEEKDAY($A337)&lt;&gt;1)),"work",(INDEX(Subject!$A:$I,MATCH(RANDBETWEEN(1,(MAX(Subject!$B:$B))),Subject!$B:$B,0),3))))</f>
        <v/>
      </c>
      <c r="P337" s="2" t="str">
        <f t="array" ref="P337">IF(NOW()&gt;BA337,"",IF(AND((WEEKDAY($A337)+$B$2)&gt;1,((WEEKDAY($A337)+$T$2)&lt;7),(WEEKDAY($A337)&lt;&gt;1)),"work",(INDEX(Subject!$A:$I,MATCH(RANDBETWEEN(1,(MAX(Subject!$B:$B))),Subject!$B:$B,0),3))))</f>
        <v/>
      </c>
      <c r="Q337" s="2" t="str">
        <f t="array" ref="Q337">IF(NOW()&gt;BB337,"",IF(AND((WEEKDAY($A337)+$B$2)&gt;1,((WEEKDAY($A337)+$T$2)&lt;7),(WEEKDAY($A337)&lt;&gt;1)),"work",(INDEX(Subject!$A:$I,MATCH(RANDBETWEEN(1,(MAX(Subject!$B:$B))),Subject!$B:$B,0),3))))</f>
        <v/>
      </c>
      <c r="R337" s="2" t="str">
        <f t="array" ref="R337">IF(NOW()&gt;BC337,"",IF(AND((WEEKDAY($A337)+$B$2)&gt;1,((WEEKDAY($A337)+$T$2)&lt;7),(WEEKDAY($A337)&lt;&gt;1)),"work",(INDEX(Subject!$A:$I,MATCH(RANDBETWEEN(1,(MAX(Subject!$B:$B))),Subject!$B:$B,0),3))))</f>
        <v/>
      </c>
      <c r="S337" s="2" t="str">
        <f t="array" ref="S337">IF(NOW()&gt;BD337,"",IF(AND((WEEKDAY($A337)+$B$2)&gt;1,((WEEKDAY($A337)+$T$2)&lt;7),(WEEKDAY($A337)&lt;&gt;1)),"work",(INDEX(Subject!$A:$I,MATCH(RANDBETWEEN(1,(MAX(Subject!$B:$B))),Subject!$B:$B,0),3))))</f>
        <v/>
      </c>
      <c r="T337" s="2" t="str">
        <f t="array" ref="T337">IF(NOW()&gt;BE337,"",IF(AND((WEEKDAY($A337)+$B$2)&gt;1,((WEEKDAY($A337)+$T$2)&lt;7),(WEEKDAY($A337)&lt;&gt;1)),"work",(INDEX(Subject!$A:$I,MATCH(RANDBETWEEN(1,(MAX(Subject!$B:$B))),Subject!$B:$B,0),3))))</f>
        <v/>
      </c>
      <c r="U337" s="8" t="str">
        <f t="array" ref="U337">INDEX(Subject!$A:$I,MATCH(RANDBETWEEN(1,16),Subject!$B:$B,0),3)</f>
        <v>#N/A</v>
      </c>
      <c r="V337" s="8" t="str">
        <f t="array" ref="V337">INDEX(Subject!$A:$I,MATCH(RANDBETWEEN(1,16),Subject!$B:$B,0),3)</f>
        <v>#N/A</v>
      </c>
      <c r="W337" s="8" t="str">
        <f t="array" ref="W337">INDEX(Subject!$A:$I,MATCH(RANDBETWEEN(1,16),Subject!$B:$B,0),3)</f>
        <v>#N/A</v>
      </c>
      <c r="X337" s="8" t="str">
        <f t="array" ref="X337">INDEX(Subject!$A:$I,MATCH(RANDBETWEEN(1,16),Subject!$B:$B,0),3)</f>
        <v>#N/A</v>
      </c>
      <c r="Y337" s="8" t="str">
        <f t="array" ref="Y337">INDEX(Subject!$A:$I,MATCH(RANDBETWEEN(1,16),Subject!$B:$B,0),3)</f>
        <v>#N/A</v>
      </c>
      <c r="Z337" s="8" t="str">
        <f t="array" ref="Z337">INDEX(Subject!$A:$I,MATCH(RANDBETWEEN(1,16),Subject!$B:$B,0),3)</f>
        <v>#N/A</v>
      </c>
      <c r="AA337" s="8" t="str">
        <f t="array" ref="AA337">INDEX(Subject!$A:$I,MATCH(RANDBETWEEN(1,16),Subject!$B:$B,0),3)</f>
        <v>#N/A</v>
      </c>
      <c r="AB337" s="8" t="str">
        <f t="array" ref="AB337">INDEX(Subject!$A:$I,MATCH(RANDBETWEEN(1,16),Subject!$B:$B,0),3)</f>
        <v>#N/A</v>
      </c>
      <c r="AC337" s="8" t="str">
        <f t="array" ref="AC337">INDEX(Subject!$A:$I,MATCH(RANDBETWEEN(1,16),Subject!$B:$B,0),3)</f>
        <v>#N/A</v>
      </c>
      <c r="AD337" s="8" t="str">
        <f t="array" ref="AD337">INDEX(Subject!$A:$I,MATCH(RANDBETWEEN(1,16),Subject!$B:$B,0),3)</f>
        <v>#N/A</v>
      </c>
      <c r="AE337" s="8" t="str">
        <f t="array" ref="AE337">INDEX(Subject!$A:$I,MATCH(RANDBETWEEN(1,16),Subject!$B:$B,0),3)</f>
        <v>#N/A</v>
      </c>
      <c r="AF337" s="8" t="str">
        <f t="array" ref="AF337">INDEX(Subject!$A:$I,MATCH(RANDBETWEEN(1,16),Subject!$B:$B,0),3)</f>
        <v>#N/A</v>
      </c>
      <c r="AG337" s="8" t="str">
        <f t="array" ref="AG337">INDEX(Subject!$A:$I,MATCH(RANDBETWEEN(1,16),Subject!$B:$B,0),3)</f>
        <v>#N/A</v>
      </c>
      <c r="AH337" s="8" t="str">
        <f t="array" ref="AH337">INDEX(Subject!$A:$I,MATCH(RANDBETWEEN(1,16),Subject!$B:$B,0),3)</f>
        <v>#N/A</v>
      </c>
      <c r="AI337" s="8" t="str">
        <f t="array" ref="AI337">INDEX(Subject!$A:$I,MATCH(RANDBETWEEN(1,16),Subject!$B:$B,0),3)</f>
        <v>#N/A</v>
      </c>
      <c r="AJ337" s="8" t="str">
        <f t="array" ref="AJ337">INDEX(Subject!$A:$I,MATCH(RANDBETWEEN(1,16),Subject!$B:$B,0),3)</f>
        <v>#N/A</v>
      </c>
      <c r="AK337" s="8" t="str">
        <f t="array" ref="AK337">INDEX(Subject!$A:$I,MATCH(RANDBETWEEN(1,16),Subject!$B:$B,0),3)</f>
        <v/>
      </c>
      <c r="AL337" s="8" t="str">
        <f t="array" ref="AL337">INDEX(Subject!$A:$I,MATCH(RANDBETWEEN(1,16),Subject!$B:$B,0),3)</f>
        <v>#N/A</v>
      </c>
      <c r="AM337" s="18">
        <f t="shared" si="4"/>
        <v>45837.33333</v>
      </c>
      <c r="AN337" s="19">
        <f t="shared" ref="AN337:BZ337" si="337">$A337+C$1</f>
        <v>45837.35417</v>
      </c>
      <c r="AO337" s="19">
        <f t="shared" si="337"/>
        <v>45837.375</v>
      </c>
      <c r="AP337" s="19">
        <f t="shared" si="337"/>
        <v>45837.39583</v>
      </c>
      <c r="AQ337" s="19">
        <f t="shared" si="337"/>
        <v>45837.41667</v>
      </c>
      <c r="AR337" s="19">
        <f t="shared" si="337"/>
        <v>45837.4375</v>
      </c>
      <c r="AS337" s="19">
        <f t="shared" si="337"/>
        <v>45837.45833</v>
      </c>
      <c r="AT337" s="19">
        <f t="shared" si="337"/>
        <v>45837.47917</v>
      </c>
      <c r="AU337" s="19">
        <f t="shared" si="337"/>
        <v>45837.5</v>
      </c>
      <c r="AV337" s="19">
        <f t="shared" si="337"/>
        <v>45837.52083</v>
      </c>
      <c r="AW337" s="19">
        <f t="shared" si="337"/>
        <v>45837.54167</v>
      </c>
      <c r="AX337" s="19">
        <f t="shared" si="337"/>
        <v>45837.5625</v>
      </c>
      <c r="AY337" s="19">
        <f t="shared" si="337"/>
        <v>45837.58333</v>
      </c>
      <c r="AZ337" s="19">
        <f t="shared" si="337"/>
        <v>45837.60417</v>
      </c>
      <c r="BA337" s="19">
        <f t="shared" si="337"/>
        <v>45837.625</v>
      </c>
      <c r="BB337" s="19">
        <f t="shared" si="337"/>
        <v>45837.64583</v>
      </c>
      <c r="BC337" s="19">
        <f t="shared" si="337"/>
        <v>45837.66667</v>
      </c>
      <c r="BD337" s="19">
        <f t="shared" si="337"/>
        <v>45837.6875</v>
      </c>
      <c r="BE337" s="19">
        <f t="shared" si="337"/>
        <v>45837.70833</v>
      </c>
      <c r="BF337" s="19">
        <f t="shared" si="337"/>
        <v>45837.72917</v>
      </c>
      <c r="BG337" s="19">
        <f t="shared" si="337"/>
        <v>45837.75</v>
      </c>
      <c r="BH337" s="19">
        <f t="shared" si="337"/>
        <v>45837.77083</v>
      </c>
      <c r="BI337" s="19">
        <f t="shared" si="337"/>
        <v>45837.79167</v>
      </c>
      <c r="BJ337" s="19">
        <f t="shared" si="337"/>
        <v>45837.8125</v>
      </c>
      <c r="BK337" s="19">
        <f t="shared" si="337"/>
        <v>45837.83333</v>
      </c>
      <c r="BL337" s="19">
        <f t="shared" si="337"/>
        <v>45837.85417</v>
      </c>
      <c r="BM337" s="19">
        <f t="shared" si="337"/>
        <v>45837.875</v>
      </c>
      <c r="BN337" s="19">
        <f t="shared" si="337"/>
        <v>45837.89583</v>
      </c>
      <c r="BO337" s="19">
        <f t="shared" si="337"/>
        <v>45837.91667</v>
      </c>
      <c r="BP337" s="19">
        <f t="shared" si="337"/>
        <v>45837.9375</v>
      </c>
      <c r="BQ337" s="19">
        <f t="shared" si="337"/>
        <v>45837.95833</v>
      </c>
      <c r="BR337" s="19">
        <f t="shared" si="337"/>
        <v>45837.97917</v>
      </c>
      <c r="BS337" s="19">
        <f t="shared" si="337"/>
        <v>45838</v>
      </c>
      <c r="BT337" s="19">
        <f t="shared" si="337"/>
        <v>45838.02083</v>
      </c>
      <c r="BU337" s="19">
        <f t="shared" si="337"/>
        <v>45838.04167</v>
      </c>
      <c r="BV337" s="19">
        <f t="shared" si="337"/>
        <v>45838.0625</v>
      </c>
      <c r="BW337" s="19">
        <f t="shared" si="337"/>
        <v>45838.08333</v>
      </c>
      <c r="BX337" s="19">
        <f t="shared" si="337"/>
        <v>45837</v>
      </c>
      <c r="BY337" s="19">
        <f t="shared" si="337"/>
        <v>45837</v>
      </c>
      <c r="BZ337" s="19">
        <f t="shared" si="337"/>
        <v>45837</v>
      </c>
    </row>
    <row r="338" ht="14.25" customHeight="1">
      <c r="A338" s="17">
        <v>45838.0</v>
      </c>
      <c r="B338" s="2" t="str">
        <f t="array" ref="B338">IF(NOW()&gt;AM338,"",IF(AND((WEEKDAY($A338)+$B$2)&gt;1,((WEEKDAY($A338)+$T$2)&lt;7),(WEEKDAY($A338)&lt;&gt;1)),"work",(INDEX(Subject!$A:$I,MATCH(RANDBETWEEN(1,(MAX(Subject!$B:$B))),Subject!$B:$B,0),3))))</f>
        <v/>
      </c>
      <c r="C338" s="2" t="str">
        <f t="array" ref="C338">IF(NOW()&gt;AN338,"",IF(AND((WEEKDAY($A338)+$B$2)&gt;1,((WEEKDAY($A338)+$T$2)&lt;7),(WEEKDAY($A338)&lt;&gt;1)),"work",(INDEX(Subject!$A:$I,MATCH(RANDBETWEEN(1,(MAX(Subject!$B:$B))),Subject!$B:$B,0),3))))</f>
        <v/>
      </c>
      <c r="D338" s="2" t="str">
        <f t="array" ref="D338">IF(NOW()&gt;AO338,"",IF(AND((WEEKDAY($A338)+$B$2)&gt;1,((WEEKDAY($A338)+$T$2)&lt;7),(WEEKDAY($A338)&lt;&gt;1)),"work",(INDEX(Subject!$A:$I,MATCH(RANDBETWEEN(1,(MAX(Subject!$B:$B))),Subject!$B:$B,0),3))))</f>
        <v/>
      </c>
      <c r="E338" s="2" t="str">
        <f t="array" ref="E338">IF(NOW()&gt;AP338,"",IF(AND((WEEKDAY($A338)+$B$2)&gt;1,((WEEKDAY($A338)+$T$2)&lt;7),(WEEKDAY($A338)&lt;&gt;1)),"work",(INDEX(Subject!$A:$I,MATCH(RANDBETWEEN(1,(MAX(Subject!$B:$B))),Subject!$B:$B,0),3))))</f>
        <v/>
      </c>
      <c r="F338" s="2" t="str">
        <f t="array" ref="F338">IF(NOW()&gt;AQ338,"",IF(AND((WEEKDAY($A338)+$B$2)&gt;1,((WEEKDAY($A338)+$T$2)&lt;7),(WEEKDAY($A338)&lt;&gt;1)),"work",(INDEX(Subject!$A:$I,MATCH(RANDBETWEEN(1,(MAX(Subject!$B:$B))),Subject!$B:$B,0),3))))</f>
        <v/>
      </c>
      <c r="G338" s="2" t="str">
        <f t="array" ref="G338">IF(NOW()&gt;AR338,"",IF(AND((WEEKDAY($A338)+$B$2)&gt;1,((WEEKDAY($A338)+$T$2)&lt;7),(WEEKDAY($A338)&lt;&gt;1)),"work",(INDEX(Subject!$A:$I,MATCH(RANDBETWEEN(1,(MAX(Subject!$B:$B))),Subject!$B:$B,0),3))))</f>
        <v/>
      </c>
      <c r="H338" s="2" t="str">
        <f t="array" ref="H338">IF(NOW()&gt;AS338,"",IF(AND((WEEKDAY($A338)+$B$2)&gt;1,((WEEKDAY($A338)+$T$2)&lt;7),(WEEKDAY($A338)&lt;&gt;1)),"work",(INDEX(Subject!$A:$I,MATCH(RANDBETWEEN(1,(MAX(Subject!$B:$B))),Subject!$B:$B,0),3))))</f>
        <v/>
      </c>
      <c r="I338" s="2" t="str">
        <f t="array" ref="I338">IF(NOW()&gt;AT338,"",IF(AND((WEEKDAY($A338)+$B$2)&gt;1,((WEEKDAY($A338)+$T$2)&lt;7),(WEEKDAY($A338)&lt;&gt;1)),"work",(INDEX(Subject!$A:$I,MATCH(RANDBETWEEN(1,(MAX(Subject!$B:$B))),Subject!$B:$B,0),3))))</f>
        <v/>
      </c>
      <c r="J338" s="2" t="str">
        <f t="array" ref="J338">IF(NOW()&gt;AU338,"",IF(AND((WEEKDAY($A338)+$B$2)&gt;1,((WEEKDAY($A338)+$T$2)&lt;7),(WEEKDAY($A338)&lt;&gt;1)),"work",(INDEX(Subject!$A:$I,MATCH(RANDBETWEEN(1,(MAX(Subject!$B:$B))),Subject!$B:$B,0),3))))</f>
        <v/>
      </c>
      <c r="K338" s="2" t="str">
        <f t="array" ref="K338">IF(NOW()&gt;AV338,"",IF(AND((WEEKDAY($A338)+$B$2)&gt;1,((WEEKDAY($A338)+$T$2)&lt;7),(WEEKDAY($A338)&lt;&gt;1)),"work",(INDEX(Subject!$A:$I,MATCH(RANDBETWEEN(1,(MAX(Subject!$B:$B))),Subject!$B:$B,0),3))))</f>
        <v/>
      </c>
      <c r="L338" s="2" t="str">
        <f t="array" ref="L338">IF(NOW()&gt;AW338,"",IF(AND((WEEKDAY($A338)+$B$2)&gt;1,((WEEKDAY($A338)+$T$2)&lt;7),(WEEKDAY($A338)&lt;&gt;1)),"work",(INDEX(Subject!$A:$I,MATCH(RANDBETWEEN(1,(MAX(Subject!$B:$B))),Subject!$B:$B,0),3))))</f>
        <v/>
      </c>
      <c r="M338" s="2" t="str">
        <f t="array" ref="M338">IF(NOW()&gt;AX338,"",IF(AND((WEEKDAY($A338)+$B$2)&gt;1,((WEEKDAY($A338)+$T$2)&lt;7),(WEEKDAY($A338)&lt;&gt;1)),"work",(INDEX(Subject!$A:$I,MATCH(RANDBETWEEN(1,(MAX(Subject!$B:$B))),Subject!$B:$B,0),3))))</f>
        <v/>
      </c>
      <c r="N338" s="2" t="str">
        <f t="array" ref="N338">IF(NOW()&gt;AY338,"",IF(AND((WEEKDAY($A338)+$B$2)&gt;1,((WEEKDAY($A338)+$T$2)&lt;7),(WEEKDAY($A338)&lt;&gt;1)),"work",(INDEX(Subject!$A:$I,MATCH(RANDBETWEEN(1,(MAX(Subject!$B:$B))),Subject!$B:$B,0),3))))</f>
        <v/>
      </c>
      <c r="O338" s="2" t="str">
        <f t="array" ref="O338">IF(NOW()&gt;AZ338,"",IF(AND((WEEKDAY($A338)+$B$2)&gt;1,((WEEKDAY($A338)+$T$2)&lt;7),(WEEKDAY($A338)&lt;&gt;1)),"work",(INDEX(Subject!$A:$I,MATCH(RANDBETWEEN(1,(MAX(Subject!$B:$B))),Subject!$B:$B,0),3))))</f>
        <v/>
      </c>
      <c r="P338" s="2" t="str">
        <f t="array" ref="P338">IF(NOW()&gt;BA338,"",IF(AND((WEEKDAY($A338)+$B$2)&gt;1,((WEEKDAY($A338)+$T$2)&lt;7),(WEEKDAY($A338)&lt;&gt;1)),"work",(INDEX(Subject!$A:$I,MATCH(RANDBETWEEN(1,(MAX(Subject!$B:$B))),Subject!$B:$B,0),3))))</f>
        <v/>
      </c>
      <c r="Q338" s="2" t="str">
        <f t="array" ref="Q338">IF(NOW()&gt;BB338,"",IF(AND((WEEKDAY($A338)+$B$2)&gt;1,((WEEKDAY($A338)+$T$2)&lt;7),(WEEKDAY($A338)&lt;&gt;1)),"work",(INDEX(Subject!$A:$I,MATCH(RANDBETWEEN(1,(MAX(Subject!$B:$B))),Subject!$B:$B,0),3))))</f>
        <v/>
      </c>
      <c r="R338" s="2" t="str">
        <f t="array" ref="R338">IF(NOW()&gt;BC338,"",IF(AND((WEEKDAY($A338)+$B$2)&gt;1,((WEEKDAY($A338)+$T$2)&lt;7),(WEEKDAY($A338)&lt;&gt;1)),"work",(INDEX(Subject!$A:$I,MATCH(RANDBETWEEN(1,(MAX(Subject!$B:$B))),Subject!$B:$B,0),3))))</f>
        <v/>
      </c>
      <c r="S338" s="2" t="str">
        <f t="array" ref="S338">IF(NOW()&gt;BD338,"",IF(AND((WEEKDAY($A338)+$B$2)&gt;1,((WEEKDAY($A338)+$T$2)&lt;7),(WEEKDAY($A338)&lt;&gt;1)),"work",(INDEX(Subject!$A:$I,MATCH(RANDBETWEEN(1,(MAX(Subject!$B:$B))),Subject!$B:$B,0),3))))</f>
        <v/>
      </c>
      <c r="T338" s="2" t="str">
        <f t="array" ref="T338">IF(NOW()&gt;BE338,"",IF(AND((WEEKDAY($A338)+$B$2)&gt;1,((WEEKDAY($A338)+$T$2)&lt;7),(WEEKDAY($A338)&lt;&gt;1)),"work",(INDEX(Subject!$A:$I,MATCH(RANDBETWEEN(1,(MAX(Subject!$B:$B))),Subject!$B:$B,0),3))))</f>
        <v/>
      </c>
      <c r="U338" s="8" t="str">
        <f t="array" ref="U338">INDEX(Subject!$A:$I,MATCH(RANDBETWEEN(1,16),Subject!$B:$B,0),3)</f>
        <v>#N/A</v>
      </c>
      <c r="V338" s="8" t="str">
        <f t="array" ref="V338">INDEX(Subject!$A:$I,MATCH(RANDBETWEEN(1,16),Subject!$B:$B,0),3)</f>
        <v>#N/A</v>
      </c>
      <c r="W338" s="8" t="str">
        <f t="array" ref="W338">INDEX(Subject!$A:$I,MATCH(RANDBETWEEN(1,16),Subject!$B:$B,0),3)</f>
        <v>#N/A</v>
      </c>
      <c r="X338" s="8" t="str">
        <f t="array" ref="X338">INDEX(Subject!$A:$I,MATCH(RANDBETWEEN(1,16),Subject!$B:$B,0),3)</f>
        <v>#N/A</v>
      </c>
      <c r="Y338" s="8" t="str">
        <f t="array" ref="Y338">INDEX(Subject!$A:$I,MATCH(RANDBETWEEN(1,16),Subject!$B:$B,0),3)</f>
        <v>#N/A</v>
      </c>
      <c r="Z338" s="8" t="str">
        <f t="array" ref="Z338">INDEX(Subject!$A:$I,MATCH(RANDBETWEEN(1,16),Subject!$B:$B,0),3)</f>
        <v>#N/A</v>
      </c>
      <c r="AA338" s="8" t="str">
        <f t="array" ref="AA338">INDEX(Subject!$A:$I,MATCH(RANDBETWEEN(1,16),Subject!$B:$B,0),3)</f>
        <v>#N/A</v>
      </c>
      <c r="AB338" s="8" t="str">
        <f t="array" ref="AB338">INDEX(Subject!$A:$I,MATCH(RANDBETWEEN(1,16),Subject!$B:$B,0),3)</f>
        <v>#N/A</v>
      </c>
      <c r="AC338" s="8" t="str">
        <f t="array" ref="AC338">INDEX(Subject!$A:$I,MATCH(RANDBETWEEN(1,16),Subject!$B:$B,0),3)</f>
        <v>#N/A</v>
      </c>
      <c r="AD338" s="8" t="str">
        <f t="array" ref="AD338">INDEX(Subject!$A:$I,MATCH(RANDBETWEEN(1,16),Subject!$B:$B,0),3)</f>
        <v>#N/A</v>
      </c>
      <c r="AE338" s="8" t="str">
        <f t="array" ref="AE338">INDEX(Subject!$A:$I,MATCH(RANDBETWEEN(1,16),Subject!$B:$B,0),3)</f>
        <v>#N/A</v>
      </c>
      <c r="AF338" s="8" t="str">
        <f t="array" ref="AF338">INDEX(Subject!$A:$I,MATCH(RANDBETWEEN(1,16),Subject!$B:$B,0),3)</f>
        <v>#N/A</v>
      </c>
      <c r="AG338" s="8" t="str">
        <f t="array" ref="AG338">INDEX(Subject!$A:$I,MATCH(RANDBETWEEN(1,16),Subject!$B:$B,0),3)</f>
        <v>#N/A</v>
      </c>
      <c r="AH338" s="8" t="str">
        <f t="array" ref="AH338">INDEX(Subject!$A:$I,MATCH(RANDBETWEEN(1,16),Subject!$B:$B,0),3)</f>
        <v>#N/A</v>
      </c>
      <c r="AI338" s="8" t="str">
        <f t="array" ref="AI338">INDEX(Subject!$A:$I,MATCH(RANDBETWEEN(1,16),Subject!$B:$B,0),3)</f>
        <v>#N/A</v>
      </c>
      <c r="AJ338" s="8" t="str">
        <f t="array" ref="AJ338">INDEX(Subject!$A:$I,MATCH(RANDBETWEEN(1,16),Subject!$B:$B,0),3)</f>
        <v>#N/A</v>
      </c>
      <c r="AK338" s="8" t="str">
        <f t="array" ref="AK338">INDEX(Subject!$A:$I,MATCH(RANDBETWEEN(1,16),Subject!$B:$B,0),3)</f>
        <v>#N/A</v>
      </c>
      <c r="AL338" s="8" t="str">
        <f t="array" ref="AL338">INDEX(Subject!$A:$I,MATCH(RANDBETWEEN(1,16),Subject!$B:$B,0),3)</f>
        <v>#N/A</v>
      </c>
      <c r="AM338" s="18">
        <f t="shared" si="4"/>
        <v>45838.33333</v>
      </c>
      <c r="AN338" s="19">
        <f t="shared" ref="AN338:BZ338" si="338">$A338+C$1</f>
        <v>45838.35417</v>
      </c>
      <c r="AO338" s="19">
        <f t="shared" si="338"/>
        <v>45838.375</v>
      </c>
      <c r="AP338" s="19">
        <f t="shared" si="338"/>
        <v>45838.39583</v>
      </c>
      <c r="AQ338" s="19">
        <f t="shared" si="338"/>
        <v>45838.41667</v>
      </c>
      <c r="AR338" s="19">
        <f t="shared" si="338"/>
        <v>45838.4375</v>
      </c>
      <c r="AS338" s="19">
        <f t="shared" si="338"/>
        <v>45838.45833</v>
      </c>
      <c r="AT338" s="19">
        <f t="shared" si="338"/>
        <v>45838.47917</v>
      </c>
      <c r="AU338" s="19">
        <f t="shared" si="338"/>
        <v>45838.5</v>
      </c>
      <c r="AV338" s="19">
        <f t="shared" si="338"/>
        <v>45838.52083</v>
      </c>
      <c r="AW338" s="19">
        <f t="shared" si="338"/>
        <v>45838.54167</v>
      </c>
      <c r="AX338" s="19">
        <f t="shared" si="338"/>
        <v>45838.5625</v>
      </c>
      <c r="AY338" s="19">
        <f t="shared" si="338"/>
        <v>45838.58333</v>
      </c>
      <c r="AZ338" s="19">
        <f t="shared" si="338"/>
        <v>45838.60417</v>
      </c>
      <c r="BA338" s="19">
        <f t="shared" si="338"/>
        <v>45838.625</v>
      </c>
      <c r="BB338" s="19">
        <f t="shared" si="338"/>
        <v>45838.64583</v>
      </c>
      <c r="BC338" s="19">
        <f t="shared" si="338"/>
        <v>45838.66667</v>
      </c>
      <c r="BD338" s="19">
        <f t="shared" si="338"/>
        <v>45838.6875</v>
      </c>
      <c r="BE338" s="19">
        <f t="shared" si="338"/>
        <v>45838.70833</v>
      </c>
      <c r="BF338" s="19">
        <f t="shared" si="338"/>
        <v>45838.72917</v>
      </c>
      <c r="BG338" s="19">
        <f t="shared" si="338"/>
        <v>45838.75</v>
      </c>
      <c r="BH338" s="19">
        <f t="shared" si="338"/>
        <v>45838.77083</v>
      </c>
      <c r="BI338" s="19">
        <f t="shared" si="338"/>
        <v>45838.79167</v>
      </c>
      <c r="BJ338" s="19">
        <f t="shared" si="338"/>
        <v>45838.8125</v>
      </c>
      <c r="BK338" s="19">
        <f t="shared" si="338"/>
        <v>45838.83333</v>
      </c>
      <c r="BL338" s="19">
        <f t="shared" si="338"/>
        <v>45838.85417</v>
      </c>
      <c r="BM338" s="19">
        <f t="shared" si="338"/>
        <v>45838.875</v>
      </c>
      <c r="BN338" s="19">
        <f t="shared" si="338"/>
        <v>45838.89583</v>
      </c>
      <c r="BO338" s="19">
        <f t="shared" si="338"/>
        <v>45838.91667</v>
      </c>
      <c r="BP338" s="19">
        <f t="shared" si="338"/>
        <v>45838.9375</v>
      </c>
      <c r="BQ338" s="19">
        <f t="shared" si="338"/>
        <v>45838.95833</v>
      </c>
      <c r="BR338" s="19">
        <f t="shared" si="338"/>
        <v>45838.97917</v>
      </c>
      <c r="BS338" s="19">
        <f t="shared" si="338"/>
        <v>45839</v>
      </c>
      <c r="BT338" s="19">
        <f t="shared" si="338"/>
        <v>45839.02083</v>
      </c>
      <c r="BU338" s="19">
        <f t="shared" si="338"/>
        <v>45839.04167</v>
      </c>
      <c r="BV338" s="19">
        <f t="shared" si="338"/>
        <v>45839.0625</v>
      </c>
      <c r="BW338" s="19">
        <f t="shared" si="338"/>
        <v>45839.08333</v>
      </c>
      <c r="BX338" s="19">
        <f t="shared" si="338"/>
        <v>45838</v>
      </c>
      <c r="BY338" s="19">
        <f t="shared" si="338"/>
        <v>45838</v>
      </c>
      <c r="BZ338" s="19">
        <f t="shared" si="338"/>
        <v>45838</v>
      </c>
    </row>
    <row r="339" ht="14.25" customHeight="1">
      <c r="A339" s="17">
        <v>45839.0</v>
      </c>
      <c r="B339" s="2" t="str">
        <f t="array" ref="B339">IF(NOW()&gt;AM339,"",IF(AND((WEEKDAY($A339)+$B$2)&gt;1,((WEEKDAY($A339)+$T$2)&lt;7),(WEEKDAY($A339)&lt;&gt;1)),"work",(INDEX(Subject!$A:$I,MATCH(RANDBETWEEN(1,(MAX(Subject!$B:$B))),Subject!$B:$B,0),3))))</f>
        <v/>
      </c>
      <c r="C339" s="2" t="str">
        <f t="array" ref="C339">IF(NOW()&gt;AN339,"",IF(AND((WEEKDAY($A339)+$B$2)&gt;1,((WEEKDAY($A339)+$T$2)&lt;7),(WEEKDAY($A339)&lt;&gt;1)),"work",(INDEX(Subject!$A:$I,MATCH(RANDBETWEEN(1,(MAX(Subject!$B:$B))),Subject!$B:$B,0),3))))</f>
        <v/>
      </c>
      <c r="D339" s="2" t="str">
        <f t="array" ref="D339">IF(NOW()&gt;AO339,"",IF(AND((WEEKDAY($A339)+$B$2)&gt;1,((WEEKDAY($A339)+$T$2)&lt;7),(WEEKDAY($A339)&lt;&gt;1)),"work",(INDEX(Subject!$A:$I,MATCH(RANDBETWEEN(1,(MAX(Subject!$B:$B))),Subject!$B:$B,0),3))))</f>
        <v/>
      </c>
      <c r="E339" s="2" t="str">
        <f t="array" ref="E339">IF(NOW()&gt;AP339,"",IF(AND((WEEKDAY($A339)+$B$2)&gt;1,((WEEKDAY($A339)+$T$2)&lt;7),(WEEKDAY($A339)&lt;&gt;1)),"work",(INDEX(Subject!$A:$I,MATCH(RANDBETWEEN(1,(MAX(Subject!$B:$B))),Subject!$B:$B,0),3))))</f>
        <v/>
      </c>
      <c r="F339" s="2" t="str">
        <f t="array" ref="F339">IF(NOW()&gt;AQ339,"",IF(AND((WEEKDAY($A339)+$B$2)&gt;1,((WEEKDAY($A339)+$T$2)&lt;7),(WEEKDAY($A339)&lt;&gt;1)),"work",(INDEX(Subject!$A:$I,MATCH(RANDBETWEEN(1,(MAX(Subject!$B:$B))),Subject!$B:$B,0),3))))</f>
        <v/>
      </c>
      <c r="G339" s="2" t="str">
        <f t="array" ref="G339">IF(NOW()&gt;AR339,"",IF(AND((WEEKDAY($A339)+$B$2)&gt;1,((WEEKDAY($A339)+$T$2)&lt;7),(WEEKDAY($A339)&lt;&gt;1)),"work",(INDEX(Subject!$A:$I,MATCH(RANDBETWEEN(1,(MAX(Subject!$B:$B))),Subject!$B:$B,0),3))))</f>
        <v/>
      </c>
      <c r="H339" s="2" t="str">
        <f t="array" ref="H339">IF(NOW()&gt;AS339,"",IF(AND((WEEKDAY($A339)+$B$2)&gt;1,((WEEKDAY($A339)+$T$2)&lt;7),(WEEKDAY($A339)&lt;&gt;1)),"work",(INDEX(Subject!$A:$I,MATCH(RANDBETWEEN(1,(MAX(Subject!$B:$B))),Subject!$B:$B,0),3))))</f>
        <v/>
      </c>
      <c r="I339" s="2" t="str">
        <f t="array" ref="I339">IF(NOW()&gt;AT339,"",IF(AND((WEEKDAY($A339)+$B$2)&gt;1,((WEEKDAY($A339)+$T$2)&lt;7),(WEEKDAY($A339)&lt;&gt;1)),"work",(INDEX(Subject!$A:$I,MATCH(RANDBETWEEN(1,(MAX(Subject!$B:$B))),Subject!$B:$B,0),3))))</f>
        <v/>
      </c>
      <c r="J339" s="2" t="str">
        <f t="array" ref="J339">IF(NOW()&gt;AU339,"",IF(AND((WEEKDAY($A339)+$B$2)&gt;1,((WEEKDAY($A339)+$T$2)&lt;7),(WEEKDAY($A339)&lt;&gt;1)),"work",(INDEX(Subject!$A:$I,MATCH(RANDBETWEEN(1,(MAX(Subject!$B:$B))),Subject!$B:$B,0),3))))</f>
        <v/>
      </c>
      <c r="K339" s="2" t="str">
        <f t="array" ref="K339">IF(NOW()&gt;AV339,"",IF(AND((WEEKDAY($A339)+$B$2)&gt;1,((WEEKDAY($A339)+$T$2)&lt;7),(WEEKDAY($A339)&lt;&gt;1)),"work",(INDEX(Subject!$A:$I,MATCH(RANDBETWEEN(1,(MAX(Subject!$B:$B))),Subject!$B:$B,0),3))))</f>
        <v/>
      </c>
      <c r="L339" s="2" t="str">
        <f t="array" ref="L339">IF(NOW()&gt;AW339,"",IF(AND((WEEKDAY($A339)+$B$2)&gt;1,((WEEKDAY($A339)+$T$2)&lt;7),(WEEKDAY($A339)&lt;&gt;1)),"work",(INDEX(Subject!$A:$I,MATCH(RANDBETWEEN(1,(MAX(Subject!$B:$B))),Subject!$B:$B,0),3))))</f>
        <v/>
      </c>
      <c r="M339" s="2" t="str">
        <f t="array" ref="M339">IF(NOW()&gt;AX339,"",IF(AND((WEEKDAY($A339)+$B$2)&gt;1,((WEEKDAY($A339)+$T$2)&lt;7),(WEEKDAY($A339)&lt;&gt;1)),"work",(INDEX(Subject!$A:$I,MATCH(RANDBETWEEN(1,(MAX(Subject!$B:$B))),Subject!$B:$B,0),3))))</f>
        <v/>
      </c>
      <c r="N339" s="2" t="str">
        <f t="array" ref="N339">IF(NOW()&gt;AY339,"",IF(AND((WEEKDAY($A339)+$B$2)&gt;1,((WEEKDAY($A339)+$T$2)&lt;7),(WEEKDAY($A339)&lt;&gt;1)),"work",(INDEX(Subject!$A:$I,MATCH(RANDBETWEEN(1,(MAX(Subject!$B:$B))),Subject!$B:$B,0),3))))</f>
        <v/>
      </c>
      <c r="O339" s="2" t="str">
        <f t="array" ref="O339">IF(NOW()&gt;AZ339,"",IF(AND((WEEKDAY($A339)+$B$2)&gt;1,((WEEKDAY($A339)+$T$2)&lt;7),(WEEKDAY($A339)&lt;&gt;1)),"work",(INDEX(Subject!$A:$I,MATCH(RANDBETWEEN(1,(MAX(Subject!$B:$B))),Subject!$B:$B,0),3))))</f>
        <v/>
      </c>
      <c r="P339" s="2" t="str">
        <f t="array" ref="P339">IF(NOW()&gt;BA339,"",IF(AND((WEEKDAY($A339)+$B$2)&gt;1,((WEEKDAY($A339)+$T$2)&lt;7),(WEEKDAY($A339)&lt;&gt;1)),"work",(INDEX(Subject!$A:$I,MATCH(RANDBETWEEN(1,(MAX(Subject!$B:$B))),Subject!$B:$B,0),3))))</f>
        <v/>
      </c>
      <c r="Q339" s="2" t="str">
        <f t="array" ref="Q339">IF(NOW()&gt;BB339,"",IF(AND((WEEKDAY($A339)+$B$2)&gt;1,((WEEKDAY($A339)+$T$2)&lt;7),(WEEKDAY($A339)&lt;&gt;1)),"work",(INDEX(Subject!$A:$I,MATCH(RANDBETWEEN(1,(MAX(Subject!$B:$B))),Subject!$B:$B,0),3))))</f>
        <v/>
      </c>
      <c r="R339" s="2" t="str">
        <f t="array" ref="R339">IF(NOW()&gt;BC339,"",IF(AND((WEEKDAY($A339)+$B$2)&gt;1,((WEEKDAY($A339)+$T$2)&lt;7),(WEEKDAY($A339)&lt;&gt;1)),"work",(INDEX(Subject!$A:$I,MATCH(RANDBETWEEN(1,(MAX(Subject!$B:$B))),Subject!$B:$B,0),3))))</f>
        <v/>
      </c>
      <c r="S339" s="2" t="str">
        <f t="array" ref="S339">IF(NOW()&gt;BD339,"",IF(AND((WEEKDAY($A339)+$B$2)&gt;1,((WEEKDAY($A339)+$T$2)&lt;7),(WEEKDAY($A339)&lt;&gt;1)),"work",(INDEX(Subject!$A:$I,MATCH(RANDBETWEEN(1,(MAX(Subject!$B:$B))),Subject!$B:$B,0),3))))</f>
        <v/>
      </c>
      <c r="T339" s="2" t="str">
        <f t="array" ref="T339">IF(NOW()&gt;BE339,"",IF(AND((WEEKDAY($A339)+$B$2)&gt;1,((WEEKDAY($A339)+$T$2)&lt;7),(WEEKDAY($A339)&lt;&gt;1)),"work",(INDEX(Subject!$A:$I,MATCH(RANDBETWEEN(1,(MAX(Subject!$B:$B))),Subject!$B:$B,0),3))))</f>
        <v/>
      </c>
      <c r="U339" s="8" t="str">
        <f t="array" ref="U339">INDEX(Subject!$A:$I,MATCH(RANDBETWEEN(1,16),Subject!$B:$B,0),3)</f>
        <v>#N/A</v>
      </c>
      <c r="V339" s="8" t="str">
        <f t="array" ref="V339">INDEX(Subject!$A:$I,MATCH(RANDBETWEEN(1,16),Subject!$B:$B,0),3)</f>
        <v>#N/A</v>
      </c>
      <c r="W339" s="8" t="str">
        <f t="array" ref="W339">INDEX(Subject!$A:$I,MATCH(RANDBETWEEN(1,16),Subject!$B:$B,0),3)</f>
        <v>#N/A</v>
      </c>
      <c r="X339" s="8" t="str">
        <f t="array" ref="X339">INDEX(Subject!$A:$I,MATCH(RANDBETWEEN(1,16),Subject!$B:$B,0),3)</f>
        <v>#N/A</v>
      </c>
      <c r="Y339" s="8" t="str">
        <f t="array" ref="Y339">INDEX(Subject!$A:$I,MATCH(RANDBETWEEN(1,16),Subject!$B:$B,0),3)</f>
        <v>#N/A</v>
      </c>
      <c r="Z339" s="8" t="str">
        <f t="array" ref="Z339">INDEX(Subject!$A:$I,MATCH(RANDBETWEEN(1,16),Subject!$B:$B,0),3)</f>
        <v>#N/A</v>
      </c>
      <c r="AA339" s="8" t="str">
        <f t="array" ref="AA339">INDEX(Subject!$A:$I,MATCH(RANDBETWEEN(1,16),Subject!$B:$B,0),3)</f>
        <v>#N/A</v>
      </c>
      <c r="AB339" s="8" t="str">
        <f t="array" ref="AB339">INDEX(Subject!$A:$I,MATCH(RANDBETWEEN(1,16),Subject!$B:$B,0),3)</f>
        <v>#N/A</v>
      </c>
      <c r="AC339" s="8" t="str">
        <f t="array" ref="AC339">INDEX(Subject!$A:$I,MATCH(RANDBETWEEN(1,16),Subject!$B:$B,0),3)</f>
        <v>#N/A</v>
      </c>
      <c r="AD339" s="8" t="str">
        <f t="array" ref="AD339">INDEX(Subject!$A:$I,MATCH(RANDBETWEEN(1,16),Subject!$B:$B,0),3)</f>
        <v>#N/A</v>
      </c>
      <c r="AE339" s="8" t="str">
        <f t="array" ref="AE339">INDEX(Subject!$A:$I,MATCH(RANDBETWEEN(1,16),Subject!$B:$B,0),3)</f>
        <v>#N/A</v>
      </c>
      <c r="AF339" s="8" t="str">
        <f t="array" ref="AF339">INDEX(Subject!$A:$I,MATCH(RANDBETWEEN(1,16),Subject!$B:$B,0),3)</f>
        <v>#N/A</v>
      </c>
      <c r="AG339" s="8" t="str">
        <f t="array" ref="AG339">INDEX(Subject!$A:$I,MATCH(RANDBETWEEN(1,16),Subject!$B:$B,0),3)</f>
        <v>#N/A</v>
      </c>
      <c r="AH339" s="8" t="str">
        <f t="array" ref="AH339">INDEX(Subject!$A:$I,MATCH(RANDBETWEEN(1,16),Subject!$B:$B,0),3)</f>
        <v>#N/A</v>
      </c>
      <c r="AI339" s="8" t="str">
        <f t="array" ref="AI339">INDEX(Subject!$A:$I,MATCH(RANDBETWEEN(1,16),Subject!$B:$B,0),3)</f>
        <v>#N/A</v>
      </c>
      <c r="AJ339" s="8" t="str">
        <f t="array" ref="AJ339">INDEX(Subject!$A:$I,MATCH(RANDBETWEEN(1,16),Subject!$B:$B,0),3)</f>
        <v>#N/A</v>
      </c>
      <c r="AK339" s="8" t="str">
        <f t="array" ref="AK339">INDEX(Subject!$A:$I,MATCH(RANDBETWEEN(1,16),Subject!$B:$B,0),3)</f>
        <v>#N/A</v>
      </c>
      <c r="AL339" s="8" t="str">
        <f t="array" ref="AL339">INDEX(Subject!$A:$I,MATCH(RANDBETWEEN(1,16),Subject!$B:$B,0),3)</f>
        <v>#N/A</v>
      </c>
      <c r="AM339" s="18">
        <f t="shared" si="4"/>
        <v>45839.33333</v>
      </c>
      <c r="AN339" s="19">
        <f t="shared" ref="AN339:BZ339" si="339">$A339+C$1</f>
        <v>45839.35417</v>
      </c>
      <c r="AO339" s="19">
        <f t="shared" si="339"/>
        <v>45839.375</v>
      </c>
      <c r="AP339" s="19">
        <f t="shared" si="339"/>
        <v>45839.39583</v>
      </c>
      <c r="AQ339" s="19">
        <f t="shared" si="339"/>
        <v>45839.41667</v>
      </c>
      <c r="AR339" s="19">
        <f t="shared" si="339"/>
        <v>45839.4375</v>
      </c>
      <c r="AS339" s="19">
        <f t="shared" si="339"/>
        <v>45839.45833</v>
      </c>
      <c r="AT339" s="19">
        <f t="shared" si="339"/>
        <v>45839.47917</v>
      </c>
      <c r="AU339" s="19">
        <f t="shared" si="339"/>
        <v>45839.5</v>
      </c>
      <c r="AV339" s="19">
        <f t="shared" si="339"/>
        <v>45839.52083</v>
      </c>
      <c r="AW339" s="19">
        <f t="shared" si="339"/>
        <v>45839.54167</v>
      </c>
      <c r="AX339" s="19">
        <f t="shared" si="339"/>
        <v>45839.5625</v>
      </c>
      <c r="AY339" s="19">
        <f t="shared" si="339"/>
        <v>45839.58333</v>
      </c>
      <c r="AZ339" s="19">
        <f t="shared" si="339"/>
        <v>45839.60417</v>
      </c>
      <c r="BA339" s="19">
        <f t="shared" si="339"/>
        <v>45839.625</v>
      </c>
      <c r="BB339" s="19">
        <f t="shared" si="339"/>
        <v>45839.64583</v>
      </c>
      <c r="BC339" s="19">
        <f t="shared" si="339"/>
        <v>45839.66667</v>
      </c>
      <c r="BD339" s="19">
        <f t="shared" si="339"/>
        <v>45839.6875</v>
      </c>
      <c r="BE339" s="19">
        <f t="shared" si="339"/>
        <v>45839.70833</v>
      </c>
      <c r="BF339" s="19">
        <f t="shared" si="339"/>
        <v>45839.72917</v>
      </c>
      <c r="BG339" s="19">
        <f t="shared" si="339"/>
        <v>45839.75</v>
      </c>
      <c r="BH339" s="19">
        <f t="shared" si="339"/>
        <v>45839.77083</v>
      </c>
      <c r="BI339" s="19">
        <f t="shared" si="339"/>
        <v>45839.79167</v>
      </c>
      <c r="BJ339" s="19">
        <f t="shared" si="339"/>
        <v>45839.8125</v>
      </c>
      <c r="BK339" s="19">
        <f t="shared" si="339"/>
        <v>45839.83333</v>
      </c>
      <c r="BL339" s="19">
        <f t="shared" si="339"/>
        <v>45839.85417</v>
      </c>
      <c r="BM339" s="19">
        <f t="shared" si="339"/>
        <v>45839.875</v>
      </c>
      <c r="BN339" s="19">
        <f t="shared" si="339"/>
        <v>45839.89583</v>
      </c>
      <c r="BO339" s="19">
        <f t="shared" si="339"/>
        <v>45839.91667</v>
      </c>
      <c r="BP339" s="19">
        <f t="shared" si="339"/>
        <v>45839.9375</v>
      </c>
      <c r="BQ339" s="19">
        <f t="shared" si="339"/>
        <v>45839.95833</v>
      </c>
      <c r="BR339" s="19">
        <f t="shared" si="339"/>
        <v>45839.97917</v>
      </c>
      <c r="BS339" s="19">
        <f t="shared" si="339"/>
        <v>45840</v>
      </c>
      <c r="BT339" s="19">
        <f t="shared" si="339"/>
        <v>45840.02083</v>
      </c>
      <c r="BU339" s="19">
        <f t="shared" si="339"/>
        <v>45840.04167</v>
      </c>
      <c r="BV339" s="19">
        <f t="shared" si="339"/>
        <v>45840.0625</v>
      </c>
      <c r="BW339" s="19">
        <f t="shared" si="339"/>
        <v>45840.08333</v>
      </c>
      <c r="BX339" s="19">
        <f t="shared" si="339"/>
        <v>45839</v>
      </c>
      <c r="BY339" s="19">
        <f t="shared" si="339"/>
        <v>45839</v>
      </c>
      <c r="BZ339" s="19">
        <f t="shared" si="339"/>
        <v>45839</v>
      </c>
    </row>
    <row r="340" ht="14.25" customHeight="1">
      <c r="A340" s="17">
        <v>45840.0</v>
      </c>
      <c r="B340" s="2" t="str">
        <f t="array" ref="B340">IF(NOW()&gt;AM340,"",IF(AND((WEEKDAY($A340)+$B$2)&gt;1,((WEEKDAY($A340)+$T$2)&lt;7),(WEEKDAY($A340)&lt;&gt;1)),"work",(INDEX(Subject!$A:$I,MATCH(RANDBETWEEN(1,(MAX(Subject!$B:$B))),Subject!$B:$B,0),3))))</f>
        <v/>
      </c>
      <c r="C340" s="2" t="str">
        <f t="array" ref="C340">IF(NOW()&gt;AN340,"",IF(AND((WEEKDAY($A340)+$B$2)&gt;1,((WEEKDAY($A340)+$T$2)&lt;7),(WEEKDAY($A340)&lt;&gt;1)),"work",(INDEX(Subject!$A:$I,MATCH(RANDBETWEEN(1,(MAX(Subject!$B:$B))),Subject!$B:$B,0),3))))</f>
        <v/>
      </c>
      <c r="D340" s="2" t="str">
        <f t="array" ref="D340">IF(NOW()&gt;AO340,"",IF(AND((WEEKDAY($A340)+$B$2)&gt;1,((WEEKDAY($A340)+$T$2)&lt;7),(WEEKDAY($A340)&lt;&gt;1)),"work",(INDEX(Subject!$A:$I,MATCH(RANDBETWEEN(1,(MAX(Subject!$B:$B))),Subject!$B:$B,0),3))))</f>
        <v/>
      </c>
      <c r="E340" s="2" t="str">
        <f t="array" ref="E340">IF(NOW()&gt;AP340,"",IF(AND((WEEKDAY($A340)+$B$2)&gt;1,((WEEKDAY($A340)+$T$2)&lt;7),(WEEKDAY($A340)&lt;&gt;1)),"work",(INDEX(Subject!$A:$I,MATCH(RANDBETWEEN(1,(MAX(Subject!$B:$B))),Subject!$B:$B,0),3))))</f>
        <v/>
      </c>
      <c r="F340" s="2" t="str">
        <f t="array" ref="F340">IF(NOW()&gt;AQ340,"",IF(AND((WEEKDAY($A340)+$B$2)&gt;1,((WEEKDAY($A340)+$T$2)&lt;7),(WEEKDAY($A340)&lt;&gt;1)),"work",(INDEX(Subject!$A:$I,MATCH(RANDBETWEEN(1,(MAX(Subject!$B:$B))),Subject!$B:$B,0),3))))</f>
        <v/>
      </c>
      <c r="G340" s="2" t="str">
        <f t="array" ref="G340">IF(NOW()&gt;AR340,"",IF(AND((WEEKDAY($A340)+$B$2)&gt;1,((WEEKDAY($A340)+$T$2)&lt;7),(WEEKDAY($A340)&lt;&gt;1)),"work",(INDEX(Subject!$A:$I,MATCH(RANDBETWEEN(1,(MAX(Subject!$B:$B))),Subject!$B:$B,0),3))))</f>
        <v/>
      </c>
      <c r="H340" s="2" t="str">
        <f t="array" ref="H340">IF(NOW()&gt;AS340,"",IF(AND((WEEKDAY($A340)+$B$2)&gt;1,((WEEKDAY($A340)+$T$2)&lt;7),(WEEKDAY($A340)&lt;&gt;1)),"work",(INDEX(Subject!$A:$I,MATCH(RANDBETWEEN(1,(MAX(Subject!$B:$B))),Subject!$B:$B,0),3))))</f>
        <v/>
      </c>
      <c r="I340" s="2" t="str">
        <f t="array" ref="I340">IF(NOW()&gt;AT340,"",IF(AND((WEEKDAY($A340)+$B$2)&gt;1,((WEEKDAY($A340)+$T$2)&lt;7),(WEEKDAY($A340)&lt;&gt;1)),"work",(INDEX(Subject!$A:$I,MATCH(RANDBETWEEN(1,(MAX(Subject!$B:$B))),Subject!$B:$B,0),3))))</f>
        <v/>
      </c>
      <c r="J340" s="2" t="str">
        <f t="array" ref="J340">IF(NOW()&gt;AU340,"",IF(AND((WEEKDAY($A340)+$B$2)&gt;1,((WEEKDAY($A340)+$T$2)&lt;7),(WEEKDAY($A340)&lt;&gt;1)),"work",(INDEX(Subject!$A:$I,MATCH(RANDBETWEEN(1,(MAX(Subject!$B:$B))),Subject!$B:$B,0),3))))</f>
        <v/>
      </c>
      <c r="K340" s="2" t="str">
        <f t="array" ref="K340">IF(NOW()&gt;AV340,"",IF(AND((WEEKDAY($A340)+$B$2)&gt;1,((WEEKDAY($A340)+$T$2)&lt;7),(WEEKDAY($A340)&lt;&gt;1)),"work",(INDEX(Subject!$A:$I,MATCH(RANDBETWEEN(1,(MAX(Subject!$B:$B))),Subject!$B:$B,0),3))))</f>
        <v/>
      </c>
      <c r="L340" s="2" t="str">
        <f t="array" ref="L340">IF(NOW()&gt;AW340,"",IF(AND((WEEKDAY($A340)+$B$2)&gt;1,((WEEKDAY($A340)+$T$2)&lt;7),(WEEKDAY($A340)&lt;&gt;1)),"work",(INDEX(Subject!$A:$I,MATCH(RANDBETWEEN(1,(MAX(Subject!$B:$B))),Subject!$B:$B,0),3))))</f>
        <v/>
      </c>
      <c r="M340" s="2" t="str">
        <f t="array" ref="M340">IF(NOW()&gt;AX340,"",IF(AND((WEEKDAY($A340)+$B$2)&gt;1,((WEEKDAY($A340)+$T$2)&lt;7),(WEEKDAY($A340)&lt;&gt;1)),"work",(INDEX(Subject!$A:$I,MATCH(RANDBETWEEN(1,(MAX(Subject!$B:$B))),Subject!$B:$B,0),3))))</f>
        <v/>
      </c>
      <c r="N340" s="2" t="str">
        <f t="array" ref="N340">IF(NOW()&gt;AY340,"",IF(AND((WEEKDAY($A340)+$B$2)&gt;1,((WEEKDAY($A340)+$T$2)&lt;7),(WEEKDAY($A340)&lt;&gt;1)),"work",(INDEX(Subject!$A:$I,MATCH(RANDBETWEEN(1,(MAX(Subject!$B:$B))),Subject!$B:$B,0),3))))</f>
        <v/>
      </c>
      <c r="O340" s="2" t="str">
        <f t="array" ref="O340">IF(NOW()&gt;AZ340,"",IF(AND((WEEKDAY($A340)+$B$2)&gt;1,((WEEKDAY($A340)+$T$2)&lt;7),(WEEKDAY($A340)&lt;&gt;1)),"work",(INDEX(Subject!$A:$I,MATCH(RANDBETWEEN(1,(MAX(Subject!$B:$B))),Subject!$B:$B,0),3))))</f>
        <v/>
      </c>
      <c r="P340" s="2" t="str">
        <f t="array" ref="P340">IF(NOW()&gt;BA340,"",IF(AND((WEEKDAY($A340)+$B$2)&gt;1,((WEEKDAY($A340)+$T$2)&lt;7),(WEEKDAY($A340)&lt;&gt;1)),"work",(INDEX(Subject!$A:$I,MATCH(RANDBETWEEN(1,(MAX(Subject!$B:$B))),Subject!$B:$B,0),3))))</f>
        <v/>
      </c>
      <c r="Q340" s="2" t="str">
        <f t="array" ref="Q340">IF(NOW()&gt;BB340,"",IF(AND((WEEKDAY($A340)+$B$2)&gt;1,((WEEKDAY($A340)+$T$2)&lt;7),(WEEKDAY($A340)&lt;&gt;1)),"work",(INDEX(Subject!$A:$I,MATCH(RANDBETWEEN(1,(MAX(Subject!$B:$B))),Subject!$B:$B,0),3))))</f>
        <v/>
      </c>
      <c r="R340" s="2" t="str">
        <f t="array" ref="R340">IF(NOW()&gt;BC340,"",IF(AND((WEEKDAY($A340)+$B$2)&gt;1,((WEEKDAY($A340)+$T$2)&lt;7),(WEEKDAY($A340)&lt;&gt;1)),"work",(INDEX(Subject!$A:$I,MATCH(RANDBETWEEN(1,(MAX(Subject!$B:$B))),Subject!$B:$B,0),3))))</f>
        <v/>
      </c>
      <c r="S340" s="2" t="str">
        <f t="array" ref="S340">IF(NOW()&gt;BD340,"",IF(AND((WEEKDAY($A340)+$B$2)&gt;1,((WEEKDAY($A340)+$T$2)&lt;7),(WEEKDAY($A340)&lt;&gt;1)),"work",(INDEX(Subject!$A:$I,MATCH(RANDBETWEEN(1,(MAX(Subject!$B:$B))),Subject!$B:$B,0),3))))</f>
        <v/>
      </c>
      <c r="T340" s="2" t="str">
        <f t="array" ref="T340">IF(NOW()&gt;BE340,"",IF(AND((WEEKDAY($A340)+$B$2)&gt;1,((WEEKDAY($A340)+$T$2)&lt;7),(WEEKDAY($A340)&lt;&gt;1)),"work",(INDEX(Subject!$A:$I,MATCH(RANDBETWEEN(1,(MAX(Subject!$B:$B))),Subject!$B:$B,0),3))))</f>
        <v/>
      </c>
      <c r="U340" s="8" t="str">
        <f t="array" ref="U340">INDEX(Subject!$A:$I,MATCH(RANDBETWEEN(1,16),Subject!$B:$B,0),3)</f>
        <v>#N/A</v>
      </c>
      <c r="V340" s="8" t="str">
        <f t="array" ref="V340">INDEX(Subject!$A:$I,MATCH(RANDBETWEEN(1,16),Subject!$B:$B,0),3)</f>
        <v>#N/A</v>
      </c>
      <c r="W340" s="8" t="str">
        <f t="array" ref="W340">INDEX(Subject!$A:$I,MATCH(RANDBETWEEN(1,16),Subject!$B:$B,0),3)</f>
        <v>#N/A</v>
      </c>
      <c r="X340" s="8" t="str">
        <f t="array" ref="X340">INDEX(Subject!$A:$I,MATCH(RANDBETWEEN(1,16),Subject!$B:$B,0),3)</f>
        <v>#N/A</v>
      </c>
      <c r="Y340" s="8" t="str">
        <f t="array" ref="Y340">INDEX(Subject!$A:$I,MATCH(RANDBETWEEN(1,16),Subject!$B:$B,0),3)</f>
        <v>#N/A</v>
      </c>
      <c r="Z340" s="8" t="str">
        <f t="array" ref="Z340">INDEX(Subject!$A:$I,MATCH(RANDBETWEEN(1,16),Subject!$B:$B,0),3)</f>
        <v>#N/A</v>
      </c>
      <c r="AA340" s="8" t="str">
        <f t="array" ref="AA340">INDEX(Subject!$A:$I,MATCH(RANDBETWEEN(1,16),Subject!$B:$B,0),3)</f>
        <v>#N/A</v>
      </c>
      <c r="AB340" s="8" t="str">
        <f t="array" ref="AB340">INDEX(Subject!$A:$I,MATCH(RANDBETWEEN(1,16),Subject!$B:$B,0),3)</f>
        <v>#N/A</v>
      </c>
      <c r="AC340" s="8" t="str">
        <f t="array" ref="AC340">INDEX(Subject!$A:$I,MATCH(RANDBETWEEN(1,16),Subject!$B:$B,0),3)</f>
        <v>#N/A</v>
      </c>
      <c r="AD340" s="8" t="str">
        <f t="array" ref="AD340">INDEX(Subject!$A:$I,MATCH(RANDBETWEEN(1,16),Subject!$B:$B,0),3)</f>
        <v/>
      </c>
      <c r="AE340" s="8" t="str">
        <f t="array" ref="AE340">INDEX(Subject!$A:$I,MATCH(RANDBETWEEN(1,16),Subject!$B:$B,0),3)</f>
        <v>#N/A</v>
      </c>
      <c r="AF340" s="8" t="str">
        <f t="array" ref="AF340">INDEX(Subject!$A:$I,MATCH(RANDBETWEEN(1,16),Subject!$B:$B,0),3)</f>
        <v>#N/A</v>
      </c>
      <c r="AG340" s="8" t="str">
        <f t="array" ref="AG340">INDEX(Subject!$A:$I,MATCH(RANDBETWEEN(1,16),Subject!$B:$B,0),3)</f>
        <v/>
      </c>
      <c r="AH340" s="8" t="str">
        <f t="array" ref="AH340">INDEX(Subject!$A:$I,MATCH(RANDBETWEEN(1,16),Subject!$B:$B,0),3)</f>
        <v>#N/A</v>
      </c>
      <c r="AI340" s="8" t="str">
        <f t="array" ref="AI340">INDEX(Subject!$A:$I,MATCH(RANDBETWEEN(1,16),Subject!$B:$B,0),3)</f>
        <v>#N/A</v>
      </c>
      <c r="AJ340" s="8" t="str">
        <f t="array" ref="AJ340">INDEX(Subject!$A:$I,MATCH(RANDBETWEEN(1,16),Subject!$B:$B,0),3)</f>
        <v>#N/A</v>
      </c>
      <c r="AK340" s="8" t="str">
        <f t="array" ref="AK340">INDEX(Subject!$A:$I,MATCH(RANDBETWEEN(1,16),Subject!$B:$B,0),3)</f>
        <v>#N/A</v>
      </c>
      <c r="AL340" s="8" t="str">
        <f t="array" ref="AL340">INDEX(Subject!$A:$I,MATCH(RANDBETWEEN(1,16),Subject!$B:$B,0),3)</f>
        <v>#N/A</v>
      </c>
      <c r="AM340" s="18">
        <f t="shared" si="4"/>
        <v>45840.33333</v>
      </c>
      <c r="AN340" s="19">
        <f t="shared" ref="AN340:BZ340" si="340">$A340+C$1</f>
        <v>45840.35417</v>
      </c>
      <c r="AO340" s="19">
        <f t="shared" si="340"/>
        <v>45840.375</v>
      </c>
      <c r="AP340" s="19">
        <f t="shared" si="340"/>
        <v>45840.39583</v>
      </c>
      <c r="AQ340" s="19">
        <f t="shared" si="340"/>
        <v>45840.41667</v>
      </c>
      <c r="AR340" s="19">
        <f t="shared" si="340"/>
        <v>45840.4375</v>
      </c>
      <c r="AS340" s="19">
        <f t="shared" si="340"/>
        <v>45840.45833</v>
      </c>
      <c r="AT340" s="19">
        <f t="shared" si="340"/>
        <v>45840.47917</v>
      </c>
      <c r="AU340" s="19">
        <f t="shared" si="340"/>
        <v>45840.5</v>
      </c>
      <c r="AV340" s="19">
        <f t="shared" si="340"/>
        <v>45840.52083</v>
      </c>
      <c r="AW340" s="19">
        <f t="shared" si="340"/>
        <v>45840.54167</v>
      </c>
      <c r="AX340" s="19">
        <f t="shared" si="340"/>
        <v>45840.5625</v>
      </c>
      <c r="AY340" s="19">
        <f t="shared" si="340"/>
        <v>45840.58333</v>
      </c>
      <c r="AZ340" s="19">
        <f t="shared" si="340"/>
        <v>45840.60417</v>
      </c>
      <c r="BA340" s="19">
        <f t="shared" si="340"/>
        <v>45840.625</v>
      </c>
      <c r="BB340" s="19">
        <f t="shared" si="340"/>
        <v>45840.64583</v>
      </c>
      <c r="BC340" s="19">
        <f t="shared" si="340"/>
        <v>45840.66667</v>
      </c>
      <c r="BD340" s="19">
        <f t="shared" si="340"/>
        <v>45840.6875</v>
      </c>
      <c r="BE340" s="19">
        <f t="shared" si="340"/>
        <v>45840.70833</v>
      </c>
      <c r="BF340" s="19">
        <f t="shared" si="340"/>
        <v>45840.72917</v>
      </c>
      <c r="BG340" s="19">
        <f t="shared" si="340"/>
        <v>45840.75</v>
      </c>
      <c r="BH340" s="19">
        <f t="shared" si="340"/>
        <v>45840.77083</v>
      </c>
      <c r="BI340" s="19">
        <f t="shared" si="340"/>
        <v>45840.79167</v>
      </c>
      <c r="BJ340" s="19">
        <f t="shared" si="340"/>
        <v>45840.8125</v>
      </c>
      <c r="BK340" s="19">
        <f t="shared" si="340"/>
        <v>45840.83333</v>
      </c>
      <c r="BL340" s="19">
        <f t="shared" si="340"/>
        <v>45840.85417</v>
      </c>
      <c r="BM340" s="19">
        <f t="shared" si="340"/>
        <v>45840.875</v>
      </c>
      <c r="BN340" s="19">
        <f t="shared" si="340"/>
        <v>45840.89583</v>
      </c>
      <c r="BO340" s="19">
        <f t="shared" si="340"/>
        <v>45840.91667</v>
      </c>
      <c r="BP340" s="19">
        <f t="shared" si="340"/>
        <v>45840.9375</v>
      </c>
      <c r="BQ340" s="19">
        <f t="shared" si="340"/>
        <v>45840.95833</v>
      </c>
      <c r="BR340" s="19">
        <f t="shared" si="340"/>
        <v>45840.97917</v>
      </c>
      <c r="BS340" s="19">
        <f t="shared" si="340"/>
        <v>45841</v>
      </c>
      <c r="BT340" s="19">
        <f t="shared" si="340"/>
        <v>45841.02083</v>
      </c>
      <c r="BU340" s="19">
        <f t="shared" si="340"/>
        <v>45841.04167</v>
      </c>
      <c r="BV340" s="19">
        <f t="shared" si="340"/>
        <v>45841.0625</v>
      </c>
      <c r="BW340" s="19">
        <f t="shared" si="340"/>
        <v>45841.08333</v>
      </c>
      <c r="BX340" s="19">
        <f t="shared" si="340"/>
        <v>45840</v>
      </c>
      <c r="BY340" s="19">
        <f t="shared" si="340"/>
        <v>45840</v>
      </c>
      <c r="BZ340" s="19">
        <f t="shared" si="340"/>
        <v>45840</v>
      </c>
    </row>
    <row r="341" ht="14.25" customHeight="1">
      <c r="A341" s="17">
        <v>45841.0</v>
      </c>
      <c r="B341" s="2" t="str">
        <f t="array" ref="B341">IF(NOW()&gt;AM341,"",IF(AND((WEEKDAY($A341)+$B$2)&gt;1,((WEEKDAY($A341)+$T$2)&lt;7),(WEEKDAY($A341)&lt;&gt;1)),"work",(INDEX(Subject!$A:$I,MATCH(RANDBETWEEN(1,(MAX(Subject!$B:$B))),Subject!$B:$B,0),3))))</f>
        <v/>
      </c>
      <c r="C341" s="2" t="str">
        <f t="array" ref="C341">IF(NOW()&gt;AN341,"",IF(AND((WEEKDAY($A341)+$B$2)&gt;1,((WEEKDAY($A341)+$T$2)&lt;7),(WEEKDAY($A341)&lt;&gt;1)),"work",(INDEX(Subject!$A:$I,MATCH(RANDBETWEEN(1,(MAX(Subject!$B:$B))),Subject!$B:$B,0),3))))</f>
        <v/>
      </c>
      <c r="D341" s="2" t="str">
        <f t="array" ref="D341">IF(NOW()&gt;AO341,"",IF(AND((WEEKDAY($A341)+$B$2)&gt;1,((WEEKDAY($A341)+$T$2)&lt;7),(WEEKDAY($A341)&lt;&gt;1)),"work",(INDEX(Subject!$A:$I,MATCH(RANDBETWEEN(1,(MAX(Subject!$B:$B))),Subject!$B:$B,0),3))))</f>
        <v/>
      </c>
      <c r="E341" s="2" t="str">
        <f t="array" ref="E341">IF(NOW()&gt;AP341,"",IF(AND((WEEKDAY($A341)+$B$2)&gt;1,((WEEKDAY($A341)+$T$2)&lt;7),(WEEKDAY($A341)&lt;&gt;1)),"work",(INDEX(Subject!$A:$I,MATCH(RANDBETWEEN(1,(MAX(Subject!$B:$B))),Subject!$B:$B,0),3))))</f>
        <v/>
      </c>
      <c r="F341" s="2" t="str">
        <f t="array" ref="F341">IF(NOW()&gt;AQ341,"",IF(AND((WEEKDAY($A341)+$B$2)&gt;1,((WEEKDAY($A341)+$T$2)&lt;7),(WEEKDAY($A341)&lt;&gt;1)),"work",(INDEX(Subject!$A:$I,MATCH(RANDBETWEEN(1,(MAX(Subject!$B:$B))),Subject!$B:$B,0),3))))</f>
        <v/>
      </c>
      <c r="G341" s="2" t="str">
        <f t="array" ref="G341">IF(NOW()&gt;AR341,"",IF(AND((WEEKDAY($A341)+$B$2)&gt;1,((WEEKDAY($A341)+$T$2)&lt;7),(WEEKDAY($A341)&lt;&gt;1)),"work",(INDEX(Subject!$A:$I,MATCH(RANDBETWEEN(1,(MAX(Subject!$B:$B))),Subject!$B:$B,0),3))))</f>
        <v/>
      </c>
      <c r="H341" s="2" t="str">
        <f t="array" ref="H341">IF(NOW()&gt;AS341,"",IF(AND((WEEKDAY($A341)+$B$2)&gt;1,((WEEKDAY($A341)+$T$2)&lt;7),(WEEKDAY($A341)&lt;&gt;1)),"work",(INDEX(Subject!$A:$I,MATCH(RANDBETWEEN(1,(MAX(Subject!$B:$B))),Subject!$B:$B,0),3))))</f>
        <v/>
      </c>
      <c r="I341" s="2" t="str">
        <f t="array" ref="I341">IF(NOW()&gt;AT341,"",IF(AND((WEEKDAY($A341)+$B$2)&gt;1,((WEEKDAY($A341)+$T$2)&lt;7),(WEEKDAY($A341)&lt;&gt;1)),"work",(INDEX(Subject!$A:$I,MATCH(RANDBETWEEN(1,(MAX(Subject!$B:$B))),Subject!$B:$B,0),3))))</f>
        <v/>
      </c>
      <c r="J341" s="2" t="str">
        <f t="array" ref="J341">IF(NOW()&gt;AU341,"",IF(AND((WEEKDAY($A341)+$B$2)&gt;1,((WEEKDAY($A341)+$T$2)&lt;7),(WEEKDAY($A341)&lt;&gt;1)),"work",(INDEX(Subject!$A:$I,MATCH(RANDBETWEEN(1,(MAX(Subject!$B:$B))),Subject!$B:$B,0),3))))</f>
        <v/>
      </c>
      <c r="K341" s="2" t="str">
        <f t="array" ref="K341">IF(NOW()&gt;AV341,"",IF(AND((WEEKDAY($A341)+$B$2)&gt;1,((WEEKDAY($A341)+$T$2)&lt;7),(WEEKDAY($A341)&lt;&gt;1)),"work",(INDEX(Subject!$A:$I,MATCH(RANDBETWEEN(1,(MAX(Subject!$B:$B))),Subject!$B:$B,0),3))))</f>
        <v/>
      </c>
      <c r="L341" s="2" t="str">
        <f t="array" ref="L341">IF(NOW()&gt;AW341,"",IF(AND((WEEKDAY($A341)+$B$2)&gt;1,((WEEKDAY($A341)+$T$2)&lt;7),(WEEKDAY($A341)&lt;&gt;1)),"work",(INDEX(Subject!$A:$I,MATCH(RANDBETWEEN(1,(MAX(Subject!$B:$B))),Subject!$B:$B,0),3))))</f>
        <v/>
      </c>
      <c r="M341" s="2" t="str">
        <f t="array" ref="M341">IF(NOW()&gt;AX341,"",IF(AND((WEEKDAY($A341)+$B$2)&gt;1,((WEEKDAY($A341)+$T$2)&lt;7),(WEEKDAY($A341)&lt;&gt;1)),"work",(INDEX(Subject!$A:$I,MATCH(RANDBETWEEN(1,(MAX(Subject!$B:$B))),Subject!$B:$B,0),3))))</f>
        <v/>
      </c>
      <c r="N341" s="2" t="str">
        <f t="array" ref="N341">IF(NOW()&gt;AY341,"",IF(AND((WEEKDAY($A341)+$B$2)&gt;1,((WEEKDAY($A341)+$T$2)&lt;7),(WEEKDAY($A341)&lt;&gt;1)),"work",(INDEX(Subject!$A:$I,MATCH(RANDBETWEEN(1,(MAX(Subject!$B:$B))),Subject!$B:$B,0),3))))</f>
        <v/>
      </c>
      <c r="O341" s="2" t="str">
        <f t="array" ref="O341">IF(NOW()&gt;AZ341,"",IF(AND((WEEKDAY($A341)+$B$2)&gt;1,((WEEKDAY($A341)+$T$2)&lt;7),(WEEKDAY($A341)&lt;&gt;1)),"work",(INDEX(Subject!$A:$I,MATCH(RANDBETWEEN(1,(MAX(Subject!$B:$B))),Subject!$B:$B,0),3))))</f>
        <v/>
      </c>
      <c r="P341" s="2" t="str">
        <f t="array" ref="P341">IF(NOW()&gt;BA341,"",IF(AND((WEEKDAY($A341)+$B$2)&gt;1,((WEEKDAY($A341)+$T$2)&lt;7),(WEEKDAY($A341)&lt;&gt;1)),"work",(INDEX(Subject!$A:$I,MATCH(RANDBETWEEN(1,(MAX(Subject!$B:$B))),Subject!$B:$B,0),3))))</f>
        <v/>
      </c>
      <c r="Q341" s="2" t="str">
        <f t="array" ref="Q341">IF(NOW()&gt;BB341,"",IF(AND((WEEKDAY($A341)+$B$2)&gt;1,((WEEKDAY($A341)+$T$2)&lt;7),(WEEKDAY($A341)&lt;&gt;1)),"work",(INDEX(Subject!$A:$I,MATCH(RANDBETWEEN(1,(MAX(Subject!$B:$B))),Subject!$B:$B,0),3))))</f>
        <v/>
      </c>
      <c r="R341" s="2" t="str">
        <f t="array" ref="R341">IF(NOW()&gt;BC341,"",IF(AND((WEEKDAY($A341)+$B$2)&gt;1,((WEEKDAY($A341)+$T$2)&lt;7),(WEEKDAY($A341)&lt;&gt;1)),"work",(INDEX(Subject!$A:$I,MATCH(RANDBETWEEN(1,(MAX(Subject!$B:$B))),Subject!$B:$B,0),3))))</f>
        <v/>
      </c>
      <c r="S341" s="2" t="str">
        <f t="array" ref="S341">IF(NOW()&gt;BD341,"",IF(AND((WEEKDAY($A341)+$B$2)&gt;1,((WEEKDAY($A341)+$T$2)&lt;7),(WEEKDAY($A341)&lt;&gt;1)),"work",(INDEX(Subject!$A:$I,MATCH(RANDBETWEEN(1,(MAX(Subject!$B:$B))),Subject!$B:$B,0),3))))</f>
        <v/>
      </c>
      <c r="T341" s="2" t="str">
        <f t="array" ref="T341">IF(NOW()&gt;BE341,"",IF(AND((WEEKDAY($A341)+$B$2)&gt;1,((WEEKDAY($A341)+$T$2)&lt;7),(WEEKDAY($A341)&lt;&gt;1)),"work",(INDEX(Subject!$A:$I,MATCH(RANDBETWEEN(1,(MAX(Subject!$B:$B))),Subject!$B:$B,0),3))))</f>
        <v/>
      </c>
      <c r="U341" s="8" t="str">
        <f t="array" ref="U341">INDEX(Subject!$A:$I,MATCH(RANDBETWEEN(1,16),Subject!$B:$B,0),3)</f>
        <v>#N/A</v>
      </c>
      <c r="V341" s="8" t="str">
        <f t="array" ref="V341">INDEX(Subject!$A:$I,MATCH(RANDBETWEEN(1,16),Subject!$B:$B,0),3)</f>
        <v>#N/A</v>
      </c>
      <c r="W341" s="8" t="str">
        <f t="array" ref="W341">INDEX(Subject!$A:$I,MATCH(RANDBETWEEN(1,16),Subject!$B:$B,0),3)</f>
        <v>#N/A</v>
      </c>
      <c r="X341" s="8" t="str">
        <f t="array" ref="X341">INDEX(Subject!$A:$I,MATCH(RANDBETWEEN(1,16),Subject!$B:$B,0),3)</f>
        <v>#N/A</v>
      </c>
      <c r="Y341" s="8" t="str">
        <f t="array" ref="Y341">INDEX(Subject!$A:$I,MATCH(RANDBETWEEN(1,16),Subject!$B:$B,0),3)</f>
        <v>#N/A</v>
      </c>
      <c r="Z341" s="8" t="str">
        <f t="array" ref="Z341">INDEX(Subject!$A:$I,MATCH(RANDBETWEEN(1,16),Subject!$B:$B,0),3)</f>
        <v>#N/A</v>
      </c>
      <c r="AA341" s="8" t="str">
        <f t="array" ref="AA341">INDEX(Subject!$A:$I,MATCH(RANDBETWEEN(1,16),Subject!$B:$B,0),3)</f>
        <v>#N/A</v>
      </c>
      <c r="AB341" s="8" t="str">
        <f t="array" ref="AB341">INDEX(Subject!$A:$I,MATCH(RANDBETWEEN(1,16),Subject!$B:$B,0),3)</f>
        <v>#N/A</v>
      </c>
      <c r="AC341" s="8" t="str">
        <f t="array" ref="AC341">INDEX(Subject!$A:$I,MATCH(RANDBETWEEN(1,16),Subject!$B:$B,0),3)</f>
        <v>#N/A</v>
      </c>
      <c r="AD341" s="8" t="str">
        <f t="array" ref="AD341">INDEX(Subject!$A:$I,MATCH(RANDBETWEEN(1,16),Subject!$B:$B,0),3)</f>
        <v>#N/A</v>
      </c>
      <c r="AE341" s="8" t="str">
        <f t="array" ref="AE341">INDEX(Subject!$A:$I,MATCH(RANDBETWEEN(1,16),Subject!$B:$B,0),3)</f>
        <v>#N/A</v>
      </c>
      <c r="AF341" s="8" t="str">
        <f t="array" ref="AF341">INDEX(Subject!$A:$I,MATCH(RANDBETWEEN(1,16),Subject!$B:$B,0),3)</f>
        <v>#N/A</v>
      </c>
      <c r="AG341" s="8" t="str">
        <f t="array" ref="AG341">INDEX(Subject!$A:$I,MATCH(RANDBETWEEN(1,16),Subject!$B:$B,0),3)</f>
        <v>#N/A</v>
      </c>
      <c r="AH341" s="8" t="str">
        <f t="array" ref="AH341">INDEX(Subject!$A:$I,MATCH(RANDBETWEEN(1,16),Subject!$B:$B,0),3)</f>
        <v>#N/A</v>
      </c>
      <c r="AI341" s="8" t="str">
        <f t="array" ref="AI341">INDEX(Subject!$A:$I,MATCH(RANDBETWEEN(1,16),Subject!$B:$B,0),3)</f>
        <v>#N/A</v>
      </c>
      <c r="AJ341" s="8" t="str">
        <f t="array" ref="AJ341">INDEX(Subject!$A:$I,MATCH(RANDBETWEEN(1,16),Subject!$B:$B,0),3)</f>
        <v>#N/A</v>
      </c>
      <c r="AK341" s="8" t="str">
        <f t="array" ref="AK341">INDEX(Subject!$A:$I,MATCH(RANDBETWEEN(1,16),Subject!$B:$B,0),3)</f>
        <v>#N/A</v>
      </c>
      <c r="AL341" s="8" t="str">
        <f t="array" ref="AL341">INDEX(Subject!$A:$I,MATCH(RANDBETWEEN(1,16),Subject!$B:$B,0),3)</f>
        <v>#N/A</v>
      </c>
      <c r="AM341" s="18">
        <f t="shared" si="4"/>
        <v>45841.33333</v>
      </c>
      <c r="AN341" s="19">
        <f t="shared" ref="AN341:BZ341" si="341">$A341+C$1</f>
        <v>45841.35417</v>
      </c>
      <c r="AO341" s="19">
        <f t="shared" si="341"/>
        <v>45841.375</v>
      </c>
      <c r="AP341" s="19">
        <f t="shared" si="341"/>
        <v>45841.39583</v>
      </c>
      <c r="AQ341" s="19">
        <f t="shared" si="341"/>
        <v>45841.41667</v>
      </c>
      <c r="AR341" s="19">
        <f t="shared" si="341"/>
        <v>45841.4375</v>
      </c>
      <c r="AS341" s="19">
        <f t="shared" si="341"/>
        <v>45841.45833</v>
      </c>
      <c r="AT341" s="19">
        <f t="shared" si="341"/>
        <v>45841.47917</v>
      </c>
      <c r="AU341" s="19">
        <f t="shared" si="341"/>
        <v>45841.5</v>
      </c>
      <c r="AV341" s="19">
        <f t="shared" si="341"/>
        <v>45841.52083</v>
      </c>
      <c r="AW341" s="19">
        <f t="shared" si="341"/>
        <v>45841.54167</v>
      </c>
      <c r="AX341" s="19">
        <f t="shared" si="341"/>
        <v>45841.5625</v>
      </c>
      <c r="AY341" s="19">
        <f t="shared" si="341"/>
        <v>45841.58333</v>
      </c>
      <c r="AZ341" s="19">
        <f t="shared" si="341"/>
        <v>45841.60417</v>
      </c>
      <c r="BA341" s="19">
        <f t="shared" si="341"/>
        <v>45841.625</v>
      </c>
      <c r="BB341" s="19">
        <f t="shared" si="341"/>
        <v>45841.64583</v>
      </c>
      <c r="BC341" s="19">
        <f t="shared" si="341"/>
        <v>45841.66667</v>
      </c>
      <c r="BD341" s="19">
        <f t="shared" si="341"/>
        <v>45841.6875</v>
      </c>
      <c r="BE341" s="19">
        <f t="shared" si="341"/>
        <v>45841.70833</v>
      </c>
      <c r="BF341" s="19">
        <f t="shared" si="341"/>
        <v>45841.72917</v>
      </c>
      <c r="BG341" s="19">
        <f t="shared" si="341"/>
        <v>45841.75</v>
      </c>
      <c r="BH341" s="19">
        <f t="shared" si="341"/>
        <v>45841.77083</v>
      </c>
      <c r="BI341" s="19">
        <f t="shared" si="341"/>
        <v>45841.79167</v>
      </c>
      <c r="BJ341" s="19">
        <f t="shared" si="341"/>
        <v>45841.8125</v>
      </c>
      <c r="BK341" s="19">
        <f t="shared" si="341"/>
        <v>45841.83333</v>
      </c>
      <c r="BL341" s="19">
        <f t="shared" si="341"/>
        <v>45841.85417</v>
      </c>
      <c r="BM341" s="19">
        <f t="shared" si="341"/>
        <v>45841.875</v>
      </c>
      <c r="BN341" s="19">
        <f t="shared" si="341"/>
        <v>45841.89583</v>
      </c>
      <c r="BO341" s="19">
        <f t="shared" si="341"/>
        <v>45841.91667</v>
      </c>
      <c r="BP341" s="19">
        <f t="shared" si="341"/>
        <v>45841.9375</v>
      </c>
      <c r="BQ341" s="19">
        <f t="shared" si="341"/>
        <v>45841.95833</v>
      </c>
      <c r="BR341" s="19">
        <f t="shared" si="341"/>
        <v>45841.97917</v>
      </c>
      <c r="BS341" s="19">
        <f t="shared" si="341"/>
        <v>45842</v>
      </c>
      <c r="BT341" s="19">
        <f t="shared" si="341"/>
        <v>45842.02083</v>
      </c>
      <c r="BU341" s="19">
        <f t="shared" si="341"/>
        <v>45842.04167</v>
      </c>
      <c r="BV341" s="19">
        <f t="shared" si="341"/>
        <v>45842.0625</v>
      </c>
      <c r="BW341" s="19">
        <f t="shared" si="341"/>
        <v>45842.08333</v>
      </c>
      <c r="BX341" s="19">
        <f t="shared" si="341"/>
        <v>45841</v>
      </c>
      <c r="BY341" s="19">
        <f t="shared" si="341"/>
        <v>45841</v>
      </c>
      <c r="BZ341" s="19">
        <f t="shared" si="341"/>
        <v>45841</v>
      </c>
    </row>
    <row r="342" ht="14.25" customHeight="1">
      <c r="A342" s="17">
        <v>45842.0</v>
      </c>
      <c r="B342" s="2" t="str">
        <f t="array" ref="B342">IF(NOW()&gt;AM342,"",IF(AND((WEEKDAY($A342)+$B$2)&gt;1,((WEEKDAY($A342)+$T$2)&lt;7),(WEEKDAY($A342)&lt;&gt;1)),"work",(INDEX(Subject!$A:$I,MATCH(RANDBETWEEN(1,(MAX(Subject!$B:$B))),Subject!$B:$B,0),3))))</f>
        <v/>
      </c>
      <c r="C342" s="2" t="str">
        <f t="array" ref="C342">IF(NOW()&gt;AN342,"",IF(AND((WEEKDAY($A342)+$B$2)&gt;1,((WEEKDAY($A342)+$T$2)&lt;7),(WEEKDAY($A342)&lt;&gt;1)),"work",(INDEX(Subject!$A:$I,MATCH(RANDBETWEEN(1,(MAX(Subject!$B:$B))),Subject!$B:$B,0),3))))</f>
        <v/>
      </c>
      <c r="D342" s="2" t="str">
        <f t="array" ref="D342">IF(NOW()&gt;AO342,"",IF(AND((WEEKDAY($A342)+$B$2)&gt;1,((WEEKDAY($A342)+$T$2)&lt;7),(WEEKDAY($A342)&lt;&gt;1)),"work",(INDEX(Subject!$A:$I,MATCH(RANDBETWEEN(1,(MAX(Subject!$B:$B))),Subject!$B:$B,0),3))))</f>
        <v/>
      </c>
      <c r="E342" s="2" t="str">
        <f t="array" ref="E342">IF(NOW()&gt;AP342,"",IF(AND((WEEKDAY($A342)+$B$2)&gt;1,((WEEKDAY($A342)+$T$2)&lt;7),(WEEKDAY($A342)&lt;&gt;1)),"work",(INDEX(Subject!$A:$I,MATCH(RANDBETWEEN(1,(MAX(Subject!$B:$B))),Subject!$B:$B,0),3))))</f>
        <v/>
      </c>
      <c r="F342" s="2" t="str">
        <f t="array" ref="F342">IF(NOW()&gt;AQ342,"",IF(AND((WEEKDAY($A342)+$B$2)&gt;1,((WEEKDAY($A342)+$T$2)&lt;7),(WEEKDAY($A342)&lt;&gt;1)),"work",(INDEX(Subject!$A:$I,MATCH(RANDBETWEEN(1,(MAX(Subject!$B:$B))),Subject!$B:$B,0),3))))</f>
        <v/>
      </c>
      <c r="G342" s="2" t="str">
        <f t="array" ref="G342">IF(NOW()&gt;AR342,"",IF(AND((WEEKDAY($A342)+$B$2)&gt;1,((WEEKDAY($A342)+$T$2)&lt;7),(WEEKDAY($A342)&lt;&gt;1)),"work",(INDEX(Subject!$A:$I,MATCH(RANDBETWEEN(1,(MAX(Subject!$B:$B))),Subject!$B:$B,0),3))))</f>
        <v/>
      </c>
      <c r="H342" s="2" t="str">
        <f t="array" ref="H342">IF(NOW()&gt;AS342,"",IF(AND((WEEKDAY($A342)+$B$2)&gt;1,((WEEKDAY($A342)+$T$2)&lt;7),(WEEKDAY($A342)&lt;&gt;1)),"work",(INDEX(Subject!$A:$I,MATCH(RANDBETWEEN(1,(MAX(Subject!$B:$B))),Subject!$B:$B,0),3))))</f>
        <v/>
      </c>
      <c r="I342" s="2" t="str">
        <f t="array" ref="I342">IF(NOW()&gt;AT342,"",IF(AND((WEEKDAY($A342)+$B$2)&gt;1,((WEEKDAY($A342)+$T$2)&lt;7),(WEEKDAY($A342)&lt;&gt;1)),"work",(INDEX(Subject!$A:$I,MATCH(RANDBETWEEN(1,(MAX(Subject!$B:$B))),Subject!$B:$B,0),3))))</f>
        <v/>
      </c>
      <c r="J342" s="2" t="str">
        <f t="array" ref="J342">IF(NOW()&gt;AU342,"",IF(AND((WEEKDAY($A342)+$B$2)&gt;1,((WEEKDAY($A342)+$T$2)&lt;7),(WEEKDAY($A342)&lt;&gt;1)),"work",(INDEX(Subject!$A:$I,MATCH(RANDBETWEEN(1,(MAX(Subject!$B:$B))),Subject!$B:$B,0),3))))</f>
        <v/>
      </c>
      <c r="K342" s="2" t="str">
        <f t="array" ref="K342">IF(NOW()&gt;AV342,"",IF(AND((WEEKDAY($A342)+$B$2)&gt;1,((WEEKDAY($A342)+$T$2)&lt;7),(WEEKDAY($A342)&lt;&gt;1)),"work",(INDEX(Subject!$A:$I,MATCH(RANDBETWEEN(1,(MAX(Subject!$B:$B))),Subject!$B:$B,0),3))))</f>
        <v/>
      </c>
      <c r="L342" s="2" t="str">
        <f t="array" ref="L342">IF(NOW()&gt;AW342,"",IF(AND((WEEKDAY($A342)+$B$2)&gt;1,((WEEKDAY($A342)+$T$2)&lt;7),(WEEKDAY($A342)&lt;&gt;1)),"work",(INDEX(Subject!$A:$I,MATCH(RANDBETWEEN(1,(MAX(Subject!$B:$B))),Subject!$B:$B,0),3))))</f>
        <v/>
      </c>
      <c r="M342" s="2" t="str">
        <f t="array" ref="M342">IF(NOW()&gt;AX342,"",IF(AND((WEEKDAY($A342)+$B$2)&gt;1,((WEEKDAY($A342)+$T$2)&lt;7),(WEEKDAY($A342)&lt;&gt;1)),"work",(INDEX(Subject!$A:$I,MATCH(RANDBETWEEN(1,(MAX(Subject!$B:$B))),Subject!$B:$B,0),3))))</f>
        <v/>
      </c>
      <c r="N342" s="2" t="str">
        <f t="array" ref="N342">IF(NOW()&gt;AY342,"",IF(AND((WEEKDAY($A342)+$B$2)&gt;1,((WEEKDAY($A342)+$T$2)&lt;7),(WEEKDAY($A342)&lt;&gt;1)),"work",(INDEX(Subject!$A:$I,MATCH(RANDBETWEEN(1,(MAX(Subject!$B:$B))),Subject!$B:$B,0),3))))</f>
        <v/>
      </c>
      <c r="O342" s="2" t="str">
        <f t="array" ref="O342">IF(NOW()&gt;AZ342,"",IF(AND((WEEKDAY($A342)+$B$2)&gt;1,((WEEKDAY($A342)+$T$2)&lt;7),(WEEKDAY($A342)&lt;&gt;1)),"work",(INDEX(Subject!$A:$I,MATCH(RANDBETWEEN(1,(MAX(Subject!$B:$B))),Subject!$B:$B,0),3))))</f>
        <v/>
      </c>
      <c r="P342" s="2" t="str">
        <f t="array" ref="P342">IF(NOW()&gt;BA342,"",IF(AND((WEEKDAY($A342)+$B$2)&gt;1,((WEEKDAY($A342)+$T$2)&lt;7),(WEEKDAY($A342)&lt;&gt;1)),"work",(INDEX(Subject!$A:$I,MATCH(RANDBETWEEN(1,(MAX(Subject!$B:$B))),Subject!$B:$B,0),3))))</f>
        <v/>
      </c>
      <c r="Q342" s="2" t="str">
        <f t="array" ref="Q342">IF(NOW()&gt;BB342,"",IF(AND((WEEKDAY($A342)+$B$2)&gt;1,((WEEKDAY($A342)+$T$2)&lt;7),(WEEKDAY($A342)&lt;&gt;1)),"work",(INDEX(Subject!$A:$I,MATCH(RANDBETWEEN(1,(MAX(Subject!$B:$B))),Subject!$B:$B,0),3))))</f>
        <v/>
      </c>
      <c r="R342" s="2" t="str">
        <f t="array" ref="R342">IF(NOW()&gt;BC342,"",IF(AND((WEEKDAY($A342)+$B$2)&gt;1,((WEEKDAY($A342)+$T$2)&lt;7),(WEEKDAY($A342)&lt;&gt;1)),"work",(INDEX(Subject!$A:$I,MATCH(RANDBETWEEN(1,(MAX(Subject!$B:$B))),Subject!$B:$B,0),3))))</f>
        <v/>
      </c>
      <c r="S342" s="2" t="str">
        <f t="array" ref="S342">IF(NOW()&gt;BD342,"",IF(AND((WEEKDAY($A342)+$B$2)&gt;1,((WEEKDAY($A342)+$T$2)&lt;7),(WEEKDAY($A342)&lt;&gt;1)),"work",(INDEX(Subject!$A:$I,MATCH(RANDBETWEEN(1,(MAX(Subject!$B:$B))),Subject!$B:$B,0),3))))</f>
        <v/>
      </c>
      <c r="T342" s="2" t="str">
        <f t="array" ref="T342">IF(NOW()&gt;BE342,"",IF(AND((WEEKDAY($A342)+$B$2)&gt;1,((WEEKDAY($A342)+$T$2)&lt;7),(WEEKDAY($A342)&lt;&gt;1)),"work",(INDEX(Subject!$A:$I,MATCH(RANDBETWEEN(1,(MAX(Subject!$B:$B))),Subject!$B:$B,0),3))))</f>
        <v/>
      </c>
      <c r="U342" s="8" t="str">
        <f t="array" ref="U342">INDEX(Subject!$A:$I,MATCH(RANDBETWEEN(1,16),Subject!$B:$B,0),3)</f>
        <v>#N/A</v>
      </c>
      <c r="V342" s="8" t="str">
        <f t="array" ref="V342">INDEX(Subject!$A:$I,MATCH(RANDBETWEEN(1,16),Subject!$B:$B,0),3)</f>
        <v>#N/A</v>
      </c>
      <c r="W342" s="8" t="str">
        <f t="array" ref="W342">INDEX(Subject!$A:$I,MATCH(RANDBETWEEN(1,16),Subject!$B:$B,0),3)</f>
        <v/>
      </c>
      <c r="X342" s="8" t="str">
        <f t="array" ref="X342">INDEX(Subject!$A:$I,MATCH(RANDBETWEEN(1,16),Subject!$B:$B,0),3)</f>
        <v>#N/A</v>
      </c>
      <c r="Y342" s="8" t="str">
        <f t="array" ref="Y342">INDEX(Subject!$A:$I,MATCH(RANDBETWEEN(1,16),Subject!$B:$B,0),3)</f>
        <v>#N/A</v>
      </c>
      <c r="Z342" s="8" t="str">
        <f t="array" ref="Z342">INDEX(Subject!$A:$I,MATCH(RANDBETWEEN(1,16),Subject!$B:$B,0),3)</f>
        <v>#N/A</v>
      </c>
      <c r="AA342" s="8" t="str">
        <f t="array" ref="AA342">INDEX(Subject!$A:$I,MATCH(RANDBETWEEN(1,16),Subject!$B:$B,0),3)</f>
        <v>#N/A</v>
      </c>
      <c r="AB342" s="8" t="str">
        <f t="array" ref="AB342">INDEX(Subject!$A:$I,MATCH(RANDBETWEEN(1,16),Subject!$B:$B,0),3)</f>
        <v>#N/A</v>
      </c>
      <c r="AC342" s="8" t="str">
        <f t="array" ref="AC342">INDEX(Subject!$A:$I,MATCH(RANDBETWEEN(1,16),Subject!$B:$B,0),3)</f>
        <v>#N/A</v>
      </c>
      <c r="AD342" s="8" t="str">
        <f t="array" ref="AD342">INDEX(Subject!$A:$I,MATCH(RANDBETWEEN(1,16),Subject!$B:$B,0),3)</f>
        <v>#N/A</v>
      </c>
      <c r="AE342" s="8" t="str">
        <f t="array" ref="AE342">INDEX(Subject!$A:$I,MATCH(RANDBETWEEN(1,16),Subject!$B:$B,0),3)</f>
        <v>#N/A</v>
      </c>
      <c r="AF342" s="8" t="str">
        <f t="array" ref="AF342">INDEX(Subject!$A:$I,MATCH(RANDBETWEEN(1,16),Subject!$B:$B,0),3)</f>
        <v/>
      </c>
      <c r="AG342" s="8" t="str">
        <f t="array" ref="AG342">INDEX(Subject!$A:$I,MATCH(RANDBETWEEN(1,16),Subject!$B:$B,0),3)</f>
        <v/>
      </c>
      <c r="AH342" s="8" t="str">
        <f t="array" ref="AH342">INDEX(Subject!$A:$I,MATCH(RANDBETWEEN(1,16),Subject!$B:$B,0),3)</f>
        <v>#N/A</v>
      </c>
      <c r="AI342" s="8" t="str">
        <f t="array" ref="AI342">INDEX(Subject!$A:$I,MATCH(RANDBETWEEN(1,16),Subject!$B:$B,0),3)</f>
        <v>#N/A</v>
      </c>
      <c r="AJ342" s="8" t="str">
        <f t="array" ref="AJ342">INDEX(Subject!$A:$I,MATCH(RANDBETWEEN(1,16),Subject!$B:$B,0),3)</f>
        <v>#N/A</v>
      </c>
      <c r="AK342" s="8" t="str">
        <f t="array" ref="AK342">INDEX(Subject!$A:$I,MATCH(RANDBETWEEN(1,16),Subject!$B:$B,0),3)</f>
        <v>#N/A</v>
      </c>
      <c r="AL342" s="8" t="str">
        <f t="array" ref="AL342">INDEX(Subject!$A:$I,MATCH(RANDBETWEEN(1,16),Subject!$B:$B,0),3)</f>
        <v>#N/A</v>
      </c>
      <c r="AM342" s="18">
        <f t="shared" si="4"/>
        <v>45842.33333</v>
      </c>
      <c r="AN342" s="19">
        <f t="shared" ref="AN342:BZ342" si="342">$A342+C$1</f>
        <v>45842.35417</v>
      </c>
      <c r="AO342" s="19">
        <f t="shared" si="342"/>
        <v>45842.375</v>
      </c>
      <c r="AP342" s="19">
        <f t="shared" si="342"/>
        <v>45842.39583</v>
      </c>
      <c r="AQ342" s="19">
        <f t="shared" si="342"/>
        <v>45842.41667</v>
      </c>
      <c r="AR342" s="19">
        <f t="shared" si="342"/>
        <v>45842.4375</v>
      </c>
      <c r="AS342" s="19">
        <f t="shared" si="342"/>
        <v>45842.45833</v>
      </c>
      <c r="AT342" s="19">
        <f t="shared" si="342"/>
        <v>45842.47917</v>
      </c>
      <c r="AU342" s="19">
        <f t="shared" si="342"/>
        <v>45842.5</v>
      </c>
      <c r="AV342" s="19">
        <f t="shared" si="342"/>
        <v>45842.52083</v>
      </c>
      <c r="AW342" s="19">
        <f t="shared" si="342"/>
        <v>45842.54167</v>
      </c>
      <c r="AX342" s="19">
        <f t="shared" si="342"/>
        <v>45842.5625</v>
      </c>
      <c r="AY342" s="19">
        <f t="shared" si="342"/>
        <v>45842.58333</v>
      </c>
      <c r="AZ342" s="19">
        <f t="shared" si="342"/>
        <v>45842.60417</v>
      </c>
      <c r="BA342" s="19">
        <f t="shared" si="342"/>
        <v>45842.625</v>
      </c>
      <c r="BB342" s="19">
        <f t="shared" si="342"/>
        <v>45842.64583</v>
      </c>
      <c r="BC342" s="19">
        <f t="shared" si="342"/>
        <v>45842.66667</v>
      </c>
      <c r="BD342" s="19">
        <f t="shared" si="342"/>
        <v>45842.6875</v>
      </c>
      <c r="BE342" s="19">
        <f t="shared" si="342"/>
        <v>45842.70833</v>
      </c>
      <c r="BF342" s="19">
        <f t="shared" si="342"/>
        <v>45842.72917</v>
      </c>
      <c r="BG342" s="19">
        <f t="shared" si="342"/>
        <v>45842.75</v>
      </c>
      <c r="BH342" s="19">
        <f t="shared" si="342"/>
        <v>45842.77083</v>
      </c>
      <c r="BI342" s="19">
        <f t="shared" si="342"/>
        <v>45842.79167</v>
      </c>
      <c r="BJ342" s="19">
        <f t="shared" si="342"/>
        <v>45842.8125</v>
      </c>
      <c r="BK342" s="19">
        <f t="shared" si="342"/>
        <v>45842.83333</v>
      </c>
      <c r="BL342" s="19">
        <f t="shared" si="342"/>
        <v>45842.85417</v>
      </c>
      <c r="BM342" s="19">
        <f t="shared" si="342"/>
        <v>45842.875</v>
      </c>
      <c r="BN342" s="19">
        <f t="shared" si="342"/>
        <v>45842.89583</v>
      </c>
      <c r="BO342" s="19">
        <f t="shared" si="342"/>
        <v>45842.91667</v>
      </c>
      <c r="BP342" s="19">
        <f t="shared" si="342"/>
        <v>45842.9375</v>
      </c>
      <c r="BQ342" s="19">
        <f t="shared" si="342"/>
        <v>45842.95833</v>
      </c>
      <c r="BR342" s="19">
        <f t="shared" si="342"/>
        <v>45842.97917</v>
      </c>
      <c r="BS342" s="19">
        <f t="shared" si="342"/>
        <v>45843</v>
      </c>
      <c r="BT342" s="19">
        <f t="shared" si="342"/>
        <v>45843.02083</v>
      </c>
      <c r="BU342" s="19">
        <f t="shared" si="342"/>
        <v>45843.04167</v>
      </c>
      <c r="BV342" s="19">
        <f t="shared" si="342"/>
        <v>45843.0625</v>
      </c>
      <c r="BW342" s="19">
        <f t="shared" si="342"/>
        <v>45843.08333</v>
      </c>
      <c r="BX342" s="19">
        <f t="shared" si="342"/>
        <v>45842</v>
      </c>
      <c r="BY342" s="19">
        <f t="shared" si="342"/>
        <v>45842</v>
      </c>
      <c r="BZ342" s="19">
        <f t="shared" si="342"/>
        <v>45842</v>
      </c>
    </row>
    <row r="343" ht="14.25" customHeight="1">
      <c r="A343" s="17">
        <v>45843.0</v>
      </c>
      <c r="B343" s="2" t="str">
        <f t="array" ref="B343">IF(NOW()&gt;AM343,"",IF(AND((WEEKDAY($A343)+$B$2)&gt;1,((WEEKDAY($A343)+$T$2)&lt;7),(WEEKDAY($A343)&lt;&gt;1)),"work",(INDEX(Subject!$A:$I,MATCH(RANDBETWEEN(1,(MAX(Subject!$B:$B))),Subject!$B:$B,0),3))))</f>
        <v/>
      </c>
      <c r="C343" s="2" t="str">
        <f t="array" ref="C343">IF(NOW()&gt;AN343,"",IF(AND((WEEKDAY($A343)+$B$2)&gt;1,((WEEKDAY($A343)+$T$2)&lt;7),(WEEKDAY($A343)&lt;&gt;1)),"work",(INDEX(Subject!$A:$I,MATCH(RANDBETWEEN(1,(MAX(Subject!$B:$B))),Subject!$B:$B,0),3))))</f>
        <v/>
      </c>
      <c r="D343" s="2" t="str">
        <f t="array" ref="D343">IF(NOW()&gt;AO343,"",IF(AND((WEEKDAY($A343)+$B$2)&gt;1,((WEEKDAY($A343)+$T$2)&lt;7),(WEEKDAY($A343)&lt;&gt;1)),"work",(INDEX(Subject!$A:$I,MATCH(RANDBETWEEN(1,(MAX(Subject!$B:$B))),Subject!$B:$B,0),3))))</f>
        <v/>
      </c>
      <c r="E343" s="2" t="str">
        <f t="array" ref="E343">IF(NOW()&gt;AP343,"",IF(AND((WEEKDAY($A343)+$B$2)&gt;1,((WEEKDAY($A343)+$T$2)&lt;7),(WEEKDAY($A343)&lt;&gt;1)),"work",(INDEX(Subject!$A:$I,MATCH(RANDBETWEEN(1,(MAX(Subject!$B:$B))),Subject!$B:$B,0),3))))</f>
        <v/>
      </c>
      <c r="F343" s="2" t="str">
        <f t="array" ref="F343">IF(NOW()&gt;AQ343,"",IF(AND((WEEKDAY($A343)+$B$2)&gt;1,((WEEKDAY($A343)+$T$2)&lt;7),(WEEKDAY($A343)&lt;&gt;1)),"work",(INDEX(Subject!$A:$I,MATCH(RANDBETWEEN(1,(MAX(Subject!$B:$B))),Subject!$B:$B,0),3))))</f>
        <v/>
      </c>
      <c r="G343" s="2" t="str">
        <f t="array" ref="G343">IF(NOW()&gt;AR343,"",IF(AND((WEEKDAY($A343)+$B$2)&gt;1,((WEEKDAY($A343)+$T$2)&lt;7),(WEEKDAY($A343)&lt;&gt;1)),"work",(INDEX(Subject!$A:$I,MATCH(RANDBETWEEN(1,(MAX(Subject!$B:$B))),Subject!$B:$B,0),3))))</f>
        <v/>
      </c>
      <c r="H343" s="2" t="str">
        <f t="array" ref="H343">IF(NOW()&gt;AS343,"",IF(AND((WEEKDAY($A343)+$B$2)&gt;1,((WEEKDAY($A343)+$T$2)&lt;7),(WEEKDAY($A343)&lt;&gt;1)),"work",(INDEX(Subject!$A:$I,MATCH(RANDBETWEEN(1,(MAX(Subject!$B:$B))),Subject!$B:$B,0),3))))</f>
        <v/>
      </c>
      <c r="I343" s="2" t="str">
        <f t="array" ref="I343">IF(NOW()&gt;AT343,"",IF(AND((WEEKDAY($A343)+$B$2)&gt;1,((WEEKDAY($A343)+$T$2)&lt;7),(WEEKDAY($A343)&lt;&gt;1)),"work",(INDEX(Subject!$A:$I,MATCH(RANDBETWEEN(1,(MAX(Subject!$B:$B))),Subject!$B:$B,0),3))))</f>
        <v/>
      </c>
      <c r="J343" s="2" t="str">
        <f t="array" ref="J343">IF(NOW()&gt;AU343,"",IF(AND((WEEKDAY($A343)+$B$2)&gt;1,((WEEKDAY($A343)+$T$2)&lt;7),(WEEKDAY($A343)&lt;&gt;1)),"work",(INDEX(Subject!$A:$I,MATCH(RANDBETWEEN(1,(MAX(Subject!$B:$B))),Subject!$B:$B,0),3))))</f>
        <v/>
      </c>
      <c r="K343" s="2" t="str">
        <f t="array" ref="K343">IF(NOW()&gt;AV343,"",IF(AND((WEEKDAY($A343)+$B$2)&gt;1,((WEEKDAY($A343)+$T$2)&lt;7),(WEEKDAY($A343)&lt;&gt;1)),"work",(INDEX(Subject!$A:$I,MATCH(RANDBETWEEN(1,(MAX(Subject!$B:$B))),Subject!$B:$B,0),3))))</f>
        <v/>
      </c>
      <c r="L343" s="2" t="str">
        <f t="array" ref="L343">IF(NOW()&gt;AW343,"",IF(AND((WEEKDAY($A343)+$B$2)&gt;1,((WEEKDAY($A343)+$T$2)&lt;7),(WEEKDAY($A343)&lt;&gt;1)),"work",(INDEX(Subject!$A:$I,MATCH(RANDBETWEEN(1,(MAX(Subject!$B:$B))),Subject!$B:$B,0),3))))</f>
        <v/>
      </c>
      <c r="M343" s="2" t="str">
        <f t="array" ref="M343">IF(NOW()&gt;AX343,"",IF(AND((WEEKDAY($A343)+$B$2)&gt;1,((WEEKDAY($A343)+$T$2)&lt;7),(WEEKDAY($A343)&lt;&gt;1)),"work",(INDEX(Subject!$A:$I,MATCH(RANDBETWEEN(1,(MAX(Subject!$B:$B))),Subject!$B:$B,0),3))))</f>
        <v/>
      </c>
      <c r="N343" s="2" t="str">
        <f t="array" ref="N343">IF(NOW()&gt;AY343,"",IF(AND((WEEKDAY($A343)+$B$2)&gt;1,((WEEKDAY($A343)+$T$2)&lt;7),(WEEKDAY($A343)&lt;&gt;1)),"work",(INDEX(Subject!$A:$I,MATCH(RANDBETWEEN(1,(MAX(Subject!$B:$B))),Subject!$B:$B,0),3))))</f>
        <v/>
      </c>
      <c r="O343" s="2" t="str">
        <f t="array" ref="O343">IF(NOW()&gt;AZ343,"",IF(AND((WEEKDAY($A343)+$B$2)&gt;1,((WEEKDAY($A343)+$T$2)&lt;7),(WEEKDAY($A343)&lt;&gt;1)),"work",(INDEX(Subject!$A:$I,MATCH(RANDBETWEEN(1,(MAX(Subject!$B:$B))),Subject!$B:$B,0),3))))</f>
        <v/>
      </c>
      <c r="P343" s="2" t="str">
        <f t="array" ref="P343">IF(NOW()&gt;BA343,"",IF(AND((WEEKDAY($A343)+$B$2)&gt;1,((WEEKDAY($A343)+$T$2)&lt;7),(WEEKDAY($A343)&lt;&gt;1)),"work",(INDEX(Subject!$A:$I,MATCH(RANDBETWEEN(1,(MAX(Subject!$B:$B))),Subject!$B:$B,0),3))))</f>
        <v/>
      </c>
      <c r="Q343" s="2" t="str">
        <f t="array" ref="Q343">IF(NOW()&gt;BB343,"",IF(AND((WEEKDAY($A343)+$B$2)&gt;1,((WEEKDAY($A343)+$T$2)&lt;7),(WEEKDAY($A343)&lt;&gt;1)),"work",(INDEX(Subject!$A:$I,MATCH(RANDBETWEEN(1,(MAX(Subject!$B:$B))),Subject!$B:$B,0),3))))</f>
        <v/>
      </c>
      <c r="R343" s="2" t="str">
        <f t="array" ref="R343">IF(NOW()&gt;BC343,"",IF(AND((WEEKDAY($A343)+$B$2)&gt;1,((WEEKDAY($A343)+$T$2)&lt;7),(WEEKDAY($A343)&lt;&gt;1)),"work",(INDEX(Subject!$A:$I,MATCH(RANDBETWEEN(1,(MAX(Subject!$B:$B))),Subject!$B:$B,0),3))))</f>
        <v/>
      </c>
      <c r="S343" s="2" t="str">
        <f t="array" ref="S343">IF(NOW()&gt;BD343,"",IF(AND((WEEKDAY($A343)+$B$2)&gt;1,((WEEKDAY($A343)+$T$2)&lt;7),(WEEKDAY($A343)&lt;&gt;1)),"work",(INDEX(Subject!$A:$I,MATCH(RANDBETWEEN(1,(MAX(Subject!$B:$B))),Subject!$B:$B,0),3))))</f>
        <v/>
      </c>
      <c r="T343" s="2" t="str">
        <f t="array" ref="T343">IF(NOW()&gt;BE343,"",IF(AND((WEEKDAY($A343)+$B$2)&gt;1,((WEEKDAY($A343)+$T$2)&lt;7),(WEEKDAY($A343)&lt;&gt;1)),"work",(INDEX(Subject!$A:$I,MATCH(RANDBETWEEN(1,(MAX(Subject!$B:$B))),Subject!$B:$B,0),3))))</f>
        <v/>
      </c>
      <c r="U343" s="8" t="str">
        <f t="array" ref="U343">INDEX(Subject!$A:$I,MATCH(RANDBETWEEN(1,16),Subject!$B:$B,0),3)</f>
        <v>#N/A</v>
      </c>
      <c r="V343" s="8" t="str">
        <f t="array" ref="V343">INDEX(Subject!$A:$I,MATCH(RANDBETWEEN(1,16),Subject!$B:$B,0),3)</f>
        <v>#N/A</v>
      </c>
      <c r="W343" s="8" t="str">
        <f t="array" ref="W343">INDEX(Subject!$A:$I,MATCH(RANDBETWEEN(1,16),Subject!$B:$B,0),3)</f>
        <v>#N/A</v>
      </c>
      <c r="X343" s="8" t="str">
        <f t="array" ref="X343">INDEX(Subject!$A:$I,MATCH(RANDBETWEEN(1,16),Subject!$B:$B,0),3)</f>
        <v>#N/A</v>
      </c>
      <c r="Y343" s="8" t="str">
        <f t="array" ref="Y343">INDEX(Subject!$A:$I,MATCH(RANDBETWEEN(1,16),Subject!$B:$B,0),3)</f>
        <v>#N/A</v>
      </c>
      <c r="Z343" s="8" t="str">
        <f t="array" ref="Z343">INDEX(Subject!$A:$I,MATCH(RANDBETWEEN(1,16),Subject!$B:$B,0),3)</f>
        <v>#N/A</v>
      </c>
      <c r="AA343" s="8" t="str">
        <f t="array" ref="AA343">INDEX(Subject!$A:$I,MATCH(RANDBETWEEN(1,16),Subject!$B:$B,0),3)</f>
        <v>#N/A</v>
      </c>
      <c r="AB343" s="8" t="str">
        <f t="array" ref="AB343">INDEX(Subject!$A:$I,MATCH(RANDBETWEEN(1,16),Subject!$B:$B,0),3)</f>
        <v>#N/A</v>
      </c>
      <c r="AC343" s="8" t="str">
        <f t="array" ref="AC343">INDEX(Subject!$A:$I,MATCH(RANDBETWEEN(1,16),Subject!$B:$B,0),3)</f>
        <v>#N/A</v>
      </c>
      <c r="AD343" s="8" t="str">
        <f t="array" ref="AD343">INDEX(Subject!$A:$I,MATCH(RANDBETWEEN(1,16),Subject!$B:$B,0),3)</f>
        <v>#N/A</v>
      </c>
      <c r="AE343" s="8" t="str">
        <f t="array" ref="AE343">INDEX(Subject!$A:$I,MATCH(RANDBETWEEN(1,16),Subject!$B:$B,0),3)</f>
        <v>#N/A</v>
      </c>
      <c r="AF343" s="8" t="str">
        <f t="array" ref="AF343">INDEX(Subject!$A:$I,MATCH(RANDBETWEEN(1,16),Subject!$B:$B,0),3)</f>
        <v>#N/A</v>
      </c>
      <c r="AG343" s="8" t="str">
        <f t="array" ref="AG343">INDEX(Subject!$A:$I,MATCH(RANDBETWEEN(1,16),Subject!$B:$B,0),3)</f>
        <v>#N/A</v>
      </c>
      <c r="AH343" s="8" t="str">
        <f t="array" ref="AH343">INDEX(Subject!$A:$I,MATCH(RANDBETWEEN(1,16),Subject!$B:$B,0),3)</f>
        <v>#N/A</v>
      </c>
      <c r="AI343" s="8" t="str">
        <f t="array" ref="AI343">INDEX(Subject!$A:$I,MATCH(RANDBETWEEN(1,16),Subject!$B:$B,0),3)</f>
        <v>#N/A</v>
      </c>
      <c r="AJ343" s="8" t="str">
        <f t="array" ref="AJ343">INDEX(Subject!$A:$I,MATCH(RANDBETWEEN(1,16),Subject!$B:$B,0),3)</f>
        <v>#N/A</v>
      </c>
      <c r="AK343" s="8" t="str">
        <f t="array" ref="AK343">INDEX(Subject!$A:$I,MATCH(RANDBETWEEN(1,16),Subject!$B:$B,0),3)</f>
        <v>#N/A</v>
      </c>
      <c r="AL343" s="8" t="str">
        <f t="array" ref="AL343">INDEX(Subject!$A:$I,MATCH(RANDBETWEEN(1,16),Subject!$B:$B,0),3)</f>
        <v>#N/A</v>
      </c>
      <c r="AM343" s="18">
        <f t="shared" si="4"/>
        <v>45843.33333</v>
      </c>
      <c r="AN343" s="19">
        <f t="shared" ref="AN343:BZ343" si="343">$A343+C$1</f>
        <v>45843.35417</v>
      </c>
      <c r="AO343" s="19">
        <f t="shared" si="343"/>
        <v>45843.375</v>
      </c>
      <c r="AP343" s="19">
        <f t="shared" si="343"/>
        <v>45843.39583</v>
      </c>
      <c r="AQ343" s="19">
        <f t="shared" si="343"/>
        <v>45843.41667</v>
      </c>
      <c r="AR343" s="19">
        <f t="shared" si="343"/>
        <v>45843.4375</v>
      </c>
      <c r="AS343" s="19">
        <f t="shared" si="343"/>
        <v>45843.45833</v>
      </c>
      <c r="AT343" s="19">
        <f t="shared" si="343"/>
        <v>45843.47917</v>
      </c>
      <c r="AU343" s="19">
        <f t="shared" si="343"/>
        <v>45843.5</v>
      </c>
      <c r="AV343" s="19">
        <f t="shared" si="343"/>
        <v>45843.52083</v>
      </c>
      <c r="AW343" s="19">
        <f t="shared" si="343"/>
        <v>45843.54167</v>
      </c>
      <c r="AX343" s="19">
        <f t="shared" si="343"/>
        <v>45843.5625</v>
      </c>
      <c r="AY343" s="19">
        <f t="shared" si="343"/>
        <v>45843.58333</v>
      </c>
      <c r="AZ343" s="19">
        <f t="shared" si="343"/>
        <v>45843.60417</v>
      </c>
      <c r="BA343" s="19">
        <f t="shared" si="343"/>
        <v>45843.625</v>
      </c>
      <c r="BB343" s="19">
        <f t="shared" si="343"/>
        <v>45843.64583</v>
      </c>
      <c r="BC343" s="19">
        <f t="shared" si="343"/>
        <v>45843.66667</v>
      </c>
      <c r="BD343" s="19">
        <f t="shared" si="343"/>
        <v>45843.6875</v>
      </c>
      <c r="BE343" s="19">
        <f t="shared" si="343"/>
        <v>45843.70833</v>
      </c>
      <c r="BF343" s="19">
        <f t="shared" si="343"/>
        <v>45843.72917</v>
      </c>
      <c r="BG343" s="19">
        <f t="shared" si="343"/>
        <v>45843.75</v>
      </c>
      <c r="BH343" s="19">
        <f t="shared" si="343"/>
        <v>45843.77083</v>
      </c>
      <c r="BI343" s="19">
        <f t="shared" si="343"/>
        <v>45843.79167</v>
      </c>
      <c r="BJ343" s="19">
        <f t="shared" si="343"/>
        <v>45843.8125</v>
      </c>
      <c r="BK343" s="19">
        <f t="shared" si="343"/>
        <v>45843.83333</v>
      </c>
      <c r="BL343" s="19">
        <f t="shared" si="343"/>
        <v>45843.85417</v>
      </c>
      <c r="BM343" s="19">
        <f t="shared" si="343"/>
        <v>45843.875</v>
      </c>
      <c r="BN343" s="19">
        <f t="shared" si="343"/>
        <v>45843.89583</v>
      </c>
      <c r="BO343" s="19">
        <f t="shared" si="343"/>
        <v>45843.91667</v>
      </c>
      <c r="BP343" s="19">
        <f t="shared" si="343"/>
        <v>45843.9375</v>
      </c>
      <c r="BQ343" s="19">
        <f t="shared" si="343"/>
        <v>45843.95833</v>
      </c>
      <c r="BR343" s="19">
        <f t="shared" si="343"/>
        <v>45843.97917</v>
      </c>
      <c r="BS343" s="19">
        <f t="shared" si="343"/>
        <v>45844</v>
      </c>
      <c r="BT343" s="19">
        <f t="shared" si="343"/>
        <v>45844.02083</v>
      </c>
      <c r="BU343" s="19">
        <f t="shared" si="343"/>
        <v>45844.04167</v>
      </c>
      <c r="BV343" s="19">
        <f t="shared" si="343"/>
        <v>45844.0625</v>
      </c>
      <c r="BW343" s="19">
        <f t="shared" si="343"/>
        <v>45844.08333</v>
      </c>
      <c r="BX343" s="19">
        <f t="shared" si="343"/>
        <v>45843</v>
      </c>
      <c r="BY343" s="19">
        <f t="shared" si="343"/>
        <v>45843</v>
      </c>
      <c r="BZ343" s="19">
        <f t="shared" si="343"/>
        <v>45843</v>
      </c>
    </row>
    <row r="344" ht="14.25" customHeight="1">
      <c r="A344" s="17">
        <v>45844.0</v>
      </c>
      <c r="B344" s="2" t="str">
        <f t="array" ref="B344">IF(NOW()&gt;AM344,"",IF(AND((WEEKDAY($A344)+$B$2)&gt;1,((WEEKDAY($A344)+$T$2)&lt;7),(WEEKDAY($A344)&lt;&gt;1)),"work",(INDEX(Subject!$A:$I,MATCH(RANDBETWEEN(1,(MAX(Subject!$B:$B))),Subject!$B:$B,0),3))))</f>
        <v/>
      </c>
      <c r="C344" s="2" t="str">
        <f t="array" ref="C344">IF(NOW()&gt;AN344,"",IF(AND((WEEKDAY($A344)+$B$2)&gt;1,((WEEKDAY($A344)+$T$2)&lt;7),(WEEKDAY($A344)&lt;&gt;1)),"work",(INDEX(Subject!$A:$I,MATCH(RANDBETWEEN(1,(MAX(Subject!$B:$B))),Subject!$B:$B,0),3))))</f>
        <v/>
      </c>
      <c r="D344" s="2" t="str">
        <f t="array" ref="D344">IF(NOW()&gt;AO344,"",IF(AND((WEEKDAY($A344)+$B$2)&gt;1,((WEEKDAY($A344)+$T$2)&lt;7),(WEEKDAY($A344)&lt;&gt;1)),"work",(INDEX(Subject!$A:$I,MATCH(RANDBETWEEN(1,(MAX(Subject!$B:$B))),Subject!$B:$B,0),3))))</f>
        <v/>
      </c>
      <c r="E344" s="2" t="str">
        <f t="array" ref="E344">IF(NOW()&gt;AP344,"",IF(AND((WEEKDAY($A344)+$B$2)&gt;1,((WEEKDAY($A344)+$T$2)&lt;7),(WEEKDAY($A344)&lt;&gt;1)),"work",(INDEX(Subject!$A:$I,MATCH(RANDBETWEEN(1,(MAX(Subject!$B:$B))),Subject!$B:$B,0),3))))</f>
        <v/>
      </c>
      <c r="F344" s="2" t="str">
        <f t="array" ref="F344">IF(NOW()&gt;AQ344,"",IF(AND((WEEKDAY($A344)+$B$2)&gt;1,((WEEKDAY($A344)+$T$2)&lt;7),(WEEKDAY($A344)&lt;&gt;1)),"work",(INDEX(Subject!$A:$I,MATCH(RANDBETWEEN(1,(MAX(Subject!$B:$B))),Subject!$B:$B,0),3))))</f>
        <v/>
      </c>
      <c r="G344" s="2" t="str">
        <f t="array" ref="G344">IF(NOW()&gt;AR344,"",IF(AND((WEEKDAY($A344)+$B$2)&gt;1,((WEEKDAY($A344)+$T$2)&lt;7),(WEEKDAY($A344)&lt;&gt;1)),"work",(INDEX(Subject!$A:$I,MATCH(RANDBETWEEN(1,(MAX(Subject!$B:$B))),Subject!$B:$B,0),3))))</f>
        <v/>
      </c>
      <c r="H344" s="2" t="str">
        <f t="array" ref="H344">IF(NOW()&gt;AS344,"",IF(AND((WEEKDAY($A344)+$B$2)&gt;1,((WEEKDAY($A344)+$T$2)&lt;7),(WEEKDAY($A344)&lt;&gt;1)),"work",(INDEX(Subject!$A:$I,MATCH(RANDBETWEEN(1,(MAX(Subject!$B:$B))),Subject!$B:$B,0),3))))</f>
        <v/>
      </c>
      <c r="I344" s="2" t="str">
        <f t="array" ref="I344">IF(NOW()&gt;AT344,"",IF(AND((WEEKDAY($A344)+$B$2)&gt;1,((WEEKDAY($A344)+$T$2)&lt;7),(WEEKDAY($A344)&lt;&gt;1)),"work",(INDEX(Subject!$A:$I,MATCH(RANDBETWEEN(1,(MAX(Subject!$B:$B))),Subject!$B:$B,0),3))))</f>
        <v/>
      </c>
      <c r="J344" s="2" t="str">
        <f t="array" ref="J344">IF(NOW()&gt;AU344,"",IF(AND((WEEKDAY($A344)+$B$2)&gt;1,((WEEKDAY($A344)+$T$2)&lt;7),(WEEKDAY($A344)&lt;&gt;1)),"work",(INDEX(Subject!$A:$I,MATCH(RANDBETWEEN(1,(MAX(Subject!$B:$B))),Subject!$B:$B,0),3))))</f>
        <v/>
      </c>
      <c r="K344" s="2" t="str">
        <f t="array" ref="K344">IF(NOW()&gt;AV344,"",IF(AND((WEEKDAY($A344)+$B$2)&gt;1,((WEEKDAY($A344)+$T$2)&lt;7),(WEEKDAY($A344)&lt;&gt;1)),"work",(INDEX(Subject!$A:$I,MATCH(RANDBETWEEN(1,(MAX(Subject!$B:$B))),Subject!$B:$B,0),3))))</f>
        <v/>
      </c>
      <c r="L344" s="2" t="str">
        <f t="array" ref="L344">IF(NOW()&gt;AW344,"",IF(AND((WEEKDAY($A344)+$B$2)&gt;1,((WEEKDAY($A344)+$T$2)&lt;7),(WEEKDAY($A344)&lt;&gt;1)),"work",(INDEX(Subject!$A:$I,MATCH(RANDBETWEEN(1,(MAX(Subject!$B:$B))),Subject!$B:$B,0),3))))</f>
        <v/>
      </c>
      <c r="M344" s="2" t="str">
        <f t="array" ref="M344">IF(NOW()&gt;AX344,"",IF(AND((WEEKDAY($A344)+$B$2)&gt;1,((WEEKDAY($A344)+$T$2)&lt;7),(WEEKDAY($A344)&lt;&gt;1)),"work",(INDEX(Subject!$A:$I,MATCH(RANDBETWEEN(1,(MAX(Subject!$B:$B))),Subject!$B:$B,0),3))))</f>
        <v/>
      </c>
      <c r="N344" s="2" t="str">
        <f t="array" ref="N344">IF(NOW()&gt;AY344,"",IF(AND((WEEKDAY($A344)+$B$2)&gt;1,((WEEKDAY($A344)+$T$2)&lt;7),(WEEKDAY($A344)&lt;&gt;1)),"work",(INDEX(Subject!$A:$I,MATCH(RANDBETWEEN(1,(MAX(Subject!$B:$B))),Subject!$B:$B,0),3))))</f>
        <v/>
      </c>
      <c r="O344" s="2" t="str">
        <f t="array" ref="O344">IF(NOW()&gt;AZ344,"",IF(AND((WEEKDAY($A344)+$B$2)&gt;1,((WEEKDAY($A344)+$T$2)&lt;7),(WEEKDAY($A344)&lt;&gt;1)),"work",(INDEX(Subject!$A:$I,MATCH(RANDBETWEEN(1,(MAX(Subject!$B:$B))),Subject!$B:$B,0),3))))</f>
        <v/>
      </c>
      <c r="P344" s="2" t="str">
        <f t="array" ref="P344">IF(NOW()&gt;BA344,"",IF(AND((WEEKDAY($A344)+$B$2)&gt;1,((WEEKDAY($A344)+$T$2)&lt;7),(WEEKDAY($A344)&lt;&gt;1)),"work",(INDEX(Subject!$A:$I,MATCH(RANDBETWEEN(1,(MAX(Subject!$B:$B))),Subject!$B:$B,0),3))))</f>
        <v/>
      </c>
      <c r="Q344" s="2" t="str">
        <f t="array" ref="Q344">IF(NOW()&gt;BB344,"",IF(AND((WEEKDAY($A344)+$B$2)&gt;1,((WEEKDAY($A344)+$T$2)&lt;7),(WEEKDAY($A344)&lt;&gt;1)),"work",(INDEX(Subject!$A:$I,MATCH(RANDBETWEEN(1,(MAX(Subject!$B:$B))),Subject!$B:$B,0),3))))</f>
        <v/>
      </c>
      <c r="R344" s="2" t="str">
        <f t="array" ref="R344">IF(NOW()&gt;BC344,"",IF(AND((WEEKDAY($A344)+$B$2)&gt;1,((WEEKDAY($A344)+$T$2)&lt;7),(WEEKDAY($A344)&lt;&gt;1)),"work",(INDEX(Subject!$A:$I,MATCH(RANDBETWEEN(1,(MAX(Subject!$B:$B))),Subject!$B:$B,0),3))))</f>
        <v/>
      </c>
      <c r="S344" s="2" t="str">
        <f t="array" ref="S344">IF(NOW()&gt;BD344,"",IF(AND((WEEKDAY($A344)+$B$2)&gt;1,((WEEKDAY($A344)+$T$2)&lt;7),(WEEKDAY($A344)&lt;&gt;1)),"work",(INDEX(Subject!$A:$I,MATCH(RANDBETWEEN(1,(MAX(Subject!$B:$B))),Subject!$B:$B,0),3))))</f>
        <v/>
      </c>
      <c r="T344" s="2" t="str">
        <f t="array" ref="T344">IF(NOW()&gt;BE344,"",IF(AND((WEEKDAY($A344)+$B$2)&gt;1,((WEEKDAY($A344)+$T$2)&lt;7),(WEEKDAY($A344)&lt;&gt;1)),"work",(INDEX(Subject!$A:$I,MATCH(RANDBETWEEN(1,(MAX(Subject!$B:$B))),Subject!$B:$B,0),3))))</f>
        <v/>
      </c>
      <c r="U344" s="8" t="str">
        <f t="array" ref="U344">INDEX(Subject!$A:$I,MATCH(RANDBETWEEN(1,16),Subject!$B:$B,0),3)</f>
        <v>#N/A</v>
      </c>
      <c r="V344" s="8" t="str">
        <f t="array" ref="V344">INDEX(Subject!$A:$I,MATCH(RANDBETWEEN(1,16),Subject!$B:$B,0),3)</f>
        <v>#N/A</v>
      </c>
      <c r="W344" s="8" t="str">
        <f t="array" ref="W344">INDEX(Subject!$A:$I,MATCH(RANDBETWEEN(1,16),Subject!$B:$B,0),3)</f>
        <v>#N/A</v>
      </c>
      <c r="X344" s="8" t="str">
        <f t="array" ref="X344">INDEX(Subject!$A:$I,MATCH(RANDBETWEEN(1,16),Subject!$B:$B,0),3)</f>
        <v>#N/A</v>
      </c>
      <c r="Y344" s="8" t="str">
        <f t="array" ref="Y344">INDEX(Subject!$A:$I,MATCH(RANDBETWEEN(1,16),Subject!$B:$B,0),3)</f>
        <v>#N/A</v>
      </c>
      <c r="Z344" s="8" t="str">
        <f t="array" ref="Z344">INDEX(Subject!$A:$I,MATCH(RANDBETWEEN(1,16),Subject!$B:$B,0),3)</f>
        <v/>
      </c>
      <c r="AA344" s="8" t="str">
        <f t="array" ref="AA344">INDEX(Subject!$A:$I,MATCH(RANDBETWEEN(1,16),Subject!$B:$B,0),3)</f>
        <v>#N/A</v>
      </c>
      <c r="AB344" s="8" t="str">
        <f t="array" ref="AB344">INDEX(Subject!$A:$I,MATCH(RANDBETWEEN(1,16),Subject!$B:$B,0),3)</f>
        <v>#N/A</v>
      </c>
      <c r="AC344" s="8" t="str">
        <f t="array" ref="AC344">INDEX(Subject!$A:$I,MATCH(RANDBETWEEN(1,16),Subject!$B:$B,0),3)</f>
        <v>#N/A</v>
      </c>
      <c r="AD344" s="8" t="str">
        <f t="array" ref="AD344">INDEX(Subject!$A:$I,MATCH(RANDBETWEEN(1,16),Subject!$B:$B,0),3)</f>
        <v>#N/A</v>
      </c>
      <c r="AE344" s="8" t="str">
        <f t="array" ref="AE344">INDEX(Subject!$A:$I,MATCH(RANDBETWEEN(1,16),Subject!$B:$B,0),3)</f>
        <v>#N/A</v>
      </c>
      <c r="AF344" s="8" t="str">
        <f t="array" ref="AF344">INDEX(Subject!$A:$I,MATCH(RANDBETWEEN(1,16),Subject!$B:$B,0),3)</f>
        <v>#N/A</v>
      </c>
      <c r="AG344" s="8" t="str">
        <f t="array" ref="AG344">INDEX(Subject!$A:$I,MATCH(RANDBETWEEN(1,16),Subject!$B:$B,0),3)</f>
        <v>#N/A</v>
      </c>
      <c r="AH344" s="8" t="str">
        <f t="array" ref="AH344">INDEX(Subject!$A:$I,MATCH(RANDBETWEEN(1,16),Subject!$B:$B,0),3)</f>
        <v>#N/A</v>
      </c>
      <c r="AI344" s="8" t="str">
        <f t="array" ref="AI344">INDEX(Subject!$A:$I,MATCH(RANDBETWEEN(1,16),Subject!$B:$B,0),3)</f>
        <v>#N/A</v>
      </c>
      <c r="AJ344" s="8" t="str">
        <f t="array" ref="AJ344">INDEX(Subject!$A:$I,MATCH(RANDBETWEEN(1,16),Subject!$B:$B,0),3)</f>
        <v>#N/A</v>
      </c>
      <c r="AK344" s="8" t="str">
        <f t="array" ref="AK344">INDEX(Subject!$A:$I,MATCH(RANDBETWEEN(1,16),Subject!$B:$B,0),3)</f>
        <v>#N/A</v>
      </c>
      <c r="AL344" s="8" t="str">
        <f t="array" ref="AL344">INDEX(Subject!$A:$I,MATCH(RANDBETWEEN(1,16),Subject!$B:$B,0),3)</f>
        <v/>
      </c>
      <c r="AM344" s="18">
        <f t="shared" si="4"/>
        <v>45844.33333</v>
      </c>
      <c r="AN344" s="19">
        <f t="shared" ref="AN344:BZ344" si="344">$A344+C$1</f>
        <v>45844.35417</v>
      </c>
      <c r="AO344" s="19">
        <f t="shared" si="344"/>
        <v>45844.375</v>
      </c>
      <c r="AP344" s="19">
        <f t="shared" si="344"/>
        <v>45844.39583</v>
      </c>
      <c r="AQ344" s="19">
        <f t="shared" si="344"/>
        <v>45844.41667</v>
      </c>
      <c r="AR344" s="19">
        <f t="shared" si="344"/>
        <v>45844.4375</v>
      </c>
      <c r="AS344" s="19">
        <f t="shared" si="344"/>
        <v>45844.45833</v>
      </c>
      <c r="AT344" s="19">
        <f t="shared" si="344"/>
        <v>45844.47917</v>
      </c>
      <c r="AU344" s="19">
        <f t="shared" si="344"/>
        <v>45844.5</v>
      </c>
      <c r="AV344" s="19">
        <f t="shared" si="344"/>
        <v>45844.52083</v>
      </c>
      <c r="AW344" s="19">
        <f t="shared" si="344"/>
        <v>45844.54167</v>
      </c>
      <c r="AX344" s="19">
        <f t="shared" si="344"/>
        <v>45844.5625</v>
      </c>
      <c r="AY344" s="19">
        <f t="shared" si="344"/>
        <v>45844.58333</v>
      </c>
      <c r="AZ344" s="19">
        <f t="shared" si="344"/>
        <v>45844.60417</v>
      </c>
      <c r="BA344" s="19">
        <f t="shared" si="344"/>
        <v>45844.625</v>
      </c>
      <c r="BB344" s="19">
        <f t="shared" si="344"/>
        <v>45844.64583</v>
      </c>
      <c r="BC344" s="19">
        <f t="shared" si="344"/>
        <v>45844.66667</v>
      </c>
      <c r="BD344" s="19">
        <f t="shared" si="344"/>
        <v>45844.6875</v>
      </c>
      <c r="BE344" s="19">
        <f t="shared" si="344"/>
        <v>45844.70833</v>
      </c>
      <c r="BF344" s="19">
        <f t="shared" si="344"/>
        <v>45844.72917</v>
      </c>
      <c r="BG344" s="19">
        <f t="shared" si="344"/>
        <v>45844.75</v>
      </c>
      <c r="BH344" s="19">
        <f t="shared" si="344"/>
        <v>45844.77083</v>
      </c>
      <c r="BI344" s="19">
        <f t="shared" si="344"/>
        <v>45844.79167</v>
      </c>
      <c r="BJ344" s="19">
        <f t="shared" si="344"/>
        <v>45844.8125</v>
      </c>
      <c r="BK344" s="19">
        <f t="shared" si="344"/>
        <v>45844.83333</v>
      </c>
      <c r="BL344" s="19">
        <f t="shared" si="344"/>
        <v>45844.85417</v>
      </c>
      <c r="BM344" s="19">
        <f t="shared" si="344"/>
        <v>45844.875</v>
      </c>
      <c r="BN344" s="19">
        <f t="shared" si="344"/>
        <v>45844.89583</v>
      </c>
      <c r="BO344" s="19">
        <f t="shared" si="344"/>
        <v>45844.91667</v>
      </c>
      <c r="BP344" s="19">
        <f t="shared" si="344"/>
        <v>45844.9375</v>
      </c>
      <c r="BQ344" s="19">
        <f t="shared" si="344"/>
        <v>45844.95833</v>
      </c>
      <c r="BR344" s="19">
        <f t="shared" si="344"/>
        <v>45844.97917</v>
      </c>
      <c r="BS344" s="19">
        <f t="shared" si="344"/>
        <v>45845</v>
      </c>
      <c r="BT344" s="19">
        <f t="shared" si="344"/>
        <v>45845.02083</v>
      </c>
      <c r="BU344" s="19">
        <f t="shared" si="344"/>
        <v>45845.04167</v>
      </c>
      <c r="BV344" s="19">
        <f t="shared" si="344"/>
        <v>45845.0625</v>
      </c>
      <c r="BW344" s="19">
        <f t="shared" si="344"/>
        <v>45845.08333</v>
      </c>
      <c r="BX344" s="19">
        <f t="shared" si="344"/>
        <v>45844</v>
      </c>
      <c r="BY344" s="19">
        <f t="shared" si="344"/>
        <v>45844</v>
      </c>
      <c r="BZ344" s="19">
        <f t="shared" si="344"/>
        <v>45844</v>
      </c>
    </row>
    <row r="345" ht="14.25" customHeight="1">
      <c r="A345" s="17">
        <v>45845.0</v>
      </c>
      <c r="B345" s="2" t="str">
        <f t="array" ref="B345">IF(NOW()&gt;AM345,"",IF(AND((WEEKDAY($A345)+$B$2)&gt;1,((WEEKDAY($A345)+$T$2)&lt;7),(WEEKDAY($A345)&lt;&gt;1)),"work",(INDEX(Subject!$A:$I,MATCH(RANDBETWEEN(1,(MAX(Subject!$B:$B))),Subject!$B:$B,0),3))))</f>
        <v/>
      </c>
      <c r="C345" s="2" t="str">
        <f t="array" ref="C345">IF(NOW()&gt;AN345,"",IF(AND((WEEKDAY($A345)+$B$2)&gt;1,((WEEKDAY($A345)+$T$2)&lt;7),(WEEKDAY($A345)&lt;&gt;1)),"work",(INDEX(Subject!$A:$I,MATCH(RANDBETWEEN(1,(MAX(Subject!$B:$B))),Subject!$B:$B,0),3))))</f>
        <v/>
      </c>
      <c r="D345" s="2" t="str">
        <f t="array" ref="D345">IF(NOW()&gt;AO345,"",IF(AND((WEEKDAY($A345)+$B$2)&gt;1,((WEEKDAY($A345)+$T$2)&lt;7),(WEEKDAY($A345)&lt;&gt;1)),"work",(INDEX(Subject!$A:$I,MATCH(RANDBETWEEN(1,(MAX(Subject!$B:$B))),Subject!$B:$B,0),3))))</f>
        <v/>
      </c>
      <c r="E345" s="2" t="str">
        <f t="array" ref="E345">IF(NOW()&gt;AP345,"",IF(AND((WEEKDAY($A345)+$B$2)&gt;1,((WEEKDAY($A345)+$T$2)&lt;7),(WEEKDAY($A345)&lt;&gt;1)),"work",(INDEX(Subject!$A:$I,MATCH(RANDBETWEEN(1,(MAX(Subject!$B:$B))),Subject!$B:$B,0),3))))</f>
        <v/>
      </c>
      <c r="F345" s="2" t="str">
        <f t="array" ref="F345">IF(NOW()&gt;AQ345,"",IF(AND((WEEKDAY($A345)+$B$2)&gt;1,((WEEKDAY($A345)+$T$2)&lt;7),(WEEKDAY($A345)&lt;&gt;1)),"work",(INDEX(Subject!$A:$I,MATCH(RANDBETWEEN(1,(MAX(Subject!$B:$B))),Subject!$B:$B,0),3))))</f>
        <v/>
      </c>
      <c r="G345" s="2" t="str">
        <f t="array" ref="G345">IF(NOW()&gt;AR345,"",IF(AND((WEEKDAY($A345)+$B$2)&gt;1,((WEEKDAY($A345)+$T$2)&lt;7),(WEEKDAY($A345)&lt;&gt;1)),"work",(INDEX(Subject!$A:$I,MATCH(RANDBETWEEN(1,(MAX(Subject!$B:$B))),Subject!$B:$B,0),3))))</f>
        <v/>
      </c>
      <c r="H345" s="2" t="str">
        <f t="array" ref="H345">IF(NOW()&gt;AS345,"",IF(AND((WEEKDAY($A345)+$B$2)&gt;1,((WEEKDAY($A345)+$T$2)&lt;7),(WEEKDAY($A345)&lt;&gt;1)),"work",(INDEX(Subject!$A:$I,MATCH(RANDBETWEEN(1,(MAX(Subject!$B:$B))),Subject!$B:$B,0),3))))</f>
        <v/>
      </c>
      <c r="I345" s="2" t="str">
        <f t="array" ref="I345">IF(NOW()&gt;AT345,"",IF(AND((WEEKDAY($A345)+$B$2)&gt;1,((WEEKDAY($A345)+$T$2)&lt;7),(WEEKDAY($A345)&lt;&gt;1)),"work",(INDEX(Subject!$A:$I,MATCH(RANDBETWEEN(1,(MAX(Subject!$B:$B))),Subject!$B:$B,0),3))))</f>
        <v/>
      </c>
      <c r="J345" s="2" t="str">
        <f t="array" ref="J345">IF(NOW()&gt;AU345,"",IF(AND((WEEKDAY($A345)+$B$2)&gt;1,((WEEKDAY($A345)+$T$2)&lt;7),(WEEKDAY($A345)&lt;&gt;1)),"work",(INDEX(Subject!$A:$I,MATCH(RANDBETWEEN(1,(MAX(Subject!$B:$B))),Subject!$B:$B,0),3))))</f>
        <v/>
      </c>
      <c r="K345" s="2" t="str">
        <f t="array" ref="K345">IF(NOW()&gt;AV345,"",IF(AND((WEEKDAY($A345)+$B$2)&gt;1,((WEEKDAY($A345)+$T$2)&lt;7),(WEEKDAY($A345)&lt;&gt;1)),"work",(INDEX(Subject!$A:$I,MATCH(RANDBETWEEN(1,(MAX(Subject!$B:$B))),Subject!$B:$B,0),3))))</f>
        <v/>
      </c>
      <c r="L345" s="2" t="str">
        <f t="array" ref="L345">IF(NOW()&gt;AW345,"",IF(AND((WEEKDAY($A345)+$B$2)&gt;1,((WEEKDAY($A345)+$T$2)&lt;7),(WEEKDAY($A345)&lt;&gt;1)),"work",(INDEX(Subject!$A:$I,MATCH(RANDBETWEEN(1,(MAX(Subject!$B:$B))),Subject!$B:$B,0),3))))</f>
        <v/>
      </c>
      <c r="M345" s="2" t="str">
        <f t="array" ref="M345">IF(NOW()&gt;AX345,"",IF(AND((WEEKDAY($A345)+$B$2)&gt;1,((WEEKDAY($A345)+$T$2)&lt;7),(WEEKDAY($A345)&lt;&gt;1)),"work",(INDEX(Subject!$A:$I,MATCH(RANDBETWEEN(1,(MAX(Subject!$B:$B))),Subject!$B:$B,0),3))))</f>
        <v/>
      </c>
      <c r="N345" s="2" t="str">
        <f t="array" ref="N345">IF(NOW()&gt;AY345,"",IF(AND((WEEKDAY($A345)+$B$2)&gt;1,((WEEKDAY($A345)+$T$2)&lt;7),(WEEKDAY($A345)&lt;&gt;1)),"work",(INDEX(Subject!$A:$I,MATCH(RANDBETWEEN(1,(MAX(Subject!$B:$B))),Subject!$B:$B,0),3))))</f>
        <v/>
      </c>
      <c r="O345" s="2" t="str">
        <f t="array" ref="O345">IF(NOW()&gt;AZ345,"",IF(AND((WEEKDAY($A345)+$B$2)&gt;1,((WEEKDAY($A345)+$T$2)&lt;7),(WEEKDAY($A345)&lt;&gt;1)),"work",(INDEX(Subject!$A:$I,MATCH(RANDBETWEEN(1,(MAX(Subject!$B:$B))),Subject!$B:$B,0),3))))</f>
        <v/>
      </c>
      <c r="P345" s="2" t="str">
        <f t="array" ref="P345">IF(NOW()&gt;BA345,"",IF(AND((WEEKDAY($A345)+$B$2)&gt;1,((WEEKDAY($A345)+$T$2)&lt;7),(WEEKDAY($A345)&lt;&gt;1)),"work",(INDEX(Subject!$A:$I,MATCH(RANDBETWEEN(1,(MAX(Subject!$B:$B))),Subject!$B:$B,0),3))))</f>
        <v/>
      </c>
      <c r="Q345" s="2" t="str">
        <f t="array" ref="Q345">IF(NOW()&gt;BB345,"",IF(AND((WEEKDAY($A345)+$B$2)&gt;1,((WEEKDAY($A345)+$T$2)&lt;7),(WEEKDAY($A345)&lt;&gt;1)),"work",(INDEX(Subject!$A:$I,MATCH(RANDBETWEEN(1,(MAX(Subject!$B:$B))),Subject!$B:$B,0),3))))</f>
        <v/>
      </c>
      <c r="R345" s="2" t="str">
        <f t="array" ref="R345">IF(NOW()&gt;BC345,"",IF(AND((WEEKDAY($A345)+$B$2)&gt;1,((WEEKDAY($A345)+$T$2)&lt;7),(WEEKDAY($A345)&lt;&gt;1)),"work",(INDEX(Subject!$A:$I,MATCH(RANDBETWEEN(1,(MAX(Subject!$B:$B))),Subject!$B:$B,0),3))))</f>
        <v/>
      </c>
      <c r="S345" s="2" t="str">
        <f t="array" ref="S345">IF(NOW()&gt;BD345,"",IF(AND((WEEKDAY($A345)+$B$2)&gt;1,((WEEKDAY($A345)+$T$2)&lt;7),(WEEKDAY($A345)&lt;&gt;1)),"work",(INDEX(Subject!$A:$I,MATCH(RANDBETWEEN(1,(MAX(Subject!$B:$B))),Subject!$B:$B,0),3))))</f>
        <v/>
      </c>
      <c r="T345" s="2" t="str">
        <f t="array" ref="T345">IF(NOW()&gt;BE345,"",IF(AND((WEEKDAY($A345)+$B$2)&gt;1,((WEEKDAY($A345)+$T$2)&lt;7),(WEEKDAY($A345)&lt;&gt;1)),"work",(INDEX(Subject!$A:$I,MATCH(RANDBETWEEN(1,(MAX(Subject!$B:$B))),Subject!$B:$B,0),3))))</f>
        <v/>
      </c>
      <c r="U345" s="8" t="str">
        <f t="array" ref="U345">INDEX(Subject!$A:$I,MATCH(RANDBETWEEN(1,16),Subject!$B:$B,0),3)</f>
        <v>#N/A</v>
      </c>
      <c r="V345" s="8" t="str">
        <f t="array" ref="V345">INDEX(Subject!$A:$I,MATCH(RANDBETWEEN(1,16),Subject!$B:$B,0),3)</f>
        <v>#N/A</v>
      </c>
      <c r="W345" s="8" t="str">
        <f t="array" ref="W345">INDEX(Subject!$A:$I,MATCH(RANDBETWEEN(1,16),Subject!$B:$B,0),3)</f>
        <v>#N/A</v>
      </c>
      <c r="X345" s="8" t="str">
        <f t="array" ref="X345">INDEX(Subject!$A:$I,MATCH(RANDBETWEEN(1,16),Subject!$B:$B,0),3)</f>
        <v>#N/A</v>
      </c>
      <c r="Y345" s="8" t="str">
        <f t="array" ref="Y345">INDEX(Subject!$A:$I,MATCH(RANDBETWEEN(1,16),Subject!$B:$B,0),3)</f>
        <v>#N/A</v>
      </c>
      <c r="Z345" s="8" t="str">
        <f t="array" ref="Z345">INDEX(Subject!$A:$I,MATCH(RANDBETWEEN(1,16),Subject!$B:$B,0),3)</f>
        <v>#N/A</v>
      </c>
      <c r="AA345" s="8" t="str">
        <f t="array" ref="AA345">INDEX(Subject!$A:$I,MATCH(RANDBETWEEN(1,16),Subject!$B:$B,0),3)</f>
        <v>#N/A</v>
      </c>
      <c r="AB345" s="8" t="str">
        <f t="array" ref="AB345">INDEX(Subject!$A:$I,MATCH(RANDBETWEEN(1,16),Subject!$B:$B,0),3)</f>
        <v>#N/A</v>
      </c>
      <c r="AC345" s="8" t="str">
        <f t="array" ref="AC345">INDEX(Subject!$A:$I,MATCH(RANDBETWEEN(1,16),Subject!$B:$B,0),3)</f>
        <v>#N/A</v>
      </c>
      <c r="AD345" s="8" t="str">
        <f t="array" ref="AD345">INDEX(Subject!$A:$I,MATCH(RANDBETWEEN(1,16),Subject!$B:$B,0),3)</f>
        <v>#N/A</v>
      </c>
      <c r="AE345" s="8" t="str">
        <f t="array" ref="AE345">INDEX(Subject!$A:$I,MATCH(RANDBETWEEN(1,16),Subject!$B:$B,0),3)</f>
        <v>#N/A</v>
      </c>
      <c r="AF345" s="8" t="str">
        <f t="array" ref="AF345">INDEX(Subject!$A:$I,MATCH(RANDBETWEEN(1,16),Subject!$B:$B,0),3)</f>
        <v>#N/A</v>
      </c>
      <c r="AG345" s="8" t="str">
        <f t="array" ref="AG345">INDEX(Subject!$A:$I,MATCH(RANDBETWEEN(1,16),Subject!$B:$B,0),3)</f>
        <v>#N/A</v>
      </c>
      <c r="AH345" s="8" t="str">
        <f t="array" ref="AH345">INDEX(Subject!$A:$I,MATCH(RANDBETWEEN(1,16),Subject!$B:$B,0),3)</f>
        <v>#N/A</v>
      </c>
      <c r="AI345" s="8" t="str">
        <f t="array" ref="AI345">INDEX(Subject!$A:$I,MATCH(RANDBETWEEN(1,16),Subject!$B:$B,0),3)</f>
        <v>#N/A</v>
      </c>
      <c r="AJ345" s="8" t="str">
        <f t="array" ref="AJ345">INDEX(Subject!$A:$I,MATCH(RANDBETWEEN(1,16),Subject!$B:$B,0),3)</f>
        <v>#N/A</v>
      </c>
      <c r="AK345" s="8" t="str">
        <f t="array" ref="AK345">INDEX(Subject!$A:$I,MATCH(RANDBETWEEN(1,16),Subject!$B:$B,0),3)</f>
        <v>#N/A</v>
      </c>
      <c r="AL345" s="8" t="str">
        <f t="array" ref="AL345">INDEX(Subject!$A:$I,MATCH(RANDBETWEEN(1,16),Subject!$B:$B,0),3)</f>
        <v>#N/A</v>
      </c>
      <c r="AM345" s="18">
        <f t="shared" si="4"/>
        <v>45845.33333</v>
      </c>
      <c r="AN345" s="19">
        <f t="shared" ref="AN345:BZ345" si="345">$A345+C$1</f>
        <v>45845.35417</v>
      </c>
      <c r="AO345" s="19">
        <f t="shared" si="345"/>
        <v>45845.375</v>
      </c>
      <c r="AP345" s="19">
        <f t="shared" si="345"/>
        <v>45845.39583</v>
      </c>
      <c r="AQ345" s="19">
        <f t="shared" si="345"/>
        <v>45845.41667</v>
      </c>
      <c r="AR345" s="19">
        <f t="shared" si="345"/>
        <v>45845.4375</v>
      </c>
      <c r="AS345" s="19">
        <f t="shared" si="345"/>
        <v>45845.45833</v>
      </c>
      <c r="AT345" s="19">
        <f t="shared" si="345"/>
        <v>45845.47917</v>
      </c>
      <c r="AU345" s="19">
        <f t="shared" si="345"/>
        <v>45845.5</v>
      </c>
      <c r="AV345" s="19">
        <f t="shared" si="345"/>
        <v>45845.52083</v>
      </c>
      <c r="AW345" s="19">
        <f t="shared" si="345"/>
        <v>45845.54167</v>
      </c>
      <c r="AX345" s="19">
        <f t="shared" si="345"/>
        <v>45845.5625</v>
      </c>
      <c r="AY345" s="19">
        <f t="shared" si="345"/>
        <v>45845.58333</v>
      </c>
      <c r="AZ345" s="19">
        <f t="shared" si="345"/>
        <v>45845.60417</v>
      </c>
      <c r="BA345" s="19">
        <f t="shared" si="345"/>
        <v>45845.625</v>
      </c>
      <c r="BB345" s="19">
        <f t="shared" si="345"/>
        <v>45845.64583</v>
      </c>
      <c r="BC345" s="19">
        <f t="shared" si="345"/>
        <v>45845.66667</v>
      </c>
      <c r="BD345" s="19">
        <f t="shared" si="345"/>
        <v>45845.6875</v>
      </c>
      <c r="BE345" s="19">
        <f t="shared" si="345"/>
        <v>45845.70833</v>
      </c>
      <c r="BF345" s="19">
        <f t="shared" si="345"/>
        <v>45845.72917</v>
      </c>
      <c r="BG345" s="19">
        <f t="shared" si="345"/>
        <v>45845.75</v>
      </c>
      <c r="BH345" s="19">
        <f t="shared" si="345"/>
        <v>45845.77083</v>
      </c>
      <c r="BI345" s="19">
        <f t="shared" si="345"/>
        <v>45845.79167</v>
      </c>
      <c r="BJ345" s="19">
        <f t="shared" si="345"/>
        <v>45845.8125</v>
      </c>
      <c r="BK345" s="19">
        <f t="shared" si="345"/>
        <v>45845.83333</v>
      </c>
      <c r="BL345" s="19">
        <f t="shared" si="345"/>
        <v>45845.85417</v>
      </c>
      <c r="BM345" s="19">
        <f t="shared" si="345"/>
        <v>45845.875</v>
      </c>
      <c r="BN345" s="19">
        <f t="shared" si="345"/>
        <v>45845.89583</v>
      </c>
      <c r="BO345" s="19">
        <f t="shared" si="345"/>
        <v>45845.91667</v>
      </c>
      <c r="BP345" s="19">
        <f t="shared" si="345"/>
        <v>45845.9375</v>
      </c>
      <c r="BQ345" s="19">
        <f t="shared" si="345"/>
        <v>45845.95833</v>
      </c>
      <c r="BR345" s="19">
        <f t="shared" si="345"/>
        <v>45845.97917</v>
      </c>
      <c r="BS345" s="19">
        <f t="shared" si="345"/>
        <v>45846</v>
      </c>
      <c r="BT345" s="19">
        <f t="shared" si="345"/>
        <v>45846.02083</v>
      </c>
      <c r="BU345" s="19">
        <f t="shared" si="345"/>
        <v>45846.04167</v>
      </c>
      <c r="BV345" s="19">
        <f t="shared" si="345"/>
        <v>45846.0625</v>
      </c>
      <c r="BW345" s="19">
        <f t="shared" si="345"/>
        <v>45846.08333</v>
      </c>
      <c r="BX345" s="19">
        <f t="shared" si="345"/>
        <v>45845</v>
      </c>
      <c r="BY345" s="19">
        <f t="shared" si="345"/>
        <v>45845</v>
      </c>
      <c r="BZ345" s="19">
        <f t="shared" si="345"/>
        <v>45845</v>
      </c>
    </row>
    <row r="346" ht="14.25" customHeight="1">
      <c r="A346" s="17">
        <v>45846.0</v>
      </c>
      <c r="B346" s="2" t="str">
        <f t="array" ref="B346">IF(NOW()&gt;AM346,"",IF(AND((WEEKDAY($A346)+$B$2)&gt;1,((WEEKDAY($A346)+$T$2)&lt;7),(WEEKDAY($A346)&lt;&gt;1)),"work",(INDEX(Subject!$A:$I,MATCH(RANDBETWEEN(1,(MAX(Subject!$B:$B))),Subject!$B:$B,0),3))))</f>
        <v/>
      </c>
      <c r="C346" s="2" t="str">
        <f t="array" ref="C346">IF(NOW()&gt;AN346,"",IF(AND((WEEKDAY($A346)+$B$2)&gt;1,((WEEKDAY($A346)+$T$2)&lt;7),(WEEKDAY($A346)&lt;&gt;1)),"work",(INDEX(Subject!$A:$I,MATCH(RANDBETWEEN(1,(MAX(Subject!$B:$B))),Subject!$B:$B,0),3))))</f>
        <v/>
      </c>
      <c r="D346" s="2" t="str">
        <f t="array" ref="D346">IF(NOW()&gt;AO346,"",IF(AND((WEEKDAY($A346)+$B$2)&gt;1,((WEEKDAY($A346)+$T$2)&lt;7),(WEEKDAY($A346)&lt;&gt;1)),"work",(INDEX(Subject!$A:$I,MATCH(RANDBETWEEN(1,(MAX(Subject!$B:$B))),Subject!$B:$B,0),3))))</f>
        <v/>
      </c>
      <c r="E346" s="2" t="str">
        <f t="array" ref="E346">IF(NOW()&gt;AP346,"",IF(AND((WEEKDAY($A346)+$B$2)&gt;1,((WEEKDAY($A346)+$T$2)&lt;7),(WEEKDAY($A346)&lt;&gt;1)),"work",(INDEX(Subject!$A:$I,MATCH(RANDBETWEEN(1,(MAX(Subject!$B:$B))),Subject!$B:$B,0),3))))</f>
        <v/>
      </c>
      <c r="F346" s="2" t="str">
        <f t="array" ref="F346">IF(NOW()&gt;AQ346,"",IF(AND((WEEKDAY($A346)+$B$2)&gt;1,((WEEKDAY($A346)+$T$2)&lt;7),(WEEKDAY($A346)&lt;&gt;1)),"work",(INDEX(Subject!$A:$I,MATCH(RANDBETWEEN(1,(MAX(Subject!$B:$B))),Subject!$B:$B,0),3))))</f>
        <v/>
      </c>
      <c r="G346" s="2" t="str">
        <f t="array" ref="G346">IF(NOW()&gt;AR346,"",IF(AND((WEEKDAY($A346)+$B$2)&gt;1,((WEEKDAY($A346)+$T$2)&lt;7),(WEEKDAY($A346)&lt;&gt;1)),"work",(INDEX(Subject!$A:$I,MATCH(RANDBETWEEN(1,(MAX(Subject!$B:$B))),Subject!$B:$B,0),3))))</f>
        <v/>
      </c>
      <c r="H346" s="2" t="str">
        <f t="array" ref="H346">IF(NOW()&gt;AS346,"",IF(AND((WEEKDAY($A346)+$B$2)&gt;1,((WEEKDAY($A346)+$T$2)&lt;7),(WEEKDAY($A346)&lt;&gt;1)),"work",(INDEX(Subject!$A:$I,MATCH(RANDBETWEEN(1,(MAX(Subject!$B:$B))),Subject!$B:$B,0),3))))</f>
        <v/>
      </c>
      <c r="I346" s="2" t="str">
        <f t="array" ref="I346">IF(NOW()&gt;AT346,"",IF(AND((WEEKDAY($A346)+$B$2)&gt;1,((WEEKDAY($A346)+$T$2)&lt;7),(WEEKDAY($A346)&lt;&gt;1)),"work",(INDEX(Subject!$A:$I,MATCH(RANDBETWEEN(1,(MAX(Subject!$B:$B))),Subject!$B:$B,0),3))))</f>
        <v/>
      </c>
      <c r="J346" s="2" t="str">
        <f t="array" ref="J346">IF(NOW()&gt;AU346,"",IF(AND((WEEKDAY($A346)+$B$2)&gt;1,((WEEKDAY($A346)+$T$2)&lt;7),(WEEKDAY($A346)&lt;&gt;1)),"work",(INDEX(Subject!$A:$I,MATCH(RANDBETWEEN(1,(MAX(Subject!$B:$B))),Subject!$B:$B,0),3))))</f>
        <v/>
      </c>
      <c r="K346" s="2" t="str">
        <f t="array" ref="K346">IF(NOW()&gt;AV346,"",IF(AND((WEEKDAY($A346)+$B$2)&gt;1,((WEEKDAY($A346)+$T$2)&lt;7),(WEEKDAY($A346)&lt;&gt;1)),"work",(INDEX(Subject!$A:$I,MATCH(RANDBETWEEN(1,(MAX(Subject!$B:$B))),Subject!$B:$B,0),3))))</f>
        <v/>
      </c>
      <c r="L346" s="2" t="str">
        <f t="array" ref="L346">IF(NOW()&gt;AW346,"",IF(AND((WEEKDAY($A346)+$B$2)&gt;1,((WEEKDAY($A346)+$T$2)&lt;7),(WEEKDAY($A346)&lt;&gt;1)),"work",(INDEX(Subject!$A:$I,MATCH(RANDBETWEEN(1,(MAX(Subject!$B:$B))),Subject!$B:$B,0),3))))</f>
        <v/>
      </c>
      <c r="M346" s="2" t="str">
        <f t="array" ref="M346">IF(NOW()&gt;AX346,"",IF(AND((WEEKDAY($A346)+$B$2)&gt;1,((WEEKDAY($A346)+$T$2)&lt;7),(WEEKDAY($A346)&lt;&gt;1)),"work",(INDEX(Subject!$A:$I,MATCH(RANDBETWEEN(1,(MAX(Subject!$B:$B))),Subject!$B:$B,0),3))))</f>
        <v/>
      </c>
      <c r="N346" s="2" t="str">
        <f t="array" ref="N346">IF(NOW()&gt;AY346,"",IF(AND((WEEKDAY($A346)+$B$2)&gt;1,((WEEKDAY($A346)+$T$2)&lt;7),(WEEKDAY($A346)&lt;&gt;1)),"work",(INDEX(Subject!$A:$I,MATCH(RANDBETWEEN(1,(MAX(Subject!$B:$B))),Subject!$B:$B,0),3))))</f>
        <v/>
      </c>
      <c r="O346" s="2" t="str">
        <f t="array" ref="O346">IF(NOW()&gt;AZ346,"",IF(AND((WEEKDAY($A346)+$B$2)&gt;1,((WEEKDAY($A346)+$T$2)&lt;7),(WEEKDAY($A346)&lt;&gt;1)),"work",(INDEX(Subject!$A:$I,MATCH(RANDBETWEEN(1,(MAX(Subject!$B:$B))),Subject!$B:$B,0),3))))</f>
        <v/>
      </c>
      <c r="P346" s="2" t="str">
        <f t="array" ref="P346">IF(NOW()&gt;BA346,"",IF(AND((WEEKDAY($A346)+$B$2)&gt;1,((WEEKDAY($A346)+$T$2)&lt;7),(WEEKDAY($A346)&lt;&gt;1)),"work",(INDEX(Subject!$A:$I,MATCH(RANDBETWEEN(1,(MAX(Subject!$B:$B))),Subject!$B:$B,0),3))))</f>
        <v/>
      </c>
      <c r="Q346" s="2" t="str">
        <f t="array" ref="Q346">IF(NOW()&gt;BB346,"",IF(AND((WEEKDAY($A346)+$B$2)&gt;1,((WEEKDAY($A346)+$T$2)&lt;7),(WEEKDAY($A346)&lt;&gt;1)),"work",(INDEX(Subject!$A:$I,MATCH(RANDBETWEEN(1,(MAX(Subject!$B:$B))),Subject!$B:$B,0),3))))</f>
        <v/>
      </c>
      <c r="R346" s="2" t="str">
        <f t="array" ref="R346">IF(NOW()&gt;BC346,"",IF(AND((WEEKDAY($A346)+$B$2)&gt;1,((WEEKDAY($A346)+$T$2)&lt;7),(WEEKDAY($A346)&lt;&gt;1)),"work",(INDEX(Subject!$A:$I,MATCH(RANDBETWEEN(1,(MAX(Subject!$B:$B))),Subject!$B:$B,0),3))))</f>
        <v/>
      </c>
      <c r="S346" s="2" t="str">
        <f t="array" ref="S346">IF(NOW()&gt;BD346,"",IF(AND((WEEKDAY($A346)+$B$2)&gt;1,((WEEKDAY($A346)+$T$2)&lt;7),(WEEKDAY($A346)&lt;&gt;1)),"work",(INDEX(Subject!$A:$I,MATCH(RANDBETWEEN(1,(MAX(Subject!$B:$B))),Subject!$B:$B,0),3))))</f>
        <v/>
      </c>
      <c r="T346" s="2" t="str">
        <f t="array" ref="T346">IF(NOW()&gt;BE346,"",IF(AND((WEEKDAY($A346)+$B$2)&gt;1,((WEEKDAY($A346)+$T$2)&lt;7),(WEEKDAY($A346)&lt;&gt;1)),"work",(INDEX(Subject!$A:$I,MATCH(RANDBETWEEN(1,(MAX(Subject!$B:$B))),Subject!$B:$B,0),3))))</f>
        <v/>
      </c>
      <c r="U346" s="8" t="str">
        <f t="array" ref="U346">INDEX(Subject!$A:$I,MATCH(RANDBETWEEN(1,16),Subject!$B:$B,0),3)</f>
        <v>#N/A</v>
      </c>
      <c r="V346" s="8" t="str">
        <f t="array" ref="V346">INDEX(Subject!$A:$I,MATCH(RANDBETWEEN(1,16),Subject!$B:$B,0),3)</f>
        <v>#N/A</v>
      </c>
      <c r="W346" s="8" t="str">
        <f t="array" ref="W346">INDEX(Subject!$A:$I,MATCH(RANDBETWEEN(1,16),Subject!$B:$B,0),3)</f>
        <v>#N/A</v>
      </c>
      <c r="X346" s="8" t="str">
        <f t="array" ref="X346">INDEX(Subject!$A:$I,MATCH(RANDBETWEEN(1,16),Subject!$B:$B,0),3)</f>
        <v>#N/A</v>
      </c>
      <c r="Y346" s="8" t="str">
        <f t="array" ref="Y346">INDEX(Subject!$A:$I,MATCH(RANDBETWEEN(1,16),Subject!$B:$B,0),3)</f>
        <v>#N/A</v>
      </c>
      <c r="Z346" s="8" t="str">
        <f t="array" ref="Z346">INDEX(Subject!$A:$I,MATCH(RANDBETWEEN(1,16),Subject!$B:$B,0),3)</f>
        <v>#N/A</v>
      </c>
      <c r="AA346" s="8" t="str">
        <f t="array" ref="AA346">INDEX(Subject!$A:$I,MATCH(RANDBETWEEN(1,16),Subject!$B:$B,0),3)</f>
        <v>#N/A</v>
      </c>
      <c r="AB346" s="8" t="str">
        <f t="array" ref="AB346">INDEX(Subject!$A:$I,MATCH(RANDBETWEEN(1,16),Subject!$B:$B,0),3)</f>
        <v>#N/A</v>
      </c>
      <c r="AC346" s="8" t="str">
        <f t="array" ref="AC346">INDEX(Subject!$A:$I,MATCH(RANDBETWEEN(1,16),Subject!$B:$B,0),3)</f>
        <v>#N/A</v>
      </c>
      <c r="AD346" s="8" t="str">
        <f t="array" ref="AD346">INDEX(Subject!$A:$I,MATCH(RANDBETWEEN(1,16),Subject!$B:$B,0),3)</f>
        <v/>
      </c>
      <c r="AE346" s="8" t="str">
        <f t="array" ref="AE346">INDEX(Subject!$A:$I,MATCH(RANDBETWEEN(1,16),Subject!$B:$B,0),3)</f>
        <v>#N/A</v>
      </c>
      <c r="AF346" s="8" t="str">
        <f t="array" ref="AF346">INDEX(Subject!$A:$I,MATCH(RANDBETWEEN(1,16),Subject!$B:$B,0),3)</f>
        <v>#N/A</v>
      </c>
      <c r="AG346" s="8" t="str">
        <f t="array" ref="AG346">INDEX(Subject!$A:$I,MATCH(RANDBETWEEN(1,16),Subject!$B:$B,0),3)</f>
        <v>#N/A</v>
      </c>
      <c r="AH346" s="8" t="str">
        <f t="array" ref="AH346">INDEX(Subject!$A:$I,MATCH(RANDBETWEEN(1,16),Subject!$B:$B,0),3)</f>
        <v>#N/A</v>
      </c>
      <c r="AI346" s="8" t="str">
        <f t="array" ref="AI346">INDEX(Subject!$A:$I,MATCH(RANDBETWEEN(1,16),Subject!$B:$B,0),3)</f>
        <v>#N/A</v>
      </c>
      <c r="AJ346" s="8" t="str">
        <f t="array" ref="AJ346">INDEX(Subject!$A:$I,MATCH(RANDBETWEEN(1,16),Subject!$B:$B,0),3)</f>
        <v>#N/A</v>
      </c>
      <c r="AK346" s="8" t="str">
        <f t="array" ref="AK346">INDEX(Subject!$A:$I,MATCH(RANDBETWEEN(1,16),Subject!$B:$B,0),3)</f>
        <v>#N/A</v>
      </c>
      <c r="AL346" s="8" t="str">
        <f t="array" ref="AL346">INDEX(Subject!$A:$I,MATCH(RANDBETWEEN(1,16),Subject!$B:$B,0),3)</f>
        <v>#N/A</v>
      </c>
      <c r="AM346" s="18">
        <f t="shared" si="4"/>
        <v>45846.33333</v>
      </c>
      <c r="AN346" s="19">
        <f t="shared" ref="AN346:BZ346" si="346">$A346+C$1</f>
        <v>45846.35417</v>
      </c>
      <c r="AO346" s="19">
        <f t="shared" si="346"/>
        <v>45846.375</v>
      </c>
      <c r="AP346" s="19">
        <f t="shared" si="346"/>
        <v>45846.39583</v>
      </c>
      <c r="AQ346" s="19">
        <f t="shared" si="346"/>
        <v>45846.41667</v>
      </c>
      <c r="AR346" s="19">
        <f t="shared" si="346"/>
        <v>45846.4375</v>
      </c>
      <c r="AS346" s="19">
        <f t="shared" si="346"/>
        <v>45846.45833</v>
      </c>
      <c r="AT346" s="19">
        <f t="shared" si="346"/>
        <v>45846.47917</v>
      </c>
      <c r="AU346" s="19">
        <f t="shared" si="346"/>
        <v>45846.5</v>
      </c>
      <c r="AV346" s="19">
        <f t="shared" si="346"/>
        <v>45846.52083</v>
      </c>
      <c r="AW346" s="19">
        <f t="shared" si="346"/>
        <v>45846.54167</v>
      </c>
      <c r="AX346" s="19">
        <f t="shared" si="346"/>
        <v>45846.5625</v>
      </c>
      <c r="AY346" s="19">
        <f t="shared" si="346"/>
        <v>45846.58333</v>
      </c>
      <c r="AZ346" s="19">
        <f t="shared" si="346"/>
        <v>45846.60417</v>
      </c>
      <c r="BA346" s="19">
        <f t="shared" si="346"/>
        <v>45846.625</v>
      </c>
      <c r="BB346" s="19">
        <f t="shared" si="346"/>
        <v>45846.64583</v>
      </c>
      <c r="BC346" s="19">
        <f t="shared" si="346"/>
        <v>45846.66667</v>
      </c>
      <c r="BD346" s="19">
        <f t="shared" si="346"/>
        <v>45846.6875</v>
      </c>
      <c r="BE346" s="19">
        <f t="shared" si="346"/>
        <v>45846.70833</v>
      </c>
      <c r="BF346" s="19">
        <f t="shared" si="346"/>
        <v>45846.72917</v>
      </c>
      <c r="BG346" s="19">
        <f t="shared" si="346"/>
        <v>45846.75</v>
      </c>
      <c r="BH346" s="19">
        <f t="shared" si="346"/>
        <v>45846.77083</v>
      </c>
      <c r="BI346" s="19">
        <f t="shared" si="346"/>
        <v>45846.79167</v>
      </c>
      <c r="BJ346" s="19">
        <f t="shared" si="346"/>
        <v>45846.8125</v>
      </c>
      <c r="BK346" s="19">
        <f t="shared" si="346"/>
        <v>45846.83333</v>
      </c>
      <c r="BL346" s="19">
        <f t="shared" si="346"/>
        <v>45846.85417</v>
      </c>
      <c r="BM346" s="19">
        <f t="shared" si="346"/>
        <v>45846.875</v>
      </c>
      <c r="BN346" s="19">
        <f t="shared" si="346"/>
        <v>45846.89583</v>
      </c>
      <c r="BO346" s="19">
        <f t="shared" si="346"/>
        <v>45846.91667</v>
      </c>
      <c r="BP346" s="19">
        <f t="shared" si="346"/>
        <v>45846.9375</v>
      </c>
      <c r="BQ346" s="19">
        <f t="shared" si="346"/>
        <v>45846.95833</v>
      </c>
      <c r="BR346" s="19">
        <f t="shared" si="346"/>
        <v>45846.97917</v>
      </c>
      <c r="BS346" s="19">
        <f t="shared" si="346"/>
        <v>45847</v>
      </c>
      <c r="BT346" s="19">
        <f t="shared" si="346"/>
        <v>45847.02083</v>
      </c>
      <c r="BU346" s="19">
        <f t="shared" si="346"/>
        <v>45847.04167</v>
      </c>
      <c r="BV346" s="19">
        <f t="shared" si="346"/>
        <v>45847.0625</v>
      </c>
      <c r="BW346" s="19">
        <f t="shared" si="346"/>
        <v>45847.08333</v>
      </c>
      <c r="BX346" s="19">
        <f t="shared" si="346"/>
        <v>45846</v>
      </c>
      <c r="BY346" s="19">
        <f t="shared" si="346"/>
        <v>45846</v>
      </c>
      <c r="BZ346" s="19">
        <f t="shared" si="346"/>
        <v>45846</v>
      </c>
    </row>
    <row r="347" ht="14.25" customHeight="1">
      <c r="A347" s="17">
        <v>45847.0</v>
      </c>
      <c r="B347" s="2" t="str">
        <f t="array" ref="B347">IF(NOW()&gt;AM347,"",IF(AND((WEEKDAY($A347)+$B$2)&gt;1,((WEEKDAY($A347)+$T$2)&lt;7),(WEEKDAY($A347)&lt;&gt;1)),"work",(INDEX(Subject!$A:$I,MATCH(RANDBETWEEN(1,(MAX(Subject!$B:$B))),Subject!$B:$B,0),3))))</f>
        <v/>
      </c>
      <c r="C347" s="2" t="str">
        <f t="array" ref="C347">IF(NOW()&gt;AN347,"",IF(AND((WEEKDAY($A347)+$B$2)&gt;1,((WEEKDAY($A347)+$T$2)&lt;7),(WEEKDAY($A347)&lt;&gt;1)),"work",(INDEX(Subject!$A:$I,MATCH(RANDBETWEEN(1,(MAX(Subject!$B:$B))),Subject!$B:$B,0),3))))</f>
        <v/>
      </c>
      <c r="D347" s="2" t="str">
        <f t="array" ref="D347">IF(NOW()&gt;AO347,"",IF(AND((WEEKDAY($A347)+$B$2)&gt;1,((WEEKDAY($A347)+$T$2)&lt;7),(WEEKDAY($A347)&lt;&gt;1)),"work",(INDEX(Subject!$A:$I,MATCH(RANDBETWEEN(1,(MAX(Subject!$B:$B))),Subject!$B:$B,0),3))))</f>
        <v/>
      </c>
      <c r="E347" s="2" t="str">
        <f t="array" ref="E347">IF(NOW()&gt;AP347,"",IF(AND((WEEKDAY($A347)+$B$2)&gt;1,((WEEKDAY($A347)+$T$2)&lt;7),(WEEKDAY($A347)&lt;&gt;1)),"work",(INDEX(Subject!$A:$I,MATCH(RANDBETWEEN(1,(MAX(Subject!$B:$B))),Subject!$B:$B,0),3))))</f>
        <v/>
      </c>
      <c r="F347" s="2" t="str">
        <f t="array" ref="F347">IF(NOW()&gt;AQ347,"",IF(AND((WEEKDAY($A347)+$B$2)&gt;1,((WEEKDAY($A347)+$T$2)&lt;7),(WEEKDAY($A347)&lt;&gt;1)),"work",(INDEX(Subject!$A:$I,MATCH(RANDBETWEEN(1,(MAX(Subject!$B:$B))),Subject!$B:$B,0),3))))</f>
        <v/>
      </c>
      <c r="G347" s="2" t="str">
        <f t="array" ref="G347">IF(NOW()&gt;AR347,"",IF(AND((WEEKDAY($A347)+$B$2)&gt;1,((WEEKDAY($A347)+$T$2)&lt;7),(WEEKDAY($A347)&lt;&gt;1)),"work",(INDEX(Subject!$A:$I,MATCH(RANDBETWEEN(1,(MAX(Subject!$B:$B))),Subject!$B:$B,0),3))))</f>
        <v/>
      </c>
      <c r="H347" s="2" t="str">
        <f t="array" ref="H347">IF(NOW()&gt;AS347,"",IF(AND((WEEKDAY($A347)+$B$2)&gt;1,((WEEKDAY($A347)+$T$2)&lt;7),(WEEKDAY($A347)&lt;&gt;1)),"work",(INDEX(Subject!$A:$I,MATCH(RANDBETWEEN(1,(MAX(Subject!$B:$B))),Subject!$B:$B,0),3))))</f>
        <v/>
      </c>
      <c r="I347" s="2" t="str">
        <f t="array" ref="I347">IF(NOW()&gt;AT347,"",IF(AND((WEEKDAY($A347)+$B$2)&gt;1,((WEEKDAY($A347)+$T$2)&lt;7),(WEEKDAY($A347)&lt;&gt;1)),"work",(INDEX(Subject!$A:$I,MATCH(RANDBETWEEN(1,(MAX(Subject!$B:$B))),Subject!$B:$B,0),3))))</f>
        <v/>
      </c>
      <c r="J347" s="2" t="str">
        <f t="array" ref="J347">IF(NOW()&gt;AU347,"",IF(AND((WEEKDAY($A347)+$B$2)&gt;1,((WEEKDAY($A347)+$T$2)&lt;7),(WEEKDAY($A347)&lt;&gt;1)),"work",(INDEX(Subject!$A:$I,MATCH(RANDBETWEEN(1,(MAX(Subject!$B:$B))),Subject!$B:$B,0),3))))</f>
        <v/>
      </c>
      <c r="K347" s="2" t="str">
        <f t="array" ref="K347">IF(NOW()&gt;AV347,"",IF(AND((WEEKDAY($A347)+$B$2)&gt;1,((WEEKDAY($A347)+$T$2)&lt;7),(WEEKDAY($A347)&lt;&gt;1)),"work",(INDEX(Subject!$A:$I,MATCH(RANDBETWEEN(1,(MAX(Subject!$B:$B))),Subject!$B:$B,0),3))))</f>
        <v/>
      </c>
      <c r="L347" s="2" t="str">
        <f t="array" ref="L347">IF(NOW()&gt;AW347,"",IF(AND((WEEKDAY($A347)+$B$2)&gt;1,((WEEKDAY($A347)+$T$2)&lt;7),(WEEKDAY($A347)&lt;&gt;1)),"work",(INDEX(Subject!$A:$I,MATCH(RANDBETWEEN(1,(MAX(Subject!$B:$B))),Subject!$B:$B,0),3))))</f>
        <v/>
      </c>
      <c r="M347" s="2" t="str">
        <f t="array" ref="M347">IF(NOW()&gt;AX347,"",IF(AND((WEEKDAY($A347)+$B$2)&gt;1,((WEEKDAY($A347)+$T$2)&lt;7),(WEEKDAY($A347)&lt;&gt;1)),"work",(INDEX(Subject!$A:$I,MATCH(RANDBETWEEN(1,(MAX(Subject!$B:$B))),Subject!$B:$B,0),3))))</f>
        <v/>
      </c>
      <c r="N347" s="2" t="str">
        <f t="array" ref="N347">IF(NOW()&gt;AY347,"",IF(AND((WEEKDAY($A347)+$B$2)&gt;1,((WEEKDAY($A347)+$T$2)&lt;7),(WEEKDAY($A347)&lt;&gt;1)),"work",(INDEX(Subject!$A:$I,MATCH(RANDBETWEEN(1,(MAX(Subject!$B:$B))),Subject!$B:$B,0),3))))</f>
        <v/>
      </c>
      <c r="O347" s="2" t="str">
        <f t="array" ref="O347">IF(NOW()&gt;AZ347,"",IF(AND((WEEKDAY($A347)+$B$2)&gt;1,((WEEKDAY($A347)+$T$2)&lt;7),(WEEKDAY($A347)&lt;&gt;1)),"work",(INDEX(Subject!$A:$I,MATCH(RANDBETWEEN(1,(MAX(Subject!$B:$B))),Subject!$B:$B,0),3))))</f>
        <v/>
      </c>
      <c r="P347" s="2" t="str">
        <f t="array" ref="P347">IF(NOW()&gt;BA347,"",IF(AND((WEEKDAY($A347)+$B$2)&gt;1,((WEEKDAY($A347)+$T$2)&lt;7),(WEEKDAY($A347)&lt;&gt;1)),"work",(INDEX(Subject!$A:$I,MATCH(RANDBETWEEN(1,(MAX(Subject!$B:$B))),Subject!$B:$B,0),3))))</f>
        <v/>
      </c>
      <c r="Q347" s="2" t="str">
        <f t="array" ref="Q347">IF(NOW()&gt;BB347,"",IF(AND((WEEKDAY($A347)+$B$2)&gt;1,((WEEKDAY($A347)+$T$2)&lt;7),(WEEKDAY($A347)&lt;&gt;1)),"work",(INDEX(Subject!$A:$I,MATCH(RANDBETWEEN(1,(MAX(Subject!$B:$B))),Subject!$B:$B,0),3))))</f>
        <v/>
      </c>
      <c r="R347" s="2" t="str">
        <f t="array" ref="R347">IF(NOW()&gt;BC347,"",IF(AND((WEEKDAY($A347)+$B$2)&gt;1,((WEEKDAY($A347)+$T$2)&lt;7),(WEEKDAY($A347)&lt;&gt;1)),"work",(INDEX(Subject!$A:$I,MATCH(RANDBETWEEN(1,(MAX(Subject!$B:$B))),Subject!$B:$B,0),3))))</f>
        <v/>
      </c>
      <c r="S347" s="2" t="str">
        <f t="array" ref="S347">IF(NOW()&gt;BD347,"",IF(AND((WEEKDAY($A347)+$B$2)&gt;1,((WEEKDAY($A347)+$T$2)&lt;7),(WEEKDAY($A347)&lt;&gt;1)),"work",(INDEX(Subject!$A:$I,MATCH(RANDBETWEEN(1,(MAX(Subject!$B:$B))),Subject!$B:$B,0),3))))</f>
        <v/>
      </c>
      <c r="T347" s="2" t="str">
        <f t="array" ref="T347">IF(NOW()&gt;BE347,"",IF(AND((WEEKDAY($A347)+$B$2)&gt;1,((WEEKDAY($A347)+$T$2)&lt;7),(WEEKDAY($A347)&lt;&gt;1)),"work",(INDEX(Subject!$A:$I,MATCH(RANDBETWEEN(1,(MAX(Subject!$B:$B))),Subject!$B:$B,0),3))))</f>
        <v/>
      </c>
      <c r="U347" s="8" t="str">
        <f t="array" ref="U347">INDEX(Subject!$A:$I,MATCH(RANDBETWEEN(1,16),Subject!$B:$B,0),3)</f>
        <v>#N/A</v>
      </c>
      <c r="V347" s="8" t="str">
        <f t="array" ref="V347">INDEX(Subject!$A:$I,MATCH(RANDBETWEEN(1,16),Subject!$B:$B,0),3)</f>
        <v>#N/A</v>
      </c>
      <c r="W347" s="8" t="str">
        <f t="array" ref="W347">INDEX(Subject!$A:$I,MATCH(RANDBETWEEN(1,16),Subject!$B:$B,0),3)</f>
        <v>#N/A</v>
      </c>
      <c r="X347" s="8" t="str">
        <f t="array" ref="X347">INDEX(Subject!$A:$I,MATCH(RANDBETWEEN(1,16),Subject!$B:$B,0),3)</f>
        <v>#N/A</v>
      </c>
      <c r="Y347" s="8" t="str">
        <f t="array" ref="Y347">INDEX(Subject!$A:$I,MATCH(RANDBETWEEN(1,16),Subject!$B:$B,0),3)</f>
        <v>#N/A</v>
      </c>
      <c r="Z347" s="8" t="str">
        <f t="array" ref="Z347">INDEX(Subject!$A:$I,MATCH(RANDBETWEEN(1,16),Subject!$B:$B,0),3)</f>
        <v>#N/A</v>
      </c>
      <c r="AA347" s="8" t="str">
        <f t="array" ref="AA347">INDEX(Subject!$A:$I,MATCH(RANDBETWEEN(1,16),Subject!$B:$B,0),3)</f>
        <v>#N/A</v>
      </c>
      <c r="AB347" s="8" t="str">
        <f t="array" ref="AB347">INDEX(Subject!$A:$I,MATCH(RANDBETWEEN(1,16),Subject!$B:$B,0),3)</f>
        <v>#N/A</v>
      </c>
      <c r="AC347" s="8" t="str">
        <f t="array" ref="AC347">INDEX(Subject!$A:$I,MATCH(RANDBETWEEN(1,16),Subject!$B:$B,0),3)</f>
        <v>#N/A</v>
      </c>
      <c r="AD347" s="8" t="str">
        <f t="array" ref="AD347">INDEX(Subject!$A:$I,MATCH(RANDBETWEEN(1,16),Subject!$B:$B,0),3)</f>
        <v>#N/A</v>
      </c>
      <c r="AE347" s="8" t="str">
        <f t="array" ref="AE347">INDEX(Subject!$A:$I,MATCH(RANDBETWEEN(1,16),Subject!$B:$B,0),3)</f>
        <v>#N/A</v>
      </c>
      <c r="AF347" s="8" t="str">
        <f t="array" ref="AF347">INDEX(Subject!$A:$I,MATCH(RANDBETWEEN(1,16),Subject!$B:$B,0),3)</f>
        <v>#N/A</v>
      </c>
      <c r="AG347" s="8" t="str">
        <f t="array" ref="AG347">INDEX(Subject!$A:$I,MATCH(RANDBETWEEN(1,16),Subject!$B:$B,0),3)</f>
        <v>#N/A</v>
      </c>
      <c r="AH347" s="8" t="str">
        <f t="array" ref="AH347">INDEX(Subject!$A:$I,MATCH(RANDBETWEEN(1,16),Subject!$B:$B,0),3)</f>
        <v>#N/A</v>
      </c>
      <c r="AI347" s="8" t="str">
        <f t="array" ref="AI347">INDEX(Subject!$A:$I,MATCH(RANDBETWEEN(1,16),Subject!$B:$B,0),3)</f>
        <v>#N/A</v>
      </c>
      <c r="AJ347" s="8" t="str">
        <f t="array" ref="AJ347">INDEX(Subject!$A:$I,MATCH(RANDBETWEEN(1,16),Subject!$B:$B,0),3)</f>
        <v>#N/A</v>
      </c>
      <c r="AK347" s="8" t="str">
        <f t="array" ref="AK347">INDEX(Subject!$A:$I,MATCH(RANDBETWEEN(1,16),Subject!$B:$B,0),3)</f>
        <v/>
      </c>
      <c r="AL347" s="8" t="str">
        <f t="array" ref="AL347">INDEX(Subject!$A:$I,MATCH(RANDBETWEEN(1,16),Subject!$B:$B,0),3)</f>
        <v>#N/A</v>
      </c>
      <c r="AM347" s="18">
        <f t="shared" si="4"/>
        <v>45847.33333</v>
      </c>
      <c r="AN347" s="19">
        <f t="shared" ref="AN347:BZ347" si="347">$A347+C$1</f>
        <v>45847.35417</v>
      </c>
      <c r="AO347" s="19">
        <f t="shared" si="347"/>
        <v>45847.375</v>
      </c>
      <c r="AP347" s="19">
        <f t="shared" si="347"/>
        <v>45847.39583</v>
      </c>
      <c r="AQ347" s="19">
        <f t="shared" si="347"/>
        <v>45847.41667</v>
      </c>
      <c r="AR347" s="19">
        <f t="shared" si="347"/>
        <v>45847.4375</v>
      </c>
      <c r="AS347" s="19">
        <f t="shared" si="347"/>
        <v>45847.45833</v>
      </c>
      <c r="AT347" s="19">
        <f t="shared" si="347"/>
        <v>45847.47917</v>
      </c>
      <c r="AU347" s="19">
        <f t="shared" si="347"/>
        <v>45847.5</v>
      </c>
      <c r="AV347" s="19">
        <f t="shared" si="347"/>
        <v>45847.52083</v>
      </c>
      <c r="AW347" s="19">
        <f t="shared" si="347"/>
        <v>45847.54167</v>
      </c>
      <c r="AX347" s="19">
        <f t="shared" si="347"/>
        <v>45847.5625</v>
      </c>
      <c r="AY347" s="19">
        <f t="shared" si="347"/>
        <v>45847.58333</v>
      </c>
      <c r="AZ347" s="19">
        <f t="shared" si="347"/>
        <v>45847.60417</v>
      </c>
      <c r="BA347" s="19">
        <f t="shared" si="347"/>
        <v>45847.625</v>
      </c>
      <c r="BB347" s="19">
        <f t="shared" si="347"/>
        <v>45847.64583</v>
      </c>
      <c r="BC347" s="19">
        <f t="shared" si="347"/>
        <v>45847.66667</v>
      </c>
      <c r="BD347" s="19">
        <f t="shared" si="347"/>
        <v>45847.6875</v>
      </c>
      <c r="BE347" s="19">
        <f t="shared" si="347"/>
        <v>45847.70833</v>
      </c>
      <c r="BF347" s="19">
        <f t="shared" si="347"/>
        <v>45847.72917</v>
      </c>
      <c r="BG347" s="19">
        <f t="shared" si="347"/>
        <v>45847.75</v>
      </c>
      <c r="BH347" s="19">
        <f t="shared" si="347"/>
        <v>45847.77083</v>
      </c>
      <c r="BI347" s="19">
        <f t="shared" si="347"/>
        <v>45847.79167</v>
      </c>
      <c r="BJ347" s="19">
        <f t="shared" si="347"/>
        <v>45847.8125</v>
      </c>
      <c r="BK347" s="19">
        <f t="shared" si="347"/>
        <v>45847.83333</v>
      </c>
      <c r="BL347" s="19">
        <f t="shared" si="347"/>
        <v>45847.85417</v>
      </c>
      <c r="BM347" s="19">
        <f t="shared" si="347"/>
        <v>45847.875</v>
      </c>
      <c r="BN347" s="19">
        <f t="shared" si="347"/>
        <v>45847.89583</v>
      </c>
      <c r="BO347" s="19">
        <f t="shared" si="347"/>
        <v>45847.91667</v>
      </c>
      <c r="BP347" s="19">
        <f t="shared" si="347"/>
        <v>45847.9375</v>
      </c>
      <c r="BQ347" s="19">
        <f t="shared" si="347"/>
        <v>45847.95833</v>
      </c>
      <c r="BR347" s="19">
        <f t="shared" si="347"/>
        <v>45847.97917</v>
      </c>
      <c r="BS347" s="19">
        <f t="shared" si="347"/>
        <v>45848</v>
      </c>
      <c r="BT347" s="19">
        <f t="shared" si="347"/>
        <v>45848.02083</v>
      </c>
      <c r="BU347" s="19">
        <f t="shared" si="347"/>
        <v>45848.04167</v>
      </c>
      <c r="BV347" s="19">
        <f t="shared" si="347"/>
        <v>45848.0625</v>
      </c>
      <c r="BW347" s="19">
        <f t="shared" si="347"/>
        <v>45848.08333</v>
      </c>
      <c r="BX347" s="19">
        <f t="shared" si="347"/>
        <v>45847</v>
      </c>
      <c r="BY347" s="19">
        <f t="shared" si="347"/>
        <v>45847</v>
      </c>
      <c r="BZ347" s="19">
        <f t="shared" si="347"/>
        <v>45847</v>
      </c>
    </row>
    <row r="348" ht="14.25" customHeight="1">
      <c r="A348" s="17">
        <v>45848.0</v>
      </c>
      <c r="B348" s="2" t="str">
        <f t="array" ref="B348">IF(NOW()&gt;AM348,"",IF(AND((WEEKDAY($A348)+$B$2)&gt;1,((WEEKDAY($A348)+$T$2)&lt;7),(WEEKDAY($A348)&lt;&gt;1)),"work",(INDEX(Subject!$A:$I,MATCH(RANDBETWEEN(1,(MAX(Subject!$B:$B))),Subject!$B:$B,0),3))))</f>
        <v/>
      </c>
      <c r="C348" s="2" t="str">
        <f t="array" ref="C348">IF(NOW()&gt;AN348,"",IF(AND((WEEKDAY($A348)+$B$2)&gt;1,((WEEKDAY($A348)+$T$2)&lt;7),(WEEKDAY($A348)&lt;&gt;1)),"work",(INDEX(Subject!$A:$I,MATCH(RANDBETWEEN(1,(MAX(Subject!$B:$B))),Subject!$B:$B,0),3))))</f>
        <v/>
      </c>
      <c r="D348" s="2" t="str">
        <f t="array" ref="D348">IF(NOW()&gt;AO348,"",IF(AND((WEEKDAY($A348)+$B$2)&gt;1,((WEEKDAY($A348)+$T$2)&lt;7),(WEEKDAY($A348)&lt;&gt;1)),"work",(INDEX(Subject!$A:$I,MATCH(RANDBETWEEN(1,(MAX(Subject!$B:$B))),Subject!$B:$B,0),3))))</f>
        <v/>
      </c>
      <c r="E348" s="2" t="str">
        <f t="array" ref="E348">IF(NOW()&gt;AP348,"",IF(AND((WEEKDAY($A348)+$B$2)&gt;1,((WEEKDAY($A348)+$T$2)&lt;7),(WEEKDAY($A348)&lt;&gt;1)),"work",(INDEX(Subject!$A:$I,MATCH(RANDBETWEEN(1,(MAX(Subject!$B:$B))),Subject!$B:$B,0),3))))</f>
        <v/>
      </c>
      <c r="F348" s="2" t="str">
        <f t="array" ref="F348">IF(NOW()&gt;AQ348,"",IF(AND((WEEKDAY($A348)+$B$2)&gt;1,((WEEKDAY($A348)+$T$2)&lt;7),(WEEKDAY($A348)&lt;&gt;1)),"work",(INDEX(Subject!$A:$I,MATCH(RANDBETWEEN(1,(MAX(Subject!$B:$B))),Subject!$B:$B,0),3))))</f>
        <v/>
      </c>
      <c r="G348" s="2" t="str">
        <f t="array" ref="G348">IF(NOW()&gt;AR348,"",IF(AND((WEEKDAY($A348)+$B$2)&gt;1,((WEEKDAY($A348)+$T$2)&lt;7),(WEEKDAY($A348)&lt;&gt;1)),"work",(INDEX(Subject!$A:$I,MATCH(RANDBETWEEN(1,(MAX(Subject!$B:$B))),Subject!$B:$B,0),3))))</f>
        <v/>
      </c>
      <c r="H348" s="2" t="str">
        <f t="array" ref="H348">IF(NOW()&gt;AS348,"",IF(AND((WEEKDAY($A348)+$B$2)&gt;1,((WEEKDAY($A348)+$T$2)&lt;7),(WEEKDAY($A348)&lt;&gt;1)),"work",(INDEX(Subject!$A:$I,MATCH(RANDBETWEEN(1,(MAX(Subject!$B:$B))),Subject!$B:$B,0),3))))</f>
        <v/>
      </c>
      <c r="I348" s="2" t="str">
        <f t="array" ref="I348">IF(NOW()&gt;AT348,"",IF(AND((WEEKDAY($A348)+$B$2)&gt;1,((WEEKDAY($A348)+$T$2)&lt;7),(WEEKDAY($A348)&lt;&gt;1)),"work",(INDEX(Subject!$A:$I,MATCH(RANDBETWEEN(1,(MAX(Subject!$B:$B))),Subject!$B:$B,0),3))))</f>
        <v/>
      </c>
      <c r="J348" s="2" t="str">
        <f t="array" ref="J348">IF(NOW()&gt;AU348,"",IF(AND((WEEKDAY($A348)+$B$2)&gt;1,((WEEKDAY($A348)+$T$2)&lt;7),(WEEKDAY($A348)&lt;&gt;1)),"work",(INDEX(Subject!$A:$I,MATCH(RANDBETWEEN(1,(MAX(Subject!$B:$B))),Subject!$B:$B,0),3))))</f>
        <v/>
      </c>
      <c r="K348" s="2" t="str">
        <f t="array" ref="K348">IF(NOW()&gt;AV348,"",IF(AND((WEEKDAY($A348)+$B$2)&gt;1,((WEEKDAY($A348)+$T$2)&lt;7),(WEEKDAY($A348)&lt;&gt;1)),"work",(INDEX(Subject!$A:$I,MATCH(RANDBETWEEN(1,(MAX(Subject!$B:$B))),Subject!$B:$B,0),3))))</f>
        <v/>
      </c>
      <c r="L348" s="2" t="str">
        <f t="array" ref="L348">IF(NOW()&gt;AW348,"",IF(AND((WEEKDAY($A348)+$B$2)&gt;1,((WEEKDAY($A348)+$T$2)&lt;7),(WEEKDAY($A348)&lt;&gt;1)),"work",(INDEX(Subject!$A:$I,MATCH(RANDBETWEEN(1,(MAX(Subject!$B:$B))),Subject!$B:$B,0),3))))</f>
        <v/>
      </c>
      <c r="M348" s="2" t="str">
        <f t="array" ref="M348">IF(NOW()&gt;AX348,"",IF(AND((WEEKDAY($A348)+$B$2)&gt;1,((WEEKDAY($A348)+$T$2)&lt;7),(WEEKDAY($A348)&lt;&gt;1)),"work",(INDEX(Subject!$A:$I,MATCH(RANDBETWEEN(1,(MAX(Subject!$B:$B))),Subject!$B:$B,0),3))))</f>
        <v/>
      </c>
      <c r="N348" s="2" t="str">
        <f t="array" ref="N348">IF(NOW()&gt;AY348,"",IF(AND((WEEKDAY($A348)+$B$2)&gt;1,((WEEKDAY($A348)+$T$2)&lt;7),(WEEKDAY($A348)&lt;&gt;1)),"work",(INDEX(Subject!$A:$I,MATCH(RANDBETWEEN(1,(MAX(Subject!$B:$B))),Subject!$B:$B,0),3))))</f>
        <v/>
      </c>
      <c r="O348" s="2" t="str">
        <f t="array" ref="O348">IF(NOW()&gt;AZ348,"",IF(AND((WEEKDAY($A348)+$B$2)&gt;1,((WEEKDAY($A348)+$T$2)&lt;7),(WEEKDAY($A348)&lt;&gt;1)),"work",(INDEX(Subject!$A:$I,MATCH(RANDBETWEEN(1,(MAX(Subject!$B:$B))),Subject!$B:$B,0),3))))</f>
        <v/>
      </c>
      <c r="P348" s="2" t="str">
        <f t="array" ref="P348">IF(NOW()&gt;BA348,"",IF(AND((WEEKDAY($A348)+$B$2)&gt;1,((WEEKDAY($A348)+$T$2)&lt;7),(WEEKDAY($A348)&lt;&gt;1)),"work",(INDEX(Subject!$A:$I,MATCH(RANDBETWEEN(1,(MAX(Subject!$B:$B))),Subject!$B:$B,0),3))))</f>
        <v/>
      </c>
      <c r="Q348" s="2" t="str">
        <f t="array" ref="Q348">IF(NOW()&gt;BB348,"",IF(AND((WEEKDAY($A348)+$B$2)&gt;1,((WEEKDAY($A348)+$T$2)&lt;7),(WEEKDAY($A348)&lt;&gt;1)),"work",(INDEX(Subject!$A:$I,MATCH(RANDBETWEEN(1,(MAX(Subject!$B:$B))),Subject!$B:$B,0),3))))</f>
        <v/>
      </c>
      <c r="R348" s="2" t="str">
        <f t="array" ref="R348">IF(NOW()&gt;BC348,"",IF(AND((WEEKDAY($A348)+$B$2)&gt;1,((WEEKDAY($A348)+$T$2)&lt;7),(WEEKDAY($A348)&lt;&gt;1)),"work",(INDEX(Subject!$A:$I,MATCH(RANDBETWEEN(1,(MAX(Subject!$B:$B))),Subject!$B:$B,0),3))))</f>
        <v/>
      </c>
      <c r="S348" s="2" t="str">
        <f t="array" ref="S348">IF(NOW()&gt;BD348,"",IF(AND((WEEKDAY($A348)+$B$2)&gt;1,((WEEKDAY($A348)+$T$2)&lt;7),(WEEKDAY($A348)&lt;&gt;1)),"work",(INDEX(Subject!$A:$I,MATCH(RANDBETWEEN(1,(MAX(Subject!$B:$B))),Subject!$B:$B,0),3))))</f>
        <v/>
      </c>
      <c r="T348" s="2" t="str">
        <f t="array" ref="T348">IF(NOW()&gt;BE348,"",IF(AND((WEEKDAY($A348)+$B$2)&gt;1,((WEEKDAY($A348)+$T$2)&lt;7),(WEEKDAY($A348)&lt;&gt;1)),"work",(INDEX(Subject!$A:$I,MATCH(RANDBETWEEN(1,(MAX(Subject!$B:$B))),Subject!$B:$B,0),3))))</f>
        <v/>
      </c>
      <c r="U348" s="8" t="str">
        <f t="array" ref="U348">INDEX(Subject!$A:$I,MATCH(RANDBETWEEN(1,16),Subject!$B:$B,0),3)</f>
        <v>#N/A</v>
      </c>
      <c r="V348" s="8" t="str">
        <f t="array" ref="V348">INDEX(Subject!$A:$I,MATCH(RANDBETWEEN(1,16),Subject!$B:$B,0),3)</f>
        <v>#N/A</v>
      </c>
      <c r="W348" s="8" t="str">
        <f t="array" ref="W348">INDEX(Subject!$A:$I,MATCH(RANDBETWEEN(1,16),Subject!$B:$B,0),3)</f>
        <v>#N/A</v>
      </c>
      <c r="X348" s="8" t="str">
        <f t="array" ref="X348">INDEX(Subject!$A:$I,MATCH(RANDBETWEEN(1,16),Subject!$B:$B,0),3)</f>
        <v>#N/A</v>
      </c>
      <c r="Y348" s="8" t="str">
        <f t="array" ref="Y348">INDEX(Subject!$A:$I,MATCH(RANDBETWEEN(1,16),Subject!$B:$B,0),3)</f>
        <v>#N/A</v>
      </c>
      <c r="Z348" s="8" t="str">
        <f t="array" ref="Z348">INDEX(Subject!$A:$I,MATCH(RANDBETWEEN(1,16),Subject!$B:$B,0),3)</f>
        <v>#N/A</v>
      </c>
      <c r="AA348" s="8" t="str">
        <f t="array" ref="AA348">INDEX(Subject!$A:$I,MATCH(RANDBETWEEN(1,16),Subject!$B:$B,0),3)</f>
        <v/>
      </c>
      <c r="AB348" s="8" t="str">
        <f t="array" ref="AB348">INDEX(Subject!$A:$I,MATCH(RANDBETWEEN(1,16),Subject!$B:$B,0),3)</f>
        <v>#N/A</v>
      </c>
      <c r="AC348" s="8" t="str">
        <f t="array" ref="AC348">INDEX(Subject!$A:$I,MATCH(RANDBETWEEN(1,16),Subject!$B:$B,0),3)</f>
        <v>#N/A</v>
      </c>
      <c r="AD348" s="8" t="str">
        <f t="array" ref="AD348">INDEX(Subject!$A:$I,MATCH(RANDBETWEEN(1,16),Subject!$B:$B,0),3)</f>
        <v>#N/A</v>
      </c>
      <c r="AE348" s="8" t="str">
        <f t="array" ref="AE348">INDEX(Subject!$A:$I,MATCH(RANDBETWEEN(1,16),Subject!$B:$B,0),3)</f>
        <v>#N/A</v>
      </c>
      <c r="AF348" s="8" t="str">
        <f t="array" ref="AF348">INDEX(Subject!$A:$I,MATCH(RANDBETWEEN(1,16),Subject!$B:$B,0),3)</f>
        <v>#N/A</v>
      </c>
      <c r="AG348" s="8" t="str">
        <f t="array" ref="AG348">INDEX(Subject!$A:$I,MATCH(RANDBETWEEN(1,16),Subject!$B:$B,0),3)</f>
        <v>#N/A</v>
      </c>
      <c r="AH348" s="8" t="str">
        <f t="array" ref="AH348">INDEX(Subject!$A:$I,MATCH(RANDBETWEEN(1,16),Subject!$B:$B,0),3)</f>
        <v>#N/A</v>
      </c>
      <c r="AI348" s="8" t="str">
        <f t="array" ref="AI348">INDEX(Subject!$A:$I,MATCH(RANDBETWEEN(1,16),Subject!$B:$B,0),3)</f>
        <v>#N/A</v>
      </c>
      <c r="AJ348" s="8" t="str">
        <f t="array" ref="AJ348">INDEX(Subject!$A:$I,MATCH(RANDBETWEEN(1,16),Subject!$B:$B,0),3)</f>
        <v/>
      </c>
      <c r="AK348" s="8" t="str">
        <f t="array" ref="AK348">INDEX(Subject!$A:$I,MATCH(RANDBETWEEN(1,16),Subject!$B:$B,0),3)</f>
        <v>#N/A</v>
      </c>
      <c r="AL348" s="8" t="str">
        <f t="array" ref="AL348">INDEX(Subject!$A:$I,MATCH(RANDBETWEEN(1,16),Subject!$B:$B,0),3)</f>
        <v>#N/A</v>
      </c>
      <c r="AM348" s="18">
        <f t="shared" si="4"/>
        <v>45848.33333</v>
      </c>
      <c r="AN348" s="19">
        <f t="shared" ref="AN348:BZ348" si="348">$A348+C$1</f>
        <v>45848.35417</v>
      </c>
      <c r="AO348" s="19">
        <f t="shared" si="348"/>
        <v>45848.375</v>
      </c>
      <c r="AP348" s="19">
        <f t="shared" si="348"/>
        <v>45848.39583</v>
      </c>
      <c r="AQ348" s="19">
        <f t="shared" si="348"/>
        <v>45848.41667</v>
      </c>
      <c r="AR348" s="19">
        <f t="shared" si="348"/>
        <v>45848.4375</v>
      </c>
      <c r="AS348" s="19">
        <f t="shared" si="348"/>
        <v>45848.45833</v>
      </c>
      <c r="AT348" s="19">
        <f t="shared" si="348"/>
        <v>45848.47917</v>
      </c>
      <c r="AU348" s="19">
        <f t="shared" si="348"/>
        <v>45848.5</v>
      </c>
      <c r="AV348" s="19">
        <f t="shared" si="348"/>
        <v>45848.52083</v>
      </c>
      <c r="AW348" s="19">
        <f t="shared" si="348"/>
        <v>45848.54167</v>
      </c>
      <c r="AX348" s="19">
        <f t="shared" si="348"/>
        <v>45848.5625</v>
      </c>
      <c r="AY348" s="19">
        <f t="shared" si="348"/>
        <v>45848.58333</v>
      </c>
      <c r="AZ348" s="19">
        <f t="shared" si="348"/>
        <v>45848.60417</v>
      </c>
      <c r="BA348" s="19">
        <f t="shared" si="348"/>
        <v>45848.625</v>
      </c>
      <c r="BB348" s="19">
        <f t="shared" si="348"/>
        <v>45848.64583</v>
      </c>
      <c r="BC348" s="19">
        <f t="shared" si="348"/>
        <v>45848.66667</v>
      </c>
      <c r="BD348" s="19">
        <f t="shared" si="348"/>
        <v>45848.6875</v>
      </c>
      <c r="BE348" s="19">
        <f t="shared" si="348"/>
        <v>45848.70833</v>
      </c>
      <c r="BF348" s="19">
        <f t="shared" si="348"/>
        <v>45848.72917</v>
      </c>
      <c r="BG348" s="19">
        <f t="shared" si="348"/>
        <v>45848.75</v>
      </c>
      <c r="BH348" s="19">
        <f t="shared" si="348"/>
        <v>45848.77083</v>
      </c>
      <c r="BI348" s="19">
        <f t="shared" si="348"/>
        <v>45848.79167</v>
      </c>
      <c r="BJ348" s="19">
        <f t="shared" si="348"/>
        <v>45848.8125</v>
      </c>
      <c r="BK348" s="19">
        <f t="shared" si="348"/>
        <v>45848.83333</v>
      </c>
      <c r="BL348" s="19">
        <f t="shared" si="348"/>
        <v>45848.85417</v>
      </c>
      <c r="BM348" s="19">
        <f t="shared" si="348"/>
        <v>45848.875</v>
      </c>
      <c r="BN348" s="19">
        <f t="shared" si="348"/>
        <v>45848.89583</v>
      </c>
      <c r="BO348" s="19">
        <f t="shared" si="348"/>
        <v>45848.91667</v>
      </c>
      <c r="BP348" s="19">
        <f t="shared" si="348"/>
        <v>45848.9375</v>
      </c>
      <c r="BQ348" s="19">
        <f t="shared" si="348"/>
        <v>45848.95833</v>
      </c>
      <c r="BR348" s="19">
        <f t="shared" si="348"/>
        <v>45848.97917</v>
      </c>
      <c r="BS348" s="19">
        <f t="shared" si="348"/>
        <v>45849</v>
      </c>
      <c r="BT348" s="19">
        <f t="shared" si="348"/>
        <v>45849.02083</v>
      </c>
      <c r="BU348" s="19">
        <f t="shared" si="348"/>
        <v>45849.04167</v>
      </c>
      <c r="BV348" s="19">
        <f t="shared" si="348"/>
        <v>45849.0625</v>
      </c>
      <c r="BW348" s="19">
        <f t="shared" si="348"/>
        <v>45849.08333</v>
      </c>
      <c r="BX348" s="19">
        <f t="shared" si="348"/>
        <v>45848</v>
      </c>
      <c r="BY348" s="19">
        <f t="shared" si="348"/>
        <v>45848</v>
      </c>
      <c r="BZ348" s="19">
        <f t="shared" si="348"/>
        <v>45848</v>
      </c>
    </row>
    <row r="349" ht="14.25" customHeight="1">
      <c r="A349" s="17">
        <v>45849.0</v>
      </c>
      <c r="B349" s="2" t="str">
        <f t="array" ref="B349">IF(NOW()&gt;AM349,"",IF(AND((WEEKDAY($A349)+$B$2)&gt;1,((WEEKDAY($A349)+$T$2)&lt;7),(WEEKDAY($A349)&lt;&gt;1)),"work",(INDEX(Subject!$A:$I,MATCH(RANDBETWEEN(1,(MAX(Subject!$B:$B))),Subject!$B:$B,0),3))))</f>
        <v/>
      </c>
      <c r="C349" s="2" t="str">
        <f t="array" ref="C349">IF(NOW()&gt;AN349,"",IF(AND((WEEKDAY($A349)+$B$2)&gt;1,((WEEKDAY($A349)+$T$2)&lt;7),(WEEKDAY($A349)&lt;&gt;1)),"work",(INDEX(Subject!$A:$I,MATCH(RANDBETWEEN(1,(MAX(Subject!$B:$B))),Subject!$B:$B,0),3))))</f>
        <v/>
      </c>
      <c r="D349" s="2" t="str">
        <f t="array" ref="D349">IF(NOW()&gt;AO349,"",IF(AND((WEEKDAY($A349)+$B$2)&gt;1,((WEEKDAY($A349)+$T$2)&lt;7),(WEEKDAY($A349)&lt;&gt;1)),"work",(INDEX(Subject!$A:$I,MATCH(RANDBETWEEN(1,(MAX(Subject!$B:$B))),Subject!$B:$B,0),3))))</f>
        <v/>
      </c>
      <c r="E349" s="2" t="str">
        <f t="array" ref="E349">IF(NOW()&gt;AP349,"",IF(AND((WEEKDAY($A349)+$B$2)&gt;1,((WEEKDAY($A349)+$T$2)&lt;7),(WEEKDAY($A349)&lt;&gt;1)),"work",(INDEX(Subject!$A:$I,MATCH(RANDBETWEEN(1,(MAX(Subject!$B:$B))),Subject!$B:$B,0),3))))</f>
        <v/>
      </c>
      <c r="F349" s="2" t="str">
        <f t="array" ref="F349">IF(NOW()&gt;AQ349,"",IF(AND((WEEKDAY($A349)+$B$2)&gt;1,((WEEKDAY($A349)+$T$2)&lt;7),(WEEKDAY($A349)&lt;&gt;1)),"work",(INDEX(Subject!$A:$I,MATCH(RANDBETWEEN(1,(MAX(Subject!$B:$B))),Subject!$B:$B,0),3))))</f>
        <v/>
      </c>
      <c r="G349" s="2" t="str">
        <f t="array" ref="G349">IF(NOW()&gt;AR349,"",IF(AND((WEEKDAY($A349)+$B$2)&gt;1,((WEEKDAY($A349)+$T$2)&lt;7),(WEEKDAY($A349)&lt;&gt;1)),"work",(INDEX(Subject!$A:$I,MATCH(RANDBETWEEN(1,(MAX(Subject!$B:$B))),Subject!$B:$B,0),3))))</f>
        <v/>
      </c>
      <c r="H349" s="2" t="str">
        <f t="array" ref="H349">IF(NOW()&gt;AS349,"",IF(AND((WEEKDAY($A349)+$B$2)&gt;1,((WEEKDAY($A349)+$T$2)&lt;7),(WEEKDAY($A349)&lt;&gt;1)),"work",(INDEX(Subject!$A:$I,MATCH(RANDBETWEEN(1,(MAX(Subject!$B:$B))),Subject!$B:$B,0),3))))</f>
        <v/>
      </c>
      <c r="I349" s="2" t="str">
        <f t="array" ref="I349">IF(NOW()&gt;AT349,"",IF(AND((WEEKDAY($A349)+$B$2)&gt;1,((WEEKDAY($A349)+$T$2)&lt;7),(WEEKDAY($A349)&lt;&gt;1)),"work",(INDEX(Subject!$A:$I,MATCH(RANDBETWEEN(1,(MAX(Subject!$B:$B))),Subject!$B:$B,0),3))))</f>
        <v/>
      </c>
      <c r="J349" s="2" t="str">
        <f t="array" ref="J349">IF(NOW()&gt;AU349,"",IF(AND((WEEKDAY($A349)+$B$2)&gt;1,((WEEKDAY($A349)+$T$2)&lt;7),(WEEKDAY($A349)&lt;&gt;1)),"work",(INDEX(Subject!$A:$I,MATCH(RANDBETWEEN(1,(MAX(Subject!$B:$B))),Subject!$B:$B,0),3))))</f>
        <v/>
      </c>
      <c r="K349" s="2" t="str">
        <f t="array" ref="K349">IF(NOW()&gt;AV349,"",IF(AND((WEEKDAY($A349)+$B$2)&gt;1,((WEEKDAY($A349)+$T$2)&lt;7),(WEEKDAY($A349)&lt;&gt;1)),"work",(INDEX(Subject!$A:$I,MATCH(RANDBETWEEN(1,(MAX(Subject!$B:$B))),Subject!$B:$B,0),3))))</f>
        <v/>
      </c>
      <c r="L349" s="2" t="str">
        <f t="array" ref="L349">IF(NOW()&gt;AW349,"",IF(AND((WEEKDAY($A349)+$B$2)&gt;1,((WEEKDAY($A349)+$T$2)&lt;7),(WEEKDAY($A349)&lt;&gt;1)),"work",(INDEX(Subject!$A:$I,MATCH(RANDBETWEEN(1,(MAX(Subject!$B:$B))),Subject!$B:$B,0),3))))</f>
        <v/>
      </c>
      <c r="M349" s="2" t="str">
        <f t="array" ref="M349">IF(NOW()&gt;AX349,"",IF(AND((WEEKDAY($A349)+$B$2)&gt;1,((WEEKDAY($A349)+$T$2)&lt;7),(WEEKDAY($A349)&lt;&gt;1)),"work",(INDEX(Subject!$A:$I,MATCH(RANDBETWEEN(1,(MAX(Subject!$B:$B))),Subject!$B:$B,0),3))))</f>
        <v/>
      </c>
      <c r="N349" s="2" t="str">
        <f t="array" ref="N349">IF(NOW()&gt;AY349,"",IF(AND((WEEKDAY($A349)+$B$2)&gt;1,((WEEKDAY($A349)+$T$2)&lt;7),(WEEKDAY($A349)&lt;&gt;1)),"work",(INDEX(Subject!$A:$I,MATCH(RANDBETWEEN(1,(MAX(Subject!$B:$B))),Subject!$B:$B,0),3))))</f>
        <v/>
      </c>
      <c r="O349" s="2" t="str">
        <f t="array" ref="O349">IF(NOW()&gt;AZ349,"",IF(AND((WEEKDAY($A349)+$B$2)&gt;1,((WEEKDAY($A349)+$T$2)&lt;7),(WEEKDAY($A349)&lt;&gt;1)),"work",(INDEX(Subject!$A:$I,MATCH(RANDBETWEEN(1,(MAX(Subject!$B:$B))),Subject!$B:$B,0),3))))</f>
        <v/>
      </c>
      <c r="P349" s="2" t="str">
        <f t="array" ref="P349">IF(NOW()&gt;BA349,"",IF(AND((WEEKDAY($A349)+$B$2)&gt;1,((WEEKDAY($A349)+$T$2)&lt;7),(WEEKDAY($A349)&lt;&gt;1)),"work",(INDEX(Subject!$A:$I,MATCH(RANDBETWEEN(1,(MAX(Subject!$B:$B))),Subject!$B:$B,0),3))))</f>
        <v/>
      </c>
      <c r="Q349" s="2" t="str">
        <f t="array" ref="Q349">IF(NOW()&gt;BB349,"",IF(AND((WEEKDAY($A349)+$B$2)&gt;1,((WEEKDAY($A349)+$T$2)&lt;7),(WEEKDAY($A349)&lt;&gt;1)),"work",(INDEX(Subject!$A:$I,MATCH(RANDBETWEEN(1,(MAX(Subject!$B:$B))),Subject!$B:$B,0),3))))</f>
        <v/>
      </c>
      <c r="R349" s="2" t="str">
        <f t="array" ref="R349">IF(NOW()&gt;BC349,"",IF(AND((WEEKDAY($A349)+$B$2)&gt;1,((WEEKDAY($A349)+$T$2)&lt;7),(WEEKDAY($A349)&lt;&gt;1)),"work",(INDEX(Subject!$A:$I,MATCH(RANDBETWEEN(1,(MAX(Subject!$B:$B))),Subject!$B:$B,0),3))))</f>
        <v/>
      </c>
      <c r="S349" s="2" t="str">
        <f t="array" ref="S349">IF(NOW()&gt;BD349,"",IF(AND((WEEKDAY($A349)+$B$2)&gt;1,((WEEKDAY($A349)+$T$2)&lt;7),(WEEKDAY($A349)&lt;&gt;1)),"work",(INDEX(Subject!$A:$I,MATCH(RANDBETWEEN(1,(MAX(Subject!$B:$B))),Subject!$B:$B,0),3))))</f>
        <v/>
      </c>
      <c r="T349" s="2" t="str">
        <f t="array" ref="T349">IF(NOW()&gt;BE349,"",IF(AND((WEEKDAY($A349)+$B$2)&gt;1,((WEEKDAY($A349)+$T$2)&lt;7),(WEEKDAY($A349)&lt;&gt;1)),"work",(INDEX(Subject!$A:$I,MATCH(RANDBETWEEN(1,(MAX(Subject!$B:$B))),Subject!$B:$B,0),3))))</f>
        <v/>
      </c>
      <c r="U349" s="8" t="str">
        <f t="array" ref="U349">INDEX(Subject!$A:$I,MATCH(RANDBETWEEN(1,16),Subject!$B:$B,0),3)</f>
        <v>#N/A</v>
      </c>
      <c r="V349" s="8" t="str">
        <f t="array" ref="V349">INDEX(Subject!$A:$I,MATCH(RANDBETWEEN(1,16),Subject!$B:$B,0),3)</f>
        <v>#N/A</v>
      </c>
      <c r="W349" s="8" t="str">
        <f t="array" ref="W349">INDEX(Subject!$A:$I,MATCH(RANDBETWEEN(1,16),Subject!$B:$B,0),3)</f>
        <v>#N/A</v>
      </c>
      <c r="X349" s="8" t="str">
        <f t="array" ref="X349">INDEX(Subject!$A:$I,MATCH(RANDBETWEEN(1,16),Subject!$B:$B,0),3)</f>
        <v>#N/A</v>
      </c>
      <c r="Y349" s="8" t="str">
        <f t="array" ref="Y349">INDEX(Subject!$A:$I,MATCH(RANDBETWEEN(1,16),Subject!$B:$B,0),3)</f>
        <v>#N/A</v>
      </c>
      <c r="Z349" s="8" t="str">
        <f t="array" ref="Z349">INDEX(Subject!$A:$I,MATCH(RANDBETWEEN(1,16),Subject!$B:$B,0),3)</f>
        <v>#N/A</v>
      </c>
      <c r="AA349" s="8" t="str">
        <f t="array" ref="AA349">INDEX(Subject!$A:$I,MATCH(RANDBETWEEN(1,16),Subject!$B:$B,0),3)</f>
        <v>#N/A</v>
      </c>
      <c r="AB349" s="8" t="str">
        <f t="array" ref="AB349">INDEX(Subject!$A:$I,MATCH(RANDBETWEEN(1,16),Subject!$B:$B,0),3)</f>
        <v>#N/A</v>
      </c>
      <c r="AC349" s="8" t="str">
        <f t="array" ref="AC349">INDEX(Subject!$A:$I,MATCH(RANDBETWEEN(1,16),Subject!$B:$B,0),3)</f>
        <v>#N/A</v>
      </c>
      <c r="AD349" s="8" t="str">
        <f t="array" ref="AD349">INDEX(Subject!$A:$I,MATCH(RANDBETWEEN(1,16),Subject!$B:$B,0),3)</f>
        <v>#N/A</v>
      </c>
      <c r="AE349" s="8" t="str">
        <f t="array" ref="AE349">INDEX(Subject!$A:$I,MATCH(RANDBETWEEN(1,16),Subject!$B:$B,0),3)</f>
        <v>#N/A</v>
      </c>
      <c r="AF349" s="8" t="str">
        <f t="array" ref="AF349">INDEX(Subject!$A:$I,MATCH(RANDBETWEEN(1,16),Subject!$B:$B,0),3)</f>
        <v>#N/A</v>
      </c>
      <c r="AG349" s="8" t="str">
        <f t="array" ref="AG349">INDEX(Subject!$A:$I,MATCH(RANDBETWEEN(1,16),Subject!$B:$B,0),3)</f>
        <v>#N/A</v>
      </c>
      <c r="AH349" s="8" t="str">
        <f t="array" ref="AH349">INDEX(Subject!$A:$I,MATCH(RANDBETWEEN(1,16),Subject!$B:$B,0),3)</f>
        <v>#N/A</v>
      </c>
      <c r="AI349" s="8" t="str">
        <f t="array" ref="AI349">INDEX(Subject!$A:$I,MATCH(RANDBETWEEN(1,16),Subject!$B:$B,0),3)</f>
        <v>#N/A</v>
      </c>
      <c r="AJ349" s="8" t="str">
        <f t="array" ref="AJ349">INDEX(Subject!$A:$I,MATCH(RANDBETWEEN(1,16),Subject!$B:$B,0),3)</f>
        <v>#N/A</v>
      </c>
      <c r="AK349" s="8" t="str">
        <f t="array" ref="AK349">INDEX(Subject!$A:$I,MATCH(RANDBETWEEN(1,16),Subject!$B:$B,0),3)</f>
        <v>#N/A</v>
      </c>
      <c r="AL349" s="8" t="str">
        <f t="array" ref="AL349">INDEX(Subject!$A:$I,MATCH(RANDBETWEEN(1,16),Subject!$B:$B,0),3)</f>
        <v>#N/A</v>
      </c>
      <c r="AM349" s="18">
        <f t="shared" si="4"/>
        <v>45849.33333</v>
      </c>
      <c r="AN349" s="19">
        <f t="shared" ref="AN349:BZ349" si="349">$A349+C$1</f>
        <v>45849.35417</v>
      </c>
      <c r="AO349" s="19">
        <f t="shared" si="349"/>
        <v>45849.375</v>
      </c>
      <c r="AP349" s="19">
        <f t="shared" si="349"/>
        <v>45849.39583</v>
      </c>
      <c r="AQ349" s="19">
        <f t="shared" si="349"/>
        <v>45849.41667</v>
      </c>
      <c r="AR349" s="19">
        <f t="shared" si="349"/>
        <v>45849.4375</v>
      </c>
      <c r="AS349" s="19">
        <f t="shared" si="349"/>
        <v>45849.45833</v>
      </c>
      <c r="AT349" s="19">
        <f t="shared" si="349"/>
        <v>45849.47917</v>
      </c>
      <c r="AU349" s="19">
        <f t="shared" si="349"/>
        <v>45849.5</v>
      </c>
      <c r="AV349" s="19">
        <f t="shared" si="349"/>
        <v>45849.52083</v>
      </c>
      <c r="AW349" s="19">
        <f t="shared" si="349"/>
        <v>45849.54167</v>
      </c>
      <c r="AX349" s="19">
        <f t="shared" si="349"/>
        <v>45849.5625</v>
      </c>
      <c r="AY349" s="19">
        <f t="shared" si="349"/>
        <v>45849.58333</v>
      </c>
      <c r="AZ349" s="19">
        <f t="shared" si="349"/>
        <v>45849.60417</v>
      </c>
      <c r="BA349" s="19">
        <f t="shared" si="349"/>
        <v>45849.625</v>
      </c>
      <c r="BB349" s="19">
        <f t="shared" si="349"/>
        <v>45849.64583</v>
      </c>
      <c r="BC349" s="19">
        <f t="shared" si="349"/>
        <v>45849.66667</v>
      </c>
      <c r="BD349" s="19">
        <f t="shared" si="349"/>
        <v>45849.6875</v>
      </c>
      <c r="BE349" s="19">
        <f t="shared" si="349"/>
        <v>45849.70833</v>
      </c>
      <c r="BF349" s="19">
        <f t="shared" si="349"/>
        <v>45849.72917</v>
      </c>
      <c r="BG349" s="19">
        <f t="shared" si="349"/>
        <v>45849.75</v>
      </c>
      <c r="BH349" s="19">
        <f t="shared" si="349"/>
        <v>45849.77083</v>
      </c>
      <c r="BI349" s="19">
        <f t="shared" si="349"/>
        <v>45849.79167</v>
      </c>
      <c r="BJ349" s="19">
        <f t="shared" si="349"/>
        <v>45849.8125</v>
      </c>
      <c r="BK349" s="19">
        <f t="shared" si="349"/>
        <v>45849.83333</v>
      </c>
      <c r="BL349" s="19">
        <f t="shared" si="349"/>
        <v>45849.85417</v>
      </c>
      <c r="BM349" s="19">
        <f t="shared" si="349"/>
        <v>45849.875</v>
      </c>
      <c r="BN349" s="19">
        <f t="shared" si="349"/>
        <v>45849.89583</v>
      </c>
      <c r="BO349" s="19">
        <f t="shared" si="349"/>
        <v>45849.91667</v>
      </c>
      <c r="BP349" s="19">
        <f t="shared" si="349"/>
        <v>45849.9375</v>
      </c>
      <c r="BQ349" s="19">
        <f t="shared" si="349"/>
        <v>45849.95833</v>
      </c>
      <c r="BR349" s="19">
        <f t="shared" si="349"/>
        <v>45849.97917</v>
      </c>
      <c r="BS349" s="19">
        <f t="shared" si="349"/>
        <v>45850</v>
      </c>
      <c r="BT349" s="19">
        <f t="shared" si="349"/>
        <v>45850.02083</v>
      </c>
      <c r="BU349" s="19">
        <f t="shared" si="349"/>
        <v>45850.04167</v>
      </c>
      <c r="BV349" s="19">
        <f t="shared" si="349"/>
        <v>45850.0625</v>
      </c>
      <c r="BW349" s="19">
        <f t="shared" si="349"/>
        <v>45850.08333</v>
      </c>
      <c r="BX349" s="19">
        <f t="shared" si="349"/>
        <v>45849</v>
      </c>
      <c r="BY349" s="19">
        <f t="shared" si="349"/>
        <v>45849</v>
      </c>
      <c r="BZ349" s="19">
        <f t="shared" si="349"/>
        <v>45849</v>
      </c>
    </row>
    <row r="350" ht="14.25" customHeight="1">
      <c r="A350" s="17">
        <v>45850.0</v>
      </c>
      <c r="B350" s="2" t="str">
        <f t="array" ref="B350">IF(NOW()&gt;AM350,"",IF(AND((WEEKDAY($A350)+$B$2)&gt;1,((WEEKDAY($A350)+$T$2)&lt;7),(WEEKDAY($A350)&lt;&gt;1)),"work",(INDEX(Subject!$A:$I,MATCH(RANDBETWEEN(1,(MAX(Subject!$B:$B))),Subject!$B:$B,0),3))))</f>
        <v/>
      </c>
      <c r="C350" s="2" t="str">
        <f t="array" ref="C350">IF(NOW()&gt;AN350,"",IF(AND((WEEKDAY($A350)+$B$2)&gt;1,((WEEKDAY($A350)+$T$2)&lt;7),(WEEKDAY($A350)&lt;&gt;1)),"work",(INDEX(Subject!$A:$I,MATCH(RANDBETWEEN(1,(MAX(Subject!$B:$B))),Subject!$B:$B,0),3))))</f>
        <v/>
      </c>
      <c r="D350" s="2" t="str">
        <f t="array" ref="D350">IF(NOW()&gt;AO350,"",IF(AND((WEEKDAY($A350)+$B$2)&gt;1,((WEEKDAY($A350)+$T$2)&lt;7),(WEEKDAY($A350)&lt;&gt;1)),"work",(INDEX(Subject!$A:$I,MATCH(RANDBETWEEN(1,(MAX(Subject!$B:$B))),Subject!$B:$B,0),3))))</f>
        <v/>
      </c>
      <c r="E350" s="2" t="str">
        <f t="array" ref="E350">IF(NOW()&gt;AP350,"",IF(AND((WEEKDAY($A350)+$B$2)&gt;1,((WEEKDAY($A350)+$T$2)&lt;7),(WEEKDAY($A350)&lt;&gt;1)),"work",(INDEX(Subject!$A:$I,MATCH(RANDBETWEEN(1,(MAX(Subject!$B:$B))),Subject!$B:$B,0),3))))</f>
        <v/>
      </c>
      <c r="F350" s="2" t="str">
        <f t="array" ref="F350">IF(NOW()&gt;AQ350,"",IF(AND((WEEKDAY($A350)+$B$2)&gt;1,((WEEKDAY($A350)+$T$2)&lt;7),(WEEKDAY($A350)&lt;&gt;1)),"work",(INDEX(Subject!$A:$I,MATCH(RANDBETWEEN(1,(MAX(Subject!$B:$B))),Subject!$B:$B,0),3))))</f>
        <v/>
      </c>
      <c r="G350" s="2" t="str">
        <f t="array" ref="G350">IF(NOW()&gt;AR350,"",IF(AND((WEEKDAY($A350)+$B$2)&gt;1,((WEEKDAY($A350)+$T$2)&lt;7),(WEEKDAY($A350)&lt;&gt;1)),"work",(INDEX(Subject!$A:$I,MATCH(RANDBETWEEN(1,(MAX(Subject!$B:$B))),Subject!$B:$B,0),3))))</f>
        <v/>
      </c>
      <c r="H350" s="2" t="str">
        <f t="array" ref="H350">IF(NOW()&gt;AS350,"",IF(AND((WEEKDAY($A350)+$B$2)&gt;1,((WEEKDAY($A350)+$T$2)&lt;7),(WEEKDAY($A350)&lt;&gt;1)),"work",(INDEX(Subject!$A:$I,MATCH(RANDBETWEEN(1,(MAX(Subject!$B:$B))),Subject!$B:$B,0),3))))</f>
        <v/>
      </c>
      <c r="I350" s="2" t="str">
        <f t="array" ref="I350">IF(NOW()&gt;AT350,"",IF(AND((WEEKDAY($A350)+$B$2)&gt;1,((WEEKDAY($A350)+$T$2)&lt;7),(WEEKDAY($A350)&lt;&gt;1)),"work",(INDEX(Subject!$A:$I,MATCH(RANDBETWEEN(1,(MAX(Subject!$B:$B))),Subject!$B:$B,0),3))))</f>
        <v/>
      </c>
      <c r="J350" s="2" t="str">
        <f t="array" ref="J350">IF(NOW()&gt;AU350,"",IF(AND((WEEKDAY($A350)+$B$2)&gt;1,((WEEKDAY($A350)+$T$2)&lt;7),(WEEKDAY($A350)&lt;&gt;1)),"work",(INDEX(Subject!$A:$I,MATCH(RANDBETWEEN(1,(MAX(Subject!$B:$B))),Subject!$B:$B,0),3))))</f>
        <v/>
      </c>
      <c r="K350" s="2" t="str">
        <f t="array" ref="K350">IF(NOW()&gt;AV350,"",IF(AND((WEEKDAY($A350)+$B$2)&gt;1,((WEEKDAY($A350)+$T$2)&lt;7),(WEEKDAY($A350)&lt;&gt;1)),"work",(INDEX(Subject!$A:$I,MATCH(RANDBETWEEN(1,(MAX(Subject!$B:$B))),Subject!$B:$B,0),3))))</f>
        <v/>
      </c>
      <c r="L350" s="2" t="str">
        <f t="array" ref="L350">IF(NOW()&gt;AW350,"",IF(AND((WEEKDAY($A350)+$B$2)&gt;1,((WEEKDAY($A350)+$T$2)&lt;7),(WEEKDAY($A350)&lt;&gt;1)),"work",(INDEX(Subject!$A:$I,MATCH(RANDBETWEEN(1,(MAX(Subject!$B:$B))),Subject!$B:$B,0),3))))</f>
        <v/>
      </c>
      <c r="M350" s="2" t="str">
        <f t="array" ref="M350">IF(NOW()&gt;AX350,"",IF(AND((WEEKDAY($A350)+$B$2)&gt;1,((WEEKDAY($A350)+$T$2)&lt;7),(WEEKDAY($A350)&lt;&gt;1)),"work",(INDEX(Subject!$A:$I,MATCH(RANDBETWEEN(1,(MAX(Subject!$B:$B))),Subject!$B:$B,0),3))))</f>
        <v/>
      </c>
      <c r="N350" s="2" t="str">
        <f t="array" ref="N350">IF(NOW()&gt;AY350,"",IF(AND((WEEKDAY($A350)+$B$2)&gt;1,((WEEKDAY($A350)+$T$2)&lt;7),(WEEKDAY($A350)&lt;&gt;1)),"work",(INDEX(Subject!$A:$I,MATCH(RANDBETWEEN(1,(MAX(Subject!$B:$B))),Subject!$B:$B,0),3))))</f>
        <v/>
      </c>
      <c r="O350" s="2" t="str">
        <f t="array" ref="O350">IF(NOW()&gt;AZ350,"",IF(AND((WEEKDAY($A350)+$B$2)&gt;1,((WEEKDAY($A350)+$T$2)&lt;7),(WEEKDAY($A350)&lt;&gt;1)),"work",(INDEX(Subject!$A:$I,MATCH(RANDBETWEEN(1,(MAX(Subject!$B:$B))),Subject!$B:$B,0),3))))</f>
        <v/>
      </c>
      <c r="P350" s="2" t="str">
        <f t="array" ref="P350">IF(NOW()&gt;BA350,"",IF(AND((WEEKDAY($A350)+$B$2)&gt;1,((WEEKDAY($A350)+$T$2)&lt;7),(WEEKDAY($A350)&lt;&gt;1)),"work",(INDEX(Subject!$A:$I,MATCH(RANDBETWEEN(1,(MAX(Subject!$B:$B))),Subject!$B:$B,0),3))))</f>
        <v/>
      </c>
      <c r="Q350" s="2" t="str">
        <f t="array" ref="Q350">IF(NOW()&gt;BB350,"",IF(AND((WEEKDAY($A350)+$B$2)&gt;1,((WEEKDAY($A350)+$T$2)&lt;7),(WEEKDAY($A350)&lt;&gt;1)),"work",(INDEX(Subject!$A:$I,MATCH(RANDBETWEEN(1,(MAX(Subject!$B:$B))),Subject!$B:$B,0),3))))</f>
        <v/>
      </c>
      <c r="R350" s="2" t="str">
        <f t="array" ref="R350">IF(NOW()&gt;BC350,"",IF(AND((WEEKDAY($A350)+$B$2)&gt;1,((WEEKDAY($A350)+$T$2)&lt;7),(WEEKDAY($A350)&lt;&gt;1)),"work",(INDEX(Subject!$A:$I,MATCH(RANDBETWEEN(1,(MAX(Subject!$B:$B))),Subject!$B:$B,0),3))))</f>
        <v/>
      </c>
      <c r="S350" s="2" t="str">
        <f t="array" ref="S350">IF(NOW()&gt;BD350,"",IF(AND((WEEKDAY($A350)+$B$2)&gt;1,((WEEKDAY($A350)+$T$2)&lt;7),(WEEKDAY($A350)&lt;&gt;1)),"work",(INDEX(Subject!$A:$I,MATCH(RANDBETWEEN(1,(MAX(Subject!$B:$B))),Subject!$B:$B,0),3))))</f>
        <v/>
      </c>
      <c r="T350" s="2" t="str">
        <f t="array" ref="T350">IF(NOW()&gt;BE350,"",IF(AND((WEEKDAY($A350)+$B$2)&gt;1,((WEEKDAY($A350)+$T$2)&lt;7),(WEEKDAY($A350)&lt;&gt;1)),"work",(INDEX(Subject!$A:$I,MATCH(RANDBETWEEN(1,(MAX(Subject!$B:$B))),Subject!$B:$B,0),3))))</f>
        <v/>
      </c>
      <c r="U350" s="8" t="str">
        <f t="array" ref="U350">INDEX(Subject!$A:$I,MATCH(RANDBETWEEN(1,16),Subject!$B:$B,0),3)</f>
        <v>#N/A</v>
      </c>
      <c r="V350" s="8" t="str">
        <f t="array" ref="V350">INDEX(Subject!$A:$I,MATCH(RANDBETWEEN(1,16),Subject!$B:$B,0),3)</f>
        <v>#N/A</v>
      </c>
      <c r="W350" s="8" t="str">
        <f t="array" ref="W350">INDEX(Subject!$A:$I,MATCH(RANDBETWEEN(1,16),Subject!$B:$B,0),3)</f>
        <v>#N/A</v>
      </c>
      <c r="X350" s="8" t="str">
        <f t="array" ref="X350">INDEX(Subject!$A:$I,MATCH(RANDBETWEEN(1,16),Subject!$B:$B,0),3)</f>
        <v>#N/A</v>
      </c>
      <c r="Y350" s="8" t="str">
        <f t="array" ref="Y350">INDEX(Subject!$A:$I,MATCH(RANDBETWEEN(1,16),Subject!$B:$B,0),3)</f>
        <v>#N/A</v>
      </c>
      <c r="Z350" s="8" t="str">
        <f t="array" ref="Z350">INDEX(Subject!$A:$I,MATCH(RANDBETWEEN(1,16),Subject!$B:$B,0),3)</f>
        <v>#N/A</v>
      </c>
      <c r="AA350" s="8" t="str">
        <f t="array" ref="AA350">INDEX(Subject!$A:$I,MATCH(RANDBETWEEN(1,16),Subject!$B:$B,0),3)</f>
        <v>#N/A</v>
      </c>
      <c r="AB350" s="8" t="str">
        <f t="array" ref="AB350">INDEX(Subject!$A:$I,MATCH(RANDBETWEEN(1,16),Subject!$B:$B,0),3)</f>
        <v>#N/A</v>
      </c>
      <c r="AC350" s="8" t="str">
        <f t="array" ref="AC350">INDEX(Subject!$A:$I,MATCH(RANDBETWEEN(1,16),Subject!$B:$B,0),3)</f>
        <v>#N/A</v>
      </c>
      <c r="AD350" s="8" t="str">
        <f t="array" ref="AD350">INDEX(Subject!$A:$I,MATCH(RANDBETWEEN(1,16),Subject!$B:$B,0),3)</f>
        <v>#N/A</v>
      </c>
      <c r="AE350" s="8" t="str">
        <f t="array" ref="AE350">INDEX(Subject!$A:$I,MATCH(RANDBETWEEN(1,16),Subject!$B:$B,0),3)</f>
        <v>#N/A</v>
      </c>
      <c r="AF350" s="8" t="str">
        <f t="array" ref="AF350">INDEX(Subject!$A:$I,MATCH(RANDBETWEEN(1,16),Subject!$B:$B,0),3)</f>
        <v>#N/A</v>
      </c>
      <c r="AG350" s="8" t="str">
        <f t="array" ref="AG350">INDEX(Subject!$A:$I,MATCH(RANDBETWEEN(1,16),Subject!$B:$B,0),3)</f>
        <v>#N/A</v>
      </c>
      <c r="AH350" s="8" t="str">
        <f t="array" ref="AH350">INDEX(Subject!$A:$I,MATCH(RANDBETWEEN(1,16),Subject!$B:$B,0),3)</f>
        <v>#N/A</v>
      </c>
      <c r="AI350" s="8" t="str">
        <f t="array" ref="AI350">INDEX(Subject!$A:$I,MATCH(RANDBETWEEN(1,16),Subject!$B:$B,0),3)</f>
        <v>#N/A</v>
      </c>
      <c r="AJ350" s="8" t="str">
        <f t="array" ref="AJ350">INDEX(Subject!$A:$I,MATCH(RANDBETWEEN(1,16),Subject!$B:$B,0),3)</f>
        <v>#N/A</v>
      </c>
      <c r="AK350" s="8" t="str">
        <f t="array" ref="AK350">INDEX(Subject!$A:$I,MATCH(RANDBETWEEN(1,16),Subject!$B:$B,0),3)</f>
        <v>#N/A</v>
      </c>
      <c r="AL350" s="8" t="str">
        <f t="array" ref="AL350">INDEX(Subject!$A:$I,MATCH(RANDBETWEEN(1,16),Subject!$B:$B,0),3)</f>
        <v>#N/A</v>
      </c>
      <c r="AM350" s="18">
        <f t="shared" si="4"/>
        <v>45850.33333</v>
      </c>
      <c r="AN350" s="19">
        <f t="shared" ref="AN350:BZ350" si="350">$A350+C$1</f>
        <v>45850.35417</v>
      </c>
      <c r="AO350" s="19">
        <f t="shared" si="350"/>
        <v>45850.375</v>
      </c>
      <c r="AP350" s="19">
        <f t="shared" si="350"/>
        <v>45850.39583</v>
      </c>
      <c r="AQ350" s="19">
        <f t="shared" si="350"/>
        <v>45850.41667</v>
      </c>
      <c r="AR350" s="19">
        <f t="shared" si="350"/>
        <v>45850.4375</v>
      </c>
      <c r="AS350" s="19">
        <f t="shared" si="350"/>
        <v>45850.45833</v>
      </c>
      <c r="AT350" s="19">
        <f t="shared" si="350"/>
        <v>45850.47917</v>
      </c>
      <c r="AU350" s="19">
        <f t="shared" si="350"/>
        <v>45850.5</v>
      </c>
      <c r="AV350" s="19">
        <f t="shared" si="350"/>
        <v>45850.52083</v>
      </c>
      <c r="AW350" s="19">
        <f t="shared" si="350"/>
        <v>45850.54167</v>
      </c>
      <c r="AX350" s="19">
        <f t="shared" si="350"/>
        <v>45850.5625</v>
      </c>
      <c r="AY350" s="19">
        <f t="shared" si="350"/>
        <v>45850.58333</v>
      </c>
      <c r="AZ350" s="19">
        <f t="shared" si="350"/>
        <v>45850.60417</v>
      </c>
      <c r="BA350" s="19">
        <f t="shared" si="350"/>
        <v>45850.625</v>
      </c>
      <c r="BB350" s="19">
        <f t="shared" si="350"/>
        <v>45850.64583</v>
      </c>
      <c r="BC350" s="19">
        <f t="shared" si="350"/>
        <v>45850.66667</v>
      </c>
      <c r="BD350" s="19">
        <f t="shared" si="350"/>
        <v>45850.6875</v>
      </c>
      <c r="BE350" s="19">
        <f t="shared" si="350"/>
        <v>45850.70833</v>
      </c>
      <c r="BF350" s="19">
        <f t="shared" si="350"/>
        <v>45850.72917</v>
      </c>
      <c r="BG350" s="19">
        <f t="shared" si="350"/>
        <v>45850.75</v>
      </c>
      <c r="BH350" s="19">
        <f t="shared" si="350"/>
        <v>45850.77083</v>
      </c>
      <c r="BI350" s="19">
        <f t="shared" si="350"/>
        <v>45850.79167</v>
      </c>
      <c r="BJ350" s="19">
        <f t="shared" si="350"/>
        <v>45850.8125</v>
      </c>
      <c r="BK350" s="19">
        <f t="shared" si="350"/>
        <v>45850.83333</v>
      </c>
      <c r="BL350" s="19">
        <f t="shared" si="350"/>
        <v>45850.85417</v>
      </c>
      <c r="BM350" s="19">
        <f t="shared" si="350"/>
        <v>45850.875</v>
      </c>
      <c r="BN350" s="19">
        <f t="shared" si="350"/>
        <v>45850.89583</v>
      </c>
      <c r="BO350" s="19">
        <f t="shared" si="350"/>
        <v>45850.91667</v>
      </c>
      <c r="BP350" s="19">
        <f t="shared" si="350"/>
        <v>45850.9375</v>
      </c>
      <c r="BQ350" s="19">
        <f t="shared" si="350"/>
        <v>45850.95833</v>
      </c>
      <c r="BR350" s="19">
        <f t="shared" si="350"/>
        <v>45850.97917</v>
      </c>
      <c r="BS350" s="19">
        <f t="shared" si="350"/>
        <v>45851</v>
      </c>
      <c r="BT350" s="19">
        <f t="shared" si="350"/>
        <v>45851.02083</v>
      </c>
      <c r="BU350" s="19">
        <f t="shared" si="350"/>
        <v>45851.04167</v>
      </c>
      <c r="BV350" s="19">
        <f t="shared" si="350"/>
        <v>45851.0625</v>
      </c>
      <c r="BW350" s="19">
        <f t="shared" si="350"/>
        <v>45851.08333</v>
      </c>
      <c r="BX350" s="19">
        <f t="shared" si="350"/>
        <v>45850</v>
      </c>
      <c r="BY350" s="19">
        <f t="shared" si="350"/>
        <v>45850</v>
      </c>
      <c r="BZ350" s="19">
        <f t="shared" si="350"/>
        <v>45850</v>
      </c>
    </row>
    <row r="351" ht="14.25" customHeight="1">
      <c r="A351" s="17">
        <v>45851.0</v>
      </c>
      <c r="B351" s="2" t="str">
        <f t="array" ref="B351">IF(NOW()&gt;AM351,"",IF(AND((WEEKDAY($A351)+$B$2)&gt;1,((WEEKDAY($A351)+$T$2)&lt;7),(WEEKDAY($A351)&lt;&gt;1)),"work",(INDEX(Subject!$A:$I,MATCH(RANDBETWEEN(1,(MAX(Subject!$B:$B))),Subject!$B:$B,0),3))))</f>
        <v/>
      </c>
      <c r="C351" s="2" t="str">
        <f t="array" ref="C351">IF(NOW()&gt;AN351,"",IF(AND((WEEKDAY($A351)+$B$2)&gt;1,((WEEKDAY($A351)+$T$2)&lt;7),(WEEKDAY($A351)&lt;&gt;1)),"work",(INDEX(Subject!$A:$I,MATCH(RANDBETWEEN(1,(MAX(Subject!$B:$B))),Subject!$B:$B,0),3))))</f>
        <v/>
      </c>
      <c r="D351" s="2" t="str">
        <f t="array" ref="D351">IF(NOW()&gt;AO351,"",IF(AND((WEEKDAY($A351)+$B$2)&gt;1,((WEEKDAY($A351)+$T$2)&lt;7),(WEEKDAY($A351)&lt;&gt;1)),"work",(INDEX(Subject!$A:$I,MATCH(RANDBETWEEN(1,(MAX(Subject!$B:$B))),Subject!$B:$B,0),3))))</f>
        <v/>
      </c>
      <c r="E351" s="2" t="str">
        <f t="array" ref="E351">IF(NOW()&gt;AP351,"",IF(AND((WEEKDAY($A351)+$B$2)&gt;1,((WEEKDAY($A351)+$T$2)&lt;7),(WEEKDAY($A351)&lt;&gt;1)),"work",(INDEX(Subject!$A:$I,MATCH(RANDBETWEEN(1,(MAX(Subject!$B:$B))),Subject!$B:$B,0),3))))</f>
        <v/>
      </c>
      <c r="F351" s="2" t="str">
        <f t="array" ref="F351">IF(NOW()&gt;AQ351,"",IF(AND((WEEKDAY($A351)+$B$2)&gt;1,((WEEKDAY($A351)+$T$2)&lt;7),(WEEKDAY($A351)&lt;&gt;1)),"work",(INDEX(Subject!$A:$I,MATCH(RANDBETWEEN(1,(MAX(Subject!$B:$B))),Subject!$B:$B,0),3))))</f>
        <v/>
      </c>
      <c r="G351" s="2" t="str">
        <f t="array" ref="G351">IF(NOW()&gt;AR351,"",IF(AND((WEEKDAY($A351)+$B$2)&gt;1,((WEEKDAY($A351)+$T$2)&lt;7),(WEEKDAY($A351)&lt;&gt;1)),"work",(INDEX(Subject!$A:$I,MATCH(RANDBETWEEN(1,(MAX(Subject!$B:$B))),Subject!$B:$B,0),3))))</f>
        <v/>
      </c>
      <c r="H351" s="2" t="str">
        <f t="array" ref="H351">IF(NOW()&gt;AS351,"",IF(AND((WEEKDAY($A351)+$B$2)&gt;1,((WEEKDAY($A351)+$T$2)&lt;7),(WEEKDAY($A351)&lt;&gt;1)),"work",(INDEX(Subject!$A:$I,MATCH(RANDBETWEEN(1,(MAX(Subject!$B:$B))),Subject!$B:$B,0),3))))</f>
        <v/>
      </c>
      <c r="I351" s="2" t="str">
        <f t="array" ref="I351">IF(NOW()&gt;AT351,"",IF(AND((WEEKDAY($A351)+$B$2)&gt;1,((WEEKDAY($A351)+$T$2)&lt;7),(WEEKDAY($A351)&lt;&gt;1)),"work",(INDEX(Subject!$A:$I,MATCH(RANDBETWEEN(1,(MAX(Subject!$B:$B))),Subject!$B:$B,0),3))))</f>
        <v/>
      </c>
      <c r="J351" s="2" t="str">
        <f t="array" ref="J351">IF(NOW()&gt;AU351,"",IF(AND((WEEKDAY($A351)+$B$2)&gt;1,((WEEKDAY($A351)+$T$2)&lt;7),(WEEKDAY($A351)&lt;&gt;1)),"work",(INDEX(Subject!$A:$I,MATCH(RANDBETWEEN(1,(MAX(Subject!$B:$B))),Subject!$B:$B,0),3))))</f>
        <v/>
      </c>
      <c r="K351" s="2" t="str">
        <f t="array" ref="K351">IF(NOW()&gt;AV351,"",IF(AND((WEEKDAY($A351)+$B$2)&gt;1,((WEEKDAY($A351)+$T$2)&lt;7),(WEEKDAY($A351)&lt;&gt;1)),"work",(INDEX(Subject!$A:$I,MATCH(RANDBETWEEN(1,(MAX(Subject!$B:$B))),Subject!$B:$B,0),3))))</f>
        <v/>
      </c>
      <c r="L351" s="2" t="str">
        <f t="array" ref="L351">IF(NOW()&gt;AW351,"",IF(AND((WEEKDAY($A351)+$B$2)&gt;1,((WEEKDAY($A351)+$T$2)&lt;7),(WEEKDAY($A351)&lt;&gt;1)),"work",(INDEX(Subject!$A:$I,MATCH(RANDBETWEEN(1,(MAX(Subject!$B:$B))),Subject!$B:$B,0),3))))</f>
        <v/>
      </c>
      <c r="M351" s="2" t="str">
        <f t="array" ref="M351">IF(NOW()&gt;AX351,"",IF(AND((WEEKDAY($A351)+$B$2)&gt;1,((WEEKDAY($A351)+$T$2)&lt;7),(WEEKDAY($A351)&lt;&gt;1)),"work",(INDEX(Subject!$A:$I,MATCH(RANDBETWEEN(1,(MAX(Subject!$B:$B))),Subject!$B:$B,0),3))))</f>
        <v/>
      </c>
      <c r="N351" s="2" t="str">
        <f t="array" ref="N351">IF(NOW()&gt;AY351,"",IF(AND((WEEKDAY($A351)+$B$2)&gt;1,((WEEKDAY($A351)+$T$2)&lt;7),(WEEKDAY($A351)&lt;&gt;1)),"work",(INDEX(Subject!$A:$I,MATCH(RANDBETWEEN(1,(MAX(Subject!$B:$B))),Subject!$B:$B,0),3))))</f>
        <v/>
      </c>
      <c r="O351" s="2" t="str">
        <f t="array" ref="O351">IF(NOW()&gt;AZ351,"",IF(AND((WEEKDAY($A351)+$B$2)&gt;1,((WEEKDAY($A351)+$T$2)&lt;7),(WEEKDAY($A351)&lt;&gt;1)),"work",(INDEX(Subject!$A:$I,MATCH(RANDBETWEEN(1,(MAX(Subject!$B:$B))),Subject!$B:$B,0),3))))</f>
        <v/>
      </c>
      <c r="P351" s="2" t="str">
        <f t="array" ref="P351">IF(NOW()&gt;BA351,"",IF(AND((WEEKDAY($A351)+$B$2)&gt;1,((WEEKDAY($A351)+$T$2)&lt;7),(WEEKDAY($A351)&lt;&gt;1)),"work",(INDEX(Subject!$A:$I,MATCH(RANDBETWEEN(1,(MAX(Subject!$B:$B))),Subject!$B:$B,0),3))))</f>
        <v/>
      </c>
      <c r="Q351" s="2" t="str">
        <f t="array" ref="Q351">IF(NOW()&gt;BB351,"",IF(AND((WEEKDAY($A351)+$B$2)&gt;1,((WEEKDAY($A351)+$T$2)&lt;7),(WEEKDAY($A351)&lt;&gt;1)),"work",(INDEX(Subject!$A:$I,MATCH(RANDBETWEEN(1,(MAX(Subject!$B:$B))),Subject!$B:$B,0),3))))</f>
        <v/>
      </c>
      <c r="R351" s="2" t="str">
        <f t="array" ref="R351">IF(NOW()&gt;BC351,"",IF(AND((WEEKDAY($A351)+$B$2)&gt;1,((WEEKDAY($A351)+$T$2)&lt;7),(WEEKDAY($A351)&lt;&gt;1)),"work",(INDEX(Subject!$A:$I,MATCH(RANDBETWEEN(1,(MAX(Subject!$B:$B))),Subject!$B:$B,0),3))))</f>
        <v/>
      </c>
      <c r="S351" s="2" t="str">
        <f t="array" ref="S351">IF(NOW()&gt;BD351,"",IF(AND((WEEKDAY($A351)+$B$2)&gt;1,((WEEKDAY($A351)+$T$2)&lt;7),(WEEKDAY($A351)&lt;&gt;1)),"work",(INDEX(Subject!$A:$I,MATCH(RANDBETWEEN(1,(MAX(Subject!$B:$B))),Subject!$B:$B,0),3))))</f>
        <v/>
      </c>
      <c r="T351" s="2" t="str">
        <f t="array" ref="T351">IF(NOW()&gt;BE351,"",IF(AND((WEEKDAY($A351)+$B$2)&gt;1,((WEEKDAY($A351)+$T$2)&lt;7),(WEEKDAY($A351)&lt;&gt;1)),"work",(INDEX(Subject!$A:$I,MATCH(RANDBETWEEN(1,(MAX(Subject!$B:$B))),Subject!$B:$B,0),3))))</f>
        <v/>
      </c>
      <c r="U351" s="8" t="str">
        <f t="array" ref="U351">INDEX(Subject!$A:$I,MATCH(RANDBETWEEN(1,16),Subject!$B:$B,0),3)</f>
        <v>#N/A</v>
      </c>
      <c r="V351" s="8" t="str">
        <f t="array" ref="V351">INDEX(Subject!$A:$I,MATCH(RANDBETWEEN(1,16),Subject!$B:$B,0),3)</f>
        <v>#N/A</v>
      </c>
      <c r="W351" s="8" t="str">
        <f t="array" ref="W351">INDEX(Subject!$A:$I,MATCH(RANDBETWEEN(1,16),Subject!$B:$B,0),3)</f>
        <v/>
      </c>
      <c r="X351" s="8" t="str">
        <f t="array" ref="X351">INDEX(Subject!$A:$I,MATCH(RANDBETWEEN(1,16),Subject!$B:$B,0),3)</f>
        <v>#N/A</v>
      </c>
      <c r="Y351" s="8" t="str">
        <f t="array" ref="Y351">INDEX(Subject!$A:$I,MATCH(RANDBETWEEN(1,16),Subject!$B:$B,0),3)</f>
        <v/>
      </c>
      <c r="Z351" s="8" t="str">
        <f t="array" ref="Z351">INDEX(Subject!$A:$I,MATCH(RANDBETWEEN(1,16),Subject!$B:$B,0),3)</f>
        <v>#N/A</v>
      </c>
      <c r="AA351" s="8" t="str">
        <f t="array" ref="AA351">INDEX(Subject!$A:$I,MATCH(RANDBETWEEN(1,16),Subject!$B:$B,0),3)</f>
        <v>#N/A</v>
      </c>
      <c r="AB351" s="8" t="str">
        <f t="array" ref="AB351">INDEX(Subject!$A:$I,MATCH(RANDBETWEEN(1,16),Subject!$B:$B,0),3)</f>
        <v>#N/A</v>
      </c>
      <c r="AC351" s="8" t="str">
        <f t="array" ref="AC351">INDEX(Subject!$A:$I,MATCH(RANDBETWEEN(1,16),Subject!$B:$B,0),3)</f>
        <v>#N/A</v>
      </c>
      <c r="AD351" s="8" t="str">
        <f t="array" ref="AD351">INDEX(Subject!$A:$I,MATCH(RANDBETWEEN(1,16),Subject!$B:$B,0),3)</f>
        <v>#N/A</v>
      </c>
      <c r="AE351" s="8" t="str">
        <f t="array" ref="AE351">INDEX(Subject!$A:$I,MATCH(RANDBETWEEN(1,16),Subject!$B:$B,0),3)</f>
        <v>#N/A</v>
      </c>
      <c r="AF351" s="8" t="str">
        <f t="array" ref="AF351">INDEX(Subject!$A:$I,MATCH(RANDBETWEEN(1,16),Subject!$B:$B,0),3)</f>
        <v>#N/A</v>
      </c>
      <c r="AG351" s="8" t="str">
        <f t="array" ref="AG351">INDEX(Subject!$A:$I,MATCH(RANDBETWEEN(1,16),Subject!$B:$B,0),3)</f>
        <v>#N/A</v>
      </c>
      <c r="AH351" s="8" t="str">
        <f t="array" ref="AH351">INDEX(Subject!$A:$I,MATCH(RANDBETWEEN(1,16),Subject!$B:$B,0),3)</f>
        <v>#N/A</v>
      </c>
      <c r="AI351" s="8" t="str">
        <f t="array" ref="AI351">INDEX(Subject!$A:$I,MATCH(RANDBETWEEN(1,16),Subject!$B:$B,0),3)</f>
        <v>#N/A</v>
      </c>
      <c r="AJ351" s="8" t="str">
        <f t="array" ref="AJ351">INDEX(Subject!$A:$I,MATCH(RANDBETWEEN(1,16),Subject!$B:$B,0),3)</f>
        <v>#N/A</v>
      </c>
      <c r="AK351" s="8" t="str">
        <f t="array" ref="AK351">INDEX(Subject!$A:$I,MATCH(RANDBETWEEN(1,16),Subject!$B:$B,0),3)</f>
        <v>#N/A</v>
      </c>
      <c r="AL351" s="8" t="str">
        <f t="array" ref="AL351">INDEX(Subject!$A:$I,MATCH(RANDBETWEEN(1,16),Subject!$B:$B,0),3)</f>
        <v>#N/A</v>
      </c>
      <c r="AM351" s="18">
        <f t="shared" si="4"/>
        <v>45851.33333</v>
      </c>
      <c r="AN351" s="19">
        <f t="shared" ref="AN351:BZ351" si="351">$A351+C$1</f>
        <v>45851.35417</v>
      </c>
      <c r="AO351" s="19">
        <f t="shared" si="351"/>
        <v>45851.375</v>
      </c>
      <c r="AP351" s="19">
        <f t="shared" si="351"/>
        <v>45851.39583</v>
      </c>
      <c r="AQ351" s="19">
        <f t="shared" si="351"/>
        <v>45851.41667</v>
      </c>
      <c r="AR351" s="19">
        <f t="shared" si="351"/>
        <v>45851.4375</v>
      </c>
      <c r="AS351" s="19">
        <f t="shared" si="351"/>
        <v>45851.45833</v>
      </c>
      <c r="AT351" s="19">
        <f t="shared" si="351"/>
        <v>45851.47917</v>
      </c>
      <c r="AU351" s="19">
        <f t="shared" si="351"/>
        <v>45851.5</v>
      </c>
      <c r="AV351" s="19">
        <f t="shared" si="351"/>
        <v>45851.52083</v>
      </c>
      <c r="AW351" s="19">
        <f t="shared" si="351"/>
        <v>45851.54167</v>
      </c>
      <c r="AX351" s="19">
        <f t="shared" si="351"/>
        <v>45851.5625</v>
      </c>
      <c r="AY351" s="19">
        <f t="shared" si="351"/>
        <v>45851.58333</v>
      </c>
      <c r="AZ351" s="19">
        <f t="shared" si="351"/>
        <v>45851.60417</v>
      </c>
      <c r="BA351" s="19">
        <f t="shared" si="351"/>
        <v>45851.625</v>
      </c>
      <c r="BB351" s="19">
        <f t="shared" si="351"/>
        <v>45851.64583</v>
      </c>
      <c r="BC351" s="19">
        <f t="shared" si="351"/>
        <v>45851.66667</v>
      </c>
      <c r="BD351" s="19">
        <f t="shared" si="351"/>
        <v>45851.6875</v>
      </c>
      <c r="BE351" s="19">
        <f t="shared" si="351"/>
        <v>45851.70833</v>
      </c>
      <c r="BF351" s="19">
        <f t="shared" si="351"/>
        <v>45851.72917</v>
      </c>
      <c r="BG351" s="19">
        <f t="shared" si="351"/>
        <v>45851.75</v>
      </c>
      <c r="BH351" s="19">
        <f t="shared" si="351"/>
        <v>45851.77083</v>
      </c>
      <c r="BI351" s="19">
        <f t="shared" si="351"/>
        <v>45851.79167</v>
      </c>
      <c r="BJ351" s="19">
        <f t="shared" si="351"/>
        <v>45851.8125</v>
      </c>
      <c r="BK351" s="19">
        <f t="shared" si="351"/>
        <v>45851.83333</v>
      </c>
      <c r="BL351" s="19">
        <f t="shared" si="351"/>
        <v>45851.85417</v>
      </c>
      <c r="BM351" s="19">
        <f t="shared" si="351"/>
        <v>45851.875</v>
      </c>
      <c r="BN351" s="19">
        <f t="shared" si="351"/>
        <v>45851.89583</v>
      </c>
      <c r="BO351" s="19">
        <f t="shared" si="351"/>
        <v>45851.91667</v>
      </c>
      <c r="BP351" s="19">
        <f t="shared" si="351"/>
        <v>45851.9375</v>
      </c>
      <c r="BQ351" s="19">
        <f t="shared" si="351"/>
        <v>45851.95833</v>
      </c>
      <c r="BR351" s="19">
        <f t="shared" si="351"/>
        <v>45851.97917</v>
      </c>
      <c r="BS351" s="19">
        <f t="shared" si="351"/>
        <v>45852</v>
      </c>
      <c r="BT351" s="19">
        <f t="shared" si="351"/>
        <v>45852.02083</v>
      </c>
      <c r="BU351" s="19">
        <f t="shared" si="351"/>
        <v>45852.04167</v>
      </c>
      <c r="BV351" s="19">
        <f t="shared" si="351"/>
        <v>45852.0625</v>
      </c>
      <c r="BW351" s="19">
        <f t="shared" si="351"/>
        <v>45852.08333</v>
      </c>
      <c r="BX351" s="19">
        <f t="shared" si="351"/>
        <v>45851</v>
      </c>
      <c r="BY351" s="19">
        <f t="shared" si="351"/>
        <v>45851</v>
      </c>
      <c r="BZ351" s="19">
        <f t="shared" si="351"/>
        <v>45851</v>
      </c>
    </row>
    <row r="352" ht="14.25" customHeight="1">
      <c r="A352" s="17">
        <v>45852.0</v>
      </c>
      <c r="B352" s="2" t="str">
        <f t="array" ref="B352">IF(NOW()&gt;AM352,"",IF(AND((WEEKDAY($A352)+$B$2)&gt;1,((WEEKDAY($A352)+$T$2)&lt;7),(WEEKDAY($A352)&lt;&gt;1)),"work",(INDEX(Subject!$A:$I,MATCH(RANDBETWEEN(1,(MAX(Subject!$B:$B))),Subject!$B:$B,0),3))))</f>
        <v/>
      </c>
      <c r="C352" s="2" t="str">
        <f t="array" ref="C352">IF(NOW()&gt;AN352,"",IF(AND((WEEKDAY($A352)+$B$2)&gt;1,((WEEKDAY($A352)+$T$2)&lt;7),(WEEKDAY($A352)&lt;&gt;1)),"work",(INDEX(Subject!$A:$I,MATCH(RANDBETWEEN(1,(MAX(Subject!$B:$B))),Subject!$B:$B,0),3))))</f>
        <v/>
      </c>
      <c r="D352" s="2" t="str">
        <f t="array" ref="D352">IF(NOW()&gt;AO352,"",IF(AND((WEEKDAY($A352)+$B$2)&gt;1,((WEEKDAY($A352)+$T$2)&lt;7),(WEEKDAY($A352)&lt;&gt;1)),"work",(INDEX(Subject!$A:$I,MATCH(RANDBETWEEN(1,(MAX(Subject!$B:$B))),Subject!$B:$B,0),3))))</f>
        <v/>
      </c>
      <c r="E352" s="2" t="str">
        <f t="array" ref="E352">IF(NOW()&gt;AP352,"",IF(AND((WEEKDAY($A352)+$B$2)&gt;1,((WEEKDAY($A352)+$T$2)&lt;7),(WEEKDAY($A352)&lt;&gt;1)),"work",(INDEX(Subject!$A:$I,MATCH(RANDBETWEEN(1,(MAX(Subject!$B:$B))),Subject!$B:$B,0),3))))</f>
        <v/>
      </c>
      <c r="F352" s="2" t="str">
        <f t="array" ref="F352">IF(NOW()&gt;AQ352,"",IF(AND((WEEKDAY($A352)+$B$2)&gt;1,((WEEKDAY($A352)+$T$2)&lt;7),(WEEKDAY($A352)&lt;&gt;1)),"work",(INDEX(Subject!$A:$I,MATCH(RANDBETWEEN(1,(MAX(Subject!$B:$B))),Subject!$B:$B,0),3))))</f>
        <v/>
      </c>
      <c r="G352" s="2" t="str">
        <f t="array" ref="G352">IF(NOW()&gt;AR352,"",IF(AND((WEEKDAY($A352)+$B$2)&gt;1,((WEEKDAY($A352)+$T$2)&lt;7),(WEEKDAY($A352)&lt;&gt;1)),"work",(INDEX(Subject!$A:$I,MATCH(RANDBETWEEN(1,(MAX(Subject!$B:$B))),Subject!$B:$B,0),3))))</f>
        <v/>
      </c>
      <c r="H352" s="2" t="str">
        <f t="array" ref="H352">IF(NOW()&gt;AS352,"",IF(AND((WEEKDAY($A352)+$B$2)&gt;1,((WEEKDAY($A352)+$T$2)&lt;7),(WEEKDAY($A352)&lt;&gt;1)),"work",(INDEX(Subject!$A:$I,MATCH(RANDBETWEEN(1,(MAX(Subject!$B:$B))),Subject!$B:$B,0),3))))</f>
        <v/>
      </c>
      <c r="I352" s="2" t="str">
        <f t="array" ref="I352">IF(NOW()&gt;AT352,"",IF(AND((WEEKDAY($A352)+$B$2)&gt;1,((WEEKDAY($A352)+$T$2)&lt;7),(WEEKDAY($A352)&lt;&gt;1)),"work",(INDEX(Subject!$A:$I,MATCH(RANDBETWEEN(1,(MAX(Subject!$B:$B))),Subject!$B:$B,0),3))))</f>
        <v/>
      </c>
      <c r="J352" s="2" t="str">
        <f t="array" ref="J352">IF(NOW()&gt;AU352,"",IF(AND((WEEKDAY($A352)+$B$2)&gt;1,((WEEKDAY($A352)+$T$2)&lt;7),(WEEKDAY($A352)&lt;&gt;1)),"work",(INDEX(Subject!$A:$I,MATCH(RANDBETWEEN(1,(MAX(Subject!$B:$B))),Subject!$B:$B,0),3))))</f>
        <v/>
      </c>
      <c r="K352" s="2" t="str">
        <f t="array" ref="K352">IF(NOW()&gt;AV352,"",IF(AND((WEEKDAY($A352)+$B$2)&gt;1,((WEEKDAY($A352)+$T$2)&lt;7),(WEEKDAY($A352)&lt;&gt;1)),"work",(INDEX(Subject!$A:$I,MATCH(RANDBETWEEN(1,(MAX(Subject!$B:$B))),Subject!$B:$B,0),3))))</f>
        <v/>
      </c>
      <c r="L352" s="2" t="str">
        <f t="array" ref="L352">IF(NOW()&gt;AW352,"",IF(AND((WEEKDAY($A352)+$B$2)&gt;1,((WEEKDAY($A352)+$T$2)&lt;7),(WEEKDAY($A352)&lt;&gt;1)),"work",(INDEX(Subject!$A:$I,MATCH(RANDBETWEEN(1,(MAX(Subject!$B:$B))),Subject!$B:$B,0),3))))</f>
        <v/>
      </c>
      <c r="M352" s="2" t="str">
        <f t="array" ref="M352">IF(NOW()&gt;AX352,"",IF(AND((WEEKDAY($A352)+$B$2)&gt;1,((WEEKDAY($A352)+$T$2)&lt;7),(WEEKDAY($A352)&lt;&gt;1)),"work",(INDEX(Subject!$A:$I,MATCH(RANDBETWEEN(1,(MAX(Subject!$B:$B))),Subject!$B:$B,0),3))))</f>
        <v/>
      </c>
      <c r="N352" s="2" t="str">
        <f t="array" ref="N352">IF(NOW()&gt;AY352,"",IF(AND((WEEKDAY($A352)+$B$2)&gt;1,((WEEKDAY($A352)+$T$2)&lt;7),(WEEKDAY($A352)&lt;&gt;1)),"work",(INDEX(Subject!$A:$I,MATCH(RANDBETWEEN(1,(MAX(Subject!$B:$B))),Subject!$B:$B,0),3))))</f>
        <v/>
      </c>
      <c r="O352" s="2" t="str">
        <f t="array" ref="O352">IF(NOW()&gt;AZ352,"",IF(AND((WEEKDAY($A352)+$B$2)&gt;1,((WEEKDAY($A352)+$T$2)&lt;7),(WEEKDAY($A352)&lt;&gt;1)),"work",(INDEX(Subject!$A:$I,MATCH(RANDBETWEEN(1,(MAX(Subject!$B:$B))),Subject!$B:$B,0),3))))</f>
        <v/>
      </c>
      <c r="P352" s="2" t="str">
        <f t="array" ref="P352">IF(NOW()&gt;BA352,"",IF(AND((WEEKDAY($A352)+$B$2)&gt;1,((WEEKDAY($A352)+$T$2)&lt;7),(WEEKDAY($A352)&lt;&gt;1)),"work",(INDEX(Subject!$A:$I,MATCH(RANDBETWEEN(1,(MAX(Subject!$B:$B))),Subject!$B:$B,0),3))))</f>
        <v/>
      </c>
      <c r="Q352" s="2" t="str">
        <f t="array" ref="Q352">IF(NOW()&gt;BB352,"",IF(AND((WEEKDAY($A352)+$B$2)&gt;1,((WEEKDAY($A352)+$T$2)&lt;7),(WEEKDAY($A352)&lt;&gt;1)),"work",(INDEX(Subject!$A:$I,MATCH(RANDBETWEEN(1,(MAX(Subject!$B:$B))),Subject!$B:$B,0),3))))</f>
        <v/>
      </c>
      <c r="R352" s="2" t="str">
        <f t="array" ref="R352">IF(NOW()&gt;BC352,"",IF(AND((WEEKDAY($A352)+$B$2)&gt;1,((WEEKDAY($A352)+$T$2)&lt;7),(WEEKDAY($A352)&lt;&gt;1)),"work",(INDEX(Subject!$A:$I,MATCH(RANDBETWEEN(1,(MAX(Subject!$B:$B))),Subject!$B:$B,0),3))))</f>
        <v/>
      </c>
      <c r="S352" s="2" t="str">
        <f t="array" ref="S352">IF(NOW()&gt;BD352,"",IF(AND((WEEKDAY($A352)+$B$2)&gt;1,((WEEKDAY($A352)+$T$2)&lt;7),(WEEKDAY($A352)&lt;&gt;1)),"work",(INDEX(Subject!$A:$I,MATCH(RANDBETWEEN(1,(MAX(Subject!$B:$B))),Subject!$B:$B,0),3))))</f>
        <v/>
      </c>
      <c r="T352" s="2" t="str">
        <f t="array" ref="T352">IF(NOW()&gt;BE352,"",IF(AND((WEEKDAY($A352)+$B$2)&gt;1,((WEEKDAY($A352)+$T$2)&lt;7),(WEEKDAY($A352)&lt;&gt;1)),"work",(INDEX(Subject!$A:$I,MATCH(RANDBETWEEN(1,(MAX(Subject!$B:$B))),Subject!$B:$B,0),3))))</f>
        <v/>
      </c>
      <c r="U352" s="8" t="str">
        <f t="array" ref="U352">INDEX(Subject!$A:$I,MATCH(RANDBETWEEN(1,16),Subject!$B:$B,0),3)</f>
        <v>#N/A</v>
      </c>
      <c r="V352" s="8" t="str">
        <f t="array" ref="V352">INDEX(Subject!$A:$I,MATCH(RANDBETWEEN(1,16),Subject!$B:$B,0),3)</f>
        <v>#N/A</v>
      </c>
      <c r="W352" s="8" t="str">
        <f t="array" ref="W352">INDEX(Subject!$A:$I,MATCH(RANDBETWEEN(1,16),Subject!$B:$B,0),3)</f>
        <v>#N/A</v>
      </c>
      <c r="X352" s="8" t="str">
        <f t="array" ref="X352">INDEX(Subject!$A:$I,MATCH(RANDBETWEEN(1,16),Subject!$B:$B,0),3)</f>
        <v>#N/A</v>
      </c>
      <c r="Y352" s="8" t="str">
        <f t="array" ref="Y352">INDEX(Subject!$A:$I,MATCH(RANDBETWEEN(1,16),Subject!$B:$B,0),3)</f>
        <v>#N/A</v>
      </c>
      <c r="Z352" s="8" t="str">
        <f t="array" ref="Z352">INDEX(Subject!$A:$I,MATCH(RANDBETWEEN(1,16),Subject!$B:$B,0),3)</f>
        <v/>
      </c>
      <c r="AA352" s="8" t="str">
        <f t="array" ref="AA352">INDEX(Subject!$A:$I,MATCH(RANDBETWEEN(1,16),Subject!$B:$B,0),3)</f>
        <v>#N/A</v>
      </c>
      <c r="AB352" s="8" t="str">
        <f t="array" ref="AB352">INDEX(Subject!$A:$I,MATCH(RANDBETWEEN(1,16),Subject!$B:$B,0),3)</f>
        <v>#N/A</v>
      </c>
      <c r="AC352" s="8" t="str">
        <f t="array" ref="AC352">INDEX(Subject!$A:$I,MATCH(RANDBETWEEN(1,16),Subject!$B:$B,0),3)</f>
        <v>#N/A</v>
      </c>
      <c r="AD352" s="8" t="str">
        <f t="array" ref="AD352">INDEX(Subject!$A:$I,MATCH(RANDBETWEEN(1,16),Subject!$B:$B,0),3)</f>
        <v>#N/A</v>
      </c>
      <c r="AE352" s="8" t="str">
        <f t="array" ref="AE352">INDEX(Subject!$A:$I,MATCH(RANDBETWEEN(1,16),Subject!$B:$B,0),3)</f>
        <v>#N/A</v>
      </c>
      <c r="AF352" s="8" t="str">
        <f t="array" ref="AF352">INDEX(Subject!$A:$I,MATCH(RANDBETWEEN(1,16),Subject!$B:$B,0),3)</f>
        <v>#N/A</v>
      </c>
      <c r="AG352" s="8" t="str">
        <f t="array" ref="AG352">INDEX(Subject!$A:$I,MATCH(RANDBETWEEN(1,16),Subject!$B:$B,0),3)</f>
        <v>#N/A</v>
      </c>
      <c r="AH352" s="8" t="str">
        <f t="array" ref="AH352">INDEX(Subject!$A:$I,MATCH(RANDBETWEEN(1,16),Subject!$B:$B,0),3)</f>
        <v>#N/A</v>
      </c>
      <c r="AI352" s="8" t="str">
        <f t="array" ref="AI352">INDEX(Subject!$A:$I,MATCH(RANDBETWEEN(1,16),Subject!$B:$B,0),3)</f>
        <v>#N/A</v>
      </c>
      <c r="AJ352" s="8" t="str">
        <f t="array" ref="AJ352">INDEX(Subject!$A:$I,MATCH(RANDBETWEEN(1,16),Subject!$B:$B,0),3)</f>
        <v>#N/A</v>
      </c>
      <c r="AK352" s="8" t="str">
        <f t="array" ref="AK352">INDEX(Subject!$A:$I,MATCH(RANDBETWEEN(1,16),Subject!$B:$B,0),3)</f>
        <v/>
      </c>
      <c r="AL352" s="8" t="str">
        <f t="array" ref="AL352">INDEX(Subject!$A:$I,MATCH(RANDBETWEEN(1,16),Subject!$B:$B,0),3)</f>
        <v>#N/A</v>
      </c>
      <c r="AM352" s="18">
        <f t="shared" si="4"/>
        <v>45852.33333</v>
      </c>
      <c r="AN352" s="19">
        <f t="shared" ref="AN352:BZ352" si="352">$A352+C$1</f>
        <v>45852.35417</v>
      </c>
      <c r="AO352" s="19">
        <f t="shared" si="352"/>
        <v>45852.375</v>
      </c>
      <c r="AP352" s="19">
        <f t="shared" si="352"/>
        <v>45852.39583</v>
      </c>
      <c r="AQ352" s="19">
        <f t="shared" si="352"/>
        <v>45852.41667</v>
      </c>
      <c r="AR352" s="19">
        <f t="shared" si="352"/>
        <v>45852.4375</v>
      </c>
      <c r="AS352" s="19">
        <f t="shared" si="352"/>
        <v>45852.45833</v>
      </c>
      <c r="AT352" s="19">
        <f t="shared" si="352"/>
        <v>45852.47917</v>
      </c>
      <c r="AU352" s="19">
        <f t="shared" si="352"/>
        <v>45852.5</v>
      </c>
      <c r="AV352" s="19">
        <f t="shared" si="352"/>
        <v>45852.52083</v>
      </c>
      <c r="AW352" s="19">
        <f t="shared" si="352"/>
        <v>45852.54167</v>
      </c>
      <c r="AX352" s="19">
        <f t="shared" si="352"/>
        <v>45852.5625</v>
      </c>
      <c r="AY352" s="19">
        <f t="shared" si="352"/>
        <v>45852.58333</v>
      </c>
      <c r="AZ352" s="19">
        <f t="shared" si="352"/>
        <v>45852.60417</v>
      </c>
      <c r="BA352" s="19">
        <f t="shared" si="352"/>
        <v>45852.625</v>
      </c>
      <c r="BB352" s="19">
        <f t="shared" si="352"/>
        <v>45852.64583</v>
      </c>
      <c r="BC352" s="19">
        <f t="shared" si="352"/>
        <v>45852.66667</v>
      </c>
      <c r="BD352" s="19">
        <f t="shared" si="352"/>
        <v>45852.6875</v>
      </c>
      <c r="BE352" s="19">
        <f t="shared" si="352"/>
        <v>45852.70833</v>
      </c>
      <c r="BF352" s="19">
        <f t="shared" si="352"/>
        <v>45852.72917</v>
      </c>
      <c r="BG352" s="19">
        <f t="shared" si="352"/>
        <v>45852.75</v>
      </c>
      <c r="BH352" s="19">
        <f t="shared" si="352"/>
        <v>45852.77083</v>
      </c>
      <c r="BI352" s="19">
        <f t="shared" si="352"/>
        <v>45852.79167</v>
      </c>
      <c r="BJ352" s="19">
        <f t="shared" si="352"/>
        <v>45852.8125</v>
      </c>
      <c r="BK352" s="19">
        <f t="shared" si="352"/>
        <v>45852.83333</v>
      </c>
      <c r="BL352" s="19">
        <f t="shared" si="352"/>
        <v>45852.85417</v>
      </c>
      <c r="BM352" s="19">
        <f t="shared" si="352"/>
        <v>45852.875</v>
      </c>
      <c r="BN352" s="19">
        <f t="shared" si="352"/>
        <v>45852.89583</v>
      </c>
      <c r="BO352" s="19">
        <f t="shared" si="352"/>
        <v>45852.91667</v>
      </c>
      <c r="BP352" s="19">
        <f t="shared" si="352"/>
        <v>45852.9375</v>
      </c>
      <c r="BQ352" s="19">
        <f t="shared" si="352"/>
        <v>45852.95833</v>
      </c>
      <c r="BR352" s="19">
        <f t="shared" si="352"/>
        <v>45852.97917</v>
      </c>
      <c r="BS352" s="19">
        <f t="shared" si="352"/>
        <v>45853</v>
      </c>
      <c r="BT352" s="19">
        <f t="shared" si="352"/>
        <v>45853.02083</v>
      </c>
      <c r="BU352" s="19">
        <f t="shared" si="352"/>
        <v>45853.04167</v>
      </c>
      <c r="BV352" s="19">
        <f t="shared" si="352"/>
        <v>45853.0625</v>
      </c>
      <c r="BW352" s="19">
        <f t="shared" si="352"/>
        <v>45853.08333</v>
      </c>
      <c r="BX352" s="19">
        <f t="shared" si="352"/>
        <v>45852</v>
      </c>
      <c r="BY352" s="19">
        <f t="shared" si="352"/>
        <v>45852</v>
      </c>
      <c r="BZ352" s="19">
        <f t="shared" si="352"/>
        <v>45852</v>
      </c>
    </row>
    <row r="353" ht="14.25" customHeight="1">
      <c r="A353" s="17">
        <v>45853.0</v>
      </c>
      <c r="B353" s="2" t="str">
        <f t="array" ref="B353">IF(NOW()&gt;AM353,"",IF(AND((WEEKDAY($A353)+$B$2)&gt;1,((WEEKDAY($A353)+$T$2)&lt;7),(WEEKDAY($A353)&lt;&gt;1)),"work",(INDEX(Subject!$A:$I,MATCH(RANDBETWEEN(1,(MAX(Subject!$B:$B))),Subject!$B:$B,0),3))))</f>
        <v/>
      </c>
      <c r="C353" s="2" t="str">
        <f t="array" ref="C353">IF(NOW()&gt;AN353,"",IF(AND((WEEKDAY($A353)+$B$2)&gt;1,((WEEKDAY($A353)+$T$2)&lt;7),(WEEKDAY($A353)&lt;&gt;1)),"work",(INDEX(Subject!$A:$I,MATCH(RANDBETWEEN(1,(MAX(Subject!$B:$B))),Subject!$B:$B,0),3))))</f>
        <v/>
      </c>
      <c r="D353" s="2" t="str">
        <f t="array" ref="D353">IF(NOW()&gt;AO353,"",IF(AND((WEEKDAY($A353)+$B$2)&gt;1,((WEEKDAY($A353)+$T$2)&lt;7),(WEEKDAY($A353)&lt;&gt;1)),"work",(INDEX(Subject!$A:$I,MATCH(RANDBETWEEN(1,(MAX(Subject!$B:$B))),Subject!$B:$B,0),3))))</f>
        <v/>
      </c>
      <c r="E353" s="2" t="str">
        <f t="array" ref="E353">IF(NOW()&gt;AP353,"",IF(AND((WEEKDAY($A353)+$B$2)&gt;1,((WEEKDAY($A353)+$T$2)&lt;7),(WEEKDAY($A353)&lt;&gt;1)),"work",(INDEX(Subject!$A:$I,MATCH(RANDBETWEEN(1,(MAX(Subject!$B:$B))),Subject!$B:$B,0),3))))</f>
        <v/>
      </c>
      <c r="F353" s="2" t="str">
        <f t="array" ref="F353">IF(NOW()&gt;AQ353,"",IF(AND((WEEKDAY($A353)+$B$2)&gt;1,((WEEKDAY($A353)+$T$2)&lt;7),(WEEKDAY($A353)&lt;&gt;1)),"work",(INDEX(Subject!$A:$I,MATCH(RANDBETWEEN(1,(MAX(Subject!$B:$B))),Subject!$B:$B,0),3))))</f>
        <v/>
      </c>
      <c r="G353" s="2" t="str">
        <f t="array" ref="G353">IF(NOW()&gt;AR353,"",IF(AND((WEEKDAY($A353)+$B$2)&gt;1,((WEEKDAY($A353)+$T$2)&lt;7),(WEEKDAY($A353)&lt;&gt;1)),"work",(INDEX(Subject!$A:$I,MATCH(RANDBETWEEN(1,(MAX(Subject!$B:$B))),Subject!$B:$B,0),3))))</f>
        <v/>
      </c>
      <c r="H353" s="2" t="str">
        <f t="array" ref="H353">IF(NOW()&gt;AS353,"",IF(AND((WEEKDAY($A353)+$B$2)&gt;1,((WEEKDAY($A353)+$T$2)&lt;7),(WEEKDAY($A353)&lt;&gt;1)),"work",(INDEX(Subject!$A:$I,MATCH(RANDBETWEEN(1,(MAX(Subject!$B:$B))),Subject!$B:$B,0),3))))</f>
        <v/>
      </c>
      <c r="I353" s="2" t="str">
        <f t="array" ref="I353">IF(NOW()&gt;AT353,"",IF(AND((WEEKDAY($A353)+$B$2)&gt;1,((WEEKDAY($A353)+$T$2)&lt;7),(WEEKDAY($A353)&lt;&gt;1)),"work",(INDEX(Subject!$A:$I,MATCH(RANDBETWEEN(1,(MAX(Subject!$B:$B))),Subject!$B:$B,0),3))))</f>
        <v/>
      </c>
      <c r="J353" s="2" t="str">
        <f t="array" ref="J353">IF(NOW()&gt;AU353,"",IF(AND((WEEKDAY($A353)+$B$2)&gt;1,((WEEKDAY($A353)+$T$2)&lt;7),(WEEKDAY($A353)&lt;&gt;1)),"work",(INDEX(Subject!$A:$I,MATCH(RANDBETWEEN(1,(MAX(Subject!$B:$B))),Subject!$B:$B,0),3))))</f>
        <v/>
      </c>
      <c r="K353" s="2" t="str">
        <f t="array" ref="K353">IF(NOW()&gt;AV353,"",IF(AND((WEEKDAY($A353)+$B$2)&gt;1,((WEEKDAY($A353)+$T$2)&lt;7),(WEEKDAY($A353)&lt;&gt;1)),"work",(INDEX(Subject!$A:$I,MATCH(RANDBETWEEN(1,(MAX(Subject!$B:$B))),Subject!$B:$B,0),3))))</f>
        <v/>
      </c>
      <c r="L353" s="2" t="str">
        <f t="array" ref="L353">IF(NOW()&gt;AW353,"",IF(AND((WEEKDAY($A353)+$B$2)&gt;1,((WEEKDAY($A353)+$T$2)&lt;7),(WEEKDAY($A353)&lt;&gt;1)),"work",(INDEX(Subject!$A:$I,MATCH(RANDBETWEEN(1,(MAX(Subject!$B:$B))),Subject!$B:$B,0),3))))</f>
        <v/>
      </c>
      <c r="M353" s="2" t="str">
        <f t="array" ref="M353">IF(NOW()&gt;AX353,"",IF(AND((WEEKDAY($A353)+$B$2)&gt;1,((WEEKDAY($A353)+$T$2)&lt;7),(WEEKDAY($A353)&lt;&gt;1)),"work",(INDEX(Subject!$A:$I,MATCH(RANDBETWEEN(1,(MAX(Subject!$B:$B))),Subject!$B:$B,0),3))))</f>
        <v/>
      </c>
      <c r="N353" s="2" t="str">
        <f t="array" ref="N353">IF(NOW()&gt;AY353,"",IF(AND((WEEKDAY($A353)+$B$2)&gt;1,((WEEKDAY($A353)+$T$2)&lt;7),(WEEKDAY($A353)&lt;&gt;1)),"work",(INDEX(Subject!$A:$I,MATCH(RANDBETWEEN(1,(MAX(Subject!$B:$B))),Subject!$B:$B,0),3))))</f>
        <v/>
      </c>
      <c r="O353" s="2" t="str">
        <f t="array" ref="O353">IF(NOW()&gt;AZ353,"",IF(AND((WEEKDAY($A353)+$B$2)&gt;1,((WEEKDAY($A353)+$T$2)&lt;7),(WEEKDAY($A353)&lt;&gt;1)),"work",(INDEX(Subject!$A:$I,MATCH(RANDBETWEEN(1,(MAX(Subject!$B:$B))),Subject!$B:$B,0),3))))</f>
        <v/>
      </c>
      <c r="P353" s="2" t="str">
        <f t="array" ref="P353">IF(NOW()&gt;BA353,"",IF(AND((WEEKDAY($A353)+$B$2)&gt;1,((WEEKDAY($A353)+$T$2)&lt;7),(WEEKDAY($A353)&lt;&gt;1)),"work",(INDEX(Subject!$A:$I,MATCH(RANDBETWEEN(1,(MAX(Subject!$B:$B))),Subject!$B:$B,0),3))))</f>
        <v/>
      </c>
      <c r="Q353" s="2" t="str">
        <f t="array" ref="Q353">IF(NOW()&gt;BB353,"",IF(AND((WEEKDAY($A353)+$B$2)&gt;1,((WEEKDAY($A353)+$T$2)&lt;7),(WEEKDAY($A353)&lt;&gt;1)),"work",(INDEX(Subject!$A:$I,MATCH(RANDBETWEEN(1,(MAX(Subject!$B:$B))),Subject!$B:$B,0),3))))</f>
        <v/>
      </c>
      <c r="R353" s="2" t="str">
        <f t="array" ref="R353">IF(NOW()&gt;BC353,"",IF(AND((WEEKDAY($A353)+$B$2)&gt;1,((WEEKDAY($A353)+$T$2)&lt;7),(WEEKDAY($A353)&lt;&gt;1)),"work",(INDEX(Subject!$A:$I,MATCH(RANDBETWEEN(1,(MAX(Subject!$B:$B))),Subject!$B:$B,0),3))))</f>
        <v/>
      </c>
      <c r="S353" s="2" t="str">
        <f t="array" ref="S353">IF(NOW()&gt;BD353,"",IF(AND((WEEKDAY($A353)+$B$2)&gt;1,((WEEKDAY($A353)+$T$2)&lt;7),(WEEKDAY($A353)&lt;&gt;1)),"work",(INDEX(Subject!$A:$I,MATCH(RANDBETWEEN(1,(MAX(Subject!$B:$B))),Subject!$B:$B,0),3))))</f>
        <v/>
      </c>
      <c r="T353" s="2" t="str">
        <f t="array" ref="T353">IF(NOW()&gt;BE353,"",IF(AND((WEEKDAY($A353)+$B$2)&gt;1,((WEEKDAY($A353)+$T$2)&lt;7),(WEEKDAY($A353)&lt;&gt;1)),"work",(INDEX(Subject!$A:$I,MATCH(RANDBETWEEN(1,(MAX(Subject!$B:$B))),Subject!$B:$B,0),3))))</f>
        <v/>
      </c>
      <c r="U353" s="8" t="str">
        <f t="array" ref="U353">INDEX(Subject!$A:$I,MATCH(RANDBETWEEN(1,16),Subject!$B:$B,0),3)</f>
        <v>#N/A</v>
      </c>
      <c r="V353" s="8" t="str">
        <f t="array" ref="V353">INDEX(Subject!$A:$I,MATCH(RANDBETWEEN(1,16),Subject!$B:$B,0),3)</f>
        <v>#N/A</v>
      </c>
      <c r="W353" s="8" t="str">
        <f t="array" ref="W353">INDEX(Subject!$A:$I,MATCH(RANDBETWEEN(1,16),Subject!$B:$B,0),3)</f>
        <v>#N/A</v>
      </c>
      <c r="X353" s="8" t="str">
        <f t="array" ref="X353">INDEX(Subject!$A:$I,MATCH(RANDBETWEEN(1,16),Subject!$B:$B,0),3)</f>
        <v>#N/A</v>
      </c>
      <c r="Y353" s="8" t="str">
        <f t="array" ref="Y353">INDEX(Subject!$A:$I,MATCH(RANDBETWEEN(1,16),Subject!$B:$B,0),3)</f>
        <v>#N/A</v>
      </c>
      <c r="Z353" s="8" t="str">
        <f t="array" ref="Z353">INDEX(Subject!$A:$I,MATCH(RANDBETWEEN(1,16),Subject!$B:$B,0),3)</f>
        <v>#N/A</v>
      </c>
      <c r="AA353" s="8" t="str">
        <f t="array" ref="AA353">INDEX(Subject!$A:$I,MATCH(RANDBETWEEN(1,16),Subject!$B:$B,0),3)</f>
        <v>#N/A</v>
      </c>
      <c r="AB353" s="8" t="str">
        <f t="array" ref="AB353">INDEX(Subject!$A:$I,MATCH(RANDBETWEEN(1,16),Subject!$B:$B,0),3)</f>
        <v>#N/A</v>
      </c>
      <c r="AC353" s="8" t="str">
        <f t="array" ref="AC353">INDEX(Subject!$A:$I,MATCH(RANDBETWEEN(1,16),Subject!$B:$B,0),3)</f>
        <v>#N/A</v>
      </c>
      <c r="AD353" s="8" t="str">
        <f t="array" ref="AD353">INDEX(Subject!$A:$I,MATCH(RANDBETWEEN(1,16),Subject!$B:$B,0),3)</f>
        <v>#N/A</v>
      </c>
      <c r="AE353" s="8" t="str">
        <f t="array" ref="AE353">INDEX(Subject!$A:$I,MATCH(RANDBETWEEN(1,16),Subject!$B:$B,0),3)</f>
        <v>#N/A</v>
      </c>
      <c r="AF353" s="8" t="str">
        <f t="array" ref="AF353">INDEX(Subject!$A:$I,MATCH(RANDBETWEEN(1,16),Subject!$B:$B,0),3)</f>
        <v>#N/A</v>
      </c>
      <c r="AG353" s="8" t="str">
        <f t="array" ref="AG353">INDEX(Subject!$A:$I,MATCH(RANDBETWEEN(1,16),Subject!$B:$B,0),3)</f>
        <v>#N/A</v>
      </c>
      <c r="AH353" s="8" t="str">
        <f t="array" ref="AH353">INDEX(Subject!$A:$I,MATCH(RANDBETWEEN(1,16),Subject!$B:$B,0),3)</f>
        <v>#N/A</v>
      </c>
      <c r="AI353" s="8" t="str">
        <f t="array" ref="AI353">INDEX(Subject!$A:$I,MATCH(RANDBETWEEN(1,16),Subject!$B:$B,0),3)</f>
        <v>#N/A</v>
      </c>
      <c r="AJ353" s="8" t="str">
        <f t="array" ref="AJ353">INDEX(Subject!$A:$I,MATCH(RANDBETWEEN(1,16),Subject!$B:$B,0),3)</f>
        <v>#N/A</v>
      </c>
      <c r="AK353" s="8" t="str">
        <f t="array" ref="AK353">INDEX(Subject!$A:$I,MATCH(RANDBETWEEN(1,16),Subject!$B:$B,0),3)</f>
        <v>#N/A</v>
      </c>
      <c r="AL353" s="8" t="str">
        <f t="array" ref="AL353">INDEX(Subject!$A:$I,MATCH(RANDBETWEEN(1,16),Subject!$B:$B,0),3)</f>
        <v>#N/A</v>
      </c>
      <c r="AM353" s="18">
        <f t="shared" si="4"/>
        <v>45853.33333</v>
      </c>
      <c r="AN353" s="19">
        <f t="shared" ref="AN353:BZ353" si="353">$A353+C$1</f>
        <v>45853.35417</v>
      </c>
      <c r="AO353" s="19">
        <f t="shared" si="353"/>
        <v>45853.375</v>
      </c>
      <c r="AP353" s="19">
        <f t="shared" si="353"/>
        <v>45853.39583</v>
      </c>
      <c r="AQ353" s="19">
        <f t="shared" si="353"/>
        <v>45853.41667</v>
      </c>
      <c r="AR353" s="19">
        <f t="shared" si="353"/>
        <v>45853.4375</v>
      </c>
      <c r="AS353" s="19">
        <f t="shared" si="353"/>
        <v>45853.45833</v>
      </c>
      <c r="AT353" s="19">
        <f t="shared" si="353"/>
        <v>45853.47917</v>
      </c>
      <c r="AU353" s="19">
        <f t="shared" si="353"/>
        <v>45853.5</v>
      </c>
      <c r="AV353" s="19">
        <f t="shared" si="353"/>
        <v>45853.52083</v>
      </c>
      <c r="AW353" s="19">
        <f t="shared" si="353"/>
        <v>45853.54167</v>
      </c>
      <c r="AX353" s="19">
        <f t="shared" si="353"/>
        <v>45853.5625</v>
      </c>
      <c r="AY353" s="19">
        <f t="shared" si="353"/>
        <v>45853.58333</v>
      </c>
      <c r="AZ353" s="19">
        <f t="shared" si="353"/>
        <v>45853.60417</v>
      </c>
      <c r="BA353" s="19">
        <f t="shared" si="353"/>
        <v>45853.625</v>
      </c>
      <c r="BB353" s="19">
        <f t="shared" si="353"/>
        <v>45853.64583</v>
      </c>
      <c r="BC353" s="19">
        <f t="shared" si="353"/>
        <v>45853.66667</v>
      </c>
      <c r="BD353" s="19">
        <f t="shared" si="353"/>
        <v>45853.6875</v>
      </c>
      <c r="BE353" s="19">
        <f t="shared" si="353"/>
        <v>45853.70833</v>
      </c>
      <c r="BF353" s="19">
        <f t="shared" si="353"/>
        <v>45853.72917</v>
      </c>
      <c r="BG353" s="19">
        <f t="shared" si="353"/>
        <v>45853.75</v>
      </c>
      <c r="BH353" s="19">
        <f t="shared" si="353"/>
        <v>45853.77083</v>
      </c>
      <c r="BI353" s="19">
        <f t="shared" si="353"/>
        <v>45853.79167</v>
      </c>
      <c r="BJ353" s="19">
        <f t="shared" si="353"/>
        <v>45853.8125</v>
      </c>
      <c r="BK353" s="19">
        <f t="shared" si="353"/>
        <v>45853.83333</v>
      </c>
      <c r="BL353" s="19">
        <f t="shared" si="353"/>
        <v>45853.85417</v>
      </c>
      <c r="BM353" s="19">
        <f t="shared" si="353"/>
        <v>45853.875</v>
      </c>
      <c r="BN353" s="19">
        <f t="shared" si="353"/>
        <v>45853.89583</v>
      </c>
      <c r="BO353" s="19">
        <f t="shared" si="353"/>
        <v>45853.91667</v>
      </c>
      <c r="BP353" s="19">
        <f t="shared" si="353"/>
        <v>45853.9375</v>
      </c>
      <c r="BQ353" s="19">
        <f t="shared" si="353"/>
        <v>45853.95833</v>
      </c>
      <c r="BR353" s="19">
        <f t="shared" si="353"/>
        <v>45853.97917</v>
      </c>
      <c r="BS353" s="19">
        <f t="shared" si="353"/>
        <v>45854</v>
      </c>
      <c r="BT353" s="19">
        <f t="shared" si="353"/>
        <v>45854.02083</v>
      </c>
      <c r="BU353" s="19">
        <f t="shared" si="353"/>
        <v>45854.04167</v>
      </c>
      <c r="BV353" s="19">
        <f t="shared" si="353"/>
        <v>45854.0625</v>
      </c>
      <c r="BW353" s="19">
        <f t="shared" si="353"/>
        <v>45854.08333</v>
      </c>
      <c r="BX353" s="19">
        <f t="shared" si="353"/>
        <v>45853</v>
      </c>
      <c r="BY353" s="19">
        <f t="shared" si="353"/>
        <v>45853</v>
      </c>
      <c r="BZ353" s="19">
        <f t="shared" si="353"/>
        <v>45853</v>
      </c>
    </row>
    <row r="354" ht="14.25" customHeight="1">
      <c r="A354" s="17">
        <v>45854.0</v>
      </c>
      <c r="B354" s="2" t="str">
        <f t="array" ref="B354">IF(NOW()&gt;AM354,"",IF(AND((WEEKDAY($A354)+$B$2)&gt;1,((WEEKDAY($A354)+$T$2)&lt;7),(WEEKDAY($A354)&lt;&gt;1)),"work",(INDEX(Subject!$A:$I,MATCH(RANDBETWEEN(1,(MAX(Subject!$B:$B))),Subject!$B:$B,0),3))))</f>
        <v/>
      </c>
      <c r="C354" s="2" t="str">
        <f t="array" ref="C354">IF(NOW()&gt;AN354,"",IF(AND((WEEKDAY($A354)+$B$2)&gt;1,((WEEKDAY($A354)+$T$2)&lt;7),(WEEKDAY($A354)&lt;&gt;1)),"work",(INDEX(Subject!$A:$I,MATCH(RANDBETWEEN(1,(MAX(Subject!$B:$B))),Subject!$B:$B,0),3))))</f>
        <v/>
      </c>
      <c r="D354" s="2" t="str">
        <f t="array" ref="D354">IF(NOW()&gt;AO354,"",IF(AND((WEEKDAY($A354)+$B$2)&gt;1,((WEEKDAY($A354)+$T$2)&lt;7),(WEEKDAY($A354)&lt;&gt;1)),"work",(INDEX(Subject!$A:$I,MATCH(RANDBETWEEN(1,(MAX(Subject!$B:$B))),Subject!$B:$B,0),3))))</f>
        <v/>
      </c>
      <c r="E354" s="2" t="str">
        <f t="array" ref="E354">IF(NOW()&gt;AP354,"",IF(AND((WEEKDAY($A354)+$B$2)&gt;1,((WEEKDAY($A354)+$T$2)&lt;7),(WEEKDAY($A354)&lt;&gt;1)),"work",(INDEX(Subject!$A:$I,MATCH(RANDBETWEEN(1,(MAX(Subject!$B:$B))),Subject!$B:$B,0),3))))</f>
        <v/>
      </c>
      <c r="F354" s="2" t="str">
        <f t="array" ref="F354">IF(NOW()&gt;AQ354,"",IF(AND((WEEKDAY($A354)+$B$2)&gt;1,((WEEKDAY($A354)+$T$2)&lt;7),(WEEKDAY($A354)&lt;&gt;1)),"work",(INDEX(Subject!$A:$I,MATCH(RANDBETWEEN(1,(MAX(Subject!$B:$B))),Subject!$B:$B,0),3))))</f>
        <v/>
      </c>
      <c r="G354" s="2" t="str">
        <f t="array" ref="G354">IF(NOW()&gt;AR354,"",IF(AND((WEEKDAY($A354)+$B$2)&gt;1,((WEEKDAY($A354)+$T$2)&lt;7),(WEEKDAY($A354)&lt;&gt;1)),"work",(INDEX(Subject!$A:$I,MATCH(RANDBETWEEN(1,(MAX(Subject!$B:$B))),Subject!$B:$B,0),3))))</f>
        <v/>
      </c>
      <c r="H354" s="2" t="str">
        <f t="array" ref="H354">IF(NOW()&gt;AS354,"",IF(AND((WEEKDAY($A354)+$B$2)&gt;1,((WEEKDAY($A354)+$T$2)&lt;7),(WEEKDAY($A354)&lt;&gt;1)),"work",(INDEX(Subject!$A:$I,MATCH(RANDBETWEEN(1,(MAX(Subject!$B:$B))),Subject!$B:$B,0),3))))</f>
        <v/>
      </c>
      <c r="I354" s="2" t="str">
        <f t="array" ref="I354">IF(NOW()&gt;AT354,"",IF(AND((WEEKDAY($A354)+$B$2)&gt;1,((WEEKDAY($A354)+$T$2)&lt;7),(WEEKDAY($A354)&lt;&gt;1)),"work",(INDEX(Subject!$A:$I,MATCH(RANDBETWEEN(1,(MAX(Subject!$B:$B))),Subject!$B:$B,0),3))))</f>
        <v/>
      </c>
      <c r="J354" s="2" t="str">
        <f t="array" ref="J354">IF(NOW()&gt;AU354,"",IF(AND((WEEKDAY($A354)+$B$2)&gt;1,((WEEKDAY($A354)+$T$2)&lt;7),(WEEKDAY($A354)&lt;&gt;1)),"work",(INDEX(Subject!$A:$I,MATCH(RANDBETWEEN(1,(MAX(Subject!$B:$B))),Subject!$B:$B,0),3))))</f>
        <v/>
      </c>
      <c r="K354" s="2" t="str">
        <f t="array" ref="K354">IF(NOW()&gt;AV354,"",IF(AND((WEEKDAY($A354)+$B$2)&gt;1,((WEEKDAY($A354)+$T$2)&lt;7),(WEEKDAY($A354)&lt;&gt;1)),"work",(INDEX(Subject!$A:$I,MATCH(RANDBETWEEN(1,(MAX(Subject!$B:$B))),Subject!$B:$B,0),3))))</f>
        <v/>
      </c>
      <c r="L354" s="2" t="str">
        <f t="array" ref="L354">IF(NOW()&gt;AW354,"",IF(AND((WEEKDAY($A354)+$B$2)&gt;1,((WEEKDAY($A354)+$T$2)&lt;7),(WEEKDAY($A354)&lt;&gt;1)),"work",(INDEX(Subject!$A:$I,MATCH(RANDBETWEEN(1,(MAX(Subject!$B:$B))),Subject!$B:$B,0),3))))</f>
        <v/>
      </c>
      <c r="M354" s="2" t="str">
        <f t="array" ref="M354">IF(NOW()&gt;AX354,"",IF(AND((WEEKDAY($A354)+$B$2)&gt;1,((WEEKDAY($A354)+$T$2)&lt;7),(WEEKDAY($A354)&lt;&gt;1)),"work",(INDEX(Subject!$A:$I,MATCH(RANDBETWEEN(1,(MAX(Subject!$B:$B))),Subject!$B:$B,0),3))))</f>
        <v/>
      </c>
      <c r="N354" s="2" t="str">
        <f t="array" ref="N354">IF(NOW()&gt;AY354,"",IF(AND((WEEKDAY($A354)+$B$2)&gt;1,((WEEKDAY($A354)+$T$2)&lt;7),(WEEKDAY($A354)&lt;&gt;1)),"work",(INDEX(Subject!$A:$I,MATCH(RANDBETWEEN(1,(MAX(Subject!$B:$B))),Subject!$B:$B,0),3))))</f>
        <v/>
      </c>
      <c r="O354" s="2" t="str">
        <f t="array" ref="O354">IF(NOW()&gt;AZ354,"",IF(AND((WEEKDAY($A354)+$B$2)&gt;1,((WEEKDAY($A354)+$T$2)&lt;7),(WEEKDAY($A354)&lt;&gt;1)),"work",(INDEX(Subject!$A:$I,MATCH(RANDBETWEEN(1,(MAX(Subject!$B:$B))),Subject!$B:$B,0),3))))</f>
        <v/>
      </c>
      <c r="P354" s="2" t="str">
        <f t="array" ref="P354">IF(NOW()&gt;BA354,"",IF(AND((WEEKDAY($A354)+$B$2)&gt;1,((WEEKDAY($A354)+$T$2)&lt;7),(WEEKDAY($A354)&lt;&gt;1)),"work",(INDEX(Subject!$A:$I,MATCH(RANDBETWEEN(1,(MAX(Subject!$B:$B))),Subject!$B:$B,0),3))))</f>
        <v/>
      </c>
      <c r="Q354" s="2" t="str">
        <f t="array" ref="Q354">IF(NOW()&gt;BB354,"",IF(AND((WEEKDAY($A354)+$B$2)&gt;1,((WEEKDAY($A354)+$T$2)&lt;7),(WEEKDAY($A354)&lt;&gt;1)),"work",(INDEX(Subject!$A:$I,MATCH(RANDBETWEEN(1,(MAX(Subject!$B:$B))),Subject!$B:$B,0),3))))</f>
        <v/>
      </c>
      <c r="R354" s="2" t="str">
        <f t="array" ref="R354">IF(NOW()&gt;BC354,"",IF(AND((WEEKDAY($A354)+$B$2)&gt;1,((WEEKDAY($A354)+$T$2)&lt;7),(WEEKDAY($A354)&lt;&gt;1)),"work",(INDEX(Subject!$A:$I,MATCH(RANDBETWEEN(1,(MAX(Subject!$B:$B))),Subject!$B:$B,0),3))))</f>
        <v/>
      </c>
      <c r="S354" s="2" t="str">
        <f t="array" ref="S354">IF(NOW()&gt;BD354,"",IF(AND((WEEKDAY($A354)+$B$2)&gt;1,((WEEKDAY($A354)+$T$2)&lt;7),(WEEKDAY($A354)&lt;&gt;1)),"work",(INDEX(Subject!$A:$I,MATCH(RANDBETWEEN(1,(MAX(Subject!$B:$B))),Subject!$B:$B,0),3))))</f>
        <v/>
      </c>
      <c r="T354" s="2" t="str">
        <f t="array" ref="T354">IF(NOW()&gt;BE354,"",IF(AND((WEEKDAY($A354)+$B$2)&gt;1,((WEEKDAY($A354)+$T$2)&lt;7),(WEEKDAY($A354)&lt;&gt;1)),"work",(INDEX(Subject!$A:$I,MATCH(RANDBETWEEN(1,(MAX(Subject!$B:$B))),Subject!$B:$B,0),3))))</f>
        <v/>
      </c>
      <c r="U354" s="8" t="str">
        <f t="array" ref="U354">INDEX(Subject!$A:$I,MATCH(RANDBETWEEN(1,16),Subject!$B:$B,0),3)</f>
        <v/>
      </c>
      <c r="V354" s="8" t="str">
        <f t="array" ref="V354">INDEX(Subject!$A:$I,MATCH(RANDBETWEEN(1,16),Subject!$B:$B,0),3)</f>
        <v>#N/A</v>
      </c>
      <c r="W354" s="8" t="str">
        <f t="array" ref="W354">INDEX(Subject!$A:$I,MATCH(RANDBETWEEN(1,16),Subject!$B:$B,0),3)</f>
        <v>#N/A</v>
      </c>
      <c r="X354" s="8" t="str">
        <f t="array" ref="X354">INDEX(Subject!$A:$I,MATCH(RANDBETWEEN(1,16),Subject!$B:$B,0),3)</f>
        <v>#N/A</v>
      </c>
      <c r="Y354" s="8" t="str">
        <f t="array" ref="Y354">INDEX(Subject!$A:$I,MATCH(RANDBETWEEN(1,16),Subject!$B:$B,0),3)</f>
        <v>#N/A</v>
      </c>
      <c r="Z354" s="8" t="str">
        <f t="array" ref="Z354">INDEX(Subject!$A:$I,MATCH(RANDBETWEEN(1,16),Subject!$B:$B,0),3)</f>
        <v>#N/A</v>
      </c>
      <c r="AA354" s="8" t="str">
        <f t="array" ref="AA354">INDEX(Subject!$A:$I,MATCH(RANDBETWEEN(1,16),Subject!$B:$B,0),3)</f>
        <v>#N/A</v>
      </c>
      <c r="AB354" s="8" t="str">
        <f t="array" ref="AB354">INDEX(Subject!$A:$I,MATCH(RANDBETWEEN(1,16),Subject!$B:$B,0),3)</f>
        <v>#N/A</v>
      </c>
      <c r="AC354" s="8" t="str">
        <f t="array" ref="AC354">INDEX(Subject!$A:$I,MATCH(RANDBETWEEN(1,16),Subject!$B:$B,0),3)</f>
        <v>#N/A</v>
      </c>
      <c r="AD354" s="8" t="str">
        <f t="array" ref="AD354">INDEX(Subject!$A:$I,MATCH(RANDBETWEEN(1,16),Subject!$B:$B,0),3)</f>
        <v>#N/A</v>
      </c>
      <c r="AE354" s="8" t="str">
        <f t="array" ref="AE354">INDEX(Subject!$A:$I,MATCH(RANDBETWEEN(1,16),Subject!$B:$B,0),3)</f>
        <v>#N/A</v>
      </c>
      <c r="AF354" s="8" t="str">
        <f t="array" ref="AF354">INDEX(Subject!$A:$I,MATCH(RANDBETWEEN(1,16),Subject!$B:$B,0),3)</f>
        <v>#N/A</v>
      </c>
      <c r="AG354" s="8" t="str">
        <f t="array" ref="AG354">INDEX(Subject!$A:$I,MATCH(RANDBETWEEN(1,16),Subject!$B:$B,0),3)</f>
        <v/>
      </c>
      <c r="AH354" s="8" t="str">
        <f t="array" ref="AH354">INDEX(Subject!$A:$I,MATCH(RANDBETWEEN(1,16),Subject!$B:$B,0),3)</f>
        <v>#N/A</v>
      </c>
      <c r="AI354" s="8" t="str">
        <f t="array" ref="AI354">INDEX(Subject!$A:$I,MATCH(RANDBETWEEN(1,16),Subject!$B:$B,0),3)</f>
        <v>#N/A</v>
      </c>
      <c r="AJ354" s="8" t="str">
        <f t="array" ref="AJ354">INDEX(Subject!$A:$I,MATCH(RANDBETWEEN(1,16),Subject!$B:$B,0),3)</f>
        <v>#N/A</v>
      </c>
      <c r="AK354" s="8" t="str">
        <f t="array" ref="AK354">INDEX(Subject!$A:$I,MATCH(RANDBETWEEN(1,16),Subject!$B:$B,0),3)</f>
        <v>#N/A</v>
      </c>
      <c r="AL354" s="8" t="str">
        <f t="array" ref="AL354">INDEX(Subject!$A:$I,MATCH(RANDBETWEEN(1,16),Subject!$B:$B,0),3)</f>
        <v>#N/A</v>
      </c>
      <c r="AM354" s="18">
        <f t="shared" si="4"/>
        <v>45854.33333</v>
      </c>
      <c r="AN354" s="19">
        <f t="shared" ref="AN354:BZ354" si="354">$A354+C$1</f>
        <v>45854.35417</v>
      </c>
      <c r="AO354" s="19">
        <f t="shared" si="354"/>
        <v>45854.375</v>
      </c>
      <c r="AP354" s="19">
        <f t="shared" si="354"/>
        <v>45854.39583</v>
      </c>
      <c r="AQ354" s="19">
        <f t="shared" si="354"/>
        <v>45854.41667</v>
      </c>
      <c r="AR354" s="19">
        <f t="shared" si="354"/>
        <v>45854.4375</v>
      </c>
      <c r="AS354" s="19">
        <f t="shared" si="354"/>
        <v>45854.45833</v>
      </c>
      <c r="AT354" s="19">
        <f t="shared" si="354"/>
        <v>45854.47917</v>
      </c>
      <c r="AU354" s="19">
        <f t="shared" si="354"/>
        <v>45854.5</v>
      </c>
      <c r="AV354" s="19">
        <f t="shared" si="354"/>
        <v>45854.52083</v>
      </c>
      <c r="AW354" s="19">
        <f t="shared" si="354"/>
        <v>45854.54167</v>
      </c>
      <c r="AX354" s="19">
        <f t="shared" si="354"/>
        <v>45854.5625</v>
      </c>
      <c r="AY354" s="19">
        <f t="shared" si="354"/>
        <v>45854.58333</v>
      </c>
      <c r="AZ354" s="19">
        <f t="shared" si="354"/>
        <v>45854.60417</v>
      </c>
      <c r="BA354" s="19">
        <f t="shared" si="354"/>
        <v>45854.625</v>
      </c>
      <c r="BB354" s="19">
        <f t="shared" si="354"/>
        <v>45854.64583</v>
      </c>
      <c r="BC354" s="19">
        <f t="shared" si="354"/>
        <v>45854.66667</v>
      </c>
      <c r="BD354" s="19">
        <f t="shared" si="354"/>
        <v>45854.6875</v>
      </c>
      <c r="BE354" s="19">
        <f t="shared" si="354"/>
        <v>45854.70833</v>
      </c>
      <c r="BF354" s="19">
        <f t="shared" si="354"/>
        <v>45854.72917</v>
      </c>
      <c r="BG354" s="19">
        <f t="shared" si="354"/>
        <v>45854.75</v>
      </c>
      <c r="BH354" s="19">
        <f t="shared" si="354"/>
        <v>45854.77083</v>
      </c>
      <c r="BI354" s="19">
        <f t="shared" si="354"/>
        <v>45854.79167</v>
      </c>
      <c r="BJ354" s="19">
        <f t="shared" si="354"/>
        <v>45854.8125</v>
      </c>
      <c r="BK354" s="19">
        <f t="shared" si="354"/>
        <v>45854.83333</v>
      </c>
      <c r="BL354" s="19">
        <f t="shared" si="354"/>
        <v>45854.85417</v>
      </c>
      <c r="BM354" s="19">
        <f t="shared" si="354"/>
        <v>45854.875</v>
      </c>
      <c r="BN354" s="19">
        <f t="shared" si="354"/>
        <v>45854.89583</v>
      </c>
      <c r="BO354" s="19">
        <f t="shared" si="354"/>
        <v>45854.91667</v>
      </c>
      <c r="BP354" s="19">
        <f t="shared" si="354"/>
        <v>45854.9375</v>
      </c>
      <c r="BQ354" s="19">
        <f t="shared" si="354"/>
        <v>45854.95833</v>
      </c>
      <c r="BR354" s="19">
        <f t="shared" si="354"/>
        <v>45854.97917</v>
      </c>
      <c r="BS354" s="19">
        <f t="shared" si="354"/>
        <v>45855</v>
      </c>
      <c r="BT354" s="19">
        <f t="shared" si="354"/>
        <v>45855.02083</v>
      </c>
      <c r="BU354" s="19">
        <f t="shared" si="354"/>
        <v>45855.04167</v>
      </c>
      <c r="BV354" s="19">
        <f t="shared" si="354"/>
        <v>45855.0625</v>
      </c>
      <c r="BW354" s="19">
        <f t="shared" si="354"/>
        <v>45855.08333</v>
      </c>
      <c r="BX354" s="19">
        <f t="shared" si="354"/>
        <v>45854</v>
      </c>
      <c r="BY354" s="19">
        <f t="shared" si="354"/>
        <v>45854</v>
      </c>
      <c r="BZ354" s="19">
        <f t="shared" si="354"/>
        <v>45854</v>
      </c>
    </row>
    <row r="355" ht="14.25" customHeight="1">
      <c r="A355" s="17">
        <v>45855.0</v>
      </c>
      <c r="B355" s="2" t="str">
        <f t="array" ref="B355">IF(NOW()&gt;AM355,"",IF(AND((WEEKDAY($A355)+$B$2)&gt;1,((WEEKDAY($A355)+$T$2)&lt;7),(WEEKDAY($A355)&lt;&gt;1)),"work",(INDEX(Subject!$A:$I,MATCH(RANDBETWEEN(1,(MAX(Subject!$B:$B))),Subject!$B:$B,0),3))))</f>
        <v/>
      </c>
      <c r="C355" s="2" t="str">
        <f t="array" ref="C355">IF(NOW()&gt;AN355,"",IF(AND((WEEKDAY($A355)+$B$2)&gt;1,((WEEKDAY($A355)+$T$2)&lt;7),(WEEKDAY($A355)&lt;&gt;1)),"work",(INDEX(Subject!$A:$I,MATCH(RANDBETWEEN(1,(MAX(Subject!$B:$B))),Subject!$B:$B,0),3))))</f>
        <v/>
      </c>
      <c r="D355" s="2" t="str">
        <f t="array" ref="D355">IF(NOW()&gt;AO355,"",IF(AND((WEEKDAY($A355)+$B$2)&gt;1,((WEEKDAY($A355)+$T$2)&lt;7),(WEEKDAY($A355)&lt;&gt;1)),"work",(INDEX(Subject!$A:$I,MATCH(RANDBETWEEN(1,(MAX(Subject!$B:$B))),Subject!$B:$B,0),3))))</f>
        <v/>
      </c>
      <c r="E355" s="2" t="str">
        <f t="array" ref="E355">IF(NOW()&gt;AP355,"",IF(AND((WEEKDAY($A355)+$B$2)&gt;1,((WEEKDAY($A355)+$T$2)&lt;7),(WEEKDAY($A355)&lt;&gt;1)),"work",(INDEX(Subject!$A:$I,MATCH(RANDBETWEEN(1,(MAX(Subject!$B:$B))),Subject!$B:$B,0),3))))</f>
        <v/>
      </c>
      <c r="F355" s="2" t="str">
        <f t="array" ref="F355">IF(NOW()&gt;AQ355,"",IF(AND((WEEKDAY($A355)+$B$2)&gt;1,((WEEKDAY($A355)+$T$2)&lt;7),(WEEKDAY($A355)&lt;&gt;1)),"work",(INDEX(Subject!$A:$I,MATCH(RANDBETWEEN(1,(MAX(Subject!$B:$B))),Subject!$B:$B,0),3))))</f>
        <v/>
      </c>
      <c r="G355" s="2" t="str">
        <f t="array" ref="G355">IF(NOW()&gt;AR355,"",IF(AND((WEEKDAY($A355)+$B$2)&gt;1,((WEEKDAY($A355)+$T$2)&lt;7),(WEEKDAY($A355)&lt;&gt;1)),"work",(INDEX(Subject!$A:$I,MATCH(RANDBETWEEN(1,(MAX(Subject!$B:$B))),Subject!$B:$B,0),3))))</f>
        <v/>
      </c>
      <c r="H355" s="2" t="str">
        <f t="array" ref="H355">IF(NOW()&gt;AS355,"",IF(AND((WEEKDAY($A355)+$B$2)&gt;1,((WEEKDAY($A355)+$T$2)&lt;7),(WEEKDAY($A355)&lt;&gt;1)),"work",(INDEX(Subject!$A:$I,MATCH(RANDBETWEEN(1,(MAX(Subject!$B:$B))),Subject!$B:$B,0),3))))</f>
        <v/>
      </c>
      <c r="I355" s="2" t="str">
        <f t="array" ref="I355">IF(NOW()&gt;AT355,"",IF(AND((WEEKDAY($A355)+$B$2)&gt;1,((WEEKDAY($A355)+$T$2)&lt;7),(WEEKDAY($A355)&lt;&gt;1)),"work",(INDEX(Subject!$A:$I,MATCH(RANDBETWEEN(1,(MAX(Subject!$B:$B))),Subject!$B:$B,0),3))))</f>
        <v/>
      </c>
      <c r="J355" s="2" t="str">
        <f t="array" ref="J355">IF(NOW()&gt;AU355,"",IF(AND((WEEKDAY($A355)+$B$2)&gt;1,((WEEKDAY($A355)+$T$2)&lt;7),(WEEKDAY($A355)&lt;&gt;1)),"work",(INDEX(Subject!$A:$I,MATCH(RANDBETWEEN(1,(MAX(Subject!$B:$B))),Subject!$B:$B,0),3))))</f>
        <v/>
      </c>
      <c r="K355" s="2" t="str">
        <f t="array" ref="K355">IF(NOW()&gt;AV355,"",IF(AND((WEEKDAY($A355)+$B$2)&gt;1,((WEEKDAY($A355)+$T$2)&lt;7),(WEEKDAY($A355)&lt;&gt;1)),"work",(INDEX(Subject!$A:$I,MATCH(RANDBETWEEN(1,(MAX(Subject!$B:$B))),Subject!$B:$B,0),3))))</f>
        <v/>
      </c>
      <c r="L355" s="2" t="str">
        <f t="array" ref="L355">IF(NOW()&gt;AW355,"",IF(AND((WEEKDAY($A355)+$B$2)&gt;1,((WEEKDAY($A355)+$T$2)&lt;7),(WEEKDAY($A355)&lt;&gt;1)),"work",(INDEX(Subject!$A:$I,MATCH(RANDBETWEEN(1,(MAX(Subject!$B:$B))),Subject!$B:$B,0),3))))</f>
        <v/>
      </c>
      <c r="M355" s="2" t="str">
        <f t="array" ref="M355">IF(NOW()&gt;AX355,"",IF(AND((WEEKDAY($A355)+$B$2)&gt;1,((WEEKDAY($A355)+$T$2)&lt;7),(WEEKDAY($A355)&lt;&gt;1)),"work",(INDEX(Subject!$A:$I,MATCH(RANDBETWEEN(1,(MAX(Subject!$B:$B))),Subject!$B:$B,0),3))))</f>
        <v/>
      </c>
      <c r="N355" s="2" t="str">
        <f t="array" ref="N355">IF(NOW()&gt;AY355,"",IF(AND((WEEKDAY($A355)+$B$2)&gt;1,((WEEKDAY($A355)+$T$2)&lt;7),(WEEKDAY($A355)&lt;&gt;1)),"work",(INDEX(Subject!$A:$I,MATCH(RANDBETWEEN(1,(MAX(Subject!$B:$B))),Subject!$B:$B,0),3))))</f>
        <v/>
      </c>
      <c r="O355" s="2" t="str">
        <f t="array" ref="O355">IF(NOW()&gt;AZ355,"",IF(AND((WEEKDAY($A355)+$B$2)&gt;1,((WEEKDAY($A355)+$T$2)&lt;7),(WEEKDAY($A355)&lt;&gt;1)),"work",(INDEX(Subject!$A:$I,MATCH(RANDBETWEEN(1,(MAX(Subject!$B:$B))),Subject!$B:$B,0),3))))</f>
        <v/>
      </c>
      <c r="P355" s="2" t="str">
        <f t="array" ref="P355">IF(NOW()&gt;BA355,"",IF(AND((WEEKDAY($A355)+$B$2)&gt;1,((WEEKDAY($A355)+$T$2)&lt;7),(WEEKDAY($A355)&lt;&gt;1)),"work",(INDEX(Subject!$A:$I,MATCH(RANDBETWEEN(1,(MAX(Subject!$B:$B))),Subject!$B:$B,0),3))))</f>
        <v/>
      </c>
      <c r="Q355" s="2" t="str">
        <f t="array" ref="Q355">IF(NOW()&gt;BB355,"",IF(AND((WEEKDAY($A355)+$B$2)&gt;1,((WEEKDAY($A355)+$T$2)&lt;7),(WEEKDAY($A355)&lt;&gt;1)),"work",(INDEX(Subject!$A:$I,MATCH(RANDBETWEEN(1,(MAX(Subject!$B:$B))),Subject!$B:$B,0),3))))</f>
        <v/>
      </c>
      <c r="R355" s="2" t="str">
        <f t="array" ref="R355">IF(NOW()&gt;BC355,"",IF(AND((WEEKDAY($A355)+$B$2)&gt;1,((WEEKDAY($A355)+$T$2)&lt;7),(WEEKDAY($A355)&lt;&gt;1)),"work",(INDEX(Subject!$A:$I,MATCH(RANDBETWEEN(1,(MAX(Subject!$B:$B))),Subject!$B:$B,0),3))))</f>
        <v/>
      </c>
      <c r="S355" s="2" t="str">
        <f t="array" ref="S355">IF(NOW()&gt;BD355,"",IF(AND((WEEKDAY($A355)+$B$2)&gt;1,((WEEKDAY($A355)+$T$2)&lt;7),(WEEKDAY($A355)&lt;&gt;1)),"work",(INDEX(Subject!$A:$I,MATCH(RANDBETWEEN(1,(MAX(Subject!$B:$B))),Subject!$B:$B,0),3))))</f>
        <v/>
      </c>
      <c r="T355" s="2" t="str">
        <f t="array" ref="T355">IF(NOW()&gt;BE355,"",IF(AND((WEEKDAY($A355)+$B$2)&gt;1,((WEEKDAY($A355)+$T$2)&lt;7),(WEEKDAY($A355)&lt;&gt;1)),"work",(INDEX(Subject!$A:$I,MATCH(RANDBETWEEN(1,(MAX(Subject!$B:$B))),Subject!$B:$B,0),3))))</f>
        <v/>
      </c>
      <c r="U355" s="8" t="str">
        <f t="array" ref="U355">INDEX(Subject!$A:$I,MATCH(RANDBETWEEN(1,16),Subject!$B:$B,0),3)</f>
        <v/>
      </c>
      <c r="V355" s="8" t="str">
        <f t="array" ref="V355">INDEX(Subject!$A:$I,MATCH(RANDBETWEEN(1,16),Subject!$B:$B,0),3)</f>
        <v>#N/A</v>
      </c>
      <c r="W355" s="8" t="str">
        <f t="array" ref="W355">INDEX(Subject!$A:$I,MATCH(RANDBETWEEN(1,16),Subject!$B:$B,0),3)</f>
        <v>#N/A</v>
      </c>
      <c r="X355" s="8" t="str">
        <f t="array" ref="X355">INDEX(Subject!$A:$I,MATCH(RANDBETWEEN(1,16),Subject!$B:$B,0),3)</f>
        <v>#N/A</v>
      </c>
      <c r="Y355" s="8" t="str">
        <f t="array" ref="Y355">INDEX(Subject!$A:$I,MATCH(RANDBETWEEN(1,16),Subject!$B:$B,0),3)</f>
        <v>#N/A</v>
      </c>
      <c r="Z355" s="8" t="str">
        <f t="array" ref="Z355">INDEX(Subject!$A:$I,MATCH(RANDBETWEEN(1,16),Subject!$B:$B,0),3)</f>
        <v>#N/A</v>
      </c>
      <c r="AA355" s="8" t="str">
        <f t="array" ref="AA355">INDEX(Subject!$A:$I,MATCH(RANDBETWEEN(1,16),Subject!$B:$B,0),3)</f>
        <v>#N/A</v>
      </c>
      <c r="AB355" s="8" t="str">
        <f t="array" ref="AB355">INDEX(Subject!$A:$I,MATCH(RANDBETWEEN(1,16),Subject!$B:$B,0),3)</f>
        <v>#N/A</v>
      </c>
      <c r="AC355" s="8" t="str">
        <f t="array" ref="AC355">INDEX(Subject!$A:$I,MATCH(RANDBETWEEN(1,16),Subject!$B:$B,0),3)</f>
        <v>#N/A</v>
      </c>
      <c r="AD355" s="8" t="str">
        <f t="array" ref="AD355">INDEX(Subject!$A:$I,MATCH(RANDBETWEEN(1,16),Subject!$B:$B,0),3)</f>
        <v>#N/A</v>
      </c>
      <c r="AE355" s="8" t="str">
        <f t="array" ref="AE355">INDEX(Subject!$A:$I,MATCH(RANDBETWEEN(1,16),Subject!$B:$B,0),3)</f>
        <v>#N/A</v>
      </c>
      <c r="AF355" s="8" t="str">
        <f t="array" ref="AF355">INDEX(Subject!$A:$I,MATCH(RANDBETWEEN(1,16),Subject!$B:$B,0),3)</f>
        <v>#N/A</v>
      </c>
      <c r="AG355" s="8" t="str">
        <f t="array" ref="AG355">INDEX(Subject!$A:$I,MATCH(RANDBETWEEN(1,16),Subject!$B:$B,0),3)</f>
        <v>#N/A</v>
      </c>
      <c r="AH355" s="8" t="str">
        <f t="array" ref="AH355">INDEX(Subject!$A:$I,MATCH(RANDBETWEEN(1,16),Subject!$B:$B,0),3)</f>
        <v>#N/A</v>
      </c>
      <c r="AI355" s="8" t="str">
        <f t="array" ref="AI355">INDEX(Subject!$A:$I,MATCH(RANDBETWEEN(1,16),Subject!$B:$B,0),3)</f>
        <v>#N/A</v>
      </c>
      <c r="AJ355" s="8" t="str">
        <f t="array" ref="AJ355">INDEX(Subject!$A:$I,MATCH(RANDBETWEEN(1,16),Subject!$B:$B,0),3)</f>
        <v>#N/A</v>
      </c>
      <c r="AK355" s="8" t="str">
        <f t="array" ref="AK355">INDEX(Subject!$A:$I,MATCH(RANDBETWEEN(1,16),Subject!$B:$B,0),3)</f>
        <v/>
      </c>
      <c r="AL355" s="8" t="str">
        <f t="array" ref="AL355">INDEX(Subject!$A:$I,MATCH(RANDBETWEEN(1,16),Subject!$B:$B,0),3)</f>
        <v>#N/A</v>
      </c>
      <c r="AM355" s="18">
        <f t="shared" si="4"/>
        <v>45855.33333</v>
      </c>
      <c r="AN355" s="19">
        <f t="shared" ref="AN355:BZ355" si="355">$A355+C$1</f>
        <v>45855.35417</v>
      </c>
      <c r="AO355" s="19">
        <f t="shared" si="355"/>
        <v>45855.375</v>
      </c>
      <c r="AP355" s="19">
        <f t="shared" si="355"/>
        <v>45855.39583</v>
      </c>
      <c r="AQ355" s="19">
        <f t="shared" si="355"/>
        <v>45855.41667</v>
      </c>
      <c r="AR355" s="19">
        <f t="shared" si="355"/>
        <v>45855.4375</v>
      </c>
      <c r="AS355" s="19">
        <f t="shared" si="355"/>
        <v>45855.45833</v>
      </c>
      <c r="AT355" s="19">
        <f t="shared" si="355"/>
        <v>45855.47917</v>
      </c>
      <c r="AU355" s="19">
        <f t="shared" si="355"/>
        <v>45855.5</v>
      </c>
      <c r="AV355" s="19">
        <f t="shared" si="355"/>
        <v>45855.52083</v>
      </c>
      <c r="AW355" s="19">
        <f t="shared" si="355"/>
        <v>45855.54167</v>
      </c>
      <c r="AX355" s="19">
        <f t="shared" si="355"/>
        <v>45855.5625</v>
      </c>
      <c r="AY355" s="19">
        <f t="shared" si="355"/>
        <v>45855.58333</v>
      </c>
      <c r="AZ355" s="19">
        <f t="shared" si="355"/>
        <v>45855.60417</v>
      </c>
      <c r="BA355" s="19">
        <f t="shared" si="355"/>
        <v>45855.625</v>
      </c>
      <c r="BB355" s="19">
        <f t="shared" si="355"/>
        <v>45855.64583</v>
      </c>
      <c r="BC355" s="19">
        <f t="shared" si="355"/>
        <v>45855.66667</v>
      </c>
      <c r="BD355" s="19">
        <f t="shared" si="355"/>
        <v>45855.6875</v>
      </c>
      <c r="BE355" s="19">
        <f t="shared" si="355"/>
        <v>45855.70833</v>
      </c>
      <c r="BF355" s="19">
        <f t="shared" si="355"/>
        <v>45855.72917</v>
      </c>
      <c r="BG355" s="19">
        <f t="shared" si="355"/>
        <v>45855.75</v>
      </c>
      <c r="BH355" s="19">
        <f t="shared" si="355"/>
        <v>45855.77083</v>
      </c>
      <c r="BI355" s="19">
        <f t="shared" si="355"/>
        <v>45855.79167</v>
      </c>
      <c r="BJ355" s="19">
        <f t="shared" si="355"/>
        <v>45855.8125</v>
      </c>
      <c r="BK355" s="19">
        <f t="shared" si="355"/>
        <v>45855.83333</v>
      </c>
      <c r="BL355" s="19">
        <f t="shared" si="355"/>
        <v>45855.85417</v>
      </c>
      <c r="BM355" s="19">
        <f t="shared" si="355"/>
        <v>45855.875</v>
      </c>
      <c r="BN355" s="19">
        <f t="shared" si="355"/>
        <v>45855.89583</v>
      </c>
      <c r="BO355" s="19">
        <f t="shared" si="355"/>
        <v>45855.91667</v>
      </c>
      <c r="BP355" s="19">
        <f t="shared" si="355"/>
        <v>45855.9375</v>
      </c>
      <c r="BQ355" s="19">
        <f t="shared" si="355"/>
        <v>45855.95833</v>
      </c>
      <c r="BR355" s="19">
        <f t="shared" si="355"/>
        <v>45855.97917</v>
      </c>
      <c r="BS355" s="19">
        <f t="shared" si="355"/>
        <v>45856</v>
      </c>
      <c r="BT355" s="19">
        <f t="shared" si="355"/>
        <v>45856.02083</v>
      </c>
      <c r="BU355" s="19">
        <f t="shared" si="355"/>
        <v>45856.04167</v>
      </c>
      <c r="BV355" s="19">
        <f t="shared" si="355"/>
        <v>45856.0625</v>
      </c>
      <c r="BW355" s="19">
        <f t="shared" si="355"/>
        <v>45856.08333</v>
      </c>
      <c r="BX355" s="19">
        <f t="shared" si="355"/>
        <v>45855</v>
      </c>
      <c r="BY355" s="19">
        <f t="shared" si="355"/>
        <v>45855</v>
      </c>
      <c r="BZ355" s="19">
        <f t="shared" si="355"/>
        <v>45855</v>
      </c>
    </row>
    <row r="356" ht="14.25" customHeight="1">
      <c r="A356" s="17">
        <v>45856.0</v>
      </c>
      <c r="B356" s="2" t="str">
        <f t="array" ref="B356">IF(NOW()&gt;AM356,"",IF(AND((WEEKDAY($A356)+$B$2)&gt;1,((WEEKDAY($A356)+$T$2)&lt;7),(WEEKDAY($A356)&lt;&gt;1)),"work",(INDEX(Subject!$A:$I,MATCH(RANDBETWEEN(1,(MAX(Subject!$B:$B))),Subject!$B:$B,0),3))))</f>
        <v/>
      </c>
      <c r="C356" s="2" t="str">
        <f t="array" ref="C356">IF(NOW()&gt;AN356,"",IF(AND((WEEKDAY($A356)+$B$2)&gt;1,((WEEKDAY($A356)+$T$2)&lt;7),(WEEKDAY($A356)&lt;&gt;1)),"work",(INDEX(Subject!$A:$I,MATCH(RANDBETWEEN(1,(MAX(Subject!$B:$B))),Subject!$B:$B,0),3))))</f>
        <v/>
      </c>
      <c r="D356" s="2" t="str">
        <f t="array" ref="D356">IF(NOW()&gt;AO356,"",IF(AND((WEEKDAY($A356)+$B$2)&gt;1,((WEEKDAY($A356)+$T$2)&lt;7),(WEEKDAY($A356)&lt;&gt;1)),"work",(INDEX(Subject!$A:$I,MATCH(RANDBETWEEN(1,(MAX(Subject!$B:$B))),Subject!$B:$B,0),3))))</f>
        <v/>
      </c>
      <c r="E356" s="2" t="str">
        <f t="array" ref="E356">IF(NOW()&gt;AP356,"",IF(AND((WEEKDAY($A356)+$B$2)&gt;1,((WEEKDAY($A356)+$T$2)&lt;7),(WEEKDAY($A356)&lt;&gt;1)),"work",(INDEX(Subject!$A:$I,MATCH(RANDBETWEEN(1,(MAX(Subject!$B:$B))),Subject!$B:$B,0),3))))</f>
        <v/>
      </c>
      <c r="F356" s="2" t="str">
        <f t="array" ref="F356">IF(NOW()&gt;AQ356,"",IF(AND((WEEKDAY($A356)+$B$2)&gt;1,((WEEKDAY($A356)+$T$2)&lt;7),(WEEKDAY($A356)&lt;&gt;1)),"work",(INDEX(Subject!$A:$I,MATCH(RANDBETWEEN(1,(MAX(Subject!$B:$B))),Subject!$B:$B,0),3))))</f>
        <v/>
      </c>
      <c r="G356" s="2" t="str">
        <f t="array" ref="G356">IF(NOW()&gt;AR356,"",IF(AND((WEEKDAY($A356)+$B$2)&gt;1,((WEEKDAY($A356)+$T$2)&lt;7),(WEEKDAY($A356)&lt;&gt;1)),"work",(INDEX(Subject!$A:$I,MATCH(RANDBETWEEN(1,(MAX(Subject!$B:$B))),Subject!$B:$B,0),3))))</f>
        <v/>
      </c>
      <c r="H356" s="2" t="str">
        <f t="array" ref="H356">IF(NOW()&gt;AS356,"",IF(AND((WEEKDAY($A356)+$B$2)&gt;1,((WEEKDAY($A356)+$T$2)&lt;7),(WEEKDAY($A356)&lt;&gt;1)),"work",(INDEX(Subject!$A:$I,MATCH(RANDBETWEEN(1,(MAX(Subject!$B:$B))),Subject!$B:$B,0),3))))</f>
        <v/>
      </c>
      <c r="I356" s="2" t="str">
        <f t="array" ref="I356">IF(NOW()&gt;AT356,"",IF(AND((WEEKDAY($A356)+$B$2)&gt;1,((WEEKDAY($A356)+$T$2)&lt;7),(WEEKDAY($A356)&lt;&gt;1)),"work",(INDEX(Subject!$A:$I,MATCH(RANDBETWEEN(1,(MAX(Subject!$B:$B))),Subject!$B:$B,0),3))))</f>
        <v/>
      </c>
      <c r="J356" s="2" t="str">
        <f t="array" ref="J356">IF(NOW()&gt;AU356,"",IF(AND((WEEKDAY($A356)+$B$2)&gt;1,((WEEKDAY($A356)+$T$2)&lt;7),(WEEKDAY($A356)&lt;&gt;1)),"work",(INDEX(Subject!$A:$I,MATCH(RANDBETWEEN(1,(MAX(Subject!$B:$B))),Subject!$B:$B,0),3))))</f>
        <v/>
      </c>
      <c r="K356" s="2" t="str">
        <f t="array" ref="K356">IF(NOW()&gt;AV356,"",IF(AND((WEEKDAY($A356)+$B$2)&gt;1,((WEEKDAY($A356)+$T$2)&lt;7),(WEEKDAY($A356)&lt;&gt;1)),"work",(INDEX(Subject!$A:$I,MATCH(RANDBETWEEN(1,(MAX(Subject!$B:$B))),Subject!$B:$B,0),3))))</f>
        <v/>
      </c>
      <c r="L356" s="2" t="str">
        <f t="array" ref="L356">IF(NOW()&gt;AW356,"",IF(AND((WEEKDAY($A356)+$B$2)&gt;1,((WEEKDAY($A356)+$T$2)&lt;7),(WEEKDAY($A356)&lt;&gt;1)),"work",(INDEX(Subject!$A:$I,MATCH(RANDBETWEEN(1,(MAX(Subject!$B:$B))),Subject!$B:$B,0),3))))</f>
        <v/>
      </c>
      <c r="M356" s="2" t="str">
        <f t="array" ref="M356">IF(NOW()&gt;AX356,"",IF(AND((WEEKDAY($A356)+$B$2)&gt;1,((WEEKDAY($A356)+$T$2)&lt;7),(WEEKDAY($A356)&lt;&gt;1)),"work",(INDEX(Subject!$A:$I,MATCH(RANDBETWEEN(1,(MAX(Subject!$B:$B))),Subject!$B:$B,0),3))))</f>
        <v/>
      </c>
      <c r="N356" s="2" t="str">
        <f t="array" ref="N356">IF(NOW()&gt;AY356,"",IF(AND((WEEKDAY($A356)+$B$2)&gt;1,((WEEKDAY($A356)+$T$2)&lt;7),(WEEKDAY($A356)&lt;&gt;1)),"work",(INDEX(Subject!$A:$I,MATCH(RANDBETWEEN(1,(MAX(Subject!$B:$B))),Subject!$B:$B,0),3))))</f>
        <v/>
      </c>
      <c r="O356" s="2" t="str">
        <f t="array" ref="O356">IF(NOW()&gt;AZ356,"",IF(AND((WEEKDAY($A356)+$B$2)&gt;1,((WEEKDAY($A356)+$T$2)&lt;7),(WEEKDAY($A356)&lt;&gt;1)),"work",(INDEX(Subject!$A:$I,MATCH(RANDBETWEEN(1,(MAX(Subject!$B:$B))),Subject!$B:$B,0),3))))</f>
        <v/>
      </c>
      <c r="P356" s="2" t="str">
        <f t="array" ref="P356">IF(NOW()&gt;BA356,"",IF(AND((WEEKDAY($A356)+$B$2)&gt;1,((WEEKDAY($A356)+$T$2)&lt;7),(WEEKDAY($A356)&lt;&gt;1)),"work",(INDEX(Subject!$A:$I,MATCH(RANDBETWEEN(1,(MAX(Subject!$B:$B))),Subject!$B:$B,0),3))))</f>
        <v/>
      </c>
      <c r="Q356" s="2" t="str">
        <f t="array" ref="Q356">IF(NOW()&gt;BB356,"",IF(AND((WEEKDAY($A356)+$B$2)&gt;1,((WEEKDAY($A356)+$T$2)&lt;7),(WEEKDAY($A356)&lt;&gt;1)),"work",(INDEX(Subject!$A:$I,MATCH(RANDBETWEEN(1,(MAX(Subject!$B:$B))),Subject!$B:$B,0),3))))</f>
        <v/>
      </c>
      <c r="R356" s="2" t="str">
        <f t="array" ref="R356">IF(NOW()&gt;BC356,"",IF(AND((WEEKDAY($A356)+$B$2)&gt;1,((WEEKDAY($A356)+$T$2)&lt;7),(WEEKDAY($A356)&lt;&gt;1)),"work",(INDEX(Subject!$A:$I,MATCH(RANDBETWEEN(1,(MAX(Subject!$B:$B))),Subject!$B:$B,0),3))))</f>
        <v/>
      </c>
      <c r="S356" s="2" t="str">
        <f t="array" ref="S356">IF(NOW()&gt;BD356,"",IF(AND((WEEKDAY($A356)+$B$2)&gt;1,((WEEKDAY($A356)+$T$2)&lt;7),(WEEKDAY($A356)&lt;&gt;1)),"work",(INDEX(Subject!$A:$I,MATCH(RANDBETWEEN(1,(MAX(Subject!$B:$B))),Subject!$B:$B,0),3))))</f>
        <v/>
      </c>
      <c r="T356" s="2" t="str">
        <f t="array" ref="T356">IF(NOW()&gt;BE356,"",IF(AND((WEEKDAY($A356)+$B$2)&gt;1,((WEEKDAY($A356)+$T$2)&lt;7),(WEEKDAY($A356)&lt;&gt;1)),"work",(INDEX(Subject!$A:$I,MATCH(RANDBETWEEN(1,(MAX(Subject!$B:$B))),Subject!$B:$B,0),3))))</f>
        <v/>
      </c>
      <c r="U356" s="8" t="str">
        <f t="array" ref="U356">INDEX(Subject!$A:$I,MATCH(RANDBETWEEN(1,16),Subject!$B:$B,0),3)</f>
        <v>#N/A</v>
      </c>
      <c r="V356" s="8" t="str">
        <f t="array" ref="V356">INDEX(Subject!$A:$I,MATCH(RANDBETWEEN(1,16),Subject!$B:$B,0),3)</f>
        <v/>
      </c>
      <c r="W356" s="8" t="str">
        <f t="array" ref="W356">INDEX(Subject!$A:$I,MATCH(RANDBETWEEN(1,16),Subject!$B:$B,0),3)</f>
        <v>#N/A</v>
      </c>
      <c r="X356" s="8" t="str">
        <f t="array" ref="X356">INDEX(Subject!$A:$I,MATCH(RANDBETWEEN(1,16),Subject!$B:$B,0),3)</f>
        <v>#N/A</v>
      </c>
      <c r="Y356" s="8" t="str">
        <f t="array" ref="Y356">INDEX(Subject!$A:$I,MATCH(RANDBETWEEN(1,16),Subject!$B:$B,0),3)</f>
        <v>#N/A</v>
      </c>
      <c r="Z356" s="8" t="str">
        <f t="array" ref="Z356">INDEX(Subject!$A:$I,MATCH(RANDBETWEEN(1,16),Subject!$B:$B,0),3)</f>
        <v>#N/A</v>
      </c>
      <c r="AA356" s="8" t="str">
        <f t="array" ref="AA356">INDEX(Subject!$A:$I,MATCH(RANDBETWEEN(1,16),Subject!$B:$B,0),3)</f>
        <v>#N/A</v>
      </c>
      <c r="AB356" s="8" t="str">
        <f t="array" ref="AB356">INDEX(Subject!$A:$I,MATCH(RANDBETWEEN(1,16),Subject!$B:$B,0),3)</f>
        <v>#N/A</v>
      </c>
      <c r="AC356" s="8" t="str">
        <f t="array" ref="AC356">INDEX(Subject!$A:$I,MATCH(RANDBETWEEN(1,16),Subject!$B:$B,0),3)</f>
        <v>#N/A</v>
      </c>
      <c r="AD356" s="8" t="str">
        <f t="array" ref="AD356">INDEX(Subject!$A:$I,MATCH(RANDBETWEEN(1,16),Subject!$B:$B,0),3)</f>
        <v/>
      </c>
      <c r="AE356" s="8" t="str">
        <f t="array" ref="AE356">INDEX(Subject!$A:$I,MATCH(RANDBETWEEN(1,16),Subject!$B:$B,0),3)</f>
        <v/>
      </c>
      <c r="AF356" s="8" t="str">
        <f t="array" ref="AF356">INDEX(Subject!$A:$I,MATCH(RANDBETWEEN(1,16),Subject!$B:$B,0),3)</f>
        <v/>
      </c>
      <c r="AG356" s="8" t="str">
        <f t="array" ref="AG356">INDEX(Subject!$A:$I,MATCH(RANDBETWEEN(1,16),Subject!$B:$B,0),3)</f>
        <v>#N/A</v>
      </c>
      <c r="AH356" s="8" t="str">
        <f t="array" ref="AH356">INDEX(Subject!$A:$I,MATCH(RANDBETWEEN(1,16),Subject!$B:$B,0),3)</f>
        <v>#N/A</v>
      </c>
      <c r="AI356" s="8" t="str">
        <f t="array" ref="AI356">INDEX(Subject!$A:$I,MATCH(RANDBETWEEN(1,16),Subject!$B:$B,0),3)</f>
        <v>#N/A</v>
      </c>
      <c r="AJ356" s="8" t="str">
        <f t="array" ref="AJ356">INDEX(Subject!$A:$I,MATCH(RANDBETWEEN(1,16),Subject!$B:$B,0),3)</f>
        <v>#N/A</v>
      </c>
      <c r="AK356" s="8" t="str">
        <f t="array" ref="AK356">INDEX(Subject!$A:$I,MATCH(RANDBETWEEN(1,16),Subject!$B:$B,0),3)</f>
        <v>#N/A</v>
      </c>
      <c r="AL356" s="8" t="str">
        <f t="array" ref="AL356">INDEX(Subject!$A:$I,MATCH(RANDBETWEEN(1,16),Subject!$B:$B,0),3)</f>
        <v/>
      </c>
      <c r="AM356" s="18">
        <f t="shared" si="4"/>
        <v>45856.33333</v>
      </c>
      <c r="AN356" s="19">
        <f t="shared" ref="AN356:BZ356" si="356">$A356+C$1</f>
        <v>45856.35417</v>
      </c>
      <c r="AO356" s="19">
        <f t="shared" si="356"/>
        <v>45856.375</v>
      </c>
      <c r="AP356" s="19">
        <f t="shared" si="356"/>
        <v>45856.39583</v>
      </c>
      <c r="AQ356" s="19">
        <f t="shared" si="356"/>
        <v>45856.41667</v>
      </c>
      <c r="AR356" s="19">
        <f t="shared" si="356"/>
        <v>45856.4375</v>
      </c>
      <c r="AS356" s="19">
        <f t="shared" si="356"/>
        <v>45856.45833</v>
      </c>
      <c r="AT356" s="19">
        <f t="shared" si="356"/>
        <v>45856.47917</v>
      </c>
      <c r="AU356" s="19">
        <f t="shared" si="356"/>
        <v>45856.5</v>
      </c>
      <c r="AV356" s="19">
        <f t="shared" si="356"/>
        <v>45856.52083</v>
      </c>
      <c r="AW356" s="19">
        <f t="shared" si="356"/>
        <v>45856.54167</v>
      </c>
      <c r="AX356" s="19">
        <f t="shared" si="356"/>
        <v>45856.5625</v>
      </c>
      <c r="AY356" s="19">
        <f t="shared" si="356"/>
        <v>45856.58333</v>
      </c>
      <c r="AZ356" s="19">
        <f t="shared" si="356"/>
        <v>45856.60417</v>
      </c>
      <c r="BA356" s="19">
        <f t="shared" si="356"/>
        <v>45856.625</v>
      </c>
      <c r="BB356" s="19">
        <f t="shared" si="356"/>
        <v>45856.64583</v>
      </c>
      <c r="BC356" s="19">
        <f t="shared" si="356"/>
        <v>45856.66667</v>
      </c>
      <c r="BD356" s="19">
        <f t="shared" si="356"/>
        <v>45856.6875</v>
      </c>
      <c r="BE356" s="19">
        <f t="shared" si="356"/>
        <v>45856.70833</v>
      </c>
      <c r="BF356" s="19">
        <f t="shared" si="356"/>
        <v>45856.72917</v>
      </c>
      <c r="BG356" s="19">
        <f t="shared" si="356"/>
        <v>45856.75</v>
      </c>
      <c r="BH356" s="19">
        <f t="shared" si="356"/>
        <v>45856.77083</v>
      </c>
      <c r="BI356" s="19">
        <f t="shared" si="356"/>
        <v>45856.79167</v>
      </c>
      <c r="BJ356" s="19">
        <f t="shared" si="356"/>
        <v>45856.8125</v>
      </c>
      <c r="BK356" s="19">
        <f t="shared" si="356"/>
        <v>45856.83333</v>
      </c>
      <c r="BL356" s="19">
        <f t="shared" si="356"/>
        <v>45856.85417</v>
      </c>
      <c r="BM356" s="19">
        <f t="shared" si="356"/>
        <v>45856.875</v>
      </c>
      <c r="BN356" s="19">
        <f t="shared" si="356"/>
        <v>45856.89583</v>
      </c>
      <c r="BO356" s="19">
        <f t="shared" si="356"/>
        <v>45856.91667</v>
      </c>
      <c r="BP356" s="19">
        <f t="shared" si="356"/>
        <v>45856.9375</v>
      </c>
      <c r="BQ356" s="19">
        <f t="shared" si="356"/>
        <v>45856.95833</v>
      </c>
      <c r="BR356" s="19">
        <f t="shared" si="356"/>
        <v>45856.97917</v>
      </c>
      <c r="BS356" s="19">
        <f t="shared" si="356"/>
        <v>45857</v>
      </c>
      <c r="BT356" s="19">
        <f t="shared" si="356"/>
        <v>45857.02083</v>
      </c>
      <c r="BU356" s="19">
        <f t="shared" si="356"/>
        <v>45857.04167</v>
      </c>
      <c r="BV356" s="19">
        <f t="shared" si="356"/>
        <v>45857.0625</v>
      </c>
      <c r="BW356" s="19">
        <f t="shared" si="356"/>
        <v>45857.08333</v>
      </c>
      <c r="BX356" s="19">
        <f t="shared" si="356"/>
        <v>45856</v>
      </c>
      <c r="BY356" s="19">
        <f t="shared" si="356"/>
        <v>45856</v>
      </c>
      <c r="BZ356" s="19">
        <f t="shared" si="356"/>
        <v>45856</v>
      </c>
    </row>
    <row r="357" ht="14.25" customHeight="1">
      <c r="A357" s="17">
        <v>45857.0</v>
      </c>
      <c r="B357" s="2" t="str">
        <f t="array" ref="B357">IF(NOW()&gt;AM357,"",IF(AND((WEEKDAY($A357)+$B$2)&gt;1,((WEEKDAY($A357)+$T$2)&lt;7),(WEEKDAY($A357)&lt;&gt;1)),"work",(INDEX(Subject!$A:$I,MATCH(RANDBETWEEN(1,(MAX(Subject!$B:$B))),Subject!$B:$B,0),3))))</f>
        <v/>
      </c>
      <c r="C357" s="2" t="str">
        <f t="array" ref="C357">IF(NOW()&gt;AN357,"",IF(AND((WEEKDAY($A357)+$B$2)&gt;1,((WEEKDAY($A357)+$T$2)&lt;7),(WEEKDAY($A357)&lt;&gt;1)),"work",(INDEX(Subject!$A:$I,MATCH(RANDBETWEEN(1,(MAX(Subject!$B:$B))),Subject!$B:$B,0),3))))</f>
        <v/>
      </c>
      <c r="D357" s="2" t="str">
        <f t="array" ref="D357">IF(NOW()&gt;AO357,"",IF(AND((WEEKDAY($A357)+$B$2)&gt;1,((WEEKDAY($A357)+$T$2)&lt;7),(WEEKDAY($A357)&lt;&gt;1)),"work",(INDEX(Subject!$A:$I,MATCH(RANDBETWEEN(1,(MAX(Subject!$B:$B))),Subject!$B:$B,0),3))))</f>
        <v/>
      </c>
      <c r="E357" s="2" t="str">
        <f t="array" ref="E357">IF(NOW()&gt;AP357,"",IF(AND((WEEKDAY($A357)+$B$2)&gt;1,((WEEKDAY($A357)+$T$2)&lt;7),(WEEKDAY($A357)&lt;&gt;1)),"work",(INDEX(Subject!$A:$I,MATCH(RANDBETWEEN(1,(MAX(Subject!$B:$B))),Subject!$B:$B,0),3))))</f>
        <v/>
      </c>
      <c r="F357" s="2" t="str">
        <f t="array" ref="F357">IF(NOW()&gt;AQ357,"",IF(AND((WEEKDAY($A357)+$B$2)&gt;1,((WEEKDAY($A357)+$T$2)&lt;7),(WEEKDAY($A357)&lt;&gt;1)),"work",(INDEX(Subject!$A:$I,MATCH(RANDBETWEEN(1,(MAX(Subject!$B:$B))),Subject!$B:$B,0),3))))</f>
        <v/>
      </c>
      <c r="G357" s="2" t="str">
        <f t="array" ref="G357">IF(NOW()&gt;AR357,"",IF(AND((WEEKDAY($A357)+$B$2)&gt;1,((WEEKDAY($A357)+$T$2)&lt;7),(WEEKDAY($A357)&lt;&gt;1)),"work",(INDEX(Subject!$A:$I,MATCH(RANDBETWEEN(1,(MAX(Subject!$B:$B))),Subject!$B:$B,0),3))))</f>
        <v/>
      </c>
      <c r="H357" s="2" t="str">
        <f t="array" ref="H357">IF(NOW()&gt;AS357,"",IF(AND((WEEKDAY($A357)+$B$2)&gt;1,((WEEKDAY($A357)+$T$2)&lt;7),(WEEKDAY($A357)&lt;&gt;1)),"work",(INDEX(Subject!$A:$I,MATCH(RANDBETWEEN(1,(MAX(Subject!$B:$B))),Subject!$B:$B,0),3))))</f>
        <v/>
      </c>
      <c r="I357" s="2" t="str">
        <f t="array" ref="I357">IF(NOW()&gt;AT357,"",IF(AND((WEEKDAY($A357)+$B$2)&gt;1,((WEEKDAY($A357)+$T$2)&lt;7),(WEEKDAY($A357)&lt;&gt;1)),"work",(INDEX(Subject!$A:$I,MATCH(RANDBETWEEN(1,(MAX(Subject!$B:$B))),Subject!$B:$B,0),3))))</f>
        <v/>
      </c>
      <c r="J357" s="2" t="str">
        <f t="array" ref="J357">IF(NOW()&gt;AU357,"",IF(AND((WEEKDAY($A357)+$B$2)&gt;1,((WEEKDAY($A357)+$T$2)&lt;7),(WEEKDAY($A357)&lt;&gt;1)),"work",(INDEX(Subject!$A:$I,MATCH(RANDBETWEEN(1,(MAX(Subject!$B:$B))),Subject!$B:$B,0),3))))</f>
        <v/>
      </c>
      <c r="K357" s="2" t="str">
        <f t="array" ref="K357">IF(NOW()&gt;AV357,"",IF(AND((WEEKDAY($A357)+$B$2)&gt;1,((WEEKDAY($A357)+$T$2)&lt;7),(WEEKDAY($A357)&lt;&gt;1)),"work",(INDEX(Subject!$A:$I,MATCH(RANDBETWEEN(1,(MAX(Subject!$B:$B))),Subject!$B:$B,0),3))))</f>
        <v/>
      </c>
      <c r="L357" s="2" t="str">
        <f t="array" ref="L357">IF(NOW()&gt;AW357,"",IF(AND((WEEKDAY($A357)+$B$2)&gt;1,((WEEKDAY($A357)+$T$2)&lt;7),(WEEKDAY($A357)&lt;&gt;1)),"work",(INDEX(Subject!$A:$I,MATCH(RANDBETWEEN(1,(MAX(Subject!$B:$B))),Subject!$B:$B,0),3))))</f>
        <v/>
      </c>
      <c r="M357" s="2" t="str">
        <f t="array" ref="M357">IF(NOW()&gt;AX357,"",IF(AND((WEEKDAY($A357)+$B$2)&gt;1,((WEEKDAY($A357)+$T$2)&lt;7),(WEEKDAY($A357)&lt;&gt;1)),"work",(INDEX(Subject!$A:$I,MATCH(RANDBETWEEN(1,(MAX(Subject!$B:$B))),Subject!$B:$B,0),3))))</f>
        <v/>
      </c>
      <c r="N357" s="2" t="str">
        <f t="array" ref="N357">IF(NOW()&gt;AY357,"",IF(AND((WEEKDAY($A357)+$B$2)&gt;1,((WEEKDAY($A357)+$T$2)&lt;7),(WEEKDAY($A357)&lt;&gt;1)),"work",(INDEX(Subject!$A:$I,MATCH(RANDBETWEEN(1,(MAX(Subject!$B:$B))),Subject!$B:$B,0),3))))</f>
        <v/>
      </c>
      <c r="O357" s="2" t="str">
        <f t="array" ref="O357">IF(NOW()&gt;AZ357,"",IF(AND((WEEKDAY($A357)+$B$2)&gt;1,((WEEKDAY($A357)+$T$2)&lt;7),(WEEKDAY($A357)&lt;&gt;1)),"work",(INDEX(Subject!$A:$I,MATCH(RANDBETWEEN(1,(MAX(Subject!$B:$B))),Subject!$B:$B,0),3))))</f>
        <v/>
      </c>
      <c r="P357" s="2" t="str">
        <f t="array" ref="P357">IF(NOW()&gt;BA357,"",IF(AND((WEEKDAY($A357)+$B$2)&gt;1,((WEEKDAY($A357)+$T$2)&lt;7),(WEEKDAY($A357)&lt;&gt;1)),"work",(INDEX(Subject!$A:$I,MATCH(RANDBETWEEN(1,(MAX(Subject!$B:$B))),Subject!$B:$B,0),3))))</f>
        <v/>
      </c>
      <c r="Q357" s="2" t="str">
        <f t="array" ref="Q357">IF(NOW()&gt;BB357,"",IF(AND((WEEKDAY($A357)+$B$2)&gt;1,((WEEKDAY($A357)+$T$2)&lt;7),(WEEKDAY($A357)&lt;&gt;1)),"work",(INDEX(Subject!$A:$I,MATCH(RANDBETWEEN(1,(MAX(Subject!$B:$B))),Subject!$B:$B,0),3))))</f>
        <v/>
      </c>
      <c r="R357" s="2" t="str">
        <f t="array" ref="R357">IF(NOW()&gt;BC357,"",IF(AND((WEEKDAY($A357)+$B$2)&gt;1,((WEEKDAY($A357)+$T$2)&lt;7),(WEEKDAY($A357)&lt;&gt;1)),"work",(INDEX(Subject!$A:$I,MATCH(RANDBETWEEN(1,(MAX(Subject!$B:$B))),Subject!$B:$B,0),3))))</f>
        <v/>
      </c>
      <c r="S357" s="2" t="str">
        <f t="array" ref="S357">IF(NOW()&gt;BD357,"",IF(AND((WEEKDAY($A357)+$B$2)&gt;1,((WEEKDAY($A357)+$T$2)&lt;7),(WEEKDAY($A357)&lt;&gt;1)),"work",(INDEX(Subject!$A:$I,MATCH(RANDBETWEEN(1,(MAX(Subject!$B:$B))),Subject!$B:$B,0),3))))</f>
        <v/>
      </c>
      <c r="T357" s="2" t="str">
        <f t="array" ref="T357">IF(NOW()&gt;BE357,"",IF(AND((WEEKDAY($A357)+$B$2)&gt;1,((WEEKDAY($A357)+$T$2)&lt;7),(WEEKDAY($A357)&lt;&gt;1)),"work",(INDEX(Subject!$A:$I,MATCH(RANDBETWEEN(1,(MAX(Subject!$B:$B))),Subject!$B:$B,0),3))))</f>
        <v/>
      </c>
      <c r="U357" s="8" t="str">
        <f t="array" ref="U357">INDEX(Subject!$A:$I,MATCH(RANDBETWEEN(1,16),Subject!$B:$B,0),3)</f>
        <v>#N/A</v>
      </c>
      <c r="V357" s="8" t="str">
        <f t="array" ref="V357">INDEX(Subject!$A:$I,MATCH(RANDBETWEEN(1,16),Subject!$B:$B,0),3)</f>
        <v>#N/A</v>
      </c>
      <c r="W357" s="8" t="str">
        <f t="array" ref="W357">INDEX(Subject!$A:$I,MATCH(RANDBETWEEN(1,16),Subject!$B:$B,0),3)</f>
        <v>#N/A</v>
      </c>
      <c r="X357" s="8" t="str">
        <f t="array" ref="X357">INDEX(Subject!$A:$I,MATCH(RANDBETWEEN(1,16),Subject!$B:$B,0),3)</f>
        <v>#N/A</v>
      </c>
      <c r="Y357" s="8" t="str">
        <f t="array" ref="Y357">INDEX(Subject!$A:$I,MATCH(RANDBETWEEN(1,16),Subject!$B:$B,0),3)</f>
        <v>#N/A</v>
      </c>
      <c r="Z357" s="8" t="str">
        <f t="array" ref="Z357">INDEX(Subject!$A:$I,MATCH(RANDBETWEEN(1,16),Subject!$B:$B,0),3)</f>
        <v>#N/A</v>
      </c>
      <c r="AA357" s="8" t="str">
        <f t="array" ref="AA357">INDEX(Subject!$A:$I,MATCH(RANDBETWEEN(1,16),Subject!$B:$B,0),3)</f>
        <v>#N/A</v>
      </c>
      <c r="AB357" s="8" t="str">
        <f t="array" ref="AB357">INDEX(Subject!$A:$I,MATCH(RANDBETWEEN(1,16),Subject!$B:$B,0),3)</f>
        <v>#N/A</v>
      </c>
      <c r="AC357" s="8" t="str">
        <f t="array" ref="AC357">INDEX(Subject!$A:$I,MATCH(RANDBETWEEN(1,16),Subject!$B:$B,0),3)</f>
        <v/>
      </c>
      <c r="AD357" s="8" t="str">
        <f t="array" ref="AD357">INDEX(Subject!$A:$I,MATCH(RANDBETWEEN(1,16),Subject!$B:$B,0),3)</f>
        <v>#N/A</v>
      </c>
      <c r="AE357" s="8" t="str">
        <f t="array" ref="AE357">INDEX(Subject!$A:$I,MATCH(RANDBETWEEN(1,16),Subject!$B:$B,0),3)</f>
        <v>#N/A</v>
      </c>
      <c r="AF357" s="8" t="str">
        <f t="array" ref="AF357">INDEX(Subject!$A:$I,MATCH(RANDBETWEEN(1,16),Subject!$B:$B,0),3)</f>
        <v>#N/A</v>
      </c>
      <c r="AG357" s="8" t="str">
        <f t="array" ref="AG357">INDEX(Subject!$A:$I,MATCH(RANDBETWEEN(1,16),Subject!$B:$B,0),3)</f>
        <v>#N/A</v>
      </c>
      <c r="AH357" s="8" t="str">
        <f t="array" ref="AH357">INDEX(Subject!$A:$I,MATCH(RANDBETWEEN(1,16),Subject!$B:$B,0),3)</f>
        <v/>
      </c>
      <c r="AI357" s="8" t="str">
        <f t="array" ref="AI357">INDEX(Subject!$A:$I,MATCH(RANDBETWEEN(1,16),Subject!$B:$B,0),3)</f>
        <v/>
      </c>
      <c r="AJ357" s="8" t="str">
        <f t="array" ref="AJ357">INDEX(Subject!$A:$I,MATCH(RANDBETWEEN(1,16),Subject!$B:$B,0),3)</f>
        <v>#N/A</v>
      </c>
      <c r="AK357" s="8" t="str">
        <f t="array" ref="AK357">INDEX(Subject!$A:$I,MATCH(RANDBETWEEN(1,16),Subject!$B:$B,0),3)</f>
        <v>#N/A</v>
      </c>
      <c r="AL357" s="8" t="str">
        <f t="array" ref="AL357">INDEX(Subject!$A:$I,MATCH(RANDBETWEEN(1,16),Subject!$B:$B,0),3)</f>
        <v>#N/A</v>
      </c>
      <c r="AM357" s="18">
        <f t="shared" si="4"/>
        <v>45857.33333</v>
      </c>
      <c r="AN357" s="19">
        <f t="shared" ref="AN357:BZ357" si="357">$A357+C$1</f>
        <v>45857.35417</v>
      </c>
      <c r="AO357" s="19">
        <f t="shared" si="357"/>
        <v>45857.375</v>
      </c>
      <c r="AP357" s="19">
        <f t="shared" si="357"/>
        <v>45857.39583</v>
      </c>
      <c r="AQ357" s="19">
        <f t="shared" si="357"/>
        <v>45857.41667</v>
      </c>
      <c r="AR357" s="19">
        <f t="shared" si="357"/>
        <v>45857.4375</v>
      </c>
      <c r="AS357" s="19">
        <f t="shared" si="357"/>
        <v>45857.45833</v>
      </c>
      <c r="AT357" s="19">
        <f t="shared" si="357"/>
        <v>45857.47917</v>
      </c>
      <c r="AU357" s="19">
        <f t="shared" si="357"/>
        <v>45857.5</v>
      </c>
      <c r="AV357" s="19">
        <f t="shared" si="357"/>
        <v>45857.52083</v>
      </c>
      <c r="AW357" s="19">
        <f t="shared" si="357"/>
        <v>45857.54167</v>
      </c>
      <c r="AX357" s="19">
        <f t="shared" si="357"/>
        <v>45857.5625</v>
      </c>
      <c r="AY357" s="19">
        <f t="shared" si="357"/>
        <v>45857.58333</v>
      </c>
      <c r="AZ357" s="19">
        <f t="shared" si="357"/>
        <v>45857.60417</v>
      </c>
      <c r="BA357" s="19">
        <f t="shared" si="357"/>
        <v>45857.625</v>
      </c>
      <c r="BB357" s="19">
        <f t="shared" si="357"/>
        <v>45857.64583</v>
      </c>
      <c r="BC357" s="19">
        <f t="shared" si="357"/>
        <v>45857.66667</v>
      </c>
      <c r="BD357" s="19">
        <f t="shared" si="357"/>
        <v>45857.6875</v>
      </c>
      <c r="BE357" s="19">
        <f t="shared" si="357"/>
        <v>45857.70833</v>
      </c>
      <c r="BF357" s="19">
        <f t="shared" si="357"/>
        <v>45857.72917</v>
      </c>
      <c r="BG357" s="19">
        <f t="shared" si="357"/>
        <v>45857.75</v>
      </c>
      <c r="BH357" s="19">
        <f t="shared" si="357"/>
        <v>45857.77083</v>
      </c>
      <c r="BI357" s="19">
        <f t="shared" si="357"/>
        <v>45857.79167</v>
      </c>
      <c r="BJ357" s="19">
        <f t="shared" si="357"/>
        <v>45857.8125</v>
      </c>
      <c r="BK357" s="19">
        <f t="shared" si="357"/>
        <v>45857.83333</v>
      </c>
      <c r="BL357" s="19">
        <f t="shared" si="357"/>
        <v>45857.85417</v>
      </c>
      <c r="BM357" s="19">
        <f t="shared" si="357"/>
        <v>45857.875</v>
      </c>
      <c r="BN357" s="19">
        <f t="shared" si="357"/>
        <v>45857.89583</v>
      </c>
      <c r="BO357" s="19">
        <f t="shared" si="357"/>
        <v>45857.91667</v>
      </c>
      <c r="BP357" s="19">
        <f t="shared" si="357"/>
        <v>45857.9375</v>
      </c>
      <c r="BQ357" s="19">
        <f t="shared" si="357"/>
        <v>45857.95833</v>
      </c>
      <c r="BR357" s="19">
        <f t="shared" si="357"/>
        <v>45857.97917</v>
      </c>
      <c r="BS357" s="19">
        <f t="shared" si="357"/>
        <v>45858</v>
      </c>
      <c r="BT357" s="19">
        <f t="shared" si="357"/>
        <v>45858.02083</v>
      </c>
      <c r="BU357" s="19">
        <f t="shared" si="357"/>
        <v>45858.04167</v>
      </c>
      <c r="BV357" s="19">
        <f t="shared" si="357"/>
        <v>45858.0625</v>
      </c>
      <c r="BW357" s="19">
        <f t="shared" si="357"/>
        <v>45858.08333</v>
      </c>
      <c r="BX357" s="19">
        <f t="shared" si="357"/>
        <v>45857</v>
      </c>
      <c r="BY357" s="19">
        <f t="shared" si="357"/>
        <v>45857</v>
      </c>
      <c r="BZ357" s="19">
        <f t="shared" si="357"/>
        <v>45857</v>
      </c>
    </row>
    <row r="358" ht="14.25" customHeight="1">
      <c r="A358" s="17">
        <v>45858.0</v>
      </c>
      <c r="B358" s="2" t="str">
        <f t="array" ref="B358">IF(NOW()&gt;AM358,"",IF(AND((WEEKDAY($A358)+$B$2)&gt;1,((WEEKDAY($A358)+$T$2)&lt;7),(WEEKDAY($A358)&lt;&gt;1)),"work",(INDEX(Subject!$A:$I,MATCH(RANDBETWEEN(1,(MAX(Subject!$B:$B))),Subject!$B:$B,0),3))))</f>
        <v/>
      </c>
      <c r="C358" s="2" t="str">
        <f t="array" ref="C358">IF(NOW()&gt;AN358,"",IF(AND((WEEKDAY($A358)+$B$2)&gt;1,((WEEKDAY($A358)+$T$2)&lt;7),(WEEKDAY($A358)&lt;&gt;1)),"work",(INDEX(Subject!$A:$I,MATCH(RANDBETWEEN(1,(MAX(Subject!$B:$B))),Subject!$B:$B,0),3))))</f>
        <v/>
      </c>
      <c r="D358" s="2" t="str">
        <f t="array" ref="D358">IF(NOW()&gt;AO358,"",IF(AND((WEEKDAY($A358)+$B$2)&gt;1,((WEEKDAY($A358)+$T$2)&lt;7),(WEEKDAY($A358)&lt;&gt;1)),"work",(INDEX(Subject!$A:$I,MATCH(RANDBETWEEN(1,(MAX(Subject!$B:$B))),Subject!$B:$B,0),3))))</f>
        <v/>
      </c>
      <c r="E358" s="2" t="str">
        <f t="array" ref="E358">IF(NOW()&gt;AP358,"",IF(AND((WEEKDAY($A358)+$B$2)&gt;1,((WEEKDAY($A358)+$T$2)&lt;7),(WEEKDAY($A358)&lt;&gt;1)),"work",(INDEX(Subject!$A:$I,MATCH(RANDBETWEEN(1,(MAX(Subject!$B:$B))),Subject!$B:$B,0),3))))</f>
        <v/>
      </c>
      <c r="F358" s="2" t="str">
        <f t="array" ref="F358">IF(NOW()&gt;AQ358,"",IF(AND((WEEKDAY($A358)+$B$2)&gt;1,((WEEKDAY($A358)+$T$2)&lt;7),(WEEKDAY($A358)&lt;&gt;1)),"work",(INDEX(Subject!$A:$I,MATCH(RANDBETWEEN(1,(MAX(Subject!$B:$B))),Subject!$B:$B,0),3))))</f>
        <v/>
      </c>
      <c r="G358" s="2" t="str">
        <f t="array" ref="G358">IF(NOW()&gt;AR358,"",IF(AND((WEEKDAY($A358)+$B$2)&gt;1,((WEEKDAY($A358)+$T$2)&lt;7),(WEEKDAY($A358)&lt;&gt;1)),"work",(INDEX(Subject!$A:$I,MATCH(RANDBETWEEN(1,(MAX(Subject!$B:$B))),Subject!$B:$B,0),3))))</f>
        <v/>
      </c>
      <c r="H358" s="2" t="str">
        <f t="array" ref="H358">IF(NOW()&gt;AS358,"",IF(AND((WEEKDAY($A358)+$B$2)&gt;1,((WEEKDAY($A358)+$T$2)&lt;7),(WEEKDAY($A358)&lt;&gt;1)),"work",(INDEX(Subject!$A:$I,MATCH(RANDBETWEEN(1,(MAX(Subject!$B:$B))),Subject!$B:$B,0),3))))</f>
        <v/>
      </c>
      <c r="I358" s="2" t="str">
        <f t="array" ref="I358">IF(NOW()&gt;AT358,"",IF(AND((WEEKDAY($A358)+$B$2)&gt;1,((WEEKDAY($A358)+$T$2)&lt;7),(WEEKDAY($A358)&lt;&gt;1)),"work",(INDEX(Subject!$A:$I,MATCH(RANDBETWEEN(1,(MAX(Subject!$B:$B))),Subject!$B:$B,0),3))))</f>
        <v/>
      </c>
      <c r="J358" s="2" t="str">
        <f t="array" ref="J358">IF(NOW()&gt;AU358,"",IF(AND((WEEKDAY($A358)+$B$2)&gt;1,((WEEKDAY($A358)+$T$2)&lt;7),(WEEKDAY($A358)&lt;&gt;1)),"work",(INDEX(Subject!$A:$I,MATCH(RANDBETWEEN(1,(MAX(Subject!$B:$B))),Subject!$B:$B,0),3))))</f>
        <v/>
      </c>
      <c r="K358" s="2" t="str">
        <f t="array" ref="K358">IF(NOW()&gt;AV358,"",IF(AND((WEEKDAY($A358)+$B$2)&gt;1,((WEEKDAY($A358)+$T$2)&lt;7),(WEEKDAY($A358)&lt;&gt;1)),"work",(INDEX(Subject!$A:$I,MATCH(RANDBETWEEN(1,(MAX(Subject!$B:$B))),Subject!$B:$B,0),3))))</f>
        <v/>
      </c>
      <c r="L358" s="2" t="str">
        <f t="array" ref="L358">IF(NOW()&gt;AW358,"",IF(AND((WEEKDAY($A358)+$B$2)&gt;1,((WEEKDAY($A358)+$T$2)&lt;7),(WEEKDAY($A358)&lt;&gt;1)),"work",(INDEX(Subject!$A:$I,MATCH(RANDBETWEEN(1,(MAX(Subject!$B:$B))),Subject!$B:$B,0),3))))</f>
        <v/>
      </c>
      <c r="M358" s="2" t="str">
        <f t="array" ref="M358">IF(NOW()&gt;AX358,"",IF(AND((WEEKDAY($A358)+$B$2)&gt;1,((WEEKDAY($A358)+$T$2)&lt;7),(WEEKDAY($A358)&lt;&gt;1)),"work",(INDEX(Subject!$A:$I,MATCH(RANDBETWEEN(1,(MAX(Subject!$B:$B))),Subject!$B:$B,0),3))))</f>
        <v/>
      </c>
      <c r="N358" s="2" t="str">
        <f t="array" ref="N358">IF(NOW()&gt;AY358,"",IF(AND((WEEKDAY($A358)+$B$2)&gt;1,((WEEKDAY($A358)+$T$2)&lt;7),(WEEKDAY($A358)&lt;&gt;1)),"work",(INDEX(Subject!$A:$I,MATCH(RANDBETWEEN(1,(MAX(Subject!$B:$B))),Subject!$B:$B,0),3))))</f>
        <v/>
      </c>
      <c r="O358" s="2" t="str">
        <f t="array" ref="O358">IF(NOW()&gt;AZ358,"",IF(AND((WEEKDAY($A358)+$B$2)&gt;1,((WEEKDAY($A358)+$T$2)&lt;7),(WEEKDAY($A358)&lt;&gt;1)),"work",(INDEX(Subject!$A:$I,MATCH(RANDBETWEEN(1,(MAX(Subject!$B:$B))),Subject!$B:$B,0),3))))</f>
        <v/>
      </c>
      <c r="P358" s="2" t="str">
        <f t="array" ref="P358">IF(NOW()&gt;BA358,"",IF(AND((WEEKDAY($A358)+$B$2)&gt;1,((WEEKDAY($A358)+$T$2)&lt;7),(WEEKDAY($A358)&lt;&gt;1)),"work",(INDEX(Subject!$A:$I,MATCH(RANDBETWEEN(1,(MAX(Subject!$B:$B))),Subject!$B:$B,0),3))))</f>
        <v/>
      </c>
      <c r="Q358" s="2" t="str">
        <f t="array" ref="Q358">IF(NOW()&gt;BB358,"",IF(AND((WEEKDAY($A358)+$B$2)&gt;1,((WEEKDAY($A358)+$T$2)&lt;7),(WEEKDAY($A358)&lt;&gt;1)),"work",(INDEX(Subject!$A:$I,MATCH(RANDBETWEEN(1,(MAX(Subject!$B:$B))),Subject!$B:$B,0),3))))</f>
        <v/>
      </c>
      <c r="R358" s="2" t="str">
        <f t="array" ref="R358">IF(NOW()&gt;BC358,"",IF(AND((WEEKDAY($A358)+$B$2)&gt;1,((WEEKDAY($A358)+$T$2)&lt;7),(WEEKDAY($A358)&lt;&gt;1)),"work",(INDEX(Subject!$A:$I,MATCH(RANDBETWEEN(1,(MAX(Subject!$B:$B))),Subject!$B:$B,0),3))))</f>
        <v/>
      </c>
      <c r="S358" s="2" t="str">
        <f t="array" ref="S358">IF(NOW()&gt;BD358,"",IF(AND((WEEKDAY($A358)+$B$2)&gt;1,((WEEKDAY($A358)+$T$2)&lt;7),(WEEKDAY($A358)&lt;&gt;1)),"work",(INDEX(Subject!$A:$I,MATCH(RANDBETWEEN(1,(MAX(Subject!$B:$B))),Subject!$B:$B,0),3))))</f>
        <v/>
      </c>
      <c r="T358" s="2" t="str">
        <f t="array" ref="T358">IF(NOW()&gt;BE358,"",IF(AND((WEEKDAY($A358)+$B$2)&gt;1,((WEEKDAY($A358)+$T$2)&lt;7),(WEEKDAY($A358)&lt;&gt;1)),"work",(INDEX(Subject!$A:$I,MATCH(RANDBETWEEN(1,(MAX(Subject!$B:$B))),Subject!$B:$B,0),3))))</f>
        <v/>
      </c>
      <c r="U358" s="8" t="str">
        <f t="array" ref="U358">INDEX(Subject!$A:$I,MATCH(RANDBETWEEN(1,16),Subject!$B:$B,0),3)</f>
        <v>#N/A</v>
      </c>
      <c r="V358" s="8" t="str">
        <f t="array" ref="V358">INDEX(Subject!$A:$I,MATCH(RANDBETWEEN(1,16),Subject!$B:$B,0),3)</f>
        <v/>
      </c>
      <c r="W358" s="8" t="str">
        <f t="array" ref="W358">INDEX(Subject!$A:$I,MATCH(RANDBETWEEN(1,16),Subject!$B:$B,0),3)</f>
        <v>#N/A</v>
      </c>
      <c r="X358" s="8" t="str">
        <f t="array" ref="X358">INDEX(Subject!$A:$I,MATCH(RANDBETWEEN(1,16),Subject!$B:$B,0),3)</f>
        <v>#N/A</v>
      </c>
      <c r="Y358" s="8" t="str">
        <f t="array" ref="Y358">INDEX(Subject!$A:$I,MATCH(RANDBETWEEN(1,16),Subject!$B:$B,0),3)</f>
        <v>#N/A</v>
      </c>
      <c r="Z358" s="8" t="str">
        <f t="array" ref="Z358">INDEX(Subject!$A:$I,MATCH(RANDBETWEEN(1,16),Subject!$B:$B,0),3)</f>
        <v>#N/A</v>
      </c>
      <c r="AA358" s="8" t="str">
        <f t="array" ref="AA358">INDEX(Subject!$A:$I,MATCH(RANDBETWEEN(1,16),Subject!$B:$B,0),3)</f>
        <v>#N/A</v>
      </c>
      <c r="AB358" s="8" t="str">
        <f t="array" ref="AB358">INDEX(Subject!$A:$I,MATCH(RANDBETWEEN(1,16),Subject!$B:$B,0),3)</f>
        <v>#N/A</v>
      </c>
      <c r="AC358" s="8" t="str">
        <f t="array" ref="AC358">INDEX(Subject!$A:$I,MATCH(RANDBETWEEN(1,16),Subject!$B:$B,0),3)</f>
        <v>#N/A</v>
      </c>
      <c r="AD358" s="8" t="str">
        <f t="array" ref="AD358">INDEX(Subject!$A:$I,MATCH(RANDBETWEEN(1,16),Subject!$B:$B,0),3)</f>
        <v>#N/A</v>
      </c>
      <c r="AE358" s="8" t="str">
        <f t="array" ref="AE358">INDEX(Subject!$A:$I,MATCH(RANDBETWEEN(1,16),Subject!$B:$B,0),3)</f>
        <v>#N/A</v>
      </c>
      <c r="AF358" s="8" t="str">
        <f t="array" ref="AF358">INDEX(Subject!$A:$I,MATCH(RANDBETWEEN(1,16),Subject!$B:$B,0),3)</f>
        <v>#N/A</v>
      </c>
      <c r="AG358" s="8" t="str">
        <f t="array" ref="AG358">INDEX(Subject!$A:$I,MATCH(RANDBETWEEN(1,16),Subject!$B:$B,0),3)</f>
        <v>#N/A</v>
      </c>
      <c r="AH358" s="8" t="str">
        <f t="array" ref="AH358">INDEX(Subject!$A:$I,MATCH(RANDBETWEEN(1,16),Subject!$B:$B,0),3)</f>
        <v>#N/A</v>
      </c>
      <c r="AI358" s="8" t="str">
        <f t="array" ref="AI358">INDEX(Subject!$A:$I,MATCH(RANDBETWEEN(1,16),Subject!$B:$B,0),3)</f>
        <v>#N/A</v>
      </c>
      <c r="AJ358" s="8" t="str">
        <f t="array" ref="AJ358">INDEX(Subject!$A:$I,MATCH(RANDBETWEEN(1,16),Subject!$B:$B,0),3)</f>
        <v>#N/A</v>
      </c>
      <c r="AK358" s="8" t="str">
        <f t="array" ref="AK358">INDEX(Subject!$A:$I,MATCH(RANDBETWEEN(1,16),Subject!$B:$B,0),3)</f>
        <v>#N/A</v>
      </c>
      <c r="AL358" s="8" t="str">
        <f t="array" ref="AL358">INDEX(Subject!$A:$I,MATCH(RANDBETWEEN(1,16),Subject!$B:$B,0),3)</f>
        <v/>
      </c>
      <c r="AM358" s="18">
        <f t="shared" si="4"/>
        <v>45858.33333</v>
      </c>
      <c r="AN358" s="19">
        <f t="shared" ref="AN358:BZ358" si="358">$A358+C$1</f>
        <v>45858.35417</v>
      </c>
      <c r="AO358" s="19">
        <f t="shared" si="358"/>
        <v>45858.375</v>
      </c>
      <c r="AP358" s="19">
        <f t="shared" si="358"/>
        <v>45858.39583</v>
      </c>
      <c r="AQ358" s="19">
        <f t="shared" si="358"/>
        <v>45858.41667</v>
      </c>
      <c r="AR358" s="19">
        <f t="shared" si="358"/>
        <v>45858.4375</v>
      </c>
      <c r="AS358" s="19">
        <f t="shared" si="358"/>
        <v>45858.45833</v>
      </c>
      <c r="AT358" s="19">
        <f t="shared" si="358"/>
        <v>45858.47917</v>
      </c>
      <c r="AU358" s="19">
        <f t="shared" si="358"/>
        <v>45858.5</v>
      </c>
      <c r="AV358" s="19">
        <f t="shared" si="358"/>
        <v>45858.52083</v>
      </c>
      <c r="AW358" s="19">
        <f t="shared" si="358"/>
        <v>45858.54167</v>
      </c>
      <c r="AX358" s="19">
        <f t="shared" si="358"/>
        <v>45858.5625</v>
      </c>
      <c r="AY358" s="19">
        <f t="shared" si="358"/>
        <v>45858.58333</v>
      </c>
      <c r="AZ358" s="19">
        <f t="shared" si="358"/>
        <v>45858.60417</v>
      </c>
      <c r="BA358" s="19">
        <f t="shared" si="358"/>
        <v>45858.625</v>
      </c>
      <c r="BB358" s="19">
        <f t="shared" si="358"/>
        <v>45858.64583</v>
      </c>
      <c r="BC358" s="19">
        <f t="shared" si="358"/>
        <v>45858.66667</v>
      </c>
      <c r="BD358" s="19">
        <f t="shared" si="358"/>
        <v>45858.6875</v>
      </c>
      <c r="BE358" s="19">
        <f t="shared" si="358"/>
        <v>45858.70833</v>
      </c>
      <c r="BF358" s="19">
        <f t="shared" si="358"/>
        <v>45858.72917</v>
      </c>
      <c r="BG358" s="19">
        <f t="shared" si="358"/>
        <v>45858.75</v>
      </c>
      <c r="BH358" s="19">
        <f t="shared" si="358"/>
        <v>45858.77083</v>
      </c>
      <c r="BI358" s="19">
        <f t="shared" si="358"/>
        <v>45858.79167</v>
      </c>
      <c r="BJ358" s="19">
        <f t="shared" si="358"/>
        <v>45858.8125</v>
      </c>
      <c r="BK358" s="19">
        <f t="shared" si="358"/>
        <v>45858.83333</v>
      </c>
      <c r="BL358" s="19">
        <f t="shared" si="358"/>
        <v>45858.85417</v>
      </c>
      <c r="BM358" s="19">
        <f t="shared" si="358"/>
        <v>45858.875</v>
      </c>
      <c r="BN358" s="19">
        <f t="shared" si="358"/>
        <v>45858.89583</v>
      </c>
      <c r="BO358" s="19">
        <f t="shared" si="358"/>
        <v>45858.91667</v>
      </c>
      <c r="BP358" s="19">
        <f t="shared" si="358"/>
        <v>45858.9375</v>
      </c>
      <c r="BQ358" s="19">
        <f t="shared" si="358"/>
        <v>45858.95833</v>
      </c>
      <c r="BR358" s="19">
        <f t="shared" si="358"/>
        <v>45858.97917</v>
      </c>
      <c r="BS358" s="19">
        <f t="shared" si="358"/>
        <v>45859</v>
      </c>
      <c r="BT358" s="19">
        <f t="shared" si="358"/>
        <v>45859.02083</v>
      </c>
      <c r="BU358" s="19">
        <f t="shared" si="358"/>
        <v>45859.04167</v>
      </c>
      <c r="BV358" s="19">
        <f t="shared" si="358"/>
        <v>45859.0625</v>
      </c>
      <c r="BW358" s="19">
        <f t="shared" si="358"/>
        <v>45859.08333</v>
      </c>
      <c r="BX358" s="19">
        <f t="shared" si="358"/>
        <v>45858</v>
      </c>
      <c r="BY358" s="19">
        <f t="shared" si="358"/>
        <v>45858</v>
      </c>
      <c r="BZ358" s="19">
        <f t="shared" si="358"/>
        <v>45858</v>
      </c>
    </row>
    <row r="359" ht="14.25" customHeight="1">
      <c r="A359" s="17">
        <v>45859.0</v>
      </c>
      <c r="B359" s="2" t="str">
        <f t="array" ref="B359">IF(NOW()&gt;AM359,"",IF(AND((WEEKDAY($A359)+$B$2)&gt;1,((WEEKDAY($A359)+$T$2)&lt;7),(WEEKDAY($A359)&lt;&gt;1)),"work",(INDEX(Subject!$A:$I,MATCH(RANDBETWEEN(1,(MAX(Subject!$B:$B))),Subject!$B:$B,0),3))))</f>
        <v/>
      </c>
      <c r="C359" s="2" t="str">
        <f t="array" ref="C359">IF(NOW()&gt;AN359,"",IF(AND((WEEKDAY($A359)+$B$2)&gt;1,((WEEKDAY($A359)+$T$2)&lt;7),(WEEKDAY($A359)&lt;&gt;1)),"work",(INDEX(Subject!$A:$I,MATCH(RANDBETWEEN(1,(MAX(Subject!$B:$B))),Subject!$B:$B,0),3))))</f>
        <v/>
      </c>
      <c r="D359" s="2" t="str">
        <f t="array" ref="D359">IF(NOW()&gt;AO359,"",IF(AND((WEEKDAY($A359)+$B$2)&gt;1,((WEEKDAY($A359)+$T$2)&lt;7),(WEEKDAY($A359)&lt;&gt;1)),"work",(INDEX(Subject!$A:$I,MATCH(RANDBETWEEN(1,(MAX(Subject!$B:$B))),Subject!$B:$B,0),3))))</f>
        <v/>
      </c>
      <c r="E359" s="2" t="str">
        <f t="array" ref="E359">IF(NOW()&gt;AP359,"",IF(AND((WEEKDAY($A359)+$B$2)&gt;1,((WEEKDAY($A359)+$T$2)&lt;7),(WEEKDAY($A359)&lt;&gt;1)),"work",(INDEX(Subject!$A:$I,MATCH(RANDBETWEEN(1,(MAX(Subject!$B:$B))),Subject!$B:$B,0),3))))</f>
        <v/>
      </c>
      <c r="F359" s="2" t="str">
        <f t="array" ref="F359">IF(NOW()&gt;AQ359,"",IF(AND((WEEKDAY($A359)+$B$2)&gt;1,((WEEKDAY($A359)+$T$2)&lt;7),(WEEKDAY($A359)&lt;&gt;1)),"work",(INDEX(Subject!$A:$I,MATCH(RANDBETWEEN(1,(MAX(Subject!$B:$B))),Subject!$B:$B,0),3))))</f>
        <v/>
      </c>
      <c r="G359" s="2" t="str">
        <f t="array" ref="G359">IF(NOW()&gt;AR359,"",IF(AND((WEEKDAY($A359)+$B$2)&gt;1,((WEEKDAY($A359)+$T$2)&lt;7),(WEEKDAY($A359)&lt;&gt;1)),"work",(INDEX(Subject!$A:$I,MATCH(RANDBETWEEN(1,(MAX(Subject!$B:$B))),Subject!$B:$B,0),3))))</f>
        <v/>
      </c>
      <c r="H359" s="2" t="str">
        <f t="array" ref="H359">IF(NOW()&gt;AS359,"",IF(AND((WEEKDAY($A359)+$B$2)&gt;1,((WEEKDAY($A359)+$T$2)&lt;7),(WEEKDAY($A359)&lt;&gt;1)),"work",(INDEX(Subject!$A:$I,MATCH(RANDBETWEEN(1,(MAX(Subject!$B:$B))),Subject!$B:$B,0),3))))</f>
        <v/>
      </c>
      <c r="I359" s="2" t="str">
        <f t="array" ref="I359">IF(NOW()&gt;AT359,"",IF(AND((WEEKDAY($A359)+$B$2)&gt;1,((WEEKDAY($A359)+$T$2)&lt;7),(WEEKDAY($A359)&lt;&gt;1)),"work",(INDEX(Subject!$A:$I,MATCH(RANDBETWEEN(1,(MAX(Subject!$B:$B))),Subject!$B:$B,0),3))))</f>
        <v/>
      </c>
      <c r="J359" s="2" t="str">
        <f t="array" ref="J359">IF(NOW()&gt;AU359,"",IF(AND((WEEKDAY($A359)+$B$2)&gt;1,((WEEKDAY($A359)+$T$2)&lt;7),(WEEKDAY($A359)&lt;&gt;1)),"work",(INDEX(Subject!$A:$I,MATCH(RANDBETWEEN(1,(MAX(Subject!$B:$B))),Subject!$B:$B,0),3))))</f>
        <v/>
      </c>
      <c r="K359" s="2" t="str">
        <f t="array" ref="K359">IF(NOW()&gt;AV359,"",IF(AND((WEEKDAY($A359)+$B$2)&gt;1,((WEEKDAY($A359)+$T$2)&lt;7),(WEEKDAY($A359)&lt;&gt;1)),"work",(INDEX(Subject!$A:$I,MATCH(RANDBETWEEN(1,(MAX(Subject!$B:$B))),Subject!$B:$B,0),3))))</f>
        <v/>
      </c>
      <c r="L359" s="2" t="str">
        <f t="array" ref="L359">IF(NOW()&gt;AW359,"",IF(AND((WEEKDAY($A359)+$B$2)&gt;1,((WEEKDAY($A359)+$T$2)&lt;7),(WEEKDAY($A359)&lt;&gt;1)),"work",(INDEX(Subject!$A:$I,MATCH(RANDBETWEEN(1,(MAX(Subject!$B:$B))),Subject!$B:$B,0),3))))</f>
        <v/>
      </c>
      <c r="M359" s="2" t="str">
        <f t="array" ref="M359">IF(NOW()&gt;AX359,"",IF(AND((WEEKDAY($A359)+$B$2)&gt;1,((WEEKDAY($A359)+$T$2)&lt;7),(WEEKDAY($A359)&lt;&gt;1)),"work",(INDEX(Subject!$A:$I,MATCH(RANDBETWEEN(1,(MAX(Subject!$B:$B))),Subject!$B:$B,0),3))))</f>
        <v/>
      </c>
      <c r="N359" s="2" t="str">
        <f t="array" ref="N359">IF(NOW()&gt;AY359,"",IF(AND((WEEKDAY($A359)+$B$2)&gt;1,((WEEKDAY($A359)+$T$2)&lt;7),(WEEKDAY($A359)&lt;&gt;1)),"work",(INDEX(Subject!$A:$I,MATCH(RANDBETWEEN(1,(MAX(Subject!$B:$B))),Subject!$B:$B,0),3))))</f>
        <v/>
      </c>
      <c r="O359" s="2" t="str">
        <f t="array" ref="O359">IF(NOW()&gt;AZ359,"",IF(AND((WEEKDAY($A359)+$B$2)&gt;1,((WEEKDAY($A359)+$T$2)&lt;7),(WEEKDAY($A359)&lt;&gt;1)),"work",(INDEX(Subject!$A:$I,MATCH(RANDBETWEEN(1,(MAX(Subject!$B:$B))),Subject!$B:$B,0),3))))</f>
        <v/>
      </c>
      <c r="P359" s="2" t="str">
        <f t="array" ref="P359">IF(NOW()&gt;BA359,"",IF(AND((WEEKDAY($A359)+$B$2)&gt;1,((WEEKDAY($A359)+$T$2)&lt;7),(WEEKDAY($A359)&lt;&gt;1)),"work",(INDEX(Subject!$A:$I,MATCH(RANDBETWEEN(1,(MAX(Subject!$B:$B))),Subject!$B:$B,0),3))))</f>
        <v/>
      </c>
      <c r="Q359" s="2" t="str">
        <f t="array" ref="Q359">IF(NOW()&gt;BB359,"",IF(AND((WEEKDAY($A359)+$B$2)&gt;1,((WEEKDAY($A359)+$T$2)&lt;7),(WEEKDAY($A359)&lt;&gt;1)),"work",(INDEX(Subject!$A:$I,MATCH(RANDBETWEEN(1,(MAX(Subject!$B:$B))),Subject!$B:$B,0),3))))</f>
        <v/>
      </c>
      <c r="R359" s="2" t="str">
        <f t="array" ref="R359">IF(NOW()&gt;BC359,"",IF(AND((WEEKDAY($A359)+$B$2)&gt;1,((WEEKDAY($A359)+$T$2)&lt;7),(WEEKDAY($A359)&lt;&gt;1)),"work",(INDEX(Subject!$A:$I,MATCH(RANDBETWEEN(1,(MAX(Subject!$B:$B))),Subject!$B:$B,0),3))))</f>
        <v/>
      </c>
      <c r="S359" s="2" t="str">
        <f t="array" ref="S359">IF(NOW()&gt;BD359,"",IF(AND((WEEKDAY($A359)+$B$2)&gt;1,((WEEKDAY($A359)+$T$2)&lt;7),(WEEKDAY($A359)&lt;&gt;1)),"work",(INDEX(Subject!$A:$I,MATCH(RANDBETWEEN(1,(MAX(Subject!$B:$B))),Subject!$B:$B,0),3))))</f>
        <v/>
      </c>
      <c r="T359" s="2" t="str">
        <f t="array" ref="T359">IF(NOW()&gt;BE359,"",IF(AND((WEEKDAY($A359)+$B$2)&gt;1,((WEEKDAY($A359)+$T$2)&lt;7),(WEEKDAY($A359)&lt;&gt;1)),"work",(INDEX(Subject!$A:$I,MATCH(RANDBETWEEN(1,(MAX(Subject!$B:$B))),Subject!$B:$B,0),3))))</f>
        <v/>
      </c>
      <c r="U359" s="8" t="str">
        <f t="array" ref="U359">INDEX(Subject!$A:$I,MATCH(RANDBETWEEN(1,16),Subject!$B:$B,0),3)</f>
        <v>#N/A</v>
      </c>
      <c r="V359" s="8" t="str">
        <f t="array" ref="V359">INDEX(Subject!$A:$I,MATCH(RANDBETWEEN(1,16),Subject!$B:$B,0),3)</f>
        <v>#N/A</v>
      </c>
      <c r="W359" s="8" t="str">
        <f t="array" ref="W359">INDEX(Subject!$A:$I,MATCH(RANDBETWEEN(1,16),Subject!$B:$B,0),3)</f>
        <v>#N/A</v>
      </c>
      <c r="X359" s="8" t="str">
        <f t="array" ref="X359">INDEX(Subject!$A:$I,MATCH(RANDBETWEEN(1,16),Subject!$B:$B,0),3)</f>
        <v>#N/A</v>
      </c>
      <c r="Y359" s="8" t="str">
        <f t="array" ref="Y359">INDEX(Subject!$A:$I,MATCH(RANDBETWEEN(1,16),Subject!$B:$B,0),3)</f>
        <v>#N/A</v>
      </c>
      <c r="Z359" s="8" t="str">
        <f t="array" ref="Z359">INDEX(Subject!$A:$I,MATCH(RANDBETWEEN(1,16),Subject!$B:$B,0),3)</f>
        <v>#N/A</v>
      </c>
      <c r="AA359" s="8" t="str">
        <f t="array" ref="AA359">INDEX(Subject!$A:$I,MATCH(RANDBETWEEN(1,16),Subject!$B:$B,0),3)</f>
        <v>#N/A</v>
      </c>
      <c r="AB359" s="8" t="str">
        <f t="array" ref="AB359">INDEX(Subject!$A:$I,MATCH(RANDBETWEEN(1,16),Subject!$B:$B,0),3)</f>
        <v>#N/A</v>
      </c>
      <c r="AC359" s="8" t="str">
        <f t="array" ref="AC359">INDEX(Subject!$A:$I,MATCH(RANDBETWEEN(1,16),Subject!$B:$B,0),3)</f>
        <v>#N/A</v>
      </c>
      <c r="AD359" s="8" t="str">
        <f t="array" ref="AD359">INDEX(Subject!$A:$I,MATCH(RANDBETWEEN(1,16),Subject!$B:$B,0),3)</f>
        <v>#N/A</v>
      </c>
      <c r="AE359" s="8" t="str">
        <f t="array" ref="AE359">INDEX(Subject!$A:$I,MATCH(RANDBETWEEN(1,16),Subject!$B:$B,0),3)</f>
        <v>#N/A</v>
      </c>
      <c r="AF359" s="8" t="str">
        <f t="array" ref="AF359">INDEX(Subject!$A:$I,MATCH(RANDBETWEEN(1,16),Subject!$B:$B,0),3)</f>
        <v>#N/A</v>
      </c>
      <c r="AG359" s="8" t="str">
        <f t="array" ref="AG359">INDEX(Subject!$A:$I,MATCH(RANDBETWEEN(1,16),Subject!$B:$B,0),3)</f>
        <v>#N/A</v>
      </c>
      <c r="AH359" s="8" t="str">
        <f t="array" ref="AH359">INDEX(Subject!$A:$I,MATCH(RANDBETWEEN(1,16),Subject!$B:$B,0),3)</f>
        <v>#N/A</v>
      </c>
      <c r="AI359" s="8" t="str">
        <f t="array" ref="AI359">INDEX(Subject!$A:$I,MATCH(RANDBETWEEN(1,16),Subject!$B:$B,0),3)</f>
        <v>#N/A</v>
      </c>
      <c r="AJ359" s="8" t="str">
        <f t="array" ref="AJ359">INDEX(Subject!$A:$I,MATCH(RANDBETWEEN(1,16),Subject!$B:$B,0),3)</f>
        <v>#N/A</v>
      </c>
      <c r="AK359" s="8" t="str">
        <f t="array" ref="AK359">INDEX(Subject!$A:$I,MATCH(RANDBETWEEN(1,16),Subject!$B:$B,0),3)</f>
        <v>#N/A</v>
      </c>
      <c r="AL359" s="8" t="str">
        <f t="array" ref="AL359">INDEX(Subject!$A:$I,MATCH(RANDBETWEEN(1,16),Subject!$B:$B,0),3)</f>
        <v>#N/A</v>
      </c>
      <c r="AM359" s="18">
        <f t="shared" si="4"/>
        <v>45859.33333</v>
      </c>
      <c r="AN359" s="19">
        <f t="shared" ref="AN359:BZ359" si="359">$A359+C$1</f>
        <v>45859.35417</v>
      </c>
      <c r="AO359" s="19">
        <f t="shared" si="359"/>
        <v>45859.375</v>
      </c>
      <c r="AP359" s="19">
        <f t="shared" si="359"/>
        <v>45859.39583</v>
      </c>
      <c r="AQ359" s="19">
        <f t="shared" si="359"/>
        <v>45859.41667</v>
      </c>
      <c r="AR359" s="19">
        <f t="shared" si="359"/>
        <v>45859.4375</v>
      </c>
      <c r="AS359" s="19">
        <f t="shared" si="359"/>
        <v>45859.45833</v>
      </c>
      <c r="AT359" s="19">
        <f t="shared" si="359"/>
        <v>45859.47917</v>
      </c>
      <c r="AU359" s="19">
        <f t="shared" si="359"/>
        <v>45859.5</v>
      </c>
      <c r="AV359" s="19">
        <f t="shared" si="359"/>
        <v>45859.52083</v>
      </c>
      <c r="AW359" s="19">
        <f t="shared" si="359"/>
        <v>45859.54167</v>
      </c>
      <c r="AX359" s="19">
        <f t="shared" si="359"/>
        <v>45859.5625</v>
      </c>
      <c r="AY359" s="19">
        <f t="shared" si="359"/>
        <v>45859.58333</v>
      </c>
      <c r="AZ359" s="19">
        <f t="shared" si="359"/>
        <v>45859.60417</v>
      </c>
      <c r="BA359" s="19">
        <f t="shared" si="359"/>
        <v>45859.625</v>
      </c>
      <c r="BB359" s="19">
        <f t="shared" si="359"/>
        <v>45859.64583</v>
      </c>
      <c r="BC359" s="19">
        <f t="shared" si="359"/>
        <v>45859.66667</v>
      </c>
      <c r="BD359" s="19">
        <f t="shared" si="359"/>
        <v>45859.6875</v>
      </c>
      <c r="BE359" s="19">
        <f t="shared" si="359"/>
        <v>45859.70833</v>
      </c>
      <c r="BF359" s="19">
        <f t="shared" si="359"/>
        <v>45859.72917</v>
      </c>
      <c r="BG359" s="19">
        <f t="shared" si="359"/>
        <v>45859.75</v>
      </c>
      <c r="BH359" s="19">
        <f t="shared" si="359"/>
        <v>45859.77083</v>
      </c>
      <c r="BI359" s="19">
        <f t="shared" si="359"/>
        <v>45859.79167</v>
      </c>
      <c r="BJ359" s="19">
        <f t="shared" si="359"/>
        <v>45859.8125</v>
      </c>
      <c r="BK359" s="19">
        <f t="shared" si="359"/>
        <v>45859.83333</v>
      </c>
      <c r="BL359" s="19">
        <f t="shared" si="359"/>
        <v>45859.85417</v>
      </c>
      <c r="BM359" s="19">
        <f t="shared" si="359"/>
        <v>45859.875</v>
      </c>
      <c r="BN359" s="19">
        <f t="shared" si="359"/>
        <v>45859.89583</v>
      </c>
      <c r="BO359" s="19">
        <f t="shared" si="359"/>
        <v>45859.91667</v>
      </c>
      <c r="BP359" s="19">
        <f t="shared" si="359"/>
        <v>45859.9375</v>
      </c>
      <c r="BQ359" s="19">
        <f t="shared" si="359"/>
        <v>45859.95833</v>
      </c>
      <c r="BR359" s="19">
        <f t="shared" si="359"/>
        <v>45859.97917</v>
      </c>
      <c r="BS359" s="19">
        <f t="shared" si="359"/>
        <v>45860</v>
      </c>
      <c r="BT359" s="19">
        <f t="shared" si="359"/>
        <v>45860.02083</v>
      </c>
      <c r="BU359" s="19">
        <f t="shared" si="359"/>
        <v>45860.04167</v>
      </c>
      <c r="BV359" s="19">
        <f t="shared" si="359"/>
        <v>45860.0625</v>
      </c>
      <c r="BW359" s="19">
        <f t="shared" si="359"/>
        <v>45860.08333</v>
      </c>
      <c r="BX359" s="19">
        <f t="shared" si="359"/>
        <v>45859</v>
      </c>
      <c r="BY359" s="19">
        <f t="shared" si="359"/>
        <v>45859</v>
      </c>
      <c r="BZ359" s="19">
        <f t="shared" si="359"/>
        <v>45859</v>
      </c>
    </row>
    <row r="360" ht="14.25" customHeight="1">
      <c r="A360" s="17">
        <v>45860.0</v>
      </c>
      <c r="B360" s="2" t="str">
        <f t="array" ref="B360">IF(NOW()&gt;AM360,"",IF(AND((WEEKDAY($A360)+$B$2)&gt;1,((WEEKDAY($A360)+$T$2)&lt;7),(WEEKDAY($A360)&lt;&gt;1)),"work",(INDEX(Subject!$A:$I,MATCH(RANDBETWEEN(1,(MAX(Subject!$B:$B))),Subject!$B:$B,0),3))))</f>
        <v/>
      </c>
      <c r="C360" s="2" t="str">
        <f t="array" ref="C360">IF(NOW()&gt;AN360,"",IF(AND((WEEKDAY($A360)+$B$2)&gt;1,((WEEKDAY($A360)+$T$2)&lt;7),(WEEKDAY($A360)&lt;&gt;1)),"work",(INDEX(Subject!$A:$I,MATCH(RANDBETWEEN(1,(MAX(Subject!$B:$B))),Subject!$B:$B,0),3))))</f>
        <v/>
      </c>
      <c r="D360" s="2" t="str">
        <f t="array" ref="D360">IF(NOW()&gt;AO360,"",IF(AND((WEEKDAY($A360)+$B$2)&gt;1,((WEEKDAY($A360)+$T$2)&lt;7),(WEEKDAY($A360)&lt;&gt;1)),"work",(INDEX(Subject!$A:$I,MATCH(RANDBETWEEN(1,(MAX(Subject!$B:$B))),Subject!$B:$B,0),3))))</f>
        <v/>
      </c>
      <c r="E360" s="2" t="str">
        <f t="array" ref="E360">IF(NOW()&gt;AP360,"",IF(AND((WEEKDAY($A360)+$B$2)&gt;1,((WEEKDAY($A360)+$T$2)&lt;7),(WEEKDAY($A360)&lt;&gt;1)),"work",(INDEX(Subject!$A:$I,MATCH(RANDBETWEEN(1,(MAX(Subject!$B:$B))),Subject!$B:$B,0),3))))</f>
        <v/>
      </c>
      <c r="F360" s="2" t="str">
        <f t="array" ref="F360">IF(NOW()&gt;AQ360,"",IF(AND((WEEKDAY($A360)+$B$2)&gt;1,((WEEKDAY($A360)+$T$2)&lt;7),(WEEKDAY($A360)&lt;&gt;1)),"work",(INDEX(Subject!$A:$I,MATCH(RANDBETWEEN(1,(MAX(Subject!$B:$B))),Subject!$B:$B,0),3))))</f>
        <v/>
      </c>
      <c r="G360" s="2" t="str">
        <f t="array" ref="G360">IF(NOW()&gt;AR360,"",IF(AND((WEEKDAY($A360)+$B$2)&gt;1,((WEEKDAY($A360)+$T$2)&lt;7),(WEEKDAY($A360)&lt;&gt;1)),"work",(INDEX(Subject!$A:$I,MATCH(RANDBETWEEN(1,(MAX(Subject!$B:$B))),Subject!$B:$B,0),3))))</f>
        <v/>
      </c>
      <c r="H360" s="2" t="str">
        <f t="array" ref="H360">IF(NOW()&gt;AS360,"",IF(AND((WEEKDAY($A360)+$B$2)&gt;1,((WEEKDAY($A360)+$T$2)&lt;7),(WEEKDAY($A360)&lt;&gt;1)),"work",(INDEX(Subject!$A:$I,MATCH(RANDBETWEEN(1,(MAX(Subject!$B:$B))),Subject!$B:$B,0),3))))</f>
        <v/>
      </c>
      <c r="I360" s="2" t="str">
        <f t="array" ref="I360">IF(NOW()&gt;AT360,"",IF(AND((WEEKDAY($A360)+$B$2)&gt;1,((WEEKDAY($A360)+$T$2)&lt;7),(WEEKDAY($A360)&lt;&gt;1)),"work",(INDEX(Subject!$A:$I,MATCH(RANDBETWEEN(1,(MAX(Subject!$B:$B))),Subject!$B:$B,0),3))))</f>
        <v/>
      </c>
      <c r="J360" s="2" t="str">
        <f t="array" ref="J360">IF(NOW()&gt;AU360,"",IF(AND((WEEKDAY($A360)+$B$2)&gt;1,((WEEKDAY($A360)+$T$2)&lt;7),(WEEKDAY($A360)&lt;&gt;1)),"work",(INDEX(Subject!$A:$I,MATCH(RANDBETWEEN(1,(MAX(Subject!$B:$B))),Subject!$B:$B,0),3))))</f>
        <v/>
      </c>
      <c r="K360" s="2" t="str">
        <f t="array" ref="K360">IF(NOW()&gt;AV360,"",IF(AND((WEEKDAY($A360)+$B$2)&gt;1,((WEEKDAY($A360)+$T$2)&lt;7),(WEEKDAY($A360)&lt;&gt;1)),"work",(INDEX(Subject!$A:$I,MATCH(RANDBETWEEN(1,(MAX(Subject!$B:$B))),Subject!$B:$B,0),3))))</f>
        <v/>
      </c>
      <c r="L360" s="2" t="str">
        <f t="array" ref="L360">IF(NOW()&gt;AW360,"",IF(AND((WEEKDAY($A360)+$B$2)&gt;1,((WEEKDAY($A360)+$T$2)&lt;7),(WEEKDAY($A360)&lt;&gt;1)),"work",(INDEX(Subject!$A:$I,MATCH(RANDBETWEEN(1,(MAX(Subject!$B:$B))),Subject!$B:$B,0),3))))</f>
        <v/>
      </c>
      <c r="M360" s="2" t="str">
        <f t="array" ref="M360">IF(NOW()&gt;AX360,"",IF(AND((WEEKDAY($A360)+$B$2)&gt;1,((WEEKDAY($A360)+$T$2)&lt;7),(WEEKDAY($A360)&lt;&gt;1)),"work",(INDEX(Subject!$A:$I,MATCH(RANDBETWEEN(1,(MAX(Subject!$B:$B))),Subject!$B:$B,0),3))))</f>
        <v/>
      </c>
      <c r="N360" s="2" t="str">
        <f t="array" ref="N360">IF(NOW()&gt;AY360,"",IF(AND((WEEKDAY($A360)+$B$2)&gt;1,((WEEKDAY($A360)+$T$2)&lt;7),(WEEKDAY($A360)&lt;&gt;1)),"work",(INDEX(Subject!$A:$I,MATCH(RANDBETWEEN(1,(MAX(Subject!$B:$B))),Subject!$B:$B,0),3))))</f>
        <v/>
      </c>
      <c r="O360" s="2" t="str">
        <f t="array" ref="O360">IF(NOW()&gt;AZ360,"",IF(AND((WEEKDAY($A360)+$B$2)&gt;1,((WEEKDAY($A360)+$T$2)&lt;7),(WEEKDAY($A360)&lt;&gt;1)),"work",(INDEX(Subject!$A:$I,MATCH(RANDBETWEEN(1,(MAX(Subject!$B:$B))),Subject!$B:$B,0),3))))</f>
        <v/>
      </c>
      <c r="P360" s="2" t="str">
        <f t="array" ref="P360">IF(NOW()&gt;BA360,"",IF(AND((WEEKDAY($A360)+$B$2)&gt;1,((WEEKDAY($A360)+$T$2)&lt;7),(WEEKDAY($A360)&lt;&gt;1)),"work",(INDEX(Subject!$A:$I,MATCH(RANDBETWEEN(1,(MAX(Subject!$B:$B))),Subject!$B:$B,0),3))))</f>
        <v/>
      </c>
      <c r="Q360" s="2" t="str">
        <f t="array" ref="Q360">IF(NOW()&gt;BB360,"",IF(AND((WEEKDAY($A360)+$B$2)&gt;1,((WEEKDAY($A360)+$T$2)&lt;7),(WEEKDAY($A360)&lt;&gt;1)),"work",(INDEX(Subject!$A:$I,MATCH(RANDBETWEEN(1,(MAX(Subject!$B:$B))),Subject!$B:$B,0),3))))</f>
        <v/>
      </c>
      <c r="R360" s="2" t="str">
        <f t="array" ref="R360">IF(NOW()&gt;BC360,"",IF(AND((WEEKDAY($A360)+$B$2)&gt;1,((WEEKDAY($A360)+$T$2)&lt;7),(WEEKDAY($A360)&lt;&gt;1)),"work",(INDEX(Subject!$A:$I,MATCH(RANDBETWEEN(1,(MAX(Subject!$B:$B))),Subject!$B:$B,0),3))))</f>
        <v/>
      </c>
      <c r="S360" s="2" t="str">
        <f t="array" ref="S360">IF(NOW()&gt;BD360,"",IF(AND((WEEKDAY($A360)+$B$2)&gt;1,((WEEKDAY($A360)+$T$2)&lt;7),(WEEKDAY($A360)&lt;&gt;1)),"work",(INDEX(Subject!$A:$I,MATCH(RANDBETWEEN(1,(MAX(Subject!$B:$B))),Subject!$B:$B,0),3))))</f>
        <v/>
      </c>
      <c r="T360" s="2" t="str">
        <f t="array" ref="T360">IF(NOW()&gt;BE360,"",IF(AND((WEEKDAY($A360)+$B$2)&gt;1,((WEEKDAY($A360)+$T$2)&lt;7),(WEEKDAY($A360)&lt;&gt;1)),"work",(INDEX(Subject!$A:$I,MATCH(RANDBETWEEN(1,(MAX(Subject!$B:$B))),Subject!$B:$B,0),3))))</f>
        <v/>
      </c>
      <c r="U360" s="8" t="str">
        <f t="array" ref="U360">INDEX(Subject!$A:$I,MATCH(RANDBETWEEN(1,16),Subject!$B:$B,0),3)</f>
        <v>#N/A</v>
      </c>
      <c r="V360" s="8" t="str">
        <f t="array" ref="V360">INDEX(Subject!$A:$I,MATCH(RANDBETWEEN(1,16),Subject!$B:$B,0),3)</f>
        <v>#N/A</v>
      </c>
      <c r="W360" s="8" t="str">
        <f t="array" ref="W360">INDEX(Subject!$A:$I,MATCH(RANDBETWEEN(1,16),Subject!$B:$B,0),3)</f>
        <v>#N/A</v>
      </c>
      <c r="X360" s="8" t="str">
        <f t="array" ref="X360">INDEX(Subject!$A:$I,MATCH(RANDBETWEEN(1,16),Subject!$B:$B,0),3)</f>
        <v>#N/A</v>
      </c>
      <c r="Y360" s="8" t="str">
        <f t="array" ref="Y360">INDEX(Subject!$A:$I,MATCH(RANDBETWEEN(1,16),Subject!$B:$B,0),3)</f>
        <v>#N/A</v>
      </c>
      <c r="Z360" s="8" t="str">
        <f t="array" ref="Z360">INDEX(Subject!$A:$I,MATCH(RANDBETWEEN(1,16),Subject!$B:$B,0),3)</f>
        <v>#N/A</v>
      </c>
      <c r="AA360" s="8" t="str">
        <f t="array" ref="AA360">INDEX(Subject!$A:$I,MATCH(RANDBETWEEN(1,16),Subject!$B:$B,0),3)</f>
        <v>#N/A</v>
      </c>
      <c r="AB360" s="8" t="str">
        <f t="array" ref="AB360">INDEX(Subject!$A:$I,MATCH(RANDBETWEEN(1,16),Subject!$B:$B,0),3)</f>
        <v>#N/A</v>
      </c>
      <c r="AC360" s="8" t="str">
        <f t="array" ref="AC360">INDEX(Subject!$A:$I,MATCH(RANDBETWEEN(1,16),Subject!$B:$B,0),3)</f>
        <v>#N/A</v>
      </c>
      <c r="AD360" s="8" t="str">
        <f t="array" ref="AD360">INDEX(Subject!$A:$I,MATCH(RANDBETWEEN(1,16),Subject!$B:$B,0),3)</f>
        <v>#N/A</v>
      </c>
      <c r="AE360" s="8" t="str">
        <f t="array" ref="AE360">INDEX(Subject!$A:$I,MATCH(RANDBETWEEN(1,16),Subject!$B:$B,0),3)</f>
        <v>#N/A</v>
      </c>
      <c r="AF360" s="8" t="str">
        <f t="array" ref="AF360">INDEX(Subject!$A:$I,MATCH(RANDBETWEEN(1,16),Subject!$B:$B,0),3)</f>
        <v>#N/A</v>
      </c>
      <c r="AG360" s="8" t="str">
        <f t="array" ref="AG360">INDEX(Subject!$A:$I,MATCH(RANDBETWEEN(1,16),Subject!$B:$B,0),3)</f>
        <v>#N/A</v>
      </c>
      <c r="AH360" s="8" t="str">
        <f t="array" ref="AH360">INDEX(Subject!$A:$I,MATCH(RANDBETWEEN(1,16),Subject!$B:$B,0),3)</f>
        <v>#N/A</v>
      </c>
      <c r="AI360" s="8" t="str">
        <f t="array" ref="AI360">INDEX(Subject!$A:$I,MATCH(RANDBETWEEN(1,16),Subject!$B:$B,0),3)</f>
        <v>#N/A</v>
      </c>
      <c r="AJ360" s="8" t="str">
        <f t="array" ref="AJ360">INDEX(Subject!$A:$I,MATCH(RANDBETWEEN(1,16),Subject!$B:$B,0),3)</f>
        <v>#N/A</v>
      </c>
      <c r="AK360" s="8" t="str">
        <f t="array" ref="AK360">INDEX(Subject!$A:$I,MATCH(RANDBETWEEN(1,16),Subject!$B:$B,0),3)</f>
        <v/>
      </c>
      <c r="AL360" s="8" t="str">
        <f t="array" ref="AL360">INDEX(Subject!$A:$I,MATCH(RANDBETWEEN(1,16),Subject!$B:$B,0),3)</f>
        <v>#N/A</v>
      </c>
      <c r="AM360" s="18">
        <f t="shared" si="4"/>
        <v>45860.33333</v>
      </c>
      <c r="AN360" s="19">
        <f t="shared" ref="AN360:BZ360" si="360">$A360+C$1</f>
        <v>45860.35417</v>
      </c>
      <c r="AO360" s="19">
        <f t="shared" si="360"/>
        <v>45860.375</v>
      </c>
      <c r="AP360" s="19">
        <f t="shared" si="360"/>
        <v>45860.39583</v>
      </c>
      <c r="AQ360" s="19">
        <f t="shared" si="360"/>
        <v>45860.41667</v>
      </c>
      <c r="AR360" s="19">
        <f t="shared" si="360"/>
        <v>45860.4375</v>
      </c>
      <c r="AS360" s="19">
        <f t="shared" si="360"/>
        <v>45860.45833</v>
      </c>
      <c r="AT360" s="19">
        <f t="shared" si="360"/>
        <v>45860.47917</v>
      </c>
      <c r="AU360" s="19">
        <f t="shared" si="360"/>
        <v>45860.5</v>
      </c>
      <c r="AV360" s="19">
        <f t="shared" si="360"/>
        <v>45860.52083</v>
      </c>
      <c r="AW360" s="19">
        <f t="shared" si="360"/>
        <v>45860.54167</v>
      </c>
      <c r="AX360" s="19">
        <f t="shared" si="360"/>
        <v>45860.5625</v>
      </c>
      <c r="AY360" s="19">
        <f t="shared" si="360"/>
        <v>45860.58333</v>
      </c>
      <c r="AZ360" s="19">
        <f t="shared" si="360"/>
        <v>45860.60417</v>
      </c>
      <c r="BA360" s="19">
        <f t="shared" si="360"/>
        <v>45860.625</v>
      </c>
      <c r="BB360" s="19">
        <f t="shared" si="360"/>
        <v>45860.64583</v>
      </c>
      <c r="BC360" s="19">
        <f t="shared" si="360"/>
        <v>45860.66667</v>
      </c>
      <c r="BD360" s="19">
        <f t="shared" si="360"/>
        <v>45860.6875</v>
      </c>
      <c r="BE360" s="19">
        <f t="shared" si="360"/>
        <v>45860.70833</v>
      </c>
      <c r="BF360" s="19">
        <f t="shared" si="360"/>
        <v>45860.72917</v>
      </c>
      <c r="BG360" s="19">
        <f t="shared" si="360"/>
        <v>45860.75</v>
      </c>
      <c r="BH360" s="19">
        <f t="shared" si="360"/>
        <v>45860.77083</v>
      </c>
      <c r="BI360" s="19">
        <f t="shared" si="360"/>
        <v>45860.79167</v>
      </c>
      <c r="BJ360" s="19">
        <f t="shared" si="360"/>
        <v>45860.8125</v>
      </c>
      <c r="BK360" s="19">
        <f t="shared" si="360"/>
        <v>45860.83333</v>
      </c>
      <c r="BL360" s="19">
        <f t="shared" si="360"/>
        <v>45860.85417</v>
      </c>
      <c r="BM360" s="19">
        <f t="shared" si="360"/>
        <v>45860.875</v>
      </c>
      <c r="BN360" s="19">
        <f t="shared" si="360"/>
        <v>45860.89583</v>
      </c>
      <c r="BO360" s="19">
        <f t="shared" si="360"/>
        <v>45860.91667</v>
      </c>
      <c r="BP360" s="19">
        <f t="shared" si="360"/>
        <v>45860.9375</v>
      </c>
      <c r="BQ360" s="19">
        <f t="shared" si="360"/>
        <v>45860.95833</v>
      </c>
      <c r="BR360" s="19">
        <f t="shared" si="360"/>
        <v>45860.97917</v>
      </c>
      <c r="BS360" s="19">
        <f t="shared" si="360"/>
        <v>45861</v>
      </c>
      <c r="BT360" s="19">
        <f t="shared" si="360"/>
        <v>45861.02083</v>
      </c>
      <c r="BU360" s="19">
        <f t="shared" si="360"/>
        <v>45861.04167</v>
      </c>
      <c r="BV360" s="19">
        <f t="shared" si="360"/>
        <v>45861.0625</v>
      </c>
      <c r="BW360" s="19">
        <f t="shared" si="360"/>
        <v>45861.08333</v>
      </c>
      <c r="BX360" s="19">
        <f t="shared" si="360"/>
        <v>45860</v>
      </c>
      <c r="BY360" s="19">
        <f t="shared" si="360"/>
        <v>45860</v>
      </c>
      <c r="BZ360" s="19">
        <f t="shared" si="360"/>
        <v>45860</v>
      </c>
    </row>
    <row r="361" ht="14.25" customHeight="1">
      <c r="A361" s="17">
        <v>45861.0</v>
      </c>
      <c r="B361" s="2" t="str">
        <f t="array" ref="B361">IF(NOW()&gt;AM361,"",IF(AND((WEEKDAY($A361)+$B$2)&gt;1,((WEEKDAY($A361)+$T$2)&lt;7),(WEEKDAY($A361)&lt;&gt;1)),"work",(INDEX(Subject!$A:$I,MATCH(RANDBETWEEN(1,(MAX(Subject!$B:$B))),Subject!$B:$B,0),3))))</f>
        <v/>
      </c>
      <c r="C361" s="2" t="str">
        <f t="array" ref="C361">IF(NOW()&gt;AN361,"",IF(AND((WEEKDAY($A361)+$B$2)&gt;1,((WEEKDAY($A361)+$T$2)&lt;7),(WEEKDAY($A361)&lt;&gt;1)),"work",(INDEX(Subject!$A:$I,MATCH(RANDBETWEEN(1,(MAX(Subject!$B:$B))),Subject!$B:$B,0),3))))</f>
        <v/>
      </c>
      <c r="D361" s="2" t="str">
        <f t="array" ref="D361">IF(NOW()&gt;AO361,"",IF(AND((WEEKDAY($A361)+$B$2)&gt;1,((WEEKDAY($A361)+$T$2)&lt;7),(WEEKDAY($A361)&lt;&gt;1)),"work",(INDEX(Subject!$A:$I,MATCH(RANDBETWEEN(1,(MAX(Subject!$B:$B))),Subject!$B:$B,0),3))))</f>
        <v/>
      </c>
      <c r="E361" s="2" t="str">
        <f t="array" ref="E361">IF(NOW()&gt;AP361,"",IF(AND((WEEKDAY($A361)+$B$2)&gt;1,((WEEKDAY($A361)+$T$2)&lt;7),(WEEKDAY($A361)&lt;&gt;1)),"work",(INDEX(Subject!$A:$I,MATCH(RANDBETWEEN(1,(MAX(Subject!$B:$B))),Subject!$B:$B,0),3))))</f>
        <v/>
      </c>
      <c r="F361" s="2" t="str">
        <f t="array" ref="F361">IF(NOW()&gt;AQ361,"",IF(AND((WEEKDAY($A361)+$B$2)&gt;1,((WEEKDAY($A361)+$T$2)&lt;7),(WEEKDAY($A361)&lt;&gt;1)),"work",(INDEX(Subject!$A:$I,MATCH(RANDBETWEEN(1,(MAX(Subject!$B:$B))),Subject!$B:$B,0),3))))</f>
        <v/>
      </c>
      <c r="G361" s="2" t="str">
        <f t="array" ref="G361">IF(NOW()&gt;AR361,"",IF(AND((WEEKDAY($A361)+$B$2)&gt;1,((WEEKDAY($A361)+$T$2)&lt;7),(WEEKDAY($A361)&lt;&gt;1)),"work",(INDEX(Subject!$A:$I,MATCH(RANDBETWEEN(1,(MAX(Subject!$B:$B))),Subject!$B:$B,0),3))))</f>
        <v/>
      </c>
      <c r="H361" s="2" t="str">
        <f t="array" ref="H361">IF(NOW()&gt;AS361,"",IF(AND((WEEKDAY($A361)+$B$2)&gt;1,((WEEKDAY($A361)+$T$2)&lt;7),(WEEKDAY($A361)&lt;&gt;1)),"work",(INDEX(Subject!$A:$I,MATCH(RANDBETWEEN(1,(MAX(Subject!$B:$B))),Subject!$B:$B,0),3))))</f>
        <v/>
      </c>
      <c r="I361" s="2" t="str">
        <f t="array" ref="I361">IF(NOW()&gt;AT361,"",IF(AND((WEEKDAY($A361)+$B$2)&gt;1,((WEEKDAY($A361)+$T$2)&lt;7),(WEEKDAY($A361)&lt;&gt;1)),"work",(INDEX(Subject!$A:$I,MATCH(RANDBETWEEN(1,(MAX(Subject!$B:$B))),Subject!$B:$B,0),3))))</f>
        <v/>
      </c>
      <c r="J361" s="2" t="str">
        <f t="array" ref="J361">IF(NOW()&gt;AU361,"",IF(AND((WEEKDAY($A361)+$B$2)&gt;1,((WEEKDAY($A361)+$T$2)&lt;7),(WEEKDAY($A361)&lt;&gt;1)),"work",(INDEX(Subject!$A:$I,MATCH(RANDBETWEEN(1,(MAX(Subject!$B:$B))),Subject!$B:$B,0),3))))</f>
        <v/>
      </c>
      <c r="K361" s="2" t="str">
        <f t="array" ref="K361">IF(NOW()&gt;AV361,"",IF(AND((WEEKDAY($A361)+$B$2)&gt;1,((WEEKDAY($A361)+$T$2)&lt;7),(WEEKDAY($A361)&lt;&gt;1)),"work",(INDEX(Subject!$A:$I,MATCH(RANDBETWEEN(1,(MAX(Subject!$B:$B))),Subject!$B:$B,0),3))))</f>
        <v/>
      </c>
      <c r="L361" s="2" t="str">
        <f t="array" ref="L361">IF(NOW()&gt;AW361,"",IF(AND((WEEKDAY($A361)+$B$2)&gt;1,((WEEKDAY($A361)+$T$2)&lt;7),(WEEKDAY($A361)&lt;&gt;1)),"work",(INDEX(Subject!$A:$I,MATCH(RANDBETWEEN(1,(MAX(Subject!$B:$B))),Subject!$B:$B,0),3))))</f>
        <v/>
      </c>
      <c r="M361" s="2" t="str">
        <f t="array" ref="M361">IF(NOW()&gt;AX361,"",IF(AND((WEEKDAY($A361)+$B$2)&gt;1,((WEEKDAY($A361)+$T$2)&lt;7),(WEEKDAY($A361)&lt;&gt;1)),"work",(INDEX(Subject!$A:$I,MATCH(RANDBETWEEN(1,(MAX(Subject!$B:$B))),Subject!$B:$B,0),3))))</f>
        <v/>
      </c>
      <c r="N361" s="2" t="str">
        <f t="array" ref="N361">IF(NOW()&gt;AY361,"",IF(AND((WEEKDAY($A361)+$B$2)&gt;1,((WEEKDAY($A361)+$T$2)&lt;7),(WEEKDAY($A361)&lt;&gt;1)),"work",(INDEX(Subject!$A:$I,MATCH(RANDBETWEEN(1,(MAX(Subject!$B:$B))),Subject!$B:$B,0),3))))</f>
        <v/>
      </c>
      <c r="O361" s="2" t="str">
        <f t="array" ref="O361">IF(NOW()&gt;AZ361,"",IF(AND((WEEKDAY($A361)+$B$2)&gt;1,((WEEKDAY($A361)+$T$2)&lt;7),(WEEKDAY($A361)&lt;&gt;1)),"work",(INDEX(Subject!$A:$I,MATCH(RANDBETWEEN(1,(MAX(Subject!$B:$B))),Subject!$B:$B,0),3))))</f>
        <v/>
      </c>
      <c r="P361" s="2" t="str">
        <f t="array" ref="P361">IF(NOW()&gt;BA361,"",IF(AND((WEEKDAY($A361)+$B$2)&gt;1,((WEEKDAY($A361)+$T$2)&lt;7),(WEEKDAY($A361)&lt;&gt;1)),"work",(INDEX(Subject!$A:$I,MATCH(RANDBETWEEN(1,(MAX(Subject!$B:$B))),Subject!$B:$B,0),3))))</f>
        <v/>
      </c>
      <c r="Q361" s="2" t="str">
        <f t="array" ref="Q361">IF(NOW()&gt;BB361,"",IF(AND((WEEKDAY($A361)+$B$2)&gt;1,((WEEKDAY($A361)+$T$2)&lt;7),(WEEKDAY($A361)&lt;&gt;1)),"work",(INDEX(Subject!$A:$I,MATCH(RANDBETWEEN(1,(MAX(Subject!$B:$B))),Subject!$B:$B,0),3))))</f>
        <v/>
      </c>
      <c r="R361" s="2" t="str">
        <f t="array" ref="R361">IF(NOW()&gt;BC361,"",IF(AND((WEEKDAY($A361)+$B$2)&gt;1,((WEEKDAY($A361)+$T$2)&lt;7),(WEEKDAY($A361)&lt;&gt;1)),"work",(INDEX(Subject!$A:$I,MATCH(RANDBETWEEN(1,(MAX(Subject!$B:$B))),Subject!$B:$B,0),3))))</f>
        <v/>
      </c>
      <c r="S361" s="2" t="str">
        <f t="array" ref="S361">IF(NOW()&gt;BD361,"",IF(AND((WEEKDAY($A361)+$B$2)&gt;1,((WEEKDAY($A361)+$T$2)&lt;7),(WEEKDAY($A361)&lt;&gt;1)),"work",(INDEX(Subject!$A:$I,MATCH(RANDBETWEEN(1,(MAX(Subject!$B:$B))),Subject!$B:$B,0),3))))</f>
        <v/>
      </c>
      <c r="T361" s="2" t="str">
        <f t="array" ref="T361">IF(NOW()&gt;BE361,"",IF(AND((WEEKDAY($A361)+$B$2)&gt;1,((WEEKDAY($A361)+$T$2)&lt;7),(WEEKDAY($A361)&lt;&gt;1)),"work",(INDEX(Subject!$A:$I,MATCH(RANDBETWEEN(1,(MAX(Subject!$B:$B))),Subject!$B:$B,0),3))))</f>
        <v/>
      </c>
      <c r="U361" s="8" t="str">
        <f t="array" ref="U361">INDEX(Subject!$A:$I,MATCH(RANDBETWEEN(1,16),Subject!$B:$B,0),3)</f>
        <v>#N/A</v>
      </c>
      <c r="V361" s="8" t="str">
        <f t="array" ref="V361">INDEX(Subject!$A:$I,MATCH(RANDBETWEEN(1,16),Subject!$B:$B,0),3)</f>
        <v>#N/A</v>
      </c>
      <c r="W361" s="8" t="str">
        <f t="array" ref="W361">INDEX(Subject!$A:$I,MATCH(RANDBETWEEN(1,16),Subject!$B:$B,0),3)</f>
        <v>#N/A</v>
      </c>
      <c r="X361" s="8" t="str">
        <f t="array" ref="X361">INDEX(Subject!$A:$I,MATCH(RANDBETWEEN(1,16),Subject!$B:$B,0),3)</f>
        <v>#N/A</v>
      </c>
      <c r="Y361" s="8" t="str">
        <f t="array" ref="Y361">INDEX(Subject!$A:$I,MATCH(RANDBETWEEN(1,16),Subject!$B:$B,0),3)</f>
        <v>#N/A</v>
      </c>
      <c r="Z361" s="8" t="str">
        <f t="array" ref="Z361">INDEX(Subject!$A:$I,MATCH(RANDBETWEEN(1,16),Subject!$B:$B,0),3)</f>
        <v>#N/A</v>
      </c>
      <c r="AA361" s="8" t="str">
        <f t="array" ref="AA361">INDEX(Subject!$A:$I,MATCH(RANDBETWEEN(1,16),Subject!$B:$B,0),3)</f>
        <v/>
      </c>
      <c r="AB361" s="8" t="str">
        <f t="array" ref="AB361">INDEX(Subject!$A:$I,MATCH(RANDBETWEEN(1,16),Subject!$B:$B,0),3)</f>
        <v>#N/A</v>
      </c>
      <c r="AC361" s="8" t="str">
        <f t="array" ref="AC361">INDEX(Subject!$A:$I,MATCH(RANDBETWEEN(1,16),Subject!$B:$B,0),3)</f>
        <v>#N/A</v>
      </c>
      <c r="AD361" s="8" t="str">
        <f t="array" ref="AD361">INDEX(Subject!$A:$I,MATCH(RANDBETWEEN(1,16),Subject!$B:$B,0),3)</f>
        <v>#N/A</v>
      </c>
      <c r="AE361" s="8" t="str">
        <f t="array" ref="AE361">INDEX(Subject!$A:$I,MATCH(RANDBETWEEN(1,16),Subject!$B:$B,0),3)</f>
        <v>#N/A</v>
      </c>
      <c r="AF361" s="8" t="str">
        <f t="array" ref="AF361">INDEX(Subject!$A:$I,MATCH(RANDBETWEEN(1,16),Subject!$B:$B,0),3)</f>
        <v>#N/A</v>
      </c>
      <c r="AG361" s="8" t="str">
        <f t="array" ref="AG361">INDEX(Subject!$A:$I,MATCH(RANDBETWEEN(1,16),Subject!$B:$B,0),3)</f>
        <v>#N/A</v>
      </c>
      <c r="AH361" s="8" t="str">
        <f t="array" ref="AH361">INDEX(Subject!$A:$I,MATCH(RANDBETWEEN(1,16),Subject!$B:$B,0),3)</f>
        <v>#N/A</v>
      </c>
      <c r="AI361" s="8" t="str">
        <f t="array" ref="AI361">INDEX(Subject!$A:$I,MATCH(RANDBETWEEN(1,16),Subject!$B:$B,0),3)</f>
        <v>#N/A</v>
      </c>
      <c r="AJ361" s="8" t="str">
        <f t="array" ref="AJ361">INDEX(Subject!$A:$I,MATCH(RANDBETWEEN(1,16),Subject!$B:$B,0),3)</f>
        <v>#N/A</v>
      </c>
      <c r="AK361" s="8" t="str">
        <f t="array" ref="AK361">INDEX(Subject!$A:$I,MATCH(RANDBETWEEN(1,16),Subject!$B:$B,0),3)</f>
        <v>#N/A</v>
      </c>
      <c r="AL361" s="8" t="str">
        <f t="array" ref="AL361">INDEX(Subject!$A:$I,MATCH(RANDBETWEEN(1,16),Subject!$B:$B,0),3)</f>
        <v>#N/A</v>
      </c>
      <c r="AM361" s="18">
        <f t="shared" si="4"/>
        <v>45861.33333</v>
      </c>
      <c r="AN361" s="19">
        <f t="shared" ref="AN361:BZ361" si="361">$A361+C$1</f>
        <v>45861.35417</v>
      </c>
      <c r="AO361" s="19">
        <f t="shared" si="361"/>
        <v>45861.375</v>
      </c>
      <c r="AP361" s="19">
        <f t="shared" si="361"/>
        <v>45861.39583</v>
      </c>
      <c r="AQ361" s="19">
        <f t="shared" si="361"/>
        <v>45861.41667</v>
      </c>
      <c r="AR361" s="19">
        <f t="shared" si="361"/>
        <v>45861.4375</v>
      </c>
      <c r="AS361" s="19">
        <f t="shared" si="361"/>
        <v>45861.45833</v>
      </c>
      <c r="AT361" s="19">
        <f t="shared" si="361"/>
        <v>45861.47917</v>
      </c>
      <c r="AU361" s="19">
        <f t="shared" si="361"/>
        <v>45861.5</v>
      </c>
      <c r="AV361" s="19">
        <f t="shared" si="361"/>
        <v>45861.52083</v>
      </c>
      <c r="AW361" s="19">
        <f t="shared" si="361"/>
        <v>45861.54167</v>
      </c>
      <c r="AX361" s="19">
        <f t="shared" si="361"/>
        <v>45861.5625</v>
      </c>
      <c r="AY361" s="19">
        <f t="shared" si="361"/>
        <v>45861.58333</v>
      </c>
      <c r="AZ361" s="19">
        <f t="shared" si="361"/>
        <v>45861.60417</v>
      </c>
      <c r="BA361" s="19">
        <f t="shared" si="361"/>
        <v>45861.625</v>
      </c>
      <c r="BB361" s="19">
        <f t="shared" si="361"/>
        <v>45861.64583</v>
      </c>
      <c r="BC361" s="19">
        <f t="shared" si="361"/>
        <v>45861.66667</v>
      </c>
      <c r="BD361" s="19">
        <f t="shared" si="361"/>
        <v>45861.6875</v>
      </c>
      <c r="BE361" s="19">
        <f t="shared" si="361"/>
        <v>45861.70833</v>
      </c>
      <c r="BF361" s="19">
        <f t="shared" si="361"/>
        <v>45861.72917</v>
      </c>
      <c r="BG361" s="19">
        <f t="shared" si="361"/>
        <v>45861.75</v>
      </c>
      <c r="BH361" s="19">
        <f t="shared" si="361"/>
        <v>45861.77083</v>
      </c>
      <c r="BI361" s="19">
        <f t="shared" si="361"/>
        <v>45861.79167</v>
      </c>
      <c r="BJ361" s="19">
        <f t="shared" si="361"/>
        <v>45861.8125</v>
      </c>
      <c r="BK361" s="19">
        <f t="shared" si="361"/>
        <v>45861.83333</v>
      </c>
      <c r="BL361" s="19">
        <f t="shared" si="361"/>
        <v>45861.85417</v>
      </c>
      <c r="BM361" s="19">
        <f t="shared" si="361"/>
        <v>45861.875</v>
      </c>
      <c r="BN361" s="19">
        <f t="shared" si="361"/>
        <v>45861.89583</v>
      </c>
      <c r="BO361" s="19">
        <f t="shared" si="361"/>
        <v>45861.91667</v>
      </c>
      <c r="BP361" s="19">
        <f t="shared" si="361"/>
        <v>45861.9375</v>
      </c>
      <c r="BQ361" s="19">
        <f t="shared" si="361"/>
        <v>45861.95833</v>
      </c>
      <c r="BR361" s="19">
        <f t="shared" si="361"/>
        <v>45861.97917</v>
      </c>
      <c r="BS361" s="19">
        <f t="shared" si="361"/>
        <v>45862</v>
      </c>
      <c r="BT361" s="19">
        <f t="shared" si="361"/>
        <v>45862.02083</v>
      </c>
      <c r="BU361" s="19">
        <f t="shared" si="361"/>
        <v>45862.04167</v>
      </c>
      <c r="BV361" s="19">
        <f t="shared" si="361"/>
        <v>45862.0625</v>
      </c>
      <c r="BW361" s="19">
        <f t="shared" si="361"/>
        <v>45862.08333</v>
      </c>
      <c r="BX361" s="19">
        <f t="shared" si="361"/>
        <v>45861</v>
      </c>
      <c r="BY361" s="19">
        <f t="shared" si="361"/>
        <v>45861</v>
      </c>
      <c r="BZ361" s="19">
        <f t="shared" si="361"/>
        <v>45861</v>
      </c>
    </row>
    <row r="362" ht="14.25" customHeight="1">
      <c r="A362" s="17">
        <v>45862.0</v>
      </c>
      <c r="B362" s="2" t="str">
        <f t="array" ref="B362">IF(NOW()&gt;AM362,"",IF(AND((WEEKDAY($A362)+$B$2)&gt;1,((WEEKDAY($A362)+$T$2)&lt;7),(WEEKDAY($A362)&lt;&gt;1)),"work",(INDEX(Subject!$A:$I,MATCH(RANDBETWEEN(1,(MAX(Subject!$B:$B))),Subject!$B:$B,0),3))))</f>
        <v/>
      </c>
      <c r="C362" s="2" t="str">
        <f t="array" ref="C362">IF(NOW()&gt;AN362,"",IF(AND((WEEKDAY($A362)+$B$2)&gt;1,((WEEKDAY($A362)+$T$2)&lt;7),(WEEKDAY($A362)&lt;&gt;1)),"work",(INDEX(Subject!$A:$I,MATCH(RANDBETWEEN(1,(MAX(Subject!$B:$B))),Subject!$B:$B,0),3))))</f>
        <v/>
      </c>
      <c r="D362" s="2" t="str">
        <f t="array" ref="D362">IF(NOW()&gt;AO362,"",IF(AND((WEEKDAY($A362)+$B$2)&gt;1,((WEEKDAY($A362)+$T$2)&lt;7),(WEEKDAY($A362)&lt;&gt;1)),"work",(INDEX(Subject!$A:$I,MATCH(RANDBETWEEN(1,(MAX(Subject!$B:$B))),Subject!$B:$B,0),3))))</f>
        <v/>
      </c>
      <c r="E362" s="2" t="str">
        <f t="array" ref="E362">IF(NOW()&gt;AP362,"",IF(AND((WEEKDAY($A362)+$B$2)&gt;1,((WEEKDAY($A362)+$T$2)&lt;7),(WEEKDAY($A362)&lt;&gt;1)),"work",(INDEX(Subject!$A:$I,MATCH(RANDBETWEEN(1,(MAX(Subject!$B:$B))),Subject!$B:$B,0),3))))</f>
        <v/>
      </c>
      <c r="F362" s="2" t="str">
        <f t="array" ref="F362">IF(NOW()&gt;AQ362,"",IF(AND((WEEKDAY($A362)+$B$2)&gt;1,((WEEKDAY($A362)+$T$2)&lt;7),(WEEKDAY($A362)&lt;&gt;1)),"work",(INDEX(Subject!$A:$I,MATCH(RANDBETWEEN(1,(MAX(Subject!$B:$B))),Subject!$B:$B,0),3))))</f>
        <v/>
      </c>
      <c r="G362" s="2" t="str">
        <f t="array" ref="G362">IF(NOW()&gt;AR362,"",IF(AND((WEEKDAY($A362)+$B$2)&gt;1,((WEEKDAY($A362)+$T$2)&lt;7),(WEEKDAY($A362)&lt;&gt;1)),"work",(INDEX(Subject!$A:$I,MATCH(RANDBETWEEN(1,(MAX(Subject!$B:$B))),Subject!$B:$B,0),3))))</f>
        <v/>
      </c>
      <c r="H362" s="2" t="str">
        <f t="array" ref="H362">IF(NOW()&gt;AS362,"",IF(AND((WEEKDAY($A362)+$B$2)&gt;1,((WEEKDAY($A362)+$T$2)&lt;7),(WEEKDAY($A362)&lt;&gt;1)),"work",(INDEX(Subject!$A:$I,MATCH(RANDBETWEEN(1,(MAX(Subject!$B:$B))),Subject!$B:$B,0),3))))</f>
        <v/>
      </c>
      <c r="I362" s="2" t="str">
        <f t="array" ref="I362">IF(NOW()&gt;AT362,"",IF(AND((WEEKDAY($A362)+$B$2)&gt;1,((WEEKDAY($A362)+$T$2)&lt;7),(WEEKDAY($A362)&lt;&gt;1)),"work",(INDEX(Subject!$A:$I,MATCH(RANDBETWEEN(1,(MAX(Subject!$B:$B))),Subject!$B:$B,0),3))))</f>
        <v/>
      </c>
      <c r="J362" s="2" t="str">
        <f t="array" ref="J362">IF(NOW()&gt;AU362,"",IF(AND((WEEKDAY($A362)+$B$2)&gt;1,((WEEKDAY($A362)+$T$2)&lt;7),(WEEKDAY($A362)&lt;&gt;1)),"work",(INDEX(Subject!$A:$I,MATCH(RANDBETWEEN(1,(MAX(Subject!$B:$B))),Subject!$B:$B,0),3))))</f>
        <v/>
      </c>
      <c r="K362" s="2" t="str">
        <f t="array" ref="K362">IF(NOW()&gt;AV362,"",IF(AND((WEEKDAY($A362)+$B$2)&gt;1,((WEEKDAY($A362)+$T$2)&lt;7),(WEEKDAY($A362)&lt;&gt;1)),"work",(INDEX(Subject!$A:$I,MATCH(RANDBETWEEN(1,(MAX(Subject!$B:$B))),Subject!$B:$B,0),3))))</f>
        <v/>
      </c>
      <c r="L362" s="2" t="str">
        <f t="array" ref="L362">IF(NOW()&gt;AW362,"",IF(AND((WEEKDAY($A362)+$B$2)&gt;1,((WEEKDAY($A362)+$T$2)&lt;7),(WEEKDAY($A362)&lt;&gt;1)),"work",(INDEX(Subject!$A:$I,MATCH(RANDBETWEEN(1,(MAX(Subject!$B:$B))),Subject!$B:$B,0),3))))</f>
        <v/>
      </c>
      <c r="M362" s="2" t="str">
        <f t="array" ref="M362">IF(NOW()&gt;AX362,"",IF(AND((WEEKDAY($A362)+$B$2)&gt;1,((WEEKDAY($A362)+$T$2)&lt;7),(WEEKDAY($A362)&lt;&gt;1)),"work",(INDEX(Subject!$A:$I,MATCH(RANDBETWEEN(1,(MAX(Subject!$B:$B))),Subject!$B:$B,0),3))))</f>
        <v/>
      </c>
      <c r="N362" s="2" t="str">
        <f t="array" ref="N362">IF(NOW()&gt;AY362,"",IF(AND((WEEKDAY($A362)+$B$2)&gt;1,((WEEKDAY($A362)+$T$2)&lt;7),(WEEKDAY($A362)&lt;&gt;1)),"work",(INDEX(Subject!$A:$I,MATCH(RANDBETWEEN(1,(MAX(Subject!$B:$B))),Subject!$B:$B,0),3))))</f>
        <v/>
      </c>
      <c r="O362" s="2" t="str">
        <f t="array" ref="O362">IF(NOW()&gt;AZ362,"",IF(AND((WEEKDAY($A362)+$B$2)&gt;1,((WEEKDAY($A362)+$T$2)&lt;7),(WEEKDAY($A362)&lt;&gt;1)),"work",(INDEX(Subject!$A:$I,MATCH(RANDBETWEEN(1,(MAX(Subject!$B:$B))),Subject!$B:$B,0),3))))</f>
        <v/>
      </c>
      <c r="P362" s="2" t="str">
        <f t="array" ref="P362">IF(NOW()&gt;BA362,"",IF(AND((WEEKDAY($A362)+$B$2)&gt;1,((WEEKDAY($A362)+$T$2)&lt;7),(WEEKDAY($A362)&lt;&gt;1)),"work",(INDEX(Subject!$A:$I,MATCH(RANDBETWEEN(1,(MAX(Subject!$B:$B))),Subject!$B:$B,0),3))))</f>
        <v/>
      </c>
      <c r="Q362" s="2" t="str">
        <f t="array" ref="Q362">IF(NOW()&gt;BB362,"",IF(AND((WEEKDAY($A362)+$B$2)&gt;1,((WEEKDAY($A362)+$T$2)&lt;7),(WEEKDAY($A362)&lt;&gt;1)),"work",(INDEX(Subject!$A:$I,MATCH(RANDBETWEEN(1,(MAX(Subject!$B:$B))),Subject!$B:$B,0),3))))</f>
        <v/>
      </c>
      <c r="R362" s="2" t="str">
        <f t="array" ref="R362">IF(NOW()&gt;BC362,"",IF(AND((WEEKDAY($A362)+$B$2)&gt;1,((WEEKDAY($A362)+$T$2)&lt;7),(WEEKDAY($A362)&lt;&gt;1)),"work",(INDEX(Subject!$A:$I,MATCH(RANDBETWEEN(1,(MAX(Subject!$B:$B))),Subject!$B:$B,0),3))))</f>
        <v/>
      </c>
      <c r="S362" s="2" t="str">
        <f t="array" ref="S362">IF(NOW()&gt;BD362,"",IF(AND((WEEKDAY($A362)+$B$2)&gt;1,((WEEKDAY($A362)+$T$2)&lt;7),(WEEKDAY($A362)&lt;&gt;1)),"work",(INDEX(Subject!$A:$I,MATCH(RANDBETWEEN(1,(MAX(Subject!$B:$B))),Subject!$B:$B,0),3))))</f>
        <v/>
      </c>
      <c r="T362" s="2" t="str">
        <f t="array" ref="T362">IF(NOW()&gt;BE362,"",IF(AND((WEEKDAY($A362)+$B$2)&gt;1,((WEEKDAY($A362)+$T$2)&lt;7),(WEEKDAY($A362)&lt;&gt;1)),"work",(INDEX(Subject!$A:$I,MATCH(RANDBETWEEN(1,(MAX(Subject!$B:$B))),Subject!$B:$B,0),3))))</f>
        <v/>
      </c>
      <c r="U362" s="8" t="str">
        <f t="array" ref="U362">INDEX(Subject!$A:$I,MATCH(RANDBETWEEN(1,16),Subject!$B:$B,0),3)</f>
        <v>#N/A</v>
      </c>
      <c r="V362" s="8" t="str">
        <f t="array" ref="V362">INDEX(Subject!$A:$I,MATCH(RANDBETWEEN(1,16),Subject!$B:$B,0),3)</f>
        <v/>
      </c>
      <c r="W362" s="8" t="str">
        <f t="array" ref="W362">INDEX(Subject!$A:$I,MATCH(RANDBETWEEN(1,16),Subject!$B:$B,0),3)</f>
        <v>#N/A</v>
      </c>
      <c r="X362" s="8" t="str">
        <f t="array" ref="X362">INDEX(Subject!$A:$I,MATCH(RANDBETWEEN(1,16),Subject!$B:$B,0),3)</f>
        <v>#N/A</v>
      </c>
      <c r="Y362" s="8" t="str">
        <f t="array" ref="Y362">INDEX(Subject!$A:$I,MATCH(RANDBETWEEN(1,16),Subject!$B:$B,0),3)</f>
        <v>#N/A</v>
      </c>
      <c r="Z362" s="8" t="str">
        <f t="array" ref="Z362">INDEX(Subject!$A:$I,MATCH(RANDBETWEEN(1,16),Subject!$B:$B,0),3)</f>
        <v/>
      </c>
      <c r="AA362" s="8" t="str">
        <f t="array" ref="AA362">INDEX(Subject!$A:$I,MATCH(RANDBETWEEN(1,16),Subject!$B:$B,0),3)</f>
        <v>#N/A</v>
      </c>
      <c r="AB362" s="8" t="str">
        <f t="array" ref="AB362">INDEX(Subject!$A:$I,MATCH(RANDBETWEEN(1,16),Subject!$B:$B,0),3)</f>
        <v>#N/A</v>
      </c>
      <c r="AC362" s="8" t="str">
        <f t="array" ref="AC362">INDEX(Subject!$A:$I,MATCH(RANDBETWEEN(1,16),Subject!$B:$B,0),3)</f>
        <v>#N/A</v>
      </c>
      <c r="AD362" s="8" t="str">
        <f t="array" ref="AD362">INDEX(Subject!$A:$I,MATCH(RANDBETWEEN(1,16),Subject!$B:$B,0),3)</f>
        <v>#N/A</v>
      </c>
      <c r="AE362" s="8" t="str">
        <f t="array" ref="AE362">INDEX(Subject!$A:$I,MATCH(RANDBETWEEN(1,16),Subject!$B:$B,0),3)</f>
        <v>#N/A</v>
      </c>
      <c r="AF362" s="8" t="str">
        <f t="array" ref="AF362">INDEX(Subject!$A:$I,MATCH(RANDBETWEEN(1,16),Subject!$B:$B,0),3)</f>
        <v/>
      </c>
      <c r="AG362" s="8" t="str">
        <f t="array" ref="AG362">INDEX(Subject!$A:$I,MATCH(RANDBETWEEN(1,16),Subject!$B:$B,0),3)</f>
        <v>#N/A</v>
      </c>
      <c r="AH362" s="8" t="str">
        <f t="array" ref="AH362">INDEX(Subject!$A:$I,MATCH(RANDBETWEEN(1,16),Subject!$B:$B,0),3)</f>
        <v>#N/A</v>
      </c>
      <c r="AI362" s="8" t="str">
        <f t="array" ref="AI362">INDEX(Subject!$A:$I,MATCH(RANDBETWEEN(1,16),Subject!$B:$B,0),3)</f>
        <v>#N/A</v>
      </c>
      <c r="AJ362" s="8" t="str">
        <f t="array" ref="AJ362">INDEX(Subject!$A:$I,MATCH(RANDBETWEEN(1,16),Subject!$B:$B,0),3)</f>
        <v>#N/A</v>
      </c>
      <c r="AK362" s="8" t="str">
        <f t="array" ref="AK362">INDEX(Subject!$A:$I,MATCH(RANDBETWEEN(1,16),Subject!$B:$B,0),3)</f>
        <v>#N/A</v>
      </c>
      <c r="AL362" s="8" t="str">
        <f t="array" ref="AL362">INDEX(Subject!$A:$I,MATCH(RANDBETWEEN(1,16),Subject!$B:$B,0),3)</f>
        <v>#N/A</v>
      </c>
      <c r="AM362" s="18">
        <f t="shared" si="4"/>
        <v>45862.33333</v>
      </c>
      <c r="AN362" s="19">
        <f t="shared" ref="AN362:BZ362" si="362">$A362+C$1</f>
        <v>45862.35417</v>
      </c>
      <c r="AO362" s="19">
        <f t="shared" si="362"/>
        <v>45862.375</v>
      </c>
      <c r="AP362" s="19">
        <f t="shared" si="362"/>
        <v>45862.39583</v>
      </c>
      <c r="AQ362" s="19">
        <f t="shared" si="362"/>
        <v>45862.41667</v>
      </c>
      <c r="AR362" s="19">
        <f t="shared" si="362"/>
        <v>45862.4375</v>
      </c>
      <c r="AS362" s="19">
        <f t="shared" si="362"/>
        <v>45862.45833</v>
      </c>
      <c r="AT362" s="19">
        <f t="shared" si="362"/>
        <v>45862.47917</v>
      </c>
      <c r="AU362" s="19">
        <f t="shared" si="362"/>
        <v>45862.5</v>
      </c>
      <c r="AV362" s="19">
        <f t="shared" si="362"/>
        <v>45862.52083</v>
      </c>
      <c r="AW362" s="19">
        <f t="shared" si="362"/>
        <v>45862.54167</v>
      </c>
      <c r="AX362" s="19">
        <f t="shared" si="362"/>
        <v>45862.5625</v>
      </c>
      <c r="AY362" s="19">
        <f t="shared" si="362"/>
        <v>45862.58333</v>
      </c>
      <c r="AZ362" s="19">
        <f t="shared" si="362"/>
        <v>45862.60417</v>
      </c>
      <c r="BA362" s="19">
        <f t="shared" si="362"/>
        <v>45862.625</v>
      </c>
      <c r="BB362" s="19">
        <f t="shared" si="362"/>
        <v>45862.64583</v>
      </c>
      <c r="BC362" s="19">
        <f t="shared" si="362"/>
        <v>45862.66667</v>
      </c>
      <c r="BD362" s="19">
        <f t="shared" si="362"/>
        <v>45862.6875</v>
      </c>
      <c r="BE362" s="19">
        <f t="shared" si="362"/>
        <v>45862.70833</v>
      </c>
      <c r="BF362" s="19">
        <f t="shared" si="362"/>
        <v>45862.72917</v>
      </c>
      <c r="BG362" s="19">
        <f t="shared" si="362"/>
        <v>45862.75</v>
      </c>
      <c r="BH362" s="19">
        <f t="shared" si="362"/>
        <v>45862.77083</v>
      </c>
      <c r="BI362" s="19">
        <f t="shared" si="362"/>
        <v>45862.79167</v>
      </c>
      <c r="BJ362" s="19">
        <f t="shared" si="362"/>
        <v>45862.8125</v>
      </c>
      <c r="BK362" s="19">
        <f t="shared" si="362"/>
        <v>45862.83333</v>
      </c>
      <c r="BL362" s="19">
        <f t="shared" si="362"/>
        <v>45862.85417</v>
      </c>
      <c r="BM362" s="19">
        <f t="shared" si="362"/>
        <v>45862.875</v>
      </c>
      <c r="BN362" s="19">
        <f t="shared" si="362"/>
        <v>45862.89583</v>
      </c>
      <c r="BO362" s="19">
        <f t="shared" si="362"/>
        <v>45862.91667</v>
      </c>
      <c r="BP362" s="19">
        <f t="shared" si="362"/>
        <v>45862.9375</v>
      </c>
      <c r="BQ362" s="19">
        <f t="shared" si="362"/>
        <v>45862.95833</v>
      </c>
      <c r="BR362" s="19">
        <f t="shared" si="362"/>
        <v>45862.97917</v>
      </c>
      <c r="BS362" s="19">
        <f t="shared" si="362"/>
        <v>45863</v>
      </c>
      <c r="BT362" s="19">
        <f t="shared" si="362"/>
        <v>45863.02083</v>
      </c>
      <c r="BU362" s="19">
        <f t="shared" si="362"/>
        <v>45863.04167</v>
      </c>
      <c r="BV362" s="19">
        <f t="shared" si="362"/>
        <v>45863.0625</v>
      </c>
      <c r="BW362" s="19">
        <f t="shared" si="362"/>
        <v>45863.08333</v>
      </c>
      <c r="BX362" s="19">
        <f t="shared" si="362"/>
        <v>45862</v>
      </c>
      <c r="BY362" s="19">
        <f t="shared" si="362"/>
        <v>45862</v>
      </c>
      <c r="BZ362" s="19">
        <f t="shared" si="362"/>
        <v>45862</v>
      </c>
    </row>
    <row r="363" ht="14.25" customHeight="1">
      <c r="A363" s="17">
        <v>45863.0</v>
      </c>
      <c r="B363" s="2" t="str">
        <f t="array" ref="B363">IF(NOW()&gt;AM363,"",IF(AND((WEEKDAY($A363)+$B$2)&gt;1,((WEEKDAY($A363)+$T$2)&lt;7),(WEEKDAY($A363)&lt;&gt;1)),"work",(INDEX(Subject!$A:$I,MATCH(RANDBETWEEN(1,(MAX(Subject!$B:$B))),Subject!$B:$B,0),3))))</f>
        <v/>
      </c>
      <c r="C363" s="2" t="str">
        <f t="array" ref="C363">IF(NOW()&gt;AN363,"",IF(AND((WEEKDAY($A363)+$B$2)&gt;1,((WEEKDAY($A363)+$T$2)&lt;7),(WEEKDAY($A363)&lt;&gt;1)),"work",(INDEX(Subject!$A:$I,MATCH(RANDBETWEEN(1,(MAX(Subject!$B:$B))),Subject!$B:$B,0),3))))</f>
        <v/>
      </c>
      <c r="D363" s="2" t="str">
        <f t="array" ref="D363">IF(NOW()&gt;AO363,"",IF(AND((WEEKDAY($A363)+$B$2)&gt;1,((WEEKDAY($A363)+$T$2)&lt;7),(WEEKDAY($A363)&lt;&gt;1)),"work",(INDEX(Subject!$A:$I,MATCH(RANDBETWEEN(1,(MAX(Subject!$B:$B))),Subject!$B:$B,0),3))))</f>
        <v/>
      </c>
      <c r="E363" s="2" t="str">
        <f t="array" ref="E363">IF(NOW()&gt;AP363,"",IF(AND((WEEKDAY($A363)+$B$2)&gt;1,((WEEKDAY($A363)+$T$2)&lt;7),(WEEKDAY($A363)&lt;&gt;1)),"work",(INDEX(Subject!$A:$I,MATCH(RANDBETWEEN(1,(MAX(Subject!$B:$B))),Subject!$B:$B,0),3))))</f>
        <v/>
      </c>
      <c r="F363" s="2" t="str">
        <f t="array" ref="F363">IF(NOW()&gt;AQ363,"",IF(AND((WEEKDAY($A363)+$B$2)&gt;1,((WEEKDAY($A363)+$T$2)&lt;7),(WEEKDAY($A363)&lt;&gt;1)),"work",(INDEX(Subject!$A:$I,MATCH(RANDBETWEEN(1,(MAX(Subject!$B:$B))),Subject!$B:$B,0),3))))</f>
        <v/>
      </c>
      <c r="G363" s="2" t="str">
        <f t="array" ref="G363">IF(NOW()&gt;AR363,"",IF(AND((WEEKDAY($A363)+$B$2)&gt;1,((WEEKDAY($A363)+$T$2)&lt;7),(WEEKDAY($A363)&lt;&gt;1)),"work",(INDEX(Subject!$A:$I,MATCH(RANDBETWEEN(1,(MAX(Subject!$B:$B))),Subject!$B:$B,0),3))))</f>
        <v/>
      </c>
      <c r="H363" s="2" t="str">
        <f t="array" ref="H363">IF(NOW()&gt;AS363,"",IF(AND((WEEKDAY($A363)+$B$2)&gt;1,((WEEKDAY($A363)+$T$2)&lt;7),(WEEKDAY($A363)&lt;&gt;1)),"work",(INDEX(Subject!$A:$I,MATCH(RANDBETWEEN(1,(MAX(Subject!$B:$B))),Subject!$B:$B,0),3))))</f>
        <v/>
      </c>
      <c r="I363" s="2" t="str">
        <f t="array" ref="I363">IF(NOW()&gt;AT363,"",IF(AND((WEEKDAY($A363)+$B$2)&gt;1,((WEEKDAY($A363)+$T$2)&lt;7),(WEEKDAY($A363)&lt;&gt;1)),"work",(INDEX(Subject!$A:$I,MATCH(RANDBETWEEN(1,(MAX(Subject!$B:$B))),Subject!$B:$B,0),3))))</f>
        <v/>
      </c>
      <c r="J363" s="2" t="str">
        <f t="array" ref="J363">IF(NOW()&gt;AU363,"",IF(AND((WEEKDAY($A363)+$B$2)&gt;1,((WEEKDAY($A363)+$T$2)&lt;7),(WEEKDAY($A363)&lt;&gt;1)),"work",(INDEX(Subject!$A:$I,MATCH(RANDBETWEEN(1,(MAX(Subject!$B:$B))),Subject!$B:$B,0),3))))</f>
        <v/>
      </c>
      <c r="K363" s="2" t="str">
        <f t="array" ref="K363">IF(NOW()&gt;AV363,"",IF(AND((WEEKDAY($A363)+$B$2)&gt;1,((WEEKDAY($A363)+$T$2)&lt;7),(WEEKDAY($A363)&lt;&gt;1)),"work",(INDEX(Subject!$A:$I,MATCH(RANDBETWEEN(1,(MAX(Subject!$B:$B))),Subject!$B:$B,0),3))))</f>
        <v/>
      </c>
      <c r="L363" s="2" t="str">
        <f t="array" ref="L363">IF(NOW()&gt;AW363,"",IF(AND((WEEKDAY($A363)+$B$2)&gt;1,((WEEKDAY($A363)+$T$2)&lt;7),(WEEKDAY($A363)&lt;&gt;1)),"work",(INDEX(Subject!$A:$I,MATCH(RANDBETWEEN(1,(MAX(Subject!$B:$B))),Subject!$B:$B,0),3))))</f>
        <v/>
      </c>
      <c r="M363" s="2" t="str">
        <f t="array" ref="M363">IF(NOW()&gt;AX363,"",IF(AND((WEEKDAY($A363)+$B$2)&gt;1,((WEEKDAY($A363)+$T$2)&lt;7),(WEEKDAY($A363)&lt;&gt;1)),"work",(INDEX(Subject!$A:$I,MATCH(RANDBETWEEN(1,(MAX(Subject!$B:$B))),Subject!$B:$B,0),3))))</f>
        <v/>
      </c>
      <c r="N363" s="2" t="str">
        <f t="array" ref="N363">IF(NOW()&gt;AY363,"",IF(AND((WEEKDAY($A363)+$B$2)&gt;1,((WEEKDAY($A363)+$T$2)&lt;7),(WEEKDAY($A363)&lt;&gt;1)),"work",(INDEX(Subject!$A:$I,MATCH(RANDBETWEEN(1,(MAX(Subject!$B:$B))),Subject!$B:$B,0),3))))</f>
        <v/>
      </c>
      <c r="O363" s="2" t="str">
        <f t="array" ref="O363">IF(NOW()&gt;AZ363,"",IF(AND((WEEKDAY($A363)+$B$2)&gt;1,((WEEKDAY($A363)+$T$2)&lt;7),(WEEKDAY($A363)&lt;&gt;1)),"work",(INDEX(Subject!$A:$I,MATCH(RANDBETWEEN(1,(MAX(Subject!$B:$B))),Subject!$B:$B,0),3))))</f>
        <v/>
      </c>
      <c r="P363" s="2" t="str">
        <f t="array" ref="P363">IF(NOW()&gt;BA363,"",IF(AND((WEEKDAY($A363)+$B$2)&gt;1,((WEEKDAY($A363)+$T$2)&lt;7),(WEEKDAY($A363)&lt;&gt;1)),"work",(INDEX(Subject!$A:$I,MATCH(RANDBETWEEN(1,(MAX(Subject!$B:$B))),Subject!$B:$B,0),3))))</f>
        <v/>
      </c>
      <c r="Q363" s="2" t="str">
        <f t="array" ref="Q363">IF(NOW()&gt;BB363,"",IF(AND((WEEKDAY($A363)+$B$2)&gt;1,((WEEKDAY($A363)+$T$2)&lt;7),(WEEKDAY($A363)&lt;&gt;1)),"work",(INDEX(Subject!$A:$I,MATCH(RANDBETWEEN(1,(MAX(Subject!$B:$B))),Subject!$B:$B,0),3))))</f>
        <v/>
      </c>
      <c r="R363" s="2" t="str">
        <f t="array" ref="R363">IF(NOW()&gt;BC363,"",IF(AND((WEEKDAY($A363)+$B$2)&gt;1,((WEEKDAY($A363)+$T$2)&lt;7),(WEEKDAY($A363)&lt;&gt;1)),"work",(INDEX(Subject!$A:$I,MATCH(RANDBETWEEN(1,(MAX(Subject!$B:$B))),Subject!$B:$B,0),3))))</f>
        <v/>
      </c>
      <c r="S363" s="2" t="str">
        <f t="array" ref="S363">IF(NOW()&gt;BD363,"",IF(AND((WEEKDAY($A363)+$B$2)&gt;1,((WEEKDAY($A363)+$T$2)&lt;7),(WEEKDAY($A363)&lt;&gt;1)),"work",(INDEX(Subject!$A:$I,MATCH(RANDBETWEEN(1,(MAX(Subject!$B:$B))),Subject!$B:$B,0),3))))</f>
        <v/>
      </c>
      <c r="T363" s="2" t="str">
        <f t="array" ref="T363">IF(NOW()&gt;BE363,"",IF(AND((WEEKDAY($A363)+$B$2)&gt;1,((WEEKDAY($A363)+$T$2)&lt;7),(WEEKDAY($A363)&lt;&gt;1)),"work",(INDEX(Subject!$A:$I,MATCH(RANDBETWEEN(1,(MAX(Subject!$B:$B))),Subject!$B:$B,0),3))))</f>
        <v/>
      </c>
      <c r="U363" s="8" t="str">
        <f t="array" ref="U363">INDEX(Subject!$A:$I,MATCH(RANDBETWEEN(1,16),Subject!$B:$B,0),3)</f>
        <v>#N/A</v>
      </c>
      <c r="V363" s="8" t="str">
        <f t="array" ref="V363">INDEX(Subject!$A:$I,MATCH(RANDBETWEEN(1,16),Subject!$B:$B,0),3)</f>
        <v>#N/A</v>
      </c>
      <c r="W363" s="8" t="str">
        <f t="array" ref="W363">INDEX(Subject!$A:$I,MATCH(RANDBETWEEN(1,16),Subject!$B:$B,0),3)</f>
        <v>#N/A</v>
      </c>
      <c r="X363" s="8" t="str">
        <f t="array" ref="X363">INDEX(Subject!$A:$I,MATCH(RANDBETWEEN(1,16),Subject!$B:$B,0),3)</f>
        <v>#N/A</v>
      </c>
      <c r="Y363" s="8" t="str">
        <f t="array" ref="Y363">INDEX(Subject!$A:$I,MATCH(RANDBETWEEN(1,16),Subject!$B:$B,0),3)</f>
        <v>#N/A</v>
      </c>
      <c r="Z363" s="8" t="str">
        <f t="array" ref="Z363">INDEX(Subject!$A:$I,MATCH(RANDBETWEEN(1,16),Subject!$B:$B,0),3)</f>
        <v>#N/A</v>
      </c>
      <c r="AA363" s="8" t="str">
        <f t="array" ref="AA363">INDEX(Subject!$A:$I,MATCH(RANDBETWEEN(1,16),Subject!$B:$B,0),3)</f>
        <v>#N/A</v>
      </c>
      <c r="AB363" s="8" t="str">
        <f t="array" ref="AB363">INDEX(Subject!$A:$I,MATCH(RANDBETWEEN(1,16),Subject!$B:$B,0),3)</f>
        <v>#N/A</v>
      </c>
      <c r="AC363" s="8" t="str">
        <f t="array" ref="AC363">INDEX(Subject!$A:$I,MATCH(RANDBETWEEN(1,16),Subject!$B:$B,0),3)</f>
        <v>#N/A</v>
      </c>
      <c r="AD363" s="8" t="str">
        <f t="array" ref="AD363">INDEX(Subject!$A:$I,MATCH(RANDBETWEEN(1,16),Subject!$B:$B,0),3)</f>
        <v>#N/A</v>
      </c>
      <c r="AE363" s="8" t="str">
        <f t="array" ref="AE363">INDEX(Subject!$A:$I,MATCH(RANDBETWEEN(1,16),Subject!$B:$B,0),3)</f>
        <v>#N/A</v>
      </c>
      <c r="AF363" s="8" t="str">
        <f t="array" ref="AF363">INDEX(Subject!$A:$I,MATCH(RANDBETWEEN(1,16),Subject!$B:$B,0),3)</f>
        <v>#N/A</v>
      </c>
      <c r="AG363" s="8" t="str">
        <f t="array" ref="AG363">INDEX(Subject!$A:$I,MATCH(RANDBETWEEN(1,16),Subject!$B:$B,0),3)</f>
        <v>#N/A</v>
      </c>
      <c r="AH363" s="8" t="str">
        <f t="array" ref="AH363">INDEX(Subject!$A:$I,MATCH(RANDBETWEEN(1,16),Subject!$B:$B,0),3)</f>
        <v>#N/A</v>
      </c>
      <c r="AI363" s="8" t="str">
        <f t="array" ref="AI363">INDEX(Subject!$A:$I,MATCH(RANDBETWEEN(1,16),Subject!$B:$B,0),3)</f>
        <v>#N/A</v>
      </c>
      <c r="AJ363" s="8" t="str">
        <f t="array" ref="AJ363">INDEX(Subject!$A:$I,MATCH(RANDBETWEEN(1,16),Subject!$B:$B,0),3)</f>
        <v/>
      </c>
      <c r="AK363" s="8" t="str">
        <f t="array" ref="AK363">INDEX(Subject!$A:$I,MATCH(RANDBETWEEN(1,16),Subject!$B:$B,0),3)</f>
        <v>#N/A</v>
      </c>
      <c r="AL363" s="8" t="str">
        <f t="array" ref="AL363">INDEX(Subject!$A:$I,MATCH(RANDBETWEEN(1,16),Subject!$B:$B,0),3)</f>
        <v>#N/A</v>
      </c>
      <c r="AM363" s="18">
        <f t="shared" si="4"/>
        <v>45863.33333</v>
      </c>
      <c r="AN363" s="19">
        <f t="shared" ref="AN363:BZ363" si="363">$A363+C$1</f>
        <v>45863.35417</v>
      </c>
      <c r="AO363" s="19">
        <f t="shared" si="363"/>
        <v>45863.375</v>
      </c>
      <c r="AP363" s="19">
        <f t="shared" si="363"/>
        <v>45863.39583</v>
      </c>
      <c r="AQ363" s="19">
        <f t="shared" si="363"/>
        <v>45863.41667</v>
      </c>
      <c r="AR363" s="19">
        <f t="shared" si="363"/>
        <v>45863.4375</v>
      </c>
      <c r="AS363" s="19">
        <f t="shared" si="363"/>
        <v>45863.45833</v>
      </c>
      <c r="AT363" s="19">
        <f t="shared" si="363"/>
        <v>45863.47917</v>
      </c>
      <c r="AU363" s="19">
        <f t="shared" si="363"/>
        <v>45863.5</v>
      </c>
      <c r="AV363" s="19">
        <f t="shared" si="363"/>
        <v>45863.52083</v>
      </c>
      <c r="AW363" s="19">
        <f t="shared" si="363"/>
        <v>45863.54167</v>
      </c>
      <c r="AX363" s="19">
        <f t="shared" si="363"/>
        <v>45863.5625</v>
      </c>
      <c r="AY363" s="19">
        <f t="shared" si="363"/>
        <v>45863.58333</v>
      </c>
      <c r="AZ363" s="19">
        <f t="shared" si="363"/>
        <v>45863.60417</v>
      </c>
      <c r="BA363" s="19">
        <f t="shared" si="363"/>
        <v>45863.625</v>
      </c>
      <c r="BB363" s="19">
        <f t="shared" si="363"/>
        <v>45863.64583</v>
      </c>
      <c r="BC363" s="19">
        <f t="shared" si="363"/>
        <v>45863.66667</v>
      </c>
      <c r="BD363" s="19">
        <f t="shared" si="363"/>
        <v>45863.6875</v>
      </c>
      <c r="BE363" s="19">
        <f t="shared" si="363"/>
        <v>45863.70833</v>
      </c>
      <c r="BF363" s="19">
        <f t="shared" si="363"/>
        <v>45863.72917</v>
      </c>
      <c r="BG363" s="19">
        <f t="shared" si="363"/>
        <v>45863.75</v>
      </c>
      <c r="BH363" s="19">
        <f t="shared" si="363"/>
        <v>45863.77083</v>
      </c>
      <c r="BI363" s="19">
        <f t="shared" si="363"/>
        <v>45863.79167</v>
      </c>
      <c r="BJ363" s="19">
        <f t="shared" si="363"/>
        <v>45863.8125</v>
      </c>
      <c r="BK363" s="19">
        <f t="shared" si="363"/>
        <v>45863.83333</v>
      </c>
      <c r="BL363" s="19">
        <f t="shared" si="363"/>
        <v>45863.85417</v>
      </c>
      <c r="BM363" s="19">
        <f t="shared" si="363"/>
        <v>45863.875</v>
      </c>
      <c r="BN363" s="19">
        <f t="shared" si="363"/>
        <v>45863.89583</v>
      </c>
      <c r="BO363" s="19">
        <f t="shared" si="363"/>
        <v>45863.91667</v>
      </c>
      <c r="BP363" s="19">
        <f t="shared" si="363"/>
        <v>45863.9375</v>
      </c>
      <c r="BQ363" s="19">
        <f t="shared" si="363"/>
        <v>45863.95833</v>
      </c>
      <c r="BR363" s="19">
        <f t="shared" si="363"/>
        <v>45863.97917</v>
      </c>
      <c r="BS363" s="19">
        <f t="shared" si="363"/>
        <v>45864</v>
      </c>
      <c r="BT363" s="19">
        <f t="shared" si="363"/>
        <v>45864.02083</v>
      </c>
      <c r="BU363" s="19">
        <f t="shared" si="363"/>
        <v>45864.04167</v>
      </c>
      <c r="BV363" s="19">
        <f t="shared" si="363"/>
        <v>45864.0625</v>
      </c>
      <c r="BW363" s="19">
        <f t="shared" si="363"/>
        <v>45864.08333</v>
      </c>
      <c r="BX363" s="19">
        <f t="shared" si="363"/>
        <v>45863</v>
      </c>
      <c r="BY363" s="19">
        <f t="shared" si="363"/>
        <v>45863</v>
      </c>
      <c r="BZ363" s="19">
        <f t="shared" si="363"/>
        <v>45863</v>
      </c>
    </row>
    <row r="364" ht="14.25" customHeight="1">
      <c r="A364" s="17">
        <v>45864.0</v>
      </c>
      <c r="B364" s="2" t="str">
        <f t="array" ref="B364">IF(NOW()&gt;AM364,"",IF(AND((WEEKDAY($A364)+$B$2)&gt;1,((WEEKDAY($A364)+$T$2)&lt;7),(WEEKDAY($A364)&lt;&gt;1)),"work",(INDEX(Subject!$A:$I,MATCH(RANDBETWEEN(1,(MAX(Subject!$B:$B))),Subject!$B:$B,0),3))))</f>
        <v/>
      </c>
      <c r="C364" s="2" t="str">
        <f t="array" ref="C364">IF(NOW()&gt;AN364,"",IF(AND((WEEKDAY($A364)+$B$2)&gt;1,((WEEKDAY($A364)+$T$2)&lt;7),(WEEKDAY($A364)&lt;&gt;1)),"work",(INDEX(Subject!$A:$I,MATCH(RANDBETWEEN(1,(MAX(Subject!$B:$B))),Subject!$B:$B,0),3))))</f>
        <v/>
      </c>
      <c r="D364" s="2" t="str">
        <f t="array" ref="D364">IF(NOW()&gt;AO364,"",IF(AND((WEEKDAY($A364)+$B$2)&gt;1,((WEEKDAY($A364)+$T$2)&lt;7),(WEEKDAY($A364)&lt;&gt;1)),"work",(INDEX(Subject!$A:$I,MATCH(RANDBETWEEN(1,(MAX(Subject!$B:$B))),Subject!$B:$B,0),3))))</f>
        <v/>
      </c>
      <c r="E364" s="2" t="str">
        <f t="array" ref="E364">IF(NOW()&gt;AP364,"",IF(AND((WEEKDAY($A364)+$B$2)&gt;1,((WEEKDAY($A364)+$T$2)&lt;7),(WEEKDAY($A364)&lt;&gt;1)),"work",(INDEX(Subject!$A:$I,MATCH(RANDBETWEEN(1,(MAX(Subject!$B:$B))),Subject!$B:$B,0),3))))</f>
        <v/>
      </c>
      <c r="F364" s="2" t="str">
        <f t="array" ref="F364">IF(NOW()&gt;AQ364,"",IF(AND((WEEKDAY($A364)+$B$2)&gt;1,((WEEKDAY($A364)+$T$2)&lt;7),(WEEKDAY($A364)&lt;&gt;1)),"work",(INDEX(Subject!$A:$I,MATCH(RANDBETWEEN(1,(MAX(Subject!$B:$B))),Subject!$B:$B,0),3))))</f>
        <v/>
      </c>
      <c r="G364" s="2" t="str">
        <f t="array" ref="G364">IF(NOW()&gt;AR364,"",IF(AND((WEEKDAY($A364)+$B$2)&gt;1,((WEEKDAY($A364)+$T$2)&lt;7),(WEEKDAY($A364)&lt;&gt;1)),"work",(INDEX(Subject!$A:$I,MATCH(RANDBETWEEN(1,(MAX(Subject!$B:$B))),Subject!$B:$B,0),3))))</f>
        <v/>
      </c>
      <c r="H364" s="2" t="str">
        <f t="array" ref="H364">IF(NOW()&gt;AS364,"",IF(AND((WEEKDAY($A364)+$B$2)&gt;1,((WEEKDAY($A364)+$T$2)&lt;7),(WEEKDAY($A364)&lt;&gt;1)),"work",(INDEX(Subject!$A:$I,MATCH(RANDBETWEEN(1,(MAX(Subject!$B:$B))),Subject!$B:$B,0),3))))</f>
        <v/>
      </c>
      <c r="I364" s="2" t="str">
        <f t="array" ref="I364">IF(NOW()&gt;AT364,"",IF(AND((WEEKDAY($A364)+$B$2)&gt;1,((WEEKDAY($A364)+$T$2)&lt;7),(WEEKDAY($A364)&lt;&gt;1)),"work",(INDEX(Subject!$A:$I,MATCH(RANDBETWEEN(1,(MAX(Subject!$B:$B))),Subject!$B:$B,0),3))))</f>
        <v/>
      </c>
      <c r="J364" s="2" t="str">
        <f t="array" ref="J364">IF(NOW()&gt;AU364,"",IF(AND((WEEKDAY($A364)+$B$2)&gt;1,((WEEKDAY($A364)+$T$2)&lt;7),(WEEKDAY($A364)&lt;&gt;1)),"work",(INDEX(Subject!$A:$I,MATCH(RANDBETWEEN(1,(MAX(Subject!$B:$B))),Subject!$B:$B,0),3))))</f>
        <v/>
      </c>
      <c r="K364" s="2" t="str">
        <f t="array" ref="K364">IF(NOW()&gt;AV364,"",IF(AND((WEEKDAY($A364)+$B$2)&gt;1,((WEEKDAY($A364)+$T$2)&lt;7),(WEEKDAY($A364)&lt;&gt;1)),"work",(INDEX(Subject!$A:$I,MATCH(RANDBETWEEN(1,(MAX(Subject!$B:$B))),Subject!$B:$B,0),3))))</f>
        <v/>
      </c>
      <c r="L364" s="2" t="str">
        <f t="array" ref="L364">IF(NOW()&gt;AW364,"",IF(AND((WEEKDAY($A364)+$B$2)&gt;1,((WEEKDAY($A364)+$T$2)&lt;7),(WEEKDAY($A364)&lt;&gt;1)),"work",(INDEX(Subject!$A:$I,MATCH(RANDBETWEEN(1,(MAX(Subject!$B:$B))),Subject!$B:$B,0),3))))</f>
        <v/>
      </c>
      <c r="M364" s="2" t="str">
        <f t="array" ref="M364">IF(NOW()&gt;AX364,"",IF(AND((WEEKDAY($A364)+$B$2)&gt;1,((WEEKDAY($A364)+$T$2)&lt;7),(WEEKDAY($A364)&lt;&gt;1)),"work",(INDEX(Subject!$A:$I,MATCH(RANDBETWEEN(1,(MAX(Subject!$B:$B))),Subject!$B:$B,0),3))))</f>
        <v/>
      </c>
      <c r="N364" s="2" t="str">
        <f t="array" ref="N364">IF(NOW()&gt;AY364,"",IF(AND((WEEKDAY($A364)+$B$2)&gt;1,((WEEKDAY($A364)+$T$2)&lt;7),(WEEKDAY($A364)&lt;&gt;1)),"work",(INDEX(Subject!$A:$I,MATCH(RANDBETWEEN(1,(MAX(Subject!$B:$B))),Subject!$B:$B,0),3))))</f>
        <v/>
      </c>
      <c r="O364" s="2" t="str">
        <f t="array" ref="O364">IF(NOW()&gt;AZ364,"",IF(AND((WEEKDAY($A364)+$B$2)&gt;1,((WEEKDAY($A364)+$T$2)&lt;7),(WEEKDAY($A364)&lt;&gt;1)),"work",(INDEX(Subject!$A:$I,MATCH(RANDBETWEEN(1,(MAX(Subject!$B:$B))),Subject!$B:$B,0),3))))</f>
        <v/>
      </c>
      <c r="P364" s="2" t="str">
        <f t="array" ref="P364">IF(NOW()&gt;BA364,"",IF(AND((WEEKDAY($A364)+$B$2)&gt;1,((WEEKDAY($A364)+$T$2)&lt;7),(WEEKDAY($A364)&lt;&gt;1)),"work",(INDEX(Subject!$A:$I,MATCH(RANDBETWEEN(1,(MAX(Subject!$B:$B))),Subject!$B:$B,0),3))))</f>
        <v/>
      </c>
      <c r="Q364" s="2" t="str">
        <f t="array" ref="Q364">IF(NOW()&gt;BB364,"",IF(AND((WEEKDAY($A364)+$B$2)&gt;1,((WEEKDAY($A364)+$T$2)&lt;7),(WEEKDAY($A364)&lt;&gt;1)),"work",(INDEX(Subject!$A:$I,MATCH(RANDBETWEEN(1,(MAX(Subject!$B:$B))),Subject!$B:$B,0),3))))</f>
        <v/>
      </c>
      <c r="R364" s="2" t="str">
        <f t="array" ref="R364">IF(NOW()&gt;BC364,"",IF(AND((WEEKDAY($A364)+$B$2)&gt;1,((WEEKDAY($A364)+$T$2)&lt;7),(WEEKDAY($A364)&lt;&gt;1)),"work",(INDEX(Subject!$A:$I,MATCH(RANDBETWEEN(1,(MAX(Subject!$B:$B))),Subject!$B:$B,0),3))))</f>
        <v/>
      </c>
      <c r="S364" s="2" t="str">
        <f t="array" ref="S364">IF(NOW()&gt;BD364,"",IF(AND((WEEKDAY($A364)+$B$2)&gt;1,((WEEKDAY($A364)+$T$2)&lt;7),(WEEKDAY($A364)&lt;&gt;1)),"work",(INDEX(Subject!$A:$I,MATCH(RANDBETWEEN(1,(MAX(Subject!$B:$B))),Subject!$B:$B,0),3))))</f>
        <v/>
      </c>
      <c r="T364" s="2" t="str">
        <f t="array" ref="T364">IF(NOW()&gt;BE364,"",IF(AND((WEEKDAY($A364)+$B$2)&gt;1,((WEEKDAY($A364)+$T$2)&lt;7),(WEEKDAY($A364)&lt;&gt;1)),"work",(INDEX(Subject!$A:$I,MATCH(RANDBETWEEN(1,(MAX(Subject!$B:$B))),Subject!$B:$B,0),3))))</f>
        <v/>
      </c>
      <c r="U364" s="8" t="str">
        <f t="array" ref="U364">INDEX(Subject!$A:$I,MATCH(RANDBETWEEN(1,16),Subject!$B:$B,0),3)</f>
        <v>#N/A</v>
      </c>
      <c r="V364" s="8" t="str">
        <f t="array" ref="V364">INDEX(Subject!$A:$I,MATCH(RANDBETWEEN(1,16),Subject!$B:$B,0),3)</f>
        <v>#N/A</v>
      </c>
      <c r="W364" s="8" t="str">
        <f t="array" ref="W364">INDEX(Subject!$A:$I,MATCH(RANDBETWEEN(1,16),Subject!$B:$B,0),3)</f>
        <v>#N/A</v>
      </c>
      <c r="X364" s="8" t="str">
        <f t="array" ref="X364">INDEX(Subject!$A:$I,MATCH(RANDBETWEEN(1,16),Subject!$B:$B,0),3)</f>
        <v>#N/A</v>
      </c>
      <c r="Y364" s="8" t="str">
        <f t="array" ref="Y364">INDEX(Subject!$A:$I,MATCH(RANDBETWEEN(1,16),Subject!$B:$B,0),3)</f>
        <v/>
      </c>
      <c r="Z364" s="8" t="str">
        <f t="array" ref="Z364">INDEX(Subject!$A:$I,MATCH(RANDBETWEEN(1,16),Subject!$B:$B,0),3)</f>
        <v>#N/A</v>
      </c>
      <c r="AA364" s="8" t="str">
        <f t="array" ref="AA364">INDEX(Subject!$A:$I,MATCH(RANDBETWEEN(1,16),Subject!$B:$B,0),3)</f>
        <v>#N/A</v>
      </c>
      <c r="AB364" s="8" t="str">
        <f t="array" ref="AB364">INDEX(Subject!$A:$I,MATCH(RANDBETWEEN(1,16),Subject!$B:$B,0),3)</f>
        <v>#N/A</v>
      </c>
      <c r="AC364" s="8" t="str">
        <f t="array" ref="AC364">INDEX(Subject!$A:$I,MATCH(RANDBETWEEN(1,16),Subject!$B:$B,0),3)</f>
        <v>#N/A</v>
      </c>
      <c r="AD364" s="8" t="str">
        <f t="array" ref="AD364">INDEX(Subject!$A:$I,MATCH(RANDBETWEEN(1,16),Subject!$B:$B,0),3)</f>
        <v>#N/A</v>
      </c>
      <c r="AE364" s="8" t="str">
        <f t="array" ref="AE364">INDEX(Subject!$A:$I,MATCH(RANDBETWEEN(1,16),Subject!$B:$B,0),3)</f>
        <v/>
      </c>
      <c r="AF364" s="8" t="str">
        <f t="array" ref="AF364">INDEX(Subject!$A:$I,MATCH(RANDBETWEEN(1,16),Subject!$B:$B,0),3)</f>
        <v/>
      </c>
      <c r="AG364" s="8" t="str">
        <f t="array" ref="AG364">INDEX(Subject!$A:$I,MATCH(RANDBETWEEN(1,16),Subject!$B:$B,0),3)</f>
        <v/>
      </c>
      <c r="AH364" s="8" t="str">
        <f t="array" ref="AH364">INDEX(Subject!$A:$I,MATCH(RANDBETWEEN(1,16),Subject!$B:$B,0),3)</f>
        <v>#N/A</v>
      </c>
      <c r="AI364" s="8" t="str">
        <f t="array" ref="AI364">INDEX(Subject!$A:$I,MATCH(RANDBETWEEN(1,16),Subject!$B:$B,0),3)</f>
        <v>#N/A</v>
      </c>
      <c r="AJ364" s="8" t="str">
        <f t="array" ref="AJ364">INDEX(Subject!$A:$I,MATCH(RANDBETWEEN(1,16),Subject!$B:$B,0),3)</f>
        <v>#N/A</v>
      </c>
      <c r="AK364" s="8" t="str">
        <f t="array" ref="AK364">INDEX(Subject!$A:$I,MATCH(RANDBETWEEN(1,16),Subject!$B:$B,0),3)</f>
        <v>#N/A</v>
      </c>
      <c r="AL364" s="8" t="str">
        <f t="array" ref="AL364">INDEX(Subject!$A:$I,MATCH(RANDBETWEEN(1,16),Subject!$B:$B,0),3)</f>
        <v>#N/A</v>
      </c>
      <c r="AM364" s="18">
        <f t="shared" si="4"/>
        <v>45864.33333</v>
      </c>
      <c r="AN364" s="19">
        <f t="shared" ref="AN364:BZ364" si="364">$A364+C$1</f>
        <v>45864.35417</v>
      </c>
      <c r="AO364" s="19">
        <f t="shared" si="364"/>
        <v>45864.375</v>
      </c>
      <c r="AP364" s="19">
        <f t="shared" si="364"/>
        <v>45864.39583</v>
      </c>
      <c r="AQ364" s="19">
        <f t="shared" si="364"/>
        <v>45864.41667</v>
      </c>
      <c r="AR364" s="19">
        <f t="shared" si="364"/>
        <v>45864.4375</v>
      </c>
      <c r="AS364" s="19">
        <f t="shared" si="364"/>
        <v>45864.45833</v>
      </c>
      <c r="AT364" s="19">
        <f t="shared" si="364"/>
        <v>45864.47917</v>
      </c>
      <c r="AU364" s="19">
        <f t="shared" si="364"/>
        <v>45864.5</v>
      </c>
      <c r="AV364" s="19">
        <f t="shared" si="364"/>
        <v>45864.52083</v>
      </c>
      <c r="AW364" s="19">
        <f t="shared" si="364"/>
        <v>45864.54167</v>
      </c>
      <c r="AX364" s="19">
        <f t="shared" si="364"/>
        <v>45864.5625</v>
      </c>
      <c r="AY364" s="19">
        <f t="shared" si="364"/>
        <v>45864.58333</v>
      </c>
      <c r="AZ364" s="19">
        <f t="shared" si="364"/>
        <v>45864.60417</v>
      </c>
      <c r="BA364" s="19">
        <f t="shared" si="364"/>
        <v>45864.625</v>
      </c>
      <c r="BB364" s="19">
        <f t="shared" si="364"/>
        <v>45864.64583</v>
      </c>
      <c r="BC364" s="19">
        <f t="shared" si="364"/>
        <v>45864.66667</v>
      </c>
      <c r="BD364" s="19">
        <f t="shared" si="364"/>
        <v>45864.6875</v>
      </c>
      <c r="BE364" s="19">
        <f t="shared" si="364"/>
        <v>45864.70833</v>
      </c>
      <c r="BF364" s="19">
        <f t="shared" si="364"/>
        <v>45864.72917</v>
      </c>
      <c r="BG364" s="19">
        <f t="shared" si="364"/>
        <v>45864.75</v>
      </c>
      <c r="BH364" s="19">
        <f t="shared" si="364"/>
        <v>45864.77083</v>
      </c>
      <c r="BI364" s="19">
        <f t="shared" si="364"/>
        <v>45864.79167</v>
      </c>
      <c r="BJ364" s="19">
        <f t="shared" si="364"/>
        <v>45864.8125</v>
      </c>
      <c r="BK364" s="19">
        <f t="shared" si="364"/>
        <v>45864.83333</v>
      </c>
      <c r="BL364" s="19">
        <f t="shared" si="364"/>
        <v>45864.85417</v>
      </c>
      <c r="BM364" s="19">
        <f t="shared" si="364"/>
        <v>45864.875</v>
      </c>
      <c r="BN364" s="19">
        <f t="shared" si="364"/>
        <v>45864.89583</v>
      </c>
      <c r="BO364" s="19">
        <f t="shared" si="364"/>
        <v>45864.91667</v>
      </c>
      <c r="BP364" s="19">
        <f t="shared" si="364"/>
        <v>45864.9375</v>
      </c>
      <c r="BQ364" s="19">
        <f t="shared" si="364"/>
        <v>45864.95833</v>
      </c>
      <c r="BR364" s="19">
        <f t="shared" si="364"/>
        <v>45864.97917</v>
      </c>
      <c r="BS364" s="19">
        <f t="shared" si="364"/>
        <v>45865</v>
      </c>
      <c r="BT364" s="19">
        <f t="shared" si="364"/>
        <v>45865.02083</v>
      </c>
      <c r="BU364" s="19">
        <f t="shared" si="364"/>
        <v>45865.04167</v>
      </c>
      <c r="BV364" s="19">
        <f t="shared" si="364"/>
        <v>45865.0625</v>
      </c>
      <c r="BW364" s="19">
        <f t="shared" si="364"/>
        <v>45865.08333</v>
      </c>
      <c r="BX364" s="19">
        <f t="shared" si="364"/>
        <v>45864</v>
      </c>
      <c r="BY364" s="19">
        <f t="shared" si="364"/>
        <v>45864</v>
      </c>
      <c r="BZ364" s="19">
        <f t="shared" si="364"/>
        <v>45864</v>
      </c>
    </row>
    <row r="365" ht="14.25" customHeight="1">
      <c r="A365" s="17">
        <v>45865.0</v>
      </c>
      <c r="B365" s="2" t="str">
        <f t="array" ref="B365">IF(NOW()&gt;AM365,"",IF(AND((WEEKDAY($A365)+$B$2)&gt;1,((WEEKDAY($A365)+$T$2)&lt;7),(WEEKDAY($A365)&lt;&gt;1)),"work",(INDEX(Subject!$A:$I,MATCH(RANDBETWEEN(1,(MAX(Subject!$B:$B))),Subject!$B:$B,0),3))))</f>
        <v/>
      </c>
      <c r="C365" s="2" t="str">
        <f t="array" ref="C365">IF(NOW()&gt;AN365,"",IF(AND((WEEKDAY($A365)+$B$2)&gt;1,((WEEKDAY($A365)+$T$2)&lt;7),(WEEKDAY($A365)&lt;&gt;1)),"work",(INDEX(Subject!$A:$I,MATCH(RANDBETWEEN(1,(MAX(Subject!$B:$B))),Subject!$B:$B,0),3))))</f>
        <v/>
      </c>
      <c r="D365" s="2" t="str">
        <f t="array" ref="D365">IF(NOW()&gt;AO365,"",IF(AND((WEEKDAY($A365)+$B$2)&gt;1,((WEEKDAY($A365)+$T$2)&lt;7),(WEEKDAY($A365)&lt;&gt;1)),"work",(INDEX(Subject!$A:$I,MATCH(RANDBETWEEN(1,(MAX(Subject!$B:$B))),Subject!$B:$B,0),3))))</f>
        <v/>
      </c>
      <c r="E365" s="2" t="str">
        <f t="array" ref="E365">IF(NOW()&gt;AP365,"",IF(AND((WEEKDAY($A365)+$B$2)&gt;1,((WEEKDAY($A365)+$T$2)&lt;7),(WEEKDAY($A365)&lt;&gt;1)),"work",(INDEX(Subject!$A:$I,MATCH(RANDBETWEEN(1,(MAX(Subject!$B:$B))),Subject!$B:$B,0),3))))</f>
        <v/>
      </c>
      <c r="F365" s="2" t="str">
        <f t="array" ref="F365">IF(NOW()&gt;AQ365,"",IF(AND((WEEKDAY($A365)+$B$2)&gt;1,((WEEKDAY($A365)+$T$2)&lt;7),(WEEKDAY($A365)&lt;&gt;1)),"work",(INDEX(Subject!$A:$I,MATCH(RANDBETWEEN(1,(MAX(Subject!$B:$B))),Subject!$B:$B,0),3))))</f>
        <v/>
      </c>
      <c r="G365" s="2" t="str">
        <f t="array" ref="G365">IF(NOW()&gt;AR365,"",IF(AND((WEEKDAY($A365)+$B$2)&gt;1,((WEEKDAY($A365)+$T$2)&lt;7),(WEEKDAY($A365)&lt;&gt;1)),"work",(INDEX(Subject!$A:$I,MATCH(RANDBETWEEN(1,(MAX(Subject!$B:$B))),Subject!$B:$B,0),3))))</f>
        <v/>
      </c>
      <c r="H365" s="2" t="str">
        <f t="array" ref="H365">IF(NOW()&gt;AS365,"",IF(AND((WEEKDAY($A365)+$B$2)&gt;1,((WEEKDAY($A365)+$T$2)&lt;7),(WEEKDAY($A365)&lt;&gt;1)),"work",(INDEX(Subject!$A:$I,MATCH(RANDBETWEEN(1,(MAX(Subject!$B:$B))),Subject!$B:$B,0),3))))</f>
        <v/>
      </c>
      <c r="I365" s="2" t="str">
        <f t="array" ref="I365">IF(NOW()&gt;AT365,"",IF(AND((WEEKDAY($A365)+$B$2)&gt;1,((WEEKDAY($A365)+$T$2)&lt;7),(WEEKDAY($A365)&lt;&gt;1)),"work",(INDEX(Subject!$A:$I,MATCH(RANDBETWEEN(1,(MAX(Subject!$B:$B))),Subject!$B:$B,0),3))))</f>
        <v/>
      </c>
      <c r="J365" s="2" t="str">
        <f t="array" ref="J365">IF(NOW()&gt;AU365,"",IF(AND((WEEKDAY($A365)+$B$2)&gt;1,((WEEKDAY($A365)+$T$2)&lt;7),(WEEKDAY($A365)&lt;&gt;1)),"work",(INDEX(Subject!$A:$I,MATCH(RANDBETWEEN(1,(MAX(Subject!$B:$B))),Subject!$B:$B,0),3))))</f>
        <v/>
      </c>
      <c r="K365" s="2" t="str">
        <f t="array" ref="K365">IF(NOW()&gt;AV365,"",IF(AND((WEEKDAY($A365)+$B$2)&gt;1,((WEEKDAY($A365)+$T$2)&lt;7),(WEEKDAY($A365)&lt;&gt;1)),"work",(INDEX(Subject!$A:$I,MATCH(RANDBETWEEN(1,(MAX(Subject!$B:$B))),Subject!$B:$B,0),3))))</f>
        <v/>
      </c>
      <c r="L365" s="2" t="str">
        <f t="array" ref="L365">IF(NOW()&gt;AW365,"",IF(AND((WEEKDAY($A365)+$B$2)&gt;1,((WEEKDAY($A365)+$T$2)&lt;7),(WEEKDAY($A365)&lt;&gt;1)),"work",(INDEX(Subject!$A:$I,MATCH(RANDBETWEEN(1,(MAX(Subject!$B:$B))),Subject!$B:$B,0),3))))</f>
        <v/>
      </c>
      <c r="M365" s="2" t="str">
        <f t="array" ref="M365">IF(NOW()&gt;AX365,"",IF(AND((WEEKDAY($A365)+$B$2)&gt;1,((WEEKDAY($A365)+$T$2)&lt;7),(WEEKDAY($A365)&lt;&gt;1)),"work",(INDEX(Subject!$A:$I,MATCH(RANDBETWEEN(1,(MAX(Subject!$B:$B))),Subject!$B:$B,0),3))))</f>
        <v/>
      </c>
      <c r="N365" s="2" t="str">
        <f t="array" ref="N365">IF(NOW()&gt;AY365,"",IF(AND((WEEKDAY($A365)+$B$2)&gt;1,((WEEKDAY($A365)+$T$2)&lt;7),(WEEKDAY($A365)&lt;&gt;1)),"work",(INDEX(Subject!$A:$I,MATCH(RANDBETWEEN(1,(MAX(Subject!$B:$B))),Subject!$B:$B,0),3))))</f>
        <v/>
      </c>
      <c r="O365" s="2" t="str">
        <f t="array" ref="O365">IF(NOW()&gt;AZ365,"",IF(AND((WEEKDAY($A365)+$B$2)&gt;1,((WEEKDAY($A365)+$T$2)&lt;7),(WEEKDAY($A365)&lt;&gt;1)),"work",(INDEX(Subject!$A:$I,MATCH(RANDBETWEEN(1,(MAX(Subject!$B:$B))),Subject!$B:$B,0),3))))</f>
        <v/>
      </c>
      <c r="P365" s="2" t="str">
        <f t="array" ref="P365">IF(NOW()&gt;BA365,"",IF(AND((WEEKDAY($A365)+$B$2)&gt;1,((WEEKDAY($A365)+$T$2)&lt;7),(WEEKDAY($A365)&lt;&gt;1)),"work",(INDEX(Subject!$A:$I,MATCH(RANDBETWEEN(1,(MAX(Subject!$B:$B))),Subject!$B:$B,0),3))))</f>
        <v/>
      </c>
      <c r="Q365" s="2" t="str">
        <f t="array" ref="Q365">IF(NOW()&gt;BB365,"",IF(AND((WEEKDAY($A365)+$B$2)&gt;1,((WEEKDAY($A365)+$T$2)&lt;7),(WEEKDAY($A365)&lt;&gt;1)),"work",(INDEX(Subject!$A:$I,MATCH(RANDBETWEEN(1,(MAX(Subject!$B:$B))),Subject!$B:$B,0),3))))</f>
        <v/>
      </c>
      <c r="R365" s="2" t="str">
        <f t="array" ref="R365">IF(NOW()&gt;BC365,"",IF(AND((WEEKDAY($A365)+$B$2)&gt;1,((WEEKDAY($A365)+$T$2)&lt;7),(WEEKDAY($A365)&lt;&gt;1)),"work",(INDEX(Subject!$A:$I,MATCH(RANDBETWEEN(1,(MAX(Subject!$B:$B))),Subject!$B:$B,0),3))))</f>
        <v/>
      </c>
      <c r="S365" s="2" t="str">
        <f t="array" ref="S365">IF(NOW()&gt;BD365,"",IF(AND((WEEKDAY($A365)+$B$2)&gt;1,((WEEKDAY($A365)+$T$2)&lt;7),(WEEKDAY($A365)&lt;&gt;1)),"work",(INDEX(Subject!$A:$I,MATCH(RANDBETWEEN(1,(MAX(Subject!$B:$B))),Subject!$B:$B,0),3))))</f>
        <v/>
      </c>
      <c r="T365" s="2" t="str">
        <f t="array" ref="T365">IF(NOW()&gt;BE365,"",IF(AND((WEEKDAY($A365)+$B$2)&gt;1,((WEEKDAY($A365)+$T$2)&lt;7),(WEEKDAY($A365)&lt;&gt;1)),"work",(INDEX(Subject!$A:$I,MATCH(RANDBETWEEN(1,(MAX(Subject!$B:$B))),Subject!$B:$B,0),3))))</f>
        <v/>
      </c>
      <c r="U365" s="8" t="str">
        <f t="array" ref="U365">INDEX(Subject!$A:$I,MATCH(RANDBETWEEN(1,16),Subject!$B:$B,0),3)</f>
        <v>#N/A</v>
      </c>
      <c r="V365" s="8" t="str">
        <f t="array" ref="V365">INDEX(Subject!$A:$I,MATCH(RANDBETWEEN(1,16),Subject!$B:$B,0),3)</f>
        <v>#N/A</v>
      </c>
      <c r="W365" s="8" t="str">
        <f t="array" ref="W365">INDEX(Subject!$A:$I,MATCH(RANDBETWEEN(1,16),Subject!$B:$B,0),3)</f>
        <v>#N/A</v>
      </c>
      <c r="X365" s="8" t="str">
        <f t="array" ref="X365">INDEX(Subject!$A:$I,MATCH(RANDBETWEEN(1,16),Subject!$B:$B,0),3)</f>
        <v>#N/A</v>
      </c>
      <c r="Y365" s="8" t="str">
        <f t="array" ref="Y365">INDEX(Subject!$A:$I,MATCH(RANDBETWEEN(1,16),Subject!$B:$B,0),3)</f>
        <v>#N/A</v>
      </c>
      <c r="Z365" s="8" t="str">
        <f t="array" ref="Z365">INDEX(Subject!$A:$I,MATCH(RANDBETWEEN(1,16),Subject!$B:$B,0),3)</f>
        <v>#N/A</v>
      </c>
      <c r="AA365" s="8" t="str">
        <f t="array" ref="AA365">INDEX(Subject!$A:$I,MATCH(RANDBETWEEN(1,16),Subject!$B:$B,0),3)</f>
        <v>#N/A</v>
      </c>
      <c r="AB365" s="8" t="str">
        <f t="array" ref="AB365">INDEX(Subject!$A:$I,MATCH(RANDBETWEEN(1,16),Subject!$B:$B,0),3)</f>
        <v>#N/A</v>
      </c>
      <c r="AC365" s="8" t="str">
        <f t="array" ref="AC365">INDEX(Subject!$A:$I,MATCH(RANDBETWEEN(1,16),Subject!$B:$B,0),3)</f>
        <v>#N/A</v>
      </c>
      <c r="AD365" s="8" t="str">
        <f t="array" ref="AD365">INDEX(Subject!$A:$I,MATCH(RANDBETWEEN(1,16),Subject!$B:$B,0),3)</f>
        <v>#N/A</v>
      </c>
      <c r="AE365" s="8" t="str">
        <f t="array" ref="AE365">INDEX(Subject!$A:$I,MATCH(RANDBETWEEN(1,16),Subject!$B:$B,0),3)</f>
        <v>#N/A</v>
      </c>
      <c r="AF365" s="8" t="str">
        <f t="array" ref="AF365">INDEX(Subject!$A:$I,MATCH(RANDBETWEEN(1,16),Subject!$B:$B,0),3)</f>
        <v>#N/A</v>
      </c>
      <c r="AG365" s="8" t="str">
        <f t="array" ref="AG365">INDEX(Subject!$A:$I,MATCH(RANDBETWEEN(1,16),Subject!$B:$B,0),3)</f>
        <v>#N/A</v>
      </c>
      <c r="AH365" s="8" t="str">
        <f t="array" ref="AH365">INDEX(Subject!$A:$I,MATCH(RANDBETWEEN(1,16),Subject!$B:$B,0),3)</f>
        <v>#N/A</v>
      </c>
      <c r="AI365" s="8" t="str">
        <f t="array" ref="AI365">INDEX(Subject!$A:$I,MATCH(RANDBETWEEN(1,16),Subject!$B:$B,0),3)</f>
        <v>#N/A</v>
      </c>
      <c r="AJ365" s="8" t="str">
        <f t="array" ref="AJ365">INDEX(Subject!$A:$I,MATCH(RANDBETWEEN(1,16),Subject!$B:$B,0),3)</f>
        <v>#N/A</v>
      </c>
      <c r="AK365" s="8" t="str">
        <f t="array" ref="AK365">INDEX(Subject!$A:$I,MATCH(RANDBETWEEN(1,16),Subject!$B:$B,0),3)</f>
        <v>#N/A</v>
      </c>
      <c r="AL365" s="8" t="str">
        <f t="array" ref="AL365">INDEX(Subject!$A:$I,MATCH(RANDBETWEEN(1,16),Subject!$B:$B,0),3)</f>
        <v/>
      </c>
      <c r="AM365" s="18">
        <f t="shared" si="4"/>
        <v>45865.33333</v>
      </c>
      <c r="AN365" s="19">
        <f t="shared" ref="AN365:BZ365" si="365">$A365+C$1</f>
        <v>45865.35417</v>
      </c>
      <c r="AO365" s="19">
        <f t="shared" si="365"/>
        <v>45865.375</v>
      </c>
      <c r="AP365" s="19">
        <f t="shared" si="365"/>
        <v>45865.39583</v>
      </c>
      <c r="AQ365" s="19">
        <f t="shared" si="365"/>
        <v>45865.41667</v>
      </c>
      <c r="AR365" s="19">
        <f t="shared" si="365"/>
        <v>45865.4375</v>
      </c>
      <c r="AS365" s="19">
        <f t="shared" si="365"/>
        <v>45865.45833</v>
      </c>
      <c r="AT365" s="19">
        <f t="shared" si="365"/>
        <v>45865.47917</v>
      </c>
      <c r="AU365" s="19">
        <f t="shared" si="365"/>
        <v>45865.5</v>
      </c>
      <c r="AV365" s="19">
        <f t="shared" si="365"/>
        <v>45865.52083</v>
      </c>
      <c r="AW365" s="19">
        <f t="shared" si="365"/>
        <v>45865.54167</v>
      </c>
      <c r="AX365" s="19">
        <f t="shared" si="365"/>
        <v>45865.5625</v>
      </c>
      <c r="AY365" s="19">
        <f t="shared" si="365"/>
        <v>45865.58333</v>
      </c>
      <c r="AZ365" s="19">
        <f t="shared" si="365"/>
        <v>45865.60417</v>
      </c>
      <c r="BA365" s="19">
        <f t="shared" si="365"/>
        <v>45865.625</v>
      </c>
      <c r="BB365" s="19">
        <f t="shared" si="365"/>
        <v>45865.64583</v>
      </c>
      <c r="BC365" s="19">
        <f t="shared" si="365"/>
        <v>45865.66667</v>
      </c>
      <c r="BD365" s="19">
        <f t="shared" si="365"/>
        <v>45865.6875</v>
      </c>
      <c r="BE365" s="19">
        <f t="shared" si="365"/>
        <v>45865.70833</v>
      </c>
      <c r="BF365" s="19">
        <f t="shared" si="365"/>
        <v>45865.72917</v>
      </c>
      <c r="BG365" s="19">
        <f t="shared" si="365"/>
        <v>45865.75</v>
      </c>
      <c r="BH365" s="19">
        <f t="shared" si="365"/>
        <v>45865.77083</v>
      </c>
      <c r="BI365" s="19">
        <f t="shared" si="365"/>
        <v>45865.79167</v>
      </c>
      <c r="BJ365" s="19">
        <f t="shared" si="365"/>
        <v>45865.8125</v>
      </c>
      <c r="BK365" s="19">
        <f t="shared" si="365"/>
        <v>45865.83333</v>
      </c>
      <c r="BL365" s="19">
        <f t="shared" si="365"/>
        <v>45865.85417</v>
      </c>
      <c r="BM365" s="19">
        <f t="shared" si="365"/>
        <v>45865.875</v>
      </c>
      <c r="BN365" s="19">
        <f t="shared" si="365"/>
        <v>45865.89583</v>
      </c>
      <c r="BO365" s="19">
        <f t="shared" si="365"/>
        <v>45865.91667</v>
      </c>
      <c r="BP365" s="19">
        <f t="shared" si="365"/>
        <v>45865.9375</v>
      </c>
      <c r="BQ365" s="19">
        <f t="shared" si="365"/>
        <v>45865.95833</v>
      </c>
      <c r="BR365" s="19">
        <f t="shared" si="365"/>
        <v>45865.97917</v>
      </c>
      <c r="BS365" s="19">
        <f t="shared" si="365"/>
        <v>45866</v>
      </c>
      <c r="BT365" s="19">
        <f t="shared" si="365"/>
        <v>45866.02083</v>
      </c>
      <c r="BU365" s="19">
        <f t="shared" si="365"/>
        <v>45866.04167</v>
      </c>
      <c r="BV365" s="19">
        <f t="shared" si="365"/>
        <v>45866.0625</v>
      </c>
      <c r="BW365" s="19">
        <f t="shared" si="365"/>
        <v>45866.08333</v>
      </c>
      <c r="BX365" s="19">
        <f t="shared" si="365"/>
        <v>45865</v>
      </c>
      <c r="BY365" s="19">
        <f t="shared" si="365"/>
        <v>45865</v>
      </c>
      <c r="BZ365" s="19">
        <f t="shared" si="365"/>
        <v>45865</v>
      </c>
    </row>
    <row r="366" ht="14.25" customHeight="1">
      <c r="A366" s="17">
        <v>45866.0</v>
      </c>
      <c r="B366" s="2" t="str">
        <f t="array" ref="B366">IF(NOW()&gt;AM366,"",IF(AND((WEEKDAY($A366)+$B$2)&gt;1,((WEEKDAY($A366)+$T$2)&lt;7),(WEEKDAY($A366)&lt;&gt;1)),"work",(INDEX(Subject!$A:$I,MATCH(RANDBETWEEN(1,(MAX(Subject!$B:$B))),Subject!$B:$B,0),3))))</f>
        <v/>
      </c>
      <c r="C366" s="2" t="str">
        <f t="array" ref="C366">IF(NOW()&gt;AN366,"",IF(AND((WEEKDAY($A366)+$B$2)&gt;1,((WEEKDAY($A366)+$T$2)&lt;7),(WEEKDAY($A366)&lt;&gt;1)),"work",(INDEX(Subject!$A:$I,MATCH(RANDBETWEEN(1,(MAX(Subject!$B:$B))),Subject!$B:$B,0),3))))</f>
        <v/>
      </c>
      <c r="D366" s="2" t="str">
        <f t="array" ref="D366">IF(NOW()&gt;AO366,"",IF(AND((WEEKDAY($A366)+$B$2)&gt;1,((WEEKDAY($A366)+$T$2)&lt;7),(WEEKDAY($A366)&lt;&gt;1)),"work",(INDEX(Subject!$A:$I,MATCH(RANDBETWEEN(1,(MAX(Subject!$B:$B))),Subject!$B:$B,0),3))))</f>
        <v/>
      </c>
      <c r="E366" s="2" t="str">
        <f t="array" ref="E366">IF(NOW()&gt;AP366,"",IF(AND((WEEKDAY($A366)+$B$2)&gt;1,((WEEKDAY($A366)+$T$2)&lt;7),(WEEKDAY($A366)&lt;&gt;1)),"work",(INDEX(Subject!$A:$I,MATCH(RANDBETWEEN(1,(MAX(Subject!$B:$B))),Subject!$B:$B,0),3))))</f>
        <v/>
      </c>
      <c r="F366" s="2" t="str">
        <f t="array" ref="F366">IF(NOW()&gt;AQ366,"",IF(AND((WEEKDAY($A366)+$B$2)&gt;1,((WEEKDAY($A366)+$T$2)&lt;7),(WEEKDAY($A366)&lt;&gt;1)),"work",(INDEX(Subject!$A:$I,MATCH(RANDBETWEEN(1,(MAX(Subject!$B:$B))),Subject!$B:$B,0),3))))</f>
        <v/>
      </c>
      <c r="G366" s="2" t="str">
        <f t="array" ref="G366">IF(NOW()&gt;AR366,"",IF(AND((WEEKDAY($A366)+$B$2)&gt;1,((WEEKDAY($A366)+$T$2)&lt;7),(WEEKDAY($A366)&lt;&gt;1)),"work",(INDEX(Subject!$A:$I,MATCH(RANDBETWEEN(1,(MAX(Subject!$B:$B))),Subject!$B:$B,0),3))))</f>
        <v/>
      </c>
      <c r="H366" s="2" t="str">
        <f t="array" ref="H366">IF(NOW()&gt;AS366,"",IF(AND((WEEKDAY($A366)+$B$2)&gt;1,((WEEKDAY($A366)+$T$2)&lt;7),(WEEKDAY($A366)&lt;&gt;1)),"work",(INDEX(Subject!$A:$I,MATCH(RANDBETWEEN(1,(MAX(Subject!$B:$B))),Subject!$B:$B,0),3))))</f>
        <v/>
      </c>
      <c r="I366" s="2" t="str">
        <f t="array" ref="I366">IF(NOW()&gt;AT366,"",IF(AND((WEEKDAY($A366)+$B$2)&gt;1,((WEEKDAY($A366)+$T$2)&lt;7),(WEEKDAY($A366)&lt;&gt;1)),"work",(INDEX(Subject!$A:$I,MATCH(RANDBETWEEN(1,(MAX(Subject!$B:$B))),Subject!$B:$B,0),3))))</f>
        <v/>
      </c>
      <c r="J366" s="2" t="str">
        <f t="array" ref="J366">IF(NOW()&gt;AU366,"",IF(AND((WEEKDAY($A366)+$B$2)&gt;1,((WEEKDAY($A366)+$T$2)&lt;7),(WEEKDAY($A366)&lt;&gt;1)),"work",(INDEX(Subject!$A:$I,MATCH(RANDBETWEEN(1,(MAX(Subject!$B:$B))),Subject!$B:$B,0),3))))</f>
        <v/>
      </c>
      <c r="K366" s="2" t="str">
        <f t="array" ref="K366">IF(NOW()&gt;AV366,"",IF(AND((WEEKDAY($A366)+$B$2)&gt;1,((WEEKDAY($A366)+$T$2)&lt;7),(WEEKDAY($A366)&lt;&gt;1)),"work",(INDEX(Subject!$A:$I,MATCH(RANDBETWEEN(1,(MAX(Subject!$B:$B))),Subject!$B:$B,0),3))))</f>
        <v/>
      </c>
      <c r="L366" s="2" t="str">
        <f t="array" ref="L366">IF(NOW()&gt;AW366,"",IF(AND((WEEKDAY($A366)+$B$2)&gt;1,((WEEKDAY($A366)+$T$2)&lt;7),(WEEKDAY($A366)&lt;&gt;1)),"work",(INDEX(Subject!$A:$I,MATCH(RANDBETWEEN(1,(MAX(Subject!$B:$B))),Subject!$B:$B,0),3))))</f>
        <v/>
      </c>
      <c r="M366" s="2" t="str">
        <f t="array" ref="M366">IF(NOW()&gt;AX366,"",IF(AND((WEEKDAY($A366)+$B$2)&gt;1,((WEEKDAY($A366)+$T$2)&lt;7),(WEEKDAY($A366)&lt;&gt;1)),"work",(INDEX(Subject!$A:$I,MATCH(RANDBETWEEN(1,(MAX(Subject!$B:$B))),Subject!$B:$B,0),3))))</f>
        <v/>
      </c>
      <c r="N366" s="2" t="str">
        <f t="array" ref="N366">IF(NOW()&gt;AY366,"",IF(AND((WEEKDAY($A366)+$B$2)&gt;1,((WEEKDAY($A366)+$T$2)&lt;7),(WEEKDAY($A366)&lt;&gt;1)),"work",(INDEX(Subject!$A:$I,MATCH(RANDBETWEEN(1,(MAX(Subject!$B:$B))),Subject!$B:$B,0),3))))</f>
        <v/>
      </c>
      <c r="O366" s="2" t="str">
        <f t="array" ref="O366">IF(NOW()&gt;AZ366,"",IF(AND((WEEKDAY($A366)+$B$2)&gt;1,((WEEKDAY($A366)+$T$2)&lt;7),(WEEKDAY($A366)&lt;&gt;1)),"work",(INDEX(Subject!$A:$I,MATCH(RANDBETWEEN(1,(MAX(Subject!$B:$B))),Subject!$B:$B,0),3))))</f>
        <v/>
      </c>
      <c r="P366" s="2" t="str">
        <f t="array" ref="P366">IF(NOW()&gt;BA366,"",IF(AND((WEEKDAY($A366)+$B$2)&gt;1,((WEEKDAY($A366)+$T$2)&lt;7),(WEEKDAY($A366)&lt;&gt;1)),"work",(INDEX(Subject!$A:$I,MATCH(RANDBETWEEN(1,(MAX(Subject!$B:$B))),Subject!$B:$B,0),3))))</f>
        <v/>
      </c>
      <c r="Q366" s="2" t="str">
        <f t="array" ref="Q366">IF(NOW()&gt;BB366,"",IF(AND((WEEKDAY($A366)+$B$2)&gt;1,((WEEKDAY($A366)+$T$2)&lt;7),(WEEKDAY($A366)&lt;&gt;1)),"work",(INDEX(Subject!$A:$I,MATCH(RANDBETWEEN(1,(MAX(Subject!$B:$B))),Subject!$B:$B,0),3))))</f>
        <v/>
      </c>
      <c r="R366" s="2" t="str">
        <f t="array" ref="R366">IF(NOW()&gt;BC366,"",IF(AND((WEEKDAY($A366)+$B$2)&gt;1,((WEEKDAY($A366)+$T$2)&lt;7),(WEEKDAY($A366)&lt;&gt;1)),"work",(INDEX(Subject!$A:$I,MATCH(RANDBETWEEN(1,(MAX(Subject!$B:$B))),Subject!$B:$B,0),3))))</f>
        <v/>
      </c>
      <c r="S366" s="2" t="str">
        <f t="array" ref="S366">IF(NOW()&gt;BD366,"",IF(AND((WEEKDAY($A366)+$B$2)&gt;1,((WEEKDAY($A366)+$T$2)&lt;7),(WEEKDAY($A366)&lt;&gt;1)),"work",(INDEX(Subject!$A:$I,MATCH(RANDBETWEEN(1,(MAX(Subject!$B:$B))),Subject!$B:$B,0),3))))</f>
        <v/>
      </c>
      <c r="T366" s="2" t="str">
        <f t="array" ref="T366">IF(NOW()&gt;BE366,"",IF(AND((WEEKDAY($A366)+$B$2)&gt;1,((WEEKDAY($A366)+$T$2)&lt;7),(WEEKDAY($A366)&lt;&gt;1)),"work",(INDEX(Subject!$A:$I,MATCH(RANDBETWEEN(1,(MAX(Subject!$B:$B))),Subject!$B:$B,0),3))))</f>
        <v/>
      </c>
      <c r="U366" s="8" t="str">
        <f t="array" ref="U366">INDEX(Subject!$A:$I,MATCH(RANDBETWEEN(1,16),Subject!$B:$B,0),3)</f>
        <v>#N/A</v>
      </c>
      <c r="V366" s="8" t="str">
        <f t="array" ref="V366">INDEX(Subject!$A:$I,MATCH(RANDBETWEEN(1,16),Subject!$B:$B,0),3)</f>
        <v>#N/A</v>
      </c>
      <c r="W366" s="8" t="str">
        <f t="array" ref="W366">INDEX(Subject!$A:$I,MATCH(RANDBETWEEN(1,16),Subject!$B:$B,0),3)</f>
        <v>#N/A</v>
      </c>
      <c r="X366" s="8" t="str">
        <f t="array" ref="X366">INDEX(Subject!$A:$I,MATCH(RANDBETWEEN(1,16),Subject!$B:$B,0),3)</f>
        <v>#N/A</v>
      </c>
      <c r="Y366" s="8" t="str">
        <f t="array" ref="Y366">INDEX(Subject!$A:$I,MATCH(RANDBETWEEN(1,16),Subject!$B:$B,0),3)</f>
        <v>#N/A</v>
      </c>
      <c r="Z366" s="8" t="str">
        <f t="array" ref="Z366">INDEX(Subject!$A:$I,MATCH(RANDBETWEEN(1,16),Subject!$B:$B,0),3)</f>
        <v>#N/A</v>
      </c>
      <c r="AA366" s="8" t="str">
        <f t="array" ref="AA366">INDEX(Subject!$A:$I,MATCH(RANDBETWEEN(1,16),Subject!$B:$B,0),3)</f>
        <v>#N/A</v>
      </c>
      <c r="AB366" s="8" t="str">
        <f t="array" ref="AB366">INDEX(Subject!$A:$I,MATCH(RANDBETWEEN(1,16),Subject!$B:$B,0),3)</f>
        <v>#N/A</v>
      </c>
      <c r="AC366" s="8" t="str">
        <f t="array" ref="AC366">INDEX(Subject!$A:$I,MATCH(RANDBETWEEN(1,16),Subject!$B:$B,0),3)</f>
        <v>#N/A</v>
      </c>
      <c r="AD366" s="8" t="str">
        <f t="array" ref="AD366">INDEX(Subject!$A:$I,MATCH(RANDBETWEEN(1,16),Subject!$B:$B,0),3)</f>
        <v>#N/A</v>
      </c>
      <c r="AE366" s="8" t="str">
        <f t="array" ref="AE366">INDEX(Subject!$A:$I,MATCH(RANDBETWEEN(1,16),Subject!$B:$B,0),3)</f>
        <v>#N/A</v>
      </c>
      <c r="AF366" s="8" t="str">
        <f t="array" ref="AF366">INDEX(Subject!$A:$I,MATCH(RANDBETWEEN(1,16),Subject!$B:$B,0),3)</f>
        <v>#N/A</v>
      </c>
      <c r="AG366" s="8" t="str">
        <f t="array" ref="AG366">INDEX(Subject!$A:$I,MATCH(RANDBETWEEN(1,16),Subject!$B:$B,0),3)</f>
        <v>#N/A</v>
      </c>
      <c r="AH366" s="8" t="str">
        <f t="array" ref="AH366">INDEX(Subject!$A:$I,MATCH(RANDBETWEEN(1,16),Subject!$B:$B,0),3)</f>
        <v>#N/A</v>
      </c>
      <c r="AI366" s="8" t="str">
        <f t="array" ref="AI366">INDEX(Subject!$A:$I,MATCH(RANDBETWEEN(1,16),Subject!$B:$B,0),3)</f>
        <v>#N/A</v>
      </c>
      <c r="AJ366" s="8" t="str">
        <f t="array" ref="AJ366">INDEX(Subject!$A:$I,MATCH(RANDBETWEEN(1,16),Subject!$B:$B,0),3)</f>
        <v>#N/A</v>
      </c>
      <c r="AK366" s="8" t="str">
        <f t="array" ref="AK366">INDEX(Subject!$A:$I,MATCH(RANDBETWEEN(1,16),Subject!$B:$B,0),3)</f>
        <v>#N/A</v>
      </c>
      <c r="AL366" s="8" t="str">
        <f t="array" ref="AL366">INDEX(Subject!$A:$I,MATCH(RANDBETWEEN(1,16),Subject!$B:$B,0),3)</f>
        <v>#N/A</v>
      </c>
      <c r="AM366" s="18">
        <f t="shared" si="4"/>
        <v>45866.33333</v>
      </c>
      <c r="AN366" s="19">
        <f t="shared" ref="AN366:BZ366" si="366">$A366+C$1</f>
        <v>45866.35417</v>
      </c>
      <c r="AO366" s="19">
        <f t="shared" si="366"/>
        <v>45866.375</v>
      </c>
      <c r="AP366" s="19">
        <f t="shared" si="366"/>
        <v>45866.39583</v>
      </c>
      <c r="AQ366" s="19">
        <f t="shared" si="366"/>
        <v>45866.41667</v>
      </c>
      <c r="AR366" s="19">
        <f t="shared" si="366"/>
        <v>45866.4375</v>
      </c>
      <c r="AS366" s="19">
        <f t="shared" si="366"/>
        <v>45866.45833</v>
      </c>
      <c r="AT366" s="19">
        <f t="shared" si="366"/>
        <v>45866.47917</v>
      </c>
      <c r="AU366" s="19">
        <f t="shared" si="366"/>
        <v>45866.5</v>
      </c>
      <c r="AV366" s="19">
        <f t="shared" si="366"/>
        <v>45866.52083</v>
      </c>
      <c r="AW366" s="19">
        <f t="shared" si="366"/>
        <v>45866.54167</v>
      </c>
      <c r="AX366" s="19">
        <f t="shared" si="366"/>
        <v>45866.5625</v>
      </c>
      <c r="AY366" s="19">
        <f t="shared" si="366"/>
        <v>45866.58333</v>
      </c>
      <c r="AZ366" s="19">
        <f t="shared" si="366"/>
        <v>45866.60417</v>
      </c>
      <c r="BA366" s="19">
        <f t="shared" si="366"/>
        <v>45866.625</v>
      </c>
      <c r="BB366" s="19">
        <f t="shared" si="366"/>
        <v>45866.64583</v>
      </c>
      <c r="BC366" s="19">
        <f t="shared" si="366"/>
        <v>45866.66667</v>
      </c>
      <c r="BD366" s="19">
        <f t="shared" si="366"/>
        <v>45866.6875</v>
      </c>
      <c r="BE366" s="19">
        <f t="shared" si="366"/>
        <v>45866.70833</v>
      </c>
      <c r="BF366" s="19">
        <f t="shared" si="366"/>
        <v>45866.72917</v>
      </c>
      <c r="BG366" s="19">
        <f t="shared" si="366"/>
        <v>45866.75</v>
      </c>
      <c r="BH366" s="19">
        <f t="shared" si="366"/>
        <v>45866.77083</v>
      </c>
      <c r="BI366" s="19">
        <f t="shared" si="366"/>
        <v>45866.79167</v>
      </c>
      <c r="BJ366" s="19">
        <f t="shared" si="366"/>
        <v>45866.8125</v>
      </c>
      <c r="BK366" s="19">
        <f t="shared" si="366"/>
        <v>45866.83333</v>
      </c>
      <c r="BL366" s="19">
        <f t="shared" si="366"/>
        <v>45866.85417</v>
      </c>
      <c r="BM366" s="19">
        <f t="shared" si="366"/>
        <v>45866.875</v>
      </c>
      <c r="BN366" s="19">
        <f t="shared" si="366"/>
        <v>45866.89583</v>
      </c>
      <c r="BO366" s="19">
        <f t="shared" si="366"/>
        <v>45866.91667</v>
      </c>
      <c r="BP366" s="19">
        <f t="shared" si="366"/>
        <v>45866.9375</v>
      </c>
      <c r="BQ366" s="19">
        <f t="shared" si="366"/>
        <v>45866.95833</v>
      </c>
      <c r="BR366" s="19">
        <f t="shared" si="366"/>
        <v>45866.97917</v>
      </c>
      <c r="BS366" s="19">
        <f t="shared" si="366"/>
        <v>45867</v>
      </c>
      <c r="BT366" s="19">
        <f t="shared" si="366"/>
        <v>45867.02083</v>
      </c>
      <c r="BU366" s="19">
        <f t="shared" si="366"/>
        <v>45867.04167</v>
      </c>
      <c r="BV366" s="19">
        <f t="shared" si="366"/>
        <v>45867.0625</v>
      </c>
      <c r="BW366" s="19">
        <f t="shared" si="366"/>
        <v>45867.08333</v>
      </c>
      <c r="BX366" s="19">
        <f t="shared" si="366"/>
        <v>45866</v>
      </c>
      <c r="BY366" s="19">
        <f t="shared" si="366"/>
        <v>45866</v>
      </c>
      <c r="BZ366" s="19">
        <f t="shared" si="366"/>
        <v>45866</v>
      </c>
    </row>
    <row r="367" ht="14.25" customHeight="1">
      <c r="A367" s="17">
        <v>45867.0</v>
      </c>
      <c r="B367" s="2" t="str">
        <f t="array" ref="B367">IF(NOW()&gt;AM367,"",IF(AND((WEEKDAY($A367)+$B$2)&gt;1,((WEEKDAY($A367)+$T$2)&lt;7),(WEEKDAY($A367)&lt;&gt;1)),"work",(INDEX(Subject!$A:$I,MATCH(RANDBETWEEN(1,(MAX(Subject!$B:$B))),Subject!$B:$B,0),3))))</f>
        <v/>
      </c>
      <c r="C367" s="2" t="str">
        <f t="array" ref="C367">IF(NOW()&gt;AN367,"",IF(AND((WEEKDAY($A367)+$B$2)&gt;1,((WEEKDAY($A367)+$T$2)&lt;7),(WEEKDAY($A367)&lt;&gt;1)),"work",(INDEX(Subject!$A:$I,MATCH(RANDBETWEEN(1,(MAX(Subject!$B:$B))),Subject!$B:$B,0),3))))</f>
        <v/>
      </c>
      <c r="D367" s="2" t="str">
        <f t="array" ref="D367">IF(NOW()&gt;AO367,"",IF(AND((WEEKDAY($A367)+$B$2)&gt;1,((WEEKDAY($A367)+$T$2)&lt;7),(WEEKDAY($A367)&lt;&gt;1)),"work",(INDEX(Subject!$A:$I,MATCH(RANDBETWEEN(1,(MAX(Subject!$B:$B))),Subject!$B:$B,0),3))))</f>
        <v/>
      </c>
      <c r="E367" s="2" t="str">
        <f t="array" ref="E367">IF(NOW()&gt;AP367,"",IF(AND((WEEKDAY($A367)+$B$2)&gt;1,((WEEKDAY($A367)+$T$2)&lt;7),(WEEKDAY($A367)&lt;&gt;1)),"work",(INDEX(Subject!$A:$I,MATCH(RANDBETWEEN(1,(MAX(Subject!$B:$B))),Subject!$B:$B,0),3))))</f>
        <v/>
      </c>
      <c r="F367" s="2" t="str">
        <f t="array" ref="F367">IF(NOW()&gt;AQ367,"",IF(AND((WEEKDAY($A367)+$B$2)&gt;1,((WEEKDAY($A367)+$T$2)&lt;7),(WEEKDAY($A367)&lt;&gt;1)),"work",(INDEX(Subject!$A:$I,MATCH(RANDBETWEEN(1,(MAX(Subject!$B:$B))),Subject!$B:$B,0),3))))</f>
        <v/>
      </c>
      <c r="G367" s="2" t="str">
        <f t="array" ref="G367">IF(NOW()&gt;AR367,"",IF(AND((WEEKDAY($A367)+$B$2)&gt;1,((WEEKDAY($A367)+$T$2)&lt;7),(WEEKDAY($A367)&lt;&gt;1)),"work",(INDEX(Subject!$A:$I,MATCH(RANDBETWEEN(1,(MAX(Subject!$B:$B))),Subject!$B:$B,0),3))))</f>
        <v/>
      </c>
      <c r="H367" s="2" t="str">
        <f t="array" ref="H367">IF(NOW()&gt;AS367,"",IF(AND((WEEKDAY($A367)+$B$2)&gt;1,((WEEKDAY($A367)+$T$2)&lt;7),(WEEKDAY($A367)&lt;&gt;1)),"work",(INDEX(Subject!$A:$I,MATCH(RANDBETWEEN(1,(MAX(Subject!$B:$B))),Subject!$B:$B,0),3))))</f>
        <v/>
      </c>
      <c r="I367" s="2" t="str">
        <f t="array" ref="I367">IF(NOW()&gt;AT367,"",IF(AND((WEEKDAY($A367)+$B$2)&gt;1,((WEEKDAY($A367)+$T$2)&lt;7),(WEEKDAY($A367)&lt;&gt;1)),"work",(INDEX(Subject!$A:$I,MATCH(RANDBETWEEN(1,(MAX(Subject!$B:$B))),Subject!$B:$B,0),3))))</f>
        <v/>
      </c>
      <c r="J367" s="2" t="str">
        <f t="array" ref="J367">IF(NOW()&gt;AU367,"",IF(AND((WEEKDAY($A367)+$B$2)&gt;1,((WEEKDAY($A367)+$T$2)&lt;7),(WEEKDAY($A367)&lt;&gt;1)),"work",(INDEX(Subject!$A:$I,MATCH(RANDBETWEEN(1,(MAX(Subject!$B:$B))),Subject!$B:$B,0),3))))</f>
        <v/>
      </c>
      <c r="K367" s="2" t="str">
        <f t="array" ref="K367">IF(NOW()&gt;AV367,"",IF(AND((WEEKDAY($A367)+$B$2)&gt;1,((WEEKDAY($A367)+$T$2)&lt;7),(WEEKDAY($A367)&lt;&gt;1)),"work",(INDEX(Subject!$A:$I,MATCH(RANDBETWEEN(1,(MAX(Subject!$B:$B))),Subject!$B:$B,0),3))))</f>
        <v/>
      </c>
      <c r="L367" s="2" t="str">
        <f t="array" ref="L367">IF(NOW()&gt;AW367,"",IF(AND((WEEKDAY($A367)+$B$2)&gt;1,((WEEKDAY($A367)+$T$2)&lt;7),(WEEKDAY($A367)&lt;&gt;1)),"work",(INDEX(Subject!$A:$I,MATCH(RANDBETWEEN(1,(MAX(Subject!$B:$B))),Subject!$B:$B,0),3))))</f>
        <v/>
      </c>
      <c r="M367" s="2" t="str">
        <f t="array" ref="M367">IF(NOW()&gt;AX367,"",IF(AND((WEEKDAY($A367)+$B$2)&gt;1,((WEEKDAY($A367)+$T$2)&lt;7),(WEEKDAY($A367)&lt;&gt;1)),"work",(INDEX(Subject!$A:$I,MATCH(RANDBETWEEN(1,(MAX(Subject!$B:$B))),Subject!$B:$B,0),3))))</f>
        <v/>
      </c>
      <c r="N367" s="2" t="str">
        <f t="array" ref="N367">IF(NOW()&gt;AY367,"",IF(AND((WEEKDAY($A367)+$B$2)&gt;1,((WEEKDAY($A367)+$T$2)&lt;7),(WEEKDAY($A367)&lt;&gt;1)),"work",(INDEX(Subject!$A:$I,MATCH(RANDBETWEEN(1,(MAX(Subject!$B:$B))),Subject!$B:$B,0),3))))</f>
        <v/>
      </c>
      <c r="O367" s="2" t="str">
        <f t="array" ref="O367">IF(NOW()&gt;AZ367,"",IF(AND((WEEKDAY($A367)+$B$2)&gt;1,((WEEKDAY($A367)+$T$2)&lt;7),(WEEKDAY($A367)&lt;&gt;1)),"work",(INDEX(Subject!$A:$I,MATCH(RANDBETWEEN(1,(MAX(Subject!$B:$B))),Subject!$B:$B,0),3))))</f>
        <v/>
      </c>
      <c r="P367" s="2" t="str">
        <f t="array" ref="P367">IF(NOW()&gt;BA367,"",IF(AND((WEEKDAY($A367)+$B$2)&gt;1,((WEEKDAY($A367)+$T$2)&lt;7),(WEEKDAY($A367)&lt;&gt;1)),"work",(INDEX(Subject!$A:$I,MATCH(RANDBETWEEN(1,(MAX(Subject!$B:$B))),Subject!$B:$B,0),3))))</f>
        <v/>
      </c>
      <c r="Q367" s="2" t="str">
        <f t="array" ref="Q367">IF(NOW()&gt;BB367,"",IF(AND((WEEKDAY($A367)+$B$2)&gt;1,((WEEKDAY($A367)+$T$2)&lt;7),(WEEKDAY($A367)&lt;&gt;1)),"work",(INDEX(Subject!$A:$I,MATCH(RANDBETWEEN(1,(MAX(Subject!$B:$B))),Subject!$B:$B,0),3))))</f>
        <v/>
      </c>
      <c r="R367" s="2" t="str">
        <f t="array" ref="R367">IF(NOW()&gt;BC367,"",IF(AND((WEEKDAY($A367)+$B$2)&gt;1,((WEEKDAY($A367)+$T$2)&lt;7),(WEEKDAY($A367)&lt;&gt;1)),"work",(INDEX(Subject!$A:$I,MATCH(RANDBETWEEN(1,(MAX(Subject!$B:$B))),Subject!$B:$B,0),3))))</f>
        <v/>
      </c>
      <c r="S367" s="2" t="str">
        <f t="array" ref="S367">IF(NOW()&gt;BD367,"",IF(AND((WEEKDAY($A367)+$B$2)&gt;1,((WEEKDAY($A367)+$T$2)&lt;7),(WEEKDAY($A367)&lt;&gt;1)),"work",(INDEX(Subject!$A:$I,MATCH(RANDBETWEEN(1,(MAX(Subject!$B:$B))),Subject!$B:$B,0),3))))</f>
        <v/>
      </c>
      <c r="T367" s="2" t="str">
        <f t="array" ref="T367">IF(NOW()&gt;BE367,"",IF(AND((WEEKDAY($A367)+$B$2)&gt;1,((WEEKDAY($A367)+$T$2)&lt;7),(WEEKDAY($A367)&lt;&gt;1)),"work",(INDEX(Subject!$A:$I,MATCH(RANDBETWEEN(1,(MAX(Subject!$B:$B))),Subject!$B:$B,0),3))))</f>
        <v/>
      </c>
      <c r="U367" s="8" t="str">
        <f t="array" ref="U367">INDEX(Subject!$A:$I,MATCH(RANDBETWEEN(1,16),Subject!$B:$B,0),3)</f>
        <v>#N/A</v>
      </c>
      <c r="V367" s="8" t="str">
        <f t="array" ref="V367">INDEX(Subject!$A:$I,MATCH(RANDBETWEEN(1,16),Subject!$B:$B,0),3)</f>
        <v>#N/A</v>
      </c>
      <c r="W367" s="8" t="str">
        <f t="array" ref="W367">INDEX(Subject!$A:$I,MATCH(RANDBETWEEN(1,16),Subject!$B:$B,0),3)</f>
        <v>#N/A</v>
      </c>
      <c r="X367" s="8" t="str">
        <f t="array" ref="X367">INDEX(Subject!$A:$I,MATCH(RANDBETWEEN(1,16),Subject!$B:$B,0),3)</f>
        <v>#N/A</v>
      </c>
      <c r="Y367" s="8" t="str">
        <f t="array" ref="Y367">INDEX(Subject!$A:$I,MATCH(RANDBETWEEN(1,16),Subject!$B:$B,0),3)</f>
        <v>#N/A</v>
      </c>
      <c r="Z367" s="8" t="str">
        <f t="array" ref="Z367">INDEX(Subject!$A:$I,MATCH(RANDBETWEEN(1,16),Subject!$B:$B,0),3)</f>
        <v>#N/A</v>
      </c>
      <c r="AA367" s="8" t="str">
        <f t="array" ref="AA367">INDEX(Subject!$A:$I,MATCH(RANDBETWEEN(1,16),Subject!$B:$B,0),3)</f>
        <v>#N/A</v>
      </c>
      <c r="AB367" s="8" t="str">
        <f t="array" ref="AB367">INDEX(Subject!$A:$I,MATCH(RANDBETWEEN(1,16),Subject!$B:$B,0),3)</f>
        <v>#N/A</v>
      </c>
      <c r="AC367" s="8" t="str">
        <f t="array" ref="AC367">INDEX(Subject!$A:$I,MATCH(RANDBETWEEN(1,16),Subject!$B:$B,0),3)</f>
        <v>#N/A</v>
      </c>
      <c r="AD367" s="8" t="str">
        <f t="array" ref="AD367">INDEX(Subject!$A:$I,MATCH(RANDBETWEEN(1,16),Subject!$B:$B,0),3)</f>
        <v>#N/A</v>
      </c>
      <c r="AE367" s="8" t="str">
        <f t="array" ref="AE367">INDEX(Subject!$A:$I,MATCH(RANDBETWEEN(1,16),Subject!$B:$B,0),3)</f>
        <v>#N/A</v>
      </c>
      <c r="AF367" s="8" t="str">
        <f t="array" ref="AF367">INDEX(Subject!$A:$I,MATCH(RANDBETWEEN(1,16),Subject!$B:$B,0),3)</f>
        <v>#N/A</v>
      </c>
      <c r="AG367" s="8" t="str">
        <f t="array" ref="AG367">INDEX(Subject!$A:$I,MATCH(RANDBETWEEN(1,16),Subject!$B:$B,0),3)</f>
        <v>#N/A</v>
      </c>
      <c r="AH367" s="8" t="str">
        <f t="array" ref="AH367">INDEX(Subject!$A:$I,MATCH(RANDBETWEEN(1,16),Subject!$B:$B,0),3)</f>
        <v>#N/A</v>
      </c>
      <c r="AI367" s="8" t="str">
        <f t="array" ref="AI367">INDEX(Subject!$A:$I,MATCH(RANDBETWEEN(1,16),Subject!$B:$B,0),3)</f>
        <v>#N/A</v>
      </c>
      <c r="AJ367" s="8" t="str">
        <f t="array" ref="AJ367">INDEX(Subject!$A:$I,MATCH(RANDBETWEEN(1,16),Subject!$B:$B,0),3)</f>
        <v>#N/A</v>
      </c>
      <c r="AK367" s="8" t="str">
        <f t="array" ref="AK367">INDEX(Subject!$A:$I,MATCH(RANDBETWEEN(1,16),Subject!$B:$B,0),3)</f>
        <v>#N/A</v>
      </c>
      <c r="AL367" s="8" t="str">
        <f t="array" ref="AL367">INDEX(Subject!$A:$I,MATCH(RANDBETWEEN(1,16),Subject!$B:$B,0),3)</f>
        <v>#N/A</v>
      </c>
      <c r="AM367" s="18">
        <f t="shared" si="4"/>
        <v>45867.33333</v>
      </c>
      <c r="AN367" s="19">
        <f t="shared" ref="AN367:BZ367" si="367">$A367+C$1</f>
        <v>45867.35417</v>
      </c>
      <c r="AO367" s="19">
        <f t="shared" si="367"/>
        <v>45867.375</v>
      </c>
      <c r="AP367" s="19">
        <f t="shared" si="367"/>
        <v>45867.39583</v>
      </c>
      <c r="AQ367" s="19">
        <f t="shared" si="367"/>
        <v>45867.41667</v>
      </c>
      <c r="AR367" s="19">
        <f t="shared" si="367"/>
        <v>45867.4375</v>
      </c>
      <c r="AS367" s="19">
        <f t="shared" si="367"/>
        <v>45867.45833</v>
      </c>
      <c r="AT367" s="19">
        <f t="shared" si="367"/>
        <v>45867.47917</v>
      </c>
      <c r="AU367" s="19">
        <f t="shared" si="367"/>
        <v>45867.5</v>
      </c>
      <c r="AV367" s="19">
        <f t="shared" si="367"/>
        <v>45867.52083</v>
      </c>
      <c r="AW367" s="19">
        <f t="shared" si="367"/>
        <v>45867.54167</v>
      </c>
      <c r="AX367" s="19">
        <f t="shared" si="367"/>
        <v>45867.5625</v>
      </c>
      <c r="AY367" s="19">
        <f t="shared" si="367"/>
        <v>45867.58333</v>
      </c>
      <c r="AZ367" s="19">
        <f t="shared" si="367"/>
        <v>45867.60417</v>
      </c>
      <c r="BA367" s="19">
        <f t="shared" si="367"/>
        <v>45867.625</v>
      </c>
      <c r="BB367" s="19">
        <f t="shared" si="367"/>
        <v>45867.64583</v>
      </c>
      <c r="BC367" s="19">
        <f t="shared" si="367"/>
        <v>45867.66667</v>
      </c>
      <c r="BD367" s="19">
        <f t="shared" si="367"/>
        <v>45867.6875</v>
      </c>
      <c r="BE367" s="19">
        <f t="shared" si="367"/>
        <v>45867.70833</v>
      </c>
      <c r="BF367" s="19">
        <f t="shared" si="367"/>
        <v>45867.72917</v>
      </c>
      <c r="BG367" s="19">
        <f t="shared" si="367"/>
        <v>45867.75</v>
      </c>
      <c r="BH367" s="19">
        <f t="shared" si="367"/>
        <v>45867.77083</v>
      </c>
      <c r="BI367" s="19">
        <f t="shared" si="367"/>
        <v>45867.79167</v>
      </c>
      <c r="BJ367" s="19">
        <f t="shared" si="367"/>
        <v>45867.8125</v>
      </c>
      <c r="BK367" s="19">
        <f t="shared" si="367"/>
        <v>45867.83333</v>
      </c>
      <c r="BL367" s="19">
        <f t="shared" si="367"/>
        <v>45867.85417</v>
      </c>
      <c r="BM367" s="19">
        <f t="shared" si="367"/>
        <v>45867.875</v>
      </c>
      <c r="BN367" s="19">
        <f t="shared" si="367"/>
        <v>45867.89583</v>
      </c>
      <c r="BO367" s="19">
        <f t="shared" si="367"/>
        <v>45867.91667</v>
      </c>
      <c r="BP367" s="19">
        <f t="shared" si="367"/>
        <v>45867.9375</v>
      </c>
      <c r="BQ367" s="19">
        <f t="shared" si="367"/>
        <v>45867.95833</v>
      </c>
      <c r="BR367" s="19">
        <f t="shared" si="367"/>
        <v>45867.97917</v>
      </c>
      <c r="BS367" s="19">
        <f t="shared" si="367"/>
        <v>45868</v>
      </c>
      <c r="BT367" s="19">
        <f t="shared" si="367"/>
        <v>45868.02083</v>
      </c>
      <c r="BU367" s="19">
        <f t="shared" si="367"/>
        <v>45868.04167</v>
      </c>
      <c r="BV367" s="19">
        <f t="shared" si="367"/>
        <v>45868.0625</v>
      </c>
      <c r="BW367" s="19">
        <f t="shared" si="367"/>
        <v>45868.08333</v>
      </c>
      <c r="BX367" s="19">
        <f t="shared" si="367"/>
        <v>45867</v>
      </c>
      <c r="BY367" s="19">
        <f t="shared" si="367"/>
        <v>45867</v>
      </c>
      <c r="BZ367" s="19">
        <f t="shared" si="367"/>
        <v>45867</v>
      </c>
    </row>
    <row r="368" ht="14.25" customHeight="1">
      <c r="A368" s="17">
        <v>45868.0</v>
      </c>
      <c r="B368" s="2" t="str">
        <f t="array" ref="B368">IF(NOW()&gt;AM368,"",IF(AND((WEEKDAY($A368)+$B$2)&gt;1,((WEEKDAY($A368)+$T$2)&lt;7),(WEEKDAY($A368)&lt;&gt;1)),"work",(INDEX(Subject!$A:$I,MATCH(RANDBETWEEN(1,(MAX(Subject!$B:$B))),Subject!$B:$B,0),3))))</f>
        <v/>
      </c>
      <c r="C368" s="2" t="str">
        <f t="array" ref="C368">IF(NOW()&gt;AN368,"",IF(AND((WEEKDAY($A368)+$B$2)&gt;1,((WEEKDAY($A368)+$T$2)&lt;7),(WEEKDAY($A368)&lt;&gt;1)),"work",(INDEX(Subject!$A:$I,MATCH(RANDBETWEEN(1,(MAX(Subject!$B:$B))),Subject!$B:$B,0),3))))</f>
        <v/>
      </c>
      <c r="D368" s="2" t="str">
        <f t="array" ref="D368">IF(NOW()&gt;AO368,"",IF(AND((WEEKDAY($A368)+$B$2)&gt;1,((WEEKDAY($A368)+$T$2)&lt;7),(WEEKDAY($A368)&lt;&gt;1)),"work",(INDEX(Subject!$A:$I,MATCH(RANDBETWEEN(1,(MAX(Subject!$B:$B))),Subject!$B:$B,0),3))))</f>
        <v/>
      </c>
      <c r="E368" s="2" t="str">
        <f t="array" ref="E368">IF(NOW()&gt;AP368,"",IF(AND((WEEKDAY($A368)+$B$2)&gt;1,((WEEKDAY($A368)+$T$2)&lt;7),(WEEKDAY($A368)&lt;&gt;1)),"work",(INDEX(Subject!$A:$I,MATCH(RANDBETWEEN(1,(MAX(Subject!$B:$B))),Subject!$B:$B,0),3))))</f>
        <v/>
      </c>
      <c r="F368" s="2" t="str">
        <f t="array" ref="F368">IF(NOW()&gt;AQ368,"",IF(AND((WEEKDAY($A368)+$B$2)&gt;1,((WEEKDAY($A368)+$T$2)&lt;7),(WEEKDAY($A368)&lt;&gt;1)),"work",(INDEX(Subject!$A:$I,MATCH(RANDBETWEEN(1,(MAX(Subject!$B:$B))),Subject!$B:$B,0),3))))</f>
        <v/>
      </c>
      <c r="G368" s="2" t="str">
        <f t="array" ref="G368">IF(NOW()&gt;AR368,"",IF(AND((WEEKDAY($A368)+$B$2)&gt;1,((WEEKDAY($A368)+$T$2)&lt;7),(WEEKDAY($A368)&lt;&gt;1)),"work",(INDEX(Subject!$A:$I,MATCH(RANDBETWEEN(1,(MAX(Subject!$B:$B))),Subject!$B:$B,0),3))))</f>
        <v/>
      </c>
      <c r="H368" s="2" t="str">
        <f t="array" ref="H368">IF(NOW()&gt;AS368,"",IF(AND((WEEKDAY($A368)+$B$2)&gt;1,((WEEKDAY($A368)+$T$2)&lt;7),(WEEKDAY($A368)&lt;&gt;1)),"work",(INDEX(Subject!$A:$I,MATCH(RANDBETWEEN(1,(MAX(Subject!$B:$B))),Subject!$B:$B,0),3))))</f>
        <v/>
      </c>
      <c r="I368" s="2" t="str">
        <f t="array" ref="I368">IF(NOW()&gt;AT368,"",IF(AND((WEEKDAY($A368)+$B$2)&gt;1,((WEEKDAY($A368)+$T$2)&lt;7),(WEEKDAY($A368)&lt;&gt;1)),"work",(INDEX(Subject!$A:$I,MATCH(RANDBETWEEN(1,(MAX(Subject!$B:$B))),Subject!$B:$B,0),3))))</f>
        <v/>
      </c>
      <c r="J368" s="2" t="str">
        <f t="array" ref="J368">IF(NOW()&gt;AU368,"",IF(AND((WEEKDAY($A368)+$B$2)&gt;1,((WEEKDAY($A368)+$T$2)&lt;7),(WEEKDAY($A368)&lt;&gt;1)),"work",(INDEX(Subject!$A:$I,MATCH(RANDBETWEEN(1,(MAX(Subject!$B:$B))),Subject!$B:$B,0),3))))</f>
        <v/>
      </c>
      <c r="K368" s="2" t="str">
        <f t="array" ref="K368">IF(NOW()&gt;AV368,"",IF(AND((WEEKDAY($A368)+$B$2)&gt;1,((WEEKDAY($A368)+$T$2)&lt;7),(WEEKDAY($A368)&lt;&gt;1)),"work",(INDEX(Subject!$A:$I,MATCH(RANDBETWEEN(1,(MAX(Subject!$B:$B))),Subject!$B:$B,0),3))))</f>
        <v/>
      </c>
      <c r="L368" s="2" t="str">
        <f t="array" ref="L368">IF(NOW()&gt;AW368,"",IF(AND((WEEKDAY($A368)+$B$2)&gt;1,((WEEKDAY($A368)+$T$2)&lt;7),(WEEKDAY($A368)&lt;&gt;1)),"work",(INDEX(Subject!$A:$I,MATCH(RANDBETWEEN(1,(MAX(Subject!$B:$B))),Subject!$B:$B,0),3))))</f>
        <v/>
      </c>
      <c r="M368" s="2" t="str">
        <f t="array" ref="M368">IF(NOW()&gt;AX368,"",IF(AND((WEEKDAY($A368)+$B$2)&gt;1,((WEEKDAY($A368)+$T$2)&lt;7),(WEEKDAY($A368)&lt;&gt;1)),"work",(INDEX(Subject!$A:$I,MATCH(RANDBETWEEN(1,(MAX(Subject!$B:$B))),Subject!$B:$B,0),3))))</f>
        <v/>
      </c>
      <c r="N368" s="2" t="str">
        <f t="array" ref="N368">IF(NOW()&gt;AY368,"",IF(AND((WEEKDAY($A368)+$B$2)&gt;1,((WEEKDAY($A368)+$T$2)&lt;7),(WEEKDAY($A368)&lt;&gt;1)),"work",(INDEX(Subject!$A:$I,MATCH(RANDBETWEEN(1,(MAX(Subject!$B:$B))),Subject!$B:$B,0),3))))</f>
        <v/>
      </c>
      <c r="O368" s="2" t="str">
        <f t="array" ref="O368">IF(NOW()&gt;AZ368,"",IF(AND((WEEKDAY($A368)+$B$2)&gt;1,((WEEKDAY($A368)+$T$2)&lt;7),(WEEKDAY($A368)&lt;&gt;1)),"work",(INDEX(Subject!$A:$I,MATCH(RANDBETWEEN(1,(MAX(Subject!$B:$B))),Subject!$B:$B,0),3))))</f>
        <v/>
      </c>
      <c r="P368" s="2" t="str">
        <f t="array" ref="P368">IF(NOW()&gt;BA368,"",IF(AND((WEEKDAY($A368)+$B$2)&gt;1,((WEEKDAY($A368)+$T$2)&lt;7),(WEEKDAY($A368)&lt;&gt;1)),"work",(INDEX(Subject!$A:$I,MATCH(RANDBETWEEN(1,(MAX(Subject!$B:$B))),Subject!$B:$B,0),3))))</f>
        <v/>
      </c>
      <c r="Q368" s="2" t="str">
        <f t="array" ref="Q368">IF(NOW()&gt;BB368,"",IF(AND((WEEKDAY($A368)+$B$2)&gt;1,((WEEKDAY($A368)+$T$2)&lt;7),(WEEKDAY($A368)&lt;&gt;1)),"work",(INDEX(Subject!$A:$I,MATCH(RANDBETWEEN(1,(MAX(Subject!$B:$B))),Subject!$B:$B,0),3))))</f>
        <v/>
      </c>
      <c r="R368" s="2" t="str">
        <f t="array" ref="R368">IF(NOW()&gt;BC368,"",IF(AND((WEEKDAY($A368)+$B$2)&gt;1,((WEEKDAY($A368)+$T$2)&lt;7),(WEEKDAY($A368)&lt;&gt;1)),"work",(INDEX(Subject!$A:$I,MATCH(RANDBETWEEN(1,(MAX(Subject!$B:$B))),Subject!$B:$B,0),3))))</f>
        <v/>
      </c>
      <c r="S368" s="2" t="str">
        <f t="array" ref="S368">IF(NOW()&gt;BD368,"",IF(AND((WEEKDAY($A368)+$B$2)&gt;1,((WEEKDAY($A368)+$T$2)&lt;7),(WEEKDAY($A368)&lt;&gt;1)),"work",(INDEX(Subject!$A:$I,MATCH(RANDBETWEEN(1,(MAX(Subject!$B:$B))),Subject!$B:$B,0),3))))</f>
        <v/>
      </c>
      <c r="T368" s="2" t="str">
        <f t="array" ref="T368">IF(NOW()&gt;BE368,"",IF(AND((WEEKDAY($A368)+$B$2)&gt;1,((WEEKDAY($A368)+$T$2)&lt;7),(WEEKDAY($A368)&lt;&gt;1)),"work",(INDEX(Subject!$A:$I,MATCH(RANDBETWEEN(1,(MAX(Subject!$B:$B))),Subject!$B:$B,0),3))))</f>
        <v/>
      </c>
      <c r="U368" s="8" t="str">
        <f t="array" ref="U368">INDEX(Subject!$A:$I,MATCH(RANDBETWEEN(1,16),Subject!$B:$B,0),3)</f>
        <v>#N/A</v>
      </c>
      <c r="V368" s="8" t="str">
        <f t="array" ref="V368">INDEX(Subject!$A:$I,MATCH(RANDBETWEEN(1,16),Subject!$B:$B,0),3)</f>
        <v/>
      </c>
      <c r="W368" s="8" t="str">
        <f t="array" ref="W368">INDEX(Subject!$A:$I,MATCH(RANDBETWEEN(1,16),Subject!$B:$B,0),3)</f>
        <v>#N/A</v>
      </c>
      <c r="X368" s="8" t="str">
        <f t="array" ref="X368">INDEX(Subject!$A:$I,MATCH(RANDBETWEEN(1,16),Subject!$B:$B,0),3)</f>
        <v>#N/A</v>
      </c>
      <c r="Y368" s="8" t="str">
        <f t="array" ref="Y368">INDEX(Subject!$A:$I,MATCH(RANDBETWEEN(1,16),Subject!$B:$B,0),3)</f>
        <v>#N/A</v>
      </c>
      <c r="Z368" s="8" t="str">
        <f t="array" ref="Z368">INDEX(Subject!$A:$I,MATCH(RANDBETWEEN(1,16),Subject!$B:$B,0),3)</f>
        <v>#N/A</v>
      </c>
      <c r="AA368" s="8" t="str">
        <f t="array" ref="AA368">INDEX(Subject!$A:$I,MATCH(RANDBETWEEN(1,16),Subject!$B:$B,0),3)</f>
        <v>#N/A</v>
      </c>
      <c r="AB368" s="8" t="str">
        <f t="array" ref="AB368">INDEX(Subject!$A:$I,MATCH(RANDBETWEEN(1,16),Subject!$B:$B,0),3)</f>
        <v>#N/A</v>
      </c>
      <c r="AC368" s="8" t="str">
        <f t="array" ref="AC368">INDEX(Subject!$A:$I,MATCH(RANDBETWEEN(1,16),Subject!$B:$B,0),3)</f>
        <v>#N/A</v>
      </c>
      <c r="AD368" s="8" t="str">
        <f t="array" ref="AD368">INDEX(Subject!$A:$I,MATCH(RANDBETWEEN(1,16),Subject!$B:$B,0),3)</f>
        <v>#N/A</v>
      </c>
      <c r="AE368" s="8" t="str">
        <f t="array" ref="AE368">INDEX(Subject!$A:$I,MATCH(RANDBETWEEN(1,16),Subject!$B:$B,0),3)</f>
        <v>#N/A</v>
      </c>
      <c r="AF368" s="8" t="str">
        <f t="array" ref="AF368">INDEX(Subject!$A:$I,MATCH(RANDBETWEEN(1,16),Subject!$B:$B,0),3)</f>
        <v>#N/A</v>
      </c>
      <c r="AG368" s="8" t="str">
        <f t="array" ref="AG368">INDEX(Subject!$A:$I,MATCH(RANDBETWEEN(1,16),Subject!$B:$B,0),3)</f>
        <v>#N/A</v>
      </c>
      <c r="AH368" s="8" t="str">
        <f t="array" ref="AH368">INDEX(Subject!$A:$I,MATCH(RANDBETWEEN(1,16),Subject!$B:$B,0),3)</f>
        <v>#N/A</v>
      </c>
      <c r="AI368" s="8" t="str">
        <f t="array" ref="AI368">INDEX(Subject!$A:$I,MATCH(RANDBETWEEN(1,16),Subject!$B:$B,0),3)</f>
        <v/>
      </c>
      <c r="AJ368" s="8" t="str">
        <f t="array" ref="AJ368">INDEX(Subject!$A:$I,MATCH(RANDBETWEEN(1,16),Subject!$B:$B,0),3)</f>
        <v>#N/A</v>
      </c>
      <c r="AK368" s="8" t="str">
        <f t="array" ref="AK368">INDEX(Subject!$A:$I,MATCH(RANDBETWEEN(1,16),Subject!$B:$B,0),3)</f>
        <v>#N/A</v>
      </c>
      <c r="AL368" s="8" t="str">
        <f t="array" ref="AL368">INDEX(Subject!$A:$I,MATCH(RANDBETWEEN(1,16),Subject!$B:$B,0),3)</f>
        <v>#N/A</v>
      </c>
      <c r="AM368" s="18">
        <f t="shared" si="4"/>
        <v>45868.33333</v>
      </c>
      <c r="AN368" s="19">
        <f t="shared" ref="AN368:BZ368" si="368">$A368+C$1</f>
        <v>45868.35417</v>
      </c>
      <c r="AO368" s="19">
        <f t="shared" si="368"/>
        <v>45868.375</v>
      </c>
      <c r="AP368" s="19">
        <f t="shared" si="368"/>
        <v>45868.39583</v>
      </c>
      <c r="AQ368" s="19">
        <f t="shared" si="368"/>
        <v>45868.41667</v>
      </c>
      <c r="AR368" s="19">
        <f t="shared" si="368"/>
        <v>45868.4375</v>
      </c>
      <c r="AS368" s="19">
        <f t="shared" si="368"/>
        <v>45868.45833</v>
      </c>
      <c r="AT368" s="19">
        <f t="shared" si="368"/>
        <v>45868.47917</v>
      </c>
      <c r="AU368" s="19">
        <f t="shared" si="368"/>
        <v>45868.5</v>
      </c>
      <c r="AV368" s="19">
        <f t="shared" si="368"/>
        <v>45868.52083</v>
      </c>
      <c r="AW368" s="19">
        <f t="shared" si="368"/>
        <v>45868.54167</v>
      </c>
      <c r="AX368" s="19">
        <f t="shared" si="368"/>
        <v>45868.5625</v>
      </c>
      <c r="AY368" s="19">
        <f t="shared" si="368"/>
        <v>45868.58333</v>
      </c>
      <c r="AZ368" s="19">
        <f t="shared" si="368"/>
        <v>45868.60417</v>
      </c>
      <c r="BA368" s="19">
        <f t="shared" si="368"/>
        <v>45868.625</v>
      </c>
      <c r="BB368" s="19">
        <f t="shared" si="368"/>
        <v>45868.64583</v>
      </c>
      <c r="BC368" s="19">
        <f t="shared" si="368"/>
        <v>45868.66667</v>
      </c>
      <c r="BD368" s="19">
        <f t="shared" si="368"/>
        <v>45868.6875</v>
      </c>
      <c r="BE368" s="19">
        <f t="shared" si="368"/>
        <v>45868.70833</v>
      </c>
      <c r="BF368" s="19">
        <f t="shared" si="368"/>
        <v>45868.72917</v>
      </c>
      <c r="BG368" s="19">
        <f t="shared" si="368"/>
        <v>45868.75</v>
      </c>
      <c r="BH368" s="19">
        <f t="shared" si="368"/>
        <v>45868.77083</v>
      </c>
      <c r="BI368" s="19">
        <f t="shared" si="368"/>
        <v>45868.79167</v>
      </c>
      <c r="BJ368" s="19">
        <f t="shared" si="368"/>
        <v>45868.8125</v>
      </c>
      <c r="BK368" s="19">
        <f t="shared" si="368"/>
        <v>45868.83333</v>
      </c>
      <c r="BL368" s="19">
        <f t="shared" si="368"/>
        <v>45868.85417</v>
      </c>
      <c r="BM368" s="19">
        <f t="shared" si="368"/>
        <v>45868.875</v>
      </c>
      <c r="BN368" s="19">
        <f t="shared" si="368"/>
        <v>45868.89583</v>
      </c>
      <c r="BO368" s="19">
        <f t="shared" si="368"/>
        <v>45868.91667</v>
      </c>
      <c r="BP368" s="19">
        <f t="shared" si="368"/>
        <v>45868.9375</v>
      </c>
      <c r="BQ368" s="19">
        <f t="shared" si="368"/>
        <v>45868.95833</v>
      </c>
      <c r="BR368" s="19">
        <f t="shared" si="368"/>
        <v>45868.97917</v>
      </c>
      <c r="BS368" s="19">
        <f t="shared" si="368"/>
        <v>45869</v>
      </c>
      <c r="BT368" s="19">
        <f t="shared" si="368"/>
        <v>45869.02083</v>
      </c>
      <c r="BU368" s="19">
        <f t="shared" si="368"/>
        <v>45869.04167</v>
      </c>
      <c r="BV368" s="19">
        <f t="shared" si="368"/>
        <v>45869.0625</v>
      </c>
      <c r="BW368" s="19">
        <f t="shared" si="368"/>
        <v>45869.08333</v>
      </c>
      <c r="BX368" s="19">
        <f t="shared" si="368"/>
        <v>45868</v>
      </c>
      <c r="BY368" s="19">
        <f t="shared" si="368"/>
        <v>45868</v>
      </c>
      <c r="BZ368" s="19">
        <f t="shared" si="368"/>
        <v>45868</v>
      </c>
    </row>
    <row r="369" ht="14.25" customHeight="1">
      <c r="A369" s="17">
        <v>45869.0</v>
      </c>
      <c r="B369" s="2" t="str">
        <f t="array" ref="B369">IF(NOW()&gt;AM369,"",IF(AND((WEEKDAY($A369)+$B$2)&gt;1,((WEEKDAY($A369)+$T$2)&lt;7),(WEEKDAY($A369)&lt;&gt;1)),"work",(INDEX(Subject!$A:$I,MATCH(RANDBETWEEN(1,(MAX(Subject!$B:$B))),Subject!$B:$B,0),3))))</f>
        <v/>
      </c>
      <c r="C369" s="2" t="str">
        <f t="array" ref="C369">IF(NOW()&gt;AN369,"",IF(AND((WEEKDAY($A369)+$B$2)&gt;1,((WEEKDAY($A369)+$T$2)&lt;7),(WEEKDAY($A369)&lt;&gt;1)),"work",(INDEX(Subject!$A:$I,MATCH(RANDBETWEEN(1,(MAX(Subject!$B:$B))),Subject!$B:$B,0),3))))</f>
        <v/>
      </c>
      <c r="D369" s="2" t="str">
        <f t="array" ref="D369">IF(NOW()&gt;AO369,"",IF(AND((WEEKDAY($A369)+$B$2)&gt;1,((WEEKDAY($A369)+$T$2)&lt;7),(WEEKDAY($A369)&lt;&gt;1)),"work",(INDEX(Subject!$A:$I,MATCH(RANDBETWEEN(1,(MAX(Subject!$B:$B))),Subject!$B:$B,0),3))))</f>
        <v/>
      </c>
      <c r="E369" s="2" t="str">
        <f t="array" ref="E369">IF(NOW()&gt;AP369,"",IF(AND((WEEKDAY($A369)+$B$2)&gt;1,((WEEKDAY($A369)+$T$2)&lt;7),(WEEKDAY($A369)&lt;&gt;1)),"work",(INDEX(Subject!$A:$I,MATCH(RANDBETWEEN(1,(MAX(Subject!$B:$B))),Subject!$B:$B,0),3))))</f>
        <v/>
      </c>
      <c r="F369" s="2" t="str">
        <f t="array" ref="F369">IF(NOW()&gt;AQ369,"",IF(AND((WEEKDAY($A369)+$B$2)&gt;1,((WEEKDAY($A369)+$T$2)&lt;7),(WEEKDAY($A369)&lt;&gt;1)),"work",(INDEX(Subject!$A:$I,MATCH(RANDBETWEEN(1,(MAX(Subject!$B:$B))),Subject!$B:$B,0),3))))</f>
        <v/>
      </c>
      <c r="G369" s="2" t="str">
        <f t="array" ref="G369">IF(NOW()&gt;AR369,"",IF(AND((WEEKDAY($A369)+$B$2)&gt;1,((WEEKDAY($A369)+$T$2)&lt;7),(WEEKDAY($A369)&lt;&gt;1)),"work",(INDEX(Subject!$A:$I,MATCH(RANDBETWEEN(1,(MAX(Subject!$B:$B))),Subject!$B:$B,0),3))))</f>
        <v/>
      </c>
      <c r="H369" s="2" t="str">
        <f t="array" ref="H369">IF(NOW()&gt;AS369,"",IF(AND((WEEKDAY($A369)+$B$2)&gt;1,((WEEKDAY($A369)+$T$2)&lt;7),(WEEKDAY($A369)&lt;&gt;1)),"work",(INDEX(Subject!$A:$I,MATCH(RANDBETWEEN(1,(MAX(Subject!$B:$B))),Subject!$B:$B,0),3))))</f>
        <v/>
      </c>
      <c r="I369" s="2" t="str">
        <f t="array" ref="I369">IF(NOW()&gt;AT369,"",IF(AND((WEEKDAY($A369)+$B$2)&gt;1,((WEEKDAY($A369)+$T$2)&lt;7),(WEEKDAY($A369)&lt;&gt;1)),"work",(INDEX(Subject!$A:$I,MATCH(RANDBETWEEN(1,(MAX(Subject!$B:$B))),Subject!$B:$B,0),3))))</f>
        <v/>
      </c>
      <c r="J369" s="2" t="str">
        <f t="array" ref="J369">IF(NOW()&gt;AU369,"",IF(AND((WEEKDAY($A369)+$B$2)&gt;1,((WEEKDAY($A369)+$T$2)&lt;7),(WEEKDAY($A369)&lt;&gt;1)),"work",(INDEX(Subject!$A:$I,MATCH(RANDBETWEEN(1,(MAX(Subject!$B:$B))),Subject!$B:$B,0),3))))</f>
        <v/>
      </c>
      <c r="K369" s="2" t="str">
        <f t="array" ref="K369">IF(NOW()&gt;AV369,"",IF(AND((WEEKDAY($A369)+$B$2)&gt;1,((WEEKDAY($A369)+$T$2)&lt;7),(WEEKDAY($A369)&lt;&gt;1)),"work",(INDEX(Subject!$A:$I,MATCH(RANDBETWEEN(1,(MAX(Subject!$B:$B))),Subject!$B:$B,0),3))))</f>
        <v/>
      </c>
      <c r="L369" s="2" t="str">
        <f t="array" ref="L369">IF(NOW()&gt;AW369,"",IF(AND((WEEKDAY($A369)+$B$2)&gt;1,((WEEKDAY($A369)+$T$2)&lt;7),(WEEKDAY($A369)&lt;&gt;1)),"work",(INDEX(Subject!$A:$I,MATCH(RANDBETWEEN(1,(MAX(Subject!$B:$B))),Subject!$B:$B,0),3))))</f>
        <v/>
      </c>
      <c r="M369" s="2" t="str">
        <f t="array" ref="M369">IF(NOW()&gt;AX369,"",IF(AND((WEEKDAY($A369)+$B$2)&gt;1,((WEEKDAY($A369)+$T$2)&lt;7),(WEEKDAY($A369)&lt;&gt;1)),"work",(INDEX(Subject!$A:$I,MATCH(RANDBETWEEN(1,(MAX(Subject!$B:$B))),Subject!$B:$B,0),3))))</f>
        <v/>
      </c>
      <c r="N369" s="2" t="str">
        <f t="array" ref="N369">IF(NOW()&gt;AY369,"",IF(AND((WEEKDAY($A369)+$B$2)&gt;1,((WEEKDAY($A369)+$T$2)&lt;7),(WEEKDAY($A369)&lt;&gt;1)),"work",(INDEX(Subject!$A:$I,MATCH(RANDBETWEEN(1,(MAX(Subject!$B:$B))),Subject!$B:$B,0),3))))</f>
        <v/>
      </c>
      <c r="O369" s="2" t="str">
        <f t="array" ref="O369">IF(NOW()&gt;AZ369,"",IF(AND((WEEKDAY($A369)+$B$2)&gt;1,((WEEKDAY($A369)+$T$2)&lt;7),(WEEKDAY($A369)&lt;&gt;1)),"work",(INDEX(Subject!$A:$I,MATCH(RANDBETWEEN(1,(MAX(Subject!$B:$B))),Subject!$B:$B,0),3))))</f>
        <v/>
      </c>
      <c r="P369" s="2" t="str">
        <f t="array" ref="P369">IF(NOW()&gt;BA369,"",IF(AND((WEEKDAY($A369)+$B$2)&gt;1,((WEEKDAY($A369)+$T$2)&lt;7),(WEEKDAY($A369)&lt;&gt;1)),"work",(INDEX(Subject!$A:$I,MATCH(RANDBETWEEN(1,(MAX(Subject!$B:$B))),Subject!$B:$B,0),3))))</f>
        <v/>
      </c>
      <c r="Q369" s="2" t="str">
        <f t="array" ref="Q369">IF(NOW()&gt;BB369,"",IF(AND((WEEKDAY($A369)+$B$2)&gt;1,((WEEKDAY($A369)+$T$2)&lt;7),(WEEKDAY($A369)&lt;&gt;1)),"work",(INDEX(Subject!$A:$I,MATCH(RANDBETWEEN(1,(MAX(Subject!$B:$B))),Subject!$B:$B,0),3))))</f>
        <v/>
      </c>
      <c r="R369" s="2" t="str">
        <f t="array" ref="R369">IF(NOW()&gt;BC369,"",IF(AND((WEEKDAY($A369)+$B$2)&gt;1,((WEEKDAY($A369)+$T$2)&lt;7),(WEEKDAY($A369)&lt;&gt;1)),"work",(INDEX(Subject!$A:$I,MATCH(RANDBETWEEN(1,(MAX(Subject!$B:$B))),Subject!$B:$B,0),3))))</f>
        <v/>
      </c>
      <c r="S369" s="2" t="str">
        <f t="array" ref="S369">IF(NOW()&gt;BD369,"",IF(AND((WEEKDAY($A369)+$B$2)&gt;1,((WEEKDAY($A369)+$T$2)&lt;7),(WEEKDAY($A369)&lt;&gt;1)),"work",(INDEX(Subject!$A:$I,MATCH(RANDBETWEEN(1,(MAX(Subject!$B:$B))),Subject!$B:$B,0),3))))</f>
        <v/>
      </c>
      <c r="T369" s="2" t="str">
        <f t="array" ref="T369">IF(NOW()&gt;BE369,"",IF(AND((WEEKDAY($A369)+$B$2)&gt;1,((WEEKDAY($A369)+$T$2)&lt;7),(WEEKDAY($A369)&lt;&gt;1)),"work",(INDEX(Subject!$A:$I,MATCH(RANDBETWEEN(1,(MAX(Subject!$B:$B))),Subject!$B:$B,0),3))))</f>
        <v/>
      </c>
      <c r="U369" s="8" t="str">
        <f t="array" ref="U369">INDEX(Subject!$A:$I,MATCH(RANDBETWEEN(1,16),Subject!$B:$B,0),3)</f>
        <v>#N/A</v>
      </c>
      <c r="V369" s="8" t="str">
        <f t="array" ref="V369">INDEX(Subject!$A:$I,MATCH(RANDBETWEEN(1,16),Subject!$B:$B,0),3)</f>
        <v>#N/A</v>
      </c>
      <c r="W369" s="8" t="str">
        <f t="array" ref="W369">INDEX(Subject!$A:$I,MATCH(RANDBETWEEN(1,16),Subject!$B:$B,0),3)</f>
        <v>#N/A</v>
      </c>
      <c r="X369" s="8" t="str">
        <f t="array" ref="X369">INDEX(Subject!$A:$I,MATCH(RANDBETWEEN(1,16),Subject!$B:$B,0),3)</f>
        <v>#N/A</v>
      </c>
      <c r="Y369" s="8" t="str">
        <f t="array" ref="Y369">INDEX(Subject!$A:$I,MATCH(RANDBETWEEN(1,16),Subject!$B:$B,0),3)</f>
        <v>#N/A</v>
      </c>
      <c r="Z369" s="8" t="str">
        <f t="array" ref="Z369">INDEX(Subject!$A:$I,MATCH(RANDBETWEEN(1,16),Subject!$B:$B,0),3)</f>
        <v>#N/A</v>
      </c>
      <c r="AA369" s="8" t="str">
        <f t="array" ref="AA369">INDEX(Subject!$A:$I,MATCH(RANDBETWEEN(1,16),Subject!$B:$B,0),3)</f>
        <v>#N/A</v>
      </c>
      <c r="AB369" s="8" t="str">
        <f t="array" ref="AB369">INDEX(Subject!$A:$I,MATCH(RANDBETWEEN(1,16),Subject!$B:$B,0),3)</f>
        <v>#N/A</v>
      </c>
      <c r="AC369" s="8" t="str">
        <f t="array" ref="AC369">INDEX(Subject!$A:$I,MATCH(RANDBETWEEN(1,16),Subject!$B:$B,0),3)</f>
        <v>#N/A</v>
      </c>
      <c r="AD369" s="8" t="str">
        <f t="array" ref="AD369">INDEX(Subject!$A:$I,MATCH(RANDBETWEEN(1,16),Subject!$B:$B,0),3)</f>
        <v>#N/A</v>
      </c>
      <c r="AE369" s="8" t="str">
        <f t="array" ref="AE369">INDEX(Subject!$A:$I,MATCH(RANDBETWEEN(1,16),Subject!$B:$B,0),3)</f>
        <v>#N/A</v>
      </c>
      <c r="AF369" s="8" t="str">
        <f t="array" ref="AF369">INDEX(Subject!$A:$I,MATCH(RANDBETWEEN(1,16),Subject!$B:$B,0),3)</f>
        <v>#N/A</v>
      </c>
      <c r="AG369" s="8" t="str">
        <f t="array" ref="AG369">INDEX(Subject!$A:$I,MATCH(RANDBETWEEN(1,16),Subject!$B:$B,0),3)</f>
        <v>#N/A</v>
      </c>
      <c r="AH369" s="8" t="str">
        <f t="array" ref="AH369">INDEX(Subject!$A:$I,MATCH(RANDBETWEEN(1,16),Subject!$B:$B,0),3)</f>
        <v>#N/A</v>
      </c>
      <c r="AI369" s="8" t="str">
        <f t="array" ref="AI369">INDEX(Subject!$A:$I,MATCH(RANDBETWEEN(1,16),Subject!$B:$B,0),3)</f>
        <v>#N/A</v>
      </c>
      <c r="AJ369" s="8" t="str">
        <f t="array" ref="AJ369">INDEX(Subject!$A:$I,MATCH(RANDBETWEEN(1,16),Subject!$B:$B,0),3)</f>
        <v>#N/A</v>
      </c>
      <c r="AK369" s="8" t="str">
        <f t="array" ref="AK369">INDEX(Subject!$A:$I,MATCH(RANDBETWEEN(1,16),Subject!$B:$B,0),3)</f>
        <v/>
      </c>
      <c r="AL369" s="8" t="str">
        <f t="array" ref="AL369">INDEX(Subject!$A:$I,MATCH(RANDBETWEEN(1,16),Subject!$B:$B,0),3)</f>
        <v>#N/A</v>
      </c>
      <c r="AM369" s="18">
        <f t="shared" si="4"/>
        <v>45869.33333</v>
      </c>
      <c r="AN369" s="19">
        <f t="shared" ref="AN369:BZ369" si="369">$A369+C$1</f>
        <v>45869.35417</v>
      </c>
      <c r="AO369" s="19">
        <f t="shared" si="369"/>
        <v>45869.375</v>
      </c>
      <c r="AP369" s="19">
        <f t="shared" si="369"/>
        <v>45869.39583</v>
      </c>
      <c r="AQ369" s="19">
        <f t="shared" si="369"/>
        <v>45869.41667</v>
      </c>
      <c r="AR369" s="19">
        <f t="shared" si="369"/>
        <v>45869.4375</v>
      </c>
      <c r="AS369" s="19">
        <f t="shared" si="369"/>
        <v>45869.45833</v>
      </c>
      <c r="AT369" s="19">
        <f t="shared" si="369"/>
        <v>45869.47917</v>
      </c>
      <c r="AU369" s="19">
        <f t="shared" si="369"/>
        <v>45869.5</v>
      </c>
      <c r="AV369" s="19">
        <f t="shared" si="369"/>
        <v>45869.52083</v>
      </c>
      <c r="AW369" s="19">
        <f t="shared" si="369"/>
        <v>45869.54167</v>
      </c>
      <c r="AX369" s="19">
        <f t="shared" si="369"/>
        <v>45869.5625</v>
      </c>
      <c r="AY369" s="19">
        <f t="shared" si="369"/>
        <v>45869.58333</v>
      </c>
      <c r="AZ369" s="19">
        <f t="shared" si="369"/>
        <v>45869.60417</v>
      </c>
      <c r="BA369" s="19">
        <f t="shared" si="369"/>
        <v>45869.625</v>
      </c>
      <c r="BB369" s="19">
        <f t="shared" si="369"/>
        <v>45869.64583</v>
      </c>
      <c r="BC369" s="19">
        <f t="shared" si="369"/>
        <v>45869.66667</v>
      </c>
      <c r="BD369" s="19">
        <f t="shared" si="369"/>
        <v>45869.6875</v>
      </c>
      <c r="BE369" s="19">
        <f t="shared" si="369"/>
        <v>45869.70833</v>
      </c>
      <c r="BF369" s="19">
        <f t="shared" si="369"/>
        <v>45869.72917</v>
      </c>
      <c r="BG369" s="19">
        <f t="shared" si="369"/>
        <v>45869.75</v>
      </c>
      <c r="BH369" s="19">
        <f t="shared" si="369"/>
        <v>45869.77083</v>
      </c>
      <c r="BI369" s="19">
        <f t="shared" si="369"/>
        <v>45869.79167</v>
      </c>
      <c r="BJ369" s="19">
        <f t="shared" si="369"/>
        <v>45869.8125</v>
      </c>
      <c r="BK369" s="19">
        <f t="shared" si="369"/>
        <v>45869.83333</v>
      </c>
      <c r="BL369" s="19">
        <f t="shared" si="369"/>
        <v>45869.85417</v>
      </c>
      <c r="BM369" s="19">
        <f t="shared" si="369"/>
        <v>45869.875</v>
      </c>
      <c r="BN369" s="19">
        <f t="shared" si="369"/>
        <v>45869.89583</v>
      </c>
      <c r="BO369" s="19">
        <f t="shared" si="369"/>
        <v>45869.91667</v>
      </c>
      <c r="BP369" s="19">
        <f t="shared" si="369"/>
        <v>45869.9375</v>
      </c>
      <c r="BQ369" s="19">
        <f t="shared" si="369"/>
        <v>45869.95833</v>
      </c>
      <c r="BR369" s="19">
        <f t="shared" si="369"/>
        <v>45869.97917</v>
      </c>
      <c r="BS369" s="19">
        <f t="shared" si="369"/>
        <v>45870</v>
      </c>
      <c r="BT369" s="19">
        <f t="shared" si="369"/>
        <v>45870.02083</v>
      </c>
      <c r="BU369" s="19">
        <f t="shared" si="369"/>
        <v>45870.04167</v>
      </c>
      <c r="BV369" s="19">
        <f t="shared" si="369"/>
        <v>45870.0625</v>
      </c>
      <c r="BW369" s="19">
        <f t="shared" si="369"/>
        <v>45870.08333</v>
      </c>
      <c r="BX369" s="19">
        <f t="shared" si="369"/>
        <v>45869</v>
      </c>
      <c r="BY369" s="19">
        <f t="shared" si="369"/>
        <v>45869</v>
      </c>
      <c r="BZ369" s="19">
        <f t="shared" si="369"/>
        <v>45869</v>
      </c>
    </row>
    <row r="370" ht="14.25" customHeight="1">
      <c r="A370" s="17">
        <v>45870.0</v>
      </c>
      <c r="B370" s="2" t="str">
        <f t="array" ref="B370">IF(NOW()&gt;AM370,"",IF(AND((WEEKDAY($A370)+$B$2)&gt;1,((WEEKDAY($A370)+$T$2)&lt;7),(WEEKDAY($A370)&lt;&gt;1)),"work",(INDEX(Subject!$A:$I,MATCH(RANDBETWEEN(1,(MAX(Subject!$B:$B))),Subject!$B:$B,0),3))))</f>
        <v/>
      </c>
      <c r="C370" s="2" t="str">
        <f t="array" ref="C370">IF(NOW()&gt;AN370,"",IF(AND((WEEKDAY($A370)+$B$2)&gt;1,((WEEKDAY($A370)+$T$2)&lt;7),(WEEKDAY($A370)&lt;&gt;1)),"work",(INDEX(Subject!$A:$I,MATCH(RANDBETWEEN(1,(MAX(Subject!$B:$B))),Subject!$B:$B,0),3))))</f>
        <v/>
      </c>
      <c r="D370" s="2" t="str">
        <f t="array" ref="D370">IF(NOW()&gt;AO370,"",IF(AND((WEEKDAY($A370)+$B$2)&gt;1,((WEEKDAY($A370)+$T$2)&lt;7),(WEEKDAY($A370)&lt;&gt;1)),"work",(INDEX(Subject!$A:$I,MATCH(RANDBETWEEN(1,(MAX(Subject!$B:$B))),Subject!$B:$B,0),3))))</f>
        <v/>
      </c>
      <c r="E370" s="2" t="str">
        <f t="array" ref="E370">IF(NOW()&gt;AP370,"",IF(AND((WEEKDAY($A370)+$B$2)&gt;1,((WEEKDAY($A370)+$T$2)&lt;7),(WEEKDAY($A370)&lt;&gt;1)),"work",(INDEX(Subject!$A:$I,MATCH(RANDBETWEEN(1,(MAX(Subject!$B:$B))),Subject!$B:$B,0),3))))</f>
        <v/>
      </c>
      <c r="F370" s="2" t="str">
        <f t="array" ref="F370">IF(NOW()&gt;AQ370,"",IF(AND((WEEKDAY($A370)+$B$2)&gt;1,((WEEKDAY($A370)+$T$2)&lt;7),(WEEKDAY($A370)&lt;&gt;1)),"work",(INDEX(Subject!$A:$I,MATCH(RANDBETWEEN(1,(MAX(Subject!$B:$B))),Subject!$B:$B,0),3))))</f>
        <v/>
      </c>
      <c r="G370" s="2" t="str">
        <f t="array" ref="G370">IF(NOW()&gt;AR370,"",IF(AND((WEEKDAY($A370)+$B$2)&gt;1,((WEEKDAY($A370)+$T$2)&lt;7),(WEEKDAY($A370)&lt;&gt;1)),"work",(INDEX(Subject!$A:$I,MATCH(RANDBETWEEN(1,(MAX(Subject!$B:$B))),Subject!$B:$B,0),3))))</f>
        <v/>
      </c>
      <c r="H370" s="2" t="str">
        <f t="array" ref="H370">IF(NOW()&gt;AS370,"",IF(AND((WEEKDAY($A370)+$B$2)&gt;1,((WEEKDAY($A370)+$T$2)&lt;7),(WEEKDAY($A370)&lt;&gt;1)),"work",(INDEX(Subject!$A:$I,MATCH(RANDBETWEEN(1,(MAX(Subject!$B:$B))),Subject!$B:$B,0),3))))</f>
        <v/>
      </c>
      <c r="I370" s="2" t="str">
        <f t="array" ref="I370">IF(NOW()&gt;AT370,"",IF(AND((WEEKDAY($A370)+$B$2)&gt;1,((WEEKDAY($A370)+$T$2)&lt;7),(WEEKDAY($A370)&lt;&gt;1)),"work",(INDEX(Subject!$A:$I,MATCH(RANDBETWEEN(1,(MAX(Subject!$B:$B))),Subject!$B:$B,0),3))))</f>
        <v/>
      </c>
      <c r="J370" s="2" t="str">
        <f t="array" ref="J370">IF(NOW()&gt;AU370,"",IF(AND((WEEKDAY($A370)+$B$2)&gt;1,((WEEKDAY($A370)+$T$2)&lt;7),(WEEKDAY($A370)&lt;&gt;1)),"work",(INDEX(Subject!$A:$I,MATCH(RANDBETWEEN(1,(MAX(Subject!$B:$B))),Subject!$B:$B,0),3))))</f>
        <v/>
      </c>
      <c r="K370" s="2" t="str">
        <f t="array" ref="K370">IF(NOW()&gt;AV370,"",IF(AND((WEEKDAY($A370)+$B$2)&gt;1,((WEEKDAY($A370)+$T$2)&lt;7),(WEEKDAY($A370)&lt;&gt;1)),"work",(INDEX(Subject!$A:$I,MATCH(RANDBETWEEN(1,(MAX(Subject!$B:$B))),Subject!$B:$B,0),3))))</f>
        <v/>
      </c>
      <c r="L370" s="2" t="str">
        <f t="array" ref="L370">IF(NOW()&gt;AW370,"",IF(AND((WEEKDAY($A370)+$B$2)&gt;1,((WEEKDAY($A370)+$T$2)&lt;7),(WEEKDAY($A370)&lt;&gt;1)),"work",(INDEX(Subject!$A:$I,MATCH(RANDBETWEEN(1,(MAX(Subject!$B:$B))),Subject!$B:$B,0),3))))</f>
        <v/>
      </c>
      <c r="M370" s="2" t="str">
        <f t="array" ref="M370">IF(NOW()&gt;AX370,"",IF(AND((WEEKDAY($A370)+$B$2)&gt;1,((WEEKDAY($A370)+$T$2)&lt;7),(WEEKDAY($A370)&lt;&gt;1)),"work",(INDEX(Subject!$A:$I,MATCH(RANDBETWEEN(1,(MAX(Subject!$B:$B))),Subject!$B:$B,0),3))))</f>
        <v/>
      </c>
      <c r="N370" s="2" t="str">
        <f t="array" ref="N370">IF(NOW()&gt;AY370,"",IF(AND((WEEKDAY($A370)+$B$2)&gt;1,((WEEKDAY($A370)+$T$2)&lt;7),(WEEKDAY($A370)&lt;&gt;1)),"work",(INDEX(Subject!$A:$I,MATCH(RANDBETWEEN(1,(MAX(Subject!$B:$B))),Subject!$B:$B,0),3))))</f>
        <v/>
      </c>
      <c r="O370" s="2" t="str">
        <f t="array" ref="O370">IF(NOW()&gt;AZ370,"",IF(AND((WEEKDAY($A370)+$B$2)&gt;1,((WEEKDAY($A370)+$T$2)&lt;7),(WEEKDAY($A370)&lt;&gt;1)),"work",(INDEX(Subject!$A:$I,MATCH(RANDBETWEEN(1,(MAX(Subject!$B:$B))),Subject!$B:$B,0),3))))</f>
        <v/>
      </c>
      <c r="P370" s="2" t="str">
        <f t="array" ref="P370">IF(NOW()&gt;BA370,"",IF(AND((WEEKDAY($A370)+$B$2)&gt;1,((WEEKDAY($A370)+$T$2)&lt;7),(WEEKDAY($A370)&lt;&gt;1)),"work",(INDEX(Subject!$A:$I,MATCH(RANDBETWEEN(1,(MAX(Subject!$B:$B))),Subject!$B:$B,0),3))))</f>
        <v/>
      </c>
      <c r="Q370" s="2" t="str">
        <f t="array" ref="Q370">IF(NOW()&gt;BB370,"",IF(AND((WEEKDAY($A370)+$B$2)&gt;1,((WEEKDAY($A370)+$T$2)&lt;7),(WEEKDAY($A370)&lt;&gt;1)),"work",(INDEX(Subject!$A:$I,MATCH(RANDBETWEEN(1,(MAX(Subject!$B:$B))),Subject!$B:$B,0),3))))</f>
        <v/>
      </c>
      <c r="R370" s="2" t="str">
        <f t="array" ref="R370">IF(NOW()&gt;BC370,"",IF(AND((WEEKDAY($A370)+$B$2)&gt;1,((WEEKDAY($A370)+$T$2)&lt;7),(WEEKDAY($A370)&lt;&gt;1)),"work",(INDEX(Subject!$A:$I,MATCH(RANDBETWEEN(1,(MAX(Subject!$B:$B))),Subject!$B:$B,0),3))))</f>
        <v/>
      </c>
      <c r="S370" s="2" t="str">
        <f t="array" ref="S370">IF(NOW()&gt;BD370,"",IF(AND((WEEKDAY($A370)+$B$2)&gt;1,((WEEKDAY($A370)+$T$2)&lt;7),(WEEKDAY($A370)&lt;&gt;1)),"work",(INDEX(Subject!$A:$I,MATCH(RANDBETWEEN(1,(MAX(Subject!$B:$B))),Subject!$B:$B,0),3))))</f>
        <v/>
      </c>
      <c r="T370" s="2" t="str">
        <f t="array" ref="T370">IF(NOW()&gt;BE370,"",IF(AND((WEEKDAY($A370)+$B$2)&gt;1,((WEEKDAY($A370)+$T$2)&lt;7),(WEEKDAY($A370)&lt;&gt;1)),"work",(INDEX(Subject!$A:$I,MATCH(RANDBETWEEN(1,(MAX(Subject!$B:$B))),Subject!$B:$B,0),3))))</f>
        <v/>
      </c>
      <c r="U370" s="8" t="str">
        <f t="array" ref="U370">INDEX(Subject!$A:$I,MATCH(RANDBETWEEN(1,16),Subject!$B:$B,0),3)</f>
        <v/>
      </c>
      <c r="V370" s="8" t="str">
        <f t="array" ref="V370">INDEX(Subject!$A:$I,MATCH(RANDBETWEEN(1,16),Subject!$B:$B,0),3)</f>
        <v>#N/A</v>
      </c>
      <c r="W370" s="8" t="str">
        <f t="array" ref="W370">INDEX(Subject!$A:$I,MATCH(RANDBETWEEN(1,16),Subject!$B:$B,0),3)</f>
        <v/>
      </c>
      <c r="X370" s="8" t="str">
        <f t="array" ref="X370">INDEX(Subject!$A:$I,MATCH(RANDBETWEEN(1,16),Subject!$B:$B,0),3)</f>
        <v>#N/A</v>
      </c>
      <c r="Y370" s="8" t="str">
        <f t="array" ref="Y370">INDEX(Subject!$A:$I,MATCH(RANDBETWEEN(1,16),Subject!$B:$B,0),3)</f>
        <v>#N/A</v>
      </c>
      <c r="Z370" s="8" t="str">
        <f t="array" ref="Z370">INDEX(Subject!$A:$I,MATCH(RANDBETWEEN(1,16),Subject!$B:$B,0),3)</f>
        <v>#N/A</v>
      </c>
      <c r="AA370" s="8" t="str">
        <f t="array" ref="AA370">INDEX(Subject!$A:$I,MATCH(RANDBETWEEN(1,16),Subject!$B:$B,0),3)</f>
        <v>#N/A</v>
      </c>
      <c r="AB370" s="8" t="str">
        <f t="array" ref="AB370">INDEX(Subject!$A:$I,MATCH(RANDBETWEEN(1,16),Subject!$B:$B,0),3)</f>
        <v>#N/A</v>
      </c>
      <c r="AC370" s="8" t="str">
        <f t="array" ref="AC370">INDEX(Subject!$A:$I,MATCH(RANDBETWEEN(1,16),Subject!$B:$B,0),3)</f>
        <v>#N/A</v>
      </c>
      <c r="AD370" s="8" t="str">
        <f t="array" ref="AD370">INDEX(Subject!$A:$I,MATCH(RANDBETWEEN(1,16),Subject!$B:$B,0),3)</f>
        <v>#N/A</v>
      </c>
      <c r="AE370" s="8" t="str">
        <f t="array" ref="AE370">INDEX(Subject!$A:$I,MATCH(RANDBETWEEN(1,16),Subject!$B:$B,0),3)</f>
        <v>#N/A</v>
      </c>
      <c r="AF370" s="8" t="str">
        <f t="array" ref="AF370">INDEX(Subject!$A:$I,MATCH(RANDBETWEEN(1,16),Subject!$B:$B,0),3)</f>
        <v>#N/A</v>
      </c>
      <c r="AG370" s="8" t="str">
        <f t="array" ref="AG370">INDEX(Subject!$A:$I,MATCH(RANDBETWEEN(1,16),Subject!$B:$B,0),3)</f>
        <v/>
      </c>
      <c r="AH370" s="8" t="str">
        <f t="array" ref="AH370">INDEX(Subject!$A:$I,MATCH(RANDBETWEEN(1,16),Subject!$B:$B,0),3)</f>
        <v>#N/A</v>
      </c>
      <c r="AI370" s="8" t="str">
        <f t="array" ref="AI370">INDEX(Subject!$A:$I,MATCH(RANDBETWEEN(1,16),Subject!$B:$B,0),3)</f>
        <v>#N/A</v>
      </c>
      <c r="AJ370" s="8" t="str">
        <f t="array" ref="AJ370">INDEX(Subject!$A:$I,MATCH(RANDBETWEEN(1,16),Subject!$B:$B,0),3)</f>
        <v>#N/A</v>
      </c>
      <c r="AK370" s="8" t="str">
        <f t="array" ref="AK370">INDEX(Subject!$A:$I,MATCH(RANDBETWEEN(1,16),Subject!$B:$B,0),3)</f>
        <v>#N/A</v>
      </c>
      <c r="AL370" s="8" t="str">
        <f t="array" ref="AL370">INDEX(Subject!$A:$I,MATCH(RANDBETWEEN(1,16),Subject!$B:$B,0),3)</f>
        <v>#N/A</v>
      </c>
      <c r="AM370" s="18">
        <f t="shared" si="4"/>
        <v>45870.33333</v>
      </c>
      <c r="AN370" s="19">
        <f t="shared" ref="AN370:BZ370" si="370">$A370+C$1</f>
        <v>45870.35417</v>
      </c>
      <c r="AO370" s="19">
        <f t="shared" si="370"/>
        <v>45870.375</v>
      </c>
      <c r="AP370" s="19">
        <f t="shared" si="370"/>
        <v>45870.39583</v>
      </c>
      <c r="AQ370" s="19">
        <f t="shared" si="370"/>
        <v>45870.41667</v>
      </c>
      <c r="AR370" s="19">
        <f t="shared" si="370"/>
        <v>45870.4375</v>
      </c>
      <c r="AS370" s="19">
        <f t="shared" si="370"/>
        <v>45870.45833</v>
      </c>
      <c r="AT370" s="19">
        <f t="shared" si="370"/>
        <v>45870.47917</v>
      </c>
      <c r="AU370" s="19">
        <f t="shared" si="370"/>
        <v>45870.5</v>
      </c>
      <c r="AV370" s="19">
        <f t="shared" si="370"/>
        <v>45870.52083</v>
      </c>
      <c r="AW370" s="19">
        <f t="shared" si="370"/>
        <v>45870.54167</v>
      </c>
      <c r="AX370" s="19">
        <f t="shared" si="370"/>
        <v>45870.5625</v>
      </c>
      <c r="AY370" s="19">
        <f t="shared" si="370"/>
        <v>45870.58333</v>
      </c>
      <c r="AZ370" s="19">
        <f t="shared" si="370"/>
        <v>45870.60417</v>
      </c>
      <c r="BA370" s="19">
        <f t="shared" si="370"/>
        <v>45870.625</v>
      </c>
      <c r="BB370" s="19">
        <f t="shared" si="370"/>
        <v>45870.64583</v>
      </c>
      <c r="BC370" s="19">
        <f t="shared" si="370"/>
        <v>45870.66667</v>
      </c>
      <c r="BD370" s="19">
        <f t="shared" si="370"/>
        <v>45870.6875</v>
      </c>
      <c r="BE370" s="19">
        <f t="shared" si="370"/>
        <v>45870.70833</v>
      </c>
      <c r="BF370" s="19">
        <f t="shared" si="370"/>
        <v>45870.72917</v>
      </c>
      <c r="BG370" s="19">
        <f t="shared" si="370"/>
        <v>45870.75</v>
      </c>
      <c r="BH370" s="19">
        <f t="shared" si="370"/>
        <v>45870.77083</v>
      </c>
      <c r="BI370" s="19">
        <f t="shared" si="370"/>
        <v>45870.79167</v>
      </c>
      <c r="BJ370" s="19">
        <f t="shared" si="370"/>
        <v>45870.8125</v>
      </c>
      <c r="BK370" s="19">
        <f t="shared" si="370"/>
        <v>45870.83333</v>
      </c>
      <c r="BL370" s="19">
        <f t="shared" si="370"/>
        <v>45870.85417</v>
      </c>
      <c r="BM370" s="19">
        <f t="shared" si="370"/>
        <v>45870.875</v>
      </c>
      <c r="BN370" s="19">
        <f t="shared" si="370"/>
        <v>45870.89583</v>
      </c>
      <c r="BO370" s="19">
        <f t="shared" si="370"/>
        <v>45870.91667</v>
      </c>
      <c r="BP370" s="19">
        <f t="shared" si="370"/>
        <v>45870.9375</v>
      </c>
      <c r="BQ370" s="19">
        <f t="shared" si="370"/>
        <v>45870.95833</v>
      </c>
      <c r="BR370" s="19">
        <f t="shared" si="370"/>
        <v>45870.97917</v>
      </c>
      <c r="BS370" s="19">
        <f t="shared" si="370"/>
        <v>45871</v>
      </c>
      <c r="BT370" s="19">
        <f t="shared" si="370"/>
        <v>45871.02083</v>
      </c>
      <c r="BU370" s="19">
        <f t="shared" si="370"/>
        <v>45871.04167</v>
      </c>
      <c r="BV370" s="19">
        <f t="shared" si="370"/>
        <v>45871.0625</v>
      </c>
      <c r="BW370" s="19">
        <f t="shared" si="370"/>
        <v>45871.08333</v>
      </c>
      <c r="BX370" s="19">
        <f t="shared" si="370"/>
        <v>45870</v>
      </c>
      <c r="BY370" s="19">
        <f t="shared" si="370"/>
        <v>45870</v>
      </c>
      <c r="BZ370" s="19">
        <f t="shared" si="370"/>
        <v>45870</v>
      </c>
    </row>
    <row r="371" ht="14.25" customHeight="1">
      <c r="A371" s="17">
        <v>45871.0</v>
      </c>
      <c r="B371" s="2" t="str">
        <f t="array" ref="B371">IF(NOW()&gt;AM371,"",IF(AND((WEEKDAY($A371)+$B$2)&gt;1,((WEEKDAY($A371)+$T$2)&lt;7),(WEEKDAY($A371)&lt;&gt;1)),"work",(INDEX(Subject!$A:$I,MATCH(RANDBETWEEN(1,(MAX(Subject!$B:$B))),Subject!$B:$B,0),3))))</f>
        <v/>
      </c>
      <c r="C371" s="2" t="str">
        <f t="array" ref="C371">IF(NOW()&gt;AN371,"",IF(AND((WEEKDAY($A371)+$B$2)&gt;1,((WEEKDAY($A371)+$T$2)&lt;7),(WEEKDAY($A371)&lt;&gt;1)),"work",(INDEX(Subject!$A:$I,MATCH(RANDBETWEEN(1,(MAX(Subject!$B:$B))),Subject!$B:$B,0),3))))</f>
        <v/>
      </c>
      <c r="D371" s="2" t="str">
        <f t="array" ref="D371">IF(NOW()&gt;AO371,"",IF(AND((WEEKDAY($A371)+$B$2)&gt;1,((WEEKDAY($A371)+$T$2)&lt;7),(WEEKDAY($A371)&lt;&gt;1)),"work",(INDEX(Subject!$A:$I,MATCH(RANDBETWEEN(1,(MAX(Subject!$B:$B))),Subject!$B:$B,0),3))))</f>
        <v/>
      </c>
      <c r="E371" s="2" t="str">
        <f t="array" ref="E371">IF(NOW()&gt;AP371,"",IF(AND((WEEKDAY($A371)+$B$2)&gt;1,((WEEKDAY($A371)+$T$2)&lt;7),(WEEKDAY($A371)&lt;&gt;1)),"work",(INDEX(Subject!$A:$I,MATCH(RANDBETWEEN(1,(MAX(Subject!$B:$B))),Subject!$B:$B,0),3))))</f>
        <v/>
      </c>
      <c r="F371" s="2" t="str">
        <f t="array" ref="F371">IF(NOW()&gt;AQ371,"",IF(AND((WEEKDAY($A371)+$B$2)&gt;1,((WEEKDAY($A371)+$T$2)&lt;7),(WEEKDAY($A371)&lt;&gt;1)),"work",(INDEX(Subject!$A:$I,MATCH(RANDBETWEEN(1,(MAX(Subject!$B:$B))),Subject!$B:$B,0),3))))</f>
        <v/>
      </c>
      <c r="G371" s="2" t="str">
        <f t="array" ref="G371">IF(NOW()&gt;AR371,"",IF(AND((WEEKDAY($A371)+$B$2)&gt;1,((WEEKDAY($A371)+$T$2)&lt;7),(WEEKDAY($A371)&lt;&gt;1)),"work",(INDEX(Subject!$A:$I,MATCH(RANDBETWEEN(1,(MAX(Subject!$B:$B))),Subject!$B:$B,0),3))))</f>
        <v/>
      </c>
      <c r="H371" s="2" t="str">
        <f t="array" ref="H371">IF(NOW()&gt;AS371,"",IF(AND((WEEKDAY($A371)+$B$2)&gt;1,((WEEKDAY($A371)+$T$2)&lt;7),(WEEKDAY($A371)&lt;&gt;1)),"work",(INDEX(Subject!$A:$I,MATCH(RANDBETWEEN(1,(MAX(Subject!$B:$B))),Subject!$B:$B,0),3))))</f>
        <v/>
      </c>
      <c r="I371" s="2" t="str">
        <f t="array" ref="I371">IF(NOW()&gt;AT371,"",IF(AND((WEEKDAY($A371)+$B$2)&gt;1,((WEEKDAY($A371)+$T$2)&lt;7),(WEEKDAY($A371)&lt;&gt;1)),"work",(INDEX(Subject!$A:$I,MATCH(RANDBETWEEN(1,(MAX(Subject!$B:$B))),Subject!$B:$B,0),3))))</f>
        <v/>
      </c>
      <c r="J371" s="2" t="str">
        <f t="array" ref="J371">IF(NOW()&gt;AU371,"",IF(AND((WEEKDAY($A371)+$B$2)&gt;1,((WEEKDAY($A371)+$T$2)&lt;7),(WEEKDAY($A371)&lt;&gt;1)),"work",(INDEX(Subject!$A:$I,MATCH(RANDBETWEEN(1,(MAX(Subject!$B:$B))),Subject!$B:$B,0),3))))</f>
        <v/>
      </c>
      <c r="K371" s="2" t="str">
        <f t="array" ref="K371">IF(NOW()&gt;AV371,"",IF(AND((WEEKDAY($A371)+$B$2)&gt;1,((WEEKDAY($A371)+$T$2)&lt;7),(WEEKDAY($A371)&lt;&gt;1)),"work",(INDEX(Subject!$A:$I,MATCH(RANDBETWEEN(1,(MAX(Subject!$B:$B))),Subject!$B:$B,0),3))))</f>
        <v/>
      </c>
      <c r="L371" s="2" t="str">
        <f t="array" ref="L371">IF(NOW()&gt;AW371,"",IF(AND((WEEKDAY($A371)+$B$2)&gt;1,((WEEKDAY($A371)+$T$2)&lt;7),(WEEKDAY($A371)&lt;&gt;1)),"work",(INDEX(Subject!$A:$I,MATCH(RANDBETWEEN(1,(MAX(Subject!$B:$B))),Subject!$B:$B,0),3))))</f>
        <v/>
      </c>
      <c r="M371" s="2" t="str">
        <f t="array" ref="M371">IF(NOW()&gt;AX371,"",IF(AND((WEEKDAY($A371)+$B$2)&gt;1,((WEEKDAY($A371)+$T$2)&lt;7),(WEEKDAY($A371)&lt;&gt;1)),"work",(INDEX(Subject!$A:$I,MATCH(RANDBETWEEN(1,(MAX(Subject!$B:$B))),Subject!$B:$B,0),3))))</f>
        <v/>
      </c>
      <c r="N371" s="2" t="str">
        <f t="array" ref="N371">IF(NOW()&gt;AY371,"",IF(AND((WEEKDAY($A371)+$B$2)&gt;1,((WEEKDAY($A371)+$T$2)&lt;7),(WEEKDAY($A371)&lt;&gt;1)),"work",(INDEX(Subject!$A:$I,MATCH(RANDBETWEEN(1,(MAX(Subject!$B:$B))),Subject!$B:$B,0),3))))</f>
        <v/>
      </c>
      <c r="O371" s="2" t="str">
        <f t="array" ref="O371">IF(NOW()&gt;AZ371,"",IF(AND((WEEKDAY($A371)+$B$2)&gt;1,((WEEKDAY($A371)+$T$2)&lt;7),(WEEKDAY($A371)&lt;&gt;1)),"work",(INDEX(Subject!$A:$I,MATCH(RANDBETWEEN(1,(MAX(Subject!$B:$B))),Subject!$B:$B,0),3))))</f>
        <v/>
      </c>
      <c r="P371" s="2" t="str">
        <f t="array" ref="P371">IF(NOW()&gt;BA371,"",IF(AND((WEEKDAY($A371)+$B$2)&gt;1,((WEEKDAY($A371)+$T$2)&lt;7),(WEEKDAY($A371)&lt;&gt;1)),"work",(INDEX(Subject!$A:$I,MATCH(RANDBETWEEN(1,(MAX(Subject!$B:$B))),Subject!$B:$B,0),3))))</f>
        <v/>
      </c>
      <c r="Q371" s="2" t="str">
        <f t="array" ref="Q371">IF(NOW()&gt;BB371,"",IF(AND((WEEKDAY($A371)+$B$2)&gt;1,((WEEKDAY($A371)+$T$2)&lt;7),(WEEKDAY($A371)&lt;&gt;1)),"work",(INDEX(Subject!$A:$I,MATCH(RANDBETWEEN(1,(MAX(Subject!$B:$B))),Subject!$B:$B,0),3))))</f>
        <v/>
      </c>
      <c r="R371" s="2" t="str">
        <f t="array" ref="R371">IF(NOW()&gt;BC371,"",IF(AND((WEEKDAY($A371)+$B$2)&gt;1,((WEEKDAY($A371)+$T$2)&lt;7),(WEEKDAY($A371)&lt;&gt;1)),"work",(INDEX(Subject!$A:$I,MATCH(RANDBETWEEN(1,(MAX(Subject!$B:$B))),Subject!$B:$B,0),3))))</f>
        <v/>
      </c>
      <c r="S371" s="2" t="str">
        <f t="array" ref="S371">IF(NOW()&gt;BD371,"",IF(AND((WEEKDAY($A371)+$B$2)&gt;1,((WEEKDAY($A371)+$T$2)&lt;7),(WEEKDAY($A371)&lt;&gt;1)),"work",(INDEX(Subject!$A:$I,MATCH(RANDBETWEEN(1,(MAX(Subject!$B:$B))),Subject!$B:$B,0),3))))</f>
        <v/>
      </c>
      <c r="T371" s="2" t="str">
        <f t="array" ref="T371">IF(NOW()&gt;BE371,"",IF(AND((WEEKDAY($A371)+$B$2)&gt;1,((WEEKDAY($A371)+$T$2)&lt;7),(WEEKDAY($A371)&lt;&gt;1)),"work",(INDEX(Subject!$A:$I,MATCH(RANDBETWEEN(1,(MAX(Subject!$B:$B))),Subject!$B:$B,0),3))))</f>
        <v/>
      </c>
      <c r="U371" s="8" t="str">
        <f t="array" ref="U371">INDEX(Subject!$A:$I,MATCH(RANDBETWEEN(1,16),Subject!$B:$B,0),3)</f>
        <v>#N/A</v>
      </c>
      <c r="V371" s="8" t="str">
        <f t="array" ref="V371">INDEX(Subject!$A:$I,MATCH(RANDBETWEEN(1,16),Subject!$B:$B,0),3)</f>
        <v>#N/A</v>
      </c>
      <c r="W371" s="8" t="str">
        <f t="array" ref="W371">INDEX(Subject!$A:$I,MATCH(RANDBETWEEN(1,16),Subject!$B:$B,0),3)</f>
        <v>#N/A</v>
      </c>
      <c r="X371" s="8" t="str">
        <f t="array" ref="X371">INDEX(Subject!$A:$I,MATCH(RANDBETWEEN(1,16),Subject!$B:$B,0),3)</f>
        <v>#N/A</v>
      </c>
      <c r="Y371" s="8" t="str">
        <f t="array" ref="Y371">INDEX(Subject!$A:$I,MATCH(RANDBETWEEN(1,16),Subject!$B:$B,0),3)</f>
        <v>#N/A</v>
      </c>
      <c r="Z371" s="8" t="str">
        <f t="array" ref="Z371">INDEX(Subject!$A:$I,MATCH(RANDBETWEEN(1,16),Subject!$B:$B,0),3)</f>
        <v/>
      </c>
      <c r="AA371" s="8" t="str">
        <f t="array" ref="AA371">INDEX(Subject!$A:$I,MATCH(RANDBETWEEN(1,16),Subject!$B:$B,0),3)</f>
        <v>#N/A</v>
      </c>
      <c r="AB371" s="8" t="str">
        <f t="array" ref="AB371">INDEX(Subject!$A:$I,MATCH(RANDBETWEEN(1,16),Subject!$B:$B,0),3)</f>
        <v>#N/A</v>
      </c>
      <c r="AC371" s="8" t="str">
        <f t="array" ref="AC371">INDEX(Subject!$A:$I,MATCH(RANDBETWEEN(1,16),Subject!$B:$B,0),3)</f>
        <v>#N/A</v>
      </c>
      <c r="AD371" s="8" t="str">
        <f t="array" ref="AD371">INDEX(Subject!$A:$I,MATCH(RANDBETWEEN(1,16),Subject!$B:$B,0),3)</f>
        <v/>
      </c>
      <c r="AE371" s="8" t="str">
        <f t="array" ref="AE371">INDEX(Subject!$A:$I,MATCH(RANDBETWEEN(1,16),Subject!$B:$B,0),3)</f>
        <v>#N/A</v>
      </c>
      <c r="AF371" s="8" t="str">
        <f t="array" ref="AF371">INDEX(Subject!$A:$I,MATCH(RANDBETWEEN(1,16),Subject!$B:$B,0),3)</f>
        <v/>
      </c>
      <c r="AG371" s="8" t="str">
        <f t="array" ref="AG371">INDEX(Subject!$A:$I,MATCH(RANDBETWEEN(1,16),Subject!$B:$B,0),3)</f>
        <v>#N/A</v>
      </c>
      <c r="AH371" s="8" t="str">
        <f t="array" ref="AH371">INDEX(Subject!$A:$I,MATCH(RANDBETWEEN(1,16),Subject!$B:$B,0),3)</f>
        <v>#N/A</v>
      </c>
      <c r="AI371" s="8" t="str">
        <f t="array" ref="AI371">INDEX(Subject!$A:$I,MATCH(RANDBETWEEN(1,16),Subject!$B:$B,0),3)</f>
        <v>#N/A</v>
      </c>
      <c r="AJ371" s="8" t="str">
        <f t="array" ref="AJ371">INDEX(Subject!$A:$I,MATCH(RANDBETWEEN(1,16),Subject!$B:$B,0),3)</f>
        <v>#N/A</v>
      </c>
      <c r="AK371" s="8" t="str">
        <f t="array" ref="AK371">INDEX(Subject!$A:$I,MATCH(RANDBETWEEN(1,16),Subject!$B:$B,0),3)</f>
        <v>#N/A</v>
      </c>
      <c r="AL371" s="8" t="str">
        <f t="array" ref="AL371">INDEX(Subject!$A:$I,MATCH(RANDBETWEEN(1,16),Subject!$B:$B,0),3)</f>
        <v>#N/A</v>
      </c>
      <c r="AM371" s="18">
        <f t="shared" si="4"/>
        <v>45871.33333</v>
      </c>
      <c r="AN371" s="19">
        <f t="shared" ref="AN371:BZ371" si="371">$A371+C$1</f>
        <v>45871.35417</v>
      </c>
      <c r="AO371" s="19">
        <f t="shared" si="371"/>
        <v>45871.375</v>
      </c>
      <c r="AP371" s="19">
        <f t="shared" si="371"/>
        <v>45871.39583</v>
      </c>
      <c r="AQ371" s="19">
        <f t="shared" si="371"/>
        <v>45871.41667</v>
      </c>
      <c r="AR371" s="19">
        <f t="shared" si="371"/>
        <v>45871.4375</v>
      </c>
      <c r="AS371" s="19">
        <f t="shared" si="371"/>
        <v>45871.45833</v>
      </c>
      <c r="AT371" s="19">
        <f t="shared" si="371"/>
        <v>45871.47917</v>
      </c>
      <c r="AU371" s="19">
        <f t="shared" si="371"/>
        <v>45871.5</v>
      </c>
      <c r="AV371" s="19">
        <f t="shared" si="371"/>
        <v>45871.52083</v>
      </c>
      <c r="AW371" s="19">
        <f t="shared" si="371"/>
        <v>45871.54167</v>
      </c>
      <c r="AX371" s="19">
        <f t="shared" si="371"/>
        <v>45871.5625</v>
      </c>
      <c r="AY371" s="19">
        <f t="shared" si="371"/>
        <v>45871.58333</v>
      </c>
      <c r="AZ371" s="19">
        <f t="shared" si="371"/>
        <v>45871.60417</v>
      </c>
      <c r="BA371" s="19">
        <f t="shared" si="371"/>
        <v>45871.625</v>
      </c>
      <c r="BB371" s="19">
        <f t="shared" si="371"/>
        <v>45871.64583</v>
      </c>
      <c r="BC371" s="19">
        <f t="shared" si="371"/>
        <v>45871.66667</v>
      </c>
      <c r="BD371" s="19">
        <f t="shared" si="371"/>
        <v>45871.6875</v>
      </c>
      <c r="BE371" s="19">
        <f t="shared" si="371"/>
        <v>45871.70833</v>
      </c>
      <c r="BF371" s="19">
        <f t="shared" si="371"/>
        <v>45871.72917</v>
      </c>
      <c r="BG371" s="19">
        <f t="shared" si="371"/>
        <v>45871.75</v>
      </c>
      <c r="BH371" s="19">
        <f t="shared" si="371"/>
        <v>45871.77083</v>
      </c>
      <c r="BI371" s="19">
        <f t="shared" si="371"/>
        <v>45871.79167</v>
      </c>
      <c r="BJ371" s="19">
        <f t="shared" si="371"/>
        <v>45871.8125</v>
      </c>
      <c r="BK371" s="19">
        <f t="shared" si="371"/>
        <v>45871.83333</v>
      </c>
      <c r="BL371" s="19">
        <f t="shared" si="371"/>
        <v>45871.85417</v>
      </c>
      <c r="BM371" s="19">
        <f t="shared" si="371"/>
        <v>45871.875</v>
      </c>
      <c r="BN371" s="19">
        <f t="shared" si="371"/>
        <v>45871.89583</v>
      </c>
      <c r="BO371" s="19">
        <f t="shared" si="371"/>
        <v>45871.91667</v>
      </c>
      <c r="BP371" s="19">
        <f t="shared" si="371"/>
        <v>45871.9375</v>
      </c>
      <c r="BQ371" s="19">
        <f t="shared" si="371"/>
        <v>45871.95833</v>
      </c>
      <c r="BR371" s="19">
        <f t="shared" si="371"/>
        <v>45871.97917</v>
      </c>
      <c r="BS371" s="19">
        <f t="shared" si="371"/>
        <v>45872</v>
      </c>
      <c r="BT371" s="19">
        <f t="shared" si="371"/>
        <v>45872.02083</v>
      </c>
      <c r="BU371" s="19">
        <f t="shared" si="371"/>
        <v>45872.04167</v>
      </c>
      <c r="BV371" s="19">
        <f t="shared" si="371"/>
        <v>45872.0625</v>
      </c>
      <c r="BW371" s="19">
        <f t="shared" si="371"/>
        <v>45872.08333</v>
      </c>
      <c r="BX371" s="19">
        <f t="shared" si="371"/>
        <v>45871</v>
      </c>
      <c r="BY371" s="19">
        <f t="shared" si="371"/>
        <v>45871</v>
      </c>
      <c r="BZ371" s="19">
        <f t="shared" si="371"/>
        <v>45871</v>
      </c>
    </row>
    <row r="372" ht="14.25" customHeight="1">
      <c r="A372" s="17">
        <v>45872.0</v>
      </c>
      <c r="B372" s="2" t="str">
        <f t="array" ref="B372">IF(NOW()&gt;AM372,"",IF(AND((WEEKDAY($A372)+$B$2)&gt;1,((WEEKDAY($A372)+$T$2)&lt;7),(WEEKDAY($A372)&lt;&gt;1)),"work",(INDEX(Subject!$A:$I,MATCH(RANDBETWEEN(1,(MAX(Subject!$B:$B))),Subject!$B:$B,0),3))))</f>
        <v/>
      </c>
      <c r="C372" s="2" t="str">
        <f t="array" ref="C372">IF(NOW()&gt;AN372,"",IF(AND((WEEKDAY($A372)+$B$2)&gt;1,((WEEKDAY($A372)+$T$2)&lt;7),(WEEKDAY($A372)&lt;&gt;1)),"work",(INDEX(Subject!$A:$I,MATCH(RANDBETWEEN(1,(MAX(Subject!$B:$B))),Subject!$B:$B,0),3))))</f>
        <v/>
      </c>
      <c r="D372" s="2" t="str">
        <f t="array" ref="D372">IF(NOW()&gt;AO372,"",IF(AND((WEEKDAY($A372)+$B$2)&gt;1,((WEEKDAY($A372)+$T$2)&lt;7),(WEEKDAY($A372)&lt;&gt;1)),"work",(INDEX(Subject!$A:$I,MATCH(RANDBETWEEN(1,(MAX(Subject!$B:$B))),Subject!$B:$B,0),3))))</f>
        <v/>
      </c>
      <c r="E372" s="2" t="str">
        <f t="array" ref="E372">IF(NOW()&gt;AP372,"",IF(AND((WEEKDAY($A372)+$B$2)&gt;1,((WEEKDAY($A372)+$T$2)&lt;7),(WEEKDAY($A372)&lt;&gt;1)),"work",(INDEX(Subject!$A:$I,MATCH(RANDBETWEEN(1,(MAX(Subject!$B:$B))),Subject!$B:$B,0),3))))</f>
        <v/>
      </c>
      <c r="F372" s="2" t="str">
        <f t="array" ref="F372">IF(NOW()&gt;AQ372,"",IF(AND((WEEKDAY($A372)+$B$2)&gt;1,((WEEKDAY($A372)+$T$2)&lt;7),(WEEKDAY($A372)&lt;&gt;1)),"work",(INDEX(Subject!$A:$I,MATCH(RANDBETWEEN(1,(MAX(Subject!$B:$B))),Subject!$B:$B,0),3))))</f>
        <v/>
      </c>
      <c r="G372" s="2" t="str">
        <f t="array" ref="G372">IF(NOW()&gt;AR372,"",IF(AND((WEEKDAY($A372)+$B$2)&gt;1,((WEEKDAY($A372)+$T$2)&lt;7),(WEEKDAY($A372)&lt;&gt;1)),"work",(INDEX(Subject!$A:$I,MATCH(RANDBETWEEN(1,(MAX(Subject!$B:$B))),Subject!$B:$B,0),3))))</f>
        <v/>
      </c>
      <c r="H372" s="2" t="str">
        <f t="array" ref="H372">IF(NOW()&gt;AS372,"",IF(AND((WEEKDAY($A372)+$B$2)&gt;1,((WEEKDAY($A372)+$T$2)&lt;7),(WEEKDAY($A372)&lt;&gt;1)),"work",(INDEX(Subject!$A:$I,MATCH(RANDBETWEEN(1,(MAX(Subject!$B:$B))),Subject!$B:$B,0),3))))</f>
        <v/>
      </c>
      <c r="I372" s="2" t="str">
        <f t="array" ref="I372">IF(NOW()&gt;AT372,"",IF(AND((WEEKDAY($A372)+$B$2)&gt;1,((WEEKDAY($A372)+$T$2)&lt;7),(WEEKDAY($A372)&lt;&gt;1)),"work",(INDEX(Subject!$A:$I,MATCH(RANDBETWEEN(1,(MAX(Subject!$B:$B))),Subject!$B:$B,0),3))))</f>
        <v/>
      </c>
      <c r="J372" s="2" t="str">
        <f t="array" ref="J372">IF(NOW()&gt;AU372,"",IF(AND((WEEKDAY($A372)+$B$2)&gt;1,((WEEKDAY($A372)+$T$2)&lt;7),(WEEKDAY($A372)&lt;&gt;1)),"work",(INDEX(Subject!$A:$I,MATCH(RANDBETWEEN(1,(MAX(Subject!$B:$B))),Subject!$B:$B,0),3))))</f>
        <v/>
      </c>
      <c r="K372" s="2" t="str">
        <f t="array" ref="K372">IF(NOW()&gt;AV372,"",IF(AND((WEEKDAY($A372)+$B$2)&gt;1,((WEEKDAY($A372)+$T$2)&lt;7),(WEEKDAY($A372)&lt;&gt;1)),"work",(INDEX(Subject!$A:$I,MATCH(RANDBETWEEN(1,(MAX(Subject!$B:$B))),Subject!$B:$B,0),3))))</f>
        <v/>
      </c>
      <c r="L372" s="2" t="str">
        <f t="array" ref="L372">IF(NOW()&gt;AW372,"",IF(AND((WEEKDAY($A372)+$B$2)&gt;1,((WEEKDAY($A372)+$T$2)&lt;7),(WEEKDAY($A372)&lt;&gt;1)),"work",(INDEX(Subject!$A:$I,MATCH(RANDBETWEEN(1,(MAX(Subject!$B:$B))),Subject!$B:$B,0),3))))</f>
        <v/>
      </c>
      <c r="M372" s="2" t="str">
        <f t="array" ref="M372">IF(NOW()&gt;AX372,"",IF(AND((WEEKDAY($A372)+$B$2)&gt;1,((WEEKDAY($A372)+$T$2)&lt;7),(WEEKDAY($A372)&lt;&gt;1)),"work",(INDEX(Subject!$A:$I,MATCH(RANDBETWEEN(1,(MAX(Subject!$B:$B))),Subject!$B:$B,0),3))))</f>
        <v/>
      </c>
      <c r="N372" s="2" t="str">
        <f t="array" ref="N372">IF(NOW()&gt;AY372,"",IF(AND((WEEKDAY($A372)+$B$2)&gt;1,((WEEKDAY($A372)+$T$2)&lt;7),(WEEKDAY($A372)&lt;&gt;1)),"work",(INDEX(Subject!$A:$I,MATCH(RANDBETWEEN(1,(MAX(Subject!$B:$B))),Subject!$B:$B,0),3))))</f>
        <v/>
      </c>
      <c r="O372" s="2" t="str">
        <f t="array" ref="O372">IF(NOW()&gt;AZ372,"",IF(AND((WEEKDAY($A372)+$B$2)&gt;1,((WEEKDAY($A372)+$T$2)&lt;7),(WEEKDAY($A372)&lt;&gt;1)),"work",(INDEX(Subject!$A:$I,MATCH(RANDBETWEEN(1,(MAX(Subject!$B:$B))),Subject!$B:$B,0),3))))</f>
        <v/>
      </c>
      <c r="P372" s="2" t="str">
        <f t="array" ref="P372">IF(NOW()&gt;BA372,"",IF(AND((WEEKDAY($A372)+$B$2)&gt;1,((WEEKDAY($A372)+$T$2)&lt;7),(WEEKDAY($A372)&lt;&gt;1)),"work",(INDEX(Subject!$A:$I,MATCH(RANDBETWEEN(1,(MAX(Subject!$B:$B))),Subject!$B:$B,0),3))))</f>
        <v/>
      </c>
      <c r="Q372" s="2" t="str">
        <f t="array" ref="Q372">IF(NOW()&gt;BB372,"",IF(AND((WEEKDAY($A372)+$B$2)&gt;1,((WEEKDAY($A372)+$T$2)&lt;7),(WEEKDAY($A372)&lt;&gt;1)),"work",(INDEX(Subject!$A:$I,MATCH(RANDBETWEEN(1,(MAX(Subject!$B:$B))),Subject!$B:$B,0),3))))</f>
        <v/>
      </c>
      <c r="R372" s="2" t="str">
        <f t="array" ref="R372">IF(NOW()&gt;BC372,"",IF(AND((WEEKDAY($A372)+$B$2)&gt;1,((WEEKDAY($A372)+$T$2)&lt;7),(WEEKDAY($A372)&lt;&gt;1)),"work",(INDEX(Subject!$A:$I,MATCH(RANDBETWEEN(1,(MAX(Subject!$B:$B))),Subject!$B:$B,0),3))))</f>
        <v/>
      </c>
      <c r="S372" s="2" t="str">
        <f t="array" ref="S372">IF(NOW()&gt;BD372,"",IF(AND((WEEKDAY($A372)+$B$2)&gt;1,((WEEKDAY($A372)+$T$2)&lt;7),(WEEKDAY($A372)&lt;&gt;1)),"work",(INDEX(Subject!$A:$I,MATCH(RANDBETWEEN(1,(MAX(Subject!$B:$B))),Subject!$B:$B,0),3))))</f>
        <v/>
      </c>
      <c r="T372" s="2" t="str">
        <f t="array" ref="T372">IF(NOW()&gt;BE372,"",IF(AND((WEEKDAY($A372)+$B$2)&gt;1,((WEEKDAY($A372)+$T$2)&lt;7),(WEEKDAY($A372)&lt;&gt;1)),"work",(INDEX(Subject!$A:$I,MATCH(RANDBETWEEN(1,(MAX(Subject!$B:$B))),Subject!$B:$B,0),3))))</f>
        <v/>
      </c>
      <c r="U372" s="8" t="str">
        <f t="array" ref="U372">INDEX(Subject!$A:$I,MATCH(RANDBETWEEN(1,16),Subject!$B:$B,0),3)</f>
        <v>#N/A</v>
      </c>
      <c r="V372" s="8" t="str">
        <f t="array" ref="V372">INDEX(Subject!$A:$I,MATCH(RANDBETWEEN(1,16),Subject!$B:$B,0),3)</f>
        <v>#N/A</v>
      </c>
      <c r="W372" s="8" t="str">
        <f t="array" ref="W372">INDEX(Subject!$A:$I,MATCH(RANDBETWEEN(1,16),Subject!$B:$B,0),3)</f>
        <v>#N/A</v>
      </c>
      <c r="X372" s="8" t="str">
        <f t="array" ref="X372">INDEX(Subject!$A:$I,MATCH(RANDBETWEEN(1,16),Subject!$B:$B,0),3)</f>
        <v>#N/A</v>
      </c>
      <c r="Y372" s="8" t="str">
        <f t="array" ref="Y372">INDEX(Subject!$A:$I,MATCH(RANDBETWEEN(1,16),Subject!$B:$B,0),3)</f>
        <v>#N/A</v>
      </c>
      <c r="Z372" s="8" t="str">
        <f t="array" ref="Z372">INDEX(Subject!$A:$I,MATCH(RANDBETWEEN(1,16),Subject!$B:$B,0),3)</f>
        <v>#N/A</v>
      </c>
      <c r="AA372" s="8" t="str">
        <f t="array" ref="AA372">INDEX(Subject!$A:$I,MATCH(RANDBETWEEN(1,16),Subject!$B:$B,0),3)</f>
        <v>#N/A</v>
      </c>
      <c r="AB372" s="8" t="str">
        <f t="array" ref="AB372">INDEX(Subject!$A:$I,MATCH(RANDBETWEEN(1,16),Subject!$B:$B,0),3)</f>
        <v>#N/A</v>
      </c>
      <c r="AC372" s="8" t="str">
        <f t="array" ref="AC372">INDEX(Subject!$A:$I,MATCH(RANDBETWEEN(1,16),Subject!$B:$B,0),3)</f>
        <v>#N/A</v>
      </c>
      <c r="AD372" s="8" t="str">
        <f t="array" ref="AD372">INDEX(Subject!$A:$I,MATCH(RANDBETWEEN(1,16),Subject!$B:$B,0),3)</f>
        <v>#N/A</v>
      </c>
      <c r="AE372" s="8" t="str">
        <f t="array" ref="AE372">INDEX(Subject!$A:$I,MATCH(RANDBETWEEN(1,16),Subject!$B:$B,0),3)</f>
        <v>#N/A</v>
      </c>
      <c r="AF372" s="8" t="str">
        <f t="array" ref="AF372">INDEX(Subject!$A:$I,MATCH(RANDBETWEEN(1,16),Subject!$B:$B,0),3)</f>
        <v>#N/A</v>
      </c>
      <c r="AG372" s="8" t="str">
        <f t="array" ref="AG372">INDEX(Subject!$A:$I,MATCH(RANDBETWEEN(1,16),Subject!$B:$B,0),3)</f>
        <v>#N/A</v>
      </c>
      <c r="AH372" s="8" t="str">
        <f t="array" ref="AH372">INDEX(Subject!$A:$I,MATCH(RANDBETWEEN(1,16),Subject!$B:$B,0),3)</f>
        <v>#N/A</v>
      </c>
      <c r="AI372" s="8" t="str">
        <f t="array" ref="AI372">INDEX(Subject!$A:$I,MATCH(RANDBETWEEN(1,16),Subject!$B:$B,0),3)</f>
        <v/>
      </c>
      <c r="AJ372" s="8" t="str">
        <f t="array" ref="AJ372">INDEX(Subject!$A:$I,MATCH(RANDBETWEEN(1,16),Subject!$B:$B,0),3)</f>
        <v>#N/A</v>
      </c>
      <c r="AK372" s="8" t="str">
        <f t="array" ref="AK372">INDEX(Subject!$A:$I,MATCH(RANDBETWEEN(1,16),Subject!$B:$B,0),3)</f>
        <v>#N/A</v>
      </c>
      <c r="AL372" s="8" t="str">
        <f t="array" ref="AL372">INDEX(Subject!$A:$I,MATCH(RANDBETWEEN(1,16),Subject!$B:$B,0),3)</f>
        <v>#N/A</v>
      </c>
      <c r="AM372" s="18">
        <f t="shared" si="4"/>
        <v>45872.33333</v>
      </c>
      <c r="AN372" s="19">
        <f t="shared" ref="AN372:BZ372" si="372">$A372+C$1</f>
        <v>45872.35417</v>
      </c>
      <c r="AO372" s="19">
        <f t="shared" si="372"/>
        <v>45872.375</v>
      </c>
      <c r="AP372" s="19">
        <f t="shared" si="372"/>
        <v>45872.39583</v>
      </c>
      <c r="AQ372" s="19">
        <f t="shared" si="372"/>
        <v>45872.41667</v>
      </c>
      <c r="AR372" s="19">
        <f t="shared" si="372"/>
        <v>45872.4375</v>
      </c>
      <c r="AS372" s="19">
        <f t="shared" si="372"/>
        <v>45872.45833</v>
      </c>
      <c r="AT372" s="19">
        <f t="shared" si="372"/>
        <v>45872.47917</v>
      </c>
      <c r="AU372" s="19">
        <f t="shared" si="372"/>
        <v>45872.5</v>
      </c>
      <c r="AV372" s="19">
        <f t="shared" si="372"/>
        <v>45872.52083</v>
      </c>
      <c r="AW372" s="19">
        <f t="shared" si="372"/>
        <v>45872.54167</v>
      </c>
      <c r="AX372" s="19">
        <f t="shared" si="372"/>
        <v>45872.5625</v>
      </c>
      <c r="AY372" s="19">
        <f t="shared" si="372"/>
        <v>45872.58333</v>
      </c>
      <c r="AZ372" s="19">
        <f t="shared" si="372"/>
        <v>45872.60417</v>
      </c>
      <c r="BA372" s="19">
        <f t="shared" si="372"/>
        <v>45872.625</v>
      </c>
      <c r="BB372" s="19">
        <f t="shared" si="372"/>
        <v>45872.64583</v>
      </c>
      <c r="BC372" s="19">
        <f t="shared" si="372"/>
        <v>45872.66667</v>
      </c>
      <c r="BD372" s="19">
        <f t="shared" si="372"/>
        <v>45872.6875</v>
      </c>
      <c r="BE372" s="19">
        <f t="shared" si="372"/>
        <v>45872.70833</v>
      </c>
      <c r="BF372" s="19">
        <f t="shared" si="372"/>
        <v>45872.72917</v>
      </c>
      <c r="BG372" s="19">
        <f t="shared" si="372"/>
        <v>45872.75</v>
      </c>
      <c r="BH372" s="19">
        <f t="shared" si="372"/>
        <v>45872.77083</v>
      </c>
      <c r="BI372" s="19">
        <f t="shared" si="372"/>
        <v>45872.79167</v>
      </c>
      <c r="BJ372" s="19">
        <f t="shared" si="372"/>
        <v>45872.8125</v>
      </c>
      <c r="BK372" s="19">
        <f t="shared" si="372"/>
        <v>45872.83333</v>
      </c>
      <c r="BL372" s="19">
        <f t="shared" si="372"/>
        <v>45872.85417</v>
      </c>
      <c r="BM372" s="19">
        <f t="shared" si="372"/>
        <v>45872.875</v>
      </c>
      <c r="BN372" s="19">
        <f t="shared" si="372"/>
        <v>45872.89583</v>
      </c>
      <c r="BO372" s="19">
        <f t="shared" si="372"/>
        <v>45872.91667</v>
      </c>
      <c r="BP372" s="19">
        <f t="shared" si="372"/>
        <v>45872.9375</v>
      </c>
      <c r="BQ372" s="19">
        <f t="shared" si="372"/>
        <v>45872.95833</v>
      </c>
      <c r="BR372" s="19">
        <f t="shared" si="372"/>
        <v>45872.97917</v>
      </c>
      <c r="BS372" s="19">
        <f t="shared" si="372"/>
        <v>45873</v>
      </c>
      <c r="BT372" s="19">
        <f t="shared" si="372"/>
        <v>45873.02083</v>
      </c>
      <c r="BU372" s="19">
        <f t="shared" si="372"/>
        <v>45873.04167</v>
      </c>
      <c r="BV372" s="19">
        <f t="shared" si="372"/>
        <v>45873.0625</v>
      </c>
      <c r="BW372" s="19">
        <f t="shared" si="372"/>
        <v>45873.08333</v>
      </c>
      <c r="BX372" s="19">
        <f t="shared" si="372"/>
        <v>45872</v>
      </c>
      <c r="BY372" s="19">
        <f t="shared" si="372"/>
        <v>45872</v>
      </c>
      <c r="BZ372" s="19">
        <f t="shared" si="372"/>
        <v>45872</v>
      </c>
    </row>
    <row r="373" ht="14.25" customHeight="1">
      <c r="A373" s="17">
        <v>45873.0</v>
      </c>
      <c r="B373" s="2" t="str">
        <f t="array" ref="B373">IF(NOW()&gt;AM373,"",IF(AND((WEEKDAY($A373)+$B$2)&gt;1,((WEEKDAY($A373)+$T$2)&lt;7),(WEEKDAY($A373)&lt;&gt;1)),"work",(INDEX(Subject!$A:$I,MATCH(RANDBETWEEN(1,(MAX(Subject!$B:$B))),Subject!$B:$B,0),3))))</f>
        <v/>
      </c>
      <c r="C373" s="2" t="str">
        <f t="array" ref="C373">IF(NOW()&gt;AN373,"",IF(AND((WEEKDAY($A373)+$B$2)&gt;1,((WEEKDAY($A373)+$T$2)&lt;7),(WEEKDAY($A373)&lt;&gt;1)),"work",(INDEX(Subject!$A:$I,MATCH(RANDBETWEEN(1,(MAX(Subject!$B:$B))),Subject!$B:$B,0),3))))</f>
        <v/>
      </c>
      <c r="D373" s="2" t="str">
        <f t="array" ref="D373">IF(NOW()&gt;AO373,"",IF(AND((WEEKDAY($A373)+$B$2)&gt;1,((WEEKDAY($A373)+$T$2)&lt;7),(WEEKDAY($A373)&lt;&gt;1)),"work",(INDEX(Subject!$A:$I,MATCH(RANDBETWEEN(1,(MAX(Subject!$B:$B))),Subject!$B:$B,0),3))))</f>
        <v/>
      </c>
      <c r="E373" s="2" t="str">
        <f t="array" ref="E373">IF(NOW()&gt;AP373,"",IF(AND((WEEKDAY($A373)+$B$2)&gt;1,((WEEKDAY($A373)+$T$2)&lt;7),(WEEKDAY($A373)&lt;&gt;1)),"work",(INDEX(Subject!$A:$I,MATCH(RANDBETWEEN(1,(MAX(Subject!$B:$B))),Subject!$B:$B,0),3))))</f>
        <v/>
      </c>
      <c r="F373" s="2" t="str">
        <f t="array" ref="F373">IF(NOW()&gt;AQ373,"",IF(AND((WEEKDAY($A373)+$B$2)&gt;1,((WEEKDAY($A373)+$T$2)&lt;7),(WEEKDAY($A373)&lt;&gt;1)),"work",(INDEX(Subject!$A:$I,MATCH(RANDBETWEEN(1,(MAX(Subject!$B:$B))),Subject!$B:$B,0),3))))</f>
        <v/>
      </c>
      <c r="G373" s="2" t="str">
        <f t="array" ref="G373">IF(NOW()&gt;AR373,"",IF(AND((WEEKDAY($A373)+$B$2)&gt;1,((WEEKDAY($A373)+$T$2)&lt;7),(WEEKDAY($A373)&lt;&gt;1)),"work",(INDEX(Subject!$A:$I,MATCH(RANDBETWEEN(1,(MAX(Subject!$B:$B))),Subject!$B:$B,0),3))))</f>
        <v/>
      </c>
      <c r="H373" s="2" t="str">
        <f t="array" ref="H373">IF(NOW()&gt;AS373,"",IF(AND((WEEKDAY($A373)+$B$2)&gt;1,((WEEKDAY($A373)+$T$2)&lt;7),(WEEKDAY($A373)&lt;&gt;1)),"work",(INDEX(Subject!$A:$I,MATCH(RANDBETWEEN(1,(MAX(Subject!$B:$B))),Subject!$B:$B,0),3))))</f>
        <v/>
      </c>
      <c r="I373" s="2" t="str">
        <f t="array" ref="I373">IF(NOW()&gt;AT373,"",IF(AND((WEEKDAY($A373)+$B$2)&gt;1,((WEEKDAY($A373)+$T$2)&lt;7),(WEEKDAY($A373)&lt;&gt;1)),"work",(INDEX(Subject!$A:$I,MATCH(RANDBETWEEN(1,(MAX(Subject!$B:$B))),Subject!$B:$B,0),3))))</f>
        <v/>
      </c>
      <c r="J373" s="2" t="str">
        <f t="array" ref="J373">IF(NOW()&gt;AU373,"",IF(AND((WEEKDAY($A373)+$B$2)&gt;1,((WEEKDAY($A373)+$T$2)&lt;7),(WEEKDAY($A373)&lt;&gt;1)),"work",(INDEX(Subject!$A:$I,MATCH(RANDBETWEEN(1,(MAX(Subject!$B:$B))),Subject!$B:$B,0),3))))</f>
        <v/>
      </c>
      <c r="K373" s="2" t="str">
        <f t="array" ref="K373">IF(NOW()&gt;AV373,"",IF(AND((WEEKDAY($A373)+$B$2)&gt;1,((WEEKDAY($A373)+$T$2)&lt;7),(WEEKDAY($A373)&lt;&gt;1)),"work",(INDEX(Subject!$A:$I,MATCH(RANDBETWEEN(1,(MAX(Subject!$B:$B))),Subject!$B:$B,0),3))))</f>
        <v/>
      </c>
      <c r="L373" s="2" t="str">
        <f t="array" ref="L373">IF(NOW()&gt;AW373,"",IF(AND((WEEKDAY($A373)+$B$2)&gt;1,((WEEKDAY($A373)+$T$2)&lt;7),(WEEKDAY($A373)&lt;&gt;1)),"work",(INDEX(Subject!$A:$I,MATCH(RANDBETWEEN(1,(MAX(Subject!$B:$B))),Subject!$B:$B,0),3))))</f>
        <v/>
      </c>
      <c r="M373" s="2" t="str">
        <f t="array" ref="M373">IF(NOW()&gt;AX373,"",IF(AND((WEEKDAY($A373)+$B$2)&gt;1,((WEEKDAY($A373)+$T$2)&lt;7),(WEEKDAY($A373)&lt;&gt;1)),"work",(INDEX(Subject!$A:$I,MATCH(RANDBETWEEN(1,(MAX(Subject!$B:$B))),Subject!$B:$B,0),3))))</f>
        <v/>
      </c>
      <c r="N373" s="2" t="str">
        <f t="array" ref="N373">IF(NOW()&gt;AY373,"",IF(AND((WEEKDAY($A373)+$B$2)&gt;1,((WEEKDAY($A373)+$T$2)&lt;7),(WEEKDAY($A373)&lt;&gt;1)),"work",(INDEX(Subject!$A:$I,MATCH(RANDBETWEEN(1,(MAX(Subject!$B:$B))),Subject!$B:$B,0),3))))</f>
        <v/>
      </c>
      <c r="O373" s="2" t="str">
        <f t="array" ref="O373">IF(NOW()&gt;AZ373,"",IF(AND((WEEKDAY($A373)+$B$2)&gt;1,((WEEKDAY($A373)+$T$2)&lt;7),(WEEKDAY($A373)&lt;&gt;1)),"work",(INDEX(Subject!$A:$I,MATCH(RANDBETWEEN(1,(MAX(Subject!$B:$B))),Subject!$B:$B,0),3))))</f>
        <v/>
      </c>
      <c r="P373" s="2" t="str">
        <f t="array" ref="P373">IF(NOW()&gt;BA373,"",IF(AND((WEEKDAY($A373)+$B$2)&gt;1,((WEEKDAY($A373)+$T$2)&lt;7),(WEEKDAY($A373)&lt;&gt;1)),"work",(INDEX(Subject!$A:$I,MATCH(RANDBETWEEN(1,(MAX(Subject!$B:$B))),Subject!$B:$B,0),3))))</f>
        <v/>
      </c>
      <c r="Q373" s="2" t="str">
        <f t="array" ref="Q373">IF(NOW()&gt;BB373,"",IF(AND((WEEKDAY($A373)+$B$2)&gt;1,((WEEKDAY($A373)+$T$2)&lt;7),(WEEKDAY($A373)&lt;&gt;1)),"work",(INDEX(Subject!$A:$I,MATCH(RANDBETWEEN(1,(MAX(Subject!$B:$B))),Subject!$B:$B,0),3))))</f>
        <v/>
      </c>
      <c r="R373" s="2" t="str">
        <f t="array" ref="R373">IF(NOW()&gt;BC373,"",IF(AND((WEEKDAY($A373)+$B$2)&gt;1,((WEEKDAY($A373)+$T$2)&lt;7),(WEEKDAY($A373)&lt;&gt;1)),"work",(INDEX(Subject!$A:$I,MATCH(RANDBETWEEN(1,(MAX(Subject!$B:$B))),Subject!$B:$B,0),3))))</f>
        <v/>
      </c>
      <c r="S373" s="2" t="str">
        <f t="array" ref="S373">IF(NOW()&gt;BD373,"",IF(AND((WEEKDAY($A373)+$B$2)&gt;1,((WEEKDAY($A373)+$T$2)&lt;7),(WEEKDAY($A373)&lt;&gt;1)),"work",(INDEX(Subject!$A:$I,MATCH(RANDBETWEEN(1,(MAX(Subject!$B:$B))),Subject!$B:$B,0),3))))</f>
        <v/>
      </c>
      <c r="T373" s="2" t="str">
        <f t="array" ref="T373">IF(NOW()&gt;BE373,"",IF(AND((WEEKDAY($A373)+$B$2)&gt;1,((WEEKDAY($A373)+$T$2)&lt;7),(WEEKDAY($A373)&lt;&gt;1)),"work",(INDEX(Subject!$A:$I,MATCH(RANDBETWEEN(1,(MAX(Subject!$B:$B))),Subject!$B:$B,0),3))))</f>
        <v/>
      </c>
      <c r="U373" s="8" t="str">
        <f t="array" ref="U373">INDEX(Subject!$A:$I,MATCH(RANDBETWEEN(1,16),Subject!$B:$B,0),3)</f>
        <v>#N/A</v>
      </c>
      <c r="V373" s="8" t="str">
        <f t="array" ref="V373">INDEX(Subject!$A:$I,MATCH(RANDBETWEEN(1,16),Subject!$B:$B,0),3)</f>
        <v>#N/A</v>
      </c>
      <c r="W373" s="8" t="str">
        <f t="array" ref="W373">INDEX(Subject!$A:$I,MATCH(RANDBETWEEN(1,16),Subject!$B:$B,0),3)</f>
        <v>#N/A</v>
      </c>
      <c r="X373" s="8" t="str">
        <f t="array" ref="X373">INDEX(Subject!$A:$I,MATCH(RANDBETWEEN(1,16),Subject!$B:$B,0),3)</f>
        <v>#N/A</v>
      </c>
      <c r="Y373" s="8" t="str">
        <f t="array" ref="Y373">INDEX(Subject!$A:$I,MATCH(RANDBETWEEN(1,16),Subject!$B:$B,0),3)</f>
        <v>#N/A</v>
      </c>
      <c r="Z373" s="8" t="str">
        <f t="array" ref="Z373">INDEX(Subject!$A:$I,MATCH(RANDBETWEEN(1,16),Subject!$B:$B,0),3)</f>
        <v>#N/A</v>
      </c>
      <c r="AA373" s="8" t="str">
        <f t="array" ref="AA373">INDEX(Subject!$A:$I,MATCH(RANDBETWEEN(1,16),Subject!$B:$B,0),3)</f>
        <v>#N/A</v>
      </c>
      <c r="AB373" s="8" t="str">
        <f t="array" ref="AB373">INDEX(Subject!$A:$I,MATCH(RANDBETWEEN(1,16),Subject!$B:$B,0),3)</f>
        <v>#N/A</v>
      </c>
      <c r="AC373" s="8" t="str">
        <f t="array" ref="AC373">INDEX(Subject!$A:$I,MATCH(RANDBETWEEN(1,16),Subject!$B:$B,0),3)</f>
        <v>#N/A</v>
      </c>
      <c r="AD373" s="8" t="str">
        <f t="array" ref="AD373">INDEX(Subject!$A:$I,MATCH(RANDBETWEEN(1,16),Subject!$B:$B,0),3)</f>
        <v>#N/A</v>
      </c>
      <c r="AE373" s="8" t="str">
        <f t="array" ref="AE373">INDEX(Subject!$A:$I,MATCH(RANDBETWEEN(1,16),Subject!$B:$B,0),3)</f>
        <v>#N/A</v>
      </c>
      <c r="AF373" s="8" t="str">
        <f t="array" ref="AF373">INDEX(Subject!$A:$I,MATCH(RANDBETWEEN(1,16),Subject!$B:$B,0),3)</f>
        <v>#N/A</v>
      </c>
      <c r="AG373" s="8" t="str">
        <f t="array" ref="AG373">INDEX(Subject!$A:$I,MATCH(RANDBETWEEN(1,16),Subject!$B:$B,0),3)</f>
        <v>#N/A</v>
      </c>
      <c r="AH373" s="8" t="str">
        <f t="array" ref="AH373">INDEX(Subject!$A:$I,MATCH(RANDBETWEEN(1,16),Subject!$B:$B,0),3)</f>
        <v>#N/A</v>
      </c>
      <c r="AI373" s="8" t="str">
        <f t="array" ref="AI373">INDEX(Subject!$A:$I,MATCH(RANDBETWEEN(1,16),Subject!$B:$B,0),3)</f>
        <v>#N/A</v>
      </c>
      <c r="AJ373" s="8" t="str">
        <f t="array" ref="AJ373">INDEX(Subject!$A:$I,MATCH(RANDBETWEEN(1,16),Subject!$B:$B,0),3)</f>
        <v>#N/A</v>
      </c>
      <c r="AK373" s="8" t="str">
        <f t="array" ref="AK373">INDEX(Subject!$A:$I,MATCH(RANDBETWEEN(1,16),Subject!$B:$B,0),3)</f>
        <v>#N/A</v>
      </c>
      <c r="AL373" s="8" t="str">
        <f t="array" ref="AL373">INDEX(Subject!$A:$I,MATCH(RANDBETWEEN(1,16),Subject!$B:$B,0),3)</f>
        <v>#N/A</v>
      </c>
      <c r="AM373" s="18">
        <f t="shared" si="4"/>
        <v>45873.33333</v>
      </c>
      <c r="AN373" s="19">
        <f t="shared" ref="AN373:BZ373" si="373">$A373+C$1</f>
        <v>45873.35417</v>
      </c>
      <c r="AO373" s="19">
        <f t="shared" si="373"/>
        <v>45873.375</v>
      </c>
      <c r="AP373" s="19">
        <f t="shared" si="373"/>
        <v>45873.39583</v>
      </c>
      <c r="AQ373" s="19">
        <f t="shared" si="373"/>
        <v>45873.41667</v>
      </c>
      <c r="AR373" s="19">
        <f t="shared" si="373"/>
        <v>45873.4375</v>
      </c>
      <c r="AS373" s="19">
        <f t="shared" si="373"/>
        <v>45873.45833</v>
      </c>
      <c r="AT373" s="19">
        <f t="shared" si="373"/>
        <v>45873.47917</v>
      </c>
      <c r="AU373" s="19">
        <f t="shared" si="373"/>
        <v>45873.5</v>
      </c>
      <c r="AV373" s="19">
        <f t="shared" si="373"/>
        <v>45873.52083</v>
      </c>
      <c r="AW373" s="19">
        <f t="shared" si="373"/>
        <v>45873.54167</v>
      </c>
      <c r="AX373" s="19">
        <f t="shared" si="373"/>
        <v>45873.5625</v>
      </c>
      <c r="AY373" s="19">
        <f t="shared" si="373"/>
        <v>45873.58333</v>
      </c>
      <c r="AZ373" s="19">
        <f t="shared" si="373"/>
        <v>45873.60417</v>
      </c>
      <c r="BA373" s="19">
        <f t="shared" si="373"/>
        <v>45873.625</v>
      </c>
      <c r="BB373" s="19">
        <f t="shared" si="373"/>
        <v>45873.64583</v>
      </c>
      <c r="BC373" s="19">
        <f t="shared" si="373"/>
        <v>45873.66667</v>
      </c>
      <c r="BD373" s="19">
        <f t="shared" si="373"/>
        <v>45873.6875</v>
      </c>
      <c r="BE373" s="19">
        <f t="shared" si="373"/>
        <v>45873.70833</v>
      </c>
      <c r="BF373" s="19">
        <f t="shared" si="373"/>
        <v>45873.72917</v>
      </c>
      <c r="BG373" s="19">
        <f t="shared" si="373"/>
        <v>45873.75</v>
      </c>
      <c r="BH373" s="19">
        <f t="shared" si="373"/>
        <v>45873.77083</v>
      </c>
      <c r="BI373" s="19">
        <f t="shared" si="373"/>
        <v>45873.79167</v>
      </c>
      <c r="BJ373" s="19">
        <f t="shared" si="373"/>
        <v>45873.8125</v>
      </c>
      <c r="BK373" s="19">
        <f t="shared" si="373"/>
        <v>45873.83333</v>
      </c>
      <c r="BL373" s="19">
        <f t="shared" si="373"/>
        <v>45873.85417</v>
      </c>
      <c r="BM373" s="19">
        <f t="shared" si="373"/>
        <v>45873.875</v>
      </c>
      <c r="BN373" s="19">
        <f t="shared" si="373"/>
        <v>45873.89583</v>
      </c>
      <c r="BO373" s="19">
        <f t="shared" si="373"/>
        <v>45873.91667</v>
      </c>
      <c r="BP373" s="19">
        <f t="shared" si="373"/>
        <v>45873.9375</v>
      </c>
      <c r="BQ373" s="19">
        <f t="shared" si="373"/>
        <v>45873.95833</v>
      </c>
      <c r="BR373" s="19">
        <f t="shared" si="373"/>
        <v>45873.97917</v>
      </c>
      <c r="BS373" s="19">
        <f t="shared" si="373"/>
        <v>45874</v>
      </c>
      <c r="BT373" s="19">
        <f t="shared" si="373"/>
        <v>45874.02083</v>
      </c>
      <c r="BU373" s="19">
        <f t="shared" si="373"/>
        <v>45874.04167</v>
      </c>
      <c r="BV373" s="19">
        <f t="shared" si="373"/>
        <v>45874.0625</v>
      </c>
      <c r="BW373" s="19">
        <f t="shared" si="373"/>
        <v>45874.08333</v>
      </c>
      <c r="BX373" s="19">
        <f t="shared" si="373"/>
        <v>45873</v>
      </c>
      <c r="BY373" s="19">
        <f t="shared" si="373"/>
        <v>45873</v>
      </c>
      <c r="BZ373" s="19">
        <f t="shared" si="373"/>
        <v>45873</v>
      </c>
    </row>
    <row r="374" ht="14.25" customHeight="1">
      <c r="A374" s="17">
        <v>45874.0</v>
      </c>
      <c r="B374" s="2" t="str">
        <f t="array" ref="B374">IF(NOW()&gt;AM374,"",IF(AND((WEEKDAY($A374)+$B$2)&gt;1,((WEEKDAY($A374)+$T$2)&lt;7),(WEEKDAY($A374)&lt;&gt;1)),"work",(INDEX(Subject!$A:$I,MATCH(RANDBETWEEN(1,(MAX(Subject!$B:$B))),Subject!$B:$B,0),3))))</f>
        <v/>
      </c>
      <c r="C374" s="2" t="str">
        <f t="array" ref="C374">IF(NOW()&gt;AN374,"",IF(AND((WEEKDAY($A374)+$B$2)&gt;1,((WEEKDAY($A374)+$T$2)&lt;7),(WEEKDAY($A374)&lt;&gt;1)),"work",(INDEX(Subject!$A:$I,MATCH(RANDBETWEEN(1,(MAX(Subject!$B:$B))),Subject!$B:$B,0),3))))</f>
        <v/>
      </c>
      <c r="D374" s="2" t="str">
        <f t="array" ref="D374">IF(NOW()&gt;AO374,"",IF(AND((WEEKDAY($A374)+$B$2)&gt;1,((WEEKDAY($A374)+$T$2)&lt;7),(WEEKDAY($A374)&lt;&gt;1)),"work",(INDEX(Subject!$A:$I,MATCH(RANDBETWEEN(1,(MAX(Subject!$B:$B))),Subject!$B:$B,0),3))))</f>
        <v/>
      </c>
      <c r="E374" s="2" t="str">
        <f t="array" ref="E374">IF(NOW()&gt;AP374,"",IF(AND((WEEKDAY($A374)+$B$2)&gt;1,((WEEKDAY($A374)+$T$2)&lt;7),(WEEKDAY($A374)&lt;&gt;1)),"work",(INDEX(Subject!$A:$I,MATCH(RANDBETWEEN(1,(MAX(Subject!$B:$B))),Subject!$B:$B,0),3))))</f>
        <v/>
      </c>
      <c r="F374" s="2" t="str">
        <f t="array" ref="F374">IF(NOW()&gt;AQ374,"",IF(AND((WEEKDAY($A374)+$B$2)&gt;1,((WEEKDAY($A374)+$T$2)&lt;7),(WEEKDAY($A374)&lt;&gt;1)),"work",(INDEX(Subject!$A:$I,MATCH(RANDBETWEEN(1,(MAX(Subject!$B:$B))),Subject!$B:$B,0),3))))</f>
        <v/>
      </c>
      <c r="G374" s="2" t="str">
        <f t="array" ref="G374">IF(NOW()&gt;AR374,"",IF(AND((WEEKDAY($A374)+$B$2)&gt;1,((WEEKDAY($A374)+$T$2)&lt;7),(WEEKDAY($A374)&lt;&gt;1)),"work",(INDEX(Subject!$A:$I,MATCH(RANDBETWEEN(1,(MAX(Subject!$B:$B))),Subject!$B:$B,0),3))))</f>
        <v/>
      </c>
      <c r="H374" s="2" t="str">
        <f t="array" ref="H374">IF(NOW()&gt;AS374,"",IF(AND((WEEKDAY($A374)+$B$2)&gt;1,((WEEKDAY($A374)+$T$2)&lt;7),(WEEKDAY($A374)&lt;&gt;1)),"work",(INDEX(Subject!$A:$I,MATCH(RANDBETWEEN(1,(MAX(Subject!$B:$B))),Subject!$B:$B,0),3))))</f>
        <v/>
      </c>
      <c r="I374" s="2" t="str">
        <f t="array" ref="I374">IF(NOW()&gt;AT374,"",IF(AND((WEEKDAY($A374)+$B$2)&gt;1,((WEEKDAY($A374)+$T$2)&lt;7),(WEEKDAY($A374)&lt;&gt;1)),"work",(INDEX(Subject!$A:$I,MATCH(RANDBETWEEN(1,(MAX(Subject!$B:$B))),Subject!$B:$B,0),3))))</f>
        <v/>
      </c>
      <c r="J374" s="2" t="str">
        <f t="array" ref="J374">IF(NOW()&gt;AU374,"",IF(AND((WEEKDAY($A374)+$B$2)&gt;1,((WEEKDAY($A374)+$T$2)&lt;7),(WEEKDAY($A374)&lt;&gt;1)),"work",(INDEX(Subject!$A:$I,MATCH(RANDBETWEEN(1,(MAX(Subject!$B:$B))),Subject!$B:$B,0),3))))</f>
        <v/>
      </c>
      <c r="K374" s="2" t="str">
        <f t="array" ref="K374">IF(NOW()&gt;AV374,"",IF(AND((WEEKDAY($A374)+$B$2)&gt;1,((WEEKDAY($A374)+$T$2)&lt;7),(WEEKDAY($A374)&lt;&gt;1)),"work",(INDEX(Subject!$A:$I,MATCH(RANDBETWEEN(1,(MAX(Subject!$B:$B))),Subject!$B:$B,0),3))))</f>
        <v/>
      </c>
      <c r="L374" s="2" t="str">
        <f t="array" ref="L374">IF(NOW()&gt;AW374,"",IF(AND((WEEKDAY($A374)+$B$2)&gt;1,((WEEKDAY($A374)+$T$2)&lt;7),(WEEKDAY($A374)&lt;&gt;1)),"work",(INDEX(Subject!$A:$I,MATCH(RANDBETWEEN(1,(MAX(Subject!$B:$B))),Subject!$B:$B,0),3))))</f>
        <v/>
      </c>
      <c r="M374" s="2" t="str">
        <f t="array" ref="M374">IF(NOW()&gt;AX374,"",IF(AND((WEEKDAY($A374)+$B$2)&gt;1,((WEEKDAY($A374)+$T$2)&lt;7),(WEEKDAY($A374)&lt;&gt;1)),"work",(INDEX(Subject!$A:$I,MATCH(RANDBETWEEN(1,(MAX(Subject!$B:$B))),Subject!$B:$B,0),3))))</f>
        <v/>
      </c>
      <c r="N374" s="2" t="str">
        <f t="array" ref="N374">IF(NOW()&gt;AY374,"",IF(AND((WEEKDAY($A374)+$B$2)&gt;1,((WEEKDAY($A374)+$T$2)&lt;7),(WEEKDAY($A374)&lt;&gt;1)),"work",(INDEX(Subject!$A:$I,MATCH(RANDBETWEEN(1,(MAX(Subject!$B:$B))),Subject!$B:$B,0),3))))</f>
        <v/>
      </c>
      <c r="O374" s="2" t="str">
        <f t="array" ref="O374">IF(NOW()&gt;AZ374,"",IF(AND((WEEKDAY($A374)+$B$2)&gt;1,((WEEKDAY($A374)+$T$2)&lt;7),(WEEKDAY($A374)&lt;&gt;1)),"work",(INDEX(Subject!$A:$I,MATCH(RANDBETWEEN(1,(MAX(Subject!$B:$B))),Subject!$B:$B,0),3))))</f>
        <v/>
      </c>
      <c r="P374" s="2" t="str">
        <f t="array" ref="P374">IF(NOW()&gt;BA374,"",IF(AND((WEEKDAY($A374)+$B$2)&gt;1,((WEEKDAY($A374)+$T$2)&lt;7),(WEEKDAY($A374)&lt;&gt;1)),"work",(INDEX(Subject!$A:$I,MATCH(RANDBETWEEN(1,(MAX(Subject!$B:$B))),Subject!$B:$B,0),3))))</f>
        <v/>
      </c>
      <c r="Q374" s="2" t="str">
        <f t="array" ref="Q374">IF(NOW()&gt;BB374,"",IF(AND((WEEKDAY($A374)+$B$2)&gt;1,((WEEKDAY($A374)+$T$2)&lt;7),(WEEKDAY($A374)&lt;&gt;1)),"work",(INDEX(Subject!$A:$I,MATCH(RANDBETWEEN(1,(MAX(Subject!$B:$B))),Subject!$B:$B,0),3))))</f>
        <v/>
      </c>
      <c r="R374" s="2" t="str">
        <f t="array" ref="R374">IF(NOW()&gt;BC374,"",IF(AND((WEEKDAY($A374)+$B$2)&gt;1,((WEEKDAY($A374)+$T$2)&lt;7),(WEEKDAY($A374)&lt;&gt;1)),"work",(INDEX(Subject!$A:$I,MATCH(RANDBETWEEN(1,(MAX(Subject!$B:$B))),Subject!$B:$B,0),3))))</f>
        <v/>
      </c>
      <c r="S374" s="2" t="str">
        <f t="array" ref="S374">IF(NOW()&gt;BD374,"",IF(AND((WEEKDAY($A374)+$B$2)&gt;1,((WEEKDAY($A374)+$T$2)&lt;7),(WEEKDAY($A374)&lt;&gt;1)),"work",(INDEX(Subject!$A:$I,MATCH(RANDBETWEEN(1,(MAX(Subject!$B:$B))),Subject!$B:$B,0),3))))</f>
        <v/>
      </c>
      <c r="T374" s="2" t="str">
        <f t="array" ref="T374">IF(NOW()&gt;BE374,"",IF(AND((WEEKDAY($A374)+$B$2)&gt;1,((WEEKDAY($A374)+$T$2)&lt;7),(WEEKDAY($A374)&lt;&gt;1)),"work",(INDEX(Subject!$A:$I,MATCH(RANDBETWEEN(1,(MAX(Subject!$B:$B))),Subject!$B:$B,0),3))))</f>
        <v/>
      </c>
      <c r="U374" s="8" t="str">
        <f t="array" ref="U374">INDEX(Subject!$A:$I,MATCH(RANDBETWEEN(1,16),Subject!$B:$B,0),3)</f>
        <v>#N/A</v>
      </c>
      <c r="V374" s="8" t="str">
        <f t="array" ref="V374">INDEX(Subject!$A:$I,MATCH(RANDBETWEEN(1,16),Subject!$B:$B,0),3)</f>
        <v>#N/A</v>
      </c>
      <c r="W374" s="8" t="str">
        <f t="array" ref="W374">INDEX(Subject!$A:$I,MATCH(RANDBETWEEN(1,16),Subject!$B:$B,0),3)</f>
        <v>#N/A</v>
      </c>
      <c r="X374" s="8" t="str">
        <f t="array" ref="X374">INDEX(Subject!$A:$I,MATCH(RANDBETWEEN(1,16),Subject!$B:$B,0),3)</f>
        <v>#N/A</v>
      </c>
      <c r="Y374" s="8" t="str">
        <f t="array" ref="Y374">INDEX(Subject!$A:$I,MATCH(RANDBETWEEN(1,16),Subject!$B:$B,0),3)</f>
        <v>#N/A</v>
      </c>
      <c r="Z374" s="8" t="str">
        <f t="array" ref="Z374">INDEX(Subject!$A:$I,MATCH(RANDBETWEEN(1,16),Subject!$B:$B,0),3)</f>
        <v>#N/A</v>
      </c>
      <c r="AA374" s="8" t="str">
        <f t="array" ref="AA374">INDEX(Subject!$A:$I,MATCH(RANDBETWEEN(1,16),Subject!$B:$B,0),3)</f>
        <v>#N/A</v>
      </c>
      <c r="AB374" s="8" t="str">
        <f t="array" ref="AB374">INDEX(Subject!$A:$I,MATCH(RANDBETWEEN(1,16),Subject!$B:$B,0),3)</f>
        <v>#N/A</v>
      </c>
      <c r="AC374" s="8" t="str">
        <f t="array" ref="AC374">INDEX(Subject!$A:$I,MATCH(RANDBETWEEN(1,16),Subject!$B:$B,0),3)</f>
        <v>#N/A</v>
      </c>
      <c r="AD374" s="8" t="str">
        <f t="array" ref="AD374">INDEX(Subject!$A:$I,MATCH(RANDBETWEEN(1,16),Subject!$B:$B,0),3)</f>
        <v>#N/A</v>
      </c>
      <c r="AE374" s="8" t="str">
        <f t="array" ref="AE374">INDEX(Subject!$A:$I,MATCH(RANDBETWEEN(1,16),Subject!$B:$B,0),3)</f>
        <v>#N/A</v>
      </c>
      <c r="AF374" s="8" t="str">
        <f t="array" ref="AF374">INDEX(Subject!$A:$I,MATCH(RANDBETWEEN(1,16),Subject!$B:$B,0),3)</f>
        <v>#N/A</v>
      </c>
      <c r="AG374" s="8" t="str">
        <f t="array" ref="AG374">INDEX(Subject!$A:$I,MATCH(RANDBETWEEN(1,16),Subject!$B:$B,0),3)</f>
        <v/>
      </c>
      <c r="AH374" s="8" t="str">
        <f t="array" ref="AH374">INDEX(Subject!$A:$I,MATCH(RANDBETWEEN(1,16),Subject!$B:$B,0),3)</f>
        <v/>
      </c>
      <c r="AI374" s="8" t="str">
        <f t="array" ref="AI374">INDEX(Subject!$A:$I,MATCH(RANDBETWEEN(1,16),Subject!$B:$B,0),3)</f>
        <v>#N/A</v>
      </c>
      <c r="AJ374" s="8" t="str">
        <f t="array" ref="AJ374">INDEX(Subject!$A:$I,MATCH(RANDBETWEEN(1,16),Subject!$B:$B,0),3)</f>
        <v>#N/A</v>
      </c>
      <c r="AK374" s="8" t="str">
        <f t="array" ref="AK374">INDEX(Subject!$A:$I,MATCH(RANDBETWEEN(1,16),Subject!$B:$B,0),3)</f>
        <v/>
      </c>
      <c r="AL374" s="8" t="str">
        <f t="array" ref="AL374">INDEX(Subject!$A:$I,MATCH(RANDBETWEEN(1,16),Subject!$B:$B,0),3)</f>
        <v>#N/A</v>
      </c>
      <c r="AM374" s="18">
        <f t="shared" si="4"/>
        <v>45874.33333</v>
      </c>
      <c r="AN374" s="19">
        <f t="shared" ref="AN374:BZ374" si="374">$A374+C$1</f>
        <v>45874.35417</v>
      </c>
      <c r="AO374" s="19">
        <f t="shared" si="374"/>
        <v>45874.375</v>
      </c>
      <c r="AP374" s="19">
        <f t="shared" si="374"/>
        <v>45874.39583</v>
      </c>
      <c r="AQ374" s="19">
        <f t="shared" si="374"/>
        <v>45874.41667</v>
      </c>
      <c r="AR374" s="19">
        <f t="shared" si="374"/>
        <v>45874.4375</v>
      </c>
      <c r="AS374" s="19">
        <f t="shared" si="374"/>
        <v>45874.45833</v>
      </c>
      <c r="AT374" s="19">
        <f t="shared" si="374"/>
        <v>45874.47917</v>
      </c>
      <c r="AU374" s="19">
        <f t="shared" si="374"/>
        <v>45874.5</v>
      </c>
      <c r="AV374" s="19">
        <f t="shared" si="374"/>
        <v>45874.52083</v>
      </c>
      <c r="AW374" s="19">
        <f t="shared" si="374"/>
        <v>45874.54167</v>
      </c>
      <c r="AX374" s="19">
        <f t="shared" si="374"/>
        <v>45874.5625</v>
      </c>
      <c r="AY374" s="19">
        <f t="shared" si="374"/>
        <v>45874.58333</v>
      </c>
      <c r="AZ374" s="19">
        <f t="shared" si="374"/>
        <v>45874.60417</v>
      </c>
      <c r="BA374" s="19">
        <f t="shared" si="374"/>
        <v>45874.625</v>
      </c>
      <c r="BB374" s="19">
        <f t="shared" si="374"/>
        <v>45874.64583</v>
      </c>
      <c r="BC374" s="19">
        <f t="shared" si="374"/>
        <v>45874.66667</v>
      </c>
      <c r="BD374" s="19">
        <f t="shared" si="374"/>
        <v>45874.6875</v>
      </c>
      <c r="BE374" s="19">
        <f t="shared" si="374"/>
        <v>45874.70833</v>
      </c>
      <c r="BF374" s="19">
        <f t="shared" si="374"/>
        <v>45874.72917</v>
      </c>
      <c r="BG374" s="19">
        <f t="shared" si="374"/>
        <v>45874.75</v>
      </c>
      <c r="BH374" s="19">
        <f t="shared" si="374"/>
        <v>45874.77083</v>
      </c>
      <c r="BI374" s="19">
        <f t="shared" si="374"/>
        <v>45874.79167</v>
      </c>
      <c r="BJ374" s="19">
        <f t="shared" si="374"/>
        <v>45874.8125</v>
      </c>
      <c r="BK374" s="19">
        <f t="shared" si="374"/>
        <v>45874.83333</v>
      </c>
      <c r="BL374" s="19">
        <f t="shared" si="374"/>
        <v>45874.85417</v>
      </c>
      <c r="BM374" s="19">
        <f t="shared" si="374"/>
        <v>45874.875</v>
      </c>
      <c r="BN374" s="19">
        <f t="shared" si="374"/>
        <v>45874.89583</v>
      </c>
      <c r="BO374" s="19">
        <f t="shared" si="374"/>
        <v>45874.91667</v>
      </c>
      <c r="BP374" s="19">
        <f t="shared" si="374"/>
        <v>45874.9375</v>
      </c>
      <c r="BQ374" s="19">
        <f t="shared" si="374"/>
        <v>45874.95833</v>
      </c>
      <c r="BR374" s="19">
        <f t="shared" si="374"/>
        <v>45874.97917</v>
      </c>
      <c r="BS374" s="19">
        <f t="shared" si="374"/>
        <v>45875</v>
      </c>
      <c r="BT374" s="19">
        <f t="shared" si="374"/>
        <v>45875.02083</v>
      </c>
      <c r="BU374" s="19">
        <f t="shared" si="374"/>
        <v>45875.04167</v>
      </c>
      <c r="BV374" s="19">
        <f t="shared" si="374"/>
        <v>45875.0625</v>
      </c>
      <c r="BW374" s="19">
        <f t="shared" si="374"/>
        <v>45875.08333</v>
      </c>
      <c r="BX374" s="19">
        <f t="shared" si="374"/>
        <v>45874</v>
      </c>
      <c r="BY374" s="19">
        <f t="shared" si="374"/>
        <v>45874</v>
      </c>
      <c r="BZ374" s="19">
        <f t="shared" si="374"/>
        <v>45874</v>
      </c>
    </row>
    <row r="375" ht="14.25" customHeight="1">
      <c r="A375" s="17">
        <v>45875.0</v>
      </c>
      <c r="B375" s="2" t="str">
        <f t="array" ref="B375">IF(NOW()&gt;AM375,"",IF(AND((WEEKDAY($A375)+$B$2)&gt;1,((WEEKDAY($A375)+$T$2)&lt;7),(WEEKDAY($A375)&lt;&gt;1)),"work",(INDEX(Subject!$A:$I,MATCH(RANDBETWEEN(1,(MAX(Subject!$B:$B))),Subject!$B:$B,0),3))))</f>
        <v/>
      </c>
      <c r="C375" s="2" t="str">
        <f t="array" ref="C375">IF(NOW()&gt;AN375,"",IF(AND((WEEKDAY($A375)+$B$2)&gt;1,((WEEKDAY($A375)+$T$2)&lt;7),(WEEKDAY($A375)&lt;&gt;1)),"work",(INDEX(Subject!$A:$I,MATCH(RANDBETWEEN(1,(MAX(Subject!$B:$B))),Subject!$B:$B,0),3))))</f>
        <v/>
      </c>
      <c r="D375" s="2" t="str">
        <f t="array" ref="D375">IF(NOW()&gt;AO375,"",IF(AND((WEEKDAY($A375)+$B$2)&gt;1,((WEEKDAY($A375)+$T$2)&lt;7),(WEEKDAY($A375)&lt;&gt;1)),"work",(INDEX(Subject!$A:$I,MATCH(RANDBETWEEN(1,(MAX(Subject!$B:$B))),Subject!$B:$B,0),3))))</f>
        <v/>
      </c>
      <c r="E375" s="2" t="str">
        <f t="array" ref="E375">IF(NOW()&gt;AP375,"",IF(AND((WEEKDAY($A375)+$B$2)&gt;1,((WEEKDAY($A375)+$T$2)&lt;7),(WEEKDAY($A375)&lt;&gt;1)),"work",(INDEX(Subject!$A:$I,MATCH(RANDBETWEEN(1,(MAX(Subject!$B:$B))),Subject!$B:$B,0),3))))</f>
        <v/>
      </c>
      <c r="F375" s="2" t="str">
        <f t="array" ref="F375">IF(NOW()&gt;AQ375,"",IF(AND((WEEKDAY($A375)+$B$2)&gt;1,((WEEKDAY($A375)+$T$2)&lt;7),(WEEKDAY($A375)&lt;&gt;1)),"work",(INDEX(Subject!$A:$I,MATCH(RANDBETWEEN(1,(MAX(Subject!$B:$B))),Subject!$B:$B,0),3))))</f>
        <v/>
      </c>
      <c r="G375" s="2" t="str">
        <f t="array" ref="G375">IF(NOW()&gt;AR375,"",IF(AND((WEEKDAY($A375)+$B$2)&gt;1,((WEEKDAY($A375)+$T$2)&lt;7),(WEEKDAY($A375)&lt;&gt;1)),"work",(INDEX(Subject!$A:$I,MATCH(RANDBETWEEN(1,(MAX(Subject!$B:$B))),Subject!$B:$B,0),3))))</f>
        <v/>
      </c>
      <c r="H375" s="2" t="str">
        <f t="array" ref="H375">IF(NOW()&gt;AS375,"",IF(AND((WEEKDAY($A375)+$B$2)&gt;1,((WEEKDAY($A375)+$T$2)&lt;7),(WEEKDAY($A375)&lt;&gt;1)),"work",(INDEX(Subject!$A:$I,MATCH(RANDBETWEEN(1,(MAX(Subject!$B:$B))),Subject!$B:$B,0),3))))</f>
        <v/>
      </c>
      <c r="I375" s="2" t="str">
        <f t="array" ref="I375">IF(NOW()&gt;AT375,"",IF(AND((WEEKDAY($A375)+$B$2)&gt;1,((WEEKDAY($A375)+$T$2)&lt;7),(WEEKDAY($A375)&lt;&gt;1)),"work",(INDEX(Subject!$A:$I,MATCH(RANDBETWEEN(1,(MAX(Subject!$B:$B))),Subject!$B:$B,0),3))))</f>
        <v/>
      </c>
      <c r="J375" s="2" t="str">
        <f t="array" ref="J375">IF(NOW()&gt;AU375,"",IF(AND((WEEKDAY($A375)+$B$2)&gt;1,((WEEKDAY($A375)+$T$2)&lt;7),(WEEKDAY($A375)&lt;&gt;1)),"work",(INDEX(Subject!$A:$I,MATCH(RANDBETWEEN(1,(MAX(Subject!$B:$B))),Subject!$B:$B,0),3))))</f>
        <v/>
      </c>
      <c r="K375" s="2" t="str">
        <f t="array" ref="K375">IF(NOW()&gt;AV375,"",IF(AND((WEEKDAY($A375)+$B$2)&gt;1,((WEEKDAY($A375)+$T$2)&lt;7),(WEEKDAY($A375)&lt;&gt;1)),"work",(INDEX(Subject!$A:$I,MATCH(RANDBETWEEN(1,(MAX(Subject!$B:$B))),Subject!$B:$B,0),3))))</f>
        <v/>
      </c>
      <c r="L375" s="2" t="str">
        <f t="array" ref="L375">IF(NOW()&gt;AW375,"",IF(AND((WEEKDAY($A375)+$B$2)&gt;1,((WEEKDAY($A375)+$T$2)&lt;7),(WEEKDAY($A375)&lt;&gt;1)),"work",(INDEX(Subject!$A:$I,MATCH(RANDBETWEEN(1,(MAX(Subject!$B:$B))),Subject!$B:$B,0),3))))</f>
        <v/>
      </c>
      <c r="M375" s="2" t="str">
        <f t="array" ref="M375">IF(NOW()&gt;AX375,"",IF(AND((WEEKDAY($A375)+$B$2)&gt;1,((WEEKDAY($A375)+$T$2)&lt;7),(WEEKDAY($A375)&lt;&gt;1)),"work",(INDEX(Subject!$A:$I,MATCH(RANDBETWEEN(1,(MAX(Subject!$B:$B))),Subject!$B:$B,0),3))))</f>
        <v/>
      </c>
      <c r="N375" s="2" t="str">
        <f t="array" ref="N375">IF(NOW()&gt;AY375,"",IF(AND((WEEKDAY($A375)+$B$2)&gt;1,((WEEKDAY($A375)+$T$2)&lt;7),(WEEKDAY($A375)&lt;&gt;1)),"work",(INDEX(Subject!$A:$I,MATCH(RANDBETWEEN(1,(MAX(Subject!$B:$B))),Subject!$B:$B,0),3))))</f>
        <v/>
      </c>
      <c r="O375" s="2" t="str">
        <f t="array" ref="O375">IF(NOW()&gt;AZ375,"",IF(AND((WEEKDAY($A375)+$B$2)&gt;1,((WEEKDAY($A375)+$T$2)&lt;7),(WEEKDAY($A375)&lt;&gt;1)),"work",(INDEX(Subject!$A:$I,MATCH(RANDBETWEEN(1,(MAX(Subject!$B:$B))),Subject!$B:$B,0),3))))</f>
        <v/>
      </c>
      <c r="P375" s="2" t="str">
        <f t="array" ref="P375">IF(NOW()&gt;BA375,"",IF(AND((WEEKDAY($A375)+$B$2)&gt;1,((WEEKDAY($A375)+$T$2)&lt;7),(WEEKDAY($A375)&lt;&gt;1)),"work",(INDEX(Subject!$A:$I,MATCH(RANDBETWEEN(1,(MAX(Subject!$B:$B))),Subject!$B:$B,0),3))))</f>
        <v/>
      </c>
      <c r="Q375" s="2" t="str">
        <f t="array" ref="Q375">IF(NOW()&gt;BB375,"",IF(AND((WEEKDAY($A375)+$B$2)&gt;1,((WEEKDAY($A375)+$T$2)&lt;7),(WEEKDAY($A375)&lt;&gt;1)),"work",(INDEX(Subject!$A:$I,MATCH(RANDBETWEEN(1,(MAX(Subject!$B:$B))),Subject!$B:$B,0),3))))</f>
        <v/>
      </c>
      <c r="R375" s="2" t="str">
        <f t="array" ref="R375">IF(NOW()&gt;BC375,"",IF(AND((WEEKDAY($A375)+$B$2)&gt;1,((WEEKDAY($A375)+$T$2)&lt;7),(WEEKDAY($A375)&lt;&gt;1)),"work",(INDEX(Subject!$A:$I,MATCH(RANDBETWEEN(1,(MAX(Subject!$B:$B))),Subject!$B:$B,0),3))))</f>
        <v/>
      </c>
      <c r="S375" s="2" t="str">
        <f t="array" ref="S375">IF(NOW()&gt;BD375,"",IF(AND((WEEKDAY($A375)+$B$2)&gt;1,((WEEKDAY($A375)+$T$2)&lt;7),(WEEKDAY($A375)&lt;&gt;1)),"work",(INDEX(Subject!$A:$I,MATCH(RANDBETWEEN(1,(MAX(Subject!$B:$B))),Subject!$B:$B,0),3))))</f>
        <v/>
      </c>
      <c r="T375" s="2" t="str">
        <f t="array" ref="T375">IF(NOW()&gt;BE375,"",IF(AND((WEEKDAY($A375)+$B$2)&gt;1,((WEEKDAY($A375)+$T$2)&lt;7),(WEEKDAY($A375)&lt;&gt;1)),"work",(INDEX(Subject!$A:$I,MATCH(RANDBETWEEN(1,(MAX(Subject!$B:$B))),Subject!$B:$B,0),3))))</f>
        <v/>
      </c>
      <c r="U375" s="8" t="str">
        <f t="array" ref="U375">INDEX(Subject!$A:$I,MATCH(RANDBETWEEN(1,16),Subject!$B:$B,0),3)</f>
        <v>#N/A</v>
      </c>
      <c r="V375" s="8" t="str">
        <f t="array" ref="V375">INDEX(Subject!$A:$I,MATCH(RANDBETWEEN(1,16),Subject!$B:$B,0),3)</f>
        <v>#N/A</v>
      </c>
      <c r="W375" s="8" t="str">
        <f t="array" ref="W375">INDEX(Subject!$A:$I,MATCH(RANDBETWEEN(1,16),Subject!$B:$B,0),3)</f>
        <v/>
      </c>
      <c r="X375" s="8" t="str">
        <f t="array" ref="X375">INDEX(Subject!$A:$I,MATCH(RANDBETWEEN(1,16),Subject!$B:$B,0),3)</f>
        <v>#N/A</v>
      </c>
      <c r="Y375" s="8" t="str">
        <f t="array" ref="Y375">INDEX(Subject!$A:$I,MATCH(RANDBETWEEN(1,16),Subject!$B:$B,0),3)</f>
        <v>#N/A</v>
      </c>
      <c r="Z375" s="8" t="str">
        <f t="array" ref="Z375">INDEX(Subject!$A:$I,MATCH(RANDBETWEEN(1,16),Subject!$B:$B,0),3)</f>
        <v>#N/A</v>
      </c>
      <c r="AA375" s="8" t="str">
        <f t="array" ref="AA375">INDEX(Subject!$A:$I,MATCH(RANDBETWEEN(1,16),Subject!$B:$B,0),3)</f>
        <v>#N/A</v>
      </c>
      <c r="AB375" s="8" t="str">
        <f t="array" ref="AB375">INDEX(Subject!$A:$I,MATCH(RANDBETWEEN(1,16),Subject!$B:$B,0),3)</f>
        <v>#N/A</v>
      </c>
      <c r="AC375" s="8" t="str">
        <f t="array" ref="AC375">INDEX(Subject!$A:$I,MATCH(RANDBETWEEN(1,16),Subject!$B:$B,0),3)</f>
        <v>#N/A</v>
      </c>
      <c r="AD375" s="8" t="str">
        <f t="array" ref="AD375">INDEX(Subject!$A:$I,MATCH(RANDBETWEEN(1,16),Subject!$B:$B,0),3)</f>
        <v>#N/A</v>
      </c>
      <c r="AE375" s="8" t="str">
        <f t="array" ref="AE375">INDEX(Subject!$A:$I,MATCH(RANDBETWEEN(1,16),Subject!$B:$B,0),3)</f>
        <v>#N/A</v>
      </c>
      <c r="AF375" s="8" t="str">
        <f t="array" ref="AF375">INDEX(Subject!$A:$I,MATCH(RANDBETWEEN(1,16),Subject!$B:$B,0),3)</f>
        <v>#N/A</v>
      </c>
      <c r="AG375" s="8" t="str">
        <f t="array" ref="AG375">INDEX(Subject!$A:$I,MATCH(RANDBETWEEN(1,16),Subject!$B:$B,0),3)</f>
        <v>#N/A</v>
      </c>
      <c r="AH375" s="8" t="str">
        <f t="array" ref="AH375">INDEX(Subject!$A:$I,MATCH(RANDBETWEEN(1,16),Subject!$B:$B,0),3)</f>
        <v/>
      </c>
      <c r="AI375" s="8" t="str">
        <f t="array" ref="AI375">INDEX(Subject!$A:$I,MATCH(RANDBETWEEN(1,16),Subject!$B:$B,0),3)</f>
        <v>#N/A</v>
      </c>
      <c r="AJ375" s="8" t="str">
        <f t="array" ref="AJ375">INDEX(Subject!$A:$I,MATCH(RANDBETWEEN(1,16),Subject!$B:$B,0),3)</f>
        <v>#N/A</v>
      </c>
      <c r="AK375" s="8" t="str">
        <f t="array" ref="AK375">INDEX(Subject!$A:$I,MATCH(RANDBETWEEN(1,16),Subject!$B:$B,0),3)</f>
        <v>#N/A</v>
      </c>
      <c r="AL375" s="8" t="str">
        <f t="array" ref="AL375">INDEX(Subject!$A:$I,MATCH(RANDBETWEEN(1,16),Subject!$B:$B,0),3)</f>
        <v>#N/A</v>
      </c>
      <c r="AM375" s="18">
        <f t="shared" si="4"/>
        <v>45875.33333</v>
      </c>
      <c r="AN375" s="19">
        <f t="shared" ref="AN375:BZ375" si="375">$A375+C$1</f>
        <v>45875.35417</v>
      </c>
      <c r="AO375" s="19">
        <f t="shared" si="375"/>
        <v>45875.375</v>
      </c>
      <c r="AP375" s="19">
        <f t="shared" si="375"/>
        <v>45875.39583</v>
      </c>
      <c r="AQ375" s="19">
        <f t="shared" si="375"/>
        <v>45875.41667</v>
      </c>
      <c r="AR375" s="19">
        <f t="shared" si="375"/>
        <v>45875.4375</v>
      </c>
      <c r="AS375" s="19">
        <f t="shared" si="375"/>
        <v>45875.45833</v>
      </c>
      <c r="AT375" s="19">
        <f t="shared" si="375"/>
        <v>45875.47917</v>
      </c>
      <c r="AU375" s="19">
        <f t="shared" si="375"/>
        <v>45875.5</v>
      </c>
      <c r="AV375" s="19">
        <f t="shared" si="375"/>
        <v>45875.52083</v>
      </c>
      <c r="AW375" s="19">
        <f t="shared" si="375"/>
        <v>45875.54167</v>
      </c>
      <c r="AX375" s="19">
        <f t="shared" si="375"/>
        <v>45875.5625</v>
      </c>
      <c r="AY375" s="19">
        <f t="shared" si="375"/>
        <v>45875.58333</v>
      </c>
      <c r="AZ375" s="19">
        <f t="shared" si="375"/>
        <v>45875.60417</v>
      </c>
      <c r="BA375" s="19">
        <f t="shared" si="375"/>
        <v>45875.625</v>
      </c>
      <c r="BB375" s="19">
        <f t="shared" si="375"/>
        <v>45875.64583</v>
      </c>
      <c r="BC375" s="19">
        <f t="shared" si="375"/>
        <v>45875.66667</v>
      </c>
      <c r="BD375" s="19">
        <f t="shared" si="375"/>
        <v>45875.6875</v>
      </c>
      <c r="BE375" s="19">
        <f t="shared" si="375"/>
        <v>45875.70833</v>
      </c>
      <c r="BF375" s="19">
        <f t="shared" si="375"/>
        <v>45875.72917</v>
      </c>
      <c r="BG375" s="19">
        <f t="shared" si="375"/>
        <v>45875.75</v>
      </c>
      <c r="BH375" s="19">
        <f t="shared" si="375"/>
        <v>45875.77083</v>
      </c>
      <c r="BI375" s="19">
        <f t="shared" si="375"/>
        <v>45875.79167</v>
      </c>
      <c r="BJ375" s="19">
        <f t="shared" si="375"/>
        <v>45875.8125</v>
      </c>
      <c r="BK375" s="19">
        <f t="shared" si="375"/>
        <v>45875.83333</v>
      </c>
      <c r="BL375" s="19">
        <f t="shared" si="375"/>
        <v>45875.85417</v>
      </c>
      <c r="BM375" s="19">
        <f t="shared" si="375"/>
        <v>45875.875</v>
      </c>
      <c r="BN375" s="19">
        <f t="shared" si="375"/>
        <v>45875.89583</v>
      </c>
      <c r="BO375" s="19">
        <f t="shared" si="375"/>
        <v>45875.91667</v>
      </c>
      <c r="BP375" s="19">
        <f t="shared" si="375"/>
        <v>45875.9375</v>
      </c>
      <c r="BQ375" s="19">
        <f t="shared" si="375"/>
        <v>45875.95833</v>
      </c>
      <c r="BR375" s="19">
        <f t="shared" si="375"/>
        <v>45875.97917</v>
      </c>
      <c r="BS375" s="19">
        <f t="shared" si="375"/>
        <v>45876</v>
      </c>
      <c r="BT375" s="19">
        <f t="shared" si="375"/>
        <v>45876.02083</v>
      </c>
      <c r="BU375" s="19">
        <f t="shared" si="375"/>
        <v>45876.04167</v>
      </c>
      <c r="BV375" s="19">
        <f t="shared" si="375"/>
        <v>45876.0625</v>
      </c>
      <c r="BW375" s="19">
        <f t="shared" si="375"/>
        <v>45876.08333</v>
      </c>
      <c r="BX375" s="19">
        <f t="shared" si="375"/>
        <v>45875</v>
      </c>
      <c r="BY375" s="19">
        <f t="shared" si="375"/>
        <v>45875</v>
      </c>
      <c r="BZ375" s="19">
        <f t="shared" si="375"/>
        <v>45875</v>
      </c>
    </row>
    <row r="376" ht="14.25" customHeight="1">
      <c r="A376" s="17">
        <v>45876.0</v>
      </c>
      <c r="B376" s="2" t="str">
        <f t="array" ref="B376">IF(NOW()&gt;AM376,"",IF(AND((WEEKDAY($A376)+$B$2)&gt;1,((WEEKDAY($A376)+$T$2)&lt;7),(WEEKDAY($A376)&lt;&gt;1)),"work",(INDEX(Subject!$A:$I,MATCH(RANDBETWEEN(1,(MAX(Subject!$B:$B))),Subject!$B:$B,0),3))))</f>
        <v/>
      </c>
      <c r="C376" s="2" t="str">
        <f t="array" ref="C376">IF(NOW()&gt;AN376,"",IF(AND((WEEKDAY($A376)+$B$2)&gt;1,((WEEKDAY($A376)+$T$2)&lt;7),(WEEKDAY($A376)&lt;&gt;1)),"work",(INDEX(Subject!$A:$I,MATCH(RANDBETWEEN(1,(MAX(Subject!$B:$B))),Subject!$B:$B,0),3))))</f>
        <v/>
      </c>
      <c r="D376" s="2" t="str">
        <f t="array" ref="D376">IF(NOW()&gt;AO376,"",IF(AND((WEEKDAY($A376)+$B$2)&gt;1,((WEEKDAY($A376)+$T$2)&lt;7),(WEEKDAY($A376)&lt;&gt;1)),"work",(INDEX(Subject!$A:$I,MATCH(RANDBETWEEN(1,(MAX(Subject!$B:$B))),Subject!$B:$B,0),3))))</f>
        <v/>
      </c>
      <c r="E376" s="2" t="str">
        <f t="array" ref="E376">IF(NOW()&gt;AP376,"",IF(AND((WEEKDAY($A376)+$B$2)&gt;1,((WEEKDAY($A376)+$T$2)&lt;7),(WEEKDAY($A376)&lt;&gt;1)),"work",(INDEX(Subject!$A:$I,MATCH(RANDBETWEEN(1,(MAX(Subject!$B:$B))),Subject!$B:$B,0),3))))</f>
        <v/>
      </c>
      <c r="F376" s="2" t="str">
        <f t="array" ref="F376">IF(NOW()&gt;AQ376,"",IF(AND((WEEKDAY($A376)+$B$2)&gt;1,((WEEKDAY($A376)+$T$2)&lt;7),(WEEKDAY($A376)&lt;&gt;1)),"work",(INDEX(Subject!$A:$I,MATCH(RANDBETWEEN(1,(MAX(Subject!$B:$B))),Subject!$B:$B,0),3))))</f>
        <v/>
      </c>
      <c r="G376" s="2" t="str">
        <f t="array" ref="G376">IF(NOW()&gt;AR376,"",IF(AND((WEEKDAY($A376)+$B$2)&gt;1,((WEEKDAY($A376)+$T$2)&lt;7),(WEEKDAY($A376)&lt;&gt;1)),"work",(INDEX(Subject!$A:$I,MATCH(RANDBETWEEN(1,(MAX(Subject!$B:$B))),Subject!$B:$B,0),3))))</f>
        <v/>
      </c>
      <c r="H376" s="2" t="str">
        <f t="array" ref="H376">IF(NOW()&gt;AS376,"",IF(AND((WEEKDAY($A376)+$B$2)&gt;1,((WEEKDAY($A376)+$T$2)&lt;7),(WEEKDAY($A376)&lt;&gt;1)),"work",(INDEX(Subject!$A:$I,MATCH(RANDBETWEEN(1,(MAX(Subject!$B:$B))),Subject!$B:$B,0),3))))</f>
        <v/>
      </c>
      <c r="I376" s="2" t="str">
        <f t="array" ref="I376">IF(NOW()&gt;AT376,"",IF(AND((WEEKDAY($A376)+$B$2)&gt;1,((WEEKDAY($A376)+$T$2)&lt;7),(WEEKDAY($A376)&lt;&gt;1)),"work",(INDEX(Subject!$A:$I,MATCH(RANDBETWEEN(1,(MAX(Subject!$B:$B))),Subject!$B:$B,0),3))))</f>
        <v/>
      </c>
      <c r="J376" s="2" t="str">
        <f t="array" ref="J376">IF(NOW()&gt;AU376,"",IF(AND((WEEKDAY($A376)+$B$2)&gt;1,((WEEKDAY($A376)+$T$2)&lt;7),(WEEKDAY($A376)&lt;&gt;1)),"work",(INDEX(Subject!$A:$I,MATCH(RANDBETWEEN(1,(MAX(Subject!$B:$B))),Subject!$B:$B,0),3))))</f>
        <v/>
      </c>
      <c r="K376" s="2" t="str">
        <f t="array" ref="K376">IF(NOW()&gt;AV376,"",IF(AND((WEEKDAY($A376)+$B$2)&gt;1,((WEEKDAY($A376)+$T$2)&lt;7),(WEEKDAY($A376)&lt;&gt;1)),"work",(INDEX(Subject!$A:$I,MATCH(RANDBETWEEN(1,(MAX(Subject!$B:$B))),Subject!$B:$B,0),3))))</f>
        <v/>
      </c>
      <c r="L376" s="2" t="str">
        <f t="array" ref="L376">IF(NOW()&gt;AW376,"",IF(AND((WEEKDAY($A376)+$B$2)&gt;1,((WEEKDAY($A376)+$T$2)&lt;7),(WEEKDAY($A376)&lt;&gt;1)),"work",(INDEX(Subject!$A:$I,MATCH(RANDBETWEEN(1,(MAX(Subject!$B:$B))),Subject!$B:$B,0),3))))</f>
        <v/>
      </c>
      <c r="M376" s="2" t="str">
        <f t="array" ref="M376">IF(NOW()&gt;AX376,"",IF(AND((WEEKDAY($A376)+$B$2)&gt;1,((WEEKDAY($A376)+$T$2)&lt;7),(WEEKDAY($A376)&lt;&gt;1)),"work",(INDEX(Subject!$A:$I,MATCH(RANDBETWEEN(1,(MAX(Subject!$B:$B))),Subject!$B:$B,0),3))))</f>
        <v/>
      </c>
      <c r="N376" s="2" t="str">
        <f t="array" ref="N376">IF(NOW()&gt;AY376,"",IF(AND((WEEKDAY($A376)+$B$2)&gt;1,((WEEKDAY($A376)+$T$2)&lt;7),(WEEKDAY($A376)&lt;&gt;1)),"work",(INDEX(Subject!$A:$I,MATCH(RANDBETWEEN(1,(MAX(Subject!$B:$B))),Subject!$B:$B,0),3))))</f>
        <v/>
      </c>
      <c r="O376" s="2" t="str">
        <f t="array" ref="O376">IF(NOW()&gt;AZ376,"",IF(AND((WEEKDAY($A376)+$B$2)&gt;1,((WEEKDAY($A376)+$T$2)&lt;7),(WEEKDAY($A376)&lt;&gt;1)),"work",(INDEX(Subject!$A:$I,MATCH(RANDBETWEEN(1,(MAX(Subject!$B:$B))),Subject!$B:$B,0),3))))</f>
        <v/>
      </c>
      <c r="P376" s="2" t="str">
        <f t="array" ref="P376">IF(NOW()&gt;BA376,"",IF(AND((WEEKDAY($A376)+$B$2)&gt;1,((WEEKDAY($A376)+$T$2)&lt;7),(WEEKDAY($A376)&lt;&gt;1)),"work",(INDEX(Subject!$A:$I,MATCH(RANDBETWEEN(1,(MAX(Subject!$B:$B))),Subject!$B:$B,0),3))))</f>
        <v/>
      </c>
      <c r="Q376" s="2" t="str">
        <f t="array" ref="Q376">IF(NOW()&gt;BB376,"",IF(AND((WEEKDAY($A376)+$B$2)&gt;1,((WEEKDAY($A376)+$T$2)&lt;7),(WEEKDAY($A376)&lt;&gt;1)),"work",(INDEX(Subject!$A:$I,MATCH(RANDBETWEEN(1,(MAX(Subject!$B:$B))),Subject!$B:$B,0),3))))</f>
        <v/>
      </c>
      <c r="R376" s="2" t="str">
        <f t="array" ref="R376">IF(NOW()&gt;BC376,"",IF(AND((WEEKDAY($A376)+$B$2)&gt;1,((WEEKDAY($A376)+$T$2)&lt;7),(WEEKDAY($A376)&lt;&gt;1)),"work",(INDEX(Subject!$A:$I,MATCH(RANDBETWEEN(1,(MAX(Subject!$B:$B))),Subject!$B:$B,0),3))))</f>
        <v/>
      </c>
      <c r="S376" s="2" t="str">
        <f t="array" ref="S376">IF(NOW()&gt;BD376,"",IF(AND((WEEKDAY($A376)+$B$2)&gt;1,((WEEKDAY($A376)+$T$2)&lt;7),(WEEKDAY($A376)&lt;&gt;1)),"work",(INDEX(Subject!$A:$I,MATCH(RANDBETWEEN(1,(MAX(Subject!$B:$B))),Subject!$B:$B,0),3))))</f>
        <v/>
      </c>
      <c r="T376" s="2" t="str">
        <f t="array" ref="T376">IF(NOW()&gt;BE376,"",IF(AND((WEEKDAY($A376)+$B$2)&gt;1,((WEEKDAY($A376)+$T$2)&lt;7),(WEEKDAY($A376)&lt;&gt;1)),"work",(INDEX(Subject!$A:$I,MATCH(RANDBETWEEN(1,(MAX(Subject!$B:$B))),Subject!$B:$B,0),3))))</f>
        <v/>
      </c>
      <c r="U376" s="8" t="str">
        <f t="array" ref="U376">INDEX(Subject!$A:$I,MATCH(RANDBETWEEN(1,16),Subject!$B:$B,0),3)</f>
        <v>#N/A</v>
      </c>
      <c r="V376" s="8" t="str">
        <f t="array" ref="V376">INDEX(Subject!$A:$I,MATCH(RANDBETWEEN(1,16),Subject!$B:$B,0),3)</f>
        <v>#N/A</v>
      </c>
      <c r="W376" s="8" t="str">
        <f t="array" ref="W376">INDEX(Subject!$A:$I,MATCH(RANDBETWEEN(1,16),Subject!$B:$B,0),3)</f>
        <v>#N/A</v>
      </c>
      <c r="X376" s="8" t="str">
        <f t="array" ref="X376">INDEX(Subject!$A:$I,MATCH(RANDBETWEEN(1,16),Subject!$B:$B,0),3)</f>
        <v>#N/A</v>
      </c>
      <c r="Y376" s="8" t="str">
        <f t="array" ref="Y376">INDEX(Subject!$A:$I,MATCH(RANDBETWEEN(1,16),Subject!$B:$B,0),3)</f>
        <v>#N/A</v>
      </c>
      <c r="Z376" s="8" t="str">
        <f t="array" ref="Z376">INDEX(Subject!$A:$I,MATCH(RANDBETWEEN(1,16),Subject!$B:$B,0),3)</f>
        <v>#N/A</v>
      </c>
      <c r="AA376" s="8" t="str">
        <f t="array" ref="AA376">INDEX(Subject!$A:$I,MATCH(RANDBETWEEN(1,16),Subject!$B:$B,0),3)</f>
        <v>#N/A</v>
      </c>
      <c r="AB376" s="8" t="str">
        <f t="array" ref="AB376">INDEX(Subject!$A:$I,MATCH(RANDBETWEEN(1,16),Subject!$B:$B,0),3)</f>
        <v>#N/A</v>
      </c>
      <c r="AC376" s="8" t="str">
        <f t="array" ref="AC376">INDEX(Subject!$A:$I,MATCH(RANDBETWEEN(1,16),Subject!$B:$B,0),3)</f>
        <v>#N/A</v>
      </c>
      <c r="AD376" s="8" t="str">
        <f t="array" ref="AD376">INDEX(Subject!$A:$I,MATCH(RANDBETWEEN(1,16),Subject!$B:$B,0),3)</f>
        <v>#N/A</v>
      </c>
      <c r="AE376" s="8" t="str">
        <f t="array" ref="AE376">INDEX(Subject!$A:$I,MATCH(RANDBETWEEN(1,16),Subject!$B:$B,0),3)</f>
        <v>#N/A</v>
      </c>
      <c r="AF376" s="8" t="str">
        <f t="array" ref="AF376">INDEX(Subject!$A:$I,MATCH(RANDBETWEEN(1,16),Subject!$B:$B,0),3)</f>
        <v>#N/A</v>
      </c>
      <c r="AG376" s="8" t="str">
        <f t="array" ref="AG376">INDEX(Subject!$A:$I,MATCH(RANDBETWEEN(1,16),Subject!$B:$B,0),3)</f>
        <v>#N/A</v>
      </c>
      <c r="AH376" s="8" t="str">
        <f t="array" ref="AH376">INDEX(Subject!$A:$I,MATCH(RANDBETWEEN(1,16),Subject!$B:$B,0),3)</f>
        <v>#N/A</v>
      </c>
      <c r="AI376" s="8" t="str">
        <f t="array" ref="AI376">INDEX(Subject!$A:$I,MATCH(RANDBETWEEN(1,16),Subject!$B:$B,0),3)</f>
        <v>#N/A</v>
      </c>
      <c r="AJ376" s="8" t="str">
        <f t="array" ref="AJ376">INDEX(Subject!$A:$I,MATCH(RANDBETWEEN(1,16),Subject!$B:$B,0),3)</f>
        <v>#N/A</v>
      </c>
      <c r="AK376" s="8" t="str">
        <f t="array" ref="AK376">INDEX(Subject!$A:$I,MATCH(RANDBETWEEN(1,16),Subject!$B:$B,0),3)</f>
        <v>#N/A</v>
      </c>
      <c r="AL376" s="8" t="str">
        <f t="array" ref="AL376">INDEX(Subject!$A:$I,MATCH(RANDBETWEEN(1,16),Subject!$B:$B,0),3)</f>
        <v>#N/A</v>
      </c>
      <c r="AM376" s="18">
        <f t="shared" si="4"/>
        <v>45876.33333</v>
      </c>
      <c r="AN376" s="19">
        <f t="shared" ref="AN376:BZ376" si="376">$A376+C$1</f>
        <v>45876.35417</v>
      </c>
      <c r="AO376" s="19">
        <f t="shared" si="376"/>
        <v>45876.375</v>
      </c>
      <c r="AP376" s="19">
        <f t="shared" si="376"/>
        <v>45876.39583</v>
      </c>
      <c r="AQ376" s="19">
        <f t="shared" si="376"/>
        <v>45876.41667</v>
      </c>
      <c r="AR376" s="19">
        <f t="shared" si="376"/>
        <v>45876.4375</v>
      </c>
      <c r="AS376" s="19">
        <f t="shared" si="376"/>
        <v>45876.45833</v>
      </c>
      <c r="AT376" s="19">
        <f t="shared" si="376"/>
        <v>45876.47917</v>
      </c>
      <c r="AU376" s="19">
        <f t="shared" si="376"/>
        <v>45876.5</v>
      </c>
      <c r="AV376" s="19">
        <f t="shared" si="376"/>
        <v>45876.52083</v>
      </c>
      <c r="AW376" s="19">
        <f t="shared" si="376"/>
        <v>45876.54167</v>
      </c>
      <c r="AX376" s="19">
        <f t="shared" si="376"/>
        <v>45876.5625</v>
      </c>
      <c r="AY376" s="19">
        <f t="shared" si="376"/>
        <v>45876.58333</v>
      </c>
      <c r="AZ376" s="19">
        <f t="shared" si="376"/>
        <v>45876.60417</v>
      </c>
      <c r="BA376" s="19">
        <f t="shared" si="376"/>
        <v>45876.625</v>
      </c>
      <c r="BB376" s="19">
        <f t="shared" si="376"/>
        <v>45876.64583</v>
      </c>
      <c r="BC376" s="19">
        <f t="shared" si="376"/>
        <v>45876.66667</v>
      </c>
      <c r="BD376" s="19">
        <f t="shared" si="376"/>
        <v>45876.6875</v>
      </c>
      <c r="BE376" s="19">
        <f t="shared" si="376"/>
        <v>45876.70833</v>
      </c>
      <c r="BF376" s="19">
        <f t="shared" si="376"/>
        <v>45876.72917</v>
      </c>
      <c r="BG376" s="19">
        <f t="shared" si="376"/>
        <v>45876.75</v>
      </c>
      <c r="BH376" s="19">
        <f t="shared" si="376"/>
        <v>45876.77083</v>
      </c>
      <c r="BI376" s="19">
        <f t="shared" si="376"/>
        <v>45876.79167</v>
      </c>
      <c r="BJ376" s="19">
        <f t="shared" si="376"/>
        <v>45876.8125</v>
      </c>
      <c r="BK376" s="19">
        <f t="shared" si="376"/>
        <v>45876.83333</v>
      </c>
      <c r="BL376" s="19">
        <f t="shared" si="376"/>
        <v>45876.85417</v>
      </c>
      <c r="BM376" s="19">
        <f t="shared" si="376"/>
        <v>45876.875</v>
      </c>
      <c r="BN376" s="19">
        <f t="shared" si="376"/>
        <v>45876.89583</v>
      </c>
      <c r="BO376" s="19">
        <f t="shared" si="376"/>
        <v>45876.91667</v>
      </c>
      <c r="BP376" s="19">
        <f t="shared" si="376"/>
        <v>45876.9375</v>
      </c>
      <c r="BQ376" s="19">
        <f t="shared" si="376"/>
        <v>45876.95833</v>
      </c>
      <c r="BR376" s="19">
        <f t="shared" si="376"/>
        <v>45876.97917</v>
      </c>
      <c r="BS376" s="19">
        <f t="shared" si="376"/>
        <v>45877</v>
      </c>
      <c r="BT376" s="19">
        <f t="shared" si="376"/>
        <v>45877.02083</v>
      </c>
      <c r="BU376" s="19">
        <f t="shared" si="376"/>
        <v>45877.04167</v>
      </c>
      <c r="BV376" s="19">
        <f t="shared" si="376"/>
        <v>45877.0625</v>
      </c>
      <c r="BW376" s="19">
        <f t="shared" si="376"/>
        <v>45877.08333</v>
      </c>
      <c r="BX376" s="19">
        <f t="shared" si="376"/>
        <v>45876</v>
      </c>
      <c r="BY376" s="19">
        <f t="shared" si="376"/>
        <v>45876</v>
      </c>
      <c r="BZ376" s="19">
        <f t="shared" si="376"/>
        <v>45876</v>
      </c>
    </row>
    <row r="377" ht="14.25" customHeight="1">
      <c r="A377" s="17">
        <v>45877.0</v>
      </c>
      <c r="B377" s="2" t="str">
        <f t="array" ref="B377">IF(NOW()&gt;AM377,"",IF(AND((WEEKDAY($A377)+$B$2)&gt;1,((WEEKDAY($A377)+$T$2)&lt;7),(WEEKDAY($A377)&lt;&gt;1)),"work",(INDEX(Subject!$A:$I,MATCH(RANDBETWEEN(1,(MAX(Subject!$B:$B))),Subject!$B:$B,0),3))))</f>
        <v/>
      </c>
      <c r="C377" s="2" t="str">
        <f t="array" ref="C377">IF(NOW()&gt;AN377,"",IF(AND((WEEKDAY($A377)+$B$2)&gt;1,((WEEKDAY($A377)+$T$2)&lt;7),(WEEKDAY($A377)&lt;&gt;1)),"work",(INDEX(Subject!$A:$I,MATCH(RANDBETWEEN(1,(MAX(Subject!$B:$B))),Subject!$B:$B,0),3))))</f>
        <v/>
      </c>
      <c r="D377" s="2" t="str">
        <f t="array" ref="D377">IF(NOW()&gt;AO377,"",IF(AND((WEEKDAY($A377)+$B$2)&gt;1,((WEEKDAY($A377)+$T$2)&lt;7),(WEEKDAY($A377)&lt;&gt;1)),"work",(INDEX(Subject!$A:$I,MATCH(RANDBETWEEN(1,(MAX(Subject!$B:$B))),Subject!$B:$B,0),3))))</f>
        <v/>
      </c>
      <c r="E377" s="2" t="str">
        <f t="array" ref="E377">IF(NOW()&gt;AP377,"",IF(AND((WEEKDAY($A377)+$B$2)&gt;1,((WEEKDAY($A377)+$T$2)&lt;7),(WEEKDAY($A377)&lt;&gt;1)),"work",(INDEX(Subject!$A:$I,MATCH(RANDBETWEEN(1,(MAX(Subject!$B:$B))),Subject!$B:$B,0),3))))</f>
        <v/>
      </c>
      <c r="F377" s="2" t="str">
        <f t="array" ref="F377">IF(NOW()&gt;AQ377,"",IF(AND((WEEKDAY($A377)+$B$2)&gt;1,((WEEKDAY($A377)+$T$2)&lt;7),(WEEKDAY($A377)&lt;&gt;1)),"work",(INDEX(Subject!$A:$I,MATCH(RANDBETWEEN(1,(MAX(Subject!$B:$B))),Subject!$B:$B,0),3))))</f>
        <v/>
      </c>
      <c r="G377" s="2" t="str">
        <f t="array" ref="G377">IF(NOW()&gt;AR377,"",IF(AND((WEEKDAY($A377)+$B$2)&gt;1,((WEEKDAY($A377)+$T$2)&lt;7),(WEEKDAY($A377)&lt;&gt;1)),"work",(INDEX(Subject!$A:$I,MATCH(RANDBETWEEN(1,(MAX(Subject!$B:$B))),Subject!$B:$B,0),3))))</f>
        <v/>
      </c>
      <c r="H377" s="2" t="str">
        <f t="array" ref="H377">IF(NOW()&gt;AS377,"",IF(AND((WEEKDAY($A377)+$B$2)&gt;1,((WEEKDAY($A377)+$T$2)&lt;7),(WEEKDAY($A377)&lt;&gt;1)),"work",(INDEX(Subject!$A:$I,MATCH(RANDBETWEEN(1,(MAX(Subject!$B:$B))),Subject!$B:$B,0),3))))</f>
        <v/>
      </c>
      <c r="I377" s="2" t="str">
        <f t="array" ref="I377">IF(NOW()&gt;AT377,"",IF(AND((WEEKDAY($A377)+$B$2)&gt;1,((WEEKDAY($A377)+$T$2)&lt;7),(WEEKDAY($A377)&lt;&gt;1)),"work",(INDEX(Subject!$A:$I,MATCH(RANDBETWEEN(1,(MAX(Subject!$B:$B))),Subject!$B:$B,0),3))))</f>
        <v/>
      </c>
      <c r="J377" s="2" t="str">
        <f t="array" ref="J377">IF(NOW()&gt;AU377,"",IF(AND((WEEKDAY($A377)+$B$2)&gt;1,((WEEKDAY($A377)+$T$2)&lt;7),(WEEKDAY($A377)&lt;&gt;1)),"work",(INDEX(Subject!$A:$I,MATCH(RANDBETWEEN(1,(MAX(Subject!$B:$B))),Subject!$B:$B,0),3))))</f>
        <v/>
      </c>
      <c r="K377" s="2" t="str">
        <f t="array" ref="K377">IF(NOW()&gt;AV377,"",IF(AND((WEEKDAY($A377)+$B$2)&gt;1,((WEEKDAY($A377)+$T$2)&lt;7),(WEEKDAY($A377)&lt;&gt;1)),"work",(INDEX(Subject!$A:$I,MATCH(RANDBETWEEN(1,(MAX(Subject!$B:$B))),Subject!$B:$B,0),3))))</f>
        <v/>
      </c>
      <c r="L377" s="2" t="str">
        <f t="array" ref="L377">IF(NOW()&gt;AW377,"",IF(AND((WEEKDAY($A377)+$B$2)&gt;1,((WEEKDAY($A377)+$T$2)&lt;7),(WEEKDAY($A377)&lt;&gt;1)),"work",(INDEX(Subject!$A:$I,MATCH(RANDBETWEEN(1,(MAX(Subject!$B:$B))),Subject!$B:$B,0),3))))</f>
        <v/>
      </c>
      <c r="M377" s="2" t="str">
        <f t="array" ref="M377">IF(NOW()&gt;AX377,"",IF(AND((WEEKDAY($A377)+$B$2)&gt;1,((WEEKDAY($A377)+$T$2)&lt;7),(WEEKDAY($A377)&lt;&gt;1)),"work",(INDEX(Subject!$A:$I,MATCH(RANDBETWEEN(1,(MAX(Subject!$B:$B))),Subject!$B:$B,0),3))))</f>
        <v/>
      </c>
      <c r="N377" s="2" t="str">
        <f t="array" ref="N377">IF(NOW()&gt;AY377,"",IF(AND((WEEKDAY($A377)+$B$2)&gt;1,((WEEKDAY($A377)+$T$2)&lt;7),(WEEKDAY($A377)&lt;&gt;1)),"work",(INDEX(Subject!$A:$I,MATCH(RANDBETWEEN(1,(MAX(Subject!$B:$B))),Subject!$B:$B,0),3))))</f>
        <v/>
      </c>
      <c r="O377" s="2" t="str">
        <f t="array" ref="O377">IF(NOW()&gt;AZ377,"",IF(AND((WEEKDAY($A377)+$B$2)&gt;1,((WEEKDAY($A377)+$T$2)&lt;7),(WEEKDAY($A377)&lt;&gt;1)),"work",(INDEX(Subject!$A:$I,MATCH(RANDBETWEEN(1,(MAX(Subject!$B:$B))),Subject!$B:$B,0),3))))</f>
        <v/>
      </c>
      <c r="P377" s="2" t="str">
        <f t="array" ref="P377">IF(NOW()&gt;BA377,"",IF(AND((WEEKDAY($A377)+$B$2)&gt;1,((WEEKDAY($A377)+$T$2)&lt;7),(WEEKDAY($A377)&lt;&gt;1)),"work",(INDEX(Subject!$A:$I,MATCH(RANDBETWEEN(1,(MAX(Subject!$B:$B))),Subject!$B:$B,0),3))))</f>
        <v/>
      </c>
      <c r="Q377" s="2" t="str">
        <f t="array" ref="Q377">IF(NOW()&gt;BB377,"",IF(AND((WEEKDAY($A377)+$B$2)&gt;1,((WEEKDAY($A377)+$T$2)&lt;7),(WEEKDAY($A377)&lt;&gt;1)),"work",(INDEX(Subject!$A:$I,MATCH(RANDBETWEEN(1,(MAX(Subject!$B:$B))),Subject!$B:$B,0),3))))</f>
        <v/>
      </c>
      <c r="R377" s="2" t="str">
        <f t="array" ref="R377">IF(NOW()&gt;BC377,"",IF(AND((WEEKDAY($A377)+$B$2)&gt;1,((WEEKDAY($A377)+$T$2)&lt;7),(WEEKDAY($A377)&lt;&gt;1)),"work",(INDEX(Subject!$A:$I,MATCH(RANDBETWEEN(1,(MAX(Subject!$B:$B))),Subject!$B:$B,0),3))))</f>
        <v/>
      </c>
      <c r="S377" s="2" t="str">
        <f t="array" ref="S377">IF(NOW()&gt;BD377,"",IF(AND((WEEKDAY($A377)+$B$2)&gt;1,((WEEKDAY($A377)+$T$2)&lt;7),(WEEKDAY($A377)&lt;&gt;1)),"work",(INDEX(Subject!$A:$I,MATCH(RANDBETWEEN(1,(MAX(Subject!$B:$B))),Subject!$B:$B,0),3))))</f>
        <v/>
      </c>
      <c r="T377" s="2" t="str">
        <f t="array" ref="T377">IF(NOW()&gt;BE377,"",IF(AND((WEEKDAY($A377)+$B$2)&gt;1,((WEEKDAY($A377)+$T$2)&lt;7),(WEEKDAY($A377)&lt;&gt;1)),"work",(INDEX(Subject!$A:$I,MATCH(RANDBETWEEN(1,(MAX(Subject!$B:$B))),Subject!$B:$B,0),3))))</f>
        <v/>
      </c>
      <c r="U377" s="8" t="str">
        <f t="array" ref="U377">INDEX(Subject!$A:$I,MATCH(RANDBETWEEN(1,16),Subject!$B:$B,0),3)</f>
        <v>#N/A</v>
      </c>
      <c r="V377" s="8" t="str">
        <f t="array" ref="V377">INDEX(Subject!$A:$I,MATCH(RANDBETWEEN(1,16),Subject!$B:$B,0),3)</f>
        <v>#N/A</v>
      </c>
      <c r="W377" s="8" t="str">
        <f t="array" ref="W377">INDEX(Subject!$A:$I,MATCH(RANDBETWEEN(1,16),Subject!$B:$B,0),3)</f>
        <v>#N/A</v>
      </c>
      <c r="X377" s="8" t="str">
        <f t="array" ref="X377">INDEX(Subject!$A:$I,MATCH(RANDBETWEEN(1,16),Subject!$B:$B,0),3)</f>
        <v>#N/A</v>
      </c>
      <c r="Y377" s="8" t="str">
        <f t="array" ref="Y377">INDEX(Subject!$A:$I,MATCH(RANDBETWEEN(1,16),Subject!$B:$B,0),3)</f>
        <v>#N/A</v>
      </c>
      <c r="Z377" s="8" t="str">
        <f t="array" ref="Z377">INDEX(Subject!$A:$I,MATCH(RANDBETWEEN(1,16),Subject!$B:$B,0),3)</f>
        <v>#N/A</v>
      </c>
      <c r="AA377" s="8" t="str">
        <f t="array" ref="AA377">INDEX(Subject!$A:$I,MATCH(RANDBETWEEN(1,16),Subject!$B:$B,0),3)</f>
        <v>#N/A</v>
      </c>
      <c r="AB377" s="8" t="str">
        <f t="array" ref="AB377">INDEX(Subject!$A:$I,MATCH(RANDBETWEEN(1,16),Subject!$B:$B,0),3)</f>
        <v>#N/A</v>
      </c>
      <c r="AC377" s="8" t="str">
        <f t="array" ref="AC377">INDEX(Subject!$A:$I,MATCH(RANDBETWEEN(1,16),Subject!$B:$B,0),3)</f>
        <v/>
      </c>
      <c r="AD377" s="8" t="str">
        <f t="array" ref="AD377">INDEX(Subject!$A:$I,MATCH(RANDBETWEEN(1,16),Subject!$B:$B,0),3)</f>
        <v>#N/A</v>
      </c>
      <c r="AE377" s="8" t="str">
        <f t="array" ref="AE377">INDEX(Subject!$A:$I,MATCH(RANDBETWEEN(1,16),Subject!$B:$B,0),3)</f>
        <v>#N/A</v>
      </c>
      <c r="AF377" s="8" t="str">
        <f t="array" ref="AF377">INDEX(Subject!$A:$I,MATCH(RANDBETWEEN(1,16),Subject!$B:$B,0),3)</f>
        <v>#N/A</v>
      </c>
      <c r="AG377" s="8" t="str">
        <f t="array" ref="AG377">INDEX(Subject!$A:$I,MATCH(RANDBETWEEN(1,16),Subject!$B:$B,0),3)</f>
        <v>#N/A</v>
      </c>
      <c r="AH377" s="8" t="str">
        <f t="array" ref="AH377">INDEX(Subject!$A:$I,MATCH(RANDBETWEEN(1,16),Subject!$B:$B,0),3)</f>
        <v>#N/A</v>
      </c>
      <c r="AI377" s="8" t="str">
        <f t="array" ref="AI377">INDEX(Subject!$A:$I,MATCH(RANDBETWEEN(1,16),Subject!$B:$B,0),3)</f>
        <v>#N/A</v>
      </c>
      <c r="AJ377" s="8" t="str">
        <f t="array" ref="AJ377">INDEX(Subject!$A:$I,MATCH(RANDBETWEEN(1,16),Subject!$B:$B,0),3)</f>
        <v>#N/A</v>
      </c>
      <c r="AK377" s="8" t="str">
        <f t="array" ref="AK377">INDEX(Subject!$A:$I,MATCH(RANDBETWEEN(1,16),Subject!$B:$B,0),3)</f>
        <v>#N/A</v>
      </c>
      <c r="AL377" s="8" t="str">
        <f t="array" ref="AL377">INDEX(Subject!$A:$I,MATCH(RANDBETWEEN(1,16),Subject!$B:$B,0),3)</f>
        <v>#N/A</v>
      </c>
      <c r="AM377" s="18">
        <f t="shared" si="4"/>
        <v>45877.33333</v>
      </c>
      <c r="AN377" s="19">
        <f t="shared" ref="AN377:BZ377" si="377">$A377+C$1</f>
        <v>45877.35417</v>
      </c>
      <c r="AO377" s="19">
        <f t="shared" si="377"/>
        <v>45877.375</v>
      </c>
      <c r="AP377" s="19">
        <f t="shared" si="377"/>
        <v>45877.39583</v>
      </c>
      <c r="AQ377" s="19">
        <f t="shared" si="377"/>
        <v>45877.41667</v>
      </c>
      <c r="AR377" s="19">
        <f t="shared" si="377"/>
        <v>45877.4375</v>
      </c>
      <c r="AS377" s="19">
        <f t="shared" si="377"/>
        <v>45877.45833</v>
      </c>
      <c r="AT377" s="19">
        <f t="shared" si="377"/>
        <v>45877.47917</v>
      </c>
      <c r="AU377" s="19">
        <f t="shared" si="377"/>
        <v>45877.5</v>
      </c>
      <c r="AV377" s="19">
        <f t="shared" si="377"/>
        <v>45877.52083</v>
      </c>
      <c r="AW377" s="19">
        <f t="shared" si="377"/>
        <v>45877.54167</v>
      </c>
      <c r="AX377" s="19">
        <f t="shared" si="377"/>
        <v>45877.5625</v>
      </c>
      <c r="AY377" s="19">
        <f t="shared" si="377"/>
        <v>45877.58333</v>
      </c>
      <c r="AZ377" s="19">
        <f t="shared" si="377"/>
        <v>45877.60417</v>
      </c>
      <c r="BA377" s="19">
        <f t="shared" si="377"/>
        <v>45877.625</v>
      </c>
      <c r="BB377" s="19">
        <f t="shared" si="377"/>
        <v>45877.64583</v>
      </c>
      <c r="BC377" s="19">
        <f t="shared" si="377"/>
        <v>45877.66667</v>
      </c>
      <c r="BD377" s="19">
        <f t="shared" si="377"/>
        <v>45877.6875</v>
      </c>
      <c r="BE377" s="19">
        <f t="shared" si="377"/>
        <v>45877.70833</v>
      </c>
      <c r="BF377" s="19">
        <f t="shared" si="377"/>
        <v>45877.72917</v>
      </c>
      <c r="BG377" s="19">
        <f t="shared" si="377"/>
        <v>45877.75</v>
      </c>
      <c r="BH377" s="19">
        <f t="shared" si="377"/>
        <v>45877.77083</v>
      </c>
      <c r="BI377" s="19">
        <f t="shared" si="377"/>
        <v>45877.79167</v>
      </c>
      <c r="BJ377" s="19">
        <f t="shared" si="377"/>
        <v>45877.8125</v>
      </c>
      <c r="BK377" s="19">
        <f t="shared" si="377"/>
        <v>45877.83333</v>
      </c>
      <c r="BL377" s="19">
        <f t="shared" si="377"/>
        <v>45877.85417</v>
      </c>
      <c r="BM377" s="19">
        <f t="shared" si="377"/>
        <v>45877.875</v>
      </c>
      <c r="BN377" s="19">
        <f t="shared" si="377"/>
        <v>45877.89583</v>
      </c>
      <c r="BO377" s="19">
        <f t="shared" si="377"/>
        <v>45877.91667</v>
      </c>
      <c r="BP377" s="19">
        <f t="shared" si="377"/>
        <v>45877.9375</v>
      </c>
      <c r="BQ377" s="19">
        <f t="shared" si="377"/>
        <v>45877.95833</v>
      </c>
      <c r="BR377" s="19">
        <f t="shared" si="377"/>
        <v>45877.97917</v>
      </c>
      <c r="BS377" s="19">
        <f t="shared" si="377"/>
        <v>45878</v>
      </c>
      <c r="BT377" s="19">
        <f t="shared" si="377"/>
        <v>45878.02083</v>
      </c>
      <c r="BU377" s="19">
        <f t="shared" si="377"/>
        <v>45878.04167</v>
      </c>
      <c r="BV377" s="19">
        <f t="shared" si="377"/>
        <v>45878.0625</v>
      </c>
      <c r="BW377" s="19">
        <f t="shared" si="377"/>
        <v>45878.08333</v>
      </c>
      <c r="BX377" s="19">
        <f t="shared" si="377"/>
        <v>45877</v>
      </c>
      <c r="BY377" s="19">
        <f t="shared" si="377"/>
        <v>45877</v>
      </c>
      <c r="BZ377" s="19">
        <f t="shared" si="377"/>
        <v>45877</v>
      </c>
    </row>
    <row r="378" ht="14.25" customHeight="1">
      <c r="A378" s="17">
        <v>45878.0</v>
      </c>
      <c r="B378" s="2" t="str">
        <f t="array" ref="B378">IF(NOW()&gt;AM378,"",IF(AND((WEEKDAY($A378)+$B$2)&gt;1,((WEEKDAY($A378)+$T$2)&lt;7),(WEEKDAY($A378)&lt;&gt;1)),"work",(INDEX(Subject!$A:$I,MATCH(RANDBETWEEN(1,(MAX(Subject!$B:$B))),Subject!$B:$B,0),3))))</f>
        <v/>
      </c>
      <c r="C378" s="2" t="str">
        <f t="array" ref="C378">IF(NOW()&gt;AN378,"",IF(AND((WEEKDAY($A378)+$B$2)&gt;1,((WEEKDAY($A378)+$T$2)&lt;7),(WEEKDAY($A378)&lt;&gt;1)),"work",(INDEX(Subject!$A:$I,MATCH(RANDBETWEEN(1,(MAX(Subject!$B:$B))),Subject!$B:$B,0),3))))</f>
        <v/>
      </c>
      <c r="D378" s="2" t="str">
        <f t="array" ref="D378">IF(NOW()&gt;AO378,"",IF(AND((WEEKDAY($A378)+$B$2)&gt;1,((WEEKDAY($A378)+$T$2)&lt;7),(WEEKDAY($A378)&lt;&gt;1)),"work",(INDEX(Subject!$A:$I,MATCH(RANDBETWEEN(1,(MAX(Subject!$B:$B))),Subject!$B:$B,0),3))))</f>
        <v/>
      </c>
      <c r="E378" s="2" t="str">
        <f t="array" ref="E378">IF(NOW()&gt;AP378,"",IF(AND((WEEKDAY($A378)+$B$2)&gt;1,((WEEKDAY($A378)+$T$2)&lt;7),(WEEKDAY($A378)&lt;&gt;1)),"work",(INDEX(Subject!$A:$I,MATCH(RANDBETWEEN(1,(MAX(Subject!$B:$B))),Subject!$B:$B,0),3))))</f>
        <v/>
      </c>
      <c r="F378" s="2" t="str">
        <f t="array" ref="F378">IF(NOW()&gt;AQ378,"",IF(AND((WEEKDAY($A378)+$B$2)&gt;1,((WEEKDAY($A378)+$T$2)&lt;7),(WEEKDAY($A378)&lt;&gt;1)),"work",(INDEX(Subject!$A:$I,MATCH(RANDBETWEEN(1,(MAX(Subject!$B:$B))),Subject!$B:$B,0),3))))</f>
        <v/>
      </c>
      <c r="G378" s="2" t="str">
        <f t="array" ref="G378">IF(NOW()&gt;AR378,"",IF(AND((WEEKDAY($A378)+$B$2)&gt;1,((WEEKDAY($A378)+$T$2)&lt;7),(WEEKDAY($A378)&lt;&gt;1)),"work",(INDEX(Subject!$A:$I,MATCH(RANDBETWEEN(1,(MAX(Subject!$B:$B))),Subject!$B:$B,0),3))))</f>
        <v/>
      </c>
      <c r="H378" s="2" t="str">
        <f t="array" ref="H378">IF(NOW()&gt;AS378,"",IF(AND((WEEKDAY($A378)+$B$2)&gt;1,((WEEKDAY($A378)+$T$2)&lt;7),(WEEKDAY($A378)&lt;&gt;1)),"work",(INDEX(Subject!$A:$I,MATCH(RANDBETWEEN(1,(MAX(Subject!$B:$B))),Subject!$B:$B,0),3))))</f>
        <v/>
      </c>
      <c r="I378" s="2" t="str">
        <f t="array" ref="I378">IF(NOW()&gt;AT378,"",IF(AND((WEEKDAY($A378)+$B$2)&gt;1,((WEEKDAY($A378)+$T$2)&lt;7),(WEEKDAY($A378)&lt;&gt;1)),"work",(INDEX(Subject!$A:$I,MATCH(RANDBETWEEN(1,(MAX(Subject!$B:$B))),Subject!$B:$B,0),3))))</f>
        <v/>
      </c>
      <c r="J378" s="2" t="str">
        <f t="array" ref="J378">IF(NOW()&gt;AU378,"",IF(AND((WEEKDAY($A378)+$B$2)&gt;1,((WEEKDAY($A378)+$T$2)&lt;7),(WEEKDAY($A378)&lt;&gt;1)),"work",(INDEX(Subject!$A:$I,MATCH(RANDBETWEEN(1,(MAX(Subject!$B:$B))),Subject!$B:$B,0),3))))</f>
        <v/>
      </c>
      <c r="K378" s="2" t="str">
        <f t="array" ref="K378">IF(NOW()&gt;AV378,"",IF(AND((WEEKDAY($A378)+$B$2)&gt;1,((WEEKDAY($A378)+$T$2)&lt;7),(WEEKDAY($A378)&lt;&gt;1)),"work",(INDEX(Subject!$A:$I,MATCH(RANDBETWEEN(1,(MAX(Subject!$B:$B))),Subject!$B:$B,0),3))))</f>
        <v/>
      </c>
      <c r="L378" s="2" t="str">
        <f t="array" ref="L378">IF(NOW()&gt;AW378,"",IF(AND((WEEKDAY($A378)+$B$2)&gt;1,((WEEKDAY($A378)+$T$2)&lt;7),(WEEKDAY($A378)&lt;&gt;1)),"work",(INDEX(Subject!$A:$I,MATCH(RANDBETWEEN(1,(MAX(Subject!$B:$B))),Subject!$B:$B,0),3))))</f>
        <v/>
      </c>
      <c r="M378" s="2" t="str">
        <f t="array" ref="M378">IF(NOW()&gt;AX378,"",IF(AND((WEEKDAY($A378)+$B$2)&gt;1,((WEEKDAY($A378)+$T$2)&lt;7),(WEEKDAY($A378)&lt;&gt;1)),"work",(INDEX(Subject!$A:$I,MATCH(RANDBETWEEN(1,(MAX(Subject!$B:$B))),Subject!$B:$B,0),3))))</f>
        <v/>
      </c>
      <c r="N378" s="2" t="str">
        <f t="array" ref="N378">IF(NOW()&gt;AY378,"",IF(AND((WEEKDAY($A378)+$B$2)&gt;1,((WEEKDAY($A378)+$T$2)&lt;7),(WEEKDAY($A378)&lt;&gt;1)),"work",(INDEX(Subject!$A:$I,MATCH(RANDBETWEEN(1,(MAX(Subject!$B:$B))),Subject!$B:$B,0),3))))</f>
        <v/>
      </c>
      <c r="O378" s="2" t="str">
        <f t="array" ref="O378">IF(NOW()&gt;AZ378,"",IF(AND((WEEKDAY($A378)+$B$2)&gt;1,((WEEKDAY($A378)+$T$2)&lt;7),(WEEKDAY($A378)&lt;&gt;1)),"work",(INDEX(Subject!$A:$I,MATCH(RANDBETWEEN(1,(MAX(Subject!$B:$B))),Subject!$B:$B,0),3))))</f>
        <v/>
      </c>
      <c r="P378" s="2" t="str">
        <f t="array" ref="P378">IF(NOW()&gt;BA378,"",IF(AND((WEEKDAY($A378)+$B$2)&gt;1,((WEEKDAY($A378)+$T$2)&lt;7),(WEEKDAY($A378)&lt;&gt;1)),"work",(INDEX(Subject!$A:$I,MATCH(RANDBETWEEN(1,(MAX(Subject!$B:$B))),Subject!$B:$B,0),3))))</f>
        <v/>
      </c>
      <c r="Q378" s="2" t="str">
        <f t="array" ref="Q378">IF(NOW()&gt;BB378,"",IF(AND((WEEKDAY($A378)+$B$2)&gt;1,((WEEKDAY($A378)+$T$2)&lt;7),(WEEKDAY($A378)&lt;&gt;1)),"work",(INDEX(Subject!$A:$I,MATCH(RANDBETWEEN(1,(MAX(Subject!$B:$B))),Subject!$B:$B,0),3))))</f>
        <v/>
      </c>
      <c r="R378" s="2" t="str">
        <f t="array" ref="R378">IF(NOW()&gt;BC378,"",IF(AND((WEEKDAY($A378)+$B$2)&gt;1,((WEEKDAY($A378)+$T$2)&lt;7),(WEEKDAY($A378)&lt;&gt;1)),"work",(INDEX(Subject!$A:$I,MATCH(RANDBETWEEN(1,(MAX(Subject!$B:$B))),Subject!$B:$B,0),3))))</f>
        <v/>
      </c>
      <c r="S378" s="2" t="str">
        <f t="array" ref="S378">IF(NOW()&gt;BD378,"",IF(AND((WEEKDAY($A378)+$B$2)&gt;1,((WEEKDAY($A378)+$T$2)&lt;7),(WEEKDAY($A378)&lt;&gt;1)),"work",(INDEX(Subject!$A:$I,MATCH(RANDBETWEEN(1,(MAX(Subject!$B:$B))),Subject!$B:$B,0),3))))</f>
        <v/>
      </c>
      <c r="T378" s="2" t="str">
        <f t="array" ref="T378">IF(NOW()&gt;BE378,"",IF(AND((WEEKDAY($A378)+$B$2)&gt;1,((WEEKDAY($A378)+$T$2)&lt;7),(WEEKDAY($A378)&lt;&gt;1)),"work",(INDEX(Subject!$A:$I,MATCH(RANDBETWEEN(1,(MAX(Subject!$B:$B))),Subject!$B:$B,0),3))))</f>
        <v/>
      </c>
      <c r="U378" s="8" t="str">
        <f t="array" ref="U378">INDEX(Subject!$A:$I,MATCH(RANDBETWEEN(1,16),Subject!$B:$B,0),3)</f>
        <v>#N/A</v>
      </c>
      <c r="V378" s="8" t="str">
        <f t="array" ref="V378">INDEX(Subject!$A:$I,MATCH(RANDBETWEEN(1,16),Subject!$B:$B,0),3)</f>
        <v>#N/A</v>
      </c>
      <c r="W378" s="8" t="str">
        <f t="array" ref="W378">INDEX(Subject!$A:$I,MATCH(RANDBETWEEN(1,16),Subject!$B:$B,0),3)</f>
        <v>#N/A</v>
      </c>
      <c r="X378" s="8" t="str">
        <f t="array" ref="X378">INDEX(Subject!$A:$I,MATCH(RANDBETWEEN(1,16),Subject!$B:$B,0),3)</f>
        <v>#N/A</v>
      </c>
      <c r="Y378" s="8" t="str">
        <f t="array" ref="Y378">INDEX(Subject!$A:$I,MATCH(RANDBETWEEN(1,16),Subject!$B:$B,0),3)</f>
        <v>#N/A</v>
      </c>
      <c r="Z378" s="8" t="str">
        <f t="array" ref="Z378">INDEX(Subject!$A:$I,MATCH(RANDBETWEEN(1,16),Subject!$B:$B,0),3)</f>
        <v>#N/A</v>
      </c>
      <c r="AA378" s="8" t="str">
        <f t="array" ref="AA378">INDEX(Subject!$A:$I,MATCH(RANDBETWEEN(1,16),Subject!$B:$B,0),3)</f>
        <v>#N/A</v>
      </c>
      <c r="AB378" s="8" t="str">
        <f t="array" ref="AB378">INDEX(Subject!$A:$I,MATCH(RANDBETWEEN(1,16),Subject!$B:$B,0),3)</f>
        <v>#N/A</v>
      </c>
      <c r="AC378" s="8" t="str">
        <f t="array" ref="AC378">INDEX(Subject!$A:$I,MATCH(RANDBETWEEN(1,16),Subject!$B:$B,0),3)</f>
        <v/>
      </c>
      <c r="AD378" s="8" t="str">
        <f t="array" ref="AD378">INDEX(Subject!$A:$I,MATCH(RANDBETWEEN(1,16),Subject!$B:$B,0),3)</f>
        <v>#N/A</v>
      </c>
      <c r="AE378" s="8" t="str">
        <f t="array" ref="AE378">INDEX(Subject!$A:$I,MATCH(RANDBETWEEN(1,16),Subject!$B:$B,0),3)</f>
        <v>#N/A</v>
      </c>
      <c r="AF378" s="8" t="str">
        <f t="array" ref="AF378">INDEX(Subject!$A:$I,MATCH(RANDBETWEEN(1,16),Subject!$B:$B,0),3)</f>
        <v/>
      </c>
      <c r="AG378" s="8" t="str">
        <f t="array" ref="AG378">INDEX(Subject!$A:$I,MATCH(RANDBETWEEN(1,16),Subject!$B:$B,0),3)</f>
        <v>#N/A</v>
      </c>
      <c r="AH378" s="8" t="str">
        <f t="array" ref="AH378">INDEX(Subject!$A:$I,MATCH(RANDBETWEEN(1,16),Subject!$B:$B,0),3)</f>
        <v>#N/A</v>
      </c>
      <c r="AI378" s="8" t="str">
        <f t="array" ref="AI378">INDEX(Subject!$A:$I,MATCH(RANDBETWEEN(1,16),Subject!$B:$B,0),3)</f>
        <v>#N/A</v>
      </c>
      <c r="AJ378" s="8" t="str">
        <f t="array" ref="AJ378">INDEX(Subject!$A:$I,MATCH(RANDBETWEEN(1,16),Subject!$B:$B,0),3)</f>
        <v>#N/A</v>
      </c>
      <c r="AK378" s="8" t="str">
        <f t="array" ref="AK378">INDEX(Subject!$A:$I,MATCH(RANDBETWEEN(1,16),Subject!$B:$B,0),3)</f>
        <v/>
      </c>
      <c r="AL378" s="8" t="str">
        <f t="array" ref="AL378">INDEX(Subject!$A:$I,MATCH(RANDBETWEEN(1,16),Subject!$B:$B,0),3)</f>
        <v/>
      </c>
      <c r="AM378" s="18">
        <f t="shared" si="4"/>
        <v>45878.33333</v>
      </c>
      <c r="AN378" s="19">
        <f t="shared" ref="AN378:BZ378" si="378">$A378+C$1</f>
        <v>45878.35417</v>
      </c>
      <c r="AO378" s="19">
        <f t="shared" si="378"/>
        <v>45878.375</v>
      </c>
      <c r="AP378" s="19">
        <f t="shared" si="378"/>
        <v>45878.39583</v>
      </c>
      <c r="AQ378" s="19">
        <f t="shared" si="378"/>
        <v>45878.41667</v>
      </c>
      <c r="AR378" s="19">
        <f t="shared" si="378"/>
        <v>45878.4375</v>
      </c>
      <c r="AS378" s="19">
        <f t="shared" si="378"/>
        <v>45878.45833</v>
      </c>
      <c r="AT378" s="19">
        <f t="shared" si="378"/>
        <v>45878.47917</v>
      </c>
      <c r="AU378" s="19">
        <f t="shared" si="378"/>
        <v>45878.5</v>
      </c>
      <c r="AV378" s="19">
        <f t="shared" si="378"/>
        <v>45878.52083</v>
      </c>
      <c r="AW378" s="19">
        <f t="shared" si="378"/>
        <v>45878.54167</v>
      </c>
      <c r="AX378" s="19">
        <f t="shared" si="378"/>
        <v>45878.5625</v>
      </c>
      <c r="AY378" s="19">
        <f t="shared" si="378"/>
        <v>45878.58333</v>
      </c>
      <c r="AZ378" s="19">
        <f t="shared" si="378"/>
        <v>45878.60417</v>
      </c>
      <c r="BA378" s="19">
        <f t="shared" si="378"/>
        <v>45878.625</v>
      </c>
      <c r="BB378" s="19">
        <f t="shared" si="378"/>
        <v>45878.64583</v>
      </c>
      <c r="BC378" s="19">
        <f t="shared" si="378"/>
        <v>45878.66667</v>
      </c>
      <c r="BD378" s="19">
        <f t="shared" si="378"/>
        <v>45878.6875</v>
      </c>
      <c r="BE378" s="19">
        <f t="shared" si="378"/>
        <v>45878.70833</v>
      </c>
      <c r="BF378" s="19">
        <f t="shared" si="378"/>
        <v>45878.72917</v>
      </c>
      <c r="BG378" s="19">
        <f t="shared" si="378"/>
        <v>45878.75</v>
      </c>
      <c r="BH378" s="19">
        <f t="shared" si="378"/>
        <v>45878.77083</v>
      </c>
      <c r="BI378" s="19">
        <f t="shared" si="378"/>
        <v>45878.79167</v>
      </c>
      <c r="BJ378" s="19">
        <f t="shared" si="378"/>
        <v>45878.8125</v>
      </c>
      <c r="BK378" s="19">
        <f t="shared" si="378"/>
        <v>45878.83333</v>
      </c>
      <c r="BL378" s="19">
        <f t="shared" si="378"/>
        <v>45878.85417</v>
      </c>
      <c r="BM378" s="19">
        <f t="shared" si="378"/>
        <v>45878.875</v>
      </c>
      <c r="BN378" s="19">
        <f t="shared" si="378"/>
        <v>45878.89583</v>
      </c>
      <c r="BO378" s="19">
        <f t="shared" si="378"/>
        <v>45878.91667</v>
      </c>
      <c r="BP378" s="19">
        <f t="shared" si="378"/>
        <v>45878.9375</v>
      </c>
      <c r="BQ378" s="19">
        <f t="shared" si="378"/>
        <v>45878.95833</v>
      </c>
      <c r="BR378" s="19">
        <f t="shared" si="378"/>
        <v>45878.97917</v>
      </c>
      <c r="BS378" s="19">
        <f t="shared" si="378"/>
        <v>45879</v>
      </c>
      <c r="BT378" s="19">
        <f t="shared" si="378"/>
        <v>45879.02083</v>
      </c>
      <c r="BU378" s="19">
        <f t="shared" si="378"/>
        <v>45879.04167</v>
      </c>
      <c r="BV378" s="19">
        <f t="shared" si="378"/>
        <v>45879.0625</v>
      </c>
      <c r="BW378" s="19">
        <f t="shared" si="378"/>
        <v>45879.08333</v>
      </c>
      <c r="BX378" s="19">
        <f t="shared" si="378"/>
        <v>45878</v>
      </c>
      <c r="BY378" s="19">
        <f t="shared" si="378"/>
        <v>45878</v>
      </c>
      <c r="BZ378" s="19">
        <f t="shared" si="378"/>
        <v>45878</v>
      </c>
    </row>
    <row r="379" ht="14.25" customHeight="1">
      <c r="A379" s="17">
        <v>45879.0</v>
      </c>
      <c r="B379" s="2" t="str">
        <f t="array" ref="B379">IF(NOW()&gt;AM379,"",IF(AND((WEEKDAY($A379)+$B$2)&gt;1,((WEEKDAY($A379)+$T$2)&lt;7),(WEEKDAY($A379)&lt;&gt;1)),"work",(INDEX(Subject!$A:$I,MATCH(RANDBETWEEN(1,(MAX(Subject!$B:$B))),Subject!$B:$B,0),3))))</f>
        <v/>
      </c>
      <c r="C379" s="2" t="str">
        <f t="array" ref="C379">IF(NOW()&gt;AN379,"",IF(AND((WEEKDAY($A379)+$B$2)&gt;1,((WEEKDAY($A379)+$T$2)&lt;7),(WEEKDAY($A379)&lt;&gt;1)),"work",(INDEX(Subject!$A:$I,MATCH(RANDBETWEEN(1,(MAX(Subject!$B:$B))),Subject!$B:$B,0),3))))</f>
        <v/>
      </c>
      <c r="D379" s="2" t="str">
        <f t="array" ref="D379">IF(NOW()&gt;AO379,"",IF(AND((WEEKDAY($A379)+$B$2)&gt;1,((WEEKDAY($A379)+$T$2)&lt;7),(WEEKDAY($A379)&lt;&gt;1)),"work",(INDEX(Subject!$A:$I,MATCH(RANDBETWEEN(1,(MAX(Subject!$B:$B))),Subject!$B:$B,0),3))))</f>
        <v/>
      </c>
      <c r="E379" s="2" t="str">
        <f t="array" ref="E379">IF(NOW()&gt;AP379,"",IF(AND((WEEKDAY($A379)+$B$2)&gt;1,((WEEKDAY($A379)+$T$2)&lt;7),(WEEKDAY($A379)&lt;&gt;1)),"work",(INDEX(Subject!$A:$I,MATCH(RANDBETWEEN(1,(MAX(Subject!$B:$B))),Subject!$B:$B,0),3))))</f>
        <v/>
      </c>
      <c r="F379" s="2" t="str">
        <f t="array" ref="F379">IF(NOW()&gt;AQ379,"",IF(AND((WEEKDAY($A379)+$B$2)&gt;1,((WEEKDAY($A379)+$T$2)&lt;7),(WEEKDAY($A379)&lt;&gt;1)),"work",(INDEX(Subject!$A:$I,MATCH(RANDBETWEEN(1,(MAX(Subject!$B:$B))),Subject!$B:$B,0),3))))</f>
        <v/>
      </c>
      <c r="G379" s="2" t="str">
        <f t="array" ref="G379">IF(NOW()&gt;AR379,"",IF(AND((WEEKDAY($A379)+$B$2)&gt;1,((WEEKDAY($A379)+$T$2)&lt;7),(WEEKDAY($A379)&lt;&gt;1)),"work",(INDEX(Subject!$A:$I,MATCH(RANDBETWEEN(1,(MAX(Subject!$B:$B))),Subject!$B:$B,0),3))))</f>
        <v/>
      </c>
      <c r="H379" s="2" t="str">
        <f t="array" ref="H379">IF(NOW()&gt;AS379,"",IF(AND((WEEKDAY($A379)+$B$2)&gt;1,((WEEKDAY($A379)+$T$2)&lt;7),(WEEKDAY($A379)&lt;&gt;1)),"work",(INDEX(Subject!$A:$I,MATCH(RANDBETWEEN(1,(MAX(Subject!$B:$B))),Subject!$B:$B,0),3))))</f>
        <v/>
      </c>
      <c r="I379" s="2" t="str">
        <f t="array" ref="I379">IF(NOW()&gt;AT379,"",IF(AND((WEEKDAY($A379)+$B$2)&gt;1,((WEEKDAY($A379)+$T$2)&lt;7),(WEEKDAY($A379)&lt;&gt;1)),"work",(INDEX(Subject!$A:$I,MATCH(RANDBETWEEN(1,(MAX(Subject!$B:$B))),Subject!$B:$B,0),3))))</f>
        <v/>
      </c>
      <c r="J379" s="2" t="str">
        <f t="array" ref="J379">IF(NOW()&gt;AU379,"",IF(AND((WEEKDAY($A379)+$B$2)&gt;1,((WEEKDAY($A379)+$T$2)&lt;7),(WEEKDAY($A379)&lt;&gt;1)),"work",(INDEX(Subject!$A:$I,MATCH(RANDBETWEEN(1,(MAX(Subject!$B:$B))),Subject!$B:$B,0),3))))</f>
        <v/>
      </c>
      <c r="K379" s="2" t="str">
        <f t="array" ref="K379">IF(NOW()&gt;AV379,"",IF(AND((WEEKDAY($A379)+$B$2)&gt;1,((WEEKDAY($A379)+$T$2)&lt;7),(WEEKDAY($A379)&lt;&gt;1)),"work",(INDEX(Subject!$A:$I,MATCH(RANDBETWEEN(1,(MAX(Subject!$B:$B))),Subject!$B:$B,0),3))))</f>
        <v/>
      </c>
      <c r="L379" s="2" t="str">
        <f t="array" ref="L379">IF(NOW()&gt;AW379,"",IF(AND((WEEKDAY($A379)+$B$2)&gt;1,((WEEKDAY($A379)+$T$2)&lt;7),(WEEKDAY($A379)&lt;&gt;1)),"work",(INDEX(Subject!$A:$I,MATCH(RANDBETWEEN(1,(MAX(Subject!$B:$B))),Subject!$B:$B,0),3))))</f>
        <v/>
      </c>
      <c r="M379" s="2" t="str">
        <f t="array" ref="M379">IF(NOW()&gt;AX379,"",IF(AND((WEEKDAY($A379)+$B$2)&gt;1,((WEEKDAY($A379)+$T$2)&lt;7),(WEEKDAY($A379)&lt;&gt;1)),"work",(INDEX(Subject!$A:$I,MATCH(RANDBETWEEN(1,(MAX(Subject!$B:$B))),Subject!$B:$B,0),3))))</f>
        <v/>
      </c>
      <c r="N379" s="2" t="str">
        <f t="array" ref="N379">IF(NOW()&gt;AY379,"",IF(AND((WEEKDAY($A379)+$B$2)&gt;1,((WEEKDAY($A379)+$T$2)&lt;7),(WEEKDAY($A379)&lt;&gt;1)),"work",(INDEX(Subject!$A:$I,MATCH(RANDBETWEEN(1,(MAX(Subject!$B:$B))),Subject!$B:$B,0),3))))</f>
        <v/>
      </c>
      <c r="O379" s="2" t="str">
        <f t="array" ref="O379">IF(NOW()&gt;AZ379,"",IF(AND((WEEKDAY($A379)+$B$2)&gt;1,((WEEKDAY($A379)+$T$2)&lt;7),(WEEKDAY($A379)&lt;&gt;1)),"work",(INDEX(Subject!$A:$I,MATCH(RANDBETWEEN(1,(MAX(Subject!$B:$B))),Subject!$B:$B,0),3))))</f>
        <v/>
      </c>
      <c r="P379" s="2" t="str">
        <f t="array" ref="P379">IF(NOW()&gt;BA379,"",IF(AND((WEEKDAY($A379)+$B$2)&gt;1,((WEEKDAY($A379)+$T$2)&lt;7),(WEEKDAY($A379)&lt;&gt;1)),"work",(INDEX(Subject!$A:$I,MATCH(RANDBETWEEN(1,(MAX(Subject!$B:$B))),Subject!$B:$B,0),3))))</f>
        <v/>
      </c>
      <c r="Q379" s="2" t="str">
        <f t="array" ref="Q379">IF(NOW()&gt;BB379,"",IF(AND((WEEKDAY($A379)+$B$2)&gt;1,((WEEKDAY($A379)+$T$2)&lt;7),(WEEKDAY($A379)&lt;&gt;1)),"work",(INDEX(Subject!$A:$I,MATCH(RANDBETWEEN(1,(MAX(Subject!$B:$B))),Subject!$B:$B,0),3))))</f>
        <v/>
      </c>
      <c r="R379" s="2" t="str">
        <f t="array" ref="R379">IF(NOW()&gt;BC379,"",IF(AND((WEEKDAY($A379)+$B$2)&gt;1,((WEEKDAY($A379)+$T$2)&lt;7),(WEEKDAY($A379)&lt;&gt;1)),"work",(INDEX(Subject!$A:$I,MATCH(RANDBETWEEN(1,(MAX(Subject!$B:$B))),Subject!$B:$B,0),3))))</f>
        <v/>
      </c>
      <c r="S379" s="2" t="str">
        <f t="array" ref="S379">IF(NOW()&gt;BD379,"",IF(AND((WEEKDAY($A379)+$B$2)&gt;1,((WEEKDAY($A379)+$T$2)&lt;7),(WEEKDAY($A379)&lt;&gt;1)),"work",(INDEX(Subject!$A:$I,MATCH(RANDBETWEEN(1,(MAX(Subject!$B:$B))),Subject!$B:$B,0),3))))</f>
        <v/>
      </c>
      <c r="T379" s="2" t="str">
        <f t="array" ref="T379">IF(NOW()&gt;BE379,"",IF(AND((WEEKDAY($A379)+$B$2)&gt;1,((WEEKDAY($A379)+$T$2)&lt;7),(WEEKDAY($A379)&lt;&gt;1)),"work",(INDEX(Subject!$A:$I,MATCH(RANDBETWEEN(1,(MAX(Subject!$B:$B))),Subject!$B:$B,0),3))))</f>
        <v/>
      </c>
      <c r="U379" s="8" t="str">
        <f t="array" ref="U379">INDEX(Subject!$A:$I,MATCH(RANDBETWEEN(1,16),Subject!$B:$B,0),3)</f>
        <v>#N/A</v>
      </c>
      <c r="V379" s="8" t="str">
        <f t="array" ref="V379">INDEX(Subject!$A:$I,MATCH(RANDBETWEEN(1,16),Subject!$B:$B,0),3)</f>
        <v>#N/A</v>
      </c>
      <c r="W379" s="8" t="str">
        <f t="array" ref="W379">INDEX(Subject!$A:$I,MATCH(RANDBETWEEN(1,16),Subject!$B:$B,0),3)</f>
        <v>#N/A</v>
      </c>
      <c r="X379" s="8" t="str">
        <f t="array" ref="X379">INDEX(Subject!$A:$I,MATCH(RANDBETWEEN(1,16),Subject!$B:$B,0),3)</f>
        <v>#N/A</v>
      </c>
      <c r="Y379" s="8" t="str">
        <f t="array" ref="Y379">INDEX(Subject!$A:$I,MATCH(RANDBETWEEN(1,16),Subject!$B:$B,0),3)</f>
        <v>#N/A</v>
      </c>
      <c r="Z379" s="8" t="str">
        <f t="array" ref="Z379">INDEX(Subject!$A:$I,MATCH(RANDBETWEEN(1,16),Subject!$B:$B,0),3)</f>
        <v>#N/A</v>
      </c>
      <c r="AA379" s="8" t="str">
        <f t="array" ref="AA379">INDEX(Subject!$A:$I,MATCH(RANDBETWEEN(1,16),Subject!$B:$B,0),3)</f>
        <v>#N/A</v>
      </c>
      <c r="AB379" s="8" t="str">
        <f t="array" ref="AB379">INDEX(Subject!$A:$I,MATCH(RANDBETWEEN(1,16),Subject!$B:$B,0),3)</f>
        <v>#N/A</v>
      </c>
      <c r="AC379" s="8" t="str">
        <f t="array" ref="AC379">INDEX(Subject!$A:$I,MATCH(RANDBETWEEN(1,16),Subject!$B:$B,0),3)</f>
        <v>#N/A</v>
      </c>
      <c r="AD379" s="8" t="str">
        <f t="array" ref="AD379">INDEX(Subject!$A:$I,MATCH(RANDBETWEEN(1,16),Subject!$B:$B,0),3)</f>
        <v>#N/A</v>
      </c>
      <c r="AE379" s="8" t="str">
        <f t="array" ref="AE379">INDEX(Subject!$A:$I,MATCH(RANDBETWEEN(1,16),Subject!$B:$B,0),3)</f>
        <v>#N/A</v>
      </c>
      <c r="AF379" s="8" t="str">
        <f t="array" ref="AF379">INDEX(Subject!$A:$I,MATCH(RANDBETWEEN(1,16),Subject!$B:$B,0),3)</f>
        <v>#N/A</v>
      </c>
      <c r="AG379" s="8" t="str">
        <f t="array" ref="AG379">INDEX(Subject!$A:$I,MATCH(RANDBETWEEN(1,16),Subject!$B:$B,0),3)</f>
        <v>#N/A</v>
      </c>
      <c r="AH379" s="8" t="str">
        <f t="array" ref="AH379">INDEX(Subject!$A:$I,MATCH(RANDBETWEEN(1,16),Subject!$B:$B,0),3)</f>
        <v>#N/A</v>
      </c>
      <c r="AI379" s="8" t="str">
        <f t="array" ref="AI379">INDEX(Subject!$A:$I,MATCH(RANDBETWEEN(1,16),Subject!$B:$B,0),3)</f>
        <v>#N/A</v>
      </c>
      <c r="AJ379" s="8" t="str">
        <f t="array" ref="AJ379">INDEX(Subject!$A:$I,MATCH(RANDBETWEEN(1,16),Subject!$B:$B,0),3)</f>
        <v>#N/A</v>
      </c>
      <c r="AK379" s="8" t="str">
        <f t="array" ref="AK379">INDEX(Subject!$A:$I,MATCH(RANDBETWEEN(1,16),Subject!$B:$B,0),3)</f>
        <v>#N/A</v>
      </c>
      <c r="AL379" s="8" t="str">
        <f t="array" ref="AL379">INDEX(Subject!$A:$I,MATCH(RANDBETWEEN(1,16),Subject!$B:$B,0),3)</f>
        <v>#N/A</v>
      </c>
      <c r="AM379" s="18">
        <f t="shared" si="4"/>
        <v>45879.33333</v>
      </c>
      <c r="AN379" s="19">
        <f t="shared" ref="AN379:BZ379" si="379">$A379+C$1</f>
        <v>45879.35417</v>
      </c>
      <c r="AO379" s="19">
        <f t="shared" si="379"/>
        <v>45879.375</v>
      </c>
      <c r="AP379" s="19">
        <f t="shared" si="379"/>
        <v>45879.39583</v>
      </c>
      <c r="AQ379" s="19">
        <f t="shared" si="379"/>
        <v>45879.41667</v>
      </c>
      <c r="AR379" s="19">
        <f t="shared" si="379"/>
        <v>45879.4375</v>
      </c>
      <c r="AS379" s="19">
        <f t="shared" si="379"/>
        <v>45879.45833</v>
      </c>
      <c r="AT379" s="19">
        <f t="shared" si="379"/>
        <v>45879.47917</v>
      </c>
      <c r="AU379" s="19">
        <f t="shared" si="379"/>
        <v>45879.5</v>
      </c>
      <c r="AV379" s="19">
        <f t="shared" si="379"/>
        <v>45879.52083</v>
      </c>
      <c r="AW379" s="19">
        <f t="shared" si="379"/>
        <v>45879.54167</v>
      </c>
      <c r="AX379" s="19">
        <f t="shared" si="379"/>
        <v>45879.5625</v>
      </c>
      <c r="AY379" s="19">
        <f t="shared" si="379"/>
        <v>45879.58333</v>
      </c>
      <c r="AZ379" s="19">
        <f t="shared" si="379"/>
        <v>45879.60417</v>
      </c>
      <c r="BA379" s="19">
        <f t="shared" si="379"/>
        <v>45879.625</v>
      </c>
      <c r="BB379" s="19">
        <f t="shared" si="379"/>
        <v>45879.64583</v>
      </c>
      <c r="BC379" s="19">
        <f t="shared" si="379"/>
        <v>45879.66667</v>
      </c>
      <c r="BD379" s="19">
        <f t="shared" si="379"/>
        <v>45879.6875</v>
      </c>
      <c r="BE379" s="19">
        <f t="shared" si="379"/>
        <v>45879.70833</v>
      </c>
      <c r="BF379" s="19">
        <f t="shared" si="379"/>
        <v>45879.72917</v>
      </c>
      <c r="BG379" s="19">
        <f t="shared" si="379"/>
        <v>45879.75</v>
      </c>
      <c r="BH379" s="19">
        <f t="shared" si="379"/>
        <v>45879.77083</v>
      </c>
      <c r="BI379" s="19">
        <f t="shared" si="379"/>
        <v>45879.79167</v>
      </c>
      <c r="BJ379" s="19">
        <f t="shared" si="379"/>
        <v>45879.8125</v>
      </c>
      <c r="BK379" s="19">
        <f t="shared" si="379"/>
        <v>45879.83333</v>
      </c>
      <c r="BL379" s="19">
        <f t="shared" si="379"/>
        <v>45879.85417</v>
      </c>
      <c r="BM379" s="19">
        <f t="shared" si="379"/>
        <v>45879.875</v>
      </c>
      <c r="BN379" s="19">
        <f t="shared" si="379"/>
        <v>45879.89583</v>
      </c>
      <c r="BO379" s="19">
        <f t="shared" si="379"/>
        <v>45879.91667</v>
      </c>
      <c r="BP379" s="19">
        <f t="shared" si="379"/>
        <v>45879.9375</v>
      </c>
      <c r="BQ379" s="19">
        <f t="shared" si="379"/>
        <v>45879.95833</v>
      </c>
      <c r="BR379" s="19">
        <f t="shared" si="379"/>
        <v>45879.97917</v>
      </c>
      <c r="BS379" s="19">
        <f t="shared" si="379"/>
        <v>45880</v>
      </c>
      <c r="BT379" s="19">
        <f t="shared" si="379"/>
        <v>45880.02083</v>
      </c>
      <c r="BU379" s="19">
        <f t="shared" si="379"/>
        <v>45880.04167</v>
      </c>
      <c r="BV379" s="19">
        <f t="shared" si="379"/>
        <v>45880.0625</v>
      </c>
      <c r="BW379" s="19">
        <f t="shared" si="379"/>
        <v>45880.08333</v>
      </c>
      <c r="BX379" s="19">
        <f t="shared" si="379"/>
        <v>45879</v>
      </c>
      <c r="BY379" s="19">
        <f t="shared" si="379"/>
        <v>45879</v>
      </c>
      <c r="BZ379" s="19">
        <f t="shared" si="379"/>
        <v>45879</v>
      </c>
    </row>
    <row r="380" ht="14.25" customHeight="1">
      <c r="A380" s="17">
        <v>45880.0</v>
      </c>
      <c r="B380" s="2" t="str">
        <f t="array" ref="B380">IF(NOW()&gt;AM380,"",IF(AND((WEEKDAY($A380)+$B$2)&gt;1,((WEEKDAY($A380)+$T$2)&lt;7),(WEEKDAY($A380)&lt;&gt;1)),"work",(INDEX(Subject!$A:$I,MATCH(RANDBETWEEN(1,(MAX(Subject!$B:$B))),Subject!$B:$B,0),3))))</f>
        <v/>
      </c>
      <c r="C380" s="2" t="str">
        <f t="array" ref="C380">IF(NOW()&gt;AN380,"",IF(AND((WEEKDAY($A380)+$B$2)&gt;1,((WEEKDAY($A380)+$T$2)&lt;7),(WEEKDAY($A380)&lt;&gt;1)),"work",(INDEX(Subject!$A:$I,MATCH(RANDBETWEEN(1,(MAX(Subject!$B:$B))),Subject!$B:$B,0),3))))</f>
        <v/>
      </c>
      <c r="D380" s="2" t="str">
        <f t="array" ref="D380">IF(NOW()&gt;AO380,"",IF(AND((WEEKDAY($A380)+$B$2)&gt;1,((WEEKDAY($A380)+$T$2)&lt;7),(WEEKDAY($A380)&lt;&gt;1)),"work",(INDEX(Subject!$A:$I,MATCH(RANDBETWEEN(1,(MAX(Subject!$B:$B))),Subject!$B:$B,0),3))))</f>
        <v/>
      </c>
      <c r="E380" s="2" t="str">
        <f t="array" ref="E380">IF(NOW()&gt;AP380,"",IF(AND((WEEKDAY($A380)+$B$2)&gt;1,((WEEKDAY($A380)+$T$2)&lt;7),(WEEKDAY($A380)&lt;&gt;1)),"work",(INDEX(Subject!$A:$I,MATCH(RANDBETWEEN(1,(MAX(Subject!$B:$B))),Subject!$B:$B,0),3))))</f>
        <v/>
      </c>
      <c r="F380" s="2" t="str">
        <f t="array" ref="F380">IF(NOW()&gt;AQ380,"",IF(AND((WEEKDAY($A380)+$B$2)&gt;1,((WEEKDAY($A380)+$T$2)&lt;7),(WEEKDAY($A380)&lt;&gt;1)),"work",(INDEX(Subject!$A:$I,MATCH(RANDBETWEEN(1,(MAX(Subject!$B:$B))),Subject!$B:$B,0),3))))</f>
        <v/>
      </c>
      <c r="G380" s="2" t="str">
        <f t="array" ref="G380">IF(NOW()&gt;AR380,"",IF(AND((WEEKDAY($A380)+$B$2)&gt;1,((WEEKDAY($A380)+$T$2)&lt;7),(WEEKDAY($A380)&lt;&gt;1)),"work",(INDEX(Subject!$A:$I,MATCH(RANDBETWEEN(1,(MAX(Subject!$B:$B))),Subject!$B:$B,0),3))))</f>
        <v/>
      </c>
      <c r="H380" s="2" t="str">
        <f t="array" ref="H380">IF(NOW()&gt;AS380,"",IF(AND((WEEKDAY($A380)+$B$2)&gt;1,((WEEKDAY($A380)+$T$2)&lt;7),(WEEKDAY($A380)&lt;&gt;1)),"work",(INDEX(Subject!$A:$I,MATCH(RANDBETWEEN(1,(MAX(Subject!$B:$B))),Subject!$B:$B,0),3))))</f>
        <v/>
      </c>
      <c r="I380" s="2" t="str">
        <f t="array" ref="I380">IF(NOW()&gt;AT380,"",IF(AND((WEEKDAY($A380)+$B$2)&gt;1,((WEEKDAY($A380)+$T$2)&lt;7),(WEEKDAY($A380)&lt;&gt;1)),"work",(INDEX(Subject!$A:$I,MATCH(RANDBETWEEN(1,(MAX(Subject!$B:$B))),Subject!$B:$B,0),3))))</f>
        <v/>
      </c>
      <c r="J380" s="2" t="str">
        <f t="array" ref="J380">IF(NOW()&gt;AU380,"",IF(AND((WEEKDAY($A380)+$B$2)&gt;1,((WEEKDAY($A380)+$T$2)&lt;7),(WEEKDAY($A380)&lt;&gt;1)),"work",(INDEX(Subject!$A:$I,MATCH(RANDBETWEEN(1,(MAX(Subject!$B:$B))),Subject!$B:$B,0),3))))</f>
        <v/>
      </c>
      <c r="K380" s="2" t="str">
        <f t="array" ref="K380">IF(NOW()&gt;AV380,"",IF(AND((WEEKDAY($A380)+$B$2)&gt;1,((WEEKDAY($A380)+$T$2)&lt;7),(WEEKDAY($A380)&lt;&gt;1)),"work",(INDEX(Subject!$A:$I,MATCH(RANDBETWEEN(1,(MAX(Subject!$B:$B))),Subject!$B:$B,0),3))))</f>
        <v/>
      </c>
      <c r="L380" s="2" t="str">
        <f t="array" ref="L380">IF(NOW()&gt;AW380,"",IF(AND((WEEKDAY($A380)+$B$2)&gt;1,((WEEKDAY($A380)+$T$2)&lt;7),(WEEKDAY($A380)&lt;&gt;1)),"work",(INDEX(Subject!$A:$I,MATCH(RANDBETWEEN(1,(MAX(Subject!$B:$B))),Subject!$B:$B,0),3))))</f>
        <v/>
      </c>
      <c r="M380" s="2" t="str">
        <f t="array" ref="M380">IF(NOW()&gt;AX380,"",IF(AND((WEEKDAY($A380)+$B$2)&gt;1,((WEEKDAY($A380)+$T$2)&lt;7),(WEEKDAY($A380)&lt;&gt;1)),"work",(INDEX(Subject!$A:$I,MATCH(RANDBETWEEN(1,(MAX(Subject!$B:$B))),Subject!$B:$B,0),3))))</f>
        <v/>
      </c>
      <c r="N380" s="2" t="str">
        <f t="array" ref="N380">IF(NOW()&gt;AY380,"",IF(AND((WEEKDAY($A380)+$B$2)&gt;1,((WEEKDAY($A380)+$T$2)&lt;7),(WEEKDAY($A380)&lt;&gt;1)),"work",(INDEX(Subject!$A:$I,MATCH(RANDBETWEEN(1,(MAX(Subject!$B:$B))),Subject!$B:$B,0),3))))</f>
        <v/>
      </c>
      <c r="O380" s="2" t="str">
        <f t="array" ref="O380">IF(NOW()&gt;AZ380,"",IF(AND((WEEKDAY($A380)+$B$2)&gt;1,((WEEKDAY($A380)+$T$2)&lt;7),(WEEKDAY($A380)&lt;&gt;1)),"work",(INDEX(Subject!$A:$I,MATCH(RANDBETWEEN(1,(MAX(Subject!$B:$B))),Subject!$B:$B,0),3))))</f>
        <v/>
      </c>
      <c r="P380" s="2" t="str">
        <f t="array" ref="P380">IF(NOW()&gt;BA380,"",IF(AND((WEEKDAY($A380)+$B$2)&gt;1,((WEEKDAY($A380)+$T$2)&lt;7),(WEEKDAY($A380)&lt;&gt;1)),"work",(INDEX(Subject!$A:$I,MATCH(RANDBETWEEN(1,(MAX(Subject!$B:$B))),Subject!$B:$B,0),3))))</f>
        <v/>
      </c>
      <c r="Q380" s="2" t="str">
        <f t="array" ref="Q380">IF(NOW()&gt;BB380,"",IF(AND((WEEKDAY($A380)+$B$2)&gt;1,((WEEKDAY($A380)+$T$2)&lt;7),(WEEKDAY($A380)&lt;&gt;1)),"work",(INDEX(Subject!$A:$I,MATCH(RANDBETWEEN(1,(MAX(Subject!$B:$B))),Subject!$B:$B,0),3))))</f>
        <v/>
      </c>
      <c r="R380" s="2" t="str">
        <f t="array" ref="R380">IF(NOW()&gt;BC380,"",IF(AND((WEEKDAY($A380)+$B$2)&gt;1,((WEEKDAY($A380)+$T$2)&lt;7),(WEEKDAY($A380)&lt;&gt;1)),"work",(INDEX(Subject!$A:$I,MATCH(RANDBETWEEN(1,(MAX(Subject!$B:$B))),Subject!$B:$B,0),3))))</f>
        <v/>
      </c>
      <c r="S380" s="2" t="str">
        <f t="array" ref="S380">IF(NOW()&gt;BD380,"",IF(AND((WEEKDAY($A380)+$B$2)&gt;1,((WEEKDAY($A380)+$T$2)&lt;7),(WEEKDAY($A380)&lt;&gt;1)),"work",(INDEX(Subject!$A:$I,MATCH(RANDBETWEEN(1,(MAX(Subject!$B:$B))),Subject!$B:$B,0),3))))</f>
        <v/>
      </c>
      <c r="T380" s="2" t="str">
        <f t="array" ref="T380">IF(NOW()&gt;BE380,"",IF(AND((WEEKDAY($A380)+$B$2)&gt;1,((WEEKDAY($A380)+$T$2)&lt;7),(WEEKDAY($A380)&lt;&gt;1)),"work",(INDEX(Subject!$A:$I,MATCH(RANDBETWEEN(1,(MAX(Subject!$B:$B))),Subject!$B:$B,0),3))))</f>
        <v/>
      </c>
      <c r="U380" s="8" t="str">
        <f t="array" ref="U380">INDEX(Subject!$A:$I,MATCH(RANDBETWEEN(1,16),Subject!$B:$B,0),3)</f>
        <v>#N/A</v>
      </c>
      <c r="V380" s="8" t="str">
        <f t="array" ref="V380">INDEX(Subject!$A:$I,MATCH(RANDBETWEEN(1,16),Subject!$B:$B,0),3)</f>
        <v>#N/A</v>
      </c>
      <c r="W380" s="8" t="str">
        <f t="array" ref="W380">INDEX(Subject!$A:$I,MATCH(RANDBETWEEN(1,16),Subject!$B:$B,0),3)</f>
        <v>#N/A</v>
      </c>
      <c r="X380" s="8" t="str">
        <f t="array" ref="X380">INDEX(Subject!$A:$I,MATCH(RANDBETWEEN(1,16),Subject!$B:$B,0),3)</f>
        <v/>
      </c>
      <c r="Y380" s="8" t="str">
        <f t="array" ref="Y380">INDEX(Subject!$A:$I,MATCH(RANDBETWEEN(1,16),Subject!$B:$B,0),3)</f>
        <v>#N/A</v>
      </c>
      <c r="Z380" s="8" t="str">
        <f t="array" ref="Z380">INDEX(Subject!$A:$I,MATCH(RANDBETWEEN(1,16),Subject!$B:$B,0),3)</f>
        <v>#N/A</v>
      </c>
      <c r="AA380" s="8" t="str">
        <f t="array" ref="AA380">INDEX(Subject!$A:$I,MATCH(RANDBETWEEN(1,16),Subject!$B:$B,0),3)</f>
        <v>#N/A</v>
      </c>
      <c r="AB380" s="8" t="str">
        <f t="array" ref="AB380">INDEX(Subject!$A:$I,MATCH(RANDBETWEEN(1,16),Subject!$B:$B,0),3)</f>
        <v>#N/A</v>
      </c>
      <c r="AC380" s="8" t="str">
        <f t="array" ref="AC380">INDEX(Subject!$A:$I,MATCH(RANDBETWEEN(1,16),Subject!$B:$B,0),3)</f>
        <v>#N/A</v>
      </c>
      <c r="AD380" s="8" t="str">
        <f t="array" ref="AD380">INDEX(Subject!$A:$I,MATCH(RANDBETWEEN(1,16),Subject!$B:$B,0),3)</f>
        <v>#N/A</v>
      </c>
      <c r="AE380" s="8" t="str">
        <f t="array" ref="AE380">INDEX(Subject!$A:$I,MATCH(RANDBETWEEN(1,16),Subject!$B:$B,0),3)</f>
        <v>#N/A</v>
      </c>
      <c r="AF380" s="8" t="str">
        <f t="array" ref="AF380">INDEX(Subject!$A:$I,MATCH(RANDBETWEEN(1,16),Subject!$B:$B,0),3)</f>
        <v>#N/A</v>
      </c>
      <c r="AG380" s="8" t="str">
        <f t="array" ref="AG380">INDEX(Subject!$A:$I,MATCH(RANDBETWEEN(1,16),Subject!$B:$B,0),3)</f>
        <v>#N/A</v>
      </c>
      <c r="AH380" s="8" t="str">
        <f t="array" ref="AH380">INDEX(Subject!$A:$I,MATCH(RANDBETWEEN(1,16),Subject!$B:$B,0),3)</f>
        <v>#N/A</v>
      </c>
      <c r="AI380" s="8" t="str">
        <f t="array" ref="AI380">INDEX(Subject!$A:$I,MATCH(RANDBETWEEN(1,16),Subject!$B:$B,0),3)</f>
        <v>#N/A</v>
      </c>
      <c r="AJ380" s="8" t="str">
        <f t="array" ref="AJ380">INDEX(Subject!$A:$I,MATCH(RANDBETWEEN(1,16),Subject!$B:$B,0),3)</f>
        <v>#N/A</v>
      </c>
      <c r="AK380" s="8" t="str">
        <f t="array" ref="AK380">INDEX(Subject!$A:$I,MATCH(RANDBETWEEN(1,16),Subject!$B:$B,0),3)</f>
        <v>#N/A</v>
      </c>
      <c r="AL380" s="8" t="str">
        <f t="array" ref="AL380">INDEX(Subject!$A:$I,MATCH(RANDBETWEEN(1,16),Subject!$B:$B,0),3)</f>
        <v>#N/A</v>
      </c>
      <c r="AM380" s="18">
        <f t="shared" si="4"/>
        <v>45880.33333</v>
      </c>
      <c r="AN380" s="19">
        <f t="shared" ref="AN380:BZ380" si="380">$A380+C$1</f>
        <v>45880.35417</v>
      </c>
      <c r="AO380" s="19">
        <f t="shared" si="380"/>
        <v>45880.375</v>
      </c>
      <c r="AP380" s="19">
        <f t="shared" si="380"/>
        <v>45880.39583</v>
      </c>
      <c r="AQ380" s="19">
        <f t="shared" si="380"/>
        <v>45880.41667</v>
      </c>
      <c r="AR380" s="19">
        <f t="shared" si="380"/>
        <v>45880.4375</v>
      </c>
      <c r="AS380" s="19">
        <f t="shared" si="380"/>
        <v>45880.45833</v>
      </c>
      <c r="AT380" s="19">
        <f t="shared" si="380"/>
        <v>45880.47917</v>
      </c>
      <c r="AU380" s="19">
        <f t="shared" si="380"/>
        <v>45880.5</v>
      </c>
      <c r="AV380" s="19">
        <f t="shared" si="380"/>
        <v>45880.52083</v>
      </c>
      <c r="AW380" s="19">
        <f t="shared" si="380"/>
        <v>45880.54167</v>
      </c>
      <c r="AX380" s="19">
        <f t="shared" si="380"/>
        <v>45880.5625</v>
      </c>
      <c r="AY380" s="19">
        <f t="shared" si="380"/>
        <v>45880.58333</v>
      </c>
      <c r="AZ380" s="19">
        <f t="shared" si="380"/>
        <v>45880.60417</v>
      </c>
      <c r="BA380" s="19">
        <f t="shared" si="380"/>
        <v>45880.625</v>
      </c>
      <c r="BB380" s="19">
        <f t="shared" si="380"/>
        <v>45880.64583</v>
      </c>
      <c r="BC380" s="19">
        <f t="shared" si="380"/>
        <v>45880.66667</v>
      </c>
      <c r="BD380" s="19">
        <f t="shared" si="380"/>
        <v>45880.6875</v>
      </c>
      <c r="BE380" s="19">
        <f t="shared" si="380"/>
        <v>45880.70833</v>
      </c>
      <c r="BF380" s="19">
        <f t="shared" si="380"/>
        <v>45880.72917</v>
      </c>
      <c r="BG380" s="19">
        <f t="shared" si="380"/>
        <v>45880.75</v>
      </c>
      <c r="BH380" s="19">
        <f t="shared" si="380"/>
        <v>45880.77083</v>
      </c>
      <c r="BI380" s="19">
        <f t="shared" si="380"/>
        <v>45880.79167</v>
      </c>
      <c r="BJ380" s="19">
        <f t="shared" si="380"/>
        <v>45880.8125</v>
      </c>
      <c r="BK380" s="19">
        <f t="shared" si="380"/>
        <v>45880.83333</v>
      </c>
      <c r="BL380" s="19">
        <f t="shared" si="380"/>
        <v>45880.85417</v>
      </c>
      <c r="BM380" s="19">
        <f t="shared" si="380"/>
        <v>45880.875</v>
      </c>
      <c r="BN380" s="19">
        <f t="shared" si="380"/>
        <v>45880.89583</v>
      </c>
      <c r="BO380" s="19">
        <f t="shared" si="380"/>
        <v>45880.91667</v>
      </c>
      <c r="BP380" s="19">
        <f t="shared" si="380"/>
        <v>45880.9375</v>
      </c>
      <c r="BQ380" s="19">
        <f t="shared" si="380"/>
        <v>45880.95833</v>
      </c>
      <c r="BR380" s="19">
        <f t="shared" si="380"/>
        <v>45880.97917</v>
      </c>
      <c r="BS380" s="19">
        <f t="shared" si="380"/>
        <v>45881</v>
      </c>
      <c r="BT380" s="19">
        <f t="shared" si="380"/>
        <v>45881.02083</v>
      </c>
      <c r="BU380" s="19">
        <f t="shared" si="380"/>
        <v>45881.04167</v>
      </c>
      <c r="BV380" s="19">
        <f t="shared" si="380"/>
        <v>45881.0625</v>
      </c>
      <c r="BW380" s="19">
        <f t="shared" si="380"/>
        <v>45881.08333</v>
      </c>
      <c r="BX380" s="19">
        <f t="shared" si="380"/>
        <v>45880</v>
      </c>
      <c r="BY380" s="19">
        <f t="shared" si="380"/>
        <v>45880</v>
      </c>
      <c r="BZ380" s="19">
        <f t="shared" si="380"/>
        <v>45880</v>
      </c>
    </row>
    <row r="381" ht="14.25" customHeight="1">
      <c r="A381" s="17">
        <v>45881.0</v>
      </c>
      <c r="B381" s="2" t="str">
        <f t="array" ref="B381">IF(NOW()&gt;AM381,"",IF(AND((WEEKDAY($A381)+$B$2)&gt;1,((WEEKDAY($A381)+$T$2)&lt;7),(WEEKDAY($A381)&lt;&gt;1)),"work",(INDEX(Subject!$A:$I,MATCH(RANDBETWEEN(1,(MAX(Subject!$B:$B))),Subject!$B:$B,0),3))))</f>
        <v/>
      </c>
      <c r="C381" s="2" t="str">
        <f t="array" ref="C381">IF(NOW()&gt;AN381,"",IF(AND((WEEKDAY($A381)+$B$2)&gt;1,((WEEKDAY($A381)+$T$2)&lt;7),(WEEKDAY($A381)&lt;&gt;1)),"work",(INDEX(Subject!$A:$I,MATCH(RANDBETWEEN(1,(MAX(Subject!$B:$B))),Subject!$B:$B,0),3))))</f>
        <v/>
      </c>
      <c r="D381" s="2" t="str">
        <f t="array" ref="D381">IF(NOW()&gt;AO381,"",IF(AND((WEEKDAY($A381)+$B$2)&gt;1,((WEEKDAY($A381)+$T$2)&lt;7),(WEEKDAY($A381)&lt;&gt;1)),"work",(INDEX(Subject!$A:$I,MATCH(RANDBETWEEN(1,(MAX(Subject!$B:$B))),Subject!$B:$B,0),3))))</f>
        <v/>
      </c>
      <c r="E381" s="2" t="str">
        <f t="array" ref="E381">IF(NOW()&gt;AP381,"",IF(AND((WEEKDAY($A381)+$B$2)&gt;1,((WEEKDAY($A381)+$T$2)&lt;7),(WEEKDAY($A381)&lt;&gt;1)),"work",(INDEX(Subject!$A:$I,MATCH(RANDBETWEEN(1,(MAX(Subject!$B:$B))),Subject!$B:$B,0),3))))</f>
        <v/>
      </c>
      <c r="F381" s="2" t="str">
        <f t="array" ref="F381">IF(NOW()&gt;AQ381,"",IF(AND((WEEKDAY($A381)+$B$2)&gt;1,((WEEKDAY($A381)+$T$2)&lt;7),(WEEKDAY($A381)&lt;&gt;1)),"work",(INDEX(Subject!$A:$I,MATCH(RANDBETWEEN(1,(MAX(Subject!$B:$B))),Subject!$B:$B,0),3))))</f>
        <v/>
      </c>
      <c r="G381" s="2" t="str">
        <f t="array" ref="G381">IF(NOW()&gt;AR381,"",IF(AND((WEEKDAY($A381)+$B$2)&gt;1,((WEEKDAY($A381)+$T$2)&lt;7),(WEEKDAY($A381)&lt;&gt;1)),"work",(INDEX(Subject!$A:$I,MATCH(RANDBETWEEN(1,(MAX(Subject!$B:$B))),Subject!$B:$B,0),3))))</f>
        <v/>
      </c>
      <c r="H381" s="2" t="str">
        <f t="array" ref="H381">IF(NOW()&gt;AS381,"",IF(AND((WEEKDAY($A381)+$B$2)&gt;1,((WEEKDAY($A381)+$T$2)&lt;7),(WEEKDAY($A381)&lt;&gt;1)),"work",(INDEX(Subject!$A:$I,MATCH(RANDBETWEEN(1,(MAX(Subject!$B:$B))),Subject!$B:$B,0),3))))</f>
        <v/>
      </c>
      <c r="I381" s="2" t="str">
        <f t="array" ref="I381">IF(NOW()&gt;AT381,"",IF(AND((WEEKDAY($A381)+$B$2)&gt;1,((WEEKDAY($A381)+$T$2)&lt;7),(WEEKDAY($A381)&lt;&gt;1)),"work",(INDEX(Subject!$A:$I,MATCH(RANDBETWEEN(1,(MAX(Subject!$B:$B))),Subject!$B:$B,0),3))))</f>
        <v/>
      </c>
      <c r="J381" s="2" t="str">
        <f t="array" ref="J381">IF(NOW()&gt;AU381,"",IF(AND((WEEKDAY($A381)+$B$2)&gt;1,((WEEKDAY($A381)+$T$2)&lt;7),(WEEKDAY($A381)&lt;&gt;1)),"work",(INDEX(Subject!$A:$I,MATCH(RANDBETWEEN(1,(MAX(Subject!$B:$B))),Subject!$B:$B,0),3))))</f>
        <v/>
      </c>
      <c r="K381" s="2" t="str">
        <f t="array" ref="K381">IF(NOW()&gt;AV381,"",IF(AND((WEEKDAY($A381)+$B$2)&gt;1,((WEEKDAY($A381)+$T$2)&lt;7),(WEEKDAY($A381)&lt;&gt;1)),"work",(INDEX(Subject!$A:$I,MATCH(RANDBETWEEN(1,(MAX(Subject!$B:$B))),Subject!$B:$B,0),3))))</f>
        <v/>
      </c>
      <c r="L381" s="2" t="str">
        <f t="array" ref="L381">IF(NOW()&gt;AW381,"",IF(AND((WEEKDAY($A381)+$B$2)&gt;1,((WEEKDAY($A381)+$T$2)&lt;7),(WEEKDAY($A381)&lt;&gt;1)),"work",(INDEX(Subject!$A:$I,MATCH(RANDBETWEEN(1,(MAX(Subject!$B:$B))),Subject!$B:$B,0),3))))</f>
        <v/>
      </c>
      <c r="M381" s="2" t="str">
        <f t="array" ref="M381">IF(NOW()&gt;AX381,"",IF(AND((WEEKDAY($A381)+$B$2)&gt;1,((WEEKDAY($A381)+$T$2)&lt;7),(WEEKDAY($A381)&lt;&gt;1)),"work",(INDEX(Subject!$A:$I,MATCH(RANDBETWEEN(1,(MAX(Subject!$B:$B))),Subject!$B:$B,0),3))))</f>
        <v/>
      </c>
      <c r="N381" s="2" t="str">
        <f t="array" ref="N381">IF(NOW()&gt;AY381,"",IF(AND((WEEKDAY($A381)+$B$2)&gt;1,((WEEKDAY($A381)+$T$2)&lt;7),(WEEKDAY($A381)&lt;&gt;1)),"work",(INDEX(Subject!$A:$I,MATCH(RANDBETWEEN(1,(MAX(Subject!$B:$B))),Subject!$B:$B,0),3))))</f>
        <v/>
      </c>
      <c r="O381" s="2" t="str">
        <f t="array" ref="O381">IF(NOW()&gt;AZ381,"",IF(AND((WEEKDAY($A381)+$B$2)&gt;1,((WEEKDAY($A381)+$T$2)&lt;7),(WEEKDAY($A381)&lt;&gt;1)),"work",(INDEX(Subject!$A:$I,MATCH(RANDBETWEEN(1,(MAX(Subject!$B:$B))),Subject!$B:$B,0),3))))</f>
        <v/>
      </c>
      <c r="P381" s="2" t="str">
        <f t="array" ref="P381">IF(NOW()&gt;BA381,"",IF(AND((WEEKDAY($A381)+$B$2)&gt;1,((WEEKDAY($A381)+$T$2)&lt;7),(WEEKDAY($A381)&lt;&gt;1)),"work",(INDEX(Subject!$A:$I,MATCH(RANDBETWEEN(1,(MAX(Subject!$B:$B))),Subject!$B:$B,0),3))))</f>
        <v/>
      </c>
      <c r="Q381" s="2" t="str">
        <f t="array" ref="Q381">IF(NOW()&gt;BB381,"",IF(AND((WEEKDAY($A381)+$B$2)&gt;1,((WEEKDAY($A381)+$T$2)&lt;7),(WEEKDAY($A381)&lt;&gt;1)),"work",(INDEX(Subject!$A:$I,MATCH(RANDBETWEEN(1,(MAX(Subject!$B:$B))),Subject!$B:$B,0),3))))</f>
        <v/>
      </c>
      <c r="R381" s="2" t="str">
        <f t="array" ref="R381">IF(NOW()&gt;BC381,"",IF(AND((WEEKDAY($A381)+$B$2)&gt;1,((WEEKDAY($A381)+$T$2)&lt;7),(WEEKDAY($A381)&lt;&gt;1)),"work",(INDEX(Subject!$A:$I,MATCH(RANDBETWEEN(1,(MAX(Subject!$B:$B))),Subject!$B:$B,0),3))))</f>
        <v/>
      </c>
      <c r="S381" s="2" t="str">
        <f t="array" ref="S381">IF(NOW()&gt;BD381,"",IF(AND((WEEKDAY($A381)+$B$2)&gt;1,((WEEKDAY($A381)+$T$2)&lt;7),(WEEKDAY($A381)&lt;&gt;1)),"work",(INDEX(Subject!$A:$I,MATCH(RANDBETWEEN(1,(MAX(Subject!$B:$B))),Subject!$B:$B,0),3))))</f>
        <v/>
      </c>
      <c r="T381" s="2" t="str">
        <f t="array" ref="T381">IF(NOW()&gt;BE381,"",IF(AND((WEEKDAY($A381)+$B$2)&gt;1,((WEEKDAY($A381)+$T$2)&lt;7),(WEEKDAY($A381)&lt;&gt;1)),"work",(INDEX(Subject!$A:$I,MATCH(RANDBETWEEN(1,(MAX(Subject!$B:$B))),Subject!$B:$B,0),3))))</f>
        <v/>
      </c>
      <c r="U381" s="8" t="str">
        <f t="array" ref="U381">INDEX(Subject!$A:$I,MATCH(RANDBETWEEN(1,16),Subject!$B:$B,0),3)</f>
        <v>#N/A</v>
      </c>
      <c r="V381" s="8" t="str">
        <f t="array" ref="V381">INDEX(Subject!$A:$I,MATCH(RANDBETWEEN(1,16),Subject!$B:$B,0),3)</f>
        <v>#N/A</v>
      </c>
      <c r="W381" s="8" t="str">
        <f t="array" ref="W381">INDEX(Subject!$A:$I,MATCH(RANDBETWEEN(1,16),Subject!$B:$B,0),3)</f>
        <v>#N/A</v>
      </c>
      <c r="X381" s="8" t="str">
        <f t="array" ref="X381">INDEX(Subject!$A:$I,MATCH(RANDBETWEEN(1,16),Subject!$B:$B,0),3)</f>
        <v/>
      </c>
      <c r="Y381" s="8" t="str">
        <f t="array" ref="Y381">INDEX(Subject!$A:$I,MATCH(RANDBETWEEN(1,16),Subject!$B:$B,0),3)</f>
        <v>#N/A</v>
      </c>
      <c r="Z381" s="8" t="str">
        <f t="array" ref="Z381">INDEX(Subject!$A:$I,MATCH(RANDBETWEEN(1,16),Subject!$B:$B,0),3)</f>
        <v>#N/A</v>
      </c>
      <c r="AA381" s="8" t="str">
        <f t="array" ref="AA381">INDEX(Subject!$A:$I,MATCH(RANDBETWEEN(1,16),Subject!$B:$B,0),3)</f>
        <v>#N/A</v>
      </c>
      <c r="AB381" s="8" t="str">
        <f t="array" ref="AB381">INDEX(Subject!$A:$I,MATCH(RANDBETWEEN(1,16),Subject!$B:$B,0),3)</f>
        <v>#N/A</v>
      </c>
      <c r="AC381" s="8" t="str">
        <f t="array" ref="AC381">INDEX(Subject!$A:$I,MATCH(RANDBETWEEN(1,16),Subject!$B:$B,0),3)</f>
        <v>#N/A</v>
      </c>
      <c r="AD381" s="8" t="str">
        <f t="array" ref="AD381">INDEX(Subject!$A:$I,MATCH(RANDBETWEEN(1,16),Subject!$B:$B,0),3)</f>
        <v>#N/A</v>
      </c>
      <c r="AE381" s="8" t="str">
        <f t="array" ref="AE381">INDEX(Subject!$A:$I,MATCH(RANDBETWEEN(1,16),Subject!$B:$B,0),3)</f>
        <v>#N/A</v>
      </c>
      <c r="AF381" s="8" t="str">
        <f t="array" ref="AF381">INDEX(Subject!$A:$I,MATCH(RANDBETWEEN(1,16),Subject!$B:$B,0),3)</f>
        <v>#N/A</v>
      </c>
      <c r="AG381" s="8" t="str">
        <f t="array" ref="AG381">INDEX(Subject!$A:$I,MATCH(RANDBETWEEN(1,16),Subject!$B:$B,0),3)</f>
        <v>#N/A</v>
      </c>
      <c r="AH381" s="8" t="str">
        <f t="array" ref="AH381">INDEX(Subject!$A:$I,MATCH(RANDBETWEEN(1,16),Subject!$B:$B,0),3)</f>
        <v>#N/A</v>
      </c>
      <c r="AI381" s="8" t="str">
        <f t="array" ref="AI381">INDEX(Subject!$A:$I,MATCH(RANDBETWEEN(1,16),Subject!$B:$B,0),3)</f>
        <v>#N/A</v>
      </c>
      <c r="AJ381" s="8" t="str">
        <f t="array" ref="AJ381">INDEX(Subject!$A:$I,MATCH(RANDBETWEEN(1,16),Subject!$B:$B,0),3)</f>
        <v>#N/A</v>
      </c>
      <c r="AK381" s="8" t="str">
        <f t="array" ref="AK381">INDEX(Subject!$A:$I,MATCH(RANDBETWEEN(1,16),Subject!$B:$B,0),3)</f>
        <v>#N/A</v>
      </c>
      <c r="AL381" s="8" t="str">
        <f t="array" ref="AL381">INDEX(Subject!$A:$I,MATCH(RANDBETWEEN(1,16),Subject!$B:$B,0),3)</f>
        <v>#N/A</v>
      </c>
      <c r="AM381" s="18">
        <f t="shared" si="4"/>
        <v>45881.33333</v>
      </c>
      <c r="AN381" s="19">
        <f t="shared" ref="AN381:BZ381" si="381">$A381+C$1</f>
        <v>45881.35417</v>
      </c>
      <c r="AO381" s="19">
        <f t="shared" si="381"/>
        <v>45881.375</v>
      </c>
      <c r="AP381" s="19">
        <f t="shared" si="381"/>
        <v>45881.39583</v>
      </c>
      <c r="AQ381" s="19">
        <f t="shared" si="381"/>
        <v>45881.41667</v>
      </c>
      <c r="AR381" s="19">
        <f t="shared" si="381"/>
        <v>45881.4375</v>
      </c>
      <c r="AS381" s="19">
        <f t="shared" si="381"/>
        <v>45881.45833</v>
      </c>
      <c r="AT381" s="19">
        <f t="shared" si="381"/>
        <v>45881.47917</v>
      </c>
      <c r="AU381" s="19">
        <f t="shared" si="381"/>
        <v>45881.5</v>
      </c>
      <c r="AV381" s="19">
        <f t="shared" si="381"/>
        <v>45881.52083</v>
      </c>
      <c r="AW381" s="19">
        <f t="shared" si="381"/>
        <v>45881.54167</v>
      </c>
      <c r="AX381" s="19">
        <f t="shared" si="381"/>
        <v>45881.5625</v>
      </c>
      <c r="AY381" s="19">
        <f t="shared" si="381"/>
        <v>45881.58333</v>
      </c>
      <c r="AZ381" s="19">
        <f t="shared" si="381"/>
        <v>45881.60417</v>
      </c>
      <c r="BA381" s="19">
        <f t="shared" si="381"/>
        <v>45881.625</v>
      </c>
      <c r="BB381" s="19">
        <f t="shared" si="381"/>
        <v>45881.64583</v>
      </c>
      <c r="BC381" s="19">
        <f t="shared" si="381"/>
        <v>45881.66667</v>
      </c>
      <c r="BD381" s="19">
        <f t="shared" si="381"/>
        <v>45881.6875</v>
      </c>
      <c r="BE381" s="19">
        <f t="shared" si="381"/>
        <v>45881.70833</v>
      </c>
      <c r="BF381" s="19">
        <f t="shared" si="381"/>
        <v>45881.72917</v>
      </c>
      <c r="BG381" s="19">
        <f t="shared" si="381"/>
        <v>45881.75</v>
      </c>
      <c r="BH381" s="19">
        <f t="shared" si="381"/>
        <v>45881.77083</v>
      </c>
      <c r="BI381" s="19">
        <f t="shared" si="381"/>
        <v>45881.79167</v>
      </c>
      <c r="BJ381" s="19">
        <f t="shared" si="381"/>
        <v>45881.8125</v>
      </c>
      <c r="BK381" s="19">
        <f t="shared" si="381"/>
        <v>45881.83333</v>
      </c>
      <c r="BL381" s="19">
        <f t="shared" si="381"/>
        <v>45881.85417</v>
      </c>
      <c r="BM381" s="19">
        <f t="shared" si="381"/>
        <v>45881.875</v>
      </c>
      <c r="BN381" s="19">
        <f t="shared" si="381"/>
        <v>45881.89583</v>
      </c>
      <c r="BO381" s="19">
        <f t="shared" si="381"/>
        <v>45881.91667</v>
      </c>
      <c r="BP381" s="19">
        <f t="shared" si="381"/>
        <v>45881.9375</v>
      </c>
      <c r="BQ381" s="19">
        <f t="shared" si="381"/>
        <v>45881.95833</v>
      </c>
      <c r="BR381" s="19">
        <f t="shared" si="381"/>
        <v>45881.97917</v>
      </c>
      <c r="BS381" s="19">
        <f t="shared" si="381"/>
        <v>45882</v>
      </c>
      <c r="BT381" s="19">
        <f t="shared" si="381"/>
        <v>45882.02083</v>
      </c>
      <c r="BU381" s="19">
        <f t="shared" si="381"/>
        <v>45882.04167</v>
      </c>
      <c r="BV381" s="19">
        <f t="shared" si="381"/>
        <v>45882.0625</v>
      </c>
      <c r="BW381" s="19">
        <f t="shared" si="381"/>
        <v>45882.08333</v>
      </c>
      <c r="BX381" s="19">
        <f t="shared" si="381"/>
        <v>45881</v>
      </c>
      <c r="BY381" s="19">
        <f t="shared" si="381"/>
        <v>45881</v>
      </c>
      <c r="BZ381" s="19">
        <f t="shared" si="381"/>
        <v>45881</v>
      </c>
    </row>
    <row r="382" ht="14.25" customHeight="1">
      <c r="A382" s="17">
        <v>45882.0</v>
      </c>
      <c r="B382" s="2" t="str">
        <f t="array" ref="B382">IF(NOW()&gt;AM382,"",IF(AND((WEEKDAY($A382)+$B$2)&gt;1,((WEEKDAY($A382)+$T$2)&lt;7),(WEEKDAY($A382)&lt;&gt;1)),"work",(INDEX(Subject!$A:$I,MATCH(RANDBETWEEN(1,(MAX(Subject!$B:$B))),Subject!$B:$B,0),3))))</f>
        <v/>
      </c>
      <c r="C382" s="2" t="str">
        <f t="array" ref="C382">IF(NOW()&gt;AN382,"",IF(AND((WEEKDAY($A382)+$B$2)&gt;1,((WEEKDAY($A382)+$T$2)&lt;7),(WEEKDAY($A382)&lt;&gt;1)),"work",(INDEX(Subject!$A:$I,MATCH(RANDBETWEEN(1,(MAX(Subject!$B:$B))),Subject!$B:$B,0),3))))</f>
        <v/>
      </c>
      <c r="D382" s="2" t="str">
        <f t="array" ref="D382">IF(NOW()&gt;AO382,"",IF(AND((WEEKDAY($A382)+$B$2)&gt;1,((WEEKDAY($A382)+$T$2)&lt;7),(WEEKDAY($A382)&lt;&gt;1)),"work",(INDEX(Subject!$A:$I,MATCH(RANDBETWEEN(1,(MAX(Subject!$B:$B))),Subject!$B:$B,0),3))))</f>
        <v/>
      </c>
      <c r="E382" s="2" t="str">
        <f t="array" ref="E382">IF(NOW()&gt;AP382,"",IF(AND((WEEKDAY($A382)+$B$2)&gt;1,((WEEKDAY($A382)+$T$2)&lt;7),(WEEKDAY($A382)&lt;&gt;1)),"work",(INDEX(Subject!$A:$I,MATCH(RANDBETWEEN(1,(MAX(Subject!$B:$B))),Subject!$B:$B,0),3))))</f>
        <v/>
      </c>
      <c r="F382" s="2" t="str">
        <f t="array" ref="F382">IF(NOW()&gt;AQ382,"",IF(AND((WEEKDAY($A382)+$B$2)&gt;1,((WEEKDAY($A382)+$T$2)&lt;7),(WEEKDAY($A382)&lt;&gt;1)),"work",(INDEX(Subject!$A:$I,MATCH(RANDBETWEEN(1,(MAX(Subject!$B:$B))),Subject!$B:$B,0),3))))</f>
        <v/>
      </c>
      <c r="G382" s="2" t="str">
        <f t="array" ref="G382">IF(NOW()&gt;AR382,"",IF(AND((WEEKDAY($A382)+$B$2)&gt;1,((WEEKDAY($A382)+$T$2)&lt;7),(WEEKDAY($A382)&lt;&gt;1)),"work",(INDEX(Subject!$A:$I,MATCH(RANDBETWEEN(1,(MAX(Subject!$B:$B))),Subject!$B:$B,0),3))))</f>
        <v/>
      </c>
      <c r="H382" s="2" t="str">
        <f t="array" ref="H382">IF(NOW()&gt;AS382,"",IF(AND((WEEKDAY($A382)+$B$2)&gt;1,((WEEKDAY($A382)+$T$2)&lt;7),(WEEKDAY($A382)&lt;&gt;1)),"work",(INDEX(Subject!$A:$I,MATCH(RANDBETWEEN(1,(MAX(Subject!$B:$B))),Subject!$B:$B,0),3))))</f>
        <v/>
      </c>
      <c r="I382" s="2" t="str">
        <f t="array" ref="I382">IF(NOW()&gt;AT382,"",IF(AND((WEEKDAY($A382)+$B$2)&gt;1,((WEEKDAY($A382)+$T$2)&lt;7),(WEEKDAY($A382)&lt;&gt;1)),"work",(INDEX(Subject!$A:$I,MATCH(RANDBETWEEN(1,(MAX(Subject!$B:$B))),Subject!$B:$B,0),3))))</f>
        <v/>
      </c>
      <c r="J382" s="2" t="str">
        <f t="array" ref="J382">IF(NOW()&gt;AU382,"",IF(AND((WEEKDAY($A382)+$B$2)&gt;1,((WEEKDAY($A382)+$T$2)&lt;7),(WEEKDAY($A382)&lt;&gt;1)),"work",(INDEX(Subject!$A:$I,MATCH(RANDBETWEEN(1,(MAX(Subject!$B:$B))),Subject!$B:$B,0),3))))</f>
        <v/>
      </c>
      <c r="K382" s="2" t="str">
        <f t="array" ref="K382">IF(NOW()&gt;AV382,"",IF(AND((WEEKDAY($A382)+$B$2)&gt;1,((WEEKDAY($A382)+$T$2)&lt;7),(WEEKDAY($A382)&lt;&gt;1)),"work",(INDEX(Subject!$A:$I,MATCH(RANDBETWEEN(1,(MAX(Subject!$B:$B))),Subject!$B:$B,0),3))))</f>
        <v/>
      </c>
      <c r="L382" s="2" t="str">
        <f t="array" ref="L382">IF(NOW()&gt;AW382,"",IF(AND((WEEKDAY($A382)+$B$2)&gt;1,((WEEKDAY($A382)+$T$2)&lt;7),(WEEKDAY($A382)&lt;&gt;1)),"work",(INDEX(Subject!$A:$I,MATCH(RANDBETWEEN(1,(MAX(Subject!$B:$B))),Subject!$B:$B,0),3))))</f>
        <v/>
      </c>
      <c r="M382" s="2" t="str">
        <f t="array" ref="M382">IF(NOW()&gt;AX382,"",IF(AND((WEEKDAY($A382)+$B$2)&gt;1,((WEEKDAY($A382)+$T$2)&lt;7),(WEEKDAY($A382)&lt;&gt;1)),"work",(INDEX(Subject!$A:$I,MATCH(RANDBETWEEN(1,(MAX(Subject!$B:$B))),Subject!$B:$B,0),3))))</f>
        <v/>
      </c>
      <c r="N382" s="2" t="str">
        <f t="array" ref="N382">IF(NOW()&gt;AY382,"",IF(AND((WEEKDAY($A382)+$B$2)&gt;1,((WEEKDAY($A382)+$T$2)&lt;7),(WEEKDAY($A382)&lt;&gt;1)),"work",(INDEX(Subject!$A:$I,MATCH(RANDBETWEEN(1,(MAX(Subject!$B:$B))),Subject!$B:$B,0),3))))</f>
        <v/>
      </c>
      <c r="O382" s="2" t="str">
        <f t="array" ref="O382">IF(NOW()&gt;AZ382,"",IF(AND((WEEKDAY($A382)+$B$2)&gt;1,((WEEKDAY($A382)+$T$2)&lt;7),(WEEKDAY($A382)&lt;&gt;1)),"work",(INDEX(Subject!$A:$I,MATCH(RANDBETWEEN(1,(MAX(Subject!$B:$B))),Subject!$B:$B,0),3))))</f>
        <v/>
      </c>
      <c r="P382" s="2" t="str">
        <f t="array" ref="P382">IF(NOW()&gt;BA382,"",IF(AND((WEEKDAY($A382)+$B$2)&gt;1,((WEEKDAY($A382)+$T$2)&lt;7),(WEEKDAY($A382)&lt;&gt;1)),"work",(INDEX(Subject!$A:$I,MATCH(RANDBETWEEN(1,(MAX(Subject!$B:$B))),Subject!$B:$B,0),3))))</f>
        <v/>
      </c>
      <c r="Q382" s="2" t="str">
        <f t="array" ref="Q382">IF(NOW()&gt;BB382,"",IF(AND((WEEKDAY($A382)+$B$2)&gt;1,((WEEKDAY($A382)+$T$2)&lt;7),(WEEKDAY($A382)&lt;&gt;1)),"work",(INDEX(Subject!$A:$I,MATCH(RANDBETWEEN(1,(MAX(Subject!$B:$B))),Subject!$B:$B,0),3))))</f>
        <v/>
      </c>
      <c r="R382" s="2" t="str">
        <f t="array" ref="R382">IF(NOW()&gt;BC382,"",IF(AND((WEEKDAY($A382)+$B$2)&gt;1,((WEEKDAY($A382)+$T$2)&lt;7),(WEEKDAY($A382)&lt;&gt;1)),"work",(INDEX(Subject!$A:$I,MATCH(RANDBETWEEN(1,(MAX(Subject!$B:$B))),Subject!$B:$B,0),3))))</f>
        <v/>
      </c>
      <c r="S382" s="2" t="str">
        <f t="array" ref="S382">IF(NOW()&gt;BD382,"",IF(AND((WEEKDAY($A382)+$B$2)&gt;1,((WEEKDAY($A382)+$T$2)&lt;7),(WEEKDAY($A382)&lt;&gt;1)),"work",(INDEX(Subject!$A:$I,MATCH(RANDBETWEEN(1,(MAX(Subject!$B:$B))),Subject!$B:$B,0),3))))</f>
        <v/>
      </c>
      <c r="T382" s="2" t="str">
        <f t="array" ref="T382">IF(NOW()&gt;BE382,"",IF(AND((WEEKDAY($A382)+$B$2)&gt;1,((WEEKDAY($A382)+$T$2)&lt;7),(WEEKDAY($A382)&lt;&gt;1)),"work",(INDEX(Subject!$A:$I,MATCH(RANDBETWEEN(1,(MAX(Subject!$B:$B))),Subject!$B:$B,0),3))))</f>
        <v/>
      </c>
      <c r="U382" s="8" t="str">
        <f t="array" ref="U382">INDEX(Subject!$A:$I,MATCH(RANDBETWEEN(1,16),Subject!$B:$B,0),3)</f>
        <v>#N/A</v>
      </c>
      <c r="V382" s="8" t="str">
        <f t="array" ref="V382">INDEX(Subject!$A:$I,MATCH(RANDBETWEEN(1,16),Subject!$B:$B,0),3)</f>
        <v>#N/A</v>
      </c>
      <c r="W382" s="8" t="str">
        <f t="array" ref="W382">INDEX(Subject!$A:$I,MATCH(RANDBETWEEN(1,16),Subject!$B:$B,0),3)</f>
        <v>#N/A</v>
      </c>
      <c r="X382" s="8" t="str">
        <f t="array" ref="X382">INDEX(Subject!$A:$I,MATCH(RANDBETWEEN(1,16),Subject!$B:$B,0),3)</f>
        <v>#N/A</v>
      </c>
      <c r="Y382" s="8" t="str">
        <f t="array" ref="Y382">INDEX(Subject!$A:$I,MATCH(RANDBETWEEN(1,16),Subject!$B:$B,0),3)</f>
        <v>#N/A</v>
      </c>
      <c r="Z382" s="8" t="str">
        <f t="array" ref="Z382">INDEX(Subject!$A:$I,MATCH(RANDBETWEEN(1,16),Subject!$B:$B,0),3)</f>
        <v>#N/A</v>
      </c>
      <c r="AA382" s="8" t="str">
        <f t="array" ref="AA382">INDEX(Subject!$A:$I,MATCH(RANDBETWEEN(1,16),Subject!$B:$B,0),3)</f>
        <v>#N/A</v>
      </c>
      <c r="AB382" s="8" t="str">
        <f t="array" ref="AB382">INDEX(Subject!$A:$I,MATCH(RANDBETWEEN(1,16),Subject!$B:$B,0),3)</f>
        <v>#N/A</v>
      </c>
      <c r="AC382" s="8" t="str">
        <f t="array" ref="AC382">INDEX(Subject!$A:$I,MATCH(RANDBETWEEN(1,16),Subject!$B:$B,0),3)</f>
        <v>#N/A</v>
      </c>
      <c r="AD382" s="8" t="str">
        <f t="array" ref="AD382">INDEX(Subject!$A:$I,MATCH(RANDBETWEEN(1,16),Subject!$B:$B,0),3)</f>
        <v>#N/A</v>
      </c>
      <c r="AE382" s="8" t="str">
        <f t="array" ref="AE382">INDEX(Subject!$A:$I,MATCH(RANDBETWEEN(1,16),Subject!$B:$B,0),3)</f>
        <v/>
      </c>
      <c r="AF382" s="8" t="str">
        <f t="array" ref="AF382">INDEX(Subject!$A:$I,MATCH(RANDBETWEEN(1,16),Subject!$B:$B,0),3)</f>
        <v/>
      </c>
      <c r="AG382" s="8" t="str">
        <f t="array" ref="AG382">INDEX(Subject!$A:$I,MATCH(RANDBETWEEN(1,16),Subject!$B:$B,0),3)</f>
        <v>#N/A</v>
      </c>
      <c r="AH382" s="8" t="str">
        <f t="array" ref="AH382">INDEX(Subject!$A:$I,MATCH(RANDBETWEEN(1,16),Subject!$B:$B,0),3)</f>
        <v>#N/A</v>
      </c>
      <c r="AI382" s="8" t="str">
        <f t="array" ref="AI382">INDEX(Subject!$A:$I,MATCH(RANDBETWEEN(1,16),Subject!$B:$B,0),3)</f>
        <v>#N/A</v>
      </c>
      <c r="AJ382" s="8" t="str">
        <f t="array" ref="AJ382">INDEX(Subject!$A:$I,MATCH(RANDBETWEEN(1,16),Subject!$B:$B,0),3)</f>
        <v>#N/A</v>
      </c>
      <c r="AK382" s="8" t="str">
        <f t="array" ref="AK382">INDEX(Subject!$A:$I,MATCH(RANDBETWEEN(1,16),Subject!$B:$B,0),3)</f>
        <v>#N/A</v>
      </c>
      <c r="AL382" s="8" t="str">
        <f t="array" ref="AL382">INDEX(Subject!$A:$I,MATCH(RANDBETWEEN(1,16),Subject!$B:$B,0),3)</f>
        <v>#N/A</v>
      </c>
      <c r="AM382" s="18">
        <f t="shared" si="4"/>
        <v>45882.33333</v>
      </c>
      <c r="AN382" s="19">
        <f t="shared" ref="AN382:BZ382" si="382">$A382+C$1</f>
        <v>45882.35417</v>
      </c>
      <c r="AO382" s="19">
        <f t="shared" si="382"/>
        <v>45882.375</v>
      </c>
      <c r="AP382" s="19">
        <f t="shared" si="382"/>
        <v>45882.39583</v>
      </c>
      <c r="AQ382" s="19">
        <f t="shared" si="382"/>
        <v>45882.41667</v>
      </c>
      <c r="AR382" s="19">
        <f t="shared" si="382"/>
        <v>45882.4375</v>
      </c>
      <c r="AS382" s="19">
        <f t="shared" si="382"/>
        <v>45882.45833</v>
      </c>
      <c r="AT382" s="19">
        <f t="shared" si="382"/>
        <v>45882.47917</v>
      </c>
      <c r="AU382" s="19">
        <f t="shared" si="382"/>
        <v>45882.5</v>
      </c>
      <c r="AV382" s="19">
        <f t="shared" si="382"/>
        <v>45882.52083</v>
      </c>
      <c r="AW382" s="19">
        <f t="shared" si="382"/>
        <v>45882.54167</v>
      </c>
      <c r="AX382" s="19">
        <f t="shared" si="382"/>
        <v>45882.5625</v>
      </c>
      <c r="AY382" s="19">
        <f t="shared" si="382"/>
        <v>45882.58333</v>
      </c>
      <c r="AZ382" s="19">
        <f t="shared" si="382"/>
        <v>45882.60417</v>
      </c>
      <c r="BA382" s="19">
        <f t="shared" si="382"/>
        <v>45882.625</v>
      </c>
      <c r="BB382" s="19">
        <f t="shared" si="382"/>
        <v>45882.64583</v>
      </c>
      <c r="BC382" s="19">
        <f t="shared" si="382"/>
        <v>45882.66667</v>
      </c>
      <c r="BD382" s="19">
        <f t="shared" si="382"/>
        <v>45882.6875</v>
      </c>
      <c r="BE382" s="19">
        <f t="shared" si="382"/>
        <v>45882.70833</v>
      </c>
      <c r="BF382" s="19">
        <f t="shared" si="382"/>
        <v>45882.72917</v>
      </c>
      <c r="BG382" s="19">
        <f t="shared" si="382"/>
        <v>45882.75</v>
      </c>
      <c r="BH382" s="19">
        <f t="shared" si="382"/>
        <v>45882.77083</v>
      </c>
      <c r="BI382" s="19">
        <f t="shared" si="382"/>
        <v>45882.79167</v>
      </c>
      <c r="BJ382" s="19">
        <f t="shared" si="382"/>
        <v>45882.8125</v>
      </c>
      <c r="BK382" s="19">
        <f t="shared" si="382"/>
        <v>45882.83333</v>
      </c>
      <c r="BL382" s="19">
        <f t="shared" si="382"/>
        <v>45882.85417</v>
      </c>
      <c r="BM382" s="19">
        <f t="shared" si="382"/>
        <v>45882.875</v>
      </c>
      <c r="BN382" s="19">
        <f t="shared" si="382"/>
        <v>45882.89583</v>
      </c>
      <c r="BO382" s="19">
        <f t="shared" si="382"/>
        <v>45882.91667</v>
      </c>
      <c r="BP382" s="19">
        <f t="shared" si="382"/>
        <v>45882.9375</v>
      </c>
      <c r="BQ382" s="19">
        <f t="shared" si="382"/>
        <v>45882.95833</v>
      </c>
      <c r="BR382" s="19">
        <f t="shared" si="382"/>
        <v>45882.97917</v>
      </c>
      <c r="BS382" s="19">
        <f t="shared" si="382"/>
        <v>45883</v>
      </c>
      <c r="BT382" s="19">
        <f t="shared" si="382"/>
        <v>45883.02083</v>
      </c>
      <c r="BU382" s="19">
        <f t="shared" si="382"/>
        <v>45883.04167</v>
      </c>
      <c r="BV382" s="19">
        <f t="shared" si="382"/>
        <v>45883.0625</v>
      </c>
      <c r="BW382" s="19">
        <f t="shared" si="382"/>
        <v>45883.08333</v>
      </c>
      <c r="BX382" s="19">
        <f t="shared" si="382"/>
        <v>45882</v>
      </c>
      <c r="BY382" s="19">
        <f t="shared" si="382"/>
        <v>45882</v>
      </c>
      <c r="BZ382" s="19">
        <f t="shared" si="382"/>
        <v>45882</v>
      </c>
    </row>
    <row r="383" ht="14.25" customHeight="1">
      <c r="A383" s="17">
        <v>45883.0</v>
      </c>
      <c r="B383" s="2" t="str">
        <f t="array" ref="B383">IF(NOW()&gt;AM383,"",IF(AND((WEEKDAY($A383)+$B$2)&gt;1,((WEEKDAY($A383)+$T$2)&lt;7),(WEEKDAY($A383)&lt;&gt;1)),"work",(INDEX(Subject!$A:$I,MATCH(RANDBETWEEN(1,(MAX(Subject!$B:$B))),Subject!$B:$B,0),3))))</f>
        <v/>
      </c>
      <c r="C383" s="2" t="str">
        <f t="array" ref="C383">IF(NOW()&gt;AN383,"",IF(AND((WEEKDAY($A383)+$B$2)&gt;1,((WEEKDAY($A383)+$T$2)&lt;7),(WEEKDAY($A383)&lt;&gt;1)),"work",(INDEX(Subject!$A:$I,MATCH(RANDBETWEEN(1,(MAX(Subject!$B:$B))),Subject!$B:$B,0),3))))</f>
        <v/>
      </c>
      <c r="D383" s="2" t="str">
        <f t="array" ref="D383">IF(NOW()&gt;AO383,"",IF(AND((WEEKDAY($A383)+$B$2)&gt;1,((WEEKDAY($A383)+$T$2)&lt;7),(WEEKDAY($A383)&lt;&gt;1)),"work",(INDEX(Subject!$A:$I,MATCH(RANDBETWEEN(1,(MAX(Subject!$B:$B))),Subject!$B:$B,0),3))))</f>
        <v/>
      </c>
      <c r="E383" s="2" t="str">
        <f t="array" ref="E383">IF(NOW()&gt;AP383,"",IF(AND((WEEKDAY($A383)+$B$2)&gt;1,((WEEKDAY($A383)+$T$2)&lt;7),(WEEKDAY($A383)&lt;&gt;1)),"work",(INDEX(Subject!$A:$I,MATCH(RANDBETWEEN(1,(MAX(Subject!$B:$B))),Subject!$B:$B,0),3))))</f>
        <v/>
      </c>
      <c r="F383" s="2" t="str">
        <f t="array" ref="F383">IF(NOW()&gt;AQ383,"",IF(AND((WEEKDAY($A383)+$B$2)&gt;1,((WEEKDAY($A383)+$T$2)&lt;7),(WEEKDAY($A383)&lt;&gt;1)),"work",(INDEX(Subject!$A:$I,MATCH(RANDBETWEEN(1,(MAX(Subject!$B:$B))),Subject!$B:$B,0),3))))</f>
        <v/>
      </c>
      <c r="G383" s="2" t="str">
        <f t="array" ref="G383">IF(NOW()&gt;AR383,"",IF(AND((WEEKDAY($A383)+$B$2)&gt;1,((WEEKDAY($A383)+$T$2)&lt;7),(WEEKDAY($A383)&lt;&gt;1)),"work",(INDEX(Subject!$A:$I,MATCH(RANDBETWEEN(1,(MAX(Subject!$B:$B))),Subject!$B:$B,0),3))))</f>
        <v/>
      </c>
      <c r="H383" s="2" t="str">
        <f t="array" ref="H383">IF(NOW()&gt;AS383,"",IF(AND((WEEKDAY($A383)+$B$2)&gt;1,((WEEKDAY($A383)+$T$2)&lt;7),(WEEKDAY($A383)&lt;&gt;1)),"work",(INDEX(Subject!$A:$I,MATCH(RANDBETWEEN(1,(MAX(Subject!$B:$B))),Subject!$B:$B,0),3))))</f>
        <v/>
      </c>
      <c r="I383" s="2" t="str">
        <f t="array" ref="I383">IF(NOW()&gt;AT383,"",IF(AND((WEEKDAY($A383)+$B$2)&gt;1,((WEEKDAY($A383)+$T$2)&lt;7),(WEEKDAY($A383)&lt;&gt;1)),"work",(INDEX(Subject!$A:$I,MATCH(RANDBETWEEN(1,(MAX(Subject!$B:$B))),Subject!$B:$B,0),3))))</f>
        <v/>
      </c>
      <c r="J383" s="2" t="str">
        <f t="array" ref="J383">IF(NOW()&gt;AU383,"",IF(AND((WEEKDAY($A383)+$B$2)&gt;1,((WEEKDAY($A383)+$T$2)&lt;7),(WEEKDAY($A383)&lt;&gt;1)),"work",(INDEX(Subject!$A:$I,MATCH(RANDBETWEEN(1,(MAX(Subject!$B:$B))),Subject!$B:$B,0),3))))</f>
        <v/>
      </c>
      <c r="K383" s="2" t="str">
        <f t="array" ref="K383">IF(NOW()&gt;AV383,"",IF(AND((WEEKDAY($A383)+$B$2)&gt;1,((WEEKDAY($A383)+$T$2)&lt;7),(WEEKDAY($A383)&lt;&gt;1)),"work",(INDEX(Subject!$A:$I,MATCH(RANDBETWEEN(1,(MAX(Subject!$B:$B))),Subject!$B:$B,0),3))))</f>
        <v/>
      </c>
      <c r="L383" s="2" t="str">
        <f t="array" ref="L383">IF(NOW()&gt;AW383,"",IF(AND((WEEKDAY($A383)+$B$2)&gt;1,((WEEKDAY($A383)+$T$2)&lt;7),(WEEKDAY($A383)&lt;&gt;1)),"work",(INDEX(Subject!$A:$I,MATCH(RANDBETWEEN(1,(MAX(Subject!$B:$B))),Subject!$B:$B,0),3))))</f>
        <v/>
      </c>
      <c r="M383" s="2" t="str">
        <f t="array" ref="M383">IF(NOW()&gt;AX383,"",IF(AND((WEEKDAY($A383)+$B$2)&gt;1,((WEEKDAY($A383)+$T$2)&lt;7),(WEEKDAY($A383)&lt;&gt;1)),"work",(INDEX(Subject!$A:$I,MATCH(RANDBETWEEN(1,(MAX(Subject!$B:$B))),Subject!$B:$B,0),3))))</f>
        <v/>
      </c>
      <c r="N383" s="2" t="str">
        <f t="array" ref="N383">IF(NOW()&gt;AY383,"",IF(AND((WEEKDAY($A383)+$B$2)&gt;1,((WEEKDAY($A383)+$T$2)&lt;7),(WEEKDAY($A383)&lt;&gt;1)),"work",(INDEX(Subject!$A:$I,MATCH(RANDBETWEEN(1,(MAX(Subject!$B:$B))),Subject!$B:$B,0),3))))</f>
        <v/>
      </c>
      <c r="O383" s="2" t="str">
        <f t="array" ref="O383">IF(NOW()&gt;AZ383,"",IF(AND((WEEKDAY($A383)+$B$2)&gt;1,((WEEKDAY($A383)+$T$2)&lt;7),(WEEKDAY($A383)&lt;&gt;1)),"work",(INDEX(Subject!$A:$I,MATCH(RANDBETWEEN(1,(MAX(Subject!$B:$B))),Subject!$B:$B,0),3))))</f>
        <v/>
      </c>
      <c r="P383" s="2" t="str">
        <f t="array" ref="P383">IF(NOW()&gt;BA383,"",IF(AND((WEEKDAY($A383)+$B$2)&gt;1,((WEEKDAY($A383)+$T$2)&lt;7),(WEEKDAY($A383)&lt;&gt;1)),"work",(INDEX(Subject!$A:$I,MATCH(RANDBETWEEN(1,(MAX(Subject!$B:$B))),Subject!$B:$B,0),3))))</f>
        <v/>
      </c>
      <c r="Q383" s="2" t="str">
        <f t="array" ref="Q383">IF(NOW()&gt;BB383,"",IF(AND((WEEKDAY($A383)+$B$2)&gt;1,((WEEKDAY($A383)+$T$2)&lt;7),(WEEKDAY($A383)&lt;&gt;1)),"work",(INDEX(Subject!$A:$I,MATCH(RANDBETWEEN(1,(MAX(Subject!$B:$B))),Subject!$B:$B,0),3))))</f>
        <v/>
      </c>
      <c r="R383" s="2" t="str">
        <f t="array" ref="R383">IF(NOW()&gt;BC383,"",IF(AND((WEEKDAY($A383)+$B$2)&gt;1,((WEEKDAY($A383)+$T$2)&lt;7),(WEEKDAY($A383)&lt;&gt;1)),"work",(INDEX(Subject!$A:$I,MATCH(RANDBETWEEN(1,(MAX(Subject!$B:$B))),Subject!$B:$B,0),3))))</f>
        <v/>
      </c>
      <c r="S383" s="2" t="str">
        <f t="array" ref="S383">IF(NOW()&gt;BD383,"",IF(AND((WEEKDAY($A383)+$B$2)&gt;1,((WEEKDAY($A383)+$T$2)&lt;7),(WEEKDAY($A383)&lt;&gt;1)),"work",(INDEX(Subject!$A:$I,MATCH(RANDBETWEEN(1,(MAX(Subject!$B:$B))),Subject!$B:$B,0),3))))</f>
        <v/>
      </c>
      <c r="T383" s="2" t="str">
        <f t="array" ref="T383">IF(NOW()&gt;BE383,"",IF(AND((WEEKDAY($A383)+$B$2)&gt;1,((WEEKDAY($A383)+$T$2)&lt;7),(WEEKDAY($A383)&lt;&gt;1)),"work",(INDEX(Subject!$A:$I,MATCH(RANDBETWEEN(1,(MAX(Subject!$B:$B))),Subject!$B:$B,0),3))))</f>
        <v/>
      </c>
      <c r="U383" s="8" t="str">
        <f t="array" ref="U383">INDEX(Subject!$A:$I,MATCH(RANDBETWEEN(1,16),Subject!$B:$B,0),3)</f>
        <v>#N/A</v>
      </c>
      <c r="V383" s="8" t="str">
        <f t="array" ref="V383">INDEX(Subject!$A:$I,MATCH(RANDBETWEEN(1,16),Subject!$B:$B,0),3)</f>
        <v>#N/A</v>
      </c>
      <c r="W383" s="8" t="str">
        <f t="array" ref="W383">INDEX(Subject!$A:$I,MATCH(RANDBETWEEN(1,16),Subject!$B:$B,0),3)</f>
        <v>#N/A</v>
      </c>
      <c r="X383" s="8" t="str">
        <f t="array" ref="X383">INDEX(Subject!$A:$I,MATCH(RANDBETWEEN(1,16),Subject!$B:$B,0),3)</f>
        <v>#N/A</v>
      </c>
      <c r="Y383" s="8" t="str">
        <f t="array" ref="Y383">INDEX(Subject!$A:$I,MATCH(RANDBETWEEN(1,16),Subject!$B:$B,0),3)</f>
        <v>#N/A</v>
      </c>
      <c r="Z383" s="8" t="str">
        <f t="array" ref="Z383">INDEX(Subject!$A:$I,MATCH(RANDBETWEEN(1,16),Subject!$B:$B,0),3)</f>
        <v>#N/A</v>
      </c>
      <c r="AA383" s="8" t="str">
        <f t="array" ref="AA383">INDEX(Subject!$A:$I,MATCH(RANDBETWEEN(1,16),Subject!$B:$B,0),3)</f>
        <v>#N/A</v>
      </c>
      <c r="AB383" s="8" t="str">
        <f t="array" ref="AB383">INDEX(Subject!$A:$I,MATCH(RANDBETWEEN(1,16),Subject!$B:$B,0),3)</f>
        <v>#N/A</v>
      </c>
      <c r="AC383" s="8" t="str">
        <f t="array" ref="AC383">INDEX(Subject!$A:$I,MATCH(RANDBETWEEN(1,16),Subject!$B:$B,0),3)</f>
        <v>#N/A</v>
      </c>
      <c r="AD383" s="8" t="str">
        <f t="array" ref="AD383">INDEX(Subject!$A:$I,MATCH(RANDBETWEEN(1,16),Subject!$B:$B,0),3)</f>
        <v>#N/A</v>
      </c>
      <c r="AE383" s="8" t="str">
        <f t="array" ref="AE383">INDEX(Subject!$A:$I,MATCH(RANDBETWEEN(1,16),Subject!$B:$B,0),3)</f>
        <v>#N/A</v>
      </c>
      <c r="AF383" s="8" t="str">
        <f t="array" ref="AF383">INDEX(Subject!$A:$I,MATCH(RANDBETWEEN(1,16),Subject!$B:$B,0),3)</f>
        <v>#N/A</v>
      </c>
      <c r="AG383" s="8" t="str">
        <f t="array" ref="AG383">INDEX(Subject!$A:$I,MATCH(RANDBETWEEN(1,16),Subject!$B:$B,0),3)</f>
        <v>#N/A</v>
      </c>
      <c r="AH383" s="8" t="str">
        <f t="array" ref="AH383">INDEX(Subject!$A:$I,MATCH(RANDBETWEEN(1,16),Subject!$B:$B,0),3)</f>
        <v/>
      </c>
      <c r="AI383" s="8" t="str">
        <f t="array" ref="AI383">INDEX(Subject!$A:$I,MATCH(RANDBETWEEN(1,16),Subject!$B:$B,0),3)</f>
        <v>#N/A</v>
      </c>
      <c r="AJ383" s="8" t="str">
        <f t="array" ref="AJ383">INDEX(Subject!$A:$I,MATCH(RANDBETWEEN(1,16),Subject!$B:$B,0),3)</f>
        <v>#N/A</v>
      </c>
      <c r="AK383" s="8" t="str">
        <f t="array" ref="AK383">INDEX(Subject!$A:$I,MATCH(RANDBETWEEN(1,16),Subject!$B:$B,0),3)</f>
        <v>#N/A</v>
      </c>
      <c r="AL383" s="8" t="str">
        <f t="array" ref="AL383">INDEX(Subject!$A:$I,MATCH(RANDBETWEEN(1,16),Subject!$B:$B,0),3)</f>
        <v>#N/A</v>
      </c>
      <c r="AM383" s="18">
        <f t="shared" si="4"/>
        <v>45883.33333</v>
      </c>
      <c r="AN383" s="19">
        <f t="shared" ref="AN383:BZ383" si="383">$A383+C$1</f>
        <v>45883.35417</v>
      </c>
      <c r="AO383" s="19">
        <f t="shared" si="383"/>
        <v>45883.375</v>
      </c>
      <c r="AP383" s="19">
        <f t="shared" si="383"/>
        <v>45883.39583</v>
      </c>
      <c r="AQ383" s="19">
        <f t="shared" si="383"/>
        <v>45883.41667</v>
      </c>
      <c r="AR383" s="19">
        <f t="shared" si="383"/>
        <v>45883.4375</v>
      </c>
      <c r="AS383" s="19">
        <f t="shared" si="383"/>
        <v>45883.45833</v>
      </c>
      <c r="AT383" s="19">
        <f t="shared" si="383"/>
        <v>45883.47917</v>
      </c>
      <c r="AU383" s="19">
        <f t="shared" si="383"/>
        <v>45883.5</v>
      </c>
      <c r="AV383" s="19">
        <f t="shared" si="383"/>
        <v>45883.52083</v>
      </c>
      <c r="AW383" s="19">
        <f t="shared" si="383"/>
        <v>45883.54167</v>
      </c>
      <c r="AX383" s="19">
        <f t="shared" si="383"/>
        <v>45883.5625</v>
      </c>
      <c r="AY383" s="19">
        <f t="shared" si="383"/>
        <v>45883.58333</v>
      </c>
      <c r="AZ383" s="19">
        <f t="shared" si="383"/>
        <v>45883.60417</v>
      </c>
      <c r="BA383" s="19">
        <f t="shared" si="383"/>
        <v>45883.625</v>
      </c>
      <c r="BB383" s="19">
        <f t="shared" si="383"/>
        <v>45883.64583</v>
      </c>
      <c r="BC383" s="19">
        <f t="shared" si="383"/>
        <v>45883.66667</v>
      </c>
      <c r="BD383" s="19">
        <f t="shared" si="383"/>
        <v>45883.6875</v>
      </c>
      <c r="BE383" s="19">
        <f t="shared" si="383"/>
        <v>45883.70833</v>
      </c>
      <c r="BF383" s="19">
        <f t="shared" si="383"/>
        <v>45883.72917</v>
      </c>
      <c r="BG383" s="19">
        <f t="shared" si="383"/>
        <v>45883.75</v>
      </c>
      <c r="BH383" s="19">
        <f t="shared" si="383"/>
        <v>45883.77083</v>
      </c>
      <c r="BI383" s="19">
        <f t="shared" si="383"/>
        <v>45883.79167</v>
      </c>
      <c r="BJ383" s="19">
        <f t="shared" si="383"/>
        <v>45883.8125</v>
      </c>
      <c r="BK383" s="19">
        <f t="shared" si="383"/>
        <v>45883.83333</v>
      </c>
      <c r="BL383" s="19">
        <f t="shared" si="383"/>
        <v>45883.85417</v>
      </c>
      <c r="BM383" s="19">
        <f t="shared" si="383"/>
        <v>45883.875</v>
      </c>
      <c r="BN383" s="19">
        <f t="shared" si="383"/>
        <v>45883.89583</v>
      </c>
      <c r="BO383" s="19">
        <f t="shared" si="383"/>
        <v>45883.91667</v>
      </c>
      <c r="BP383" s="19">
        <f t="shared" si="383"/>
        <v>45883.9375</v>
      </c>
      <c r="BQ383" s="19">
        <f t="shared" si="383"/>
        <v>45883.95833</v>
      </c>
      <c r="BR383" s="19">
        <f t="shared" si="383"/>
        <v>45883.97917</v>
      </c>
      <c r="BS383" s="19">
        <f t="shared" si="383"/>
        <v>45884</v>
      </c>
      <c r="BT383" s="19">
        <f t="shared" si="383"/>
        <v>45884.02083</v>
      </c>
      <c r="BU383" s="19">
        <f t="shared" si="383"/>
        <v>45884.04167</v>
      </c>
      <c r="BV383" s="19">
        <f t="shared" si="383"/>
        <v>45884.0625</v>
      </c>
      <c r="BW383" s="19">
        <f t="shared" si="383"/>
        <v>45884.08333</v>
      </c>
      <c r="BX383" s="19">
        <f t="shared" si="383"/>
        <v>45883</v>
      </c>
      <c r="BY383" s="19">
        <f t="shared" si="383"/>
        <v>45883</v>
      </c>
      <c r="BZ383" s="19">
        <f t="shared" si="383"/>
        <v>45883</v>
      </c>
    </row>
    <row r="384" ht="14.25" customHeight="1">
      <c r="A384" s="17">
        <v>45884.0</v>
      </c>
      <c r="B384" s="2" t="str">
        <f t="array" ref="B384">IF(NOW()&gt;AM384,"",IF(AND((WEEKDAY($A384)+$B$2)&gt;1,((WEEKDAY($A384)+$T$2)&lt;7),(WEEKDAY($A384)&lt;&gt;1)),"work",(INDEX(Subject!$A:$I,MATCH(RANDBETWEEN(1,(MAX(Subject!$B:$B))),Subject!$B:$B,0),3))))</f>
        <v/>
      </c>
      <c r="C384" s="2" t="str">
        <f t="array" ref="C384">IF(NOW()&gt;AN384,"",IF(AND((WEEKDAY($A384)+$B$2)&gt;1,((WEEKDAY($A384)+$T$2)&lt;7),(WEEKDAY($A384)&lt;&gt;1)),"work",(INDEX(Subject!$A:$I,MATCH(RANDBETWEEN(1,(MAX(Subject!$B:$B))),Subject!$B:$B,0),3))))</f>
        <v/>
      </c>
      <c r="D384" s="2" t="str">
        <f t="array" ref="D384">IF(NOW()&gt;AO384,"",IF(AND((WEEKDAY($A384)+$B$2)&gt;1,((WEEKDAY($A384)+$T$2)&lt;7),(WEEKDAY($A384)&lt;&gt;1)),"work",(INDEX(Subject!$A:$I,MATCH(RANDBETWEEN(1,(MAX(Subject!$B:$B))),Subject!$B:$B,0),3))))</f>
        <v/>
      </c>
      <c r="E384" s="2" t="str">
        <f t="array" ref="E384">IF(NOW()&gt;AP384,"",IF(AND((WEEKDAY($A384)+$B$2)&gt;1,((WEEKDAY($A384)+$T$2)&lt;7),(WEEKDAY($A384)&lt;&gt;1)),"work",(INDEX(Subject!$A:$I,MATCH(RANDBETWEEN(1,(MAX(Subject!$B:$B))),Subject!$B:$B,0),3))))</f>
        <v/>
      </c>
      <c r="F384" s="2" t="str">
        <f t="array" ref="F384">IF(NOW()&gt;AQ384,"",IF(AND((WEEKDAY($A384)+$B$2)&gt;1,((WEEKDAY($A384)+$T$2)&lt;7),(WEEKDAY($A384)&lt;&gt;1)),"work",(INDEX(Subject!$A:$I,MATCH(RANDBETWEEN(1,(MAX(Subject!$B:$B))),Subject!$B:$B,0),3))))</f>
        <v/>
      </c>
      <c r="G384" s="2" t="str">
        <f t="array" ref="G384">IF(NOW()&gt;AR384,"",IF(AND((WEEKDAY($A384)+$B$2)&gt;1,((WEEKDAY($A384)+$T$2)&lt;7),(WEEKDAY($A384)&lt;&gt;1)),"work",(INDEX(Subject!$A:$I,MATCH(RANDBETWEEN(1,(MAX(Subject!$B:$B))),Subject!$B:$B,0),3))))</f>
        <v/>
      </c>
      <c r="H384" s="2" t="str">
        <f t="array" ref="H384">IF(NOW()&gt;AS384,"",IF(AND((WEEKDAY($A384)+$B$2)&gt;1,((WEEKDAY($A384)+$T$2)&lt;7),(WEEKDAY($A384)&lt;&gt;1)),"work",(INDEX(Subject!$A:$I,MATCH(RANDBETWEEN(1,(MAX(Subject!$B:$B))),Subject!$B:$B,0),3))))</f>
        <v/>
      </c>
      <c r="I384" s="2" t="str">
        <f t="array" ref="I384">IF(NOW()&gt;AT384,"",IF(AND((WEEKDAY($A384)+$B$2)&gt;1,((WEEKDAY($A384)+$T$2)&lt;7),(WEEKDAY($A384)&lt;&gt;1)),"work",(INDEX(Subject!$A:$I,MATCH(RANDBETWEEN(1,(MAX(Subject!$B:$B))),Subject!$B:$B,0),3))))</f>
        <v/>
      </c>
      <c r="J384" s="2" t="str">
        <f t="array" ref="J384">IF(NOW()&gt;AU384,"",IF(AND((WEEKDAY($A384)+$B$2)&gt;1,((WEEKDAY($A384)+$T$2)&lt;7),(WEEKDAY($A384)&lt;&gt;1)),"work",(INDEX(Subject!$A:$I,MATCH(RANDBETWEEN(1,(MAX(Subject!$B:$B))),Subject!$B:$B,0),3))))</f>
        <v/>
      </c>
      <c r="K384" s="2" t="str">
        <f t="array" ref="K384">IF(NOW()&gt;AV384,"",IF(AND((WEEKDAY($A384)+$B$2)&gt;1,((WEEKDAY($A384)+$T$2)&lt;7),(WEEKDAY($A384)&lt;&gt;1)),"work",(INDEX(Subject!$A:$I,MATCH(RANDBETWEEN(1,(MAX(Subject!$B:$B))),Subject!$B:$B,0),3))))</f>
        <v/>
      </c>
      <c r="L384" s="2" t="str">
        <f t="array" ref="L384">IF(NOW()&gt;AW384,"",IF(AND((WEEKDAY($A384)+$B$2)&gt;1,((WEEKDAY($A384)+$T$2)&lt;7),(WEEKDAY($A384)&lt;&gt;1)),"work",(INDEX(Subject!$A:$I,MATCH(RANDBETWEEN(1,(MAX(Subject!$B:$B))),Subject!$B:$B,0),3))))</f>
        <v/>
      </c>
      <c r="M384" s="2" t="str">
        <f t="array" ref="M384">IF(NOW()&gt;AX384,"",IF(AND((WEEKDAY($A384)+$B$2)&gt;1,((WEEKDAY($A384)+$T$2)&lt;7),(WEEKDAY($A384)&lt;&gt;1)),"work",(INDEX(Subject!$A:$I,MATCH(RANDBETWEEN(1,(MAX(Subject!$B:$B))),Subject!$B:$B,0),3))))</f>
        <v/>
      </c>
      <c r="N384" s="2" t="str">
        <f t="array" ref="N384">IF(NOW()&gt;AY384,"",IF(AND((WEEKDAY($A384)+$B$2)&gt;1,((WEEKDAY($A384)+$T$2)&lt;7),(WEEKDAY($A384)&lt;&gt;1)),"work",(INDEX(Subject!$A:$I,MATCH(RANDBETWEEN(1,(MAX(Subject!$B:$B))),Subject!$B:$B,0),3))))</f>
        <v/>
      </c>
      <c r="O384" s="2" t="str">
        <f t="array" ref="O384">IF(NOW()&gt;AZ384,"",IF(AND((WEEKDAY($A384)+$B$2)&gt;1,((WEEKDAY($A384)+$T$2)&lt;7),(WEEKDAY($A384)&lt;&gt;1)),"work",(INDEX(Subject!$A:$I,MATCH(RANDBETWEEN(1,(MAX(Subject!$B:$B))),Subject!$B:$B,0),3))))</f>
        <v/>
      </c>
      <c r="P384" s="2" t="str">
        <f t="array" ref="P384">IF(NOW()&gt;BA384,"",IF(AND((WEEKDAY($A384)+$B$2)&gt;1,((WEEKDAY($A384)+$T$2)&lt;7),(WEEKDAY($A384)&lt;&gt;1)),"work",(INDEX(Subject!$A:$I,MATCH(RANDBETWEEN(1,(MAX(Subject!$B:$B))),Subject!$B:$B,0),3))))</f>
        <v/>
      </c>
      <c r="Q384" s="2" t="str">
        <f t="array" ref="Q384">IF(NOW()&gt;BB384,"",IF(AND((WEEKDAY($A384)+$B$2)&gt;1,((WEEKDAY($A384)+$T$2)&lt;7),(WEEKDAY($A384)&lt;&gt;1)),"work",(INDEX(Subject!$A:$I,MATCH(RANDBETWEEN(1,(MAX(Subject!$B:$B))),Subject!$B:$B,0),3))))</f>
        <v/>
      </c>
      <c r="R384" s="2" t="str">
        <f t="array" ref="R384">IF(NOW()&gt;BC384,"",IF(AND((WEEKDAY($A384)+$B$2)&gt;1,((WEEKDAY($A384)+$T$2)&lt;7),(WEEKDAY($A384)&lt;&gt;1)),"work",(INDEX(Subject!$A:$I,MATCH(RANDBETWEEN(1,(MAX(Subject!$B:$B))),Subject!$B:$B,0),3))))</f>
        <v/>
      </c>
      <c r="S384" s="2" t="str">
        <f t="array" ref="S384">IF(NOW()&gt;BD384,"",IF(AND((WEEKDAY($A384)+$B$2)&gt;1,((WEEKDAY($A384)+$T$2)&lt;7),(WEEKDAY($A384)&lt;&gt;1)),"work",(INDEX(Subject!$A:$I,MATCH(RANDBETWEEN(1,(MAX(Subject!$B:$B))),Subject!$B:$B,0),3))))</f>
        <v/>
      </c>
      <c r="T384" s="2" t="str">
        <f t="array" ref="T384">IF(NOW()&gt;BE384,"",IF(AND((WEEKDAY($A384)+$B$2)&gt;1,((WEEKDAY($A384)+$T$2)&lt;7),(WEEKDAY($A384)&lt;&gt;1)),"work",(INDEX(Subject!$A:$I,MATCH(RANDBETWEEN(1,(MAX(Subject!$B:$B))),Subject!$B:$B,0),3))))</f>
        <v/>
      </c>
      <c r="U384" s="8" t="str">
        <f t="array" ref="U384">INDEX(Subject!$A:$I,MATCH(RANDBETWEEN(1,16),Subject!$B:$B,0),3)</f>
        <v>#N/A</v>
      </c>
      <c r="V384" s="8" t="str">
        <f t="array" ref="V384">INDEX(Subject!$A:$I,MATCH(RANDBETWEEN(1,16),Subject!$B:$B,0),3)</f>
        <v>#N/A</v>
      </c>
      <c r="W384" s="8" t="str">
        <f t="array" ref="W384">INDEX(Subject!$A:$I,MATCH(RANDBETWEEN(1,16),Subject!$B:$B,0),3)</f>
        <v>#N/A</v>
      </c>
      <c r="X384" s="8" t="str">
        <f t="array" ref="X384">INDEX(Subject!$A:$I,MATCH(RANDBETWEEN(1,16),Subject!$B:$B,0),3)</f>
        <v>#N/A</v>
      </c>
      <c r="Y384" s="8" t="str">
        <f t="array" ref="Y384">INDEX(Subject!$A:$I,MATCH(RANDBETWEEN(1,16),Subject!$B:$B,0),3)</f>
        <v>#N/A</v>
      </c>
      <c r="Z384" s="8" t="str">
        <f t="array" ref="Z384">INDEX(Subject!$A:$I,MATCH(RANDBETWEEN(1,16),Subject!$B:$B,0),3)</f>
        <v>#N/A</v>
      </c>
      <c r="AA384" s="8" t="str">
        <f t="array" ref="AA384">INDEX(Subject!$A:$I,MATCH(RANDBETWEEN(1,16),Subject!$B:$B,0),3)</f>
        <v>#N/A</v>
      </c>
      <c r="AB384" s="8" t="str">
        <f t="array" ref="AB384">INDEX(Subject!$A:$I,MATCH(RANDBETWEEN(1,16),Subject!$B:$B,0),3)</f>
        <v>#N/A</v>
      </c>
      <c r="AC384" s="8" t="str">
        <f t="array" ref="AC384">INDEX(Subject!$A:$I,MATCH(RANDBETWEEN(1,16),Subject!$B:$B,0),3)</f>
        <v>#N/A</v>
      </c>
      <c r="AD384" s="8" t="str">
        <f t="array" ref="AD384">INDEX(Subject!$A:$I,MATCH(RANDBETWEEN(1,16),Subject!$B:$B,0),3)</f>
        <v>#N/A</v>
      </c>
      <c r="AE384" s="8" t="str">
        <f t="array" ref="AE384">INDEX(Subject!$A:$I,MATCH(RANDBETWEEN(1,16),Subject!$B:$B,0),3)</f>
        <v>#N/A</v>
      </c>
      <c r="AF384" s="8" t="str">
        <f t="array" ref="AF384">INDEX(Subject!$A:$I,MATCH(RANDBETWEEN(1,16),Subject!$B:$B,0),3)</f>
        <v>#N/A</v>
      </c>
      <c r="AG384" s="8" t="str">
        <f t="array" ref="AG384">INDEX(Subject!$A:$I,MATCH(RANDBETWEEN(1,16),Subject!$B:$B,0),3)</f>
        <v>#N/A</v>
      </c>
      <c r="AH384" s="8" t="str">
        <f t="array" ref="AH384">INDEX(Subject!$A:$I,MATCH(RANDBETWEEN(1,16),Subject!$B:$B,0),3)</f>
        <v>#N/A</v>
      </c>
      <c r="AI384" s="8" t="str">
        <f t="array" ref="AI384">INDEX(Subject!$A:$I,MATCH(RANDBETWEEN(1,16),Subject!$B:$B,0),3)</f>
        <v>#N/A</v>
      </c>
      <c r="AJ384" s="8" t="str">
        <f t="array" ref="AJ384">INDEX(Subject!$A:$I,MATCH(RANDBETWEEN(1,16),Subject!$B:$B,0),3)</f>
        <v>#N/A</v>
      </c>
      <c r="AK384" s="8" t="str">
        <f t="array" ref="AK384">INDEX(Subject!$A:$I,MATCH(RANDBETWEEN(1,16),Subject!$B:$B,0),3)</f>
        <v>#N/A</v>
      </c>
      <c r="AL384" s="8" t="str">
        <f t="array" ref="AL384">INDEX(Subject!$A:$I,MATCH(RANDBETWEEN(1,16),Subject!$B:$B,0),3)</f>
        <v>#N/A</v>
      </c>
      <c r="AM384" s="18">
        <f t="shared" si="4"/>
        <v>45884.33333</v>
      </c>
      <c r="AN384" s="19">
        <f t="shared" ref="AN384:BZ384" si="384">$A384+C$1</f>
        <v>45884.35417</v>
      </c>
      <c r="AO384" s="19">
        <f t="shared" si="384"/>
        <v>45884.375</v>
      </c>
      <c r="AP384" s="19">
        <f t="shared" si="384"/>
        <v>45884.39583</v>
      </c>
      <c r="AQ384" s="19">
        <f t="shared" si="384"/>
        <v>45884.41667</v>
      </c>
      <c r="AR384" s="19">
        <f t="shared" si="384"/>
        <v>45884.4375</v>
      </c>
      <c r="AS384" s="19">
        <f t="shared" si="384"/>
        <v>45884.45833</v>
      </c>
      <c r="AT384" s="19">
        <f t="shared" si="384"/>
        <v>45884.47917</v>
      </c>
      <c r="AU384" s="19">
        <f t="shared" si="384"/>
        <v>45884.5</v>
      </c>
      <c r="AV384" s="19">
        <f t="shared" si="384"/>
        <v>45884.52083</v>
      </c>
      <c r="AW384" s="19">
        <f t="shared" si="384"/>
        <v>45884.54167</v>
      </c>
      <c r="AX384" s="19">
        <f t="shared" si="384"/>
        <v>45884.5625</v>
      </c>
      <c r="AY384" s="19">
        <f t="shared" si="384"/>
        <v>45884.58333</v>
      </c>
      <c r="AZ384" s="19">
        <f t="shared" si="384"/>
        <v>45884.60417</v>
      </c>
      <c r="BA384" s="19">
        <f t="shared" si="384"/>
        <v>45884.625</v>
      </c>
      <c r="BB384" s="19">
        <f t="shared" si="384"/>
        <v>45884.64583</v>
      </c>
      <c r="BC384" s="19">
        <f t="shared" si="384"/>
        <v>45884.66667</v>
      </c>
      <c r="BD384" s="19">
        <f t="shared" si="384"/>
        <v>45884.6875</v>
      </c>
      <c r="BE384" s="19">
        <f t="shared" si="384"/>
        <v>45884.70833</v>
      </c>
      <c r="BF384" s="19">
        <f t="shared" si="384"/>
        <v>45884.72917</v>
      </c>
      <c r="BG384" s="19">
        <f t="shared" si="384"/>
        <v>45884.75</v>
      </c>
      <c r="BH384" s="19">
        <f t="shared" si="384"/>
        <v>45884.77083</v>
      </c>
      <c r="BI384" s="19">
        <f t="shared" si="384"/>
        <v>45884.79167</v>
      </c>
      <c r="BJ384" s="19">
        <f t="shared" si="384"/>
        <v>45884.8125</v>
      </c>
      <c r="BK384" s="19">
        <f t="shared" si="384"/>
        <v>45884.83333</v>
      </c>
      <c r="BL384" s="19">
        <f t="shared" si="384"/>
        <v>45884.85417</v>
      </c>
      <c r="BM384" s="19">
        <f t="shared" si="384"/>
        <v>45884.875</v>
      </c>
      <c r="BN384" s="19">
        <f t="shared" si="384"/>
        <v>45884.89583</v>
      </c>
      <c r="BO384" s="19">
        <f t="shared" si="384"/>
        <v>45884.91667</v>
      </c>
      <c r="BP384" s="19">
        <f t="shared" si="384"/>
        <v>45884.9375</v>
      </c>
      <c r="BQ384" s="19">
        <f t="shared" si="384"/>
        <v>45884.95833</v>
      </c>
      <c r="BR384" s="19">
        <f t="shared" si="384"/>
        <v>45884.97917</v>
      </c>
      <c r="BS384" s="19">
        <f t="shared" si="384"/>
        <v>45885</v>
      </c>
      <c r="BT384" s="19">
        <f t="shared" si="384"/>
        <v>45885.02083</v>
      </c>
      <c r="BU384" s="19">
        <f t="shared" si="384"/>
        <v>45885.04167</v>
      </c>
      <c r="BV384" s="19">
        <f t="shared" si="384"/>
        <v>45885.0625</v>
      </c>
      <c r="BW384" s="19">
        <f t="shared" si="384"/>
        <v>45885.08333</v>
      </c>
      <c r="BX384" s="19">
        <f t="shared" si="384"/>
        <v>45884</v>
      </c>
      <c r="BY384" s="19">
        <f t="shared" si="384"/>
        <v>45884</v>
      </c>
      <c r="BZ384" s="19">
        <f t="shared" si="384"/>
        <v>45884</v>
      </c>
    </row>
    <row r="385" ht="14.25" customHeight="1">
      <c r="A385" s="17">
        <v>45885.0</v>
      </c>
      <c r="B385" s="2" t="str">
        <f t="array" ref="B385">IF(NOW()&gt;AM385,"",IF(AND((WEEKDAY($A385)+$B$2)&gt;1,((WEEKDAY($A385)+$T$2)&lt;7),(WEEKDAY($A385)&lt;&gt;1)),"work",(INDEX(Subject!$A:$I,MATCH(RANDBETWEEN(1,(MAX(Subject!$B:$B))),Subject!$B:$B,0),3))))</f>
        <v/>
      </c>
      <c r="C385" s="2" t="str">
        <f t="array" ref="C385">IF(NOW()&gt;AN385,"",IF(AND((WEEKDAY($A385)+$B$2)&gt;1,((WEEKDAY($A385)+$T$2)&lt;7),(WEEKDAY($A385)&lt;&gt;1)),"work",(INDEX(Subject!$A:$I,MATCH(RANDBETWEEN(1,(MAX(Subject!$B:$B))),Subject!$B:$B,0),3))))</f>
        <v/>
      </c>
      <c r="D385" s="2" t="str">
        <f t="array" ref="D385">IF(NOW()&gt;AO385,"",IF(AND((WEEKDAY($A385)+$B$2)&gt;1,((WEEKDAY($A385)+$T$2)&lt;7),(WEEKDAY($A385)&lt;&gt;1)),"work",(INDEX(Subject!$A:$I,MATCH(RANDBETWEEN(1,(MAX(Subject!$B:$B))),Subject!$B:$B,0),3))))</f>
        <v/>
      </c>
      <c r="E385" s="2" t="str">
        <f t="array" ref="E385">IF(NOW()&gt;AP385,"",IF(AND((WEEKDAY($A385)+$B$2)&gt;1,((WEEKDAY($A385)+$T$2)&lt;7),(WEEKDAY($A385)&lt;&gt;1)),"work",(INDEX(Subject!$A:$I,MATCH(RANDBETWEEN(1,(MAX(Subject!$B:$B))),Subject!$B:$B,0),3))))</f>
        <v/>
      </c>
      <c r="F385" s="2" t="str">
        <f t="array" ref="F385">IF(NOW()&gt;AQ385,"",IF(AND((WEEKDAY($A385)+$B$2)&gt;1,((WEEKDAY($A385)+$T$2)&lt;7),(WEEKDAY($A385)&lt;&gt;1)),"work",(INDEX(Subject!$A:$I,MATCH(RANDBETWEEN(1,(MAX(Subject!$B:$B))),Subject!$B:$B,0),3))))</f>
        <v/>
      </c>
      <c r="G385" s="2" t="str">
        <f t="array" ref="G385">IF(NOW()&gt;AR385,"",IF(AND((WEEKDAY($A385)+$B$2)&gt;1,((WEEKDAY($A385)+$T$2)&lt;7),(WEEKDAY($A385)&lt;&gt;1)),"work",(INDEX(Subject!$A:$I,MATCH(RANDBETWEEN(1,(MAX(Subject!$B:$B))),Subject!$B:$B,0),3))))</f>
        <v/>
      </c>
      <c r="H385" s="2" t="str">
        <f t="array" ref="H385">IF(NOW()&gt;AS385,"",IF(AND((WEEKDAY($A385)+$B$2)&gt;1,((WEEKDAY($A385)+$T$2)&lt;7),(WEEKDAY($A385)&lt;&gt;1)),"work",(INDEX(Subject!$A:$I,MATCH(RANDBETWEEN(1,(MAX(Subject!$B:$B))),Subject!$B:$B,0),3))))</f>
        <v/>
      </c>
      <c r="I385" s="2" t="str">
        <f t="array" ref="I385">IF(NOW()&gt;AT385,"",IF(AND((WEEKDAY($A385)+$B$2)&gt;1,((WEEKDAY($A385)+$T$2)&lt;7),(WEEKDAY($A385)&lt;&gt;1)),"work",(INDEX(Subject!$A:$I,MATCH(RANDBETWEEN(1,(MAX(Subject!$B:$B))),Subject!$B:$B,0),3))))</f>
        <v/>
      </c>
      <c r="J385" s="2" t="str">
        <f t="array" ref="J385">IF(NOW()&gt;AU385,"",IF(AND((WEEKDAY($A385)+$B$2)&gt;1,((WEEKDAY($A385)+$T$2)&lt;7),(WEEKDAY($A385)&lt;&gt;1)),"work",(INDEX(Subject!$A:$I,MATCH(RANDBETWEEN(1,(MAX(Subject!$B:$B))),Subject!$B:$B,0),3))))</f>
        <v/>
      </c>
      <c r="K385" s="2" t="str">
        <f t="array" ref="K385">IF(NOW()&gt;AV385,"",IF(AND((WEEKDAY($A385)+$B$2)&gt;1,((WEEKDAY($A385)+$T$2)&lt;7),(WEEKDAY($A385)&lt;&gt;1)),"work",(INDEX(Subject!$A:$I,MATCH(RANDBETWEEN(1,(MAX(Subject!$B:$B))),Subject!$B:$B,0),3))))</f>
        <v/>
      </c>
      <c r="L385" s="2" t="str">
        <f t="array" ref="L385">IF(NOW()&gt;AW385,"",IF(AND((WEEKDAY($A385)+$B$2)&gt;1,((WEEKDAY($A385)+$T$2)&lt;7),(WEEKDAY($A385)&lt;&gt;1)),"work",(INDEX(Subject!$A:$I,MATCH(RANDBETWEEN(1,(MAX(Subject!$B:$B))),Subject!$B:$B,0),3))))</f>
        <v/>
      </c>
      <c r="M385" s="2" t="str">
        <f t="array" ref="M385">IF(NOW()&gt;AX385,"",IF(AND((WEEKDAY($A385)+$B$2)&gt;1,((WEEKDAY($A385)+$T$2)&lt;7),(WEEKDAY($A385)&lt;&gt;1)),"work",(INDEX(Subject!$A:$I,MATCH(RANDBETWEEN(1,(MAX(Subject!$B:$B))),Subject!$B:$B,0),3))))</f>
        <v/>
      </c>
      <c r="N385" s="2" t="str">
        <f t="array" ref="N385">IF(NOW()&gt;AY385,"",IF(AND((WEEKDAY($A385)+$B$2)&gt;1,((WEEKDAY($A385)+$T$2)&lt;7),(WEEKDAY($A385)&lt;&gt;1)),"work",(INDEX(Subject!$A:$I,MATCH(RANDBETWEEN(1,(MAX(Subject!$B:$B))),Subject!$B:$B,0),3))))</f>
        <v/>
      </c>
      <c r="O385" s="2" t="str">
        <f t="array" ref="O385">IF(NOW()&gt;AZ385,"",IF(AND((WEEKDAY($A385)+$B$2)&gt;1,((WEEKDAY($A385)+$T$2)&lt;7),(WEEKDAY($A385)&lt;&gt;1)),"work",(INDEX(Subject!$A:$I,MATCH(RANDBETWEEN(1,(MAX(Subject!$B:$B))),Subject!$B:$B,0),3))))</f>
        <v/>
      </c>
      <c r="P385" s="2" t="str">
        <f t="array" ref="P385">IF(NOW()&gt;BA385,"",IF(AND((WEEKDAY($A385)+$B$2)&gt;1,((WEEKDAY($A385)+$T$2)&lt;7),(WEEKDAY($A385)&lt;&gt;1)),"work",(INDEX(Subject!$A:$I,MATCH(RANDBETWEEN(1,(MAX(Subject!$B:$B))),Subject!$B:$B,0),3))))</f>
        <v/>
      </c>
      <c r="Q385" s="2" t="str">
        <f t="array" ref="Q385">IF(NOW()&gt;BB385,"",IF(AND((WEEKDAY($A385)+$B$2)&gt;1,((WEEKDAY($A385)+$T$2)&lt;7),(WEEKDAY($A385)&lt;&gt;1)),"work",(INDEX(Subject!$A:$I,MATCH(RANDBETWEEN(1,(MAX(Subject!$B:$B))),Subject!$B:$B,0),3))))</f>
        <v/>
      </c>
      <c r="R385" s="2" t="str">
        <f t="array" ref="R385">IF(NOW()&gt;BC385,"",IF(AND((WEEKDAY($A385)+$B$2)&gt;1,((WEEKDAY($A385)+$T$2)&lt;7),(WEEKDAY($A385)&lt;&gt;1)),"work",(INDEX(Subject!$A:$I,MATCH(RANDBETWEEN(1,(MAX(Subject!$B:$B))),Subject!$B:$B,0),3))))</f>
        <v/>
      </c>
      <c r="S385" s="2" t="str">
        <f t="array" ref="S385">IF(NOW()&gt;BD385,"",IF(AND((WEEKDAY($A385)+$B$2)&gt;1,((WEEKDAY($A385)+$T$2)&lt;7),(WEEKDAY($A385)&lt;&gt;1)),"work",(INDEX(Subject!$A:$I,MATCH(RANDBETWEEN(1,(MAX(Subject!$B:$B))),Subject!$B:$B,0),3))))</f>
        <v/>
      </c>
      <c r="T385" s="2" t="str">
        <f t="array" ref="T385">IF(NOW()&gt;BE385,"",IF(AND((WEEKDAY($A385)+$B$2)&gt;1,((WEEKDAY($A385)+$T$2)&lt;7),(WEEKDAY($A385)&lt;&gt;1)),"work",(INDEX(Subject!$A:$I,MATCH(RANDBETWEEN(1,(MAX(Subject!$B:$B))),Subject!$B:$B,0),3))))</f>
        <v/>
      </c>
      <c r="U385" s="8" t="str">
        <f t="array" ref="U385">INDEX(Subject!$A:$I,MATCH(RANDBETWEEN(1,16),Subject!$B:$B,0),3)</f>
        <v>#N/A</v>
      </c>
      <c r="V385" s="8" t="str">
        <f t="array" ref="V385">INDEX(Subject!$A:$I,MATCH(RANDBETWEEN(1,16),Subject!$B:$B,0),3)</f>
        <v>#N/A</v>
      </c>
      <c r="W385" s="8" t="str">
        <f t="array" ref="W385">INDEX(Subject!$A:$I,MATCH(RANDBETWEEN(1,16),Subject!$B:$B,0),3)</f>
        <v>#N/A</v>
      </c>
      <c r="X385" s="8" t="str">
        <f t="array" ref="X385">INDEX(Subject!$A:$I,MATCH(RANDBETWEEN(1,16),Subject!$B:$B,0),3)</f>
        <v>#N/A</v>
      </c>
      <c r="Y385" s="8" t="str">
        <f t="array" ref="Y385">INDEX(Subject!$A:$I,MATCH(RANDBETWEEN(1,16),Subject!$B:$B,0),3)</f>
        <v>#N/A</v>
      </c>
      <c r="Z385" s="8" t="str">
        <f t="array" ref="Z385">INDEX(Subject!$A:$I,MATCH(RANDBETWEEN(1,16),Subject!$B:$B,0),3)</f>
        <v>#N/A</v>
      </c>
      <c r="AA385" s="8" t="str">
        <f t="array" ref="AA385">INDEX(Subject!$A:$I,MATCH(RANDBETWEEN(1,16),Subject!$B:$B,0),3)</f>
        <v>#N/A</v>
      </c>
      <c r="AB385" s="8" t="str">
        <f t="array" ref="AB385">INDEX(Subject!$A:$I,MATCH(RANDBETWEEN(1,16),Subject!$B:$B,0),3)</f>
        <v>#N/A</v>
      </c>
      <c r="AC385" s="8" t="str">
        <f t="array" ref="AC385">INDEX(Subject!$A:$I,MATCH(RANDBETWEEN(1,16),Subject!$B:$B,0),3)</f>
        <v>#N/A</v>
      </c>
      <c r="AD385" s="8" t="str">
        <f t="array" ref="AD385">INDEX(Subject!$A:$I,MATCH(RANDBETWEEN(1,16),Subject!$B:$B,0),3)</f>
        <v>#N/A</v>
      </c>
      <c r="AE385" s="8" t="str">
        <f t="array" ref="AE385">INDEX(Subject!$A:$I,MATCH(RANDBETWEEN(1,16),Subject!$B:$B,0),3)</f>
        <v>#N/A</v>
      </c>
      <c r="AF385" s="8" t="str">
        <f t="array" ref="AF385">INDEX(Subject!$A:$I,MATCH(RANDBETWEEN(1,16),Subject!$B:$B,0),3)</f>
        <v>#N/A</v>
      </c>
      <c r="AG385" s="8" t="str">
        <f t="array" ref="AG385">INDEX(Subject!$A:$I,MATCH(RANDBETWEEN(1,16),Subject!$B:$B,0),3)</f>
        <v>#N/A</v>
      </c>
      <c r="AH385" s="8" t="str">
        <f t="array" ref="AH385">INDEX(Subject!$A:$I,MATCH(RANDBETWEEN(1,16),Subject!$B:$B,0),3)</f>
        <v/>
      </c>
      <c r="AI385" s="8" t="str">
        <f t="array" ref="AI385">INDEX(Subject!$A:$I,MATCH(RANDBETWEEN(1,16),Subject!$B:$B,0),3)</f>
        <v>#N/A</v>
      </c>
      <c r="AJ385" s="8" t="str">
        <f t="array" ref="AJ385">INDEX(Subject!$A:$I,MATCH(RANDBETWEEN(1,16),Subject!$B:$B,0),3)</f>
        <v>#N/A</v>
      </c>
      <c r="AK385" s="8" t="str">
        <f t="array" ref="AK385">INDEX(Subject!$A:$I,MATCH(RANDBETWEEN(1,16),Subject!$B:$B,0),3)</f>
        <v>#N/A</v>
      </c>
      <c r="AL385" s="8" t="str">
        <f t="array" ref="AL385">INDEX(Subject!$A:$I,MATCH(RANDBETWEEN(1,16),Subject!$B:$B,0),3)</f>
        <v>#N/A</v>
      </c>
      <c r="AM385" s="18">
        <f t="shared" si="4"/>
        <v>45885.33333</v>
      </c>
      <c r="AN385" s="19">
        <f t="shared" ref="AN385:BZ385" si="385">$A385+C$1</f>
        <v>45885.35417</v>
      </c>
      <c r="AO385" s="19">
        <f t="shared" si="385"/>
        <v>45885.375</v>
      </c>
      <c r="AP385" s="19">
        <f t="shared" si="385"/>
        <v>45885.39583</v>
      </c>
      <c r="AQ385" s="19">
        <f t="shared" si="385"/>
        <v>45885.41667</v>
      </c>
      <c r="AR385" s="19">
        <f t="shared" si="385"/>
        <v>45885.4375</v>
      </c>
      <c r="AS385" s="19">
        <f t="shared" si="385"/>
        <v>45885.45833</v>
      </c>
      <c r="AT385" s="19">
        <f t="shared" si="385"/>
        <v>45885.47917</v>
      </c>
      <c r="AU385" s="19">
        <f t="shared" si="385"/>
        <v>45885.5</v>
      </c>
      <c r="AV385" s="19">
        <f t="shared" si="385"/>
        <v>45885.52083</v>
      </c>
      <c r="AW385" s="19">
        <f t="shared" si="385"/>
        <v>45885.54167</v>
      </c>
      <c r="AX385" s="19">
        <f t="shared" si="385"/>
        <v>45885.5625</v>
      </c>
      <c r="AY385" s="19">
        <f t="shared" si="385"/>
        <v>45885.58333</v>
      </c>
      <c r="AZ385" s="19">
        <f t="shared" si="385"/>
        <v>45885.60417</v>
      </c>
      <c r="BA385" s="19">
        <f t="shared" si="385"/>
        <v>45885.625</v>
      </c>
      <c r="BB385" s="19">
        <f t="shared" si="385"/>
        <v>45885.64583</v>
      </c>
      <c r="BC385" s="19">
        <f t="shared" si="385"/>
        <v>45885.66667</v>
      </c>
      <c r="BD385" s="19">
        <f t="shared" si="385"/>
        <v>45885.6875</v>
      </c>
      <c r="BE385" s="19">
        <f t="shared" si="385"/>
        <v>45885.70833</v>
      </c>
      <c r="BF385" s="19">
        <f t="shared" si="385"/>
        <v>45885.72917</v>
      </c>
      <c r="BG385" s="19">
        <f t="shared" si="385"/>
        <v>45885.75</v>
      </c>
      <c r="BH385" s="19">
        <f t="shared" si="385"/>
        <v>45885.77083</v>
      </c>
      <c r="BI385" s="19">
        <f t="shared" si="385"/>
        <v>45885.79167</v>
      </c>
      <c r="BJ385" s="19">
        <f t="shared" si="385"/>
        <v>45885.8125</v>
      </c>
      <c r="BK385" s="19">
        <f t="shared" si="385"/>
        <v>45885.83333</v>
      </c>
      <c r="BL385" s="19">
        <f t="shared" si="385"/>
        <v>45885.85417</v>
      </c>
      <c r="BM385" s="19">
        <f t="shared" si="385"/>
        <v>45885.875</v>
      </c>
      <c r="BN385" s="19">
        <f t="shared" si="385"/>
        <v>45885.89583</v>
      </c>
      <c r="BO385" s="19">
        <f t="shared" si="385"/>
        <v>45885.91667</v>
      </c>
      <c r="BP385" s="19">
        <f t="shared" si="385"/>
        <v>45885.9375</v>
      </c>
      <c r="BQ385" s="19">
        <f t="shared" si="385"/>
        <v>45885.95833</v>
      </c>
      <c r="BR385" s="19">
        <f t="shared" si="385"/>
        <v>45885.97917</v>
      </c>
      <c r="BS385" s="19">
        <f t="shared" si="385"/>
        <v>45886</v>
      </c>
      <c r="BT385" s="19">
        <f t="shared" si="385"/>
        <v>45886.02083</v>
      </c>
      <c r="BU385" s="19">
        <f t="shared" si="385"/>
        <v>45886.04167</v>
      </c>
      <c r="BV385" s="19">
        <f t="shared" si="385"/>
        <v>45886.0625</v>
      </c>
      <c r="BW385" s="19">
        <f t="shared" si="385"/>
        <v>45886.08333</v>
      </c>
      <c r="BX385" s="19">
        <f t="shared" si="385"/>
        <v>45885</v>
      </c>
      <c r="BY385" s="19">
        <f t="shared" si="385"/>
        <v>45885</v>
      </c>
      <c r="BZ385" s="19">
        <f t="shared" si="385"/>
        <v>45885</v>
      </c>
    </row>
    <row r="386" ht="14.25" customHeight="1">
      <c r="A386" s="17">
        <v>45886.0</v>
      </c>
      <c r="B386" s="2" t="str">
        <f t="array" ref="B386">IF(NOW()&gt;AM386,"",IF(AND((WEEKDAY($A386)+$B$2)&gt;1,((WEEKDAY($A386)+$T$2)&lt;7),(WEEKDAY($A386)&lt;&gt;1)),"work",(INDEX(Subject!$A:$I,MATCH(RANDBETWEEN(1,(MAX(Subject!$B:$B))),Subject!$B:$B,0),3))))</f>
        <v/>
      </c>
      <c r="C386" s="2" t="str">
        <f t="array" ref="C386">IF(NOW()&gt;AN386,"",IF(AND((WEEKDAY($A386)+$B$2)&gt;1,((WEEKDAY($A386)+$T$2)&lt;7),(WEEKDAY($A386)&lt;&gt;1)),"work",(INDEX(Subject!$A:$I,MATCH(RANDBETWEEN(1,(MAX(Subject!$B:$B))),Subject!$B:$B,0),3))))</f>
        <v/>
      </c>
      <c r="D386" s="2" t="str">
        <f t="array" ref="D386">IF(NOW()&gt;AO386,"",IF(AND((WEEKDAY($A386)+$B$2)&gt;1,((WEEKDAY($A386)+$T$2)&lt;7),(WEEKDAY($A386)&lt;&gt;1)),"work",(INDEX(Subject!$A:$I,MATCH(RANDBETWEEN(1,(MAX(Subject!$B:$B))),Subject!$B:$B,0),3))))</f>
        <v/>
      </c>
      <c r="E386" s="2" t="str">
        <f t="array" ref="E386">IF(NOW()&gt;AP386,"",IF(AND((WEEKDAY($A386)+$B$2)&gt;1,((WEEKDAY($A386)+$T$2)&lt;7),(WEEKDAY($A386)&lt;&gt;1)),"work",(INDEX(Subject!$A:$I,MATCH(RANDBETWEEN(1,(MAX(Subject!$B:$B))),Subject!$B:$B,0),3))))</f>
        <v/>
      </c>
      <c r="F386" s="2" t="str">
        <f t="array" ref="F386">IF(NOW()&gt;AQ386,"",IF(AND((WEEKDAY($A386)+$B$2)&gt;1,((WEEKDAY($A386)+$T$2)&lt;7),(WEEKDAY($A386)&lt;&gt;1)),"work",(INDEX(Subject!$A:$I,MATCH(RANDBETWEEN(1,(MAX(Subject!$B:$B))),Subject!$B:$B,0),3))))</f>
        <v/>
      </c>
      <c r="G386" s="2" t="str">
        <f t="array" ref="G386">IF(NOW()&gt;AR386,"",IF(AND((WEEKDAY($A386)+$B$2)&gt;1,((WEEKDAY($A386)+$T$2)&lt;7),(WEEKDAY($A386)&lt;&gt;1)),"work",(INDEX(Subject!$A:$I,MATCH(RANDBETWEEN(1,(MAX(Subject!$B:$B))),Subject!$B:$B,0),3))))</f>
        <v/>
      </c>
      <c r="H386" s="2" t="str">
        <f t="array" ref="H386">IF(NOW()&gt;AS386,"",IF(AND((WEEKDAY($A386)+$B$2)&gt;1,((WEEKDAY($A386)+$T$2)&lt;7),(WEEKDAY($A386)&lt;&gt;1)),"work",(INDEX(Subject!$A:$I,MATCH(RANDBETWEEN(1,(MAX(Subject!$B:$B))),Subject!$B:$B,0),3))))</f>
        <v/>
      </c>
      <c r="I386" s="2" t="str">
        <f t="array" ref="I386">IF(NOW()&gt;AT386,"",IF(AND((WEEKDAY($A386)+$B$2)&gt;1,((WEEKDAY($A386)+$T$2)&lt;7),(WEEKDAY($A386)&lt;&gt;1)),"work",(INDEX(Subject!$A:$I,MATCH(RANDBETWEEN(1,(MAX(Subject!$B:$B))),Subject!$B:$B,0),3))))</f>
        <v/>
      </c>
      <c r="J386" s="2" t="str">
        <f t="array" ref="J386">IF(NOW()&gt;AU386,"",IF(AND((WEEKDAY($A386)+$B$2)&gt;1,((WEEKDAY($A386)+$T$2)&lt;7),(WEEKDAY($A386)&lt;&gt;1)),"work",(INDEX(Subject!$A:$I,MATCH(RANDBETWEEN(1,(MAX(Subject!$B:$B))),Subject!$B:$B,0),3))))</f>
        <v/>
      </c>
      <c r="K386" s="2" t="str">
        <f t="array" ref="K386">IF(NOW()&gt;AV386,"",IF(AND((WEEKDAY($A386)+$B$2)&gt;1,((WEEKDAY($A386)+$T$2)&lt;7),(WEEKDAY($A386)&lt;&gt;1)),"work",(INDEX(Subject!$A:$I,MATCH(RANDBETWEEN(1,(MAX(Subject!$B:$B))),Subject!$B:$B,0),3))))</f>
        <v/>
      </c>
      <c r="L386" s="2" t="str">
        <f t="array" ref="L386">IF(NOW()&gt;AW386,"",IF(AND((WEEKDAY($A386)+$B$2)&gt;1,((WEEKDAY($A386)+$T$2)&lt;7),(WEEKDAY($A386)&lt;&gt;1)),"work",(INDEX(Subject!$A:$I,MATCH(RANDBETWEEN(1,(MAX(Subject!$B:$B))),Subject!$B:$B,0),3))))</f>
        <v/>
      </c>
      <c r="M386" s="2" t="str">
        <f t="array" ref="M386">IF(NOW()&gt;AX386,"",IF(AND((WEEKDAY($A386)+$B$2)&gt;1,((WEEKDAY($A386)+$T$2)&lt;7),(WEEKDAY($A386)&lt;&gt;1)),"work",(INDEX(Subject!$A:$I,MATCH(RANDBETWEEN(1,(MAX(Subject!$B:$B))),Subject!$B:$B,0),3))))</f>
        <v/>
      </c>
      <c r="N386" s="2" t="str">
        <f t="array" ref="N386">IF(NOW()&gt;AY386,"",IF(AND((WEEKDAY($A386)+$B$2)&gt;1,((WEEKDAY($A386)+$T$2)&lt;7),(WEEKDAY($A386)&lt;&gt;1)),"work",(INDEX(Subject!$A:$I,MATCH(RANDBETWEEN(1,(MAX(Subject!$B:$B))),Subject!$B:$B,0),3))))</f>
        <v/>
      </c>
      <c r="O386" s="2" t="str">
        <f t="array" ref="O386">IF(NOW()&gt;AZ386,"",IF(AND((WEEKDAY($A386)+$B$2)&gt;1,((WEEKDAY($A386)+$T$2)&lt;7),(WEEKDAY($A386)&lt;&gt;1)),"work",(INDEX(Subject!$A:$I,MATCH(RANDBETWEEN(1,(MAX(Subject!$B:$B))),Subject!$B:$B,0),3))))</f>
        <v/>
      </c>
      <c r="P386" s="2" t="str">
        <f t="array" ref="P386">IF(NOW()&gt;BA386,"",IF(AND((WEEKDAY($A386)+$B$2)&gt;1,((WEEKDAY($A386)+$T$2)&lt;7),(WEEKDAY($A386)&lt;&gt;1)),"work",(INDEX(Subject!$A:$I,MATCH(RANDBETWEEN(1,(MAX(Subject!$B:$B))),Subject!$B:$B,0),3))))</f>
        <v/>
      </c>
      <c r="Q386" s="2" t="str">
        <f t="array" ref="Q386">IF(NOW()&gt;BB386,"",IF(AND((WEEKDAY($A386)+$B$2)&gt;1,((WEEKDAY($A386)+$T$2)&lt;7),(WEEKDAY($A386)&lt;&gt;1)),"work",(INDEX(Subject!$A:$I,MATCH(RANDBETWEEN(1,(MAX(Subject!$B:$B))),Subject!$B:$B,0),3))))</f>
        <v/>
      </c>
      <c r="R386" s="2" t="str">
        <f t="array" ref="R386">IF(NOW()&gt;BC386,"",IF(AND((WEEKDAY($A386)+$B$2)&gt;1,((WEEKDAY($A386)+$T$2)&lt;7),(WEEKDAY($A386)&lt;&gt;1)),"work",(INDEX(Subject!$A:$I,MATCH(RANDBETWEEN(1,(MAX(Subject!$B:$B))),Subject!$B:$B,0),3))))</f>
        <v/>
      </c>
      <c r="S386" s="2" t="str">
        <f t="array" ref="S386">IF(NOW()&gt;BD386,"",IF(AND((WEEKDAY($A386)+$B$2)&gt;1,((WEEKDAY($A386)+$T$2)&lt;7),(WEEKDAY($A386)&lt;&gt;1)),"work",(INDEX(Subject!$A:$I,MATCH(RANDBETWEEN(1,(MAX(Subject!$B:$B))),Subject!$B:$B,0),3))))</f>
        <v/>
      </c>
      <c r="T386" s="2" t="str">
        <f t="array" ref="T386">IF(NOW()&gt;BE386,"",IF(AND((WEEKDAY($A386)+$B$2)&gt;1,((WEEKDAY($A386)+$T$2)&lt;7),(WEEKDAY($A386)&lt;&gt;1)),"work",(INDEX(Subject!$A:$I,MATCH(RANDBETWEEN(1,(MAX(Subject!$B:$B))),Subject!$B:$B,0),3))))</f>
        <v/>
      </c>
      <c r="U386" s="8" t="str">
        <f t="array" ref="U386">INDEX(Subject!$A:$I,MATCH(RANDBETWEEN(1,16),Subject!$B:$B,0),3)</f>
        <v>#N/A</v>
      </c>
      <c r="V386" s="8" t="str">
        <f t="array" ref="V386">INDEX(Subject!$A:$I,MATCH(RANDBETWEEN(1,16),Subject!$B:$B,0),3)</f>
        <v>#N/A</v>
      </c>
      <c r="W386" s="8" t="str">
        <f t="array" ref="W386">INDEX(Subject!$A:$I,MATCH(RANDBETWEEN(1,16),Subject!$B:$B,0),3)</f>
        <v>#N/A</v>
      </c>
      <c r="X386" s="8" t="str">
        <f t="array" ref="X386">INDEX(Subject!$A:$I,MATCH(RANDBETWEEN(1,16),Subject!$B:$B,0),3)</f>
        <v>#N/A</v>
      </c>
      <c r="Y386" s="8" t="str">
        <f t="array" ref="Y386">INDEX(Subject!$A:$I,MATCH(RANDBETWEEN(1,16),Subject!$B:$B,0),3)</f>
        <v>#N/A</v>
      </c>
      <c r="Z386" s="8" t="str">
        <f t="array" ref="Z386">INDEX(Subject!$A:$I,MATCH(RANDBETWEEN(1,16),Subject!$B:$B,0),3)</f>
        <v>#N/A</v>
      </c>
      <c r="AA386" s="8" t="str">
        <f t="array" ref="AA386">INDEX(Subject!$A:$I,MATCH(RANDBETWEEN(1,16),Subject!$B:$B,0),3)</f>
        <v>#N/A</v>
      </c>
      <c r="AB386" s="8" t="str">
        <f t="array" ref="AB386">INDEX(Subject!$A:$I,MATCH(RANDBETWEEN(1,16),Subject!$B:$B,0),3)</f>
        <v>#N/A</v>
      </c>
      <c r="AC386" s="8" t="str">
        <f t="array" ref="AC386">INDEX(Subject!$A:$I,MATCH(RANDBETWEEN(1,16),Subject!$B:$B,0),3)</f>
        <v>#N/A</v>
      </c>
      <c r="AD386" s="8" t="str">
        <f t="array" ref="AD386">INDEX(Subject!$A:$I,MATCH(RANDBETWEEN(1,16),Subject!$B:$B,0),3)</f>
        <v>#N/A</v>
      </c>
      <c r="AE386" s="8" t="str">
        <f t="array" ref="AE386">INDEX(Subject!$A:$I,MATCH(RANDBETWEEN(1,16),Subject!$B:$B,0),3)</f>
        <v>#N/A</v>
      </c>
      <c r="AF386" s="8" t="str">
        <f t="array" ref="AF386">INDEX(Subject!$A:$I,MATCH(RANDBETWEEN(1,16),Subject!$B:$B,0),3)</f>
        <v>#N/A</v>
      </c>
      <c r="AG386" s="8" t="str">
        <f t="array" ref="AG386">INDEX(Subject!$A:$I,MATCH(RANDBETWEEN(1,16),Subject!$B:$B,0),3)</f>
        <v>#N/A</v>
      </c>
      <c r="AH386" s="8" t="str">
        <f t="array" ref="AH386">INDEX(Subject!$A:$I,MATCH(RANDBETWEEN(1,16),Subject!$B:$B,0),3)</f>
        <v>#N/A</v>
      </c>
      <c r="AI386" s="8" t="str">
        <f t="array" ref="AI386">INDEX(Subject!$A:$I,MATCH(RANDBETWEEN(1,16),Subject!$B:$B,0),3)</f>
        <v>#N/A</v>
      </c>
      <c r="AJ386" s="8" t="str">
        <f t="array" ref="AJ386">INDEX(Subject!$A:$I,MATCH(RANDBETWEEN(1,16),Subject!$B:$B,0),3)</f>
        <v>#N/A</v>
      </c>
      <c r="AK386" s="8" t="str">
        <f t="array" ref="AK386">INDEX(Subject!$A:$I,MATCH(RANDBETWEEN(1,16),Subject!$B:$B,0),3)</f>
        <v>#N/A</v>
      </c>
      <c r="AL386" s="8" t="str">
        <f t="array" ref="AL386">INDEX(Subject!$A:$I,MATCH(RANDBETWEEN(1,16),Subject!$B:$B,0),3)</f>
        <v>#N/A</v>
      </c>
      <c r="AM386" s="18">
        <f t="shared" si="4"/>
        <v>45886.33333</v>
      </c>
      <c r="AN386" s="19">
        <f t="shared" ref="AN386:BZ386" si="386">$A386+C$1</f>
        <v>45886.35417</v>
      </c>
      <c r="AO386" s="19">
        <f t="shared" si="386"/>
        <v>45886.375</v>
      </c>
      <c r="AP386" s="19">
        <f t="shared" si="386"/>
        <v>45886.39583</v>
      </c>
      <c r="AQ386" s="19">
        <f t="shared" si="386"/>
        <v>45886.41667</v>
      </c>
      <c r="AR386" s="19">
        <f t="shared" si="386"/>
        <v>45886.4375</v>
      </c>
      <c r="AS386" s="19">
        <f t="shared" si="386"/>
        <v>45886.45833</v>
      </c>
      <c r="AT386" s="19">
        <f t="shared" si="386"/>
        <v>45886.47917</v>
      </c>
      <c r="AU386" s="19">
        <f t="shared" si="386"/>
        <v>45886.5</v>
      </c>
      <c r="AV386" s="19">
        <f t="shared" si="386"/>
        <v>45886.52083</v>
      </c>
      <c r="AW386" s="19">
        <f t="shared" si="386"/>
        <v>45886.54167</v>
      </c>
      <c r="AX386" s="19">
        <f t="shared" si="386"/>
        <v>45886.5625</v>
      </c>
      <c r="AY386" s="19">
        <f t="shared" si="386"/>
        <v>45886.58333</v>
      </c>
      <c r="AZ386" s="19">
        <f t="shared" si="386"/>
        <v>45886.60417</v>
      </c>
      <c r="BA386" s="19">
        <f t="shared" si="386"/>
        <v>45886.625</v>
      </c>
      <c r="BB386" s="19">
        <f t="shared" si="386"/>
        <v>45886.64583</v>
      </c>
      <c r="BC386" s="19">
        <f t="shared" si="386"/>
        <v>45886.66667</v>
      </c>
      <c r="BD386" s="19">
        <f t="shared" si="386"/>
        <v>45886.6875</v>
      </c>
      <c r="BE386" s="19">
        <f t="shared" si="386"/>
        <v>45886.70833</v>
      </c>
      <c r="BF386" s="19">
        <f t="shared" si="386"/>
        <v>45886.72917</v>
      </c>
      <c r="BG386" s="19">
        <f t="shared" si="386"/>
        <v>45886.75</v>
      </c>
      <c r="BH386" s="19">
        <f t="shared" si="386"/>
        <v>45886.77083</v>
      </c>
      <c r="BI386" s="19">
        <f t="shared" si="386"/>
        <v>45886.79167</v>
      </c>
      <c r="BJ386" s="19">
        <f t="shared" si="386"/>
        <v>45886.8125</v>
      </c>
      <c r="BK386" s="19">
        <f t="shared" si="386"/>
        <v>45886.83333</v>
      </c>
      <c r="BL386" s="19">
        <f t="shared" si="386"/>
        <v>45886.85417</v>
      </c>
      <c r="BM386" s="19">
        <f t="shared" si="386"/>
        <v>45886.875</v>
      </c>
      <c r="BN386" s="19">
        <f t="shared" si="386"/>
        <v>45886.89583</v>
      </c>
      <c r="BO386" s="19">
        <f t="shared" si="386"/>
        <v>45886.91667</v>
      </c>
      <c r="BP386" s="19">
        <f t="shared" si="386"/>
        <v>45886.9375</v>
      </c>
      <c r="BQ386" s="19">
        <f t="shared" si="386"/>
        <v>45886.95833</v>
      </c>
      <c r="BR386" s="19">
        <f t="shared" si="386"/>
        <v>45886.97917</v>
      </c>
      <c r="BS386" s="19">
        <f t="shared" si="386"/>
        <v>45887</v>
      </c>
      <c r="BT386" s="19">
        <f t="shared" si="386"/>
        <v>45887.02083</v>
      </c>
      <c r="BU386" s="19">
        <f t="shared" si="386"/>
        <v>45887.04167</v>
      </c>
      <c r="BV386" s="19">
        <f t="shared" si="386"/>
        <v>45887.0625</v>
      </c>
      <c r="BW386" s="19">
        <f t="shared" si="386"/>
        <v>45887.08333</v>
      </c>
      <c r="BX386" s="19">
        <f t="shared" si="386"/>
        <v>45886</v>
      </c>
      <c r="BY386" s="19">
        <f t="shared" si="386"/>
        <v>45886</v>
      </c>
      <c r="BZ386" s="19">
        <f t="shared" si="386"/>
        <v>45886</v>
      </c>
    </row>
    <row r="387" ht="14.25" customHeight="1">
      <c r="A387" s="17">
        <v>45887.0</v>
      </c>
      <c r="B387" s="2" t="str">
        <f t="array" ref="B387">IF(NOW()&gt;AM387,"",IF(AND((WEEKDAY($A387)+$B$2)&gt;1,((WEEKDAY($A387)+$T$2)&lt;7),(WEEKDAY($A387)&lt;&gt;1)),"work",(INDEX(Subject!$A:$I,MATCH(RANDBETWEEN(1,(MAX(Subject!$B:$B))),Subject!$B:$B,0),3))))</f>
        <v/>
      </c>
      <c r="C387" s="2" t="str">
        <f t="array" ref="C387">IF(NOW()&gt;AN387,"",IF(AND((WEEKDAY($A387)+$B$2)&gt;1,((WEEKDAY($A387)+$T$2)&lt;7),(WEEKDAY($A387)&lt;&gt;1)),"work",(INDEX(Subject!$A:$I,MATCH(RANDBETWEEN(1,(MAX(Subject!$B:$B))),Subject!$B:$B,0),3))))</f>
        <v/>
      </c>
      <c r="D387" s="2" t="str">
        <f t="array" ref="D387">IF(NOW()&gt;AO387,"",IF(AND((WEEKDAY($A387)+$B$2)&gt;1,((WEEKDAY($A387)+$T$2)&lt;7),(WEEKDAY($A387)&lt;&gt;1)),"work",(INDEX(Subject!$A:$I,MATCH(RANDBETWEEN(1,(MAX(Subject!$B:$B))),Subject!$B:$B,0),3))))</f>
        <v/>
      </c>
      <c r="E387" s="2" t="str">
        <f t="array" ref="E387">IF(NOW()&gt;AP387,"",IF(AND((WEEKDAY($A387)+$B$2)&gt;1,((WEEKDAY($A387)+$T$2)&lt;7),(WEEKDAY($A387)&lt;&gt;1)),"work",(INDEX(Subject!$A:$I,MATCH(RANDBETWEEN(1,(MAX(Subject!$B:$B))),Subject!$B:$B,0),3))))</f>
        <v/>
      </c>
      <c r="F387" s="2" t="str">
        <f t="array" ref="F387">IF(NOW()&gt;AQ387,"",IF(AND((WEEKDAY($A387)+$B$2)&gt;1,((WEEKDAY($A387)+$T$2)&lt;7),(WEEKDAY($A387)&lt;&gt;1)),"work",(INDEX(Subject!$A:$I,MATCH(RANDBETWEEN(1,(MAX(Subject!$B:$B))),Subject!$B:$B,0),3))))</f>
        <v/>
      </c>
      <c r="G387" s="2" t="str">
        <f t="array" ref="G387">IF(NOW()&gt;AR387,"",IF(AND((WEEKDAY($A387)+$B$2)&gt;1,((WEEKDAY($A387)+$T$2)&lt;7),(WEEKDAY($A387)&lt;&gt;1)),"work",(INDEX(Subject!$A:$I,MATCH(RANDBETWEEN(1,(MAX(Subject!$B:$B))),Subject!$B:$B,0),3))))</f>
        <v/>
      </c>
      <c r="H387" s="2" t="str">
        <f t="array" ref="H387">IF(NOW()&gt;AS387,"",IF(AND((WEEKDAY($A387)+$B$2)&gt;1,((WEEKDAY($A387)+$T$2)&lt;7),(WEEKDAY($A387)&lt;&gt;1)),"work",(INDEX(Subject!$A:$I,MATCH(RANDBETWEEN(1,(MAX(Subject!$B:$B))),Subject!$B:$B,0),3))))</f>
        <v/>
      </c>
      <c r="I387" s="2" t="str">
        <f t="array" ref="I387">IF(NOW()&gt;AT387,"",IF(AND((WEEKDAY($A387)+$B$2)&gt;1,((WEEKDAY($A387)+$T$2)&lt;7),(WEEKDAY($A387)&lt;&gt;1)),"work",(INDEX(Subject!$A:$I,MATCH(RANDBETWEEN(1,(MAX(Subject!$B:$B))),Subject!$B:$B,0),3))))</f>
        <v/>
      </c>
      <c r="J387" s="2" t="str">
        <f t="array" ref="J387">IF(NOW()&gt;AU387,"",IF(AND((WEEKDAY($A387)+$B$2)&gt;1,((WEEKDAY($A387)+$T$2)&lt;7),(WEEKDAY($A387)&lt;&gt;1)),"work",(INDEX(Subject!$A:$I,MATCH(RANDBETWEEN(1,(MAX(Subject!$B:$B))),Subject!$B:$B,0),3))))</f>
        <v/>
      </c>
      <c r="K387" s="2" t="str">
        <f t="array" ref="K387">IF(NOW()&gt;AV387,"",IF(AND((WEEKDAY($A387)+$B$2)&gt;1,((WEEKDAY($A387)+$T$2)&lt;7),(WEEKDAY($A387)&lt;&gt;1)),"work",(INDEX(Subject!$A:$I,MATCH(RANDBETWEEN(1,(MAX(Subject!$B:$B))),Subject!$B:$B,0),3))))</f>
        <v/>
      </c>
      <c r="L387" s="2" t="str">
        <f t="array" ref="L387">IF(NOW()&gt;AW387,"",IF(AND((WEEKDAY($A387)+$B$2)&gt;1,((WEEKDAY($A387)+$T$2)&lt;7),(WEEKDAY($A387)&lt;&gt;1)),"work",(INDEX(Subject!$A:$I,MATCH(RANDBETWEEN(1,(MAX(Subject!$B:$B))),Subject!$B:$B,0),3))))</f>
        <v/>
      </c>
      <c r="M387" s="2" t="str">
        <f t="array" ref="M387">IF(NOW()&gt;AX387,"",IF(AND((WEEKDAY($A387)+$B$2)&gt;1,((WEEKDAY($A387)+$T$2)&lt;7),(WEEKDAY($A387)&lt;&gt;1)),"work",(INDEX(Subject!$A:$I,MATCH(RANDBETWEEN(1,(MAX(Subject!$B:$B))),Subject!$B:$B,0),3))))</f>
        <v/>
      </c>
      <c r="N387" s="2" t="str">
        <f t="array" ref="N387">IF(NOW()&gt;AY387,"",IF(AND((WEEKDAY($A387)+$B$2)&gt;1,((WEEKDAY($A387)+$T$2)&lt;7),(WEEKDAY($A387)&lt;&gt;1)),"work",(INDEX(Subject!$A:$I,MATCH(RANDBETWEEN(1,(MAX(Subject!$B:$B))),Subject!$B:$B,0),3))))</f>
        <v/>
      </c>
      <c r="O387" s="2" t="str">
        <f t="array" ref="O387">IF(NOW()&gt;AZ387,"",IF(AND((WEEKDAY($A387)+$B$2)&gt;1,((WEEKDAY($A387)+$T$2)&lt;7),(WEEKDAY($A387)&lt;&gt;1)),"work",(INDEX(Subject!$A:$I,MATCH(RANDBETWEEN(1,(MAX(Subject!$B:$B))),Subject!$B:$B,0),3))))</f>
        <v/>
      </c>
      <c r="P387" s="2" t="str">
        <f t="array" ref="P387">IF(NOW()&gt;BA387,"",IF(AND((WEEKDAY($A387)+$B$2)&gt;1,((WEEKDAY($A387)+$T$2)&lt;7),(WEEKDAY($A387)&lt;&gt;1)),"work",(INDEX(Subject!$A:$I,MATCH(RANDBETWEEN(1,(MAX(Subject!$B:$B))),Subject!$B:$B,0),3))))</f>
        <v/>
      </c>
      <c r="Q387" s="2" t="str">
        <f t="array" ref="Q387">IF(NOW()&gt;BB387,"",IF(AND((WEEKDAY($A387)+$B$2)&gt;1,((WEEKDAY($A387)+$T$2)&lt;7),(WEEKDAY($A387)&lt;&gt;1)),"work",(INDEX(Subject!$A:$I,MATCH(RANDBETWEEN(1,(MAX(Subject!$B:$B))),Subject!$B:$B,0),3))))</f>
        <v/>
      </c>
      <c r="R387" s="2" t="str">
        <f t="array" ref="R387">IF(NOW()&gt;BC387,"",IF(AND((WEEKDAY($A387)+$B$2)&gt;1,((WEEKDAY($A387)+$T$2)&lt;7),(WEEKDAY($A387)&lt;&gt;1)),"work",(INDEX(Subject!$A:$I,MATCH(RANDBETWEEN(1,(MAX(Subject!$B:$B))),Subject!$B:$B,0),3))))</f>
        <v/>
      </c>
      <c r="S387" s="2" t="str">
        <f t="array" ref="S387">IF(NOW()&gt;BD387,"",IF(AND((WEEKDAY($A387)+$B$2)&gt;1,((WEEKDAY($A387)+$T$2)&lt;7),(WEEKDAY($A387)&lt;&gt;1)),"work",(INDEX(Subject!$A:$I,MATCH(RANDBETWEEN(1,(MAX(Subject!$B:$B))),Subject!$B:$B,0),3))))</f>
        <v/>
      </c>
      <c r="T387" s="2" t="str">
        <f t="array" ref="T387">IF(NOW()&gt;BE387,"",IF(AND((WEEKDAY($A387)+$B$2)&gt;1,((WEEKDAY($A387)+$T$2)&lt;7),(WEEKDAY($A387)&lt;&gt;1)),"work",(INDEX(Subject!$A:$I,MATCH(RANDBETWEEN(1,(MAX(Subject!$B:$B))),Subject!$B:$B,0),3))))</f>
        <v/>
      </c>
      <c r="U387" s="8" t="str">
        <f t="array" ref="U387">INDEX(Subject!$A:$I,MATCH(RANDBETWEEN(1,16),Subject!$B:$B,0),3)</f>
        <v>#N/A</v>
      </c>
      <c r="V387" s="8" t="str">
        <f t="array" ref="V387">INDEX(Subject!$A:$I,MATCH(RANDBETWEEN(1,16),Subject!$B:$B,0),3)</f>
        <v>#N/A</v>
      </c>
      <c r="W387" s="8" t="str">
        <f t="array" ref="W387">INDEX(Subject!$A:$I,MATCH(RANDBETWEEN(1,16),Subject!$B:$B,0),3)</f>
        <v>#N/A</v>
      </c>
      <c r="X387" s="8" t="str">
        <f t="array" ref="X387">INDEX(Subject!$A:$I,MATCH(RANDBETWEEN(1,16),Subject!$B:$B,0),3)</f>
        <v>#N/A</v>
      </c>
      <c r="Y387" s="8" t="str">
        <f t="array" ref="Y387">INDEX(Subject!$A:$I,MATCH(RANDBETWEEN(1,16),Subject!$B:$B,0),3)</f>
        <v>#N/A</v>
      </c>
      <c r="Z387" s="8" t="str">
        <f t="array" ref="Z387">INDEX(Subject!$A:$I,MATCH(RANDBETWEEN(1,16),Subject!$B:$B,0),3)</f>
        <v/>
      </c>
      <c r="AA387" s="8" t="str">
        <f t="array" ref="AA387">INDEX(Subject!$A:$I,MATCH(RANDBETWEEN(1,16),Subject!$B:$B,0),3)</f>
        <v>#N/A</v>
      </c>
      <c r="AB387" s="8" t="str">
        <f t="array" ref="AB387">INDEX(Subject!$A:$I,MATCH(RANDBETWEEN(1,16),Subject!$B:$B,0),3)</f>
        <v>#N/A</v>
      </c>
      <c r="AC387" s="8" t="str">
        <f t="array" ref="AC387">INDEX(Subject!$A:$I,MATCH(RANDBETWEEN(1,16),Subject!$B:$B,0),3)</f>
        <v>#N/A</v>
      </c>
      <c r="AD387" s="8" t="str">
        <f t="array" ref="AD387">INDEX(Subject!$A:$I,MATCH(RANDBETWEEN(1,16),Subject!$B:$B,0),3)</f>
        <v>#N/A</v>
      </c>
      <c r="AE387" s="8" t="str">
        <f t="array" ref="AE387">INDEX(Subject!$A:$I,MATCH(RANDBETWEEN(1,16),Subject!$B:$B,0),3)</f>
        <v>#N/A</v>
      </c>
      <c r="AF387" s="8" t="str">
        <f t="array" ref="AF387">INDEX(Subject!$A:$I,MATCH(RANDBETWEEN(1,16),Subject!$B:$B,0),3)</f>
        <v>#N/A</v>
      </c>
      <c r="AG387" s="8" t="str">
        <f t="array" ref="AG387">INDEX(Subject!$A:$I,MATCH(RANDBETWEEN(1,16),Subject!$B:$B,0),3)</f>
        <v>#N/A</v>
      </c>
      <c r="AH387" s="8" t="str">
        <f t="array" ref="AH387">INDEX(Subject!$A:$I,MATCH(RANDBETWEEN(1,16),Subject!$B:$B,0),3)</f>
        <v>#N/A</v>
      </c>
      <c r="AI387" s="8" t="str">
        <f t="array" ref="AI387">INDEX(Subject!$A:$I,MATCH(RANDBETWEEN(1,16),Subject!$B:$B,0),3)</f>
        <v>#N/A</v>
      </c>
      <c r="AJ387" s="8" t="str">
        <f t="array" ref="AJ387">INDEX(Subject!$A:$I,MATCH(RANDBETWEEN(1,16),Subject!$B:$B,0),3)</f>
        <v>#N/A</v>
      </c>
      <c r="AK387" s="8" t="str">
        <f t="array" ref="AK387">INDEX(Subject!$A:$I,MATCH(RANDBETWEEN(1,16),Subject!$B:$B,0),3)</f>
        <v>#N/A</v>
      </c>
      <c r="AL387" s="8" t="str">
        <f t="array" ref="AL387">INDEX(Subject!$A:$I,MATCH(RANDBETWEEN(1,16),Subject!$B:$B,0),3)</f>
        <v>#N/A</v>
      </c>
      <c r="AM387" s="18">
        <f t="shared" si="4"/>
        <v>45887.33333</v>
      </c>
      <c r="AN387" s="19">
        <f t="shared" ref="AN387:BZ387" si="387">$A387+C$1</f>
        <v>45887.35417</v>
      </c>
      <c r="AO387" s="19">
        <f t="shared" si="387"/>
        <v>45887.375</v>
      </c>
      <c r="AP387" s="19">
        <f t="shared" si="387"/>
        <v>45887.39583</v>
      </c>
      <c r="AQ387" s="19">
        <f t="shared" si="387"/>
        <v>45887.41667</v>
      </c>
      <c r="AR387" s="19">
        <f t="shared" si="387"/>
        <v>45887.4375</v>
      </c>
      <c r="AS387" s="19">
        <f t="shared" si="387"/>
        <v>45887.45833</v>
      </c>
      <c r="AT387" s="19">
        <f t="shared" si="387"/>
        <v>45887.47917</v>
      </c>
      <c r="AU387" s="19">
        <f t="shared" si="387"/>
        <v>45887.5</v>
      </c>
      <c r="AV387" s="19">
        <f t="shared" si="387"/>
        <v>45887.52083</v>
      </c>
      <c r="AW387" s="19">
        <f t="shared" si="387"/>
        <v>45887.54167</v>
      </c>
      <c r="AX387" s="19">
        <f t="shared" si="387"/>
        <v>45887.5625</v>
      </c>
      <c r="AY387" s="19">
        <f t="shared" si="387"/>
        <v>45887.58333</v>
      </c>
      <c r="AZ387" s="19">
        <f t="shared" si="387"/>
        <v>45887.60417</v>
      </c>
      <c r="BA387" s="19">
        <f t="shared" si="387"/>
        <v>45887.625</v>
      </c>
      <c r="BB387" s="19">
        <f t="shared" si="387"/>
        <v>45887.64583</v>
      </c>
      <c r="BC387" s="19">
        <f t="shared" si="387"/>
        <v>45887.66667</v>
      </c>
      <c r="BD387" s="19">
        <f t="shared" si="387"/>
        <v>45887.6875</v>
      </c>
      <c r="BE387" s="19">
        <f t="shared" si="387"/>
        <v>45887.70833</v>
      </c>
      <c r="BF387" s="19">
        <f t="shared" si="387"/>
        <v>45887.72917</v>
      </c>
      <c r="BG387" s="19">
        <f t="shared" si="387"/>
        <v>45887.75</v>
      </c>
      <c r="BH387" s="19">
        <f t="shared" si="387"/>
        <v>45887.77083</v>
      </c>
      <c r="BI387" s="19">
        <f t="shared" si="387"/>
        <v>45887.79167</v>
      </c>
      <c r="BJ387" s="19">
        <f t="shared" si="387"/>
        <v>45887.8125</v>
      </c>
      <c r="BK387" s="19">
        <f t="shared" si="387"/>
        <v>45887.83333</v>
      </c>
      <c r="BL387" s="19">
        <f t="shared" si="387"/>
        <v>45887.85417</v>
      </c>
      <c r="BM387" s="19">
        <f t="shared" si="387"/>
        <v>45887.875</v>
      </c>
      <c r="BN387" s="19">
        <f t="shared" si="387"/>
        <v>45887.89583</v>
      </c>
      <c r="BO387" s="19">
        <f t="shared" si="387"/>
        <v>45887.91667</v>
      </c>
      <c r="BP387" s="19">
        <f t="shared" si="387"/>
        <v>45887.9375</v>
      </c>
      <c r="BQ387" s="19">
        <f t="shared" si="387"/>
        <v>45887.95833</v>
      </c>
      <c r="BR387" s="19">
        <f t="shared" si="387"/>
        <v>45887.97917</v>
      </c>
      <c r="BS387" s="19">
        <f t="shared" si="387"/>
        <v>45888</v>
      </c>
      <c r="BT387" s="19">
        <f t="shared" si="387"/>
        <v>45888.02083</v>
      </c>
      <c r="BU387" s="19">
        <f t="shared" si="387"/>
        <v>45888.04167</v>
      </c>
      <c r="BV387" s="19">
        <f t="shared" si="387"/>
        <v>45888.0625</v>
      </c>
      <c r="BW387" s="19">
        <f t="shared" si="387"/>
        <v>45888.08333</v>
      </c>
      <c r="BX387" s="19">
        <f t="shared" si="387"/>
        <v>45887</v>
      </c>
      <c r="BY387" s="19">
        <f t="shared" si="387"/>
        <v>45887</v>
      </c>
      <c r="BZ387" s="19">
        <f t="shared" si="387"/>
        <v>45887</v>
      </c>
    </row>
    <row r="388" ht="14.25" customHeight="1">
      <c r="A388" s="17">
        <v>45888.0</v>
      </c>
      <c r="B388" s="2" t="str">
        <f t="array" ref="B388">IF(NOW()&gt;AM388,"",IF(AND((WEEKDAY($A388)+$B$2)&gt;1,((WEEKDAY($A388)+$T$2)&lt;7),(WEEKDAY($A388)&lt;&gt;1)),"work",(INDEX(Subject!$A:$I,MATCH(RANDBETWEEN(1,(MAX(Subject!$B:$B))),Subject!$B:$B,0),3))))</f>
        <v/>
      </c>
      <c r="C388" s="2" t="str">
        <f t="array" ref="C388">IF(NOW()&gt;AN388,"",IF(AND((WEEKDAY($A388)+$B$2)&gt;1,((WEEKDAY($A388)+$T$2)&lt;7),(WEEKDAY($A388)&lt;&gt;1)),"work",(INDEX(Subject!$A:$I,MATCH(RANDBETWEEN(1,(MAX(Subject!$B:$B))),Subject!$B:$B,0),3))))</f>
        <v/>
      </c>
      <c r="D388" s="2" t="str">
        <f t="array" ref="D388">IF(NOW()&gt;AO388,"",IF(AND((WEEKDAY($A388)+$B$2)&gt;1,((WEEKDAY($A388)+$T$2)&lt;7),(WEEKDAY($A388)&lt;&gt;1)),"work",(INDEX(Subject!$A:$I,MATCH(RANDBETWEEN(1,(MAX(Subject!$B:$B))),Subject!$B:$B,0),3))))</f>
        <v/>
      </c>
      <c r="E388" s="2" t="str">
        <f t="array" ref="E388">IF(NOW()&gt;AP388,"",IF(AND((WEEKDAY($A388)+$B$2)&gt;1,((WEEKDAY($A388)+$T$2)&lt;7),(WEEKDAY($A388)&lt;&gt;1)),"work",(INDEX(Subject!$A:$I,MATCH(RANDBETWEEN(1,(MAX(Subject!$B:$B))),Subject!$B:$B,0),3))))</f>
        <v/>
      </c>
      <c r="F388" s="2" t="str">
        <f t="array" ref="F388">IF(NOW()&gt;AQ388,"",IF(AND((WEEKDAY($A388)+$B$2)&gt;1,((WEEKDAY($A388)+$T$2)&lt;7),(WEEKDAY($A388)&lt;&gt;1)),"work",(INDEX(Subject!$A:$I,MATCH(RANDBETWEEN(1,(MAX(Subject!$B:$B))),Subject!$B:$B,0),3))))</f>
        <v/>
      </c>
      <c r="G388" s="2" t="str">
        <f t="array" ref="G388">IF(NOW()&gt;AR388,"",IF(AND((WEEKDAY($A388)+$B$2)&gt;1,((WEEKDAY($A388)+$T$2)&lt;7),(WEEKDAY($A388)&lt;&gt;1)),"work",(INDEX(Subject!$A:$I,MATCH(RANDBETWEEN(1,(MAX(Subject!$B:$B))),Subject!$B:$B,0),3))))</f>
        <v/>
      </c>
      <c r="H388" s="2" t="str">
        <f t="array" ref="H388">IF(NOW()&gt;AS388,"",IF(AND((WEEKDAY($A388)+$B$2)&gt;1,((WEEKDAY($A388)+$T$2)&lt;7),(WEEKDAY($A388)&lt;&gt;1)),"work",(INDEX(Subject!$A:$I,MATCH(RANDBETWEEN(1,(MAX(Subject!$B:$B))),Subject!$B:$B,0),3))))</f>
        <v/>
      </c>
      <c r="I388" s="2" t="str">
        <f t="array" ref="I388">IF(NOW()&gt;AT388,"",IF(AND((WEEKDAY($A388)+$B$2)&gt;1,((WEEKDAY($A388)+$T$2)&lt;7),(WEEKDAY($A388)&lt;&gt;1)),"work",(INDEX(Subject!$A:$I,MATCH(RANDBETWEEN(1,(MAX(Subject!$B:$B))),Subject!$B:$B,0),3))))</f>
        <v/>
      </c>
      <c r="J388" s="2" t="str">
        <f t="array" ref="J388">IF(NOW()&gt;AU388,"",IF(AND((WEEKDAY($A388)+$B$2)&gt;1,((WEEKDAY($A388)+$T$2)&lt;7),(WEEKDAY($A388)&lt;&gt;1)),"work",(INDEX(Subject!$A:$I,MATCH(RANDBETWEEN(1,(MAX(Subject!$B:$B))),Subject!$B:$B,0),3))))</f>
        <v/>
      </c>
      <c r="K388" s="2" t="str">
        <f t="array" ref="K388">IF(NOW()&gt;AV388,"",IF(AND((WEEKDAY($A388)+$B$2)&gt;1,((WEEKDAY($A388)+$T$2)&lt;7),(WEEKDAY($A388)&lt;&gt;1)),"work",(INDEX(Subject!$A:$I,MATCH(RANDBETWEEN(1,(MAX(Subject!$B:$B))),Subject!$B:$B,0),3))))</f>
        <v/>
      </c>
      <c r="L388" s="2" t="str">
        <f t="array" ref="L388">IF(NOW()&gt;AW388,"",IF(AND((WEEKDAY($A388)+$B$2)&gt;1,((WEEKDAY($A388)+$T$2)&lt;7),(WEEKDAY($A388)&lt;&gt;1)),"work",(INDEX(Subject!$A:$I,MATCH(RANDBETWEEN(1,(MAX(Subject!$B:$B))),Subject!$B:$B,0),3))))</f>
        <v/>
      </c>
      <c r="M388" s="2" t="str">
        <f t="array" ref="M388">IF(NOW()&gt;AX388,"",IF(AND((WEEKDAY($A388)+$B$2)&gt;1,((WEEKDAY($A388)+$T$2)&lt;7),(WEEKDAY($A388)&lt;&gt;1)),"work",(INDEX(Subject!$A:$I,MATCH(RANDBETWEEN(1,(MAX(Subject!$B:$B))),Subject!$B:$B,0),3))))</f>
        <v/>
      </c>
      <c r="N388" s="2" t="str">
        <f t="array" ref="N388">IF(NOW()&gt;AY388,"",IF(AND((WEEKDAY($A388)+$B$2)&gt;1,((WEEKDAY($A388)+$T$2)&lt;7),(WEEKDAY($A388)&lt;&gt;1)),"work",(INDEX(Subject!$A:$I,MATCH(RANDBETWEEN(1,(MAX(Subject!$B:$B))),Subject!$B:$B,0),3))))</f>
        <v/>
      </c>
      <c r="O388" s="2" t="str">
        <f t="array" ref="O388">IF(NOW()&gt;AZ388,"",IF(AND((WEEKDAY($A388)+$B$2)&gt;1,((WEEKDAY($A388)+$T$2)&lt;7),(WEEKDAY($A388)&lt;&gt;1)),"work",(INDEX(Subject!$A:$I,MATCH(RANDBETWEEN(1,(MAX(Subject!$B:$B))),Subject!$B:$B,0),3))))</f>
        <v/>
      </c>
      <c r="P388" s="2" t="str">
        <f t="array" ref="P388">IF(NOW()&gt;BA388,"",IF(AND((WEEKDAY($A388)+$B$2)&gt;1,((WEEKDAY($A388)+$T$2)&lt;7),(WEEKDAY($A388)&lt;&gt;1)),"work",(INDEX(Subject!$A:$I,MATCH(RANDBETWEEN(1,(MAX(Subject!$B:$B))),Subject!$B:$B,0),3))))</f>
        <v/>
      </c>
      <c r="Q388" s="2" t="str">
        <f t="array" ref="Q388">IF(NOW()&gt;BB388,"",IF(AND((WEEKDAY($A388)+$B$2)&gt;1,((WEEKDAY($A388)+$T$2)&lt;7),(WEEKDAY($A388)&lt;&gt;1)),"work",(INDEX(Subject!$A:$I,MATCH(RANDBETWEEN(1,(MAX(Subject!$B:$B))),Subject!$B:$B,0),3))))</f>
        <v/>
      </c>
      <c r="R388" s="2" t="str">
        <f t="array" ref="R388">IF(NOW()&gt;BC388,"",IF(AND((WEEKDAY($A388)+$B$2)&gt;1,((WEEKDAY($A388)+$T$2)&lt;7),(WEEKDAY($A388)&lt;&gt;1)),"work",(INDEX(Subject!$A:$I,MATCH(RANDBETWEEN(1,(MAX(Subject!$B:$B))),Subject!$B:$B,0),3))))</f>
        <v/>
      </c>
      <c r="S388" s="2" t="str">
        <f t="array" ref="S388">IF(NOW()&gt;BD388,"",IF(AND((WEEKDAY($A388)+$B$2)&gt;1,((WEEKDAY($A388)+$T$2)&lt;7),(WEEKDAY($A388)&lt;&gt;1)),"work",(INDEX(Subject!$A:$I,MATCH(RANDBETWEEN(1,(MAX(Subject!$B:$B))),Subject!$B:$B,0),3))))</f>
        <v/>
      </c>
      <c r="T388" s="2" t="str">
        <f t="array" ref="T388">IF(NOW()&gt;BE388,"",IF(AND((WEEKDAY($A388)+$B$2)&gt;1,((WEEKDAY($A388)+$T$2)&lt;7),(WEEKDAY($A388)&lt;&gt;1)),"work",(INDEX(Subject!$A:$I,MATCH(RANDBETWEEN(1,(MAX(Subject!$B:$B))),Subject!$B:$B,0),3))))</f>
        <v/>
      </c>
      <c r="U388" s="8" t="str">
        <f t="array" ref="U388">INDEX(Subject!$A:$I,MATCH(RANDBETWEEN(1,16),Subject!$B:$B,0),3)</f>
        <v>#N/A</v>
      </c>
      <c r="V388" s="8" t="str">
        <f t="array" ref="V388">INDEX(Subject!$A:$I,MATCH(RANDBETWEEN(1,16),Subject!$B:$B,0),3)</f>
        <v>#N/A</v>
      </c>
      <c r="W388" s="8" t="str">
        <f t="array" ref="W388">INDEX(Subject!$A:$I,MATCH(RANDBETWEEN(1,16),Subject!$B:$B,0),3)</f>
        <v>#N/A</v>
      </c>
      <c r="X388" s="8" t="str">
        <f t="array" ref="X388">INDEX(Subject!$A:$I,MATCH(RANDBETWEEN(1,16),Subject!$B:$B,0),3)</f>
        <v>#N/A</v>
      </c>
      <c r="Y388" s="8" t="str">
        <f t="array" ref="Y388">INDEX(Subject!$A:$I,MATCH(RANDBETWEEN(1,16),Subject!$B:$B,0),3)</f>
        <v>#N/A</v>
      </c>
      <c r="Z388" s="8" t="str">
        <f t="array" ref="Z388">INDEX(Subject!$A:$I,MATCH(RANDBETWEEN(1,16),Subject!$B:$B,0),3)</f>
        <v>#N/A</v>
      </c>
      <c r="AA388" s="8" t="str">
        <f t="array" ref="AA388">INDEX(Subject!$A:$I,MATCH(RANDBETWEEN(1,16),Subject!$B:$B,0),3)</f>
        <v>#N/A</v>
      </c>
      <c r="AB388" s="8" t="str">
        <f t="array" ref="AB388">INDEX(Subject!$A:$I,MATCH(RANDBETWEEN(1,16),Subject!$B:$B,0),3)</f>
        <v>#N/A</v>
      </c>
      <c r="AC388" s="8" t="str">
        <f t="array" ref="AC388">INDEX(Subject!$A:$I,MATCH(RANDBETWEEN(1,16),Subject!$B:$B,0),3)</f>
        <v>#N/A</v>
      </c>
      <c r="AD388" s="8" t="str">
        <f t="array" ref="AD388">INDEX(Subject!$A:$I,MATCH(RANDBETWEEN(1,16),Subject!$B:$B,0),3)</f>
        <v>#N/A</v>
      </c>
      <c r="AE388" s="8" t="str">
        <f t="array" ref="AE388">INDEX(Subject!$A:$I,MATCH(RANDBETWEEN(1,16),Subject!$B:$B,0),3)</f>
        <v>#N/A</v>
      </c>
      <c r="AF388" s="8" t="str">
        <f t="array" ref="AF388">INDEX(Subject!$A:$I,MATCH(RANDBETWEEN(1,16),Subject!$B:$B,0),3)</f>
        <v>#N/A</v>
      </c>
      <c r="AG388" s="8" t="str">
        <f t="array" ref="AG388">INDEX(Subject!$A:$I,MATCH(RANDBETWEEN(1,16),Subject!$B:$B,0),3)</f>
        <v>#N/A</v>
      </c>
      <c r="AH388" s="8" t="str">
        <f t="array" ref="AH388">INDEX(Subject!$A:$I,MATCH(RANDBETWEEN(1,16),Subject!$B:$B,0),3)</f>
        <v>#N/A</v>
      </c>
      <c r="AI388" s="8" t="str">
        <f t="array" ref="AI388">INDEX(Subject!$A:$I,MATCH(RANDBETWEEN(1,16),Subject!$B:$B,0),3)</f>
        <v>#N/A</v>
      </c>
      <c r="AJ388" s="8" t="str">
        <f t="array" ref="AJ388">INDEX(Subject!$A:$I,MATCH(RANDBETWEEN(1,16),Subject!$B:$B,0),3)</f>
        <v>#N/A</v>
      </c>
      <c r="AK388" s="8" t="str">
        <f t="array" ref="AK388">INDEX(Subject!$A:$I,MATCH(RANDBETWEEN(1,16),Subject!$B:$B,0),3)</f>
        <v>#N/A</v>
      </c>
      <c r="AL388" s="8" t="str">
        <f t="array" ref="AL388">INDEX(Subject!$A:$I,MATCH(RANDBETWEEN(1,16),Subject!$B:$B,0),3)</f>
        <v>#N/A</v>
      </c>
      <c r="AM388" s="18">
        <f t="shared" si="4"/>
        <v>45888.33333</v>
      </c>
      <c r="AN388" s="19">
        <f t="shared" ref="AN388:BZ388" si="388">$A388+C$1</f>
        <v>45888.35417</v>
      </c>
      <c r="AO388" s="19">
        <f t="shared" si="388"/>
        <v>45888.375</v>
      </c>
      <c r="AP388" s="19">
        <f t="shared" si="388"/>
        <v>45888.39583</v>
      </c>
      <c r="AQ388" s="19">
        <f t="shared" si="388"/>
        <v>45888.41667</v>
      </c>
      <c r="AR388" s="19">
        <f t="shared" si="388"/>
        <v>45888.4375</v>
      </c>
      <c r="AS388" s="19">
        <f t="shared" si="388"/>
        <v>45888.45833</v>
      </c>
      <c r="AT388" s="19">
        <f t="shared" si="388"/>
        <v>45888.47917</v>
      </c>
      <c r="AU388" s="19">
        <f t="shared" si="388"/>
        <v>45888.5</v>
      </c>
      <c r="AV388" s="19">
        <f t="shared" si="388"/>
        <v>45888.52083</v>
      </c>
      <c r="AW388" s="19">
        <f t="shared" si="388"/>
        <v>45888.54167</v>
      </c>
      <c r="AX388" s="19">
        <f t="shared" si="388"/>
        <v>45888.5625</v>
      </c>
      <c r="AY388" s="19">
        <f t="shared" si="388"/>
        <v>45888.58333</v>
      </c>
      <c r="AZ388" s="19">
        <f t="shared" si="388"/>
        <v>45888.60417</v>
      </c>
      <c r="BA388" s="19">
        <f t="shared" si="388"/>
        <v>45888.625</v>
      </c>
      <c r="BB388" s="19">
        <f t="shared" si="388"/>
        <v>45888.64583</v>
      </c>
      <c r="BC388" s="19">
        <f t="shared" si="388"/>
        <v>45888.66667</v>
      </c>
      <c r="BD388" s="19">
        <f t="shared" si="388"/>
        <v>45888.6875</v>
      </c>
      <c r="BE388" s="19">
        <f t="shared" si="388"/>
        <v>45888.70833</v>
      </c>
      <c r="BF388" s="19">
        <f t="shared" si="388"/>
        <v>45888.72917</v>
      </c>
      <c r="BG388" s="19">
        <f t="shared" si="388"/>
        <v>45888.75</v>
      </c>
      <c r="BH388" s="19">
        <f t="shared" si="388"/>
        <v>45888.77083</v>
      </c>
      <c r="BI388" s="19">
        <f t="shared" si="388"/>
        <v>45888.79167</v>
      </c>
      <c r="BJ388" s="19">
        <f t="shared" si="388"/>
        <v>45888.8125</v>
      </c>
      <c r="BK388" s="19">
        <f t="shared" si="388"/>
        <v>45888.83333</v>
      </c>
      <c r="BL388" s="19">
        <f t="shared" si="388"/>
        <v>45888.85417</v>
      </c>
      <c r="BM388" s="19">
        <f t="shared" si="388"/>
        <v>45888.875</v>
      </c>
      <c r="BN388" s="19">
        <f t="shared" si="388"/>
        <v>45888.89583</v>
      </c>
      <c r="BO388" s="19">
        <f t="shared" si="388"/>
        <v>45888.91667</v>
      </c>
      <c r="BP388" s="19">
        <f t="shared" si="388"/>
        <v>45888.9375</v>
      </c>
      <c r="BQ388" s="19">
        <f t="shared" si="388"/>
        <v>45888.95833</v>
      </c>
      <c r="BR388" s="19">
        <f t="shared" si="388"/>
        <v>45888.97917</v>
      </c>
      <c r="BS388" s="19">
        <f t="shared" si="388"/>
        <v>45889</v>
      </c>
      <c r="BT388" s="19">
        <f t="shared" si="388"/>
        <v>45889.02083</v>
      </c>
      <c r="BU388" s="19">
        <f t="shared" si="388"/>
        <v>45889.04167</v>
      </c>
      <c r="BV388" s="19">
        <f t="shared" si="388"/>
        <v>45889.0625</v>
      </c>
      <c r="BW388" s="19">
        <f t="shared" si="388"/>
        <v>45889.08333</v>
      </c>
      <c r="BX388" s="19">
        <f t="shared" si="388"/>
        <v>45888</v>
      </c>
      <c r="BY388" s="19">
        <f t="shared" si="388"/>
        <v>45888</v>
      </c>
      <c r="BZ388" s="19">
        <f t="shared" si="388"/>
        <v>45888</v>
      </c>
    </row>
    <row r="389" ht="14.25" customHeight="1">
      <c r="A389" s="17">
        <v>45889.0</v>
      </c>
      <c r="B389" s="2" t="str">
        <f t="array" ref="B389">IF(NOW()&gt;AM389,"",IF(AND((WEEKDAY($A389)+$B$2)&gt;1,((WEEKDAY($A389)+$T$2)&lt;7),(WEEKDAY($A389)&lt;&gt;1)),"work",(INDEX(Subject!$A:$I,MATCH(RANDBETWEEN(1,(MAX(Subject!$B:$B))),Subject!$B:$B,0),3))))</f>
        <v/>
      </c>
      <c r="C389" s="2" t="str">
        <f t="array" ref="C389">IF(NOW()&gt;AN389,"",IF(AND((WEEKDAY($A389)+$B$2)&gt;1,((WEEKDAY($A389)+$T$2)&lt;7),(WEEKDAY($A389)&lt;&gt;1)),"work",(INDEX(Subject!$A:$I,MATCH(RANDBETWEEN(1,(MAX(Subject!$B:$B))),Subject!$B:$B,0),3))))</f>
        <v/>
      </c>
      <c r="D389" s="2" t="str">
        <f t="array" ref="D389">IF(NOW()&gt;AO389,"",IF(AND((WEEKDAY($A389)+$B$2)&gt;1,((WEEKDAY($A389)+$T$2)&lt;7),(WEEKDAY($A389)&lt;&gt;1)),"work",(INDEX(Subject!$A:$I,MATCH(RANDBETWEEN(1,(MAX(Subject!$B:$B))),Subject!$B:$B,0),3))))</f>
        <v/>
      </c>
      <c r="E389" s="2" t="str">
        <f t="array" ref="E389">IF(NOW()&gt;AP389,"",IF(AND((WEEKDAY($A389)+$B$2)&gt;1,((WEEKDAY($A389)+$T$2)&lt;7),(WEEKDAY($A389)&lt;&gt;1)),"work",(INDEX(Subject!$A:$I,MATCH(RANDBETWEEN(1,(MAX(Subject!$B:$B))),Subject!$B:$B,0),3))))</f>
        <v/>
      </c>
      <c r="F389" s="2" t="str">
        <f t="array" ref="F389">IF(NOW()&gt;AQ389,"",IF(AND((WEEKDAY($A389)+$B$2)&gt;1,((WEEKDAY($A389)+$T$2)&lt;7),(WEEKDAY($A389)&lt;&gt;1)),"work",(INDEX(Subject!$A:$I,MATCH(RANDBETWEEN(1,(MAX(Subject!$B:$B))),Subject!$B:$B,0),3))))</f>
        <v/>
      </c>
      <c r="G389" s="2" t="str">
        <f t="array" ref="G389">IF(NOW()&gt;AR389,"",IF(AND((WEEKDAY($A389)+$B$2)&gt;1,((WEEKDAY($A389)+$T$2)&lt;7),(WEEKDAY($A389)&lt;&gt;1)),"work",(INDEX(Subject!$A:$I,MATCH(RANDBETWEEN(1,(MAX(Subject!$B:$B))),Subject!$B:$B,0),3))))</f>
        <v/>
      </c>
      <c r="H389" s="2" t="str">
        <f t="array" ref="H389">IF(NOW()&gt;AS389,"",IF(AND((WEEKDAY($A389)+$B$2)&gt;1,((WEEKDAY($A389)+$T$2)&lt;7),(WEEKDAY($A389)&lt;&gt;1)),"work",(INDEX(Subject!$A:$I,MATCH(RANDBETWEEN(1,(MAX(Subject!$B:$B))),Subject!$B:$B,0),3))))</f>
        <v/>
      </c>
      <c r="I389" s="2" t="str">
        <f t="array" ref="I389">IF(NOW()&gt;AT389,"",IF(AND((WEEKDAY($A389)+$B$2)&gt;1,((WEEKDAY($A389)+$T$2)&lt;7),(WEEKDAY($A389)&lt;&gt;1)),"work",(INDEX(Subject!$A:$I,MATCH(RANDBETWEEN(1,(MAX(Subject!$B:$B))),Subject!$B:$B,0),3))))</f>
        <v/>
      </c>
      <c r="J389" s="2" t="str">
        <f t="array" ref="J389">IF(NOW()&gt;AU389,"",IF(AND((WEEKDAY($A389)+$B$2)&gt;1,((WEEKDAY($A389)+$T$2)&lt;7),(WEEKDAY($A389)&lt;&gt;1)),"work",(INDEX(Subject!$A:$I,MATCH(RANDBETWEEN(1,(MAX(Subject!$B:$B))),Subject!$B:$B,0),3))))</f>
        <v/>
      </c>
      <c r="K389" s="2" t="str">
        <f t="array" ref="K389">IF(NOW()&gt;AV389,"",IF(AND((WEEKDAY($A389)+$B$2)&gt;1,((WEEKDAY($A389)+$T$2)&lt;7),(WEEKDAY($A389)&lt;&gt;1)),"work",(INDEX(Subject!$A:$I,MATCH(RANDBETWEEN(1,(MAX(Subject!$B:$B))),Subject!$B:$B,0),3))))</f>
        <v/>
      </c>
      <c r="L389" s="2" t="str">
        <f t="array" ref="L389">IF(NOW()&gt;AW389,"",IF(AND((WEEKDAY($A389)+$B$2)&gt;1,((WEEKDAY($A389)+$T$2)&lt;7),(WEEKDAY($A389)&lt;&gt;1)),"work",(INDEX(Subject!$A:$I,MATCH(RANDBETWEEN(1,(MAX(Subject!$B:$B))),Subject!$B:$B,0),3))))</f>
        <v/>
      </c>
      <c r="M389" s="2" t="str">
        <f t="array" ref="M389">IF(NOW()&gt;AX389,"",IF(AND((WEEKDAY($A389)+$B$2)&gt;1,((WEEKDAY($A389)+$T$2)&lt;7),(WEEKDAY($A389)&lt;&gt;1)),"work",(INDEX(Subject!$A:$I,MATCH(RANDBETWEEN(1,(MAX(Subject!$B:$B))),Subject!$B:$B,0),3))))</f>
        <v/>
      </c>
      <c r="N389" s="2" t="str">
        <f t="array" ref="N389">IF(NOW()&gt;AY389,"",IF(AND((WEEKDAY($A389)+$B$2)&gt;1,((WEEKDAY($A389)+$T$2)&lt;7),(WEEKDAY($A389)&lt;&gt;1)),"work",(INDEX(Subject!$A:$I,MATCH(RANDBETWEEN(1,(MAX(Subject!$B:$B))),Subject!$B:$B,0),3))))</f>
        <v/>
      </c>
      <c r="O389" s="2" t="str">
        <f t="array" ref="O389">IF(NOW()&gt;AZ389,"",IF(AND((WEEKDAY($A389)+$B$2)&gt;1,((WEEKDAY($A389)+$T$2)&lt;7),(WEEKDAY($A389)&lt;&gt;1)),"work",(INDEX(Subject!$A:$I,MATCH(RANDBETWEEN(1,(MAX(Subject!$B:$B))),Subject!$B:$B,0),3))))</f>
        <v/>
      </c>
      <c r="P389" s="2" t="str">
        <f t="array" ref="P389">IF(NOW()&gt;BA389,"",IF(AND((WEEKDAY($A389)+$B$2)&gt;1,((WEEKDAY($A389)+$T$2)&lt;7),(WEEKDAY($A389)&lt;&gt;1)),"work",(INDEX(Subject!$A:$I,MATCH(RANDBETWEEN(1,(MAX(Subject!$B:$B))),Subject!$B:$B,0),3))))</f>
        <v/>
      </c>
      <c r="Q389" s="2" t="str">
        <f t="array" ref="Q389">IF(NOW()&gt;BB389,"",IF(AND((WEEKDAY($A389)+$B$2)&gt;1,((WEEKDAY($A389)+$T$2)&lt;7),(WEEKDAY($A389)&lt;&gt;1)),"work",(INDEX(Subject!$A:$I,MATCH(RANDBETWEEN(1,(MAX(Subject!$B:$B))),Subject!$B:$B,0),3))))</f>
        <v/>
      </c>
      <c r="R389" s="2" t="str">
        <f t="array" ref="R389">IF(NOW()&gt;BC389,"",IF(AND((WEEKDAY($A389)+$B$2)&gt;1,((WEEKDAY($A389)+$T$2)&lt;7),(WEEKDAY($A389)&lt;&gt;1)),"work",(INDEX(Subject!$A:$I,MATCH(RANDBETWEEN(1,(MAX(Subject!$B:$B))),Subject!$B:$B,0),3))))</f>
        <v/>
      </c>
      <c r="S389" s="2" t="str">
        <f t="array" ref="S389">IF(NOW()&gt;BD389,"",IF(AND((WEEKDAY($A389)+$B$2)&gt;1,((WEEKDAY($A389)+$T$2)&lt;7),(WEEKDAY($A389)&lt;&gt;1)),"work",(INDEX(Subject!$A:$I,MATCH(RANDBETWEEN(1,(MAX(Subject!$B:$B))),Subject!$B:$B,0),3))))</f>
        <v/>
      </c>
      <c r="T389" s="2" t="str">
        <f t="array" ref="T389">IF(NOW()&gt;BE389,"",IF(AND((WEEKDAY($A389)+$B$2)&gt;1,((WEEKDAY($A389)+$T$2)&lt;7),(WEEKDAY($A389)&lt;&gt;1)),"work",(INDEX(Subject!$A:$I,MATCH(RANDBETWEEN(1,(MAX(Subject!$B:$B))),Subject!$B:$B,0),3))))</f>
        <v/>
      </c>
      <c r="U389" s="8" t="str">
        <f t="array" ref="U389">INDEX(Subject!$A:$I,MATCH(RANDBETWEEN(1,16),Subject!$B:$B,0),3)</f>
        <v>#N/A</v>
      </c>
      <c r="V389" s="8" t="str">
        <f t="array" ref="V389">INDEX(Subject!$A:$I,MATCH(RANDBETWEEN(1,16),Subject!$B:$B,0),3)</f>
        <v>#N/A</v>
      </c>
      <c r="W389" s="8" t="str">
        <f t="array" ref="W389">INDEX(Subject!$A:$I,MATCH(RANDBETWEEN(1,16),Subject!$B:$B,0),3)</f>
        <v/>
      </c>
      <c r="X389" s="8" t="str">
        <f t="array" ref="X389">INDEX(Subject!$A:$I,MATCH(RANDBETWEEN(1,16),Subject!$B:$B,0),3)</f>
        <v>#N/A</v>
      </c>
      <c r="Y389" s="8" t="str">
        <f t="array" ref="Y389">INDEX(Subject!$A:$I,MATCH(RANDBETWEEN(1,16),Subject!$B:$B,0),3)</f>
        <v>#N/A</v>
      </c>
      <c r="Z389" s="8" t="str">
        <f t="array" ref="Z389">INDEX(Subject!$A:$I,MATCH(RANDBETWEEN(1,16),Subject!$B:$B,0),3)</f>
        <v>#N/A</v>
      </c>
      <c r="AA389" s="8" t="str">
        <f t="array" ref="AA389">INDEX(Subject!$A:$I,MATCH(RANDBETWEEN(1,16),Subject!$B:$B,0),3)</f>
        <v>#N/A</v>
      </c>
      <c r="AB389" s="8" t="str">
        <f t="array" ref="AB389">INDEX(Subject!$A:$I,MATCH(RANDBETWEEN(1,16),Subject!$B:$B,0),3)</f>
        <v>#N/A</v>
      </c>
      <c r="AC389" s="8" t="str">
        <f t="array" ref="AC389">INDEX(Subject!$A:$I,MATCH(RANDBETWEEN(1,16),Subject!$B:$B,0),3)</f>
        <v>#N/A</v>
      </c>
      <c r="AD389" s="8" t="str">
        <f t="array" ref="AD389">INDEX(Subject!$A:$I,MATCH(RANDBETWEEN(1,16),Subject!$B:$B,0),3)</f>
        <v>#N/A</v>
      </c>
      <c r="AE389" s="8" t="str">
        <f t="array" ref="AE389">INDEX(Subject!$A:$I,MATCH(RANDBETWEEN(1,16),Subject!$B:$B,0),3)</f>
        <v>#N/A</v>
      </c>
      <c r="AF389" s="8" t="str">
        <f t="array" ref="AF389">INDEX(Subject!$A:$I,MATCH(RANDBETWEEN(1,16),Subject!$B:$B,0),3)</f>
        <v>#N/A</v>
      </c>
      <c r="AG389" s="8" t="str">
        <f t="array" ref="AG389">INDEX(Subject!$A:$I,MATCH(RANDBETWEEN(1,16),Subject!$B:$B,0),3)</f>
        <v>#N/A</v>
      </c>
      <c r="AH389" s="8" t="str">
        <f t="array" ref="AH389">INDEX(Subject!$A:$I,MATCH(RANDBETWEEN(1,16),Subject!$B:$B,0),3)</f>
        <v>#N/A</v>
      </c>
      <c r="AI389" s="8" t="str">
        <f t="array" ref="AI389">INDEX(Subject!$A:$I,MATCH(RANDBETWEEN(1,16),Subject!$B:$B,0),3)</f>
        <v>#N/A</v>
      </c>
      <c r="AJ389" s="8" t="str">
        <f t="array" ref="AJ389">INDEX(Subject!$A:$I,MATCH(RANDBETWEEN(1,16),Subject!$B:$B,0),3)</f>
        <v>#N/A</v>
      </c>
      <c r="AK389" s="8" t="str">
        <f t="array" ref="AK389">INDEX(Subject!$A:$I,MATCH(RANDBETWEEN(1,16),Subject!$B:$B,0),3)</f>
        <v>#N/A</v>
      </c>
      <c r="AL389" s="8" t="str">
        <f t="array" ref="AL389">INDEX(Subject!$A:$I,MATCH(RANDBETWEEN(1,16),Subject!$B:$B,0),3)</f>
        <v>#N/A</v>
      </c>
      <c r="AM389" s="18">
        <f t="shared" si="4"/>
        <v>45889.33333</v>
      </c>
      <c r="AN389" s="19">
        <f t="shared" ref="AN389:BZ389" si="389">$A389+C$1</f>
        <v>45889.35417</v>
      </c>
      <c r="AO389" s="19">
        <f t="shared" si="389"/>
        <v>45889.375</v>
      </c>
      <c r="AP389" s="19">
        <f t="shared" si="389"/>
        <v>45889.39583</v>
      </c>
      <c r="AQ389" s="19">
        <f t="shared" si="389"/>
        <v>45889.41667</v>
      </c>
      <c r="AR389" s="19">
        <f t="shared" si="389"/>
        <v>45889.4375</v>
      </c>
      <c r="AS389" s="19">
        <f t="shared" si="389"/>
        <v>45889.45833</v>
      </c>
      <c r="AT389" s="19">
        <f t="shared" si="389"/>
        <v>45889.47917</v>
      </c>
      <c r="AU389" s="19">
        <f t="shared" si="389"/>
        <v>45889.5</v>
      </c>
      <c r="AV389" s="19">
        <f t="shared" si="389"/>
        <v>45889.52083</v>
      </c>
      <c r="AW389" s="19">
        <f t="shared" si="389"/>
        <v>45889.54167</v>
      </c>
      <c r="AX389" s="19">
        <f t="shared" si="389"/>
        <v>45889.5625</v>
      </c>
      <c r="AY389" s="19">
        <f t="shared" si="389"/>
        <v>45889.58333</v>
      </c>
      <c r="AZ389" s="19">
        <f t="shared" si="389"/>
        <v>45889.60417</v>
      </c>
      <c r="BA389" s="19">
        <f t="shared" si="389"/>
        <v>45889.625</v>
      </c>
      <c r="BB389" s="19">
        <f t="shared" si="389"/>
        <v>45889.64583</v>
      </c>
      <c r="BC389" s="19">
        <f t="shared" si="389"/>
        <v>45889.66667</v>
      </c>
      <c r="BD389" s="19">
        <f t="shared" si="389"/>
        <v>45889.6875</v>
      </c>
      <c r="BE389" s="19">
        <f t="shared" si="389"/>
        <v>45889.70833</v>
      </c>
      <c r="BF389" s="19">
        <f t="shared" si="389"/>
        <v>45889.72917</v>
      </c>
      <c r="BG389" s="19">
        <f t="shared" si="389"/>
        <v>45889.75</v>
      </c>
      <c r="BH389" s="19">
        <f t="shared" si="389"/>
        <v>45889.77083</v>
      </c>
      <c r="BI389" s="19">
        <f t="shared" si="389"/>
        <v>45889.79167</v>
      </c>
      <c r="BJ389" s="19">
        <f t="shared" si="389"/>
        <v>45889.8125</v>
      </c>
      <c r="BK389" s="19">
        <f t="shared" si="389"/>
        <v>45889.83333</v>
      </c>
      <c r="BL389" s="19">
        <f t="shared" si="389"/>
        <v>45889.85417</v>
      </c>
      <c r="BM389" s="19">
        <f t="shared" si="389"/>
        <v>45889.875</v>
      </c>
      <c r="BN389" s="19">
        <f t="shared" si="389"/>
        <v>45889.89583</v>
      </c>
      <c r="BO389" s="19">
        <f t="shared" si="389"/>
        <v>45889.91667</v>
      </c>
      <c r="BP389" s="19">
        <f t="shared" si="389"/>
        <v>45889.9375</v>
      </c>
      <c r="BQ389" s="19">
        <f t="shared" si="389"/>
        <v>45889.95833</v>
      </c>
      <c r="BR389" s="19">
        <f t="shared" si="389"/>
        <v>45889.97917</v>
      </c>
      <c r="BS389" s="19">
        <f t="shared" si="389"/>
        <v>45890</v>
      </c>
      <c r="BT389" s="19">
        <f t="shared" si="389"/>
        <v>45890.02083</v>
      </c>
      <c r="BU389" s="19">
        <f t="shared" si="389"/>
        <v>45890.04167</v>
      </c>
      <c r="BV389" s="19">
        <f t="shared" si="389"/>
        <v>45890.0625</v>
      </c>
      <c r="BW389" s="19">
        <f t="shared" si="389"/>
        <v>45890.08333</v>
      </c>
      <c r="BX389" s="19">
        <f t="shared" si="389"/>
        <v>45889</v>
      </c>
      <c r="BY389" s="19">
        <f t="shared" si="389"/>
        <v>45889</v>
      </c>
      <c r="BZ389" s="19">
        <f t="shared" si="389"/>
        <v>45889</v>
      </c>
    </row>
    <row r="390" ht="14.25" customHeight="1">
      <c r="A390" s="17">
        <v>45890.0</v>
      </c>
      <c r="B390" s="2" t="str">
        <f t="array" ref="B390">IF(NOW()&gt;AM390,"",IF(AND((WEEKDAY($A390)+$B$2)&gt;1,((WEEKDAY($A390)+$T$2)&lt;7),(WEEKDAY($A390)&lt;&gt;1)),"work",(INDEX(Subject!$A:$I,MATCH(RANDBETWEEN(1,(MAX(Subject!$B:$B))),Subject!$B:$B,0),3))))</f>
        <v/>
      </c>
      <c r="C390" s="2" t="str">
        <f t="array" ref="C390">IF(NOW()&gt;AN390,"",IF(AND((WEEKDAY($A390)+$B$2)&gt;1,((WEEKDAY($A390)+$T$2)&lt;7),(WEEKDAY($A390)&lt;&gt;1)),"work",(INDEX(Subject!$A:$I,MATCH(RANDBETWEEN(1,(MAX(Subject!$B:$B))),Subject!$B:$B,0),3))))</f>
        <v/>
      </c>
      <c r="D390" s="2" t="str">
        <f t="array" ref="D390">IF(NOW()&gt;AO390,"",IF(AND((WEEKDAY($A390)+$B$2)&gt;1,((WEEKDAY($A390)+$T$2)&lt;7),(WEEKDAY($A390)&lt;&gt;1)),"work",(INDEX(Subject!$A:$I,MATCH(RANDBETWEEN(1,(MAX(Subject!$B:$B))),Subject!$B:$B,0),3))))</f>
        <v/>
      </c>
      <c r="E390" s="2" t="str">
        <f t="array" ref="E390">IF(NOW()&gt;AP390,"",IF(AND((WEEKDAY($A390)+$B$2)&gt;1,((WEEKDAY($A390)+$T$2)&lt;7),(WEEKDAY($A390)&lt;&gt;1)),"work",(INDEX(Subject!$A:$I,MATCH(RANDBETWEEN(1,(MAX(Subject!$B:$B))),Subject!$B:$B,0),3))))</f>
        <v/>
      </c>
      <c r="F390" s="2" t="str">
        <f t="array" ref="F390">IF(NOW()&gt;AQ390,"",IF(AND((WEEKDAY($A390)+$B$2)&gt;1,((WEEKDAY($A390)+$T$2)&lt;7),(WEEKDAY($A390)&lt;&gt;1)),"work",(INDEX(Subject!$A:$I,MATCH(RANDBETWEEN(1,(MAX(Subject!$B:$B))),Subject!$B:$B,0),3))))</f>
        <v/>
      </c>
      <c r="G390" s="2" t="str">
        <f t="array" ref="G390">IF(NOW()&gt;AR390,"",IF(AND((WEEKDAY($A390)+$B$2)&gt;1,((WEEKDAY($A390)+$T$2)&lt;7),(WEEKDAY($A390)&lt;&gt;1)),"work",(INDEX(Subject!$A:$I,MATCH(RANDBETWEEN(1,(MAX(Subject!$B:$B))),Subject!$B:$B,0),3))))</f>
        <v/>
      </c>
      <c r="H390" s="2" t="str">
        <f t="array" ref="H390">IF(NOW()&gt;AS390,"",IF(AND((WEEKDAY($A390)+$B$2)&gt;1,((WEEKDAY($A390)+$T$2)&lt;7),(WEEKDAY($A390)&lt;&gt;1)),"work",(INDEX(Subject!$A:$I,MATCH(RANDBETWEEN(1,(MAX(Subject!$B:$B))),Subject!$B:$B,0),3))))</f>
        <v/>
      </c>
      <c r="I390" s="2" t="str">
        <f t="array" ref="I390">IF(NOW()&gt;AT390,"",IF(AND((WEEKDAY($A390)+$B$2)&gt;1,((WEEKDAY($A390)+$T$2)&lt;7),(WEEKDAY($A390)&lt;&gt;1)),"work",(INDEX(Subject!$A:$I,MATCH(RANDBETWEEN(1,(MAX(Subject!$B:$B))),Subject!$B:$B,0),3))))</f>
        <v/>
      </c>
      <c r="J390" s="2" t="str">
        <f t="array" ref="J390">IF(NOW()&gt;AU390,"",IF(AND((WEEKDAY($A390)+$B$2)&gt;1,((WEEKDAY($A390)+$T$2)&lt;7),(WEEKDAY($A390)&lt;&gt;1)),"work",(INDEX(Subject!$A:$I,MATCH(RANDBETWEEN(1,(MAX(Subject!$B:$B))),Subject!$B:$B,0),3))))</f>
        <v/>
      </c>
      <c r="K390" s="2" t="str">
        <f t="array" ref="K390">IF(NOW()&gt;AV390,"",IF(AND((WEEKDAY($A390)+$B$2)&gt;1,((WEEKDAY($A390)+$T$2)&lt;7),(WEEKDAY($A390)&lt;&gt;1)),"work",(INDEX(Subject!$A:$I,MATCH(RANDBETWEEN(1,(MAX(Subject!$B:$B))),Subject!$B:$B,0),3))))</f>
        <v/>
      </c>
      <c r="L390" s="2" t="str">
        <f t="array" ref="L390">IF(NOW()&gt;AW390,"",IF(AND((WEEKDAY($A390)+$B$2)&gt;1,((WEEKDAY($A390)+$T$2)&lt;7),(WEEKDAY($A390)&lt;&gt;1)),"work",(INDEX(Subject!$A:$I,MATCH(RANDBETWEEN(1,(MAX(Subject!$B:$B))),Subject!$B:$B,0),3))))</f>
        <v/>
      </c>
      <c r="M390" s="2" t="str">
        <f t="array" ref="M390">IF(NOW()&gt;AX390,"",IF(AND((WEEKDAY($A390)+$B$2)&gt;1,((WEEKDAY($A390)+$T$2)&lt;7),(WEEKDAY($A390)&lt;&gt;1)),"work",(INDEX(Subject!$A:$I,MATCH(RANDBETWEEN(1,(MAX(Subject!$B:$B))),Subject!$B:$B,0),3))))</f>
        <v/>
      </c>
      <c r="N390" s="2" t="str">
        <f t="array" ref="N390">IF(NOW()&gt;AY390,"",IF(AND((WEEKDAY($A390)+$B$2)&gt;1,((WEEKDAY($A390)+$T$2)&lt;7),(WEEKDAY($A390)&lt;&gt;1)),"work",(INDEX(Subject!$A:$I,MATCH(RANDBETWEEN(1,(MAX(Subject!$B:$B))),Subject!$B:$B,0),3))))</f>
        <v/>
      </c>
      <c r="O390" s="2" t="str">
        <f t="array" ref="O390">IF(NOW()&gt;AZ390,"",IF(AND((WEEKDAY($A390)+$B$2)&gt;1,((WEEKDAY($A390)+$T$2)&lt;7),(WEEKDAY($A390)&lt;&gt;1)),"work",(INDEX(Subject!$A:$I,MATCH(RANDBETWEEN(1,(MAX(Subject!$B:$B))),Subject!$B:$B,0),3))))</f>
        <v/>
      </c>
      <c r="P390" s="2" t="str">
        <f t="array" ref="P390">IF(NOW()&gt;BA390,"",IF(AND((WEEKDAY($A390)+$B$2)&gt;1,((WEEKDAY($A390)+$T$2)&lt;7),(WEEKDAY($A390)&lt;&gt;1)),"work",(INDEX(Subject!$A:$I,MATCH(RANDBETWEEN(1,(MAX(Subject!$B:$B))),Subject!$B:$B,0),3))))</f>
        <v/>
      </c>
      <c r="Q390" s="2" t="str">
        <f t="array" ref="Q390">IF(NOW()&gt;BB390,"",IF(AND((WEEKDAY($A390)+$B$2)&gt;1,((WEEKDAY($A390)+$T$2)&lt;7),(WEEKDAY($A390)&lt;&gt;1)),"work",(INDEX(Subject!$A:$I,MATCH(RANDBETWEEN(1,(MAX(Subject!$B:$B))),Subject!$B:$B,0),3))))</f>
        <v/>
      </c>
      <c r="R390" s="2" t="str">
        <f t="array" ref="R390">IF(NOW()&gt;BC390,"",IF(AND((WEEKDAY($A390)+$B$2)&gt;1,((WEEKDAY($A390)+$T$2)&lt;7),(WEEKDAY($A390)&lt;&gt;1)),"work",(INDEX(Subject!$A:$I,MATCH(RANDBETWEEN(1,(MAX(Subject!$B:$B))),Subject!$B:$B,0),3))))</f>
        <v/>
      </c>
      <c r="S390" s="2" t="str">
        <f t="array" ref="S390">IF(NOW()&gt;BD390,"",IF(AND((WEEKDAY($A390)+$B$2)&gt;1,((WEEKDAY($A390)+$T$2)&lt;7),(WEEKDAY($A390)&lt;&gt;1)),"work",(INDEX(Subject!$A:$I,MATCH(RANDBETWEEN(1,(MAX(Subject!$B:$B))),Subject!$B:$B,0),3))))</f>
        <v/>
      </c>
      <c r="T390" s="2" t="str">
        <f t="array" ref="T390">IF(NOW()&gt;BE390,"",IF(AND((WEEKDAY($A390)+$B$2)&gt;1,((WEEKDAY($A390)+$T$2)&lt;7),(WEEKDAY($A390)&lt;&gt;1)),"work",(INDEX(Subject!$A:$I,MATCH(RANDBETWEEN(1,(MAX(Subject!$B:$B))),Subject!$B:$B,0),3))))</f>
        <v/>
      </c>
      <c r="U390" s="8" t="str">
        <f t="array" ref="U390">INDEX(Subject!$A:$I,MATCH(RANDBETWEEN(1,16),Subject!$B:$B,0),3)</f>
        <v>#N/A</v>
      </c>
      <c r="V390" s="8" t="str">
        <f t="array" ref="V390">INDEX(Subject!$A:$I,MATCH(RANDBETWEEN(1,16),Subject!$B:$B,0),3)</f>
        <v>#N/A</v>
      </c>
      <c r="W390" s="8" t="str">
        <f t="array" ref="W390">INDEX(Subject!$A:$I,MATCH(RANDBETWEEN(1,16),Subject!$B:$B,0),3)</f>
        <v>#N/A</v>
      </c>
      <c r="X390" s="8" t="str">
        <f t="array" ref="X390">INDEX(Subject!$A:$I,MATCH(RANDBETWEEN(1,16),Subject!$B:$B,0),3)</f>
        <v>#N/A</v>
      </c>
      <c r="Y390" s="8" t="str">
        <f t="array" ref="Y390">INDEX(Subject!$A:$I,MATCH(RANDBETWEEN(1,16),Subject!$B:$B,0),3)</f>
        <v>#N/A</v>
      </c>
      <c r="Z390" s="8" t="str">
        <f t="array" ref="Z390">INDEX(Subject!$A:$I,MATCH(RANDBETWEEN(1,16),Subject!$B:$B,0),3)</f>
        <v>#N/A</v>
      </c>
      <c r="AA390" s="8" t="str">
        <f t="array" ref="AA390">INDEX(Subject!$A:$I,MATCH(RANDBETWEEN(1,16),Subject!$B:$B,0),3)</f>
        <v>#N/A</v>
      </c>
      <c r="AB390" s="8" t="str">
        <f t="array" ref="AB390">INDEX(Subject!$A:$I,MATCH(RANDBETWEEN(1,16),Subject!$B:$B,0),3)</f>
        <v/>
      </c>
      <c r="AC390" s="8" t="str">
        <f t="array" ref="AC390">INDEX(Subject!$A:$I,MATCH(RANDBETWEEN(1,16),Subject!$B:$B,0),3)</f>
        <v>#N/A</v>
      </c>
      <c r="AD390" s="8" t="str">
        <f t="array" ref="AD390">INDEX(Subject!$A:$I,MATCH(RANDBETWEEN(1,16),Subject!$B:$B,0),3)</f>
        <v>#N/A</v>
      </c>
      <c r="AE390" s="8" t="str">
        <f t="array" ref="AE390">INDEX(Subject!$A:$I,MATCH(RANDBETWEEN(1,16),Subject!$B:$B,0),3)</f>
        <v/>
      </c>
      <c r="AF390" s="8" t="str">
        <f t="array" ref="AF390">INDEX(Subject!$A:$I,MATCH(RANDBETWEEN(1,16),Subject!$B:$B,0),3)</f>
        <v>#N/A</v>
      </c>
      <c r="AG390" s="8" t="str">
        <f t="array" ref="AG390">INDEX(Subject!$A:$I,MATCH(RANDBETWEEN(1,16),Subject!$B:$B,0),3)</f>
        <v>#N/A</v>
      </c>
      <c r="AH390" s="8" t="str">
        <f t="array" ref="AH390">INDEX(Subject!$A:$I,MATCH(RANDBETWEEN(1,16),Subject!$B:$B,0),3)</f>
        <v>#N/A</v>
      </c>
      <c r="AI390" s="8" t="str">
        <f t="array" ref="AI390">INDEX(Subject!$A:$I,MATCH(RANDBETWEEN(1,16),Subject!$B:$B,0),3)</f>
        <v>#N/A</v>
      </c>
      <c r="AJ390" s="8" t="str">
        <f t="array" ref="AJ390">INDEX(Subject!$A:$I,MATCH(RANDBETWEEN(1,16),Subject!$B:$B,0),3)</f>
        <v>#N/A</v>
      </c>
      <c r="AK390" s="8" t="str">
        <f t="array" ref="AK390">INDEX(Subject!$A:$I,MATCH(RANDBETWEEN(1,16),Subject!$B:$B,0),3)</f>
        <v>#N/A</v>
      </c>
      <c r="AL390" s="8" t="str">
        <f t="array" ref="AL390">INDEX(Subject!$A:$I,MATCH(RANDBETWEEN(1,16),Subject!$B:$B,0),3)</f>
        <v>#N/A</v>
      </c>
      <c r="AM390" s="18">
        <f t="shared" si="4"/>
        <v>45890.33333</v>
      </c>
      <c r="AN390" s="19">
        <f t="shared" ref="AN390:BZ390" si="390">$A390+C$1</f>
        <v>45890.35417</v>
      </c>
      <c r="AO390" s="19">
        <f t="shared" si="390"/>
        <v>45890.375</v>
      </c>
      <c r="AP390" s="19">
        <f t="shared" si="390"/>
        <v>45890.39583</v>
      </c>
      <c r="AQ390" s="19">
        <f t="shared" si="390"/>
        <v>45890.41667</v>
      </c>
      <c r="AR390" s="19">
        <f t="shared" si="390"/>
        <v>45890.4375</v>
      </c>
      <c r="AS390" s="19">
        <f t="shared" si="390"/>
        <v>45890.45833</v>
      </c>
      <c r="AT390" s="19">
        <f t="shared" si="390"/>
        <v>45890.47917</v>
      </c>
      <c r="AU390" s="19">
        <f t="shared" si="390"/>
        <v>45890.5</v>
      </c>
      <c r="AV390" s="19">
        <f t="shared" si="390"/>
        <v>45890.52083</v>
      </c>
      <c r="AW390" s="19">
        <f t="shared" si="390"/>
        <v>45890.54167</v>
      </c>
      <c r="AX390" s="19">
        <f t="shared" si="390"/>
        <v>45890.5625</v>
      </c>
      <c r="AY390" s="19">
        <f t="shared" si="390"/>
        <v>45890.58333</v>
      </c>
      <c r="AZ390" s="19">
        <f t="shared" si="390"/>
        <v>45890.60417</v>
      </c>
      <c r="BA390" s="19">
        <f t="shared" si="390"/>
        <v>45890.625</v>
      </c>
      <c r="BB390" s="19">
        <f t="shared" si="390"/>
        <v>45890.64583</v>
      </c>
      <c r="BC390" s="19">
        <f t="shared" si="390"/>
        <v>45890.66667</v>
      </c>
      <c r="BD390" s="19">
        <f t="shared" si="390"/>
        <v>45890.6875</v>
      </c>
      <c r="BE390" s="19">
        <f t="shared" si="390"/>
        <v>45890.70833</v>
      </c>
      <c r="BF390" s="19">
        <f t="shared" si="390"/>
        <v>45890.72917</v>
      </c>
      <c r="BG390" s="19">
        <f t="shared" si="390"/>
        <v>45890.75</v>
      </c>
      <c r="BH390" s="19">
        <f t="shared" si="390"/>
        <v>45890.77083</v>
      </c>
      <c r="BI390" s="19">
        <f t="shared" si="390"/>
        <v>45890.79167</v>
      </c>
      <c r="BJ390" s="19">
        <f t="shared" si="390"/>
        <v>45890.8125</v>
      </c>
      <c r="BK390" s="19">
        <f t="shared" si="390"/>
        <v>45890.83333</v>
      </c>
      <c r="BL390" s="19">
        <f t="shared" si="390"/>
        <v>45890.85417</v>
      </c>
      <c r="BM390" s="19">
        <f t="shared" si="390"/>
        <v>45890.875</v>
      </c>
      <c r="BN390" s="19">
        <f t="shared" si="390"/>
        <v>45890.89583</v>
      </c>
      <c r="BO390" s="19">
        <f t="shared" si="390"/>
        <v>45890.91667</v>
      </c>
      <c r="BP390" s="19">
        <f t="shared" si="390"/>
        <v>45890.9375</v>
      </c>
      <c r="BQ390" s="19">
        <f t="shared" si="390"/>
        <v>45890.95833</v>
      </c>
      <c r="BR390" s="19">
        <f t="shared" si="390"/>
        <v>45890.97917</v>
      </c>
      <c r="BS390" s="19">
        <f t="shared" si="390"/>
        <v>45891</v>
      </c>
      <c r="BT390" s="19">
        <f t="shared" si="390"/>
        <v>45891.02083</v>
      </c>
      <c r="BU390" s="19">
        <f t="shared" si="390"/>
        <v>45891.04167</v>
      </c>
      <c r="BV390" s="19">
        <f t="shared" si="390"/>
        <v>45891.0625</v>
      </c>
      <c r="BW390" s="19">
        <f t="shared" si="390"/>
        <v>45891.08333</v>
      </c>
      <c r="BX390" s="19">
        <f t="shared" si="390"/>
        <v>45890</v>
      </c>
      <c r="BY390" s="19">
        <f t="shared" si="390"/>
        <v>45890</v>
      </c>
      <c r="BZ390" s="19">
        <f t="shared" si="390"/>
        <v>45890</v>
      </c>
    </row>
    <row r="391" ht="14.25" customHeight="1">
      <c r="A391" s="17">
        <v>45891.0</v>
      </c>
      <c r="B391" s="2" t="str">
        <f t="array" ref="B391">IF(NOW()&gt;AM391,"",IF(AND((WEEKDAY($A391)+$B$2)&gt;1,((WEEKDAY($A391)+$T$2)&lt;7),(WEEKDAY($A391)&lt;&gt;1)),"work",(INDEX(Subject!$A:$I,MATCH(RANDBETWEEN(1,(MAX(Subject!$B:$B))),Subject!$B:$B,0),3))))</f>
        <v/>
      </c>
      <c r="C391" s="2" t="str">
        <f t="array" ref="C391">IF(NOW()&gt;AN391,"",IF(AND((WEEKDAY($A391)+$B$2)&gt;1,((WEEKDAY($A391)+$T$2)&lt;7),(WEEKDAY($A391)&lt;&gt;1)),"work",(INDEX(Subject!$A:$I,MATCH(RANDBETWEEN(1,(MAX(Subject!$B:$B))),Subject!$B:$B,0),3))))</f>
        <v/>
      </c>
      <c r="D391" s="2" t="str">
        <f t="array" ref="D391">IF(NOW()&gt;AO391,"",IF(AND((WEEKDAY($A391)+$B$2)&gt;1,((WEEKDAY($A391)+$T$2)&lt;7),(WEEKDAY($A391)&lt;&gt;1)),"work",(INDEX(Subject!$A:$I,MATCH(RANDBETWEEN(1,(MAX(Subject!$B:$B))),Subject!$B:$B,0),3))))</f>
        <v/>
      </c>
      <c r="E391" s="2" t="str">
        <f t="array" ref="E391">IF(NOW()&gt;AP391,"",IF(AND((WEEKDAY($A391)+$B$2)&gt;1,((WEEKDAY($A391)+$T$2)&lt;7),(WEEKDAY($A391)&lt;&gt;1)),"work",(INDEX(Subject!$A:$I,MATCH(RANDBETWEEN(1,(MAX(Subject!$B:$B))),Subject!$B:$B,0),3))))</f>
        <v/>
      </c>
      <c r="F391" s="2" t="str">
        <f t="array" ref="F391">IF(NOW()&gt;AQ391,"",IF(AND((WEEKDAY($A391)+$B$2)&gt;1,((WEEKDAY($A391)+$T$2)&lt;7),(WEEKDAY($A391)&lt;&gt;1)),"work",(INDEX(Subject!$A:$I,MATCH(RANDBETWEEN(1,(MAX(Subject!$B:$B))),Subject!$B:$B,0),3))))</f>
        <v/>
      </c>
      <c r="G391" s="2" t="str">
        <f t="array" ref="G391">IF(NOW()&gt;AR391,"",IF(AND((WEEKDAY($A391)+$B$2)&gt;1,((WEEKDAY($A391)+$T$2)&lt;7),(WEEKDAY($A391)&lt;&gt;1)),"work",(INDEX(Subject!$A:$I,MATCH(RANDBETWEEN(1,(MAX(Subject!$B:$B))),Subject!$B:$B,0),3))))</f>
        <v/>
      </c>
      <c r="H391" s="2" t="str">
        <f t="array" ref="H391">IF(NOW()&gt;AS391,"",IF(AND((WEEKDAY($A391)+$B$2)&gt;1,((WEEKDAY($A391)+$T$2)&lt;7),(WEEKDAY($A391)&lt;&gt;1)),"work",(INDEX(Subject!$A:$I,MATCH(RANDBETWEEN(1,(MAX(Subject!$B:$B))),Subject!$B:$B,0),3))))</f>
        <v/>
      </c>
      <c r="I391" s="2" t="str">
        <f t="array" ref="I391">IF(NOW()&gt;AT391,"",IF(AND((WEEKDAY($A391)+$B$2)&gt;1,((WEEKDAY($A391)+$T$2)&lt;7),(WEEKDAY($A391)&lt;&gt;1)),"work",(INDEX(Subject!$A:$I,MATCH(RANDBETWEEN(1,(MAX(Subject!$B:$B))),Subject!$B:$B,0),3))))</f>
        <v/>
      </c>
      <c r="J391" s="2" t="str">
        <f t="array" ref="J391">IF(NOW()&gt;AU391,"",IF(AND((WEEKDAY($A391)+$B$2)&gt;1,((WEEKDAY($A391)+$T$2)&lt;7),(WEEKDAY($A391)&lt;&gt;1)),"work",(INDEX(Subject!$A:$I,MATCH(RANDBETWEEN(1,(MAX(Subject!$B:$B))),Subject!$B:$B,0),3))))</f>
        <v/>
      </c>
      <c r="K391" s="2" t="str">
        <f t="array" ref="K391">IF(NOW()&gt;AV391,"",IF(AND((WEEKDAY($A391)+$B$2)&gt;1,((WEEKDAY($A391)+$T$2)&lt;7),(WEEKDAY($A391)&lt;&gt;1)),"work",(INDEX(Subject!$A:$I,MATCH(RANDBETWEEN(1,(MAX(Subject!$B:$B))),Subject!$B:$B,0),3))))</f>
        <v/>
      </c>
      <c r="L391" s="2" t="str">
        <f t="array" ref="L391">IF(NOW()&gt;AW391,"",IF(AND((WEEKDAY($A391)+$B$2)&gt;1,((WEEKDAY($A391)+$T$2)&lt;7),(WEEKDAY($A391)&lt;&gt;1)),"work",(INDEX(Subject!$A:$I,MATCH(RANDBETWEEN(1,(MAX(Subject!$B:$B))),Subject!$B:$B,0),3))))</f>
        <v/>
      </c>
      <c r="M391" s="2" t="str">
        <f t="array" ref="M391">IF(NOW()&gt;AX391,"",IF(AND((WEEKDAY($A391)+$B$2)&gt;1,((WEEKDAY($A391)+$T$2)&lt;7),(WEEKDAY($A391)&lt;&gt;1)),"work",(INDEX(Subject!$A:$I,MATCH(RANDBETWEEN(1,(MAX(Subject!$B:$B))),Subject!$B:$B,0),3))))</f>
        <v/>
      </c>
      <c r="N391" s="2" t="str">
        <f t="array" ref="N391">IF(NOW()&gt;AY391,"",IF(AND((WEEKDAY($A391)+$B$2)&gt;1,((WEEKDAY($A391)+$T$2)&lt;7),(WEEKDAY($A391)&lt;&gt;1)),"work",(INDEX(Subject!$A:$I,MATCH(RANDBETWEEN(1,(MAX(Subject!$B:$B))),Subject!$B:$B,0),3))))</f>
        <v/>
      </c>
      <c r="O391" s="2" t="str">
        <f t="array" ref="O391">IF(NOW()&gt;AZ391,"",IF(AND((WEEKDAY($A391)+$B$2)&gt;1,((WEEKDAY($A391)+$T$2)&lt;7),(WEEKDAY($A391)&lt;&gt;1)),"work",(INDEX(Subject!$A:$I,MATCH(RANDBETWEEN(1,(MAX(Subject!$B:$B))),Subject!$B:$B,0),3))))</f>
        <v/>
      </c>
      <c r="P391" s="2" t="str">
        <f t="array" ref="P391">IF(NOW()&gt;BA391,"",IF(AND((WEEKDAY($A391)+$B$2)&gt;1,((WEEKDAY($A391)+$T$2)&lt;7),(WEEKDAY($A391)&lt;&gt;1)),"work",(INDEX(Subject!$A:$I,MATCH(RANDBETWEEN(1,(MAX(Subject!$B:$B))),Subject!$B:$B,0),3))))</f>
        <v/>
      </c>
      <c r="Q391" s="2" t="str">
        <f t="array" ref="Q391">IF(NOW()&gt;BB391,"",IF(AND((WEEKDAY($A391)+$B$2)&gt;1,((WEEKDAY($A391)+$T$2)&lt;7),(WEEKDAY($A391)&lt;&gt;1)),"work",(INDEX(Subject!$A:$I,MATCH(RANDBETWEEN(1,(MAX(Subject!$B:$B))),Subject!$B:$B,0),3))))</f>
        <v/>
      </c>
      <c r="R391" s="2" t="str">
        <f t="array" ref="R391">IF(NOW()&gt;BC391,"",IF(AND((WEEKDAY($A391)+$B$2)&gt;1,((WEEKDAY($A391)+$T$2)&lt;7),(WEEKDAY($A391)&lt;&gt;1)),"work",(INDEX(Subject!$A:$I,MATCH(RANDBETWEEN(1,(MAX(Subject!$B:$B))),Subject!$B:$B,0),3))))</f>
        <v/>
      </c>
      <c r="S391" s="2" t="str">
        <f t="array" ref="S391">IF(NOW()&gt;BD391,"",IF(AND((WEEKDAY($A391)+$B$2)&gt;1,((WEEKDAY($A391)+$T$2)&lt;7),(WEEKDAY($A391)&lt;&gt;1)),"work",(INDEX(Subject!$A:$I,MATCH(RANDBETWEEN(1,(MAX(Subject!$B:$B))),Subject!$B:$B,0),3))))</f>
        <v/>
      </c>
      <c r="T391" s="2" t="str">
        <f t="array" ref="T391">IF(NOW()&gt;BE391,"",IF(AND((WEEKDAY($A391)+$B$2)&gt;1,((WEEKDAY($A391)+$T$2)&lt;7),(WEEKDAY($A391)&lt;&gt;1)),"work",(INDEX(Subject!$A:$I,MATCH(RANDBETWEEN(1,(MAX(Subject!$B:$B))),Subject!$B:$B,0),3))))</f>
        <v/>
      </c>
      <c r="U391" s="8" t="str">
        <f t="array" ref="U391">INDEX(Subject!$A:$I,MATCH(RANDBETWEEN(1,16),Subject!$B:$B,0),3)</f>
        <v>#N/A</v>
      </c>
      <c r="V391" s="8" t="str">
        <f t="array" ref="V391">INDEX(Subject!$A:$I,MATCH(RANDBETWEEN(1,16),Subject!$B:$B,0),3)</f>
        <v>#N/A</v>
      </c>
      <c r="W391" s="8" t="str">
        <f t="array" ref="W391">INDEX(Subject!$A:$I,MATCH(RANDBETWEEN(1,16),Subject!$B:$B,0),3)</f>
        <v>#N/A</v>
      </c>
      <c r="X391" s="8" t="str">
        <f t="array" ref="X391">INDEX(Subject!$A:$I,MATCH(RANDBETWEEN(1,16),Subject!$B:$B,0),3)</f>
        <v>#N/A</v>
      </c>
      <c r="Y391" s="8" t="str">
        <f t="array" ref="Y391">INDEX(Subject!$A:$I,MATCH(RANDBETWEEN(1,16),Subject!$B:$B,0),3)</f>
        <v>#N/A</v>
      </c>
      <c r="Z391" s="8" t="str">
        <f t="array" ref="Z391">INDEX(Subject!$A:$I,MATCH(RANDBETWEEN(1,16),Subject!$B:$B,0),3)</f>
        <v/>
      </c>
      <c r="AA391" s="8" t="str">
        <f t="array" ref="AA391">INDEX(Subject!$A:$I,MATCH(RANDBETWEEN(1,16),Subject!$B:$B,0),3)</f>
        <v>#N/A</v>
      </c>
      <c r="AB391" s="8" t="str">
        <f t="array" ref="AB391">INDEX(Subject!$A:$I,MATCH(RANDBETWEEN(1,16),Subject!$B:$B,0),3)</f>
        <v>#N/A</v>
      </c>
      <c r="AC391" s="8" t="str">
        <f t="array" ref="AC391">INDEX(Subject!$A:$I,MATCH(RANDBETWEEN(1,16),Subject!$B:$B,0),3)</f>
        <v>#N/A</v>
      </c>
      <c r="AD391" s="8" t="str">
        <f t="array" ref="AD391">INDEX(Subject!$A:$I,MATCH(RANDBETWEEN(1,16),Subject!$B:$B,0),3)</f>
        <v/>
      </c>
      <c r="AE391" s="8" t="str">
        <f t="array" ref="AE391">INDEX(Subject!$A:$I,MATCH(RANDBETWEEN(1,16),Subject!$B:$B,0),3)</f>
        <v>#N/A</v>
      </c>
      <c r="AF391" s="8" t="str">
        <f t="array" ref="AF391">INDEX(Subject!$A:$I,MATCH(RANDBETWEEN(1,16),Subject!$B:$B,0),3)</f>
        <v>#N/A</v>
      </c>
      <c r="AG391" s="8" t="str">
        <f t="array" ref="AG391">INDEX(Subject!$A:$I,MATCH(RANDBETWEEN(1,16),Subject!$B:$B,0),3)</f>
        <v>#N/A</v>
      </c>
      <c r="AH391" s="8" t="str">
        <f t="array" ref="AH391">INDEX(Subject!$A:$I,MATCH(RANDBETWEEN(1,16),Subject!$B:$B,0),3)</f>
        <v>#N/A</v>
      </c>
      <c r="AI391" s="8" t="str">
        <f t="array" ref="AI391">INDEX(Subject!$A:$I,MATCH(RANDBETWEEN(1,16),Subject!$B:$B,0),3)</f>
        <v>#N/A</v>
      </c>
      <c r="AJ391" s="8" t="str">
        <f t="array" ref="AJ391">INDEX(Subject!$A:$I,MATCH(RANDBETWEEN(1,16),Subject!$B:$B,0),3)</f>
        <v>#N/A</v>
      </c>
      <c r="AK391" s="8" t="str">
        <f t="array" ref="AK391">INDEX(Subject!$A:$I,MATCH(RANDBETWEEN(1,16),Subject!$B:$B,0),3)</f>
        <v>#N/A</v>
      </c>
      <c r="AL391" s="8" t="str">
        <f t="array" ref="AL391">INDEX(Subject!$A:$I,MATCH(RANDBETWEEN(1,16),Subject!$B:$B,0),3)</f>
        <v>#N/A</v>
      </c>
      <c r="AM391" s="18">
        <f t="shared" si="4"/>
        <v>45891.33333</v>
      </c>
      <c r="AN391" s="19">
        <f t="shared" ref="AN391:BZ391" si="391">$A391+C$1</f>
        <v>45891.35417</v>
      </c>
      <c r="AO391" s="19">
        <f t="shared" si="391"/>
        <v>45891.375</v>
      </c>
      <c r="AP391" s="19">
        <f t="shared" si="391"/>
        <v>45891.39583</v>
      </c>
      <c r="AQ391" s="19">
        <f t="shared" si="391"/>
        <v>45891.41667</v>
      </c>
      <c r="AR391" s="19">
        <f t="shared" si="391"/>
        <v>45891.4375</v>
      </c>
      <c r="AS391" s="19">
        <f t="shared" si="391"/>
        <v>45891.45833</v>
      </c>
      <c r="AT391" s="19">
        <f t="shared" si="391"/>
        <v>45891.47917</v>
      </c>
      <c r="AU391" s="19">
        <f t="shared" si="391"/>
        <v>45891.5</v>
      </c>
      <c r="AV391" s="19">
        <f t="shared" si="391"/>
        <v>45891.52083</v>
      </c>
      <c r="AW391" s="19">
        <f t="shared" si="391"/>
        <v>45891.54167</v>
      </c>
      <c r="AX391" s="19">
        <f t="shared" si="391"/>
        <v>45891.5625</v>
      </c>
      <c r="AY391" s="19">
        <f t="shared" si="391"/>
        <v>45891.58333</v>
      </c>
      <c r="AZ391" s="19">
        <f t="shared" si="391"/>
        <v>45891.60417</v>
      </c>
      <c r="BA391" s="19">
        <f t="shared" si="391"/>
        <v>45891.625</v>
      </c>
      <c r="BB391" s="19">
        <f t="shared" si="391"/>
        <v>45891.64583</v>
      </c>
      <c r="BC391" s="19">
        <f t="shared" si="391"/>
        <v>45891.66667</v>
      </c>
      <c r="BD391" s="19">
        <f t="shared" si="391"/>
        <v>45891.6875</v>
      </c>
      <c r="BE391" s="19">
        <f t="shared" si="391"/>
        <v>45891.70833</v>
      </c>
      <c r="BF391" s="19">
        <f t="shared" si="391"/>
        <v>45891.72917</v>
      </c>
      <c r="BG391" s="19">
        <f t="shared" si="391"/>
        <v>45891.75</v>
      </c>
      <c r="BH391" s="19">
        <f t="shared" si="391"/>
        <v>45891.77083</v>
      </c>
      <c r="BI391" s="19">
        <f t="shared" si="391"/>
        <v>45891.79167</v>
      </c>
      <c r="BJ391" s="19">
        <f t="shared" si="391"/>
        <v>45891.8125</v>
      </c>
      <c r="BK391" s="19">
        <f t="shared" si="391"/>
        <v>45891.83333</v>
      </c>
      <c r="BL391" s="19">
        <f t="shared" si="391"/>
        <v>45891.85417</v>
      </c>
      <c r="BM391" s="19">
        <f t="shared" si="391"/>
        <v>45891.875</v>
      </c>
      <c r="BN391" s="19">
        <f t="shared" si="391"/>
        <v>45891.89583</v>
      </c>
      <c r="BO391" s="19">
        <f t="shared" si="391"/>
        <v>45891.91667</v>
      </c>
      <c r="BP391" s="19">
        <f t="shared" si="391"/>
        <v>45891.9375</v>
      </c>
      <c r="BQ391" s="19">
        <f t="shared" si="391"/>
        <v>45891.95833</v>
      </c>
      <c r="BR391" s="19">
        <f t="shared" si="391"/>
        <v>45891.97917</v>
      </c>
      <c r="BS391" s="19">
        <f t="shared" si="391"/>
        <v>45892</v>
      </c>
      <c r="BT391" s="19">
        <f t="shared" si="391"/>
        <v>45892.02083</v>
      </c>
      <c r="BU391" s="19">
        <f t="shared" si="391"/>
        <v>45892.04167</v>
      </c>
      <c r="BV391" s="19">
        <f t="shared" si="391"/>
        <v>45892.0625</v>
      </c>
      <c r="BW391" s="19">
        <f t="shared" si="391"/>
        <v>45892.08333</v>
      </c>
      <c r="BX391" s="19">
        <f t="shared" si="391"/>
        <v>45891</v>
      </c>
      <c r="BY391" s="19">
        <f t="shared" si="391"/>
        <v>45891</v>
      </c>
      <c r="BZ391" s="19">
        <f t="shared" si="391"/>
        <v>45891</v>
      </c>
    </row>
    <row r="392" ht="14.25" customHeight="1">
      <c r="A392" s="17">
        <v>45892.0</v>
      </c>
      <c r="B392" s="2" t="str">
        <f t="array" ref="B392">IF(NOW()&gt;AM392,"",IF(AND((WEEKDAY($A392)+$B$2)&gt;1,((WEEKDAY($A392)+$T$2)&lt;7),(WEEKDAY($A392)&lt;&gt;1)),"work",(INDEX(Subject!$A:$I,MATCH(RANDBETWEEN(1,(MAX(Subject!$B:$B))),Subject!$B:$B,0),3))))</f>
        <v/>
      </c>
      <c r="C392" s="2" t="str">
        <f t="array" ref="C392">IF(NOW()&gt;AN392,"",IF(AND((WEEKDAY($A392)+$B$2)&gt;1,((WEEKDAY($A392)+$T$2)&lt;7),(WEEKDAY($A392)&lt;&gt;1)),"work",(INDEX(Subject!$A:$I,MATCH(RANDBETWEEN(1,(MAX(Subject!$B:$B))),Subject!$B:$B,0),3))))</f>
        <v/>
      </c>
      <c r="D392" s="2" t="str">
        <f t="array" ref="D392">IF(NOW()&gt;AO392,"",IF(AND((WEEKDAY($A392)+$B$2)&gt;1,((WEEKDAY($A392)+$T$2)&lt;7),(WEEKDAY($A392)&lt;&gt;1)),"work",(INDEX(Subject!$A:$I,MATCH(RANDBETWEEN(1,(MAX(Subject!$B:$B))),Subject!$B:$B,0),3))))</f>
        <v/>
      </c>
      <c r="E392" s="2" t="str">
        <f t="array" ref="E392">IF(NOW()&gt;AP392,"",IF(AND((WEEKDAY($A392)+$B$2)&gt;1,((WEEKDAY($A392)+$T$2)&lt;7),(WEEKDAY($A392)&lt;&gt;1)),"work",(INDEX(Subject!$A:$I,MATCH(RANDBETWEEN(1,(MAX(Subject!$B:$B))),Subject!$B:$B,0),3))))</f>
        <v/>
      </c>
      <c r="F392" s="2" t="str">
        <f t="array" ref="F392">IF(NOW()&gt;AQ392,"",IF(AND((WEEKDAY($A392)+$B$2)&gt;1,((WEEKDAY($A392)+$T$2)&lt;7),(WEEKDAY($A392)&lt;&gt;1)),"work",(INDEX(Subject!$A:$I,MATCH(RANDBETWEEN(1,(MAX(Subject!$B:$B))),Subject!$B:$B,0),3))))</f>
        <v/>
      </c>
      <c r="G392" s="2" t="str">
        <f t="array" ref="G392">IF(NOW()&gt;AR392,"",IF(AND((WEEKDAY($A392)+$B$2)&gt;1,((WEEKDAY($A392)+$T$2)&lt;7),(WEEKDAY($A392)&lt;&gt;1)),"work",(INDEX(Subject!$A:$I,MATCH(RANDBETWEEN(1,(MAX(Subject!$B:$B))),Subject!$B:$B,0),3))))</f>
        <v/>
      </c>
      <c r="H392" s="2" t="str">
        <f t="array" ref="H392">IF(NOW()&gt;AS392,"",IF(AND((WEEKDAY($A392)+$B$2)&gt;1,((WEEKDAY($A392)+$T$2)&lt;7),(WEEKDAY($A392)&lt;&gt;1)),"work",(INDEX(Subject!$A:$I,MATCH(RANDBETWEEN(1,(MAX(Subject!$B:$B))),Subject!$B:$B,0),3))))</f>
        <v/>
      </c>
      <c r="I392" s="2" t="str">
        <f t="array" ref="I392">IF(NOW()&gt;AT392,"",IF(AND((WEEKDAY($A392)+$B$2)&gt;1,((WEEKDAY($A392)+$T$2)&lt;7),(WEEKDAY($A392)&lt;&gt;1)),"work",(INDEX(Subject!$A:$I,MATCH(RANDBETWEEN(1,(MAX(Subject!$B:$B))),Subject!$B:$B,0),3))))</f>
        <v/>
      </c>
      <c r="J392" s="2" t="str">
        <f t="array" ref="J392">IF(NOW()&gt;AU392,"",IF(AND((WEEKDAY($A392)+$B$2)&gt;1,((WEEKDAY($A392)+$T$2)&lt;7),(WEEKDAY($A392)&lt;&gt;1)),"work",(INDEX(Subject!$A:$I,MATCH(RANDBETWEEN(1,(MAX(Subject!$B:$B))),Subject!$B:$B,0),3))))</f>
        <v/>
      </c>
      <c r="K392" s="2" t="str">
        <f t="array" ref="K392">IF(NOW()&gt;AV392,"",IF(AND((WEEKDAY($A392)+$B$2)&gt;1,((WEEKDAY($A392)+$T$2)&lt;7),(WEEKDAY($A392)&lt;&gt;1)),"work",(INDEX(Subject!$A:$I,MATCH(RANDBETWEEN(1,(MAX(Subject!$B:$B))),Subject!$B:$B,0),3))))</f>
        <v/>
      </c>
      <c r="L392" s="2" t="str">
        <f t="array" ref="L392">IF(NOW()&gt;AW392,"",IF(AND((WEEKDAY($A392)+$B$2)&gt;1,((WEEKDAY($A392)+$T$2)&lt;7),(WEEKDAY($A392)&lt;&gt;1)),"work",(INDEX(Subject!$A:$I,MATCH(RANDBETWEEN(1,(MAX(Subject!$B:$B))),Subject!$B:$B,0),3))))</f>
        <v/>
      </c>
      <c r="M392" s="2" t="str">
        <f t="array" ref="M392">IF(NOW()&gt;AX392,"",IF(AND((WEEKDAY($A392)+$B$2)&gt;1,((WEEKDAY($A392)+$T$2)&lt;7),(WEEKDAY($A392)&lt;&gt;1)),"work",(INDEX(Subject!$A:$I,MATCH(RANDBETWEEN(1,(MAX(Subject!$B:$B))),Subject!$B:$B,0),3))))</f>
        <v/>
      </c>
      <c r="N392" s="2" t="str">
        <f t="array" ref="N392">IF(NOW()&gt;AY392,"",IF(AND((WEEKDAY($A392)+$B$2)&gt;1,((WEEKDAY($A392)+$T$2)&lt;7),(WEEKDAY($A392)&lt;&gt;1)),"work",(INDEX(Subject!$A:$I,MATCH(RANDBETWEEN(1,(MAX(Subject!$B:$B))),Subject!$B:$B,0),3))))</f>
        <v/>
      </c>
      <c r="O392" s="2" t="str">
        <f t="array" ref="O392">IF(NOW()&gt;AZ392,"",IF(AND((WEEKDAY($A392)+$B$2)&gt;1,((WEEKDAY($A392)+$T$2)&lt;7),(WEEKDAY($A392)&lt;&gt;1)),"work",(INDEX(Subject!$A:$I,MATCH(RANDBETWEEN(1,(MAX(Subject!$B:$B))),Subject!$B:$B,0),3))))</f>
        <v/>
      </c>
      <c r="P392" s="2" t="str">
        <f t="array" ref="P392">IF(NOW()&gt;BA392,"",IF(AND((WEEKDAY($A392)+$B$2)&gt;1,((WEEKDAY($A392)+$T$2)&lt;7),(WEEKDAY($A392)&lt;&gt;1)),"work",(INDEX(Subject!$A:$I,MATCH(RANDBETWEEN(1,(MAX(Subject!$B:$B))),Subject!$B:$B,0),3))))</f>
        <v/>
      </c>
      <c r="Q392" s="2" t="str">
        <f t="array" ref="Q392">IF(NOW()&gt;BB392,"",IF(AND((WEEKDAY($A392)+$B$2)&gt;1,((WEEKDAY($A392)+$T$2)&lt;7),(WEEKDAY($A392)&lt;&gt;1)),"work",(INDEX(Subject!$A:$I,MATCH(RANDBETWEEN(1,(MAX(Subject!$B:$B))),Subject!$B:$B,0),3))))</f>
        <v/>
      </c>
      <c r="R392" s="2" t="str">
        <f t="array" ref="R392">IF(NOW()&gt;BC392,"",IF(AND((WEEKDAY($A392)+$B$2)&gt;1,((WEEKDAY($A392)+$T$2)&lt;7),(WEEKDAY($A392)&lt;&gt;1)),"work",(INDEX(Subject!$A:$I,MATCH(RANDBETWEEN(1,(MAX(Subject!$B:$B))),Subject!$B:$B,0),3))))</f>
        <v/>
      </c>
      <c r="S392" s="2" t="str">
        <f t="array" ref="S392">IF(NOW()&gt;BD392,"",IF(AND((WEEKDAY($A392)+$B$2)&gt;1,((WEEKDAY($A392)+$T$2)&lt;7),(WEEKDAY($A392)&lt;&gt;1)),"work",(INDEX(Subject!$A:$I,MATCH(RANDBETWEEN(1,(MAX(Subject!$B:$B))),Subject!$B:$B,0),3))))</f>
        <v/>
      </c>
      <c r="T392" s="2" t="str">
        <f t="array" ref="T392">IF(NOW()&gt;BE392,"",IF(AND((WEEKDAY($A392)+$B$2)&gt;1,((WEEKDAY($A392)+$T$2)&lt;7),(WEEKDAY($A392)&lt;&gt;1)),"work",(INDEX(Subject!$A:$I,MATCH(RANDBETWEEN(1,(MAX(Subject!$B:$B))),Subject!$B:$B,0),3))))</f>
        <v/>
      </c>
      <c r="U392" s="8" t="str">
        <f t="array" ref="U392">INDEX(Subject!$A:$I,MATCH(RANDBETWEEN(1,16),Subject!$B:$B,0),3)</f>
        <v>#N/A</v>
      </c>
      <c r="V392" s="8" t="str">
        <f t="array" ref="V392">INDEX(Subject!$A:$I,MATCH(RANDBETWEEN(1,16),Subject!$B:$B,0),3)</f>
        <v>#N/A</v>
      </c>
      <c r="W392" s="8" t="str">
        <f t="array" ref="W392">INDEX(Subject!$A:$I,MATCH(RANDBETWEEN(1,16),Subject!$B:$B,0),3)</f>
        <v>#N/A</v>
      </c>
      <c r="X392" s="8" t="str">
        <f t="array" ref="X392">INDEX(Subject!$A:$I,MATCH(RANDBETWEEN(1,16),Subject!$B:$B,0),3)</f>
        <v>#N/A</v>
      </c>
      <c r="Y392" s="8" t="str">
        <f t="array" ref="Y392">INDEX(Subject!$A:$I,MATCH(RANDBETWEEN(1,16),Subject!$B:$B,0),3)</f>
        <v>#N/A</v>
      </c>
      <c r="Z392" s="8" t="str">
        <f t="array" ref="Z392">INDEX(Subject!$A:$I,MATCH(RANDBETWEEN(1,16),Subject!$B:$B,0),3)</f>
        <v>#N/A</v>
      </c>
      <c r="AA392" s="8" t="str">
        <f t="array" ref="AA392">INDEX(Subject!$A:$I,MATCH(RANDBETWEEN(1,16),Subject!$B:$B,0),3)</f>
        <v>#N/A</v>
      </c>
      <c r="AB392" s="8" t="str">
        <f t="array" ref="AB392">INDEX(Subject!$A:$I,MATCH(RANDBETWEEN(1,16),Subject!$B:$B,0),3)</f>
        <v/>
      </c>
      <c r="AC392" s="8" t="str">
        <f t="array" ref="AC392">INDEX(Subject!$A:$I,MATCH(RANDBETWEEN(1,16),Subject!$B:$B,0),3)</f>
        <v>#N/A</v>
      </c>
      <c r="AD392" s="8" t="str">
        <f t="array" ref="AD392">INDEX(Subject!$A:$I,MATCH(RANDBETWEEN(1,16),Subject!$B:$B,0),3)</f>
        <v>#N/A</v>
      </c>
      <c r="AE392" s="8" t="str">
        <f t="array" ref="AE392">INDEX(Subject!$A:$I,MATCH(RANDBETWEEN(1,16),Subject!$B:$B,0),3)</f>
        <v>#N/A</v>
      </c>
      <c r="AF392" s="8" t="str">
        <f t="array" ref="AF392">INDEX(Subject!$A:$I,MATCH(RANDBETWEEN(1,16),Subject!$B:$B,0),3)</f>
        <v>#N/A</v>
      </c>
      <c r="AG392" s="8" t="str">
        <f t="array" ref="AG392">INDEX(Subject!$A:$I,MATCH(RANDBETWEEN(1,16),Subject!$B:$B,0),3)</f>
        <v>#N/A</v>
      </c>
      <c r="AH392" s="8" t="str">
        <f t="array" ref="AH392">INDEX(Subject!$A:$I,MATCH(RANDBETWEEN(1,16),Subject!$B:$B,0),3)</f>
        <v>#N/A</v>
      </c>
      <c r="AI392" s="8" t="str">
        <f t="array" ref="AI392">INDEX(Subject!$A:$I,MATCH(RANDBETWEEN(1,16),Subject!$B:$B,0),3)</f>
        <v>#N/A</v>
      </c>
      <c r="AJ392" s="8" t="str">
        <f t="array" ref="AJ392">INDEX(Subject!$A:$I,MATCH(RANDBETWEEN(1,16),Subject!$B:$B,0),3)</f>
        <v>#N/A</v>
      </c>
      <c r="AK392" s="8" t="str">
        <f t="array" ref="AK392">INDEX(Subject!$A:$I,MATCH(RANDBETWEEN(1,16),Subject!$B:$B,0),3)</f>
        <v>#N/A</v>
      </c>
      <c r="AL392" s="8" t="str">
        <f t="array" ref="AL392">INDEX(Subject!$A:$I,MATCH(RANDBETWEEN(1,16),Subject!$B:$B,0),3)</f>
        <v>#N/A</v>
      </c>
      <c r="AM392" s="18">
        <f t="shared" si="4"/>
        <v>45892.33333</v>
      </c>
      <c r="AN392" s="19">
        <f t="shared" ref="AN392:BZ392" si="392">$A392+C$1</f>
        <v>45892.35417</v>
      </c>
      <c r="AO392" s="19">
        <f t="shared" si="392"/>
        <v>45892.375</v>
      </c>
      <c r="AP392" s="19">
        <f t="shared" si="392"/>
        <v>45892.39583</v>
      </c>
      <c r="AQ392" s="19">
        <f t="shared" si="392"/>
        <v>45892.41667</v>
      </c>
      <c r="AR392" s="19">
        <f t="shared" si="392"/>
        <v>45892.4375</v>
      </c>
      <c r="AS392" s="19">
        <f t="shared" si="392"/>
        <v>45892.45833</v>
      </c>
      <c r="AT392" s="19">
        <f t="shared" si="392"/>
        <v>45892.47917</v>
      </c>
      <c r="AU392" s="19">
        <f t="shared" si="392"/>
        <v>45892.5</v>
      </c>
      <c r="AV392" s="19">
        <f t="shared" si="392"/>
        <v>45892.52083</v>
      </c>
      <c r="AW392" s="19">
        <f t="shared" si="392"/>
        <v>45892.54167</v>
      </c>
      <c r="AX392" s="19">
        <f t="shared" si="392"/>
        <v>45892.5625</v>
      </c>
      <c r="AY392" s="19">
        <f t="shared" si="392"/>
        <v>45892.58333</v>
      </c>
      <c r="AZ392" s="19">
        <f t="shared" si="392"/>
        <v>45892.60417</v>
      </c>
      <c r="BA392" s="19">
        <f t="shared" si="392"/>
        <v>45892.625</v>
      </c>
      <c r="BB392" s="19">
        <f t="shared" si="392"/>
        <v>45892.64583</v>
      </c>
      <c r="BC392" s="19">
        <f t="shared" si="392"/>
        <v>45892.66667</v>
      </c>
      <c r="BD392" s="19">
        <f t="shared" si="392"/>
        <v>45892.6875</v>
      </c>
      <c r="BE392" s="19">
        <f t="shared" si="392"/>
        <v>45892.70833</v>
      </c>
      <c r="BF392" s="19">
        <f t="shared" si="392"/>
        <v>45892.72917</v>
      </c>
      <c r="BG392" s="19">
        <f t="shared" si="392"/>
        <v>45892.75</v>
      </c>
      <c r="BH392" s="19">
        <f t="shared" si="392"/>
        <v>45892.77083</v>
      </c>
      <c r="BI392" s="19">
        <f t="shared" si="392"/>
        <v>45892.79167</v>
      </c>
      <c r="BJ392" s="19">
        <f t="shared" si="392"/>
        <v>45892.8125</v>
      </c>
      <c r="BK392" s="19">
        <f t="shared" si="392"/>
        <v>45892.83333</v>
      </c>
      <c r="BL392" s="19">
        <f t="shared" si="392"/>
        <v>45892.85417</v>
      </c>
      <c r="BM392" s="19">
        <f t="shared" si="392"/>
        <v>45892.875</v>
      </c>
      <c r="BN392" s="19">
        <f t="shared" si="392"/>
        <v>45892.89583</v>
      </c>
      <c r="BO392" s="19">
        <f t="shared" si="392"/>
        <v>45892.91667</v>
      </c>
      <c r="BP392" s="19">
        <f t="shared" si="392"/>
        <v>45892.9375</v>
      </c>
      <c r="BQ392" s="19">
        <f t="shared" si="392"/>
        <v>45892.95833</v>
      </c>
      <c r="BR392" s="19">
        <f t="shared" si="392"/>
        <v>45892.97917</v>
      </c>
      <c r="BS392" s="19">
        <f t="shared" si="392"/>
        <v>45893</v>
      </c>
      <c r="BT392" s="19">
        <f t="shared" si="392"/>
        <v>45893.02083</v>
      </c>
      <c r="BU392" s="19">
        <f t="shared" si="392"/>
        <v>45893.04167</v>
      </c>
      <c r="BV392" s="19">
        <f t="shared" si="392"/>
        <v>45893.0625</v>
      </c>
      <c r="BW392" s="19">
        <f t="shared" si="392"/>
        <v>45893.08333</v>
      </c>
      <c r="BX392" s="19">
        <f t="shared" si="392"/>
        <v>45892</v>
      </c>
      <c r="BY392" s="19">
        <f t="shared" si="392"/>
        <v>45892</v>
      </c>
      <c r="BZ392" s="19">
        <f t="shared" si="392"/>
        <v>45892</v>
      </c>
    </row>
    <row r="393" ht="14.25" customHeight="1">
      <c r="A393" s="17">
        <v>45893.0</v>
      </c>
      <c r="B393" s="2" t="str">
        <f t="array" ref="B393">IF(NOW()&gt;AM393,"",IF(AND((WEEKDAY($A393)+$B$2)&gt;1,((WEEKDAY($A393)+$T$2)&lt;7),(WEEKDAY($A393)&lt;&gt;1)),"work",(INDEX(Subject!$A:$I,MATCH(RANDBETWEEN(1,(MAX(Subject!$B:$B))),Subject!$B:$B,0),3))))</f>
        <v/>
      </c>
      <c r="C393" s="2" t="str">
        <f t="array" ref="C393">IF(NOW()&gt;AN393,"",IF(AND((WEEKDAY($A393)+$B$2)&gt;1,((WEEKDAY($A393)+$T$2)&lt;7),(WEEKDAY($A393)&lt;&gt;1)),"work",(INDEX(Subject!$A:$I,MATCH(RANDBETWEEN(1,(MAX(Subject!$B:$B))),Subject!$B:$B,0),3))))</f>
        <v/>
      </c>
      <c r="D393" s="2" t="str">
        <f t="array" ref="D393">IF(NOW()&gt;AO393,"",IF(AND((WEEKDAY($A393)+$B$2)&gt;1,((WEEKDAY($A393)+$T$2)&lt;7),(WEEKDAY($A393)&lt;&gt;1)),"work",(INDEX(Subject!$A:$I,MATCH(RANDBETWEEN(1,(MAX(Subject!$B:$B))),Subject!$B:$B,0),3))))</f>
        <v/>
      </c>
      <c r="E393" s="2" t="str">
        <f t="array" ref="E393">IF(NOW()&gt;AP393,"",IF(AND((WEEKDAY($A393)+$B$2)&gt;1,((WEEKDAY($A393)+$T$2)&lt;7),(WEEKDAY($A393)&lt;&gt;1)),"work",(INDEX(Subject!$A:$I,MATCH(RANDBETWEEN(1,(MAX(Subject!$B:$B))),Subject!$B:$B,0),3))))</f>
        <v/>
      </c>
      <c r="F393" s="2" t="str">
        <f t="array" ref="F393">IF(NOW()&gt;AQ393,"",IF(AND((WEEKDAY($A393)+$B$2)&gt;1,((WEEKDAY($A393)+$T$2)&lt;7),(WEEKDAY($A393)&lt;&gt;1)),"work",(INDEX(Subject!$A:$I,MATCH(RANDBETWEEN(1,(MAX(Subject!$B:$B))),Subject!$B:$B,0),3))))</f>
        <v/>
      </c>
      <c r="G393" s="2" t="str">
        <f t="array" ref="G393">IF(NOW()&gt;AR393,"",IF(AND((WEEKDAY($A393)+$B$2)&gt;1,((WEEKDAY($A393)+$T$2)&lt;7),(WEEKDAY($A393)&lt;&gt;1)),"work",(INDEX(Subject!$A:$I,MATCH(RANDBETWEEN(1,(MAX(Subject!$B:$B))),Subject!$B:$B,0),3))))</f>
        <v/>
      </c>
      <c r="H393" s="2" t="str">
        <f t="array" ref="H393">IF(NOW()&gt;AS393,"",IF(AND((WEEKDAY($A393)+$B$2)&gt;1,((WEEKDAY($A393)+$T$2)&lt;7),(WEEKDAY($A393)&lt;&gt;1)),"work",(INDEX(Subject!$A:$I,MATCH(RANDBETWEEN(1,(MAX(Subject!$B:$B))),Subject!$B:$B,0),3))))</f>
        <v/>
      </c>
      <c r="I393" s="2" t="str">
        <f t="array" ref="I393">IF(NOW()&gt;AT393,"",IF(AND((WEEKDAY($A393)+$B$2)&gt;1,((WEEKDAY($A393)+$T$2)&lt;7),(WEEKDAY($A393)&lt;&gt;1)),"work",(INDEX(Subject!$A:$I,MATCH(RANDBETWEEN(1,(MAX(Subject!$B:$B))),Subject!$B:$B,0),3))))</f>
        <v/>
      </c>
      <c r="J393" s="2" t="str">
        <f t="array" ref="J393">IF(NOW()&gt;AU393,"",IF(AND((WEEKDAY($A393)+$B$2)&gt;1,((WEEKDAY($A393)+$T$2)&lt;7),(WEEKDAY($A393)&lt;&gt;1)),"work",(INDEX(Subject!$A:$I,MATCH(RANDBETWEEN(1,(MAX(Subject!$B:$B))),Subject!$B:$B,0),3))))</f>
        <v/>
      </c>
      <c r="K393" s="2" t="str">
        <f t="array" ref="K393">IF(NOW()&gt;AV393,"",IF(AND((WEEKDAY($A393)+$B$2)&gt;1,((WEEKDAY($A393)+$T$2)&lt;7),(WEEKDAY($A393)&lt;&gt;1)),"work",(INDEX(Subject!$A:$I,MATCH(RANDBETWEEN(1,(MAX(Subject!$B:$B))),Subject!$B:$B,0),3))))</f>
        <v/>
      </c>
      <c r="L393" s="2" t="str">
        <f t="array" ref="L393">IF(NOW()&gt;AW393,"",IF(AND((WEEKDAY($A393)+$B$2)&gt;1,((WEEKDAY($A393)+$T$2)&lt;7),(WEEKDAY($A393)&lt;&gt;1)),"work",(INDEX(Subject!$A:$I,MATCH(RANDBETWEEN(1,(MAX(Subject!$B:$B))),Subject!$B:$B,0),3))))</f>
        <v/>
      </c>
      <c r="M393" s="2" t="str">
        <f t="array" ref="M393">IF(NOW()&gt;AX393,"",IF(AND((WEEKDAY($A393)+$B$2)&gt;1,((WEEKDAY($A393)+$T$2)&lt;7),(WEEKDAY($A393)&lt;&gt;1)),"work",(INDEX(Subject!$A:$I,MATCH(RANDBETWEEN(1,(MAX(Subject!$B:$B))),Subject!$B:$B,0),3))))</f>
        <v/>
      </c>
      <c r="N393" s="2" t="str">
        <f t="array" ref="N393">IF(NOW()&gt;AY393,"",IF(AND((WEEKDAY($A393)+$B$2)&gt;1,((WEEKDAY($A393)+$T$2)&lt;7),(WEEKDAY($A393)&lt;&gt;1)),"work",(INDEX(Subject!$A:$I,MATCH(RANDBETWEEN(1,(MAX(Subject!$B:$B))),Subject!$B:$B,0),3))))</f>
        <v/>
      </c>
      <c r="O393" s="2" t="str">
        <f t="array" ref="O393">IF(NOW()&gt;AZ393,"",IF(AND((WEEKDAY($A393)+$B$2)&gt;1,((WEEKDAY($A393)+$T$2)&lt;7),(WEEKDAY($A393)&lt;&gt;1)),"work",(INDEX(Subject!$A:$I,MATCH(RANDBETWEEN(1,(MAX(Subject!$B:$B))),Subject!$B:$B,0),3))))</f>
        <v/>
      </c>
      <c r="P393" s="2" t="str">
        <f t="array" ref="P393">IF(NOW()&gt;BA393,"",IF(AND((WEEKDAY($A393)+$B$2)&gt;1,((WEEKDAY($A393)+$T$2)&lt;7),(WEEKDAY($A393)&lt;&gt;1)),"work",(INDEX(Subject!$A:$I,MATCH(RANDBETWEEN(1,(MAX(Subject!$B:$B))),Subject!$B:$B,0),3))))</f>
        <v/>
      </c>
      <c r="Q393" s="2" t="str">
        <f t="array" ref="Q393">IF(NOW()&gt;BB393,"",IF(AND((WEEKDAY($A393)+$B$2)&gt;1,((WEEKDAY($A393)+$T$2)&lt;7),(WEEKDAY($A393)&lt;&gt;1)),"work",(INDEX(Subject!$A:$I,MATCH(RANDBETWEEN(1,(MAX(Subject!$B:$B))),Subject!$B:$B,0),3))))</f>
        <v/>
      </c>
      <c r="R393" s="2" t="str">
        <f t="array" ref="R393">IF(NOW()&gt;BC393,"",IF(AND((WEEKDAY($A393)+$B$2)&gt;1,((WEEKDAY($A393)+$T$2)&lt;7),(WEEKDAY($A393)&lt;&gt;1)),"work",(INDEX(Subject!$A:$I,MATCH(RANDBETWEEN(1,(MAX(Subject!$B:$B))),Subject!$B:$B,0),3))))</f>
        <v/>
      </c>
      <c r="S393" s="2" t="str">
        <f t="array" ref="S393">IF(NOW()&gt;BD393,"",IF(AND((WEEKDAY($A393)+$B$2)&gt;1,((WEEKDAY($A393)+$T$2)&lt;7),(WEEKDAY($A393)&lt;&gt;1)),"work",(INDEX(Subject!$A:$I,MATCH(RANDBETWEEN(1,(MAX(Subject!$B:$B))),Subject!$B:$B,0),3))))</f>
        <v/>
      </c>
      <c r="T393" s="2" t="str">
        <f t="array" ref="T393">IF(NOW()&gt;BE393,"",IF(AND((WEEKDAY($A393)+$B$2)&gt;1,((WEEKDAY($A393)+$T$2)&lt;7),(WEEKDAY($A393)&lt;&gt;1)),"work",(INDEX(Subject!$A:$I,MATCH(RANDBETWEEN(1,(MAX(Subject!$B:$B))),Subject!$B:$B,0),3))))</f>
        <v/>
      </c>
      <c r="U393" s="8" t="str">
        <f t="array" ref="U393">INDEX(Subject!$A:$I,MATCH(RANDBETWEEN(1,16),Subject!$B:$B,0),3)</f>
        <v>#N/A</v>
      </c>
      <c r="V393" s="8" t="str">
        <f t="array" ref="V393">INDEX(Subject!$A:$I,MATCH(RANDBETWEEN(1,16),Subject!$B:$B,0),3)</f>
        <v>#N/A</v>
      </c>
      <c r="W393" s="8" t="str">
        <f t="array" ref="W393">INDEX(Subject!$A:$I,MATCH(RANDBETWEEN(1,16),Subject!$B:$B,0),3)</f>
        <v>#N/A</v>
      </c>
      <c r="X393" s="8" t="str">
        <f t="array" ref="X393">INDEX(Subject!$A:$I,MATCH(RANDBETWEEN(1,16),Subject!$B:$B,0),3)</f>
        <v>#N/A</v>
      </c>
      <c r="Y393" s="8" t="str">
        <f t="array" ref="Y393">INDEX(Subject!$A:$I,MATCH(RANDBETWEEN(1,16),Subject!$B:$B,0),3)</f>
        <v>#N/A</v>
      </c>
      <c r="Z393" s="8" t="str">
        <f t="array" ref="Z393">INDEX(Subject!$A:$I,MATCH(RANDBETWEEN(1,16),Subject!$B:$B,0),3)</f>
        <v>#N/A</v>
      </c>
      <c r="AA393" s="8" t="str">
        <f t="array" ref="AA393">INDEX(Subject!$A:$I,MATCH(RANDBETWEEN(1,16),Subject!$B:$B,0),3)</f>
        <v>#N/A</v>
      </c>
      <c r="AB393" s="8" t="str">
        <f t="array" ref="AB393">INDEX(Subject!$A:$I,MATCH(RANDBETWEEN(1,16),Subject!$B:$B,0),3)</f>
        <v>#N/A</v>
      </c>
      <c r="AC393" s="8" t="str">
        <f t="array" ref="AC393">INDEX(Subject!$A:$I,MATCH(RANDBETWEEN(1,16),Subject!$B:$B,0),3)</f>
        <v>#N/A</v>
      </c>
      <c r="AD393" s="8" t="str">
        <f t="array" ref="AD393">INDEX(Subject!$A:$I,MATCH(RANDBETWEEN(1,16),Subject!$B:$B,0),3)</f>
        <v/>
      </c>
      <c r="AE393" s="8" t="str">
        <f t="array" ref="AE393">INDEX(Subject!$A:$I,MATCH(RANDBETWEEN(1,16),Subject!$B:$B,0),3)</f>
        <v>#N/A</v>
      </c>
      <c r="AF393" s="8" t="str">
        <f t="array" ref="AF393">INDEX(Subject!$A:$I,MATCH(RANDBETWEEN(1,16),Subject!$B:$B,0),3)</f>
        <v>#N/A</v>
      </c>
      <c r="AG393" s="8" t="str">
        <f t="array" ref="AG393">INDEX(Subject!$A:$I,MATCH(RANDBETWEEN(1,16),Subject!$B:$B,0),3)</f>
        <v>#N/A</v>
      </c>
      <c r="AH393" s="8" t="str">
        <f t="array" ref="AH393">INDEX(Subject!$A:$I,MATCH(RANDBETWEEN(1,16),Subject!$B:$B,0),3)</f>
        <v>#N/A</v>
      </c>
      <c r="AI393" s="8" t="str">
        <f t="array" ref="AI393">INDEX(Subject!$A:$I,MATCH(RANDBETWEEN(1,16),Subject!$B:$B,0),3)</f>
        <v>#N/A</v>
      </c>
      <c r="AJ393" s="8" t="str">
        <f t="array" ref="AJ393">INDEX(Subject!$A:$I,MATCH(RANDBETWEEN(1,16),Subject!$B:$B,0),3)</f>
        <v>#N/A</v>
      </c>
      <c r="AK393" s="8" t="str">
        <f t="array" ref="AK393">INDEX(Subject!$A:$I,MATCH(RANDBETWEEN(1,16),Subject!$B:$B,0),3)</f>
        <v>#N/A</v>
      </c>
      <c r="AL393" s="8" t="str">
        <f t="array" ref="AL393">INDEX(Subject!$A:$I,MATCH(RANDBETWEEN(1,16),Subject!$B:$B,0),3)</f>
        <v>#N/A</v>
      </c>
      <c r="AM393" s="18">
        <f t="shared" si="4"/>
        <v>45893.33333</v>
      </c>
      <c r="AN393" s="19">
        <f t="shared" ref="AN393:BZ393" si="393">$A393+C$1</f>
        <v>45893.35417</v>
      </c>
      <c r="AO393" s="19">
        <f t="shared" si="393"/>
        <v>45893.375</v>
      </c>
      <c r="AP393" s="19">
        <f t="shared" si="393"/>
        <v>45893.39583</v>
      </c>
      <c r="AQ393" s="19">
        <f t="shared" si="393"/>
        <v>45893.41667</v>
      </c>
      <c r="AR393" s="19">
        <f t="shared" si="393"/>
        <v>45893.4375</v>
      </c>
      <c r="AS393" s="19">
        <f t="shared" si="393"/>
        <v>45893.45833</v>
      </c>
      <c r="AT393" s="19">
        <f t="shared" si="393"/>
        <v>45893.47917</v>
      </c>
      <c r="AU393" s="19">
        <f t="shared" si="393"/>
        <v>45893.5</v>
      </c>
      <c r="AV393" s="19">
        <f t="shared" si="393"/>
        <v>45893.52083</v>
      </c>
      <c r="AW393" s="19">
        <f t="shared" si="393"/>
        <v>45893.54167</v>
      </c>
      <c r="AX393" s="19">
        <f t="shared" si="393"/>
        <v>45893.5625</v>
      </c>
      <c r="AY393" s="19">
        <f t="shared" si="393"/>
        <v>45893.58333</v>
      </c>
      <c r="AZ393" s="19">
        <f t="shared" si="393"/>
        <v>45893.60417</v>
      </c>
      <c r="BA393" s="19">
        <f t="shared" si="393"/>
        <v>45893.625</v>
      </c>
      <c r="BB393" s="19">
        <f t="shared" si="393"/>
        <v>45893.64583</v>
      </c>
      <c r="BC393" s="19">
        <f t="shared" si="393"/>
        <v>45893.66667</v>
      </c>
      <c r="BD393" s="19">
        <f t="shared" si="393"/>
        <v>45893.6875</v>
      </c>
      <c r="BE393" s="19">
        <f t="shared" si="393"/>
        <v>45893.70833</v>
      </c>
      <c r="BF393" s="19">
        <f t="shared" si="393"/>
        <v>45893.72917</v>
      </c>
      <c r="BG393" s="19">
        <f t="shared" si="393"/>
        <v>45893.75</v>
      </c>
      <c r="BH393" s="19">
        <f t="shared" si="393"/>
        <v>45893.77083</v>
      </c>
      <c r="BI393" s="19">
        <f t="shared" si="393"/>
        <v>45893.79167</v>
      </c>
      <c r="BJ393" s="19">
        <f t="shared" si="393"/>
        <v>45893.8125</v>
      </c>
      <c r="BK393" s="19">
        <f t="shared" si="393"/>
        <v>45893.83333</v>
      </c>
      <c r="BL393" s="19">
        <f t="shared" si="393"/>
        <v>45893.85417</v>
      </c>
      <c r="BM393" s="19">
        <f t="shared" si="393"/>
        <v>45893.875</v>
      </c>
      <c r="BN393" s="19">
        <f t="shared" si="393"/>
        <v>45893.89583</v>
      </c>
      <c r="BO393" s="19">
        <f t="shared" si="393"/>
        <v>45893.91667</v>
      </c>
      <c r="BP393" s="19">
        <f t="shared" si="393"/>
        <v>45893.9375</v>
      </c>
      <c r="BQ393" s="19">
        <f t="shared" si="393"/>
        <v>45893.95833</v>
      </c>
      <c r="BR393" s="19">
        <f t="shared" si="393"/>
        <v>45893.97917</v>
      </c>
      <c r="BS393" s="19">
        <f t="shared" si="393"/>
        <v>45894</v>
      </c>
      <c r="BT393" s="19">
        <f t="shared" si="393"/>
        <v>45894.02083</v>
      </c>
      <c r="BU393" s="19">
        <f t="shared" si="393"/>
        <v>45894.04167</v>
      </c>
      <c r="BV393" s="19">
        <f t="shared" si="393"/>
        <v>45894.0625</v>
      </c>
      <c r="BW393" s="19">
        <f t="shared" si="393"/>
        <v>45894.08333</v>
      </c>
      <c r="BX393" s="19">
        <f t="shared" si="393"/>
        <v>45893</v>
      </c>
      <c r="BY393" s="19">
        <f t="shared" si="393"/>
        <v>45893</v>
      </c>
      <c r="BZ393" s="19">
        <f t="shared" si="393"/>
        <v>45893</v>
      </c>
    </row>
    <row r="394" ht="14.25" customHeight="1">
      <c r="A394" s="17">
        <v>45894.0</v>
      </c>
      <c r="B394" s="2" t="str">
        <f t="array" ref="B394">IF(NOW()&gt;AM394,"",IF(AND((WEEKDAY($A394)+$B$2)&gt;1,((WEEKDAY($A394)+$T$2)&lt;7),(WEEKDAY($A394)&lt;&gt;1)),"work",(INDEX(Subject!$A:$I,MATCH(RANDBETWEEN(1,(MAX(Subject!$B:$B))),Subject!$B:$B,0),3))))</f>
        <v/>
      </c>
      <c r="C394" s="2" t="str">
        <f t="array" ref="C394">IF(NOW()&gt;AN394,"",IF(AND((WEEKDAY($A394)+$B$2)&gt;1,((WEEKDAY($A394)+$T$2)&lt;7),(WEEKDAY($A394)&lt;&gt;1)),"work",(INDEX(Subject!$A:$I,MATCH(RANDBETWEEN(1,(MAX(Subject!$B:$B))),Subject!$B:$B,0),3))))</f>
        <v/>
      </c>
      <c r="D394" s="2" t="str">
        <f t="array" ref="D394">IF(NOW()&gt;AO394,"",IF(AND((WEEKDAY($A394)+$B$2)&gt;1,((WEEKDAY($A394)+$T$2)&lt;7),(WEEKDAY($A394)&lt;&gt;1)),"work",(INDEX(Subject!$A:$I,MATCH(RANDBETWEEN(1,(MAX(Subject!$B:$B))),Subject!$B:$B,0),3))))</f>
        <v/>
      </c>
      <c r="E394" s="2" t="str">
        <f t="array" ref="E394">IF(NOW()&gt;AP394,"",IF(AND((WEEKDAY($A394)+$B$2)&gt;1,((WEEKDAY($A394)+$T$2)&lt;7),(WEEKDAY($A394)&lt;&gt;1)),"work",(INDEX(Subject!$A:$I,MATCH(RANDBETWEEN(1,(MAX(Subject!$B:$B))),Subject!$B:$B,0),3))))</f>
        <v/>
      </c>
      <c r="F394" s="2" t="str">
        <f t="array" ref="F394">IF(NOW()&gt;AQ394,"",IF(AND((WEEKDAY($A394)+$B$2)&gt;1,((WEEKDAY($A394)+$T$2)&lt;7),(WEEKDAY($A394)&lt;&gt;1)),"work",(INDEX(Subject!$A:$I,MATCH(RANDBETWEEN(1,(MAX(Subject!$B:$B))),Subject!$B:$B,0),3))))</f>
        <v/>
      </c>
      <c r="G394" s="2" t="str">
        <f t="array" ref="G394">IF(NOW()&gt;AR394,"",IF(AND((WEEKDAY($A394)+$B$2)&gt;1,((WEEKDAY($A394)+$T$2)&lt;7),(WEEKDAY($A394)&lt;&gt;1)),"work",(INDEX(Subject!$A:$I,MATCH(RANDBETWEEN(1,(MAX(Subject!$B:$B))),Subject!$B:$B,0),3))))</f>
        <v/>
      </c>
      <c r="H394" s="2" t="str">
        <f t="array" ref="H394">IF(NOW()&gt;AS394,"",IF(AND((WEEKDAY($A394)+$B$2)&gt;1,((WEEKDAY($A394)+$T$2)&lt;7),(WEEKDAY($A394)&lt;&gt;1)),"work",(INDEX(Subject!$A:$I,MATCH(RANDBETWEEN(1,(MAX(Subject!$B:$B))),Subject!$B:$B,0),3))))</f>
        <v/>
      </c>
      <c r="I394" s="2" t="str">
        <f t="array" ref="I394">IF(NOW()&gt;AT394,"",IF(AND((WEEKDAY($A394)+$B$2)&gt;1,((WEEKDAY($A394)+$T$2)&lt;7),(WEEKDAY($A394)&lt;&gt;1)),"work",(INDEX(Subject!$A:$I,MATCH(RANDBETWEEN(1,(MAX(Subject!$B:$B))),Subject!$B:$B,0),3))))</f>
        <v/>
      </c>
      <c r="J394" s="2" t="str">
        <f t="array" ref="J394">IF(NOW()&gt;AU394,"",IF(AND((WEEKDAY($A394)+$B$2)&gt;1,((WEEKDAY($A394)+$T$2)&lt;7),(WEEKDAY($A394)&lt;&gt;1)),"work",(INDEX(Subject!$A:$I,MATCH(RANDBETWEEN(1,(MAX(Subject!$B:$B))),Subject!$B:$B,0),3))))</f>
        <v/>
      </c>
      <c r="K394" s="2" t="str">
        <f t="array" ref="K394">IF(NOW()&gt;AV394,"",IF(AND((WEEKDAY($A394)+$B$2)&gt;1,((WEEKDAY($A394)+$T$2)&lt;7),(WEEKDAY($A394)&lt;&gt;1)),"work",(INDEX(Subject!$A:$I,MATCH(RANDBETWEEN(1,(MAX(Subject!$B:$B))),Subject!$B:$B,0),3))))</f>
        <v/>
      </c>
      <c r="L394" s="2" t="str">
        <f t="array" ref="L394">IF(NOW()&gt;AW394,"",IF(AND((WEEKDAY($A394)+$B$2)&gt;1,((WEEKDAY($A394)+$T$2)&lt;7),(WEEKDAY($A394)&lt;&gt;1)),"work",(INDEX(Subject!$A:$I,MATCH(RANDBETWEEN(1,(MAX(Subject!$B:$B))),Subject!$B:$B,0),3))))</f>
        <v/>
      </c>
      <c r="M394" s="2" t="str">
        <f t="array" ref="M394">IF(NOW()&gt;AX394,"",IF(AND((WEEKDAY($A394)+$B$2)&gt;1,((WEEKDAY($A394)+$T$2)&lt;7),(WEEKDAY($A394)&lt;&gt;1)),"work",(INDEX(Subject!$A:$I,MATCH(RANDBETWEEN(1,(MAX(Subject!$B:$B))),Subject!$B:$B,0),3))))</f>
        <v/>
      </c>
      <c r="N394" s="2" t="str">
        <f t="array" ref="N394">IF(NOW()&gt;AY394,"",IF(AND((WEEKDAY($A394)+$B$2)&gt;1,((WEEKDAY($A394)+$T$2)&lt;7),(WEEKDAY($A394)&lt;&gt;1)),"work",(INDEX(Subject!$A:$I,MATCH(RANDBETWEEN(1,(MAX(Subject!$B:$B))),Subject!$B:$B,0),3))))</f>
        <v/>
      </c>
      <c r="O394" s="2" t="str">
        <f t="array" ref="O394">IF(NOW()&gt;AZ394,"",IF(AND((WEEKDAY($A394)+$B$2)&gt;1,((WEEKDAY($A394)+$T$2)&lt;7),(WEEKDAY($A394)&lt;&gt;1)),"work",(INDEX(Subject!$A:$I,MATCH(RANDBETWEEN(1,(MAX(Subject!$B:$B))),Subject!$B:$B,0),3))))</f>
        <v/>
      </c>
      <c r="P394" s="2" t="str">
        <f t="array" ref="P394">IF(NOW()&gt;BA394,"",IF(AND((WEEKDAY($A394)+$B$2)&gt;1,((WEEKDAY($A394)+$T$2)&lt;7),(WEEKDAY($A394)&lt;&gt;1)),"work",(INDEX(Subject!$A:$I,MATCH(RANDBETWEEN(1,(MAX(Subject!$B:$B))),Subject!$B:$B,0),3))))</f>
        <v/>
      </c>
      <c r="Q394" s="2" t="str">
        <f t="array" ref="Q394">IF(NOW()&gt;BB394,"",IF(AND((WEEKDAY($A394)+$B$2)&gt;1,((WEEKDAY($A394)+$T$2)&lt;7),(WEEKDAY($A394)&lt;&gt;1)),"work",(INDEX(Subject!$A:$I,MATCH(RANDBETWEEN(1,(MAX(Subject!$B:$B))),Subject!$B:$B,0),3))))</f>
        <v/>
      </c>
      <c r="R394" s="2" t="str">
        <f t="array" ref="R394">IF(NOW()&gt;BC394,"",IF(AND((WEEKDAY($A394)+$B$2)&gt;1,((WEEKDAY($A394)+$T$2)&lt;7),(WEEKDAY($A394)&lt;&gt;1)),"work",(INDEX(Subject!$A:$I,MATCH(RANDBETWEEN(1,(MAX(Subject!$B:$B))),Subject!$B:$B,0),3))))</f>
        <v/>
      </c>
      <c r="S394" s="2" t="str">
        <f t="array" ref="S394">IF(NOW()&gt;BD394,"",IF(AND((WEEKDAY($A394)+$B$2)&gt;1,((WEEKDAY($A394)+$T$2)&lt;7),(WEEKDAY($A394)&lt;&gt;1)),"work",(INDEX(Subject!$A:$I,MATCH(RANDBETWEEN(1,(MAX(Subject!$B:$B))),Subject!$B:$B,0),3))))</f>
        <v/>
      </c>
      <c r="T394" s="2" t="str">
        <f t="array" ref="T394">IF(NOW()&gt;BE394,"",IF(AND((WEEKDAY($A394)+$B$2)&gt;1,((WEEKDAY($A394)+$T$2)&lt;7),(WEEKDAY($A394)&lt;&gt;1)),"work",(INDEX(Subject!$A:$I,MATCH(RANDBETWEEN(1,(MAX(Subject!$B:$B))),Subject!$B:$B,0),3))))</f>
        <v/>
      </c>
      <c r="U394" s="8" t="str">
        <f t="array" ref="U394">INDEX(Subject!$A:$I,MATCH(RANDBETWEEN(1,16),Subject!$B:$B,0),3)</f>
        <v>#N/A</v>
      </c>
      <c r="V394" s="8" t="str">
        <f t="array" ref="V394">INDEX(Subject!$A:$I,MATCH(RANDBETWEEN(1,16),Subject!$B:$B,0),3)</f>
        <v>#N/A</v>
      </c>
      <c r="W394" s="8" t="str">
        <f t="array" ref="W394">INDEX(Subject!$A:$I,MATCH(RANDBETWEEN(1,16),Subject!$B:$B,0),3)</f>
        <v>#N/A</v>
      </c>
      <c r="X394" s="8" t="str">
        <f t="array" ref="X394">INDEX(Subject!$A:$I,MATCH(RANDBETWEEN(1,16),Subject!$B:$B,0),3)</f>
        <v>#N/A</v>
      </c>
      <c r="Y394" s="8" t="str">
        <f t="array" ref="Y394">INDEX(Subject!$A:$I,MATCH(RANDBETWEEN(1,16),Subject!$B:$B,0),3)</f>
        <v>#N/A</v>
      </c>
      <c r="Z394" s="8" t="str">
        <f t="array" ref="Z394">INDEX(Subject!$A:$I,MATCH(RANDBETWEEN(1,16),Subject!$B:$B,0),3)</f>
        <v>#N/A</v>
      </c>
      <c r="AA394" s="8" t="str">
        <f t="array" ref="AA394">INDEX(Subject!$A:$I,MATCH(RANDBETWEEN(1,16),Subject!$B:$B,0),3)</f>
        <v>#N/A</v>
      </c>
      <c r="AB394" s="8" t="str">
        <f t="array" ref="AB394">INDEX(Subject!$A:$I,MATCH(RANDBETWEEN(1,16),Subject!$B:$B,0),3)</f>
        <v>#N/A</v>
      </c>
      <c r="AC394" s="8" t="str">
        <f t="array" ref="AC394">INDEX(Subject!$A:$I,MATCH(RANDBETWEEN(1,16),Subject!$B:$B,0),3)</f>
        <v>#N/A</v>
      </c>
      <c r="AD394" s="8" t="str">
        <f t="array" ref="AD394">INDEX(Subject!$A:$I,MATCH(RANDBETWEEN(1,16),Subject!$B:$B,0),3)</f>
        <v>#N/A</v>
      </c>
      <c r="AE394" s="8" t="str">
        <f t="array" ref="AE394">INDEX(Subject!$A:$I,MATCH(RANDBETWEEN(1,16),Subject!$B:$B,0),3)</f>
        <v>#N/A</v>
      </c>
      <c r="AF394" s="8" t="str">
        <f t="array" ref="AF394">INDEX(Subject!$A:$I,MATCH(RANDBETWEEN(1,16),Subject!$B:$B,0),3)</f>
        <v>#N/A</v>
      </c>
      <c r="AG394" s="8" t="str">
        <f t="array" ref="AG394">INDEX(Subject!$A:$I,MATCH(RANDBETWEEN(1,16),Subject!$B:$B,0),3)</f>
        <v>#N/A</v>
      </c>
      <c r="AH394" s="8" t="str">
        <f t="array" ref="AH394">INDEX(Subject!$A:$I,MATCH(RANDBETWEEN(1,16),Subject!$B:$B,0),3)</f>
        <v>#N/A</v>
      </c>
      <c r="AI394" s="8" t="str">
        <f t="array" ref="AI394">INDEX(Subject!$A:$I,MATCH(RANDBETWEEN(1,16),Subject!$B:$B,0),3)</f>
        <v>#N/A</v>
      </c>
      <c r="AJ394" s="8" t="str">
        <f t="array" ref="AJ394">INDEX(Subject!$A:$I,MATCH(RANDBETWEEN(1,16),Subject!$B:$B,0),3)</f>
        <v>#N/A</v>
      </c>
      <c r="AK394" s="8" t="str">
        <f t="array" ref="AK394">INDEX(Subject!$A:$I,MATCH(RANDBETWEEN(1,16),Subject!$B:$B,0),3)</f>
        <v/>
      </c>
      <c r="AL394" s="8" t="str">
        <f t="array" ref="AL394">INDEX(Subject!$A:$I,MATCH(RANDBETWEEN(1,16),Subject!$B:$B,0),3)</f>
        <v>#N/A</v>
      </c>
      <c r="AM394" s="18">
        <f t="shared" si="4"/>
        <v>45894.33333</v>
      </c>
      <c r="AN394" s="19">
        <f t="shared" ref="AN394:BZ394" si="394">$A394+C$1</f>
        <v>45894.35417</v>
      </c>
      <c r="AO394" s="19">
        <f t="shared" si="394"/>
        <v>45894.375</v>
      </c>
      <c r="AP394" s="19">
        <f t="shared" si="394"/>
        <v>45894.39583</v>
      </c>
      <c r="AQ394" s="19">
        <f t="shared" si="394"/>
        <v>45894.41667</v>
      </c>
      <c r="AR394" s="19">
        <f t="shared" si="394"/>
        <v>45894.4375</v>
      </c>
      <c r="AS394" s="19">
        <f t="shared" si="394"/>
        <v>45894.45833</v>
      </c>
      <c r="AT394" s="19">
        <f t="shared" si="394"/>
        <v>45894.47917</v>
      </c>
      <c r="AU394" s="19">
        <f t="shared" si="394"/>
        <v>45894.5</v>
      </c>
      <c r="AV394" s="19">
        <f t="shared" si="394"/>
        <v>45894.52083</v>
      </c>
      <c r="AW394" s="19">
        <f t="shared" si="394"/>
        <v>45894.54167</v>
      </c>
      <c r="AX394" s="19">
        <f t="shared" si="394"/>
        <v>45894.5625</v>
      </c>
      <c r="AY394" s="19">
        <f t="shared" si="394"/>
        <v>45894.58333</v>
      </c>
      <c r="AZ394" s="19">
        <f t="shared" si="394"/>
        <v>45894.60417</v>
      </c>
      <c r="BA394" s="19">
        <f t="shared" si="394"/>
        <v>45894.625</v>
      </c>
      <c r="BB394" s="19">
        <f t="shared" si="394"/>
        <v>45894.64583</v>
      </c>
      <c r="BC394" s="19">
        <f t="shared" si="394"/>
        <v>45894.66667</v>
      </c>
      <c r="BD394" s="19">
        <f t="shared" si="394"/>
        <v>45894.6875</v>
      </c>
      <c r="BE394" s="19">
        <f t="shared" si="394"/>
        <v>45894.70833</v>
      </c>
      <c r="BF394" s="19">
        <f t="shared" si="394"/>
        <v>45894.72917</v>
      </c>
      <c r="BG394" s="19">
        <f t="shared" si="394"/>
        <v>45894.75</v>
      </c>
      <c r="BH394" s="19">
        <f t="shared" si="394"/>
        <v>45894.77083</v>
      </c>
      <c r="BI394" s="19">
        <f t="shared" si="394"/>
        <v>45894.79167</v>
      </c>
      <c r="BJ394" s="19">
        <f t="shared" si="394"/>
        <v>45894.8125</v>
      </c>
      <c r="BK394" s="19">
        <f t="shared" si="394"/>
        <v>45894.83333</v>
      </c>
      <c r="BL394" s="19">
        <f t="shared" si="394"/>
        <v>45894.85417</v>
      </c>
      <c r="BM394" s="19">
        <f t="shared" si="394"/>
        <v>45894.875</v>
      </c>
      <c r="BN394" s="19">
        <f t="shared" si="394"/>
        <v>45894.89583</v>
      </c>
      <c r="BO394" s="19">
        <f t="shared" si="394"/>
        <v>45894.91667</v>
      </c>
      <c r="BP394" s="19">
        <f t="shared" si="394"/>
        <v>45894.9375</v>
      </c>
      <c r="BQ394" s="19">
        <f t="shared" si="394"/>
        <v>45894.95833</v>
      </c>
      <c r="BR394" s="19">
        <f t="shared" si="394"/>
        <v>45894.97917</v>
      </c>
      <c r="BS394" s="19">
        <f t="shared" si="394"/>
        <v>45895</v>
      </c>
      <c r="BT394" s="19">
        <f t="shared" si="394"/>
        <v>45895.02083</v>
      </c>
      <c r="BU394" s="19">
        <f t="shared" si="394"/>
        <v>45895.04167</v>
      </c>
      <c r="BV394" s="19">
        <f t="shared" si="394"/>
        <v>45895.0625</v>
      </c>
      <c r="BW394" s="19">
        <f t="shared" si="394"/>
        <v>45895.08333</v>
      </c>
      <c r="BX394" s="19">
        <f t="shared" si="394"/>
        <v>45894</v>
      </c>
      <c r="BY394" s="19">
        <f t="shared" si="394"/>
        <v>45894</v>
      </c>
      <c r="BZ394" s="19">
        <f t="shared" si="394"/>
        <v>45894</v>
      </c>
    </row>
    <row r="395" ht="14.25" customHeight="1">
      <c r="A395" s="17">
        <v>45895.0</v>
      </c>
      <c r="B395" s="2" t="str">
        <f t="array" ref="B395">IF(NOW()&gt;AM395,"",IF(AND((WEEKDAY($A395)+$B$2)&gt;1,((WEEKDAY($A395)+$T$2)&lt;7),(WEEKDAY($A395)&lt;&gt;1)),"work",(INDEX(Subject!$A:$I,MATCH(RANDBETWEEN(1,(MAX(Subject!$B:$B))),Subject!$B:$B,0),3))))</f>
        <v/>
      </c>
      <c r="C395" s="2" t="str">
        <f t="array" ref="C395">IF(NOW()&gt;AN395,"",IF(AND((WEEKDAY($A395)+$B$2)&gt;1,((WEEKDAY($A395)+$T$2)&lt;7),(WEEKDAY($A395)&lt;&gt;1)),"work",(INDEX(Subject!$A:$I,MATCH(RANDBETWEEN(1,(MAX(Subject!$B:$B))),Subject!$B:$B,0),3))))</f>
        <v/>
      </c>
      <c r="D395" s="2" t="str">
        <f t="array" ref="D395">IF(NOW()&gt;AO395,"",IF(AND((WEEKDAY($A395)+$B$2)&gt;1,((WEEKDAY($A395)+$T$2)&lt;7),(WEEKDAY($A395)&lt;&gt;1)),"work",(INDEX(Subject!$A:$I,MATCH(RANDBETWEEN(1,(MAX(Subject!$B:$B))),Subject!$B:$B,0),3))))</f>
        <v/>
      </c>
      <c r="E395" s="2" t="str">
        <f t="array" ref="E395">IF(NOW()&gt;AP395,"",IF(AND((WEEKDAY($A395)+$B$2)&gt;1,((WEEKDAY($A395)+$T$2)&lt;7),(WEEKDAY($A395)&lt;&gt;1)),"work",(INDEX(Subject!$A:$I,MATCH(RANDBETWEEN(1,(MAX(Subject!$B:$B))),Subject!$B:$B,0),3))))</f>
        <v/>
      </c>
      <c r="F395" s="2" t="str">
        <f t="array" ref="F395">IF(NOW()&gt;AQ395,"",IF(AND((WEEKDAY($A395)+$B$2)&gt;1,((WEEKDAY($A395)+$T$2)&lt;7),(WEEKDAY($A395)&lt;&gt;1)),"work",(INDEX(Subject!$A:$I,MATCH(RANDBETWEEN(1,(MAX(Subject!$B:$B))),Subject!$B:$B,0),3))))</f>
        <v/>
      </c>
      <c r="G395" s="2" t="str">
        <f t="array" ref="G395">IF(NOW()&gt;AR395,"",IF(AND((WEEKDAY($A395)+$B$2)&gt;1,((WEEKDAY($A395)+$T$2)&lt;7),(WEEKDAY($A395)&lt;&gt;1)),"work",(INDEX(Subject!$A:$I,MATCH(RANDBETWEEN(1,(MAX(Subject!$B:$B))),Subject!$B:$B,0),3))))</f>
        <v/>
      </c>
      <c r="H395" s="2" t="str">
        <f t="array" ref="H395">IF(NOW()&gt;AS395,"",IF(AND((WEEKDAY($A395)+$B$2)&gt;1,((WEEKDAY($A395)+$T$2)&lt;7),(WEEKDAY($A395)&lt;&gt;1)),"work",(INDEX(Subject!$A:$I,MATCH(RANDBETWEEN(1,(MAX(Subject!$B:$B))),Subject!$B:$B,0),3))))</f>
        <v/>
      </c>
      <c r="I395" s="2" t="str">
        <f t="array" ref="I395">IF(NOW()&gt;AT395,"",IF(AND((WEEKDAY($A395)+$B$2)&gt;1,((WEEKDAY($A395)+$T$2)&lt;7),(WEEKDAY($A395)&lt;&gt;1)),"work",(INDEX(Subject!$A:$I,MATCH(RANDBETWEEN(1,(MAX(Subject!$B:$B))),Subject!$B:$B,0),3))))</f>
        <v/>
      </c>
      <c r="J395" s="2" t="str">
        <f t="array" ref="J395">IF(NOW()&gt;AU395,"",IF(AND((WEEKDAY($A395)+$B$2)&gt;1,((WEEKDAY($A395)+$T$2)&lt;7),(WEEKDAY($A395)&lt;&gt;1)),"work",(INDEX(Subject!$A:$I,MATCH(RANDBETWEEN(1,(MAX(Subject!$B:$B))),Subject!$B:$B,0),3))))</f>
        <v/>
      </c>
      <c r="K395" s="2" t="str">
        <f t="array" ref="K395">IF(NOW()&gt;AV395,"",IF(AND((WEEKDAY($A395)+$B$2)&gt;1,((WEEKDAY($A395)+$T$2)&lt;7),(WEEKDAY($A395)&lt;&gt;1)),"work",(INDEX(Subject!$A:$I,MATCH(RANDBETWEEN(1,(MAX(Subject!$B:$B))),Subject!$B:$B,0),3))))</f>
        <v/>
      </c>
      <c r="L395" s="2" t="str">
        <f t="array" ref="L395">IF(NOW()&gt;AW395,"",IF(AND((WEEKDAY($A395)+$B$2)&gt;1,((WEEKDAY($A395)+$T$2)&lt;7),(WEEKDAY($A395)&lt;&gt;1)),"work",(INDEX(Subject!$A:$I,MATCH(RANDBETWEEN(1,(MAX(Subject!$B:$B))),Subject!$B:$B,0),3))))</f>
        <v/>
      </c>
      <c r="M395" s="2" t="str">
        <f t="array" ref="M395">IF(NOW()&gt;AX395,"",IF(AND((WEEKDAY($A395)+$B$2)&gt;1,((WEEKDAY($A395)+$T$2)&lt;7),(WEEKDAY($A395)&lt;&gt;1)),"work",(INDEX(Subject!$A:$I,MATCH(RANDBETWEEN(1,(MAX(Subject!$B:$B))),Subject!$B:$B,0),3))))</f>
        <v/>
      </c>
      <c r="N395" s="2" t="str">
        <f t="array" ref="N395">IF(NOW()&gt;AY395,"",IF(AND((WEEKDAY($A395)+$B$2)&gt;1,((WEEKDAY($A395)+$T$2)&lt;7),(WEEKDAY($A395)&lt;&gt;1)),"work",(INDEX(Subject!$A:$I,MATCH(RANDBETWEEN(1,(MAX(Subject!$B:$B))),Subject!$B:$B,0),3))))</f>
        <v/>
      </c>
      <c r="O395" s="2" t="str">
        <f t="array" ref="O395">IF(NOW()&gt;AZ395,"",IF(AND((WEEKDAY($A395)+$B$2)&gt;1,((WEEKDAY($A395)+$T$2)&lt;7),(WEEKDAY($A395)&lt;&gt;1)),"work",(INDEX(Subject!$A:$I,MATCH(RANDBETWEEN(1,(MAX(Subject!$B:$B))),Subject!$B:$B,0),3))))</f>
        <v/>
      </c>
      <c r="P395" s="2" t="str">
        <f t="array" ref="P395">IF(NOW()&gt;BA395,"",IF(AND((WEEKDAY($A395)+$B$2)&gt;1,((WEEKDAY($A395)+$T$2)&lt;7),(WEEKDAY($A395)&lt;&gt;1)),"work",(INDEX(Subject!$A:$I,MATCH(RANDBETWEEN(1,(MAX(Subject!$B:$B))),Subject!$B:$B,0),3))))</f>
        <v/>
      </c>
      <c r="Q395" s="2" t="str">
        <f t="array" ref="Q395">IF(NOW()&gt;BB395,"",IF(AND((WEEKDAY($A395)+$B$2)&gt;1,((WEEKDAY($A395)+$T$2)&lt;7),(WEEKDAY($A395)&lt;&gt;1)),"work",(INDEX(Subject!$A:$I,MATCH(RANDBETWEEN(1,(MAX(Subject!$B:$B))),Subject!$B:$B,0),3))))</f>
        <v/>
      </c>
      <c r="R395" s="2" t="str">
        <f t="array" ref="R395">IF(NOW()&gt;BC395,"",IF(AND((WEEKDAY($A395)+$B$2)&gt;1,((WEEKDAY($A395)+$T$2)&lt;7),(WEEKDAY($A395)&lt;&gt;1)),"work",(INDEX(Subject!$A:$I,MATCH(RANDBETWEEN(1,(MAX(Subject!$B:$B))),Subject!$B:$B,0),3))))</f>
        <v/>
      </c>
      <c r="S395" s="2" t="str">
        <f t="array" ref="S395">IF(NOW()&gt;BD395,"",IF(AND((WEEKDAY($A395)+$B$2)&gt;1,((WEEKDAY($A395)+$T$2)&lt;7),(WEEKDAY($A395)&lt;&gt;1)),"work",(INDEX(Subject!$A:$I,MATCH(RANDBETWEEN(1,(MAX(Subject!$B:$B))),Subject!$B:$B,0),3))))</f>
        <v/>
      </c>
      <c r="T395" s="2" t="str">
        <f t="array" ref="T395">IF(NOW()&gt;BE395,"",IF(AND((WEEKDAY($A395)+$B$2)&gt;1,((WEEKDAY($A395)+$T$2)&lt;7),(WEEKDAY($A395)&lt;&gt;1)),"work",(INDEX(Subject!$A:$I,MATCH(RANDBETWEEN(1,(MAX(Subject!$B:$B))),Subject!$B:$B,0),3))))</f>
        <v/>
      </c>
      <c r="U395" s="8" t="str">
        <f t="array" ref="U395">INDEX(Subject!$A:$I,MATCH(RANDBETWEEN(1,16),Subject!$B:$B,0),3)</f>
        <v>#N/A</v>
      </c>
      <c r="V395" s="8" t="str">
        <f t="array" ref="V395">INDEX(Subject!$A:$I,MATCH(RANDBETWEEN(1,16),Subject!$B:$B,0),3)</f>
        <v/>
      </c>
      <c r="W395" s="8" t="str">
        <f t="array" ref="W395">INDEX(Subject!$A:$I,MATCH(RANDBETWEEN(1,16),Subject!$B:$B,0),3)</f>
        <v>#N/A</v>
      </c>
      <c r="X395" s="8" t="str">
        <f t="array" ref="X395">INDEX(Subject!$A:$I,MATCH(RANDBETWEEN(1,16),Subject!$B:$B,0),3)</f>
        <v>#N/A</v>
      </c>
      <c r="Y395" s="8" t="str">
        <f t="array" ref="Y395">INDEX(Subject!$A:$I,MATCH(RANDBETWEEN(1,16),Subject!$B:$B,0),3)</f>
        <v>#N/A</v>
      </c>
      <c r="Z395" s="8" t="str">
        <f t="array" ref="Z395">INDEX(Subject!$A:$I,MATCH(RANDBETWEEN(1,16),Subject!$B:$B,0),3)</f>
        <v>#N/A</v>
      </c>
      <c r="AA395" s="8" t="str">
        <f t="array" ref="AA395">INDEX(Subject!$A:$I,MATCH(RANDBETWEEN(1,16),Subject!$B:$B,0),3)</f>
        <v>#N/A</v>
      </c>
      <c r="AB395" s="8" t="str">
        <f t="array" ref="AB395">INDEX(Subject!$A:$I,MATCH(RANDBETWEEN(1,16),Subject!$B:$B,0),3)</f>
        <v>#N/A</v>
      </c>
      <c r="AC395" s="8" t="str">
        <f t="array" ref="AC395">INDEX(Subject!$A:$I,MATCH(RANDBETWEEN(1,16),Subject!$B:$B,0),3)</f>
        <v>#N/A</v>
      </c>
      <c r="AD395" s="8" t="str">
        <f t="array" ref="AD395">INDEX(Subject!$A:$I,MATCH(RANDBETWEEN(1,16),Subject!$B:$B,0),3)</f>
        <v>#N/A</v>
      </c>
      <c r="AE395" s="8" t="str">
        <f t="array" ref="AE395">INDEX(Subject!$A:$I,MATCH(RANDBETWEEN(1,16),Subject!$B:$B,0),3)</f>
        <v>#N/A</v>
      </c>
      <c r="AF395" s="8" t="str">
        <f t="array" ref="AF395">INDEX(Subject!$A:$I,MATCH(RANDBETWEEN(1,16),Subject!$B:$B,0),3)</f>
        <v>#N/A</v>
      </c>
      <c r="AG395" s="8" t="str">
        <f t="array" ref="AG395">INDEX(Subject!$A:$I,MATCH(RANDBETWEEN(1,16),Subject!$B:$B,0),3)</f>
        <v/>
      </c>
      <c r="AH395" s="8" t="str">
        <f t="array" ref="AH395">INDEX(Subject!$A:$I,MATCH(RANDBETWEEN(1,16),Subject!$B:$B,0),3)</f>
        <v>#N/A</v>
      </c>
      <c r="AI395" s="8" t="str">
        <f t="array" ref="AI395">INDEX(Subject!$A:$I,MATCH(RANDBETWEEN(1,16),Subject!$B:$B,0),3)</f>
        <v>#N/A</v>
      </c>
      <c r="AJ395" s="8" t="str">
        <f t="array" ref="AJ395">INDEX(Subject!$A:$I,MATCH(RANDBETWEEN(1,16),Subject!$B:$B,0),3)</f>
        <v>#N/A</v>
      </c>
      <c r="AK395" s="8" t="str">
        <f t="array" ref="AK395">INDEX(Subject!$A:$I,MATCH(RANDBETWEEN(1,16),Subject!$B:$B,0),3)</f>
        <v>#N/A</v>
      </c>
      <c r="AL395" s="8" t="str">
        <f t="array" ref="AL395">INDEX(Subject!$A:$I,MATCH(RANDBETWEEN(1,16),Subject!$B:$B,0),3)</f>
        <v>#N/A</v>
      </c>
      <c r="AM395" s="18">
        <f t="shared" si="4"/>
        <v>45895.33333</v>
      </c>
      <c r="AN395" s="19">
        <f t="shared" ref="AN395:BZ395" si="395">$A395+C$1</f>
        <v>45895.35417</v>
      </c>
      <c r="AO395" s="19">
        <f t="shared" si="395"/>
        <v>45895.375</v>
      </c>
      <c r="AP395" s="19">
        <f t="shared" si="395"/>
        <v>45895.39583</v>
      </c>
      <c r="AQ395" s="19">
        <f t="shared" si="395"/>
        <v>45895.41667</v>
      </c>
      <c r="AR395" s="19">
        <f t="shared" si="395"/>
        <v>45895.4375</v>
      </c>
      <c r="AS395" s="19">
        <f t="shared" si="395"/>
        <v>45895.45833</v>
      </c>
      <c r="AT395" s="19">
        <f t="shared" si="395"/>
        <v>45895.47917</v>
      </c>
      <c r="AU395" s="19">
        <f t="shared" si="395"/>
        <v>45895.5</v>
      </c>
      <c r="AV395" s="19">
        <f t="shared" si="395"/>
        <v>45895.52083</v>
      </c>
      <c r="AW395" s="19">
        <f t="shared" si="395"/>
        <v>45895.54167</v>
      </c>
      <c r="AX395" s="19">
        <f t="shared" si="395"/>
        <v>45895.5625</v>
      </c>
      <c r="AY395" s="19">
        <f t="shared" si="395"/>
        <v>45895.58333</v>
      </c>
      <c r="AZ395" s="19">
        <f t="shared" si="395"/>
        <v>45895.60417</v>
      </c>
      <c r="BA395" s="19">
        <f t="shared" si="395"/>
        <v>45895.625</v>
      </c>
      <c r="BB395" s="19">
        <f t="shared" si="395"/>
        <v>45895.64583</v>
      </c>
      <c r="BC395" s="19">
        <f t="shared" si="395"/>
        <v>45895.66667</v>
      </c>
      <c r="BD395" s="19">
        <f t="shared" si="395"/>
        <v>45895.6875</v>
      </c>
      <c r="BE395" s="19">
        <f t="shared" si="395"/>
        <v>45895.70833</v>
      </c>
      <c r="BF395" s="19">
        <f t="shared" si="395"/>
        <v>45895.72917</v>
      </c>
      <c r="BG395" s="19">
        <f t="shared" si="395"/>
        <v>45895.75</v>
      </c>
      <c r="BH395" s="19">
        <f t="shared" si="395"/>
        <v>45895.77083</v>
      </c>
      <c r="BI395" s="19">
        <f t="shared" si="395"/>
        <v>45895.79167</v>
      </c>
      <c r="BJ395" s="19">
        <f t="shared" si="395"/>
        <v>45895.8125</v>
      </c>
      <c r="BK395" s="19">
        <f t="shared" si="395"/>
        <v>45895.83333</v>
      </c>
      <c r="BL395" s="19">
        <f t="shared" si="395"/>
        <v>45895.85417</v>
      </c>
      <c r="BM395" s="19">
        <f t="shared" si="395"/>
        <v>45895.875</v>
      </c>
      <c r="BN395" s="19">
        <f t="shared" si="395"/>
        <v>45895.89583</v>
      </c>
      <c r="BO395" s="19">
        <f t="shared" si="395"/>
        <v>45895.91667</v>
      </c>
      <c r="BP395" s="19">
        <f t="shared" si="395"/>
        <v>45895.9375</v>
      </c>
      <c r="BQ395" s="19">
        <f t="shared" si="395"/>
        <v>45895.95833</v>
      </c>
      <c r="BR395" s="19">
        <f t="shared" si="395"/>
        <v>45895.97917</v>
      </c>
      <c r="BS395" s="19">
        <f t="shared" si="395"/>
        <v>45896</v>
      </c>
      <c r="BT395" s="19">
        <f t="shared" si="395"/>
        <v>45896.02083</v>
      </c>
      <c r="BU395" s="19">
        <f t="shared" si="395"/>
        <v>45896.04167</v>
      </c>
      <c r="BV395" s="19">
        <f t="shared" si="395"/>
        <v>45896.0625</v>
      </c>
      <c r="BW395" s="19">
        <f t="shared" si="395"/>
        <v>45896.08333</v>
      </c>
      <c r="BX395" s="19">
        <f t="shared" si="395"/>
        <v>45895</v>
      </c>
      <c r="BY395" s="19">
        <f t="shared" si="395"/>
        <v>45895</v>
      </c>
      <c r="BZ395" s="19">
        <f t="shared" si="395"/>
        <v>45895</v>
      </c>
    </row>
    <row r="396" ht="14.25" customHeight="1">
      <c r="A396" s="17">
        <v>45896.0</v>
      </c>
      <c r="B396" s="2" t="str">
        <f t="array" ref="B396">IF(NOW()&gt;AM396,"",IF(AND((WEEKDAY($A396)+$B$2)&gt;1,((WEEKDAY($A396)+$T$2)&lt;7),(WEEKDAY($A396)&lt;&gt;1)),"work",(INDEX(Subject!$A:$I,MATCH(RANDBETWEEN(1,(MAX(Subject!$B:$B))),Subject!$B:$B,0),3))))</f>
        <v/>
      </c>
      <c r="C396" s="2" t="str">
        <f t="array" ref="C396">IF(NOW()&gt;AN396,"",IF(AND((WEEKDAY($A396)+$B$2)&gt;1,((WEEKDAY($A396)+$T$2)&lt;7),(WEEKDAY($A396)&lt;&gt;1)),"work",(INDEX(Subject!$A:$I,MATCH(RANDBETWEEN(1,(MAX(Subject!$B:$B))),Subject!$B:$B,0),3))))</f>
        <v/>
      </c>
      <c r="D396" s="2" t="str">
        <f t="array" ref="D396">IF(NOW()&gt;AO396,"",IF(AND((WEEKDAY($A396)+$B$2)&gt;1,((WEEKDAY($A396)+$T$2)&lt;7),(WEEKDAY($A396)&lt;&gt;1)),"work",(INDEX(Subject!$A:$I,MATCH(RANDBETWEEN(1,(MAX(Subject!$B:$B))),Subject!$B:$B,0),3))))</f>
        <v/>
      </c>
      <c r="E396" s="2" t="str">
        <f t="array" ref="E396">IF(NOW()&gt;AP396,"",IF(AND((WEEKDAY($A396)+$B$2)&gt;1,((WEEKDAY($A396)+$T$2)&lt;7),(WEEKDAY($A396)&lt;&gt;1)),"work",(INDEX(Subject!$A:$I,MATCH(RANDBETWEEN(1,(MAX(Subject!$B:$B))),Subject!$B:$B,0),3))))</f>
        <v/>
      </c>
      <c r="F396" s="2" t="str">
        <f t="array" ref="F396">IF(NOW()&gt;AQ396,"",IF(AND((WEEKDAY($A396)+$B$2)&gt;1,((WEEKDAY($A396)+$T$2)&lt;7),(WEEKDAY($A396)&lt;&gt;1)),"work",(INDEX(Subject!$A:$I,MATCH(RANDBETWEEN(1,(MAX(Subject!$B:$B))),Subject!$B:$B,0),3))))</f>
        <v/>
      </c>
      <c r="G396" s="2" t="str">
        <f t="array" ref="G396">IF(NOW()&gt;AR396,"",IF(AND((WEEKDAY($A396)+$B$2)&gt;1,((WEEKDAY($A396)+$T$2)&lt;7),(WEEKDAY($A396)&lt;&gt;1)),"work",(INDEX(Subject!$A:$I,MATCH(RANDBETWEEN(1,(MAX(Subject!$B:$B))),Subject!$B:$B,0),3))))</f>
        <v/>
      </c>
      <c r="H396" s="2" t="str">
        <f t="array" ref="H396">IF(NOW()&gt;AS396,"",IF(AND((WEEKDAY($A396)+$B$2)&gt;1,((WEEKDAY($A396)+$T$2)&lt;7),(WEEKDAY($A396)&lt;&gt;1)),"work",(INDEX(Subject!$A:$I,MATCH(RANDBETWEEN(1,(MAX(Subject!$B:$B))),Subject!$B:$B,0),3))))</f>
        <v/>
      </c>
      <c r="I396" s="2" t="str">
        <f t="array" ref="I396">IF(NOW()&gt;AT396,"",IF(AND((WEEKDAY($A396)+$B$2)&gt;1,((WEEKDAY($A396)+$T$2)&lt;7),(WEEKDAY($A396)&lt;&gt;1)),"work",(INDEX(Subject!$A:$I,MATCH(RANDBETWEEN(1,(MAX(Subject!$B:$B))),Subject!$B:$B,0),3))))</f>
        <v/>
      </c>
      <c r="J396" s="2" t="str">
        <f t="array" ref="J396">IF(NOW()&gt;AU396,"",IF(AND((WEEKDAY($A396)+$B$2)&gt;1,((WEEKDAY($A396)+$T$2)&lt;7),(WEEKDAY($A396)&lt;&gt;1)),"work",(INDEX(Subject!$A:$I,MATCH(RANDBETWEEN(1,(MAX(Subject!$B:$B))),Subject!$B:$B,0),3))))</f>
        <v/>
      </c>
      <c r="K396" s="2" t="str">
        <f t="array" ref="K396">IF(NOW()&gt;AV396,"",IF(AND((WEEKDAY($A396)+$B$2)&gt;1,((WEEKDAY($A396)+$T$2)&lt;7),(WEEKDAY($A396)&lt;&gt;1)),"work",(INDEX(Subject!$A:$I,MATCH(RANDBETWEEN(1,(MAX(Subject!$B:$B))),Subject!$B:$B,0),3))))</f>
        <v/>
      </c>
      <c r="L396" s="2" t="str">
        <f t="array" ref="L396">IF(NOW()&gt;AW396,"",IF(AND((WEEKDAY($A396)+$B$2)&gt;1,((WEEKDAY($A396)+$T$2)&lt;7),(WEEKDAY($A396)&lt;&gt;1)),"work",(INDEX(Subject!$A:$I,MATCH(RANDBETWEEN(1,(MAX(Subject!$B:$B))),Subject!$B:$B,0),3))))</f>
        <v/>
      </c>
      <c r="M396" s="2" t="str">
        <f t="array" ref="M396">IF(NOW()&gt;AX396,"",IF(AND((WEEKDAY($A396)+$B$2)&gt;1,((WEEKDAY($A396)+$T$2)&lt;7),(WEEKDAY($A396)&lt;&gt;1)),"work",(INDEX(Subject!$A:$I,MATCH(RANDBETWEEN(1,(MAX(Subject!$B:$B))),Subject!$B:$B,0),3))))</f>
        <v/>
      </c>
      <c r="N396" s="2" t="str">
        <f t="array" ref="N396">IF(NOW()&gt;AY396,"",IF(AND((WEEKDAY($A396)+$B$2)&gt;1,((WEEKDAY($A396)+$T$2)&lt;7),(WEEKDAY($A396)&lt;&gt;1)),"work",(INDEX(Subject!$A:$I,MATCH(RANDBETWEEN(1,(MAX(Subject!$B:$B))),Subject!$B:$B,0),3))))</f>
        <v/>
      </c>
      <c r="O396" s="2" t="str">
        <f t="array" ref="O396">IF(NOW()&gt;AZ396,"",IF(AND((WEEKDAY($A396)+$B$2)&gt;1,((WEEKDAY($A396)+$T$2)&lt;7),(WEEKDAY($A396)&lt;&gt;1)),"work",(INDEX(Subject!$A:$I,MATCH(RANDBETWEEN(1,(MAX(Subject!$B:$B))),Subject!$B:$B,0),3))))</f>
        <v/>
      </c>
      <c r="P396" s="2" t="str">
        <f t="array" ref="P396">IF(NOW()&gt;BA396,"",IF(AND((WEEKDAY($A396)+$B$2)&gt;1,((WEEKDAY($A396)+$T$2)&lt;7),(WEEKDAY($A396)&lt;&gt;1)),"work",(INDEX(Subject!$A:$I,MATCH(RANDBETWEEN(1,(MAX(Subject!$B:$B))),Subject!$B:$B,0),3))))</f>
        <v/>
      </c>
      <c r="Q396" s="2" t="str">
        <f t="array" ref="Q396">IF(NOW()&gt;BB396,"",IF(AND((WEEKDAY($A396)+$B$2)&gt;1,((WEEKDAY($A396)+$T$2)&lt;7),(WEEKDAY($A396)&lt;&gt;1)),"work",(INDEX(Subject!$A:$I,MATCH(RANDBETWEEN(1,(MAX(Subject!$B:$B))),Subject!$B:$B,0),3))))</f>
        <v/>
      </c>
      <c r="R396" s="2" t="str">
        <f t="array" ref="R396">IF(NOW()&gt;BC396,"",IF(AND((WEEKDAY($A396)+$B$2)&gt;1,((WEEKDAY($A396)+$T$2)&lt;7),(WEEKDAY($A396)&lt;&gt;1)),"work",(INDEX(Subject!$A:$I,MATCH(RANDBETWEEN(1,(MAX(Subject!$B:$B))),Subject!$B:$B,0),3))))</f>
        <v/>
      </c>
      <c r="S396" s="2" t="str">
        <f t="array" ref="S396">IF(NOW()&gt;BD396,"",IF(AND((WEEKDAY($A396)+$B$2)&gt;1,((WEEKDAY($A396)+$T$2)&lt;7),(WEEKDAY($A396)&lt;&gt;1)),"work",(INDEX(Subject!$A:$I,MATCH(RANDBETWEEN(1,(MAX(Subject!$B:$B))),Subject!$B:$B,0),3))))</f>
        <v/>
      </c>
      <c r="T396" s="2" t="str">
        <f t="array" ref="T396">IF(NOW()&gt;BE396,"",IF(AND((WEEKDAY($A396)+$B$2)&gt;1,((WEEKDAY($A396)+$T$2)&lt;7),(WEEKDAY($A396)&lt;&gt;1)),"work",(INDEX(Subject!$A:$I,MATCH(RANDBETWEEN(1,(MAX(Subject!$B:$B))),Subject!$B:$B,0),3))))</f>
        <v/>
      </c>
      <c r="U396" s="8" t="str">
        <f t="array" ref="U396">INDEX(Subject!$A:$I,MATCH(RANDBETWEEN(1,16),Subject!$B:$B,0),3)</f>
        <v>#N/A</v>
      </c>
      <c r="V396" s="8" t="str">
        <f t="array" ref="V396">INDEX(Subject!$A:$I,MATCH(RANDBETWEEN(1,16),Subject!$B:$B,0),3)</f>
        <v>#N/A</v>
      </c>
      <c r="W396" s="8" t="str">
        <f t="array" ref="W396">INDEX(Subject!$A:$I,MATCH(RANDBETWEEN(1,16),Subject!$B:$B,0),3)</f>
        <v>#N/A</v>
      </c>
      <c r="X396" s="8" t="str">
        <f t="array" ref="X396">INDEX(Subject!$A:$I,MATCH(RANDBETWEEN(1,16),Subject!$B:$B,0),3)</f>
        <v>#N/A</v>
      </c>
      <c r="Y396" s="8" t="str">
        <f t="array" ref="Y396">INDEX(Subject!$A:$I,MATCH(RANDBETWEEN(1,16),Subject!$B:$B,0),3)</f>
        <v>#N/A</v>
      </c>
      <c r="Z396" s="8" t="str">
        <f t="array" ref="Z396">INDEX(Subject!$A:$I,MATCH(RANDBETWEEN(1,16),Subject!$B:$B,0),3)</f>
        <v>#N/A</v>
      </c>
      <c r="AA396" s="8" t="str">
        <f t="array" ref="AA396">INDEX(Subject!$A:$I,MATCH(RANDBETWEEN(1,16),Subject!$B:$B,0),3)</f>
        <v>#N/A</v>
      </c>
      <c r="AB396" s="8" t="str">
        <f t="array" ref="AB396">INDEX(Subject!$A:$I,MATCH(RANDBETWEEN(1,16),Subject!$B:$B,0),3)</f>
        <v>#N/A</v>
      </c>
      <c r="AC396" s="8" t="str">
        <f t="array" ref="AC396">INDEX(Subject!$A:$I,MATCH(RANDBETWEEN(1,16),Subject!$B:$B,0),3)</f>
        <v>#N/A</v>
      </c>
      <c r="AD396" s="8" t="str">
        <f t="array" ref="AD396">INDEX(Subject!$A:$I,MATCH(RANDBETWEEN(1,16),Subject!$B:$B,0),3)</f>
        <v>#N/A</v>
      </c>
      <c r="AE396" s="8" t="str">
        <f t="array" ref="AE396">INDEX(Subject!$A:$I,MATCH(RANDBETWEEN(1,16),Subject!$B:$B,0),3)</f>
        <v>#N/A</v>
      </c>
      <c r="AF396" s="8" t="str">
        <f t="array" ref="AF396">INDEX(Subject!$A:$I,MATCH(RANDBETWEEN(1,16),Subject!$B:$B,0),3)</f>
        <v>#N/A</v>
      </c>
      <c r="AG396" s="8" t="str">
        <f t="array" ref="AG396">INDEX(Subject!$A:$I,MATCH(RANDBETWEEN(1,16),Subject!$B:$B,0),3)</f>
        <v>#N/A</v>
      </c>
      <c r="AH396" s="8" t="str">
        <f t="array" ref="AH396">INDEX(Subject!$A:$I,MATCH(RANDBETWEEN(1,16),Subject!$B:$B,0),3)</f>
        <v/>
      </c>
      <c r="AI396" s="8" t="str">
        <f t="array" ref="AI396">INDEX(Subject!$A:$I,MATCH(RANDBETWEEN(1,16),Subject!$B:$B,0),3)</f>
        <v>#N/A</v>
      </c>
      <c r="AJ396" s="8" t="str">
        <f t="array" ref="AJ396">INDEX(Subject!$A:$I,MATCH(RANDBETWEEN(1,16),Subject!$B:$B,0),3)</f>
        <v>#N/A</v>
      </c>
      <c r="AK396" s="8" t="str">
        <f t="array" ref="AK396">INDEX(Subject!$A:$I,MATCH(RANDBETWEEN(1,16),Subject!$B:$B,0),3)</f>
        <v/>
      </c>
      <c r="AL396" s="8" t="str">
        <f t="array" ref="AL396">INDEX(Subject!$A:$I,MATCH(RANDBETWEEN(1,16),Subject!$B:$B,0),3)</f>
        <v/>
      </c>
      <c r="AM396" s="18">
        <f t="shared" si="4"/>
        <v>45896.33333</v>
      </c>
      <c r="AN396" s="19">
        <f t="shared" ref="AN396:BZ396" si="396">$A396+C$1</f>
        <v>45896.35417</v>
      </c>
      <c r="AO396" s="19">
        <f t="shared" si="396"/>
        <v>45896.375</v>
      </c>
      <c r="AP396" s="19">
        <f t="shared" si="396"/>
        <v>45896.39583</v>
      </c>
      <c r="AQ396" s="19">
        <f t="shared" si="396"/>
        <v>45896.41667</v>
      </c>
      <c r="AR396" s="19">
        <f t="shared" si="396"/>
        <v>45896.4375</v>
      </c>
      <c r="AS396" s="19">
        <f t="shared" si="396"/>
        <v>45896.45833</v>
      </c>
      <c r="AT396" s="19">
        <f t="shared" si="396"/>
        <v>45896.47917</v>
      </c>
      <c r="AU396" s="19">
        <f t="shared" si="396"/>
        <v>45896.5</v>
      </c>
      <c r="AV396" s="19">
        <f t="shared" si="396"/>
        <v>45896.52083</v>
      </c>
      <c r="AW396" s="19">
        <f t="shared" si="396"/>
        <v>45896.54167</v>
      </c>
      <c r="AX396" s="19">
        <f t="shared" si="396"/>
        <v>45896.5625</v>
      </c>
      <c r="AY396" s="19">
        <f t="shared" si="396"/>
        <v>45896.58333</v>
      </c>
      <c r="AZ396" s="19">
        <f t="shared" si="396"/>
        <v>45896.60417</v>
      </c>
      <c r="BA396" s="19">
        <f t="shared" si="396"/>
        <v>45896.625</v>
      </c>
      <c r="BB396" s="19">
        <f t="shared" si="396"/>
        <v>45896.64583</v>
      </c>
      <c r="BC396" s="19">
        <f t="shared" si="396"/>
        <v>45896.66667</v>
      </c>
      <c r="BD396" s="19">
        <f t="shared" si="396"/>
        <v>45896.6875</v>
      </c>
      <c r="BE396" s="19">
        <f t="shared" si="396"/>
        <v>45896.70833</v>
      </c>
      <c r="BF396" s="19">
        <f t="shared" si="396"/>
        <v>45896.72917</v>
      </c>
      <c r="BG396" s="19">
        <f t="shared" si="396"/>
        <v>45896.75</v>
      </c>
      <c r="BH396" s="19">
        <f t="shared" si="396"/>
        <v>45896.77083</v>
      </c>
      <c r="BI396" s="19">
        <f t="shared" si="396"/>
        <v>45896.79167</v>
      </c>
      <c r="BJ396" s="19">
        <f t="shared" si="396"/>
        <v>45896.8125</v>
      </c>
      <c r="BK396" s="19">
        <f t="shared" si="396"/>
        <v>45896.83333</v>
      </c>
      <c r="BL396" s="19">
        <f t="shared" si="396"/>
        <v>45896.85417</v>
      </c>
      <c r="BM396" s="19">
        <f t="shared" si="396"/>
        <v>45896.875</v>
      </c>
      <c r="BN396" s="19">
        <f t="shared" si="396"/>
        <v>45896.89583</v>
      </c>
      <c r="BO396" s="19">
        <f t="shared" si="396"/>
        <v>45896.91667</v>
      </c>
      <c r="BP396" s="19">
        <f t="shared" si="396"/>
        <v>45896.9375</v>
      </c>
      <c r="BQ396" s="19">
        <f t="shared" si="396"/>
        <v>45896.95833</v>
      </c>
      <c r="BR396" s="19">
        <f t="shared" si="396"/>
        <v>45896.97917</v>
      </c>
      <c r="BS396" s="19">
        <f t="shared" si="396"/>
        <v>45897</v>
      </c>
      <c r="BT396" s="19">
        <f t="shared" si="396"/>
        <v>45897.02083</v>
      </c>
      <c r="BU396" s="19">
        <f t="shared" si="396"/>
        <v>45897.04167</v>
      </c>
      <c r="BV396" s="19">
        <f t="shared" si="396"/>
        <v>45897.0625</v>
      </c>
      <c r="BW396" s="19">
        <f t="shared" si="396"/>
        <v>45897.08333</v>
      </c>
      <c r="BX396" s="19">
        <f t="shared" si="396"/>
        <v>45896</v>
      </c>
      <c r="BY396" s="19">
        <f t="shared" si="396"/>
        <v>45896</v>
      </c>
      <c r="BZ396" s="19">
        <f t="shared" si="396"/>
        <v>45896</v>
      </c>
    </row>
    <row r="397" ht="14.25" customHeight="1">
      <c r="A397" s="17">
        <v>45897.0</v>
      </c>
      <c r="B397" s="2" t="str">
        <f t="array" ref="B397">IF(NOW()&gt;AM397,"",IF(AND((WEEKDAY($A397)+$B$2)&gt;1,((WEEKDAY($A397)+$T$2)&lt;7),(WEEKDAY($A397)&lt;&gt;1)),"work",(INDEX(Subject!$A:$I,MATCH(RANDBETWEEN(1,(MAX(Subject!$B:$B))),Subject!$B:$B,0),3))))</f>
        <v/>
      </c>
      <c r="C397" s="2" t="str">
        <f t="array" ref="C397">IF(NOW()&gt;AN397,"",IF(AND((WEEKDAY($A397)+$B$2)&gt;1,((WEEKDAY($A397)+$T$2)&lt;7),(WEEKDAY($A397)&lt;&gt;1)),"work",(INDEX(Subject!$A:$I,MATCH(RANDBETWEEN(1,(MAX(Subject!$B:$B))),Subject!$B:$B,0),3))))</f>
        <v/>
      </c>
      <c r="D397" s="2" t="str">
        <f t="array" ref="D397">IF(NOW()&gt;AO397,"",IF(AND((WEEKDAY($A397)+$B$2)&gt;1,((WEEKDAY($A397)+$T$2)&lt;7),(WEEKDAY($A397)&lt;&gt;1)),"work",(INDEX(Subject!$A:$I,MATCH(RANDBETWEEN(1,(MAX(Subject!$B:$B))),Subject!$B:$B,0),3))))</f>
        <v/>
      </c>
      <c r="E397" s="2" t="str">
        <f t="array" ref="E397">IF(NOW()&gt;AP397,"",IF(AND((WEEKDAY($A397)+$B$2)&gt;1,((WEEKDAY($A397)+$T$2)&lt;7),(WEEKDAY($A397)&lt;&gt;1)),"work",(INDEX(Subject!$A:$I,MATCH(RANDBETWEEN(1,(MAX(Subject!$B:$B))),Subject!$B:$B,0),3))))</f>
        <v/>
      </c>
      <c r="F397" s="2" t="str">
        <f t="array" ref="F397">IF(NOW()&gt;AQ397,"",IF(AND((WEEKDAY($A397)+$B$2)&gt;1,((WEEKDAY($A397)+$T$2)&lt;7),(WEEKDAY($A397)&lt;&gt;1)),"work",(INDEX(Subject!$A:$I,MATCH(RANDBETWEEN(1,(MAX(Subject!$B:$B))),Subject!$B:$B,0),3))))</f>
        <v/>
      </c>
      <c r="G397" s="2" t="str">
        <f t="array" ref="G397">IF(NOW()&gt;AR397,"",IF(AND((WEEKDAY($A397)+$B$2)&gt;1,((WEEKDAY($A397)+$T$2)&lt;7),(WEEKDAY($A397)&lt;&gt;1)),"work",(INDEX(Subject!$A:$I,MATCH(RANDBETWEEN(1,(MAX(Subject!$B:$B))),Subject!$B:$B,0),3))))</f>
        <v/>
      </c>
      <c r="H397" s="2" t="str">
        <f t="array" ref="H397">IF(NOW()&gt;AS397,"",IF(AND((WEEKDAY($A397)+$B$2)&gt;1,((WEEKDAY($A397)+$T$2)&lt;7),(WEEKDAY($A397)&lt;&gt;1)),"work",(INDEX(Subject!$A:$I,MATCH(RANDBETWEEN(1,(MAX(Subject!$B:$B))),Subject!$B:$B,0),3))))</f>
        <v/>
      </c>
      <c r="I397" s="2" t="str">
        <f t="array" ref="I397">IF(NOW()&gt;AT397,"",IF(AND((WEEKDAY($A397)+$B$2)&gt;1,((WEEKDAY($A397)+$T$2)&lt;7),(WEEKDAY($A397)&lt;&gt;1)),"work",(INDEX(Subject!$A:$I,MATCH(RANDBETWEEN(1,(MAX(Subject!$B:$B))),Subject!$B:$B,0),3))))</f>
        <v/>
      </c>
      <c r="J397" s="2" t="str">
        <f t="array" ref="J397">IF(NOW()&gt;AU397,"",IF(AND((WEEKDAY($A397)+$B$2)&gt;1,((WEEKDAY($A397)+$T$2)&lt;7),(WEEKDAY($A397)&lt;&gt;1)),"work",(INDEX(Subject!$A:$I,MATCH(RANDBETWEEN(1,(MAX(Subject!$B:$B))),Subject!$B:$B,0),3))))</f>
        <v/>
      </c>
      <c r="K397" s="2" t="str">
        <f t="array" ref="K397">IF(NOW()&gt;AV397,"",IF(AND((WEEKDAY($A397)+$B$2)&gt;1,((WEEKDAY($A397)+$T$2)&lt;7),(WEEKDAY($A397)&lt;&gt;1)),"work",(INDEX(Subject!$A:$I,MATCH(RANDBETWEEN(1,(MAX(Subject!$B:$B))),Subject!$B:$B,0),3))))</f>
        <v/>
      </c>
      <c r="L397" s="2" t="str">
        <f t="array" ref="L397">IF(NOW()&gt;AW397,"",IF(AND((WEEKDAY($A397)+$B$2)&gt;1,((WEEKDAY($A397)+$T$2)&lt;7),(WEEKDAY($A397)&lt;&gt;1)),"work",(INDEX(Subject!$A:$I,MATCH(RANDBETWEEN(1,(MAX(Subject!$B:$B))),Subject!$B:$B,0),3))))</f>
        <v/>
      </c>
      <c r="M397" s="2" t="str">
        <f t="array" ref="M397">IF(NOW()&gt;AX397,"",IF(AND((WEEKDAY($A397)+$B$2)&gt;1,((WEEKDAY($A397)+$T$2)&lt;7),(WEEKDAY($A397)&lt;&gt;1)),"work",(INDEX(Subject!$A:$I,MATCH(RANDBETWEEN(1,(MAX(Subject!$B:$B))),Subject!$B:$B,0),3))))</f>
        <v/>
      </c>
      <c r="N397" s="2" t="str">
        <f t="array" ref="N397">IF(NOW()&gt;AY397,"",IF(AND((WEEKDAY($A397)+$B$2)&gt;1,((WEEKDAY($A397)+$T$2)&lt;7),(WEEKDAY($A397)&lt;&gt;1)),"work",(INDEX(Subject!$A:$I,MATCH(RANDBETWEEN(1,(MAX(Subject!$B:$B))),Subject!$B:$B,0),3))))</f>
        <v/>
      </c>
      <c r="O397" s="2" t="str">
        <f t="array" ref="O397">IF(NOW()&gt;AZ397,"",IF(AND((WEEKDAY($A397)+$B$2)&gt;1,((WEEKDAY($A397)+$T$2)&lt;7),(WEEKDAY($A397)&lt;&gt;1)),"work",(INDEX(Subject!$A:$I,MATCH(RANDBETWEEN(1,(MAX(Subject!$B:$B))),Subject!$B:$B,0),3))))</f>
        <v/>
      </c>
      <c r="P397" s="2" t="str">
        <f t="array" ref="P397">IF(NOW()&gt;BA397,"",IF(AND((WEEKDAY($A397)+$B$2)&gt;1,((WEEKDAY($A397)+$T$2)&lt;7),(WEEKDAY($A397)&lt;&gt;1)),"work",(INDEX(Subject!$A:$I,MATCH(RANDBETWEEN(1,(MAX(Subject!$B:$B))),Subject!$B:$B,0),3))))</f>
        <v/>
      </c>
      <c r="Q397" s="2" t="str">
        <f t="array" ref="Q397">IF(NOW()&gt;BB397,"",IF(AND((WEEKDAY($A397)+$B$2)&gt;1,((WEEKDAY($A397)+$T$2)&lt;7),(WEEKDAY($A397)&lt;&gt;1)),"work",(INDEX(Subject!$A:$I,MATCH(RANDBETWEEN(1,(MAX(Subject!$B:$B))),Subject!$B:$B,0),3))))</f>
        <v/>
      </c>
      <c r="R397" s="2" t="str">
        <f t="array" ref="R397">IF(NOW()&gt;BC397,"",IF(AND((WEEKDAY($A397)+$B$2)&gt;1,((WEEKDAY($A397)+$T$2)&lt;7),(WEEKDAY($A397)&lt;&gt;1)),"work",(INDEX(Subject!$A:$I,MATCH(RANDBETWEEN(1,(MAX(Subject!$B:$B))),Subject!$B:$B,0),3))))</f>
        <v/>
      </c>
      <c r="S397" s="2" t="str">
        <f t="array" ref="S397">IF(NOW()&gt;BD397,"",IF(AND((WEEKDAY($A397)+$B$2)&gt;1,((WEEKDAY($A397)+$T$2)&lt;7),(WEEKDAY($A397)&lt;&gt;1)),"work",(INDEX(Subject!$A:$I,MATCH(RANDBETWEEN(1,(MAX(Subject!$B:$B))),Subject!$B:$B,0),3))))</f>
        <v/>
      </c>
      <c r="T397" s="2" t="str">
        <f t="array" ref="T397">IF(NOW()&gt;BE397,"",IF(AND((WEEKDAY($A397)+$B$2)&gt;1,((WEEKDAY($A397)+$T$2)&lt;7),(WEEKDAY($A397)&lt;&gt;1)),"work",(INDEX(Subject!$A:$I,MATCH(RANDBETWEEN(1,(MAX(Subject!$B:$B))),Subject!$B:$B,0),3))))</f>
        <v/>
      </c>
      <c r="U397" s="8" t="str">
        <f t="array" ref="U397">INDEX(Subject!$A:$I,MATCH(RANDBETWEEN(1,16),Subject!$B:$B,0),3)</f>
        <v>#N/A</v>
      </c>
      <c r="V397" s="8" t="str">
        <f t="array" ref="V397">INDEX(Subject!$A:$I,MATCH(RANDBETWEEN(1,16),Subject!$B:$B,0),3)</f>
        <v>#N/A</v>
      </c>
      <c r="W397" s="8" t="str">
        <f t="array" ref="W397">INDEX(Subject!$A:$I,MATCH(RANDBETWEEN(1,16),Subject!$B:$B,0),3)</f>
        <v>#N/A</v>
      </c>
      <c r="X397" s="8" t="str">
        <f t="array" ref="X397">INDEX(Subject!$A:$I,MATCH(RANDBETWEEN(1,16),Subject!$B:$B,0),3)</f>
        <v>#N/A</v>
      </c>
      <c r="Y397" s="8" t="str">
        <f t="array" ref="Y397">INDEX(Subject!$A:$I,MATCH(RANDBETWEEN(1,16),Subject!$B:$B,0),3)</f>
        <v>#N/A</v>
      </c>
      <c r="Z397" s="8" t="str">
        <f t="array" ref="Z397">INDEX(Subject!$A:$I,MATCH(RANDBETWEEN(1,16),Subject!$B:$B,0),3)</f>
        <v>#N/A</v>
      </c>
      <c r="AA397" s="8" t="str">
        <f t="array" ref="AA397">INDEX(Subject!$A:$I,MATCH(RANDBETWEEN(1,16),Subject!$B:$B,0),3)</f>
        <v>#N/A</v>
      </c>
      <c r="AB397" s="8" t="str">
        <f t="array" ref="AB397">INDEX(Subject!$A:$I,MATCH(RANDBETWEEN(1,16),Subject!$B:$B,0),3)</f>
        <v>#N/A</v>
      </c>
      <c r="AC397" s="8" t="str">
        <f t="array" ref="AC397">INDEX(Subject!$A:$I,MATCH(RANDBETWEEN(1,16),Subject!$B:$B,0),3)</f>
        <v>#N/A</v>
      </c>
      <c r="AD397" s="8" t="str">
        <f t="array" ref="AD397">INDEX(Subject!$A:$I,MATCH(RANDBETWEEN(1,16),Subject!$B:$B,0),3)</f>
        <v>#N/A</v>
      </c>
      <c r="AE397" s="8" t="str">
        <f t="array" ref="AE397">INDEX(Subject!$A:$I,MATCH(RANDBETWEEN(1,16),Subject!$B:$B,0),3)</f>
        <v>#N/A</v>
      </c>
      <c r="AF397" s="8" t="str">
        <f t="array" ref="AF397">INDEX(Subject!$A:$I,MATCH(RANDBETWEEN(1,16),Subject!$B:$B,0),3)</f>
        <v>#N/A</v>
      </c>
      <c r="AG397" s="8" t="str">
        <f t="array" ref="AG397">INDEX(Subject!$A:$I,MATCH(RANDBETWEEN(1,16),Subject!$B:$B,0),3)</f>
        <v>#N/A</v>
      </c>
      <c r="AH397" s="8" t="str">
        <f t="array" ref="AH397">INDEX(Subject!$A:$I,MATCH(RANDBETWEEN(1,16),Subject!$B:$B,0),3)</f>
        <v>#N/A</v>
      </c>
      <c r="AI397" s="8" t="str">
        <f t="array" ref="AI397">INDEX(Subject!$A:$I,MATCH(RANDBETWEEN(1,16),Subject!$B:$B,0),3)</f>
        <v>#N/A</v>
      </c>
      <c r="AJ397" s="8" t="str">
        <f t="array" ref="AJ397">INDEX(Subject!$A:$I,MATCH(RANDBETWEEN(1,16),Subject!$B:$B,0),3)</f>
        <v>#N/A</v>
      </c>
      <c r="AK397" s="8" t="str">
        <f t="array" ref="AK397">INDEX(Subject!$A:$I,MATCH(RANDBETWEEN(1,16),Subject!$B:$B,0),3)</f>
        <v>#N/A</v>
      </c>
      <c r="AL397" s="8" t="str">
        <f t="array" ref="AL397">INDEX(Subject!$A:$I,MATCH(RANDBETWEEN(1,16),Subject!$B:$B,0),3)</f>
        <v>#N/A</v>
      </c>
      <c r="AM397" s="18">
        <f t="shared" si="4"/>
        <v>45897.33333</v>
      </c>
      <c r="AN397" s="19">
        <f t="shared" ref="AN397:BZ397" si="397">$A397+C$1</f>
        <v>45897.35417</v>
      </c>
      <c r="AO397" s="19">
        <f t="shared" si="397"/>
        <v>45897.375</v>
      </c>
      <c r="AP397" s="19">
        <f t="shared" si="397"/>
        <v>45897.39583</v>
      </c>
      <c r="AQ397" s="19">
        <f t="shared" si="397"/>
        <v>45897.41667</v>
      </c>
      <c r="AR397" s="19">
        <f t="shared" si="397"/>
        <v>45897.4375</v>
      </c>
      <c r="AS397" s="19">
        <f t="shared" si="397"/>
        <v>45897.45833</v>
      </c>
      <c r="AT397" s="19">
        <f t="shared" si="397"/>
        <v>45897.47917</v>
      </c>
      <c r="AU397" s="19">
        <f t="shared" si="397"/>
        <v>45897.5</v>
      </c>
      <c r="AV397" s="19">
        <f t="shared" si="397"/>
        <v>45897.52083</v>
      </c>
      <c r="AW397" s="19">
        <f t="shared" si="397"/>
        <v>45897.54167</v>
      </c>
      <c r="AX397" s="19">
        <f t="shared" si="397"/>
        <v>45897.5625</v>
      </c>
      <c r="AY397" s="19">
        <f t="shared" si="397"/>
        <v>45897.58333</v>
      </c>
      <c r="AZ397" s="19">
        <f t="shared" si="397"/>
        <v>45897.60417</v>
      </c>
      <c r="BA397" s="19">
        <f t="shared" si="397"/>
        <v>45897.625</v>
      </c>
      <c r="BB397" s="19">
        <f t="shared" si="397"/>
        <v>45897.64583</v>
      </c>
      <c r="BC397" s="19">
        <f t="shared" si="397"/>
        <v>45897.66667</v>
      </c>
      <c r="BD397" s="19">
        <f t="shared" si="397"/>
        <v>45897.6875</v>
      </c>
      <c r="BE397" s="19">
        <f t="shared" si="397"/>
        <v>45897.70833</v>
      </c>
      <c r="BF397" s="19">
        <f t="shared" si="397"/>
        <v>45897.72917</v>
      </c>
      <c r="BG397" s="19">
        <f t="shared" si="397"/>
        <v>45897.75</v>
      </c>
      <c r="BH397" s="19">
        <f t="shared" si="397"/>
        <v>45897.77083</v>
      </c>
      <c r="BI397" s="19">
        <f t="shared" si="397"/>
        <v>45897.79167</v>
      </c>
      <c r="BJ397" s="19">
        <f t="shared" si="397"/>
        <v>45897.8125</v>
      </c>
      <c r="BK397" s="19">
        <f t="shared" si="397"/>
        <v>45897.83333</v>
      </c>
      <c r="BL397" s="19">
        <f t="shared" si="397"/>
        <v>45897.85417</v>
      </c>
      <c r="BM397" s="19">
        <f t="shared" si="397"/>
        <v>45897.875</v>
      </c>
      <c r="BN397" s="19">
        <f t="shared" si="397"/>
        <v>45897.89583</v>
      </c>
      <c r="BO397" s="19">
        <f t="shared" si="397"/>
        <v>45897.91667</v>
      </c>
      <c r="BP397" s="19">
        <f t="shared" si="397"/>
        <v>45897.9375</v>
      </c>
      <c r="BQ397" s="19">
        <f t="shared" si="397"/>
        <v>45897.95833</v>
      </c>
      <c r="BR397" s="19">
        <f t="shared" si="397"/>
        <v>45897.97917</v>
      </c>
      <c r="BS397" s="19">
        <f t="shared" si="397"/>
        <v>45898</v>
      </c>
      <c r="BT397" s="19">
        <f t="shared" si="397"/>
        <v>45898.02083</v>
      </c>
      <c r="BU397" s="19">
        <f t="shared" si="397"/>
        <v>45898.04167</v>
      </c>
      <c r="BV397" s="19">
        <f t="shared" si="397"/>
        <v>45898.0625</v>
      </c>
      <c r="BW397" s="19">
        <f t="shared" si="397"/>
        <v>45898.08333</v>
      </c>
      <c r="BX397" s="19">
        <f t="shared" si="397"/>
        <v>45897</v>
      </c>
      <c r="BY397" s="19">
        <f t="shared" si="397"/>
        <v>45897</v>
      </c>
      <c r="BZ397" s="19">
        <f t="shared" si="397"/>
        <v>45897</v>
      </c>
    </row>
    <row r="398" ht="14.25" customHeight="1">
      <c r="A398" s="17">
        <v>45898.0</v>
      </c>
      <c r="B398" s="2" t="str">
        <f t="array" ref="B398">IF(NOW()&gt;AM398,"",IF(AND((WEEKDAY($A398)+$B$2)&gt;1,((WEEKDAY($A398)+$T$2)&lt;7),(WEEKDAY($A398)&lt;&gt;1)),"work",(INDEX(Subject!$A:$I,MATCH(RANDBETWEEN(1,(MAX(Subject!$B:$B))),Subject!$B:$B,0),3))))</f>
        <v/>
      </c>
      <c r="C398" s="2" t="str">
        <f t="array" ref="C398">IF(NOW()&gt;AN398,"",IF(AND((WEEKDAY($A398)+$B$2)&gt;1,((WEEKDAY($A398)+$T$2)&lt;7),(WEEKDAY($A398)&lt;&gt;1)),"work",(INDEX(Subject!$A:$I,MATCH(RANDBETWEEN(1,(MAX(Subject!$B:$B))),Subject!$B:$B,0),3))))</f>
        <v/>
      </c>
      <c r="D398" s="2" t="str">
        <f t="array" ref="D398">IF(NOW()&gt;AO398,"",IF(AND((WEEKDAY($A398)+$B$2)&gt;1,((WEEKDAY($A398)+$T$2)&lt;7),(WEEKDAY($A398)&lt;&gt;1)),"work",(INDEX(Subject!$A:$I,MATCH(RANDBETWEEN(1,(MAX(Subject!$B:$B))),Subject!$B:$B,0),3))))</f>
        <v/>
      </c>
      <c r="E398" s="2" t="str">
        <f t="array" ref="E398">IF(NOW()&gt;AP398,"",IF(AND((WEEKDAY($A398)+$B$2)&gt;1,((WEEKDAY($A398)+$T$2)&lt;7),(WEEKDAY($A398)&lt;&gt;1)),"work",(INDEX(Subject!$A:$I,MATCH(RANDBETWEEN(1,(MAX(Subject!$B:$B))),Subject!$B:$B,0),3))))</f>
        <v/>
      </c>
      <c r="F398" s="2" t="str">
        <f t="array" ref="F398">IF(NOW()&gt;AQ398,"",IF(AND((WEEKDAY($A398)+$B$2)&gt;1,((WEEKDAY($A398)+$T$2)&lt;7),(WEEKDAY($A398)&lt;&gt;1)),"work",(INDEX(Subject!$A:$I,MATCH(RANDBETWEEN(1,(MAX(Subject!$B:$B))),Subject!$B:$B,0),3))))</f>
        <v/>
      </c>
      <c r="G398" s="2" t="str">
        <f t="array" ref="G398">IF(NOW()&gt;AR398,"",IF(AND((WEEKDAY($A398)+$B$2)&gt;1,((WEEKDAY($A398)+$T$2)&lt;7),(WEEKDAY($A398)&lt;&gt;1)),"work",(INDEX(Subject!$A:$I,MATCH(RANDBETWEEN(1,(MAX(Subject!$B:$B))),Subject!$B:$B,0),3))))</f>
        <v/>
      </c>
      <c r="H398" s="2" t="str">
        <f t="array" ref="H398">IF(NOW()&gt;AS398,"",IF(AND((WEEKDAY($A398)+$B$2)&gt;1,((WEEKDAY($A398)+$T$2)&lt;7),(WEEKDAY($A398)&lt;&gt;1)),"work",(INDEX(Subject!$A:$I,MATCH(RANDBETWEEN(1,(MAX(Subject!$B:$B))),Subject!$B:$B,0),3))))</f>
        <v/>
      </c>
      <c r="I398" s="2" t="str">
        <f t="array" ref="I398">IF(NOW()&gt;AT398,"",IF(AND((WEEKDAY($A398)+$B$2)&gt;1,((WEEKDAY($A398)+$T$2)&lt;7),(WEEKDAY($A398)&lt;&gt;1)),"work",(INDEX(Subject!$A:$I,MATCH(RANDBETWEEN(1,(MAX(Subject!$B:$B))),Subject!$B:$B,0),3))))</f>
        <v/>
      </c>
      <c r="J398" s="2" t="str">
        <f t="array" ref="J398">IF(NOW()&gt;AU398,"",IF(AND((WEEKDAY($A398)+$B$2)&gt;1,((WEEKDAY($A398)+$T$2)&lt;7),(WEEKDAY($A398)&lt;&gt;1)),"work",(INDEX(Subject!$A:$I,MATCH(RANDBETWEEN(1,(MAX(Subject!$B:$B))),Subject!$B:$B,0),3))))</f>
        <v/>
      </c>
      <c r="K398" s="2" t="str">
        <f t="array" ref="K398">IF(NOW()&gt;AV398,"",IF(AND((WEEKDAY($A398)+$B$2)&gt;1,((WEEKDAY($A398)+$T$2)&lt;7),(WEEKDAY($A398)&lt;&gt;1)),"work",(INDEX(Subject!$A:$I,MATCH(RANDBETWEEN(1,(MAX(Subject!$B:$B))),Subject!$B:$B,0),3))))</f>
        <v/>
      </c>
      <c r="L398" s="2" t="str">
        <f t="array" ref="L398">IF(NOW()&gt;AW398,"",IF(AND((WEEKDAY($A398)+$B$2)&gt;1,((WEEKDAY($A398)+$T$2)&lt;7),(WEEKDAY($A398)&lt;&gt;1)),"work",(INDEX(Subject!$A:$I,MATCH(RANDBETWEEN(1,(MAX(Subject!$B:$B))),Subject!$B:$B,0),3))))</f>
        <v/>
      </c>
      <c r="M398" s="2" t="str">
        <f t="array" ref="M398">IF(NOW()&gt;AX398,"",IF(AND((WEEKDAY($A398)+$B$2)&gt;1,((WEEKDAY($A398)+$T$2)&lt;7),(WEEKDAY($A398)&lt;&gt;1)),"work",(INDEX(Subject!$A:$I,MATCH(RANDBETWEEN(1,(MAX(Subject!$B:$B))),Subject!$B:$B,0),3))))</f>
        <v/>
      </c>
      <c r="N398" s="2" t="str">
        <f t="array" ref="N398">IF(NOW()&gt;AY398,"",IF(AND((WEEKDAY($A398)+$B$2)&gt;1,((WEEKDAY($A398)+$T$2)&lt;7),(WEEKDAY($A398)&lt;&gt;1)),"work",(INDEX(Subject!$A:$I,MATCH(RANDBETWEEN(1,(MAX(Subject!$B:$B))),Subject!$B:$B,0),3))))</f>
        <v/>
      </c>
      <c r="O398" s="2" t="str">
        <f t="array" ref="O398">IF(NOW()&gt;AZ398,"",IF(AND((WEEKDAY($A398)+$B$2)&gt;1,((WEEKDAY($A398)+$T$2)&lt;7),(WEEKDAY($A398)&lt;&gt;1)),"work",(INDEX(Subject!$A:$I,MATCH(RANDBETWEEN(1,(MAX(Subject!$B:$B))),Subject!$B:$B,0),3))))</f>
        <v/>
      </c>
      <c r="P398" s="2" t="str">
        <f t="array" ref="P398">IF(NOW()&gt;BA398,"",IF(AND((WEEKDAY($A398)+$B$2)&gt;1,((WEEKDAY($A398)+$T$2)&lt;7),(WEEKDAY($A398)&lt;&gt;1)),"work",(INDEX(Subject!$A:$I,MATCH(RANDBETWEEN(1,(MAX(Subject!$B:$B))),Subject!$B:$B,0),3))))</f>
        <v/>
      </c>
      <c r="Q398" s="2" t="str">
        <f t="array" ref="Q398">IF(NOW()&gt;BB398,"",IF(AND((WEEKDAY($A398)+$B$2)&gt;1,((WEEKDAY($A398)+$T$2)&lt;7),(WEEKDAY($A398)&lt;&gt;1)),"work",(INDEX(Subject!$A:$I,MATCH(RANDBETWEEN(1,(MAX(Subject!$B:$B))),Subject!$B:$B,0),3))))</f>
        <v/>
      </c>
      <c r="R398" s="2" t="str">
        <f t="array" ref="R398">IF(NOW()&gt;BC398,"",IF(AND((WEEKDAY($A398)+$B$2)&gt;1,((WEEKDAY($A398)+$T$2)&lt;7),(WEEKDAY($A398)&lt;&gt;1)),"work",(INDEX(Subject!$A:$I,MATCH(RANDBETWEEN(1,(MAX(Subject!$B:$B))),Subject!$B:$B,0),3))))</f>
        <v/>
      </c>
      <c r="S398" s="2" t="str">
        <f t="array" ref="S398">IF(NOW()&gt;BD398,"",IF(AND((WEEKDAY($A398)+$B$2)&gt;1,((WEEKDAY($A398)+$T$2)&lt;7),(WEEKDAY($A398)&lt;&gt;1)),"work",(INDEX(Subject!$A:$I,MATCH(RANDBETWEEN(1,(MAX(Subject!$B:$B))),Subject!$B:$B,0),3))))</f>
        <v/>
      </c>
      <c r="T398" s="2" t="str">
        <f t="array" ref="T398">IF(NOW()&gt;BE398,"",IF(AND((WEEKDAY($A398)+$B$2)&gt;1,((WEEKDAY($A398)+$T$2)&lt;7),(WEEKDAY($A398)&lt;&gt;1)),"work",(INDEX(Subject!$A:$I,MATCH(RANDBETWEEN(1,(MAX(Subject!$B:$B))),Subject!$B:$B,0),3))))</f>
        <v/>
      </c>
      <c r="U398" s="8" t="str">
        <f t="array" ref="U398">INDEX(Subject!$A:$I,MATCH(RANDBETWEEN(1,16),Subject!$B:$B,0),3)</f>
        <v>#N/A</v>
      </c>
      <c r="V398" s="8" t="str">
        <f t="array" ref="V398">INDEX(Subject!$A:$I,MATCH(RANDBETWEEN(1,16),Subject!$B:$B,0),3)</f>
        <v>#N/A</v>
      </c>
      <c r="W398" s="8" t="str">
        <f t="array" ref="W398">INDEX(Subject!$A:$I,MATCH(RANDBETWEEN(1,16),Subject!$B:$B,0),3)</f>
        <v>#N/A</v>
      </c>
      <c r="X398" s="8" t="str">
        <f t="array" ref="X398">INDEX(Subject!$A:$I,MATCH(RANDBETWEEN(1,16),Subject!$B:$B,0),3)</f>
        <v>#N/A</v>
      </c>
      <c r="Y398" s="8" t="str">
        <f t="array" ref="Y398">INDEX(Subject!$A:$I,MATCH(RANDBETWEEN(1,16),Subject!$B:$B,0),3)</f>
        <v>#N/A</v>
      </c>
      <c r="Z398" s="8" t="str">
        <f t="array" ref="Z398">INDEX(Subject!$A:$I,MATCH(RANDBETWEEN(1,16),Subject!$B:$B,0),3)</f>
        <v>#N/A</v>
      </c>
      <c r="AA398" s="8" t="str">
        <f t="array" ref="AA398">INDEX(Subject!$A:$I,MATCH(RANDBETWEEN(1,16),Subject!$B:$B,0),3)</f>
        <v>#N/A</v>
      </c>
      <c r="AB398" s="8" t="str">
        <f t="array" ref="AB398">INDEX(Subject!$A:$I,MATCH(RANDBETWEEN(1,16),Subject!$B:$B,0),3)</f>
        <v>#N/A</v>
      </c>
      <c r="AC398" s="8" t="str">
        <f t="array" ref="AC398">INDEX(Subject!$A:$I,MATCH(RANDBETWEEN(1,16),Subject!$B:$B,0),3)</f>
        <v>#N/A</v>
      </c>
      <c r="AD398" s="8" t="str">
        <f t="array" ref="AD398">INDEX(Subject!$A:$I,MATCH(RANDBETWEEN(1,16),Subject!$B:$B,0),3)</f>
        <v>#N/A</v>
      </c>
      <c r="AE398" s="8" t="str">
        <f t="array" ref="AE398">INDEX(Subject!$A:$I,MATCH(RANDBETWEEN(1,16),Subject!$B:$B,0),3)</f>
        <v>#N/A</v>
      </c>
      <c r="AF398" s="8" t="str">
        <f t="array" ref="AF398">INDEX(Subject!$A:$I,MATCH(RANDBETWEEN(1,16),Subject!$B:$B,0),3)</f>
        <v/>
      </c>
      <c r="AG398" s="8" t="str">
        <f t="array" ref="AG398">INDEX(Subject!$A:$I,MATCH(RANDBETWEEN(1,16),Subject!$B:$B,0),3)</f>
        <v>#N/A</v>
      </c>
      <c r="AH398" s="8" t="str">
        <f t="array" ref="AH398">INDEX(Subject!$A:$I,MATCH(RANDBETWEEN(1,16),Subject!$B:$B,0),3)</f>
        <v>#N/A</v>
      </c>
      <c r="AI398" s="8" t="str">
        <f t="array" ref="AI398">INDEX(Subject!$A:$I,MATCH(RANDBETWEEN(1,16),Subject!$B:$B,0),3)</f>
        <v>#N/A</v>
      </c>
      <c r="AJ398" s="8" t="str">
        <f t="array" ref="AJ398">INDEX(Subject!$A:$I,MATCH(RANDBETWEEN(1,16),Subject!$B:$B,0),3)</f>
        <v>#N/A</v>
      </c>
      <c r="AK398" s="8" t="str">
        <f t="array" ref="AK398">INDEX(Subject!$A:$I,MATCH(RANDBETWEEN(1,16),Subject!$B:$B,0),3)</f>
        <v>#N/A</v>
      </c>
      <c r="AL398" s="8" t="str">
        <f t="array" ref="AL398">INDEX(Subject!$A:$I,MATCH(RANDBETWEEN(1,16),Subject!$B:$B,0),3)</f>
        <v>#N/A</v>
      </c>
      <c r="AM398" s="18">
        <f t="shared" si="4"/>
        <v>45898.33333</v>
      </c>
      <c r="AN398" s="19">
        <f t="shared" ref="AN398:BZ398" si="398">$A398+C$1</f>
        <v>45898.35417</v>
      </c>
      <c r="AO398" s="19">
        <f t="shared" si="398"/>
        <v>45898.375</v>
      </c>
      <c r="AP398" s="19">
        <f t="shared" si="398"/>
        <v>45898.39583</v>
      </c>
      <c r="AQ398" s="19">
        <f t="shared" si="398"/>
        <v>45898.41667</v>
      </c>
      <c r="AR398" s="19">
        <f t="shared" si="398"/>
        <v>45898.4375</v>
      </c>
      <c r="AS398" s="19">
        <f t="shared" si="398"/>
        <v>45898.45833</v>
      </c>
      <c r="AT398" s="19">
        <f t="shared" si="398"/>
        <v>45898.47917</v>
      </c>
      <c r="AU398" s="19">
        <f t="shared" si="398"/>
        <v>45898.5</v>
      </c>
      <c r="AV398" s="19">
        <f t="shared" si="398"/>
        <v>45898.52083</v>
      </c>
      <c r="AW398" s="19">
        <f t="shared" si="398"/>
        <v>45898.54167</v>
      </c>
      <c r="AX398" s="19">
        <f t="shared" si="398"/>
        <v>45898.5625</v>
      </c>
      <c r="AY398" s="19">
        <f t="shared" si="398"/>
        <v>45898.58333</v>
      </c>
      <c r="AZ398" s="19">
        <f t="shared" si="398"/>
        <v>45898.60417</v>
      </c>
      <c r="BA398" s="19">
        <f t="shared" si="398"/>
        <v>45898.625</v>
      </c>
      <c r="BB398" s="19">
        <f t="shared" si="398"/>
        <v>45898.64583</v>
      </c>
      <c r="BC398" s="19">
        <f t="shared" si="398"/>
        <v>45898.66667</v>
      </c>
      <c r="BD398" s="19">
        <f t="shared" si="398"/>
        <v>45898.6875</v>
      </c>
      <c r="BE398" s="19">
        <f t="shared" si="398"/>
        <v>45898.70833</v>
      </c>
      <c r="BF398" s="19">
        <f t="shared" si="398"/>
        <v>45898.72917</v>
      </c>
      <c r="BG398" s="19">
        <f t="shared" si="398"/>
        <v>45898.75</v>
      </c>
      <c r="BH398" s="19">
        <f t="shared" si="398"/>
        <v>45898.77083</v>
      </c>
      <c r="BI398" s="19">
        <f t="shared" si="398"/>
        <v>45898.79167</v>
      </c>
      <c r="BJ398" s="19">
        <f t="shared" si="398"/>
        <v>45898.8125</v>
      </c>
      <c r="BK398" s="19">
        <f t="shared" si="398"/>
        <v>45898.83333</v>
      </c>
      <c r="BL398" s="19">
        <f t="shared" si="398"/>
        <v>45898.85417</v>
      </c>
      <c r="BM398" s="19">
        <f t="shared" si="398"/>
        <v>45898.875</v>
      </c>
      <c r="BN398" s="19">
        <f t="shared" si="398"/>
        <v>45898.89583</v>
      </c>
      <c r="BO398" s="19">
        <f t="shared" si="398"/>
        <v>45898.91667</v>
      </c>
      <c r="BP398" s="19">
        <f t="shared" si="398"/>
        <v>45898.9375</v>
      </c>
      <c r="BQ398" s="19">
        <f t="shared" si="398"/>
        <v>45898.95833</v>
      </c>
      <c r="BR398" s="19">
        <f t="shared" si="398"/>
        <v>45898.97917</v>
      </c>
      <c r="BS398" s="19">
        <f t="shared" si="398"/>
        <v>45899</v>
      </c>
      <c r="BT398" s="19">
        <f t="shared" si="398"/>
        <v>45899.02083</v>
      </c>
      <c r="BU398" s="19">
        <f t="shared" si="398"/>
        <v>45899.04167</v>
      </c>
      <c r="BV398" s="19">
        <f t="shared" si="398"/>
        <v>45899.0625</v>
      </c>
      <c r="BW398" s="19">
        <f t="shared" si="398"/>
        <v>45899.08333</v>
      </c>
      <c r="BX398" s="19">
        <f t="shared" si="398"/>
        <v>45898</v>
      </c>
      <c r="BY398" s="19">
        <f t="shared" si="398"/>
        <v>45898</v>
      </c>
      <c r="BZ398" s="19">
        <f t="shared" si="398"/>
        <v>45898</v>
      </c>
    </row>
    <row r="399" ht="14.25" customHeight="1">
      <c r="A399" s="17">
        <v>45899.0</v>
      </c>
      <c r="B399" s="2" t="str">
        <f t="array" ref="B399">IF(NOW()&gt;AM399,"",IF(AND((WEEKDAY($A399)+$B$2)&gt;1,((WEEKDAY($A399)+$T$2)&lt;7),(WEEKDAY($A399)&lt;&gt;1)),"work",(INDEX(Subject!$A:$I,MATCH(RANDBETWEEN(1,(MAX(Subject!$B:$B))),Subject!$B:$B,0),3))))</f>
        <v/>
      </c>
      <c r="C399" s="2" t="str">
        <f t="array" ref="C399">IF(NOW()&gt;AN399,"",IF(AND((WEEKDAY($A399)+$B$2)&gt;1,((WEEKDAY($A399)+$T$2)&lt;7),(WEEKDAY($A399)&lt;&gt;1)),"work",(INDEX(Subject!$A:$I,MATCH(RANDBETWEEN(1,(MAX(Subject!$B:$B))),Subject!$B:$B,0),3))))</f>
        <v/>
      </c>
      <c r="D399" s="2" t="str">
        <f t="array" ref="D399">IF(NOW()&gt;AO399,"",IF(AND((WEEKDAY($A399)+$B$2)&gt;1,((WEEKDAY($A399)+$T$2)&lt;7),(WEEKDAY($A399)&lt;&gt;1)),"work",(INDEX(Subject!$A:$I,MATCH(RANDBETWEEN(1,(MAX(Subject!$B:$B))),Subject!$B:$B,0),3))))</f>
        <v/>
      </c>
      <c r="E399" s="2" t="str">
        <f t="array" ref="E399">IF(NOW()&gt;AP399,"",IF(AND((WEEKDAY($A399)+$B$2)&gt;1,((WEEKDAY($A399)+$T$2)&lt;7),(WEEKDAY($A399)&lt;&gt;1)),"work",(INDEX(Subject!$A:$I,MATCH(RANDBETWEEN(1,(MAX(Subject!$B:$B))),Subject!$B:$B,0),3))))</f>
        <v/>
      </c>
      <c r="F399" s="2" t="str">
        <f t="array" ref="F399">IF(NOW()&gt;AQ399,"",IF(AND((WEEKDAY($A399)+$B$2)&gt;1,((WEEKDAY($A399)+$T$2)&lt;7),(WEEKDAY($A399)&lt;&gt;1)),"work",(INDEX(Subject!$A:$I,MATCH(RANDBETWEEN(1,(MAX(Subject!$B:$B))),Subject!$B:$B,0),3))))</f>
        <v/>
      </c>
      <c r="G399" s="2" t="str">
        <f t="array" ref="G399">IF(NOW()&gt;AR399,"",IF(AND((WEEKDAY($A399)+$B$2)&gt;1,((WEEKDAY($A399)+$T$2)&lt;7),(WEEKDAY($A399)&lt;&gt;1)),"work",(INDEX(Subject!$A:$I,MATCH(RANDBETWEEN(1,(MAX(Subject!$B:$B))),Subject!$B:$B,0),3))))</f>
        <v/>
      </c>
      <c r="H399" s="2" t="str">
        <f t="array" ref="H399">IF(NOW()&gt;AS399,"",IF(AND((WEEKDAY($A399)+$B$2)&gt;1,((WEEKDAY($A399)+$T$2)&lt;7),(WEEKDAY($A399)&lt;&gt;1)),"work",(INDEX(Subject!$A:$I,MATCH(RANDBETWEEN(1,(MAX(Subject!$B:$B))),Subject!$B:$B,0),3))))</f>
        <v/>
      </c>
      <c r="I399" s="2" t="str">
        <f t="array" ref="I399">IF(NOW()&gt;AT399,"",IF(AND((WEEKDAY($A399)+$B$2)&gt;1,((WEEKDAY($A399)+$T$2)&lt;7),(WEEKDAY($A399)&lt;&gt;1)),"work",(INDEX(Subject!$A:$I,MATCH(RANDBETWEEN(1,(MAX(Subject!$B:$B))),Subject!$B:$B,0),3))))</f>
        <v/>
      </c>
      <c r="J399" s="2" t="str">
        <f t="array" ref="J399">IF(NOW()&gt;AU399,"",IF(AND((WEEKDAY($A399)+$B$2)&gt;1,((WEEKDAY($A399)+$T$2)&lt;7),(WEEKDAY($A399)&lt;&gt;1)),"work",(INDEX(Subject!$A:$I,MATCH(RANDBETWEEN(1,(MAX(Subject!$B:$B))),Subject!$B:$B,0),3))))</f>
        <v/>
      </c>
      <c r="K399" s="2" t="str">
        <f t="array" ref="K399">IF(NOW()&gt;AV399,"",IF(AND((WEEKDAY($A399)+$B$2)&gt;1,((WEEKDAY($A399)+$T$2)&lt;7),(WEEKDAY($A399)&lt;&gt;1)),"work",(INDEX(Subject!$A:$I,MATCH(RANDBETWEEN(1,(MAX(Subject!$B:$B))),Subject!$B:$B,0),3))))</f>
        <v/>
      </c>
      <c r="L399" s="2" t="str">
        <f t="array" ref="L399">IF(NOW()&gt;AW399,"",IF(AND((WEEKDAY($A399)+$B$2)&gt;1,((WEEKDAY($A399)+$T$2)&lt;7),(WEEKDAY($A399)&lt;&gt;1)),"work",(INDEX(Subject!$A:$I,MATCH(RANDBETWEEN(1,(MAX(Subject!$B:$B))),Subject!$B:$B,0),3))))</f>
        <v/>
      </c>
      <c r="M399" s="2" t="str">
        <f t="array" ref="M399">IF(NOW()&gt;AX399,"",IF(AND((WEEKDAY($A399)+$B$2)&gt;1,((WEEKDAY($A399)+$T$2)&lt;7),(WEEKDAY($A399)&lt;&gt;1)),"work",(INDEX(Subject!$A:$I,MATCH(RANDBETWEEN(1,(MAX(Subject!$B:$B))),Subject!$B:$B,0),3))))</f>
        <v/>
      </c>
      <c r="N399" s="2" t="str">
        <f t="array" ref="N399">IF(NOW()&gt;AY399,"",IF(AND((WEEKDAY($A399)+$B$2)&gt;1,((WEEKDAY($A399)+$T$2)&lt;7),(WEEKDAY($A399)&lt;&gt;1)),"work",(INDEX(Subject!$A:$I,MATCH(RANDBETWEEN(1,(MAX(Subject!$B:$B))),Subject!$B:$B,0),3))))</f>
        <v/>
      </c>
      <c r="O399" s="2" t="str">
        <f t="array" ref="O399">IF(NOW()&gt;AZ399,"",IF(AND((WEEKDAY($A399)+$B$2)&gt;1,((WEEKDAY($A399)+$T$2)&lt;7),(WEEKDAY($A399)&lt;&gt;1)),"work",(INDEX(Subject!$A:$I,MATCH(RANDBETWEEN(1,(MAX(Subject!$B:$B))),Subject!$B:$B,0),3))))</f>
        <v/>
      </c>
      <c r="P399" s="2" t="str">
        <f t="array" ref="P399">IF(NOW()&gt;BA399,"",IF(AND((WEEKDAY($A399)+$B$2)&gt;1,((WEEKDAY($A399)+$T$2)&lt;7),(WEEKDAY($A399)&lt;&gt;1)),"work",(INDEX(Subject!$A:$I,MATCH(RANDBETWEEN(1,(MAX(Subject!$B:$B))),Subject!$B:$B,0),3))))</f>
        <v/>
      </c>
      <c r="Q399" s="2" t="str">
        <f t="array" ref="Q399">IF(NOW()&gt;BB399,"",IF(AND((WEEKDAY($A399)+$B$2)&gt;1,((WEEKDAY($A399)+$T$2)&lt;7),(WEEKDAY($A399)&lt;&gt;1)),"work",(INDEX(Subject!$A:$I,MATCH(RANDBETWEEN(1,(MAX(Subject!$B:$B))),Subject!$B:$B,0),3))))</f>
        <v/>
      </c>
      <c r="R399" s="2" t="str">
        <f t="array" ref="R399">IF(NOW()&gt;BC399,"",IF(AND((WEEKDAY($A399)+$B$2)&gt;1,((WEEKDAY($A399)+$T$2)&lt;7),(WEEKDAY($A399)&lt;&gt;1)),"work",(INDEX(Subject!$A:$I,MATCH(RANDBETWEEN(1,(MAX(Subject!$B:$B))),Subject!$B:$B,0),3))))</f>
        <v/>
      </c>
      <c r="S399" s="2" t="str">
        <f t="array" ref="S399">IF(NOW()&gt;BD399,"",IF(AND((WEEKDAY($A399)+$B$2)&gt;1,((WEEKDAY($A399)+$T$2)&lt;7),(WEEKDAY($A399)&lt;&gt;1)),"work",(INDEX(Subject!$A:$I,MATCH(RANDBETWEEN(1,(MAX(Subject!$B:$B))),Subject!$B:$B,0),3))))</f>
        <v/>
      </c>
      <c r="T399" s="2" t="str">
        <f t="array" ref="T399">IF(NOW()&gt;BE399,"",IF(AND((WEEKDAY($A399)+$B$2)&gt;1,((WEEKDAY($A399)+$T$2)&lt;7),(WEEKDAY($A399)&lt;&gt;1)),"work",(INDEX(Subject!$A:$I,MATCH(RANDBETWEEN(1,(MAX(Subject!$B:$B))),Subject!$B:$B,0),3))))</f>
        <v/>
      </c>
      <c r="U399" s="8" t="str">
        <f t="array" ref="U399">INDEX(Subject!$A:$I,MATCH(RANDBETWEEN(1,16),Subject!$B:$B,0),3)</f>
        <v>#N/A</v>
      </c>
      <c r="V399" s="8" t="str">
        <f t="array" ref="V399">INDEX(Subject!$A:$I,MATCH(RANDBETWEEN(1,16),Subject!$B:$B,0),3)</f>
        <v>#N/A</v>
      </c>
      <c r="W399" s="8" t="str">
        <f t="array" ref="W399">INDEX(Subject!$A:$I,MATCH(RANDBETWEEN(1,16),Subject!$B:$B,0),3)</f>
        <v>#N/A</v>
      </c>
      <c r="X399" s="8" t="str">
        <f t="array" ref="X399">INDEX(Subject!$A:$I,MATCH(RANDBETWEEN(1,16),Subject!$B:$B,0),3)</f>
        <v>#N/A</v>
      </c>
      <c r="Y399" s="8" t="str">
        <f t="array" ref="Y399">INDEX(Subject!$A:$I,MATCH(RANDBETWEEN(1,16),Subject!$B:$B,0),3)</f>
        <v>#N/A</v>
      </c>
      <c r="Z399" s="8" t="str">
        <f t="array" ref="Z399">INDEX(Subject!$A:$I,MATCH(RANDBETWEEN(1,16),Subject!$B:$B,0),3)</f>
        <v>#N/A</v>
      </c>
      <c r="AA399" s="8" t="str">
        <f t="array" ref="AA399">INDEX(Subject!$A:$I,MATCH(RANDBETWEEN(1,16),Subject!$B:$B,0),3)</f>
        <v>#N/A</v>
      </c>
      <c r="AB399" s="8" t="str">
        <f t="array" ref="AB399">INDEX(Subject!$A:$I,MATCH(RANDBETWEEN(1,16),Subject!$B:$B,0),3)</f>
        <v>#N/A</v>
      </c>
      <c r="AC399" s="8" t="str">
        <f t="array" ref="AC399">INDEX(Subject!$A:$I,MATCH(RANDBETWEEN(1,16),Subject!$B:$B,0),3)</f>
        <v>#N/A</v>
      </c>
      <c r="AD399" s="8" t="str">
        <f t="array" ref="AD399">INDEX(Subject!$A:$I,MATCH(RANDBETWEEN(1,16),Subject!$B:$B,0),3)</f>
        <v>#N/A</v>
      </c>
      <c r="AE399" s="8" t="str">
        <f t="array" ref="AE399">INDEX(Subject!$A:$I,MATCH(RANDBETWEEN(1,16),Subject!$B:$B,0),3)</f>
        <v>#N/A</v>
      </c>
      <c r="AF399" s="8" t="str">
        <f t="array" ref="AF399">INDEX(Subject!$A:$I,MATCH(RANDBETWEEN(1,16),Subject!$B:$B,0),3)</f>
        <v>#N/A</v>
      </c>
      <c r="AG399" s="8" t="str">
        <f t="array" ref="AG399">INDEX(Subject!$A:$I,MATCH(RANDBETWEEN(1,16),Subject!$B:$B,0),3)</f>
        <v>#N/A</v>
      </c>
      <c r="AH399" s="8" t="str">
        <f t="array" ref="AH399">INDEX(Subject!$A:$I,MATCH(RANDBETWEEN(1,16),Subject!$B:$B,0),3)</f>
        <v>#N/A</v>
      </c>
      <c r="AI399" s="8" t="str">
        <f t="array" ref="AI399">INDEX(Subject!$A:$I,MATCH(RANDBETWEEN(1,16),Subject!$B:$B,0),3)</f>
        <v>#N/A</v>
      </c>
      <c r="AJ399" s="8" t="str">
        <f t="array" ref="AJ399">INDEX(Subject!$A:$I,MATCH(RANDBETWEEN(1,16),Subject!$B:$B,0),3)</f>
        <v>#N/A</v>
      </c>
      <c r="AK399" s="8" t="str">
        <f t="array" ref="AK399">INDEX(Subject!$A:$I,MATCH(RANDBETWEEN(1,16),Subject!$B:$B,0),3)</f>
        <v>#N/A</v>
      </c>
      <c r="AL399" s="8" t="str">
        <f t="array" ref="AL399">INDEX(Subject!$A:$I,MATCH(RANDBETWEEN(1,16),Subject!$B:$B,0),3)</f>
        <v>#N/A</v>
      </c>
      <c r="AM399" s="18">
        <f t="shared" si="4"/>
        <v>45899.33333</v>
      </c>
      <c r="AN399" s="19">
        <f t="shared" ref="AN399:BZ399" si="399">$A399+C$1</f>
        <v>45899.35417</v>
      </c>
      <c r="AO399" s="19">
        <f t="shared" si="399"/>
        <v>45899.375</v>
      </c>
      <c r="AP399" s="19">
        <f t="shared" si="399"/>
        <v>45899.39583</v>
      </c>
      <c r="AQ399" s="19">
        <f t="shared" si="399"/>
        <v>45899.41667</v>
      </c>
      <c r="AR399" s="19">
        <f t="shared" si="399"/>
        <v>45899.4375</v>
      </c>
      <c r="AS399" s="19">
        <f t="shared" si="399"/>
        <v>45899.45833</v>
      </c>
      <c r="AT399" s="19">
        <f t="shared" si="399"/>
        <v>45899.47917</v>
      </c>
      <c r="AU399" s="19">
        <f t="shared" si="399"/>
        <v>45899.5</v>
      </c>
      <c r="AV399" s="19">
        <f t="shared" si="399"/>
        <v>45899.52083</v>
      </c>
      <c r="AW399" s="19">
        <f t="shared" si="399"/>
        <v>45899.54167</v>
      </c>
      <c r="AX399" s="19">
        <f t="shared" si="399"/>
        <v>45899.5625</v>
      </c>
      <c r="AY399" s="19">
        <f t="shared" si="399"/>
        <v>45899.58333</v>
      </c>
      <c r="AZ399" s="19">
        <f t="shared" si="399"/>
        <v>45899.60417</v>
      </c>
      <c r="BA399" s="19">
        <f t="shared" si="399"/>
        <v>45899.625</v>
      </c>
      <c r="BB399" s="19">
        <f t="shared" si="399"/>
        <v>45899.64583</v>
      </c>
      <c r="BC399" s="19">
        <f t="shared" si="399"/>
        <v>45899.66667</v>
      </c>
      <c r="BD399" s="19">
        <f t="shared" si="399"/>
        <v>45899.6875</v>
      </c>
      <c r="BE399" s="19">
        <f t="shared" si="399"/>
        <v>45899.70833</v>
      </c>
      <c r="BF399" s="19">
        <f t="shared" si="399"/>
        <v>45899.72917</v>
      </c>
      <c r="BG399" s="19">
        <f t="shared" si="399"/>
        <v>45899.75</v>
      </c>
      <c r="BH399" s="19">
        <f t="shared" si="399"/>
        <v>45899.77083</v>
      </c>
      <c r="BI399" s="19">
        <f t="shared" si="399"/>
        <v>45899.79167</v>
      </c>
      <c r="BJ399" s="19">
        <f t="shared" si="399"/>
        <v>45899.8125</v>
      </c>
      <c r="BK399" s="19">
        <f t="shared" si="399"/>
        <v>45899.83333</v>
      </c>
      <c r="BL399" s="19">
        <f t="shared" si="399"/>
        <v>45899.85417</v>
      </c>
      <c r="BM399" s="19">
        <f t="shared" si="399"/>
        <v>45899.875</v>
      </c>
      <c r="BN399" s="19">
        <f t="shared" si="399"/>
        <v>45899.89583</v>
      </c>
      <c r="BO399" s="19">
        <f t="shared" si="399"/>
        <v>45899.91667</v>
      </c>
      <c r="BP399" s="19">
        <f t="shared" si="399"/>
        <v>45899.9375</v>
      </c>
      <c r="BQ399" s="19">
        <f t="shared" si="399"/>
        <v>45899.95833</v>
      </c>
      <c r="BR399" s="19">
        <f t="shared" si="399"/>
        <v>45899.97917</v>
      </c>
      <c r="BS399" s="19">
        <f t="shared" si="399"/>
        <v>45900</v>
      </c>
      <c r="BT399" s="19">
        <f t="shared" si="399"/>
        <v>45900.02083</v>
      </c>
      <c r="BU399" s="19">
        <f t="shared" si="399"/>
        <v>45900.04167</v>
      </c>
      <c r="BV399" s="19">
        <f t="shared" si="399"/>
        <v>45900.0625</v>
      </c>
      <c r="BW399" s="19">
        <f t="shared" si="399"/>
        <v>45900.08333</v>
      </c>
      <c r="BX399" s="19">
        <f t="shared" si="399"/>
        <v>45899</v>
      </c>
      <c r="BY399" s="19">
        <f t="shared" si="399"/>
        <v>45899</v>
      </c>
      <c r="BZ399" s="19">
        <f t="shared" si="399"/>
        <v>45899</v>
      </c>
    </row>
    <row r="400" ht="14.25" customHeight="1">
      <c r="A400" s="17">
        <v>45900.0</v>
      </c>
      <c r="B400" s="2" t="str">
        <f t="array" ref="B400">IF(NOW()&gt;AM400,"",IF(AND((WEEKDAY($A400)+$B$2)&gt;1,((WEEKDAY($A400)+$T$2)&lt;7),(WEEKDAY($A400)&lt;&gt;1)),"work",(INDEX(Subject!$A:$I,MATCH(RANDBETWEEN(1,(MAX(Subject!$B:$B))),Subject!$B:$B,0),3))))</f>
        <v/>
      </c>
      <c r="C400" s="2" t="str">
        <f t="array" ref="C400">IF(NOW()&gt;AN400,"",IF(AND((WEEKDAY($A400)+$B$2)&gt;1,((WEEKDAY($A400)+$T$2)&lt;7),(WEEKDAY($A400)&lt;&gt;1)),"work",(INDEX(Subject!$A:$I,MATCH(RANDBETWEEN(1,(MAX(Subject!$B:$B))),Subject!$B:$B,0),3))))</f>
        <v/>
      </c>
      <c r="D400" s="2" t="str">
        <f t="array" ref="D400">IF(NOW()&gt;AO400,"",IF(AND((WEEKDAY($A400)+$B$2)&gt;1,((WEEKDAY($A400)+$T$2)&lt;7),(WEEKDAY($A400)&lt;&gt;1)),"work",(INDEX(Subject!$A:$I,MATCH(RANDBETWEEN(1,(MAX(Subject!$B:$B))),Subject!$B:$B,0),3))))</f>
        <v/>
      </c>
      <c r="E400" s="2" t="str">
        <f t="array" ref="E400">IF(NOW()&gt;AP400,"",IF(AND((WEEKDAY($A400)+$B$2)&gt;1,((WEEKDAY($A400)+$T$2)&lt;7),(WEEKDAY($A400)&lt;&gt;1)),"work",(INDEX(Subject!$A:$I,MATCH(RANDBETWEEN(1,(MAX(Subject!$B:$B))),Subject!$B:$B,0),3))))</f>
        <v/>
      </c>
      <c r="F400" s="2" t="str">
        <f t="array" ref="F400">IF(NOW()&gt;AQ400,"",IF(AND((WEEKDAY($A400)+$B$2)&gt;1,((WEEKDAY($A400)+$T$2)&lt;7),(WEEKDAY($A400)&lt;&gt;1)),"work",(INDEX(Subject!$A:$I,MATCH(RANDBETWEEN(1,(MAX(Subject!$B:$B))),Subject!$B:$B,0),3))))</f>
        <v/>
      </c>
      <c r="G400" s="2" t="str">
        <f t="array" ref="G400">IF(NOW()&gt;AR400,"",IF(AND((WEEKDAY($A400)+$B$2)&gt;1,((WEEKDAY($A400)+$T$2)&lt;7),(WEEKDAY($A400)&lt;&gt;1)),"work",(INDEX(Subject!$A:$I,MATCH(RANDBETWEEN(1,(MAX(Subject!$B:$B))),Subject!$B:$B,0),3))))</f>
        <v/>
      </c>
      <c r="H400" s="2" t="str">
        <f t="array" ref="H400">IF(NOW()&gt;AS400,"",IF(AND((WEEKDAY($A400)+$B$2)&gt;1,((WEEKDAY($A400)+$T$2)&lt;7),(WEEKDAY($A400)&lt;&gt;1)),"work",(INDEX(Subject!$A:$I,MATCH(RANDBETWEEN(1,(MAX(Subject!$B:$B))),Subject!$B:$B,0),3))))</f>
        <v/>
      </c>
      <c r="I400" s="2" t="str">
        <f t="array" ref="I400">IF(NOW()&gt;AT400,"",IF(AND((WEEKDAY($A400)+$B$2)&gt;1,((WEEKDAY($A400)+$T$2)&lt;7),(WEEKDAY($A400)&lt;&gt;1)),"work",(INDEX(Subject!$A:$I,MATCH(RANDBETWEEN(1,(MAX(Subject!$B:$B))),Subject!$B:$B,0),3))))</f>
        <v/>
      </c>
      <c r="J400" s="2" t="str">
        <f t="array" ref="J400">IF(NOW()&gt;AU400,"",IF(AND((WEEKDAY($A400)+$B$2)&gt;1,((WEEKDAY($A400)+$T$2)&lt;7),(WEEKDAY($A400)&lt;&gt;1)),"work",(INDEX(Subject!$A:$I,MATCH(RANDBETWEEN(1,(MAX(Subject!$B:$B))),Subject!$B:$B,0),3))))</f>
        <v/>
      </c>
      <c r="K400" s="2" t="str">
        <f t="array" ref="K400">IF(NOW()&gt;AV400,"",IF(AND((WEEKDAY($A400)+$B$2)&gt;1,((WEEKDAY($A400)+$T$2)&lt;7),(WEEKDAY($A400)&lt;&gt;1)),"work",(INDEX(Subject!$A:$I,MATCH(RANDBETWEEN(1,(MAX(Subject!$B:$B))),Subject!$B:$B,0),3))))</f>
        <v/>
      </c>
      <c r="L400" s="2" t="str">
        <f t="array" ref="L400">IF(NOW()&gt;AW400,"",IF(AND((WEEKDAY($A400)+$B$2)&gt;1,((WEEKDAY($A400)+$T$2)&lt;7),(WEEKDAY($A400)&lt;&gt;1)),"work",(INDEX(Subject!$A:$I,MATCH(RANDBETWEEN(1,(MAX(Subject!$B:$B))),Subject!$B:$B,0),3))))</f>
        <v/>
      </c>
      <c r="M400" s="2" t="str">
        <f t="array" ref="M400">IF(NOW()&gt;AX400,"",IF(AND((WEEKDAY($A400)+$B$2)&gt;1,((WEEKDAY($A400)+$T$2)&lt;7),(WEEKDAY($A400)&lt;&gt;1)),"work",(INDEX(Subject!$A:$I,MATCH(RANDBETWEEN(1,(MAX(Subject!$B:$B))),Subject!$B:$B,0),3))))</f>
        <v/>
      </c>
      <c r="N400" s="2" t="str">
        <f t="array" ref="N400">IF(NOW()&gt;AY400,"",IF(AND((WEEKDAY($A400)+$B$2)&gt;1,((WEEKDAY($A400)+$T$2)&lt;7),(WEEKDAY($A400)&lt;&gt;1)),"work",(INDEX(Subject!$A:$I,MATCH(RANDBETWEEN(1,(MAX(Subject!$B:$B))),Subject!$B:$B,0),3))))</f>
        <v/>
      </c>
      <c r="O400" s="2" t="str">
        <f t="array" ref="O400">IF(NOW()&gt;AZ400,"",IF(AND((WEEKDAY($A400)+$B$2)&gt;1,((WEEKDAY($A400)+$T$2)&lt;7),(WEEKDAY($A400)&lt;&gt;1)),"work",(INDEX(Subject!$A:$I,MATCH(RANDBETWEEN(1,(MAX(Subject!$B:$B))),Subject!$B:$B,0),3))))</f>
        <v/>
      </c>
      <c r="P400" s="2" t="str">
        <f t="array" ref="P400">IF(NOW()&gt;BA400,"",IF(AND((WEEKDAY($A400)+$B$2)&gt;1,((WEEKDAY($A400)+$T$2)&lt;7),(WEEKDAY($A400)&lt;&gt;1)),"work",(INDEX(Subject!$A:$I,MATCH(RANDBETWEEN(1,(MAX(Subject!$B:$B))),Subject!$B:$B,0),3))))</f>
        <v/>
      </c>
      <c r="Q400" s="2" t="str">
        <f t="array" ref="Q400">IF(NOW()&gt;BB400,"",IF(AND((WEEKDAY($A400)+$B$2)&gt;1,((WEEKDAY($A400)+$T$2)&lt;7),(WEEKDAY($A400)&lt;&gt;1)),"work",(INDEX(Subject!$A:$I,MATCH(RANDBETWEEN(1,(MAX(Subject!$B:$B))),Subject!$B:$B,0),3))))</f>
        <v/>
      </c>
      <c r="R400" s="2" t="str">
        <f t="array" ref="R400">IF(NOW()&gt;BC400,"",IF(AND((WEEKDAY($A400)+$B$2)&gt;1,((WEEKDAY($A400)+$T$2)&lt;7),(WEEKDAY($A400)&lt;&gt;1)),"work",(INDEX(Subject!$A:$I,MATCH(RANDBETWEEN(1,(MAX(Subject!$B:$B))),Subject!$B:$B,0),3))))</f>
        <v/>
      </c>
      <c r="S400" s="2" t="str">
        <f t="array" ref="S400">IF(NOW()&gt;BD400,"",IF(AND((WEEKDAY($A400)+$B$2)&gt;1,((WEEKDAY($A400)+$T$2)&lt;7),(WEEKDAY($A400)&lt;&gt;1)),"work",(INDEX(Subject!$A:$I,MATCH(RANDBETWEEN(1,(MAX(Subject!$B:$B))),Subject!$B:$B,0),3))))</f>
        <v/>
      </c>
      <c r="T400" s="2" t="str">
        <f t="array" ref="T400">IF(NOW()&gt;BE400,"",IF(AND((WEEKDAY($A400)+$B$2)&gt;1,((WEEKDAY($A400)+$T$2)&lt;7),(WEEKDAY($A400)&lt;&gt;1)),"work",(INDEX(Subject!$A:$I,MATCH(RANDBETWEEN(1,(MAX(Subject!$B:$B))),Subject!$B:$B,0),3))))</f>
        <v/>
      </c>
      <c r="U400" s="8" t="str">
        <f t="array" ref="U400">INDEX(Subject!$A:$I,MATCH(RANDBETWEEN(1,16),Subject!$B:$B,0),3)</f>
        <v>#N/A</v>
      </c>
      <c r="V400" s="8" t="str">
        <f t="array" ref="V400">INDEX(Subject!$A:$I,MATCH(RANDBETWEEN(1,16),Subject!$B:$B,0),3)</f>
        <v>#N/A</v>
      </c>
      <c r="W400" s="8" t="str">
        <f t="array" ref="W400">INDEX(Subject!$A:$I,MATCH(RANDBETWEEN(1,16),Subject!$B:$B,0),3)</f>
        <v>#N/A</v>
      </c>
      <c r="X400" s="8" t="str">
        <f t="array" ref="X400">INDEX(Subject!$A:$I,MATCH(RANDBETWEEN(1,16),Subject!$B:$B,0),3)</f>
        <v>#N/A</v>
      </c>
      <c r="Y400" s="8" t="str">
        <f t="array" ref="Y400">INDEX(Subject!$A:$I,MATCH(RANDBETWEEN(1,16),Subject!$B:$B,0),3)</f>
        <v>#N/A</v>
      </c>
      <c r="Z400" s="8" t="str">
        <f t="array" ref="Z400">INDEX(Subject!$A:$I,MATCH(RANDBETWEEN(1,16),Subject!$B:$B,0),3)</f>
        <v>#N/A</v>
      </c>
      <c r="AA400" s="8" t="str">
        <f t="array" ref="AA400">INDEX(Subject!$A:$I,MATCH(RANDBETWEEN(1,16),Subject!$B:$B,0),3)</f>
        <v>#N/A</v>
      </c>
      <c r="AB400" s="8" t="str">
        <f t="array" ref="AB400">INDEX(Subject!$A:$I,MATCH(RANDBETWEEN(1,16),Subject!$B:$B,0),3)</f>
        <v>#N/A</v>
      </c>
      <c r="AC400" s="8" t="str">
        <f t="array" ref="AC400">INDEX(Subject!$A:$I,MATCH(RANDBETWEEN(1,16),Subject!$B:$B,0),3)</f>
        <v>#N/A</v>
      </c>
      <c r="AD400" s="8" t="str">
        <f t="array" ref="AD400">INDEX(Subject!$A:$I,MATCH(RANDBETWEEN(1,16),Subject!$B:$B,0),3)</f>
        <v>#N/A</v>
      </c>
      <c r="AE400" s="8" t="str">
        <f t="array" ref="AE400">INDEX(Subject!$A:$I,MATCH(RANDBETWEEN(1,16),Subject!$B:$B,0),3)</f>
        <v>#N/A</v>
      </c>
      <c r="AF400" s="8" t="str">
        <f t="array" ref="AF400">INDEX(Subject!$A:$I,MATCH(RANDBETWEEN(1,16),Subject!$B:$B,0),3)</f>
        <v>#N/A</v>
      </c>
      <c r="AG400" s="8" t="str">
        <f t="array" ref="AG400">INDEX(Subject!$A:$I,MATCH(RANDBETWEEN(1,16),Subject!$B:$B,0),3)</f>
        <v/>
      </c>
      <c r="AH400" s="8" t="str">
        <f t="array" ref="AH400">INDEX(Subject!$A:$I,MATCH(RANDBETWEEN(1,16),Subject!$B:$B,0),3)</f>
        <v>#N/A</v>
      </c>
      <c r="AI400" s="8" t="str">
        <f t="array" ref="AI400">INDEX(Subject!$A:$I,MATCH(RANDBETWEEN(1,16),Subject!$B:$B,0),3)</f>
        <v>#N/A</v>
      </c>
      <c r="AJ400" s="8" t="str">
        <f t="array" ref="AJ400">INDEX(Subject!$A:$I,MATCH(RANDBETWEEN(1,16),Subject!$B:$B,0),3)</f>
        <v>#N/A</v>
      </c>
      <c r="AK400" s="8" t="str">
        <f t="array" ref="AK400">INDEX(Subject!$A:$I,MATCH(RANDBETWEEN(1,16),Subject!$B:$B,0),3)</f>
        <v>#N/A</v>
      </c>
      <c r="AL400" s="8" t="str">
        <f t="array" ref="AL400">INDEX(Subject!$A:$I,MATCH(RANDBETWEEN(1,16),Subject!$B:$B,0),3)</f>
        <v>#N/A</v>
      </c>
      <c r="AM400" s="18">
        <f t="shared" si="4"/>
        <v>45900.33333</v>
      </c>
      <c r="AN400" s="19">
        <f t="shared" ref="AN400:BZ400" si="400">$A400+C$1</f>
        <v>45900.35417</v>
      </c>
      <c r="AO400" s="19">
        <f t="shared" si="400"/>
        <v>45900.375</v>
      </c>
      <c r="AP400" s="19">
        <f t="shared" si="400"/>
        <v>45900.39583</v>
      </c>
      <c r="AQ400" s="19">
        <f t="shared" si="400"/>
        <v>45900.41667</v>
      </c>
      <c r="AR400" s="19">
        <f t="shared" si="400"/>
        <v>45900.4375</v>
      </c>
      <c r="AS400" s="19">
        <f t="shared" si="400"/>
        <v>45900.45833</v>
      </c>
      <c r="AT400" s="19">
        <f t="shared" si="400"/>
        <v>45900.47917</v>
      </c>
      <c r="AU400" s="19">
        <f t="shared" si="400"/>
        <v>45900.5</v>
      </c>
      <c r="AV400" s="19">
        <f t="shared" si="400"/>
        <v>45900.52083</v>
      </c>
      <c r="AW400" s="19">
        <f t="shared" si="400"/>
        <v>45900.54167</v>
      </c>
      <c r="AX400" s="19">
        <f t="shared" si="400"/>
        <v>45900.5625</v>
      </c>
      <c r="AY400" s="19">
        <f t="shared" si="400"/>
        <v>45900.58333</v>
      </c>
      <c r="AZ400" s="19">
        <f t="shared" si="400"/>
        <v>45900.60417</v>
      </c>
      <c r="BA400" s="19">
        <f t="shared" si="400"/>
        <v>45900.625</v>
      </c>
      <c r="BB400" s="19">
        <f t="shared" si="400"/>
        <v>45900.64583</v>
      </c>
      <c r="BC400" s="19">
        <f t="shared" si="400"/>
        <v>45900.66667</v>
      </c>
      <c r="BD400" s="19">
        <f t="shared" si="400"/>
        <v>45900.6875</v>
      </c>
      <c r="BE400" s="19">
        <f t="shared" si="400"/>
        <v>45900.70833</v>
      </c>
      <c r="BF400" s="19">
        <f t="shared" si="400"/>
        <v>45900.72917</v>
      </c>
      <c r="BG400" s="19">
        <f t="shared" si="400"/>
        <v>45900.75</v>
      </c>
      <c r="BH400" s="19">
        <f t="shared" si="400"/>
        <v>45900.77083</v>
      </c>
      <c r="BI400" s="19">
        <f t="shared" si="400"/>
        <v>45900.79167</v>
      </c>
      <c r="BJ400" s="19">
        <f t="shared" si="400"/>
        <v>45900.8125</v>
      </c>
      <c r="BK400" s="19">
        <f t="shared" si="400"/>
        <v>45900.83333</v>
      </c>
      <c r="BL400" s="19">
        <f t="shared" si="400"/>
        <v>45900.85417</v>
      </c>
      <c r="BM400" s="19">
        <f t="shared" si="400"/>
        <v>45900.875</v>
      </c>
      <c r="BN400" s="19">
        <f t="shared" si="400"/>
        <v>45900.89583</v>
      </c>
      <c r="BO400" s="19">
        <f t="shared" si="400"/>
        <v>45900.91667</v>
      </c>
      <c r="BP400" s="19">
        <f t="shared" si="400"/>
        <v>45900.9375</v>
      </c>
      <c r="BQ400" s="19">
        <f t="shared" si="400"/>
        <v>45900.95833</v>
      </c>
      <c r="BR400" s="19">
        <f t="shared" si="400"/>
        <v>45900.97917</v>
      </c>
      <c r="BS400" s="19">
        <f t="shared" si="400"/>
        <v>45901</v>
      </c>
      <c r="BT400" s="19">
        <f t="shared" si="400"/>
        <v>45901.02083</v>
      </c>
      <c r="BU400" s="19">
        <f t="shared" si="400"/>
        <v>45901.04167</v>
      </c>
      <c r="BV400" s="19">
        <f t="shared" si="400"/>
        <v>45901.0625</v>
      </c>
      <c r="BW400" s="19">
        <f t="shared" si="400"/>
        <v>45901.08333</v>
      </c>
      <c r="BX400" s="19">
        <f t="shared" si="400"/>
        <v>45900</v>
      </c>
      <c r="BY400" s="19">
        <f t="shared" si="400"/>
        <v>45900</v>
      </c>
      <c r="BZ400" s="19">
        <f t="shared" si="400"/>
        <v>45900</v>
      </c>
    </row>
    <row r="401" ht="14.25" customHeight="1">
      <c r="A401" s="17">
        <v>45901.0</v>
      </c>
      <c r="B401" s="2" t="str">
        <f t="array" ref="B401">IF(NOW()&gt;AM401,"",IF(AND((WEEKDAY($A401)+$B$2)&gt;1,((WEEKDAY($A401)+$T$2)&lt;7),(WEEKDAY($A401)&lt;&gt;1)),"work",(INDEX(Subject!$A:$I,MATCH(RANDBETWEEN(1,(MAX(Subject!$B:$B))),Subject!$B:$B,0),3))))</f>
        <v/>
      </c>
      <c r="C401" s="2" t="str">
        <f t="array" ref="C401">IF(NOW()&gt;AN401,"",IF(AND((WEEKDAY($A401)+$B$2)&gt;1,((WEEKDAY($A401)+$T$2)&lt;7),(WEEKDAY($A401)&lt;&gt;1)),"work",(INDEX(Subject!$A:$I,MATCH(RANDBETWEEN(1,(MAX(Subject!$B:$B))),Subject!$B:$B,0),3))))</f>
        <v/>
      </c>
      <c r="D401" s="2" t="str">
        <f t="array" ref="D401">IF(NOW()&gt;AO401,"",IF(AND((WEEKDAY($A401)+$B$2)&gt;1,((WEEKDAY($A401)+$T$2)&lt;7),(WEEKDAY($A401)&lt;&gt;1)),"work",(INDEX(Subject!$A:$I,MATCH(RANDBETWEEN(1,(MAX(Subject!$B:$B))),Subject!$B:$B,0),3))))</f>
        <v/>
      </c>
      <c r="E401" s="2" t="str">
        <f t="array" ref="E401">IF(NOW()&gt;AP401,"",IF(AND((WEEKDAY($A401)+$B$2)&gt;1,((WEEKDAY($A401)+$T$2)&lt;7),(WEEKDAY($A401)&lt;&gt;1)),"work",(INDEX(Subject!$A:$I,MATCH(RANDBETWEEN(1,(MAX(Subject!$B:$B))),Subject!$B:$B,0),3))))</f>
        <v/>
      </c>
      <c r="F401" s="2" t="str">
        <f t="array" ref="F401">IF(NOW()&gt;AQ401,"",IF(AND((WEEKDAY($A401)+$B$2)&gt;1,((WEEKDAY($A401)+$T$2)&lt;7),(WEEKDAY($A401)&lt;&gt;1)),"work",(INDEX(Subject!$A:$I,MATCH(RANDBETWEEN(1,(MAX(Subject!$B:$B))),Subject!$B:$B,0),3))))</f>
        <v/>
      </c>
      <c r="G401" s="2" t="str">
        <f t="array" ref="G401">IF(NOW()&gt;AR401,"",IF(AND((WEEKDAY($A401)+$B$2)&gt;1,((WEEKDAY($A401)+$T$2)&lt;7),(WEEKDAY($A401)&lt;&gt;1)),"work",(INDEX(Subject!$A:$I,MATCH(RANDBETWEEN(1,(MAX(Subject!$B:$B))),Subject!$B:$B,0),3))))</f>
        <v/>
      </c>
      <c r="H401" s="2" t="str">
        <f t="array" ref="H401">IF(NOW()&gt;AS401,"",IF(AND((WEEKDAY($A401)+$B$2)&gt;1,((WEEKDAY($A401)+$T$2)&lt;7),(WEEKDAY($A401)&lt;&gt;1)),"work",(INDEX(Subject!$A:$I,MATCH(RANDBETWEEN(1,(MAX(Subject!$B:$B))),Subject!$B:$B,0),3))))</f>
        <v/>
      </c>
      <c r="I401" s="2" t="str">
        <f t="array" ref="I401">IF(NOW()&gt;AT401,"",IF(AND((WEEKDAY($A401)+$B$2)&gt;1,((WEEKDAY($A401)+$T$2)&lt;7),(WEEKDAY($A401)&lt;&gt;1)),"work",(INDEX(Subject!$A:$I,MATCH(RANDBETWEEN(1,(MAX(Subject!$B:$B))),Subject!$B:$B,0),3))))</f>
        <v/>
      </c>
      <c r="J401" s="2" t="str">
        <f t="array" ref="J401">IF(NOW()&gt;AU401,"",IF(AND((WEEKDAY($A401)+$B$2)&gt;1,((WEEKDAY($A401)+$T$2)&lt;7),(WEEKDAY($A401)&lt;&gt;1)),"work",(INDEX(Subject!$A:$I,MATCH(RANDBETWEEN(1,(MAX(Subject!$B:$B))),Subject!$B:$B,0),3))))</f>
        <v/>
      </c>
      <c r="K401" s="2" t="str">
        <f t="array" ref="K401">IF(NOW()&gt;AV401,"",IF(AND((WEEKDAY($A401)+$B$2)&gt;1,((WEEKDAY($A401)+$T$2)&lt;7),(WEEKDAY($A401)&lt;&gt;1)),"work",(INDEX(Subject!$A:$I,MATCH(RANDBETWEEN(1,(MAX(Subject!$B:$B))),Subject!$B:$B,0),3))))</f>
        <v/>
      </c>
      <c r="L401" s="2" t="str">
        <f t="array" ref="L401">IF(NOW()&gt;AW401,"",IF(AND((WEEKDAY($A401)+$B$2)&gt;1,((WEEKDAY($A401)+$T$2)&lt;7),(WEEKDAY($A401)&lt;&gt;1)),"work",(INDEX(Subject!$A:$I,MATCH(RANDBETWEEN(1,(MAX(Subject!$B:$B))),Subject!$B:$B,0),3))))</f>
        <v/>
      </c>
      <c r="M401" s="2" t="str">
        <f t="array" ref="M401">IF(NOW()&gt;AX401,"",IF(AND((WEEKDAY($A401)+$B$2)&gt;1,((WEEKDAY($A401)+$T$2)&lt;7),(WEEKDAY($A401)&lt;&gt;1)),"work",(INDEX(Subject!$A:$I,MATCH(RANDBETWEEN(1,(MAX(Subject!$B:$B))),Subject!$B:$B,0),3))))</f>
        <v/>
      </c>
      <c r="N401" s="2" t="str">
        <f t="array" ref="N401">IF(NOW()&gt;AY401,"",IF(AND((WEEKDAY($A401)+$B$2)&gt;1,((WEEKDAY($A401)+$T$2)&lt;7),(WEEKDAY($A401)&lt;&gt;1)),"work",(INDEX(Subject!$A:$I,MATCH(RANDBETWEEN(1,(MAX(Subject!$B:$B))),Subject!$B:$B,0),3))))</f>
        <v/>
      </c>
      <c r="O401" s="2" t="str">
        <f t="array" ref="O401">IF(NOW()&gt;AZ401,"",IF(AND((WEEKDAY($A401)+$B$2)&gt;1,((WEEKDAY($A401)+$T$2)&lt;7),(WEEKDAY($A401)&lt;&gt;1)),"work",(INDEX(Subject!$A:$I,MATCH(RANDBETWEEN(1,(MAX(Subject!$B:$B))),Subject!$B:$B,0),3))))</f>
        <v/>
      </c>
      <c r="P401" s="2" t="str">
        <f t="array" ref="P401">IF(NOW()&gt;BA401,"",IF(AND((WEEKDAY($A401)+$B$2)&gt;1,((WEEKDAY($A401)+$T$2)&lt;7),(WEEKDAY($A401)&lt;&gt;1)),"work",(INDEX(Subject!$A:$I,MATCH(RANDBETWEEN(1,(MAX(Subject!$B:$B))),Subject!$B:$B,0),3))))</f>
        <v/>
      </c>
      <c r="Q401" s="2" t="str">
        <f t="array" ref="Q401">IF(NOW()&gt;BB401,"",IF(AND((WEEKDAY($A401)+$B$2)&gt;1,((WEEKDAY($A401)+$T$2)&lt;7),(WEEKDAY($A401)&lt;&gt;1)),"work",(INDEX(Subject!$A:$I,MATCH(RANDBETWEEN(1,(MAX(Subject!$B:$B))),Subject!$B:$B,0),3))))</f>
        <v/>
      </c>
      <c r="R401" s="2" t="str">
        <f t="array" ref="R401">IF(NOW()&gt;BC401,"",IF(AND((WEEKDAY($A401)+$B$2)&gt;1,((WEEKDAY($A401)+$T$2)&lt;7),(WEEKDAY($A401)&lt;&gt;1)),"work",(INDEX(Subject!$A:$I,MATCH(RANDBETWEEN(1,(MAX(Subject!$B:$B))),Subject!$B:$B,0),3))))</f>
        <v/>
      </c>
      <c r="S401" s="2" t="str">
        <f t="array" ref="S401">IF(NOW()&gt;BD401,"",IF(AND((WEEKDAY($A401)+$B$2)&gt;1,((WEEKDAY($A401)+$T$2)&lt;7),(WEEKDAY($A401)&lt;&gt;1)),"work",(INDEX(Subject!$A:$I,MATCH(RANDBETWEEN(1,(MAX(Subject!$B:$B))),Subject!$B:$B,0),3))))</f>
        <v/>
      </c>
      <c r="T401" s="2" t="str">
        <f t="array" ref="T401">IF(NOW()&gt;BE401,"",IF(AND((WEEKDAY($A401)+$B$2)&gt;1,((WEEKDAY($A401)+$T$2)&lt;7),(WEEKDAY($A401)&lt;&gt;1)),"work",(INDEX(Subject!$A:$I,MATCH(RANDBETWEEN(1,(MAX(Subject!$B:$B))),Subject!$B:$B,0),3))))</f>
        <v/>
      </c>
      <c r="U401" s="8" t="str">
        <f t="array" ref="U401">INDEX(Subject!$A:$I,MATCH(RANDBETWEEN(1,16),Subject!$B:$B,0),3)</f>
        <v>#N/A</v>
      </c>
      <c r="V401" s="8" t="str">
        <f t="array" ref="V401">INDEX(Subject!$A:$I,MATCH(RANDBETWEEN(1,16),Subject!$B:$B,0),3)</f>
        <v/>
      </c>
      <c r="W401" s="8" t="str">
        <f t="array" ref="W401">INDEX(Subject!$A:$I,MATCH(RANDBETWEEN(1,16),Subject!$B:$B,0),3)</f>
        <v>#N/A</v>
      </c>
      <c r="X401" s="8" t="str">
        <f t="array" ref="X401">INDEX(Subject!$A:$I,MATCH(RANDBETWEEN(1,16),Subject!$B:$B,0),3)</f>
        <v>#N/A</v>
      </c>
      <c r="Y401" s="8" t="str">
        <f t="array" ref="Y401">INDEX(Subject!$A:$I,MATCH(RANDBETWEEN(1,16),Subject!$B:$B,0),3)</f>
        <v/>
      </c>
      <c r="Z401" s="8" t="str">
        <f t="array" ref="Z401">INDEX(Subject!$A:$I,MATCH(RANDBETWEEN(1,16),Subject!$B:$B,0),3)</f>
        <v>#N/A</v>
      </c>
      <c r="AA401" s="8" t="str">
        <f t="array" ref="AA401">INDEX(Subject!$A:$I,MATCH(RANDBETWEEN(1,16),Subject!$B:$B,0),3)</f>
        <v>#N/A</v>
      </c>
      <c r="AB401" s="8" t="str">
        <f t="array" ref="AB401">INDEX(Subject!$A:$I,MATCH(RANDBETWEEN(1,16),Subject!$B:$B,0),3)</f>
        <v>#N/A</v>
      </c>
      <c r="AC401" s="8" t="str">
        <f t="array" ref="AC401">INDEX(Subject!$A:$I,MATCH(RANDBETWEEN(1,16),Subject!$B:$B,0),3)</f>
        <v/>
      </c>
      <c r="AD401" s="8" t="str">
        <f t="array" ref="AD401">INDEX(Subject!$A:$I,MATCH(RANDBETWEEN(1,16),Subject!$B:$B,0),3)</f>
        <v>#N/A</v>
      </c>
      <c r="AE401" s="8" t="str">
        <f t="array" ref="AE401">INDEX(Subject!$A:$I,MATCH(RANDBETWEEN(1,16),Subject!$B:$B,0),3)</f>
        <v/>
      </c>
      <c r="AF401" s="8" t="str">
        <f t="array" ref="AF401">INDEX(Subject!$A:$I,MATCH(RANDBETWEEN(1,16),Subject!$B:$B,0),3)</f>
        <v>#N/A</v>
      </c>
      <c r="AG401" s="8" t="str">
        <f t="array" ref="AG401">INDEX(Subject!$A:$I,MATCH(RANDBETWEEN(1,16),Subject!$B:$B,0),3)</f>
        <v>#N/A</v>
      </c>
      <c r="AH401" s="8" t="str">
        <f t="array" ref="AH401">INDEX(Subject!$A:$I,MATCH(RANDBETWEEN(1,16),Subject!$B:$B,0),3)</f>
        <v>#N/A</v>
      </c>
      <c r="AI401" s="8" t="str">
        <f t="array" ref="AI401">INDEX(Subject!$A:$I,MATCH(RANDBETWEEN(1,16),Subject!$B:$B,0),3)</f>
        <v>#N/A</v>
      </c>
      <c r="AJ401" s="8" t="str">
        <f t="array" ref="AJ401">INDEX(Subject!$A:$I,MATCH(RANDBETWEEN(1,16),Subject!$B:$B,0),3)</f>
        <v>#N/A</v>
      </c>
      <c r="AK401" s="8" t="str">
        <f t="array" ref="AK401">INDEX(Subject!$A:$I,MATCH(RANDBETWEEN(1,16),Subject!$B:$B,0),3)</f>
        <v>#N/A</v>
      </c>
      <c r="AL401" s="8" t="str">
        <f t="array" ref="AL401">INDEX(Subject!$A:$I,MATCH(RANDBETWEEN(1,16),Subject!$B:$B,0),3)</f>
        <v>#N/A</v>
      </c>
      <c r="AM401" s="18">
        <f t="shared" si="4"/>
        <v>45901.33333</v>
      </c>
      <c r="AN401" s="19">
        <f t="shared" ref="AN401:BZ401" si="401">$A401+C$1</f>
        <v>45901.35417</v>
      </c>
      <c r="AO401" s="19">
        <f t="shared" si="401"/>
        <v>45901.375</v>
      </c>
      <c r="AP401" s="19">
        <f t="shared" si="401"/>
        <v>45901.39583</v>
      </c>
      <c r="AQ401" s="19">
        <f t="shared" si="401"/>
        <v>45901.41667</v>
      </c>
      <c r="AR401" s="19">
        <f t="shared" si="401"/>
        <v>45901.4375</v>
      </c>
      <c r="AS401" s="19">
        <f t="shared" si="401"/>
        <v>45901.45833</v>
      </c>
      <c r="AT401" s="19">
        <f t="shared" si="401"/>
        <v>45901.47917</v>
      </c>
      <c r="AU401" s="19">
        <f t="shared" si="401"/>
        <v>45901.5</v>
      </c>
      <c r="AV401" s="19">
        <f t="shared" si="401"/>
        <v>45901.52083</v>
      </c>
      <c r="AW401" s="19">
        <f t="shared" si="401"/>
        <v>45901.54167</v>
      </c>
      <c r="AX401" s="19">
        <f t="shared" si="401"/>
        <v>45901.5625</v>
      </c>
      <c r="AY401" s="19">
        <f t="shared" si="401"/>
        <v>45901.58333</v>
      </c>
      <c r="AZ401" s="19">
        <f t="shared" si="401"/>
        <v>45901.60417</v>
      </c>
      <c r="BA401" s="19">
        <f t="shared" si="401"/>
        <v>45901.625</v>
      </c>
      <c r="BB401" s="19">
        <f t="shared" si="401"/>
        <v>45901.64583</v>
      </c>
      <c r="BC401" s="19">
        <f t="shared" si="401"/>
        <v>45901.66667</v>
      </c>
      <c r="BD401" s="19">
        <f t="shared" si="401"/>
        <v>45901.6875</v>
      </c>
      <c r="BE401" s="19">
        <f t="shared" si="401"/>
        <v>45901.70833</v>
      </c>
      <c r="BF401" s="19">
        <f t="shared" si="401"/>
        <v>45901.72917</v>
      </c>
      <c r="BG401" s="19">
        <f t="shared" si="401"/>
        <v>45901.75</v>
      </c>
      <c r="BH401" s="19">
        <f t="shared" si="401"/>
        <v>45901.77083</v>
      </c>
      <c r="BI401" s="19">
        <f t="shared" si="401"/>
        <v>45901.79167</v>
      </c>
      <c r="BJ401" s="19">
        <f t="shared" si="401"/>
        <v>45901.8125</v>
      </c>
      <c r="BK401" s="19">
        <f t="shared" si="401"/>
        <v>45901.83333</v>
      </c>
      <c r="BL401" s="19">
        <f t="shared" si="401"/>
        <v>45901.85417</v>
      </c>
      <c r="BM401" s="19">
        <f t="shared" si="401"/>
        <v>45901.875</v>
      </c>
      <c r="BN401" s="19">
        <f t="shared" si="401"/>
        <v>45901.89583</v>
      </c>
      <c r="BO401" s="19">
        <f t="shared" si="401"/>
        <v>45901.91667</v>
      </c>
      <c r="BP401" s="19">
        <f t="shared" si="401"/>
        <v>45901.9375</v>
      </c>
      <c r="BQ401" s="19">
        <f t="shared" si="401"/>
        <v>45901.95833</v>
      </c>
      <c r="BR401" s="19">
        <f t="shared" si="401"/>
        <v>45901.97917</v>
      </c>
      <c r="BS401" s="19">
        <f t="shared" si="401"/>
        <v>45902</v>
      </c>
      <c r="BT401" s="19">
        <f t="shared" si="401"/>
        <v>45902.02083</v>
      </c>
      <c r="BU401" s="19">
        <f t="shared" si="401"/>
        <v>45902.04167</v>
      </c>
      <c r="BV401" s="19">
        <f t="shared" si="401"/>
        <v>45902.0625</v>
      </c>
      <c r="BW401" s="19">
        <f t="shared" si="401"/>
        <v>45902.08333</v>
      </c>
      <c r="BX401" s="19">
        <f t="shared" si="401"/>
        <v>45901</v>
      </c>
      <c r="BY401" s="19">
        <f t="shared" si="401"/>
        <v>45901</v>
      </c>
      <c r="BZ401" s="19">
        <f t="shared" si="401"/>
        <v>45901</v>
      </c>
    </row>
    <row r="402" ht="14.25" customHeight="1">
      <c r="A402" s="17">
        <v>45902.0</v>
      </c>
      <c r="B402" s="2" t="str">
        <f t="array" ref="B402">IF(NOW()&gt;AM402,"",IF(AND((WEEKDAY($A402)+$B$2)&gt;1,((WEEKDAY($A402)+$T$2)&lt;7),(WEEKDAY($A402)&lt;&gt;1)),"work",(INDEX(Subject!$A:$I,MATCH(RANDBETWEEN(1,(MAX(Subject!$B:$B))),Subject!$B:$B,0),3))))</f>
        <v/>
      </c>
      <c r="C402" s="2" t="str">
        <f t="array" ref="C402">IF(NOW()&gt;AN402,"",IF(AND((WEEKDAY($A402)+$B$2)&gt;1,((WEEKDAY($A402)+$T$2)&lt;7),(WEEKDAY($A402)&lt;&gt;1)),"work",(INDEX(Subject!$A:$I,MATCH(RANDBETWEEN(1,(MAX(Subject!$B:$B))),Subject!$B:$B,0),3))))</f>
        <v/>
      </c>
      <c r="D402" s="2" t="str">
        <f t="array" ref="D402">IF(NOW()&gt;AO402,"",IF(AND((WEEKDAY($A402)+$B$2)&gt;1,((WEEKDAY($A402)+$T$2)&lt;7),(WEEKDAY($A402)&lt;&gt;1)),"work",(INDEX(Subject!$A:$I,MATCH(RANDBETWEEN(1,(MAX(Subject!$B:$B))),Subject!$B:$B,0),3))))</f>
        <v/>
      </c>
      <c r="E402" s="2" t="str">
        <f t="array" ref="E402">IF(NOW()&gt;AP402,"",IF(AND((WEEKDAY($A402)+$B$2)&gt;1,((WEEKDAY($A402)+$T$2)&lt;7),(WEEKDAY($A402)&lt;&gt;1)),"work",(INDEX(Subject!$A:$I,MATCH(RANDBETWEEN(1,(MAX(Subject!$B:$B))),Subject!$B:$B,0),3))))</f>
        <v/>
      </c>
      <c r="F402" s="2" t="str">
        <f t="array" ref="F402">IF(NOW()&gt;AQ402,"",IF(AND((WEEKDAY($A402)+$B$2)&gt;1,((WEEKDAY($A402)+$T$2)&lt;7),(WEEKDAY($A402)&lt;&gt;1)),"work",(INDEX(Subject!$A:$I,MATCH(RANDBETWEEN(1,(MAX(Subject!$B:$B))),Subject!$B:$B,0),3))))</f>
        <v/>
      </c>
      <c r="G402" s="2" t="str">
        <f t="array" ref="G402">IF(NOW()&gt;AR402,"",IF(AND((WEEKDAY($A402)+$B$2)&gt;1,((WEEKDAY($A402)+$T$2)&lt;7),(WEEKDAY($A402)&lt;&gt;1)),"work",(INDEX(Subject!$A:$I,MATCH(RANDBETWEEN(1,(MAX(Subject!$B:$B))),Subject!$B:$B,0),3))))</f>
        <v/>
      </c>
      <c r="H402" s="2" t="str">
        <f t="array" ref="H402">IF(NOW()&gt;AS402,"",IF(AND((WEEKDAY($A402)+$B$2)&gt;1,((WEEKDAY($A402)+$T$2)&lt;7),(WEEKDAY($A402)&lt;&gt;1)),"work",(INDEX(Subject!$A:$I,MATCH(RANDBETWEEN(1,(MAX(Subject!$B:$B))),Subject!$B:$B,0),3))))</f>
        <v/>
      </c>
      <c r="I402" s="2" t="str">
        <f t="array" ref="I402">IF(NOW()&gt;AT402,"",IF(AND((WEEKDAY($A402)+$B$2)&gt;1,((WEEKDAY($A402)+$T$2)&lt;7),(WEEKDAY($A402)&lt;&gt;1)),"work",(INDEX(Subject!$A:$I,MATCH(RANDBETWEEN(1,(MAX(Subject!$B:$B))),Subject!$B:$B,0),3))))</f>
        <v/>
      </c>
      <c r="J402" s="2" t="str">
        <f t="array" ref="J402">IF(NOW()&gt;AU402,"",IF(AND((WEEKDAY($A402)+$B$2)&gt;1,((WEEKDAY($A402)+$T$2)&lt;7),(WEEKDAY($A402)&lt;&gt;1)),"work",(INDEX(Subject!$A:$I,MATCH(RANDBETWEEN(1,(MAX(Subject!$B:$B))),Subject!$B:$B,0),3))))</f>
        <v/>
      </c>
      <c r="K402" s="2" t="str">
        <f t="array" ref="K402">IF(NOW()&gt;AV402,"",IF(AND((WEEKDAY($A402)+$B$2)&gt;1,((WEEKDAY($A402)+$T$2)&lt;7),(WEEKDAY($A402)&lt;&gt;1)),"work",(INDEX(Subject!$A:$I,MATCH(RANDBETWEEN(1,(MAX(Subject!$B:$B))),Subject!$B:$B,0),3))))</f>
        <v/>
      </c>
      <c r="L402" s="2" t="str">
        <f t="array" ref="L402">IF(NOW()&gt;AW402,"",IF(AND((WEEKDAY($A402)+$B$2)&gt;1,((WEEKDAY($A402)+$T$2)&lt;7),(WEEKDAY($A402)&lt;&gt;1)),"work",(INDEX(Subject!$A:$I,MATCH(RANDBETWEEN(1,(MAX(Subject!$B:$B))),Subject!$B:$B,0),3))))</f>
        <v/>
      </c>
      <c r="M402" s="2" t="str">
        <f t="array" ref="M402">IF(NOW()&gt;AX402,"",IF(AND((WEEKDAY($A402)+$B$2)&gt;1,((WEEKDAY($A402)+$T$2)&lt;7),(WEEKDAY($A402)&lt;&gt;1)),"work",(INDEX(Subject!$A:$I,MATCH(RANDBETWEEN(1,(MAX(Subject!$B:$B))),Subject!$B:$B,0),3))))</f>
        <v/>
      </c>
      <c r="N402" s="2" t="str">
        <f t="array" ref="N402">IF(NOW()&gt;AY402,"",IF(AND((WEEKDAY($A402)+$B$2)&gt;1,((WEEKDAY($A402)+$T$2)&lt;7),(WEEKDAY($A402)&lt;&gt;1)),"work",(INDEX(Subject!$A:$I,MATCH(RANDBETWEEN(1,(MAX(Subject!$B:$B))),Subject!$B:$B,0),3))))</f>
        <v/>
      </c>
      <c r="O402" s="2" t="str">
        <f t="array" ref="O402">IF(NOW()&gt;AZ402,"",IF(AND((WEEKDAY($A402)+$B$2)&gt;1,((WEEKDAY($A402)+$T$2)&lt;7),(WEEKDAY($A402)&lt;&gt;1)),"work",(INDEX(Subject!$A:$I,MATCH(RANDBETWEEN(1,(MAX(Subject!$B:$B))),Subject!$B:$B,0),3))))</f>
        <v/>
      </c>
      <c r="P402" s="2" t="str">
        <f t="array" ref="P402">IF(NOW()&gt;BA402,"",IF(AND((WEEKDAY($A402)+$B$2)&gt;1,((WEEKDAY($A402)+$T$2)&lt;7),(WEEKDAY($A402)&lt;&gt;1)),"work",(INDEX(Subject!$A:$I,MATCH(RANDBETWEEN(1,(MAX(Subject!$B:$B))),Subject!$B:$B,0),3))))</f>
        <v/>
      </c>
      <c r="Q402" s="2" t="str">
        <f t="array" ref="Q402">IF(NOW()&gt;BB402,"",IF(AND((WEEKDAY($A402)+$B$2)&gt;1,((WEEKDAY($A402)+$T$2)&lt;7),(WEEKDAY($A402)&lt;&gt;1)),"work",(INDEX(Subject!$A:$I,MATCH(RANDBETWEEN(1,(MAX(Subject!$B:$B))),Subject!$B:$B,0),3))))</f>
        <v/>
      </c>
      <c r="R402" s="2" t="str">
        <f t="array" ref="R402">IF(NOW()&gt;BC402,"",IF(AND((WEEKDAY($A402)+$B$2)&gt;1,((WEEKDAY($A402)+$T$2)&lt;7),(WEEKDAY($A402)&lt;&gt;1)),"work",(INDEX(Subject!$A:$I,MATCH(RANDBETWEEN(1,(MAX(Subject!$B:$B))),Subject!$B:$B,0),3))))</f>
        <v/>
      </c>
      <c r="S402" s="2" t="str">
        <f t="array" ref="S402">IF(NOW()&gt;BD402,"",IF(AND((WEEKDAY($A402)+$B$2)&gt;1,((WEEKDAY($A402)+$T$2)&lt;7),(WEEKDAY($A402)&lt;&gt;1)),"work",(INDEX(Subject!$A:$I,MATCH(RANDBETWEEN(1,(MAX(Subject!$B:$B))),Subject!$B:$B,0),3))))</f>
        <v/>
      </c>
      <c r="T402" s="2" t="str">
        <f t="array" ref="T402">IF(NOW()&gt;BE402,"",IF(AND((WEEKDAY($A402)+$B$2)&gt;1,((WEEKDAY($A402)+$T$2)&lt;7),(WEEKDAY($A402)&lt;&gt;1)),"work",(INDEX(Subject!$A:$I,MATCH(RANDBETWEEN(1,(MAX(Subject!$B:$B))),Subject!$B:$B,0),3))))</f>
        <v/>
      </c>
      <c r="U402" s="8" t="str">
        <f t="array" ref="U402">INDEX(Subject!$A:$I,MATCH(RANDBETWEEN(1,16),Subject!$B:$B,0),3)</f>
        <v>#N/A</v>
      </c>
      <c r="V402" s="8" t="str">
        <f t="array" ref="V402">INDEX(Subject!$A:$I,MATCH(RANDBETWEEN(1,16),Subject!$B:$B,0),3)</f>
        <v>#N/A</v>
      </c>
      <c r="W402" s="8" t="str">
        <f t="array" ref="W402">INDEX(Subject!$A:$I,MATCH(RANDBETWEEN(1,16),Subject!$B:$B,0),3)</f>
        <v>#N/A</v>
      </c>
      <c r="X402" s="8" t="str">
        <f t="array" ref="X402">INDEX(Subject!$A:$I,MATCH(RANDBETWEEN(1,16),Subject!$B:$B,0),3)</f>
        <v/>
      </c>
      <c r="Y402" s="8" t="str">
        <f t="array" ref="Y402">INDEX(Subject!$A:$I,MATCH(RANDBETWEEN(1,16),Subject!$B:$B,0),3)</f>
        <v>#N/A</v>
      </c>
      <c r="Z402" s="8" t="str">
        <f t="array" ref="Z402">INDEX(Subject!$A:$I,MATCH(RANDBETWEEN(1,16),Subject!$B:$B,0),3)</f>
        <v>#N/A</v>
      </c>
      <c r="AA402" s="8" t="str">
        <f t="array" ref="AA402">INDEX(Subject!$A:$I,MATCH(RANDBETWEEN(1,16),Subject!$B:$B,0),3)</f>
        <v/>
      </c>
      <c r="AB402" s="8" t="str">
        <f t="array" ref="AB402">INDEX(Subject!$A:$I,MATCH(RANDBETWEEN(1,16),Subject!$B:$B,0),3)</f>
        <v>#N/A</v>
      </c>
      <c r="AC402" s="8" t="str">
        <f t="array" ref="AC402">INDEX(Subject!$A:$I,MATCH(RANDBETWEEN(1,16),Subject!$B:$B,0),3)</f>
        <v>#N/A</v>
      </c>
      <c r="AD402" s="8" t="str">
        <f t="array" ref="AD402">INDEX(Subject!$A:$I,MATCH(RANDBETWEEN(1,16),Subject!$B:$B,0),3)</f>
        <v>#N/A</v>
      </c>
      <c r="AE402" s="8" t="str">
        <f t="array" ref="AE402">INDEX(Subject!$A:$I,MATCH(RANDBETWEEN(1,16),Subject!$B:$B,0),3)</f>
        <v>#N/A</v>
      </c>
      <c r="AF402" s="8" t="str">
        <f t="array" ref="AF402">INDEX(Subject!$A:$I,MATCH(RANDBETWEEN(1,16),Subject!$B:$B,0),3)</f>
        <v>#N/A</v>
      </c>
      <c r="AG402" s="8" t="str">
        <f t="array" ref="AG402">INDEX(Subject!$A:$I,MATCH(RANDBETWEEN(1,16),Subject!$B:$B,0),3)</f>
        <v>#N/A</v>
      </c>
      <c r="AH402" s="8" t="str">
        <f t="array" ref="AH402">INDEX(Subject!$A:$I,MATCH(RANDBETWEEN(1,16),Subject!$B:$B,0),3)</f>
        <v>#N/A</v>
      </c>
      <c r="AI402" s="8" t="str">
        <f t="array" ref="AI402">INDEX(Subject!$A:$I,MATCH(RANDBETWEEN(1,16),Subject!$B:$B,0),3)</f>
        <v>#N/A</v>
      </c>
      <c r="AJ402" s="8" t="str">
        <f t="array" ref="AJ402">INDEX(Subject!$A:$I,MATCH(RANDBETWEEN(1,16),Subject!$B:$B,0),3)</f>
        <v>#N/A</v>
      </c>
      <c r="AK402" s="8" t="str">
        <f t="array" ref="AK402">INDEX(Subject!$A:$I,MATCH(RANDBETWEEN(1,16),Subject!$B:$B,0),3)</f>
        <v>#N/A</v>
      </c>
      <c r="AL402" s="8" t="str">
        <f t="array" ref="AL402">INDEX(Subject!$A:$I,MATCH(RANDBETWEEN(1,16),Subject!$B:$B,0),3)</f>
        <v>#N/A</v>
      </c>
      <c r="AM402" s="18">
        <f t="shared" si="4"/>
        <v>45902.33333</v>
      </c>
      <c r="AN402" s="19">
        <f t="shared" ref="AN402:BZ402" si="402">$A402+C$1</f>
        <v>45902.35417</v>
      </c>
      <c r="AO402" s="19">
        <f t="shared" si="402"/>
        <v>45902.375</v>
      </c>
      <c r="AP402" s="19">
        <f t="shared" si="402"/>
        <v>45902.39583</v>
      </c>
      <c r="AQ402" s="19">
        <f t="shared" si="402"/>
        <v>45902.41667</v>
      </c>
      <c r="AR402" s="19">
        <f t="shared" si="402"/>
        <v>45902.4375</v>
      </c>
      <c r="AS402" s="19">
        <f t="shared" si="402"/>
        <v>45902.45833</v>
      </c>
      <c r="AT402" s="19">
        <f t="shared" si="402"/>
        <v>45902.47917</v>
      </c>
      <c r="AU402" s="19">
        <f t="shared" si="402"/>
        <v>45902.5</v>
      </c>
      <c r="AV402" s="19">
        <f t="shared" si="402"/>
        <v>45902.52083</v>
      </c>
      <c r="AW402" s="19">
        <f t="shared" si="402"/>
        <v>45902.54167</v>
      </c>
      <c r="AX402" s="19">
        <f t="shared" si="402"/>
        <v>45902.5625</v>
      </c>
      <c r="AY402" s="19">
        <f t="shared" si="402"/>
        <v>45902.58333</v>
      </c>
      <c r="AZ402" s="19">
        <f t="shared" si="402"/>
        <v>45902.60417</v>
      </c>
      <c r="BA402" s="19">
        <f t="shared" si="402"/>
        <v>45902.625</v>
      </c>
      <c r="BB402" s="19">
        <f t="shared" si="402"/>
        <v>45902.64583</v>
      </c>
      <c r="BC402" s="19">
        <f t="shared" si="402"/>
        <v>45902.66667</v>
      </c>
      <c r="BD402" s="19">
        <f t="shared" si="402"/>
        <v>45902.6875</v>
      </c>
      <c r="BE402" s="19">
        <f t="shared" si="402"/>
        <v>45902.70833</v>
      </c>
      <c r="BF402" s="19">
        <f t="shared" si="402"/>
        <v>45902.72917</v>
      </c>
      <c r="BG402" s="19">
        <f t="shared" si="402"/>
        <v>45902.75</v>
      </c>
      <c r="BH402" s="19">
        <f t="shared" si="402"/>
        <v>45902.77083</v>
      </c>
      <c r="BI402" s="19">
        <f t="shared" si="402"/>
        <v>45902.79167</v>
      </c>
      <c r="BJ402" s="19">
        <f t="shared" si="402"/>
        <v>45902.8125</v>
      </c>
      <c r="BK402" s="19">
        <f t="shared" si="402"/>
        <v>45902.83333</v>
      </c>
      <c r="BL402" s="19">
        <f t="shared" si="402"/>
        <v>45902.85417</v>
      </c>
      <c r="BM402" s="19">
        <f t="shared" si="402"/>
        <v>45902.875</v>
      </c>
      <c r="BN402" s="19">
        <f t="shared" si="402"/>
        <v>45902.89583</v>
      </c>
      <c r="BO402" s="19">
        <f t="shared" si="402"/>
        <v>45902.91667</v>
      </c>
      <c r="BP402" s="19">
        <f t="shared" si="402"/>
        <v>45902.9375</v>
      </c>
      <c r="BQ402" s="19">
        <f t="shared" si="402"/>
        <v>45902.95833</v>
      </c>
      <c r="BR402" s="19">
        <f t="shared" si="402"/>
        <v>45902.97917</v>
      </c>
      <c r="BS402" s="19">
        <f t="shared" si="402"/>
        <v>45903</v>
      </c>
      <c r="BT402" s="19">
        <f t="shared" si="402"/>
        <v>45903.02083</v>
      </c>
      <c r="BU402" s="19">
        <f t="shared" si="402"/>
        <v>45903.04167</v>
      </c>
      <c r="BV402" s="19">
        <f t="shared" si="402"/>
        <v>45903.0625</v>
      </c>
      <c r="BW402" s="19">
        <f t="shared" si="402"/>
        <v>45903.08333</v>
      </c>
      <c r="BX402" s="19">
        <f t="shared" si="402"/>
        <v>45902</v>
      </c>
      <c r="BY402" s="19">
        <f t="shared" si="402"/>
        <v>45902</v>
      </c>
      <c r="BZ402" s="19">
        <f t="shared" si="402"/>
        <v>45902</v>
      </c>
    </row>
    <row r="403" ht="14.25" customHeight="1">
      <c r="A403" s="17">
        <v>45903.0</v>
      </c>
      <c r="B403" s="2" t="str">
        <f t="array" ref="B403">IF(NOW()&gt;AM403,"",IF(AND((WEEKDAY($A403)+$B$2)&gt;1,((WEEKDAY($A403)+$T$2)&lt;7),(WEEKDAY($A403)&lt;&gt;1)),"work",(INDEX(Subject!$A:$I,MATCH(RANDBETWEEN(1,(MAX(Subject!$B:$B))),Subject!$B:$B,0),3))))</f>
        <v/>
      </c>
      <c r="C403" s="2" t="str">
        <f t="array" ref="C403">IF(NOW()&gt;AN403,"",IF(AND((WEEKDAY($A403)+$B$2)&gt;1,((WEEKDAY($A403)+$T$2)&lt;7),(WEEKDAY($A403)&lt;&gt;1)),"work",(INDEX(Subject!$A:$I,MATCH(RANDBETWEEN(1,(MAX(Subject!$B:$B))),Subject!$B:$B,0),3))))</f>
        <v/>
      </c>
      <c r="D403" s="2" t="str">
        <f t="array" ref="D403">IF(NOW()&gt;AO403,"",IF(AND((WEEKDAY($A403)+$B$2)&gt;1,((WEEKDAY($A403)+$T$2)&lt;7),(WEEKDAY($A403)&lt;&gt;1)),"work",(INDEX(Subject!$A:$I,MATCH(RANDBETWEEN(1,(MAX(Subject!$B:$B))),Subject!$B:$B,0),3))))</f>
        <v/>
      </c>
      <c r="E403" s="2" t="str">
        <f t="array" ref="E403">IF(NOW()&gt;AP403,"",IF(AND((WEEKDAY($A403)+$B$2)&gt;1,((WEEKDAY($A403)+$T$2)&lt;7),(WEEKDAY($A403)&lt;&gt;1)),"work",(INDEX(Subject!$A:$I,MATCH(RANDBETWEEN(1,(MAX(Subject!$B:$B))),Subject!$B:$B,0),3))))</f>
        <v/>
      </c>
      <c r="F403" s="2" t="str">
        <f t="array" ref="F403">IF(NOW()&gt;AQ403,"",IF(AND((WEEKDAY($A403)+$B$2)&gt;1,((WEEKDAY($A403)+$T$2)&lt;7),(WEEKDAY($A403)&lt;&gt;1)),"work",(INDEX(Subject!$A:$I,MATCH(RANDBETWEEN(1,(MAX(Subject!$B:$B))),Subject!$B:$B,0),3))))</f>
        <v/>
      </c>
      <c r="G403" s="2" t="str">
        <f t="array" ref="G403">IF(NOW()&gt;AR403,"",IF(AND((WEEKDAY($A403)+$B$2)&gt;1,((WEEKDAY($A403)+$T$2)&lt;7),(WEEKDAY($A403)&lt;&gt;1)),"work",(INDEX(Subject!$A:$I,MATCH(RANDBETWEEN(1,(MAX(Subject!$B:$B))),Subject!$B:$B,0),3))))</f>
        <v/>
      </c>
      <c r="H403" s="2" t="str">
        <f t="array" ref="H403">IF(NOW()&gt;AS403,"",IF(AND((WEEKDAY($A403)+$B$2)&gt;1,((WEEKDAY($A403)+$T$2)&lt;7),(WEEKDAY($A403)&lt;&gt;1)),"work",(INDEX(Subject!$A:$I,MATCH(RANDBETWEEN(1,(MAX(Subject!$B:$B))),Subject!$B:$B,0),3))))</f>
        <v/>
      </c>
      <c r="I403" s="2" t="str">
        <f t="array" ref="I403">IF(NOW()&gt;AT403,"",IF(AND((WEEKDAY($A403)+$B$2)&gt;1,((WEEKDAY($A403)+$T$2)&lt;7),(WEEKDAY($A403)&lt;&gt;1)),"work",(INDEX(Subject!$A:$I,MATCH(RANDBETWEEN(1,(MAX(Subject!$B:$B))),Subject!$B:$B,0),3))))</f>
        <v/>
      </c>
      <c r="J403" s="2" t="str">
        <f t="array" ref="J403">IF(NOW()&gt;AU403,"",IF(AND((WEEKDAY($A403)+$B$2)&gt;1,((WEEKDAY($A403)+$T$2)&lt;7),(WEEKDAY($A403)&lt;&gt;1)),"work",(INDEX(Subject!$A:$I,MATCH(RANDBETWEEN(1,(MAX(Subject!$B:$B))),Subject!$B:$B,0),3))))</f>
        <v/>
      </c>
      <c r="K403" s="2" t="str">
        <f t="array" ref="K403">IF(NOW()&gt;AV403,"",IF(AND((WEEKDAY($A403)+$B$2)&gt;1,((WEEKDAY($A403)+$T$2)&lt;7),(WEEKDAY($A403)&lt;&gt;1)),"work",(INDEX(Subject!$A:$I,MATCH(RANDBETWEEN(1,(MAX(Subject!$B:$B))),Subject!$B:$B,0),3))))</f>
        <v/>
      </c>
      <c r="L403" s="2" t="str">
        <f t="array" ref="L403">IF(NOW()&gt;AW403,"",IF(AND((WEEKDAY($A403)+$B$2)&gt;1,((WEEKDAY($A403)+$T$2)&lt;7),(WEEKDAY($A403)&lt;&gt;1)),"work",(INDEX(Subject!$A:$I,MATCH(RANDBETWEEN(1,(MAX(Subject!$B:$B))),Subject!$B:$B,0),3))))</f>
        <v/>
      </c>
      <c r="M403" s="2" t="str">
        <f t="array" ref="M403">IF(NOW()&gt;AX403,"",IF(AND((WEEKDAY($A403)+$B$2)&gt;1,((WEEKDAY($A403)+$T$2)&lt;7),(WEEKDAY($A403)&lt;&gt;1)),"work",(INDEX(Subject!$A:$I,MATCH(RANDBETWEEN(1,(MAX(Subject!$B:$B))),Subject!$B:$B,0),3))))</f>
        <v/>
      </c>
      <c r="N403" s="2" t="str">
        <f t="array" ref="N403">IF(NOW()&gt;AY403,"",IF(AND((WEEKDAY($A403)+$B$2)&gt;1,((WEEKDAY($A403)+$T$2)&lt;7),(WEEKDAY($A403)&lt;&gt;1)),"work",(INDEX(Subject!$A:$I,MATCH(RANDBETWEEN(1,(MAX(Subject!$B:$B))),Subject!$B:$B,0),3))))</f>
        <v/>
      </c>
      <c r="O403" s="2" t="str">
        <f t="array" ref="O403">IF(NOW()&gt;AZ403,"",IF(AND((WEEKDAY($A403)+$B$2)&gt;1,((WEEKDAY($A403)+$T$2)&lt;7),(WEEKDAY($A403)&lt;&gt;1)),"work",(INDEX(Subject!$A:$I,MATCH(RANDBETWEEN(1,(MAX(Subject!$B:$B))),Subject!$B:$B,0),3))))</f>
        <v/>
      </c>
      <c r="P403" s="2" t="str">
        <f t="array" ref="P403">IF(NOW()&gt;BA403,"",IF(AND((WEEKDAY($A403)+$B$2)&gt;1,((WEEKDAY($A403)+$T$2)&lt;7),(WEEKDAY($A403)&lt;&gt;1)),"work",(INDEX(Subject!$A:$I,MATCH(RANDBETWEEN(1,(MAX(Subject!$B:$B))),Subject!$B:$B,0),3))))</f>
        <v/>
      </c>
      <c r="Q403" s="2" t="str">
        <f t="array" ref="Q403">IF(NOW()&gt;BB403,"",IF(AND((WEEKDAY($A403)+$B$2)&gt;1,((WEEKDAY($A403)+$T$2)&lt;7),(WEEKDAY($A403)&lt;&gt;1)),"work",(INDEX(Subject!$A:$I,MATCH(RANDBETWEEN(1,(MAX(Subject!$B:$B))),Subject!$B:$B,0),3))))</f>
        <v/>
      </c>
      <c r="R403" s="2" t="str">
        <f t="array" ref="R403">IF(NOW()&gt;BC403,"",IF(AND((WEEKDAY($A403)+$B$2)&gt;1,((WEEKDAY($A403)+$T$2)&lt;7),(WEEKDAY($A403)&lt;&gt;1)),"work",(INDEX(Subject!$A:$I,MATCH(RANDBETWEEN(1,(MAX(Subject!$B:$B))),Subject!$B:$B,0),3))))</f>
        <v/>
      </c>
      <c r="S403" s="2" t="str">
        <f t="array" ref="S403">IF(NOW()&gt;BD403,"",IF(AND((WEEKDAY($A403)+$B$2)&gt;1,((WEEKDAY($A403)+$T$2)&lt;7),(WEEKDAY($A403)&lt;&gt;1)),"work",(INDEX(Subject!$A:$I,MATCH(RANDBETWEEN(1,(MAX(Subject!$B:$B))),Subject!$B:$B,0),3))))</f>
        <v/>
      </c>
      <c r="T403" s="2" t="str">
        <f t="array" ref="T403">IF(NOW()&gt;BE403,"",IF(AND((WEEKDAY($A403)+$B$2)&gt;1,((WEEKDAY($A403)+$T$2)&lt;7),(WEEKDAY($A403)&lt;&gt;1)),"work",(INDEX(Subject!$A:$I,MATCH(RANDBETWEEN(1,(MAX(Subject!$B:$B))),Subject!$B:$B,0),3))))</f>
        <v/>
      </c>
      <c r="U403" s="8" t="str">
        <f t="array" ref="U403">INDEX(Subject!$A:$I,MATCH(RANDBETWEEN(1,16),Subject!$B:$B,0),3)</f>
        <v>#N/A</v>
      </c>
      <c r="V403" s="8" t="str">
        <f t="array" ref="V403">INDEX(Subject!$A:$I,MATCH(RANDBETWEEN(1,16),Subject!$B:$B,0),3)</f>
        <v>#N/A</v>
      </c>
      <c r="W403" s="8" t="str">
        <f t="array" ref="W403">INDEX(Subject!$A:$I,MATCH(RANDBETWEEN(1,16),Subject!$B:$B,0),3)</f>
        <v>#N/A</v>
      </c>
      <c r="X403" s="8" t="str">
        <f t="array" ref="X403">INDEX(Subject!$A:$I,MATCH(RANDBETWEEN(1,16),Subject!$B:$B,0),3)</f>
        <v>#N/A</v>
      </c>
      <c r="Y403" s="8" t="str">
        <f t="array" ref="Y403">INDEX(Subject!$A:$I,MATCH(RANDBETWEEN(1,16),Subject!$B:$B,0),3)</f>
        <v/>
      </c>
      <c r="Z403" s="8" t="str">
        <f t="array" ref="Z403">INDEX(Subject!$A:$I,MATCH(RANDBETWEEN(1,16),Subject!$B:$B,0),3)</f>
        <v>#N/A</v>
      </c>
      <c r="AA403" s="8" t="str">
        <f t="array" ref="AA403">INDEX(Subject!$A:$I,MATCH(RANDBETWEEN(1,16),Subject!$B:$B,0),3)</f>
        <v>#N/A</v>
      </c>
      <c r="AB403" s="8" t="str">
        <f t="array" ref="AB403">INDEX(Subject!$A:$I,MATCH(RANDBETWEEN(1,16),Subject!$B:$B,0),3)</f>
        <v>#N/A</v>
      </c>
      <c r="AC403" s="8" t="str">
        <f t="array" ref="AC403">INDEX(Subject!$A:$I,MATCH(RANDBETWEEN(1,16),Subject!$B:$B,0),3)</f>
        <v>#N/A</v>
      </c>
      <c r="AD403" s="8" t="str">
        <f t="array" ref="AD403">INDEX(Subject!$A:$I,MATCH(RANDBETWEEN(1,16),Subject!$B:$B,0),3)</f>
        <v>#N/A</v>
      </c>
      <c r="AE403" s="8" t="str">
        <f t="array" ref="AE403">INDEX(Subject!$A:$I,MATCH(RANDBETWEEN(1,16),Subject!$B:$B,0),3)</f>
        <v/>
      </c>
      <c r="AF403" s="8" t="str">
        <f t="array" ref="AF403">INDEX(Subject!$A:$I,MATCH(RANDBETWEEN(1,16),Subject!$B:$B,0),3)</f>
        <v>#N/A</v>
      </c>
      <c r="AG403" s="8" t="str">
        <f t="array" ref="AG403">INDEX(Subject!$A:$I,MATCH(RANDBETWEEN(1,16),Subject!$B:$B,0),3)</f>
        <v>#N/A</v>
      </c>
      <c r="AH403" s="8" t="str">
        <f t="array" ref="AH403">INDEX(Subject!$A:$I,MATCH(RANDBETWEEN(1,16),Subject!$B:$B,0),3)</f>
        <v>#N/A</v>
      </c>
      <c r="AI403" s="8" t="str">
        <f t="array" ref="AI403">INDEX(Subject!$A:$I,MATCH(RANDBETWEEN(1,16),Subject!$B:$B,0),3)</f>
        <v/>
      </c>
      <c r="AJ403" s="8" t="str">
        <f t="array" ref="AJ403">INDEX(Subject!$A:$I,MATCH(RANDBETWEEN(1,16),Subject!$B:$B,0),3)</f>
        <v>#N/A</v>
      </c>
      <c r="AK403" s="8" t="str">
        <f t="array" ref="AK403">INDEX(Subject!$A:$I,MATCH(RANDBETWEEN(1,16),Subject!$B:$B,0),3)</f>
        <v>#N/A</v>
      </c>
      <c r="AL403" s="8" t="str">
        <f t="array" ref="AL403">INDEX(Subject!$A:$I,MATCH(RANDBETWEEN(1,16),Subject!$B:$B,0),3)</f>
        <v>#N/A</v>
      </c>
      <c r="AM403" s="18">
        <f t="shared" si="4"/>
        <v>45903.33333</v>
      </c>
      <c r="AN403" s="19">
        <f t="shared" ref="AN403:BZ403" si="403">$A403+C$1</f>
        <v>45903.35417</v>
      </c>
      <c r="AO403" s="19">
        <f t="shared" si="403"/>
        <v>45903.375</v>
      </c>
      <c r="AP403" s="19">
        <f t="shared" si="403"/>
        <v>45903.39583</v>
      </c>
      <c r="AQ403" s="19">
        <f t="shared" si="403"/>
        <v>45903.41667</v>
      </c>
      <c r="AR403" s="19">
        <f t="shared" si="403"/>
        <v>45903.4375</v>
      </c>
      <c r="AS403" s="19">
        <f t="shared" si="403"/>
        <v>45903.45833</v>
      </c>
      <c r="AT403" s="19">
        <f t="shared" si="403"/>
        <v>45903.47917</v>
      </c>
      <c r="AU403" s="19">
        <f t="shared" si="403"/>
        <v>45903.5</v>
      </c>
      <c r="AV403" s="19">
        <f t="shared" si="403"/>
        <v>45903.52083</v>
      </c>
      <c r="AW403" s="19">
        <f t="shared" si="403"/>
        <v>45903.54167</v>
      </c>
      <c r="AX403" s="19">
        <f t="shared" si="403"/>
        <v>45903.5625</v>
      </c>
      <c r="AY403" s="19">
        <f t="shared" si="403"/>
        <v>45903.58333</v>
      </c>
      <c r="AZ403" s="19">
        <f t="shared" si="403"/>
        <v>45903.60417</v>
      </c>
      <c r="BA403" s="19">
        <f t="shared" si="403"/>
        <v>45903.625</v>
      </c>
      <c r="BB403" s="19">
        <f t="shared" si="403"/>
        <v>45903.64583</v>
      </c>
      <c r="BC403" s="19">
        <f t="shared" si="403"/>
        <v>45903.66667</v>
      </c>
      <c r="BD403" s="19">
        <f t="shared" si="403"/>
        <v>45903.6875</v>
      </c>
      <c r="BE403" s="19">
        <f t="shared" si="403"/>
        <v>45903.70833</v>
      </c>
      <c r="BF403" s="19">
        <f t="shared" si="403"/>
        <v>45903.72917</v>
      </c>
      <c r="BG403" s="19">
        <f t="shared" si="403"/>
        <v>45903.75</v>
      </c>
      <c r="BH403" s="19">
        <f t="shared" si="403"/>
        <v>45903.77083</v>
      </c>
      <c r="BI403" s="19">
        <f t="shared" si="403"/>
        <v>45903.79167</v>
      </c>
      <c r="BJ403" s="19">
        <f t="shared" si="403"/>
        <v>45903.8125</v>
      </c>
      <c r="BK403" s="19">
        <f t="shared" si="403"/>
        <v>45903.83333</v>
      </c>
      <c r="BL403" s="19">
        <f t="shared" si="403"/>
        <v>45903.85417</v>
      </c>
      <c r="BM403" s="19">
        <f t="shared" si="403"/>
        <v>45903.875</v>
      </c>
      <c r="BN403" s="19">
        <f t="shared" si="403"/>
        <v>45903.89583</v>
      </c>
      <c r="BO403" s="19">
        <f t="shared" si="403"/>
        <v>45903.91667</v>
      </c>
      <c r="BP403" s="19">
        <f t="shared" si="403"/>
        <v>45903.9375</v>
      </c>
      <c r="BQ403" s="19">
        <f t="shared" si="403"/>
        <v>45903.95833</v>
      </c>
      <c r="BR403" s="19">
        <f t="shared" si="403"/>
        <v>45903.97917</v>
      </c>
      <c r="BS403" s="19">
        <f t="shared" si="403"/>
        <v>45904</v>
      </c>
      <c r="BT403" s="19">
        <f t="shared" si="403"/>
        <v>45904.02083</v>
      </c>
      <c r="BU403" s="19">
        <f t="shared" si="403"/>
        <v>45904.04167</v>
      </c>
      <c r="BV403" s="19">
        <f t="shared" si="403"/>
        <v>45904.0625</v>
      </c>
      <c r="BW403" s="19">
        <f t="shared" si="403"/>
        <v>45904.08333</v>
      </c>
      <c r="BX403" s="19">
        <f t="shared" si="403"/>
        <v>45903</v>
      </c>
      <c r="BY403" s="19">
        <f t="shared" si="403"/>
        <v>45903</v>
      </c>
      <c r="BZ403" s="19">
        <f t="shared" si="403"/>
        <v>45903</v>
      </c>
    </row>
    <row r="404" ht="14.25" customHeight="1">
      <c r="A404" s="17">
        <v>45904.0</v>
      </c>
      <c r="B404" s="2" t="str">
        <f t="array" ref="B404">IF(NOW()&gt;AM404,"",IF(AND((WEEKDAY($A404)+$B$2)&gt;1,((WEEKDAY($A404)+$T$2)&lt;7),(WEEKDAY($A404)&lt;&gt;1)),"work",(INDEX(Subject!$A:$I,MATCH(RANDBETWEEN(1,(MAX(Subject!$B:$B))),Subject!$B:$B,0),3))))</f>
        <v/>
      </c>
      <c r="C404" s="2" t="str">
        <f t="array" ref="C404">IF(NOW()&gt;AN404,"",IF(AND((WEEKDAY($A404)+$B$2)&gt;1,((WEEKDAY($A404)+$T$2)&lt;7),(WEEKDAY($A404)&lt;&gt;1)),"work",(INDEX(Subject!$A:$I,MATCH(RANDBETWEEN(1,(MAX(Subject!$B:$B))),Subject!$B:$B,0),3))))</f>
        <v/>
      </c>
      <c r="D404" s="2" t="str">
        <f t="array" ref="D404">IF(NOW()&gt;AO404,"",IF(AND((WEEKDAY($A404)+$B$2)&gt;1,((WEEKDAY($A404)+$T$2)&lt;7),(WEEKDAY($A404)&lt;&gt;1)),"work",(INDEX(Subject!$A:$I,MATCH(RANDBETWEEN(1,(MAX(Subject!$B:$B))),Subject!$B:$B,0),3))))</f>
        <v/>
      </c>
      <c r="E404" s="2" t="str">
        <f t="array" ref="E404">IF(NOW()&gt;AP404,"",IF(AND((WEEKDAY($A404)+$B$2)&gt;1,((WEEKDAY($A404)+$T$2)&lt;7),(WEEKDAY($A404)&lt;&gt;1)),"work",(INDEX(Subject!$A:$I,MATCH(RANDBETWEEN(1,(MAX(Subject!$B:$B))),Subject!$B:$B,0),3))))</f>
        <v/>
      </c>
      <c r="F404" s="2" t="str">
        <f t="array" ref="F404">IF(NOW()&gt;AQ404,"",IF(AND((WEEKDAY($A404)+$B$2)&gt;1,((WEEKDAY($A404)+$T$2)&lt;7),(WEEKDAY($A404)&lt;&gt;1)),"work",(INDEX(Subject!$A:$I,MATCH(RANDBETWEEN(1,(MAX(Subject!$B:$B))),Subject!$B:$B,0),3))))</f>
        <v/>
      </c>
      <c r="G404" s="2" t="str">
        <f t="array" ref="G404">IF(NOW()&gt;AR404,"",IF(AND((WEEKDAY($A404)+$B$2)&gt;1,((WEEKDAY($A404)+$T$2)&lt;7),(WEEKDAY($A404)&lt;&gt;1)),"work",(INDEX(Subject!$A:$I,MATCH(RANDBETWEEN(1,(MAX(Subject!$B:$B))),Subject!$B:$B,0),3))))</f>
        <v/>
      </c>
      <c r="H404" s="2" t="str">
        <f t="array" ref="H404">IF(NOW()&gt;AS404,"",IF(AND((WEEKDAY($A404)+$B$2)&gt;1,((WEEKDAY($A404)+$T$2)&lt;7),(WEEKDAY($A404)&lt;&gt;1)),"work",(INDEX(Subject!$A:$I,MATCH(RANDBETWEEN(1,(MAX(Subject!$B:$B))),Subject!$B:$B,0),3))))</f>
        <v/>
      </c>
      <c r="I404" s="2" t="str">
        <f t="array" ref="I404">IF(NOW()&gt;AT404,"",IF(AND((WEEKDAY($A404)+$B$2)&gt;1,((WEEKDAY($A404)+$T$2)&lt;7),(WEEKDAY($A404)&lt;&gt;1)),"work",(INDEX(Subject!$A:$I,MATCH(RANDBETWEEN(1,(MAX(Subject!$B:$B))),Subject!$B:$B,0),3))))</f>
        <v/>
      </c>
      <c r="J404" s="2" t="str">
        <f t="array" ref="J404">IF(NOW()&gt;AU404,"",IF(AND((WEEKDAY($A404)+$B$2)&gt;1,((WEEKDAY($A404)+$T$2)&lt;7),(WEEKDAY($A404)&lt;&gt;1)),"work",(INDEX(Subject!$A:$I,MATCH(RANDBETWEEN(1,(MAX(Subject!$B:$B))),Subject!$B:$B,0),3))))</f>
        <v/>
      </c>
      <c r="K404" s="2" t="str">
        <f t="array" ref="K404">IF(NOW()&gt;AV404,"",IF(AND((WEEKDAY($A404)+$B$2)&gt;1,((WEEKDAY($A404)+$T$2)&lt;7),(WEEKDAY($A404)&lt;&gt;1)),"work",(INDEX(Subject!$A:$I,MATCH(RANDBETWEEN(1,(MAX(Subject!$B:$B))),Subject!$B:$B,0),3))))</f>
        <v/>
      </c>
      <c r="L404" s="2" t="str">
        <f t="array" ref="L404">IF(NOW()&gt;AW404,"",IF(AND((WEEKDAY($A404)+$B$2)&gt;1,((WEEKDAY($A404)+$T$2)&lt;7),(WEEKDAY($A404)&lt;&gt;1)),"work",(INDEX(Subject!$A:$I,MATCH(RANDBETWEEN(1,(MAX(Subject!$B:$B))),Subject!$B:$B,0),3))))</f>
        <v/>
      </c>
      <c r="M404" s="2" t="str">
        <f t="array" ref="M404">IF(NOW()&gt;AX404,"",IF(AND((WEEKDAY($A404)+$B$2)&gt;1,((WEEKDAY($A404)+$T$2)&lt;7),(WEEKDAY($A404)&lt;&gt;1)),"work",(INDEX(Subject!$A:$I,MATCH(RANDBETWEEN(1,(MAX(Subject!$B:$B))),Subject!$B:$B,0),3))))</f>
        <v/>
      </c>
      <c r="N404" s="2" t="str">
        <f t="array" ref="N404">IF(NOW()&gt;AY404,"",IF(AND((WEEKDAY($A404)+$B$2)&gt;1,((WEEKDAY($A404)+$T$2)&lt;7),(WEEKDAY($A404)&lt;&gt;1)),"work",(INDEX(Subject!$A:$I,MATCH(RANDBETWEEN(1,(MAX(Subject!$B:$B))),Subject!$B:$B,0),3))))</f>
        <v/>
      </c>
      <c r="O404" s="2" t="str">
        <f t="array" ref="O404">IF(NOW()&gt;AZ404,"",IF(AND((WEEKDAY($A404)+$B$2)&gt;1,((WEEKDAY($A404)+$T$2)&lt;7),(WEEKDAY($A404)&lt;&gt;1)),"work",(INDEX(Subject!$A:$I,MATCH(RANDBETWEEN(1,(MAX(Subject!$B:$B))),Subject!$B:$B,0),3))))</f>
        <v/>
      </c>
      <c r="P404" s="2" t="str">
        <f t="array" ref="P404">IF(NOW()&gt;BA404,"",IF(AND((WEEKDAY($A404)+$B$2)&gt;1,((WEEKDAY($A404)+$T$2)&lt;7),(WEEKDAY($A404)&lt;&gt;1)),"work",(INDEX(Subject!$A:$I,MATCH(RANDBETWEEN(1,(MAX(Subject!$B:$B))),Subject!$B:$B,0),3))))</f>
        <v/>
      </c>
      <c r="Q404" s="2" t="str">
        <f t="array" ref="Q404">IF(NOW()&gt;BB404,"",IF(AND((WEEKDAY($A404)+$B$2)&gt;1,((WEEKDAY($A404)+$T$2)&lt;7),(WEEKDAY($A404)&lt;&gt;1)),"work",(INDEX(Subject!$A:$I,MATCH(RANDBETWEEN(1,(MAX(Subject!$B:$B))),Subject!$B:$B,0),3))))</f>
        <v/>
      </c>
      <c r="R404" s="2" t="str">
        <f t="array" ref="R404">IF(NOW()&gt;BC404,"",IF(AND((WEEKDAY($A404)+$B$2)&gt;1,((WEEKDAY($A404)+$T$2)&lt;7),(WEEKDAY($A404)&lt;&gt;1)),"work",(INDEX(Subject!$A:$I,MATCH(RANDBETWEEN(1,(MAX(Subject!$B:$B))),Subject!$B:$B,0),3))))</f>
        <v/>
      </c>
      <c r="S404" s="2" t="str">
        <f t="array" ref="S404">IF(NOW()&gt;BD404,"",IF(AND((WEEKDAY($A404)+$B$2)&gt;1,((WEEKDAY($A404)+$T$2)&lt;7),(WEEKDAY($A404)&lt;&gt;1)),"work",(INDEX(Subject!$A:$I,MATCH(RANDBETWEEN(1,(MAX(Subject!$B:$B))),Subject!$B:$B,0),3))))</f>
        <v/>
      </c>
      <c r="T404" s="2" t="str">
        <f t="array" ref="T404">IF(NOW()&gt;BE404,"",IF(AND((WEEKDAY($A404)+$B$2)&gt;1,((WEEKDAY($A404)+$T$2)&lt;7),(WEEKDAY($A404)&lt;&gt;1)),"work",(INDEX(Subject!$A:$I,MATCH(RANDBETWEEN(1,(MAX(Subject!$B:$B))),Subject!$B:$B,0),3))))</f>
        <v/>
      </c>
      <c r="U404" s="8" t="str">
        <f t="array" ref="U404">INDEX(Subject!$A:$I,MATCH(RANDBETWEEN(1,16),Subject!$B:$B,0),3)</f>
        <v/>
      </c>
      <c r="V404" s="8" t="str">
        <f t="array" ref="V404">INDEX(Subject!$A:$I,MATCH(RANDBETWEEN(1,16),Subject!$B:$B,0),3)</f>
        <v>#N/A</v>
      </c>
      <c r="W404" s="8" t="str">
        <f t="array" ref="W404">INDEX(Subject!$A:$I,MATCH(RANDBETWEEN(1,16),Subject!$B:$B,0),3)</f>
        <v/>
      </c>
      <c r="X404" s="8" t="str">
        <f t="array" ref="X404">INDEX(Subject!$A:$I,MATCH(RANDBETWEEN(1,16),Subject!$B:$B,0),3)</f>
        <v>#N/A</v>
      </c>
      <c r="Y404" s="8" t="str">
        <f t="array" ref="Y404">INDEX(Subject!$A:$I,MATCH(RANDBETWEEN(1,16),Subject!$B:$B,0),3)</f>
        <v>#N/A</v>
      </c>
      <c r="Z404" s="8" t="str">
        <f t="array" ref="Z404">INDEX(Subject!$A:$I,MATCH(RANDBETWEEN(1,16),Subject!$B:$B,0),3)</f>
        <v>#N/A</v>
      </c>
      <c r="AA404" s="8" t="str">
        <f t="array" ref="AA404">INDEX(Subject!$A:$I,MATCH(RANDBETWEEN(1,16),Subject!$B:$B,0),3)</f>
        <v>#N/A</v>
      </c>
      <c r="AB404" s="8" t="str">
        <f t="array" ref="AB404">INDEX(Subject!$A:$I,MATCH(RANDBETWEEN(1,16),Subject!$B:$B,0),3)</f>
        <v/>
      </c>
      <c r="AC404" s="8" t="str">
        <f t="array" ref="AC404">INDEX(Subject!$A:$I,MATCH(RANDBETWEEN(1,16),Subject!$B:$B,0),3)</f>
        <v>#N/A</v>
      </c>
      <c r="AD404" s="8" t="str">
        <f t="array" ref="AD404">INDEX(Subject!$A:$I,MATCH(RANDBETWEEN(1,16),Subject!$B:$B,0),3)</f>
        <v>#N/A</v>
      </c>
      <c r="AE404" s="8" t="str">
        <f t="array" ref="AE404">INDEX(Subject!$A:$I,MATCH(RANDBETWEEN(1,16),Subject!$B:$B,0),3)</f>
        <v>#N/A</v>
      </c>
      <c r="AF404" s="8" t="str">
        <f t="array" ref="AF404">INDEX(Subject!$A:$I,MATCH(RANDBETWEEN(1,16),Subject!$B:$B,0),3)</f>
        <v>#N/A</v>
      </c>
      <c r="AG404" s="8" t="str">
        <f t="array" ref="AG404">INDEX(Subject!$A:$I,MATCH(RANDBETWEEN(1,16),Subject!$B:$B,0),3)</f>
        <v>#N/A</v>
      </c>
      <c r="AH404" s="8" t="str">
        <f t="array" ref="AH404">INDEX(Subject!$A:$I,MATCH(RANDBETWEEN(1,16),Subject!$B:$B,0),3)</f>
        <v>#N/A</v>
      </c>
      <c r="AI404" s="8" t="str">
        <f t="array" ref="AI404">INDEX(Subject!$A:$I,MATCH(RANDBETWEEN(1,16),Subject!$B:$B,0),3)</f>
        <v>#N/A</v>
      </c>
      <c r="AJ404" s="8" t="str">
        <f t="array" ref="AJ404">INDEX(Subject!$A:$I,MATCH(RANDBETWEEN(1,16),Subject!$B:$B,0),3)</f>
        <v>#N/A</v>
      </c>
      <c r="AK404" s="8" t="str">
        <f t="array" ref="AK404">INDEX(Subject!$A:$I,MATCH(RANDBETWEEN(1,16),Subject!$B:$B,0),3)</f>
        <v>#N/A</v>
      </c>
      <c r="AL404" s="8" t="str">
        <f t="array" ref="AL404">INDEX(Subject!$A:$I,MATCH(RANDBETWEEN(1,16),Subject!$B:$B,0),3)</f>
        <v>#N/A</v>
      </c>
      <c r="AM404" s="18">
        <f t="shared" si="4"/>
        <v>45904.33333</v>
      </c>
      <c r="AN404" s="19">
        <f t="shared" ref="AN404:BZ404" si="404">$A404+C$1</f>
        <v>45904.35417</v>
      </c>
      <c r="AO404" s="19">
        <f t="shared" si="404"/>
        <v>45904.375</v>
      </c>
      <c r="AP404" s="19">
        <f t="shared" si="404"/>
        <v>45904.39583</v>
      </c>
      <c r="AQ404" s="19">
        <f t="shared" si="404"/>
        <v>45904.41667</v>
      </c>
      <c r="AR404" s="19">
        <f t="shared" si="404"/>
        <v>45904.4375</v>
      </c>
      <c r="AS404" s="19">
        <f t="shared" si="404"/>
        <v>45904.45833</v>
      </c>
      <c r="AT404" s="19">
        <f t="shared" si="404"/>
        <v>45904.47917</v>
      </c>
      <c r="AU404" s="19">
        <f t="shared" si="404"/>
        <v>45904.5</v>
      </c>
      <c r="AV404" s="19">
        <f t="shared" si="404"/>
        <v>45904.52083</v>
      </c>
      <c r="AW404" s="19">
        <f t="shared" si="404"/>
        <v>45904.54167</v>
      </c>
      <c r="AX404" s="19">
        <f t="shared" si="404"/>
        <v>45904.5625</v>
      </c>
      <c r="AY404" s="19">
        <f t="shared" si="404"/>
        <v>45904.58333</v>
      </c>
      <c r="AZ404" s="19">
        <f t="shared" si="404"/>
        <v>45904.60417</v>
      </c>
      <c r="BA404" s="19">
        <f t="shared" si="404"/>
        <v>45904.625</v>
      </c>
      <c r="BB404" s="19">
        <f t="shared" si="404"/>
        <v>45904.64583</v>
      </c>
      <c r="BC404" s="19">
        <f t="shared" si="404"/>
        <v>45904.66667</v>
      </c>
      <c r="BD404" s="19">
        <f t="shared" si="404"/>
        <v>45904.6875</v>
      </c>
      <c r="BE404" s="19">
        <f t="shared" si="404"/>
        <v>45904.70833</v>
      </c>
      <c r="BF404" s="19">
        <f t="shared" si="404"/>
        <v>45904.72917</v>
      </c>
      <c r="BG404" s="19">
        <f t="shared" si="404"/>
        <v>45904.75</v>
      </c>
      <c r="BH404" s="19">
        <f t="shared" si="404"/>
        <v>45904.77083</v>
      </c>
      <c r="BI404" s="19">
        <f t="shared" si="404"/>
        <v>45904.79167</v>
      </c>
      <c r="BJ404" s="19">
        <f t="shared" si="404"/>
        <v>45904.8125</v>
      </c>
      <c r="BK404" s="19">
        <f t="shared" si="404"/>
        <v>45904.83333</v>
      </c>
      <c r="BL404" s="19">
        <f t="shared" si="404"/>
        <v>45904.85417</v>
      </c>
      <c r="BM404" s="19">
        <f t="shared" si="404"/>
        <v>45904.875</v>
      </c>
      <c r="BN404" s="19">
        <f t="shared" si="404"/>
        <v>45904.89583</v>
      </c>
      <c r="BO404" s="19">
        <f t="shared" si="404"/>
        <v>45904.91667</v>
      </c>
      <c r="BP404" s="19">
        <f t="shared" si="404"/>
        <v>45904.9375</v>
      </c>
      <c r="BQ404" s="19">
        <f t="shared" si="404"/>
        <v>45904.95833</v>
      </c>
      <c r="BR404" s="19">
        <f t="shared" si="404"/>
        <v>45904.97917</v>
      </c>
      <c r="BS404" s="19">
        <f t="shared" si="404"/>
        <v>45905</v>
      </c>
      <c r="BT404" s="19">
        <f t="shared" si="404"/>
        <v>45905.02083</v>
      </c>
      <c r="BU404" s="19">
        <f t="shared" si="404"/>
        <v>45905.04167</v>
      </c>
      <c r="BV404" s="19">
        <f t="shared" si="404"/>
        <v>45905.0625</v>
      </c>
      <c r="BW404" s="19">
        <f t="shared" si="404"/>
        <v>45905.08333</v>
      </c>
      <c r="BX404" s="19">
        <f t="shared" si="404"/>
        <v>45904</v>
      </c>
      <c r="BY404" s="19">
        <f t="shared" si="404"/>
        <v>45904</v>
      </c>
      <c r="BZ404" s="19">
        <f t="shared" si="404"/>
        <v>45904</v>
      </c>
    </row>
    <row r="405" ht="14.25" customHeight="1">
      <c r="A405" s="17">
        <v>45905.0</v>
      </c>
      <c r="B405" s="2" t="str">
        <f t="array" ref="B405">IF(NOW()&gt;AM405,"",IF(AND((WEEKDAY($A405)+$B$2)&gt;1,((WEEKDAY($A405)+$T$2)&lt;7),(WEEKDAY($A405)&lt;&gt;1)),"work",(INDEX(Subject!$A:$I,MATCH(RANDBETWEEN(1,(MAX(Subject!$B:$B))),Subject!$B:$B,0),3))))</f>
        <v/>
      </c>
      <c r="C405" s="2" t="str">
        <f t="array" ref="C405">IF(NOW()&gt;AN405,"",IF(AND((WEEKDAY($A405)+$B$2)&gt;1,((WEEKDAY($A405)+$T$2)&lt;7),(WEEKDAY($A405)&lt;&gt;1)),"work",(INDEX(Subject!$A:$I,MATCH(RANDBETWEEN(1,(MAX(Subject!$B:$B))),Subject!$B:$B,0),3))))</f>
        <v/>
      </c>
      <c r="D405" s="2" t="str">
        <f t="array" ref="D405">IF(NOW()&gt;AO405,"",IF(AND((WEEKDAY($A405)+$B$2)&gt;1,((WEEKDAY($A405)+$T$2)&lt;7),(WEEKDAY($A405)&lt;&gt;1)),"work",(INDEX(Subject!$A:$I,MATCH(RANDBETWEEN(1,(MAX(Subject!$B:$B))),Subject!$B:$B,0),3))))</f>
        <v/>
      </c>
      <c r="E405" s="2" t="str">
        <f t="array" ref="E405">IF(NOW()&gt;AP405,"",IF(AND((WEEKDAY($A405)+$B$2)&gt;1,((WEEKDAY($A405)+$T$2)&lt;7),(WEEKDAY($A405)&lt;&gt;1)),"work",(INDEX(Subject!$A:$I,MATCH(RANDBETWEEN(1,(MAX(Subject!$B:$B))),Subject!$B:$B,0),3))))</f>
        <v/>
      </c>
      <c r="F405" s="2" t="str">
        <f t="array" ref="F405">IF(NOW()&gt;AQ405,"",IF(AND((WEEKDAY($A405)+$B$2)&gt;1,((WEEKDAY($A405)+$T$2)&lt;7),(WEEKDAY($A405)&lt;&gt;1)),"work",(INDEX(Subject!$A:$I,MATCH(RANDBETWEEN(1,(MAX(Subject!$B:$B))),Subject!$B:$B,0),3))))</f>
        <v/>
      </c>
      <c r="G405" s="2" t="str">
        <f t="array" ref="G405">IF(NOW()&gt;AR405,"",IF(AND((WEEKDAY($A405)+$B$2)&gt;1,((WEEKDAY($A405)+$T$2)&lt;7),(WEEKDAY($A405)&lt;&gt;1)),"work",(INDEX(Subject!$A:$I,MATCH(RANDBETWEEN(1,(MAX(Subject!$B:$B))),Subject!$B:$B,0),3))))</f>
        <v/>
      </c>
      <c r="H405" s="2" t="str">
        <f t="array" ref="H405">IF(NOW()&gt;AS405,"",IF(AND((WEEKDAY($A405)+$B$2)&gt;1,((WEEKDAY($A405)+$T$2)&lt;7),(WEEKDAY($A405)&lt;&gt;1)),"work",(INDEX(Subject!$A:$I,MATCH(RANDBETWEEN(1,(MAX(Subject!$B:$B))),Subject!$B:$B,0),3))))</f>
        <v/>
      </c>
      <c r="I405" s="2" t="str">
        <f t="array" ref="I405">IF(NOW()&gt;AT405,"",IF(AND((WEEKDAY($A405)+$B$2)&gt;1,((WEEKDAY($A405)+$T$2)&lt;7),(WEEKDAY($A405)&lt;&gt;1)),"work",(INDEX(Subject!$A:$I,MATCH(RANDBETWEEN(1,(MAX(Subject!$B:$B))),Subject!$B:$B,0),3))))</f>
        <v/>
      </c>
      <c r="J405" s="2" t="str">
        <f t="array" ref="J405">IF(NOW()&gt;AU405,"",IF(AND((WEEKDAY($A405)+$B$2)&gt;1,((WEEKDAY($A405)+$T$2)&lt;7),(WEEKDAY($A405)&lt;&gt;1)),"work",(INDEX(Subject!$A:$I,MATCH(RANDBETWEEN(1,(MAX(Subject!$B:$B))),Subject!$B:$B,0),3))))</f>
        <v/>
      </c>
      <c r="K405" s="2" t="str">
        <f t="array" ref="K405">IF(NOW()&gt;AV405,"",IF(AND((WEEKDAY($A405)+$B$2)&gt;1,((WEEKDAY($A405)+$T$2)&lt;7),(WEEKDAY($A405)&lt;&gt;1)),"work",(INDEX(Subject!$A:$I,MATCH(RANDBETWEEN(1,(MAX(Subject!$B:$B))),Subject!$B:$B,0),3))))</f>
        <v/>
      </c>
      <c r="L405" s="2" t="str">
        <f t="array" ref="L405">IF(NOW()&gt;AW405,"",IF(AND((WEEKDAY($A405)+$B$2)&gt;1,((WEEKDAY($A405)+$T$2)&lt;7),(WEEKDAY($A405)&lt;&gt;1)),"work",(INDEX(Subject!$A:$I,MATCH(RANDBETWEEN(1,(MAX(Subject!$B:$B))),Subject!$B:$B,0),3))))</f>
        <v/>
      </c>
      <c r="M405" s="2" t="str">
        <f t="array" ref="M405">IF(NOW()&gt;AX405,"",IF(AND((WEEKDAY($A405)+$B$2)&gt;1,((WEEKDAY($A405)+$T$2)&lt;7),(WEEKDAY($A405)&lt;&gt;1)),"work",(INDEX(Subject!$A:$I,MATCH(RANDBETWEEN(1,(MAX(Subject!$B:$B))),Subject!$B:$B,0),3))))</f>
        <v/>
      </c>
      <c r="N405" s="2" t="str">
        <f t="array" ref="N405">IF(NOW()&gt;AY405,"",IF(AND((WEEKDAY($A405)+$B$2)&gt;1,((WEEKDAY($A405)+$T$2)&lt;7),(WEEKDAY($A405)&lt;&gt;1)),"work",(INDEX(Subject!$A:$I,MATCH(RANDBETWEEN(1,(MAX(Subject!$B:$B))),Subject!$B:$B,0),3))))</f>
        <v/>
      </c>
      <c r="O405" s="2" t="str">
        <f t="array" ref="O405">IF(NOW()&gt;AZ405,"",IF(AND((WEEKDAY($A405)+$B$2)&gt;1,((WEEKDAY($A405)+$T$2)&lt;7),(WEEKDAY($A405)&lt;&gt;1)),"work",(INDEX(Subject!$A:$I,MATCH(RANDBETWEEN(1,(MAX(Subject!$B:$B))),Subject!$B:$B,0),3))))</f>
        <v/>
      </c>
      <c r="P405" s="2" t="str">
        <f t="array" ref="P405">IF(NOW()&gt;BA405,"",IF(AND((WEEKDAY($A405)+$B$2)&gt;1,((WEEKDAY($A405)+$T$2)&lt;7),(WEEKDAY($A405)&lt;&gt;1)),"work",(INDEX(Subject!$A:$I,MATCH(RANDBETWEEN(1,(MAX(Subject!$B:$B))),Subject!$B:$B,0),3))))</f>
        <v/>
      </c>
      <c r="Q405" s="2" t="str">
        <f t="array" ref="Q405">IF(NOW()&gt;BB405,"",IF(AND((WEEKDAY($A405)+$B$2)&gt;1,((WEEKDAY($A405)+$T$2)&lt;7),(WEEKDAY($A405)&lt;&gt;1)),"work",(INDEX(Subject!$A:$I,MATCH(RANDBETWEEN(1,(MAX(Subject!$B:$B))),Subject!$B:$B,0),3))))</f>
        <v/>
      </c>
      <c r="R405" s="2" t="str">
        <f t="array" ref="R405">IF(NOW()&gt;BC405,"",IF(AND((WEEKDAY($A405)+$B$2)&gt;1,((WEEKDAY($A405)+$T$2)&lt;7),(WEEKDAY($A405)&lt;&gt;1)),"work",(INDEX(Subject!$A:$I,MATCH(RANDBETWEEN(1,(MAX(Subject!$B:$B))),Subject!$B:$B,0),3))))</f>
        <v/>
      </c>
      <c r="S405" s="2" t="str">
        <f t="array" ref="S405">IF(NOW()&gt;BD405,"",IF(AND((WEEKDAY($A405)+$B$2)&gt;1,((WEEKDAY($A405)+$T$2)&lt;7),(WEEKDAY($A405)&lt;&gt;1)),"work",(INDEX(Subject!$A:$I,MATCH(RANDBETWEEN(1,(MAX(Subject!$B:$B))),Subject!$B:$B,0),3))))</f>
        <v/>
      </c>
      <c r="T405" s="2" t="str">
        <f t="array" ref="T405">IF(NOW()&gt;BE405,"",IF(AND((WEEKDAY($A405)+$B$2)&gt;1,((WEEKDAY($A405)+$T$2)&lt;7),(WEEKDAY($A405)&lt;&gt;1)),"work",(INDEX(Subject!$A:$I,MATCH(RANDBETWEEN(1,(MAX(Subject!$B:$B))),Subject!$B:$B,0),3))))</f>
        <v/>
      </c>
      <c r="U405" s="8" t="str">
        <f t="array" ref="U405">INDEX(Subject!$A:$I,MATCH(RANDBETWEEN(1,16),Subject!$B:$B,0),3)</f>
        <v>#N/A</v>
      </c>
      <c r="V405" s="8" t="str">
        <f t="array" ref="V405">INDEX(Subject!$A:$I,MATCH(RANDBETWEEN(1,16),Subject!$B:$B,0),3)</f>
        <v/>
      </c>
      <c r="W405" s="8" t="str">
        <f t="array" ref="W405">INDEX(Subject!$A:$I,MATCH(RANDBETWEEN(1,16),Subject!$B:$B,0),3)</f>
        <v>#N/A</v>
      </c>
      <c r="X405" s="8" t="str">
        <f t="array" ref="X405">INDEX(Subject!$A:$I,MATCH(RANDBETWEEN(1,16),Subject!$B:$B,0),3)</f>
        <v>#N/A</v>
      </c>
      <c r="Y405" s="8" t="str">
        <f t="array" ref="Y405">INDEX(Subject!$A:$I,MATCH(RANDBETWEEN(1,16),Subject!$B:$B,0),3)</f>
        <v>#N/A</v>
      </c>
      <c r="Z405" s="8" t="str">
        <f t="array" ref="Z405">INDEX(Subject!$A:$I,MATCH(RANDBETWEEN(1,16),Subject!$B:$B,0),3)</f>
        <v>#N/A</v>
      </c>
      <c r="AA405" s="8" t="str">
        <f t="array" ref="AA405">INDEX(Subject!$A:$I,MATCH(RANDBETWEEN(1,16),Subject!$B:$B,0),3)</f>
        <v>#N/A</v>
      </c>
      <c r="AB405" s="8" t="str">
        <f t="array" ref="AB405">INDEX(Subject!$A:$I,MATCH(RANDBETWEEN(1,16),Subject!$B:$B,0),3)</f>
        <v>#N/A</v>
      </c>
      <c r="AC405" s="8" t="str">
        <f t="array" ref="AC405">INDEX(Subject!$A:$I,MATCH(RANDBETWEEN(1,16),Subject!$B:$B,0),3)</f>
        <v>#N/A</v>
      </c>
      <c r="AD405" s="8" t="str">
        <f t="array" ref="AD405">INDEX(Subject!$A:$I,MATCH(RANDBETWEEN(1,16),Subject!$B:$B,0),3)</f>
        <v/>
      </c>
      <c r="AE405" s="8" t="str">
        <f t="array" ref="AE405">INDEX(Subject!$A:$I,MATCH(RANDBETWEEN(1,16),Subject!$B:$B,0),3)</f>
        <v>#N/A</v>
      </c>
      <c r="AF405" s="8" t="str">
        <f t="array" ref="AF405">INDEX(Subject!$A:$I,MATCH(RANDBETWEEN(1,16),Subject!$B:$B,0),3)</f>
        <v>#N/A</v>
      </c>
      <c r="AG405" s="8" t="str">
        <f t="array" ref="AG405">INDEX(Subject!$A:$I,MATCH(RANDBETWEEN(1,16),Subject!$B:$B,0),3)</f>
        <v>#N/A</v>
      </c>
      <c r="AH405" s="8" t="str">
        <f t="array" ref="AH405">INDEX(Subject!$A:$I,MATCH(RANDBETWEEN(1,16),Subject!$B:$B,0),3)</f>
        <v>#N/A</v>
      </c>
      <c r="AI405" s="8" t="str">
        <f t="array" ref="AI405">INDEX(Subject!$A:$I,MATCH(RANDBETWEEN(1,16),Subject!$B:$B,0),3)</f>
        <v>#N/A</v>
      </c>
      <c r="AJ405" s="8" t="str">
        <f t="array" ref="AJ405">INDEX(Subject!$A:$I,MATCH(RANDBETWEEN(1,16),Subject!$B:$B,0),3)</f>
        <v>#N/A</v>
      </c>
      <c r="AK405" s="8" t="str">
        <f t="array" ref="AK405">INDEX(Subject!$A:$I,MATCH(RANDBETWEEN(1,16),Subject!$B:$B,0),3)</f>
        <v>#N/A</v>
      </c>
      <c r="AL405" s="8" t="str">
        <f t="array" ref="AL405">INDEX(Subject!$A:$I,MATCH(RANDBETWEEN(1,16),Subject!$B:$B,0),3)</f>
        <v>#N/A</v>
      </c>
      <c r="AM405" s="18">
        <f t="shared" si="4"/>
        <v>45905.33333</v>
      </c>
      <c r="AN405" s="19">
        <f t="shared" ref="AN405:BZ405" si="405">$A405+C$1</f>
        <v>45905.35417</v>
      </c>
      <c r="AO405" s="19">
        <f t="shared" si="405"/>
        <v>45905.375</v>
      </c>
      <c r="AP405" s="19">
        <f t="shared" si="405"/>
        <v>45905.39583</v>
      </c>
      <c r="AQ405" s="19">
        <f t="shared" si="405"/>
        <v>45905.41667</v>
      </c>
      <c r="AR405" s="19">
        <f t="shared" si="405"/>
        <v>45905.4375</v>
      </c>
      <c r="AS405" s="19">
        <f t="shared" si="405"/>
        <v>45905.45833</v>
      </c>
      <c r="AT405" s="19">
        <f t="shared" si="405"/>
        <v>45905.47917</v>
      </c>
      <c r="AU405" s="19">
        <f t="shared" si="405"/>
        <v>45905.5</v>
      </c>
      <c r="AV405" s="19">
        <f t="shared" si="405"/>
        <v>45905.52083</v>
      </c>
      <c r="AW405" s="19">
        <f t="shared" si="405"/>
        <v>45905.54167</v>
      </c>
      <c r="AX405" s="19">
        <f t="shared" si="405"/>
        <v>45905.5625</v>
      </c>
      <c r="AY405" s="19">
        <f t="shared" si="405"/>
        <v>45905.58333</v>
      </c>
      <c r="AZ405" s="19">
        <f t="shared" si="405"/>
        <v>45905.60417</v>
      </c>
      <c r="BA405" s="19">
        <f t="shared" si="405"/>
        <v>45905.625</v>
      </c>
      <c r="BB405" s="19">
        <f t="shared" si="405"/>
        <v>45905.64583</v>
      </c>
      <c r="BC405" s="19">
        <f t="shared" si="405"/>
        <v>45905.66667</v>
      </c>
      <c r="BD405" s="19">
        <f t="shared" si="405"/>
        <v>45905.6875</v>
      </c>
      <c r="BE405" s="19">
        <f t="shared" si="405"/>
        <v>45905.70833</v>
      </c>
      <c r="BF405" s="19">
        <f t="shared" si="405"/>
        <v>45905.72917</v>
      </c>
      <c r="BG405" s="19">
        <f t="shared" si="405"/>
        <v>45905.75</v>
      </c>
      <c r="BH405" s="19">
        <f t="shared" si="405"/>
        <v>45905.77083</v>
      </c>
      <c r="BI405" s="19">
        <f t="shared" si="405"/>
        <v>45905.79167</v>
      </c>
      <c r="BJ405" s="19">
        <f t="shared" si="405"/>
        <v>45905.8125</v>
      </c>
      <c r="BK405" s="19">
        <f t="shared" si="405"/>
        <v>45905.83333</v>
      </c>
      <c r="BL405" s="19">
        <f t="shared" si="405"/>
        <v>45905.85417</v>
      </c>
      <c r="BM405" s="19">
        <f t="shared" si="405"/>
        <v>45905.875</v>
      </c>
      <c r="BN405" s="19">
        <f t="shared" si="405"/>
        <v>45905.89583</v>
      </c>
      <c r="BO405" s="19">
        <f t="shared" si="405"/>
        <v>45905.91667</v>
      </c>
      <c r="BP405" s="19">
        <f t="shared" si="405"/>
        <v>45905.9375</v>
      </c>
      <c r="BQ405" s="19">
        <f t="shared" si="405"/>
        <v>45905.95833</v>
      </c>
      <c r="BR405" s="19">
        <f t="shared" si="405"/>
        <v>45905.97917</v>
      </c>
      <c r="BS405" s="19">
        <f t="shared" si="405"/>
        <v>45906</v>
      </c>
      <c r="BT405" s="19">
        <f t="shared" si="405"/>
        <v>45906.02083</v>
      </c>
      <c r="BU405" s="19">
        <f t="shared" si="405"/>
        <v>45906.04167</v>
      </c>
      <c r="BV405" s="19">
        <f t="shared" si="405"/>
        <v>45906.0625</v>
      </c>
      <c r="BW405" s="19">
        <f t="shared" si="405"/>
        <v>45906.08333</v>
      </c>
      <c r="BX405" s="19">
        <f t="shared" si="405"/>
        <v>45905</v>
      </c>
      <c r="BY405" s="19">
        <f t="shared" si="405"/>
        <v>45905</v>
      </c>
      <c r="BZ405" s="19">
        <f t="shared" si="405"/>
        <v>45905</v>
      </c>
    </row>
    <row r="406" ht="14.25" customHeight="1">
      <c r="A406" s="17">
        <v>45906.0</v>
      </c>
      <c r="B406" s="2" t="str">
        <f t="array" ref="B406">IF(NOW()&gt;AM406,"",IF(AND((WEEKDAY($A406)+$B$2)&gt;1,((WEEKDAY($A406)+$T$2)&lt;7),(WEEKDAY($A406)&lt;&gt;1)),"work",(INDEX(Subject!$A:$I,MATCH(RANDBETWEEN(1,(MAX(Subject!$B:$B))),Subject!$B:$B,0),3))))</f>
        <v/>
      </c>
      <c r="C406" s="2" t="str">
        <f t="array" ref="C406">IF(NOW()&gt;AN406,"",IF(AND((WEEKDAY($A406)+$B$2)&gt;1,((WEEKDAY($A406)+$T$2)&lt;7),(WEEKDAY($A406)&lt;&gt;1)),"work",(INDEX(Subject!$A:$I,MATCH(RANDBETWEEN(1,(MAX(Subject!$B:$B))),Subject!$B:$B,0),3))))</f>
        <v/>
      </c>
      <c r="D406" s="2" t="str">
        <f t="array" ref="D406">IF(NOW()&gt;AO406,"",IF(AND((WEEKDAY($A406)+$B$2)&gt;1,((WEEKDAY($A406)+$T$2)&lt;7),(WEEKDAY($A406)&lt;&gt;1)),"work",(INDEX(Subject!$A:$I,MATCH(RANDBETWEEN(1,(MAX(Subject!$B:$B))),Subject!$B:$B,0),3))))</f>
        <v/>
      </c>
      <c r="E406" s="2" t="str">
        <f t="array" ref="E406">IF(NOW()&gt;AP406,"",IF(AND((WEEKDAY($A406)+$B$2)&gt;1,((WEEKDAY($A406)+$T$2)&lt;7),(WEEKDAY($A406)&lt;&gt;1)),"work",(INDEX(Subject!$A:$I,MATCH(RANDBETWEEN(1,(MAX(Subject!$B:$B))),Subject!$B:$B,0),3))))</f>
        <v/>
      </c>
      <c r="F406" s="2" t="str">
        <f t="array" ref="F406">IF(NOW()&gt;AQ406,"",IF(AND((WEEKDAY($A406)+$B$2)&gt;1,((WEEKDAY($A406)+$T$2)&lt;7),(WEEKDAY($A406)&lt;&gt;1)),"work",(INDEX(Subject!$A:$I,MATCH(RANDBETWEEN(1,(MAX(Subject!$B:$B))),Subject!$B:$B,0),3))))</f>
        <v/>
      </c>
      <c r="G406" s="2" t="str">
        <f t="array" ref="G406">IF(NOW()&gt;AR406,"",IF(AND((WEEKDAY($A406)+$B$2)&gt;1,((WEEKDAY($A406)+$T$2)&lt;7),(WEEKDAY($A406)&lt;&gt;1)),"work",(INDEX(Subject!$A:$I,MATCH(RANDBETWEEN(1,(MAX(Subject!$B:$B))),Subject!$B:$B,0),3))))</f>
        <v/>
      </c>
      <c r="H406" s="2" t="str">
        <f t="array" ref="H406">IF(NOW()&gt;AS406,"",IF(AND((WEEKDAY($A406)+$B$2)&gt;1,((WEEKDAY($A406)+$T$2)&lt;7),(WEEKDAY($A406)&lt;&gt;1)),"work",(INDEX(Subject!$A:$I,MATCH(RANDBETWEEN(1,(MAX(Subject!$B:$B))),Subject!$B:$B,0),3))))</f>
        <v/>
      </c>
      <c r="I406" s="2" t="str">
        <f t="array" ref="I406">IF(NOW()&gt;AT406,"",IF(AND((WEEKDAY($A406)+$B$2)&gt;1,((WEEKDAY($A406)+$T$2)&lt;7),(WEEKDAY($A406)&lt;&gt;1)),"work",(INDEX(Subject!$A:$I,MATCH(RANDBETWEEN(1,(MAX(Subject!$B:$B))),Subject!$B:$B,0),3))))</f>
        <v/>
      </c>
      <c r="J406" s="2" t="str">
        <f t="array" ref="J406">IF(NOW()&gt;AU406,"",IF(AND((WEEKDAY($A406)+$B$2)&gt;1,((WEEKDAY($A406)+$T$2)&lt;7),(WEEKDAY($A406)&lt;&gt;1)),"work",(INDEX(Subject!$A:$I,MATCH(RANDBETWEEN(1,(MAX(Subject!$B:$B))),Subject!$B:$B,0),3))))</f>
        <v/>
      </c>
      <c r="K406" s="2" t="str">
        <f t="array" ref="K406">IF(NOW()&gt;AV406,"",IF(AND((WEEKDAY($A406)+$B$2)&gt;1,((WEEKDAY($A406)+$T$2)&lt;7),(WEEKDAY($A406)&lt;&gt;1)),"work",(INDEX(Subject!$A:$I,MATCH(RANDBETWEEN(1,(MAX(Subject!$B:$B))),Subject!$B:$B,0),3))))</f>
        <v/>
      </c>
      <c r="L406" s="2" t="str">
        <f t="array" ref="L406">IF(NOW()&gt;AW406,"",IF(AND((WEEKDAY($A406)+$B$2)&gt;1,((WEEKDAY($A406)+$T$2)&lt;7),(WEEKDAY($A406)&lt;&gt;1)),"work",(INDEX(Subject!$A:$I,MATCH(RANDBETWEEN(1,(MAX(Subject!$B:$B))),Subject!$B:$B,0),3))))</f>
        <v/>
      </c>
      <c r="M406" s="2" t="str">
        <f t="array" ref="M406">IF(NOW()&gt;AX406,"",IF(AND((WEEKDAY($A406)+$B$2)&gt;1,((WEEKDAY($A406)+$T$2)&lt;7),(WEEKDAY($A406)&lt;&gt;1)),"work",(INDEX(Subject!$A:$I,MATCH(RANDBETWEEN(1,(MAX(Subject!$B:$B))),Subject!$B:$B,0),3))))</f>
        <v/>
      </c>
      <c r="N406" s="2" t="str">
        <f t="array" ref="N406">IF(NOW()&gt;AY406,"",IF(AND((WEEKDAY($A406)+$B$2)&gt;1,((WEEKDAY($A406)+$T$2)&lt;7),(WEEKDAY($A406)&lt;&gt;1)),"work",(INDEX(Subject!$A:$I,MATCH(RANDBETWEEN(1,(MAX(Subject!$B:$B))),Subject!$B:$B,0),3))))</f>
        <v/>
      </c>
      <c r="O406" s="2" t="str">
        <f t="array" ref="O406">IF(NOW()&gt;AZ406,"",IF(AND((WEEKDAY($A406)+$B$2)&gt;1,((WEEKDAY($A406)+$T$2)&lt;7),(WEEKDAY($A406)&lt;&gt;1)),"work",(INDEX(Subject!$A:$I,MATCH(RANDBETWEEN(1,(MAX(Subject!$B:$B))),Subject!$B:$B,0),3))))</f>
        <v/>
      </c>
      <c r="P406" s="2" t="str">
        <f t="array" ref="P406">IF(NOW()&gt;BA406,"",IF(AND((WEEKDAY($A406)+$B$2)&gt;1,((WEEKDAY($A406)+$T$2)&lt;7),(WEEKDAY($A406)&lt;&gt;1)),"work",(INDEX(Subject!$A:$I,MATCH(RANDBETWEEN(1,(MAX(Subject!$B:$B))),Subject!$B:$B,0),3))))</f>
        <v/>
      </c>
      <c r="Q406" s="2" t="str">
        <f t="array" ref="Q406">IF(NOW()&gt;BB406,"",IF(AND((WEEKDAY($A406)+$B$2)&gt;1,((WEEKDAY($A406)+$T$2)&lt;7),(WEEKDAY($A406)&lt;&gt;1)),"work",(INDEX(Subject!$A:$I,MATCH(RANDBETWEEN(1,(MAX(Subject!$B:$B))),Subject!$B:$B,0),3))))</f>
        <v/>
      </c>
      <c r="R406" s="2" t="str">
        <f t="array" ref="R406">IF(NOW()&gt;BC406,"",IF(AND((WEEKDAY($A406)+$B$2)&gt;1,((WEEKDAY($A406)+$T$2)&lt;7),(WEEKDAY($A406)&lt;&gt;1)),"work",(INDEX(Subject!$A:$I,MATCH(RANDBETWEEN(1,(MAX(Subject!$B:$B))),Subject!$B:$B,0),3))))</f>
        <v/>
      </c>
      <c r="S406" s="2" t="str">
        <f t="array" ref="S406">IF(NOW()&gt;BD406,"",IF(AND((WEEKDAY($A406)+$B$2)&gt;1,((WEEKDAY($A406)+$T$2)&lt;7),(WEEKDAY($A406)&lt;&gt;1)),"work",(INDEX(Subject!$A:$I,MATCH(RANDBETWEEN(1,(MAX(Subject!$B:$B))),Subject!$B:$B,0),3))))</f>
        <v/>
      </c>
      <c r="T406" s="2" t="str">
        <f t="array" ref="T406">IF(NOW()&gt;BE406,"",IF(AND((WEEKDAY($A406)+$B$2)&gt;1,((WEEKDAY($A406)+$T$2)&lt;7),(WEEKDAY($A406)&lt;&gt;1)),"work",(INDEX(Subject!$A:$I,MATCH(RANDBETWEEN(1,(MAX(Subject!$B:$B))),Subject!$B:$B,0),3))))</f>
        <v/>
      </c>
      <c r="U406" s="8" t="str">
        <f t="array" ref="U406">INDEX(Subject!$A:$I,MATCH(RANDBETWEEN(1,16),Subject!$B:$B,0),3)</f>
        <v/>
      </c>
      <c r="V406" s="8" t="str">
        <f t="array" ref="V406">INDEX(Subject!$A:$I,MATCH(RANDBETWEEN(1,16),Subject!$B:$B,0),3)</f>
        <v>#N/A</v>
      </c>
      <c r="W406" s="8" t="str">
        <f t="array" ref="W406">INDEX(Subject!$A:$I,MATCH(RANDBETWEEN(1,16),Subject!$B:$B,0),3)</f>
        <v>#N/A</v>
      </c>
      <c r="X406" s="8" t="str">
        <f t="array" ref="X406">INDEX(Subject!$A:$I,MATCH(RANDBETWEEN(1,16),Subject!$B:$B,0),3)</f>
        <v/>
      </c>
      <c r="Y406" s="8" t="str">
        <f t="array" ref="Y406">INDEX(Subject!$A:$I,MATCH(RANDBETWEEN(1,16),Subject!$B:$B,0),3)</f>
        <v>#N/A</v>
      </c>
      <c r="Z406" s="8" t="str">
        <f t="array" ref="Z406">INDEX(Subject!$A:$I,MATCH(RANDBETWEEN(1,16),Subject!$B:$B,0),3)</f>
        <v>#N/A</v>
      </c>
      <c r="AA406" s="8" t="str">
        <f t="array" ref="AA406">INDEX(Subject!$A:$I,MATCH(RANDBETWEEN(1,16),Subject!$B:$B,0),3)</f>
        <v>#N/A</v>
      </c>
      <c r="AB406" s="8" t="str">
        <f t="array" ref="AB406">INDEX(Subject!$A:$I,MATCH(RANDBETWEEN(1,16),Subject!$B:$B,0),3)</f>
        <v>#N/A</v>
      </c>
      <c r="AC406" s="8" t="str">
        <f t="array" ref="AC406">INDEX(Subject!$A:$I,MATCH(RANDBETWEEN(1,16),Subject!$B:$B,0),3)</f>
        <v>#N/A</v>
      </c>
      <c r="AD406" s="8" t="str">
        <f t="array" ref="AD406">INDEX(Subject!$A:$I,MATCH(RANDBETWEEN(1,16),Subject!$B:$B,0),3)</f>
        <v>#N/A</v>
      </c>
      <c r="AE406" s="8" t="str">
        <f t="array" ref="AE406">INDEX(Subject!$A:$I,MATCH(RANDBETWEEN(1,16),Subject!$B:$B,0),3)</f>
        <v>#N/A</v>
      </c>
      <c r="AF406" s="8" t="str">
        <f t="array" ref="AF406">INDEX(Subject!$A:$I,MATCH(RANDBETWEEN(1,16),Subject!$B:$B,0),3)</f>
        <v>#N/A</v>
      </c>
      <c r="AG406" s="8" t="str">
        <f t="array" ref="AG406">INDEX(Subject!$A:$I,MATCH(RANDBETWEEN(1,16),Subject!$B:$B,0),3)</f>
        <v/>
      </c>
      <c r="AH406" s="8" t="str">
        <f t="array" ref="AH406">INDEX(Subject!$A:$I,MATCH(RANDBETWEEN(1,16),Subject!$B:$B,0),3)</f>
        <v>#N/A</v>
      </c>
      <c r="AI406" s="8" t="str">
        <f t="array" ref="AI406">INDEX(Subject!$A:$I,MATCH(RANDBETWEEN(1,16),Subject!$B:$B,0),3)</f>
        <v>#N/A</v>
      </c>
      <c r="AJ406" s="8" t="str">
        <f t="array" ref="AJ406">INDEX(Subject!$A:$I,MATCH(RANDBETWEEN(1,16),Subject!$B:$B,0),3)</f>
        <v>#N/A</v>
      </c>
      <c r="AK406" s="8" t="str">
        <f t="array" ref="AK406">INDEX(Subject!$A:$I,MATCH(RANDBETWEEN(1,16),Subject!$B:$B,0),3)</f>
        <v>#N/A</v>
      </c>
      <c r="AL406" s="8" t="str">
        <f t="array" ref="AL406">INDEX(Subject!$A:$I,MATCH(RANDBETWEEN(1,16),Subject!$B:$B,0),3)</f>
        <v>#N/A</v>
      </c>
      <c r="AM406" s="18">
        <f t="shared" si="4"/>
        <v>45906.33333</v>
      </c>
      <c r="AN406" s="19">
        <f t="shared" ref="AN406:BZ406" si="406">$A406+C$1</f>
        <v>45906.35417</v>
      </c>
      <c r="AO406" s="19">
        <f t="shared" si="406"/>
        <v>45906.375</v>
      </c>
      <c r="AP406" s="19">
        <f t="shared" si="406"/>
        <v>45906.39583</v>
      </c>
      <c r="AQ406" s="19">
        <f t="shared" si="406"/>
        <v>45906.41667</v>
      </c>
      <c r="AR406" s="19">
        <f t="shared" si="406"/>
        <v>45906.4375</v>
      </c>
      <c r="AS406" s="19">
        <f t="shared" si="406"/>
        <v>45906.45833</v>
      </c>
      <c r="AT406" s="19">
        <f t="shared" si="406"/>
        <v>45906.47917</v>
      </c>
      <c r="AU406" s="19">
        <f t="shared" si="406"/>
        <v>45906.5</v>
      </c>
      <c r="AV406" s="19">
        <f t="shared" si="406"/>
        <v>45906.52083</v>
      </c>
      <c r="AW406" s="19">
        <f t="shared" si="406"/>
        <v>45906.54167</v>
      </c>
      <c r="AX406" s="19">
        <f t="shared" si="406"/>
        <v>45906.5625</v>
      </c>
      <c r="AY406" s="19">
        <f t="shared" si="406"/>
        <v>45906.58333</v>
      </c>
      <c r="AZ406" s="19">
        <f t="shared" si="406"/>
        <v>45906.60417</v>
      </c>
      <c r="BA406" s="19">
        <f t="shared" si="406"/>
        <v>45906.625</v>
      </c>
      <c r="BB406" s="19">
        <f t="shared" si="406"/>
        <v>45906.64583</v>
      </c>
      <c r="BC406" s="19">
        <f t="shared" si="406"/>
        <v>45906.66667</v>
      </c>
      <c r="BD406" s="19">
        <f t="shared" si="406"/>
        <v>45906.6875</v>
      </c>
      <c r="BE406" s="19">
        <f t="shared" si="406"/>
        <v>45906.70833</v>
      </c>
      <c r="BF406" s="19">
        <f t="shared" si="406"/>
        <v>45906.72917</v>
      </c>
      <c r="BG406" s="19">
        <f t="shared" si="406"/>
        <v>45906.75</v>
      </c>
      <c r="BH406" s="19">
        <f t="shared" si="406"/>
        <v>45906.77083</v>
      </c>
      <c r="BI406" s="19">
        <f t="shared" si="406"/>
        <v>45906.79167</v>
      </c>
      <c r="BJ406" s="19">
        <f t="shared" si="406"/>
        <v>45906.8125</v>
      </c>
      <c r="BK406" s="19">
        <f t="shared" si="406"/>
        <v>45906.83333</v>
      </c>
      <c r="BL406" s="19">
        <f t="shared" si="406"/>
        <v>45906.85417</v>
      </c>
      <c r="BM406" s="19">
        <f t="shared" si="406"/>
        <v>45906.875</v>
      </c>
      <c r="BN406" s="19">
        <f t="shared" si="406"/>
        <v>45906.89583</v>
      </c>
      <c r="BO406" s="19">
        <f t="shared" si="406"/>
        <v>45906.91667</v>
      </c>
      <c r="BP406" s="19">
        <f t="shared" si="406"/>
        <v>45906.9375</v>
      </c>
      <c r="BQ406" s="19">
        <f t="shared" si="406"/>
        <v>45906.95833</v>
      </c>
      <c r="BR406" s="19">
        <f t="shared" si="406"/>
        <v>45906.97917</v>
      </c>
      <c r="BS406" s="19">
        <f t="shared" si="406"/>
        <v>45907</v>
      </c>
      <c r="BT406" s="19">
        <f t="shared" si="406"/>
        <v>45907.02083</v>
      </c>
      <c r="BU406" s="19">
        <f t="shared" si="406"/>
        <v>45907.04167</v>
      </c>
      <c r="BV406" s="19">
        <f t="shared" si="406"/>
        <v>45907.0625</v>
      </c>
      <c r="BW406" s="19">
        <f t="shared" si="406"/>
        <v>45907.08333</v>
      </c>
      <c r="BX406" s="19">
        <f t="shared" si="406"/>
        <v>45906</v>
      </c>
      <c r="BY406" s="19">
        <f t="shared" si="406"/>
        <v>45906</v>
      </c>
      <c r="BZ406" s="19">
        <f t="shared" si="406"/>
        <v>45906</v>
      </c>
    </row>
    <row r="407" ht="14.25" customHeight="1">
      <c r="A407" s="17">
        <v>45907.0</v>
      </c>
      <c r="B407" s="2" t="str">
        <f t="array" ref="B407">IF(NOW()&gt;AM407,"",IF(AND((WEEKDAY($A407)+$B$2)&gt;1,((WEEKDAY($A407)+$T$2)&lt;7),(WEEKDAY($A407)&lt;&gt;1)),"work",(INDEX(Subject!$A:$I,MATCH(RANDBETWEEN(1,(MAX(Subject!$B:$B))),Subject!$B:$B,0),3))))</f>
        <v/>
      </c>
      <c r="C407" s="2" t="str">
        <f t="array" ref="C407">IF(NOW()&gt;AN407,"",IF(AND((WEEKDAY($A407)+$B$2)&gt;1,((WEEKDAY($A407)+$T$2)&lt;7),(WEEKDAY($A407)&lt;&gt;1)),"work",(INDEX(Subject!$A:$I,MATCH(RANDBETWEEN(1,(MAX(Subject!$B:$B))),Subject!$B:$B,0),3))))</f>
        <v/>
      </c>
      <c r="D407" s="2" t="str">
        <f t="array" ref="D407">IF(NOW()&gt;AO407,"",IF(AND((WEEKDAY($A407)+$B$2)&gt;1,((WEEKDAY($A407)+$T$2)&lt;7),(WEEKDAY($A407)&lt;&gt;1)),"work",(INDEX(Subject!$A:$I,MATCH(RANDBETWEEN(1,(MAX(Subject!$B:$B))),Subject!$B:$B,0),3))))</f>
        <v/>
      </c>
      <c r="E407" s="2" t="str">
        <f t="array" ref="E407">IF(NOW()&gt;AP407,"",IF(AND((WEEKDAY($A407)+$B$2)&gt;1,((WEEKDAY($A407)+$T$2)&lt;7),(WEEKDAY($A407)&lt;&gt;1)),"work",(INDEX(Subject!$A:$I,MATCH(RANDBETWEEN(1,(MAX(Subject!$B:$B))),Subject!$B:$B,0),3))))</f>
        <v/>
      </c>
      <c r="F407" s="2" t="str">
        <f t="array" ref="F407">IF(NOW()&gt;AQ407,"",IF(AND((WEEKDAY($A407)+$B$2)&gt;1,((WEEKDAY($A407)+$T$2)&lt;7),(WEEKDAY($A407)&lt;&gt;1)),"work",(INDEX(Subject!$A:$I,MATCH(RANDBETWEEN(1,(MAX(Subject!$B:$B))),Subject!$B:$B,0),3))))</f>
        <v/>
      </c>
      <c r="G407" s="2" t="str">
        <f t="array" ref="G407">IF(NOW()&gt;AR407,"",IF(AND((WEEKDAY($A407)+$B$2)&gt;1,((WEEKDAY($A407)+$T$2)&lt;7),(WEEKDAY($A407)&lt;&gt;1)),"work",(INDEX(Subject!$A:$I,MATCH(RANDBETWEEN(1,(MAX(Subject!$B:$B))),Subject!$B:$B,0),3))))</f>
        <v/>
      </c>
      <c r="H407" s="2" t="str">
        <f t="array" ref="H407">IF(NOW()&gt;AS407,"",IF(AND((WEEKDAY($A407)+$B$2)&gt;1,((WEEKDAY($A407)+$T$2)&lt;7),(WEEKDAY($A407)&lt;&gt;1)),"work",(INDEX(Subject!$A:$I,MATCH(RANDBETWEEN(1,(MAX(Subject!$B:$B))),Subject!$B:$B,0),3))))</f>
        <v/>
      </c>
      <c r="I407" s="2" t="str">
        <f t="array" ref="I407">IF(NOW()&gt;AT407,"",IF(AND((WEEKDAY($A407)+$B$2)&gt;1,((WEEKDAY($A407)+$T$2)&lt;7),(WEEKDAY($A407)&lt;&gt;1)),"work",(INDEX(Subject!$A:$I,MATCH(RANDBETWEEN(1,(MAX(Subject!$B:$B))),Subject!$B:$B,0),3))))</f>
        <v/>
      </c>
      <c r="J407" s="2" t="str">
        <f t="array" ref="J407">IF(NOW()&gt;AU407,"",IF(AND((WEEKDAY($A407)+$B$2)&gt;1,((WEEKDAY($A407)+$T$2)&lt;7),(WEEKDAY($A407)&lt;&gt;1)),"work",(INDEX(Subject!$A:$I,MATCH(RANDBETWEEN(1,(MAX(Subject!$B:$B))),Subject!$B:$B,0),3))))</f>
        <v/>
      </c>
      <c r="K407" s="2" t="str">
        <f t="array" ref="K407">IF(NOW()&gt;AV407,"",IF(AND((WEEKDAY($A407)+$B$2)&gt;1,((WEEKDAY($A407)+$T$2)&lt;7),(WEEKDAY($A407)&lt;&gt;1)),"work",(INDEX(Subject!$A:$I,MATCH(RANDBETWEEN(1,(MAX(Subject!$B:$B))),Subject!$B:$B,0),3))))</f>
        <v/>
      </c>
      <c r="L407" s="2" t="str">
        <f t="array" ref="L407">IF(NOW()&gt;AW407,"",IF(AND((WEEKDAY($A407)+$B$2)&gt;1,((WEEKDAY($A407)+$T$2)&lt;7),(WEEKDAY($A407)&lt;&gt;1)),"work",(INDEX(Subject!$A:$I,MATCH(RANDBETWEEN(1,(MAX(Subject!$B:$B))),Subject!$B:$B,0),3))))</f>
        <v/>
      </c>
      <c r="M407" s="2" t="str">
        <f t="array" ref="M407">IF(NOW()&gt;AX407,"",IF(AND((WEEKDAY($A407)+$B$2)&gt;1,((WEEKDAY($A407)+$T$2)&lt;7),(WEEKDAY($A407)&lt;&gt;1)),"work",(INDEX(Subject!$A:$I,MATCH(RANDBETWEEN(1,(MAX(Subject!$B:$B))),Subject!$B:$B,0),3))))</f>
        <v/>
      </c>
      <c r="N407" s="2" t="str">
        <f t="array" ref="N407">IF(NOW()&gt;AY407,"",IF(AND((WEEKDAY($A407)+$B$2)&gt;1,((WEEKDAY($A407)+$T$2)&lt;7),(WEEKDAY($A407)&lt;&gt;1)),"work",(INDEX(Subject!$A:$I,MATCH(RANDBETWEEN(1,(MAX(Subject!$B:$B))),Subject!$B:$B,0),3))))</f>
        <v/>
      </c>
      <c r="O407" s="2" t="str">
        <f t="array" ref="O407">IF(NOW()&gt;AZ407,"",IF(AND((WEEKDAY($A407)+$B$2)&gt;1,((WEEKDAY($A407)+$T$2)&lt;7),(WEEKDAY($A407)&lt;&gt;1)),"work",(INDEX(Subject!$A:$I,MATCH(RANDBETWEEN(1,(MAX(Subject!$B:$B))),Subject!$B:$B,0),3))))</f>
        <v/>
      </c>
      <c r="P407" s="2" t="str">
        <f t="array" ref="P407">IF(NOW()&gt;BA407,"",IF(AND((WEEKDAY($A407)+$B$2)&gt;1,((WEEKDAY($A407)+$T$2)&lt;7),(WEEKDAY($A407)&lt;&gt;1)),"work",(INDEX(Subject!$A:$I,MATCH(RANDBETWEEN(1,(MAX(Subject!$B:$B))),Subject!$B:$B,0),3))))</f>
        <v/>
      </c>
      <c r="Q407" s="2" t="str">
        <f t="array" ref="Q407">IF(NOW()&gt;BB407,"",IF(AND((WEEKDAY($A407)+$B$2)&gt;1,((WEEKDAY($A407)+$T$2)&lt;7),(WEEKDAY($A407)&lt;&gt;1)),"work",(INDEX(Subject!$A:$I,MATCH(RANDBETWEEN(1,(MAX(Subject!$B:$B))),Subject!$B:$B,0),3))))</f>
        <v/>
      </c>
      <c r="R407" s="2" t="str">
        <f t="array" ref="R407">IF(NOW()&gt;BC407,"",IF(AND((WEEKDAY($A407)+$B$2)&gt;1,((WEEKDAY($A407)+$T$2)&lt;7),(WEEKDAY($A407)&lt;&gt;1)),"work",(INDEX(Subject!$A:$I,MATCH(RANDBETWEEN(1,(MAX(Subject!$B:$B))),Subject!$B:$B,0),3))))</f>
        <v/>
      </c>
      <c r="S407" s="2" t="str">
        <f t="array" ref="S407">IF(NOW()&gt;BD407,"",IF(AND((WEEKDAY($A407)+$B$2)&gt;1,((WEEKDAY($A407)+$T$2)&lt;7),(WEEKDAY($A407)&lt;&gt;1)),"work",(INDEX(Subject!$A:$I,MATCH(RANDBETWEEN(1,(MAX(Subject!$B:$B))),Subject!$B:$B,0),3))))</f>
        <v/>
      </c>
      <c r="T407" s="2" t="str">
        <f t="array" ref="T407">IF(NOW()&gt;BE407,"",IF(AND((WEEKDAY($A407)+$B$2)&gt;1,((WEEKDAY($A407)+$T$2)&lt;7),(WEEKDAY($A407)&lt;&gt;1)),"work",(INDEX(Subject!$A:$I,MATCH(RANDBETWEEN(1,(MAX(Subject!$B:$B))),Subject!$B:$B,0),3))))</f>
        <v/>
      </c>
      <c r="U407" s="8" t="str">
        <f t="array" ref="U407">INDEX(Subject!$A:$I,MATCH(RANDBETWEEN(1,16),Subject!$B:$B,0),3)</f>
        <v>#N/A</v>
      </c>
      <c r="V407" s="8" t="str">
        <f t="array" ref="V407">INDEX(Subject!$A:$I,MATCH(RANDBETWEEN(1,16),Subject!$B:$B,0),3)</f>
        <v>#N/A</v>
      </c>
      <c r="W407" s="8" t="str">
        <f t="array" ref="W407">INDEX(Subject!$A:$I,MATCH(RANDBETWEEN(1,16),Subject!$B:$B,0),3)</f>
        <v>#N/A</v>
      </c>
      <c r="X407" s="8" t="str">
        <f t="array" ref="X407">INDEX(Subject!$A:$I,MATCH(RANDBETWEEN(1,16),Subject!$B:$B,0),3)</f>
        <v>#N/A</v>
      </c>
      <c r="Y407" s="8" t="str">
        <f t="array" ref="Y407">INDEX(Subject!$A:$I,MATCH(RANDBETWEEN(1,16),Subject!$B:$B,0),3)</f>
        <v>#N/A</v>
      </c>
      <c r="Z407" s="8" t="str">
        <f t="array" ref="Z407">INDEX(Subject!$A:$I,MATCH(RANDBETWEEN(1,16),Subject!$B:$B,0),3)</f>
        <v>#N/A</v>
      </c>
      <c r="AA407" s="8" t="str">
        <f t="array" ref="AA407">INDEX(Subject!$A:$I,MATCH(RANDBETWEEN(1,16),Subject!$B:$B,0),3)</f>
        <v>#N/A</v>
      </c>
      <c r="AB407" s="8" t="str">
        <f t="array" ref="AB407">INDEX(Subject!$A:$I,MATCH(RANDBETWEEN(1,16),Subject!$B:$B,0),3)</f>
        <v>#N/A</v>
      </c>
      <c r="AC407" s="8" t="str">
        <f t="array" ref="AC407">INDEX(Subject!$A:$I,MATCH(RANDBETWEEN(1,16),Subject!$B:$B,0),3)</f>
        <v>#N/A</v>
      </c>
      <c r="AD407" s="8" t="str">
        <f t="array" ref="AD407">INDEX(Subject!$A:$I,MATCH(RANDBETWEEN(1,16),Subject!$B:$B,0),3)</f>
        <v>#N/A</v>
      </c>
      <c r="AE407" s="8" t="str">
        <f t="array" ref="AE407">INDEX(Subject!$A:$I,MATCH(RANDBETWEEN(1,16),Subject!$B:$B,0),3)</f>
        <v>#N/A</v>
      </c>
      <c r="AF407" s="8" t="str">
        <f t="array" ref="AF407">INDEX(Subject!$A:$I,MATCH(RANDBETWEEN(1,16),Subject!$B:$B,0),3)</f>
        <v>#N/A</v>
      </c>
      <c r="AG407" s="8" t="str">
        <f t="array" ref="AG407">INDEX(Subject!$A:$I,MATCH(RANDBETWEEN(1,16),Subject!$B:$B,0),3)</f>
        <v>#N/A</v>
      </c>
      <c r="AH407" s="8" t="str">
        <f t="array" ref="AH407">INDEX(Subject!$A:$I,MATCH(RANDBETWEEN(1,16),Subject!$B:$B,0),3)</f>
        <v>#N/A</v>
      </c>
      <c r="AI407" s="8" t="str">
        <f t="array" ref="AI407">INDEX(Subject!$A:$I,MATCH(RANDBETWEEN(1,16),Subject!$B:$B,0),3)</f>
        <v/>
      </c>
      <c r="AJ407" s="8" t="str">
        <f t="array" ref="AJ407">INDEX(Subject!$A:$I,MATCH(RANDBETWEEN(1,16),Subject!$B:$B,0),3)</f>
        <v>#N/A</v>
      </c>
      <c r="AK407" s="8" t="str">
        <f t="array" ref="AK407">INDEX(Subject!$A:$I,MATCH(RANDBETWEEN(1,16),Subject!$B:$B,0),3)</f>
        <v>#N/A</v>
      </c>
      <c r="AL407" s="8" t="str">
        <f t="array" ref="AL407">INDEX(Subject!$A:$I,MATCH(RANDBETWEEN(1,16),Subject!$B:$B,0),3)</f>
        <v>#N/A</v>
      </c>
      <c r="AM407" s="18">
        <f t="shared" si="4"/>
        <v>45907.33333</v>
      </c>
      <c r="AN407" s="19">
        <f t="shared" ref="AN407:BZ407" si="407">$A407+C$1</f>
        <v>45907.35417</v>
      </c>
      <c r="AO407" s="19">
        <f t="shared" si="407"/>
        <v>45907.375</v>
      </c>
      <c r="AP407" s="19">
        <f t="shared" si="407"/>
        <v>45907.39583</v>
      </c>
      <c r="AQ407" s="19">
        <f t="shared" si="407"/>
        <v>45907.41667</v>
      </c>
      <c r="AR407" s="19">
        <f t="shared" si="407"/>
        <v>45907.4375</v>
      </c>
      <c r="AS407" s="19">
        <f t="shared" si="407"/>
        <v>45907.45833</v>
      </c>
      <c r="AT407" s="19">
        <f t="shared" si="407"/>
        <v>45907.47917</v>
      </c>
      <c r="AU407" s="19">
        <f t="shared" si="407"/>
        <v>45907.5</v>
      </c>
      <c r="AV407" s="19">
        <f t="shared" si="407"/>
        <v>45907.52083</v>
      </c>
      <c r="AW407" s="19">
        <f t="shared" si="407"/>
        <v>45907.54167</v>
      </c>
      <c r="AX407" s="19">
        <f t="shared" si="407"/>
        <v>45907.5625</v>
      </c>
      <c r="AY407" s="19">
        <f t="shared" si="407"/>
        <v>45907.58333</v>
      </c>
      <c r="AZ407" s="19">
        <f t="shared" si="407"/>
        <v>45907.60417</v>
      </c>
      <c r="BA407" s="19">
        <f t="shared" si="407"/>
        <v>45907.625</v>
      </c>
      <c r="BB407" s="19">
        <f t="shared" si="407"/>
        <v>45907.64583</v>
      </c>
      <c r="BC407" s="19">
        <f t="shared" si="407"/>
        <v>45907.66667</v>
      </c>
      <c r="BD407" s="19">
        <f t="shared" si="407"/>
        <v>45907.6875</v>
      </c>
      <c r="BE407" s="19">
        <f t="shared" si="407"/>
        <v>45907.70833</v>
      </c>
      <c r="BF407" s="19">
        <f t="shared" si="407"/>
        <v>45907.72917</v>
      </c>
      <c r="BG407" s="19">
        <f t="shared" si="407"/>
        <v>45907.75</v>
      </c>
      <c r="BH407" s="19">
        <f t="shared" si="407"/>
        <v>45907.77083</v>
      </c>
      <c r="BI407" s="19">
        <f t="shared" si="407"/>
        <v>45907.79167</v>
      </c>
      <c r="BJ407" s="19">
        <f t="shared" si="407"/>
        <v>45907.8125</v>
      </c>
      <c r="BK407" s="19">
        <f t="shared" si="407"/>
        <v>45907.83333</v>
      </c>
      <c r="BL407" s="19">
        <f t="shared" si="407"/>
        <v>45907.85417</v>
      </c>
      <c r="BM407" s="19">
        <f t="shared" si="407"/>
        <v>45907.875</v>
      </c>
      <c r="BN407" s="19">
        <f t="shared" si="407"/>
        <v>45907.89583</v>
      </c>
      <c r="BO407" s="19">
        <f t="shared" si="407"/>
        <v>45907.91667</v>
      </c>
      <c r="BP407" s="19">
        <f t="shared" si="407"/>
        <v>45907.9375</v>
      </c>
      <c r="BQ407" s="19">
        <f t="shared" si="407"/>
        <v>45907.95833</v>
      </c>
      <c r="BR407" s="19">
        <f t="shared" si="407"/>
        <v>45907.97917</v>
      </c>
      <c r="BS407" s="19">
        <f t="shared" si="407"/>
        <v>45908</v>
      </c>
      <c r="BT407" s="19">
        <f t="shared" si="407"/>
        <v>45908.02083</v>
      </c>
      <c r="BU407" s="19">
        <f t="shared" si="407"/>
        <v>45908.04167</v>
      </c>
      <c r="BV407" s="19">
        <f t="shared" si="407"/>
        <v>45908.0625</v>
      </c>
      <c r="BW407" s="19">
        <f t="shared" si="407"/>
        <v>45908.08333</v>
      </c>
      <c r="BX407" s="19">
        <f t="shared" si="407"/>
        <v>45907</v>
      </c>
      <c r="BY407" s="19">
        <f t="shared" si="407"/>
        <v>45907</v>
      </c>
      <c r="BZ407" s="19">
        <f t="shared" si="407"/>
        <v>45907</v>
      </c>
    </row>
    <row r="408" ht="14.25" customHeight="1">
      <c r="A408" s="17">
        <v>45908.0</v>
      </c>
      <c r="B408" s="2" t="str">
        <f t="array" ref="B408">IF(NOW()&gt;AM408,"",IF(AND((WEEKDAY($A408)+$B$2)&gt;1,((WEEKDAY($A408)+$T$2)&lt;7),(WEEKDAY($A408)&lt;&gt;1)),"work",(INDEX(Subject!$A:$I,MATCH(RANDBETWEEN(1,(MAX(Subject!$B:$B))),Subject!$B:$B,0),3))))</f>
        <v/>
      </c>
      <c r="C408" s="2" t="str">
        <f t="array" ref="C408">IF(NOW()&gt;AN408,"",IF(AND((WEEKDAY($A408)+$B$2)&gt;1,((WEEKDAY($A408)+$T$2)&lt;7),(WEEKDAY($A408)&lt;&gt;1)),"work",(INDEX(Subject!$A:$I,MATCH(RANDBETWEEN(1,(MAX(Subject!$B:$B))),Subject!$B:$B,0),3))))</f>
        <v/>
      </c>
      <c r="D408" s="2" t="str">
        <f t="array" ref="D408">IF(NOW()&gt;AO408,"",IF(AND((WEEKDAY($A408)+$B$2)&gt;1,((WEEKDAY($A408)+$T$2)&lt;7),(WEEKDAY($A408)&lt;&gt;1)),"work",(INDEX(Subject!$A:$I,MATCH(RANDBETWEEN(1,(MAX(Subject!$B:$B))),Subject!$B:$B,0),3))))</f>
        <v/>
      </c>
      <c r="E408" s="2" t="str">
        <f t="array" ref="E408">IF(NOW()&gt;AP408,"",IF(AND((WEEKDAY($A408)+$B$2)&gt;1,((WEEKDAY($A408)+$T$2)&lt;7),(WEEKDAY($A408)&lt;&gt;1)),"work",(INDEX(Subject!$A:$I,MATCH(RANDBETWEEN(1,(MAX(Subject!$B:$B))),Subject!$B:$B,0),3))))</f>
        <v/>
      </c>
      <c r="F408" s="2" t="str">
        <f t="array" ref="F408">IF(NOW()&gt;AQ408,"",IF(AND((WEEKDAY($A408)+$B$2)&gt;1,((WEEKDAY($A408)+$T$2)&lt;7),(WEEKDAY($A408)&lt;&gt;1)),"work",(INDEX(Subject!$A:$I,MATCH(RANDBETWEEN(1,(MAX(Subject!$B:$B))),Subject!$B:$B,0),3))))</f>
        <v/>
      </c>
      <c r="G408" s="2" t="str">
        <f t="array" ref="G408">IF(NOW()&gt;AR408,"",IF(AND((WEEKDAY($A408)+$B$2)&gt;1,((WEEKDAY($A408)+$T$2)&lt;7),(WEEKDAY($A408)&lt;&gt;1)),"work",(INDEX(Subject!$A:$I,MATCH(RANDBETWEEN(1,(MAX(Subject!$B:$B))),Subject!$B:$B,0),3))))</f>
        <v/>
      </c>
      <c r="H408" s="2" t="str">
        <f t="array" ref="H408">IF(NOW()&gt;AS408,"",IF(AND((WEEKDAY($A408)+$B$2)&gt;1,((WEEKDAY($A408)+$T$2)&lt;7),(WEEKDAY($A408)&lt;&gt;1)),"work",(INDEX(Subject!$A:$I,MATCH(RANDBETWEEN(1,(MAX(Subject!$B:$B))),Subject!$B:$B,0),3))))</f>
        <v/>
      </c>
      <c r="I408" s="2" t="str">
        <f t="array" ref="I408">IF(NOW()&gt;AT408,"",IF(AND((WEEKDAY($A408)+$B$2)&gt;1,((WEEKDAY($A408)+$T$2)&lt;7),(WEEKDAY($A408)&lt;&gt;1)),"work",(INDEX(Subject!$A:$I,MATCH(RANDBETWEEN(1,(MAX(Subject!$B:$B))),Subject!$B:$B,0),3))))</f>
        <v/>
      </c>
      <c r="J408" s="2" t="str">
        <f t="array" ref="J408">IF(NOW()&gt;AU408,"",IF(AND((WEEKDAY($A408)+$B$2)&gt;1,((WEEKDAY($A408)+$T$2)&lt;7),(WEEKDAY($A408)&lt;&gt;1)),"work",(INDEX(Subject!$A:$I,MATCH(RANDBETWEEN(1,(MAX(Subject!$B:$B))),Subject!$B:$B,0),3))))</f>
        <v/>
      </c>
      <c r="K408" s="2" t="str">
        <f t="array" ref="K408">IF(NOW()&gt;AV408,"",IF(AND((WEEKDAY($A408)+$B$2)&gt;1,((WEEKDAY($A408)+$T$2)&lt;7),(WEEKDAY($A408)&lt;&gt;1)),"work",(INDEX(Subject!$A:$I,MATCH(RANDBETWEEN(1,(MAX(Subject!$B:$B))),Subject!$B:$B,0),3))))</f>
        <v/>
      </c>
      <c r="L408" s="2" t="str">
        <f t="array" ref="L408">IF(NOW()&gt;AW408,"",IF(AND((WEEKDAY($A408)+$B$2)&gt;1,((WEEKDAY($A408)+$T$2)&lt;7),(WEEKDAY($A408)&lt;&gt;1)),"work",(INDEX(Subject!$A:$I,MATCH(RANDBETWEEN(1,(MAX(Subject!$B:$B))),Subject!$B:$B,0),3))))</f>
        <v/>
      </c>
      <c r="M408" s="2" t="str">
        <f t="array" ref="M408">IF(NOW()&gt;AX408,"",IF(AND((WEEKDAY($A408)+$B$2)&gt;1,((WEEKDAY($A408)+$T$2)&lt;7),(WEEKDAY($A408)&lt;&gt;1)),"work",(INDEX(Subject!$A:$I,MATCH(RANDBETWEEN(1,(MAX(Subject!$B:$B))),Subject!$B:$B,0),3))))</f>
        <v/>
      </c>
      <c r="N408" s="2" t="str">
        <f t="array" ref="N408">IF(NOW()&gt;AY408,"",IF(AND((WEEKDAY($A408)+$B$2)&gt;1,((WEEKDAY($A408)+$T$2)&lt;7),(WEEKDAY($A408)&lt;&gt;1)),"work",(INDEX(Subject!$A:$I,MATCH(RANDBETWEEN(1,(MAX(Subject!$B:$B))),Subject!$B:$B,0),3))))</f>
        <v/>
      </c>
      <c r="O408" s="2" t="str">
        <f t="array" ref="O408">IF(NOW()&gt;AZ408,"",IF(AND((WEEKDAY($A408)+$B$2)&gt;1,((WEEKDAY($A408)+$T$2)&lt;7),(WEEKDAY($A408)&lt;&gt;1)),"work",(INDEX(Subject!$A:$I,MATCH(RANDBETWEEN(1,(MAX(Subject!$B:$B))),Subject!$B:$B,0),3))))</f>
        <v/>
      </c>
      <c r="P408" s="2" t="str">
        <f t="array" ref="P408">IF(NOW()&gt;BA408,"",IF(AND((WEEKDAY($A408)+$B$2)&gt;1,((WEEKDAY($A408)+$T$2)&lt;7),(WEEKDAY($A408)&lt;&gt;1)),"work",(INDEX(Subject!$A:$I,MATCH(RANDBETWEEN(1,(MAX(Subject!$B:$B))),Subject!$B:$B,0),3))))</f>
        <v/>
      </c>
      <c r="Q408" s="2" t="str">
        <f t="array" ref="Q408">IF(NOW()&gt;BB408,"",IF(AND((WEEKDAY($A408)+$B$2)&gt;1,((WEEKDAY($A408)+$T$2)&lt;7),(WEEKDAY($A408)&lt;&gt;1)),"work",(INDEX(Subject!$A:$I,MATCH(RANDBETWEEN(1,(MAX(Subject!$B:$B))),Subject!$B:$B,0),3))))</f>
        <v/>
      </c>
      <c r="R408" s="2" t="str">
        <f t="array" ref="R408">IF(NOW()&gt;BC408,"",IF(AND((WEEKDAY($A408)+$B$2)&gt;1,((WEEKDAY($A408)+$T$2)&lt;7),(WEEKDAY($A408)&lt;&gt;1)),"work",(INDEX(Subject!$A:$I,MATCH(RANDBETWEEN(1,(MAX(Subject!$B:$B))),Subject!$B:$B,0),3))))</f>
        <v/>
      </c>
      <c r="S408" s="2" t="str">
        <f t="array" ref="S408">IF(NOW()&gt;BD408,"",IF(AND((WEEKDAY($A408)+$B$2)&gt;1,((WEEKDAY($A408)+$T$2)&lt;7),(WEEKDAY($A408)&lt;&gt;1)),"work",(INDEX(Subject!$A:$I,MATCH(RANDBETWEEN(1,(MAX(Subject!$B:$B))),Subject!$B:$B,0),3))))</f>
        <v/>
      </c>
      <c r="T408" s="2" t="str">
        <f t="array" ref="T408">IF(NOW()&gt;BE408,"",IF(AND((WEEKDAY($A408)+$B$2)&gt;1,((WEEKDAY($A408)+$T$2)&lt;7),(WEEKDAY($A408)&lt;&gt;1)),"work",(INDEX(Subject!$A:$I,MATCH(RANDBETWEEN(1,(MAX(Subject!$B:$B))),Subject!$B:$B,0),3))))</f>
        <v/>
      </c>
      <c r="U408" s="8" t="str">
        <f t="array" ref="U408">INDEX(Subject!$A:$I,MATCH(RANDBETWEEN(1,16),Subject!$B:$B,0),3)</f>
        <v>#N/A</v>
      </c>
      <c r="V408" s="8" t="str">
        <f t="array" ref="V408">INDEX(Subject!$A:$I,MATCH(RANDBETWEEN(1,16),Subject!$B:$B,0),3)</f>
        <v>#N/A</v>
      </c>
      <c r="W408" s="8" t="str">
        <f t="array" ref="W408">INDEX(Subject!$A:$I,MATCH(RANDBETWEEN(1,16),Subject!$B:$B,0),3)</f>
        <v>#N/A</v>
      </c>
      <c r="X408" s="8" t="str">
        <f t="array" ref="X408">INDEX(Subject!$A:$I,MATCH(RANDBETWEEN(1,16),Subject!$B:$B,0),3)</f>
        <v>#N/A</v>
      </c>
      <c r="Y408" s="8" t="str">
        <f t="array" ref="Y408">INDEX(Subject!$A:$I,MATCH(RANDBETWEEN(1,16),Subject!$B:$B,0),3)</f>
        <v>#N/A</v>
      </c>
      <c r="Z408" s="8" t="str">
        <f t="array" ref="Z408">INDEX(Subject!$A:$I,MATCH(RANDBETWEEN(1,16),Subject!$B:$B,0),3)</f>
        <v>#N/A</v>
      </c>
      <c r="AA408" s="8" t="str">
        <f t="array" ref="AA408">INDEX(Subject!$A:$I,MATCH(RANDBETWEEN(1,16),Subject!$B:$B,0),3)</f>
        <v>#N/A</v>
      </c>
      <c r="AB408" s="8" t="str">
        <f t="array" ref="AB408">INDEX(Subject!$A:$I,MATCH(RANDBETWEEN(1,16),Subject!$B:$B,0),3)</f>
        <v>#N/A</v>
      </c>
      <c r="AC408" s="8" t="str">
        <f t="array" ref="AC408">INDEX(Subject!$A:$I,MATCH(RANDBETWEEN(1,16),Subject!$B:$B,0),3)</f>
        <v>#N/A</v>
      </c>
      <c r="AD408" s="8" t="str">
        <f t="array" ref="AD408">INDEX(Subject!$A:$I,MATCH(RANDBETWEEN(1,16),Subject!$B:$B,0),3)</f>
        <v>#N/A</v>
      </c>
      <c r="AE408" s="8" t="str">
        <f t="array" ref="AE408">INDEX(Subject!$A:$I,MATCH(RANDBETWEEN(1,16),Subject!$B:$B,0),3)</f>
        <v>#N/A</v>
      </c>
      <c r="AF408" s="8" t="str">
        <f t="array" ref="AF408">INDEX(Subject!$A:$I,MATCH(RANDBETWEEN(1,16),Subject!$B:$B,0),3)</f>
        <v>#N/A</v>
      </c>
      <c r="AG408" s="8" t="str">
        <f t="array" ref="AG408">INDEX(Subject!$A:$I,MATCH(RANDBETWEEN(1,16),Subject!$B:$B,0),3)</f>
        <v>#N/A</v>
      </c>
      <c r="AH408" s="8" t="str">
        <f t="array" ref="AH408">INDEX(Subject!$A:$I,MATCH(RANDBETWEEN(1,16),Subject!$B:$B,0),3)</f>
        <v>#N/A</v>
      </c>
      <c r="AI408" s="8" t="str">
        <f t="array" ref="AI408">INDEX(Subject!$A:$I,MATCH(RANDBETWEEN(1,16),Subject!$B:$B,0),3)</f>
        <v>#N/A</v>
      </c>
      <c r="AJ408" s="8" t="str">
        <f t="array" ref="AJ408">INDEX(Subject!$A:$I,MATCH(RANDBETWEEN(1,16),Subject!$B:$B,0),3)</f>
        <v>#N/A</v>
      </c>
      <c r="AK408" s="8" t="str">
        <f t="array" ref="AK408">INDEX(Subject!$A:$I,MATCH(RANDBETWEEN(1,16),Subject!$B:$B,0),3)</f>
        <v>#N/A</v>
      </c>
      <c r="AL408" s="8" t="str">
        <f t="array" ref="AL408">INDEX(Subject!$A:$I,MATCH(RANDBETWEEN(1,16),Subject!$B:$B,0),3)</f>
        <v>#N/A</v>
      </c>
      <c r="AM408" s="18">
        <f t="shared" si="4"/>
        <v>45908.33333</v>
      </c>
      <c r="AN408" s="19">
        <f t="shared" ref="AN408:BZ408" si="408">$A408+C$1</f>
        <v>45908.35417</v>
      </c>
      <c r="AO408" s="19">
        <f t="shared" si="408"/>
        <v>45908.375</v>
      </c>
      <c r="AP408" s="19">
        <f t="shared" si="408"/>
        <v>45908.39583</v>
      </c>
      <c r="AQ408" s="19">
        <f t="shared" si="408"/>
        <v>45908.41667</v>
      </c>
      <c r="AR408" s="19">
        <f t="shared" si="408"/>
        <v>45908.4375</v>
      </c>
      <c r="AS408" s="19">
        <f t="shared" si="408"/>
        <v>45908.45833</v>
      </c>
      <c r="AT408" s="19">
        <f t="shared" si="408"/>
        <v>45908.47917</v>
      </c>
      <c r="AU408" s="19">
        <f t="shared" si="408"/>
        <v>45908.5</v>
      </c>
      <c r="AV408" s="19">
        <f t="shared" si="408"/>
        <v>45908.52083</v>
      </c>
      <c r="AW408" s="19">
        <f t="shared" si="408"/>
        <v>45908.54167</v>
      </c>
      <c r="AX408" s="19">
        <f t="shared" si="408"/>
        <v>45908.5625</v>
      </c>
      <c r="AY408" s="19">
        <f t="shared" si="408"/>
        <v>45908.58333</v>
      </c>
      <c r="AZ408" s="19">
        <f t="shared" si="408"/>
        <v>45908.60417</v>
      </c>
      <c r="BA408" s="19">
        <f t="shared" si="408"/>
        <v>45908.625</v>
      </c>
      <c r="BB408" s="19">
        <f t="shared" si="408"/>
        <v>45908.64583</v>
      </c>
      <c r="BC408" s="19">
        <f t="shared" si="408"/>
        <v>45908.66667</v>
      </c>
      <c r="BD408" s="19">
        <f t="shared" si="408"/>
        <v>45908.6875</v>
      </c>
      <c r="BE408" s="19">
        <f t="shared" si="408"/>
        <v>45908.70833</v>
      </c>
      <c r="BF408" s="19">
        <f t="shared" si="408"/>
        <v>45908.72917</v>
      </c>
      <c r="BG408" s="19">
        <f t="shared" si="408"/>
        <v>45908.75</v>
      </c>
      <c r="BH408" s="19">
        <f t="shared" si="408"/>
        <v>45908.77083</v>
      </c>
      <c r="BI408" s="19">
        <f t="shared" si="408"/>
        <v>45908.79167</v>
      </c>
      <c r="BJ408" s="19">
        <f t="shared" si="408"/>
        <v>45908.8125</v>
      </c>
      <c r="BK408" s="19">
        <f t="shared" si="408"/>
        <v>45908.83333</v>
      </c>
      <c r="BL408" s="19">
        <f t="shared" si="408"/>
        <v>45908.85417</v>
      </c>
      <c r="BM408" s="19">
        <f t="shared" si="408"/>
        <v>45908.875</v>
      </c>
      <c r="BN408" s="19">
        <f t="shared" si="408"/>
        <v>45908.89583</v>
      </c>
      <c r="BO408" s="19">
        <f t="shared" si="408"/>
        <v>45908.91667</v>
      </c>
      <c r="BP408" s="19">
        <f t="shared" si="408"/>
        <v>45908.9375</v>
      </c>
      <c r="BQ408" s="19">
        <f t="shared" si="408"/>
        <v>45908.95833</v>
      </c>
      <c r="BR408" s="19">
        <f t="shared" si="408"/>
        <v>45908.97917</v>
      </c>
      <c r="BS408" s="19">
        <f t="shared" si="408"/>
        <v>45909</v>
      </c>
      <c r="BT408" s="19">
        <f t="shared" si="408"/>
        <v>45909.02083</v>
      </c>
      <c r="BU408" s="19">
        <f t="shared" si="408"/>
        <v>45909.04167</v>
      </c>
      <c r="BV408" s="19">
        <f t="shared" si="408"/>
        <v>45909.0625</v>
      </c>
      <c r="BW408" s="19">
        <f t="shared" si="408"/>
        <v>45909.08333</v>
      </c>
      <c r="BX408" s="19">
        <f t="shared" si="408"/>
        <v>45908</v>
      </c>
      <c r="BY408" s="19">
        <f t="shared" si="408"/>
        <v>45908</v>
      </c>
      <c r="BZ408" s="19">
        <f t="shared" si="408"/>
        <v>45908</v>
      </c>
    </row>
    <row r="409" ht="14.25" customHeight="1">
      <c r="A409" s="17">
        <v>45909.0</v>
      </c>
      <c r="B409" s="2" t="str">
        <f t="array" ref="B409">IF(NOW()&gt;AM409,"",IF(AND((WEEKDAY($A409)+$B$2)&gt;1,((WEEKDAY($A409)+$T$2)&lt;7),(WEEKDAY($A409)&lt;&gt;1)),"work",(INDEX(Subject!$A:$I,MATCH(RANDBETWEEN(1,(MAX(Subject!$B:$B))),Subject!$B:$B,0),3))))</f>
        <v/>
      </c>
      <c r="C409" s="2" t="str">
        <f t="array" ref="C409">IF(NOW()&gt;AN409,"",IF(AND((WEEKDAY($A409)+$B$2)&gt;1,((WEEKDAY($A409)+$T$2)&lt;7),(WEEKDAY($A409)&lt;&gt;1)),"work",(INDEX(Subject!$A:$I,MATCH(RANDBETWEEN(1,(MAX(Subject!$B:$B))),Subject!$B:$B,0),3))))</f>
        <v/>
      </c>
      <c r="D409" s="2" t="str">
        <f t="array" ref="D409">IF(NOW()&gt;AO409,"",IF(AND((WEEKDAY($A409)+$B$2)&gt;1,((WEEKDAY($A409)+$T$2)&lt;7),(WEEKDAY($A409)&lt;&gt;1)),"work",(INDEX(Subject!$A:$I,MATCH(RANDBETWEEN(1,(MAX(Subject!$B:$B))),Subject!$B:$B,0),3))))</f>
        <v/>
      </c>
      <c r="E409" s="2" t="str">
        <f t="array" ref="E409">IF(NOW()&gt;AP409,"",IF(AND((WEEKDAY($A409)+$B$2)&gt;1,((WEEKDAY($A409)+$T$2)&lt;7),(WEEKDAY($A409)&lt;&gt;1)),"work",(INDEX(Subject!$A:$I,MATCH(RANDBETWEEN(1,(MAX(Subject!$B:$B))),Subject!$B:$B,0),3))))</f>
        <v/>
      </c>
      <c r="F409" s="2" t="str">
        <f t="array" ref="F409">IF(NOW()&gt;AQ409,"",IF(AND((WEEKDAY($A409)+$B$2)&gt;1,((WEEKDAY($A409)+$T$2)&lt;7),(WEEKDAY($A409)&lt;&gt;1)),"work",(INDEX(Subject!$A:$I,MATCH(RANDBETWEEN(1,(MAX(Subject!$B:$B))),Subject!$B:$B,0),3))))</f>
        <v/>
      </c>
      <c r="G409" s="2" t="str">
        <f t="array" ref="G409">IF(NOW()&gt;AR409,"",IF(AND((WEEKDAY($A409)+$B$2)&gt;1,((WEEKDAY($A409)+$T$2)&lt;7),(WEEKDAY($A409)&lt;&gt;1)),"work",(INDEX(Subject!$A:$I,MATCH(RANDBETWEEN(1,(MAX(Subject!$B:$B))),Subject!$B:$B,0),3))))</f>
        <v/>
      </c>
      <c r="H409" s="2" t="str">
        <f t="array" ref="H409">IF(NOW()&gt;AS409,"",IF(AND((WEEKDAY($A409)+$B$2)&gt;1,((WEEKDAY($A409)+$T$2)&lt;7),(WEEKDAY($A409)&lt;&gt;1)),"work",(INDEX(Subject!$A:$I,MATCH(RANDBETWEEN(1,(MAX(Subject!$B:$B))),Subject!$B:$B,0),3))))</f>
        <v/>
      </c>
      <c r="I409" s="2" t="str">
        <f t="array" ref="I409">IF(NOW()&gt;AT409,"",IF(AND((WEEKDAY($A409)+$B$2)&gt;1,((WEEKDAY($A409)+$T$2)&lt;7),(WEEKDAY($A409)&lt;&gt;1)),"work",(INDEX(Subject!$A:$I,MATCH(RANDBETWEEN(1,(MAX(Subject!$B:$B))),Subject!$B:$B,0),3))))</f>
        <v/>
      </c>
      <c r="J409" s="2" t="str">
        <f t="array" ref="J409">IF(NOW()&gt;AU409,"",IF(AND((WEEKDAY($A409)+$B$2)&gt;1,((WEEKDAY($A409)+$T$2)&lt;7),(WEEKDAY($A409)&lt;&gt;1)),"work",(INDEX(Subject!$A:$I,MATCH(RANDBETWEEN(1,(MAX(Subject!$B:$B))),Subject!$B:$B,0),3))))</f>
        <v/>
      </c>
      <c r="K409" s="2" t="str">
        <f t="array" ref="K409">IF(NOW()&gt;AV409,"",IF(AND((WEEKDAY($A409)+$B$2)&gt;1,((WEEKDAY($A409)+$T$2)&lt;7),(WEEKDAY($A409)&lt;&gt;1)),"work",(INDEX(Subject!$A:$I,MATCH(RANDBETWEEN(1,(MAX(Subject!$B:$B))),Subject!$B:$B,0),3))))</f>
        <v/>
      </c>
      <c r="L409" s="2" t="str">
        <f t="array" ref="L409">IF(NOW()&gt;AW409,"",IF(AND((WEEKDAY($A409)+$B$2)&gt;1,((WEEKDAY($A409)+$T$2)&lt;7),(WEEKDAY($A409)&lt;&gt;1)),"work",(INDEX(Subject!$A:$I,MATCH(RANDBETWEEN(1,(MAX(Subject!$B:$B))),Subject!$B:$B,0),3))))</f>
        <v/>
      </c>
      <c r="M409" s="2" t="str">
        <f t="array" ref="M409">IF(NOW()&gt;AX409,"",IF(AND((WEEKDAY($A409)+$B$2)&gt;1,((WEEKDAY($A409)+$T$2)&lt;7),(WEEKDAY($A409)&lt;&gt;1)),"work",(INDEX(Subject!$A:$I,MATCH(RANDBETWEEN(1,(MAX(Subject!$B:$B))),Subject!$B:$B,0),3))))</f>
        <v/>
      </c>
      <c r="N409" s="2" t="str">
        <f t="array" ref="N409">IF(NOW()&gt;AY409,"",IF(AND((WEEKDAY($A409)+$B$2)&gt;1,((WEEKDAY($A409)+$T$2)&lt;7),(WEEKDAY($A409)&lt;&gt;1)),"work",(INDEX(Subject!$A:$I,MATCH(RANDBETWEEN(1,(MAX(Subject!$B:$B))),Subject!$B:$B,0),3))))</f>
        <v/>
      </c>
      <c r="O409" s="2" t="str">
        <f t="array" ref="O409">IF(NOW()&gt;AZ409,"",IF(AND((WEEKDAY($A409)+$B$2)&gt;1,((WEEKDAY($A409)+$T$2)&lt;7),(WEEKDAY($A409)&lt;&gt;1)),"work",(INDEX(Subject!$A:$I,MATCH(RANDBETWEEN(1,(MAX(Subject!$B:$B))),Subject!$B:$B,0),3))))</f>
        <v/>
      </c>
      <c r="P409" s="2" t="str">
        <f t="array" ref="P409">IF(NOW()&gt;BA409,"",IF(AND((WEEKDAY($A409)+$B$2)&gt;1,((WEEKDAY($A409)+$T$2)&lt;7),(WEEKDAY($A409)&lt;&gt;1)),"work",(INDEX(Subject!$A:$I,MATCH(RANDBETWEEN(1,(MAX(Subject!$B:$B))),Subject!$B:$B,0),3))))</f>
        <v/>
      </c>
      <c r="Q409" s="2" t="str">
        <f t="array" ref="Q409">IF(NOW()&gt;BB409,"",IF(AND((WEEKDAY($A409)+$B$2)&gt;1,((WEEKDAY($A409)+$T$2)&lt;7),(WEEKDAY($A409)&lt;&gt;1)),"work",(INDEX(Subject!$A:$I,MATCH(RANDBETWEEN(1,(MAX(Subject!$B:$B))),Subject!$B:$B,0),3))))</f>
        <v/>
      </c>
      <c r="R409" s="2" t="str">
        <f t="array" ref="R409">IF(NOW()&gt;BC409,"",IF(AND((WEEKDAY($A409)+$B$2)&gt;1,((WEEKDAY($A409)+$T$2)&lt;7),(WEEKDAY($A409)&lt;&gt;1)),"work",(INDEX(Subject!$A:$I,MATCH(RANDBETWEEN(1,(MAX(Subject!$B:$B))),Subject!$B:$B,0),3))))</f>
        <v/>
      </c>
      <c r="S409" s="2" t="str">
        <f t="array" ref="S409">IF(NOW()&gt;BD409,"",IF(AND((WEEKDAY($A409)+$B$2)&gt;1,((WEEKDAY($A409)+$T$2)&lt;7),(WEEKDAY($A409)&lt;&gt;1)),"work",(INDEX(Subject!$A:$I,MATCH(RANDBETWEEN(1,(MAX(Subject!$B:$B))),Subject!$B:$B,0),3))))</f>
        <v/>
      </c>
      <c r="T409" s="2" t="str">
        <f t="array" ref="T409">IF(NOW()&gt;BE409,"",IF(AND((WEEKDAY($A409)+$B$2)&gt;1,((WEEKDAY($A409)+$T$2)&lt;7),(WEEKDAY($A409)&lt;&gt;1)),"work",(INDEX(Subject!$A:$I,MATCH(RANDBETWEEN(1,(MAX(Subject!$B:$B))),Subject!$B:$B,0),3))))</f>
        <v/>
      </c>
      <c r="U409" s="8" t="str">
        <f t="array" ref="U409">INDEX(Subject!$A:$I,MATCH(RANDBETWEEN(1,16),Subject!$B:$B,0),3)</f>
        <v>#N/A</v>
      </c>
      <c r="V409" s="8" t="str">
        <f t="array" ref="V409">INDEX(Subject!$A:$I,MATCH(RANDBETWEEN(1,16),Subject!$B:$B,0),3)</f>
        <v>#N/A</v>
      </c>
      <c r="W409" s="8" t="str">
        <f t="array" ref="W409">INDEX(Subject!$A:$I,MATCH(RANDBETWEEN(1,16),Subject!$B:$B,0),3)</f>
        <v>#N/A</v>
      </c>
      <c r="X409" s="8" t="str">
        <f t="array" ref="X409">INDEX(Subject!$A:$I,MATCH(RANDBETWEEN(1,16),Subject!$B:$B,0),3)</f>
        <v>#N/A</v>
      </c>
      <c r="Y409" s="8" t="str">
        <f t="array" ref="Y409">INDEX(Subject!$A:$I,MATCH(RANDBETWEEN(1,16),Subject!$B:$B,0),3)</f>
        <v/>
      </c>
      <c r="Z409" s="8" t="str">
        <f t="array" ref="Z409">INDEX(Subject!$A:$I,MATCH(RANDBETWEEN(1,16),Subject!$B:$B,0),3)</f>
        <v>#N/A</v>
      </c>
      <c r="AA409" s="8" t="str">
        <f t="array" ref="AA409">INDEX(Subject!$A:$I,MATCH(RANDBETWEEN(1,16),Subject!$B:$B,0),3)</f>
        <v>#N/A</v>
      </c>
      <c r="AB409" s="8" t="str">
        <f t="array" ref="AB409">INDEX(Subject!$A:$I,MATCH(RANDBETWEEN(1,16),Subject!$B:$B,0),3)</f>
        <v>#N/A</v>
      </c>
      <c r="AC409" s="8" t="str">
        <f t="array" ref="AC409">INDEX(Subject!$A:$I,MATCH(RANDBETWEEN(1,16),Subject!$B:$B,0),3)</f>
        <v>#N/A</v>
      </c>
      <c r="AD409" s="8" t="str">
        <f t="array" ref="AD409">INDEX(Subject!$A:$I,MATCH(RANDBETWEEN(1,16),Subject!$B:$B,0),3)</f>
        <v>#N/A</v>
      </c>
      <c r="AE409" s="8" t="str">
        <f t="array" ref="AE409">INDEX(Subject!$A:$I,MATCH(RANDBETWEEN(1,16),Subject!$B:$B,0),3)</f>
        <v>#N/A</v>
      </c>
      <c r="AF409" s="8" t="str">
        <f t="array" ref="AF409">INDEX(Subject!$A:$I,MATCH(RANDBETWEEN(1,16),Subject!$B:$B,0),3)</f>
        <v>#N/A</v>
      </c>
      <c r="AG409" s="8" t="str">
        <f t="array" ref="AG409">INDEX(Subject!$A:$I,MATCH(RANDBETWEEN(1,16),Subject!$B:$B,0),3)</f>
        <v>#N/A</v>
      </c>
      <c r="AH409" s="8" t="str">
        <f t="array" ref="AH409">INDEX(Subject!$A:$I,MATCH(RANDBETWEEN(1,16),Subject!$B:$B,0),3)</f>
        <v>#N/A</v>
      </c>
      <c r="AI409" s="8" t="str">
        <f t="array" ref="AI409">INDEX(Subject!$A:$I,MATCH(RANDBETWEEN(1,16),Subject!$B:$B,0),3)</f>
        <v>#N/A</v>
      </c>
      <c r="AJ409" s="8" t="str">
        <f t="array" ref="AJ409">INDEX(Subject!$A:$I,MATCH(RANDBETWEEN(1,16),Subject!$B:$B,0),3)</f>
        <v>#N/A</v>
      </c>
      <c r="AK409" s="8" t="str">
        <f t="array" ref="AK409">INDEX(Subject!$A:$I,MATCH(RANDBETWEEN(1,16),Subject!$B:$B,0),3)</f>
        <v>#N/A</v>
      </c>
      <c r="AL409" s="8" t="str">
        <f t="array" ref="AL409">INDEX(Subject!$A:$I,MATCH(RANDBETWEEN(1,16),Subject!$B:$B,0),3)</f>
        <v>#N/A</v>
      </c>
      <c r="AM409" s="18">
        <f t="shared" si="4"/>
        <v>45909.33333</v>
      </c>
      <c r="AN409" s="19">
        <f t="shared" ref="AN409:BZ409" si="409">$A409+C$1</f>
        <v>45909.35417</v>
      </c>
      <c r="AO409" s="19">
        <f t="shared" si="409"/>
        <v>45909.375</v>
      </c>
      <c r="AP409" s="19">
        <f t="shared" si="409"/>
        <v>45909.39583</v>
      </c>
      <c r="AQ409" s="19">
        <f t="shared" si="409"/>
        <v>45909.41667</v>
      </c>
      <c r="AR409" s="19">
        <f t="shared" si="409"/>
        <v>45909.4375</v>
      </c>
      <c r="AS409" s="19">
        <f t="shared" si="409"/>
        <v>45909.45833</v>
      </c>
      <c r="AT409" s="19">
        <f t="shared" si="409"/>
        <v>45909.47917</v>
      </c>
      <c r="AU409" s="19">
        <f t="shared" si="409"/>
        <v>45909.5</v>
      </c>
      <c r="AV409" s="19">
        <f t="shared" si="409"/>
        <v>45909.52083</v>
      </c>
      <c r="AW409" s="19">
        <f t="shared" si="409"/>
        <v>45909.54167</v>
      </c>
      <c r="AX409" s="19">
        <f t="shared" si="409"/>
        <v>45909.5625</v>
      </c>
      <c r="AY409" s="19">
        <f t="shared" si="409"/>
        <v>45909.58333</v>
      </c>
      <c r="AZ409" s="19">
        <f t="shared" si="409"/>
        <v>45909.60417</v>
      </c>
      <c r="BA409" s="19">
        <f t="shared" si="409"/>
        <v>45909.625</v>
      </c>
      <c r="BB409" s="19">
        <f t="shared" si="409"/>
        <v>45909.64583</v>
      </c>
      <c r="BC409" s="19">
        <f t="shared" si="409"/>
        <v>45909.66667</v>
      </c>
      <c r="BD409" s="19">
        <f t="shared" si="409"/>
        <v>45909.6875</v>
      </c>
      <c r="BE409" s="19">
        <f t="shared" si="409"/>
        <v>45909.70833</v>
      </c>
      <c r="BF409" s="19">
        <f t="shared" si="409"/>
        <v>45909.72917</v>
      </c>
      <c r="BG409" s="19">
        <f t="shared" si="409"/>
        <v>45909.75</v>
      </c>
      <c r="BH409" s="19">
        <f t="shared" si="409"/>
        <v>45909.77083</v>
      </c>
      <c r="BI409" s="19">
        <f t="shared" si="409"/>
        <v>45909.79167</v>
      </c>
      <c r="BJ409" s="19">
        <f t="shared" si="409"/>
        <v>45909.8125</v>
      </c>
      <c r="BK409" s="19">
        <f t="shared" si="409"/>
        <v>45909.83333</v>
      </c>
      <c r="BL409" s="19">
        <f t="shared" si="409"/>
        <v>45909.85417</v>
      </c>
      <c r="BM409" s="19">
        <f t="shared" si="409"/>
        <v>45909.875</v>
      </c>
      <c r="BN409" s="19">
        <f t="shared" si="409"/>
        <v>45909.89583</v>
      </c>
      <c r="BO409" s="19">
        <f t="shared" si="409"/>
        <v>45909.91667</v>
      </c>
      <c r="BP409" s="19">
        <f t="shared" si="409"/>
        <v>45909.9375</v>
      </c>
      <c r="BQ409" s="19">
        <f t="shared" si="409"/>
        <v>45909.95833</v>
      </c>
      <c r="BR409" s="19">
        <f t="shared" si="409"/>
        <v>45909.97917</v>
      </c>
      <c r="BS409" s="19">
        <f t="shared" si="409"/>
        <v>45910</v>
      </c>
      <c r="BT409" s="19">
        <f t="shared" si="409"/>
        <v>45910.02083</v>
      </c>
      <c r="BU409" s="19">
        <f t="shared" si="409"/>
        <v>45910.04167</v>
      </c>
      <c r="BV409" s="19">
        <f t="shared" si="409"/>
        <v>45910.0625</v>
      </c>
      <c r="BW409" s="19">
        <f t="shared" si="409"/>
        <v>45910.08333</v>
      </c>
      <c r="BX409" s="19">
        <f t="shared" si="409"/>
        <v>45909</v>
      </c>
      <c r="BY409" s="19">
        <f t="shared" si="409"/>
        <v>45909</v>
      </c>
      <c r="BZ409" s="19">
        <f t="shared" si="409"/>
        <v>45909</v>
      </c>
    </row>
    <row r="410" ht="14.25" customHeight="1">
      <c r="A410" s="17">
        <v>45910.0</v>
      </c>
      <c r="B410" s="2" t="str">
        <f t="array" ref="B410">IF(NOW()&gt;AM410,"",IF(AND((WEEKDAY($A410)+$B$2)&gt;1,((WEEKDAY($A410)+$T$2)&lt;7),(WEEKDAY($A410)&lt;&gt;1)),"work",(INDEX(Subject!$A:$I,MATCH(RANDBETWEEN(1,(MAX(Subject!$B:$B))),Subject!$B:$B,0),3))))</f>
        <v/>
      </c>
      <c r="C410" s="2" t="str">
        <f t="array" ref="C410">IF(NOW()&gt;AN410,"",IF(AND((WEEKDAY($A410)+$B$2)&gt;1,((WEEKDAY($A410)+$T$2)&lt;7),(WEEKDAY($A410)&lt;&gt;1)),"work",(INDEX(Subject!$A:$I,MATCH(RANDBETWEEN(1,(MAX(Subject!$B:$B))),Subject!$B:$B,0),3))))</f>
        <v/>
      </c>
      <c r="D410" s="2" t="str">
        <f t="array" ref="D410">IF(NOW()&gt;AO410,"",IF(AND((WEEKDAY($A410)+$B$2)&gt;1,((WEEKDAY($A410)+$T$2)&lt;7),(WEEKDAY($A410)&lt;&gt;1)),"work",(INDEX(Subject!$A:$I,MATCH(RANDBETWEEN(1,(MAX(Subject!$B:$B))),Subject!$B:$B,0),3))))</f>
        <v/>
      </c>
      <c r="E410" s="2" t="str">
        <f t="array" ref="E410">IF(NOW()&gt;AP410,"",IF(AND((WEEKDAY($A410)+$B$2)&gt;1,((WEEKDAY($A410)+$T$2)&lt;7),(WEEKDAY($A410)&lt;&gt;1)),"work",(INDEX(Subject!$A:$I,MATCH(RANDBETWEEN(1,(MAX(Subject!$B:$B))),Subject!$B:$B,0),3))))</f>
        <v/>
      </c>
      <c r="F410" s="2" t="str">
        <f t="array" ref="F410">IF(NOW()&gt;AQ410,"",IF(AND((WEEKDAY($A410)+$B$2)&gt;1,((WEEKDAY($A410)+$T$2)&lt;7),(WEEKDAY($A410)&lt;&gt;1)),"work",(INDEX(Subject!$A:$I,MATCH(RANDBETWEEN(1,(MAX(Subject!$B:$B))),Subject!$B:$B,0),3))))</f>
        <v/>
      </c>
      <c r="G410" s="2" t="str">
        <f t="array" ref="G410">IF(NOW()&gt;AR410,"",IF(AND((WEEKDAY($A410)+$B$2)&gt;1,((WEEKDAY($A410)+$T$2)&lt;7),(WEEKDAY($A410)&lt;&gt;1)),"work",(INDEX(Subject!$A:$I,MATCH(RANDBETWEEN(1,(MAX(Subject!$B:$B))),Subject!$B:$B,0),3))))</f>
        <v/>
      </c>
      <c r="H410" s="2" t="str">
        <f t="array" ref="H410">IF(NOW()&gt;AS410,"",IF(AND((WEEKDAY($A410)+$B$2)&gt;1,((WEEKDAY($A410)+$T$2)&lt;7),(WEEKDAY($A410)&lt;&gt;1)),"work",(INDEX(Subject!$A:$I,MATCH(RANDBETWEEN(1,(MAX(Subject!$B:$B))),Subject!$B:$B,0),3))))</f>
        <v/>
      </c>
      <c r="I410" s="2" t="str">
        <f t="array" ref="I410">IF(NOW()&gt;AT410,"",IF(AND((WEEKDAY($A410)+$B$2)&gt;1,((WEEKDAY($A410)+$T$2)&lt;7),(WEEKDAY($A410)&lt;&gt;1)),"work",(INDEX(Subject!$A:$I,MATCH(RANDBETWEEN(1,(MAX(Subject!$B:$B))),Subject!$B:$B,0),3))))</f>
        <v/>
      </c>
      <c r="J410" s="2" t="str">
        <f t="array" ref="J410">IF(NOW()&gt;AU410,"",IF(AND((WEEKDAY($A410)+$B$2)&gt;1,((WEEKDAY($A410)+$T$2)&lt;7),(WEEKDAY($A410)&lt;&gt;1)),"work",(INDEX(Subject!$A:$I,MATCH(RANDBETWEEN(1,(MAX(Subject!$B:$B))),Subject!$B:$B,0),3))))</f>
        <v/>
      </c>
      <c r="K410" s="2" t="str">
        <f t="array" ref="K410">IF(NOW()&gt;AV410,"",IF(AND((WEEKDAY($A410)+$B$2)&gt;1,((WEEKDAY($A410)+$T$2)&lt;7),(WEEKDAY($A410)&lt;&gt;1)),"work",(INDEX(Subject!$A:$I,MATCH(RANDBETWEEN(1,(MAX(Subject!$B:$B))),Subject!$B:$B,0),3))))</f>
        <v/>
      </c>
      <c r="L410" s="2" t="str">
        <f t="array" ref="L410">IF(NOW()&gt;AW410,"",IF(AND((WEEKDAY($A410)+$B$2)&gt;1,((WEEKDAY($A410)+$T$2)&lt;7),(WEEKDAY($A410)&lt;&gt;1)),"work",(INDEX(Subject!$A:$I,MATCH(RANDBETWEEN(1,(MAX(Subject!$B:$B))),Subject!$B:$B,0),3))))</f>
        <v/>
      </c>
      <c r="M410" s="2" t="str">
        <f t="array" ref="M410">IF(NOW()&gt;AX410,"",IF(AND((WEEKDAY($A410)+$B$2)&gt;1,((WEEKDAY($A410)+$T$2)&lt;7),(WEEKDAY($A410)&lt;&gt;1)),"work",(INDEX(Subject!$A:$I,MATCH(RANDBETWEEN(1,(MAX(Subject!$B:$B))),Subject!$B:$B,0),3))))</f>
        <v/>
      </c>
      <c r="N410" s="2" t="str">
        <f t="array" ref="N410">IF(NOW()&gt;AY410,"",IF(AND((WEEKDAY($A410)+$B$2)&gt;1,((WEEKDAY($A410)+$T$2)&lt;7),(WEEKDAY($A410)&lt;&gt;1)),"work",(INDEX(Subject!$A:$I,MATCH(RANDBETWEEN(1,(MAX(Subject!$B:$B))),Subject!$B:$B,0),3))))</f>
        <v/>
      </c>
      <c r="O410" s="2" t="str">
        <f t="array" ref="O410">IF(NOW()&gt;AZ410,"",IF(AND((WEEKDAY($A410)+$B$2)&gt;1,((WEEKDAY($A410)+$T$2)&lt;7),(WEEKDAY($A410)&lt;&gt;1)),"work",(INDEX(Subject!$A:$I,MATCH(RANDBETWEEN(1,(MAX(Subject!$B:$B))),Subject!$B:$B,0),3))))</f>
        <v/>
      </c>
      <c r="P410" s="2" t="str">
        <f t="array" ref="P410">IF(NOW()&gt;BA410,"",IF(AND((WEEKDAY($A410)+$B$2)&gt;1,((WEEKDAY($A410)+$T$2)&lt;7),(WEEKDAY($A410)&lt;&gt;1)),"work",(INDEX(Subject!$A:$I,MATCH(RANDBETWEEN(1,(MAX(Subject!$B:$B))),Subject!$B:$B,0),3))))</f>
        <v/>
      </c>
      <c r="Q410" s="2" t="str">
        <f t="array" ref="Q410">IF(NOW()&gt;BB410,"",IF(AND((WEEKDAY($A410)+$B$2)&gt;1,((WEEKDAY($A410)+$T$2)&lt;7),(WEEKDAY($A410)&lt;&gt;1)),"work",(INDEX(Subject!$A:$I,MATCH(RANDBETWEEN(1,(MAX(Subject!$B:$B))),Subject!$B:$B,0),3))))</f>
        <v/>
      </c>
      <c r="R410" s="2" t="str">
        <f t="array" ref="R410">IF(NOW()&gt;BC410,"",IF(AND((WEEKDAY($A410)+$B$2)&gt;1,((WEEKDAY($A410)+$T$2)&lt;7),(WEEKDAY($A410)&lt;&gt;1)),"work",(INDEX(Subject!$A:$I,MATCH(RANDBETWEEN(1,(MAX(Subject!$B:$B))),Subject!$B:$B,0),3))))</f>
        <v/>
      </c>
      <c r="S410" s="2" t="str">
        <f t="array" ref="S410">IF(NOW()&gt;BD410,"",IF(AND((WEEKDAY($A410)+$B$2)&gt;1,((WEEKDAY($A410)+$T$2)&lt;7),(WEEKDAY($A410)&lt;&gt;1)),"work",(INDEX(Subject!$A:$I,MATCH(RANDBETWEEN(1,(MAX(Subject!$B:$B))),Subject!$B:$B,0),3))))</f>
        <v/>
      </c>
      <c r="T410" s="2" t="str">
        <f t="array" ref="T410">IF(NOW()&gt;BE410,"",IF(AND((WEEKDAY($A410)+$B$2)&gt;1,((WEEKDAY($A410)+$T$2)&lt;7),(WEEKDAY($A410)&lt;&gt;1)),"work",(INDEX(Subject!$A:$I,MATCH(RANDBETWEEN(1,(MAX(Subject!$B:$B))),Subject!$B:$B,0),3))))</f>
        <v/>
      </c>
      <c r="U410" s="8" t="str">
        <f t="array" ref="U410">INDEX(Subject!$A:$I,MATCH(RANDBETWEEN(1,16),Subject!$B:$B,0),3)</f>
        <v>#N/A</v>
      </c>
      <c r="V410" s="8" t="str">
        <f t="array" ref="V410">INDEX(Subject!$A:$I,MATCH(RANDBETWEEN(1,16),Subject!$B:$B,0),3)</f>
        <v/>
      </c>
      <c r="W410" s="8" t="str">
        <f t="array" ref="W410">INDEX(Subject!$A:$I,MATCH(RANDBETWEEN(1,16),Subject!$B:$B,0),3)</f>
        <v>#N/A</v>
      </c>
      <c r="X410" s="8" t="str">
        <f t="array" ref="X410">INDEX(Subject!$A:$I,MATCH(RANDBETWEEN(1,16),Subject!$B:$B,0),3)</f>
        <v>#N/A</v>
      </c>
      <c r="Y410" s="8" t="str">
        <f t="array" ref="Y410">INDEX(Subject!$A:$I,MATCH(RANDBETWEEN(1,16),Subject!$B:$B,0),3)</f>
        <v>#N/A</v>
      </c>
      <c r="Z410" s="8" t="str">
        <f t="array" ref="Z410">INDEX(Subject!$A:$I,MATCH(RANDBETWEEN(1,16),Subject!$B:$B,0),3)</f>
        <v>#N/A</v>
      </c>
      <c r="AA410" s="8" t="str">
        <f t="array" ref="AA410">INDEX(Subject!$A:$I,MATCH(RANDBETWEEN(1,16),Subject!$B:$B,0),3)</f>
        <v>#N/A</v>
      </c>
      <c r="AB410" s="8" t="str">
        <f t="array" ref="AB410">INDEX(Subject!$A:$I,MATCH(RANDBETWEEN(1,16),Subject!$B:$B,0),3)</f>
        <v>#N/A</v>
      </c>
      <c r="AC410" s="8" t="str">
        <f t="array" ref="AC410">INDEX(Subject!$A:$I,MATCH(RANDBETWEEN(1,16),Subject!$B:$B,0),3)</f>
        <v>#N/A</v>
      </c>
      <c r="AD410" s="8" t="str">
        <f t="array" ref="AD410">INDEX(Subject!$A:$I,MATCH(RANDBETWEEN(1,16),Subject!$B:$B,0),3)</f>
        <v>#N/A</v>
      </c>
      <c r="AE410" s="8" t="str">
        <f t="array" ref="AE410">INDEX(Subject!$A:$I,MATCH(RANDBETWEEN(1,16),Subject!$B:$B,0),3)</f>
        <v>#N/A</v>
      </c>
      <c r="AF410" s="8" t="str">
        <f t="array" ref="AF410">INDEX(Subject!$A:$I,MATCH(RANDBETWEEN(1,16),Subject!$B:$B,0),3)</f>
        <v>#N/A</v>
      </c>
      <c r="AG410" s="8" t="str">
        <f t="array" ref="AG410">INDEX(Subject!$A:$I,MATCH(RANDBETWEEN(1,16),Subject!$B:$B,0),3)</f>
        <v>#N/A</v>
      </c>
      <c r="AH410" s="8" t="str">
        <f t="array" ref="AH410">INDEX(Subject!$A:$I,MATCH(RANDBETWEEN(1,16),Subject!$B:$B,0),3)</f>
        <v>#N/A</v>
      </c>
      <c r="AI410" s="8" t="str">
        <f t="array" ref="AI410">INDEX(Subject!$A:$I,MATCH(RANDBETWEEN(1,16),Subject!$B:$B,0),3)</f>
        <v>#N/A</v>
      </c>
      <c r="AJ410" s="8" t="str">
        <f t="array" ref="AJ410">INDEX(Subject!$A:$I,MATCH(RANDBETWEEN(1,16),Subject!$B:$B,0),3)</f>
        <v>#N/A</v>
      </c>
      <c r="AK410" s="8" t="str">
        <f t="array" ref="AK410">INDEX(Subject!$A:$I,MATCH(RANDBETWEEN(1,16),Subject!$B:$B,0),3)</f>
        <v>#N/A</v>
      </c>
      <c r="AL410" s="8" t="str">
        <f t="array" ref="AL410">INDEX(Subject!$A:$I,MATCH(RANDBETWEEN(1,16),Subject!$B:$B,0),3)</f>
        <v>#N/A</v>
      </c>
      <c r="AM410" s="18">
        <f t="shared" si="4"/>
        <v>45910.33333</v>
      </c>
      <c r="AN410" s="19">
        <f t="shared" ref="AN410:BZ410" si="410">$A410+C$1</f>
        <v>45910.35417</v>
      </c>
      <c r="AO410" s="19">
        <f t="shared" si="410"/>
        <v>45910.375</v>
      </c>
      <c r="AP410" s="19">
        <f t="shared" si="410"/>
        <v>45910.39583</v>
      </c>
      <c r="AQ410" s="19">
        <f t="shared" si="410"/>
        <v>45910.41667</v>
      </c>
      <c r="AR410" s="19">
        <f t="shared" si="410"/>
        <v>45910.4375</v>
      </c>
      <c r="AS410" s="19">
        <f t="shared" si="410"/>
        <v>45910.45833</v>
      </c>
      <c r="AT410" s="19">
        <f t="shared" si="410"/>
        <v>45910.47917</v>
      </c>
      <c r="AU410" s="19">
        <f t="shared" si="410"/>
        <v>45910.5</v>
      </c>
      <c r="AV410" s="19">
        <f t="shared" si="410"/>
        <v>45910.52083</v>
      </c>
      <c r="AW410" s="19">
        <f t="shared" si="410"/>
        <v>45910.54167</v>
      </c>
      <c r="AX410" s="19">
        <f t="shared" si="410"/>
        <v>45910.5625</v>
      </c>
      <c r="AY410" s="19">
        <f t="shared" si="410"/>
        <v>45910.58333</v>
      </c>
      <c r="AZ410" s="19">
        <f t="shared" si="410"/>
        <v>45910.60417</v>
      </c>
      <c r="BA410" s="19">
        <f t="shared" si="410"/>
        <v>45910.625</v>
      </c>
      <c r="BB410" s="19">
        <f t="shared" si="410"/>
        <v>45910.64583</v>
      </c>
      <c r="BC410" s="19">
        <f t="shared" si="410"/>
        <v>45910.66667</v>
      </c>
      <c r="BD410" s="19">
        <f t="shared" si="410"/>
        <v>45910.6875</v>
      </c>
      <c r="BE410" s="19">
        <f t="shared" si="410"/>
        <v>45910.70833</v>
      </c>
      <c r="BF410" s="19">
        <f t="shared" si="410"/>
        <v>45910.72917</v>
      </c>
      <c r="BG410" s="19">
        <f t="shared" si="410"/>
        <v>45910.75</v>
      </c>
      <c r="BH410" s="19">
        <f t="shared" si="410"/>
        <v>45910.77083</v>
      </c>
      <c r="BI410" s="19">
        <f t="shared" si="410"/>
        <v>45910.79167</v>
      </c>
      <c r="BJ410" s="19">
        <f t="shared" si="410"/>
        <v>45910.8125</v>
      </c>
      <c r="BK410" s="19">
        <f t="shared" si="410"/>
        <v>45910.83333</v>
      </c>
      <c r="BL410" s="19">
        <f t="shared" si="410"/>
        <v>45910.85417</v>
      </c>
      <c r="BM410" s="19">
        <f t="shared" si="410"/>
        <v>45910.875</v>
      </c>
      <c r="BN410" s="19">
        <f t="shared" si="410"/>
        <v>45910.89583</v>
      </c>
      <c r="BO410" s="19">
        <f t="shared" si="410"/>
        <v>45910.91667</v>
      </c>
      <c r="BP410" s="19">
        <f t="shared" si="410"/>
        <v>45910.9375</v>
      </c>
      <c r="BQ410" s="19">
        <f t="shared" si="410"/>
        <v>45910.95833</v>
      </c>
      <c r="BR410" s="19">
        <f t="shared" si="410"/>
        <v>45910.97917</v>
      </c>
      <c r="BS410" s="19">
        <f t="shared" si="410"/>
        <v>45911</v>
      </c>
      <c r="BT410" s="19">
        <f t="shared" si="410"/>
        <v>45911.02083</v>
      </c>
      <c r="BU410" s="19">
        <f t="shared" si="410"/>
        <v>45911.04167</v>
      </c>
      <c r="BV410" s="19">
        <f t="shared" si="410"/>
        <v>45911.0625</v>
      </c>
      <c r="BW410" s="19">
        <f t="shared" si="410"/>
        <v>45911.08333</v>
      </c>
      <c r="BX410" s="19">
        <f t="shared" si="410"/>
        <v>45910</v>
      </c>
      <c r="BY410" s="19">
        <f t="shared" si="410"/>
        <v>45910</v>
      </c>
      <c r="BZ410" s="19">
        <f t="shared" si="410"/>
        <v>45910</v>
      </c>
    </row>
    <row r="411" ht="14.25" customHeight="1">
      <c r="A411" s="17">
        <v>45911.0</v>
      </c>
      <c r="B411" s="2" t="str">
        <f t="array" ref="B411">IF(NOW()&gt;AM411,"",IF(AND((WEEKDAY($A411)+$B$2)&gt;1,((WEEKDAY($A411)+$T$2)&lt;7),(WEEKDAY($A411)&lt;&gt;1)),"work",(INDEX(Subject!$A:$I,MATCH(RANDBETWEEN(1,(MAX(Subject!$B:$B))),Subject!$B:$B,0),3))))</f>
        <v/>
      </c>
      <c r="C411" s="2" t="str">
        <f t="array" ref="C411">IF(NOW()&gt;AN411,"",IF(AND((WEEKDAY($A411)+$B$2)&gt;1,((WEEKDAY($A411)+$T$2)&lt;7),(WEEKDAY($A411)&lt;&gt;1)),"work",(INDEX(Subject!$A:$I,MATCH(RANDBETWEEN(1,(MAX(Subject!$B:$B))),Subject!$B:$B,0),3))))</f>
        <v/>
      </c>
      <c r="D411" s="2" t="str">
        <f t="array" ref="D411">IF(NOW()&gt;AO411,"",IF(AND((WEEKDAY($A411)+$B$2)&gt;1,((WEEKDAY($A411)+$T$2)&lt;7),(WEEKDAY($A411)&lt;&gt;1)),"work",(INDEX(Subject!$A:$I,MATCH(RANDBETWEEN(1,(MAX(Subject!$B:$B))),Subject!$B:$B,0),3))))</f>
        <v/>
      </c>
      <c r="E411" s="2" t="str">
        <f t="array" ref="E411">IF(NOW()&gt;AP411,"",IF(AND((WEEKDAY($A411)+$B$2)&gt;1,((WEEKDAY($A411)+$T$2)&lt;7),(WEEKDAY($A411)&lt;&gt;1)),"work",(INDEX(Subject!$A:$I,MATCH(RANDBETWEEN(1,(MAX(Subject!$B:$B))),Subject!$B:$B,0),3))))</f>
        <v/>
      </c>
      <c r="F411" s="2" t="str">
        <f t="array" ref="F411">IF(NOW()&gt;AQ411,"",IF(AND((WEEKDAY($A411)+$B$2)&gt;1,((WEEKDAY($A411)+$T$2)&lt;7),(WEEKDAY($A411)&lt;&gt;1)),"work",(INDEX(Subject!$A:$I,MATCH(RANDBETWEEN(1,(MAX(Subject!$B:$B))),Subject!$B:$B,0),3))))</f>
        <v/>
      </c>
      <c r="G411" s="2" t="str">
        <f t="array" ref="G411">IF(NOW()&gt;AR411,"",IF(AND((WEEKDAY($A411)+$B$2)&gt;1,((WEEKDAY($A411)+$T$2)&lt;7),(WEEKDAY($A411)&lt;&gt;1)),"work",(INDEX(Subject!$A:$I,MATCH(RANDBETWEEN(1,(MAX(Subject!$B:$B))),Subject!$B:$B,0),3))))</f>
        <v/>
      </c>
      <c r="H411" s="2" t="str">
        <f t="array" ref="H411">IF(NOW()&gt;AS411,"",IF(AND((WEEKDAY($A411)+$B$2)&gt;1,((WEEKDAY($A411)+$T$2)&lt;7),(WEEKDAY($A411)&lt;&gt;1)),"work",(INDEX(Subject!$A:$I,MATCH(RANDBETWEEN(1,(MAX(Subject!$B:$B))),Subject!$B:$B,0),3))))</f>
        <v/>
      </c>
      <c r="I411" s="2" t="str">
        <f t="array" ref="I411">IF(NOW()&gt;AT411,"",IF(AND((WEEKDAY($A411)+$B$2)&gt;1,((WEEKDAY($A411)+$T$2)&lt;7),(WEEKDAY($A411)&lt;&gt;1)),"work",(INDEX(Subject!$A:$I,MATCH(RANDBETWEEN(1,(MAX(Subject!$B:$B))),Subject!$B:$B,0),3))))</f>
        <v/>
      </c>
      <c r="J411" s="2" t="str">
        <f t="array" ref="J411">IF(NOW()&gt;AU411,"",IF(AND((WEEKDAY($A411)+$B$2)&gt;1,((WEEKDAY($A411)+$T$2)&lt;7),(WEEKDAY($A411)&lt;&gt;1)),"work",(INDEX(Subject!$A:$I,MATCH(RANDBETWEEN(1,(MAX(Subject!$B:$B))),Subject!$B:$B,0),3))))</f>
        <v/>
      </c>
      <c r="K411" s="2" t="str">
        <f t="array" ref="K411">IF(NOW()&gt;AV411,"",IF(AND((WEEKDAY($A411)+$B$2)&gt;1,((WEEKDAY($A411)+$T$2)&lt;7),(WEEKDAY($A411)&lt;&gt;1)),"work",(INDEX(Subject!$A:$I,MATCH(RANDBETWEEN(1,(MAX(Subject!$B:$B))),Subject!$B:$B,0),3))))</f>
        <v/>
      </c>
      <c r="L411" s="2" t="str">
        <f t="array" ref="L411">IF(NOW()&gt;AW411,"",IF(AND((WEEKDAY($A411)+$B$2)&gt;1,((WEEKDAY($A411)+$T$2)&lt;7),(WEEKDAY($A411)&lt;&gt;1)),"work",(INDEX(Subject!$A:$I,MATCH(RANDBETWEEN(1,(MAX(Subject!$B:$B))),Subject!$B:$B,0),3))))</f>
        <v/>
      </c>
      <c r="M411" s="2" t="str">
        <f t="array" ref="M411">IF(NOW()&gt;AX411,"",IF(AND((WEEKDAY($A411)+$B$2)&gt;1,((WEEKDAY($A411)+$T$2)&lt;7),(WEEKDAY($A411)&lt;&gt;1)),"work",(INDEX(Subject!$A:$I,MATCH(RANDBETWEEN(1,(MAX(Subject!$B:$B))),Subject!$B:$B,0),3))))</f>
        <v/>
      </c>
      <c r="N411" s="2" t="str">
        <f t="array" ref="N411">IF(NOW()&gt;AY411,"",IF(AND((WEEKDAY($A411)+$B$2)&gt;1,((WEEKDAY($A411)+$T$2)&lt;7),(WEEKDAY($A411)&lt;&gt;1)),"work",(INDEX(Subject!$A:$I,MATCH(RANDBETWEEN(1,(MAX(Subject!$B:$B))),Subject!$B:$B,0),3))))</f>
        <v/>
      </c>
      <c r="O411" s="2" t="str">
        <f t="array" ref="O411">IF(NOW()&gt;AZ411,"",IF(AND((WEEKDAY($A411)+$B$2)&gt;1,((WEEKDAY($A411)+$T$2)&lt;7),(WEEKDAY($A411)&lt;&gt;1)),"work",(INDEX(Subject!$A:$I,MATCH(RANDBETWEEN(1,(MAX(Subject!$B:$B))),Subject!$B:$B,0),3))))</f>
        <v/>
      </c>
      <c r="P411" s="2" t="str">
        <f t="array" ref="P411">IF(NOW()&gt;BA411,"",IF(AND((WEEKDAY($A411)+$B$2)&gt;1,((WEEKDAY($A411)+$T$2)&lt;7),(WEEKDAY($A411)&lt;&gt;1)),"work",(INDEX(Subject!$A:$I,MATCH(RANDBETWEEN(1,(MAX(Subject!$B:$B))),Subject!$B:$B,0),3))))</f>
        <v/>
      </c>
      <c r="Q411" s="2" t="str">
        <f t="array" ref="Q411">IF(NOW()&gt;BB411,"",IF(AND((WEEKDAY($A411)+$B$2)&gt;1,((WEEKDAY($A411)+$T$2)&lt;7),(WEEKDAY($A411)&lt;&gt;1)),"work",(INDEX(Subject!$A:$I,MATCH(RANDBETWEEN(1,(MAX(Subject!$B:$B))),Subject!$B:$B,0),3))))</f>
        <v/>
      </c>
      <c r="R411" s="2" t="str">
        <f t="array" ref="R411">IF(NOW()&gt;BC411,"",IF(AND((WEEKDAY($A411)+$B$2)&gt;1,((WEEKDAY($A411)+$T$2)&lt;7),(WEEKDAY($A411)&lt;&gt;1)),"work",(INDEX(Subject!$A:$I,MATCH(RANDBETWEEN(1,(MAX(Subject!$B:$B))),Subject!$B:$B,0),3))))</f>
        <v/>
      </c>
      <c r="S411" s="2" t="str">
        <f t="array" ref="S411">IF(NOW()&gt;BD411,"",IF(AND((WEEKDAY($A411)+$B$2)&gt;1,((WEEKDAY($A411)+$T$2)&lt;7),(WEEKDAY($A411)&lt;&gt;1)),"work",(INDEX(Subject!$A:$I,MATCH(RANDBETWEEN(1,(MAX(Subject!$B:$B))),Subject!$B:$B,0),3))))</f>
        <v/>
      </c>
      <c r="T411" s="2" t="str">
        <f t="array" ref="T411">IF(NOW()&gt;BE411,"",IF(AND((WEEKDAY($A411)+$B$2)&gt;1,((WEEKDAY($A411)+$T$2)&lt;7),(WEEKDAY($A411)&lt;&gt;1)),"work",(INDEX(Subject!$A:$I,MATCH(RANDBETWEEN(1,(MAX(Subject!$B:$B))),Subject!$B:$B,0),3))))</f>
        <v/>
      </c>
      <c r="U411" s="8" t="str">
        <f t="array" ref="U411">INDEX(Subject!$A:$I,MATCH(RANDBETWEEN(1,16),Subject!$B:$B,0),3)</f>
        <v>#N/A</v>
      </c>
      <c r="V411" s="8" t="str">
        <f t="array" ref="V411">INDEX(Subject!$A:$I,MATCH(RANDBETWEEN(1,16),Subject!$B:$B,0),3)</f>
        <v>#N/A</v>
      </c>
      <c r="W411" s="8" t="str">
        <f t="array" ref="W411">INDEX(Subject!$A:$I,MATCH(RANDBETWEEN(1,16),Subject!$B:$B,0),3)</f>
        <v>#N/A</v>
      </c>
      <c r="X411" s="8" t="str">
        <f t="array" ref="X411">INDEX(Subject!$A:$I,MATCH(RANDBETWEEN(1,16),Subject!$B:$B,0),3)</f>
        <v>#N/A</v>
      </c>
      <c r="Y411" s="8" t="str">
        <f t="array" ref="Y411">INDEX(Subject!$A:$I,MATCH(RANDBETWEEN(1,16),Subject!$B:$B,0),3)</f>
        <v>#N/A</v>
      </c>
      <c r="Z411" s="8" t="str">
        <f t="array" ref="Z411">INDEX(Subject!$A:$I,MATCH(RANDBETWEEN(1,16),Subject!$B:$B,0),3)</f>
        <v>#N/A</v>
      </c>
      <c r="AA411" s="8" t="str">
        <f t="array" ref="AA411">INDEX(Subject!$A:$I,MATCH(RANDBETWEEN(1,16),Subject!$B:$B,0),3)</f>
        <v>#N/A</v>
      </c>
      <c r="AB411" s="8" t="str">
        <f t="array" ref="AB411">INDEX(Subject!$A:$I,MATCH(RANDBETWEEN(1,16),Subject!$B:$B,0),3)</f>
        <v>#N/A</v>
      </c>
      <c r="AC411" s="8" t="str">
        <f t="array" ref="AC411">INDEX(Subject!$A:$I,MATCH(RANDBETWEEN(1,16),Subject!$B:$B,0),3)</f>
        <v>#N/A</v>
      </c>
      <c r="AD411" s="8" t="str">
        <f t="array" ref="AD411">INDEX(Subject!$A:$I,MATCH(RANDBETWEEN(1,16),Subject!$B:$B,0),3)</f>
        <v>#N/A</v>
      </c>
      <c r="AE411" s="8" t="str">
        <f t="array" ref="AE411">INDEX(Subject!$A:$I,MATCH(RANDBETWEEN(1,16),Subject!$B:$B,0),3)</f>
        <v>#N/A</v>
      </c>
      <c r="AF411" s="8" t="str">
        <f t="array" ref="AF411">INDEX(Subject!$A:$I,MATCH(RANDBETWEEN(1,16),Subject!$B:$B,0),3)</f>
        <v>#N/A</v>
      </c>
      <c r="AG411" s="8" t="str">
        <f t="array" ref="AG411">INDEX(Subject!$A:$I,MATCH(RANDBETWEEN(1,16),Subject!$B:$B,0),3)</f>
        <v>#N/A</v>
      </c>
      <c r="AH411" s="8" t="str">
        <f t="array" ref="AH411">INDEX(Subject!$A:$I,MATCH(RANDBETWEEN(1,16),Subject!$B:$B,0),3)</f>
        <v>#N/A</v>
      </c>
      <c r="AI411" s="8" t="str">
        <f t="array" ref="AI411">INDEX(Subject!$A:$I,MATCH(RANDBETWEEN(1,16),Subject!$B:$B,0),3)</f>
        <v>#N/A</v>
      </c>
      <c r="AJ411" s="8" t="str">
        <f t="array" ref="AJ411">INDEX(Subject!$A:$I,MATCH(RANDBETWEEN(1,16),Subject!$B:$B,0),3)</f>
        <v>#N/A</v>
      </c>
      <c r="AK411" s="8" t="str">
        <f t="array" ref="AK411">INDEX(Subject!$A:$I,MATCH(RANDBETWEEN(1,16),Subject!$B:$B,0),3)</f>
        <v>#N/A</v>
      </c>
      <c r="AL411" s="8" t="str">
        <f t="array" ref="AL411">INDEX(Subject!$A:$I,MATCH(RANDBETWEEN(1,16),Subject!$B:$B,0),3)</f>
        <v>#N/A</v>
      </c>
      <c r="AM411" s="18">
        <f t="shared" si="4"/>
        <v>45911.33333</v>
      </c>
      <c r="AN411" s="19">
        <f t="shared" ref="AN411:BZ411" si="411">$A411+C$1</f>
        <v>45911.35417</v>
      </c>
      <c r="AO411" s="19">
        <f t="shared" si="411"/>
        <v>45911.375</v>
      </c>
      <c r="AP411" s="19">
        <f t="shared" si="411"/>
        <v>45911.39583</v>
      </c>
      <c r="AQ411" s="19">
        <f t="shared" si="411"/>
        <v>45911.41667</v>
      </c>
      <c r="AR411" s="19">
        <f t="shared" si="411"/>
        <v>45911.4375</v>
      </c>
      <c r="AS411" s="19">
        <f t="shared" si="411"/>
        <v>45911.45833</v>
      </c>
      <c r="AT411" s="19">
        <f t="shared" si="411"/>
        <v>45911.47917</v>
      </c>
      <c r="AU411" s="19">
        <f t="shared" si="411"/>
        <v>45911.5</v>
      </c>
      <c r="AV411" s="19">
        <f t="shared" si="411"/>
        <v>45911.52083</v>
      </c>
      <c r="AW411" s="19">
        <f t="shared" si="411"/>
        <v>45911.54167</v>
      </c>
      <c r="AX411" s="19">
        <f t="shared" si="411"/>
        <v>45911.5625</v>
      </c>
      <c r="AY411" s="19">
        <f t="shared" si="411"/>
        <v>45911.58333</v>
      </c>
      <c r="AZ411" s="19">
        <f t="shared" si="411"/>
        <v>45911.60417</v>
      </c>
      <c r="BA411" s="19">
        <f t="shared" si="411"/>
        <v>45911.625</v>
      </c>
      <c r="BB411" s="19">
        <f t="shared" si="411"/>
        <v>45911.64583</v>
      </c>
      <c r="BC411" s="19">
        <f t="shared" si="411"/>
        <v>45911.66667</v>
      </c>
      <c r="BD411" s="19">
        <f t="shared" si="411"/>
        <v>45911.6875</v>
      </c>
      <c r="BE411" s="19">
        <f t="shared" si="411"/>
        <v>45911.70833</v>
      </c>
      <c r="BF411" s="19">
        <f t="shared" si="411"/>
        <v>45911.72917</v>
      </c>
      <c r="BG411" s="19">
        <f t="shared" si="411"/>
        <v>45911.75</v>
      </c>
      <c r="BH411" s="19">
        <f t="shared" si="411"/>
        <v>45911.77083</v>
      </c>
      <c r="BI411" s="19">
        <f t="shared" si="411"/>
        <v>45911.79167</v>
      </c>
      <c r="BJ411" s="19">
        <f t="shared" si="411"/>
        <v>45911.8125</v>
      </c>
      <c r="BK411" s="19">
        <f t="shared" si="411"/>
        <v>45911.83333</v>
      </c>
      <c r="BL411" s="19">
        <f t="shared" si="411"/>
        <v>45911.85417</v>
      </c>
      <c r="BM411" s="19">
        <f t="shared" si="411"/>
        <v>45911.875</v>
      </c>
      <c r="BN411" s="19">
        <f t="shared" si="411"/>
        <v>45911.89583</v>
      </c>
      <c r="BO411" s="19">
        <f t="shared" si="411"/>
        <v>45911.91667</v>
      </c>
      <c r="BP411" s="19">
        <f t="shared" si="411"/>
        <v>45911.9375</v>
      </c>
      <c r="BQ411" s="19">
        <f t="shared" si="411"/>
        <v>45911.95833</v>
      </c>
      <c r="BR411" s="19">
        <f t="shared" si="411"/>
        <v>45911.97917</v>
      </c>
      <c r="BS411" s="19">
        <f t="shared" si="411"/>
        <v>45912</v>
      </c>
      <c r="BT411" s="19">
        <f t="shared" si="411"/>
        <v>45912.02083</v>
      </c>
      <c r="BU411" s="19">
        <f t="shared" si="411"/>
        <v>45912.04167</v>
      </c>
      <c r="BV411" s="19">
        <f t="shared" si="411"/>
        <v>45912.0625</v>
      </c>
      <c r="BW411" s="19">
        <f t="shared" si="411"/>
        <v>45912.08333</v>
      </c>
      <c r="BX411" s="19">
        <f t="shared" si="411"/>
        <v>45911</v>
      </c>
      <c r="BY411" s="19">
        <f t="shared" si="411"/>
        <v>45911</v>
      </c>
      <c r="BZ411" s="19">
        <f t="shared" si="411"/>
        <v>45911</v>
      </c>
    </row>
    <row r="412" ht="14.25" customHeight="1">
      <c r="A412" s="17">
        <v>45912.0</v>
      </c>
      <c r="B412" s="2" t="str">
        <f t="array" ref="B412">IF(NOW()&gt;AM412,"",IF(AND((WEEKDAY($A412)+$B$2)&gt;1,((WEEKDAY($A412)+$T$2)&lt;7),(WEEKDAY($A412)&lt;&gt;1)),"work",(INDEX(Subject!$A:$I,MATCH(RANDBETWEEN(1,(MAX(Subject!$B:$B))),Subject!$B:$B,0),3))))</f>
        <v/>
      </c>
      <c r="C412" s="2" t="str">
        <f t="array" ref="C412">IF(NOW()&gt;AN412,"",IF(AND((WEEKDAY($A412)+$B$2)&gt;1,((WEEKDAY($A412)+$T$2)&lt;7),(WEEKDAY($A412)&lt;&gt;1)),"work",(INDEX(Subject!$A:$I,MATCH(RANDBETWEEN(1,(MAX(Subject!$B:$B))),Subject!$B:$B,0),3))))</f>
        <v/>
      </c>
      <c r="D412" s="2" t="str">
        <f t="array" ref="D412">IF(NOW()&gt;AO412,"",IF(AND((WEEKDAY($A412)+$B$2)&gt;1,((WEEKDAY($A412)+$T$2)&lt;7),(WEEKDAY($A412)&lt;&gt;1)),"work",(INDEX(Subject!$A:$I,MATCH(RANDBETWEEN(1,(MAX(Subject!$B:$B))),Subject!$B:$B,0),3))))</f>
        <v/>
      </c>
      <c r="E412" s="2" t="str">
        <f t="array" ref="E412">IF(NOW()&gt;AP412,"",IF(AND((WEEKDAY($A412)+$B$2)&gt;1,((WEEKDAY($A412)+$T$2)&lt;7),(WEEKDAY($A412)&lt;&gt;1)),"work",(INDEX(Subject!$A:$I,MATCH(RANDBETWEEN(1,(MAX(Subject!$B:$B))),Subject!$B:$B,0),3))))</f>
        <v/>
      </c>
      <c r="F412" s="2" t="str">
        <f t="array" ref="F412">IF(NOW()&gt;AQ412,"",IF(AND((WEEKDAY($A412)+$B$2)&gt;1,((WEEKDAY($A412)+$T$2)&lt;7),(WEEKDAY($A412)&lt;&gt;1)),"work",(INDEX(Subject!$A:$I,MATCH(RANDBETWEEN(1,(MAX(Subject!$B:$B))),Subject!$B:$B,0),3))))</f>
        <v/>
      </c>
      <c r="G412" s="2" t="str">
        <f t="array" ref="G412">IF(NOW()&gt;AR412,"",IF(AND((WEEKDAY($A412)+$B$2)&gt;1,((WEEKDAY($A412)+$T$2)&lt;7),(WEEKDAY($A412)&lt;&gt;1)),"work",(INDEX(Subject!$A:$I,MATCH(RANDBETWEEN(1,(MAX(Subject!$B:$B))),Subject!$B:$B,0),3))))</f>
        <v/>
      </c>
      <c r="H412" s="2" t="str">
        <f t="array" ref="H412">IF(NOW()&gt;AS412,"",IF(AND((WEEKDAY($A412)+$B$2)&gt;1,((WEEKDAY($A412)+$T$2)&lt;7),(WEEKDAY($A412)&lt;&gt;1)),"work",(INDEX(Subject!$A:$I,MATCH(RANDBETWEEN(1,(MAX(Subject!$B:$B))),Subject!$B:$B,0),3))))</f>
        <v/>
      </c>
      <c r="I412" s="2" t="str">
        <f t="array" ref="I412">IF(NOW()&gt;AT412,"",IF(AND((WEEKDAY($A412)+$B$2)&gt;1,((WEEKDAY($A412)+$T$2)&lt;7),(WEEKDAY($A412)&lt;&gt;1)),"work",(INDEX(Subject!$A:$I,MATCH(RANDBETWEEN(1,(MAX(Subject!$B:$B))),Subject!$B:$B,0),3))))</f>
        <v/>
      </c>
      <c r="J412" s="2" t="str">
        <f t="array" ref="J412">IF(NOW()&gt;AU412,"",IF(AND((WEEKDAY($A412)+$B$2)&gt;1,((WEEKDAY($A412)+$T$2)&lt;7),(WEEKDAY($A412)&lt;&gt;1)),"work",(INDEX(Subject!$A:$I,MATCH(RANDBETWEEN(1,(MAX(Subject!$B:$B))),Subject!$B:$B,0),3))))</f>
        <v/>
      </c>
      <c r="K412" s="2" t="str">
        <f t="array" ref="K412">IF(NOW()&gt;AV412,"",IF(AND((WEEKDAY($A412)+$B$2)&gt;1,((WEEKDAY($A412)+$T$2)&lt;7),(WEEKDAY($A412)&lt;&gt;1)),"work",(INDEX(Subject!$A:$I,MATCH(RANDBETWEEN(1,(MAX(Subject!$B:$B))),Subject!$B:$B,0),3))))</f>
        <v/>
      </c>
      <c r="L412" s="2" t="str">
        <f t="array" ref="L412">IF(NOW()&gt;AW412,"",IF(AND((WEEKDAY($A412)+$B$2)&gt;1,((WEEKDAY($A412)+$T$2)&lt;7),(WEEKDAY($A412)&lt;&gt;1)),"work",(INDEX(Subject!$A:$I,MATCH(RANDBETWEEN(1,(MAX(Subject!$B:$B))),Subject!$B:$B,0),3))))</f>
        <v/>
      </c>
      <c r="M412" s="2" t="str">
        <f t="array" ref="M412">IF(NOW()&gt;AX412,"",IF(AND((WEEKDAY($A412)+$B$2)&gt;1,((WEEKDAY($A412)+$T$2)&lt;7),(WEEKDAY($A412)&lt;&gt;1)),"work",(INDEX(Subject!$A:$I,MATCH(RANDBETWEEN(1,(MAX(Subject!$B:$B))),Subject!$B:$B,0),3))))</f>
        <v/>
      </c>
      <c r="N412" s="2" t="str">
        <f t="array" ref="N412">IF(NOW()&gt;AY412,"",IF(AND((WEEKDAY($A412)+$B$2)&gt;1,((WEEKDAY($A412)+$T$2)&lt;7),(WEEKDAY($A412)&lt;&gt;1)),"work",(INDEX(Subject!$A:$I,MATCH(RANDBETWEEN(1,(MAX(Subject!$B:$B))),Subject!$B:$B,0),3))))</f>
        <v/>
      </c>
      <c r="O412" s="2" t="str">
        <f t="array" ref="O412">IF(NOW()&gt;AZ412,"",IF(AND((WEEKDAY($A412)+$B$2)&gt;1,((WEEKDAY($A412)+$T$2)&lt;7),(WEEKDAY($A412)&lt;&gt;1)),"work",(INDEX(Subject!$A:$I,MATCH(RANDBETWEEN(1,(MAX(Subject!$B:$B))),Subject!$B:$B,0),3))))</f>
        <v/>
      </c>
      <c r="P412" s="2" t="str">
        <f t="array" ref="P412">IF(NOW()&gt;BA412,"",IF(AND((WEEKDAY($A412)+$B$2)&gt;1,((WEEKDAY($A412)+$T$2)&lt;7),(WEEKDAY($A412)&lt;&gt;1)),"work",(INDEX(Subject!$A:$I,MATCH(RANDBETWEEN(1,(MAX(Subject!$B:$B))),Subject!$B:$B,0),3))))</f>
        <v/>
      </c>
      <c r="Q412" s="2" t="str">
        <f t="array" ref="Q412">IF(NOW()&gt;BB412,"",IF(AND((WEEKDAY($A412)+$B$2)&gt;1,((WEEKDAY($A412)+$T$2)&lt;7),(WEEKDAY($A412)&lt;&gt;1)),"work",(INDEX(Subject!$A:$I,MATCH(RANDBETWEEN(1,(MAX(Subject!$B:$B))),Subject!$B:$B,0),3))))</f>
        <v/>
      </c>
      <c r="R412" s="2" t="str">
        <f t="array" ref="R412">IF(NOW()&gt;BC412,"",IF(AND((WEEKDAY($A412)+$B$2)&gt;1,((WEEKDAY($A412)+$T$2)&lt;7),(WEEKDAY($A412)&lt;&gt;1)),"work",(INDEX(Subject!$A:$I,MATCH(RANDBETWEEN(1,(MAX(Subject!$B:$B))),Subject!$B:$B,0),3))))</f>
        <v/>
      </c>
      <c r="S412" s="2" t="str">
        <f t="array" ref="S412">IF(NOW()&gt;BD412,"",IF(AND((WEEKDAY($A412)+$B$2)&gt;1,((WEEKDAY($A412)+$T$2)&lt;7),(WEEKDAY($A412)&lt;&gt;1)),"work",(INDEX(Subject!$A:$I,MATCH(RANDBETWEEN(1,(MAX(Subject!$B:$B))),Subject!$B:$B,0),3))))</f>
        <v/>
      </c>
      <c r="T412" s="2" t="str">
        <f t="array" ref="T412">IF(NOW()&gt;BE412,"",IF(AND((WEEKDAY($A412)+$B$2)&gt;1,((WEEKDAY($A412)+$T$2)&lt;7),(WEEKDAY($A412)&lt;&gt;1)),"work",(INDEX(Subject!$A:$I,MATCH(RANDBETWEEN(1,(MAX(Subject!$B:$B))),Subject!$B:$B,0),3))))</f>
        <v/>
      </c>
      <c r="U412" s="8" t="str">
        <f t="array" ref="U412">INDEX(Subject!$A:$I,MATCH(RANDBETWEEN(1,16),Subject!$B:$B,0),3)</f>
        <v>#N/A</v>
      </c>
      <c r="V412" s="8" t="str">
        <f t="array" ref="V412">INDEX(Subject!$A:$I,MATCH(RANDBETWEEN(1,16),Subject!$B:$B,0),3)</f>
        <v>#N/A</v>
      </c>
      <c r="W412" s="8" t="str">
        <f t="array" ref="W412">INDEX(Subject!$A:$I,MATCH(RANDBETWEEN(1,16),Subject!$B:$B,0),3)</f>
        <v>#N/A</v>
      </c>
      <c r="X412" s="8" t="str">
        <f t="array" ref="X412">INDEX(Subject!$A:$I,MATCH(RANDBETWEEN(1,16),Subject!$B:$B,0),3)</f>
        <v>#N/A</v>
      </c>
      <c r="Y412" s="8" t="str">
        <f t="array" ref="Y412">INDEX(Subject!$A:$I,MATCH(RANDBETWEEN(1,16),Subject!$B:$B,0),3)</f>
        <v>#N/A</v>
      </c>
      <c r="Z412" s="8" t="str">
        <f t="array" ref="Z412">INDEX(Subject!$A:$I,MATCH(RANDBETWEEN(1,16),Subject!$B:$B,0),3)</f>
        <v>#N/A</v>
      </c>
      <c r="AA412" s="8" t="str">
        <f t="array" ref="AA412">INDEX(Subject!$A:$I,MATCH(RANDBETWEEN(1,16),Subject!$B:$B,0),3)</f>
        <v>#N/A</v>
      </c>
      <c r="AB412" s="8" t="str">
        <f t="array" ref="AB412">INDEX(Subject!$A:$I,MATCH(RANDBETWEEN(1,16),Subject!$B:$B,0),3)</f>
        <v>#N/A</v>
      </c>
      <c r="AC412" s="8" t="str">
        <f t="array" ref="AC412">INDEX(Subject!$A:$I,MATCH(RANDBETWEEN(1,16),Subject!$B:$B,0),3)</f>
        <v>#N/A</v>
      </c>
      <c r="AD412" s="8" t="str">
        <f t="array" ref="AD412">INDEX(Subject!$A:$I,MATCH(RANDBETWEEN(1,16),Subject!$B:$B,0),3)</f>
        <v>#N/A</v>
      </c>
      <c r="AE412" s="8" t="str">
        <f t="array" ref="AE412">INDEX(Subject!$A:$I,MATCH(RANDBETWEEN(1,16),Subject!$B:$B,0),3)</f>
        <v>#N/A</v>
      </c>
      <c r="AF412" s="8" t="str">
        <f t="array" ref="AF412">INDEX(Subject!$A:$I,MATCH(RANDBETWEEN(1,16),Subject!$B:$B,0),3)</f>
        <v>#N/A</v>
      </c>
      <c r="AG412" s="8" t="str">
        <f t="array" ref="AG412">INDEX(Subject!$A:$I,MATCH(RANDBETWEEN(1,16),Subject!$B:$B,0),3)</f>
        <v>#N/A</v>
      </c>
      <c r="AH412" s="8" t="str">
        <f t="array" ref="AH412">INDEX(Subject!$A:$I,MATCH(RANDBETWEEN(1,16),Subject!$B:$B,0),3)</f>
        <v>#N/A</v>
      </c>
      <c r="AI412" s="8" t="str">
        <f t="array" ref="AI412">INDEX(Subject!$A:$I,MATCH(RANDBETWEEN(1,16),Subject!$B:$B,0),3)</f>
        <v>#N/A</v>
      </c>
      <c r="AJ412" s="8" t="str">
        <f t="array" ref="AJ412">INDEX(Subject!$A:$I,MATCH(RANDBETWEEN(1,16),Subject!$B:$B,0),3)</f>
        <v>#N/A</v>
      </c>
      <c r="AK412" s="8" t="str">
        <f t="array" ref="AK412">INDEX(Subject!$A:$I,MATCH(RANDBETWEEN(1,16),Subject!$B:$B,0),3)</f>
        <v>#N/A</v>
      </c>
      <c r="AL412" s="8" t="str">
        <f t="array" ref="AL412">INDEX(Subject!$A:$I,MATCH(RANDBETWEEN(1,16),Subject!$B:$B,0),3)</f>
        <v>#N/A</v>
      </c>
      <c r="AM412" s="18">
        <f t="shared" si="4"/>
        <v>45912.33333</v>
      </c>
      <c r="AN412" s="19">
        <f t="shared" ref="AN412:BZ412" si="412">$A412+C$1</f>
        <v>45912.35417</v>
      </c>
      <c r="AO412" s="19">
        <f t="shared" si="412"/>
        <v>45912.375</v>
      </c>
      <c r="AP412" s="19">
        <f t="shared" si="412"/>
        <v>45912.39583</v>
      </c>
      <c r="AQ412" s="19">
        <f t="shared" si="412"/>
        <v>45912.41667</v>
      </c>
      <c r="AR412" s="19">
        <f t="shared" si="412"/>
        <v>45912.4375</v>
      </c>
      <c r="AS412" s="19">
        <f t="shared" si="412"/>
        <v>45912.45833</v>
      </c>
      <c r="AT412" s="19">
        <f t="shared" si="412"/>
        <v>45912.47917</v>
      </c>
      <c r="AU412" s="19">
        <f t="shared" si="412"/>
        <v>45912.5</v>
      </c>
      <c r="AV412" s="19">
        <f t="shared" si="412"/>
        <v>45912.52083</v>
      </c>
      <c r="AW412" s="19">
        <f t="shared" si="412"/>
        <v>45912.54167</v>
      </c>
      <c r="AX412" s="19">
        <f t="shared" si="412"/>
        <v>45912.5625</v>
      </c>
      <c r="AY412" s="19">
        <f t="shared" si="412"/>
        <v>45912.58333</v>
      </c>
      <c r="AZ412" s="19">
        <f t="shared" si="412"/>
        <v>45912.60417</v>
      </c>
      <c r="BA412" s="19">
        <f t="shared" si="412"/>
        <v>45912.625</v>
      </c>
      <c r="BB412" s="19">
        <f t="shared" si="412"/>
        <v>45912.64583</v>
      </c>
      <c r="BC412" s="19">
        <f t="shared" si="412"/>
        <v>45912.66667</v>
      </c>
      <c r="BD412" s="19">
        <f t="shared" si="412"/>
        <v>45912.6875</v>
      </c>
      <c r="BE412" s="19">
        <f t="shared" si="412"/>
        <v>45912.70833</v>
      </c>
      <c r="BF412" s="19">
        <f t="shared" si="412"/>
        <v>45912.72917</v>
      </c>
      <c r="BG412" s="19">
        <f t="shared" si="412"/>
        <v>45912.75</v>
      </c>
      <c r="BH412" s="19">
        <f t="shared" si="412"/>
        <v>45912.77083</v>
      </c>
      <c r="BI412" s="19">
        <f t="shared" si="412"/>
        <v>45912.79167</v>
      </c>
      <c r="BJ412" s="19">
        <f t="shared" si="412"/>
        <v>45912.8125</v>
      </c>
      <c r="BK412" s="19">
        <f t="shared" si="412"/>
        <v>45912.83333</v>
      </c>
      <c r="BL412" s="19">
        <f t="shared" si="412"/>
        <v>45912.85417</v>
      </c>
      <c r="BM412" s="19">
        <f t="shared" si="412"/>
        <v>45912.875</v>
      </c>
      <c r="BN412" s="19">
        <f t="shared" si="412"/>
        <v>45912.89583</v>
      </c>
      <c r="BO412" s="19">
        <f t="shared" si="412"/>
        <v>45912.91667</v>
      </c>
      <c r="BP412" s="19">
        <f t="shared" si="412"/>
        <v>45912.9375</v>
      </c>
      <c r="BQ412" s="19">
        <f t="shared" si="412"/>
        <v>45912.95833</v>
      </c>
      <c r="BR412" s="19">
        <f t="shared" si="412"/>
        <v>45912.97917</v>
      </c>
      <c r="BS412" s="19">
        <f t="shared" si="412"/>
        <v>45913</v>
      </c>
      <c r="BT412" s="19">
        <f t="shared" si="412"/>
        <v>45913.02083</v>
      </c>
      <c r="BU412" s="19">
        <f t="shared" si="412"/>
        <v>45913.04167</v>
      </c>
      <c r="BV412" s="19">
        <f t="shared" si="412"/>
        <v>45913.0625</v>
      </c>
      <c r="BW412" s="19">
        <f t="shared" si="412"/>
        <v>45913.08333</v>
      </c>
      <c r="BX412" s="19">
        <f t="shared" si="412"/>
        <v>45912</v>
      </c>
      <c r="BY412" s="19">
        <f t="shared" si="412"/>
        <v>45912</v>
      </c>
      <c r="BZ412" s="19">
        <f t="shared" si="412"/>
        <v>45912</v>
      </c>
    </row>
    <row r="413" ht="14.25" customHeight="1">
      <c r="A413" s="17">
        <v>45913.0</v>
      </c>
      <c r="B413" s="2" t="str">
        <f t="array" ref="B413">IF(NOW()&gt;AM413,"",IF(AND((WEEKDAY($A413)+$B$2)&gt;1,((WEEKDAY($A413)+$T$2)&lt;7),(WEEKDAY($A413)&lt;&gt;1)),"work",(INDEX(Subject!$A:$I,MATCH(RANDBETWEEN(1,(MAX(Subject!$B:$B))),Subject!$B:$B,0),3))))</f>
        <v/>
      </c>
      <c r="C413" s="2" t="str">
        <f t="array" ref="C413">IF(NOW()&gt;AN413,"",IF(AND((WEEKDAY($A413)+$B$2)&gt;1,((WEEKDAY($A413)+$T$2)&lt;7),(WEEKDAY($A413)&lt;&gt;1)),"work",(INDEX(Subject!$A:$I,MATCH(RANDBETWEEN(1,(MAX(Subject!$B:$B))),Subject!$B:$B,0),3))))</f>
        <v/>
      </c>
      <c r="D413" s="2" t="str">
        <f t="array" ref="D413">IF(NOW()&gt;AO413,"",IF(AND((WEEKDAY($A413)+$B$2)&gt;1,((WEEKDAY($A413)+$T$2)&lt;7),(WEEKDAY($A413)&lt;&gt;1)),"work",(INDEX(Subject!$A:$I,MATCH(RANDBETWEEN(1,(MAX(Subject!$B:$B))),Subject!$B:$B,0),3))))</f>
        <v/>
      </c>
      <c r="E413" s="2" t="str">
        <f t="array" ref="E413">IF(NOW()&gt;AP413,"",IF(AND((WEEKDAY($A413)+$B$2)&gt;1,((WEEKDAY($A413)+$T$2)&lt;7),(WEEKDAY($A413)&lt;&gt;1)),"work",(INDEX(Subject!$A:$I,MATCH(RANDBETWEEN(1,(MAX(Subject!$B:$B))),Subject!$B:$B,0),3))))</f>
        <v/>
      </c>
      <c r="F413" s="2" t="str">
        <f t="array" ref="F413">IF(NOW()&gt;AQ413,"",IF(AND((WEEKDAY($A413)+$B$2)&gt;1,((WEEKDAY($A413)+$T$2)&lt;7),(WEEKDAY($A413)&lt;&gt;1)),"work",(INDEX(Subject!$A:$I,MATCH(RANDBETWEEN(1,(MAX(Subject!$B:$B))),Subject!$B:$B,0),3))))</f>
        <v/>
      </c>
      <c r="G413" s="2" t="str">
        <f t="array" ref="G413">IF(NOW()&gt;AR413,"",IF(AND((WEEKDAY($A413)+$B$2)&gt;1,((WEEKDAY($A413)+$T$2)&lt;7),(WEEKDAY($A413)&lt;&gt;1)),"work",(INDEX(Subject!$A:$I,MATCH(RANDBETWEEN(1,(MAX(Subject!$B:$B))),Subject!$B:$B,0),3))))</f>
        <v/>
      </c>
      <c r="H413" s="2" t="str">
        <f t="array" ref="H413">IF(NOW()&gt;AS413,"",IF(AND((WEEKDAY($A413)+$B$2)&gt;1,((WEEKDAY($A413)+$T$2)&lt;7),(WEEKDAY($A413)&lt;&gt;1)),"work",(INDEX(Subject!$A:$I,MATCH(RANDBETWEEN(1,(MAX(Subject!$B:$B))),Subject!$B:$B,0),3))))</f>
        <v/>
      </c>
      <c r="I413" s="2" t="str">
        <f t="array" ref="I413">IF(NOW()&gt;AT413,"",IF(AND((WEEKDAY($A413)+$B$2)&gt;1,((WEEKDAY($A413)+$T$2)&lt;7),(WEEKDAY($A413)&lt;&gt;1)),"work",(INDEX(Subject!$A:$I,MATCH(RANDBETWEEN(1,(MAX(Subject!$B:$B))),Subject!$B:$B,0),3))))</f>
        <v/>
      </c>
      <c r="J413" s="2" t="str">
        <f t="array" ref="J413">IF(NOW()&gt;AU413,"",IF(AND((WEEKDAY($A413)+$B$2)&gt;1,((WEEKDAY($A413)+$T$2)&lt;7),(WEEKDAY($A413)&lt;&gt;1)),"work",(INDEX(Subject!$A:$I,MATCH(RANDBETWEEN(1,(MAX(Subject!$B:$B))),Subject!$B:$B,0),3))))</f>
        <v/>
      </c>
      <c r="K413" s="2" t="str">
        <f t="array" ref="K413">IF(NOW()&gt;AV413,"",IF(AND((WEEKDAY($A413)+$B$2)&gt;1,((WEEKDAY($A413)+$T$2)&lt;7),(WEEKDAY($A413)&lt;&gt;1)),"work",(INDEX(Subject!$A:$I,MATCH(RANDBETWEEN(1,(MAX(Subject!$B:$B))),Subject!$B:$B,0),3))))</f>
        <v/>
      </c>
      <c r="L413" s="2" t="str">
        <f t="array" ref="L413">IF(NOW()&gt;AW413,"",IF(AND((WEEKDAY($A413)+$B$2)&gt;1,((WEEKDAY($A413)+$T$2)&lt;7),(WEEKDAY($A413)&lt;&gt;1)),"work",(INDEX(Subject!$A:$I,MATCH(RANDBETWEEN(1,(MAX(Subject!$B:$B))),Subject!$B:$B,0),3))))</f>
        <v/>
      </c>
      <c r="M413" s="2" t="str">
        <f t="array" ref="M413">IF(NOW()&gt;AX413,"",IF(AND((WEEKDAY($A413)+$B$2)&gt;1,((WEEKDAY($A413)+$T$2)&lt;7),(WEEKDAY($A413)&lt;&gt;1)),"work",(INDEX(Subject!$A:$I,MATCH(RANDBETWEEN(1,(MAX(Subject!$B:$B))),Subject!$B:$B,0),3))))</f>
        <v/>
      </c>
      <c r="N413" s="2" t="str">
        <f t="array" ref="N413">IF(NOW()&gt;AY413,"",IF(AND((WEEKDAY($A413)+$B$2)&gt;1,((WEEKDAY($A413)+$T$2)&lt;7),(WEEKDAY($A413)&lt;&gt;1)),"work",(INDEX(Subject!$A:$I,MATCH(RANDBETWEEN(1,(MAX(Subject!$B:$B))),Subject!$B:$B,0),3))))</f>
        <v/>
      </c>
      <c r="O413" s="2" t="str">
        <f t="array" ref="O413">IF(NOW()&gt;AZ413,"",IF(AND((WEEKDAY($A413)+$B$2)&gt;1,((WEEKDAY($A413)+$T$2)&lt;7),(WEEKDAY($A413)&lt;&gt;1)),"work",(INDEX(Subject!$A:$I,MATCH(RANDBETWEEN(1,(MAX(Subject!$B:$B))),Subject!$B:$B,0),3))))</f>
        <v/>
      </c>
      <c r="P413" s="2" t="str">
        <f t="array" ref="P413">IF(NOW()&gt;BA413,"",IF(AND((WEEKDAY($A413)+$B$2)&gt;1,((WEEKDAY($A413)+$T$2)&lt;7),(WEEKDAY($A413)&lt;&gt;1)),"work",(INDEX(Subject!$A:$I,MATCH(RANDBETWEEN(1,(MAX(Subject!$B:$B))),Subject!$B:$B,0),3))))</f>
        <v/>
      </c>
      <c r="Q413" s="2" t="str">
        <f t="array" ref="Q413">IF(NOW()&gt;BB413,"",IF(AND((WEEKDAY($A413)+$B$2)&gt;1,((WEEKDAY($A413)+$T$2)&lt;7),(WEEKDAY($A413)&lt;&gt;1)),"work",(INDEX(Subject!$A:$I,MATCH(RANDBETWEEN(1,(MAX(Subject!$B:$B))),Subject!$B:$B,0),3))))</f>
        <v/>
      </c>
      <c r="R413" s="2" t="str">
        <f t="array" ref="R413">IF(NOW()&gt;BC413,"",IF(AND((WEEKDAY($A413)+$B$2)&gt;1,((WEEKDAY($A413)+$T$2)&lt;7),(WEEKDAY($A413)&lt;&gt;1)),"work",(INDEX(Subject!$A:$I,MATCH(RANDBETWEEN(1,(MAX(Subject!$B:$B))),Subject!$B:$B,0),3))))</f>
        <v/>
      </c>
      <c r="S413" s="2" t="str">
        <f t="array" ref="S413">IF(NOW()&gt;BD413,"",IF(AND((WEEKDAY($A413)+$B$2)&gt;1,((WEEKDAY($A413)+$T$2)&lt;7),(WEEKDAY($A413)&lt;&gt;1)),"work",(INDEX(Subject!$A:$I,MATCH(RANDBETWEEN(1,(MAX(Subject!$B:$B))),Subject!$B:$B,0),3))))</f>
        <v/>
      </c>
      <c r="T413" s="2" t="str">
        <f t="array" ref="T413">IF(NOW()&gt;BE413,"",IF(AND((WEEKDAY($A413)+$B$2)&gt;1,((WEEKDAY($A413)+$T$2)&lt;7),(WEEKDAY($A413)&lt;&gt;1)),"work",(INDEX(Subject!$A:$I,MATCH(RANDBETWEEN(1,(MAX(Subject!$B:$B))),Subject!$B:$B,0),3))))</f>
        <v/>
      </c>
      <c r="U413" s="8" t="str">
        <f t="array" ref="U413">INDEX(Subject!$A:$I,MATCH(RANDBETWEEN(1,16),Subject!$B:$B,0),3)</f>
        <v>#N/A</v>
      </c>
      <c r="V413" s="8" t="str">
        <f t="array" ref="V413">INDEX(Subject!$A:$I,MATCH(RANDBETWEEN(1,16),Subject!$B:$B,0),3)</f>
        <v>#N/A</v>
      </c>
      <c r="W413" s="8" t="str">
        <f t="array" ref="W413">INDEX(Subject!$A:$I,MATCH(RANDBETWEEN(1,16),Subject!$B:$B,0),3)</f>
        <v>#N/A</v>
      </c>
      <c r="X413" s="8" t="str">
        <f t="array" ref="X413">INDEX(Subject!$A:$I,MATCH(RANDBETWEEN(1,16),Subject!$B:$B,0),3)</f>
        <v>#N/A</v>
      </c>
      <c r="Y413" s="8" t="str">
        <f t="array" ref="Y413">INDEX(Subject!$A:$I,MATCH(RANDBETWEEN(1,16),Subject!$B:$B,0),3)</f>
        <v>#N/A</v>
      </c>
      <c r="Z413" s="8" t="str">
        <f t="array" ref="Z413">INDEX(Subject!$A:$I,MATCH(RANDBETWEEN(1,16),Subject!$B:$B,0),3)</f>
        <v>#N/A</v>
      </c>
      <c r="AA413" s="8" t="str">
        <f t="array" ref="AA413">INDEX(Subject!$A:$I,MATCH(RANDBETWEEN(1,16),Subject!$B:$B,0),3)</f>
        <v>#N/A</v>
      </c>
      <c r="AB413" s="8" t="str">
        <f t="array" ref="AB413">INDEX(Subject!$A:$I,MATCH(RANDBETWEEN(1,16),Subject!$B:$B,0),3)</f>
        <v>#N/A</v>
      </c>
      <c r="AC413" s="8" t="str">
        <f t="array" ref="AC413">INDEX(Subject!$A:$I,MATCH(RANDBETWEEN(1,16),Subject!$B:$B,0),3)</f>
        <v>#N/A</v>
      </c>
      <c r="AD413" s="8" t="str">
        <f t="array" ref="AD413">INDEX(Subject!$A:$I,MATCH(RANDBETWEEN(1,16),Subject!$B:$B,0),3)</f>
        <v>#N/A</v>
      </c>
      <c r="AE413" s="8" t="str">
        <f t="array" ref="AE413">INDEX(Subject!$A:$I,MATCH(RANDBETWEEN(1,16),Subject!$B:$B,0),3)</f>
        <v>#N/A</v>
      </c>
      <c r="AF413" s="8" t="str">
        <f t="array" ref="AF413">INDEX(Subject!$A:$I,MATCH(RANDBETWEEN(1,16),Subject!$B:$B,0),3)</f>
        <v>#N/A</v>
      </c>
      <c r="AG413" s="8" t="str">
        <f t="array" ref="AG413">INDEX(Subject!$A:$I,MATCH(RANDBETWEEN(1,16),Subject!$B:$B,0),3)</f>
        <v>#N/A</v>
      </c>
      <c r="AH413" s="8" t="str">
        <f t="array" ref="AH413">INDEX(Subject!$A:$I,MATCH(RANDBETWEEN(1,16),Subject!$B:$B,0),3)</f>
        <v>#N/A</v>
      </c>
      <c r="AI413" s="8" t="str">
        <f t="array" ref="AI413">INDEX(Subject!$A:$I,MATCH(RANDBETWEEN(1,16),Subject!$B:$B,0),3)</f>
        <v>#N/A</v>
      </c>
      <c r="AJ413" s="8" t="str">
        <f t="array" ref="AJ413">INDEX(Subject!$A:$I,MATCH(RANDBETWEEN(1,16),Subject!$B:$B,0),3)</f>
        <v>#N/A</v>
      </c>
      <c r="AK413" s="8" t="str">
        <f t="array" ref="AK413">INDEX(Subject!$A:$I,MATCH(RANDBETWEEN(1,16),Subject!$B:$B,0),3)</f>
        <v>#N/A</v>
      </c>
      <c r="AL413" s="8" t="str">
        <f t="array" ref="AL413">INDEX(Subject!$A:$I,MATCH(RANDBETWEEN(1,16),Subject!$B:$B,0),3)</f>
        <v>#N/A</v>
      </c>
      <c r="AM413" s="18">
        <f t="shared" si="4"/>
        <v>45913.33333</v>
      </c>
      <c r="AN413" s="19">
        <f t="shared" ref="AN413:BZ413" si="413">$A413+C$1</f>
        <v>45913.35417</v>
      </c>
      <c r="AO413" s="19">
        <f t="shared" si="413"/>
        <v>45913.375</v>
      </c>
      <c r="AP413" s="19">
        <f t="shared" si="413"/>
        <v>45913.39583</v>
      </c>
      <c r="AQ413" s="19">
        <f t="shared" si="413"/>
        <v>45913.41667</v>
      </c>
      <c r="AR413" s="19">
        <f t="shared" si="413"/>
        <v>45913.4375</v>
      </c>
      <c r="AS413" s="19">
        <f t="shared" si="413"/>
        <v>45913.45833</v>
      </c>
      <c r="AT413" s="19">
        <f t="shared" si="413"/>
        <v>45913.47917</v>
      </c>
      <c r="AU413" s="19">
        <f t="shared" si="413"/>
        <v>45913.5</v>
      </c>
      <c r="AV413" s="19">
        <f t="shared" si="413"/>
        <v>45913.52083</v>
      </c>
      <c r="AW413" s="19">
        <f t="shared" si="413"/>
        <v>45913.54167</v>
      </c>
      <c r="AX413" s="19">
        <f t="shared" si="413"/>
        <v>45913.5625</v>
      </c>
      <c r="AY413" s="19">
        <f t="shared" si="413"/>
        <v>45913.58333</v>
      </c>
      <c r="AZ413" s="19">
        <f t="shared" si="413"/>
        <v>45913.60417</v>
      </c>
      <c r="BA413" s="19">
        <f t="shared" si="413"/>
        <v>45913.625</v>
      </c>
      <c r="BB413" s="19">
        <f t="shared" si="413"/>
        <v>45913.64583</v>
      </c>
      <c r="BC413" s="19">
        <f t="shared" si="413"/>
        <v>45913.66667</v>
      </c>
      <c r="BD413" s="19">
        <f t="shared" si="413"/>
        <v>45913.6875</v>
      </c>
      <c r="BE413" s="19">
        <f t="shared" si="413"/>
        <v>45913.70833</v>
      </c>
      <c r="BF413" s="19">
        <f t="shared" si="413"/>
        <v>45913.72917</v>
      </c>
      <c r="BG413" s="19">
        <f t="shared" si="413"/>
        <v>45913.75</v>
      </c>
      <c r="BH413" s="19">
        <f t="shared" si="413"/>
        <v>45913.77083</v>
      </c>
      <c r="BI413" s="19">
        <f t="shared" si="413"/>
        <v>45913.79167</v>
      </c>
      <c r="BJ413" s="19">
        <f t="shared" si="413"/>
        <v>45913.8125</v>
      </c>
      <c r="BK413" s="19">
        <f t="shared" si="413"/>
        <v>45913.83333</v>
      </c>
      <c r="BL413" s="19">
        <f t="shared" si="413"/>
        <v>45913.85417</v>
      </c>
      <c r="BM413" s="19">
        <f t="shared" si="413"/>
        <v>45913.875</v>
      </c>
      <c r="BN413" s="19">
        <f t="shared" si="413"/>
        <v>45913.89583</v>
      </c>
      <c r="BO413" s="19">
        <f t="shared" si="413"/>
        <v>45913.91667</v>
      </c>
      <c r="BP413" s="19">
        <f t="shared" si="413"/>
        <v>45913.9375</v>
      </c>
      <c r="BQ413" s="19">
        <f t="shared" si="413"/>
        <v>45913.95833</v>
      </c>
      <c r="BR413" s="19">
        <f t="shared" si="413"/>
        <v>45913.97917</v>
      </c>
      <c r="BS413" s="19">
        <f t="shared" si="413"/>
        <v>45914</v>
      </c>
      <c r="BT413" s="19">
        <f t="shared" si="413"/>
        <v>45914.02083</v>
      </c>
      <c r="BU413" s="19">
        <f t="shared" si="413"/>
        <v>45914.04167</v>
      </c>
      <c r="BV413" s="19">
        <f t="shared" si="413"/>
        <v>45914.0625</v>
      </c>
      <c r="BW413" s="19">
        <f t="shared" si="413"/>
        <v>45914.08333</v>
      </c>
      <c r="BX413" s="19">
        <f t="shared" si="413"/>
        <v>45913</v>
      </c>
      <c r="BY413" s="19">
        <f t="shared" si="413"/>
        <v>45913</v>
      </c>
      <c r="BZ413" s="19">
        <f t="shared" si="413"/>
        <v>45913</v>
      </c>
    </row>
    <row r="414" ht="14.25" customHeight="1">
      <c r="A414" s="17">
        <v>45914.0</v>
      </c>
      <c r="B414" s="2" t="str">
        <f t="array" ref="B414">IF(NOW()&gt;AM414,"",IF(AND((WEEKDAY($A414)+$B$2)&gt;1,((WEEKDAY($A414)+$T$2)&lt;7),(WEEKDAY($A414)&lt;&gt;1)),"work",(INDEX(Subject!$A:$I,MATCH(RANDBETWEEN(1,(MAX(Subject!$B:$B))),Subject!$B:$B,0),3))))</f>
        <v/>
      </c>
      <c r="C414" s="2" t="str">
        <f t="array" ref="C414">IF(NOW()&gt;AN414,"",IF(AND((WEEKDAY($A414)+$B$2)&gt;1,((WEEKDAY($A414)+$T$2)&lt;7),(WEEKDAY($A414)&lt;&gt;1)),"work",(INDEX(Subject!$A:$I,MATCH(RANDBETWEEN(1,(MAX(Subject!$B:$B))),Subject!$B:$B,0),3))))</f>
        <v/>
      </c>
      <c r="D414" s="2" t="str">
        <f t="array" ref="D414">IF(NOW()&gt;AO414,"",IF(AND((WEEKDAY($A414)+$B$2)&gt;1,((WEEKDAY($A414)+$T$2)&lt;7),(WEEKDAY($A414)&lt;&gt;1)),"work",(INDEX(Subject!$A:$I,MATCH(RANDBETWEEN(1,(MAX(Subject!$B:$B))),Subject!$B:$B,0),3))))</f>
        <v/>
      </c>
      <c r="E414" s="2" t="str">
        <f t="array" ref="E414">IF(NOW()&gt;AP414,"",IF(AND((WEEKDAY($A414)+$B$2)&gt;1,((WEEKDAY($A414)+$T$2)&lt;7),(WEEKDAY($A414)&lt;&gt;1)),"work",(INDEX(Subject!$A:$I,MATCH(RANDBETWEEN(1,(MAX(Subject!$B:$B))),Subject!$B:$B,0),3))))</f>
        <v/>
      </c>
      <c r="F414" s="2" t="str">
        <f t="array" ref="F414">IF(NOW()&gt;AQ414,"",IF(AND((WEEKDAY($A414)+$B$2)&gt;1,((WEEKDAY($A414)+$T$2)&lt;7),(WEEKDAY($A414)&lt;&gt;1)),"work",(INDEX(Subject!$A:$I,MATCH(RANDBETWEEN(1,(MAX(Subject!$B:$B))),Subject!$B:$B,0),3))))</f>
        <v/>
      </c>
      <c r="G414" s="2" t="str">
        <f t="array" ref="G414">IF(NOW()&gt;AR414,"",IF(AND((WEEKDAY($A414)+$B$2)&gt;1,((WEEKDAY($A414)+$T$2)&lt;7),(WEEKDAY($A414)&lt;&gt;1)),"work",(INDEX(Subject!$A:$I,MATCH(RANDBETWEEN(1,(MAX(Subject!$B:$B))),Subject!$B:$B,0),3))))</f>
        <v/>
      </c>
      <c r="H414" s="2" t="str">
        <f t="array" ref="H414">IF(NOW()&gt;AS414,"",IF(AND((WEEKDAY($A414)+$B$2)&gt;1,((WEEKDAY($A414)+$T$2)&lt;7),(WEEKDAY($A414)&lt;&gt;1)),"work",(INDEX(Subject!$A:$I,MATCH(RANDBETWEEN(1,(MAX(Subject!$B:$B))),Subject!$B:$B,0),3))))</f>
        <v/>
      </c>
      <c r="I414" s="2" t="str">
        <f t="array" ref="I414">IF(NOW()&gt;AT414,"",IF(AND((WEEKDAY($A414)+$B$2)&gt;1,((WEEKDAY($A414)+$T$2)&lt;7),(WEEKDAY($A414)&lt;&gt;1)),"work",(INDEX(Subject!$A:$I,MATCH(RANDBETWEEN(1,(MAX(Subject!$B:$B))),Subject!$B:$B,0),3))))</f>
        <v/>
      </c>
      <c r="J414" s="2" t="str">
        <f t="array" ref="J414">IF(NOW()&gt;AU414,"",IF(AND((WEEKDAY($A414)+$B$2)&gt;1,((WEEKDAY($A414)+$T$2)&lt;7),(WEEKDAY($A414)&lt;&gt;1)),"work",(INDEX(Subject!$A:$I,MATCH(RANDBETWEEN(1,(MAX(Subject!$B:$B))),Subject!$B:$B,0),3))))</f>
        <v/>
      </c>
      <c r="K414" s="2" t="str">
        <f t="array" ref="K414">IF(NOW()&gt;AV414,"",IF(AND((WEEKDAY($A414)+$B$2)&gt;1,((WEEKDAY($A414)+$T$2)&lt;7),(WEEKDAY($A414)&lt;&gt;1)),"work",(INDEX(Subject!$A:$I,MATCH(RANDBETWEEN(1,(MAX(Subject!$B:$B))),Subject!$B:$B,0),3))))</f>
        <v/>
      </c>
      <c r="L414" s="2" t="str">
        <f t="array" ref="L414">IF(NOW()&gt;AW414,"",IF(AND((WEEKDAY($A414)+$B$2)&gt;1,((WEEKDAY($A414)+$T$2)&lt;7),(WEEKDAY($A414)&lt;&gt;1)),"work",(INDEX(Subject!$A:$I,MATCH(RANDBETWEEN(1,(MAX(Subject!$B:$B))),Subject!$B:$B,0),3))))</f>
        <v/>
      </c>
      <c r="M414" s="2" t="str">
        <f t="array" ref="M414">IF(NOW()&gt;AX414,"",IF(AND((WEEKDAY($A414)+$B$2)&gt;1,((WEEKDAY($A414)+$T$2)&lt;7),(WEEKDAY($A414)&lt;&gt;1)),"work",(INDEX(Subject!$A:$I,MATCH(RANDBETWEEN(1,(MAX(Subject!$B:$B))),Subject!$B:$B,0),3))))</f>
        <v/>
      </c>
      <c r="N414" s="2" t="str">
        <f t="array" ref="N414">IF(NOW()&gt;AY414,"",IF(AND((WEEKDAY($A414)+$B$2)&gt;1,((WEEKDAY($A414)+$T$2)&lt;7),(WEEKDAY($A414)&lt;&gt;1)),"work",(INDEX(Subject!$A:$I,MATCH(RANDBETWEEN(1,(MAX(Subject!$B:$B))),Subject!$B:$B,0),3))))</f>
        <v/>
      </c>
      <c r="O414" s="2" t="str">
        <f t="array" ref="O414">IF(NOW()&gt;AZ414,"",IF(AND((WEEKDAY($A414)+$B$2)&gt;1,((WEEKDAY($A414)+$T$2)&lt;7),(WEEKDAY($A414)&lt;&gt;1)),"work",(INDEX(Subject!$A:$I,MATCH(RANDBETWEEN(1,(MAX(Subject!$B:$B))),Subject!$B:$B,0),3))))</f>
        <v/>
      </c>
      <c r="P414" s="2" t="str">
        <f t="array" ref="P414">IF(NOW()&gt;BA414,"",IF(AND((WEEKDAY($A414)+$B$2)&gt;1,((WEEKDAY($A414)+$T$2)&lt;7),(WEEKDAY($A414)&lt;&gt;1)),"work",(INDEX(Subject!$A:$I,MATCH(RANDBETWEEN(1,(MAX(Subject!$B:$B))),Subject!$B:$B,0),3))))</f>
        <v/>
      </c>
      <c r="Q414" s="2" t="str">
        <f t="array" ref="Q414">IF(NOW()&gt;BB414,"",IF(AND((WEEKDAY($A414)+$B$2)&gt;1,((WEEKDAY($A414)+$T$2)&lt;7),(WEEKDAY($A414)&lt;&gt;1)),"work",(INDEX(Subject!$A:$I,MATCH(RANDBETWEEN(1,(MAX(Subject!$B:$B))),Subject!$B:$B,0),3))))</f>
        <v/>
      </c>
      <c r="R414" s="2" t="str">
        <f t="array" ref="R414">IF(NOW()&gt;BC414,"",IF(AND((WEEKDAY($A414)+$B$2)&gt;1,((WEEKDAY($A414)+$T$2)&lt;7),(WEEKDAY($A414)&lt;&gt;1)),"work",(INDEX(Subject!$A:$I,MATCH(RANDBETWEEN(1,(MAX(Subject!$B:$B))),Subject!$B:$B,0),3))))</f>
        <v/>
      </c>
      <c r="S414" s="2" t="str">
        <f t="array" ref="S414">IF(NOW()&gt;BD414,"",IF(AND((WEEKDAY($A414)+$B$2)&gt;1,((WEEKDAY($A414)+$T$2)&lt;7),(WEEKDAY($A414)&lt;&gt;1)),"work",(INDEX(Subject!$A:$I,MATCH(RANDBETWEEN(1,(MAX(Subject!$B:$B))),Subject!$B:$B,0),3))))</f>
        <v/>
      </c>
      <c r="T414" s="2" t="str">
        <f t="array" ref="T414">IF(NOW()&gt;BE414,"",IF(AND((WEEKDAY($A414)+$B$2)&gt;1,((WEEKDAY($A414)+$T$2)&lt;7),(WEEKDAY($A414)&lt;&gt;1)),"work",(INDEX(Subject!$A:$I,MATCH(RANDBETWEEN(1,(MAX(Subject!$B:$B))),Subject!$B:$B,0),3))))</f>
        <v/>
      </c>
      <c r="U414" s="8" t="str">
        <f t="array" ref="U414">INDEX(Subject!$A:$I,MATCH(RANDBETWEEN(1,16),Subject!$B:$B,0),3)</f>
        <v>#N/A</v>
      </c>
      <c r="V414" s="8" t="str">
        <f t="array" ref="V414">INDEX(Subject!$A:$I,MATCH(RANDBETWEEN(1,16),Subject!$B:$B,0),3)</f>
        <v>#N/A</v>
      </c>
      <c r="W414" s="8" t="str">
        <f t="array" ref="W414">INDEX(Subject!$A:$I,MATCH(RANDBETWEEN(1,16),Subject!$B:$B,0),3)</f>
        <v>#N/A</v>
      </c>
      <c r="X414" s="8" t="str">
        <f t="array" ref="X414">INDEX(Subject!$A:$I,MATCH(RANDBETWEEN(1,16),Subject!$B:$B,0),3)</f>
        <v>#N/A</v>
      </c>
      <c r="Y414" s="8" t="str">
        <f t="array" ref="Y414">INDEX(Subject!$A:$I,MATCH(RANDBETWEEN(1,16),Subject!$B:$B,0),3)</f>
        <v/>
      </c>
      <c r="Z414" s="8" t="str">
        <f t="array" ref="Z414">INDEX(Subject!$A:$I,MATCH(RANDBETWEEN(1,16),Subject!$B:$B,0),3)</f>
        <v>#N/A</v>
      </c>
      <c r="AA414" s="8" t="str">
        <f t="array" ref="AA414">INDEX(Subject!$A:$I,MATCH(RANDBETWEEN(1,16),Subject!$B:$B,0),3)</f>
        <v>#N/A</v>
      </c>
      <c r="AB414" s="8" t="str">
        <f t="array" ref="AB414">INDEX(Subject!$A:$I,MATCH(RANDBETWEEN(1,16),Subject!$B:$B,0),3)</f>
        <v>#N/A</v>
      </c>
      <c r="AC414" s="8" t="str">
        <f t="array" ref="AC414">INDEX(Subject!$A:$I,MATCH(RANDBETWEEN(1,16),Subject!$B:$B,0),3)</f>
        <v>#N/A</v>
      </c>
      <c r="AD414" s="8" t="str">
        <f t="array" ref="AD414">INDEX(Subject!$A:$I,MATCH(RANDBETWEEN(1,16),Subject!$B:$B,0),3)</f>
        <v>#N/A</v>
      </c>
      <c r="AE414" s="8" t="str">
        <f t="array" ref="AE414">INDEX(Subject!$A:$I,MATCH(RANDBETWEEN(1,16),Subject!$B:$B,0),3)</f>
        <v>#N/A</v>
      </c>
      <c r="AF414" s="8" t="str">
        <f t="array" ref="AF414">INDEX(Subject!$A:$I,MATCH(RANDBETWEEN(1,16),Subject!$B:$B,0),3)</f>
        <v>#N/A</v>
      </c>
      <c r="AG414" s="8" t="str">
        <f t="array" ref="AG414">INDEX(Subject!$A:$I,MATCH(RANDBETWEEN(1,16),Subject!$B:$B,0),3)</f>
        <v>#N/A</v>
      </c>
      <c r="AH414" s="8" t="str">
        <f t="array" ref="AH414">INDEX(Subject!$A:$I,MATCH(RANDBETWEEN(1,16),Subject!$B:$B,0),3)</f>
        <v>#N/A</v>
      </c>
      <c r="AI414" s="8" t="str">
        <f t="array" ref="AI414">INDEX(Subject!$A:$I,MATCH(RANDBETWEEN(1,16),Subject!$B:$B,0),3)</f>
        <v>#N/A</v>
      </c>
      <c r="AJ414" s="8" t="str">
        <f t="array" ref="AJ414">INDEX(Subject!$A:$I,MATCH(RANDBETWEEN(1,16),Subject!$B:$B,0),3)</f>
        <v>#N/A</v>
      </c>
      <c r="AK414" s="8" t="str">
        <f t="array" ref="AK414">INDEX(Subject!$A:$I,MATCH(RANDBETWEEN(1,16),Subject!$B:$B,0),3)</f>
        <v>#N/A</v>
      </c>
      <c r="AL414" s="8" t="str">
        <f t="array" ref="AL414">INDEX(Subject!$A:$I,MATCH(RANDBETWEEN(1,16),Subject!$B:$B,0),3)</f>
        <v>#N/A</v>
      </c>
      <c r="AM414" s="18">
        <f t="shared" si="4"/>
        <v>45914.33333</v>
      </c>
      <c r="AN414" s="19">
        <f t="shared" ref="AN414:BZ414" si="414">$A414+C$1</f>
        <v>45914.35417</v>
      </c>
      <c r="AO414" s="19">
        <f t="shared" si="414"/>
        <v>45914.375</v>
      </c>
      <c r="AP414" s="19">
        <f t="shared" si="414"/>
        <v>45914.39583</v>
      </c>
      <c r="AQ414" s="19">
        <f t="shared" si="414"/>
        <v>45914.41667</v>
      </c>
      <c r="AR414" s="19">
        <f t="shared" si="414"/>
        <v>45914.4375</v>
      </c>
      <c r="AS414" s="19">
        <f t="shared" si="414"/>
        <v>45914.45833</v>
      </c>
      <c r="AT414" s="19">
        <f t="shared" si="414"/>
        <v>45914.47917</v>
      </c>
      <c r="AU414" s="19">
        <f t="shared" si="414"/>
        <v>45914.5</v>
      </c>
      <c r="AV414" s="19">
        <f t="shared" si="414"/>
        <v>45914.52083</v>
      </c>
      <c r="AW414" s="19">
        <f t="shared" si="414"/>
        <v>45914.54167</v>
      </c>
      <c r="AX414" s="19">
        <f t="shared" si="414"/>
        <v>45914.5625</v>
      </c>
      <c r="AY414" s="19">
        <f t="shared" si="414"/>
        <v>45914.58333</v>
      </c>
      <c r="AZ414" s="19">
        <f t="shared" si="414"/>
        <v>45914.60417</v>
      </c>
      <c r="BA414" s="19">
        <f t="shared" si="414"/>
        <v>45914.625</v>
      </c>
      <c r="BB414" s="19">
        <f t="shared" si="414"/>
        <v>45914.64583</v>
      </c>
      <c r="BC414" s="19">
        <f t="shared" si="414"/>
        <v>45914.66667</v>
      </c>
      <c r="BD414" s="19">
        <f t="shared" si="414"/>
        <v>45914.6875</v>
      </c>
      <c r="BE414" s="19">
        <f t="shared" si="414"/>
        <v>45914.70833</v>
      </c>
      <c r="BF414" s="19">
        <f t="shared" si="414"/>
        <v>45914.72917</v>
      </c>
      <c r="BG414" s="19">
        <f t="shared" si="414"/>
        <v>45914.75</v>
      </c>
      <c r="BH414" s="19">
        <f t="shared" si="414"/>
        <v>45914.77083</v>
      </c>
      <c r="BI414" s="19">
        <f t="shared" si="414"/>
        <v>45914.79167</v>
      </c>
      <c r="BJ414" s="19">
        <f t="shared" si="414"/>
        <v>45914.8125</v>
      </c>
      <c r="BK414" s="19">
        <f t="shared" si="414"/>
        <v>45914.83333</v>
      </c>
      <c r="BL414" s="19">
        <f t="shared" si="414"/>
        <v>45914.85417</v>
      </c>
      <c r="BM414" s="19">
        <f t="shared" si="414"/>
        <v>45914.875</v>
      </c>
      <c r="BN414" s="19">
        <f t="shared" si="414"/>
        <v>45914.89583</v>
      </c>
      <c r="BO414" s="19">
        <f t="shared" si="414"/>
        <v>45914.91667</v>
      </c>
      <c r="BP414" s="19">
        <f t="shared" si="414"/>
        <v>45914.9375</v>
      </c>
      <c r="BQ414" s="19">
        <f t="shared" si="414"/>
        <v>45914.95833</v>
      </c>
      <c r="BR414" s="19">
        <f t="shared" si="414"/>
        <v>45914.97917</v>
      </c>
      <c r="BS414" s="19">
        <f t="shared" si="414"/>
        <v>45915</v>
      </c>
      <c r="BT414" s="19">
        <f t="shared" si="414"/>
        <v>45915.02083</v>
      </c>
      <c r="BU414" s="19">
        <f t="shared" si="414"/>
        <v>45915.04167</v>
      </c>
      <c r="BV414" s="19">
        <f t="shared" si="414"/>
        <v>45915.0625</v>
      </c>
      <c r="BW414" s="19">
        <f t="shared" si="414"/>
        <v>45915.08333</v>
      </c>
      <c r="BX414" s="19">
        <f t="shared" si="414"/>
        <v>45914</v>
      </c>
      <c r="BY414" s="19">
        <f t="shared" si="414"/>
        <v>45914</v>
      </c>
      <c r="BZ414" s="19">
        <f t="shared" si="414"/>
        <v>45914</v>
      </c>
    </row>
    <row r="415" ht="14.25" customHeight="1">
      <c r="A415" s="17">
        <v>45915.0</v>
      </c>
      <c r="B415" s="2" t="str">
        <f t="array" ref="B415">IF(NOW()&gt;AM415,"",IF(AND((WEEKDAY($A415)+$B$2)&gt;1,((WEEKDAY($A415)+$T$2)&lt;7),(WEEKDAY($A415)&lt;&gt;1)),"work",(INDEX(Subject!$A:$I,MATCH(RANDBETWEEN(1,(MAX(Subject!$B:$B))),Subject!$B:$B,0),3))))</f>
        <v/>
      </c>
      <c r="C415" s="2" t="str">
        <f t="array" ref="C415">IF(NOW()&gt;AN415,"",IF(AND((WEEKDAY($A415)+$B$2)&gt;1,((WEEKDAY($A415)+$T$2)&lt;7),(WEEKDAY($A415)&lt;&gt;1)),"work",(INDEX(Subject!$A:$I,MATCH(RANDBETWEEN(1,(MAX(Subject!$B:$B))),Subject!$B:$B,0),3))))</f>
        <v/>
      </c>
      <c r="D415" s="2" t="str">
        <f t="array" ref="D415">IF(NOW()&gt;AO415,"",IF(AND((WEEKDAY($A415)+$B$2)&gt;1,((WEEKDAY($A415)+$T$2)&lt;7),(WEEKDAY($A415)&lt;&gt;1)),"work",(INDEX(Subject!$A:$I,MATCH(RANDBETWEEN(1,(MAX(Subject!$B:$B))),Subject!$B:$B,0),3))))</f>
        <v/>
      </c>
      <c r="E415" s="2" t="str">
        <f t="array" ref="E415">IF(NOW()&gt;AP415,"",IF(AND((WEEKDAY($A415)+$B$2)&gt;1,((WEEKDAY($A415)+$T$2)&lt;7),(WEEKDAY($A415)&lt;&gt;1)),"work",(INDEX(Subject!$A:$I,MATCH(RANDBETWEEN(1,(MAX(Subject!$B:$B))),Subject!$B:$B,0),3))))</f>
        <v/>
      </c>
      <c r="F415" s="2" t="str">
        <f t="array" ref="F415">IF(NOW()&gt;AQ415,"",IF(AND((WEEKDAY($A415)+$B$2)&gt;1,((WEEKDAY($A415)+$T$2)&lt;7),(WEEKDAY($A415)&lt;&gt;1)),"work",(INDEX(Subject!$A:$I,MATCH(RANDBETWEEN(1,(MAX(Subject!$B:$B))),Subject!$B:$B,0),3))))</f>
        <v/>
      </c>
      <c r="G415" s="2" t="str">
        <f t="array" ref="G415">IF(NOW()&gt;AR415,"",IF(AND((WEEKDAY($A415)+$B$2)&gt;1,((WEEKDAY($A415)+$T$2)&lt;7),(WEEKDAY($A415)&lt;&gt;1)),"work",(INDEX(Subject!$A:$I,MATCH(RANDBETWEEN(1,(MAX(Subject!$B:$B))),Subject!$B:$B,0),3))))</f>
        <v/>
      </c>
      <c r="H415" s="2" t="str">
        <f t="array" ref="H415">IF(NOW()&gt;AS415,"",IF(AND((WEEKDAY($A415)+$B$2)&gt;1,((WEEKDAY($A415)+$T$2)&lt;7),(WEEKDAY($A415)&lt;&gt;1)),"work",(INDEX(Subject!$A:$I,MATCH(RANDBETWEEN(1,(MAX(Subject!$B:$B))),Subject!$B:$B,0),3))))</f>
        <v/>
      </c>
      <c r="I415" s="2" t="str">
        <f t="array" ref="I415">IF(NOW()&gt;AT415,"",IF(AND((WEEKDAY($A415)+$B$2)&gt;1,((WEEKDAY($A415)+$T$2)&lt;7),(WEEKDAY($A415)&lt;&gt;1)),"work",(INDEX(Subject!$A:$I,MATCH(RANDBETWEEN(1,(MAX(Subject!$B:$B))),Subject!$B:$B,0),3))))</f>
        <v/>
      </c>
      <c r="J415" s="2" t="str">
        <f t="array" ref="J415">IF(NOW()&gt;AU415,"",IF(AND((WEEKDAY($A415)+$B$2)&gt;1,((WEEKDAY($A415)+$T$2)&lt;7),(WEEKDAY($A415)&lt;&gt;1)),"work",(INDEX(Subject!$A:$I,MATCH(RANDBETWEEN(1,(MAX(Subject!$B:$B))),Subject!$B:$B,0),3))))</f>
        <v/>
      </c>
      <c r="K415" s="2" t="str">
        <f t="array" ref="K415">IF(NOW()&gt;AV415,"",IF(AND((WEEKDAY($A415)+$B$2)&gt;1,((WEEKDAY($A415)+$T$2)&lt;7),(WEEKDAY($A415)&lt;&gt;1)),"work",(INDEX(Subject!$A:$I,MATCH(RANDBETWEEN(1,(MAX(Subject!$B:$B))),Subject!$B:$B,0),3))))</f>
        <v/>
      </c>
      <c r="L415" s="2" t="str">
        <f t="array" ref="L415">IF(NOW()&gt;AW415,"",IF(AND((WEEKDAY($A415)+$B$2)&gt;1,((WEEKDAY($A415)+$T$2)&lt;7),(WEEKDAY($A415)&lt;&gt;1)),"work",(INDEX(Subject!$A:$I,MATCH(RANDBETWEEN(1,(MAX(Subject!$B:$B))),Subject!$B:$B,0),3))))</f>
        <v/>
      </c>
      <c r="M415" s="2" t="str">
        <f t="array" ref="M415">IF(NOW()&gt;AX415,"",IF(AND((WEEKDAY($A415)+$B$2)&gt;1,((WEEKDAY($A415)+$T$2)&lt;7),(WEEKDAY($A415)&lt;&gt;1)),"work",(INDEX(Subject!$A:$I,MATCH(RANDBETWEEN(1,(MAX(Subject!$B:$B))),Subject!$B:$B,0),3))))</f>
        <v/>
      </c>
      <c r="N415" s="2" t="str">
        <f t="array" ref="N415">IF(NOW()&gt;AY415,"",IF(AND((WEEKDAY($A415)+$B$2)&gt;1,((WEEKDAY($A415)+$T$2)&lt;7),(WEEKDAY($A415)&lt;&gt;1)),"work",(INDEX(Subject!$A:$I,MATCH(RANDBETWEEN(1,(MAX(Subject!$B:$B))),Subject!$B:$B,0),3))))</f>
        <v/>
      </c>
      <c r="O415" s="2" t="str">
        <f t="array" ref="O415">IF(NOW()&gt;AZ415,"",IF(AND((WEEKDAY($A415)+$B$2)&gt;1,((WEEKDAY($A415)+$T$2)&lt;7),(WEEKDAY($A415)&lt;&gt;1)),"work",(INDEX(Subject!$A:$I,MATCH(RANDBETWEEN(1,(MAX(Subject!$B:$B))),Subject!$B:$B,0),3))))</f>
        <v/>
      </c>
      <c r="P415" s="2" t="str">
        <f t="array" ref="P415">IF(NOW()&gt;BA415,"",IF(AND((WEEKDAY($A415)+$B$2)&gt;1,((WEEKDAY($A415)+$T$2)&lt;7),(WEEKDAY($A415)&lt;&gt;1)),"work",(INDEX(Subject!$A:$I,MATCH(RANDBETWEEN(1,(MAX(Subject!$B:$B))),Subject!$B:$B,0),3))))</f>
        <v/>
      </c>
      <c r="Q415" s="2" t="str">
        <f t="array" ref="Q415">IF(NOW()&gt;BB415,"",IF(AND((WEEKDAY($A415)+$B$2)&gt;1,((WEEKDAY($A415)+$T$2)&lt;7),(WEEKDAY($A415)&lt;&gt;1)),"work",(INDEX(Subject!$A:$I,MATCH(RANDBETWEEN(1,(MAX(Subject!$B:$B))),Subject!$B:$B,0),3))))</f>
        <v/>
      </c>
      <c r="R415" s="2" t="str">
        <f t="array" ref="R415">IF(NOW()&gt;BC415,"",IF(AND((WEEKDAY($A415)+$B$2)&gt;1,((WEEKDAY($A415)+$T$2)&lt;7),(WEEKDAY($A415)&lt;&gt;1)),"work",(INDEX(Subject!$A:$I,MATCH(RANDBETWEEN(1,(MAX(Subject!$B:$B))),Subject!$B:$B,0),3))))</f>
        <v/>
      </c>
      <c r="S415" s="2" t="str">
        <f t="array" ref="S415">IF(NOW()&gt;BD415,"",IF(AND((WEEKDAY($A415)+$B$2)&gt;1,((WEEKDAY($A415)+$T$2)&lt;7),(WEEKDAY($A415)&lt;&gt;1)),"work",(INDEX(Subject!$A:$I,MATCH(RANDBETWEEN(1,(MAX(Subject!$B:$B))),Subject!$B:$B,0),3))))</f>
        <v/>
      </c>
      <c r="T415" s="2" t="str">
        <f t="array" ref="T415">IF(NOW()&gt;BE415,"",IF(AND((WEEKDAY($A415)+$B$2)&gt;1,((WEEKDAY($A415)+$T$2)&lt;7),(WEEKDAY($A415)&lt;&gt;1)),"work",(INDEX(Subject!$A:$I,MATCH(RANDBETWEEN(1,(MAX(Subject!$B:$B))),Subject!$B:$B,0),3))))</f>
        <v/>
      </c>
      <c r="U415" s="8" t="str">
        <f t="array" ref="U415">INDEX(Subject!$A:$I,MATCH(RANDBETWEEN(1,16),Subject!$B:$B,0),3)</f>
        <v>#N/A</v>
      </c>
      <c r="V415" s="8" t="str">
        <f t="array" ref="V415">INDEX(Subject!$A:$I,MATCH(RANDBETWEEN(1,16),Subject!$B:$B,0),3)</f>
        <v>#N/A</v>
      </c>
      <c r="W415" s="8" t="str">
        <f t="array" ref="W415">INDEX(Subject!$A:$I,MATCH(RANDBETWEEN(1,16),Subject!$B:$B,0),3)</f>
        <v>#N/A</v>
      </c>
      <c r="X415" s="8" t="str">
        <f t="array" ref="X415">INDEX(Subject!$A:$I,MATCH(RANDBETWEEN(1,16),Subject!$B:$B,0),3)</f>
        <v>#N/A</v>
      </c>
      <c r="Y415" s="8" t="str">
        <f t="array" ref="Y415">INDEX(Subject!$A:$I,MATCH(RANDBETWEEN(1,16),Subject!$B:$B,0),3)</f>
        <v>#N/A</v>
      </c>
      <c r="Z415" s="8" t="str">
        <f t="array" ref="Z415">INDEX(Subject!$A:$I,MATCH(RANDBETWEEN(1,16),Subject!$B:$B,0),3)</f>
        <v>#N/A</v>
      </c>
      <c r="AA415" s="8" t="str">
        <f t="array" ref="AA415">INDEX(Subject!$A:$I,MATCH(RANDBETWEEN(1,16),Subject!$B:$B,0),3)</f>
        <v>#N/A</v>
      </c>
      <c r="AB415" s="8" t="str">
        <f t="array" ref="AB415">INDEX(Subject!$A:$I,MATCH(RANDBETWEEN(1,16),Subject!$B:$B,0),3)</f>
        <v>#N/A</v>
      </c>
      <c r="AC415" s="8" t="str">
        <f t="array" ref="AC415">INDEX(Subject!$A:$I,MATCH(RANDBETWEEN(1,16),Subject!$B:$B,0),3)</f>
        <v>#N/A</v>
      </c>
      <c r="AD415" s="8" t="str">
        <f t="array" ref="AD415">INDEX(Subject!$A:$I,MATCH(RANDBETWEEN(1,16),Subject!$B:$B,0),3)</f>
        <v>#N/A</v>
      </c>
      <c r="AE415" s="8" t="str">
        <f t="array" ref="AE415">INDEX(Subject!$A:$I,MATCH(RANDBETWEEN(1,16),Subject!$B:$B,0),3)</f>
        <v>#N/A</v>
      </c>
      <c r="AF415" s="8" t="str">
        <f t="array" ref="AF415">INDEX(Subject!$A:$I,MATCH(RANDBETWEEN(1,16),Subject!$B:$B,0),3)</f>
        <v>#N/A</v>
      </c>
      <c r="AG415" s="8" t="str">
        <f t="array" ref="AG415">INDEX(Subject!$A:$I,MATCH(RANDBETWEEN(1,16),Subject!$B:$B,0),3)</f>
        <v>#N/A</v>
      </c>
      <c r="AH415" s="8" t="str">
        <f t="array" ref="AH415">INDEX(Subject!$A:$I,MATCH(RANDBETWEEN(1,16),Subject!$B:$B,0),3)</f>
        <v>#N/A</v>
      </c>
      <c r="AI415" s="8" t="str">
        <f t="array" ref="AI415">INDEX(Subject!$A:$I,MATCH(RANDBETWEEN(1,16),Subject!$B:$B,0),3)</f>
        <v>#N/A</v>
      </c>
      <c r="AJ415" s="8" t="str">
        <f t="array" ref="AJ415">INDEX(Subject!$A:$I,MATCH(RANDBETWEEN(1,16),Subject!$B:$B,0),3)</f>
        <v>#N/A</v>
      </c>
      <c r="AK415" s="8" t="str">
        <f t="array" ref="AK415">INDEX(Subject!$A:$I,MATCH(RANDBETWEEN(1,16),Subject!$B:$B,0),3)</f>
        <v>#N/A</v>
      </c>
      <c r="AL415" s="8" t="str">
        <f t="array" ref="AL415">INDEX(Subject!$A:$I,MATCH(RANDBETWEEN(1,16),Subject!$B:$B,0),3)</f>
        <v>#N/A</v>
      </c>
      <c r="AM415" s="18">
        <f t="shared" si="4"/>
        <v>45915.33333</v>
      </c>
      <c r="AN415" s="19">
        <f t="shared" ref="AN415:BZ415" si="415">$A415+C$1</f>
        <v>45915.35417</v>
      </c>
      <c r="AO415" s="19">
        <f t="shared" si="415"/>
        <v>45915.375</v>
      </c>
      <c r="AP415" s="19">
        <f t="shared" si="415"/>
        <v>45915.39583</v>
      </c>
      <c r="AQ415" s="19">
        <f t="shared" si="415"/>
        <v>45915.41667</v>
      </c>
      <c r="AR415" s="19">
        <f t="shared" si="415"/>
        <v>45915.4375</v>
      </c>
      <c r="AS415" s="19">
        <f t="shared" si="415"/>
        <v>45915.45833</v>
      </c>
      <c r="AT415" s="19">
        <f t="shared" si="415"/>
        <v>45915.47917</v>
      </c>
      <c r="AU415" s="19">
        <f t="shared" si="415"/>
        <v>45915.5</v>
      </c>
      <c r="AV415" s="19">
        <f t="shared" si="415"/>
        <v>45915.52083</v>
      </c>
      <c r="AW415" s="19">
        <f t="shared" si="415"/>
        <v>45915.54167</v>
      </c>
      <c r="AX415" s="19">
        <f t="shared" si="415"/>
        <v>45915.5625</v>
      </c>
      <c r="AY415" s="19">
        <f t="shared" si="415"/>
        <v>45915.58333</v>
      </c>
      <c r="AZ415" s="19">
        <f t="shared" si="415"/>
        <v>45915.60417</v>
      </c>
      <c r="BA415" s="19">
        <f t="shared" si="415"/>
        <v>45915.625</v>
      </c>
      <c r="BB415" s="19">
        <f t="shared" si="415"/>
        <v>45915.64583</v>
      </c>
      <c r="BC415" s="19">
        <f t="shared" si="415"/>
        <v>45915.66667</v>
      </c>
      <c r="BD415" s="19">
        <f t="shared" si="415"/>
        <v>45915.6875</v>
      </c>
      <c r="BE415" s="19">
        <f t="shared" si="415"/>
        <v>45915.70833</v>
      </c>
      <c r="BF415" s="19">
        <f t="shared" si="415"/>
        <v>45915.72917</v>
      </c>
      <c r="BG415" s="19">
        <f t="shared" si="415"/>
        <v>45915.75</v>
      </c>
      <c r="BH415" s="19">
        <f t="shared" si="415"/>
        <v>45915.77083</v>
      </c>
      <c r="BI415" s="19">
        <f t="shared" si="415"/>
        <v>45915.79167</v>
      </c>
      <c r="BJ415" s="19">
        <f t="shared" si="415"/>
        <v>45915.8125</v>
      </c>
      <c r="BK415" s="19">
        <f t="shared" si="415"/>
        <v>45915.83333</v>
      </c>
      <c r="BL415" s="19">
        <f t="shared" si="415"/>
        <v>45915.85417</v>
      </c>
      <c r="BM415" s="19">
        <f t="shared" si="415"/>
        <v>45915.875</v>
      </c>
      <c r="BN415" s="19">
        <f t="shared" si="415"/>
        <v>45915.89583</v>
      </c>
      <c r="BO415" s="19">
        <f t="shared" si="415"/>
        <v>45915.91667</v>
      </c>
      <c r="BP415" s="19">
        <f t="shared" si="415"/>
        <v>45915.9375</v>
      </c>
      <c r="BQ415" s="19">
        <f t="shared" si="415"/>
        <v>45915.95833</v>
      </c>
      <c r="BR415" s="19">
        <f t="shared" si="415"/>
        <v>45915.97917</v>
      </c>
      <c r="BS415" s="19">
        <f t="shared" si="415"/>
        <v>45916</v>
      </c>
      <c r="BT415" s="19">
        <f t="shared" si="415"/>
        <v>45916.02083</v>
      </c>
      <c r="BU415" s="19">
        <f t="shared" si="415"/>
        <v>45916.04167</v>
      </c>
      <c r="BV415" s="19">
        <f t="shared" si="415"/>
        <v>45916.0625</v>
      </c>
      <c r="BW415" s="19">
        <f t="shared" si="415"/>
        <v>45916.08333</v>
      </c>
      <c r="BX415" s="19">
        <f t="shared" si="415"/>
        <v>45915</v>
      </c>
      <c r="BY415" s="19">
        <f t="shared" si="415"/>
        <v>45915</v>
      </c>
      <c r="BZ415" s="19">
        <f t="shared" si="415"/>
        <v>45915</v>
      </c>
    </row>
    <row r="416" ht="14.25" customHeight="1">
      <c r="A416" s="17">
        <v>45916.0</v>
      </c>
      <c r="B416" s="2" t="str">
        <f t="array" ref="B416">IF(NOW()&gt;AM416,"",IF(AND((WEEKDAY($A416)+$B$2)&gt;1,((WEEKDAY($A416)+$T$2)&lt;7),(WEEKDAY($A416)&lt;&gt;1)),"work",(INDEX(Subject!$A:$I,MATCH(RANDBETWEEN(1,(MAX(Subject!$B:$B))),Subject!$B:$B,0),3))))</f>
        <v/>
      </c>
      <c r="C416" s="2" t="str">
        <f t="array" ref="C416">IF(NOW()&gt;AN416,"",IF(AND((WEEKDAY($A416)+$B$2)&gt;1,((WEEKDAY($A416)+$T$2)&lt;7),(WEEKDAY($A416)&lt;&gt;1)),"work",(INDEX(Subject!$A:$I,MATCH(RANDBETWEEN(1,(MAX(Subject!$B:$B))),Subject!$B:$B,0),3))))</f>
        <v/>
      </c>
      <c r="D416" s="2" t="str">
        <f t="array" ref="D416">IF(NOW()&gt;AO416,"",IF(AND((WEEKDAY($A416)+$B$2)&gt;1,((WEEKDAY($A416)+$T$2)&lt;7),(WEEKDAY($A416)&lt;&gt;1)),"work",(INDEX(Subject!$A:$I,MATCH(RANDBETWEEN(1,(MAX(Subject!$B:$B))),Subject!$B:$B,0),3))))</f>
        <v/>
      </c>
      <c r="E416" s="2" t="str">
        <f t="array" ref="E416">IF(NOW()&gt;AP416,"",IF(AND((WEEKDAY($A416)+$B$2)&gt;1,((WEEKDAY($A416)+$T$2)&lt;7),(WEEKDAY($A416)&lt;&gt;1)),"work",(INDEX(Subject!$A:$I,MATCH(RANDBETWEEN(1,(MAX(Subject!$B:$B))),Subject!$B:$B,0),3))))</f>
        <v/>
      </c>
      <c r="F416" s="2" t="str">
        <f t="array" ref="F416">IF(NOW()&gt;AQ416,"",IF(AND((WEEKDAY($A416)+$B$2)&gt;1,((WEEKDAY($A416)+$T$2)&lt;7),(WEEKDAY($A416)&lt;&gt;1)),"work",(INDEX(Subject!$A:$I,MATCH(RANDBETWEEN(1,(MAX(Subject!$B:$B))),Subject!$B:$B,0),3))))</f>
        <v/>
      </c>
      <c r="G416" s="2" t="str">
        <f t="array" ref="G416">IF(NOW()&gt;AR416,"",IF(AND((WEEKDAY($A416)+$B$2)&gt;1,((WEEKDAY($A416)+$T$2)&lt;7),(WEEKDAY($A416)&lt;&gt;1)),"work",(INDEX(Subject!$A:$I,MATCH(RANDBETWEEN(1,(MAX(Subject!$B:$B))),Subject!$B:$B,0),3))))</f>
        <v/>
      </c>
      <c r="H416" s="2" t="str">
        <f t="array" ref="H416">IF(NOW()&gt;AS416,"",IF(AND((WEEKDAY($A416)+$B$2)&gt;1,((WEEKDAY($A416)+$T$2)&lt;7),(WEEKDAY($A416)&lt;&gt;1)),"work",(INDEX(Subject!$A:$I,MATCH(RANDBETWEEN(1,(MAX(Subject!$B:$B))),Subject!$B:$B,0),3))))</f>
        <v/>
      </c>
      <c r="I416" s="2" t="str">
        <f t="array" ref="I416">IF(NOW()&gt;AT416,"",IF(AND((WEEKDAY($A416)+$B$2)&gt;1,((WEEKDAY($A416)+$T$2)&lt;7),(WEEKDAY($A416)&lt;&gt;1)),"work",(INDEX(Subject!$A:$I,MATCH(RANDBETWEEN(1,(MAX(Subject!$B:$B))),Subject!$B:$B,0),3))))</f>
        <v/>
      </c>
      <c r="J416" s="2" t="str">
        <f t="array" ref="J416">IF(NOW()&gt;AU416,"",IF(AND((WEEKDAY($A416)+$B$2)&gt;1,((WEEKDAY($A416)+$T$2)&lt;7),(WEEKDAY($A416)&lt;&gt;1)),"work",(INDEX(Subject!$A:$I,MATCH(RANDBETWEEN(1,(MAX(Subject!$B:$B))),Subject!$B:$B,0),3))))</f>
        <v/>
      </c>
      <c r="K416" s="2" t="str">
        <f t="array" ref="K416">IF(NOW()&gt;AV416,"",IF(AND((WEEKDAY($A416)+$B$2)&gt;1,((WEEKDAY($A416)+$T$2)&lt;7),(WEEKDAY($A416)&lt;&gt;1)),"work",(INDEX(Subject!$A:$I,MATCH(RANDBETWEEN(1,(MAX(Subject!$B:$B))),Subject!$B:$B,0),3))))</f>
        <v/>
      </c>
      <c r="L416" s="2" t="str">
        <f t="array" ref="L416">IF(NOW()&gt;AW416,"",IF(AND((WEEKDAY($A416)+$B$2)&gt;1,((WEEKDAY($A416)+$T$2)&lt;7),(WEEKDAY($A416)&lt;&gt;1)),"work",(INDEX(Subject!$A:$I,MATCH(RANDBETWEEN(1,(MAX(Subject!$B:$B))),Subject!$B:$B,0),3))))</f>
        <v/>
      </c>
      <c r="M416" s="2" t="str">
        <f t="array" ref="M416">IF(NOW()&gt;AX416,"",IF(AND((WEEKDAY($A416)+$B$2)&gt;1,((WEEKDAY($A416)+$T$2)&lt;7),(WEEKDAY($A416)&lt;&gt;1)),"work",(INDEX(Subject!$A:$I,MATCH(RANDBETWEEN(1,(MAX(Subject!$B:$B))),Subject!$B:$B,0),3))))</f>
        <v/>
      </c>
      <c r="N416" s="2" t="str">
        <f t="array" ref="N416">IF(NOW()&gt;AY416,"",IF(AND((WEEKDAY($A416)+$B$2)&gt;1,((WEEKDAY($A416)+$T$2)&lt;7),(WEEKDAY($A416)&lt;&gt;1)),"work",(INDEX(Subject!$A:$I,MATCH(RANDBETWEEN(1,(MAX(Subject!$B:$B))),Subject!$B:$B,0),3))))</f>
        <v/>
      </c>
      <c r="O416" s="2" t="str">
        <f t="array" ref="O416">IF(NOW()&gt;AZ416,"",IF(AND((WEEKDAY($A416)+$B$2)&gt;1,((WEEKDAY($A416)+$T$2)&lt;7),(WEEKDAY($A416)&lt;&gt;1)),"work",(INDEX(Subject!$A:$I,MATCH(RANDBETWEEN(1,(MAX(Subject!$B:$B))),Subject!$B:$B,0),3))))</f>
        <v/>
      </c>
      <c r="P416" s="2" t="str">
        <f t="array" ref="P416">IF(NOW()&gt;BA416,"",IF(AND((WEEKDAY($A416)+$B$2)&gt;1,((WEEKDAY($A416)+$T$2)&lt;7),(WEEKDAY($A416)&lt;&gt;1)),"work",(INDEX(Subject!$A:$I,MATCH(RANDBETWEEN(1,(MAX(Subject!$B:$B))),Subject!$B:$B,0),3))))</f>
        <v/>
      </c>
      <c r="Q416" s="2" t="str">
        <f t="array" ref="Q416">IF(NOW()&gt;BB416,"",IF(AND((WEEKDAY($A416)+$B$2)&gt;1,((WEEKDAY($A416)+$T$2)&lt;7),(WEEKDAY($A416)&lt;&gt;1)),"work",(INDEX(Subject!$A:$I,MATCH(RANDBETWEEN(1,(MAX(Subject!$B:$B))),Subject!$B:$B,0),3))))</f>
        <v/>
      </c>
      <c r="R416" s="2" t="str">
        <f t="array" ref="R416">IF(NOW()&gt;BC416,"",IF(AND((WEEKDAY($A416)+$B$2)&gt;1,((WEEKDAY($A416)+$T$2)&lt;7),(WEEKDAY($A416)&lt;&gt;1)),"work",(INDEX(Subject!$A:$I,MATCH(RANDBETWEEN(1,(MAX(Subject!$B:$B))),Subject!$B:$B,0),3))))</f>
        <v/>
      </c>
      <c r="S416" s="2" t="str">
        <f t="array" ref="S416">IF(NOW()&gt;BD416,"",IF(AND((WEEKDAY($A416)+$B$2)&gt;1,((WEEKDAY($A416)+$T$2)&lt;7),(WEEKDAY($A416)&lt;&gt;1)),"work",(INDEX(Subject!$A:$I,MATCH(RANDBETWEEN(1,(MAX(Subject!$B:$B))),Subject!$B:$B,0),3))))</f>
        <v/>
      </c>
      <c r="T416" s="2" t="str">
        <f t="array" ref="T416">IF(NOW()&gt;BE416,"",IF(AND((WEEKDAY($A416)+$B$2)&gt;1,((WEEKDAY($A416)+$T$2)&lt;7),(WEEKDAY($A416)&lt;&gt;1)),"work",(INDEX(Subject!$A:$I,MATCH(RANDBETWEEN(1,(MAX(Subject!$B:$B))),Subject!$B:$B,0),3))))</f>
        <v/>
      </c>
      <c r="U416" s="8" t="str">
        <f t="array" ref="U416">INDEX(Subject!$A:$I,MATCH(RANDBETWEEN(1,16),Subject!$B:$B,0),3)</f>
        <v>#N/A</v>
      </c>
      <c r="V416" s="8" t="str">
        <f t="array" ref="V416">INDEX(Subject!$A:$I,MATCH(RANDBETWEEN(1,16),Subject!$B:$B,0),3)</f>
        <v>#N/A</v>
      </c>
      <c r="W416" s="8" t="str">
        <f t="array" ref="W416">INDEX(Subject!$A:$I,MATCH(RANDBETWEEN(1,16),Subject!$B:$B,0),3)</f>
        <v>#N/A</v>
      </c>
      <c r="X416" s="8" t="str">
        <f t="array" ref="X416">INDEX(Subject!$A:$I,MATCH(RANDBETWEEN(1,16),Subject!$B:$B,0),3)</f>
        <v>#N/A</v>
      </c>
      <c r="Y416" s="8" t="str">
        <f t="array" ref="Y416">INDEX(Subject!$A:$I,MATCH(RANDBETWEEN(1,16),Subject!$B:$B,0),3)</f>
        <v>#N/A</v>
      </c>
      <c r="Z416" s="8" t="str">
        <f t="array" ref="Z416">INDEX(Subject!$A:$I,MATCH(RANDBETWEEN(1,16),Subject!$B:$B,0),3)</f>
        <v/>
      </c>
      <c r="AA416" s="8" t="str">
        <f t="array" ref="AA416">INDEX(Subject!$A:$I,MATCH(RANDBETWEEN(1,16),Subject!$B:$B,0),3)</f>
        <v>#N/A</v>
      </c>
      <c r="AB416" s="8" t="str">
        <f t="array" ref="AB416">INDEX(Subject!$A:$I,MATCH(RANDBETWEEN(1,16),Subject!$B:$B,0),3)</f>
        <v/>
      </c>
      <c r="AC416" s="8" t="str">
        <f t="array" ref="AC416">INDEX(Subject!$A:$I,MATCH(RANDBETWEEN(1,16),Subject!$B:$B,0),3)</f>
        <v>#N/A</v>
      </c>
      <c r="AD416" s="8" t="str">
        <f t="array" ref="AD416">INDEX(Subject!$A:$I,MATCH(RANDBETWEEN(1,16),Subject!$B:$B,0),3)</f>
        <v>#N/A</v>
      </c>
      <c r="AE416" s="8" t="str">
        <f t="array" ref="AE416">INDEX(Subject!$A:$I,MATCH(RANDBETWEEN(1,16),Subject!$B:$B,0),3)</f>
        <v>#N/A</v>
      </c>
      <c r="AF416" s="8" t="str">
        <f t="array" ref="AF416">INDEX(Subject!$A:$I,MATCH(RANDBETWEEN(1,16),Subject!$B:$B,0),3)</f>
        <v>#N/A</v>
      </c>
      <c r="AG416" s="8" t="str">
        <f t="array" ref="AG416">INDEX(Subject!$A:$I,MATCH(RANDBETWEEN(1,16),Subject!$B:$B,0),3)</f>
        <v>#N/A</v>
      </c>
      <c r="AH416" s="8" t="str">
        <f t="array" ref="AH416">INDEX(Subject!$A:$I,MATCH(RANDBETWEEN(1,16),Subject!$B:$B,0),3)</f>
        <v>#N/A</v>
      </c>
      <c r="AI416" s="8" t="str">
        <f t="array" ref="AI416">INDEX(Subject!$A:$I,MATCH(RANDBETWEEN(1,16),Subject!$B:$B,0),3)</f>
        <v>#N/A</v>
      </c>
      <c r="AJ416" s="8" t="str">
        <f t="array" ref="AJ416">INDEX(Subject!$A:$I,MATCH(RANDBETWEEN(1,16),Subject!$B:$B,0),3)</f>
        <v>#N/A</v>
      </c>
      <c r="AK416" s="8" t="str">
        <f t="array" ref="AK416">INDEX(Subject!$A:$I,MATCH(RANDBETWEEN(1,16),Subject!$B:$B,0),3)</f>
        <v>#N/A</v>
      </c>
      <c r="AL416" s="8" t="str">
        <f t="array" ref="AL416">INDEX(Subject!$A:$I,MATCH(RANDBETWEEN(1,16),Subject!$B:$B,0),3)</f>
        <v>#N/A</v>
      </c>
      <c r="AM416" s="18">
        <f t="shared" si="4"/>
        <v>45916.33333</v>
      </c>
      <c r="AN416" s="19">
        <f t="shared" ref="AN416:BZ416" si="416">$A416+C$1</f>
        <v>45916.35417</v>
      </c>
      <c r="AO416" s="19">
        <f t="shared" si="416"/>
        <v>45916.375</v>
      </c>
      <c r="AP416" s="19">
        <f t="shared" si="416"/>
        <v>45916.39583</v>
      </c>
      <c r="AQ416" s="19">
        <f t="shared" si="416"/>
        <v>45916.41667</v>
      </c>
      <c r="AR416" s="19">
        <f t="shared" si="416"/>
        <v>45916.4375</v>
      </c>
      <c r="AS416" s="19">
        <f t="shared" si="416"/>
        <v>45916.45833</v>
      </c>
      <c r="AT416" s="19">
        <f t="shared" si="416"/>
        <v>45916.47917</v>
      </c>
      <c r="AU416" s="19">
        <f t="shared" si="416"/>
        <v>45916.5</v>
      </c>
      <c r="AV416" s="19">
        <f t="shared" si="416"/>
        <v>45916.52083</v>
      </c>
      <c r="AW416" s="19">
        <f t="shared" si="416"/>
        <v>45916.54167</v>
      </c>
      <c r="AX416" s="19">
        <f t="shared" si="416"/>
        <v>45916.5625</v>
      </c>
      <c r="AY416" s="19">
        <f t="shared" si="416"/>
        <v>45916.58333</v>
      </c>
      <c r="AZ416" s="19">
        <f t="shared" si="416"/>
        <v>45916.60417</v>
      </c>
      <c r="BA416" s="19">
        <f t="shared" si="416"/>
        <v>45916.625</v>
      </c>
      <c r="BB416" s="19">
        <f t="shared" si="416"/>
        <v>45916.64583</v>
      </c>
      <c r="BC416" s="19">
        <f t="shared" si="416"/>
        <v>45916.66667</v>
      </c>
      <c r="BD416" s="19">
        <f t="shared" si="416"/>
        <v>45916.6875</v>
      </c>
      <c r="BE416" s="19">
        <f t="shared" si="416"/>
        <v>45916.70833</v>
      </c>
      <c r="BF416" s="19">
        <f t="shared" si="416"/>
        <v>45916.72917</v>
      </c>
      <c r="BG416" s="19">
        <f t="shared" si="416"/>
        <v>45916.75</v>
      </c>
      <c r="BH416" s="19">
        <f t="shared" si="416"/>
        <v>45916.77083</v>
      </c>
      <c r="BI416" s="19">
        <f t="shared" si="416"/>
        <v>45916.79167</v>
      </c>
      <c r="BJ416" s="19">
        <f t="shared" si="416"/>
        <v>45916.8125</v>
      </c>
      <c r="BK416" s="19">
        <f t="shared" si="416"/>
        <v>45916.83333</v>
      </c>
      <c r="BL416" s="19">
        <f t="shared" si="416"/>
        <v>45916.85417</v>
      </c>
      <c r="BM416" s="19">
        <f t="shared" si="416"/>
        <v>45916.875</v>
      </c>
      <c r="BN416" s="19">
        <f t="shared" si="416"/>
        <v>45916.89583</v>
      </c>
      <c r="BO416" s="19">
        <f t="shared" si="416"/>
        <v>45916.91667</v>
      </c>
      <c r="BP416" s="19">
        <f t="shared" si="416"/>
        <v>45916.9375</v>
      </c>
      <c r="BQ416" s="19">
        <f t="shared" si="416"/>
        <v>45916.95833</v>
      </c>
      <c r="BR416" s="19">
        <f t="shared" si="416"/>
        <v>45916.97917</v>
      </c>
      <c r="BS416" s="19">
        <f t="shared" si="416"/>
        <v>45917</v>
      </c>
      <c r="BT416" s="19">
        <f t="shared" si="416"/>
        <v>45917.02083</v>
      </c>
      <c r="BU416" s="19">
        <f t="shared" si="416"/>
        <v>45917.04167</v>
      </c>
      <c r="BV416" s="19">
        <f t="shared" si="416"/>
        <v>45917.0625</v>
      </c>
      <c r="BW416" s="19">
        <f t="shared" si="416"/>
        <v>45917.08333</v>
      </c>
      <c r="BX416" s="19">
        <f t="shared" si="416"/>
        <v>45916</v>
      </c>
      <c r="BY416" s="19">
        <f t="shared" si="416"/>
        <v>45916</v>
      </c>
      <c r="BZ416" s="19">
        <f t="shared" si="416"/>
        <v>45916</v>
      </c>
    </row>
    <row r="417" ht="14.25" customHeight="1">
      <c r="A417" s="17">
        <v>45917.0</v>
      </c>
      <c r="B417" s="2" t="str">
        <f t="array" ref="B417">IF(NOW()&gt;AM417,"",IF(AND((WEEKDAY($A417)+$B$2)&gt;1,((WEEKDAY($A417)+$T$2)&lt;7),(WEEKDAY($A417)&lt;&gt;1)),"work",(INDEX(Subject!$A:$I,MATCH(RANDBETWEEN(1,(MAX(Subject!$B:$B))),Subject!$B:$B,0),3))))</f>
        <v/>
      </c>
      <c r="C417" s="2" t="str">
        <f t="array" ref="C417">IF(NOW()&gt;AN417,"",IF(AND((WEEKDAY($A417)+$B$2)&gt;1,((WEEKDAY($A417)+$T$2)&lt;7),(WEEKDAY($A417)&lt;&gt;1)),"work",(INDEX(Subject!$A:$I,MATCH(RANDBETWEEN(1,(MAX(Subject!$B:$B))),Subject!$B:$B,0),3))))</f>
        <v/>
      </c>
      <c r="D417" s="2" t="str">
        <f t="array" ref="D417">IF(NOW()&gt;AO417,"",IF(AND((WEEKDAY($A417)+$B$2)&gt;1,((WEEKDAY($A417)+$T$2)&lt;7),(WEEKDAY($A417)&lt;&gt;1)),"work",(INDEX(Subject!$A:$I,MATCH(RANDBETWEEN(1,(MAX(Subject!$B:$B))),Subject!$B:$B,0),3))))</f>
        <v/>
      </c>
      <c r="E417" s="2" t="str">
        <f t="array" ref="E417">IF(NOW()&gt;AP417,"",IF(AND((WEEKDAY($A417)+$B$2)&gt;1,((WEEKDAY($A417)+$T$2)&lt;7),(WEEKDAY($A417)&lt;&gt;1)),"work",(INDEX(Subject!$A:$I,MATCH(RANDBETWEEN(1,(MAX(Subject!$B:$B))),Subject!$B:$B,0),3))))</f>
        <v/>
      </c>
      <c r="F417" s="2" t="str">
        <f t="array" ref="F417">IF(NOW()&gt;AQ417,"",IF(AND((WEEKDAY($A417)+$B$2)&gt;1,((WEEKDAY($A417)+$T$2)&lt;7),(WEEKDAY($A417)&lt;&gt;1)),"work",(INDEX(Subject!$A:$I,MATCH(RANDBETWEEN(1,(MAX(Subject!$B:$B))),Subject!$B:$B,0),3))))</f>
        <v/>
      </c>
      <c r="G417" s="2" t="str">
        <f t="array" ref="G417">IF(NOW()&gt;AR417,"",IF(AND((WEEKDAY($A417)+$B$2)&gt;1,((WEEKDAY($A417)+$T$2)&lt;7),(WEEKDAY($A417)&lt;&gt;1)),"work",(INDEX(Subject!$A:$I,MATCH(RANDBETWEEN(1,(MAX(Subject!$B:$B))),Subject!$B:$B,0),3))))</f>
        <v/>
      </c>
      <c r="H417" s="2" t="str">
        <f t="array" ref="H417">IF(NOW()&gt;AS417,"",IF(AND((WEEKDAY($A417)+$B$2)&gt;1,((WEEKDAY($A417)+$T$2)&lt;7),(WEEKDAY($A417)&lt;&gt;1)),"work",(INDEX(Subject!$A:$I,MATCH(RANDBETWEEN(1,(MAX(Subject!$B:$B))),Subject!$B:$B,0),3))))</f>
        <v/>
      </c>
      <c r="I417" s="2" t="str">
        <f t="array" ref="I417">IF(NOW()&gt;AT417,"",IF(AND((WEEKDAY($A417)+$B$2)&gt;1,((WEEKDAY($A417)+$T$2)&lt;7),(WEEKDAY($A417)&lt;&gt;1)),"work",(INDEX(Subject!$A:$I,MATCH(RANDBETWEEN(1,(MAX(Subject!$B:$B))),Subject!$B:$B,0),3))))</f>
        <v/>
      </c>
      <c r="J417" s="2" t="str">
        <f t="array" ref="J417">IF(NOW()&gt;AU417,"",IF(AND((WEEKDAY($A417)+$B$2)&gt;1,((WEEKDAY($A417)+$T$2)&lt;7),(WEEKDAY($A417)&lt;&gt;1)),"work",(INDEX(Subject!$A:$I,MATCH(RANDBETWEEN(1,(MAX(Subject!$B:$B))),Subject!$B:$B,0),3))))</f>
        <v/>
      </c>
      <c r="K417" s="2" t="str">
        <f t="array" ref="K417">IF(NOW()&gt;AV417,"",IF(AND((WEEKDAY($A417)+$B$2)&gt;1,((WEEKDAY($A417)+$T$2)&lt;7),(WEEKDAY($A417)&lt;&gt;1)),"work",(INDEX(Subject!$A:$I,MATCH(RANDBETWEEN(1,(MAX(Subject!$B:$B))),Subject!$B:$B,0),3))))</f>
        <v/>
      </c>
      <c r="L417" s="2" t="str">
        <f t="array" ref="L417">IF(NOW()&gt;AW417,"",IF(AND((WEEKDAY($A417)+$B$2)&gt;1,((WEEKDAY($A417)+$T$2)&lt;7),(WEEKDAY($A417)&lt;&gt;1)),"work",(INDEX(Subject!$A:$I,MATCH(RANDBETWEEN(1,(MAX(Subject!$B:$B))),Subject!$B:$B,0),3))))</f>
        <v/>
      </c>
      <c r="M417" s="2" t="str">
        <f t="array" ref="M417">IF(NOW()&gt;AX417,"",IF(AND((WEEKDAY($A417)+$B$2)&gt;1,((WEEKDAY($A417)+$T$2)&lt;7),(WEEKDAY($A417)&lt;&gt;1)),"work",(INDEX(Subject!$A:$I,MATCH(RANDBETWEEN(1,(MAX(Subject!$B:$B))),Subject!$B:$B,0),3))))</f>
        <v/>
      </c>
      <c r="N417" s="2" t="str">
        <f t="array" ref="N417">IF(NOW()&gt;AY417,"",IF(AND((WEEKDAY($A417)+$B$2)&gt;1,((WEEKDAY($A417)+$T$2)&lt;7),(WEEKDAY($A417)&lt;&gt;1)),"work",(INDEX(Subject!$A:$I,MATCH(RANDBETWEEN(1,(MAX(Subject!$B:$B))),Subject!$B:$B,0),3))))</f>
        <v/>
      </c>
      <c r="O417" s="2" t="str">
        <f t="array" ref="O417">IF(NOW()&gt;AZ417,"",IF(AND((WEEKDAY($A417)+$B$2)&gt;1,((WEEKDAY($A417)+$T$2)&lt;7),(WEEKDAY($A417)&lt;&gt;1)),"work",(INDEX(Subject!$A:$I,MATCH(RANDBETWEEN(1,(MAX(Subject!$B:$B))),Subject!$B:$B,0),3))))</f>
        <v/>
      </c>
      <c r="P417" s="2" t="str">
        <f t="array" ref="P417">IF(NOW()&gt;BA417,"",IF(AND((WEEKDAY($A417)+$B$2)&gt;1,((WEEKDAY($A417)+$T$2)&lt;7),(WEEKDAY($A417)&lt;&gt;1)),"work",(INDEX(Subject!$A:$I,MATCH(RANDBETWEEN(1,(MAX(Subject!$B:$B))),Subject!$B:$B,0),3))))</f>
        <v/>
      </c>
      <c r="Q417" s="2" t="str">
        <f t="array" ref="Q417">IF(NOW()&gt;BB417,"",IF(AND((WEEKDAY($A417)+$B$2)&gt;1,((WEEKDAY($A417)+$T$2)&lt;7),(WEEKDAY($A417)&lt;&gt;1)),"work",(INDEX(Subject!$A:$I,MATCH(RANDBETWEEN(1,(MAX(Subject!$B:$B))),Subject!$B:$B,0),3))))</f>
        <v/>
      </c>
      <c r="R417" s="2" t="str">
        <f t="array" ref="R417">IF(NOW()&gt;BC417,"",IF(AND((WEEKDAY($A417)+$B$2)&gt;1,((WEEKDAY($A417)+$T$2)&lt;7),(WEEKDAY($A417)&lt;&gt;1)),"work",(INDEX(Subject!$A:$I,MATCH(RANDBETWEEN(1,(MAX(Subject!$B:$B))),Subject!$B:$B,0),3))))</f>
        <v/>
      </c>
      <c r="S417" s="2" t="str">
        <f t="array" ref="S417">IF(NOW()&gt;BD417,"",IF(AND((WEEKDAY($A417)+$B$2)&gt;1,((WEEKDAY($A417)+$T$2)&lt;7),(WEEKDAY($A417)&lt;&gt;1)),"work",(INDEX(Subject!$A:$I,MATCH(RANDBETWEEN(1,(MAX(Subject!$B:$B))),Subject!$B:$B,0),3))))</f>
        <v/>
      </c>
      <c r="T417" s="2" t="str">
        <f t="array" ref="T417">IF(NOW()&gt;BE417,"",IF(AND((WEEKDAY($A417)+$B$2)&gt;1,((WEEKDAY($A417)+$T$2)&lt;7),(WEEKDAY($A417)&lt;&gt;1)),"work",(INDEX(Subject!$A:$I,MATCH(RANDBETWEEN(1,(MAX(Subject!$B:$B))),Subject!$B:$B,0),3))))</f>
        <v/>
      </c>
      <c r="U417" s="8" t="str">
        <f t="array" ref="U417">INDEX(Subject!$A:$I,MATCH(RANDBETWEEN(1,16),Subject!$B:$B,0),3)</f>
        <v>#N/A</v>
      </c>
      <c r="V417" s="8" t="str">
        <f t="array" ref="V417">INDEX(Subject!$A:$I,MATCH(RANDBETWEEN(1,16),Subject!$B:$B,0),3)</f>
        <v>#N/A</v>
      </c>
      <c r="W417" s="8" t="str">
        <f t="array" ref="W417">INDEX(Subject!$A:$I,MATCH(RANDBETWEEN(1,16),Subject!$B:$B,0),3)</f>
        <v>#N/A</v>
      </c>
      <c r="X417" s="8" t="str">
        <f t="array" ref="X417">INDEX(Subject!$A:$I,MATCH(RANDBETWEEN(1,16),Subject!$B:$B,0),3)</f>
        <v>#N/A</v>
      </c>
      <c r="Y417" s="8" t="str">
        <f t="array" ref="Y417">INDEX(Subject!$A:$I,MATCH(RANDBETWEEN(1,16),Subject!$B:$B,0),3)</f>
        <v>#N/A</v>
      </c>
      <c r="Z417" s="8" t="str">
        <f t="array" ref="Z417">INDEX(Subject!$A:$I,MATCH(RANDBETWEEN(1,16),Subject!$B:$B,0),3)</f>
        <v>#N/A</v>
      </c>
      <c r="AA417" s="8" t="str">
        <f t="array" ref="AA417">INDEX(Subject!$A:$I,MATCH(RANDBETWEEN(1,16),Subject!$B:$B,0),3)</f>
        <v>#N/A</v>
      </c>
      <c r="AB417" s="8" t="str">
        <f t="array" ref="AB417">INDEX(Subject!$A:$I,MATCH(RANDBETWEEN(1,16),Subject!$B:$B,0),3)</f>
        <v>#N/A</v>
      </c>
      <c r="AC417" s="8" t="str">
        <f t="array" ref="AC417">INDEX(Subject!$A:$I,MATCH(RANDBETWEEN(1,16),Subject!$B:$B,0),3)</f>
        <v>#N/A</v>
      </c>
      <c r="AD417" s="8" t="str">
        <f t="array" ref="AD417">INDEX(Subject!$A:$I,MATCH(RANDBETWEEN(1,16),Subject!$B:$B,0),3)</f>
        <v>#N/A</v>
      </c>
      <c r="AE417" s="8" t="str">
        <f t="array" ref="AE417">INDEX(Subject!$A:$I,MATCH(RANDBETWEEN(1,16),Subject!$B:$B,0),3)</f>
        <v>#N/A</v>
      </c>
      <c r="AF417" s="8" t="str">
        <f t="array" ref="AF417">INDEX(Subject!$A:$I,MATCH(RANDBETWEEN(1,16),Subject!$B:$B,0),3)</f>
        <v>#N/A</v>
      </c>
      <c r="AG417" s="8" t="str">
        <f t="array" ref="AG417">INDEX(Subject!$A:$I,MATCH(RANDBETWEEN(1,16),Subject!$B:$B,0),3)</f>
        <v>#N/A</v>
      </c>
      <c r="AH417" s="8" t="str">
        <f t="array" ref="AH417">INDEX(Subject!$A:$I,MATCH(RANDBETWEEN(1,16),Subject!$B:$B,0),3)</f>
        <v>#N/A</v>
      </c>
      <c r="AI417" s="8" t="str">
        <f t="array" ref="AI417">INDEX(Subject!$A:$I,MATCH(RANDBETWEEN(1,16),Subject!$B:$B,0),3)</f>
        <v>#N/A</v>
      </c>
      <c r="AJ417" s="8" t="str">
        <f t="array" ref="AJ417">INDEX(Subject!$A:$I,MATCH(RANDBETWEEN(1,16),Subject!$B:$B,0),3)</f>
        <v>#N/A</v>
      </c>
      <c r="AK417" s="8" t="str">
        <f t="array" ref="AK417">INDEX(Subject!$A:$I,MATCH(RANDBETWEEN(1,16),Subject!$B:$B,0),3)</f>
        <v>#N/A</v>
      </c>
      <c r="AL417" s="8" t="str">
        <f t="array" ref="AL417">INDEX(Subject!$A:$I,MATCH(RANDBETWEEN(1,16),Subject!$B:$B,0),3)</f>
        <v>#N/A</v>
      </c>
      <c r="AM417" s="18">
        <f t="shared" si="4"/>
        <v>45917.33333</v>
      </c>
      <c r="AN417" s="19">
        <f t="shared" ref="AN417:BZ417" si="417">$A417+C$1</f>
        <v>45917.35417</v>
      </c>
      <c r="AO417" s="19">
        <f t="shared" si="417"/>
        <v>45917.375</v>
      </c>
      <c r="AP417" s="19">
        <f t="shared" si="417"/>
        <v>45917.39583</v>
      </c>
      <c r="AQ417" s="19">
        <f t="shared" si="417"/>
        <v>45917.41667</v>
      </c>
      <c r="AR417" s="19">
        <f t="shared" si="417"/>
        <v>45917.4375</v>
      </c>
      <c r="AS417" s="19">
        <f t="shared" si="417"/>
        <v>45917.45833</v>
      </c>
      <c r="AT417" s="19">
        <f t="shared" si="417"/>
        <v>45917.47917</v>
      </c>
      <c r="AU417" s="19">
        <f t="shared" si="417"/>
        <v>45917.5</v>
      </c>
      <c r="AV417" s="19">
        <f t="shared" si="417"/>
        <v>45917.52083</v>
      </c>
      <c r="AW417" s="19">
        <f t="shared" si="417"/>
        <v>45917.54167</v>
      </c>
      <c r="AX417" s="19">
        <f t="shared" si="417"/>
        <v>45917.5625</v>
      </c>
      <c r="AY417" s="19">
        <f t="shared" si="417"/>
        <v>45917.58333</v>
      </c>
      <c r="AZ417" s="19">
        <f t="shared" si="417"/>
        <v>45917.60417</v>
      </c>
      <c r="BA417" s="19">
        <f t="shared" si="417"/>
        <v>45917.625</v>
      </c>
      <c r="BB417" s="19">
        <f t="shared" si="417"/>
        <v>45917.64583</v>
      </c>
      <c r="BC417" s="19">
        <f t="shared" si="417"/>
        <v>45917.66667</v>
      </c>
      <c r="BD417" s="19">
        <f t="shared" si="417"/>
        <v>45917.6875</v>
      </c>
      <c r="BE417" s="19">
        <f t="shared" si="417"/>
        <v>45917.70833</v>
      </c>
      <c r="BF417" s="19">
        <f t="shared" si="417"/>
        <v>45917.72917</v>
      </c>
      <c r="BG417" s="19">
        <f t="shared" si="417"/>
        <v>45917.75</v>
      </c>
      <c r="BH417" s="19">
        <f t="shared" si="417"/>
        <v>45917.77083</v>
      </c>
      <c r="BI417" s="19">
        <f t="shared" si="417"/>
        <v>45917.79167</v>
      </c>
      <c r="BJ417" s="19">
        <f t="shared" si="417"/>
        <v>45917.8125</v>
      </c>
      <c r="BK417" s="19">
        <f t="shared" si="417"/>
        <v>45917.83333</v>
      </c>
      <c r="BL417" s="19">
        <f t="shared" si="417"/>
        <v>45917.85417</v>
      </c>
      <c r="BM417" s="19">
        <f t="shared" si="417"/>
        <v>45917.875</v>
      </c>
      <c r="BN417" s="19">
        <f t="shared" si="417"/>
        <v>45917.89583</v>
      </c>
      <c r="BO417" s="19">
        <f t="shared" si="417"/>
        <v>45917.91667</v>
      </c>
      <c r="BP417" s="19">
        <f t="shared" si="417"/>
        <v>45917.9375</v>
      </c>
      <c r="BQ417" s="19">
        <f t="shared" si="417"/>
        <v>45917.95833</v>
      </c>
      <c r="BR417" s="19">
        <f t="shared" si="417"/>
        <v>45917.97917</v>
      </c>
      <c r="BS417" s="19">
        <f t="shared" si="417"/>
        <v>45918</v>
      </c>
      <c r="BT417" s="19">
        <f t="shared" si="417"/>
        <v>45918.02083</v>
      </c>
      <c r="BU417" s="19">
        <f t="shared" si="417"/>
        <v>45918.04167</v>
      </c>
      <c r="BV417" s="19">
        <f t="shared" si="417"/>
        <v>45918.0625</v>
      </c>
      <c r="BW417" s="19">
        <f t="shared" si="417"/>
        <v>45918.08333</v>
      </c>
      <c r="BX417" s="19">
        <f t="shared" si="417"/>
        <v>45917</v>
      </c>
      <c r="BY417" s="19">
        <f t="shared" si="417"/>
        <v>45917</v>
      </c>
      <c r="BZ417" s="19">
        <f t="shared" si="417"/>
        <v>45917</v>
      </c>
    </row>
    <row r="418" ht="14.25" customHeight="1">
      <c r="A418" s="17">
        <v>45918.0</v>
      </c>
      <c r="B418" s="2" t="str">
        <f t="array" ref="B418">IF(NOW()&gt;AM418,"",IF(AND((WEEKDAY($A418)+$B$2)&gt;1,((WEEKDAY($A418)+$T$2)&lt;7),(WEEKDAY($A418)&lt;&gt;1)),"work",(INDEX(Subject!$A:$I,MATCH(RANDBETWEEN(1,(MAX(Subject!$B:$B))),Subject!$B:$B,0),3))))</f>
        <v/>
      </c>
      <c r="C418" s="2" t="str">
        <f t="array" ref="C418">IF(NOW()&gt;AN418,"",IF(AND((WEEKDAY($A418)+$B$2)&gt;1,((WEEKDAY($A418)+$T$2)&lt;7),(WEEKDAY($A418)&lt;&gt;1)),"work",(INDEX(Subject!$A:$I,MATCH(RANDBETWEEN(1,(MAX(Subject!$B:$B))),Subject!$B:$B,0),3))))</f>
        <v/>
      </c>
      <c r="D418" s="2" t="str">
        <f t="array" ref="D418">IF(NOW()&gt;AO418,"",IF(AND((WEEKDAY($A418)+$B$2)&gt;1,((WEEKDAY($A418)+$T$2)&lt;7),(WEEKDAY($A418)&lt;&gt;1)),"work",(INDEX(Subject!$A:$I,MATCH(RANDBETWEEN(1,(MAX(Subject!$B:$B))),Subject!$B:$B,0),3))))</f>
        <v/>
      </c>
      <c r="E418" s="2" t="str">
        <f t="array" ref="E418">IF(NOW()&gt;AP418,"",IF(AND((WEEKDAY($A418)+$B$2)&gt;1,((WEEKDAY($A418)+$T$2)&lt;7),(WEEKDAY($A418)&lt;&gt;1)),"work",(INDEX(Subject!$A:$I,MATCH(RANDBETWEEN(1,(MAX(Subject!$B:$B))),Subject!$B:$B,0),3))))</f>
        <v/>
      </c>
      <c r="F418" s="2" t="str">
        <f t="array" ref="F418">IF(NOW()&gt;AQ418,"",IF(AND((WEEKDAY($A418)+$B$2)&gt;1,((WEEKDAY($A418)+$T$2)&lt;7),(WEEKDAY($A418)&lt;&gt;1)),"work",(INDEX(Subject!$A:$I,MATCH(RANDBETWEEN(1,(MAX(Subject!$B:$B))),Subject!$B:$B,0),3))))</f>
        <v/>
      </c>
      <c r="G418" s="2" t="str">
        <f t="array" ref="G418">IF(NOW()&gt;AR418,"",IF(AND((WEEKDAY($A418)+$B$2)&gt;1,((WEEKDAY($A418)+$T$2)&lt;7),(WEEKDAY($A418)&lt;&gt;1)),"work",(INDEX(Subject!$A:$I,MATCH(RANDBETWEEN(1,(MAX(Subject!$B:$B))),Subject!$B:$B,0),3))))</f>
        <v/>
      </c>
      <c r="H418" s="2" t="str">
        <f t="array" ref="H418">IF(NOW()&gt;AS418,"",IF(AND((WEEKDAY($A418)+$B$2)&gt;1,((WEEKDAY($A418)+$T$2)&lt;7),(WEEKDAY($A418)&lt;&gt;1)),"work",(INDEX(Subject!$A:$I,MATCH(RANDBETWEEN(1,(MAX(Subject!$B:$B))),Subject!$B:$B,0),3))))</f>
        <v/>
      </c>
      <c r="I418" s="2" t="str">
        <f t="array" ref="I418">IF(NOW()&gt;AT418,"",IF(AND((WEEKDAY($A418)+$B$2)&gt;1,((WEEKDAY($A418)+$T$2)&lt;7),(WEEKDAY($A418)&lt;&gt;1)),"work",(INDEX(Subject!$A:$I,MATCH(RANDBETWEEN(1,(MAX(Subject!$B:$B))),Subject!$B:$B,0),3))))</f>
        <v/>
      </c>
      <c r="J418" s="2" t="str">
        <f t="array" ref="J418">IF(NOW()&gt;AU418,"",IF(AND((WEEKDAY($A418)+$B$2)&gt;1,((WEEKDAY($A418)+$T$2)&lt;7),(WEEKDAY($A418)&lt;&gt;1)),"work",(INDEX(Subject!$A:$I,MATCH(RANDBETWEEN(1,(MAX(Subject!$B:$B))),Subject!$B:$B,0),3))))</f>
        <v/>
      </c>
      <c r="K418" s="2" t="str">
        <f t="array" ref="K418">IF(NOW()&gt;AV418,"",IF(AND((WEEKDAY($A418)+$B$2)&gt;1,((WEEKDAY($A418)+$T$2)&lt;7),(WEEKDAY($A418)&lt;&gt;1)),"work",(INDEX(Subject!$A:$I,MATCH(RANDBETWEEN(1,(MAX(Subject!$B:$B))),Subject!$B:$B,0),3))))</f>
        <v/>
      </c>
      <c r="L418" s="2" t="str">
        <f t="array" ref="L418">IF(NOW()&gt;AW418,"",IF(AND((WEEKDAY($A418)+$B$2)&gt;1,((WEEKDAY($A418)+$T$2)&lt;7),(WEEKDAY($A418)&lt;&gt;1)),"work",(INDEX(Subject!$A:$I,MATCH(RANDBETWEEN(1,(MAX(Subject!$B:$B))),Subject!$B:$B,0),3))))</f>
        <v/>
      </c>
      <c r="M418" s="2" t="str">
        <f t="array" ref="M418">IF(NOW()&gt;AX418,"",IF(AND((WEEKDAY($A418)+$B$2)&gt;1,((WEEKDAY($A418)+$T$2)&lt;7),(WEEKDAY($A418)&lt;&gt;1)),"work",(INDEX(Subject!$A:$I,MATCH(RANDBETWEEN(1,(MAX(Subject!$B:$B))),Subject!$B:$B,0),3))))</f>
        <v/>
      </c>
      <c r="N418" s="2" t="str">
        <f t="array" ref="N418">IF(NOW()&gt;AY418,"",IF(AND((WEEKDAY($A418)+$B$2)&gt;1,((WEEKDAY($A418)+$T$2)&lt;7),(WEEKDAY($A418)&lt;&gt;1)),"work",(INDEX(Subject!$A:$I,MATCH(RANDBETWEEN(1,(MAX(Subject!$B:$B))),Subject!$B:$B,0),3))))</f>
        <v/>
      </c>
      <c r="O418" s="2" t="str">
        <f t="array" ref="O418">IF(NOW()&gt;AZ418,"",IF(AND((WEEKDAY($A418)+$B$2)&gt;1,((WEEKDAY($A418)+$T$2)&lt;7),(WEEKDAY($A418)&lt;&gt;1)),"work",(INDEX(Subject!$A:$I,MATCH(RANDBETWEEN(1,(MAX(Subject!$B:$B))),Subject!$B:$B,0),3))))</f>
        <v/>
      </c>
      <c r="P418" s="2" t="str">
        <f t="array" ref="P418">IF(NOW()&gt;BA418,"",IF(AND((WEEKDAY($A418)+$B$2)&gt;1,((WEEKDAY($A418)+$T$2)&lt;7),(WEEKDAY($A418)&lt;&gt;1)),"work",(INDEX(Subject!$A:$I,MATCH(RANDBETWEEN(1,(MAX(Subject!$B:$B))),Subject!$B:$B,0),3))))</f>
        <v/>
      </c>
      <c r="Q418" s="2" t="str">
        <f t="array" ref="Q418">IF(NOW()&gt;BB418,"",IF(AND((WEEKDAY($A418)+$B$2)&gt;1,((WEEKDAY($A418)+$T$2)&lt;7),(WEEKDAY($A418)&lt;&gt;1)),"work",(INDEX(Subject!$A:$I,MATCH(RANDBETWEEN(1,(MAX(Subject!$B:$B))),Subject!$B:$B,0),3))))</f>
        <v/>
      </c>
      <c r="R418" s="2" t="str">
        <f t="array" ref="R418">IF(NOW()&gt;BC418,"",IF(AND((WEEKDAY($A418)+$B$2)&gt;1,((WEEKDAY($A418)+$T$2)&lt;7),(WEEKDAY($A418)&lt;&gt;1)),"work",(INDEX(Subject!$A:$I,MATCH(RANDBETWEEN(1,(MAX(Subject!$B:$B))),Subject!$B:$B,0),3))))</f>
        <v/>
      </c>
      <c r="S418" s="2" t="str">
        <f t="array" ref="S418">IF(NOW()&gt;BD418,"",IF(AND((WEEKDAY($A418)+$B$2)&gt;1,((WEEKDAY($A418)+$T$2)&lt;7),(WEEKDAY($A418)&lt;&gt;1)),"work",(INDEX(Subject!$A:$I,MATCH(RANDBETWEEN(1,(MAX(Subject!$B:$B))),Subject!$B:$B,0),3))))</f>
        <v/>
      </c>
      <c r="T418" s="2" t="str">
        <f t="array" ref="T418">IF(NOW()&gt;BE418,"",IF(AND((WEEKDAY($A418)+$B$2)&gt;1,((WEEKDAY($A418)+$T$2)&lt;7),(WEEKDAY($A418)&lt;&gt;1)),"work",(INDEX(Subject!$A:$I,MATCH(RANDBETWEEN(1,(MAX(Subject!$B:$B))),Subject!$B:$B,0),3))))</f>
        <v/>
      </c>
      <c r="U418" s="8" t="str">
        <f t="array" ref="U418">INDEX(Subject!$A:$I,MATCH(RANDBETWEEN(1,16),Subject!$B:$B,0),3)</f>
        <v>#N/A</v>
      </c>
      <c r="V418" s="8" t="str">
        <f t="array" ref="V418">INDEX(Subject!$A:$I,MATCH(RANDBETWEEN(1,16),Subject!$B:$B,0),3)</f>
        <v>#N/A</v>
      </c>
      <c r="W418" s="8" t="str">
        <f t="array" ref="W418">INDEX(Subject!$A:$I,MATCH(RANDBETWEEN(1,16),Subject!$B:$B,0),3)</f>
        <v>#N/A</v>
      </c>
      <c r="X418" s="8" t="str">
        <f t="array" ref="X418">INDEX(Subject!$A:$I,MATCH(RANDBETWEEN(1,16),Subject!$B:$B,0),3)</f>
        <v>#N/A</v>
      </c>
      <c r="Y418" s="8" t="str">
        <f t="array" ref="Y418">INDEX(Subject!$A:$I,MATCH(RANDBETWEEN(1,16),Subject!$B:$B,0),3)</f>
        <v>#N/A</v>
      </c>
      <c r="Z418" s="8" t="str">
        <f t="array" ref="Z418">INDEX(Subject!$A:$I,MATCH(RANDBETWEEN(1,16),Subject!$B:$B,0),3)</f>
        <v>#N/A</v>
      </c>
      <c r="AA418" s="8" t="str">
        <f t="array" ref="AA418">INDEX(Subject!$A:$I,MATCH(RANDBETWEEN(1,16),Subject!$B:$B,0),3)</f>
        <v>#N/A</v>
      </c>
      <c r="AB418" s="8" t="str">
        <f t="array" ref="AB418">INDEX(Subject!$A:$I,MATCH(RANDBETWEEN(1,16),Subject!$B:$B,0),3)</f>
        <v>#N/A</v>
      </c>
      <c r="AC418" s="8" t="str">
        <f t="array" ref="AC418">INDEX(Subject!$A:$I,MATCH(RANDBETWEEN(1,16),Subject!$B:$B,0),3)</f>
        <v>#N/A</v>
      </c>
      <c r="AD418" s="8" t="str">
        <f t="array" ref="AD418">INDEX(Subject!$A:$I,MATCH(RANDBETWEEN(1,16),Subject!$B:$B,0),3)</f>
        <v>#N/A</v>
      </c>
      <c r="AE418" s="8" t="str">
        <f t="array" ref="AE418">INDEX(Subject!$A:$I,MATCH(RANDBETWEEN(1,16),Subject!$B:$B,0),3)</f>
        <v>#N/A</v>
      </c>
      <c r="AF418" s="8" t="str">
        <f t="array" ref="AF418">INDEX(Subject!$A:$I,MATCH(RANDBETWEEN(1,16),Subject!$B:$B,0),3)</f>
        <v>#N/A</v>
      </c>
      <c r="AG418" s="8" t="str">
        <f t="array" ref="AG418">INDEX(Subject!$A:$I,MATCH(RANDBETWEEN(1,16),Subject!$B:$B,0),3)</f>
        <v>#N/A</v>
      </c>
      <c r="AH418" s="8" t="str">
        <f t="array" ref="AH418">INDEX(Subject!$A:$I,MATCH(RANDBETWEEN(1,16),Subject!$B:$B,0),3)</f>
        <v>#N/A</v>
      </c>
      <c r="AI418" s="8" t="str">
        <f t="array" ref="AI418">INDEX(Subject!$A:$I,MATCH(RANDBETWEEN(1,16),Subject!$B:$B,0),3)</f>
        <v>#N/A</v>
      </c>
      <c r="AJ418" s="8" t="str">
        <f t="array" ref="AJ418">INDEX(Subject!$A:$I,MATCH(RANDBETWEEN(1,16),Subject!$B:$B,0),3)</f>
        <v>#N/A</v>
      </c>
      <c r="AK418" s="8" t="str">
        <f t="array" ref="AK418">INDEX(Subject!$A:$I,MATCH(RANDBETWEEN(1,16),Subject!$B:$B,0),3)</f>
        <v>#N/A</v>
      </c>
      <c r="AL418" s="8" t="str">
        <f t="array" ref="AL418">INDEX(Subject!$A:$I,MATCH(RANDBETWEEN(1,16),Subject!$B:$B,0),3)</f>
        <v>#N/A</v>
      </c>
      <c r="AM418" s="18">
        <f t="shared" si="4"/>
        <v>45918.33333</v>
      </c>
      <c r="AN418" s="19">
        <f t="shared" ref="AN418:BZ418" si="418">$A418+C$1</f>
        <v>45918.35417</v>
      </c>
      <c r="AO418" s="19">
        <f t="shared" si="418"/>
        <v>45918.375</v>
      </c>
      <c r="AP418" s="19">
        <f t="shared" si="418"/>
        <v>45918.39583</v>
      </c>
      <c r="AQ418" s="19">
        <f t="shared" si="418"/>
        <v>45918.41667</v>
      </c>
      <c r="AR418" s="19">
        <f t="shared" si="418"/>
        <v>45918.4375</v>
      </c>
      <c r="AS418" s="19">
        <f t="shared" si="418"/>
        <v>45918.45833</v>
      </c>
      <c r="AT418" s="19">
        <f t="shared" si="418"/>
        <v>45918.47917</v>
      </c>
      <c r="AU418" s="19">
        <f t="shared" si="418"/>
        <v>45918.5</v>
      </c>
      <c r="AV418" s="19">
        <f t="shared" si="418"/>
        <v>45918.52083</v>
      </c>
      <c r="AW418" s="19">
        <f t="shared" si="418"/>
        <v>45918.54167</v>
      </c>
      <c r="AX418" s="19">
        <f t="shared" si="418"/>
        <v>45918.5625</v>
      </c>
      <c r="AY418" s="19">
        <f t="shared" si="418"/>
        <v>45918.58333</v>
      </c>
      <c r="AZ418" s="19">
        <f t="shared" si="418"/>
        <v>45918.60417</v>
      </c>
      <c r="BA418" s="19">
        <f t="shared" si="418"/>
        <v>45918.625</v>
      </c>
      <c r="BB418" s="19">
        <f t="shared" si="418"/>
        <v>45918.64583</v>
      </c>
      <c r="BC418" s="19">
        <f t="shared" si="418"/>
        <v>45918.66667</v>
      </c>
      <c r="BD418" s="19">
        <f t="shared" si="418"/>
        <v>45918.6875</v>
      </c>
      <c r="BE418" s="19">
        <f t="shared" si="418"/>
        <v>45918.70833</v>
      </c>
      <c r="BF418" s="19">
        <f t="shared" si="418"/>
        <v>45918.72917</v>
      </c>
      <c r="BG418" s="19">
        <f t="shared" si="418"/>
        <v>45918.75</v>
      </c>
      <c r="BH418" s="19">
        <f t="shared" si="418"/>
        <v>45918.77083</v>
      </c>
      <c r="BI418" s="19">
        <f t="shared" si="418"/>
        <v>45918.79167</v>
      </c>
      <c r="BJ418" s="19">
        <f t="shared" si="418"/>
        <v>45918.8125</v>
      </c>
      <c r="BK418" s="19">
        <f t="shared" si="418"/>
        <v>45918.83333</v>
      </c>
      <c r="BL418" s="19">
        <f t="shared" si="418"/>
        <v>45918.85417</v>
      </c>
      <c r="BM418" s="19">
        <f t="shared" si="418"/>
        <v>45918.875</v>
      </c>
      <c r="BN418" s="19">
        <f t="shared" si="418"/>
        <v>45918.89583</v>
      </c>
      <c r="BO418" s="19">
        <f t="shared" si="418"/>
        <v>45918.91667</v>
      </c>
      <c r="BP418" s="19">
        <f t="shared" si="418"/>
        <v>45918.9375</v>
      </c>
      <c r="BQ418" s="19">
        <f t="shared" si="418"/>
        <v>45918.95833</v>
      </c>
      <c r="BR418" s="19">
        <f t="shared" si="418"/>
        <v>45918.97917</v>
      </c>
      <c r="BS418" s="19">
        <f t="shared" si="418"/>
        <v>45919</v>
      </c>
      <c r="BT418" s="19">
        <f t="shared" si="418"/>
        <v>45919.02083</v>
      </c>
      <c r="BU418" s="19">
        <f t="shared" si="418"/>
        <v>45919.04167</v>
      </c>
      <c r="BV418" s="19">
        <f t="shared" si="418"/>
        <v>45919.0625</v>
      </c>
      <c r="BW418" s="19">
        <f t="shared" si="418"/>
        <v>45919.08333</v>
      </c>
      <c r="BX418" s="19">
        <f t="shared" si="418"/>
        <v>45918</v>
      </c>
      <c r="BY418" s="19">
        <f t="shared" si="418"/>
        <v>45918</v>
      </c>
      <c r="BZ418" s="19">
        <f t="shared" si="418"/>
        <v>45918</v>
      </c>
    </row>
    <row r="419" ht="14.25" customHeight="1">
      <c r="A419" s="17">
        <v>45919.0</v>
      </c>
      <c r="B419" s="2" t="str">
        <f t="array" ref="B419">IF(NOW()&gt;AM419,"",IF(AND((WEEKDAY($A419)+$B$2)&gt;1,((WEEKDAY($A419)+$T$2)&lt;7),(WEEKDAY($A419)&lt;&gt;1)),"work",(INDEX(Subject!$A:$I,MATCH(RANDBETWEEN(1,(MAX(Subject!$B:$B))),Subject!$B:$B,0),3))))</f>
        <v/>
      </c>
      <c r="C419" s="2" t="str">
        <f t="array" ref="C419">IF(NOW()&gt;AN419,"",IF(AND((WEEKDAY($A419)+$B$2)&gt;1,((WEEKDAY($A419)+$T$2)&lt;7),(WEEKDAY($A419)&lt;&gt;1)),"work",(INDEX(Subject!$A:$I,MATCH(RANDBETWEEN(1,(MAX(Subject!$B:$B))),Subject!$B:$B,0),3))))</f>
        <v/>
      </c>
      <c r="D419" s="2" t="str">
        <f t="array" ref="D419">IF(NOW()&gt;AO419,"",IF(AND((WEEKDAY($A419)+$B$2)&gt;1,((WEEKDAY($A419)+$T$2)&lt;7),(WEEKDAY($A419)&lt;&gt;1)),"work",(INDEX(Subject!$A:$I,MATCH(RANDBETWEEN(1,(MAX(Subject!$B:$B))),Subject!$B:$B,0),3))))</f>
        <v/>
      </c>
      <c r="E419" s="2" t="str">
        <f t="array" ref="E419">IF(NOW()&gt;AP419,"",IF(AND((WEEKDAY($A419)+$B$2)&gt;1,((WEEKDAY($A419)+$T$2)&lt;7),(WEEKDAY($A419)&lt;&gt;1)),"work",(INDEX(Subject!$A:$I,MATCH(RANDBETWEEN(1,(MAX(Subject!$B:$B))),Subject!$B:$B,0),3))))</f>
        <v/>
      </c>
      <c r="F419" s="2" t="str">
        <f t="array" ref="F419">IF(NOW()&gt;AQ419,"",IF(AND((WEEKDAY($A419)+$B$2)&gt;1,((WEEKDAY($A419)+$T$2)&lt;7),(WEEKDAY($A419)&lt;&gt;1)),"work",(INDEX(Subject!$A:$I,MATCH(RANDBETWEEN(1,(MAX(Subject!$B:$B))),Subject!$B:$B,0),3))))</f>
        <v/>
      </c>
      <c r="G419" s="2" t="str">
        <f t="array" ref="G419">IF(NOW()&gt;AR419,"",IF(AND((WEEKDAY($A419)+$B$2)&gt;1,((WEEKDAY($A419)+$T$2)&lt;7),(WEEKDAY($A419)&lt;&gt;1)),"work",(INDEX(Subject!$A:$I,MATCH(RANDBETWEEN(1,(MAX(Subject!$B:$B))),Subject!$B:$B,0),3))))</f>
        <v/>
      </c>
      <c r="H419" s="2" t="str">
        <f t="array" ref="H419">IF(NOW()&gt;AS419,"",IF(AND((WEEKDAY($A419)+$B$2)&gt;1,((WEEKDAY($A419)+$T$2)&lt;7),(WEEKDAY($A419)&lt;&gt;1)),"work",(INDEX(Subject!$A:$I,MATCH(RANDBETWEEN(1,(MAX(Subject!$B:$B))),Subject!$B:$B,0),3))))</f>
        <v/>
      </c>
      <c r="I419" s="2" t="str">
        <f t="array" ref="I419">IF(NOW()&gt;AT419,"",IF(AND((WEEKDAY($A419)+$B$2)&gt;1,((WEEKDAY($A419)+$T$2)&lt;7),(WEEKDAY($A419)&lt;&gt;1)),"work",(INDEX(Subject!$A:$I,MATCH(RANDBETWEEN(1,(MAX(Subject!$B:$B))),Subject!$B:$B,0),3))))</f>
        <v/>
      </c>
      <c r="J419" s="2" t="str">
        <f t="array" ref="J419">IF(NOW()&gt;AU419,"",IF(AND((WEEKDAY($A419)+$B$2)&gt;1,((WEEKDAY($A419)+$T$2)&lt;7),(WEEKDAY($A419)&lt;&gt;1)),"work",(INDEX(Subject!$A:$I,MATCH(RANDBETWEEN(1,(MAX(Subject!$B:$B))),Subject!$B:$B,0),3))))</f>
        <v/>
      </c>
      <c r="K419" s="2" t="str">
        <f t="array" ref="K419">IF(NOW()&gt;AV419,"",IF(AND((WEEKDAY($A419)+$B$2)&gt;1,((WEEKDAY($A419)+$T$2)&lt;7),(WEEKDAY($A419)&lt;&gt;1)),"work",(INDEX(Subject!$A:$I,MATCH(RANDBETWEEN(1,(MAX(Subject!$B:$B))),Subject!$B:$B,0),3))))</f>
        <v/>
      </c>
      <c r="L419" s="2" t="str">
        <f t="array" ref="L419">IF(NOW()&gt;AW419,"",IF(AND((WEEKDAY($A419)+$B$2)&gt;1,((WEEKDAY($A419)+$T$2)&lt;7),(WEEKDAY($A419)&lt;&gt;1)),"work",(INDEX(Subject!$A:$I,MATCH(RANDBETWEEN(1,(MAX(Subject!$B:$B))),Subject!$B:$B,0),3))))</f>
        <v/>
      </c>
      <c r="M419" s="2" t="str">
        <f t="array" ref="M419">IF(NOW()&gt;AX419,"",IF(AND((WEEKDAY($A419)+$B$2)&gt;1,((WEEKDAY($A419)+$T$2)&lt;7),(WEEKDAY($A419)&lt;&gt;1)),"work",(INDEX(Subject!$A:$I,MATCH(RANDBETWEEN(1,(MAX(Subject!$B:$B))),Subject!$B:$B,0),3))))</f>
        <v/>
      </c>
      <c r="N419" s="2" t="str">
        <f t="array" ref="N419">IF(NOW()&gt;AY419,"",IF(AND((WEEKDAY($A419)+$B$2)&gt;1,((WEEKDAY($A419)+$T$2)&lt;7),(WEEKDAY($A419)&lt;&gt;1)),"work",(INDEX(Subject!$A:$I,MATCH(RANDBETWEEN(1,(MAX(Subject!$B:$B))),Subject!$B:$B,0),3))))</f>
        <v/>
      </c>
      <c r="O419" s="2" t="str">
        <f t="array" ref="O419">IF(NOW()&gt;AZ419,"",IF(AND((WEEKDAY($A419)+$B$2)&gt;1,((WEEKDAY($A419)+$T$2)&lt;7),(WEEKDAY($A419)&lt;&gt;1)),"work",(INDEX(Subject!$A:$I,MATCH(RANDBETWEEN(1,(MAX(Subject!$B:$B))),Subject!$B:$B,0),3))))</f>
        <v/>
      </c>
      <c r="P419" s="2" t="str">
        <f t="array" ref="P419">IF(NOW()&gt;BA419,"",IF(AND((WEEKDAY($A419)+$B$2)&gt;1,((WEEKDAY($A419)+$T$2)&lt;7),(WEEKDAY($A419)&lt;&gt;1)),"work",(INDEX(Subject!$A:$I,MATCH(RANDBETWEEN(1,(MAX(Subject!$B:$B))),Subject!$B:$B,0),3))))</f>
        <v/>
      </c>
      <c r="Q419" s="2" t="str">
        <f t="array" ref="Q419">IF(NOW()&gt;BB419,"",IF(AND((WEEKDAY($A419)+$B$2)&gt;1,((WEEKDAY($A419)+$T$2)&lt;7),(WEEKDAY($A419)&lt;&gt;1)),"work",(INDEX(Subject!$A:$I,MATCH(RANDBETWEEN(1,(MAX(Subject!$B:$B))),Subject!$B:$B,0),3))))</f>
        <v/>
      </c>
      <c r="R419" s="2" t="str">
        <f t="array" ref="R419">IF(NOW()&gt;BC419,"",IF(AND((WEEKDAY($A419)+$B$2)&gt;1,((WEEKDAY($A419)+$T$2)&lt;7),(WEEKDAY($A419)&lt;&gt;1)),"work",(INDEX(Subject!$A:$I,MATCH(RANDBETWEEN(1,(MAX(Subject!$B:$B))),Subject!$B:$B,0),3))))</f>
        <v/>
      </c>
      <c r="S419" s="2" t="str">
        <f t="array" ref="S419">IF(NOW()&gt;BD419,"",IF(AND((WEEKDAY($A419)+$B$2)&gt;1,((WEEKDAY($A419)+$T$2)&lt;7),(WEEKDAY($A419)&lt;&gt;1)),"work",(INDEX(Subject!$A:$I,MATCH(RANDBETWEEN(1,(MAX(Subject!$B:$B))),Subject!$B:$B,0),3))))</f>
        <v/>
      </c>
      <c r="T419" s="2" t="str">
        <f t="array" ref="T419">IF(NOW()&gt;BE419,"",IF(AND((WEEKDAY($A419)+$B$2)&gt;1,((WEEKDAY($A419)+$T$2)&lt;7),(WEEKDAY($A419)&lt;&gt;1)),"work",(INDEX(Subject!$A:$I,MATCH(RANDBETWEEN(1,(MAX(Subject!$B:$B))),Subject!$B:$B,0),3))))</f>
        <v/>
      </c>
      <c r="U419" s="8" t="str">
        <f t="array" ref="U419">INDEX(Subject!$A:$I,MATCH(RANDBETWEEN(1,16),Subject!$B:$B,0),3)</f>
        <v>#N/A</v>
      </c>
      <c r="V419" s="8" t="str">
        <f t="array" ref="V419">INDEX(Subject!$A:$I,MATCH(RANDBETWEEN(1,16),Subject!$B:$B,0),3)</f>
        <v>#N/A</v>
      </c>
      <c r="W419" s="8" t="str">
        <f t="array" ref="W419">INDEX(Subject!$A:$I,MATCH(RANDBETWEEN(1,16),Subject!$B:$B,0),3)</f>
        <v>#N/A</v>
      </c>
      <c r="X419" s="8" t="str">
        <f t="array" ref="X419">INDEX(Subject!$A:$I,MATCH(RANDBETWEEN(1,16),Subject!$B:$B,0),3)</f>
        <v>#N/A</v>
      </c>
      <c r="Y419" s="8" t="str">
        <f t="array" ref="Y419">INDEX(Subject!$A:$I,MATCH(RANDBETWEEN(1,16),Subject!$B:$B,0),3)</f>
        <v/>
      </c>
      <c r="Z419" s="8" t="str">
        <f t="array" ref="Z419">INDEX(Subject!$A:$I,MATCH(RANDBETWEEN(1,16),Subject!$B:$B,0),3)</f>
        <v>#N/A</v>
      </c>
      <c r="AA419" s="8" t="str">
        <f t="array" ref="AA419">INDEX(Subject!$A:$I,MATCH(RANDBETWEEN(1,16),Subject!$B:$B,0),3)</f>
        <v>#N/A</v>
      </c>
      <c r="AB419" s="8" t="str">
        <f t="array" ref="AB419">INDEX(Subject!$A:$I,MATCH(RANDBETWEEN(1,16),Subject!$B:$B,0),3)</f>
        <v>#N/A</v>
      </c>
      <c r="AC419" s="8" t="str">
        <f t="array" ref="AC419">INDEX(Subject!$A:$I,MATCH(RANDBETWEEN(1,16),Subject!$B:$B,0),3)</f>
        <v>#N/A</v>
      </c>
      <c r="AD419" s="8" t="str">
        <f t="array" ref="AD419">INDEX(Subject!$A:$I,MATCH(RANDBETWEEN(1,16),Subject!$B:$B,0),3)</f>
        <v>#N/A</v>
      </c>
      <c r="AE419" s="8" t="str">
        <f t="array" ref="AE419">INDEX(Subject!$A:$I,MATCH(RANDBETWEEN(1,16),Subject!$B:$B,0),3)</f>
        <v>#N/A</v>
      </c>
      <c r="AF419" s="8" t="str">
        <f t="array" ref="AF419">INDEX(Subject!$A:$I,MATCH(RANDBETWEEN(1,16),Subject!$B:$B,0),3)</f>
        <v>#N/A</v>
      </c>
      <c r="AG419" s="8" t="str">
        <f t="array" ref="AG419">INDEX(Subject!$A:$I,MATCH(RANDBETWEEN(1,16),Subject!$B:$B,0),3)</f>
        <v>#N/A</v>
      </c>
      <c r="AH419" s="8" t="str">
        <f t="array" ref="AH419">INDEX(Subject!$A:$I,MATCH(RANDBETWEEN(1,16),Subject!$B:$B,0),3)</f>
        <v>#N/A</v>
      </c>
      <c r="AI419" s="8" t="str">
        <f t="array" ref="AI419">INDEX(Subject!$A:$I,MATCH(RANDBETWEEN(1,16),Subject!$B:$B,0),3)</f>
        <v>#N/A</v>
      </c>
      <c r="AJ419" s="8" t="str">
        <f t="array" ref="AJ419">INDEX(Subject!$A:$I,MATCH(RANDBETWEEN(1,16),Subject!$B:$B,0),3)</f>
        <v>#N/A</v>
      </c>
      <c r="AK419" s="8" t="str">
        <f t="array" ref="AK419">INDEX(Subject!$A:$I,MATCH(RANDBETWEEN(1,16),Subject!$B:$B,0),3)</f>
        <v>#N/A</v>
      </c>
      <c r="AL419" s="8" t="str">
        <f t="array" ref="AL419">INDEX(Subject!$A:$I,MATCH(RANDBETWEEN(1,16),Subject!$B:$B,0),3)</f>
        <v>#N/A</v>
      </c>
      <c r="AM419" s="18">
        <f t="shared" si="4"/>
        <v>45919.33333</v>
      </c>
      <c r="AN419" s="19">
        <f t="shared" ref="AN419:BZ419" si="419">$A419+C$1</f>
        <v>45919.35417</v>
      </c>
      <c r="AO419" s="19">
        <f t="shared" si="419"/>
        <v>45919.375</v>
      </c>
      <c r="AP419" s="19">
        <f t="shared" si="419"/>
        <v>45919.39583</v>
      </c>
      <c r="AQ419" s="19">
        <f t="shared" si="419"/>
        <v>45919.41667</v>
      </c>
      <c r="AR419" s="19">
        <f t="shared" si="419"/>
        <v>45919.4375</v>
      </c>
      <c r="AS419" s="19">
        <f t="shared" si="419"/>
        <v>45919.45833</v>
      </c>
      <c r="AT419" s="19">
        <f t="shared" si="419"/>
        <v>45919.47917</v>
      </c>
      <c r="AU419" s="19">
        <f t="shared" si="419"/>
        <v>45919.5</v>
      </c>
      <c r="AV419" s="19">
        <f t="shared" si="419"/>
        <v>45919.52083</v>
      </c>
      <c r="AW419" s="19">
        <f t="shared" si="419"/>
        <v>45919.54167</v>
      </c>
      <c r="AX419" s="19">
        <f t="shared" si="419"/>
        <v>45919.5625</v>
      </c>
      <c r="AY419" s="19">
        <f t="shared" si="419"/>
        <v>45919.58333</v>
      </c>
      <c r="AZ419" s="19">
        <f t="shared" si="419"/>
        <v>45919.60417</v>
      </c>
      <c r="BA419" s="19">
        <f t="shared" si="419"/>
        <v>45919.625</v>
      </c>
      <c r="BB419" s="19">
        <f t="shared" si="419"/>
        <v>45919.64583</v>
      </c>
      <c r="BC419" s="19">
        <f t="shared" si="419"/>
        <v>45919.66667</v>
      </c>
      <c r="BD419" s="19">
        <f t="shared" si="419"/>
        <v>45919.6875</v>
      </c>
      <c r="BE419" s="19">
        <f t="shared" si="419"/>
        <v>45919.70833</v>
      </c>
      <c r="BF419" s="19">
        <f t="shared" si="419"/>
        <v>45919.72917</v>
      </c>
      <c r="BG419" s="19">
        <f t="shared" si="419"/>
        <v>45919.75</v>
      </c>
      <c r="BH419" s="19">
        <f t="shared" si="419"/>
        <v>45919.77083</v>
      </c>
      <c r="BI419" s="19">
        <f t="shared" si="419"/>
        <v>45919.79167</v>
      </c>
      <c r="BJ419" s="19">
        <f t="shared" si="419"/>
        <v>45919.8125</v>
      </c>
      <c r="BK419" s="19">
        <f t="shared" si="419"/>
        <v>45919.83333</v>
      </c>
      <c r="BL419" s="19">
        <f t="shared" si="419"/>
        <v>45919.85417</v>
      </c>
      <c r="BM419" s="19">
        <f t="shared" si="419"/>
        <v>45919.875</v>
      </c>
      <c r="BN419" s="19">
        <f t="shared" si="419"/>
        <v>45919.89583</v>
      </c>
      <c r="BO419" s="19">
        <f t="shared" si="419"/>
        <v>45919.91667</v>
      </c>
      <c r="BP419" s="19">
        <f t="shared" si="419"/>
        <v>45919.9375</v>
      </c>
      <c r="BQ419" s="19">
        <f t="shared" si="419"/>
        <v>45919.95833</v>
      </c>
      <c r="BR419" s="19">
        <f t="shared" si="419"/>
        <v>45919.97917</v>
      </c>
      <c r="BS419" s="19">
        <f t="shared" si="419"/>
        <v>45920</v>
      </c>
      <c r="BT419" s="19">
        <f t="shared" si="419"/>
        <v>45920.02083</v>
      </c>
      <c r="BU419" s="19">
        <f t="shared" si="419"/>
        <v>45920.04167</v>
      </c>
      <c r="BV419" s="19">
        <f t="shared" si="419"/>
        <v>45920.0625</v>
      </c>
      <c r="BW419" s="19">
        <f t="shared" si="419"/>
        <v>45920.08333</v>
      </c>
      <c r="BX419" s="19">
        <f t="shared" si="419"/>
        <v>45919</v>
      </c>
      <c r="BY419" s="19">
        <f t="shared" si="419"/>
        <v>45919</v>
      </c>
      <c r="BZ419" s="19">
        <f t="shared" si="419"/>
        <v>45919</v>
      </c>
    </row>
    <row r="420" ht="14.25" customHeight="1">
      <c r="A420" s="17">
        <v>45920.0</v>
      </c>
      <c r="B420" s="2" t="str">
        <f t="array" ref="B420">IF(NOW()&gt;AM420,"",IF(AND((WEEKDAY($A420)+$B$2)&gt;1,((WEEKDAY($A420)+$T$2)&lt;7),(WEEKDAY($A420)&lt;&gt;1)),"work",(INDEX(Subject!$A:$I,MATCH(RANDBETWEEN(1,(MAX(Subject!$B:$B))),Subject!$B:$B,0),3))))</f>
        <v/>
      </c>
      <c r="C420" s="2" t="str">
        <f t="array" ref="C420">IF(NOW()&gt;AN420,"",IF(AND((WEEKDAY($A420)+$B$2)&gt;1,((WEEKDAY($A420)+$T$2)&lt;7),(WEEKDAY($A420)&lt;&gt;1)),"work",(INDEX(Subject!$A:$I,MATCH(RANDBETWEEN(1,(MAX(Subject!$B:$B))),Subject!$B:$B,0),3))))</f>
        <v/>
      </c>
      <c r="D420" s="2" t="str">
        <f t="array" ref="D420">IF(NOW()&gt;AO420,"",IF(AND((WEEKDAY($A420)+$B$2)&gt;1,((WEEKDAY($A420)+$T$2)&lt;7),(WEEKDAY($A420)&lt;&gt;1)),"work",(INDEX(Subject!$A:$I,MATCH(RANDBETWEEN(1,(MAX(Subject!$B:$B))),Subject!$B:$B,0),3))))</f>
        <v/>
      </c>
      <c r="E420" s="2" t="str">
        <f t="array" ref="E420">IF(NOW()&gt;AP420,"",IF(AND((WEEKDAY($A420)+$B$2)&gt;1,((WEEKDAY($A420)+$T$2)&lt;7),(WEEKDAY($A420)&lt;&gt;1)),"work",(INDEX(Subject!$A:$I,MATCH(RANDBETWEEN(1,(MAX(Subject!$B:$B))),Subject!$B:$B,0),3))))</f>
        <v/>
      </c>
      <c r="F420" s="2" t="str">
        <f t="array" ref="F420">IF(NOW()&gt;AQ420,"",IF(AND((WEEKDAY($A420)+$B$2)&gt;1,((WEEKDAY($A420)+$T$2)&lt;7),(WEEKDAY($A420)&lt;&gt;1)),"work",(INDEX(Subject!$A:$I,MATCH(RANDBETWEEN(1,(MAX(Subject!$B:$B))),Subject!$B:$B,0),3))))</f>
        <v/>
      </c>
      <c r="G420" s="2" t="str">
        <f t="array" ref="G420">IF(NOW()&gt;AR420,"",IF(AND((WEEKDAY($A420)+$B$2)&gt;1,((WEEKDAY($A420)+$T$2)&lt;7),(WEEKDAY($A420)&lt;&gt;1)),"work",(INDEX(Subject!$A:$I,MATCH(RANDBETWEEN(1,(MAX(Subject!$B:$B))),Subject!$B:$B,0),3))))</f>
        <v/>
      </c>
      <c r="H420" s="2" t="str">
        <f t="array" ref="H420">IF(NOW()&gt;AS420,"",IF(AND((WEEKDAY($A420)+$B$2)&gt;1,((WEEKDAY($A420)+$T$2)&lt;7),(WEEKDAY($A420)&lt;&gt;1)),"work",(INDEX(Subject!$A:$I,MATCH(RANDBETWEEN(1,(MAX(Subject!$B:$B))),Subject!$B:$B,0),3))))</f>
        <v/>
      </c>
      <c r="I420" s="2" t="str">
        <f t="array" ref="I420">IF(NOW()&gt;AT420,"",IF(AND((WEEKDAY($A420)+$B$2)&gt;1,((WEEKDAY($A420)+$T$2)&lt;7),(WEEKDAY($A420)&lt;&gt;1)),"work",(INDEX(Subject!$A:$I,MATCH(RANDBETWEEN(1,(MAX(Subject!$B:$B))),Subject!$B:$B,0),3))))</f>
        <v/>
      </c>
      <c r="J420" s="2" t="str">
        <f t="array" ref="J420">IF(NOW()&gt;AU420,"",IF(AND((WEEKDAY($A420)+$B$2)&gt;1,((WEEKDAY($A420)+$T$2)&lt;7),(WEEKDAY($A420)&lt;&gt;1)),"work",(INDEX(Subject!$A:$I,MATCH(RANDBETWEEN(1,(MAX(Subject!$B:$B))),Subject!$B:$B,0),3))))</f>
        <v/>
      </c>
      <c r="K420" s="2" t="str">
        <f t="array" ref="K420">IF(NOW()&gt;AV420,"",IF(AND((WEEKDAY($A420)+$B$2)&gt;1,((WEEKDAY($A420)+$T$2)&lt;7),(WEEKDAY($A420)&lt;&gt;1)),"work",(INDEX(Subject!$A:$I,MATCH(RANDBETWEEN(1,(MAX(Subject!$B:$B))),Subject!$B:$B,0),3))))</f>
        <v/>
      </c>
      <c r="L420" s="2" t="str">
        <f t="array" ref="L420">IF(NOW()&gt;AW420,"",IF(AND((WEEKDAY($A420)+$B$2)&gt;1,((WEEKDAY($A420)+$T$2)&lt;7),(WEEKDAY($A420)&lt;&gt;1)),"work",(INDEX(Subject!$A:$I,MATCH(RANDBETWEEN(1,(MAX(Subject!$B:$B))),Subject!$B:$B,0),3))))</f>
        <v/>
      </c>
      <c r="M420" s="2" t="str">
        <f t="array" ref="M420">IF(NOW()&gt;AX420,"",IF(AND((WEEKDAY($A420)+$B$2)&gt;1,((WEEKDAY($A420)+$T$2)&lt;7),(WEEKDAY($A420)&lt;&gt;1)),"work",(INDEX(Subject!$A:$I,MATCH(RANDBETWEEN(1,(MAX(Subject!$B:$B))),Subject!$B:$B,0),3))))</f>
        <v/>
      </c>
      <c r="N420" s="2" t="str">
        <f t="array" ref="N420">IF(NOW()&gt;AY420,"",IF(AND((WEEKDAY($A420)+$B$2)&gt;1,((WEEKDAY($A420)+$T$2)&lt;7),(WEEKDAY($A420)&lt;&gt;1)),"work",(INDEX(Subject!$A:$I,MATCH(RANDBETWEEN(1,(MAX(Subject!$B:$B))),Subject!$B:$B,0),3))))</f>
        <v/>
      </c>
      <c r="O420" s="2" t="str">
        <f t="array" ref="O420">IF(NOW()&gt;AZ420,"",IF(AND((WEEKDAY($A420)+$B$2)&gt;1,((WEEKDAY($A420)+$T$2)&lt;7),(WEEKDAY($A420)&lt;&gt;1)),"work",(INDEX(Subject!$A:$I,MATCH(RANDBETWEEN(1,(MAX(Subject!$B:$B))),Subject!$B:$B,0),3))))</f>
        <v/>
      </c>
      <c r="P420" s="2" t="str">
        <f t="array" ref="P420">IF(NOW()&gt;BA420,"",IF(AND((WEEKDAY($A420)+$B$2)&gt;1,((WEEKDAY($A420)+$T$2)&lt;7),(WEEKDAY($A420)&lt;&gt;1)),"work",(INDEX(Subject!$A:$I,MATCH(RANDBETWEEN(1,(MAX(Subject!$B:$B))),Subject!$B:$B,0),3))))</f>
        <v/>
      </c>
      <c r="Q420" s="2" t="str">
        <f t="array" ref="Q420">IF(NOW()&gt;BB420,"",IF(AND((WEEKDAY($A420)+$B$2)&gt;1,((WEEKDAY($A420)+$T$2)&lt;7),(WEEKDAY($A420)&lt;&gt;1)),"work",(INDEX(Subject!$A:$I,MATCH(RANDBETWEEN(1,(MAX(Subject!$B:$B))),Subject!$B:$B,0),3))))</f>
        <v/>
      </c>
      <c r="R420" s="2" t="str">
        <f t="array" ref="R420">IF(NOW()&gt;BC420,"",IF(AND((WEEKDAY($A420)+$B$2)&gt;1,((WEEKDAY($A420)+$T$2)&lt;7),(WEEKDAY($A420)&lt;&gt;1)),"work",(INDEX(Subject!$A:$I,MATCH(RANDBETWEEN(1,(MAX(Subject!$B:$B))),Subject!$B:$B,0),3))))</f>
        <v/>
      </c>
      <c r="S420" s="2" t="str">
        <f t="array" ref="S420">IF(NOW()&gt;BD420,"",IF(AND((WEEKDAY($A420)+$B$2)&gt;1,((WEEKDAY($A420)+$T$2)&lt;7),(WEEKDAY($A420)&lt;&gt;1)),"work",(INDEX(Subject!$A:$I,MATCH(RANDBETWEEN(1,(MAX(Subject!$B:$B))),Subject!$B:$B,0),3))))</f>
        <v/>
      </c>
      <c r="T420" s="2" t="str">
        <f t="array" ref="T420">IF(NOW()&gt;BE420,"",IF(AND((WEEKDAY($A420)+$B$2)&gt;1,((WEEKDAY($A420)+$T$2)&lt;7),(WEEKDAY($A420)&lt;&gt;1)),"work",(INDEX(Subject!$A:$I,MATCH(RANDBETWEEN(1,(MAX(Subject!$B:$B))),Subject!$B:$B,0),3))))</f>
        <v/>
      </c>
      <c r="U420" s="8" t="str">
        <f t="array" ref="U420">INDEX(Subject!$A:$I,MATCH(RANDBETWEEN(1,16),Subject!$B:$B,0),3)</f>
        <v>#N/A</v>
      </c>
      <c r="V420" s="8" t="str">
        <f t="array" ref="V420">INDEX(Subject!$A:$I,MATCH(RANDBETWEEN(1,16),Subject!$B:$B,0),3)</f>
        <v>#N/A</v>
      </c>
      <c r="W420" s="8" t="str">
        <f t="array" ref="W420">INDEX(Subject!$A:$I,MATCH(RANDBETWEEN(1,16),Subject!$B:$B,0),3)</f>
        <v>#N/A</v>
      </c>
      <c r="X420" s="8" t="str">
        <f t="array" ref="X420">INDEX(Subject!$A:$I,MATCH(RANDBETWEEN(1,16),Subject!$B:$B,0),3)</f>
        <v>#N/A</v>
      </c>
      <c r="Y420" s="8" t="str">
        <f t="array" ref="Y420">INDEX(Subject!$A:$I,MATCH(RANDBETWEEN(1,16),Subject!$B:$B,0),3)</f>
        <v>#N/A</v>
      </c>
      <c r="Z420" s="8" t="str">
        <f t="array" ref="Z420">INDEX(Subject!$A:$I,MATCH(RANDBETWEEN(1,16),Subject!$B:$B,0),3)</f>
        <v>#N/A</v>
      </c>
      <c r="AA420" s="8" t="str">
        <f t="array" ref="AA420">INDEX(Subject!$A:$I,MATCH(RANDBETWEEN(1,16),Subject!$B:$B,0),3)</f>
        <v>#N/A</v>
      </c>
      <c r="AB420" s="8" t="str">
        <f t="array" ref="AB420">INDEX(Subject!$A:$I,MATCH(RANDBETWEEN(1,16),Subject!$B:$B,0),3)</f>
        <v>#N/A</v>
      </c>
      <c r="AC420" s="8" t="str">
        <f t="array" ref="AC420">INDEX(Subject!$A:$I,MATCH(RANDBETWEEN(1,16),Subject!$B:$B,0),3)</f>
        <v>#N/A</v>
      </c>
      <c r="AD420" s="8" t="str">
        <f t="array" ref="AD420">INDEX(Subject!$A:$I,MATCH(RANDBETWEEN(1,16),Subject!$B:$B,0),3)</f>
        <v>#N/A</v>
      </c>
      <c r="AE420" s="8" t="str">
        <f t="array" ref="AE420">INDEX(Subject!$A:$I,MATCH(RANDBETWEEN(1,16),Subject!$B:$B,0),3)</f>
        <v>#N/A</v>
      </c>
      <c r="AF420" s="8" t="str">
        <f t="array" ref="AF420">INDEX(Subject!$A:$I,MATCH(RANDBETWEEN(1,16),Subject!$B:$B,0),3)</f>
        <v>#N/A</v>
      </c>
      <c r="AG420" s="8" t="str">
        <f t="array" ref="AG420">INDEX(Subject!$A:$I,MATCH(RANDBETWEEN(1,16),Subject!$B:$B,0),3)</f>
        <v>#N/A</v>
      </c>
      <c r="AH420" s="8" t="str">
        <f t="array" ref="AH420">INDEX(Subject!$A:$I,MATCH(RANDBETWEEN(1,16),Subject!$B:$B,0),3)</f>
        <v>#N/A</v>
      </c>
      <c r="AI420" s="8" t="str">
        <f t="array" ref="AI420">INDEX(Subject!$A:$I,MATCH(RANDBETWEEN(1,16),Subject!$B:$B,0),3)</f>
        <v>#N/A</v>
      </c>
      <c r="AJ420" s="8" t="str">
        <f t="array" ref="AJ420">INDEX(Subject!$A:$I,MATCH(RANDBETWEEN(1,16),Subject!$B:$B,0),3)</f>
        <v>#N/A</v>
      </c>
      <c r="AK420" s="8" t="str">
        <f t="array" ref="AK420">INDEX(Subject!$A:$I,MATCH(RANDBETWEEN(1,16),Subject!$B:$B,0),3)</f>
        <v>#N/A</v>
      </c>
      <c r="AL420" s="8" t="str">
        <f t="array" ref="AL420">INDEX(Subject!$A:$I,MATCH(RANDBETWEEN(1,16),Subject!$B:$B,0),3)</f>
        <v>#N/A</v>
      </c>
      <c r="AM420" s="18">
        <f t="shared" si="4"/>
        <v>45920.33333</v>
      </c>
      <c r="AN420" s="19">
        <f t="shared" ref="AN420:BZ420" si="420">$A420+C$1</f>
        <v>45920.35417</v>
      </c>
      <c r="AO420" s="19">
        <f t="shared" si="420"/>
        <v>45920.375</v>
      </c>
      <c r="AP420" s="19">
        <f t="shared" si="420"/>
        <v>45920.39583</v>
      </c>
      <c r="AQ420" s="19">
        <f t="shared" si="420"/>
        <v>45920.41667</v>
      </c>
      <c r="AR420" s="19">
        <f t="shared" si="420"/>
        <v>45920.4375</v>
      </c>
      <c r="AS420" s="19">
        <f t="shared" si="420"/>
        <v>45920.45833</v>
      </c>
      <c r="AT420" s="19">
        <f t="shared" si="420"/>
        <v>45920.47917</v>
      </c>
      <c r="AU420" s="19">
        <f t="shared" si="420"/>
        <v>45920.5</v>
      </c>
      <c r="AV420" s="19">
        <f t="shared" si="420"/>
        <v>45920.52083</v>
      </c>
      <c r="AW420" s="19">
        <f t="shared" si="420"/>
        <v>45920.54167</v>
      </c>
      <c r="AX420" s="19">
        <f t="shared" si="420"/>
        <v>45920.5625</v>
      </c>
      <c r="AY420" s="19">
        <f t="shared" si="420"/>
        <v>45920.58333</v>
      </c>
      <c r="AZ420" s="19">
        <f t="shared" si="420"/>
        <v>45920.60417</v>
      </c>
      <c r="BA420" s="19">
        <f t="shared" si="420"/>
        <v>45920.625</v>
      </c>
      <c r="BB420" s="19">
        <f t="shared" si="420"/>
        <v>45920.64583</v>
      </c>
      <c r="BC420" s="19">
        <f t="shared" si="420"/>
        <v>45920.66667</v>
      </c>
      <c r="BD420" s="19">
        <f t="shared" si="420"/>
        <v>45920.6875</v>
      </c>
      <c r="BE420" s="19">
        <f t="shared" si="420"/>
        <v>45920.70833</v>
      </c>
      <c r="BF420" s="19">
        <f t="shared" si="420"/>
        <v>45920.72917</v>
      </c>
      <c r="BG420" s="19">
        <f t="shared" si="420"/>
        <v>45920.75</v>
      </c>
      <c r="BH420" s="19">
        <f t="shared" si="420"/>
        <v>45920.77083</v>
      </c>
      <c r="BI420" s="19">
        <f t="shared" si="420"/>
        <v>45920.79167</v>
      </c>
      <c r="BJ420" s="19">
        <f t="shared" si="420"/>
        <v>45920.8125</v>
      </c>
      <c r="BK420" s="19">
        <f t="shared" si="420"/>
        <v>45920.83333</v>
      </c>
      <c r="BL420" s="19">
        <f t="shared" si="420"/>
        <v>45920.85417</v>
      </c>
      <c r="BM420" s="19">
        <f t="shared" si="420"/>
        <v>45920.875</v>
      </c>
      <c r="BN420" s="19">
        <f t="shared" si="420"/>
        <v>45920.89583</v>
      </c>
      <c r="BO420" s="19">
        <f t="shared" si="420"/>
        <v>45920.91667</v>
      </c>
      <c r="BP420" s="19">
        <f t="shared" si="420"/>
        <v>45920.9375</v>
      </c>
      <c r="BQ420" s="19">
        <f t="shared" si="420"/>
        <v>45920.95833</v>
      </c>
      <c r="BR420" s="19">
        <f t="shared" si="420"/>
        <v>45920.97917</v>
      </c>
      <c r="BS420" s="19">
        <f t="shared" si="420"/>
        <v>45921</v>
      </c>
      <c r="BT420" s="19">
        <f t="shared" si="420"/>
        <v>45921.02083</v>
      </c>
      <c r="BU420" s="19">
        <f t="shared" si="420"/>
        <v>45921.04167</v>
      </c>
      <c r="BV420" s="19">
        <f t="shared" si="420"/>
        <v>45921.0625</v>
      </c>
      <c r="BW420" s="19">
        <f t="shared" si="420"/>
        <v>45921.08333</v>
      </c>
      <c r="BX420" s="19">
        <f t="shared" si="420"/>
        <v>45920</v>
      </c>
      <c r="BY420" s="19">
        <f t="shared" si="420"/>
        <v>45920</v>
      </c>
      <c r="BZ420" s="19">
        <f t="shared" si="420"/>
        <v>45920</v>
      </c>
    </row>
    <row r="421" ht="14.25" customHeight="1">
      <c r="A421" s="17">
        <v>45921.0</v>
      </c>
      <c r="B421" s="2" t="str">
        <f t="array" ref="B421">IF(NOW()&gt;AM421,"",IF(AND((WEEKDAY($A421)+$B$2)&gt;1,((WEEKDAY($A421)+$T$2)&lt;7),(WEEKDAY($A421)&lt;&gt;1)),"work",(INDEX(Subject!$A:$I,MATCH(RANDBETWEEN(1,(MAX(Subject!$B:$B))),Subject!$B:$B,0),3))))</f>
        <v/>
      </c>
      <c r="C421" s="2" t="str">
        <f t="array" ref="C421">IF(NOW()&gt;AN421,"",IF(AND((WEEKDAY($A421)+$B$2)&gt;1,((WEEKDAY($A421)+$T$2)&lt;7),(WEEKDAY($A421)&lt;&gt;1)),"work",(INDEX(Subject!$A:$I,MATCH(RANDBETWEEN(1,(MAX(Subject!$B:$B))),Subject!$B:$B,0),3))))</f>
        <v/>
      </c>
      <c r="D421" s="2" t="str">
        <f t="array" ref="D421">IF(NOW()&gt;AO421,"",IF(AND((WEEKDAY($A421)+$B$2)&gt;1,((WEEKDAY($A421)+$T$2)&lt;7),(WEEKDAY($A421)&lt;&gt;1)),"work",(INDEX(Subject!$A:$I,MATCH(RANDBETWEEN(1,(MAX(Subject!$B:$B))),Subject!$B:$B,0),3))))</f>
        <v/>
      </c>
      <c r="E421" s="2" t="str">
        <f t="array" ref="E421">IF(NOW()&gt;AP421,"",IF(AND((WEEKDAY($A421)+$B$2)&gt;1,((WEEKDAY($A421)+$T$2)&lt;7),(WEEKDAY($A421)&lt;&gt;1)),"work",(INDEX(Subject!$A:$I,MATCH(RANDBETWEEN(1,(MAX(Subject!$B:$B))),Subject!$B:$B,0),3))))</f>
        <v/>
      </c>
      <c r="F421" s="2" t="str">
        <f t="array" ref="F421">IF(NOW()&gt;AQ421,"",IF(AND((WEEKDAY($A421)+$B$2)&gt;1,((WEEKDAY($A421)+$T$2)&lt;7),(WEEKDAY($A421)&lt;&gt;1)),"work",(INDEX(Subject!$A:$I,MATCH(RANDBETWEEN(1,(MAX(Subject!$B:$B))),Subject!$B:$B,0),3))))</f>
        <v/>
      </c>
      <c r="G421" s="2" t="str">
        <f t="array" ref="G421">IF(NOW()&gt;AR421,"",IF(AND((WEEKDAY($A421)+$B$2)&gt;1,((WEEKDAY($A421)+$T$2)&lt;7),(WEEKDAY($A421)&lt;&gt;1)),"work",(INDEX(Subject!$A:$I,MATCH(RANDBETWEEN(1,(MAX(Subject!$B:$B))),Subject!$B:$B,0),3))))</f>
        <v/>
      </c>
      <c r="H421" s="2" t="str">
        <f t="array" ref="H421">IF(NOW()&gt;AS421,"",IF(AND((WEEKDAY($A421)+$B$2)&gt;1,((WEEKDAY($A421)+$T$2)&lt;7),(WEEKDAY($A421)&lt;&gt;1)),"work",(INDEX(Subject!$A:$I,MATCH(RANDBETWEEN(1,(MAX(Subject!$B:$B))),Subject!$B:$B,0),3))))</f>
        <v/>
      </c>
      <c r="I421" s="2" t="str">
        <f t="array" ref="I421">IF(NOW()&gt;AT421,"",IF(AND((WEEKDAY($A421)+$B$2)&gt;1,((WEEKDAY($A421)+$T$2)&lt;7),(WEEKDAY($A421)&lt;&gt;1)),"work",(INDEX(Subject!$A:$I,MATCH(RANDBETWEEN(1,(MAX(Subject!$B:$B))),Subject!$B:$B,0),3))))</f>
        <v/>
      </c>
      <c r="J421" s="2" t="str">
        <f t="array" ref="J421">IF(NOW()&gt;AU421,"",IF(AND((WEEKDAY($A421)+$B$2)&gt;1,((WEEKDAY($A421)+$T$2)&lt;7),(WEEKDAY($A421)&lt;&gt;1)),"work",(INDEX(Subject!$A:$I,MATCH(RANDBETWEEN(1,(MAX(Subject!$B:$B))),Subject!$B:$B,0),3))))</f>
        <v/>
      </c>
      <c r="K421" s="2" t="str">
        <f t="array" ref="K421">IF(NOW()&gt;AV421,"",IF(AND((WEEKDAY($A421)+$B$2)&gt;1,((WEEKDAY($A421)+$T$2)&lt;7),(WEEKDAY($A421)&lt;&gt;1)),"work",(INDEX(Subject!$A:$I,MATCH(RANDBETWEEN(1,(MAX(Subject!$B:$B))),Subject!$B:$B,0),3))))</f>
        <v/>
      </c>
      <c r="L421" s="2" t="str">
        <f t="array" ref="L421">IF(NOW()&gt;AW421,"",IF(AND((WEEKDAY($A421)+$B$2)&gt;1,((WEEKDAY($A421)+$T$2)&lt;7),(WEEKDAY($A421)&lt;&gt;1)),"work",(INDEX(Subject!$A:$I,MATCH(RANDBETWEEN(1,(MAX(Subject!$B:$B))),Subject!$B:$B,0),3))))</f>
        <v/>
      </c>
      <c r="M421" s="2" t="str">
        <f t="array" ref="M421">IF(NOW()&gt;AX421,"",IF(AND((WEEKDAY($A421)+$B$2)&gt;1,((WEEKDAY($A421)+$T$2)&lt;7),(WEEKDAY($A421)&lt;&gt;1)),"work",(INDEX(Subject!$A:$I,MATCH(RANDBETWEEN(1,(MAX(Subject!$B:$B))),Subject!$B:$B,0),3))))</f>
        <v/>
      </c>
      <c r="N421" s="2" t="str">
        <f t="array" ref="N421">IF(NOW()&gt;AY421,"",IF(AND((WEEKDAY($A421)+$B$2)&gt;1,((WEEKDAY($A421)+$T$2)&lt;7),(WEEKDAY($A421)&lt;&gt;1)),"work",(INDEX(Subject!$A:$I,MATCH(RANDBETWEEN(1,(MAX(Subject!$B:$B))),Subject!$B:$B,0),3))))</f>
        <v/>
      </c>
      <c r="O421" s="2" t="str">
        <f t="array" ref="O421">IF(NOW()&gt;AZ421,"",IF(AND((WEEKDAY($A421)+$B$2)&gt;1,((WEEKDAY($A421)+$T$2)&lt;7),(WEEKDAY($A421)&lt;&gt;1)),"work",(INDEX(Subject!$A:$I,MATCH(RANDBETWEEN(1,(MAX(Subject!$B:$B))),Subject!$B:$B,0),3))))</f>
        <v/>
      </c>
      <c r="P421" s="2" t="str">
        <f t="array" ref="P421">IF(NOW()&gt;BA421,"",IF(AND((WEEKDAY($A421)+$B$2)&gt;1,((WEEKDAY($A421)+$T$2)&lt;7),(WEEKDAY($A421)&lt;&gt;1)),"work",(INDEX(Subject!$A:$I,MATCH(RANDBETWEEN(1,(MAX(Subject!$B:$B))),Subject!$B:$B,0),3))))</f>
        <v/>
      </c>
      <c r="Q421" s="2" t="str">
        <f t="array" ref="Q421">IF(NOW()&gt;BB421,"",IF(AND((WEEKDAY($A421)+$B$2)&gt;1,((WEEKDAY($A421)+$T$2)&lt;7),(WEEKDAY($A421)&lt;&gt;1)),"work",(INDEX(Subject!$A:$I,MATCH(RANDBETWEEN(1,(MAX(Subject!$B:$B))),Subject!$B:$B,0),3))))</f>
        <v/>
      </c>
      <c r="R421" s="2" t="str">
        <f t="array" ref="R421">IF(NOW()&gt;BC421,"",IF(AND((WEEKDAY($A421)+$B$2)&gt;1,((WEEKDAY($A421)+$T$2)&lt;7),(WEEKDAY($A421)&lt;&gt;1)),"work",(INDEX(Subject!$A:$I,MATCH(RANDBETWEEN(1,(MAX(Subject!$B:$B))),Subject!$B:$B,0),3))))</f>
        <v/>
      </c>
      <c r="S421" s="2" t="str">
        <f t="array" ref="S421">IF(NOW()&gt;BD421,"",IF(AND((WEEKDAY($A421)+$B$2)&gt;1,((WEEKDAY($A421)+$T$2)&lt;7),(WEEKDAY($A421)&lt;&gt;1)),"work",(INDEX(Subject!$A:$I,MATCH(RANDBETWEEN(1,(MAX(Subject!$B:$B))),Subject!$B:$B,0),3))))</f>
        <v/>
      </c>
      <c r="T421" s="2" t="str">
        <f t="array" ref="T421">IF(NOW()&gt;BE421,"",IF(AND((WEEKDAY($A421)+$B$2)&gt;1,((WEEKDAY($A421)+$T$2)&lt;7),(WEEKDAY($A421)&lt;&gt;1)),"work",(INDEX(Subject!$A:$I,MATCH(RANDBETWEEN(1,(MAX(Subject!$B:$B))),Subject!$B:$B,0),3))))</f>
        <v/>
      </c>
      <c r="U421" s="8" t="str">
        <f t="array" ref="U421">INDEX(Subject!$A:$I,MATCH(RANDBETWEEN(1,16),Subject!$B:$B,0),3)</f>
        <v>#N/A</v>
      </c>
      <c r="V421" s="8" t="str">
        <f t="array" ref="V421">INDEX(Subject!$A:$I,MATCH(RANDBETWEEN(1,16),Subject!$B:$B,0),3)</f>
        <v>#N/A</v>
      </c>
      <c r="W421" s="8" t="str">
        <f t="array" ref="W421">INDEX(Subject!$A:$I,MATCH(RANDBETWEEN(1,16),Subject!$B:$B,0),3)</f>
        <v>#N/A</v>
      </c>
      <c r="X421" s="8" t="str">
        <f t="array" ref="X421">INDEX(Subject!$A:$I,MATCH(RANDBETWEEN(1,16),Subject!$B:$B,0),3)</f>
        <v>#N/A</v>
      </c>
      <c r="Y421" s="8" t="str">
        <f t="array" ref="Y421">INDEX(Subject!$A:$I,MATCH(RANDBETWEEN(1,16),Subject!$B:$B,0),3)</f>
        <v>#N/A</v>
      </c>
      <c r="Z421" s="8" t="str">
        <f t="array" ref="Z421">INDEX(Subject!$A:$I,MATCH(RANDBETWEEN(1,16),Subject!$B:$B,0),3)</f>
        <v>#N/A</v>
      </c>
      <c r="AA421" s="8" t="str">
        <f t="array" ref="AA421">INDEX(Subject!$A:$I,MATCH(RANDBETWEEN(1,16),Subject!$B:$B,0),3)</f>
        <v>#N/A</v>
      </c>
      <c r="AB421" s="8" t="str">
        <f t="array" ref="AB421">INDEX(Subject!$A:$I,MATCH(RANDBETWEEN(1,16),Subject!$B:$B,0),3)</f>
        <v>#N/A</v>
      </c>
      <c r="AC421" s="8" t="str">
        <f t="array" ref="AC421">INDEX(Subject!$A:$I,MATCH(RANDBETWEEN(1,16),Subject!$B:$B,0),3)</f>
        <v>#N/A</v>
      </c>
      <c r="AD421" s="8" t="str">
        <f t="array" ref="AD421">INDEX(Subject!$A:$I,MATCH(RANDBETWEEN(1,16),Subject!$B:$B,0),3)</f>
        <v>#N/A</v>
      </c>
      <c r="AE421" s="8" t="str">
        <f t="array" ref="AE421">INDEX(Subject!$A:$I,MATCH(RANDBETWEEN(1,16),Subject!$B:$B,0),3)</f>
        <v>#N/A</v>
      </c>
      <c r="AF421" s="8" t="str">
        <f t="array" ref="AF421">INDEX(Subject!$A:$I,MATCH(RANDBETWEEN(1,16),Subject!$B:$B,0),3)</f>
        <v>#N/A</v>
      </c>
      <c r="AG421" s="8" t="str">
        <f t="array" ref="AG421">INDEX(Subject!$A:$I,MATCH(RANDBETWEEN(1,16),Subject!$B:$B,0),3)</f>
        <v>#N/A</v>
      </c>
      <c r="AH421" s="8" t="str">
        <f t="array" ref="AH421">INDEX(Subject!$A:$I,MATCH(RANDBETWEEN(1,16),Subject!$B:$B,0),3)</f>
        <v>#N/A</v>
      </c>
      <c r="AI421" s="8" t="str">
        <f t="array" ref="AI421">INDEX(Subject!$A:$I,MATCH(RANDBETWEEN(1,16),Subject!$B:$B,0),3)</f>
        <v>#N/A</v>
      </c>
      <c r="AJ421" s="8" t="str">
        <f t="array" ref="AJ421">INDEX(Subject!$A:$I,MATCH(RANDBETWEEN(1,16),Subject!$B:$B,0),3)</f>
        <v>#N/A</v>
      </c>
      <c r="AK421" s="8" t="str">
        <f t="array" ref="AK421">INDEX(Subject!$A:$I,MATCH(RANDBETWEEN(1,16),Subject!$B:$B,0),3)</f>
        <v>#N/A</v>
      </c>
      <c r="AL421" s="8" t="str">
        <f t="array" ref="AL421">INDEX(Subject!$A:$I,MATCH(RANDBETWEEN(1,16),Subject!$B:$B,0),3)</f>
        <v>#N/A</v>
      </c>
      <c r="AM421" s="18">
        <f t="shared" si="4"/>
        <v>45921.33333</v>
      </c>
      <c r="AN421" s="19">
        <f t="shared" ref="AN421:BZ421" si="421">$A421+C$1</f>
        <v>45921.35417</v>
      </c>
      <c r="AO421" s="19">
        <f t="shared" si="421"/>
        <v>45921.375</v>
      </c>
      <c r="AP421" s="19">
        <f t="shared" si="421"/>
        <v>45921.39583</v>
      </c>
      <c r="AQ421" s="19">
        <f t="shared" si="421"/>
        <v>45921.41667</v>
      </c>
      <c r="AR421" s="19">
        <f t="shared" si="421"/>
        <v>45921.4375</v>
      </c>
      <c r="AS421" s="19">
        <f t="shared" si="421"/>
        <v>45921.45833</v>
      </c>
      <c r="AT421" s="19">
        <f t="shared" si="421"/>
        <v>45921.47917</v>
      </c>
      <c r="AU421" s="19">
        <f t="shared" si="421"/>
        <v>45921.5</v>
      </c>
      <c r="AV421" s="19">
        <f t="shared" si="421"/>
        <v>45921.52083</v>
      </c>
      <c r="AW421" s="19">
        <f t="shared" si="421"/>
        <v>45921.54167</v>
      </c>
      <c r="AX421" s="19">
        <f t="shared" si="421"/>
        <v>45921.5625</v>
      </c>
      <c r="AY421" s="19">
        <f t="shared" si="421"/>
        <v>45921.58333</v>
      </c>
      <c r="AZ421" s="19">
        <f t="shared" si="421"/>
        <v>45921.60417</v>
      </c>
      <c r="BA421" s="19">
        <f t="shared" si="421"/>
        <v>45921.625</v>
      </c>
      <c r="BB421" s="19">
        <f t="shared" si="421"/>
        <v>45921.64583</v>
      </c>
      <c r="BC421" s="19">
        <f t="shared" si="421"/>
        <v>45921.66667</v>
      </c>
      <c r="BD421" s="19">
        <f t="shared" si="421"/>
        <v>45921.6875</v>
      </c>
      <c r="BE421" s="19">
        <f t="shared" si="421"/>
        <v>45921.70833</v>
      </c>
      <c r="BF421" s="19">
        <f t="shared" si="421"/>
        <v>45921.72917</v>
      </c>
      <c r="BG421" s="19">
        <f t="shared" si="421"/>
        <v>45921.75</v>
      </c>
      <c r="BH421" s="19">
        <f t="shared" si="421"/>
        <v>45921.77083</v>
      </c>
      <c r="BI421" s="19">
        <f t="shared" si="421"/>
        <v>45921.79167</v>
      </c>
      <c r="BJ421" s="19">
        <f t="shared" si="421"/>
        <v>45921.8125</v>
      </c>
      <c r="BK421" s="19">
        <f t="shared" si="421"/>
        <v>45921.83333</v>
      </c>
      <c r="BL421" s="19">
        <f t="shared" si="421"/>
        <v>45921.85417</v>
      </c>
      <c r="BM421" s="19">
        <f t="shared" si="421"/>
        <v>45921.875</v>
      </c>
      <c r="BN421" s="19">
        <f t="shared" si="421"/>
        <v>45921.89583</v>
      </c>
      <c r="BO421" s="19">
        <f t="shared" si="421"/>
        <v>45921.91667</v>
      </c>
      <c r="BP421" s="19">
        <f t="shared" si="421"/>
        <v>45921.9375</v>
      </c>
      <c r="BQ421" s="19">
        <f t="shared" si="421"/>
        <v>45921.95833</v>
      </c>
      <c r="BR421" s="19">
        <f t="shared" si="421"/>
        <v>45921.97917</v>
      </c>
      <c r="BS421" s="19">
        <f t="shared" si="421"/>
        <v>45922</v>
      </c>
      <c r="BT421" s="19">
        <f t="shared" si="421"/>
        <v>45922.02083</v>
      </c>
      <c r="BU421" s="19">
        <f t="shared" si="421"/>
        <v>45922.04167</v>
      </c>
      <c r="BV421" s="19">
        <f t="shared" si="421"/>
        <v>45922.0625</v>
      </c>
      <c r="BW421" s="19">
        <f t="shared" si="421"/>
        <v>45922.08333</v>
      </c>
      <c r="BX421" s="19">
        <f t="shared" si="421"/>
        <v>45921</v>
      </c>
      <c r="BY421" s="19">
        <f t="shared" si="421"/>
        <v>45921</v>
      </c>
      <c r="BZ421" s="19">
        <f t="shared" si="421"/>
        <v>45921</v>
      </c>
    </row>
    <row r="422" ht="14.25" customHeight="1">
      <c r="A422" s="17">
        <v>45922.0</v>
      </c>
      <c r="B422" s="2" t="str">
        <f t="array" ref="B422">IF(NOW()&gt;AM422,"",IF(AND((WEEKDAY($A422)+$B$2)&gt;1,((WEEKDAY($A422)+$T$2)&lt;7),(WEEKDAY($A422)&lt;&gt;1)),"work",(INDEX(Subject!$A:$I,MATCH(RANDBETWEEN(1,(MAX(Subject!$B:$B))),Subject!$B:$B,0),3))))</f>
        <v/>
      </c>
      <c r="C422" s="2" t="str">
        <f t="array" ref="C422">IF(NOW()&gt;AN422,"",IF(AND((WEEKDAY($A422)+$B$2)&gt;1,((WEEKDAY($A422)+$T$2)&lt;7),(WEEKDAY($A422)&lt;&gt;1)),"work",(INDEX(Subject!$A:$I,MATCH(RANDBETWEEN(1,(MAX(Subject!$B:$B))),Subject!$B:$B,0),3))))</f>
        <v/>
      </c>
      <c r="D422" s="2" t="str">
        <f t="array" ref="D422">IF(NOW()&gt;AO422,"",IF(AND((WEEKDAY($A422)+$B$2)&gt;1,((WEEKDAY($A422)+$T$2)&lt;7),(WEEKDAY($A422)&lt;&gt;1)),"work",(INDEX(Subject!$A:$I,MATCH(RANDBETWEEN(1,(MAX(Subject!$B:$B))),Subject!$B:$B,0),3))))</f>
        <v/>
      </c>
      <c r="E422" s="2" t="str">
        <f t="array" ref="E422">IF(NOW()&gt;AP422,"",IF(AND((WEEKDAY($A422)+$B$2)&gt;1,((WEEKDAY($A422)+$T$2)&lt;7),(WEEKDAY($A422)&lt;&gt;1)),"work",(INDEX(Subject!$A:$I,MATCH(RANDBETWEEN(1,(MAX(Subject!$B:$B))),Subject!$B:$B,0),3))))</f>
        <v/>
      </c>
      <c r="F422" s="2" t="str">
        <f t="array" ref="F422">IF(NOW()&gt;AQ422,"",IF(AND((WEEKDAY($A422)+$B$2)&gt;1,((WEEKDAY($A422)+$T$2)&lt;7),(WEEKDAY($A422)&lt;&gt;1)),"work",(INDEX(Subject!$A:$I,MATCH(RANDBETWEEN(1,(MAX(Subject!$B:$B))),Subject!$B:$B,0),3))))</f>
        <v/>
      </c>
      <c r="G422" s="2" t="str">
        <f t="array" ref="G422">IF(NOW()&gt;AR422,"",IF(AND((WEEKDAY($A422)+$B$2)&gt;1,((WEEKDAY($A422)+$T$2)&lt;7),(WEEKDAY($A422)&lt;&gt;1)),"work",(INDEX(Subject!$A:$I,MATCH(RANDBETWEEN(1,(MAX(Subject!$B:$B))),Subject!$B:$B,0),3))))</f>
        <v/>
      </c>
      <c r="H422" s="2" t="str">
        <f t="array" ref="H422">IF(NOW()&gt;AS422,"",IF(AND((WEEKDAY($A422)+$B$2)&gt;1,((WEEKDAY($A422)+$T$2)&lt;7),(WEEKDAY($A422)&lt;&gt;1)),"work",(INDEX(Subject!$A:$I,MATCH(RANDBETWEEN(1,(MAX(Subject!$B:$B))),Subject!$B:$B,0),3))))</f>
        <v/>
      </c>
      <c r="I422" s="2" t="str">
        <f t="array" ref="I422">IF(NOW()&gt;AT422,"",IF(AND((WEEKDAY($A422)+$B$2)&gt;1,((WEEKDAY($A422)+$T$2)&lt;7),(WEEKDAY($A422)&lt;&gt;1)),"work",(INDEX(Subject!$A:$I,MATCH(RANDBETWEEN(1,(MAX(Subject!$B:$B))),Subject!$B:$B,0),3))))</f>
        <v/>
      </c>
      <c r="J422" s="2" t="str">
        <f t="array" ref="J422">IF(NOW()&gt;AU422,"",IF(AND((WEEKDAY($A422)+$B$2)&gt;1,((WEEKDAY($A422)+$T$2)&lt;7),(WEEKDAY($A422)&lt;&gt;1)),"work",(INDEX(Subject!$A:$I,MATCH(RANDBETWEEN(1,(MAX(Subject!$B:$B))),Subject!$B:$B,0),3))))</f>
        <v/>
      </c>
      <c r="K422" s="2" t="str">
        <f t="array" ref="K422">IF(NOW()&gt;AV422,"",IF(AND((WEEKDAY($A422)+$B$2)&gt;1,((WEEKDAY($A422)+$T$2)&lt;7),(WEEKDAY($A422)&lt;&gt;1)),"work",(INDEX(Subject!$A:$I,MATCH(RANDBETWEEN(1,(MAX(Subject!$B:$B))),Subject!$B:$B,0),3))))</f>
        <v/>
      </c>
      <c r="L422" s="2" t="str">
        <f t="array" ref="L422">IF(NOW()&gt;AW422,"",IF(AND((WEEKDAY($A422)+$B$2)&gt;1,((WEEKDAY($A422)+$T$2)&lt;7),(WEEKDAY($A422)&lt;&gt;1)),"work",(INDEX(Subject!$A:$I,MATCH(RANDBETWEEN(1,(MAX(Subject!$B:$B))),Subject!$B:$B,0),3))))</f>
        <v/>
      </c>
      <c r="M422" s="2" t="str">
        <f t="array" ref="M422">IF(NOW()&gt;AX422,"",IF(AND((WEEKDAY($A422)+$B$2)&gt;1,((WEEKDAY($A422)+$T$2)&lt;7),(WEEKDAY($A422)&lt;&gt;1)),"work",(INDEX(Subject!$A:$I,MATCH(RANDBETWEEN(1,(MAX(Subject!$B:$B))),Subject!$B:$B,0),3))))</f>
        <v/>
      </c>
      <c r="N422" s="2" t="str">
        <f t="array" ref="N422">IF(NOW()&gt;AY422,"",IF(AND((WEEKDAY($A422)+$B$2)&gt;1,((WEEKDAY($A422)+$T$2)&lt;7),(WEEKDAY($A422)&lt;&gt;1)),"work",(INDEX(Subject!$A:$I,MATCH(RANDBETWEEN(1,(MAX(Subject!$B:$B))),Subject!$B:$B,0),3))))</f>
        <v/>
      </c>
      <c r="O422" s="2" t="str">
        <f t="array" ref="O422">IF(NOW()&gt;AZ422,"",IF(AND((WEEKDAY($A422)+$B$2)&gt;1,((WEEKDAY($A422)+$T$2)&lt;7),(WEEKDAY($A422)&lt;&gt;1)),"work",(INDEX(Subject!$A:$I,MATCH(RANDBETWEEN(1,(MAX(Subject!$B:$B))),Subject!$B:$B,0),3))))</f>
        <v/>
      </c>
      <c r="P422" s="2" t="str">
        <f t="array" ref="P422">IF(NOW()&gt;BA422,"",IF(AND((WEEKDAY($A422)+$B$2)&gt;1,((WEEKDAY($A422)+$T$2)&lt;7),(WEEKDAY($A422)&lt;&gt;1)),"work",(INDEX(Subject!$A:$I,MATCH(RANDBETWEEN(1,(MAX(Subject!$B:$B))),Subject!$B:$B,0),3))))</f>
        <v/>
      </c>
      <c r="Q422" s="2" t="str">
        <f t="array" ref="Q422">IF(NOW()&gt;BB422,"",IF(AND((WEEKDAY($A422)+$B$2)&gt;1,((WEEKDAY($A422)+$T$2)&lt;7),(WEEKDAY($A422)&lt;&gt;1)),"work",(INDEX(Subject!$A:$I,MATCH(RANDBETWEEN(1,(MAX(Subject!$B:$B))),Subject!$B:$B,0),3))))</f>
        <v/>
      </c>
      <c r="R422" s="2" t="str">
        <f t="array" ref="R422">IF(NOW()&gt;BC422,"",IF(AND((WEEKDAY($A422)+$B$2)&gt;1,((WEEKDAY($A422)+$T$2)&lt;7),(WEEKDAY($A422)&lt;&gt;1)),"work",(INDEX(Subject!$A:$I,MATCH(RANDBETWEEN(1,(MAX(Subject!$B:$B))),Subject!$B:$B,0),3))))</f>
        <v/>
      </c>
      <c r="S422" s="2" t="str">
        <f t="array" ref="S422">IF(NOW()&gt;BD422,"",IF(AND((WEEKDAY($A422)+$B$2)&gt;1,((WEEKDAY($A422)+$T$2)&lt;7),(WEEKDAY($A422)&lt;&gt;1)),"work",(INDEX(Subject!$A:$I,MATCH(RANDBETWEEN(1,(MAX(Subject!$B:$B))),Subject!$B:$B,0),3))))</f>
        <v/>
      </c>
      <c r="T422" s="2" t="str">
        <f t="array" ref="T422">IF(NOW()&gt;BE422,"",IF(AND((WEEKDAY($A422)+$B$2)&gt;1,((WEEKDAY($A422)+$T$2)&lt;7),(WEEKDAY($A422)&lt;&gt;1)),"work",(INDEX(Subject!$A:$I,MATCH(RANDBETWEEN(1,(MAX(Subject!$B:$B))),Subject!$B:$B,0),3))))</f>
        <v/>
      </c>
      <c r="U422" s="8" t="str">
        <f t="array" ref="U422">INDEX(Subject!$A:$I,MATCH(RANDBETWEEN(1,16),Subject!$B:$B,0),3)</f>
        <v>#N/A</v>
      </c>
      <c r="V422" s="8" t="str">
        <f t="array" ref="V422">INDEX(Subject!$A:$I,MATCH(RANDBETWEEN(1,16),Subject!$B:$B,0),3)</f>
        <v>#N/A</v>
      </c>
      <c r="W422" s="8" t="str">
        <f t="array" ref="W422">INDEX(Subject!$A:$I,MATCH(RANDBETWEEN(1,16),Subject!$B:$B,0),3)</f>
        <v>#N/A</v>
      </c>
      <c r="X422" s="8" t="str">
        <f t="array" ref="X422">INDEX(Subject!$A:$I,MATCH(RANDBETWEEN(1,16),Subject!$B:$B,0),3)</f>
        <v>#N/A</v>
      </c>
      <c r="Y422" s="8" t="str">
        <f t="array" ref="Y422">INDEX(Subject!$A:$I,MATCH(RANDBETWEEN(1,16),Subject!$B:$B,0),3)</f>
        <v>#N/A</v>
      </c>
      <c r="Z422" s="8" t="str">
        <f t="array" ref="Z422">INDEX(Subject!$A:$I,MATCH(RANDBETWEEN(1,16),Subject!$B:$B,0),3)</f>
        <v>#N/A</v>
      </c>
      <c r="AA422" s="8" t="str">
        <f t="array" ref="AA422">INDEX(Subject!$A:$I,MATCH(RANDBETWEEN(1,16),Subject!$B:$B,0),3)</f>
        <v>#N/A</v>
      </c>
      <c r="AB422" s="8" t="str">
        <f t="array" ref="AB422">INDEX(Subject!$A:$I,MATCH(RANDBETWEEN(1,16),Subject!$B:$B,0),3)</f>
        <v>#N/A</v>
      </c>
      <c r="AC422" s="8" t="str">
        <f t="array" ref="AC422">INDEX(Subject!$A:$I,MATCH(RANDBETWEEN(1,16),Subject!$B:$B,0),3)</f>
        <v>#N/A</v>
      </c>
      <c r="AD422" s="8" t="str">
        <f t="array" ref="AD422">INDEX(Subject!$A:$I,MATCH(RANDBETWEEN(1,16),Subject!$B:$B,0),3)</f>
        <v>#N/A</v>
      </c>
      <c r="AE422" s="8" t="str">
        <f t="array" ref="AE422">INDEX(Subject!$A:$I,MATCH(RANDBETWEEN(1,16),Subject!$B:$B,0),3)</f>
        <v>#N/A</v>
      </c>
      <c r="AF422" s="8" t="str">
        <f t="array" ref="AF422">INDEX(Subject!$A:$I,MATCH(RANDBETWEEN(1,16),Subject!$B:$B,0),3)</f>
        <v>#N/A</v>
      </c>
      <c r="AG422" s="8" t="str">
        <f t="array" ref="AG422">INDEX(Subject!$A:$I,MATCH(RANDBETWEEN(1,16),Subject!$B:$B,0),3)</f>
        <v>#N/A</v>
      </c>
      <c r="AH422" s="8" t="str">
        <f t="array" ref="AH422">INDEX(Subject!$A:$I,MATCH(RANDBETWEEN(1,16),Subject!$B:$B,0),3)</f>
        <v>#N/A</v>
      </c>
      <c r="AI422" s="8" t="str">
        <f t="array" ref="AI422">INDEX(Subject!$A:$I,MATCH(RANDBETWEEN(1,16),Subject!$B:$B,0),3)</f>
        <v>#N/A</v>
      </c>
      <c r="AJ422" s="8" t="str">
        <f t="array" ref="AJ422">INDEX(Subject!$A:$I,MATCH(RANDBETWEEN(1,16),Subject!$B:$B,0),3)</f>
        <v>#N/A</v>
      </c>
      <c r="AK422" s="8" t="str">
        <f t="array" ref="AK422">INDEX(Subject!$A:$I,MATCH(RANDBETWEEN(1,16),Subject!$B:$B,0),3)</f>
        <v>#N/A</v>
      </c>
      <c r="AL422" s="8" t="str">
        <f t="array" ref="AL422">INDEX(Subject!$A:$I,MATCH(RANDBETWEEN(1,16),Subject!$B:$B,0),3)</f>
        <v>#N/A</v>
      </c>
      <c r="AM422" s="18">
        <f t="shared" si="4"/>
        <v>45922.33333</v>
      </c>
      <c r="AN422" s="19">
        <f t="shared" ref="AN422:BZ422" si="422">$A422+C$1</f>
        <v>45922.35417</v>
      </c>
      <c r="AO422" s="19">
        <f t="shared" si="422"/>
        <v>45922.375</v>
      </c>
      <c r="AP422" s="19">
        <f t="shared" si="422"/>
        <v>45922.39583</v>
      </c>
      <c r="AQ422" s="19">
        <f t="shared" si="422"/>
        <v>45922.41667</v>
      </c>
      <c r="AR422" s="19">
        <f t="shared" si="422"/>
        <v>45922.4375</v>
      </c>
      <c r="AS422" s="19">
        <f t="shared" si="422"/>
        <v>45922.45833</v>
      </c>
      <c r="AT422" s="19">
        <f t="shared" si="422"/>
        <v>45922.47917</v>
      </c>
      <c r="AU422" s="19">
        <f t="shared" si="422"/>
        <v>45922.5</v>
      </c>
      <c r="AV422" s="19">
        <f t="shared" si="422"/>
        <v>45922.52083</v>
      </c>
      <c r="AW422" s="19">
        <f t="shared" si="422"/>
        <v>45922.54167</v>
      </c>
      <c r="AX422" s="19">
        <f t="shared" si="422"/>
        <v>45922.5625</v>
      </c>
      <c r="AY422" s="19">
        <f t="shared" si="422"/>
        <v>45922.58333</v>
      </c>
      <c r="AZ422" s="19">
        <f t="shared" si="422"/>
        <v>45922.60417</v>
      </c>
      <c r="BA422" s="19">
        <f t="shared" si="422"/>
        <v>45922.625</v>
      </c>
      <c r="BB422" s="19">
        <f t="shared" si="422"/>
        <v>45922.64583</v>
      </c>
      <c r="BC422" s="19">
        <f t="shared" si="422"/>
        <v>45922.66667</v>
      </c>
      <c r="BD422" s="19">
        <f t="shared" si="422"/>
        <v>45922.6875</v>
      </c>
      <c r="BE422" s="19">
        <f t="shared" si="422"/>
        <v>45922.70833</v>
      </c>
      <c r="BF422" s="19">
        <f t="shared" si="422"/>
        <v>45922.72917</v>
      </c>
      <c r="BG422" s="19">
        <f t="shared" si="422"/>
        <v>45922.75</v>
      </c>
      <c r="BH422" s="19">
        <f t="shared" si="422"/>
        <v>45922.77083</v>
      </c>
      <c r="BI422" s="19">
        <f t="shared" si="422"/>
        <v>45922.79167</v>
      </c>
      <c r="BJ422" s="19">
        <f t="shared" si="422"/>
        <v>45922.8125</v>
      </c>
      <c r="BK422" s="19">
        <f t="shared" si="422"/>
        <v>45922.83333</v>
      </c>
      <c r="BL422" s="19">
        <f t="shared" si="422"/>
        <v>45922.85417</v>
      </c>
      <c r="BM422" s="19">
        <f t="shared" si="422"/>
        <v>45922.875</v>
      </c>
      <c r="BN422" s="19">
        <f t="shared" si="422"/>
        <v>45922.89583</v>
      </c>
      <c r="BO422" s="19">
        <f t="shared" si="422"/>
        <v>45922.91667</v>
      </c>
      <c r="BP422" s="19">
        <f t="shared" si="422"/>
        <v>45922.9375</v>
      </c>
      <c r="BQ422" s="19">
        <f t="shared" si="422"/>
        <v>45922.95833</v>
      </c>
      <c r="BR422" s="19">
        <f t="shared" si="422"/>
        <v>45922.97917</v>
      </c>
      <c r="BS422" s="19">
        <f t="shared" si="422"/>
        <v>45923</v>
      </c>
      <c r="BT422" s="19">
        <f t="shared" si="422"/>
        <v>45923.02083</v>
      </c>
      <c r="BU422" s="19">
        <f t="shared" si="422"/>
        <v>45923.04167</v>
      </c>
      <c r="BV422" s="19">
        <f t="shared" si="422"/>
        <v>45923.0625</v>
      </c>
      <c r="BW422" s="19">
        <f t="shared" si="422"/>
        <v>45923.08333</v>
      </c>
      <c r="BX422" s="19">
        <f t="shared" si="422"/>
        <v>45922</v>
      </c>
      <c r="BY422" s="19">
        <f t="shared" si="422"/>
        <v>45922</v>
      </c>
      <c r="BZ422" s="19">
        <f t="shared" si="422"/>
        <v>45922</v>
      </c>
    </row>
    <row r="423" ht="14.25" customHeight="1">
      <c r="A423" s="17">
        <v>45923.0</v>
      </c>
      <c r="B423" s="2" t="str">
        <f t="array" ref="B423">IF(NOW()&gt;AM423,"",IF(AND((WEEKDAY($A423)+$B$2)&gt;1,((WEEKDAY($A423)+$T$2)&lt;7),(WEEKDAY($A423)&lt;&gt;1)),"work",(INDEX(Subject!$A:$I,MATCH(RANDBETWEEN(1,(MAX(Subject!$B:$B))),Subject!$B:$B,0),3))))</f>
        <v/>
      </c>
      <c r="C423" s="2" t="str">
        <f t="array" ref="C423">IF(NOW()&gt;AN423,"",IF(AND((WEEKDAY($A423)+$B$2)&gt;1,((WEEKDAY($A423)+$T$2)&lt;7),(WEEKDAY($A423)&lt;&gt;1)),"work",(INDEX(Subject!$A:$I,MATCH(RANDBETWEEN(1,(MAX(Subject!$B:$B))),Subject!$B:$B,0),3))))</f>
        <v/>
      </c>
      <c r="D423" s="2" t="str">
        <f t="array" ref="D423">IF(NOW()&gt;AO423,"",IF(AND((WEEKDAY($A423)+$B$2)&gt;1,((WEEKDAY($A423)+$T$2)&lt;7),(WEEKDAY($A423)&lt;&gt;1)),"work",(INDEX(Subject!$A:$I,MATCH(RANDBETWEEN(1,(MAX(Subject!$B:$B))),Subject!$B:$B,0),3))))</f>
        <v/>
      </c>
      <c r="E423" s="2" t="str">
        <f t="array" ref="E423">IF(NOW()&gt;AP423,"",IF(AND((WEEKDAY($A423)+$B$2)&gt;1,((WEEKDAY($A423)+$T$2)&lt;7),(WEEKDAY($A423)&lt;&gt;1)),"work",(INDEX(Subject!$A:$I,MATCH(RANDBETWEEN(1,(MAX(Subject!$B:$B))),Subject!$B:$B,0),3))))</f>
        <v/>
      </c>
      <c r="F423" s="2" t="str">
        <f t="array" ref="F423">IF(NOW()&gt;AQ423,"",IF(AND((WEEKDAY($A423)+$B$2)&gt;1,((WEEKDAY($A423)+$T$2)&lt;7),(WEEKDAY($A423)&lt;&gt;1)),"work",(INDEX(Subject!$A:$I,MATCH(RANDBETWEEN(1,(MAX(Subject!$B:$B))),Subject!$B:$B,0),3))))</f>
        <v/>
      </c>
      <c r="G423" s="2" t="str">
        <f t="array" ref="G423">IF(NOW()&gt;AR423,"",IF(AND((WEEKDAY($A423)+$B$2)&gt;1,((WEEKDAY($A423)+$T$2)&lt;7),(WEEKDAY($A423)&lt;&gt;1)),"work",(INDEX(Subject!$A:$I,MATCH(RANDBETWEEN(1,(MAX(Subject!$B:$B))),Subject!$B:$B,0),3))))</f>
        <v/>
      </c>
      <c r="H423" s="2" t="str">
        <f t="array" ref="H423">IF(NOW()&gt;AS423,"",IF(AND((WEEKDAY($A423)+$B$2)&gt;1,((WEEKDAY($A423)+$T$2)&lt;7),(WEEKDAY($A423)&lt;&gt;1)),"work",(INDEX(Subject!$A:$I,MATCH(RANDBETWEEN(1,(MAX(Subject!$B:$B))),Subject!$B:$B,0),3))))</f>
        <v/>
      </c>
      <c r="I423" s="2" t="str">
        <f t="array" ref="I423">IF(NOW()&gt;AT423,"",IF(AND((WEEKDAY($A423)+$B$2)&gt;1,((WEEKDAY($A423)+$T$2)&lt;7),(WEEKDAY($A423)&lt;&gt;1)),"work",(INDEX(Subject!$A:$I,MATCH(RANDBETWEEN(1,(MAX(Subject!$B:$B))),Subject!$B:$B,0),3))))</f>
        <v/>
      </c>
      <c r="J423" s="2" t="str">
        <f t="array" ref="J423">IF(NOW()&gt;AU423,"",IF(AND((WEEKDAY($A423)+$B$2)&gt;1,((WEEKDAY($A423)+$T$2)&lt;7),(WEEKDAY($A423)&lt;&gt;1)),"work",(INDEX(Subject!$A:$I,MATCH(RANDBETWEEN(1,(MAX(Subject!$B:$B))),Subject!$B:$B,0),3))))</f>
        <v/>
      </c>
      <c r="K423" s="2" t="str">
        <f t="array" ref="K423">IF(NOW()&gt;AV423,"",IF(AND((WEEKDAY($A423)+$B$2)&gt;1,((WEEKDAY($A423)+$T$2)&lt;7),(WEEKDAY($A423)&lt;&gt;1)),"work",(INDEX(Subject!$A:$I,MATCH(RANDBETWEEN(1,(MAX(Subject!$B:$B))),Subject!$B:$B,0),3))))</f>
        <v/>
      </c>
      <c r="L423" s="2" t="str">
        <f t="array" ref="L423">IF(NOW()&gt;AW423,"",IF(AND((WEEKDAY($A423)+$B$2)&gt;1,((WEEKDAY($A423)+$T$2)&lt;7),(WEEKDAY($A423)&lt;&gt;1)),"work",(INDEX(Subject!$A:$I,MATCH(RANDBETWEEN(1,(MAX(Subject!$B:$B))),Subject!$B:$B,0),3))))</f>
        <v/>
      </c>
      <c r="M423" s="2" t="str">
        <f t="array" ref="M423">IF(NOW()&gt;AX423,"",IF(AND((WEEKDAY($A423)+$B$2)&gt;1,((WEEKDAY($A423)+$T$2)&lt;7),(WEEKDAY($A423)&lt;&gt;1)),"work",(INDEX(Subject!$A:$I,MATCH(RANDBETWEEN(1,(MAX(Subject!$B:$B))),Subject!$B:$B,0),3))))</f>
        <v/>
      </c>
      <c r="N423" s="2" t="str">
        <f t="array" ref="N423">IF(NOW()&gt;AY423,"",IF(AND((WEEKDAY($A423)+$B$2)&gt;1,((WEEKDAY($A423)+$T$2)&lt;7),(WEEKDAY($A423)&lt;&gt;1)),"work",(INDEX(Subject!$A:$I,MATCH(RANDBETWEEN(1,(MAX(Subject!$B:$B))),Subject!$B:$B,0),3))))</f>
        <v/>
      </c>
      <c r="O423" s="2" t="str">
        <f t="array" ref="O423">IF(NOW()&gt;AZ423,"",IF(AND((WEEKDAY($A423)+$B$2)&gt;1,((WEEKDAY($A423)+$T$2)&lt;7),(WEEKDAY($A423)&lt;&gt;1)),"work",(INDEX(Subject!$A:$I,MATCH(RANDBETWEEN(1,(MAX(Subject!$B:$B))),Subject!$B:$B,0),3))))</f>
        <v/>
      </c>
      <c r="P423" s="2" t="str">
        <f t="array" ref="P423">IF(NOW()&gt;BA423,"",IF(AND((WEEKDAY($A423)+$B$2)&gt;1,((WEEKDAY($A423)+$T$2)&lt;7),(WEEKDAY($A423)&lt;&gt;1)),"work",(INDEX(Subject!$A:$I,MATCH(RANDBETWEEN(1,(MAX(Subject!$B:$B))),Subject!$B:$B,0),3))))</f>
        <v/>
      </c>
      <c r="Q423" s="2" t="str">
        <f t="array" ref="Q423">IF(NOW()&gt;BB423,"",IF(AND((WEEKDAY($A423)+$B$2)&gt;1,((WEEKDAY($A423)+$T$2)&lt;7),(WEEKDAY($A423)&lt;&gt;1)),"work",(INDEX(Subject!$A:$I,MATCH(RANDBETWEEN(1,(MAX(Subject!$B:$B))),Subject!$B:$B,0),3))))</f>
        <v/>
      </c>
      <c r="R423" s="2" t="str">
        <f t="array" ref="R423">IF(NOW()&gt;BC423,"",IF(AND((WEEKDAY($A423)+$B$2)&gt;1,((WEEKDAY($A423)+$T$2)&lt;7),(WEEKDAY($A423)&lt;&gt;1)),"work",(INDEX(Subject!$A:$I,MATCH(RANDBETWEEN(1,(MAX(Subject!$B:$B))),Subject!$B:$B,0),3))))</f>
        <v/>
      </c>
      <c r="S423" s="2" t="str">
        <f t="array" ref="S423">IF(NOW()&gt;BD423,"",IF(AND((WEEKDAY($A423)+$B$2)&gt;1,((WEEKDAY($A423)+$T$2)&lt;7),(WEEKDAY($A423)&lt;&gt;1)),"work",(INDEX(Subject!$A:$I,MATCH(RANDBETWEEN(1,(MAX(Subject!$B:$B))),Subject!$B:$B,0),3))))</f>
        <v/>
      </c>
      <c r="T423" s="2" t="str">
        <f t="array" ref="T423">IF(NOW()&gt;BE423,"",IF(AND((WEEKDAY($A423)+$B$2)&gt;1,((WEEKDAY($A423)+$T$2)&lt;7),(WEEKDAY($A423)&lt;&gt;1)),"work",(INDEX(Subject!$A:$I,MATCH(RANDBETWEEN(1,(MAX(Subject!$B:$B))),Subject!$B:$B,0),3))))</f>
        <v/>
      </c>
      <c r="U423" s="8" t="str">
        <f t="array" ref="U423">INDEX(Subject!$A:$I,MATCH(RANDBETWEEN(1,16),Subject!$B:$B,0),3)</f>
        <v>#N/A</v>
      </c>
      <c r="V423" s="8" t="str">
        <f t="array" ref="V423">INDEX(Subject!$A:$I,MATCH(RANDBETWEEN(1,16),Subject!$B:$B,0),3)</f>
        <v>#N/A</v>
      </c>
      <c r="W423" s="8" t="str">
        <f t="array" ref="W423">INDEX(Subject!$A:$I,MATCH(RANDBETWEEN(1,16),Subject!$B:$B,0),3)</f>
        <v/>
      </c>
      <c r="X423" s="8" t="str">
        <f t="array" ref="X423">INDEX(Subject!$A:$I,MATCH(RANDBETWEEN(1,16),Subject!$B:$B,0),3)</f>
        <v>#N/A</v>
      </c>
      <c r="Y423" s="8" t="str">
        <f t="array" ref="Y423">INDEX(Subject!$A:$I,MATCH(RANDBETWEEN(1,16),Subject!$B:$B,0),3)</f>
        <v>#N/A</v>
      </c>
      <c r="Z423" s="8" t="str">
        <f t="array" ref="Z423">INDEX(Subject!$A:$I,MATCH(RANDBETWEEN(1,16),Subject!$B:$B,0),3)</f>
        <v/>
      </c>
      <c r="AA423" s="8" t="str">
        <f t="array" ref="AA423">INDEX(Subject!$A:$I,MATCH(RANDBETWEEN(1,16),Subject!$B:$B,0),3)</f>
        <v>#N/A</v>
      </c>
      <c r="AB423" s="8" t="str">
        <f t="array" ref="AB423">INDEX(Subject!$A:$I,MATCH(RANDBETWEEN(1,16),Subject!$B:$B,0),3)</f>
        <v>#N/A</v>
      </c>
      <c r="AC423" s="8" t="str">
        <f t="array" ref="AC423">INDEX(Subject!$A:$I,MATCH(RANDBETWEEN(1,16),Subject!$B:$B,0),3)</f>
        <v>#N/A</v>
      </c>
      <c r="AD423" s="8" t="str">
        <f t="array" ref="AD423">INDEX(Subject!$A:$I,MATCH(RANDBETWEEN(1,16),Subject!$B:$B,0),3)</f>
        <v>#N/A</v>
      </c>
      <c r="AE423" s="8" t="str">
        <f t="array" ref="AE423">INDEX(Subject!$A:$I,MATCH(RANDBETWEEN(1,16),Subject!$B:$B,0),3)</f>
        <v/>
      </c>
      <c r="AF423" s="8" t="str">
        <f t="array" ref="AF423">INDEX(Subject!$A:$I,MATCH(RANDBETWEEN(1,16),Subject!$B:$B,0),3)</f>
        <v>#N/A</v>
      </c>
      <c r="AG423" s="8" t="str">
        <f t="array" ref="AG423">INDEX(Subject!$A:$I,MATCH(RANDBETWEEN(1,16),Subject!$B:$B,0),3)</f>
        <v>#N/A</v>
      </c>
      <c r="AH423" s="8" t="str">
        <f t="array" ref="AH423">INDEX(Subject!$A:$I,MATCH(RANDBETWEEN(1,16),Subject!$B:$B,0),3)</f>
        <v>#N/A</v>
      </c>
      <c r="AI423" s="8" t="str">
        <f t="array" ref="AI423">INDEX(Subject!$A:$I,MATCH(RANDBETWEEN(1,16),Subject!$B:$B,0),3)</f>
        <v>#N/A</v>
      </c>
      <c r="AJ423" s="8" t="str">
        <f t="array" ref="AJ423">INDEX(Subject!$A:$I,MATCH(RANDBETWEEN(1,16),Subject!$B:$B,0),3)</f>
        <v>#N/A</v>
      </c>
      <c r="AK423" s="8" t="str">
        <f t="array" ref="AK423">INDEX(Subject!$A:$I,MATCH(RANDBETWEEN(1,16),Subject!$B:$B,0),3)</f>
        <v>#N/A</v>
      </c>
      <c r="AL423" s="8" t="str">
        <f t="array" ref="AL423">INDEX(Subject!$A:$I,MATCH(RANDBETWEEN(1,16),Subject!$B:$B,0),3)</f>
        <v>#N/A</v>
      </c>
      <c r="AM423" s="18">
        <f t="shared" si="4"/>
        <v>45923.33333</v>
      </c>
      <c r="AN423" s="19">
        <f t="shared" ref="AN423:BZ423" si="423">$A423+C$1</f>
        <v>45923.35417</v>
      </c>
      <c r="AO423" s="19">
        <f t="shared" si="423"/>
        <v>45923.375</v>
      </c>
      <c r="AP423" s="19">
        <f t="shared" si="423"/>
        <v>45923.39583</v>
      </c>
      <c r="AQ423" s="19">
        <f t="shared" si="423"/>
        <v>45923.41667</v>
      </c>
      <c r="AR423" s="19">
        <f t="shared" si="423"/>
        <v>45923.4375</v>
      </c>
      <c r="AS423" s="19">
        <f t="shared" si="423"/>
        <v>45923.45833</v>
      </c>
      <c r="AT423" s="19">
        <f t="shared" si="423"/>
        <v>45923.47917</v>
      </c>
      <c r="AU423" s="19">
        <f t="shared" si="423"/>
        <v>45923.5</v>
      </c>
      <c r="AV423" s="19">
        <f t="shared" si="423"/>
        <v>45923.52083</v>
      </c>
      <c r="AW423" s="19">
        <f t="shared" si="423"/>
        <v>45923.54167</v>
      </c>
      <c r="AX423" s="19">
        <f t="shared" si="423"/>
        <v>45923.5625</v>
      </c>
      <c r="AY423" s="19">
        <f t="shared" si="423"/>
        <v>45923.58333</v>
      </c>
      <c r="AZ423" s="19">
        <f t="shared" si="423"/>
        <v>45923.60417</v>
      </c>
      <c r="BA423" s="19">
        <f t="shared" si="423"/>
        <v>45923.625</v>
      </c>
      <c r="BB423" s="19">
        <f t="shared" si="423"/>
        <v>45923.64583</v>
      </c>
      <c r="BC423" s="19">
        <f t="shared" si="423"/>
        <v>45923.66667</v>
      </c>
      <c r="BD423" s="19">
        <f t="shared" si="423"/>
        <v>45923.6875</v>
      </c>
      <c r="BE423" s="19">
        <f t="shared" si="423"/>
        <v>45923.70833</v>
      </c>
      <c r="BF423" s="19">
        <f t="shared" si="423"/>
        <v>45923.72917</v>
      </c>
      <c r="BG423" s="19">
        <f t="shared" si="423"/>
        <v>45923.75</v>
      </c>
      <c r="BH423" s="19">
        <f t="shared" si="423"/>
        <v>45923.77083</v>
      </c>
      <c r="BI423" s="19">
        <f t="shared" si="423"/>
        <v>45923.79167</v>
      </c>
      <c r="BJ423" s="19">
        <f t="shared" si="423"/>
        <v>45923.8125</v>
      </c>
      <c r="BK423" s="19">
        <f t="shared" si="423"/>
        <v>45923.83333</v>
      </c>
      <c r="BL423" s="19">
        <f t="shared" si="423"/>
        <v>45923.85417</v>
      </c>
      <c r="BM423" s="19">
        <f t="shared" si="423"/>
        <v>45923.875</v>
      </c>
      <c r="BN423" s="19">
        <f t="shared" si="423"/>
        <v>45923.89583</v>
      </c>
      <c r="BO423" s="19">
        <f t="shared" si="423"/>
        <v>45923.91667</v>
      </c>
      <c r="BP423" s="19">
        <f t="shared" si="423"/>
        <v>45923.9375</v>
      </c>
      <c r="BQ423" s="19">
        <f t="shared" si="423"/>
        <v>45923.95833</v>
      </c>
      <c r="BR423" s="19">
        <f t="shared" si="423"/>
        <v>45923.97917</v>
      </c>
      <c r="BS423" s="19">
        <f t="shared" si="423"/>
        <v>45924</v>
      </c>
      <c r="BT423" s="19">
        <f t="shared" si="423"/>
        <v>45924.02083</v>
      </c>
      <c r="BU423" s="19">
        <f t="shared" si="423"/>
        <v>45924.04167</v>
      </c>
      <c r="BV423" s="19">
        <f t="shared" si="423"/>
        <v>45924.0625</v>
      </c>
      <c r="BW423" s="19">
        <f t="shared" si="423"/>
        <v>45924.08333</v>
      </c>
      <c r="BX423" s="19">
        <f t="shared" si="423"/>
        <v>45923</v>
      </c>
      <c r="BY423" s="19">
        <f t="shared" si="423"/>
        <v>45923</v>
      </c>
      <c r="BZ423" s="19">
        <f t="shared" si="423"/>
        <v>45923</v>
      </c>
    </row>
    <row r="424" ht="14.25" customHeight="1">
      <c r="A424" s="17">
        <v>45924.0</v>
      </c>
      <c r="B424" s="2" t="str">
        <f t="array" ref="B424">IF(NOW()&gt;AM424,"",IF(AND((WEEKDAY($A424)+$B$2)&gt;1,((WEEKDAY($A424)+$T$2)&lt;7),(WEEKDAY($A424)&lt;&gt;1)),"work",(INDEX(Subject!$A:$I,MATCH(RANDBETWEEN(1,(MAX(Subject!$B:$B))),Subject!$B:$B,0),3))))</f>
        <v/>
      </c>
      <c r="C424" s="2" t="str">
        <f t="array" ref="C424">IF(NOW()&gt;AN424,"",IF(AND((WEEKDAY($A424)+$B$2)&gt;1,((WEEKDAY($A424)+$T$2)&lt;7),(WEEKDAY($A424)&lt;&gt;1)),"work",(INDEX(Subject!$A:$I,MATCH(RANDBETWEEN(1,(MAX(Subject!$B:$B))),Subject!$B:$B,0),3))))</f>
        <v/>
      </c>
      <c r="D424" s="2" t="str">
        <f t="array" ref="D424">IF(NOW()&gt;AO424,"",IF(AND((WEEKDAY($A424)+$B$2)&gt;1,((WEEKDAY($A424)+$T$2)&lt;7),(WEEKDAY($A424)&lt;&gt;1)),"work",(INDEX(Subject!$A:$I,MATCH(RANDBETWEEN(1,(MAX(Subject!$B:$B))),Subject!$B:$B,0),3))))</f>
        <v/>
      </c>
      <c r="E424" s="2" t="str">
        <f t="array" ref="E424">IF(NOW()&gt;AP424,"",IF(AND((WEEKDAY($A424)+$B$2)&gt;1,((WEEKDAY($A424)+$T$2)&lt;7),(WEEKDAY($A424)&lt;&gt;1)),"work",(INDEX(Subject!$A:$I,MATCH(RANDBETWEEN(1,(MAX(Subject!$B:$B))),Subject!$B:$B,0),3))))</f>
        <v/>
      </c>
      <c r="F424" s="2" t="str">
        <f t="array" ref="F424">IF(NOW()&gt;AQ424,"",IF(AND((WEEKDAY($A424)+$B$2)&gt;1,((WEEKDAY($A424)+$T$2)&lt;7),(WEEKDAY($A424)&lt;&gt;1)),"work",(INDEX(Subject!$A:$I,MATCH(RANDBETWEEN(1,(MAX(Subject!$B:$B))),Subject!$B:$B,0),3))))</f>
        <v/>
      </c>
      <c r="G424" s="2" t="str">
        <f t="array" ref="G424">IF(NOW()&gt;AR424,"",IF(AND((WEEKDAY($A424)+$B$2)&gt;1,((WEEKDAY($A424)+$T$2)&lt;7),(WEEKDAY($A424)&lt;&gt;1)),"work",(INDEX(Subject!$A:$I,MATCH(RANDBETWEEN(1,(MAX(Subject!$B:$B))),Subject!$B:$B,0),3))))</f>
        <v/>
      </c>
      <c r="H424" s="2" t="str">
        <f t="array" ref="H424">IF(NOW()&gt;AS424,"",IF(AND((WEEKDAY($A424)+$B$2)&gt;1,((WEEKDAY($A424)+$T$2)&lt;7),(WEEKDAY($A424)&lt;&gt;1)),"work",(INDEX(Subject!$A:$I,MATCH(RANDBETWEEN(1,(MAX(Subject!$B:$B))),Subject!$B:$B,0),3))))</f>
        <v/>
      </c>
      <c r="I424" s="2" t="str">
        <f t="array" ref="I424">IF(NOW()&gt;AT424,"",IF(AND((WEEKDAY($A424)+$B$2)&gt;1,((WEEKDAY($A424)+$T$2)&lt;7),(WEEKDAY($A424)&lt;&gt;1)),"work",(INDEX(Subject!$A:$I,MATCH(RANDBETWEEN(1,(MAX(Subject!$B:$B))),Subject!$B:$B,0),3))))</f>
        <v/>
      </c>
      <c r="J424" s="2" t="str">
        <f t="array" ref="J424">IF(NOW()&gt;AU424,"",IF(AND((WEEKDAY($A424)+$B$2)&gt;1,((WEEKDAY($A424)+$T$2)&lt;7),(WEEKDAY($A424)&lt;&gt;1)),"work",(INDEX(Subject!$A:$I,MATCH(RANDBETWEEN(1,(MAX(Subject!$B:$B))),Subject!$B:$B,0),3))))</f>
        <v/>
      </c>
      <c r="K424" s="2" t="str">
        <f t="array" ref="K424">IF(NOW()&gt;AV424,"",IF(AND((WEEKDAY($A424)+$B$2)&gt;1,((WEEKDAY($A424)+$T$2)&lt;7),(WEEKDAY($A424)&lt;&gt;1)),"work",(INDEX(Subject!$A:$I,MATCH(RANDBETWEEN(1,(MAX(Subject!$B:$B))),Subject!$B:$B,0),3))))</f>
        <v/>
      </c>
      <c r="L424" s="2" t="str">
        <f t="array" ref="L424">IF(NOW()&gt;AW424,"",IF(AND((WEEKDAY($A424)+$B$2)&gt;1,((WEEKDAY($A424)+$T$2)&lt;7),(WEEKDAY($A424)&lt;&gt;1)),"work",(INDEX(Subject!$A:$I,MATCH(RANDBETWEEN(1,(MAX(Subject!$B:$B))),Subject!$B:$B,0),3))))</f>
        <v/>
      </c>
      <c r="M424" s="2" t="str">
        <f t="array" ref="M424">IF(NOW()&gt;AX424,"",IF(AND((WEEKDAY($A424)+$B$2)&gt;1,((WEEKDAY($A424)+$T$2)&lt;7),(WEEKDAY($A424)&lt;&gt;1)),"work",(INDEX(Subject!$A:$I,MATCH(RANDBETWEEN(1,(MAX(Subject!$B:$B))),Subject!$B:$B,0),3))))</f>
        <v/>
      </c>
      <c r="N424" s="2" t="str">
        <f t="array" ref="N424">IF(NOW()&gt;AY424,"",IF(AND((WEEKDAY($A424)+$B$2)&gt;1,((WEEKDAY($A424)+$T$2)&lt;7),(WEEKDAY($A424)&lt;&gt;1)),"work",(INDEX(Subject!$A:$I,MATCH(RANDBETWEEN(1,(MAX(Subject!$B:$B))),Subject!$B:$B,0),3))))</f>
        <v/>
      </c>
      <c r="O424" s="2" t="str">
        <f t="array" ref="O424">IF(NOW()&gt;AZ424,"",IF(AND((WEEKDAY($A424)+$B$2)&gt;1,((WEEKDAY($A424)+$T$2)&lt;7),(WEEKDAY($A424)&lt;&gt;1)),"work",(INDEX(Subject!$A:$I,MATCH(RANDBETWEEN(1,(MAX(Subject!$B:$B))),Subject!$B:$B,0),3))))</f>
        <v/>
      </c>
      <c r="P424" s="2" t="str">
        <f t="array" ref="P424">IF(NOW()&gt;BA424,"",IF(AND((WEEKDAY($A424)+$B$2)&gt;1,((WEEKDAY($A424)+$T$2)&lt;7),(WEEKDAY($A424)&lt;&gt;1)),"work",(INDEX(Subject!$A:$I,MATCH(RANDBETWEEN(1,(MAX(Subject!$B:$B))),Subject!$B:$B,0),3))))</f>
        <v/>
      </c>
      <c r="Q424" s="2" t="str">
        <f t="array" ref="Q424">IF(NOW()&gt;BB424,"",IF(AND((WEEKDAY($A424)+$B$2)&gt;1,((WEEKDAY($A424)+$T$2)&lt;7),(WEEKDAY($A424)&lt;&gt;1)),"work",(INDEX(Subject!$A:$I,MATCH(RANDBETWEEN(1,(MAX(Subject!$B:$B))),Subject!$B:$B,0),3))))</f>
        <v/>
      </c>
      <c r="R424" s="2" t="str">
        <f t="array" ref="R424">IF(NOW()&gt;BC424,"",IF(AND((WEEKDAY($A424)+$B$2)&gt;1,((WEEKDAY($A424)+$T$2)&lt;7),(WEEKDAY($A424)&lt;&gt;1)),"work",(INDEX(Subject!$A:$I,MATCH(RANDBETWEEN(1,(MAX(Subject!$B:$B))),Subject!$B:$B,0),3))))</f>
        <v/>
      </c>
      <c r="S424" s="2" t="str">
        <f t="array" ref="S424">IF(NOW()&gt;BD424,"",IF(AND((WEEKDAY($A424)+$B$2)&gt;1,((WEEKDAY($A424)+$T$2)&lt;7),(WEEKDAY($A424)&lt;&gt;1)),"work",(INDEX(Subject!$A:$I,MATCH(RANDBETWEEN(1,(MAX(Subject!$B:$B))),Subject!$B:$B,0),3))))</f>
        <v/>
      </c>
      <c r="T424" s="2" t="str">
        <f t="array" ref="T424">IF(NOW()&gt;BE424,"",IF(AND((WEEKDAY($A424)+$B$2)&gt;1,((WEEKDAY($A424)+$T$2)&lt;7),(WEEKDAY($A424)&lt;&gt;1)),"work",(INDEX(Subject!$A:$I,MATCH(RANDBETWEEN(1,(MAX(Subject!$B:$B))),Subject!$B:$B,0),3))))</f>
        <v/>
      </c>
      <c r="U424" s="8" t="str">
        <f t="array" ref="U424">INDEX(Subject!$A:$I,MATCH(RANDBETWEEN(1,16),Subject!$B:$B,0),3)</f>
        <v>#N/A</v>
      </c>
      <c r="V424" s="8" t="str">
        <f t="array" ref="V424">INDEX(Subject!$A:$I,MATCH(RANDBETWEEN(1,16),Subject!$B:$B,0),3)</f>
        <v>#N/A</v>
      </c>
      <c r="W424" s="8" t="str">
        <f t="array" ref="W424">INDEX(Subject!$A:$I,MATCH(RANDBETWEEN(1,16),Subject!$B:$B,0),3)</f>
        <v>#N/A</v>
      </c>
      <c r="X424" s="8" t="str">
        <f t="array" ref="X424">INDEX(Subject!$A:$I,MATCH(RANDBETWEEN(1,16),Subject!$B:$B,0),3)</f>
        <v>#N/A</v>
      </c>
      <c r="Y424" s="8" t="str">
        <f t="array" ref="Y424">INDEX(Subject!$A:$I,MATCH(RANDBETWEEN(1,16),Subject!$B:$B,0),3)</f>
        <v>#N/A</v>
      </c>
      <c r="Z424" s="8" t="str">
        <f t="array" ref="Z424">INDEX(Subject!$A:$I,MATCH(RANDBETWEEN(1,16),Subject!$B:$B,0),3)</f>
        <v>#N/A</v>
      </c>
      <c r="AA424" s="8" t="str">
        <f t="array" ref="AA424">INDEX(Subject!$A:$I,MATCH(RANDBETWEEN(1,16),Subject!$B:$B,0),3)</f>
        <v>#N/A</v>
      </c>
      <c r="AB424" s="8" t="str">
        <f t="array" ref="AB424">INDEX(Subject!$A:$I,MATCH(RANDBETWEEN(1,16),Subject!$B:$B,0),3)</f>
        <v>#N/A</v>
      </c>
      <c r="AC424" s="8" t="str">
        <f t="array" ref="AC424">INDEX(Subject!$A:$I,MATCH(RANDBETWEEN(1,16),Subject!$B:$B,0),3)</f>
        <v/>
      </c>
      <c r="AD424" s="8" t="str">
        <f t="array" ref="AD424">INDEX(Subject!$A:$I,MATCH(RANDBETWEEN(1,16),Subject!$B:$B,0),3)</f>
        <v>#N/A</v>
      </c>
      <c r="AE424" s="8" t="str">
        <f t="array" ref="AE424">INDEX(Subject!$A:$I,MATCH(RANDBETWEEN(1,16),Subject!$B:$B,0),3)</f>
        <v/>
      </c>
      <c r="AF424" s="8" t="str">
        <f t="array" ref="AF424">INDEX(Subject!$A:$I,MATCH(RANDBETWEEN(1,16),Subject!$B:$B,0),3)</f>
        <v>#N/A</v>
      </c>
      <c r="AG424" s="8" t="str">
        <f t="array" ref="AG424">INDEX(Subject!$A:$I,MATCH(RANDBETWEEN(1,16),Subject!$B:$B,0),3)</f>
        <v>#N/A</v>
      </c>
      <c r="AH424" s="8" t="str">
        <f t="array" ref="AH424">INDEX(Subject!$A:$I,MATCH(RANDBETWEEN(1,16),Subject!$B:$B,0),3)</f>
        <v>#N/A</v>
      </c>
      <c r="AI424" s="8" t="str">
        <f t="array" ref="AI424">INDEX(Subject!$A:$I,MATCH(RANDBETWEEN(1,16),Subject!$B:$B,0),3)</f>
        <v>#N/A</v>
      </c>
      <c r="AJ424" s="8" t="str">
        <f t="array" ref="AJ424">INDEX(Subject!$A:$I,MATCH(RANDBETWEEN(1,16),Subject!$B:$B,0),3)</f>
        <v>#N/A</v>
      </c>
      <c r="AK424" s="8" t="str">
        <f t="array" ref="AK424">INDEX(Subject!$A:$I,MATCH(RANDBETWEEN(1,16),Subject!$B:$B,0),3)</f>
        <v>#N/A</v>
      </c>
      <c r="AL424" s="8" t="str">
        <f t="array" ref="AL424">INDEX(Subject!$A:$I,MATCH(RANDBETWEEN(1,16),Subject!$B:$B,0),3)</f>
        <v>#N/A</v>
      </c>
      <c r="AM424" s="18">
        <f t="shared" si="4"/>
        <v>45924.33333</v>
      </c>
      <c r="AN424" s="19">
        <f t="shared" ref="AN424:BZ424" si="424">$A424+C$1</f>
        <v>45924.35417</v>
      </c>
      <c r="AO424" s="19">
        <f t="shared" si="424"/>
        <v>45924.375</v>
      </c>
      <c r="AP424" s="19">
        <f t="shared" si="424"/>
        <v>45924.39583</v>
      </c>
      <c r="AQ424" s="19">
        <f t="shared" si="424"/>
        <v>45924.41667</v>
      </c>
      <c r="AR424" s="19">
        <f t="shared" si="424"/>
        <v>45924.4375</v>
      </c>
      <c r="AS424" s="19">
        <f t="shared" si="424"/>
        <v>45924.45833</v>
      </c>
      <c r="AT424" s="19">
        <f t="shared" si="424"/>
        <v>45924.47917</v>
      </c>
      <c r="AU424" s="19">
        <f t="shared" si="424"/>
        <v>45924.5</v>
      </c>
      <c r="AV424" s="19">
        <f t="shared" si="424"/>
        <v>45924.52083</v>
      </c>
      <c r="AW424" s="19">
        <f t="shared" si="424"/>
        <v>45924.54167</v>
      </c>
      <c r="AX424" s="19">
        <f t="shared" si="424"/>
        <v>45924.5625</v>
      </c>
      <c r="AY424" s="19">
        <f t="shared" si="424"/>
        <v>45924.58333</v>
      </c>
      <c r="AZ424" s="19">
        <f t="shared" si="424"/>
        <v>45924.60417</v>
      </c>
      <c r="BA424" s="19">
        <f t="shared" si="424"/>
        <v>45924.625</v>
      </c>
      <c r="BB424" s="19">
        <f t="shared" si="424"/>
        <v>45924.64583</v>
      </c>
      <c r="BC424" s="19">
        <f t="shared" si="424"/>
        <v>45924.66667</v>
      </c>
      <c r="BD424" s="19">
        <f t="shared" si="424"/>
        <v>45924.6875</v>
      </c>
      <c r="BE424" s="19">
        <f t="shared" si="424"/>
        <v>45924.70833</v>
      </c>
      <c r="BF424" s="19">
        <f t="shared" si="424"/>
        <v>45924.72917</v>
      </c>
      <c r="BG424" s="19">
        <f t="shared" si="424"/>
        <v>45924.75</v>
      </c>
      <c r="BH424" s="19">
        <f t="shared" si="424"/>
        <v>45924.77083</v>
      </c>
      <c r="BI424" s="19">
        <f t="shared" si="424"/>
        <v>45924.79167</v>
      </c>
      <c r="BJ424" s="19">
        <f t="shared" si="424"/>
        <v>45924.8125</v>
      </c>
      <c r="BK424" s="19">
        <f t="shared" si="424"/>
        <v>45924.83333</v>
      </c>
      <c r="BL424" s="19">
        <f t="shared" si="424"/>
        <v>45924.85417</v>
      </c>
      <c r="BM424" s="19">
        <f t="shared" si="424"/>
        <v>45924.875</v>
      </c>
      <c r="BN424" s="19">
        <f t="shared" si="424"/>
        <v>45924.89583</v>
      </c>
      <c r="BO424" s="19">
        <f t="shared" si="424"/>
        <v>45924.91667</v>
      </c>
      <c r="BP424" s="19">
        <f t="shared" si="424"/>
        <v>45924.9375</v>
      </c>
      <c r="BQ424" s="19">
        <f t="shared" si="424"/>
        <v>45924.95833</v>
      </c>
      <c r="BR424" s="19">
        <f t="shared" si="424"/>
        <v>45924.97917</v>
      </c>
      <c r="BS424" s="19">
        <f t="shared" si="424"/>
        <v>45925</v>
      </c>
      <c r="BT424" s="19">
        <f t="shared" si="424"/>
        <v>45925.02083</v>
      </c>
      <c r="BU424" s="19">
        <f t="shared" si="424"/>
        <v>45925.04167</v>
      </c>
      <c r="BV424" s="19">
        <f t="shared" si="424"/>
        <v>45925.0625</v>
      </c>
      <c r="BW424" s="19">
        <f t="shared" si="424"/>
        <v>45925.08333</v>
      </c>
      <c r="BX424" s="19">
        <f t="shared" si="424"/>
        <v>45924</v>
      </c>
      <c r="BY424" s="19">
        <f t="shared" si="424"/>
        <v>45924</v>
      </c>
      <c r="BZ424" s="19">
        <f t="shared" si="424"/>
        <v>45924</v>
      </c>
    </row>
    <row r="425" ht="14.25" customHeight="1">
      <c r="A425" s="17">
        <v>45925.0</v>
      </c>
      <c r="B425" s="2" t="str">
        <f t="array" ref="B425">IF(NOW()&gt;AM425,"",IF(AND((WEEKDAY($A425)+$B$2)&gt;1,((WEEKDAY($A425)+$T$2)&lt;7),(WEEKDAY($A425)&lt;&gt;1)),"work",(INDEX(Subject!$A:$I,MATCH(RANDBETWEEN(1,(MAX(Subject!$B:$B))),Subject!$B:$B,0),3))))</f>
        <v/>
      </c>
      <c r="C425" s="2" t="str">
        <f t="array" ref="C425">IF(NOW()&gt;AN425,"",IF(AND((WEEKDAY($A425)+$B$2)&gt;1,((WEEKDAY($A425)+$T$2)&lt;7),(WEEKDAY($A425)&lt;&gt;1)),"work",(INDEX(Subject!$A:$I,MATCH(RANDBETWEEN(1,(MAX(Subject!$B:$B))),Subject!$B:$B,0),3))))</f>
        <v/>
      </c>
      <c r="D425" s="2" t="str">
        <f t="array" ref="D425">IF(NOW()&gt;AO425,"",IF(AND((WEEKDAY($A425)+$B$2)&gt;1,((WEEKDAY($A425)+$T$2)&lt;7),(WEEKDAY($A425)&lt;&gt;1)),"work",(INDEX(Subject!$A:$I,MATCH(RANDBETWEEN(1,(MAX(Subject!$B:$B))),Subject!$B:$B,0),3))))</f>
        <v/>
      </c>
      <c r="E425" s="2" t="str">
        <f t="array" ref="E425">IF(NOW()&gt;AP425,"",IF(AND((WEEKDAY($A425)+$B$2)&gt;1,((WEEKDAY($A425)+$T$2)&lt;7),(WEEKDAY($A425)&lt;&gt;1)),"work",(INDEX(Subject!$A:$I,MATCH(RANDBETWEEN(1,(MAX(Subject!$B:$B))),Subject!$B:$B,0),3))))</f>
        <v/>
      </c>
      <c r="F425" s="2" t="str">
        <f t="array" ref="F425">IF(NOW()&gt;AQ425,"",IF(AND((WEEKDAY($A425)+$B$2)&gt;1,((WEEKDAY($A425)+$T$2)&lt;7),(WEEKDAY($A425)&lt;&gt;1)),"work",(INDEX(Subject!$A:$I,MATCH(RANDBETWEEN(1,(MAX(Subject!$B:$B))),Subject!$B:$B,0),3))))</f>
        <v/>
      </c>
      <c r="G425" s="2" t="str">
        <f t="array" ref="G425">IF(NOW()&gt;AR425,"",IF(AND((WEEKDAY($A425)+$B$2)&gt;1,((WEEKDAY($A425)+$T$2)&lt;7),(WEEKDAY($A425)&lt;&gt;1)),"work",(INDEX(Subject!$A:$I,MATCH(RANDBETWEEN(1,(MAX(Subject!$B:$B))),Subject!$B:$B,0),3))))</f>
        <v/>
      </c>
      <c r="H425" s="2" t="str">
        <f t="array" ref="H425">IF(NOW()&gt;AS425,"",IF(AND((WEEKDAY($A425)+$B$2)&gt;1,((WEEKDAY($A425)+$T$2)&lt;7),(WEEKDAY($A425)&lt;&gt;1)),"work",(INDEX(Subject!$A:$I,MATCH(RANDBETWEEN(1,(MAX(Subject!$B:$B))),Subject!$B:$B,0),3))))</f>
        <v/>
      </c>
      <c r="I425" s="2" t="str">
        <f t="array" ref="I425">IF(NOW()&gt;AT425,"",IF(AND((WEEKDAY($A425)+$B$2)&gt;1,((WEEKDAY($A425)+$T$2)&lt;7),(WEEKDAY($A425)&lt;&gt;1)),"work",(INDEX(Subject!$A:$I,MATCH(RANDBETWEEN(1,(MAX(Subject!$B:$B))),Subject!$B:$B,0),3))))</f>
        <v/>
      </c>
      <c r="J425" s="2" t="str">
        <f t="array" ref="J425">IF(NOW()&gt;AU425,"",IF(AND((WEEKDAY($A425)+$B$2)&gt;1,((WEEKDAY($A425)+$T$2)&lt;7),(WEEKDAY($A425)&lt;&gt;1)),"work",(INDEX(Subject!$A:$I,MATCH(RANDBETWEEN(1,(MAX(Subject!$B:$B))),Subject!$B:$B,0),3))))</f>
        <v/>
      </c>
      <c r="K425" s="2" t="str">
        <f t="array" ref="K425">IF(NOW()&gt;AV425,"",IF(AND((WEEKDAY($A425)+$B$2)&gt;1,((WEEKDAY($A425)+$T$2)&lt;7),(WEEKDAY($A425)&lt;&gt;1)),"work",(INDEX(Subject!$A:$I,MATCH(RANDBETWEEN(1,(MAX(Subject!$B:$B))),Subject!$B:$B,0),3))))</f>
        <v/>
      </c>
      <c r="L425" s="2" t="str">
        <f t="array" ref="L425">IF(NOW()&gt;AW425,"",IF(AND((WEEKDAY($A425)+$B$2)&gt;1,((WEEKDAY($A425)+$T$2)&lt;7),(WEEKDAY($A425)&lt;&gt;1)),"work",(INDEX(Subject!$A:$I,MATCH(RANDBETWEEN(1,(MAX(Subject!$B:$B))),Subject!$B:$B,0),3))))</f>
        <v/>
      </c>
      <c r="M425" s="2" t="str">
        <f t="array" ref="M425">IF(NOW()&gt;AX425,"",IF(AND((WEEKDAY($A425)+$B$2)&gt;1,((WEEKDAY($A425)+$T$2)&lt;7),(WEEKDAY($A425)&lt;&gt;1)),"work",(INDEX(Subject!$A:$I,MATCH(RANDBETWEEN(1,(MAX(Subject!$B:$B))),Subject!$B:$B,0),3))))</f>
        <v/>
      </c>
      <c r="N425" s="2" t="str">
        <f t="array" ref="N425">IF(NOW()&gt;AY425,"",IF(AND((WEEKDAY($A425)+$B$2)&gt;1,((WEEKDAY($A425)+$T$2)&lt;7),(WEEKDAY($A425)&lt;&gt;1)),"work",(INDEX(Subject!$A:$I,MATCH(RANDBETWEEN(1,(MAX(Subject!$B:$B))),Subject!$B:$B,0),3))))</f>
        <v/>
      </c>
      <c r="O425" s="2" t="str">
        <f t="array" ref="O425">IF(NOW()&gt;AZ425,"",IF(AND((WEEKDAY($A425)+$B$2)&gt;1,((WEEKDAY($A425)+$T$2)&lt;7),(WEEKDAY($A425)&lt;&gt;1)),"work",(INDEX(Subject!$A:$I,MATCH(RANDBETWEEN(1,(MAX(Subject!$B:$B))),Subject!$B:$B,0),3))))</f>
        <v/>
      </c>
      <c r="P425" s="2" t="str">
        <f t="array" ref="P425">IF(NOW()&gt;BA425,"",IF(AND((WEEKDAY($A425)+$B$2)&gt;1,((WEEKDAY($A425)+$T$2)&lt;7),(WEEKDAY($A425)&lt;&gt;1)),"work",(INDEX(Subject!$A:$I,MATCH(RANDBETWEEN(1,(MAX(Subject!$B:$B))),Subject!$B:$B,0),3))))</f>
        <v/>
      </c>
      <c r="Q425" s="2" t="str">
        <f t="array" ref="Q425">IF(NOW()&gt;BB425,"",IF(AND((WEEKDAY($A425)+$B$2)&gt;1,((WEEKDAY($A425)+$T$2)&lt;7),(WEEKDAY($A425)&lt;&gt;1)),"work",(INDEX(Subject!$A:$I,MATCH(RANDBETWEEN(1,(MAX(Subject!$B:$B))),Subject!$B:$B,0),3))))</f>
        <v/>
      </c>
      <c r="R425" s="2" t="str">
        <f t="array" ref="R425">IF(NOW()&gt;BC425,"",IF(AND((WEEKDAY($A425)+$B$2)&gt;1,((WEEKDAY($A425)+$T$2)&lt;7),(WEEKDAY($A425)&lt;&gt;1)),"work",(INDEX(Subject!$A:$I,MATCH(RANDBETWEEN(1,(MAX(Subject!$B:$B))),Subject!$B:$B,0),3))))</f>
        <v/>
      </c>
      <c r="S425" s="2" t="str">
        <f t="array" ref="S425">IF(NOW()&gt;BD425,"",IF(AND((WEEKDAY($A425)+$B$2)&gt;1,((WEEKDAY($A425)+$T$2)&lt;7),(WEEKDAY($A425)&lt;&gt;1)),"work",(INDEX(Subject!$A:$I,MATCH(RANDBETWEEN(1,(MAX(Subject!$B:$B))),Subject!$B:$B,0),3))))</f>
        <v/>
      </c>
      <c r="T425" s="2" t="str">
        <f t="array" ref="T425">IF(NOW()&gt;BE425,"",IF(AND((WEEKDAY($A425)+$B$2)&gt;1,((WEEKDAY($A425)+$T$2)&lt;7),(WEEKDAY($A425)&lt;&gt;1)),"work",(INDEX(Subject!$A:$I,MATCH(RANDBETWEEN(1,(MAX(Subject!$B:$B))),Subject!$B:$B,0),3))))</f>
        <v/>
      </c>
      <c r="U425" s="8" t="str">
        <f t="array" ref="U425">INDEX(Subject!$A:$I,MATCH(RANDBETWEEN(1,16),Subject!$B:$B,0),3)</f>
        <v>#N/A</v>
      </c>
      <c r="V425" s="8" t="str">
        <f t="array" ref="V425">INDEX(Subject!$A:$I,MATCH(RANDBETWEEN(1,16),Subject!$B:$B,0),3)</f>
        <v>#N/A</v>
      </c>
      <c r="W425" s="8" t="str">
        <f t="array" ref="W425">INDEX(Subject!$A:$I,MATCH(RANDBETWEEN(1,16),Subject!$B:$B,0),3)</f>
        <v>#N/A</v>
      </c>
      <c r="X425" s="8" t="str">
        <f t="array" ref="X425">INDEX(Subject!$A:$I,MATCH(RANDBETWEEN(1,16),Subject!$B:$B,0),3)</f>
        <v>#N/A</v>
      </c>
      <c r="Y425" s="8" t="str">
        <f t="array" ref="Y425">INDEX(Subject!$A:$I,MATCH(RANDBETWEEN(1,16),Subject!$B:$B,0),3)</f>
        <v>#N/A</v>
      </c>
      <c r="Z425" s="8" t="str">
        <f t="array" ref="Z425">INDEX(Subject!$A:$I,MATCH(RANDBETWEEN(1,16),Subject!$B:$B,0),3)</f>
        <v>#N/A</v>
      </c>
      <c r="AA425" s="8" t="str">
        <f t="array" ref="AA425">INDEX(Subject!$A:$I,MATCH(RANDBETWEEN(1,16),Subject!$B:$B,0),3)</f>
        <v>#N/A</v>
      </c>
      <c r="AB425" s="8" t="str">
        <f t="array" ref="AB425">INDEX(Subject!$A:$I,MATCH(RANDBETWEEN(1,16),Subject!$B:$B,0),3)</f>
        <v>#N/A</v>
      </c>
      <c r="AC425" s="8" t="str">
        <f t="array" ref="AC425">INDEX(Subject!$A:$I,MATCH(RANDBETWEEN(1,16),Subject!$B:$B,0),3)</f>
        <v>#N/A</v>
      </c>
      <c r="AD425" s="8" t="str">
        <f t="array" ref="AD425">INDEX(Subject!$A:$I,MATCH(RANDBETWEEN(1,16),Subject!$B:$B,0),3)</f>
        <v>#N/A</v>
      </c>
      <c r="AE425" s="8" t="str">
        <f t="array" ref="AE425">INDEX(Subject!$A:$I,MATCH(RANDBETWEEN(1,16),Subject!$B:$B,0),3)</f>
        <v>#N/A</v>
      </c>
      <c r="AF425" s="8" t="str">
        <f t="array" ref="AF425">INDEX(Subject!$A:$I,MATCH(RANDBETWEEN(1,16),Subject!$B:$B,0),3)</f>
        <v>#N/A</v>
      </c>
      <c r="AG425" s="8" t="str">
        <f t="array" ref="AG425">INDEX(Subject!$A:$I,MATCH(RANDBETWEEN(1,16),Subject!$B:$B,0),3)</f>
        <v>#N/A</v>
      </c>
      <c r="AH425" s="8" t="str">
        <f t="array" ref="AH425">INDEX(Subject!$A:$I,MATCH(RANDBETWEEN(1,16),Subject!$B:$B,0),3)</f>
        <v>#N/A</v>
      </c>
      <c r="AI425" s="8" t="str">
        <f t="array" ref="AI425">INDEX(Subject!$A:$I,MATCH(RANDBETWEEN(1,16),Subject!$B:$B,0),3)</f>
        <v>#N/A</v>
      </c>
      <c r="AJ425" s="8" t="str">
        <f t="array" ref="AJ425">INDEX(Subject!$A:$I,MATCH(RANDBETWEEN(1,16),Subject!$B:$B,0),3)</f>
        <v>#N/A</v>
      </c>
      <c r="AK425" s="8" t="str">
        <f t="array" ref="AK425">INDEX(Subject!$A:$I,MATCH(RANDBETWEEN(1,16),Subject!$B:$B,0),3)</f>
        <v>#N/A</v>
      </c>
      <c r="AL425" s="8" t="str">
        <f t="array" ref="AL425">INDEX(Subject!$A:$I,MATCH(RANDBETWEEN(1,16),Subject!$B:$B,0),3)</f>
        <v>#N/A</v>
      </c>
      <c r="AM425" s="18">
        <f t="shared" si="4"/>
        <v>45925.33333</v>
      </c>
      <c r="AN425" s="19">
        <f t="shared" ref="AN425:BZ425" si="425">$A425+C$1</f>
        <v>45925.35417</v>
      </c>
      <c r="AO425" s="19">
        <f t="shared" si="425"/>
        <v>45925.375</v>
      </c>
      <c r="AP425" s="19">
        <f t="shared" si="425"/>
        <v>45925.39583</v>
      </c>
      <c r="AQ425" s="19">
        <f t="shared" si="425"/>
        <v>45925.41667</v>
      </c>
      <c r="AR425" s="19">
        <f t="shared" si="425"/>
        <v>45925.4375</v>
      </c>
      <c r="AS425" s="19">
        <f t="shared" si="425"/>
        <v>45925.45833</v>
      </c>
      <c r="AT425" s="19">
        <f t="shared" si="425"/>
        <v>45925.47917</v>
      </c>
      <c r="AU425" s="19">
        <f t="shared" si="425"/>
        <v>45925.5</v>
      </c>
      <c r="AV425" s="19">
        <f t="shared" si="425"/>
        <v>45925.52083</v>
      </c>
      <c r="AW425" s="19">
        <f t="shared" si="425"/>
        <v>45925.54167</v>
      </c>
      <c r="AX425" s="19">
        <f t="shared" si="425"/>
        <v>45925.5625</v>
      </c>
      <c r="AY425" s="19">
        <f t="shared" si="425"/>
        <v>45925.58333</v>
      </c>
      <c r="AZ425" s="19">
        <f t="shared" si="425"/>
        <v>45925.60417</v>
      </c>
      <c r="BA425" s="19">
        <f t="shared" si="425"/>
        <v>45925.625</v>
      </c>
      <c r="BB425" s="19">
        <f t="shared" si="425"/>
        <v>45925.64583</v>
      </c>
      <c r="BC425" s="19">
        <f t="shared" si="425"/>
        <v>45925.66667</v>
      </c>
      <c r="BD425" s="19">
        <f t="shared" si="425"/>
        <v>45925.6875</v>
      </c>
      <c r="BE425" s="19">
        <f t="shared" si="425"/>
        <v>45925.70833</v>
      </c>
      <c r="BF425" s="19">
        <f t="shared" si="425"/>
        <v>45925.72917</v>
      </c>
      <c r="BG425" s="19">
        <f t="shared" si="425"/>
        <v>45925.75</v>
      </c>
      <c r="BH425" s="19">
        <f t="shared" si="425"/>
        <v>45925.77083</v>
      </c>
      <c r="BI425" s="19">
        <f t="shared" si="425"/>
        <v>45925.79167</v>
      </c>
      <c r="BJ425" s="19">
        <f t="shared" si="425"/>
        <v>45925.8125</v>
      </c>
      <c r="BK425" s="19">
        <f t="shared" si="425"/>
        <v>45925.83333</v>
      </c>
      <c r="BL425" s="19">
        <f t="shared" si="425"/>
        <v>45925.85417</v>
      </c>
      <c r="BM425" s="19">
        <f t="shared" si="425"/>
        <v>45925.875</v>
      </c>
      <c r="BN425" s="19">
        <f t="shared" si="425"/>
        <v>45925.89583</v>
      </c>
      <c r="BO425" s="19">
        <f t="shared" si="425"/>
        <v>45925.91667</v>
      </c>
      <c r="BP425" s="19">
        <f t="shared" si="425"/>
        <v>45925.9375</v>
      </c>
      <c r="BQ425" s="19">
        <f t="shared" si="425"/>
        <v>45925.95833</v>
      </c>
      <c r="BR425" s="19">
        <f t="shared" si="425"/>
        <v>45925.97917</v>
      </c>
      <c r="BS425" s="19">
        <f t="shared" si="425"/>
        <v>45926</v>
      </c>
      <c r="BT425" s="19">
        <f t="shared" si="425"/>
        <v>45926.02083</v>
      </c>
      <c r="BU425" s="19">
        <f t="shared" si="425"/>
        <v>45926.04167</v>
      </c>
      <c r="BV425" s="19">
        <f t="shared" si="425"/>
        <v>45926.0625</v>
      </c>
      <c r="BW425" s="19">
        <f t="shared" si="425"/>
        <v>45926.08333</v>
      </c>
      <c r="BX425" s="19">
        <f t="shared" si="425"/>
        <v>45925</v>
      </c>
      <c r="BY425" s="19">
        <f t="shared" si="425"/>
        <v>45925</v>
      </c>
      <c r="BZ425" s="19">
        <f t="shared" si="425"/>
        <v>45925</v>
      </c>
    </row>
    <row r="426" ht="14.25" customHeight="1">
      <c r="A426" s="17">
        <v>45926.0</v>
      </c>
      <c r="B426" s="2" t="str">
        <f t="array" ref="B426">IF(NOW()&gt;AM426,"",IF(AND((WEEKDAY($A426)+$B$2)&gt;1,((WEEKDAY($A426)+$T$2)&lt;7),(WEEKDAY($A426)&lt;&gt;1)),"work",(INDEX(Subject!$A:$I,MATCH(RANDBETWEEN(1,(MAX(Subject!$B:$B))),Subject!$B:$B,0),3))))</f>
        <v/>
      </c>
      <c r="C426" s="2" t="str">
        <f t="array" ref="C426">IF(NOW()&gt;AN426,"",IF(AND((WEEKDAY($A426)+$B$2)&gt;1,((WEEKDAY($A426)+$T$2)&lt;7),(WEEKDAY($A426)&lt;&gt;1)),"work",(INDEX(Subject!$A:$I,MATCH(RANDBETWEEN(1,(MAX(Subject!$B:$B))),Subject!$B:$B,0),3))))</f>
        <v/>
      </c>
      <c r="D426" s="2" t="str">
        <f t="array" ref="D426">IF(NOW()&gt;AO426,"",IF(AND((WEEKDAY($A426)+$B$2)&gt;1,((WEEKDAY($A426)+$T$2)&lt;7),(WEEKDAY($A426)&lt;&gt;1)),"work",(INDEX(Subject!$A:$I,MATCH(RANDBETWEEN(1,(MAX(Subject!$B:$B))),Subject!$B:$B,0),3))))</f>
        <v/>
      </c>
      <c r="E426" s="2" t="str">
        <f t="array" ref="E426">IF(NOW()&gt;AP426,"",IF(AND((WEEKDAY($A426)+$B$2)&gt;1,((WEEKDAY($A426)+$T$2)&lt;7),(WEEKDAY($A426)&lt;&gt;1)),"work",(INDEX(Subject!$A:$I,MATCH(RANDBETWEEN(1,(MAX(Subject!$B:$B))),Subject!$B:$B,0),3))))</f>
        <v/>
      </c>
      <c r="F426" s="2" t="str">
        <f t="array" ref="F426">IF(NOW()&gt;AQ426,"",IF(AND((WEEKDAY($A426)+$B$2)&gt;1,((WEEKDAY($A426)+$T$2)&lt;7),(WEEKDAY($A426)&lt;&gt;1)),"work",(INDEX(Subject!$A:$I,MATCH(RANDBETWEEN(1,(MAX(Subject!$B:$B))),Subject!$B:$B,0),3))))</f>
        <v/>
      </c>
      <c r="G426" s="2" t="str">
        <f t="array" ref="G426">IF(NOW()&gt;AR426,"",IF(AND((WEEKDAY($A426)+$B$2)&gt;1,((WEEKDAY($A426)+$T$2)&lt;7),(WEEKDAY($A426)&lt;&gt;1)),"work",(INDEX(Subject!$A:$I,MATCH(RANDBETWEEN(1,(MAX(Subject!$B:$B))),Subject!$B:$B,0),3))))</f>
        <v/>
      </c>
      <c r="H426" s="2" t="str">
        <f t="array" ref="H426">IF(NOW()&gt;AS426,"",IF(AND((WEEKDAY($A426)+$B$2)&gt;1,((WEEKDAY($A426)+$T$2)&lt;7),(WEEKDAY($A426)&lt;&gt;1)),"work",(INDEX(Subject!$A:$I,MATCH(RANDBETWEEN(1,(MAX(Subject!$B:$B))),Subject!$B:$B,0),3))))</f>
        <v/>
      </c>
      <c r="I426" s="2" t="str">
        <f t="array" ref="I426">IF(NOW()&gt;AT426,"",IF(AND((WEEKDAY($A426)+$B$2)&gt;1,((WEEKDAY($A426)+$T$2)&lt;7),(WEEKDAY($A426)&lt;&gt;1)),"work",(INDEX(Subject!$A:$I,MATCH(RANDBETWEEN(1,(MAX(Subject!$B:$B))),Subject!$B:$B,0),3))))</f>
        <v/>
      </c>
      <c r="J426" s="2" t="str">
        <f t="array" ref="J426">IF(NOW()&gt;AU426,"",IF(AND((WEEKDAY($A426)+$B$2)&gt;1,((WEEKDAY($A426)+$T$2)&lt;7),(WEEKDAY($A426)&lt;&gt;1)),"work",(INDEX(Subject!$A:$I,MATCH(RANDBETWEEN(1,(MAX(Subject!$B:$B))),Subject!$B:$B,0),3))))</f>
        <v/>
      </c>
      <c r="K426" s="2" t="str">
        <f t="array" ref="K426">IF(NOW()&gt;AV426,"",IF(AND((WEEKDAY($A426)+$B$2)&gt;1,((WEEKDAY($A426)+$T$2)&lt;7),(WEEKDAY($A426)&lt;&gt;1)),"work",(INDEX(Subject!$A:$I,MATCH(RANDBETWEEN(1,(MAX(Subject!$B:$B))),Subject!$B:$B,0),3))))</f>
        <v/>
      </c>
      <c r="L426" s="2" t="str">
        <f t="array" ref="L426">IF(NOW()&gt;AW426,"",IF(AND((WEEKDAY($A426)+$B$2)&gt;1,((WEEKDAY($A426)+$T$2)&lt;7),(WEEKDAY($A426)&lt;&gt;1)),"work",(INDEX(Subject!$A:$I,MATCH(RANDBETWEEN(1,(MAX(Subject!$B:$B))),Subject!$B:$B,0),3))))</f>
        <v/>
      </c>
      <c r="M426" s="2" t="str">
        <f t="array" ref="M426">IF(NOW()&gt;AX426,"",IF(AND((WEEKDAY($A426)+$B$2)&gt;1,((WEEKDAY($A426)+$T$2)&lt;7),(WEEKDAY($A426)&lt;&gt;1)),"work",(INDEX(Subject!$A:$I,MATCH(RANDBETWEEN(1,(MAX(Subject!$B:$B))),Subject!$B:$B,0),3))))</f>
        <v/>
      </c>
      <c r="N426" s="2" t="str">
        <f t="array" ref="N426">IF(NOW()&gt;AY426,"",IF(AND((WEEKDAY($A426)+$B$2)&gt;1,((WEEKDAY($A426)+$T$2)&lt;7),(WEEKDAY($A426)&lt;&gt;1)),"work",(INDEX(Subject!$A:$I,MATCH(RANDBETWEEN(1,(MAX(Subject!$B:$B))),Subject!$B:$B,0),3))))</f>
        <v/>
      </c>
      <c r="O426" s="2" t="str">
        <f t="array" ref="O426">IF(NOW()&gt;AZ426,"",IF(AND((WEEKDAY($A426)+$B$2)&gt;1,((WEEKDAY($A426)+$T$2)&lt;7),(WEEKDAY($A426)&lt;&gt;1)),"work",(INDEX(Subject!$A:$I,MATCH(RANDBETWEEN(1,(MAX(Subject!$B:$B))),Subject!$B:$B,0),3))))</f>
        <v/>
      </c>
      <c r="P426" s="2" t="str">
        <f t="array" ref="P426">IF(NOW()&gt;BA426,"",IF(AND((WEEKDAY($A426)+$B$2)&gt;1,((WEEKDAY($A426)+$T$2)&lt;7),(WEEKDAY($A426)&lt;&gt;1)),"work",(INDEX(Subject!$A:$I,MATCH(RANDBETWEEN(1,(MAX(Subject!$B:$B))),Subject!$B:$B,0),3))))</f>
        <v/>
      </c>
      <c r="Q426" s="2" t="str">
        <f t="array" ref="Q426">IF(NOW()&gt;BB426,"",IF(AND((WEEKDAY($A426)+$B$2)&gt;1,((WEEKDAY($A426)+$T$2)&lt;7),(WEEKDAY($A426)&lt;&gt;1)),"work",(INDEX(Subject!$A:$I,MATCH(RANDBETWEEN(1,(MAX(Subject!$B:$B))),Subject!$B:$B,0),3))))</f>
        <v/>
      </c>
      <c r="R426" s="2" t="str">
        <f t="array" ref="R426">IF(NOW()&gt;BC426,"",IF(AND((WEEKDAY($A426)+$B$2)&gt;1,((WEEKDAY($A426)+$T$2)&lt;7),(WEEKDAY($A426)&lt;&gt;1)),"work",(INDEX(Subject!$A:$I,MATCH(RANDBETWEEN(1,(MAX(Subject!$B:$B))),Subject!$B:$B,0),3))))</f>
        <v/>
      </c>
      <c r="S426" s="2" t="str">
        <f t="array" ref="S426">IF(NOW()&gt;BD426,"",IF(AND((WEEKDAY($A426)+$B$2)&gt;1,((WEEKDAY($A426)+$T$2)&lt;7),(WEEKDAY($A426)&lt;&gt;1)),"work",(INDEX(Subject!$A:$I,MATCH(RANDBETWEEN(1,(MAX(Subject!$B:$B))),Subject!$B:$B,0),3))))</f>
        <v/>
      </c>
      <c r="T426" s="2" t="str">
        <f t="array" ref="T426">IF(NOW()&gt;BE426,"",IF(AND((WEEKDAY($A426)+$B$2)&gt;1,((WEEKDAY($A426)+$T$2)&lt;7),(WEEKDAY($A426)&lt;&gt;1)),"work",(INDEX(Subject!$A:$I,MATCH(RANDBETWEEN(1,(MAX(Subject!$B:$B))),Subject!$B:$B,0),3))))</f>
        <v/>
      </c>
      <c r="U426" s="8" t="str">
        <f t="array" ref="U426">INDEX(Subject!$A:$I,MATCH(RANDBETWEEN(1,16),Subject!$B:$B,0),3)</f>
        <v>#N/A</v>
      </c>
      <c r="V426" s="8" t="str">
        <f t="array" ref="V426">INDEX(Subject!$A:$I,MATCH(RANDBETWEEN(1,16),Subject!$B:$B,0),3)</f>
        <v>#N/A</v>
      </c>
      <c r="W426" s="8" t="str">
        <f t="array" ref="W426">INDEX(Subject!$A:$I,MATCH(RANDBETWEEN(1,16),Subject!$B:$B,0),3)</f>
        <v>#N/A</v>
      </c>
      <c r="X426" s="8" t="str">
        <f t="array" ref="X426">INDEX(Subject!$A:$I,MATCH(RANDBETWEEN(1,16),Subject!$B:$B,0),3)</f>
        <v>#N/A</v>
      </c>
      <c r="Y426" s="8" t="str">
        <f t="array" ref="Y426">INDEX(Subject!$A:$I,MATCH(RANDBETWEEN(1,16),Subject!$B:$B,0),3)</f>
        <v>#N/A</v>
      </c>
      <c r="Z426" s="8" t="str">
        <f t="array" ref="Z426">INDEX(Subject!$A:$I,MATCH(RANDBETWEEN(1,16),Subject!$B:$B,0),3)</f>
        <v>#N/A</v>
      </c>
      <c r="AA426" s="8" t="str">
        <f t="array" ref="AA426">INDEX(Subject!$A:$I,MATCH(RANDBETWEEN(1,16),Subject!$B:$B,0),3)</f>
        <v>#N/A</v>
      </c>
      <c r="AB426" s="8" t="str">
        <f t="array" ref="AB426">INDEX(Subject!$A:$I,MATCH(RANDBETWEEN(1,16),Subject!$B:$B,0),3)</f>
        <v>#N/A</v>
      </c>
      <c r="AC426" s="8" t="str">
        <f t="array" ref="AC426">INDEX(Subject!$A:$I,MATCH(RANDBETWEEN(1,16),Subject!$B:$B,0),3)</f>
        <v>#N/A</v>
      </c>
      <c r="AD426" s="8" t="str">
        <f t="array" ref="AD426">INDEX(Subject!$A:$I,MATCH(RANDBETWEEN(1,16),Subject!$B:$B,0),3)</f>
        <v>#N/A</v>
      </c>
      <c r="AE426" s="8" t="str">
        <f t="array" ref="AE426">INDEX(Subject!$A:$I,MATCH(RANDBETWEEN(1,16),Subject!$B:$B,0),3)</f>
        <v>#N/A</v>
      </c>
      <c r="AF426" s="8" t="str">
        <f t="array" ref="AF426">INDEX(Subject!$A:$I,MATCH(RANDBETWEEN(1,16),Subject!$B:$B,0),3)</f>
        <v>#N/A</v>
      </c>
      <c r="AG426" s="8" t="str">
        <f t="array" ref="AG426">INDEX(Subject!$A:$I,MATCH(RANDBETWEEN(1,16),Subject!$B:$B,0),3)</f>
        <v>#N/A</v>
      </c>
      <c r="AH426" s="8" t="str">
        <f t="array" ref="AH426">INDEX(Subject!$A:$I,MATCH(RANDBETWEEN(1,16),Subject!$B:$B,0),3)</f>
        <v>#N/A</v>
      </c>
      <c r="AI426" s="8" t="str">
        <f t="array" ref="AI426">INDEX(Subject!$A:$I,MATCH(RANDBETWEEN(1,16),Subject!$B:$B,0),3)</f>
        <v>#N/A</v>
      </c>
      <c r="AJ426" s="8" t="str">
        <f t="array" ref="AJ426">INDEX(Subject!$A:$I,MATCH(RANDBETWEEN(1,16),Subject!$B:$B,0),3)</f>
        <v>#N/A</v>
      </c>
      <c r="AK426" s="8" t="str">
        <f t="array" ref="AK426">INDEX(Subject!$A:$I,MATCH(RANDBETWEEN(1,16),Subject!$B:$B,0),3)</f>
        <v>#N/A</v>
      </c>
      <c r="AL426" s="8" t="str">
        <f t="array" ref="AL426">INDEX(Subject!$A:$I,MATCH(RANDBETWEEN(1,16),Subject!$B:$B,0),3)</f>
        <v>#N/A</v>
      </c>
      <c r="AM426" s="18">
        <f t="shared" si="4"/>
        <v>45926.33333</v>
      </c>
      <c r="AN426" s="19">
        <f t="shared" ref="AN426:BZ426" si="426">$A426+C$1</f>
        <v>45926.35417</v>
      </c>
      <c r="AO426" s="19">
        <f t="shared" si="426"/>
        <v>45926.375</v>
      </c>
      <c r="AP426" s="19">
        <f t="shared" si="426"/>
        <v>45926.39583</v>
      </c>
      <c r="AQ426" s="19">
        <f t="shared" si="426"/>
        <v>45926.41667</v>
      </c>
      <c r="AR426" s="19">
        <f t="shared" si="426"/>
        <v>45926.4375</v>
      </c>
      <c r="AS426" s="19">
        <f t="shared" si="426"/>
        <v>45926.45833</v>
      </c>
      <c r="AT426" s="19">
        <f t="shared" si="426"/>
        <v>45926.47917</v>
      </c>
      <c r="AU426" s="19">
        <f t="shared" si="426"/>
        <v>45926.5</v>
      </c>
      <c r="AV426" s="19">
        <f t="shared" si="426"/>
        <v>45926.52083</v>
      </c>
      <c r="AW426" s="19">
        <f t="shared" si="426"/>
        <v>45926.54167</v>
      </c>
      <c r="AX426" s="19">
        <f t="shared" si="426"/>
        <v>45926.5625</v>
      </c>
      <c r="AY426" s="19">
        <f t="shared" si="426"/>
        <v>45926.58333</v>
      </c>
      <c r="AZ426" s="19">
        <f t="shared" si="426"/>
        <v>45926.60417</v>
      </c>
      <c r="BA426" s="19">
        <f t="shared" si="426"/>
        <v>45926.625</v>
      </c>
      <c r="BB426" s="19">
        <f t="shared" si="426"/>
        <v>45926.64583</v>
      </c>
      <c r="BC426" s="19">
        <f t="shared" si="426"/>
        <v>45926.66667</v>
      </c>
      <c r="BD426" s="19">
        <f t="shared" si="426"/>
        <v>45926.6875</v>
      </c>
      <c r="BE426" s="19">
        <f t="shared" si="426"/>
        <v>45926.70833</v>
      </c>
      <c r="BF426" s="19">
        <f t="shared" si="426"/>
        <v>45926.72917</v>
      </c>
      <c r="BG426" s="19">
        <f t="shared" si="426"/>
        <v>45926.75</v>
      </c>
      <c r="BH426" s="19">
        <f t="shared" si="426"/>
        <v>45926.77083</v>
      </c>
      <c r="BI426" s="19">
        <f t="shared" si="426"/>
        <v>45926.79167</v>
      </c>
      <c r="BJ426" s="19">
        <f t="shared" si="426"/>
        <v>45926.8125</v>
      </c>
      <c r="BK426" s="19">
        <f t="shared" si="426"/>
        <v>45926.83333</v>
      </c>
      <c r="BL426" s="19">
        <f t="shared" si="426"/>
        <v>45926.85417</v>
      </c>
      <c r="BM426" s="19">
        <f t="shared" si="426"/>
        <v>45926.875</v>
      </c>
      <c r="BN426" s="19">
        <f t="shared" si="426"/>
        <v>45926.89583</v>
      </c>
      <c r="BO426" s="19">
        <f t="shared" si="426"/>
        <v>45926.91667</v>
      </c>
      <c r="BP426" s="19">
        <f t="shared" si="426"/>
        <v>45926.9375</v>
      </c>
      <c r="BQ426" s="19">
        <f t="shared" si="426"/>
        <v>45926.95833</v>
      </c>
      <c r="BR426" s="19">
        <f t="shared" si="426"/>
        <v>45926.97917</v>
      </c>
      <c r="BS426" s="19">
        <f t="shared" si="426"/>
        <v>45927</v>
      </c>
      <c r="BT426" s="19">
        <f t="shared" si="426"/>
        <v>45927.02083</v>
      </c>
      <c r="BU426" s="19">
        <f t="shared" si="426"/>
        <v>45927.04167</v>
      </c>
      <c r="BV426" s="19">
        <f t="shared" si="426"/>
        <v>45927.0625</v>
      </c>
      <c r="BW426" s="19">
        <f t="shared" si="426"/>
        <v>45927.08333</v>
      </c>
      <c r="BX426" s="19">
        <f t="shared" si="426"/>
        <v>45926</v>
      </c>
      <c r="BY426" s="19">
        <f t="shared" si="426"/>
        <v>45926</v>
      </c>
      <c r="BZ426" s="19">
        <f t="shared" si="426"/>
        <v>45926</v>
      </c>
    </row>
    <row r="427" ht="14.25" customHeight="1">
      <c r="A427" s="17">
        <v>45927.0</v>
      </c>
      <c r="B427" s="2" t="str">
        <f t="array" ref="B427">IF(NOW()&gt;AM427,"",IF(AND((WEEKDAY($A427)+$B$2)&gt;1,((WEEKDAY($A427)+$T$2)&lt;7),(WEEKDAY($A427)&lt;&gt;1)),"work",(INDEX(Subject!$A:$I,MATCH(RANDBETWEEN(1,(MAX(Subject!$B:$B))),Subject!$B:$B,0),3))))</f>
        <v/>
      </c>
      <c r="C427" s="2" t="str">
        <f t="array" ref="C427">IF(NOW()&gt;AN427,"",IF(AND((WEEKDAY($A427)+$B$2)&gt;1,((WEEKDAY($A427)+$T$2)&lt;7),(WEEKDAY($A427)&lt;&gt;1)),"work",(INDEX(Subject!$A:$I,MATCH(RANDBETWEEN(1,(MAX(Subject!$B:$B))),Subject!$B:$B,0),3))))</f>
        <v/>
      </c>
      <c r="D427" s="2" t="str">
        <f t="array" ref="D427">IF(NOW()&gt;AO427,"",IF(AND((WEEKDAY($A427)+$B$2)&gt;1,((WEEKDAY($A427)+$T$2)&lt;7),(WEEKDAY($A427)&lt;&gt;1)),"work",(INDEX(Subject!$A:$I,MATCH(RANDBETWEEN(1,(MAX(Subject!$B:$B))),Subject!$B:$B,0),3))))</f>
        <v/>
      </c>
      <c r="E427" s="2" t="str">
        <f t="array" ref="E427">IF(NOW()&gt;AP427,"",IF(AND((WEEKDAY($A427)+$B$2)&gt;1,((WEEKDAY($A427)+$T$2)&lt;7),(WEEKDAY($A427)&lt;&gt;1)),"work",(INDEX(Subject!$A:$I,MATCH(RANDBETWEEN(1,(MAX(Subject!$B:$B))),Subject!$B:$B,0),3))))</f>
        <v/>
      </c>
      <c r="F427" s="2" t="str">
        <f t="array" ref="F427">IF(NOW()&gt;AQ427,"",IF(AND((WEEKDAY($A427)+$B$2)&gt;1,((WEEKDAY($A427)+$T$2)&lt;7),(WEEKDAY($A427)&lt;&gt;1)),"work",(INDEX(Subject!$A:$I,MATCH(RANDBETWEEN(1,(MAX(Subject!$B:$B))),Subject!$B:$B,0),3))))</f>
        <v/>
      </c>
      <c r="G427" s="2" t="str">
        <f t="array" ref="G427">IF(NOW()&gt;AR427,"",IF(AND((WEEKDAY($A427)+$B$2)&gt;1,((WEEKDAY($A427)+$T$2)&lt;7),(WEEKDAY($A427)&lt;&gt;1)),"work",(INDEX(Subject!$A:$I,MATCH(RANDBETWEEN(1,(MAX(Subject!$B:$B))),Subject!$B:$B,0),3))))</f>
        <v/>
      </c>
      <c r="H427" s="2" t="str">
        <f t="array" ref="H427">IF(NOW()&gt;AS427,"",IF(AND((WEEKDAY($A427)+$B$2)&gt;1,((WEEKDAY($A427)+$T$2)&lt;7),(WEEKDAY($A427)&lt;&gt;1)),"work",(INDEX(Subject!$A:$I,MATCH(RANDBETWEEN(1,(MAX(Subject!$B:$B))),Subject!$B:$B,0),3))))</f>
        <v/>
      </c>
      <c r="I427" s="2" t="str">
        <f t="array" ref="I427">IF(NOW()&gt;AT427,"",IF(AND((WEEKDAY($A427)+$B$2)&gt;1,((WEEKDAY($A427)+$T$2)&lt;7),(WEEKDAY($A427)&lt;&gt;1)),"work",(INDEX(Subject!$A:$I,MATCH(RANDBETWEEN(1,(MAX(Subject!$B:$B))),Subject!$B:$B,0),3))))</f>
        <v/>
      </c>
      <c r="J427" s="2" t="str">
        <f t="array" ref="J427">IF(NOW()&gt;AU427,"",IF(AND((WEEKDAY($A427)+$B$2)&gt;1,((WEEKDAY($A427)+$T$2)&lt;7),(WEEKDAY($A427)&lt;&gt;1)),"work",(INDEX(Subject!$A:$I,MATCH(RANDBETWEEN(1,(MAX(Subject!$B:$B))),Subject!$B:$B,0),3))))</f>
        <v/>
      </c>
      <c r="K427" s="2" t="str">
        <f t="array" ref="K427">IF(NOW()&gt;AV427,"",IF(AND((WEEKDAY($A427)+$B$2)&gt;1,((WEEKDAY($A427)+$T$2)&lt;7),(WEEKDAY($A427)&lt;&gt;1)),"work",(INDEX(Subject!$A:$I,MATCH(RANDBETWEEN(1,(MAX(Subject!$B:$B))),Subject!$B:$B,0),3))))</f>
        <v/>
      </c>
      <c r="L427" s="2" t="str">
        <f t="array" ref="L427">IF(NOW()&gt;AW427,"",IF(AND((WEEKDAY($A427)+$B$2)&gt;1,((WEEKDAY($A427)+$T$2)&lt;7),(WEEKDAY($A427)&lt;&gt;1)),"work",(INDEX(Subject!$A:$I,MATCH(RANDBETWEEN(1,(MAX(Subject!$B:$B))),Subject!$B:$B,0),3))))</f>
        <v/>
      </c>
      <c r="M427" s="2" t="str">
        <f t="array" ref="M427">IF(NOW()&gt;AX427,"",IF(AND((WEEKDAY($A427)+$B$2)&gt;1,((WEEKDAY($A427)+$T$2)&lt;7),(WEEKDAY($A427)&lt;&gt;1)),"work",(INDEX(Subject!$A:$I,MATCH(RANDBETWEEN(1,(MAX(Subject!$B:$B))),Subject!$B:$B,0),3))))</f>
        <v/>
      </c>
      <c r="N427" s="2" t="str">
        <f t="array" ref="N427">IF(NOW()&gt;AY427,"",IF(AND((WEEKDAY($A427)+$B$2)&gt;1,((WEEKDAY($A427)+$T$2)&lt;7),(WEEKDAY($A427)&lt;&gt;1)),"work",(INDEX(Subject!$A:$I,MATCH(RANDBETWEEN(1,(MAX(Subject!$B:$B))),Subject!$B:$B,0),3))))</f>
        <v/>
      </c>
      <c r="O427" s="2" t="str">
        <f t="array" ref="O427">IF(NOW()&gt;AZ427,"",IF(AND((WEEKDAY($A427)+$B$2)&gt;1,((WEEKDAY($A427)+$T$2)&lt;7),(WEEKDAY($A427)&lt;&gt;1)),"work",(INDEX(Subject!$A:$I,MATCH(RANDBETWEEN(1,(MAX(Subject!$B:$B))),Subject!$B:$B,0),3))))</f>
        <v/>
      </c>
      <c r="P427" s="2" t="str">
        <f t="array" ref="P427">IF(NOW()&gt;BA427,"",IF(AND((WEEKDAY($A427)+$B$2)&gt;1,((WEEKDAY($A427)+$T$2)&lt;7),(WEEKDAY($A427)&lt;&gt;1)),"work",(INDEX(Subject!$A:$I,MATCH(RANDBETWEEN(1,(MAX(Subject!$B:$B))),Subject!$B:$B,0),3))))</f>
        <v/>
      </c>
      <c r="Q427" s="2" t="str">
        <f t="array" ref="Q427">IF(NOW()&gt;BB427,"",IF(AND((WEEKDAY($A427)+$B$2)&gt;1,((WEEKDAY($A427)+$T$2)&lt;7),(WEEKDAY($A427)&lt;&gt;1)),"work",(INDEX(Subject!$A:$I,MATCH(RANDBETWEEN(1,(MAX(Subject!$B:$B))),Subject!$B:$B,0),3))))</f>
        <v/>
      </c>
      <c r="R427" s="2" t="str">
        <f t="array" ref="R427">IF(NOW()&gt;BC427,"",IF(AND((WEEKDAY($A427)+$B$2)&gt;1,((WEEKDAY($A427)+$T$2)&lt;7),(WEEKDAY($A427)&lt;&gt;1)),"work",(INDEX(Subject!$A:$I,MATCH(RANDBETWEEN(1,(MAX(Subject!$B:$B))),Subject!$B:$B,0),3))))</f>
        <v/>
      </c>
      <c r="S427" s="2" t="str">
        <f t="array" ref="S427">IF(NOW()&gt;BD427,"",IF(AND((WEEKDAY($A427)+$B$2)&gt;1,((WEEKDAY($A427)+$T$2)&lt;7),(WEEKDAY($A427)&lt;&gt;1)),"work",(INDEX(Subject!$A:$I,MATCH(RANDBETWEEN(1,(MAX(Subject!$B:$B))),Subject!$B:$B,0),3))))</f>
        <v/>
      </c>
      <c r="T427" s="2" t="str">
        <f t="array" ref="T427">IF(NOW()&gt;BE427,"",IF(AND((WEEKDAY($A427)+$B$2)&gt;1,((WEEKDAY($A427)+$T$2)&lt;7),(WEEKDAY($A427)&lt;&gt;1)),"work",(INDEX(Subject!$A:$I,MATCH(RANDBETWEEN(1,(MAX(Subject!$B:$B))),Subject!$B:$B,0),3))))</f>
        <v/>
      </c>
      <c r="U427" s="8" t="str">
        <f t="array" ref="U427">INDEX(Subject!$A:$I,MATCH(RANDBETWEEN(1,16),Subject!$B:$B,0),3)</f>
        <v>#N/A</v>
      </c>
      <c r="V427" s="8" t="str">
        <f t="array" ref="V427">INDEX(Subject!$A:$I,MATCH(RANDBETWEEN(1,16),Subject!$B:$B,0),3)</f>
        <v>#N/A</v>
      </c>
      <c r="W427" s="8" t="str">
        <f t="array" ref="W427">INDEX(Subject!$A:$I,MATCH(RANDBETWEEN(1,16),Subject!$B:$B,0),3)</f>
        <v>#N/A</v>
      </c>
      <c r="X427" s="8" t="str">
        <f t="array" ref="X427">INDEX(Subject!$A:$I,MATCH(RANDBETWEEN(1,16),Subject!$B:$B,0),3)</f>
        <v/>
      </c>
      <c r="Y427" s="8" t="str">
        <f t="array" ref="Y427">INDEX(Subject!$A:$I,MATCH(RANDBETWEEN(1,16),Subject!$B:$B,0),3)</f>
        <v>#N/A</v>
      </c>
      <c r="Z427" s="8" t="str">
        <f t="array" ref="Z427">INDEX(Subject!$A:$I,MATCH(RANDBETWEEN(1,16),Subject!$B:$B,0),3)</f>
        <v>#N/A</v>
      </c>
      <c r="AA427" s="8" t="str">
        <f t="array" ref="AA427">INDEX(Subject!$A:$I,MATCH(RANDBETWEEN(1,16),Subject!$B:$B,0),3)</f>
        <v>#N/A</v>
      </c>
      <c r="AB427" s="8" t="str">
        <f t="array" ref="AB427">INDEX(Subject!$A:$I,MATCH(RANDBETWEEN(1,16),Subject!$B:$B,0),3)</f>
        <v>#N/A</v>
      </c>
      <c r="AC427" s="8" t="str">
        <f t="array" ref="AC427">INDEX(Subject!$A:$I,MATCH(RANDBETWEEN(1,16),Subject!$B:$B,0),3)</f>
        <v>#N/A</v>
      </c>
      <c r="AD427" s="8" t="str">
        <f t="array" ref="AD427">INDEX(Subject!$A:$I,MATCH(RANDBETWEEN(1,16),Subject!$B:$B,0),3)</f>
        <v>#N/A</v>
      </c>
      <c r="AE427" s="8" t="str">
        <f t="array" ref="AE427">INDEX(Subject!$A:$I,MATCH(RANDBETWEEN(1,16),Subject!$B:$B,0),3)</f>
        <v>#N/A</v>
      </c>
      <c r="AF427" s="8" t="str">
        <f t="array" ref="AF427">INDEX(Subject!$A:$I,MATCH(RANDBETWEEN(1,16),Subject!$B:$B,0),3)</f>
        <v>#N/A</v>
      </c>
      <c r="AG427" s="8" t="str">
        <f t="array" ref="AG427">INDEX(Subject!$A:$I,MATCH(RANDBETWEEN(1,16),Subject!$B:$B,0),3)</f>
        <v>#N/A</v>
      </c>
      <c r="AH427" s="8" t="str">
        <f t="array" ref="AH427">INDEX(Subject!$A:$I,MATCH(RANDBETWEEN(1,16),Subject!$B:$B,0),3)</f>
        <v>#N/A</v>
      </c>
      <c r="AI427" s="8" t="str">
        <f t="array" ref="AI427">INDEX(Subject!$A:$I,MATCH(RANDBETWEEN(1,16),Subject!$B:$B,0),3)</f>
        <v>#N/A</v>
      </c>
      <c r="AJ427" s="8" t="str">
        <f t="array" ref="AJ427">INDEX(Subject!$A:$I,MATCH(RANDBETWEEN(1,16),Subject!$B:$B,0),3)</f>
        <v>#N/A</v>
      </c>
      <c r="AK427" s="8" t="str">
        <f t="array" ref="AK427">INDEX(Subject!$A:$I,MATCH(RANDBETWEEN(1,16),Subject!$B:$B,0),3)</f>
        <v>#N/A</v>
      </c>
      <c r="AL427" s="8" t="str">
        <f t="array" ref="AL427">INDEX(Subject!$A:$I,MATCH(RANDBETWEEN(1,16),Subject!$B:$B,0),3)</f>
        <v>#N/A</v>
      </c>
      <c r="AM427" s="18">
        <f t="shared" si="4"/>
        <v>45927.33333</v>
      </c>
      <c r="AN427" s="19">
        <f t="shared" ref="AN427:BZ427" si="427">$A427+C$1</f>
        <v>45927.35417</v>
      </c>
      <c r="AO427" s="19">
        <f t="shared" si="427"/>
        <v>45927.375</v>
      </c>
      <c r="AP427" s="19">
        <f t="shared" si="427"/>
        <v>45927.39583</v>
      </c>
      <c r="AQ427" s="19">
        <f t="shared" si="427"/>
        <v>45927.41667</v>
      </c>
      <c r="AR427" s="19">
        <f t="shared" si="427"/>
        <v>45927.4375</v>
      </c>
      <c r="AS427" s="19">
        <f t="shared" si="427"/>
        <v>45927.45833</v>
      </c>
      <c r="AT427" s="19">
        <f t="shared" si="427"/>
        <v>45927.47917</v>
      </c>
      <c r="AU427" s="19">
        <f t="shared" si="427"/>
        <v>45927.5</v>
      </c>
      <c r="AV427" s="19">
        <f t="shared" si="427"/>
        <v>45927.52083</v>
      </c>
      <c r="AW427" s="19">
        <f t="shared" si="427"/>
        <v>45927.54167</v>
      </c>
      <c r="AX427" s="19">
        <f t="shared" si="427"/>
        <v>45927.5625</v>
      </c>
      <c r="AY427" s="19">
        <f t="shared" si="427"/>
        <v>45927.58333</v>
      </c>
      <c r="AZ427" s="19">
        <f t="shared" si="427"/>
        <v>45927.60417</v>
      </c>
      <c r="BA427" s="19">
        <f t="shared" si="427"/>
        <v>45927.625</v>
      </c>
      <c r="BB427" s="19">
        <f t="shared" si="427"/>
        <v>45927.64583</v>
      </c>
      <c r="BC427" s="19">
        <f t="shared" si="427"/>
        <v>45927.66667</v>
      </c>
      <c r="BD427" s="19">
        <f t="shared" si="427"/>
        <v>45927.6875</v>
      </c>
      <c r="BE427" s="19">
        <f t="shared" si="427"/>
        <v>45927.70833</v>
      </c>
      <c r="BF427" s="19">
        <f t="shared" si="427"/>
        <v>45927.72917</v>
      </c>
      <c r="BG427" s="19">
        <f t="shared" si="427"/>
        <v>45927.75</v>
      </c>
      <c r="BH427" s="19">
        <f t="shared" si="427"/>
        <v>45927.77083</v>
      </c>
      <c r="BI427" s="19">
        <f t="shared" si="427"/>
        <v>45927.79167</v>
      </c>
      <c r="BJ427" s="19">
        <f t="shared" si="427"/>
        <v>45927.8125</v>
      </c>
      <c r="BK427" s="19">
        <f t="shared" si="427"/>
        <v>45927.83333</v>
      </c>
      <c r="BL427" s="19">
        <f t="shared" si="427"/>
        <v>45927.85417</v>
      </c>
      <c r="BM427" s="19">
        <f t="shared" si="427"/>
        <v>45927.875</v>
      </c>
      <c r="BN427" s="19">
        <f t="shared" si="427"/>
        <v>45927.89583</v>
      </c>
      <c r="BO427" s="19">
        <f t="shared" si="427"/>
        <v>45927.91667</v>
      </c>
      <c r="BP427" s="19">
        <f t="shared" si="427"/>
        <v>45927.9375</v>
      </c>
      <c r="BQ427" s="19">
        <f t="shared" si="427"/>
        <v>45927.95833</v>
      </c>
      <c r="BR427" s="19">
        <f t="shared" si="427"/>
        <v>45927.97917</v>
      </c>
      <c r="BS427" s="19">
        <f t="shared" si="427"/>
        <v>45928</v>
      </c>
      <c r="BT427" s="19">
        <f t="shared" si="427"/>
        <v>45928.02083</v>
      </c>
      <c r="BU427" s="19">
        <f t="shared" si="427"/>
        <v>45928.04167</v>
      </c>
      <c r="BV427" s="19">
        <f t="shared" si="427"/>
        <v>45928.0625</v>
      </c>
      <c r="BW427" s="19">
        <f t="shared" si="427"/>
        <v>45928.08333</v>
      </c>
      <c r="BX427" s="19">
        <f t="shared" si="427"/>
        <v>45927</v>
      </c>
      <c r="BY427" s="19">
        <f t="shared" si="427"/>
        <v>45927</v>
      </c>
      <c r="BZ427" s="19">
        <f t="shared" si="427"/>
        <v>45927</v>
      </c>
    </row>
    <row r="428" ht="14.25" customHeight="1">
      <c r="A428" s="17">
        <v>45928.0</v>
      </c>
      <c r="B428" s="2" t="str">
        <f t="array" ref="B428">IF(NOW()&gt;AM428,"",IF(AND((WEEKDAY($A428)+$B$2)&gt;1,((WEEKDAY($A428)+$T$2)&lt;7),(WEEKDAY($A428)&lt;&gt;1)),"work",(INDEX(Subject!$A:$I,MATCH(RANDBETWEEN(1,(MAX(Subject!$B:$B))),Subject!$B:$B,0),3))))</f>
        <v/>
      </c>
      <c r="C428" s="2" t="str">
        <f t="array" ref="C428">IF(NOW()&gt;AN428,"",IF(AND((WEEKDAY($A428)+$B$2)&gt;1,((WEEKDAY($A428)+$T$2)&lt;7),(WEEKDAY($A428)&lt;&gt;1)),"work",(INDEX(Subject!$A:$I,MATCH(RANDBETWEEN(1,(MAX(Subject!$B:$B))),Subject!$B:$B,0),3))))</f>
        <v/>
      </c>
      <c r="D428" s="2" t="str">
        <f t="array" ref="D428">IF(NOW()&gt;AO428,"",IF(AND((WEEKDAY($A428)+$B$2)&gt;1,((WEEKDAY($A428)+$T$2)&lt;7),(WEEKDAY($A428)&lt;&gt;1)),"work",(INDEX(Subject!$A:$I,MATCH(RANDBETWEEN(1,(MAX(Subject!$B:$B))),Subject!$B:$B,0),3))))</f>
        <v/>
      </c>
      <c r="E428" s="2" t="str">
        <f t="array" ref="E428">IF(NOW()&gt;AP428,"",IF(AND((WEEKDAY($A428)+$B$2)&gt;1,((WEEKDAY($A428)+$T$2)&lt;7),(WEEKDAY($A428)&lt;&gt;1)),"work",(INDEX(Subject!$A:$I,MATCH(RANDBETWEEN(1,(MAX(Subject!$B:$B))),Subject!$B:$B,0),3))))</f>
        <v/>
      </c>
      <c r="F428" s="2" t="str">
        <f t="array" ref="F428">IF(NOW()&gt;AQ428,"",IF(AND((WEEKDAY($A428)+$B$2)&gt;1,((WEEKDAY($A428)+$T$2)&lt;7),(WEEKDAY($A428)&lt;&gt;1)),"work",(INDEX(Subject!$A:$I,MATCH(RANDBETWEEN(1,(MAX(Subject!$B:$B))),Subject!$B:$B,0),3))))</f>
        <v/>
      </c>
      <c r="G428" s="2" t="str">
        <f t="array" ref="G428">IF(NOW()&gt;AR428,"",IF(AND((WEEKDAY($A428)+$B$2)&gt;1,((WEEKDAY($A428)+$T$2)&lt;7),(WEEKDAY($A428)&lt;&gt;1)),"work",(INDEX(Subject!$A:$I,MATCH(RANDBETWEEN(1,(MAX(Subject!$B:$B))),Subject!$B:$B,0),3))))</f>
        <v/>
      </c>
      <c r="H428" s="2" t="str">
        <f t="array" ref="H428">IF(NOW()&gt;AS428,"",IF(AND((WEEKDAY($A428)+$B$2)&gt;1,((WEEKDAY($A428)+$T$2)&lt;7),(WEEKDAY($A428)&lt;&gt;1)),"work",(INDEX(Subject!$A:$I,MATCH(RANDBETWEEN(1,(MAX(Subject!$B:$B))),Subject!$B:$B,0),3))))</f>
        <v/>
      </c>
      <c r="I428" s="2" t="str">
        <f t="array" ref="I428">IF(NOW()&gt;AT428,"",IF(AND((WEEKDAY($A428)+$B$2)&gt;1,((WEEKDAY($A428)+$T$2)&lt;7),(WEEKDAY($A428)&lt;&gt;1)),"work",(INDEX(Subject!$A:$I,MATCH(RANDBETWEEN(1,(MAX(Subject!$B:$B))),Subject!$B:$B,0),3))))</f>
        <v/>
      </c>
      <c r="J428" s="2" t="str">
        <f t="array" ref="J428">IF(NOW()&gt;AU428,"",IF(AND((WEEKDAY($A428)+$B$2)&gt;1,((WEEKDAY($A428)+$T$2)&lt;7),(WEEKDAY($A428)&lt;&gt;1)),"work",(INDEX(Subject!$A:$I,MATCH(RANDBETWEEN(1,(MAX(Subject!$B:$B))),Subject!$B:$B,0),3))))</f>
        <v/>
      </c>
      <c r="K428" s="2" t="str">
        <f t="array" ref="K428">IF(NOW()&gt;AV428,"",IF(AND((WEEKDAY($A428)+$B$2)&gt;1,((WEEKDAY($A428)+$T$2)&lt;7),(WEEKDAY($A428)&lt;&gt;1)),"work",(INDEX(Subject!$A:$I,MATCH(RANDBETWEEN(1,(MAX(Subject!$B:$B))),Subject!$B:$B,0),3))))</f>
        <v/>
      </c>
      <c r="L428" s="2" t="str">
        <f t="array" ref="L428">IF(NOW()&gt;AW428,"",IF(AND((WEEKDAY($A428)+$B$2)&gt;1,((WEEKDAY($A428)+$T$2)&lt;7),(WEEKDAY($A428)&lt;&gt;1)),"work",(INDEX(Subject!$A:$I,MATCH(RANDBETWEEN(1,(MAX(Subject!$B:$B))),Subject!$B:$B,0),3))))</f>
        <v/>
      </c>
      <c r="M428" s="2" t="str">
        <f t="array" ref="M428">IF(NOW()&gt;AX428,"",IF(AND((WEEKDAY($A428)+$B$2)&gt;1,((WEEKDAY($A428)+$T$2)&lt;7),(WEEKDAY($A428)&lt;&gt;1)),"work",(INDEX(Subject!$A:$I,MATCH(RANDBETWEEN(1,(MAX(Subject!$B:$B))),Subject!$B:$B,0),3))))</f>
        <v/>
      </c>
      <c r="N428" s="2" t="str">
        <f t="array" ref="N428">IF(NOW()&gt;AY428,"",IF(AND((WEEKDAY($A428)+$B$2)&gt;1,((WEEKDAY($A428)+$T$2)&lt;7),(WEEKDAY($A428)&lt;&gt;1)),"work",(INDEX(Subject!$A:$I,MATCH(RANDBETWEEN(1,(MAX(Subject!$B:$B))),Subject!$B:$B,0),3))))</f>
        <v/>
      </c>
      <c r="O428" s="2" t="str">
        <f t="array" ref="O428">IF(NOW()&gt;AZ428,"",IF(AND((WEEKDAY($A428)+$B$2)&gt;1,((WEEKDAY($A428)+$T$2)&lt;7),(WEEKDAY($A428)&lt;&gt;1)),"work",(INDEX(Subject!$A:$I,MATCH(RANDBETWEEN(1,(MAX(Subject!$B:$B))),Subject!$B:$B,0),3))))</f>
        <v/>
      </c>
      <c r="P428" s="2" t="str">
        <f t="array" ref="P428">IF(NOW()&gt;BA428,"",IF(AND((WEEKDAY($A428)+$B$2)&gt;1,((WEEKDAY($A428)+$T$2)&lt;7),(WEEKDAY($A428)&lt;&gt;1)),"work",(INDEX(Subject!$A:$I,MATCH(RANDBETWEEN(1,(MAX(Subject!$B:$B))),Subject!$B:$B,0),3))))</f>
        <v/>
      </c>
      <c r="Q428" s="2" t="str">
        <f t="array" ref="Q428">IF(NOW()&gt;BB428,"",IF(AND((WEEKDAY($A428)+$B$2)&gt;1,((WEEKDAY($A428)+$T$2)&lt;7),(WEEKDAY($A428)&lt;&gt;1)),"work",(INDEX(Subject!$A:$I,MATCH(RANDBETWEEN(1,(MAX(Subject!$B:$B))),Subject!$B:$B,0),3))))</f>
        <v/>
      </c>
      <c r="R428" s="2" t="str">
        <f t="array" ref="R428">IF(NOW()&gt;BC428,"",IF(AND((WEEKDAY($A428)+$B$2)&gt;1,((WEEKDAY($A428)+$T$2)&lt;7),(WEEKDAY($A428)&lt;&gt;1)),"work",(INDEX(Subject!$A:$I,MATCH(RANDBETWEEN(1,(MAX(Subject!$B:$B))),Subject!$B:$B,0),3))))</f>
        <v/>
      </c>
      <c r="S428" s="2" t="str">
        <f t="array" ref="S428">IF(NOW()&gt;BD428,"",IF(AND((WEEKDAY($A428)+$B$2)&gt;1,((WEEKDAY($A428)+$T$2)&lt;7),(WEEKDAY($A428)&lt;&gt;1)),"work",(INDEX(Subject!$A:$I,MATCH(RANDBETWEEN(1,(MAX(Subject!$B:$B))),Subject!$B:$B,0),3))))</f>
        <v/>
      </c>
      <c r="T428" s="2" t="str">
        <f t="array" ref="T428">IF(NOW()&gt;BE428,"",IF(AND((WEEKDAY($A428)+$B$2)&gt;1,((WEEKDAY($A428)+$T$2)&lt;7),(WEEKDAY($A428)&lt;&gt;1)),"work",(INDEX(Subject!$A:$I,MATCH(RANDBETWEEN(1,(MAX(Subject!$B:$B))),Subject!$B:$B,0),3))))</f>
        <v/>
      </c>
      <c r="U428" s="8" t="str">
        <f t="array" ref="U428">INDEX(Subject!$A:$I,MATCH(RANDBETWEEN(1,16),Subject!$B:$B,0),3)</f>
        <v>#N/A</v>
      </c>
      <c r="V428" s="8" t="str">
        <f t="array" ref="V428">INDEX(Subject!$A:$I,MATCH(RANDBETWEEN(1,16),Subject!$B:$B,0),3)</f>
        <v>#N/A</v>
      </c>
      <c r="W428" s="8" t="str">
        <f t="array" ref="W428">INDEX(Subject!$A:$I,MATCH(RANDBETWEEN(1,16),Subject!$B:$B,0),3)</f>
        <v>#N/A</v>
      </c>
      <c r="X428" s="8" t="str">
        <f t="array" ref="X428">INDEX(Subject!$A:$I,MATCH(RANDBETWEEN(1,16),Subject!$B:$B,0),3)</f>
        <v>#N/A</v>
      </c>
      <c r="Y428" s="8" t="str">
        <f t="array" ref="Y428">INDEX(Subject!$A:$I,MATCH(RANDBETWEEN(1,16),Subject!$B:$B,0),3)</f>
        <v>#N/A</v>
      </c>
      <c r="Z428" s="8" t="str">
        <f t="array" ref="Z428">INDEX(Subject!$A:$I,MATCH(RANDBETWEEN(1,16),Subject!$B:$B,0),3)</f>
        <v>#N/A</v>
      </c>
      <c r="AA428" s="8" t="str">
        <f t="array" ref="AA428">INDEX(Subject!$A:$I,MATCH(RANDBETWEEN(1,16),Subject!$B:$B,0),3)</f>
        <v>#N/A</v>
      </c>
      <c r="AB428" s="8" t="str">
        <f t="array" ref="AB428">INDEX(Subject!$A:$I,MATCH(RANDBETWEEN(1,16),Subject!$B:$B,0),3)</f>
        <v>#N/A</v>
      </c>
      <c r="AC428" s="8" t="str">
        <f t="array" ref="AC428">INDEX(Subject!$A:$I,MATCH(RANDBETWEEN(1,16),Subject!$B:$B,0),3)</f>
        <v>#N/A</v>
      </c>
      <c r="AD428" s="8" t="str">
        <f t="array" ref="AD428">INDEX(Subject!$A:$I,MATCH(RANDBETWEEN(1,16),Subject!$B:$B,0),3)</f>
        <v>#N/A</v>
      </c>
      <c r="AE428" s="8" t="str">
        <f t="array" ref="AE428">INDEX(Subject!$A:$I,MATCH(RANDBETWEEN(1,16),Subject!$B:$B,0),3)</f>
        <v>#N/A</v>
      </c>
      <c r="AF428" s="8" t="str">
        <f t="array" ref="AF428">INDEX(Subject!$A:$I,MATCH(RANDBETWEEN(1,16),Subject!$B:$B,0),3)</f>
        <v>#N/A</v>
      </c>
      <c r="AG428" s="8" t="str">
        <f t="array" ref="AG428">INDEX(Subject!$A:$I,MATCH(RANDBETWEEN(1,16),Subject!$B:$B,0),3)</f>
        <v>#N/A</v>
      </c>
      <c r="AH428" s="8" t="str">
        <f t="array" ref="AH428">INDEX(Subject!$A:$I,MATCH(RANDBETWEEN(1,16),Subject!$B:$B,0),3)</f>
        <v>#N/A</v>
      </c>
      <c r="AI428" s="8" t="str">
        <f t="array" ref="AI428">INDEX(Subject!$A:$I,MATCH(RANDBETWEEN(1,16),Subject!$B:$B,0),3)</f>
        <v>#N/A</v>
      </c>
      <c r="AJ428" s="8" t="str">
        <f t="array" ref="AJ428">INDEX(Subject!$A:$I,MATCH(RANDBETWEEN(1,16),Subject!$B:$B,0),3)</f>
        <v/>
      </c>
      <c r="AK428" s="8" t="str">
        <f t="array" ref="AK428">INDEX(Subject!$A:$I,MATCH(RANDBETWEEN(1,16),Subject!$B:$B,0),3)</f>
        <v>#N/A</v>
      </c>
      <c r="AL428" s="8" t="str">
        <f t="array" ref="AL428">INDEX(Subject!$A:$I,MATCH(RANDBETWEEN(1,16),Subject!$B:$B,0),3)</f>
        <v>#N/A</v>
      </c>
      <c r="AM428" s="18">
        <f t="shared" si="4"/>
        <v>45928.33333</v>
      </c>
      <c r="AN428" s="19">
        <f t="shared" ref="AN428:BZ428" si="428">$A428+C$1</f>
        <v>45928.35417</v>
      </c>
      <c r="AO428" s="19">
        <f t="shared" si="428"/>
        <v>45928.375</v>
      </c>
      <c r="AP428" s="19">
        <f t="shared" si="428"/>
        <v>45928.39583</v>
      </c>
      <c r="AQ428" s="19">
        <f t="shared" si="428"/>
        <v>45928.41667</v>
      </c>
      <c r="AR428" s="19">
        <f t="shared" si="428"/>
        <v>45928.4375</v>
      </c>
      <c r="AS428" s="19">
        <f t="shared" si="428"/>
        <v>45928.45833</v>
      </c>
      <c r="AT428" s="19">
        <f t="shared" si="428"/>
        <v>45928.47917</v>
      </c>
      <c r="AU428" s="19">
        <f t="shared" si="428"/>
        <v>45928.5</v>
      </c>
      <c r="AV428" s="19">
        <f t="shared" si="428"/>
        <v>45928.52083</v>
      </c>
      <c r="AW428" s="19">
        <f t="shared" si="428"/>
        <v>45928.54167</v>
      </c>
      <c r="AX428" s="19">
        <f t="shared" si="428"/>
        <v>45928.5625</v>
      </c>
      <c r="AY428" s="19">
        <f t="shared" si="428"/>
        <v>45928.58333</v>
      </c>
      <c r="AZ428" s="19">
        <f t="shared" si="428"/>
        <v>45928.60417</v>
      </c>
      <c r="BA428" s="19">
        <f t="shared" si="428"/>
        <v>45928.625</v>
      </c>
      <c r="BB428" s="19">
        <f t="shared" si="428"/>
        <v>45928.64583</v>
      </c>
      <c r="BC428" s="19">
        <f t="shared" si="428"/>
        <v>45928.66667</v>
      </c>
      <c r="BD428" s="19">
        <f t="shared" si="428"/>
        <v>45928.6875</v>
      </c>
      <c r="BE428" s="19">
        <f t="shared" si="428"/>
        <v>45928.70833</v>
      </c>
      <c r="BF428" s="19">
        <f t="shared" si="428"/>
        <v>45928.72917</v>
      </c>
      <c r="BG428" s="19">
        <f t="shared" si="428"/>
        <v>45928.75</v>
      </c>
      <c r="BH428" s="19">
        <f t="shared" si="428"/>
        <v>45928.77083</v>
      </c>
      <c r="BI428" s="19">
        <f t="shared" si="428"/>
        <v>45928.79167</v>
      </c>
      <c r="BJ428" s="19">
        <f t="shared" si="428"/>
        <v>45928.8125</v>
      </c>
      <c r="BK428" s="19">
        <f t="shared" si="428"/>
        <v>45928.83333</v>
      </c>
      <c r="BL428" s="19">
        <f t="shared" si="428"/>
        <v>45928.85417</v>
      </c>
      <c r="BM428" s="19">
        <f t="shared" si="428"/>
        <v>45928.875</v>
      </c>
      <c r="BN428" s="19">
        <f t="shared" si="428"/>
        <v>45928.89583</v>
      </c>
      <c r="BO428" s="19">
        <f t="shared" si="428"/>
        <v>45928.91667</v>
      </c>
      <c r="BP428" s="19">
        <f t="shared" si="428"/>
        <v>45928.9375</v>
      </c>
      <c r="BQ428" s="19">
        <f t="shared" si="428"/>
        <v>45928.95833</v>
      </c>
      <c r="BR428" s="19">
        <f t="shared" si="428"/>
        <v>45928.97917</v>
      </c>
      <c r="BS428" s="19">
        <f t="shared" si="428"/>
        <v>45929</v>
      </c>
      <c r="BT428" s="19">
        <f t="shared" si="428"/>
        <v>45929.02083</v>
      </c>
      <c r="BU428" s="19">
        <f t="shared" si="428"/>
        <v>45929.04167</v>
      </c>
      <c r="BV428" s="19">
        <f t="shared" si="428"/>
        <v>45929.0625</v>
      </c>
      <c r="BW428" s="19">
        <f t="shared" si="428"/>
        <v>45929.08333</v>
      </c>
      <c r="BX428" s="19">
        <f t="shared" si="428"/>
        <v>45928</v>
      </c>
      <c r="BY428" s="19">
        <f t="shared" si="428"/>
        <v>45928</v>
      </c>
      <c r="BZ428" s="19">
        <f t="shared" si="428"/>
        <v>45928</v>
      </c>
    </row>
    <row r="429" ht="14.25" customHeight="1">
      <c r="A429" s="17">
        <v>45929.0</v>
      </c>
      <c r="B429" s="2" t="str">
        <f t="array" ref="B429">IF(NOW()&gt;AM429,"",IF(AND((WEEKDAY($A429)+$B$2)&gt;1,((WEEKDAY($A429)+$T$2)&lt;7),(WEEKDAY($A429)&lt;&gt;1)),"work",(INDEX(Subject!$A:$I,MATCH(RANDBETWEEN(1,(MAX(Subject!$B:$B))),Subject!$B:$B,0),3))))</f>
        <v/>
      </c>
      <c r="C429" s="2" t="str">
        <f t="array" ref="C429">IF(NOW()&gt;AN429,"",IF(AND((WEEKDAY($A429)+$B$2)&gt;1,((WEEKDAY($A429)+$T$2)&lt;7),(WEEKDAY($A429)&lt;&gt;1)),"work",(INDEX(Subject!$A:$I,MATCH(RANDBETWEEN(1,(MAX(Subject!$B:$B))),Subject!$B:$B,0),3))))</f>
        <v/>
      </c>
      <c r="D429" s="2" t="str">
        <f t="array" ref="D429">IF(NOW()&gt;AO429,"",IF(AND((WEEKDAY($A429)+$B$2)&gt;1,((WEEKDAY($A429)+$T$2)&lt;7),(WEEKDAY($A429)&lt;&gt;1)),"work",(INDEX(Subject!$A:$I,MATCH(RANDBETWEEN(1,(MAX(Subject!$B:$B))),Subject!$B:$B,0),3))))</f>
        <v/>
      </c>
      <c r="E429" s="2" t="str">
        <f t="array" ref="E429">IF(NOW()&gt;AP429,"",IF(AND((WEEKDAY($A429)+$B$2)&gt;1,((WEEKDAY($A429)+$T$2)&lt;7),(WEEKDAY($A429)&lt;&gt;1)),"work",(INDEX(Subject!$A:$I,MATCH(RANDBETWEEN(1,(MAX(Subject!$B:$B))),Subject!$B:$B,0),3))))</f>
        <v/>
      </c>
      <c r="F429" s="2" t="str">
        <f t="array" ref="F429">IF(NOW()&gt;AQ429,"",IF(AND((WEEKDAY($A429)+$B$2)&gt;1,((WEEKDAY($A429)+$T$2)&lt;7),(WEEKDAY($A429)&lt;&gt;1)),"work",(INDEX(Subject!$A:$I,MATCH(RANDBETWEEN(1,(MAX(Subject!$B:$B))),Subject!$B:$B,0),3))))</f>
        <v/>
      </c>
      <c r="G429" s="2" t="str">
        <f t="array" ref="G429">IF(NOW()&gt;AR429,"",IF(AND((WEEKDAY($A429)+$B$2)&gt;1,((WEEKDAY($A429)+$T$2)&lt;7),(WEEKDAY($A429)&lt;&gt;1)),"work",(INDEX(Subject!$A:$I,MATCH(RANDBETWEEN(1,(MAX(Subject!$B:$B))),Subject!$B:$B,0),3))))</f>
        <v/>
      </c>
      <c r="H429" s="2" t="str">
        <f t="array" ref="H429">IF(NOW()&gt;AS429,"",IF(AND((WEEKDAY($A429)+$B$2)&gt;1,((WEEKDAY($A429)+$T$2)&lt;7),(WEEKDAY($A429)&lt;&gt;1)),"work",(INDEX(Subject!$A:$I,MATCH(RANDBETWEEN(1,(MAX(Subject!$B:$B))),Subject!$B:$B,0),3))))</f>
        <v/>
      </c>
      <c r="I429" s="2" t="str">
        <f t="array" ref="I429">IF(NOW()&gt;AT429,"",IF(AND((WEEKDAY($A429)+$B$2)&gt;1,((WEEKDAY($A429)+$T$2)&lt;7),(WEEKDAY($A429)&lt;&gt;1)),"work",(INDEX(Subject!$A:$I,MATCH(RANDBETWEEN(1,(MAX(Subject!$B:$B))),Subject!$B:$B,0),3))))</f>
        <v/>
      </c>
      <c r="J429" s="2" t="str">
        <f t="array" ref="J429">IF(NOW()&gt;AU429,"",IF(AND((WEEKDAY($A429)+$B$2)&gt;1,((WEEKDAY($A429)+$T$2)&lt;7),(WEEKDAY($A429)&lt;&gt;1)),"work",(INDEX(Subject!$A:$I,MATCH(RANDBETWEEN(1,(MAX(Subject!$B:$B))),Subject!$B:$B,0),3))))</f>
        <v/>
      </c>
      <c r="K429" s="2" t="str">
        <f t="array" ref="K429">IF(NOW()&gt;AV429,"",IF(AND((WEEKDAY($A429)+$B$2)&gt;1,((WEEKDAY($A429)+$T$2)&lt;7),(WEEKDAY($A429)&lt;&gt;1)),"work",(INDEX(Subject!$A:$I,MATCH(RANDBETWEEN(1,(MAX(Subject!$B:$B))),Subject!$B:$B,0),3))))</f>
        <v/>
      </c>
      <c r="L429" s="2" t="str">
        <f t="array" ref="L429">IF(NOW()&gt;AW429,"",IF(AND((WEEKDAY($A429)+$B$2)&gt;1,((WEEKDAY($A429)+$T$2)&lt;7),(WEEKDAY($A429)&lt;&gt;1)),"work",(INDEX(Subject!$A:$I,MATCH(RANDBETWEEN(1,(MAX(Subject!$B:$B))),Subject!$B:$B,0),3))))</f>
        <v/>
      </c>
      <c r="M429" s="2" t="str">
        <f t="array" ref="M429">IF(NOW()&gt;AX429,"",IF(AND((WEEKDAY($A429)+$B$2)&gt;1,((WEEKDAY($A429)+$T$2)&lt;7),(WEEKDAY($A429)&lt;&gt;1)),"work",(INDEX(Subject!$A:$I,MATCH(RANDBETWEEN(1,(MAX(Subject!$B:$B))),Subject!$B:$B,0),3))))</f>
        <v/>
      </c>
      <c r="N429" s="2" t="str">
        <f t="array" ref="N429">IF(NOW()&gt;AY429,"",IF(AND((WEEKDAY($A429)+$B$2)&gt;1,((WEEKDAY($A429)+$T$2)&lt;7),(WEEKDAY($A429)&lt;&gt;1)),"work",(INDEX(Subject!$A:$I,MATCH(RANDBETWEEN(1,(MAX(Subject!$B:$B))),Subject!$B:$B,0),3))))</f>
        <v/>
      </c>
      <c r="O429" s="2" t="str">
        <f t="array" ref="O429">IF(NOW()&gt;AZ429,"",IF(AND((WEEKDAY($A429)+$B$2)&gt;1,((WEEKDAY($A429)+$T$2)&lt;7),(WEEKDAY($A429)&lt;&gt;1)),"work",(INDEX(Subject!$A:$I,MATCH(RANDBETWEEN(1,(MAX(Subject!$B:$B))),Subject!$B:$B,0),3))))</f>
        <v/>
      </c>
      <c r="P429" s="2" t="str">
        <f t="array" ref="P429">IF(NOW()&gt;BA429,"",IF(AND((WEEKDAY($A429)+$B$2)&gt;1,((WEEKDAY($A429)+$T$2)&lt;7),(WEEKDAY($A429)&lt;&gt;1)),"work",(INDEX(Subject!$A:$I,MATCH(RANDBETWEEN(1,(MAX(Subject!$B:$B))),Subject!$B:$B,0),3))))</f>
        <v/>
      </c>
      <c r="Q429" s="2" t="str">
        <f t="array" ref="Q429">IF(NOW()&gt;BB429,"",IF(AND((WEEKDAY($A429)+$B$2)&gt;1,((WEEKDAY($A429)+$T$2)&lt;7),(WEEKDAY($A429)&lt;&gt;1)),"work",(INDEX(Subject!$A:$I,MATCH(RANDBETWEEN(1,(MAX(Subject!$B:$B))),Subject!$B:$B,0),3))))</f>
        <v/>
      </c>
      <c r="R429" s="2" t="str">
        <f t="array" ref="R429">IF(NOW()&gt;BC429,"",IF(AND((WEEKDAY($A429)+$B$2)&gt;1,((WEEKDAY($A429)+$T$2)&lt;7),(WEEKDAY($A429)&lt;&gt;1)),"work",(INDEX(Subject!$A:$I,MATCH(RANDBETWEEN(1,(MAX(Subject!$B:$B))),Subject!$B:$B,0),3))))</f>
        <v/>
      </c>
      <c r="S429" s="2" t="str">
        <f t="array" ref="S429">IF(NOW()&gt;BD429,"",IF(AND((WEEKDAY($A429)+$B$2)&gt;1,((WEEKDAY($A429)+$T$2)&lt;7),(WEEKDAY($A429)&lt;&gt;1)),"work",(INDEX(Subject!$A:$I,MATCH(RANDBETWEEN(1,(MAX(Subject!$B:$B))),Subject!$B:$B,0),3))))</f>
        <v/>
      </c>
      <c r="T429" s="2" t="str">
        <f t="array" ref="T429">IF(NOW()&gt;BE429,"",IF(AND((WEEKDAY($A429)+$B$2)&gt;1,((WEEKDAY($A429)+$T$2)&lt;7),(WEEKDAY($A429)&lt;&gt;1)),"work",(INDEX(Subject!$A:$I,MATCH(RANDBETWEEN(1,(MAX(Subject!$B:$B))),Subject!$B:$B,0),3))))</f>
        <v/>
      </c>
      <c r="U429" s="8" t="str">
        <f t="array" ref="U429">INDEX(Subject!$A:$I,MATCH(RANDBETWEEN(1,16),Subject!$B:$B,0),3)</f>
        <v>#N/A</v>
      </c>
      <c r="V429" s="8" t="str">
        <f t="array" ref="V429">INDEX(Subject!$A:$I,MATCH(RANDBETWEEN(1,16),Subject!$B:$B,0),3)</f>
        <v>#N/A</v>
      </c>
      <c r="W429" s="8" t="str">
        <f t="array" ref="W429">INDEX(Subject!$A:$I,MATCH(RANDBETWEEN(1,16),Subject!$B:$B,0),3)</f>
        <v>#N/A</v>
      </c>
      <c r="X429" s="8" t="str">
        <f t="array" ref="X429">INDEX(Subject!$A:$I,MATCH(RANDBETWEEN(1,16),Subject!$B:$B,0),3)</f>
        <v>#N/A</v>
      </c>
      <c r="Y429" s="8" t="str">
        <f t="array" ref="Y429">INDEX(Subject!$A:$I,MATCH(RANDBETWEEN(1,16),Subject!$B:$B,0),3)</f>
        <v>#N/A</v>
      </c>
      <c r="Z429" s="8" t="str">
        <f t="array" ref="Z429">INDEX(Subject!$A:$I,MATCH(RANDBETWEEN(1,16),Subject!$B:$B,0),3)</f>
        <v>#N/A</v>
      </c>
      <c r="AA429" s="8" t="str">
        <f t="array" ref="AA429">INDEX(Subject!$A:$I,MATCH(RANDBETWEEN(1,16),Subject!$B:$B,0),3)</f>
        <v>#N/A</v>
      </c>
      <c r="AB429" s="8" t="str">
        <f t="array" ref="AB429">INDEX(Subject!$A:$I,MATCH(RANDBETWEEN(1,16),Subject!$B:$B,0),3)</f>
        <v>#N/A</v>
      </c>
      <c r="AC429" s="8" t="str">
        <f t="array" ref="AC429">INDEX(Subject!$A:$I,MATCH(RANDBETWEEN(1,16),Subject!$B:$B,0),3)</f>
        <v>#N/A</v>
      </c>
      <c r="AD429" s="8" t="str">
        <f t="array" ref="AD429">INDEX(Subject!$A:$I,MATCH(RANDBETWEEN(1,16),Subject!$B:$B,0),3)</f>
        <v>#N/A</v>
      </c>
      <c r="AE429" s="8" t="str">
        <f t="array" ref="AE429">INDEX(Subject!$A:$I,MATCH(RANDBETWEEN(1,16),Subject!$B:$B,0),3)</f>
        <v>#N/A</v>
      </c>
      <c r="AF429" s="8" t="str">
        <f t="array" ref="AF429">INDEX(Subject!$A:$I,MATCH(RANDBETWEEN(1,16),Subject!$B:$B,0),3)</f>
        <v>#N/A</v>
      </c>
      <c r="AG429" s="8" t="str">
        <f t="array" ref="AG429">INDEX(Subject!$A:$I,MATCH(RANDBETWEEN(1,16),Subject!$B:$B,0),3)</f>
        <v>#N/A</v>
      </c>
      <c r="AH429" s="8" t="str">
        <f t="array" ref="AH429">INDEX(Subject!$A:$I,MATCH(RANDBETWEEN(1,16),Subject!$B:$B,0),3)</f>
        <v>#N/A</v>
      </c>
      <c r="AI429" s="8" t="str">
        <f t="array" ref="AI429">INDEX(Subject!$A:$I,MATCH(RANDBETWEEN(1,16),Subject!$B:$B,0),3)</f>
        <v>#N/A</v>
      </c>
      <c r="AJ429" s="8" t="str">
        <f t="array" ref="AJ429">INDEX(Subject!$A:$I,MATCH(RANDBETWEEN(1,16),Subject!$B:$B,0),3)</f>
        <v/>
      </c>
      <c r="AK429" s="8" t="str">
        <f t="array" ref="AK429">INDEX(Subject!$A:$I,MATCH(RANDBETWEEN(1,16),Subject!$B:$B,0),3)</f>
        <v>#N/A</v>
      </c>
      <c r="AL429" s="8" t="str">
        <f t="array" ref="AL429">INDEX(Subject!$A:$I,MATCH(RANDBETWEEN(1,16),Subject!$B:$B,0),3)</f>
        <v>#N/A</v>
      </c>
      <c r="AM429" s="18">
        <f t="shared" si="4"/>
        <v>45929.33333</v>
      </c>
      <c r="AN429" s="19">
        <f t="shared" ref="AN429:BZ429" si="429">$A429+C$1</f>
        <v>45929.35417</v>
      </c>
      <c r="AO429" s="19">
        <f t="shared" si="429"/>
        <v>45929.375</v>
      </c>
      <c r="AP429" s="19">
        <f t="shared" si="429"/>
        <v>45929.39583</v>
      </c>
      <c r="AQ429" s="19">
        <f t="shared" si="429"/>
        <v>45929.41667</v>
      </c>
      <c r="AR429" s="19">
        <f t="shared" si="429"/>
        <v>45929.4375</v>
      </c>
      <c r="AS429" s="19">
        <f t="shared" si="429"/>
        <v>45929.45833</v>
      </c>
      <c r="AT429" s="19">
        <f t="shared" si="429"/>
        <v>45929.47917</v>
      </c>
      <c r="AU429" s="19">
        <f t="shared" si="429"/>
        <v>45929.5</v>
      </c>
      <c r="AV429" s="19">
        <f t="shared" si="429"/>
        <v>45929.52083</v>
      </c>
      <c r="AW429" s="19">
        <f t="shared" si="429"/>
        <v>45929.54167</v>
      </c>
      <c r="AX429" s="19">
        <f t="shared" si="429"/>
        <v>45929.5625</v>
      </c>
      <c r="AY429" s="19">
        <f t="shared" si="429"/>
        <v>45929.58333</v>
      </c>
      <c r="AZ429" s="19">
        <f t="shared" si="429"/>
        <v>45929.60417</v>
      </c>
      <c r="BA429" s="19">
        <f t="shared" si="429"/>
        <v>45929.625</v>
      </c>
      <c r="BB429" s="19">
        <f t="shared" si="429"/>
        <v>45929.64583</v>
      </c>
      <c r="BC429" s="19">
        <f t="shared" si="429"/>
        <v>45929.66667</v>
      </c>
      <c r="BD429" s="19">
        <f t="shared" si="429"/>
        <v>45929.6875</v>
      </c>
      <c r="BE429" s="19">
        <f t="shared" si="429"/>
        <v>45929.70833</v>
      </c>
      <c r="BF429" s="19">
        <f t="shared" si="429"/>
        <v>45929.72917</v>
      </c>
      <c r="BG429" s="19">
        <f t="shared" si="429"/>
        <v>45929.75</v>
      </c>
      <c r="BH429" s="19">
        <f t="shared" si="429"/>
        <v>45929.77083</v>
      </c>
      <c r="BI429" s="19">
        <f t="shared" si="429"/>
        <v>45929.79167</v>
      </c>
      <c r="BJ429" s="19">
        <f t="shared" si="429"/>
        <v>45929.8125</v>
      </c>
      <c r="BK429" s="19">
        <f t="shared" si="429"/>
        <v>45929.83333</v>
      </c>
      <c r="BL429" s="19">
        <f t="shared" si="429"/>
        <v>45929.85417</v>
      </c>
      <c r="BM429" s="19">
        <f t="shared" si="429"/>
        <v>45929.875</v>
      </c>
      <c r="BN429" s="19">
        <f t="shared" si="429"/>
        <v>45929.89583</v>
      </c>
      <c r="BO429" s="19">
        <f t="shared" si="429"/>
        <v>45929.91667</v>
      </c>
      <c r="BP429" s="19">
        <f t="shared" si="429"/>
        <v>45929.9375</v>
      </c>
      <c r="BQ429" s="19">
        <f t="shared" si="429"/>
        <v>45929.95833</v>
      </c>
      <c r="BR429" s="19">
        <f t="shared" si="429"/>
        <v>45929.97917</v>
      </c>
      <c r="BS429" s="19">
        <f t="shared" si="429"/>
        <v>45930</v>
      </c>
      <c r="BT429" s="19">
        <f t="shared" si="429"/>
        <v>45930.02083</v>
      </c>
      <c r="BU429" s="19">
        <f t="shared" si="429"/>
        <v>45930.04167</v>
      </c>
      <c r="BV429" s="19">
        <f t="shared" si="429"/>
        <v>45930.0625</v>
      </c>
      <c r="BW429" s="19">
        <f t="shared" si="429"/>
        <v>45930.08333</v>
      </c>
      <c r="BX429" s="19">
        <f t="shared" si="429"/>
        <v>45929</v>
      </c>
      <c r="BY429" s="19">
        <f t="shared" si="429"/>
        <v>45929</v>
      </c>
      <c r="BZ429" s="19">
        <f t="shared" si="429"/>
        <v>45929</v>
      </c>
    </row>
    <row r="430" ht="14.25" customHeight="1">
      <c r="A430" s="17">
        <v>45930.0</v>
      </c>
      <c r="B430" s="2" t="str">
        <f t="array" ref="B430">IF(NOW()&gt;AM430,"",IF(AND((WEEKDAY($A430)+$B$2)&gt;1,((WEEKDAY($A430)+$T$2)&lt;7),(WEEKDAY($A430)&lt;&gt;1)),"work",(INDEX(Subject!$A:$I,MATCH(RANDBETWEEN(1,(MAX(Subject!$B:$B))),Subject!$B:$B,0),3))))</f>
        <v/>
      </c>
      <c r="C430" s="2" t="str">
        <f t="array" ref="C430">IF(NOW()&gt;AN430,"",IF(AND((WEEKDAY($A430)+$B$2)&gt;1,((WEEKDAY($A430)+$T$2)&lt;7),(WEEKDAY($A430)&lt;&gt;1)),"work",(INDEX(Subject!$A:$I,MATCH(RANDBETWEEN(1,(MAX(Subject!$B:$B))),Subject!$B:$B,0),3))))</f>
        <v/>
      </c>
      <c r="D430" s="2" t="str">
        <f t="array" ref="D430">IF(NOW()&gt;AO430,"",IF(AND((WEEKDAY($A430)+$B$2)&gt;1,((WEEKDAY($A430)+$T$2)&lt;7),(WEEKDAY($A430)&lt;&gt;1)),"work",(INDEX(Subject!$A:$I,MATCH(RANDBETWEEN(1,(MAX(Subject!$B:$B))),Subject!$B:$B,0),3))))</f>
        <v/>
      </c>
      <c r="E430" s="2" t="str">
        <f t="array" ref="E430">IF(NOW()&gt;AP430,"",IF(AND((WEEKDAY($A430)+$B$2)&gt;1,((WEEKDAY($A430)+$T$2)&lt;7),(WEEKDAY($A430)&lt;&gt;1)),"work",(INDEX(Subject!$A:$I,MATCH(RANDBETWEEN(1,(MAX(Subject!$B:$B))),Subject!$B:$B,0),3))))</f>
        <v/>
      </c>
      <c r="F430" s="2" t="str">
        <f t="array" ref="F430">IF(NOW()&gt;AQ430,"",IF(AND((WEEKDAY($A430)+$B$2)&gt;1,((WEEKDAY($A430)+$T$2)&lt;7),(WEEKDAY($A430)&lt;&gt;1)),"work",(INDEX(Subject!$A:$I,MATCH(RANDBETWEEN(1,(MAX(Subject!$B:$B))),Subject!$B:$B,0),3))))</f>
        <v/>
      </c>
      <c r="G430" s="2" t="str">
        <f t="array" ref="G430">IF(NOW()&gt;AR430,"",IF(AND((WEEKDAY($A430)+$B$2)&gt;1,((WEEKDAY($A430)+$T$2)&lt;7),(WEEKDAY($A430)&lt;&gt;1)),"work",(INDEX(Subject!$A:$I,MATCH(RANDBETWEEN(1,(MAX(Subject!$B:$B))),Subject!$B:$B,0),3))))</f>
        <v/>
      </c>
      <c r="H430" s="2" t="str">
        <f t="array" ref="H430">IF(NOW()&gt;AS430,"",IF(AND((WEEKDAY($A430)+$B$2)&gt;1,((WEEKDAY($A430)+$T$2)&lt;7),(WEEKDAY($A430)&lt;&gt;1)),"work",(INDEX(Subject!$A:$I,MATCH(RANDBETWEEN(1,(MAX(Subject!$B:$B))),Subject!$B:$B,0),3))))</f>
        <v/>
      </c>
      <c r="I430" s="2" t="str">
        <f t="array" ref="I430">IF(NOW()&gt;AT430,"",IF(AND((WEEKDAY($A430)+$B$2)&gt;1,((WEEKDAY($A430)+$T$2)&lt;7),(WEEKDAY($A430)&lt;&gt;1)),"work",(INDEX(Subject!$A:$I,MATCH(RANDBETWEEN(1,(MAX(Subject!$B:$B))),Subject!$B:$B,0),3))))</f>
        <v/>
      </c>
      <c r="J430" s="2" t="str">
        <f t="array" ref="J430">IF(NOW()&gt;AU430,"",IF(AND((WEEKDAY($A430)+$B$2)&gt;1,((WEEKDAY($A430)+$T$2)&lt;7),(WEEKDAY($A430)&lt;&gt;1)),"work",(INDEX(Subject!$A:$I,MATCH(RANDBETWEEN(1,(MAX(Subject!$B:$B))),Subject!$B:$B,0),3))))</f>
        <v/>
      </c>
      <c r="K430" s="2" t="str">
        <f t="array" ref="K430">IF(NOW()&gt;AV430,"",IF(AND((WEEKDAY($A430)+$B$2)&gt;1,((WEEKDAY($A430)+$T$2)&lt;7),(WEEKDAY($A430)&lt;&gt;1)),"work",(INDEX(Subject!$A:$I,MATCH(RANDBETWEEN(1,(MAX(Subject!$B:$B))),Subject!$B:$B,0),3))))</f>
        <v/>
      </c>
      <c r="L430" s="2" t="str">
        <f t="array" ref="L430">IF(NOW()&gt;AW430,"",IF(AND((WEEKDAY($A430)+$B$2)&gt;1,((WEEKDAY($A430)+$T$2)&lt;7),(WEEKDAY($A430)&lt;&gt;1)),"work",(INDEX(Subject!$A:$I,MATCH(RANDBETWEEN(1,(MAX(Subject!$B:$B))),Subject!$B:$B,0),3))))</f>
        <v/>
      </c>
      <c r="M430" s="2" t="str">
        <f t="array" ref="M430">IF(NOW()&gt;AX430,"",IF(AND((WEEKDAY($A430)+$B$2)&gt;1,((WEEKDAY($A430)+$T$2)&lt;7),(WEEKDAY($A430)&lt;&gt;1)),"work",(INDEX(Subject!$A:$I,MATCH(RANDBETWEEN(1,(MAX(Subject!$B:$B))),Subject!$B:$B,0),3))))</f>
        <v/>
      </c>
      <c r="N430" s="2" t="str">
        <f t="array" ref="N430">IF(NOW()&gt;AY430,"",IF(AND((WEEKDAY($A430)+$B$2)&gt;1,((WEEKDAY($A430)+$T$2)&lt;7),(WEEKDAY($A430)&lt;&gt;1)),"work",(INDEX(Subject!$A:$I,MATCH(RANDBETWEEN(1,(MAX(Subject!$B:$B))),Subject!$B:$B,0),3))))</f>
        <v/>
      </c>
      <c r="O430" s="2" t="str">
        <f t="array" ref="O430">IF(NOW()&gt;AZ430,"",IF(AND((WEEKDAY($A430)+$B$2)&gt;1,((WEEKDAY($A430)+$T$2)&lt;7),(WEEKDAY($A430)&lt;&gt;1)),"work",(INDEX(Subject!$A:$I,MATCH(RANDBETWEEN(1,(MAX(Subject!$B:$B))),Subject!$B:$B,0),3))))</f>
        <v/>
      </c>
      <c r="P430" s="2" t="str">
        <f t="array" ref="P430">IF(NOW()&gt;BA430,"",IF(AND((WEEKDAY($A430)+$B$2)&gt;1,((WEEKDAY($A430)+$T$2)&lt;7),(WEEKDAY($A430)&lt;&gt;1)),"work",(INDEX(Subject!$A:$I,MATCH(RANDBETWEEN(1,(MAX(Subject!$B:$B))),Subject!$B:$B,0),3))))</f>
        <v/>
      </c>
      <c r="Q430" s="2" t="str">
        <f t="array" ref="Q430">IF(NOW()&gt;BB430,"",IF(AND((WEEKDAY($A430)+$B$2)&gt;1,((WEEKDAY($A430)+$T$2)&lt;7),(WEEKDAY($A430)&lt;&gt;1)),"work",(INDEX(Subject!$A:$I,MATCH(RANDBETWEEN(1,(MAX(Subject!$B:$B))),Subject!$B:$B,0),3))))</f>
        <v/>
      </c>
      <c r="R430" s="2" t="str">
        <f t="array" ref="R430">IF(NOW()&gt;BC430,"",IF(AND((WEEKDAY($A430)+$B$2)&gt;1,((WEEKDAY($A430)+$T$2)&lt;7),(WEEKDAY($A430)&lt;&gt;1)),"work",(INDEX(Subject!$A:$I,MATCH(RANDBETWEEN(1,(MAX(Subject!$B:$B))),Subject!$B:$B,0),3))))</f>
        <v/>
      </c>
      <c r="S430" s="2" t="str">
        <f t="array" ref="S430">IF(NOW()&gt;BD430,"",IF(AND((WEEKDAY($A430)+$B$2)&gt;1,((WEEKDAY($A430)+$T$2)&lt;7),(WEEKDAY($A430)&lt;&gt;1)),"work",(INDEX(Subject!$A:$I,MATCH(RANDBETWEEN(1,(MAX(Subject!$B:$B))),Subject!$B:$B,0),3))))</f>
        <v/>
      </c>
      <c r="T430" s="2" t="str">
        <f t="array" ref="T430">IF(NOW()&gt;BE430,"",IF(AND((WEEKDAY($A430)+$B$2)&gt;1,((WEEKDAY($A430)+$T$2)&lt;7),(WEEKDAY($A430)&lt;&gt;1)),"work",(INDEX(Subject!$A:$I,MATCH(RANDBETWEEN(1,(MAX(Subject!$B:$B))),Subject!$B:$B,0),3))))</f>
        <v/>
      </c>
      <c r="U430" s="8" t="str">
        <f t="array" ref="U430">INDEX(Subject!$A:$I,MATCH(RANDBETWEEN(1,16),Subject!$B:$B,0),3)</f>
        <v>#N/A</v>
      </c>
      <c r="V430" s="8" t="str">
        <f t="array" ref="V430">INDEX(Subject!$A:$I,MATCH(RANDBETWEEN(1,16),Subject!$B:$B,0),3)</f>
        <v>#N/A</v>
      </c>
      <c r="W430" s="8" t="str">
        <f t="array" ref="W430">INDEX(Subject!$A:$I,MATCH(RANDBETWEEN(1,16),Subject!$B:$B,0),3)</f>
        <v>#N/A</v>
      </c>
      <c r="X430" s="8" t="str">
        <f t="array" ref="X430">INDEX(Subject!$A:$I,MATCH(RANDBETWEEN(1,16),Subject!$B:$B,0),3)</f>
        <v>#N/A</v>
      </c>
      <c r="Y430" s="8" t="str">
        <f t="array" ref="Y430">INDEX(Subject!$A:$I,MATCH(RANDBETWEEN(1,16),Subject!$B:$B,0),3)</f>
        <v>#N/A</v>
      </c>
      <c r="Z430" s="8" t="str">
        <f t="array" ref="Z430">INDEX(Subject!$A:$I,MATCH(RANDBETWEEN(1,16),Subject!$B:$B,0),3)</f>
        <v>#N/A</v>
      </c>
      <c r="AA430" s="8" t="str">
        <f t="array" ref="AA430">INDEX(Subject!$A:$I,MATCH(RANDBETWEEN(1,16),Subject!$B:$B,0),3)</f>
        <v>#N/A</v>
      </c>
      <c r="AB430" s="8" t="str">
        <f t="array" ref="AB430">INDEX(Subject!$A:$I,MATCH(RANDBETWEEN(1,16),Subject!$B:$B,0),3)</f>
        <v>#N/A</v>
      </c>
      <c r="AC430" s="8" t="str">
        <f t="array" ref="AC430">INDEX(Subject!$A:$I,MATCH(RANDBETWEEN(1,16),Subject!$B:$B,0),3)</f>
        <v>#N/A</v>
      </c>
      <c r="AD430" s="8" t="str">
        <f t="array" ref="AD430">INDEX(Subject!$A:$I,MATCH(RANDBETWEEN(1,16),Subject!$B:$B,0),3)</f>
        <v>#N/A</v>
      </c>
      <c r="AE430" s="8" t="str">
        <f t="array" ref="AE430">INDEX(Subject!$A:$I,MATCH(RANDBETWEEN(1,16),Subject!$B:$B,0),3)</f>
        <v/>
      </c>
      <c r="AF430" s="8" t="str">
        <f t="array" ref="AF430">INDEX(Subject!$A:$I,MATCH(RANDBETWEEN(1,16),Subject!$B:$B,0),3)</f>
        <v>#N/A</v>
      </c>
      <c r="AG430" s="8" t="str">
        <f t="array" ref="AG430">INDEX(Subject!$A:$I,MATCH(RANDBETWEEN(1,16),Subject!$B:$B,0),3)</f>
        <v>#N/A</v>
      </c>
      <c r="AH430" s="8" t="str">
        <f t="array" ref="AH430">INDEX(Subject!$A:$I,MATCH(RANDBETWEEN(1,16),Subject!$B:$B,0),3)</f>
        <v/>
      </c>
      <c r="AI430" s="8" t="str">
        <f t="array" ref="AI430">INDEX(Subject!$A:$I,MATCH(RANDBETWEEN(1,16),Subject!$B:$B,0),3)</f>
        <v>#N/A</v>
      </c>
      <c r="AJ430" s="8" t="str">
        <f t="array" ref="AJ430">INDEX(Subject!$A:$I,MATCH(RANDBETWEEN(1,16),Subject!$B:$B,0),3)</f>
        <v>#N/A</v>
      </c>
      <c r="AK430" s="8" t="str">
        <f t="array" ref="AK430">INDEX(Subject!$A:$I,MATCH(RANDBETWEEN(1,16),Subject!$B:$B,0),3)</f>
        <v>#N/A</v>
      </c>
      <c r="AL430" s="8" t="str">
        <f t="array" ref="AL430">INDEX(Subject!$A:$I,MATCH(RANDBETWEEN(1,16),Subject!$B:$B,0),3)</f>
        <v>#N/A</v>
      </c>
      <c r="AM430" s="18">
        <f t="shared" si="4"/>
        <v>45930.33333</v>
      </c>
      <c r="AN430" s="19">
        <f t="shared" ref="AN430:BZ430" si="430">$A430+C$1</f>
        <v>45930.35417</v>
      </c>
      <c r="AO430" s="19">
        <f t="shared" si="430"/>
        <v>45930.375</v>
      </c>
      <c r="AP430" s="19">
        <f t="shared" si="430"/>
        <v>45930.39583</v>
      </c>
      <c r="AQ430" s="19">
        <f t="shared" si="430"/>
        <v>45930.41667</v>
      </c>
      <c r="AR430" s="19">
        <f t="shared" si="430"/>
        <v>45930.4375</v>
      </c>
      <c r="AS430" s="19">
        <f t="shared" si="430"/>
        <v>45930.45833</v>
      </c>
      <c r="AT430" s="19">
        <f t="shared" si="430"/>
        <v>45930.47917</v>
      </c>
      <c r="AU430" s="19">
        <f t="shared" si="430"/>
        <v>45930.5</v>
      </c>
      <c r="AV430" s="19">
        <f t="shared" si="430"/>
        <v>45930.52083</v>
      </c>
      <c r="AW430" s="19">
        <f t="shared" si="430"/>
        <v>45930.54167</v>
      </c>
      <c r="AX430" s="19">
        <f t="shared" si="430"/>
        <v>45930.5625</v>
      </c>
      <c r="AY430" s="19">
        <f t="shared" si="430"/>
        <v>45930.58333</v>
      </c>
      <c r="AZ430" s="19">
        <f t="shared" si="430"/>
        <v>45930.60417</v>
      </c>
      <c r="BA430" s="19">
        <f t="shared" si="430"/>
        <v>45930.625</v>
      </c>
      <c r="BB430" s="19">
        <f t="shared" si="430"/>
        <v>45930.64583</v>
      </c>
      <c r="BC430" s="19">
        <f t="shared" si="430"/>
        <v>45930.66667</v>
      </c>
      <c r="BD430" s="19">
        <f t="shared" si="430"/>
        <v>45930.6875</v>
      </c>
      <c r="BE430" s="19">
        <f t="shared" si="430"/>
        <v>45930.70833</v>
      </c>
      <c r="BF430" s="19">
        <f t="shared" si="430"/>
        <v>45930.72917</v>
      </c>
      <c r="BG430" s="19">
        <f t="shared" si="430"/>
        <v>45930.75</v>
      </c>
      <c r="BH430" s="19">
        <f t="shared" si="430"/>
        <v>45930.77083</v>
      </c>
      <c r="BI430" s="19">
        <f t="shared" si="430"/>
        <v>45930.79167</v>
      </c>
      <c r="BJ430" s="19">
        <f t="shared" si="430"/>
        <v>45930.8125</v>
      </c>
      <c r="BK430" s="19">
        <f t="shared" si="430"/>
        <v>45930.83333</v>
      </c>
      <c r="BL430" s="19">
        <f t="shared" si="430"/>
        <v>45930.85417</v>
      </c>
      <c r="BM430" s="19">
        <f t="shared" si="430"/>
        <v>45930.875</v>
      </c>
      <c r="BN430" s="19">
        <f t="shared" si="430"/>
        <v>45930.89583</v>
      </c>
      <c r="BO430" s="19">
        <f t="shared" si="430"/>
        <v>45930.91667</v>
      </c>
      <c r="BP430" s="19">
        <f t="shared" si="430"/>
        <v>45930.9375</v>
      </c>
      <c r="BQ430" s="19">
        <f t="shared" si="430"/>
        <v>45930.95833</v>
      </c>
      <c r="BR430" s="19">
        <f t="shared" si="430"/>
        <v>45930.97917</v>
      </c>
      <c r="BS430" s="19">
        <f t="shared" si="430"/>
        <v>45931</v>
      </c>
      <c r="BT430" s="19">
        <f t="shared" si="430"/>
        <v>45931.02083</v>
      </c>
      <c r="BU430" s="19">
        <f t="shared" si="430"/>
        <v>45931.04167</v>
      </c>
      <c r="BV430" s="19">
        <f t="shared" si="430"/>
        <v>45931.0625</v>
      </c>
      <c r="BW430" s="19">
        <f t="shared" si="430"/>
        <v>45931.08333</v>
      </c>
      <c r="BX430" s="19">
        <f t="shared" si="430"/>
        <v>45930</v>
      </c>
      <c r="BY430" s="19">
        <f t="shared" si="430"/>
        <v>45930</v>
      </c>
      <c r="BZ430" s="19">
        <f t="shared" si="430"/>
        <v>45930</v>
      </c>
    </row>
    <row r="431" ht="14.25" customHeight="1">
      <c r="A431" s="17">
        <v>45931.0</v>
      </c>
      <c r="B431" s="2" t="str">
        <f t="array" ref="B431">IF(NOW()&gt;AM431,"",IF(AND((WEEKDAY($A431)+$B$2)&gt;1,((WEEKDAY($A431)+$T$2)&lt;7),(WEEKDAY($A431)&lt;&gt;1)),"work",(INDEX(Subject!$A:$I,MATCH(RANDBETWEEN(1,(MAX(Subject!$B:$B))),Subject!$B:$B,0),3))))</f>
        <v/>
      </c>
      <c r="C431" s="2" t="str">
        <f t="array" ref="C431">IF(NOW()&gt;AN431,"",IF(AND((WEEKDAY($A431)+$B$2)&gt;1,((WEEKDAY($A431)+$T$2)&lt;7),(WEEKDAY($A431)&lt;&gt;1)),"work",(INDEX(Subject!$A:$I,MATCH(RANDBETWEEN(1,(MAX(Subject!$B:$B))),Subject!$B:$B,0),3))))</f>
        <v/>
      </c>
      <c r="D431" s="2" t="str">
        <f t="array" ref="D431">IF(NOW()&gt;AO431,"",IF(AND((WEEKDAY($A431)+$B$2)&gt;1,((WEEKDAY($A431)+$T$2)&lt;7),(WEEKDAY($A431)&lt;&gt;1)),"work",(INDEX(Subject!$A:$I,MATCH(RANDBETWEEN(1,(MAX(Subject!$B:$B))),Subject!$B:$B,0),3))))</f>
        <v/>
      </c>
      <c r="E431" s="2" t="str">
        <f t="array" ref="E431">IF(NOW()&gt;AP431,"",IF(AND((WEEKDAY($A431)+$B$2)&gt;1,((WEEKDAY($A431)+$T$2)&lt;7),(WEEKDAY($A431)&lt;&gt;1)),"work",(INDEX(Subject!$A:$I,MATCH(RANDBETWEEN(1,(MAX(Subject!$B:$B))),Subject!$B:$B,0),3))))</f>
        <v/>
      </c>
      <c r="F431" s="2" t="str">
        <f t="array" ref="F431">IF(NOW()&gt;AQ431,"",IF(AND((WEEKDAY($A431)+$B$2)&gt;1,((WEEKDAY($A431)+$T$2)&lt;7),(WEEKDAY($A431)&lt;&gt;1)),"work",(INDEX(Subject!$A:$I,MATCH(RANDBETWEEN(1,(MAX(Subject!$B:$B))),Subject!$B:$B,0),3))))</f>
        <v/>
      </c>
      <c r="G431" s="2" t="str">
        <f t="array" ref="G431">IF(NOW()&gt;AR431,"",IF(AND((WEEKDAY($A431)+$B$2)&gt;1,((WEEKDAY($A431)+$T$2)&lt;7),(WEEKDAY($A431)&lt;&gt;1)),"work",(INDEX(Subject!$A:$I,MATCH(RANDBETWEEN(1,(MAX(Subject!$B:$B))),Subject!$B:$B,0),3))))</f>
        <v/>
      </c>
      <c r="H431" s="2" t="str">
        <f t="array" ref="H431">IF(NOW()&gt;AS431,"",IF(AND((WEEKDAY($A431)+$B$2)&gt;1,((WEEKDAY($A431)+$T$2)&lt;7),(WEEKDAY($A431)&lt;&gt;1)),"work",(INDEX(Subject!$A:$I,MATCH(RANDBETWEEN(1,(MAX(Subject!$B:$B))),Subject!$B:$B,0),3))))</f>
        <v/>
      </c>
      <c r="I431" s="2" t="str">
        <f t="array" ref="I431">IF(NOW()&gt;AT431,"",IF(AND((WEEKDAY($A431)+$B$2)&gt;1,((WEEKDAY($A431)+$T$2)&lt;7),(WEEKDAY($A431)&lt;&gt;1)),"work",(INDEX(Subject!$A:$I,MATCH(RANDBETWEEN(1,(MAX(Subject!$B:$B))),Subject!$B:$B,0),3))))</f>
        <v/>
      </c>
      <c r="J431" s="2" t="str">
        <f t="array" ref="J431">IF(NOW()&gt;AU431,"",IF(AND((WEEKDAY($A431)+$B$2)&gt;1,((WEEKDAY($A431)+$T$2)&lt;7),(WEEKDAY($A431)&lt;&gt;1)),"work",(INDEX(Subject!$A:$I,MATCH(RANDBETWEEN(1,(MAX(Subject!$B:$B))),Subject!$B:$B,0),3))))</f>
        <v/>
      </c>
      <c r="K431" s="2" t="str">
        <f t="array" ref="K431">IF(NOW()&gt;AV431,"",IF(AND((WEEKDAY($A431)+$B$2)&gt;1,((WEEKDAY($A431)+$T$2)&lt;7),(WEEKDAY($A431)&lt;&gt;1)),"work",(INDEX(Subject!$A:$I,MATCH(RANDBETWEEN(1,(MAX(Subject!$B:$B))),Subject!$B:$B,0),3))))</f>
        <v/>
      </c>
      <c r="L431" s="2" t="str">
        <f t="array" ref="L431">IF(NOW()&gt;AW431,"",IF(AND((WEEKDAY($A431)+$B$2)&gt;1,((WEEKDAY($A431)+$T$2)&lt;7),(WEEKDAY($A431)&lt;&gt;1)),"work",(INDEX(Subject!$A:$I,MATCH(RANDBETWEEN(1,(MAX(Subject!$B:$B))),Subject!$B:$B,0),3))))</f>
        <v/>
      </c>
      <c r="M431" s="2" t="str">
        <f t="array" ref="M431">IF(NOW()&gt;AX431,"",IF(AND((WEEKDAY($A431)+$B$2)&gt;1,((WEEKDAY($A431)+$T$2)&lt;7),(WEEKDAY($A431)&lt;&gt;1)),"work",(INDEX(Subject!$A:$I,MATCH(RANDBETWEEN(1,(MAX(Subject!$B:$B))),Subject!$B:$B,0),3))))</f>
        <v/>
      </c>
      <c r="N431" s="2" t="str">
        <f t="array" ref="N431">IF(NOW()&gt;AY431,"",IF(AND((WEEKDAY($A431)+$B$2)&gt;1,((WEEKDAY($A431)+$T$2)&lt;7),(WEEKDAY($A431)&lt;&gt;1)),"work",(INDEX(Subject!$A:$I,MATCH(RANDBETWEEN(1,(MAX(Subject!$B:$B))),Subject!$B:$B,0),3))))</f>
        <v/>
      </c>
      <c r="O431" s="2" t="str">
        <f t="array" ref="O431">IF(NOW()&gt;AZ431,"",IF(AND((WEEKDAY($A431)+$B$2)&gt;1,((WEEKDAY($A431)+$T$2)&lt;7),(WEEKDAY($A431)&lt;&gt;1)),"work",(INDEX(Subject!$A:$I,MATCH(RANDBETWEEN(1,(MAX(Subject!$B:$B))),Subject!$B:$B,0),3))))</f>
        <v/>
      </c>
      <c r="P431" s="2" t="str">
        <f t="array" ref="P431">IF(NOW()&gt;BA431,"",IF(AND((WEEKDAY($A431)+$B$2)&gt;1,((WEEKDAY($A431)+$T$2)&lt;7),(WEEKDAY($A431)&lt;&gt;1)),"work",(INDEX(Subject!$A:$I,MATCH(RANDBETWEEN(1,(MAX(Subject!$B:$B))),Subject!$B:$B,0),3))))</f>
        <v/>
      </c>
      <c r="Q431" s="2" t="str">
        <f t="array" ref="Q431">IF(NOW()&gt;BB431,"",IF(AND((WEEKDAY($A431)+$B$2)&gt;1,((WEEKDAY($A431)+$T$2)&lt;7),(WEEKDAY($A431)&lt;&gt;1)),"work",(INDEX(Subject!$A:$I,MATCH(RANDBETWEEN(1,(MAX(Subject!$B:$B))),Subject!$B:$B,0),3))))</f>
        <v/>
      </c>
      <c r="R431" s="2" t="str">
        <f t="array" ref="R431">IF(NOW()&gt;BC431,"",IF(AND((WEEKDAY($A431)+$B$2)&gt;1,((WEEKDAY($A431)+$T$2)&lt;7),(WEEKDAY($A431)&lt;&gt;1)),"work",(INDEX(Subject!$A:$I,MATCH(RANDBETWEEN(1,(MAX(Subject!$B:$B))),Subject!$B:$B,0),3))))</f>
        <v/>
      </c>
      <c r="S431" s="2" t="str">
        <f t="array" ref="S431">IF(NOW()&gt;BD431,"",IF(AND((WEEKDAY($A431)+$B$2)&gt;1,((WEEKDAY($A431)+$T$2)&lt;7),(WEEKDAY($A431)&lt;&gt;1)),"work",(INDEX(Subject!$A:$I,MATCH(RANDBETWEEN(1,(MAX(Subject!$B:$B))),Subject!$B:$B,0),3))))</f>
        <v/>
      </c>
      <c r="T431" s="2" t="str">
        <f t="array" ref="T431">IF(NOW()&gt;BE431,"",IF(AND((WEEKDAY($A431)+$B$2)&gt;1,((WEEKDAY($A431)+$T$2)&lt;7),(WEEKDAY($A431)&lt;&gt;1)),"work",(INDEX(Subject!$A:$I,MATCH(RANDBETWEEN(1,(MAX(Subject!$B:$B))),Subject!$B:$B,0),3))))</f>
        <v/>
      </c>
      <c r="U431" s="8" t="str">
        <f t="array" ref="U431">INDEX(Subject!$A:$I,MATCH(RANDBETWEEN(1,16),Subject!$B:$B,0),3)</f>
        <v>#N/A</v>
      </c>
      <c r="V431" s="8" t="str">
        <f t="array" ref="V431">INDEX(Subject!$A:$I,MATCH(RANDBETWEEN(1,16),Subject!$B:$B,0),3)</f>
        <v>#N/A</v>
      </c>
      <c r="W431" s="8" t="str">
        <f t="array" ref="W431">INDEX(Subject!$A:$I,MATCH(RANDBETWEEN(1,16),Subject!$B:$B,0),3)</f>
        <v>#N/A</v>
      </c>
      <c r="X431" s="8" t="str">
        <f t="array" ref="X431">INDEX(Subject!$A:$I,MATCH(RANDBETWEEN(1,16),Subject!$B:$B,0),3)</f>
        <v>#N/A</v>
      </c>
      <c r="Y431" s="8" t="str">
        <f t="array" ref="Y431">INDEX(Subject!$A:$I,MATCH(RANDBETWEEN(1,16),Subject!$B:$B,0),3)</f>
        <v>#N/A</v>
      </c>
      <c r="Z431" s="8" t="str">
        <f t="array" ref="Z431">INDEX(Subject!$A:$I,MATCH(RANDBETWEEN(1,16),Subject!$B:$B,0),3)</f>
        <v>#N/A</v>
      </c>
      <c r="AA431" s="8" t="str">
        <f t="array" ref="AA431">INDEX(Subject!$A:$I,MATCH(RANDBETWEEN(1,16),Subject!$B:$B,0),3)</f>
        <v>#N/A</v>
      </c>
      <c r="AB431" s="8" t="str">
        <f t="array" ref="AB431">INDEX(Subject!$A:$I,MATCH(RANDBETWEEN(1,16),Subject!$B:$B,0),3)</f>
        <v>#N/A</v>
      </c>
      <c r="AC431" s="8" t="str">
        <f t="array" ref="AC431">INDEX(Subject!$A:$I,MATCH(RANDBETWEEN(1,16),Subject!$B:$B,0),3)</f>
        <v>#N/A</v>
      </c>
      <c r="AD431" s="8" t="str">
        <f t="array" ref="AD431">INDEX(Subject!$A:$I,MATCH(RANDBETWEEN(1,16),Subject!$B:$B,0),3)</f>
        <v>#N/A</v>
      </c>
      <c r="AE431" s="8" t="str">
        <f t="array" ref="AE431">INDEX(Subject!$A:$I,MATCH(RANDBETWEEN(1,16),Subject!$B:$B,0),3)</f>
        <v>#N/A</v>
      </c>
      <c r="AF431" s="8" t="str">
        <f t="array" ref="AF431">INDEX(Subject!$A:$I,MATCH(RANDBETWEEN(1,16),Subject!$B:$B,0),3)</f>
        <v>#N/A</v>
      </c>
      <c r="AG431" s="8" t="str">
        <f t="array" ref="AG431">INDEX(Subject!$A:$I,MATCH(RANDBETWEEN(1,16),Subject!$B:$B,0),3)</f>
        <v>#N/A</v>
      </c>
      <c r="AH431" s="8" t="str">
        <f t="array" ref="AH431">INDEX(Subject!$A:$I,MATCH(RANDBETWEEN(1,16),Subject!$B:$B,0),3)</f>
        <v>#N/A</v>
      </c>
      <c r="AI431" s="8" t="str">
        <f t="array" ref="AI431">INDEX(Subject!$A:$I,MATCH(RANDBETWEEN(1,16),Subject!$B:$B,0),3)</f>
        <v>#N/A</v>
      </c>
      <c r="AJ431" s="8" t="str">
        <f t="array" ref="AJ431">INDEX(Subject!$A:$I,MATCH(RANDBETWEEN(1,16),Subject!$B:$B,0),3)</f>
        <v>#N/A</v>
      </c>
      <c r="AK431" s="8" t="str">
        <f t="array" ref="AK431">INDEX(Subject!$A:$I,MATCH(RANDBETWEEN(1,16),Subject!$B:$B,0),3)</f>
        <v>#N/A</v>
      </c>
      <c r="AL431" s="8" t="str">
        <f t="array" ref="AL431">INDEX(Subject!$A:$I,MATCH(RANDBETWEEN(1,16),Subject!$B:$B,0),3)</f>
        <v>#N/A</v>
      </c>
      <c r="AM431" s="18">
        <f t="shared" si="4"/>
        <v>45931.33333</v>
      </c>
      <c r="AN431" s="19">
        <f t="shared" ref="AN431:BZ431" si="431">$A431+C$1</f>
        <v>45931.35417</v>
      </c>
      <c r="AO431" s="19">
        <f t="shared" si="431"/>
        <v>45931.375</v>
      </c>
      <c r="AP431" s="19">
        <f t="shared" si="431"/>
        <v>45931.39583</v>
      </c>
      <c r="AQ431" s="19">
        <f t="shared" si="431"/>
        <v>45931.41667</v>
      </c>
      <c r="AR431" s="19">
        <f t="shared" si="431"/>
        <v>45931.4375</v>
      </c>
      <c r="AS431" s="19">
        <f t="shared" si="431"/>
        <v>45931.45833</v>
      </c>
      <c r="AT431" s="19">
        <f t="shared" si="431"/>
        <v>45931.47917</v>
      </c>
      <c r="AU431" s="19">
        <f t="shared" si="431"/>
        <v>45931.5</v>
      </c>
      <c r="AV431" s="19">
        <f t="shared" si="431"/>
        <v>45931.52083</v>
      </c>
      <c r="AW431" s="19">
        <f t="shared" si="431"/>
        <v>45931.54167</v>
      </c>
      <c r="AX431" s="19">
        <f t="shared" si="431"/>
        <v>45931.5625</v>
      </c>
      <c r="AY431" s="19">
        <f t="shared" si="431"/>
        <v>45931.58333</v>
      </c>
      <c r="AZ431" s="19">
        <f t="shared" si="431"/>
        <v>45931.60417</v>
      </c>
      <c r="BA431" s="19">
        <f t="shared" si="431"/>
        <v>45931.625</v>
      </c>
      <c r="BB431" s="19">
        <f t="shared" si="431"/>
        <v>45931.64583</v>
      </c>
      <c r="BC431" s="19">
        <f t="shared" si="431"/>
        <v>45931.66667</v>
      </c>
      <c r="BD431" s="19">
        <f t="shared" si="431"/>
        <v>45931.6875</v>
      </c>
      <c r="BE431" s="19">
        <f t="shared" si="431"/>
        <v>45931.70833</v>
      </c>
      <c r="BF431" s="19">
        <f t="shared" si="431"/>
        <v>45931.72917</v>
      </c>
      <c r="BG431" s="19">
        <f t="shared" si="431"/>
        <v>45931.75</v>
      </c>
      <c r="BH431" s="19">
        <f t="shared" si="431"/>
        <v>45931.77083</v>
      </c>
      <c r="BI431" s="19">
        <f t="shared" si="431"/>
        <v>45931.79167</v>
      </c>
      <c r="BJ431" s="19">
        <f t="shared" si="431"/>
        <v>45931.8125</v>
      </c>
      <c r="BK431" s="19">
        <f t="shared" si="431"/>
        <v>45931.83333</v>
      </c>
      <c r="BL431" s="19">
        <f t="shared" si="431"/>
        <v>45931.85417</v>
      </c>
      <c r="BM431" s="19">
        <f t="shared" si="431"/>
        <v>45931.875</v>
      </c>
      <c r="BN431" s="19">
        <f t="shared" si="431"/>
        <v>45931.89583</v>
      </c>
      <c r="BO431" s="19">
        <f t="shared" si="431"/>
        <v>45931.91667</v>
      </c>
      <c r="BP431" s="19">
        <f t="shared" si="431"/>
        <v>45931.9375</v>
      </c>
      <c r="BQ431" s="19">
        <f t="shared" si="431"/>
        <v>45931.95833</v>
      </c>
      <c r="BR431" s="19">
        <f t="shared" si="431"/>
        <v>45931.97917</v>
      </c>
      <c r="BS431" s="19">
        <f t="shared" si="431"/>
        <v>45932</v>
      </c>
      <c r="BT431" s="19">
        <f t="shared" si="431"/>
        <v>45932.02083</v>
      </c>
      <c r="BU431" s="19">
        <f t="shared" si="431"/>
        <v>45932.04167</v>
      </c>
      <c r="BV431" s="19">
        <f t="shared" si="431"/>
        <v>45932.0625</v>
      </c>
      <c r="BW431" s="19">
        <f t="shared" si="431"/>
        <v>45932.08333</v>
      </c>
      <c r="BX431" s="19">
        <f t="shared" si="431"/>
        <v>45931</v>
      </c>
      <c r="BY431" s="19">
        <f t="shared" si="431"/>
        <v>45931</v>
      </c>
      <c r="BZ431" s="19">
        <f t="shared" si="431"/>
        <v>45931</v>
      </c>
    </row>
    <row r="432" ht="14.25" customHeight="1">
      <c r="A432" s="17">
        <v>45932.0</v>
      </c>
      <c r="B432" s="2" t="str">
        <f t="array" ref="B432">IF(NOW()&gt;AM432,"",IF(AND((WEEKDAY($A432)+$B$2)&gt;1,((WEEKDAY($A432)+$T$2)&lt;7),(WEEKDAY($A432)&lt;&gt;1)),"work",(INDEX(Subject!$A:$I,MATCH(RANDBETWEEN(1,(MAX(Subject!$B:$B))),Subject!$B:$B,0),3))))</f>
        <v/>
      </c>
      <c r="C432" s="2" t="str">
        <f t="array" ref="C432">IF(NOW()&gt;AN432,"",IF(AND((WEEKDAY($A432)+$B$2)&gt;1,((WEEKDAY($A432)+$T$2)&lt;7),(WEEKDAY($A432)&lt;&gt;1)),"work",(INDEX(Subject!$A:$I,MATCH(RANDBETWEEN(1,(MAX(Subject!$B:$B))),Subject!$B:$B,0),3))))</f>
        <v/>
      </c>
      <c r="D432" s="2" t="str">
        <f t="array" ref="D432">IF(NOW()&gt;AO432,"",IF(AND((WEEKDAY($A432)+$B$2)&gt;1,((WEEKDAY($A432)+$T$2)&lt;7),(WEEKDAY($A432)&lt;&gt;1)),"work",(INDEX(Subject!$A:$I,MATCH(RANDBETWEEN(1,(MAX(Subject!$B:$B))),Subject!$B:$B,0),3))))</f>
        <v/>
      </c>
      <c r="E432" s="2" t="str">
        <f t="array" ref="E432">IF(NOW()&gt;AP432,"",IF(AND((WEEKDAY($A432)+$B$2)&gt;1,((WEEKDAY($A432)+$T$2)&lt;7),(WEEKDAY($A432)&lt;&gt;1)),"work",(INDEX(Subject!$A:$I,MATCH(RANDBETWEEN(1,(MAX(Subject!$B:$B))),Subject!$B:$B,0),3))))</f>
        <v/>
      </c>
      <c r="F432" s="2" t="str">
        <f t="array" ref="F432">IF(NOW()&gt;AQ432,"",IF(AND((WEEKDAY($A432)+$B$2)&gt;1,((WEEKDAY($A432)+$T$2)&lt;7),(WEEKDAY($A432)&lt;&gt;1)),"work",(INDEX(Subject!$A:$I,MATCH(RANDBETWEEN(1,(MAX(Subject!$B:$B))),Subject!$B:$B,0),3))))</f>
        <v/>
      </c>
      <c r="G432" s="2" t="str">
        <f t="array" ref="G432">IF(NOW()&gt;AR432,"",IF(AND((WEEKDAY($A432)+$B$2)&gt;1,((WEEKDAY($A432)+$T$2)&lt;7),(WEEKDAY($A432)&lt;&gt;1)),"work",(INDEX(Subject!$A:$I,MATCH(RANDBETWEEN(1,(MAX(Subject!$B:$B))),Subject!$B:$B,0),3))))</f>
        <v/>
      </c>
      <c r="H432" s="2" t="str">
        <f t="array" ref="H432">IF(NOW()&gt;AS432,"",IF(AND((WEEKDAY($A432)+$B$2)&gt;1,((WEEKDAY($A432)+$T$2)&lt;7),(WEEKDAY($A432)&lt;&gt;1)),"work",(INDEX(Subject!$A:$I,MATCH(RANDBETWEEN(1,(MAX(Subject!$B:$B))),Subject!$B:$B,0),3))))</f>
        <v/>
      </c>
      <c r="I432" s="2" t="str">
        <f t="array" ref="I432">IF(NOW()&gt;AT432,"",IF(AND((WEEKDAY($A432)+$B$2)&gt;1,((WEEKDAY($A432)+$T$2)&lt;7),(WEEKDAY($A432)&lt;&gt;1)),"work",(INDEX(Subject!$A:$I,MATCH(RANDBETWEEN(1,(MAX(Subject!$B:$B))),Subject!$B:$B,0),3))))</f>
        <v/>
      </c>
      <c r="J432" s="2" t="str">
        <f t="array" ref="J432">IF(NOW()&gt;AU432,"",IF(AND((WEEKDAY($A432)+$B$2)&gt;1,((WEEKDAY($A432)+$T$2)&lt;7),(WEEKDAY($A432)&lt;&gt;1)),"work",(INDEX(Subject!$A:$I,MATCH(RANDBETWEEN(1,(MAX(Subject!$B:$B))),Subject!$B:$B,0),3))))</f>
        <v/>
      </c>
      <c r="K432" s="2" t="str">
        <f t="array" ref="K432">IF(NOW()&gt;AV432,"",IF(AND((WEEKDAY($A432)+$B$2)&gt;1,((WEEKDAY($A432)+$T$2)&lt;7),(WEEKDAY($A432)&lt;&gt;1)),"work",(INDEX(Subject!$A:$I,MATCH(RANDBETWEEN(1,(MAX(Subject!$B:$B))),Subject!$B:$B,0),3))))</f>
        <v/>
      </c>
      <c r="L432" s="2" t="str">
        <f t="array" ref="L432">IF(NOW()&gt;AW432,"",IF(AND((WEEKDAY($A432)+$B$2)&gt;1,((WEEKDAY($A432)+$T$2)&lt;7),(WEEKDAY($A432)&lt;&gt;1)),"work",(INDEX(Subject!$A:$I,MATCH(RANDBETWEEN(1,(MAX(Subject!$B:$B))),Subject!$B:$B,0),3))))</f>
        <v/>
      </c>
      <c r="M432" s="2" t="str">
        <f t="array" ref="M432">IF(NOW()&gt;AX432,"",IF(AND((WEEKDAY($A432)+$B$2)&gt;1,((WEEKDAY($A432)+$T$2)&lt;7),(WEEKDAY($A432)&lt;&gt;1)),"work",(INDEX(Subject!$A:$I,MATCH(RANDBETWEEN(1,(MAX(Subject!$B:$B))),Subject!$B:$B,0),3))))</f>
        <v/>
      </c>
      <c r="N432" s="2" t="str">
        <f t="array" ref="N432">IF(NOW()&gt;AY432,"",IF(AND((WEEKDAY($A432)+$B$2)&gt;1,((WEEKDAY($A432)+$T$2)&lt;7),(WEEKDAY($A432)&lt;&gt;1)),"work",(INDEX(Subject!$A:$I,MATCH(RANDBETWEEN(1,(MAX(Subject!$B:$B))),Subject!$B:$B,0),3))))</f>
        <v/>
      </c>
      <c r="O432" s="2" t="str">
        <f t="array" ref="O432">IF(NOW()&gt;AZ432,"",IF(AND((WEEKDAY($A432)+$B$2)&gt;1,((WEEKDAY($A432)+$T$2)&lt;7),(WEEKDAY($A432)&lt;&gt;1)),"work",(INDEX(Subject!$A:$I,MATCH(RANDBETWEEN(1,(MAX(Subject!$B:$B))),Subject!$B:$B,0),3))))</f>
        <v/>
      </c>
      <c r="P432" s="2" t="str">
        <f t="array" ref="P432">IF(NOW()&gt;BA432,"",IF(AND((WEEKDAY($A432)+$B$2)&gt;1,((WEEKDAY($A432)+$T$2)&lt;7),(WEEKDAY($A432)&lt;&gt;1)),"work",(INDEX(Subject!$A:$I,MATCH(RANDBETWEEN(1,(MAX(Subject!$B:$B))),Subject!$B:$B,0),3))))</f>
        <v/>
      </c>
      <c r="Q432" s="2" t="str">
        <f t="array" ref="Q432">IF(NOW()&gt;BB432,"",IF(AND((WEEKDAY($A432)+$B$2)&gt;1,((WEEKDAY($A432)+$T$2)&lt;7),(WEEKDAY($A432)&lt;&gt;1)),"work",(INDEX(Subject!$A:$I,MATCH(RANDBETWEEN(1,(MAX(Subject!$B:$B))),Subject!$B:$B,0),3))))</f>
        <v/>
      </c>
      <c r="R432" s="2" t="str">
        <f t="array" ref="R432">IF(NOW()&gt;BC432,"",IF(AND((WEEKDAY($A432)+$B$2)&gt;1,((WEEKDAY($A432)+$T$2)&lt;7),(WEEKDAY($A432)&lt;&gt;1)),"work",(INDEX(Subject!$A:$I,MATCH(RANDBETWEEN(1,(MAX(Subject!$B:$B))),Subject!$B:$B,0),3))))</f>
        <v/>
      </c>
      <c r="S432" s="2" t="str">
        <f t="array" ref="S432">IF(NOW()&gt;BD432,"",IF(AND((WEEKDAY($A432)+$B$2)&gt;1,((WEEKDAY($A432)+$T$2)&lt;7),(WEEKDAY($A432)&lt;&gt;1)),"work",(INDEX(Subject!$A:$I,MATCH(RANDBETWEEN(1,(MAX(Subject!$B:$B))),Subject!$B:$B,0),3))))</f>
        <v/>
      </c>
      <c r="T432" s="2" t="str">
        <f t="array" ref="T432">IF(NOW()&gt;BE432,"",IF(AND((WEEKDAY($A432)+$B$2)&gt;1,((WEEKDAY($A432)+$T$2)&lt;7),(WEEKDAY($A432)&lt;&gt;1)),"work",(INDEX(Subject!$A:$I,MATCH(RANDBETWEEN(1,(MAX(Subject!$B:$B))),Subject!$B:$B,0),3))))</f>
        <v/>
      </c>
      <c r="U432" s="8" t="str">
        <f t="array" ref="U432">INDEX(Subject!$A:$I,MATCH(RANDBETWEEN(1,16),Subject!$B:$B,0),3)</f>
        <v/>
      </c>
      <c r="V432" s="8" t="str">
        <f t="array" ref="V432">INDEX(Subject!$A:$I,MATCH(RANDBETWEEN(1,16),Subject!$B:$B,0),3)</f>
        <v>#N/A</v>
      </c>
      <c r="W432" s="8" t="str">
        <f t="array" ref="W432">INDEX(Subject!$A:$I,MATCH(RANDBETWEEN(1,16),Subject!$B:$B,0),3)</f>
        <v>#N/A</v>
      </c>
      <c r="X432" s="8" t="str">
        <f t="array" ref="X432">INDEX(Subject!$A:$I,MATCH(RANDBETWEEN(1,16),Subject!$B:$B,0),3)</f>
        <v>#N/A</v>
      </c>
      <c r="Y432" s="8" t="str">
        <f t="array" ref="Y432">INDEX(Subject!$A:$I,MATCH(RANDBETWEEN(1,16),Subject!$B:$B,0),3)</f>
        <v>#N/A</v>
      </c>
      <c r="Z432" s="8" t="str">
        <f t="array" ref="Z432">INDEX(Subject!$A:$I,MATCH(RANDBETWEEN(1,16),Subject!$B:$B,0),3)</f>
        <v>#N/A</v>
      </c>
      <c r="AA432" s="8" t="str">
        <f t="array" ref="AA432">INDEX(Subject!$A:$I,MATCH(RANDBETWEEN(1,16),Subject!$B:$B,0),3)</f>
        <v>#N/A</v>
      </c>
      <c r="AB432" s="8" t="str">
        <f t="array" ref="AB432">INDEX(Subject!$A:$I,MATCH(RANDBETWEEN(1,16),Subject!$B:$B,0),3)</f>
        <v>#N/A</v>
      </c>
      <c r="AC432" s="8" t="str">
        <f t="array" ref="AC432">INDEX(Subject!$A:$I,MATCH(RANDBETWEEN(1,16),Subject!$B:$B,0),3)</f>
        <v>#N/A</v>
      </c>
      <c r="AD432" s="8" t="str">
        <f t="array" ref="AD432">INDEX(Subject!$A:$I,MATCH(RANDBETWEEN(1,16),Subject!$B:$B,0),3)</f>
        <v>#N/A</v>
      </c>
      <c r="AE432" s="8" t="str">
        <f t="array" ref="AE432">INDEX(Subject!$A:$I,MATCH(RANDBETWEEN(1,16),Subject!$B:$B,0),3)</f>
        <v>#N/A</v>
      </c>
      <c r="AF432" s="8" t="str">
        <f t="array" ref="AF432">INDEX(Subject!$A:$I,MATCH(RANDBETWEEN(1,16),Subject!$B:$B,0),3)</f>
        <v>#N/A</v>
      </c>
      <c r="AG432" s="8" t="str">
        <f t="array" ref="AG432">INDEX(Subject!$A:$I,MATCH(RANDBETWEEN(1,16),Subject!$B:$B,0),3)</f>
        <v>#N/A</v>
      </c>
      <c r="AH432" s="8" t="str">
        <f t="array" ref="AH432">INDEX(Subject!$A:$I,MATCH(RANDBETWEEN(1,16),Subject!$B:$B,0),3)</f>
        <v>#N/A</v>
      </c>
      <c r="AI432" s="8" t="str">
        <f t="array" ref="AI432">INDEX(Subject!$A:$I,MATCH(RANDBETWEEN(1,16),Subject!$B:$B,0),3)</f>
        <v>#N/A</v>
      </c>
      <c r="AJ432" s="8" t="str">
        <f t="array" ref="AJ432">INDEX(Subject!$A:$I,MATCH(RANDBETWEEN(1,16),Subject!$B:$B,0),3)</f>
        <v>#N/A</v>
      </c>
      <c r="AK432" s="8" t="str">
        <f t="array" ref="AK432">INDEX(Subject!$A:$I,MATCH(RANDBETWEEN(1,16),Subject!$B:$B,0),3)</f>
        <v>#N/A</v>
      </c>
      <c r="AL432" s="8" t="str">
        <f t="array" ref="AL432">INDEX(Subject!$A:$I,MATCH(RANDBETWEEN(1,16),Subject!$B:$B,0),3)</f>
        <v>#N/A</v>
      </c>
      <c r="AM432" s="18">
        <f t="shared" si="4"/>
        <v>45932.33333</v>
      </c>
      <c r="AN432" s="19">
        <f t="shared" ref="AN432:BZ432" si="432">$A432+C$1</f>
        <v>45932.35417</v>
      </c>
      <c r="AO432" s="19">
        <f t="shared" si="432"/>
        <v>45932.375</v>
      </c>
      <c r="AP432" s="19">
        <f t="shared" si="432"/>
        <v>45932.39583</v>
      </c>
      <c r="AQ432" s="19">
        <f t="shared" si="432"/>
        <v>45932.41667</v>
      </c>
      <c r="AR432" s="19">
        <f t="shared" si="432"/>
        <v>45932.4375</v>
      </c>
      <c r="AS432" s="19">
        <f t="shared" si="432"/>
        <v>45932.45833</v>
      </c>
      <c r="AT432" s="19">
        <f t="shared" si="432"/>
        <v>45932.47917</v>
      </c>
      <c r="AU432" s="19">
        <f t="shared" si="432"/>
        <v>45932.5</v>
      </c>
      <c r="AV432" s="19">
        <f t="shared" si="432"/>
        <v>45932.52083</v>
      </c>
      <c r="AW432" s="19">
        <f t="shared" si="432"/>
        <v>45932.54167</v>
      </c>
      <c r="AX432" s="19">
        <f t="shared" si="432"/>
        <v>45932.5625</v>
      </c>
      <c r="AY432" s="19">
        <f t="shared" si="432"/>
        <v>45932.58333</v>
      </c>
      <c r="AZ432" s="19">
        <f t="shared" si="432"/>
        <v>45932.60417</v>
      </c>
      <c r="BA432" s="19">
        <f t="shared" si="432"/>
        <v>45932.625</v>
      </c>
      <c r="BB432" s="19">
        <f t="shared" si="432"/>
        <v>45932.64583</v>
      </c>
      <c r="BC432" s="19">
        <f t="shared" si="432"/>
        <v>45932.66667</v>
      </c>
      <c r="BD432" s="19">
        <f t="shared" si="432"/>
        <v>45932.6875</v>
      </c>
      <c r="BE432" s="19">
        <f t="shared" si="432"/>
        <v>45932.70833</v>
      </c>
      <c r="BF432" s="19">
        <f t="shared" si="432"/>
        <v>45932.72917</v>
      </c>
      <c r="BG432" s="19">
        <f t="shared" si="432"/>
        <v>45932.75</v>
      </c>
      <c r="BH432" s="19">
        <f t="shared" si="432"/>
        <v>45932.77083</v>
      </c>
      <c r="BI432" s="19">
        <f t="shared" si="432"/>
        <v>45932.79167</v>
      </c>
      <c r="BJ432" s="19">
        <f t="shared" si="432"/>
        <v>45932.8125</v>
      </c>
      <c r="BK432" s="19">
        <f t="shared" si="432"/>
        <v>45932.83333</v>
      </c>
      <c r="BL432" s="19">
        <f t="shared" si="432"/>
        <v>45932.85417</v>
      </c>
      <c r="BM432" s="19">
        <f t="shared" si="432"/>
        <v>45932.875</v>
      </c>
      <c r="BN432" s="19">
        <f t="shared" si="432"/>
        <v>45932.89583</v>
      </c>
      <c r="BO432" s="19">
        <f t="shared" si="432"/>
        <v>45932.91667</v>
      </c>
      <c r="BP432" s="19">
        <f t="shared" si="432"/>
        <v>45932.9375</v>
      </c>
      <c r="BQ432" s="19">
        <f t="shared" si="432"/>
        <v>45932.95833</v>
      </c>
      <c r="BR432" s="19">
        <f t="shared" si="432"/>
        <v>45932.97917</v>
      </c>
      <c r="BS432" s="19">
        <f t="shared" si="432"/>
        <v>45933</v>
      </c>
      <c r="BT432" s="19">
        <f t="shared" si="432"/>
        <v>45933.02083</v>
      </c>
      <c r="BU432" s="19">
        <f t="shared" si="432"/>
        <v>45933.04167</v>
      </c>
      <c r="BV432" s="19">
        <f t="shared" si="432"/>
        <v>45933.0625</v>
      </c>
      <c r="BW432" s="19">
        <f t="shared" si="432"/>
        <v>45933.08333</v>
      </c>
      <c r="BX432" s="19">
        <f t="shared" si="432"/>
        <v>45932</v>
      </c>
      <c r="BY432" s="19">
        <f t="shared" si="432"/>
        <v>45932</v>
      </c>
      <c r="BZ432" s="19">
        <f t="shared" si="432"/>
        <v>45932</v>
      </c>
    </row>
    <row r="433" ht="14.25" customHeight="1">
      <c r="A433" s="17">
        <v>45933.0</v>
      </c>
      <c r="B433" s="2" t="str">
        <f t="array" ref="B433">IF(NOW()&gt;AM433,"",IF(AND((WEEKDAY($A433)+$B$2)&gt;1,((WEEKDAY($A433)+$T$2)&lt;7),(WEEKDAY($A433)&lt;&gt;1)),"work",(INDEX(Subject!$A:$I,MATCH(RANDBETWEEN(1,(MAX(Subject!$B:$B))),Subject!$B:$B,0),3))))</f>
        <v/>
      </c>
      <c r="C433" s="2" t="str">
        <f t="array" ref="C433">IF(NOW()&gt;AN433,"",IF(AND((WEEKDAY($A433)+$B$2)&gt;1,((WEEKDAY($A433)+$T$2)&lt;7),(WEEKDAY($A433)&lt;&gt;1)),"work",(INDEX(Subject!$A:$I,MATCH(RANDBETWEEN(1,(MAX(Subject!$B:$B))),Subject!$B:$B,0),3))))</f>
        <v/>
      </c>
      <c r="D433" s="2" t="str">
        <f t="array" ref="D433">IF(NOW()&gt;AO433,"",IF(AND((WEEKDAY($A433)+$B$2)&gt;1,((WEEKDAY($A433)+$T$2)&lt;7),(WEEKDAY($A433)&lt;&gt;1)),"work",(INDEX(Subject!$A:$I,MATCH(RANDBETWEEN(1,(MAX(Subject!$B:$B))),Subject!$B:$B,0),3))))</f>
        <v/>
      </c>
      <c r="E433" s="2" t="str">
        <f t="array" ref="E433">IF(NOW()&gt;AP433,"",IF(AND((WEEKDAY($A433)+$B$2)&gt;1,((WEEKDAY($A433)+$T$2)&lt;7),(WEEKDAY($A433)&lt;&gt;1)),"work",(INDEX(Subject!$A:$I,MATCH(RANDBETWEEN(1,(MAX(Subject!$B:$B))),Subject!$B:$B,0),3))))</f>
        <v/>
      </c>
      <c r="F433" s="2" t="str">
        <f t="array" ref="F433">IF(NOW()&gt;AQ433,"",IF(AND((WEEKDAY($A433)+$B$2)&gt;1,((WEEKDAY($A433)+$T$2)&lt;7),(WEEKDAY($A433)&lt;&gt;1)),"work",(INDEX(Subject!$A:$I,MATCH(RANDBETWEEN(1,(MAX(Subject!$B:$B))),Subject!$B:$B,0),3))))</f>
        <v/>
      </c>
      <c r="G433" s="2" t="str">
        <f t="array" ref="G433">IF(NOW()&gt;AR433,"",IF(AND((WEEKDAY($A433)+$B$2)&gt;1,((WEEKDAY($A433)+$T$2)&lt;7),(WEEKDAY($A433)&lt;&gt;1)),"work",(INDEX(Subject!$A:$I,MATCH(RANDBETWEEN(1,(MAX(Subject!$B:$B))),Subject!$B:$B,0),3))))</f>
        <v/>
      </c>
      <c r="H433" s="2" t="str">
        <f t="array" ref="H433">IF(NOW()&gt;AS433,"",IF(AND((WEEKDAY($A433)+$B$2)&gt;1,((WEEKDAY($A433)+$T$2)&lt;7),(WEEKDAY($A433)&lt;&gt;1)),"work",(INDEX(Subject!$A:$I,MATCH(RANDBETWEEN(1,(MAX(Subject!$B:$B))),Subject!$B:$B,0),3))))</f>
        <v/>
      </c>
      <c r="I433" s="2" t="str">
        <f t="array" ref="I433">IF(NOW()&gt;AT433,"",IF(AND((WEEKDAY($A433)+$B$2)&gt;1,((WEEKDAY($A433)+$T$2)&lt;7),(WEEKDAY($A433)&lt;&gt;1)),"work",(INDEX(Subject!$A:$I,MATCH(RANDBETWEEN(1,(MAX(Subject!$B:$B))),Subject!$B:$B,0),3))))</f>
        <v/>
      </c>
      <c r="J433" s="2" t="str">
        <f t="array" ref="J433">IF(NOW()&gt;AU433,"",IF(AND((WEEKDAY($A433)+$B$2)&gt;1,((WEEKDAY($A433)+$T$2)&lt;7),(WEEKDAY($A433)&lt;&gt;1)),"work",(INDEX(Subject!$A:$I,MATCH(RANDBETWEEN(1,(MAX(Subject!$B:$B))),Subject!$B:$B,0),3))))</f>
        <v/>
      </c>
      <c r="K433" s="2" t="str">
        <f t="array" ref="K433">IF(NOW()&gt;AV433,"",IF(AND((WEEKDAY($A433)+$B$2)&gt;1,((WEEKDAY($A433)+$T$2)&lt;7),(WEEKDAY($A433)&lt;&gt;1)),"work",(INDEX(Subject!$A:$I,MATCH(RANDBETWEEN(1,(MAX(Subject!$B:$B))),Subject!$B:$B,0),3))))</f>
        <v/>
      </c>
      <c r="L433" s="2" t="str">
        <f t="array" ref="L433">IF(NOW()&gt;AW433,"",IF(AND((WEEKDAY($A433)+$B$2)&gt;1,((WEEKDAY($A433)+$T$2)&lt;7),(WEEKDAY($A433)&lt;&gt;1)),"work",(INDEX(Subject!$A:$I,MATCH(RANDBETWEEN(1,(MAX(Subject!$B:$B))),Subject!$B:$B,0),3))))</f>
        <v/>
      </c>
      <c r="M433" s="2" t="str">
        <f t="array" ref="M433">IF(NOW()&gt;AX433,"",IF(AND((WEEKDAY($A433)+$B$2)&gt;1,((WEEKDAY($A433)+$T$2)&lt;7),(WEEKDAY($A433)&lt;&gt;1)),"work",(INDEX(Subject!$A:$I,MATCH(RANDBETWEEN(1,(MAX(Subject!$B:$B))),Subject!$B:$B,0),3))))</f>
        <v/>
      </c>
      <c r="N433" s="2" t="str">
        <f t="array" ref="N433">IF(NOW()&gt;AY433,"",IF(AND((WEEKDAY($A433)+$B$2)&gt;1,((WEEKDAY($A433)+$T$2)&lt;7),(WEEKDAY($A433)&lt;&gt;1)),"work",(INDEX(Subject!$A:$I,MATCH(RANDBETWEEN(1,(MAX(Subject!$B:$B))),Subject!$B:$B,0),3))))</f>
        <v/>
      </c>
      <c r="O433" s="2" t="str">
        <f t="array" ref="O433">IF(NOW()&gt;AZ433,"",IF(AND((WEEKDAY($A433)+$B$2)&gt;1,((WEEKDAY($A433)+$T$2)&lt;7),(WEEKDAY($A433)&lt;&gt;1)),"work",(INDEX(Subject!$A:$I,MATCH(RANDBETWEEN(1,(MAX(Subject!$B:$B))),Subject!$B:$B,0),3))))</f>
        <v/>
      </c>
      <c r="P433" s="2" t="str">
        <f t="array" ref="P433">IF(NOW()&gt;BA433,"",IF(AND((WEEKDAY($A433)+$B$2)&gt;1,((WEEKDAY($A433)+$T$2)&lt;7),(WEEKDAY($A433)&lt;&gt;1)),"work",(INDEX(Subject!$A:$I,MATCH(RANDBETWEEN(1,(MAX(Subject!$B:$B))),Subject!$B:$B,0),3))))</f>
        <v/>
      </c>
      <c r="Q433" s="2" t="str">
        <f t="array" ref="Q433">IF(NOW()&gt;BB433,"",IF(AND((WEEKDAY($A433)+$B$2)&gt;1,((WEEKDAY($A433)+$T$2)&lt;7),(WEEKDAY($A433)&lt;&gt;1)),"work",(INDEX(Subject!$A:$I,MATCH(RANDBETWEEN(1,(MAX(Subject!$B:$B))),Subject!$B:$B,0),3))))</f>
        <v/>
      </c>
      <c r="R433" s="2" t="str">
        <f t="array" ref="R433">IF(NOW()&gt;BC433,"",IF(AND((WEEKDAY($A433)+$B$2)&gt;1,((WEEKDAY($A433)+$T$2)&lt;7),(WEEKDAY($A433)&lt;&gt;1)),"work",(INDEX(Subject!$A:$I,MATCH(RANDBETWEEN(1,(MAX(Subject!$B:$B))),Subject!$B:$B,0),3))))</f>
        <v/>
      </c>
      <c r="S433" s="2" t="str">
        <f t="array" ref="S433">IF(NOW()&gt;BD433,"",IF(AND((WEEKDAY($A433)+$B$2)&gt;1,((WEEKDAY($A433)+$T$2)&lt;7),(WEEKDAY($A433)&lt;&gt;1)),"work",(INDEX(Subject!$A:$I,MATCH(RANDBETWEEN(1,(MAX(Subject!$B:$B))),Subject!$B:$B,0),3))))</f>
        <v/>
      </c>
      <c r="T433" s="2" t="str">
        <f t="array" ref="T433">IF(NOW()&gt;BE433,"",IF(AND((WEEKDAY($A433)+$B$2)&gt;1,((WEEKDAY($A433)+$T$2)&lt;7),(WEEKDAY($A433)&lt;&gt;1)),"work",(INDEX(Subject!$A:$I,MATCH(RANDBETWEEN(1,(MAX(Subject!$B:$B))),Subject!$B:$B,0),3))))</f>
        <v/>
      </c>
      <c r="U433" s="8" t="str">
        <f t="array" ref="U433">INDEX(Subject!$A:$I,MATCH(RANDBETWEEN(1,16),Subject!$B:$B,0),3)</f>
        <v>#N/A</v>
      </c>
      <c r="V433" s="8" t="str">
        <f t="array" ref="V433">INDEX(Subject!$A:$I,MATCH(RANDBETWEEN(1,16),Subject!$B:$B,0),3)</f>
        <v>#N/A</v>
      </c>
      <c r="W433" s="8" t="str">
        <f t="array" ref="W433">INDEX(Subject!$A:$I,MATCH(RANDBETWEEN(1,16),Subject!$B:$B,0),3)</f>
        <v>#N/A</v>
      </c>
      <c r="X433" s="8" t="str">
        <f t="array" ref="X433">INDEX(Subject!$A:$I,MATCH(RANDBETWEEN(1,16),Subject!$B:$B,0),3)</f>
        <v>#N/A</v>
      </c>
      <c r="Y433" s="8" t="str">
        <f t="array" ref="Y433">INDEX(Subject!$A:$I,MATCH(RANDBETWEEN(1,16),Subject!$B:$B,0),3)</f>
        <v>#N/A</v>
      </c>
      <c r="Z433" s="8" t="str">
        <f t="array" ref="Z433">INDEX(Subject!$A:$I,MATCH(RANDBETWEEN(1,16),Subject!$B:$B,0),3)</f>
        <v>#N/A</v>
      </c>
      <c r="AA433" s="8" t="str">
        <f t="array" ref="AA433">INDEX(Subject!$A:$I,MATCH(RANDBETWEEN(1,16),Subject!$B:$B,0),3)</f>
        <v>#N/A</v>
      </c>
      <c r="AB433" s="8" t="str">
        <f t="array" ref="AB433">INDEX(Subject!$A:$I,MATCH(RANDBETWEEN(1,16),Subject!$B:$B,0),3)</f>
        <v>#N/A</v>
      </c>
      <c r="AC433" s="8" t="str">
        <f t="array" ref="AC433">INDEX(Subject!$A:$I,MATCH(RANDBETWEEN(1,16),Subject!$B:$B,0),3)</f>
        <v>#N/A</v>
      </c>
      <c r="AD433" s="8" t="str">
        <f t="array" ref="AD433">INDEX(Subject!$A:$I,MATCH(RANDBETWEEN(1,16),Subject!$B:$B,0),3)</f>
        <v>#N/A</v>
      </c>
      <c r="AE433" s="8" t="str">
        <f t="array" ref="AE433">INDEX(Subject!$A:$I,MATCH(RANDBETWEEN(1,16),Subject!$B:$B,0),3)</f>
        <v>#N/A</v>
      </c>
      <c r="AF433" s="8" t="str">
        <f t="array" ref="AF433">INDEX(Subject!$A:$I,MATCH(RANDBETWEEN(1,16),Subject!$B:$B,0),3)</f>
        <v/>
      </c>
      <c r="AG433" s="8" t="str">
        <f t="array" ref="AG433">INDEX(Subject!$A:$I,MATCH(RANDBETWEEN(1,16),Subject!$B:$B,0),3)</f>
        <v>#N/A</v>
      </c>
      <c r="AH433" s="8" t="str">
        <f t="array" ref="AH433">INDEX(Subject!$A:$I,MATCH(RANDBETWEEN(1,16),Subject!$B:$B,0),3)</f>
        <v>#N/A</v>
      </c>
      <c r="AI433" s="8" t="str">
        <f t="array" ref="AI433">INDEX(Subject!$A:$I,MATCH(RANDBETWEEN(1,16),Subject!$B:$B,0),3)</f>
        <v>#N/A</v>
      </c>
      <c r="AJ433" s="8" t="str">
        <f t="array" ref="AJ433">INDEX(Subject!$A:$I,MATCH(RANDBETWEEN(1,16),Subject!$B:$B,0),3)</f>
        <v>#N/A</v>
      </c>
      <c r="AK433" s="8" t="str">
        <f t="array" ref="AK433">INDEX(Subject!$A:$I,MATCH(RANDBETWEEN(1,16),Subject!$B:$B,0),3)</f>
        <v>#N/A</v>
      </c>
      <c r="AL433" s="8" t="str">
        <f t="array" ref="AL433">INDEX(Subject!$A:$I,MATCH(RANDBETWEEN(1,16),Subject!$B:$B,0),3)</f>
        <v/>
      </c>
      <c r="AM433" s="18">
        <f t="shared" si="4"/>
        <v>45933.33333</v>
      </c>
      <c r="AN433" s="19">
        <f t="shared" ref="AN433:BZ433" si="433">$A433+C$1</f>
        <v>45933.35417</v>
      </c>
      <c r="AO433" s="19">
        <f t="shared" si="433"/>
        <v>45933.375</v>
      </c>
      <c r="AP433" s="19">
        <f t="shared" si="433"/>
        <v>45933.39583</v>
      </c>
      <c r="AQ433" s="19">
        <f t="shared" si="433"/>
        <v>45933.41667</v>
      </c>
      <c r="AR433" s="19">
        <f t="shared" si="433"/>
        <v>45933.4375</v>
      </c>
      <c r="AS433" s="19">
        <f t="shared" si="433"/>
        <v>45933.45833</v>
      </c>
      <c r="AT433" s="19">
        <f t="shared" si="433"/>
        <v>45933.47917</v>
      </c>
      <c r="AU433" s="19">
        <f t="shared" si="433"/>
        <v>45933.5</v>
      </c>
      <c r="AV433" s="19">
        <f t="shared" si="433"/>
        <v>45933.52083</v>
      </c>
      <c r="AW433" s="19">
        <f t="shared" si="433"/>
        <v>45933.54167</v>
      </c>
      <c r="AX433" s="19">
        <f t="shared" si="433"/>
        <v>45933.5625</v>
      </c>
      <c r="AY433" s="19">
        <f t="shared" si="433"/>
        <v>45933.58333</v>
      </c>
      <c r="AZ433" s="19">
        <f t="shared" si="433"/>
        <v>45933.60417</v>
      </c>
      <c r="BA433" s="19">
        <f t="shared" si="433"/>
        <v>45933.625</v>
      </c>
      <c r="BB433" s="19">
        <f t="shared" si="433"/>
        <v>45933.64583</v>
      </c>
      <c r="BC433" s="19">
        <f t="shared" si="433"/>
        <v>45933.66667</v>
      </c>
      <c r="BD433" s="19">
        <f t="shared" si="433"/>
        <v>45933.6875</v>
      </c>
      <c r="BE433" s="19">
        <f t="shared" si="433"/>
        <v>45933.70833</v>
      </c>
      <c r="BF433" s="19">
        <f t="shared" si="433"/>
        <v>45933.72917</v>
      </c>
      <c r="BG433" s="19">
        <f t="shared" si="433"/>
        <v>45933.75</v>
      </c>
      <c r="BH433" s="19">
        <f t="shared" si="433"/>
        <v>45933.77083</v>
      </c>
      <c r="BI433" s="19">
        <f t="shared" si="433"/>
        <v>45933.79167</v>
      </c>
      <c r="BJ433" s="19">
        <f t="shared" si="433"/>
        <v>45933.8125</v>
      </c>
      <c r="BK433" s="19">
        <f t="shared" si="433"/>
        <v>45933.83333</v>
      </c>
      <c r="BL433" s="19">
        <f t="shared" si="433"/>
        <v>45933.85417</v>
      </c>
      <c r="BM433" s="19">
        <f t="shared" si="433"/>
        <v>45933.875</v>
      </c>
      <c r="BN433" s="19">
        <f t="shared" si="433"/>
        <v>45933.89583</v>
      </c>
      <c r="BO433" s="19">
        <f t="shared" si="433"/>
        <v>45933.91667</v>
      </c>
      <c r="BP433" s="19">
        <f t="shared" si="433"/>
        <v>45933.9375</v>
      </c>
      <c r="BQ433" s="19">
        <f t="shared" si="433"/>
        <v>45933.95833</v>
      </c>
      <c r="BR433" s="19">
        <f t="shared" si="433"/>
        <v>45933.97917</v>
      </c>
      <c r="BS433" s="19">
        <f t="shared" si="433"/>
        <v>45934</v>
      </c>
      <c r="BT433" s="19">
        <f t="shared" si="433"/>
        <v>45934.02083</v>
      </c>
      <c r="BU433" s="19">
        <f t="shared" si="433"/>
        <v>45934.04167</v>
      </c>
      <c r="BV433" s="19">
        <f t="shared" si="433"/>
        <v>45934.0625</v>
      </c>
      <c r="BW433" s="19">
        <f t="shared" si="433"/>
        <v>45934.08333</v>
      </c>
      <c r="BX433" s="19">
        <f t="shared" si="433"/>
        <v>45933</v>
      </c>
      <c r="BY433" s="19">
        <f t="shared" si="433"/>
        <v>45933</v>
      </c>
      <c r="BZ433" s="19">
        <f t="shared" si="433"/>
        <v>45933</v>
      </c>
    </row>
    <row r="434" ht="14.25" customHeight="1">
      <c r="A434" s="17">
        <v>45934.0</v>
      </c>
      <c r="B434" s="2" t="str">
        <f t="array" ref="B434">IF(NOW()&gt;AM434,"",IF(AND((WEEKDAY($A434)+$B$2)&gt;1,((WEEKDAY($A434)+$T$2)&lt;7),(WEEKDAY($A434)&lt;&gt;1)),"work",(INDEX(Subject!$A:$I,MATCH(RANDBETWEEN(1,(MAX(Subject!$B:$B))),Subject!$B:$B,0),3))))</f>
        <v/>
      </c>
      <c r="C434" s="2" t="str">
        <f t="array" ref="C434">IF(NOW()&gt;AN434,"",IF(AND((WEEKDAY($A434)+$B$2)&gt;1,((WEEKDAY($A434)+$T$2)&lt;7),(WEEKDAY($A434)&lt;&gt;1)),"work",(INDEX(Subject!$A:$I,MATCH(RANDBETWEEN(1,(MAX(Subject!$B:$B))),Subject!$B:$B,0),3))))</f>
        <v/>
      </c>
      <c r="D434" s="2" t="str">
        <f t="array" ref="D434">IF(NOW()&gt;AO434,"",IF(AND((WEEKDAY($A434)+$B$2)&gt;1,((WEEKDAY($A434)+$T$2)&lt;7),(WEEKDAY($A434)&lt;&gt;1)),"work",(INDEX(Subject!$A:$I,MATCH(RANDBETWEEN(1,(MAX(Subject!$B:$B))),Subject!$B:$B,0),3))))</f>
        <v/>
      </c>
      <c r="E434" s="2" t="str">
        <f t="array" ref="E434">IF(NOW()&gt;AP434,"",IF(AND((WEEKDAY($A434)+$B$2)&gt;1,((WEEKDAY($A434)+$T$2)&lt;7),(WEEKDAY($A434)&lt;&gt;1)),"work",(INDEX(Subject!$A:$I,MATCH(RANDBETWEEN(1,(MAX(Subject!$B:$B))),Subject!$B:$B,0),3))))</f>
        <v/>
      </c>
      <c r="F434" s="2" t="str">
        <f t="array" ref="F434">IF(NOW()&gt;AQ434,"",IF(AND((WEEKDAY($A434)+$B$2)&gt;1,((WEEKDAY($A434)+$T$2)&lt;7),(WEEKDAY($A434)&lt;&gt;1)),"work",(INDEX(Subject!$A:$I,MATCH(RANDBETWEEN(1,(MAX(Subject!$B:$B))),Subject!$B:$B,0),3))))</f>
        <v/>
      </c>
      <c r="G434" s="2" t="str">
        <f t="array" ref="G434">IF(NOW()&gt;AR434,"",IF(AND((WEEKDAY($A434)+$B$2)&gt;1,((WEEKDAY($A434)+$T$2)&lt;7),(WEEKDAY($A434)&lt;&gt;1)),"work",(INDEX(Subject!$A:$I,MATCH(RANDBETWEEN(1,(MAX(Subject!$B:$B))),Subject!$B:$B,0),3))))</f>
        <v/>
      </c>
      <c r="H434" s="2" t="str">
        <f t="array" ref="H434">IF(NOW()&gt;AS434,"",IF(AND((WEEKDAY($A434)+$B$2)&gt;1,((WEEKDAY($A434)+$T$2)&lt;7),(WEEKDAY($A434)&lt;&gt;1)),"work",(INDEX(Subject!$A:$I,MATCH(RANDBETWEEN(1,(MAX(Subject!$B:$B))),Subject!$B:$B,0),3))))</f>
        <v/>
      </c>
      <c r="I434" s="2" t="str">
        <f t="array" ref="I434">IF(NOW()&gt;AT434,"",IF(AND((WEEKDAY($A434)+$B$2)&gt;1,((WEEKDAY($A434)+$T$2)&lt;7),(WEEKDAY($A434)&lt;&gt;1)),"work",(INDEX(Subject!$A:$I,MATCH(RANDBETWEEN(1,(MAX(Subject!$B:$B))),Subject!$B:$B,0),3))))</f>
        <v/>
      </c>
      <c r="J434" s="2" t="str">
        <f t="array" ref="J434">IF(NOW()&gt;AU434,"",IF(AND((WEEKDAY($A434)+$B$2)&gt;1,((WEEKDAY($A434)+$T$2)&lt;7),(WEEKDAY($A434)&lt;&gt;1)),"work",(INDEX(Subject!$A:$I,MATCH(RANDBETWEEN(1,(MAX(Subject!$B:$B))),Subject!$B:$B,0),3))))</f>
        <v/>
      </c>
      <c r="K434" s="2" t="str">
        <f t="array" ref="K434">IF(NOW()&gt;AV434,"",IF(AND((WEEKDAY($A434)+$B$2)&gt;1,((WEEKDAY($A434)+$T$2)&lt;7),(WEEKDAY($A434)&lt;&gt;1)),"work",(INDEX(Subject!$A:$I,MATCH(RANDBETWEEN(1,(MAX(Subject!$B:$B))),Subject!$B:$B,0),3))))</f>
        <v/>
      </c>
      <c r="L434" s="2" t="str">
        <f t="array" ref="L434">IF(NOW()&gt;AW434,"",IF(AND((WEEKDAY($A434)+$B$2)&gt;1,((WEEKDAY($A434)+$T$2)&lt;7),(WEEKDAY($A434)&lt;&gt;1)),"work",(INDEX(Subject!$A:$I,MATCH(RANDBETWEEN(1,(MAX(Subject!$B:$B))),Subject!$B:$B,0),3))))</f>
        <v/>
      </c>
      <c r="M434" s="2" t="str">
        <f t="array" ref="M434">IF(NOW()&gt;AX434,"",IF(AND((WEEKDAY($A434)+$B$2)&gt;1,((WEEKDAY($A434)+$T$2)&lt;7),(WEEKDAY($A434)&lt;&gt;1)),"work",(INDEX(Subject!$A:$I,MATCH(RANDBETWEEN(1,(MAX(Subject!$B:$B))),Subject!$B:$B,0),3))))</f>
        <v/>
      </c>
      <c r="N434" s="2" t="str">
        <f t="array" ref="N434">IF(NOW()&gt;AY434,"",IF(AND((WEEKDAY($A434)+$B$2)&gt;1,((WEEKDAY($A434)+$T$2)&lt;7),(WEEKDAY($A434)&lt;&gt;1)),"work",(INDEX(Subject!$A:$I,MATCH(RANDBETWEEN(1,(MAX(Subject!$B:$B))),Subject!$B:$B,0),3))))</f>
        <v/>
      </c>
      <c r="O434" s="2" t="str">
        <f t="array" ref="O434">IF(NOW()&gt;AZ434,"",IF(AND((WEEKDAY($A434)+$B$2)&gt;1,((WEEKDAY($A434)+$T$2)&lt;7),(WEEKDAY($A434)&lt;&gt;1)),"work",(INDEX(Subject!$A:$I,MATCH(RANDBETWEEN(1,(MAX(Subject!$B:$B))),Subject!$B:$B,0),3))))</f>
        <v/>
      </c>
      <c r="P434" s="2" t="str">
        <f t="array" ref="P434">IF(NOW()&gt;BA434,"",IF(AND((WEEKDAY($A434)+$B$2)&gt;1,((WEEKDAY($A434)+$T$2)&lt;7),(WEEKDAY($A434)&lt;&gt;1)),"work",(INDEX(Subject!$A:$I,MATCH(RANDBETWEEN(1,(MAX(Subject!$B:$B))),Subject!$B:$B,0),3))))</f>
        <v/>
      </c>
      <c r="Q434" s="2" t="str">
        <f t="array" ref="Q434">IF(NOW()&gt;BB434,"",IF(AND((WEEKDAY($A434)+$B$2)&gt;1,((WEEKDAY($A434)+$T$2)&lt;7),(WEEKDAY($A434)&lt;&gt;1)),"work",(INDEX(Subject!$A:$I,MATCH(RANDBETWEEN(1,(MAX(Subject!$B:$B))),Subject!$B:$B,0),3))))</f>
        <v/>
      </c>
      <c r="R434" s="2" t="str">
        <f t="array" ref="R434">IF(NOW()&gt;BC434,"",IF(AND((WEEKDAY($A434)+$B$2)&gt;1,((WEEKDAY($A434)+$T$2)&lt;7),(WEEKDAY($A434)&lt;&gt;1)),"work",(INDEX(Subject!$A:$I,MATCH(RANDBETWEEN(1,(MAX(Subject!$B:$B))),Subject!$B:$B,0),3))))</f>
        <v/>
      </c>
      <c r="S434" s="2" t="str">
        <f t="array" ref="S434">IF(NOW()&gt;BD434,"",IF(AND((WEEKDAY($A434)+$B$2)&gt;1,((WEEKDAY($A434)+$T$2)&lt;7),(WEEKDAY($A434)&lt;&gt;1)),"work",(INDEX(Subject!$A:$I,MATCH(RANDBETWEEN(1,(MAX(Subject!$B:$B))),Subject!$B:$B,0),3))))</f>
        <v/>
      </c>
      <c r="T434" s="2" t="str">
        <f t="array" ref="T434">IF(NOW()&gt;BE434,"",IF(AND((WEEKDAY($A434)+$B$2)&gt;1,((WEEKDAY($A434)+$T$2)&lt;7),(WEEKDAY($A434)&lt;&gt;1)),"work",(INDEX(Subject!$A:$I,MATCH(RANDBETWEEN(1,(MAX(Subject!$B:$B))),Subject!$B:$B,0),3))))</f>
        <v/>
      </c>
      <c r="U434" s="8" t="str">
        <f t="array" ref="U434">INDEX(Subject!$A:$I,MATCH(RANDBETWEEN(1,16),Subject!$B:$B,0),3)</f>
        <v>#N/A</v>
      </c>
      <c r="V434" s="8" t="str">
        <f t="array" ref="V434">INDEX(Subject!$A:$I,MATCH(RANDBETWEEN(1,16),Subject!$B:$B,0),3)</f>
        <v>#N/A</v>
      </c>
      <c r="W434" s="8" t="str">
        <f t="array" ref="W434">INDEX(Subject!$A:$I,MATCH(RANDBETWEEN(1,16),Subject!$B:$B,0),3)</f>
        <v>#N/A</v>
      </c>
      <c r="X434" s="8" t="str">
        <f t="array" ref="X434">INDEX(Subject!$A:$I,MATCH(RANDBETWEEN(1,16),Subject!$B:$B,0),3)</f>
        <v>#N/A</v>
      </c>
      <c r="Y434" s="8" t="str">
        <f t="array" ref="Y434">INDEX(Subject!$A:$I,MATCH(RANDBETWEEN(1,16),Subject!$B:$B,0),3)</f>
        <v>#N/A</v>
      </c>
      <c r="Z434" s="8" t="str">
        <f t="array" ref="Z434">INDEX(Subject!$A:$I,MATCH(RANDBETWEEN(1,16),Subject!$B:$B,0),3)</f>
        <v>#N/A</v>
      </c>
      <c r="AA434" s="8" t="str">
        <f t="array" ref="AA434">INDEX(Subject!$A:$I,MATCH(RANDBETWEEN(1,16),Subject!$B:$B,0),3)</f>
        <v>#N/A</v>
      </c>
      <c r="AB434" s="8" t="str">
        <f t="array" ref="AB434">INDEX(Subject!$A:$I,MATCH(RANDBETWEEN(1,16),Subject!$B:$B,0),3)</f>
        <v>#N/A</v>
      </c>
      <c r="AC434" s="8" t="str">
        <f t="array" ref="AC434">INDEX(Subject!$A:$I,MATCH(RANDBETWEEN(1,16),Subject!$B:$B,0),3)</f>
        <v>#N/A</v>
      </c>
      <c r="AD434" s="8" t="str">
        <f t="array" ref="AD434">INDEX(Subject!$A:$I,MATCH(RANDBETWEEN(1,16),Subject!$B:$B,0),3)</f>
        <v>#N/A</v>
      </c>
      <c r="AE434" s="8" t="str">
        <f t="array" ref="AE434">INDEX(Subject!$A:$I,MATCH(RANDBETWEEN(1,16),Subject!$B:$B,0),3)</f>
        <v>#N/A</v>
      </c>
      <c r="AF434" s="8" t="str">
        <f t="array" ref="AF434">INDEX(Subject!$A:$I,MATCH(RANDBETWEEN(1,16),Subject!$B:$B,0),3)</f>
        <v>#N/A</v>
      </c>
      <c r="AG434" s="8" t="str">
        <f t="array" ref="AG434">INDEX(Subject!$A:$I,MATCH(RANDBETWEEN(1,16),Subject!$B:$B,0),3)</f>
        <v>#N/A</v>
      </c>
      <c r="AH434" s="8" t="str">
        <f t="array" ref="AH434">INDEX(Subject!$A:$I,MATCH(RANDBETWEEN(1,16),Subject!$B:$B,0),3)</f>
        <v>#N/A</v>
      </c>
      <c r="AI434" s="8" t="str">
        <f t="array" ref="AI434">INDEX(Subject!$A:$I,MATCH(RANDBETWEEN(1,16),Subject!$B:$B,0),3)</f>
        <v>#N/A</v>
      </c>
      <c r="AJ434" s="8" t="str">
        <f t="array" ref="AJ434">INDEX(Subject!$A:$I,MATCH(RANDBETWEEN(1,16),Subject!$B:$B,0),3)</f>
        <v/>
      </c>
      <c r="AK434" s="8" t="str">
        <f t="array" ref="AK434">INDEX(Subject!$A:$I,MATCH(RANDBETWEEN(1,16),Subject!$B:$B,0),3)</f>
        <v>#N/A</v>
      </c>
      <c r="AL434" s="8" t="str">
        <f t="array" ref="AL434">INDEX(Subject!$A:$I,MATCH(RANDBETWEEN(1,16),Subject!$B:$B,0),3)</f>
        <v>#N/A</v>
      </c>
      <c r="AM434" s="18">
        <f t="shared" si="4"/>
        <v>45934.33333</v>
      </c>
      <c r="AN434" s="19">
        <f t="shared" ref="AN434:BZ434" si="434">$A434+C$1</f>
        <v>45934.35417</v>
      </c>
      <c r="AO434" s="19">
        <f t="shared" si="434"/>
        <v>45934.375</v>
      </c>
      <c r="AP434" s="19">
        <f t="shared" si="434"/>
        <v>45934.39583</v>
      </c>
      <c r="AQ434" s="19">
        <f t="shared" si="434"/>
        <v>45934.41667</v>
      </c>
      <c r="AR434" s="19">
        <f t="shared" si="434"/>
        <v>45934.4375</v>
      </c>
      <c r="AS434" s="19">
        <f t="shared" si="434"/>
        <v>45934.45833</v>
      </c>
      <c r="AT434" s="19">
        <f t="shared" si="434"/>
        <v>45934.47917</v>
      </c>
      <c r="AU434" s="19">
        <f t="shared" si="434"/>
        <v>45934.5</v>
      </c>
      <c r="AV434" s="19">
        <f t="shared" si="434"/>
        <v>45934.52083</v>
      </c>
      <c r="AW434" s="19">
        <f t="shared" si="434"/>
        <v>45934.54167</v>
      </c>
      <c r="AX434" s="19">
        <f t="shared" si="434"/>
        <v>45934.5625</v>
      </c>
      <c r="AY434" s="19">
        <f t="shared" si="434"/>
        <v>45934.58333</v>
      </c>
      <c r="AZ434" s="19">
        <f t="shared" si="434"/>
        <v>45934.60417</v>
      </c>
      <c r="BA434" s="19">
        <f t="shared" si="434"/>
        <v>45934.625</v>
      </c>
      <c r="BB434" s="19">
        <f t="shared" si="434"/>
        <v>45934.64583</v>
      </c>
      <c r="BC434" s="19">
        <f t="shared" si="434"/>
        <v>45934.66667</v>
      </c>
      <c r="BD434" s="19">
        <f t="shared" si="434"/>
        <v>45934.6875</v>
      </c>
      <c r="BE434" s="19">
        <f t="shared" si="434"/>
        <v>45934.70833</v>
      </c>
      <c r="BF434" s="19">
        <f t="shared" si="434"/>
        <v>45934.72917</v>
      </c>
      <c r="BG434" s="19">
        <f t="shared" si="434"/>
        <v>45934.75</v>
      </c>
      <c r="BH434" s="19">
        <f t="shared" si="434"/>
        <v>45934.77083</v>
      </c>
      <c r="BI434" s="19">
        <f t="shared" si="434"/>
        <v>45934.79167</v>
      </c>
      <c r="BJ434" s="19">
        <f t="shared" si="434"/>
        <v>45934.8125</v>
      </c>
      <c r="BK434" s="19">
        <f t="shared" si="434"/>
        <v>45934.83333</v>
      </c>
      <c r="BL434" s="19">
        <f t="shared" si="434"/>
        <v>45934.85417</v>
      </c>
      <c r="BM434" s="19">
        <f t="shared" si="434"/>
        <v>45934.875</v>
      </c>
      <c r="BN434" s="19">
        <f t="shared" si="434"/>
        <v>45934.89583</v>
      </c>
      <c r="BO434" s="19">
        <f t="shared" si="434"/>
        <v>45934.91667</v>
      </c>
      <c r="BP434" s="19">
        <f t="shared" si="434"/>
        <v>45934.9375</v>
      </c>
      <c r="BQ434" s="19">
        <f t="shared" si="434"/>
        <v>45934.95833</v>
      </c>
      <c r="BR434" s="19">
        <f t="shared" si="434"/>
        <v>45934.97917</v>
      </c>
      <c r="BS434" s="19">
        <f t="shared" si="434"/>
        <v>45935</v>
      </c>
      <c r="BT434" s="19">
        <f t="shared" si="434"/>
        <v>45935.02083</v>
      </c>
      <c r="BU434" s="19">
        <f t="shared" si="434"/>
        <v>45935.04167</v>
      </c>
      <c r="BV434" s="19">
        <f t="shared" si="434"/>
        <v>45935.0625</v>
      </c>
      <c r="BW434" s="19">
        <f t="shared" si="434"/>
        <v>45935.08333</v>
      </c>
      <c r="BX434" s="19">
        <f t="shared" si="434"/>
        <v>45934</v>
      </c>
      <c r="BY434" s="19">
        <f t="shared" si="434"/>
        <v>45934</v>
      </c>
      <c r="BZ434" s="19">
        <f t="shared" si="434"/>
        <v>45934</v>
      </c>
    </row>
    <row r="435" ht="14.25" customHeight="1">
      <c r="A435" s="17">
        <v>45935.0</v>
      </c>
      <c r="B435" s="2" t="str">
        <f t="array" ref="B435">IF(NOW()&gt;AM435,"",IF(AND((WEEKDAY($A435)+$B$2)&gt;1,((WEEKDAY($A435)+$T$2)&lt;7),(WEEKDAY($A435)&lt;&gt;1)),"work",(INDEX(Subject!$A:$I,MATCH(RANDBETWEEN(1,(MAX(Subject!$B:$B))),Subject!$B:$B,0),3))))</f>
        <v/>
      </c>
      <c r="C435" s="2" t="str">
        <f t="array" ref="C435">IF(NOW()&gt;AN435,"",IF(AND((WEEKDAY($A435)+$B$2)&gt;1,((WEEKDAY($A435)+$T$2)&lt;7),(WEEKDAY($A435)&lt;&gt;1)),"work",(INDEX(Subject!$A:$I,MATCH(RANDBETWEEN(1,(MAX(Subject!$B:$B))),Subject!$B:$B,0),3))))</f>
        <v/>
      </c>
      <c r="D435" s="2" t="str">
        <f t="array" ref="D435">IF(NOW()&gt;AO435,"",IF(AND((WEEKDAY($A435)+$B$2)&gt;1,((WEEKDAY($A435)+$T$2)&lt;7),(WEEKDAY($A435)&lt;&gt;1)),"work",(INDEX(Subject!$A:$I,MATCH(RANDBETWEEN(1,(MAX(Subject!$B:$B))),Subject!$B:$B,0),3))))</f>
        <v/>
      </c>
      <c r="E435" s="2" t="str">
        <f t="array" ref="E435">IF(NOW()&gt;AP435,"",IF(AND((WEEKDAY($A435)+$B$2)&gt;1,((WEEKDAY($A435)+$T$2)&lt;7),(WEEKDAY($A435)&lt;&gt;1)),"work",(INDEX(Subject!$A:$I,MATCH(RANDBETWEEN(1,(MAX(Subject!$B:$B))),Subject!$B:$B,0),3))))</f>
        <v/>
      </c>
      <c r="F435" s="2" t="str">
        <f t="array" ref="F435">IF(NOW()&gt;AQ435,"",IF(AND((WEEKDAY($A435)+$B$2)&gt;1,((WEEKDAY($A435)+$T$2)&lt;7),(WEEKDAY($A435)&lt;&gt;1)),"work",(INDEX(Subject!$A:$I,MATCH(RANDBETWEEN(1,(MAX(Subject!$B:$B))),Subject!$B:$B,0),3))))</f>
        <v/>
      </c>
      <c r="G435" s="2" t="str">
        <f t="array" ref="G435">IF(NOW()&gt;AR435,"",IF(AND((WEEKDAY($A435)+$B$2)&gt;1,((WEEKDAY($A435)+$T$2)&lt;7),(WEEKDAY($A435)&lt;&gt;1)),"work",(INDEX(Subject!$A:$I,MATCH(RANDBETWEEN(1,(MAX(Subject!$B:$B))),Subject!$B:$B,0),3))))</f>
        <v/>
      </c>
      <c r="H435" s="2" t="str">
        <f t="array" ref="H435">IF(NOW()&gt;AS435,"",IF(AND((WEEKDAY($A435)+$B$2)&gt;1,((WEEKDAY($A435)+$T$2)&lt;7),(WEEKDAY($A435)&lt;&gt;1)),"work",(INDEX(Subject!$A:$I,MATCH(RANDBETWEEN(1,(MAX(Subject!$B:$B))),Subject!$B:$B,0),3))))</f>
        <v/>
      </c>
      <c r="I435" s="2" t="str">
        <f t="array" ref="I435">IF(NOW()&gt;AT435,"",IF(AND((WEEKDAY($A435)+$B$2)&gt;1,((WEEKDAY($A435)+$T$2)&lt;7),(WEEKDAY($A435)&lt;&gt;1)),"work",(INDEX(Subject!$A:$I,MATCH(RANDBETWEEN(1,(MAX(Subject!$B:$B))),Subject!$B:$B,0),3))))</f>
        <v/>
      </c>
      <c r="J435" s="2" t="str">
        <f t="array" ref="J435">IF(NOW()&gt;AU435,"",IF(AND((WEEKDAY($A435)+$B$2)&gt;1,((WEEKDAY($A435)+$T$2)&lt;7),(WEEKDAY($A435)&lt;&gt;1)),"work",(INDEX(Subject!$A:$I,MATCH(RANDBETWEEN(1,(MAX(Subject!$B:$B))),Subject!$B:$B,0),3))))</f>
        <v/>
      </c>
      <c r="K435" s="2" t="str">
        <f t="array" ref="K435">IF(NOW()&gt;AV435,"",IF(AND((WEEKDAY($A435)+$B$2)&gt;1,((WEEKDAY($A435)+$T$2)&lt;7),(WEEKDAY($A435)&lt;&gt;1)),"work",(INDEX(Subject!$A:$I,MATCH(RANDBETWEEN(1,(MAX(Subject!$B:$B))),Subject!$B:$B,0),3))))</f>
        <v/>
      </c>
      <c r="L435" s="2" t="str">
        <f t="array" ref="L435">IF(NOW()&gt;AW435,"",IF(AND((WEEKDAY($A435)+$B$2)&gt;1,((WEEKDAY($A435)+$T$2)&lt;7),(WEEKDAY($A435)&lt;&gt;1)),"work",(INDEX(Subject!$A:$I,MATCH(RANDBETWEEN(1,(MAX(Subject!$B:$B))),Subject!$B:$B,0),3))))</f>
        <v/>
      </c>
      <c r="M435" s="2" t="str">
        <f t="array" ref="M435">IF(NOW()&gt;AX435,"",IF(AND((WEEKDAY($A435)+$B$2)&gt;1,((WEEKDAY($A435)+$T$2)&lt;7),(WEEKDAY($A435)&lt;&gt;1)),"work",(INDEX(Subject!$A:$I,MATCH(RANDBETWEEN(1,(MAX(Subject!$B:$B))),Subject!$B:$B,0),3))))</f>
        <v/>
      </c>
      <c r="N435" s="2" t="str">
        <f t="array" ref="N435">IF(NOW()&gt;AY435,"",IF(AND((WEEKDAY($A435)+$B$2)&gt;1,((WEEKDAY($A435)+$T$2)&lt;7),(WEEKDAY($A435)&lt;&gt;1)),"work",(INDEX(Subject!$A:$I,MATCH(RANDBETWEEN(1,(MAX(Subject!$B:$B))),Subject!$B:$B,0),3))))</f>
        <v/>
      </c>
      <c r="O435" s="2" t="str">
        <f t="array" ref="O435">IF(NOW()&gt;AZ435,"",IF(AND((WEEKDAY($A435)+$B$2)&gt;1,((WEEKDAY($A435)+$T$2)&lt;7),(WEEKDAY($A435)&lt;&gt;1)),"work",(INDEX(Subject!$A:$I,MATCH(RANDBETWEEN(1,(MAX(Subject!$B:$B))),Subject!$B:$B,0),3))))</f>
        <v/>
      </c>
      <c r="P435" s="2" t="str">
        <f t="array" ref="P435">IF(NOW()&gt;BA435,"",IF(AND((WEEKDAY($A435)+$B$2)&gt;1,((WEEKDAY($A435)+$T$2)&lt;7),(WEEKDAY($A435)&lt;&gt;1)),"work",(INDEX(Subject!$A:$I,MATCH(RANDBETWEEN(1,(MAX(Subject!$B:$B))),Subject!$B:$B,0),3))))</f>
        <v/>
      </c>
      <c r="Q435" s="2" t="str">
        <f t="array" ref="Q435">IF(NOW()&gt;BB435,"",IF(AND((WEEKDAY($A435)+$B$2)&gt;1,((WEEKDAY($A435)+$T$2)&lt;7),(WEEKDAY($A435)&lt;&gt;1)),"work",(INDEX(Subject!$A:$I,MATCH(RANDBETWEEN(1,(MAX(Subject!$B:$B))),Subject!$B:$B,0),3))))</f>
        <v/>
      </c>
      <c r="R435" s="2" t="str">
        <f t="array" ref="R435">IF(NOW()&gt;BC435,"",IF(AND((WEEKDAY($A435)+$B$2)&gt;1,((WEEKDAY($A435)+$T$2)&lt;7),(WEEKDAY($A435)&lt;&gt;1)),"work",(INDEX(Subject!$A:$I,MATCH(RANDBETWEEN(1,(MAX(Subject!$B:$B))),Subject!$B:$B,0),3))))</f>
        <v/>
      </c>
      <c r="S435" s="2" t="str">
        <f t="array" ref="S435">IF(NOW()&gt;BD435,"",IF(AND((WEEKDAY($A435)+$B$2)&gt;1,((WEEKDAY($A435)+$T$2)&lt;7),(WEEKDAY($A435)&lt;&gt;1)),"work",(INDEX(Subject!$A:$I,MATCH(RANDBETWEEN(1,(MAX(Subject!$B:$B))),Subject!$B:$B,0),3))))</f>
        <v/>
      </c>
      <c r="T435" s="2" t="str">
        <f t="array" ref="T435">IF(NOW()&gt;BE435,"",IF(AND((WEEKDAY($A435)+$B$2)&gt;1,((WEEKDAY($A435)+$T$2)&lt;7),(WEEKDAY($A435)&lt;&gt;1)),"work",(INDEX(Subject!$A:$I,MATCH(RANDBETWEEN(1,(MAX(Subject!$B:$B))),Subject!$B:$B,0),3))))</f>
        <v/>
      </c>
      <c r="U435" s="8" t="str">
        <f t="array" ref="U435">INDEX(Subject!$A:$I,MATCH(RANDBETWEEN(1,16),Subject!$B:$B,0),3)</f>
        <v>#N/A</v>
      </c>
      <c r="V435" s="8" t="str">
        <f t="array" ref="V435">INDEX(Subject!$A:$I,MATCH(RANDBETWEEN(1,16),Subject!$B:$B,0),3)</f>
        <v>#N/A</v>
      </c>
      <c r="W435" s="8" t="str">
        <f t="array" ref="W435">INDEX(Subject!$A:$I,MATCH(RANDBETWEEN(1,16),Subject!$B:$B,0),3)</f>
        <v>#N/A</v>
      </c>
      <c r="X435" s="8" t="str">
        <f t="array" ref="X435">INDEX(Subject!$A:$I,MATCH(RANDBETWEEN(1,16),Subject!$B:$B,0),3)</f>
        <v>#N/A</v>
      </c>
      <c r="Y435" s="8" t="str">
        <f t="array" ref="Y435">INDEX(Subject!$A:$I,MATCH(RANDBETWEEN(1,16),Subject!$B:$B,0),3)</f>
        <v>#N/A</v>
      </c>
      <c r="Z435" s="8" t="str">
        <f t="array" ref="Z435">INDEX(Subject!$A:$I,MATCH(RANDBETWEEN(1,16),Subject!$B:$B,0),3)</f>
        <v>#N/A</v>
      </c>
      <c r="AA435" s="8" t="str">
        <f t="array" ref="AA435">INDEX(Subject!$A:$I,MATCH(RANDBETWEEN(1,16),Subject!$B:$B,0),3)</f>
        <v>#N/A</v>
      </c>
      <c r="AB435" s="8" t="str">
        <f t="array" ref="AB435">INDEX(Subject!$A:$I,MATCH(RANDBETWEEN(1,16),Subject!$B:$B,0),3)</f>
        <v>#N/A</v>
      </c>
      <c r="AC435" s="8" t="str">
        <f t="array" ref="AC435">INDEX(Subject!$A:$I,MATCH(RANDBETWEEN(1,16),Subject!$B:$B,0),3)</f>
        <v>#N/A</v>
      </c>
      <c r="AD435" s="8" t="str">
        <f t="array" ref="AD435">INDEX(Subject!$A:$I,MATCH(RANDBETWEEN(1,16),Subject!$B:$B,0),3)</f>
        <v>#N/A</v>
      </c>
      <c r="AE435" s="8" t="str">
        <f t="array" ref="AE435">INDEX(Subject!$A:$I,MATCH(RANDBETWEEN(1,16),Subject!$B:$B,0),3)</f>
        <v>#N/A</v>
      </c>
      <c r="AF435" s="8" t="str">
        <f t="array" ref="AF435">INDEX(Subject!$A:$I,MATCH(RANDBETWEEN(1,16),Subject!$B:$B,0),3)</f>
        <v/>
      </c>
      <c r="AG435" s="8" t="str">
        <f t="array" ref="AG435">INDEX(Subject!$A:$I,MATCH(RANDBETWEEN(1,16),Subject!$B:$B,0),3)</f>
        <v>#N/A</v>
      </c>
      <c r="AH435" s="8" t="str">
        <f t="array" ref="AH435">INDEX(Subject!$A:$I,MATCH(RANDBETWEEN(1,16),Subject!$B:$B,0),3)</f>
        <v>#N/A</v>
      </c>
      <c r="AI435" s="8" t="str">
        <f t="array" ref="AI435">INDEX(Subject!$A:$I,MATCH(RANDBETWEEN(1,16),Subject!$B:$B,0),3)</f>
        <v>#N/A</v>
      </c>
      <c r="AJ435" s="8" t="str">
        <f t="array" ref="AJ435">INDEX(Subject!$A:$I,MATCH(RANDBETWEEN(1,16),Subject!$B:$B,0),3)</f>
        <v>#N/A</v>
      </c>
      <c r="AK435" s="8" t="str">
        <f t="array" ref="AK435">INDEX(Subject!$A:$I,MATCH(RANDBETWEEN(1,16),Subject!$B:$B,0),3)</f>
        <v>#N/A</v>
      </c>
      <c r="AL435" s="8" t="str">
        <f t="array" ref="AL435">INDEX(Subject!$A:$I,MATCH(RANDBETWEEN(1,16),Subject!$B:$B,0),3)</f>
        <v>#N/A</v>
      </c>
      <c r="AM435" s="18">
        <f t="shared" si="4"/>
        <v>45935.33333</v>
      </c>
      <c r="AN435" s="19">
        <f t="shared" ref="AN435:BZ435" si="435">$A435+C$1</f>
        <v>45935.35417</v>
      </c>
      <c r="AO435" s="19">
        <f t="shared" si="435"/>
        <v>45935.375</v>
      </c>
      <c r="AP435" s="19">
        <f t="shared" si="435"/>
        <v>45935.39583</v>
      </c>
      <c r="AQ435" s="19">
        <f t="shared" si="435"/>
        <v>45935.41667</v>
      </c>
      <c r="AR435" s="19">
        <f t="shared" si="435"/>
        <v>45935.4375</v>
      </c>
      <c r="AS435" s="19">
        <f t="shared" si="435"/>
        <v>45935.45833</v>
      </c>
      <c r="AT435" s="19">
        <f t="shared" si="435"/>
        <v>45935.47917</v>
      </c>
      <c r="AU435" s="19">
        <f t="shared" si="435"/>
        <v>45935.5</v>
      </c>
      <c r="AV435" s="19">
        <f t="shared" si="435"/>
        <v>45935.52083</v>
      </c>
      <c r="AW435" s="19">
        <f t="shared" si="435"/>
        <v>45935.54167</v>
      </c>
      <c r="AX435" s="19">
        <f t="shared" si="435"/>
        <v>45935.5625</v>
      </c>
      <c r="AY435" s="19">
        <f t="shared" si="435"/>
        <v>45935.58333</v>
      </c>
      <c r="AZ435" s="19">
        <f t="shared" si="435"/>
        <v>45935.60417</v>
      </c>
      <c r="BA435" s="19">
        <f t="shared" si="435"/>
        <v>45935.625</v>
      </c>
      <c r="BB435" s="19">
        <f t="shared" si="435"/>
        <v>45935.64583</v>
      </c>
      <c r="BC435" s="19">
        <f t="shared" si="435"/>
        <v>45935.66667</v>
      </c>
      <c r="BD435" s="19">
        <f t="shared" si="435"/>
        <v>45935.6875</v>
      </c>
      <c r="BE435" s="19">
        <f t="shared" si="435"/>
        <v>45935.70833</v>
      </c>
      <c r="BF435" s="19">
        <f t="shared" si="435"/>
        <v>45935.72917</v>
      </c>
      <c r="BG435" s="19">
        <f t="shared" si="435"/>
        <v>45935.75</v>
      </c>
      <c r="BH435" s="19">
        <f t="shared" si="435"/>
        <v>45935.77083</v>
      </c>
      <c r="BI435" s="19">
        <f t="shared" si="435"/>
        <v>45935.79167</v>
      </c>
      <c r="BJ435" s="19">
        <f t="shared" si="435"/>
        <v>45935.8125</v>
      </c>
      <c r="BK435" s="19">
        <f t="shared" si="435"/>
        <v>45935.83333</v>
      </c>
      <c r="BL435" s="19">
        <f t="shared" si="435"/>
        <v>45935.85417</v>
      </c>
      <c r="BM435" s="19">
        <f t="shared" si="435"/>
        <v>45935.875</v>
      </c>
      <c r="BN435" s="19">
        <f t="shared" si="435"/>
        <v>45935.89583</v>
      </c>
      <c r="BO435" s="19">
        <f t="shared" si="435"/>
        <v>45935.91667</v>
      </c>
      <c r="BP435" s="19">
        <f t="shared" si="435"/>
        <v>45935.9375</v>
      </c>
      <c r="BQ435" s="19">
        <f t="shared" si="435"/>
        <v>45935.95833</v>
      </c>
      <c r="BR435" s="19">
        <f t="shared" si="435"/>
        <v>45935.97917</v>
      </c>
      <c r="BS435" s="19">
        <f t="shared" si="435"/>
        <v>45936</v>
      </c>
      <c r="BT435" s="19">
        <f t="shared" si="435"/>
        <v>45936.02083</v>
      </c>
      <c r="BU435" s="19">
        <f t="shared" si="435"/>
        <v>45936.04167</v>
      </c>
      <c r="BV435" s="19">
        <f t="shared" si="435"/>
        <v>45936.0625</v>
      </c>
      <c r="BW435" s="19">
        <f t="shared" si="435"/>
        <v>45936.08333</v>
      </c>
      <c r="BX435" s="19">
        <f t="shared" si="435"/>
        <v>45935</v>
      </c>
      <c r="BY435" s="19">
        <f t="shared" si="435"/>
        <v>45935</v>
      </c>
      <c r="BZ435" s="19">
        <f t="shared" si="435"/>
        <v>45935</v>
      </c>
    </row>
    <row r="436" ht="14.25" customHeight="1">
      <c r="A436" s="17">
        <v>45936.0</v>
      </c>
      <c r="B436" s="2" t="str">
        <f t="array" ref="B436">IF(NOW()&gt;AM436,"",IF(AND((WEEKDAY($A436)+$B$2)&gt;1,((WEEKDAY($A436)+$T$2)&lt;7),(WEEKDAY($A436)&lt;&gt;1)),"work",(INDEX(Subject!$A:$I,MATCH(RANDBETWEEN(1,(MAX(Subject!$B:$B))),Subject!$B:$B,0),3))))</f>
        <v/>
      </c>
      <c r="C436" s="2" t="str">
        <f t="array" ref="C436">IF(NOW()&gt;AN436,"",IF(AND((WEEKDAY($A436)+$B$2)&gt;1,((WEEKDAY($A436)+$T$2)&lt;7),(WEEKDAY($A436)&lt;&gt;1)),"work",(INDEX(Subject!$A:$I,MATCH(RANDBETWEEN(1,(MAX(Subject!$B:$B))),Subject!$B:$B,0),3))))</f>
        <v/>
      </c>
      <c r="D436" s="2" t="str">
        <f t="array" ref="D436">IF(NOW()&gt;AO436,"",IF(AND((WEEKDAY($A436)+$B$2)&gt;1,((WEEKDAY($A436)+$T$2)&lt;7),(WEEKDAY($A436)&lt;&gt;1)),"work",(INDEX(Subject!$A:$I,MATCH(RANDBETWEEN(1,(MAX(Subject!$B:$B))),Subject!$B:$B,0),3))))</f>
        <v/>
      </c>
      <c r="E436" s="2" t="str">
        <f t="array" ref="E436">IF(NOW()&gt;AP436,"",IF(AND((WEEKDAY($A436)+$B$2)&gt;1,((WEEKDAY($A436)+$T$2)&lt;7),(WEEKDAY($A436)&lt;&gt;1)),"work",(INDEX(Subject!$A:$I,MATCH(RANDBETWEEN(1,(MAX(Subject!$B:$B))),Subject!$B:$B,0),3))))</f>
        <v/>
      </c>
      <c r="F436" s="2" t="str">
        <f t="array" ref="F436">IF(NOW()&gt;AQ436,"",IF(AND((WEEKDAY($A436)+$B$2)&gt;1,((WEEKDAY($A436)+$T$2)&lt;7),(WEEKDAY($A436)&lt;&gt;1)),"work",(INDEX(Subject!$A:$I,MATCH(RANDBETWEEN(1,(MAX(Subject!$B:$B))),Subject!$B:$B,0),3))))</f>
        <v/>
      </c>
      <c r="G436" s="2" t="str">
        <f t="array" ref="G436">IF(NOW()&gt;AR436,"",IF(AND((WEEKDAY($A436)+$B$2)&gt;1,((WEEKDAY($A436)+$T$2)&lt;7),(WEEKDAY($A436)&lt;&gt;1)),"work",(INDEX(Subject!$A:$I,MATCH(RANDBETWEEN(1,(MAX(Subject!$B:$B))),Subject!$B:$B,0),3))))</f>
        <v/>
      </c>
      <c r="H436" s="2" t="str">
        <f t="array" ref="H436">IF(NOW()&gt;AS436,"",IF(AND((WEEKDAY($A436)+$B$2)&gt;1,((WEEKDAY($A436)+$T$2)&lt;7),(WEEKDAY($A436)&lt;&gt;1)),"work",(INDEX(Subject!$A:$I,MATCH(RANDBETWEEN(1,(MAX(Subject!$B:$B))),Subject!$B:$B,0),3))))</f>
        <v/>
      </c>
      <c r="I436" s="2" t="str">
        <f t="array" ref="I436">IF(NOW()&gt;AT436,"",IF(AND((WEEKDAY($A436)+$B$2)&gt;1,((WEEKDAY($A436)+$T$2)&lt;7),(WEEKDAY($A436)&lt;&gt;1)),"work",(INDEX(Subject!$A:$I,MATCH(RANDBETWEEN(1,(MAX(Subject!$B:$B))),Subject!$B:$B,0),3))))</f>
        <v/>
      </c>
      <c r="J436" s="2" t="str">
        <f t="array" ref="J436">IF(NOW()&gt;AU436,"",IF(AND((WEEKDAY($A436)+$B$2)&gt;1,((WEEKDAY($A436)+$T$2)&lt;7),(WEEKDAY($A436)&lt;&gt;1)),"work",(INDEX(Subject!$A:$I,MATCH(RANDBETWEEN(1,(MAX(Subject!$B:$B))),Subject!$B:$B,0),3))))</f>
        <v/>
      </c>
      <c r="K436" s="2" t="str">
        <f t="array" ref="K436">IF(NOW()&gt;AV436,"",IF(AND((WEEKDAY($A436)+$B$2)&gt;1,((WEEKDAY($A436)+$T$2)&lt;7),(WEEKDAY($A436)&lt;&gt;1)),"work",(INDEX(Subject!$A:$I,MATCH(RANDBETWEEN(1,(MAX(Subject!$B:$B))),Subject!$B:$B,0),3))))</f>
        <v/>
      </c>
      <c r="L436" s="2" t="str">
        <f t="array" ref="L436">IF(NOW()&gt;AW436,"",IF(AND((WEEKDAY($A436)+$B$2)&gt;1,((WEEKDAY($A436)+$T$2)&lt;7),(WEEKDAY($A436)&lt;&gt;1)),"work",(INDEX(Subject!$A:$I,MATCH(RANDBETWEEN(1,(MAX(Subject!$B:$B))),Subject!$B:$B,0),3))))</f>
        <v/>
      </c>
      <c r="M436" s="2" t="str">
        <f t="array" ref="M436">IF(NOW()&gt;AX436,"",IF(AND((WEEKDAY($A436)+$B$2)&gt;1,((WEEKDAY($A436)+$T$2)&lt;7),(WEEKDAY($A436)&lt;&gt;1)),"work",(INDEX(Subject!$A:$I,MATCH(RANDBETWEEN(1,(MAX(Subject!$B:$B))),Subject!$B:$B,0),3))))</f>
        <v/>
      </c>
      <c r="N436" s="2" t="str">
        <f t="array" ref="N436">IF(NOW()&gt;AY436,"",IF(AND((WEEKDAY($A436)+$B$2)&gt;1,((WEEKDAY($A436)+$T$2)&lt;7),(WEEKDAY($A436)&lt;&gt;1)),"work",(INDEX(Subject!$A:$I,MATCH(RANDBETWEEN(1,(MAX(Subject!$B:$B))),Subject!$B:$B,0),3))))</f>
        <v/>
      </c>
      <c r="O436" s="2" t="str">
        <f t="array" ref="O436">IF(NOW()&gt;AZ436,"",IF(AND((WEEKDAY($A436)+$B$2)&gt;1,((WEEKDAY($A436)+$T$2)&lt;7),(WEEKDAY($A436)&lt;&gt;1)),"work",(INDEX(Subject!$A:$I,MATCH(RANDBETWEEN(1,(MAX(Subject!$B:$B))),Subject!$B:$B,0),3))))</f>
        <v/>
      </c>
      <c r="P436" s="2" t="str">
        <f t="array" ref="P436">IF(NOW()&gt;BA436,"",IF(AND((WEEKDAY($A436)+$B$2)&gt;1,((WEEKDAY($A436)+$T$2)&lt;7),(WEEKDAY($A436)&lt;&gt;1)),"work",(INDEX(Subject!$A:$I,MATCH(RANDBETWEEN(1,(MAX(Subject!$B:$B))),Subject!$B:$B,0),3))))</f>
        <v/>
      </c>
      <c r="Q436" s="2" t="str">
        <f t="array" ref="Q436">IF(NOW()&gt;BB436,"",IF(AND((WEEKDAY($A436)+$B$2)&gt;1,((WEEKDAY($A436)+$T$2)&lt;7),(WEEKDAY($A436)&lt;&gt;1)),"work",(INDEX(Subject!$A:$I,MATCH(RANDBETWEEN(1,(MAX(Subject!$B:$B))),Subject!$B:$B,0),3))))</f>
        <v/>
      </c>
      <c r="R436" s="2" t="str">
        <f t="array" ref="R436">IF(NOW()&gt;BC436,"",IF(AND((WEEKDAY($A436)+$B$2)&gt;1,((WEEKDAY($A436)+$T$2)&lt;7),(WEEKDAY($A436)&lt;&gt;1)),"work",(INDEX(Subject!$A:$I,MATCH(RANDBETWEEN(1,(MAX(Subject!$B:$B))),Subject!$B:$B,0),3))))</f>
        <v/>
      </c>
      <c r="S436" s="2" t="str">
        <f t="array" ref="S436">IF(NOW()&gt;BD436,"",IF(AND((WEEKDAY($A436)+$B$2)&gt;1,((WEEKDAY($A436)+$T$2)&lt;7),(WEEKDAY($A436)&lt;&gt;1)),"work",(INDEX(Subject!$A:$I,MATCH(RANDBETWEEN(1,(MAX(Subject!$B:$B))),Subject!$B:$B,0),3))))</f>
        <v/>
      </c>
      <c r="T436" s="2" t="str">
        <f t="array" ref="T436">IF(NOW()&gt;BE436,"",IF(AND((WEEKDAY($A436)+$B$2)&gt;1,((WEEKDAY($A436)+$T$2)&lt;7),(WEEKDAY($A436)&lt;&gt;1)),"work",(INDEX(Subject!$A:$I,MATCH(RANDBETWEEN(1,(MAX(Subject!$B:$B))),Subject!$B:$B,0),3))))</f>
        <v/>
      </c>
      <c r="U436" s="8" t="str">
        <f t="array" ref="U436">INDEX(Subject!$A:$I,MATCH(RANDBETWEEN(1,16),Subject!$B:$B,0),3)</f>
        <v>#N/A</v>
      </c>
      <c r="V436" s="8" t="str">
        <f t="array" ref="V436">INDEX(Subject!$A:$I,MATCH(RANDBETWEEN(1,16),Subject!$B:$B,0),3)</f>
        <v>#N/A</v>
      </c>
      <c r="W436" s="8" t="str">
        <f t="array" ref="W436">INDEX(Subject!$A:$I,MATCH(RANDBETWEEN(1,16),Subject!$B:$B,0),3)</f>
        <v>#N/A</v>
      </c>
      <c r="X436" s="8" t="str">
        <f t="array" ref="X436">INDEX(Subject!$A:$I,MATCH(RANDBETWEEN(1,16),Subject!$B:$B,0),3)</f>
        <v>#N/A</v>
      </c>
      <c r="Y436" s="8" t="str">
        <f t="array" ref="Y436">INDEX(Subject!$A:$I,MATCH(RANDBETWEEN(1,16),Subject!$B:$B,0),3)</f>
        <v>#N/A</v>
      </c>
      <c r="Z436" s="8" t="str">
        <f t="array" ref="Z436">INDEX(Subject!$A:$I,MATCH(RANDBETWEEN(1,16),Subject!$B:$B,0),3)</f>
        <v>#N/A</v>
      </c>
      <c r="AA436" s="8" t="str">
        <f t="array" ref="AA436">INDEX(Subject!$A:$I,MATCH(RANDBETWEEN(1,16),Subject!$B:$B,0),3)</f>
        <v>#N/A</v>
      </c>
      <c r="AB436" s="8" t="str">
        <f t="array" ref="AB436">INDEX(Subject!$A:$I,MATCH(RANDBETWEEN(1,16),Subject!$B:$B,0),3)</f>
        <v>#N/A</v>
      </c>
      <c r="AC436" s="8" t="str">
        <f t="array" ref="AC436">INDEX(Subject!$A:$I,MATCH(RANDBETWEEN(1,16),Subject!$B:$B,0),3)</f>
        <v>#N/A</v>
      </c>
      <c r="AD436" s="8" t="str">
        <f t="array" ref="AD436">INDEX(Subject!$A:$I,MATCH(RANDBETWEEN(1,16),Subject!$B:$B,0),3)</f>
        <v>#N/A</v>
      </c>
      <c r="AE436" s="8" t="str">
        <f t="array" ref="AE436">INDEX(Subject!$A:$I,MATCH(RANDBETWEEN(1,16),Subject!$B:$B,0),3)</f>
        <v>#N/A</v>
      </c>
      <c r="AF436" s="8" t="str">
        <f t="array" ref="AF436">INDEX(Subject!$A:$I,MATCH(RANDBETWEEN(1,16),Subject!$B:$B,0),3)</f>
        <v>#N/A</v>
      </c>
      <c r="AG436" s="8" t="str">
        <f t="array" ref="AG436">INDEX(Subject!$A:$I,MATCH(RANDBETWEEN(1,16),Subject!$B:$B,0),3)</f>
        <v>#N/A</v>
      </c>
      <c r="AH436" s="8" t="str">
        <f t="array" ref="AH436">INDEX(Subject!$A:$I,MATCH(RANDBETWEEN(1,16),Subject!$B:$B,0),3)</f>
        <v>#N/A</v>
      </c>
      <c r="AI436" s="8" t="str">
        <f t="array" ref="AI436">INDEX(Subject!$A:$I,MATCH(RANDBETWEEN(1,16),Subject!$B:$B,0),3)</f>
        <v>#N/A</v>
      </c>
      <c r="AJ436" s="8" t="str">
        <f t="array" ref="AJ436">INDEX(Subject!$A:$I,MATCH(RANDBETWEEN(1,16),Subject!$B:$B,0),3)</f>
        <v>#N/A</v>
      </c>
      <c r="AK436" s="8" t="str">
        <f t="array" ref="AK436">INDEX(Subject!$A:$I,MATCH(RANDBETWEEN(1,16),Subject!$B:$B,0),3)</f>
        <v>#N/A</v>
      </c>
      <c r="AL436" s="8" t="str">
        <f t="array" ref="AL436">INDEX(Subject!$A:$I,MATCH(RANDBETWEEN(1,16),Subject!$B:$B,0),3)</f>
        <v>#N/A</v>
      </c>
      <c r="AM436" s="18">
        <f t="shared" si="4"/>
        <v>45936.33333</v>
      </c>
      <c r="AN436" s="19">
        <f t="shared" ref="AN436:BZ436" si="436">$A436+C$1</f>
        <v>45936.35417</v>
      </c>
      <c r="AO436" s="19">
        <f t="shared" si="436"/>
        <v>45936.375</v>
      </c>
      <c r="AP436" s="19">
        <f t="shared" si="436"/>
        <v>45936.39583</v>
      </c>
      <c r="AQ436" s="19">
        <f t="shared" si="436"/>
        <v>45936.41667</v>
      </c>
      <c r="AR436" s="19">
        <f t="shared" si="436"/>
        <v>45936.4375</v>
      </c>
      <c r="AS436" s="19">
        <f t="shared" si="436"/>
        <v>45936.45833</v>
      </c>
      <c r="AT436" s="19">
        <f t="shared" si="436"/>
        <v>45936.47917</v>
      </c>
      <c r="AU436" s="19">
        <f t="shared" si="436"/>
        <v>45936.5</v>
      </c>
      <c r="AV436" s="19">
        <f t="shared" si="436"/>
        <v>45936.52083</v>
      </c>
      <c r="AW436" s="19">
        <f t="shared" si="436"/>
        <v>45936.54167</v>
      </c>
      <c r="AX436" s="19">
        <f t="shared" si="436"/>
        <v>45936.5625</v>
      </c>
      <c r="AY436" s="19">
        <f t="shared" si="436"/>
        <v>45936.58333</v>
      </c>
      <c r="AZ436" s="19">
        <f t="shared" si="436"/>
        <v>45936.60417</v>
      </c>
      <c r="BA436" s="19">
        <f t="shared" si="436"/>
        <v>45936.625</v>
      </c>
      <c r="BB436" s="19">
        <f t="shared" si="436"/>
        <v>45936.64583</v>
      </c>
      <c r="BC436" s="19">
        <f t="shared" si="436"/>
        <v>45936.66667</v>
      </c>
      <c r="BD436" s="19">
        <f t="shared" si="436"/>
        <v>45936.6875</v>
      </c>
      <c r="BE436" s="19">
        <f t="shared" si="436"/>
        <v>45936.70833</v>
      </c>
      <c r="BF436" s="19">
        <f t="shared" si="436"/>
        <v>45936.72917</v>
      </c>
      <c r="BG436" s="19">
        <f t="shared" si="436"/>
        <v>45936.75</v>
      </c>
      <c r="BH436" s="19">
        <f t="shared" si="436"/>
        <v>45936.77083</v>
      </c>
      <c r="BI436" s="19">
        <f t="shared" si="436"/>
        <v>45936.79167</v>
      </c>
      <c r="BJ436" s="19">
        <f t="shared" si="436"/>
        <v>45936.8125</v>
      </c>
      <c r="BK436" s="19">
        <f t="shared" si="436"/>
        <v>45936.83333</v>
      </c>
      <c r="BL436" s="19">
        <f t="shared" si="436"/>
        <v>45936.85417</v>
      </c>
      <c r="BM436" s="19">
        <f t="shared" si="436"/>
        <v>45936.875</v>
      </c>
      <c r="BN436" s="19">
        <f t="shared" si="436"/>
        <v>45936.89583</v>
      </c>
      <c r="BO436" s="19">
        <f t="shared" si="436"/>
        <v>45936.91667</v>
      </c>
      <c r="BP436" s="19">
        <f t="shared" si="436"/>
        <v>45936.9375</v>
      </c>
      <c r="BQ436" s="19">
        <f t="shared" si="436"/>
        <v>45936.95833</v>
      </c>
      <c r="BR436" s="19">
        <f t="shared" si="436"/>
        <v>45936.97917</v>
      </c>
      <c r="BS436" s="19">
        <f t="shared" si="436"/>
        <v>45937</v>
      </c>
      <c r="BT436" s="19">
        <f t="shared" si="436"/>
        <v>45937.02083</v>
      </c>
      <c r="BU436" s="19">
        <f t="shared" si="436"/>
        <v>45937.04167</v>
      </c>
      <c r="BV436" s="19">
        <f t="shared" si="436"/>
        <v>45937.0625</v>
      </c>
      <c r="BW436" s="19">
        <f t="shared" si="436"/>
        <v>45937.08333</v>
      </c>
      <c r="BX436" s="19">
        <f t="shared" si="436"/>
        <v>45936</v>
      </c>
      <c r="BY436" s="19">
        <f t="shared" si="436"/>
        <v>45936</v>
      </c>
      <c r="BZ436" s="19">
        <f t="shared" si="436"/>
        <v>45936</v>
      </c>
    </row>
    <row r="437" ht="14.25" customHeight="1">
      <c r="A437" s="17">
        <v>45937.0</v>
      </c>
      <c r="B437" s="2" t="str">
        <f t="array" ref="B437">IF(NOW()&gt;AM437,"",IF(AND((WEEKDAY($A437)+$B$2)&gt;1,((WEEKDAY($A437)+$T$2)&lt;7),(WEEKDAY($A437)&lt;&gt;1)),"work",(INDEX(Subject!$A:$I,MATCH(RANDBETWEEN(1,(MAX(Subject!$B:$B))),Subject!$B:$B,0),3))))</f>
        <v/>
      </c>
      <c r="C437" s="2" t="str">
        <f t="array" ref="C437">IF(NOW()&gt;AN437,"",IF(AND((WEEKDAY($A437)+$B$2)&gt;1,((WEEKDAY($A437)+$T$2)&lt;7),(WEEKDAY($A437)&lt;&gt;1)),"work",(INDEX(Subject!$A:$I,MATCH(RANDBETWEEN(1,(MAX(Subject!$B:$B))),Subject!$B:$B,0),3))))</f>
        <v/>
      </c>
      <c r="D437" s="2" t="str">
        <f t="array" ref="D437">IF(NOW()&gt;AO437,"",IF(AND((WEEKDAY($A437)+$B$2)&gt;1,((WEEKDAY($A437)+$T$2)&lt;7),(WEEKDAY($A437)&lt;&gt;1)),"work",(INDEX(Subject!$A:$I,MATCH(RANDBETWEEN(1,(MAX(Subject!$B:$B))),Subject!$B:$B,0),3))))</f>
        <v/>
      </c>
      <c r="E437" s="2" t="str">
        <f t="array" ref="E437">IF(NOW()&gt;AP437,"",IF(AND((WEEKDAY($A437)+$B$2)&gt;1,((WEEKDAY($A437)+$T$2)&lt;7),(WEEKDAY($A437)&lt;&gt;1)),"work",(INDEX(Subject!$A:$I,MATCH(RANDBETWEEN(1,(MAX(Subject!$B:$B))),Subject!$B:$B,0),3))))</f>
        <v/>
      </c>
      <c r="F437" s="2" t="str">
        <f t="array" ref="F437">IF(NOW()&gt;AQ437,"",IF(AND((WEEKDAY($A437)+$B$2)&gt;1,((WEEKDAY($A437)+$T$2)&lt;7),(WEEKDAY($A437)&lt;&gt;1)),"work",(INDEX(Subject!$A:$I,MATCH(RANDBETWEEN(1,(MAX(Subject!$B:$B))),Subject!$B:$B,0),3))))</f>
        <v/>
      </c>
      <c r="G437" s="2" t="str">
        <f t="array" ref="G437">IF(NOW()&gt;AR437,"",IF(AND((WEEKDAY($A437)+$B$2)&gt;1,((WEEKDAY($A437)+$T$2)&lt;7),(WEEKDAY($A437)&lt;&gt;1)),"work",(INDEX(Subject!$A:$I,MATCH(RANDBETWEEN(1,(MAX(Subject!$B:$B))),Subject!$B:$B,0),3))))</f>
        <v/>
      </c>
      <c r="H437" s="2" t="str">
        <f t="array" ref="H437">IF(NOW()&gt;AS437,"",IF(AND((WEEKDAY($A437)+$B$2)&gt;1,((WEEKDAY($A437)+$T$2)&lt;7),(WEEKDAY($A437)&lt;&gt;1)),"work",(INDEX(Subject!$A:$I,MATCH(RANDBETWEEN(1,(MAX(Subject!$B:$B))),Subject!$B:$B,0),3))))</f>
        <v/>
      </c>
      <c r="I437" s="2" t="str">
        <f t="array" ref="I437">IF(NOW()&gt;AT437,"",IF(AND((WEEKDAY($A437)+$B$2)&gt;1,((WEEKDAY($A437)+$T$2)&lt;7),(WEEKDAY($A437)&lt;&gt;1)),"work",(INDEX(Subject!$A:$I,MATCH(RANDBETWEEN(1,(MAX(Subject!$B:$B))),Subject!$B:$B,0),3))))</f>
        <v/>
      </c>
      <c r="J437" s="2" t="str">
        <f t="array" ref="J437">IF(NOW()&gt;AU437,"",IF(AND((WEEKDAY($A437)+$B$2)&gt;1,((WEEKDAY($A437)+$T$2)&lt;7),(WEEKDAY($A437)&lt;&gt;1)),"work",(INDEX(Subject!$A:$I,MATCH(RANDBETWEEN(1,(MAX(Subject!$B:$B))),Subject!$B:$B,0),3))))</f>
        <v/>
      </c>
      <c r="K437" s="2" t="str">
        <f t="array" ref="K437">IF(NOW()&gt;AV437,"",IF(AND((WEEKDAY($A437)+$B$2)&gt;1,((WEEKDAY($A437)+$T$2)&lt;7),(WEEKDAY($A437)&lt;&gt;1)),"work",(INDEX(Subject!$A:$I,MATCH(RANDBETWEEN(1,(MAX(Subject!$B:$B))),Subject!$B:$B,0),3))))</f>
        <v/>
      </c>
      <c r="L437" s="2" t="str">
        <f t="array" ref="L437">IF(NOW()&gt;AW437,"",IF(AND((WEEKDAY($A437)+$B$2)&gt;1,((WEEKDAY($A437)+$T$2)&lt;7),(WEEKDAY($A437)&lt;&gt;1)),"work",(INDEX(Subject!$A:$I,MATCH(RANDBETWEEN(1,(MAX(Subject!$B:$B))),Subject!$B:$B,0),3))))</f>
        <v/>
      </c>
      <c r="M437" s="2" t="str">
        <f t="array" ref="M437">IF(NOW()&gt;AX437,"",IF(AND((WEEKDAY($A437)+$B$2)&gt;1,((WEEKDAY($A437)+$T$2)&lt;7),(WEEKDAY($A437)&lt;&gt;1)),"work",(INDEX(Subject!$A:$I,MATCH(RANDBETWEEN(1,(MAX(Subject!$B:$B))),Subject!$B:$B,0),3))))</f>
        <v/>
      </c>
      <c r="N437" s="2" t="str">
        <f t="array" ref="N437">IF(NOW()&gt;AY437,"",IF(AND((WEEKDAY($A437)+$B$2)&gt;1,((WEEKDAY($A437)+$T$2)&lt;7),(WEEKDAY($A437)&lt;&gt;1)),"work",(INDEX(Subject!$A:$I,MATCH(RANDBETWEEN(1,(MAX(Subject!$B:$B))),Subject!$B:$B,0),3))))</f>
        <v/>
      </c>
      <c r="O437" s="2" t="str">
        <f t="array" ref="O437">IF(NOW()&gt;AZ437,"",IF(AND((WEEKDAY($A437)+$B$2)&gt;1,((WEEKDAY($A437)+$T$2)&lt;7),(WEEKDAY($A437)&lt;&gt;1)),"work",(INDEX(Subject!$A:$I,MATCH(RANDBETWEEN(1,(MAX(Subject!$B:$B))),Subject!$B:$B,0),3))))</f>
        <v/>
      </c>
      <c r="P437" s="2" t="str">
        <f t="array" ref="P437">IF(NOW()&gt;BA437,"",IF(AND((WEEKDAY($A437)+$B$2)&gt;1,((WEEKDAY($A437)+$T$2)&lt;7),(WEEKDAY($A437)&lt;&gt;1)),"work",(INDEX(Subject!$A:$I,MATCH(RANDBETWEEN(1,(MAX(Subject!$B:$B))),Subject!$B:$B,0),3))))</f>
        <v/>
      </c>
      <c r="Q437" s="2" t="str">
        <f t="array" ref="Q437">IF(NOW()&gt;BB437,"",IF(AND((WEEKDAY($A437)+$B$2)&gt;1,((WEEKDAY($A437)+$T$2)&lt;7),(WEEKDAY($A437)&lt;&gt;1)),"work",(INDEX(Subject!$A:$I,MATCH(RANDBETWEEN(1,(MAX(Subject!$B:$B))),Subject!$B:$B,0),3))))</f>
        <v/>
      </c>
      <c r="R437" s="2" t="str">
        <f t="array" ref="R437">IF(NOW()&gt;BC437,"",IF(AND((WEEKDAY($A437)+$B$2)&gt;1,((WEEKDAY($A437)+$T$2)&lt;7),(WEEKDAY($A437)&lt;&gt;1)),"work",(INDEX(Subject!$A:$I,MATCH(RANDBETWEEN(1,(MAX(Subject!$B:$B))),Subject!$B:$B,0),3))))</f>
        <v/>
      </c>
      <c r="S437" s="2" t="str">
        <f t="array" ref="S437">IF(NOW()&gt;BD437,"",IF(AND((WEEKDAY($A437)+$B$2)&gt;1,((WEEKDAY($A437)+$T$2)&lt;7),(WEEKDAY($A437)&lt;&gt;1)),"work",(INDEX(Subject!$A:$I,MATCH(RANDBETWEEN(1,(MAX(Subject!$B:$B))),Subject!$B:$B,0),3))))</f>
        <v/>
      </c>
      <c r="T437" s="2" t="str">
        <f t="array" ref="T437">IF(NOW()&gt;BE437,"",IF(AND((WEEKDAY($A437)+$B$2)&gt;1,((WEEKDAY($A437)+$T$2)&lt;7),(WEEKDAY($A437)&lt;&gt;1)),"work",(INDEX(Subject!$A:$I,MATCH(RANDBETWEEN(1,(MAX(Subject!$B:$B))),Subject!$B:$B,0),3))))</f>
        <v/>
      </c>
      <c r="U437" s="8" t="str">
        <f t="array" ref="U437">INDEX(Subject!$A:$I,MATCH(RANDBETWEEN(1,16),Subject!$B:$B,0),3)</f>
        <v>#N/A</v>
      </c>
      <c r="V437" s="8" t="str">
        <f t="array" ref="V437">INDEX(Subject!$A:$I,MATCH(RANDBETWEEN(1,16),Subject!$B:$B,0),3)</f>
        <v>#N/A</v>
      </c>
      <c r="W437" s="8" t="str">
        <f t="array" ref="W437">INDEX(Subject!$A:$I,MATCH(RANDBETWEEN(1,16),Subject!$B:$B,0),3)</f>
        <v>#N/A</v>
      </c>
      <c r="X437" s="8" t="str">
        <f t="array" ref="X437">INDEX(Subject!$A:$I,MATCH(RANDBETWEEN(1,16),Subject!$B:$B,0),3)</f>
        <v>#N/A</v>
      </c>
      <c r="Y437" s="8" t="str">
        <f t="array" ref="Y437">INDEX(Subject!$A:$I,MATCH(RANDBETWEEN(1,16),Subject!$B:$B,0),3)</f>
        <v>#N/A</v>
      </c>
      <c r="Z437" s="8" t="str">
        <f t="array" ref="Z437">INDEX(Subject!$A:$I,MATCH(RANDBETWEEN(1,16),Subject!$B:$B,0),3)</f>
        <v>#N/A</v>
      </c>
      <c r="AA437" s="8" t="str">
        <f t="array" ref="AA437">INDEX(Subject!$A:$I,MATCH(RANDBETWEEN(1,16),Subject!$B:$B,0),3)</f>
        <v>#N/A</v>
      </c>
      <c r="AB437" s="8" t="str">
        <f t="array" ref="AB437">INDEX(Subject!$A:$I,MATCH(RANDBETWEEN(1,16),Subject!$B:$B,0),3)</f>
        <v/>
      </c>
      <c r="AC437" s="8" t="str">
        <f t="array" ref="AC437">INDEX(Subject!$A:$I,MATCH(RANDBETWEEN(1,16),Subject!$B:$B,0),3)</f>
        <v>#N/A</v>
      </c>
      <c r="AD437" s="8" t="str">
        <f t="array" ref="AD437">INDEX(Subject!$A:$I,MATCH(RANDBETWEEN(1,16),Subject!$B:$B,0),3)</f>
        <v>#N/A</v>
      </c>
      <c r="AE437" s="8" t="str">
        <f t="array" ref="AE437">INDEX(Subject!$A:$I,MATCH(RANDBETWEEN(1,16),Subject!$B:$B,0),3)</f>
        <v>#N/A</v>
      </c>
      <c r="AF437" s="8" t="str">
        <f t="array" ref="AF437">INDEX(Subject!$A:$I,MATCH(RANDBETWEEN(1,16),Subject!$B:$B,0),3)</f>
        <v>#N/A</v>
      </c>
      <c r="AG437" s="8" t="str">
        <f t="array" ref="AG437">INDEX(Subject!$A:$I,MATCH(RANDBETWEEN(1,16),Subject!$B:$B,0),3)</f>
        <v>#N/A</v>
      </c>
      <c r="AH437" s="8" t="str">
        <f t="array" ref="AH437">INDEX(Subject!$A:$I,MATCH(RANDBETWEEN(1,16),Subject!$B:$B,0),3)</f>
        <v>#N/A</v>
      </c>
      <c r="AI437" s="8" t="str">
        <f t="array" ref="AI437">INDEX(Subject!$A:$I,MATCH(RANDBETWEEN(1,16),Subject!$B:$B,0),3)</f>
        <v>#N/A</v>
      </c>
      <c r="AJ437" s="8" t="str">
        <f t="array" ref="AJ437">INDEX(Subject!$A:$I,MATCH(RANDBETWEEN(1,16),Subject!$B:$B,0),3)</f>
        <v/>
      </c>
      <c r="AK437" s="8" t="str">
        <f t="array" ref="AK437">INDEX(Subject!$A:$I,MATCH(RANDBETWEEN(1,16),Subject!$B:$B,0),3)</f>
        <v>#N/A</v>
      </c>
      <c r="AL437" s="8" t="str">
        <f t="array" ref="AL437">INDEX(Subject!$A:$I,MATCH(RANDBETWEEN(1,16),Subject!$B:$B,0),3)</f>
        <v>#N/A</v>
      </c>
      <c r="AM437" s="18">
        <f t="shared" si="4"/>
        <v>45937.33333</v>
      </c>
      <c r="AN437" s="19">
        <f t="shared" ref="AN437:BZ437" si="437">$A437+C$1</f>
        <v>45937.35417</v>
      </c>
      <c r="AO437" s="19">
        <f t="shared" si="437"/>
        <v>45937.375</v>
      </c>
      <c r="AP437" s="19">
        <f t="shared" si="437"/>
        <v>45937.39583</v>
      </c>
      <c r="AQ437" s="19">
        <f t="shared" si="437"/>
        <v>45937.41667</v>
      </c>
      <c r="AR437" s="19">
        <f t="shared" si="437"/>
        <v>45937.4375</v>
      </c>
      <c r="AS437" s="19">
        <f t="shared" si="437"/>
        <v>45937.45833</v>
      </c>
      <c r="AT437" s="19">
        <f t="shared" si="437"/>
        <v>45937.47917</v>
      </c>
      <c r="AU437" s="19">
        <f t="shared" si="437"/>
        <v>45937.5</v>
      </c>
      <c r="AV437" s="19">
        <f t="shared" si="437"/>
        <v>45937.52083</v>
      </c>
      <c r="AW437" s="19">
        <f t="shared" si="437"/>
        <v>45937.54167</v>
      </c>
      <c r="AX437" s="19">
        <f t="shared" si="437"/>
        <v>45937.5625</v>
      </c>
      <c r="AY437" s="19">
        <f t="shared" si="437"/>
        <v>45937.58333</v>
      </c>
      <c r="AZ437" s="19">
        <f t="shared" si="437"/>
        <v>45937.60417</v>
      </c>
      <c r="BA437" s="19">
        <f t="shared" si="437"/>
        <v>45937.625</v>
      </c>
      <c r="BB437" s="19">
        <f t="shared" si="437"/>
        <v>45937.64583</v>
      </c>
      <c r="BC437" s="19">
        <f t="shared" si="437"/>
        <v>45937.66667</v>
      </c>
      <c r="BD437" s="19">
        <f t="shared" si="437"/>
        <v>45937.6875</v>
      </c>
      <c r="BE437" s="19">
        <f t="shared" si="437"/>
        <v>45937.70833</v>
      </c>
      <c r="BF437" s="19">
        <f t="shared" si="437"/>
        <v>45937.72917</v>
      </c>
      <c r="BG437" s="19">
        <f t="shared" si="437"/>
        <v>45937.75</v>
      </c>
      <c r="BH437" s="19">
        <f t="shared" si="437"/>
        <v>45937.77083</v>
      </c>
      <c r="BI437" s="19">
        <f t="shared" si="437"/>
        <v>45937.79167</v>
      </c>
      <c r="BJ437" s="19">
        <f t="shared" si="437"/>
        <v>45937.8125</v>
      </c>
      <c r="BK437" s="19">
        <f t="shared" si="437"/>
        <v>45937.83333</v>
      </c>
      <c r="BL437" s="19">
        <f t="shared" si="437"/>
        <v>45937.85417</v>
      </c>
      <c r="BM437" s="19">
        <f t="shared" si="437"/>
        <v>45937.875</v>
      </c>
      <c r="BN437" s="19">
        <f t="shared" si="437"/>
        <v>45937.89583</v>
      </c>
      <c r="BO437" s="19">
        <f t="shared" si="437"/>
        <v>45937.91667</v>
      </c>
      <c r="BP437" s="19">
        <f t="shared" si="437"/>
        <v>45937.9375</v>
      </c>
      <c r="BQ437" s="19">
        <f t="shared" si="437"/>
        <v>45937.95833</v>
      </c>
      <c r="BR437" s="19">
        <f t="shared" si="437"/>
        <v>45937.97917</v>
      </c>
      <c r="BS437" s="19">
        <f t="shared" si="437"/>
        <v>45938</v>
      </c>
      <c r="BT437" s="19">
        <f t="shared" si="437"/>
        <v>45938.02083</v>
      </c>
      <c r="BU437" s="19">
        <f t="shared" si="437"/>
        <v>45938.04167</v>
      </c>
      <c r="BV437" s="19">
        <f t="shared" si="437"/>
        <v>45938.0625</v>
      </c>
      <c r="BW437" s="19">
        <f t="shared" si="437"/>
        <v>45938.08333</v>
      </c>
      <c r="BX437" s="19">
        <f t="shared" si="437"/>
        <v>45937</v>
      </c>
      <c r="BY437" s="19">
        <f t="shared" si="437"/>
        <v>45937</v>
      </c>
      <c r="BZ437" s="19">
        <f t="shared" si="437"/>
        <v>45937</v>
      </c>
    </row>
    <row r="438" ht="14.25" customHeight="1">
      <c r="A438" s="17">
        <v>45938.0</v>
      </c>
      <c r="B438" s="2" t="str">
        <f t="array" ref="B438">IF(NOW()&gt;AM438,"",IF(AND((WEEKDAY($A438)+$B$2)&gt;1,((WEEKDAY($A438)+$T$2)&lt;7),(WEEKDAY($A438)&lt;&gt;1)),"work",(INDEX(Subject!$A:$I,MATCH(RANDBETWEEN(1,(MAX(Subject!$B:$B))),Subject!$B:$B,0),3))))</f>
        <v/>
      </c>
      <c r="C438" s="2" t="str">
        <f t="array" ref="C438">IF(NOW()&gt;AN438,"",IF(AND((WEEKDAY($A438)+$B$2)&gt;1,((WEEKDAY($A438)+$T$2)&lt;7),(WEEKDAY($A438)&lt;&gt;1)),"work",(INDEX(Subject!$A:$I,MATCH(RANDBETWEEN(1,(MAX(Subject!$B:$B))),Subject!$B:$B,0),3))))</f>
        <v/>
      </c>
      <c r="D438" s="2" t="str">
        <f t="array" ref="D438">IF(NOW()&gt;AO438,"",IF(AND((WEEKDAY($A438)+$B$2)&gt;1,((WEEKDAY($A438)+$T$2)&lt;7),(WEEKDAY($A438)&lt;&gt;1)),"work",(INDEX(Subject!$A:$I,MATCH(RANDBETWEEN(1,(MAX(Subject!$B:$B))),Subject!$B:$B,0),3))))</f>
        <v/>
      </c>
      <c r="E438" s="2" t="str">
        <f t="array" ref="E438">IF(NOW()&gt;AP438,"",IF(AND((WEEKDAY($A438)+$B$2)&gt;1,((WEEKDAY($A438)+$T$2)&lt;7),(WEEKDAY($A438)&lt;&gt;1)),"work",(INDEX(Subject!$A:$I,MATCH(RANDBETWEEN(1,(MAX(Subject!$B:$B))),Subject!$B:$B,0),3))))</f>
        <v/>
      </c>
      <c r="F438" s="2" t="str">
        <f t="array" ref="F438">IF(NOW()&gt;AQ438,"",IF(AND((WEEKDAY($A438)+$B$2)&gt;1,((WEEKDAY($A438)+$T$2)&lt;7),(WEEKDAY($A438)&lt;&gt;1)),"work",(INDEX(Subject!$A:$I,MATCH(RANDBETWEEN(1,(MAX(Subject!$B:$B))),Subject!$B:$B,0),3))))</f>
        <v/>
      </c>
      <c r="G438" s="2" t="str">
        <f t="array" ref="G438">IF(NOW()&gt;AR438,"",IF(AND((WEEKDAY($A438)+$B$2)&gt;1,((WEEKDAY($A438)+$T$2)&lt;7),(WEEKDAY($A438)&lt;&gt;1)),"work",(INDEX(Subject!$A:$I,MATCH(RANDBETWEEN(1,(MAX(Subject!$B:$B))),Subject!$B:$B,0),3))))</f>
        <v/>
      </c>
      <c r="H438" s="2" t="str">
        <f t="array" ref="H438">IF(NOW()&gt;AS438,"",IF(AND((WEEKDAY($A438)+$B$2)&gt;1,((WEEKDAY($A438)+$T$2)&lt;7),(WEEKDAY($A438)&lt;&gt;1)),"work",(INDEX(Subject!$A:$I,MATCH(RANDBETWEEN(1,(MAX(Subject!$B:$B))),Subject!$B:$B,0),3))))</f>
        <v/>
      </c>
      <c r="I438" s="2" t="str">
        <f t="array" ref="I438">IF(NOW()&gt;AT438,"",IF(AND((WEEKDAY($A438)+$B$2)&gt;1,((WEEKDAY($A438)+$T$2)&lt;7),(WEEKDAY($A438)&lt;&gt;1)),"work",(INDEX(Subject!$A:$I,MATCH(RANDBETWEEN(1,(MAX(Subject!$B:$B))),Subject!$B:$B,0),3))))</f>
        <v/>
      </c>
      <c r="J438" s="2" t="str">
        <f t="array" ref="J438">IF(NOW()&gt;AU438,"",IF(AND((WEEKDAY($A438)+$B$2)&gt;1,((WEEKDAY($A438)+$T$2)&lt;7),(WEEKDAY($A438)&lt;&gt;1)),"work",(INDEX(Subject!$A:$I,MATCH(RANDBETWEEN(1,(MAX(Subject!$B:$B))),Subject!$B:$B,0),3))))</f>
        <v/>
      </c>
      <c r="K438" s="2" t="str">
        <f t="array" ref="K438">IF(NOW()&gt;AV438,"",IF(AND((WEEKDAY($A438)+$B$2)&gt;1,((WEEKDAY($A438)+$T$2)&lt;7),(WEEKDAY($A438)&lt;&gt;1)),"work",(INDEX(Subject!$A:$I,MATCH(RANDBETWEEN(1,(MAX(Subject!$B:$B))),Subject!$B:$B,0),3))))</f>
        <v/>
      </c>
      <c r="L438" s="2" t="str">
        <f t="array" ref="L438">IF(NOW()&gt;AW438,"",IF(AND((WEEKDAY($A438)+$B$2)&gt;1,((WEEKDAY($A438)+$T$2)&lt;7),(WEEKDAY($A438)&lt;&gt;1)),"work",(INDEX(Subject!$A:$I,MATCH(RANDBETWEEN(1,(MAX(Subject!$B:$B))),Subject!$B:$B,0),3))))</f>
        <v/>
      </c>
      <c r="M438" s="2" t="str">
        <f t="array" ref="M438">IF(NOW()&gt;AX438,"",IF(AND((WEEKDAY($A438)+$B$2)&gt;1,((WEEKDAY($A438)+$T$2)&lt;7),(WEEKDAY($A438)&lt;&gt;1)),"work",(INDEX(Subject!$A:$I,MATCH(RANDBETWEEN(1,(MAX(Subject!$B:$B))),Subject!$B:$B,0),3))))</f>
        <v/>
      </c>
      <c r="N438" s="2" t="str">
        <f t="array" ref="N438">IF(NOW()&gt;AY438,"",IF(AND((WEEKDAY($A438)+$B$2)&gt;1,((WEEKDAY($A438)+$T$2)&lt;7),(WEEKDAY($A438)&lt;&gt;1)),"work",(INDEX(Subject!$A:$I,MATCH(RANDBETWEEN(1,(MAX(Subject!$B:$B))),Subject!$B:$B,0),3))))</f>
        <v/>
      </c>
      <c r="O438" s="2" t="str">
        <f t="array" ref="O438">IF(NOW()&gt;AZ438,"",IF(AND((WEEKDAY($A438)+$B$2)&gt;1,((WEEKDAY($A438)+$T$2)&lt;7),(WEEKDAY($A438)&lt;&gt;1)),"work",(INDEX(Subject!$A:$I,MATCH(RANDBETWEEN(1,(MAX(Subject!$B:$B))),Subject!$B:$B,0),3))))</f>
        <v/>
      </c>
      <c r="P438" s="2" t="str">
        <f t="array" ref="P438">IF(NOW()&gt;BA438,"",IF(AND((WEEKDAY($A438)+$B$2)&gt;1,((WEEKDAY($A438)+$T$2)&lt;7),(WEEKDAY($A438)&lt;&gt;1)),"work",(INDEX(Subject!$A:$I,MATCH(RANDBETWEEN(1,(MAX(Subject!$B:$B))),Subject!$B:$B,0),3))))</f>
        <v/>
      </c>
      <c r="Q438" s="2" t="str">
        <f t="array" ref="Q438">IF(NOW()&gt;BB438,"",IF(AND((WEEKDAY($A438)+$B$2)&gt;1,((WEEKDAY($A438)+$T$2)&lt;7),(WEEKDAY($A438)&lt;&gt;1)),"work",(INDEX(Subject!$A:$I,MATCH(RANDBETWEEN(1,(MAX(Subject!$B:$B))),Subject!$B:$B,0),3))))</f>
        <v/>
      </c>
      <c r="R438" s="2" t="str">
        <f t="array" ref="R438">IF(NOW()&gt;BC438,"",IF(AND((WEEKDAY($A438)+$B$2)&gt;1,((WEEKDAY($A438)+$T$2)&lt;7),(WEEKDAY($A438)&lt;&gt;1)),"work",(INDEX(Subject!$A:$I,MATCH(RANDBETWEEN(1,(MAX(Subject!$B:$B))),Subject!$B:$B,0),3))))</f>
        <v/>
      </c>
      <c r="S438" s="2" t="str">
        <f t="array" ref="S438">IF(NOW()&gt;BD438,"",IF(AND((WEEKDAY($A438)+$B$2)&gt;1,((WEEKDAY($A438)+$T$2)&lt;7),(WEEKDAY($A438)&lt;&gt;1)),"work",(INDEX(Subject!$A:$I,MATCH(RANDBETWEEN(1,(MAX(Subject!$B:$B))),Subject!$B:$B,0),3))))</f>
        <v/>
      </c>
      <c r="T438" s="2" t="str">
        <f t="array" ref="T438">IF(NOW()&gt;BE438,"",IF(AND((WEEKDAY($A438)+$B$2)&gt;1,((WEEKDAY($A438)+$T$2)&lt;7),(WEEKDAY($A438)&lt;&gt;1)),"work",(INDEX(Subject!$A:$I,MATCH(RANDBETWEEN(1,(MAX(Subject!$B:$B))),Subject!$B:$B,0),3))))</f>
        <v/>
      </c>
      <c r="U438" s="8" t="str">
        <f t="array" ref="U438">INDEX(Subject!$A:$I,MATCH(RANDBETWEEN(1,16),Subject!$B:$B,0),3)</f>
        <v>#N/A</v>
      </c>
      <c r="V438" s="8" t="str">
        <f t="array" ref="V438">INDEX(Subject!$A:$I,MATCH(RANDBETWEEN(1,16),Subject!$B:$B,0),3)</f>
        <v>#N/A</v>
      </c>
      <c r="W438" s="8" t="str">
        <f t="array" ref="W438">INDEX(Subject!$A:$I,MATCH(RANDBETWEEN(1,16),Subject!$B:$B,0),3)</f>
        <v>#N/A</v>
      </c>
      <c r="X438" s="8" t="str">
        <f t="array" ref="X438">INDEX(Subject!$A:$I,MATCH(RANDBETWEEN(1,16),Subject!$B:$B,0),3)</f>
        <v>#N/A</v>
      </c>
      <c r="Y438" s="8" t="str">
        <f t="array" ref="Y438">INDEX(Subject!$A:$I,MATCH(RANDBETWEEN(1,16),Subject!$B:$B,0),3)</f>
        <v>#N/A</v>
      </c>
      <c r="Z438" s="8" t="str">
        <f t="array" ref="Z438">INDEX(Subject!$A:$I,MATCH(RANDBETWEEN(1,16),Subject!$B:$B,0),3)</f>
        <v/>
      </c>
      <c r="AA438" s="8" t="str">
        <f t="array" ref="AA438">INDEX(Subject!$A:$I,MATCH(RANDBETWEEN(1,16),Subject!$B:$B,0),3)</f>
        <v>#N/A</v>
      </c>
      <c r="AB438" s="8" t="str">
        <f t="array" ref="AB438">INDEX(Subject!$A:$I,MATCH(RANDBETWEEN(1,16),Subject!$B:$B,0),3)</f>
        <v/>
      </c>
      <c r="AC438" s="8" t="str">
        <f t="array" ref="AC438">INDEX(Subject!$A:$I,MATCH(RANDBETWEEN(1,16),Subject!$B:$B,0),3)</f>
        <v>#N/A</v>
      </c>
      <c r="AD438" s="8" t="str">
        <f t="array" ref="AD438">INDEX(Subject!$A:$I,MATCH(RANDBETWEEN(1,16),Subject!$B:$B,0),3)</f>
        <v>#N/A</v>
      </c>
      <c r="AE438" s="8" t="str">
        <f t="array" ref="AE438">INDEX(Subject!$A:$I,MATCH(RANDBETWEEN(1,16),Subject!$B:$B,0),3)</f>
        <v>#N/A</v>
      </c>
      <c r="AF438" s="8" t="str">
        <f t="array" ref="AF438">INDEX(Subject!$A:$I,MATCH(RANDBETWEEN(1,16),Subject!$B:$B,0),3)</f>
        <v>#N/A</v>
      </c>
      <c r="AG438" s="8" t="str">
        <f t="array" ref="AG438">INDEX(Subject!$A:$I,MATCH(RANDBETWEEN(1,16),Subject!$B:$B,0),3)</f>
        <v/>
      </c>
      <c r="AH438" s="8" t="str">
        <f t="array" ref="AH438">INDEX(Subject!$A:$I,MATCH(RANDBETWEEN(1,16),Subject!$B:$B,0),3)</f>
        <v>#N/A</v>
      </c>
      <c r="AI438" s="8" t="str">
        <f t="array" ref="AI438">INDEX(Subject!$A:$I,MATCH(RANDBETWEEN(1,16),Subject!$B:$B,0),3)</f>
        <v/>
      </c>
      <c r="AJ438" s="8" t="str">
        <f t="array" ref="AJ438">INDEX(Subject!$A:$I,MATCH(RANDBETWEEN(1,16),Subject!$B:$B,0),3)</f>
        <v>#N/A</v>
      </c>
      <c r="AK438" s="8" t="str">
        <f t="array" ref="AK438">INDEX(Subject!$A:$I,MATCH(RANDBETWEEN(1,16),Subject!$B:$B,0),3)</f>
        <v>#N/A</v>
      </c>
      <c r="AL438" s="8" t="str">
        <f t="array" ref="AL438">INDEX(Subject!$A:$I,MATCH(RANDBETWEEN(1,16),Subject!$B:$B,0),3)</f>
        <v>#N/A</v>
      </c>
      <c r="AM438" s="18">
        <f t="shared" si="4"/>
        <v>45938.33333</v>
      </c>
      <c r="AN438" s="19">
        <f t="shared" ref="AN438:BZ438" si="438">$A438+C$1</f>
        <v>45938.35417</v>
      </c>
      <c r="AO438" s="19">
        <f t="shared" si="438"/>
        <v>45938.375</v>
      </c>
      <c r="AP438" s="19">
        <f t="shared" si="438"/>
        <v>45938.39583</v>
      </c>
      <c r="AQ438" s="19">
        <f t="shared" si="438"/>
        <v>45938.41667</v>
      </c>
      <c r="AR438" s="19">
        <f t="shared" si="438"/>
        <v>45938.4375</v>
      </c>
      <c r="AS438" s="19">
        <f t="shared" si="438"/>
        <v>45938.45833</v>
      </c>
      <c r="AT438" s="19">
        <f t="shared" si="438"/>
        <v>45938.47917</v>
      </c>
      <c r="AU438" s="19">
        <f t="shared" si="438"/>
        <v>45938.5</v>
      </c>
      <c r="AV438" s="19">
        <f t="shared" si="438"/>
        <v>45938.52083</v>
      </c>
      <c r="AW438" s="19">
        <f t="shared" si="438"/>
        <v>45938.54167</v>
      </c>
      <c r="AX438" s="19">
        <f t="shared" si="438"/>
        <v>45938.5625</v>
      </c>
      <c r="AY438" s="19">
        <f t="shared" si="438"/>
        <v>45938.58333</v>
      </c>
      <c r="AZ438" s="19">
        <f t="shared" si="438"/>
        <v>45938.60417</v>
      </c>
      <c r="BA438" s="19">
        <f t="shared" si="438"/>
        <v>45938.625</v>
      </c>
      <c r="BB438" s="19">
        <f t="shared" si="438"/>
        <v>45938.64583</v>
      </c>
      <c r="BC438" s="19">
        <f t="shared" si="438"/>
        <v>45938.66667</v>
      </c>
      <c r="BD438" s="19">
        <f t="shared" si="438"/>
        <v>45938.6875</v>
      </c>
      <c r="BE438" s="19">
        <f t="shared" si="438"/>
        <v>45938.70833</v>
      </c>
      <c r="BF438" s="19">
        <f t="shared" si="438"/>
        <v>45938.72917</v>
      </c>
      <c r="BG438" s="19">
        <f t="shared" si="438"/>
        <v>45938.75</v>
      </c>
      <c r="BH438" s="19">
        <f t="shared" si="438"/>
        <v>45938.77083</v>
      </c>
      <c r="BI438" s="19">
        <f t="shared" si="438"/>
        <v>45938.79167</v>
      </c>
      <c r="BJ438" s="19">
        <f t="shared" si="438"/>
        <v>45938.8125</v>
      </c>
      <c r="BK438" s="19">
        <f t="shared" si="438"/>
        <v>45938.83333</v>
      </c>
      <c r="BL438" s="19">
        <f t="shared" si="438"/>
        <v>45938.85417</v>
      </c>
      <c r="BM438" s="19">
        <f t="shared" si="438"/>
        <v>45938.875</v>
      </c>
      <c r="BN438" s="19">
        <f t="shared" si="438"/>
        <v>45938.89583</v>
      </c>
      <c r="BO438" s="19">
        <f t="shared" si="438"/>
        <v>45938.91667</v>
      </c>
      <c r="BP438" s="19">
        <f t="shared" si="438"/>
        <v>45938.9375</v>
      </c>
      <c r="BQ438" s="19">
        <f t="shared" si="438"/>
        <v>45938.95833</v>
      </c>
      <c r="BR438" s="19">
        <f t="shared" si="438"/>
        <v>45938.97917</v>
      </c>
      <c r="BS438" s="19">
        <f t="shared" si="438"/>
        <v>45939</v>
      </c>
      <c r="BT438" s="19">
        <f t="shared" si="438"/>
        <v>45939.02083</v>
      </c>
      <c r="BU438" s="19">
        <f t="shared" si="438"/>
        <v>45939.04167</v>
      </c>
      <c r="BV438" s="19">
        <f t="shared" si="438"/>
        <v>45939.0625</v>
      </c>
      <c r="BW438" s="19">
        <f t="shared" si="438"/>
        <v>45939.08333</v>
      </c>
      <c r="BX438" s="19">
        <f t="shared" si="438"/>
        <v>45938</v>
      </c>
      <c r="BY438" s="19">
        <f t="shared" si="438"/>
        <v>45938</v>
      </c>
      <c r="BZ438" s="19">
        <f t="shared" si="438"/>
        <v>45938</v>
      </c>
    </row>
    <row r="439" ht="14.25" customHeight="1">
      <c r="A439" s="17">
        <v>45939.0</v>
      </c>
      <c r="B439" s="2" t="str">
        <f t="array" ref="B439">IF(NOW()&gt;AM439,"",IF(AND((WEEKDAY($A439)+$B$2)&gt;1,((WEEKDAY($A439)+$T$2)&lt;7),(WEEKDAY($A439)&lt;&gt;1)),"work",(INDEX(Subject!$A:$I,MATCH(RANDBETWEEN(1,(MAX(Subject!$B:$B))),Subject!$B:$B,0),3))))</f>
        <v/>
      </c>
      <c r="C439" s="2" t="str">
        <f t="array" ref="C439">IF(NOW()&gt;AN439,"",IF(AND((WEEKDAY($A439)+$B$2)&gt;1,((WEEKDAY($A439)+$T$2)&lt;7),(WEEKDAY($A439)&lt;&gt;1)),"work",(INDEX(Subject!$A:$I,MATCH(RANDBETWEEN(1,(MAX(Subject!$B:$B))),Subject!$B:$B,0),3))))</f>
        <v/>
      </c>
      <c r="D439" s="2" t="str">
        <f t="array" ref="D439">IF(NOW()&gt;AO439,"",IF(AND((WEEKDAY($A439)+$B$2)&gt;1,((WEEKDAY($A439)+$T$2)&lt;7),(WEEKDAY($A439)&lt;&gt;1)),"work",(INDEX(Subject!$A:$I,MATCH(RANDBETWEEN(1,(MAX(Subject!$B:$B))),Subject!$B:$B,0),3))))</f>
        <v/>
      </c>
      <c r="E439" s="2" t="str">
        <f t="array" ref="E439">IF(NOW()&gt;AP439,"",IF(AND((WEEKDAY($A439)+$B$2)&gt;1,((WEEKDAY($A439)+$T$2)&lt;7),(WEEKDAY($A439)&lt;&gt;1)),"work",(INDEX(Subject!$A:$I,MATCH(RANDBETWEEN(1,(MAX(Subject!$B:$B))),Subject!$B:$B,0),3))))</f>
        <v/>
      </c>
      <c r="F439" s="2" t="str">
        <f t="array" ref="F439">IF(NOW()&gt;AQ439,"",IF(AND((WEEKDAY($A439)+$B$2)&gt;1,((WEEKDAY($A439)+$T$2)&lt;7),(WEEKDAY($A439)&lt;&gt;1)),"work",(INDEX(Subject!$A:$I,MATCH(RANDBETWEEN(1,(MAX(Subject!$B:$B))),Subject!$B:$B,0),3))))</f>
        <v/>
      </c>
      <c r="G439" s="2" t="str">
        <f t="array" ref="G439">IF(NOW()&gt;AR439,"",IF(AND((WEEKDAY($A439)+$B$2)&gt;1,((WEEKDAY($A439)+$T$2)&lt;7),(WEEKDAY($A439)&lt;&gt;1)),"work",(INDEX(Subject!$A:$I,MATCH(RANDBETWEEN(1,(MAX(Subject!$B:$B))),Subject!$B:$B,0),3))))</f>
        <v/>
      </c>
      <c r="H439" s="2" t="str">
        <f t="array" ref="H439">IF(NOW()&gt;AS439,"",IF(AND((WEEKDAY($A439)+$B$2)&gt;1,((WEEKDAY($A439)+$T$2)&lt;7),(WEEKDAY($A439)&lt;&gt;1)),"work",(INDEX(Subject!$A:$I,MATCH(RANDBETWEEN(1,(MAX(Subject!$B:$B))),Subject!$B:$B,0),3))))</f>
        <v/>
      </c>
      <c r="I439" s="2" t="str">
        <f t="array" ref="I439">IF(NOW()&gt;AT439,"",IF(AND((WEEKDAY($A439)+$B$2)&gt;1,((WEEKDAY($A439)+$T$2)&lt;7),(WEEKDAY($A439)&lt;&gt;1)),"work",(INDEX(Subject!$A:$I,MATCH(RANDBETWEEN(1,(MAX(Subject!$B:$B))),Subject!$B:$B,0),3))))</f>
        <v/>
      </c>
      <c r="J439" s="2" t="str">
        <f t="array" ref="J439">IF(NOW()&gt;AU439,"",IF(AND((WEEKDAY($A439)+$B$2)&gt;1,((WEEKDAY($A439)+$T$2)&lt;7),(WEEKDAY($A439)&lt;&gt;1)),"work",(INDEX(Subject!$A:$I,MATCH(RANDBETWEEN(1,(MAX(Subject!$B:$B))),Subject!$B:$B,0),3))))</f>
        <v/>
      </c>
      <c r="K439" s="2" t="str">
        <f t="array" ref="K439">IF(NOW()&gt;AV439,"",IF(AND((WEEKDAY($A439)+$B$2)&gt;1,((WEEKDAY($A439)+$T$2)&lt;7),(WEEKDAY($A439)&lt;&gt;1)),"work",(INDEX(Subject!$A:$I,MATCH(RANDBETWEEN(1,(MAX(Subject!$B:$B))),Subject!$B:$B,0),3))))</f>
        <v/>
      </c>
      <c r="L439" s="2" t="str">
        <f t="array" ref="L439">IF(NOW()&gt;AW439,"",IF(AND((WEEKDAY($A439)+$B$2)&gt;1,((WEEKDAY($A439)+$T$2)&lt;7),(WEEKDAY($A439)&lt;&gt;1)),"work",(INDEX(Subject!$A:$I,MATCH(RANDBETWEEN(1,(MAX(Subject!$B:$B))),Subject!$B:$B,0),3))))</f>
        <v/>
      </c>
      <c r="M439" s="2" t="str">
        <f t="array" ref="M439">IF(NOW()&gt;AX439,"",IF(AND((WEEKDAY($A439)+$B$2)&gt;1,((WEEKDAY($A439)+$T$2)&lt;7),(WEEKDAY($A439)&lt;&gt;1)),"work",(INDEX(Subject!$A:$I,MATCH(RANDBETWEEN(1,(MAX(Subject!$B:$B))),Subject!$B:$B,0),3))))</f>
        <v/>
      </c>
      <c r="N439" s="2" t="str">
        <f t="array" ref="N439">IF(NOW()&gt;AY439,"",IF(AND((WEEKDAY($A439)+$B$2)&gt;1,((WEEKDAY($A439)+$T$2)&lt;7),(WEEKDAY($A439)&lt;&gt;1)),"work",(INDEX(Subject!$A:$I,MATCH(RANDBETWEEN(1,(MAX(Subject!$B:$B))),Subject!$B:$B,0),3))))</f>
        <v/>
      </c>
      <c r="O439" s="2" t="str">
        <f t="array" ref="O439">IF(NOW()&gt;AZ439,"",IF(AND((WEEKDAY($A439)+$B$2)&gt;1,((WEEKDAY($A439)+$T$2)&lt;7),(WEEKDAY($A439)&lt;&gt;1)),"work",(INDEX(Subject!$A:$I,MATCH(RANDBETWEEN(1,(MAX(Subject!$B:$B))),Subject!$B:$B,0),3))))</f>
        <v/>
      </c>
      <c r="P439" s="2" t="str">
        <f t="array" ref="P439">IF(NOW()&gt;BA439,"",IF(AND((WEEKDAY($A439)+$B$2)&gt;1,((WEEKDAY($A439)+$T$2)&lt;7),(WEEKDAY($A439)&lt;&gt;1)),"work",(INDEX(Subject!$A:$I,MATCH(RANDBETWEEN(1,(MAX(Subject!$B:$B))),Subject!$B:$B,0),3))))</f>
        <v/>
      </c>
      <c r="Q439" s="2" t="str">
        <f t="array" ref="Q439">IF(NOW()&gt;BB439,"",IF(AND((WEEKDAY($A439)+$B$2)&gt;1,((WEEKDAY($A439)+$T$2)&lt;7),(WEEKDAY($A439)&lt;&gt;1)),"work",(INDEX(Subject!$A:$I,MATCH(RANDBETWEEN(1,(MAX(Subject!$B:$B))),Subject!$B:$B,0),3))))</f>
        <v/>
      </c>
      <c r="R439" s="2" t="str">
        <f t="array" ref="R439">IF(NOW()&gt;BC439,"",IF(AND((WEEKDAY($A439)+$B$2)&gt;1,((WEEKDAY($A439)+$T$2)&lt;7),(WEEKDAY($A439)&lt;&gt;1)),"work",(INDEX(Subject!$A:$I,MATCH(RANDBETWEEN(1,(MAX(Subject!$B:$B))),Subject!$B:$B,0),3))))</f>
        <v/>
      </c>
      <c r="S439" s="2" t="str">
        <f t="array" ref="S439">IF(NOW()&gt;BD439,"",IF(AND((WEEKDAY($A439)+$B$2)&gt;1,((WEEKDAY($A439)+$T$2)&lt;7),(WEEKDAY($A439)&lt;&gt;1)),"work",(INDEX(Subject!$A:$I,MATCH(RANDBETWEEN(1,(MAX(Subject!$B:$B))),Subject!$B:$B,0),3))))</f>
        <v/>
      </c>
      <c r="T439" s="2" t="str">
        <f t="array" ref="T439">IF(NOW()&gt;BE439,"",IF(AND((WEEKDAY($A439)+$B$2)&gt;1,((WEEKDAY($A439)+$T$2)&lt;7),(WEEKDAY($A439)&lt;&gt;1)),"work",(INDEX(Subject!$A:$I,MATCH(RANDBETWEEN(1,(MAX(Subject!$B:$B))),Subject!$B:$B,0),3))))</f>
        <v/>
      </c>
      <c r="U439" s="8" t="str">
        <f t="array" ref="U439">INDEX(Subject!$A:$I,MATCH(RANDBETWEEN(1,16),Subject!$B:$B,0),3)</f>
        <v>#N/A</v>
      </c>
      <c r="V439" s="8" t="str">
        <f t="array" ref="V439">INDEX(Subject!$A:$I,MATCH(RANDBETWEEN(1,16),Subject!$B:$B,0),3)</f>
        <v>#N/A</v>
      </c>
      <c r="W439" s="8" t="str">
        <f t="array" ref="W439">INDEX(Subject!$A:$I,MATCH(RANDBETWEEN(1,16),Subject!$B:$B,0),3)</f>
        <v>#N/A</v>
      </c>
      <c r="X439" s="8" t="str">
        <f t="array" ref="X439">INDEX(Subject!$A:$I,MATCH(RANDBETWEEN(1,16),Subject!$B:$B,0),3)</f>
        <v/>
      </c>
      <c r="Y439" s="8" t="str">
        <f t="array" ref="Y439">INDEX(Subject!$A:$I,MATCH(RANDBETWEEN(1,16),Subject!$B:$B,0),3)</f>
        <v>#N/A</v>
      </c>
      <c r="Z439" s="8" t="str">
        <f t="array" ref="Z439">INDEX(Subject!$A:$I,MATCH(RANDBETWEEN(1,16),Subject!$B:$B,0),3)</f>
        <v>#N/A</v>
      </c>
      <c r="AA439" s="8" t="str">
        <f t="array" ref="AA439">INDEX(Subject!$A:$I,MATCH(RANDBETWEEN(1,16),Subject!$B:$B,0),3)</f>
        <v>#N/A</v>
      </c>
      <c r="AB439" s="8" t="str">
        <f t="array" ref="AB439">INDEX(Subject!$A:$I,MATCH(RANDBETWEEN(1,16),Subject!$B:$B,0),3)</f>
        <v>#N/A</v>
      </c>
      <c r="AC439" s="8" t="str">
        <f t="array" ref="AC439">INDEX(Subject!$A:$I,MATCH(RANDBETWEEN(1,16),Subject!$B:$B,0),3)</f>
        <v>#N/A</v>
      </c>
      <c r="AD439" s="8" t="str">
        <f t="array" ref="AD439">INDEX(Subject!$A:$I,MATCH(RANDBETWEEN(1,16),Subject!$B:$B,0),3)</f>
        <v>#N/A</v>
      </c>
      <c r="AE439" s="8" t="str">
        <f t="array" ref="AE439">INDEX(Subject!$A:$I,MATCH(RANDBETWEEN(1,16),Subject!$B:$B,0),3)</f>
        <v>#N/A</v>
      </c>
      <c r="AF439" s="8" t="str">
        <f t="array" ref="AF439">INDEX(Subject!$A:$I,MATCH(RANDBETWEEN(1,16),Subject!$B:$B,0),3)</f>
        <v>#N/A</v>
      </c>
      <c r="AG439" s="8" t="str">
        <f t="array" ref="AG439">INDEX(Subject!$A:$I,MATCH(RANDBETWEEN(1,16),Subject!$B:$B,0),3)</f>
        <v>#N/A</v>
      </c>
      <c r="AH439" s="8" t="str">
        <f t="array" ref="AH439">INDEX(Subject!$A:$I,MATCH(RANDBETWEEN(1,16),Subject!$B:$B,0),3)</f>
        <v>#N/A</v>
      </c>
      <c r="AI439" s="8" t="str">
        <f t="array" ref="AI439">INDEX(Subject!$A:$I,MATCH(RANDBETWEEN(1,16),Subject!$B:$B,0),3)</f>
        <v>#N/A</v>
      </c>
      <c r="AJ439" s="8" t="str">
        <f t="array" ref="AJ439">INDEX(Subject!$A:$I,MATCH(RANDBETWEEN(1,16),Subject!$B:$B,0),3)</f>
        <v>#N/A</v>
      </c>
      <c r="AK439" s="8" t="str">
        <f t="array" ref="AK439">INDEX(Subject!$A:$I,MATCH(RANDBETWEEN(1,16),Subject!$B:$B,0),3)</f>
        <v>#N/A</v>
      </c>
      <c r="AL439" s="8" t="str">
        <f t="array" ref="AL439">INDEX(Subject!$A:$I,MATCH(RANDBETWEEN(1,16),Subject!$B:$B,0),3)</f>
        <v>#N/A</v>
      </c>
      <c r="AM439" s="18">
        <f t="shared" si="4"/>
        <v>45939.33333</v>
      </c>
      <c r="AN439" s="19">
        <f t="shared" ref="AN439:BZ439" si="439">$A439+C$1</f>
        <v>45939.35417</v>
      </c>
      <c r="AO439" s="19">
        <f t="shared" si="439"/>
        <v>45939.375</v>
      </c>
      <c r="AP439" s="19">
        <f t="shared" si="439"/>
        <v>45939.39583</v>
      </c>
      <c r="AQ439" s="19">
        <f t="shared" si="439"/>
        <v>45939.41667</v>
      </c>
      <c r="AR439" s="19">
        <f t="shared" si="439"/>
        <v>45939.4375</v>
      </c>
      <c r="AS439" s="19">
        <f t="shared" si="439"/>
        <v>45939.45833</v>
      </c>
      <c r="AT439" s="19">
        <f t="shared" si="439"/>
        <v>45939.47917</v>
      </c>
      <c r="AU439" s="19">
        <f t="shared" si="439"/>
        <v>45939.5</v>
      </c>
      <c r="AV439" s="19">
        <f t="shared" si="439"/>
        <v>45939.52083</v>
      </c>
      <c r="AW439" s="19">
        <f t="shared" si="439"/>
        <v>45939.54167</v>
      </c>
      <c r="AX439" s="19">
        <f t="shared" si="439"/>
        <v>45939.5625</v>
      </c>
      <c r="AY439" s="19">
        <f t="shared" si="439"/>
        <v>45939.58333</v>
      </c>
      <c r="AZ439" s="19">
        <f t="shared" si="439"/>
        <v>45939.60417</v>
      </c>
      <c r="BA439" s="19">
        <f t="shared" si="439"/>
        <v>45939.625</v>
      </c>
      <c r="BB439" s="19">
        <f t="shared" si="439"/>
        <v>45939.64583</v>
      </c>
      <c r="BC439" s="19">
        <f t="shared" si="439"/>
        <v>45939.66667</v>
      </c>
      <c r="BD439" s="19">
        <f t="shared" si="439"/>
        <v>45939.6875</v>
      </c>
      <c r="BE439" s="19">
        <f t="shared" si="439"/>
        <v>45939.70833</v>
      </c>
      <c r="BF439" s="19">
        <f t="shared" si="439"/>
        <v>45939.72917</v>
      </c>
      <c r="BG439" s="19">
        <f t="shared" si="439"/>
        <v>45939.75</v>
      </c>
      <c r="BH439" s="19">
        <f t="shared" si="439"/>
        <v>45939.77083</v>
      </c>
      <c r="BI439" s="19">
        <f t="shared" si="439"/>
        <v>45939.79167</v>
      </c>
      <c r="BJ439" s="19">
        <f t="shared" si="439"/>
        <v>45939.8125</v>
      </c>
      <c r="BK439" s="19">
        <f t="shared" si="439"/>
        <v>45939.83333</v>
      </c>
      <c r="BL439" s="19">
        <f t="shared" si="439"/>
        <v>45939.85417</v>
      </c>
      <c r="BM439" s="19">
        <f t="shared" si="439"/>
        <v>45939.875</v>
      </c>
      <c r="BN439" s="19">
        <f t="shared" si="439"/>
        <v>45939.89583</v>
      </c>
      <c r="BO439" s="19">
        <f t="shared" si="439"/>
        <v>45939.91667</v>
      </c>
      <c r="BP439" s="19">
        <f t="shared" si="439"/>
        <v>45939.9375</v>
      </c>
      <c r="BQ439" s="19">
        <f t="shared" si="439"/>
        <v>45939.95833</v>
      </c>
      <c r="BR439" s="19">
        <f t="shared" si="439"/>
        <v>45939.97917</v>
      </c>
      <c r="BS439" s="19">
        <f t="shared" si="439"/>
        <v>45940</v>
      </c>
      <c r="BT439" s="19">
        <f t="shared" si="439"/>
        <v>45940.02083</v>
      </c>
      <c r="BU439" s="19">
        <f t="shared" si="439"/>
        <v>45940.04167</v>
      </c>
      <c r="BV439" s="19">
        <f t="shared" si="439"/>
        <v>45940.0625</v>
      </c>
      <c r="BW439" s="19">
        <f t="shared" si="439"/>
        <v>45940.08333</v>
      </c>
      <c r="BX439" s="19">
        <f t="shared" si="439"/>
        <v>45939</v>
      </c>
      <c r="BY439" s="19">
        <f t="shared" si="439"/>
        <v>45939</v>
      </c>
      <c r="BZ439" s="19">
        <f t="shared" si="439"/>
        <v>45939</v>
      </c>
    </row>
    <row r="440" ht="14.25" customHeight="1">
      <c r="A440" s="17">
        <v>45940.0</v>
      </c>
      <c r="B440" s="2" t="str">
        <f t="array" ref="B440">IF(NOW()&gt;AM440,"",IF(AND((WEEKDAY($A440)+$B$2)&gt;1,((WEEKDAY($A440)+$T$2)&lt;7),(WEEKDAY($A440)&lt;&gt;1)),"work",(INDEX(Subject!$A:$I,MATCH(RANDBETWEEN(1,(MAX(Subject!$B:$B))),Subject!$B:$B,0),3))))</f>
        <v/>
      </c>
      <c r="C440" s="2" t="str">
        <f t="array" ref="C440">IF(NOW()&gt;AN440,"",IF(AND((WEEKDAY($A440)+$B$2)&gt;1,((WEEKDAY($A440)+$T$2)&lt;7),(WEEKDAY($A440)&lt;&gt;1)),"work",(INDEX(Subject!$A:$I,MATCH(RANDBETWEEN(1,(MAX(Subject!$B:$B))),Subject!$B:$B,0),3))))</f>
        <v/>
      </c>
      <c r="D440" s="2" t="str">
        <f t="array" ref="D440">IF(NOW()&gt;AO440,"",IF(AND((WEEKDAY($A440)+$B$2)&gt;1,((WEEKDAY($A440)+$T$2)&lt;7),(WEEKDAY($A440)&lt;&gt;1)),"work",(INDEX(Subject!$A:$I,MATCH(RANDBETWEEN(1,(MAX(Subject!$B:$B))),Subject!$B:$B,0),3))))</f>
        <v/>
      </c>
      <c r="E440" s="2" t="str">
        <f t="array" ref="E440">IF(NOW()&gt;AP440,"",IF(AND((WEEKDAY($A440)+$B$2)&gt;1,((WEEKDAY($A440)+$T$2)&lt;7),(WEEKDAY($A440)&lt;&gt;1)),"work",(INDEX(Subject!$A:$I,MATCH(RANDBETWEEN(1,(MAX(Subject!$B:$B))),Subject!$B:$B,0),3))))</f>
        <v/>
      </c>
      <c r="F440" s="2" t="str">
        <f t="array" ref="F440">IF(NOW()&gt;AQ440,"",IF(AND((WEEKDAY($A440)+$B$2)&gt;1,((WEEKDAY($A440)+$T$2)&lt;7),(WEEKDAY($A440)&lt;&gt;1)),"work",(INDEX(Subject!$A:$I,MATCH(RANDBETWEEN(1,(MAX(Subject!$B:$B))),Subject!$B:$B,0),3))))</f>
        <v/>
      </c>
      <c r="G440" s="2" t="str">
        <f t="array" ref="G440">IF(NOW()&gt;AR440,"",IF(AND((WEEKDAY($A440)+$B$2)&gt;1,((WEEKDAY($A440)+$T$2)&lt;7),(WEEKDAY($A440)&lt;&gt;1)),"work",(INDEX(Subject!$A:$I,MATCH(RANDBETWEEN(1,(MAX(Subject!$B:$B))),Subject!$B:$B,0),3))))</f>
        <v/>
      </c>
      <c r="H440" s="2" t="str">
        <f t="array" ref="H440">IF(NOW()&gt;AS440,"",IF(AND((WEEKDAY($A440)+$B$2)&gt;1,((WEEKDAY($A440)+$T$2)&lt;7),(WEEKDAY($A440)&lt;&gt;1)),"work",(INDEX(Subject!$A:$I,MATCH(RANDBETWEEN(1,(MAX(Subject!$B:$B))),Subject!$B:$B,0),3))))</f>
        <v/>
      </c>
      <c r="I440" s="2" t="str">
        <f t="array" ref="I440">IF(NOW()&gt;AT440,"",IF(AND((WEEKDAY($A440)+$B$2)&gt;1,((WEEKDAY($A440)+$T$2)&lt;7),(WEEKDAY($A440)&lt;&gt;1)),"work",(INDEX(Subject!$A:$I,MATCH(RANDBETWEEN(1,(MAX(Subject!$B:$B))),Subject!$B:$B,0),3))))</f>
        <v/>
      </c>
      <c r="J440" s="2" t="str">
        <f t="array" ref="J440">IF(NOW()&gt;AU440,"",IF(AND((WEEKDAY($A440)+$B$2)&gt;1,((WEEKDAY($A440)+$T$2)&lt;7),(WEEKDAY($A440)&lt;&gt;1)),"work",(INDEX(Subject!$A:$I,MATCH(RANDBETWEEN(1,(MAX(Subject!$B:$B))),Subject!$B:$B,0),3))))</f>
        <v/>
      </c>
      <c r="K440" s="2" t="str">
        <f t="array" ref="K440">IF(NOW()&gt;AV440,"",IF(AND((WEEKDAY($A440)+$B$2)&gt;1,((WEEKDAY($A440)+$T$2)&lt;7),(WEEKDAY($A440)&lt;&gt;1)),"work",(INDEX(Subject!$A:$I,MATCH(RANDBETWEEN(1,(MAX(Subject!$B:$B))),Subject!$B:$B,0),3))))</f>
        <v/>
      </c>
      <c r="L440" s="2" t="str">
        <f t="array" ref="L440">IF(NOW()&gt;AW440,"",IF(AND((WEEKDAY($A440)+$B$2)&gt;1,((WEEKDAY($A440)+$T$2)&lt;7),(WEEKDAY($A440)&lt;&gt;1)),"work",(INDEX(Subject!$A:$I,MATCH(RANDBETWEEN(1,(MAX(Subject!$B:$B))),Subject!$B:$B,0),3))))</f>
        <v/>
      </c>
      <c r="M440" s="2" t="str">
        <f t="array" ref="M440">IF(NOW()&gt;AX440,"",IF(AND((WEEKDAY($A440)+$B$2)&gt;1,((WEEKDAY($A440)+$T$2)&lt;7),(WEEKDAY($A440)&lt;&gt;1)),"work",(INDEX(Subject!$A:$I,MATCH(RANDBETWEEN(1,(MAX(Subject!$B:$B))),Subject!$B:$B,0),3))))</f>
        <v/>
      </c>
      <c r="N440" s="2" t="str">
        <f t="array" ref="N440">IF(NOW()&gt;AY440,"",IF(AND((WEEKDAY($A440)+$B$2)&gt;1,((WEEKDAY($A440)+$T$2)&lt;7),(WEEKDAY($A440)&lt;&gt;1)),"work",(INDEX(Subject!$A:$I,MATCH(RANDBETWEEN(1,(MAX(Subject!$B:$B))),Subject!$B:$B,0),3))))</f>
        <v/>
      </c>
      <c r="O440" s="2" t="str">
        <f t="array" ref="O440">IF(NOW()&gt;AZ440,"",IF(AND((WEEKDAY($A440)+$B$2)&gt;1,((WEEKDAY($A440)+$T$2)&lt;7),(WEEKDAY($A440)&lt;&gt;1)),"work",(INDEX(Subject!$A:$I,MATCH(RANDBETWEEN(1,(MAX(Subject!$B:$B))),Subject!$B:$B,0),3))))</f>
        <v/>
      </c>
      <c r="P440" s="2" t="str">
        <f t="array" ref="P440">IF(NOW()&gt;BA440,"",IF(AND((WEEKDAY($A440)+$B$2)&gt;1,((WEEKDAY($A440)+$T$2)&lt;7),(WEEKDAY($A440)&lt;&gt;1)),"work",(INDEX(Subject!$A:$I,MATCH(RANDBETWEEN(1,(MAX(Subject!$B:$B))),Subject!$B:$B,0),3))))</f>
        <v/>
      </c>
      <c r="Q440" s="2" t="str">
        <f t="array" ref="Q440">IF(NOW()&gt;BB440,"",IF(AND((WEEKDAY($A440)+$B$2)&gt;1,((WEEKDAY($A440)+$T$2)&lt;7),(WEEKDAY($A440)&lt;&gt;1)),"work",(INDEX(Subject!$A:$I,MATCH(RANDBETWEEN(1,(MAX(Subject!$B:$B))),Subject!$B:$B,0),3))))</f>
        <v/>
      </c>
      <c r="R440" s="2" t="str">
        <f t="array" ref="R440">IF(NOW()&gt;BC440,"",IF(AND((WEEKDAY($A440)+$B$2)&gt;1,((WEEKDAY($A440)+$T$2)&lt;7),(WEEKDAY($A440)&lt;&gt;1)),"work",(INDEX(Subject!$A:$I,MATCH(RANDBETWEEN(1,(MAX(Subject!$B:$B))),Subject!$B:$B,0),3))))</f>
        <v/>
      </c>
      <c r="S440" s="2" t="str">
        <f t="array" ref="S440">IF(NOW()&gt;BD440,"",IF(AND((WEEKDAY($A440)+$B$2)&gt;1,((WEEKDAY($A440)+$T$2)&lt;7),(WEEKDAY($A440)&lt;&gt;1)),"work",(INDEX(Subject!$A:$I,MATCH(RANDBETWEEN(1,(MAX(Subject!$B:$B))),Subject!$B:$B,0),3))))</f>
        <v/>
      </c>
      <c r="T440" s="2" t="str">
        <f t="array" ref="T440">IF(NOW()&gt;BE440,"",IF(AND((WEEKDAY($A440)+$B$2)&gt;1,((WEEKDAY($A440)+$T$2)&lt;7),(WEEKDAY($A440)&lt;&gt;1)),"work",(INDEX(Subject!$A:$I,MATCH(RANDBETWEEN(1,(MAX(Subject!$B:$B))),Subject!$B:$B,0),3))))</f>
        <v/>
      </c>
      <c r="U440" s="8" t="str">
        <f t="array" ref="U440">INDEX(Subject!$A:$I,MATCH(RANDBETWEEN(1,16),Subject!$B:$B,0),3)</f>
        <v>#N/A</v>
      </c>
      <c r="V440" s="8" t="str">
        <f t="array" ref="V440">INDEX(Subject!$A:$I,MATCH(RANDBETWEEN(1,16),Subject!$B:$B,0),3)</f>
        <v>#N/A</v>
      </c>
      <c r="W440" s="8" t="str">
        <f t="array" ref="W440">INDEX(Subject!$A:$I,MATCH(RANDBETWEEN(1,16),Subject!$B:$B,0),3)</f>
        <v>#N/A</v>
      </c>
      <c r="X440" s="8" t="str">
        <f t="array" ref="X440">INDEX(Subject!$A:$I,MATCH(RANDBETWEEN(1,16),Subject!$B:$B,0),3)</f>
        <v>#N/A</v>
      </c>
      <c r="Y440" s="8" t="str">
        <f t="array" ref="Y440">INDEX(Subject!$A:$I,MATCH(RANDBETWEEN(1,16),Subject!$B:$B,0),3)</f>
        <v>#N/A</v>
      </c>
      <c r="Z440" s="8" t="str">
        <f t="array" ref="Z440">INDEX(Subject!$A:$I,MATCH(RANDBETWEEN(1,16),Subject!$B:$B,0),3)</f>
        <v>#N/A</v>
      </c>
      <c r="AA440" s="8" t="str">
        <f t="array" ref="AA440">INDEX(Subject!$A:$I,MATCH(RANDBETWEEN(1,16),Subject!$B:$B,0),3)</f>
        <v>#N/A</v>
      </c>
      <c r="AB440" s="8" t="str">
        <f t="array" ref="AB440">INDEX(Subject!$A:$I,MATCH(RANDBETWEEN(1,16),Subject!$B:$B,0),3)</f>
        <v>#N/A</v>
      </c>
      <c r="AC440" s="8" t="str">
        <f t="array" ref="AC440">INDEX(Subject!$A:$I,MATCH(RANDBETWEEN(1,16),Subject!$B:$B,0),3)</f>
        <v>#N/A</v>
      </c>
      <c r="AD440" s="8" t="str">
        <f t="array" ref="AD440">INDEX(Subject!$A:$I,MATCH(RANDBETWEEN(1,16),Subject!$B:$B,0),3)</f>
        <v>#N/A</v>
      </c>
      <c r="AE440" s="8" t="str">
        <f t="array" ref="AE440">INDEX(Subject!$A:$I,MATCH(RANDBETWEEN(1,16),Subject!$B:$B,0),3)</f>
        <v>#N/A</v>
      </c>
      <c r="AF440" s="8" t="str">
        <f t="array" ref="AF440">INDEX(Subject!$A:$I,MATCH(RANDBETWEEN(1,16),Subject!$B:$B,0),3)</f>
        <v>#N/A</v>
      </c>
      <c r="AG440" s="8" t="str">
        <f t="array" ref="AG440">INDEX(Subject!$A:$I,MATCH(RANDBETWEEN(1,16),Subject!$B:$B,0),3)</f>
        <v>#N/A</v>
      </c>
      <c r="AH440" s="8" t="str">
        <f t="array" ref="AH440">INDEX(Subject!$A:$I,MATCH(RANDBETWEEN(1,16),Subject!$B:$B,0),3)</f>
        <v>#N/A</v>
      </c>
      <c r="AI440" s="8" t="str">
        <f t="array" ref="AI440">INDEX(Subject!$A:$I,MATCH(RANDBETWEEN(1,16),Subject!$B:$B,0),3)</f>
        <v>#N/A</v>
      </c>
      <c r="AJ440" s="8" t="str">
        <f t="array" ref="AJ440">INDEX(Subject!$A:$I,MATCH(RANDBETWEEN(1,16),Subject!$B:$B,0),3)</f>
        <v>#N/A</v>
      </c>
      <c r="AK440" s="8" t="str">
        <f t="array" ref="AK440">INDEX(Subject!$A:$I,MATCH(RANDBETWEEN(1,16),Subject!$B:$B,0),3)</f>
        <v>#N/A</v>
      </c>
      <c r="AL440" s="8" t="str">
        <f t="array" ref="AL440">INDEX(Subject!$A:$I,MATCH(RANDBETWEEN(1,16),Subject!$B:$B,0),3)</f>
        <v>#N/A</v>
      </c>
      <c r="AM440" s="18">
        <f t="shared" si="4"/>
        <v>45940.33333</v>
      </c>
      <c r="AN440" s="19">
        <f t="shared" ref="AN440:BZ440" si="440">$A440+C$1</f>
        <v>45940.35417</v>
      </c>
      <c r="AO440" s="19">
        <f t="shared" si="440"/>
        <v>45940.375</v>
      </c>
      <c r="AP440" s="19">
        <f t="shared" si="440"/>
        <v>45940.39583</v>
      </c>
      <c r="AQ440" s="19">
        <f t="shared" si="440"/>
        <v>45940.41667</v>
      </c>
      <c r="AR440" s="19">
        <f t="shared" si="440"/>
        <v>45940.4375</v>
      </c>
      <c r="AS440" s="19">
        <f t="shared" si="440"/>
        <v>45940.45833</v>
      </c>
      <c r="AT440" s="19">
        <f t="shared" si="440"/>
        <v>45940.47917</v>
      </c>
      <c r="AU440" s="19">
        <f t="shared" si="440"/>
        <v>45940.5</v>
      </c>
      <c r="AV440" s="19">
        <f t="shared" si="440"/>
        <v>45940.52083</v>
      </c>
      <c r="AW440" s="19">
        <f t="shared" si="440"/>
        <v>45940.54167</v>
      </c>
      <c r="AX440" s="19">
        <f t="shared" si="440"/>
        <v>45940.5625</v>
      </c>
      <c r="AY440" s="19">
        <f t="shared" si="440"/>
        <v>45940.58333</v>
      </c>
      <c r="AZ440" s="19">
        <f t="shared" si="440"/>
        <v>45940.60417</v>
      </c>
      <c r="BA440" s="19">
        <f t="shared" si="440"/>
        <v>45940.625</v>
      </c>
      <c r="BB440" s="19">
        <f t="shared" si="440"/>
        <v>45940.64583</v>
      </c>
      <c r="BC440" s="19">
        <f t="shared" si="440"/>
        <v>45940.66667</v>
      </c>
      <c r="BD440" s="19">
        <f t="shared" si="440"/>
        <v>45940.6875</v>
      </c>
      <c r="BE440" s="19">
        <f t="shared" si="440"/>
        <v>45940.70833</v>
      </c>
      <c r="BF440" s="19">
        <f t="shared" si="440"/>
        <v>45940.72917</v>
      </c>
      <c r="BG440" s="19">
        <f t="shared" si="440"/>
        <v>45940.75</v>
      </c>
      <c r="BH440" s="19">
        <f t="shared" si="440"/>
        <v>45940.77083</v>
      </c>
      <c r="BI440" s="19">
        <f t="shared" si="440"/>
        <v>45940.79167</v>
      </c>
      <c r="BJ440" s="19">
        <f t="shared" si="440"/>
        <v>45940.8125</v>
      </c>
      <c r="BK440" s="19">
        <f t="shared" si="440"/>
        <v>45940.83333</v>
      </c>
      <c r="BL440" s="19">
        <f t="shared" si="440"/>
        <v>45940.85417</v>
      </c>
      <c r="BM440" s="19">
        <f t="shared" si="440"/>
        <v>45940.875</v>
      </c>
      <c r="BN440" s="19">
        <f t="shared" si="440"/>
        <v>45940.89583</v>
      </c>
      <c r="BO440" s="19">
        <f t="shared" si="440"/>
        <v>45940.91667</v>
      </c>
      <c r="BP440" s="19">
        <f t="shared" si="440"/>
        <v>45940.9375</v>
      </c>
      <c r="BQ440" s="19">
        <f t="shared" si="440"/>
        <v>45940.95833</v>
      </c>
      <c r="BR440" s="19">
        <f t="shared" si="440"/>
        <v>45940.97917</v>
      </c>
      <c r="BS440" s="19">
        <f t="shared" si="440"/>
        <v>45941</v>
      </c>
      <c r="BT440" s="19">
        <f t="shared" si="440"/>
        <v>45941.02083</v>
      </c>
      <c r="BU440" s="19">
        <f t="shared" si="440"/>
        <v>45941.04167</v>
      </c>
      <c r="BV440" s="19">
        <f t="shared" si="440"/>
        <v>45941.0625</v>
      </c>
      <c r="BW440" s="19">
        <f t="shared" si="440"/>
        <v>45941.08333</v>
      </c>
      <c r="BX440" s="19">
        <f t="shared" si="440"/>
        <v>45940</v>
      </c>
      <c r="BY440" s="19">
        <f t="shared" si="440"/>
        <v>45940</v>
      </c>
      <c r="BZ440" s="19">
        <f t="shared" si="440"/>
        <v>45940</v>
      </c>
    </row>
    <row r="441" ht="14.25" customHeight="1">
      <c r="A441" s="17">
        <v>45941.0</v>
      </c>
      <c r="B441" s="2" t="str">
        <f t="array" ref="B441">IF(NOW()&gt;AM441,"",IF(AND((WEEKDAY($A441)+$B$2)&gt;1,((WEEKDAY($A441)+$T$2)&lt;7),(WEEKDAY($A441)&lt;&gt;1)),"work",(INDEX(Subject!$A:$I,MATCH(RANDBETWEEN(1,(MAX(Subject!$B:$B))),Subject!$B:$B,0),3))))</f>
        <v/>
      </c>
      <c r="C441" s="2" t="str">
        <f t="array" ref="C441">IF(NOW()&gt;AN441,"",IF(AND((WEEKDAY($A441)+$B$2)&gt;1,((WEEKDAY($A441)+$T$2)&lt;7),(WEEKDAY($A441)&lt;&gt;1)),"work",(INDEX(Subject!$A:$I,MATCH(RANDBETWEEN(1,(MAX(Subject!$B:$B))),Subject!$B:$B,0),3))))</f>
        <v/>
      </c>
      <c r="D441" s="2" t="str">
        <f t="array" ref="D441">IF(NOW()&gt;AO441,"",IF(AND((WEEKDAY($A441)+$B$2)&gt;1,((WEEKDAY($A441)+$T$2)&lt;7),(WEEKDAY($A441)&lt;&gt;1)),"work",(INDEX(Subject!$A:$I,MATCH(RANDBETWEEN(1,(MAX(Subject!$B:$B))),Subject!$B:$B,0),3))))</f>
        <v/>
      </c>
      <c r="E441" s="2" t="str">
        <f t="array" ref="E441">IF(NOW()&gt;AP441,"",IF(AND((WEEKDAY($A441)+$B$2)&gt;1,((WEEKDAY($A441)+$T$2)&lt;7),(WEEKDAY($A441)&lt;&gt;1)),"work",(INDEX(Subject!$A:$I,MATCH(RANDBETWEEN(1,(MAX(Subject!$B:$B))),Subject!$B:$B,0),3))))</f>
        <v/>
      </c>
      <c r="F441" s="2" t="str">
        <f t="array" ref="F441">IF(NOW()&gt;AQ441,"",IF(AND((WEEKDAY($A441)+$B$2)&gt;1,((WEEKDAY($A441)+$T$2)&lt;7),(WEEKDAY($A441)&lt;&gt;1)),"work",(INDEX(Subject!$A:$I,MATCH(RANDBETWEEN(1,(MAX(Subject!$B:$B))),Subject!$B:$B,0),3))))</f>
        <v/>
      </c>
      <c r="G441" s="2" t="str">
        <f t="array" ref="G441">IF(NOW()&gt;AR441,"",IF(AND((WEEKDAY($A441)+$B$2)&gt;1,((WEEKDAY($A441)+$T$2)&lt;7),(WEEKDAY($A441)&lt;&gt;1)),"work",(INDEX(Subject!$A:$I,MATCH(RANDBETWEEN(1,(MAX(Subject!$B:$B))),Subject!$B:$B,0),3))))</f>
        <v/>
      </c>
      <c r="H441" s="2" t="str">
        <f t="array" ref="H441">IF(NOW()&gt;AS441,"",IF(AND((WEEKDAY($A441)+$B$2)&gt;1,((WEEKDAY($A441)+$T$2)&lt;7),(WEEKDAY($A441)&lt;&gt;1)),"work",(INDEX(Subject!$A:$I,MATCH(RANDBETWEEN(1,(MAX(Subject!$B:$B))),Subject!$B:$B,0),3))))</f>
        <v/>
      </c>
      <c r="I441" s="2" t="str">
        <f t="array" ref="I441">IF(NOW()&gt;AT441,"",IF(AND((WEEKDAY($A441)+$B$2)&gt;1,((WEEKDAY($A441)+$T$2)&lt;7),(WEEKDAY($A441)&lt;&gt;1)),"work",(INDEX(Subject!$A:$I,MATCH(RANDBETWEEN(1,(MAX(Subject!$B:$B))),Subject!$B:$B,0),3))))</f>
        <v/>
      </c>
      <c r="J441" s="2" t="str">
        <f t="array" ref="J441">IF(NOW()&gt;AU441,"",IF(AND((WEEKDAY($A441)+$B$2)&gt;1,((WEEKDAY($A441)+$T$2)&lt;7),(WEEKDAY($A441)&lt;&gt;1)),"work",(INDEX(Subject!$A:$I,MATCH(RANDBETWEEN(1,(MAX(Subject!$B:$B))),Subject!$B:$B,0),3))))</f>
        <v/>
      </c>
      <c r="K441" s="2" t="str">
        <f t="array" ref="K441">IF(NOW()&gt;AV441,"",IF(AND((WEEKDAY($A441)+$B$2)&gt;1,((WEEKDAY($A441)+$T$2)&lt;7),(WEEKDAY($A441)&lt;&gt;1)),"work",(INDEX(Subject!$A:$I,MATCH(RANDBETWEEN(1,(MAX(Subject!$B:$B))),Subject!$B:$B,0),3))))</f>
        <v/>
      </c>
      <c r="L441" s="2" t="str">
        <f t="array" ref="L441">IF(NOW()&gt;AW441,"",IF(AND((WEEKDAY($A441)+$B$2)&gt;1,((WEEKDAY($A441)+$T$2)&lt;7),(WEEKDAY($A441)&lt;&gt;1)),"work",(INDEX(Subject!$A:$I,MATCH(RANDBETWEEN(1,(MAX(Subject!$B:$B))),Subject!$B:$B,0),3))))</f>
        <v/>
      </c>
      <c r="M441" s="2" t="str">
        <f t="array" ref="M441">IF(NOW()&gt;AX441,"",IF(AND((WEEKDAY($A441)+$B$2)&gt;1,((WEEKDAY($A441)+$T$2)&lt;7),(WEEKDAY($A441)&lt;&gt;1)),"work",(INDEX(Subject!$A:$I,MATCH(RANDBETWEEN(1,(MAX(Subject!$B:$B))),Subject!$B:$B,0),3))))</f>
        <v/>
      </c>
      <c r="N441" s="2" t="str">
        <f t="array" ref="N441">IF(NOW()&gt;AY441,"",IF(AND((WEEKDAY($A441)+$B$2)&gt;1,((WEEKDAY($A441)+$T$2)&lt;7),(WEEKDAY($A441)&lt;&gt;1)),"work",(INDEX(Subject!$A:$I,MATCH(RANDBETWEEN(1,(MAX(Subject!$B:$B))),Subject!$B:$B,0),3))))</f>
        <v/>
      </c>
      <c r="O441" s="2" t="str">
        <f t="array" ref="O441">IF(NOW()&gt;AZ441,"",IF(AND((WEEKDAY($A441)+$B$2)&gt;1,((WEEKDAY($A441)+$T$2)&lt;7),(WEEKDAY($A441)&lt;&gt;1)),"work",(INDEX(Subject!$A:$I,MATCH(RANDBETWEEN(1,(MAX(Subject!$B:$B))),Subject!$B:$B,0),3))))</f>
        <v/>
      </c>
      <c r="P441" s="2" t="str">
        <f t="array" ref="P441">IF(NOW()&gt;BA441,"",IF(AND((WEEKDAY($A441)+$B$2)&gt;1,((WEEKDAY($A441)+$T$2)&lt;7),(WEEKDAY($A441)&lt;&gt;1)),"work",(INDEX(Subject!$A:$I,MATCH(RANDBETWEEN(1,(MAX(Subject!$B:$B))),Subject!$B:$B,0),3))))</f>
        <v/>
      </c>
      <c r="Q441" s="2" t="str">
        <f t="array" ref="Q441">IF(NOW()&gt;BB441,"",IF(AND((WEEKDAY($A441)+$B$2)&gt;1,((WEEKDAY($A441)+$T$2)&lt;7),(WEEKDAY($A441)&lt;&gt;1)),"work",(INDEX(Subject!$A:$I,MATCH(RANDBETWEEN(1,(MAX(Subject!$B:$B))),Subject!$B:$B,0),3))))</f>
        <v/>
      </c>
      <c r="R441" s="2" t="str">
        <f t="array" ref="R441">IF(NOW()&gt;BC441,"",IF(AND((WEEKDAY($A441)+$B$2)&gt;1,((WEEKDAY($A441)+$T$2)&lt;7),(WEEKDAY($A441)&lt;&gt;1)),"work",(INDEX(Subject!$A:$I,MATCH(RANDBETWEEN(1,(MAX(Subject!$B:$B))),Subject!$B:$B,0),3))))</f>
        <v/>
      </c>
      <c r="S441" s="2" t="str">
        <f t="array" ref="S441">IF(NOW()&gt;BD441,"",IF(AND((WEEKDAY($A441)+$B$2)&gt;1,((WEEKDAY($A441)+$T$2)&lt;7),(WEEKDAY($A441)&lt;&gt;1)),"work",(INDEX(Subject!$A:$I,MATCH(RANDBETWEEN(1,(MAX(Subject!$B:$B))),Subject!$B:$B,0),3))))</f>
        <v/>
      </c>
      <c r="T441" s="2" t="str">
        <f t="array" ref="T441">IF(NOW()&gt;BE441,"",IF(AND((WEEKDAY($A441)+$B$2)&gt;1,((WEEKDAY($A441)+$T$2)&lt;7),(WEEKDAY($A441)&lt;&gt;1)),"work",(INDEX(Subject!$A:$I,MATCH(RANDBETWEEN(1,(MAX(Subject!$B:$B))),Subject!$B:$B,0),3))))</f>
        <v/>
      </c>
      <c r="U441" s="8" t="str">
        <f t="array" ref="U441">INDEX(Subject!$A:$I,MATCH(RANDBETWEEN(1,16),Subject!$B:$B,0),3)</f>
        <v>#N/A</v>
      </c>
      <c r="V441" s="8" t="str">
        <f t="array" ref="V441">INDEX(Subject!$A:$I,MATCH(RANDBETWEEN(1,16),Subject!$B:$B,0),3)</f>
        <v>#N/A</v>
      </c>
      <c r="W441" s="8" t="str">
        <f t="array" ref="W441">INDEX(Subject!$A:$I,MATCH(RANDBETWEEN(1,16),Subject!$B:$B,0),3)</f>
        <v>#N/A</v>
      </c>
      <c r="X441" s="8" t="str">
        <f t="array" ref="X441">INDEX(Subject!$A:$I,MATCH(RANDBETWEEN(1,16),Subject!$B:$B,0),3)</f>
        <v>#N/A</v>
      </c>
      <c r="Y441" s="8" t="str">
        <f t="array" ref="Y441">INDEX(Subject!$A:$I,MATCH(RANDBETWEEN(1,16),Subject!$B:$B,0),3)</f>
        <v>#N/A</v>
      </c>
      <c r="Z441" s="8" t="str">
        <f t="array" ref="Z441">INDEX(Subject!$A:$I,MATCH(RANDBETWEEN(1,16),Subject!$B:$B,0),3)</f>
        <v>#N/A</v>
      </c>
      <c r="AA441" s="8" t="str">
        <f t="array" ref="AA441">INDEX(Subject!$A:$I,MATCH(RANDBETWEEN(1,16),Subject!$B:$B,0),3)</f>
        <v>#N/A</v>
      </c>
      <c r="AB441" s="8" t="str">
        <f t="array" ref="AB441">INDEX(Subject!$A:$I,MATCH(RANDBETWEEN(1,16),Subject!$B:$B,0),3)</f>
        <v>#N/A</v>
      </c>
      <c r="AC441" s="8" t="str">
        <f t="array" ref="AC441">INDEX(Subject!$A:$I,MATCH(RANDBETWEEN(1,16),Subject!$B:$B,0),3)</f>
        <v>#N/A</v>
      </c>
      <c r="AD441" s="8" t="str">
        <f t="array" ref="AD441">INDEX(Subject!$A:$I,MATCH(RANDBETWEEN(1,16),Subject!$B:$B,0),3)</f>
        <v>#N/A</v>
      </c>
      <c r="AE441" s="8" t="str">
        <f t="array" ref="AE441">INDEX(Subject!$A:$I,MATCH(RANDBETWEEN(1,16),Subject!$B:$B,0),3)</f>
        <v>#N/A</v>
      </c>
      <c r="AF441" s="8" t="str">
        <f t="array" ref="AF441">INDEX(Subject!$A:$I,MATCH(RANDBETWEEN(1,16),Subject!$B:$B,0),3)</f>
        <v>#N/A</v>
      </c>
      <c r="AG441" s="8" t="str">
        <f t="array" ref="AG441">INDEX(Subject!$A:$I,MATCH(RANDBETWEEN(1,16),Subject!$B:$B,0),3)</f>
        <v>#N/A</v>
      </c>
      <c r="AH441" s="8" t="str">
        <f t="array" ref="AH441">INDEX(Subject!$A:$I,MATCH(RANDBETWEEN(1,16),Subject!$B:$B,0),3)</f>
        <v>#N/A</v>
      </c>
      <c r="AI441" s="8" t="str">
        <f t="array" ref="AI441">INDEX(Subject!$A:$I,MATCH(RANDBETWEEN(1,16),Subject!$B:$B,0),3)</f>
        <v>#N/A</v>
      </c>
      <c r="AJ441" s="8" t="str">
        <f t="array" ref="AJ441">INDEX(Subject!$A:$I,MATCH(RANDBETWEEN(1,16),Subject!$B:$B,0),3)</f>
        <v>#N/A</v>
      </c>
      <c r="AK441" s="8" t="str">
        <f t="array" ref="AK441">INDEX(Subject!$A:$I,MATCH(RANDBETWEEN(1,16),Subject!$B:$B,0),3)</f>
        <v>#N/A</v>
      </c>
      <c r="AL441" s="8" t="str">
        <f t="array" ref="AL441">INDEX(Subject!$A:$I,MATCH(RANDBETWEEN(1,16),Subject!$B:$B,0),3)</f>
        <v>#N/A</v>
      </c>
      <c r="AM441" s="18">
        <f t="shared" si="4"/>
        <v>45941.33333</v>
      </c>
      <c r="AN441" s="19">
        <f t="shared" ref="AN441:BZ441" si="441">$A441+C$1</f>
        <v>45941.35417</v>
      </c>
      <c r="AO441" s="19">
        <f t="shared" si="441"/>
        <v>45941.375</v>
      </c>
      <c r="AP441" s="19">
        <f t="shared" si="441"/>
        <v>45941.39583</v>
      </c>
      <c r="AQ441" s="19">
        <f t="shared" si="441"/>
        <v>45941.41667</v>
      </c>
      <c r="AR441" s="19">
        <f t="shared" si="441"/>
        <v>45941.4375</v>
      </c>
      <c r="AS441" s="19">
        <f t="shared" si="441"/>
        <v>45941.45833</v>
      </c>
      <c r="AT441" s="19">
        <f t="shared" si="441"/>
        <v>45941.47917</v>
      </c>
      <c r="AU441" s="19">
        <f t="shared" si="441"/>
        <v>45941.5</v>
      </c>
      <c r="AV441" s="19">
        <f t="shared" si="441"/>
        <v>45941.52083</v>
      </c>
      <c r="AW441" s="19">
        <f t="shared" si="441"/>
        <v>45941.54167</v>
      </c>
      <c r="AX441" s="19">
        <f t="shared" si="441"/>
        <v>45941.5625</v>
      </c>
      <c r="AY441" s="19">
        <f t="shared" si="441"/>
        <v>45941.58333</v>
      </c>
      <c r="AZ441" s="19">
        <f t="shared" si="441"/>
        <v>45941.60417</v>
      </c>
      <c r="BA441" s="19">
        <f t="shared" si="441"/>
        <v>45941.625</v>
      </c>
      <c r="BB441" s="19">
        <f t="shared" si="441"/>
        <v>45941.64583</v>
      </c>
      <c r="BC441" s="19">
        <f t="shared" si="441"/>
        <v>45941.66667</v>
      </c>
      <c r="BD441" s="19">
        <f t="shared" si="441"/>
        <v>45941.6875</v>
      </c>
      <c r="BE441" s="19">
        <f t="shared" si="441"/>
        <v>45941.70833</v>
      </c>
      <c r="BF441" s="19">
        <f t="shared" si="441"/>
        <v>45941.72917</v>
      </c>
      <c r="BG441" s="19">
        <f t="shared" si="441"/>
        <v>45941.75</v>
      </c>
      <c r="BH441" s="19">
        <f t="shared" si="441"/>
        <v>45941.77083</v>
      </c>
      <c r="BI441" s="19">
        <f t="shared" si="441"/>
        <v>45941.79167</v>
      </c>
      <c r="BJ441" s="19">
        <f t="shared" si="441"/>
        <v>45941.8125</v>
      </c>
      <c r="BK441" s="19">
        <f t="shared" si="441"/>
        <v>45941.83333</v>
      </c>
      <c r="BL441" s="19">
        <f t="shared" si="441"/>
        <v>45941.85417</v>
      </c>
      <c r="BM441" s="19">
        <f t="shared" si="441"/>
        <v>45941.875</v>
      </c>
      <c r="BN441" s="19">
        <f t="shared" si="441"/>
        <v>45941.89583</v>
      </c>
      <c r="BO441" s="19">
        <f t="shared" si="441"/>
        <v>45941.91667</v>
      </c>
      <c r="BP441" s="19">
        <f t="shared" si="441"/>
        <v>45941.9375</v>
      </c>
      <c r="BQ441" s="19">
        <f t="shared" si="441"/>
        <v>45941.95833</v>
      </c>
      <c r="BR441" s="19">
        <f t="shared" si="441"/>
        <v>45941.97917</v>
      </c>
      <c r="BS441" s="19">
        <f t="shared" si="441"/>
        <v>45942</v>
      </c>
      <c r="BT441" s="19">
        <f t="shared" si="441"/>
        <v>45942.02083</v>
      </c>
      <c r="BU441" s="19">
        <f t="shared" si="441"/>
        <v>45942.04167</v>
      </c>
      <c r="BV441" s="19">
        <f t="shared" si="441"/>
        <v>45942.0625</v>
      </c>
      <c r="BW441" s="19">
        <f t="shared" si="441"/>
        <v>45942.08333</v>
      </c>
      <c r="BX441" s="19">
        <f t="shared" si="441"/>
        <v>45941</v>
      </c>
      <c r="BY441" s="19">
        <f t="shared" si="441"/>
        <v>45941</v>
      </c>
      <c r="BZ441" s="19">
        <f t="shared" si="441"/>
        <v>45941</v>
      </c>
    </row>
    <row r="442" ht="14.25" customHeight="1">
      <c r="A442" s="17">
        <v>45942.0</v>
      </c>
      <c r="B442" s="2" t="str">
        <f t="array" ref="B442">IF(NOW()&gt;AM442,"",IF(AND((WEEKDAY($A442)+$B$2)&gt;1,((WEEKDAY($A442)+$T$2)&lt;7),(WEEKDAY($A442)&lt;&gt;1)),"work",(INDEX(Subject!$A:$I,MATCH(RANDBETWEEN(1,(MAX(Subject!$B:$B))),Subject!$B:$B,0),3))))</f>
        <v/>
      </c>
      <c r="C442" s="2" t="str">
        <f t="array" ref="C442">IF(NOW()&gt;AN442,"",IF(AND((WEEKDAY($A442)+$B$2)&gt;1,((WEEKDAY($A442)+$T$2)&lt;7),(WEEKDAY($A442)&lt;&gt;1)),"work",(INDEX(Subject!$A:$I,MATCH(RANDBETWEEN(1,(MAX(Subject!$B:$B))),Subject!$B:$B,0),3))))</f>
        <v/>
      </c>
      <c r="D442" s="2" t="str">
        <f t="array" ref="D442">IF(NOW()&gt;AO442,"",IF(AND((WEEKDAY($A442)+$B$2)&gt;1,((WEEKDAY($A442)+$T$2)&lt;7),(WEEKDAY($A442)&lt;&gt;1)),"work",(INDEX(Subject!$A:$I,MATCH(RANDBETWEEN(1,(MAX(Subject!$B:$B))),Subject!$B:$B,0),3))))</f>
        <v/>
      </c>
      <c r="E442" s="2" t="str">
        <f t="array" ref="E442">IF(NOW()&gt;AP442,"",IF(AND((WEEKDAY($A442)+$B$2)&gt;1,((WEEKDAY($A442)+$T$2)&lt;7),(WEEKDAY($A442)&lt;&gt;1)),"work",(INDEX(Subject!$A:$I,MATCH(RANDBETWEEN(1,(MAX(Subject!$B:$B))),Subject!$B:$B,0),3))))</f>
        <v/>
      </c>
      <c r="F442" s="2" t="str">
        <f t="array" ref="F442">IF(NOW()&gt;AQ442,"",IF(AND((WEEKDAY($A442)+$B$2)&gt;1,((WEEKDAY($A442)+$T$2)&lt;7),(WEEKDAY($A442)&lt;&gt;1)),"work",(INDEX(Subject!$A:$I,MATCH(RANDBETWEEN(1,(MAX(Subject!$B:$B))),Subject!$B:$B,0),3))))</f>
        <v/>
      </c>
      <c r="G442" s="2" t="str">
        <f t="array" ref="G442">IF(NOW()&gt;AR442,"",IF(AND((WEEKDAY($A442)+$B$2)&gt;1,((WEEKDAY($A442)+$T$2)&lt;7),(WEEKDAY($A442)&lt;&gt;1)),"work",(INDEX(Subject!$A:$I,MATCH(RANDBETWEEN(1,(MAX(Subject!$B:$B))),Subject!$B:$B,0),3))))</f>
        <v/>
      </c>
      <c r="H442" s="2" t="str">
        <f t="array" ref="H442">IF(NOW()&gt;AS442,"",IF(AND((WEEKDAY($A442)+$B$2)&gt;1,((WEEKDAY($A442)+$T$2)&lt;7),(WEEKDAY($A442)&lt;&gt;1)),"work",(INDEX(Subject!$A:$I,MATCH(RANDBETWEEN(1,(MAX(Subject!$B:$B))),Subject!$B:$B,0),3))))</f>
        <v/>
      </c>
      <c r="I442" s="2" t="str">
        <f t="array" ref="I442">IF(NOW()&gt;AT442,"",IF(AND((WEEKDAY($A442)+$B$2)&gt;1,((WEEKDAY($A442)+$T$2)&lt;7),(WEEKDAY($A442)&lt;&gt;1)),"work",(INDEX(Subject!$A:$I,MATCH(RANDBETWEEN(1,(MAX(Subject!$B:$B))),Subject!$B:$B,0),3))))</f>
        <v/>
      </c>
      <c r="J442" s="2" t="str">
        <f t="array" ref="J442">IF(NOW()&gt;AU442,"",IF(AND((WEEKDAY($A442)+$B$2)&gt;1,((WEEKDAY($A442)+$T$2)&lt;7),(WEEKDAY($A442)&lt;&gt;1)),"work",(INDEX(Subject!$A:$I,MATCH(RANDBETWEEN(1,(MAX(Subject!$B:$B))),Subject!$B:$B,0),3))))</f>
        <v/>
      </c>
      <c r="K442" s="2" t="str">
        <f t="array" ref="K442">IF(NOW()&gt;AV442,"",IF(AND((WEEKDAY($A442)+$B$2)&gt;1,((WEEKDAY($A442)+$T$2)&lt;7),(WEEKDAY($A442)&lt;&gt;1)),"work",(INDEX(Subject!$A:$I,MATCH(RANDBETWEEN(1,(MAX(Subject!$B:$B))),Subject!$B:$B,0),3))))</f>
        <v/>
      </c>
      <c r="L442" s="2" t="str">
        <f t="array" ref="L442">IF(NOW()&gt;AW442,"",IF(AND((WEEKDAY($A442)+$B$2)&gt;1,((WEEKDAY($A442)+$T$2)&lt;7),(WEEKDAY($A442)&lt;&gt;1)),"work",(INDEX(Subject!$A:$I,MATCH(RANDBETWEEN(1,(MAX(Subject!$B:$B))),Subject!$B:$B,0),3))))</f>
        <v/>
      </c>
      <c r="M442" s="2" t="str">
        <f t="array" ref="M442">IF(NOW()&gt;AX442,"",IF(AND((WEEKDAY($A442)+$B$2)&gt;1,((WEEKDAY($A442)+$T$2)&lt;7),(WEEKDAY($A442)&lt;&gt;1)),"work",(INDEX(Subject!$A:$I,MATCH(RANDBETWEEN(1,(MAX(Subject!$B:$B))),Subject!$B:$B,0),3))))</f>
        <v/>
      </c>
      <c r="N442" s="2" t="str">
        <f t="array" ref="N442">IF(NOW()&gt;AY442,"",IF(AND((WEEKDAY($A442)+$B$2)&gt;1,((WEEKDAY($A442)+$T$2)&lt;7),(WEEKDAY($A442)&lt;&gt;1)),"work",(INDEX(Subject!$A:$I,MATCH(RANDBETWEEN(1,(MAX(Subject!$B:$B))),Subject!$B:$B,0),3))))</f>
        <v/>
      </c>
      <c r="O442" s="2" t="str">
        <f t="array" ref="O442">IF(NOW()&gt;AZ442,"",IF(AND((WEEKDAY($A442)+$B$2)&gt;1,((WEEKDAY($A442)+$T$2)&lt;7),(WEEKDAY($A442)&lt;&gt;1)),"work",(INDEX(Subject!$A:$I,MATCH(RANDBETWEEN(1,(MAX(Subject!$B:$B))),Subject!$B:$B,0),3))))</f>
        <v/>
      </c>
      <c r="P442" s="2" t="str">
        <f t="array" ref="P442">IF(NOW()&gt;BA442,"",IF(AND((WEEKDAY($A442)+$B$2)&gt;1,((WEEKDAY($A442)+$T$2)&lt;7),(WEEKDAY($A442)&lt;&gt;1)),"work",(INDEX(Subject!$A:$I,MATCH(RANDBETWEEN(1,(MAX(Subject!$B:$B))),Subject!$B:$B,0),3))))</f>
        <v/>
      </c>
      <c r="Q442" s="2" t="str">
        <f t="array" ref="Q442">IF(NOW()&gt;BB442,"",IF(AND((WEEKDAY($A442)+$B$2)&gt;1,((WEEKDAY($A442)+$T$2)&lt;7),(WEEKDAY($A442)&lt;&gt;1)),"work",(INDEX(Subject!$A:$I,MATCH(RANDBETWEEN(1,(MAX(Subject!$B:$B))),Subject!$B:$B,0),3))))</f>
        <v/>
      </c>
      <c r="R442" s="2" t="str">
        <f t="array" ref="R442">IF(NOW()&gt;BC442,"",IF(AND((WEEKDAY($A442)+$B$2)&gt;1,((WEEKDAY($A442)+$T$2)&lt;7),(WEEKDAY($A442)&lt;&gt;1)),"work",(INDEX(Subject!$A:$I,MATCH(RANDBETWEEN(1,(MAX(Subject!$B:$B))),Subject!$B:$B,0),3))))</f>
        <v/>
      </c>
      <c r="S442" s="2" t="str">
        <f t="array" ref="S442">IF(NOW()&gt;BD442,"",IF(AND((WEEKDAY($A442)+$B$2)&gt;1,((WEEKDAY($A442)+$T$2)&lt;7),(WEEKDAY($A442)&lt;&gt;1)),"work",(INDEX(Subject!$A:$I,MATCH(RANDBETWEEN(1,(MAX(Subject!$B:$B))),Subject!$B:$B,0),3))))</f>
        <v/>
      </c>
      <c r="T442" s="2" t="str">
        <f t="array" ref="T442">IF(NOW()&gt;BE442,"",IF(AND((WEEKDAY($A442)+$B$2)&gt;1,((WEEKDAY($A442)+$T$2)&lt;7),(WEEKDAY($A442)&lt;&gt;1)),"work",(INDEX(Subject!$A:$I,MATCH(RANDBETWEEN(1,(MAX(Subject!$B:$B))),Subject!$B:$B,0),3))))</f>
        <v/>
      </c>
      <c r="U442" s="8" t="str">
        <f t="array" ref="U442">INDEX(Subject!$A:$I,MATCH(RANDBETWEEN(1,16),Subject!$B:$B,0),3)</f>
        <v>#N/A</v>
      </c>
      <c r="V442" s="8" t="str">
        <f t="array" ref="V442">INDEX(Subject!$A:$I,MATCH(RANDBETWEEN(1,16),Subject!$B:$B,0),3)</f>
        <v>#N/A</v>
      </c>
      <c r="W442" s="8" t="str">
        <f t="array" ref="W442">INDEX(Subject!$A:$I,MATCH(RANDBETWEEN(1,16),Subject!$B:$B,0),3)</f>
        <v/>
      </c>
      <c r="X442" s="8" t="str">
        <f t="array" ref="X442">INDEX(Subject!$A:$I,MATCH(RANDBETWEEN(1,16),Subject!$B:$B,0),3)</f>
        <v>#N/A</v>
      </c>
      <c r="Y442" s="8" t="str">
        <f t="array" ref="Y442">INDEX(Subject!$A:$I,MATCH(RANDBETWEEN(1,16),Subject!$B:$B,0),3)</f>
        <v>#N/A</v>
      </c>
      <c r="Z442" s="8" t="str">
        <f t="array" ref="Z442">INDEX(Subject!$A:$I,MATCH(RANDBETWEEN(1,16),Subject!$B:$B,0),3)</f>
        <v>#N/A</v>
      </c>
      <c r="AA442" s="8" t="str">
        <f t="array" ref="AA442">INDEX(Subject!$A:$I,MATCH(RANDBETWEEN(1,16),Subject!$B:$B,0),3)</f>
        <v>#N/A</v>
      </c>
      <c r="AB442" s="8" t="str">
        <f t="array" ref="AB442">INDEX(Subject!$A:$I,MATCH(RANDBETWEEN(1,16),Subject!$B:$B,0),3)</f>
        <v>#N/A</v>
      </c>
      <c r="AC442" s="8" t="str">
        <f t="array" ref="AC442">INDEX(Subject!$A:$I,MATCH(RANDBETWEEN(1,16),Subject!$B:$B,0),3)</f>
        <v>#N/A</v>
      </c>
      <c r="AD442" s="8" t="str">
        <f t="array" ref="AD442">INDEX(Subject!$A:$I,MATCH(RANDBETWEEN(1,16),Subject!$B:$B,0),3)</f>
        <v>#N/A</v>
      </c>
      <c r="AE442" s="8" t="str">
        <f t="array" ref="AE442">INDEX(Subject!$A:$I,MATCH(RANDBETWEEN(1,16),Subject!$B:$B,0),3)</f>
        <v>#N/A</v>
      </c>
      <c r="AF442" s="8" t="str">
        <f t="array" ref="AF442">INDEX(Subject!$A:$I,MATCH(RANDBETWEEN(1,16),Subject!$B:$B,0),3)</f>
        <v>#N/A</v>
      </c>
      <c r="AG442" s="8" t="str">
        <f t="array" ref="AG442">INDEX(Subject!$A:$I,MATCH(RANDBETWEEN(1,16),Subject!$B:$B,0),3)</f>
        <v>#N/A</v>
      </c>
      <c r="AH442" s="8" t="str">
        <f t="array" ref="AH442">INDEX(Subject!$A:$I,MATCH(RANDBETWEEN(1,16),Subject!$B:$B,0),3)</f>
        <v>#N/A</v>
      </c>
      <c r="AI442" s="8" t="str">
        <f t="array" ref="AI442">INDEX(Subject!$A:$I,MATCH(RANDBETWEEN(1,16),Subject!$B:$B,0),3)</f>
        <v/>
      </c>
      <c r="AJ442" s="8" t="str">
        <f t="array" ref="AJ442">INDEX(Subject!$A:$I,MATCH(RANDBETWEEN(1,16),Subject!$B:$B,0),3)</f>
        <v>#N/A</v>
      </c>
      <c r="AK442" s="8" t="str">
        <f t="array" ref="AK442">INDEX(Subject!$A:$I,MATCH(RANDBETWEEN(1,16),Subject!$B:$B,0),3)</f>
        <v>#N/A</v>
      </c>
      <c r="AL442" s="8" t="str">
        <f t="array" ref="AL442">INDEX(Subject!$A:$I,MATCH(RANDBETWEEN(1,16),Subject!$B:$B,0),3)</f>
        <v>#N/A</v>
      </c>
      <c r="AM442" s="18">
        <f t="shared" si="4"/>
        <v>45942.33333</v>
      </c>
      <c r="AN442" s="19">
        <f t="shared" ref="AN442:BZ442" si="442">$A442+C$1</f>
        <v>45942.35417</v>
      </c>
      <c r="AO442" s="19">
        <f t="shared" si="442"/>
        <v>45942.375</v>
      </c>
      <c r="AP442" s="19">
        <f t="shared" si="442"/>
        <v>45942.39583</v>
      </c>
      <c r="AQ442" s="19">
        <f t="shared" si="442"/>
        <v>45942.41667</v>
      </c>
      <c r="AR442" s="19">
        <f t="shared" si="442"/>
        <v>45942.4375</v>
      </c>
      <c r="AS442" s="19">
        <f t="shared" si="442"/>
        <v>45942.45833</v>
      </c>
      <c r="AT442" s="19">
        <f t="shared" si="442"/>
        <v>45942.47917</v>
      </c>
      <c r="AU442" s="19">
        <f t="shared" si="442"/>
        <v>45942.5</v>
      </c>
      <c r="AV442" s="19">
        <f t="shared" si="442"/>
        <v>45942.52083</v>
      </c>
      <c r="AW442" s="19">
        <f t="shared" si="442"/>
        <v>45942.54167</v>
      </c>
      <c r="AX442" s="19">
        <f t="shared" si="442"/>
        <v>45942.5625</v>
      </c>
      <c r="AY442" s="19">
        <f t="shared" si="442"/>
        <v>45942.58333</v>
      </c>
      <c r="AZ442" s="19">
        <f t="shared" si="442"/>
        <v>45942.60417</v>
      </c>
      <c r="BA442" s="19">
        <f t="shared" si="442"/>
        <v>45942.625</v>
      </c>
      <c r="BB442" s="19">
        <f t="shared" si="442"/>
        <v>45942.64583</v>
      </c>
      <c r="BC442" s="19">
        <f t="shared" si="442"/>
        <v>45942.66667</v>
      </c>
      <c r="BD442" s="19">
        <f t="shared" si="442"/>
        <v>45942.6875</v>
      </c>
      <c r="BE442" s="19">
        <f t="shared" si="442"/>
        <v>45942.70833</v>
      </c>
      <c r="BF442" s="19">
        <f t="shared" si="442"/>
        <v>45942.72917</v>
      </c>
      <c r="BG442" s="19">
        <f t="shared" si="442"/>
        <v>45942.75</v>
      </c>
      <c r="BH442" s="19">
        <f t="shared" si="442"/>
        <v>45942.77083</v>
      </c>
      <c r="BI442" s="19">
        <f t="shared" si="442"/>
        <v>45942.79167</v>
      </c>
      <c r="BJ442" s="19">
        <f t="shared" si="442"/>
        <v>45942.8125</v>
      </c>
      <c r="BK442" s="19">
        <f t="shared" si="442"/>
        <v>45942.83333</v>
      </c>
      <c r="BL442" s="19">
        <f t="shared" si="442"/>
        <v>45942.85417</v>
      </c>
      <c r="BM442" s="19">
        <f t="shared" si="442"/>
        <v>45942.875</v>
      </c>
      <c r="BN442" s="19">
        <f t="shared" si="442"/>
        <v>45942.89583</v>
      </c>
      <c r="BO442" s="19">
        <f t="shared" si="442"/>
        <v>45942.91667</v>
      </c>
      <c r="BP442" s="19">
        <f t="shared" si="442"/>
        <v>45942.9375</v>
      </c>
      <c r="BQ442" s="19">
        <f t="shared" si="442"/>
        <v>45942.95833</v>
      </c>
      <c r="BR442" s="19">
        <f t="shared" si="442"/>
        <v>45942.97917</v>
      </c>
      <c r="BS442" s="19">
        <f t="shared" si="442"/>
        <v>45943</v>
      </c>
      <c r="BT442" s="19">
        <f t="shared" si="442"/>
        <v>45943.02083</v>
      </c>
      <c r="BU442" s="19">
        <f t="shared" si="442"/>
        <v>45943.04167</v>
      </c>
      <c r="BV442" s="19">
        <f t="shared" si="442"/>
        <v>45943.0625</v>
      </c>
      <c r="BW442" s="19">
        <f t="shared" si="442"/>
        <v>45943.08333</v>
      </c>
      <c r="BX442" s="19">
        <f t="shared" si="442"/>
        <v>45942</v>
      </c>
      <c r="BY442" s="19">
        <f t="shared" si="442"/>
        <v>45942</v>
      </c>
      <c r="BZ442" s="19">
        <f t="shared" si="442"/>
        <v>45942</v>
      </c>
    </row>
    <row r="443" ht="14.25" customHeight="1">
      <c r="A443" s="17">
        <v>45943.0</v>
      </c>
      <c r="B443" s="2" t="str">
        <f t="array" ref="B443">IF(NOW()&gt;AM443,"",IF(AND((WEEKDAY($A443)+$B$2)&gt;1,((WEEKDAY($A443)+$T$2)&lt;7),(WEEKDAY($A443)&lt;&gt;1)),"work",(INDEX(Subject!$A:$I,MATCH(RANDBETWEEN(1,(MAX(Subject!$B:$B))),Subject!$B:$B,0),3))))</f>
        <v/>
      </c>
      <c r="C443" s="2" t="str">
        <f t="array" ref="C443">IF(NOW()&gt;AN443,"",IF(AND((WEEKDAY($A443)+$B$2)&gt;1,((WEEKDAY($A443)+$T$2)&lt;7),(WEEKDAY($A443)&lt;&gt;1)),"work",(INDEX(Subject!$A:$I,MATCH(RANDBETWEEN(1,(MAX(Subject!$B:$B))),Subject!$B:$B,0),3))))</f>
        <v/>
      </c>
      <c r="D443" s="2" t="str">
        <f t="array" ref="D443">IF(NOW()&gt;AO443,"",IF(AND((WEEKDAY($A443)+$B$2)&gt;1,((WEEKDAY($A443)+$T$2)&lt;7),(WEEKDAY($A443)&lt;&gt;1)),"work",(INDEX(Subject!$A:$I,MATCH(RANDBETWEEN(1,(MAX(Subject!$B:$B))),Subject!$B:$B,0),3))))</f>
        <v/>
      </c>
      <c r="E443" s="2" t="str">
        <f t="array" ref="E443">IF(NOW()&gt;AP443,"",IF(AND((WEEKDAY($A443)+$B$2)&gt;1,((WEEKDAY($A443)+$T$2)&lt;7),(WEEKDAY($A443)&lt;&gt;1)),"work",(INDEX(Subject!$A:$I,MATCH(RANDBETWEEN(1,(MAX(Subject!$B:$B))),Subject!$B:$B,0),3))))</f>
        <v/>
      </c>
      <c r="F443" s="2" t="str">
        <f t="array" ref="F443">IF(NOW()&gt;AQ443,"",IF(AND((WEEKDAY($A443)+$B$2)&gt;1,((WEEKDAY($A443)+$T$2)&lt;7),(WEEKDAY($A443)&lt;&gt;1)),"work",(INDEX(Subject!$A:$I,MATCH(RANDBETWEEN(1,(MAX(Subject!$B:$B))),Subject!$B:$B,0),3))))</f>
        <v/>
      </c>
      <c r="G443" s="2" t="str">
        <f t="array" ref="G443">IF(NOW()&gt;AR443,"",IF(AND((WEEKDAY($A443)+$B$2)&gt;1,((WEEKDAY($A443)+$T$2)&lt;7),(WEEKDAY($A443)&lt;&gt;1)),"work",(INDEX(Subject!$A:$I,MATCH(RANDBETWEEN(1,(MAX(Subject!$B:$B))),Subject!$B:$B,0),3))))</f>
        <v/>
      </c>
      <c r="H443" s="2" t="str">
        <f t="array" ref="H443">IF(NOW()&gt;AS443,"",IF(AND((WEEKDAY($A443)+$B$2)&gt;1,((WEEKDAY($A443)+$T$2)&lt;7),(WEEKDAY($A443)&lt;&gt;1)),"work",(INDEX(Subject!$A:$I,MATCH(RANDBETWEEN(1,(MAX(Subject!$B:$B))),Subject!$B:$B,0),3))))</f>
        <v/>
      </c>
      <c r="I443" s="2" t="str">
        <f t="array" ref="I443">IF(NOW()&gt;AT443,"",IF(AND((WEEKDAY($A443)+$B$2)&gt;1,((WEEKDAY($A443)+$T$2)&lt;7),(WEEKDAY($A443)&lt;&gt;1)),"work",(INDEX(Subject!$A:$I,MATCH(RANDBETWEEN(1,(MAX(Subject!$B:$B))),Subject!$B:$B,0),3))))</f>
        <v/>
      </c>
      <c r="J443" s="2" t="str">
        <f t="array" ref="J443">IF(NOW()&gt;AU443,"",IF(AND((WEEKDAY($A443)+$B$2)&gt;1,((WEEKDAY($A443)+$T$2)&lt;7),(WEEKDAY($A443)&lt;&gt;1)),"work",(INDEX(Subject!$A:$I,MATCH(RANDBETWEEN(1,(MAX(Subject!$B:$B))),Subject!$B:$B,0),3))))</f>
        <v/>
      </c>
      <c r="K443" s="2" t="str">
        <f t="array" ref="K443">IF(NOW()&gt;AV443,"",IF(AND((WEEKDAY($A443)+$B$2)&gt;1,((WEEKDAY($A443)+$T$2)&lt;7),(WEEKDAY($A443)&lt;&gt;1)),"work",(INDEX(Subject!$A:$I,MATCH(RANDBETWEEN(1,(MAX(Subject!$B:$B))),Subject!$B:$B,0),3))))</f>
        <v/>
      </c>
      <c r="L443" s="2" t="str">
        <f t="array" ref="L443">IF(NOW()&gt;AW443,"",IF(AND((WEEKDAY($A443)+$B$2)&gt;1,((WEEKDAY($A443)+$T$2)&lt;7),(WEEKDAY($A443)&lt;&gt;1)),"work",(INDEX(Subject!$A:$I,MATCH(RANDBETWEEN(1,(MAX(Subject!$B:$B))),Subject!$B:$B,0),3))))</f>
        <v/>
      </c>
      <c r="M443" s="2" t="str">
        <f t="array" ref="M443">IF(NOW()&gt;AX443,"",IF(AND((WEEKDAY($A443)+$B$2)&gt;1,((WEEKDAY($A443)+$T$2)&lt;7),(WEEKDAY($A443)&lt;&gt;1)),"work",(INDEX(Subject!$A:$I,MATCH(RANDBETWEEN(1,(MAX(Subject!$B:$B))),Subject!$B:$B,0),3))))</f>
        <v/>
      </c>
      <c r="N443" s="2" t="str">
        <f t="array" ref="N443">IF(NOW()&gt;AY443,"",IF(AND((WEEKDAY($A443)+$B$2)&gt;1,((WEEKDAY($A443)+$T$2)&lt;7),(WEEKDAY($A443)&lt;&gt;1)),"work",(INDEX(Subject!$A:$I,MATCH(RANDBETWEEN(1,(MAX(Subject!$B:$B))),Subject!$B:$B,0),3))))</f>
        <v/>
      </c>
      <c r="O443" s="2" t="str">
        <f t="array" ref="O443">IF(NOW()&gt;AZ443,"",IF(AND((WEEKDAY($A443)+$B$2)&gt;1,((WEEKDAY($A443)+$T$2)&lt;7),(WEEKDAY($A443)&lt;&gt;1)),"work",(INDEX(Subject!$A:$I,MATCH(RANDBETWEEN(1,(MAX(Subject!$B:$B))),Subject!$B:$B,0),3))))</f>
        <v/>
      </c>
      <c r="P443" s="2" t="str">
        <f t="array" ref="P443">IF(NOW()&gt;BA443,"",IF(AND((WEEKDAY($A443)+$B$2)&gt;1,((WEEKDAY($A443)+$T$2)&lt;7),(WEEKDAY($A443)&lt;&gt;1)),"work",(INDEX(Subject!$A:$I,MATCH(RANDBETWEEN(1,(MAX(Subject!$B:$B))),Subject!$B:$B,0),3))))</f>
        <v/>
      </c>
      <c r="Q443" s="2" t="str">
        <f t="array" ref="Q443">IF(NOW()&gt;BB443,"",IF(AND((WEEKDAY($A443)+$B$2)&gt;1,((WEEKDAY($A443)+$T$2)&lt;7),(WEEKDAY($A443)&lt;&gt;1)),"work",(INDEX(Subject!$A:$I,MATCH(RANDBETWEEN(1,(MAX(Subject!$B:$B))),Subject!$B:$B,0),3))))</f>
        <v/>
      </c>
      <c r="R443" s="2" t="str">
        <f t="array" ref="R443">IF(NOW()&gt;BC443,"",IF(AND((WEEKDAY($A443)+$B$2)&gt;1,((WEEKDAY($A443)+$T$2)&lt;7),(WEEKDAY($A443)&lt;&gt;1)),"work",(INDEX(Subject!$A:$I,MATCH(RANDBETWEEN(1,(MAX(Subject!$B:$B))),Subject!$B:$B,0),3))))</f>
        <v/>
      </c>
      <c r="S443" s="2" t="str">
        <f t="array" ref="S443">IF(NOW()&gt;BD443,"",IF(AND((WEEKDAY($A443)+$B$2)&gt;1,((WEEKDAY($A443)+$T$2)&lt;7),(WEEKDAY($A443)&lt;&gt;1)),"work",(INDEX(Subject!$A:$I,MATCH(RANDBETWEEN(1,(MAX(Subject!$B:$B))),Subject!$B:$B,0),3))))</f>
        <v/>
      </c>
      <c r="T443" s="2" t="str">
        <f t="array" ref="T443">IF(NOW()&gt;BE443,"",IF(AND((WEEKDAY($A443)+$B$2)&gt;1,((WEEKDAY($A443)+$T$2)&lt;7),(WEEKDAY($A443)&lt;&gt;1)),"work",(INDEX(Subject!$A:$I,MATCH(RANDBETWEEN(1,(MAX(Subject!$B:$B))),Subject!$B:$B,0),3))))</f>
        <v/>
      </c>
      <c r="U443" s="8" t="str">
        <f t="array" ref="U443">INDEX(Subject!$A:$I,MATCH(RANDBETWEEN(1,16),Subject!$B:$B,0),3)</f>
        <v>#N/A</v>
      </c>
      <c r="V443" s="8" t="str">
        <f t="array" ref="V443">INDEX(Subject!$A:$I,MATCH(RANDBETWEEN(1,16),Subject!$B:$B,0),3)</f>
        <v>#N/A</v>
      </c>
      <c r="W443" s="8" t="str">
        <f t="array" ref="W443">INDEX(Subject!$A:$I,MATCH(RANDBETWEEN(1,16),Subject!$B:$B,0),3)</f>
        <v>#N/A</v>
      </c>
      <c r="X443" s="8" t="str">
        <f t="array" ref="X443">INDEX(Subject!$A:$I,MATCH(RANDBETWEEN(1,16),Subject!$B:$B,0),3)</f>
        <v>#N/A</v>
      </c>
      <c r="Y443" s="8" t="str">
        <f t="array" ref="Y443">INDEX(Subject!$A:$I,MATCH(RANDBETWEEN(1,16),Subject!$B:$B,0),3)</f>
        <v>#N/A</v>
      </c>
      <c r="Z443" s="8" t="str">
        <f t="array" ref="Z443">INDEX(Subject!$A:$I,MATCH(RANDBETWEEN(1,16),Subject!$B:$B,0),3)</f>
        <v>#N/A</v>
      </c>
      <c r="AA443" s="8" t="str">
        <f t="array" ref="AA443">INDEX(Subject!$A:$I,MATCH(RANDBETWEEN(1,16),Subject!$B:$B,0),3)</f>
        <v>#N/A</v>
      </c>
      <c r="AB443" s="8" t="str">
        <f t="array" ref="AB443">INDEX(Subject!$A:$I,MATCH(RANDBETWEEN(1,16),Subject!$B:$B,0),3)</f>
        <v>#N/A</v>
      </c>
      <c r="AC443" s="8" t="str">
        <f t="array" ref="AC443">INDEX(Subject!$A:$I,MATCH(RANDBETWEEN(1,16),Subject!$B:$B,0),3)</f>
        <v>#N/A</v>
      </c>
      <c r="AD443" s="8" t="str">
        <f t="array" ref="AD443">INDEX(Subject!$A:$I,MATCH(RANDBETWEEN(1,16),Subject!$B:$B,0),3)</f>
        <v>#N/A</v>
      </c>
      <c r="AE443" s="8" t="str">
        <f t="array" ref="AE443">INDEX(Subject!$A:$I,MATCH(RANDBETWEEN(1,16),Subject!$B:$B,0),3)</f>
        <v>#N/A</v>
      </c>
      <c r="AF443" s="8" t="str">
        <f t="array" ref="AF443">INDEX(Subject!$A:$I,MATCH(RANDBETWEEN(1,16),Subject!$B:$B,0),3)</f>
        <v>#N/A</v>
      </c>
      <c r="AG443" s="8" t="str">
        <f t="array" ref="AG443">INDEX(Subject!$A:$I,MATCH(RANDBETWEEN(1,16),Subject!$B:$B,0),3)</f>
        <v>#N/A</v>
      </c>
      <c r="AH443" s="8" t="str">
        <f t="array" ref="AH443">INDEX(Subject!$A:$I,MATCH(RANDBETWEEN(1,16),Subject!$B:$B,0),3)</f>
        <v>#N/A</v>
      </c>
      <c r="AI443" s="8" t="str">
        <f t="array" ref="AI443">INDEX(Subject!$A:$I,MATCH(RANDBETWEEN(1,16),Subject!$B:$B,0),3)</f>
        <v>#N/A</v>
      </c>
      <c r="AJ443" s="8" t="str">
        <f t="array" ref="AJ443">INDEX(Subject!$A:$I,MATCH(RANDBETWEEN(1,16),Subject!$B:$B,0),3)</f>
        <v>#N/A</v>
      </c>
      <c r="AK443" s="8" t="str">
        <f t="array" ref="AK443">INDEX(Subject!$A:$I,MATCH(RANDBETWEEN(1,16),Subject!$B:$B,0),3)</f>
        <v>#N/A</v>
      </c>
      <c r="AL443" s="8" t="str">
        <f t="array" ref="AL443">INDEX(Subject!$A:$I,MATCH(RANDBETWEEN(1,16),Subject!$B:$B,0),3)</f>
        <v>#N/A</v>
      </c>
      <c r="AM443" s="18">
        <f t="shared" si="4"/>
        <v>45943.33333</v>
      </c>
      <c r="AN443" s="19">
        <f t="shared" ref="AN443:BZ443" si="443">$A443+C$1</f>
        <v>45943.35417</v>
      </c>
      <c r="AO443" s="19">
        <f t="shared" si="443"/>
        <v>45943.375</v>
      </c>
      <c r="AP443" s="19">
        <f t="shared" si="443"/>
        <v>45943.39583</v>
      </c>
      <c r="AQ443" s="19">
        <f t="shared" si="443"/>
        <v>45943.41667</v>
      </c>
      <c r="AR443" s="19">
        <f t="shared" si="443"/>
        <v>45943.4375</v>
      </c>
      <c r="AS443" s="19">
        <f t="shared" si="443"/>
        <v>45943.45833</v>
      </c>
      <c r="AT443" s="19">
        <f t="shared" si="443"/>
        <v>45943.47917</v>
      </c>
      <c r="AU443" s="19">
        <f t="shared" si="443"/>
        <v>45943.5</v>
      </c>
      <c r="AV443" s="19">
        <f t="shared" si="443"/>
        <v>45943.52083</v>
      </c>
      <c r="AW443" s="19">
        <f t="shared" si="443"/>
        <v>45943.54167</v>
      </c>
      <c r="AX443" s="19">
        <f t="shared" si="443"/>
        <v>45943.5625</v>
      </c>
      <c r="AY443" s="19">
        <f t="shared" si="443"/>
        <v>45943.58333</v>
      </c>
      <c r="AZ443" s="19">
        <f t="shared" si="443"/>
        <v>45943.60417</v>
      </c>
      <c r="BA443" s="19">
        <f t="shared" si="443"/>
        <v>45943.625</v>
      </c>
      <c r="BB443" s="19">
        <f t="shared" si="443"/>
        <v>45943.64583</v>
      </c>
      <c r="BC443" s="19">
        <f t="shared" si="443"/>
        <v>45943.66667</v>
      </c>
      <c r="BD443" s="19">
        <f t="shared" si="443"/>
        <v>45943.6875</v>
      </c>
      <c r="BE443" s="19">
        <f t="shared" si="443"/>
        <v>45943.70833</v>
      </c>
      <c r="BF443" s="19">
        <f t="shared" si="443"/>
        <v>45943.72917</v>
      </c>
      <c r="BG443" s="19">
        <f t="shared" si="443"/>
        <v>45943.75</v>
      </c>
      <c r="BH443" s="19">
        <f t="shared" si="443"/>
        <v>45943.77083</v>
      </c>
      <c r="BI443" s="19">
        <f t="shared" si="443"/>
        <v>45943.79167</v>
      </c>
      <c r="BJ443" s="19">
        <f t="shared" si="443"/>
        <v>45943.8125</v>
      </c>
      <c r="BK443" s="19">
        <f t="shared" si="443"/>
        <v>45943.83333</v>
      </c>
      <c r="BL443" s="19">
        <f t="shared" si="443"/>
        <v>45943.85417</v>
      </c>
      <c r="BM443" s="19">
        <f t="shared" si="443"/>
        <v>45943.875</v>
      </c>
      <c r="BN443" s="19">
        <f t="shared" si="443"/>
        <v>45943.89583</v>
      </c>
      <c r="BO443" s="19">
        <f t="shared" si="443"/>
        <v>45943.91667</v>
      </c>
      <c r="BP443" s="19">
        <f t="shared" si="443"/>
        <v>45943.9375</v>
      </c>
      <c r="BQ443" s="19">
        <f t="shared" si="443"/>
        <v>45943.95833</v>
      </c>
      <c r="BR443" s="19">
        <f t="shared" si="443"/>
        <v>45943.97917</v>
      </c>
      <c r="BS443" s="19">
        <f t="shared" si="443"/>
        <v>45944</v>
      </c>
      <c r="BT443" s="19">
        <f t="shared" si="443"/>
        <v>45944.02083</v>
      </c>
      <c r="BU443" s="19">
        <f t="shared" si="443"/>
        <v>45944.04167</v>
      </c>
      <c r="BV443" s="19">
        <f t="shared" si="443"/>
        <v>45944.0625</v>
      </c>
      <c r="BW443" s="19">
        <f t="shared" si="443"/>
        <v>45944.08333</v>
      </c>
      <c r="BX443" s="19">
        <f t="shared" si="443"/>
        <v>45943</v>
      </c>
      <c r="BY443" s="19">
        <f t="shared" si="443"/>
        <v>45943</v>
      </c>
      <c r="BZ443" s="19">
        <f t="shared" si="443"/>
        <v>45943</v>
      </c>
    </row>
    <row r="444" ht="14.25" customHeight="1">
      <c r="A444" s="17">
        <v>45944.0</v>
      </c>
      <c r="B444" s="2" t="str">
        <f t="array" ref="B444">IF(NOW()&gt;AM444,"",IF(AND((WEEKDAY($A444)+$B$2)&gt;1,((WEEKDAY($A444)+$T$2)&lt;7),(WEEKDAY($A444)&lt;&gt;1)),"work",(INDEX(Subject!$A:$I,MATCH(RANDBETWEEN(1,(MAX(Subject!$B:$B))),Subject!$B:$B,0),3))))</f>
        <v/>
      </c>
      <c r="C444" s="2" t="str">
        <f t="array" ref="C444">IF(NOW()&gt;AN444,"",IF(AND((WEEKDAY($A444)+$B$2)&gt;1,((WEEKDAY($A444)+$T$2)&lt;7),(WEEKDAY($A444)&lt;&gt;1)),"work",(INDEX(Subject!$A:$I,MATCH(RANDBETWEEN(1,(MAX(Subject!$B:$B))),Subject!$B:$B,0),3))))</f>
        <v/>
      </c>
      <c r="D444" s="2" t="str">
        <f t="array" ref="D444">IF(NOW()&gt;AO444,"",IF(AND((WEEKDAY($A444)+$B$2)&gt;1,((WEEKDAY($A444)+$T$2)&lt;7),(WEEKDAY($A444)&lt;&gt;1)),"work",(INDEX(Subject!$A:$I,MATCH(RANDBETWEEN(1,(MAX(Subject!$B:$B))),Subject!$B:$B,0),3))))</f>
        <v/>
      </c>
      <c r="E444" s="2" t="str">
        <f t="array" ref="E444">IF(NOW()&gt;AP444,"",IF(AND((WEEKDAY($A444)+$B$2)&gt;1,((WEEKDAY($A444)+$T$2)&lt;7),(WEEKDAY($A444)&lt;&gt;1)),"work",(INDEX(Subject!$A:$I,MATCH(RANDBETWEEN(1,(MAX(Subject!$B:$B))),Subject!$B:$B,0),3))))</f>
        <v/>
      </c>
      <c r="F444" s="2" t="str">
        <f t="array" ref="F444">IF(NOW()&gt;AQ444,"",IF(AND((WEEKDAY($A444)+$B$2)&gt;1,((WEEKDAY($A444)+$T$2)&lt;7),(WEEKDAY($A444)&lt;&gt;1)),"work",(INDEX(Subject!$A:$I,MATCH(RANDBETWEEN(1,(MAX(Subject!$B:$B))),Subject!$B:$B,0),3))))</f>
        <v/>
      </c>
      <c r="G444" s="2" t="str">
        <f t="array" ref="G444">IF(NOW()&gt;AR444,"",IF(AND((WEEKDAY($A444)+$B$2)&gt;1,((WEEKDAY($A444)+$T$2)&lt;7),(WEEKDAY($A444)&lt;&gt;1)),"work",(INDEX(Subject!$A:$I,MATCH(RANDBETWEEN(1,(MAX(Subject!$B:$B))),Subject!$B:$B,0),3))))</f>
        <v/>
      </c>
      <c r="H444" s="2" t="str">
        <f t="array" ref="H444">IF(NOW()&gt;AS444,"",IF(AND((WEEKDAY($A444)+$B$2)&gt;1,((WEEKDAY($A444)+$T$2)&lt;7),(WEEKDAY($A444)&lt;&gt;1)),"work",(INDEX(Subject!$A:$I,MATCH(RANDBETWEEN(1,(MAX(Subject!$B:$B))),Subject!$B:$B,0),3))))</f>
        <v/>
      </c>
      <c r="I444" s="2" t="str">
        <f t="array" ref="I444">IF(NOW()&gt;AT444,"",IF(AND((WEEKDAY($A444)+$B$2)&gt;1,((WEEKDAY($A444)+$T$2)&lt;7),(WEEKDAY($A444)&lt;&gt;1)),"work",(INDEX(Subject!$A:$I,MATCH(RANDBETWEEN(1,(MAX(Subject!$B:$B))),Subject!$B:$B,0),3))))</f>
        <v/>
      </c>
      <c r="J444" s="2" t="str">
        <f t="array" ref="J444">IF(NOW()&gt;AU444,"",IF(AND((WEEKDAY($A444)+$B$2)&gt;1,((WEEKDAY($A444)+$T$2)&lt;7),(WEEKDAY($A444)&lt;&gt;1)),"work",(INDEX(Subject!$A:$I,MATCH(RANDBETWEEN(1,(MAX(Subject!$B:$B))),Subject!$B:$B,0),3))))</f>
        <v/>
      </c>
      <c r="K444" s="2" t="str">
        <f t="array" ref="K444">IF(NOW()&gt;AV444,"",IF(AND((WEEKDAY($A444)+$B$2)&gt;1,((WEEKDAY($A444)+$T$2)&lt;7),(WEEKDAY($A444)&lt;&gt;1)),"work",(INDEX(Subject!$A:$I,MATCH(RANDBETWEEN(1,(MAX(Subject!$B:$B))),Subject!$B:$B,0),3))))</f>
        <v/>
      </c>
      <c r="L444" s="2" t="str">
        <f t="array" ref="L444">IF(NOW()&gt;AW444,"",IF(AND((WEEKDAY($A444)+$B$2)&gt;1,((WEEKDAY($A444)+$T$2)&lt;7),(WEEKDAY($A444)&lt;&gt;1)),"work",(INDEX(Subject!$A:$I,MATCH(RANDBETWEEN(1,(MAX(Subject!$B:$B))),Subject!$B:$B,0),3))))</f>
        <v/>
      </c>
      <c r="M444" s="2" t="str">
        <f t="array" ref="M444">IF(NOW()&gt;AX444,"",IF(AND((WEEKDAY($A444)+$B$2)&gt;1,((WEEKDAY($A444)+$T$2)&lt;7),(WEEKDAY($A444)&lt;&gt;1)),"work",(INDEX(Subject!$A:$I,MATCH(RANDBETWEEN(1,(MAX(Subject!$B:$B))),Subject!$B:$B,0),3))))</f>
        <v/>
      </c>
      <c r="N444" s="2" t="str">
        <f t="array" ref="N444">IF(NOW()&gt;AY444,"",IF(AND((WEEKDAY($A444)+$B$2)&gt;1,((WEEKDAY($A444)+$T$2)&lt;7),(WEEKDAY($A444)&lt;&gt;1)),"work",(INDEX(Subject!$A:$I,MATCH(RANDBETWEEN(1,(MAX(Subject!$B:$B))),Subject!$B:$B,0),3))))</f>
        <v/>
      </c>
      <c r="O444" s="2" t="str">
        <f t="array" ref="O444">IF(NOW()&gt;AZ444,"",IF(AND((WEEKDAY($A444)+$B$2)&gt;1,((WEEKDAY($A444)+$T$2)&lt;7),(WEEKDAY($A444)&lt;&gt;1)),"work",(INDEX(Subject!$A:$I,MATCH(RANDBETWEEN(1,(MAX(Subject!$B:$B))),Subject!$B:$B,0),3))))</f>
        <v/>
      </c>
      <c r="P444" s="2" t="str">
        <f t="array" ref="P444">IF(NOW()&gt;BA444,"",IF(AND((WEEKDAY($A444)+$B$2)&gt;1,((WEEKDAY($A444)+$T$2)&lt;7),(WEEKDAY($A444)&lt;&gt;1)),"work",(INDEX(Subject!$A:$I,MATCH(RANDBETWEEN(1,(MAX(Subject!$B:$B))),Subject!$B:$B,0),3))))</f>
        <v/>
      </c>
      <c r="Q444" s="2" t="str">
        <f t="array" ref="Q444">IF(NOW()&gt;BB444,"",IF(AND((WEEKDAY($A444)+$B$2)&gt;1,((WEEKDAY($A444)+$T$2)&lt;7),(WEEKDAY($A444)&lt;&gt;1)),"work",(INDEX(Subject!$A:$I,MATCH(RANDBETWEEN(1,(MAX(Subject!$B:$B))),Subject!$B:$B,0),3))))</f>
        <v/>
      </c>
      <c r="R444" s="2" t="str">
        <f t="array" ref="R444">IF(NOW()&gt;BC444,"",IF(AND((WEEKDAY($A444)+$B$2)&gt;1,((WEEKDAY($A444)+$T$2)&lt;7),(WEEKDAY($A444)&lt;&gt;1)),"work",(INDEX(Subject!$A:$I,MATCH(RANDBETWEEN(1,(MAX(Subject!$B:$B))),Subject!$B:$B,0),3))))</f>
        <v/>
      </c>
      <c r="S444" s="2" t="str">
        <f t="array" ref="S444">IF(NOW()&gt;BD444,"",IF(AND((WEEKDAY($A444)+$B$2)&gt;1,((WEEKDAY($A444)+$T$2)&lt;7),(WEEKDAY($A444)&lt;&gt;1)),"work",(INDEX(Subject!$A:$I,MATCH(RANDBETWEEN(1,(MAX(Subject!$B:$B))),Subject!$B:$B,0),3))))</f>
        <v/>
      </c>
      <c r="T444" s="2" t="str">
        <f t="array" ref="T444">IF(NOW()&gt;BE444,"",IF(AND((WEEKDAY($A444)+$B$2)&gt;1,((WEEKDAY($A444)+$T$2)&lt;7),(WEEKDAY($A444)&lt;&gt;1)),"work",(INDEX(Subject!$A:$I,MATCH(RANDBETWEEN(1,(MAX(Subject!$B:$B))),Subject!$B:$B,0),3))))</f>
        <v/>
      </c>
      <c r="U444" s="8" t="str">
        <f t="array" ref="U444">INDEX(Subject!$A:$I,MATCH(RANDBETWEEN(1,16),Subject!$B:$B,0),3)</f>
        <v>#N/A</v>
      </c>
      <c r="V444" s="8" t="str">
        <f t="array" ref="V444">INDEX(Subject!$A:$I,MATCH(RANDBETWEEN(1,16),Subject!$B:$B,0),3)</f>
        <v>#N/A</v>
      </c>
      <c r="W444" s="8" t="str">
        <f t="array" ref="W444">INDEX(Subject!$A:$I,MATCH(RANDBETWEEN(1,16),Subject!$B:$B,0),3)</f>
        <v>#N/A</v>
      </c>
      <c r="X444" s="8" t="str">
        <f t="array" ref="X444">INDEX(Subject!$A:$I,MATCH(RANDBETWEEN(1,16),Subject!$B:$B,0),3)</f>
        <v>#N/A</v>
      </c>
      <c r="Y444" s="8" t="str">
        <f t="array" ref="Y444">INDEX(Subject!$A:$I,MATCH(RANDBETWEEN(1,16),Subject!$B:$B,0),3)</f>
        <v>#N/A</v>
      </c>
      <c r="Z444" s="8" t="str">
        <f t="array" ref="Z444">INDEX(Subject!$A:$I,MATCH(RANDBETWEEN(1,16),Subject!$B:$B,0),3)</f>
        <v>#N/A</v>
      </c>
      <c r="AA444" s="8" t="str">
        <f t="array" ref="AA444">INDEX(Subject!$A:$I,MATCH(RANDBETWEEN(1,16),Subject!$B:$B,0),3)</f>
        <v>#N/A</v>
      </c>
      <c r="AB444" s="8" t="str">
        <f t="array" ref="AB444">INDEX(Subject!$A:$I,MATCH(RANDBETWEEN(1,16),Subject!$B:$B,0),3)</f>
        <v>#N/A</v>
      </c>
      <c r="AC444" s="8" t="str">
        <f t="array" ref="AC444">INDEX(Subject!$A:$I,MATCH(RANDBETWEEN(1,16),Subject!$B:$B,0),3)</f>
        <v>#N/A</v>
      </c>
      <c r="AD444" s="8" t="str">
        <f t="array" ref="AD444">INDEX(Subject!$A:$I,MATCH(RANDBETWEEN(1,16),Subject!$B:$B,0),3)</f>
        <v>#N/A</v>
      </c>
      <c r="AE444" s="8" t="str">
        <f t="array" ref="AE444">INDEX(Subject!$A:$I,MATCH(RANDBETWEEN(1,16),Subject!$B:$B,0),3)</f>
        <v>#N/A</v>
      </c>
      <c r="AF444" s="8" t="str">
        <f t="array" ref="AF444">INDEX(Subject!$A:$I,MATCH(RANDBETWEEN(1,16),Subject!$B:$B,0),3)</f>
        <v/>
      </c>
      <c r="AG444" s="8" t="str">
        <f t="array" ref="AG444">INDEX(Subject!$A:$I,MATCH(RANDBETWEEN(1,16),Subject!$B:$B,0),3)</f>
        <v>#N/A</v>
      </c>
      <c r="AH444" s="8" t="str">
        <f t="array" ref="AH444">INDEX(Subject!$A:$I,MATCH(RANDBETWEEN(1,16),Subject!$B:$B,0),3)</f>
        <v>#N/A</v>
      </c>
      <c r="AI444" s="8" t="str">
        <f t="array" ref="AI444">INDEX(Subject!$A:$I,MATCH(RANDBETWEEN(1,16),Subject!$B:$B,0),3)</f>
        <v>#N/A</v>
      </c>
      <c r="AJ444" s="8" t="str">
        <f t="array" ref="AJ444">INDEX(Subject!$A:$I,MATCH(RANDBETWEEN(1,16),Subject!$B:$B,0),3)</f>
        <v>#N/A</v>
      </c>
      <c r="AK444" s="8" t="str">
        <f t="array" ref="AK444">INDEX(Subject!$A:$I,MATCH(RANDBETWEEN(1,16),Subject!$B:$B,0),3)</f>
        <v>#N/A</v>
      </c>
      <c r="AL444" s="8" t="str">
        <f t="array" ref="AL444">INDEX(Subject!$A:$I,MATCH(RANDBETWEEN(1,16),Subject!$B:$B,0),3)</f>
        <v>#N/A</v>
      </c>
      <c r="AM444" s="18">
        <f t="shared" si="4"/>
        <v>45944.33333</v>
      </c>
      <c r="AN444" s="19">
        <f t="shared" ref="AN444:BZ444" si="444">$A444+C$1</f>
        <v>45944.35417</v>
      </c>
      <c r="AO444" s="19">
        <f t="shared" si="444"/>
        <v>45944.375</v>
      </c>
      <c r="AP444" s="19">
        <f t="shared" si="444"/>
        <v>45944.39583</v>
      </c>
      <c r="AQ444" s="19">
        <f t="shared" si="444"/>
        <v>45944.41667</v>
      </c>
      <c r="AR444" s="19">
        <f t="shared" si="444"/>
        <v>45944.4375</v>
      </c>
      <c r="AS444" s="19">
        <f t="shared" si="444"/>
        <v>45944.45833</v>
      </c>
      <c r="AT444" s="19">
        <f t="shared" si="444"/>
        <v>45944.47917</v>
      </c>
      <c r="AU444" s="19">
        <f t="shared" si="444"/>
        <v>45944.5</v>
      </c>
      <c r="AV444" s="19">
        <f t="shared" si="444"/>
        <v>45944.52083</v>
      </c>
      <c r="AW444" s="19">
        <f t="shared" si="444"/>
        <v>45944.54167</v>
      </c>
      <c r="AX444" s="19">
        <f t="shared" si="444"/>
        <v>45944.5625</v>
      </c>
      <c r="AY444" s="19">
        <f t="shared" si="444"/>
        <v>45944.58333</v>
      </c>
      <c r="AZ444" s="19">
        <f t="shared" si="444"/>
        <v>45944.60417</v>
      </c>
      <c r="BA444" s="19">
        <f t="shared" si="444"/>
        <v>45944.625</v>
      </c>
      <c r="BB444" s="19">
        <f t="shared" si="444"/>
        <v>45944.64583</v>
      </c>
      <c r="BC444" s="19">
        <f t="shared" si="444"/>
        <v>45944.66667</v>
      </c>
      <c r="BD444" s="19">
        <f t="shared" si="444"/>
        <v>45944.6875</v>
      </c>
      <c r="BE444" s="19">
        <f t="shared" si="444"/>
        <v>45944.70833</v>
      </c>
      <c r="BF444" s="19">
        <f t="shared" si="444"/>
        <v>45944.72917</v>
      </c>
      <c r="BG444" s="19">
        <f t="shared" si="444"/>
        <v>45944.75</v>
      </c>
      <c r="BH444" s="19">
        <f t="shared" si="444"/>
        <v>45944.77083</v>
      </c>
      <c r="BI444" s="19">
        <f t="shared" si="444"/>
        <v>45944.79167</v>
      </c>
      <c r="BJ444" s="19">
        <f t="shared" si="444"/>
        <v>45944.8125</v>
      </c>
      <c r="BK444" s="19">
        <f t="shared" si="444"/>
        <v>45944.83333</v>
      </c>
      <c r="BL444" s="19">
        <f t="shared" si="444"/>
        <v>45944.85417</v>
      </c>
      <c r="BM444" s="19">
        <f t="shared" si="444"/>
        <v>45944.875</v>
      </c>
      <c r="BN444" s="19">
        <f t="shared" si="444"/>
        <v>45944.89583</v>
      </c>
      <c r="BO444" s="19">
        <f t="shared" si="444"/>
        <v>45944.91667</v>
      </c>
      <c r="BP444" s="19">
        <f t="shared" si="444"/>
        <v>45944.9375</v>
      </c>
      <c r="BQ444" s="19">
        <f t="shared" si="444"/>
        <v>45944.95833</v>
      </c>
      <c r="BR444" s="19">
        <f t="shared" si="444"/>
        <v>45944.97917</v>
      </c>
      <c r="BS444" s="19">
        <f t="shared" si="444"/>
        <v>45945</v>
      </c>
      <c r="BT444" s="19">
        <f t="shared" si="444"/>
        <v>45945.02083</v>
      </c>
      <c r="BU444" s="19">
        <f t="shared" si="444"/>
        <v>45945.04167</v>
      </c>
      <c r="BV444" s="19">
        <f t="shared" si="444"/>
        <v>45945.0625</v>
      </c>
      <c r="BW444" s="19">
        <f t="shared" si="444"/>
        <v>45945.08333</v>
      </c>
      <c r="BX444" s="19">
        <f t="shared" si="444"/>
        <v>45944</v>
      </c>
      <c r="BY444" s="19">
        <f t="shared" si="444"/>
        <v>45944</v>
      </c>
      <c r="BZ444" s="19">
        <f t="shared" si="444"/>
        <v>45944</v>
      </c>
    </row>
    <row r="445" ht="14.25" customHeight="1">
      <c r="A445" s="17">
        <v>45945.0</v>
      </c>
      <c r="B445" s="2" t="str">
        <f t="array" ref="B445">IF(NOW()&gt;AM445,"",IF(AND((WEEKDAY($A445)+$B$2)&gt;1,((WEEKDAY($A445)+$T$2)&lt;7),(WEEKDAY($A445)&lt;&gt;1)),"work",(INDEX(Subject!$A:$I,MATCH(RANDBETWEEN(1,(MAX(Subject!$B:$B))),Subject!$B:$B,0),3))))</f>
        <v/>
      </c>
      <c r="C445" s="2" t="str">
        <f t="array" ref="C445">IF(NOW()&gt;AN445,"",IF(AND((WEEKDAY($A445)+$B$2)&gt;1,((WEEKDAY($A445)+$T$2)&lt;7),(WEEKDAY($A445)&lt;&gt;1)),"work",(INDEX(Subject!$A:$I,MATCH(RANDBETWEEN(1,(MAX(Subject!$B:$B))),Subject!$B:$B,0),3))))</f>
        <v/>
      </c>
      <c r="D445" s="2" t="str">
        <f t="array" ref="D445">IF(NOW()&gt;AO445,"",IF(AND((WEEKDAY($A445)+$B$2)&gt;1,((WEEKDAY($A445)+$T$2)&lt;7),(WEEKDAY($A445)&lt;&gt;1)),"work",(INDEX(Subject!$A:$I,MATCH(RANDBETWEEN(1,(MAX(Subject!$B:$B))),Subject!$B:$B,0),3))))</f>
        <v/>
      </c>
      <c r="E445" s="2" t="str">
        <f t="array" ref="E445">IF(NOW()&gt;AP445,"",IF(AND((WEEKDAY($A445)+$B$2)&gt;1,((WEEKDAY($A445)+$T$2)&lt;7),(WEEKDAY($A445)&lt;&gt;1)),"work",(INDEX(Subject!$A:$I,MATCH(RANDBETWEEN(1,(MAX(Subject!$B:$B))),Subject!$B:$B,0),3))))</f>
        <v/>
      </c>
      <c r="F445" s="2" t="str">
        <f t="array" ref="F445">IF(NOW()&gt;AQ445,"",IF(AND((WEEKDAY($A445)+$B$2)&gt;1,((WEEKDAY($A445)+$T$2)&lt;7),(WEEKDAY($A445)&lt;&gt;1)),"work",(INDEX(Subject!$A:$I,MATCH(RANDBETWEEN(1,(MAX(Subject!$B:$B))),Subject!$B:$B,0),3))))</f>
        <v/>
      </c>
      <c r="G445" s="2" t="str">
        <f t="array" ref="G445">IF(NOW()&gt;AR445,"",IF(AND((WEEKDAY($A445)+$B$2)&gt;1,((WEEKDAY($A445)+$T$2)&lt;7),(WEEKDAY($A445)&lt;&gt;1)),"work",(INDEX(Subject!$A:$I,MATCH(RANDBETWEEN(1,(MAX(Subject!$B:$B))),Subject!$B:$B,0),3))))</f>
        <v/>
      </c>
      <c r="H445" s="2" t="str">
        <f t="array" ref="H445">IF(NOW()&gt;AS445,"",IF(AND((WEEKDAY($A445)+$B$2)&gt;1,((WEEKDAY($A445)+$T$2)&lt;7),(WEEKDAY($A445)&lt;&gt;1)),"work",(INDEX(Subject!$A:$I,MATCH(RANDBETWEEN(1,(MAX(Subject!$B:$B))),Subject!$B:$B,0),3))))</f>
        <v/>
      </c>
      <c r="I445" s="2" t="str">
        <f t="array" ref="I445">IF(NOW()&gt;AT445,"",IF(AND((WEEKDAY($A445)+$B$2)&gt;1,((WEEKDAY($A445)+$T$2)&lt;7),(WEEKDAY($A445)&lt;&gt;1)),"work",(INDEX(Subject!$A:$I,MATCH(RANDBETWEEN(1,(MAX(Subject!$B:$B))),Subject!$B:$B,0),3))))</f>
        <v/>
      </c>
      <c r="J445" s="2" t="str">
        <f t="array" ref="J445">IF(NOW()&gt;AU445,"",IF(AND((WEEKDAY($A445)+$B$2)&gt;1,((WEEKDAY($A445)+$T$2)&lt;7),(WEEKDAY($A445)&lt;&gt;1)),"work",(INDEX(Subject!$A:$I,MATCH(RANDBETWEEN(1,(MAX(Subject!$B:$B))),Subject!$B:$B,0),3))))</f>
        <v/>
      </c>
      <c r="K445" s="2" t="str">
        <f t="array" ref="K445">IF(NOW()&gt;AV445,"",IF(AND((WEEKDAY($A445)+$B$2)&gt;1,((WEEKDAY($A445)+$T$2)&lt;7),(WEEKDAY($A445)&lt;&gt;1)),"work",(INDEX(Subject!$A:$I,MATCH(RANDBETWEEN(1,(MAX(Subject!$B:$B))),Subject!$B:$B,0),3))))</f>
        <v/>
      </c>
      <c r="L445" s="2" t="str">
        <f t="array" ref="L445">IF(NOW()&gt;AW445,"",IF(AND((WEEKDAY($A445)+$B$2)&gt;1,((WEEKDAY($A445)+$T$2)&lt;7),(WEEKDAY($A445)&lt;&gt;1)),"work",(INDEX(Subject!$A:$I,MATCH(RANDBETWEEN(1,(MAX(Subject!$B:$B))),Subject!$B:$B,0),3))))</f>
        <v/>
      </c>
      <c r="M445" s="2" t="str">
        <f t="array" ref="M445">IF(NOW()&gt;AX445,"",IF(AND((WEEKDAY($A445)+$B$2)&gt;1,((WEEKDAY($A445)+$T$2)&lt;7),(WEEKDAY($A445)&lt;&gt;1)),"work",(INDEX(Subject!$A:$I,MATCH(RANDBETWEEN(1,(MAX(Subject!$B:$B))),Subject!$B:$B,0),3))))</f>
        <v/>
      </c>
      <c r="N445" s="2" t="str">
        <f t="array" ref="N445">IF(NOW()&gt;AY445,"",IF(AND((WEEKDAY($A445)+$B$2)&gt;1,((WEEKDAY($A445)+$T$2)&lt;7),(WEEKDAY($A445)&lt;&gt;1)),"work",(INDEX(Subject!$A:$I,MATCH(RANDBETWEEN(1,(MAX(Subject!$B:$B))),Subject!$B:$B,0),3))))</f>
        <v/>
      </c>
      <c r="O445" s="2" t="str">
        <f t="array" ref="O445">IF(NOW()&gt;AZ445,"",IF(AND((WEEKDAY($A445)+$B$2)&gt;1,((WEEKDAY($A445)+$T$2)&lt;7),(WEEKDAY($A445)&lt;&gt;1)),"work",(INDEX(Subject!$A:$I,MATCH(RANDBETWEEN(1,(MAX(Subject!$B:$B))),Subject!$B:$B,0),3))))</f>
        <v/>
      </c>
      <c r="P445" s="2" t="str">
        <f t="array" ref="P445">IF(NOW()&gt;BA445,"",IF(AND((WEEKDAY($A445)+$B$2)&gt;1,((WEEKDAY($A445)+$T$2)&lt;7),(WEEKDAY($A445)&lt;&gt;1)),"work",(INDEX(Subject!$A:$I,MATCH(RANDBETWEEN(1,(MAX(Subject!$B:$B))),Subject!$B:$B,0),3))))</f>
        <v/>
      </c>
      <c r="Q445" s="2" t="str">
        <f t="array" ref="Q445">IF(NOW()&gt;BB445,"",IF(AND((WEEKDAY($A445)+$B$2)&gt;1,((WEEKDAY($A445)+$T$2)&lt;7),(WEEKDAY($A445)&lt;&gt;1)),"work",(INDEX(Subject!$A:$I,MATCH(RANDBETWEEN(1,(MAX(Subject!$B:$B))),Subject!$B:$B,0),3))))</f>
        <v/>
      </c>
      <c r="R445" s="2" t="str">
        <f t="array" ref="R445">IF(NOW()&gt;BC445,"",IF(AND((WEEKDAY($A445)+$B$2)&gt;1,((WEEKDAY($A445)+$T$2)&lt;7),(WEEKDAY($A445)&lt;&gt;1)),"work",(INDEX(Subject!$A:$I,MATCH(RANDBETWEEN(1,(MAX(Subject!$B:$B))),Subject!$B:$B,0),3))))</f>
        <v/>
      </c>
      <c r="S445" s="2" t="str">
        <f t="array" ref="S445">IF(NOW()&gt;BD445,"",IF(AND((WEEKDAY($A445)+$B$2)&gt;1,((WEEKDAY($A445)+$T$2)&lt;7),(WEEKDAY($A445)&lt;&gt;1)),"work",(INDEX(Subject!$A:$I,MATCH(RANDBETWEEN(1,(MAX(Subject!$B:$B))),Subject!$B:$B,0),3))))</f>
        <v/>
      </c>
      <c r="T445" s="2" t="str">
        <f t="array" ref="T445">IF(NOW()&gt;BE445,"",IF(AND((WEEKDAY($A445)+$B$2)&gt;1,((WEEKDAY($A445)+$T$2)&lt;7),(WEEKDAY($A445)&lt;&gt;1)),"work",(INDEX(Subject!$A:$I,MATCH(RANDBETWEEN(1,(MAX(Subject!$B:$B))),Subject!$B:$B,0),3))))</f>
        <v/>
      </c>
      <c r="U445" s="8" t="str">
        <f t="array" ref="U445">INDEX(Subject!$A:$I,MATCH(RANDBETWEEN(1,16),Subject!$B:$B,0),3)</f>
        <v>#N/A</v>
      </c>
      <c r="V445" s="8" t="str">
        <f t="array" ref="V445">INDEX(Subject!$A:$I,MATCH(RANDBETWEEN(1,16),Subject!$B:$B,0),3)</f>
        <v>#N/A</v>
      </c>
      <c r="W445" s="8" t="str">
        <f t="array" ref="W445">INDEX(Subject!$A:$I,MATCH(RANDBETWEEN(1,16),Subject!$B:$B,0),3)</f>
        <v>#N/A</v>
      </c>
      <c r="X445" s="8" t="str">
        <f t="array" ref="X445">INDEX(Subject!$A:$I,MATCH(RANDBETWEEN(1,16),Subject!$B:$B,0),3)</f>
        <v>#N/A</v>
      </c>
      <c r="Y445" s="8" t="str">
        <f t="array" ref="Y445">INDEX(Subject!$A:$I,MATCH(RANDBETWEEN(1,16),Subject!$B:$B,0),3)</f>
        <v>#N/A</v>
      </c>
      <c r="Z445" s="8" t="str">
        <f t="array" ref="Z445">INDEX(Subject!$A:$I,MATCH(RANDBETWEEN(1,16),Subject!$B:$B,0),3)</f>
        <v>#N/A</v>
      </c>
      <c r="AA445" s="8" t="str">
        <f t="array" ref="AA445">INDEX(Subject!$A:$I,MATCH(RANDBETWEEN(1,16),Subject!$B:$B,0),3)</f>
        <v>#N/A</v>
      </c>
      <c r="AB445" s="8" t="str">
        <f t="array" ref="AB445">INDEX(Subject!$A:$I,MATCH(RANDBETWEEN(1,16),Subject!$B:$B,0),3)</f>
        <v>#N/A</v>
      </c>
      <c r="AC445" s="8" t="str">
        <f t="array" ref="AC445">INDEX(Subject!$A:$I,MATCH(RANDBETWEEN(1,16),Subject!$B:$B,0),3)</f>
        <v>#N/A</v>
      </c>
      <c r="AD445" s="8" t="str">
        <f t="array" ref="AD445">INDEX(Subject!$A:$I,MATCH(RANDBETWEEN(1,16),Subject!$B:$B,0),3)</f>
        <v>#N/A</v>
      </c>
      <c r="AE445" s="8" t="str">
        <f t="array" ref="AE445">INDEX(Subject!$A:$I,MATCH(RANDBETWEEN(1,16),Subject!$B:$B,0),3)</f>
        <v>#N/A</v>
      </c>
      <c r="AF445" s="8" t="str">
        <f t="array" ref="AF445">INDEX(Subject!$A:$I,MATCH(RANDBETWEEN(1,16),Subject!$B:$B,0),3)</f>
        <v>#N/A</v>
      </c>
      <c r="AG445" s="8" t="str">
        <f t="array" ref="AG445">INDEX(Subject!$A:$I,MATCH(RANDBETWEEN(1,16),Subject!$B:$B,0),3)</f>
        <v>#N/A</v>
      </c>
      <c r="AH445" s="8" t="str">
        <f t="array" ref="AH445">INDEX(Subject!$A:$I,MATCH(RANDBETWEEN(1,16),Subject!$B:$B,0),3)</f>
        <v/>
      </c>
      <c r="AI445" s="8" t="str">
        <f t="array" ref="AI445">INDEX(Subject!$A:$I,MATCH(RANDBETWEEN(1,16),Subject!$B:$B,0),3)</f>
        <v>#N/A</v>
      </c>
      <c r="AJ445" s="8" t="str">
        <f t="array" ref="AJ445">INDEX(Subject!$A:$I,MATCH(RANDBETWEEN(1,16),Subject!$B:$B,0),3)</f>
        <v>#N/A</v>
      </c>
      <c r="AK445" s="8" t="str">
        <f t="array" ref="AK445">INDEX(Subject!$A:$I,MATCH(RANDBETWEEN(1,16),Subject!$B:$B,0),3)</f>
        <v>#N/A</v>
      </c>
      <c r="AL445" s="8" t="str">
        <f t="array" ref="AL445">INDEX(Subject!$A:$I,MATCH(RANDBETWEEN(1,16),Subject!$B:$B,0),3)</f>
        <v>#N/A</v>
      </c>
      <c r="AM445" s="18">
        <f t="shared" si="4"/>
        <v>45945.33333</v>
      </c>
      <c r="AN445" s="19">
        <f t="shared" ref="AN445:BZ445" si="445">$A445+C$1</f>
        <v>45945.35417</v>
      </c>
      <c r="AO445" s="19">
        <f t="shared" si="445"/>
        <v>45945.375</v>
      </c>
      <c r="AP445" s="19">
        <f t="shared" si="445"/>
        <v>45945.39583</v>
      </c>
      <c r="AQ445" s="19">
        <f t="shared" si="445"/>
        <v>45945.41667</v>
      </c>
      <c r="AR445" s="19">
        <f t="shared" si="445"/>
        <v>45945.4375</v>
      </c>
      <c r="AS445" s="19">
        <f t="shared" si="445"/>
        <v>45945.45833</v>
      </c>
      <c r="AT445" s="19">
        <f t="shared" si="445"/>
        <v>45945.47917</v>
      </c>
      <c r="AU445" s="19">
        <f t="shared" si="445"/>
        <v>45945.5</v>
      </c>
      <c r="AV445" s="19">
        <f t="shared" si="445"/>
        <v>45945.52083</v>
      </c>
      <c r="AW445" s="19">
        <f t="shared" si="445"/>
        <v>45945.54167</v>
      </c>
      <c r="AX445" s="19">
        <f t="shared" si="445"/>
        <v>45945.5625</v>
      </c>
      <c r="AY445" s="19">
        <f t="shared" si="445"/>
        <v>45945.58333</v>
      </c>
      <c r="AZ445" s="19">
        <f t="shared" si="445"/>
        <v>45945.60417</v>
      </c>
      <c r="BA445" s="19">
        <f t="shared" si="445"/>
        <v>45945.625</v>
      </c>
      <c r="BB445" s="19">
        <f t="shared" si="445"/>
        <v>45945.64583</v>
      </c>
      <c r="BC445" s="19">
        <f t="shared" si="445"/>
        <v>45945.66667</v>
      </c>
      <c r="BD445" s="19">
        <f t="shared" si="445"/>
        <v>45945.6875</v>
      </c>
      <c r="BE445" s="19">
        <f t="shared" si="445"/>
        <v>45945.70833</v>
      </c>
      <c r="BF445" s="19">
        <f t="shared" si="445"/>
        <v>45945.72917</v>
      </c>
      <c r="BG445" s="19">
        <f t="shared" si="445"/>
        <v>45945.75</v>
      </c>
      <c r="BH445" s="19">
        <f t="shared" si="445"/>
        <v>45945.77083</v>
      </c>
      <c r="BI445" s="19">
        <f t="shared" si="445"/>
        <v>45945.79167</v>
      </c>
      <c r="BJ445" s="19">
        <f t="shared" si="445"/>
        <v>45945.8125</v>
      </c>
      <c r="BK445" s="19">
        <f t="shared" si="445"/>
        <v>45945.83333</v>
      </c>
      <c r="BL445" s="19">
        <f t="shared" si="445"/>
        <v>45945.85417</v>
      </c>
      <c r="BM445" s="19">
        <f t="shared" si="445"/>
        <v>45945.875</v>
      </c>
      <c r="BN445" s="19">
        <f t="shared" si="445"/>
        <v>45945.89583</v>
      </c>
      <c r="BO445" s="19">
        <f t="shared" si="445"/>
        <v>45945.91667</v>
      </c>
      <c r="BP445" s="19">
        <f t="shared" si="445"/>
        <v>45945.9375</v>
      </c>
      <c r="BQ445" s="19">
        <f t="shared" si="445"/>
        <v>45945.95833</v>
      </c>
      <c r="BR445" s="19">
        <f t="shared" si="445"/>
        <v>45945.97917</v>
      </c>
      <c r="BS445" s="19">
        <f t="shared" si="445"/>
        <v>45946</v>
      </c>
      <c r="BT445" s="19">
        <f t="shared" si="445"/>
        <v>45946.02083</v>
      </c>
      <c r="BU445" s="19">
        <f t="shared" si="445"/>
        <v>45946.04167</v>
      </c>
      <c r="BV445" s="19">
        <f t="shared" si="445"/>
        <v>45946.0625</v>
      </c>
      <c r="BW445" s="19">
        <f t="shared" si="445"/>
        <v>45946.08333</v>
      </c>
      <c r="BX445" s="19">
        <f t="shared" si="445"/>
        <v>45945</v>
      </c>
      <c r="BY445" s="19">
        <f t="shared" si="445"/>
        <v>45945</v>
      </c>
      <c r="BZ445" s="19">
        <f t="shared" si="445"/>
        <v>45945</v>
      </c>
    </row>
    <row r="446" ht="14.25" customHeight="1">
      <c r="A446" s="17">
        <v>45946.0</v>
      </c>
      <c r="B446" s="2" t="str">
        <f t="array" ref="B446">IF(NOW()&gt;AM446,"",IF(AND((WEEKDAY($A446)+$B$2)&gt;1,((WEEKDAY($A446)+$T$2)&lt;7),(WEEKDAY($A446)&lt;&gt;1)),"work",(INDEX(Subject!$A:$I,MATCH(RANDBETWEEN(1,(MAX(Subject!$B:$B))),Subject!$B:$B,0),3))))</f>
        <v/>
      </c>
      <c r="C446" s="2" t="str">
        <f t="array" ref="C446">IF(NOW()&gt;AN446,"",IF(AND((WEEKDAY($A446)+$B$2)&gt;1,((WEEKDAY($A446)+$T$2)&lt;7),(WEEKDAY($A446)&lt;&gt;1)),"work",(INDEX(Subject!$A:$I,MATCH(RANDBETWEEN(1,(MAX(Subject!$B:$B))),Subject!$B:$B,0),3))))</f>
        <v/>
      </c>
      <c r="D446" s="2" t="str">
        <f t="array" ref="D446">IF(NOW()&gt;AO446,"",IF(AND((WEEKDAY($A446)+$B$2)&gt;1,((WEEKDAY($A446)+$T$2)&lt;7),(WEEKDAY($A446)&lt;&gt;1)),"work",(INDEX(Subject!$A:$I,MATCH(RANDBETWEEN(1,(MAX(Subject!$B:$B))),Subject!$B:$B,0),3))))</f>
        <v/>
      </c>
      <c r="E446" s="2" t="str">
        <f t="array" ref="E446">IF(NOW()&gt;AP446,"",IF(AND((WEEKDAY($A446)+$B$2)&gt;1,((WEEKDAY($A446)+$T$2)&lt;7),(WEEKDAY($A446)&lt;&gt;1)),"work",(INDEX(Subject!$A:$I,MATCH(RANDBETWEEN(1,(MAX(Subject!$B:$B))),Subject!$B:$B,0),3))))</f>
        <v/>
      </c>
      <c r="F446" s="2" t="str">
        <f t="array" ref="F446">IF(NOW()&gt;AQ446,"",IF(AND((WEEKDAY($A446)+$B$2)&gt;1,((WEEKDAY($A446)+$T$2)&lt;7),(WEEKDAY($A446)&lt;&gt;1)),"work",(INDEX(Subject!$A:$I,MATCH(RANDBETWEEN(1,(MAX(Subject!$B:$B))),Subject!$B:$B,0),3))))</f>
        <v/>
      </c>
      <c r="G446" s="2" t="str">
        <f t="array" ref="G446">IF(NOW()&gt;AR446,"",IF(AND((WEEKDAY($A446)+$B$2)&gt;1,((WEEKDAY($A446)+$T$2)&lt;7),(WEEKDAY($A446)&lt;&gt;1)),"work",(INDEX(Subject!$A:$I,MATCH(RANDBETWEEN(1,(MAX(Subject!$B:$B))),Subject!$B:$B,0),3))))</f>
        <v/>
      </c>
      <c r="H446" s="2" t="str">
        <f t="array" ref="H446">IF(NOW()&gt;AS446,"",IF(AND((WEEKDAY($A446)+$B$2)&gt;1,((WEEKDAY($A446)+$T$2)&lt;7),(WEEKDAY($A446)&lt;&gt;1)),"work",(INDEX(Subject!$A:$I,MATCH(RANDBETWEEN(1,(MAX(Subject!$B:$B))),Subject!$B:$B,0),3))))</f>
        <v/>
      </c>
      <c r="I446" s="2" t="str">
        <f t="array" ref="I446">IF(NOW()&gt;AT446,"",IF(AND((WEEKDAY($A446)+$B$2)&gt;1,((WEEKDAY($A446)+$T$2)&lt;7),(WEEKDAY($A446)&lt;&gt;1)),"work",(INDEX(Subject!$A:$I,MATCH(RANDBETWEEN(1,(MAX(Subject!$B:$B))),Subject!$B:$B,0),3))))</f>
        <v/>
      </c>
      <c r="J446" s="2" t="str">
        <f t="array" ref="J446">IF(NOW()&gt;AU446,"",IF(AND((WEEKDAY($A446)+$B$2)&gt;1,((WEEKDAY($A446)+$T$2)&lt;7),(WEEKDAY($A446)&lt;&gt;1)),"work",(INDEX(Subject!$A:$I,MATCH(RANDBETWEEN(1,(MAX(Subject!$B:$B))),Subject!$B:$B,0),3))))</f>
        <v/>
      </c>
      <c r="K446" s="2" t="str">
        <f t="array" ref="K446">IF(NOW()&gt;AV446,"",IF(AND((WEEKDAY($A446)+$B$2)&gt;1,((WEEKDAY($A446)+$T$2)&lt;7),(WEEKDAY($A446)&lt;&gt;1)),"work",(INDEX(Subject!$A:$I,MATCH(RANDBETWEEN(1,(MAX(Subject!$B:$B))),Subject!$B:$B,0),3))))</f>
        <v/>
      </c>
      <c r="L446" s="2" t="str">
        <f t="array" ref="L446">IF(NOW()&gt;AW446,"",IF(AND((WEEKDAY($A446)+$B$2)&gt;1,((WEEKDAY($A446)+$T$2)&lt;7),(WEEKDAY($A446)&lt;&gt;1)),"work",(INDEX(Subject!$A:$I,MATCH(RANDBETWEEN(1,(MAX(Subject!$B:$B))),Subject!$B:$B,0),3))))</f>
        <v/>
      </c>
      <c r="M446" s="2" t="str">
        <f t="array" ref="M446">IF(NOW()&gt;AX446,"",IF(AND((WEEKDAY($A446)+$B$2)&gt;1,((WEEKDAY($A446)+$T$2)&lt;7),(WEEKDAY($A446)&lt;&gt;1)),"work",(INDEX(Subject!$A:$I,MATCH(RANDBETWEEN(1,(MAX(Subject!$B:$B))),Subject!$B:$B,0),3))))</f>
        <v/>
      </c>
      <c r="N446" s="2" t="str">
        <f t="array" ref="N446">IF(NOW()&gt;AY446,"",IF(AND((WEEKDAY($A446)+$B$2)&gt;1,((WEEKDAY($A446)+$T$2)&lt;7),(WEEKDAY($A446)&lt;&gt;1)),"work",(INDEX(Subject!$A:$I,MATCH(RANDBETWEEN(1,(MAX(Subject!$B:$B))),Subject!$B:$B,0),3))))</f>
        <v/>
      </c>
      <c r="O446" s="2" t="str">
        <f t="array" ref="O446">IF(NOW()&gt;AZ446,"",IF(AND((WEEKDAY($A446)+$B$2)&gt;1,((WEEKDAY($A446)+$T$2)&lt;7),(WEEKDAY($A446)&lt;&gt;1)),"work",(INDEX(Subject!$A:$I,MATCH(RANDBETWEEN(1,(MAX(Subject!$B:$B))),Subject!$B:$B,0),3))))</f>
        <v/>
      </c>
      <c r="P446" s="2" t="str">
        <f t="array" ref="P446">IF(NOW()&gt;BA446,"",IF(AND((WEEKDAY($A446)+$B$2)&gt;1,((WEEKDAY($A446)+$T$2)&lt;7),(WEEKDAY($A446)&lt;&gt;1)),"work",(INDEX(Subject!$A:$I,MATCH(RANDBETWEEN(1,(MAX(Subject!$B:$B))),Subject!$B:$B,0),3))))</f>
        <v/>
      </c>
      <c r="Q446" s="2" t="str">
        <f t="array" ref="Q446">IF(NOW()&gt;BB446,"",IF(AND((WEEKDAY($A446)+$B$2)&gt;1,((WEEKDAY($A446)+$T$2)&lt;7),(WEEKDAY($A446)&lt;&gt;1)),"work",(INDEX(Subject!$A:$I,MATCH(RANDBETWEEN(1,(MAX(Subject!$B:$B))),Subject!$B:$B,0),3))))</f>
        <v/>
      </c>
      <c r="R446" s="2" t="str">
        <f t="array" ref="R446">IF(NOW()&gt;BC446,"",IF(AND((WEEKDAY($A446)+$B$2)&gt;1,((WEEKDAY($A446)+$T$2)&lt;7),(WEEKDAY($A446)&lt;&gt;1)),"work",(INDEX(Subject!$A:$I,MATCH(RANDBETWEEN(1,(MAX(Subject!$B:$B))),Subject!$B:$B,0),3))))</f>
        <v/>
      </c>
      <c r="S446" s="2" t="str">
        <f t="array" ref="S446">IF(NOW()&gt;BD446,"",IF(AND((WEEKDAY($A446)+$B$2)&gt;1,((WEEKDAY($A446)+$T$2)&lt;7),(WEEKDAY($A446)&lt;&gt;1)),"work",(INDEX(Subject!$A:$I,MATCH(RANDBETWEEN(1,(MAX(Subject!$B:$B))),Subject!$B:$B,0),3))))</f>
        <v/>
      </c>
      <c r="T446" s="2" t="str">
        <f t="array" ref="T446">IF(NOW()&gt;BE446,"",IF(AND((WEEKDAY($A446)+$B$2)&gt;1,((WEEKDAY($A446)+$T$2)&lt;7),(WEEKDAY($A446)&lt;&gt;1)),"work",(INDEX(Subject!$A:$I,MATCH(RANDBETWEEN(1,(MAX(Subject!$B:$B))),Subject!$B:$B,0),3))))</f>
        <v/>
      </c>
      <c r="U446" s="8" t="str">
        <f t="array" ref="U446">INDEX(Subject!$A:$I,MATCH(RANDBETWEEN(1,16),Subject!$B:$B,0),3)</f>
        <v>#N/A</v>
      </c>
      <c r="V446" s="8" t="str">
        <f t="array" ref="V446">INDEX(Subject!$A:$I,MATCH(RANDBETWEEN(1,16),Subject!$B:$B,0),3)</f>
        <v>#N/A</v>
      </c>
      <c r="W446" s="8" t="str">
        <f t="array" ref="W446">INDEX(Subject!$A:$I,MATCH(RANDBETWEEN(1,16),Subject!$B:$B,0),3)</f>
        <v>#N/A</v>
      </c>
      <c r="X446" s="8" t="str">
        <f t="array" ref="X446">INDEX(Subject!$A:$I,MATCH(RANDBETWEEN(1,16),Subject!$B:$B,0),3)</f>
        <v>#N/A</v>
      </c>
      <c r="Y446" s="8" t="str">
        <f t="array" ref="Y446">INDEX(Subject!$A:$I,MATCH(RANDBETWEEN(1,16),Subject!$B:$B,0),3)</f>
        <v>#N/A</v>
      </c>
      <c r="Z446" s="8" t="str">
        <f t="array" ref="Z446">INDEX(Subject!$A:$I,MATCH(RANDBETWEEN(1,16),Subject!$B:$B,0),3)</f>
        <v>#N/A</v>
      </c>
      <c r="AA446" s="8" t="str">
        <f t="array" ref="AA446">INDEX(Subject!$A:$I,MATCH(RANDBETWEEN(1,16),Subject!$B:$B,0),3)</f>
        <v>#N/A</v>
      </c>
      <c r="AB446" s="8" t="str">
        <f t="array" ref="AB446">INDEX(Subject!$A:$I,MATCH(RANDBETWEEN(1,16),Subject!$B:$B,0),3)</f>
        <v>#N/A</v>
      </c>
      <c r="AC446" s="8" t="str">
        <f t="array" ref="AC446">INDEX(Subject!$A:$I,MATCH(RANDBETWEEN(1,16),Subject!$B:$B,0),3)</f>
        <v>#N/A</v>
      </c>
      <c r="AD446" s="8" t="str">
        <f t="array" ref="AD446">INDEX(Subject!$A:$I,MATCH(RANDBETWEEN(1,16),Subject!$B:$B,0),3)</f>
        <v>#N/A</v>
      </c>
      <c r="AE446" s="8" t="str">
        <f t="array" ref="AE446">INDEX(Subject!$A:$I,MATCH(RANDBETWEEN(1,16),Subject!$B:$B,0),3)</f>
        <v>#N/A</v>
      </c>
      <c r="AF446" s="8" t="str">
        <f t="array" ref="AF446">INDEX(Subject!$A:$I,MATCH(RANDBETWEEN(1,16),Subject!$B:$B,0),3)</f>
        <v>#N/A</v>
      </c>
      <c r="AG446" s="8" t="str">
        <f t="array" ref="AG446">INDEX(Subject!$A:$I,MATCH(RANDBETWEEN(1,16),Subject!$B:$B,0),3)</f>
        <v>#N/A</v>
      </c>
      <c r="AH446" s="8" t="str">
        <f t="array" ref="AH446">INDEX(Subject!$A:$I,MATCH(RANDBETWEEN(1,16),Subject!$B:$B,0),3)</f>
        <v>#N/A</v>
      </c>
      <c r="AI446" s="8" t="str">
        <f t="array" ref="AI446">INDEX(Subject!$A:$I,MATCH(RANDBETWEEN(1,16),Subject!$B:$B,0),3)</f>
        <v>#N/A</v>
      </c>
      <c r="AJ446" s="8" t="str">
        <f t="array" ref="AJ446">INDEX(Subject!$A:$I,MATCH(RANDBETWEEN(1,16),Subject!$B:$B,0),3)</f>
        <v>#N/A</v>
      </c>
      <c r="AK446" s="8" t="str">
        <f t="array" ref="AK446">INDEX(Subject!$A:$I,MATCH(RANDBETWEEN(1,16),Subject!$B:$B,0),3)</f>
        <v>#N/A</v>
      </c>
      <c r="AL446" s="8" t="str">
        <f t="array" ref="AL446">INDEX(Subject!$A:$I,MATCH(RANDBETWEEN(1,16),Subject!$B:$B,0),3)</f>
        <v>#N/A</v>
      </c>
      <c r="AM446" s="18">
        <f t="shared" si="4"/>
        <v>45946.33333</v>
      </c>
      <c r="AN446" s="19">
        <f t="shared" ref="AN446:BZ446" si="446">$A446+C$1</f>
        <v>45946.35417</v>
      </c>
      <c r="AO446" s="19">
        <f t="shared" si="446"/>
        <v>45946.375</v>
      </c>
      <c r="AP446" s="19">
        <f t="shared" si="446"/>
        <v>45946.39583</v>
      </c>
      <c r="AQ446" s="19">
        <f t="shared" si="446"/>
        <v>45946.41667</v>
      </c>
      <c r="AR446" s="19">
        <f t="shared" si="446"/>
        <v>45946.4375</v>
      </c>
      <c r="AS446" s="19">
        <f t="shared" si="446"/>
        <v>45946.45833</v>
      </c>
      <c r="AT446" s="19">
        <f t="shared" si="446"/>
        <v>45946.47917</v>
      </c>
      <c r="AU446" s="19">
        <f t="shared" si="446"/>
        <v>45946.5</v>
      </c>
      <c r="AV446" s="19">
        <f t="shared" si="446"/>
        <v>45946.52083</v>
      </c>
      <c r="AW446" s="19">
        <f t="shared" si="446"/>
        <v>45946.54167</v>
      </c>
      <c r="AX446" s="19">
        <f t="shared" si="446"/>
        <v>45946.5625</v>
      </c>
      <c r="AY446" s="19">
        <f t="shared" si="446"/>
        <v>45946.58333</v>
      </c>
      <c r="AZ446" s="19">
        <f t="shared" si="446"/>
        <v>45946.60417</v>
      </c>
      <c r="BA446" s="19">
        <f t="shared" si="446"/>
        <v>45946.625</v>
      </c>
      <c r="BB446" s="19">
        <f t="shared" si="446"/>
        <v>45946.64583</v>
      </c>
      <c r="BC446" s="19">
        <f t="shared" si="446"/>
        <v>45946.66667</v>
      </c>
      <c r="BD446" s="19">
        <f t="shared" si="446"/>
        <v>45946.6875</v>
      </c>
      <c r="BE446" s="19">
        <f t="shared" si="446"/>
        <v>45946.70833</v>
      </c>
      <c r="BF446" s="19">
        <f t="shared" si="446"/>
        <v>45946.72917</v>
      </c>
      <c r="BG446" s="19">
        <f t="shared" si="446"/>
        <v>45946.75</v>
      </c>
      <c r="BH446" s="19">
        <f t="shared" si="446"/>
        <v>45946.77083</v>
      </c>
      <c r="BI446" s="19">
        <f t="shared" si="446"/>
        <v>45946.79167</v>
      </c>
      <c r="BJ446" s="19">
        <f t="shared" si="446"/>
        <v>45946.8125</v>
      </c>
      <c r="BK446" s="19">
        <f t="shared" si="446"/>
        <v>45946.83333</v>
      </c>
      <c r="BL446" s="19">
        <f t="shared" si="446"/>
        <v>45946.85417</v>
      </c>
      <c r="BM446" s="19">
        <f t="shared" si="446"/>
        <v>45946.875</v>
      </c>
      <c r="BN446" s="19">
        <f t="shared" si="446"/>
        <v>45946.89583</v>
      </c>
      <c r="BO446" s="19">
        <f t="shared" si="446"/>
        <v>45946.91667</v>
      </c>
      <c r="BP446" s="19">
        <f t="shared" si="446"/>
        <v>45946.9375</v>
      </c>
      <c r="BQ446" s="19">
        <f t="shared" si="446"/>
        <v>45946.95833</v>
      </c>
      <c r="BR446" s="19">
        <f t="shared" si="446"/>
        <v>45946.97917</v>
      </c>
      <c r="BS446" s="19">
        <f t="shared" si="446"/>
        <v>45947</v>
      </c>
      <c r="BT446" s="19">
        <f t="shared" si="446"/>
        <v>45947.02083</v>
      </c>
      <c r="BU446" s="19">
        <f t="shared" si="446"/>
        <v>45947.04167</v>
      </c>
      <c r="BV446" s="19">
        <f t="shared" si="446"/>
        <v>45947.0625</v>
      </c>
      <c r="BW446" s="19">
        <f t="shared" si="446"/>
        <v>45947.08333</v>
      </c>
      <c r="BX446" s="19">
        <f t="shared" si="446"/>
        <v>45946</v>
      </c>
      <c r="BY446" s="19">
        <f t="shared" si="446"/>
        <v>45946</v>
      </c>
      <c r="BZ446" s="19">
        <f t="shared" si="446"/>
        <v>45946</v>
      </c>
    </row>
    <row r="447" ht="14.25" customHeight="1">
      <c r="A447" s="17">
        <v>45947.0</v>
      </c>
      <c r="B447" s="2" t="str">
        <f t="array" ref="B447">IF(NOW()&gt;AM447,"",IF(AND((WEEKDAY($A447)+$B$2)&gt;1,((WEEKDAY($A447)+$T$2)&lt;7),(WEEKDAY($A447)&lt;&gt;1)),"work",(INDEX(Subject!$A:$I,MATCH(RANDBETWEEN(1,(MAX(Subject!$B:$B))),Subject!$B:$B,0),3))))</f>
        <v/>
      </c>
      <c r="C447" s="2" t="str">
        <f t="array" ref="C447">IF(NOW()&gt;AN447,"",IF(AND((WEEKDAY($A447)+$B$2)&gt;1,((WEEKDAY($A447)+$T$2)&lt;7),(WEEKDAY($A447)&lt;&gt;1)),"work",(INDEX(Subject!$A:$I,MATCH(RANDBETWEEN(1,(MAX(Subject!$B:$B))),Subject!$B:$B,0),3))))</f>
        <v/>
      </c>
      <c r="D447" s="2" t="str">
        <f t="array" ref="D447">IF(NOW()&gt;AO447,"",IF(AND((WEEKDAY($A447)+$B$2)&gt;1,((WEEKDAY($A447)+$T$2)&lt;7),(WEEKDAY($A447)&lt;&gt;1)),"work",(INDEX(Subject!$A:$I,MATCH(RANDBETWEEN(1,(MAX(Subject!$B:$B))),Subject!$B:$B,0),3))))</f>
        <v/>
      </c>
      <c r="E447" s="2" t="str">
        <f t="array" ref="E447">IF(NOW()&gt;AP447,"",IF(AND((WEEKDAY($A447)+$B$2)&gt;1,((WEEKDAY($A447)+$T$2)&lt;7),(WEEKDAY($A447)&lt;&gt;1)),"work",(INDEX(Subject!$A:$I,MATCH(RANDBETWEEN(1,(MAX(Subject!$B:$B))),Subject!$B:$B,0),3))))</f>
        <v/>
      </c>
      <c r="F447" s="2" t="str">
        <f t="array" ref="F447">IF(NOW()&gt;AQ447,"",IF(AND((WEEKDAY($A447)+$B$2)&gt;1,((WEEKDAY($A447)+$T$2)&lt;7),(WEEKDAY($A447)&lt;&gt;1)),"work",(INDEX(Subject!$A:$I,MATCH(RANDBETWEEN(1,(MAX(Subject!$B:$B))),Subject!$B:$B,0),3))))</f>
        <v/>
      </c>
      <c r="G447" s="2" t="str">
        <f t="array" ref="G447">IF(NOW()&gt;AR447,"",IF(AND((WEEKDAY($A447)+$B$2)&gt;1,((WEEKDAY($A447)+$T$2)&lt;7),(WEEKDAY($A447)&lt;&gt;1)),"work",(INDEX(Subject!$A:$I,MATCH(RANDBETWEEN(1,(MAX(Subject!$B:$B))),Subject!$B:$B,0),3))))</f>
        <v/>
      </c>
      <c r="H447" s="2" t="str">
        <f t="array" ref="H447">IF(NOW()&gt;AS447,"",IF(AND((WEEKDAY($A447)+$B$2)&gt;1,((WEEKDAY($A447)+$T$2)&lt;7),(WEEKDAY($A447)&lt;&gt;1)),"work",(INDEX(Subject!$A:$I,MATCH(RANDBETWEEN(1,(MAX(Subject!$B:$B))),Subject!$B:$B,0),3))))</f>
        <v/>
      </c>
      <c r="I447" s="2" t="str">
        <f t="array" ref="I447">IF(NOW()&gt;AT447,"",IF(AND((WEEKDAY($A447)+$B$2)&gt;1,((WEEKDAY($A447)+$T$2)&lt;7),(WEEKDAY($A447)&lt;&gt;1)),"work",(INDEX(Subject!$A:$I,MATCH(RANDBETWEEN(1,(MAX(Subject!$B:$B))),Subject!$B:$B,0),3))))</f>
        <v/>
      </c>
      <c r="J447" s="2" t="str">
        <f t="array" ref="J447">IF(NOW()&gt;AU447,"",IF(AND((WEEKDAY($A447)+$B$2)&gt;1,((WEEKDAY($A447)+$T$2)&lt;7),(WEEKDAY($A447)&lt;&gt;1)),"work",(INDEX(Subject!$A:$I,MATCH(RANDBETWEEN(1,(MAX(Subject!$B:$B))),Subject!$B:$B,0),3))))</f>
        <v/>
      </c>
      <c r="K447" s="2" t="str">
        <f t="array" ref="K447">IF(NOW()&gt;AV447,"",IF(AND((WEEKDAY($A447)+$B$2)&gt;1,((WEEKDAY($A447)+$T$2)&lt;7),(WEEKDAY($A447)&lt;&gt;1)),"work",(INDEX(Subject!$A:$I,MATCH(RANDBETWEEN(1,(MAX(Subject!$B:$B))),Subject!$B:$B,0),3))))</f>
        <v/>
      </c>
      <c r="L447" s="2" t="str">
        <f t="array" ref="L447">IF(NOW()&gt;AW447,"",IF(AND((WEEKDAY($A447)+$B$2)&gt;1,((WEEKDAY($A447)+$T$2)&lt;7),(WEEKDAY($A447)&lt;&gt;1)),"work",(INDEX(Subject!$A:$I,MATCH(RANDBETWEEN(1,(MAX(Subject!$B:$B))),Subject!$B:$B,0),3))))</f>
        <v/>
      </c>
      <c r="M447" s="2" t="str">
        <f t="array" ref="M447">IF(NOW()&gt;AX447,"",IF(AND((WEEKDAY($A447)+$B$2)&gt;1,((WEEKDAY($A447)+$T$2)&lt;7),(WEEKDAY($A447)&lt;&gt;1)),"work",(INDEX(Subject!$A:$I,MATCH(RANDBETWEEN(1,(MAX(Subject!$B:$B))),Subject!$B:$B,0),3))))</f>
        <v/>
      </c>
      <c r="N447" s="2" t="str">
        <f t="array" ref="N447">IF(NOW()&gt;AY447,"",IF(AND((WEEKDAY($A447)+$B$2)&gt;1,((WEEKDAY($A447)+$T$2)&lt;7),(WEEKDAY($A447)&lt;&gt;1)),"work",(INDEX(Subject!$A:$I,MATCH(RANDBETWEEN(1,(MAX(Subject!$B:$B))),Subject!$B:$B,0),3))))</f>
        <v/>
      </c>
      <c r="O447" s="2" t="str">
        <f t="array" ref="O447">IF(NOW()&gt;AZ447,"",IF(AND((WEEKDAY($A447)+$B$2)&gt;1,((WEEKDAY($A447)+$T$2)&lt;7),(WEEKDAY($A447)&lt;&gt;1)),"work",(INDEX(Subject!$A:$I,MATCH(RANDBETWEEN(1,(MAX(Subject!$B:$B))),Subject!$B:$B,0),3))))</f>
        <v/>
      </c>
      <c r="P447" s="2" t="str">
        <f t="array" ref="P447">IF(NOW()&gt;BA447,"",IF(AND((WEEKDAY($A447)+$B$2)&gt;1,((WEEKDAY($A447)+$T$2)&lt;7),(WEEKDAY($A447)&lt;&gt;1)),"work",(INDEX(Subject!$A:$I,MATCH(RANDBETWEEN(1,(MAX(Subject!$B:$B))),Subject!$B:$B,0),3))))</f>
        <v/>
      </c>
      <c r="Q447" s="2" t="str">
        <f t="array" ref="Q447">IF(NOW()&gt;BB447,"",IF(AND((WEEKDAY($A447)+$B$2)&gt;1,((WEEKDAY($A447)+$T$2)&lt;7),(WEEKDAY($A447)&lt;&gt;1)),"work",(INDEX(Subject!$A:$I,MATCH(RANDBETWEEN(1,(MAX(Subject!$B:$B))),Subject!$B:$B,0),3))))</f>
        <v/>
      </c>
      <c r="R447" s="2" t="str">
        <f t="array" ref="R447">IF(NOW()&gt;BC447,"",IF(AND((WEEKDAY($A447)+$B$2)&gt;1,((WEEKDAY($A447)+$T$2)&lt;7),(WEEKDAY($A447)&lt;&gt;1)),"work",(INDEX(Subject!$A:$I,MATCH(RANDBETWEEN(1,(MAX(Subject!$B:$B))),Subject!$B:$B,0),3))))</f>
        <v/>
      </c>
      <c r="S447" s="2" t="str">
        <f t="array" ref="S447">IF(NOW()&gt;BD447,"",IF(AND((WEEKDAY($A447)+$B$2)&gt;1,((WEEKDAY($A447)+$T$2)&lt;7),(WEEKDAY($A447)&lt;&gt;1)),"work",(INDEX(Subject!$A:$I,MATCH(RANDBETWEEN(1,(MAX(Subject!$B:$B))),Subject!$B:$B,0),3))))</f>
        <v/>
      </c>
      <c r="T447" s="2" t="str">
        <f t="array" ref="T447">IF(NOW()&gt;BE447,"",IF(AND((WEEKDAY($A447)+$B$2)&gt;1,((WEEKDAY($A447)+$T$2)&lt;7),(WEEKDAY($A447)&lt;&gt;1)),"work",(INDEX(Subject!$A:$I,MATCH(RANDBETWEEN(1,(MAX(Subject!$B:$B))),Subject!$B:$B,0),3))))</f>
        <v/>
      </c>
      <c r="U447" s="8" t="str">
        <f t="array" ref="U447">INDEX(Subject!$A:$I,MATCH(RANDBETWEEN(1,16),Subject!$B:$B,0),3)</f>
        <v>#N/A</v>
      </c>
      <c r="V447" s="8" t="str">
        <f t="array" ref="V447">INDEX(Subject!$A:$I,MATCH(RANDBETWEEN(1,16),Subject!$B:$B,0),3)</f>
        <v>#N/A</v>
      </c>
      <c r="W447" s="8" t="str">
        <f t="array" ref="W447">INDEX(Subject!$A:$I,MATCH(RANDBETWEEN(1,16),Subject!$B:$B,0),3)</f>
        <v>#N/A</v>
      </c>
      <c r="X447" s="8" t="str">
        <f t="array" ref="X447">INDEX(Subject!$A:$I,MATCH(RANDBETWEEN(1,16),Subject!$B:$B,0),3)</f>
        <v>#N/A</v>
      </c>
      <c r="Y447" s="8" t="str">
        <f t="array" ref="Y447">INDEX(Subject!$A:$I,MATCH(RANDBETWEEN(1,16),Subject!$B:$B,0),3)</f>
        <v>#N/A</v>
      </c>
      <c r="Z447" s="8" t="str">
        <f t="array" ref="Z447">INDEX(Subject!$A:$I,MATCH(RANDBETWEEN(1,16),Subject!$B:$B,0),3)</f>
        <v>#N/A</v>
      </c>
      <c r="AA447" s="8" t="str">
        <f t="array" ref="AA447">INDEX(Subject!$A:$I,MATCH(RANDBETWEEN(1,16),Subject!$B:$B,0),3)</f>
        <v>#N/A</v>
      </c>
      <c r="AB447" s="8" t="str">
        <f t="array" ref="AB447">INDEX(Subject!$A:$I,MATCH(RANDBETWEEN(1,16),Subject!$B:$B,0),3)</f>
        <v>#N/A</v>
      </c>
      <c r="AC447" s="8" t="str">
        <f t="array" ref="AC447">INDEX(Subject!$A:$I,MATCH(RANDBETWEEN(1,16),Subject!$B:$B,0),3)</f>
        <v>#N/A</v>
      </c>
      <c r="AD447" s="8" t="str">
        <f t="array" ref="AD447">INDEX(Subject!$A:$I,MATCH(RANDBETWEEN(1,16),Subject!$B:$B,0),3)</f>
        <v>#N/A</v>
      </c>
      <c r="AE447" s="8" t="str">
        <f t="array" ref="AE447">INDEX(Subject!$A:$I,MATCH(RANDBETWEEN(1,16),Subject!$B:$B,0),3)</f>
        <v>#N/A</v>
      </c>
      <c r="AF447" s="8" t="str">
        <f t="array" ref="AF447">INDEX(Subject!$A:$I,MATCH(RANDBETWEEN(1,16),Subject!$B:$B,0),3)</f>
        <v>#N/A</v>
      </c>
      <c r="AG447" s="8" t="str">
        <f t="array" ref="AG447">INDEX(Subject!$A:$I,MATCH(RANDBETWEEN(1,16),Subject!$B:$B,0),3)</f>
        <v>#N/A</v>
      </c>
      <c r="AH447" s="8" t="str">
        <f t="array" ref="AH447">INDEX(Subject!$A:$I,MATCH(RANDBETWEEN(1,16),Subject!$B:$B,0),3)</f>
        <v>#N/A</v>
      </c>
      <c r="AI447" s="8" t="str">
        <f t="array" ref="AI447">INDEX(Subject!$A:$I,MATCH(RANDBETWEEN(1,16),Subject!$B:$B,0),3)</f>
        <v/>
      </c>
      <c r="AJ447" s="8" t="str">
        <f t="array" ref="AJ447">INDEX(Subject!$A:$I,MATCH(RANDBETWEEN(1,16),Subject!$B:$B,0),3)</f>
        <v>#N/A</v>
      </c>
      <c r="AK447" s="8" t="str">
        <f t="array" ref="AK447">INDEX(Subject!$A:$I,MATCH(RANDBETWEEN(1,16),Subject!$B:$B,0),3)</f>
        <v>#N/A</v>
      </c>
      <c r="AL447" s="8" t="str">
        <f t="array" ref="AL447">INDEX(Subject!$A:$I,MATCH(RANDBETWEEN(1,16),Subject!$B:$B,0),3)</f>
        <v>#N/A</v>
      </c>
      <c r="AM447" s="18">
        <f t="shared" si="4"/>
        <v>45947.33333</v>
      </c>
      <c r="AN447" s="19">
        <f t="shared" ref="AN447:BZ447" si="447">$A447+C$1</f>
        <v>45947.35417</v>
      </c>
      <c r="AO447" s="19">
        <f t="shared" si="447"/>
        <v>45947.375</v>
      </c>
      <c r="AP447" s="19">
        <f t="shared" si="447"/>
        <v>45947.39583</v>
      </c>
      <c r="AQ447" s="19">
        <f t="shared" si="447"/>
        <v>45947.41667</v>
      </c>
      <c r="AR447" s="19">
        <f t="shared" si="447"/>
        <v>45947.4375</v>
      </c>
      <c r="AS447" s="19">
        <f t="shared" si="447"/>
        <v>45947.45833</v>
      </c>
      <c r="AT447" s="19">
        <f t="shared" si="447"/>
        <v>45947.47917</v>
      </c>
      <c r="AU447" s="19">
        <f t="shared" si="447"/>
        <v>45947.5</v>
      </c>
      <c r="AV447" s="19">
        <f t="shared" si="447"/>
        <v>45947.52083</v>
      </c>
      <c r="AW447" s="19">
        <f t="shared" si="447"/>
        <v>45947.54167</v>
      </c>
      <c r="AX447" s="19">
        <f t="shared" si="447"/>
        <v>45947.5625</v>
      </c>
      <c r="AY447" s="19">
        <f t="shared" si="447"/>
        <v>45947.58333</v>
      </c>
      <c r="AZ447" s="19">
        <f t="shared" si="447"/>
        <v>45947.60417</v>
      </c>
      <c r="BA447" s="19">
        <f t="shared" si="447"/>
        <v>45947.625</v>
      </c>
      <c r="BB447" s="19">
        <f t="shared" si="447"/>
        <v>45947.64583</v>
      </c>
      <c r="BC447" s="19">
        <f t="shared" si="447"/>
        <v>45947.66667</v>
      </c>
      <c r="BD447" s="19">
        <f t="shared" si="447"/>
        <v>45947.6875</v>
      </c>
      <c r="BE447" s="19">
        <f t="shared" si="447"/>
        <v>45947.70833</v>
      </c>
      <c r="BF447" s="19">
        <f t="shared" si="447"/>
        <v>45947.72917</v>
      </c>
      <c r="BG447" s="19">
        <f t="shared" si="447"/>
        <v>45947.75</v>
      </c>
      <c r="BH447" s="19">
        <f t="shared" si="447"/>
        <v>45947.77083</v>
      </c>
      <c r="BI447" s="19">
        <f t="shared" si="447"/>
        <v>45947.79167</v>
      </c>
      <c r="BJ447" s="19">
        <f t="shared" si="447"/>
        <v>45947.8125</v>
      </c>
      <c r="BK447" s="19">
        <f t="shared" si="447"/>
        <v>45947.83333</v>
      </c>
      <c r="BL447" s="19">
        <f t="shared" si="447"/>
        <v>45947.85417</v>
      </c>
      <c r="BM447" s="19">
        <f t="shared" si="447"/>
        <v>45947.875</v>
      </c>
      <c r="BN447" s="19">
        <f t="shared" si="447"/>
        <v>45947.89583</v>
      </c>
      <c r="BO447" s="19">
        <f t="shared" si="447"/>
        <v>45947.91667</v>
      </c>
      <c r="BP447" s="19">
        <f t="shared" si="447"/>
        <v>45947.9375</v>
      </c>
      <c r="BQ447" s="19">
        <f t="shared" si="447"/>
        <v>45947.95833</v>
      </c>
      <c r="BR447" s="19">
        <f t="shared" si="447"/>
        <v>45947.97917</v>
      </c>
      <c r="BS447" s="19">
        <f t="shared" si="447"/>
        <v>45948</v>
      </c>
      <c r="BT447" s="19">
        <f t="shared" si="447"/>
        <v>45948.02083</v>
      </c>
      <c r="BU447" s="19">
        <f t="shared" si="447"/>
        <v>45948.04167</v>
      </c>
      <c r="BV447" s="19">
        <f t="shared" si="447"/>
        <v>45948.0625</v>
      </c>
      <c r="BW447" s="19">
        <f t="shared" si="447"/>
        <v>45948.08333</v>
      </c>
      <c r="BX447" s="19">
        <f t="shared" si="447"/>
        <v>45947</v>
      </c>
      <c r="BY447" s="19">
        <f t="shared" si="447"/>
        <v>45947</v>
      </c>
      <c r="BZ447" s="19">
        <f t="shared" si="447"/>
        <v>45947</v>
      </c>
    </row>
    <row r="448" ht="14.25" customHeight="1">
      <c r="A448" s="17">
        <v>45948.0</v>
      </c>
      <c r="B448" s="2" t="str">
        <f t="array" ref="B448">IF(NOW()&gt;AM448,"",IF(AND((WEEKDAY($A448)+$B$2)&gt;1,((WEEKDAY($A448)+$T$2)&lt;7),(WEEKDAY($A448)&lt;&gt;1)),"work",(INDEX(Subject!$A:$I,MATCH(RANDBETWEEN(1,(MAX(Subject!$B:$B))),Subject!$B:$B,0),3))))</f>
        <v/>
      </c>
      <c r="C448" s="2" t="str">
        <f t="array" ref="C448">IF(NOW()&gt;AN448,"",IF(AND((WEEKDAY($A448)+$B$2)&gt;1,((WEEKDAY($A448)+$T$2)&lt;7),(WEEKDAY($A448)&lt;&gt;1)),"work",(INDEX(Subject!$A:$I,MATCH(RANDBETWEEN(1,(MAX(Subject!$B:$B))),Subject!$B:$B,0),3))))</f>
        <v/>
      </c>
      <c r="D448" s="2" t="str">
        <f t="array" ref="D448">IF(NOW()&gt;AO448,"",IF(AND((WEEKDAY($A448)+$B$2)&gt;1,((WEEKDAY($A448)+$T$2)&lt;7),(WEEKDAY($A448)&lt;&gt;1)),"work",(INDEX(Subject!$A:$I,MATCH(RANDBETWEEN(1,(MAX(Subject!$B:$B))),Subject!$B:$B,0),3))))</f>
        <v/>
      </c>
      <c r="E448" s="2" t="str">
        <f t="array" ref="E448">IF(NOW()&gt;AP448,"",IF(AND((WEEKDAY($A448)+$B$2)&gt;1,((WEEKDAY($A448)+$T$2)&lt;7),(WEEKDAY($A448)&lt;&gt;1)),"work",(INDEX(Subject!$A:$I,MATCH(RANDBETWEEN(1,(MAX(Subject!$B:$B))),Subject!$B:$B,0),3))))</f>
        <v/>
      </c>
      <c r="F448" s="2" t="str">
        <f t="array" ref="F448">IF(NOW()&gt;AQ448,"",IF(AND((WEEKDAY($A448)+$B$2)&gt;1,((WEEKDAY($A448)+$T$2)&lt;7),(WEEKDAY($A448)&lt;&gt;1)),"work",(INDEX(Subject!$A:$I,MATCH(RANDBETWEEN(1,(MAX(Subject!$B:$B))),Subject!$B:$B,0),3))))</f>
        <v/>
      </c>
      <c r="G448" s="2" t="str">
        <f t="array" ref="G448">IF(NOW()&gt;AR448,"",IF(AND((WEEKDAY($A448)+$B$2)&gt;1,((WEEKDAY($A448)+$T$2)&lt;7),(WEEKDAY($A448)&lt;&gt;1)),"work",(INDEX(Subject!$A:$I,MATCH(RANDBETWEEN(1,(MAX(Subject!$B:$B))),Subject!$B:$B,0),3))))</f>
        <v/>
      </c>
      <c r="H448" s="2" t="str">
        <f t="array" ref="H448">IF(NOW()&gt;AS448,"",IF(AND((WEEKDAY($A448)+$B$2)&gt;1,((WEEKDAY($A448)+$T$2)&lt;7),(WEEKDAY($A448)&lt;&gt;1)),"work",(INDEX(Subject!$A:$I,MATCH(RANDBETWEEN(1,(MAX(Subject!$B:$B))),Subject!$B:$B,0),3))))</f>
        <v/>
      </c>
      <c r="I448" s="2" t="str">
        <f t="array" ref="I448">IF(NOW()&gt;AT448,"",IF(AND((WEEKDAY($A448)+$B$2)&gt;1,((WEEKDAY($A448)+$T$2)&lt;7),(WEEKDAY($A448)&lt;&gt;1)),"work",(INDEX(Subject!$A:$I,MATCH(RANDBETWEEN(1,(MAX(Subject!$B:$B))),Subject!$B:$B,0),3))))</f>
        <v/>
      </c>
      <c r="J448" s="2" t="str">
        <f t="array" ref="J448">IF(NOW()&gt;AU448,"",IF(AND((WEEKDAY($A448)+$B$2)&gt;1,((WEEKDAY($A448)+$T$2)&lt;7),(WEEKDAY($A448)&lt;&gt;1)),"work",(INDEX(Subject!$A:$I,MATCH(RANDBETWEEN(1,(MAX(Subject!$B:$B))),Subject!$B:$B,0),3))))</f>
        <v/>
      </c>
      <c r="K448" s="2" t="str">
        <f t="array" ref="K448">IF(NOW()&gt;AV448,"",IF(AND((WEEKDAY($A448)+$B$2)&gt;1,((WEEKDAY($A448)+$T$2)&lt;7),(WEEKDAY($A448)&lt;&gt;1)),"work",(INDEX(Subject!$A:$I,MATCH(RANDBETWEEN(1,(MAX(Subject!$B:$B))),Subject!$B:$B,0),3))))</f>
        <v/>
      </c>
      <c r="L448" s="2" t="str">
        <f t="array" ref="L448">IF(NOW()&gt;AW448,"",IF(AND((WEEKDAY($A448)+$B$2)&gt;1,((WEEKDAY($A448)+$T$2)&lt;7),(WEEKDAY($A448)&lt;&gt;1)),"work",(INDEX(Subject!$A:$I,MATCH(RANDBETWEEN(1,(MAX(Subject!$B:$B))),Subject!$B:$B,0),3))))</f>
        <v/>
      </c>
      <c r="M448" s="2" t="str">
        <f t="array" ref="M448">IF(NOW()&gt;AX448,"",IF(AND((WEEKDAY($A448)+$B$2)&gt;1,((WEEKDAY($A448)+$T$2)&lt;7),(WEEKDAY($A448)&lt;&gt;1)),"work",(INDEX(Subject!$A:$I,MATCH(RANDBETWEEN(1,(MAX(Subject!$B:$B))),Subject!$B:$B,0),3))))</f>
        <v/>
      </c>
      <c r="N448" s="2" t="str">
        <f t="array" ref="N448">IF(NOW()&gt;AY448,"",IF(AND((WEEKDAY($A448)+$B$2)&gt;1,((WEEKDAY($A448)+$T$2)&lt;7),(WEEKDAY($A448)&lt;&gt;1)),"work",(INDEX(Subject!$A:$I,MATCH(RANDBETWEEN(1,(MAX(Subject!$B:$B))),Subject!$B:$B,0),3))))</f>
        <v/>
      </c>
      <c r="O448" s="2" t="str">
        <f t="array" ref="O448">IF(NOW()&gt;AZ448,"",IF(AND((WEEKDAY($A448)+$B$2)&gt;1,((WEEKDAY($A448)+$T$2)&lt;7),(WEEKDAY($A448)&lt;&gt;1)),"work",(INDEX(Subject!$A:$I,MATCH(RANDBETWEEN(1,(MAX(Subject!$B:$B))),Subject!$B:$B,0),3))))</f>
        <v/>
      </c>
      <c r="P448" s="2" t="str">
        <f t="array" ref="P448">IF(NOW()&gt;BA448,"",IF(AND((WEEKDAY($A448)+$B$2)&gt;1,((WEEKDAY($A448)+$T$2)&lt;7),(WEEKDAY($A448)&lt;&gt;1)),"work",(INDEX(Subject!$A:$I,MATCH(RANDBETWEEN(1,(MAX(Subject!$B:$B))),Subject!$B:$B,0),3))))</f>
        <v/>
      </c>
      <c r="Q448" s="2" t="str">
        <f t="array" ref="Q448">IF(NOW()&gt;BB448,"",IF(AND((WEEKDAY($A448)+$B$2)&gt;1,((WEEKDAY($A448)+$T$2)&lt;7),(WEEKDAY($A448)&lt;&gt;1)),"work",(INDEX(Subject!$A:$I,MATCH(RANDBETWEEN(1,(MAX(Subject!$B:$B))),Subject!$B:$B,0),3))))</f>
        <v/>
      </c>
      <c r="R448" s="2" t="str">
        <f t="array" ref="R448">IF(NOW()&gt;BC448,"",IF(AND((WEEKDAY($A448)+$B$2)&gt;1,((WEEKDAY($A448)+$T$2)&lt;7),(WEEKDAY($A448)&lt;&gt;1)),"work",(INDEX(Subject!$A:$I,MATCH(RANDBETWEEN(1,(MAX(Subject!$B:$B))),Subject!$B:$B,0),3))))</f>
        <v/>
      </c>
      <c r="S448" s="2" t="str">
        <f t="array" ref="S448">IF(NOW()&gt;BD448,"",IF(AND((WEEKDAY($A448)+$B$2)&gt;1,((WEEKDAY($A448)+$T$2)&lt;7),(WEEKDAY($A448)&lt;&gt;1)),"work",(INDEX(Subject!$A:$I,MATCH(RANDBETWEEN(1,(MAX(Subject!$B:$B))),Subject!$B:$B,0),3))))</f>
        <v/>
      </c>
      <c r="T448" s="2" t="str">
        <f t="array" ref="T448">IF(NOW()&gt;BE448,"",IF(AND((WEEKDAY($A448)+$B$2)&gt;1,((WEEKDAY($A448)+$T$2)&lt;7),(WEEKDAY($A448)&lt;&gt;1)),"work",(INDEX(Subject!$A:$I,MATCH(RANDBETWEEN(1,(MAX(Subject!$B:$B))),Subject!$B:$B,0),3))))</f>
        <v/>
      </c>
      <c r="U448" s="8" t="str">
        <f t="array" ref="U448">INDEX(Subject!$A:$I,MATCH(RANDBETWEEN(1,16),Subject!$B:$B,0),3)</f>
        <v>#N/A</v>
      </c>
      <c r="V448" s="8" t="str">
        <f t="array" ref="V448">INDEX(Subject!$A:$I,MATCH(RANDBETWEEN(1,16),Subject!$B:$B,0),3)</f>
        <v>#N/A</v>
      </c>
      <c r="W448" s="8" t="str">
        <f t="array" ref="W448">INDEX(Subject!$A:$I,MATCH(RANDBETWEEN(1,16),Subject!$B:$B,0),3)</f>
        <v>#N/A</v>
      </c>
      <c r="X448" s="8" t="str">
        <f t="array" ref="X448">INDEX(Subject!$A:$I,MATCH(RANDBETWEEN(1,16),Subject!$B:$B,0),3)</f>
        <v>#N/A</v>
      </c>
      <c r="Y448" s="8" t="str">
        <f t="array" ref="Y448">INDEX(Subject!$A:$I,MATCH(RANDBETWEEN(1,16),Subject!$B:$B,0),3)</f>
        <v>#N/A</v>
      </c>
      <c r="Z448" s="8" t="str">
        <f t="array" ref="Z448">INDEX(Subject!$A:$I,MATCH(RANDBETWEEN(1,16),Subject!$B:$B,0),3)</f>
        <v>#N/A</v>
      </c>
      <c r="AA448" s="8" t="str">
        <f t="array" ref="AA448">INDEX(Subject!$A:$I,MATCH(RANDBETWEEN(1,16),Subject!$B:$B,0),3)</f>
        <v>#N/A</v>
      </c>
      <c r="AB448" s="8" t="str">
        <f t="array" ref="AB448">INDEX(Subject!$A:$I,MATCH(RANDBETWEEN(1,16),Subject!$B:$B,0),3)</f>
        <v>#N/A</v>
      </c>
      <c r="AC448" s="8" t="str">
        <f t="array" ref="AC448">INDEX(Subject!$A:$I,MATCH(RANDBETWEEN(1,16),Subject!$B:$B,0),3)</f>
        <v>#N/A</v>
      </c>
      <c r="AD448" s="8" t="str">
        <f t="array" ref="AD448">INDEX(Subject!$A:$I,MATCH(RANDBETWEEN(1,16),Subject!$B:$B,0),3)</f>
        <v/>
      </c>
      <c r="AE448" s="8" t="str">
        <f t="array" ref="AE448">INDEX(Subject!$A:$I,MATCH(RANDBETWEEN(1,16),Subject!$B:$B,0),3)</f>
        <v>#N/A</v>
      </c>
      <c r="AF448" s="8" t="str">
        <f t="array" ref="AF448">INDEX(Subject!$A:$I,MATCH(RANDBETWEEN(1,16),Subject!$B:$B,0),3)</f>
        <v>#N/A</v>
      </c>
      <c r="AG448" s="8" t="str">
        <f t="array" ref="AG448">INDEX(Subject!$A:$I,MATCH(RANDBETWEEN(1,16),Subject!$B:$B,0),3)</f>
        <v>#N/A</v>
      </c>
      <c r="AH448" s="8" t="str">
        <f t="array" ref="AH448">INDEX(Subject!$A:$I,MATCH(RANDBETWEEN(1,16),Subject!$B:$B,0),3)</f>
        <v>#N/A</v>
      </c>
      <c r="AI448" s="8" t="str">
        <f t="array" ref="AI448">INDEX(Subject!$A:$I,MATCH(RANDBETWEEN(1,16),Subject!$B:$B,0),3)</f>
        <v>#N/A</v>
      </c>
      <c r="AJ448" s="8" t="str">
        <f t="array" ref="AJ448">INDEX(Subject!$A:$I,MATCH(RANDBETWEEN(1,16),Subject!$B:$B,0),3)</f>
        <v>#N/A</v>
      </c>
      <c r="AK448" s="8" t="str">
        <f t="array" ref="AK448">INDEX(Subject!$A:$I,MATCH(RANDBETWEEN(1,16),Subject!$B:$B,0),3)</f>
        <v/>
      </c>
      <c r="AL448" s="8" t="str">
        <f t="array" ref="AL448">INDEX(Subject!$A:$I,MATCH(RANDBETWEEN(1,16),Subject!$B:$B,0),3)</f>
        <v>#N/A</v>
      </c>
      <c r="AM448" s="18">
        <f t="shared" si="4"/>
        <v>45948.33333</v>
      </c>
      <c r="AN448" s="19">
        <f t="shared" ref="AN448:BZ448" si="448">$A448+C$1</f>
        <v>45948.35417</v>
      </c>
      <c r="AO448" s="19">
        <f t="shared" si="448"/>
        <v>45948.375</v>
      </c>
      <c r="AP448" s="19">
        <f t="shared" si="448"/>
        <v>45948.39583</v>
      </c>
      <c r="AQ448" s="19">
        <f t="shared" si="448"/>
        <v>45948.41667</v>
      </c>
      <c r="AR448" s="19">
        <f t="shared" si="448"/>
        <v>45948.4375</v>
      </c>
      <c r="AS448" s="19">
        <f t="shared" si="448"/>
        <v>45948.45833</v>
      </c>
      <c r="AT448" s="19">
        <f t="shared" si="448"/>
        <v>45948.47917</v>
      </c>
      <c r="AU448" s="19">
        <f t="shared" si="448"/>
        <v>45948.5</v>
      </c>
      <c r="AV448" s="19">
        <f t="shared" si="448"/>
        <v>45948.52083</v>
      </c>
      <c r="AW448" s="19">
        <f t="shared" si="448"/>
        <v>45948.54167</v>
      </c>
      <c r="AX448" s="19">
        <f t="shared" si="448"/>
        <v>45948.5625</v>
      </c>
      <c r="AY448" s="19">
        <f t="shared" si="448"/>
        <v>45948.58333</v>
      </c>
      <c r="AZ448" s="19">
        <f t="shared" si="448"/>
        <v>45948.60417</v>
      </c>
      <c r="BA448" s="19">
        <f t="shared" si="448"/>
        <v>45948.625</v>
      </c>
      <c r="BB448" s="19">
        <f t="shared" si="448"/>
        <v>45948.64583</v>
      </c>
      <c r="BC448" s="19">
        <f t="shared" si="448"/>
        <v>45948.66667</v>
      </c>
      <c r="BD448" s="19">
        <f t="shared" si="448"/>
        <v>45948.6875</v>
      </c>
      <c r="BE448" s="19">
        <f t="shared" si="448"/>
        <v>45948.70833</v>
      </c>
      <c r="BF448" s="19">
        <f t="shared" si="448"/>
        <v>45948.72917</v>
      </c>
      <c r="BG448" s="19">
        <f t="shared" si="448"/>
        <v>45948.75</v>
      </c>
      <c r="BH448" s="19">
        <f t="shared" si="448"/>
        <v>45948.77083</v>
      </c>
      <c r="BI448" s="19">
        <f t="shared" si="448"/>
        <v>45948.79167</v>
      </c>
      <c r="BJ448" s="19">
        <f t="shared" si="448"/>
        <v>45948.8125</v>
      </c>
      <c r="BK448" s="19">
        <f t="shared" si="448"/>
        <v>45948.83333</v>
      </c>
      <c r="BL448" s="19">
        <f t="shared" si="448"/>
        <v>45948.85417</v>
      </c>
      <c r="BM448" s="19">
        <f t="shared" si="448"/>
        <v>45948.875</v>
      </c>
      <c r="BN448" s="19">
        <f t="shared" si="448"/>
        <v>45948.89583</v>
      </c>
      <c r="BO448" s="19">
        <f t="shared" si="448"/>
        <v>45948.91667</v>
      </c>
      <c r="BP448" s="19">
        <f t="shared" si="448"/>
        <v>45948.9375</v>
      </c>
      <c r="BQ448" s="19">
        <f t="shared" si="448"/>
        <v>45948.95833</v>
      </c>
      <c r="BR448" s="19">
        <f t="shared" si="448"/>
        <v>45948.97917</v>
      </c>
      <c r="BS448" s="19">
        <f t="shared" si="448"/>
        <v>45949</v>
      </c>
      <c r="BT448" s="19">
        <f t="shared" si="448"/>
        <v>45949.02083</v>
      </c>
      <c r="BU448" s="19">
        <f t="shared" si="448"/>
        <v>45949.04167</v>
      </c>
      <c r="BV448" s="19">
        <f t="shared" si="448"/>
        <v>45949.0625</v>
      </c>
      <c r="BW448" s="19">
        <f t="shared" si="448"/>
        <v>45949.08333</v>
      </c>
      <c r="BX448" s="19">
        <f t="shared" si="448"/>
        <v>45948</v>
      </c>
      <c r="BY448" s="19">
        <f t="shared" si="448"/>
        <v>45948</v>
      </c>
      <c r="BZ448" s="19">
        <f t="shared" si="448"/>
        <v>45948</v>
      </c>
    </row>
    <row r="449" ht="14.25" customHeight="1">
      <c r="A449" s="17">
        <v>45949.0</v>
      </c>
      <c r="B449" s="2" t="str">
        <f t="array" ref="B449">IF(NOW()&gt;AM449,"",IF(AND((WEEKDAY($A449)+$B$2)&gt;1,((WEEKDAY($A449)+$T$2)&lt;7),(WEEKDAY($A449)&lt;&gt;1)),"work",(INDEX(Subject!$A:$I,MATCH(RANDBETWEEN(1,(MAX(Subject!$B:$B))),Subject!$B:$B,0),3))))</f>
        <v/>
      </c>
      <c r="C449" s="2" t="str">
        <f t="array" ref="C449">IF(NOW()&gt;AN449,"",IF(AND((WEEKDAY($A449)+$B$2)&gt;1,((WEEKDAY($A449)+$T$2)&lt;7),(WEEKDAY($A449)&lt;&gt;1)),"work",(INDEX(Subject!$A:$I,MATCH(RANDBETWEEN(1,(MAX(Subject!$B:$B))),Subject!$B:$B,0),3))))</f>
        <v/>
      </c>
      <c r="D449" s="2" t="str">
        <f t="array" ref="D449">IF(NOW()&gt;AO449,"",IF(AND((WEEKDAY($A449)+$B$2)&gt;1,((WEEKDAY($A449)+$T$2)&lt;7),(WEEKDAY($A449)&lt;&gt;1)),"work",(INDEX(Subject!$A:$I,MATCH(RANDBETWEEN(1,(MAX(Subject!$B:$B))),Subject!$B:$B,0),3))))</f>
        <v/>
      </c>
      <c r="E449" s="2" t="str">
        <f t="array" ref="E449">IF(NOW()&gt;AP449,"",IF(AND((WEEKDAY($A449)+$B$2)&gt;1,((WEEKDAY($A449)+$T$2)&lt;7),(WEEKDAY($A449)&lt;&gt;1)),"work",(INDEX(Subject!$A:$I,MATCH(RANDBETWEEN(1,(MAX(Subject!$B:$B))),Subject!$B:$B,0),3))))</f>
        <v/>
      </c>
      <c r="F449" s="2" t="str">
        <f t="array" ref="F449">IF(NOW()&gt;AQ449,"",IF(AND((WEEKDAY($A449)+$B$2)&gt;1,((WEEKDAY($A449)+$T$2)&lt;7),(WEEKDAY($A449)&lt;&gt;1)),"work",(INDEX(Subject!$A:$I,MATCH(RANDBETWEEN(1,(MAX(Subject!$B:$B))),Subject!$B:$B,0),3))))</f>
        <v/>
      </c>
      <c r="G449" s="2" t="str">
        <f t="array" ref="G449">IF(NOW()&gt;AR449,"",IF(AND((WEEKDAY($A449)+$B$2)&gt;1,((WEEKDAY($A449)+$T$2)&lt;7),(WEEKDAY($A449)&lt;&gt;1)),"work",(INDEX(Subject!$A:$I,MATCH(RANDBETWEEN(1,(MAX(Subject!$B:$B))),Subject!$B:$B,0),3))))</f>
        <v/>
      </c>
      <c r="H449" s="2" t="str">
        <f t="array" ref="H449">IF(NOW()&gt;AS449,"",IF(AND((WEEKDAY($A449)+$B$2)&gt;1,((WEEKDAY($A449)+$T$2)&lt;7),(WEEKDAY($A449)&lt;&gt;1)),"work",(INDEX(Subject!$A:$I,MATCH(RANDBETWEEN(1,(MAX(Subject!$B:$B))),Subject!$B:$B,0),3))))</f>
        <v/>
      </c>
      <c r="I449" s="2" t="str">
        <f t="array" ref="I449">IF(NOW()&gt;AT449,"",IF(AND((WEEKDAY($A449)+$B$2)&gt;1,((WEEKDAY($A449)+$T$2)&lt;7),(WEEKDAY($A449)&lt;&gt;1)),"work",(INDEX(Subject!$A:$I,MATCH(RANDBETWEEN(1,(MAX(Subject!$B:$B))),Subject!$B:$B,0),3))))</f>
        <v/>
      </c>
      <c r="J449" s="2" t="str">
        <f t="array" ref="J449">IF(NOW()&gt;AU449,"",IF(AND((WEEKDAY($A449)+$B$2)&gt;1,((WEEKDAY($A449)+$T$2)&lt;7),(WEEKDAY($A449)&lt;&gt;1)),"work",(INDEX(Subject!$A:$I,MATCH(RANDBETWEEN(1,(MAX(Subject!$B:$B))),Subject!$B:$B,0),3))))</f>
        <v/>
      </c>
      <c r="K449" s="2" t="str">
        <f t="array" ref="K449">IF(NOW()&gt;AV449,"",IF(AND((WEEKDAY($A449)+$B$2)&gt;1,((WEEKDAY($A449)+$T$2)&lt;7),(WEEKDAY($A449)&lt;&gt;1)),"work",(INDEX(Subject!$A:$I,MATCH(RANDBETWEEN(1,(MAX(Subject!$B:$B))),Subject!$B:$B,0),3))))</f>
        <v/>
      </c>
      <c r="L449" s="2" t="str">
        <f t="array" ref="L449">IF(NOW()&gt;AW449,"",IF(AND((WEEKDAY($A449)+$B$2)&gt;1,((WEEKDAY($A449)+$T$2)&lt;7),(WEEKDAY($A449)&lt;&gt;1)),"work",(INDEX(Subject!$A:$I,MATCH(RANDBETWEEN(1,(MAX(Subject!$B:$B))),Subject!$B:$B,0),3))))</f>
        <v/>
      </c>
      <c r="M449" s="2" t="str">
        <f t="array" ref="M449">IF(NOW()&gt;AX449,"",IF(AND((WEEKDAY($A449)+$B$2)&gt;1,((WEEKDAY($A449)+$T$2)&lt;7),(WEEKDAY($A449)&lt;&gt;1)),"work",(INDEX(Subject!$A:$I,MATCH(RANDBETWEEN(1,(MAX(Subject!$B:$B))),Subject!$B:$B,0),3))))</f>
        <v/>
      </c>
      <c r="N449" s="2" t="str">
        <f t="array" ref="N449">IF(NOW()&gt;AY449,"",IF(AND((WEEKDAY($A449)+$B$2)&gt;1,((WEEKDAY($A449)+$T$2)&lt;7),(WEEKDAY($A449)&lt;&gt;1)),"work",(INDEX(Subject!$A:$I,MATCH(RANDBETWEEN(1,(MAX(Subject!$B:$B))),Subject!$B:$B,0),3))))</f>
        <v/>
      </c>
      <c r="O449" s="2" t="str">
        <f t="array" ref="O449">IF(NOW()&gt;AZ449,"",IF(AND((WEEKDAY($A449)+$B$2)&gt;1,((WEEKDAY($A449)+$T$2)&lt;7),(WEEKDAY($A449)&lt;&gt;1)),"work",(INDEX(Subject!$A:$I,MATCH(RANDBETWEEN(1,(MAX(Subject!$B:$B))),Subject!$B:$B,0),3))))</f>
        <v/>
      </c>
      <c r="P449" s="2" t="str">
        <f t="array" ref="P449">IF(NOW()&gt;BA449,"",IF(AND((WEEKDAY($A449)+$B$2)&gt;1,((WEEKDAY($A449)+$T$2)&lt;7),(WEEKDAY($A449)&lt;&gt;1)),"work",(INDEX(Subject!$A:$I,MATCH(RANDBETWEEN(1,(MAX(Subject!$B:$B))),Subject!$B:$B,0),3))))</f>
        <v/>
      </c>
      <c r="Q449" s="2" t="str">
        <f t="array" ref="Q449">IF(NOW()&gt;BB449,"",IF(AND((WEEKDAY($A449)+$B$2)&gt;1,((WEEKDAY($A449)+$T$2)&lt;7),(WEEKDAY($A449)&lt;&gt;1)),"work",(INDEX(Subject!$A:$I,MATCH(RANDBETWEEN(1,(MAX(Subject!$B:$B))),Subject!$B:$B,0),3))))</f>
        <v/>
      </c>
      <c r="R449" s="2" t="str">
        <f t="array" ref="R449">IF(NOW()&gt;BC449,"",IF(AND((WEEKDAY($A449)+$B$2)&gt;1,((WEEKDAY($A449)+$T$2)&lt;7),(WEEKDAY($A449)&lt;&gt;1)),"work",(INDEX(Subject!$A:$I,MATCH(RANDBETWEEN(1,(MAX(Subject!$B:$B))),Subject!$B:$B,0),3))))</f>
        <v/>
      </c>
      <c r="S449" s="2" t="str">
        <f t="array" ref="S449">IF(NOW()&gt;BD449,"",IF(AND((WEEKDAY($A449)+$B$2)&gt;1,((WEEKDAY($A449)+$T$2)&lt;7),(WEEKDAY($A449)&lt;&gt;1)),"work",(INDEX(Subject!$A:$I,MATCH(RANDBETWEEN(1,(MAX(Subject!$B:$B))),Subject!$B:$B,0),3))))</f>
        <v/>
      </c>
      <c r="T449" s="2" t="str">
        <f t="array" ref="T449">IF(NOW()&gt;BE449,"",IF(AND((WEEKDAY($A449)+$B$2)&gt;1,((WEEKDAY($A449)+$T$2)&lt;7),(WEEKDAY($A449)&lt;&gt;1)),"work",(INDEX(Subject!$A:$I,MATCH(RANDBETWEEN(1,(MAX(Subject!$B:$B))),Subject!$B:$B,0),3))))</f>
        <v/>
      </c>
      <c r="U449" s="8" t="str">
        <f t="array" ref="U449">INDEX(Subject!$A:$I,MATCH(RANDBETWEEN(1,16),Subject!$B:$B,0),3)</f>
        <v/>
      </c>
      <c r="V449" s="8" t="str">
        <f t="array" ref="V449">INDEX(Subject!$A:$I,MATCH(RANDBETWEEN(1,16),Subject!$B:$B,0),3)</f>
        <v/>
      </c>
      <c r="W449" s="8" t="str">
        <f t="array" ref="W449">INDEX(Subject!$A:$I,MATCH(RANDBETWEEN(1,16),Subject!$B:$B,0),3)</f>
        <v>#N/A</v>
      </c>
      <c r="X449" s="8" t="str">
        <f t="array" ref="X449">INDEX(Subject!$A:$I,MATCH(RANDBETWEEN(1,16),Subject!$B:$B,0),3)</f>
        <v>#N/A</v>
      </c>
      <c r="Y449" s="8" t="str">
        <f t="array" ref="Y449">INDEX(Subject!$A:$I,MATCH(RANDBETWEEN(1,16),Subject!$B:$B,0),3)</f>
        <v>#N/A</v>
      </c>
      <c r="Z449" s="8" t="str">
        <f t="array" ref="Z449">INDEX(Subject!$A:$I,MATCH(RANDBETWEEN(1,16),Subject!$B:$B,0),3)</f>
        <v>#N/A</v>
      </c>
      <c r="AA449" s="8" t="str">
        <f t="array" ref="AA449">INDEX(Subject!$A:$I,MATCH(RANDBETWEEN(1,16),Subject!$B:$B,0),3)</f>
        <v>#N/A</v>
      </c>
      <c r="AB449" s="8" t="str">
        <f t="array" ref="AB449">INDEX(Subject!$A:$I,MATCH(RANDBETWEEN(1,16),Subject!$B:$B,0),3)</f>
        <v>#N/A</v>
      </c>
      <c r="AC449" s="8" t="str">
        <f t="array" ref="AC449">INDEX(Subject!$A:$I,MATCH(RANDBETWEEN(1,16),Subject!$B:$B,0),3)</f>
        <v>#N/A</v>
      </c>
      <c r="AD449" s="8" t="str">
        <f t="array" ref="AD449">INDEX(Subject!$A:$I,MATCH(RANDBETWEEN(1,16),Subject!$B:$B,0),3)</f>
        <v>#N/A</v>
      </c>
      <c r="AE449" s="8" t="str">
        <f t="array" ref="AE449">INDEX(Subject!$A:$I,MATCH(RANDBETWEEN(1,16),Subject!$B:$B,0),3)</f>
        <v>#N/A</v>
      </c>
      <c r="AF449" s="8" t="str">
        <f t="array" ref="AF449">INDEX(Subject!$A:$I,MATCH(RANDBETWEEN(1,16),Subject!$B:$B,0),3)</f>
        <v>#N/A</v>
      </c>
      <c r="AG449" s="8" t="str">
        <f t="array" ref="AG449">INDEX(Subject!$A:$I,MATCH(RANDBETWEEN(1,16),Subject!$B:$B,0),3)</f>
        <v>#N/A</v>
      </c>
      <c r="AH449" s="8" t="str">
        <f t="array" ref="AH449">INDEX(Subject!$A:$I,MATCH(RANDBETWEEN(1,16),Subject!$B:$B,0),3)</f>
        <v>#N/A</v>
      </c>
      <c r="AI449" s="8" t="str">
        <f t="array" ref="AI449">INDEX(Subject!$A:$I,MATCH(RANDBETWEEN(1,16),Subject!$B:$B,0),3)</f>
        <v>#N/A</v>
      </c>
      <c r="AJ449" s="8" t="str">
        <f t="array" ref="AJ449">INDEX(Subject!$A:$I,MATCH(RANDBETWEEN(1,16),Subject!$B:$B,0),3)</f>
        <v>#N/A</v>
      </c>
      <c r="AK449" s="8" t="str">
        <f t="array" ref="AK449">INDEX(Subject!$A:$I,MATCH(RANDBETWEEN(1,16),Subject!$B:$B,0),3)</f>
        <v>#N/A</v>
      </c>
      <c r="AL449" s="8" t="str">
        <f t="array" ref="AL449">INDEX(Subject!$A:$I,MATCH(RANDBETWEEN(1,16),Subject!$B:$B,0),3)</f>
        <v>#N/A</v>
      </c>
      <c r="AM449" s="18">
        <f t="shared" si="4"/>
        <v>45949.33333</v>
      </c>
      <c r="AN449" s="19">
        <f t="shared" ref="AN449:BZ449" si="449">$A449+C$1</f>
        <v>45949.35417</v>
      </c>
      <c r="AO449" s="19">
        <f t="shared" si="449"/>
        <v>45949.375</v>
      </c>
      <c r="AP449" s="19">
        <f t="shared" si="449"/>
        <v>45949.39583</v>
      </c>
      <c r="AQ449" s="19">
        <f t="shared" si="449"/>
        <v>45949.41667</v>
      </c>
      <c r="AR449" s="19">
        <f t="shared" si="449"/>
        <v>45949.4375</v>
      </c>
      <c r="AS449" s="19">
        <f t="shared" si="449"/>
        <v>45949.45833</v>
      </c>
      <c r="AT449" s="19">
        <f t="shared" si="449"/>
        <v>45949.47917</v>
      </c>
      <c r="AU449" s="19">
        <f t="shared" si="449"/>
        <v>45949.5</v>
      </c>
      <c r="AV449" s="19">
        <f t="shared" si="449"/>
        <v>45949.52083</v>
      </c>
      <c r="AW449" s="19">
        <f t="shared" si="449"/>
        <v>45949.54167</v>
      </c>
      <c r="AX449" s="19">
        <f t="shared" si="449"/>
        <v>45949.5625</v>
      </c>
      <c r="AY449" s="19">
        <f t="shared" si="449"/>
        <v>45949.58333</v>
      </c>
      <c r="AZ449" s="19">
        <f t="shared" si="449"/>
        <v>45949.60417</v>
      </c>
      <c r="BA449" s="19">
        <f t="shared" si="449"/>
        <v>45949.625</v>
      </c>
      <c r="BB449" s="19">
        <f t="shared" si="449"/>
        <v>45949.64583</v>
      </c>
      <c r="BC449" s="19">
        <f t="shared" si="449"/>
        <v>45949.66667</v>
      </c>
      <c r="BD449" s="19">
        <f t="shared" si="449"/>
        <v>45949.6875</v>
      </c>
      <c r="BE449" s="19">
        <f t="shared" si="449"/>
        <v>45949.70833</v>
      </c>
      <c r="BF449" s="19">
        <f t="shared" si="449"/>
        <v>45949.72917</v>
      </c>
      <c r="BG449" s="19">
        <f t="shared" si="449"/>
        <v>45949.75</v>
      </c>
      <c r="BH449" s="19">
        <f t="shared" si="449"/>
        <v>45949.77083</v>
      </c>
      <c r="BI449" s="19">
        <f t="shared" si="449"/>
        <v>45949.79167</v>
      </c>
      <c r="BJ449" s="19">
        <f t="shared" si="449"/>
        <v>45949.8125</v>
      </c>
      <c r="BK449" s="19">
        <f t="shared" si="449"/>
        <v>45949.83333</v>
      </c>
      <c r="BL449" s="19">
        <f t="shared" si="449"/>
        <v>45949.85417</v>
      </c>
      <c r="BM449" s="19">
        <f t="shared" si="449"/>
        <v>45949.875</v>
      </c>
      <c r="BN449" s="19">
        <f t="shared" si="449"/>
        <v>45949.89583</v>
      </c>
      <c r="BO449" s="19">
        <f t="shared" si="449"/>
        <v>45949.91667</v>
      </c>
      <c r="BP449" s="19">
        <f t="shared" si="449"/>
        <v>45949.9375</v>
      </c>
      <c r="BQ449" s="19">
        <f t="shared" si="449"/>
        <v>45949.95833</v>
      </c>
      <c r="BR449" s="19">
        <f t="shared" si="449"/>
        <v>45949.97917</v>
      </c>
      <c r="BS449" s="19">
        <f t="shared" si="449"/>
        <v>45950</v>
      </c>
      <c r="BT449" s="19">
        <f t="shared" si="449"/>
        <v>45950.02083</v>
      </c>
      <c r="BU449" s="19">
        <f t="shared" si="449"/>
        <v>45950.04167</v>
      </c>
      <c r="BV449" s="19">
        <f t="shared" si="449"/>
        <v>45950.0625</v>
      </c>
      <c r="BW449" s="19">
        <f t="shared" si="449"/>
        <v>45950.08333</v>
      </c>
      <c r="BX449" s="19">
        <f t="shared" si="449"/>
        <v>45949</v>
      </c>
      <c r="BY449" s="19">
        <f t="shared" si="449"/>
        <v>45949</v>
      </c>
      <c r="BZ449" s="19">
        <f t="shared" si="449"/>
        <v>45949</v>
      </c>
    </row>
    <row r="450" ht="14.25" customHeight="1">
      <c r="A450" s="17">
        <v>45950.0</v>
      </c>
      <c r="B450" s="2" t="str">
        <f t="array" ref="B450">IF(NOW()&gt;AM450,"",IF(AND((WEEKDAY($A450)+$B$2)&gt;1,((WEEKDAY($A450)+$T$2)&lt;7),(WEEKDAY($A450)&lt;&gt;1)),"work",(INDEX(Subject!$A:$I,MATCH(RANDBETWEEN(1,(MAX(Subject!$B:$B))),Subject!$B:$B,0),3))))</f>
        <v/>
      </c>
      <c r="C450" s="2" t="str">
        <f t="array" ref="C450">IF(NOW()&gt;AN450,"",IF(AND((WEEKDAY($A450)+$B$2)&gt;1,((WEEKDAY($A450)+$T$2)&lt;7),(WEEKDAY($A450)&lt;&gt;1)),"work",(INDEX(Subject!$A:$I,MATCH(RANDBETWEEN(1,(MAX(Subject!$B:$B))),Subject!$B:$B,0),3))))</f>
        <v/>
      </c>
      <c r="D450" s="2" t="str">
        <f t="array" ref="D450">IF(NOW()&gt;AO450,"",IF(AND((WEEKDAY($A450)+$B$2)&gt;1,((WEEKDAY($A450)+$T$2)&lt;7),(WEEKDAY($A450)&lt;&gt;1)),"work",(INDEX(Subject!$A:$I,MATCH(RANDBETWEEN(1,(MAX(Subject!$B:$B))),Subject!$B:$B,0),3))))</f>
        <v/>
      </c>
      <c r="E450" s="2" t="str">
        <f t="array" ref="E450">IF(NOW()&gt;AP450,"",IF(AND((WEEKDAY($A450)+$B$2)&gt;1,((WEEKDAY($A450)+$T$2)&lt;7),(WEEKDAY($A450)&lt;&gt;1)),"work",(INDEX(Subject!$A:$I,MATCH(RANDBETWEEN(1,(MAX(Subject!$B:$B))),Subject!$B:$B,0),3))))</f>
        <v/>
      </c>
      <c r="F450" s="2" t="str">
        <f t="array" ref="F450">IF(NOW()&gt;AQ450,"",IF(AND((WEEKDAY($A450)+$B$2)&gt;1,((WEEKDAY($A450)+$T$2)&lt;7),(WEEKDAY($A450)&lt;&gt;1)),"work",(INDEX(Subject!$A:$I,MATCH(RANDBETWEEN(1,(MAX(Subject!$B:$B))),Subject!$B:$B,0),3))))</f>
        <v/>
      </c>
      <c r="G450" s="2" t="str">
        <f t="array" ref="G450">IF(NOW()&gt;AR450,"",IF(AND((WEEKDAY($A450)+$B$2)&gt;1,((WEEKDAY($A450)+$T$2)&lt;7),(WEEKDAY($A450)&lt;&gt;1)),"work",(INDEX(Subject!$A:$I,MATCH(RANDBETWEEN(1,(MAX(Subject!$B:$B))),Subject!$B:$B,0),3))))</f>
        <v/>
      </c>
      <c r="H450" s="2" t="str">
        <f t="array" ref="H450">IF(NOW()&gt;AS450,"",IF(AND((WEEKDAY($A450)+$B$2)&gt;1,((WEEKDAY($A450)+$T$2)&lt;7),(WEEKDAY($A450)&lt;&gt;1)),"work",(INDEX(Subject!$A:$I,MATCH(RANDBETWEEN(1,(MAX(Subject!$B:$B))),Subject!$B:$B,0),3))))</f>
        <v/>
      </c>
      <c r="I450" s="2" t="str">
        <f t="array" ref="I450">IF(NOW()&gt;AT450,"",IF(AND((WEEKDAY($A450)+$B$2)&gt;1,((WEEKDAY($A450)+$T$2)&lt;7),(WEEKDAY($A450)&lt;&gt;1)),"work",(INDEX(Subject!$A:$I,MATCH(RANDBETWEEN(1,(MAX(Subject!$B:$B))),Subject!$B:$B,0),3))))</f>
        <v/>
      </c>
      <c r="J450" s="2" t="str">
        <f t="array" ref="J450">IF(NOW()&gt;AU450,"",IF(AND((WEEKDAY($A450)+$B$2)&gt;1,((WEEKDAY($A450)+$T$2)&lt;7),(WEEKDAY($A450)&lt;&gt;1)),"work",(INDEX(Subject!$A:$I,MATCH(RANDBETWEEN(1,(MAX(Subject!$B:$B))),Subject!$B:$B,0),3))))</f>
        <v/>
      </c>
      <c r="K450" s="2" t="str">
        <f t="array" ref="K450">IF(NOW()&gt;AV450,"",IF(AND((WEEKDAY($A450)+$B$2)&gt;1,((WEEKDAY($A450)+$T$2)&lt;7),(WEEKDAY($A450)&lt;&gt;1)),"work",(INDEX(Subject!$A:$I,MATCH(RANDBETWEEN(1,(MAX(Subject!$B:$B))),Subject!$B:$B,0),3))))</f>
        <v/>
      </c>
      <c r="L450" s="2" t="str">
        <f t="array" ref="L450">IF(NOW()&gt;AW450,"",IF(AND((WEEKDAY($A450)+$B$2)&gt;1,((WEEKDAY($A450)+$T$2)&lt;7),(WEEKDAY($A450)&lt;&gt;1)),"work",(INDEX(Subject!$A:$I,MATCH(RANDBETWEEN(1,(MAX(Subject!$B:$B))),Subject!$B:$B,0),3))))</f>
        <v/>
      </c>
      <c r="M450" s="2" t="str">
        <f t="array" ref="M450">IF(NOW()&gt;AX450,"",IF(AND((WEEKDAY($A450)+$B$2)&gt;1,((WEEKDAY($A450)+$T$2)&lt;7),(WEEKDAY($A450)&lt;&gt;1)),"work",(INDEX(Subject!$A:$I,MATCH(RANDBETWEEN(1,(MAX(Subject!$B:$B))),Subject!$B:$B,0),3))))</f>
        <v/>
      </c>
      <c r="N450" s="2" t="str">
        <f t="array" ref="N450">IF(NOW()&gt;AY450,"",IF(AND((WEEKDAY($A450)+$B$2)&gt;1,((WEEKDAY($A450)+$T$2)&lt;7),(WEEKDAY($A450)&lt;&gt;1)),"work",(INDEX(Subject!$A:$I,MATCH(RANDBETWEEN(1,(MAX(Subject!$B:$B))),Subject!$B:$B,0),3))))</f>
        <v/>
      </c>
      <c r="O450" s="2" t="str">
        <f t="array" ref="O450">IF(NOW()&gt;AZ450,"",IF(AND((WEEKDAY($A450)+$B$2)&gt;1,((WEEKDAY($A450)+$T$2)&lt;7),(WEEKDAY($A450)&lt;&gt;1)),"work",(INDEX(Subject!$A:$I,MATCH(RANDBETWEEN(1,(MAX(Subject!$B:$B))),Subject!$B:$B,0),3))))</f>
        <v/>
      </c>
      <c r="P450" s="2" t="str">
        <f t="array" ref="P450">IF(NOW()&gt;BA450,"",IF(AND((WEEKDAY($A450)+$B$2)&gt;1,((WEEKDAY($A450)+$T$2)&lt;7),(WEEKDAY($A450)&lt;&gt;1)),"work",(INDEX(Subject!$A:$I,MATCH(RANDBETWEEN(1,(MAX(Subject!$B:$B))),Subject!$B:$B,0),3))))</f>
        <v/>
      </c>
      <c r="Q450" s="2" t="str">
        <f t="array" ref="Q450">IF(NOW()&gt;BB450,"",IF(AND((WEEKDAY($A450)+$B$2)&gt;1,((WEEKDAY($A450)+$T$2)&lt;7),(WEEKDAY($A450)&lt;&gt;1)),"work",(INDEX(Subject!$A:$I,MATCH(RANDBETWEEN(1,(MAX(Subject!$B:$B))),Subject!$B:$B,0),3))))</f>
        <v/>
      </c>
      <c r="R450" s="2" t="str">
        <f t="array" ref="R450">IF(NOW()&gt;BC450,"",IF(AND((WEEKDAY($A450)+$B$2)&gt;1,((WEEKDAY($A450)+$T$2)&lt;7),(WEEKDAY($A450)&lt;&gt;1)),"work",(INDEX(Subject!$A:$I,MATCH(RANDBETWEEN(1,(MAX(Subject!$B:$B))),Subject!$B:$B,0),3))))</f>
        <v/>
      </c>
      <c r="S450" s="2" t="str">
        <f t="array" ref="S450">IF(NOW()&gt;BD450,"",IF(AND((WEEKDAY($A450)+$B$2)&gt;1,((WEEKDAY($A450)+$T$2)&lt;7),(WEEKDAY($A450)&lt;&gt;1)),"work",(INDEX(Subject!$A:$I,MATCH(RANDBETWEEN(1,(MAX(Subject!$B:$B))),Subject!$B:$B,0),3))))</f>
        <v/>
      </c>
      <c r="T450" s="2" t="str">
        <f t="array" ref="T450">IF(NOW()&gt;BE450,"",IF(AND((WEEKDAY($A450)+$B$2)&gt;1,((WEEKDAY($A450)+$T$2)&lt;7),(WEEKDAY($A450)&lt;&gt;1)),"work",(INDEX(Subject!$A:$I,MATCH(RANDBETWEEN(1,(MAX(Subject!$B:$B))),Subject!$B:$B,0),3))))</f>
        <v/>
      </c>
      <c r="U450" s="8" t="str">
        <f t="array" ref="U450">INDEX(Subject!$A:$I,MATCH(RANDBETWEEN(1,16),Subject!$B:$B,0),3)</f>
        <v>#N/A</v>
      </c>
      <c r="V450" s="8" t="str">
        <f t="array" ref="V450">INDEX(Subject!$A:$I,MATCH(RANDBETWEEN(1,16),Subject!$B:$B,0),3)</f>
        <v>#N/A</v>
      </c>
      <c r="W450" s="8" t="str">
        <f t="array" ref="W450">INDEX(Subject!$A:$I,MATCH(RANDBETWEEN(1,16),Subject!$B:$B,0),3)</f>
        <v>#N/A</v>
      </c>
      <c r="X450" s="8" t="str">
        <f t="array" ref="X450">INDEX(Subject!$A:$I,MATCH(RANDBETWEEN(1,16),Subject!$B:$B,0),3)</f>
        <v>#N/A</v>
      </c>
      <c r="Y450" s="8" t="str">
        <f t="array" ref="Y450">INDEX(Subject!$A:$I,MATCH(RANDBETWEEN(1,16),Subject!$B:$B,0),3)</f>
        <v>#N/A</v>
      </c>
      <c r="Z450" s="8" t="str">
        <f t="array" ref="Z450">INDEX(Subject!$A:$I,MATCH(RANDBETWEEN(1,16),Subject!$B:$B,0),3)</f>
        <v>#N/A</v>
      </c>
      <c r="AA450" s="8" t="str">
        <f t="array" ref="AA450">INDEX(Subject!$A:$I,MATCH(RANDBETWEEN(1,16),Subject!$B:$B,0),3)</f>
        <v>#N/A</v>
      </c>
      <c r="AB450" s="8" t="str">
        <f t="array" ref="AB450">INDEX(Subject!$A:$I,MATCH(RANDBETWEEN(1,16),Subject!$B:$B,0),3)</f>
        <v>#N/A</v>
      </c>
      <c r="AC450" s="8" t="str">
        <f t="array" ref="AC450">INDEX(Subject!$A:$I,MATCH(RANDBETWEEN(1,16),Subject!$B:$B,0),3)</f>
        <v>#N/A</v>
      </c>
      <c r="AD450" s="8" t="str">
        <f t="array" ref="AD450">INDEX(Subject!$A:$I,MATCH(RANDBETWEEN(1,16),Subject!$B:$B,0),3)</f>
        <v>#N/A</v>
      </c>
      <c r="AE450" s="8" t="str">
        <f t="array" ref="AE450">INDEX(Subject!$A:$I,MATCH(RANDBETWEEN(1,16),Subject!$B:$B,0),3)</f>
        <v/>
      </c>
      <c r="AF450" s="8" t="str">
        <f t="array" ref="AF450">INDEX(Subject!$A:$I,MATCH(RANDBETWEEN(1,16),Subject!$B:$B,0),3)</f>
        <v>#N/A</v>
      </c>
      <c r="AG450" s="8" t="str">
        <f t="array" ref="AG450">INDEX(Subject!$A:$I,MATCH(RANDBETWEEN(1,16),Subject!$B:$B,0),3)</f>
        <v>#N/A</v>
      </c>
      <c r="AH450" s="8" t="str">
        <f t="array" ref="AH450">INDEX(Subject!$A:$I,MATCH(RANDBETWEEN(1,16),Subject!$B:$B,0),3)</f>
        <v>#N/A</v>
      </c>
      <c r="AI450" s="8" t="str">
        <f t="array" ref="AI450">INDEX(Subject!$A:$I,MATCH(RANDBETWEEN(1,16),Subject!$B:$B,0),3)</f>
        <v>#N/A</v>
      </c>
      <c r="AJ450" s="8" t="str">
        <f t="array" ref="AJ450">INDEX(Subject!$A:$I,MATCH(RANDBETWEEN(1,16),Subject!$B:$B,0),3)</f>
        <v>#N/A</v>
      </c>
      <c r="AK450" s="8" t="str">
        <f t="array" ref="AK450">INDEX(Subject!$A:$I,MATCH(RANDBETWEEN(1,16),Subject!$B:$B,0),3)</f>
        <v>#N/A</v>
      </c>
      <c r="AL450" s="8" t="str">
        <f t="array" ref="AL450">INDEX(Subject!$A:$I,MATCH(RANDBETWEEN(1,16),Subject!$B:$B,0),3)</f>
        <v>#N/A</v>
      </c>
      <c r="AM450" s="18">
        <f t="shared" si="4"/>
        <v>45950.33333</v>
      </c>
      <c r="AN450" s="19">
        <f t="shared" ref="AN450:BZ450" si="450">$A450+C$1</f>
        <v>45950.35417</v>
      </c>
      <c r="AO450" s="19">
        <f t="shared" si="450"/>
        <v>45950.375</v>
      </c>
      <c r="AP450" s="19">
        <f t="shared" si="450"/>
        <v>45950.39583</v>
      </c>
      <c r="AQ450" s="19">
        <f t="shared" si="450"/>
        <v>45950.41667</v>
      </c>
      <c r="AR450" s="19">
        <f t="shared" si="450"/>
        <v>45950.4375</v>
      </c>
      <c r="AS450" s="19">
        <f t="shared" si="450"/>
        <v>45950.45833</v>
      </c>
      <c r="AT450" s="19">
        <f t="shared" si="450"/>
        <v>45950.47917</v>
      </c>
      <c r="AU450" s="19">
        <f t="shared" si="450"/>
        <v>45950.5</v>
      </c>
      <c r="AV450" s="19">
        <f t="shared" si="450"/>
        <v>45950.52083</v>
      </c>
      <c r="AW450" s="19">
        <f t="shared" si="450"/>
        <v>45950.54167</v>
      </c>
      <c r="AX450" s="19">
        <f t="shared" si="450"/>
        <v>45950.5625</v>
      </c>
      <c r="AY450" s="19">
        <f t="shared" si="450"/>
        <v>45950.58333</v>
      </c>
      <c r="AZ450" s="19">
        <f t="shared" si="450"/>
        <v>45950.60417</v>
      </c>
      <c r="BA450" s="19">
        <f t="shared" si="450"/>
        <v>45950.625</v>
      </c>
      <c r="BB450" s="19">
        <f t="shared" si="450"/>
        <v>45950.64583</v>
      </c>
      <c r="BC450" s="19">
        <f t="shared" si="450"/>
        <v>45950.66667</v>
      </c>
      <c r="BD450" s="19">
        <f t="shared" si="450"/>
        <v>45950.6875</v>
      </c>
      <c r="BE450" s="19">
        <f t="shared" si="450"/>
        <v>45950.70833</v>
      </c>
      <c r="BF450" s="19">
        <f t="shared" si="450"/>
        <v>45950.72917</v>
      </c>
      <c r="BG450" s="19">
        <f t="shared" si="450"/>
        <v>45950.75</v>
      </c>
      <c r="BH450" s="19">
        <f t="shared" si="450"/>
        <v>45950.77083</v>
      </c>
      <c r="BI450" s="19">
        <f t="shared" si="450"/>
        <v>45950.79167</v>
      </c>
      <c r="BJ450" s="19">
        <f t="shared" si="450"/>
        <v>45950.8125</v>
      </c>
      <c r="BK450" s="19">
        <f t="shared" si="450"/>
        <v>45950.83333</v>
      </c>
      <c r="BL450" s="19">
        <f t="shared" si="450"/>
        <v>45950.85417</v>
      </c>
      <c r="BM450" s="19">
        <f t="shared" si="450"/>
        <v>45950.875</v>
      </c>
      <c r="BN450" s="19">
        <f t="shared" si="450"/>
        <v>45950.89583</v>
      </c>
      <c r="BO450" s="19">
        <f t="shared" si="450"/>
        <v>45950.91667</v>
      </c>
      <c r="BP450" s="19">
        <f t="shared" si="450"/>
        <v>45950.9375</v>
      </c>
      <c r="BQ450" s="19">
        <f t="shared" si="450"/>
        <v>45950.95833</v>
      </c>
      <c r="BR450" s="19">
        <f t="shared" si="450"/>
        <v>45950.97917</v>
      </c>
      <c r="BS450" s="19">
        <f t="shared" si="450"/>
        <v>45951</v>
      </c>
      <c r="BT450" s="19">
        <f t="shared" si="450"/>
        <v>45951.02083</v>
      </c>
      <c r="BU450" s="19">
        <f t="shared" si="450"/>
        <v>45951.04167</v>
      </c>
      <c r="BV450" s="19">
        <f t="shared" si="450"/>
        <v>45951.0625</v>
      </c>
      <c r="BW450" s="19">
        <f t="shared" si="450"/>
        <v>45951.08333</v>
      </c>
      <c r="BX450" s="19">
        <f t="shared" si="450"/>
        <v>45950</v>
      </c>
      <c r="BY450" s="19">
        <f t="shared" si="450"/>
        <v>45950</v>
      </c>
      <c r="BZ450" s="19">
        <f t="shared" si="450"/>
        <v>45950</v>
      </c>
    </row>
    <row r="451" ht="14.25" customHeight="1">
      <c r="A451" s="17">
        <v>45951.0</v>
      </c>
      <c r="B451" s="2" t="str">
        <f t="array" ref="B451">IF(NOW()&gt;AM451,"",IF(AND((WEEKDAY($A451)+$B$2)&gt;1,((WEEKDAY($A451)+$T$2)&lt;7),(WEEKDAY($A451)&lt;&gt;1)),"work",(INDEX(Subject!$A:$I,MATCH(RANDBETWEEN(1,(MAX(Subject!$B:$B))),Subject!$B:$B,0),3))))</f>
        <v/>
      </c>
      <c r="C451" s="2" t="str">
        <f t="array" ref="C451">IF(NOW()&gt;AN451,"",IF(AND((WEEKDAY($A451)+$B$2)&gt;1,((WEEKDAY($A451)+$T$2)&lt;7),(WEEKDAY($A451)&lt;&gt;1)),"work",(INDEX(Subject!$A:$I,MATCH(RANDBETWEEN(1,(MAX(Subject!$B:$B))),Subject!$B:$B,0),3))))</f>
        <v/>
      </c>
      <c r="D451" s="2" t="str">
        <f t="array" ref="D451">IF(NOW()&gt;AO451,"",IF(AND((WEEKDAY($A451)+$B$2)&gt;1,((WEEKDAY($A451)+$T$2)&lt;7),(WEEKDAY($A451)&lt;&gt;1)),"work",(INDEX(Subject!$A:$I,MATCH(RANDBETWEEN(1,(MAX(Subject!$B:$B))),Subject!$B:$B,0),3))))</f>
        <v/>
      </c>
      <c r="E451" s="2" t="str">
        <f t="array" ref="E451">IF(NOW()&gt;AP451,"",IF(AND((WEEKDAY($A451)+$B$2)&gt;1,((WEEKDAY($A451)+$T$2)&lt;7),(WEEKDAY($A451)&lt;&gt;1)),"work",(INDEX(Subject!$A:$I,MATCH(RANDBETWEEN(1,(MAX(Subject!$B:$B))),Subject!$B:$B,0),3))))</f>
        <v/>
      </c>
      <c r="F451" s="2" t="str">
        <f t="array" ref="F451">IF(NOW()&gt;AQ451,"",IF(AND((WEEKDAY($A451)+$B$2)&gt;1,((WEEKDAY($A451)+$T$2)&lt;7),(WEEKDAY($A451)&lt;&gt;1)),"work",(INDEX(Subject!$A:$I,MATCH(RANDBETWEEN(1,(MAX(Subject!$B:$B))),Subject!$B:$B,0),3))))</f>
        <v/>
      </c>
      <c r="G451" s="2" t="str">
        <f t="array" ref="G451">IF(NOW()&gt;AR451,"",IF(AND((WEEKDAY($A451)+$B$2)&gt;1,((WEEKDAY($A451)+$T$2)&lt;7),(WEEKDAY($A451)&lt;&gt;1)),"work",(INDEX(Subject!$A:$I,MATCH(RANDBETWEEN(1,(MAX(Subject!$B:$B))),Subject!$B:$B,0),3))))</f>
        <v/>
      </c>
      <c r="H451" s="2" t="str">
        <f t="array" ref="H451">IF(NOW()&gt;AS451,"",IF(AND((WEEKDAY($A451)+$B$2)&gt;1,((WEEKDAY($A451)+$T$2)&lt;7),(WEEKDAY($A451)&lt;&gt;1)),"work",(INDEX(Subject!$A:$I,MATCH(RANDBETWEEN(1,(MAX(Subject!$B:$B))),Subject!$B:$B,0),3))))</f>
        <v/>
      </c>
      <c r="I451" s="2" t="str">
        <f t="array" ref="I451">IF(NOW()&gt;AT451,"",IF(AND((WEEKDAY($A451)+$B$2)&gt;1,((WEEKDAY($A451)+$T$2)&lt;7),(WEEKDAY($A451)&lt;&gt;1)),"work",(INDEX(Subject!$A:$I,MATCH(RANDBETWEEN(1,(MAX(Subject!$B:$B))),Subject!$B:$B,0),3))))</f>
        <v/>
      </c>
      <c r="J451" s="2" t="str">
        <f t="array" ref="J451">IF(NOW()&gt;AU451,"",IF(AND((WEEKDAY($A451)+$B$2)&gt;1,((WEEKDAY($A451)+$T$2)&lt;7),(WEEKDAY($A451)&lt;&gt;1)),"work",(INDEX(Subject!$A:$I,MATCH(RANDBETWEEN(1,(MAX(Subject!$B:$B))),Subject!$B:$B,0),3))))</f>
        <v/>
      </c>
      <c r="K451" s="2" t="str">
        <f t="array" ref="K451">IF(NOW()&gt;AV451,"",IF(AND((WEEKDAY($A451)+$B$2)&gt;1,((WEEKDAY($A451)+$T$2)&lt;7),(WEEKDAY($A451)&lt;&gt;1)),"work",(INDEX(Subject!$A:$I,MATCH(RANDBETWEEN(1,(MAX(Subject!$B:$B))),Subject!$B:$B,0),3))))</f>
        <v/>
      </c>
      <c r="L451" s="2" t="str">
        <f t="array" ref="L451">IF(NOW()&gt;AW451,"",IF(AND((WEEKDAY($A451)+$B$2)&gt;1,((WEEKDAY($A451)+$T$2)&lt;7),(WEEKDAY($A451)&lt;&gt;1)),"work",(INDEX(Subject!$A:$I,MATCH(RANDBETWEEN(1,(MAX(Subject!$B:$B))),Subject!$B:$B,0),3))))</f>
        <v/>
      </c>
      <c r="M451" s="2" t="str">
        <f t="array" ref="M451">IF(NOW()&gt;AX451,"",IF(AND((WEEKDAY($A451)+$B$2)&gt;1,((WEEKDAY($A451)+$T$2)&lt;7),(WEEKDAY($A451)&lt;&gt;1)),"work",(INDEX(Subject!$A:$I,MATCH(RANDBETWEEN(1,(MAX(Subject!$B:$B))),Subject!$B:$B,0),3))))</f>
        <v/>
      </c>
      <c r="N451" s="2" t="str">
        <f t="array" ref="N451">IF(NOW()&gt;AY451,"",IF(AND((WEEKDAY($A451)+$B$2)&gt;1,((WEEKDAY($A451)+$T$2)&lt;7),(WEEKDAY($A451)&lt;&gt;1)),"work",(INDEX(Subject!$A:$I,MATCH(RANDBETWEEN(1,(MAX(Subject!$B:$B))),Subject!$B:$B,0),3))))</f>
        <v/>
      </c>
      <c r="O451" s="2" t="str">
        <f t="array" ref="O451">IF(NOW()&gt;AZ451,"",IF(AND((WEEKDAY($A451)+$B$2)&gt;1,((WEEKDAY($A451)+$T$2)&lt;7),(WEEKDAY($A451)&lt;&gt;1)),"work",(INDEX(Subject!$A:$I,MATCH(RANDBETWEEN(1,(MAX(Subject!$B:$B))),Subject!$B:$B,0),3))))</f>
        <v/>
      </c>
      <c r="P451" s="2" t="str">
        <f t="array" ref="P451">IF(NOW()&gt;BA451,"",IF(AND((WEEKDAY($A451)+$B$2)&gt;1,((WEEKDAY($A451)+$T$2)&lt;7),(WEEKDAY($A451)&lt;&gt;1)),"work",(INDEX(Subject!$A:$I,MATCH(RANDBETWEEN(1,(MAX(Subject!$B:$B))),Subject!$B:$B,0),3))))</f>
        <v/>
      </c>
      <c r="Q451" s="2" t="str">
        <f t="array" ref="Q451">IF(NOW()&gt;BB451,"",IF(AND((WEEKDAY($A451)+$B$2)&gt;1,((WEEKDAY($A451)+$T$2)&lt;7),(WEEKDAY($A451)&lt;&gt;1)),"work",(INDEX(Subject!$A:$I,MATCH(RANDBETWEEN(1,(MAX(Subject!$B:$B))),Subject!$B:$B,0),3))))</f>
        <v/>
      </c>
      <c r="R451" s="2" t="str">
        <f t="array" ref="R451">IF(NOW()&gt;BC451,"",IF(AND((WEEKDAY($A451)+$B$2)&gt;1,((WEEKDAY($A451)+$T$2)&lt;7),(WEEKDAY($A451)&lt;&gt;1)),"work",(INDEX(Subject!$A:$I,MATCH(RANDBETWEEN(1,(MAX(Subject!$B:$B))),Subject!$B:$B,0),3))))</f>
        <v/>
      </c>
      <c r="S451" s="2" t="str">
        <f t="array" ref="S451">IF(NOW()&gt;BD451,"",IF(AND((WEEKDAY($A451)+$B$2)&gt;1,((WEEKDAY($A451)+$T$2)&lt;7),(WEEKDAY($A451)&lt;&gt;1)),"work",(INDEX(Subject!$A:$I,MATCH(RANDBETWEEN(1,(MAX(Subject!$B:$B))),Subject!$B:$B,0),3))))</f>
        <v/>
      </c>
      <c r="T451" s="2" t="str">
        <f t="array" ref="T451">IF(NOW()&gt;BE451,"",IF(AND((WEEKDAY($A451)+$B$2)&gt;1,((WEEKDAY($A451)+$T$2)&lt;7),(WEEKDAY($A451)&lt;&gt;1)),"work",(INDEX(Subject!$A:$I,MATCH(RANDBETWEEN(1,(MAX(Subject!$B:$B))),Subject!$B:$B,0),3))))</f>
        <v/>
      </c>
      <c r="U451" s="8" t="str">
        <f t="array" ref="U451">INDEX(Subject!$A:$I,MATCH(RANDBETWEEN(1,16),Subject!$B:$B,0),3)</f>
        <v>#N/A</v>
      </c>
      <c r="V451" s="8" t="str">
        <f t="array" ref="V451">INDEX(Subject!$A:$I,MATCH(RANDBETWEEN(1,16),Subject!$B:$B,0),3)</f>
        <v>#N/A</v>
      </c>
      <c r="W451" s="8" t="str">
        <f t="array" ref="W451">INDEX(Subject!$A:$I,MATCH(RANDBETWEEN(1,16),Subject!$B:$B,0),3)</f>
        <v>#N/A</v>
      </c>
      <c r="X451" s="8" t="str">
        <f t="array" ref="X451">INDEX(Subject!$A:$I,MATCH(RANDBETWEEN(1,16),Subject!$B:$B,0),3)</f>
        <v>#N/A</v>
      </c>
      <c r="Y451" s="8" t="str">
        <f t="array" ref="Y451">INDEX(Subject!$A:$I,MATCH(RANDBETWEEN(1,16),Subject!$B:$B,0),3)</f>
        <v/>
      </c>
      <c r="Z451" s="8" t="str">
        <f t="array" ref="Z451">INDEX(Subject!$A:$I,MATCH(RANDBETWEEN(1,16),Subject!$B:$B,0),3)</f>
        <v>#N/A</v>
      </c>
      <c r="AA451" s="8" t="str">
        <f t="array" ref="AA451">INDEX(Subject!$A:$I,MATCH(RANDBETWEEN(1,16),Subject!$B:$B,0),3)</f>
        <v>#N/A</v>
      </c>
      <c r="AB451" s="8" t="str">
        <f t="array" ref="AB451">INDEX(Subject!$A:$I,MATCH(RANDBETWEEN(1,16),Subject!$B:$B,0),3)</f>
        <v>#N/A</v>
      </c>
      <c r="AC451" s="8" t="str">
        <f t="array" ref="AC451">INDEX(Subject!$A:$I,MATCH(RANDBETWEEN(1,16),Subject!$B:$B,0),3)</f>
        <v>#N/A</v>
      </c>
      <c r="AD451" s="8" t="str">
        <f t="array" ref="AD451">INDEX(Subject!$A:$I,MATCH(RANDBETWEEN(1,16),Subject!$B:$B,0),3)</f>
        <v>#N/A</v>
      </c>
      <c r="AE451" s="8" t="str">
        <f t="array" ref="AE451">INDEX(Subject!$A:$I,MATCH(RANDBETWEEN(1,16),Subject!$B:$B,0),3)</f>
        <v>#N/A</v>
      </c>
      <c r="AF451" s="8" t="str">
        <f t="array" ref="AF451">INDEX(Subject!$A:$I,MATCH(RANDBETWEEN(1,16),Subject!$B:$B,0),3)</f>
        <v>#N/A</v>
      </c>
      <c r="AG451" s="8" t="str">
        <f t="array" ref="AG451">INDEX(Subject!$A:$I,MATCH(RANDBETWEEN(1,16),Subject!$B:$B,0),3)</f>
        <v>#N/A</v>
      </c>
      <c r="AH451" s="8" t="str">
        <f t="array" ref="AH451">INDEX(Subject!$A:$I,MATCH(RANDBETWEEN(1,16),Subject!$B:$B,0),3)</f>
        <v>#N/A</v>
      </c>
      <c r="AI451" s="8" t="str">
        <f t="array" ref="AI451">INDEX(Subject!$A:$I,MATCH(RANDBETWEEN(1,16),Subject!$B:$B,0),3)</f>
        <v>#N/A</v>
      </c>
      <c r="AJ451" s="8" t="str">
        <f t="array" ref="AJ451">INDEX(Subject!$A:$I,MATCH(RANDBETWEEN(1,16),Subject!$B:$B,0),3)</f>
        <v/>
      </c>
      <c r="AK451" s="8" t="str">
        <f t="array" ref="AK451">INDEX(Subject!$A:$I,MATCH(RANDBETWEEN(1,16),Subject!$B:$B,0),3)</f>
        <v>#N/A</v>
      </c>
      <c r="AL451" s="8" t="str">
        <f t="array" ref="AL451">INDEX(Subject!$A:$I,MATCH(RANDBETWEEN(1,16),Subject!$B:$B,0),3)</f>
        <v>#N/A</v>
      </c>
      <c r="AM451" s="18">
        <f t="shared" si="4"/>
        <v>45951.33333</v>
      </c>
      <c r="AN451" s="19">
        <f t="shared" ref="AN451:BZ451" si="451">$A451+C$1</f>
        <v>45951.35417</v>
      </c>
      <c r="AO451" s="19">
        <f t="shared" si="451"/>
        <v>45951.375</v>
      </c>
      <c r="AP451" s="19">
        <f t="shared" si="451"/>
        <v>45951.39583</v>
      </c>
      <c r="AQ451" s="19">
        <f t="shared" si="451"/>
        <v>45951.41667</v>
      </c>
      <c r="AR451" s="19">
        <f t="shared" si="451"/>
        <v>45951.4375</v>
      </c>
      <c r="AS451" s="19">
        <f t="shared" si="451"/>
        <v>45951.45833</v>
      </c>
      <c r="AT451" s="19">
        <f t="shared" si="451"/>
        <v>45951.47917</v>
      </c>
      <c r="AU451" s="19">
        <f t="shared" si="451"/>
        <v>45951.5</v>
      </c>
      <c r="AV451" s="19">
        <f t="shared" si="451"/>
        <v>45951.52083</v>
      </c>
      <c r="AW451" s="19">
        <f t="shared" si="451"/>
        <v>45951.54167</v>
      </c>
      <c r="AX451" s="19">
        <f t="shared" si="451"/>
        <v>45951.5625</v>
      </c>
      <c r="AY451" s="19">
        <f t="shared" si="451"/>
        <v>45951.58333</v>
      </c>
      <c r="AZ451" s="19">
        <f t="shared" si="451"/>
        <v>45951.60417</v>
      </c>
      <c r="BA451" s="19">
        <f t="shared" si="451"/>
        <v>45951.625</v>
      </c>
      <c r="BB451" s="19">
        <f t="shared" si="451"/>
        <v>45951.64583</v>
      </c>
      <c r="BC451" s="19">
        <f t="shared" si="451"/>
        <v>45951.66667</v>
      </c>
      <c r="BD451" s="19">
        <f t="shared" si="451"/>
        <v>45951.6875</v>
      </c>
      <c r="BE451" s="19">
        <f t="shared" si="451"/>
        <v>45951.70833</v>
      </c>
      <c r="BF451" s="19">
        <f t="shared" si="451"/>
        <v>45951.72917</v>
      </c>
      <c r="BG451" s="19">
        <f t="shared" si="451"/>
        <v>45951.75</v>
      </c>
      <c r="BH451" s="19">
        <f t="shared" si="451"/>
        <v>45951.77083</v>
      </c>
      <c r="BI451" s="19">
        <f t="shared" si="451"/>
        <v>45951.79167</v>
      </c>
      <c r="BJ451" s="19">
        <f t="shared" si="451"/>
        <v>45951.8125</v>
      </c>
      <c r="BK451" s="19">
        <f t="shared" si="451"/>
        <v>45951.83333</v>
      </c>
      <c r="BL451" s="19">
        <f t="shared" si="451"/>
        <v>45951.85417</v>
      </c>
      <c r="BM451" s="19">
        <f t="shared" si="451"/>
        <v>45951.875</v>
      </c>
      <c r="BN451" s="19">
        <f t="shared" si="451"/>
        <v>45951.89583</v>
      </c>
      <c r="BO451" s="19">
        <f t="shared" si="451"/>
        <v>45951.91667</v>
      </c>
      <c r="BP451" s="19">
        <f t="shared" si="451"/>
        <v>45951.9375</v>
      </c>
      <c r="BQ451" s="19">
        <f t="shared" si="451"/>
        <v>45951.95833</v>
      </c>
      <c r="BR451" s="19">
        <f t="shared" si="451"/>
        <v>45951.97917</v>
      </c>
      <c r="BS451" s="19">
        <f t="shared" si="451"/>
        <v>45952</v>
      </c>
      <c r="BT451" s="19">
        <f t="shared" si="451"/>
        <v>45952.02083</v>
      </c>
      <c r="BU451" s="19">
        <f t="shared" si="451"/>
        <v>45952.04167</v>
      </c>
      <c r="BV451" s="19">
        <f t="shared" si="451"/>
        <v>45952.0625</v>
      </c>
      <c r="BW451" s="19">
        <f t="shared" si="451"/>
        <v>45952.08333</v>
      </c>
      <c r="BX451" s="19">
        <f t="shared" si="451"/>
        <v>45951</v>
      </c>
      <c r="BY451" s="19">
        <f t="shared" si="451"/>
        <v>45951</v>
      </c>
      <c r="BZ451" s="19">
        <f t="shared" si="451"/>
        <v>45951</v>
      </c>
    </row>
    <row r="452" ht="14.25" customHeight="1">
      <c r="A452" s="17">
        <v>45952.0</v>
      </c>
      <c r="B452" s="2" t="str">
        <f t="array" ref="B452">IF(NOW()&gt;AM452,"",IF(AND((WEEKDAY($A452)+$B$2)&gt;1,((WEEKDAY($A452)+$T$2)&lt;7),(WEEKDAY($A452)&lt;&gt;1)),"work",(INDEX(Subject!$A:$I,MATCH(RANDBETWEEN(1,(MAX(Subject!$B:$B))),Subject!$B:$B,0),3))))</f>
        <v/>
      </c>
      <c r="C452" s="2" t="str">
        <f t="array" ref="C452">IF(NOW()&gt;AN452,"",IF(AND((WEEKDAY($A452)+$B$2)&gt;1,((WEEKDAY($A452)+$T$2)&lt;7),(WEEKDAY($A452)&lt;&gt;1)),"work",(INDEX(Subject!$A:$I,MATCH(RANDBETWEEN(1,(MAX(Subject!$B:$B))),Subject!$B:$B,0),3))))</f>
        <v/>
      </c>
      <c r="D452" s="2" t="str">
        <f t="array" ref="D452">IF(NOW()&gt;AO452,"",IF(AND((WEEKDAY($A452)+$B$2)&gt;1,((WEEKDAY($A452)+$T$2)&lt;7),(WEEKDAY($A452)&lt;&gt;1)),"work",(INDEX(Subject!$A:$I,MATCH(RANDBETWEEN(1,(MAX(Subject!$B:$B))),Subject!$B:$B,0),3))))</f>
        <v/>
      </c>
      <c r="E452" s="2" t="str">
        <f t="array" ref="E452">IF(NOW()&gt;AP452,"",IF(AND((WEEKDAY($A452)+$B$2)&gt;1,((WEEKDAY($A452)+$T$2)&lt;7),(WEEKDAY($A452)&lt;&gt;1)),"work",(INDEX(Subject!$A:$I,MATCH(RANDBETWEEN(1,(MAX(Subject!$B:$B))),Subject!$B:$B,0),3))))</f>
        <v/>
      </c>
      <c r="F452" s="2" t="str">
        <f t="array" ref="F452">IF(NOW()&gt;AQ452,"",IF(AND((WEEKDAY($A452)+$B$2)&gt;1,((WEEKDAY($A452)+$T$2)&lt;7),(WEEKDAY($A452)&lt;&gt;1)),"work",(INDEX(Subject!$A:$I,MATCH(RANDBETWEEN(1,(MAX(Subject!$B:$B))),Subject!$B:$B,0),3))))</f>
        <v/>
      </c>
      <c r="G452" s="2" t="str">
        <f t="array" ref="G452">IF(NOW()&gt;AR452,"",IF(AND((WEEKDAY($A452)+$B$2)&gt;1,((WEEKDAY($A452)+$T$2)&lt;7),(WEEKDAY($A452)&lt;&gt;1)),"work",(INDEX(Subject!$A:$I,MATCH(RANDBETWEEN(1,(MAX(Subject!$B:$B))),Subject!$B:$B,0),3))))</f>
        <v/>
      </c>
      <c r="H452" s="2" t="str">
        <f t="array" ref="H452">IF(NOW()&gt;AS452,"",IF(AND((WEEKDAY($A452)+$B$2)&gt;1,((WEEKDAY($A452)+$T$2)&lt;7),(WEEKDAY($A452)&lt;&gt;1)),"work",(INDEX(Subject!$A:$I,MATCH(RANDBETWEEN(1,(MAX(Subject!$B:$B))),Subject!$B:$B,0),3))))</f>
        <v/>
      </c>
      <c r="I452" s="2" t="str">
        <f t="array" ref="I452">IF(NOW()&gt;AT452,"",IF(AND((WEEKDAY($A452)+$B$2)&gt;1,((WEEKDAY($A452)+$T$2)&lt;7),(WEEKDAY($A452)&lt;&gt;1)),"work",(INDEX(Subject!$A:$I,MATCH(RANDBETWEEN(1,(MAX(Subject!$B:$B))),Subject!$B:$B,0),3))))</f>
        <v/>
      </c>
      <c r="J452" s="2" t="str">
        <f t="array" ref="J452">IF(NOW()&gt;AU452,"",IF(AND((WEEKDAY($A452)+$B$2)&gt;1,((WEEKDAY($A452)+$T$2)&lt;7),(WEEKDAY($A452)&lt;&gt;1)),"work",(INDEX(Subject!$A:$I,MATCH(RANDBETWEEN(1,(MAX(Subject!$B:$B))),Subject!$B:$B,0),3))))</f>
        <v/>
      </c>
      <c r="K452" s="2" t="str">
        <f t="array" ref="K452">IF(NOW()&gt;AV452,"",IF(AND((WEEKDAY($A452)+$B$2)&gt;1,((WEEKDAY($A452)+$T$2)&lt;7),(WEEKDAY($A452)&lt;&gt;1)),"work",(INDEX(Subject!$A:$I,MATCH(RANDBETWEEN(1,(MAX(Subject!$B:$B))),Subject!$B:$B,0),3))))</f>
        <v/>
      </c>
      <c r="L452" s="2" t="str">
        <f t="array" ref="L452">IF(NOW()&gt;AW452,"",IF(AND((WEEKDAY($A452)+$B$2)&gt;1,((WEEKDAY($A452)+$T$2)&lt;7),(WEEKDAY($A452)&lt;&gt;1)),"work",(INDEX(Subject!$A:$I,MATCH(RANDBETWEEN(1,(MAX(Subject!$B:$B))),Subject!$B:$B,0),3))))</f>
        <v/>
      </c>
      <c r="M452" s="2" t="str">
        <f t="array" ref="M452">IF(NOW()&gt;AX452,"",IF(AND((WEEKDAY($A452)+$B$2)&gt;1,((WEEKDAY($A452)+$T$2)&lt;7),(WEEKDAY($A452)&lt;&gt;1)),"work",(INDEX(Subject!$A:$I,MATCH(RANDBETWEEN(1,(MAX(Subject!$B:$B))),Subject!$B:$B,0),3))))</f>
        <v/>
      </c>
      <c r="N452" s="2" t="str">
        <f t="array" ref="N452">IF(NOW()&gt;AY452,"",IF(AND((WEEKDAY($A452)+$B$2)&gt;1,((WEEKDAY($A452)+$T$2)&lt;7),(WEEKDAY($A452)&lt;&gt;1)),"work",(INDEX(Subject!$A:$I,MATCH(RANDBETWEEN(1,(MAX(Subject!$B:$B))),Subject!$B:$B,0),3))))</f>
        <v/>
      </c>
      <c r="O452" s="2" t="str">
        <f t="array" ref="O452">IF(NOW()&gt;AZ452,"",IF(AND((WEEKDAY($A452)+$B$2)&gt;1,((WEEKDAY($A452)+$T$2)&lt;7),(WEEKDAY($A452)&lt;&gt;1)),"work",(INDEX(Subject!$A:$I,MATCH(RANDBETWEEN(1,(MAX(Subject!$B:$B))),Subject!$B:$B,0),3))))</f>
        <v/>
      </c>
      <c r="P452" s="2" t="str">
        <f t="array" ref="P452">IF(NOW()&gt;BA452,"",IF(AND((WEEKDAY($A452)+$B$2)&gt;1,((WEEKDAY($A452)+$T$2)&lt;7),(WEEKDAY($A452)&lt;&gt;1)),"work",(INDEX(Subject!$A:$I,MATCH(RANDBETWEEN(1,(MAX(Subject!$B:$B))),Subject!$B:$B,0),3))))</f>
        <v/>
      </c>
      <c r="Q452" s="2" t="str">
        <f t="array" ref="Q452">IF(NOW()&gt;BB452,"",IF(AND((WEEKDAY($A452)+$B$2)&gt;1,((WEEKDAY($A452)+$T$2)&lt;7),(WEEKDAY($A452)&lt;&gt;1)),"work",(INDEX(Subject!$A:$I,MATCH(RANDBETWEEN(1,(MAX(Subject!$B:$B))),Subject!$B:$B,0),3))))</f>
        <v/>
      </c>
      <c r="R452" s="2" t="str">
        <f t="array" ref="R452">IF(NOW()&gt;BC452,"",IF(AND((WEEKDAY($A452)+$B$2)&gt;1,((WEEKDAY($A452)+$T$2)&lt;7),(WEEKDAY($A452)&lt;&gt;1)),"work",(INDEX(Subject!$A:$I,MATCH(RANDBETWEEN(1,(MAX(Subject!$B:$B))),Subject!$B:$B,0),3))))</f>
        <v/>
      </c>
      <c r="S452" s="2" t="str">
        <f t="array" ref="S452">IF(NOW()&gt;BD452,"",IF(AND((WEEKDAY($A452)+$B$2)&gt;1,((WEEKDAY($A452)+$T$2)&lt;7),(WEEKDAY($A452)&lt;&gt;1)),"work",(INDEX(Subject!$A:$I,MATCH(RANDBETWEEN(1,(MAX(Subject!$B:$B))),Subject!$B:$B,0),3))))</f>
        <v/>
      </c>
      <c r="T452" s="2" t="str">
        <f t="array" ref="T452">IF(NOW()&gt;BE452,"",IF(AND((WEEKDAY($A452)+$B$2)&gt;1,((WEEKDAY($A452)+$T$2)&lt;7),(WEEKDAY($A452)&lt;&gt;1)),"work",(INDEX(Subject!$A:$I,MATCH(RANDBETWEEN(1,(MAX(Subject!$B:$B))),Subject!$B:$B,0),3))))</f>
        <v/>
      </c>
      <c r="U452" s="8" t="str">
        <f t="array" ref="U452">INDEX(Subject!$A:$I,MATCH(RANDBETWEEN(1,16),Subject!$B:$B,0),3)</f>
        <v>#N/A</v>
      </c>
      <c r="V452" s="8" t="str">
        <f t="array" ref="V452">INDEX(Subject!$A:$I,MATCH(RANDBETWEEN(1,16),Subject!$B:$B,0),3)</f>
        <v>#N/A</v>
      </c>
      <c r="W452" s="8" t="str">
        <f t="array" ref="W452">INDEX(Subject!$A:$I,MATCH(RANDBETWEEN(1,16),Subject!$B:$B,0),3)</f>
        <v>#N/A</v>
      </c>
      <c r="X452" s="8" t="str">
        <f t="array" ref="X452">INDEX(Subject!$A:$I,MATCH(RANDBETWEEN(1,16),Subject!$B:$B,0),3)</f>
        <v>#N/A</v>
      </c>
      <c r="Y452" s="8" t="str">
        <f t="array" ref="Y452">INDEX(Subject!$A:$I,MATCH(RANDBETWEEN(1,16),Subject!$B:$B,0),3)</f>
        <v>#N/A</v>
      </c>
      <c r="Z452" s="8" t="str">
        <f t="array" ref="Z452">INDEX(Subject!$A:$I,MATCH(RANDBETWEEN(1,16),Subject!$B:$B,0),3)</f>
        <v/>
      </c>
      <c r="AA452" s="8" t="str">
        <f t="array" ref="AA452">INDEX(Subject!$A:$I,MATCH(RANDBETWEEN(1,16),Subject!$B:$B,0),3)</f>
        <v>#N/A</v>
      </c>
      <c r="AB452" s="8" t="str">
        <f t="array" ref="AB452">INDEX(Subject!$A:$I,MATCH(RANDBETWEEN(1,16),Subject!$B:$B,0),3)</f>
        <v>#N/A</v>
      </c>
      <c r="AC452" s="8" t="str">
        <f t="array" ref="AC452">INDEX(Subject!$A:$I,MATCH(RANDBETWEEN(1,16),Subject!$B:$B,0),3)</f>
        <v>#N/A</v>
      </c>
      <c r="AD452" s="8" t="str">
        <f t="array" ref="AD452">INDEX(Subject!$A:$I,MATCH(RANDBETWEEN(1,16),Subject!$B:$B,0),3)</f>
        <v>#N/A</v>
      </c>
      <c r="AE452" s="8" t="str">
        <f t="array" ref="AE452">INDEX(Subject!$A:$I,MATCH(RANDBETWEEN(1,16),Subject!$B:$B,0),3)</f>
        <v>#N/A</v>
      </c>
      <c r="AF452" s="8" t="str">
        <f t="array" ref="AF452">INDEX(Subject!$A:$I,MATCH(RANDBETWEEN(1,16),Subject!$B:$B,0),3)</f>
        <v>#N/A</v>
      </c>
      <c r="AG452" s="8" t="str">
        <f t="array" ref="AG452">INDEX(Subject!$A:$I,MATCH(RANDBETWEEN(1,16),Subject!$B:$B,0),3)</f>
        <v>#N/A</v>
      </c>
      <c r="AH452" s="8" t="str">
        <f t="array" ref="AH452">INDEX(Subject!$A:$I,MATCH(RANDBETWEEN(1,16),Subject!$B:$B,0),3)</f>
        <v>#N/A</v>
      </c>
      <c r="AI452" s="8" t="str">
        <f t="array" ref="AI452">INDEX(Subject!$A:$I,MATCH(RANDBETWEEN(1,16),Subject!$B:$B,0),3)</f>
        <v>#N/A</v>
      </c>
      <c r="AJ452" s="8" t="str">
        <f t="array" ref="AJ452">INDEX(Subject!$A:$I,MATCH(RANDBETWEEN(1,16),Subject!$B:$B,0),3)</f>
        <v>#N/A</v>
      </c>
      <c r="AK452" s="8" t="str">
        <f t="array" ref="AK452">INDEX(Subject!$A:$I,MATCH(RANDBETWEEN(1,16),Subject!$B:$B,0),3)</f>
        <v>#N/A</v>
      </c>
      <c r="AL452" s="8" t="str">
        <f t="array" ref="AL452">INDEX(Subject!$A:$I,MATCH(RANDBETWEEN(1,16),Subject!$B:$B,0),3)</f>
        <v>#N/A</v>
      </c>
      <c r="AM452" s="18">
        <f t="shared" si="4"/>
        <v>45952.33333</v>
      </c>
      <c r="AN452" s="19">
        <f t="shared" ref="AN452:BZ452" si="452">$A452+C$1</f>
        <v>45952.35417</v>
      </c>
      <c r="AO452" s="19">
        <f t="shared" si="452"/>
        <v>45952.375</v>
      </c>
      <c r="AP452" s="19">
        <f t="shared" si="452"/>
        <v>45952.39583</v>
      </c>
      <c r="AQ452" s="19">
        <f t="shared" si="452"/>
        <v>45952.41667</v>
      </c>
      <c r="AR452" s="19">
        <f t="shared" si="452"/>
        <v>45952.4375</v>
      </c>
      <c r="AS452" s="19">
        <f t="shared" si="452"/>
        <v>45952.45833</v>
      </c>
      <c r="AT452" s="19">
        <f t="shared" si="452"/>
        <v>45952.47917</v>
      </c>
      <c r="AU452" s="19">
        <f t="shared" si="452"/>
        <v>45952.5</v>
      </c>
      <c r="AV452" s="19">
        <f t="shared" si="452"/>
        <v>45952.52083</v>
      </c>
      <c r="AW452" s="19">
        <f t="shared" si="452"/>
        <v>45952.54167</v>
      </c>
      <c r="AX452" s="19">
        <f t="shared" si="452"/>
        <v>45952.5625</v>
      </c>
      <c r="AY452" s="19">
        <f t="shared" si="452"/>
        <v>45952.58333</v>
      </c>
      <c r="AZ452" s="19">
        <f t="shared" si="452"/>
        <v>45952.60417</v>
      </c>
      <c r="BA452" s="19">
        <f t="shared" si="452"/>
        <v>45952.625</v>
      </c>
      <c r="BB452" s="19">
        <f t="shared" si="452"/>
        <v>45952.64583</v>
      </c>
      <c r="BC452" s="19">
        <f t="shared" si="452"/>
        <v>45952.66667</v>
      </c>
      <c r="BD452" s="19">
        <f t="shared" si="452"/>
        <v>45952.6875</v>
      </c>
      <c r="BE452" s="19">
        <f t="shared" si="452"/>
        <v>45952.70833</v>
      </c>
      <c r="BF452" s="19">
        <f t="shared" si="452"/>
        <v>45952.72917</v>
      </c>
      <c r="BG452" s="19">
        <f t="shared" si="452"/>
        <v>45952.75</v>
      </c>
      <c r="BH452" s="19">
        <f t="shared" si="452"/>
        <v>45952.77083</v>
      </c>
      <c r="BI452" s="19">
        <f t="shared" si="452"/>
        <v>45952.79167</v>
      </c>
      <c r="BJ452" s="19">
        <f t="shared" si="452"/>
        <v>45952.8125</v>
      </c>
      <c r="BK452" s="19">
        <f t="shared" si="452"/>
        <v>45952.83333</v>
      </c>
      <c r="BL452" s="19">
        <f t="shared" si="452"/>
        <v>45952.85417</v>
      </c>
      <c r="BM452" s="19">
        <f t="shared" si="452"/>
        <v>45952.875</v>
      </c>
      <c r="BN452" s="19">
        <f t="shared" si="452"/>
        <v>45952.89583</v>
      </c>
      <c r="BO452" s="19">
        <f t="shared" si="452"/>
        <v>45952.91667</v>
      </c>
      <c r="BP452" s="19">
        <f t="shared" si="452"/>
        <v>45952.9375</v>
      </c>
      <c r="BQ452" s="19">
        <f t="shared" si="452"/>
        <v>45952.95833</v>
      </c>
      <c r="BR452" s="19">
        <f t="shared" si="452"/>
        <v>45952.97917</v>
      </c>
      <c r="BS452" s="19">
        <f t="shared" si="452"/>
        <v>45953</v>
      </c>
      <c r="BT452" s="19">
        <f t="shared" si="452"/>
        <v>45953.02083</v>
      </c>
      <c r="BU452" s="19">
        <f t="shared" si="452"/>
        <v>45953.04167</v>
      </c>
      <c r="BV452" s="19">
        <f t="shared" si="452"/>
        <v>45953.0625</v>
      </c>
      <c r="BW452" s="19">
        <f t="shared" si="452"/>
        <v>45953.08333</v>
      </c>
      <c r="BX452" s="19">
        <f t="shared" si="452"/>
        <v>45952</v>
      </c>
      <c r="BY452" s="19">
        <f t="shared" si="452"/>
        <v>45952</v>
      </c>
      <c r="BZ452" s="19">
        <f t="shared" si="452"/>
        <v>45952</v>
      </c>
    </row>
    <row r="453" ht="14.25" customHeight="1">
      <c r="A453" s="17">
        <v>45953.0</v>
      </c>
      <c r="B453" s="2" t="str">
        <f t="array" ref="B453">IF(NOW()&gt;AM453,"",IF(AND((WEEKDAY($A453)+$B$2)&gt;1,((WEEKDAY($A453)+$T$2)&lt;7),(WEEKDAY($A453)&lt;&gt;1)),"work",(INDEX(Subject!$A:$I,MATCH(RANDBETWEEN(1,(MAX(Subject!$B:$B))),Subject!$B:$B,0),3))))</f>
        <v/>
      </c>
      <c r="C453" s="2" t="str">
        <f t="array" ref="C453">IF(NOW()&gt;AN453,"",IF(AND((WEEKDAY($A453)+$B$2)&gt;1,((WEEKDAY($A453)+$T$2)&lt;7),(WEEKDAY($A453)&lt;&gt;1)),"work",(INDEX(Subject!$A:$I,MATCH(RANDBETWEEN(1,(MAX(Subject!$B:$B))),Subject!$B:$B,0),3))))</f>
        <v/>
      </c>
      <c r="D453" s="2" t="str">
        <f t="array" ref="D453">IF(NOW()&gt;AO453,"",IF(AND((WEEKDAY($A453)+$B$2)&gt;1,((WEEKDAY($A453)+$T$2)&lt;7),(WEEKDAY($A453)&lt;&gt;1)),"work",(INDEX(Subject!$A:$I,MATCH(RANDBETWEEN(1,(MAX(Subject!$B:$B))),Subject!$B:$B,0),3))))</f>
        <v/>
      </c>
      <c r="E453" s="2" t="str">
        <f t="array" ref="E453">IF(NOW()&gt;AP453,"",IF(AND((WEEKDAY($A453)+$B$2)&gt;1,((WEEKDAY($A453)+$T$2)&lt;7),(WEEKDAY($A453)&lt;&gt;1)),"work",(INDEX(Subject!$A:$I,MATCH(RANDBETWEEN(1,(MAX(Subject!$B:$B))),Subject!$B:$B,0),3))))</f>
        <v/>
      </c>
      <c r="F453" s="2" t="str">
        <f t="array" ref="F453">IF(NOW()&gt;AQ453,"",IF(AND((WEEKDAY($A453)+$B$2)&gt;1,((WEEKDAY($A453)+$T$2)&lt;7),(WEEKDAY($A453)&lt;&gt;1)),"work",(INDEX(Subject!$A:$I,MATCH(RANDBETWEEN(1,(MAX(Subject!$B:$B))),Subject!$B:$B,0),3))))</f>
        <v/>
      </c>
      <c r="G453" s="2" t="str">
        <f t="array" ref="G453">IF(NOW()&gt;AR453,"",IF(AND((WEEKDAY($A453)+$B$2)&gt;1,((WEEKDAY($A453)+$T$2)&lt;7),(WEEKDAY($A453)&lt;&gt;1)),"work",(INDEX(Subject!$A:$I,MATCH(RANDBETWEEN(1,(MAX(Subject!$B:$B))),Subject!$B:$B,0),3))))</f>
        <v/>
      </c>
      <c r="H453" s="2" t="str">
        <f t="array" ref="H453">IF(NOW()&gt;AS453,"",IF(AND((WEEKDAY($A453)+$B$2)&gt;1,((WEEKDAY($A453)+$T$2)&lt;7),(WEEKDAY($A453)&lt;&gt;1)),"work",(INDEX(Subject!$A:$I,MATCH(RANDBETWEEN(1,(MAX(Subject!$B:$B))),Subject!$B:$B,0),3))))</f>
        <v/>
      </c>
      <c r="I453" s="2" t="str">
        <f t="array" ref="I453">IF(NOW()&gt;AT453,"",IF(AND((WEEKDAY($A453)+$B$2)&gt;1,((WEEKDAY($A453)+$T$2)&lt;7),(WEEKDAY($A453)&lt;&gt;1)),"work",(INDEX(Subject!$A:$I,MATCH(RANDBETWEEN(1,(MAX(Subject!$B:$B))),Subject!$B:$B,0),3))))</f>
        <v/>
      </c>
      <c r="J453" s="2" t="str">
        <f t="array" ref="J453">IF(NOW()&gt;AU453,"",IF(AND((WEEKDAY($A453)+$B$2)&gt;1,((WEEKDAY($A453)+$T$2)&lt;7),(WEEKDAY($A453)&lt;&gt;1)),"work",(INDEX(Subject!$A:$I,MATCH(RANDBETWEEN(1,(MAX(Subject!$B:$B))),Subject!$B:$B,0),3))))</f>
        <v/>
      </c>
      <c r="K453" s="2" t="str">
        <f t="array" ref="K453">IF(NOW()&gt;AV453,"",IF(AND((WEEKDAY($A453)+$B$2)&gt;1,((WEEKDAY($A453)+$T$2)&lt;7),(WEEKDAY($A453)&lt;&gt;1)),"work",(INDEX(Subject!$A:$I,MATCH(RANDBETWEEN(1,(MAX(Subject!$B:$B))),Subject!$B:$B,0),3))))</f>
        <v/>
      </c>
      <c r="L453" s="2" t="str">
        <f t="array" ref="L453">IF(NOW()&gt;AW453,"",IF(AND((WEEKDAY($A453)+$B$2)&gt;1,((WEEKDAY($A453)+$T$2)&lt;7),(WEEKDAY($A453)&lt;&gt;1)),"work",(INDEX(Subject!$A:$I,MATCH(RANDBETWEEN(1,(MAX(Subject!$B:$B))),Subject!$B:$B,0),3))))</f>
        <v/>
      </c>
      <c r="M453" s="2" t="str">
        <f t="array" ref="M453">IF(NOW()&gt;AX453,"",IF(AND((WEEKDAY($A453)+$B$2)&gt;1,((WEEKDAY($A453)+$T$2)&lt;7),(WEEKDAY($A453)&lt;&gt;1)),"work",(INDEX(Subject!$A:$I,MATCH(RANDBETWEEN(1,(MAX(Subject!$B:$B))),Subject!$B:$B,0),3))))</f>
        <v/>
      </c>
      <c r="N453" s="2" t="str">
        <f t="array" ref="N453">IF(NOW()&gt;AY453,"",IF(AND((WEEKDAY($A453)+$B$2)&gt;1,((WEEKDAY($A453)+$T$2)&lt;7),(WEEKDAY($A453)&lt;&gt;1)),"work",(INDEX(Subject!$A:$I,MATCH(RANDBETWEEN(1,(MAX(Subject!$B:$B))),Subject!$B:$B,0),3))))</f>
        <v/>
      </c>
      <c r="O453" s="2" t="str">
        <f t="array" ref="O453">IF(NOW()&gt;AZ453,"",IF(AND((WEEKDAY($A453)+$B$2)&gt;1,((WEEKDAY($A453)+$T$2)&lt;7),(WEEKDAY($A453)&lt;&gt;1)),"work",(INDEX(Subject!$A:$I,MATCH(RANDBETWEEN(1,(MAX(Subject!$B:$B))),Subject!$B:$B,0),3))))</f>
        <v/>
      </c>
      <c r="P453" s="2" t="str">
        <f t="array" ref="P453">IF(NOW()&gt;BA453,"",IF(AND((WEEKDAY($A453)+$B$2)&gt;1,((WEEKDAY($A453)+$T$2)&lt;7),(WEEKDAY($A453)&lt;&gt;1)),"work",(INDEX(Subject!$A:$I,MATCH(RANDBETWEEN(1,(MAX(Subject!$B:$B))),Subject!$B:$B,0),3))))</f>
        <v/>
      </c>
      <c r="Q453" s="2" t="str">
        <f t="array" ref="Q453">IF(NOW()&gt;BB453,"",IF(AND((WEEKDAY($A453)+$B$2)&gt;1,((WEEKDAY($A453)+$T$2)&lt;7),(WEEKDAY($A453)&lt;&gt;1)),"work",(INDEX(Subject!$A:$I,MATCH(RANDBETWEEN(1,(MAX(Subject!$B:$B))),Subject!$B:$B,0),3))))</f>
        <v/>
      </c>
      <c r="R453" s="2" t="str">
        <f t="array" ref="R453">IF(NOW()&gt;BC453,"",IF(AND((WEEKDAY($A453)+$B$2)&gt;1,((WEEKDAY($A453)+$T$2)&lt;7),(WEEKDAY($A453)&lt;&gt;1)),"work",(INDEX(Subject!$A:$I,MATCH(RANDBETWEEN(1,(MAX(Subject!$B:$B))),Subject!$B:$B,0),3))))</f>
        <v/>
      </c>
      <c r="S453" s="2" t="str">
        <f t="array" ref="S453">IF(NOW()&gt;BD453,"",IF(AND((WEEKDAY($A453)+$B$2)&gt;1,((WEEKDAY($A453)+$T$2)&lt;7),(WEEKDAY($A453)&lt;&gt;1)),"work",(INDEX(Subject!$A:$I,MATCH(RANDBETWEEN(1,(MAX(Subject!$B:$B))),Subject!$B:$B,0),3))))</f>
        <v/>
      </c>
      <c r="T453" s="2" t="str">
        <f t="array" ref="T453">IF(NOW()&gt;BE453,"",IF(AND((WEEKDAY($A453)+$B$2)&gt;1,((WEEKDAY($A453)+$T$2)&lt;7),(WEEKDAY($A453)&lt;&gt;1)),"work",(INDEX(Subject!$A:$I,MATCH(RANDBETWEEN(1,(MAX(Subject!$B:$B))),Subject!$B:$B,0),3))))</f>
        <v/>
      </c>
      <c r="U453" s="8" t="str">
        <f t="array" ref="U453">INDEX(Subject!$A:$I,MATCH(RANDBETWEEN(1,16),Subject!$B:$B,0),3)</f>
        <v>#N/A</v>
      </c>
      <c r="V453" s="8" t="str">
        <f t="array" ref="V453">INDEX(Subject!$A:$I,MATCH(RANDBETWEEN(1,16),Subject!$B:$B,0),3)</f>
        <v>#N/A</v>
      </c>
      <c r="W453" s="8" t="str">
        <f t="array" ref="W453">INDEX(Subject!$A:$I,MATCH(RANDBETWEEN(1,16),Subject!$B:$B,0),3)</f>
        <v>#N/A</v>
      </c>
      <c r="X453" s="8" t="str">
        <f t="array" ref="X453">INDEX(Subject!$A:$I,MATCH(RANDBETWEEN(1,16),Subject!$B:$B,0),3)</f>
        <v>#N/A</v>
      </c>
      <c r="Y453" s="8" t="str">
        <f t="array" ref="Y453">INDEX(Subject!$A:$I,MATCH(RANDBETWEEN(1,16),Subject!$B:$B,0),3)</f>
        <v>#N/A</v>
      </c>
      <c r="Z453" s="8" t="str">
        <f t="array" ref="Z453">INDEX(Subject!$A:$I,MATCH(RANDBETWEEN(1,16),Subject!$B:$B,0),3)</f>
        <v>#N/A</v>
      </c>
      <c r="AA453" s="8" t="str">
        <f t="array" ref="AA453">INDEX(Subject!$A:$I,MATCH(RANDBETWEEN(1,16),Subject!$B:$B,0),3)</f>
        <v>#N/A</v>
      </c>
      <c r="AB453" s="8" t="str">
        <f t="array" ref="AB453">INDEX(Subject!$A:$I,MATCH(RANDBETWEEN(1,16),Subject!$B:$B,0),3)</f>
        <v>#N/A</v>
      </c>
      <c r="AC453" s="8" t="str">
        <f t="array" ref="AC453">INDEX(Subject!$A:$I,MATCH(RANDBETWEEN(1,16),Subject!$B:$B,0),3)</f>
        <v>#N/A</v>
      </c>
      <c r="AD453" s="8" t="str">
        <f t="array" ref="AD453">INDEX(Subject!$A:$I,MATCH(RANDBETWEEN(1,16),Subject!$B:$B,0),3)</f>
        <v>#N/A</v>
      </c>
      <c r="AE453" s="8" t="str">
        <f t="array" ref="AE453">INDEX(Subject!$A:$I,MATCH(RANDBETWEEN(1,16),Subject!$B:$B,0),3)</f>
        <v>#N/A</v>
      </c>
      <c r="AF453" s="8" t="str">
        <f t="array" ref="AF453">INDEX(Subject!$A:$I,MATCH(RANDBETWEEN(1,16),Subject!$B:$B,0),3)</f>
        <v>#N/A</v>
      </c>
      <c r="AG453" s="8" t="str">
        <f t="array" ref="AG453">INDEX(Subject!$A:$I,MATCH(RANDBETWEEN(1,16),Subject!$B:$B,0),3)</f>
        <v>#N/A</v>
      </c>
      <c r="AH453" s="8" t="str">
        <f t="array" ref="AH453">INDEX(Subject!$A:$I,MATCH(RANDBETWEEN(1,16),Subject!$B:$B,0),3)</f>
        <v>#N/A</v>
      </c>
      <c r="AI453" s="8" t="str">
        <f t="array" ref="AI453">INDEX(Subject!$A:$I,MATCH(RANDBETWEEN(1,16),Subject!$B:$B,0),3)</f>
        <v>#N/A</v>
      </c>
      <c r="AJ453" s="8" t="str">
        <f t="array" ref="AJ453">INDEX(Subject!$A:$I,MATCH(RANDBETWEEN(1,16),Subject!$B:$B,0),3)</f>
        <v>#N/A</v>
      </c>
      <c r="AK453" s="8" t="str">
        <f t="array" ref="AK453">INDEX(Subject!$A:$I,MATCH(RANDBETWEEN(1,16),Subject!$B:$B,0),3)</f>
        <v>#N/A</v>
      </c>
      <c r="AL453" s="8" t="str">
        <f t="array" ref="AL453">INDEX(Subject!$A:$I,MATCH(RANDBETWEEN(1,16),Subject!$B:$B,0),3)</f>
        <v>#N/A</v>
      </c>
      <c r="AM453" s="18">
        <f t="shared" si="4"/>
        <v>45953.33333</v>
      </c>
      <c r="AN453" s="19">
        <f t="shared" ref="AN453:BZ453" si="453">$A453+C$1</f>
        <v>45953.35417</v>
      </c>
      <c r="AO453" s="19">
        <f t="shared" si="453"/>
        <v>45953.375</v>
      </c>
      <c r="AP453" s="19">
        <f t="shared" si="453"/>
        <v>45953.39583</v>
      </c>
      <c r="AQ453" s="19">
        <f t="shared" si="453"/>
        <v>45953.41667</v>
      </c>
      <c r="AR453" s="19">
        <f t="shared" si="453"/>
        <v>45953.4375</v>
      </c>
      <c r="AS453" s="19">
        <f t="shared" si="453"/>
        <v>45953.45833</v>
      </c>
      <c r="AT453" s="19">
        <f t="shared" si="453"/>
        <v>45953.47917</v>
      </c>
      <c r="AU453" s="19">
        <f t="shared" si="453"/>
        <v>45953.5</v>
      </c>
      <c r="AV453" s="19">
        <f t="shared" si="453"/>
        <v>45953.52083</v>
      </c>
      <c r="AW453" s="19">
        <f t="shared" si="453"/>
        <v>45953.54167</v>
      </c>
      <c r="AX453" s="19">
        <f t="shared" si="453"/>
        <v>45953.5625</v>
      </c>
      <c r="AY453" s="19">
        <f t="shared" si="453"/>
        <v>45953.58333</v>
      </c>
      <c r="AZ453" s="19">
        <f t="shared" si="453"/>
        <v>45953.60417</v>
      </c>
      <c r="BA453" s="19">
        <f t="shared" si="453"/>
        <v>45953.625</v>
      </c>
      <c r="BB453" s="19">
        <f t="shared" si="453"/>
        <v>45953.64583</v>
      </c>
      <c r="BC453" s="19">
        <f t="shared" si="453"/>
        <v>45953.66667</v>
      </c>
      <c r="BD453" s="19">
        <f t="shared" si="453"/>
        <v>45953.6875</v>
      </c>
      <c r="BE453" s="19">
        <f t="shared" si="453"/>
        <v>45953.70833</v>
      </c>
      <c r="BF453" s="19">
        <f t="shared" si="453"/>
        <v>45953.72917</v>
      </c>
      <c r="BG453" s="19">
        <f t="shared" si="453"/>
        <v>45953.75</v>
      </c>
      <c r="BH453" s="19">
        <f t="shared" si="453"/>
        <v>45953.77083</v>
      </c>
      <c r="BI453" s="19">
        <f t="shared" si="453"/>
        <v>45953.79167</v>
      </c>
      <c r="BJ453" s="19">
        <f t="shared" si="453"/>
        <v>45953.8125</v>
      </c>
      <c r="BK453" s="19">
        <f t="shared" si="453"/>
        <v>45953.83333</v>
      </c>
      <c r="BL453" s="19">
        <f t="shared" si="453"/>
        <v>45953.85417</v>
      </c>
      <c r="BM453" s="19">
        <f t="shared" si="453"/>
        <v>45953.875</v>
      </c>
      <c r="BN453" s="19">
        <f t="shared" si="453"/>
        <v>45953.89583</v>
      </c>
      <c r="BO453" s="19">
        <f t="shared" si="453"/>
        <v>45953.91667</v>
      </c>
      <c r="BP453" s="19">
        <f t="shared" si="453"/>
        <v>45953.9375</v>
      </c>
      <c r="BQ453" s="19">
        <f t="shared" si="453"/>
        <v>45953.95833</v>
      </c>
      <c r="BR453" s="19">
        <f t="shared" si="453"/>
        <v>45953.97917</v>
      </c>
      <c r="BS453" s="19">
        <f t="shared" si="453"/>
        <v>45954</v>
      </c>
      <c r="BT453" s="19">
        <f t="shared" si="453"/>
        <v>45954.02083</v>
      </c>
      <c r="BU453" s="19">
        <f t="shared" si="453"/>
        <v>45954.04167</v>
      </c>
      <c r="BV453" s="19">
        <f t="shared" si="453"/>
        <v>45954.0625</v>
      </c>
      <c r="BW453" s="19">
        <f t="shared" si="453"/>
        <v>45954.08333</v>
      </c>
      <c r="BX453" s="19">
        <f t="shared" si="453"/>
        <v>45953</v>
      </c>
      <c r="BY453" s="19">
        <f t="shared" si="453"/>
        <v>45953</v>
      </c>
      <c r="BZ453" s="19">
        <f t="shared" si="453"/>
        <v>45953</v>
      </c>
    </row>
    <row r="454" ht="14.25" customHeight="1">
      <c r="A454" s="17">
        <v>45954.0</v>
      </c>
      <c r="B454" s="2" t="str">
        <f t="array" ref="B454">IF(NOW()&gt;AM454,"",IF(AND((WEEKDAY($A454)+$B$2)&gt;1,((WEEKDAY($A454)+$T$2)&lt;7),(WEEKDAY($A454)&lt;&gt;1)),"work",(INDEX(Subject!$A:$I,MATCH(RANDBETWEEN(1,(MAX(Subject!$B:$B))),Subject!$B:$B,0),3))))</f>
        <v/>
      </c>
      <c r="C454" s="2" t="str">
        <f t="array" ref="C454">IF(NOW()&gt;AN454,"",IF(AND((WEEKDAY($A454)+$B$2)&gt;1,((WEEKDAY($A454)+$T$2)&lt;7),(WEEKDAY($A454)&lt;&gt;1)),"work",(INDEX(Subject!$A:$I,MATCH(RANDBETWEEN(1,(MAX(Subject!$B:$B))),Subject!$B:$B,0),3))))</f>
        <v/>
      </c>
      <c r="D454" s="2" t="str">
        <f t="array" ref="D454">IF(NOW()&gt;AO454,"",IF(AND((WEEKDAY($A454)+$B$2)&gt;1,((WEEKDAY($A454)+$T$2)&lt;7),(WEEKDAY($A454)&lt;&gt;1)),"work",(INDEX(Subject!$A:$I,MATCH(RANDBETWEEN(1,(MAX(Subject!$B:$B))),Subject!$B:$B,0),3))))</f>
        <v/>
      </c>
      <c r="E454" s="2" t="str">
        <f t="array" ref="E454">IF(NOW()&gt;AP454,"",IF(AND((WEEKDAY($A454)+$B$2)&gt;1,((WEEKDAY($A454)+$T$2)&lt;7),(WEEKDAY($A454)&lt;&gt;1)),"work",(INDEX(Subject!$A:$I,MATCH(RANDBETWEEN(1,(MAX(Subject!$B:$B))),Subject!$B:$B,0),3))))</f>
        <v/>
      </c>
      <c r="F454" s="2" t="str">
        <f t="array" ref="F454">IF(NOW()&gt;AQ454,"",IF(AND((WEEKDAY($A454)+$B$2)&gt;1,((WEEKDAY($A454)+$T$2)&lt;7),(WEEKDAY($A454)&lt;&gt;1)),"work",(INDEX(Subject!$A:$I,MATCH(RANDBETWEEN(1,(MAX(Subject!$B:$B))),Subject!$B:$B,0),3))))</f>
        <v/>
      </c>
      <c r="G454" s="2" t="str">
        <f t="array" ref="G454">IF(NOW()&gt;AR454,"",IF(AND((WEEKDAY($A454)+$B$2)&gt;1,((WEEKDAY($A454)+$T$2)&lt;7),(WEEKDAY($A454)&lt;&gt;1)),"work",(INDEX(Subject!$A:$I,MATCH(RANDBETWEEN(1,(MAX(Subject!$B:$B))),Subject!$B:$B,0),3))))</f>
        <v/>
      </c>
      <c r="H454" s="2" t="str">
        <f t="array" ref="H454">IF(NOW()&gt;AS454,"",IF(AND((WEEKDAY($A454)+$B$2)&gt;1,((WEEKDAY($A454)+$T$2)&lt;7),(WEEKDAY($A454)&lt;&gt;1)),"work",(INDEX(Subject!$A:$I,MATCH(RANDBETWEEN(1,(MAX(Subject!$B:$B))),Subject!$B:$B,0),3))))</f>
        <v/>
      </c>
      <c r="I454" s="2" t="str">
        <f t="array" ref="I454">IF(NOW()&gt;AT454,"",IF(AND((WEEKDAY($A454)+$B$2)&gt;1,((WEEKDAY($A454)+$T$2)&lt;7),(WEEKDAY($A454)&lt;&gt;1)),"work",(INDEX(Subject!$A:$I,MATCH(RANDBETWEEN(1,(MAX(Subject!$B:$B))),Subject!$B:$B,0),3))))</f>
        <v/>
      </c>
      <c r="J454" s="2" t="str">
        <f t="array" ref="J454">IF(NOW()&gt;AU454,"",IF(AND((WEEKDAY($A454)+$B$2)&gt;1,((WEEKDAY($A454)+$T$2)&lt;7),(WEEKDAY($A454)&lt;&gt;1)),"work",(INDEX(Subject!$A:$I,MATCH(RANDBETWEEN(1,(MAX(Subject!$B:$B))),Subject!$B:$B,0),3))))</f>
        <v/>
      </c>
      <c r="K454" s="2" t="str">
        <f t="array" ref="K454">IF(NOW()&gt;AV454,"",IF(AND((WEEKDAY($A454)+$B$2)&gt;1,((WEEKDAY($A454)+$T$2)&lt;7),(WEEKDAY($A454)&lt;&gt;1)),"work",(INDEX(Subject!$A:$I,MATCH(RANDBETWEEN(1,(MAX(Subject!$B:$B))),Subject!$B:$B,0),3))))</f>
        <v/>
      </c>
      <c r="L454" s="2" t="str">
        <f t="array" ref="L454">IF(NOW()&gt;AW454,"",IF(AND((WEEKDAY($A454)+$B$2)&gt;1,((WEEKDAY($A454)+$T$2)&lt;7),(WEEKDAY($A454)&lt;&gt;1)),"work",(INDEX(Subject!$A:$I,MATCH(RANDBETWEEN(1,(MAX(Subject!$B:$B))),Subject!$B:$B,0),3))))</f>
        <v/>
      </c>
      <c r="M454" s="2" t="str">
        <f t="array" ref="M454">IF(NOW()&gt;AX454,"",IF(AND((WEEKDAY($A454)+$B$2)&gt;1,((WEEKDAY($A454)+$T$2)&lt;7),(WEEKDAY($A454)&lt;&gt;1)),"work",(INDEX(Subject!$A:$I,MATCH(RANDBETWEEN(1,(MAX(Subject!$B:$B))),Subject!$B:$B,0),3))))</f>
        <v/>
      </c>
      <c r="N454" s="2" t="str">
        <f t="array" ref="N454">IF(NOW()&gt;AY454,"",IF(AND((WEEKDAY($A454)+$B$2)&gt;1,((WEEKDAY($A454)+$T$2)&lt;7),(WEEKDAY($A454)&lt;&gt;1)),"work",(INDEX(Subject!$A:$I,MATCH(RANDBETWEEN(1,(MAX(Subject!$B:$B))),Subject!$B:$B,0),3))))</f>
        <v/>
      </c>
      <c r="O454" s="2" t="str">
        <f t="array" ref="O454">IF(NOW()&gt;AZ454,"",IF(AND((WEEKDAY($A454)+$B$2)&gt;1,((WEEKDAY($A454)+$T$2)&lt;7),(WEEKDAY($A454)&lt;&gt;1)),"work",(INDEX(Subject!$A:$I,MATCH(RANDBETWEEN(1,(MAX(Subject!$B:$B))),Subject!$B:$B,0),3))))</f>
        <v/>
      </c>
      <c r="P454" s="2" t="str">
        <f t="array" ref="P454">IF(NOW()&gt;BA454,"",IF(AND((WEEKDAY($A454)+$B$2)&gt;1,((WEEKDAY($A454)+$T$2)&lt;7),(WEEKDAY($A454)&lt;&gt;1)),"work",(INDEX(Subject!$A:$I,MATCH(RANDBETWEEN(1,(MAX(Subject!$B:$B))),Subject!$B:$B,0),3))))</f>
        <v/>
      </c>
      <c r="Q454" s="2" t="str">
        <f t="array" ref="Q454">IF(NOW()&gt;BB454,"",IF(AND((WEEKDAY($A454)+$B$2)&gt;1,((WEEKDAY($A454)+$T$2)&lt;7),(WEEKDAY($A454)&lt;&gt;1)),"work",(INDEX(Subject!$A:$I,MATCH(RANDBETWEEN(1,(MAX(Subject!$B:$B))),Subject!$B:$B,0),3))))</f>
        <v/>
      </c>
      <c r="R454" s="2" t="str">
        <f t="array" ref="R454">IF(NOW()&gt;BC454,"",IF(AND((WEEKDAY($A454)+$B$2)&gt;1,((WEEKDAY($A454)+$T$2)&lt;7),(WEEKDAY($A454)&lt;&gt;1)),"work",(INDEX(Subject!$A:$I,MATCH(RANDBETWEEN(1,(MAX(Subject!$B:$B))),Subject!$B:$B,0),3))))</f>
        <v/>
      </c>
      <c r="S454" s="2" t="str">
        <f t="array" ref="S454">IF(NOW()&gt;BD454,"",IF(AND((WEEKDAY($A454)+$B$2)&gt;1,((WEEKDAY($A454)+$T$2)&lt;7),(WEEKDAY($A454)&lt;&gt;1)),"work",(INDEX(Subject!$A:$I,MATCH(RANDBETWEEN(1,(MAX(Subject!$B:$B))),Subject!$B:$B,0),3))))</f>
        <v/>
      </c>
      <c r="T454" s="2" t="str">
        <f t="array" ref="T454">IF(NOW()&gt;BE454,"",IF(AND((WEEKDAY($A454)+$B$2)&gt;1,((WEEKDAY($A454)+$T$2)&lt;7),(WEEKDAY($A454)&lt;&gt;1)),"work",(INDEX(Subject!$A:$I,MATCH(RANDBETWEEN(1,(MAX(Subject!$B:$B))),Subject!$B:$B,0),3))))</f>
        <v/>
      </c>
      <c r="U454" s="8" t="str">
        <f t="array" ref="U454">INDEX(Subject!$A:$I,MATCH(RANDBETWEEN(1,16),Subject!$B:$B,0),3)</f>
        <v>#N/A</v>
      </c>
      <c r="V454" s="8" t="str">
        <f t="array" ref="V454">INDEX(Subject!$A:$I,MATCH(RANDBETWEEN(1,16),Subject!$B:$B,0),3)</f>
        <v>#N/A</v>
      </c>
      <c r="W454" s="8" t="str">
        <f t="array" ref="W454">INDEX(Subject!$A:$I,MATCH(RANDBETWEEN(1,16),Subject!$B:$B,0),3)</f>
        <v>#N/A</v>
      </c>
      <c r="X454" s="8" t="str">
        <f t="array" ref="X454">INDEX(Subject!$A:$I,MATCH(RANDBETWEEN(1,16),Subject!$B:$B,0),3)</f>
        <v>#N/A</v>
      </c>
      <c r="Y454" s="8" t="str">
        <f t="array" ref="Y454">INDEX(Subject!$A:$I,MATCH(RANDBETWEEN(1,16),Subject!$B:$B,0),3)</f>
        <v>#N/A</v>
      </c>
      <c r="Z454" s="8" t="str">
        <f t="array" ref="Z454">INDEX(Subject!$A:$I,MATCH(RANDBETWEEN(1,16),Subject!$B:$B,0),3)</f>
        <v>#N/A</v>
      </c>
      <c r="AA454" s="8" t="str">
        <f t="array" ref="AA454">INDEX(Subject!$A:$I,MATCH(RANDBETWEEN(1,16),Subject!$B:$B,0),3)</f>
        <v>#N/A</v>
      </c>
      <c r="AB454" s="8" t="str">
        <f t="array" ref="AB454">INDEX(Subject!$A:$I,MATCH(RANDBETWEEN(1,16),Subject!$B:$B,0),3)</f>
        <v>#N/A</v>
      </c>
      <c r="AC454" s="8" t="str">
        <f t="array" ref="AC454">INDEX(Subject!$A:$I,MATCH(RANDBETWEEN(1,16),Subject!$B:$B,0),3)</f>
        <v>#N/A</v>
      </c>
      <c r="AD454" s="8" t="str">
        <f t="array" ref="AD454">INDEX(Subject!$A:$I,MATCH(RANDBETWEEN(1,16),Subject!$B:$B,0),3)</f>
        <v>#N/A</v>
      </c>
      <c r="AE454" s="8" t="str">
        <f t="array" ref="AE454">INDEX(Subject!$A:$I,MATCH(RANDBETWEEN(1,16),Subject!$B:$B,0),3)</f>
        <v>#N/A</v>
      </c>
      <c r="AF454" s="8" t="str">
        <f t="array" ref="AF454">INDEX(Subject!$A:$I,MATCH(RANDBETWEEN(1,16),Subject!$B:$B,0),3)</f>
        <v>#N/A</v>
      </c>
      <c r="AG454" s="8" t="str">
        <f t="array" ref="AG454">INDEX(Subject!$A:$I,MATCH(RANDBETWEEN(1,16),Subject!$B:$B,0),3)</f>
        <v>#N/A</v>
      </c>
      <c r="AH454" s="8" t="str">
        <f t="array" ref="AH454">INDEX(Subject!$A:$I,MATCH(RANDBETWEEN(1,16),Subject!$B:$B,0),3)</f>
        <v>#N/A</v>
      </c>
      <c r="AI454" s="8" t="str">
        <f t="array" ref="AI454">INDEX(Subject!$A:$I,MATCH(RANDBETWEEN(1,16),Subject!$B:$B,0),3)</f>
        <v>#N/A</v>
      </c>
      <c r="AJ454" s="8" t="str">
        <f t="array" ref="AJ454">INDEX(Subject!$A:$I,MATCH(RANDBETWEEN(1,16),Subject!$B:$B,0),3)</f>
        <v>#N/A</v>
      </c>
      <c r="AK454" s="8" t="str">
        <f t="array" ref="AK454">INDEX(Subject!$A:$I,MATCH(RANDBETWEEN(1,16),Subject!$B:$B,0),3)</f>
        <v/>
      </c>
      <c r="AL454" s="8" t="str">
        <f t="array" ref="AL454">INDEX(Subject!$A:$I,MATCH(RANDBETWEEN(1,16),Subject!$B:$B,0),3)</f>
        <v>#N/A</v>
      </c>
      <c r="AM454" s="18">
        <f t="shared" si="4"/>
        <v>45954.33333</v>
      </c>
      <c r="AN454" s="19">
        <f t="shared" ref="AN454:BZ454" si="454">$A454+C$1</f>
        <v>45954.35417</v>
      </c>
      <c r="AO454" s="19">
        <f t="shared" si="454"/>
        <v>45954.375</v>
      </c>
      <c r="AP454" s="19">
        <f t="shared" si="454"/>
        <v>45954.39583</v>
      </c>
      <c r="AQ454" s="19">
        <f t="shared" si="454"/>
        <v>45954.41667</v>
      </c>
      <c r="AR454" s="19">
        <f t="shared" si="454"/>
        <v>45954.4375</v>
      </c>
      <c r="AS454" s="19">
        <f t="shared" si="454"/>
        <v>45954.45833</v>
      </c>
      <c r="AT454" s="19">
        <f t="shared" si="454"/>
        <v>45954.47917</v>
      </c>
      <c r="AU454" s="19">
        <f t="shared" si="454"/>
        <v>45954.5</v>
      </c>
      <c r="AV454" s="19">
        <f t="shared" si="454"/>
        <v>45954.52083</v>
      </c>
      <c r="AW454" s="19">
        <f t="shared" si="454"/>
        <v>45954.54167</v>
      </c>
      <c r="AX454" s="19">
        <f t="shared" si="454"/>
        <v>45954.5625</v>
      </c>
      <c r="AY454" s="19">
        <f t="shared" si="454"/>
        <v>45954.58333</v>
      </c>
      <c r="AZ454" s="19">
        <f t="shared" si="454"/>
        <v>45954.60417</v>
      </c>
      <c r="BA454" s="19">
        <f t="shared" si="454"/>
        <v>45954.625</v>
      </c>
      <c r="BB454" s="19">
        <f t="shared" si="454"/>
        <v>45954.64583</v>
      </c>
      <c r="BC454" s="19">
        <f t="shared" si="454"/>
        <v>45954.66667</v>
      </c>
      <c r="BD454" s="19">
        <f t="shared" si="454"/>
        <v>45954.6875</v>
      </c>
      <c r="BE454" s="19">
        <f t="shared" si="454"/>
        <v>45954.70833</v>
      </c>
      <c r="BF454" s="19">
        <f t="shared" si="454"/>
        <v>45954.72917</v>
      </c>
      <c r="BG454" s="19">
        <f t="shared" si="454"/>
        <v>45954.75</v>
      </c>
      <c r="BH454" s="19">
        <f t="shared" si="454"/>
        <v>45954.77083</v>
      </c>
      <c r="BI454" s="19">
        <f t="shared" si="454"/>
        <v>45954.79167</v>
      </c>
      <c r="BJ454" s="19">
        <f t="shared" si="454"/>
        <v>45954.8125</v>
      </c>
      <c r="BK454" s="19">
        <f t="shared" si="454"/>
        <v>45954.83333</v>
      </c>
      <c r="BL454" s="19">
        <f t="shared" si="454"/>
        <v>45954.85417</v>
      </c>
      <c r="BM454" s="19">
        <f t="shared" si="454"/>
        <v>45954.875</v>
      </c>
      <c r="BN454" s="19">
        <f t="shared" si="454"/>
        <v>45954.89583</v>
      </c>
      <c r="BO454" s="19">
        <f t="shared" si="454"/>
        <v>45954.91667</v>
      </c>
      <c r="BP454" s="19">
        <f t="shared" si="454"/>
        <v>45954.9375</v>
      </c>
      <c r="BQ454" s="19">
        <f t="shared" si="454"/>
        <v>45954.95833</v>
      </c>
      <c r="BR454" s="19">
        <f t="shared" si="454"/>
        <v>45954.97917</v>
      </c>
      <c r="BS454" s="19">
        <f t="shared" si="454"/>
        <v>45955</v>
      </c>
      <c r="BT454" s="19">
        <f t="shared" si="454"/>
        <v>45955.02083</v>
      </c>
      <c r="BU454" s="19">
        <f t="shared" si="454"/>
        <v>45955.04167</v>
      </c>
      <c r="BV454" s="19">
        <f t="shared" si="454"/>
        <v>45955.0625</v>
      </c>
      <c r="BW454" s="19">
        <f t="shared" si="454"/>
        <v>45955.08333</v>
      </c>
      <c r="BX454" s="19">
        <f t="shared" si="454"/>
        <v>45954</v>
      </c>
      <c r="BY454" s="19">
        <f t="shared" si="454"/>
        <v>45954</v>
      </c>
      <c r="BZ454" s="19">
        <f t="shared" si="454"/>
        <v>45954</v>
      </c>
    </row>
    <row r="455" ht="14.25" customHeight="1">
      <c r="A455" s="17">
        <v>45955.0</v>
      </c>
      <c r="B455" s="2" t="str">
        <f t="array" ref="B455">IF(NOW()&gt;AM455,"",IF(AND((WEEKDAY($A455)+$B$2)&gt;1,((WEEKDAY($A455)+$T$2)&lt;7),(WEEKDAY($A455)&lt;&gt;1)),"work",(INDEX(Subject!$A:$I,MATCH(RANDBETWEEN(1,(MAX(Subject!$B:$B))),Subject!$B:$B,0),3))))</f>
        <v/>
      </c>
      <c r="C455" s="2" t="str">
        <f t="array" ref="C455">IF(NOW()&gt;AN455,"",IF(AND((WEEKDAY($A455)+$B$2)&gt;1,((WEEKDAY($A455)+$T$2)&lt;7),(WEEKDAY($A455)&lt;&gt;1)),"work",(INDEX(Subject!$A:$I,MATCH(RANDBETWEEN(1,(MAX(Subject!$B:$B))),Subject!$B:$B,0),3))))</f>
        <v/>
      </c>
      <c r="D455" s="2" t="str">
        <f t="array" ref="D455">IF(NOW()&gt;AO455,"",IF(AND((WEEKDAY($A455)+$B$2)&gt;1,((WEEKDAY($A455)+$T$2)&lt;7),(WEEKDAY($A455)&lt;&gt;1)),"work",(INDEX(Subject!$A:$I,MATCH(RANDBETWEEN(1,(MAX(Subject!$B:$B))),Subject!$B:$B,0),3))))</f>
        <v/>
      </c>
      <c r="E455" s="2" t="str">
        <f t="array" ref="E455">IF(NOW()&gt;AP455,"",IF(AND((WEEKDAY($A455)+$B$2)&gt;1,((WEEKDAY($A455)+$T$2)&lt;7),(WEEKDAY($A455)&lt;&gt;1)),"work",(INDEX(Subject!$A:$I,MATCH(RANDBETWEEN(1,(MAX(Subject!$B:$B))),Subject!$B:$B,0),3))))</f>
        <v/>
      </c>
      <c r="F455" s="2" t="str">
        <f t="array" ref="F455">IF(NOW()&gt;AQ455,"",IF(AND((WEEKDAY($A455)+$B$2)&gt;1,((WEEKDAY($A455)+$T$2)&lt;7),(WEEKDAY($A455)&lt;&gt;1)),"work",(INDEX(Subject!$A:$I,MATCH(RANDBETWEEN(1,(MAX(Subject!$B:$B))),Subject!$B:$B,0),3))))</f>
        <v/>
      </c>
      <c r="G455" s="2" t="str">
        <f t="array" ref="G455">IF(NOW()&gt;AR455,"",IF(AND((WEEKDAY($A455)+$B$2)&gt;1,((WEEKDAY($A455)+$T$2)&lt;7),(WEEKDAY($A455)&lt;&gt;1)),"work",(INDEX(Subject!$A:$I,MATCH(RANDBETWEEN(1,(MAX(Subject!$B:$B))),Subject!$B:$B,0),3))))</f>
        <v/>
      </c>
      <c r="H455" s="2" t="str">
        <f t="array" ref="H455">IF(NOW()&gt;AS455,"",IF(AND((WEEKDAY($A455)+$B$2)&gt;1,((WEEKDAY($A455)+$T$2)&lt;7),(WEEKDAY($A455)&lt;&gt;1)),"work",(INDEX(Subject!$A:$I,MATCH(RANDBETWEEN(1,(MAX(Subject!$B:$B))),Subject!$B:$B,0),3))))</f>
        <v/>
      </c>
      <c r="I455" s="2" t="str">
        <f t="array" ref="I455">IF(NOW()&gt;AT455,"",IF(AND((WEEKDAY($A455)+$B$2)&gt;1,((WEEKDAY($A455)+$T$2)&lt;7),(WEEKDAY($A455)&lt;&gt;1)),"work",(INDEX(Subject!$A:$I,MATCH(RANDBETWEEN(1,(MAX(Subject!$B:$B))),Subject!$B:$B,0),3))))</f>
        <v/>
      </c>
      <c r="J455" s="2" t="str">
        <f t="array" ref="J455">IF(NOW()&gt;AU455,"",IF(AND((WEEKDAY($A455)+$B$2)&gt;1,((WEEKDAY($A455)+$T$2)&lt;7),(WEEKDAY($A455)&lt;&gt;1)),"work",(INDEX(Subject!$A:$I,MATCH(RANDBETWEEN(1,(MAX(Subject!$B:$B))),Subject!$B:$B,0),3))))</f>
        <v/>
      </c>
      <c r="K455" s="2" t="str">
        <f t="array" ref="K455">IF(NOW()&gt;AV455,"",IF(AND((WEEKDAY($A455)+$B$2)&gt;1,((WEEKDAY($A455)+$T$2)&lt;7),(WEEKDAY($A455)&lt;&gt;1)),"work",(INDEX(Subject!$A:$I,MATCH(RANDBETWEEN(1,(MAX(Subject!$B:$B))),Subject!$B:$B,0),3))))</f>
        <v/>
      </c>
      <c r="L455" s="2" t="str">
        <f t="array" ref="L455">IF(NOW()&gt;AW455,"",IF(AND((WEEKDAY($A455)+$B$2)&gt;1,((WEEKDAY($A455)+$T$2)&lt;7),(WEEKDAY($A455)&lt;&gt;1)),"work",(INDEX(Subject!$A:$I,MATCH(RANDBETWEEN(1,(MAX(Subject!$B:$B))),Subject!$B:$B,0),3))))</f>
        <v/>
      </c>
      <c r="M455" s="2" t="str">
        <f t="array" ref="M455">IF(NOW()&gt;AX455,"",IF(AND((WEEKDAY($A455)+$B$2)&gt;1,((WEEKDAY($A455)+$T$2)&lt;7),(WEEKDAY($A455)&lt;&gt;1)),"work",(INDEX(Subject!$A:$I,MATCH(RANDBETWEEN(1,(MAX(Subject!$B:$B))),Subject!$B:$B,0),3))))</f>
        <v/>
      </c>
      <c r="N455" s="2" t="str">
        <f t="array" ref="N455">IF(NOW()&gt;AY455,"",IF(AND((WEEKDAY($A455)+$B$2)&gt;1,((WEEKDAY($A455)+$T$2)&lt;7),(WEEKDAY($A455)&lt;&gt;1)),"work",(INDEX(Subject!$A:$I,MATCH(RANDBETWEEN(1,(MAX(Subject!$B:$B))),Subject!$B:$B,0),3))))</f>
        <v/>
      </c>
      <c r="O455" s="2" t="str">
        <f t="array" ref="O455">IF(NOW()&gt;AZ455,"",IF(AND((WEEKDAY($A455)+$B$2)&gt;1,((WEEKDAY($A455)+$T$2)&lt;7),(WEEKDAY($A455)&lt;&gt;1)),"work",(INDEX(Subject!$A:$I,MATCH(RANDBETWEEN(1,(MAX(Subject!$B:$B))),Subject!$B:$B,0),3))))</f>
        <v/>
      </c>
      <c r="P455" s="2" t="str">
        <f t="array" ref="P455">IF(NOW()&gt;BA455,"",IF(AND((WEEKDAY($A455)+$B$2)&gt;1,((WEEKDAY($A455)+$T$2)&lt;7),(WEEKDAY($A455)&lt;&gt;1)),"work",(INDEX(Subject!$A:$I,MATCH(RANDBETWEEN(1,(MAX(Subject!$B:$B))),Subject!$B:$B,0),3))))</f>
        <v/>
      </c>
      <c r="Q455" s="2" t="str">
        <f t="array" ref="Q455">IF(NOW()&gt;BB455,"",IF(AND((WEEKDAY($A455)+$B$2)&gt;1,((WEEKDAY($A455)+$T$2)&lt;7),(WEEKDAY($A455)&lt;&gt;1)),"work",(INDEX(Subject!$A:$I,MATCH(RANDBETWEEN(1,(MAX(Subject!$B:$B))),Subject!$B:$B,0),3))))</f>
        <v/>
      </c>
      <c r="R455" s="2" t="str">
        <f t="array" ref="R455">IF(NOW()&gt;BC455,"",IF(AND((WEEKDAY($A455)+$B$2)&gt;1,((WEEKDAY($A455)+$T$2)&lt;7),(WEEKDAY($A455)&lt;&gt;1)),"work",(INDEX(Subject!$A:$I,MATCH(RANDBETWEEN(1,(MAX(Subject!$B:$B))),Subject!$B:$B,0),3))))</f>
        <v/>
      </c>
      <c r="S455" s="2" t="str">
        <f t="array" ref="S455">IF(NOW()&gt;BD455,"",IF(AND((WEEKDAY($A455)+$B$2)&gt;1,((WEEKDAY($A455)+$T$2)&lt;7),(WEEKDAY($A455)&lt;&gt;1)),"work",(INDEX(Subject!$A:$I,MATCH(RANDBETWEEN(1,(MAX(Subject!$B:$B))),Subject!$B:$B,0),3))))</f>
        <v/>
      </c>
      <c r="T455" s="2" t="str">
        <f t="array" ref="T455">IF(NOW()&gt;BE455,"",IF(AND((WEEKDAY($A455)+$B$2)&gt;1,((WEEKDAY($A455)+$T$2)&lt;7),(WEEKDAY($A455)&lt;&gt;1)),"work",(INDEX(Subject!$A:$I,MATCH(RANDBETWEEN(1,(MAX(Subject!$B:$B))),Subject!$B:$B,0),3))))</f>
        <v/>
      </c>
      <c r="U455" s="8" t="str">
        <f t="array" ref="U455">INDEX(Subject!$A:$I,MATCH(RANDBETWEEN(1,16),Subject!$B:$B,0),3)</f>
        <v>#N/A</v>
      </c>
      <c r="V455" s="8" t="str">
        <f t="array" ref="V455">INDEX(Subject!$A:$I,MATCH(RANDBETWEEN(1,16),Subject!$B:$B,0),3)</f>
        <v>#N/A</v>
      </c>
      <c r="W455" s="8" t="str">
        <f t="array" ref="W455">INDEX(Subject!$A:$I,MATCH(RANDBETWEEN(1,16),Subject!$B:$B,0),3)</f>
        <v>#N/A</v>
      </c>
      <c r="X455" s="8" t="str">
        <f t="array" ref="X455">INDEX(Subject!$A:$I,MATCH(RANDBETWEEN(1,16),Subject!$B:$B,0),3)</f>
        <v>#N/A</v>
      </c>
      <c r="Y455" s="8" t="str">
        <f t="array" ref="Y455">INDEX(Subject!$A:$I,MATCH(RANDBETWEEN(1,16),Subject!$B:$B,0),3)</f>
        <v>#N/A</v>
      </c>
      <c r="Z455" s="8" t="str">
        <f t="array" ref="Z455">INDEX(Subject!$A:$I,MATCH(RANDBETWEEN(1,16),Subject!$B:$B,0),3)</f>
        <v>#N/A</v>
      </c>
      <c r="AA455" s="8" t="str">
        <f t="array" ref="AA455">INDEX(Subject!$A:$I,MATCH(RANDBETWEEN(1,16),Subject!$B:$B,0),3)</f>
        <v>#N/A</v>
      </c>
      <c r="AB455" s="8" t="str">
        <f t="array" ref="AB455">INDEX(Subject!$A:$I,MATCH(RANDBETWEEN(1,16),Subject!$B:$B,0),3)</f>
        <v>#N/A</v>
      </c>
      <c r="AC455" s="8" t="str">
        <f t="array" ref="AC455">INDEX(Subject!$A:$I,MATCH(RANDBETWEEN(1,16),Subject!$B:$B,0),3)</f>
        <v>#N/A</v>
      </c>
      <c r="AD455" s="8" t="str">
        <f t="array" ref="AD455">INDEX(Subject!$A:$I,MATCH(RANDBETWEEN(1,16),Subject!$B:$B,0),3)</f>
        <v>#N/A</v>
      </c>
      <c r="AE455" s="8" t="str">
        <f t="array" ref="AE455">INDEX(Subject!$A:$I,MATCH(RANDBETWEEN(1,16),Subject!$B:$B,0),3)</f>
        <v>#N/A</v>
      </c>
      <c r="AF455" s="8" t="str">
        <f t="array" ref="AF455">INDEX(Subject!$A:$I,MATCH(RANDBETWEEN(1,16),Subject!$B:$B,0),3)</f>
        <v/>
      </c>
      <c r="AG455" s="8" t="str">
        <f t="array" ref="AG455">INDEX(Subject!$A:$I,MATCH(RANDBETWEEN(1,16),Subject!$B:$B,0),3)</f>
        <v>#N/A</v>
      </c>
      <c r="AH455" s="8" t="str">
        <f t="array" ref="AH455">INDEX(Subject!$A:$I,MATCH(RANDBETWEEN(1,16),Subject!$B:$B,0),3)</f>
        <v>#N/A</v>
      </c>
      <c r="AI455" s="8" t="str">
        <f t="array" ref="AI455">INDEX(Subject!$A:$I,MATCH(RANDBETWEEN(1,16),Subject!$B:$B,0),3)</f>
        <v>#N/A</v>
      </c>
      <c r="AJ455" s="8" t="str">
        <f t="array" ref="AJ455">INDEX(Subject!$A:$I,MATCH(RANDBETWEEN(1,16),Subject!$B:$B,0),3)</f>
        <v>#N/A</v>
      </c>
      <c r="AK455" s="8" t="str">
        <f t="array" ref="AK455">INDEX(Subject!$A:$I,MATCH(RANDBETWEEN(1,16),Subject!$B:$B,0),3)</f>
        <v>#N/A</v>
      </c>
      <c r="AL455" s="8" t="str">
        <f t="array" ref="AL455">INDEX(Subject!$A:$I,MATCH(RANDBETWEEN(1,16),Subject!$B:$B,0),3)</f>
        <v>#N/A</v>
      </c>
      <c r="AM455" s="18">
        <f t="shared" si="4"/>
        <v>45955.33333</v>
      </c>
      <c r="AN455" s="19">
        <f t="shared" ref="AN455:BZ455" si="455">$A455+C$1</f>
        <v>45955.35417</v>
      </c>
      <c r="AO455" s="19">
        <f t="shared" si="455"/>
        <v>45955.375</v>
      </c>
      <c r="AP455" s="19">
        <f t="shared" si="455"/>
        <v>45955.39583</v>
      </c>
      <c r="AQ455" s="19">
        <f t="shared" si="455"/>
        <v>45955.41667</v>
      </c>
      <c r="AR455" s="19">
        <f t="shared" si="455"/>
        <v>45955.4375</v>
      </c>
      <c r="AS455" s="19">
        <f t="shared" si="455"/>
        <v>45955.45833</v>
      </c>
      <c r="AT455" s="19">
        <f t="shared" si="455"/>
        <v>45955.47917</v>
      </c>
      <c r="AU455" s="19">
        <f t="shared" si="455"/>
        <v>45955.5</v>
      </c>
      <c r="AV455" s="19">
        <f t="shared" si="455"/>
        <v>45955.52083</v>
      </c>
      <c r="AW455" s="19">
        <f t="shared" si="455"/>
        <v>45955.54167</v>
      </c>
      <c r="AX455" s="19">
        <f t="shared" si="455"/>
        <v>45955.5625</v>
      </c>
      <c r="AY455" s="19">
        <f t="shared" si="455"/>
        <v>45955.58333</v>
      </c>
      <c r="AZ455" s="19">
        <f t="shared" si="455"/>
        <v>45955.60417</v>
      </c>
      <c r="BA455" s="19">
        <f t="shared" si="455"/>
        <v>45955.625</v>
      </c>
      <c r="BB455" s="19">
        <f t="shared" si="455"/>
        <v>45955.64583</v>
      </c>
      <c r="BC455" s="19">
        <f t="shared" si="455"/>
        <v>45955.66667</v>
      </c>
      <c r="BD455" s="19">
        <f t="shared" si="455"/>
        <v>45955.6875</v>
      </c>
      <c r="BE455" s="19">
        <f t="shared" si="455"/>
        <v>45955.70833</v>
      </c>
      <c r="BF455" s="19">
        <f t="shared" si="455"/>
        <v>45955.72917</v>
      </c>
      <c r="BG455" s="19">
        <f t="shared" si="455"/>
        <v>45955.75</v>
      </c>
      <c r="BH455" s="19">
        <f t="shared" si="455"/>
        <v>45955.77083</v>
      </c>
      <c r="BI455" s="19">
        <f t="shared" si="455"/>
        <v>45955.79167</v>
      </c>
      <c r="BJ455" s="19">
        <f t="shared" si="455"/>
        <v>45955.8125</v>
      </c>
      <c r="BK455" s="19">
        <f t="shared" si="455"/>
        <v>45955.83333</v>
      </c>
      <c r="BL455" s="19">
        <f t="shared" si="455"/>
        <v>45955.85417</v>
      </c>
      <c r="BM455" s="19">
        <f t="shared" si="455"/>
        <v>45955.875</v>
      </c>
      <c r="BN455" s="19">
        <f t="shared" si="455"/>
        <v>45955.89583</v>
      </c>
      <c r="BO455" s="19">
        <f t="shared" si="455"/>
        <v>45955.91667</v>
      </c>
      <c r="BP455" s="19">
        <f t="shared" si="455"/>
        <v>45955.9375</v>
      </c>
      <c r="BQ455" s="19">
        <f t="shared" si="455"/>
        <v>45955.95833</v>
      </c>
      <c r="BR455" s="19">
        <f t="shared" si="455"/>
        <v>45955.97917</v>
      </c>
      <c r="BS455" s="19">
        <f t="shared" si="455"/>
        <v>45956</v>
      </c>
      <c r="BT455" s="19">
        <f t="shared" si="455"/>
        <v>45956.02083</v>
      </c>
      <c r="BU455" s="19">
        <f t="shared" si="455"/>
        <v>45956.04167</v>
      </c>
      <c r="BV455" s="19">
        <f t="shared" si="455"/>
        <v>45956.0625</v>
      </c>
      <c r="BW455" s="19">
        <f t="shared" si="455"/>
        <v>45956.08333</v>
      </c>
      <c r="BX455" s="19">
        <f t="shared" si="455"/>
        <v>45955</v>
      </c>
      <c r="BY455" s="19">
        <f t="shared" si="455"/>
        <v>45955</v>
      </c>
      <c r="BZ455" s="19">
        <f t="shared" si="455"/>
        <v>45955</v>
      </c>
    </row>
    <row r="456" ht="14.25" customHeight="1">
      <c r="A456" s="17">
        <v>45956.0</v>
      </c>
      <c r="B456" s="2" t="str">
        <f t="array" ref="B456">IF(NOW()&gt;AM456,"",IF(AND((WEEKDAY($A456)+$B$2)&gt;1,((WEEKDAY($A456)+$T$2)&lt;7),(WEEKDAY($A456)&lt;&gt;1)),"work",(INDEX(Subject!$A:$I,MATCH(RANDBETWEEN(1,(MAX(Subject!$B:$B))),Subject!$B:$B,0),3))))</f>
        <v/>
      </c>
      <c r="C456" s="2" t="str">
        <f t="array" ref="C456">IF(NOW()&gt;AN456,"",IF(AND((WEEKDAY($A456)+$B$2)&gt;1,((WEEKDAY($A456)+$T$2)&lt;7),(WEEKDAY($A456)&lt;&gt;1)),"work",(INDEX(Subject!$A:$I,MATCH(RANDBETWEEN(1,(MAX(Subject!$B:$B))),Subject!$B:$B,0),3))))</f>
        <v/>
      </c>
      <c r="D456" s="2" t="str">
        <f t="array" ref="D456">IF(NOW()&gt;AO456,"",IF(AND((WEEKDAY($A456)+$B$2)&gt;1,((WEEKDAY($A456)+$T$2)&lt;7),(WEEKDAY($A456)&lt;&gt;1)),"work",(INDEX(Subject!$A:$I,MATCH(RANDBETWEEN(1,(MAX(Subject!$B:$B))),Subject!$B:$B,0),3))))</f>
        <v/>
      </c>
      <c r="E456" s="2" t="str">
        <f t="array" ref="E456">IF(NOW()&gt;AP456,"",IF(AND((WEEKDAY($A456)+$B$2)&gt;1,((WEEKDAY($A456)+$T$2)&lt;7),(WEEKDAY($A456)&lt;&gt;1)),"work",(INDEX(Subject!$A:$I,MATCH(RANDBETWEEN(1,(MAX(Subject!$B:$B))),Subject!$B:$B,0),3))))</f>
        <v/>
      </c>
      <c r="F456" s="2" t="str">
        <f t="array" ref="F456">IF(NOW()&gt;AQ456,"",IF(AND((WEEKDAY($A456)+$B$2)&gt;1,((WEEKDAY($A456)+$T$2)&lt;7),(WEEKDAY($A456)&lt;&gt;1)),"work",(INDEX(Subject!$A:$I,MATCH(RANDBETWEEN(1,(MAX(Subject!$B:$B))),Subject!$B:$B,0),3))))</f>
        <v/>
      </c>
      <c r="G456" s="2" t="str">
        <f t="array" ref="G456">IF(NOW()&gt;AR456,"",IF(AND((WEEKDAY($A456)+$B$2)&gt;1,((WEEKDAY($A456)+$T$2)&lt;7),(WEEKDAY($A456)&lt;&gt;1)),"work",(INDEX(Subject!$A:$I,MATCH(RANDBETWEEN(1,(MAX(Subject!$B:$B))),Subject!$B:$B,0),3))))</f>
        <v/>
      </c>
      <c r="H456" s="2" t="str">
        <f t="array" ref="H456">IF(NOW()&gt;AS456,"",IF(AND((WEEKDAY($A456)+$B$2)&gt;1,((WEEKDAY($A456)+$T$2)&lt;7),(WEEKDAY($A456)&lt;&gt;1)),"work",(INDEX(Subject!$A:$I,MATCH(RANDBETWEEN(1,(MAX(Subject!$B:$B))),Subject!$B:$B,0),3))))</f>
        <v/>
      </c>
      <c r="I456" s="2" t="str">
        <f t="array" ref="I456">IF(NOW()&gt;AT456,"",IF(AND((WEEKDAY($A456)+$B$2)&gt;1,((WEEKDAY($A456)+$T$2)&lt;7),(WEEKDAY($A456)&lt;&gt;1)),"work",(INDEX(Subject!$A:$I,MATCH(RANDBETWEEN(1,(MAX(Subject!$B:$B))),Subject!$B:$B,0),3))))</f>
        <v/>
      </c>
      <c r="J456" s="2" t="str">
        <f t="array" ref="J456">IF(NOW()&gt;AU456,"",IF(AND((WEEKDAY($A456)+$B$2)&gt;1,((WEEKDAY($A456)+$T$2)&lt;7),(WEEKDAY($A456)&lt;&gt;1)),"work",(INDEX(Subject!$A:$I,MATCH(RANDBETWEEN(1,(MAX(Subject!$B:$B))),Subject!$B:$B,0),3))))</f>
        <v/>
      </c>
      <c r="K456" s="2" t="str">
        <f t="array" ref="K456">IF(NOW()&gt;AV456,"",IF(AND((WEEKDAY($A456)+$B$2)&gt;1,((WEEKDAY($A456)+$T$2)&lt;7),(WEEKDAY($A456)&lt;&gt;1)),"work",(INDEX(Subject!$A:$I,MATCH(RANDBETWEEN(1,(MAX(Subject!$B:$B))),Subject!$B:$B,0),3))))</f>
        <v/>
      </c>
      <c r="L456" s="2" t="str">
        <f t="array" ref="L456">IF(NOW()&gt;AW456,"",IF(AND((WEEKDAY($A456)+$B$2)&gt;1,((WEEKDAY($A456)+$T$2)&lt;7),(WEEKDAY($A456)&lt;&gt;1)),"work",(INDEX(Subject!$A:$I,MATCH(RANDBETWEEN(1,(MAX(Subject!$B:$B))),Subject!$B:$B,0),3))))</f>
        <v/>
      </c>
      <c r="M456" s="2" t="str">
        <f t="array" ref="M456">IF(NOW()&gt;AX456,"",IF(AND((WEEKDAY($A456)+$B$2)&gt;1,((WEEKDAY($A456)+$T$2)&lt;7),(WEEKDAY($A456)&lt;&gt;1)),"work",(INDEX(Subject!$A:$I,MATCH(RANDBETWEEN(1,(MAX(Subject!$B:$B))),Subject!$B:$B,0),3))))</f>
        <v/>
      </c>
      <c r="N456" s="2" t="str">
        <f t="array" ref="N456">IF(NOW()&gt;AY456,"",IF(AND((WEEKDAY($A456)+$B$2)&gt;1,((WEEKDAY($A456)+$T$2)&lt;7),(WEEKDAY($A456)&lt;&gt;1)),"work",(INDEX(Subject!$A:$I,MATCH(RANDBETWEEN(1,(MAX(Subject!$B:$B))),Subject!$B:$B,0),3))))</f>
        <v/>
      </c>
      <c r="O456" s="2" t="str">
        <f t="array" ref="O456">IF(NOW()&gt;AZ456,"",IF(AND((WEEKDAY($A456)+$B$2)&gt;1,((WEEKDAY($A456)+$T$2)&lt;7),(WEEKDAY($A456)&lt;&gt;1)),"work",(INDEX(Subject!$A:$I,MATCH(RANDBETWEEN(1,(MAX(Subject!$B:$B))),Subject!$B:$B,0),3))))</f>
        <v/>
      </c>
      <c r="P456" s="2" t="str">
        <f t="array" ref="P456">IF(NOW()&gt;BA456,"",IF(AND((WEEKDAY($A456)+$B$2)&gt;1,((WEEKDAY($A456)+$T$2)&lt;7),(WEEKDAY($A456)&lt;&gt;1)),"work",(INDEX(Subject!$A:$I,MATCH(RANDBETWEEN(1,(MAX(Subject!$B:$B))),Subject!$B:$B,0),3))))</f>
        <v/>
      </c>
      <c r="Q456" s="2" t="str">
        <f t="array" ref="Q456">IF(NOW()&gt;BB456,"",IF(AND((WEEKDAY($A456)+$B$2)&gt;1,((WEEKDAY($A456)+$T$2)&lt;7),(WEEKDAY($A456)&lt;&gt;1)),"work",(INDEX(Subject!$A:$I,MATCH(RANDBETWEEN(1,(MAX(Subject!$B:$B))),Subject!$B:$B,0),3))))</f>
        <v/>
      </c>
      <c r="R456" s="2" t="str">
        <f t="array" ref="R456">IF(NOW()&gt;BC456,"",IF(AND((WEEKDAY($A456)+$B$2)&gt;1,((WEEKDAY($A456)+$T$2)&lt;7),(WEEKDAY($A456)&lt;&gt;1)),"work",(INDEX(Subject!$A:$I,MATCH(RANDBETWEEN(1,(MAX(Subject!$B:$B))),Subject!$B:$B,0),3))))</f>
        <v/>
      </c>
      <c r="S456" s="2" t="str">
        <f t="array" ref="S456">IF(NOW()&gt;BD456,"",IF(AND((WEEKDAY($A456)+$B$2)&gt;1,((WEEKDAY($A456)+$T$2)&lt;7),(WEEKDAY($A456)&lt;&gt;1)),"work",(INDEX(Subject!$A:$I,MATCH(RANDBETWEEN(1,(MAX(Subject!$B:$B))),Subject!$B:$B,0),3))))</f>
        <v/>
      </c>
      <c r="T456" s="2" t="str">
        <f t="array" ref="T456">IF(NOW()&gt;BE456,"",IF(AND((WEEKDAY($A456)+$B$2)&gt;1,((WEEKDAY($A456)+$T$2)&lt;7),(WEEKDAY($A456)&lt;&gt;1)),"work",(INDEX(Subject!$A:$I,MATCH(RANDBETWEEN(1,(MAX(Subject!$B:$B))),Subject!$B:$B,0),3))))</f>
        <v/>
      </c>
      <c r="U456" s="8" t="str">
        <f t="array" ref="U456">INDEX(Subject!$A:$I,MATCH(RANDBETWEEN(1,16),Subject!$B:$B,0),3)</f>
        <v>#N/A</v>
      </c>
      <c r="V456" s="8" t="str">
        <f t="array" ref="V456">INDEX(Subject!$A:$I,MATCH(RANDBETWEEN(1,16),Subject!$B:$B,0),3)</f>
        <v>#N/A</v>
      </c>
      <c r="W456" s="8" t="str">
        <f t="array" ref="W456">INDEX(Subject!$A:$I,MATCH(RANDBETWEEN(1,16),Subject!$B:$B,0),3)</f>
        <v/>
      </c>
      <c r="X456" s="8" t="str">
        <f t="array" ref="X456">INDEX(Subject!$A:$I,MATCH(RANDBETWEEN(1,16),Subject!$B:$B,0),3)</f>
        <v>#N/A</v>
      </c>
      <c r="Y456" s="8" t="str">
        <f t="array" ref="Y456">INDEX(Subject!$A:$I,MATCH(RANDBETWEEN(1,16),Subject!$B:$B,0),3)</f>
        <v>#N/A</v>
      </c>
      <c r="Z456" s="8" t="str">
        <f t="array" ref="Z456">INDEX(Subject!$A:$I,MATCH(RANDBETWEEN(1,16),Subject!$B:$B,0),3)</f>
        <v>#N/A</v>
      </c>
      <c r="AA456" s="8" t="str">
        <f t="array" ref="AA456">INDEX(Subject!$A:$I,MATCH(RANDBETWEEN(1,16),Subject!$B:$B,0),3)</f>
        <v>#N/A</v>
      </c>
      <c r="AB456" s="8" t="str">
        <f t="array" ref="AB456">INDEX(Subject!$A:$I,MATCH(RANDBETWEEN(1,16),Subject!$B:$B,0),3)</f>
        <v>#N/A</v>
      </c>
      <c r="AC456" s="8" t="str">
        <f t="array" ref="AC456">INDEX(Subject!$A:$I,MATCH(RANDBETWEEN(1,16),Subject!$B:$B,0),3)</f>
        <v>#N/A</v>
      </c>
      <c r="AD456" s="8" t="str">
        <f t="array" ref="AD456">INDEX(Subject!$A:$I,MATCH(RANDBETWEEN(1,16),Subject!$B:$B,0),3)</f>
        <v>#N/A</v>
      </c>
      <c r="AE456" s="8" t="str">
        <f t="array" ref="AE456">INDEX(Subject!$A:$I,MATCH(RANDBETWEEN(1,16),Subject!$B:$B,0),3)</f>
        <v>#N/A</v>
      </c>
      <c r="AF456" s="8" t="str">
        <f t="array" ref="AF456">INDEX(Subject!$A:$I,MATCH(RANDBETWEEN(1,16),Subject!$B:$B,0),3)</f>
        <v>#N/A</v>
      </c>
      <c r="AG456" s="8" t="str">
        <f t="array" ref="AG456">INDEX(Subject!$A:$I,MATCH(RANDBETWEEN(1,16),Subject!$B:$B,0),3)</f>
        <v>#N/A</v>
      </c>
      <c r="AH456" s="8" t="str">
        <f t="array" ref="AH456">INDEX(Subject!$A:$I,MATCH(RANDBETWEEN(1,16),Subject!$B:$B,0),3)</f>
        <v>#N/A</v>
      </c>
      <c r="AI456" s="8" t="str">
        <f t="array" ref="AI456">INDEX(Subject!$A:$I,MATCH(RANDBETWEEN(1,16),Subject!$B:$B,0),3)</f>
        <v>#N/A</v>
      </c>
      <c r="AJ456" s="8" t="str">
        <f t="array" ref="AJ456">INDEX(Subject!$A:$I,MATCH(RANDBETWEEN(1,16),Subject!$B:$B,0),3)</f>
        <v>#N/A</v>
      </c>
      <c r="AK456" s="8" t="str">
        <f t="array" ref="AK456">INDEX(Subject!$A:$I,MATCH(RANDBETWEEN(1,16),Subject!$B:$B,0),3)</f>
        <v>#N/A</v>
      </c>
      <c r="AL456" s="8" t="str">
        <f t="array" ref="AL456">INDEX(Subject!$A:$I,MATCH(RANDBETWEEN(1,16),Subject!$B:$B,0),3)</f>
        <v>#N/A</v>
      </c>
      <c r="AM456" s="18">
        <f t="shared" si="4"/>
        <v>45956.33333</v>
      </c>
      <c r="AN456" s="19">
        <f t="shared" ref="AN456:BZ456" si="456">$A456+C$1</f>
        <v>45956.35417</v>
      </c>
      <c r="AO456" s="19">
        <f t="shared" si="456"/>
        <v>45956.375</v>
      </c>
      <c r="AP456" s="19">
        <f t="shared" si="456"/>
        <v>45956.39583</v>
      </c>
      <c r="AQ456" s="19">
        <f t="shared" si="456"/>
        <v>45956.41667</v>
      </c>
      <c r="AR456" s="19">
        <f t="shared" si="456"/>
        <v>45956.4375</v>
      </c>
      <c r="AS456" s="19">
        <f t="shared" si="456"/>
        <v>45956.45833</v>
      </c>
      <c r="AT456" s="19">
        <f t="shared" si="456"/>
        <v>45956.47917</v>
      </c>
      <c r="AU456" s="19">
        <f t="shared" si="456"/>
        <v>45956.5</v>
      </c>
      <c r="AV456" s="19">
        <f t="shared" si="456"/>
        <v>45956.52083</v>
      </c>
      <c r="AW456" s="19">
        <f t="shared" si="456"/>
        <v>45956.54167</v>
      </c>
      <c r="AX456" s="19">
        <f t="shared" si="456"/>
        <v>45956.5625</v>
      </c>
      <c r="AY456" s="19">
        <f t="shared" si="456"/>
        <v>45956.58333</v>
      </c>
      <c r="AZ456" s="19">
        <f t="shared" si="456"/>
        <v>45956.60417</v>
      </c>
      <c r="BA456" s="19">
        <f t="shared" si="456"/>
        <v>45956.625</v>
      </c>
      <c r="BB456" s="19">
        <f t="shared" si="456"/>
        <v>45956.64583</v>
      </c>
      <c r="BC456" s="19">
        <f t="shared" si="456"/>
        <v>45956.66667</v>
      </c>
      <c r="BD456" s="19">
        <f t="shared" si="456"/>
        <v>45956.6875</v>
      </c>
      <c r="BE456" s="19">
        <f t="shared" si="456"/>
        <v>45956.70833</v>
      </c>
      <c r="BF456" s="19">
        <f t="shared" si="456"/>
        <v>45956.72917</v>
      </c>
      <c r="BG456" s="19">
        <f t="shared" si="456"/>
        <v>45956.75</v>
      </c>
      <c r="BH456" s="19">
        <f t="shared" si="456"/>
        <v>45956.77083</v>
      </c>
      <c r="BI456" s="19">
        <f t="shared" si="456"/>
        <v>45956.79167</v>
      </c>
      <c r="BJ456" s="19">
        <f t="shared" si="456"/>
        <v>45956.8125</v>
      </c>
      <c r="BK456" s="19">
        <f t="shared" si="456"/>
        <v>45956.83333</v>
      </c>
      <c r="BL456" s="19">
        <f t="shared" si="456"/>
        <v>45956.85417</v>
      </c>
      <c r="BM456" s="19">
        <f t="shared" si="456"/>
        <v>45956.875</v>
      </c>
      <c r="BN456" s="19">
        <f t="shared" si="456"/>
        <v>45956.89583</v>
      </c>
      <c r="BO456" s="19">
        <f t="shared" si="456"/>
        <v>45956.91667</v>
      </c>
      <c r="BP456" s="19">
        <f t="shared" si="456"/>
        <v>45956.9375</v>
      </c>
      <c r="BQ456" s="19">
        <f t="shared" si="456"/>
        <v>45956.95833</v>
      </c>
      <c r="BR456" s="19">
        <f t="shared" si="456"/>
        <v>45956.97917</v>
      </c>
      <c r="BS456" s="19">
        <f t="shared" si="456"/>
        <v>45957</v>
      </c>
      <c r="BT456" s="19">
        <f t="shared" si="456"/>
        <v>45957.02083</v>
      </c>
      <c r="BU456" s="19">
        <f t="shared" si="456"/>
        <v>45957.04167</v>
      </c>
      <c r="BV456" s="19">
        <f t="shared" si="456"/>
        <v>45957.0625</v>
      </c>
      <c r="BW456" s="19">
        <f t="shared" si="456"/>
        <v>45957.08333</v>
      </c>
      <c r="BX456" s="19">
        <f t="shared" si="456"/>
        <v>45956</v>
      </c>
      <c r="BY456" s="19">
        <f t="shared" si="456"/>
        <v>45956</v>
      </c>
      <c r="BZ456" s="19">
        <f t="shared" si="456"/>
        <v>45956</v>
      </c>
    </row>
    <row r="457" ht="14.25" customHeight="1">
      <c r="A457" s="17">
        <v>45957.0</v>
      </c>
      <c r="B457" s="2" t="str">
        <f t="array" ref="B457">IF(NOW()&gt;AM457,"",IF(AND((WEEKDAY($A457)+$B$2)&gt;1,((WEEKDAY($A457)+$T$2)&lt;7),(WEEKDAY($A457)&lt;&gt;1)),"work",(INDEX(Subject!$A:$I,MATCH(RANDBETWEEN(1,(MAX(Subject!$B:$B))),Subject!$B:$B,0),3))))</f>
        <v/>
      </c>
      <c r="C457" s="2" t="str">
        <f t="array" ref="C457">IF(NOW()&gt;AN457,"",IF(AND((WEEKDAY($A457)+$B$2)&gt;1,((WEEKDAY($A457)+$T$2)&lt;7),(WEEKDAY($A457)&lt;&gt;1)),"work",(INDEX(Subject!$A:$I,MATCH(RANDBETWEEN(1,(MAX(Subject!$B:$B))),Subject!$B:$B,0),3))))</f>
        <v/>
      </c>
      <c r="D457" s="2" t="str">
        <f t="array" ref="D457">IF(NOW()&gt;AO457,"",IF(AND((WEEKDAY($A457)+$B$2)&gt;1,((WEEKDAY($A457)+$T$2)&lt;7),(WEEKDAY($A457)&lt;&gt;1)),"work",(INDEX(Subject!$A:$I,MATCH(RANDBETWEEN(1,(MAX(Subject!$B:$B))),Subject!$B:$B,0),3))))</f>
        <v/>
      </c>
      <c r="E457" s="2" t="str">
        <f t="array" ref="E457">IF(NOW()&gt;AP457,"",IF(AND((WEEKDAY($A457)+$B$2)&gt;1,((WEEKDAY($A457)+$T$2)&lt;7),(WEEKDAY($A457)&lt;&gt;1)),"work",(INDEX(Subject!$A:$I,MATCH(RANDBETWEEN(1,(MAX(Subject!$B:$B))),Subject!$B:$B,0),3))))</f>
        <v/>
      </c>
      <c r="F457" s="2" t="str">
        <f t="array" ref="F457">IF(NOW()&gt;AQ457,"",IF(AND((WEEKDAY($A457)+$B$2)&gt;1,((WEEKDAY($A457)+$T$2)&lt;7),(WEEKDAY($A457)&lt;&gt;1)),"work",(INDEX(Subject!$A:$I,MATCH(RANDBETWEEN(1,(MAX(Subject!$B:$B))),Subject!$B:$B,0),3))))</f>
        <v/>
      </c>
      <c r="G457" s="2" t="str">
        <f t="array" ref="G457">IF(NOW()&gt;AR457,"",IF(AND((WEEKDAY($A457)+$B$2)&gt;1,((WEEKDAY($A457)+$T$2)&lt;7),(WEEKDAY($A457)&lt;&gt;1)),"work",(INDEX(Subject!$A:$I,MATCH(RANDBETWEEN(1,(MAX(Subject!$B:$B))),Subject!$B:$B,0),3))))</f>
        <v/>
      </c>
      <c r="H457" s="2" t="str">
        <f t="array" ref="H457">IF(NOW()&gt;AS457,"",IF(AND((WEEKDAY($A457)+$B$2)&gt;1,((WEEKDAY($A457)+$T$2)&lt;7),(WEEKDAY($A457)&lt;&gt;1)),"work",(INDEX(Subject!$A:$I,MATCH(RANDBETWEEN(1,(MAX(Subject!$B:$B))),Subject!$B:$B,0),3))))</f>
        <v/>
      </c>
      <c r="I457" s="2" t="str">
        <f t="array" ref="I457">IF(NOW()&gt;AT457,"",IF(AND((WEEKDAY($A457)+$B$2)&gt;1,((WEEKDAY($A457)+$T$2)&lt;7),(WEEKDAY($A457)&lt;&gt;1)),"work",(INDEX(Subject!$A:$I,MATCH(RANDBETWEEN(1,(MAX(Subject!$B:$B))),Subject!$B:$B,0),3))))</f>
        <v/>
      </c>
      <c r="J457" s="2" t="str">
        <f t="array" ref="J457">IF(NOW()&gt;AU457,"",IF(AND((WEEKDAY($A457)+$B$2)&gt;1,((WEEKDAY($A457)+$T$2)&lt;7),(WEEKDAY($A457)&lt;&gt;1)),"work",(INDEX(Subject!$A:$I,MATCH(RANDBETWEEN(1,(MAX(Subject!$B:$B))),Subject!$B:$B,0),3))))</f>
        <v/>
      </c>
      <c r="K457" s="2" t="str">
        <f t="array" ref="K457">IF(NOW()&gt;AV457,"",IF(AND((WEEKDAY($A457)+$B$2)&gt;1,((WEEKDAY($A457)+$T$2)&lt;7),(WEEKDAY($A457)&lt;&gt;1)),"work",(INDEX(Subject!$A:$I,MATCH(RANDBETWEEN(1,(MAX(Subject!$B:$B))),Subject!$B:$B,0),3))))</f>
        <v/>
      </c>
      <c r="L457" s="2" t="str">
        <f t="array" ref="L457">IF(NOW()&gt;AW457,"",IF(AND((WEEKDAY($A457)+$B$2)&gt;1,((WEEKDAY($A457)+$T$2)&lt;7),(WEEKDAY($A457)&lt;&gt;1)),"work",(INDEX(Subject!$A:$I,MATCH(RANDBETWEEN(1,(MAX(Subject!$B:$B))),Subject!$B:$B,0),3))))</f>
        <v/>
      </c>
      <c r="M457" s="2" t="str">
        <f t="array" ref="M457">IF(NOW()&gt;AX457,"",IF(AND((WEEKDAY($A457)+$B$2)&gt;1,((WEEKDAY($A457)+$T$2)&lt;7),(WEEKDAY($A457)&lt;&gt;1)),"work",(INDEX(Subject!$A:$I,MATCH(RANDBETWEEN(1,(MAX(Subject!$B:$B))),Subject!$B:$B,0),3))))</f>
        <v/>
      </c>
      <c r="N457" s="2" t="str">
        <f t="array" ref="N457">IF(NOW()&gt;AY457,"",IF(AND((WEEKDAY($A457)+$B$2)&gt;1,((WEEKDAY($A457)+$T$2)&lt;7),(WEEKDAY($A457)&lt;&gt;1)),"work",(INDEX(Subject!$A:$I,MATCH(RANDBETWEEN(1,(MAX(Subject!$B:$B))),Subject!$B:$B,0),3))))</f>
        <v/>
      </c>
      <c r="O457" s="2" t="str">
        <f t="array" ref="O457">IF(NOW()&gt;AZ457,"",IF(AND((WEEKDAY($A457)+$B$2)&gt;1,((WEEKDAY($A457)+$T$2)&lt;7),(WEEKDAY($A457)&lt;&gt;1)),"work",(INDEX(Subject!$A:$I,MATCH(RANDBETWEEN(1,(MAX(Subject!$B:$B))),Subject!$B:$B,0),3))))</f>
        <v/>
      </c>
      <c r="P457" s="2" t="str">
        <f t="array" ref="P457">IF(NOW()&gt;BA457,"",IF(AND((WEEKDAY($A457)+$B$2)&gt;1,((WEEKDAY($A457)+$T$2)&lt;7),(WEEKDAY($A457)&lt;&gt;1)),"work",(INDEX(Subject!$A:$I,MATCH(RANDBETWEEN(1,(MAX(Subject!$B:$B))),Subject!$B:$B,0),3))))</f>
        <v/>
      </c>
      <c r="Q457" s="2" t="str">
        <f t="array" ref="Q457">IF(NOW()&gt;BB457,"",IF(AND((WEEKDAY($A457)+$B$2)&gt;1,((WEEKDAY($A457)+$T$2)&lt;7),(WEEKDAY($A457)&lt;&gt;1)),"work",(INDEX(Subject!$A:$I,MATCH(RANDBETWEEN(1,(MAX(Subject!$B:$B))),Subject!$B:$B,0),3))))</f>
        <v/>
      </c>
      <c r="R457" s="2" t="str">
        <f t="array" ref="R457">IF(NOW()&gt;BC457,"",IF(AND((WEEKDAY($A457)+$B$2)&gt;1,((WEEKDAY($A457)+$T$2)&lt;7),(WEEKDAY($A457)&lt;&gt;1)),"work",(INDEX(Subject!$A:$I,MATCH(RANDBETWEEN(1,(MAX(Subject!$B:$B))),Subject!$B:$B,0),3))))</f>
        <v/>
      </c>
      <c r="S457" s="2" t="str">
        <f t="array" ref="S457">IF(NOW()&gt;BD457,"",IF(AND((WEEKDAY($A457)+$B$2)&gt;1,((WEEKDAY($A457)+$T$2)&lt;7),(WEEKDAY($A457)&lt;&gt;1)),"work",(INDEX(Subject!$A:$I,MATCH(RANDBETWEEN(1,(MAX(Subject!$B:$B))),Subject!$B:$B,0),3))))</f>
        <v/>
      </c>
      <c r="T457" s="2" t="str">
        <f t="array" ref="T457">IF(NOW()&gt;BE457,"",IF(AND((WEEKDAY($A457)+$B$2)&gt;1,((WEEKDAY($A457)+$T$2)&lt;7),(WEEKDAY($A457)&lt;&gt;1)),"work",(INDEX(Subject!$A:$I,MATCH(RANDBETWEEN(1,(MAX(Subject!$B:$B))),Subject!$B:$B,0),3))))</f>
        <v/>
      </c>
      <c r="U457" s="8" t="str">
        <f t="array" ref="U457">INDEX(Subject!$A:$I,MATCH(RANDBETWEEN(1,16),Subject!$B:$B,0),3)</f>
        <v>#N/A</v>
      </c>
      <c r="V457" s="8" t="str">
        <f t="array" ref="V457">INDEX(Subject!$A:$I,MATCH(RANDBETWEEN(1,16),Subject!$B:$B,0),3)</f>
        <v>#N/A</v>
      </c>
      <c r="W457" s="8" t="str">
        <f t="array" ref="W457">INDEX(Subject!$A:$I,MATCH(RANDBETWEEN(1,16),Subject!$B:$B,0),3)</f>
        <v>#N/A</v>
      </c>
      <c r="X457" s="8" t="str">
        <f t="array" ref="X457">INDEX(Subject!$A:$I,MATCH(RANDBETWEEN(1,16),Subject!$B:$B,0),3)</f>
        <v>#N/A</v>
      </c>
      <c r="Y457" s="8" t="str">
        <f t="array" ref="Y457">INDEX(Subject!$A:$I,MATCH(RANDBETWEEN(1,16),Subject!$B:$B,0),3)</f>
        <v>#N/A</v>
      </c>
      <c r="Z457" s="8" t="str">
        <f t="array" ref="Z457">INDEX(Subject!$A:$I,MATCH(RANDBETWEEN(1,16),Subject!$B:$B,0),3)</f>
        <v>#N/A</v>
      </c>
      <c r="AA457" s="8" t="str">
        <f t="array" ref="AA457">INDEX(Subject!$A:$I,MATCH(RANDBETWEEN(1,16),Subject!$B:$B,0),3)</f>
        <v>#N/A</v>
      </c>
      <c r="AB457" s="8" t="str">
        <f t="array" ref="AB457">INDEX(Subject!$A:$I,MATCH(RANDBETWEEN(1,16),Subject!$B:$B,0),3)</f>
        <v>#N/A</v>
      </c>
      <c r="AC457" s="8" t="str">
        <f t="array" ref="AC457">INDEX(Subject!$A:$I,MATCH(RANDBETWEEN(1,16),Subject!$B:$B,0),3)</f>
        <v>#N/A</v>
      </c>
      <c r="AD457" s="8" t="str">
        <f t="array" ref="AD457">INDEX(Subject!$A:$I,MATCH(RANDBETWEEN(1,16),Subject!$B:$B,0),3)</f>
        <v>#N/A</v>
      </c>
      <c r="AE457" s="8" t="str">
        <f t="array" ref="AE457">INDEX(Subject!$A:$I,MATCH(RANDBETWEEN(1,16),Subject!$B:$B,0),3)</f>
        <v>#N/A</v>
      </c>
      <c r="AF457" s="8" t="str">
        <f t="array" ref="AF457">INDEX(Subject!$A:$I,MATCH(RANDBETWEEN(1,16),Subject!$B:$B,0),3)</f>
        <v>#N/A</v>
      </c>
      <c r="AG457" s="8" t="str">
        <f t="array" ref="AG457">INDEX(Subject!$A:$I,MATCH(RANDBETWEEN(1,16),Subject!$B:$B,0),3)</f>
        <v>#N/A</v>
      </c>
      <c r="AH457" s="8" t="str">
        <f t="array" ref="AH457">INDEX(Subject!$A:$I,MATCH(RANDBETWEEN(1,16),Subject!$B:$B,0),3)</f>
        <v>#N/A</v>
      </c>
      <c r="AI457" s="8" t="str">
        <f t="array" ref="AI457">INDEX(Subject!$A:$I,MATCH(RANDBETWEEN(1,16),Subject!$B:$B,0),3)</f>
        <v>#N/A</v>
      </c>
      <c r="AJ457" s="8" t="str">
        <f t="array" ref="AJ457">INDEX(Subject!$A:$I,MATCH(RANDBETWEEN(1,16),Subject!$B:$B,0),3)</f>
        <v>#N/A</v>
      </c>
      <c r="AK457" s="8" t="str">
        <f t="array" ref="AK457">INDEX(Subject!$A:$I,MATCH(RANDBETWEEN(1,16),Subject!$B:$B,0),3)</f>
        <v>#N/A</v>
      </c>
      <c r="AL457" s="8" t="str">
        <f t="array" ref="AL457">INDEX(Subject!$A:$I,MATCH(RANDBETWEEN(1,16),Subject!$B:$B,0),3)</f>
        <v>#N/A</v>
      </c>
      <c r="AM457" s="18">
        <f t="shared" si="4"/>
        <v>45957.33333</v>
      </c>
      <c r="AN457" s="19">
        <f t="shared" ref="AN457:BZ457" si="457">$A457+C$1</f>
        <v>45957.35417</v>
      </c>
      <c r="AO457" s="19">
        <f t="shared" si="457"/>
        <v>45957.375</v>
      </c>
      <c r="AP457" s="19">
        <f t="shared" si="457"/>
        <v>45957.39583</v>
      </c>
      <c r="AQ457" s="19">
        <f t="shared" si="457"/>
        <v>45957.41667</v>
      </c>
      <c r="AR457" s="19">
        <f t="shared" si="457"/>
        <v>45957.4375</v>
      </c>
      <c r="AS457" s="19">
        <f t="shared" si="457"/>
        <v>45957.45833</v>
      </c>
      <c r="AT457" s="19">
        <f t="shared" si="457"/>
        <v>45957.47917</v>
      </c>
      <c r="AU457" s="19">
        <f t="shared" si="457"/>
        <v>45957.5</v>
      </c>
      <c r="AV457" s="19">
        <f t="shared" si="457"/>
        <v>45957.52083</v>
      </c>
      <c r="AW457" s="19">
        <f t="shared" si="457"/>
        <v>45957.54167</v>
      </c>
      <c r="AX457" s="19">
        <f t="shared" si="457"/>
        <v>45957.5625</v>
      </c>
      <c r="AY457" s="19">
        <f t="shared" si="457"/>
        <v>45957.58333</v>
      </c>
      <c r="AZ457" s="19">
        <f t="shared" si="457"/>
        <v>45957.60417</v>
      </c>
      <c r="BA457" s="19">
        <f t="shared" si="457"/>
        <v>45957.625</v>
      </c>
      <c r="BB457" s="19">
        <f t="shared" si="457"/>
        <v>45957.64583</v>
      </c>
      <c r="BC457" s="19">
        <f t="shared" si="457"/>
        <v>45957.66667</v>
      </c>
      <c r="BD457" s="19">
        <f t="shared" si="457"/>
        <v>45957.6875</v>
      </c>
      <c r="BE457" s="19">
        <f t="shared" si="457"/>
        <v>45957.70833</v>
      </c>
      <c r="BF457" s="19">
        <f t="shared" si="457"/>
        <v>45957.72917</v>
      </c>
      <c r="BG457" s="19">
        <f t="shared" si="457"/>
        <v>45957.75</v>
      </c>
      <c r="BH457" s="19">
        <f t="shared" si="457"/>
        <v>45957.77083</v>
      </c>
      <c r="BI457" s="19">
        <f t="shared" si="457"/>
        <v>45957.79167</v>
      </c>
      <c r="BJ457" s="19">
        <f t="shared" si="457"/>
        <v>45957.8125</v>
      </c>
      <c r="BK457" s="19">
        <f t="shared" si="457"/>
        <v>45957.83333</v>
      </c>
      <c r="BL457" s="19">
        <f t="shared" si="457"/>
        <v>45957.85417</v>
      </c>
      <c r="BM457" s="19">
        <f t="shared" si="457"/>
        <v>45957.875</v>
      </c>
      <c r="BN457" s="19">
        <f t="shared" si="457"/>
        <v>45957.89583</v>
      </c>
      <c r="BO457" s="19">
        <f t="shared" si="457"/>
        <v>45957.91667</v>
      </c>
      <c r="BP457" s="19">
        <f t="shared" si="457"/>
        <v>45957.9375</v>
      </c>
      <c r="BQ457" s="19">
        <f t="shared" si="457"/>
        <v>45957.95833</v>
      </c>
      <c r="BR457" s="19">
        <f t="shared" si="457"/>
        <v>45957.97917</v>
      </c>
      <c r="BS457" s="19">
        <f t="shared" si="457"/>
        <v>45958</v>
      </c>
      <c r="BT457" s="19">
        <f t="shared" si="457"/>
        <v>45958.02083</v>
      </c>
      <c r="BU457" s="19">
        <f t="shared" si="457"/>
        <v>45958.04167</v>
      </c>
      <c r="BV457" s="19">
        <f t="shared" si="457"/>
        <v>45958.0625</v>
      </c>
      <c r="BW457" s="19">
        <f t="shared" si="457"/>
        <v>45958.08333</v>
      </c>
      <c r="BX457" s="19">
        <f t="shared" si="457"/>
        <v>45957</v>
      </c>
      <c r="BY457" s="19">
        <f t="shared" si="457"/>
        <v>45957</v>
      </c>
      <c r="BZ457" s="19">
        <f t="shared" si="457"/>
        <v>45957</v>
      </c>
    </row>
    <row r="458" ht="14.25" customHeight="1">
      <c r="A458" s="17">
        <v>45958.0</v>
      </c>
      <c r="B458" s="2" t="str">
        <f t="array" ref="B458">IF(NOW()&gt;AM458,"",IF(AND((WEEKDAY($A458)+$B$2)&gt;1,((WEEKDAY($A458)+$T$2)&lt;7),(WEEKDAY($A458)&lt;&gt;1)),"work",(INDEX(Subject!$A:$I,MATCH(RANDBETWEEN(1,(MAX(Subject!$B:$B))),Subject!$B:$B,0),3))))</f>
        <v/>
      </c>
      <c r="C458" s="2" t="str">
        <f t="array" ref="C458">IF(NOW()&gt;AN458,"",IF(AND((WEEKDAY($A458)+$B$2)&gt;1,((WEEKDAY($A458)+$T$2)&lt;7),(WEEKDAY($A458)&lt;&gt;1)),"work",(INDEX(Subject!$A:$I,MATCH(RANDBETWEEN(1,(MAX(Subject!$B:$B))),Subject!$B:$B,0),3))))</f>
        <v/>
      </c>
      <c r="D458" s="2" t="str">
        <f t="array" ref="D458">IF(NOW()&gt;AO458,"",IF(AND((WEEKDAY($A458)+$B$2)&gt;1,((WEEKDAY($A458)+$T$2)&lt;7),(WEEKDAY($A458)&lt;&gt;1)),"work",(INDEX(Subject!$A:$I,MATCH(RANDBETWEEN(1,(MAX(Subject!$B:$B))),Subject!$B:$B,0),3))))</f>
        <v/>
      </c>
      <c r="E458" s="2" t="str">
        <f t="array" ref="E458">IF(NOW()&gt;AP458,"",IF(AND((WEEKDAY($A458)+$B$2)&gt;1,((WEEKDAY($A458)+$T$2)&lt;7),(WEEKDAY($A458)&lt;&gt;1)),"work",(INDEX(Subject!$A:$I,MATCH(RANDBETWEEN(1,(MAX(Subject!$B:$B))),Subject!$B:$B,0),3))))</f>
        <v/>
      </c>
      <c r="F458" s="2" t="str">
        <f t="array" ref="F458">IF(NOW()&gt;AQ458,"",IF(AND((WEEKDAY($A458)+$B$2)&gt;1,((WEEKDAY($A458)+$T$2)&lt;7),(WEEKDAY($A458)&lt;&gt;1)),"work",(INDEX(Subject!$A:$I,MATCH(RANDBETWEEN(1,(MAX(Subject!$B:$B))),Subject!$B:$B,0),3))))</f>
        <v/>
      </c>
      <c r="G458" s="2" t="str">
        <f t="array" ref="G458">IF(NOW()&gt;AR458,"",IF(AND((WEEKDAY($A458)+$B$2)&gt;1,((WEEKDAY($A458)+$T$2)&lt;7),(WEEKDAY($A458)&lt;&gt;1)),"work",(INDEX(Subject!$A:$I,MATCH(RANDBETWEEN(1,(MAX(Subject!$B:$B))),Subject!$B:$B,0),3))))</f>
        <v/>
      </c>
      <c r="H458" s="2" t="str">
        <f t="array" ref="H458">IF(NOW()&gt;AS458,"",IF(AND((WEEKDAY($A458)+$B$2)&gt;1,((WEEKDAY($A458)+$T$2)&lt;7),(WEEKDAY($A458)&lt;&gt;1)),"work",(INDEX(Subject!$A:$I,MATCH(RANDBETWEEN(1,(MAX(Subject!$B:$B))),Subject!$B:$B,0),3))))</f>
        <v/>
      </c>
      <c r="I458" s="2" t="str">
        <f t="array" ref="I458">IF(NOW()&gt;AT458,"",IF(AND((WEEKDAY($A458)+$B$2)&gt;1,((WEEKDAY($A458)+$T$2)&lt;7),(WEEKDAY($A458)&lt;&gt;1)),"work",(INDEX(Subject!$A:$I,MATCH(RANDBETWEEN(1,(MAX(Subject!$B:$B))),Subject!$B:$B,0),3))))</f>
        <v/>
      </c>
      <c r="J458" s="2" t="str">
        <f t="array" ref="J458">IF(NOW()&gt;AU458,"",IF(AND((WEEKDAY($A458)+$B$2)&gt;1,((WEEKDAY($A458)+$T$2)&lt;7),(WEEKDAY($A458)&lt;&gt;1)),"work",(INDEX(Subject!$A:$I,MATCH(RANDBETWEEN(1,(MAX(Subject!$B:$B))),Subject!$B:$B,0),3))))</f>
        <v/>
      </c>
      <c r="K458" s="2" t="str">
        <f t="array" ref="K458">IF(NOW()&gt;AV458,"",IF(AND((WEEKDAY($A458)+$B$2)&gt;1,((WEEKDAY($A458)+$T$2)&lt;7),(WEEKDAY($A458)&lt;&gt;1)),"work",(INDEX(Subject!$A:$I,MATCH(RANDBETWEEN(1,(MAX(Subject!$B:$B))),Subject!$B:$B,0),3))))</f>
        <v/>
      </c>
      <c r="L458" s="2" t="str">
        <f t="array" ref="L458">IF(NOW()&gt;AW458,"",IF(AND((WEEKDAY($A458)+$B$2)&gt;1,((WEEKDAY($A458)+$T$2)&lt;7),(WEEKDAY($A458)&lt;&gt;1)),"work",(INDEX(Subject!$A:$I,MATCH(RANDBETWEEN(1,(MAX(Subject!$B:$B))),Subject!$B:$B,0),3))))</f>
        <v/>
      </c>
      <c r="M458" s="2" t="str">
        <f t="array" ref="M458">IF(NOW()&gt;AX458,"",IF(AND((WEEKDAY($A458)+$B$2)&gt;1,((WEEKDAY($A458)+$T$2)&lt;7),(WEEKDAY($A458)&lt;&gt;1)),"work",(INDEX(Subject!$A:$I,MATCH(RANDBETWEEN(1,(MAX(Subject!$B:$B))),Subject!$B:$B,0),3))))</f>
        <v/>
      </c>
      <c r="N458" s="2" t="str">
        <f t="array" ref="N458">IF(NOW()&gt;AY458,"",IF(AND((WEEKDAY($A458)+$B$2)&gt;1,((WEEKDAY($A458)+$T$2)&lt;7),(WEEKDAY($A458)&lt;&gt;1)),"work",(INDEX(Subject!$A:$I,MATCH(RANDBETWEEN(1,(MAX(Subject!$B:$B))),Subject!$B:$B,0),3))))</f>
        <v/>
      </c>
      <c r="O458" s="2" t="str">
        <f t="array" ref="O458">IF(NOW()&gt;AZ458,"",IF(AND((WEEKDAY($A458)+$B$2)&gt;1,((WEEKDAY($A458)+$T$2)&lt;7),(WEEKDAY($A458)&lt;&gt;1)),"work",(INDEX(Subject!$A:$I,MATCH(RANDBETWEEN(1,(MAX(Subject!$B:$B))),Subject!$B:$B,0),3))))</f>
        <v/>
      </c>
      <c r="P458" s="2" t="str">
        <f t="array" ref="P458">IF(NOW()&gt;BA458,"",IF(AND((WEEKDAY($A458)+$B$2)&gt;1,((WEEKDAY($A458)+$T$2)&lt;7),(WEEKDAY($A458)&lt;&gt;1)),"work",(INDEX(Subject!$A:$I,MATCH(RANDBETWEEN(1,(MAX(Subject!$B:$B))),Subject!$B:$B,0),3))))</f>
        <v/>
      </c>
      <c r="Q458" s="2" t="str">
        <f t="array" ref="Q458">IF(NOW()&gt;BB458,"",IF(AND((WEEKDAY($A458)+$B$2)&gt;1,((WEEKDAY($A458)+$T$2)&lt;7),(WEEKDAY($A458)&lt;&gt;1)),"work",(INDEX(Subject!$A:$I,MATCH(RANDBETWEEN(1,(MAX(Subject!$B:$B))),Subject!$B:$B,0),3))))</f>
        <v/>
      </c>
      <c r="R458" s="2" t="str">
        <f t="array" ref="R458">IF(NOW()&gt;BC458,"",IF(AND((WEEKDAY($A458)+$B$2)&gt;1,((WEEKDAY($A458)+$T$2)&lt;7),(WEEKDAY($A458)&lt;&gt;1)),"work",(INDEX(Subject!$A:$I,MATCH(RANDBETWEEN(1,(MAX(Subject!$B:$B))),Subject!$B:$B,0),3))))</f>
        <v/>
      </c>
      <c r="S458" s="2" t="str">
        <f t="array" ref="S458">IF(NOW()&gt;BD458,"",IF(AND((WEEKDAY($A458)+$B$2)&gt;1,((WEEKDAY($A458)+$T$2)&lt;7),(WEEKDAY($A458)&lt;&gt;1)),"work",(INDEX(Subject!$A:$I,MATCH(RANDBETWEEN(1,(MAX(Subject!$B:$B))),Subject!$B:$B,0),3))))</f>
        <v/>
      </c>
      <c r="T458" s="2" t="str">
        <f t="array" ref="T458">IF(NOW()&gt;BE458,"",IF(AND((WEEKDAY($A458)+$B$2)&gt;1,((WEEKDAY($A458)+$T$2)&lt;7),(WEEKDAY($A458)&lt;&gt;1)),"work",(INDEX(Subject!$A:$I,MATCH(RANDBETWEEN(1,(MAX(Subject!$B:$B))),Subject!$B:$B,0),3))))</f>
        <v/>
      </c>
      <c r="U458" s="8" t="str">
        <f t="array" ref="U458">INDEX(Subject!$A:$I,MATCH(RANDBETWEEN(1,16),Subject!$B:$B,0),3)</f>
        <v>#N/A</v>
      </c>
      <c r="V458" s="8" t="str">
        <f t="array" ref="V458">INDEX(Subject!$A:$I,MATCH(RANDBETWEEN(1,16),Subject!$B:$B,0),3)</f>
        <v>#N/A</v>
      </c>
      <c r="W458" s="8" t="str">
        <f t="array" ref="W458">INDEX(Subject!$A:$I,MATCH(RANDBETWEEN(1,16),Subject!$B:$B,0),3)</f>
        <v>#N/A</v>
      </c>
      <c r="X458" s="8" t="str">
        <f t="array" ref="X458">INDEX(Subject!$A:$I,MATCH(RANDBETWEEN(1,16),Subject!$B:$B,0),3)</f>
        <v>#N/A</v>
      </c>
      <c r="Y458" s="8" t="str">
        <f t="array" ref="Y458">INDEX(Subject!$A:$I,MATCH(RANDBETWEEN(1,16),Subject!$B:$B,0),3)</f>
        <v>#N/A</v>
      </c>
      <c r="Z458" s="8" t="str">
        <f t="array" ref="Z458">INDEX(Subject!$A:$I,MATCH(RANDBETWEEN(1,16),Subject!$B:$B,0),3)</f>
        <v>#N/A</v>
      </c>
      <c r="AA458" s="8" t="str">
        <f t="array" ref="AA458">INDEX(Subject!$A:$I,MATCH(RANDBETWEEN(1,16),Subject!$B:$B,0),3)</f>
        <v>#N/A</v>
      </c>
      <c r="AB458" s="8" t="str">
        <f t="array" ref="AB458">INDEX(Subject!$A:$I,MATCH(RANDBETWEEN(1,16),Subject!$B:$B,0),3)</f>
        <v>#N/A</v>
      </c>
      <c r="AC458" s="8" t="str">
        <f t="array" ref="AC458">INDEX(Subject!$A:$I,MATCH(RANDBETWEEN(1,16),Subject!$B:$B,0),3)</f>
        <v>#N/A</v>
      </c>
      <c r="AD458" s="8" t="str">
        <f t="array" ref="AD458">INDEX(Subject!$A:$I,MATCH(RANDBETWEEN(1,16),Subject!$B:$B,0),3)</f>
        <v>#N/A</v>
      </c>
      <c r="AE458" s="8" t="str">
        <f t="array" ref="AE458">INDEX(Subject!$A:$I,MATCH(RANDBETWEEN(1,16),Subject!$B:$B,0),3)</f>
        <v>#N/A</v>
      </c>
      <c r="AF458" s="8" t="str">
        <f t="array" ref="AF458">INDEX(Subject!$A:$I,MATCH(RANDBETWEEN(1,16),Subject!$B:$B,0),3)</f>
        <v>#N/A</v>
      </c>
      <c r="AG458" s="8" t="str">
        <f t="array" ref="AG458">INDEX(Subject!$A:$I,MATCH(RANDBETWEEN(1,16),Subject!$B:$B,0),3)</f>
        <v>#N/A</v>
      </c>
      <c r="AH458" s="8" t="str">
        <f t="array" ref="AH458">INDEX(Subject!$A:$I,MATCH(RANDBETWEEN(1,16),Subject!$B:$B,0),3)</f>
        <v>#N/A</v>
      </c>
      <c r="AI458" s="8" t="str">
        <f t="array" ref="AI458">INDEX(Subject!$A:$I,MATCH(RANDBETWEEN(1,16),Subject!$B:$B,0),3)</f>
        <v>#N/A</v>
      </c>
      <c r="AJ458" s="8" t="str">
        <f t="array" ref="AJ458">INDEX(Subject!$A:$I,MATCH(RANDBETWEEN(1,16),Subject!$B:$B,0),3)</f>
        <v>#N/A</v>
      </c>
      <c r="AK458" s="8" t="str">
        <f t="array" ref="AK458">INDEX(Subject!$A:$I,MATCH(RANDBETWEEN(1,16),Subject!$B:$B,0),3)</f>
        <v>#N/A</v>
      </c>
      <c r="AL458" s="8" t="str">
        <f t="array" ref="AL458">INDEX(Subject!$A:$I,MATCH(RANDBETWEEN(1,16),Subject!$B:$B,0),3)</f>
        <v>#N/A</v>
      </c>
      <c r="AM458" s="18">
        <f t="shared" si="4"/>
        <v>45958.33333</v>
      </c>
      <c r="AN458" s="19">
        <f t="shared" ref="AN458:BZ458" si="458">$A458+C$1</f>
        <v>45958.35417</v>
      </c>
      <c r="AO458" s="19">
        <f t="shared" si="458"/>
        <v>45958.375</v>
      </c>
      <c r="AP458" s="19">
        <f t="shared" si="458"/>
        <v>45958.39583</v>
      </c>
      <c r="AQ458" s="19">
        <f t="shared" si="458"/>
        <v>45958.41667</v>
      </c>
      <c r="AR458" s="19">
        <f t="shared" si="458"/>
        <v>45958.4375</v>
      </c>
      <c r="AS458" s="19">
        <f t="shared" si="458"/>
        <v>45958.45833</v>
      </c>
      <c r="AT458" s="19">
        <f t="shared" si="458"/>
        <v>45958.47917</v>
      </c>
      <c r="AU458" s="19">
        <f t="shared" si="458"/>
        <v>45958.5</v>
      </c>
      <c r="AV458" s="19">
        <f t="shared" si="458"/>
        <v>45958.52083</v>
      </c>
      <c r="AW458" s="19">
        <f t="shared" si="458"/>
        <v>45958.54167</v>
      </c>
      <c r="AX458" s="19">
        <f t="shared" si="458"/>
        <v>45958.5625</v>
      </c>
      <c r="AY458" s="19">
        <f t="shared" si="458"/>
        <v>45958.58333</v>
      </c>
      <c r="AZ458" s="19">
        <f t="shared" si="458"/>
        <v>45958.60417</v>
      </c>
      <c r="BA458" s="19">
        <f t="shared" si="458"/>
        <v>45958.625</v>
      </c>
      <c r="BB458" s="19">
        <f t="shared" si="458"/>
        <v>45958.64583</v>
      </c>
      <c r="BC458" s="19">
        <f t="shared" si="458"/>
        <v>45958.66667</v>
      </c>
      <c r="BD458" s="19">
        <f t="shared" si="458"/>
        <v>45958.6875</v>
      </c>
      <c r="BE458" s="19">
        <f t="shared" si="458"/>
        <v>45958.70833</v>
      </c>
      <c r="BF458" s="19">
        <f t="shared" si="458"/>
        <v>45958.72917</v>
      </c>
      <c r="BG458" s="19">
        <f t="shared" si="458"/>
        <v>45958.75</v>
      </c>
      <c r="BH458" s="19">
        <f t="shared" si="458"/>
        <v>45958.77083</v>
      </c>
      <c r="BI458" s="19">
        <f t="shared" si="458"/>
        <v>45958.79167</v>
      </c>
      <c r="BJ458" s="19">
        <f t="shared" si="458"/>
        <v>45958.8125</v>
      </c>
      <c r="BK458" s="19">
        <f t="shared" si="458"/>
        <v>45958.83333</v>
      </c>
      <c r="BL458" s="19">
        <f t="shared" si="458"/>
        <v>45958.85417</v>
      </c>
      <c r="BM458" s="19">
        <f t="shared" si="458"/>
        <v>45958.875</v>
      </c>
      <c r="BN458" s="19">
        <f t="shared" si="458"/>
        <v>45958.89583</v>
      </c>
      <c r="BO458" s="19">
        <f t="shared" si="458"/>
        <v>45958.91667</v>
      </c>
      <c r="BP458" s="19">
        <f t="shared" si="458"/>
        <v>45958.9375</v>
      </c>
      <c r="BQ458" s="19">
        <f t="shared" si="458"/>
        <v>45958.95833</v>
      </c>
      <c r="BR458" s="19">
        <f t="shared" si="458"/>
        <v>45958.97917</v>
      </c>
      <c r="BS458" s="19">
        <f t="shared" si="458"/>
        <v>45959</v>
      </c>
      <c r="BT458" s="19">
        <f t="shared" si="458"/>
        <v>45959.02083</v>
      </c>
      <c r="BU458" s="19">
        <f t="shared" si="458"/>
        <v>45959.04167</v>
      </c>
      <c r="BV458" s="19">
        <f t="shared" si="458"/>
        <v>45959.0625</v>
      </c>
      <c r="BW458" s="19">
        <f t="shared" si="458"/>
        <v>45959.08333</v>
      </c>
      <c r="BX458" s="19">
        <f t="shared" si="458"/>
        <v>45958</v>
      </c>
      <c r="BY458" s="19">
        <f t="shared" si="458"/>
        <v>45958</v>
      </c>
      <c r="BZ458" s="19">
        <f t="shared" si="458"/>
        <v>45958</v>
      </c>
    </row>
    <row r="459" ht="14.25" customHeight="1">
      <c r="A459" s="17">
        <v>45959.0</v>
      </c>
      <c r="B459" s="2" t="str">
        <f t="array" ref="B459">IF(NOW()&gt;AM459,"",IF(AND((WEEKDAY($A459)+$B$2)&gt;1,((WEEKDAY($A459)+$T$2)&lt;7),(WEEKDAY($A459)&lt;&gt;1)),"work",(INDEX(Subject!$A:$I,MATCH(RANDBETWEEN(1,(MAX(Subject!$B:$B))),Subject!$B:$B,0),3))))</f>
        <v/>
      </c>
      <c r="C459" s="2" t="str">
        <f t="array" ref="C459">IF(NOW()&gt;AN459,"",IF(AND((WEEKDAY($A459)+$B$2)&gt;1,((WEEKDAY($A459)+$T$2)&lt;7),(WEEKDAY($A459)&lt;&gt;1)),"work",(INDEX(Subject!$A:$I,MATCH(RANDBETWEEN(1,(MAX(Subject!$B:$B))),Subject!$B:$B,0),3))))</f>
        <v/>
      </c>
      <c r="D459" s="2" t="str">
        <f t="array" ref="D459">IF(NOW()&gt;AO459,"",IF(AND((WEEKDAY($A459)+$B$2)&gt;1,((WEEKDAY($A459)+$T$2)&lt;7),(WEEKDAY($A459)&lt;&gt;1)),"work",(INDEX(Subject!$A:$I,MATCH(RANDBETWEEN(1,(MAX(Subject!$B:$B))),Subject!$B:$B,0),3))))</f>
        <v/>
      </c>
      <c r="E459" s="2" t="str">
        <f t="array" ref="E459">IF(NOW()&gt;AP459,"",IF(AND((WEEKDAY($A459)+$B$2)&gt;1,((WEEKDAY($A459)+$T$2)&lt;7),(WEEKDAY($A459)&lt;&gt;1)),"work",(INDEX(Subject!$A:$I,MATCH(RANDBETWEEN(1,(MAX(Subject!$B:$B))),Subject!$B:$B,0),3))))</f>
        <v/>
      </c>
      <c r="F459" s="2" t="str">
        <f t="array" ref="F459">IF(NOW()&gt;AQ459,"",IF(AND((WEEKDAY($A459)+$B$2)&gt;1,((WEEKDAY($A459)+$T$2)&lt;7),(WEEKDAY($A459)&lt;&gt;1)),"work",(INDEX(Subject!$A:$I,MATCH(RANDBETWEEN(1,(MAX(Subject!$B:$B))),Subject!$B:$B,0),3))))</f>
        <v/>
      </c>
      <c r="G459" s="2" t="str">
        <f t="array" ref="G459">IF(NOW()&gt;AR459,"",IF(AND((WEEKDAY($A459)+$B$2)&gt;1,((WEEKDAY($A459)+$T$2)&lt;7),(WEEKDAY($A459)&lt;&gt;1)),"work",(INDEX(Subject!$A:$I,MATCH(RANDBETWEEN(1,(MAX(Subject!$B:$B))),Subject!$B:$B,0),3))))</f>
        <v/>
      </c>
      <c r="H459" s="2" t="str">
        <f t="array" ref="H459">IF(NOW()&gt;AS459,"",IF(AND((WEEKDAY($A459)+$B$2)&gt;1,((WEEKDAY($A459)+$T$2)&lt;7),(WEEKDAY($A459)&lt;&gt;1)),"work",(INDEX(Subject!$A:$I,MATCH(RANDBETWEEN(1,(MAX(Subject!$B:$B))),Subject!$B:$B,0),3))))</f>
        <v/>
      </c>
      <c r="I459" s="2" t="str">
        <f t="array" ref="I459">IF(NOW()&gt;AT459,"",IF(AND((WEEKDAY($A459)+$B$2)&gt;1,((WEEKDAY($A459)+$T$2)&lt;7),(WEEKDAY($A459)&lt;&gt;1)),"work",(INDEX(Subject!$A:$I,MATCH(RANDBETWEEN(1,(MAX(Subject!$B:$B))),Subject!$B:$B,0),3))))</f>
        <v/>
      </c>
      <c r="J459" s="2" t="str">
        <f t="array" ref="J459">IF(NOW()&gt;AU459,"",IF(AND((WEEKDAY($A459)+$B$2)&gt;1,((WEEKDAY($A459)+$T$2)&lt;7),(WEEKDAY($A459)&lt;&gt;1)),"work",(INDEX(Subject!$A:$I,MATCH(RANDBETWEEN(1,(MAX(Subject!$B:$B))),Subject!$B:$B,0),3))))</f>
        <v/>
      </c>
      <c r="K459" s="2" t="str">
        <f t="array" ref="K459">IF(NOW()&gt;AV459,"",IF(AND((WEEKDAY($A459)+$B$2)&gt;1,((WEEKDAY($A459)+$T$2)&lt;7),(WEEKDAY($A459)&lt;&gt;1)),"work",(INDEX(Subject!$A:$I,MATCH(RANDBETWEEN(1,(MAX(Subject!$B:$B))),Subject!$B:$B,0),3))))</f>
        <v/>
      </c>
      <c r="L459" s="2" t="str">
        <f t="array" ref="L459">IF(NOW()&gt;AW459,"",IF(AND((WEEKDAY($A459)+$B$2)&gt;1,((WEEKDAY($A459)+$T$2)&lt;7),(WEEKDAY($A459)&lt;&gt;1)),"work",(INDEX(Subject!$A:$I,MATCH(RANDBETWEEN(1,(MAX(Subject!$B:$B))),Subject!$B:$B,0),3))))</f>
        <v/>
      </c>
      <c r="M459" s="2" t="str">
        <f t="array" ref="M459">IF(NOW()&gt;AX459,"",IF(AND((WEEKDAY($A459)+$B$2)&gt;1,((WEEKDAY($A459)+$T$2)&lt;7),(WEEKDAY($A459)&lt;&gt;1)),"work",(INDEX(Subject!$A:$I,MATCH(RANDBETWEEN(1,(MAX(Subject!$B:$B))),Subject!$B:$B,0),3))))</f>
        <v/>
      </c>
      <c r="N459" s="2" t="str">
        <f t="array" ref="N459">IF(NOW()&gt;AY459,"",IF(AND((WEEKDAY($A459)+$B$2)&gt;1,((WEEKDAY($A459)+$T$2)&lt;7),(WEEKDAY($A459)&lt;&gt;1)),"work",(INDEX(Subject!$A:$I,MATCH(RANDBETWEEN(1,(MAX(Subject!$B:$B))),Subject!$B:$B,0),3))))</f>
        <v/>
      </c>
      <c r="O459" s="2" t="str">
        <f t="array" ref="O459">IF(NOW()&gt;AZ459,"",IF(AND((WEEKDAY($A459)+$B$2)&gt;1,((WEEKDAY($A459)+$T$2)&lt;7),(WEEKDAY($A459)&lt;&gt;1)),"work",(INDEX(Subject!$A:$I,MATCH(RANDBETWEEN(1,(MAX(Subject!$B:$B))),Subject!$B:$B,0),3))))</f>
        <v/>
      </c>
      <c r="P459" s="2" t="str">
        <f t="array" ref="P459">IF(NOW()&gt;BA459,"",IF(AND((WEEKDAY($A459)+$B$2)&gt;1,((WEEKDAY($A459)+$T$2)&lt;7),(WEEKDAY($A459)&lt;&gt;1)),"work",(INDEX(Subject!$A:$I,MATCH(RANDBETWEEN(1,(MAX(Subject!$B:$B))),Subject!$B:$B,0),3))))</f>
        <v/>
      </c>
      <c r="Q459" s="2" t="str">
        <f t="array" ref="Q459">IF(NOW()&gt;BB459,"",IF(AND((WEEKDAY($A459)+$B$2)&gt;1,((WEEKDAY($A459)+$T$2)&lt;7),(WEEKDAY($A459)&lt;&gt;1)),"work",(INDEX(Subject!$A:$I,MATCH(RANDBETWEEN(1,(MAX(Subject!$B:$B))),Subject!$B:$B,0),3))))</f>
        <v/>
      </c>
      <c r="R459" s="2" t="str">
        <f t="array" ref="R459">IF(NOW()&gt;BC459,"",IF(AND((WEEKDAY($A459)+$B$2)&gt;1,((WEEKDAY($A459)+$T$2)&lt;7),(WEEKDAY($A459)&lt;&gt;1)),"work",(INDEX(Subject!$A:$I,MATCH(RANDBETWEEN(1,(MAX(Subject!$B:$B))),Subject!$B:$B,0),3))))</f>
        <v/>
      </c>
      <c r="S459" s="2" t="str">
        <f t="array" ref="S459">IF(NOW()&gt;BD459,"",IF(AND((WEEKDAY($A459)+$B$2)&gt;1,((WEEKDAY($A459)+$T$2)&lt;7),(WEEKDAY($A459)&lt;&gt;1)),"work",(INDEX(Subject!$A:$I,MATCH(RANDBETWEEN(1,(MAX(Subject!$B:$B))),Subject!$B:$B,0),3))))</f>
        <v/>
      </c>
      <c r="T459" s="2" t="str">
        <f t="array" ref="T459">IF(NOW()&gt;BE459,"",IF(AND((WEEKDAY($A459)+$B$2)&gt;1,((WEEKDAY($A459)+$T$2)&lt;7),(WEEKDAY($A459)&lt;&gt;1)),"work",(INDEX(Subject!$A:$I,MATCH(RANDBETWEEN(1,(MAX(Subject!$B:$B))),Subject!$B:$B,0),3))))</f>
        <v/>
      </c>
      <c r="U459" s="8" t="str">
        <f t="array" ref="U459">INDEX(Subject!$A:$I,MATCH(RANDBETWEEN(1,16),Subject!$B:$B,0),3)</f>
        <v>#N/A</v>
      </c>
      <c r="V459" s="8" t="str">
        <f t="array" ref="V459">INDEX(Subject!$A:$I,MATCH(RANDBETWEEN(1,16),Subject!$B:$B,0),3)</f>
        <v>#N/A</v>
      </c>
      <c r="W459" s="8" t="str">
        <f t="array" ref="W459">INDEX(Subject!$A:$I,MATCH(RANDBETWEEN(1,16),Subject!$B:$B,0),3)</f>
        <v>#N/A</v>
      </c>
      <c r="X459" s="8" t="str">
        <f t="array" ref="X459">INDEX(Subject!$A:$I,MATCH(RANDBETWEEN(1,16),Subject!$B:$B,0),3)</f>
        <v>#N/A</v>
      </c>
      <c r="Y459" s="8" t="str">
        <f t="array" ref="Y459">INDEX(Subject!$A:$I,MATCH(RANDBETWEEN(1,16),Subject!$B:$B,0),3)</f>
        <v>#N/A</v>
      </c>
      <c r="Z459" s="8" t="str">
        <f t="array" ref="Z459">INDEX(Subject!$A:$I,MATCH(RANDBETWEEN(1,16),Subject!$B:$B,0),3)</f>
        <v>#N/A</v>
      </c>
      <c r="AA459" s="8" t="str">
        <f t="array" ref="AA459">INDEX(Subject!$A:$I,MATCH(RANDBETWEEN(1,16),Subject!$B:$B,0),3)</f>
        <v/>
      </c>
      <c r="AB459" s="8" t="str">
        <f t="array" ref="AB459">INDEX(Subject!$A:$I,MATCH(RANDBETWEEN(1,16),Subject!$B:$B,0),3)</f>
        <v>#N/A</v>
      </c>
      <c r="AC459" s="8" t="str">
        <f t="array" ref="AC459">INDEX(Subject!$A:$I,MATCH(RANDBETWEEN(1,16),Subject!$B:$B,0),3)</f>
        <v>#N/A</v>
      </c>
      <c r="AD459" s="8" t="str">
        <f t="array" ref="AD459">INDEX(Subject!$A:$I,MATCH(RANDBETWEEN(1,16),Subject!$B:$B,0),3)</f>
        <v>#N/A</v>
      </c>
      <c r="AE459" s="8" t="str">
        <f t="array" ref="AE459">INDEX(Subject!$A:$I,MATCH(RANDBETWEEN(1,16),Subject!$B:$B,0),3)</f>
        <v>#N/A</v>
      </c>
      <c r="AF459" s="8" t="str">
        <f t="array" ref="AF459">INDEX(Subject!$A:$I,MATCH(RANDBETWEEN(1,16),Subject!$B:$B,0),3)</f>
        <v>#N/A</v>
      </c>
      <c r="AG459" s="8" t="str">
        <f t="array" ref="AG459">INDEX(Subject!$A:$I,MATCH(RANDBETWEEN(1,16),Subject!$B:$B,0),3)</f>
        <v>#N/A</v>
      </c>
      <c r="AH459" s="8" t="str">
        <f t="array" ref="AH459">INDEX(Subject!$A:$I,MATCH(RANDBETWEEN(1,16),Subject!$B:$B,0),3)</f>
        <v>#N/A</v>
      </c>
      <c r="AI459" s="8" t="str">
        <f t="array" ref="AI459">INDEX(Subject!$A:$I,MATCH(RANDBETWEEN(1,16),Subject!$B:$B,0),3)</f>
        <v>#N/A</v>
      </c>
      <c r="AJ459" s="8" t="str">
        <f t="array" ref="AJ459">INDEX(Subject!$A:$I,MATCH(RANDBETWEEN(1,16),Subject!$B:$B,0),3)</f>
        <v>#N/A</v>
      </c>
      <c r="AK459" s="8" t="str">
        <f t="array" ref="AK459">INDEX(Subject!$A:$I,MATCH(RANDBETWEEN(1,16),Subject!$B:$B,0),3)</f>
        <v>#N/A</v>
      </c>
      <c r="AL459" s="8" t="str">
        <f t="array" ref="AL459">INDEX(Subject!$A:$I,MATCH(RANDBETWEEN(1,16),Subject!$B:$B,0),3)</f>
        <v>#N/A</v>
      </c>
      <c r="AM459" s="18">
        <f t="shared" si="4"/>
        <v>45959.33333</v>
      </c>
      <c r="AN459" s="19">
        <f t="shared" ref="AN459:BZ459" si="459">$A459+C$1</f>
        <v>45959.35417</v>
      </c>
      <c r="AO459" s="19">
        <f t="shared" si="459"/>
        <v>45959.375</v>
      </c>
      <c r="AP459" s="19">
        <f t="shared" si="459"/>
        <v>45959.39583</v>
      </c>
      <c r="AQ459" s="19">
        <f t="shared" si="459"/>
        <v>45959.41667</v>
      </c>
      <c r="AR459" s="19">
        <f t="shared" si="459"/>
        <v>45959.4375</v>
      </c>
      <c r="AS459" s="19">
        <f t="shared" si="459"/>
        <v>45959.45833</v>
      </c>
      <c r="AT459" s="19">
        <f t="shared" si="459"/>
        <v>45959.47917</v>
      </c>
      <c r="AU459" s="19">
        <f t="shared" si="459"/>
        <v>45959.5</v>
      </c>
      <c r="AV459" s="19">
        <f t="shared" si="459"/>
        <v>45959.52083</v>
      </c>
      <c r="AW459" s="19">
        <f t="shared" si="459"/>
        <v>45959.54167</v>
      </c>
      <c r="AX459" s="19">
        <f t="shared" si="459"/>
        <v>45959.5625</v>
      </c>
      <c r="AY459" s="19">
        <f t="shared" si="459"/>
        <v>45959.58333</v>
      </c>
      <c r="AZ459" s="19">
        <f t="shared" si="459"/>
        <v>45959.60417</v>
      </c>
      <c r="BA459" s="19">
        <f t="shared" si="459"/>
        <v>45959.625</v>
      </c>
      <c r="BB459" s="19">
        <f t="shared" si="459"/>
        <v>45959.64583</v>
      </c>
      <c r="BC459" s="19">
        <f t="shared" si="459"/>
        <v>45959.66667</v>
      </c>
      <c r="BD459" s="19">
        <f t="shared" si="459"/>
        <v>45959.6875</v>
      </c>
      <c r="BE459" s="19">
        <f t="shared" si="459"/>
        <v>45959.70833</v>
      </c>
      <c r="BF459" s="19">
        <f t="shared" si="459"/>
        <v>45959.72917</v>
      </c>
      <c r="BG459" s="19">
        <f t="shared" si="459"/>
        <v>45959.75</v>
      </c>
      <c r="BH459" s="19">
        <f t="shared" si="459"/>
        <v>45959.77083</v>
      </c>
      <c r="BI459" s="19">
        <f t="shared" si="459"/>
        <v>45959.79167</v>
      </c>
      <c r="BJ459" s="19">
        <f t="shared" si="459"/>
        <v>45959.8125</v>
      </c>
      <c r="BK459" s="19">
        <f t="shared" si="459"/>
        <v>45959.83333</v>
      </c>
      <c r="BL459" s="19">
        <f t="shared" si="459"/>
        <v>45959.85417</v>
      </c>
      <c r="BM459" s="19">
        <f t="shared" si="459"/>
        <v>45959.875</v>
      </c>
      <c r="BN459" s="19">
        <f t="shared" si="459"/>
        <v>45959.89583</v>
      </c>
      <c r="BO459" s="19">
        <f t="shared" si="459"/>
        <v>45959.91667</v>
      </c>
      <c r="BP459" s="19">
        <f t="shared" si="459"/>
        <v>45959.9375</v>
      </c>
      <c r="BQ459" s="19">
        <f t="shared" si="459"/>
        <v>45959.95833</v>
      </c>
      <c r="BR459" s="19">
        <f t="shared" si="459"/>
        <v>45959.97917</v>
      </c>
      <c r="BS459" s="19">
        <f t="shared" si="459"/>
        <v>45960</v>
      </c>
      <c r="BT459" s="19">
        <f t="shared" si="459"/>
        <v>45960.02083</v>
      </c>
      <c r="BU459" s="19">
        <f t="shared" si="459"/>
        <v>45960.04167</v>
      </c>
      <c r="BV459" s="19">
        <f t="shared" si="459"/>
        <v>45960.0625</v>
      </c>
      <c r="BW459" s="19">
        <f t="shared" si="459"/>
        <v>45960.08333</v>
      </c>
      <c r="BX459" s="19">
        <f t="shared" si="459"/>
        <v>45959</v>
      </c>
      <c r="BY459" s="19">
        <f t="shared" si="459"/>
        <v>45959</v>
      </c>
      <c r="BZ459" s="19">
        <f t="shared" si="459"/>
        <v>45959</v>
      </c>
    </row>
    <row r="460" ht="14.25" customHeight="1">
      <c r="A460" s="17">
        <v>45960.0</v>
      </c>
      <c r="B460" s="2" t="str">
        <f t="array" ref="B460">IF(NOW()&gt;AM460,"",IF(AND((WEEKDAY($A460)+$B$2)&gt;1,((WEEKDAY($A460)+$T$2)&lt;7),(WEEKDAY($A460)&lt;&gt;1)),"work",(INDEX(Subject!$A:$I,MATCH(RANDBETWEEN(1,(MAX(Subject!$B:$B))),Subject!$B:$B,0),3))))</f>
        <v/>
      </c>
      <c r="C460" s="2" t="str">
        <f t="array" ref="C460">IF(NOW()&gt;AN460,"",IF(AND((WEEKDAY($A460)+$B$2)&gt;1,((WEEKDAY($A460)+$T$2)&lt;7),(WEEKDAY($A460)&lt;&gt;1)),"work",(INDEX(Subject!$A:$I,MATCH(RANDBETWEEN(1,(MAX(Subject!$B:$B))),Subject!$B:$B,0),3))))</f>
        <v/>
      </c>
      <c r="D460" s="2" t="str">
        <f t="array" ref="D460">IF(NOW()&gt;AO460,"",IF(AND((WEEKDAY($A460)+$B$2)&gt;1,((WEEKDAY($A460)+$T$2)&lt;7),(WEEKDAY($A460)&lt;&gt;1)),"work",(INDEX(Subject!$A:$I,MATCH(RANDBETWEEN(1,(MAX(Subject!$B:$B))),Subject!$B:$B,0),3))))</f>
        <v/>
      </c>
      <c r="E460" s="2" t="str">
        <f t="array" ref="E460">IF(NOW()&gt;AP460,"",IF(AND((WEEKDAY($A460)+$B$2)&gt;1,((WEEKDAY($A460)+$T$2)&lt;7),(WEEKDAY($A460)&lt;&gt;1)),"work",(INDEX(Subject!$A:$I,MATCH(RANDBETWEEN(1,(MAX(Subject!$B:$B))),Subject!$B:$B,0),3))))</f>
        <v/>
      </c>
      <c r="F460" s="2" t="str">
        <f t="array" ref="F460">IF(NOW()&gt;AQ460,"",IF(AND((WEEKDAY($A460)+$B$2)&gt;1,((WEEKDAY($A460)+$T$2)&lt;7),(WEEKDAY($A460)&lt;&gt;1)),"work",(INDEX(Subject!$A:$I,MATCH(RANDBETWEEN(1,(MAX(Subject!$B:$B))),Subject!$B:$B,0),3))))</f>
        <v/>
      </c>
      <c r="G460" s="2" t="str">
        <f t="array" ref="G460">IF(NOW()&gt;AR460,"",IF(AND((WEEKDAY($A460)+$B$2)&gt;1,((WEEKDAY($A460)+$T$2)&lt;7),(WEEKDAY($A460)&lt;&gt;1)),"work",(INDEX(Subject!$A:$I,MATCH(RANDBETWEEN(1,(MAX(Subject!$B:$B))),Subject!$B:$B,0),3))))</f>
        <v/>
      </c>
      <c r="H460" s="2" t="str">
        <f t="array" ref="H460">IF(NOW()&gt;AS460,"",IF(AND((WEEKDAY($A460)+$B$2)&gt;1,((WEEKDAY($A460)+$T$2)&lt;7),(WEEKDAY($A460)&lt;&gt;1)),"work",(INDEX(Subject!$A:$I,MATCH(RANDBETWEEN(1,(MAX(Subject!$B:$B))),Subject!$B:$B,0),3))))</f>
        <v/>
      </c>
      <c r="I460" s="2" t="str">
        <f t="array" ref="I460">IF(NOW()&gt;AT460,"",IF(AND((WEEKDAY($A460)+$B$2)&gt;1,((WEEKDAY($A460)+$T$2)&lt;7),(WEEKDAY($A460)&lt;&gt;1)),"work",(INDEX(Subject!$A:$I,MATCH(RANDBETWEEN(1,(MAX(Subject!$B:$B))),Subject!$B:$B,0),3))))</f>
        <v/>
      </c>
      <c r="J460" s="2" t="str">
        <f t="array" ref="J460">IF(NOW()&gt;AU460,"",IF(AND((WEEKDAY($A460)+$B$2)&gt;1,((WEEKDAY($A460)+$T$2)&lt;7),(WEEKDAY($A460)&lt;&gt;1)),"work",(INDEX(Subject!$A:$I,MATCH(RANDBETWEEN(1,(MAX(Subject!$B:$B))),Subject!$B:$B,0),3))))</f>
        <v/>
      </c>
      <c r="K460" s="2" t="str">
        <f t="array" ref="K460">IF(NOW()&gt;AV460,"",IF(AND((WEEKDAY($A460)+$B$2)&gt;1,((WEEKDAY($A460)+$T$2)&lt;7),(WEEKDAY($A460)&lt;&gt;1)),"work",(INDEX(Subject!$A:$I,MATCH(RANDBETWEEN(1,(MAX(Subject!$B:$B))),Subject!$B:$B,0),3))))</f>
        <v/>
      </c>
      <c r="L460" s="2" t="str">
        <f t="array" ref="L460">IF(NOW()&gt;AW460,"",IF(AND((WEEKDAY($A460)+$B$2)&gt;1,((WEEKDAY($A460)+$T$2)&lt;7),(WEEKDAY($A460)&lt;&gt;1)),"work",(INDEX(Subject!$A:$I,MATCH(RANDBETWEEN(1,(MAX(Subject!$B:$B))),Subject!$B:$B,0),3))))</f>
        <v/>
      </c>
      <c r="M460" s="2" t="str">
        <f t="array" ref="M460">IF(NOW()&gt;AX460,"",IF(AND((WEEKDAY($A460)+$B$2)&gt;1,((WEEKDAY($A460)+$T$2)&lt;7),(WEEKDAY($A460)&lt;&gt;1)),"work",(INDEX(Subject!$A:$I,MATCH(RANDBETWEEN(1,(MAX(Subject!$B:$B))),Subject!$B:$B,0),3))))</f>
        <v/>
      </c>
      <c r="N460" s="2" t="str">
        <f t="array" ref="N460">IF(NOW()&gt;AY460,"",IF(AND((WEEKDAY($A460)+$B$2)&gt;1,((WEEKDAY($A460)+$T$2)&lt;7),(WEEKDAY($A460)&lt;&gt;1)),"work",(INDEX(Subject!$A:$I,MATCH(RANDBETWEEN(1,(MAX(Subject!$B:$B))),Subject!$B:$B,0),3))))</f>
        <v/>
      </c>
      <c r="O460" s="2" t="str">
        <f t="array" ref="O460">IF(NOW()&gt;AZ460,"",IF(AND((WEEKDAY($A460)+$B$2)&gt;1,((WEEKDAY($A460)+$T$2)&lt;7),(WEEKDAY($A460)&lt;&gt;1)),"work",(INDEX(Subject!$A:$I,MATCH(RANDBETWEEN(1,(MAX(Subject!$B:$B))),Subject!$B:$B,0),3))))</f>
        <v/>
      </c>
      <c r="P460" s="2" t="str">
        <f t="array" ref="P460">IF(NOW()&gt;BA460,"",IF(AND((WEEKDAY($A460)+$B$2)&gt;1,((WEEKDAY($A460)+$T$2)&lt;7),(WEEKDAY($A460)&lt;&gt;1)),"work",(INDEX(Subject!$A:$I,MATCH(RANDBETWEEN(1,(MAX(Subject!$B:$B))),Subject!$B:$B,0),3))))</f>
        <v/>
      </c>
      <c r="Q460" s="2" t="str">
        <f t="array" ref="Q460">IF(NOW()&gt;BB460,"",IF(AND((WEEKDAY($A460)+$B$2)&gt;1,((WEEKDAY($A460)+$T$2)&lt;7),(WEEKDAY($A460)&lt;&gt;1)),"work",(INDEX(Subject!$A:$I,MATCH(RANDBETWEEN(1,(MAX(Subject!$B:$B))),Subject!$B:$B,0),3))))</f>
        <v/>
      </c>
      <c r="R460" s="2" t="str">
        <f t="array" ref="R460">IF(NOW()&gt;BC460,"",IF(AND((WEEKDAY($A460)+$B$2)&gt;1,((WEEKDAY($A460)+$T$2)&lt;7),(WEEKDAY($A460)&lt;&gt;1)),"work",(INDEX(Subject!$A:$I,MATCH(RANDBETWEEN(1,(MAX(Subject!$B:$B))),Subject!$B:$B,0),3))))</f>
        <v/>
      </c>
      <c r="S460" s="2" t="str">
        <f t="array" ref="S460">IF(NOW()&gt;BD460,"",IF(AND((WEEKDAY($A460)+$B$2)&gt;1,((WEEKDAY($A460)+$T$2)&lt;7),(WEEKDAY($A460)&lt;&gt;1)),"work",(INDEX(Subject!$A:$I,MATCH(RANDBETWEEN(1,(MAX(Subject!$B:$B))),Subject!$B:$B,0),3))))</f>
        <v/>
      </c>
      <c r="T460" s="2" t="str">
        <f t="array" ref="T460">IF(NOW()&gt;BE460,"",IF(AND((WEEKDAY($A460)+$B$2)&gt;1,((WEEKDAY($A460)+$T$2)&lt;7),(WEEKDAY($A460)&lt;&gt;1)),"work",(INDEX(Subject!$A:$I,MATCH(RANDBETWEEN(1,(MAX(Subject!$B:$B))),Subject!$B:$B,0),3))))</f>
        <v/>
      </c>
      <c r="U460" s="8" t="str">
        <f t="array" ref="U460">INDEX(Subject!$A:$I,MATCH(RANDBETWEEN(1,16),Subject!$B:$B,0),3)</f>
        <v>#N/A</v>
      </c>
      <c r="V460" s="8" t="str">
        <f t="array" ref="V460">INDEX(Subject!$A:$I,MATCH(RANDBETWEEN(1,16),Subject!$B:$B,0),3)</f>
        <v>#N/A</v>
      </c>
      <c r="W460" s="8" t="str">
        <f t="array" ref="W460">INDEX(Subject!$A:$I,MATCH(RANDBETWEEN(1,16),Subject!$B:$B,0),3)</f>
        <v>#N/A</v>
      </c>
      <c r="X460" s="8" t="str">
        <f t="array" ref="X460">INDEX(Subject!$A:$I,MATCH(RANDBETWEEN(1,16),Subject!$B:$B,0),3)</f>
        <v>#N/A</v>
      </c>
      <c r="Y460" s="8" t="str">
        <f t="array" ref="Y460">INDEX(Subject!$A:$I,MATCH(RANDBETWEEN(1,16),Subject!$B:$B,0),3)</f>
        <v>#N/A</v>
      </c>
      <c r="Z460" s="8" t="str">
        <f t="array" ref="Z460">INDEX(Subject!$A:$I,MATCH(RANDBETWEEN(1,16),Subject!$B:$B,0),3)</f>
        <v>#N/A</v>
      </c>
      <c r="AA460" s="8" t="str">
        <f t="array" ref="AA460">INDEX(Subject!$A:$I,MATCH(RANDBETWEEN(1,16),Subject!$B:$B,0),3)</f>
        <v>#N/A</v>
      </c>
      <c r="AB460" s="8" t="str">
        <f t="array" ref="AB460">INDEX(Subject!$A:$I,MATCH(RANDBETWEEN(1,16),Subject!$B:$B,0),3)</f>
        <v>#N/A</v>
      </c>
      <c r="AC460" s="8" t="str">
        <f t="array" ref="AC460">INDEX(Subject!$A:$I,MATCH(RANDBETWEEN(1,16),Subject!$B:$B,0),3)</f>
        <v>#N/A</v>
      </c>
      <c r="AD460" s="8" t="str">
        <f t="array" ref="AD460">INDEX(Subject!$A:$I,MATCH(RANDBETWEEN(1,16),Subject!$B:$B,0),3)</f>
        <v>#N/A</v>
      </c>
      <c r="AE460" s="8" t="str">
        <f t="array" ref="AE460">INDEX(Subject!$A:$I,MATCH(RANDBETWEEN(1,16),Subject!$B:$B,0),3)</f>
        <v>#N/A</v>
      </c>
      <c r="AF460" s="8" t="str">
        <f t="array" ref="AF460">INDEX(Subject!$A:$I,MATCH(RANDBETWEEN(1,16),Subject!$B:$B,0),3)</f>
        <v>#N/A</v>
      </c>
      <c r="AG460" s="8" t="str">
        <f t="array" ref="AG460">INDEX(Subject!$A:$I,MATCH(RANDBETWEEN(1,16),Subject!$B:$B,0),3)</f>
        <v>#N/A</v>
      </c>
      <c r="AH460" s="8" t="str">
        <f t="array" ref="AH460">INDEX(Subject!$A:$I,MATCH(RANDBETWEEN(1,16),Subject!$B:$B,0),3)</f>
        <v>#N/A</v>
      </c>
      <c r="AI460" s="8" t="str">
        <f t="array" ref="AI460">INDEX(Subject!$A:$I,MATCH(RANDBETWEEN(1,16),Subject!$B:$B,0),3)</f>
        <v>#N/A</v>
      </c>
      <c r="AJ460" s="8" t="str">
        <f t="array" ref="AJ460">INDEX(Subject!$A:$I,MATCH(RANDBETWEEN(1,16),Subject!$B:$B,0),3)</f>
        <v>#N/A</v>
      </c>
      <c r="AK460" s="8" t="str">
        <f t="array" ref="AK460">INDEX(Subject!$A:$I,MATCH(RANDBETWEEN(1,16),Subject!$B:$B,0),3)</f>
        <v>#N/A</v>
      </c>
      <c r="AL460" s="8" t="str">
        <f t="array" ref="AL460">INDEX(Subject!$A:$I,MATCH(RANDBETWEEN(1,16),Subject!$B:$B,0),3)</f>
        <v/>
      </c>
      <c r="AM460" s="18">
        <f t="shared" si="4"/>
        <v>45960.33333</v>
      </c>
      <c r="AN460" s="19">
        <f t="shared" ref="AN460:BZ460" si="460">$A460+C$1</f>
        <v>45960.35417</v>
      </c>
      <c r="AO460" s="19">
        <f t="shared" si="460"/>
        <v>45960.375</v>
      </c>
      <c r="AP460" s="19">
        <f t="shared" si="460"/>
        <v>45960.39583</v>
      </c>
      <c r="AQ460" s="19">
        <f t="shared" si="460"/>
        <v>45960.41667</v>
      </c>
      <c r="AR460" s="19">
        <f t="shared" si="460"/>
        <v>45960.4375</v>
      </c>
      <c r="AS460" s="19">
        <f t="shared" si="460"/>
        <v>45960.45833</v>
      </c>
      <c r="AT460" s="19">
        <f t="shared" si="460"/>
        <v>45960.47917</v>
      </c>
      <c r="AU460" s="19">
        <f t="shared" si="460"/>
        <v>45960.5</v>
      </c>
      <c r="AV460" s="19">
        <f t="shared" si="460"/>
        <v>45960.52083</v>
      </c>
      <c r="AW460" s="19">
        <f t="shared" si="460"/>
        <v>45960.54167</v>
      </c>
      <c r="AX460" s="19">
        <f t="shared" si="460"/>
        <v>45960.5625</v>
      </c>
      <c r="AY460" s="19">
        <f t="shared" si="460"/>
        <v>45960.58333</v>
      </c>
      <c r="AZ460" s="19">
        <f t="shared" si="460"/>
        <v>45960.60417</v>
      </c>
      <c r="BA460" s="19">
        <f t="shared" si="460"/>
        <v>45960.625</v>
      </c>
      <c r="BB460" s="19">
        <f t="shared" si="460"/>
        <v>45960.64583</v>
      </c>
      <c r="BC460" s="19">
        <f t="shared" si="460"/>
        <v>45960.66667</v>
      </c>
      <c r="BD460" s="19">
        <f t="shared" si="460"/>
        <v>45960.6875</v>
      </c>
      <c r="BE460" s="19">
        <f t="shared" si="460"/>
        <v>45960.70833</v>
      </c>
      <c r="BF460" s="19">
        <f t="shared" si="460"/>
        <v>45960.72917</v>
      </c>
      <c r="BG460" s="19">
        <f t="shared" si="460"/>
        <v>45960.75</v>
      </c>
      <c r="BH460" s="19">
        <f t="shared" si="460"/>
        <v>45960.77083</v>
      </c>
      <c r="BI460" s="19">
        <f t="shared" si="460"/>
        <v>45960.79167</v>
      </c>
      <c r="BJ460" s="19">
        <f t="shared" si="460"/>
        <v>45960.8125</v>
      </c>
      <c r="BK460" s="19">
        <f t="shared" si="460"/>
        <v>45960.83333</v>
      </c>
      <c r="BL460" s="19">
        <f t="shared" si="460"/>
        <v>45960.85417</v>
      </c>
      <c r="BM460" s="19">
        <f t="shared" si="460"/>
        <v>45960.875</v>
      </c>
      <c r="BN460" s="19">
        <f t="shared" si="460"/>
        <v>45960.89583</v>
      </c>
      <c r="BO460" s="19">
        <f t="shared" si="460"/>
        <v>45960.91667</v>
      </c>
      <c r="BP460" s="19">
        <f t="shared" si="460"/>
        <v>45960.9375</v>
      </c>
      <c r="BQ460" s="19">
        <f t="shared" si="460"/>
        <v>45960.95833</v>
      </c>
      <c r="BR460" s="19">
        <f t="shared" si="460"/>
        <v>45960.97917</v>
      </c>
      <c r="BS460" s="19">
        <f t="shared" si="460"/>
        <v>45961</v>
      </c>
      <c r="BT460" s="19">
        <f t="shared" si="460"/>
        <v>45961.02083</v>
      </c>
      <c r="BU460" s="19">
        <f t="shared" si="460"/>
        <v>45961.04167</v>
      </c>
      <c r="BV460" s="19">
        <f t="shared" si="460"/>
        <v>45961.0625</v>
      </c>
      <c r="BW460" s="19">
        <f t="shared" si="460"/>
        <v>45961.08333</v>
      </c>
      <c r="BX460" s="19">
        <f t="shared" si="460"/>
        <v>45960</v>
      </c>
      <c r="BY460" s="19">
        <f t="shared" si="460"/>
        <v>45960</v>
      </c>
      <c r="BZ460" s="19">
        <f t="shared" si="460"/>
        <v>45960</v>
      </c>
    </row>
    <row r="461" ht="14.25" customHeight="1">
      <c r="A461" s="17">
        <v>45961.0</v>
      </c>
      <c r="B461" s="2" t="str">
        <f t="array" ref="B461">IF(NOW()&gt;AM461,"",IF(AND((WEEKDAY($A461)+$B$2)&gt;1,((WEEKDAY($A461)+$T$2)&lt;7),(WEEKDAY($A461)&lt;&gt;1)),"work",(INDEX(Subject!$A:$I,MATCH(RANDBETWEEN(1,(MAX(Subject!$B:$B))),Subject!$B:$B,0),3))))</f>
        <v/>
      </c>
      <c r="C461" s="2" t="str">
        <f t="array" ref="C461">IF(NOW()&gt;AN461,"",IF(AND((WEEKDAY($A461)+$B$2)&gt;1,((WEEKDAY($A461)+$T$2)&lt;7),(WEEKDAY($A461)&lt;&gt;1)),"work",(INDEX(Subject!$A:$I,MATCH(RANDBETWEEN(1,(MAX(Subject!$B:$B))),Subject!$B:$B,0),3))))</f>
        <v/>
      </c>
      <c r="D461" s="2" t="str">
        <f t="array" ref="D461">IF(NOW()&gt;AO461,"",IF(AND((WEEKDAY($A461)+$B$2)&gt;1,((WEEKDAY($A461)+$T$2)&lt;7),(WEEKDAY($A461)&lt;&gt;1)),"work",(INDEX(Subject!$A:$I,MATCH(RANDBETWEEN(1,(MAX(Subject!$B:$B))),Subject!$B:$B,0),3))))</f>
        <v/>
      </c>
      <c r="E461" s="2" t="str">
        <f t="array" ref="E461">IF(NOW()&gt;AP461,"",IF(AND((WEEKDAY($A461)+$B$2)&gt;1,((WEEKDAY($A461)+$T$2)&lt;7),(WEEKDAY($A461)&lt;&gt;1)),"work",(INDEX(Subject!$A:$I,MATCH(RANDBETWEEN(1,(MAX(Subject!$B:$B))),Subject!$B:$B,0),3))))</f>
        <v/>
      </c>
      <c r="F461" s="2" t="str">
        <f t="array" ref="F461">IF(NOW()&gt;AQ461,"",IF(AND((WEEKDAY($A461)+$B$2)&gt;1,((WEEKDAY($A461)+$T$2)&lt;7),(WEEKDAY($A461)&lt;&gt;1)),"work",(INDEX(Subject!$A:$I,MATCH(RANDBETWEEN(1,(MAX(Subject!$B:$B))),Subject!$B:$B,0),3))))</f>
        <v/>
      </c>
      <c r="G461" s="2" t="str">
        <f t="array" ref="G461">IF(NOW()&gt;AR461,"",IF(AND((WEEKDAY($A461)+$B$2)&gt;1,((WEEKDAY($A461)+$T$2)&lt;7),(WEEKDAY($A461)&lt;&gt;1)),"work",(INDEX(Subject!$A:$I,MATCH(RANDBETWEEN(1,(MAX(Subject!$B:$B))),Subject!$B:$B,0),3))))</f>
        <v/>
      </c>
      <c r="H461" s="2" t="str">
        <f t="array" ref="H461">IF(NOW()&gt;AS461,"",IF(AND((WEEKDAY($A461)+$B$2)&gt;1,((WEEKDAY($A461)+$T$2)&lt;7),(WEEKDAY($A461)&lt;&gt;1)),"work",(INDEX(Subject!$A:$I,MATCH(RANDBETWEEN(1,(MAX(Subject!$B:$B))),Subject!$B:$B,0),3))))</f>
        <v/>
      </c>
      <c r="I461" s="2" t="str">
        <f t="array" ref="I461">IF(NOW()&gt;AT461,"",IF(AND((WEEKDAY($A461)+$B$2)&gt;1,((WEEKDAY($A461)+$T$2)&lt;7),(WEEKDAY($A461)&lt;&gt;1)),"work",(INDEX(Subject!$A:$I,MATCH(RANDBETWEEN(1,(MAX(Subject!$B:$B))),Subject!$B:$B,0),3))))</f>
        <v/>
      </c>
      <c r="J461" s="2" t="str">
        <f t="array" ref="J461">IF(NOW()&gt;AU461,"",IF(AND((WEEKDAY($A461)+$B$2)&gt;1,((WEEKDAY($A461)+$T$2)&lt;7),(WEEKDAY($A461)&lt;&gt;1)),"work",(INDEX(Subject!$A:$I,MATCH(RANDBETWEEN(1,(MAX(Subject!$B:$B))),Subject!$B:$B,0),3))))</f>
        <v/>
      </c>
      <c r="K461" s="2" t="str">
        <f t="array" ref="K461">IF(NOW()&gt;AV461,"",IF(AND((WEEKDAY($A461)+$B$2)&gt;1,((WEEKDAY($A461)+$T$2)&lt;7),(WEEKDAY($A461)&lt;&gt;1)),"work",(INDEX(Subject!$A:$I,MATCH(RANDBETWEEN(1,(MAX(Subject!$B:$B))),Subject!$B:$B,0),3))))</f>
        <v/>
      </c>
      <c r="L461" s="2" t="str">
        <f t="array" ref="L461">IF(NOW()&gt;AW461,"",IF(AND((WEEKDAY($A461)+$B$2)&gt;1,((WEEKDAY($A461)+$T$2)&lt;7),(WEEKDAY($A461)&lt;&gt;1)),"work",(INDEX(Subject!$A:$I,MATCH(RANDBETWEEN(1,(MAX(Subject!$B:$B))),Subject!$B:$B,0),3))))</f>
        <v/>
      </c>
      <c r="M461" s="2" t="str">
        <f t="array" ref="M461">IF(NOW()&gt;AX461,"",IF(AND((WEEKDAY($A461)+$B$2)&gt;1,((WEEKDAY($A461)+$T$2)&lt;7),(WEEKDAY($A461)&lt;&gt;1)),"work",(INDEX(Subject!$A:$I,MATCH(RANDBETWEEN(1,(MAX(Subject!$B:$B))),Subject!$B:$B,0),3))))</f>
        <v/>
      </c>
      <c r="N461" s="2" t="str">
        <f t="array" ref="N461">IF(NOW()&gt;AY461,"",IF(AND((WEEKDAY($A461)+$B$2)&gt;1,((WEEKDAY($A461)+$T$2)&lt;7),(WEEKDAY($A461)&lt;&gt;1)),"work",(INDEX(Subject!$A:$I,MATCH(RANDBETWEEN(1,(MAX(Subject!$B:$B))),Subject!$B:$B,0),3))))</f>
        <v/>
      </c>
      <c r="O461" s="2" t="str">
        <f t="array" ref="O461">IF(NOW()&gt;AZ461,"",IF(AND((WEEKDAY($A461)+$B$2)&gt;1,((WEEKDAY($A461)+$T$2)&lt;7),(WEEKDAY($A461)&lt;&gt;1)),"work",(INDEX(Subject!$A:$I,MATCH(RANDBETWEEN(1,(MAX(Subject!$B:$B))),Subject!$B:$B,0),3))))</f>
        <v/>
      </c>
      <c r="P461" s="2" t="str">
        <f t="array" ref="P461">IF(NOW()&gt;BA461,"",IF(AND((WEEKDAY($A461)+$B$2)&gt;1,((WEEKDAY($A461)+$T$2)&lt;7),(WEEKDAY($A461)&lt;&gt;1)),"work",(INDEX(Subject!$A:$I,MATCH(RANDBETWEEN(1,(MAX(Subject!$B:$B))),Subject!$B:$B,0),3))))</f>
        <v/>
      </c>
      <c r="Q461" s="2" t="str">
        <f t="array" ref="Q461">IF(NOW()&gt;BB461,"",IF(AND((WEEKDAY($A461)+$B$2)&gt;1,((WEEKDAY($A461)+$T$2)&lt;7),(WEEKDAY($A461)&lt;&gt;1)),"work",(INDEX(Subject!$A:$I,MATCH(RANDBETWEEN(1,(MAX(Subject!$B:$B))),Subject!$B:$B,0),3))))</f>
        <v/>
      </c>
      <c r="R461" s="2" t="str">
        <f t="array" ref="R461">IF(NOW()&gt;BC461,"",IF(AND((WEEKDAY($A461)+$B$2)&gt;1,((WEEKDAY($A461)+$T$2)&lt;7),(WEEKDAY($A461)&lt;&gt;1)),"work",(INDEX(Subject!$A:$I,MATCH(RANDBETWEEN(1,(MAX(Subject!$B:$B))),Subject!$B:$B,0),3))))</f>
        <v/>
      </c>
      <c r="S461" s="2" t="str">
        <f t="array" ref="S461">IF(NOW()&gt;BD461,"",IF(AND((WEEKDAY($A461)+$B$2)&gt;1,((WEEKDAY($A461)+$T$2)&lt;7),(WEEKDAY($A461)&lt;&gt;1)),"work",(INDEX(Subject!$A:$I,MATCH(RANDBETWEEN(1,(MAX(Subject!$B:$B))),Subject!$B:$B,0),3))))</f>
        <v/>
      </c>
      <c r="T461" s="2" t="str">
        <f t="array" ref="T461">IF(NOW()&gt;BE461,"",IF(AND((WEEKDAY($A461)+$B$2)&gt;1,((WEEKDAY($A461)+$T$2)&lt;7),(WEEKDAY($A461)&lt;&gt;1)),"work",(INDEX(Subject!$A:$I,MATCH(RANDBETWEEN(1,(MAX(Subject!$B:$B))),Subject!$B:$B,0),3))))</f>
        <v/>
      </c>
      <c r="U461" s="8" t="str">
        <f t="array" ref="U461">INDEX(Subject!$A:$I,MATCH(RANDBETWEEN(1,16),Subject!$B:$B,0),3)</f>
        <v>#N/A</v>
      </c>
      <c r="V461" s="8" t="str">
        <f t="array" ref="V461">INDEX(Subject!$A:$I,MATCH(RANDBETWEEN(1,16),Subject!$B:$B,0),3)</f>
        <v>#N/A</v>
      </c>
      <c r="W461" s="8" t="str">
        <f t="array" ref="W461">INDEX(Subject!$A:$I,MATCH(RANDBETWEEN(1,16),Subject!$B:$B,0),3)</f>
        <v>#N/A</v>
      </c>
      <c r="X461" s="8" t="str">
        <f t="array" ref="X461">INDEX(Subject!$A:$I,MATCH(RANDBETWEEN(1,16),Subject!$B:$B,0),3)</f>
        <v>#N/A</v>
      </c>
      <c r="Y461" s="8" t="str">
        <f t="array" ref="Y461">INDEX(Subject!$A:$I,MATCH(RANDBETWEEN(1,16),Subject!$B:$B,0),3)</f>
        <v/>
      </c>
      <c r="Z461" s="8" t="str">
        <f t="array" ref="Z461">INDEX(Subject!$A:$I,MATCH(RANDBETWEEN(1,16),Subject!$B:$B,0),3)</f>
        <v>#N/A</v>
      </c>
      <c r="AA461" s="8" t="str">
        <f t="array" ref="AA461">INDEX(Subject!$A:$I,MATCH(RANDBETWEEN(1,16),Subject!$B:$B,0),3)</f>
        <v>#N/A</v>
      </c>
      <c r="AB461" s="8" t="str">
        <f t="array" ref="AB461">INDEX(Subject!$A:$I,MATCH(RANDBETWEEN(1,16),Subject!$B:$B,0),3)</f>
        <v>#N/A</v>
      </c>
      <c r="AC461" s="8" t="str">
        <f t="array" ref="AC461">INDEX(Subject!$A:$I,MATCH(RANDBETWEEN(1,16),Subject!$B:$B,0),3)</f>
        <v>#N/A</v>
      </c>
      <c r="AD461" s="8" t="str">
        <f t="array" ref="AD461">INDEX(Subject!$A:$I,MATCH(RANDBETWEEN(1,16),Subject!$B:$B,0),3)</f>
        <v>#N/A</v>
      </c>
      <c r="AE461" s="8" t="str">
        <f t="array" ref="AE461">INDEX(Subject!$A:$I,MATCH(RANDBETWEEN(1,16),Subject!$B:$B,0),3)</f>
        <v>#N/A</v>
      </c>
      <c r="AF461" s="8" t="str">
        <f t="array" ref="AF461">INDEX(Subject!$A:$I,MATCH(RANDBETWEEN(1,16),Subject!$B:$B,0),3)</f>
        <v>#N/A</v>
      </c>
      <c r="AG461" s="8" t="str">
        <f t="array" ref="AG461">INDEX(Subject!$A:$I,MATCH(RANDBETWEEN(1,16),Subject!$B:$B,0),3)</f>
        <v>#N/A</v>
      </c>
      <c r="AH461" s="8" t="str">
        <f t="array" ref="AH461">INDEX(Subject!$A:$I,MATCH(RANDBETWEEN(1,16),Subject!$B:$B,0),3)</f>
        <v>#N/A</v>
      </c>
      <c r="AI461" s="8" t="str">
        <f t="array" ref="AI461">INDEX(Subject!$A:$I,MATCH(RANDBETWEEN(1,16),Subject!$B:$B,0),3)</f>
        <v>#N/A</v>
      </c>
      <c r="AJ461" s="8" t="str">
        <f t="array" ref="AJ461">INDEX(Subject!$A:$I,MATCH(RANDBETWEEN(1,16),Subject!$B:$B,0),3)</f>
        <v>#N/A</v>
      </c>
      <c r="AK461" s="8" t="str">
        <f t="array" ref="AK461">INDEX(Subject!$A:$I,MATCH(RANDBETWEEN(1,16),Subject!$B:$B,0),3)</f>
        <v>#N/A</v>
      </c>
      <c r="AL461" s="8" t="str">
        <f t="array" ref="AL461">INDEX(Subject!$A:$I,MATCH(RANDBETWEEN(1,16),Subject!$B:$B,0),3)</f>
        <v>#N/A</v>
      </c>
      <c r="AM461" s="18">
        <f t="shared" si="4"/>
        <v>45961.33333</v>
      </c>
      <c r="AN461" s="19">
        <f t="shared" ref="AN461:BZ461" si="461">$A461+C$1</f>
        <v>45961.35417</v>
      </c>
      <c r="AO461" s="19">
        <f t="shared" si="461"/>
        <v>45961.375</v>
      </c>
      <c r="AP461" s="19">
        <f t="shared" si="461"/>
        <v>45961.39583</v>
      </c>
      <c r="AQ461" s="19">
        <f t="shared" si="461"/>
        <v>45961.41667</v>
      </c>
      <c r="AR461" s="19">
        <f t="shared" si="461"/>
        <v>45961.4375</v>
      </c>
      <c r="AS461" s="19">
        <f t="shared" si="461"/>
        <v>45961.45833</v>
      </c>
      <c r="AT461" s="19">
        <f t="shared" si="461"/>
        <v>45961.47917</v>
      </c>
      <c r="AU461" s="19">
        <f t="shared" si="461"/>
        <v>45961.5</v>
      </c>
      <c r="AV461" s="19">
        <f t="shared" si="461"/>
        <v>45961.52083</v>
      </c>
      <c r="AW461" s="19">
        <f t="shared" si="461"/>
        <v>45961.54167</v>
      </c>
      <c r="AX461" s="19">
        <f t="shared" si="461"/>
        <v>45961.5625</v>
      </c>
      <c r="AY461" s="19">
        <f t="shared" si="461"/>
        <v>45961.58333</v>
      </c>
      <c r="AZ461" s="19">
        <f t="shared" si="461"/>
        <v>45961.60417</v>
      </c>
      <c r="BA461" s="19">
        <f t="shared" si="461"/>
        <v>45961.625</v>
      </c>
      <c r="BB461" s="19">
        <f t="shared" si="461"/>
        <v>45961.64583</v>
      </c>
      <c r="BC461" s="19">
        <f t="shared" si="461"/>
        <v>45961.66667</v>
      </c>
      <c r="BD461" s="19">
        <f t="shared" si="461"/>
        <v>45961.6875</v>
      </c>
      <c r="BE461" s="19">
        <f t="shared" si="461"/>
        <v>45961.70833</v>
      </c>
      <c r="BF461" s="19">
        <f t="shared" si="461"/>
        <v>45961.72917</v>
      </c>
      <c r="BG461" s="19">
        <f t="shared" si="461"/>
        <v>45961.75</v>
      </c>
      <c r="BH461" s="19">
        <f t="shared" si="461"/>
        <v>45961.77083</v>
      </c>
      <c r="BI461" s="19">
        <f t="shared" si="461"/>
        <v>45961.79167</v>
      </c>
      <c r="BJ461" s="19">
        <f t="shared" si="461"/>
        <v>45961.8125</v>
      </c>
      <c r="BK461" s="19">
        <f t="shared" si="461"/>
        <v>45961.83333</v>
      </c>
      <c r="BL461" s="19">
        <f t="shared" si="461"/>
        <v>45961.85417</v>
      </c>
      <c r="BM461" s="19">
        <f t="shared" si="461"/>
        <v>45961.875</v>
      </c>
      <c r="BN461" s="19">
        <f t="shared" si="461"/>
        <v>45961.89583</v>
      </c>
      <c r="BO461" s="19">
        <f t="shared" si="461"/>
        <v>45961.91667</v>
      </c>
      <c r="BP461" s="19">
        <f t="shared" si="461"/>
        <v>45961.9375</v>
      </c>
      <c r="BQ461" s="19">
        <f t="shared" si="461"/>
        <v>45961.95833</v>
      </c>
      <c r="BR461" s="19">
        <f t="shared" si="461"/>
        <v>45961.97917</v>
      </c>
      <c r="BS461" s="19">
        <f t="shared" si="461"/>
        <v>45962</v>
      </c>
      <c r="BT461" s="19">
        <f t="shared" si="461"/>
        <v>45962.02083</v>
      </c>
      <c r="BU461" s="19">
        <f t="shared" si="461"/>
        <v>45962.04167</v>
      </c>
      <c r="BV461" s="19">
        <f t="shared" si="461"/>
        <v>45962.0625</v>
      </c>
      <c r="BW461" s="19">
        <f t="shared" si="461"/>
        <v>45962.08333</v>
      </c>
      <c r="BX461" s="19">
        <f t="shared" si="461"/>
        <v>45961</v>
      </c>
      <c r="BY461" s="19">
        <f t="shared" si="461"/>
        <v>45961</v>
      </c>
      <c r="BZ461" s="19">
        <f t="shared" si="461"/>
        <v>45961</v>
      </c>
    </row>
    <row r="462" ht="14.25" customHeight="1">
      <c r="A462" s="17">
        <v>45962.0</v>
      </c>
      <c r="B462" s="2" t="str">
        <f t="array" ref="B462">IF(NOW()&gt;AM462,"",IF(AND((WEEKDAY($A462)+$B$2)&gt;1,((WEEKDAY($A462)+$T$2)&lt;7),(WEEKDAY($A462)&lt;&gt;1)),"work",(INDEX(Subject!$A:$I,MATCH(RANDBETWEEN(1,(MAX(Subject!$B:$B))),Subject!$B:$B,0),3))))</f>
        <v/>
      </c>
      <c r="C462" s="2" t="str">
        <f t="array" ref="C462">IF(NOW()&gt;AN462,"",IF(AND((WEEKDAY($A462)+$B$2)&gt;1,((WEEKDAY($A462)+$T$2)&lt;7),(WEEKDAY($A462)&lt;&gt;1)),"work",(INDEX(Subject!$A:$I,MATCH(RANDBETWEEN(1,(MAX(Subject!$B:$B))),Subject!$B:$B,0),3))))</f>
        <v/>
      </c>
      <c r="D462" s="2" t="str">
        <f t="array" ref="D462">IF(NOW()&gt;AO462,"",IF(AND((WEEKDAY($A462)+$B$2)&gt;1,((WEEKDAY($A462)+$T$2)&lt;7),(WEEKDAY($A462)&lt;&gt;1)),"work",(INDEX(Subject!$A:$I,MATCH(RANDBETWEEN(1,(MAX(Subject!$B:$B))),Subject!$B:$B,0),3))))</f>
        <v/>
      </c>
      <c r="E462" s="2" t="str">
        <f t="array" ref="E462">IF(NOW()&gt;AP462,"",IF(AND((WEEKDAY($A462)+$B$2)&gt;1,((WEEKDAY($A462)+$T$2)&lt;7),(WEEKDAY($A462)&lt;&gt;1)),"work",(INDEX(Subject!$A:$I,MATCH(RANDBETWEEN(1,(MAX(Subject!$B:$B))),Subject!$B:$B,0),3))))</f>
        <v/>
      </c>
      <c r="F462" s="2" t="str">
        <f t="array" ref="F462">IF(NOW()&gt;AQ462,"",IF(AND((WEEKDAY($A462)+$B$2)&gt;1,((WEEKDAY($A462)+$T$2)&lt;7),(WEEKDAY($A462)&lt;&gt;1)),"work",(INDEX(Subject!$A:$I,MATCH(RANDBETWEEN(1,(MAX(Subject!$B:$B))),Subject!$B:$B,0),3))))</f>
        <v/>
      </c>
      <c r="G462" s="2" t="str">
        <f t="array" ref="G462">IF(NOW()&gt;AR462,"",IF(AND((WEEKDAY($A462)+$B$2)&gt;1,((WEEKDAY($A462)+$T$2)&lt;7),(WEEKDAY($A462)&lt;&gt;1)),"work",(INDEX(Subject!$A:$I,MATCH(RANDBETWEEN(1,(MAX(Subject!$B:$B))),Subject!$B:$B,0),3))))</f>
        <v/>
      </c>
      <c r="H462" s="2" t="str">
        <f t="array" ref="H462">IF(NOW()&gt;AS462,"",IF(AND((WEEKDAY($A462)+$B$2)&gt;1,((WEEKDAY($A462)+$T$2)&lt;7),(WEEKDAY($A462)&lt;&gt;1)),"work",(INDEX(Subject!$A:$I,MATCH(RANDBETWEEN(1,(MAX(Subject!$B:$B))),Subject!$B:$B,0),3))))</f>
        <v/>
      </c>
      <c r="I462" s="2" t="str">
        <f t="array" ref="I462">IF(NOW()&gt;AT462,"",IF(AND((WEEKDAY($A462)+$B$2)&gt;1,((WEEKDAY($A462)+$T$2)&lt;7),(WEEKDAY($A462)&lt;&gt;1)),"work",(INDEX(Subject!$A:$I,MATCH(RANDBETWEEN(1,(MAX(Subject!$B:$B))),Subject!$B:$B,0),3))))</f>
        <v/>
      </c>
      <c r="J462" s="2" t="str">
        <f t="array" ref="J462">IF(NOW()&gt;AU462,"",IF(AND((WEEKDAY($A462)+$B$2)&gt;1,((WEEKDAY($A462)+$T$2)&lt;7),(WEEKDAY($A462)&lt;&gt;1)),"work",(INDEX(Subject!$A:$I,MATCH(RANDBETWEEN(1,(MAX(Subject!$B:$B))),Subject!$B:$B,0),3))))</f>
        <v/>
      </c>
      <c r="K462" s="2" t="str">
        <f t="array" ref="K462">IF(NOW()&gt;AV462,"",IF(AND((WEEKDAY($A462)+$B$2)&gt;1,((WEEKDAY($A462)+$T$2)&lt;7),(WEEKDAY($A462)&lt;&gt;1)),"work",(INDEX(Subject!$A:$I,MATCH(RANDBETWEEN(1,(MAX(Subject!$B:$B))),Subject!$B:$B,0),3))))</f>
        <v/>
      </c>
      <c r="L462" s="2" t="str">
        <f t="array" ref="L462">IF(NOW()&gt;AW462,"",IF(AND((WEEKDAY($A462)+$B$2)&gt;1,((WEEKDAY($A462)+$T$2)&lt;7),(WEEKDAY($A462)&lt;&gt;1)),"work",(INDEX(Subject!$A:$I,MATCH(RANDBETWEEN(1,(MAX(Subject!$B:$B))),Subject!$B:$B,0),3))))</f>
        <v/>
      </c>
      <c r="M462" s="2" t="str">
        <f t="array" ref="M462">IF(NOW()&gt;AX462,"",IF(AND((WEEKDAY($A462)+$B$2)&gt;1,((WEEKDAY($A462)+$T$2)&lt;7),(WEEKDAY($A462)&lt;&gt;1)),"work",(INDEX(Subject!$A:$I,MATCH(RANDBETWEEN(1,(MAX(Subject!$B:$B))),Subject!$B:$B,0),3))))</f>
        <v/>
      </c>
      <c r="N462" s="2" t="str">
        <f t="array" ref="N462">IF(NOW()&gt;AY462,"",IF(AND((WEEKDAY($A462)+$B$2)&gt;1,((WEEKDAY($A462)+$T$2)&lt;7),(WEEKDAY($A462)&lt;&gt;1)),"work",(INDEX(Subject!$A:$I,MATCH(RANDBETWEEN(1,(MAX(Subject!$B:$B))),Subject!$B:$B,0),3))))</f>
        <v/>
      </c>
      <c r="O462" s="2" t="str">
        <f t="array" ref="O462">IF(NOW()&gt;AZ462,"",IF(AND((WEEKDAY($A462)+$B$2)&gt;1,((WEEKDAY($A462)+$T$2)&lt;7),(WEEKDAY($A462)&lt;&gt;1)),"work",(INDEX(Subject!$A:$I,MATCH(RANDBETWEEN(1,(MAX(Subject!$B:$B))),Subject!$B:$B,0),3))))</f>
        <v/>
      </c>
      <c r="P462" s="2" t="str">
        <f t="array" ref="P462">IF(NOW()&gt;BA462,"",IF(AND((WEEKDAY($A462)+$B$2)&gt;1,((WEEKDAY($A462)+$T$2)&lt;7),(WEEKDAY($A462)&lt;&gt;1)),"work",(INDEX(Subject!$A:$I,MATCH(RANDBETWEEN(1,(MAX(Subject!$B:$B))),Subject!$B:$B,0),3))))</f>
        <v/>
      </c>
      <c r="Q462" s="2" t="str">
        <f t="array" ref="Q462">IF(NOW()&gt;BB462,"",IF(AND((WEEKDAY($A462)+$B$2)&gt;1,((WEEKDAY($A462)+$T$2)&lt;7),(WEEKDAY($A462)&lt;&gt;1)),"work",(INDEX(Subject!$A:$I,MATCH(RANDBETWEEN(1,(MAX(Subject!$B:$B))),Subject!$B:$B,0),3))))</f>
        <v/>
      </c>
      <c r="R462" s="2" t="str">
        <f t="array" ref="R462">IF(NOW()&gt;BC462,"",IF(AND((WEEKDAY($A462)+$B$2)&gt;1,((WEEKDAY($A462)+$T$2)&lt;7),(WEEKDAY($A462)&lt;&gt;1)),"work",(INDEX(Subject!$A:$I,MATCH(RANDBETWEEN(1,(MAX(Subject!$B:$B))),Subject!$B:$B,0),3))))</f>
        <v/>
      </c>
      <c r="S462" s="2" t="str">
        <f t="array" ref="S462">IF(NOW()&gt;BD462,"",IF(AND((WEEKDAY($A462)+$B$2)&gt;1,((WEEKDAY($A462)+$T$2)&lt;7),(WEEKDAY($A462)&lt;&gt;1)),"work",(INDEX(Subject!$A:$I,MATCH(RANDBETWEEN(1,(MAX(Subject!$B:$B))),Subject!$B:$B,0),3))))</f>
        <v/>
      </c>
      <c r="T462" s="2" t="str">
        <f t="array" ref="T462">IF(NOW()&gt;BE462,"",IF(AND((WEEKDAY($A462)+$B$2)&gt;1,((WEEKDAY($A462)+$T$2)&lt;7),(WEEKDAY($A462)&lt;&gt;1)),"work",(INDEX(Subject!$A:$I,MATCH(RANDBETWEEN(1,(MAX(Subject!$B:$B))),Subject!$B:$B,0),3))))</f>
        <v/>
      </c>
      <c r="U462" s="8" t="str">
        <f t="array" ref="U462">INDEX(Subject!$A:$I,MATCH(RANDBETWEEN(1,16),Subject!$B:$B,0),3)</f>
        <v>#N/A</v>
      </c>
      <c r="V462" s="8" t="str">
        <f t="array" ref="V462">INDEX(Subject!$A:$I,MATCH(RANDBETWEEN(1,16),Subject!$B:$B,0),3)</f>
        <v>#N/A</v>
      </c>
      <c r="W462" s="8" t="str">
        <f t="array" ref="W462">INDEX(Subject!$A:$I,MATCH(RANDBETWEEN(1,16),Subject!$B:$B,0),3)</f>
        <v>#N/A</v>
      </c>
      <c r="X462" s="8" t="str">
        <f t="array" ref="X462">INDEX(Subject!$A:$I,MATCH(RANDBETWEEN(1,16),Subject!$B:$B,0),3)</f>
        <v>#N/A</v>
      </c>
      <c r="Y462" s="8" t="str">
        <f t="array" ref="Y462">INDEX(Subject!$A:$I,MATCH(RANDBETWEEN(1,16),Subject!$B:$B,0),3)</f>
        <v>#N/A</v>
      </c>
      <c r="Z462" s="8" t="str">
        <f t="array" ref="Z462">INDEX(Subject!$A:$I,MATCH(RANDBETWEEN(1,16),Subject!$B:$B,0),3)</f>
        <v>#N/A</v>
      </c>
      <c r="AA462" s="8" t="str">
        <f t="array" ref="AA462">INDEX(Subject!$A:$I,MATCH(RANDBETWEEN(1,16),Subject!$B:$B,0),3)</f>
        <v>#N/A</v>
      </c>
      <c r="AB462" s="8" t="str">
        <f t="array" ref="AB462">INDEX(Subject!$A:$I,MATCH(RANDBETWEEN(1,16),Subject!$B:$B,0),3)</f>
        <v>#N/A</v>
      </c>
      <c r="AC462" s="8" t="str">
        <f t="array" ref="AC462">INDEX(Subject!$A:$I,MATCH(RANDBETWEEN(1,16),Subject!$B:$B,0),3)</f>
        <v>#N/A</v>
      </c>
      <c r="AD462" s="8" t="str">
        <f t="array" ref="AD462">INDEX(Subject!$A:$I,MATCH(RANDBETWEEN(1,16),Subject!$B:$B,0),3)</f>
        <v>#N/A</v>
      </c>
      <c r="AE462" s="8" t="str">
        <f t="array" ref="AE462">INDEX(Subject!$A:$I,MATCH(RANDBETWEEN(1,16),Subject!$B:$B,0),3)</f>
        <v>#N/A</v>
      </c>
      <c r="AF462" s="8" t="str">
        <f t="array" ref="AF462">INDEX(Subject!$A:$I,MATCH(RANDBETWEEN(1,16),Subject!$B:$B,0),3)</f>
        <v>#N/A</v>
      </c>
      <c r="AG462" s="8" t="str">
        <f t="array" ref="AG462">INDEX(Subject!$A:$I,MATCH(RANDBETWEEN(1,16),Subject!$B:$B,0),3)</f>
        <v>#N/A</v>
      </c>
      <c r="AH462" s="8" t="str">
        <f t="array" ref="AH462">INDEX(Subject!$A:$I,MATCH(RANDBETWEEN(1,16),Subject!$B:$B,0),3)</f>
        <v>#N/A</v>
      </c>
      <c r="AI462" s="8" t="str">
        <f t="array" ref="AI462">INDEX(Subject!$A:$I,MATCH(RANDBETWEEN(1,16),Subject!$B:$B,0),3)</f>
        <v>#N/A</v>
      </c>
      <c r="AJ462" s="8" t="str">
        <f t="array" ref="AJ462">INDEX(Subject!$A:$I,MATCH(RANDBETWEEN(1,16),Subject!$B:$B,0),3)</f>
        <v>#N/A</v>
      </c>
      <c r="AK462" s="8" t="str">
        <f t="array" ref="AK462">INDEX(Subject!$A:$I,MATCH(RANDBETWEEN(1,16),Subject!$B:$B,0),3)</f>
        <v>#N/A</v>
      </c>
      <c r="AL462" s="8" t="str">
        <f t="array" ref="AL462">INDEX(Subject!$A:$I,MATCH(RANDBETWEEN(1,16),Subject!$B:$B,0),3)</f>
        <v>#N/A</v>
      </c>
      <c r="AM462" s="18">
        <f t="shared" si="4"/>
        <v>45962.33333</v>
      </c>
      <c r="AN462" s="19">
        <f t="shared" ref="AN462:BZ462" si="462">$A462+C$1</f>
        <v>45962.35417</v>
      </c>
      <c r="AO462" s="19">
        <f t="shared" si="462"/>
        <v>45962.375</v>
      </c>
      <c r="AP462" s="19">
        <f t="shared" si="462"/>
        <v>45962.39583</v>
      </c>
      <c r="AQ462" s="19">
        <f t="shared" si="462"/>
        <v>45962.41667</v>
      </c>
      <c r="AR462" s="19">
        <f t="shared" si="462"/>
        <v>45962.4375</v>
      </c>
      <c r="AS462" s="19">
        <f t="shared" si="462"/>
        <v>45962.45833</v>
      </c>
      <c r="AT462" s="19">
        <f t="shared" si="462"/>
        <v>45962.47917</v>
      </c>
      <c r="AU462" s="19">
        <f t="shared" si="462"/>
        <v>45962.5</v>
      </c>
      <c r="AV462" s="19">
        <f t="shared" si="462"/>
        <v>45962.52083</v>
      </c>
      <c r="AW462" s="19">
        <f t="shared" si="462"/>
        <v>45962.54167</v>
      </c>
      <c r="AX462" s="19">
        <f t="shared" si="462"/>
        <v>45962.5625</v>
      </c>
      <c r="AY462" s="19">
        <f t="shared" si="462"/>
        <v>45962.58333</v>
      </c>
      <c r="AZ462" s="19">
        <f t="shared" si="462"/>
        <v>45962.60417</v>
      </c>
      <c r="BA462" s="19">
        <f t="shared" si="462"/>
        <v>45962.625</v>
      </c>
      <c r="BB462" s="19">
        <f t="shared" si="462"/>
        <v>45962.64583</v>
      </c>
      <c r="BC462" s="19">
        <f t="shared" si="462"/>
        <v>45962.66667</v>
      </c>
      <c r="BD462" s="19">
        <f t="shared" si="462"/>
        <v>45962.6875</v>
      </c>
      <c r="BE462" s="19">
        <f t="shared" si="462"/>
        <v>45962.70833</v>
      </c>
      <c r="BF462" s="19">
        <f t="shared" si="462"/>
        <v>45962.72917</v>
      </c>
      <c r="BG462" s="19">
        <f t="shared" si="462"/>
        <v>45962.75</v>
      </c>
      <c r="BH462" s="19">
        <f t="shared" si="462"/>
        <v>45962.77083</v>
      </c>
      <c r="BI462" s="19">
        <f t="shared" si="462"/>
        <v>45962.79167</v>
      </c>
      <c r="BJ462" s="19">
        <f t="shared" si="462"/>
        <v>45962.8125</v>
      </c>
      <c r="BK462" s="19">
        <f t="shared" si="462"/>
        <v>45962.83333</v>
      </c>
      <c r="BL462" s="19">
        <f t="shared" si="462"/>
        <v>45962.85417</v>
      </c>
      <c r="BM462" s="19">
        <f t="shared" si="462"/>
        <v>45962.875</v>
      </c>
      <c r="BN462" s="19">
        <f t="shared" si="462"/>
        <v>45962.89583</v>
      </c>
      <c r="BO462" s="19">
        <f t="shared" si="462"/>
        <v>45962.91667</v>
      </c>
      <c r="BP462" s="19">
        <f t="shared" si="462"/>
        <v>45962.9375</v>
      </c>
      <c r="BQ462" s="19">
        <f t="shared" si="462"/>
        <v>45962.95833</v>
      </c>
      <c r="BR462" s="19">
        <f t="shared" si="462"/>
        <v>45962.97917</v>
      </c>
      <c r="BS462" s="19">
        <f t="shared" si="462"/>
        <v>45963</v>
      </c>
      <c r="BT462" s="19">
        <f t="shared" si="462"/>
        <v>45963.02083</v>
      </c>
      <c r="BU462" s="19">
        <f t="shared" si="462"/>
        <v>45963.04167</v>
      </c>
      <c r="BV462" s="19">
        <f t="shared" si="462"/>
        <v>45963.0625</v>
      </c>
      <c r="BW462" s="19">
        <f t="shared" si="462"/>
        <v>45963.08333</v>
      </c>
      <c r="BX462" s="19">
        <f t="shared" si="462"/>
        <v>45962</v>
      </c>
      <c r="BY462" s="19">
        <f t="shared" si="462"/>
        <v>45962</v>
      </c>
      <c r="BZ462" s="19">
        <f t="shared" si="462"/>
        <v>45962</v>
      </c>
    </row>
    <row r="463" ht="14.25" customHeight="1">
      <c r="A463" s="17">
        <v>45963.0</v>
      </c>
      <c r="B463" s="2" t="str">
        <f t="array" ref="B463">IF(NOW()&gt;AM463,"",IF(AND((WEEKDAY($A463)+$B$2)&gt;1,((WEEKDAY($A463)+$T$2)&lt;7),(WEEKDAY($A463)&lt;&gt;1)),"work",(INDEX(Subject!$A:$I,MATCH(RANDBETWEEN(1,(MAX(Subject!$B:$B))),Subject!$B:$B,0),3))))</f>
        <v/>
      </c>
      <c r="C463" s="2" t="str">
        <f t="array" ref="C463">IF(NOW()&gt;AN463,"",IF(AND((WEEKDAY($A463)+$B$2)&gt;1,((WEEKDAY($A463)+$T$2)&lt;7),(WEEKDAY($A463)&lt;&gt;1)),"work",(INDEX(Subject!$A:$I,MATCH(RANDBETWEEN(1,(MAX(Subject!$B:$B))),Subject!$B:$B,0),3))))</f>
        <v/>
      </c>
      <c r="D463" s="2" t="str">
        <f t="array" ref="D463">IF(NOW()&gt;AO463,"",IF(AND((WEEKDAY($A463)+$B$2)&gt;1,((WEEKDAY($A463)+$T$2)&lt;7),(WEEKDAY($A463)&lt;&gt;1)),"work",(INDEX(Subject!$A:$I,MATCH(RANDBETWEEN(1,(MAX(Subject!$B:$B))),Subject!$B:$B,0),3))))</f>
        <v/>
      </c>
      <c r="E463" s="2" t="str">
        <f t="array" ref="E463">IF(NOW()&gt;AP463,"",IF(AND((WEEKDAY($A463)+$B$2)&gt;1,((WEEKDAY($A463)+$T$2)&lt;7),(WEEKDAY($A463)&lt;&gt;1)),"work",(INDEX(Subject!$A:$I,MATCH(RANDBETWEEN(1,(MAX(Subject!$B:$B))),Subject!$B:$B,0),3))))</f>
        <v/>
      </c>
      <c r="F463" s="2" t="str">
        <f t="array" ref="F463">IF(NOW()&gt;AQ463,"",IF(AND((WEEKDAY($A463)+$B$2)&gt;1,((WEEKDAY($A463)+$T$2)&lt;7),(WEEKDAY($A463)&lt;&gt;1)),"work",(INDEX(Subject!$A:$I,MATCH(RANDBETWEEN(1,(MAX(Subject!$B:$B))),Subject!$B:$B,0),3))))</f>
        <v/>
      </c>
      <c r="G463" s="2" t="str">
        <f t="array" ref="G463">IF(NOW()&gt;AR463,"",IF(AND((WEEKDAY($A463)+$B$2)&gt;1,((WEEKDAY($A463)+$T$2)&lt;7),(WEEKDAY($A463)&lt;&gt;1)),"work",(INDEX(Subject!$A:$I,MATCH(RANDBETWEEN(1,(MAX(Subject!$B:$B))),Subject!$B:$B,0),3))))</f>
        <v/>
      </c>
      <c r="H463" s="2" t="str">
        <f t="array" ref="H463">IF(NOW()&gt;AS463,"",IF(AND((WEEKDAY($A463)+$B$2)&gt;1,((WEEKDAY($A463)+$T$2)&lt;7),(WEEKDAY($A463)&lt;&gt;1)),"work",(INDEX(Subject!$A:$I,MATCH(RANDBETWEEN(1,(MAX(Subject!$B:$B))),Subject!$B:$B,0),3))))</f>
        <v/>
      </c>
      <c r="I463" s="2" t="str">
        <f t="array" ref="I463">IF(NOW()&gt;AT463,"",IF(AND((WEEKDAY($A463)+$B$2)&gt;1,((WEEKDAY($A463)+$T$2)&lt;7),(WEEKDAY($A463)&lt;&gt;1)),"work",(INDEX(Subject!$A:$I,MATCH(RANDBETWEEN(1,(MAX(Subject!$B:$B))),Subject!$B:$B,0),3))))</f>
        <v/>
      </c>
      <c r="J463" s="2" t="str">
        <f t="array" ref="J463">IF(NOW()&gt;AU463,"",IF(AND((WEEKDAY($A463)+$B$2)&gt;1,((WEEKDAY($A463)+$T$2)&lt;7),(WEEKDAY($A463)&lt;&gt;1)),"work",(INDEX(Subject!$A:$I,MATCH(RANDBETWEEN(1,(MAX(Subject!$B:$B))),Subject!$B:$B,0),3))))</f>
        <v/>
      </c>
      <c r="K463" s="2" t="str">
        <f t="array" ref="K463">IF(NOW()&gt;AV463,"",IF(AND((WEEKDAY($A463)+$B$2)&gt;1,((WEEKDAY($A463)+$T$2)&lt;7),(WEEKDAY($A463)&lt;&gt;1)),"work",(INDEX(Subject!$A:$I,MATCH(RANDBETWEEN(1,(MAX(Subject!$B:$B))),Subject!$B:$B,0),3))))</f>
        <v/>
      </c>
      <c r="L463" s="2" t="str">
        <f t="array" ref="L463">IF(NOW()&gt;AW463,"",IF(AND((WEEKDAY($A463)+$B$2)&gt;1,((WEEKDAY($A463)+$T$2)&lt;7),(WEEKDAY($A463)&lt;&gt;1)),"work",(INDEX(Subject!$A:$I,MATCH(RANDBETWEEN(1,(MAX(Subject!$B:$B))),Subject!$B:$B,0),3))))</f>
        <v/>
      </c>
      <c r="M463" s="2" t="str">
        <f t="array" ref="M463">IF(NOW()&gt;AX463,"",IF(AND((WEEKDAY($A463)+$B$2)&gt;1,((WEEKDAY($A463)+$T$2)&lt;7),(WEEKDAY($A463)&lt;&gt;1)),"work",(INDEX(Subject!$A:$I,MATCH(RANDBETWEEN(1,(MAX(Subject!$B:$B))),Subject!$B:$B,0),3))))</f>
        <v/>
      </c>
      <c r="N463" s="2" t="str">
        <f t="array" ref="N463">IF(NOW()&gt;AY463,"",IF(AND((WEEKDAY($A463)+$B$2)&gt;1,((WEEKDAY($A463)+$T$2)&lt;7),(WEEKDAY($A463)&lt;&gt;1)),"work",(INDEX(Subject!$A:$I,MATCH(RANDBETWEEN(1,(MAX(Subject!$B:$B))),Subject!$B:$B,0),3))))</f>
        <v/>
      </c>
      <c r="O463" s="2" t="str">
        <f t="array" ref="O463">IF(NOW()&gt;AZ463,"",IF(AND((WEEKDAY($A463)+$B$2)&gt;1,((WEEKDAY($A463)+$T$2)&lt;7),(WEEKDAY($A463)&lt;&gt;1)),"work",(INDEX(Subject!$A:$I,MATCH(RANDBETWEEN(1,(MAX(Subject!$B:$B))),Subject!$B:$B,0),3))))</f>
        <v/>
      </c>
      <c r="P463" s="2" t="str">
        <f t="array" ref="P463">IF(NOW()&gt;BA463,"",IF(AND((WEEKDAY($A463)+$B$2)&gt;1,((WEEKDAY($A463)+$T$2)&lt;7),(WEEKDAY($A463)&lt;&gt;1)),"work",(INDEX(Subject!$A:$I,MATCH(RANDBETWEEN(1,(MAX(Subject!$B:$B))),Subject!$B:$B,0),3))))</f>
        <v/>
      </c>
      <c r="Q463" s="2" t="str">
        <f t="array" ref="Q463">IF(NOW()&gt;BB463,"",IF(AND((WEEKDAY($A463)+$B$2)&gt;1,((WEEKDAY($A463)+$T$2)&lt;7),(WEEKDAY($A463)&lt;&gt;1)),"work",(INDEX(Subject!$A:$I,MATCH(RANDBETWEEN(1,(MAX(Subject!$B:$B))),Subject!$B:$B,0),3))))</f>
        <v/>
      </c>
      <c r="R463" s="2" t="str">
        <f t="array" ref="R463">IF(NOW()&gt;BC463,"",IF(AND((WEEKDAY($A463)+$B$2)&gt;1,((WEEKDAY($A463)+$T$2)&lt;7),(WEEKDAY($A463)&lt;&gt;1)),"work",(INDEX(Subject!$A:$I,MATCH(RANDBETWEEN(1,(MAX(Subject!$B:$B))),Subject!$B:$B,0),3))))</f>
        <v/>
      </c>
      <c r="S463" s="2" t="str">
        <f t="array" ref="S463">IF(NOW()&gt;BD463,"",IF(AND((WEEKDAY($A463)+$B$2)&gt;1,((WEEKDAY($A463)+$T$2)&lt;7),(WEEKDAY($A463)&lt;&gt;1)),"work",(INDEX(Subject!$A:$I,MATCH(RANDBETWEEN(1,(MAX(Subject!$B:$B))),Subject!$B:$B,0),3))))</f>
        <v/>
      </c>
      <c r="T463" s="2" t="str">
        <f t="array" ref="T463">IF(NOW()&gt;BE463,"",IF(AND((WEEKDAY($A463)+$B$2)&gt;1,((WEEKDAY($A463)+$T$2)&lt;7),(WEEKDAY($A463)&lt;&gt;1)),"work",(INDEX(Subject!$A:$I,MATCH(RANDBETWEEN(1,(MAX(Subject!$B:$B))),Subject!$B:$B,0),3))))</f>
        <v/>
      </c>
      <c r="U463" s="8" t="str">
        <f t="array" ref="U463">INDEX(Subject!$A:$I,MATCH(RANDBETWEEN(1,16),Subject!$B:$B,0),3)</f>
        <v>#N/A</v>
      </c>
      <c r="V463" s="8" t="str">
        <f t="array" ref="V463">INDEX(Subject!$A:$I,MATCH(RANDBETWEEN(1,16),Subject!$B:$B,0),3)</f>
        <v>#N/A</v>
      </c>
      <c r="W463" s="8" t="str">
        <f t="array" ref="W463">INDEX(Subject!$A:$I,MATCH(RANDBETWEEN(1,16),Subject!$B:$B,0),3)</f>
        <v>#N/A</v>
      </c>
      <c r="X463" s="8" t="str">
        <f t="array" ref="X463">INDEX(Subject!$A:$I,MATCH(RANDBETWEEN(1,16),Subject!$B:$B,0),3)</f>
        <v>#N/A</v>
      </c>
      <c r="Y463" s="8" t="str">
        <f t="array" ref="Y463">INDEX(Subject!$A:$I,MATCH(RANDBETWEEN(1,16),Subject!$B:$B,0),3)</f>
        <v>#N/A</v>
      </c>
      <c r="Z463" s="8" t="str">
        <f t="array" ref="Z463">INDEX(Subject!$A:$I,MATCH(RANDBETWEEN(1,16),Subject!$B:$B,0),3)</f>
        <v>#N/A</v>
      </c>
      <c r="AA463" s="8" t="str">
        <f t="array" ref="AA463">INDEX(Subject!$A:$I,MATCH(RANDBETWEEN(1,16),Subject!$B:$B,0),3)</f>
        <v>#N/A</v>
      </c>
      <c r="AB463" s="8" t="str">
        <f t="array" ref="AB463">INDEX(Subject!$A:$I,MATCH(RANDBETWEEN(1,16),Subject!$B:$B,0),3)</f>
        <v>#N/A</v>
      </c>
      <c r="AC463" s="8" t="str">
        <f t="array" ref="AC463">INDEX(Subject!$A:$I,MATCH(RANDBETWEEN(1,16),Subject!$B:$B,0),3)</f>
        <v/>
      </c>
      <c r="AD463" s="8" t="str">
        <f t="array" ref="AD463">INDEX(Subject!$A:$I,MATCH(RANDBETWEEN(1,16),Subject!$B:$B,0),3)</f>
        <v>#N/A</v>
      </c>
      <c r="AE463" s="8" t="str">
        <f t="array" ref="AE463">INDEX(Subject!$A:$I,MATCH(RANDBETWEEN(1,16),Subject!$B:$B,0),3)</f>
        <v>#N/A</v>
      </c>
      <c r="AF463" s="8" t="str">
        <f t="array" ref="AF463">INDEX(Subject!$A:$I,MATCH(RANDBETWEEN(1,16),Subject!$B:$B,0),3)</f>
        <v/>
      </c>
      <c r="AG463" s="8" t="str">
        <f t="array" ref="AG463">INDEX(Subject!$A:$I,MATCH(RANDBETWEEN(1,16),Subject!$B:$B,0),3)</f>
        <v>#N/A</v>
      </c>
      <c r="AH463" s="8" t="str">
        <f t="array" ref="AH463">INDEX(Subject!$A:$I,MATCH(RANDBETWEEN(1,16),Subject!$B:$B,0),3)</f>
        <v>#N/A</v>
      </c>
      <c r="AI463" s="8" t="str">
        <f t="array" ref="AI463">INDEX(Subject!$A:$I,MATCH(RANDBETWEEN(1,16),Subject!$B:$B,0),3)</f>
        <v>#N/A</v>
      </c>
      <c r="AJ463" s="8" t="str">
        <f t="array" ref="AJ463">INDEX(Subject!$A:$I,MATCH(RANDBETWEEN(1,16),Subject!$B:$B,0),3)</f>
        <v>#N/A</v>
      </c>
      <c r="AK463" s="8" t="str">
        <f t="array" ref="AK463">INDEX(Subject!$A:$I,MATCH(RANDBETWEEN(1,16),Subject!$B:$B,0),3)</f>
        <v>#N/A</v>
      </c>
      <c r="AL463" s="8" t="str">
        <f t="array" ref="AL463">INDEX(Subject!$A:$I,MATCH(RANDBETWEEN(1,16),Subject!$B:$B,0),3)</f>
        <v>#N/A</v>
      </c>
      <c r="AM463" s="18">
        <f t="shared" si="4"/>
        <v>45963.33333</v>
      </c>
      <c r="AN463" s="19">
        <f t="shared" ref="AN463:BZ463" si="463">$A463+C$1</f>
        <v>45963.35417</v>
      </c>
      <c r="AO463" s="19">
        <f t="shared" si="463"/>
        <v>45963.375</v>
      </c>
      <c r="AP463" s="19">
        <f t="shared" si="463"/>
        <v>45963.39583</v>
      </c>
      <c r="AQ463" s="19">
        <f t="shared" si="463"/>
        <v>45963.41667</v>
      </c>
      <c r="AR463" s="19">
        <f t="shared" si="463"/>
        <v>45963.4375</v>
      </c>
      <c r="AS463" s="19">
        <f t="shared" si="463"/>
        <v>45963.45833</v>
      </c>
      <c r="AT463" s="19">
        <f t="shared" si="463"/>
        <v>45963.47917</v>
      </c>
      <c r="AU463" s="19">
        <f t="shared" si="463"/>
        <v>45963.5</v>
      </c>
      <c r="AV463" s="19">
        <f t="shared" si="463"/>
        <v>45963.52083</v>
      </c>
      <c r="AW463" s="19">
        <f t="shared" si="463"/>
        <v>45963.54167</v>
      </c>
      <c r="AX463" s="19">
        <f t="shared" si="463"/>
        <v>45963.5625</v>
      </c>
      <c r="AY463" s="19">
        <f t="shared" si="463"/>
        <v>45963.58333</v>
      </c>
      <c r="AZ463" s="19">
        <f t="shared" si="463"/>
        <v>45963.60417</v>
      </c>
      <c r="BA463" s="19">
        <f t="shared" si="463"/>
        <v>45963.625</v>
      </c>
      <c r="BB463" s="19">
        <f t="shared" si="463"/>
        <v>45963.64583</v>
      </c>
      <c r="BC463" s="19">
        <f t="shared" si="463"/>
        <v>45963.66667</v>
      </c>
      <c r="BD463" s="19">
        <f t="shared" si="463"/>
        <v>45963.6875</v>
      </c>
      <c r="BE463" s="19">
        <f t="shared" si="463"/>
        <v>45963.70833</v>
      </c>
      <c r="BF463" s="19">
        <f t="shared" si="463"/>
        <v>45963.72917</v>
      </c>
      <c r="BG463" s="19">
        <f t="shared" si="463"/>
        <v>45963.75</v>
      </c>
      <c r="BH463" s="19">
        <f t="shared" si="463"/>
        <v>45963.77083</v>
      </c>
      <c r="BI463" s="19">
        <f t="shared" si="463"/>
        <v>45963.79167</v>
      </c>
      <c r="BJ463" s="19">
        <f t="shared" si="463"/>
        <v>45963.8125</v>
      </c>
      <c r="BK463" s="19">
        <f t="shared" si="463"/>
        <v>45963.83333</v>
      </c>
      <c r="BL463" s="19">
        <f t="shared" si="463"/>
        <v>45963.85417</v>
      </c>
      <c r="BM463" s="19">
        <f t="shared" si="463"/>
        <v>45963.875</v>
      </c>
      <c r="BN463" s="19">
        <f t="shared" si="463"/>
        <v>45963.89583</v>
      </c>
      <c r="BO463" s="19">
        <f t="shared" si="463"/>
        <v>45963.91667</v>
      </c>
      <c r="BP463" s="19">
        <f t="shared" si="463"/>
        <v>45963.9375</v>
      </c>
      <c r="BQ463" s="19">
        <f t="shared" si="463"/>
        <v>45963.95833</v>
      </c>
      <c r="BR463" s="19">
        <f t="shared" si="463"/>
        <v>45963.97917</v>
      </c>
      <c r="BS463" s="19">
        <f t="shared" si="463"/>
        <v>45964</v>
      </c>
      <c r="BT463" s="19">
        <f t="shared" si="463"/>
        <v>45964.02083</v>
      </c>
      <c r="BU463" s="19">
        <f t="shared" si="463"/>
        <v>45964.04167</v>
      </c>
      <c r="BV463" s="19">
        <f t="shared" si="463"/>
        <v>45964.0625</v>
      </c>
      <c r="BW463" s="19">
        <f t="shared" si="463"/>
        <v>45964.08333</v>
      </c>
      <c r="BX463" s="19">
        <f t="shared" si="463"/>
        <v>45963</v>
      </c>
      <c r="BY463" s="19">
        <f t="shared" si="463"/>
        <v>45963</v>
      </c>
      <c r="BZ463" s="19">
        <f t="shared" si="463"/>
        <v>45963</v>
      </c>
    </row>
    <row r="464" ht="14.25" customHeight="1">
      <c r="A464" s="17">
        <v>45964.0</v>
      </c>
      <c r="B464" s="2" t="str">
        <f t="array" ref="B464">IF(NOW()&gt;AM464,"",IF(AND((WEEKDAY($A464)+$B$2)&gt;1,((WEEKDAY($A464)+$T$2)&lt;7),(WEEKDAY($A464)&lt;&gt;1)),"work",(INDEX(Subject!$A:$I,MATCH(RANDBETWEEN(1,(MAX(Subject!$B:$B))),Subject!$B:$B,0),3))))</f>
        <v/>
      </c>
      <c r="C464" s="2" t="str">
        <f t="array" ref="C464">IF(NOW()&gt;AN464,"",IF(AND((WEEKDAY($A464)+$B$2)&gt;1,((WEEKDAY($A464)+$T$2)&lt;7),(WEEKDAY($A464)&lt;&gt;1)),"work",(INDEX(Subject!$A:$I,MATCH(RANDBETWEEN(1,(MAX(Subject!$B:$B))),Subject!$B:$B,0),3))))</f>
        <v/>
      </c>
      <c r="D464" s="2" t="str">
        <f t="array" ref="D464">IF(NOW()&gt;AO464,"",IF(AND((WEEKDAY($A464)+$B$2)&gt;1,((WEEKDAY($A464)+$T$2)&lt;7),(WEEKDAY($A464)&lt;&gt;1)),"work",(INDEX(Subject!$A:$I,MATCH(RANDBETWEEN(1,(MAX(Subject!$B:$B))),Subject!$B:$B,0),3))))</f>
        <v/>
      </c>
      <c r="E464" s="2" t="str">
        <f t="array" ref="E464">IF(NOW()&gt;AP464,"",IF(AND((WEEKDAY($A464)+$B$2)&gt;1,((WEEKDAY($A464)+$T$2)&lt;7),(WEEKDAY($A464)&lt;&gt;1)),"work",(INDEX(Subject!$A:$I,MATCH(RANDBETWEEN(1,(MAX(Subject!$B:$B))),Subject!$B:$B,0),3))))</f>
        <v/>
      </c>
      <c r="F464" s="2" t="str">
        <f t="array" ref="F464">IF(NOW()&gt;AQ464,"",IF(AND((WEEKDAY($A464)+$B$2)&gt;1,((WEEKDAY($A464)+$T$2)&lt;7),(WEEKDAY($A464)&lt;&gt;1)),"work",(INDEX(Subject!$A:$I,MATCH(RANDBETWEEN(1,(MAX(Subject!$B:$B))),Subject!$B:$B,0),3))))</f>
        <v/>
      </c>
      <c r="G464" s="2" t="str">
        <f t="array" ref="G464">IF(NOW()&gt;AR464,"",IF(AND((WEEKDAY($A464)+$B$2)&gt;1,((WEEKDAY($A464)+$T$2)&lt;7),(WEEKDAY($A464)&lt;&gt;1)),"work",(INDEX(Subject!$A:$I,MATCH(RANDBETWEEN(1,(MAX(Subject!$B:$B))),Subject!$B:$B,0),3))))</f>
        <v/>
      </c>
      <c r="H464" s="2" t="str">
        <f t="array" ref="H464">IF(NOW()&gt;AS464,"",IF(AND((WEEKDAY($A464)+$B$2)&gt;1,((WEEKDAY($A464)+$T$2)&lt;7),(WEEKDAY($A464)&lt;&gt;1)),"work",(INDEX(Subject!$A:$I,MATCH(RANDBETWEEN(1,(MAX(Subject!$B:$B))),Subject!$B:$B,0),3))))</f>
        <v/>
      </c>
      <c r="I464" s="2" t="str">
        <f t="array" ref="I464">IF(NOW()&gt;AT464,"",IF(AND((WEEKDAY($A464)+$B$2)&gt;1,((WEEKDAY($A464)+$T$2)&lt;7),(WEEKDAY($A464)&lt;&gt;1)),"work",(INDEX(Subject!$A:$I,MATCH(RANDBETWEEN(1,(MAX(Subject!$B:$B))),Subject!$B:$B,0),3))))</f>
        <v/>
      </c>
      <c r="J464" s="2" t="str">
        <f t="array" ref="J464">IF(NOW()&gt;AU464,"",IF(AND((WEEKDAY($A464)+$B$2)&gt;1,((WEEKDAY($A464)+$T$2)&lt;7),(WEEKDAY($A464)&lt;&gt;1)),"work",(INDEX(Subject!$A:$I,MATCH(RANDBETWEEN(1,(MAX(Subject!$B:$B))),Subject!$B:$B,0),3))))</f>
        <v/>
      </c>
      <c r="K464" s="2" t="str">
        <f t="array" ref="K464">IF(NOW()&gt;AV464,"",IF(AND((WEEKDAY($A464)+$B$2)&gt;1,((WEEKDAY($A464)+$T$2)&lt;7),(WEEKDAY($A464)&lt;&gt;1)),"work",(INDEX(Subject!$A:$I,MATCH(RANDBETWEEN(1,(MAX(Subject!$B:$B))),Subject!$B:$B,0),3))))</f>
        <v/>
      </c>
      <c r="L464" s="2" t="str">
        <f t="array" ref="L464">IF(NOW()&gt;AW464,"",IF(AND((WEEKDAY($A464)+$B$2)&gt;1,((WEEKDAY($A464)+$T$2)&lt;7),(WEEKDAY($A464)&lt;&gt;1)),"work",(INDEX(Subject!$A:$I,MATCH(RANDBETWEEN(1,(MAX(Subject!$B:$B))),Subject!$B:$B,0),3))))</f>
        <v/>
      </c>
      <c r="M464" s="2" t="str">
        <f t="array" ref="M464">IF(NOW()&gt;AX464,"",IF(AND((WEEKDAY($A464)+$B$2)&gt;1,((WEEKDAY($A464)+$T$2)&lt;7),(WEEKDAY($A464)&lt;&gt;1)),"work",(INDEX(Subject!$A:$I,MATCH(RANDBETWEEN(1,(MAX(Subject!$B:$B))),Subject!$B:$B,0),3))))</f>
        <v/>
      </c>
      <c r="N464" s="2" t="str">
        <f t="array" ref="N464">IF(NOW()&gt;AY464,"",IF(AND((WEEKDAY($A464)+$B$2)&gt;1,((WEEKDAY($A464)+$T$2)&lt;7),(WEEKDAY($A464)&lt;&gt;1)),"work",(INDEX(Subject!$A:$I,MATCH(RANDBETWEEN(1,(MAX(Subject!$B:$B))),Subject!$B:$B,0),3))))</f>
        <v/>
      </c>
      <c r="O464" s="2" t="str">
        <f t="array" ref="O464">IF(NOW()&gt;AZ464,"",IF(AND((WEEKDAY($A464)+$B$2)&gt;1,((WEEKDAY($A464)+$T$2)&lt;7),(WEEKDAY($A464)&lt;&gt;1)),"work",(INDEX(Subject!$A:$I,MATCH(RANDBETWEEN(1,(MAX(Subject!$B:$B))),Subject!$B:$B,0),3))))</f>
        <v/>
      </c>
      <c r="P464" s="2" t="str">
        <f t="array" ref="P464">IF(NOW()&gt;BA464,"",IF(AND((WEEKDAY($A464)+$B$2)&gt;1,((WEEKDAY($A464)+$T$2)&lt;7),(WEEKDAY($A464)&lt;&gt;1)),"work",(INDEX(Subject!$A:$I,MATCH(RANDBETWEEN(1,(MAX(Subject!$B:$B))),Subject!$B:$B,0),3))))</f>
        <v/>
      </c>
      <c r="Q464" s="2" t="str">
        <f t="array" ref="Q464">IF(NOW()&gt;BB464,"",IF(AND((WEEKDAY($A464)+$B$2)&gt;1,((WEEKDAY($A464)+$T$2)&lt;7),(WEEKDAY($A464)&lt;&gt;1)),"work",(INDEX(Subject!$A:$I,MATCH(RANDBETWEEN(1,(MAX(Subject!$B:$B))),Subject!$B:$B,0),3))))</f>
        <v/>
      </c>
      <c r="R464" s="2" t="str">
        <f t="array" ref="R464">IF(NOW()&gt;BC464,"",IF(AND((WEEKDAY($A464)+$B$2)&gt;1,((WEEKDAY($A464)+$T$2)&lt;7),(WEEKDAY($A464)&lt;&gt;1)),"work",(INDEX(Subject!$A:$I,MATCH(RANDBETWEEN(1,(MAX(Subject!$B:$B))),Subject!$B:$B,0),3))))</f>
        <v/>
      </c>
      <c r="S464" s="2" t="str">
        <f t="array" ref="S464">IF(NOW()&gt;BD464,"",IF(AND((WEEKDAY($A464)+$B$2)&gt;1,((WEEKDAY($A464)+$T$2)&lt;7),(WEEKDAY($A464)&lt;&gt;1)),"work",(INDEX(Subject!$A:$I,MATCH(RANDBETWEEN(1,(MAX(Subject!$B:$B))),Subject!$B:$B,0),3))))</f>
        <v/>
      </c>
      <c r="T464" s="2" t="str">
        <f t="array" ref="T464">IF(NOW()&gt;BE464,"",IF(AND((WEEKDAY($A464)+$B$2)&gt;1,((WEEKDAY($A464)+$T$2)&lt;7),(WEEKDAY($A464)&lt;&gt;1)),"work",(INDEX(Subject!$A:$I,MATCH(RANDBETWEEN(1,(MAX(Subject!$B:$B))),Subject!$B:$B,0),3))))</f>
        <v/>
      </c>
      <c r="U464" s="8" t="str">
        <f t="array" ref="U464">INDEX(Subject!$A:$I,MATCH(RANDBETWEEN(1,16),Subject!$B:$B,0),3)</f>
        <v>#N/A</v>
      </c>
      <c r="V464" s="8" t="str">
        <f t="array" ref="V464">INDEX(Subject!$A:$I,MATCH(RANDBETWEEN(1,16),Subject!$B:$B,0),3)</f>
        <v>#N/A</v>
      </c>
      <c r="W464" s="8" t="str">
        <f t="array" ref="W464">INDEX(Subject!$A:$I,MATCH(RANDBETWEEN(1,16),Subject!$B:$B,0),3)</f>
        <v>#N/A</v>
      </c>
      <c r="X464" s="8" t="str">
        <f t="array" ref="X464">INDEX(Subject!$A:$I,MATCH(RANDBETWEEN(1,16),Subject!$B:$B,0),3)</f>
        <v>#N/A</v>
      </c>
      <c r="Y464" s="8" t="str">
        <f t="array" ref="Y464">INDEX(Subject!$A:$I,MATCH(RANDBETWEEN(1,16),Subject!$B:$B,0),3)</f>
        <v>#N/A</v>
      </c>
      <c r="Z464" s="8" t="str">
        <f t="array" ref="Z464">INDEX(Subject!$A:$I,MATCH(RANDBETWEEN(1,16),Subject!$B:$B,0),3)</f>
        <v>#N/A</v>
      </c>
      <c r="AA464" s="8" t="str">
        <f t="array" ref="AA464">INDEX(Subject!$A:$I,MATCH(RANDBETWEEN(1,16),Subject!$B:$B,0),3)</f>
        <v>#N/A</v>
      </c>
      <c r="AB464" s="8" t="str">
        <f t="array" ref="AB464">INDEX(Subject!$A:$I,MATCH(RANDBETWEEN(1,16),Subject!$B:$B,0),3)</f>
        <v>#N/A</v>
      </c>
      <c r="AC464" s="8" t="str">
        <f t="array" ref="AC464">INDEX(Subject!$A:$I,MATCH(RANDBETWEEN(1,16),Subject!$B:$B,0),3)</f>
        <v>#N/A</v>
      </c>
      <c r="AD464" s="8" t="str">
        <f t="array" ref="AD464">INDEX(Subject!$A:$I,MATCH(RANDBETWEEN(1,16),Subject!$B:$B,0),3)</f>
        <v>#N/A</v>
      </c>
      <c r="AE464" s="8" t="str">
        <f t="array" ref="AE464">INDEX(Subject!$A:$I,MATCH(RANDBETWEEN(1,16),Subject!$B:$B,0),3)</f>
        <v>#N/A</v>
      </c>
      <c r="AF464" s="8" t="str">
        <f t="array" ref="AF464">INDEX(Subject!$A:$I,MATCH(RANDBETWEEN(1,16),Subject!$B:$B,0),3)</f>
        <v>#N/A</v>
      </c>
      <c r="AG464" s="8" t="str">
        <f t="array" ref="AG464">INDEX(Subject!$A:$I,MATCH(RANDBETWEEN(1,16),Subject!$B:$B,0),3)</f>
        <v>#N/A</v>
      </c>
      <c r="AH464" s="8" t="str">
        <f t="array" ref="AH464">INDEX(Subject!$A:$I,MATCH(RANDBETWEEN(1,16),Subject!$B:$B,0),3)</f>
        <v>#N/A</v>
      </c>
      <c r="AI464" s="8" t="str">
        <f t="array" ref="AI464">INDEX(Subject!$A:$I,MATCH(RANDBETWEEN(1,16),Subject!$B:$B,0),3)</f>
        <v>#N/A</v>
      </c>
      <c r="AJ464" s="8" t="str">
        <f t="array" ref="AJ464">INDEX(Subject!$A:$I,MATCH(RANDBETWEEN(1,16),Subject!$B:$B,0),3)</f>
        <v>#N/A</v>
      </c>
      <c r="AK464" s="8" t="str">
        <f t="array" ref="AK464">INDEX(Subject!$A:$I,MATCH(RANDBETWEEN(1,16),Subject!$B:$B,0),3)</f>
        <v>#N/A</v>
      </c>
      <c r="AL464" s="8" t="str">
        <f t="array" ref="AL464">INDEX(Subject!$A:$I,MATCH(RANDBETWEEN(1,16),Subject!$B:$B,0),3)</f>
        <v>#N/A</v>
      </c>
      <c r="AM464" s="18">
        <f t="shared" si="4"/>
        <v>45964.33333</v>
      </c>
      <c r="AN464" s="19">
        <f t="shared" ref="AN464:BZ464" si="464">$A464+C$1</f>
        <v>45964.35417</v>
      </c>
      <c r="AO464" s="19">
        <f t="shared" si="464"/>
        <v>45964.375</v>
      </c>
      <c r="AP464" s="19">
        <f t="shared" si="464"/>
        <v>45964.39583</v>
      </c>
      <c r="AQ464" s="19">
        <f t="shared" si="464"/>
        <v>45964.41667</v>
      </c>
      <c r="AR464" s="19">
        <f t="shared" si="464"/>
        <v>45964.4375</v>
      </c>
      <c r="AS464" s="19">
        <f t="shared" si="464"/>
        <v>45964.45833</v>
      </c>
      <c r="AT464" s="19">
        <f t="shared" si="464"/>
        <v>45964.47917</v>
      </c>
      <c r="AU464" s="19">
        <f t="shared" si="464"/>
        <v>45964.5</v>
      </c>
      <c r="AV464" s="19">
        <f t="shared" si="464"/>
        <v>45964.52083</v>
      </c>
      <c r="AW464" s="19">
        <f t="shared" si="464"/>
        <v>45964.54167</v>
      </c>
      <c r="AX464" s="19">
        <f t="shared" si="464"/>
        <v>45964.5625</v>
      </c>
      <c r="AY464" s="19">
        <f t="shared" si="464"/>
        <v>45964.58333</v>
      </c>
      <c r="AZ464" s="19">
        <f t="shared" si="464"/>
        <v>45964.60417</v>
      </c>
      <c r="BA464" s="19">
        <f t="shared" si="464"/>
        <v>45964.625</v>
      </c>
      <c r="BB464" s="19">
        <f t="shared" si="464"/>
        <v>45964.64583</v>
      </c>
      <c r="BC464" s="19">
        <f t="shared" si="464"/>
        <v>45964.66667</v>
      </c>
      <c r="BD464" s="19">
        <f t="shared" si="464"/>
        <v>45964.6875</v>
      </c>
      <c r="BE464" s="19">
        <f t="shared" si="464"/>
        <v>45964.70833</v>
      </c>
      <c r="BF464" s="19">
        <f t="shared" si="464"/>
        <v>45964.72917</v>
      </c>
      <c r="BG464" s="19">
        <f t="shared" si="464"/>
        <v>45964.75</v>
      </c>
      <c r="BH464" s="19">
        <f t="shared" si="464"/>
        <v>45964.77083</v>
      </c>
      <c r="BI464" s="19">
        <f t="shared" si="464"/>
        <v>45964.79167</v>
      </c>
      <c r="BJ464" s="19">
        <f t="shared" si="464"/>
        <v>45964.8125</v>
      </c>
      <c r="BK464" s="19">
        <f t="shared" si="464"/>
        <v>45964.83333</v>
      </c>
      <c r="BL464" s="19">
        <f t="shared" si="464"/>
        <v>45964.85417</v>
      </c>
      <c r="BM464" s="19">
        <f t="shared" si="464"/>
        <v>45964.875</v>
      </c>
      <c r="BN464" s="19">
        <f t="shared" si="464"/>
        <v>45964.89583</v>
      </c>
      <c r="BO464" s="19">
        <f t="shared" si="464"/>
        <v>45964.91667</v>
      </c>
      <c r="BP464" s="19">
        <f t="shared" si="464"/>
        <v>45964.9375</v>
      </c>
      <c r="BQ464" s="19">
        <f t="shared" si="464"/>
        <v>45964.95833</v>
      </c>
      <c r="BR464" s="19">
        <f t="shared" si="464"/>
        <v>45964.97917</v>
      </c>
      <c r="BS464" s="19">
        <f t="shared" si="464"/>
        <v>45965</v>
      </c>
      <c r="BT464" s="19">
        <f t="shared" si="464"/>
        <v>45965.02083</v>
      </c>
      <c r="BU464" s="19">
        <f t="shared" si="464"/>
        <v>45965.04167</v>
      </c>
      <c r="BV464" s="19">
        <f t="shared" si="464"/>
        <v>45965.0625</v>
      </c>
      <c r="BW464" s="19">
        <f t="shared" si="464"/>
        <v>45965.08333</v>
      </c>
      <c r="BX464" s="19">
        <f t="shared" si="464"/>
        <v>45964</v>
      </c>
      <c r="BY464" s="19">
        <f t="shared" si="464"/>
        <v>45964</v>
      </c>
      <c r="BZ464" s="19">
        <f t="shared" si="464"/>
        <v>45964</v>
      </c>
    </row>
    <row r="465" ht="14.25" customHeight="1">
      <c r="A465" s="17">
        <v>45965.0</v>
      </c>
      <c r="B465" s="2" t="str">
        <f t="array" ref="B465">IF(NOW()&gt;AM465,"",IF(AND((WEEKDAY($A465)+$B$2)&gt;1,((WEEKDAY($A465)+$T$2)&lt;7),(WEEKDAY($A465)&lt;&gt;1)),"work",(INDEX(Subject!$A:$I,MATCH(RANDBETWEEN(1,(MAX(Subject!$B:$B))),Subject!$B:$B,0),3))))</f>
        <v/>
      </c>
      <c r="C465" s="2" t="str">
        <f t="array" ref="C465">IF(NOW()&gt;AN465,"",IF(AND((WEEKDAY($A465)+$B$2)&gt;1,((WEEKDAY($A465)+$T$2)&lt;7),(WEEKDAY($A465)&lt;&gt;1)),"work",(INDEX(Subject!$A:$I,MATCH(RANDBETWEEN(1,(MAX(Subject!$B:$B))),Subject!$B:$B,0),3))))</f>
        <v/>
      </c>
      <c r="D465" s="2" t="str">
        <f t="array" ref="D465">IF(NOW()&gt;AO465,"",IF(AND((WEEKDAY($A465)+$B$2)&gt;1,((WEEKDAY($A465)+$T$2)&lt;7),(WEEKDAY($A465)&lt;&gt;1)),"work",(INDEX(Subject!$A:$I,MATCH(RANDBETWEEN(1,(MAX(Subject!$B:$B))),Subject!$B:$B,0),3))))</f>
        <v/>
      </c>
      <c r="E465" s="2" t="str">
        <f t="array" ref="E465">IF(NOW()&gt;AP465,"",IF(AND((WEEKDAY($A465)+$B$2)&gt;1,((WEEKDAY($A465)+$T$2)&lt;7),(WEEKDAY($A465)&lt;&gt;1)),"work",(INDEX(Subject!$A:$I,MATCH(RANDBETWEEN(1,(MAX(Subject!$B:$B))),Subject!$B:$B,0),3))))</f>
        <v/>
      </c>
      <c r="F465" s="2" t="str">
        <f t="array" ref="F465">IF(NOW()&gt;AQ465,"",IF(AND((WEEKDAY($A465)+$B$2)&gt;1,((WEEKDAY($A465)+$T$2)&lt;7),(WEEKDAY($A465)&lt;&gt;1)),"work",(INDEX(Subject!$A:$I,MATCH(RANDBETWEEN(1,(MAX(Subject!$B:$B))),Subject!$B:$B,0),3))))</f>
        <v/>
      </c>
      <c r="G465" s="2" t="str">
        <f t="array" ref="G465">IF(NOW()&gt;AR465,"",IF(AND((WEEKDAY($A465)+$B$2)&gt;1,((WEEKDAY($A465)+$T$2)&lt;7),(WEEKDAY($A465)&lt;&gt;1)),"work",(INDEX(Subject!$A:$I,MATCH(RANDBETWEEN(1,(MAX(Subject!$B:$B))),Subject!$B:$B,0),3))))</f>
        <v/>
      </c>
      <c r="H465" s="2" t="str">
        <f t="array" ref="H465">IF(NOW()&gt;AS465,"",IF(AND((WEEKDAY($A465)+$B$2)&gt;1,((WEEKDAY($A465)+$T$2)&lt;7),(WEEKDAY($A465)&lt;&gt;1)),"work",(INDEX(Subject!$A:$I,MATCH(RANDBETWEEN(1,(MAX(Subject!$B:$B))),Subject!$B:$B,0),3))))</f>
        <v/>
      </c>
      <c r="I465" s="2" t="str">
        <f t="array" ref="I465">IF(NOW()&gt;AT465,"",IF(AND((WEEKDAY($A465)+$B$2)&gt;1,((WEEKDAY($A465)+$T$2)&lt;7),(WEEKDAY($A465)&lt;&gt;1)),"work",(INDEX(Subject!$A:$I,MATCH(RANDBETWEEN(1,(MAX(Subject!$B:$B))),Subject!$B:$B,0),3))))</f>
        <v/>
      </c>
      <c r="J465" s="2" t="str">
        <f t="array" ref="J465">IF(NOW()&gt;AU465,"",IF(AND((WEEKDAY($A465)+$B$2)&gt;1,((WEEKDAY($A465)+$T$2)&lt;7),(WEEKDAY($A465)&lt;&gt;1)),"work",(INDEX(Subject!$A:$I,MATCH(RANDBETWEEN(1,(MAX(Subject!$B:$B))),Subject!$B:$B,0),3))))</f>
        <v/>
      </c>
      <c r="K465" s="2" t="str">
        <f t="array" ref="K465">IF(NOW()&gt;AV465,"",IF(AND((WEEKDAY($A465)+$B$2)&gt;1,((WEEKDAY($A465)+$T$2)&lt;7),(WEEKDAY($A465)&lt;&gt;1)),"work",(INDEX(Subject!$A:$I,MATCH(RANDBETWEEN(1,(MAX(Subject!$B:$B))),Subject!$B:$B,0),3))))</f>
        <v/>
      </c>
      <c r="L465" s="2" t="str">
        <f t="array" ref="L465">IF(NOW()&gt;AW465,"",IF(AND((WEEKDAY($A465)+$B$2)&gt;1,((WEEKDAY($A465)+$T$2)&lt;7),(WEEKDAY($A465)&lt;&gt;1)),"work",(INDEX(Subject!$A:$I,MATCH(RANDBETWEEN(1,(MAX(Subject!$B:$B))),Subject!$B:$B,0),3))))</f>
        <v/>
      </c>
      <c r="M465" s="2" t="str">
        <f t="array" ref="M465">IF(NOW()&gt;AX465,"",IF(AND((WEEKDAY($A465)+$B$2)&gt;1,((WEEKDAY($A465)+$T$2)&lt;7),(WEEKDAY($A465)&lt;&gt;1)),"work",(INDEX(Subject!$A:$I,MATCH(RANDBETWEEN(1,(MAX(Subject!$B:$B))),Subject!$B:$B,0),3))))</f>
        <v/>
      </c>
      <c r="N465" s="2" t="str">
        <f t="array" ref="N465">IF(NOW()&gt;AY465,"",IF(AND((WEEKDAY($A465)+$B$2)&gt;1,((WEEKDAY($A465)+$T$2)&lt;7),(WEEKDAY($A465)&lt;&gt;1)),"work",(INDEX(Subject!$A:$I,MATCH(RANDBETWEEN(1,(MAX(Subject!$B:$B))),Subject!$B:$B,0),3))))</f>
        <v/>
      </c>
      <c r="O465" s="2" t="str">
        <f t="array" ref="O465">IF(NOW()&gt;AZ465,"",IF(AND((WEEKDAY($A465)+$B$2)&gt;1,((WEEKDAY($A465)+$T$2)&lt;7),(WEEKDAY($A465)&lt;&gt;1)),"work",(INDEX(Subject!$A:$I,MATCH(RANDBETWEEN(1,(MAX(Subject!$B:$B))),Subject!$B:$B,0),3))))</f>
        <v/>
      </c>
      <c r="P465" s="2" t="str">
        <f t="array" ref="P465">IF(NOW()&gt;BA465,"",IF(AND((WEEKDAY($A465)+$B$2)&gt;1,((WEEKDAY($A465)+$T$2)&lt;7),(WEEKDAY($A465)&lt;&gt;1)),"work",(INDEX(Subject!$A:$I,MATCH(RANDBETWEEN(1,(MAX(Subject!$B:$B))),Subject!$B:$B,0),3))))</f>
        <v/>
      </c>
      <c r="Q465" s="2" t="str">
        <f t="array" ref="Q465">IF(NOW()&gt;BB465,"",IF(AND((WEEKDAY($A465)+$B$2)&gt;1,((WEEKDAY($A465)+$T$2)&lt;7),(WEEKDAY($A465)&lt;&gt;1)),"work",(INDEX(Subject!$A:$I,MATCH(RANDBETWEEN(1,(MAX(Subject!$B:$B))),Subject!$B:$B,0),3))))</f>
        <v/>
      </c>
      <c r="R465" s="2" t="str">
        <f t="array" ref="R465">IF(NOW()&gt;BC465,"",IF(AND((WEEKDAY($A465)+$B$2)&gt;1,((WEEKDAY($A465)+$T$2)&lt;7),(WEEKDAY($A465)&lt;&gt;1)),"work",(INDEX(Subject!$A:$I,MATCH(RANDBETWEEN(1,(MAX(Subject!$B:$B))),Subject!$B:$B,0),3))))</f>
        <v/>
      </c>
      <c r="S465" s="2" t="str">
        <f t="array" ref="S465">IF(NOW()&gt;BD465,"",IF(AND((WEEKDAY($A465)+$B$2)&gt;1,((WEEKDAY($A465)+$T$2)&lt;7),(WEEKDAY($A465)&lt;&gt;1)),"work",(INDEX(Subject!$A:$I,MATCH(RANDBETWEEN(1,(MAX(Subject!$B:$B))),Subject!$B:$B,0),3))))</f>
        <v/>
      </c>
      <c r="T465" s="2" t="str">
        <f t="array" ref="T465">IF(NOW()&gt;BE465,"",IF(AND((WEEKDAY($A465)+$B$2)&gt;1,((WEEKDAY($A465)+$T$2)&lt;7),(WEEKDAY($A465)&lt;&gt;1)),"work",(INDEX(Subject!$A:$I,MATCH(RANDBETWEEN(1,(MAX(Subject!$B:$B))),Subject!$B:$B,0),3))))</f>
        <v/>
      </c>
      <c r="U465" s="8" t="str">
        <f t="array" ref="U465">INDEX(Subject!$A:$I,MATCH(RANDBETWEEN(1,16),Subject!$B:$B,0),3)</f>
        <v>#N/A</v>
      </c>
      <c r="V465" s="8" t="str">
        <f t="array" ref="V465">INDEX(Subject!$A:$I,MATCH(RANDBETWEEN(1,16),Subject!$B:$B,0),3)</f>
        <v>#N/A</v>
      </c>
      <c r="W465" s="8" t="str">
        <f t="array" ref="W465">INDEX(Subject!$A:$I,MATCH(RANDBETWEEN(1,16),Subject!$B:$B,0),3)</f>
        <v>#N/A</v>
      </c>
      <c r="X465" s="8" t="str">
        <f t="array" ref="X465">INDEX(Subject!$A:$I,MATCH(RANDBETWEEN(1,16),Subject!$B:$B,0),3)</f>
        <v>#N/A</v>
      </c>
      <c r="Y465" s="8" t="str">
        <f t="array" ref="Y465">INDEX(Subject!$A:$I,MATCH(RANDBETWEEN(1,16),Subject!$B:$B,0),3)</f>
        <v>#N/A</v>
      </c>
      <c r="Z465" s="8" t="str">
        <f t="array" ref="Z465">INDEX(Subject!$A:$I,MATCH(RANDBETWEEN(1,16),Subject!$B:$B,0),3)</f>
        <v>#N/A</v>
      </c>
      <c r="AA465" s="8" t="str">
        <f t="array" ref="AA465">INDEX(Subject!$A:$I,MATCH(RANDBETWEEN(1,16),Subject!$B:$B,0),3)</f>
        <v>#N/A</v>
      </c>
      <c r="AB465" s="8" t="str">
        <f t="array" ref="AB465">INDEX(Subject!$A:$I,MATCH(RANDBETWEEN(1,16),Subject!$B:$B,0),3)</f>
        <v>#N/A</v>
      </c>
      <c r="AC465" s="8" t="str">
        <f t="array" ref="AC465">INDEX(Subject!$A:$I,MATCH(RANDBETWEEN(1,16),Subject!$B:$B,0),3)</f>
        <v>#N/A</v>
      </c>
      <c r="AD465" s="8" t="str">
        <f t="array" ref="AD465">INDEX(Subject!$A:$I,MATCH(RANDBETWEEN(1,16),Subject!$B:$B,0),3)</f>
        <v>#N/A</v>
      </c>
      <c r="AE465" s="8" t="str">
        <f t="array" ref="AE465">INDEX(Subject!$A:$I,MATCH(RANDBETWEEN(1,16),Subject!$B:$B,0),3)</f>
        <v>#N/A</v>
      </c>
      <c r="AF465" s="8" t="str">
        <f t="array" ref="AF465">INDEX(Subject!$A:$I,MATCH(RANDBETWEEN(1,16),Subject!$B:$B,0),3)</f>
        <v>#N/A</v>
      </c>
      <c r="AG465" s="8" t="str">
        <f t="array" ref="AG465">INDEX(Subject!$A:$I,MATCH(RANDBETWEEN(1,16),Subject!$B:$B,0),3)</f>
        <v>#N/A</v>
      </c>
      <c r="AH465" s="8" t="str">
        <f t="array" ref="AH465">INDEX(Subject!$A:$I,MATCH(RANDBETWEEN(1,16),Subject!$B:$B,0),3)</f>
        <v>#N/A</v>
      </c>
      <c r="AI465" s="8" t="str">
        <f t="array" ref="AI465">INDEX(Subject!$A:$I,MATCH(RANDBETWEEN(1,16),Subject!$B:$B,0),3)</f>
        <v>#N/A</v>
      </c>
      <c r="AJ465" s="8" t="str">
        <f t="array" ref="AJ465">INDEX(Subject!$A:$I,MATCH(RANDBETWEEN(1,16),Subject!$B:$B,0),3)</f>
        <v>#N/A</v>
      </c>
      <c r="AK465" s="8" t="str">
        <f t="array" ref="AK465">INDEX(Subject!$A:$I,MATCH(RANDBETWEEN(1,16),Subject!$B:$B,0),3)</f>
        <v>#N/A</v>
      </c>
      <c r="AL465" s="8" t="str">
        <f t="array" ref="AL465">INDEX(Subject!$A:$I,MATCH(RANDBETWEEN(1,16),Subject!$B:$B,0),3)</f>
        <v>#N/A</v>
      </c>
      <c r="AM465" s="18">
        <f t="shared" si="4"/>
        <v>45965.33333</v>
      </c>
      <c r="AN465" s="19">
        <f t="shared" ref="AN465:BZ465" si="465">$A465+C$1</f>
        <v>45965.35417</v>
      </c>
      <c r="AO465" s="19">
        <f t="shared" si="465"/>
        <v>45965.375</v>
      </c>
      <c r="AP465" s="19">
        <f t="shared" si="465"/>
        <v>45965.39583</v>
      </c>
      <c r="AQ465" s="19">
        <f t="shared" si="465"/>
        <v>45965.41667</v>
      </c>
      <c r="AR465" s="19">
        <f t="shared" si="465"/>
        <v>45965.4375</v>
      </c>
      <c r="AS465" s="19">
        <f t="shared" si="465"/>
        <v>45965.45833</v>
      </c>
      <c r="AT465" s="19">
        <f t="shared" si="465"/>
        <v>45965.47917</v>
      </c>
      <c r="AU465" s="19">
        <f t="shared" si="465"/>
        <v>45965.5</v>
      </c>
      <c r="AV465" s="19">
        <f t="shared" si="465"/>
        <v>45965.52083</v>
      </c>
      <c r="AW465" s="19">
        <f t="shared" si="465"/>
        <v>45965.54167</v>
      </c>
      <c r="AX465" s="19">
        <f t="shared" si="465"/>
        <v>45965.5625</v>
      </c>
      <c r="AY465" s="19">
        <f t="shared" si="465"/>
        <v>45965.58333</v>
      </c>
      <c r="AZ465" s="19">
        <f t="shared" si="465"/>
        <v>45965.60417</v>
      </c>
      <c r="BA465" s="19">
        <f t="shared" si="465"/>
        <v>45965.625</v>
      </c>
      <c r="BB465" s="19">
        <f t="shared" si="465"/>
        <v>45965.64583</v>
      </c>
      <c r="BC465" s="19">
        <f t="shared" si="465"/>
        <v>45965.66667</v>
      </c>
      <c r="BD465" s="19">
        <f t="shared" si="465"/>
        <v>45965.6875</v>
      </c>
      <c r="BE465" s="19">
        <f t="shared" si="465"/>
        <v>45965.70833</v>
      </c>
      <c r="BF465" s="19">
        <f t="shared" si="465"/>
        <v>45965.72917</v>
      </c>
      <c r="BG465" s="19">
        <f t="shared" si="465"/>
        <v>45965.75</v>
      </c>
      <c r="BH465" s="19">
        <f t="shared" si="465"/>
        <v>45965.77083</v>
      </c>
      <c r="BI465" s="19">
        <f t="shared" si="465"/>
        <v>45965.79167</v>
      </c>
      <c r="BJ465" s="19">
        <f t="shared" si="465"/>
        <v>45965.8125</v>
      </c>
      <c r="BK465" s="19">
        <f t="shared" si="465"/>
        <v>45965.83333</v>
      </c>
      <c r="BL465" s="19">
        <f t="shared" si="465"/>
        <v>45965.85417</v>
      </c>
      <c r="BM465" s="19">
        <f t="shared" si="465"/>
        <v>45965.875</v>
      </c>
      <c r="BN465" s="19">
        <f t="shared" si="465"/>
        <v>45965.89583</v>
      </c>
      <c r="BO465" s="19">
        <f t="shared" si="465"/>
        <v>45965.91667</v>
      </c>
      <c r="BP465" s="19">
        <f t="shared" si="465"/>
        <v>45965.9375</v>
      </c>
      <c r="BQ465" s="19">
        <f t="shared" si="465"/>
        <v>45965.95833</v>
      </c>
      <c r="BR465" s="19">
        <f t="shared" si="465"/>
        <v>45965.97917</v>
      </c>
      <c r="BS465" s="19">
        <f t="shared" si="465"/>
        <v>45966</v>
      </c>
      <c r="BT465" s="19">
        <f t="shared" si="465"/>
        <v>45966.02083</v>
      </c>
      <c r="BU465" s="19">
        <f t="shared" si="465"/>
        <v>45966.04167</v>
      </c>
      <c r="BV465" s="19">
        <f t="shared" si="465"/>
        <v>45966.0625</v>
      </c>
      <c r="BW465" s="19">
        <f t="shared" si="465"/>
        <v>45966.08333</v>
      </c>
      <c r="BX465" s="19">
        <f t="shared" si="465"/>
        <v>45965</v>
      </c>
      <c r="BY465" s="19">
        <f t="shared" si="465"/>
        <v>45965</v>
      </c>
      <c r="BZ465" s="19">
        <f t="shared" si="465"/>
        <v>45965</v>
      </c>
    </row>
    <row r="466" ht="14.25" customHeight="1">
      <c r="A466" s="17">
        <v>45966.0</v>
      </c>
      <c r="B466" s="2" t="str">
        <f t="array" ref="B466">IF(NOW()&gt;AM466,"",IF(AND((WEEKDAY($A466)+$B$2)&gt;1,((WEEKDAY($A466)+$T$2)&lt;7),(WEEKDAY($A466)&lt;&gt;1)),"work",(INDEX(Subject!$A:$I,MATCH(RANDBETWEEN(1,(MAX(Subject!$B:$B))),Subject!$B:$B,0),3))))</f>
        <v/>
      </c>
      <c r="C466" s="2" t="str">
        <f t="array" ref="C466">IF(NOW()&gt;AN466,"",IF(AND((WEEKDAY($A466)+$B$2)&gt;1,((WEEKDAY($A466)+$T$2)&lt;7),(WEEKDAY($A466)&lt;&gt;1)),"work",(INDEX(Subject!$A:$I,MATCH(RANDBETWEEN(1,(MAX(Subject!$B:$B))),Subject!$B:$B,0),3))))</f>
        <v/>
      </c>
      <c r="D466" s="2" t="str">
        <f t="array" ref="D466">IF(NOW()&gt;AO466,"",IF(AND((WEEKDAY($A466)+$B$2)&gt;1,((WEEKDAY($A466)+$T$2)&lt;7),(WEEKDAY($A466)&lt;&gt;1)),"work",(INDEX(Subject!$A:$I,MATCH(RANDBETWEEN(1,(MAX(Subject!$B:$B))),Subject!$B:$B,0),3))))</f>
        <v/>
      </c>
      <c r="E466" s="2" t="str">
        <f t="array" ref="E466">IF(NOW()&gt;AP466,"",IF(AND((WEEKDAY($A466)+$B$2)&gt;1,((WEEKDAY($A466)+$T$2)&lt;7),(WEEKDAY($A466)&lt;&gt;1)),"work",(INDEX(Subject!$A:$I,MATCH(RANDBETWEEN(1,(MAX(Subject!$B:$B))),Subject!$B:$B,0),3))))</f>
        <v/>
      </c>
      <c r="F466" s="2" t="str">
        <f t="array" ref="F466">IF(NOW()&gt;AQ466,"",IF(AND((WEEKDAY($A466)+$B$2)&gt;1,((WEEKDAY($A466)+$T$2)&lt;7),(WEEKDAY($A466)&lt;&gt;1)),"work",(INDEX(Subject!$A:$I,MATCH(RANDBETWEEN(1,(MAX(Subject!$B:$B))),Subject!$B:$B,0),3))))</f>
        <v/>
      </c>
      <c r="G466" s="2" t="str">
        <f t="array" ref="G466">IF(NOW()&gt;AR466,"",IF(AND((WEEKDAY($A466)+$B$2)&gt;1,((WEEKDAY($A466)+$T$2)&lt;7),(WEEKDAY($A466)&lt;&gt;1)),"work",(INDEX(Subject!$A:$I,MATCH(RANDBETWEEN(1,(MAX(Subject!$B:$B))),Subject!$B:$B,0),3))))</f>
        <v/>
      </c>
      <c r="H466" s="2" t="str">
        <f t="array" ref="H466">IF(NOW()&gt;AS466,"",IF(AND((WEEKDAY($A466)+$B$2)&gt;1,((WEEKDAY($A466)+$T$2)&lt;7),(WEEKDAY($A466)&lt;&gt;1)),"work",(INDEX(Subject!$A:$I,MATCH(RANDBETWEEN(1,(MAX(Subject!$B:$B))),Subject!$B:$B,0),3))))</f>
        <v/>
      </c>
      <c r="I466" s="2" t="str">
        <f t="array" ref="I466">IF(NOW()&gt;AT466,"",IF(AND((WEEKDAY($A466)+$B$2)&gt;1,((WEEKDAY($A466)+$T$2)&lt;7),(WEEKDAY($A466)&lt;&gt;1)),"work",(INDEX(Subject!$A:$I,MATCH(RANDBETWEEN(1,(MAX(Subject!$B:$B))),Subject!$B:$B,0),3))))</f>
        <v/>
      </c>
      <c r="J466" s="2" t="str">
        <f t="array" ref="J466">IF(NOW()&gt;AU466,"",IF(AND((WEEKDAY($A466)+$B$2)&gt;1,((WEEKDAY($A466)+$T$2)&lt;7),(WEEKDAY($A466)&lt;&gt;1)),"work",(INDEX(Subject!$A:$I,MATCH(RANDBETWEEN(1,(MAX(Subject!$B:$B))),Subject!$B:$B,0),3))))</f>
        <v/>
      </c>
      <c r="K466" s="2" t="str">
        <f t="array" ref="K466">IF(NOW()&gt;AV466,"",IF(AND((WEEKDAY($A466)+$B$2)&gt;1,((WEEKDAY($A466)+$T$2)&lt;7),(WEEKDAY($A466)&lt;&gt;1)),"work",(INDEX(Subject!$A:$I,MATCH(RANDBETWEEN(1,(MAX(Subject!$B:$B))),Subject!$B:$B,0),3))))</f>
        <v/>
      </c>
      <c r="L466" s="2" t="str">
        <f t="array" ref="L466">IF(NOW()&gt;AW466,"",IF(AND((WEEKDAY($A466)+$B$2)&gt;1,((WEEKDAY($A466)+$T$2)&lt;7),(WEEKDAY($A466)&lt;&gt;1)),"work",(INDEX(Subject!$A:$I,MATCH(RANDBETWEEN(1,(MAX(Subject!$B:$B))),Subject!$B:$B,0),3))))</f>
        <v/>
      </c>
      <c r="M466" s="2" t="str">
        <f t="array" ref="M466">IF(NOW()&gt;AX466,"",IF(AND((WEEKDAY($A466)+$B$2)&gt;1,((WEEKDAY($A466)+$T$2)&lt;7),(WEEKDAY($A466)&lt;&gt;1)),"work",(INDEX(Subject!$A:$I,MATCH(RANDBETWEEN(1,(MAX(Subject!$B:$B))),Subject!$B:$B,0),3))))</f>
        <v/>
      </c>
      <c r="N466" s="2" t="str">
        <f t="array" ref="N466">IF(NOW()&gt;AY466,"",IF(AND((WEEKDAY($A466)+$B$2)&gt;1,((WEEKDAY($A466)+$T$2)&lt;7),(WEEKDAY($A466)&lt;&gt;1)),"work",(INDEX(Subject!$A:$I,MATCH(RANDBETWEEN(1,(MAX(Subject!$B:$B))),Subject!$B:$B,0),3))))</f>
        <v/>
      </c>
      <c r="O466" s="2" t="str">
        <f t="array" ref="O466">IF(NOW()&gt;AZ466,"",IF(AND((WEEKDAY($A466)+$B$2)&gt;1,((WEEKDAY($A466)+$T$2)&lt;7),(WEEKDAY($A466)&lt;&gt;1)),"work",(INDEX(Subject!$A:$I,MATCH(RANDBETWEEN(1,(MAX(Subject!$B:$B))),Subject!$B:$B,0),3))))</f>
        <v/>
      </c>
      <c r="P466" s="2" t="str">
        <f t="array" ref="P466">IF(NOW()&gt;BA466,"",IF(AND((WEEKDAY($A466)+$B$2)&gt;1,((WEEKDAY($A466)+$T$2)&lt;7),(WEEKDAY($A466)&lt;&gt;1)),"work",(INDEX(Subject!$A:$I,MATCH(RANDBETWEEN(1,(MAX(Subject!$B:$B))),Subject!$B:$B,0),3))))</f>
        <v/>
      </c>
      <c r="Q466" s="2" t="str">
        <f t="array" ref="Q466">IF(NOW()&gt;BB466,"",IF(AND((WEEKDAY($A466)+$B$2)&gt;1,((WEEKDAY($A466)+$T$2)&lt;7),(WEEKDAY($A466)&lt;&gt;1)),"work",(INDEX(Subject!$A:$I,MATCH(RANDBETWEEN(1,(MAX(Subject!$B:$B))),Subject!$B:$B,0),3))))</f>
        <v/>
      </c>
      <c r="R466" s="2" t="str">
        <f t="array" ref="R466">IF(NOW()&gt;BC466,"",IF(AND((WEEKDAY($A466)+$B$2)&gt;1,((WEEKDAY($A466)+$T$2)&lt;7),(WEEKDAY($A466)&lt;&gt;1)),"work",(INDEX(Subject!$A:$I,MATCH(RANDBETWEEN(1,(MAX(Subject!$B:$B))),Subject!$B:$B,0),3))))</f>
        <v/>
      </c>
      <c r="S466" s="2" t="str">
        <f t="array" ref="S466">IF(NOW()&gt;BD466,"",IF(AND((WEEKDAY($A466)+$B$2)&gt;1,((WEEKDAY($A466)+$T$2)&lt;7),(WEEKDAY($A466)&lt;&gt;1)),"work",(INDEX(Subject!$A:$I,MATCH(RANDBETWEEN(1,(MAX(Subject!$B:$B))),Subject!$B:$B,0),3))))</f>
        <v/>
      </c>
      <c r="T466" s="2" t="str">
        <f t="array" ref="T466">IF(NOW()&gt;BE466,"",IF(AND((WEEKDAY($A466)+$B$2)&gt;1,((WEEKDAY($A466)+$T$2)&lt;7),(WEEKDAY($A466)&lt;&gt;1)),"work",(INDEX(Subject!$A:$I,MATCH(RANDBETWEEN(1,(MAX(Subject!$B:$B))),Subject!$B:$B,0),3))))</f>
        <v/>
      </c>
      <c r="U466" s="8" t="str">
        <f t="array" ref="U466">INDEX(Subject!$A:$I,MATCH(RANDBETWEEN(1,16),Subject!$B:$B,0),3)</f>
        <v>#N/A</v>
      </c>
      <c r="V466" s="8" t="str">
        <f t="array" ref="V466">INDEX(Subject!$A:$I,MATCH(RANDBETWEEN(1,16),Subject!$B:$B,0),3)</f>
        <v>#N/A</v>
      </c>
      <c r="W466" s="8" t="str">
        <f t="array" ref="W466">INDEX(Subject!$A:$I,MATCH(RANDBETWEEN(1,16),Subject!$B:$B,0),3)</f>
        <v>#N/A</v>
      </c>
      <c r="X466" s="8" t="str">
        <f t="array" ref="X466">INDEX(Subject!$A:$I,MATCH(RANDBETWEEN(1,16),Subject!$B:$B,0),3)</f>
        <v>#N/A</v>
      </c>
      <c r="Y466" s="8" t="str">
        <f t="array" ref="Y466">INDEX(Subject!$A:$I,MATCH(RANDBETWEEN(1,16),Subject!$B:$B,0),3)</f>
        <v>#N/A</v>
      </c>
      <c r="Z466" s="8" t="str">
        <f t="array" ref="Z466">INDEX(Subject!$A:$I,MATCH(RANDBETWEEN(1,16),Subject!$B:$B,0),3)</f>
        <v>#N/A</v>
      </c>
      <c r="AA466" s="8" t="str">
        <f t="array" ref="AA466">INDEX(Subject!$A:$I,MATCH(RANDBETWEEN(1,16),Subject!$B:$B,0),3)</f>
        <v>#N/A</v>
      </c>
      <c r="AB466" s="8" t="str">
        <f t="array" ref="AB466">INDEX(Subject!$A:$I,MATCH(RANDBETWEEN(1,16),Subject!$B:$B,0),3)</f>
        <v>#N/A</v>
      </c>
      <c r="AC466" s="8" t="str">
        <f t="array" ref="AC466">INDEX(Subject!$A:$I,MATCH(RANDBETWEEN(1,16),Subject!$B:$B,0),3)</f>
        <v>#N/A</v>
      </c>
      <c r="AD466" s="8" t="str">
        <f t="array" ref="AD466">INDEX(Subject!$A:$I,MATCH(RANDBETWEEN(1,16),Subject!$B:$B,0),3)</f>
        <v>#N/A</v>
      </c>
      <c r="AE466" s="8" t="str">
        <f t="array" ref="AE466">INDEX(Subject!$A:$I,MATCH(RANDBETWEEN(1,16),Subject!$B:$B,0),3)</f>
        <v>#N/A</v>
      </c>
      <c r="AF466" s="8" t="str">
        <f t="array" ref="AF466">INDEX(Subject!$A:$I,MATCH(RANDBETWEEN(1,16),Subject!$B:$B,0),3)</f>
        <v>#N/A</v>
      </c>
      <c r="AG466" s="8" t="str">
        <f t="array" ref="AG466">INDEX(Subject!$A:$I,MATCH(RANDBETWEEN(1,16),Subject!$B:$B,0),3)</f>
        <v>#N/A</v>
      </c>
      <c r="AH466" s="8" t="str">
        <f t="array" ref="AH466">INDEX(Subject!$A:$I,MATCH(RANDBETWEEN(1,16),Subject!$B:$B,0),3)</f>
        <v>#N/A</v>
      </c>
      <c r="AI466" s="8" t="str">
        <f t="array" ref="AI466">INDEX(Subject!$A:$I,MATCH(RANDBETWEEN(1,16),Subject!$B:$B,0),3)</f>
        <v>#N/A</v>
      </c>
      <c r="AJ466" s="8" t="str">
        <f t="array" ref="AJ466">INDEX(Subject!$A:$I,MATCH(RANDBETWEEN(1,16),Subject!$B:$B,0),3)</f>
        <v>#N/A</v>
      </c>
      <c r="AK466" s="8" t="str">
        <f t="array" ref="AK466">INDEX(Subject!$A:$I,MATCH(RANDBETWEEN(1,16),Subject!$B:$B,0),3)</f>
        <v>#N/A</v>
      </c>
      <c r="AL466" s="8" t="str">
        <f t="array" ref="AL466">INDEX(Subject!$A:$I,MATCH(RANDBETWEEN(1,16),Subject!$B:$B,0),3)</f>
        <v>#N/A</v>
      </c>
      <c r="AM466" s="18">
        <f t="shared" si="4"/>
        <v>45966.33333</v>
      </c>
      <c r="AN466" s="19">
        <f t="shared" ref="AN466:BZ466" si="466">$A466+C$1</f>
        <v>45966.35417</v>
      </c>
      <c r="AO466" s="19">
        <f t="shared" si="466"/>
        <v>45966.375</v>
      </c>
      <c r="AP466" s="19">
        <f t="shared" si="466"/>
        <v>45966.39583</v>
      </c>
      <c r="AQ466" s="19">
        <f t="shared" si="466"/>
        <v>45966.41667</v>
      </c>
      <c r="AR466" s="19">
        <f t="shared" si="466"/>
        <v>45966.4375</v>
      </c>
      <c r="AS466" s="19">
        <f t="shared" si="466"/>
        <v>45966.45833</v>
      </c>
      <c r="AT466" s="19">
        <f t="shared" si="466"/>
        <v>45966.47917</v>
      </c>
      <c r="AU466" s="19">
        <f t="shared" si="466"/>
        <v>45966.5</v>
      </c>
      <c r="AV466" s="19">
        <f t="shared" si="466"/>
        <v>45966.52083</v>
      </c>
      <c r="AW466" s="19">
        <f t="shared" si="466"/>
        <v>45966.54167</v>
      </c>
      <c r="AX466" s="19">
        <f t="shared" si="466"/>
        <v>45966.5625</v>
      </c>
      <c r="AY466" s="19">
        <f t="shared" si="466"/>
        <v>45966.58333</v>
      </c>
      <c r="AZ466" s="19">
        <f t="shared" si="466"/>
        <v>45966.60417</v>
      </c>
      <c r="BA466" s="19">
        <f t="shared" si="466"/>
        <v>45966.625</v>
      </c>
      <c r="BB466" s="19">
        <f t="shared" si="466"/>
        <v>45966.64583</v>
      </c>
      <c r="BC466" s="19">
        <f t="shared" si="466"/>
        <v>45966.66667</v>
      </c>
      <c r="BD466" s="19">
        <f t="shared" si="466"/>
        <v>45966.6875</v>
      </c>
      <c r="BE466" s="19">
        <f t="shared" si="466"/>
        <v>45966.70833</v>
      </c>
      <c r="BF466" s="19">
        <f t="shared" si="466"/>
        <v>45966.72917</v>
      </c>
      <c r="BG466" s="19">
        <f t="shared" si="466"/>
        <v>45966.75</v>
      </c>
      <c r="BH466" s="19">
        <f t="shared" si="466"/>
        <v>45966.77083</v>
      </c>
      <c r="BI466" s="19">
        <f t="shared" si="466"/>
        <v>45966.79167</v>
      </c>
      <c r="BJ466" s="19">
        <f t="shared" si="466"/>
        <v>45966.8125</v>
      </c>
      <c r="BK466" s="19">
        <f t="shared" si="466"/>
        <v>45966.83333</v>
      </c>
      <c r="BL466" s="19">
        <f t="shared" si="466"/>
        <v>45966.85417</v>
      </c>
      <c r="BM466" s="19">
        <f t="shared" si="466"/>
        <v>45966.875</v>
      </c>
      <c r="BN466" s="19">
        <f t="shared" si="466"/>
        <v>45966.89583</v>
      </c>
      <c r="BO466" s="19">
        <f t="shared" si="466"/>
        <v>45966.91667</v>
      </c>
      <c r="BP466" s="19">
        <f t="shared" si="466"/>
        <v>45966.9375</v>
      </c>
      <c r="BQ466" s="19">
        <f t="shared" si="466"/>
        <v>45966.95833</v>
      </c>
      <c r="BR466" s="19">
        <f t="shared" si="466"/>
        <v>45966.97917</v>
      </c>
      <c r="BS466" s="19">
        <f t="shared" si="466"/>
        <v>45967</v>
      </c>
      <c r="BT466" s="19">
        <f t="shared" si="466"/>
        <v>45967.02083</v>
      </c>
      <c r="BU466" s="19">
        <f t="shared" si="466"/>
        <v>45967.04167</v>
      </c>
      <c r="BV466" s="19">
        <f t="shared" si="466"/>
        <v>45967.0625</v>
      </c>
      <c r="BW466" s="19">
        <f t="shared" si="466"/>
        <v>45967.08333</v>
      </c>
      <c r="BX466" s="19">
        <f t="shared" si="466"/>
        <v>45966</v>
      </c>
      <c r="BY466" s="19">
        <f t="shared" si="466"/>
        <v>45966</v>
      </c>
      <c r="BZ466" s="19">
        <f t="shared" si="466"/>
        <v>45966</v>
      </c>
    </row>
    <row r="467" ht="14.25" customHeight="1">
      <c r="A467" s="17">
        <v>45967.0</v>
      </c>
      <c r="B467" s="2" t="str">
        <f t="array" ref="B467">IF(NOW()&gt;AM467,"",IF(AND((WEEKDAY($A467)+$B$2)&gt;1,((WEEKDAY($A467)+$T$2)&lt;7),(WEEKDAY($A467)&lt;&gt;1)),"work",(INDEX(Subject!$A:$I,MATCH(RANDBETWEEN(1,(MAX(Subject!$B:$B))),Subject!$B:$B,0),3))))</f>
        <v/>
      </c>
      <c r="C467" s="2" t="str">
        <f t="array" ref="C467">IF(NOW()&gt;AN467,"",IF(AND((WEEKDAY($A467)+$B$2)&gt;1,((WEEKDAY($A467)+$T$2)&lt;7),(WEEKDAY($A467)&lt;&gt;1)),"work",(INDEX(Subject!$A:$I,MATCH(RANDBETWEEN(1,(MAX(Subject!$B:$B))),Subject!$B:$B,0),3))))</f>
        <v/>
      </c>
      <c r="D467" s="2" t="str">
        <f t="array" ref="D467">IF(NOW()&gt;AO467,"",IF(AND((WEEKDAY($A467)+$B$2)&gt;1,((WEEKDAY($A467)+$T$2)&lt;7),(WEEKDAY($A467)&lt;&gt;1)),"work",(INDEX(Subject!$A:$I,MATCH(RANDBETWEEN(1,(MAX(Subject!$B:$B))),Subject!$B:$B,0),3))))</f>
        <v/>
      </c>
      <c r="E467" s="2" t="str">
        <f t="array" ref="E467">IF(NOW()&gt;AP467,"",IF(AND((WEEKDAY($A467)+$B$2)&gt;1,((WEEKDAY($A467)+$T$2)&lt;7),(WEEKDAY($A467)&lt;&gt;1)),"work",(INDEX(Subject!$A:$I,MATCH(RANDBETWEEN(1,(MAX(Subject!$B:$B))),Subject!$B:$B,0),3))))</f>
        <v/>
      </c>
      <c r="F467" s="2" t="str">
        <f t="array" ref="F467">IF(NOW()&gt;AQ467,"",IF(AND((WEEKDAY($A467)+$B$2)&gt;1,((WEEKDAY($A467)+$T$2)&lt;7),(WEEKDAY($A467)&lt;&gt;1)),"work",(INDEX(Subject!$A:$I,MATCH(RANDBETWEEN(1,(MAX(Subject!$B:$B))),Subject!$B:$B,0),3))))</f>
        <v/>
      </c>
      <c r="G467" s="2" t="str">
        <f t="array" ref="G467">IF(NOW()&gt;AR467,"",IF(AND((WEEKDAY($A467)+$B$2)&gt;1,((WEEKDAY($A467)+$T$2)&lt;7),(WEEKDAY($A467)&lt;&gt;1)),"work",(INDEX(Subject!$A:$I,MATCH(RANDBETWEEN(1,(MAX(Subject!$B:$B))),Subject!$B:$B,0),3))))</f>
        <v/>
      </c>
      <c r="H467" s="2" t="str">
        <f t="array" ref="H467">IF(NOW()&gt;AS467,"",IF(AND((WEEKDAY($A467)+$B$2)&gt;1,((WEEKDAY($A467)+$T$2)&lt;7),(WEEKDAY($A467)&lt;&gt;1)),"work",(INDEX(Subject!$A:$I,MATCH(RANDBETWEEN(1,(MAX(Subject!$B:$B))),Subject!$B:$B,0),3))))</f>
        <v/>
      </c>
      <c r="I467" s="2" t="str">
        <f t="array" ref="I467">IF(NOW()&gt;AT467,"",IF(AND((WEEKDAY($A467)+$B$2)&gt;1,((WEEKDAY($A467)+$T$2)&lt;7),(WEEKDAY($A467)&lt;&gt;1)),"work",(INDEX(Subject!$A:$I,MATCH(RANDBETWEEN(1,(MAX(Subject!$B:$B))),Subject!$B:$B,0),3))))</f>
        <v/>
      </c>
      <c r="J467" s="2" t="str">
        <f t="array" ref="J467">IF(NOW()&gt;AU467,"",IF(AND((WEEKDAY($A467)+$B$2)&gt;1,((WEEKDAY($A467)+$T$2)&lt;7),(WEEKDAY($A467)&lt;&gt;1)),"work",(INDEX(Subject!$A:$I,MATCH(RANDBETWEEN(1,(MAX(Subject!$B:$B))),Subject!$B:$B,0),3))))</f>
        <v/>
      </c>
      <c r="K467" s="2" t="str">
        <f t="array" ref="K467">IF(NOW()&gt;AV467,"",IF(AND((WEEKDAY($A467)+$B$2)&gt;1,((WEEKDAY($A467)+$T$2)&lt;7),(WEEKDAY($A467)&lt;&gt;1)),"work",(INDEX(Subject!$A:$I,MATCH(RANDBETWEEN(1,(MAX(Subject!$B:$B))),Subject!$B:$B,0),3))))</f>
        <v/>
      </c>
      <c r="L467" s="2" t="str">
        <f t="array" ref="L467">IF(NOW()&gt;AW467,"",IF(AND((WEEKDAY($A467)+$B$2)&gt;1,((WEEKDAY($A467)+$T$2)&lt;7),(WEEKDAY($A467)&lt;&gt;1)),"work",(INDEX(Subject!$A:$I,MATCH(RANDBETWEEN(1,(MAX(Subject!$B:$B))),Subject!$B:$B,0),3))))</f>
        <v/>
      </c>
      <c r="M467" s="2" t="str">
        <f t="array" ref="M467">IF(NOW()&gt;AX467,"",IF(AND((WEEKDAY($A467)+$B$2)&gt;1,((WEEKDAY($A467)+$T$2)&lt;7),(WEEKDAY($A467)&lt;&gt;1)),"work",(INDEX(Subject!$A:$I,MATCH(RANDBETWEEN(1,(MAX(Subject!$B:$B))),Subject!$B:$B,0),3))))</f>
        <v/>
      </c>
      <c r="N467" s="2" t="str">
        <f t="array" ref="N467">IF(NOW()&gt;AY467,"",IF(AND((WEEKDAY($A467)+$B$2)&gt;1,((WEEKDAY($A467)+$T$2)&lt;7),(WEEKDAY($A467)&lt;&gt;1)),"work",(INDEX(Subject!$A:$I,MATCH(RANDBETWEEN(1,(MAX(Subject!$B:$B))),Subject!$B:$B,0),3))))</f>
        <v/>
      </c>
      <c r="O467" s="2" t="str">
        <f t="array" ref="O467">IF(NOW()&gt;AZ467,"",IF(AND((WEEKDAY($A467)+$B$2)&gt;1,((WEEKDAY($A467)+$T$2)&lt;7),(WEEKDAY($A467)&lt;&gt;1)),"work",(INDEX(Subject!$A:$I,MATCH(RANDBETWEEN(1,(MAX(Subject!$B:$B))),Subject!$B:$B,0),3))))</f>
        <v/>
      </c>
      <c r="P467" s="2" t="str">
        <f t="array" ref="P467">IF(NOW()&gt;BA467,"",IF(AND((WEEKDAY($A467)+$B$2)&gt;1,((WEEKDAY($A467)+$T$2)&lt;7),(WEEKDAY($A467)&lt;&gt;1)),"work",(INDEX(Subject!$A:$I,MATCH(RANDBETWEEN(1,(MAX(Subject!$B:$B))),Subject!$B:$B,0),3))))</f>
        <v/>
      </c>
      <c r="Q467" s="2" t="str">
        <f t="array" ref="Q467">IF(NOW()&gt;BB467,"",IF(AND((WEEKDAY($A467)+$B$2)&gt;1,((WEEKDAY($A467)+$T$2)&lt;7),(WEEKDAY($A467)&lt;&gt;1)),"work",(INDEX(Subject!$A:$I,MATCH(RANDBETWEEN(1,(MAX(Subject!$B:$B))),Subject!$B:$B,0),3))))</f>
        <v/>
      </c>
      <c r="R467" s="2" t="str">
        <f t="array" ref="R467">IF(NOW()&gt;BC467,"",IF(AND((WEEKDAY($A467)+$B$2)&gt;1,((WEEKDAY($A467)+$T$2)&lt;7),(WEEKDAY($A467)&lt;&gt;1)),"work",(INDEX(Subject!$A:$I,MATCH(RANDBETWEEN(1,(MAX(Subject!$B:$B))),Subject!$B:$B,0),3))))</f>
        <v/>
      </c>
      <c r="S467" s="2" t="str">
        <f t="array" ref="S467">IF(NOW()&gt;BD467,"",IF(AND((WEEKDAY($A467)+$B$2)&gt;1,((WEEKDAY($A467)+$T$2)&lt;7),(WEEKDAY($A467)&lt;&gt;1)),"work",(INDEX(Subject!$A:$I,MATCH(RANDBETWEEN(1,(MAX(Subject!$B:$B))),Subject!$B:$B,0),3))))</f>
        <v/>
      </c>
      <c r="T467" s="2" t="str">
        <f t="array" ref="T467">IF(NOW()&gt;BE467,"",IF(AND((WEEKDAY($A467)+$B$2)&gt;1,((WEEKDAY($A467)+$T$2)&lt;7),(WEEKDAY($A467)&lt;&gt;1)),"work",(INDEX(Subject!$A:$I,MATCH(RANDBETWEEN(1,(MAX(Subject!$B:$B))),Subject!$B:$B,0),3))))</f>
        <v/>
      </c>
      <c r="U467" s="8" t="str">
        <f t="array" ref="U467">INDEX(Subject!$A:$I,MATCH(RANDBETWEEN(1,16),Subject!$B:$B,0),3)</f>
        <v>#N/A</v>
      </c>
      <c r="V467" s="8" t="str">
        <f t="array" ref="V467">INDEX(Subject!$A:$I,MATCH(RANDBETWEEN(1,16),Subject!$B:$B,0),3)</f>
        <v>#N/A</v>
      </c>
      <c r="W467" s="8" t="str">
        <f t="array" ref="W467">INDEX(Subject!$A:$I,MATCH(RANDBETWEEN(1,16),Subject!$B:$B,0),3)</f>
        <v>#N/A</v>
      </c>
      <c r="X467" s="8" t="str">
        <f t="array" ref="X467">INDEX(Subject!$A:$I,MATCH(RANDBETWEEN(1,16),Subject!$B:$B,0),3)</f>
        <v>#N/A</v>
      </c>
      <c r="Y467" s="8" t="str">
        <f t="array" ref="Y467">INDEX(Subject!$A:$I,MATCH(RANDBETWEEN(1,16),Subject!$B:$B,0),3)</f>
        <v>#N/A</v>
      </c>
      <c r="Z467" s="8" t="str">
        <f t="array" ref="Z467">INDEX(Subject!$A:$I,MATCH(RANDBETWEEN(1,16),Subject!$B:$B,0),3)</f>
        <v/>
      </c>
      <c r="AA467" s="8" t="str">
        <f t="array" ref="AA467">INDEX(Subject!$A:$I,MATCH(RANDBETWEEN(1,16),Subject!$B:$B,0),3)</f>
        <v>#N/A</v>
      </c>
      <c r="AB467" s="8" t="str">
        <f t="array" ref="AB467">INDEX(Subject!$A:$I,MATCH(RANDBETWEEN(1,16),Subject!$B:$B,0),3)</f>
        <v>#N/A</v>
      </c>
      <c r="AC467" s="8" t="str">
        <f t="array" ref="AC467">INDEX(Subject!$A:$I,MATCH(RANDBETWEEN(1,16),Subject!$B:$B,0),3)</f>
        <v/>
      </c>
      <c r="AD467" s="8" t="str">
        <f t="array" ref="AD467">INDEX(Subject!$A:$I,MATCH(RANDBETWEEN(1,16),Subject!$B:$B,0),3)</f>
        <v>#N/A</v>
      </c>
      <c r="AE467" s="8" t="str">
        <f t="array" ref="AE467">INDEX(Subject!$A:$I,MATCH(RANDBETWEEN(1,16),Subject!$B:$B,0),3)</f>
        <v>#N/A</v>
      </c>
      <c r="AF467" s="8" t="str">
        <f t="array" ref="AF467">INDEX(Subject!$A:$I,MATCH(RANDBETWEEN(1,16),Subject!$B:$B,0),3)</f>
        <v>#N/A</v>
      </c>
      <c r="AG467" s="8" t="str">
        <f t="array" ref="AG467">INDEX(Subject!$A:$I,MATCH(RANDBETWEEN(1,16),Subject!$B:$B,0),3)</f>
        <v>#N/A</v>
      </c>
      <c r="AH467" s="8" t="str">
        <f t="array" ref="AH467">INDEX(Subject!$A:$I,MATCH(RANDBETWEEN(1,16),Subject!$B:$B,0),3)</f>
        <v>#N/A</v>
      </c>
      <c r="AI467" s="8" t="str">
        <f t="array" ref="AI467">INDEX(Subject!$A:$I,MATCH(RANDBETWEEN(1,16),Subject!$B:$B,0),3)</f>
        <v>#N/A</v>
      </c>
      <c r="AJ467" s="8" t="str">
        <f t="array" ref="AJ467">INDEX(Subject!$A:$I,MATCH(RANDBETWEEN(1,16),Subject!$B:$B,0),3)</f>
        <v>#N/A</v>
      </c>
      <c r="AK467" s="8" t="str">
        <f t="array" ref="AK467">INDEX(Subject!$A:$I,MATCH(RANDBETWEEN(1,16),Subject!$B:$B,0),3)</f>
        <v>#N/A</v>
      </c>
      <c r="AL467" s="8" t="str">
        <f t="array" ref="AL467">INDEX(Subject!$A:$I,MATCH(RANDBETWEEN(1,16),Subject!$B:$B,0),3)</f>
        <v>#N/A</v>
      </c>
      <c r="AM467" s="18">
        <f t="shared" si="4"/>
        <v>45967.33333</v>
      </c>
      <c r="AN467" s="19">
        <f t="shared" ref="AN467:BZ467" si="467">$A467+C$1</f>
        <v>45967.35417</v>
      </c>
      <c r="AO467" s="19">
        <f t="shared" si="467"/>
        <v>45967.375</v>
      </c>
      <c r="AP467" s="19">
        <f t="shared" si="467"/>
        <v>45967.39583</v>
      </c>
      <c r="AQ467" s="19">
        <f t="shared" si="467"/>
        <v>45967.41667</v>
      </c>
      <c r="AR467" s="19">
        <f t="shared" si="467"/>
        <v>45967.4375</v>
      </c>
      <c r="AS467" s="19">
        <f t="shared" si="467"/>
        <v>45967.45833</v>
      </c>
      <c r="AT467" s="19">
        <f t="shared" si="467"/>
        <v>45967.47917</v>
      </c>
      <c r="AU467" s="19">
        <f t="shared" si="467"/>
        <v>45967.5</v>
      </c>
      <c r="AV467" s="19">
        <f t="shared" si="467"/>
        <v>45967.52083</v>
      </c>
      <c r="AW467" s="19">
        <f t="shared" si="467"/>
        <v>45967.54167</v>
      </c>
      <c r="AX467" s="19">
        <f t="shared" si="467"/>
        <v>45967.5625</v>
      </c>
      <c r="AY467" s="19">
        <f t="shared" si="467"/>
        <v>45967.58333</v>
      </c>
      <c r="AZ467" s="19">
        <f t="shared" si="467"/>
        <v>45967.60417</v>
      </c>
      <c r="BA467" s="19">
        <f t="shared" si="467"/>
        <v>45967.625</v>
      </c>
      <c r="BB467" s="19">
        <f t="shared" si="467"/>
        <v>45967.64583</v>
      </c>
      <c r="BC467" s="19">
        <f t="shared" si="467"/>
        <v>45967.66667</v>
      </c>
      <c r="BD467" s="19">
        <f t="shared" si="467"/>
        <v>45967.6875</v>
      </c>
      <c r="BE467" s="19">
        <f t="shared" si="467"/>
        <v>45967.70833</v>
      </c>
      <c r="BF467" s="19">
        <f t="shared" si="467"/>
        <v>45967.72917</v>
      </c>
      <c r="BG467" s="19">
        <f t="shared" si="467"/>
        <v>45967.75</v>
      </c>
      <c r="BH467" s="19">
        <f t="shared" si="467"/>
        <v>45967.77083</v>
      </c>
      <c r="BI467" s="19">
        <f t="shared" si="467"/>
        <v>45967.79167</v>
      </c>
      <c r="BJ467" s="19">
        <f t="shared" si="467"/>
        <v>45967.8125</v>
      </c>
      <c r="BK467" s="19">
        <f t="shared" si="467"/>
        <v>45967.83333</v>
      </c>
      <c r="BL467" s="19">
        <f t="shared" si="467"/>
        <v>45967.85417</v>
      </c>
      <c r="BM467" s="19">
        <f t="shared" si="467"/>
        <v>45967.875</v>
      </c>
      <c r="BN467" s="19">
        <f t="shared" si="467"/>
        <v>45967.89583</v>
      </c>
      <c r="BO467" s="19">
        <f t="shared" si="467"/>
        <v>45967.91667</v>
      </c>
      <c r="BP467" s="19">
        <f t="shared" si="467"/>
        <v>45967.9375</v>
      </c>
      <c r="BQ467" s="19">
        <f t="shared" si="467"/>
        <v>45967.95833</v>
      </c>
      <c r="BR467" s="19">
        <f t="shared" si="467"/>
        <v>45967.97917</v>
      </c>
      <c r="BS467" s="19">
        <f t="shared" si="467"/>
        <v>45968</v>
      </c>
      <c r="BT467" s="19">
        <f t="shared" si="467"/>
        <v>45968.02083</v>
      </c>
      <c r="BU467" s="19">
        <f t="shared" si="467"/>
        <v>45968.04167</v>
      </c>
      <c r="BV467" s="19">
        <f t="shared" si="467"/>
        <v>45968.0625</v>
      </c>
      <c r="BW467" s="19">
        <f t="shared" si="467"/>
        <v>45968.08333</v>
      </c>
      <c r="BX467" s="19">
        <f t="shared" si="467"/>
        <v>45967</v>
      </c>
      <c r="BY467" s="19">
        <f t="shared" si="467"/>
        <v>45967</v>
      </c>
      <c r="BZ467" s="19">
        <f t="shared" si="467"/>
        <v>45967</v>
      </c>
    </row>
    <row r="468" ht="14.25" customHeight="1">
      <c r="A468" s="17">
        <v>45968.0</v>
      </c>
      <c r="B468" s="2" t="str">
        <f t="array" ref="B468">IF(NOW()&gt;AM468,"",IF(AND((WEEKDAY($A468)+$B$2)&gt;1,((WEEKDAY($A468)+$T$2)&lt;7),(WEEKDAY($A468)&lt;&gt;1)),"work",(INDEX(Subject!$A:$I,MATCH(RANDBETWEEN(1,(MAX(Subject!$B:$B))),Subject!$B:$B,0),3))))</f>
        <v/>
      </c>
      <c r="C468" s="2" t="str">
        <f t="array" ref="C468">IF(NOW()&gt;AN468,"",IF(AND((WEEKDAY($A468)+$B$2)&gt;1,((WEEKDAY($A468)+$T$2)&lt;7),(WEEKDAY($A468)&lt;&gt;1)),"work",(INDEX(Subject!$A:$I,MATCH(RANDBETWEEN(1,(MAX(Subject!$B:$B))),Subject!$B:$B,0),3))))</f>
        <v/>
      </c>
      <c r="D468" s="2" t="str">
        <f t="array" ref="D468">IF(NOW()&gt;AO468,"",IF(AND((WEEKDAY($A468)+$B$2)&gt;1,((WEEKDAY($A468)+$T$2)&lt;7),(WEEKDAY($A468)&lt;&gt;1)),"work",(INDEX(Subject!$A:$I,MATCH(RANDBETWEEN(1,(MAX(Subject!$B:$B))),Subject!$B:$B,0),3))))</f>
        <v/>
      </c>
      <c r="E468" s="2" t="str">
        <f t="array" ref="E468">IF(NOW()&gt;AP468,"",IF(AND((WEEKDAY($A468)+$B$2)&gt;1,((WEEKDAY($A468)+$T$2)&lt;7),(WEEKDAY($A468)&lt;&gt;1)),"work",(INDEX(Subject!$A:$I,MATCH(RANDBETWEEN(1,(MAX(Subject!$B:$B))),Subject!$B:$B,0),3))))</f>
        <v/>
      </c>
      <c r="F468" s="2" t="str">
        <f t="array" ref="F468">IF(NOW()&gt;AQ468,"",IF(AND((WEEKDAY($A468)+$B$2)&gt;1,((WEEKDAY($A468)+$T$2)&lt;7),(WEEKDAY($A468)&lt;&gt;1)),"work",(INDEX(Subject!$A:$I,MATCH(RANDBETWEEN(1,(MAX(Subject!$B:$B))),Subject!$B:$B,0),3))))</f>
        <v/>
      </c>
      <c r="G468" s="2" t="str">
        <f t="array" ref="G468">IF(NOW()&gt;AR468,"",IF(AND((WEEKDAY($A468)+$B$2)&gt;1,((WEEKDAY($A468)+$T$2)&lt;7),(WEEKDAY($A468)&lt;&gt;1)),"work",(INDEX(Subject!$A:$I,MATCH(RANDBETWEEN(1,(MAX(Subject!$B:$B))),Subject!$B:$B,0),3))))</f>
        <v/>
      </c>
      <c r="H468" s="2" t="str">
        <f t="array" ref="H468">IF(NOW()&gt;AS468,"",IF(AND((WEEKDAY($A468)+$B$2)&gt;1,((WEEKDAY($A468)+$T$2)&lt;7),(WEEKDAY($A468)&lt;&gt;1)),"work",(INDEX(Subject!$A:$I,MATCH(RANDBETWEEN(1,(MAX(Subject!$B:$B))),Subject!$B:$B,0),3))))</f>
        <v/>
      </c>
      <c r="I468" s="2" t="str">
        <f t="array" ref="I468">IF(NOW()&gt;AT468,"",IF(AND((WEEKDAY($A468)+$B$2)&gt;1,((WEEKDAY($A468)+$T$2)&lt;7),(WEEKDAY($A468)&lt;&gt;1)),"work",(INDEX(Subject!$A:$I,MATCH(RANDBETWEEN(1,(MAX(Subject!$B:$B))),Subject!$B:$B,0),3))))</f>
        <v/>
      </c>
      <c r="J468" s="2" t="str">
        <f t="array" ref="J468">IF(NOW()&gt;AU468,"",IF(AND((WEEKDAY($A468)+$B$2)&gt;1,((WEEKDAY($A468)+$T$2)&lt;7),(WEEKDAY($A468)&lt;&gt;1)),"work",(INDEX(Subject!$A:$I,MATCH(RANDBETWEEN(1,(MAX(Subject!$B:$B))),Subject!$B:$B,0),3))))</f>
        <v/>
      </c>
      <c r="K468" s="2" t="str">
        <f t="array" ref="K468">IF(NOW()&gt;AV468,"",IF(AND((WEEKDAY($A468)+$B$2)&gt;1,((WEEKDAY($A468)+$T$2)&lt;7),(WEEKDAY($A468)&lt;&gt;1)),"work",(INDEX(Subject!$A:$I,MATCH(RANDBETWEEN(1,(MAX(Subject!$B:$B))),Subject!$B:$B,0),3))))</f>
        <v/>
      </c>
      <c r="L468" s="2" t="str">
        <f t="array" ref="L468">IF(NOW()&gt;AW468,"",IF(AND((WEEKDAY($A468)+$B$2)&gt;1,((WEEKDAY($A468)+$T$2)&lt;7),(WEEKDAY($A468)&lt;&gt;1)),"work",(INDEX(Subject!$A:$I,MATCH(RANDBETWEEN(1,(MAX(Subject!$B:$B))),Subject!$B:$B,0),3))))</f>
        <v/>
      </c>
      <c r="M468" s="2" t="str">
        <f t="array" ref="M468">IF(NOW()&gt;AX468,"",IF(AND((WEEKDAY($A468)+$B$2)&gt;1,((WEEKDAY($A468)+$T$2)&lt;7),(WEEKDAY($A468)&lt;&gt;1)),"work",(INDEX(Subject!$A:$I,MATCH(RANDBETWEEN(1,(MAX(Subject!$B:$B))),Subject!$B:$B,0),3))))</f>
        <v/>
      </c>
      <c r="N468" s="2" t="str">
        <f t="array" ref="N468">IF(NOW()&gt;AY468,"",IF(AND((WEEKDAY($A468)+$B$2)&gt;1,((WEEKDAY($A468)+$T$2)&lt;7),(WEEKDAY($A468)&lt;&gt;1)),"work",(INDEX(Subject!$A:$I,MATCH(RANDBETWEEN(1,(MAX(Subject!$B:$B))),Subject!$B:$B,0),3))))</f>
        <v/>
      </c>
      <c r="O468" s="2" t="str">
        <f t="array" ref="O468">IF(NOW()&gt;AZ468,"",IF(AND((WEEKDAY($A468)+$B$2)&gt;1,((WEEKDAY($A468)+$T$2)&lt;7),(WEEKDAY($A468)&lt;&gt;1)),"work",(INDEX(Subject!$A:$I,MATCH(RANDBETWEEN(1,(MAX(Subject!$B:$B))),Subject!$B:$B,0),3))))</f>
        <v/>
      </c>
      <c r="P468" s="2" t="str">
        <f t="array" ref="P468">IF(NOW()&gt;BA468,"",IF(AND((WEEKDAY($A468)+$B$2)&gt;1,((WEEKDAY($A468)+$T$2)&lt;7),(WEEKDAY($A468)&lt;&gt;1)),"work",(INDEX(Subject!$A:$I,MATCH(RANDBETWEEN(1,(MAX(Subject!$B:$B))),Subject!$B:$B,0),3))))</f>
        <v/>
      </c>
      <c r="Q468" s="2" t="str">
        <f t="array" ref="Q468">IF(NOW()&gt;BB468,"",IF(AND((WEEKDAY($A468)+$B$2)&gt;1,((WEEKDAY($A468)+$T$2)&lt;7),(WEEKDAY($A468)&lt;&gt;1)),"work",(INDEX(Subject!$A:$I,MATCH(RANDBETWEEN(1,(MAX(Subject!$B:$B))),Subject!$B:$B,0),3))))</f>
        <v/>
      </c>
      <c r="R468" s="2" t="str">
        <f t="array" ref="R468">IF(NOW()&gt;BC468,"",IF(AND((WEEKDAY($A468)+$B$2)&gt;1,((WEEKDAY($A468)+$T$2)&lt;7),(WEEKDAY($A468)&lt;&gt;1)),"work",(INDEX(Subject!$A:$I,MATCH(RANDBETWEEN(1,(MAX(Subject!$B:$B))),Subject!$B:$B,0),3))))</f>
        <v/>
      </c>
      <c r="S468" s="2" t="str">
        <f t="array" ref="S468">IF(NOW()&gt;BD468,"",IF(AND((WEEKDAY($A468)+$B$2)&gt;1,((WEEKDAY($A468)+$T$2)&lt;7),(WEEKDAY($A468)&lt;&gt;1)),"work",(INDEX(Subject!$A:$I,MATCH(RANDBETWEEN(1,(MAX(Subject!$B:$B))),Subject!$B:$B,0),3))))</f>
        <v/>
      </c>
      <c r="T468" s="2" t="str">
        <f t="array" ref="T468">IF(NOW()&gt;BE468,"",IF(AND((WEEKDAY($A468)+$B$2)&gt;1,((WEEKDAY($A468)+$T$2)&lt;7),(WEEKDAY($A468)&lt;&gt;1)),"work",(INDEX(Subject!$A:$I,MATCH(RANDBETWEEN(1,(MAX(Subject!$B:$B))),Subject!$B:$B,0),3))))</f>
        <v/>
      </c>
      <c r="U468" s="8" t="str">
        <f t="array" ref="U468">INDEX(Subject!$A:$I,MATCH(RANDBETWEEN(1,16),Subject!$B:$B,0),3)</f>
        <v>#N/A</v>
      </c>
      <c r="V468" s="8" t="str">
        <f t="array" ref="V468">INDEX(Subject!$A:$I,MATCH(RANDBETWEEN(1,16),Subject!$B:$B,0),3)</f>
        <v>#N/A</v>
      </c>
      <c r="W468" s="8" t="str">
        <f t="array" ref="W468">INDEX(Subject!$A:$I,MATCH(RANDBETWEEN(1,16),Subject!$B:$B,0),3)</f>
        <v>#N/A</v>
      </c>
      <c r="X468" s="8" t="str">
        <f t="array" ref="X468">INDEX(Subject!$A:$I,MATCH(RANDBETWEEN(1,16),Subject!$B:$B,0),3)</f>
        <v>#N/A</v>
      </c>
      <c r="Y468" s="8" t="str">
        <f t="array" ref="Y468">INDEX(Subject!$A:$I,MATCH(RANDBETWEEN(1,16),Subject!$B:$B,0),3)</f>
        <v>#N/A</v>
      </c>
      <c r="Z468" s="8" t="str">
        <f t="array" ref="Z468">INDEX(Subject!$A:$I,MATCH(RANDBETWEEN(1,16),Subject!$B:$B,0),3)</f>
        <v/>
      </c>
      <c r="AA468" s="8" t="str">
        <f t="array" ref="AA468">INDEX(Subject!$A:$I,MATCH(RANDBETWEEN(1,16),Subject!$B:$B,0),3)</f>
        <v/>
      </c>
      <c r="AB468" s="8" t="str">
        <f t="array" ref="AB468">INDEX(Subject!$A:$I,MATCH(RANDBETWEEN(1,16),Subject!$B:$B,0),3)</f>
        <v>#N/A</v>
      </c>
      <c r="AC468" s="8" t="str">
        <f t="array" ref="AC468">INDEX(Subject!$A:$I,MATCH(RANDBETWEEN(1,16),Subject!$B:$B,0),3)</f>
        <v>#N/A</v>
      </c>
      <c r="AD468" s="8" t="str">
        <f t="array" ref="AD468">INDEX(Subject!$A:$I,MATCH(RANDBETWEEN(1,16),Subject!$B:$B,0),3)</f>
        <v>#N/A</v>
      </c>
      <c r="AE468" s="8" t="str">
        <f t="array" ref="AE468">INDEX(Subject!$A:$I,MATCH(RANDBETWEEN(1,16),Subject!$B:$B,0),3)</f>
        <v>#N/A</v>
      </c>
      <c r="AF468" s="8" t="str">
        <f t="array" ref="AF468">INDEX(Subject!$A:$I,MATCH(RANDBETWEEN(1,16),Subject!$B:$B,0),3)</f>
        <v>#N/A</v>
      </c>
      <c r="AG468" s="8" t="str">
        <f t="array" ref="AG468">INDEX(Subject!$A:$I,MATCH(RANDBETWEEN(1,16),Subject!$B:$B,0),3)</f>
        <v>#N/A</v>
      </c>
      <c r="AH468" s="8" t="str">
        <f t="array" ref="AH468">INDEX(Subject!$A:$I,MATCH(RANDBETWEEN(1,16),Subject!$B:$B,0),3)</f>
        <v>#N/A</v>
      </c>
      <c r="AI468" s="8" t="str">
        <f t="array" ref="AI468">INDEX(Subject!$A:$I,MATCH(RANDBETWEEN(1,16),Subject!$B:$B,0),3)</f>
        <v>#N/A</v>
      </c>
      <c r="AJ468" s="8" t="str">
        <f t="array" ref="AJ468">INDEX(Subject!$A:$I,MATCH(RANDBETWEEN(1,16),Subject!$B:$B,0),3)</f>
        <v>#N/A</v>
      </c>
      <c r="AK468" s="8" t="str">
        <f t="array" ref="AK468">INDEX(Subject!$A:$I,MATCH(RANDBETWEEN(1,16),Subject!$B:$B,0),3)</f>
        <v>#N/A</v>
      </c>
      <c r="AL468" s="8" t="str">
        <f t="array" ref="AL468">INDEX(Subject!$A:$I,MATCH(RANDBETWEEN(1,16),Subject!$B:$B,0),3)</f>
        <v>#N/A</v>
      </c>
      <c r="AM468" s="18">
        <f t="shared" si="4"/>
        <v>45968.33333</v>
      </c>
      <c r="AN468" s="19">
        <f t="shared" ref="AN468:BZ468" si="468">$A468+C$1</f>
        <v>45968.35417</v>
      </c>
      <c r="AO468" s="19">
        <f t="shared" si="468"/>
        <v>45968.375</v>
      </c>
      <c r="AP468" s="19">
        <f t="shared" si="468"/>
        <v>45968.39583</v>
      </c>
      <c r="AQ468" s="19">
        <f t="shared" si="468"/>
        <v>45968.41667</v>
      </c>
      <c r="AR468" s="19">
        <f t="shared" si="468"/>
        <v>45968.4375</v>
      </c>
      <c r="AS468" s="19">
        <f t="shared" si="468"/>
        <v>45968.45833</v>
      </c>
      <c r="AT468" s="19">
        <f t="shared" si="468"/>
        <v>45968.47917</v>
      </c>
      <c r="AU468" s="19">
        <f t="shared" si="468"/>
        <v>45968.5</v>
      </c>
      <c r="AV468" s="19">
        <f t="shared" si="468"/>
        <v>45968.52083</v>
      </c>
      <c r="AW468" s="19">
        <f t="shared" si="468"/>
        <v>45968.54167</v>
      </c>
      <c r="AX468" s="19">
        <f t="shared" si="468"/>
        <v>45968.5625</v>
      </c>
      <c r="AY468" s="19">
        <f t="shared" si="468"/>
        <v>45968.58333</v>
      </c>
      <c r="AZ468" s="19">
        <f t="shared" si="468"/>
        <v>45968.60417</v>
      </c>
      <c r="BA468" s="19">
        <f t="shared" si="468"/>
        <v>45968.625</v>
      </c>
      <c r="BB468" s="19">
        <f t="shared" si="468"/>
        <v>45968.64583</v>
      </c>
      <c r="BC468" s="19">
        <f t="shared" si="468"/>
        <v>45968.66667</v>
      </c>
      <c r="BD468" s="19">
        <f t="shared" si="468"/>
        <v>45968.6875</v>
      </c>
      <c r="BE468" s="19">
        <f t="shared" si="468"/>
        <v>45968.70833</v>
      </c>
      <c r="BF468" s="19">
        <f t="shared" si="468"/>
        <v>45968.72917</v>
      </c>
      <c r="BG468" s="19">
        <f t="shared" si="468"/>
        <v>45968.75</v>
      </c>
      <c r="BH468" s="19">
        <f t="shared" si="468"/>
        <v>45968.77083</v>
      </c>
      <c r="BI468" s="19">
        <f t="shared" si="468"/>
        <v>45968.79167</v>
      </c>
      <c r="BJ468" s="19">
        <f t="shared" si="468"/>
        <v>45968.8125</v>
      </c>
      <c r="BK468" s="19">
        <f t="shared" si="468"/>
        <v>45968.83333</v>
      </c>
      <c r="BL468" s="19">
        <f t="shared" si="468"/>
        <v>45968.85417</v>
      </c>
      <c r="BM468" s="19">
        <f t="shared" si="468"/>
        <v>45968.875</v>
      </c>
      <c r="BN468" s="19">
        <f t="shared" si="468"/>
        <v>45968.89583</v>
      </c>
      <c r="BO468" s="19">
        <f t="shared" si="468"/>
        <v>45968.91667</v>
      </c>
      <c r="BP468" s="19">
        <f t="shared" si="468"/>
        <v>45968.9375</v>
      </c>
      <c r="BQ468" s="19">
        <f t="shared" si="468"/>
        <v>45968.95833</v>
      </c>
      <c r="BR468" s="19">
        <f t="shared" si="468"/>
        <v>45968.97917</v>
      </c>
      <c r="BS468" s="19">
        <f t="shared" si="468"/>
        <v>45969</v>
      </c>
      <c r="BT468" s="19">
        <f t="shared" si="468"/>
        <v>45969.02083</v>
      </c>
      <c r="BU468" s="19">
        <f t="shared" si="468"/>
        <v>45969.04167</v>
      </c>
      <c r="BV468" s="19">
        <f t="shared" si="468"/>
        <v>45969.0625</v>
      </c>
      <c r="BW468" s="19">
        <f t="shared" si="468"/>
        <v>45969.08333</v>
      </c>
      <c r="BX468" s="19">
        <f t="shared" si="468"/>
        <v>45968</v>
      </c>
      <c r="BY468" s="19">
        <f t="shared" si="468"/>
        <v>45968</v>
      </c>
      <c r="BZ468" s="19">
        <f t="shared" si="468"/>
        <v>45968</v>
      </c>
    </row>
    <row r="469" ht="14.25" customHeight="1">
      <c r="A469" s="17">
        <v>45969.0</v>
      </c>
      <c r="B469" s="2" t="str">
        <f t="array" ref="B469">IF(NOW()&gt;AM469,"",IF(AND((WEEKDAY($A469)+$B$2)&gt;1,((WEEKDAY($A469)+$T$2)&lt;7),(WEEKDAY($A469)&lt;&gt;1)),"work",(INDEX(Subject!$A:$I,MATCH(RANDBETWEEN(1,(MAX(Subject!$B:$B))),Subject!$B:$B,0),3))))</f>
        <v/>
      </c>
      <c r="C469" s="2" t="str">
        <f t="array" ref="C469">IF(NOW()&gt;AN469,"",IF(AND((WEEKDAY($A469)+$B$2)&gt;1,((WEEKDAY($A469)+$T$2)&lt;7),(WEEKDAY($A469)&lt;&gt;1)),"work",(INDEX(Subject!$A:$I,MATCH(RANDBETWEEN(1,(MAX(Subject!$B:$B))),Subject!$B:$B,0),3))))</f>
        <v/>
      </c>
      <c r="D469" s="2" t="str">
        <f t="array" ref="D469">IF(NOW()&gt;AO469,"",IF(AND((WEEKDAY($A469)+$B$2)&gt;1,((WEEKDAY($A469)+$T$2)&lt;7),(WEEKDAY($A469)&lt;&gt;1)),"work",(INDEX(Subject!$A:$I,MATCH(RANDBETWEEN(1,(MAX(Subject!$B:$B))),Subject!$B:$B,0),3))))</f>
        <v/>
      </c>
      <c r="E469" s="2" t="str">
        <f t="array" ref="E469">IF(NOW()&gt;AP469,"",IF(AND((WEEKDAY($A469)+$B$2)&gt;1,((WEEKDAY($A469)+$T$2)&lt;7),(WEEKDAY($A469)&lt;&gt;1)),"work",(INDEX(Subject!$A:$I,MATCH(RANDBETWEEN(1,(MAX(Subject!$B:$B))),Subject!$B:$B,0),3))))</f>
        <v/>
      </c>
      <c r="F469" s="2" t="str">
        <f t="array" ref="F469">IF(NOW()&gt;AQ469,"",IF(AND((WEEKDAY($A469)+$B$2)&gt;1,((WEEKDAY($A469)+$T$2)&lt;7),(WEEKDAY($A469)&lt;&gt;1)),"work",(INDEX(Subject!$A:$I,MATCH(RANDBETWEEN(1,(MAX(Subject!$B:$B))),Subject!$B:$B,0),3))))</f>
        <v/>
      </c>
      <c r="G469" s="2" t="str">
        <f t="array" ref="G469">IF(NOW()&gt;AR469,"",IF(AND((WEEKDAY($A469)+$B$2)&gt;1,((WEEKDAY($A469)+$T$2)&lt;7),(WEEKDAY($A469)&lt;&gt;1)),"work",(INDEX(Subject!$A:$I,MATCH(RANDBETWEEN(1,(MAX(Subject!$B:$B))),Subject!$B:$B,0),3))))</f>
        <v/>
      </c>
      <c r="H469" s="2" t="str">
        <f t="array" ref="H469">IF(NOW()&gt;AS469,"",IF(AND((WEEKDAY($A469)+$B$2)&gt;1,((WEEKDAY($A469)+$T$2)&lt;7),(WEEKDAY($A469)&lt;&gt;1)),"work",(INDEX(Subject!$A:$I,MATCH(RANDBETWEEN(1,(MAX(Subject!$B:$B))),Subject!$B:$B,0),3))))</f>
        <v/>
      </c>
      <c r="I469" s="2" t="str">
        <f t="array" ref="I469">IF(NOW()&gt;AT469,"",IF(AND((WEEKDAY($A469)+$B$2)&gt;1,((WEEKDAY($A469)+$T$2)&lt;7),(WEEKDAY($A469)&lt;&gt;1)),"work",(INDEX(Subject!$A:$I,MATCH(RANDBETWEEN(1,(MAX(Subject!$B:$B))),Subject!$B:$B,0),3))))</f>
        <v/>
      </c>
      <c r="J469" s="2" t="str">
        <f t="array" ref="J469">IF(NOW()&gt;AU469,"",IF(AND((WEEKDAY($A469)+$B$2)&gt;1,((WEEKDAY($A469)+$T$2)&lt;7),(WEEKDAY($A469)&lt;&gt;1)),"work",(INDEX(Subject!$A:$I,MATCH(RANDBETWEEN(1,(MAX(Subject!$B:$B))),Subject!$B:$B,0),3))))</f>
        <v/>
      </c>
      <c r="K469" s="2" t="str">
        <f t="array" ref="K469">IF(NOW()&gt;AV469,"",IF(AND((WEEKDAY($A469)+$B$2)&gt;1,((WEEKDAY($A469)+$T$2)&lt;7),(WEEKDAY($A469)&lt;&gt;1)),"work",(INDEX(Subject!$A:$I,MATCH(RANDBETWEEN(1,(MAX(Subject!$B:$B))),Subject!$B:$B,0),3))))</f>
        <v/>
      </c>
      <c r="L469" s="2" t="str">
        <f t="array" ref="L469">IF(NOW()&gt;AW469,"",IF(AND((WEEKDAY($A469)+$B$2)&gt;1,((WEEKDAY($A469)+$T$2)&lt;7),(WEEKDAY($A469)&lt;&gt;1)),"work",(INDEX(Subject!$A:$I,MATCH(RANDBETWEEN(1,(MAX(Subject!$B:$B))),Subject!$B:$B,0),3))))</f>
        <v/>
      </c>
      <c r="M469" s="2" t="str">
        <f t="array" ref="M469">IF(NOW()&gt;AX469,"",IF(AND((WEEKDAY($A469)+$B$2)&gt;1,((WEEKDAY($A469)+$T$2)&lt;7),(WEEKDAY($A469)&lt;&gt;1)),"work",(INDEX(Subject!$A:$I,MATCH(RANDBETWEEN(1,(MAX(Subject!$B:$B))),Subject!$B:$B,0),3))))</f>
        <v/>
      </c>
      <c r="N469" s="2" t="str">
        <f t="array" ref="N469">IF(NOW()&gt;AY469,"",IF(AND((WEEKDAY($A469)+$B$2)&gt;1,((WEEKDAY($A469)+$T$2)&lt;7),(WEEKDAY($A469)&lt;&gt;1)),"work",(INDEX(Subject!$A:$I,MATCH(RANDBETWEEN(1,(MAX(Subject!$B:$B))),Subject!$B:$B,0),3))))</f>
        <v/>
      </c>
      <c r="O469" s="2" t="str">
        <f t="array" ref="O469">IF(NOW()&gt;AZ469,"",IF(AND((WEEKDAY($A469)+$B$2)&gt;1,((WEEKDAY($A469)+$T$2)&lt;7),(WEEKDAY($A469)&lt;&gt;1)),"work",(INDEX(Subject!$A:$I,MATCH(RANDBETWEEN(1,(MAX(Subject!$B:$B))),Subject!$B:$B,0),3))))</f>
        <v/>
      </c>
      <c r="P469" s="2" t="str">
        <f t="array" ref="P469">IF(NOW()&gt;BA469,"",IF(AND((WEEKDAY($A469)+$B$2)&gt;1,((WEEKDAY($A469)+$T$2)&lt;7),(WEEKDAY($A469)&lt;&gt;1)),"work",(INDEX(Subject!$A:$I,MATCH(RANDBETWEEN(1,(MAX(Subject!$B:$B))),Subject!$B:$B,0),3))))</f>
        <v/>
      </c>
      <c r="Q469" s="2" t="str">
        <f t="array" ref="Q469">IF(NOW()&gt;BB469,"",IF(AND((WEEKDAY($A469)+$B$2)&gt;1,((WEEKDAY($A469)+$T$2)&lt;7),(WEEKDAY($A469)&lt;&gt;1)),"work",(INDEX(Subject!$A:$I,MATCH(RANDBETWEEN(1,(MAX(Subject!$B:$B))),Subject!$B:$B,0),3))))</f>
        <v/>
      </c>
      <c r="R469" s="2" t="str">
        <f t="array" ref="R469">IF(NOW()&gt;BC469,"",IF(AND((WEEKDAY($A469)+$B$2)&gt;1,((WEEKDAY($A469)+$T$2)&lt;7),(WEEKDAY($A469)&lt;&gt;1)),"work",(INDEX(Subject!$A:$I,MATCH(RANDBETWEEN(1,(MAX(Subject!$B:$B))),Subject!$B:$B,0),3))))</f>
        <v/>
      </c>
      <c r="S469" s="2" t="str">
        <f t="array" ref="S469">IF(NOW()&gt;BD469,"",IF(AND((WEEKDAY($A469)+$B$2)&gt;1,((WEEKDAY($A469)+$T$2)&lt;7),(WEEKDAY($A469)&lt;&gt;1)),"work",(INDEX(Subject!$A:$I,MATCH(RANDBETWEEN(1,(MAX(Subject!$B:$B))),Subject!$B:$B,0),3))))</f>
        <v/>
      </c>
      <c r="T469" s="2" t="str">
        <f t="array" ref="T469">IF(NOW()&gt;BE469,"",IF(AND((WEEKDAY($A469)+$B$2)&gt;1,((WEEKDAY($A469)+$T$2)&lt;7),(WEEKDAY($A469)&lt;&gt;1)),"work",(INDEX(Subject!$A:$I,MATCH(RANDBETWEEN(1,(MAX(Subject!$B:$B))),Subject!$B:$B,0),3))))</f>
        <v/>
      </c>
      <c r="U469" s="8" t="str">
        <f t="array" ref="U469">INDEX(Subject!$A:$I,MATCH(RANDBETWEEN(1,16),Subject!$B:$B,0),3)</f>
        <v>#N/A</v>
      </c>
      <c r="V469" s="8" t="str">
        <f t="array" ref="V469">INDEX(Subject!$A:$I,MATCH(RANDBETWEEN(1,16),Subject!$B:$B,0),3)</f>
        <v>#N/A</v>
      </c>
      <c r="W469" s="8" t="str">
        <f t="array" ref="W469">INDEX(Subject!$A:$I,MATCH(RANDBETWEEN(1,16),Subject!$B:$B,0),3)</f>
        <v>#N/A</v>
      </c>
      <c r="X469" s="8" t="str">
        <f t="array" ref="X469">INDEX(Subject!$A:$I,MATCH(RANDBETWEEN(1,16),Subject!$B:$B,0),3)</f>
        <v>#N/A</v>
      </c>
      <c r="Y469" s="8" t="str">
        <f t="array" ref="Y469">INDEX(Subject!$A:$I,MATCH(RANDBETWEEN(1,16),Subject!$B:$B,0),3)</f>
        <v>#N/A</v>
      </c>
      <c r="Z469" s="8" t="str">
        <f t="array" ref="Z469">INDEX(Subject!$A:$I,MATCH(RANDBETWEEN(1,16),Subject!$B:$B,0),3)</f>
        <v>#N/A</v>
      </c>
      <c r="AA469" s="8" t="str">
        <f t="array" ref="AA469">INDEX(Subject!$A:$I,MATCH(RANDBETWEEN(1,16),Subject!$B:$B,0),3)</f>
        <v/>
      </c>
      <c r="AB469" s="8" t="str">
        <f t="array" ref="AB469">INDEX(Subject!$A:$I,MATCH(RANDBETWEEN(1,16),Subject!$B:$B,0),3)</f>
        <v>#N/A</v>
      </c>
      <c r="AC469" s="8" t="str">
        <f t="array" ref="AC469">INDEX(Subject!$A:$I,MATCH(RANDBETWEEN(1,16),Subject!$B:$B,0),3)</f>
        <v>#N/A</v>
      </c>
      <c r="AD469" s="8" t="str">
        <f t="array" ref="AD469">INDEX(Subject!$A:$I,MATCH(RANDBETWEEN(1,16),Subject!$B:$B,0),3)</f>
        <v>#N/A</v>
      </c>
      <c r="AE469" s="8" t="str">
        <f t="array" ref="AE469">INDEX(Subject!$A:$I,MATCH(RANDBETWEEN(1,16),Subject!$B:$B,0),3)</f>
        <v>#N/A</v>
      </c>
      <c r="AF469" s="8" t="str">
        <f t="array" ref="AF469">INDEX(Subject!$A:$I,MATCH(RANDBETWEEN(1,16),Subject!$B:$B,0),3)</f>
        <v>#N/A</v>
      </c>
      <c r="AG469" s="8" t="str">
        <f t="array" ref="AG469">INDEX(Subject!$A:$I,MATCH(RANDBETWEEN(1,16),Subject!$B:$B,0),3)</f>
        <v>#N/A</v>
      </c>
      <c r="AH469" s="8" t="str">
        <f t="array" ref="AH469">INDEX(Subject!$A:$I,MATCH(RANDBETWEEN(1,16),Subject!$B:$B,0),3)</f>
        <v>#N/A</v>
      </c>
      <c r="AI469" s="8" t="str">
        <f t="array" ref="AI469">INDEX(Subject!$A:$I,MATCH(RANDBETWEEN(1,16),Subject!$B:$B,0),3)</f>
        <v>#N/A</v>
      </c>
      <c r="AJ469" s="8" t="str">
        <f t="array" ref="AJ469">INDEX(Subject!$A:$I,MATCH(RANDBETWEEN(1,16),Subject!$B:$B,0),3)</f>
        <v>#N/A</v>
      </c>
      <c r="AK469" s="8" t="str">
        <f t="array" ref="AK469">INDEX(Subject!$A:$I,MATCH(RANDBETWEEN(1,16),Subject!$B:$B,0),3)</f>
        <v>#N/A</v>
      </c>
      <c r="AL469" s="8" t="str">
        <f t="array" ref="AL469">INDEX(Subject!$A:$I,MATCH(RANDBETWEEN(1,16),Subject!$B:$B,0),3)</f>
        <v>#N/A</v>
      </c>
      <c r="AM469" s="18">
        <f t="shared" si="4"/>
        <v>45969.33333</v>
      </c>
      <c r="AN469" s="19">
        <f t="shared" ref="AN469:BZ469" si="469">$A469+C$1</f>
        <v>45969.35417</v>
      </c>
      <c r="AO469" s="19">
        <f t="shared" si="469"/>
        <v>45969.375</v>
      </c>
      <c r="AP469" s="19">
        <f t="shared" si="469"/>
        <v>45969.39583</v>
      </c>
      <c r="AQ469" s="19">
        <f t="shared" si="469"/>
        <v>45969.41667</v>
      </c>
      <c r="AR469" s="19">
        <f t="shared" si="469"/>
        <v>45969.4375</v>
      </c>
      <c r="AS469" s="19">
        <f t="shared" si="469"/>
        <v>45969.45833</v>
      </c>
      <c r="AT469" s="19">
        <f t="shared" si="469"/>
        <v>45969.47917</v>
      </c>
      <c r="AU469" s="19">
        <f t="shared" si="469"/>
        <v>45969.5</v>
      </c>
      <c r="AV469" s="19">
        <f t="shared" si="469"/>
        <v>45969.52083</v>
      </c>
      <c r="AW469" s="19">
        <f t="shared" si="469"/>
        <v>45969.54167</v>
      </c>
      <c r="AX469" s="19">
        <f t="shared" si="469"/>
        <v>45969.5625</v>
      </c>
      <c r="AY469" s="19">
        <f t="shared" si="469"/>
        <v>45969.58333</v>
      </c>
      <c r="AZ469" s="19">
        <f t="shared" si="469"/>
        <v>45969.60417</v>
      </c>
      <c r="BA469" s="19">
        <f t="shared" si="469"/>
        <v>45969.625</v>
      </c>
      <c r="BB469" s="19">
        <f t="shared" si="469"/>
        <v>45969.64583</v>
      </c>
      <c r="BC469" s="19">
        <f t="shared" si="469"/>
        <v>45969.66667</v>
      </c>
      <c r="BD469" s="19">
        <f t="shared" si="469"/>
        <v>45969.6875</v>
      </c>
      <c r="BE469" s="19">
        <f t="shared" si="469"/>
        <v>45969.70833</v>
      </c>
      <c r="BF469" s="19">
        <f t="shared" si="469"/>
        <v>45969.72917</v>
      </c>
      <c r="BG469" s="19">
        <f t="shared" si="469"/>
        <v>45969.75</v>
      </c>
      <c r="BH469" s="19">
        <f t="shared" si="469"/>
        <v>45969.77083</v>
      </c>
      <c r="BI469" s="19">
        <f t="shared" si="469"/>
        <v>45969.79167</v>
      </c>
      <c r="BJ469" s="19">
        <f t="shared" si="469"/>
        <v>45969.8125</v>
      </c>
      <c r="BK469" s="19">
        <f t="shared" si="469"/>
        <v>45969.83333</v>
      </c>
      <c r="BL469" s="19">
        <f t="shared" si="469"/>
        <v>45969.85417</v>
      </c>
      <c r="BM469" s="19">
        <f t="shared" si="469"/>
        <v>45969.875</v>
      </c>
      <c r="BN469" s="19">
        <f t="shared" si="469"/>
        <v>45969.89583</v>
      </c>
      <c r="BO469" s="19">
        <f t="shared" si="469"/>
        <v>45969.91667</v>
      </c>
      <c r="BP469" s="19">
        <f t="shared" si="469"/>
        <v>45969.9375</v>
      </c>
      <c r="BQ469" s="19">
        <f t="shared" si="469"/>
        <v>45969.95833</v>
      </c>
      <c r="BR469" s="19">
        <f t="shared" si="469"/>
        <v>45969.97917</v>
      </c>
      <c r="BS469" s="19">
        <f t="shared" si="469"/>
        <v>45970</v>
      </c>
      <c r="BT469" s="19">
        <f t="shared" si="469"/>
        <v>45970.02083</v>
      </c>
      <c r="BU469" s="19">
        <f t="shared" si="469"/>
        <v>45970.04167</v>
      </c>
      <c r="BV469" s="19">
        <f t="shared" si="469"/>
        <v>45970.0625</v>
      </c>
      <c r="BW469" s="19">
        <f t="shared" si="469"/>
        <v>45970.08333</v>
      </c>
      <c r="BX469" s="19">
        <f t="shared" si="469"/>
        <v>45969</v>
      </c>
      <c r="BY469" s="19">
        <f t="shared" si="469"/>
        <v>45969</v>
      </c>
      <c r="BZ469" s="19">
        <f t="shared" si="469"/>
        <v>45969</v>
      </c>
    </row>
    <row r="470" ht="14.25" customHeight="1">
      <c r="A470" s="17">
        <v>45970.0</v>
      </c>
      <c r="B470" s="2" t="str">
        <f t="array" ref="B470">IF(NOW()&gt;AM470,"",IF(AND((WEEKDAY($A470)+$B$2)&gt;1,((WEEKDAY($A470)+$T$2)&lt;7),(WEEKDAY($A470)&lt;&gt;1)),"work",(INDEX(Subject!$A:$I,MATCH(RANDBETWEEN(1,(MAX(Subject!$B:$B))),Subject!$B:$B,0),3))))</f>
        <v/>
      </c>
      <c r="C470" s="2" t="str">
        <f t="array" ref="C470">IF(NOW()&gt;AN470,"",IF(AND((WEEKDAY($A470)+$B$2)&gt;1,((WEEKDAY($A470)+$T$2)&lt;7),(WEEKDAY($A470)&lt;&gt;1)),"work",(INDEX(Subject!$A:$I,MATCH(RANDBETWEEN(1,(MAX(Subject!$B:$B))),Subject!$B:$B,0),3))))</f>
        <v/>
      </c>
      <c r="D470" s="2" t="str">
        <f t="array" ref="D470">IF(NOW()&gt;AO470,"",IF(AND((WEEKDAY($A470)+$B$2)&gt;1,((WEEKDAY($A470)+$T$2)&lt;7),(WEEKDAY($A470)&lt;&gt;1)),"work",(INDEX(Subject!$A:$I,MATCH(RANDBETWEEN(1,(MAX(Subject!$B:$B))),Subject!$B:$B,0),3))))</f>
        <v/>
      </c>
      <c r="E470" s="2" t="str">
        <f t="array" ref="E470">IF(NOW()&gt;AP470,"",IF(AND((WEEKDAY($A470)+$B$2)&gt;1,((WEEKDAY($A470)+$T$2)&lt;7),(WEEKDAY($A470)&lt;&gt;1)),"work",(INDEX(Subject!$A:$I,MATCH(RANDBETWEEN(1,(MAX(Subject!$B:$B))),Subject!$B:$B,0),3))))</f>
        <v/>
      </c>
      <c r="F470" s="2" t="str">
        <f t="array" ref="F470">IF(NOW()&gt;AQ470,"",IF(AND((WEEKDAY($A470)+$B$2)&gt;1,((WEEKDAY($A470)+$T$2)&lt;7),(WEEKDAY($A470)&lt;&gt;1)),"work",(INDEX(Subject!$A:$I,MATCH(RANDBETWEEN(1,(MAX(Subject!$B:$B))),Subject!$B:$B,0),3))))</f>
        <v/>
      </c>
      <c r="G470" s="2" t="str">
        <f t="array" ref="G470">IF(NOW()&gt;AR470,"",IF(AND((WEEKDAY($A470)+$B$2)&gt;1,((WEEKDAY($A470)+$T$2)&lt;7),(WEEKDAY($A470)&lt;&gt;1)),"work",(INDEX(Subject!$A:$I,MATCH(RANDBETWEEN(1,(MAX(Subject!$B:$B))),Subject!$B:$B,0),3))))</f>
        <v/>
      </c>
      <c r="H470" s="2" t="str">
        <f t="array" ref="H470">IF(NOW()&gt;AS470,"",IF(AND((WEEKDAY($A470)+$B$2)&gt;1,((WEEKDAY($A470)+$T$2)&lt;7),(WEEKDAY($A470)&lt;&gt;1)),"work",(INDEX(Subject!$A:$I,MATCH(RANDBETWEEN(1,(MAX(Subject!$B:$B))),Subject!$B:$B,0),3))))</f>
        <v/>
      </c>
      <c r="I470" s="2" t="str">
        <f t="array" ref="I470">IF(NOW()&gt;AT470,"",IF(AND((WEEKDAY($A470)+$B$2)&gt;1,((WEEKDAY($A470)+$T$2)&lt;7),(WEEKDAY($A470)&lt;&gt;1)),"work",(INDEX(Subject!$A:$I,MATCH(RANDBETWEEN(1,(MAX(Subject!$B:$B))),Subject!$B:$B,0),3))))</f>
        <v/>
      </c>
      <c r="J470" s="2" t="str">
        <f t="array" ref="J470">IF(NOW()&gt;AU470,"",IF(AND((WEEKDAY($A470)+$B$2)&gt;1,((WEEKDAY($A470)+$T$2)&lt;7),(WEEKDAY($A470)&lt;&gt;1)),"work",(INDEX(Subject!$A:$I,MATCH(RANDBETWEEN(1,(MAX(Subject!$B:$B))),Subject!$B:$B,0),3))))</f>
        <v/>
      </c>
      <c r="K470" s="2" t="str">
        <f t="array" ref="K470">IF(NOW()&gt;AV470,"",IF(AND((WEEKDAY($A470)+$B$2)&gt;1,((WEEKDAY($A470)+$T$2)&lt;7),(WEEKDAY($A470)&lt;&gt;1)),"work",(INDEX(Subject!$A:$I,MATCH(RANDBETWEEN(1,(MAX(Subject!$B:$B))),Subject!$B:$B,0),3))))</f>
        <v/>
      </c>
      <c r="L470" s="2" t="str">
        <f t="array" ref="L470">IF(NOW()&gt;AW470,"",IF(AND((WEEKDAY($A470)+$B$2)&gt;1,((WEEKDAY($A470)+$T$2)&lt;7),(WEEKDAY($A470)&lt;&gt;1)),"work",(INDEX(Subject!$A:$I,MATCH(RANDBETWEEN(1,(MAX(Subject!$B:$B))),Subject!$B:$B,0),3))))</f>
        <v/>
      </c>
      <c r="M470" s="2" t="str">
        <f t="array" ref="M470">IF(NOW()&gt;AX470,"",IF(AND((WEEKDAY($A470)+$B$2)&gt;1,((WEEKDAY($A470)+$T$2)&lt;7),(WEEKDAY($A470)&lt;&gt;1)),"work",(INDEX(Subject!$A:$I,MATCH(RANDBETWEEN(1,(MAX(Subject!$B:$B))),Subject!$B:$B,0),3))))</f>
        <v/>
      </c>
      <c r="N470" s="2" t="str">
        <f t="array" ref="N470">IF(NOW()&gt;AY470,"",IF(AND((WEEKDAY($A470)+$B$2)&gt;1,((WEEKDAY($A470)+$T$2)&lt;7),(WEEKDAY($A470)&lt;&gt;1)),"work",(INDEX(Subject!$A:$I,MATCH(RANDBETWEEN(1,(MAX(Subject!$B:$B))),Subject!$B:$B,0),3))))</f>
        <v/>
      </c>
      <c r="O470" s="2" t="str">
        <f t="array" ref="O470">IF(NOW()&gt;AZ470,"",IF(AND((WEEKDAY($A470)+$B$2)&gt;1,((WEEKDAY($A470)+$T$2)&lt;7),(WEEKDAY($A470)&lt;&gt;1)),"work",(INDEX(Subject!$A:$I,MATCH(RANDBETWEEN(1,(MAX(Subject!$B:$B))),Subject!$B:$B,0),3))))</f>
        <v/>
      </c>
      <c r="P470" s="2" t="str">
        <f t="array" ref="P470">IF(NOW()&gt;BA470,"",IF(AND((WEEKDAY($A470)+$B$2)&gt;1,((WEEKDAY($A470)+$T$2)&lt;7),(WEEKDAY($A470)&lt;&gt;1)),"work",(INDEX(Subject!$A:$I,MATCH(RANDBETWEEN(1,(MAX(Subject!$B:$B))),Subject!$B:$B,0),3))))</f>
        <v/>
      </c>
      <c r="Q470" s="2" t="str">
        <f t="array" ref="Q470">IF(NOW()&gt;BB470,"",IF(AND((WEEKDAY($A470)+$B$2)&gt;1,((WEEKDAY($A470)+$T$2)&lt;7),(WEEKDAY($A470)&lt;&gt;1)),"work",(INDEX(Subject!$A:$I,MATCH(RANDBETWEEN(1,(MAX(Subject!$B:$B))),Subject!$B:$B,0),3))))</f>
        <v/>
      </c>
      <c r="R470" s="2" t="str">
        <f t="array" ref="R470">IF(NOW()&gt;BC470,"",IF(AND((WEEKDAY($A470)+$B$2)&gt;1,((WEEKDAY($A470)+$T$2)&lt;7),(WEEKDAY($A470)&lt;&gt;1)),"work",(INDEX(Subject!$A:$I,MATCH(RANDBETWEEN(1,(MAX(Subject!$B:$B))),Subject!$B:$B,0),3))))</f>
        <v/>
      </c>
      <c r="S470" s="2" t="str">
        <f t="array" ref="S470">IF(NOW()&gt;BD470,"",IF(AND((WEEKDAY($A470)+$B$2)&gt;1,((WEEKDAY($A470)+$T$2)&lt;7),(WEEKDAY($A470)&lt;&gt;1)),"work",(INDEX(Subject!$A:$I,MATCH(RANDBETWEEN(1,(MAX(Subject!$B:$B))),Subject!$B:$B,0),3))))</f>
        <v/>
      </c>
      <c r="T470" s="2" t="str">
        <f t="array" ref="T470">IF(NOW()&gt;BE470,"",IF(AND((WEEKDAY($A470)+$B$2)&gt;1,((WEEKDAY($A470)+$T$2)&lt;7),(WEEKDAY($A470)&lt;&gt;1)),"work",(INDEX(Subject!$A:$I,MATCH(RANDBETWEEN(1,(MAX(Subject!$B:$B))),Subject!$B:$B,0),3))))</f>
        <v/>
      </c>
      <c r="U470" s="8" t="str">
        <f t="array" ref="U470">INDEX(Subject!$A:$I,MATCH(RANDBETWEEN(1,16),Subject!$B:$B,0),3)</f>
        <v/>
      </c>
      <c r="V470" s="8" t="str">
        <f t="array" ref="V470">INDEX(Subject!$A:$I,MATCH(RANDBETWEEN(1,16),Subject!$B:$B,0),3)</f>
        <v>#N/A</v>
      </c>
      <c r="W470" s="8" t="str">
        <f t="array" ref="W470">INDEX(Subject!$A:$I,MATCH(RANDBETWEEN(1,16),Subject!$B:$B,0),3)</f>
        <v>#N/A</v>
      </c>
      <c r="X470" s="8" t="str">
        <f t="array" ref="X470">INDEX(Subject!$A:$I,MATCH(RANDBETWEEN(1,16),Subject!$B:$B,0),3)</f>
        <v>#N/A</v>
      </c>
      <c r="Y470" s="8" t="str">
        <f t="array" ref="Y470">INDEX(Subject!$A:$I,MATCH(RANDBETWEEN(1,16),Subject!$B:$B,0),3)</f>
        <v>#N/A</v>
      </c>
      <c r="Z470" s="8" t="str">
        <f t="array" ref="Z470">INDEX(Subject!$A:$I,MATCH(RANDBETWEEN(1,16),Subject!$B:$B,0),3)</f>
        <v>#N/A</v>
      </c>
      <c r="AA470" s="8" t="str">
        <f t="array" ref="AA470">INDEX(Subject!$A:$I,MATCH(RANDBETWEEN(1,16),Subject!$B:$B,0),3)</f>
        <v>#N/A</v>
      </c>
      <c r="AB470" s="8" t="str">
        <f t="array" ref="AB470">INDEX(Subject!$A:$I,MATCH(RANDBETWEEN(1,16),Subject!$B:$B,0),3)</f>
        <v>#N/A</v>
      </c>
      <c r="AC470" s="8" t="str">
        <f t="array" ref="AC470">INDEX(Subject!$A:$I,MATCH(RANDBETWEEN(1,16),Subject!$B:$B,0),3)</f>
        <v>#N/A</v>
      </c>
      <c r="AD470" s="8" t="str">
        <f t="array" ref="AD470">INDEX(Subject!$A:$I,MATCH(RANDBETWEEN(1,16),Subject!$B:$B,0),3)</f>
        <v>#N/A</v>
      </c>
      <c r="AE470" s="8" t="str">
        <f t="array" ref="AE470">INDEX(Subject!$A:$I,MATCH(RANDBETWEEN(1,16),Subject!$B:$B,0),3)</f>
        <v>#N/A</v>
      </c>
      <c r="AF470" s="8" t="str">
        <f t="array" ref="AF470">INDEX(Subject!$A:$I,MATCH(RANDBETWEEN(1,16),Subject!$B:$B,0),3)</f>
        <v>#N/A</v>
      </c>
      <c r="AG470" s="8" t="str">
        <f t="array" ref="AG470">INDEX(Subject!$A:$I,MATCH(RANDBETWEEN(1,16),Subject!$B:$B,0),3)</f>
        <v/>
      </c>
      <c r="AH470" s="8" t="str">
        <f t="array" ref="AH470">INDEX(Subject!$A:$I,MATCH(RANDBETWEEN(1,16),Subject!$B:$B,0),3)</f>
        <v>#N/A</v>
      </c>
      <c r="AI470" s="8" t="str">
        <f t="array" ref="AI470">INDEX(Subject!$A:$I,MATCH(RANDBETWEEN(1,16),Subject!$B:$B,0),3)</f>
        <v>#N/A</v>
      </c>
      <c r="AJ470" s="8" t="str">
        <f t="array" ref="AJ470">INDEX(Subject!$A:$I,MATCH(RANDBETWEEN(1,16),Subject!$B:$B,0),3)</f>
        <v>#N/A</v>
      </c>
      <c r="AK470" s="8" t="str">
        <f t="array" ref="AK470">INDEX(Subject!$A:$I,MATCH(RANDBETWEEN(1,16),Subject!$B:$B,0),3)</f>
        <v>#N/A</v>
      </c>
      <c r="AL470" s="8" t="str">
        <f t="array" ref="AL470">INDEX(Subject!$A:$I,MATCH(RANDBETWEEN(1,16),Subject!$B:$B,0),3)</f>
        <v>#N/A</v>
      </c>
      <c r="AM470" s="18">
        <f t="shared" si="4"/>
        <v>45970.33333</v>
      </c>
      <c r="AN470" s="19">
        <f t="shared" ref="AN470:BZ470" si="470">$A470+C$1</f>
        <v>45970.35417</v>
      </c>
      <c r="AO470" s="19">
        <f t="shared" si="470"/>
        <v>45970.375</v>
      </c>
      <c r="AP470" s="19">
        <f t="shared" si="470"/>
        <v>45970.39583</v>
      </c>
      <c r="AQ470" s="19">
        <f t="shared" si="470"/>
        <v>45970.41667</v>
      </c>
      <c r="AR470" s="19">
        <f t="shared" si="470"/>
        <v>45970.4375</v>
      </c>
      <c r="AS470" s="19">
        <f t="shared" si="470"/>
        <v>45970.45833</v>
      </c>
      <c r="AT470" s="19">
        <f t="shared" si="470"/>
        <v>45970.47917</v>
      </c>
      <c r="AU470" s="19">
        <f t="shared" si="470"/>
        <v>45970.5</v>
      </c>
      <c r="AV470" s="19">
        <f t="shared" si="470"/>
        <v>45970.52083</v>
      </c>
      <c r="AW470" s="19">
        <f t="shared" si="470"/>
        <v>45970.54167</v>
      </c>
      <c r="AX470" s="19">
        <f t="shared" si="470"/>
        <v>45970.5625</v>
      </c>
      <c r="AY470" s="19">
        <f t="shared" si="470"/>
        <v>45970.58333</v>
      </c>
      <c r="AZ470" s="19">
        <f t="shared" si="470"/>
        <v>45970.60417</v>
      </c>
      <c r="BA470" s="19">
        <f t="shared" si="470"/>
        <v>45970.625</v>
      </c>
      <c r="BB470" s="19">
        <f t="shared" si="470"/>
        <v>45970.64583</v>
      </c>
      <c r="BC470" s="19">
        <f t="shared" si="470"/>
        <v>45970.66667</v>
      </c>
      <c r="BD470" s="19">
        <f t="shared" si="470"/>
        <v>45970.6875</v>
      </c>
      <c r="BE470" s="19">
        <f t="shared" si="470"/>
        <v>45970.70833</v>
      </c>
      <c r="BF470" s="19">
        <f t="shared" si="470"/>
        <v>45970.72917</v>
      </c>
      <c r="BG470" s="19">
        <f t="shared" si="470"/>
        <v>45970.75</v>
      </c>
      <c r="BH470" s="19">
        <f t="shared" si="470"/>
        <v>45970.77083</v>
      </c>
      <c r="BI470" s="19">
        <f t="shared" si="470"/>
        <v>45970.79167</v>
      </c>
      <c r="BJ470" s="19">
        <f t="shared" si="470"/>
        <v>45970.8125</v>
      </c>
      <c r="BK470" s="19">
        <f t="shared" si="470"/>
        <v>45970.83333</v>
      </c>
      <c r="BL470" s="19">
        <f t="shared" si="470"/>
        <v>45970.85417</v>
      </c>
      <c r="BM470" s="19">
        <f t="shared" si="470"/>
        <v>45970.875</v>
      </c>
      <c r="BN470" s="19">
        <f t="shared" si="470"/>
        <v>45970.89583</v>
      </c>
      <c r="BO470" s="19">
        <f t="shared" si="470"/>
        <v>45970.91667</v>
      </c>
      <c r="BP470" s="19">
        <f t="shared" si="470"/>
        <v>45970.9375</v>
      </c>
      <c r="BQ470" s="19">
        <f t="shared" si="470"/>
        <v>45970.95833</v>
      </c>
      <c r="BR470" s="19">
        <f t="shared" si="470"/>
        <v>45970.97917</v>
      </c>
      <c r="BS470" s="19">
        <f t="shared" si="470"/>
        <v>45971</v>
      </c>
      <c r="BT470" s="19">
        <f t="shared" si="470"/>
        <v>45971.02083</v>
      </c>
      <c r="BU470" s="19">
        <f t="shared" si="470"/>
        <v>45971.04167</v>
      </c>
      <c r="BV470" s="19">
        <f t="shared" si="470"/>
        <v>45971.0625</v>
      </c>
      <c r="BW470" s="19">
        <f t="shared" si="470"/>
        <v>45971.08333</v>
      </c>
      <c r="BX470" s="19">
        <f t="shared" si="470"/>
        <v>45970</v>
      </c>
      <c r="BY470" s="19">
        <f t="shared" si="470"/>
        <v>45970</v>
      </c>
      <c r="BZ470" s="19">
        <f t="shared" si="470"/>
        <v>45970</v>
      </c>
    </row>
    <row r="471" ht="14.25" customHeight="1">
      <c r="A471" s="17">
        <v>45971.0</v>
      </c>
      <c r="B471" s="2" t="str">
        <f t="array" ref="B471">IF(NOW()&gt;AM471,"",IF(AND((WEEKDAY($A471)+$B$2)&gt;1,((WEEKDAY($A471)+$T$2)&lt;7),(WEEKDAY($A471)&lt;&gt;1)),"work",(INDEX(Subject!$A:$I,MATCH(RANDBETWEEN(1,(MAX(Subject!$B:$B))),Subject!$B:$B,0),3))))</f>
        <v/>
      </c>
      <c r="C471" s="2" t="str">
        <f t="array" ref="C471">IF(NOW()&gt;AN471,"",IF(AND((WEEKDAY($A471)+$B$2)&gt;1,((WEEKDAY($A471)+$T$2)&lt;7),(WEEKDAY($A471)&lt;&gt;1)),"work",(INDEX(Subject!$A:$I,MATCH(RANDBETWEEN(1,(MAX(Subject!$B:$B))),Subject!$B:$B,0),3))))</f>
        <v/>
      </c>
      <c r="D471" s="2" t="str">
        <f t="array" ref="D471">IF(NOW()&gt;AO471,"",IF(AND((WEEKDAY($A471)+$B$2)&gt;1,((WEEKDAY($A471)+$T$2)&lt;7),(WEEKDAY($A471)&lt;&gt;1)),"work",(INDEX(Subject!$A:$I,MATCH(RANDBETWEEN(1,(MAX(Subject!$B:$B))),Subject!$B:$B,0),3))))</f>
        <v/>
      </c>
      <c r="E471" s="2" t="str">
        <f t="array" ref="E471">IF(NOW()&gt;AP471,"",IF(AND((WEEKDAY($A471)+$B$2)&gt;1,((WEEKDAY($A471)+$T$2)&lt;7),(WEEKDAY($A471)&lt;&gt;1)),"work",(INDEX(Subject!$A:$I,MATCH(RANDBETWEEN(1,(MAX(Subject!$B:$B))),Subject!$B:$B,0),3))))</f>
        <v/>
      </c>
      <c r="F471" s="2" t="str">
        <f t="array" ref="F471">IF(NOW()&gt;AQ471,"",IF(AND((WEEKDAY($A471)+$B$2)&gt;1,((WEEKDAY($A471)+$T$2)&lt;7),(WEEKDAY($A471)&lt;&gt;1)),"work",(INDEX(Subject!$A:$I,MATCH(RANDBETWEEN(1,(MAX(Subject!$B:$B))),Subject!$B:$B,0),3))))</f>
        <v/>
      </c>
      <c r="G471" s="2" t="str">
        <f t="array" ref="G471">IF(NOW()&gt;AR471,"",IF(AND((WEEKDAY($A471)+$B$2)&gt;1,((WEEKDAY($A471)+$T$2)&lt;7),(WEEKDAY($A471)&lt;&gt;1)),"work",(INDEX(Subject!$A:$I,MATCH(RANDBETWEEN(1,(MAX(Subject!$B:$B))),Subject!$B:$B,0),3))))</f>
        <v/>
      </c>
      <c r="H471" s="2" t="str">
        <f t="array" ref="H471">IF(NOW()&gt;AS471,"",IF(AND((WEEKDAY($A471)+$B$2)&gt;1,((WEEKDAY($A471)+$T$2)&lt;7),(WEEKDAY($A471)&lt;&gt;1)),"work",(INDEX(Subject!$A:$I,MATCH(RANDBETWEEN(1,(MAX(Subject!$B:$B))),Subject!$B:$B,0),3))))</f>
        <v/>
      </c>
      <c r="I471" s="2" t="str">
        <f t="array" ref="I471">IF(NOW()&gt;AT471,"",IF(AND((WEEKDAY($A471)+$B$2)&gt;1,((WEEKDAY($A471)+$T$2)&lt;7),(WEEKDAY($A471)&lt;&gt;1)),"work",(INDEX(Subject!$A:$I,MATCH(RANDBETWEEN(1,(MAX(Subject!$B:$B))),Subject!$B:$B,0),3))))</f>
        <v/>
      </c>
      <c r="J471" s="2" t="str">
        <f t="array" ref="J471">IF(NOW()&gt;AU471,"",IF(AND((WEEKDAY($A471)+$B$2)&gt;1,((WEEKDAY($A471)+$T$2)&lt;7),(WEEKDAY($A471)&lt;&gt;1)),"work",(INDEX(Subject!$A:$I,MATCH(RANDBETWEEN(1,(MAX(Subject!$B:$B))),Subject!$B:$B,0),3))))</f>
        <v/>
      </c>
      <c r="K471" s="2" t="str">
        <f t="array" ref="K471">IF(NOW()&gt;AV471,"",IF(AND((WEEKDAY($A471)+$B$2)&gt;1,((WEEKDAY($A471)+$T$2)&lt;7),(WEEKDAY($A471)&lt;&gt;1)),"work",(INDEX(Subject!$A:$I,MATCH(RANDBETWEEN(1,(MAX(Subject!$B:$B))),Subject!$B:$B,0),3))))</f>
        <v/>
      </c>
      <c r="L471" s="2" t="str">
        <f t="array" ref="L471">IF(NOW()&gt;AW471,"",IF(AND((WEEKDAY($A471)+$B$2)&gt;1,((WEEKDAY($A471)+$T$2)&lt;7),(WEEKDAY($A471)&lt;&gt;1)),"work",(INDEX(Subject!$A:$I,MATCH(RANDBETWEEN(1,(MAX(Subject!$B:$B))),Subject!$B:$B,0),3))))</f>
        <v/>
      </c>
      <c r="M471" s="2" t="str">
        <f t="array" ref="M471">IF(NOW()&gt;AX471,"",IF(AND((WEEKDAY($A471)+$B$2)&gt;1,((WEEKDAY($A471)+$T$2)&lt;7),(WEEKDAY($A471)&lt;&gt;1)),"work",(INDEX(Subject!$A:$I,MATCH(RANDBETWEEN(1,(MAX(Subject!$B:$B))),Subject!$B:$B,0),3))))</f>
        <v/>
      </c>
      <c r="N471" s="2" t="str">
        <f t="array" ref="N471">IF(NOW()&gt;AY471,"",IF(AND((WEEKDAY($A471)+$B$2)&gt;1,((WEEKDAY($A471)+$T$2)&lt;7),(WEEKDAY($A471)&lt;&gt;1)),"work",(INDEX(Subject!$A:$I,MATCH(RANDBETWEEN(1,(MAX(Subject!$B:$B))),Subject!$B:$B,0),3))))</f>
        <v/>
      </c>
      <c r="O471" s="2" t="str">
        <f t="array" ref="O471">IF(NOW()&gt;AZ471,"",IF(AND((WEEKDAY($A471)+$B$2)&gt;1,((WEEKDAY($A471)+$T$2)&lt;7),(WEEKDAY($A471)&lt;&gt;1)),"work",(INDEX(Subject!$A:$I,MATCH(RANDBETWEEN(1,(MAX(Subject!$B:$B))),Subject!$B:$B,0),3))))</f>
        <v/>
      </c>
      <c r="P471" s="2" t="str">
        <f t="array" ref="P471">IF(NOW()&gt;BA471,"",IF(AND((WEEKDAY($A471)+$B$2)&gt;1,((WEEKDAY($A471)+$T$2)&lt;7),(WEEKDAY($A471)&lt;&gt;1)),"work",(INDEX(Subject!$A:$I,MATCH(RANDBETWEEN(1,(MAX(Subject!$B:$B))),Subject!$B:$B,0),3))))</f>
        <v/>
      </c>
      <c r="Q471" s="2" t="str">
        <f t="array" ref="Q471">IF(NOW()&gt;BB471,"",IF(AND((WEEKDAY($A471)+$B$2)&gt;1,((WEEKDAY($A471)+$T$2)&lt;7),(WEEKDAY($A471)&lt;&gt;1)),"work",(INDEX(Subject!$A:$I,MATCH(RANDBETWEEN(1,(MAX(Subject!$B:$B))),Subject!$B:$B,0),3))))</f>
        <v/>
      </c>
      <c r="R471" s="2" t="str">
        <f t="array" ref="R471">IF(NOW()&gt;BC471,"",IF(AND((WEEKDAY($A471)+$B$2)&gt;1,((WEEKDAY($A471)+$T$2)&lt;7),(WEEKDAY($A471)&lt;&gt;1)),"work",(INDEX(Subject!$A:$I,MATCH(RANDBETWEEN(1,(MAX(Subject!$B:$B))),Subject!$B:$B,0),3))))</f>
        <v/>
      </c>
      <c r="S471" s="2" t="str">
        <f t="array" ref="S471">IF(NOW()&gt;BD471,"",IF(AND((WEEKDAY($A471)+$B$2)&gt;1,((WEEKDAY($A471)+$T$2)&lt;7),(WEEKDAY($A471)&lt;&gt;1)),"work",(INDEX(Subject!$A:$I,MATCH(RANDBETWEEN(1,(MAX(Subject!$B:$B))),Subject!$B:$B,0),3))))</f>
        <v/>
      </c>
      <c r="T471" s="2" t="str">
        <f t="array" ref="T471">IF(NOW()&gt;BE471,"",IF(AND((WEEKDAY($A471)+$B$2)&gt;1,((WEEKDAY($A471)+$T$2)&lt;7),(WEEKDAY($A471)&lt;&gt;1)),"work",(INDEX(Subject!$A:$I,MATCH(RANDBETWEEN(1,(MAX(Subject!$B:$B))),Subject!$B:$B,0),3))))</f>
        <v/>
      </c>
      <c r="U471" s="8" t="str">
        <f t="array" ref="U471">INDEX(Subject!$A:$I,MATCH(RANDBETWEEN(1,16),Subject!$B:$B,0),3)</f>
        <v>#N/A</v>
      </c>
      <c r="V471" s="8" t="str">
        <f t="array" ref="V471">INDEX(Subject!$A:$I,MATCH(RANDBETWEEN(1,16),Subject!$B:$B,0),3)</f>
        <v>#N/A</v>
      </c>
      <c r="W471" s="8" t="str">
        <f t="array" ref="W471">INDEX(Subject!$A:$I,MATCH(RANDBETWEEN(1,16),Subject!$B:$B,0),3)</f>
        <v>#N/A</v>
      </c>
      <c r="X471" s="8" t="str">
        <f t="array" ref="X471">INDEX(Subject!$A:$I,MATCH(RANDBETWEEN(1,16),Subject!$B:$B,0),3)</f>
        <v>#N/A</v>
      </c>
      <c r="Y471" s="8" t="str">
        <f t="array" ref="Y471">INDEX(Subject!$A:$I,MATCH(RANDBETWEEN(1,16),Subject!$B:$B,0),3)</f>
        <v>#N/A</v>
      </c>
      <c r="Z471" s="8" t="str">
        <f t="array" ref="Z471">INDEX(Subject!$A:$I,MATCH(RANDBETWEEN(1,16),Subject!$B:$B,0),3)</f>
        <v>#N/A</v>
      </c>
      <c r="AA471" s="8" t="str">
        <f t="array" ref="AA471">INDEX(Subject!$A:$I,MATCH(RANDBETWEEN(1,16),Subject!$B:$B,0),3)</f>
        <v>#N/A</v>
      </c>
      <c r="AB471" s="8" t="str">
        <f t="array" ref="AB471">INDEX(Subject!$A:$I,MATCH(RANDBETWEEN(1,16),Subject!$B:$B,0),3)</f>
        <v>#N/A</v>
      </c>
      <c r="AC471" s="8" t="str">
        <f t="array" ref="AC471">INDEX(Subject!$A:$I,MATCH(RANDBETWEEN(1,16),Subject!$B:$B,0),3)</f>
        <v>#N/A</v>
      </c>
      <c r="AD471" s="8" t="str">
        <f t="array" ref="AD471">INDEX(Subject!$A:$I,MATCH(RANDBETWEEN(1,16),Subject!$B:$B,0),3)</f>
        <v>#N/A</v>
      </c>
      <c r="AE471" s="8" t="str">
        <f t="array" ref="AE471">INDEX(Subject!$A:$I,MATCH(RANDBETWEEN(1,16),Subject!$B:$B,0),3)</f>
        <v>#N/A</v>
      </c>
      <c r="AF471" s="8" t="str">
        <f t="array" ref="AF471">INDEX(Subject!$A:$I,MATCH(RANDBETWEEN(1,16),Subject!$B:$B,0),3)</f>
        <v>#N/A</v>
      </c>
      <c r="AG471" s="8" t="str">
        <f t="array" ref="AG471">INDEX(Subject!$A:$I,MATCH(RANDBETWEEN(1,16),Subject!$B:$B,0),3)</f>
        <v>#N/A</v>
      </c>
      <c r="AH471" s="8" t="str">
        <f t="array" ref="AH471">INDEX(Subject!$A:$I,MATCH(RANDBETWEEN(1,16),Subject!$B:$B,0),3)</f>
        <v>#N/A</v>
      </c>
      <c r="AI471" s="8" t="str">
        <f t="array" ref="AI471">INDEX(Subject!$A:$I,MATCH(RANDBETWEEN(1,16),Subject!$B:$B,0),3)</f>
        <v>#N/A</v>
      </c>
      <c r="AJ471" s="8" t="str">
        <f t="array" ref="AJ471">INDEX(Subject!$A:$I,MATCH(RANDBETWEEN(1,16),Subject!$B:$B,0),3)</f>
        <v>#N/A</v>
      </c>
      <c r="AK471" s="8" t="str">
        <f t="array" ref="AK471">INDEX(Subject!$A:$I,MATCH(RANDBETWEEN(1,16),Subject!$B:$B,0),3)</f>
        <v/>
      </c>
      <c r="AL471" s="8" t="str">
        <f t="array" ref="AL471">INDEX(Subject!$A:$I,MATCH(RANDBETWEEN(1,16),Subject!$B:$B,0),3)</f>
        <v>#N/A</v>
      </c>
      <c r="AM471" s="18">
        <f t="shared" si="4"/>
        <v>45971.33333</v>
      </c>
      <c r="AN471" s="19">
        <f t="shared" ref="AN471:BZ471" si="471">$A471+C$1</f>
        <v>45971.35417</v>
      </c>
      <c r="AO471" s="19">
        <f t="shared" si="471"/>
        <v>45971.375</v>
      </c>
      <c r="AP471" s="19">
        <f t="shared" si="471"/>
        <v>45971.39583</v>
      </c>
      <c r="AQ471" s="19">
        <f t="shared" si="471"/>
        <v>45971.41667</v>
      </c>
      <c r="AR471" s="19">
        <f t="shared" si="471"/>
        <v>45971.4375</v>
      </c>
      <c r="AS471" s="19">
        <f t="shared" si="471"/>
        <v>45971.45833</v>
      </c>
      <c r="AT471" s="19">
        <f t="shared" si="471"/>
        <v>45971.47917</v>
      </c>
      <c r="AU471" s="19">
        <f t="shared" si="471"/>
        <v>45971.5</v>
      </c>
      <c r="AV471" s="19">
        <f t="shared" si="471"/>
        <v>45971.52083</v>
      </c>
      <c r="AW471" s="19">
        <f t="shared" si="471"/>
        <v>45971.54167</v>
      </c>
      <c r="AX471" s="19">
        <f t="shared" si="471"/>
        <v>45971.5625</v>
      </c>
      <c r="AY471" s="19">
        <f t="shared" si="471"/>
        <v>45971.58333</v>
      </c>
      <c r="AZ471" s="19">
        <f t="shared" si="471"/>
        <v>45971.60417</v>
      </c>
      <c r="BA471" s="19">
        <f t="shared" si="471"/>
        <v>45971.625</v>
      </c>
      <c r="BB471" s="19">
        <f t="shared" si="471"/>
        <v>45971.64583</v>
      </c>
      <c r="BC471" s="19">
        <f t="shared" si="471"/>
        <v>45971.66667</v>
      </c>
      <c r="BD471" s="19">
        <f t="shared" si="471"/>
        <v>45971.6875</v>
      </c>
      <c r="BE471" s="19">
        <f t="shared" si="471"/>
        <v>45971.70833</v>
      </c>
      <c r="BF471" s="19">
        <f t="shared" si="471"/>
        <v>45971.72917</v>
      </c>
      <c r="BG471" s="19">
        <f t="shared" si="471"/>
        <v>45971.75</v>
      </c>
      <c r="BH471" s="19">
        <f t="shared" si="471"/>
        <v>45971.77083</v>
      </c>
      <c r="BI471" s="19">
        <f t="shared" si="471"/>
        <v>45971.79167</v>
      </c>
      <c r="BJ471" s="19">
        <f t="shared" si="471"/>
        <v>45971.8125</v>
      </c>
      <c r="BK471" s="19">
        <f t="shared" si="471"/>
        <v>45971.83333</v>
      </c>
      <c r="BL471" s="19">
        <f t="shared" si="471"/>
        <v>45971.85417</v>
      </c>
      <c r="BM471" s="19">
        <f t="shared" si="471"/>
        <v>45971.875</v>
      </c>
      <c r="BN471" s="19">
        <f t="shared" si="471"/>
        <v>45971.89583</v>
      </c>
      <c r="BO471" s="19">
        <f t="shared" si="471"/>
        <v>45971.91667</v>
      </c>
      <c r="BP471" s="19">
        <f t="shared" si="471"/>
        <v>45971.9375</v>
      </c>
      <c r="BQ471" s="19">
        <f t="shared" si="471"/>
        <v>45971.95833</v>
      </c>
      <c r="BR471" s="19">
        <f t="shared" si="471"/>
        <v>45971.97917</v>
      </c>
      <c r="BS471" s="19">
        <f t="shared" si="471"/>
        <v>45972</v>
      </c>
      <c r="BT471" s="19">
        <f t="shared" si="471"/>
        <v>45972.02083</v>
      </c>
      <c r="BU471" s="19">
        <f t="shared" si="471"/>
        <v>45972.04167</v>
      </c>
      <c r="BV471" s="19">
        <f t="shared" si="471"/>
        <v>45972.0625</v>
      </c>
      <c r="BW471" s="19">
        <f t="shared" si="471"/>
        <v>45972.08333</v>
      </c>
      <c r="BX471" s="19">
        <f t="shared" si="471"/>
        <v>45971</v>
      </c>
      <c r="BY471" s="19">
        <f t="shared" si="471"/>
        <v>45971</v>
      </c>
      <c r="BZ471" s="19">
        <f t="shared" si="471"/>
        <v>45971</v>
      </c>
    </row>
    <row r="472" ht="14.25" customHeight="1">
      <c r="A472" s="17">
        <v>45972.0</v>
      </c>
      <c r="B472" s="2" t="str">
        <f t="array" ref="B472">IF(NOW()&gt;AM472,"",IF(AND((WEEKDAY($A472)+$B$2)&gt;1,((WEEKDAY($A472)+$T$2)&lt;7),(WEEKDAY($A472)&lt;&gt;1)),"work",(INDEX(Subject!$A:$I,MATCH(RANDBETWEEN(1,(MAX(Subject!$B:$B))),Subject!$B:$B,0),3))))</f>
        <v/>
      </c>
      <c r="C472" s="2" t="str">
        <f t="array" ref="C472">IF(NOW()&gt;AN472,"",IF(AND((WEEKDAY($A472)+$B$2)&gt;1,((WEEKDAY($A472)+$T$2)&lt;7),(WEEKDAY($A472)&lt;&gt;1)),"work",(INDEX(Subject!$A:$I,MATCH(RANDBETWEEN(1,(MAX(Subject!$B:$B))),Subject!$B:$B,0),3))))</f>
        <v/>
      </c>
      <c r="D472" s="2" t="str">
        <f t="array" ref="D472">IF(NOW()&gt;AO472,"",IF(AND((WEEKDAY($A472)+$B$2)&gt;1,((WEEKDAY($A472)+$T$2)&lt;7),(WEEKDAY($A472)&lt;&gt;1)),"work",(INDEX(Subject!$A:$I,MATCH(RANDBETWEEN(1,(MAX(Subject!$B:$B))),Subject!$B:$B,0),3))))</f>
        <v/>
      </c>
      <c r="E472" s="2" t="str">
        <f t="array" ref="E472">IF(NOW()&gt;AP472,"",IF(AND((WEEKDAY($A472)+$B$2)&gt;1,((WEEKDAY($A472)+$T$2)&lt;7),(WEEKDAY($A472)&lt;&gt;1)),"work",(INDEX(Subject!$A:$I,MATCH(RANDBETWEEN(1,(MAX(Subject!$B:$B))),Subject!$B:$B,0),3))))</f>
        <v/>
      </c>
      <c r="F472" s="2" t="str">
        <f t="array" ref="F472">IF(NOW()&gt;AQ472,"",IF(AND((WEEKDAY($A472)+$B$2)&gt;1,((WEEKDAY($A472)+$T$2)&lt;7),(WEEKDAY($A472)&lt;&gt;1)),"work",(INDEX(Subject!$A:$I,MATCH(RANDBETWEEN(1,(MAX(Subject!$B:$B))),Subject!$B:$B,0),3))))</f>
        <v/>
      </c>
      <c r="G472" s="2" t="str">
        <f t="array" ref="G472">IF(NOW()&gt;AR472,"",IF(AND((WEEKDAY($A472)+$B$2)&gt;1,((WEEKDAY($A472)+$T$2)&lt;7),(WEEKDAY($A472)&lt;&gt;1)),"work",(INDEX(Subject!$A:$I,MATCH(RANDBETWEEN(1,(MAX(Subject!$B:$B))),Subject!$B:$B,0),3))))</f>
        <v/>
      </c>
      <c r="H472" s="2" t="str">
        <f t="array" ref="H472">IF(NOW()&gt;AS472,"",IF(AND((WEEKDAY($A472)+$B$2)&gt;1,((WEEKDAY($A472)+$T$2)&lt;7),(WEEKDAY($A472)&lt;&gt;1)),"work",(INDEX(Subject!$A:$I,MATCH(RANDBETWEEN(1,(MAX(Subject!$B:$B))),Subject!$B:$B,0),3))))</f>
        <v/>
      </c>
      <c r="I472" s="2" t="str">
        <f t="array" ref="I472">IF(NOW()&gt;AT472,"",IF(AND((WEEKDAY($A472)+$B$2)&gt;1,((WEEKDAY($A472)+$T$2)&lt;7),(WEEKDAY($A472)&lt;&gt;1)),"work",(INDEX(Subject!$A:$I,MATCH(RANDBETWEEN(1,(MAX(Subject!$B:$B))),Subject!$B:$B,0),3))))</f>
        <v/>
      </c>
      <c r="J472" s="2" t="str">
        <f t="array" ref="J472">IF(NOW()&gt;AU472,"",IF(AND((WEEKDAY($A472)+$B$2)&gt;1,((WEEKDAY($A472)+$T$2)&lt;7),(WEEKDAY($A472)&lt;&gt;1)),"work",(INDEX(Subject!$A:$I,MATCH(RANDBETWEEN(1,(MAX(Subject!$B:$B))),Subject!$B:$B,0),3))))</f>
        <v/>
      </c>
      <c r="K472" s="2" t="str">
        <f t="array" ref="K472">IF(NOW()&gt;AV472,"",IF(AND((WEEKDAY($A472)+$B$2)&gt;1,((WEEKDAY($A472)+$T$2)&lt;7),(WEEKDAY($A472)&lt;&gt;1)),"work",(INDEX(Subject!$A:$I,MATCH(RANDBETWEEN(1,(MAX(Subject!$B:$B))),Subject!$B:$B,0),3))))</f>
        <v/>
      </c>
      <c r="L472" s="2" t="str">
        <f t="array" ref="L472">IF(NOW()&gt;AW472,"",IF(AND((WEEKDAY($A472)+$B$2)&gt;1,((WEEKDAY($A472)+$T$2)&lt;7),(WEEKDAY($A472)&lt;&gt;1)),"work",(INDEX(Subject!$A:$I,MATCH(RANDBETWEEN(1,(MAX(Subject!$B:$B))),Subject!$B:$B,0),3))))</f>
        <v/>
      </c>
      <c r="M472" s="2" t="str">
        <f t="array" ref="M472">IF(NOW()&gt;AX472,"",IF(AND((WEEKDAY($A472)+$B$2)&gt;1,((WEEKDAY($A472)+$T$2)&lt;7),(WEEKDAY($A472)&lt;&gt;1)),"work",(INDEX(Subject!$A:$I,MATCH(RANDBETWEEN(1,(MAX(Subject!$B:$B))),Subject!$B:$B,0),3))))</f>
        <v/>
      </c>
      <c r="N472" s="2" t="str">
        <f t="array" ref="N472">IF(NOW()&gt;AY472,"",IF(AND((WEEKDAY($A472)+$B$2)&gt;1,((WEEKDAY($A472)+$T$2)&lt;7),(WEEKDAY($A472)&lt;&gt;1)),"work",(INDEX(Subject!$A:$I,MATCH(RANDBETWEEN(1,(MAX(Subject!$B:$B))),Subject!$B:$B,0),3))))</f>
        <v/>
      </c>
      <c r="O472" s="2" t="str">
        <f t="array" ref="O472">IF(NOW()&gt;AZ472,"",IF(AND((WEEKDAY($A472)+$B$2)&gt;1,((WEEKDAY($A472)+$T$2)&lt;7),(WEEKDAY($A472)&lt;&gt;1)),"work",(INDEX(Subject!$A:$I,MATCH(RANDBETWEEN(1,(MAX(Subject!$B:$B))),Subject!$B:$B,0),3))))</f>
        <v/>
      </c>
      <c r="P472" s="2" t="str">
        <f t="array" ref="P472">IF(NOW()&gt;BA472,"",IF(AND((WEEKDAY($A472)+$B$2)&gt;1,((WEEKDAY($A472)+$T$2)&lt;7),(WEEKDAY($A472)&lt;&gt;1)),"work",(INDEX(Subject!$A:$I,MATCH(RANDBETWEEN(1,(MAX(Subject!$B:$B))),Subject!$B:$B,0),3))))</f>
        <v/>
      </c>
      <c r="Q472" s="2" t="str">
        <f t="array" ref="Q472">IF(NOW()&gt;BB472,"",IF(AND((WEEKDAY($A472)+$B$2)&gt;1,((WEEKDAY($A472)+$T$2)&lt;7),(WEEKDAY($A472)&lt;&gt;1)),"work",(INDEX(Subject!$A:$I,MATCH(RANDBETWEEN(1,(MAX(Subject!$B:$B))),Subject!$B:$B,0),3))))</f>
        <v/>
      </c>
      <c r="R472" s="2" t="str">
        <f t="array" ref="R472">IF(NOW()&gt;BC472,"",IF(AND((WEEKDAY($A472)+$B$2)&gt;1,((WEEKDAY($A472)+$T$2)&lt;7),(WEEKDAY($A472)&lt;&gt;1)),"work",(INDEX(Subject!$A:$I,MATCH(RANDBETWEEN(1,(MAX(Subject!$B:$B))),Subject!$B:$B,0),3))))</f>
        <v/>
      </c>
      <c r="S472" s="2" t="str">
        <f t="array" ref="S472">IF(NOW()&gt;BD472,"",IF(AND((WEEKDAY($A472)+$B$2)&gt;1,((WEEKDAY($A472)+$T$2)&lt;7),(WEEKDAY($A472)&lt;&gt;1)),"work",(INDEX(Subject!$A:$I,MATCH(RANDBETWEEN(1,(MAX(Subject!$B:$B))),Subject!$B:$B,0),3))))</f>
        <v/>
      </c>
      <c r="T472" s="2" t="str">
        <f t="array" ref="T472">IF(NOW()&gt;BE472,"",IF(AND((WEEKDAY($A472)+$B$2)&gt;1,((WEEKDAY($A472)+$T$2)&lt;7),(WEEKDAY($A472)&lt;&gt;1)),"work",(INDEX(Subject!$A:$I,MATCH(RANDBETWEEN(1,(MAX(Subject!$B:$B))),Subject!$B:$B,0),3))))</f>
        <v/>
      </c>
      <c r="U472" s="8" t="str">
        <f t="array" ref="U472">INDEX(Subject!$A:$I,MATCH(RANDBETWEEN(1,16),Subject!$B:$B,0),3)</f>
        <v>#N/A</v>
      </c>
      <c r="V472" s="8" t="str">
        <f t="array" ref="V472">INDEX(Subject!$A:$I,MATCH(RANDBETWEEN(1,16),Subject!$B:$B,0),3)</f>
        <v>#N/A</v>
      </c>
      <c r="W472" s="8" t="str">
        <f t="array" ref="W472">INDEX(Subject!$A:$I,MATCH(RANDBETWEEN(1,16),Subject!$B:$B,0),3)</f>
        <v>#N/A</v>
      </c>
      <c r="X472" s="8" t="str">
        <f t="array" ref="X472">INDEX(Subject!$A:$I,MATCH(RANDBETWEEN(1,16),Subject!$B:$B,0),3)</f>
        <v>#N/A</v>
      </c>
      <c r="Y472" s="8" t="str">
        <f t="array" ref="Y472">INDEX(Subject!$A:$I,MATCH(RANDBETWEEN(1,16),Subject!$B:$B,0),3)</f>
        <v>#N/A</v>
      </c>
      <c r="Z472" s="8" t="str">
        <f t="array" ref="Z472">INDEX(Subject!$A:$I,MATCH(RANDBETWEEN(1,16),Subject!$B:$B,0),3)</f>
        <v>#N/A</v>
      </c>
      <c r="AA472" s="8" t="str">
        <f t="array" ref="AA472">INDEX(Subject!$A:$I,MATCH(RANDBETWEEN(1,16),Subject!$B:$B,0),3)</f>
        <v>#N/A</v>
      </c>
      <c r="AB472" s="8" t="str">
        <f t="array" ref="AB472">INDEX(Subject!$A:$I,MATCH(RANDBETWEEN(1,16),Subject!$B:$B,0),3)</f>
        <v>#N/A</v>
      </c>
      <c r="AC472" s="8" t="str">
        <f t="array" ref="AC472">INDEX(Subject!$A:$I,MATCH(RANDBETWEEN(1,16),Subject!$B:$B,0),3)</f>
        <v>#N/A</v>
      </c>
      <c r="AD472" s="8" t="str">
        <f t="array" ref="AD472">INDEX(Subject!$A:$I,MATCH(RANDBETWEEN(1,16),Subject!$B:$B,0),3)</f>
        <v>#N/A</v>
      </c>
      <c r="AE472" s="8" t="str">
        <f t="array" ref="AE472">INDEX(Subject!$A:$I,MATCH(RANDBETWEEN(1,16),Subject!$B:$B,0),3)</f>
        <v>#N/A</v>
      </c>
      <c r="AF472" s="8" t="str">
        <f t="array" ref="AF472">INDEX(Subject!$A:$I,MATCH(RANDBETWEEN(1,16),Subject!$B:$B,0),3)</f>
        <v>#N/A</v>
      </c>
      <c r="AG472" s="8" t="str">
        <f t="array" ref="AG472">INDEX(Subject!$A:$I,MATCH(RANDBETWEEN(1,16),Subject!$B:$B,0),3)</f>
        <v>#N/A</v>
      </c>
      <c r="AH472" s="8" t="str">
        <f t="array" ref="AH472">INDEX(Subject!$A:$I,MATCH(RANDBETWEEN(1,16),Subject!$B:$B,0),3)</f>
        <v>#N/A</v>
      </c>
      <c r="AI472" s="8" t="str">
        <f t="array" ref="AI472">INDEX(Subject!$A:$I,MATCH(RANDBETWEEN(1,16),Subject!$B:$B,0),3)</f>
        <v/>
      </c>
      <c r="AJ472" s="8" t="str">
        <f t="array" ref="AJ472">INDEX(Subject!$A:$I,MATCH(RANDBETWEEN(1,16),Subject!$B:$B,0),3)</f>
        <v>#N/A</v>
      </c>
      <c r="AK472" s="8" t="str">
        <f t="array" ref="AK472">INDEX(Subject!$A:$I,MATCH(RANDBETWEEN(1,16),Subject!$B:$B,0),3)</f>
        <v>#N/A</v>
      </c>
      <c r="AL472" s="8" t="str">
        <f t="array" ref="AL472">INDEX(Subject!$A:$I,MATCH(RANDBETWEEN(1,16),Subject!$B:$B,0),3)</f>
        <v>#N/A</v>
      </c>
      <c r="AM472" s="18">
        <f t="shared" si="4"/>
        <v>45972.33333</v>
      </c>
      <c r="AN472" s="19">
        <f t="shared" ref="AN472:BZ472" si="472">$A472+C$1</f>
        <v>45972.35417</v>
      </c>
      <c r="AO472" s="19">
        <f t="shared" si="472"/>
        <v>45972.375</v>
      </c>
      <c r="AP472" s="19">
        <f t="shared" si="472"/>
        <v>45972.39583</v>
      </c>
      <c r="AQ472" s="19">
        <f t="shared" si="472"/>
        <v>45972.41667</v>
      </c>
      <c r="AR472" s="19">
        <f t="shared" si="472"/>
        <v>45972.4375</v>
      </c>
      <c r="AS472" s="19">
        <f t="shared" si="472"/>
        <v>45972.45833</v>
      </c>
      <c r="AT472" s="19">
        <f t="shared" si="472"/>
        <v>45972.47917</v>
      </c>
      <c r="AU472" s="19">
        <f t="shared" si="472"/>
        <v>45972.5</v>
      </c>
      <c r="AV472" s="19">
        <f t="shared" si="472"/>
        <v>45972.52083</v>
      </c>
      <c r="AW472" s="19">
        <f t="shared" si="472"/>
        <v>45972.54167</v>
      </c>
      <c r="AX472" s="19">
        <f t="shared" si="472"/>
        <v>45972.5625</v>
      </c>
      <c r="AY472" s="19">
        <f t="shared" si="472"/>
        <v>45972.58333</v>
      </c>
      <c r="AZ472" s="19">
        <f t="shared" si="472"/>
        <v>45972.60417</v>
      </c>
      <c r="BA472" s="19">
        <f t="shared" si="472"/>
        <v>45972.625</v>
      </c>
      <c r="BB472" s="19">
        <f t="shared" si="472"/>
        <v>45972.64583</v>
      </c>
      <c r="BC472" s="19">
        <f t="shared" si="472"/>
        <v>45972.66667</v>
      </c>
      <c r="BD472" s="19">
        <f t="shared" si="472"/>
        <v>45972.6875</v>
      </c>
      <c r="BE472" s="19">
        <f t="shared" si="472"/>
        <v>45972.70833</v>
      </c>
      <c r="BF472" s="19">
        <f t="shared" si="472"/>
        <v>45972.72917</v>
      </c>
      <c r="BG472" s="19">
        <f t="shared" si="472"/>
        <v>45972.75</v>
      </c>
      <c r="BH472" s="19">
        <f t="shared" si="472"/>
        <v>45972.77083</v>
      </c>
      <c r="BI472" s="19">
        <f t="shared" si="472"/>
        <v>45972.79167</v>
      </c>
      <c r="BJ472" s="19">
        <f t="shared" si="472"/>
        <v>45972.8125</v>
      </c>
      <c r="BK472" s="19">
        <f t="shared" si="472"/>
        <v>45972.83333</v>
      </c>
      <c r="BL472" s="19">
        <f t="shared" si="472"/>
        <v>45972.85417</v>
      </c>
      <c r="BM472" s="19">
        <f t="shared" si="472"/>
        <v>45972.875</v>
      </c>
      <c r="BN472" s="19">
        <f t="shared" si="472"/>
        <v>45972.89583</v>
      </c>
      <c r="BO472" s="19">
        <f t="shared" si="472"/>
        <v>45972.91667</v>
      </c>
      <c r="BP472" s="19">
        <f t="shared" si="472"/>
        <v>45972.9375</v>
      </c>
      <c r="BQ472" s="19">
        <f t="shared" si="472"/>
        <v>45972.95833</v>
      </c>
      <c r="BR472" s="19">
        <f t="shared" si="472"/>
        <v>45972.97917</v>
      </c>
      <c r="BS472" s="19">
        <f t="shared" si="472"/>
        <v>45973</v>
      </c>
      <c r="BT472" s="19">
        <f t="shared" si="472"/>
        <v>45973.02083</v>
      </c>
      <c r="BU472" s="19">
        <f t="shared" si="472"/>
        <v>45973.04167</v>
      </c>
      <c r="BV472" s="19">
        <f t="shared" si="472"/>
        <v>45973.0625</v>
      </c>
      <c r="BW472" s="19">
        <f t="shared" si="472"/>
        <v>45973.08333</v>
      </c>
      <c r="BX472" s="19">
        <f t="shared" si="472"/>
        <v>45972</v>
      </c>
      <c r="BY472" s="19">
        <f t="shared" si="472"/>
        <v>45972</v>
      </c>
      <c r="BZ472" s="19">
        <f t="shared" si="472"/>
        <v>45972</v>
      </c>
    </row>
    <row r="473" ht="14.25" customHeight="1">
      <c r="A473" s="17">
        <v>45973.0</v>
      </c>
      <c r="B473" s="2" t="str">
        <f t="array" ref="B473">IF(NOW()&gt;AM473,"",IF(AND((WEEKDAY($A473)+$B$2)&gt;1,((WEEKDAY($A473)+$T$2)&lt;7),(WEEKDAY($A473)&lt;&gt;1)),"work",(INDEX(Subject!$A:$I,MATCH(RANDBETWEEN(1,(MAX(Subject!$B:$B))),Subject!$B:$B,0),3))))</f>
        <v/>
      </c>
      <c r="C473" s="2" t="str">
        <f t="array" ref="C473">IF(NOW()&gt;AN473,"",IF(AND((WEEKDAY($A473)+$B$2)&gt;1,((WEEKDAY($A473)+$T$2)&lt;7),(WEEKDAY($A473)&lt;&gt;1)),"work",(INDEX(Subject!$A:$I,MATCH(RANDBETWEEN(1,(MAX(Subject!$B:$B))),Subject!$B:$B,0),3))))</f>
        <v/>
      </c>
      <c r="D473" s="2" t="str">
        <f t="array" ref="D473">IF(NOW()&gt;AO473,"",IF(AND((WEEKDAY($A473)+$B$2)&gt;1,((WEEKDAY($A473)+$T$2)&lt;7),(WEEKDAY($A473)&lt;&gt;1)),"work",(INDEX(Subject!$A:$I,MATCH(RANDBETWEEN(1,(MAX(Subject!$B:$B))),Subject!$B:$B,0),3))))</f>
        <v/>
      </c>
      <c r="E473" s="2" t="str">
        <f t="array" ref="E473">IF(NOW()&gt;AP473,"",IF(AND((WEEKDAY($A473)+$B$2)&gt;1,((WEEKDAY($A473)+$T$2)&lt;7),(WEEKDAY($A473)&lt;&gt;1)),"work",(INDEX(Subject!$A:$I,MATCH(RANDBETWEEN(1,(MAX(Subject!$B:$B))),Subject!$B:$B,0),3))))</f>
        <v/>
      </c>
      <c r="F473" s="2" t="str">
        <f t="array" ref="F473">IF(NOW()&gt;AQ473,"",IF(AND((WEEKDAY($A473)+$B$2)&gt;1,((WEEKDAY($A473)+$T$2)&lt;7),(WEEKDAY($A473)&lt;&gt;1)),"work",(INDEX(Subject!$A:$I,MATCH(RANDBETWEEN(1,(MAX(Subject!$B:$B))),Subject!$B:$B,0),3))))</f>
        <v/>
      </c>
      <c r="G473" s="2" t="str">
        <f t="array" ref="G473">IF(NOW()&gt;AR473,"",IF(AND((WEEKDAY($A473)+$B$2)&gt;1,((WEEKDAY($A473)+$T$2)&lt;7),(WEEKDAY($A473)&lt;&gt;1)),"work",(INDEX(Subject!$A:$I,MATCH(RANDBETWEEN(1,(MAX(Subject!$B:$B))),Subject!$B:$B,0),3))))</f>
        <v/>
      </c>
      <c r="H473" s="2" t="str">
        <f t="array" ref="H473">IF(NOW()&gt;AS473,"",IF(AND((WEEKDAY($A473)+$B$2)&gt;1,((WEEKDAY($A473)+$T$2)&lt;7),(WEEKDAY($A473)&lt;&gt;1)),"work",(INDEX(Subject!$A:$I,MATCH(RANDBETWEEN(1,(MAX(Subject!$B:$B))),Subject!$B:$B,0),3))))</f>
        <v/>
      </c>
      <c r="I473" s="2" t="str">
        <f t="array" ref="I473">IF(NOW()&gt;AT473,"",IF(AND((WEEKDAY($A473)+$B$2)&gt;1,((WEEKDAY($A473)+$T$2)&lt;7),(WEEKDAY($A473)&lt;&gt;1)),"work",(INDEX(Subject!$A:$I,MATCH(RANDBETWEEN(1,(MAX(Subject!$B:$B))),Subject!$B:$B,0),3))))</f>
        <v/>
      </c>
      <c r="J473" s="2" t="str">
        <f t="array" ref="J473">IF(NOW()&gt;AU473,"",IF(AND((WEEKDAY($A473)+$B$2)&gt;1,((WEEKDAY($A473)+$T$2)&lt;7),(WEEKDAY($A473)&lt;&gt;1)),"work",(INDEX(Subject!$A:$I,MATCH(RANDBETWEEN(1,(MAX(Subject!$B:$B))),Subject!$B:$B,0),3))))</f>
        <v/>
      </c>
      <c r="K473" s="2" t="str">
        <f t="array" ref="K473">IF(NOW()&gt;AV473,"",IF(AND((WEEKDAY($A473)+$B$2)&gt;1,((WEEKDAY($A473)+$T$2)&lt;7),(WEEKDAY($A473)&lt;&gt;1)),"work",(INDEX(Subject!$A:$I,MATCH(RANDBETWEEN(1,(MAX(Subject!$B:$B))),Subject!$B:$B,0),3))))</f>
        <v/>
      </c>
      <c r="L473" s="2" t="str">
        <f t="array" ref="L473">IF(NOW()&gt;AW473,"",IF(AND((WEEKDAY($A473)+$B$2)&gt;1,((WEEKDAY($A473)+$T$2)&lt;7),(WEEKDAY($A473)&lt;&gt;1)),"work",(INDEX(Subject!$A:$I,MATCH(RANDBETWEEN(1,(MAX(Subject!$B:$B))),Subject!$B:$B,0),3))))</f>
        <v/>
      </c>
      <c r="M473" s="2" t="str">
        <f t="array" ref="M473">IF(NOW()&gt;AX473,"",IF(AND((WEEKDAY($A473)+$B$2)&gt;1,((WEEKDAY($A473)+$T$2)&lt;7),(WEEKDAY($A473)&lt;&gt;1)),"work",(INDEX(Subject!$A:$I,MATCH(RANDBETWEEN(1,(MAX(Subject!$B:$B))),Subject!$B:$B,0),3))))</f>
        <v/>
      </c>
      <c r="N473" s="2" t="str">
        <f t="array" ref="N473">IF(NOW()&gt;AY473,"",IF(AND((WEEKDAY($A473)+$B$2)&gt;1,((WEEKDAY($A473)+$T$2)&lt;7),(WEEKDAY($A473)&lt;&gt;1)),"work",(INDEX(Subject!$A:$I,MATCH(RANDBETWEEN(1,(MAX(Subject!$B:$B))),Subject!$B:$B,0),3))))</f>
        <v/>
      </c>
      <c r="O473" s="2" t="str">
        <f t="array" ref="O473">IF(NOW()&gt;AZ473,"",IF(AND((WEEKDAY($A473)+$B$2)&gt;1,((WEEKDAY($A473)+$T$2)&lt;7),(WEEKDAY($A473)&lt;&gt;1)),"work",(INDEX(Subject!$A:$I,MATCH(RANDBETWEEN(1,(MAX(Subject!$B:$B))),Subject!$B:$B,0),3))))</f>
        <v/>
      </c>
      <c r="P473" s="2" t="str">
        <f t="array" ref="P473">IF(NOW()&gt;BA473,"",IF(AND((WEEKDAY($A473)+$B$2)&gt;1,((WEEKDAY($A473)+$T$2)&lt;7),(WEEKDAY($A473)&lt;&gt;1)),"work",(INDEX(Subject!$A:$I,MATCH(RANDBETWEEN(1,(MAX(Subject!$B:$B))),Subject!$B:$B,0),3))))</f>
        <v/>
      </c>
      <c r="Q473" s="2" t="str">
        <f t="array" ref="Q473">IF(NOW()&gt;BB473,"",IF(AND((WEEKDAY($A473)+$B$2)&gt;1,((WEEKDAY($A473)+$T$2)&lt;7),(WEEKDAY($A473)&lt;&gt;1)),"work",(INDEX(Subject!$A:$I,MATCH(RANDBETWEEN(1,(MAX(Subject!$B:$B))),Subject!$B:$B,0),3))))</f>
        <v/>
      </c>
      <c r="R473" s="2" t="str">
        <f t="array" ref="R473">IF(NOW()&gt;BC473,"",IF(AND((WEEKDAY($A473)+$B$2)&gt;1,((WEEKDAY($A473)+$T$2)&lt;7),(WEEKDAY($A473)&lt;&gt;1)),"work",(INDEX(Subject!$A:$I,MATCH(RANDBETWEEN(1,(MAX(Subject!$B:$B))),Subject!$B:$B,0),3))))</f>
        <v/>
      </c>
      <c r="S473" s="2" t="str">
        <f t="array" ref="S473">IF(NOW()&gt;BD473,"",IF(AND((WEEKDAY($A473)+$B$2)&gt;1,((WEEKDAY($A473)+$T$2)&lt;7),(WEEKDAY($A473)&lt;&gt;1)),"work",(INDEX(Subject!$A:$I,MATCH(RANDBETWEEN(1,(MAX(Subject!$B:$B))),Subject!$B:$B,0),3))))</f>
        <v/>
      </c>
      <c r="T473" s="2" t="str">
        <f t="array" ref="T473">IF(NOW()&gt;BE473,"",IF(AND((WEEKDAY($A473)+$B$2)&gt;1,((WEEKDAY($A473)+$T$2)&lt;7),(WEEKDAY($A473)&lt;&gt;1)),"work",(INDEX(Subject!$A:$I,MATCH(RANDBETWEEN(1,(MAX(Subject!$B:$B))),Subject!$B:$B,0),3))))</f>
        <v/>
      </c>
      <c r="U473" s="8" t="str">
        <f t="array" ref="U473">INDEX(Subject!$A:$I,MATCH(RANDBETWEEN(1,16),Subject!$B:$B,0),3)</f>
        <v>#N/A</v>
      </c>
      <c r="V473" s="8" t="str">
        <f t="array" ref="V473">INDEX(Subject!$A:$I,MATCH(RANDBETWEEN(1,16),Subject!$B:$B,0),3)</f>
        <v>#N/A</v>
      </c>
      <c r="W473" s="8" t="str">
        <f t="array" ref="W473">INDEX(Subject!$A:$I,MATCH(RANDBETWEEN(1,16),Subject!$B:$B,0),3)</f>
        <v>#N/A</v>
      </c>
      <c r="X473" s="8" t="str">
        <f t="array" ref="X473">INDEX(Subject!$A:$I,MATCH(RANDBETWEEN(1,16),Subject!$B:$B,0),3)</f>
        <v>#N/A</v>
      </c>
      <c r="Y473" s="8" t="str">
        <f t="array" ref="Y473">INDEX(Subject!$A:$I,MATCH(RANDBETWEEN(1,16),Subject!$B:$B,0),3)</f>
        <v>#N/A</v>
      </c>
      <c r="Z473" s="8" t="str">
        <f t="array" ref="Z473">INDEX(Subject!$A:$I,MATCH(RANDBETWEEN(1,16),Subject!$B:$B,0),3)</f>
        <v>#N/A</v>
      </c>
      <c r="AA473" s="8" t="str">
        <f t="array" ref="AA473">INDEX(Subject!$A:$I,MATCH(RANDBETWEEN(1,16),Subject!$B:$B,0),3)</f>
        <v>#N/A</v>
      </c>
      <c r="AB473" s="8" t="str">
        <f t="array" ref="AB473">INDEX(Subject!$A:$I,MATCH(RANDBETWEEN(1,16),Subject!$B:$B,0),3)</f>
        <v>#N/A</v>
      </c>
      <c r="AC473" s="8" t="str">
        <f t="array" ref="AC473">INDEX(Subject!$A:$I,MATCH(RANDBETWEEN(1,16),Subject!$B:$B,0),3)</f>
        <v>#N/A</v>
      </c>
      <c r="AD473" s="8" t="str">
        <f t="array" ref="AD473">INDEX(Subject!$A:$I,MATCH(RANDBETWEEN(1,16),Subject!$B:$B,0),3)</f>
        <v>#N/A</v>
      </c>
      <c r="AE473" s="8" t="str">
        <f t="array" ref="AE473">INDEX(Subject!$A:$I,MATCH(RANDBETWEEN(1,16),Subject!$B:$B,0),3)</f>
        <v>#N/A</v>
      </c>
      <c r="AF473" s="8" t="str">
        <f t="array" ref="AF473">INDEX(Subject!$A:$I,MATCH(RANDBETWEEN(1,16),Subject!$B:$B,0),3)</f>
        <v>#N/A</v>
      </c>
      <c r="AG473" s="8" t="str">
        <f t="array" ref="AG473">INDEX(Subject!$A:$I,MATCH(RANDBETWEEN(1,16),Subject!$B:$B,0),3)</f>
        <v/>
      </c>
      <c r="AH473" s="8" t="str">
        <f t="array" ref="AH473">INDEX(Subject!$A:$I,MATCH(RANDBETWEEN(1,16),Subject!$B:$B,0),3)</f>
        <v>#N/A</v>
      </c>
      <c r="AI473" s="8" t="str">
        <f t="array" ref="AI473">INDEX(Subject!$A:$I,MATCH(RANDBETWEEN(1,16),Subject!$B:$B,0),3)</f>
        <v>#N/A</v>
      </c>
      <c r="AJ473" s="8" t="str">
        <f t="array" ref="AJ473">INDEX(Subject!$A:$I,MATCH(RANDBETWEEN(1,16),Subject!$B:$B,0),3)</f>
        <v>#N/A</v>
      </c>
      <c r="AK473" s="8" t="str">
        <f t="array" ref="AK473">INDEX(Subject!$A:$I,MATCH(RANDBETWEEN(1,16),Subject!$B:$B,0),3)</f>
        <v>#N/A</v>
      </c>
      <c r="AL473" s="8" t="str">
        <f t="array" ref="AL473">INDEX(Subject!$A:$I,MATCH(RANDBETWEEN(1,16),Subject!$B:$B,0),3)</f>
        <v>#N/A</v>
      </c>
      <c r="AM473" s="18">
        <f t="shared" si="4"/>
        <v>45973.33333</v>
      </c>
      <c r="AN473" s="19">
        <f t="shared" ref="AN473:BZ473" si="473">$A473+C$1</f>
        <v>45973.35417</v>
      </c>
      <c r="AO473" s="19">
        <f t="shared" si="473"/>
        <v>45973.375</v>
      </c>
      <c r="AP473" s="19">
        <f t="shared" si="473"/>
        <v>45973.39583</v>
      </c>
      <c r="AQ473" s="19">
        <f t="shared" si="473"/>
        <v>45973.41667</v>
      </c>
      <c r="AR473" s="19">
        <f t="shared" si="473"/>
        <v>45973.4375</v>
      </c>
      <c r="AS473" s="19">
        <f t="shared" si="473"/>
        <v>45973.45833</v>
      </c>
      <c r="AT473" s="19">
        <f t="shared" si="473"/>
        <v>45973.47917</v>
      </c>
      <c r="AU473" s="19">
        <f t="shared" si="473"/>
        <v>45973.5</v>
      </c>
      <c r="AV473" s="19">
        <f t="shared" si="473"/>
        <v>45973.52083</v>
      </c>
      <c r="AW473" s="19">
        <f t="shared" si="473"/>
        <v>45973.54167</v>
      </c>
      <c r="AX473" s="19">
        <f t="shared" si="473"/>
        <v>45973.5625</v>
      </c>
      <c r="AY473" s="19">
        <f t="shared" si="473"/>
        <v>45973.58333</v>
      </c>
      <c r="AZ473" s="19">
        <f t="shared" si="473"/>
        <v>45973.60417</v>
      </c>
      <c r="BA473" s="19">
        <f t="shared" si="473"/>
        <v>45973.625</v>
      </c>
      <c r="BB473" s="19">
        <f t="shared" si="473"/>
        <v>45973.64583</v>
      </c>
      <c r="BC473" s="19">
        <f t="shared" si="473"/>
        <v>45973.66667</v>
      </c>
      <c r="BD473" s="19">
        <f t="shared" si="473"/>
        <v>45973.6875</v>
      </c>
      <c r="BE473" s="19">
        <f t="shared" si="473"/>
        <v>45973.70833</v>
      </c>
      <c r="BF473" s="19">
        <f t="shared" si="473"/>
        <v>45973.72917</v>
      </c>
      <c r="BG473" s="19">
        <f t="shared" si="473"/>
        <v>45973.75</v>
      </c>
      <c r="BH473" s="19">
        <f t="shared" si="473"/>
        <v>45973.77083</v>
      </c>
      <c r="BI473" s="19">
        <f t="shared" si="473"/>
        <v>45973.79167</v>
      </c>
      <c r="BJ473" s="19">
        <f t="shared" si="473"/>
        <v>45973.8125</v>
      </c>
      <c r="BK473" s="19">
        <f t="shared" si="473"/>
        <v>45973.83333</v>
      </c>
      <c r="BL473" s="19">
        <f t="shared" si="473"/>
        <v>45973.85417</v>
      </c>
      <c r="BM473" s="19">
        <f t="shared" si="473"/>
        <v>45973.875</v>
      </c>
      <c r="BN473" s="19">
        <f t="shared" si="473"/>
        <v>45973.89583</v>
      </c>
      <c r="BO473" s="19">
        <f t="shared" si="473"/>
        <v>45973.91667</v>
      </c>
      <c r="BP473" s="19">
        <f t="shared" si="473"/>
        <v>45973.9375</v>
      </c>
      <c r="BQ473" s="19">
        <f t="shared" si="473"/>
        <v>45973.95833</v>
      </c>
      <c r="BR473" s="19">
        <f t="shared" si="473"/>
        <v>45973.97917</v>
      </c>
      <c r="BS473" s="19">
        <f t="shared" si="473"/>
        <v>45974</v>
      </c>
      <c r="BT473" s="19">
        <f t="shared" si="473"/>
        <v>45974.02083</v>
      </c>
      <c r="BU473" s="19">
        <f t="shared" si="473"/>
        <v>45974.04167</v>
      </c>
      <c r="BV473" s="19">
        <f t="shared" si="473"/>
        <v>45974.0625</v>
      </c>
      <c r="BW473" s="19">
        <f t="shared" si="473"/>
        <v>45974.08333</v>
      </c>
      <c r="BX473" s="19">
        <f t="shared" si="473"/>
        <v>45973</v>
      </c>
      <c r="BY473" s="19">
        <f t="shared" si="473"/>
        <v>45973</v>
      </c>
      <c r="BZ473" s="19">
        <f t="shared" si="473"/>
        <v>45973</v>
      </c>
    </row>
    <row r="474" ht="14.25" customHeight="1">
      <c r="A474" s="17">
        <v>45974.0</v>
      </c>
      <c r="B474" s="2" t="str">
        <f t="array" ref="B474">IF(NOW()&gt;AM474,"",IF(AND((WEEKDAY($A474)+$B$2)&gt;1,((WEEKDAY($A474)+$T$2)&lt;7),(WEEKDAY($A474)&lt;&gt;1)),"work",(INDEX(Subject!$A:$I,MATCH(RANDBETWEEN(1,(MAX(Subject!$B:$B))),Subject!$B:$B,0),3))))</f>
        <v/>
      </c>
      <c r="C474" s="2" t="str">
        <f t="array" ref="C474">IF(NOW()&gt;AN474,"",IF(AND((WEEKDAY($A474)+$B$2)&gt;1,((WEEKDAY($A474)+$T$2)&lt;7),(WEEKDAY($A474)&lt;&gt;1)),"work",(INDEX(Subject!$A:$I,MATCH(RANDBETWEEN(1,(MAX(Subject!$B:$B))),Subject!$B:$B,0),3))))</f>
        <v/>
      </c>
      <c r="D474" s="2" t="str">
        <f t="array" ref="D474">IF(NOW()&gt;AO474,"",IF(AND((WEEKDAY($A474)+$B$2)&gt;1,((WEEKDAY($A474)+$T$2)&lt;7),(WEEKDAY($A474)&lt;&gt;1)),"work",(INDEX(Subject!$A:$I,MATCH(RANDBETWEEN(1,(MAX(Subject!$B:$B))),Subject!$B:$B,0),3))))</f>
        <v/>
      </c>
      <c r="E474" s="2" t="str">
        <f t="array" ref="E474">IF(NOW()&gt;AP474,"",IF(AND((WEEKDAY($A474)+$B$2)&gt;1,((WEEKDAY($A474)+$T$2)&lt;7),(WEEKDAY($A474)&lt;&gt;1)),"work",(INDEX(Subject!$A:$I,MATCH(RANDBETWEEN(1,(MAX(Subject!$B:$B))),Subject!$B:$B,0),3))))</f>
        <v/>
      </c>
      <c r="F474" s="2" t="str">
        <f t="array" ref="F474">IF(NOW()&gt;AQ474,"",IF(AND((WEEKDAY($A474)+$B$2)&gt;1,((WEEKDAY($A474)+$T$2)&lt;7),(WEEKDAY($A474)&lt;&gt;1)),"work",(INDEX(Subject!$A:$I,MATCH(RANDBETWEEN(1,(MAX(Subject!$B:$B))),Subject!$B:$B,0),3))))</f>
        <v/>
      </c>
      <c r="G474" s="2" t="str">
        <f t="array" ref="G474">IF(NOW()&gt;AR474,"",IF(AND((WEEKDAY($A474)+$B$2)&gt;1,((WEEKDAY($A474)+$T$2)&lt;7),(WEEKDAY($A474)&lt;&gt;1)),"work",(INDEX(Subject!$A:$I,MATCH(RANDBETWEEN(1,(MAX(Subject!$B:$B))),Subject!$B:$B,0),3))))</f>
        <v/>
      </c>
      <c r="H474" s="2" t="str">
        <f t="array" ref="H474">IF(NOW()&gt;AS474,"",IF(AND((WEEKDAY($A474)+$B$2)&gt;1,((WEEKDAY($A474)+$T$2)&lt;7),(WEEKDAY($A474)&lt;&gt;1)),"work",(INDEX(Subject!$A:$I,MATCH(RANDBETWEEN(1,(MAX(Subject!$B:$B))),Subject!$B:$B,0),3))))</f>
        <v/>
      </c>
      <c r="I474" s="2" t="str">
        <f t="array" ref="I474">IF(NOW()&gt;AT474,"",IF(AND((WEEKDAY($A474)+$B$2)&gt;1,((WEEKDAY($A474)+$T$2)&lt;7),(WEEKDAY($A474)&lt;&gt;1)),"work",(INDEX(Subject!$A:$I,MATCH(RANDBETWEEN(1,(MAX(Subject!$B:$B))),Subject!$B:$B,0),3))))</f>
        <v/>
      </c>
      <c r="J474" s="2" t="str">
        <f t="array" ref="J474">IF(NOW()&gt;AU474,"",IF(AND((WEEKDAY($A474)+$B$2)&gt;1,((WEEKDAY($A474)+$T$2)&lt;7),(WEEKDAY($A474)&lt;&gt;1)),"work",(INDEX(Subject!$A:$I,MATCH(RANDBETWEEN(1,(MAX(Subject!$B:$B))),Subject!$B:$B,0),3))))</f>
        <v/>
      </c>
      <c r="K474" s="2" t="str">
        <f t="array" ref="K474">IF(NOW()&gt;AV474,"",IF(AND((WEEKDAY($A474)+$B$2)&gt;1,((WEEKDAY($A474)+$T$2)&lt;7),(WEEKDAY($A474)&lt;&gt;1)),"work",(INDEX(Subject!$A:$I,MATCH(RANDBETWEEN(1,(MAX(Subject!$B:$B))),Subject!$B:$B,0),3))))</f>
        <v/>
      </c>
      <c r="L474" s="2" t="str">
        <f t="array" ref="L474">IF(NOW()&gt;AW474,"",IF(AND((WEEKDAY($A474)+$B$2)&gt;1,((WEEKDAY($A474)+$T$2)&lt;7),(WEEKDAY($A474)&lt;&gt;1)),"work",(INDEX(Subject!$A:$I,MATCH(RANDBETWEEN(1,(MAX(Subject!$B:$B))),Subject!$B:$B,0),3))))</f>
        <v/>
      </c>
      <c r="M474" s="2" t="str">
        <f t="array" ref="M474">IF(NOW()&gt;AX474,"",IF(AND((WEEKDAY($A474)+$B$2)&gt;1,((WEEKDAY($A474)+$T$2)&lt;7),(WEEKDAY($A474)&lt;&gt;1)),"work",(INDEX(Subject!$A:$I,MATCH(RANDBETWEEN(1,(MAX(Subject!$B:$B))),Subject!$B:$B,0),3))))</f>
        <v/>
      </c>
      <c r="N474" s="2" t="str">
        <f t="array" ref="N474">IF(NOW()&gt;AY474,"",IF(AND((WEEKDAY($A474)+$B$2)&gt;1,((WEEKDAY($A474)+$T$2)&lt;7),(WEEKDAY($A474)&lt;&gt;1)),"work",(INDEX(Subject!$A:$I,MATCH(RANDBETWEEN(1,(MAX(Subject!$B:$B))),Subject!$B:$B,0),3))))</f>
        <v/>
      </c>
      <c r="O474" s="2" t="str">
        <f t="array" ref="O474">IF(NOW()&gt;AZ474,"",IF(AND((WEEKDAY($A474)+$B$2)&gt;1,((WEEKDAY($A474)+$T$2)&lt;7),(WEEKDAY($A474)&lt;&gt;1)),"work",(INDEX(Subject!$A:$I,MATCH(RANDBETWEEN(1,(MAX(Subject!$B:$B))),Subject!$B:$B,0),3))))</f>
        <v/>
      </c>
      <c r="P474" s="2" t="str">
        <f t="array" ref="P474">IF(NOW()&gt;BA474,"",IF(AND((WEEKDAY($A474)+$B$2)&gt;1,((WEEKDAY($A474)+$T$2)&lt;7),(WEEKDAY($A474)&lt;&gt;1)),"work",(INDEX(Subject!$A:$I,MATCH(RANDBETWEEN(1,(MAX(Subject!$B:$B))),Subject!$B:$B,0),3))))</f>
        <v/>
      </c>
      <c r="Q474" s="2" t="str">
        <f t="array" ref="Q474">IF(NOW()&gt;BB474,"",IF(AND((WEEKDAY($A474)+$B$2)&gt;1,((WEEKDAY($A474)+$T$2)&lt;7),(WEEKDAY($A474)&lt;&gt;1)),"work",(INDEX(Subject!$A:$I,MATCH(RANDBETWEEN(1,(MAX(Subject!$B:$B))),Subject!$B:$B,0),3))))</f>
        <v/>
      </c>
      <c r="R474" s="2" t="str">
        <f t="array" ref="R474">IF(NOW()&gt;BC474,"",IF(AND((WEEKDAY($A474)+$B$2)&gt;1,((WEEKDAY($A474)+$T$2)&lt;7),(WEEKDAY($A474)&lt;&gt;1)),"work",(INDEX(Subject!$A:$I,MATCH(RANDBETWEEN(1,(MAX(Subject!$B:$B))),Subject!$B:$B,0),3))))</f>
        <v/>
      </c>
      <c r="S474" s="2" t="str">
        <f t="array" ref="S474">IF(NOW()&gt;BD474,"",IF(AND((WEEKDAY($A474)+$B$2)&gt;1,((WEEKDAY($A474)+$T$2)&lt;7),(WEEKDAY($A474)&lt;&gt;1)),"work",(INDEX(Subject!$A:$I,MATCH(RANDBETWEEN(1,(MAX(Subject!$B:$B))),Subject!$B:$B,0),3))))</f>
        <v/>
      </c>
      <c r="T474" s="2" t="str">
        <f t="array" ref="T474">IF(NOW()&gt;BE474,"",IF(AND((WEEKDAY($A474)+$B$2)&gt;1,((WEEKDAY($A474)+$T$2)&lt;7),(WEEKDAY($A474)&lt;&gt;1)),"work",(INDEX(Subject!$A:$I,MATCH(RANDBETWEEN(1,(MAX(Subject!$B:$B))),Subject!$B:$B,0),3))))</f>
        <v/>
      </c>
      <c r="U474" s="8" t="str">
        <f t="array" ref="U474">INDEX(Subject!$A:$I,MATCH(RANDBETWEEN(1,16),Subject!$B:$B,0),3)</f>
        <v>#N/A</v>
      </c>
      <c r="V474" s="8" t="str">
        <f t="array" ref="V474">INDEX(Subject!$A:$I,MATCH(RANDBETWEEN(1,16),Subject!$B:$B,0),3)</f>
        <v>#N/A</v>
      </c>
      <c r="W474" s="8" t="str">
        <f t="array" ref="W474">INDEX(Subject!$A:$I,MATCH(RANDBETWEEN(1,16),Subject!$B:$B,0),3)</f>
        <v>#N/A</v>
      </c>
      <c r="X474" s="8" t="str">
        <f t="array" ref="X474">INDEX(Subject!$A:$I,MATCH(RANDBETWEEN(1,16),Subject!$B:$B,0),3)</f>
        <v>#N/A</v>
      </c>
      <c r="Y474" s="8" t="str">
        <f t="array" ref="Y474">INDEX(Subject!$A:$I,MATCH(RANDBETWEEN(1,16),Subject!$B:$B,0),3)</f>
        <v>#N/A</v>
      </c>
      <c r="Z474" s="8" t="str">
        <f t="array" ref="Z474">INDEX(Subject!$A:$I,MATCH(RANDBETWEEN(1,16),Subject!$B:$B,0),3)</f>
        <v>#N/A</v>
      </c>
      <c r="AA474" s="8" t="str">
        <f t="array" ref="AA474">INDEX(Subject!$A:$I,MATCH(RANDBETWEEN(1,16),Subject!$B:$B,0),3)</f>
        <v>#N/A</v>
      </c>
      <c r="AB474" s="8" t="str">
        <f t="array" ref="AB474">INDEX(Subject!$A:$I,MATCH(RANDBETWEEN(1,16),Subject!$B:$B,0),3)</f>
        <v>#N/A</v>
      </c>
      <c r="AC474" s="8" t="str">
        <f t="array" ref="AC474">INDEX(Subject!$A:$I,MATCH(RANDBETWEEN(1,16),Subject!$B:$B,0),3)</f>
        <v>#N/A</v>
      </c>
      <c r="AD474" s="8" t="str">
        <f t="array" ref="AD474">INDEX(Subject!$A:$I,MATCH(RANDBETWEEN(1,16),Subject!$B:$B,0),3)</f>
        <v>#N/A</v>
      </c>
      <c r="AE474" s="8" t="str">
        <f t="array" ref="AE474">INDEX(Subject!$A:$I,MATCH(RANDBETWEEN(1,16),Subject!$B:$B,0),3)</f>
        <v>#N/A</v>
      </c>
      <c r="AF474" s="8" t="str">
        <f t="array" ref="AF474">INDEX(Subject!$A:$I,MATCH(RANDBETWEEN(1,16),Subject!$B:$B,0),3)</f>
        <v>#N/A</v>
      </c>
      <c r="AG474" s="8" t="str">
        <f t="array" ref="AG474">INDEX(Subject!$A:$I,MATCH(RANDBETWEEN(1,16),Subject!$B:$B,0),3)</f>
        <v/>
      </c>
      <c r="AH474" s="8" t="str">
        <f t="array" ref="AH474">INDEX(Subject!$A:$I,MATCH(RANDBETWEEN(1,16),Subject!$B:$B,0),3)</f>
        <v>#N/A</v>
      </c>
      <c r="AI474" s="8" t="str">
        <f t="array" ref="AI474">INDEX(Subject!$A:$I,MATCH(RANDBETWEEN(1,16),Subject!$B:$B,0),3)</f>
        <v>#N/A</v>
      </c>
      <c r="AJ474" s="8" t="str">
        <f t="array" ref="AJ474">INDEX(Subject!$A:$I,MATCH(RANDBETWEEN(1,16),Subject!$B:$B,0),3)</f>
        <v>#N/A</v>
      </c>
      <c r="AK474" s="8" t="str">
        <f t="array" ref="AK474">INDEX(Subject!$A:$I,MATCH(RANDBETWEEN(1,16),Subject!$B:$B,0),3)</f>
        <v>#N/A</v>
      </c>
      <c r="AL474" s="8" t="str">
        <f t="array" ref="AL474">INDEX(Subject!$A:$I,MATCH(RANDBETWEEN(1,16),Subject!$B:$B,0),3)</f>
        <v>#N/A</v>
      </c>
      <c r="AM474" s="18">
        <f t="shared" si="4"/>
        <v>45974.33333</v>
      </c>
      <c r="AN474" s="19">
        <f t="shared" ref="AN474:BZ474" si="474">$A474+C$1</f>
        <v>45974.35417</v>
      </c>
      <c r="AO474" s="19">
        <f t="shared" si="474"/>
        <v>45974.375</v>
      </c>
      <c r="AP474" s="19">
        <f t="shared" si="474"/>
        <v>45974.39583</v>
      </c>
      <c r="AQ474" s="19">
        <f t="shared" si="474"/>
        <v>45974.41667</v>
      </c>
      <c r="AR474" s="19">
        <f t="shared" si="474"/>
        <v>45974.4375</v>
      </c>
      <c r="AS474" s="19">
        <f t="shared" si="474"/>
        <v>45974.45833</v>
      </c>
      <c r="AT474" s="19">
        <f t="shared" si="474"/>
        <v>45974.47917</v>
      </c>
      <c r="AU474" s="19">
        <f t="shared" si="474"/>
        <v>45974.5</v>
      </c>
      <c r="AV474" s="19">
        <f t="shared" si="474"/>
        <v>45974.52083</v>
      </c>
      <c r="AW474" s="19">
        <f t="shared" si="474"/>
        <v>45974.54167</v>
      </c>
      <c r="AX474" s="19">
        <f t="shared" si="474"/>
        <v>45974.5625</v>
      </c>
      <c r="AY474" s="19">
        <f t="shared" si="474"/>
        <v>45974.58333</v>
      </c>
      <c r="AZ474" s="19">
        <f t="shared" si="474"/>
        <v>45974.60417</v>
      </c>
      <c r="BA474" s="19">
        <f t="shared" si="474"/>
        <v>45974.625</v>
      </c>
      <c r="BB474" s="19">
        <f t="shared" si="474"/>
        <v>45974.64583</v>
      </c>
      <c r="BC474" s="19">
        <f t="shared" si="474"/>
        <v>45974.66667</v>
      </c>
      <c r="BD474" s="19">
        <f t="shared" si="474"/>
        <v>45974.6875</v>
      </c>
      <c r="BE474" s="19">
        <f t="shared" si="474"/>
        <v>45974.70833</v>
      </c>
      <c r="BF474" s="19">
        <f t="shared" si="474"/>
        <v>45974.72917</v>
      </c>
      <c r="BG474" s="19">
        <f t="shared" si="474"/>
        <v>45974.75</v>
      </c>
      <c r="BH474" s="19">
        <f t="shared" si="474"/>
        <v>45974.77083</v>
      </c>
      <c r="BI474" s="19">
        <f t="shared" si="474"/>
        <v>45974.79167</v>
      </c>
      <c r="BJ474" s="19">
        <f t="shared" si="474"/>
        <v>45974.8125</v>
      </c>
      <c r="BK474" s="19">
        <f t="shared" si="474"/>
        <v>45974.83333</v>
      </c>
      <c r="BL474" s="19">
        <f t="shared" si="474"/>
        <v>45974.85417</v>
      </c>
      <c r="BM474" s="19">
        <f t="shared" si="474"/>
        <v>45974.875</v>
      </c>
      <c r="BN474" s="19">
        <f t="shared" si="474"/>
        <v>45974.89583</v>
      </c>
      <c r="BO474" s="19">
        <f t="shared" si="474"/>
        <v>45974.91667</v>
      </c>
      <c r="BP474" s="19">
        <f t="shared" si="474"/>
        <v>45974.9375</v>
      </c>
      <c r="BQ474" s="19">
        <f t="shared" si="474"/>
        <v>45974.95833</v>
      </c>
      <c r="BR474" s="19">
        <f t="shared" si="474"/>
        <v>45974.97917</v>
      </c>
      <c r="BS474" s="19">
        <f t="shared" si="474"/>
        <v>45975</v>
      </c>
      <c r="BT474" s="19">
        <f t="shared" si="474"/>
        <v>45975.02083</v>
      </c>
      <c r="BU474" s="19">
        <f t="shared" si="474"/>
        <v>45975.04167</v>
      </c>
      <c r="BV474" s="19">
        <f t="shared" si="474"/>
        <v>45975.0625</v>
      </c>
      <c r="BW474" s="19">
        <f t="shared" si="474"/>
        <v>45975.08333</v>
      </c>
      <c r="BX474" s="19">
        <f t="shared" si="474"/>
        <v>45974</v>
      </c>
      <c r="BY474" s="19">
        <f t="shared" si="474"/>
        <v>45974</v>
      </c>
      <c r="BZ474" s="19">
        <f t="shared" si="474"/>
        <v>45974</v>
      </c>
    </row>
    <row r="475" ht="14.25" customHeight="1">
      <c r="A475" s="17">
        <v>45975.0</v>
      </c>
      <c r="B475" s="2" t="str">
        <f t="array" ref="B475">IF(NOW()&gt;AM475,"",IF(AND((WEEKDAY($A475)+$B$2)&gt;1,((WEEKDAY($A475)+$T$2)&lt;7),(WEEKDAY($A475)&lt;&gt;1)),"work",(INDEX(Subject!$A:$I,MATCH(RANDBETWEEN(1,(MAX(Subject!$B:$B))),Subject!$B:$B,0),3))))</f>
        <v/>
      </c>
      <c r="C475" s="2" t="str">
        <f t="array" ref="C475">IF(NOW()&gt;AN475,"",IF(AND((WEEKDAY($A475)+$B$2)&gt;1,((WEEKDAY($A475)+$T$2)&lt;7),(WEEKDAY($A475)&lt;&gt;1)),"work",(INDEX(Subject!$A:$I,MATCH(RANDBETWEEN(1,(MAX(Subject!$B:$B))),Subject!$B:$B,0),3))))</f>
        <v/>
      </c>
      <c r="D475" s="2" t="str">
        <f t="array" ref="D475">IF(NOW()&gt;AO475,"",IF(AND((WEEKDAY($A475)+$B$2)&gt;1,((WEEKDAY($A475)+$T$2)&lt;7),(WEEKDAY($A475)&lt;&gt;1)),"work",(INDEX(Subject!$A:$I,MATCH(RANDBETWEEN(1,(MAX(Subject!$B:$B))),Subject!$B:$B,0),3))))</f>
        <v/>
      </c>
      <c r="E475" s="2" t="str">
        <f t="array" ref="E475">IF(NOW()&gt;AP475,"",IF(AND((WEEKDAY($A475)+$B$2)&gt;1,((WEEKDAY($A475)+$T$2)&lt;7),(WEEKDAY($A475)&lt;&gt;1)),"work",(INDEX(Subject!$A:$I,MATCH(RANDBETWEEN(1,(MAX(Subject!$B:$B))),Subject!$B:$B,0),3))))</f>
        <v/>
      </c>
      <c r="F475" s="2" t="str">
        <f t="array" ref="F475">IF(NOW()&gt;AQ475,"",IF(AND((WEEKDAY($A475)+$B$2)&gt;1,((WEEKDAY($A475)+$T$2)&lt;7),(WEEKDAY($A475)&lt;&gt;1)),"work",(INDEX(Subject!$A:$I,MATCH(RANDBETWEEN(1,(MAX(Subject!$B:$B))),Subject!$B:$B,0),3))))</f>
        <v/>
      </c>
      <c r="G475" s="2" t="str">
        <f t="array" ref="G475">IF(NOW()&gt;AR475,"",IF(AND((WEEKDAY($A475)+$B$2)&gt;1,((WEEKDAY($A475)+$T$2)&lt;7),(WEEKDAY($A475)&lt;&gt;1)),"work",(INDEX(Subject!$A:$I,MATCH(RANDBETWEEN(1,(MAX(Subject!$B:$B))),Subject!$B:$B,0),3))))</f>
        <v/>
      </c>
      <c r="H475" s="2" t="str">
        <f t="array" ref="H475">IF(NOW()&gt;AS475,"",IF(AND((WEEKDAY($A475)+$B$2)&gt;1,((WEEKDAY($A475)+$T$2)&lt;7),(WEEKDAY($A475)&lt;&gt;1)),"work",(INDEX(Subject!$A:$I,MATCH(RANDBETWEEN(1,(MAX(Subject!$B:$B))),Subject!$B:$B,0),3))))</f>
        <v/>
      </c>
      <c r="I475" s="2" t="str">
        <f t="array" ref="I475">IF(NOW()&gt;AT475,"",IF(AND((WEEKDAY($A475)+$B$2)&gt;1,((WEEKDAY($A475)+$T$2)&lt;7),(WEEKDAY($A475)&lt;&gt;1)),"work",(INDEX(Subject!$A:$I,MATCH(RANDBETWEEN(1,(MAX(Subject!$B:$B))),Subject!$B:$B,0),3))))</f>
        <v/>
      </c>
      <c r="J475" s="2" t="str">
        <f t="array" ref="J475">IF(NOW()&gt;AU475,"",IF(AND((WEEKDAY($A475)+$B$2)&gt;1,((WEEKDAY($A475)+$T$2)&lt;7),(WEEKDAY($A475)&lt;&gt;1)),"work",(INDEX(Subject!$A:$I,MATCH(RANDBETWEEN(1,(MAX(Subject!$B:$B))),Subject!$B:$B,0),3))))</f>
        <v/>
      </c>
      <c r="K475" s="2" t="str">
        <f t="array" ref="K475">IF(NOW()&gt;AV475,"",IF(AND((WEEKDAY($A475)+$B$2)&gt;1,((WEEKDAY($A475)+$T$2)&lt;7),(WEEKDAY($A475)&lt;&gt;1)),"work",(INDEX(Subject!$A:$I,MATCH(RANDBETWEEN(1,(MAX(Subject!$B:$B))),Subject!$B:$B,0),3))))</f>
        <v/>
      </c>
      <c r="L475" s="2" t="str">
        <f t="array" ref="L475">IF(NOW()&gt;AW475,"",IF(AND((WEEKDAY($A475)+$B$2)&gt;1,((WEEKDAY($A475)+$T$2)&lt;7),(WEEKDAY($A475)&lt;&gt;1)),"work",(INDEX(Subject!$A:$I,MATCH(RANDBETWEEN(1,(MAX(Subject!$B:$B))),Subject!$B:$B,0),3))))</f>
        <v/>
      </c>
      <c r="M475" s="2" t="str">
        <f t="array" ref="M475">IF(NOW()&gt;AX475,"",IF(AND((WEEKDAY($A475)+$B$2)&gt;1,((WEEKDAY($A475)+$T$2)&lt;7),(WEEKDAY($A475)&lt;&gt;1)),"work",(INDEX(Subject!$A:$I,MATCH(RANDBETWEEN(1,(MAX(Subject!$B:$B))),Subject!$B:$B,0),3))))</f>
        <v/>
      </c>
      <c r="N475" s="2" t="str">
        <f t="array" ref="N475">IF(NOW()&gt;AY475,"",IF(AND((WEEKDAY($A475)+$B$2)&gt;1,((WEEKDAY($A475)+$T$2)&lt;7),(WEEKDAY($A475)&lt;&gt;1)),"work",(INDEX(Subject!$A:$I,MATCH(RANDBETWEEN(1,(MAX(Subject!$B:$B))),Subject!$B:$B,0),3))))</f>
        <v/>
      </c>
      <c r="O475" s="2" t="str">
        <f t="array" ref="O475">IF(NOW()&gt;AZ475,"",IF(AND((WEEKDAY($A475)+$B$2)&gt;1,((WEEKDAY($A475)+$T$2)&lt;7),(WEEKDAY($A475)&lt;&gt;1)),"work",(INDEX(Subject!$A:$I,MATCH(RANDBETWEEN(1,(MAX(Subject!$B:$B))),Subject!$B:$B,0),3))))</f>
        <v/>
      </c>
      <c r="P475" s="2" t="str">
        <f t="array" ref="P475">IF(NOW()&gt;BA475,"",IF(AND((WEEKDAY($A475)+$B$2)&gt;1,((WEEKDAY($A475)+$T$2)&lt;7),(WEEKDAY($A475)&lt;&gt;1)),"work",(INDEX(Subject!$A:$I,MATCH(RANDBETWEEN(1,(MAX(Subject!$B:$B))),Subject!$B:$B,0),3))))</f>
        <v/>
      </c>
      <c r="Q475" s="2" t="str">
        <f t="array" ref="Q475">IF(NOW()&gt;BB475,"",IF(AND((WEEKDAY($A475)+$B$2)&gt;1,((WEEKDAY($A475)+$T$2)&lt;7),(WEEKDAY($A475)&lt;&gt;1)),"work",(INDEX(Subject!$A:$I,MATCH(RANDBETWEEN(1,(MAX(Subject!$B:$B))),Subject!$B:$B,0),3))))</f>
        <v/>
      </c>
      <c r="R475" s="2" t="str">
        <f t="array" ref="R475">IF(NOW()&gt;BC475,"",IF(AND((WEEKDAY($A475)+$B$2)&gt;1,((WEEKDAY($A475)+$T$2)&lt;7),(WEEKDAY($A475)&lt;&gt;1)),"work",(INDEX(Subject!$A:$I,MATCH(RANDBETWEEN(1,(MAX(Subject!$B:$B))),Subject!$B:$B,0),3))))</f>
        <v/>
      </c>
      <c r="S475" s="2" t="str">
        <f t="array" ref="S475">IF(NOW()&gt;BD475,"",IF(AND((WEEKDAY($A475)+$B$2)&gt;1,((WEEKDAY($A475)+$T$2)&lt;7),(WEEKDAY($A475)&lt;&gt;1)),"work",(INDEX(Subject!$A:$I,MATCH(RANDBETWEEN(1,(MAX(Subject!$B:$B))),Subject!$B:$B,0),3))))</f>
        <v/>
      </c>
      <c r="T475" s="2" t="str">
        <f t="array" ref="T475">IF(NOW()&gt;BE475,"",IF(AND((WEEKDAY($A475)+$B$2)&gt;1,((WEEKDAY($A475)+$T$2)&lt;7),(WEEKDAY($A475)&lt;&gt;1)),"work",(INDEX(Subject!$A:$I,MATCH(RANDBETWEEN(1,(MAX(Subject!$B:$B))),Subject!$B:$B,0),3))))</f>
        <v/>
      </c>
      <c r="U475" s="8" t="str">
        <f t="array" ref="U475">INDEX(Subject!$A:$I,MATCH(RANDBETWEEN(1,16),Subject!$B:$B,0),3)</f>
        <v>#N/A</v>
      </c>
      <c r="V475" s="8" t="str">
        <f t="array" ref="V475">INDEX(Subject!$A:$I,MATCH(RANDBETWEEN(1,16),Subject!$B:$B,0),3)</f>
        <v>#N/A</v>
      </c>
      <c r="W475" s="8" t="str">
        <f t="array" ref="W475">INDEX(Subject!$A:$I,MATCH(RANDBETWEEN(1,16),Subject!$B:$B,0),3)</f>
        <v>#N/A</v>
      </c>
      <c r="X475" s="8" t="str">
        <f t="array" ref="X475">INDEX(Subject!$A:$I,MATCH(RANDBETWEEN(1,16),Subject!$B:$B,0),3)</f>
        <v>#N/A</v>
      </c>
      <c r="Y475" s="8" t="str">
        <f t="array" ref="Y475">INDEX(Subject!$A:$I,MATCH(RANDBETWEEN(1,16),Subject!$B:$B,0),3)</f>
        <v>#N/A</v>
      </c>
      <c r="Z475" s="8" t="str">
        <f t="array" ref="Z475">INDEX(Subject!$A:$I,MATCH(RANDBETWEEN(1,16),Subject!$B:$B,0),3)</f>
        <v>#N/A</v>
      </c>
      <c r="AA475" s="8" t="str">
        <f t="array" ref="AA475">INDEX(Subject!$A:$I,MATCH(RANDBETWEEN(1,16),Subject!$B:$B,0),3)</f>
        <v>#N/A</v>
      </c>
      <c r="AB475" s="8" t="str">
        <f t="array" ref="AB475">INDEX(Subject!$A:$I,MATCH(RANDBETWEEN(1,16),Subject!$B:$B,0),3)</f>
        <v>#N/A</v>
      </c>
      <c r="AC475" s="8" t="str">
        <f t="array" ref="AC475">INDEX(Subject!$A:$I,MATCH(RANDBETWEEN(1,16),Subject!$B:$B,0),3)</f>
        <v>#N/A</v>
      </c>
      <c r="AD475" s="8" t="str">
        <f t="array" ref="AD475">INDEX(Subject!$A:$I,MATCH(RANDBETWEEN(1,16),Subject!$B:$B,0),3)</f>
        <v>#N/A</v>
      </c>
      <c r="AE475" s="8" t="str">
        <f t="array" ref="AE475">INDEX(Subject!$A:$I,MATCH(RANDBETWEEN(1,16),Subject!$B:$B,0),3)</f>
        <v>#N/A</v>
      </c>
      <c r="AF475" s="8" t="str">
        <f t="array" ref="AF475">INDEX(Subject!$A:$I,MATCH(RANDBETWEEN(1,16),Subject!$B:$B,0),3)</f>
        <v>#N/A</v>
      </c>
      <c r="AG475" s="8" t="str">
        <f t="array" ref="AG475">INDEX(Subject!$A:$I,MATCH(RANDBETWEEN(1,16),Subject!$B:$B,0),3)</f>
        <v>#N/A</v>
      </c>
      <c r="AH475" s="8" t="str">
        <f t="array" ref="AH475">INDEX(Subject!$A:$I,MATCH(RANDBETWEEN(1,16),Subject!$B:$B,0),3)</f>
        <v/>
      </c>
      <c r="AI475" s="8" t="str">
        <f t="array" ref="AI475">INDEX(Subject!$A:$I,MATCH(RANDBETWEEN(1,16),Subject!$B:$B,0),3)</f>
        <v/>
      </c>
      <c r="AJ475" s="8" t="str">
        <f t="array" ref="AJ475">INDEX(Subject!$A:$I,MATCH(RANDBETWEEN(1,16),Subject!$B:$B,0),3)</f>
        <v>#N/A</v>
      </c>
      <c r="AK475" s="8" t="str">
        <f t="array" ref="AK475">INDEX(Subject!$A:$I,MATCH(RANDBETWEEN(1,16),Subject!$B:$B,0),3)</f>
        <v>#N/A</v>
      </c>
      <c r="AL475" s="8" t="str">
        <f t="array" ref="AL475">INDEX(Subject!$A:$I,MATCH(RANDBETWEEN(1,16),Subject!$B:$B,0),3)</f>
        <v>#N/A</v>
      </c>
      <c r="AM475" s="18">
        <f t="shared" si="4"/>
        <v>45975.33333</v>
      </c>
      <c r="AN475" s="19">
        <f t="shared" ref="AN475:BZ475" si="475">$A475+C$1</f>
        <v>45975.35417</v>
      </c>
      <c r="AO475" s="19">
        <f t="shared" si="475"/>
        <v>45975.375</v>
      </c>
      <c r="AP475" s="19">
        <f t="shared" si="475"/>
        <v>45975.39583</v>
      </c>
      <c r="AQ475" s="19">
        <f t="shared" si="475"/>
        <v>45975.41667</v>
      </c>
      <c r="AR475" s="19">
        <f t="shared" si="475"/>
        <v>45975.4375</v>
      </c>
      <c r="AS475" s="19">
        <f t="shared" si="475"/>
        <v>45975.45833</v>
      </c>
      <c r="AT475" s="19">
        <f t="shared" si="475"/>
        <v>45975.47917</v>
      </c>
      <c r="AU475" s="19">
        <f t="shared" si="475"/>
        <v>45975.5</v>
      </c>
      <c r="AV475" s="19">
        <f t="shared" si="475"/>
        <v>45975.52083</v>
      </c>
      <c r="AW475" s="19">
        <f t="shared" si="475"/>
        <v>45975.54167</v>
      </c>
      <c r="AX475" s="19">
        <f t="shared" si="475"/>
        <v>45975.5625</v>
      </c>
      <c r="AY475" s="19">
        <f t="shared" si="475"/>
        <v>45975.58333</v>
      </c>
      <c r="AZ475" s="19">
        <f t="shared" si="475"/>
        <v>45975.60417</v>
      </c>
      <c r="BA475" s="19">
        <f t="shared" si="475"/>
        <v>45975.625</v>
      </c>
      <c r="BB475" s="19">
        <f t="shared" si="475"/>
        <v>45975.64583</v>
      </c>
      <c r="BC475" s="19">
        <f t="shared" si="475"/>
        <v>45975.66667</v>
      </c>
      <c r="BD475" s="19">
        <f t="shared" si="475"/>
        <v>45975.6875</v>
      </c>
      <c r="BE475" s="19">
        <f t="shared" si="475"/>
        <v>45975.70833</v>
      </c>
      <c r="BF475" s="19">
        <f t="shared" si="475"/>
        <v>45975.72917</v>
      </c>
      <c r="BG475" s="19">
        <f t="shared" si="475"/>
        <v>45975.75</v>
      </c>
      <c r="BH475" s="19">
        <f t="shared" si="475"/>
        <v>45975.77083</v>
      </c>
      <c r="BI475" s="19">
        <f t="shared" si="475"/>
        <v>45975.79167</v>
      </c>
      <c r="BJ475" s="19">
        <f t="shared" si="475"/>
        <v>45975.8125</v>
      </c>
      <c r="BK475" s="19">
        <f t="shared" si="475"/>
        <v>45975.83333</v>
      </c>
      <c r="BL475" s="19">
        <f t="shared" si="475"/>
        <v>45975.85417</v>
      </c>
      <c r="BM475" s="19">
        <f t="shared" si="475"/>
        <v>45975.875</v>
      </c>
      <c r="BN475" s="19">
        <f t="shared" si="475"/>
        <v>45975.89583</v>
      </c>
      <c r="BO475" s="19">
        <f t="shared" si="475"/>
        <v>45975.91667</v>
      </c>
      <c r="BP475" s="19">
        <f t="shared" si="475"/>
        <v>45975.9375</v>
      </c>
      <c r="BQ475" s="19">
        <f t="shared" si="475"/>
        <v>45975.95833</v>
      </c>
      <c r="BR475" s="19">
        <f t="shared" si="475"/>
        <v>45975.97917</v>
      </c>
      <c r="BS475" s="19">
        <f t="shared" si="475"/>
        <v>45976</v>
      </c>
      <c r="BT475" s="19">
        <f t="shared" si="475"/>
        <v>45976.02083</v>
      </c>
      <c r="BU475" s="19">
        <f t="shared" si="475"/>
        <v>45976.04167</v>
      </c>
      <c r="BV475" s="19">
        <f t="shared" si="475"/>
        <v>45976.0625</v>
      </c>
      <c r="BW475" s="19">
        <f t="shared" si="475"/>
        <v>45976.08333</v>
      </c>
      <c r="BX475" s="19">
        <f t="shared" si="475"/>
        <v>45975</v>
      </c>
      <c r="BY475" s="19">
        <f t="shared" si="475"/>
        <v>45975</v>
      </c>
      <c r="BZ475" s="19">
        <f t="shared" si="475"/>
        <v>45975</v>
      </c>
    </row>
    <row r="476" ht="14.25" customHeight="1">
      <c r="A476" s="17">
        <v>45976.0</v>
      </c>
      <c r="B476" s="2" t="str">
        <f t="array" ref="B476">IF(NOW()&gt;AM476,"",IF(AND((WEEKDAY($A476)+$B$2)&gt;1,((WEEKDAY($A476)+$T$2)&lt;7),(WEEKDAY($A476)&lt;&gt;1)),"work",(INDEX(Subject!$A:$I,MATCH(RANDBETWEEN(1,(MAX(Subject!$B:$B))),Subject!$B:$B,0),3))))</f>
        <v/>
      </c>
      <c r="C476" s="2" t="str">
        <f t="array" ref="C476">IF(NOW()&gt;AN476,"",IF(AND((WEEKDAY($A476)+$B$2)&gt;1,((WEEKDAY($A476)+$T$2)&lt;7),(WEEKDAY($A476)&lt;&gt;1)),"work",(INDEX(Subject!$A:$I,MATCH(RANDBETWEEN(1,(MAX(Subject!$B:$B))),Subject!$B:$B,0),3))))</f>
        <v/>
      </c>
      <c r="D476" s="2" t="str">
        <f t="array" ref="D476">IF(NOW()&gt;AO476,"",IF(AND((WEEKDAY($A476)+$B$2)&gt;1,((WEEKDAY($A476)+$T$2)&lt;7),(WEEKDAY($A476)&lt;&gt;1)),"work",(INDEX(Subject!$A:$I,MATCH(RANDBETWEEN(1,(MAX(Subject!$B:$B))),Subject!$B:$B,0),3))))</f>
        <v/>
      </c>
      <c r="E476" s="2" t="str">
        <f t="array" ref="E476">IF(NOW()&gt;AP476,"",IF(AND((WEEKDAY($A476)+$B$2)&gt;1,((WEEKDAY($A476)+$T$2)&lt;7),(WEEKDAY($A476)&lt;&gt;1)),"work",(INDEX(Subject!$A:$I,MATCH(RANDBETWEEN(1,(MAX(Subject!$B:$B))),Subject!$B:$B,0),3))))</f>
        <v/>
      </c>
      <c r="F476" s="2" t="str">
        <f t="array" ref="F476">IF(NOW()&gt;AQ476,"",IF(AND((WEEKDAY($A476)+$B$2)&gt;1,((WEEKDAY($A476)+$T$2)&lt;7),(WEEKDAY($A476)&lt;&gt;1)),"work",(INDEX(Subject!$A:$I,MATCH(RANDBETWEEN(1,(MAX(Subject!$B:$B))),Subject!$B:$B,0),3))))</f>
        <v/>
      </c>
      <c r="G476" s="2" t="str">
        <f t="array" ref="G476">IF(NOW()&gt;AR476,"",IF(AND((WEEKDAY($A476)+$B$2)&gt;1,((WEEKDAY($A476)+$T$2)&lt;7),(WEEKDAY($A476)&lt;&gt;1)),"work",(INDEX(Subject!$A:$I,MATCH(RANDBETWEEN(1,(MAX(Subject!$B:$B))),Subject!$B:$B,0),3))))</f>
        <v/>
      </c>
      <c r="H476" s="2" t="str">
        <f t="array" ref="H476">IF(NOW()&gt;AS476,"",IF(AND((WEEKDAY($A476)+$B$2)&gt;1,((WEEKDAY($A476)+$T$2)&lt;7),(WEEKDAY($A476)&lt;&gt;1)),"work",(INDEX(Subject!$A:$I,MATCH(RANDBETWEEN(1,(MAX(Subject!$B:$B))),Subject!$B:$B,0),3))))</f>
        <v/>
      </c>
      <c r="I476" s="2" t="str">
        <f t="array" ref="I476">IF(NOW()&gt;AT476,"",IF(AND((WEEKDAY($A476)+$B$2)&gt;1,((WEEKDAY($A476)+$T$2)&lt;7),(WEEKDAY($A476)&lt;&gt;1)),"work",(INDEX(Subject!$A:$I,MATCH(RANDBETWEEN(1,(MAX(Subject!$B:$B))),Subject!$B:$B,0),3))))</f>
        <v/>
      </c>
      <c r="J476" s="2" t="str">
        <f t="array" ref="J476">IF(NOW()&gt;AU476,"",IF(AND((WEEKDAY($A476)+$B$2)&gt;1,((WEEKDAY($A476)+$T$2)&lt;7),(WEEKDAY($A476)&lt;&gt;1)),"work",(INDEX(Subject!$A:$I,MATCH(RANDBETWEEN(1,(MAX(Subject!$B:$B))),Subject!$B:$B,0),3))))</f>
        <v/>
      </c>
      <c r="K476" s="2" t="str">
        <f t="array" ref="K476">IF(NOW()&gt;AV476,"",IF(AND((WEEKDAY($A476)+$B$2)&gt;1,((WEEKDAY($A476)+$T$2)&lt;7),(WEEKDAY($A476)&lt;&gt;1)),"work",(INDEX(Subject!$A:$I,MATCH(RANDBETWEEN(1,(MAX(Subject!$B:$B))),Subject!$B:$B,0),3))))</f>
        <v/>
      </c>
      <c r="L476" s="2" t="str">
        <f t="array" ref="L476">IF(NOW()&gt;AW476,"",IF(AND((WEEKDAY($A476)+$B$2)&gt;1,((WEEKDAY($A476)+$T$2)&lt;7),(WEEKDAY($A476)&lt;&gt;1)),"work",(INDEX(Subject!$A:$I,MATCH(RANDBETWEEN(1,(MAX(Subject!$B:$B))),Subject!$B:$B,0),3))))</f>
        <v/>
      </c>
      <c r="M476" s="2" t="str">
        <f t="array" ref="M476">IF(NOW()&gt;AX476,"",IF(AND((WEEKDAY($A476)+$B$2)&gt;1,((WEEKDAY($A476)+$T$2)&lt;7),(WEEKDAY($A476)&lt;&gt;1)),"work",(INDEX(Subject!$A:$I,MATCH(RANDBETWEEN(1,(MAX(Subject!$B:$B))),Subject!$B:$B,0),3))))</f>
        <v/>
      </c>
      <c r="N476" s="2" t="str">
        <f t="array" ref="N476">IF(NOW()&gt;AY476,"",IF(AND((WEEKDAY($A476)+$B$2)&gt;1,((WEEKDAY($A476)+$T$2)&lt;7),(WEEKDAY($A476)&lt;&gt;1)),"work",(INDEX(Subject!$A:$I,MATCH(RANDBETWEEN(1,(MAX(Subject!$B:$B))),Subject!$B:$B,0),3))))</f>
        <v/>
      </c>
      <c r="O476" s="2" t="str">
        <f t="array" ref="O476">IF(NOW()&gt;AZ476,"",IF(AND((WEEKDAY($A476)+$B$2)&gt;1,((WEEKDAY($A476)+$T$2)&lt;7),(WEEKDAY($A476)&lt;&gt;1)),"work",(INDEX(Subject!$A:$I,MATCH(RANDBETWEEN(1,(MAX(Subject!$B:$B))),Subject!$B:$B,0),3))))</f>
        <v/>
      </c>
      <c r="P476" s="2" t="str">
        <f t="array" ref="P476">IF(NOW()&gt;BA476,"",IF(AND((WEEKDAY($A476)+$B$2)&gt;1,((WEEKDAY($A476)+$T$2)&lt;7),(WEEKDAY($A476)&lt;&gt;1)),"work",(INDEX(Subject!$A:$I,MATCH(RANDBETWEEN(1,(MAX(Subject!$B:$B))),Subject!$B:$B,0),3))))</f>
        <v/>
      </c>
      <c r="Q476" s="2" t="str">
        <f t="array" ref="Q476">IF(NOW()&gt;BB476,"",IF(AND((WEEKDAY($A476)+$B$2)&gt;1,((WEEKDAY($A476)+$T$2)&lt;7),(WEEKDAY($A476)&lt;&gt;1)),"work",(INDEX(Subject!$A:$I,MATCH(RANDBETWEEN(1,(MAX(Subject!$B:$B))),Subject!$B:$B,0),3))))</f>
        <v/>
      </c>
      <c r="R476" s="2" t="str">
        <f t="array" ref="R476">IF(NOW()&gt;BC476,"",IF(AND((WEEKDAY($A476)+$B$2)&gt;1,((WEEKDAY($A476)+$T$2)&lt;7),(WEEKDAY($A476)&lt;&gt;1)),"work",(INDEX(Subject!$A:$I,MATCH(RANDBETWEEN(1,(MAX(Subject!$B:$B))),Subject!$B:$B,0),3))))</f>
        <v/>
      </c>
      <c r="S476" s="2" t="str">
        <f t="array" ref="S476">IF(NOW()&gt;BD476,"",IF(AND((WEEKDAY($A476)+$B$2)&gt;1,((WEEKDAY($A476)+$T$2)&lt;7),(WEEKDAY($A476)&lt;&gt;1)),"work",(INDEX(Subject!$A:$I,MATCH(RANDBETWEEN(1,(MAX(Subject!$B:$B))),Subject!$B:$B,0),3))))</f>
        <v/>
      </c>
      <c r="T476" s="2" t="str">
        <f t="array" ref="T476">IF(NOW()&gt;BE476,"",IF(AND((WEEKDAY($A476)+$B$2)&gt;1,((WEEKDAY($A476)+$T$2)&lt;7),(WEEKDAY($A476)&lt;&gt;1)),"work",(INDEX(Subject!$A:$I,MATCH(RANDBETWEEN(1,(MAX(Subject!$B:$B))),Subject!$B:$B,0),3))))</f>
        <v/>
      </c>
      <c r="U476" s="8" t="str">
        <f t="array" ref="U476">INDEX(Subject!$A:$I,MATCH(RANDBETWEEN(1,16),Subject!$B:$B,0),3)</f>
        <v>#N/A</v>
      </c>
      <c r="V476" s="8" t="str">
        <f t="array" ref="V476">INDEX(Subject!$A:$I,MATCH(RANDBETWEEN(1,16),Subject!$B:$B,0),3)</f>
        <v>#N/A</v>
      </c>
      <c r="W476" s="8" t="str">
        <f t="array" ref="W476">INDEX(Subject!$A:$I,MATCH(RANDBETWEEN(1,16),Subject!$B:$B,0),3)</f>
        <v/>
      </c>
      <c r="X476" s="8" t="str">
        <f t="array" ref="X476">INDEX(Subject!$A:$I,MATCH(RANDBETWEEN(1,16),Subject!$B:$B,0),3)</f>
        <v>#N/A</v>
      </c>
      <c r="Y476" s="8" t="str">
        <f t="array" ref="Y476">INDEX(Subject!$A:$I,MATCH(RANDBETWEEN(1,16),Subject!$B:$B,0),3)</f>
        <v>#N/A</v>
      </c>
      <c r="Z476" s="8" t="str">
        <f t="array" ref="Z476">INDEX(Subject!$A:$I,MATCH(RANDBETWEEN(1,16),Subject!$B:$B,0),3)</f>
        <v>#N/A</v>
      </c>
      <c r="AA476" s="8" t="str">
        <f t="array" ref="AA476">INDEX(Subject!$A:$I,MATCH(RANDBETWEEN(1,16),Subject!$B:$B,0),3)</f>
        <v>#N/A</v>
      </c>
      <c r="AB476" s="8" t="str">
        <f t="array" ref="AB476">INDEX(Subject!$A:$I,MATCH(RANDBETWEEN(1,16),Subject!$B:$B,0),3)</f>
        <v>#N/A</v>
      </c>
      <c r="AC476" s="8" t="str">
        <f t="array" ref="AC476">INDEX(Subject!$A:$I,MATCH(RANDBETWEEN(1,16),Subject!$B:$B,0),3)</f>
        <v>#N/A</v>
      </c>
      <c r="AD476" s="8" t="str">
        <f t="array" ref="AD476">INDEX(Subject!$A:$I,MATCH(RANDBETWEEN(1,16),Subject!$B:$B,0),3)</f>
        <v>#N/A</v>
      </c>
      <c r="AE476" s="8" t="str">
        <f t="array" ref="AE476">INDEX(Subject!$A:$I,MATCH(RANDBETWEEN(1,16),Subject!$B:$B,0),3)</f>
        <v>#N/A</v>
      </c>
      <c r="AF476" s="8" t="str">
        <f t="array" ref="AF476">INDEX(Subject!$A:$I,MATCH(RANDBETWEEN(1,16),Subject!$B:$B,0),3)</f>
        <v>#N/A</v>
      </c>
      <c r="AG476" s="8" t="str">
        <f t="array" ref="AG476">INDEX(Subject!$A:$I,MATCH(RANDBETWEEN(1,16),Subject!$B:$B,0),3)</f>
        <v>#N/A</v>
      </c>
      <c r="AH476" s="8" t="str">
        <f t="array" ref="AH476">INDEX(Subject!$A:$I,MATCH(RANDBETWEEN(1,16),Subject!$B:$B,0),3)</f>
        <v>#N/A</v>
      </c>
      <c r="AI476" s="8" t="str">
        <f t="array" ref="AI476">INDEX(Subject!$A:$I,MATCH(RANDBETWEEN(1,16),Subject!$B:$B,0),3)</f>
        <v>#N/A</v>
      </c>
      <c r="AJ476" s="8" t="str">
        <f t="array" ref="AJ476">INDEX(Subject!$A:$I,MATCH(RANDBETWEEN(1,16),Subject!$B:$B,0),3)</f>
        <v>#N/A</v>
      </c>
      <c r="AK476" s="8" t="str">
        <f t="array" ref="AK476">INDEX(Subject!$A:$I,MATCH(RANDBETWEEN(1,16),Subject!$B:$B,0),3)</f>
        <v>#N/A</v>
      </c>
      <c r="AL476" s="8" t="str">
        <f t="array" ref="AL476">INDEX(Subject!$A:$I,MATCH(RANDBETWEEN(1,16),Subject!$B:$B,0),3)</f>
        <v>#N/A</v>
      </c>
      <c r="AM476" s="18">
        <f t="shared" si="4"/>
        <v>45976.33333</v>
      </c>
      <c r="AN476" s="19">
        <f t="shared" ref="AN476:BZ476" si="476">$A476+C$1</f>
        <v>45976.35417</v>
      </c>
      <c r="AO476" s="19">
        <f t="shared" si="476"/>
        <v>45976.375</v>
      </c>
      <c r="AP476" s="19">
        <f t="shared" si="476"/>
        <v>45976.39583</v>
      </c>
      <c r="AQ476" s="19">
        <f t="shared" si="476"/>
        <v>45976.41667</v>
      </c>
      <c r="AR476" s="19">
        <f t="shared" si="476"/>
        <v>45976.4375</v>
      </c>
      <c r="AS476" s="19">
        <f t="shared" si="476"/>
        <v>45976.45833</v>
      </c>
      <c r="AT476" s="19">
        <f t="shared" si="476"/>
        <v>45976.47917</v>
      </c>
      <c r="AU476" s="19">
        <f t="shared" si="476"/>
        <v>45976.5</v>
      </c>
      <c r="AV476" s="19">
        <f t="shared" si="476"/>
        <v>45976.52083</v>
      </c>
      <c r="AW476" s="19">
        <f t="shared" si="476"/>
        <v>45976.54167</v>
      </c>
      <c r="AX476" s="19">
        <f t="shared" si="476"/>
        <v>45976.5625</v>
      </c>
      <c r="AY476" s="19">
        <f t="shared" si="476"/>
        <v>45976.58333</v>
      </c>
      <c r="AZ476" s="19">
        <f t="shared" si="476"/>
        <v>45976.60417</v>
      </c>
      <c r="BA476" s="19">
        <f t="shared" si="476"/>
        <v>45976.625</v>
      </c>
      <c r="BB476" s="19">
        <f t="shared" si="476"/>
        <v>45976.64583</v>
      </c>
      <c r="BC476" s="19">
        <f t="shared" si="476"/>
        <v>45976.66667</v>
      </c>
      <c r="BD476" s="19">
        <f t="shared" si="476"/>
        <v>45976.6875</v>
      </c>
      <c r="BE476" s="19">
        <f t="shared" si="476"/>
        <v>45976.70833</v>
      </c>
      <c r="BF476" s="19">
        <f t="shared" si="476"/>
        <v>45976.72917</v>
      </c>
      <c r="BG476" s="19">
        <f t="shared" si="476"/>
        <v>45976.75</v>
      </c>
      <c r="BH476" s="19">
        <f t="shared" si="476"/>
        <v>45976.77083</v>
      </c>
      <c r="BI476" s="19">
        <f t="shared" si="476"/>
        <v>45976.79167</v>
      </c>
      <c r="BJ476" s="19">
        <f t="shared" si="476"/>
        <v>45976.8125</v>
      </c>
      <c r="BK476" s="19">
        <f t="shared" si="476"/>
        <v>45976.83333</v>
      </c>
      <c r="BL476" s="19">
        <f t="shared" si="476"/>
        <v>45976.85417</v>
      </c>
      <c r="BM476" s="19">
        <f t="shared" si="476"/>
        <v>45976.875</v>
      </c>
      <c r="BN476" s="19">
        <f t="shared" si="476"/>
        <v>45976.89583</v>
      </c>
      <c r="BO476" s="19">
        <f t="shared" si="476"/>
        <v>45976.91667</v>
      </c>
      <c r="BP476" s="19">
        <f t="shared" si="476"/>
        <v>45976.9375</v>
      </c>
      <c r="BQ476" s="19">
        <f t="shared" si="476"/>
        <v>45976.95833</v>
      </c>
      <c r="BR476" s="19">
        <f t="shared" si="476"/>
        <v>45976.97917</v>
      </c>
      <c r="BS476" s="19">
        <f t="shared" si="476"/>
        <v>45977</v>
      </c>
      <c r="BT476" s="19">
        <f t="shared" si="476"/>
        <v>45977.02083</v>
      </c>
      <c r="BU476" s="19">
        <f t="shared" si="476"/>
        <v>45977.04167</v>
      </c>
      <c r="BV476" s="19">
        <f t="shared" si="476"/>
        <v>45977.0625</v>
      </c>
      <c r="BW476" s="19">
        <f t="shared" si="476"/>
        <v>45977.08333</v>
      </c>
      <c r="BX476" s="19">
        <f t="shared" si="476"/>
        <v>45976</v>
      </c>
      <c r="BY476" s="19">
        <f t="shared" si="476"/>
        <v>45976</v>
      </c>
      <c r="BZ476" s="19">
        <f t="shared" si="476"/>
        <v>45976</v>
      </c>
    </row>
    <row r="477" ht="14.25" customHeight="1">
      <c r="A477" s="17">
        <v>45977.0</v>
      </c>
      <c r="B477" s="2" t="str">
        <f t="array" ref="B477">IF(NOW()&gt;AM477,"",IF(AND((WEEKDAY($A477)+$B$2)&gt;1,((WEEKDAY($A477)+$T$2)&lt;7),(WEEKDAY($A477)&lt;&gt;1)),"work",(INDEX(Subject!$A:$I,MATCH(RANDBETWEEN(1,(MAX(Subject!$B:$B))),Subject!$B:$B,0),3))))</f>
        <v/>
      </c>
      <c r="C477" s="2" t="str">
        <f t="array" ref="C477">IF(NOW()&gt;AN477,"",IF(AND((WEEKDAY($A477)+$B$2)&gt;1,((WEEKDAY($A477)+$T$2)&lt;7),(WEEKDAY($A477)&lt;&gt;1)),"work",(INDEX(Subject!$A:$I,MATCH(RANDBETWEEN(1,(MAX(Subject!$B:$B))),Subject!$B:$B,0),3))))</f>
        <v/>
      </c>
      <c r="D477" s="2" t="str">
        <f t="array" ref="D477">IF(NOW()&gt;AO477,"",IF(AND((WEEKDAY($A477)+$B$2)&gt;1,((WEEKDAY($A477)+$T$2)&lt;7),(WEEKDAY($A477)&lt;&gt;1)),"work",(INDEX(Subject!$A:$I,MATCH(RANDBETWEEN(1,(MAX(Subject!$B:$B))),Subject!$B:$B,0),3))))</f>
        <v/>
      </c>
      <c r="E477" s="2" t="str">
        <f t="array" ref="E477">IF(NOW()&gt;AP477,"",IF(AND((WEEKDAY($A477)+$B$2)&gt;1,((WEEKDAY($A477)+$T$2)&lt;7),(WEEKDAY($A477)&lt;&gt;1)),"work",(INDEX(Subject!$A:$I,MATCH(RANDBETWEEN(1,(MAX(Subject!$B:$B))),Subject!$B:$B,0),3))))</f>
        <v/>
      </c>
      <c r="F477" s="2" t="str">
        <f t="array" ref="F477">IF(NOW()&gt;AQ477,"",IF(AND((WEEKDAY($A477)+$B$2)&gt;1,((WEEKDAY($A477)+$T$2)&lt;7),(WEEKDAY($A477)&lt;&gt;1)),"work",(INDEX(Subject!$A:$I,MATCH(RANDBETWEEN(1,(MAX(Subject!$B:$B))),Subject!$B:$B,0),3))))</f>
        <v/>
      </c>
      <c r="G477" s="2" t="str">
        <f t="array" ref="G477">IF(NOW()&gt;AR477,"",IF(AND((WEEKDAY($A477)+$B$2)&gt;1,((WEEKDAY($A477)+$T$2)&lt;7),(WEEKDAY($A477)&lt;&gt;1)),"work",(INDEX(Subject!$A:$I,MATCH(RANDBETWEEN(1,(MAX(Subject!$B:$B))),Subject!$B:$B,0),3))))</f>
        <v/>
      </c>
      <c r="H477" s="2" t="str">
        <f t="array" ref="H477">IF(NOW()&gt;AS477,"",IF(AND((WEEKDAY($A477)+$B$2)&gt;1,((WEEKDAY($A477)+$T$2)&lt;7),(WEEKDAY($A477)&lt;&gt;1)),"work",(INDEX(Subject!$A:$I,MATCH(RANDBETWEEN(1,(MAX(Subject!$B:$B))),Subject!$B:$B,0),3))))</f>
        <v/>
      </c>
      <c r="I477" s="2" t="str">
        <f t="array" ref="I477">IF(NOW()&gt;AT477,"",IF(AND((WEEKDAY($A477)+$B$2)&gt;1,((WEEKDAY($A477)+$T$2)&lt;7),(WEEKDAY($A477)&lt;&gt;1)),"work",(INDEX(Subject!$A:$I,MATCH(RANDBETWEEN(1,(MAX(Subject!$B:$B))),Subject!$B:$B,0),3))))</f>
        <v/>
      </c>
      <c r="J477" s="2" t="str">
        <f t="array" ref="J477">IF(NOW()&gt;AU477,"",IF(AND((WEEKDAY($A477)+$B$2)&gt;1,((WEEKDAY($A477)+$T$2)&lt;7),(WEEKDAY($A477)&lt;&gt;1)),"work",(INDEX(Subject!$A:$I,MATCH(RANDBETWEEN(1,(MAX(Subject!$B:$B))),Subject!$B:$B,0),3))))</f>
        <v/>
      </c>
      <c r="K477" s="2" t="str">
        <f t="array" ref="K477">IF(NOW()&gt;AV477,"",IF(AND((WEEKDAY($A477)+$B$2)&gt;1,((WEEKDAY($A477)+$T$2)&lt;7),(WEEKDAY($A477)&lt;&gt;1)),"work",(INDEX(Subject!$A:$I,MATCH(RANDBETWEEN(1,(MAX(Subject!$B:$B))),Subject!$B:$B,0),3))))</f>
        <v/>
      </c>
      <c r="L477" s="2" t="str">
        <f t="array" ref="L477">IF(NOW()&gt;AW477,"",IF(AND((WEEKDAY($A477)+$B$2)&gt;1,((WEEKDAY($A477)+$T$2)&lt;7),(WEEKDAY($A477)&lt;&gt;1)),"work",(INDEX(Subject!$A:$I,MATCH(RANDBETWEEN(1,(MAX(Subject!$B:$B))),Subject!$B:$B,0),3))))</f>
        <v/>
      </c>
      <c r="M477" s="2" t="str">
        <f t="array" ref="M477">IF(NOW()&gt;AX477,"",IF(AND((WEEKDAY($A477)+$B$2)&gt;1,((WEEKDAY($A477)+$T$2)&lt;7),(WEEKDAY($A477)&lt;&gt;1)),"work",(INDEX(Subject!$A:$I,MATCH(RANDBETWEEN(1,(MAX(Subject!$B:$B))),Subject!$B:$B,0),3))))</f>
        <v/>
      </c>
      <c r="N477" s="2" t="str">
        <f t="array" ref="N477">IF(NOW()&gt;AY477,"",IF(AND((WEEKDAY($A477)+$B$2)&gt;1,((WEEKDAY($A477)+$T$2)&lt;7),(WEEKDAY($A477)&lt;&gt;1)),"work",(INDEX(Subject!$A:$I,MATCH(RANDBETWEEN(1,(MAX(Subject!$B:$B))),Subject!$B:$B,0),3))))</f>
        <v/>
      </c>
      <c r="O477" s="2" t="str">
        <f t="array" ref="O477">IF(NOW()&gt;AZ477,"",IF(AND((WEEKDAY($A477)+$B$2)&gt;1,((WEEKDAY($A477)+$T$2)&lt;7),(WEEKDAY($A477)&lt;&gt;1)),"work",(INDEX(Subject!$A:$I,MATCH(RANDBETWEEN(1,(MAX(Subject!$B:$B))),Subject!$B:$B,0),3))))</f>
        <v/>
      </c>
      <c r="P477" s="2" t="str">
        <f t="array" ref="P477">IF(NOW()&gt;BA477,"",IF(AND((WEEKDAY($A477)+$B$2)&gt;1,((WEEKDAY($A477)+$T$2)&lt;7),(WEEKDAY($A477)&lt;&gt;1)),"work",(INDEX(Subject!$A:$I,MATCH(RANDBETWEEN(1,(MAX(Subject!$B:$B))),Subject!$B:$B,0),3))))</f>
        <v/>
      </c>
      <c r="Q477" s="2" t="str">
        <f t="array" ref="Q477">IF(NOW()&gt;BB477,"",IF(AND((WEEKDAY($A477)+$B$2)&gt;1,((WEEKDAY($A477)+$T$2)&lt;7),(WEEKDAY($A477)&lt;&gt;1)),"work",(INDEX(Subject!$A:$I,MATCH(RANDBETWEEN(1,(MAX(Subject!$B:$B))),Subject!$B:$B,0),3))))</f>
        <v/>
      </c>
      <c r="R477" s="2" t="str">
        <f t="array" ref="R477">IF(NOW()&gt;BC477,"",IF(AND((WEEKDAY($A477)+$B$2)&gt;1,((WEEKDAY($A477)+$T$2)&lt;7),(WEEKDAY($A477)&lt;&gt;1)),"work",(INDEX(Subject!$A:$I,MATCH(RANDBETWEEN(1,(MAX(Subject!$B:$B))),Subject!$B:$B,0),3))))</f>
        <v/>
      </c>
      <c r="S477" s="2" t="str">
        <f t="array" ref="S477">IF(NOW()&gt;BD477,"",IF(AND((WEEKDAY($A477)+$B$2)&gt;1,((WEEKDAY($A477)+$T$2)&lt;7),(WEEKDAY($A477)&lt;&gt;1)),"work",(INDEX(Subject!$A:$I,MATCH(RANDBETWEEN(1,(MAX(Subject!$B:$B))),Subject!$B:$B,0),3))))</f>
        <v/>
      </c>
      <c r="T477" s="2" t="str">
        <f t="array" ref="T477">IF(NOW()&gt;BE477,"",IF(AND((WEEKDAY($A477)+$B$2)&gt;1,((WEEKDAY($A477)+$T$2)&lt;7),(WEEKDAY($A477)&lt;&gt;1)),"work",(INDEX(Subject!$A:$I,MATCH(RANDBETWEEN(1,(MAX(Subject!$B:$B))),Subject!$B:$B,0),3))))</f>
        <v/>
      </c>
      <c r="U477" s="8" t="str">
        <f t="array" ref="U477">INDEX(Subject!$A:$I,MATCH(RANDBETWEEN(1,16),Subject!$B:$B,0),3)</f>
        <v/>
      </c>
      <c r="V477" s="8" t="str">
        <f t="array" ref="V477">INDEX(Subject!$A:$I,MATCH(RANDBETWEEN(1,16),Subject!$B:$B,0),3)</f>
        <v>#N/A</v>
      </c>
      <c r="W477" s="8" t="str">
        <f t="array" ref="W477">INDEX(Subject!$A:$I,MATCH(RANDBETWEEN(1,16),Subject!$B:$B,0),3)</f>
        <v>#N/A</v>
      </c>
      <c r="X477" s="8" t="str">
        <f t="array" ref="X477">INDEX(Subject!$A:$I,MATCH(RANDBETWEEN(1,16),Subject!$B:$B,0),3)</f>
        <v>#N/A</v>
      </c>
      <c r="Y477" s="8" t="str">
        <f t="array" ref="Y477">INDEX(Subject!$A:$I,MATCH(RANDBETWEEN(1,16),Subject!$B:$B,0),3)</f>
        <v>#N/A</v>
      </c>
      <c r="Z477" s="8" t="str">
        <f t="array" ref="Z477">INDEX(Subject!$A:$I,MATCH(RANDBETWEEN(1,16),Subject!$B:$B,0),3)</f>
        <v>#N/A</v>
      </c>
      <c r="AA477" s="8" t="str">
        <f t="array" ref="AA477">INDEX(Subject!$A:$I,MATCH(RANDBETWEEN(1,16),Subject!$B:$B,0),3)</f>
        <v>#N/A</v>
      </c>
      <c r="AB477" s="8" t="str">
        <f t="array" ref="AB477">INDEX(Subject!$A:$I,MATCH(RANDBETWEEN(1,16),Subject!$B:$B,0),3)</f>
        <v>#N/A</v>
      </c>
      <c r="AC477" s="8" t="str">
        <f t="array" ref="AC477">INDEX(Subject!$A:$I,MATCH(RANDBETWEEN(1,16),Subject!$B:$B,0),3)</f>
        <v>#N/A</v>
      </c>
      <c r="AD477" s="8" t="str">
        <f t="array" ref="AD477">INDEX(Subject!$A:$I,MATCH(RANDBETWEEN(1,16),Subject!$B:$B,0),3)</f>
        <v>#N/A</v>
      </c>
      <c r="AE477" s="8" t="str">
        <f t="array" ref="AE477">INDEX(Subject!$A:$I,MATCH(RANDBETWEEN(1,16),Subject!$B:$B,0),3)</f>
        <v>#N/A</v>
      </c>
      <c r="AF477" s="8" t="str">
        <f t="array" ref="AF477">INDEX(Subject!$A:$I,MATCH(RANDBETWEEN(1,16),Subject!$B:$B,0),3)</f>
        <v>#N/A</v>
      </c>
      <c r="AG477" s="8" t="str">
        <f t="array" ref="AG477">INDEX(Subject!$A:$I,MATCH(RANDBETWEEN(1,16),Subject!$B:$B,0),3)</f>
        <v>#N/A</v>
      </c>
      <c r="AH477" s="8" t="str">
        <f t="array" ref="AH477">INDEX(Subject!$A:$I,MATCH(RANDBETWEEN(1,16),Subject!$B:$B,0),3)</f>
        <v>#N/A</v>
      </c>
      <c r="AI477" s="8" t="str">
        <f t="array" ref="AI477">INDEX(Subject!$A:$I,MATCH(RANDBETWEEN(1,16),Subject!$B:$B,0),3)</f>
        <v/>
      </c>
      <c r="AJ477" s="8" t="str">
        <f t="array" ref="AJ477">INDEX(Subject!$A:$I,MATCH(RANDBETWEEN(1,16),Subject!$B:$B,0),3)</f>
        <v>#N/A</v>
      </c>
      <c r="AK477" s="8" t="str">
        <f t="array" ref="AK477">INDEX(Subject!$A:$I,MATCH(RANDBETWEEN(1,16),Subject!$B:$B,0),3)</f>
        <v>#N/A</v>
      </c>
      <c r="AL477" s="8" t="str">
        <f t="array" ref="AL477">INDEX(Subject!$A:$I,MATCH(RANDBETWEEN(1,16),Subject!$B:$B,0),3)</f>
        <v>#N/A</v>
      </c>
      <c r="AM477" s="18">
        <f t="shared" si="4"/>
        <v>45977.33333</v>
      </c>
      <c r="AN477" s="19">
        <f t="shared" ref="AN477:BZ477" si="477">$A477+C$1</f>
        <v>45977.35417</v>
      </c>
      <c r="AO477" s="19">
        <f t="shared" si="477"/>
        <v>45977.375</v>
      </c>
      <c r="AP477" s="19">
        <f t="shared" si="477"/>
        <v>45977.39583</v>
      </c>
      <c r="AQ477" s="19">
        <f t="shared" si="477"/>
        <v>45977.41667</v>
      </c>
      <c r="AR477" s="19">
        <f t="shared" si="477"/>
        <v>45977.4375</v>
      </c>
      <c r="AS477" s="19">
        <f t="shared" si="477"/>
        <v>45977.45833</v>
      </c>
      <c r="AT477" s="19">
        <f t="shared" si="477"/>
        <v>45977.47917</v>
      </c>
      <c r="AU477" s="19">
        <f t="shared" si="477"/>
        <v>45977.5</v>
      </c>
      <c r="AV477" s="19">
        <f t="shared" si="477"/>
        <v>45977.52083</v>
      </c>
      <c r="AW477" s="19">
        <f t="shared" si="477"/>
        <v>45977.54167</v>
      </c>
      <c r="AX477" s="19">
        <f t="shared" si="477"/>
        <v>45977.5625</v>
      </c>
      <c r="AY477" s="19">
        <f t="shared" si="477"/>
        <v>45977.58333</v>
      </c>
      <c r="AZ477" s="19">
        <f t="shared" si="477"/>
        <v>45977.60417</v>
      </c>
      <c r="BA477" s="19">
        <f t="shared" si="477"/>
        <v>45977.625</v>
      </c>
      <c r="BB477" s="19">
        <f t="shared" si="477"/>
        <v>45977.64583</v>
      </c>
      <c r="BC477" s="19">
        <f t="shared" si="477"/>
        <v>45977.66667</v>
      </c>
      <c r="BD477" s="19">
        <f t="shared" si="477"/>
        <v>45977.6875</v>
      </c>
      <c r="BE477" s="19">
        <f t="shared" si="477"/>
        <v>45977.70833</v>
      </c>
      <c r="BF477" s="19">
        <f t="shared" si="477"/>
        <v>45977.72917</v>
      </c>
      <c r="BG477" s="19">
        <f t="shared" si="477"/>
        <v>45977.75</v>
      </c>
      <c r="BH477" s="19">
        <f t="shared" si="477"/>
        <v>45977.77083</v>
      </c>
      <c r="BI477" s="19">
        <f t="shared" si="477"/>
        <v>45977.79167</v>
      </c>
      <c r="BJ477" s="19">
        <f t="shared" si="477"/>
        <v>45977.8125</v>
      </c>
      <c r="BK477" s="19">
        <f t="shared" si="477"/>
        <v>45977.83333</v>
      </c>
      <c r="BL477" s="19">
        <f t="shared" si="477"/>
        <v>45977.85417</v>
      </c>
      <c r="BM477" s="19">
        <f t="shared" si="477"/>
        <v>45977.875</v>
      </c>
      <c r="BN477" s="19">
        <f t="shared" si="477"/>
        <v>45977.89583</v>
      </c>
      <c r="BO477" s="19">
        <f t="shared" si="477"/>
        <v>45977.91667</v>
      </c>
      <c r="BP477" s="19">
        <f t="shared" si="477"/>
        <v>45977.9375</v>
      </c>
      <c r="BQ477" s="19">
        <f t="shared" si="477"/>
        <v>45977.95833</v>
      </c>
      <c r="BR477" s="19">
        <f t="shared" si="477"/>
        <v>45977.97917</v>
      </c>
      <c r="BS477" s="19">
        <f t="shared" si="477"/>
        <v>45978</v>
      </c>
      <c r="BT477" s="19">
        <f t="shared" si="477"/>
        <v>45978.02083</v>
      </c>
      <c r="BU477" s="19">
        <f t="shared" si="477"/>
        <v>45978.04167</v>
      </c>
      <c r="BV477" s="19">
        <f t="shared" si="477"/>
        <v>45978.0625</v>
      </c>
      <c r="BW477" s="19">
        <f t="shared" si="477"/>
        <v>45978.08333</v>
      </c>
      <c r="BX477" s="19">
        <f t="shared" si="477"/>
        <v>45977</v>
      </c>
      <c r="BY477" s="19">
        <f t="shared" si="477"/>
        <v>45977</v>
      </c>
      <c r="BZ477" s="19">
        <f t="shared" si="477"/>
        <v>45977</v>
      </c>
    </row>
    <row r="478" ht="14.25" customHeight="1">
      <c r="A478" s="17">
        <v>45978.0</v>
      </c>
      <c r="B478" s="2" t="str">
        <f t="array" ref="B478">IF(NOW()&gt;AM478,"",IF(AND((WEEKDAY($A478)+$B$2)&gt;1,((WEEKDAY($A478)+$T$2)&lt;7),(WEEKDAY($A478)&lt;&gt;1)),"work",(INDEX(Subject!$A:$I,MATCH(RANDBETWEEN(1,(MAX(Subject!$B:$B))),Subject!$B:$B,0),3))))</f>
        <v/>
      </c>
      <c r="C478" s="2" t="str">
        <f t="array" ref="C478">IF(NOW()&gt;AN478,"",IF(AND((WEEKDAY($A478)+$B$2)&gt;1,((WEEKDAY($A478)+$T$2)&lt;7),(WEEKDAY($A478)&lt;&gt;1)),"work",(INDEX(Subject!$A:$I,MATCH(RANDBETWEEN(1,(MAX(Subject!$B:$B))),Subject!$B:$B,0),3))))</f>
        <v/>
      </c>
      <c r="D478" s="2" t="str">
        <f t="array" ref="D478">IF(NOW()&gt;AO478,"",IF(AND((WEEKDAY($A478)+$B$2)&gt;1,((WEEKDAY($A478)+$T$2)&lt;7),(WEEKDAY($A478)&lt;&gt;1)),"work",(INDEX(Subject!$A:$I,MATCH(RANDBETWEEN(1,(MAX(Subject!$B:$B))),Subject!$B:$B,0),3))))</f>
        <v/>
      </c>
      <c r="E478" s="2" t="str">
        <f t="array" ref="E478">IF(NOW()&gt;AP478,"",IF(AND((WEEKDAY($A478)+$B$2)&gt;1,((WEEKDAY($A478)+$T$2)&lt;7),(WEEKDAY($A478)&lt;&gt;1)),"work",(INDEX(Subject!$A:$I,MATCH(RANDBETWEEN(1,(MAX(Subject!$B:$B))),Subject!$B:$B,0),3))))</f>
        <v/>
      </c>
      <c r="F478" s="2" t="str">
        <f t="array" ref="F478">IF(NOW()&gt;AQ478,"",IF(AND((WEEKDAY($A478)+$B$2)&gt;1,((WEEKDAY($A478)+$T$2)&lt;7),(WEEKDAY($A478)&lt;&gt;1)),"work",(INDEX(Subject!$A:$I,MATCH(RANDBETWEEN(1,(MAX(Subject!$B:$B))),Subject!$B:$B,0),3))))</f>
        <v/>
      </c>
      <c r="G478" s="2" t="str">
        <f t="array" ref="G478">IF(NOW()&gt;AR478,"",IF(AND((WEEKDAY($A478)+$B$2)&gt;1,((WEEKDAY($A478)+$T$2)&lt;7),(WEEKDAY($A478)&lt;&gt;1)),"work",(INDEX(Subject!$A:$I,MATCH(RANDBETWEEN(1,(MAX(Subject!$B:$B))),Subject!$B:$B,0),3))))</f>
        <v/>
      </c>
      <c r="H478" s="2" t="str">
        <f t="array" ref="H478">IF(NOW()&gt;AS478,"",IF(AND((WEEKDAY($A478)+$B$2)&gt;1,((WEEKDAY($A478)+$T$2)&lt;7),(WEEKDAY($A478)&lt;&gt;1)),"work",(INDEX(Subject!$A:$I,MATCH(RANDBETWEEN(1,(MAX(Subject!$B:$B))),Subject!$B:$B,0),3))))</f>
        <v/>
      </c>
      <c r="I478" s="2" t="str">
        <f t="array" ref="I478">IF(NOW()&gt;AT478,"",IF(AND((WEEKDAY($A478)+$B$2)&gt;1,((WEEKDAY($A478)+$T$2)&lt;7),(WEEKDAY($A478)&lt;&gt;1)),"work",(INDEX(Subject!$A:$I,MATCH(RANDBETWEEN(1,(MAX(Subject!$B:$B))),Subject!$B:$B,0),3))))</f>
        <v/>
      </c>
      <c r="J478" s="2" t="str">
        <f t="array" ref="J478">IF(NOW()&gt;AU478,"",IF(AND((WEEKDAY($A478)+$B$2)&gt;1,((WEEKDAY($A478)+$T$2)&lt;7),(WEEKDAY($A478)&lt;&gt;1)),"work",(INDEX(Subject!$A:$I,MATCH(RANDBETWEEN(1,(MAX(Subject!$B:$B))),Subject!$B:$B,0),3))))</f>
        <v/>
      </c>
      <c r="K478" s="2" t="str">
        <f t="array" ref="K478">IF(NOW()&gt;AV478,"",IF(AND((WEEKDAY($A478)+$B$2)&gt;1,((WEEKDAY($A478)+$T$2)&lt;7),(WEEKDAY($A478)&lt;&gt;1)),"work",(INDEX(Subject!$A:$I,MATCH(RANDBETWEEN(1,(MAX(Subject!$B:$B))),Subject!$B:$B,0),3))))</f>
        <v/>
      </c>
      <c r="L478" s="2" t="str">
        <f t="array" ref="L478">IF(NOW()&gt;AW478,"",IF(AND((WEEKDAY($A478)+$B$2)&gt;1,((WEEKDAY($A478)+$T$2)&lt;7),(WEEKDAY($A478)&lt;&gt;1)),"work",(INDEX(Subject!$A:$I,MATCH(RANDBETWEEN(1,(MAX(Subject!$B:$B))),Subject!$B:$B,0),3))))</f>
        <v/>
      </c>
      <c r="M478" s="2" t="str">
        <f t="array" ref="M478">IF(NOW()&gt;AX478,"",IF(AND((WEEKDAY($A478)+$B$2)&gt;1,((WEEKDAY($A478)+$T$2)&lt;7),(WEEKDAY($A478)&lt;&gt;1)),"work",(INDEX(Subject!$A:$I,MATCH(RANDBETWEEN(1,(MAX(Subject!$B:$B))),Subject!$B:$B,0),3))))</f>
        <v/>
      </c>
      <c r="N478" s="2" t="str">
        <f t="array" ref="N478">IF(NOW()&gt;AY478,"",IF(AND((WEEKDAY($A478)+$B$2)&gt;1,((WEEKDAY($A478)+$T$2)&lt;7),(WEEKDAY($A478)&lt;&gt;1)),"work",(INDEX(Subject!$A:$I,MATCH(RANDBETWEEN(1,(MAX(Subject!$B:$B))),Subject!$B:$B,0),3))))</f>
        <v/>
      </c>
      <c r="O478" s="2" t="str">
        <f t="array" ref="O478">IF(NOW()&gt;AZ478,"",IF(AND((WEEKDAY($A478)+$B$2)&gt;1,((WEEKDAY($A478)+$T$2)&lt;7),(WEEKDAY($A478)&lt;&gt;1)),"work",(INDEX(Subject!$A:$I,MATCH(RANDBETWEEN(1,(MAX(Subject!$B:$B))),Subject!$B:$B,0),3))))</f>
        <v/>
      </c>
      <c r="P478" s="2" t="str">
        <f t="array" ref="P478">IF(NOW()&gt;BA478,"",IF(AND((WEEKDAY($A478)+$B$2)&gt;1,((WEEKDAY($A478)+$T$2)&lt;7),(WEEKDAY($A478)&lt;&gt;1)),"work",(INDEX(Subject!$A:$I,MATCH(RANDBETWEEN(1,(MAX(Subject!$B:$B))),Subject!$B:$B,0),3))))</f>
        <v/>
      </c>
      <c r="Q478" s="2" t="str">
        <f t="array" ref="Q478">IF(NOW()&gt;BB478,"",IF(AND((WEEKDAY($A478)+$B$2)&gt;1,((WEEKDAY($A478)+$T$2)&lt;7),(WEEKDAY($A478)&lt;&gt;1)),"work",(INDEX(Subject!$A:$I,MATCH(RANDBETWEEN(1,(MAX(Subject!$B:$B))),Subject!$B:$B,0),3))))</f>
        <v/>
      </c>
      <c r="R478" s="2" t="str">
        <f t="array" ref="R478">IF(NOW()&gt;BC478,"",IF(AND((WEEKDAY($A478)+$B$2)&gt;1,((WEEKDAY($A478)+$T$2)&lt;7),(WEEKDAY($A478)&lt;&gt;1)),"work",(INDEX(Subject!$A:$I,MATCH(RANDBETWEEN(1,(MAX(Subject!$B:$B))),Subject!$B:$B,0),3))))</f>
        <v/>
      </c>
      <c r="S478" s="2" t="str">
        <f t="array" ref="S478">IF(NOW()&gt;BD478,"",IF(AND((WEEKDAY($A478)+$B$2)&gt;1,((WEEKDAY($A478)+$T$2)&lt;7),(WEEKDAY($A478)&lt;&gt;1)),"work",(INDEX(Subject!$A:$I,MATCH(RANDBETWEEN(1,(MAX(Subject!$B:$B))),Subject!$B:$B,0),3))))</f>
        <v/>
      </c>
      <c r="T478" s="2" t="str">
        <f t="array" ref="T478">IF(NOW()&gt;BE478,"",IF(AND((WEEKDAY($A478)+$B$2)&gt;1,((WEEKDAY($A478)+$T$2)&lt;7),(WEEKDAY($A478)&lt;&gt;1)),"work",(INDEX(Subject!$A:$I,MATCH(RANDBETWEEN(1,(MAX(Subject!$B:$B))),Subject!$B:$B,0),3))))</f>
        <v/>
      </c>
      <c r="U478" s="8" t="str">
        <f t="array" ref="U478">INDEX(Subject!$A:$I,MATCH(RANDBETWEEN(1,16),Subject!$B:$B,0),3)</f>
        <v>#N/A</v>
      </c>
      <c r="V478" s="8" t="str">
        <f t="array" ref="V478">INDEX(Subject!$A:$I,MATCH(RANDBETWEEN(1,16),Subject!$B:$B,0),3)</f>
        <v>#N/A</v>
      </c>
      <c r="W478" s="8" t="str">
        <f t="array" ref="W478">INDEX(Subject!$A:$I,MATCH(RANDBETWEEN(1,16),Subject!$B:$B,0),3)</f>
        <v>#N/A</v>
      </c>
      <c r="X478" s="8" t="str">
        <f t="array" ref="X478">INDEX(Subject!$A:$I,MATCH(RANDBETWEEN(1,16),Subject!$B:$B,0),3)</f>
        <v>#N/A</v>
      </c>
      <c r="Y478" s="8" t="str">
        <f t="array" ref="Y478">INDEX(Subject!$A:$I,MATCH(RANDBETWEEN(1,16),Subject!$B:$B,0),3)</f>
        <v>#N/A</v>
      </c>
      <c r="Z478" s="8" t="str">
        <f t="array" ref="Z478">INDEX(Subject!$A:$I,MATCH(RANDBETWEEN(1,16),Subject!$B:$B,0),3)</f>
        <v>#N/A</v>
      </c>
      <c r="AA478" s="8" t="str">
        <f t="array" ref="AA478">INDEX(Subject!$A:$I,MATCH(RANDBETWEEN(1,16),Subject!$B:$B,0),3)</f>
        <v>#N/A</v>
      </c>
      <c r="AB478" s="8" t="str">
        <f t="array" ref="AB478">INDEX(Subject!$A:$I,MATCH(RANDBETWEEN(1,16),Subject!$B:$B,0),3)</f>
        <v>#N/A</v>
      </c>
      <c r="AC478" s="8" t="str">
        <f t="array" ref="AC478">INDEX(Subject!$A:$I,MATCH(RANDBETWEEN(1,16),Subject!$B:$B,0),3)</f>
        <v>#N/A</v>
      </c>
      <c r="AD478" s="8" t="str">
        <f t="array" ref="AD478">INDEX(Subject!$A:$I,MATCH(RANDBETWEEN(1,16),Subject!$B:$B,0),3)</f>
        <v>#N/A</v>
      </c>
      <c r="AE478" s="8" t="str">
        <f t="array" ref="AE478">INDEX(Subject!$A:$I,MATCH(RANDBETWEEN(1,16),Subject!$B:$B,0),3)</f>
        <v>#N/A</v>
      </c>
      <c r="AF478" s="8" t="str">
        <f t="array" ref="AF478">INDEX(Subject!$A:$I,MATCH(RANDBETWEEN(1,16),Subject!$B:$B,0),3)</f>
        <v>#N/A</v>
      </c>
      <c r="AG478" s="8" t="str">
        <f t="array" ref="AG478">INDEX(Subject!$A:$I,MATCH(RANDBETWEEN(1,16),Subject!$B:$B,0),3)</f>
        <v>#N/A</v>
      </c>
      <c r="AH478" s="8" t="str">
        <f t="array" ref="AH478">INDEX(Subject!$A:$I,MATCH(RANDBETWEEN(1,16),Subject!$B:$B,0),3)</f>
        <v>#N/A</v>
      </c>
      <c r="AI478" s="8" t="str">
        <f t="array" ref="AI478">INDEX(Subject!$A:$I,MATCH(RANDBETWEEN(1,16),Subject!$B:$B,0),3)</f>
        <v>#N/A</v>
      </c>
      <c r="AJ478" s="8" t="str">
        <f t="array" ref="AJ478">INDEX(Subject!$A:$I,MATCH(RANDBETWEEN(1,16),Subject!$B:$B,0),3)</f>
        <v>#N/A</v>
      </c>
      <c r="AK478" s="8" t="str">
        <f t="array" ref="AK478">INDEX(Subject!$A:$I,MATCH(RANDBETWEEN(1,16),Subject!$B:$B,0),3)</f>
        <v>#N/A</v>
      </c>
      <c r="AL478" s="8" t="str">
        <f t="array" ref="AL478">INDEX(Subject!$A:$I,MATCH(RANDBETWEEN(1,16),Subject!$B:$B,0),3)</f>
        <v>#N/A</v>
      </c>
      <c r="AM478" s="18">
        <f t="shared" si="4"/>
        <v>45978.33333</v>
      </c>
      <c r="AN478" s="19">
        <f t="shared" ref="AN478:BZ478" si="478">$A478+C$1</f>
        <v>45978.35417</v>
      </c>
      <c r="AO478" s="19">
        <f t="shared" si="478"/>
        <v>45978.375</v>
      </c>
      <c r="AP478" s="19">
        <f t="shared" si="478"/>
        <v>45978.39583</v>
      </c>
      <c r="AQ478" s="19">
        <f t="shared" si="478"/>
        <v>45978.41667</v>
      </c>
      <c r="AR478" s="19">
        <f t="shared" si="478"/>
        <v>45978.4375</v>
      </c>
      <c r="AS478" s="19">
        <f t="shared" si="478"/>
        <v>45978.45833</v>
      </c>
      <c r="AT478" s="19">
        <f t="shared" si="478"/>
        <v>45978.47917</v>
      </c>
      <c r="AU478" s="19">
        <f t="shared" si="478"/>
        <v>45978.5</v>
      </c>
      <c r="AV478" s="19">
        <f t="shared" si="478"/>
        <v>45978.52083</v>
      </c>
      <c r="AW478" s="19">
        <f t="shared" si="478"/>
        <v>45978.54167</v>
      </c>
      <c r="AX478" s="19">
        <f t="shared" si="478"/>
        <v>45978.5625</v>
      </c>
      <c r="AY478" s="19">
        <f t="shared" si="478"/>
        <v>45978.58333</v>
      </c>
      <c r="AZ478" s="19">
        <f t="shared" si="478"/>
        <v>45978.60417</v>
      </c>
      <c r="BA478" s="19">
        <f t="shared" si="478"/>
        <v>45978.625</v>
      </c>
      <c r="BB478" s="19">
        <f t="shared" si="478"/>
        <v>45978.64583</v>
      </c>
      <c r="BC478" s="19">
        <f t="shared" si="478"/>
        <v>45978.66667</v>
      </c>
      <c r="BD478" s="19">
        <f t="shared" si="478"/>
        <v>45978.6875</v>
      </c>
      <c r="BE478" s="19">
        <f t="shared" si="478"/>
        <v>45978.70833</v>
      </c>
      <c r="BF478" s="19">
        <f t="shared" si="478"/>
        <v>45978.72917</v>
      </c>
      <c r="BG478" s="19">
        <f t="shared" si="478"/>
        <v>45978.75</v>
      </c>
      <c r="BH478" s="19">
        <f t="shared" si="478"/>
        <v>45978.77083</v>
      </c>
      <c r="BI478" s="19">
        <f t="shared" si="478"/>
        <v>45978.79167</v>
      </c>
      <c r="BJ478" s="19">
        <f t="shared" si="478"/>
        <v>45978.8125</v>
      </c>
      <c r="BK478" s="19">
        <f t="shared" si="478"/>
        <v>45978.83333</v>
      </c>
      <c r="BL478" s="19">
        <f t="shared" si="478"/>
        <v>45978.85417</v>
      </c>
      <c r="BM478" s="19">
        <f t="shared" si="478"/>
        <v>45978.875</v>
      </c>
      <c r="BN478" s="19">
        <f t="shared" si="478"/>
        <v>45978.89583</v>
      </c>
      <c r="BO478" s="19">
        <f t="shared" si="478"/>
        <v>45978.91667</v>
      </c>
      <c r="BP478" s="19">
        <f t="shared" si="478"/>
        <v>45978.9375</v>
      </c>
      <c r="BQ478" s="19">
        <f t="shared" si="478"/>
        <v>45978.95833</v>
      </c>
      <c r="BR478" s="19">
        <f t="shared" si="478"/>
        <v>45978.97917</v>
      </c>
      <c r="BS478" s="19">
        <f t="shared" si="478"/>
        <v>45979</v>
      </c>
      <c r="BT478" s="19">
        <f t="shared" si="478"/>
        <v>45979.02083</v>
      </c>
      <c r="BU478" s="19">
        <f t="shared" si="478"/>
        <v>45979.04167</v>
      </c>
      <c r="BV478" s="19">
        <f t="shared" si="478"/>
        <v>45979.0625</v>
      </c>
      <c r="BW478" s="19">
        <f t="shared" si="478"/>
        <v>45979.08333</v>
      </c>
      <c r="BX478" s="19">
        <f t="shared" si="478"/>
        <v>45978</v>
      </c>
      <c r="BY478" s="19">
        <f t="shared" si="478"/>
        <v>45978</v>
      </c>
      <c r="BZ478" s="19">
        <f t="shared" si="478"/>
        <v>45978</v>
      </c>
    </row>
    <row r="479" ht="14.25" customHeight="1">
      <c r="A479" s="17">
        <v>45979.0</v>
      </c>
      <c r="B479" s="2" t="str">
        <f t="array" ref="B479">IF(NOW()&gt;AM479,"",IF(AND((WEEKDAY($A479)+$B$2)&gt;1,((WEEKDAY($A479)+$T$2)&lt;7),(WEEKDAY($A479)&lt;&gt;1)),"work",(INDEX(Subject!$A:$I,MATCH(RANDBETWEEN(1,(MAX(Subject!$B:$B))),Subject!$B:$B,0),3))))</f>
        <v/>
      </c>
      <c r="C479" s="2" t="str">
        <f t="array" ref="C479">IF(NOW()&gt;AN479,"",IF(AND((WEEKDAY($A479)+$B$2)&gt;1,((WEEKDAY($A479)+$T$2)&lt;7),(WEEKDAY($A479)&lt;&gt;1)),"work",(INDEX(Subject!$A:$I,MATCH(RANDBETWEEN(1,(MAX(Subject!$B:$B))),Subject!$B:$B,0),3))))</f>
        <v/>
      </c>
      <c r="D479" s="2" t="str">
        <f t="array" ref="D479">IF(NOW()&gt;AO479,"",IF(AND((WEEKDAY($A479)+$B$2)&gt;1,((WEEKDAY($A479)+$T$2)&lt;7),(WEEKDAY($A479)&lt;&gt;1)),"work",(INDEX(Subject!$A:$I,MATCH(RANDBETWEEN(1,(MAX(Subject!$B:$B))),Subject!$B:$B,0),3))))</f>
        <v/>
      </c>
      <c r="E479" s="2" t="str">
        <f t="array" ref="E479">IF(NOW()&gt;AP479,"",IF(AND((WEEKDAY($A479)+$B$2)&gt;1,((WEEKDAY($A479)+$T$2)&lt;7),(WEEKDAY($A479)&lt;&gt;1)),"work",(INDEX(Subject!$A:$I,MATCH(RANDBETWEEN(1,(MAX(Subject!$B:$B))),Subject!$B:$B,0),3))))</f>
        <v/>
      </c>
      <c r="F479" s="2" t="str">
        <f t="array" ref="F479">IF(NOW()&gt;AQ479,"",IF(AND((WEEKDAY($A479)+$B$2)&gt;1,((WEEKDAY($A479)+$T$2)&lt;7),(WEEKDAY($A479)&lt;&gt;1)),"work",(INDEX(Subject!$A:$I,MATCH(RANDBETWEEN(1,(MAX(Subject!$B:$B))),Subject!$B:$B,0),3))))</f>
        <v/>
      </c>
      <c r="G479" s="2" t="str">
        <f t="array" ref="G479">IF(NOW()&gt;AR479,"",IF(AND((WEEKDAY($A479)+$B$2)&gt;1,((WEEKDAY($A479)+$T$2)&lt;7),(WEEKDAY($A479)&lt;&gt;1)),"work",(INDEX(Subject!$A:$I,MATCH(RANDBETWEEN(1,(MAX(Subject!$B:$B))),Subject!$B:$B,0),3))))</f>
        <v/>
      </c>
      <c r="H479" s="2" t="str">
        <f t="array" ref="H479">IF(NOW()&gt;AS479,"",IF(AND((WEEKDAY($A479)+$B$2)&gt;1,((WEEKDAY($A479)+$T$2)&lt;7),(WEEKDAY($A479)&lt;&gt;1)),"work",(INDEX(Subject!$A:$I,MATCH(RANDBETWEEN(1,(MAX(Subject!$B:$B))),Subject!$B:$B,0),3))))</f>
        <v/>
      </c>
      <c r="I479" s="2" t="str">
        <f t="array" ref="I479">IF(NOW()&gt;AT479,"",IF(AND((WEEKDAY($A479)+$B$2)&gt;1,((WEEKDAY($A479)+$T$2)&lt;7),(WEEKDAY($A479)&lt;&gt;1)),"work",(INDEX(Subject!$A:$I,MATCH(RANDBETWEEN(1,(MAX(Subject!$B:$B))),Subject!$B:$B,0),3))))</f>
        <v/>
      </c>
      <c r="J479" s="2" t="str">
        <f t="array" ref="J479">IF(NOW()&gt;AU479,"",IF(AND((WEEKDAY($A479)+$B$2)&gt;1,((WEEKDAY($A479)+$T$2)&lt;7),(WEEKDAY($A479)&lt;&gt;1)),"work",(INDEX(Subject!$A:$I,MATCH(RANDBETWEEN(1,(MAX(Subject!$B:$B))),Subject!$B:$B,0),3))))</f>
        <v/>
      </c>
      <c r="K479" s="2" t="str">
        <f t="array" ref="K479">IF(NOW()&gt;AV479,"",IF(AND((WEEKDAY($A479)+$B$2)&gt;1,((WEEKDAY($A479)+$T$2)&lt;7),(WEEKDAY($A479)&lt;&gt;1)),"work",(INDEX(Subject!$A:$I,MATCH(RANDBETWEEN(1,(MAX(Subject!$B:$B))),Subject!$B:$B,0),3))))</f>
        <v/>
      </c>
      <c r="L479" s="2" t="str">
        <f t="array" ref="L479">IF(NOW()&gt;AW479,"",IF(AND((WEEKDAY($A479)+$B$2)&gt;1,((WEEKDAY($A479)+$T$2)&lt;7),(WEEKDAY($A479)&lt;&gt;1)),"work",(INDEX(Subject!$A:$I,MATCH(RANDBETWEEN(1,(MAX(Subject!$B:$B))),Subject!$B:$B,0),3))))</f>
        <v/>
      </c>
      <c r="M479" s="2" t="str">
        <f t="array" ref="M479">IF(NOW()&gt;AX479,"",IF(AND((WEEKDAY($A479)+$B$2)&gt;1,((WEEKDAY($A479)+$T$2)&lt;7),(WEEKDAY($A479)&lt;&gt;1)),"work",(INDEX(Subject!$A:$I,MATCH(RANDBETWEEN(1,(MAX(Subject!$B:$B))),Subject!$B:$B,0),3))))</f>
        <v/>
      </c>
      <c r="N479" s="2" t="str">
        <f t="array" ref="N479">IF(NOW()&gt;AY479,"",IF(AND((WEEKDAY($A479)+$B$2)&gt;1,((WEEKDAY($A479)+$T$2)&lt;7),(WEEKDAY($A479)&lt;&gt;1)),"work",(INDEX(Subject!$A:$I,MATCH(RANDBETWEEN(1,(MAX(Subject!$B:$B))),Subject!$B:$B,0),3))))</f>
        <v/>
      </c>
      <c r="O479" s="2" t="str">
        <f t="array" ref="O479">IF(NOW()&gt;AZ479,"",IF(AND((WEEKDAY($A479)+$B$2)&gt;1,((WEEKDAY($A479)+$T$2)&lt;7),(WEEKDAY($A479)&lt;&gt;1)),"work",(INDEX(Subject!$A:$I,MATCH(RANDBETWEEN(1,(MAX(Subject!$B:$B))),Subject!$B:$B,0),3))))</f>
        <v/>
      </c>
      <c r="P479" s="2" t="str">
        <f t="array" ref="P479">IF(NOW()&gt;BA479,"",IF(AND((WEEKDAY($A479)+$B$2)&gt;1,((WEEKDAY($A479)+$T$2)&lt;7),(WEEKDAY($A479)&lt;&gt;1)),"work",(INDEX(Subject!$A:$I,MATCH(RANDBETWEEN(1,(MAX(Subject!$B:$B))),Subject!$B:$B,0),3))))</f>
        <v/>
      </c>
      <c r="Q479" s="2" t="str">
        <f t="array" ref="Q479">IF(NOW()&gt;BB479,"",IF(AND((WEEKDAY($A479)+$B$2)&gt;1,((WEEKDAY($A479)+$T$2)&lt;7),(WEEKDAY($A479)&lt;&gt;1)),"work",(INDEX(Subject!$A:$I,MATCH(RANDBETWEEN(1,(MAX(Subject!$B:$B))),Subject!$B:$B,0),3))))</f>
        <v/>
      </c>
      <c r="R479" s="2" t="str">
        <f t="array" ref="R479">IF(NOW()&gt;BC479,"",IF(AND((WEEKDAY($A479)+$B$2)&gt;1,((WEEKDAY($A479)+$T$2)&lt;7),(WEEKDAY($A479)&lt;&gt;1)),"work",(INDEX(Subject!$A:$I,MATCH(RANDBETWEEN(1,(MAX(Subject!$B:$B))),Subject!$B:$B,0),3))))</f>
        <v/>
      </c>
      <c r="S479" s="2" t="str">
        <f t="array" ref="S479">IF(NOW()&gt;BD479,"",IF(AND((WEEKDAY($A479)+$B$2)&gt;1,((WEEKDAY($A479)+$T$2)&lt;7),(WEEKDAY($A479)&lt;&gt;1)),"work",(INDEX(Subject!$A:$I,MATCH(RANDBETWEEN(1,(MAX(Subject!$B:$B))),Subject!$B:$B,0),3))))</f>
        <v/>
      </c>
      <c r="T479" s="2" t="str">
        <f t="array" ref="T479">IF(NOW()&gt;BE479,"",IF(AND((WEEKDAY($A479)+$B$2)&gt;1,((WEEKDAY($A479)+$T$2)&lt;7),(WEEKDAY($A479)&lt;&gt;1)),"work",(INDEX(Subject!$A:$I,MATCH(RANDBETWEEN(1,(MAX(Subject!$B:$B))),Subject!$B:$B,0),3))))</f>
        <v/>
      </c>
      <c r="U479" s="8" t="str">
        <f t="array" ref="U479">INDEX(Subject!$A:$I,MATCH(RANDBETWEEN(1,16),Subject!$B:$B,0),3)</f>
        <v>#N/A</v>
      </c>
      <c r="V479" s="8" t="str">
        <f t="array" ref="V479">INDEX(Subject!$A:$I,MATCH(RANDBETWEEN(1,16),Subject!$B:$B,0),3)</f>
        <v>#N/A</v>
      </c>
      <c r="W479" s="8" t="str">
        <f t="array" ref="W479">INDEX(Subject!$A:$I,MATCH(RANDBETWEEN(1,16),Subject!$B:$B,0),3)</f>
        <v>#N/A</v>
      </c>
      <c r="X479" s="8" t="str">
        <f t="array" ref="X479">INDEX(Subject!$A:$I,MATCH(RANDBETWEEN(1,16),Subject!$B:$B,0),3)</f>
        <v>#N/A</v>
      </c>
      <c r="Y479" s="8" t="str">
        <f t="array" ref="Y479">INDEX(Subject!$A:$I,MATCH(RANDBETWEEN(1,16),Subject!$B:$B,0),3)</f>
        <v>#N/A</v>
      </c>
      <c r="Z479" s="8" t="str">
        <f t="array" ref="Z479">INDEX(Subject!$A:$I,MATCH(RANDBETWEEN(1,16),Subject!$B:$B,0),3)</f>
        <v>#N/A</v>
      </c>
      <c r="AA479" s="8" t="str">
        <f t="array" ref="AA479">INDEX(Subject!$A:$I,MATCH(RANDBETWEEN(1,16),Subject!$B:$B,0),3)</f>
        <v>#N/A</v>
      </c>
      <c r="AB479" s="8" t="str">
        <f t="array" ref="AB479">INDEX(Subject!$A:$I,MATCH(RANDBETWEEN(1,16),Subject!$B:$B,0),3)</f>
        <v>#N/A</v>
      </c>
      <c r="AC479" s="8" t="str">
        <f t="array" ref="AC479">INDEX(Subject!$A:$I,MATCH(RANDBETWEEN(1,16),Subject!$B:$B,0),3)</f>
        <v>#N/A</v>
      </c>
      <c r="AD479" s="8" t="str">
        <f t="array" ref="AD479">INDEX(Subject!$A:$I,MATCH(RANDBETWEEN(1,16),Subject!$B:$B,0),3)</f>
        <v>#N/A</v>
      </c>
      <c r="AE479" s="8" t="str">
        <f t="array" ref="AE479">INDEX(Subject!$A:$I,MATCH(RANDBETWEEN(1,16),Subject!$B:$B,0),3)</f>
        <v>#N/A</v>
      </c>
      <c r="AF479" s="8" t="str">
        <f t="array" ref="AF479">INDEX(Subject!$A:$I,MATCH(RANDBETWEEN(1,16),Subject!$B:$B,0),3)</f>
        <v>#N/A</v>
      </c>
      <c r="AG479" s="8" t="str">
        <f t="array" ref="AG479">INDEX(Subject!$A:$I,MATCH(RANDBETWEEN(1,16),Subject!$B:$B,0),3)</f>
        <v>#N/A</v>
      </c>
      <c r="AH479" s="8" t="str">
        <f t="array" ref="AH479">INDEX(Subject!$A:$I,MATCH(RANDBETWEEN(1,16),Subject!$B:$B,0),3)</f>
        <v>#N/A</v>
      </c>
      <c r="AI479" s="8" t="str">
        <f t="array" ref="AI479">INDEX(Subject!$A:$I,MATCH(RANDBETWEEN(1,16),Subject!$B:$B,0),3)</f>
        <v>#N/A</v>
      </c>
      <c r="AJ479" s="8" t="str">
        <f t="array" ref="AJ479">INDEX(Subject!$A:$I,MATCH(RANDBETWEEN(1,16),Subject!$B:$B,0),3)</f>
        <v>#N/A</v>
      </c>
      <c r="AK479" s="8" t="str">
        <f t="array" ref="AK479">INDEX(Subject!$A:$I,MATCH(RANDBETWEEN(1,16),Subject!$B:$B,0),3)</f>
        <v>#N/A</v>
      </c>
      <c r="AL479" s="8" t="str">
        <f t="array" ref="AL479">INDEX(Subject!$A:$I,MATCH(RANDBETWEEN(1,16),Subject!$B:$B,0),3)</f>
        <v/>
      </c>
      <c r="AM479" s="18">
        <f t="shared" si="4"/>
        <v>45979.33333</v>
      </c>
      <c r="AN479" s="19">
        <f t="shared" ref="AN479:BZ479" si="479">$A479+C$1</f>
        <v>45979.35417</v>
      </c>
      <c r="AO479" s="19">
        <f t="shared" si="479"/>
        <v>45979.375</v>
      </c>
      <c r="AP479" s="19">
        <f t="shared" si="479"/>
        <v>45979.39583</v>
      </c>
      <c r="AQ479" s="19">
        <f t="shared" si="479"/>
        <v>45979.41667</v>
      </c>
      <c r="AR479" s="19">
        <f t="shared" si="479"/>
        <v>45979.4375</v>
      </c>
      <c r="AS479" s="19">
        <f t="shared" si="479"/>
        <v>45979.45833</v>
      </c>
      <c r="AT479" s="19">
        <f t="shared" si="479"/>
        <v>45979.47917</v>
      </c>
      <c r="AU479" s="19">
        <f t="shared" si="479"/>
        <v>45979.5</v>
      </c>
      <c r="AV479" s="19">
        <f t="shared" si="479"/>
        <v>45979.52083</v>
      </c>
      <c r="AW479" s="19">
        <f t="shared" si="479"/>
        <v>45979.54167</v>
      </c>
      <c r="AX479" s="19">
        <f t="shared" si="479"/>
        <v>45979.5625</v>
      </c>
      <c r="AY479" s="19">
        <f t="shared" si="479"/>
        <v>45979.58333</v>
      </c>
      <c r="AZ479" s="19">
        <f t="shared" si="479"/>
        <v>45979.60417</v>
      </c>
      <c r="BA479" s="19">
        <f t="shared" si="479"/>
        <v>45979.625</v>
      </c>
      <c r="BB479" s="19">
        <f t="shared" si="479"/>
        <v>45979.64583</v>
      </c>
      <c r="BC479" s="19">
        <f t="shared" si="479"/>
        <v>45979.66667</v>
      </c>
      <c r="BD479" s="19">
        <f t="shared" si="479"/>
        <v>45979.6875</v>
      </c>
      <c r="BE479" s="19">
        <f t="shared" si="479"/>
        <v>45979.70833</v>
      </c>
      <c r="BF479" s="19">
        <f t="shared" si="479"/>
        <v>45979.72917</v>
      </c>
      <c r="BG479" s="19">
        <f t="shared" si="479"/>
        <v>45979.75</v>
      </c>
      <c r="BH479" s="19">
        <f t="shared" si="479"/>
        <v>45979.77083</v>
      </c>
      <c r="BI479" s="19">
        <f t="shared" si="479"/>
        <v>45979.79167</v>
      </c>
      <c r="BJ479" s="19">
        <f t="shared" si="479"/>
        <v>45979.8125</v>
      </c>
      <c r="BK479" s="19">
        <f t="shared" si="479"/>
        <v>45979.83333</v>
      </c>
      <c r="BL479" s="19">
        <f t="shared" si="479"/>
        <v>45979.85417</v>
      </c>
      <c r="BM479" s="19">
        <f t="shared" si="479"/>
        <v>45979.875</v>
      </c>
      <c r="BN479" s="19">
        <f t="shared" si="479"/>
        <v>45979.89583</v>
      </c>
      <c r="BO479" s="19">
        <f t="shared" si="479"/>
        <v>45979.91667</v>
      </c>
      <c r="BP479" s="19">
        <f t="shared" si="479"/>
        <v>45979.9375</v>
      </c>
      <c r="BQ479" s="19">
        <f t="shared" si="479"/>
        <v>45979.95833</v>
      </c>
      <c r="BR479" s="19">
        <f t="shared" si="479"/>
        <v>45979.97917</v>
      </c>
      <c r="BS479" s="19">
        <f t="shared" si="479"/>
        <v>45980</v>
      </c>
      <c r="BT479" s="19">
        <f t="shared" si="479"/>
        <v>45980.02083</v>
      </c>
      <c r="BU479" s="19">
        <f t="shared" si="479"/>
        <v>45980.04167</v>
      </c>
      <c r="BV479" s="19">
        <f t="shared" si="479"/>
        <v>45980.0625</v>
      </c>
      <c r="BW479" s="19">
        <f t="shared" si="479"/>
        <v>45980.08333</v>
      </c>
      <c r="BX479" s="19">
        <f t="shared" si="479"/>
        <v>45979</v>
      </c>
      <c r="BY479" s="19">
        <f t="shared" si="479"/>
        <v>45979</v>
      </c>
      <c r="BZ479" s="19">
        <f t="shared" si="479"/>
        <v>45979</v>
      </c>
    </row>
    <row r="480" ht="14.25" customHeight="1">
      <c r="A480" s="17">
        <v>45980.0</v>
      </c>
      <c r="B480" s="2" t="str">
        <f t="array" ref="B480">IF(NOW()&gt;AM480,"",IF(AND((WEEKDAY($A480)+$B$2)&gt;1,((WEEKDAY($A480)+$T$2)&lt;7),(WEEKDAY($A480)&lt;&gt;1)),"work",(INDEX(Subject!$A:$I,MATCH(RANDBETWEEN(1,(MAX(Subject!$B:$B))),Subject!$B:$B,0),3))))</f>
        <v/>
      </c>
      <c r="C480" s="2" t="str">
        <f t="array" ref="C480">IF(NOW()&gt;AN480,"",IF(AND((WEEKDAY($A480)+$B$2)&gt;1,((WEEKDAY($A480)+$T$2)&lt;7),(WEEKDAY($A480)&lt;&gt;1)),"work",(INDEX(Subject!$A:$I,MATCH(RANDBETWEEN(1,(MAX(Subject!$B:$B))),Subject!$B:$B,0),3))))</f>
        <v/>
      </c>
      <c r="D480" s="2" t="str">
        <f t="array" ref="D480">IF(NOW()&gt;AO480,"",IF(AND((WEEKDAY($A480)+$B$2)&gt;1,((WEEKDAY($A480)+$T$2)&lt;7),(WEEKDAY($A480)&lt;&gt;1)),"work",(INDEX(Subject!$A:$I,MATCH(RANDBETWEEN(1,(MAX(Subject!$B:$B))),Subject!$B:$B,0),3))))</f>
        <v/>
      </c>
      <c r="E480" s="2" t="str">
        <f t="array" ref="E480">IF(NOW()&gt;AP480,"",IF(AND((WEEKDAY($A480)+$B$2)&gt;1,((WEEKDAY($A480)+$T$2)&lt;7),(WEEKDAY($A480)&lt;&gt;1)),"work",(INDEX(Subject!$A:$I,MATCH(RANDBETWEEN(1,(MAX(Subject!$B:$B))),Subject!$B:$B,0),3))))</f>
        <v/>
      </c>
      <c r="F480" s="2" t="str">
        <f t="array" ref="F480">IF(NOW()&gt;AQ480,"",IF(AND((WEEKDAY($A480)+$B$2)&gt;1,((WEEKDAY($A480)+$T$2)&lt;7),(WEEKDAY($A480)&lt;&gt;1)),"work",(INDEX(Subject!$A:$I,MATCH(RANDBETWEEN(1,(MAX(Subject!$B:$B))),Subject!$B:$B,0),3))))</f>
        <v/>
      </c>
      <c r="G480" s="2" t="str">
        <f t="array" ref="G480">IF(NOW()&gt;AR480,"",IF(AND((WEEKDAY($A480)+$B$2)&gt;1,((WEEKDAY($A480)+$T$2)&lt;7),(WEEKDAY($A480)&lt;&gt;1)),"work",(INDEX(Subject!$A:$I,MATCH(RANDBETWEEN(1,(MAX(Subject!$B:$B))),Subject!$B:$B,0),3))))</f>
        <v/>
      </c>
      <c r="H480" s="2" t="str">
        <f t="array" ref="H480">IF(NOW()&gt;AS480,"",IF(AND((WEEKDAY($A480)+$B$2)&gt;1,((WEEKDAY($A480)+$T$2)&lt;7),(WEEKDAY($A480)&lt;&gt;1)),"work",(INDEX(Subject!$A:$I,MATCH(RANDBETWEEN(1,(MAX(Subject!$B:$B))),Subject!$B:$B,0),3))))</f>
        <v/>
      </c>
      <c r="I480" s="2" t="str">
        <f t="array" ref="I480">IF(NOW()&gt;AT480,"",IF(AND((WEEKDAY($A480)+$B$2)&gt;1,((WEEKDAY($A480)+$T$2)&lt;7),(WEEKDAY($A480)&lt;&gt;1)),"work",(INDEX(Subject!$A:$I,MATCH(RANDBETWEEN(1,(MAX(Subject!$B:$B))),Subject!$B:$B,0),3))))</f>
        <v/>
      </c>
      <c r="J480" s="2" t="str">
        <f t="array" ref="J480">IF(NOW()&gt;AU480,"",IF(AND((WEEKDAY($A480)+$B$2)&gt;1,((WEEKDAY($A480)+$T$2)&lt;7),(WEEKDAY($A480)&lt;&gt;1)),"work",(INDEX(Subject!$A:$I,MATCH(RANDBETWEEN(1,(MAX(Subject!$B:$B))),Subject!$B:$B,0),3))))</f>
        <v/>
      </c>
      <c r="K480" s="2" t="str">
        <f t="array" ref="K480">IF(NOW()&gt;AV480,"",IF(AND((WEEKDAY($A480)+$B$2)&gt;1,((WEEKDAY($A480)+$T$2)&lt;7),(WEEKDAY($A480)&lt;&gt;1)),"work",(INDEX(Subject!$A:$I,MATCH(RANDBETWEEN(1,(MAX(Subject!$B:$B))),Subject!$B:$B,0),3))))</f>
        <v/>
      </c>
      <c r="L480" s="2" t="str">
        <f t="array" ref="L480">IF(NOW()&gt;AW480,"",IF(AND((WEEKDAY($A480)+$B$2)&gt;1,((WEEKDAY($A480)+$T$2)&lt;7),(WEEKDAY($A480)&lt;&gt;1)),"work",(INDEX(Subject!$A:$I,MATCH(RANDBETWEEN(1,(MAX(Subject!$B:$B))),Subject!$B:$B,0),3))))</f>
        <v/>
      </c>
      <c r="M480" s="2" t="str">
        <f t="array" ref="M480">IF(NOW()&gt;AX480,"",IF(AND((WEEKDAY($A480)+$B$2)&gt;1,((WEEKDAY($A480)+$T$2)&lt;7),(WEEKDAY($A480)&lt;&gt;1)),"work",(INDEX(Subject!$A:$I,MATCH(RANDBETWEEN(1,(MAX(Subject!$B:$B))),Subject!$B:$B,0),3))))</f>
        <v/>
      </c>
      <c r="N480" s="2" t="str">
        <f t="array" ref="N480">IF(NOW()&gt;AY480,"",IF(AND((WEEKDAY($A480)+$B$2)&gt;1,((WEEKDAY($A480)+$T$2)&lt;7),(WEEKDAY($A480)&lt;&gt;1)),"work",(INDEX(Subject!$A:$I,MATCH(RANDBETWEEN(1,(MAX(Subject!$B:$B))),Subject!$B:$B,0),3))))</f>
        <v/>
      </c>
      <c r="O480" s="2" t="str">
        <f t="array" ref="O480">IF(NOW()&gt;AZ480,"",IF(AND((WEEKDAY($A480)+$B$2)&gt;1,((WEEKDAY($A480)+$T$2)&lt;7),(WEEKDAY($A480)&lt;&gt;1)),"work",(INDEX(Subject!$A:$I,MATCH(RANDBETWEEN(1,(MAX(Subject!$B:$B))),Subject!$B:$B,0),3))))</f>
        <v/>
      </c>
      <c r="P480" s="2" t="str">
        <f t="array" ref="P480">IF(NOW()&gt;BA480,"",IF(AND((WEEKDAY($A480)+$B$2)&gt;1,((WEEKDAY($A480)+$T$2)&lt;7),(WEEKDAY($A480)&lt;&gt;1)),"work",(INDEX(Subject!$A:$I,MATCH(RANDBETWEEN(1,(MAX(Subject!$B:$B))),Subject!$B:$B,0),3))))</f>
        <v/>
      </c>
      <c r="Q480" s="2" t="str">
        <f t="array" ref="Q480">IF(NOW()&gt;BB480,"",IF(AND((WEEKDAY($A480)+$B$2)&gt;1,((WEEKDAY($A480)+$T$2)&lt;7),(WEEKDAY($A480)&lt;&gt;1)),"work",(INDEX(Subject!$A:$I,MATCH(RANDBETWEEN(1,(MAX(Subject!$B:$B))),Subject!$B:$B,0),3))))</f>
        <v/>
      </c>
      <c r="R480" s="2" t="str">
        <f t="array" ref="R480">IF(NOW()&gt;BC480,"",IF(AND((WEEKDAY($A480)+$B$2)&gt;1,((WEEKDAY($A480)+$T$2)&lt;7),(WEEKDAY($A480)&lt;&gt;1)),"work",(INDEX(Subject!$A:$I,MATCH(RANDBETWEEN(1,(MAX(Subject!$B:$B))),Subject!$B:$B,0),3))))</f>
        <v/>
      </c>
      <c r="S480" s="2" t="str">
        <f t="array" ref="S480">IF(NOW()&gt;BD480,"",IF(AND((WEEKDAY($A480)+$B$2)&gt;1,((WEEKDAY($A480)+$T$2)&lt;7),(WEEKDAY($A480)&lt;&gt;1)),"work",(INDEX(Subject!$A:$I,MATCH(RANDBETWEEN(1,(MAX(Subject!$B:$B))),Subject!$B:$B,0),3))))</f>
        <v/>
      </c>
      <c r="T480" s="2" t="str">
        <f t="array" ref="T480">IF(NOW()&gt;BE480,"",IF(AND((WEEKDAY($A480)+$B$2)&gt;1,((WEEKDAY($A480)+$T$2)&lt;7),(WEEKDAY($A480)&lt;&gt;1)),"work",(INDEX(Subject!$A:$I,MATCH(RANDBETWEEN(1,(MAX(Subject!$B:$B))),Subject!$B:$B,0),3))))</f>
        <v/>
      </c>
      <c r="U480" s="8" t="str">
        <f t="array" ref="U480">INDEX(Subject!$A:$I,MATCH(RANDBETWEEN(1,16),Subject!$B:$B,0),3)</f>
        <v>#N/A</v>
      </c>
      <c r="V480" s="8" t="str">
        <f t="array" ref="V480">INDEX(Subject!$A:$I,MATCH(RANDBETWEEN(1,16),Subject!$B:$B,0),3)</f>
        <v>#N/A</v>
      </c>
      <c r="W480" s="8" t="str">
        <f t="array" ref="W480">INDEX(Subject!$A:$I,MATCH(RANDBETWEEN(1,16),Subject!$B:$B,0),3)</f>
        <v>#N/A</v>
      </c>
      <c r="X480" s="8" t="str">
        <f t="array" ref="X480">INDEX(Subject!$A:$I,MATCH(RANDBETWEEN(1,16),Subject!$B:$B,0),3)</f>
        <v>#N/A</v>
      </c>
      <c r="Y480" s="8" t="str">
        <f t="array" ref="Y480">INDEX(Subject!$A:$I,MATCH(RANDBETWEEN(1,16),Subject!$B:$B,0),3)</f>
        <v>#N/A</v>
      </c>
      <c r="Z480" s="8" t="str">
        <f t="array" ref="Z480">INDEX(Subject!$A:$I,MATCH(RANDBETWEEN(1,16),Subject!$B:$B,0),3)</f>
        <v>#N/A</v>
      </c>
      <c r="AA480" s="8" t="str">
        <f t="array" ref="AA480">INDEX(Subject!$A:$I,MATCH(RANDBETWEEN(1,16),Subject!$B:$B,0),3)</f>
        <v>#N/A</v>
      </c>
      <c r="AB480" s="8" t="str">
        <f t="array" ref="AB480">INDEX(Subject!$A:$I,MATCH(RANDBETWEEN(1,16),Subject!$B:$B,0),3)</f>
        <v>#N/A</v>
      </c>
      <c r="AC480" s="8" t="str">
        <f t="array" ref="AC480">INDEX(Subject!$A:$I,MATCH(RANDBETWEEN(1,16),Subject!$B:$B,0),3)</f>
        <v>#N/A</v>
      </c>
      <c r="AD480" s="8" t="str">
        <f t="array" ref="AD480">INDEX(Subject!$A:$I,MATCH(RANDBETWEEN(1,16),Subject!$B:$B,0),3)</f>
        <v>#N/A</v>
      </c>
      <c r="AE480" s="8" t="str">
        <f t="array" ref="AE480">INDEX(Subject!$A:$I,MATCH(RANDBETWEEN(1,16),Subject!$B:$B,0),3)</f>
        <v>#N/A</v>
      </c>
      <c r="AF480" s="8" t="str">
        <f t="array" ref="AF480">INDEX(Subject!$A:$I,MATCH(RANDBETWEEN(1,16),Subject!$B:$B,0),3)</f>
        <v>#N/A</v>
      </c>
      <c r="AG480" s="8" t="str">
        <f t="array" ref="AG480">INDEX(Subject!$A:$I,MATCH(RANDBETWEEN(1,16),Subject!$B:$B,0),3)</f>
        <v>#N/A</v>
      </c>
      <c r="AH480" s="8" t="str">
        <f t="array" ref="AH480">INDEX(Subject!$A:$I,MATCH(RANDBETWEEN(1,16),Subject!$B:$B,0),3)</f>
        <v>#N/A</v>
      </c>
      <c r="AI480" s="8" t="str">
        <f t="array" ref="AI480">INDEX(Subject!$A:$I,MATCH(RANDBETWEEN(1,16),Subject!$B:$B,0),3)</f>
        <v>#N/A</v>
      </c>
      <c r="AJ480" s="8" t="str">
        <f t="array" ref="AJ480">INDEX(Subject!$A:$I,MATCH(RANDBETWEEN(1,16),Subject!$B:$B,0),3)</f>
        <v>#N/A</v>
      </c>
      <c r="AK480" s="8" t="str">
        <f t="array" ref="AK480">INDEX(Subject!$A:$I,MATCH(RANDBETWEEN(1,16),Subject!$B:$B,0),3)</f>
        <v>#N/A</v>
      </c>
      <c r="AL480" s="8" t="str">
        <f t="array" ref="AL480">INDEX(Subject!$A:$I,MATCH(RANDBETWEEN(1,16),Subject!$B:$B,0),3)</f>
        <v>#N/A</v>
      </c>
      <c r="AM480" s="18">
        <f t="shared" si="4"/>
        <v>45980.33333</v>
      </c>
      <c r="AN480" s="19">
        <f t="shared" ref="AN480:BZ480" si="480">$A480+C$1</f>
        <v>45980.35417</v>
      </c>
      <c r="AO480" s="19">
        <f t="shared" si="480"/>
        <v>45980.375</v>
      </c>
      <c r="AP480" s="19">
        <f t="shared" si="480"/>
        <v>45980.39583</v>
      </c>
      <c r="AQ480" s="19">
        <f t="shared" si="480"/>
        <v>45980.41667</v>
      </c>
      <c r="AR480" s="19">
        <f t="shared" si="480"/>
        <v>45980.4375</v>
      </c>
      <c r="AS480" s="19">
        <f t="shared" si="480"/>
        <v>45980.45833</v>
      </c>
      <c r="AT480" s="19">
        <f t="shared" si="480"/>
        <v>45980.47917</v>
      </c>
      <c r="AU480" s="19">
        <f t="shared" si="480"/>
        <v>45980.5</v>
      </c>
      <c r="AV480" s="19">
        <f t="shared" si="480"/>
        <v>45980.52083</v>
      </c>
      <c r="AW480" s="19">
        <f t="shared" si="480"/>
        <v>45980.54167</v>
      </c>
      <c r="AX480" s="19">
        <f t="shared" si="480"/>
        <v>45980.5625</v>
      </c>
      <c r="AY480" s="19">
        <f t="shared" si="480"/>
        <v>45980.58333</v>
      </c>
      <c r="AZ480" s="19">
        <f t="shared" si="480"/>
        <v>45980.60417</v>
      </c>
      <c r="BA480" s="19">
        <f t="shared" si="480"/>
        <v>45980.625</v>
      </c>
      <c r="BB480" s="19">
        <f t="shared" si="480"/>
        <v>45980.64583</v>
      </c>
      <c r="BC480" s="19">
        <f t="shared" si="480"/>
        <v>45980.66667</v>
      </c>
      <c r="BD480" s="19">
        <f t="shared" si="480"/>
        <v>45980.6875</v>
      </c>
      <c r="BE480" s="19">
        <f t="shared" si="480"/>
        <v>45980.70833</v>
      </c>
      <c r="BF480" s="19">
        <f t="shared" si="480"/>
        <v>45980.72917</v>
      </c>
      <c r="BG480" s="19">
        <f t="shared" si="480"/>
        <v>45980.75</v>
      </c>
      <c r="BH480" s="19">
        <f t="shared" si="480"/>
        <v>45980.77083</v>
      </c>
      <c r="BI480" s="19">
        <f t="shared" si="480"/>
        <v>45980.79167</v>
      </c>
      <c r="BJ480" s="19">
        <f t="shared" si="480"/>
        <v>45980.8125</v>
      </c>
      <c r="BK480" s="19">
        <f t="shared" si="480"/>
        <v>45980.83333</v>
      </c>
      <c r="BL480" s="19">
        <f t="shared" si="480"/>
        <v>45980.85417</v>
      </c>
      <c r="BM480" s="19">
        <f t="shared" si="480"/>
        <v>45980.875</v>
      </c>
      <c r="BN480" s="19">
        <f t="shared" si="480"/>
        <v>45980.89583</v>
      </c>
      <c r="BO480" s="19">
        <f t="shared" si="480"/>
        <v>45980.91667</v>
      </c>
      <c r="BP480" s="19">
        <f t="shared" si="480"/>
        <v>45980.9375</v>
      </c>
      <c r="BQ480" s="19">
        <f t="shared" si="480"/>
        <v>45980.95833</v>
      </c>
      <c r="BR480" s="19">
        <f t="shared" si="480"/>
        <v>45980.97917</v>
      </c>
      <c r="BS480" s="19">
        <f t="shared" si="480"/>
        <v>45981</v>
      </c>
      <c r="BT480" s="19">
        <f t="shared" si="480"/>
        <v>45981.02083</v>
      </c>
      <c r="BU480" s="19">
        <f t="shared" si="480"/>
        <v>45981.04167</v>
      </c>
      <c r="BV480" s="19">
        <f t="shared" si="480"/>
        <v>45981.0625</v>
      </c>
      <c r="BW480" s="19">
        <f t="shared" si="480"/>
        <v>45981.08333</v>
      </c>
      <c r="BX480" s="19">
        <f t="shared" si="480"/>
        <v>45980</v>
      </c>
      <c r="BY480" s="19">
        <f t="shared" si="480"/>
        <v>45980</v>
      </c>
      <c r="BZ480" s="19">
        <f t="shared" si="480"/>
        <v>45980</v>
      </c>
    </row>
    <row r="481" ht="14.25" customHeight="1">
      <c r="A481" s="17">
        <v>45981.0</v>
      </c>
      <c r="B481" s="2" t="str">
        <f t="array" ref="B481">IF(NOW()&gt;AM481,"",IF(AND((WEEKDAY($A481)+$B$2)&gt;1,((WEEKDAY($A481)+$T$2)&lt;7),(WEEKDAY($A481)&lt;&gt;1)),"work",(INDEX(Subject!$A:$I,MATCH(RANDBETWEEN(1,(MAX(Subject!$B:$B))),Subject!$B:$B,0),3))))</f>
        <v/>
      </c>
      <c r="C481" s="2" t="str">
        <f t="array" ref="C481">IF(NOW()&gt;AN481,"",IF(AND((WEEKDAY($A481)+$B$2)&gt;1,((WEEKDAY($A481)+$T$2)&lt;7),(WEEKDAY($A481)&lt;&gt;1)),"work",(INDEX(Subject!$A:$I,MATCH(RANDBETWEEN(1,(MAX(Subject!$B:$B))),Subject!$B:$B,0),3))))</f>
        <v/>
      </c>
      <c r="D481" s="2" t="str">
        <f t="array" ref="D481">IF(NOW()&gt;AO481,"",IF(AND((WEEKDAY($A481)+$B$2)&gt;1,((WEEKDAY($A481)+$T$2)&lt;7),(WEEKDAY($A481)&lt;&gt;1)),"work",(INDEX(Subject!$A:$I,MATCH(RANDBETWEEN(1,(MAX(Subject!$B:$B))),Subject!$B:$B,0),3))))</f>
        <v/>
      </c>
      <c r="E481" s="2" t="str">
        <f t="array" ref="E481">IF(NOW()&gt;AP481,"",IF(AND((WEEKDAY($A481)+$B$2)&gt;1,((WEEKDAY($A481)+$T$2)&lt;7),(WEEKDAY($A481)&lt;&gt;1)),"work",(INDEX(Subject!$A:$I,MATCH(RANDBETWEEN(1,(MAX(Subject!$B:$B))),Subject!$B:$B,0),3))))</f>
        <v/>
      </c>
      <c r="F481" s="2" t="str">
        <f t="array" ref="F481">IF(NOW()&gt;AQ481,"",IF(AND((WEEKDAY($A481)+$B$2)&gt;1,((WEEKDAY($A481)+$T$2)&lt;7),(WEEKDAY($A481)&lt;&gt;1)),"work",(INDEX(Subject!$A:$I,MATCH(RANDBETWEEN(1,(MAX(Subject!$B:$B))),Subject!$B:$B,0),3))))</f>
        <v/>
      </c>
      <c r="G481" s="2" t="str">
        <f t="array" ref="G481">IF(NOW()&gt;AR481,"",IF(AND((WEEKDAY($A481)+$B$2)&gt;1,((WEEKDAY($A481)+$T$2)&lt;7),(WEEKDAY($A481)&lt;&gt;1)),"work",(INDEX(Subject!$A:$I,MATCH(RANDBETWEEN(1,(MAX(Subject!$B:$B))),Subject!$B:$B,0),3))))</f>
        <v/>
      </c>
      <c r="H481" s="2" t="str">
        <f t="array" ref="H481">IF(NOW()&gt;AS481,"",IF(AND((WEEKDAY($A481)+$B$2)&gt;1,((WEEKDAY($A481)+$T$2)&lt;7),(WEEKDAY($A481)&lt;&gt;1)),"work",(INDEX(Subject!$A:$I,MATCH(RANDBETWEEN(1,(MAX(Subject!$B:$B))),Subject!$B:$B,0),3))))</f>
        <v/>
      </c>
      <c r="I481" s="2" t="str">
        <f t="array" ref="I481">IF(NOW()&gt;AT481,"",IF(AND((WEEKDAY($A481)+$B$2)&gt;1,((WEEKDAY($A481)+$T$2)&lt;7),(WEEKDAY($A481)&lt;&gt;1)),"work",(INDEX(Subject!$A:$I,MATCH(RANDBETWEEN(1,(MAX(Subject!$B:$B))),Subject!$B:$B,0),3))))</f>
        <v/>
      </c>
      <c r="J481" s="2" t="str">
        <f t="array" ref="J481">IF(NOW()&gt;AU481,"",IF(AND((WEEKDAY($A481)+$B$2)&gt;1,((WEEKDAY($A481)+$T$2)&lt;7),(WEEKDAY($A481)&lt;&gt;1)),"work",(INDEX(Subject!$A:$I,MATCH(RANDBETWEEN(1,(MAX(Subject!$B:$B))),Subject!$B:$B,0),3))))</f>
        <v/>
      </c>
      <c r="K481" s="2" t="str">
        <f t="array" ref="K481">IF(NOW()&gt;AV481,"",IF(AND((WEEKDAY($A481)+$B$2)&gt;1,((WEEKDAY($A481)+$T$2)&lt;7),(WEEKDAY($A481)&lt;&gt;1)),"work",(INDEX(Subject!$A:$I,MATCH(RANDBETWEEN(1,(MAX(Subject!$B:$B))),Subject!$B:$B,0),3))))</f>
        <v/>
      </c>
      <c r="L481" s="2" t="str">
        <f t="array" ref="L481">IF(NOW()&gt;AW481,"",IF(AND((WEEKDAY($A481)+$B$2)&gt;1,((WEEKDAY($A481)+$T$2)&lt;7),(WEEKDAY($A481)&lt;&gt;1)),"work",(INDEX(Subject!$A:$I,MATCH(RANDBETWEEN(1,(MAX(Subject!$B:$B))),Subject!$B:$B,0),3))))</f>
        <v/>
      </c>
      <c r="M481" s="2" t="str">
        <f t="array" ref="M481">IF(NOW()&gt;AX481,"",IF(AND((WEEKDAY($A481)+$B$2)&gt;1,((WEEKDAY($A481)+$T$2)&lt;7),(WEEKDAY($A481)&lt;&gt;1)),"work",(INDEX(Subject!$A:$I,MATCH(RANDBETWEEN(1,(MAX(Subject!$B:$B))),Subject!$B:$B,0),3))))</f>
        <v/>
      </c>
      <c r="N481" s="2" t="str">
        <f t="array" ref="N481">IF(NOW()&gt;AY481,"",IF(AND((WEEKDAY($A481)+$B$2)&gt;1,((WEEKDAY($A481)+$T$2)&lt;7),(WEEKDAY($A481)&lt;&gt;1)),"work",(INDEX(Subject!$A:$I,MATCH(RANDBETWEEN(1,(MAX(Subject!$B:$B))),Subject!$B:$B,0),3))))</f>
        <v/>
      </c>
      <c r="O481" s="2" t="str">
        <f t="array" ref="O481">IF(NOW()&gt;AZ481,"",IF(AND((WEEKDAY($A481)+$B$2)&gt;1,((WEEKDAY($A481)+$T$2)&lt;7),(WEEKDAY($A481)&lt;&gt;1)),"work",(INDEX(Subject!$A:$I,MATCH(RANDBETWEEN(1,(MAX(Subject!$B:$B))),Subject!$B:$B,0),3))))</f>
        <v/>
      </c>
      <c r="P481" s="2" t="str">
        <f t="array" ref="P481">IF(NOW()&gt;BA481,"",IF(AND((WEEKDAY($A481)+$B$2)&gt;1,((WEEKDAY($A481)+$T$2)&lt;7),(WEEKDAY($A481)&lt;&gt;1)),"work",(INDEX(Subject!$A:$I,MATCH(RANDBETWEEN(1,(MAX(Subject!$B:$B))),Subject!$B:$B,0),3))))</f>
        <v/>
      </c>
      <c r="Q481" s="2" t="str">
        <f t="array" ref="Q481">IF(NOW()&gt;BB481,"",IF(AND((WEEKDAY($A481)+$B$2)&gt;1,((WEEKDAY($A481)+$T$2)&lt;7),(WEEKDAY($A481)&lt;&gt;1)),"work",(INDEX(Subject!$A:$I,MATCH(RANDBETWEEN(1,(MAX(Subject!$B:$B))),Subject!$B:$B,0),3))))</f>
        <v/>
      </c>
      <c r="R481" s="2" t="str">
        <f t="array" ref="R481">IF(NOW()&gt;BC481,"",IF(AND((WEEKDAY($A481)+$B$2)&gt;1,((WEEKDAY($A481)+$T$2)&lt;7),(WEEKDAY($A481)&lt;&gt;1)),"work",(INDEX(Subject!$A:$I,MATCH(RANDBETWEEN(1,(MAX(Subject!$B:$B))),Subject!$B:$B,0),3))))</f>
        <v/>
      </c>
      <c r="S481" s="2" t="str">
        <f t="array" ref="S481">IF(NOW()&gt;BD481,"",IF(AND((WEEKDAY($A481)+$B$2)&gt;1,((WEEKDAY($A481)+$T$2)&lt;7),(WEEKDAY($A481)&lt;&gt;1)),"work",(INDEX(Subject!$A:$I,MATCH(RANDBETWEEN(1,(MAX(Subject!$B:$B))),Subject!$B:$B,0),3))))</f>
        <v/>
      </c>
      <c r="T481" s="2" t="str">
        <f t="array" ref="T481">IF(NOW()&gt;BE481,"",IF(AND((WEEKDAY($A481)+$B$2)&gt;1,((WEEKDAY($A481)+$T$2)&lt;7),(WEEKDAY($A481)&lt;&gt;1)),"work",(INDEX(Subject!$A:$I,MATCH(RANDBETWEEN(1,(MAX(Subject!$B:$B))),Subject!$B:$B,0),3))))</f>
        <v/>
      </c>
      <c r="U481" s="8" t="str">
        <f t="array" ref="U481">INDEX(Subject!$A:$I,MATCH(RANDBETWEEN(1,16),Subject!$B:$B,0),3)</f>
        <v>#N/A</v>
      </c>
      <c r="V481" s="8" t="str">
        <f t="array" ref="V481">INDEX(Subject!$A:$I,MATCH(RANDBETWEEN(1,16),Subject!$B:$B,0),3)</f>
        <v>#N/A</v>
      </c>
      <c r="W481" s="8" t="str">
        <f t="array" ref="W481">INDEX(Subject!$A:$I,MATCH(RANDBETWEEN(1,16),Subject!$B:$B,0),3)</f>
        <v>#N/A</v>
      </c>
      <c r="X481" s="8" t="str">
        <f t="array" ref="X481">INDEX(Subject!$A:$I,MATCH(RANDBETWEEN(1,16),Subject!$B:$B,0),3)</f>
        <v>#N/A</v>
      </c>
      <c r="Y481" s="8" t="str">
        <f t="array" ref="Y481">INDEX(Subject!$A:$I,MATCH(RANDBETWEEN(1,16),Subject!$B:$B,0),3)</f>
        <v>#N/A</v>
      </c>
      <c r="Z481" s="8" t="str">
        <f t="array" ref="Z481">INDEX(Subject!$A:$I,MATCH(RANDBETWEEN(1,16),Subject!$B:$B,0),3)</f>
        <v>#N/A</v>
      </c>
      <c r="AA481" s="8" t="str">
        <f t="array" ref="AA481">INDEX(Subject!$A:$I,MATCH(RANDBETWEEN(1,16),Subject!$B:$B,0),3)</f>
        <v>#N/A</v>
      </c>
      <c r="AB481" s="8" t="str">
        <f t="array" ref="AB481">INDEX(Subject!$A:$I,MATCH(RANDBETWEEN(1,16),Subject!$B:$B,0),3)</f>
        <v>#N/A</v>
      </c>
      <c r="AC481" s="8" t="str">
        <f t="array" ref="AC481">INDEX(Subject!$A:$I,MATCH(RANDBETWEEN(1,16),Subject!$B:$B,0),3)</f>
        <v>#N/A</v>
      </c>
      <c r="AD481" s="8" t="str">
        <f t="array" ref="AD481">INDEX(Subject!$A:$I,MATCH(RANDBETWEEN(1,16),Subject!$B:$B,0),3)</f>
        <v>#N/A</v>
      </c>
      <c r="AE481" s="8" t="str">
        <f t="array" ref="AE481">INDEX(Subject!$A:$I,MATCH(RANDBETWEEN(1,16),Subject!$B:$B,0),3)</f>
        <v>#N/A</v>
      </c>
      <c r="AF481" s="8" t="str">
        <f t="array" ref="AF481">INDEX(Subject!$A:$I,MATCH(RANDBETWEEN(1,16),Subject!$B:$B,0),3)</f>
        <v>#N/A</v>
      </c>
      <c r="AG481" s="8" t="str">
        <f t="array" ref="AG481">INDEX(Subject!$A:$I,MATCH(RANDBETWEEN(1,16),Subject!$B:$B,0),3)</f>
        <v/>
      </c>
      <c r="AH481" s="8" t="str">
        <f t="array" ref="AH481">INDEX(Subject!$A:$I,MATCH(RANDBETWEEN(1,16),Subject!$B:$B,0),3)</f>
        <v>#N/A</v>
      </c>
      <c r="AI481" s="8" t="str">
        <f t="array" ref="AI481">INDEX(Subject!$A:$I,MATCH(RANDBETWEEN(1,16),Subject!$B:$B,0),3)</f>
        <v>#N/A</v>
      </c>
      <c r="AJ481" s="8" t="str">
        <f t="array" ref="AJ481">INDEX(Subject!$A:$I,MATCH(RANDBETWEEN(1,16),Subject!$B:$B,0),3)</f>
        <v>#N/A</v>
      </c>
      <c r="AK481" s="8" t="str">
        <f t="array" ref="AK481">INDEX(Subject!$A:$I,MATCH(RANDBETWEEN(1,16),Subject!$B:$B,0),3)</f>
        <v>#N/A</v>
      </c>
      <c r="AL481" s="8" t="str">
        <f t="array" ref="AL481">INDEX(Subject!$A:$I,MATCH(RANDBETWEEN(1,16),Subject!$B:$B,0),3)</f>
        <v/>
      </c>
      <c r="AM481" s="18">
        <f t="shared" si="4"/>
        <v>45981.33333</v>
      </c>
      <c r="AN481" s="19">
        <f t="shared" ref="AN481:BZ481" si="481">$A481+C$1</f>
        <v>45981.35417</v>
      </c>
      <c r="AO481" s="19">
        <f t="shared" si="481"/>
        <v>45981.375</v>
      </c>
      <c r="AP481" s="19">
        <f t="shared" si="481"/>
        <v>45981.39583</v>
      </c>
      <c r="AQ481" s="19">
        <f t="shared" si="481"/>
        <v>45981.41667</v>
      </c>
      <c r="AR481" s="19">
        <f t="shared" si="481"/>
        <v>45981.4375</v>
      </c>
      <c r="AS481" s="19">
        <f t="shared" si="481"/>
        <v>45981.45833</v>
      </c>
      <c r="AT481" s="19">
        <f t="shared" si="481"/>
        <v>45981.47917</v>
      </c>
      <c r="AU481" s="19">
        <f t="shared" si="481"/>
        <v>45981.5</v>
      </c>
      <c r="AV481" s="19">
        <f t="shared" si="481"/>
        <v>45981.52083</v>
      </c>
      <c r="AW481" s="19">
        <f t="shared" si="481"/>
        <v>45981.54167</v>
      </c>
      <c r="AX481" s="19">
        <f t="shared" si="481"/>
        <v>45981.5625</v>
      </c>
      <c r="AY481" s="19">
        <f t="shared" si="481"/>
        <v>45981.58333</v>
      </c>
      <c r="AZ481" s="19">
        <f t="shared" si="481"/>
        <v>45981.60417</v>
      </c>
      <c r="BA481" s="19">
        <f t="shared" si="481"/>
        <v>45981.625</v>
      </c>
      <c r="BB481" s="19">
        <f t="shared" si="481"/>
        <v>45981.64583</v>
      </c>
      <c r="BC481" s="19">
        <f t="shared" si="481"/>
        <v>45981.66667</v>
      </c>
      <c r="BD481" s="19">
        <f t="shared" si="481"/>
        <v>45981.6875</v>
      </c>
      <c r="BE481" s="19">
        <f t="shared" si="481"/>
        <v>45981.70833</v>
      </c>
      <c r="BF481" s="19">
        <f t="shared" si="481"/>
        <v>45981.72917</v>
      </c>
      <c r="BG481" s="19">
        <f t="shared" si="481"/>
        <v>45981.75</v>
      </c>
      <c r="BH481" s="19">
        <f t="shared" si="481"/>
        <v>45981.77083</v>
      </c>
      <c r="BI481" s="19">
        <f t="shared" si="481"/>
        <v>45981.79167</v>
      </c>
      <c r="BJ481" s="19">
        <f t="shared" si="481"/>
        <v>45981.8125</v>
      </c>
      <c r="BK481" s="19">
        <f t="shared" si="481"/>
        <v>45981.83333</v>
      </c>
      <c r="BL481" s="19">
        <f t="shared" si="481"/>
        <v>45981.85417</v>
      </c>
      <c r="BM481" s="19">
        <f t="shared" si="481"/>
        <v>45981.875</v>
      </c>
      <c r="BN481" s="19">
        <f t="shared" si="481"/>
        <v>45981.89583</v>
      </c>
      <c r="BO481" s="19">
        <f t="shared" si="481"/>
        <v>45981.91667</v>
      </c>
      <c r="BP481" s="19">
        <f t="shared" si="481"/>
        <v>45981.9375</v>
      </c>
      <c r="BQ481" s="19">
        <f t="shared" si="481"/>
        <v>45981.95833</v>
      </c>
      <c r="BR481" s="19">
        <f t="shared" si="481"/>
        <v>45981.97917</v>
      </c>
      <c r="BS481" s="19">
        <f t="shared" si="481"/>
        <v>45982</v>
      </c>
      <c r="BT481" s="19">
        <f t="shared" si="481"/>
        <v>45982.02083</v>
      </c>
      <c r="BU481" s="19">
        <f t="shared" si="481"/>
        <v>45982.04167</v>
      </c>
      <c r="BV481" s="19">
        <f t="shared" si="481"/>
        <v>45982.0625</v>
      </c>
      <c r="BW481" s="19">
        <f t="shared" si="481"/>
        <v>45982.08333</v>
      </c>
      <c r="BX481" s="19">
        <f t="shared" si="481"/>
        <v>45981</v>
      </c>
      <c r="BY481" s="19">
        <f t="shared" si="481"/>
        <v>45981</v>
      </c>
      <c r="BZ481" s="19">
        <f t="shared" si="481"/>
        <v>45981</v>
      </c>
    </row>
    <row r="482" ht="14.25" customHeight="1">
      <c r="A482" s="17">
        <v>45982.0</v>
      </c>
      <c r="B482" s="2" t="str">
        <f t="array" ref="B482">IF(NOW()&gt;AM482,"",IF(AND((WEEKDAY($A482)+$B$2)&gt;1,((WEEKDAY($A482)+$T$2)&lt;7),(WEEKDAY($A482)&lt;&gt;1)),"work",(INDEX(Subject!$A:$I,MATCH(RANDBETWEEN(1,(MAX(Subject!$B:$B))),Subject!$B:$B,0),3))))</f>
        <v/>
      </c>
      <c r="C482" s="2" t="str">
        <f t="array" ref="C482">IF(NOW()&gt;AN482,"",IF(AND((WEEKDAY($A482)+$B$2)&gt;1,((WEEKDAY($A482)+$T$2)&lt;7),(WEEKDAY($A482)&lt;&gt;1)),"work",(INDEX(Subject!$A:$I,MATCH(RANDBETWEEN(1,(MAX(Subject!$B:$B))),Subject!$B:$B,0),3))))</f>
        <v/>
      </c>
      <c r="D482" s="2" t="str">
        <f t="array" ref="D482">IF(NOW()&gt;AO482,"",IF(AND((WEEKDAY($A482)+$B$2)&gt;1,((WEEKDAY($A482)+$T$2)&lt;7),(WEEKDAY($A482)&lt;&gt;1)),"work",(INDEX(Subject!$A:$I,MATCH(RANDBETWEEN(1,(MAX(Subject!$B:$B))),Subject!$B:$B,0),3))))</f>
        <v/>
      </c>
      <c r="E482" s="2" t="str">
        <f t="array" ref="E482">IF(NOW()&gt;AP482,"",IF(AND((WEEKDAY($A482)+$B$2)&gt;1,((WEEKDAY($A482)+$T$2)&lt;7),(WEEKDAY($A482)&lt;&gt;1)),"work",(INDEX(Subject!$A:$I,MATCH(RANDBETWEEN(1,(MAX(Subject!$B:$B))),Subject!$B:$B,0),3))))</f>
        <v/>
      </c>
      <c r="F482" s="2" t="str">
        <f t="array" ref="F482">IF(NOW()&gt;AQ482,"",IF(AND((WEEKDAY($A482)+$B$2)&gt;1,((WEEKDAY($A482)+$T$2)&lt;7),(WEEKDAY($A482)&lt;&gt;1)),"work",(INDEX(Subject!$A:$I,MATCH(RANDBETWEEN(1,(MAX(Subject!$B:$B))),Subject!$B:$B,0),3))))</f>
        <v/>
      </c>
      <c r="G482" s="2" t="str">
        <f t="array" ref="G482">IF(NOW()&gt;AR482,"",IF(AND((WEEKDAY($A482)+$B$2)&gt;1,((WEEKDAY($A482)+$T$2)&lt;7),(WEEKDAY($A482)&lt;&gt;1)),"work",(INDEX(Subject!$A:$I,MATCH(RANDBETWEEN(1,(MAX(Subject!$B:$B))),Subject!$B:$B,0),3))))</f>
        <v/>
      </c>
      <c r="H482" s="2" t="str">
        <f t="array" ref="H482">IF(NOW()&gt;AS482,"",IF(AND((WEEKDAY($A482)+$B$2)&gt;1,((WEEKDAY($A482)+$T$2)&lt;7),(WEEKDAY($A482)&lt;&gt;1)),"work",(INDEX(Subject!$A:$I,MATCH(RANDBETWEEN(1,(MAX(Subject!$B:$B))),Subject!$B:$B,0),3))))</f>
        <v/>
      </c>
      <c r="I482" s="2" t="str">
        <f t="array" ref="I482">IF(NOW()&gt;AT482,"",IF(AND((WEEKDAY($A482)+$B$2)&gt;1,((WEEKDAY($A482)+$T$2)&lt;7),(WEEKDAY($A482)&lt;&gt;1)),"work",(INDEX(Subject!$A:$I,MATCH(RANDBETWEEN(1,(MAX(Subject!$B:$B))),Subject!$B:$B,0),3))))</f>
        <v/>
      </c>
      <c r="J482" s="2" t="str">
        <f t="array" ref="J482">IF(NOW()&gt;AU482,"",IF(AND((WEEKDAY($A482)+$B$2)&gt;1,((WEEKDAY($A482)+$T$2)&lt;7),(WEEKDAY($A482)&lt;&gt;1)),"work",(INDEX(Subject!$A:$I,MATCH(RANDBETWEEN(1,(MAX(Subject!$B:$B))),Subject!$B:$B,0),3))))</f>
        <v/>
      </c>
      <c r="K482" s="2" t="str">
        <f t="array" ref="K482">IF(NOW()&gt;AV482,"",IF(AND((WEEKDAY($A482)+$B$2)&gt;1,((WEEKDAY($A482)+$T$2)&lt;7),(WEEKDAY($A482)&lt;&gt;1)),"work",(INDEX(Subject!$A:$I,MATCH(RANDBETWEEN(1,(MAX(Subject!$B:$B))),Subject!$B:$B,0),3))))</f>
        <v/>
      </c>
      <c r="L482" s="2" t="str">
        <f t="array" ref="L482">IF(NOW()&gt;AW482,"",IF(AND((WEEKDAY($A482)+$B$2)&gt;1,((WEEKDAY($A482)+$T$2)&lt;7),(WEEKDAY($A482)&lt;&gt;1)),"work",(INDEX(Subject!$A:$I,MATCH(RANDBETWEEN(1,(MAX(Subject!$B:$B))),Subject!$B:$B,0),3))))</f>
        <v/>
      </c>
      <c r="M482" s="2" t="str">
        <f t="array" ref="M482">IF(NOW()&gt;AX482,"",IF(AND((WEEKDAY($A482)+$B$2)&gt;1,((WEEKDAY($A482)+$T$2)&lt;7),(WEEKDAY($A482)&lt;&gt;1)),"work",(INDEX(Subject!$A:$I,MATCH(RANDBETWEEN(1,(MAX(Subject!$B:$B))),Subject!$B:$B,0),3))))</f>
        <v/>
      </c>
      <c r="N482" s="2" t="str">
        <f t="array" ref="N482">IF(NOW()&gt;AY482,"",IF(AND((WEEKDAY($A482)+$B$2)&gt;1,((WEEKDAY($A482)+$T$2)&lt;7),(WEEKDAY($A482)&lt;&gt;1)),"work",(INDEX(Subject!$A:$I,MATCH(RANDBETWEEN(1,(MAX(Subject!$B:$B))),Subject!$B:$B,0),3))))</f>
        <v/>
      </c>
      <c r="O482" s="2" t="str">
        <f t="array" ref="O482">IF(NOW()&gt;AZ482,"",IF(AND((WEEKDAY($A482)+$B$2)&gt;1,((WEEKDAY($A482)+$T$2)&lt;7),(WEEKDAY($A482)&lt;&gt;1)),"work",(INDEX(Subject!$A:$I,MATCH(RANDBETWEEN(1,(MAX(Subject!$B:$B))),Subject!$B:$B,0),3))))</f>
        <v/>
      </c>
      <c r="P482" s="2" t="str">
        <f t="array" ref="P482">IF(NOW()&gt;BA482,"",IF(AND((WEEKDAY($A482)+$B$2)&gt;1,((WEEKDAY($A482)+$T$2)&lt;7),(WEEKDAY($A482)&lt;&gt;1)),"work",(INDEX(Subject!$A:$I,MATCH(RANDBETWEEN(1,(MAX(Subject!$B:$B))),Subject!$B:$B,0),3))))</f>
        <v/>
      </c>
      <c r="Q482" s="2" t="str">
        <f t="array" ref="Q482">IF(NOW()&gt;BB482,"",IF(AND((WEEKDAY($A482)+$B$2)&gt;1,((WEEKDAY($A482)+$T$2)&lt;7),(WEEKDAY($A482)&lt;&gt;1)),"work",(INDEX(Subject!$A:$I,MATCH(RANDBETWEEN(1,(MAX(Subject!$B:$B))),Subject!$B:$B,0),3))))</f>
        <v/>
      </c>
      <c r="R482" s="2" t="str">
        <f t="array" ref="R482">IF(NOW()&gt;BC482,"",IF(AND((WEEKDAY($A482)+$B$2)&gt;1,((WEEKDAY($A482)+$T$2)&lt;7),(WEEKDAY($A482)&lt;&gt;1)),"work",(INDEX(Subject!$A:$I,MATCH(RANDBETWEEN(1,(MAX(Subject!$B:$B))),Subject!$B:$B,0),3))))</f>
        <v/>
      </c>
      <c r="S482" s="2" t="str">
        <f t="array" ref="S482">IF(NOW()&gt;BD482,"",IF(AND((WEEKDAY($A482)+$B$2)&gt;1,((WEEKDAY($A482)+$T$2)&lt;7),(WEEKDAY($A482)&lt;&gt;1)),"work",(INDEX(Subject!$A:$I,MATCH(RANDBETWEEN(1,(MAX(Subject!$B:$B))),Subject!$B:$B,0),3))))</f>
        <v/>
      </c>
      <c r="T482" s="2" t="str">
        <f t="array" ref="T482">IF(NOW()&gt;BE482,"",IF(AND((WEEKDAY($A482)+$B$2)&gt;1,((WEEKDAY($A482)+$T$2)&lt;7),(WEEKDAY($A482)&lt;&gt;1)),"work",(INDEX(Subject!$A:$I,MATCH(RANDBETWEEN(1,(MAX(Subject!$B:$B))),Subject!$B:$B,0),3))))</f>
        <v/>
      </c>
      <c r="U482" s="8" t="str">
        <f t="array" ref="U482">INDEX(Subject!$A:$I,MATCH(RANDBETWEEN(1,16),Subject!$B:$B,0),3)</f>
        <v>#N/A</v>
      </c>
      <c r="V482" s="8" t="str">
        <f t="array" ref="V482">INDEX(Subject!$A:$I,MATCH(RANDBETWEEN(1,16),Subject!$B:$B,0),3)</f>
        <v>#N/A</v>
      </c>
      <c r="W482" s="8" t="str">
        <f t="array" ref="W482">INDEX(Subject!$A:$I,MATCH(RANDBETWEEN(1,16),Subject!$B:$B,0),3)</f>
        <v>#N/A</v>
      </c>
      <c r="X482" s="8" t="str">
        <f t="array" ref="X482">INDEX(Subject!$A:$I,MATCH(RANDBETWEEN(1,16),Subject!$B:$B,0),3)</f>
        <v>#N/A</v>
      </c>
      <c r="Y482" s="8" t="str">
        <f t="array" ref="Y482">INDEX(Subject!$A:$I,MATCH(RANDBETWEEN(1,16),Subject!$B:$B,0),3)</f>
        <v>#N/A</v>
      </c>
      <c r="Z482" s="8" t="str">
        <f t="array" ref="Z482">INDEX(Subject!$A:$I,MATCH(RANDBETWEEN(1,16),Subject!$B:$B,0),3)</f>
        <v>#N/A</v>
      </c>
      <c r="AA482" s="8" t="str">
        <f t="array" ref="AA482">INDEX(Subject!$A:$I,MATCH(RANDBETWEEN(1,16),Subject!$B:$B,0),3)</f>
        <v>#N/A</v>
      </c>
      <c r="AB482" s="8" t="str">
        <f t="array" ref="AB482">INDEX(Subject!$A:$I,MATCH(RANDBETWEEN(1,16),Subject!$B:$B,0),3)</f>
        <v/>
      </c>
      <c r="AC482" s="8" t="str">
        <f t="array" ref="AC482">INDEX(Subject!$A:$I,MATCH(RANDBETWEEN(1,16),Subject!$B:$B,0),3)</f>
        <v>#N/A</v>
      </c>
      <c r="AD482" s="8" t="str">
        <f t="array" ref="AD482">INDEX(Subject!$A:$I,MATCH(RANDBETWEEN(1,16),Subject!$B:$B,0),3)</f>
        <v>#N/A</v>
      </c>
      <c r="AE482" s="8" t="str">
        <f t="array" ref="AE482">INDEX(Subject!$A:$I,MATCH(RANDBETWEEN(1,16),Subject!$B:$B,0),3)</f>
        <v/>
      </c>
      <c r="AF482" s="8" t="str">
        <f t="array" ref="AF482">INDEX(Subject!$A:$I,MATCH(RANDBETWEEN(1,16),Subject!$B:$B,0),3)</f>
        <v>#N/A</v>
      </c>
      <c r="AG482" s="8" t="str">
        <f t="array" ref="AG482">INDEX(Subject!$A:$I,MATCH(RANDBETWEEN(1,16),Subject!$B:$B,0),3)</f>
        <v>#N/A</v>
      </c>
      <c r="AH482" s="8" t="str">
        <f t="array" ref="AH482">INDEX(Subject!$A:$I,MATCH(RANDBETWEEN(1,16),Subject!$B:$B,0),3)</f>
        <v>#N/A</v>
      </c>
      <c r="AI482" s="8" t="str">
        <f t="array" ref="AI482">INDEX(Subject!$A:$I,MATCH(RANDBETWEEN(1,16),Subject!$B:$B,0),3)</f>
        <v>#N/A</v>
      </c>
      <c r="AJ482" s="8" t="str">
        <f t="array" ref="AJ482">INDEX(Subject!$A:$I,MATCH(RANDBETWEEN(1,16),Subject!$B:$B,0),3)</f>
        <v>#N/A</v>
      </c>
      <c r="AK482" s="8" t="str">
        <f t="array" ref="AK482">INDEX(Subject!$A:$I,MATCH(RANDBETWEEN(1,16),Subject!$B:$B,0),3)</f>
        <v>#N/A</v>
      </c>
      <c r="AL482" s="8" t="str">
        <f t="array" ref="AL482">INDEX(Subject!$A:$I,MATCH(RANDBETWEEN(1,16),Subject!$B:$B,0),3)</f>
        <v>#N/A</v>
      </c>
      <c r="AM482" s="18">
        <f t="shared" si="4"/>
        <v>45982.33333</v>
      </c>
      <c r="AN482" s="19">
        <f t="shared" ref="AN482:BZ482" si="482">$A482+C$1</f>
        <v>45982.35417</v>
      </c>
      <c r="AO482" s="19">
        <f t="shared" si="482"/>
        <v>45982.375</v>
      </c>
      <c r="AP482" s="19">
        <f t="shared" si="482"/>
        <v>45982.39583</v>
      </c>
      <c r="AQ482" s="19">
        <f t="shared" si="482"/>
        <v>45982.41667</v>
      </c>
      <c r="AR482" s="19">
        <f t="shared" si="482"/>
        <v>45982.4375</v>
      </c>
      <c r="AS482" s="19">
        <f t="shared" si="482"/>
        <v>45982.45833</v>
      </c>
      <c r="AT482" s="19">
        <f t="shared" si="482"/>
        <v>45982.47917</v>
      </c>
      <c r="AU482" s="19">
        <f t="shared" si="482"/>
        <v>45982.5</v>
      </c>
      <c r="AV482" s="19">
        <f t="shared" si="482"/>
        <v>45982.52083</v>
      </c>
      <c r="AW482" s="19">
        <f t="shared" si="482"/>
        <v>45982.54167</v>
      </c>
      <c r="AX482" s="19">
        <f t="shared" si="482"/>
        <v>45982.5625</v>
      </c>
      <c r="AY482" s="19">
        <f t="shared" si="482"/>
        <v>45982.58333</v>
      </c>
      <c r="AZ482" s="19">
        <f t="shared" si="482"/>
        <v>45982.60417</v>
      </c>
      <c r="BA482" s="19">
        <f t="shared" si="482"/>
        <v>45982.625</v>
      </c>
      <c r="BB482" s="19">
        <f t="shared" si="482"/>
        <v>45982.64583</v>
      </c>
      <c r="BC482" s="19">
        <f t="shared" si="482"/>
        <v>45982.66667</v>
      </c>
      <c r="BD482" s="19">
        <f t="shared" si="482"/>
        <v>45982.6875</v>
      </c>
      <c r="BE482" s="19">
        <f t="shared" si="482"/>
        <v>45982.70833</v>
      </c>
      <c r="BF482" s="19">
        <f t="shared" si="482"/>
        <v>45982.72917</v>
      </c>
      <c r="BG482" s="19">
        <f t="shared" si="482"/>
        <v>45982.75</v>
      </c>
      <c r="BH482" s="19">
        <f t="shared" si="482"/>
        <v>45982.77083</v>
      </c>
      <c r="BI482" s="19">
        <f t="shared" si="482"/>
        <v>45982.79167</v>
      </c>
      <c r="BJ482" s="19">
        <f t="shared" si="482"/>
        <v>45982.8125</v>
      </c>
      <c r="BK482" s="19">
        <f t="shared" si="482"/>
        <v>45982.83333</v>
      </c>
      <c r="BL482" s="19">
        <f t="shared" si="482"/>
        <v>45982.85417</v>
      </c>
      <c r="BM482" s="19">
        <f t="shared" si="482"/>
        <v>45982.875</v>
      </c>
      <c r="BN482" s="19">
        <f t="shared" si="482"/>
        <v>45982.89583</v>
      </c>
      <c r="BO482" s="19">
        <f t="shared" si="482"/>
        <v>45982.91667</v>
      </c>
      <c r="BP482" s="19">
        <f t="shared" si="482"/>
        <v>45982.9375</v>
      </c>
      <c r="BQ482" s="19">
        <f t="shared" si="482"/>
        <v>45982.95833</v>
      </c>
      <c r="BR482" s="19">
        <f t="shared" si="482"/>
        <v>45982.97917</v>
      </c>
      <c r="BS482" s="19">
        <f t="shared" si="482"/>
        <v>45983</v>
      </c>
      <c r="BT482" s="19">
        <f t="shared" si="482"/>
        <v>45983.02083</v>
      </c>
      <c r="BU482" s="19">
        <f t="shared" si="482"/>
        <v>45983.04167</v>
      </c>
      <c r="BV482" s="19">
        <f t="shared" si="482"/>
        <v>45983.0625</v>
      </c>
      <c r="BW482" s="19">
        <f t="shared" si="482"/>
        <v>45983.08333</v>
      </c>
      <c r="BX482" s="19">
        <f t="shared" si="482"/>
        <v>45982</v>
      </c>
      <c r="BY482" s="19">
        <f t="shared" si="482"/>
        <v>45982</v>
      </c>
      <c r="BZ482" s="19">
        <f t="shared" si="482"/>
        <v>45982</v>
      </c>
    </row>
    <row r="483" ht="14.25" customHeight="1">
      <c r="A483" s="17">
        <v>45983.0</v>
      </c>
      <c r="B483" s="2" t="str">
        <f t="array" ref="B483">IF(NOW()&gt;AM483,"",IF(AND((WEEKDAY($A483)+$B$2)&gt;1,((WEEKDAY($A483)+$T$2)&lt;7),(WEEKDAY($A483)&lt;&gt;1)),"work",(INDEX(Subject!$A:$I,MATCH(RANDBETWEEN(1,(MAX(Subject!$B:$B))),Subject!$B:$B,0),3))))</f>
        <v/>
      </c>
      <c r="C483" s="2" t="str">
        <f t="array" ref="C483">IF(NOW()&gt;AN483,"",IF(AND((WEEKDAY($A483)+$B$2)&gt;1,((WEEKDAY($A483)+$T$2)&lt;7),(WEEKDAY($A483)&lt;&gt;1)),"work",(INDEX(Subject!$A:$I,MATCH(RANDBETWEEN(1,(MAX(Subject!$B:$B))),Subject!$B:$B,0),3))))</f>
        <v/>
      </c>
      <c r="D483" s="2" t="str">
        <f t="array" ref="D483">IF(NOW()&gt;AO483,"",IF(AND((WEEKDAY($A483)+$B$2)&gt;1,((WEEKDAY($A483)+$T$2)&lt;7),(WEEKDAY($A483)&lt;&gt;1)),"work",(INDEX(Subject!$A:$I,MATCH(RANDBETWEEN(1,(MAX(Subject!$B:$B))),Subject!$B:$B,0),3))))</f>
        <v/>
      </c>
      <c r="E483" s="2" t="str">
        <f t="array" ref="E483">IF(NOW()&gt;AP483,"",IF(AND((WEEKDAY($A483)+$B$2)&gt;1,((WEEKDAY($A483)+$T$2)&lt;7),(WEEKDAY($A483)&lt;&gt;1)),"work",(INDEX(Subject!$A:$I,MATCH(RANDBETWEEN(1,(MAX(Subject!$B:$B))),Subject!$B:$B,0),3))))</f>
        <v/>
      </c>
      <c r="F483" s="2" t="str">
        <f t="array" ref="F483">IF(NOW()&gt;AQ483,"",IF(AND((WEEKDAY($A483)+$B$2)&gt;1,((WEEKDAY($A483)+$T$2)&lt;7),(WEEKDAY($A483)&lt;&gt;1)),"work",(INDEX(Subject!$A:$I,MATCH(RANDBETWEEN(1,(MAX(Subject!$B:$B))),Subject!$B:$B,0),3))))</f>
        <v/>
      </c>
      <c r="G483" s="2" t="str">
        <f t="array" ref="G483">IF(NOW()&gt;AR483,"",IF(AND((WEEKDAY($A483)+$B$2)&gt;1,((WEEKDAY($A483)+$T$2)&lt;7),(WEEKDAY($A483)&lt;&gt;1)),"work",(INDEX(Subject!$A:$I,MATCH(RANDBETWEEN(1,(MAX(Subject!$B:$B))),Subject!$B:$B,0),3))))</f>
        <v/>
      </c>
      <c r="H483" s="2" t="str">
        <f t="array" ref="H483">IF(NOW()&gt;AS483,"",IF(AND((WEEKDAY($A483)+$B$2)&gt;1,((WEEKDAY($A483)+$T$2)&lt;7),(WEEKDAY($A483)&lt;&gt;1)),"work",(INDEX(Subject!$A:$I,MATCH(RANDBETWEEN(1,(MAX(Subject!$B:$B))),Subject!$B:$B,0),3))))</f>
        <v/>
      </c>
      <c r="I483" s="2" t="str">
        <f t="array" ref="I483">IF(NOW()&gt;AT483,"",IF(AND((WEEKDAY($A483)+$B$2)&gt;1,((WEEKDAY($A483)+$T$2)&lt;7),(WEEKDAY($A483)&lt;&gt;1)),"work",(INDEX(Subject!$A:$I,MATCH(RANDBETWEEN(1,(MAX(Subject!$B:$B))),Subject!$B:$B,0),3))))</f>
        <v/>
      </c>
      <c r="J483" s="2" t="str">
        <f t="array" ref="J483">IF(NOW()&gt;AU483,"",IF(AND((WEEKDAY($A483)+$B$2)&gt;1,((WEEKDAY($A483)+$T$2)&lt;7),(WEEKDAY($A483)&lt;&gt;1)),"work",(INDEX(Subject!$A:$I,MATCH(RANDBETWEEN(1,(MAX(Subject!$B:$B))),Subject!$B:$B,0),3))))</f>
        <v/>
      </c>
      <c r="K483" s="2" t="str">
        <f t="array" ref="K483">IF(NOW()&gt;AV483,"",IF(AND((WEEKDAY($A483)+$B$2)&gt;1,((WEEKDAY($A483)+$T$2)&lt;7),(WEEKDAY($A483)&lt;&gt;1)),"work",(INDEX(Subject!$A:$I,MATCH(RANDBETWEEN(1,(MAX(Subject!$B:$B))),Subject!$B:$B,0),3))))</f>
        <v/>
      </c>
      <c r="L483" s="2" t="str">
        <f t="array" ref="L483">IF(NOW()&gt;AW483,"",IF(AND((WEEKDAY($A483)+$B$2)&gt;1,((WEEKDAY($A483)+$T$2)&lt;7),(WEEKDAY($A483)&lt;&gt;1)),"work",(INDEX(Subject!$A:$I,MATCH(RANDBETWEEN(1,(MAX(Subject!$B:$B))),Subject!$B:$B,0),3))))</f>
        <v/>
      </c>
      <c r="M483" s="2" t="str">
        <f t="array" ref="M483">IF(NOW()&gt;AX483,"",IF(AND((WEEKDAY($A483)+$B$2)&gt;1,((WEEKDAY($A483)+$T$2)&lt;7),(WEEKDAY($A483)&lt;&gt;1)),"work",(INDEX(Subject!$A:$I,MATCH(RANDBETWEEN(1,(MAX(Subject!$B:$B))),Subject!$B:$B,0),3))))</f>
        <v/>
      </c>
      <c r="N483" s="2" t="str">
        <f t="array" ref="N483">IF(NOW()&gt;AY483,"",IF(AND((WEEKDAY($A483)+$B$2)&gt;1,((WEEKDAY($A483)+$T$2)&lt;7),(WEEKDAY($A483)&lt;&gt;1)),"work",(INDEX(Subject!$A:$I,MATCH(RANDBETWEEN(1,(MAX(Subject!$B:$B))),Subject!$B:$B,0),3))))</f>
        <v/>
      </c>
      <c r="O483" s="2" t="str">
        <f t="array" ref="O483">IF(NOW()&gt;AZ483,"",IF(AND((WEEKDAY($A483)+$B$2)&gt;1,((WEEKDAY($A483)+$T$2)&lt;7),(WEEKDAY($A483)&lt;&gt;1)),"work",(INDEX(Subject!$A:$I,MATCH(RANDBETWEEN(1,(MAX(Subject!$B:$B))),Subject!$B:$B,0),3))))</f>
        <v/>
      </c>
      <c r="P483" s="2" t="str">
        <f t="array" ref="P483">IF(NOW()&gt;BA483,"",IF(AND((WEEKDAY($A483)+$B$2)&gt;1,((WEEKDAY($A483)+$T$2)&lt;7),(WEEKDAY($A483)&lt;&gt;1)),"work",(INDEX(Subject!$A:$I,MATCH(RANDBETWEEN(1,(MAX(Subject!$B:$B))),Subject!$B:$B,0),3))))</f>
        <v/>
      </c>
      <c r="Q483" s="2" t="str">
        <f t="array" ref="Q483">IF(NOW()&gt;BB483,"",IF(AND((WEEKDAY($A483)+$B$2)&gt;1,((WEEKDAY($A483)+$T$2)&lt;7),(WEEKDAY($A483)&lt;&gt;1)),"work",(INDEX(Subject!$A:$I,MATCH(RANDBETWEEN(1,(MAX(Subject!$B:$B))),Subject!$B:$B,0),3))))</f>
        <v/>
      </c>
      <c r="R483" s="2" t="str">
        <f t="array" ref="R483">IF(NOW()&gt;BC483,"",IF(AND((WEEKDAY($A483)+$B$2)&gt;1,((WEEKDAY($A483)+$T$2)&lt;7),(WEEKDAY($A483)&lt;&gt;1)),"work",(INDEX(Subject!$A:$I,MATCH(RANDBETWEEN(1,(MAX(Subject!$B:$B))),Subject!$B:$B,0),3))))</f>
        <v/>
      </c>
      <c r="S483" s="2" t="str">
        <f t="array" ref="S483">IF(NOW()&gt;BD483,"",IF(AND((WEEKDAY($A483)+$B$2)&gt;1,((WEEKDAY($A483)+$T$2)&lt;7),(WEEKDAY($A483)&lt;&gt;1)),"work",(INDEX(Subject!$A:$I,MATCH(RANDBETWEEN(1,(MAX(Subject!$B:$B))),Subject!$B:$B,0),3))))</f>
        <v/>
      </c>
      <c r="T483" s="2" t="str">
        <f t="array" ref="T483">IF(NOW()&gt;BE483,"",IF(AND((WEEKDAY($A483)+$B$2)&gt;1,((WEEKDAY($A483)+$T$2)&lt;7),(WEEKDAY($A483)&lt;&gt;1)),"work",(INDEX(Subject!$A:$I,MATCH(RANDBETWEEN(1,(MAX(Subject!$B:$B))),Subject!$B:$B,0),3))))</f>
        <v/>
      </c>
      <c r="U483" s="8" t="str">
        <f t="array" ref="U483">INDEX(Subject!$A:$I,MATCH(RANDBETWEEN(1,16),Subject!$B:$B,0),3)</f>
        <v>#N/A</v>
      </c>
      <c r="V483" s="8" t="str">
        <f t="array" ref="V483">INDEX(Subject!$A:$I,MATCH(RANDBETWEEN(1,16),Subject!$B:$B,0),3)</f>
        <v/>
      </c>
      <c r="W483" s="8" t="str">
        <f t="array" ref="W483">INDEX(Subject!$A:$I,MATCH(RANDBETWEEN(1,16),Subject!$B:$B,0),3)</f>
        <v>#N/A</v>
      </c>
      <c r="X483" s="8" t="str">
        <f t="array" ref="X483">INDEX(Subject!$A:$I,MATCH(RANDBETWEEN(1,16),Subject!$B:$B,0),3)</f>
        <v>#N/A</v>
      </c>
      <c r="Y483" s="8" t="str">
        <f t="array" ref="Y483">INDEX(Subject!$A:$I,MATCH(RANDBETWEEN(1,16),Subject!$B:$B,0),3)</f>
        <v>#N/A</v>
      </c>
      <c r="Z483" s="8" t="str">
        <f t="array" ref="Z483">INDEX(Subject!$A:$I,MATCH(RANDBETWEEN(1,16),Subject!$B:$B,0),3)</f>
        <v>#N/A</v>
      </c>
      <c r="AA483" s="8" t="str">
        <f t="array" ref="AA483">INDEX(Subject!$A:$I,MATCH(RANDBETWEEN(1,16),Subject!$B:$B,0),3)</f>
        <v>#N/A</v>
      </c>
      <c r="AB483" s="8" t="str">
        <f t="array" ref="AB483">INDEX(Subject!$A:$I,MATCH(RANDBETWEEN(1,16),Subject!$B:$B,0),3)</f>
        <v>#N/A</v>
      </c>
      <c r="AC483" s="8" t="str">
        <f t="array" ref="AC483">INDEX(Subject!$A:$I,MATCH(RANDBETWEEN(1,16),Subject!$B:$B,0),3)</f>
        <v>#N/A</v>
      </c>
      <c r="AD483" s="8" t="str">
        <f t="array" ref="AD483">INDEX(Subject!$A:$I,MATCH(RANDBETWEEN(1,16),Subject!$B:$B,0),3)</f>
        <v>#N/A</v>
      </c>
      <c r="AE483" s="8" t="str">
        <f t="array" ref="AE483">INDEX(Subject!$A:$I,MATCH(RANDBETWEEN(1,16),Subject!$B:$B,0),3)</f>
        <v>#N/A</v>
      </c>
      <c r="AF483" s="8" t="str">
        <f t="array" ref="AF483">INDEX(Subject!$A:$I,MATCH(RANDBETWEEN(1,16),Subject!$B:$B,0),3)</f>
        <v>#N/A</v>
      </c>
      <c r="AG483" s="8" t="str">
        <f t="array" ref="AG483">INDEX(Subject!$A:$I,MATCH(RANDBETWEEN(1,16),Subject!$B:$B,0),3)</f>
        <v>#N/A</v>
      </c>
      <c r="AH483" s="8" t="str">
        <f t="array" ref="AH483">INDEX(Subject!$A:$I,MATCH(RANDBETWEEN(1,16),Subject!$B:$B,0),3)</f>
        <v/>
      </c>
      <c r="AI483" s="8" t="str">
        <f t="array" ref="AI483">INDEX(Subject!$A:$I,MATCH(RANDBETWEEN(1,16),Subject!$B:$B,0),3)</f>
        <v>#N/A</v>
      </c>
      <c r="AJ483" s="8" t="str">
        <f t="array" ref="AJ483">INDEX(Subject!$A:$I,MATCH(RANDBETWEEN(1,16),Subject!$B:$B,0),3)</f>
        <v>#N/A</v>
      </c>
      <c r="AK483" s="8" t="str">
        <f t="array" ref="AK483">INDEX(Subject!$A:$I,MATCH(RANDBETWEEN(1,16),Subject!$B:$B,0),3)</f>
        <v>#N/A</v>
      </c>
      <c r="AL483" s="8" t="str">
        <f t="array" ref="AL483">INDEX(Subject!$A:$I,MATCH(RANDBETWEEN(1,16),Subject!$B:$B,0),3)</f>
        <v>#N/A</v>
      </c>
      <c r="AM483" s="18">
        <f t="shared" si="4"/>
        <v>45983.33333</v>
      </c>
      <c r="AN483" s="19">
        <f t="shared" ref="AN483:BZ483" si="483">$A483+C$1</f>
        <v>45983.35417</v>
      </c>
      <c r="AO483" s="19">
        <f t="shared" si="483"/>
        <v>45983.375</v>
      </c>
      <c r="AP483" s="19">
        <f t="shared" si="483"/>
        <v>45983.39583</v>
      </c>
      <c r="AQ483" s="19">
        <f t="shared" si="483"/>
        <v>45983.41667</v>
      </c>
      <c r="AR483" s="19">
        <f t="shared" si="483"/>
        <v>45983.4375</v>
      </c>
      <c r="AS483" s="19">
        <f t="shared" si="483"/>
        <v>45983.45833</v>
      </c>
      <c r="AT483" s="19">
        <f t="shared" si="483"/>
        <v>45983.47917</v>
      </c>
      <c r="AU483" s="19">
        <f t="shared" si="483"/>
        <v>45983.5</v>
      </c>
      <c r="AV483" s="19">
        <f t="shared" si="483"/>
        <v>45983.52083</v>
      </c>
      <c r="AW483" s="19">
        <f t="shared" si="483"/>
        <v>45983.54167</v>
      </c>
      <c r="AX483" s="19">
        <f t="shared" si="483"/>
        <v>45983.5625</v>
      </c>
      <c r="AY483" s="19">
        <f t="shared" si="483"/>
        <v>45983.58333</v>
      </c>
      <c r="AZ483" s="19">
        <f t="shared" si="483"/>
        <v>45983.60417</v>
      </c>
      <c r="BA483" s="19">
        <f t="shared" si="483"/>
        <v>45983.625</v>
      </c>
      <c r="BB483" s="19">
        <f t="shared" si="483"/>
        <v>45983.64583</v>
      </c>
      <c r="BC483" s="19">
        <f t="shared" si="483"/>
        <v>45983.66667</v>
      </c>
      <c r="BD483" s="19">
        <f t="shared" si="483"/>
        <v>45983.6875</v>
      </c>
      <c r="BE483" s="19">
        <f t="shared" si="483"/>
        <v>45983.70833</v>
      </c>
      <c r="BF483" s="19">
        <f t="shared" si="483"/>
        <v>45983.72917</v>
      </c>
      <c r="BG483" s="19">
        <f t="shared" si="483"/>
        <v>45983.75</v>
      </c>
      <c r="BH483" s="19">
        <f t="shared" si="483"/>
        <v>45983.77083</v>
      </c>
      <c r="BI483" s="19">
        <f t="shared" si="483"/>
        <v>45983.79167</v>
      </c>
      <c r="BJ483" s="19">
        <f t="shared" si="483"/>
        <v>45983.8125</v>
      </c>
      <c r="BK483" s="19">
        <f t="shared" si="483"/>
        <v>45983.83333</v>
      </c>
      <c r="BL483" s="19">
        <f t="shared" si="483"/>
        <v>45983.85417</v>
      </c>
      <c r="BM483" s="19">
        <f t="shared" si="483"/>
        <v>45983.875</v>
      </c>
      <c r="BN483" s="19">
        <f t="shared" si="483"/>
        <v>45983.89583</v>
      </c>
      <c r="BO483" s="19">
        <f t="shared" si="483"/>
        <v>45983.91667</v>
      </c>
      <c r="BP483" s="19">
        <f t="shared" si="483"/>
        <v>45983.9375</v>
      </c>
      <c r="BQ483" s="19">
        <f t="shared" si="483"/>
        <v>45983.95833</v>
      </c>
      <c r="BR483" s="19">
        <f t="shared" si="483"/>
        <v>45983.97917</v>
      </c>
      <c r="BS483" s="19">
        <f t="shared" si="483"/>
        <v>45984</v>
      </c>
      <c r="BT483" s="19">
        <f t="shared" si="483"/>
        <v>45984.02083</v>
      </c>
      <c r="BU483" s="19">
        <f t="shared" si="483"/>
        <v>45984.04167</v>
      </c>
      <c r="BV483" s="19">
        <f t="shared" si="483"/>
        <v>45984.0625</v>
      </c>
      <c r="BW483" s="19">
        <f t="shared" si="483"/>
        <v>45984.08333</v>
      </c>
      <c r="BX483" s="19">
        <f t="shared" si="483"/>
        <v>45983</v>
      </c>
      <c r="BY483" s="19">
        <f t="shared" si="483"/>
        <v>45983</v>
      </c>
      <c r="BZ483" s="19">
        <f t="shared" si="483"/>
        <v>45983</v>
      </c>
    </row>
    <row r="484" ht="14.25" customHeight="1">
      <c r="A484" s="17">
        <v>45984.0</v>
      </c>
      <c r="B484" s="2" t="str">
        <f t="array" ref="B484">IF(NOW()&gt;AM484,"",IF(AND((WEEKDAY($A484)+$B$2)&gt;1,((WEEKDAY($A484)+$T$2)&lt;7),(WEEKDAY($A484)&lt;&gt;1)),"work",(INDEX(Subject!$A:$I,MATCH(RANDBETWEEN(1,(MAX(Subject!$B:$B))),Subject!$B:$B,0),3))))</f>
        <v/>
      </c>
      <c r="C484" s="2" t="str">
        <f t="array" ref="C484">IF(NOW()&gt;AN484,"",IF(AND((WEEKDAY($A484)+$B$2)&gt;1,((WEEKDAY($A484)+$T$2)&lt;7),(WEEKDAY($A484)&lt;&gt;1)),"work",(INDEX(Subject!$A:$I,MATCH(RANDBETWEEN(1,(MAX(Subject!$B:$B))),Subject!$B:$B,0),3))))</f>
        <v/>
      </c>
      <c r="D484" s="2" t="str">
        <f t="array" ref="D484">IF(NOW()&gt;AO484,"",IF(AND((WEEKDAY($A484)+$B$2)&gt;1,((WEEKDAY($A484)+$T$2)&lt;7),(WEEKDAY($A484)&lt;&gt;1)),"work",(INDEX(Subject!$A:$I,MATCH(RANDBETWEEN(1,(MAX(Subject!$B:$B))),Subject!$B:$B,0),3))))</f>
        <v/>
      </c>
      <c r="E484" s="2" t="str">
        <f t="array" ref="E484">IF(NOW()&gt;AP484,"",IF(AND((WEEKDAY($A484)+$B$2)&gt;1,((WEEKDAY($A484)+$T$2)&lt;7),(WEEKDAY($A484)&lt;&gt;1)),"work",(INDEX(Subject!$A:$I,MATCH(RANDBETWEEN(1,(MAX(Subject!$B:$B))),Subject!$B:$B,0),3))))</f>
        <v/>
      </c>
      <c r="F484" s="2" t="str">
        <f t="array" ref="F484">IF(NOW()&gt;AQ484,"",IF(AND((WEEKDAY($A484)+$B$2)&gt;1,((WEEKDAY($A484)+$T$2)&lt;7),(WEEKDAY($A484)&lt;&gt;1)),"work",(INDEX(Subject!$A:$I,MATCH(RANDBETWEEN(1,(MAX(Subject!$B:$B))),Subject!$B:$B,0),3))))</f>
        <v/>
      </c>
      <c r="G484" s="2" t="str">
        <f t="array" ref="G484">IF(NOW()&gt;AR484,"",IF(AND((WEEKDAY($A484)+$B$2)&gt;1,((WEEKDAY($A484)+$T$2)&lt;7),(WEEKDAY($A484)&lt;&gt;1)),"work",(INDEX(Subject!$A:$I,MATCH(RANDBETWEEN(1,(MAX(Subject!$B:$B))),Subject!$B:$B,0),3))))</f>
        <v/>
      </c>
      <c r="H484" s="2" t="str">
        <f t="array" ref="H484">IF(NOW()&gt;AS484,"",IF(AND((WEEKDAY($A484)+$B$2)&gt;1,((WEEKDAY($A484)+$T$2)&lt;7),(WEEKDAY($A484)&lt;&gt;1)),"work",(INDEX(Subject!$A:$I,MATCH(RANDBETWEEN(1,(MAX(Subject!$B:$B))),Subject!$B:$B,0),3))))</f>
        <v/>
      </c>
      <c r="I484" s="2" t="str">
        <f t="array" ref="I484">IF(NOW()&gt;AT484,"",IF(AND((WEEKDAY($A484)+$B$2)&gt;1,((WEEKDAY($A484)+$T$2)&lt;7),(WEEKDAY($A484)&lt;&gt;1)),"work",(INDEX(Subject!$A:$I,MATCH(RANDBETWEEN(1,(MAX(Subject!$B:$B))),Subject!$B:$B,0),3))))</f>
        <v/>
      </c>
      <c r="J484" s="2" t="str">
        <f t="array" ref="J484">IF(NOW()&gt;AU484,"",IF(AND((WEEKDAY($A484)+$B$2)&gt;1,((WEEKDAY($A484)+$T$2)&lt;7),(WEEKDAY($A484)&lt;&gt;1)),"work",(INDEX(Subject!$A:$I,MATCH(RANDBETWEEN(1,(MAX(Subject!$B:$B))),Subject!$B:$B,0),3))))</f>
        <v/>
      </c>
      <c r="K484" s="2" t="str">
        <f t="array" ref="K484">IF(NOW()&gt;AV484,"",IF(AND((WEEKDAY($A484)+$B$2)&gt;1,((WEEKDAY($A484)+$T$2)&lt;7),(WEEKDAY($A484)&lt;&gt;1)),"work",(INDEX(Subject!$A:$I,MATCH(RANDBETWEEN(1,(MAX(Subject!$B:$B))),Subject!$B:$B,0),3))))</f>
        <v/>
      </c>
      <c r="L484" s="2" t="str">
        <f t="array" ref="L484">IF(NOW()&gt;AW484,"",IF(AND((WEEKDAY($A484)+$B$2)&gt;1,((WEEKDAY($A484)+$T$2)&lt;7),(WEEKDAY($A484)&lt;&gt;1)),"work",(INDEX(Subject!$A:$I,MATCH(RANDBETWEEN(1,(MAX(Subject!$B:$B))),Subject!$B:$B,0),3))))</f>
        <v/>
      </c>
      <c r="M484" s="2" t="str">
        <f t="array" ref="M484">IF(NOW()&gt;AX484,"",IF(AND((WEEKDAY($A484)+$B$2)&gt;1,((WEEKDAY($A484)+$T$2)&lt;7),(WEEKDAY($A484)&lt;&gt;1)),"work",(INDEX(Subject!$A:$I,MATCH(RANDBETWEEN(1,(MAX(Subject!$B:$B))),Subject!$B:$B,0),3))))</f>
        <v/>
      </c>
      <c r="N484" s="2" t="str">
        <f t="array" ref="N484">IF(NOW()&gt;AY484,"",IF(AND((WEEKDAY($A484)+$B$2)&gt;1,((WEEKDAY($A484)+$T$2)&lt;7),(WEEKDAY($A484)&lt;&gt;1)),"work",(INDEX(Subject!$A:$I,MATCH(RANDBETWEEN(1,(MAX(Subject!$B:$B))),Subject!$B:$B,0),3))))</f>
        <v/>
      </c>
      <c r="O484" s="2" t="str">
        <f t="array" ref="O484">IF(NOW()&gt;AZ484,"",IF(AND((WEEKDAY($A484)+$B$2)&gt;1,((WEEKDAY($A484)+$T$2)&lt;7),(WEEKDAY($A484)&lt;&gt;1)),"work",(INDEX(Subject!$A:$I,MATCH(RANDBETWEEN(1,(MAX(Subject!$B:$B))),Subject!$B:$B,0),3))))</f>
        <v/>
      </c>
      <c r="P484" s="2" t="str">
        <f t="array" ref="P484">IF(NOW()&gt;BA484,"",IF(AND((WEEKDAY($A484)+$B$2)&gt;1,((WEEKDAY($A484)+$T$2)&lt;7),(WEEKDAY($A484)&lt;&gt;1)),"work",(INDEX(Subject!$A:$I,MATCH(RANDBETWEEN(1,(MAX(Subject!$B:$B))),Subject!$B:$B,0),3))))</f>
        <v/>
      </c>
      <c r="Q484" s="2" t="str">
        <f t="array" ref="Q484">IF(NOW()&gt;BB484,"",IF(AND((WEEKDAY($A484)+$B$2)&gt;1,((WEEKDAY($A484)+$T$2)&lt;7),(WEEKDAY($A484)&lt;&gt;1)),"work",(INDEX(Subject!$A:$I,MATCH(RANDBETWEEN(1,(MAX(Subject!$B:$B))),Subject!$B:$B,0),3))))</f>
        <v/>
      </c>
      <c r="R484" s="2" t="str">
        <f t="array" ref="R484">IF(NOW()&gt;BC484,"",IF(AND((WEEKDAY($A484)+$B$2)&gt;1,((WEEKDAY($A484)+$T$2)&lt;7),(WEEKDAY($A484)&lt;&gt;1)),"work",(INDEX(Subject!$A:$I,MATCH(RANDBETWEEN(1,(MAX(Subject!$B:$B))),Subject!$B:$B,0),3))))</f>
        <v/>
      </c>
      <c r="S484" s="2" t="str">
        <f t="array" ref="S484">IF(NOW()&gt;BD484,"",IF(AND((WEEKDAY($A484)+$B$2)&gt;1,((WEEKDAY($A484)+$T$2)&lt;7),(WEEKDAY($A484)&lt;&gt;1)),"work",(INDEX(Subject!$A:$I,MATCH(RANDBETWEEN(1,(MAX(Subject!$B:$B))),Subject!$B:$B,0),3))))</f>
        <v/>
      </c>
      <c r="T484" s="2" t="str">
        <f t="array" ref="T484">IF(NOW()&gt;BE484,"",IF(AND((WEEKDAY($A484)+$B$2)&gt;1,((WEEKDAY($A484)+$T$2)&lt;7),(WEEKDAY($A484)&lt;&gt;1)),"work",(INDEX(Subject!$A:$I,MATCH(RANDBETWEEN(1,(MAX(Subject!$B:$B))),Subject!$B:$B,0),3))))</f>
        <v/>
      </c>
      <c r="U484" s="8" t="str">
        <f t="array" ref="U484">INDEX(Subject!$A:$I,MATCH(RANDBETWEEN(1,16),Subject!$B:$B,0),3)</f>
        <v>#N/A</v>
      </c>
      <c r="V484" s="8" t="str">
        <f t="array" ref="V484">INDEX(Subject!$A:$I,MATCH(RANDBETWEEN(1,16),Subject!$B:$B,0),3)</f>
        <v>#N/A</v>
      </c>
      <c r="W484" s="8" t="str">
        <f t="array" ref="W484">INDEX(Subject!$A:$I,MATCH(RANDBETWEEN(1,16),Subject!$B:$B,0),3)</f>
        <v>#N/A</v>
      </c>
      <c r="X484" s="8" t="str">
        <f t="array" ref="X484">INDEX(Subject!$A:$I,MATCH(RANDBETWEEN(1,16),Subject!$B:$B,0),3)</f>
        <v>#N/A</v>
      </c>
      <c r="Y484" s="8" t="str">
        <f t="array" ref="Y484">INDEX(Subject!$A:$I,MATCH(RANDBETWEEN(1,16),Subject!$B:$B,0),3)</f>
        <v>#N/A</v>
      </c>
      <c r="Z484" s="8" t="str">
        <f t="array" ref="Z484">INDEX(Subject!$A:$I,MATCH(RANDBETWEEN(1,16),Subject!$B:$B,0),3)</f>
        <v>#N/A</v>
      </c>
      <c r="AA484" s="8" t="str">
        <f t="array" ref="AA484">INDEX(Subject!$A:$I,MATCH(RANDBETWEEN(1,16),Subject!$B:$B,0),3)</f>
        <v>#N/A</v>
      </c>
      <c r="AB484" s="8" t="str">
        <f t="array" ref="AB484">INDEX(Subject!$A:$I,MATCH(RANDBETWEEN(1,16),Subject!$B:$B,0),3)</f>
        <v>#N/A</v>
      </c>
      <c r="AC484" s="8" t="str">
        <f t="array" ref="AC484">INDEX(Subject!$A:$I,MATCH(RANDBETWEEN(1,16),Subject!$B:$B,0),3)</f>
        <v>#N/A</v>
      </c>
      <c r="AD484" s="8" t="str">
        <f t="array" ref="AD484">INDEX(Subject!$A:$I,MATCH(RANDBETWEEN(1,16),Subject!$B:$B,0),3)</f>
        <v>#N/A</v>
      </c>
      <c r="AE484" s="8" t="str">
        <f t="array" ref="AE484">INDEX(Subject!$A:$I,MATCH(RANDBETWEEN(1,16),Subject!$B:$B,0),3)</f>
        <v>#N/A</v>
      </c>
      <c r="AF484" s="8" t="str">
        <f t="array" ref="AF484">INDEX(Subject!$A:$I,MATCH(RANDBETWEEN(1,16),Subject!$B:$B,0),3)</f>
        <v>#N/A</v>
      </c>
      <c r="AG484" s="8" t="str">
        <f t="array" ref="AG484">INDEX(Subject!$A:$I,MATCH(RANDBETWEEN(1,16),Subject!$B:$B,0),3)</f>
        <v>#N/A</v>
      </c>
      <c r="AH484" s="8" t="str">
        <f t="array" ref="AH484">INDEX(Subject!$A:$I,MATCH(RANDBETWEEN(1,16),Subject!$B:$B,0),3)</f>
        <v>#N/A</v>
      </c>
      <c r="AI484" s="8" t="str">
        <f t="array" ref="AI484">INDEX(Subject!$A:$I,MATCH(RANDBETWEEN(1,16),Subject!$B:$B,0),3)</f>
        <v>#N/A</v>
      </c>
      <c r="AJ484" s="8" t="str">
        <f t="array" ref="AJ484">INDEX(Subject!$A:$I,MATCH(RANDBETWEEN(1,16),Subject!$B:$B,0),3)</f>
        <v>#N/A</v>
      </c>
      <c r="AK484" s="8" t="str">
        <f t="array" ref="AK484">INDEX(Subject!$A:$I,MATCH(RANDBETWEEN(1,16),Subject!$B:$B,0),3)</f>
        <v>#N/A</v>
      </c>
      <c r="AL484" s="8" t="str">
        <f t="array" ref="AL484">INDEX(Subject!$A:$I,MATCH(RANDBETWEEN(1,16),Subject!$B:$B,0),3)</f>
        <v>#N/A</v>
      </c>
      <c r="AM484" s="18">
        <f t="shared" si="4"/>
        <v>45984.33333</v>
      </c>
      <c r="AN484" s="19">
        <f t="shared" ref="AN484:BZ484" si="484">$A484+C$1</f>
        <v>45984.35417</v>
      </c>
      <c r="AO484" s="19">
        <f t="shared" si="484"/>
        <v>45984.375</v>
      </c>
      <c r="AP484" s="19">
        <f t="shared" si="484"/>
        <v>45984.39583</v>
      </c>
      <c r="AQ484" s="19">
        <f t="shared" si="484"/>
        <v>45984.41667</v>
      </c>
      <c r="AR484" s="19">
        <f t="shared" si="484"/>
        <v>45984.4375</v>
      </c>
      <c r="AS484" s="19">
        <f t="shared" si="484"/>
        <v>45984.45833</v>
      </c>
      <c r="AT484" s="19">
        <f t="shared" si="484"/>
        <v>45984.47917</v>
      </c>
      <c r="AU484" s="19">
        <f t="shared" si="484"/>
        <v>45984.5</v>
      </c>
      <c r="AV484" s="19">
        <f t="shared" si="484"/>
        <v>45984.52083</v>
      </c>
      <c r="AW484" s="19">
        <f t="shared" si="484"/>
        <v>45984.54167</v>
      </c>
      <c r="AX484" s="19">
        <f t="shared" si="484"/>
        <v>45984.5625</v>
      </c>
      <c r="AY484" s="19">
        <f t="shared" si="484"/>
        <v>45984.58333</v>
      </c>
      <c r="AZ484" s="19">
        <f t="shared" si="484"/>
        <v>45984.60417</v>
      </c>
      <c r="BA484" s="19">
        <f t="shared" si="484"/>
        <v>45984.625</v>
      </c>
      <c r="BB484" s="19">
        <f t="shared" si="484"/>
        <v>45984.64583</v>
      </c>
      <c r="BC484" s="19">
        <f t="shared" si="484"/>
        <v>45984.66667</v>
      </c>
      <c r="BD484" s="19">
        <f t="shared" si="484"/>
        <v>45984.6875</v>
      </c>
      <c r="BE484" s="19">
        <f t="shared" si="484"/>
        <v>45984.70833</v>
      </c>
      <c r="BF484" s="19">
        <f t="shared" si="484"/>
        <v>45984.72917</v>
      </c>
      <c r="BG484" s="19">
        <f t="shared" si="484"/>
        <v>45984.75</v>
      </c>
      <c r="BH484" s="19">
        <f t="shared" si="484"/>
        <v>45984.77083</v>
      </c>
      <c r="BI484" s="19">
        <f t="shared" si="484"/>
        <v>45984.79167</v>
      </c>
      <c r="BJ484" s="19">
        <f t="shared" si="484"/>
        <v>45984.8125</v>
      </c>
      <c r="BK484" s="19">
        <f t="shared" si="484"/>
        <v>45984.83333</v>
      </c>
      <c r="BL484" s="19">
        <f t="shared" si="484"/>
        <v>45984.85417</v>
      </c>
      <c r="BM484" s="19">
        <f t="shared" si="484"/>
        <v>45984.875</v>
      </c>
      <c r="BN484" s="19">
        <f t="shared" si="484"/>
        <v>45984.89583</v>
      </c>
      <c r="BO484" s="19">
        <f t="shared" si="484"/>
        <v>45984.91667</v>
      </c>
      <c r="BP484" s="19">
        <f t="shared" si="484"/>
        <v>45984.9375</v>
      </c>
      <c r="BQ484" s="19">
        <f t="shared" si="484"/>
        <v>45984.95833</v>
      </c>
      <c r="BR484" s="19">
        <f t="shared" si="484"/>
        <v>45984.97917</v>
      </c>
      <c r="BS484" s="19">
        <f t="shared" si="484"/>
        <v>45985</v>
      </c>
      <c r="BT484" s="19">
        <f t="shared" si="484"/>
        <v>45985.02083</v>
      </c>
      <c r="BU484" s="19">
        <f t="shared" si="484"/>
        <v>45985.04167</v>
      </c>
      <c r="BV484" s="19">
        <f t="shared" si="484"/>
        <v>45985.0625</v>
      </c>
      <c r="BW484" s="19">
        <f t="shared" si="484"/>
        <v>45985.08333</v>
      </c>
      <c r="BX484" s="19">
        <f t="shared" si="484"/>
        <v>45984</v>
      </c>
      <c r="BY484" s="19">
        <f t="shared" si="484"/>
        <v>45984</v>
      </c>
      <c r="BZ484" s="19">
        <f t="shared" si="484"/>
        <v>45984</v>
      </c>
    </row>
    <row r="485" ht="14.25" customHeight="1">
      <c r="A485" s="17">
        <v>45985.0</v>
      </c>
      <c r="B485" s="2" t="str">
        <f t="array" ref="B485">IF(NOW()&gt;AM485,"",IF(AND((WEEKDAY($A485)+$B$2)&gt;1,((WEEKDAY($A485)+$T$2)&lt;7),(WEEKDAY($A485)&lt;&gt;1)),"work",(INDEX(Subject!$A:$I,MATCH(RANDBETWEEN(1,(MAX(Subject!$B:$B))),Subject!$B:$B,0),3))))</f>
        <v/>
      </c>
      <c r="C485" s="2" t="str">
        <f t="array" ref="C485">IF(NOW()&gt;AN485,"",IF(AND((WEEKDAY($A485)+$B$2)&gt;1,((WEEKDAY($A485)+$T$2)&lt;7),(WEEKDAY($A485)&lt;&gt;1)),"work",(INDEX(Subject!$A:$I,MATCH(RANDBETWEEN(1,(MAX(Subject!$B:$B))),Subject!$B:$B,0),3))))</f>
        <v/>
      </c>
      <c r="D485" s="2" t="str">
        <f t="array" ref="D485">IF(NOW()&gt;AO485,"",IF(AND((WEEKDAY($A485)+$B$2)&gt;1,((WEEKDAY($A485)+$T$2)&lt;7),(WEEKDAY($A485)&lt;&gt;1)),"work",(INDEX(Subject!$A:$I,MATCH(RANDBETWEEN(1,(MAX(Subject!$B:$B))),Subject!$B:$B,0),3))))</f>
        <v/>
      </c>
      <c r="E485" s="2" t="str">
        <f t="array" ref="E485">IF(NOW()&gt;AP485,"",IF(AND((WEEKDAY($A485)+$B$2)&gt;1,((WEEKDAY($A485)+$T$2)&lt;7),(WEEKDAY($A485)&lt;&gt;1)),"work",(INDEX(Subject!$A:$I,MATCH(RANDBETWEEN(1,(MAX(Subject!$B:$B))),Subject!$B:$B,0),3))))</f>
        <v/>
      </c>
      <c r="F485" s="2" t="str">
        <f t="array" ref="F485">IF(NOW()&gt;AQ485,"",IF(AND((WEEKDAY($A485)+$B$2)&gt;1,((WEEKDAY($A485)+$T$2)&lt;7),(WEEKDAY($A485)&lt;&gt;1)),"work",(INDEX(Subject!$A:$I,MATCH(RANDBETWEEN(1,(MAX(Subject!$B:$B))),Subject!$B:$B,0),3))))</f>
        <v/>
      </c>
      <c r="G485" s="2" t="str">
        <f t="array" ref="G485">IF(NOW()&gt;AR485,"",IF(AND((WEEKDAY($A485)+$B$2)&gt;1,((WEEKDAY($A485)+$T$2)&lt;7),(WEEKDAY($A485)&lt;&gt;1)),"work",(INDEX(Subject!$A:$I,MATCH(RANDBETWEEN(1,(MAX(Subject!$B:$B))),Subject!$B:$B,0),3))))</f>
        <v/>
      </c>
      <c r="H485" s="2" t="str">
        <f t="array" ref="H485">IF(NOW()&gt;AS485,"",IF(AND((WEEKDAY($A485)+$B$2)&gt;1,((WEEKDAY($A485)+$T$2)&lt;7),(WEEKDAY($A485)&lt;&gt;1)),"work",(INDEX(Subject!$A:$I,MATCH(RANDBETWEEN(1,(MAX(Subject!$B:$B))),Subject!$B:$B,0),3))))</f>
        <v/>
      </c>
      <c r="I485" s="2" t="str">
        <f t="array" ref="I485">IF(NOW()&gt;AT485,"",IF(AND((WEEKDAY($A485)+$B$2)&gt;1,((WEEKDAY($A485)+$T$2)&lt;7),(WEEKDAY($A485)&lt;&gt;1)),"work",(INDEX(Subject!$A:$I,MATCH(RANDBETWEEN(1,(MAX(Subject!$B:$B))),Subject!$B:$B,0),3))))</f>
        <v/>
      </c>
      <c r="J485" s="2" t="str">
        <f t="array" ref="J485">IF(NOW()&gt;AU485,"",IF(AND((WEEKDAY($A485)+$B$2)&gt;1,((WEEKDAY($A485)+$T$2)&lt;7),(WEEKDAY($A485)&lt;&gt;1)),"work",(INDEX(Subject!$A:$I,MATCH(RANDBETWEEN(1,(MAX(Subject!$B:$B))),Subject!$B:$B,0),3))))</f>
        <v/>
      </c>
      <c r="K485" s="2" t="str">
        <f t="array" ref="K485">IF(NOW()&gt;AV485,"",IF(AND((WEEKDAY($A485)+$B$2)&gt;1,((WEEKDAY($A485)+$T$2)&lt;7),(WEEKDAY($A485)&lt;&gt;1)),"work",(INDEX(Subject!$A:$I,MATCH(RANDBETWEEN(1,(MAX(Subject!$B:$B))),Subject!$B:$B,0),3))))</f>
        <v/>
      </c>
      <c r="L485" s="2" t="str">
        <f t="array" ref="L485">IF(NOW()&gt;AW485,"",IF(AND((WEEKDAY($A485)+$B$2)&gt;1,((WEEKDAY($A485)+$T$2)&lt;7),(WEEKDAY($A485)&lt;&gt;1)),"work",(INDEX(Subject!$A:$I,MATCH(RANDBETWEEN(1,(MAX(Subject!$B:$B))),Subject!$B:$B,0),3))))</f>
        <v/>
      </c>
      <c r="M485" s="2" t="str">
        <f t="array" ref="M485">IF(NOW()&gt;AX485,"",IF(AND((WEEKDAY($A485)+$B$2)&gt;1,((WEEKDAY($A485)+$T$2)&lt;7),(WEEKDAY($A485)&lt;&gt;1)),"work",(INDEX(Subject!$A:$I,MATCH(RANDBETWEEN(1,(MAX(Subject!$B:$B))),Subject!$B:$B,0),3))))</f>
        <v/>
      </c>
      <c r="N485" s="2" t="str">
        <f t="array" ref="N485">IF(NOW()&gt;AY485,"",IF(AND((WEEKDAY($A485)+$B$2)&gt;1,((WEEKDAY($A485)+$T$2)&lt;7),(WEEKDAY($A485)&lt;&gt;1)),"work",(INDEX(Subject!$A:$I,MATCH(RANDBETWEEN(1,(MAX(Subject!$B:$B))),Subject!$B:$B,0),3))))</f>
        <v/>
      </c>
      <c r="O485" s="2" t="str">
        <f t="array" ref="O485">IF(NOW()&gt;AZ485,"",IF(AND((WEEKDAY($A485)+$B$2)&gt;1,((WEEKDAY($A485)+$T$2)&lt;7),(WEEKDAY($A485)&lt;&gt;1)),"work",(INDEX(Subject!$A:$I,MATCH(RANDBETWEEN(1,(MAX(Subject!$B:$B))),Subject!$B:$B,0),3))))</f>
        <v/>
      </c>
      <c r="P485" s="2" t="str">
        <f t="array" ref="P485">IF(NOW()&gt;BA485,"",IF(AND((WEEKDAY($A485)+$B$2)&gt;1,((WEEKDAY($A485)+$T$2)&lt;7),(WEEKDAY($A485)&lt;&gt;1)),"work",(INDEX(Subject!$A:$I,MATCH(RANDBETWEEN(1,(MAX(Subject!$B:$B))),Subject!$B:$B,0),3))))</f>
        <v/>
      </c>
      <c r="Q485" s="2" t="str">
        <f t="array" ref="Q485">IF(NOW()&gt;BB485,"",IF(AND((WEEKDAY($A485)+$B$2)&gt;1,((WEEKDAY($A485)+$T$2)&lt;7),(WEEKDAY($A485)&lt;&gt;1)),"work",(INDEX(Subject!$A:$I,MATCH(RANDBETWEEN(1,(MAX(Subject!$B:$B))),Subject!$B:$B,0),3))))</f>
        <v/>
      </c>
      <c r="R485" s="2" t="str">
        <f t="array" ref="R485">IF(NOW()&gt;BC485,"",IF(AND((WEEKDAY($A485)+$B$2)&gt;1,((WEEKDAY($A485)+$T$2)&lt;7),(WEEKDAY($A485)&lt;&gt;1)),"work",(INDEX(Subject!$A:$I,MATCH(RANDBETWEEN(1,(MAX(Subject!$B:$B))),Subject!$B:$B,0),3))))</f>
        <v/>
      </c>
      <c r="S485" s="2" t="str">
        <f t="array" ref="S485">IF(NOW()&gt;BD485,"",IF(AND((WEEKDAY($A485)+$B$2)&gt;1,((WEEKDAY($A485)+$T$2)&lt;7),(WEEKDAY($A485)&lt;&gt;1)),"work",(INDEX(Subject!$A:$I,MATCH(RANDBETWEEN(1,(MAX(Subject!$B:$B))),Subject!$B:$B,0),3))))</f>
        <v/>
      </c>
      <c r="T485" s="2" t="str">
        <f t="array" ref="T485">IF(NOW()&gt;BE485,"",IF(AND((WEEKDAY($A485)+$B$2)&gt;1,((WEEKDAY($A485)+$T$2)&lt;7),(WEEKDAY($A485)&lt;&gt;1)),"work",(INDEX(Subject!$A:$I,MATCH(RANDBETWEEN(1,(MAX(Subject!$B:$B))),Subject!$B:$B,0),3))))</f>
        <v/>
      </c>
      <c r="U485" s="8" t="str">
        <f t="array" ref="U485">INDEX(Subject!$A:$I,MATCH(RANDBETWEEN(1,16),Subject!$B:$B,0),3)</f>
        <v>#N/A</v>
      </c>
      <c r="V485" s="8" t="str">
        <f t="array" ref="V485">INDEX(Subject!$A:$I,MATCH(RANDBETWEEN(1,16),Subject!$B:$B,0),3)</f>
        <v>#N/A</v>
      </c>
      <c r="W485" s="8" t="str">
        <f t="array" ref="W485">INDEX(Subject!$A:$I,MATCH(RANDBETWEEN(1,16),Subject!$B:$B,0),3)</f>
        <v>#N/A</v>
      </c>
      <c r="X485" s="8" t="str">
        <f t="array" ref="X485">INDEX(Subject!$A:$I,MATCH(RANDBETWEEN(1,16),Subject!$B:$B,0),3)</f>
        <v>#N/A</v>
      </c>
      <c r="Y485" s="8" t="str">
        <f t="array" ref="Y485">INDEX(Subject!$A:$I,MATCH(RANDBETWEEN(1,16),Subject!$B:$B,0),3)</f>
        <v>#N/A</v>
      </c>
      <c r="Z485" s="8" t="str">
        <f t="array" ref="Z485">INDEX(Subject!$A:$I,MATCH(RANDBETWEEN(1,16),Subject!$B:$B,0),3)</f>
        <v>#N/A</v>
      </c>
      <c r="AA485" s="8" t="str">
        <f t="array" ref="AA485">INDEX(Subject!$A:$I,MATCH(RANDBETWEEN(1,16),Subject!$B:$B,0),3)</f>
        <v>#N/A</v>
      </c>
      <c r="AB485" s="8" t="str">
        <f t="array" ref="AB485">INDEX(Subject!$A:$I,MATCH(RANDBETWEEN(1,16),Subject!$B:$B,0),3)</f>
        <v>#N/A</v>
      </c>
      <c r="AC485" s="8" t="str">
        <f t="array" ref="AC485">INDEX(Subject!$A:$I,MATCH(RANDBETWEEN(1,16),Subject!$B:$B,0),3)</f>
        <v>#N/A</v>
      </c>
      <c r="AD485" s="8" t="str">
        <f t="array" ref="AD485">INDEX(Subject!$A:$I,MATCH(RANDBETWEEN(1,16),Subject!$B:$B,0),3)</f>
        <v>#N/A</v>
      </c>
      <c r="AE485" s="8" t="str">
        <f t="array" ref="AE485">INDEX(Subject!$A:$I,MATCH(RANDBETWEEN(1,16),Subject!$B:$B,0),3)</f>
        <v>#N/A</v>
      </c>
      <c r="AF485" s="8" t="str">
        <f t="array" ref="AF485">INDEX(Subject!$A:$I,MATCH(RANDBETWEEN(1,16),Subject!$B:$B,0),3)</f>
        <v/>
      </c>
      <c r="AG485" s="8" t="str">
        <f t="array" ref="AG485">INDEX(Subject!$A:$I,MATCH(RANDBETWEEN(1,16),Subject!$B:$B,0),3)</f>
        <v>#N/A</v>
      </c>
      <c r="AH485" s="8" t="str">
        <f t="array" ref="AH485">INDEX(Subject!$A:$I,MATCH(RANDBETWEEN(1,16),Subject!$B:$B,0),3)</f>
        <v>#N/A</v>
      </c>
      <c r="AI485" s="8" t="str">
        <f t="array" ref="AI485">INDEX(Subject!$A:$I,MATCH(RANDBETWEEN(1,16),Subject!$B:$B,0),3)</f>
        <v>#N/A</v>
      </c>
      <c r="AJ485" s="8" t="str">
        <f t="array" ref="AJ485">INDEX(Subject!$A:$I,MATCH(RANDBETWEEN(1,16),Subject!$B:$B,0),3)</f>
        <v>#N/A</v>
      </c>
      <c r="AK485" s="8" t="str">
        <f t="array" ref="AK485">INDEX(Subject!$A:$I,MATCH(RANDBETWEEN(1,16),Subject!$B:$B,0),3)</f>
        <v>#N/A</v>
      </c>
      <c r="AL485" s="8" t="str">
        <f t="array" ref="AL485">INDEX(Subject!$A:$I,MATCH(RANDBETWEEN(1,16),Subject!$B:$B,0),3)</f>
        <v>#N/A</v>
      </c>
      <c r="AM485" s="18">
        <f t="shared" si="4"/>
        <v>45985.33333</v>
      </c>
      <c r="AN485" s="19">
        <f t="shared" ref="AN485:BZ485" si="485">$A485+C$1</f>
        <v>45985.35417</v>
      </c>
      <c r="AO485" s="19">
        <f t="shared" si="485"/>
        <v>45985.375</v>
      </c>
      <c r="AP485" s="19">
        <f t="shared" si="485"/>
        <v>45985.39583</v>
      </c>
      <c r="AQ485" s="19">
        <f t="shared" si="485"/>
        <v>45985.41667</v>
      </c>
      <c r="AR485" s="19">
        <f t="shared" si="485"/>
        <v>45985.4375</v>
      </c>
      <c r="AS485" s="19">
        <f t="shared" si="485"/>
        <v>45985.45833</v>
      </c>
      <c r="AT485" s="19">
        <f t="shared" si="485"/>
        <v>45985.47917</v>
      </c>
      <c r="AU485" s="19">
        <f t="shared" si="485"/>
        <v>45985.5</v>
      </c>
      <c r="AV485" s="19">
        <f t="shared" si="485"/>
        <v>45985.52083</v>
      </c>
      <c r="AW485" s="19">
        <f t="shared" si="485"/>
        <v>45985.54167</v>
      </c>
      <c r="AX485" s="19">
        <f t="shared" si="485"/>
        <v>45985.5625</v>
      </c>
      <c r="AY485" s="19">
        <f t="shared" si="485"/>
        <v>45985.58333</v>
      </c>
      <c r="AZ485" s="19">
        <f t="shared" si="485"/>
        <v>45985.60417</v>
      </c>
      <c r="BA485" s="19">
        <f t="shared" si="485"/>
        <v>45985.625</v>
      </c>
      <c r="BB485" s="19">
        <f t="shared" si="485"/>
        <v>45985.64583</v>
      </c>
      <c r="BC485" s="19">
        <f t="shared" si="485"/>
        <v>45985.66667</v>
      </c>
      <c r="BD485" s="19">
        <f t="shared" si="485"/>
        <v>45985.6875</v>
      </c>
      <c r="BE485" s="19">
        <f t="shared" si="485"/>
        <v>45985.70833</v>
      </c>
      <c r="BF485" s="19">
        <f t="shared" si="485"/>
        <v>45985.72917</v>
      </c>
      <c r="BG485" s="19">
        <f t="shared" si="485"/>
        <v>45985.75</v>
      </c>
      <c r="BH485" s="19">
        <f t="shared" si="485"/>
        <v>45985.77083</v>
      </c>
      <c r="BI485" s="19">
        <f t="shared" si="485"/>
        <v>45985.79167</v>
      </c>
      <c r="BJ485" s="19">
        <f t="shared" si="485"/>
        <v>45985.8125</v>
      </c>
      <c r="BK485" s="19">
        <f t="shared" si="485"/>
        <v>45985.83333</v>
      </c>
      <c r="BL485" s="19">
        <f t="shared" si="485"/>
        <v>45985.85417</v>
      </c>
      <c r="BM485" s="19">
        <f t="shared" si="485"/>
        <v>45985.875</v>
      </c>
      <c r="BN485" s="19">
        <f t="shared" si="485"/>
        <v>45985.89583</v>
      </c>
      <c r="BO485" s="19">
        <f t="shared" si="485"/>
        <v>45985.91667</v>
      </c>
      <c r="BP485" s="19">
        <f t="shared" si="485"/>
        <v>45985.9375</v>
      </c>
      <c r="BQ485" s="19">
        <f t="shared" si="485"/>
        <v>45985.95833</v>
      </c>
      <c r="BR485" s="19">
        <f t="shared" si="485"/>
        <v>45985.97917</v>
      </c>
      <c r="BS485" s="19">
        <f t="shared" si="485"/>
        <v>45986</v>
      </c>
      <c r="BT485" s="19">
        <f t="shared" si="485"/>
        <v>45986.02083</v>
      </c>
      <c r="BU485" s="19">
        <f t="shared" si="485"/>
        <v>45986.04167</v>
      </c>
      <c r="BV485" s="19">
        <f t="shared" si="485"/>
        <v>45986.0625</v>
      </c>
      <c r="BW485" s="19">
        <f t="shared" si="485"/>
        <v>45986.08333</v>
      </c>
      <c r="BX485" s="19">
        <f t="shared" si="485"/>
        <v>45985</v>
      </c>
      <c r="BY485" s="19">
        <f t="shared" si="485"/>
        <v>45985</v>
      </c>
      <c r="BZ485" s="19">
        <f t="shared" si="485"/>
        <v>45985</v>
      </c>
    </row>
    <row r="486" ht="14.25" customHeight="1">
      <c r="A486" s="17">
        <v>45986.0</v>
      </c>
      <c r="B486" s="2" t="str">
        <f t="array" ref="B486">IF(NOW()&gt;AM486,"",IF(AND((WEEKDAY($A486)+$B$2)&gt;1,((WEEKDAY($A486)+$T$2)&lt;7),(WEEKDAY($A486)&lt;&gt;1)),"work",(INDEX(Subject!$A:$I,MATCH(RANDBETWEEN(1,(MAX(Subject!$B:$B))),Subject!$B:$B,0),3))))</f>
        <v/>
      </c>
      <c r="C486" s="2" t="str">
        <f t="array" ref="C486">IF(NOW()&gt;AN486,"",IF(AND((WEEKDAY($A486)+$B$2)&gt;1,((WEEKDAY($A486)+$T$2)&lt;7),(WEEKDAY($A486)&lt;&gt;1)),"work",(INDEX(Subject!$A:$I,MATCH(RANDBETWEEN(1,(MAX(Subject!$B:$B))),Subject!$B:$B,0),3))))</f>
        <v/>
      </c>
      <c r="D486" s="2" t="str">
        <f t="array" ref="D486">IF(NOW()&gt;AO486,"",IF(AND((WEEKDAY($A486)+$B$2)&gt;1,((WEEKDAY($A486)+$T$2)&lt;7),(WEEKDAY($A486)&lt;&gt;1)),"work",(INDEX(Subject!$A:$I,MATCH(RANDBETWEEN(1,(MAX(Subject!$B:$B))),Subject!$B:$B,0),3))))</f>
        <v/>
      </c>
      <c r="E486" s="2" t="str">
        <f t="array" ref="E486">IF(NOW()&gt;AP486,"",IF(AND((WEEKDAY($A486)+$B$2)&gt;1,((WEEKDAY($A486)+$T$2)&lt;7),(WEEKDAY($A486)&lt;&gt;1)),"work",(INDEX(Subject!$A:$I,MATCH(RANDBETWEEN(1,(MAX(Subject!$B:$B))),Subject!$B:$B,0),3))))</f>
        <v/>
      </c>
      <c r="F486" s="2" t="str">
        <f t="array" ref="F486">IF(NOW()&gt;AQ486,"",IF(AND((WEEKDAY($A486)+$B$2)&gt;1,((WEEKDAY($A486)+$T$2)&lt;7),(WEEKDAY($A486)&lt;&gt;1)),"work",(INDEX(Subject!$A:$I,MATCH(RANDBETWEEN(1,(MAX(Subject!$B:$B))),Subject!$B:$B,0),3))))</f>
        <v/>
      </c>
      <c r="G486" s="2" t="str">
        <f t="array" ref="G486">IF(NOW()&gt;AR486,"",IF(AND((WEEKDAY($A486)+$B$2)&gt;1,((WEEKDAY($A486)+$T$2)&lt;7),(WEEKDAY($A486)&lt;&gt;1)),"work",(INDEX(Subject!$A:$I,MATCH(RANDBETWEEN(1,(MAX(Subject!$B:$B))),Subject!$B:$B,0),3))))</f>
        <v/>
      </c>
      <c r="H486" s="2" t="str">
        <f t="array" ref="H486">IF(NOW()&gt;AS486,"",IF(AND((WEEKDAY($A486)+$B$2)&gt;1,((WEEKDAY($A486)+$T$2)&lt;7),(WEEKDAY($A486)&lt;&gt;1)),"work",(INDEX(Subject!$A:$I,MATCH(RANDBETWEEN(1,(MAX(Subject!$B:$B))),Subject!$B:$B,0),3))))</f>
        <v/>
      </c>
      <c r="I486" s="2" t="str">
        <f t="array" ref="I486">IF(NOW()&gt;AT486,"",IF(AND((WEEKDAY($A486)+$B$2)&gt;1,((WEEKDAY($A486)+$T$2)&lt;7),(WEEKDAY($A486)&lt;&gt;1)),"work",(INDEX(Subject!$A:$I,MATCH(RANDBETWEEN(1,(MAX(Subject!$B:$B))),Subject!$B:$B,0),3))))</f>
        <v/>
      </c>
      <c r="J486" s="2" t="str">
        <f t="array" ref="J486">IF(NOW()&gt;AU486,"",IF(AND((WEEKDAY($A486)+$B$2)&gt;1,((WEEKDAY($A486)+$T$2)&lt;7),(WEEKDAY($A486)&lt;&gt;1)),"work",(INDEX(Subject!$A:$I,MATCH(RANDBETWEEN(1,(MAX(Subject!$B:$B))),Subject!$B:$B,0),3))))</f>
        <v/>
      </c>
      <c r="K486" s="2" t="str">
        <f t="array" ref="K486">IF(NOW()&gt;AV486,"",IF(AND((WEEKDAY($A486)+$B$2)&gt;1,((WEEKDAY($A486)+$T$2)&lt;7),(WEEKDAY($A486)&lt;&gt;1)),"work",(INDEX(Subject!$A:$I,MATCH(RANDBETWEEN(1,(MAX(Subject!$B:$B))),Subject!$B:$B,0),3))))</f>
        <v/>
      </c>
      <c r="L486" s="2" t="str">
        <f t="array" ref="L486">IF(NOW()&gt;AW486,"",IF(AND((WEEKDAY($A486)+$B$2)&gt;1,((WEEKDAY($A486)+$T$2)&lt;7),(WEEKDAY($A486)&lt;&gt;1)),"work",(INDEX(Subject!$A:$I,MATCH(RANDBETWEEN(1,(MAX(Subject!$B:$B))),Subject!$B:$B,0),3))))</f>
        <v/>
      </c>
      <c r="M486" s="2" t="str">
        <f t="array" ref="M486">IF(NOW()&gt;AX486,"",IF(AND((WEEKDAY($A486)+$B$2)&gt;1,((WEEKDAY($A486)+$T$2)&lt;7),(WEEKDAY($A486)&lt;&gt;1)),"work",(INDEX(Subject!$A:$I,MATCH(RANDBETWEEN(1,(MAX(Subject!$B:$B))),Subject!$B:$B,0),3))))</f>
        <v/>
      </c>
      <c r="N486" s="2" t="str">
        <f t="array" ref="N486">IF(NOW()&gt;AY486,"",IF(AND((WEEKDAY($A486)+$B$2)&gt;1,((WEEKDAY($A486)+$T$2)&lt;7),(WEEKDAY($A486)&lt;&gt;1)),"work",(INDEX(Subject!$A:$I,MATCH(RANDBETWEEN(1,(MAX(Subject!$B:$B))),Subject!$B:$B,0),3))))</f>
        <v/>
      </c>
      <c r="O486" s="2" t="str">
        <f t="array" ref="O486">IF(NOW()&gt;AZ486,"",IF(AND((WEEKDAY($A486)+$B$2)&gt;1,((WEEKDAY($A486)+$T$2)&lt;7),(WEEKDAY($A486)&lt;&gt;1)),"work",(INDEX(Subject!$A:$I,MATCH(RANDBETWEEN(1,(MAX(Subject!$B:$B))),Subject!$B:$B,0),3))))</f>
        <v/>
      </c>
      <c r="P486" s="2" t="str">
        <f t="array" ref="P486">IF(NOW()&gt;BA486,"",IF(AND((WEEKDAY($A486)+$B$2)&gt;1,((WEEKDAY($A486)+$T$2)&lt;7),(WEEKDAY($A486)&lt;&gt;1)),"work",(INDEX(Subject!$A:$I,MATCH(RANDBETWEEN(1,(MAX(Subject!$B:$B))),Subject!$B:$B,0),3))))</f>
        <v/>
      </c>
      <c r="Q486" s="2" t="str">
        <f t="array" ref="Q486">IF(NOW()&gt;BB486,"",IF(AND((WEEKDAY($A486)+$B$2)&gt;1,((WEEKDAY($A486)+$T$2)&lt;7),(WEEKDAY($A486)&lt;&gt;1)),"work",(INDEX(Subject!$A:$I,MATCH(RANDBETWEEN(1,(MAX(Subject!$B:$B))),Subject!$B:$B,0),3))))</f>
        <v/>
      </c>
      <c r="R486" s="2" t="str">
        <f t="array" ref="R486">IF(NOW()&gt;BC486,"",IF(AND((WEEKDAY($A486)+$B$2)&gt;1,((WEEKDAY($A486)+$T$2)&lt;7),(WEEKDAY($A486)&lt;&gt;1)),"work",(INDEX(Subject!$A:$I,MATCH(RANDBETWEEN(1,(MAX(Subject!$B:$B))),Subject!$B:$B,0),3))))</f>
        <v/>
      </c>
      <c r="S486" s="2" t="str">
        <f t="array" ref="S486">IF(NOW()&gt;BD486,"",IF(AND((WEEKDAY($A486)+$B$2)&gt;1,((WEEKDAY($A486)+$T$2)&lt;7),(WEEKDAY($A486)&lt;&gt;1)),"work",(INDEX(Subject!$A:$I,MATCH(RANDBETWEEN(1,(MAX(Subject!$B:$B))),Subject!$B:$B,0),3))))</f>
        <v/>
      </c>
      <c r="T486" s="2" t="str">
        <f t="array" ref="T486">IF(NOW()&gt;BE486,"",IF(AND((WEEKDAY($A486)+$B$2)&gt;1,((WEEKDAY($A486)+$T$2)&lt;7),(WEEKDAY($A486)&lt;&gt;1)),"work",(INDEX(Subject!$A:$I,MATCH(RANDBETWEEN(1,(MAX(Subject!$B:$B))),Subject!$B:$B,0),3))))</f>
        <v/>
      </c>
      <c r="U486" s="8" t="str">
        <f t="array" ref="U486">INDEX(Subject!$A:$I,MATCH(RANDBETWEEN(1,16),Subject!$B:$B,0),3)</f>
        <v>#N/A</v>
      </c>
      <c r="V486" s="8" t="str">
        <f t="array" ref="V486">INDEX(Subject!$A:$I,MATCH(RANDBETWEEN(1,16),Subject!$B:$B,0),3)</f>
        <v>#N/A</v>
      </c>
      <c r="W486" s="8" t="str">
        <f t="array" ref="W486">INDEX(Subject!$A:$I,MATCH(RANDBETWEEN(1,16),Subject!$B:$B,0),3)</f>
        <v>#N/A</v>
      </c>
      <c r="X486" s="8" t="str">
        <f t="array" ref="X486">INDEX(Subject!$A:$I,MATCH(RANDBETWEEN(1,16),Subject!$B:$B,0),3)</f>
        <v>#N/A</v>
      </c>
      <c r="Y486" s="8" t="str">
        <f t="array" ref="Y486">INDEX(Subject!$A:$I,MATCH(RANDBETWEEN(1,16),Subject!$B:$B,0),3)</f>
        <v>#N/A</v>
      </c>
      <c r="Z486" s="8" t="str">
        <f t="array" ref="Z486">INDEX(Subject!$A:$I,MATCH(RANDBETWEEN(1,16),Subject!$B:$B,0),3)</f>
        <v>#N/A</v>
      </c>
      <c r="AA486" s="8" t="str">
        <f t="array" ref="AA486">INDEX(Subject!$A:$I,MATCH(RANDBETWEEN(1,16),Subject!$B:$B,0),3)</f>
        <v>#N/A</v>
      </c>
      <c r="AB486" s="8" t="str">
        <f t="array" ref="AB486">INDEX(Subject!$A:$I,MATCH(RANDBETWEEN(1,16),Subject!$B:$B,0),3)</f>
        <v/>
      </c>
      <c r="AC486" s="8" t="str">
        <f t="array" ref="AC486">INDEX(Subject!$A:$I,MATCH(RANDBETWEEN(1,16),Subject!$B:$B,0),3)</f>
        <v>#N/A</v>
      </c>
      <c r="AD486" s="8" t="str">
        <f t="array" ref="AD486">INDEX(Subject!$A:$I,MATCH(RANDBETWEEN(1,16),Subject!$B:$B,0),3)</f>
        <v>#N/A</v>
      </c>
      <c r="AE486" s="8" t="str">
        <f t="array" ref="AE486">INDEX(Subject!$A:$I,MATCH(RANDBETWEEN(1,16),Subject!$B:$B,0),3)</f>
        <v>#N/A</v>
      </c>
      <c r="AF486" s="8" t="str">
        <f t="array" ref="AF486">INDEX(Subject!$A:$I,MATCH(RANDBETWEEN(1,16),Subject!$B:$B,0),3)</f>
        <v>#N/A</v>
      </c>
      <c r="AG486" s="8" t="str">
        <f t="array" ref="AG486">INDEX(Subject!$A:$I,MATCH(RANDBETWEEN(1,16),Subject!$B:$B,0),3)</f>
        <v>#N/A</v>
      </c>
      <c r="AH486" s="8" t="str">
        <f t="array" ref="AH486">INDEX(Subject!$A:$I,MATCH(RANDBETWEEN(1,16),Subject!$B:$B,0),3)</f>
        <v>#N/A</v>
      </c>
      <c r="AI486" s="8" t="str">
        <f t="array" ref="AI486">INDEX(Subject!$A:$I,MATCH(RANDBETWEEN(1,16),Subject!$B:$B,0),3)</f>
        <v>#N/A</v>
      </c>
      <c r="AJ486" s="8" t="str">
        <f t="array" ref="AJ486">INDEX(Subject!$A:$I,MATCH(RANDBETWEEN(1,16),Subject!$B:$B,0),3)</f>
        <v>#N/A</v>
      </c>
      <c r="AK486" s="8" t="str">
        <f t="array" ref="AK486">INDEX(Subject!$A:$I,MATCH(RANDBETWEEN(1,16),Subject!$B:$B,0),3)</f>
        <v>#N/A</v>
      </c>
      <c r="AL486" s="8" t="str">
        <f t="array" ref="AL486">INDEX(Subject!$A:$I,MATCH(RANDBETWEEN(1,16),Subject!$B:$B,0),3)</f>
        <v>#N/A</v>
      </c>
      <c r="AM486" s="18">
        <f t="shared" si="4"/>
        <v>45986.33333</v>
      </c>
      <c r="AN486" s="19">
        <f t="shared" ref="AN486:BZ486" si="486">$A486+C$1</f>
        <v>45986.35417</v>
      </c>
      <c r="AO486" s="19">
        <f t="shared" si="486"/>
        <v>45986.375</v>
      </c>
      <c r="AP486" s="19">
        <f t="shared" si="486"/>
        <v>45986.39583</v>
      </c>
      <c r="AQ486" s="19">
        <f t="shared" si="486"/>
        <v>45986.41667</v>
      </c>
      <c r="AR486" s="19">
        <f t="shared" si="486"/>
        <v>45986.4375</v>
      </c>
      <c r="AS486" s="19">
        <f t="shared" si="486"/>
        <v>45986.45833</v>
      </c>
      <c r="AT486" s="19">
        <f t="shared" si="486"/>
        <v>45986.47917</v>
      </c>
      <c r="AU486" s="19">
        <f t="shared" si="486"/>
        <v>45986.5</v>
      </c>
      <c r="AV486" s="19">
        <f t="shared" si="486"/>
        <v>45986.52083</v>
      </c>
      <c r="AW486" s="19">
        <f t="shared" si="486"/>
        <v>45986.54167</v>
      </c>
      <c r="AX486" s="19">
        <f t="shared" si="486"/>
        <v>45986.5625</v>
      </c>
      <c r="AY486" s="19">
        <f t="shared" si="486"/>
        <v>45986.58333</v>
      </c>
      <c r="AZ486" s="19">
        <f t="shared" si="486"/>
        <v>45986.60417</v>
      </c>
      <c r="BA486" s="19">
        <f t="shared" si="486"/>
        <v>45986.625</v>
      </c>
      <c r="BB486" s="19">
        <f t="shared" si="486"/>
        <v>45986.64583</v>
      </c>
      <c r="BC486" s="19">
        <f t="shared" si="486"/>
        <v>45986.66667</v>
      </c>
      <c r="BD486" s="19">
        <f t="shared" si="486"/>
        <v>45986.6875</v>
      </c>
      <c r="BE486" s="19">
        <f t="shared" si="486"/>
        <v>45986.70833</v>
      </c>
      <c r="BF486" s="19">
        <f t="shared" si="486"/>
        <v>45986.72917</v>
      </c>
      <c r="BG486" s="19">
        <f t="shared" si="486"/>
        <v>45986.75</v>
      </c>
      <c r="BH486" s="19">
        <f t="shared" si="486"/>
        <v>45986.77083</v>
      </c>
      <c r="BI486" s="19">
        <f t="shared" si="486"/>
        <v>45986.79167</v>
      </c>
      <c r="BJ486" s="19">
        <f t="shared" si="486"/>
        <v>45986.8125</v>
      </c>
      <c r="BK486" s="19">
        <f t="shared" si="486"/>
        <v>45986.83333</v>
      </c>
      <c r="BL486" s="19">
        <f t="shared" si="486"/>
        <v>45986.85417</v>
      </c>
      <c r="BM486" s="19">
        <f t="shared" si="486"/>
        <v>45986.875</v>
      </c>
      <c r="BN486" s="19">
        <f t="shared" si="486"/>
        <v>45986.89583</v>
      </c>
      <c r="BO486" s="19">
        <f t="shared" si="486"/>
        <v>45986.91667</v>
      </c>
      <c r="BP486" s="19">
        <f t="shared" si="486"/>
        <v>45986.9375</v>
      </c>
      <c r="BQ486" s="19">
        <f t="shared" si="486"/>
        <v>45986.95833</v>
      </c>
      <c r="BR486" s="19">
        <f t="shared" si="486"/>
        <v>45986.97917</v>
      </c>
      <c r="BS486" s="19">
        <f t="shared" si="486"/>
        <v>45987</v>
      </c>
      <c r="BT486" s="19">
        <f t="shared" si="486"/>
        <v>45987.02083</v>
      </c>
      <c r="BU486" s="19">
        <f t="shared" si="486"/>
        <v>45987.04167</v>
      </c>
      <c r="BV486" s="19">
        <f t="shared" si="486"/>
        <v>45987.0625</v>
      </c>
      <c r="BW486" s="19">
        <f t="shared" si="486"/>
        <v>45987.08333</v>
      </c>
      <c r="BX486" s="19">
        <f t="shared" si="486"/>
        <v>45986</v>
      </c>
      <c r="BY486" s="19">
        <f t="shared" si="486"/>
        <v>45986</v>
      </c>
      <c r="BZ486" s="19">
        <f t="shared" si="486"/>
        <v>45986</v>
      </c>
    </row>
    <row r="487" ht="14.25" customHeight="1">
      <c r="A487" s="17">
        <v>45987.0</v>
      </c>
      <c r="B487" s="2" t="str">
        <f t="array" ref="B487">IF(NOW()&gt;AM487,"",IF(AND((WEEKDAY($A487)+$B$2)&gt;1,((WEEKDAY($A487)+$T$2)&lt;7),(WEEKDAY($A487)&lt;&gt;1)),"work",(INDEX(Subject!$A:$I,MATCH(RANDBETWEEN(1,(MAX(Subject!$B:$B))),Subject!$B:$B,0),3))))</f>
        <v/>
      </c>
      <c r="C487" s="2" t="str">
        <f t="array" ref="C487">IF(NOW()&gt;AN487,"",IF(AND((WEEKDAY($A487)+$B$2)&gt;1,((WEEKDAY($A487)+$T$2)&lt;7),(WEEKDAY($A487)&lt;&gt;1)),"work",(INDEX(Subject!$A:$I,MATCH(RANDBETWEEN(1,(MAX(Subject!$B:$B))),Subject!$B:$B,0),3))))</f>
        <v/>
      </c>
      <c r="D487" s="2" t="str">
        <f t="array" ref="D487">IF(NOW()&gt;AO487,"",IF(AND((WEEKDAY($A487)+$B$2)&gt;1,((WEEKDAY($A487)+$T$2)&lt;7),(WEEKDAY($A487)&lt;&gt;1)),"work",(INDEX(Subject!$A:$I,MATCH(RANDBETWEEN(1,(MAX(Subject!$B:$B))),Subject!$B:$B,0),3))))</f>
        <v/>
      </c>
      <c r="E487" s="2" t="str">
        <f t="array" ref="E487">IF(NOW()&gt;AP487,"",IF(AND((WEEKDAY($A487)+$B$2)&gt;1,((WEEKDAY($A487)+$T$2)&lt;7),(WEEKDAY($A487)&lt;&gt;1)),"work",(INDEX(Subject!$A:$I,MATCH(RANDBETWEEN(1,(MAX(Subject!$B:$B))),Subject!$B:$B,0),3))))</f>
        <v/>
      </c>
      <c r="F487" s="2" t="str">
        <f t="array" ref="F487">IF(NOW()&gt;AQ487,"",IF(AND((WEEKDAY($A487)+$B$2)&gt;1,((WEEKDAY($A487)+$T$2)&lt;7),(WEEKDAY($A487)&lt;&gt;1)),"work",(INDEX(Subject!$A:$I,MATCH(RANDBETWEEN(1,(MAX(Subject!$B:$B))),Subject!$B:$B,0),3))))</f>
        <v/>
      </c>
      <c r="G487" s="2" t="str">
        <f t="array" ref="G487">IF(NOW()&gt;AR487,"",IF(AND((WEEKDAY($A487)+$B$2)&gt;1,((WEEKDAY($A487)+$T$2)&lt;7),(WEEKDAY($A487)&lt;&gt;1)),"work",(INDEX(Subject!$A:$I,MATCH(RANDBETWEEN(1,(MAX(Subject!$B:$B))),Subject!$B:$B,0),3))))</f>
        <v/>
      </c>
      <c r="H487" s="2" t="str">
        <f t="array" ref="H487">IF(NOW()&gt;AS487,"",IF(AND((WEEKDAY($A487)+$B$2)&gt;1,((WEEKDAY($A487)+$T$2)&lt;7),(WEEKDAY($A487)&lt;&gt;1)),"work",(INDEX(Subject!$A:$I,MATCH(RANDBETWEEN(1,(MAX(Subject!$B:$B))),Subject!$B:$B,0),3))))</f>
        <v/>
      </c>
      <c r="I487" s="2" t="str">
        <f t="array" ref="I487">IF(NOW()&gt;AT487,"",IF(AND((WEEKDAY($A487)+$B$2)&gt;1,((WEEKDAY($A487)+$T$2)&lt;7),(WEEKDAY($A487)&lt;&gt;1)),"work",(INDEX(Subject!$A:$I,MATCH(RANDBETWEEN(1,(MAX(Subject!$B:$B))),Subject!$B:$B,0),3))))</f>
        <v/>
      </c>
      <c r="J487" s="2" t="str">
        <f t="array" ref="J487">IF(NOW()&gt;AU487,"",IF(AND((WEEKDAY($A487)+$B$2)&gt;1,((WEEKDAY($A487)+$T$2)&lt;7),(WEEKDAY($A487)&lt;&gt;1)),"work",(INDEX(Subject!$A:$I,MATCH(RANDBETWEEN(1,(MAX(Subject!$B:$B))),Subject!$B:$B,0),3))))</f>
        <v/>
      </c>
      <c r="K487" s="2" t="str">
        <f t="array" ref="K487">IF(NOW()&gt;AV487,"",IF(AND((WEEKDAY($A487)+$B$2)&gt;1,((WEEKDAY($A487)+$T$2)&lt;7),(WEEKDAY($A487)&lt;&gt;1)),"work",(INDEX(Subject!$A:$I,MATCH(RANDBETWEEN(1,(MAX(Subject!$B:$B))),Subject!$B:$B,0),3))))</f>
        <v/>
      </c>
      <c r="L487" s="2" t="str">
        <f t="array" ref="L487">IF(NOW()&gt;AW487,"",IF(AND((WEEKDAY($A487)+$B$2)&gt;1,((WEEKDAY($A487)+$T$2)&lt;7),(WEEKDAY($A487)&lt;&gt;1)),"work",(INDEX(Subject!$A:$I,MATCH(RANDBETWEEN(1,(MAX(Subject!$B:$B))),Subject!$B:$B,0),3))))</f>
        <v/>
      </c>
      <c r="M487" s="2" t="str">
        <f t="array" ref="M487">IF(NOW()&gt;AX487,"",IF(AND((WEEKDAY($A487)+$B$2)&gt;1,((WEEKDAY($A487)+$T$2)&lt;7),(WEEKDAY($A487)&lt;&gt;1)),"work",(INDEX(Subject!$A:$I,MATCH(RANDBETWEEN(1,(MAX(Subject!$B:$B))),Subject!$B:$B,0),3))))</f>
        <v/>
      </c>
      <c r="N487" s="2" t="str">
        <f t="array" ref="N487">IF(NOW()&gt;AY487,"",IF(AND((WEEKDAY($A487)+$B$2)&gt;1,((WEEKDAY($A487)+$T$2)&lt;7),(WEEKDAY($A487)&lt;&gt;1)),"work",(INDEX(Subject!$A:$I,MATCH(RANDBETWEEN(1,(MAX(Subject!$B:$B))),Subject!$B:$B,0),3))))</f>
        <v/>
      </c>
      <c r="O487" s="2" t="str">
        <f t="array" ref="O487">IF(NOW()&gt;AZ487,"",IF(AND((WEEKDAY($A487)+$B$2)&gt;1,((WEEKDAY($A487)+$T$2)&lt;7),(WEEKDAY($A487)&lt;&gt;1)),"work",(INDEX(Subject!$A:$I,MATCH(RANDBETWEEN(1,(MAX(Subject!$B:$B))),Subject!$B:$B,0),3))))</f>
        <v/>
      </c>
      <c r="P487" s="2" t="str">
        <f t="array" ref="P487">IF(NOW()&gt;BA487,"",IF(AND((WEEKDAY($A487)+$B$2)&gt;1,((WEEKDAY($A487)+$T$2)&lt;7),(WEEKDAY($A487)&lt;&gt;1)),"work",(INDEX(Subject!$A:$I,MATCH(RANDBETWEEN(1,(MAX(Subject!$B:$B))),Subject!$B:$B,0),3))))</f>
        <v/>
      </c>
      <c r="Q487" s="2" t="str">
        <f t="array" ref="Q487">IF(NOW()&gt;BB487,"",IF(AND((WEEKDAY($A487)+$B$2)&gt;1,((WEEKDAY($A487)+$T$2)&lt;7),(WEEKDAY($A487)&lt;&gt;1)),"work",(INDEX(Subject!$A:$I,MATCH(RANDBETWEEN(1,(MAX(Subject!$B:$B))),Subject!$B:$B,0),3))))</f>
        <v/>
      </c>
      <c r="R487" s="2" t="str">
        <f t="array" ref="R487">IF(NOW()&gt;BC487,"",IF(AND((WEEKDAY($A487)+$B$2)&gt;1,((WEEKDAY($A487)+$T$2)&lt;7),(WEEKDAY($A487)&lt;&gt;1)),"work",(INDEX(Subject!$A:$I,MATCH(RANDBETWEEN(1,(MAX(Subject!$B:$B))),Subject!$B:$B,0),3))))</f>
        <v/>
      </c>
      <c r="S487" s="2" t="str">
        <f t="array" ref="S487">IF(NOW()&gt;BD487,"",IF(AND((WEEKDAY($A487)+$B$2)&gt;1,((WEEKDAY($A487)+$T$2)&lt;7),(WEEKDAY($A487)&lt;&gt;1)),"work",(INDEX(Subject!$A:$I,MATCH(RANDBETWEEN(1,(MAX(Subject!$B:$B))),Subject!$B:$B,0),3))))</f>
        <v/>
      </c>
      <c r="T487" s="2" t="str">
        <f t="array" ref="T487">IF(NOW()&gt;BE487,"",IF(AND((WEEKDAY($A487)+$B$2)&gt;1,((WEEKDAY($A487)+$T$2)&lt;7),(WEEKDAY($A487)&lt;&gt;1)),"work",(INDEX(Subject!$A:$I,MATCH(RANDBETWEEN(1,(MAX(Subject!$B:$B))),Subject!$B:$B,0),3))))</f>
        <v/>
      </c>
      <c r="U487" s="8" t="str">
        <f t="array" ref="U487">INDEX(Subject!$A:$I,MATCH(RANDBETWEEN(1,16),Subject!$B:$B,0),3)</f>
        <v>#N/A</v>
      </c>
      <c r="V487" s="8" t="str">
        <f t="array" ref="V487">INDEX(Subject!$A:$I,MATCH(RANDBETWEEN(1,16),Subject!$B:$B,0),3)</f>
        <v>#N/A</v>
      </c>
      <c r="W487" s="8" t="str">
        <f t="array" ref="W487">INDEX(Subject!$A:$I,MATCH(RANDBETWEEN(1,16),Subject!$B:$B,0),3)</f>
        <v/>
      </c>
      <c r="X487" s="8" t="str">
        <f t="array" ref="X487">INDEX(Subject!$A:$I,MATCH(RANDBETWEEN(1,16),Subject!$B:$B,0),3)</f>
        <v>#N/A</v>
      </c>
      <c r="Y487" s="8" t="str">
        <f t="array" ref="Y487">INDEX(Subject!$A:$I,MATCH(RANDBETWEEN(1,16),Subject!$B:$B,0),3)</f>
        <v/>
      </c>
      <c r="Z487" s="8" t="str">
        <f t="array" ref="Z487">INDEX(Subject!$A:$I,MATCH(RANDBETWEEN(1,16),Subject!$B:$B,0),3)</f>
        <v>#N/A</v>
      </c>
      <c r="AA487" s="8" t="str">
        <f t="array" ref="AA487">INDEX(Subject!$A:$I,MATCH(RANDBETWEEN(1,16),Subject!$B:$B,0),3)</f>
        <v>#N/A</v>
      </c>
      <c r="AB487" s="8" t="str">
        <f t="array" ref="AB487">INDEX(Subject!$A:$I,MATCH(RANDBETWEEN(1,16),Subject!$B:$B,0),3)</f>
        <v>#N/A</v>
      </c>
      <c r="AC487" s="8" t="str">
        <f t="array" ref="AC487">INDEX(Subject!$A:$I,MATCH(RANDBETWEEN(1,16),Subject!$B:$B,0),3)</f>
        <v>#N/A</v>
      </c>
      <c r="AD487" s="8" t="str">
        <f t="array" ref="AD487">INDEX(Subject!$A:$I,MATCH(RANDBETWEEN(1,16),Subject!$B:$B,0),3)</f>
        <v/>
      </c>
      <c r="AE487" s="8" t="str">
        <f t="array" ref="AE487">INDEX(Subject!$A:$I,MATCH(RANDBETWEEN(1,16),Subject!$B:$B,0),3)</f>
        <v>#N/A</v>
      </c>
      <c r="AF487" s="8" t="str">
        <f t="array" ref="AF487">INDEX(Subject!$A:$I,MATCH(RANDBETWEEN(1,16),Subject!$B:$B,0),3)</f>
        <v>#N/A</v>
      </c>
      <c r="AG487" s="8" t="str">
        <f t="array" ref="AG487">INDEX(Subject!$A:$I,MATCH(RANDBETWEEN(1,16),Subject!$B:$B,0),3)</f>
        <v>#N/A</v>
      </c>
      <c r="AH487" s="8" t="str">
        <f t="array" ref="AH487">INDEX(Subject!$A:$I,MATCH(RANDBETWEEN(1,16),Subject!$B:$B,0),3)</f>
        <v>#N/A</v>
      </c>
      <c r="AI487" s="8" t="str">
        <f t="array" ref="AI487">INDEX(Subject!$A:$I,MATCH(RANDBETWEEN(1,16),Subject!$B:$B,0),3)</f>
        <v>#N/A</v>
      </c>
      <c r="AJ487" s="8" t="str">
        <f t="array" ref="AJ487">INDEX(Subject!$A:$I,MATCH(RANDBETWEEN(1,16),Subject!$B:$B,0),3)</f>
        <v>#N/A</v>
      </c>
      <c r="AK487" s="8" t="str">
        <f t="array" ref="AK487">INDEX(Subject!$A:$I,MATCH(RANDBETWEEN(1,16),Subject!$B:$B,0),3)</f>
        <v>#N/A</v>
      </c>
      <c r="AL487" s="8" t="str">
        <f t="array" ref="AL487">INDEX(Subject!$A:$I,MATCH(RANDBETWEEN(1,16),Subject!$B:$B,0),3)</f>
        <v>#N/A</v>
      </c>
      <c r="AM487" s="18">
        <f t="shared" si="4"/>
        <v>45987.33333</v>
      </c>
      <c r="AN487" s="19">
        <f t="shared" ref="AN487:BZ487" si="487">$A487+C$1</f>
        <v>45987.35417</v>
      </c>
      <c r="AO487" s="19">
        <f t="shared" si="487"/>
        <v>45987.375</v>
      </c>
      <c r="AP487" s="19">
        <f t="shared" si="487"/>
        <v>45987.39583</v>
      </c>
      <c r="AQ487" s="19">
        <f t="shared" si="487"/>
        <v>45987.41667</v>
      </c>
      <c r="AR487" s="19">
        <f t="shared" si="487"/>
        <v>45987.4375</v>
      </c>
      <c r="AS487" s="19">
        <f t="shared" si="487"/>
        <v>45987.45833</v>
      </c>
      <c r="AT487" s="19">
        <f t="shared" si="487"/>
        <v>45987.47917</v>
      </c>
      <c r="AU487" s="19">
        <f t="shared" si="487"/>
        <v>45987.5</v>
      </c>
      <c r="AV487" s="19">
        <f t="shared" si="487"/>
        <v>45987.52083</v>
      </c>
      <c r="AW487" s="19">
        <f t="shared" si="487"/>
        <v>45987.54167</v>
      </c>
      <c r="AX487" s="19">
        <f t="shared" si="487"/>
        <v>45987.5625</v>
      </c>
      <c r="AY487" s="19">
        <f t="shared" si="487"/>
        <v>45987.58333</v>
      </c>
      <c r="AZ487" s="19">
        <f t="shared" si="487"/>
        <v>45987.60417</v>
      </c>
      <c r="BA487" s="19">
        <f t="shared" si="487"/>
        <v>45987.625</v>
      </c>
      <c r="BB487" s="19">
        <f t="shared" si="487"/>
        <v>45987.64583</v>
      </c>
      <c r="BC487" s="19">
        <f t="shared" si="487"/>
        <v>45987.66667</v>
      </c>
      <c r="BD487" s="19">
        <f t="shared" si="487"/>
        <v>45987.6875</v>
      </c>
      <c r="BE487" s="19">
        <f t="shared" si="487"/>
        <v>45987.70833</v>
      </c>
      <c r="BF487" s="19">
        <f t="shared" si="487"/>
        <v>45987.72917</v>
      </c>
      <c r="BG487" s="19">
        <f t="shared" si="487"/>
        <v>45987.75</v>
      </c>
      <c r="BH487" s="19">
        <f t="shared" si="487"/>
        <v>45987.77083</v>
      </c>
      <c r="BI487" s="19">
        <f t="shared" si="487"/>
        <v>45987.79167</v>
      </c>
      <c r="BJ487" s="19">
        <f t="shared" si="487"/>
        <v>45987.8125</v>
      </c>
      <c r="BK487" s="19">
        <f t="shared" si="487"/>
        <v>45987.83333</v>
      </c>
      <c r="BL487" s="19">
        <f t="shared" si="487"/>
        <v>45987.85417</v>
      </c>
      <c r="BM487" s="19">
        <f t="shared" si="487"/>
        <v>45987.875</v>
      </c>
      <c r="BN487" s="19">
        <f t="shared" si="487"/>
        <v>45987.89583</v>
      </c>
      <c r="BO487" s="19">
        <f t="shared" si="487"/>
        <v>45987.91667</v>
      </c>
      <c r="BP487" s="19">
        <f t="shared" si="487"/>
        <v>45987.9375</v>
      </c>
      <c r="BQ487" s="19">
        <f t="shared" si="487"/>
        <v>45987.95833</v>
      </c>
      <c r="BR487" s="19">
        <f t="shared" si="487"/>
        <v>45987.97917</v>
      </c>
      <c r="BS487" s="19">
        <f t="shared" si="487"/>
        <v>45988</v>
      </c>
      <c r="BT487" s="19">
        <f t="shared" si="487"/>
        <v>45988.02083</v>
      </c>
      <c r="BU487" s="19">
        <f t="shared" si="487"/>
        <v>45988.04167</v>
      </c>
      <c r="BV487" s="19">
        <f t="shared" si="487"/>
        <v>45988.0625</v>
      </c>
      <c r="BW487" s="19">
        <f t="shared" si="487"/>
        <v>45988.08333</v>
      </c>
      <c r="BX487" s="19">
        <f t="shared" si="487"/>
        <v>45987</v>
      </c>
      <c r="BY487" s="19">
        <f t="shared" si="487"/>
        <v>45987</v>
      </c>
      <c r="BZ487" s="19">
        <f t="shared" si="487"/>
        <v>45987</v>
      </c>
    </row>
    <row r="488" ht="14.25" customHeight="1">
      <c r="A488" s="17">
        <v>45988.0</v>
      </c>
      <c r="B488" s="2" t="str">
        <f t="array" ref="B488">IF(NOW()&gt;AM488,"",IF(AND((WEEKDAY($A488)+$B$2)&gt;1,((WEEKDAY($A488)+$T$2)&lt;7),(WEEKDAY($A488)&lt;&gt;1)),"work",(INDEX(Subject!$A:$I,MATCH(RANDBETWEEN(1,(MAX(Subject!$B:$B))),Subject!$B:$B,0),3))))</f>
        <v/>
      </c>
      <c r="C488" s="2" t="str">
        <f t="array" ref="C488">IF(NOW()&gt;AN488,"",IF(AND((WEEKDAY($A488)+$B$2)&gt;1,((WEEKDAY($A488)+$T$2)&lt;7),(WEEKDAY($A488)&lt;&gt;1)),"work",(INDEX(Subject!$A:$I,MATCH(RANDBETWEEN(1,(MAX(Subject!$B:$B))),Subject!$B:$B,0),3))))</f>
        <v/>
      </c>
      <c r="D488" s="2" t="str">
        <f t="array" ref="D488">IF(NOW()&gt;AO488,"",IF(AND((WEEKDAY($A488)+$B$2)&gt;1,((WEEKDAY($A488)+$T$2)&lt;7),(WEEKDAY($A488)&lt;&gt;1)),"work",(INDEX(Subject!$A:$I,MATCH(RANDBETWEEN(1,(MAX(Subject!$B:$B))),Subject!$B:$B,0),3))))</f>
        <v/>
      </c>
      <c r="E488" s="2" t="str">
        <f t="array" ref="E488">IF(NOW()&gt;AP488,"",IF(AND((WEEKDAY($A488)+$B$2)&gt;1,((WEEKDAY($A488)+$T$2)&lt;7),(WEEKDAY($A488)&lt;&gt;1)),"work",(INDEX(Subject!$A:$I,MATCH(RANDBETWEEN(1,(MAX(Subject!$B:$B))),Subject!$B:$B,0),3))))</f>
        <v/>
      </c>
      <c r="F488" s="2" t="str">
        <f t="array" ref="F488">IF(NOW()&gt;AQ488,"",IF(AND((WEEKDAY($A488)+$B$2)&gt;1,((WEEKDAY($A488)+$T$2)&lt;7),(WEEKDAY($A488)&lt;&gt;1)),"work",(INDEX(Subject!$A:$I,MATCH(RANDBETWEEN(1,(MAX(Subject!$B:$B))),Subject!$B:$B,0),3))))</f>
        <v/>
      </c>
      <c r="G488" s="2" t="str">
        <f t="array" ref="G488">IF(NOW()&gt;AR488,"",IF(AND((WEEKDAY($A488)+$B$2)&gt;1,((WEEKDAY($A488)+$T$2)&lt;7),(WEEKDAY($A488)&lt;&gt;1)),"work",(INDEX(Subject!$A:$I,MATCH(RANDBETWEEN(1,(MAX(Subject!$B:$B))),Subject!$B:$B,0),3))))</f>
        <v/>
      </c>
      <c r="H488" s="2" t="str">
        <f t="array" ref="H488">IF(NOW()&gt;AS488,"",IF(AND((WEEKDAY($A488)+$B$2)&gt;1,((WEEKDAY($A488)+$T$2)&lt;7),(WEEKDAY($A488)&lt;&gt;1)),"work",(INDEX(Subject!$A:$I,MATCH(RANDBETWEEN(1,(MAX(Subject!$B:$B))),Subject!$B:$B,0),3))))</f>
        <v/>
      </c>
      <c r="I488" s="2" t="str">
        <f t="array" ref="I488">IF(NOW()&gt;AT488,"",IF(AND((WEEKDAY($A488)+$B$2)&gt;1,((WEEKDAY($A488)+$T$2)&lt;7),(WEEKDAY($A488)&lt;&gt;1)),"work",(INDEX(Subject!$A:$I,MATCH(RANDBETWEEN(1,(MAX(Subject!$B:$B))),Subject!$B:$B,0),3))))</f>
        <v/>
      </c>
      <c r="J488" s="2" t="str">
        <f t="array" ref="J488">IF(NOW()&gt;AU488,"",IF(AND((WEEKDAY($A488)+$B$2)&gt;1,((WEEKDAY($A488)+$T$2)&lt;7),(WEEKDAY($A488)&lt;&gt;1)),"work",(INDEX(Subject!$A:$I,MATCH(RANDBETWEEN(1,(MAX(Subject!$B:$B))),Subject!$B:$B,0),3))))</f>
        <v/>
      </c>
      <c r="K488" s="2" t="str">
        <f t="array" ref="K488">IF(NOW()&gt;AV488,"",IF(AND((WEEKDAY($A488)+$B$2)&gt;1,((WEEKDAY($A488)+$T$2)&lt;7),(WEEKDAY($A488)&lt;&gt;1)),"work",(INDEX(Subject!$A:$I,MATCH(RANDBETWEEN(1,(MAX(Subject!$B:$B))),Subject!$B:$B,0),3))))</f>
        <v/>
      </c>
      <c r="L488" s="2" t="str">
        <f t="array" ref="L488">IF(NOW()&gt;AW488,"",IF(AND((WEEKDAY($A488)+$B$2)&gt;1,((WEEKDAY($A488)+$T$2)&lt;7),(WEEKDAY($A488)&lt;&gt;1)),"work",(INDEX(Subject!$A:$I,MATCH(RANDBETWEEN(1,(MAX(Subject!$B:$B))),Subject!$B:$B,0),3))))</f>
        <v/>
      </c>
      <c r="M488" s="2" t="str">
        <f t="array" ref="M488">IF(NOW()&gt;AX488,"",IF(AND((WEEKDAY($A488)+$B$2)&gt;1,((WEEKDAY($A488)+$T$2)&lt;7),(WEEKDAY($A488)&lt;&gt;1)),"work",(INDEX(Subject!$A:$I,MATCH(RANDBETWEEN(1,(MAX(Subject!$B:$B))),Subject!$B:$B,0),3))))</f>
        <v/>
      </c>
      <c r="N488" s="2" t="str">
        <f t="array" ref="N488">IF(NOW()&gt;AY488,"",IF(AND((WEEKDAY($A488)+$B$2)&gt;1,((WEEKDAY($A488)+$T$2)&lt;7),(WEEKDAY($A488)&lt;&gt;1)),"work",(INDEX(Subject!$A:$I,MATCH(RANDBETWEEN(1,(MAX(Subject!$B:$B))),Subject!$B:$B,0),3))))</f>
        <v/>
      </c>
      <c r="O488" s="2" t="str">
        <f t="array" ref="O488">IF(NOW()&gt;AZ488,"",IF(AND((WEEKDAY($A488)+$B$2)&gt;1,((WEEKDAY($A488)+$T$2)&lt;7),(WEEKDAY($A488)&lt;&gt;1)),"work",(INDEX(Subject!$A:$I,MATCH(RANDBETWEEN(1,(MAX(Subject!$B:$B))),Subject!$B:$B,0),3))))</f>
        <v/>
      </c>
      <c r="P488" s="2" t="str">
        <f t="array" ref="P488">IF(NOW()&gt;BA488,"",IF(AND((WEEKDAY($A488)+$B$2)&gt;1,((WEEKDAY($A488)+$T$2)&lt;7),(WEEKDAY($A488)&lt;&gt;1)),"work",(INDEX(Subject!$A:$I,MATCH(RANDBETWEEN(1,(MAX(Subject!$B:$B))),Subject!$B:$B,0),3))))</f>
        <v/>
      </c>
      <c r="Q488" s="2" t="str">
        <f t="array" ref="Q488">IF(NOW()&gt;BB488,"",IF(AND((WEEKDAY($A488)+$B$2)&gt;1,((WEEKDAY($A488)+$T$2)&lt;7),(WEEKDAY($A488)&lt;&gt;1)),"work",(INDEX(Subject!$A:$I,MATCH(RANDBETWEEN(1,(MAX(Subject!$B:$B))),Subject!$B:$B,0),3))))</f>
        <v/>
      </c>
      <c r="R488" s="2" t="str">
        <f t="array" ref="R488">IF(NOW()&gt;BC488,"",IF(AND((WEEKDAY($A488)+$B$2)&gt;1,((WEEKDAY($A488)+$T$2)&lt;7),(WEEKDAY($A488)&lt;&gt;1)),"work",(INDEX(Subject!$A:$I,MATCH(RANDBETWEEN(1,(MAX(Subject!$B:$B))),Subject!$B:$B,0),3))))</f>
        <v/>
      </c>
      <c r="S488" s="2" t="str">
        <f t="array" ref="S488">IF(NOW()&gt;BD488,"",IF(AND((WEEKDAY($A488)+$B$2)&gt;1,((WEEKDAY($A488)+$T$2)&lt;7),(WEEKDAY($A488)&lt;&gt;1)),"work",(INDEX(Subject!$A:$I,MATCH(RANDBETWEEN(1,(MAX(Subject!$B:$B))),Subject!$B:$B,0),3))))</f>
        <v/>
      </c>
      <c r="T488" s="2" t="str">
        <f t="array" ref="T488">IF(NOW()&gt;BE488,"",IF(AND((WEEKDAY($A488)+$B$2)&gt;1,((WEEKDAY($A488)+$T$2)&lt;7),(WEEKDAY($A488)&lt;&gt;1)),"work",(INDEX(Subject!$A:$I,MATCH(RANDBETWEEN(1,(MAX(Subject!$B:$B))),Subject!$B:$B,0),3))))</f>
        <v/>
      </c>
      <c r="U488" s="8" t="str">
        <f t="array" ref="U488">INDEX(Subject!$A:$I,MATCH(RANDBETWEEN(1,16),Subject!$B:$B,0),3)</f>
        <v>#N/A</v>
      </c>
      <c r="V488" s="8" t="str">
        <f t="array" ref="V488">INDEX(Subject!$A:$I,MATCH(RANDBETWEEN(1,16),Subject!$B:$B,0),3)</f>
        <v>#N/A</v>
      </c>
      <c r="W488" s="8" t="str">
        <f t="array" ref="W488">INDEX(Subject!$A:$I,MATCH(RANDBETWEEN(1,16),Subject!$B:$B,0),3)</f>
        <v>#N/A</v>
      </c>
      <c r="X488" s="8" t="str">
        <f t="array" ref="X488">INDEX(Subject!$A:$I,MATCH(RANDBETWEEN(1,16),Subject!$B:$B,0),3)</f>
        <v>#N/A</v>
      </c>
      <c r="Y488" s="8" t="str">
        <f t="array" ref="Y488">INDEX(Subject!$A:$I,MATCH(RANDBETWEEN(1,16),Subject!$B:$B,0),3)</f>
        <v>#N/A</v>
      </c>
      <c r="Z488" s="8" t="str">
        <f t="array" ref="Z488">INDEX(Subject!$A:$I,MATCH(RANDBETWEEN(1,16),Subject!$B:$B,0),3)</f>
        <v>#N/A</v>
      </c>
      <c r="AA488" s="8" t="str">
        <f t="array" ref="AA488">INDEX(Subject!$A:$I,MATCH(RANDBETWEEN(1,16),Subject!$B:$B,0),3)</f>
        <v>#N/A</v>
      </c>
      <c r="AB488" s="8" t="str">
        <f t="array" ref="AB488">INDEX(Subject!$A:$I,MATCH(RANDBETWEEN(1,16),Subject!$B:$B,0),3)</f>
        <v>#N/A</v>
      </c>
      <c r="AC488" s="8" t="str">
        <f t="array" ref="AC488">INDEX(Subject!$A:$I,MATCH(RANDBETWEEN(1,16),Subject!$B:$B,0),3)</f>
        <v>#N/A</v>
      </c>
      <c r="AD488" s="8" t="str">
        <f t="array" ref="AD488">INDEX(Subject!$A:$I,MATCH(RANDBETWEEN(1,16),Subject!$B:$B,0),3)</f>
        <v>#N/A</v>
      </c>
      <c r="AE488" s="8" t="str">
        <f t="array" ref="AE488">INDEX(Subject!$A:$I,MATCH(RANDBETWEEN(1,16),Subject!$B:$B,0),3)</f>
        <v>#N/A</v>
      </c>
      <c r="AF488" s="8" t="str">
        <f t="array" ref="AF488">INDEX(Subject!$A:$I,MATCH(RANDBETWEEN(1,16),Subject!$B:$B,0),3)</f>
        <v>#N/A</v>
      </c>
      <c r="AG488" s="8" t="str">
        <f t="array" ref="AG488">INDEX(Subject!$A:$I,MATCH(RANDBETWEEN(1,16),Subject!$B:$B,0),3)</f>
        <v/>
      </c>
      <c r="AH488" s="8" t="str">
        <f t="array" ref="AH488">INDEX(Subject!$A:$I,MATCH(RANDBETWEEN(1,16),Subject!$B:$B,0),3)</f>
        <v/>
      </c>
      <c r="AI488" s="8" t="str">
        <f t="array" ref="AI488">INDEX(Subject!$A:$I,MATCH(RANDBETWEEN(1,16),Subject!$B:$B,0),3)</f>
        <v>#N/A</v>
      </c>
      <c r="AJ488" s="8" t="str">
        <f t="array" ref="AJ488">INDEX(Subject!$A:$I,MATCH(RANDBETWEEN(1,16),Subject!$B:$B,0),3)</f>
        <v>#N/A</v>
      </c>
      <c r="AK488" s="8" t="str">
        <f t="array" ref="AK488">INDEX(Subject!$A:$I,MATCH(RANDBETWEEN(1,16),Subject!$B:$B,0),3)</f>
        <v>#N/A</v>
      </c>
      <c r="AL488" s="8" t="str">
        <f t="array" ref="AL488">INDEX(Subject!$A:$I,MATCH(RANDBETWEEN(1,16),Subject!$B:$B,0),3)</f>
        <v>#N/A</v>
      </c>
      <c r="AM488" s="18">
        <f t="shared" si="4"/>
        <v>45988.33333</v>
      </c>
      <c r="AN488" s="19">
        <f t="shared" ref="AN488:BZ488" si="488">$A488+C$1</f>
        <v>45988.35417</v>
      </c>
      <c r="AO488" s="19">
        <f t="shared" si="488"/>
        <v>45988.375</v>
      </c>
      <c r="AP488" s="19">
        <f t="shared" si="488"/>
        <v>45988.39583</v>
      </c>
      <c r="AQ488" s="19">
        <f t="shared" si="488"/>
        <v>45988.41667</v>
      </c>
      <c r="AR488" s="19">
        <f t="shared" si="488"/>
        <v>45988.4375</v>
      </c>
      <c r="AS488" s="19">
        <f t="shared" si="488"/>
        <v>45988.45833</v>
      </c>
      <c r="AT488" s="19">
        <f t="shared" si="488"/>
        <v>45988.47917</v>
      </c>
      <c r="AU488" s="19">
        <f t="shared" si="488"/>
        <v>45988.5</v>
      </c>
      <c r="AV488" s="19">
        <f t="shared" si="488"/>
        <v>45988.52083</v>
      </c>
      <c r="AW488" s="19">
        <f t="shared" si="488"/>
        <v>45988.54167</v>
      </c>
      <c r="AX488" s="19">
        <f t="shared" si="488"/>
        <v>45988.5625</v>
      </c>
      <c r="AY488" s="19">
        <f t="shared" si="488"/>
        <v>45988.58333</v>
      </c>
      <c r="AZ488" s="19">
        <f t="shared" si="488"/>
        <v>45988.60417</v>
      </c>
      <c r="BA488" s="19">
        <f t="shared" si="488"/>
        <v>45988.625</v>
      </c>
      <c r="BB488" s="19">
        <f t="shared" si="488"/>
        <v>45988.64583</v>
      </c>
      <c r="BC488" s="19">
        <f t="shared" si="488"/>
        <v>45988.66667</v>
      </c>
      <c r="BD488" s="19">
        <f t="shared" si="488"/>
        <v>45988.6875</v>
      </c>
      <c r="BE488" s="19">
        <f t="shared" si="488"/>
        <v>45988.70833</v>
      </c>
      <c r="BF488" s="19">
        <f t="shared" si="488"/>
        <v>45988.72917</v>
      </c>
      <c r="BG488" s="19">
        <f t="shared" si="488"/>
        <v>45988.75</v>
      </c>
      <c r="BH488" s="19">
        <f t="shared" si="488"/>
        <v>45988.77083</v>
      </c>
      <c r="BI488" s="19">
        <f t="shared" si="488"/>
        <v>45988.79167</v>
      </c>
      <c r="BJ488" s="19">
        <f t="shared" si="488"/>
        <v>45988.8125</v>
      </c>
      <c r="BK488" s="19">
        <f t="shared" si="488"/>
        <v>45988.83333</v>
      </c>
      <c r="BL488" s="19">
        <f t="shared" si="488"/>
        <v>45988.85417</v>
      </c>
      <c r="BM488" s="19">
        <f t="shared" si="488"/>
        <v>45988.875</v>
      </c>
      <c r="BN488" s="19">
        <f t="shared" si="488"/>
        <v>45988.89583</v>
      </c>
      <c r="BO488" s="19">
        <f t="shared" si="488"/>
        <v>45988.91667</v>
      </c>
      <c r="BP488" s="19">
        <f t="shared" si="488"/>
        <v>45988.9375</v>
      </c>
      <c r="BQ488" s="19">
        <f t="shared" si="488"/>
        <v>45988.95833</v>
      </c>
      <c r="BR488" s="19">
        <f t="shared" si="488"/>
        <v>45988.97917</v>
      </c>
      <c r="BS488" s="19">
        <f t="shared" si="488"/>
        <v>45989</v>
      </c>
      <c r="BT488" s="19">
        <f t="shared" si="488"/>
        <v>45989.02083</v>
      </c>
      <c r="BU488" s="19">
        <f t="shared" si="488"/>
        <v>45989.04167</v>
      </c>
      <c r="BV488" s="19">
        <f t="shared" si="488"/>
        <v>45989.0625</v>
      </c>
      <c r="BW488" s="19">
        <f t="shared" si="488"/>
        <v>45989.08333</v>
      </c>
      <c r="BX488" s="19">
        <f t="shared" si="488"/>
        <v>45988</v>
      </c>
      <c r="BY488" s="19">
        <f t="shared" si="488"/>
        <v>45988</v>
      </c>
      <c r="BZ488" s="19">
        <f t="shared" si="488"/>
        <v>45988</v>
      </c>
    </row>
    <row r="489" ht="14.25" customHeight="1">
      <c r="A489" s="17">
        <v>45989.0</v>
      </c>
      <c r="B489" s="2" t="str">
        <f t="array" ref="B489">IF(NOW()&gt;AM489,"",IF(AND((WEEKDAY($A489)+$B$2)&gt;1,((WEEKDAY($A489)+$T$2)&lt;7),(WEEKDAY($A489)&lt;&gt;1)),"work",(INDEX(Subject!$A:$I,MATCH(RANDBETWEEN(1,(MAX(Subject!$B:$B))),Subject!$B:$B,0),3))))</f>
        <v/>
      </c>
      <c r="C489" s="2" t="str">
        <f t="array" ref="C489">IF(NOW()&gt;AN489,"",IF(AND((WEEKDAY($A489)+$B$2)&gt;1,((WEEKDAY($A489)+$T$2)&lt;7),(WEEKDAY($A489)&lt;&gt;1)),"work",(INDEX(Subject!$A:$I,MATCH(RANDBETWEEN(1,(MAX(Subject!$B:$B))),Subject!$B:$B,0),3))))</f>
        <v/>
      </c>
      <c r="D489" s="2" t="str">
        <f t="array" ref="D489">IF(NOW()&gt;AO489,"",IF(AND((WEEKDAY($A489)+$B$2)&gt;1,((WEEKDAY($A489)+$T$2)&lt;7),(WEEKDAY($A489)&lt;&gt;1)),"work",(INDEX(Subject!$A:$I,MATCH(RANDBETWEEN(1,(MAX(Subject!$B:$B))),Subject!$B:$B,0),3))))</f>
        <v/>
      </c>
      <c r="E489" s="2" t="str">
        <f t="array" ref="E489">IF(NOW()&gt;AP489,"",IF(AND((WEEKDAY($A489)+$B$2)&gt;1,((WEEKDAY($A489)+$T$2)&lt;7),(WEEKDAY($A489)&lt;&gt;1)),"work",(INDEX(Subject!$A:$I,MATCH(RANDBETWEEN(1,(MAX(Subject!$B:$B))),Subject!$B:$B,0),3))))</f>
        <v/>
      </c>
      <c r="F489" s="2" t="str">
        <f t="array" ref="F489">IF(NOW()&gt;AQ489,"",IF(AND((WEEKDAY($A489)+$B$2)&gt;1,((WEEKDAY($A489)+$T$2)&lt;7),(WEEKDAY($A489)&lt;&gt;1)),"work",(INDEX(Subject!$A:$I,MATCH(RANDBETWEEN(1,(MAX(Subject!$B:$B))),Subject!$B:$B,0),3))))</f>
        <v/>
      </c>
      <c r="G489" s="2" t="str">
        <f t="array" ref="G489">IF(NOW()&gt;AR489,"",IF(AND((WEEKDAY($A489)+$B$2)&gt;1,((WEEKDAY($A489)+$T$2)&lt;7),(WEEKDAY($A489)&lt;&gt;1)),"work",(INDEX(Subject!$A:$I,MATCH(RANDBETWEEN(1,(MAX(Subject!$B:$B))),Subject!$B:$B,0),3))))</f>
        <v/>
      </c>
      <c r="H489" s="2" t="str">
        <f t="array" ref="H489">IF(NOW()&gt;AS489,"",IF(AND((WEEKDAY($A489)+$B$2)&gt;1,((WEEKDAY($A489)+$T$2)&lt;7),(WEEKDAY($A489)&lt;&gt;1)),"work",(INDEX(Subject!$A:$I,MATCH(RANDBETWEEN(1,(MAX(Subject!$B:$B))),Subject!$B:$B,0),3))))</f>
        <v/>
      </c>
      <c r="I489" s="2" t="str">
        <f t="array" ref="I489">IF(NOW()&gt;AT489,"",IF(AND((WEEKDAY($A489)+$B$2)&gt;1,((WEEKDAY($A489)+$T$2)&lt;7),(WEEKDAY($A489)&lt;&gt;1)),"work",(INDEX(Subject!$A:$I,MATCH(RANDBETWEEN(1,(MAX(Subject!$B:$B))),Subject!$B:$B,0),3))))</f>
        <v/>
      </c>
      <c r="J489" s="2" t="str">
        <f t="array" ref="J489">IF(NOW()&gt;AU489,"",IF(AND((WEEKDAY($A489)+$B$2)&gt;1,((WEEKDAY($A489)+$T$2)&lt;7),(WEEKDAY($A489)&lt;&gt;1)),"work",(INDEX(Subject!$A:$I,MATCH(RANDBETWEEN(1,(MAX(Subject!$B:$B))),Subject!$B:$B,0),3))))</f>
        <v/>
      </c>
      <c r="K489" s="2" t="str">
        <f t="array" ref="K489">IF(NOW()&gt;AV489,"",IF(AND((WEEKDAY($A489)+$B$2)&gt;1,((WEEKDAY($A489)+$T$2)&lt;7),(WEEKDAY($A489)&lt;&gt;1)),"work",(INDEX(Subject!$A:$I,MATCH(RANDBETWEEN(1,(MAX(Subject!$B:$B))),Subject!$B:$B,0),3))))</f>
        <v/>
      </c>
      <c r="L489" s="2" t="str">
        <f t="array" ref="L489">IF(NOW()&gt;AW489,"",IF(AND((WEEKDAY($A489)+$B$2)&gt;1,((WEEKDAY($A489)+$T$2)&lt;7),(WEEKDAY($A489)&lt;&gt;1)),"work",(INDEX(Subject!$A:$I,MATCH(RANDBETWEEN(1,(MAX(Subject!$B:$B))),Subject!$B:$B,0),3))))</f>
        <v/>
      </c>
      <c r="M489" s="2" t="str">
        <f t="array" ref="M489">IF(NOW()&gt;AX489,"",IF(AND((WEEKDAY($A489)+$B$2)&gt;1,((WEEKDAY($A489)+$T$2)&lt;7),(WEEKDAY($A489)&lt;&gt;1)),"work",(INDEX(Subject!$A:$I,MATCH(RANDBETWEEN(1,(MAX(Subject!$B:$B))),Subject!$B:$B,0),3))))</f>
        <v/>
      </c>
      <c r="N489" s="2" t="str">
        <f t="array" ref="N489">IF(NOW()&gt;AY489,"",IF(AND((WEEKDAY($A489)+$B$2)&gt;1,((WEEKDAY($A489)+$T$2)&lt;7),(WEEKDAY($A489)&lt;&gt;1)),"work",(INDEX(Subject!$A:$I,MATCH(RANDBETWEEN(1,(MAX(Subject!$B:$B))),Subject!$B:$B,0),3))))</f>
        <v/>
      </c>
      <c r="O489" s="2" t="str">
        <f t="array" ref="O489">IF(NOW()&gt;AZ489,"",IF(AND((WEEKDAY($A489)+$B$2)&gt;1,((WEEKDAY($A489)+$T$2)&lt;7),(WEEKDAY($A489)&lt;&gt;1)),"work",(INDEX(Subject!$A:$I,MATCH(RANDBETWEEN(1,(MAX(Subject!$B:$B))),Subject!$B:$B,0),3))))</f>
        <v/>
      </c>
      <c r="P489" s="2" t="str">
        <f t="array" ref="P489">IF(NOW()&gt;BA489,"",IF(AND((WEEKDAY($A489)+$B$2)&gt;1,((WEEKDAY($A489)+$T$2)&lt;7),(WEEKDAY($A489)&lt;&gt;1)),"work",(INDEX(Subject!$A:$I,MATCH(RANDBETWEEN(1,(MAX(Subject!$B:$B))),Subject!$B:$B,0),3))))</f>
        <v/>
      </c>
      <c r="Q489" s="2" t="str">
        <f t="array" ref="Q489">IF(NOW()&gt;BB489,"",IF(AND((WEEKDAY($A489)+$B$2)&gt;1,((WEEKDAY($A489)+$T$2)&lt;7),(WEEKDAY($A489)&lt;&gt;1)),"work",(INDEX(Subject!$A:$I,MATCH(RANDBETWEEN(1,(MAX(Subject!$B:$B))),Subject!$B:$B,0),3))))</f>
        <v/>
      </c>
      <c r="R489" s="2" t="str">
        <f t="array" ref="R489">IF(NOW()&gt;BC489,"",IF(AND((WEEKDAY($A489)+$B$2)&gt;1,((WEEKDAY($A489)+$T$2)&lt;7),(WEEKDAY($A489)&lt;&gt;1)),"work",(INDEX(Subject!$A:$I,MATCH(RANDBETWEEN(1,(MAX(Subject!$B:$B))),Subject!$B:$B,0),3))))</f>
        <v/>
      </c>
      <c r="S489" s="2" t="str">
        <f t="array" ref="S489">IF(NOW()&gt;BD489,"",IF(AND((WEEKDAY($A489)+$B$2)&gt;1,((WEEKDAY($A489)+$T$2)&lt;7),(WEEKDAY($A489)&lt;&gt;1)),"work",(INDEX(Subject!$A:$I,MATCH(RANDBETWEEN(1,(MAX(Subject!$B:$B))),Subject!$B:$B,0),3))))</f>
        <v/>
      </c>
      <c r="T489" s="2" t="str">
        <f t="array" ref="T489">IF(NOW()&gt;BE489,"",IF(AND((WEEKDAY($A489)+$B$2)&gt;1,((WEEKDAY($A489)+$T$2)&lt;7),(WEEKDAY($A489)&lt;&gt;1)),"work",(INDEX(Subject!$A:$I,MATCH(RANDBETWEEN(1,(MAX(Subject!$B:$B))),Subject!$B:$B,0),3))))</f>
        <v/>
      </c>
      <c r="U489" s="8" t="str">
        <f t="array" ref="U489">INDEX(Subject!$A:$I,MATCH(RANDBETWEEN(1,16),Subject!$B:$B,0),3)</f>
        <v>#N/A</v>
      </c>
      <c r="V489" s="8" t="str">
        <f t="array" ref="V489">INDEX(Subject!$A:$I,MATCH(RANDBETWEEN(1,16),Subject!$B:$B,0),3)</f>
        <v/>
      </c>
      <c r="W489" s="8" t="str">
        <f t="array" ref="W489">INDEX(Subject!$A:$I,MATCH(RANDBETWEEN(1,16),Subject!$B:$B,0),3)</f>
        <v>#N/A</v>
      </c>
      <c r="X489" s="8" t="str">
        <f t="array" ref="X489">INDEX(Subject!$A:$I,MATCH(RANDBETWEEN(1,16),Subject!$B:$B,0),3)</f>
        <v>#N/A</v>
      </c>
      <c r="Y489" s="8" t="str">
        <f t="array" ref="Y489">INDEX(Subject!$A:$I,MATCH(RANDBETWEEN(1,16),Subject!$B:$B,0),3)</f>
        <v>#N/A</v>
      </c>
      <c r="Z489" s="8" t="str">
        <f t="array" ref="Z489">INDEX(Subject!$A:$I,MATCH(RANDBETWEEN(1,16),Subject!$B:$B,0),3)</f>
        <v>#N/A</v>
      </c>
      <c r="AA489" s="8" t="str">
        <f t="array" ref="AA489">INDEX(Subject!$A:$I,MATCH(RANDBETWEEN(1,16),Subject!$B:$B,0),3)</f>
        <v>#N/A</v>
      </c>
      <c r="AB489" s="8" t="str">
        <f t="array" ref="AB489">INDEX(Subject!$A:$I,MATCH(RANDBETWEEN(1,16),Subject!$B:$B,0),3)</f>
        <v>#N/A</v>
      </c>
      <c r="AC489" s="8" t="str">
        <f t="array" ref="AC489">INDEX(Subject!$A:$I,MATCH(RANDBETWEEN(1,16),Subject!$B:$B,0),3)</f>
        <v>#N/A</v>
      </c>
      <c r="AD489" s="8" t="str">
        <f t="array" ref="AD489">INDEX(Subject!$A:$I,MATCH(RANDBETWEEN(1,16),Subject!$B:$B,0),3)</f>
        <v>#N/A</v>
      </c>
      <c r="AE489" s="8" t="str">
        <f t="array" ref="AE489">INDEX(Subject!$A:$I,MATCH(RANDBETWEEN(1,16),Subject!$B:$B,0),3)</f>
        <v>#N/A</v>
      </c>
      <c r="AF489" s="8" t="str">
        <f t="array" ref="AF489">INDEX(Subject!$A:$I,MATCH(RANDBETWEEN(1,16),Subject!$B:$B,0),3)</f>
        <v>#N/A</v>
      </c>
      <c r="AG489" s="8" t="str">
        <f t="array" ref="AG489">INDEX(Subject!$A:$I,MATCH(RANDBETWEEN(1,16),Subject!$B:$B,0),3)</f>
        <v>#N/A</v>
      </c>
      <c r="AH489" s="8" t="str">
        <f t="array" ref="AH489">INDEX(Subject!$A:$I,MATCH(RANDBETWEEN(1,16),Subject!$B:$B,0),3)</f>
        <v>#N/A</v>
      </c>
      <c r="AI489" s="8" t="str">
        <f t="array" ref="AI489">INDEX(Subject!$A:$I,MATCH(RANDBETWEEN(1,16),Subject!$B:$B,0),3)</f>
        <v>#N/A</v>
      </c>
      <c r="AJ489" s="8" t="str">
        <f t="array" ref="AJ489">INDEX(Subject!$A:$I,MATCH(RANDBETWEEN(1,16),Subject!$B:$B,0),3)</f>
        <v>#N/A</v>
      </c>
      <c r="AK489" s="8" t="str">
        <f t="array" ref="AK489">INDEX(Subject!$A:$I,MATCH(RANDBETWEEN(1,16),Subject!$B:$B,0),3)</f>
        <v>#N/A</v>
      </c>
      <c r="AL489" s="8" t="str">
        <f t="array" ref="AL489">INDEX(Subject!$A:$I,MATCH(RANDBETWEEN(1,16),Subject!$B:$B,0),3)</f>
        <v>#N/A</v>
      </c>
      <c r="AM489" s="18">
        <f t="shared" si="4"/>
        <v>45989.33333</v>
      </c>
      <c r="AN489" s="19">
        <f t="shared" ref="AN489:BZ489" si="489">$A489+C$1</f>
        <v>45989.35417</v>
      </c>
      <c r="AO489" s="19">
        <f t="shared" si="489"/>
        <v>45989.375</v>
      </c>
      <c r="AP489" s="19">
        <f t="shared" si="489"/>
        <v>45989.39583</v>
      </c>
      <c r="AQ489" s="19">
        <f t="shared" si="489"/>
        <v>45989.41667</v>
      </c>
      <c r="AR489" s="19">
        <f t="shared" si="489"/>
        <v>45989.4375</v>
      </c>
      <c r="AS489" s="19">
        <f t="shared" si="489"/>
        <v>45989.45833</v>
      </c>
      <c r="AT489" s="19">
        <f t="shared" si="489"/>
        <v>45989.47917</v>
      </c>
      <c r="AU489" s="19">
        <f t="shared" si="489"/>
        <v>45989.5</v>
      </c>
      <c r="AV489" s="19">
        <f t="shared" si="489"/>
        <v>45989.52083</v>
      </c>
      <c r="AW489" s="19">
        <f t="shared" si="489"/>
        <v>45989.54167</v>
      </c>
      <c r="AX489" s="19">
        <f t="shared" si="489"/>
        <v>45989.5625</v>
      </c>
      <c r="AY489" s="19">
        <f t="shared" si="489"/>
        <v>45989.58333</v>
      </c>
      <c r="AZ489" s="19">
        <f t="shared" si="489"/>
        <v>45989.60417</v>
      </c>
      <c r="BA489" s="19">
        <f t="shared" si="489"/>
        <v>45989.625</v>
      </c>
      <c r="BB489" s="19">
        <f t="shared" si="489"/>
        <v>45989.64583</v>
      </c>
      <c r="BC489" s="19">
        <f t="shared" si="489"/>
        <v>45989.66667</v>
      </c>
      <c r="BD489" s="19">
        <f t="shared" si="489"/>
        <v>45989.6875</v>
      </c>
      <c r="BE489" s="19">
        <f t="shared" si="489"/>
        <v>45989.70833</v>
      </c>
      <c r="BF489" s="19">
        <f t="shared" si="489"/>
        <v>45989.72917</v>
      </c>
      <c r="BG489" s="19">
        <f t="shared" si="489"/>
        <v>45989.75</v>
      </c>
      <c r="BH489" s="19">
        <f t="shared" si="489"/>
        <v>45989.77083</v>
      </c>
      <c r="BI489" s="19">
        <f t="shared" si="489"/>
        <v>45989.79167</v>
      </c>
      <c r="BJ489" s="19">
        <f t="shared" si="489"/>
        <v>45989.8125</v>
      </c>
      <c r="BK489" s="19">
        <f t="shared" si="489"/>
        <v>45989.83333</v>
      </c>
      <c r="BL489" s="19">
        <f t="shared" si="489"/>
        <v>45989.85417</v>
      </c>
      <c r="BM489" s="19">
        <f t="shared" si="489"/>
        <v>45989.875</v>
      </c>
      <c r="BN489" s="19">
        <f t="shared" si="489"/>
        <v>45989.89583</v>
      </c>
      <c r="BO489" s="19">
        <f t="shared" si="489"/>
        <v>45989.91667</v>
      </c>
      <c r="BP489" s="19">
        <f t="shared" si="489"/>
        <v>45989.9375</v>
      </c>
      <c r="BQ489" s="19">
        <f t="shared" si="489"/>
        <v>45989.95833</v>
      </c>
      <c r="BR489" s="19">
        <f t="shared" si="489"/>
        <v>45989.97917</v>
      </c>
      <c r="BS489" s="19">
        <f t="shared" si="489"/>
        <v>45990</v>
      </c>
      <c r="BT489" s="19">
        <f t="shared" si="489"/>
        <v>45990.02083</v>
      </c>
      <c r="BU489" s="19">
        <f t="shared" si="489"/>
        <v>45990.04167</v>
      </c>
      <c r="BV489" s="19">
        <f t="shared" si="489"/>
        <v>45990.0625</v>
      </c>
      <c r="BW489" s="19">
        <f t="shared" si="489"/>
        <v>45990.08333</v>
      </c>
      <c r="BX489" s="19">
        <f t="shared" si="489"/>
        <v>45989</v>
      </c>
      <c r="BY489" s="19">
        <f t="shared" si="489"/>
        <v>45989</v>
      </c>
      <c r="BZ489" s="19">
        <f t="shared" si="489"/>
        <v>45989</v>
      </c>
    </row>
    <row r="490" ht="14.25" customHeight="1">
      <c r="A490" s="17">
        <v>45990.0</v>
      </c>
      <c r="B490" s="2" t="str">
        <f t="array" ref="B490">IF(NOW()&gt;AM490,"",IF(AND((WEEKDAY($A490)+$B$2)&gt;1,((WEEKDAY($A490)+$T$2)&lt;7),(WEEKDAY($A490)&lt;&gt;1)),"work",(INDEX(Subject!$A:$I,MATCH(RANDBETWEEN(1,(MAX(Subject!$B:$B))),Subject!$B:$B,0),3))))</f>
        <v/>
      </c>
      <c r="C490" s="2" t="str">
        <f t="array" ref="C490">IF(NOW()&gt;AN490,"",IF(AND((WEEKDAY($A490)+$B$2)&gt;1,((WEEKDAY($A490)+$T$2)&lt;7),(WEEKDAY($A490)&lt;&gt;1)),"work",(INDEX(Subject!$A:$I,MATCH(RANDBETWEEN(1,(MAX(Subject!$B:$B))),Subject!$B:$B,0),3))))</f>
        <v/>
      </c>
      <c r="D490" s="2" t="str">
        <f t="array" ref="D490">IF(NOW()&gt;AO490,"",IF(AND((WEEKDAY($A490)+$B$2)&gt;1,((WEEKDAY($A490)+$T$2)&lt;7),(WEEKDAY($A490)&lt;&gt;1)),"work",(INDEX(Subject!$A:$I,MATCH(RANDBETWEEN(1,(MAX(Subject!$B:$B))),Subject!$B:$B,0),3))))</f>
        <v/>
      </c>
      <c r="E490" s="2" t="str">
        <f t="array" ref="E490">IF(NOW()&gt;AP490,"",IF(AND((WEEKDAY($A490)+$B$2)&gt;1,((WEEKDAY($A490)+$T$2)&lt;7),(WEEKDAY($A490)&lt;&gt;1)),"work",(INDEX(Subject!$A:$I,MATCH(RANDBETWEEN(1,(MAX(Subject!$B:$B))),Subject!$B:$B,0),3))))</f>
        <v/>
      </c>
      <c r="F490" s="2" t="str">
        <f t="array" ref="F490">IF(NOW()&gt;AQ490,"",IF(AND((WEEKDAY($A490)+$B$2)&gt;1,((WEEKDAY($A490)+$T$2)&lt;7),(WEEKDAY($A490)&lt;&gt;1)),"work",(INDEX(Subject!$A:$I,MATCH(RANDBETWEEN(1,(MAX(Subject!$B:$B))),Subject!$B:$B,0),3))))</f>
        <v/>
      </c>
      <c r="G490" s="2" t="str">
        <f t="array" ref="G490">IF(NOW()&gt;AR490,"",IF(AND((WEEKDAY($A490)+$B$2)&gt;1,((WEEKDAY($A490)+$T$2)&lt;7),(WEEKDAY($A490)&lt;&gt;1)),"work",(INDEX(Subject!$A:$I,MATCH(RANDBETWEEN(1,(MAX(Subject!$B:$B))),Subject!$B:$B,0),3))))</f>
        <v/>
      </c>
      <c r="H490" s="2" t="str">
        <f t="array" ref="H490">IF(NOW()&gt;AS490,"",IF(AND((WEEKDAY($A490)+$B$2)&gt;1,((WEEKDAY($A490)+$T$2)&lt;7),(WEEKDAY($A490)&lt;&gt;1)),"work",(INDEX(Subject!$A:$I,MATCH(RANDBETWEEN(1,(MAX(Subject!$B:$B))),Subject!$B:$B,0),3))))</f>
        <v/>
      </c>
      <c r="I490" s="2" t="str">
        <f t="array" ref="I490">IF(NOW()&gt;AT490,"",IF(AND((WEEKDAY($A490)+$B$2)&gt;1,((WEEKDAY($A490)+$T$2)&lt;7),(WEEKDAY($A490)&lt;&gt;1)),"work",(INDEX(Subject!$A:$I,MATCH(RANDBETWEEN(1,(MAX(Subject!$B:$B))),Subject!$B:$B,0),3))))</f>
        <v/>
      </c>
      <c r="J490" s="2" t="str">
        <f t="array" ref="J490">IF(NOW()&gt;AU490,"",IF(AND((WEEKDAY($A490)+$B$2)&gt;1,((WEEKDAY($A490)+$T$2)&lt;7),(WEEKDAY($A490)&lt;&gt;1)),"work",(INDEX(Subject!$A:$I,MATCH(RANDBETWEEN(1,(MAX(Subject!$B:$B))),Subject!$B:$B,0),3))))</f>
        <v/>
      </c>
      <c r="K490" s="2" t="str">
        <f t="array" ref="K490">IF(NOW()&gt;AV490,"",IF(AND((WEEKDAY($A490)+$B$2)&gt;1,((WEEKDAY($A490)+$T$2)&lt;7),(WEEKDAY($A490)&lt;&gt;1)),"work",(INDEX(Subject!$A:$I,MATCH(RANDBETWEEN(1,(MAX(Subject!$B:$B))),Subject!$B:$B,0),3))))</f>
        <v/>
      </c>
      <c r="L490" s="2" t="str">
        <f t="array" ref="L490">IF(NOW()&gt;AW490,"",IF(AND((WEEKDAY($A490)+$B$2)&gt;1,((WEEKDAY($A490)+$T$2)&lt;7),(WEEKDAY($A490)&lt;&gt;1)),"work",(INDEX(Subject!$A:$I,MATCH(RANDBETWEEN(1,(MAX(Subject!$B:$B))),Subject!$B:$B,0),3))))</f>
        <v/>
      </c>
      <c r="M490" s="2" t="str">
        <f t="array" ref="M490">IF(NOW()&gt;AX490,"",IF(AND((WEEKDAY($A490)+$B$2)&gt;1,((WEEKDAY($A490)+$T$2)&lt;7),(WEEKDAY($A490)&lt;&gt;1)),"work",(INDEX(Subject!$A:$I,MATCH(RANDBETWEEN(1,(MAX(Subject!$B:$B))),Subject!$B:$B,0),3))))</f>
        <v/>
      </c>
      <c r="N490" s="2" t="str">
        <f t="array" ref="N490">IF(NOW()&gt;AY490,"",IF(AND((WEEKDAY($A490)+$B$2)&gt;1,((WEEKDAY($A490)+$T$2)&lt;7),(WEEKDAY($A490)&lt;&gt;1)),"work",(INDEX(Subject!$A:$I,MATCH(RANDBETWEEN(1,(MAX(Subject!$B:$B))),Subject!$B:$B,0),3))))</f>
        <v/>
      </c>
      <c r="O490" s="2" t="str">
        <f t="array" ref="O490">IF(NOW()&gt;AZ490,"",IF(AND((WEEKDAY($A490)+$B$2)&gt;1,((WEEKDAY($A490)+$T$2)&lt;7),(WEEKDAY($A490)&lt;&gt;1)),"work",(INDEX(Subject!$A:$I,MATCH(RANDBETWEEN(1,(MAX(Subject!$B:$B))),Subject!$B:$B,0),3))))</f>
        <v/>
      </c>
      <c r="P490" s="2" t="str">
        <f t="array" ref="P490">IF(NOW()&gt;BA490,"",IF(AND((WEEKDAY($A490)+$B$2)&gt;1,((WEEKDAY($A490)+$T$2)&lt;7),(WEEKDAY($A490)&lt;&gt;1)),"work",(INDEX(Subject!$A:$I,MATCH(RANDBETWEEN(1,(MAX(Subject!$B:$B))),Subject!$B:$B,0),3))))</f>
        <v/>
      </c>
      <c r="Q490" s="2" t="str">
        <f t="array" ref="Q490">IF(NOW()&gt;BB490,"",IF(AND((WEEKDAY($A490)+$B$2)&gt;1,((WEEKDAY($A490)+$T$2)&lt;7),(WEEKDAY($A490)&lt;&gt;1)),"work",(INDEX(Subject!$A:$I,MATCH(RANDBETWEEN(1,(MAX(Subject!$B:$B))),Subject!$B:$B,0),3))))</f>
        <v/>
      </c>
      <c r="R490" s="2" t="str">
        <f t="array" ref="R490">IF(NOW()&gt;BC490,"",IF(AND((WEEKDAY($A490)+$B$2)&gt;1,((WEEKDAY($A490)+$T$2)&lt;7),(WEEKDAY($A490)&lt;&gt;1)),"work",(INDEX(Subject!$A:$I,MATCH(RANDBETWEEN(1,(MAX(Subject!$B:$B))),Subject!$B:$B,0),3))))</f>
        <v/>
      </c>
      <c r="S490" s="2" t="str">
        <f t="array" ref="S490">IF(NOW()&gt;BD490,"",IF(AND((WEEKDAY($A490)+$B$2)&gt;1,((WEEKDAY($A490)+$T$2)&lt;7),(WEEKDAY($A490)&lt;&gt;1)),"work",(INDEX(Subject!$A:$I,MATCH(RANDBETWEEN(1,(MAX(Subject!$B:$B))),Subject!$B:$B,0),3))))</f>
        <v/>
      </c>
      <c r="T490" s="2" t="str">
        <f t="array" ref="T490">IF(NOW()&gt;BE490,"",IF(AND((WEEKDAY($A490)+$B$2)&gt;1,((WEEKDAY($A490)+$T$2)&lt;7),(WEEKDAY($A490)&lt;&gt;1)),"work",(INDEX(Subject!$A:$I,MATCH(RANDBETWEEN(1,(MAX(Subject!$B:$B))),Subject!$B:$B,0),3))))</f>
        <v/>
      </c>
      <c r="U490" s="8" t="str">
        <f t="array" ref="U490">INDEX(Subject!$A:$I,MATCH(RANDBETWEEN(1,16),Subject!$B:$B,0),3)</f>
        <v>#N/A</v>
      </c>
      <c r="V490" s="8" t="str">
        <f t="array" ref="V490">INDEX(Subject!$A:$I,MATCH(RANDBETWEEN(1,16),Subject!$B:$B,0),3)</f>
        <v>#N/A</v>
      </c>
      <c r="W490" s="8" t="str">
        <f t="array" ref="W490">INDEX(Subject!$A:$I,MATCH(RANDBETWEEN(1,16),Subject!$B:$B,0),3)</f>
        <v>#N/A</v>
      </c>
      <c r="X490" s="8" t="str">
        <f t="array" ref="X490">INDEX(Subject!$A:$I,MATCH(RANDBETWEEN(1,16),Subject!$B:$B,0),3)</f>
        <v>#N/A</v>
      </c>
      <c r="Y490" s="8" t="str">
        <f t="array" ref="Y490">INDEX(Subject!$A:$I,MATCH(RANDBETWEEN(1,16),Subject!$B:$B,0),3)</f>
        <v>#N/A</v>
      </c>
      <c r="Z490" s="8" t="str">
        <f t="array" ref="Z490">INDEX(Subject!$A:$I,MATCH(RANDBETWEEN(1,16),Subject!$B:$B,0),3)</f>
        <v>#N/A</v>
      </c>
      <c r="AA490" s="8" t="str">
        <f t="array" ref="AA490">INDEX(Subject!$A:$I,MATCH(RANDBETWEEN(1,16),Subject!$B:$B,0),3)</f>
        <v>#N/A</v>
      </c>
      <c r="AB490" s="8" t="str">
        <f t="array" ref="AB490">INDEX(Subject!$A:$I,MATCH(RANDBETWEEN(1,16),Subject!$B:$B,0),3)</f>
        <v/>
      </c>
      <c r="AC490" s="8" t="str">
        <f t="array" ref="AC490">INDEX(Subject!$A:$I,MATCH(RANDBETWEEN(1,16),Subject!$B:$B,0),3)</f>
        <v>#N/A</v>
      </c>
      <c r="AD490" s="8" t="str">
        <f t="array" ref="AD490">INDEX(Subject!$A:$I,MATCH(RANDBETWEEN(1,16),Subject!$B:$B,0),3)</f>
        <v>#N/A</v>
      </c>
      <c r="AE490" s="8" t="str">
        <f t="array" ref="AE490">INDEX(Subject!$A:$I,MATCH(RANDBETWEEN(1,16),Subject!$B:$B,0),3)</f>
        <v>#N/A</v>
      </c>
      <c r="AF490" s="8" t="str">
        <f t="array" ref="AF490">INDEX(Subject!$A:$I,MATCH(RANDBETWEEN(1,16),Subject!$B:$B,0),3)</f>
        <v>#N/A</v>
      </c>
      <c r="AG490" s="8" t="str">
        <f t="array" ref="AG490">INDEX(Subject!$A:$I,MATCH(RANDBETWEEN(1,16),Subject!$B:$B,0),3)</f>
        <v>#N/A</v>
      </c>
      <c r="AH490" s="8" t="str">
        <f t="array" ref="AH490">INDEX(Subject!$A:$I,MATCH(RANDBETWEEN(1,16),Subject!$B:$B,0),3)</f>
        <v>#N/A</v>
      </c>
      <c r="AI490" s="8" t="str">
        <f t="array" ref="AI490">INDEX(Subject!$A:$I,MATCH(RANDBETWEEN(1,16),Subject!$B:$B,0),3)</f>
        <v>#N/A</v>
      </c>
      <c r="AJ490" s="8" t="str">
        <f t="array" ref="AJ490">INDEX(Subject!$A:$I,MATCH(RANDBETWEEN(1,16),Subject!$B:$B,0),3)</f>
        <v>#N/A</v>
      </c>
      <c r="AK490" s="8" t="str">
        <f t="array" ref="AK490">INDEX(Subject!$A:$I,MATCH(RANDBETWEEN(1,16),Subject!$B:$B,0),3)</f>
        <v>#N/A</v>
      </c>
      <c r="AL490" s="8" t="str">
        <f t="array" ref="AL490">INDEX(Subject!$A:$I,MATCH(RANDBETWEEN(1,16),Subject!$B:$B,0),3)</f>
        <v>#N/A</v>
      </c>
      <c r="AM490" s="18">
        <f t="shared" si="4"/>
        <v>45990.33333</v>
      </c>
      <c r="AN490" s="19">
        <f t="shared" ref="AN490:BZ490" si="490">$A490+C$1</f>
        <v>45990.35417</v>
      </c>
      <c r="AO490" s="19">
        <f t="shared" si="490"/>
        <v>45990.375</v>
      </c>
      <c r="AP490" s="19">
        <f t="shared" si="490"/>
        <v>45990.39583</v>
      </c>
      <c r="AQ490" s="19">
        <f t="shared" si="490"/>
        <v>45990.41667</v>
      </c>
      <c r="AR490" s="19">
        <f t="shared" si="490"/>
        <v>45990.4375</v>
      </c>
      <c r="AS490" s="19">
        <f t="shared" si="490"/>
        <v>45990.45833</v>
      </c>
      <c r="AT490" s="19">
        <f t="shared" si="490"/>
        <v>45990.47917</v>
      </c>
      <c r="AU490" s="19">
        <f t="shared" si="490"/>
        <v>45990.5</v>
      </c>
      <c r="AV490" s="19">
        <f t="shared" si="490"/>
        <v>45990.52083</v>
      </c>
      <c r="AW490" s="19">
        <f t="shared" si="490"/>
        <v>45990.54167</v>
      </c>
      <c r="AX490" s="19">
        <f t="shared" si="490"/>
        <v>45990.5625</v>
      </c>
      <c r="AY490" s="19">
        <f t="shared" si="490"/>
        <v>45990.58333</v>
      </c>
      <c r="AZ490" s="19">
        <f t="shared" si="490"/>
        <v>45990.60417</v>
      </c>
      <c r="BA490" s="19">
        <f t="shared" si="490"/>
        <v>45990.625</v>
      </c>
      <c r="BB490" s="19">
        <f t="shared" si="490"/>
        <v>45990.64583</v>
      </c>
      <c r="BC490" s="19">
        <f t="shared" si="490"/>
        <v>45990.66667</v>
      </c>
      <c r="BD490" s="19">
        <f t="shared" si="490"/>
        <v>45990.6875</v>
      </c>
      <c r="BE490" s="19">
        <f t="shared" si="490"/>
        <v>45990.70833</v>
      </c>
      <c r="BF490" s="19">
        <f t="shared" si="490"/>
        <v>45990.72917</v>
      </c>
      <c r="BG490" s="19">
        <f t="shared" si="490"/>
        <v>45990.75</v>
      </c>
      <c r="BH490" s="19">
        <f t="shared" si="490"/>
        <v>45990.77083</v>
      </c>
      <c r="BI490" s="19">
        <f t="shared" si="490"/>
        <v>45990.79167</v>
      </c>
      <c r="BJ490" s="19">
        <f t="shared" si="490"/>
        <v>45990.8125</v>
      </c>
      <c r="BK490" s="19">
        <f t="shared" si="490"/>
        <v>45990.83333</v>
      </c>
      <c r="BL490" s="19">
        <f t="shared" si="490"/>
        <v>45990.85417</v>
      </c>
      <c r="BM490" s="19">
        <f t="shared" si="490"/>
        <v>45990.875</v>
      </c>
      <c r="BN490" s="19">
        <f t="shared" si="490"/>
        <v>45990.89583</v>
      </c>
      <c r="BO490" s="19">
        <f t="shared" si="490"/>
        <v>45990.91667</v>
      </c>
      <c r="BP490" s="19">
        <f t="shared" si="490"/>
        <v>45990.9375</v>
      </c>
      <c r="BQ490" s="19">
        <f t="shared" si="490"/>
        <v>45990.95833</v>
      </c>
      <c r="BR490" s="19">
        <f t="shared" si="490"/>
        <v>45990.97917</v>
      </c>
      <c r="BS490" s="19">
        <f t="shared" si="490"/>
        <v>45991</v>
      </c>
      <c r="BT490" s="19">
        <f t="shared" si="490"/>
        <v>45991.02083</v>
      </c>
      <c r="BU490" s="19">
        <f t="shared" si="490"/>
        <v>45991.04167</v>
      </c>
      <c r="BV490" s="19">
        <f t="shared" si="490"/>
        <v>45991.0625</v>
      </c>
      <c r="BW490" s="19">
        <f t="shared" si="490"/>
        <v>45991.08333</v>
      </c>
      <c r="BX490" s="19">
        <f t="shared" si="490"/>
        <v>45990</v>
      </c>
      <c r="BY490" s="19">
        <f t="shared" si="490"/>
        <v>45990</v>
      </c>
      <c r="BZ490" s="19">
        <f t="shared" si="490"/>
        <v>45990</v>
      </c>
    </row>
    <row r="491" ht="14.25" customHeight="1">
      <c r="A491" s="17">
        <v>45991.0</v>
      </c>
      <c r="B491" s="2" t="str">
        <f t="array" ref="B491">IF(NOW()&gt;AM491,"",IF(AND((WEEKDAY($A491)+$B$2)&gt;1,((WEEKDAY($A491)+$T$2)&lt;7),(WEEKDAY($A491)&lt;&gt;1)),"work",(INDEX(Subject!$A:$I,MATCH(RANDBETWEEN(1,(MAX(Subject!$B:$B))),Subject!$B:$B,0),3))))</f>
        <v/>
      </c>
      <c r="C491" s="2" t="str">
        <f t="array" ref="C491">IF(NOW()&gt;AN491,"",IF(AND((WEEKDAY($A491)+$B$2)&gt;1,((WEEKDAY($A491)+$T$2)&lt;7),(WEEKDAY($A491)&lt;&gt;1)),"work",(INDEX(Subject!$A:$I,MATCH(RANDBETWEEN(1,(MAX(Subject!$B:$B))),Subject!$B:$B,0),3))))</f>
        <v/>
      </c>
      <c r="D491" s="2" t="str">
        <f t="array" ref="D491">IF(NOW()&gt;AO491,"",IF(AND((WEEKDAY($A491)+$B$2)&gt;1,((WEEKDAY($A491)+$T$2)&lt;7),(WEEKDAY($A491)&lt;&gt;1)),"work",(INDEX(Subject!$A:$I,MATCH(RANDBETWEEN(1,(MAX(Subject!$B:$B))),Subject!$B:$B,0),3))))</f>
        <v/>
      </c>
      <c r="E491" s="2" t="str">
        <f t="array" ref="E491">IF(NOW()&gt;AP491,"",IF(AND((WEEKDAY($A491)+$B$2)&gt;1,((WEEKDAY($A491)+$T$2)&lt;7),(WEEKDAY($A491)&lt;&gt;1)),"work",(INDEX(Subject!$A:$I,MATCH(RANDBETWEEN(1,(MAX(Subject!$B:$B))),Subject!$B:$B,0),3))))</f>
        <v/>
      </c>
      <c r="F491" s="2" t="str">
        <f t="array" ref="F491">IF(NOW()&gt;AQ491,"",IF(AND((WEEKDAY($A491)+$B$2)&gt;1,((WEEKDAY($A491)+$T$2)&lt;7),(WEEKDAY($A491)&lt;&gt;1)),"work",(INDEX(Subject!$A:$I,MATCH(RANDBETWEEN(1,(MAX(Subject!$B:$B))),Subject!$B:$B,0),3))))</f>
        <v/>
      </c>
      <c r="G491" s="2" t="str">
        <f t="array" ref="G491">IF(NOW()&gt;AR491,"",IF(AND((WEEKDAY($A491)+$B$2)&gt;1,((WEEKDAY($A491)+$T$2)&lt;7),(WEEKDAY($A491)&lt;&gt;1)),"work",(INDEX(Subject!$A:$I,MATCH(RANDBETWEEN(1,(MAX(Subject!$B:$B))),Subject!$B:$B,0),3))))</f>
        <v/>
      </c>
      <c r="H491" s="2" t="str">
        <f t="array" ref="H491">IF(NOW()&gt;AS491,"",IF(AND((WEEKDAY($A491)+$B$2)&gt;1,((WEEKDAY($A491)+$T$2)&lt;7),(WEEKDAY($A491)&lt;&gt;1)),"work",(INDEX(Subject!$A:$I,MATCH(RANDBETWEEN(1,(MAX(Subject!$B:$B))),Subject!$B:$B,0),3))))</f>
        <v/>
      </c>
      <c r="I491" s="2" t="str">
        <f t="array" ref="I491">IF(NOW()&gt;AT491,"",IF(AND((WEEKDAY($A491)+$B$2)&gt;1,((WEEKDAY($A491)+$T$2)&lt;7),(WEEKDAY($A491)&lt;&gt;1)),"work",(INDEX(Subject!$A:$I,MATCH(RANDBETWEEN(1,(MAX(Subject!$B:$B))),Subject!$B:$B,0),3))))</f>
        <v/>
      </c>
      <c r="J491" s="2" t="str">
        <f t="array" ref="J491">IF(NOW()&gt;AU491,"",IF(AND((WEEKDAY($A491)+$B$2)&gt;1,((WEEKDAY($A491)+$T$2)&lt;7),(WEEKDAY($A491)&lt;&gt;1)),"work",(INDEX(Subject!$A:$I,MATCH(RANDBETWEEN(1,(MAX(Subject!$B:$B))),Subject!$B:$B,0),3))))</f>
        <v/>
      </c>
      <c r="K491" s="2" t="str">
        <f t="array" ref="K491">IF(NOW()&gt;AV491,"",IF(AND((WEEKDAY($A491)+$B$2)&gt;1,((WEEKDAY($A491)+$T$2)&lt;7),(WEEKDAY($A491)&lt;&gt;1)),"work",(INDEX(Subject!$A:$I,MATCH(RANDBETWEEN(1,(MAX(Subject!$B:$B))),Subject!$B:$B,0),3))))</f>
        <v/>
      </c>
      <c r="L491" s="2" t="str">
        <f t="array" ref="L491">IF(NOW()&gt;AW491,"",IF(AND((WEEKDAY($A491)+$B$2)&gt;1,((WEEKDAY($A491)+$T$2)&lt;7),(WEEKDAY($A491)&lt;&gt;1)),"work",(INDEX(Subject!$A:$I,MATCH(RANDBETWEEN(1,(MAX(Subject!$B:$B))),Subject!$B:$B,0),3))))</f>
        <v/>
      </c>
      <c r="M491" s="2" t="str">
        <f t="array" ref="M491">IF(NOW()&gt;AX491,"",IF(AND((WEEKDAY($A491)+$B$2)&gt;1,((WEEKDAY($A491)+$T$2)&lt;7),(WEEKDAY($A491)&lt;&gt;1)),"work",(INDEX(Subject!$A:$I,MATCH(RANDBETWEEN(1,(MAX(Subject!$B:$B))),Subject!$B:$B,0),3))))</f>
        <v/>
      </c>
      <c r="N491" s="2" t="str">
        <f t="array" ref="N491">IF(NOW()&gt;AY491,"",IF(AND((WEEKDAY($A491)+$B$2)&gt;1,((WEEKDAY($A491)+$T$2)&lt;7),(WEEKDAY($A491)&lt;&gt;1)),"work",(INDEX(Subject!$A:$I,MATCH(RANDBETWEEN(1,(MAX(Subject!$B:$B))),Subject!$B:$B,0),3))))</f>
        <v/>
      </c>
      <c r="O491" s="2" t="str">
        <f t="array" ref="O491">IF(NOW()&gt;AZ491,"",IF(AND((WEEKDAY($A491)+$B$2)&gt;1,((WEEKDAY($A491)+$T$2)&lt;7),(WEEKDAY($A491)&lt;&gt;1)),"work",(INDEX(Subject!$A:$I,MATCH(RANDBETWEEN(1,(MAX(Subject!$B:$B))),Subject!$B:$B,0),3))))</f>
        <v/>
      </c>
      <c r="P491" s="2" t="str">
        <f t="array" ref="P491">IF(NOW()&gt;BA491,"",IF(AND((WEEKDAY($A491)+$B$2)&gt;1,((WEEKDAY($A491)+$T$2)&lt;7),(WEEKDAY($A491)&lt;&gt;1)),"work",(INDEX(Subject!$A:$I,MATCH(RANDBETWEEN(1,(MAX(Subject!$B:$B))),Subject!$B:$B,0),3))))</f>
        <v/>
      </c>
      <c r="Q491" s="2" t="str">
        <f t="array" ref="Q491">IF(NOW()&gt;BB491,"",IF(AND((WEEKDAY($A491)+$B$2)&gt;1,((WEEKDAY($A491)+$T$2)&lt;7),(WEEKDAY($A491)&lt;&gt;1)),"work",(INDEX(Subject!$A:$I,MATCH(RANDBETWEEN(1,(MAX(Subject!$B:$B))),Subject!$B:$B,0),3))))</f>
        <v/>
      </c>
      <c r="R491" s="2" t="str">
        <f t="array" ref="R491">IF(NOW()&gt;BC491,"",IF(AND((WEEKDAY($A491)+$B$2)&gt;1,((WEEKDAY($A491)+$T$2)&lt;7),(WEEKDAY($A491)&lt;&gt;1)),"work",(INDEX(Subject!$A:$I,MATCH(RANDBETWEEN(1,(MAX(Subject!$B:$B))),Subject!$B:$B,0),3))))</f>
        <v/>
      </c>
      <c r="S491" s="2" t="str">
        <f t="array" ref="S491">IF(NOW()&gt;BD491,"",IF(AND((WEEKDAY($A491)+$B$2)&gt;1,((WEEKDAY($A491)+$T$2)&lt;7),(WEEKDAY($A491)&lt;&gt;1)),"work",(INDEX(Subject!$A:$I,MATCH(RANDBETWEEN(1,(MAX(Subject!$B:$B))),Subject!$B:$B,0),3))))</f>
        <v/>
      </c>
      <c r="T491" s="2" t="str">
        <f t="array" ref="T491">IF(NOW()&gt;BE491,"",IF(AND((WEEKDAY($A491)+$B$2)&gt;1,((WEEKDAY($A491)+$T$2)&lt;7),(WEEKDAY($A491)&lt;&gt;1)),"work",(INDEX(Subject!$A:$I,MATCH(RANDBETWEEN(1,(MAX(Subject!$B:$B))),Subject!$B:$B,0),3))))</f>
        <v/>
      </c>
      <c r="U491" s="8" t="str">
        <f t="array" ref="U491">INDEX(Subject!$A:$I,MATCH(RANDBETWEEN(1,16),Subject!$B:$B,0),3)</f>
        <v>#N/A</v>
      </c>
      <c r="V491" s="8" t="str">
        <f t="array" ref="V491">INDEX(Subject!$A:$I,MATCH(RANDBETWEEN(1,16),Subject!$B:$B,0),3)</f>
        <v/>
      </c>
      <c r="W491" s="8" t="str">
        <f t="array" ref="W491">INDEX(Subject!$A:$I,MATCH(RANDBETWEEN(1,16),Subject!$B:$B,0),3)</f>
        <v>#N/A</v>
      </c>
      <c r="X491" s="8" t="str">
        <f t="array" ref="X491">INDEX(Subject!$A:$I,MATCH(RANDBETWEEN(1,16),Subject!$B:$B,0),3)</f>
        <v>#N/A</v>
      </c>
      <c r="Y491" s="8" t="str">
        <f t="array" ref="Y491">INDEX(Subject!$A:$I,MATCH(RANDBETWEEN(1,16),Subject!$B:$B,0),3)</f>
        <v>#N/A</v>
      </c>
      <c r="Z491" s="8" t="str">
        <f t="array" ref="Z491">INDEX(Subject!$A:$I,MATCH(RANDBETWEEN(1,16),Subject!$B:$B,0),3)</f>
        <v>#N/A</v>
      </c>
      <c r="AA491" s="8" t="str">
        <f t="array" ref="AA491">INDEX(Subject!$A:$I,MATCH(RANDBETWEEN(1,16),Subject!$B:$B,0),3)</f>
        <v>#N/A</v>
      </c>
      <c r="AB491" s="8" t="str">
        <f t="array" ref="AB491">INDEX(Subject!$A:$I,MATCH(RANDBETWEEN(1,16),Subject!$B:$B,0),3)</f>
        <v>#N/A</v>
      </c>
      <c r="AC491" s="8" t="str">
        <f t="array" ref="AC491">INDEX(Subject!$A:$I,MATCH(RANDBETWEEN(1,16),Subject!$B:$B,0),3)</f>
        <v>#N/A</v>
      </c>
      <c r="AD491" s="8" t="str">
        <f t="array" ref="AD491">INDEX(Subject!$A:$I,MATCH(RANDBETWEEN(1,16),Subject!$B:$B,0),3)</f>
        <v>#N/A</v>
      </c>
      <c r="AE491" s="8" t="str">
        <f t="array" ref="AE491">INDEX(Subject!$A:$I,MATCH(RANDBETWEEN(1,16),Subject!$B:$B,0),3)</f>
        <v>#N/A</v>
      </c>
      <c r="AF491" s="8" t="str">
        <f t="array" ref="AF491">INDEX(Subject!$A:$I,MATCH(RANDBETWEEN(1,16),Subject!$B:$B,0),3)</f>
        <v>#N/A</v>
      </c>
      <c r="AG491" s="8" t="str">
        <f t="array" ref="AG491">INDEX(Subject!$A:$I,MATCH(RANDBETWEEN(1,16),Subject!$B:$B,0),3)</f>
        <v>#N/A</v>
      </c>
      <c r="AH491" s="8" t="str">
        <f t="array" ref="AH491">INDEX(Subject!$A:$I,MATCH(RANDBETWEEN(1,16),Subject!$B:$B,0),3)</f>
        <v>#N/A</v>
      </c>
      <c r="AI491" s="8" t="str">
        <f t="array" ref="AI491">INDEX(Subject!$A:$I,MATCH(RANDBETWEEN(1,16),Subject!$B:$B,0),3)</f>
        <v>#N/A</v>
      </c>
      <c r="AJ491" s="8" t="str">
        <f t="array" ref="AJ491">INDEX(Subject!$A:$I,MATCH(RANDBETWEEN(1,16),Subject!$B:$B,0),3)</f>
        <v/>
      </c>
      <c r="AK491" s="8" t="str">
        <f t="array" ref="AK491">INDEX(Subject!$A:$I,MATCH(RANDBETWEEN(1,16),Subject!$B:$B,0),3)</f>
        <v>#N/A</v>
      </c>
      <c r="AL491" s="8" t="str">
        <f t="array" ref="AL491">INDEX(Subject!$A:$I,MATCH(RANDBETWEEN(1,16),Subject!$B:$B,0),3)</f>
        <v>#N/A</v>
      </c>
      <c r="AM491" s="18">
        <f t="shared" si="4"/>
        <v>45991.33333</v>
      </c>
      <c r="AN491" s="19">
        <f t="shared" ref="AN491:BZ491" si="491">$A491+C$1</f>
        <v>45991.35417</v>
      </c>
      <c r="AO491" s="19">
        <f t="shared" si="491"/>
        <v>45991.375</v>
      </c>
      <c r="AP491" s="19">
        <f t="shared" si="491"/>
        <v>45991.39583</v>
      </c>
      <c r="AQ491" s="19">
        <f t="shared" si="491"/>
        <v>45991.41667</v>
      </c>
      <c r="AR491" s="19">
        <f t="shared" si="491"/>
        <v>45991.4375</v>
      </c>
      <c r="AS491" s="19">
        <f t="shared" si="491"/>
        <v>45991.45833</v>
      </c>
      <c r="AT491" s="19">
        <f t="shared" si="491"/>
        <v>45991.47917</v>
      </c>
      <c r="AU491" s="19">
        <f t="shared" si="491"/>
        <v>45991.5</v>
      </c>
      <c r="AV491" s="19">
        <f t="shared" si="491"/>
        <v>45991.52083</v>
      </c>
      <c r="AW491" s="19">
        <f t="shared" si="491"/>
        <v>45991.54167</v>
      </c>
      <c r="AX491" s="19">
        <f t="shared" si="491"/>
        <v>45991.5625</v>
      </c>
      <c r="AY491" s="19">
        <f t="shared" si="491"/>
        <v>45991.58333</v>
      </c>
      <c r="AZ491" s="19">
        <f t="shared" si="491"/>
        <v>45991.60417</v>
      </c>
      <c r="BA491" s="19">
        <f t="shared" si="491"/>
        <v>45991.625</v>
      </c>
      <c r="BB491" s="19">
        <f t="shared" si="491"/>
        <v>45991.64583</v>
      </c>
      <c r="BC491" s="19">
        <f t="shared" si="491"/>
        <v>45991.66667</v>
      </c>
      <c r="BD491" s="19">
        <f t="shared" si="491"/>
        <v>45991.6875</v>
      </c>
      <c r="BE491" s="19">
        <f t="shared" si="491"/>
        <v>45991.70833</v>
      </c>
      <c r="BF491" s="19">
        <f t="shared" si="491"/>
        <v>45991.72917</v>
      </c>
      <c r="BG491" s="19">
        <f t="shared" si="491"/>
        <v>45991.75</v>
      </c>
      <c r="BH491" s="19">
        <f t="shared" si="491"/>
        <v>45991.77083</v>
      </c>
      <c r="BI491" s="19">
        <f t="shared" si="491"/>
        <v>45991.79167</v>
      </c>
      <c r="BJ491" s="19">
        <f t="shared" si="491"/>
        <v>45991.8125</v>
      </c>
      <c r="BK491" s="19">
        <f t="shared" si="491"/>
        <v>45991.83333</v>
      </c>
      <c r="BL491" s="19">
        <f t="shared" si="491"/>
        <v>45991.85417</v>
      </c>
      <c r="BM491" s="19">
        <f t="shared" si="491"/>
        <v>45991.875</v>
      </c>
      <c r="BN491" s="19">
        <f t="shared" si="491"/>
        <v>45991.89583</v>
      </c>
      <c r="BO491" s="19">
        <f t="shared" si="491"/>
        <v>45991.91667</v>
      </c>
      <c r="BP491" s="19">
        <f t="shared" si="491"/>
        <v>45991.9375</v>
      </c>
      <c r="BQ491" s="19">
        <f t="shared" si="491"/>
        <v>45991.95833</v>
      </c>
      <c r="BR491" s="19">
        <f t="shared" si="491"/>
        <v>45991.97917</v>
      </c>
      <c r="BS491" s="19">
        <f t="shared" si="491"/>
        <v>45992</v>
      </c>
      <c r="BT491" s="19">
        <f t="shared" si="491"/>
        <v>45992.02083</v>
      </c>
      <c r="BU491" s="19">
        <f t="shared" si="491"/>
        <v>45992.04167</v>
      </c>
      <c r="BV491" s="19">
        <f t="shared" si="491"/>
        <v>45992.0625</v>
      </c>
      <c r="BW491" s="19">
        <f t="shared" si="491"/>
        <v>45992.08333</v>
      </c>
      <c r="BX491" s="19">
        <f t="shared" si="491"/>
        <v>45991</v>
      </c>
      <c r="BY491" s="19">
        <f t="shared" si="491"/>
        <v>45991</v>
      </c>
      <c r="BZ491" s="19">
        <f t="shared" si="491"/>
        <v>45991</v>
      </c>
    </row>
    <row r="492" ht="14.25" customHeight="1">
      <c r="A492" s="17">
        <v>45992.0</v>
      </c>
      <c r="B492" s="2" t="str">
        <f t="array" ref="B492">IF(NOW()&gt;AM492,"",IF(AND((WEEKDAY($A492)+$B$2)&gt;1,((WEEKDAY($A492)+$T$2)&lt;7),(WEEKDAY($A492)&lt;&gt;1)),"work",(INDEX(Subject!$A:$I,MATCH(RANDBETWEEN(1,(MAX(Subject!$B:$B))),Subject!$B:$B,0),3))))</f>
        <v/>
      </c>
      <c r="C492" s="2" t="str">
        <f t="array" ref="C492">IF(NOW()&gt;AN492,"",IF(AND((WEEKDAY($A492)+$B$2)&gt;1,((WEEKDAY($A492)+$T$2)&lt;7),(WEEKDAY($A492)&lt;&gt;1)),"work",(INDEX(Subject!$A:$I,MATCH(RANDBETWEEN(1,(MAX(Subject!$B:$B))),Subject!$B:$B,0),3))))</f>
        <v/>
      </c>
      <c r="D492" s="2" t="str">
        <f t="array" ref="D492">IF(NOW()&gt;AO492,"",IF(AND((WEEKDAY($A492)+$B$2)&gt;1,((WEEKDAY($A492)+$T$2)&lt;7),(WEEKDAY($A492)&lt;&gt;1)),"work",(INDEX(Subject!$A:$I,MATCH(RANDBETWEEN(1,(MAX(Subject!$B:$B))),Subject!$B:$B,0),3))))</f>
        <v/>
      </c>
      <c r="E492" s="2" t="str">
        <f t="array" ref="E492">IF(NOW()&gt;AP492,"",IF(AND((WEEKDAY($A492)+$B$2)&gt;1,((WEEKDAY($A492)+$T$2)&lt;7),(WEEKDAY($A492)&lt;&gt;1)),"work",(INDEX(Subject!$A:$I,MATCH(RANDBETWEEN(1,(MAX(Subject!$B:$B))),Subject!$B:$B,0),3))))</f>
        <v/>
      </c>
      <c r="F492" s="2" t="str">
        <f t="array" ref="F492">IF(NOW()&gt;AQ492,"",IF(AND((WEEKDAY($A492)+$B$2)&gt;1,((WEEKDAY($A492)+$T$2)&lt;7),(WEEKDAY($A492)&lt;&gt;1)),"work",(INDEX(Subject!$A:$I,MATCH(RANDBETWEEN(1,(MAX(Subject!$B:$B))),Subject!$B:$B,0),3))))</f>
        <v/>
      </c>
      <c r="G492" s="2" t="str">
        <f t="array" ref="G492">IF(NOW()&gt;AR492,"",IF(AND((WEEKDAY($A492)+$B$2)&gt;1,((WEEKDAY($A492)+$T$2)&lt;7),(WEEKDAY($A492)&lt;&gt;1)),"work",(INDEX(Subject!$A:$I,MATCH(RANDBETWEEN(1,(MAX(Subject!$B:$B))),Subject!$B:$B,0),3))))</f>
        <v/>
      </c>
      <c r="H492" s="2" t="str">
        <f t="array" ref="H492">IF(NOW()&gt;AS492,"",IF(AND((WEEKDAY($A492)+$B$2)&gt;1,((WEEKDAY($A492)+$T$2)&lt;7),(WEEKDAY($A492)&lt;&gt;1)),"work",(INDEX(Subject!$A:$I,MATCH(RANDBETWEEN(1,(MAX(Subject!$B:$B))),Subject!$B:$B,0),3))))</f>
        <v/>
      </c>
      <c r="I492" s="2" t="str">
        <f t="array" ref="I492">IF(NOW()&gt;AT492,"",IF(AND((WEEKDAY($A492)+$B$2)&gt;1,((WEEKDAY($A492)+$T$2)&lt;7),(WEEKDAY($A492)&lt;&gt;1)),"work",(INDEX(Subject!$A:$I,MATCH(RANDBETWEEN(1,(MAX(Subject!$B:$B))),Subject!$B:$B,0),3))))</f>
        <v/>
      </c>
      <c r="J492" s="2" t="str">
        <f t="array" ref="J492">IF(NOW()&gt;AU492,"",IF(AND((WEEKDAY($A492)+$B$2)&gt;1,((WEEKDAY($A492)+$T$2)&lt;7),(WEEKDAY($A492)&lt;&gt;1)),"work",(INDEX(Subject!$A:$I,MATCH(RANDBETWEEN(1,(MAX(Subject!$B:$B))),Subject!$B:$B,0),3))))</f>
        <v/>
      </c>
      <c r="K492" s="2" t="str">
        <f t="array" ref="K492">IF(NOW()&gt;AV492,"",IF(AND((WEEKDAY($A492)+$B$2)&gt;1,((WEEKDAY($A492)+$T$2)&lt;7),(WEEKDAY($A492)&lt;&gt;1)),"work",(INDEX(Subject!$A:$I,MATCH(RANDBETWEEN(1,(MAX(Subject!$B:$B))),Subject!$B:$B,0),3))))</f>
        <v/>
      </c>
      <c r="L492" s="2" t="str">
        <f t="array" ref="L492">IF(NOW()&gt;AW492,"",IF(AND((WEEKDAY($A492)+$B$2)&gt;1,((WEEKDAY($A492)+$T$2)&lt;7),(WEEKDAY($A492)&lt;&gt;1)),"work",(INDEX(Subject!$A:$I,MATCH(RANDBETWEEN(1,(MAX(Subject!$B:$B))),Subject!$B:$B,0),3))))</f>
        <v/>
      </c>
      <c r="M492" s="2" t="str">
        <f t="array" ref="M492">IF(NOW()&gt;AX492,"",IF(AND((WEEKDAY($A492)+$B$2)&gt;1,((WEEKDAY($A492)+$T$2)&lt;7),(WEEKDAY($A492)&lt;&gt;1)),"work",(INDEX(Subject!$A:$I,MATCH(RANDBETWEEN(1,(MAX(Subject!$B:$B))),Subject!$B:$B,0),3))))</f>
        <v/>
      </c>
      <c r="N492" s="2" t="str">
        <f t="array" ref="N492">IF(NOW()&gt;AY492,"",IF(AND((WEEKDAY($A492)+$B$2)&gt;1,((WEEKDAY($A492)+$T$2)&lt;7),(WEEKDAY($A492)&lt;&gt;1)),"work",(INDEX(Subject!$A:$I,MATCH(RANDBETWEEN(1,(MAX(Subject!$B:$B))),Subject!$B:$B,0),3))))</f>
        <v/>
      </c>
      <c r="O492" s="2" t="str">
        <f t="array" ref="O492">IF(NOW()&gt;AZ492,"",IF(AND((WEEKDAY($A492)+$B$2)&gt;1,((WEEKDAY($A492)+$T$2)&lt;7),(WEEKDAY($A492)&lt;&gt;1)),"work",(INDEX(Subject!$A:$I,MATCH(RANDBETWEEN(1,(MAX(Subject!$B:$B))),Subject!$B:$B,0),3))))</f>
        <v/>
      </c>
      <c r="P492" s="2" t="str">
        <f t="array" ref="P492">IF(NOW()&gt;BA492,"",IF(AND((WEEKDAY($A492)+$B$2)&gt;1,((WEEKDAY($A492)+$T$2)&lt;7),(WEEKDAY($A492)&lt;&gt;1)),"work",(INDEX(Subject!$A:$I,MATCH(RANDBETWEEN(1,(MAX(Subject!$B:$B))),Subject!$B:$B,0),3))))</f>
        <v/>
      </c>
      <c r="Q492" s="2" t="str">
        <f t="array" ref="Q492">IF(NOW()&gt;BB492,"",IF(AND((WEEKDAY($A492)+$B$2)&gt;1,((WEEKDAY($A492)+$T$2)&lt;7),(WEEKDAY($A492)&lt;&gt;1)),"work",(INDEX(Subject!$A:$I,MATCH(RANDBETWEEN(1,(MAX(Subject!$B:$B))),Subject!$B:$B,0),3))))</f>
        <v/>
      </c>
      <c r="R492" s="2" t="str">
        <f t="array" ref="R492">IF(NOW()&gt;BC492,"",IF(AND((WEEKDAY($A492)+$B$2)&gt;1,((WEEKDAY($A492)+$T$2)&lt;7),(WEEKDAY($A492)&lt;&gt;1)),"work",(INDEX(Subject!$A:$I,MATCH(RANDBETWEEN(1,(MAX(Subject!$B:$B))),Subject!$B:$B,0),3))))</f>
        <v/>
      </c>
      <c r="S492" s="2" t="str">
        <f t="array" ref="S492">IF(NOW()&gt;BD492,"",IF(AND((WEEKDAY($A492)+$B$2)&gt;1,((WEEKDAY($A492)+$T$2)&lt;7),(WEEKDAY($A492)&lt;&gt;1)),"work",(INDEX(Subject!$A:$I,MATCH(RANDBETWEEN(1,(MAX(Subject!$B:$B))),Subject!$B:$B,0),3))))</f>
        <v/>
      </c>
      <c r="T492" s="2" t="str">
        <f t="array" ref="T492">IF(NOW()&gt;BE492,"",IF(AND((WEEKDAY($A492)+$B$2)&gt;1,((WEEKDAY($A492)+$T$2)&lt;7),(WEEKDAY($A492)&lt;&gt;1)),"work",(INDEX(Subject!$A:$I,MATCH(RANDBETWEEN(1,(MAX(Subject!$B:$B))),Subject!$B:$B,0),3))))</f>
        <v/>
      </c>
      <c r="U492" s="8" t="str">
        <f t="array" ref="U492">INDEX(Subject!$A:$I,MATCH(RANDBETWEEN(1,16),Subject!$B:$B,0),3)</f>
        <v>#N/A</v>
      </c>
      <c r="V492" s="8" t="str">
        <f t="array" ref="V492">INDEX(Subject!$A:$I,MATCH(RANDBETWEEN(1,16),Subject!$B:$B,0),3)</f>
        <v>#N/A</v>
      </c>
      <c r="W492" s="8" t="str">
        <f t="array" ref="W492">INDEX(Subject!$A:$I,MATCH(RANDBETWEEN(1,16),Subject!$B:$B,0),3)</f>
        <v>#N/A</v>
      </c>
      <c r="X492" s="8" t="str">
        <f t="array" ref="X492">INDEX(Subject!$A:$I,MATCH(RANDBETWEEN(1,16),Subject!$B:$B,0),3)</f>
        <v>#N/A</v>
      </c>
      <c r="Y492" s="8" t="str">
        <f t="array" ref="Y492">INDEX(Subject!$A:$I,MATCH(RANDBETWEEN(1,16),Subject!$B:$B,0),3)</f>
        <v>#N/A</v>
      </c>
      <c r="Z492" s="8" t="str">
        <f t="array" ref="Z492">INDEX(Subject!$A:$I,MATCH(RANDBETWEEN(1,16),Subject!$B:$B,0),3)</f>
        <v>#N/A</v>
      </c>
      <c r="AA492" s="8" t="str">
        <f t="array" ref="AA492">INDEX(Subject!$A:$I,MATCH(RANDBETWEEN(1,16),Subject!$B:$B,0),3)</f>
        <v>#N/A</v>
      </c>
      <c r="AB492" s="8" t="str">
        <f t="array" ref="AB492">INDEX(Subject!$A:$I,MATCH(RANDBETWEEN(1,16),Subject!$B:$B,0),3)</f>
        <v/>
      </c>
      <c r="AC492" s="8" t="str">
        <f t="array" ref="AC492">INDEX(Subject!$A:$I,MATCH(RANDBETWEEN(1,16),Subject!$B:$B,0),3)</f>
        <v>#N/A</v>
      </c>
      <c r="AD492" s="8" t="str">
        <f t="array" ref="AD492">INDEX(Subject!$A:$I,MATCH(RANDBETWEEN(1,16),Subject!$B:$B,0),3)</f>
        <v>#N/A</v>
      </c>
      <c r="AE492" s="8" t="str">
        <f t="array" ref="AE492">INDEX(Subject!$A:$I,MATCH(RANDBETWEEN(1,16),Subject!$B:$B,0),3)</f>
        <v>#N/A</v>
      </c>
      <c r="AF492" s="8" t="str">
        <f t="array" ref="AF492">INDEX(Subject!$A:$I,MATCH(RANDBETWEEN(1,16),Subject!$B:$B,0),3)</f>
        <v>#N/A</v>
      </c>
      <c r="AG492" s="8" t="str">
        <f t="array" ref="AG492">INDEX(Subject!$A:$I,MATCH(RANDBETWEEN(1,16),Subject!$B:$B,0),3)</f>
        <v>#N/A</v>
      </c>
      <c r="AH492" s="8" t="str">
        <f t="array" ref="AH492">INDEX(Subject!$A:$I,MATCH(RANDBETWEEN(1,16),Subject!$B:$B,0),3)</f>
        <v>#N/A</v>
      </c>
      <c r="AI492" s="8" t="str">
        <f t="array" ref="AI492">INDEX(Subject!$A:$I,MATCH(RANDBETWEEN(1,16),Subject!$B:$B,0),3)</f>
        <v>#N/A</v>
      </c>
      <c r="AJ492" s="8" t="str">
        <f t="array" ref="AJ492">INDEX(Subject!$A:$I,MATCH(RANDBETWEEN(1,16),Subject!$B:$B,0),3)</f>
        <v>#N/A</v>
      </c>
      <c r="AK492" s="8" t="str">
        <f t="array" ref="AK492">INDEX(Subject!$A:$I,MATCH(RANDBETWEEN(1,16),Subject!$B:$B,0),3)</f>
        <v>#N/A</v>
      </c>
      <c r="AL492" s="8" t="str">
        <f t="array" ref="AL492">INDEX(Subject!$A:$I,MATCH(RANDBETWEEN(1,16),Subject!$B:$B,0),3)</f>
        <v>#N/A</v>
      </c>
      <c r="AM492" s="18">
        <f t="shared" si="4"/>
        <v>45992.33333</v>
      </c>
      <c r="AN492" s="19">
        <f t="shared" ref="AN492:BZ492" si="492">$A492+C$1</f>
        <v>45992.35417</v>
      </c>
      <c r="AO492" s="19">
        <f t="shared" si="492"/>
        <v>45992.375</v>
      </c>
      <c r="AP492" s="19">
        <f t="shared" si="492"/>
        <v>45992.39583</v>
      </c>
      <c r="AQ492" s="19">
        <f t="shared" si="492"/>
        <v>45992.41667</v>
      </c>
      <c r="AR492" s="19">
        <f t="shared" si="492"/>
        <v>45992.4375</v>
      </c>
      <c r="AS492" s="19">
        <f t="shared" si="492"/>
        <v>45992.45833</v>
      </c>
      <c r="AT492" s="19">
        <f t="shared" si="492"/>
        <v>45992.47917</v>
      </c>
      <c r="AU492" s="19">
        <f t="shared" si="492"/>
        <v>45992.5</v>
      </c>
      <c r="AV492" s="19">
        <f t="shared" si="492"/>
        <v>45992.52083</v>
      </c>
      <c r="AW492" s="19">
        <f t="shared" si="492"/>
        <v>45992.54167</v>
      </c>
      <c r="AX492" s="19">
        <f t="shared" si="492"/>
        <v>45992.5625</v>
      </c>
      <c r="AY492" s="19">
        <f t="shared" si="492"/>
        <v>45992.58333</v>
      </c>
      <c r="AZ492" s="19">
        <f t="shared" si="492"/>
        <v>45992.60417</v>
      </c>
      <c r="BA492" s="19">
        <f t="shared" si="492"/>
        <v>45992.625</v>
      </c>
      <c r="BB492" s="19">
        <f t="shared" si="492"/>
        <v>45992.64583</v>
      </c>
      <c r="BC492" s="19">
        <f t="shared" si="492"/>
        <v>45992.66667</v>
      </c>
      <c r="BD492" s="19">
        <f t="shared" si="492"/>
        <v>45992.6875</v>
      </c>
      <c r="BE492" s="19">
        <f t="shared" si="492"/>
        <v>45992.70833</v>
      </c>
      <c r="BF492" s="19">
        <f t="shared" si="492"/>
        <v>45992.72917</v>
      </c>
      <c r="BG492" s="19">
        <f t="shared" si="492"/>
        <v>45992.75</v>
      </c>
      <c r="BH492" s="19">
        <f t="shared" si="492"/>
        <v>45992.77083</v>
      </c>
      <c r="BI492" s="19">
        <f t="shared" si="492"/>
        <v>45992.79167</v>
      </c>
      <c r="BJ492" s="19">
        <f t="shared" si="492"/>
        <v>45992.8125</v>
      </c>
      <c r="BK492" s="19">
        <f t="shared" si="492"/>
        <v>45992.83333</v>
      </c>
      <c r="BL492" s="19">
        <f t="shared" si="492"/>
        <v>45992.85417</v>
      </c>
      <c r="BM492" s="19">
        <f t="shared" si="492"/>
        <v>45992.875</v>
      </c>
      <c r="BN492" s="19">
        <f t="shared" si="492"/>
        <v>45992.89583</v>
      </c>
      <c r="BO492" s="19">
        <f t="shared" si="492"/>
        <v>45992.91667</v>
      </c>
      <c r="BP492" s="19">
        <f t="shared" si="492"/>
        <v>45992.9375</v>
      </c>
      <c r="BQ492" s="19">
        <f t="shared" si="492"/>
        <v>45992.95833</v>
      </c>
      <c r="BR492" s="19">
        <f t="shared" si="492"/>
        <v>45992.97917</v>
      </c>
      <c r="BS492" s="19">
        <f t="shared" si="492"/>
        <v>45993</v>
      </c>
      <c r="BT492" s="19">
        <f t="shared" si="492"/>
        <v>45993.02083</v>
      </c>
      <c r="BU492" s="19">
        <f t="shared" si="492"/>
        <v>45993.04167</v>
      </c>
      <c r="BV492" s="19">
        <f t="shared" si="492"/>
        <v>45993.0625</v>
      </c>
      <c r="BW492" s="19">
        <f t="shared" si="492"/>
        <v>45993.08333</v>
      </c>
      <c r="BX492" s="19">
        <f t="shared" si="492"/>
        <v>45992</v>
      </c>
      <c r="BY492" s="19">
        <f t="shared" si="492"/>
        <v>45992</v>
      </c>
      <c r="BZ492" s="19">
        <f t="shared" si="492"/>
        <v>45992</v>
      </c>
    </row>
    <row r="493" ht="14.25" customHeight="1">
      <c r="A493" s="17">
        <v>45993.0</v>
      </c>
      <c r="B493" s="2" t="str">
        <f t="array" ref="B493">IF(NOW()&gt;AM493,"",IF(AND((WEEKDAY($A493)+$B$2)&gt;1,((WEEKDAY($A493)+$T$2)&lt;7),(WEEKDAY($A493)&lt;&gt;1)),"work",(INDEX(Subject!$A:$I,MATCH(RANDBETWEEN(1,(MAX(Subject!$B:$B))),Subject!$B:$B,0),3))))</f>
        <v/>
      </c>
      <c r="C493" s="2" t="str">
        <f t="array" ref="C493">IF(NOW()&gt;AN493,"",IF(AND((WEEKDAY($A493)+$B$2)&gt;1,((WEEKDAY($A493)+$T$2)&lt;7),(WEEKDAY($A493)&lt;&gt;1)),"work",(INDEX(Subject!$A:$I,MATCH(RANDBETWEEN(1,(MAX(Subject!$B:$B))),Subject!$B:$B,0),3))))</f>
        <v/>
      </c>
      <c r="D493" s="2" t="str">
        <f t="array" ref="D493">IF(NOW()&gt;AO493,"",IF(AND((WEEKDAY($A493)+$B$2)&gt;1,((WEEKDAY($A493)+$T$2)&lt;7),(WEEKDAY($A493)&lt;&gt;1)),"work",(INDEX(Subject!$A:$I,MATCH(RANDBETWEEN(1,(MAX(Subject!$B:$B))),Subject!$B:$B,0),3))))</f>
        <v/>
      </c>
      <c r="E493" s="2" t="str">
        <f t="array" ref="E493">IF(NOW()&gt;AP493,"",IF(AND((WEEKDAY($A493)+$B$2)&gt;1,((WEEKDAY($A493)+$T$2)&lt;7),(WEEKDAY($A493)&lt;&gt;1)),"work",(INDEX(Subject!$A:$I,MATCH(RANDBETWEEN(1,(MAX(Subject!$B:$B))),Subject!$B:$B,0),3))))</f>
        <v/>
      </c>
      <c r="F493" s="2" t="str">
        <f t="array" ref="F493">IF(NOW()&gt;AQ493,"",IF(AND((WEEKDAY($A493)+$B$2)&gt;1,((WEEKDAY($A493)+$T$2)&lt;7),(WEEKDAY($A493)&lt;&gt;1)),"work",(INDEX(Subject!$A:$I,MATCH(RANDBETWEEN(1,(MAX(Subject!$B:$B))),Subject!$B:$B,0),3))))</f>
        <v/>
      </c>
      <c r="G493" s="2" t="str">
        <f t="array" ref="G493">IF(NOW()&gt;AR493,"",IF(AND((WEEKDAY($A493)+$B$2)&gt;1,((WEEKDAY($A493)+$T$2)&lt;7),(WEEKDAY($A493)&lt;&gt;1)),"work",(INDEX(Subject!$A:$I,MATCH(RANDBETWEEN(1,(MAX(Subject!$B:$B))),Subject!$B:$B,0),3))))</f>
        <v/>
      </c>
      <c r="H493" s="2" t="str">
        <f t="array" ref="H493">IF(NOW()&gt;AS493,"",IF(AND((WEEKDAY($A493)+$B$2)&gt;1,((WEEKDAY($A493)+$T$2)&lt;7),(WEEKDAY($A493)&lt;&gt;1)),"work",(INDEX(Subject!$A:$I,MATCH(RANDBETWEEN(1,(MAX(Subject!$B:$B))),Subject!$B:$B,0),3))))</f>
        <v/>
      </c>
      <c r="I493" s="2" t="str">
        <f t="array" ref="I493">IF(NOW()&gt;AT493,"",IF(AND((WEEKDAY($A493)+$B$2)&gt;1,((WEEKDAY($A493)+$T$2)&lt;7),(WEEKDAY($A493)&lt;&gt;1)),"work",(INDEX(Subject!$A:$I,MATCH(RANDBETWEEN(1,(MAX(Subject!$B:$B))),Subject!$B:$B,0),3))))</f>
        <v/>
      </c>
      <c r="J493" s="2" t="str">
        <f t="array" ref="J493">IF(NOW()&gt;AU493,"",IF(AND((WEEKDAY($A493)+$B$2)&gt;1,((WEEKDAY($A493)+$T$2)&lt;7),(WEEKDAY($A493)&lt;&gt;1)),"work",(INDEX(Subject!$A:$I,MATCH(RANDBETWEEN(1,(MAX(Subject!$B:$B))),Subject!$B:$B,0),3))))</f>
        <v/>
      </c>
      <c r="K493" s="2" t="str">
        <f t="array" ref="K493">IF(NOW()&gt;AV493,"",IF(AND((WEEKDAY($A493)+$B$2)&gt;1,((WEEKDAY($A493)+$T$2)&lt;7),(WEEKDAY($A493)&lt;&gt;1)),"work",(INDEX(Subject!$A:$I,MATCH(RANDBETWEEN(1,(MAX(Subject!$B:$B))),Subject!$B:$B,0),3))))</f>
        <v/>
      </c>
      <c r="L493" s="2" t="str">
        <f t="array" ref="L493">IF(NOW()&gt;AW493,"",IF(AND((WEEKDAY($A493)+$B$2)&gt;1,((WEEKDAY($A493)+$T$2)&lt;7),(WEEKDAY($A493)&lt;&gt;1)),"work",(INDEX(Subject!$A:$I,MATCH(RANDBETWEEN(1,(MAX(Subject!$B:$B))),Subject!$B:$B,0),3))))</f>
        <v/>
      </c>
      <c r="M493" s="2" t="str">
        <f t="array" ref="M493">IF(NOW()&gt;AX493,"",IF(AND((WEEKDAY($A493)+$B$2)&gt;1,((WEEKDAY($A493)+$T$2)&lt;7),(WEEKDAY($A493)&lt;&gt;1)),"work",(INDEX(Subject!$A:$I,MATCH(RANDBETWEEN(1,(MAX(Subject!$B:$B))),Subject!$B:$B,0),3))))</f>
        <v/>
      </c>
      <c r="N493" s="2" t="str">
        <f t="array" ref="N493">IF(NOW()&gt;AY493,"",IF(AND((WEEKDAY($A493)+$B$2)&gt;1,((WEEKDAY($A493)+$T$2)&lt;7),(WEEKDAY($A493)&lt;&gt;1)),"work",(INDEX(Subject!$A:$I,MATCH(RANDBETWEEN(1,(MAX(Subject!$B:$B))),Subject!$B:$B,0),3))))</f>
        <v/>
      </c>
      <c r="O493" s="2" t="str">
        <f t="array" ref="O493">IF(NOW()&gt;AZ493,"",IF(AND((WEEKDAY($A493)+$B$2)&gt;1,((WEEKDAY($A493)+$T$2)&lt;7),(WEEKDAY($A493)&lt;&gt;1)),"work",(INDEX(Subject!$A:$I,MATCH(RANDBETWEEN(1,(MAX(Subject!$B:$B))),Subject!$B:$B,0),3))))</f>
        <v/>
      </c>
      <c r="P493" s="2" t="str">
        <f t="array" ref="P493">IF(NOW()&gt;BA493,"",IF(AND((WEEKDAY($A493)+$B$2)&gt;1,((WEEKDAY($A493)+$T$2)&lt;7),(WEEKDAY($A493)&lt;&gt;1)),"work",(INDEX(Subject!$A:$I,MATCH(RANDBETWEEN(1,(MAX(Subject!$B:$B))),Subject!$B:$B,0),3))))</f>
        <v/>
      </c>
      <c r="Q493" s="2" t="str">
        <f t="array" ref="Q493">IF(NOW()&gt;BB493,"",IF(AND((WEEKDAY($A493)+$B$2)&gt;1,((WEEKDAY($A493)+$T$2)&lt;7),(WEEKDAY($A493)&lt;&gt;1)),"work",(INDEX(Subject!$A:$I,MATCH(RANDBETWEEN(1,(MAX(Subject!$B:$B))),Subject!$B:$B,0),3))))</f>
        <v/>
      </c>
      <c r="R493" s="2" t="str">
        <f t="array" ref="R493">IF(NOW()&gt;BC493,"",IF(AND((WEEKDAY($A493)+$B$2)&gt;1,((WEEKDAY($A493)+$T$2)&lt;7),(WEEKDAY($A493)&lt;&gt;1)),"work",(INDEX(Subject!$A:$I,MATCH(RANDBETWEEN(1,(MAX(Subject!$B:$B))),Subject!$B:$B,0),3))))</f>
        <v/>
      </c>
      <c r="S493" s="2" t="str">
        <f t="array" ref="S493">IF(NOW()&gt;BD493,"",IF(AND((WEEKDAY($A493)+$B$2)&gt;1,((WEEKDAY($A493)+$T$2)&lt;7),(WEEKDAY($A493)&lt;&gt;1)),"work",(INDEX(Subject!$A:$I,MATCH(RANDBETWEEN(1,(MAX(Subject!$B:$B))),Subject!$B:$B,0),3))))</f>
        <v/>
      </c>
      <c r="T493" s="2" t="str">
        <f t="array" ref="T493">IF(NOW()&gt;BE493,"",IF(AND((WEEKDAY($A493)+$B$2)&gt;1,((WEEKDAY($A493)+$T$2)&lt;7),(WEEKDAY($A493)&lt;&gt;1)),"work",(INDEX(Subject!$A:$I,MATCH(RANDBETWEEN(1,(MAX(Subject!$B:$B))),Subject!$B:$B,0),3))))</f>
        <v/>
      </c>
      <c r="U493" s="8" t="str">
        <f t="array" ref="U493">INDEX(Subject!$A:$I,MATCH(RANDBETWEEN(1,16),Subject!$B:$B,0),3)</f>
        <v>#N/A</v>
      </c>
      <c r="V493" s="8" t="str">
        <f t="array" ref="V493">INDEX(Subject!$A:$I,MATCH(RANDBETWEEN(1,16),Subject!$B:$B,0),3)</f>
        <v>#N/A</v>
      </c>
      <c r="W493" s="8" t="str">
        <f t="array" ref="W493">INDEX(Subject!$A:$I,MATCH(RANDBETWEEN(1,16),Subject!$B:$B,0),3)</f>
        <v>#N/A</v>
      </c>
      <c r="X493" s="8" t="str">
        <f t="array" ref="X493">INDEX(Subject!$A:$I,MATCH(RANDBETWEEN(1,16),Subject!$B:$B,0),3)</f>
        <v/>
      </c>
      <c r="Y493" s="8" t="str">
        <f t="array" ref="Y493">INDEX(Subject!$A:$I,MATCH(RANDBETWEEN(1,16),Subject!$B:$B,0),3)</f>
        <v>#N/A</v>
      </c>
      <c r="Z493" s="8" t="str">
        <f t="array" ref="Z493">INDEX(Subject!$A:$I,MATCH(RANDBETWEEN(1,16),Subject!$B:$B,0),3)</f>
        <v>#N/A</v>
      </c>
      <c r="AA493" s="8" t="str">
        <f t="array" ref="AA493">INDEX(Subject!$A:$I,MATCH(RANDBETWEEN(1,16),Subject!$B:$B,0),3)</f>
        <v>#N/A</v>
      </c>
      <c r="AB493" s="8" t="str">
        <f t="array" ref="AB493">INDEX(Subject!$A:$I,MATCH(RANDBETWEEN(1,16),Subject!$B:$B,0),3)</f>
        <v>#N/A</v>
      </c>
      <c r="AC493" s="8" t="str">
        <f t="array" ref="AC493">INDEX(Subject!$A:$I,MATCH(RANDBETWEEN(1,16),Subject!$B:$B,0),3)</f>
        <v>#N/A</v>
      </c>
      <c r="AD493" s="8" t="str">
        <f t="array" ref="AD493">INDEX(Subject!$A:$I,MATCH(RANDBETWEEN(1,16),Subject!$B:$B,0),3)</f>
        <v>#N/A</v>
      </c>
      <c r="AE493" s="8" t="str">
        <f t="array" ref="AE493">INDEX(Subject!$A:$I,MATCH(RANDBETWEEN(1,16),Subject!$B:$B,0),3)</f>
        <v/>
      </c>
      <c r="AF493" s="8" t="str">
        <f t="array" ref="AF493">INDEX(Subject!$A:$I,MATCH(RANDBETWEEN(1,16),Subject!$B:$B,0),3)</f>
        <v>#N/A</v>
      </c>
      <c r="AG493" s="8" t="str">
        <f t="array" ref="AG493">INDEX(Subject!$A:$I,MATCH(RANDBETWEEN(1,16),Subject!$B:$B,0),3)</f>
        <v>#N/A</v>
      </c>
      <c r="AH493" s="8" t="str">
        <f t="array" ref="AH493">INDEX(Subject!$A:$I,MATCH(RANDBETWEEN(1,16),Subject!$B:$B,0),3)</f>
        <v>#N/A</v>
      </c>
      <c r="AI493" s="8" t="str">
        <f t="array" ref="AI493">INDEX(Subject!$A:$I,MATCH(RANDBETWEEN(1,16),Subject!$B:$B,0),3)</f>
        <v>#N/A</v>
      </c>
      <c r="AJ493" s="8" t="str">
        <f t="array" ref="AJ493">INDEX(Subject!$A:$I,MATCH(RANDBETWEEN(1,16),Subject!$B:$B,0),3)</f>
        <v>#N/A</v>
      </c>
      <c r="AK493" s="8" t="str">
        <f t="array" ref="AK493">INDEX(Subject!$A:$I,MATCH(RANDBETWEEN(1,16),Subject!$B:$B,0),3)</f>
        <v>#N/A</v>
      </c>
      <c r="AL493" s="8" t="str">
        <f t="array" ref="AL493">INDEX(Subject!$A:$I,MATCH(RANDBETWEEN(1,16),Subject!$B:$B,0),3)</f>
        <v>#N/A</v>
      </c>
      <c r="AM493" s="18">
        <f t="shared" si="4"/>
        <v>45993.33333</v>
      </c>
      <c r="AN493" s="19">
        <f t="shared" ref="AN493:BZ493" si="493">$A493+C$1</f>
        <v>45993.35417</v>
      </c>
      <c r="AO493" s="19">
        <f t="shared" si="493"/>
        <v>45993.375</v>
      </c>
      <c r="AP493" s="19">
        <f t="shared" si="493"/>
        <v>45993.39583</v>
      </c>
      <c r="AQ493" s="19">
        <f t="shared" si="493"/>
        <v>45993.41667</v>
      </c>
      <c r="AR493" s="19">
        <f t="shared" si="493"/>
        <v>45993.4375</v>
      </c>
      <c r="AS493" s="19">
        <f t="shared" si="493"/>
        <v>45993.45833</v>
      </c>
      <c r="AT493" s="19">
        <f t="shared" si="493"/>
        <v>45993.47917</v>
      </c>
      <c r="AU493" s="19">
        <f t="shared" si="493"/>
        <v>45993.5</v>
      </c>
      <c r="AV493" s="19">
        <f t="shared" si="493"/>
        <v>45993.52083</v>
      </c>
      <c r="AW493" s="19">
        <f t="shared" si="493"/>
        <v>45993.54167</v>
      </c>
      <c r="AX493" s="19">
        <f t="shared" si="493"/>
        <v>45993.5625</v>
      </c>
      <c r="AY493" s="19">
        <f t="shared" si="493"/>
        <v>45993.58333</v>
      </c>
      <c r="AZ493" s="19">
        <f t="shared" si="493"/>
        <v>45993.60417</v>
      </c>
      <c r="BA493" s="19">
        <f t="shared" si="493"/>
        <v>45993.625</v>
      </c>
      <c r="BB493" s="19">
        <f t="shared" si="493"/>
        <v>45993.64583</v>
      </c>
      <c r="BC493" s="19">
        <f t="shared" si="493"/>
        <v>45993.66667</v>
      </c>
      <c r="BD493" s="19">
        <f t="shared" si="493"/>
        <v>45993.6875</v>
      </c>
      <c r="BE493" s="19">
        <f t="shared" si="493"/>
        <v>45993.70833</v>
      </c>
      <c r="BF493" s="19">
        <f t="shared" si="493"/>
        <v>45993.72917</v>
      </c>
      <c r="BG493" s="19">
        <f t="shared" si="493"/>
        <v>45993.75</v>
      </c>
      <c r="BH493" s="19">
        <f t="shared" si="493"/>
        <v>45993.77083</v>
      </c>
      <c r="BI493" s="19">
        <f t="shared" si="493"/>
        <v>45993.79167</v>
      </c>
      <c r="BJ493" s="19">
        <f t="shared" si="493"/>
        <v>45993.8125</v>
      </c>
      <c r="BK493" s="19">
        <f t="shared" si="493"/>
        <v>45993.83333</v>
      </c>
      <c r="BL493" s="19">
        <f t="shared" si="493"/>
        <v>45993.85417</v>
      </c>
      <c r="BM493" s="19">
        <f t="shared" si="493"/>
        <v>45993.875</v>
      </c>
      <c r="BN493" s="19">
        <f t="shared" si="493"/>
        <v>45993.89583</v>
      </c>
      <c r="BO493" s="19">
        <f t="shared" si="493"/>
        <v>45993.91667</v>
      </c>
      <c r="BP493" s="19">
        <f t="shared" si="493"/>
        <v>45993.9375</v>
      </c>
      <c r="BQ493" s="19">
        <f t="shared" si="493"/>
        <v>45993.95833</v>
      </c>
      <c r="BR493" s="19">
        <f t="shared" si="493"/>
        <v>45993.97917</v>
      </c>
      <c r="BS493" s="19">
        <f t="shared" si="493"/>
        <v>45994</v>
      </c>
      <c r="BT493" s="19">
        <f t="shared" si="493"/>
        <v>45994.02083</v>
      </c>
      <c r="BU493" s="19">
        <f t="shared" si="493"/>
        <v>45994.04167</v>
      </c>
      <c r="BV493" s="19">
        <f t="shared" si="493"/>
        <v>45994.0625</v>
      </c>
      <c r="BW493" s="19">
        <f t="shared" si="493"/>
        <v>45994.08333</v>
      </c>
      <c r="BX493" s="19">
        <f t="shared" si="493"/>
        <v>45993</v>
      </c>
      <c r="BY493" s="19">
        <f t="shared" si="493"/>
        <v>45993</v>
      </c>
      <c r="BZ493" s="19">
        <f t="shared" si="493"/>
        <v>45993</v>
      </c>
    </row>
    <row r="494" ht="14.25" customHeight="1">
      <c r="A494" s="17">
        <v>45994.0</v>
      </c>
      <c r="B494" s="2" t="str">
        <f t="array" ref="B494">IF(NOW()&gt;AM494,"",IF(AND((WEEKDAY($A494)+$B$2)&gt;1,((WEEKDAY($A494)+$T$2)&lt;7),(WEEKDAY($A494)&lt;&gt;1)),"work",(INDEX(Subject!$A:$I,MATCH(RANDBETWEEN(1,(MAX(Subject!$B:$B))),Subject!$B:$B,0),3))))</f>
        <v/>
      </c>
      <c r="C494" s="2" t="str">
        <f t="array" ref="C494">IF(NOW()&gt;AN494,"",IF(AND((WEEKDAY($A494)+$B$2)&gt;1,((WEEKDAY($A494)+$T$2)&lt;7),(WEEKDAY($A494)&lt;&gt;1)),"work",(INDEX(Subject!$A:$I,MATCH(RANDBETWEEN(1,(MAX(Subject!$B:$B))),Subject!$B:$B,0),3))))</f>
        <v/>
      </c>
      <c r="D494" s="2" t="str">
        <f t="array" ref="D494">IF(NOW()&gt;AO494,"",IF(AND((WEEKDAY($A494)+$B$2)&gt;1,((WEEKDAY($A494)+$T$2)&lt;7),(WEEKDAY($A494)&lt;&gt;1)),"work",(INDEX(Subject!$A:$I,MATCH(RANDBETWEEN(1,(MAX(Subject!$B:$B))),Subject!$B:$B,0),3))))</f>
        <v/>
      </c>
      <c r="E494" s="2" t="str">
        <f t="array" ref="E494">IF(NOW()&gt;AP494,"",IF(AND((WEEKDAY($A494)+$B$2)&gt;1,((WEEKDAY($A494)+$T$2)&lt;7),(WEEKDAY($A494)&lt;&gt;1)),"work",(INDEX(Subject!$A:$I,MATCH(RANDBETWEEN(1,(MAX(Subject!$B:$B))),Subject!$B:$B,0),3))))</f>
        <v/>
      </c>
      <c r="F494" s="2" t="str">
        <f t="array" ref="F494">IF(NOW()&gt;AQ494,"",IF(AND((WEEKDAY($A494)+$B$2)&gt;1,((WEEKDAY($A494)+$T$2)&lt;7),(WEEKDAY($A494)&lt;&gt;1)),"work",(INDEX(Subject!$A:$I,MATCH(RANDBETWEEN(1,(MAX(Subject!$B:$B))),Subject!$B:$B,0),3))))</f>
        <v/>
      </c>
      <c r="G494" s="2" t="str">
        <f t="array" ref="G494">IF(NOW()&gt;AR494,"",IF(AND((WEEKDAY($A494)+$B$2)&gt;1,((WEEKDAY($A494)+$T$2)&lt;7),(WEEKDAY($A494)&lt;&gt;1)),"work",(INDEX(Subject!$A:$I,MATCH(RANDBETWEEN(1,(MAX(Subject!$B:$B))),Subject!$B:$B,0),3))))</f>
        <v/>
      </c>
      <c r="H494" s="2" t="str">
        <f t="array" ref="H494">IF(NOW()&gt;AS494,"",IF(AND((WEEKDAY($A494)+$B$2)&gt;1,((WEEKDAY($A494)+$T$2)&lt;7),(WEEKDAY($A494)&lt;&gt;1)),"work",(INDEX(Subject!$A:$I,MATCH(RANDBETWEEN(1,(MAX(Subject!$B:$B))),Subject!$B:$B,0),3))))</f>
        <v/>
      </c>
      <c r="I494" s="2" t="str">
        <f t="array" ref="I494">IF(NOW()&gt;AT494,"",IF(AND((WEEKDAY($A494)+$B$2)&gt;1,((WEEKDAY($A494)+$T$2)&lt;7),(WEEKDAY($A494)&lt;&gt;1)),"work",(INDEX(Subject!$A:$I,MATCH(RANDBETWEEN(1,(MAX(Subject!$B:$B))),Subject!$B:$B,0),3))))</f>
        <v/>
      </c>
      <c r="J494" s="2" t="str">
        <f t="array" ref="J494">IF(NOW()&gt;AU494,"",IF(AND((WEEKDAY($A494)+$B$2)&gt;1,((WEEKDAY($A494)+$T$2)&lt;7),(WEEKDAY($A494)&lt;&gt;1)),"work",(INDEX(Subject!$A:$I,MATCH(RANDBETWEEN(1,(MAX(Subject!$B:$B))),Subject!$B:$B,0),3))))</f>
        <v/>
      </c>
      <c r="K494" s="2" t="str">
        <f t="array" ref="K494">IF(NOW()&gt;AV494,"",IF(AND((WEEKDAY($A494)+$B$2)&gt;1,((WEEKDAY($A494)+$T$2)&lt;7),(WEEKDAY($A494)&lt;&gt;1)),"work",(INDEX(Subject!$A:$I,MATCH(RANDBETWEEN(1,(MAX(Subject!$B:$B))),Subject!$B:$B,0),3))))</f>
        <v/>
      </c>
      <c r="L494" s="2" t="str">
        <f t="array" ref="L494">IF(NOW()&gt;AW494,"",IF(AND((WEEKDAY($A494)+$B$2)&gt;1,((WEEKDAY($A494)+$T$2)&lt;7),(WEEKDAY($A494)&lt;&gt;1)),"work",(INDEX(Subject!$A:$I,MATCH(RANDBETWEEN(1,(MAX(Subject!$B:$B))),Subject!$B:$B,0),3))))</f>
        <v/>
      </c>
      <c r="M494" s="2" t="str">
        <f t="array" ref="M494">IF(NOW()&gt;AX494,"",IF(AND((WEEKDAY($A494)+$B$2)&gt;1,((WEEKDAY($A494)+$T$2)&lt;7),(WEEKDAY($A494)&lt;&gt;1)),"work",(INDEX(Subject!$A:$I,MATCH(RANDBETWEEN(1,(MAX(Subject!$B:$B))),Subject!$B:$B,0),3))))</f>
        <v/>
      </c>
      <c r="N494" s="2" t="str">
        <f t="array" ref="N494">IF(NOW()&gt;AY494,"",IF(AND((WEEKDAY($A494)+$B$2)&gt;1,((WEEKDAY($A494)+$T$2)&lt;7),(WEEKDAY($A494)&lt;&gt;1)),"work",(INDEX(Subject!$A:$I,MATCH(RANDBETWEEN(1,(MAX(Subject!$B:$B))),Subject!$B:$B,0),3))))</f>
        <v/>
      </c>
      <c r="O494" s="2" t="str">
        <f t="array" ref="O494">IF(NOW()&gt;AZ494,"",IF(AND((WEEKDAY($A494)+$B$2)&gt;1,((WEEKDAY($A494)+$T$2)&lt;7),(WEEKDAY($A494)&lt;&gt;1)),"work",(INDEX(Subject!$A:$I,MATCH(RANDBETWEEN(1,(MAX(Subject!$B:$B))),Subject!$B:$B,0),3))))</f>
        <v/>
      </c>
      <c r="P494" s="2" t="str">
        <f t="array" ref="P494">IF(NOW()&gt;BA494,"",IF(AND((WEEKDAY($A494)+$B$2)&gt;1,((WEEKDAY($A494)+$T$2)&lt;7),(WEEKDAY($A494)&lt;&gt;1)),"work",(INDEX(Subject!$A:$I,MATCH(RANDBETWEEN(1,(MAX(Subject!$B:$B))),Subject!$B:$B,0),3))))</f>
        <v/>
      </c>
      <c r="Q494" s="2" t="str">
        <f t="array" ref="Q494">IF(NOW()&gt;BB494,"",IF(AND((WEEKDAY($A494)+$B$2)&gt;1,((WEEKDAY($A494)+$T$2)&lt;7),(WEEKDAY($A494)&lt;&gt;1)),"work",(INDEX(Subject!$A:$I,MATCH(RANDBETWEEN(1,(MAX(Subject!$B:$B))),Subject!$B:$B,0),3))))</f>
        <v/>
      </c>
      <c r="R494" s="2" t="str">
        <f t="array" ref="R494">IF(NOW()&gt;BC494,"",IF(AND((WEEKDAY($A494)+$B$2)&gt;1,((WEEKDAY($A494)+$T$2)&lt;7),(WEEKDAY($A494)&lt;&gt;1)),"work",(INDEX(Subject!$A:$I,MATCH(RANDBETWEEN(1,(MAX(Subject!$B:$B))),Subject!$B:$B,0),3))))</f>
        <v/>
      </c>
      <c r="S494" s="2" t="str">
        <f t="array" ref="S494">IF(NOW()&gt;BD494,"",IF(AND((WEEKDAY($A494)+$B$2)&gt;1,((WEEKDAY($A494)+$T$2)&lt;7),(WEEKDAY($A494)&lt;&gt;1)),"work",(INDEX(Subject!$A:$I,MATCH(RANDBETWEEN(1,(MAX(Subject!$B:$B))),Subject!$B:$B,0),3))))</f>
        <v/>
      </c>
      <c r="T494" s="2" t="str">
        <f t="array" ref="T494">IF(NOW()&gt;BE494,"",IF(AND((WEEKDAY($A494)+$B$2)&gt;1,((WEEKDAY($A494)+$T$2)&lt;7),(WEEKDAY($A494)&lt;&gt;1)),"work",(INDEX(Subject!$A:$I,MATCH(RANDBETWEEN(1,(MAX(Subject!$B:$B))),Subject!$B:$B,0),3))))</f>
        <v/>
      </c>
      <c r="U494" s="8" t="str">
        <f t="array" ref="U494">INDEX(Subject!$A:$I,MATCH(RANDBETWEEN(1,16),Subject!$B:$B,0),3)</f>
        <v>#N/A</v>
      </c>
      <c r="V494" s="8" t="str">
        <f t="array" ref="V494">INDEX(Subject!$A:$I,MATCH(RANDBETWEEN(1,16),Subject!$B:$B,0),3)</f>
        <v>#N/A</v>
      </c>
      <c r="W494" s="8" t="str">
        <f t="array" ref="W494">INDEX(Subject!$A:$I,MATCH(RANDBETWEEN(1,16),Subject!$B:$B,0),3)</f>
        <v>#N/A</v>
      </c>
      <c r="X494" s="8" t="str">
        <f t="array" ref="X494">INDEX(Subject!$A:$I,MATCH(RANDBETWEEN(1,16),Subject!$B:$B,0),3)</f>
        <v>#N/A</v>
      </c>
      <c r="Y494" s="8" t="str">
        <f t="array" ref="Y494">INDEX(Subject!$A:$I,MATCH(RANDBETWEEN(1,16),Subject!$B:$B,0),3)</f>
        <v>#N/A</v>
      </c>
      <c r="Z494" s="8" t="str">
        <f t="array" ref="Z494">INDEX(Subject!$A:$I,MATCH(RANDBETWEEN(1,16),Subject!$B:$B,0),3)</f>
        <v>#N/A</v>
      </c>
      <c r="AA494" s="8" t="str">
        <f t="array" ref="AA494">INDEX(Subject!$A:$I,MATCH(RANDBETWEEN(1,16),Subject!$B:$B,0),3)</f>
        <v>#N/A</v>
      </c>
      <c r="AB494" s="8" t="str">
        <f t="array" ref="AB494">INDEX(Subject!$A:$I,MATCH(RANDBETWEEN(1,16),Subject!$B:$B,0),3)</f>
        <v>#N/A</v>
      </c>
      <c r="AC494" s="8" t="str">
        <f t="array" ref="AC494">INDEX(Subject!$A:$I,MATCH(RANDBETWEEN(1,16),Subject!$B:$B,0),3)</f>
        <v>#N/A</v>
      </c>
      <c r="AD494" s="8" t="str">
        <f t="array" ref="AD494">INDEX(Subject!$A:$I,MATCH(RANDBETWEEN(1,16),Subject!$B:$B,0),3)</f>
        <v>#N/A</v>
      </c>
      <c r="AE494" s="8" t="str">
        <f t="array" ref="AE494">INDEX(Subject!$A:$I,MATCH(RANDBETWEEN(1,16),Subject!$B:$B,0),3)</f>
        <v>#N/A</v>
      </c>
      <c r="AF494" s="8" t="str">
        <f t="array" ref="AF494">INDEX(Subject!$A:$I,MATCH(RANDBETWEEN(1,16),Subject!$B:$B,0),3)</f>
        <v>#N/A</v>
      </c>
      <c r="AG494" s="8" t="str">
        <f t="array" ref="AG494">INDEX(Subject!$A:$I,MATCH(RANDBETWEEN(1,16),Subject!$B:$B,0),3)</f>
        <v>#N/A</v>
      </c>
      <c r="AH494" s="8" t="str">
        <f t="array" ref="AH494">INDEX(Subject!$A:$I,MATCH(RANDBETWEEN(1,16),Subject!$B:$B,0),3)</f>
        <v/>
      </c>
      <c r="AI494" s="8" t="str">
        <f t="array" ref="AI494">INDEX(Subject!$A:$I,MATCH(RANDBETWEEN(1,16),Subject!$B:$B,0),3)</f>
        <v>#N/A</v>
      </c>
      <c r="AJ494" s="8" t="str">
        <f t="array" ref="AJ494">INDEX(Subject!$A:$I,MATCH(RANDBETWEEN(1,16),Subject!$B:$B,0),3)</f>
        <v>#N/A</v>
      </c>
      <c r="AK494" s="8" t="str">
        <f t="array" ref="AK494">INDEX(Subject!$A:$I,MATCH(RANDBETWEEN(1,16),Subject!$B:$B,0),3)</f>
        <v>#N/A</v>
      </c>
      <c r="AL494" s="8" t="str">
        <f t="array" ref="AL494">INDEX(Subject!$A:$I,MATCH(RANDBETWEEN(1,16),Subject!$B:$B,0),3)</f>
        <v>#N/A</v>
      </c>
      <c r="AM494" s="18">
        <f t="shared" si="4"/>
        <v>45994.33333</v>
      </c>
      <c r="AN494" s="19">
        <f t="shared" ref="AN494:BZ494" si="494">$A494+C$1</f>
        <v>45994.35417</v>
      </c>
      <c r="AO494" s="19">
        <f t="shared" si="494"/>
        <v>45994.375</v>
      </c>
      <c r="AP494" s="19">
        <f t="shared" si="494"/>
        <v>45994.39583</v>
      </c>
      <c r="AQ494" s="19">
        <f t="shared" si="494"/>
        <v>45994.41667</v>
      </c>
      <c r="AR494" s="19">
        <f t="shared" si="494"/>
        <v>45994.4375</v>
      </c>
      <c r="AS494" s="19">
        <f t="shared" si="494"/>
        <v>45994.45833</v>
      </c>
      <c r="AT494" s="19">
        <f t="shared" si="494"/>
        <v>45994.47917</v>
      </c>
      <c r="AU494" s="19">
        <f t="shared" si="494"/>
        <v>45994.5</v>
      </c>
      <c r="AV494" s="19">
        <f t="shared" si="494"/>
        <v>45994.52083</v>
      </c>
      <c r="AW494" s="19">
        <f t="shared" si="494"/>
        <v>45994.54167</v>
      </c>
      <c r="AX494" s="19">
        <f t="shared" si="494"/>
        <v>45994.5625</v>
      </c>
      <c r="AY494" s="19">
        <f t="shared" si="494"/>
        <v>45994.58333</v>
      </c>
      <c r="AZ494" s="19">
        <f t="shared" si="494"/>
        <v>45994.60417</v>
      </c>
      <c r="BA494" s="19">
        <f t="shared" si="494"/>
        <v>45994.625</v>
      </c>
      <c r="BB494" s="19">
        <f t="shared" si="494"/>
        <v>45994.64583</v>
      </c>
      <c r="BC494" s="19">
        <f t="shared" si="494"/>
        <v>45994.66667</v>
      </c>
      <c r="BD494" s="19">
        <f t="shared" si="494"/>
        <v>45994.6875</v>
      </c>
      <c r="BE494" s="19">
        <f t="shared" si="494"/>
        <v>45994.70833</v>
      </c>
      <c r="BF494" s="19">
        <f t="shared" si="494"/>
        <v>45994.72917</v>
      </c>
      <c r="BG494" s="19">
        <f t="shared" si="494"/>
        <v>45994.75</v>
      </c>
      <c r="BH494" s="19">
        <f t="shared" si="494"/>
        <v>45994.77083</v>
      </c>
      <c r="BI494" s="19">
        <f t="shared" si="494"/>
        <v>45994.79167</v>
      </c>
      <c r="BJ494" s="19">
        <f t="shared" si="494"/>
        <v>45994.8125</v>
      </c>
      <c r="BK494" s="19">
        <f t="shared" si="494"/>
        <v>45994.83333</v>
      </c>
      <c r="BL494" s="19">
        <f t="shared" si="494"/>
        <v>45994.85417</v>
      </c>
      <c r="BM494" s="19">
        <f t="shared" si="494"/>
        <v>45994.875</v>
      </c>
      <c r="BN494" s="19">
        <f t="shared" si="494"/>
        <v>45994.89583</v>
      </c>
      <c r="BO494" s="19">
        <f t="shared" si="494"/>
        <v>45994.91667</v>
      </c>
      <c r="BP494" s="19">
        <f t="shared" si="494"/>
        <v>45994.9375</v>
      </c>
      <c r="BQ494" s="19">
        <f t="shared" si="494"/>
        <v>45994.95833</v>
      </c>
      <c r="BR494" s="19">
        <f t="shared" si="494"/>
        <v>45994.97917</v>
      </c>
      <c r="BS494" s="19">
        <f t="shared" si="494"/>
        <v>45995</v>
      </c>
      <c r="BT494" s="19">
        <f t="shared" si="494"/>
        <v>45995.02083</v>
      </c>
      <c r="BU494" s="19">
        <f t="shared" si="494"/>
        <v>45995.04167</v>
      </c>
      <c r="BV494" s="19">
        <f t="shared" si="494"/>
        <v>45995.0625</v>
      </c>
      <c r="BW494" s="19">
        <f t="shared" si="494"/>
        <v>45995.08333</v>
      </c>
      <c r="BX494" s="19">
        <f t="shared" si="494"/>
        <v>45994</v>
      </c>
      <c r="BY494" s="19">
        <f t="shared" si="494"/>
        <v>45994</v>
      </c>
      <c r="BZ494" s="19">
        <f t="shared" si="494"/>
        <v>45994</v>
      </c>
    </row>
    <row r="495" ht="14.25" customHeight="1">
      <c r="A495" s="17">
        <v>45995.0</v>
      </c>
      <c r="B495" s="2" t="str">
        <f t="array" ref="B495">IF(NOW()&gt;AM495,"",IF(AND((WEEKDAY($A495)+$B$2)&gt;1,((WEEKDAY($A495)+$T$2)&lt;7),(WEEKDAY($A495)&lt;&gt;1)),"work",(INDEX(Subject!$A:$I,MATCH(RANDBETWEEN(1,(MAX(Subject!$B:$B))),Subject!$B:$B,0),3))))</f>
        <v/>
      </c>
      <c r="C495" s="2" t="str">
        <f t="array" ref="C495">IF(NOW()&gt;AN495,"",IF(AND((WEEKDAY($A495)+$B$2)&gt;1,((WEEKDAY($A495)+$T$2)&lt;7),(WEEKDAY($A495)&lt;&gt;1)),"work",(INDEX(Subject!$A:$I,MATCH(RANDBETWEEN(1,(MAX(Subject!$B:$B))),Subject!$B:$B,0),3))))</f>
        <v/>
      </c>
      <c r="D495" s="2" t="str">
        <f t="array" ref="D495">IF(NOW()&gt;AO495,"",IF(AND((WEEKDAY($A495)+$B$2)&gt;1,((WEEKDAY($A495)+$T$2)&lt;7),(WEEKDAY($A495)&lt;&gt;1)),"work",(INDEX(Subject!$A:$I,MATCH(RANDBETWEEN(1,(MAX(Subject!$B:$B))),Subject!$B:$B,0),3))))</f>
        <v/>
      </c>
      <c r="E495" s="2" t="str">
        <f t="array" ref="E495">IF(NOW()&gt;AP495,"",IF(AND((WEEKDAY($A495)+$B$2)&gt;1,((WEEKDAY($A495)+$T$2)&lt;7),(WEEKDAY($A495)&lt;&gt;1)),"work",(INDEX(Subject!$A:$I,MATCH(RANDBETWEEN(1,(MAX(Subject!$B:$B))),Subject!$B:$B,0),3))))</f>
        <v/>
      </c>
      <c r="F495" s="2" t="str">
        <f t="array" ref="F495">IF(NOW()&gt;AQ495,"",IF(AND((WEEKDAY($A495)+$B$2)&gt;1,((WEEKDAY($A495)+$T$2)&lt;7),(WEEKDAY($A495)&lt;&gt;1)),"work",(INDEX(Subject!$A:$I,MATCH(RANDBETWEEN(1,(MAX(Subject!$B:$B))),Subject!$B:$B,0),3))))</f>
        <v/>
      </c>
      <c r="G495" s="2" t="str">
        <f t="array" ref="G495">IF(NOW()&gt;AR495,"",IF(AND((WEEKDAY($A495)+$B$2)&gt;1,((WEEKDAY($A495)+$T$2)&lt;7),(WEEKDAY($A495)&lt;&gt;1)),"work",(INDEX(Subject!$A:$I,MATCH(RANDBETWEEN(1,(MAX(Subject!$B:$B))),Subject!$B:$B,0),3))))</f>
        <v/>
      </c>
      <c r="H495" s="2" t="str">
        <f t="array" ref="H495">IF(NOW()&gt;AS495,"",IF(AND((WEEKDAY($A495)+$B$2)&gt;1,((WEEKDAY($A495)+$T$2)&lt;7),(WEEKDAY($A495)&lt;&gt;1)),"work",(INDEX(Subject!$A:$I,MATCH(RANDBETWEEN(1,(MAX(Subject!$B:$B))),Subject!$B:$B,0),3))))</f>
        <v/>
      </c>
      <c r="I495" s="2" t="str">
        <f t="array" ref="I495">IF(NOW()&gt;AT495,"",IF(AND((WEEKDAY($A495)+$B$2)&gt;1,((WEEKDAY($A495)+$T$2)&lt;7),(WEEKDAY($A495)&lt;&gt;1)),"work",(INDEX(Subject!$A:$I,MATCH(RANDBETWEEN(1,(MAX(Subject!$B:$B))),Subject!$B:$B,0),3))))</f>
        <v/>
      </c>
      <c r="J495" s="2" t="str">
        <f t="array" ref="J495">IF(NOW()&gt;AU495,"",IF(AND((WEEKDAY($A495)+$B$2)&gt;1,((WEEKDAY($A495)+$T$2)&lt;7),(WEEKDAY($A495)&lt;&gt;1)),"work",(INDEX(Subject!$A:$I,MATCH(RANDBETWEEN(1,(MAX(Subject!$B:$B))),Subject!$B:$B,0),3))))</f>
        <v/>
      </c>
      <c r="K495" s="2" t="str">
        <f t="array" ref="K495">IF(NOW()&gt;AV495,"",IF(AND((WEEKDAY($A495)+$B$2)&gt;1,((WEEKDAY($A495)+$T$2)&lt;7),(WEEKDAY($A495)&lt;&gt;1)),"work",(INDEX(Subject!$A:$I,MATCH(RANDBETWEEN(1,(MAX(Subject!$B:$B))),Subject!$B:$B,0),3))))</f>
        <v/>
      </c>
      <c r="L495" s="2" t="str">
        <f t="array" ref="L495">IF(NOW()&gt;AW495,"",IF(AND((WEEKDAY($A495)+$B$2)&gt;1,((WEEKDAY($A495)+$T$2)&lt;7),(WEEKDAY($A495)&lt;&gt;1)),"work",(INDEX(Subject!$A:$I,MATCH(RANDBETWEEN(1,(MAX(Subject!$B:$B))),Subject!$B:$B,0),3))))</f>
        <v/>
      </c>
      <c r="M495" s="2" t="str">
        <f t="array" ref="M495">IF(NOW()&gt;AX495,"",IF(AND((WEEKDAY($A495)+$B$2)&gt;1,((WEEKDAY($A495)+$T$2)&lt;7),(WEEKDAY($A495)&lt;&gt;1)),"work",(INDEX(Subject!$A:$I,MATCH(RANDBETWEEN(1,(MAX(Subject!$B:$B))),Subject!$B:$B,0),3))))</f>
        <v/>
      </c>
      <c r="N495" s="2" t="str">
        <f t="array" ref="N495">IF(NOW()&gt;AY495,"",IF(AND((WEEKDAY($A495)+$B$2)&gt;1,((WEEKDAY($A495)+$T$2)&lt;7),(WEEKDAY($A495)&lt;&gt;1)),"work",(INDEX(Subject!$A:$I,MATCH(RANDBETWEEN(1,(MAX(Subject!$B:$B))),Subject!$B:$B,0),3))))</f>
        <v/>
      </c>
      <c r="O495" s="2" t="str">
        <f t="array" ref="O495">IF(NOW()&gt;AZ495,"",IF(AND((WEEKDAY($A495)+$B$2)&gt;1,((WEEKDAY($A495)+$T$2)&lt;7),(WEEKDAY($A495)&lt;&gt;1)),"work",(INDEX(Subject!$A:$I,MATCH(RANDBETWEEN(1,(MAX(Subject!$B:$B))),Subject!$B:$B,0),3))))</f>
        <v/>
      </c>
      <c r="P495" s="2" t="str">
        <f t="array" ref="P495">IF(NOW()&gt;BA495,"",IF(AND((WEEKDAY($A495)+$B$2)&gt;1,((WEEKDAY($A495)+$T$2)&lt;7),(WEEKDAY($A495)&lt;&gt;1)),"work",(INDEX(Subject!$A:$I,MATCH(RANDBETWEEN(1,(MAX(Subject!$B:$B))),Subject!$B:$B,0),3))))</f>
        <v/>
      </c>
      <c r="Q495" s="2" t="str">
        <f t="array" ref="Q495">IF(NOW()&gt;BB495,"",IF(AND((WEEKDAY($A495)+$B$2)&gt;1,((WEEKDAY($A495)+$T$2)&lt;7),(WEEKDAY($A495)&lt;&gt;1)),"work",(INDEX(Subject!$A:$I,MATCH(RANDBETWEEN(1,(MAX(Subject!$B:$B))),Subject!$B:$B,0),3))))</f>
        <v/>
      </c>
      <c r="R495" s="2" t="str">
        <f t="array" ref="R495">IF(NOW()&gt;BC495,"",IF(AND((WEEKDAY($A495)+$B$2)&gt;1,((WEEKDAY($A495)+$T$2)&lt;7),(WEEKDAY($A495)&lt;&gt;1)),"work",(INDEX(Subject!$A:$I,MATCH(RANDBETWEEN(1,(MAX(Subject!$B:$B))),Subject!$B:$B,0),3))))</f>
        <v/>
      </c>
      <c r="S495" s="2" t="str">
        <f t="array" ref="S495">IF(NOW()&gt;BD495,"",IF(AND((WEEKDAY($A495)+$B$2)&gt;1,((WEEKDAY($A495)+$T$2)&lt;7),(WEEKDAY($A495)&lt;&gt;1)),"work",(INDEX(Subject!$A:$I,MATCH(RANDBETWEEN(1,(MAX(Subject!$B:$B))),Subject!$B:$B,0),3))))</f>
        <v/>
      </c>
      <c r="T495" s="2" t="str">
        <f t="array" ref="T495">IF(NOW()&gt;BE495,"",IF(AND((WEEKDAY($A495)+$B$2)&gt;1,((WEEKDAY($A495)+$T$2)&lt;7),(WEEKDAY($A495)&lt;&gt;1)),"work",(INDEX(Subject!$A:$I,MATCH(RANDBETWEEN(1,(MAX(Subject!$B:$B))),Subject!$B:$B,0),3))))</f>
        <v/>
      </c>
      <c r="U495" s="8" t="str">
        <f t="array" ref="U495">INDEX(Subject!$A:$I,MATCH(RANDBETWEEN(1,16),Subject!$B:$B,0),3)</f>
        <v/>
      </c>
      <c r="V495" s="8" t="str">
        <f t="array" ref="V495">INDEX(Subject!$A:$I,MATCH(RANDBETWEEN(1,16),Subject!$B:$B,0),3)</f>
        <v>#N/A</v>
      </c>
      <c r="W495" s="8" t="str">
        <f t="array" ref="W495">INDEX(Subject!$A:$I,MATCH(RANDBETWEEN(1,16),Subject!$B:$B,0),3)</f>
        <v>#N/A</v>
      </c>
      <c r="X495" s="8" t="str">
        <f t="array" ref="X495">INDEX(Subject!$A:$I,MATCH(RANDBETWEEN(1,16),Subject!$B:$B,0),3)</f>
        <v>#N/A</v>
      </c>
      <c r="Y495" s="8" t="str">
        <f t="array" ref="Y495">INDEX(Subject!$A:$I,MATCH(RANDBETWEEN(1,16),Subject!$B:$B,0),3)</f>
        <v/>
      </c>
      <c r="Z495" s="8" t="str">
        <f t="array" ref="Z495">INDEX(Subject!$A:$I,MATCH(RANDBETWEEN(1,16),Subject!$B:$B,0),3)</f>
        <v>#N/A</v>
      </c>
      <c r="AA495" s="8" t="str">
        <f t="array" ref="AA495">INDEX(Subject!$A:$I,MATCH(RANDBETWEEN(1,16),Subject!$B:$B,0),3)</f>
        <v>#N/A</v>
      </c>
      <c r="AB495" s="8" t="str">
        <f t="array" ref="AB495">INDEX(Subject!$A:$I,MATCH(RANDBETWEEN(1,16),Subject!$B:$B,0),3)</f>
        <v>#N/A</v>
      </c>
      <c r="AC495" s="8" t="str">
        <f t="array" ref="AC495">INDEX(Subject!$A:$I,MATCH(RANDBETWEEN(1,16),Subject!$B:$B,0),3)</f>
        <v>#N/A</v>
      </c>
      <c r="AD495" s="8" t="str">
        <f t="array" ref="AD495">INDEX(Subject!$A:$I,MATCH(RANDBETWEEN(1,16),Subject!$B:$B,0),3)</f>
        <v>#N/A</v>
      </c>
      <c r="AE495" s="8" t="str">
        <f t="array" ref="AE495">INDEX(Subject!$A:$I,MATCH(RANDBETWEEN(1,16),Subject!$B:$B,0),3)</f>
        <v>#N/A</v>
      </c>
      <c r="AF495" s="8" t="str">
        <f t="array" ref="AF495">INDEX(Subject!$A:$I,MATCH(RANDBETWEEN(1,16),Subject!$B:$B,0),3)</f>
        <v>#N/A</v>
      </c>
      <c r="AG495" s="8" t="str">
        <f t="array" ref="AG495">INDEX(Subject!$A:$I,MATCH(RANDBETWEEN(1,16),Subject!$B:$B,0),3)</f>
        <v/>
      </c>
      <c r="AH495" s="8" t="str">
        <f t="array" ref="AH495">INDEX(Subject!$A:$I,MATCH(RANDBETWEEN(1,16),Subject!$B:$B,0),3)</f>
        <v>#N/A</v>
      </c>
      <c r="AI495" s="8" t="str">
        <f t="array" ref="AI495">INDEX(Subject!$A:$I,MATCH(RANDBETWEEN(1,16),Subject!$B:$B,0),3)</f>
        <v>#N/A</v>
      </c>
      <c r="AJ495" s="8" t="str">
        <f t="array" ref="AJ495">INDEX(Subject!$A:$I,MATCH(RANDBETWEEN(1,16),Subject!$B:$B,0),3)</f>
        <v/>
      </c>
      <c r="AK495" s="8" t="str">
        <f t="array" ref="AK495">INDEX(Subject!$A:$I,MATCH(RANDBETWEEN(1,16),Subject!$B:$B,0),3)</f>
        <v>#N/A</v>
      </c>
      <c r="AL495" s="8" t="str">
        <f t="array" ref="AL495">INDEX(Subject!$A:$I,MATCH(RANDBETWEEN(1,16),Subject!$B:$B,0),3)</f>
        <v>#N/A</v>
      </c>
      <c r="AM495" s="18">
        <f t="shared" si="4"/>
        <v>45995.33333</v>
      </c>
      <c r="AN495" s="19">
        <f t="shared" ref="AN495:BZ495" si="495">$A495+C$1</f>
        <v>45995.35417</v>
      </c>
      <c r="AO495" s="19">
        <f t="shared" si="495"/>
        <v>45995.375</v>
      </c>
      <c r="AP495" s="19">
        <f t="shared" si="495"/>
        <v>45995.39583</v>
      </c>
      <c r="AQ495" s="19">
        <f t="shared" si="495"/>
        <v>45995.41667</v>
      </c>
      <c r="AR495" s="19">
        <f t="shared" si="495"/>
        <v>45995.4375</v>
      </c>
      <c r="AS495" s="19">
        <f t="shared" si="495"/>
        <v>45995.45833</v>
      </c>
      <c r="AT495" s="19">
        <f t="shared" si="495"/>
        <v>45995.47917</v>
      </c>
      <c r="AU495" s="19">
        <f t="shared" si="495"/>
        <v>45995.5</v>
      </c>
      <c r="AV495" s="19">
        <f t="shared" si="495"/>
        <v>45995.52083</v>
      </c>
      <c r="AW495" s="19">
        <f t="shared" si="495"/>
        <v>45995.54167</v>
      </c>
      <c r="AX495" s="19">
        <f t="shared" si="495"/>
        <v>45995.5625</v>
      </c>
      <c r="AY495" s="19">
        <f t="shared" si="495"/>
        <v>45995.58333</v>
      </c>
      <c r="AZ495" s="19">
        <f t="shared" si="495"/>
        <v>45995.60417</v>
      </c>
      <c r="BA495" s="19">
        <f t="shared" si="495"/>
        <v>45995.625</v>
      </c>
      <c r="BB495" s="19">
        <f t="shared" si="495"/>
        <v>45995.64583</v>
      </c>
      <c r="BC495" s="19">
        <f t="shared" si="495"/>
        <v>45995.66667</v>
      </c>
      <c r="BD495" s="19">
        <f t="shared" si="495"/>
        <v>45995.6875</v>
      </c>
      <c r="BE495" s="19">
        <f t="shared" si="495"/>
        <v>45995.70833</v>
      </c>
      <c r="BF495" s="19">
        <f t="shared" si="495"/>
        <v>45995.72917</v>
      </c>
      <c r="BG495" s="19">
        <f t="shared" si="495"/>
        <v>45995.75</v>
      </c>
      <c r="BH495" s="19">
        <f t="shared" si="495"/>
        <v>45995.77083</v>
      </c>
      <c r="BI495" s="19">
        <f t="shared" si="495"/>
        <v>45995.79167</v>
      </c>
      <c r="BJ495" s="19">
        <f t="shared" si="495"/>
        <v>45995.8125</v>
      </c>
      <c r="BK495" s="19">
        <f t="shared" si="495"/>
        <v>45995.83333</v>
      </c>
      <c r="BL495" s="19">
        <f t="shared" si="495"/>
        <v>45995.85417</v>
      </c>
      <c r="BM495" s="19">
        <f t="shared" si="495"/>
        <v>45995.875</v>
      </c>
      <c r="BN495" s="19">
        <f t="shared" si="495"/>
        <v>45995.89583</v>
      </c>
      <c r="BO495" s="19">
        <f t="shared" si="495"/>
        <v>45995.91667</v>
      </c>
      <c r="BP495" s="19">
        <f t="shared" si="495"/>
        <v>45995.9375</v>
      </c>
      <c r="BQ495" s="19">
        <f t="shared" si="495"/>
        <v>45995.95833</v>
      </c>
      <c r="BR495" s="19">
        <f t="shared" si="495"/>
        <v>45995.97917</v>
      </c>
      <c r="BS495" s="19">
        <f t="shared" si="495"/>
        <v>45996</v>
      </c>
      <c r="BT495" s="19">
        <f t="shared" si="495"/>
        <v>45996.02083</v>
      </c>
      <c r="BU495" s="19">
        <f t="shared" si="495"/>
        <v>45996.04167</v>
      </c>
      <c r="BV495" s="19">
        <f t="shared" si="495"/>
        <v>45996.0625</v>
      </c>
      <c r="BW495" s="19">
        <f t="shared" si="495"/>
        <v>45996.08333</v>
      </c>
      <c r="BX495" s="19">
        <f t="shared" si="495"/>
        <v>45995</v>
      </c>
      <c r="BY495" s="19">
        <f t="shared" si="495"/>
        <v>45995</v>
      </c>
      <c r="BZ495" s="19">
        <f t="shared" si="495"/>
        <v>45995</v>
      </c>
    </row>
    <row r="496" ht="14.25" customHeight="1">
      <c r="A496" s="17">
        <v>45996.0</v>
      </c>
      <c r="B496" s="2" t="str">
        <f t="array" ref="B496">IF(NOW()&gt;AM496,"",IF(AND((WEEKDAY($A496)+$B$2)&gt;1,((WEEKDAY($A496)+$T$2)&lt;7),(WEEKDAY($A496)&lt;&gt;1)),"work",(INDEX(Subject!$A:$I,MATCH(RANDBETWEEN(1,(MAX(Subject!$B:$B))),Subject!$B:$B,0),3))))</f>
        <v/>
      </c>
      <c r="C496" s="2" t="str">
        <f t="array" ref="C496">IF(NOW()&gt;AN496,"",IF(AND((WEEKDAY($A496)+$B$2)&gt;1,((WEEKDAY($A496)+$T$2)&lt;7),(WEEKDAY($A496)&lt;&gt;1)),"work",(INDEX(Subject!$A:$I,MATCH(RANDBETWEEN(1,(MAX(Subject!$B:$B))),Subject!$B:$B,0),3))))</f>
        <v/>
      </c>
      <c r="D496" s="2" t="str">
        <f t="array" ref="D496">IF(NOW()&gt;AO496,"",IF(AND((WEEKDAY($A496)+$B$2)&gt;1,((WEEKDAY($A496)+$T$2)&lt;7),(WEEKDAY($A496)&lt;&gt;1)),"work",(INDEX(Subject!$A:$I,MATCH(RANDBETWEEN(1,(MAX(Subject!$B:$B))),Subject!$B:$B,0),3))))</f>
        <v/>
      </c>
      <c r="E496" s="2" t="str">
        <f t="array" ref="E496">IF(NOW()&gt;AP496,"",IF(AND((WEEKDAY($A496)+$B$2)&gt;1,((WEEKDAY($A496)+$T$2)&lt;7),(WEEKDAY($A496)&lt;&gt;1)),"work",(INDEX(Subject!$A:$I,MATCH(RANDBETWEEN(1,(MAX(Subject!$B:$B))),Subject!$B:$B,0),3))))</f>
        <v/>
      </c>
      <c r="F496" s="2" t="str">
        <f t="array" ref="F496">IF(NOW()&gt;AQ496,"",IF(AND((WEEKDAY($A496)+$B$2)&gt;1,((WEEKDAY($A496)+$T$2)&lt;7),(WEEKDAY($A496)&lt;&gt;1)),"work",(INDEX(Subject!$A:$I,MATCH(RANDBETWEEN(1,(MAX(Subject!$B:$B))),Subject!$B:$B,0),3))))</f>
        <v/>
      </c>
      <c r="G496" s="2" t="str">
        <f t="array" ref="G496">IF(NOW()&gt;AR496,"",IF(AND((WEEKDAY($A496)+$B$2)&gt;1,((WEEKDAY($A496)+$T$2)&lt;7),(WEEKDAY($A496)&lt;&gt;1)),"work",(INDEX(Subject!$A:$I,MATCH(RANDBETWEEN(1,(MAX(Subject!$B:$B))),Subject!$B:$B,0),3))))</f>
        <v/>
      </c>
      <c r="H496" s="2" t="str">
        <f t="array" ref="H496">IF(NOW()&gt;AS496,"",IF(AND((WEEKDAY($A496)+$B$2)&gt;1,((WEEKDAY($A496)+$T$2)&lt;7),(WEEKDAY($A496)&lt;&gt;1)),"work",(INDEX(Subject!$A:$I,MATCH(RANDBETWEEN(1,(MAX(Subject!$B:$B))),Subject!$B:$B,0),3))))</f>
        <v/>
      </c>
      <c r="I496" s="2" t="str">
        <f t="array" ref="I496">IF(NOW()&gt;AT496,"",IF(AND((WEEKDAY($A496)+$B$2)&gt;1,((WEEKDAY($A496)+$T$2)&lt;7),(WEEKDAY($A496)&lt;&gt;1)),"work",(INDEX(Subject!$A:$I,MATCH(RANDBETWEEN(1,(MAX(Subject!$B:$B))),Subject!$B:$B,0),3))))</f>
        <v/>
      </c>
      <c r="J496" s="2" t="str">
        <f t="array" ref="J496">IF(NOW()&gt;AU496,"",IF(AND((WEEKDAY($A496)+$B$2)&gt;1,((WEEKDAY($A496)+$T$2)&lt;7),(WEEKDAY($A496)&lt;&gt;1)),"work",(INDEX(Subject!$A:$I,MATCH(RANDBETWEEN(1,(MAX(Subject!$B:$B))),Subject!$B:$B,0),3))))</f>
        <v/>
      </c>
      <c r="K496" s="2" t="str">
        <f t="array" ref="K496">IF(NOW()&gt;AV496,"",IF(AND((WEEKDAY($A496)+$B$2)&gt;1,((WEEKDAY($A496)+$T$2)&lt;7),(WEEKDAY($A496)&lt;&gt;1)),"work",(INDEX(Subject!$A:$I,MATCH(RANDBETWEEN(1,(MAX(Subject!$B:$B))),Subject!$B:$B,0),3))))</f>
        <v/>
      </c>
      <c r="L496" s="2" t="str">
        <f t="array" ref="L496">IF(NOW()&gt;AW496,"",IF(AND((WEEKDAY($A496)+$B$2)&gt;1,((WEEKDAY($A496)+$T$2)&lt;7),(WEEKDAY($A496)&lt;&gt;1)),"work",(INDEX(Subject!$A:$I,MATCH(RANDBETWEEN(1,(MAX(Subject!$B:$B))),Subject!$B:$B,0),3))))</f>
        <v/>
      </c>
      <c r="M496" s="2" t="str">
        <f t="array" ref="M496">IF(NOW()&gt;AX496,"",IF(AND((WEEKDAY($A496)+$B$2)&gt;1,((WEEKDAY($A496)+$T$2)&lt;7),(WEEKDAY($A496)&lt;&gt;1)),"work",(INDEX(Subject!$A:$I,MATCH(RANDBETWEEN(1,(MAX(Subject!$B:$B))),Subject!$B:$B,0),3))))</f>
        <v/>
      </c>
      <c r="N496" s="2" t="str">
        <f t="array" ref="N496">IF(NOW()&gt;AY496,"",IF(AND((WEEKDAY($A496)+$B$2)&gt;1,((WEEKDAY($A496)+$T$2)&lt;7),(WEEKDAY($A496)&lt;&gt;1)),"work",(INDEX(Subject!$A:$I,MATCH(RANDBETWEEN(1,(MAX(Subject!$B:$B))),Subject!$B:$B,0),3))))</f>
        <v/>
      </c>
      <c r="O496" s="2" t="str">
        <f t="array" ref="O496">IF(NOW()&gt;AZ496,"",IF(AND((WEEKDAY($A496)+$B$2)&gt;1,((WEEKDAY($A496)+$T$2)&lt;7),(WEEKDAY($A496)&lt;&gt;1)),"work",(INDEX(Subject!$A:$I,MATCH(RANDBETWEEN(1,(MAX(Subject!$B:$B))),Subject!$B:$B,0),3))))</f>
        <v/>
      </c>
      <c r="P496" s="2" t="str">
        <f t="array" ref="P496">IF(NOW()&gt;BA496,"",IF(AND((WEEKDAY($A496)+$B$2)&gt;1,((WEEKDAY($A496)+$T$2)&lt;7),(WEEKDAY($A496)&lt;&gt;1)),"work",(INDEX(Subject!$A:$I,MATCH(RANDBETWEEN(1,(MAX(Subject!$B:$B))),Subject!$B:$B,0),3))))</f>
        <v/>
      </c>
      <c r="Q496" s="2" t="str">
        <f t="array" ref="Q496">IF(NOW()&gt;BB496,"",IF(AND((WEEKDAY($A496)+$B$2)&gt;1,((WEEKDAY($A496)+$T$2)&lt;7),(WEEKDAY($A496)&lt;&gt;1)),"work",(INDEX(Subject!$A:$I,MATCH(RANDBETWEEN(1,(MAX(Subject!$B:$B))),Subject!$B:$B,0),3))))</f>
        <v/>
      </c>
      <c r="R496" s="2" t="str">
        <f t="array" ref="R496">IF(NOW()&gt;BC496,"",IF(AND((WEEKDAY($A496)+$B$2)&gt;1,((WEEKDAY($A496)+$T$2)&lt;7),(WEEKDAY($A496)&lt;&gt;1)),"work",(INDEX(Subject!$A:$I,MATCH(RANDBETWEEN(1,(MAX(Subject!$B:$B))),Subject!$B:$B,0),3))))</f>
        <v/>
      </c>
      <c r="S496" s="2" t="str">
        <f t="array" ref="S496">IF(NOW()&gt;BD496,"",IF(AND((WEEKDAY($A496)+$B$2)&gt;1,((WEEKDAY($A496)+$T$2)&lt;7),(WEEKDAY($A496)&lt;&gt;1)),"work",(INDEX(Subject!$A:$I,MATCH(RANDBETWEEN(1,(MAX(Subject!$B:$B))),Subject!$B:$B,0),3))))</f>
        <v/>
      </c>
      <c r="T496" s="2" t="str">
        <f t="array" ref="T496">IF(NOW()&gt;BE496,"",IF(AND((WEEKDAY($A496)+$B$2)&gt;1,((WEEKDAY($A496)+$T$2)&lt;7),(WEEKDAY($A496)&lt;&gt;1)),"work",(INDEX(Subject!$A:$I,MATCH(RANDBETWEEN(1,(MAX(Subject!$B:$B))),Subject!$B:$B,0),3))))</f>
        <v/>
      </c>
      <c r="U496" s="8" t="str">
        <f t="array" ref="U496">INDEX(Subject!$A:$I,MATCH(RANDBETWEEN(1,16),Subject!$B:$B,0),3)</f>
        <v>#N/A</v>
      </c>
      <c r="V496" s="8" t="str">
        <f t="array" ref="V496">INDEX(Subject!$A:$I,MATCH(RANDBETWEEN(1,16),Subject!$B:$B,0),3)</f>
        <v>#N/A</v>
      </c>
      <c r="W496" s="8" t="str">
        <f t="array" ref="W496">INDEX(Subject!$A:$I,MATCH(RANDBETWEEN(1,16),Subject!$B:$B,0),3)</f>
        <v>#N/A</v>
      </c>
      <c r="X496" s="8" t="str">
        <f t="array" ref="X496">INDEX(Subject!$A:$I,MATCH(RANDBETWEEN(1,16),Subject!$B:$B,0),3)</f>
        <v>#N/A</v>
      </c>
      <c r="Y496" s="8" t="str">
        <f t="array" ref="Y496">INDEX(Subject!$A:$I,MATCH(RANDBETWEEN(1,16),Subject!$B:$B,0),3)</f>
        <v/>
      </c>
      <c r="Z496" s="8" t="str">
        <f t="array" ref="Z496">INDEX(Subject!$A:$I,MATCH(RANDBETWEEN(1,16),Subject!$B:$B,0),3)</f>
        <v>#N/A</v>
      </c>
      <c r="AA496" s="8" t="str">
        <f t="array" ref="AA496">INDEX(Subject!$A:$I,MATCH(RANDBETWEEN(1,16),Subject!$B:$B,0),3)</f>
        <v/>
      </c>
      <c r="AB496" s="8" t="str">
        <f t="array" ref="AB496">INDEX(Subject!$A:$I,MATCH(RANDBETWEEN(1,16),Subject!$B:$B,0),3)</f>
        <v>#N/A</v>
      </c>
      <c r="AC496" s="8" t="str">
        <f t="array" ref="AC496">INDEX(Subject!$A:$I,MATCH(RANDBETWEEN(1,16),Subject!$B:$B,0),3)</f>
        <v>#N/A</v>
      </c>
      <c r="AD496" s="8" t="str">
        <f t="array" ref="AD496">INDEX(Subject!$A:$I,MATCH(RANDBETWEEN(1,16),Subject!$B:$B,0),3)</f>
        <v>#N/A</v>
      </c>
      <c r="AE496" s="8" t="str">
        <f t="array" ref="AE496">INDEX(Subject!$A:$I,MATCH(RANDBETWEEN(1,16),Subject!$B:$B,0),3)</f>
        <v/>
      </c>
      <c r="AF496" s="8" t="str">
        <f t="array" ref="AF496">INDEX(Subject!$A:$I,MATCH(RANDBETWEEN(1,16),Subject!$B:$B,0),3)</f>
        <v>#N/A</v>
      </c>
      <c r="AG496" s="8" t="str">
        <f t="array" ref="AG496">INDEX(Subject!$A:$I,MATCH(RANDBETWEEN(1,16),Subject!$B:$B,0),3)</f>
        <v>#N/A</v>
      </c>
      <c r="AH496" s="8" t="str">
        <f t="array" ref="AH496">INDEX(Subject!$A:$I,MATCH(RANDBETWEEN(1,16),Subject!$B:$B,0),3)</f>
        <v>#N/A</v>
      </c>
      <c r="AI496" s="8" t="str">
        <f t="array" ref="AI496">INDEX(Subject!$A:$I,MATCH(RANDBETWEEN(1,16),Subject!$B:$B,0),3)</f>
        <v>#N/A</v>
      </c>
      <c r="AJ496" s="8" t="str">
        <f t="array" ref="AJ496">INDEX(Subject!$A:$I,MATCH(RANDBETWEEN(1,16),Subject!$B:$B,0),3)</f>
        <v>#N/A</v>
      </c>
      <c r="AK496" s="8" t="str">
        <f t="array" ref="AK496">INDEX(Subject!$A:$I,MATCH(RANDBETWEEN(1,16),Subject!$B:$B,0),3)</f>
        <v>#N/A</v>
      </c>
      <c r="AL496" s="8" t="str">
        <f t="array" ref="AL496">INDEX(Subject!$A:$I,MATCH(RANDBETWEEN(1,16),Subject!$B:$B,0),3)</f>
        <v>#N/A</v>
      </c>
      <c r="AM496" s="18">
        <f t="shared" si="4"/>
        <v>45996.33333</v>
      </c>
      <c r="AN496" s="19">
        <f t="shared" ref="AN496:BZ496" si="496">$A496+C$1</f>
        <v>45996.35417</v>
      </c>
      <c r="AO496" s="19">
        <f t="shared" si="496"/>
        <v>45996.375</v>
      </c>
      <c r="AP496" s="19">
        <f t="shared" si="496"/>
        <v>45996.39583</v>
      </c>
      <c r="AQ496" s="19">
        <f t="shared" si="496"/>
        <v>45996.41667</v>
      </c>
      <c r="AR496" s="19">
        <f t="shared" si="496"/>
        <v>45996.4375</v>
      </c>
      <c r="AS496" s="19">
        <f t="shared" si="496"/>
        <v>45996.45833</v>
      </c>
      <c r="AT496" s="19">
        <f t="shared" si="496"/>
        <v>45996.47917</v>
      </c>
      <c r="AU496" s="19">
        <f t="shared" si="496"/>
        <v>45996.5</v>
      </c>
      <c r="AV496" s="19">
        <f t="shared" si="496"/>
        <v>45996.52083</v>
      </c>
      <c r="AW496" s="19">
        <f t="shared" si="496"/>
        <v>45996.54167</v>
      </c>
      <c r="AX496" s="19">
        <f t="shared" si="496"/>
        <v>45996.5625</v>
      </c>
      <c r="AY496" s="19">
        <f t="shared" si="496"/>
        <v>45996.58333</v>
      </c>
      <c r="AZ496" s="19">
        <f t="shared" si="496"/>
        <v>45996.60417</v>
      </c>
      <c r="BA496" s="19">
        <f t="shared" si="496"/>
        <v>45996.625</v>
      </c>
      <c r="BB496" s="19">
        <f t="shared" si="496"/>
        <v>45996.64583</v>
      </c>
      <c r="BC496" s="19">
        <f t="shared" si="496"/>
        <v>45996.66667</v>
      </c>
      <c r="BD496" s="19">
        <f t="shared" si="496"/>
        <v>45996.6875</v>
      </c>
      <c r="BE496" s="19">
        <f t="shared" si="496"/>
        <v>45996.70833</v>
      </c>
      <c r="BF496" s="19">
        <f t="shared" si="496"/>
        <v>45996.72917</v>
      </c>
      <c r="BG496" s="19">
        <f t="shared" si="496"/>
        <v>45996.75</v>
      </c>
      <c r="BH496" s="19">
        <f t="shared" si="496"/>
        <v>45996.77083</v>
      </c>
      <c r="BI496" s="19">
        <f t="shared" si="496"/>
        <v>45996.79167</v>
      </c>
      <c r="BJ496" s="19">
        <f t="shared" si="496"/>
        <v>45996.8125</v>
      </c>
      <c r="BK496" s="19">
        <f t="shared" si="496"/>
        <v>45996.83333</v>
      </c>
      <c r="BL496" s="19">
        <f t="shared" si="496"/>
        <v>45996.85417</v>
      </c>
      <c r="BM496" s="19">
        <f t="shared" si="496"/>
        <v>45996.875</v>
      </c>
      <c r="BN496" s="19">
        <f t="shared" si="496"/>
        <v>45996.89583</v>
      </c>
      <c r="BO496" s="19">
        <f t="shared" si="496"/>
        <v>45996.91667</v>
      </c>
      <c r="BP496" s="19">
        <f t="shared" si="496"/>
        <v>45996.9375</v>
      </c>
      <c r="BQ496" s="19">
        <f t="shared" si="496"/>
        <v>45996.95833</v>
      </c>
      <c r="BR496" s="19">
        <f t="shared" si="496"/>
        <v>45996.97917</v>
      </c>
      <c r="BS496" s="19">
        <f t="shared" si="496"/>
        <v>45997</v>
      </c>
      <c r="BT496" s="19">
        <f t="shared" si="496"/>
        <v>45997.02083</v>
      </c>
      <c r="BU496" s="19">
        <f t="shared" si="496"/>
        <v>45997.04167</v>
      </c>
      <c r="BV496" s="19">
        <f t="shared" si="496"/>
        <v>45997.0625</v>
      </c>
      <c r="BW496" s="19">
        <f t="shared" si="496"/>
        <v>45997.08333</v>
      </c>
      <c r="BX496" s="19">
        <f t="shared" si="496"/>
        <v>45996</v>
      </c>
      <c r="BY496" s="19">
        <f t="shared" si="496"/>
        <v>45996</v>
      </c>
      <c r="BZ496" s="19">
        <f t="shared" si="496"/>
        <v>45996</v>
      </c>
    </row>
    <row r="497" ht="14.25" customHeight="1">
      <c r="A497" s="17">
        <v>45997.0</v>
      </c>
      <c r="B497" s="2" t="str">
        <f t="array" ref="B497">IF(NOW()&gt;AM497,"",IF(AND((WEEKDAY($A497)+$B$2)&gt;1,((WEEKDAY($A497)+$T$2)&lt;7),(WEEKDAY($A497)&lt;&gt;1)),"work",(INDEX(Subject!$A:$I,MATCH(RANDBETWEEN(1,(MAX(Subject!$B:$B))),Subject!$B:$B,0),3))))</f>
        <v/>
      </c>
      <c r="C497" s="2" t="str">
        <f t="array" ref="C497">IF(NOW()&gt;AN497,"",IF(AND((WEEKDAY($A497)+$B$2)&gt;1,((WEEKDAY($A497)+$T$2)&lt;7),(WEEKDAY($A497)&lt;&gt;1)),"work",(INDEX(Subject!$A:$I,MATCH(RANDBETWEEN(1,(MAX(Subject!$B:$B))),Subject!$B:$B,0),3))))</f>
        <v/>
      </c>
      <c r="D497" s="2" t="str">
        <f t="array" ref="D497">IF(NOW()&gt;AO497,"",IF(AND((WEEKDAY($A497)+$B$2)&gt;1,((WEEKDAY($A497)+$T$2)&lt;7),(WEEKDAY($A497)&lt;&gt;1)),"work",(INDEX(Subject!$A:$I,MATCH(RANDBETWEEN(1,(MAX(Subject!$B:$B))),Subject!$B:$B,0),3))))</f>
        <v/>
      </c>
      <c r="E497" s="2" t="str">
        <f t="array" ref="E497">IF(NOW()&gt;AP497,"",IF(AND((WEEKDAY($A497)+$B$2)&gt;1,((WEEKDAY($A497)+$T$2)&lt;7),(WEEKDAY($A497)&lt;&gt;1)),"work",(INDEX(Subject!$A:$I,MATCH(RANDBETWEEN(1,(MAX(Subject!$B:$B))),Subject!$B:$B,0),3))))</f>
        <v/>
      </c>
      <c r="F497" s="2" t="str">
        <f t="array" ref="F497">IF(NOW()&gt;AQ497,"",IF(AND((WEEKDAY($A497)+$B$2)&gt;1,((WEEKDAY($A497)+$T$2)&lt;7),(WEEKDAY($A497)&lt;&gt;1)),"work",(INDEX(Subject!$A:$I,MATCH(RANDBETWEEN(1,(MAX(Subject!$B:$B))),Subject!$B:$B,0),3))))</f>
        <v/>
      </c>
      <c r="G497" s="2" t="str">
        <f t="array" ref="G497">IF(NOW()&gt;AR497,"",IF(AND((WEEKDAY($A497)+$B$2)&gt;1,((WEEKDAY($A497)+$T$2)&lt;7),(WEEKDAY($A497)&lt;&gt;1)),"work",(INDEX(Subject!$A:$I,MATCH(RANDBETWEEN(1,(MAX(Subject!$B:$B))),Subject!$B:$B,0),3))))</f>
        <v/>
      </c>
      <c r="H497" s="2" t="str">
        <f t="array" ref="H497">IF(NOW()&gt;AS497,"",IF(AND((WEEKDAY($A497)+$B$2)&gt;1,((WEEKDAY($A497)+$T$2)&lt;7),(WEEKDAY($A497)&lt;&gt;1)),"work",(INDEX(Subject!$A:$I,MATCH(RANDBETWEEN(1,(MAX(Subject!$B:$B))),Subject!$B:$B,0),3))))</f>
        <v/>
      </c>
      <c r="I497" s="2" t="str">
        <f t="array" ref="I497">IF(NOW()&gt;AT497,"",IF(AND((WEEKDAY($A497)+$B$2)&gt;1,((WEEKDAY($A497)+$T$2)&lt;7),(WEEKDAY($A497)&lt;&gt;1)),"work",(INDEX(Subject!$A:$I,MATCH(RANDBETWEEN(1,(MAX(Subject!$B:$B))),Subject!$B:$B,0),3))))</f>
        <v/>
      </c>
      <c r="J497" s="2" t="str">
        <f t="array" ref="J497">IF(NOW()&gt;AU497,"",IF(AND((WEEKDAY($A497)+$B$2)&gt;1,((WEEKDAY($A497)+$T$2)&lt;7),(WEEKDAY($A497)&lt;&gt;1)),"work",(INDEX(Subject!$A:$I,MATCH(RANDBETWEEN(1,(MAX(Subject!$B:$B))),Subject!$B:$B,0),3))))</f>
        <v/>
      </c>
      <c r="K497" s="2" t="str">
        <f t="array" ref="K497">IF(NOW()&gt;AV497,"",IF(AND((WEEKDAY($A497)+$B$2)&gt;1,((WEEKDAY($A497)+$T$2)&lt;7),(WEEKDAY($A497)&lt;&gt;1)),"work",(INDEX(Subject!$A:$I,MATCH(RANDBETWEEN(1,(MAX(Subject!$B:$B))),Subject!$B:$B,0),3))))</f>
        <v/>
      </c>
      <c r="L497" s="2" t="str">
        <f t="array" ref="L497">IF(NOW()&gt;AW497,"",IF(AND((WEEKDAY($A497)+$B$2)&gt;1,((WEEKDAY($A497)+$T$2)&lt;7),(WEEKDAY($A497)&lt;&gt;1)),"work",(INDEX(Subject!$A:$I,MATCH(RANDBETWEEN(1,(MAX(Subject!$B:$B))),Subject!$B:$B,0),3))))</f>
        <v/>
      </c>
      <c r="M497" s="2" t="str">
        <f t="array" ref="M497">IF(NOW()&gt;AX497,"",IF(AND((WEEKDAY($A497)+$B$2)&gt;1,((WEEKDAY($A497)+$T$2)&lt;7),(WEEKDAY($A497)&lt;&gt;1)),"work",(INDEX(Subject!$A:$I,MATCH(RANDBETWEEN(1,(MAX(Subject!$B:$B))),Subject!$B:$B,0),3))))</f>
        <v/>
      </c>
      <c r="N497" s="2" t="str">
        <f t="array" ref="N497">IF(NOW()&gt;AY497,"",IF(AND((WEEKDAY($A497)+$B$2)&gt;1,((WEEKDAY($A497)+$T$2)&lt;7),(WEEKDAY($A497)&lt;&gt;1)),"work",(INDEX(Subject!$A:$I,MATCH(RANDBETWEEN(1,(MAX(Subject!$B:$B))),Subject!$B:$B,0),3))))</f>
        <v/>
      </c>
      <c r="O497" s="2" t="str">
        <f t="array" ref="O497">IF(NOW()&gt;AZ497,"",IF(AND((WEEKDAY($A497)+$B$2)&gt;1,((WEEKDAY($A497)+$T$2)&lt;7),(WEEKDAY($A497)&lt;&gt;1)),"work",(INDEX(Subject!$A:$I,MATCH(RANDBETWEEN(1,(MAX(Subject!$B:$B))),Subject!$B:$B,0),3))))</f>
        <v/>
      </c>
      <c r="P497" s="2" t="str">
        <f t="array" ref="P497">IF(NOW()&gt;BA497,"",IF(AND((WEEKDAY($A497)+$B$2)&gt;1,((WEEKDAY($A497)+$T$2)&lt;7),(WEEKDAY($A497)&lt;&gt;1)),"work",(INDEX(Subject!$A:$I,MATCH(RANDBETWEEN(1,(MAX(Subject!$B:$B))),Subject!$B:$B,0),3))))</f>
        <v/>
      </c>
      <c r="Q497" s="2" t="str">
        <f t="array" ref="Q497">IF(NOW()&gt;BB497,"",IF(AND((WEEKDAY($A497)+$B$2)&gt;1,((WEEKDAY($A497)+$T$2)&lt;7),(WEEKDAY($A497)&lt;&gt;1)),"work",(INDEX(Subject!$A:$I,MATCH(RANDBETWEEN(1,(MAX(Subject!$B:$B))),Subject!$B:$B,0),3))))</f>
        <v/>
      </c>
      <c r="R497" s="2" t="str">
        <f t="array" ref="R497">IF(NOW()&gt;BC497,"",IF(AND((WEEKDAY($A497)+$B$2)&gt;1,((WEEKDAY($A497)+$T$2)&lt;7),(WEEKDAY($A497)&lt;&gt;1)),"work",(INDEX(Subject!$A:$I,MATCH(RANDBETWEEN(1,(MAX(Subject!$B:$B))),Subject!$B:$B,0),3))))</f>
        <v/>
      </c>
      <c r="S497" s="2" t="str">
        <f t="array" ref="S497">IF(NOW()&gt;BD497,"",IF(AND((WEEKDAY($A497)+$B$2)&gt;1,((WEEKDAY($A497)+$T$2)&lt;7),(WEEKDAY($A497)&lt;&gt;1)),"work",(INDEX(Subject!$A:$I,MATCH(RANDBETWEEN(1,(MAX(Subject!$B:$B))),Subject!$B:$B,0),3))))</f>
        <v/>
      </c>
      <c r="T497" s="2" t="str">
        <f t="array" ref="T497">IF(NOW()&gt;BE497,"",IF(AND((WEEKDAY($A497)+$B$2)&gt;1,((WEEKDAY($A497)+$T$2)&lt;7),(WEEKDAY($A497)&lt;&gt;1)),"work",(INDEX(Subject!$A:$I,MATCH(RANDBETWEEN(1,(MAX(Subject!$B:$B))),Subject!$B:$B,0),3))))</f>
        <v/>
      </c>
      <c r="U497" s="8" t="str">
        <f t="array" ref="U497">INDEX(Subject!$A:$I,MATCH(RANDBETWEEN(1,16),Subject!$B:$B,0),3)</f>
        <v>#N/A</v>
      </c>
      <c r="V497" s="8" t="str">
        <f t="array" ref="V497">INDEX(Subject!$A:$I,MATCH(RANDBETWEEN(1,16),Subject!$B:$B,0),3)</f>
        <v>#N/A</v>
      </c>
      <c r="W497" s="8" t="str">
        <f t="array" ref="W497">INDEX(Subject!$A:$I,MATCH(RANDBETWEEN(1,16),Subject!$B:$B,0),3)</f>
        <v>#N/A</v>
      </c>
      <c r="X497" s="8" t="str">
        <f t="array" ref="X497">INDEX(Subject!$A:$I,MATCH(RANDBETWEEN(1,16),Subject!$B:$B,0),3)</f>
        <v>#N/A</v>
      </c>
      <c r="Y497" s="8" t="str">
        <f t="array" ref="Y497">INDEX(Subject!$A:$I,MATCH(RANDBETWEEN(1,16),Subject!$B:$B,0),3)</f>
        <v/>
      </c>
      <c r="Z497" s="8" t="str">
        <f t="array" ref="Z497">INDEX(Subject!$A:$I,MATCH(RANDBETWEEN(1,16),Subject!$B:$B,0),3)</f>
        <v>#N/A</v>
      </c>
      <c r="AA497" s="8" t="str">
        <f t="array" ref="AA497">INDEX(Subject!$A:$I,MATCH(RANDBETWEEN(1,16),Subject!$B:$B,0),3)</f>
        <v>#N/A</v>
      </c>
      <c r="AB497" s="8" t="str">
        <f t="array" ref="AB497">INDEX(Subject!$A:$I,MATCH(RANDBETWEEN(1,16),Subject!$B:$B,0),3)</f>
        <v>#N/A</v>
      </c>
      <c r="AC497" s="8" t="str">
        <f t="array" ref="AC497">INDEX(Subject!$A:$I,MATCH(RANDBETWEEN(1,16),Subject!$B:$B,0),3)</f>
        <v>#N/A</v>
      </c>
      <c r="AD497" s="8" t="str">
        <f t="array" ref="AD497">INDEX(Subject!$A:$I,MATCH(RANDBETWEEN(1,16),Subject!$B:$B,0),3)</f>
        <v>#N/A</v>
      </c>
      <c r="AE497" s="8" t="str">
        <f t="array" ref="AE497">INDEX(Subject!$A:$I,MATCH(RANDBETWEEN(1,16),Subject!$B:$B,0),3)</f>
        <v>#N/A</v>
      </c>
      <c r="AF497" s="8" t="str">
        <f t="array" ref="AF497">INDEX(Subject!$A:$I,MATCH(RANDBETWEEN(1,16),Subject!$B:$B,0),3)</f>
        <v>#N/A</v>
      </c>
      <c r="AG497" s="8" t="str">
        <f t="array" ref="AG497">INDEX(Subject!$A:$I,MATCH(RANDBETWEEN(1,16),Subject!$B:$B,0),3)</f>
        <v>#N/A</v>
      </c>
      <c r="AH497" s="8" t="str">
        <f t="array" ref="AH497">INDEX(Subject!$A:$I,MATCH(RANDBETWEEN(1,16),Subject!$B:$B,0),3)</f>
        <v>#N/A</v>
      </c>
      <c r="AI497" s="8" t="str">
        <f t="array" ref="AI497">INDEX(Subject!$A:$I,MATCH(RANDBETWEEN(1,16),Subject!$B:$B,0),3)</f>
        <v>#N/A</v>
      </c>
      <c r="AJ497" s="8" t="str">
        <f t="array" ref="AJ497">INDEX(Subject!$A:$I,MATCH(RANDBETWEEN(1,16),Subject!$B:$B,0),3)</f>
        <v>#N/A</v>
      </c>
      <c r="AK497" s="8" t="str">
        <f t="array" ref="AK497">INDEX(Subject!$A:$I,MATCH(RANDBETWEEN(1,16),Subject!$B:$B,0),3)</f>
        <v>#N/A</v>
      </c>
      <c r="AL497" s="8" t="str">
        <f t="array" ref="AL497">INDEX(Subject!$A:$I,MATCH(RANDBETWEEN(1,16),Subject!$B:$B,0),3)</f>
        <v>#N/A</v>
      </c>
      <c r="AM497" s="18">
        <f t="shared" si="4"/>
        <v>45997.33333</v>
      </c>
      <c r="AN497" s="19">
        <f t="shared" ref="AN497:BZ497" si="497">$A497+C$1</f>
        <v>45997.35417</v>
      </c>
      <c r="AO497" s="19">
        <f t="shared" si="497"/>
        <v>45997.375</v>
      </c>
      <c r="AP497" s="19">
        <f t="shared" si="497"/>
        <v>45997.39583</v>
      </c>
      <c r="AQ497" s="19">
        <f t="shared" si="497"/>
        <v>45997.41667</v>
      </c>
      <c r="AR497" s="19">
        <f t="shared" si="497"/>
        <v>45997.4375</v>
      </c>
      <c r="AS497" s="19">
        <f t="shared" si="497"/>
        <v>45997.45833</v>
      </c>
      <c r="AT497" s="19">
        <f t="shared" si="497"/>
        <v>45997.47917</v>
      </c>
      <c r="AU497" s="19">
        <f t="shared" si="497"/>
        <v>45997.5</v>
      </c>
      <c r="AV497" s="19">
        <f t="shared" si="497"/>
        <v>45997.52083</v>
      </c>
      <c r="AW497" s="19">
        <f t="shared" si="497"/>
        <v>45997.54167</v>
      </c>
      <c r="AX497" s="19">
        <f t="shared" si="497"/>
        <v>45997.5625</v>
      </c>
      <c r="AY497" s="19">
        <f t="shared" si="497"/>
        <v>45997.58333</v>
      </c>
      <c r="AZ497" s="19">
        <f t="shared" si="497"/>
        <v>45997.60417</v>
      </c>
      <c r="BA497" s="19">
        <f t="shared" si="497"/>
        <v>45997.625</v>
      </c>
      <c r="BB497" s="19">
        <f t="shared" si="497"/>
        <v>45997.64583</v>
      </c>
      <c r="BC497" s="19">
        <f t="shared" si="497"/>
        <v>45997.66667</v>
      </c>
      <c r="BD497" s="19">
        <f t="shared" si="497"/>
        <v>45997.6875</v>
      </c>
      <c r="BE497" s="19">
        <f t="shared" si="497"/>
        <v>45997.70833</v>
      </c>
      <c r="BF497" s="19">
        <f t="shared" si="497"/>
        <v>45997.72917</v>
      </c>
      <c r="BG497" s="19">
        <f t="shared" si="497"/>
        <v>45997.75</v>
      </c>
      <c r="BH497" s="19">
        <f t="shared" si="497"/>
        <v>45997.77083</v>
      </c>
      <c r="BI497" s="19">
        <f t="shared" si="497"/>
        <v>45997.79167</v>
      </c>
      <c r="BJ497" s="19">
        <f t="shared" si="497"/>
        <v>45997.8125</v>
      </c>
      <c r="BK497" s="19">
        <f t="shared" si="497"/>
        <v>45997.83333</v>
      </c>
      <c r="BL497" s="19">
        <f t="shared" si="497"/>
        <v>45997.85417</v>
      </c>
      <c r="BM497" s="19">
        <f t="shared" si="497"/>
        <v>45997.875</v>
      </c>
      <c r="BN497" s="19">
        <f t="shared" si="497"/>
        <v>45997.89583</v>
      </c>
      <c r="BO497" s="19">
        <f t="shared" si="497"/>
        <v>45997.91667</v>
      </c>
      <c r="BP497" s="19">
        <f t="shared" si="497"/>
        <v>45997.9375</v>
      </c>
      <c r="BQ497" s="19">
        <f t="shared" si="497"/>
        <v>45997.95833</v>
      </c>
      <c r="BR497" s="19">
        <f t="shared" si="497"/>
        <v>45997.97917</v>
      </c>
      <c r="BS497" s="19">
        <f t="shared" si="497"/>
        <v>45998</v>
      </c>
      <c r="BT497" s="19">
        <f t="shared" si="497"/>
        <v>45998.02083</v>
      </c>
      <c r="BU497" s="19">
        <f t="shared" si="497"/>
        <v>45998.04167</v>
      </c>
      <c r="BV497" s="19">
        <f t="shared" si="497"/>
        <v>45998.0625</v>
      </c>
      <c r="BW497" s="19">
        <f t="shared" si="497"/>
        <v>45998.08333</v>
      </c>
      <c r="BX497" s="19">
        <f t="shared" si="497"/>
        <v>45997</v>
      </c>
      <c r="BY497" s="19">
        <f t="shared" si="497"/>
        <v>45997</v>
      </c>
      <c r="BZ497" s="19">
        <f t="shared" si="497"/>
        <v>45997</v>
      </c>
    </row>
    <row r="498" ht="14.25" customHeight="1">
      <c r="A498" s="17">
        <v>45998.0</v>
      </c>
      <c r="B498" s="2" t="str">
        <f t="array" ref="B498">IF(NOW()&gt;AM498,"",IF(AND((WEEKDAY($A498)+$B$2)&gt;1,((WEEKDAY($A498)+$T$2)&lt;7),(WEEKDAY($A498)&lt;&gt;1)),"work",(INDEX(Subject!$A:$I,MATCH(RANDBETWEEN(1,(MAX(Subject!$B:$B))),Subject!$B:$B,0),3))))</f>
        <v/>
      </c>
      <c r="C498" s="2" t="str">
        <f t="array" ref="C498">IF(NOW()&gt;AN498,"",IF(AND((WEEKDAY($A498)+$B$2)&gt;1,((WEEKDAY($A498)+$T$2)&lt;7),(WEEKDAY($A498)&lt;&gt;1)),"work",(INDEX(Subject!$A:$I,MATCH(RANDBETWEEN(1,(MAX(Subject!$B:$B))),Subject!$B:$B,0),3))))</f>
        <v/>
      </c>
      <c r="D498" s="2" t="str">
        <f t="array" ref="D498">IF(NOW()&gt;AO498,"",IF(AND((WEEKDAY($A498)+$B$2)&gt;1,((WEEKDAY($A498)+$T$2)&lt;7),(WEEKDAY($A498)&lt;&gt;1)),"work",(INDEX(Subject!$A:$I,MATCH(RANDBETWEEN(1,(MAX(Subject!$B:$B))),Subject!$B:$B,0),3))))</f>
        <v/>
      </c>
      <c r="E498" s="2" t="str">
        <f t="array" ref="E498">IF(NOW()&gt;AP498,"",IF(AND((WEEKDAY($A498)+$B$2)&gt;1,((WEEKDAY($A498)+$T$2)&lt;7),(WEEKDAY($A498)&lt;&gt;1)),"work",(INDEX(Subject!$A:$I,MATCH(RANDBETWEEN(1,(MAX(Subject!$B:$B))),Subject!$B:$B,0),3))))</f>
        <v/>
      </c>
      <c r="F498" s="2" t="str">
        <f t="array" ref="F498">IF(NOW()&gt;AQ498,"",IF(AND((WEEKDAY($A498)+$B$2)&gt;1,((WEEKDAY($A498)+$T$2)&lt;7),(WEEKDAY($A498)&lt;&gt;1)),"work",(INDEX(Subject!$A:$I,MATCH(RANDBETWEEN(1,(MAX(Subject!$B:$B))),Subject!$B:$B,0),3))))</f>
        <v/>
      </c>
      <c r="G498" s="2" t="str">
        <f t="array" ref="G498">IF(NOW()&gt;AR498,"",IF(AND((WEEKDAY($A498)+$B$2)&gt;1,((WEEKDAY($A498)+$T$2)&lt;7),(WEEKDAY($A498)&lt;&gt;1)),"work",(INDEX(Subject!$A:$I,MATCH(RANDBETWEEN(1,(MAX(Subject!$B:$B))),Subject!$B:$B,0),3))))</f>
        <v/>
      </c>
      <c r="H498" s="2" t="str">
        <f t="array" ref="H498">IF(NOW()&gt;AS498,"",IF(AND((WEEKDAY($A498)+$B$2)&gt;1,((WEEKDAY($A498)+$T$2)&lt;7),(WEEKDAY($A498)&lt;&gt;1)),"work",(INDEX(Subject!$A:$I,MATCH(RANDBETWEEN(1,(MAX(Subject!$B:$B))),Subject!$B:$B,0),3))))</f>
        <v/>
      </c>
      <c r="I498" s="2" t="str">
        <f t="array" ref="I498">IF(NOW()&gt;AT498,"",IF(AND((WEEKDAY($A498)+$B$2)&gt;1,((WEEKDAY($A498)+$T$2)&lt;7),(WEEKDAY($A498)&lt;&gt;1)),"work",(INDEX(Subject!$A:$I,MATCH(RANDBETWEEN(1,(MAX(Subject!$B:$B))),Subject!$B:$B,0),3))))</f>
        <v/>
      </c>
      <c r="J498" s="2" t="str">
        <f t="array" ref="J498">IF(NOW()&gt;AU498,"",IF(AND((WEEKDAY($A498)+$B$2)&gt;1,((WEEKDAY($A498)+$T$2)&lt;7),(WEEKDAY($A498)&lt;&gt;1)),"work",(INDEX(Subject!$A:$I,MATCH(RANDBETWEEN(1,(MAX(Subject!$B:$B))),Subject!$B:$B,0),3))))</f>
        <v/>
      </c>
      <c r="K498" s="2" t="str">
        <f t="array" ref="K498">IF(NOW()&gt;AV498,"",IF(AND((WEEKDAY($A498)+$B$2)&gt;1,((WEEKDAY($A498)+$T$2)&lt;7),(WEEKDAY($A498)&lt;&gt;1)),"work",(INDEX(Subject!$A:$I,MATCH(RANDBETWEEN(1,(MAX(Subject!$B:$B))),Subject!$B:$B,0),3))))</f>
        <v/>
      </c>
      <c r="L498" s="2" t="str">
        <f t="array" ref="L498">IF(NOW()&gt;AW498,"",IF(AND((WEEKDAY($A498)+$B$2)&gt;1,((WEEKDAY($A498)+$T$2)&lt;7),(WEEKDAY($A498)&lt;&gt;1)),"work",(INDEX(Subject!$A:$I,MATCH(RANDBETWEEN(1,(MAX(Subject!$B:$B))),Subject!$B:$B,0),3))))</f>
        <v/>
      </c>
      <c r="M498" s="2" t="str">
        <f t="array" ref="M498">IF(NOW()&gt;AX498,"",IF(AND((WEEKDAY($A498)+$B$2)&gt;1,((WEEKDAY($A498)+$T$2)&lt;7),(WEEKDAY($A498)&lt;&gt;1)),"work",(INDEX(Subject!$A:$I,MATCH(RANDBETWEEN(1,(MAX(Subject!$B:$B))),Subject!$B:$B,0),3))))</f>
        <v/>
      </c>
      <c r="N498" s="2" t="str">
        <f t="array" ref="N498">IF(NOW()&gt;AY498,"",IF(AND((WEEKDAY($A498)+$B$2)&gt;1,((WEEKDAY($A498)+$T$2)&lt;7),(WEEKDAY($A498)&lt;&gt;1)),"work",(INDEX(Subject!$A:$I,MATCH(RANDBETWEEN(1,(MAX(Subject!$B:$B))),Subject!$B:$B,0),3))))</f>
        <v/>
      </c>
      <c r="O498" s="2" t="str">
        <f t="array" ref="O498">IF(NOW()&gt;AZ498,"",IF(AND((WEEKDAY($A498)+$B$2)&gt;1,((WEEKDAY($A498)+$T$2)&lt;7),(WEEKDAY($A498)&lt;&gt;1)),"work",(INDEX(Subject!$A:$I,MATCH(RANDBETWEEN(1,(MAX(Subject!$B:$B))),Subject!$B:$B,0),3))))</f>
        <v/>
      </c>
      <c r="P498" s="2" t="str">
        <f t="array" ref="P498">IF(NOW()&gt;BA498,"",IF(AND((WEEKDAY($A498)+$B$2)&gt;1,((WEEKDAY($A498)+$T$2)&lt;7),(WEEKDAY($A498)&lt;&gt;1)),"work",(INDEX(Subject!$A:$I,MATCH(RANDBETWEEN(1,(MAX(Subject!$B:$B))),Subject!$B:$B,0),3))))</f>
        <v/>
      </c>
      <c r="Q498" s="2" t="str">
        <f t="array" ref="Q498">IF(NOW()&gt;BB498,"",IF(AND((WEEKDAY($A498)+$B$2)&gt;1,((WEEKDAY($A498)+$T$2)&lt;7),(WEEKDAY($A498)&lt;&gt;1)),"work",(INDEX(Subject!$A:$I,MATCH(RANDBETWEEN(1,(MAX(Subject!$B:$B))),Subject!$B:$B,0),3))))</f>
        <v/>
      </c>
      <c r="R498" s="2" t="str">
        <f t="array" ref="R498">IF(NOW()&gt;BC498,"",IF(AND((WEEKDAY($A498)+$B$2)&gt;1,((WEEKDAY($A498)+$T$2)&lt;7),(WEEKDAY($A498)&lt;&gt;1)),"work",(INDEX(Subject!$A:$I,MATCH(RANDBETWEEN(1,(MAX(Subject!$B:$B))),Subject!$B:$B,0),3))))</f>
        <v/>
      </c>
      <c r="S498" s="2" t="str">
        <f t="array" ref="S498">IF(NOW()&gt;BD498,"",IF(AND((WEEKDAY($A498)+$B$2)&gt;1,((WEEKDAY($A498)+$T$2)&lt;7),(WEEKDAY($A498)&lt;&gt;1)),"work",(INDEX(Subject!$A:$I,MATCH(RANDBETWEEN(1,(MAX(Subject!$B:$B))),Subject!$B:$B,0),3))))</f>
        <v/>
      </c>
      <c r="T498" s="2" t="str">
        <f t="array" ref="T498">IF(NOW()&gt;BE498,"",IF(AND((WEEKDAY($A498)+$B$2)&gt;1,((WEEKDAY($A498)+$T$2)&lt;7),(WEEKDAY($A498)&lt;&gt;1)),"work",(INDEX(Subject!$A:$I,MATCH(RANDBETWEEN(1,(MAX(Subject!$B:$B))),Subject!$B:$B,0),3))))</f>
        <v/>
      </c>
      <c r="U498" s="8" t="str">
        <f t="array" ref="U498">INDEX(Subject!$A:$I,MATCH(RANDBETWEEN(1,16),Subject!$B:$B,0),3)</f>
        <v>#N/A</v>
      </c>
      <c r="V498" s="8" t="str">
        <f t="array" ref="V498">INDEX(Subject!$A:$I,MATCH(RANDBETWEEN(1,16),Subject!$B:$B,0),3)</f>
        <v>#N/A</v>
      </c>
      <c r="W498" s="8" t="str">
        <f t="array" ref="W498">INDEX(Subject!$A:$I,MATCH(RANDBETWEEN(1,16),Subject!$B:$B,0),3)</f>
        <v>#N/A</v>
      </c>
      <c r="X498" s="8" t="str">
        <f t="array" ref="X498">INDEX(Subject!$A:$I,MATCH(RANDBETWEEN(1,16),Subject!$B:$B,0),3)</f>
        <v>#N/A</v>
      </c>
      <c r="Y498" s="8" t="str">
        <f t="array" ref="Y498">INDEX(Subject!$A:$I,MATCH(RANDBETWEEN(1,16),Subject!$B:$B,0),3)</f>
        <v>#N/A</v>
      </c>
      <c r="Z498" s="8" t="str">
        <f t="array" ref="Z498">INDEX(Subject!$A:$I,MATCH(RANDBETWEEN(1,16),Subject!$B:$B,0),3)</f>
        <v>#N/A</v>
      </c>
      <c r="AA498" s="8" t="str">
        <f t="array" ref="AA498">INDEX(Subject!$A:$I,MATCH(RANDBETWEEN(1,16),Subject!$B:$B,0),3)</f>
        <v>#N/A</v>
      </c>
      <c r="AB498" s="8" t="str">
        <f t="array" ref="AB498">INDEX(Subject!$A:$I,MATCH(RANDBETWEEN(1,16),Subject!$B:$B,0),3)</f>
        <v>#N/A</v>
      </c>
      <c r="AC498" s="8" t="str">
        <f t="array" ref="AC498">INDEX(Subject!$A:$I,MATCH(RANDBETWEEN(1,16),Subject!$B:$B,0),3)</f>
        <v>#N/A</v>
      </c>
      <c r="AD498" s="8" t="str">
        <f t="array" ref="AD498">INDEX(Subject!$A:$I,MATCH(RANDBETWEEN(1,16),Subject!$B:$B,0),3)</f>
        <v>#N/A</v>
      </c>
      <c r="AE498" s="8" t="str">
        <f t="array" ref="AE498">INDEX(Subject!$A:$I,MATCH(RANDBETWEEN(1,16),Subject!$B:$B,0),3)</f>
        <v>#N/A</v>
      </c>
      <c r="AF498" s="8" t="str">
        <f t="array" ref="AF498">INDEX(Subject!$A:$I,MATCH(RANDBETWEEN(1,16),Subject!$B:$B,0),3)</f>
        <v>#N/A</v>
      </c>
      <c r="AG498" s="8" t="str">
        <f t="array" ref="AG498">INDEX(Subject!$A:$I,MATCH(RANDBETWEEN(1,16),Subject!$B:$B,0),3)</f>
        <v>#N/A</v>
      </c>
      <c r="AH498" s="8" t="str">
        <f t="array" ref="AH498">INDEX(Subject!$A:$I,MATCH(RANDBETWEEN(1,16),Subject!$B:$B,0),3)</f>
        <v>#N/A</v>
      </c>
      <c r="AI498" s="8" t="str">
        <f t="array" ref="AI498">INDEX(Subject!$A:$I,MATCH(RANDBETWEEN(1,16),Subject!$B:$B,0),3)</f>
        <v>#N/A</v>
      </c>
      <c r="AJ498" s="8" t="str">
        <f t="array" ref="AJ498">INDEX(Subject!$A:$I,MATCH(RANDBETWEEN(1,16),Subject!$B:$B,0),3)</f>
        <v>#N/A</v>
      </c>
      <c r="AK498" s="8" t="str">
        <f t="array" ref="AK498">INDEX(Subject!$A:$I,MATCH(RANDBETWEEN(1,16),Subject!$B:$B,0),3)</f>
        <v>#N/A</v>
      </c>
      <c r="AL498" s="8" t="str">
        <f t="array" ref="AL498">INDEX(Subject!$A:$I,MATCH(RANDBETWEEN(1,16),Subject!$B:$B,0),3)</f>
        <v>#N/A</v>
      </c>
      <c r="AM498" s="18">
        <f t="shared" si="4"/>
        <v>45998.33333</v>
      </c>
      <c r="AN498" s="19">
        <f t="shared" ref="AN498:BZ498" si="498">$A498+C$1</f>
        <v>45998.35417</v>
      </c>
      <c r="AO498" s="19">
        <f t="shared" si="498"/>
        <v>45998.375</v>
      </c>
      <c r="AP498" s="19">
        <f t="shared" si="498"/>
        <v>45998.39583</v>
      </c>
      <c r="AQ498" s="19">
        <f t="shared" si="498"/>
        <v>45998.41667</v>
      </c>
      <c r="AR498" s="19">
        <f t="shared" si="498"/>
        <v>45998.4375</v>
      </c>
      <c r="AS498" s="19">
        <f t="shared" si="498"/>
        <v>45998.45833</v>
      </c>
      <c r="AT498" s="19">
        <f t="shared" si="498"/>
        <v>45998.47917</v>
      </c>
      <c r="AU498" s="19">
        <f t="shared" si="498"/>
        <v>45998.5</v>
      </c>
      <c r="AV498" s="19">
        <f t="shared" si="498"/>
        <v>45998.52083</v>
      </c>
      <c r="AW498" s="19">
        <f t="shared" si="498"/>
        <v>45998.54167</v>
      </c>
      <c r="AX498" s="19">
        <f t="shared" si="498"/>
        <v>45998.5625</v>
      </c>
      <c r="AY498" s="19">
        <f t="shared" si="498"/>
        <v>45998.58333</v>
      </c>
      <c r="AZ498" s="19">
        <f t="shared" si="498"/>
        <v>45998.60417</v>
      </c>
      <c r="BA498" s="19">
        <f t="shared" si="498"/>
        <v>45998.625</v>
      </c>
      <c r="BB498" s="19">
        <f t="shared" si="498"/>
        <v>45998.64583</v>
      </c>
      <c r="BC498" s="19">
        <f t="shared" si="498"/>
        <v>45998.66667</v>
      </c>
      <c r="BD498" s="19">
        <f t="shared" si="498"/>
        <v>45998.6875</v>
      </c>
      <c r="BE498" s="19">
        <f t="shared" si="498"/>
        <v>45998.70833</v>
      </c>
      <c r="BF498" s="19">
        <f t="shared" si="498"/>
        <v>45998.72917</v>
      </c>
      <c r="BG498" s="19">
        <f t="shared" si="498"/>
        <v>45998.75</v>
      </c>
      <c r="BH498" s="19">
        <f t="shared" si="498"/>
        <v>45998.77083</v>
      </c>
      <c r="BI498" s="19">
        <f t="shared" si="498"/>
        <v>45998.79167</v>
      </c>
      <c r="BJ498" s="19">
        <f t="shared" si="498"/>
        <v>45998.8125</v>
      </c>
      <c r="BK498" s="19">
        <f t="shared" si="498"/>
        <v>45998.83333</v>
      </c>
      <c r="BL498" s="19">
        <f t="shared" si="498"/>
        <v>45998.85417</v>
      </c>
      <c r="BM498" s="19">
        <f t="shared" si="498"/>
        <v>45998.875</v>
      </c>
      <c r="BN498" s="19">
        <f t="shared" si="498"/>
        <v>45998.89583</v>
      </c>
      <c r="BO498" s="19">
        <f t="shared" si="498"/>
        <v>45998.91667</v>
      </c>
      <c r="BP498" s="19">
        <f t="shared" si="498"/>
        <v>45998.9375</v>
      </c>
      <c r="BQ498" s="19">
        <f t="shared" si="498"/>
        <v>45998.95833</v>
      </c>
      <c r="BR498" s="19">
        <f t="shared" si="498"/>
        <v>45998.97917</v>
      </c>
      <c r="BS498" s="19">
        <f t="shared" si="498"/>
        <v>45999</v>
      </c>
      <c r="BT498" s="19">
        <f t="shared" si="498"/>
        <v>45999.02083</v>
      </c>
      <c r="BU498" s="19">
        <f t="shared" si="498"/>
        <v>45999.04167</v>
      </c>
      <c r="BV498" s="19">
        <f t="shared" si="498"/>
        <v>45999.0625</v>
      </c>
      <c r="BW498" s="19">
        <f t="shared" si="498"/>
        <v>45999.08333</v>
      </c>
      <c r="BX498" s="19">
        <f t="shared" si="498"/>
        <v>45998</v>
      </c>
      <c r="BY498" s="19">
        <f t="shared" si="498"/>
        <v>45998</v>
      </c>
      <c r="BZ498" s="19">
        <f t="shared" si="498"/>
        <v>45998</v>
      </c>
    </row>
    <row r="499" ht="14.25" customHeight="1">
      <c r="A499" s="17">
        <v>45999.0</v>
      </c>
      <c r="B499" s="2" t="str">
        <f t="array" ref="B499">IF(NOW()&gt;AM499,"",IF(AND((WEEKDAY($A499)+$B$2)&gt;1,((WEEKDAY($A499)+$T$2)&lt;7),(WEEKDAY($A499)&lt;&gt;1)),"work",(INDEX(Subject!$A:$I,MATCH(RANDBETWEEN(1,(MAX(Subject!$B:$B))),Subject!$B:$B,0),3))))</f>
        <v/>
      </c>
      <c r="C499" s="2" t="str">
        <f t="array" ref="C499">IF(NOW()&gt;AN499,"",IF(AND((WEEKDAY($A499)+$B$2)&gt;1,((WEEKDAY($A499)+$T$2)&lt;7),(WEEKDAY($A499)&lt;&gt;1)),"work",(INDEX(Subject!$A:$I,MATCH(RANDBETWEEN(1,(MAX(Subject!$B:$B))),Subject!$B:$B,0),3))))</f>
        <v/>
      </c>
      <c r="D499" s="2" t="str">
        <f t="array" ref="D499">IF(NOW()&gt;AO499,"",IF(AND((WEEKDAY($A499)+$B$2)&gt;1,((WEEKDAY($A499)+$T$2)&lt;7),(WEEKDAY($A499)&lt;&gt;1)),"work",(INDEX(Subject!$A:$I,MATCH(RANDBETWEEN(1,(MAX(Subject!$B:$B))),Subject!$B:$B,0),3))))</f>
        <v/>
      </c>
      <c r="E499" s="2" t="str">
        <f t="array" ref="E499">IF(NOW()&gt;AP499,"",IF(AND((WEEKDAY($A499)+$B$2)&gt;1,((WEEKDAY($A499)+$T$2)&lt;7),(WEEKDAY($A499)&lt;&gt;1)),"work",(INDEX(Subject!$A:$I,MATCH(RANDBETWEEN(1,(MAX(Subject!$B:$B))),Subject!$B:$B,0),3))))</f>
        <v/>
      </c>
      <c r="F499" s="2" t="str">
        <f t="array" ref="F499">IF(NOW()&gt;AQ499,"",IF(AND((WEEKDAY($A499)+$B$2)&gt;1,((WEEKDAY($A499)+$T$2)&lt;7),(WEEKDAY($A499)&lt;&gt;1)),"work",(INDEX(Subject!$A:$I,MATCH(RANDBETWEEN(1,(MAX(Subject!$B:$B))),Subject!$B:$B,0),3))))</f>
        <v/>
      </c>
      <c r="G499" s="2" t="str">
        <f t="array" ref="G499">IF(NOW()&gt;AR499,"",IF(AND((WEEKDAY($A499)+$B$2)&gt;1,((WEEKDAY($A499)+$T$2)&lt;7),(WEEKDAY($A499)&lt;&gt;1)),"work",(INDEX(Subject!$A:$I,MATCH(RANDBETWEEN(1,(MAX(Subject!$B:$B))),Subject!$B:$B,0),3))))</f>
        <v/>
      </c>
      <c r="H499" s="2" t="str">
        <f t="array" ref="H499">IF(NOW()&gt;AS499,"",IF(AND((WEEKDAY($A499)+$B$2)&gt;1,((WEEKDAY($A499)+$T$2)&lt;7),(WEEKDAY($A499)&lt;&gt;1)),"work",(INDEX(Subject!$A:$I,MATCH(RANDBETWEEN(1,(MAX(Subject!$B:$B))),Subject!$B:$B,0),3))))</f>
        <v/>
      </c>
      <c r="I499" s="2" t="str">
        <f t="array" ref="I499">IF(NOW()&gt;AT499,"",IF(AND((WEEKDAY($A499)+$B$2)&gt;1,((WEEKDAY($A499)+$T$2)&lt;7),(WEEKDAY($A499)&lt;&gt;1)),"work",(INDEX(Subject!$A:$I,MATCH(RANDBETWEEN(1,(MAX(Subject!$B:$B))),Subject!$B:$B,0),3))))</f>
        <v/>
      </c>
      <c r="J499" s="2" t="str">
        <f t="array" ref="J499">IF(NOW()&gt;AU499,"",IF(AND((WEEKDAY($A499)+$B$2)&gt;1,((WEEKDAY($A499)+$T$2)&lt;7),(WEEKDAY($A499)&lt;&gt;1)),"work",(INDEX(Subject!$A:$I,MATCH(RANDBETWEEN(1,(MAX(Subject!$B:$B))),Subject!$B:$B,0),3))))</f>
        <v/>
      </c>
      <c r="K499" s="2" t="str">
        <f t="array" ref="K499">IF(NOW()&gt;AV499,"",IF(AND((WEEKDAY($A499)+$B$2)&gt;1,((WEEKDAY($A499)+$T$2)&lt;7),(WEEKDAY($A499)&lt;&gt;1)),"work",(INDEX(Subject!$A:$I,MATCH(RANDBETWEEN(1,(MAX(Subject!$B:$B))),Subject!$B:$B,0),3))))</f>
        <v/>
      </c>
      <c r="L499" s="2" t="str">
        <f t="array" ref="L499">IF(NOW()&gt;AW499,"",IF(AND((WEEKDAY($A499)+$B$2)&gt;1,((WEEKDAY($A499)+$T$2)&lt;7),(WEEKDAY($A499)&lt;&gt;1)),"work",(INDEX(Subject!$A:$I,MATCH(RANDBETWEEN(1,(MAX(Subject!$B:$B))),Subject!$B:$B,0),3))))</f>
        <v/>
      </c>
      <c r="M499" s="2" t="str">
        <f t="array" ref="M499">IF(NOW()&gt;AX499,"",IF(AND((WEEKDAY($A499)+$B$2)&gt;1,((WEEKDAY($A499)+$T$2)&lt;7),(WEEKDAY($A499)&lt;&gt;1)),"work",(INDEX(Subject!$A:$I,MATCH(RANDBETWEEN(1,(MAX(Subject!$B:$B))),Subject!$B:$B,0),3))))</f>
        <v/>
      </c>
      <c r="N499" s="2" t="str">
        <f t="array" ref="N499">IF(NOW()&gt;AY499,"",IF(AND((WEEKDAY($A499)+$B$2)&gt;1,((WEEKDAY($A499)+$T$2)&lt;7),(WEEKDAY($A499)&lt;&gt;1)),"work",(INDEX(Subject!$A:$I,MATCH(RANDBETWEEN(1,(MAX(Subject!$B:$B))),Subject!$B:$B,0),3))))</f>
        <v/>
      </c>
      <c r="O499" s="2" t="str">
        <f t="array" ref="O499">IF(NOW()&gt;AZ499,"",IF(AND((WEEKDAY($A499)+$B$2)&gt;1,((WEEKDAY($A499)+$T$2)&lt;7),(WEEKDAY($A499)&lt;&gt;1)),"work",(INDEX(Subject!$A:$I,MATCH(RANDBETWEEN(1,(MAX(Subject!$B:$B))),Subject!$B:$B,0),3))))</f>
        <v/>
      </c>
      <c r="P499" s="2" t="str">
        <f t="array" ref="P499">IF(NOW()&gt;BA499,"",IF(AND((WEEKDAY($A499)+$B$2)&gt;1,((WEEKDAY($A499)+$T$2)&lt;7),(WEEKDAY($A499)&lt;&gt;1)),"work",(INDEX(Subject!$A:$I,MATCH(RANDBETWEEN(1,(MAX(Subject!$B:$B))),Subject!$B:$B,0),3))))</f>
        <v/>
      </c>
      <c r="Q499" s="2" t="str">
        <f t="array" ref="Q499">IF(NOW()&gt;BB499,"",IF(AND((WEEKDAY($A499)+$B$2)&gt;1,((WEEKDAY($A499)+$T$2)&lt;7),(WEEKDAY($A499)&lt;&gt;1)),"work",(INDEX(Subject!$A:$I,MATCH(RANDBETWEEN(1,(MAX(Subject!$B:$B))),Subject!$B:$B,0),3))))</f>
        <v/>
      </c>
      <c r="R499" s="2" t="str">
        <f t="array" ref="R499">IF(NOW()&gt;BC499,"",IF(AND((WEEKDAY($A499)+$B$2)&gt;1,((WEEKDAY($A499)+$T$2)&lt;7),(WEEKDAY($A499)&lt;&gt;1)),"work",(INDEX(Subject!$A:$I,MATCH(RANDBETWEEN(1,(MAX(Subject!$B:$B))),Subject!$B:$B,0),3))))</f>
        <v/>
      </c>
      <c r="S499" s="2" t="str">
        <f t="array" ref="S499">IF(NOW()&gt;BD499,"",IF(AND((WEEKDAY($A499)+$B$2)&gt;1,((WEEKDAY($A499)+$T$2)&lt;7),(WEEKDAY($A499)&lt;&gt;1)),"work",(INDEX(Subject!$A:$I,MATCH(RANDBETWEEN(1,(MAX(Subject!$B:$B))),Subject!$B:$B,0),3))))</f>
        <v/>
      </c>
      <c r="T499" s="2" t="str">
        <f t="array" ref="T499">IF(NOW()&gt;BE499,"",IF(AND((WEEKDAY($A499)+$B$2)&gt;1,((WEEKDAY($A499)+$T$2)&lt;7),(WEEKDAY($A499)&lt;&gt;1)),"work",(INDEX(Subject!$A:$I,MATCH(RANDBETWEEN(1,(MAX(Subject!$B:$B))),Subject!$B:$B,0),3))))</f>
        <v/>
      </c>
      <c r="U499" s="8" t="str">
        <f t="array" ref="U499">INDEX(Subject!$A:$I,MATCH(RANDBETWEEN(1,16),Subject!$B:$B,0),3)</f>
        <v>#N/A</v>
      </c>
      <c r="V499" s="8" t="str">
        <f t="array" ref="V499">INDEX(Subject!$A:$I,MATCH(RANDBETWEEN(1,16),Subject!$B:$B,0),3)</f>
        <v>#N/A</v>
      </c>
      <c r="W499" s="8" t="str">
        <f t="array" ref="W499">INDEX(Subject!$A:$I,MATCH(RANDBETWEEN(1,16),Subject!$B:$B,0),3)</f>
        <v>#N/A</v>
      </c>
      <c r="X499" s="8" t="str">
        <f t="array" ref="X499">INDEX(Subject!$A:$I,MATCH(RANDBETWEEN(1,16),Subject!$B:$B,0),3)</f>
        <v/>
      </c>
      <c r="Y499" s="8" t="str">
        <f t="array" ref="Y499">INDEX(Subject!$A:$I,MATCH(RANDBETWEEN(1,16),Subject!$B:$B,0),3)</f>
        <v>#N/A</v>
      </c>
      <c r="Z499" s="8" t="str">
        <f t="array" ref="Z499">INDEX(Subject!$A:$I,MATCH(RANDBETWEEN(1,16),Subject!$B:$B,0),3)</f>
        <v>#N/A</v>
      </c>
      <c r="AA499" s="8" t="str">
        <f t="array" ref="AA499">INDEX(Subject!$A:$I,MATCH(RANDBETWEEN(1,16),Subject!$B:$B,0),3)</f>
        <v>#N/A</v>
      </c>
      <c r="AB499" s="8" t="str">
        <f t="array" ref="AB499">INDEX(Subject!$A:$I,MATCH(RANDBETWEEN(1,16),Subject!$B:$B,0),3)</f>
        <v>#N/A</v>
      </c>
      <c r="AC499" s="8" t="str">
        <f t="array" ref="AC499">INDEX(Subject!$A:$I,MATCH(RANDBETWEEN(1,16),Subject!$B:$B,0),3)</f>
        <v>#N/A</v>
      </c>
      <c r="AD499" s="8" t="str">
        <f t="array" ref="AD499">INDEX(Subject!$A:$I,MATCH(RANDBETWEEN(1,16),Subject!$B:$B,0),3)</f>
        <v>#N/A</v>
      </c>
      <c r="AE499" s="8" t="str">
        <f t="array" ref="AE499">INDEX(Subject!$A:$I,MATCH(RANDBETWEEN(1,16),Subject!$B:$B,0),3)</f>
        <v>#N/A</v>
      </c>
      <c r="AF499" s="8" t="str">
        <f t="array" ref="AF499">INDEX(Subject!$A:$I,MATCH(RANDBETWEEN(1,16),Subject!$B:$B,0),3)</f>
        <v>#N/A</v>
      </c>
      <c r="AG499" s="8" t="str">
        <f t="array" ref="AG499">INDEX(Subject!$A:$I,MATCH(RANDBETWEEN(1,16),Subject!$B:$B,0),3)</f>
        <v>#N/A</v>
      </c>
      <c r="AH499" s="8" t="str">
        <f t="array" ref="AH499">INDEX(Subject!$A:$I,MATCH(RANDBETWEEN(1,16),Subject!$B:$B,0),3)</f>
        <v>#N/A</v>
      </c>
      <c r="AI499" s="8" t="str">
        <f t="array" ref="AI499">INDEX(Subject!$A:$I,MATCH(RANDBETWEEN(1,16),Subject!$B:$B,0),3)</f>
        <v>#N/A</v>
      </c>
      <c r="AJ499" s="8" t="str">
        <f t="array" ref="AJ499">INDEX(Subject!$A:$I,MATCH(RANDBETWEEN(1,16),Subject!$B:$B,0),3)</f>
        <v>#N/A</v>
      </c>
      <c r="AK499" s="8" t="str">
        <f t="array" ref="AK499">INDEX(Subject!$A:$I,MATCH(RANDBETWEEN(1,16),Subject!$B:$B,0),3)</f>
        <v>#N/A</v>
      </c>
      <c r="AL499" s="8" t="str">
        <f t="array" ref="AL499">INDEX(Subject!$A:$I,MATCH(RANDBETWEEN(1,16),Subject!$B:$B,0),3)</f>
        <v>#N/A</v>
      </c>
      <c r="AM499" s="18">
        <f t="shared" si="4"/>
        <v>45999.33333</v>
      </c>
      <c r="AN499" s="19">
        <f t="shared" ref="AN499:BZ499" si="499">$A499+C$1</f>
        <v>45999.35417</v>
      </c>
      <c r="AO499" s="19">
        <f t="shared" si="499"/>
        <v>45999.375</v>
      </c>
      <c r="AP499" s="19">
        <f t="shared" si="499"/>
        <v>45999.39583</v>
      </c>
      <c r="AQ499" s="19">
        <f t="shared" si="499"/>
        <v>45999.41667</v>
      </c>
      <c r="AR499" s="19">
        <f t="shared" si="499"/>
        <v>45999.4375</v>
      </c>
      <c r="AS499" s="19">
        <f t="shared" si="499"/>
        <v>45999.45833</v>
      </c>
      <c r="AT499" s="19">
        <f t="shared" si="499"/>
        <v>45999.47917</v>
      </c>
      <c r="AU499" s="19">
        <f t="shared" si="499"/>
        <v>45999.5</v>
      </c>
      <c r="AV499" s="19">
        <f t="shared" si="499"/>
        <v>45999.52083</v>
      </c>
      <c r="AW499" s="19">
        <f t="shared" si="499"/>
        <v>45999.54167</v>
      </c>
      <c r="AX499" s="19">
        <f t="shared" si="499"/>
        <v>45999.5625</v>
      </c>
      <c r="AY499" s="19">
        <f t="shared" si="499"/>
        <v>45999.58333</v>
      </c>
      <c r="AZ499" s="19">
        <f t="shared" si="499"/>
        <v>45999.60417</v>
      </c>
      <c r="BA499" s="19">
        <f t="shared" si="499"/>
        <v>45999.625</v>
      </c>
      <c r="BB499" s="19">
        <f t="shared" si="499"/>
        <v>45999.64583</v>
      </c>
      <c r="BC499" s="19">
        <f t="shared" si="499"/>
        <v>45999.66667</v>
      </c>
      <c r="BD499" s="19">
        <f t="shared" si="499"/>
        <v>45999.6875</v>
      </c>
      <c r="BE499" s="19">
        <f t="shared" si="499"/>
        <v>45999.70833</v>
      </c>
      <c r="BF499" s="19">
        <f t="shared" si="499"/>
        <v>45999.72917</v>
      </c>
      <c r="BG499" s="19">
        <f t="shared" si="499"/>
        <v>45999.75</v>
      </c>
      <c r="BH499" s="19">
        <f t="shared" si="499"/>
        <v>45999.77083</v>
      </c>
      <c r="BI499" s="19">
        <f t="shared" si="499"/>
        <v>45999.79167</v>
      </c>
      <c r="BJ499" s="19">
        <f t="shared" si="499"/>
        <v>45999.8125</v>
      </c>
      <c r="BK499" s="19">
        <f t="shared" si="499"/>
        <v>45999.83333</v>
      </c>
      <c r="BL499" s="19">
        <f t="shared" si="499"/>
        <v>45999.85417</v>
      </c>
      <c r="BM499" s="19">
        <f t="shared" si="499"/>
        <v>45999.875</v>
      </c>
      <c r="BN499" s="19">
        <f t="shared" si="499"/>
        <v>45999.89583</v>
      </c>
      <c r="BO499" s="19">
        <f t="shared" si="499"/>
        <v>45999.91667</v>
      </c>
      <c r="BP499" s="19">
        <f t="shared" si="499"/>
        <v>45999.9375</v>
      </c>
      <c r="BQ499" s="19">
        <f t="shared" si="499"/>
        <v>45999.95833</v>
      </c>
      <c r="BR499" s="19">
        <f t="shared" si="499"/>
        <v>45999.97917</v>
      </c>
      <c r="BS499" s="19">
        <f t="shared" si="499"/>
        <v>46000</v>
      </c>
      <c r="BT499" s="19">
        <f t="shared" si="499"/>
        <v>46000.02083</v>
      </c>
      <c r="BU499" s="19">
        <f t="shared" si="499"/>
        <v>46000.04167</v>
      </c>
      <c r="BV499" s="19">
        <f t="shared" si="499"/>
        <v>46000.0625</v>
      </c>
      <c r="BW499" s="19">
        <f t="shared" si="499"/>
        <v>46000.08333</v>
      </c>
      <c r="BX499" s="19">
        <f t="shared" si="499"/>
        <v>45999</v>
      </c>
      <c r="BY499" s="19">
        <f t="shared" si="499"/>
        <v>45999</v>
      </c>
      <c r="BZ499" s="19">
        <f t="shared" si="499"/>
        <v>45999</v>
      </c>
    </row>
    <row r="500" ht="14.25" customHeight="1">
      <c r="A500" s="17">
        <v>46000.0</v>
      </c>
      <c r="B500" s="2" t="str">
        <f t="array" ref="B500">IF(NOW()&gt;AM500,"",IF(AND((WEEKDAY($A500)+$B$2)&gt;1,((WEEKDAY($A500)+$T$2)&lt;7),(WEEKDAY($A500)&lt;&gt;1)),"work",(INDEX(Subject!$A:$I,MATCH(RANDBETWEEN(1,(MAX(Subject!$B:$B))),Subject!$B:$B,0),3))))</f>
        <v/>
      </c>
      <c r="C500" s="2" t="str">
        <f t="array" ref="C500">IF(NOW()&gt;AN500,"",IF(AND((WEEKDAY($A500)+$B$2)&gt;1,((WEEKDAY($A500)+$T$2)&lt;7),(WEEKDAY($A500)&lt;&gt;1)),"work",(INDEX(Subject!$A:$I,MATCH(RANDBETWEEN(1,(MAX(Subject!$B:$B))),Subject!$B:$B,0),3))))</f>
        <v/>
      </c>
      <c r="D500" s="2" t="str">
        <f t="array" ref="D500">IF(NOW()&gt;AO500,"",IF(AND((WEEKDAY($A500)+$B$2)&gt;1,((WEEKDAY($A500)+$T$2)&lt;7),(WEEKDAY($A500)&lt;&gt;1)),"work",(INDEX(Subject!$A:$I,MATCH(RANDBETWEEN(1,(MAX(Subject!$B:$B))),Subject!$B:$B,0),3))))</f>
        <v/>
      </c>
      <c r="E500" s="2" t="str">
        <f t="array" ref="E500">IF(NOW()&gt;AP500,"",IF(AND((WEEKDAY($A500)+$B$2)&gt;1,((WEEKDAY($A500)+$T$2)&lt;7),(WEEKDAY($A500)&lt;&gt;1)),"work",(INDEX(Subject!$A:$I,MATCH(RANDBETWEEN(1,(MAX(Subject!$B:$B))),Subject!$B:$B,0),3))))</f>
        <v/>
      </c>
      <c r="F500" s="2" t="str">
        <f t="array" ref="F500">IF(NOW()&gt;AQ500,"",IF(AND((WEEKDAY($A500)+$B$2)&gt;1,((WEEKDAY($A500)+$T$2)&lt;7),(WEEKDAY($A500)&lt;&gt;1)),"work",(INDEX(Subject!$A:$I,MATCH(RANDBETWEEN(1,(MAX(Subject!$B:$B))),Subject!$B:$B,0),3))))</f>
        <v/>
      </c>
      <c r="G500" s="2" t="str">
        <f t="array" ref="G500">IF(NOW()&gt;AR500,"",IF(AND((WEEKDAY($A500)+$B$2)&gt;1,((WEEKDAY($A500)+$T$2)&lt;7),(WEEKDAY($A500)&lt;&gt;1)),"work",(INDEX(Subject!$A:$I,MATCH(RANDBETWEEN(1,(MAX(Subject!$B:$B))),Subject!$B:$B,0),3))))</f>
        <v/>
      </c>
      <c r="H500" s="2" t="str">
        <f t="array" ref="H500">IF(NOW()&gt;AS500,"",IF(AND((WEEKDAY($A500)+$B$2)&gt;1,((WEEKDAY($A500)+$T$2)&lt;7),(WEEKDAY($A500)&lt;&gt;1)),"work",(INDEX(Subject!$A:$I,MATCH(RANDBETWEEN(1,(MAX(Subject!$B:$B))),Subject!$B:$B,0),3))))</f>
        <v/>
      </c>
      <c r="I500" s="2" t="str">
        <f t="array" ref="I500">IF(NOW()&gt;AT500,"",IF(AND((WEEKDAY($A500)+$B$2)&gt;1,((WEEKDAY($A500)+$T$2)&lt;7),(WEEKDAY($A500)&lt;&gt;1)),"work",(INDEX(Subject!$A:$I,MATCH(RANDBETWEEN(1,(MAX(Subject!$B:$B))),Subject!$B:$B,0),3))))</f>
        <v/>
      </c>
      <c r="J500" s="2" t="str">
        <f t="array" ref="J500">IF(NOW()&gt;AU500,"",IF(AND((WEEKDAY($A500)+$B$2)&gt;1,((WEEKDAY($A500)+$T$2)&lt;7),(WEEKDAY($A500)&lt;&gt;1)),"work",(INDEX(Subject!$A:$I,MATCH(RANDBETWEEN(1,(MAX(Subject!$B:$B))),Subject!$B:$B,0),3))))</f>
        <v/>
      </c>
      <c r="K500" s="2" t="str">
        <f t="array" ref="K500">IF(NOW()&gt;AV500,"",IF(AND((WEEKDAY($A500)+$B$2)&gt;1,((WEEKDAY($A500)+$T$2)&lt;7),(WEEKDAY($A500)&lt;&gt;1)),"work",(INDEX(Subject!$A:$I,MATCH(RANDBETWEEN(1,(MAX(Subject!$B:$B))),Subject!$B:$B,0),3))))</f>
        <v/>
      </c>
      <c r="L500" s="2" t="str">
        <f t="array" ref="L500">IF(NOW()&gt;AW500,"",IF(AND((WEEKDAY($A500)+$B$2)&gt;1,((WEEKDAY($A500)+$T$2)&lt;7),(WEEKDAY($A500)&lt;&gt;1)),"work",(INDEX(Subject!$A:$I,MATCH(RANDBETWEEN(1,(MAX(Subject!$B:$B))),Subject!$B:$B,0),3))))</f>
        <v/>
      </c>
      <c r="M500" s="2" t="str">
        <f t="array" ref="M500">IF(NOW()&gt;AX500,"",IF(AND((WEEKDAY($A500)+$B$2)&gt;1,((WEEKDAY($A500)+$T$2)&lt;7),(WEEKDAY($A500)&lt;&gt;1)),"work",(INDEX(Subject!$A:$I,MATCH(RANDBETWEEN(1,(MAX(Subject!$B:$B))),Subject!$B:$B,0),3))))</f>
        <v/>
      </c>
      <c r="N500" s="2" t="str">
        <f t="array" ref="N500">IF(NOW()&gt;AY500,"",IF(AND((WEEKDAY($A500)+$B$2)&gt;1,((WEEKDAY($A500)+$T$2)&lt;7),(WEEKDAY($A500)&lt;&gt;1)),"work",(INDEX(Subject!$A:$I,MATCH(RANDBETWEEN(1,(MAX(Subject!$B:$B))),Subject!$B:$B,0),3))))</f>
        <v/>
      </c>
      <c r="O500" s="2" t="str">
        <f t="array" ref="O500">IF(NOW()&gt;AZ500,"",IF(AND((WEEKDAY($A500)+$B$2)&gt;1,((WEEKDAY($A500)+$T$2)&lt;7),(WEEKDAY($A500)&lt;&gt;1)),"work",(INDEX(Subject!$A:$I,MATCH(RANDBETWEEN(1,(MAX(Subject!$B:$B))),Subject!$B:$B,0),3))))</f>
        <v/>
      </c>
      <c r="P500" s="2" t="str">
        <f t="array" ref="P500">IF(NOW()&gt;BA500,"",IF(AND((WEEKDAY($A500)+$B$2)&gt;1,((WEEKDAY($A500)+$T$2)&lt;7),(WEEKDAY($A500)&lt;&gt;1)),"work",(INDEX(Subject!$A:$I,MATCH(RANDBETWEEN(1,(MAX(Subject!$B:$B))),Subject!$B:$B,0),3))))</f>
        <v/>
      </c>
      <c r="Q500" s="2" t="str">
        <f t="array" ref="Q500">IF(NOW()&gt;BB500,"",IF(AND((WEEKDAY($A500)+$B$2)&gt;1,((WEEKDAY($A500)+$T$2)&lt;7),(WEEKDAY($A500)&lt;&gt;1)),"work",(INDEX(Subject!$A:$I,MATCH(RANDBETWEEN(1,(MAX(Subject!$B:$B))),Subject!$B:$B,0),3))))</f>
        <v/>
      </c>
      <c r="R500" s="2" t="str">
        <f t="array" ref="R500">IF(NOW()&gt;BC500,"",IF(AND((WEEKDAY($A500)+$B$2)&gt;1,((WEEKDAY($A500)+$T$2)&lt;7),(WEEKDAY($A500)&lt;&gt;1)),"work",(INDEX(Subject!$A:$I,MATCH(RANDBETWEEN(1,(MAX(Subject!$B:$B))),Subject!$B:$B,0),3))))</f>
        <v/>
      </c>
      <c r="S500" s="2" t="str">
        <f t="array" ref="S500">IF(NOW()&gt;BD500,"",IF(AND((WEEKDAY($A500)+$B$2)&gt;1,((WEEKDAY($A500)+$T$2)&lt;7),(WEEKDAY($A500)&lt;&gt;1)),"work",(INDEX(Subject!$A:$I,MATCH(RANDBETWEEN(1,(MAX(Subject!$B:$B))),Subject!$B:$B,0),3))))</f>
        <v/>
      </c>
      <c r="T500" s="2" t="str">
        <f t="array" ref="T500">IF(NOW()&gt;BE500,"",IF(AND((WEEKDAY($A500)+$B$2)&gt;1,((WEEKDAY($A500)+$T$2)&lt;7),(WEEKDAY($A500)&lt;&gt;1)),"work",(INDEX(Subject!$A:$I,MATCH(RANDBETWEEN(1,(MAX(Subject!$B:$B))),Subject!$B:$B,0),3))))</f>
        <v/>
      </c>
      <c r="U500" s="8" t="str">
        <f t="array" ref="U500">INDEX(Subject!$A:$I,MATCH(RANDBETWEEN(1,16),Subject!$B:$B,0),3)</f>
        <v>#N/A</v>
      </c>
      <c r="V500" s="8" t="str">
        <f t="array" ref="V500">INDEX(Subject!$A:$I,MATCH(RANDBETWEEN(1,16),Subject!$B:$B,0),3)</f>
        <v>#N/A</v>
      </c>
      <c r="W500" s="8" t="str">
        <f t="array" ref="W500">INDEX(Subject!$A:$I,MATCH(RANDBETWEEN(1,16),Subject!$B:$B,0),3)</f>
        <v>#N/A</v>
      </c>
      <c r="X500" s="8" t="str">
        <f t="array" ref="X500">INDEX(Subject!$A:$I,MATCH(RANDBETWEEN(1,16),Subject!$B:$B,0),3)</f>
        <v/>
      </c>
      <c r="Y500" s="8" t="str">
        <f t="array" ref="Y500">INDEX(Subject!$A:$I,MATCH(RANDBETWEEN(1,16),Subject!$B:$B,0),3)</f>
        <v>#N/A</v>
      </c>
      <c r="Z500" s="8" t="str">
        <f t="array" ref="Z500">INDEX(Subject!$A:$I,MATCH(RANDBETWEEN(1,16),Subject!$B:$B,0),3)</f>
        <v>#N/A</v>
      </c>
      <c r="AA500" s="8" t="str">
        <f t="array" ref="AA500">INDEX(Subject!$A:$I,MATCH(RANDBETWEEN(1,16),Subject!$B:$B,0),3)</f>
        <v/>
      </c>
      <c r="AB500" s="8" t="str">
        <f t="array" ref="AB500">INDEX(Subject!$A:$I,MATCH(RANDBETWEEN(1,16),Subject!$B:$B,0),3)</f>
        <v>#N/A</v>
      </c>
      <c r="AC500" s="8" t="str">
        <f t="array" ref="AC500">INDEX(Subject!$A:$I,MATCH(RANDBETWEEN(1,16),Subject!$B:$B,0),3)</f>
        <v>#N/A</v>
      </c>
      <c r="AD500" s="8" t="str">
        <f t="array" ref="AD500">INDEX(Subject!$A:$I,MATCH(RANDBETWEEN(1,16),Subject!$B:$B,0),3)</f>
        <v>#N/A</v>
      </c>
      <c r="AE500" s="8" t="str">
        <f t="array" ref="AE500">INDEX(Subject!$A:$I,MATCH(RANDBETWEEN(1,16),Subject!$B:$B,0),3)</f>
        <v>#N/A</v>
      </c>
      <c r="AF500" s="8" t="str">
        <f t="array" ref="AF500">INDEX(Subject!$A:$I,MATCH(RANDBETWEEN(1,16),Subject!$B:$B,0),3)</f>
        <v>#N/A</v>
      </c>
      <c r="AG500" s="8" t="str">
        <f t="array" ref="AG500">INDEX(Subject!$A:$I,MATCH(RANDBETWEEN(1,16),Subject!$B:$B,0),3)</f>
        <v>#N/A</v>
      </c>
      <c r="AH500" s="8" t="str">
        <f t="array" ref="AH500">INDEX(Subject!$A:$I,MATCH(RANDBETWEEN(1,16),Subject!$B:$B,0),3)</f>
        <v>#N/A</v>
      </c>
      <c r="AI500" s="8" t="str">
        <f t="array" ref="AI500">INDEX(Subject!$A:$I,MATCH(RANDBETWEEN(1,16),Subject!$B:$B,0),3)</f>
        <v>#N/A</v>
      </c>
      <c r="AJ500" s="8" t="str">
        <f t="array" ref="AJ500">INDEX(Subject!$A:$I,MATCH(RANDBETWEEN(1,16),Subject!$B:$B,0),3)</f>
        <v>#N/A</v>
      </c>
      <c r="AK500" s="8" t="str">
        <f t="array" ref="AK500">INDEX(Subject!$A:$I,MATCH(RANDBETWEEN(1,16),Subject!$B:$B,0),3)</f>
        <v>#N/A</v>
      </c>
      <c r="AL500" s="8" t="str">
        <f t="array" ref="AL500">INDEX(Subject!$A:$I,MATCH(RANDBETWEEN(1,16),Subject!$B:$B,0),3)</f>
        <v>#N/A</v>
      </c>
      <c r="AM500" s="18">
        <f t="shared" si="4"/>
        <v>46000.33333</v>
      </c>
      <c r="AN500" s="19">
        <f t="shared" ref="AN500:BZ500" si="500">$A500+C$1</f>
        <v>46000.35417</v>
      </c>
      <c r="AO500" s="19">
        <f t="shared" si="500"/>
        <v>46000.375</v>
      </c>
      <c r="AP500" s="19">
        <f t="shared" si="500"/>
        <v>46000.39583</v>
      </c>
      <c r="AQ500" s="19">
        <f t="shared" si="500"/>
        <v>46000.41667</v>
      </c>
      <c r="AR500" s="19">
        <f t="shared" si="500"/>
        <v>46000.4375</v>
      </c>
      <c r="AS500" s="19">
        <f t="shared" si="500"/>
        <v>46000.45833</v>
      </c>
      <c r="AT500" s="19">
        <f t="shared" si="500"/>
        <v>46000.47917</v>
      </c>
      <c r="AU500" s="19">
        <f t="shared" si="500"/>
        <v>46000.5</v>
      </c>
      <c r="AV500" s="19">
        <f t="shared" si="500"/>
        <v>46000.52083</v>
      </c>
      <c r="AW500" s="19">
        <f t="shared" si="500"/>
        <v>46000.54167</v>
      </c>
      <c r="AX500" s="19">
        <f t="shared" si="500"/>
        <v>46000.5625</v>
      </c>
      <c r="AY500" s="19">
        <f t="shared" si="500"/>
        <v>46000.58333</v>
      </c>
      <c r="AZ500" s="19">
        <f t="shared" si="500"/>
        <v>46000.60417</v>
      </c>
      <c r="BA500" s="19">
        <f t="shared" si="500"/>
        <v>46000.625</v>
      </c>
      <c r="BB500" s="19">
        <f t="shared" si="500"/>
        <v>46000.64583</v>
      </c>
      <c r="BC500" s="19">
        <f t="shared" si="500"/>
        <v>46000.66667</v>
      </c>
      <c r="BD500" s="19">
        <f t="shared" si="500"/>
        <v>46000.6875</v>
      </c>
      <c r="BE500" s="19">
        <f t="shared" si="500"/>
        <v>46000.70833</v>
      </c>
      <c r="BF500" s="19">
        <f t="shared" si="500"/>
        <v>46000.72917</v>
      </c>
      <c r="BG500" s="19">
        <f t="shared" si="500"/>
        <v>46000.75</v>
      </c>
      <c r="BH500" s="19">
        <f t="shared" si="500"/>
        <v>46000.77083</v>
      </c>
      <c r="BI500" s="19">
        <f t="shared" si="500"/>
        <v>46000.79167</v>
      </c>
      <c r="BJ500" s="19">
        <f t="shared" si="500"/>
        <v>46000.8125</v>
      </c>
      <c r="BK500" s="19">
        <f t="shared" si="500"/>
        <v>46000.83333</v>
      </c>
      <c r="BL500" s="19">
        <f t="shared" si="500"/>
        <v>46000.85417</v>
      </c>
      <c r="BM500" s="19">
        <f t="shared" si="500"/>
        <v>46000.875</v>
      </c>
      <c r="BN500" s="19">
        <f t="shared" si="500"/>
        <v>46000.89583</v>
      </c>
      <c r="BO500" s="19">
        <f t="shared" si="500"/>
        <v>46000.91667</v>
      </c>
      <c r="BP500" s="19">
        <f t="shared" si="500"/>
        <v>46000.9375</v>
      </c>
      <c r="BQ500" s="19">
        <f t="shared" si="500"/>
        <v>46000.95833</v>
      </c>
      <c r="BR500" s="19">
        <f t="shared" si="500"/>
        <v>46000.97917</v>
      </c>
      <c r="BS500" s="19">
        <f t="shared" si="500"/>
        <v>46001</v>
      </c>
      <c r="BT500" s="19">
        <f t="shared" si="500"/>
        <v>46001.02083</v>
      </c>
      <c r="BU500" s="19">
        <f t="shared" si="500"/>
        <v>46001.04167</v>
      </c>
      <c r="BV500" s="19">
        <f t="shared" si="500"/>
        <v>46001.0625</v>
      </c>
      <c r="BW500" s="19">
        <f t="shared" si="500"/>
        <v>46001.08333</v>
      </c>
      <c r="BX500" s="19">
        <f t="shared" si="500"/>
        <v>46000</v>
      </c>
      <c r="BY500" s="19">
        <f t="shared" si="500"/>
        <v>46000</v>
      </c>
      <c r="BZ500" s="19">
        <f t="shared" si="500"/>
        <v>46000</v>
      </c>
    </row>
    <row r="501" ht="14.25" customHeight="1">
      <c r="A501" s="17">
        <v>46001.0</v>
      </c>
      <c r="B501" s="2" t="str">
        <f t="array" ref="B501">IF(NOW()&gt;AM501,"",IF(AND((WEEKDAY($A501)+$B$2)&gt;1,((WEEKDAY($A501)+$T$2)&lt;7),(WEEKDAY($A501)&lt;&gt;1)),"work",(INDEX(Subject!$A:$I,MATCH(RANDBETWEEN(1,(MAX(Subject!$B:$B))),Subject!$B:$B,0),3))))</f>
        <v/>
      </c>
      <c r="C501" s="2" t="str">
        <f t="array" ref="C501">IF(NOW()&gt;AN501,"",IF(AND((WEEKDAY($A501)+$B$2)&gt;1,((WEEKDAY($A501)+$T$2)&lt;7),(WEEKDAY($A501)&lt;&gt;1)),"work",(INDEX(Subject!$A:$I,MATCH(RANDBETWEEN(1,(MAX(Subject!$B:$B))),Subject!$B:$B,0),3))))</f>
        <v/>
      </c>
      <c r="D501" s="2" t="str">
        <f t="array" ref="D501">IF(NOW()&gt;AO501,"",IF(AND((WEEKDAY($A501)+$B$2)&gt;1,((WEEKDAY($A501)+$T$2)&lt;7),(WEEKDAY($A501)&lt;&gt;1)),"work",(INDEX(Subject!$A:$I,MATCH(RANDBETWEEN(1,(MAX(Subject!$B:$B))),Subject!$B:$B,0),3))))</f>
        <v/>
      </c>
      <c r="E501" s="2" t="str">
        <f t="array" ref="E501">IF(NOW()&gt;AP501,"",IF(AND((WEEKDAY($A501)+$B$2)&gt;1,((WEEKDAY($A501)+$T$2)&lt;7),(WEEKDAY($A501)&lt;&gt;1)),"work",(INDEX(Subject!$A:$I,MATCH(RANDBETWEEN(1,(MAX(Subject!$B:$B))),Subject!$B:$B,0),3))))</f>
        <v/>
      </c>
      <c r="F501" s="2" t="str">
        <f t="array" ref="F501">IF(NOW()&gt;AQ501,"",IF(AND((WEEKDAY($A501)+$B$2)&gt;1,((WEEKDAY($A501)+$T$2)&lt;7),(WEEKDAY($A501)&lt;&gt;1)),"work",(INDEX(Subject!$A:$I,MATCH(RANDBETWEEN(1,(MAX(Subject!$B:$B))),Subject!$B:$B,0),3))))</f>
        <v/>
      </c>
      <c r="G501" s="2" t="str">
        <f t="array" ref="G501">IF(NOW()&gt;AR501,"",IF(AND((WEEKDAY($A501)+$B$2)&gt;1,((WEEKDAY($A501)+$T$2)&lt;7),(WEEKDAY($A501)&lt;&gt;1)),"work",(INDEX(Subject!$A:$I,MATCH(RANDBETWEEN(1,(MAX(Subject!$B:$B))),Subject!$B:$B,0),3))))</f>
        <v/>
      </c>
      <c r="H501" s="2" t="str">
        <f t="array" ref="H501">IF(NOW()&gt;AS501,"",IF(AND((WEEKDAY($A501)+$B$2)&gt;1,((WEEKDAY($A501)+$T$2)&lt;7),(WEEKDAY($A501)&lt;&gt;1)),"work",(INDEX(Subject!$A:$I,MATCH(RANDBETWEEN(1,(MAX(Subject!$B:$B))),Subject!$B:$B,0),3))))</f>
        <v/>
      </c>
      <c r="I501" s="2" t="str">
        <f t="array" ref="I501">IF(NOW()&gt;AT501,"",IF(AND((WEEKDAY($A501)+$B$2)&gt;1,((WEEKDAY($A501)+$T$2)&lt;7),(WEEKDAY($A501)&lt;&gt;1)),"work",(INDEX(Subject!$A:$I,MATCH(RANDBETWEEN(1,(MAX(Subject!$B:$B))),Subject!$B:$B,0),3))))</f>
        <v/>
      </c>
      <c r="J501" s="2" t="str">
        <f t="array" ref="J501">IF(NOW()&gt;AU501,"",IF(AND((WEEKDAY($A501)+$B$2)&gt;1,((WEEKDAY($A501)+$T$2)&lt;7),(WEEKDAY($A501)&lt;&gt;1)),"work",(INDEX(Subject!$A:$I,MATCH(RANDBETWEEN(1,(MAX(Subject!$B:$B))),Subject!$B:$B,0),3))))</f>
        <v/>
      </c>
      <c r="K501" s="2" t="str">
        <f t="array" ref="K501">IF(NOW()&gt;AV501,"",IF(AND((WEEKDAY($A501)+$B$2)&gt;1,((WEEKDAY($A501)+$T$2)&lt;7),(WEEKDAY($A501)&lt;&gt;1)),"work",(INDEX(Subject!$A:$I,MATCH(RANDBETWEEN(1,(MAX(Subject!$B:$B))),Subject!$B:$B,0),3))))</f>
        <v/>
      </c>
      <c r="L501" s="2" t="str">
        <f t="array" ref="L501">IF(NOW()&gt;AW501,"",IF(AND((WEEKDAY($A501)+$B$2)&gt;1,((WEEKDAY($A501)+$T$2)&lt;7),(WEEKDAY($A501)&lt;&gt;1)),"work",(INDEX(Subject!$A:$I,MATCH(RANDBETWEEN(1,(MAX(Subject!$B:$B))),Subject!$B:$B,0),3))))</f>
        <v/>
      </c>
      <c r="M501" s="2" t="str">
        <f t="array" ref="M501">IF(NOW()&gt;AX501,"",IF(AND((WEEKDAY($A501)+$B$2)&gt;1,((WEEKDAY($A501)+$T$2)&lt;7),(WEEKDAY($A501)&lt;&gt;1)),"work",(INDEX(Subject!$A:$I,MATCH(RANDBETWEEN(1,(MAX(Subject!$B:$B))),Subject!$B:$B,0),3))))</f>
        <v/>
      </c>
      <c r="N501" s="2" t="str">
        <f t="array" ref="N501">IF(NOW()&gt;AY501,"",IF(AND((WEEKDAY($A501)+$B$2)&gt;1,((WEEKDAY($A501)+$T$2)&lt;7),(WEEKDAY($A501)&lt;&gt;1)),"work",(INDEX(Subject!$A:$I,MATCH(RANDBETWEEN(1,(MAX(Subject!$B:$B))),Subject!$B:$B,0),3))))</f>
        <v/>
      </c>
      <c r="O501" s="2" t="str">
        <f t="array" ref="O501">IF(NOW()&gt;AZ501,"",IF(AND((WEEKDAY($A501)+$B$2)&gt;1,((WEEKDAY($A501)+$T$2)&lt;7),(WEEKDAY($A501)&lt;&gt;1)),"work",(INDEX(Subject!$A:$I,MATCH(RANDBETWEEN(1,(MAX(Subject!$B:$B))),Subject!$B:$B,0),3))))</f>
        <v/>
      </c>
      <c r="P501" s="2" t="str">
        <f t="array" ref="P501">IF(NOW()&gt;BA501,"",IF(AND((WEEKDAY($A501)+$B$2)&gt;1,((WEEKDAY($A501)+$T$2)&lt;7),(WEEKDAY($A501)&lt;&gt;1)),"work",(INDEX(Subject!$A:$I,MATCH(RANDBETWEEN(1,(MAX(Subject!$B:$B))),Subject!$B:$B,0),3))))</f>
        <v/>
      </c>
      <c r="Q501" s="2" t="str">
        <f t="array" ref="Q501">IF(NOW()&gt;BB501,"",IF(AND((WEEKDAY($A501)+$B$2)&gt;1,((WEEKDAY($A501)+$T$2)&lt;7),(WEEKDAY($A501)&lt;&gt;1)),"work",(INDEX(Subject!$A:$I,MATCH(RANDBETWEEN(1,(MAX(Subject!$B:$B))),Subject!$B:$B,0),3))))</f>
        <v/>
      </c>
      <c r="R501" s="2" t="str">
        <f t="array" ref="R501">IF(NOW()&gt;BC501,"",IF(AND((WEEKDAY($A501)+$B$2)&gt;1,((WEEKDAY($A501)+$T$2)&lt;7),(WEEKDAY($A501)&lt;&gt;1)),"work",(INDEX(Subject!$A:$I,MATCH(RANDBETWEEN(1,(MAX(Subject!$B:$B))),Subject!$B:$B,0),3))))</f>
        <v/>
      </c>
      <c r="S501" s="2" t="str">
        <f t="array" ref="S501">IF(NOW()&gt;BD501,"",IF(AND((WEEKDAY($A501)+$B$2)&gt;1,((WEEKDAY($A501)+$T$2)&lt;7),(WEEKDAY($A501)&lt;&gt;1)),"work",(INDEX(Subject!$A:$I,MATCH(RANDBETWEEN(1,(MAX(Subject!$B:$B))),Subject!$B:$B,0),3))))</f>
        <v/>
      </c>
      <c r="T501" s="2" t="str">
        <f t="array" ref="T501">IF(NOW()&gt;BE501,"",IF(AND((WEEKDAY($A501)+$B$2)&gt;1,((WEEKDAY($A501)+$T$2)&lt;7),(WEEKDAY($A501)&lt;&gt;1)),"work",(INDEX(Subject!$A:$I,MATCH(RANDBETWEEN(1,(MAX(Subject!$B:$B))),Subject!$B:$B,0),3))))</f>
        <v/>
      </c>
      <c r="U501" s="8" t="str">
        <f t="array" ref="U501">INDEX(Subject!$A:$I,MATCH(RANDBETWEEN(1,16),Subject!$B:$B,0),3)</f>
        <v/>
      </c>
      <c r="V501" s="8" t="str">
        <f t="array" ref="V501">INDEX(Subject!$A:$I,MATCH(RANDBETWEEN(1,16),Subject!$B:$B,0),3)</f>
        <v/>
      </c>
      <c r="W501" s="8" t="str">
        <f t="array" ref="W501">INDEX(Subject!$A:$I,MATCH(RANDBETWEEN(1,16),Subject!$B:$B,0),3)</f>
        <v>#N/A</v>
      </c>
      <c r="X501" s="8" t="str">
        <f t="array" ref="X501">INDEX(Subject!$A:$I,MATCH(RANDBETWEEN(1,16),Subject!$B:$B,0),3)</f>
        <v>#N/A</v>
      </c>
      <c r="Y501" s="8" t="str">
        <f t="array" ref="Y501">INDEX(Subject!$A:$I,MATCH(RANDBETWEEN(1,16),Subject!$B:$B,0),3)</f>
        <v>#N/A</v>
      </c>
      <c r="Z501" s="8" t="str">
        <f t="array" ref="Z501">INDEX(Subject!$A:$I,MATCH(RANDBETWEEN(1,16),Subject!$B:$B,0),3)</f>
        <v>#N/A</v>
      </c>
      <c r="AA501" s="8" t="str">
        <f t="array" ref="AA501">INDEX(Subject!$A:$I,MATCH(RANDBETWEEN(1,16),Subject!$B:$B,0),3)</f>
        <v>#N/A</v>
      </c>
      <c r="AB501" s="8" t="str">
        <f t="array" ref="AB501">INDEX(Subject!$A:$I,MATCH(RANDBETWEEN(1,16),Subject!$B:$B,0),3)</f>
        <v>#N/A</v>
      </c>
      <c r="AC501" s="8" t="str">
        <f t="array" ref="AC501">INDEX(Subject!$A:$I,MATCH(RANDBETWEEN(1,16),Subject!$B:$B,0),3)</f>
        <v>#N/A</v>
      </c>
      <c r="AD501" s="8" t="str">
        <f t="array" ref="AD501">INDEX(Subject!$A:$I,MATCH(RANDBETWEEN(1,16),Subject!$B:$B,0),3)</f>
        <v>#N/A</v>
      </c>
      <c r="AE501" s="8" t="str">
        <f t="array" ref="AE501">INDEX(Subject!$A:$I,MATCH(RANDBETWEEN(1,16),Subject!$B:$B,0),3)</f>
        <v>#N/A</v>
      </c>
      <c r="AF501" s="8" t="str">
        <f t="array" ref="AF501">INDEX(Subject!$A:$I,MATCH(RANDBETWEEN(1,16),Subject!$B:$B,0),3)</f>
        <v>#N/A</v>
      </c>
      <c r="AG501" s="8" t="str">
        <f t="array" ref="AG501">INDEX(Subject!$A:$I,MATCH(RANDBETWEEN(1,16),Subject!$B:$B,0),3)</f>
        <v>#N/A</v>
      </c>
      <c r="AH501" s="8" t="str">
        <f t="array" ref="AH501">INDEX(Subject!$A:$I,MATCH(RANDBETWEEN(1,16),Subject!$B:$B,0),3)</f>
        <v>#N/A</v>
      </c>
      <c r="AI501" s="8" t="str">
        <f t="array" ref="AI501">INDEX(Subject!$A:$I,MATCH(RANDBETWEEN(1,16),Subject!$B:$B,0),3)</f>
        <v>#N/A</v>
      </c>
      <c r="AJ501" s="8" t="str">
        <f t="array" ref="AJ501">INDEX(Subject!$A:$I,MATCH(RANDBETWEEN(1,16),Subject!$B:$B,0),3)</f>
        <v>#N/A</v>
      </c>
      <c r="AK501" s="8" t="str">
        <f t="array" ref="AK501">INDEX(Subject!$A:$I,MATCH(RANDBETWEEN(1,16),Subject!$B:$B,0),3)</f>
        <v>#N/A</v>
      </c>
      <c r="AL501" s="8" t="str">
        <f t="array" ref="AL501">INDEX(Subject!$A:$I,MATCH(RANDBETWEEN(1,16),Subject!$B:$B,0),3)</f>
        <v>#N/A</v>
      </c>
      <c r="AM501" s="18">
        <f t="shared" si="4"/>
        <v>46001.33333</v>
      </c>
      <c r="AN501" s="19">
        <f t="shared" ref="AN501:BZ501" si="501">$A501+C$1</f>
        <v>46001.35417</v>
      </c>
      <c r="AO501" s="19">
        <f t="shared" si="501"/>
        <v>46001.375</v>
      </c>
      <c r="AP501" s="19">
        <f t="shared" si="501"/>
        <v>46001.39583</v>
      </c>
      <c r="AQ501" s="19">
        <f t="shared" si="501"/>
        <v>46001.41667</v>
      </c>
      <c r="AR501" s="19">
        <f t="shared" si="501"/>
        <v>46001.4375</v>
      </c>
      <c r="AS501" s="19">
        <f t="shared" si="501"/>
        <v>46001.45833</v>
      </c>
      <c r="AT501" s="19">
        <f t="shared" si="501"/>
        <v>46001.47917</v>
      </c>
      <c r="AU501" s="19">
        <f t="shared" si="501"/>
        <v>46001.5</v>
      </c>
      <c r="AV501" s="19">
        <f t="shared" si="501"/>
        <v>46001.52083</v>
      </c>
      <c r="AW501" s="19">
        <f t="shared" si="501"/>
        <v>46001.54167</v>
      </c>
      <c r="AX501" s="19">
        <f t="shared" si="501"/>
        <v>46001.5625</v>
      </c>
      <c r="AY501" s="19">
        <f t="shared" si="501"/>
        <v>46001.58333</v>
      </c>
      <c r="AZ501" s="19">
        <f t="shared" si="501"/>
        <v>46001.60417</v>
      </c>
      <c r="BA501" s="19">
        <f t="shared" si="501"/>
        <v>46001.625</v>
      </c>
      <c r="BB501" s="19">
        <f t="shared" si="501"/>
        <v>46001.64583</v>
      </c>
      <c r="BC501" s="19">
        <f t="shared" si="501"/>
        <v>46001.66667</v>
      </c>
      <c r="BD501" s="19">
        <f t="shared" si="501"/>
        <v>46001.6875</v>
      </c>
      <c r="BE501" s="19">
        <f t="shared" si="501"/>
        <v>46001.70833</v>
      </c>
      <c r="BF501" s="19">
        <f t="shared" si="501"/>
        <v>46001.72917</v>
      </c>
      <c r="BG501" s="19">
        <f t="shared" si="501"/>
        <v>46001.75</v>
      </c>
      <c r="BH501" s="19">
        <f t="shared" si="501"/>
        <v>46001.77083</v>
      </c>
      <c r="BI501" s="19">
        <f t="shared" si="501"/>
        <v>46001.79167</v>
      </c>
      <c r="BJ501" s="19">
        <f t="shared" si="501"/>
        <v>46001.8125</v>
      </c>
      <c r="BK501" s="19">
        <f t="shared" si="501"/>
        <v>46001.83333</v>
      </c>
      <c r="BL501" s="19">
        <f t="shared" si="501"/>
        <v>46001.85417</v>
      </c>
      <c r="BM501" s="19">
        <f t="shared" si="501"/>
        <v>46001.875</v>
      </c>
      <c r="BN501" s="19">
        <f t="shared" si="501"/>
        <v>46001.89583</v>
      </c>
      <c r="BO501" s="19">
        <f t="shared" si="501"/>
        <v>46001.91667</v>
      </c>
      <c r="BP501" s="19">
        <f t="shared" si="501"/>
        <v>46001.9375</v>
      </c>
      <c r="BQ501" s="19">
        <f t="shared" si="501"/>
        <v>46001.95833</v>
      </c>
      <c r="BR501" s="19">
        <f t="shared" si="501"/>
        <v>46001.97917</v>
      </c>
      <c r="BS501" s="19">
        <f t="shared" si="501"/>
        <v>46002</v>
      </c>
      <c r="BT501" s="19">
        <f t="shared" si="501"/>
        <v>46002.02083</v>
      </c>
      <c r="BU501" s="19">
        <f t="shared" si="501"/>
        <v>46002.04167</v>
      </c>
      <c r="BV501" s="19">
        <f t="shared" si="501"/>
        <v>46002.0625</v>
      </c>
      <c r="BW501" s="19">
        <f t="shared" si="501"/>
        <v>46002.08333</v>
      </c>
      <c r="BX501" s="19">
        <f t="shared" si="501"/>
        <v>46001</v>
      </c>
      <c r="BY501" s="19">
        <f t="shared" si="501"/>
        <v>46001</v>
      </c>
      <c r="BZ501" s="19">
        <f t="shared" si="501"/>
        <v>46001</v>
      </c>
    </row>
    <row r="502" ht="14.25" customHeight="1">
      <c r="A502" s="17">
        <v>46002.0</v>
      </c>
      <c r="B502" s="2" t="str">
        <f t="array" ref="B502">IF(NOW()&gt;AM502,"",IF(AND((WEEKDAY($A502)+$B$2)&gt;1,((WEEKDAY($A502)+$T$2)&lt;7),(WEEKDAY($A502)&lt;&gt;1)),"work",(INDEX(Subject!$A:$I,MATCH(RANDBETWEEN(1,(MAX(Subject!$B:$B))),Subject!$B:$B,0),3))))</f>
        <v/>
      </c>
      <c r="C502" s="2" t="str">
        <f t="array" ref="C502">IF(NOW()&gt;AN502,"",IF(AND((WEEKDAY($A502)+$B$2)&gt;1,((WEEKDAY($A502)+$T$2)&lt;7),(WEEKDAY($A502)&lt;&gt;1)),"work",(INDEX(Subject!$A:$I,MATCH(RANDBETWEEN(1,(MAX(Subject!$B:$B))),Subject!$B:$B,0),3))))</f>
        <v/>
      </c>
      <c r="D502" s="2" t="str">
        <f t="array" ref="D502">IF(NOW()&gt;AO502,"",IF(AND((WEEKDAY($A502)+$B$2)&gt;1,((WEEKDAY($A502)+$T$2)&lt;7),(WEEKDAY($A502)&lt;&gt;1)),"work",(INDEX(Subject!$A:$I,MATCH(RANDBETWEEN(1,(MAX(Subject!$B:$B))),Subject!$B:$B,0),3))))</f>
        <v/>
      </c>
      <c r="E502" s="2" t="str">
        <f t="array" ref="E502">IF(NOW()&gt;AP502,"",IF(AND((WEEKDAY($A502)+$B$2)&gt;1,((WEEKDAY($A502)+$T$2)&lt;7),(WEEKDAY($A502)&lt;&gt;1)),"work",(INDEX(Subject!$A:$I,MATCH(RANDBETWEEN(1,(MAX(Subject!$B:$B))),Subject!$B:$B,0),3))))</f>
        <v/>
      </c>
      <c r="F502" s="2" t="str">
        <f t="array" ref="F502">IF(NOW()&gt;AQ502,"",IF(AND((WEEKDAY($A502)+$B$2)&gt;1,((WEEKDAY($A502)+$T$2)&lt;7),(WEEKDAY($A502)&lt;&gt;1)),"work",(INDEX(Subject!$A:$I,MATCH(RANDBETWEEN(1,(MAX(Subject!$B:$B))),Subject!$B:$B,0),3))))</f>
        <v/>
      </c>
      <c r="G502" s="2" t="str">
        <f t="array" ref="G502">IF(NOW()&gt;AR502,"",IF(AND((WEEKDAY($A502)+$B$2)&gt;1,((WEEKDAY($A502)+$T$2)&lt;7),(WEEKDAY($A502)&lt;&gt;1)),"work",(INDEX(Subject!$A:$I,MATCH(RANDBETWEEN(1,(MAX(Subject!$B:$B))),Subject!$B:$B,0),3))))</f>
        <v/>
      </c>
      <c r="H502" s="2" t="str">
        <f t="array" ref="H502">IF(NOW()&gt;AS502,"",IF(AND((WEEKDAY($A502)+$B$2)&gt;1,((WEEKDAY($A502)+$T$2)&lt;7),(WEEKDAY($A502)&lt;&gt;1)),"work",(INDEX(Subject!$A:$I,MATCH(RANDBETWEEN(1,(MAX(Subject!$B:$B))),Subject!$B:$B,0),3))))</f>
        <v/>
      </c>
      <c r="I502" s="2" t="str">
        <f t="array" ref="I502">IF(NOW()&gt;AT502,"",IF(AND((WEEKDAY($A502)+$B$2)&gt;1,((WEEKDAY($A502)+$T$2)&lt;7),(WEEKDAY($A502)&lt;&gt;1)),"work",(INDEX(Subject!$A:$I,MATCH(RANDBETWEEN(1,(MAX(Subject!$B:$B))),Subject!$B:$B,0),3))))</f>
        <v/>
      </c>
      <c r="J502" s="2" t="str">
        <f t="array" ref="J502">IF(NOW()&gt;AU502,"",IF(AND((WEEKDAY($A502)+$B$2)&gt;1,((WEEKDAY($A502)+$T$2)&lt;7),(WEEKDAY($A502)&lt;&gt;1)),"work",(INDEX(Subject!$A:$I,MATCH(RANDBETWEEN(1,(MAX(Subject!$B:$B))),Subject!$B:$B,0),3))))</f>
        <v/>
      </c>
      <c r="K502" s="2" t="str">
        <f t="array" ref="K502">IF(NOW()&gt;AV502,"",IF(AND((WEEKDAY($A502)+$B$2)&gt;1,((WEEKDAY($A502)+$T$2)&lt;7),(WEEKDAY($A502)&lt;&gt;1)),"work",(INDEX(Subject!$A:$I,MATCH(RANDBETWEEN(1,(MAX(Subject!$B:$B))),Subject!$B:$B,0),3))))</f>
        <v/>
      </c>
      <c r="L502" s="2" t="str">
        <f t="array" ref="L502">IF(NOW()&gt;AW502,"",IF(AND((WEEKDAY($A502)+$B$2)&gt;1,((WEEKDAY($A502)+$T$2)&lt;7),(WEEKDAY($A502)&lt;&gt;1)),"work",(INDEX(Subject!$A:$I,MATCH(RANDBETWEEN(1,(MAX(Subject!$B:$B))),Subject!$B:$B,0),3))))</f>
        <v/>
      </c>
      <c r="M502" s="2" t="str">
        <f t="array" ref="M502">IF(NOW()&gt;AX502,"",IF(AND((WEEKDAY($A502)+$B$2)&gt;1,((WEEKDAY($A502)+$T$2)&lt;7),(WEEKDAY($A502)&lt;&gt;1)),"work",(INDEX(Subject!$A:$I,MATCH(RANDBETWEEN(1,(MAX(Subject!$B:$B))),Subject!$B:$B,0),3))))</f>
        <v/>
      </c>
      <c r="N502" s="2" t="str">
        <f t="array" ref="N502">IF(NOW()&gt;AY502,"",IF(AND((WEEKDAY($A502)+$B$2)&gt;1,((WEEKDAY($A502)+$T$2)&lt;7),(WEEKDAY($A502)&lt;&gt;1)),"work",(INDEX(Subject!$A:$I,MATCH(RANDBETWEEN(1,(MAX(Subject!$B:$B))),Subject!$B:$B,0),3))))</f>
        <v/>
      </c>
      <c r="O502" s="2" t="str">
        <f t="array" ref="O502">IF(NOW()&gt;AZ502,"",IF(AND((WEEKDAY($A502)+$B$2)&gt;1,((WEEKDAY($A502)+$T$2)&lt;7),(WEEKDAY($A502)&lt;&gt;1)),"work",(INDEX(Subject!$A:$I,MATCH(RANDBETWEEN(1,(MAX(Subject!$B:$B))),Subject!$B:$B,0),3))))</f>
        <v/>
      </c>
      <c r="P502" s="2" t="str">
        <f t="array" ref="P502">IF(NOW()&gt;BA502,"",IF(AND((WEEKDAY($A502)+$B$2)&gt;1,((WEEKDAY($A502)+$T$2)&lt;7),(WEEKDAY($A502)&lt;&gt;1)),"work",(INDEX(Subject!$A:$I,MATCH(RANDBETWEEN(1,(MAX(Subject!$B:$B))),Subject!$B:$B,0),3))))</f>
        <v/>
      </c>
      <c r="Q502" s="2" t="str">
        <f t="array" ref="Q502">IF(NOW()&gt;BB502,"",IF(AND((WEEKDAY($A502)+$B$2)&gt;1,((WEEKDAY($A502)+$T$2)&lt;7),(WEEKDAY($A502)&lt;&gt;1)),"work",(INDEX(Subject!$A:$I,MATCH(RANDBETWEEN(1,(MAX(Subject!$B:$B))),Subject!$B:$B,0),3))))</f>
        <v/>
      </c>
      <c r="R502" s="2" t="str">
        <f t="array" ref="R502">IF(NOW()&gt;BC502,"",IF(AND((WEEKDAY($A502)+$B$2)&gt;1,((WEEKDAY($A502)+$T$2)&lt;7),(WEEKDAY($A502)&lt;&gt;1)),"work",(INDEX(Subject!$A:$I,MATCH(RANDBETWEEN(1,(MAX(Subject!$B:$B))),Subject!$B:$B,0),3))))</f>
        <v/>
      </c>
      <c r="S502" s="2" t="str">
        <f t="array" ref="S502">IF(NOW()&gt;BD502,"",IF(AND((WEEKDAY($A502)+$B$2)&gt;1,((WEEKDAY($A502)+$T$2)&lt;7),(WEEKDAY($A502)&lt;&gt;1)),"work",(INDEX(Subject!$A:$I,MATCH(RANDBETWEEN(1,(MAX(Subject!$B:$B))),Subject!$B:$B,0),3))))</f>
        <v/>
      </c>
      <c r="T502" s="2" t="str">
        <f t="array" ref="T502">IF(NOW()&gt;BE502,"",IF(AND((WEEKDAY($A502)+$B$2)&gt;1,((WEEKDAY($A502)+$T$2)&lt;7),(WEEKDAY($A502)&lt;&gt;1)),"work",(INDEX(Subject!$A:$I,MATCH(RANDBETWEEN(1,(MAX(Subject!$B:$B))),Subject!$B:$B,0),3))))</f>
        <v/>
      </c>
      <c r="U502" s="8" t="str">
        <f t="array" ref="U502">INDEX(Subject!$A:$I,MATCH(RANDBETWEEN(1,16),Subject!$B:$B,0),3)</f>
        <v>#N/A</v>
      </c>
      <c r="V502" s="8" t="str">
        <f t="array" ref="V502">INDEX(Subject!$A:$I,MATCH(RANDBETWEEN(1,16),Subject!$B:$B,0),3)</f>
        <v>#N/A</v>
      </c>
      <c r="W502" s="8" t="str">
        <f t="array" ref="W502">INDEX(Subject!$A:$I,MATCH(RANDBETWEEN(1,16),Subject!$B:$B,0),3)</f>
        <v>#N/A</v>
      </c>
      <c r="X502" s="8" t="str">
        <f t="array" ref="X502">INDEX(Subject!$A:$I,MATCH(RANDBETWEEN(1,16),Subject!$B:$B,0),3)</f>
        <v>#N/A</v>
      </c>
      <c r="Y502" s="8" t="str">
        <f t="array" ref="Y502">INDEX(Subject!$A:$I,MATCH(RANDBETWEEN(1,16),Subject!$B:$B,0),3)</f>
        <v/>
      </c>
      <c r="Z502" s="8" t="str">
        <f t="array" ref="Z502">INDEX(Subject!$A:$I,MATCH(RANDBETWEEN(1,16),Subject!$B:$B,0),3)</f>
        <v>#N/A</v>
      </c>
      <c r="AA502" s="8" t="str">
        <f t="array" ref="AA502">INDEX(Subject!$A:$I,MATCH(RANDBETWEEN(1,16),Subject!$B:$B,0),3)</f>
        <v>#N/A</v>
      </c>
      <c r="AB502" s="8" t="str">
        <f t="array" ref="AB502">INDEX(Subject!$A:$I,MATCH(RANDBETWEEN(1,16),Subject!$B:$B,0),3)</f>
        <v>#N/A</v>
      </c>
      <c r="AC502" s="8" t="str">
        <f t="array" ref="AC502">INDEX(Subject!$A:$I,MATCH(RANDBETWEEN(1,16),Subject!$B:$B,0),3)</f>
        <v>#N/A</v>
      </c>
      <c r="AD502" s="8" t="str">
        <f t="array" ref="AD502">INDEX(Subject!$A:$I,MATCH(RANDBETWEEN(1,16),Subject!$B:$B,0),3)</f>
        <v/>
      </c>
      <c r="AE502" s="8" t="str">
        <f t="array" ref="AE502">INDEX(Subject!$A:$I,MATCH(RANDBETWEEN(1,16),Subject!$B:$B,0),3)</f>
        <v/>
      </c>
      <c r="AF502" s="8" t="str">
        <f t="array" ref="AF502">INDEX(Subject!$A:$I,MATCH(RANDBETWEEN(1,16),Subject!$B:$B,0),3)</f>
        <v>#N/A</v>
      </c>
      <c r="AG502" s="8" t="str">
        <f t="array" ref="AG502">INDEX(Subject!$A:$I,MATCH(RANDBETWEEN(1,16),Subject!$B:$B,0),3)</f>
        <v>#N/A</v>
      </c>
      <c r="AH502" s="8" t="str">
        <f t="array" ref="AH502">INDEX(Subject!$A:$I,MATCH(RANDBETWEEN(1,16),Subject!$B:$B,0),3)</f>
        <v>#N/A</v>
      </c>
      <c r="AI502" s="8" t="str">
        <f t="array" ref="AI502">INDEX(Subject!$A:$I,MATCH(RANDBETWEEN(1,16),Subject!$B:$B,0),3)</f>
        <v>#N/A</v>
      </c>
      <c r="AJ502" s="8" t="str">
        <f t="array" ref="AJ502">INDEX(Subject!$A:$I,MATCH(RANDBETWEEN(1,16),Subject!$B:$B,0),3)</f>
        <v>#N/A</v>
      </c>
      <c r="AK502" s="8" t="str">
        <f t="array" ref="AK502">INDEX(Subject!$A:$I,MATCH(RANDBETWEEN(1,16),Subject!$B:$B,0),3)</f>
        <v>#N/A</v>
      </c>
      <c r="AL502" s="8" t="str">
        <f t="array" ref="AL502">INDEX(Subject!$A:$I,MATCH(RANDBETWEEN(1,16),Subject!$B:$B,0),3)</f>
        <v/>
      </c>
      <c r="AM502" s="18">
        <f t="shared" si="4"/>
        <v>46002.33333</v>
      </c>
      <c r="AN502" s="19">
        <f t="shared" ref="AN502:BZ502" si="502">$A502+C$1</f>
        <v>46002.35417</v>
      </c>
      <c r="AO502" s="19">
        <f t="shared" si="502"/>
        <v>46002.375</v>
      </c>
      <c r="AP502" s="19">
        <f t="shared" si="502"/>
        <v>46002.39583</v>
      </c>
      <c r="AQ502" s="19">
        <f t="shared" si="502"/>
        <v>46002.41667</v>
      </c>
      <c r="AR502" s="19">
        <f t="shared" si="502"/>
        <v>46002.4375</v>
      </c>
      <c r="AS502" s="19">
        <f t="shared" si="502"/>
        <v>46002.45833</v>
      </c>
      <c r="AT502" s="19">
        <f t="shared" si="502"/>
        <v>46002.47917</v>
      </c>
      <c r="AU502" s="19">
        <f t="shared" si="502"/>
        <v>46002.5</v>
      </c>
      <c r="AV502" s="19">
        <f t="shared" si="502"/>
        <v>46002.52083</v>
      </c>
      <c r="AW502" s="19">
        <f t="shared" si="502"/>
        <v>46002.54167</v>
      </c>
      <c r="AX502" s="19">
        <f t="shared" si="502"/>
        <v>46002.5625</v>
      </c>
      <c r="AY502" s="19">
        <f t="shared" si="502"/>
        <v>46002.58333</v>
      </c>
      <c r="AZ502" s="19">
        <f t="shared" si="502"/>
        <v>46002.60417</v>
      </c>
      <c r="BA502" s="19">
        <f t="shared" si="502"/>
        <v>46002.625</v>
      </c>
      <c r="BB502" s="19">
        <f t="shared" si="502"/>
        <v>46002.64583</v>
      </c>
      <c r="BC502" s="19">
        <f t="shared" si="502"/>
        <v>46002.66667</v>
      </c>
      <c r="BD502" s="19">
        <f t="shared" si="502"/>
        <v>46002.6875</v>
      </c>
      <c r="BE502" s="19">
        <f t="shared" si="502"/>
        <v>46002.70833</v>
      </c>
      <c r="BF502" s="19">
        <f t="shared" si="502"/>
        <v>46002.72917</v>
      </c>
      <c r="BG502" s="19">
        <f t="shared" si="502"/>
        <v>46002.75</v>
      </c>
      <c r="BH502" s="19">
        <f t="shared" si="502"/>
        <v>46002.77083</v>
      </c>
      <c r="BI502" s="19">
        <f t="shared" si="502"/>
        <v>46002.79167</v>
      </c>
      <c r="BJ502" s="19">
        <f t="shared" si="502"/>
        <v>46002.8125</v>
      </c>
      <c r="BK502" s="19">
        <f t="shared" si="502"/>
        <v>46002.83333</v>
      </c>
      <c r="BL502" s="19">
        <f t="shared" si="502"/>
        <v>46002.85417</v>
      </c>
      <c r="BM502" s="19">
        <f t="shared" si="502"/>
        <v>46002.875</v>
      </c>
      <c r="BN502" s="19">
        <f t="shared" si="502"/>
        <v>46002.89583</v>
      </c>
      <c r="BO502" s="19">
        <f t="shared" si="502"/>
        <v>46002.91667</v>
      </c>
      <c r="BP502" s="19">
        <f t="shared" si="502"/>
        <v>46002.9375</v>
      </c>
      <c r="BQ502" s="19">
        <f t="shared" si="502"/>
        <v>46002.95833</v>
      </c>
      <c r="BR502" s="19">
        <f t="shared" si="502"/>
        <v>46002.97917</v>
      </c>
      <c r="BS502" s="19">
        <f t="shared" si="502"/>
        <v>46003</v>
      </c>
      <c r="BT502" s="19">
        <f t="shared" si="502"/>
        <v>46003.02083</v>
      </c>
      <c r="BU502" s="19">
        <f t="shared" si="502"/>
        <v>46003.04167</v>
      </c>
      <c r="BV502" s="19">
        <f t="shared" si="502"/>
        <v>46003.0625</v>
      </c>
      <c r="BW502" s="19">
        <f t="shared" si="502"/>
        <v>46003.08333</v>
      </c>
      <c r="BX502" s="19">
        <f t="shared" si="502"/>
        <v>46002</v>
      </c>
      <c r="BY502" s="19">
        <f t="shared" si="502"/>
        <v>46002</v>
      </c>
      <c r="BZ502" s="19">
        <f t="shared" si="502"/>
        <v>46002</v>
      </c>
    </row>
    <row r="503" ht="14.25" customHeight="1">
      <c r="A503" s="17">
        <v>46003.0</v>
      </c>
      <c r="B503" s="2" t="str">
        <f t="array" ref="B503">IF(NOW()&gt;AM503,"",IF(AND((WEEKDAY($A503)+$B$2)&gt;1,((WEEKDAY($A503)+$T$2)&lt;7),(WEEKDAY($A503)&lt;&gt;1)),"work",(INDEX(Subject!$A:$I,MATCH(RANDBETWEEN(1,(MAX(Subject!$B:$B))),Subject!$B:$B,0),3))))</f>
        <v/>
      </c>
      <c r="C503" s="2" t="str">
        <f t="array" ref="C503">IF(NOW()&gt;AN503,"",IF(AND((WEEKDAY($A503)+$B$2)&gt;1,((WEEKDAY($A503)+$T$2)&lt;7),(WEEKDAY($A503)&lt;&gt;1)),"work",(INDEX(Subject!$A:$I,MATCH(RANDBETWEEN(1,(MAX(Subject!$B:$B))),Subject!$B:$B,0),3))))</f>
        <v/>
      </c>
      <c r="D503" s="2" t="str">
        <f t="array" ref="D503">IF(NOW()&gt;AO503,"",IF(AND((WEEKDAY($A503)+$B$2)&gt;1,((WEEKDAY($A503)+$T$2)&lt;7),(WEEKDAY($A503)&lt;&gt;1)),"work",(INDEX(Subject!$A:$I,MATCH(RANDBETWEEN(1,(MAX(Subject!$B:$B))),Subject!$B:$B,0),3))))</f>
        <v/>
      </c>
      <c r="E503" s="2" t="str">
        <f t="array" ref="E503">IF(NOW()&gt;AP503,"",IF(AND((WEEKDAY($A503)+$B$2)&gt;1,((WEEKDAY($A503)+$T$2)&lt;7),(WEEKDAY($A503)&lt;&gt;1)),"work",(INDEX(Subject!$A:$I,MATCH(RANDBETWEEN(1,(MAX(Subject!$B:$B))),Subject!$B:$B,0),3))))</f>
        <v/>
      </c>
      <c r="F503" s="2" t="str">
        <f t="array" ref="F503">IF(NOW()&gt;AQ503,"",IF(AND((WEEKDAY($A503)+$B$2)&gt;1,((WEEKDAY($A503)+$T$2)&lt;7),(WEEKDAY($A503)&lt;&gt;1)),"work",(INDEX(Subject!$A:$I,MATCH(RANDBETWEEN(1,(MAX(Subject!$B:$B))),Subject!$B:$B,0),3))))</f>
        <v/>
      </c>
      <c r="G503" s="2" t="str">
        <f t="array" ref="G503">IF(NOW()&gt;AR503,"",IF(AND((WEEKDAY($A503)+$B$2)&gt;1,((WEEKDAY($A503)+$T$2)&lt;7),(WEEKDAY($A503)&lt;&gt;1)),"work",(INDEX(Subject!$A:$I,MATCH(RANDBETWEEN(1,(MAX(Subject!$B:$B))),Subject!$B:$B,0),3))))</f>
        <v/>
      </c>
      <c r="H503" s="2" t="str">
        <f t="array" ref="H503">IF(NOW()&gt;AS503,"",IF(AND((WEEKDAY($A503)+$B$2)&gt;1,((WEEKDAY($A503)+$T$2)&lt;7),(WEEKDAY($A503)&lt;&gt;1)),"work",(INDEX(Subject!$A:$I,MATCH(RANDBETWEEN(1,(MAX(Subject!$B:$B))),Subject!$B:$B,0),3))))</f>
        <v/>
      </c>
      <c r="I503" s="2" t="str">
        <f t="array" ref="I503">IF(NOW()&gt;AT503,"",IF(AND((WEEKDAY($A503)+$B$2)&gt;1,((WEEKDAY($A503)+$T$2)&lt;7),(WEEKDAY($A503)&lt;&gt;1)),"work",(INDEX(Subject!$A:$I,MATCH(RANDBETWEEN(1,(MAX(Subject!$B:$B))),Subject!$B:$B,0),3))))</f>
        <v/>
      </c>
      <c r="J503" s="2" t="str">
        <f t="array" ref="J503">IF(NOW()&gt;AU503,"",IF(AND((WEEKDAY($A503)+$B$2)&gt;1,((WEEKDAY($A503)+$T$2)&lt;7),(WEEKDAY($A503)&lt;&gt;1)),"work",(INDEX(Subject!$A:$I,MATCH(RANDBETWEEN(1,(MAX(Subject!$B:$B))),Subject!$B:$B,0),3))))</f>
        <v/>
      </c>
      <c r="K503" s="2" t="str">
        <f t="array" ref="K503">IF(NOW()&gt;AV503,"",IF(AND((WEEKDAY($A503)+$B$2)&gt;1,((WEEKDAY($A503)+$T$2)&lt;7),(WEEKDAY($A503)&lt;&gt;1)),"work",(INDEX(Subject!$A:$I,MATCH(RANDBETWEEN(1,(MAX(Subject!$B:$B))),Subject!$B:$B,0),3))))</f>
        <v/>
      </c>
      <c r="L503" s="2" t="str">
        <f t="array" ref="L503">IF(NOW()&gt;AW503,"",IF(AND((WEEKDAY($A503)+$B$2)&gt;1,((WEEKDAY($A503)+$T$2)&lt;7),(WEEKDAY($A503)&lt;&gt;1)),"work",(INDEX(Subject!$A:$I,MATCH(RANDBETWEEN(1,(MAX(Subject!$B:$B))),Subject!$B:$B,0),3))))</f>
        <v/>
      </c>
      <c r="M503" s="2" t="str">
        <f t="array" ref="M503">IF(NOW()&gt;AX503,"",IF(AND((WEEKDAY($A503)+$B$2)&gt;1,((WEEKDAY($A503)+$T$2)&lt;7),(WEEKDAY($A503)&lt;&gt;1)),"work",(INDEX(Subject!$A:$I,MATCH(RANDBETWEEN(1,(MAX(Subject!$B:$B))),Subject!$B:$B,0),3))))</f>
        <v/>
      </c>
      <c r="N503" s="2" t="str">
        <f t="array" ref="N503">IF(NOW()&gt;AY503,"",IF(AND((WEEKDAY($A503)+$B$2)&gt;1,((WEEKDAY($A503)+$T$2)&lt;7),(WEEKDAY($A503)&lt;&gt;1)),"work",(INDEX(Subject!$A:$I,MATCH(RANDBETWEEN(1,(MAX(Subject!$B:$B))),Subject!$B:$B,0),3))))</f>
        <v/>
      </c>
      <c r="O503" s="2" t="str">
        <f t="array" ref="O503">IF(NOW()&gt;AZ503,"",IF(AND((WEEKDAY($A503)+$B$2)&gt;1,((WEEKDAY($A503)+$T$2)&lt;7),(WEEKDAY($A503)&lt;&gt;1)),"work",(INDEX(Subject!$A:$I,MATCH(RANDBETWEEN(1,(MAX(Subject!$B:$B))),Subject!$B:$B,0),3))))</f>
        <v/>
      </c>
      <c r="P503" s="2" t="str">
        <f t="array" ref="P503">IF(NOW()&gt;BA503,"",IF(AND((WEEKDAY($A503)+$B$2)&gt;1,((WEEKDAY($A503)+$T$2)&lt;7),(WEEKDAY($A503)&lt;&gt;1)),"work",(INDEX(Subject!$A:$I,MATCH(RANDBETWEEN(1,(MAX(Subject!$B:$B))),Subject!$B:$B,0),3))))</f>
        <v/>
      </c>
      <c r="Q503" s="2" t="str">
        <f t="array" ref="Q503">IF(NOW()&gt;BB503,"",IF(AND((WEEKDAY($A503)+$B$2)&gt;1,((WEEKDAY($A503)+$T$2)&lt;7),(WEEKDAY($A503)&lt;&gt;1)),"work",(INDEX(Subject!$A:$I,MATCH(RANDBETWEEN(1,(MAX(Subject!$B:$B))),Subject!$B:$B,0),3))))</f>
        <v/>
      </c>
      <c r="R503" s="2" t="str">
        <f t="array" ref="R503">IF(NOW()&gt;BC503,"",IF(AND((WEEKDAY($A503)+$B$2)&gt;1,((WEEKDAY($A503)+$T$2)&lt;7),(WEEKDAY($A503)&lt;&gt;1)),"work",(INDEX(Subject!$A:$I,MATCH(RANDBETWEEN(1,(MAX(Subject!$B:$B))),Subject!$B:$B,0),3))))</f>
        <v/>
      </c>
      <c r="S503" s="2" t="str">
        <f t="array" ref="S503">IF(NOW()&gt;BD503,"",IF(AND((WEEKDAY($A503)+$B$2)&gt;1,((WEEKDAY($A503)+$T$2)&lt;7),(WEEKDAY($A503)&lt;&gt;1)),"work",(INDEX(Subject!$A:$I,MATCH(RANDBETWEEN(1,(MAX(Subject!$B:$B))),Subject!$B:$B,0),3))))</f>
        <v/>
      </c>
      <c r="T503" s="2" t="str">
        <f t="array" ref="T503">IF(NOW()&gt;BE503,"",IF(AND((WEEKDAY($A503)+$B$2)&gt;1,((WEEKDAY($A503)+$T$2)&lt;7),(WEEKDAY($A503)&lt;&gt;1)),"work",(INDEX(Subject!$A:$I,MATCH(RANDBETWEEN(1,(MAX(Subject!$B:$B))),Subject!$B:$B,0),3))))</f>
        <v/>
      </c>
      <c r="U503" s="8" t="str">
        <f t="array" ref="U503">INDEX(Subject!$A:$I,MATCH(RANDBETWEEN(1,16),Subject!$B:$B,0),3)</f>
        <v>#N/A</v>
      </c>
      <c r="V503" s="8" t="str">
        <f t="array" ref="V503">INDEX(Subject!$A:$I,MATCH(RANDBETWEEN(1,16),Subject!$B:$B,0),3)</f>
        <v>#N/A</v>
      </c>
      <c r="W503" s="8" t="str">
        <f t="array" ref="W503">INDEX(Subject!$A:$I,MATCH(RANDBETWEEN(1,16),Subject!$B:$B,0),3)</f>
        <v>#N/A</v>
      </c>
      <c r="X503" s="8" t="str">
        <f t="array" ref="X503">INDEX(Subject!$A:$I,MATCH(RANDBETWEEN(1,16),Subject!$B:$B,0),3)</f>
        <v>#N/A</v>
      </c>
      <c r="Y503" s="8" t="str">
        <f t="array" ref="Y503">INDEX(Subject!$A:$I,MATCH(RANDBETWEEN(1,16),Subject!$B:$B,0),3)</f>
        <v>#N/A</v>
      </c>
      <c r="Z503" s="8" t="str">
        <f t="array" ref="Z503">INDEX(Subject!$A:$I,MATCH(RANDBETWEEN(1,16),Subject!$B:$B,0),3)</f>
        <v>#N/A</v>
      </c>
      <c r="AA503" s="8" t="str">
        <f t="array" ref="AA503">INDEX(Subject!$A:$I,MATCH(RANDBETWEEN(1,16),Subject!$B:$B,0),3)</f>
        <v>#N/A</v>
      </c>
      <c r="AB503" s="8" t="str">
        <f t="array" ref="AB503">INDEX(Subject!$A:$I,MATCH(RANDBETWEEN(1,16),Subject!$B:$B,0),3)</f>
        <v>#N/A</v>
      </c>
      <c r="AC503" s="8" t="str">
        <f t="array" ref="AC503">INDEX(Subject!$A:$I,MATCH(RANDBETWEEN(1,16),Subject!$B:$B,0),3)</f>
        <v>#N/A</v>
      </c>
      <c r="AD503" s="8" t="str">
        <f t="array" ref="AD503">INDEX(Subject!$A:$I,MATCH(RANDBETWEEN(1,16),Subject!$B:$B,0),3)</f>
        <v>#N/A</v>
      </c>
      <c r="AE503" s="8" t="str">
        <f t="array" ref="AE503">INDEX(Subject!$A:$I,MATCH(RANDBETWEEN(1,16),Subject!$B:$B,0),3)</f>
        <v>#N/A</v>
      </c>
      <c r="AF503" s="8" t="str">
        <f t="array" ref="AF503">INDEX(Subject!$A:$I,MATCH(RANDBETWEEN(1,16),Subject!$B:$B,0),3)</f>
        <v>#N/A</v>
      </c>
      <c r="AG503" s="8" t="str">
        <f t="array" ref="AG503">INDEX(Subject!$A:$I,MATCH(RANDBETWEEN(1,16),Subject!$B:$B,0),3)</f>
        <v>#N/A</v>
      </c>
      <c r="AH503" s="8" t="str">
        <f t="array" ref="AH503">INDEX(Subject!$A:$I,MATCH(RANDBETWEEN(1,16),Subject!$B:$B,0),3)</f>
        <v>#N/A</v>
      </c>
      <c r="AI503" s="8" t="str">
        <f t="array" ref="AI503">INDEX(Subject!$A:$I,MATCH(RANDBETWEEN(1,16),Subject!$B:$B,0),3)</f>
        <v>#N/A</v>
      </c>
      <c r="AJ503" s="8" t="str">
        <f t="array" ref="AJ503">INDEX(Subject!$A:$I,MATCH(RANDBETWEEN(1,16),Subject!$B:$B,0),3)</f>
        <v>#N/A</v>
      </c>
      <c r="AK503" s="8" t="str">
        <f t="array" ref="AK503">INDEX(Subject!$A:$I,MATCH(RANDBETWEEN(1,16),Subject!$B:$B,0),3)</f>
        <v/>
      </c>
      <c r="AL503" s="8" t="str">
        <f t="array" ref="AL503">INDEX(Subject!$A:$I,MATCH(RANDBETWEEN(1,16),Subject!$B:$B,0),3)</f>
        <v>#N/A</v>
      </c>
      <c r="AM503" s="18">
        <f t="shared" si="4"/>
        <v>46003.33333</v>
      </c>
      <c r="AN503" s="19">
        <f t="shared" ref="AN503:BZ503" si="503">$A503+C$1</f>
        <v>46003.35417</v>
      </c>
      <c r="AO503" s="19">
        <f t="shared" si="503"/>
        <v>46003.375</v>
      </c>
      <c r="AP503" s="19">
        <f t="shared" si="503"/>
        <v>46003.39583</v>
      </c>
      <c r="AQ503" s="19">
        <f t="shared" si="503"/>
        <v>46003.41667</v>
      </c>
      <c r="AR503" s="19">
        <f t="shared" si="503"/>
        <v>46003.4375</v>
      </c>
      <c r="AS503" s="19">
        <f t="shared" si="503"/>
        <v>46003.45833</v>
      </c>
      <c r="AT503" s="19">
        <f t="shared" si="503"/>
        <v>46003.47917</v>
      </c>
      <c r="AU503" s="19">
        <f t="shared" si="503"/>
        <v>46003.5</v>
      </c>
      <c r="AV503" s="19">
        <f t="shared" si="503"/>
        <v>46003.52083</v>
      </c>
      <c r="AW503" s="19">
        <f t="shared" si="503"/>
        <v>46003.54167</v>
      </c>
      <c r="AX503" s="19">
        <f t="shared" si="503"/>
        <v>46003.5625</v>
      </c>
      <c r="AY503" s="19">
        <f t="shared" si="503"/>
        <v>46003.58333</v>
      </c>
      <c r="AZ503" s="19">
        <f t="shared" si="503"/>
        <v>46003.60417</v>
      </c>
      <c r="BA503" s="19">
        <f t="shared" si="503"/>
        <v>46003.625</v>
      </c>
      <c r="BB503" s="19">
        <f t="shared" si="503"/>
        <v>46003.64583</v>
      </c>
      <c r="BC503" s="19">
        <f t="shared" si="503"/>
        <v>46003.66667</v>
      </c>
      <c r="BD503" s="19">
        <f t="shared" si="503"/>
        <v>46003.6875</v>
      </c>
      <c r="BE503" s="19">
        <f t="shared" si="503"/>
        <v>46003.70833</v>
      </c>
      <c r="BF503" s="19">
        <f t="shared" si="503"/>
        <v>46003.72917</v>
      </c>
      <c r="BG503" s="19">
        <f t="shared" si="503"/>
        <v>46003.75</v>
      </c>
      <c r="BH503" s="19">
        <f t="shared" si="503"/>
        <v>46003.77083</v>
      </c>
      <c r="BI503" s="19">
        <f t="shared" si="503"/>
        <v>46003.79167</v>
      </c>
      <c r="BJ503" s="19">
        <f t="shared" si="503"/>
        <v>46003.8125</v>
      </c>
      <c r="BK503" s="19">
        <f t="shared" si="503"/>
        <v>46003.83333</v>
      </c>
      <c r="BL503" s="19">
        <f t="shared" si="503"/>
        <v>46003.85417</v>
      </c>
      <c r="BM503" s="19">
        <f t="shared" si="503"/>
        <v>46003.875</v>
      </c>
      <c r="BN503" s="19">
        <f t="shared" si="503"/>
        <v>46003.89583</v>
      </c>
      <c r="BO503" s="19">
        <f t="shared" si="503"/>
        <v>46003.91667</v>
      </c>
      <c r="BP503" s="19">
        <f t="shared" si="503"/>
        <v>46003.9375</v>
      </c>
      <c r="BQ503" s="19">
        <f t="shared" si="503"/>
        <v>46003.95833</v>
      </c>
      <c r="BR503" s="19">
        <f t="shared" si="503"/>
        <v>46003.97917</v>
      </c>
      <c r="BS503" s="19">
        <f t="shared" si="503"/>
        <v>46004</v>
      </c>
      <c r="BT503" s="19">
        <f t="shared" si="503"/>
        <v>46004.02083</v>
      </c>
      <c r="BU503" s="19">
        <f t="shared" si="503"/>
        <v>46004.04167</v>
      </c>
      <c r="BV503" s="19">
        <f t="shared" si="503"/>
        <v>46004.0625</v>
      </c>
      <c r="BW503" s="19">
        <f t="shared" si="503"/>
        <v>46004.08333</v>
      </c>
      <c r="BX503" s="19">
        <f t="shared" si="503"/>
        <v>46003</v>
      </c>
      <c r="BY503" s="19">
        <f t="shared" si="503"/>
        <v>46003</v>
      </c>
      <c r="BZ503" s="19">
        <f t="shared" si="503"/>
        <v>46003</v>
      </c>
    </row>
    <row r="504" ht="14.25" customHeight="1">
      <c r="A504" s="17">
        <v>46004.0</v>
      </c>
      <c r="B504" s="2" t="str">
        <f t="array" ref="B504">IF(NOW()&gt;AM504,"",IF(AND((WEEKDAY($A504)+$B$2)&gt;1,((WEEKDAY($A504)+$T$2)&lt;7),(WEEKDAY($A504)&lt;&gt;1)),"work",(INDEX(Subject!$A:$I,MATCH(RANDBETWEEN(1,(MAX(Subject!$B:$B))),Subject!$B:$B,0),3))))</f>
        <v/>
      </c>
      <c r="C504" s="2" t="str">
        <f t="array" ref="C504">IF(NOW()&gt;AN504,"",IF(AND((WEEKDAY($A504)+$B$2)&gt;1,((WEEKDAY($A504)+$T$2)&lt;7),(WEEKDAY($A504)&lt;&gt;1)),"work",(INDEX(Subject!$A:$I,MATCH(RANDBETWEEN(1,(MAX(Subject!$B:$B))),Subject!$B:$B,0),3))))</f>
        <v/>
      </c>
      <c r="D504" s="2" t="str">
        <f t="array" ref="D504">IF(NOW()&gt;AO504,"",IF(AND((WEEKDAY($A504)+$B$2)&gt;1,((WEEKDAY($A504)+$T$2)&lt;7),(WEEKDAY($A504)&lt;&gt;1)),"work",(INDEX(Subject!$A:$I,MATCH(RANDBETWEEN(1,(MAX(Subject!$B:$B))),Subject!$B:$B,0),3))))</f>
        <v/>
      </c>
      <c r="E504" s="2" t="str">
        <f t="array" ref="E504">IF(NOW()&gt;AP504,"",IF(AND((WEEKDAY($A504)+$B$2)&gt;1,((WEEKDAY($A504)+$T$2)&lt;7),(WEEKDAY($A504)&lt;&gt;1)),"work",(INDEX(Subject!$A:$I,MATCH(RANDBETWEEN(1,(MAX(Subject!$B:$B))),Subject!$B:$B,0),3))))</f>
        <v/>
      </c>
      <c r="F504" s="2" t="str">
        <f t="array" ref="F504">IF(NOW()&gt;AQ504,"",IF(AND((WEEKDAY($A504)+$B$2)&gt;1,((WEEKDAY($A504)+$T$2)&lt;7),(WEEKDAY($A504)&lt;&gt;1)),"work",(INDEX(Subject!$A:$I,MATCH(RANDBETWEEN(1,(MAX(Subject!$B:$B))),Subject!$B:$B,0),3))))</f>
        <v/>
      </c>
      <c r="G504" s="2" t="str">
        <f t="array" ref="G504">IF(NOW()&gt;AR504,"",IF(AND((WEEKDAY($A504)+$B$2)&gt;1,((WEEKDAY($A504)+$T$2)&lt;7),(WEEKDAY($A504)&lt;&gt;1)),"work",(INDEX(Subject!$A:$I,MATCH(RANDBETWEEN(1,(MAX(Subject!$B:$B))),Subject!$B:$B,0),3))))</f>
        <v/>
      </c>
      <c r="H504" s="2" t="str">
        <f t="array" ref="H504">IF(NOW()&gt;AS504,"",IF(AND((WEEKDAY($A504)+$B$2)&gt;1,((WEEKDAY($A504)+$T$2)&lt;7),(WEEKDAY($A504)&lt;&gt;1)),"work",(INDEX(Subject!$A:$I,MATCH(RANDBETWEEN(1,(MAX(Subject!$B:$B))),Subject!$B:$B,0),3))))</f>
        <v/>
      </c>
      <c r="I504" s="2" t="str">
        <f t="array" ref="I504">IF(NOW()&gt;AT504,"",IF(AND((WEEKDAY($A504)+$B$2)&gt;1,((WEEKDAY($A504)+$T$2)&lt;7),(WEEKDAY($A504)&lt;&gt;1)),"work",(INDEX(Subject!$A:$I,MATCH(RANDBETWEEN(1,(MAX(Subject!$B:$B))),Subject!$B:$B,0),3))))</f>
        <v/>
      </c>
      <c r="J504" s="2" t="str">
        <f t="array" ref="J504">IF(NOW()&gt;AU504,"",IF(AND((WEEKDAY($A504)+$B$2)&gt;1,((WEEKDAY($A504)+$T$2)&lt;7),(WEEKDAY($A504)&lt;&gt;1)),"work",(INDEX(Subject!$A:$I,MATCH(RANDBETWEEN(1,(MAX(Subject!$B:$B))),Subject!$B:$B,0),3))))</f>
        <v/>
      </c>
      <c r="K504" s="2" t="str">
        <f t="array" ref="K504">IF(NOW()&gt;AV504,"",IF(AND((WEEKDAY($A504)+$B$2)&gt;1,((WEEKDAY($A504)+$T$2)&lt;7),(WEEKDAY($A504)&lt;&gt;1)),"work",(INDEX(Subject!$A:$I,MATCH(RANDBETWEEN(1,(MAX(Subject!$B:$B))),Subject!$B:$B,0),3))))</f>
        <v/>
      </c>
      <c r="L504" s="2" t="str">
        <f t="array" ref="L504">IF(NOW()&gt;AW504,"",IF(AND((WEEKDAY($A504)+$B$2)&gt;1,((WEEKDAY($A504)+$T$2)&lt;7),(WEEKDAY($A504)&lt;&gt;1)),"work",(INDEX(Subject!$A:$I,MATCH(RANDBETWEEN(1,(MAX(Subject!$B:$B))),Subject!$B:$B,0),3))))</f>
        <v/>
      </c>
      <c r="M504" s="2" t="str">
        <f t="array" ref="M504">IF(NOW()&gt;AX504,"",IF(AND((WEEKDAY($A504)+$B$2)&gt;1,((WEEKDAY($A504)+$T$2)&lt;7),(WEEKDAY($A504)&lt;&gt;1)),"work",(INDEX(Subject!$A:$I,MATCH(RANDBETWEEN(1,(MAX(Subject!$B:$B))),Subject!$B:$B,0),3))))</f>
        <v/>
      </c>
      <c r="N504" s="2" t="str">
        <f t="array" ref="N504">IF(NOW()&gt;AY504,"",IF(AND((WEEKDAY($A504)+$B$2)&gt;1,((WEEKDAY($A504)+$T$2)&lt;7),(WEEKDAY($A504)&lt;&gt;1)),"work",(INDEX(Subject!$A:$I,MATCH(RANDBETWEEN(1,(MAX(Subject!$B:$B))),Subject!$B:$B,0),3))))</f>
        <v/>
      </c>
      <c r="O504" s="2" t="str">
        <f t="array" ref="O504">IF(NOW()&gt;AZ504,"",IF(AND((WEEKDAY($A504)+$B$2)&gt;1,((WEEKDAY($A504)+$T$2)&lt;7),(WEEKDAY($A504)&lt;&gt;1)),"work",(INDEX(Subject!$A:$I,MATCH(RANDBETWEEN(1,(MAX(Subject!$B:$B))),Subject!$B:$B,0),3))))</f>
        <v/>
      </c>
      <c r="P504" s="2" t="str">
        <f t="array" ref="P504">IF(NOW()&gt;BA504,"",IF(AND((WEEKDAY($A504)+$B$2)&gt;1,((WEEKDAY($A504)+$T$2)&lt;7),(WEEKDAY($A504)&lt;&gt;1)),"work",(INDEX(Subject!$A:$I,MATCH(RANDBETWEEN(1,(MAX(Subject!$B:$B))),Subject!$B:$B,0),3))))</f>
        <v/>
      </c>
      <c r="Q504" s="2" t="str">
        <f t="array" ref="Q504">IF(NOW()&gt;BB504,"",IF(AND((WEEKDAY($A504)+$B$2)&gt;1,((WEEKDAY($A504)+$T$2)&lt;7),(WEEKDAY($A504)&lt;&gt;1)),"work",(INDEX(Subject!$A:$I,MATCH(RANDBETWEEN(1,(MAX(Subject!$B:$B))),Subject!$B:$B,0),3))))</f>
        <v/>
      </c>
      <c r="R504" s="2" t="str">
        <f t="array" ref="R504">IF(NOW()&gt;BC504,"",IF(AND((WEEKDAY($A504)+$B$2)&gt;1,((WEEKDAY($A504)+$T$2)&lt;7),(WEEKDAY($A504)&lt;&gt;1)),"work",(INDEX(Subject!$A:$I,MATCH(RANDBETWEEN(1,(MAX(Subject!$B:$B))),Subject!$B:$B,0),3))))</f>
        <v/>
      </c>
      <c r="S504" s="2" t="str">
        <f t="array" ref="S504">IF(NOW()&gt;BD504,"",IF(AND((WEEKDAY($A504)+$B$2)&gt;1,((WEEKDAY($A504)+$T$2)&lt;7),(WEEKDAY($A504)&lt;&gt;1)),"work",(INDEX(Subject!$A:$I,MATCH(RANDBETWEEN(1,(MAX(Subject!$B:$B))),Subject!$B:$B,0),3))))</f>
        <v/>
      </c>
      <c r="T504" s="2" t="str">
        <f t="array" ref="T504">IF(NOW()&gt;BE504,"",IF(AND((WEEKDAY($A504)+$B$2)&gt;1,((WEEKDAY($A504)+$T$2)&lt;7),(WEEKDAY($A504)&lt;&gt;1)),"work",(INDEX(Subject!$A:$I,MATCH(RANDBETWEEN(1,(MAX(Subject!$B:$B))),Subject!$B:$B,0),3))))</f>
        <v/>
      </c>
      <c r="U504" s="8" t="str">
        <f t="array" ref="U504">INDEX(Subject!$A:$I,MATCH(RANDBETWEEN(1,16),Subject!$B:$B,0),3)</f>
        <v>#N/A</v>
      </c>
      <c r="V504" s="8" t="str">
        <f t="array" ref="V504">INDEX(Subject!$A:$I,MATCH(RANDBETWEEN(1,16),Subject!$B:$B,0),3)</f>
        <v>#N/A</v>
      </c>
      <c r="W504" s="8" t="str">
        <f t="array" ref="W504">INDEX(Subject!$A:$I,MATCH(RANDBETWEEN(1,16),Subject!$B:$B,0),3)</f>
        <v>#N/A</v>
      </c>
      <c r="X504" s="8" t="str">
        <f t="array" ref="X504">INDEX(Subject!$A:$I,MATCH(RANDBETWEEN(1,16),Subject!$B:$B,0),3)</f>
        <v>#N/A</v>
      </c>
      <c r="Y504" s="8" t="str">
        <f t="array" ref="Y504">INDEX(Subject!$A:$I,MATCH(RANDBETWEEN(1,16),Subject!$B:$B,0),3)</f>
        <v>#N/A</v>
      </c>
      <c r="Z504" s="8" t="str">
        <f t="array" ref="Z504">INDEX(Subject!$A:$I,MATCH(RANDBETWEEN(1,16),Subject!$B:$B,0),3)</f>
        <v>#N/A</v>
      </c>
      <c r="AA504" s="8" t="str">
        <f t="array" ref="AA504">INDEX(Subject!$A:$I,MATCH(RANDBETWEEN(1,16),Subject!$B:$B,0),3)</f>
        <v>#N/A</v>
      </c>
      <c r="AB504" s="8" t="str">
        <f t="array" ref="AB504">INDEX(Subject!$A:$I,MATCH(RANDBETWEEN(1,16),Subject!$B:$B,0),3)</f>
        <v>#N/A</v>
      </c>
      <c r="AC504" s="8" t="str">
        <f t="array" ref="AC504">INDEX(Subject!$A:$I,MATCH(RANDBETWEEN(1,16),Subject!$B:$B,0),3)</f>
        <v>#N/A</v>
      </c>
      <c r="AD504" s="8" t="str">
        <f t="array" ref="AD504">INDEX(Subject!$A:$I,MATCH(RANDBETWEEN(1,16),Subject!$B:$B,0),3)</f>
        <v>#N/A</v>
      </c>
      <c r="AE504" s="8" t="str">
        <f t="array" ref="AE504">INDEX(Subject!$A:$I,MATCH(RANDBETWEEN(1,16),Subject!$B:$B,0),3)</f>
        <v>#N/A</v>
      </c>
      <c r="AF504" s="8" t="str">
        <f t="array" ref="AF504">INDEX(Subject!$A:$I,MATCH(RANDBETWEEN(1,16),Subject!$B:$B,0),3)</f>
        <v>#N/A</v>
      </c>
      <c r="AG504" s="8" t="str">
        <f t="array" ref="AG504">INDEX(Subject!$A:$I,MATCH(RANDBETWEEN(1,16),Subject!$B:$B,0),3)</f>
        <v>#N/A</v>
      </c>
      <c r="AH504" s="8" t="str">
        <f t="array" ref="AH504">INDEX(Subject!$A:$I,MATCH(RANDBETWEEN(1,16),Subject!$B:$B,0),3)</f>
        <v>#N/A</v>
      </c>
      <c r="AI504" s="8" t="str">
        <f t="array" ref="AI504">INDEX(Subject!$A:$I,MATCH(RANDBETWEEN(1,16),Subject!$B:$B,0),3)</f>
        <v>#N/A</v>
      </c>
      <c r="AJ504" s="8" t="str">
        <f t="array" ref="AJ504">INDEX(Subject!$A:$I,MATCH(RANDBETWEEN(1,16),Subject!$B:$B,0),3)</f>
        <v>#N/A</v>
      </c>
      <c r="AK504" s="8" t="str">
        <f t="array" ref="AK504">INDEX(Subject!$A:$I,MATCH(RANDBETWEEN(1,16),Subject!$B:$B,0),3)</f>
        <v>#N/A</v>
      </c>
      <c r="AL504" s="8" t="str">
        <f t="array" ref="AL504">INDEX(Subject!$A:$I,MATCH(RANDBETWEEN(1,16),Subject!$B:$B,0),3)</f>
        <v/>
      </c>
      <c r="AM504" s="18">
        <f t="shared" si="4"/>
        <v>46004.33333</v>
      </c>
      <c r="AN504" s="19">
        <f t="shared" ref="AN504:BZ504" si="504">$A504+C$1</f>
        <v>46004.35417</v>
      </c>
      <c r="AO504" s="19">
        <f t="shared" si="504"/>
        <v>46004.375</v>
      </c>
      <c r="AP504" s="19">
        <f t="shared" si="504"/>
        <v>46004.39583</v>
      </c>
      <c r="AQ504" s="19">
        <f t="shared" si="504"/>
        <v>46004.41667</v>
      </c>
      <c r="AR504" s="19">
        <f t="shared" si="504"/>
        <v>46004.4375</v>
      </c>
      <c r="AS504" s="19">
        <f t="shared" si="504"/>
        <v>46004.45833</v>
      </c>
      <c r="AT504" s="19">
        <f t="shared" si="504"/>
        <v>46004.47917</v>
      </c>
      <c r="AU504" s="19">
        <f t="shared" si="504"/>
        <v>46004.5</v>
      </c>
      <c r="AV504" s="19">
        <f t="shared" si="504"/>
        <v>46004.52083</v>
      </c>
      <c r="AW504" s="19">
        <f t="shared" si="504"/>
        <v>46004.54167</v>
      </c>
      <c r="AX504" s="19">
        <f t="shared" si="504"/>
        <v>46004.5625</v>
      </c>
      <c r="AY504" s="19">
        <f t="shared" si="504"/>
        <v>46004.58333</v>
      </c>
      <c r="AZ504" s="19">
        <f t="shared" si="504"/>
        <v>46004.60417</v>
      </c>
      <c r="BA504" s="19">
        <f t="shared" si="504"/>
        <v>46004.625</v>
      </c>
      <c r="BB504" s="19">
        <f t="shared" si="504"/>
        <v>46004.64583</v>
      </c>
      <c r="BC504" s="19">
        <f t="shared" si="504"/>
        <v>46004.66667</v>
      </c>
      <c r="BD504" s="19">
        <f t="shared" si="504"/>
        <v>46004.6875</v>
      </c>
      <c r="BE504" s="19">
        <f t="shared" si="504"/>
        <v>46004.70833</v>
      </c>
      <c r="BF504" s="19">
        <f t="shared" si="504"/>
        <v>46004.72917</v>
      </c>
      <c r="BG504" s="19">
        <f t="shared" si="504"/>
        <v>46004.75</v>
      </c>
      <c r="BH504" s="19">
        <f t="shared" si="504"/>
        <v>46004.77083</v>
      </c>
      <c r="BI504" s="19">
        <f t="shared" si="504"/>
        <v>46004.79167</v>
      </c>
      <c r="BJ504" s="19">
        <f t="shared" si="504"/>
        <v>46004.8125</v>
      </c>
      <c r="BK504" s="19">
        <f t="shared" si="504"/>
        <v>46004.83333</v>
      </c>
      <c r="BL504" s="19">
        <f t="shared" si="504"/>
        <v>46004.85417</v>
      </c>
      <c r="BM504" s="19">
        <f t="shared" si="504"/>
        <v>46004.875</v>
      </c>
      <c r="BN504" s="19">
        <f t="shared" si="504"/>
        <v>46004.89583</v>
      </c>
      <c r="BO504" s="19">
        <f t="shared" si="504"/>
        <v>46004.91667</v>
      </c>
      <c r="BP504" s="19">
        <f t="shared" si="504"/>
        <v>46004.9375</v>
      </c>
      <c r="BQ504" s="19">
        <f t="shared" si="504"/>
        <v>46004.95833</v>
      </c>
      <c r="BR504" s="19">
        <f t="shared" si="504"/>
        <v>46004.97917</v>
      </c>
      <c r="BS504" s="19">
        <f t="shared" si="504"/>
        <v>46005</v>
      </c>
      <c r="BT504" s="19">
        <f t="shared" si="504"/>
        <v>46005.02083</v>
      </c>
      <c r="BU504" s="19">
        <f t="shared" si="504"/>
        <v>46005.04167</v>
      </c>
      <c r="BV504" s="19">
        <f t="shared" si="504"/>
        <v>46005.0625</v>
      </c>
      <c r="BW504" s="19">
        <f t="shared" si="504"/>
        <v>46005.08333</v>
      </c>
      <c r="BX504" s="19">
        <f t="shared" si="504"/>
        <v>46004</v>
      </c>
      <c r="BY504" s="19">
        <f t="shared" si="504"/>
        <v>46004</v>
      </c>
      <c r="BZ504" s="19">
        <f t="shared" si="504"/>
        <v>46004</v>
      </c>
    </row>
    <row r="505" ht="14.25" customHeight="1">
      <c r="A505" s="17">
        <v>46005.0</v>
      </c>
      <c r="B505" s="2" t="str">
        <f t="array" ref="B505">IF(NOW()&gt;AM505,"",IF(AND((WEEKDAY($A505)+$B$2)&gt;1,((WEEKDAY($A505)+$T$2)&lt;7),(WEEKDAY($A505)&lt;&gt;1)),"work",(INDEX(Subject!$A:$I,MATCH(RANDBETWEEN(1,(MAX(Subject!$B:$B))),Subject!$B:$B,0),3))))</f>
        <v/>
      </c>
      <c r="C505" s="2" t="str">
        <f t="array" ref="C505">IF(NOW()&gt;AN505,"",IF(AND((WEEKDAY($A505)+$B$2)&gt;1,((WEEKDAY($A505)+$T$2)&lt;7),(WEEKDAY($A505)&lt;&gt;1)),"work",(INDEX(Subject!$A:$I,MATCH(RANDBETWEEN(1,(MAX(Subject!$B:$B))),Subject!$B:$B,0),3))))</f>
        <v/>
      </c>
      <c r="D505" s="2" t="str">
        <f t="array" ref="D505">IF(NOW()&gt;AO505,"",IF(AND((WEEKDAY($A505)+$B$2)&gt;1,((WEEKDAY($A505)+$T$2)&lt;7),(WEEKDAY($A505)&lt;&gt;1)),"work",(INDEX(Subject!$A:$I,MATCH(RANDBETWEEN(1,(MAX(Subject!$B:$B))),Subject!$B:$B,0),3))))</f>
        <v/>
      </c>
      <c r="E505" s="2" t="str">
        <f t="array" ref="E505">IF(NOW()&gt;AP505,"",IF(AND((WEEKDAY($A505)+$B$2)&gt;1,((WEEKDAY($A505)+$T$2)&lt;7),(WEEKDAY($A505)&lt;&gt;1)),"work",(INDEX(Subject!$A:$I,MATCH(RANDBETWEEN(1,(MAX(Subject!$B:$B))),Subject!$B:$B,0),3))))</f>
        <v/>
      </c>
      <c r="F505" s="2" t="str">
        <f t="array" ref="F505">IF(NOW()&gt;AQ505,"",IF(AND((WEEKDAY($A505)+$B$2)&gt;1,((WEEKDAY($A505)+$T$2)&lt;7),(WEEKDAY($A505)&lt;&gt;1)),"work",(INDEX(Subject!$A:$I,MATCH(RANDBETWEEN(1,(MAX(Subject!$B:$B))),Subject!$B:$B,0),3))))</f>
        <v/>
      </c>
      <c r="G505" s="2" t="str">
        <f t="array" ref="G505">IF(NOW()&gt;AR505,"",IF(AND((WEEKDAY($A505)+$B$2)&gt;1,((WEEKDAY($A505)+$T$2)&lt;7),(WEEKDAY($A505)&lt;&gt;1)),"work",(INDEX(Subject!$A:$I,MATCH(RANDBETWEEN(1,(MAX(Subject!$B:$B))),Subject!$B:$B,0),3))))</f>
        <v/>
      </c>
      <c r="H505" s="2" t="str">
        <f t="array" ref="H505">IF(NOW()&gt;AS505,"",IF(AND((WEEKDAY($A505)+$B$2)&gt;1,((WEEKDAY($A505)+$T$2)&lt;7),(WEEKDAY($A505)&lt;&gt;1)),"work",(INDEX(Subject!$A:$I,MATCH(RANDBETWEEN(1,(MAX(Subject!$B:$B))),Subject!$B:$B,0),3))))</f>
        <v/>
      </c>
      <c r="I505" s="2" t="str">
        <f t="array" ref="I505">IF(NOW()&gt;AT505,"",IF(AND((WEEKDAY($A505)+$B$2)&gt;1,((WEEKDAY($A505)+$T$2)&lt;7),(WEEKDAY($A505)&lt;&gt;1)),"work",(INDEX(Subject!$A:$I,MATCH(RANDBETWEEN(1,(MAX(Subject!$B:$B))),Subject!$B:$B,0),3))))</f>
        <v/>
      </c>
      <c r="J505" s="2" t="str">
        <f t="array" ref="J505">IF(NOW()&gt;AU505,"",IF(AND((WEEKDAY($A505)+$B$2)&gt;1,((WEEKDAY($A505)+$T$2)&lt;7),(WEEKDAY($A505)&lt;&gt;1)),"work",(INDEX(Subject!$A:$I,MATCH(RANDBETWEEN(1,(MAX(Subject!$B:$B))),Subject!$B:$B,0),3))))</f>
        <v/>
      </c>
      <c r="K505" s="2" t="str">
        <f t="array" ref="K505">IF(NOW()&gt;AV505,"",IF(AND((WEEKDAY($A505)+$B$2)&gt;1,((WEEKDAY($A505)+$T$2)&lt;7),(WEEKDAY($A505)&lt;&gt;1)),"work",(INDEX(Subject!$A:$I,MATCH(RANDBETWEEN(1,(MAX(Subject!$B:$B))),Subject!$B:$B,0),3))))</f>
        <v/>
      </c>
      <c r="L505" s="2" t="str">
        <f t="array" ref="L505">IF(NOW()&gt;AW505,"",IF(AND((WEEKDAY($A505)+$B$2)&gt;1,((WEEKDAY($A505)+$T$2)&lt;7),(WEEKDAY($A505)&lt;&gt;1)),"work",(INDEX(Subject!$A:$I,MATCH(RANDBETWEEN(1,(MAX(Subject!$B:$B))),Subject!$B:$B,0),3))))</f>
        <v/>
      </c>
      <c r="M505" s="2" t="str">
        <f t="array" ref="M505">IF(NOW()&gt;AX505,"",IF(AND((WEEKDAY($A505)+$B$2)&gt;1,((WEEKDAY($A505)+$T$2)&lt;7),(WEEKDAY($A505)&lt;&gt;1)),"work",(INDEX(Subject!$A:$I,MATCH(RANDBETWEEN(1,(MAX(Subject!$B:$B))),Subject!$B:$B,0),3))))</f>
        <v/>
      </c>
      <c r="N505" s="2" t="str">
        <f t="array" ref="N505">IF(NOW()&gt;AY505,"",IF(AND((WEEKDAY($A505)+$B$2)&gt;1,((WEEKDAY($A505)+$T$2)&lt;7),(WEEKDAY($A505)&lt;&gt;1)),"work",(INDEX(Subject!$A:$I,MATCH(RANDBETWEEN(1,(MAX(Subject!$B:$B))),Subject!$B:$B,0),3))))</f>
        <v/>
      </c>
      <c r="O505" s="2" t="str">
        <f t="array" ref="O505">IF(NOW()&gt;AZ505,"",IF(AND((WEEKDAY($A505)+$B$2)&gt;1,((WEEKDAY($A505)+$T$2)&lt;7),(WEEKDAY($A505)&lt;&gt;1)),"work",(INDEX(Subject!$A:$I,MATCH(RANDBETWEEN(1,(MAX(Subject!$B:$B))),Subject!$B:$B,0),3))))</f>
        <v/>
      </c>
      <c r="P505" s="2" t="str">
        <f t="array" ref="P505">IF(NOW()&gt;BA505,"",IF(AND((WEEKDAY($A505)+$B$2)&gt;1,((WEEKDAY($A505)+$T$2)&lt;7),(WEEKDAY($A505)&lt;&gt;1)),"work",(INDEX(Subject!$A:$I,MATCH(RANDBETWEEN(1,(MAX(Subject!$B:$B))),Subject!$B:$B,0),3))))</f>
        <v/>
      </c>
      <c r="Q505" s="2" t="str">
        <f t="array" ref="Q505">IF(NOW()&gt;BB505,"",IF(AND((WEEKDAY($A505)+$B$2)&gt;1,((WEEKDAY($A505)+$T$2)&lt;7),(WEEKDAY($A505)&lt;&gt;1)),"work",(INDEX(Subject!$A:$I,MATCH(RANDBETWEEN(1,(MAX(Subject!$B:$B))),Subject!$B:$B,0),3))))</f>
        <v/>
      </c>
      <c r="R505" s="2" t="str">
        <f t="array" ref="R505">IF(NOW()&gt;BC505,"",IF(AND((WEEKDAY($A505)+$B$2)&gt;1,((WEEKDAY($A505)+$T$2)&lt;7),(WEEKDAY($A505)&lt;&gt;1)),"work",(INDEX(Subject!$A:$I,MATCH(RANDBETWEEN(1,(MAX(Subject!$B:$B))),Subject!$B:$B,0),3))))</f>
        <v/>
      </c>
      <c r="S505" s="2" t="str">
        <f t="array" ref="S505">IF(NOW()&gt;BD505,"",IF(AND((WEEKDAY($A505)+$B$2)&gt;1,((WEEKDAY($A505)+$T$2)&lt;7),(WEEKDAY($A505)&lt;&gt;1)),"work",(INDEX(Subject!$A:$I,MATCH(RANDBETWEEN(1,(MAX(Subject!$B:$B))),Subject!$B:$B,0),3))))</f>
        <v/>
      </c>
      <c r="T505" s="2" t="str">
        <f t="array" ref="T505">IF(NOW()&gt;BE505,"",IF(AND((WEEKDAY($A505)+$B$2)&gt;1,((WEEKDAY($A505)+$T$2)&lt;7),(WEEKDAY($A505)&lt;&gt;1)),"work",(INDEX(Subject!$A:$I,MATCH(RANDBETWEEN(1,(MAX(Subject!$B:$B))),Subject!$B:$B,0),3))))</f>
        <v/>
      </c>
      <c r="U505" s="8" t="str">
        <f t="array" ref="U505">INDEX(Subject!$A:$I,MATCH(RANDBETWEEN(1,16),Subject!$B:$B,0),3)</f>
        <v>#N/A</v>
      </c>
      <c r="V505" s="8" t="str">
        <f t="array" ref="V505">INDEX(Subject!$A:$I,MATCH(RANDBETWEEN(1,16),Subject!$B:$B,0),3)</f>
        <v>#N/A</v>
      </c>
      <c r="W505" s="8" t="str">
        <f t="array" ref="W505">INDEX(Subject!$A:$I,MATCH(RANDBETWEEN(1,16),Subject!$B:$B,0),3)</f>
        <v/>
      </c>
      <c r="X505" s="8" t="str">
        <f t="array" ref="X505">INDEX(Subject!$A:$I,MATCH(RANDBETWEEN(1,16),Subject!$B:$B,0),3)</f>
        <v>#N/A</v>
      </c>
      <c r="Y505" s="8" t="str">
        <f t="array" ref="Y505">INDEX(Subject!$A:$I,MATCH(RANDBETWEEN(1,16),Subject!$B:$B,0),3)</f>
        <v>#N/A</v>
      </c>
      <c r="Z505" s="8" t="str">
        <f t="array" ref="Z505">INDEX(Subject!$A:$I,MATCH(RANDBETWEEN(1,16),Subject!$B:$B,0),3)</f>
        <v/>
      </c>
      <c r="AA505" s="8" t="str">
        <f t="array" ref="AA505">INDEX(Subject!$A:$I,MATCH(RANDBETWEEN(1,16),Subject!$B:$B,0),3)</f>
        <v/>
      </c>
      <c r="AB505" s="8" t="str">
        <f t="array" ref="AB505">INDEX(Subject!$A:$I,MATCH(RANDBETWEEN(1,16),Subject!$B:$B,0),3)</f>
        <v>#N/A</v>
      </c>
      <c r="AC505" s="8" t="str">
        <f t="array" ref="AC505">INDEX(Subject!$A:$I,MATCH(RANDBETWEEN(1,16),Subject!$B:$B,0),3)</f>
        <v>#N/A</v>
      </c>
      <c r="AD505" s="8" t="str">
        <f t="array" ref="AD505">INDEX(Subject!$A:$I,MATCH(RANDBETWEEN(1,16),Subject!$B:$B,0),3)</f>
        <v>#N/A</v>
      </c>
      <c r="AE505" s="8" t="str">
        <f t="array" ref="AE505">INDEX(Subject!$A:$I,MATCH(RANDBETWEEN(1,16),Subject!$B:$B,0),3)</f>
        <v>#N/A</v>
      </c>
      <c r="AF505" s="8" t="str">
        <f t="array" ref="AF505">INDEX(Subject!$A:$I,MATCH(RANDBETWEEN(1,16),Subject!$B:$B,0),3)</f>
        <v>#N/A</v>
      </c>
      <c r="AG505" s="8" t="str">
        <f t="array" ref="AG505">INDEX(Subject!$A:$I,MATCH(RANDBETWEEN(1,16),Subject!$B:$B,0),3)</f>
        <v>#N/A</v>
      </c>
      <c r="AH505" s="8" t="str">
        <f t="array" ref="AH505">INDEX(Subject!$A:$I,MATCH(RANDBETWEEN(1,16),Subject!$B:$B,0),3)</f>
        <v>#N/A</v>
      </c>
      <c r="AI505" s="8" t="str">
        <f t="array" ref="AI505">INDEX(Subject!$A:$I,MATCH(RANDBETWEEN(1,16),Subject!$B:$B,0),3)</f>
        <v>#N/A</v>
      </c>
      <c r="AJ505" s="8" t="str">
        <f t="array" ref="AJ505">INDEX(Subject!$A:$I,MATCH(RANDBETWEEN(1,16),Subject!$B:$B,0),3)</f>
        <v>#N/A</v>
      </c>
      <c r="AK505" s="8" t="str">
        <f t="array" ref="AK505">INDEX(Subject!$A:$I,MATCH(RANDBETWEEN(1,16),Subject!$B:$B,0),3)</f>
        <v>#N/A</v>
      </c>
      <c r="AL505" s="8" t="str">
        <f t="array" ref="AL505">INDEX(Subject!$A:$I,MATCH(RANDBETWEEN(1,16),Subject!$B:$B,0),3)</f>
        <v>#N/A</v>
      </c>
      <c r="AM505" s="18">
        <f t="shared" si="4"/>
        <v>46005.33333</v>
      </c>
      <c r="AN505" s="19">
        <f t="shared" ref="AN505:BZ505" si="505">$A505+C$1</f>
        <v>46005.35417</v>
      </c>
      <c r="AO505" s="19">
        <f t="shared" si="505"/>
        <v>46005.375</v>
      </c>
      <c r="AP505" s="19">
        <f t="shared" si="505"/>
        <v>46005.39583</v>
      </c>
      <c r="AQ505" s="19">
        <f t="shared" si="505"/>
        <v>46005.41667</v>
      </c>
      <c r="AR505" s="19">
        <f t="shared" si="505"/>
        <v>46005.4375</v>
      </c>
      <c r="AS505" s="19">
        <f t="shared" si="505"/>
        <v>46005.45833</v>
      </c>
      <c r="AT505" s="19">
        <f t="shared" si="505"/>
        <v>46005.47917</v>
      </c>
      <c r="AU505" s="19">
        <f t="shared" si="505"/>
        <v>46005.5</v>
      </c>
      <c r="AV505" s="19">
        <f t="shared" si="505"/>
        <v>46005.52083</v>
      </c>
      <c r="AW505" s="19">
        <f t="shared" si="505"/>
        <v>46005.54167</v>
      </c>
      <c r="AX505" s="19">
        <f t="shared" si="505"/>
        <v>46005.5625</v>
      </c>
      <c r="AY505" s="19">
        <f t="shared" si="505"/>
        <v>46005.58333</v>
      </c>
      <c r="AZ505" s="19">
        <f t="shared" si="505"/>
        <v>46005.60417</v>
      </c>
      <c r="BA505" s="19">
        <f t="shared" si="505"/>
        <v>46005.625</v>
      </c>
      <c r="BB505" s="19">
        <f t="shared" si="505"/>
        <v>46005.64583</v>
      </c>
      <c r="BC505" s="19">
        <f t="shared" si="505"/>
        <v>46005.66667</v>
      </c>
      <c r="BD505" s="19">
        <f t="shared" si="505"/>
        <v>46005.6875</v>
      </c>
      <c r="BE505" s="19">
        <f t="shared" si="505"/>
        <v>46005.70833</v>
      </c>
      <c r="BF505" s="19">
        <f t="shared" si="505"/>
        <v>46005.72917</v>
      </c>
      <c r="BG505" s="19">
        <f t="shared" si="505"/>
        <v>46005.75</v>
      </c>
      <c r="BH505" s="19">
        <f t="shared" si="505"/>
        <v>46005.77083</v>
      </c>
      <c r="BI505" s="19">
        <f t="shared" si="505"/>
        <v>46005.79167</v>
      </c>
      <c r="BJ505" s="19">
        <f t="shared" si="505"/>
        <v>46005.8125</v>
      </c>
      <c r="BK505" s="19">
        <f t="shared" si="505"/>
        <v>46005.83333</v>
      </c>
      <c r="BL505" s="19">
        <f t="shared" si="505"/>
        <v>46005.85417</v>
      </c>
      <c r="BM505" s="19">
        <f t="shared" si="505"/>
        <v>46005.875</v>
      </c>
      <c r="BN505" s="19">
        <f t="shared" si="505"/>
        <v>46005.89583</v>
      </c>
      <c r="BO505" s="19">
        <f t="shared" si="505"/>
        <v>46005.91667</v>
      </c>
      <c r="BP505" s="19">
        <f t="shared" si="505"/>
        <v>46005.9375</v>
      </c>
      <c r="BQ505" s="19">
        <f t="shared" si="505"/>
        <v>46005.95833</v>
      </c>
      <c r="BR505" s="19">
        <f t="shared" si="505"/>
        <v>46005.97917</v>
      </c>
      <c r="BS505" s="19">
        <f t="shared" si="505"/>
        <v>46006</v>
      </c>
      <c r="BT505" s="19">
        <f t="shared" si="505"/>
        <v>46006.02083</v>
      </c>
      <c r="BU505" s="19">
        <f t="shared" si="505"/>
        <v>46006.04167</v>
      </c>
      <c r="BV505" s="19">
        <f t="shared" si="505"/>
        <v>46006.0625</v>
      </c>
      <c r="BW505" s="19">
        <f t="shared" si="505"/>
        <v>46006.08333</v>
      </c>
      <c r="BX505" s="19">
        <f t="shared" si="505"/>
        <v>46005</v>
      </c>
      <c r="BY505" s="19">
        <f t="shared" si="505"/>
        <v>46005</v>
      </c>
      <c r="BZ505" s="19">
        <f t="shared" si="505"/>
        <v>46005</v>
      </c>
    </row>
    <row r="506" ht="14.25" customHeight="1">
      <c r="A506" s="17">
        <v>46006.0</v>
      </c>
      <c r="B506" s="2" t="str">
        <f t="array" ref="B506">IF(NOW()&gt;AM506,"",IF(AND((WEEKDAY($A506)+$B$2)&gt;1,((WEEKDAY($A506)+$T$2)&lt;7),(WEEKDAY($A506)&lt;&gt;1)),"work",(INDEX(Subject!$A:$I,MATCH(RANDBETWEEN(1,(MAX(Subject!$B:$B))),Subject!$B:$B,0),3))))</f>
        <v/>
      </c>
      <c r="C506" s="2" t="str">
        <f t="array" ref="C506">IF(NOW()&gt;AN506,"",IF(AND((WEEKDAY($A506)+$B$2)&gt;1,((WEEKDAY($A506)+$T$2)&lt;7),(WEEKDAY($A506)&lt;&gt;1)),"work",(INDEX(Subject!$A:$I,MATCH(RANDBETWEEN(1,(MAX(Subject!$B:$B))),Subject!$B:$B,0),3))))</f>
        <v/>
      </c>
      <c r="D506" s="2" t="str">
        <f t="array" ref="D506">IF(NOW()&gt;AO506,"",IF(AND((WEEKDAY($A506)+$B$2)&gt;1,((WEEKDAY($A506)+$T$2)&lt;7),(WEEKDAY($A506)&lt;&gt;1)),"work",(INDEX(Subject!$A:$I,MATCH(RANDBETWEEN(1,(MAX(Subject!$B:$B))),Subject!$B:$B,0),3))))</f>
        <v/>
      </c>
      <c r="E506" s="2" t="str">
        <f t="array" ref="E506">IF(NOW()&gt;AP506,"",IF(AND((WEEKDAY($A506)+$B$2)&gt;1,((WEEKDAY($A506)+$T$2)&lt;7),(WEEKDAY($A506)&lt;&gt;1)),"work",(INDEX(Subject!$A:$I,MATCH(RANDBETWEEN(1,(MAX(Subject!$B:$B))),Subject!$B:$B,0),3))))</f>
        <v/>
      </c>
      <c r="F506" s="2" t="str">
        <f t="array" ref="F506">IF(NOW()&gt;AQ506,"",IF(AND((WEEKDAY($A506)+$B$2)&gt;1,((WEEKDAY($A506)+$T$2)&lt;7),(WEEKDAY($A506)&lt;&gt;1)),"work",(INDEX(Subject!$A:$I,MATCH(RANDBETWEEN(1,(MAX(Subject!$B:$B))),Subject!$B:$B,0),3))))</f>
        <v/>
      </c>
      <c r="G506" s="2" t="str">
        <f t="array" ref="G506">IF(NOW()&gt;AR506,"",IF(AND((WEEKDAY($A506)+$B$2)&gt;1,((WEEKDAY($A506)+$T$2)&lt;7),(WEEKDAY($A506)&lt;&gt;1)),"work",(INDEX(Subject!$A:$I,MATCH(RANDBETWEEN(1,(MAX(Subject!$B:$B))),Subject!$B:$B,0),3))))</f>
        <v/>
      </c>
      <c r="H506" s="2" t="str">
        <f t="array" ref="H506">IF(NOW()&gt;AS506,"",IF(AND((WEEKDAY($A506)+$B$2)&gt;1,((WEEKDAY($A506)+$T$2)&lt;7),(WEEKDAY($A506)&lt;&gt;1)),"work",(INDEX(Subject!$A:$I,MATCH(RANDBETWEEN(1,(MAX(Subject!$B:$B))),Subject!$B:$B,0),3))))</f>
        <v/>
      </c>
      <c r="I506" s="2" t="str">
        <f t="array" ref="I506">IF(NOW()&gt;AT506,"",IF(AND((WEEKDAY($A506)+$B$2)&gt;1,((WEEKDAY($A506)+$T$2)&lt;7),(WEEKDAY($A506)&lt;&gt;1)),"work",(INDEX(Subject!$A:$I,MATCH(RANDBETWEEN(1,(MAX(Subject!$B:$B))),Subject!$B:$B,0),3))))</f>
        <v/>
      </c>
      <c r="J506" s="2" t="str">
        <f t="array" ref="J506">IF(NOW()&gt;AU506,"",IF(AND((WEEKDAY($A506)+$B$2)&gt;1,((WEEKDAY($A506)+$T$2)&lt;7),(WEEKDAY($A506)&lt;&gt;1)),"work",(INDEX(Subject!$A:$I,MATCH(RANDBETWEEN(1,(MAX(Subject!$B:$B))),Subject!$B:$B,0),3))))</f>
        <v/>
      </c>
      <c r="K506" s="2" t="str">
        <f t="array" ref="K506">IF(NOW()&gt;AV506,"",IF(AND((WEEKDAY($A506)+$B$2)&gt;1,((WEEKDAY($A506)+$T$2)&lt;7),(WEEKDAY($A506)&lt;&gt;1)),"work",(INDEX(Subject!$A:$I,MATCH(RANDBETWEEN(1,(MAX(Subject!$B:$B))),Subject!$B:$B,0),3))))</f>
        <v/>
      </c>
      <c r="L506" s="2" t="str">
        <f t="array" ref="L506">IF(NOW()&gt;AW506,"",IF(AND((WEEKDAY($A506)+$B$2)&gt;1,((WEEKDAY($A506)+$T$2)&lt;7),(WEEKDAY($A506)&lt;&gt;1)),"work",(INDEX(Subject!$A:$I,MATCH(RANDBETWEEN(1,(MAX(Subject!$B:$B))),Subject!$B:$B,0),3))))</f>
        <v/>
      </c>
      <c r="M506" s="2" t="str">
        <f t="array" ref="M506">IF(NOW()&gt;AX506,"",IF(AND((WEEKDAY($A506)+$B$2)&gt;1,((WEEKDAY($A506)+$T$2)&lt;7),(WEEKDAY($A506)&lt;&gt;1)),"work",(INDEX(Subject!$A:$I,MATCH(RANDBETWEEN(1,(MAX(Subject!$B:$B))),Subject!$B:$B,0),3))))</f>
        <v/>
      </c>
      <c r="N506" s="2" t="str">
        <f t="array" ref="N506">IF(NOW()&gt;AY506,"",IF(AND((WEEKDAY($A506)+$B$2)&gt;1,((WEEKDAY($A506)+$T$2)&lt;7),(WEEKDAY($A506)&lt;&gt;1)),"work",(INDEX(Subject!$A:$I,MATCH(RANDBETWEEN(1,(MAX(Subject!$B:$B))),Subject!$B:$B,0),3))))</f>
        <v/>
      </c>
      <c r="O506" s="2" t="str">
        <f t="array" ref="O506">IF(NOW()&gt;AZ506,"",IF(AND((WEEKDAY($A506)+$B$2)&gt;1,((WEEKDAY($A506)+$T$2)&lt;7),(WEEKDAY($A506)&lt;&gt;1)),"work",(INDEX(Subject!$A:$I,MATCH(RANDBETWEEN(1,(MAX(Subject!$B:$B))),Subject!$B:$B,0),3))))</f>
        <v/>
      </c>
      <c r="P506" s="2" t="str">
        <f t="array" ref="P506">IF(NOW()&gt;BA506,"",IF(AND((WEEKDAY($A506)+$B$2)&gt;1,((WEEKDAY($A506)+$T$2)&lt;7),(WEEKDAY($A506)&lt;&gt;1)),"work",(INDEX(Subject!$A:$I,MATCH(RANDBETWEEN(1,(MAX(Subject!$B:$B))),Subject!$B:$B,0),3))))</f>
        <v/>
      </c>
      <c r="Q506" s="2" t="str">
        <f t="array" ref="Q506">IF(NOW()&gt;BB506,"",IF(AND((WEEKDAY($A506)+$B$2)&gt;1,((WEEKDAY($A506)+$T$2)&lt;7),(WEEKDAY($A506)&lt;&gt;1)),"work",(INDEX(Subject!$A:$I,MATCH(RANDBETWEEN(1,(MAX(Subject!$B:$B))),Subject!$B:$B,0),3))))</f>
        <v/>
      </c>
      <c r="R506" s="2" t="str">
        <f t="array" ref="R506">IF(NOW()&gt;BC506,"",IF(AND((WEEKDAY($A506)+$B$2)&gt;1,((WEEKDAY($A506)+$T$2)&lt;7),(WEEKDAY($A506)&lt;&gt;1)),"work",(INDEX(Subject!$A:$I,MATCH(RANDBETWEEN(1,(MAX(Subject!$B:$B))),Subject!$B:$B,0),3))))</f>
        <v/>
      </c>
      <c r="S506" s="2" t="str">
        <f t="array" ref="S506">IF(NOW()&gt;BD506,"",IF(AND((WEEKDAY($A506)+$B$2)&gt;1,((WEEKDAY($A506)+$T$2)&lt;7),(WEEKDAY($A506)&lt;&gt;1)),"work",(INDEX(Subject!$A:$I,MATCH(RANDBETWEEN(1,(MAX(Subject!$B:$B))),Subject!$B:$B,0),3))))</f>
        <v/>
      </c>
      <c r="T506" s="2" t="str">
        <f t="array" ref="T506">IF(NOW()&gt;BE506,"",IF(AND((WEEKDAY($A506)+$B$2)&gt;1,((WEEKDAY($A506)+$T$2)&lt;7),(WEEKDAY($A506)&lt;&gt;1)),"work",(INDEX(Subject!$A:$I,MATCH(RANDBETWEEN(1,(MAX(Subject!$B:$B))),Subject!$B:$B,0),3))))</f>
        <v/>
      </c>
      <c r="U506" s="8" t="str">
        <f t="array" ref="U506">INDEX(Subject!$A:$I,MATCH(RANDBETWEEN(1,16),Subject!$B:$B,0),3)</f>
        <v>#N/A</v>
      </c>
      <c r="V506" s="8" t="str">
        <f t="array" ref="V506">INDEX(Subject!$A:$I,MATCH(RANDBETWEEN(1,16),Subject!$B:$B,0),3)</f>
        <v>#N/A</v>
      </c>
      <c r="W506" s="8" t="str">
        <f t="array" ref="W506">INDEX(Subject!$A:$I,MATCH(RANDBETWEEN(1,16),Subject!$B:$B,0),3)</f>
        <v/>
      </c>
      <c r="X506" s="8" t="str">
        <f t="array" ref="X506">INDEX(Subject!$A:$I,MATCH(RANDBETWEEN(1,16),Subject!$B:$B,0),3)</f>
        <v>#N/A</v>
      </c>
      <c r="Y506" s="8" t="str">
        <f t="array" ref="Y506">INDEX(Subject!$A:$I,MATCH(RANDBETWEEN(1,16),Subject!$B:$B,0),3)</f>
        <v>#N/A</v>
      </c>
      <c r="Z506" s="8" t="str">
        <f t="array" ref="Z506">INDEX(Subject!$A:$I,MATCH(RANDBETWEEN(1,16),Subject!$B:$B,0),3)</f>
        <v>#N/A</v>
      </c>
      <c r="AA506" s="8" t="str">
        <f t="array" ref="AA506">INDEX(Subject!$A:$I,MATCH(RANDBETWEEN(1,16),Subject!$B:$B,0),3)</f>
        <v>#N/A</v>
      </c>
      <c r="AB506" s="8" t="str">
        <f t="array" ref="AB506">INDEX(Subject!$A:$I,MATCH(RANDBETWEEN(1,16),Subject!$B:$B,0),3)</f>
        <v>#N/A</v>
      </c>
      <c r="AC506" s="8" t="str">
        <f t="array" ref="AC506">INDEX(Subject!$A:$I,MATCH(RANDBETWEEN(1,16),Subject!$B:$B,0),3)</f>
        <v>#N/A</v>
      </c>
      <c r="AD506" s="8" t="str">
        <f t="array" ref="AD506">INDEX(Subject!$A:$I,MATCH(RANDBETWEEN(1,16),Subject!$B:$B,0),3)</f>
        <v>#N/A</v>
      </c>
      <c r="AE506" s="8" t="str">
        <f t="array" ref="AE506">INDEX(Subject!$A:$I,MATCH(RANDBETWEEN(1,16),Subject!$B:$B,0),3)</f>
        <v>#N/A</v>
      </c>
      <c r="AF506" s="8" t="str">
        <f t="array" ref="AF506">INDEX(Subject!$A:$I,MATCH(RANDBETWEEN(1,16),Subject!$B:$B,0),3)</f>
        <v>#N/A</v>
      </c>
      <c r="AG506" s="8" t="str">
        <f t="array" ref="AG506">INDEX(Subject!$A:$I,MATCH(RANDBETWEEN(1,16),Subject!$B:$B,0),3)</f>
        <v>#N/A</v>
      </c>
      <c r="AH506" s="8" t="str">
        <f t="array" ref="AH506">INDEX(Subject!$A:$I,MATCH(RANDBETWEEN(1,16),Subject!$B:$B,0),3)</f>
        <v>#N/A</v>
      </c>
      <c r="AI506" s="8" t="str">
        <f t="array" ref="AI506">INDEX(Subject!$A:$I,MATCH(RANDBETWEEN(1,16),Subject!$B:$B,0),3)</f>
        <v>#N/A</v>
      </c>
      <c r="AJ506" s="8" t="str">
        <f t="array" ref="AJ506">INDEX(Subject!$A:$I,MATCH(RANDBETWEEN(1,16),Subject!$B:$B,0),3)</f>
        <v>#N/A</v>
      </c>
      <c r="AK506" s="8" t="str">
        <f t="array" ref="AK506">INDEX(Subject!$A:$I,MATCH(RANDBETWEEN(1,16),Subject!$B:$B,0),3)</f>
        <v>#N/A</v>
      </c>
      <c r="AL506" s="8" t="str">
        <f t="array" ref="AL506">INDEX(Subject!$A:$I,MATCH(RANDBETWEEN(1,16),Subject!$B:$B,0),3)</f>
        <v>#N/A</v>
      </c>
      <c r="AM506" s="18">
        <f t="shared" si="4"/>
        <v>46006.33333</v>
      </c>
      <c r="AN506" s="19">
        <f t="shared" ref="AN506:BZ506" si="506">$A506+C$1</f>
        <v>46006.35417</v>
      </c>
      <c r="AO506" s="19">
        <f t="shared" si="506"/>
        <v>46006.375</v>
      </c>
      <c r="AP506" s="19">
        <f t="shared" si="506"/>
        <v>46006.39583</v>
      </c>
      <c r="AQ506" s="19">
        <f t="shared" si="506"/>
        <v>46006.41667</v>
      </c>
      <c r="AR506" s="19">
        <f t="shared" si="506"/>
        <v>46006.4375</v>
      </c>
      <c r="AS506" s="19">
        <f t="shared" si="506"/>
        <v>46006.45833</v>
      </c>
      <c r="AT506" s="19">
        <f t="shared" si="506"/>
        <v>46006.47917</v>
      </c>
      <c r="AU506" s="19">
        <f t="shared" si="506"/>
        <v>46006.5</v>
      </c>
      <c r="AV506" s="19">
        <f t="shared" si="506"/>
        <v>46006.52083</v>
      </c>
      <c r="AW506" s="19">
        <f t="shared" si="506"/>
        <v>46006.54167</v>
      </c>
      <c r="AX506" s="19">
        <f t="shared" si="506"/>
        <v>46006.5625</v>
      </c>
      <c r="AY506" s="19">
        <f t="shared" si="506"/>
        <v>46006.58333</v>
      </c>
      <c r="AZ506" s="19">
        <f t="shared" si="506"/>
        <v>46006.60417</v>
      </c>
      <c r="BA506" s="19">
        <f t="shared" si="506"/>
        <v>46006.625</v>
      </c>
      <c r="BB506" s="19">
        <f t="shared" si="506"/>
        <v>46006.64583</v>
      </c>
      <c r="BC506" s="19">
        <f t="shared" si="506"/>
        <v>46006.66667</v>
      </c>
      <c r="BD506" s="19">
        <f t="shared" si="506"/>
        <v>46006.6875</v>
      </c>
      <c r="BE506" s="19">
        <f t="shared" si="506"/>
        <v>46006.70833</v>
      </c>
      <c r="BF506" s="19">
        <f t="shared" si="506"/>
        <v>46006.72917</v>
      </c>
      <c r="BG506" s="19">
        <f t="shared" si="506"/>
        <v>46006.75</v>
      </c>
      <c r="BH506" s="19">
        <f t="shared" si="506"/>
        <v>46006.77083</v>
      </c>
      <c r="BI506" s="19">
        <f t="shared" si="506"/>
        <v>46006.79167</v>
      </c>
      <c r="BJ506" s="19">
        <f t="shared" si="506"/>
        <v>46006.8125</v>
      </c>
      <c r="BK506" s="19">
        <f t="shared" si="506"/>
        <v>46006.83333</v>
      </c>
      <c r="BL506" s="19">
        <f t="shared" si="506"/>
        <v>46006.85417</v>
      </c>
      <c r="BM506" s="19">
        <f t="shared" si="506"/>
        <v>46006.875</v>
      </c>
      <c r="BN506" s="19">
        <f t="shared" si="506"/>
        <v>46006.89583</v>
      </c>
      <c r="BO506" s="19">
        <f t="shared" si="506"/>
        <v>46006.91667</v>
      </c>
      <c r="BP506" s="19">
        <f t="shared" si="506"/>
        <v>46006.9375</v>
      </c>
      <c r="BQ506" s="19">
        <f t="shared" si="506"/>
        <v>46006.95833</v>
      </c>
      <c r="BR506" s="19">
        <f t="shared" si="506"/>
        <v>46006.97917</v>
      </c>
      <c r="BS506" s="19">
        <f t="shared" si="506"/>
        <v>46007</v>
      </c>
      <c r="BT506" s="19">
        <f t="shared" si="506"/>
        <v>46007.02083</v>
      </c>
      <c r="BU506" s="19">
        <f t="shared" si="506"/>
        <v>46007.04167</v>
      </c>
      <c r="BV506" s="19">
        <f t="shared" si="506"/>
        <v>46007.0625</v>
      </c>
      <c r="BW506" s="19">
        <f t="shared" si="506"/>
        <v>46007.08333</v>
      </c>
      <c r="BX506" s="19">
        <f t="shared" si="506"/>
        <v>46006</v>
      </c>
      <c r="BY506" s="19">
        <f t="shared" si="506"/>
        <v>46006</v>
      </c>
      <c r="BZ506" s="19">
        <f t="shared" si="506"/>
        <v>46006</v>
      </c>
    </row>
    <row r="507" ht="14.25" customHeight="1">
      <c r="A507" s="17">
        <v>46007.0</v>
      </c>
      <c r="B507" s="2" t="str">
        <f t="array" ref="B507">IF(NOW()&gt;AM507,"",IF(AND((WEEKDAY($A507)+$B$2)&gt;1,((WEEKDAY($A507)+$T$2)&lt;7),(WEEKDAY($A507)&lt;&gt;1)),"work",(INDEX(Subject!$A:$I,MATCH(RANDBETWEEN(1,(MAX(Subject!$B:$B))),Subject!$B:$B,0),3))))</f>
        <v/>
      </c>
      <c r="C507" s="2" t="str">
        <f t="array" ref="C507">IF(NOW()&gt;AN507,"",IF(AND((WEEKDAY($A507)+$B$2)&gt;1,((WEEKDAY($A507)+$T$2)&lt;7),(WEEKDAY($A507)&lt;&gt;1)),"work",(INDEX(Subject!$A:$I,MATCH(RANDBETWEEN(1,(MAX(Subject!$B:$B))),Subject!$B:$B,0),3))))</f>
        <v/>
      </c>
      <c r="D507" s="2" t="str">
        <f t="array" ref="D507">IF(NOW()&gt;AO507,"",IF(AND((WEEKDAY($A507)+$B$2)&gt;1,((WEEKDAY($A507)+$T$2)&lt;7),(WEEKDAY($A507)&lt;&gt;1)),"work",(INDEX(Subject!$A:$I,MATCH(RANDBETWEEN(1,(MAX(Subject!$B:$B))),Subject!$B:$B,0),3))))</f>
        <v/>
      </c>
      <c r="E507" s="2" t="str">
        <f t="array" ref="E507">IF(NOW()&gt;AP507,"",IF(AND((WEEKDAY($A507)+$B$2)&gt;1,((WEEKDAY($A507)+$T$2)&lt;7),(WEEKDAY($A507)&lt;&gt;1)),"work",(INDEX(Subject!$A:$I,MATCH(RANDBETWEEN(1,(MAX(Subject!$B:$B))),Subject!$B:$B,0),3))))</f>
        <v/>
      </c>
      <c r="F507" s="2" t="str">
        <f t="array" ref="F507">IF(NOW()&gt;AQ507,"",IF(AND((WEEKDAY($A507)+$B$2)&gt;1,((WEEKDAY($A507)+$T$2)&lt;7),(WEEKDAY($A507)&lt;&gt;1)),"work",(INDEX(Subject!$A:$I,MATCH(RANDBETWEEN(1,(MAX(Subject!$B:$B))),Subject!$B:$B,0),3))))</f>
        <v/>
      </c>
      <c r="G507" s="2" t="str">
        <f t="array" ref="G507">IF(NOW()&gt;AR507,"",IF(AND((WEEKDAY($A507)+$B$2)&gt;1,((WEEKDAY($A507)+$T$2)&lt;7),(WEEKDAY($A507)&lt;&gt;1)),"work",(INDEX(Subject!$A:$I,MATCH(RANDBETWEEN(1,(MAX(Subject!$B:$B))),Subject!$B:$B,0),3))))</f>
        <v/>
      </c>
      <c r="H507" s="2" t="str">
        <f t="array" ref="H507">IF(NOW()&gt;AS507,"",IF(AND((WEEKDAY($A507)+$B$2)&gt;1,((WEEKDAY($A507)+$T$2)&lt;7),(WEEKDAY($A507)&lt;&gt;1)),"work",(INDEX(Subject!$A:$I,MATCH(RANDBETWEEN(1,(MAX(Subject!$B:$B))),Subject!$B:$B,0),3))))</f>
        <v/>
      </c>
      <c r="I507" s="2" t="str">
        <f t="array" ref="I507">IF(NOW()&gt;AT507,"",IF(AND((WEEKDAY($A507)+$B$2)&gt;1,((WEEKDAY($A507)+$T$2)&lt;7),(WEEKDAY($A507)&lt;&gt;1)),"work",(INDEX(Subject!$A:$I,MATCH(RANDBETWEEN(1,(MAX(Subject!$B:$B))),Subject!$B:$B,0),3))))</f>
        <v/>
      </c>
      <c r="J507" s="2" t="str">
        <f t="array" ref="J507">IF(NOW()&gt;AU507,"",IF(AND((WEEKDAY($A507)+$B$2)&gt;1,((WEEKDAY($A507)+$T$2)&lt;7),(WEEKDAY($A507)&lt;&gt;1)),"work",(INDEX(Subject!$A:$I,MATCH(RANDBETWEEN(1,(MAX(Subject!$B:$B))),Subject!$B:$B,0),3))))</f>
        <v/>
      </c>
      <c r="K507" s="2" t="str">
        <f t="array" ref="K507">IF(NOW()&gt;AV507,"",IF(AND((WEEKDAY($A507)+$B$2)&gt;1,((WEEKDAY($A507)+$T$2)&lt;7),(WEEKDAY($A507)&lt;&gt;1)),"work",(INDEX(Subject!$A:$I,MATCH(RANDBETWEEN(1,(MAX(Subject!$B:$B))),Subject!$B:$B,0),3))))</f>
        <v/>
      </c>
      <c r="L507" s="2" t="str">
        <f t="array" ref="L507">IF(NOW()&gt;AW507,"",IF(AND((WEEKDAY($A507)+$B$2)&gt;1,((WEEKDAY($A507)+$T$2)&lt;7),(WEEKDAY($A507)&lt;&gt;1)),"work",(INDEX(Subject!$A:$I,MATCH(RANDBETWEEN(1,(MAX(Subject!$B:$B))),Subject!$B:$B,0),3))))</f>
        <v/>
      </c>
      <c r="M507" s="2" t="str">
        <f t="array" ref="M507">IF(NOW()&gt;AX507,"",IF(AND((WEEKDAY($A507)+$B$2)&gt;1,((WEEKDAY($A507)+$T$2)&lt;7),(WEEKDAY($A507)&lt;&gt;1)),"work",(INDEX(Subject!$A:$I,MATCH(RANDBETWEEN(1,(MAX(Subject!$B:$B))),Subject!$B:$B,0),3))))</f>
        <v/>
      </c>
      <c r="N507" s="2" t="str">
        <f t="array" ref="N507">IF(NOW()&gt;AY507,"",IF(AND((WEEKDAY($A507)+$B$2)&gt;1,((WEEKDAY($A507)+$T$2)&lt;7),(WEEKDAY($A507)&lt;&gt;1)),"work",(INDEX(Subject!$A:$I,MATCH(RANDBETWEEN(1,(MAX(Subject!$B:$B))),Subject!$B:$B,0),3))))</f>
        <v/>
      </c>
      <c r="O507" s="2" t="str">
        <f t="array" ref="O507">IF(NOW()&gt;AZ507,"",IF(AND((WEEKDAY($A507)+$B$2)&gt;1,((WEEKDAY($A507)+$T$2)&lt;7),(WEEKDAY($A507)&lt;&gt;1)),"work",(INDEX(Subject!$A:$I,MATCH(RANDBETWEEN(1,(MAX(Subject!$B:$B))),Subject!$B:$B,0),3))))</f>
        <v/>
      </c>
      <c r="P507" s="2" t="str">
        <f t="array" ref="P507">IF(NOW()&gt;BA507,"",IF(AND((WEEKDAY($A507)+$B$2)&gt;1,((WEEKDAY($A507)+$T$2)&lt;7),(WEEKDAY($A507)&lt;&gt;1)),"work",(INDEX(Subject!$A:$I,MATCH(RANDBETWEEN(1,(MAX(Subject!$B:$B))),Subject!$B:$B,0),3))))</f>
        <v/>
      </c>
      <c r="Q507" s="2" t="str">
        <f t="array" ref="Q507">IF(NOW()&gt;BB507,"",IF(AND((WEEKDAY($A507)+$B$2)&gt;1,((WEEKDAY($A507)+$T$2)&lt;7),(WEEKDAY($A507)&lt;&gt;1)),"work",(INDEX(Subject!$A:$I,MATCH(RANDBETWEEN(1,(MAX(Subject!$B:$B))),Subject!$B:$B,0),3))))</f>
        <v/>
      </c>
      <c r="R507" s="2" t="str">
        <f t="array" ref="R507">IF(NOW()&gt;BC507,"",IF(AND((WEEKDAY($A507)+$B$2)&gt;1,((WEEKDAY($A507)+$T$2)&lt;7),(WEEKDAY($A507)&lt;&gt;1)),"work",(INDEX(Subject!$A:$I,MATCH(RANDBETWEEN(1,(MAX(Subject!$B:$B))),Subject!$B:$B,0),3))))</f>
        <v/>
      </c>
      <c r="S507" s="2" t="str">
        <f t="array" ref="S507">IF(NOW()&gt;BD507,"",IF(AND((WEEKDAY($A507)+$B$2)&gt;1,((WEEKDAY($A507)+$T$2)&lt;7),(WEEKDAY($A507)&lt;&gt;1)),"work",(INDEX(Subject!$A:$I,MATCH(RANDBETWEEN(1,(MAX(Subject!$B:$B))),Subject!$B:$B,0),3))))</f>
        <v/>
      </c>
      <c r="T507" s="2" t="str">
        <f t="array" ref="T507">IF(NOW()&gt;BE507,"",IF(AND((WEEKDAY($A507)+$B$2)&gt;1,((WEEKDAY($A507)+$T$2)&lt;7),(WEEKDAY($A507)&lt;&gt;1)),"work",(INDEX(Subject!$A:$I,MATCH(RANDBETWEEN(1,(MAX(Subject!$B:$B))),Subject!$B:$B,0),3))))</f>
        <v/>
      </c>
      <c r="U507" s="8" t="str">
        <f t="array" ref="U507">INDEX(Subject!$A:$I,MATCH(RANDBETWEEN(1,16),Subject!$B:$B,0),3)</f>
        <v>#N/A</v>
      </c>
      <c r="V507" s="8" t="str">
        <f t="array" ref="V507">INDEX(Subject!$A:$I,MATCH(RANDBETWEEN(1,16),Subject!$B:$B,0),3)</f>
        <v>#N/A</v>
      </c>
      <c r="W507" s="8" t="str">
        <f t="array" ref="W507">INDEX(Subject!$A:$I,MATCH(RANDBETWEEN(1,16),Subject!$B:$B,0),3)</f>
        <v>#N/A</v>
      </c>
      <c r="X507" s="8" t="str">
        <f t="array" ref="X507">INDEX(Subject!$A:$I,MATCH(RANDBETWEEN(1,16),Subject!$B:$B,0),3)</f>
        <v>#N/A</v>
      </c>
      <c r="Y507" s="8" t="str">
        <f t="array" ref="Y507">INDEX(Subject!$A:$I,MATCH(RANDBETWEEN(1,16),Subject!$B:$B,0),3)</f>
        <v>#N/A</v>
      </c>
      <c r="Z507" s="8" t="str">
        <f t="array" ref="Z507">INDEX(Subject!$A:$I,MATCH(RANDBETWEEN(1,16),Subject!$B:$B,0),3)</f>
        <v>#N/A</v>
      </c>
      <c r="AA507" s="8" t="str">
        <f t="array" ref="AA507">INDEX(Subject!$A:$I,MATCH(RANDBETWEEN(1,16),Subject!$B:$B,0),3)</f>
        <v>#N/A</v>
      </c>
      <c r="AB507" s="8" t="str">
        <f t="array" ref="AB507">INDEX(Subject!$A:$I,MATCH(RANDBETWEEN(1,16),Subject!$B:$B,0),3)</f>
        <v>#N/A</v>
      </c>
      <c r="AC507" s="8" t="str">
        <f t="array" ref="AC507">INDEX(Subject!$A:$I,MATCH(RANDBETWEEN(1,16),Subject!$B:$B,0),3)</f>
        <v>#N/A</v>
      </c>
      <c r="AD507" s="8" t="str">
        <f t="array" ref="AD507">INDEX(Subject!$A:$I,MATCH(RANDBETWEEN(1,16),Subject!$B:$B,0),3)</f>
        <v>#N/A</v>
      </c>
      <c r="AE507" s="8" t="str">
        <f t="array" ref="AE507">INDEX(Subject!$A:$I,MATCH(RANDBETWEEN(1,16),Subject!$B:$B,0),3)</f>
        <v>#N/A</v>
      </c>
      <c r="AF507" s="8" t="str">
        <f t="array" ref="AF507">INDEX(Subject!$A:$I,MATCH(RANDBETWEEN(1,16),Subject!$B:$B,0),3)</f>
        <v>#N/A</v>
      </c>
      <c r="AG507" s="8" t="str">
        <f t="array" ref="AG507">INDEX(Subject!$A:$I,MATCH(RANDBETWEEN(1,16),Subject!$B:$B,0),3)</f>
        <v>#N/A</v>
      </c>
      <c r="AH507" s="8" t="str">
        <f t="array" ref="AH507">INDEX(Subject!$A:$I,MATCH(RANDBETWEEN(1,16),Subject!$B:$B,0),3)</f>
        <v>#N/A</v>
      </c>
      <c r="AI507" s="8" t="str">
        <f t="array" ref="AI507">INDEX(Subject!$A:$I,MATCH(RANDBETWEEN(1,16),Subject!$B:$B,0),3)</f>
        <v>#N/A</v>
      </c>
      <c r="AJ507" s="8" t="str">
        <f t="array" ref="AJ507">INDEX(Subject!$A:$I,MATCH(RANDBETWEEN(1,16),Subject!$B:$B,0),3)</f>
        <v>#N/A</v>
      </c>
      <c r="AK507" s="8" t="str">
        <f t="array" ref="AK507">INDEX(Subject!$A:$I,MATCH(RANDBETWEEN(1,16),Subject!$B:$B,0),3)</f>
        <v>#N/A</v>
      </c>
      <c r="AL507" s="8" t="str">
        <f t="array" ref="AL507">INDEX(Subject!$A:$I,MATCH(RANDBETWEEN(1,16),Subject!$B:$B,0),3)</f>
        <v>#N/A</v>
      </c>
      <c r="AM507" s="18">
        <f t="shared" si="4"/>
        <v>46007.33333</v>
      </c>
      <c r="AN507" s="19">
        <f t="shared" ref="AN507:BZ507" si="507">$A507+C$1</f>
        <v>46007.35417</v>
      </c>
      <c r="AO507" s="19">
        <f t="shared" si="507"/>
        <v>46007.375</v>
      </c>
      <c r="AP507" s="19">
        <f t="shared" si="507"/>
        <v>46007.39583</v>
      </c>
      <c r="AQ507" s="19">
        <f t="shared" si="507"/>
        <v>46007.41667</v>
      </c>
      <c r="AR507" s="19">
        <f t="shared" si="507"/>
        <v>46007.4375</v>
      </c>
      <c r="AS507" s="19">
        <f t="shared" si="507"/>
        <v>46007.45833</v>
      </c>
      <c r="AT507" s="19">
        <f t="shared" si="507"/>
        <v>46007.47917</v>
      </c>
      <c r="AU507" s="19">
        <f t="shared" si="507"/>
        <v>46007.5</v>
      </c>
      <c r="AV507" s="19">
        <f t="shared" si="507"/>
        <v>46007.52083</v>
      </c>
      <c r="AW507" s="19">
        <f t="shared" si="507"/>
        <v>46007.54167</v>
      </c>
      <c r="AX507" s="19">
        <f t="shared" si="507"/>
        <v>46007.5625</v>
      </c>
      <c r="AY507" s="19">
        <f t="shared" si="507"/>
        <v>46007.58333</v>
      </c>
      <c r="AZ507" s="19">
        <f t="shared" si="507"/>
        <v>46007.60417</v>
      </c>
      <c r="BA507" s="19">
        <f t="shared" si="507"/>
        <v>46007.625</v>
      </c>
      <c r="BB507" s="19">
        <f t="shared" si="507"/>
        <v>46007.64583</v>
      </c>
      <c r="BC507" s="19">
        <f t="shared" si="507"/>
        <v>46007.66667</v>
      </c>
      <c r="BD507" s="19">
        <f t="shared" si="507"/>
        <v>46007.6875</v>
      </c>
      <c r="BE507" s="19">
        <f t="shared" si="507"/>
        <v>46007.70833</v>
      </c>
      <c r="BF507" s="19">
        <f t="shared" si="507"/>
        <v>46007.72917</v>
      </c>
      <c r="BG507" s="19">
        <f t="shared" si="507"/>
        <v>46007.75</v>
      </c>
      <c r="BH507" s="19">
        <f t="shared" si="507"/>
        <v>46007.77083</v>
      </c>
      <c r="BI507" s="19">
        <f t="shared" si="507"/>
        <v>46007.79167</v>
      </c>
      <c r="BJ507" s="19">
        <f t="shared" si="507"/>
        <v>46007.8125</v>
      </c>
      <c r="BK507" s="19">
        <f t="shared" si="507"/>
        <v>46007.83333</v>
      </c>
      <c r="BL507" s="19">
        <f t="shared" si="507"/>
        <v>46007.85417</v>
      </c>
      <c r="BM507" s="19">
        <f t="shared" si="507"/>
        <v>46007.875</v>
      </c>
      <c r="BN507" s="19">
        <f t="shared" si="507"/>
        <v>46007.89583</v>
      </c>
      <c r="BO507" s="19">
        <f t="shared" si="507"/>
        <v>46007.91667</v>
      </c>
      <c r="BP507" s="19">
        <f t="shared" si="507"/>
        <v>46007.9375</v>
      </c>
      <c r="BQ507" s="19">
        <f t="shared" si="507"/>
        <v>46007.95833</v>
      </c>
      <c r="BR507" s="19">
        <f t="shared" si="507"/>
        <v>46007.97917</v>
      </c>
      <c r="BS507" s="19">
        <f t="shared" si="507"/>
        <v>46008</v>
      </c>
      <c r="BT507" s="19">
        <f t="shared" si="507"/>
        <v>46008.02083</v>
      </c>
      <c r="BU507" s="19">
        <f t="shared" si="507"/>
        <v>46008.04167</v>
      </c>
      <c r="BV507" s="19">
        <f t="shared" si="507"/>
        <v>46008.0625</v>
      </c>
      <c r="BW507" s="19">
        <f t="shared" si="507"/>
        <v>46008.08333</v>
      </c>
      <c r="BX507" s="19">
        <f t="shared" si="507"/>
        <v>46007</v>
      </c>
      <c r="BY507" s="19">
        <f t="shared" si="507"/>
        <v>46007</v>
      </c>
      <c r="BZ507" s="19">
        <f t="shared" si="507"/>
        <v>46007</v>
      </c>
    </row>
    <row r="508" ht="14.25" customHeight="1">
      <c r="A508" s="17">
        <v>46008.0</v>
      </c>
      <c r="B508" s="2" t="str">
        <f t="array" ref="B508">IF(NOW()&gt;AM508,"",IF(AND((WEEKDAY($A508)+$B$2)&gt;1,((WEEKDAY($A508)+$T$2)&lt;7),(WEEKDAY($A508)&lt;&gt;1)),"work",(INDEX(Subject!$A:$I,MATCH(RANDBETWEEN(1,(MAX(Subject!$B:$B))),Subject!$B:$B,0),3))))</f>
        <v/>
      </c>
      <c r="C508" s="2" t="str">
        <f t="array" ref="C508">IF(NOW()&gt;AN508,"",IF(AND((WEEKDAY($A508)+$B$2)&gt;1,((WEEKDAY($A508)+$T$2)&lt;7),(WEEKDAY($A508)&lt;&gt;1)),"work",(INDEX(Subject!$A:$I,MATCH(RANDBETWEEN(1,(MAX(Subject!$B:$B))),Subject!$B:$B,0),3))))</f>
        <v/>
      </c>
      <c r="D508" s="2" t="str">
        <f t="array" ref="D508">IF(NOW()&gt;AO508,"",IF(AND((WEEKDAY($A508)+$B$2)&gt;1,((WEEKDAY($A508)+$T$2)&lt;7),(WEEKDAY($A508)&lt;&gt;1)),"work",(INDEX(Subject!$A:$I,MATCH(RANDBETWEEN(1,(MAX(Subject!$B:$B))),Subject!$B:$B,0),3))))</f>
        <v/>
      </c>
      <c r="E508" s="2" t="str">
        <f t="array" ref="E508">IF(NOW()&gt;AP508,"",IF(AND((WEEKDAY($A508)+$B$2)&gt;1,((WEEKDAY($A508)+$T$2)&lt;7),(WEEKDAY($A508)&lt;&gt;1)),"work",(INDEX(Subject!$A:$I,MATCH(RANDBETWEEN(1,(MAX(Subject!$B:$B))),Subject!$B:$B,0),3))))</f>
        <v/>
      </c>
      <c r="F508" s="2" t="str">
        <f t="array" ref="F508">IF(NOW()&gt;AQ508,"",IF(AND((WEEKDAY($A508)+$B$2)&gt;1,((WEEKDAY($A508)+$T$2)&lt;7),(WEEKDAY($A508)&lt;&gt;1)),"work",(INDEX(Subject!$A:$I,MATCH(RANDBETWEEN(1,(MAX(Subject!$B:$B))),Subject!$B:$B,0),3))))</f>
        <v/>
      </c>
      <c r="G508" s="2" t="str">
        <f t="array" ref="G508">IF(NOW()&gt;AR508,"",IF(AND((WEEKDAY($A508)+$B$2)&gt;1,((WEEKDAY($A508)+$T$2)&lt;7),(WEEKDAY($A508)&lt;&gt;1)),"work",(INDEX(Subject!$A:$I,MATCH(RANDBETWEEN(1,(MAX(Subject!$B:$B))),Subject!$B:$B,0),3))))</f>
        <v/>
      </c>
      <c r="H508" s="2" t="str">
        <f t="array" ref="H508">IF(NOW()&gt;AS508,"",IF(AND((WEEKDAY($A508)+$B$2)&gt;1,((WEEKDAY($A508)+$T$2)&lt;7),(WEEKDAY($A508)&lt;&gt;1)),"work",(INDEX(Subject!$A:$I,MATCH(RANDBETWEEN(1,(MAX(Subject!$B:$B))),Subject!$B:$B,0),3))))</f>
        <v/>
      </c>
      <c r="I508" s="2" t="str">
        <f t="array" ref="I508">IF(NOW()&gt;AT508,"",IF(AND((WEEKDAY($A508)+$B$2)&gt;1,((WEEKDAY($A508)+$T$2)&lt;7),(WEEKDAY($A508)&lt;&gt;1)),"work",(INDEX(Subject!$A:$I,MATCH(RANDBETWEEN(1,(MAX(Subject!$B:$B))),Subject!$B:$B,0),3))))</f>
        <v/>
      </c>
      <c r="J508" s="2" t="str">
        <f t="array" ref="J508">IF(NOW()&gt;AU508,"",IF(AND((WEEKDAY($A508)+$B$2)&gt;1,((WEEKDAY($A508)+$T$2)&lt;7),(WEEKDAY($A508)&lt;&gt;1)),"work",(INDEX(Subject!$A:$I,MATCH(RANDBETWEEN(1,(MAX(Subject!$B:$B))),Subject!$B:$B,0),3))))</f>
        <v/>
      </c>
      <c r="K508" s="2" t="str">
        <f t="array" ref="K508">IF(NOW()&gt;AV508,"",IF(AND((WEEKDAY($A508)+$B$2)&gt;1,((WEEKDAY($A508)+$T$2)&lt;7),(WEEKDAY($A508)&lt;&gt;1)),"work",(INDEX(Subject!$A:$I,MATCH(RANDBETWEEN(1,(MAX(Subject!$B:$B))),Subject!$B:$B,0),3))))</f>
        <v/>
      </c>
      <c r="L508" s="2" t="str">
        <f t="array" ref="L508">IF(NOW()&gt;AW508,"",IF(AND((WEEKDAY($A508)+$B$2)&gt;1,((WEEKDAY($A508)+$T$2)&lt;7),(WEEKDAY($A508)&lt;&gt;1)),"work",(INDEX(Subject!$A:$I,MATCH(RANDBETWEEN(1,(MAX(Subject!$B:$B))),Subject!$B:$B,0),3))))</f>
        <v/>
      </c>
      <c r="M508" s="2" t="str">
        <f t="array" ref="M508">IF(NOW()&gt;AX508,"",IF(AND((WEEKDAY($A508)+$B$2)&gt;1,((WEEKDAY($A508)+$T$2)&lt;7),(WEEKDAY($A508)&lt;&gt;1)),"work",(INDEX(Subject!$A:$I,MATCH(RANDBETWEEN(1,(MAX(Subject!$B:$B))),Subject!$B:$B,0),3))))</f>
        <v/>
      </c>
      <c r="N508" s="2" t="str">
        <f t="array" ref="N508">IF(NOW()&gt;AY508,"",IF(AND((WEEKDAY($A508)+$B$2)&gt;1,((WEEKDAY($A508)+$T$2)&lt;7),(WEEKDAY($A508)&lt;&gt;1)),"work",(INDEX(Subject!$A:$I,MATCH(RANDBETWEEN(1,(MAX(Subject!$B:$B))),Subject!$B:$B,0),3))))</f>
        <v/>
      </c>
      <c r="O508" s="2" t="str">
        <f t="array" ref="O508">IF(NOW()&gt;AZ508,"",IF(AND((WEEKDAY($A508)+$B$2)&gt;1,((WEEKDAY($A508)+$T$2)&lt;7),(WEEKDAY($A508)&lt;&gt;1)),"work",(INDEX(Subject!$A:$I,MATCH(RANDBETWEEN(1,(MAX(Subject!$B:$B))),Subject!$B:$B,0),3))))</f>
        <v/>
      </c>
      <c r="P508" s="2" t="str">
        <f t="array" ref="P508">IF(NOW()&gt;BA508,"",IF(AND((WEEKDAY($A508)+$B$2)&gt;1,((WEEKDAY($A508)+$T$2)&lt;7),(WEEKDAY($A508)&lt;&gt;1)),"work",(INDEX(Subject!$A:$I,MATCH(RANDBETWEEN(1,(MAX(Subject!$B:$B))),Subject!$B:$B,0),3))))</f>
        <v/>
      </c>
      <c r="Q508" s="2" t="str">
        <f t="array" ref="Q508">IF(NOW()&gt;BB508,"",IF(AND((WEEKDAY($A508)+$B$2)&gt;1,((WEEKDAY($A508)+$T$2)&lt;7),(WEEKDAY($A508)&lt;&gt;1)),"work",(INDEX(Subject!$A:$I,MATCH(RANDBETWEEN(1,(MAX(Subject!$B:$B))),Subject!$B:$B,0),3))))</f>
        <v/>
      </c>
      <c r="R508" s="2" t="str">
        <f t="array" ref="R508">IF(NOW()&gt;BC508,"",IF(AND((WEEKDAY($A508)+$B$2)&gt;1,((WEEKDAY($A508)+$T$2)&lt;7),(WEEKDAY($A508)&lt;&gt;1)),"work",(INDEX(Subject!$A:$I,MATCH(RANDBETWEEN(1,(MAX(Subject!$B:$B))),Subject!$B:$B,0),3))))</f>
        <v/>
      </c>
      <c r="S508" s="2" t="str">
        <f t="array" ref="S508">IF(NOW()&gt;BD508,"",IF(AND((WEEKDAY($A508)+$B$2)&gt;1,((WEEKDAY($A508)+$T$2)&lt;7),(WEEKDAY($A508)&lt;&gt;1)),"work",(INDEX(Subject!$A:$I,MATCH(RANDBETWEEN(1,(MAX(Subject!$B:$B))),Subject!$B:$B,0),3))))</f>
        <v/>
      </c>
      <c r="T508" s="2" t="str">
        <f t="array" ref="T508">IF(NOW()&gt;BE508,"",IF(AND((WEEKDAY($A508)+$B$2)&gt;1,((WEEKDAY($A508)+$T$2)&lt;7),(WEEKDAY($A508)&lt;&gt;1)),"work",(INDEX(Subject!$A:$I,MATCH(RANDBETWEEN(1,(MAX(Subject!$B:$B))),Subject!$B:$B,0),3))))</f>
        <v/>
      </c>
      <c r="U508" s="8" t="str">
        <f t="array" ref="U508">INDEX(Subject!$A:$I,MATCH(RANDBETWEEN(1,16),Subject!$B:$B,0),3)</f>
        <v>#N/A</v>
      </c>
      <c r="V508" s="8" t="str">
        <f t="array" ref="V508">INDEX(Subject!$A:$I,MATCH(RANDBETWEEN(1,16),Subject!$B:$B,0),3)</f>
        <v>#N/A</v>
      </c>
      <c r="W508" s="8" t="str">
        <f t="array" ref="W508">INDEX(Subject!$A:$I,MATCH(RANDBETWEEN(1,16),Subject!$B:$B,0),3)</f>
        <v>#N/A</v>
      </c>
      <c r="X508" s="8" t="str">
        <f t="array" ref="X508">INDEX(Subject!$A:$I,MATCH(RANDBETWEEN(1,16),Subject!$B:$B,0),3)</f>
        <v>#N/A</v>
      </c>
      <c r="Y508" s="8" t="str">
        <f t="array" ref="Y508">INDEX(Subject!$A:$I,MATCH(RANDBETWEEN(1,16),Subject!$B:$B,0),3)</f>
        <v>#N/A</v>
      </c>
      <c r="Z508" s="8" t="str">
        <f t="array" ref="Z508">INDEX(Subject!$A:$I,MATCH(RANDBETWEEN(1,16),Subject!$B:$B,0),3)</f>
        <v>#N/A</v>
      </c>
      <c r="AA508" s="8" t="str">
        <f t="array" ref="AA508">INDEX(Subject!$A:$I,MATCH(RANDBETWEEN(1,16),Subject!$B:$B,0),3)</f>
        <v>#N/A</v>
      </c>
      <c r="AB508" s="8" t="str">
        <f t="array" ref="AB508">INDEX(Subject!$A:$I,MATCH(RANDBETWEEN(1,16),Subject!$B:$B,0),3)</f>
        <v>#N/A</v>
      </c>
      <c r="AC508" s="8" t="str">
        <f t="array" ref="AC508">INDEX(Subject!$A:$I,MATCH(RANDBETWEEN(1,16),Subject!$B:$B,0),3)</f>
        <v>#N/A</v>
      </c>
      <c r="AD508" s="8" t="str">
        <f t="array" ref="AD508">INDEX(Subject!$A:$I,MATCH(RANDBETWEEN(1,16),Subject!$B:$B,0),3)</f>
        <v>#N/A</v>
      </c>
      <c r="AE508" s="8" t="str">
        <f t="array" ref="AE508">INDEX(Subject!$A:$I,MATCH(RANDBETWEEN(1,16),Subject!$B:$B,0),3)</f>
        <v>#N/A</v>
      </c>
      <c r="AF508" s="8" t="str">
        <f t="array" ref="AF508">INDEX(Subject!$A:$I,MATCH(RANDBETWEEN(1,16),Subject!$B:$B,0),3)</f>
        <v>#N/A</v>
      </c>
      <c r="AG508" s="8" t="str">
        <f t="array" ref="AG508">INDEX(Subject!$A:$I,MATCH(RANDBETWEEN(1,16),Subject!$B:$B,0),3)</f>
        <v>#N/A</v>
      </c>
      <c r="AH508" s="8" t="str">
        <f t="array" ref="AH508">INDEX(Subject!$A:$I,MATCH(RANDBETWEEN(1,16),Subject!$B:$B,0),3)</f>
        <v>#N/A</v>
      </c>
      <c r="AI508" s="8" t="str">
        <f t="array" ref="AI508">INDEX(Subject!$A:$I,MATCH(RANDBETWEEN(1,16),Subject!$B:$B,0),3)</f>
        <v>#N/A</v>
      </c>
      <c r="AJ508" s="8" t="str">
        <f t="array" ref="AJ508">INDEX(Subject!$A:$I,MATCH(RANDBETWEEN(1,16),Subject!$B:$B,0),3)</f>
        <v>#N/A</v>
      </c>
      <c r="AK508" s="8" t="str">
        <f t="array" ref="AK508">INDEX(Subject!$A:$I,MATCH(RANDBETWEEN(1,16),Subject!$B:$B,0),3)</f>
        <v>#N/A</v>
      </c>
      <c r="AL508" s="8" t="str">
        <f t="array" ref="AL508">INDEX(Subject!$A:$I,MATCH(RANDBETWEEN(1,16),Subject!$B:$B,0),3)</f>
        <v>#N/A</v>
      </c>
      <c r="AM508" s="18">
        <f t="shared" si="4"/>
        <v>46008.33333</v>
      </c>
      <c r="AN508" s="19">
        <f t="shared" ref="AN508:BZ508" si="508">$A508+C$1</f>
        <v>46008.35417</v>
      </c>
      <c r="AO508" s="19">
        <f t="shared" si="508"/>
        <v>46008.375</v>
      </c>
      <c r="AP508" s="19">
        <f t="shared" si="508"/>
        <v>46008.39583</v>
      </c>
      <c r="AQ508" s="19">
        <f t="shared" si="508"/>
        <v>46008.41667</v>
      </c>
      <c r="AR508" s="19">
        <f t="shared" si="508"/>
        <v>46008.4375</v>
      </c>
      <c r="AS508" s="19">
        <f t="shared" si="508"/>
        <v>46008.45833</v>
      </c>
      <c r="AT508" s="19">
        <f t="shared" si="508"/>
        <v>46008.47917</v>
      </c>
      <c r="AU508" s="19">
        <f t="shared" si="508"/>
        <v>46008.5</v>
      </c>
      <c r="AV508" s="19">
        <f t="shared" si="508"/>
        <v>46008.52083</v>
      </c>
      <c r="AW508" s="19">
        <f t="shared" si="508"/>
        <v>46008.54167</v>
      </c>
      <c r="AX508" s="19">
        <f t="shared" si="508"/>
        <v>46008.5625</v>
      </c>
      <c r="AY508" s="19">
        <f t="shared" si="508"/>
        <v>46008.58333</v>
      </c>
      <c r="AZ508" s="19">
        <f t="shared" si="508"/>
        <v>46008.60417</v>
      </c>
      <c r="BA508" s="19">
        <f t="shared" si="508"/>
        <v>46008.625</v>
      </c>
      <c r="BB508" s="19">
        <f t="shared" si="508"/>
        <v>46008.64583</v>
      </c>
      <c r="BC508" s="19">
        <f t="shared" si="508"/>
        <v>46008.66667</v>
      </c>
      <c r="BD508" s="19">
        <f t="shared" si="508"/>
        <v>46008.6875</v>
      </c>
      <c r="BE508" s="19">
        <f t="shared" si="508"/>
        <v>46008.70833</v>
      </c>
      <c r="BF508" s="19">
        <f t="shared" si="508"/>
        <v>46008.72917</v>
      </c>
      <c r="BG508" s="19">
        <f t="shared" si="508"/>
        <v>46008.75</v>
      </c>
      <c r="BH508" s="19">
        <f t="shared" si="508"/>
        <v>46008.77083</v>
      </c>
      <c r="BI508" s="19">
        <f t="shared" si="508"/>
        <v>46008.79167</v>
      </c>
      <c r="BJ508" s="19">
        <f t="shared" si="508"/>
        <v>46008.8125</v>
      </c>
      <c r="BK508" s="19">
        <f t="shared" si="508"/>
        <v>46008.83333</v>
      </c>
      <c r="BL508" s="19">
        <f t="shared" si="508"/>
        <v>46008.85417</v>
      </c>
      <c r="BM508" s="19">
        <f t="shared" si="508"/>
        <v>46008.875</v>
      </c>
      <c r="BN508" s="19">
        <f t="shared" si="508"/>
        <v>46008.89583</v>
      </c>
      <c r="BO508" s="19">
        <f t="shared" si="508"/>
        <v>46008.91667</v>
      </c>
      <c r="BP508" s="19">
        <f t="shared" si="508"/>
        <v>46008.9375</v>
      </c>
      <c r="BQ508" s="19">
        <f t="shared" si="508"/>
        <v>46008.95833</v>
      </c>
      <c r="BR508" s="19">
        <f t="shared" si="508"/>
        <v>46008.97917</v>
      </c>
      <c r="BS508" s="19">
        <f t="shared" si="508"/>
        <v>46009</v>
      </c>
      <c r="BT508" s="19">
        <f t="shared" si="508"/>
        <v>46009.02083</v>
      </c>
      <c r="BU508" s="19">
        <f t="shared" si="508"/>
        <v>46009.04167</v>
      </c>
      <c r="BV508" s="19">
        <f t="shared" si="508"/>
        <v>46009.0625</v>
      </c>
      <c r="BW508" s="19">
        <f t="shared" si="508"/>
        <v>46009.08333</v>
      </c>
      <c r="BX508" s="19">
        <f t="shared" si="508"/>
        <v>46008</v>
      </c>
      <c r="BY508" s="19">
        <f t="shared" si="508"/>
        <v>46008</v>
      </c>
      <c r="BZ508" s="19">
        <f t="shared" si="508"/>
        <v>46008</v>
      </c>
    </row>
    <row r="509" ht="14.25" customHeight="1">
      <c r="A509" s="17">
        <v>46009.0</v>
      </c>
      <c r="B509" s="2" t="str">
        <f t="array" ref="B509">IF(NOW()&gt;AM509,"",IF(AND((WEEKDAY($A509)+$B$2)&gt;1,((WEEKDAY($A509)+$T$2)&lt;7),(WEEKDAY($A509)&lt;&gt;1)),"work",(INDEX(Subject!$A:$I,MATCH(RANDBETWEEN(1,(MAX(Subject!$B:$B))),Subject!$B:$B,0),3))))</f>
        <v/>
      </c>
      <c r="C509" s="2" t="str">
        <f t="array" ref="C509">IF(NOW()&gt;AN509,"",IF(AND((WEEKDAY($A509)+$B$2)&gt;1,((WEEKDAY($A509)+$T$2)&lt;7),(WEEKDAY($A509)&lt;&gt;1)),"work",(INDEX(Subject!$A:$I,MATCH(RANDBETWEEN(1,(MAX(Subject!$B:$B))),Subject!$B:$B,0),3))))</f>
        <v/>
      </c>
      <c r="D509" s="2" t="str">
        <f t="array" ref="D509">IF(NOW()&gt;AO509,"",IF(AND((WEEKDAY($A509)+$B$2)&gt;1,((WEEKDAY($A509)+$T$2)&lt;7),(WEEKDAY($A509)&lt;&gt;1)),"work",(INDEX(Subject!$A:$I,MATCH(RANDBETWEEN(1,(MAX(Subject!$B:$B))),Subject!$B:$B,0),3))))</f>
        <v/>
      </c>
      <c r="E509" s="2" t="str">
        <f t="array" ref="E509">IF(NOW()&gt;AP509,"",IF(AND((WEEKDAY($A509)+$B$2)&gt;1,((WEEKDAY($A509)+$T$2)&lt;7),(WEEKDAY($A509)&lt;&gt;1)),"work",(INDEX(Subject!$A:$I,MATCH(RANDBETWEEN(1,(MAX(Subject!$B:$B))),Subject!$B:$B,0),3))))</f>
        <v/>
      </c>
      <c r="F509" s="2" t="str">
        <f t="array" ref="F509">IF(NOW()&gt;AQ509,"",IF(AND((WEEKDAY($A509)+$B$2)&gt;1,((WEEKDAY($A509)+$T$2)&lt;7),(WEEKDAY($A509)&lt;&gt;1)),"work",(INDEX(Subject!$A:$I,MATCH(RANDBETWEEN(1,(MAX(Subject!$B:$B))),Subject!$B:$B,0),3))))</f>
        <v/>
      </c>
      <c r="G509" s="2" t="str">
        <f t="array" ref="G509">IF(NOW()&gt;AR509,"",IF(AND((WEEKDAY($A509)+$B$2)&gt;1,((WEEKDAY($A509)+$T$2)&lt;7),(WEEKDAY($A509)&lt;&gt;1)),"work",(INDEX(Subject!$A:$I,MATCH(RANDBETWEEN(1,(MAX(Subject!$B:$B))),Subject!$B:$B,0),3))))</f>
        <v/>
      </c>
      <c r="H509" s="2" t="str">
        <f t="array" ref="H509">IF(NOW()&gt;AS509,"",IF(AND((WEEKDAY($A509)+$B$2)&gt;1,((WEEKDAY($A509)+$T$2)&lt;7),(WEEKDAY($A509)&lt;&gt;1)),"work",(INDEX(Subject!$A:$I,MATCH(RANDBETWEEN(1,(MAX(Subject!$B:$B))),Subject!$B:$B,0),3))))</f>
        <v/>
      </c>
      <c r="I509" s="2" t="str">
        <f t="array" ref="I509">IF(NOW()&gt;AT509,"",IF(AND((WEEKDAY($A509)+$B$2)&gt;1,((WEEKDAY($A509)+$T$2)&lt;7),(WEEKDAY($A509)&lt;&gt;1)),"work",(INDEX(Subject!$A:$I,MATCH(RANDBETWEEN(1,(MAX(Subject!$B:$B))),Subject!$B:$B,0),3))))</f>
        <v/>
      </c>
      <c r="J509" s="2" t="str">
        <f t="array" ref="J509">IF(NOW()&gt;AU509,"",IF(AND((WEEKDAY($A509)+$B$2)&gt;1,((WEEKDAY($A509)+$T$2)&lt;7),(WEEKDAY($A509)&lt;&gt;1)),"work",(INDEX(Subject!$A:$I,MATCH(RANDBETWEEN(1,(MAX(Subject!$B:$B))),Subject!$B:$B,0),3))))</f>
        <v/>
      </c>
      <c r="K509" s="2" t="str">
        <f t="array" ref="K509">IF(NOW()&gt;AV509,"",IF(AND((WEEKDAY($A509)+$B$2)&gt;1,((WEEKDAY($A509)+$T$2)&lt;7),(WEEKDAY($A509)&lt;&gt;1)),"work",(INDEX(Subject!$A:$I,MATCH(RANDBETWEEN(1,(MAX(Subject!$B:$B))),Subject!$B:$B,0),3))))</f>
        <v/>
      </c>
      <c r="L509" s="2" t="str">
        <f t="array" ref="L509">IF(NOW()&gt;AW509,"",IF(AND((WEEKDAY($A509)+$B$2)&gt;1,((WEEKDAY($A509)+$T$2)&lt;7),(WEEKDAY($A509)&lt;&gt;1)),"work",(INDEX(Subject!$A:$I,MATCH(RANDBETWEEN(1,(MAX(Subject!$B:$B))),Subject!$B:$B,0),3))))</f>
        <v/>
      </c>
      <c r="M509" s="2" t="str">
        <f t="array" ref="M509">IF(NOW()&gt;AX509,"",IF(AND((WEEKDAY($A509)+$B$2)&gt;1,((WEEKDAY($A509)+$T$2)&lt;7),(WEEKDAY($A509)&lt;&gt;1)),"work",(INDEX(Subject!$A:$I,MATCH(RANDBETWEEN(1,(MAX(Subject!$B:$B))),Subject!$B:$B,0),3))))</f>
        <v/>
      </c>
      <c r="N509" s="2" t="str">
        <f t="array" ref="N509">IF(NOW()&gt;AY509,"",IF(AND((WEEKDAY($A509)+$B$2)&gt;1,((WEEKDAY($A509)+$T$2)&lt;7),(WEEKDAY($A509)&lt;&gt;1)),"work",(INDEX(Subject!$A:$I,MATCH(RANDBETWEEN(1,(MAX(Subject!$B:$B))),Subject!$B:$B,0),3))))</f>
        <v/>
      </c>
      <c r="O509" s="2" t="str">
        <f t="array" ref="O509">IF(NOW()&gt;AZ509,"",IF(AND((WEEKDAY($A509)+$B$2)&gt;1,((WEEKDAY($A509)+$T$2)&lt;7),(WEEKDAY($A509)&lt;&gt;1)),"work",(INDEX(Subject!$A:$I,MATCH(RANDBETWEEN(1,(MAX(Subject!$B:$B))),Subject!$B:$B,0),3))))</f>
        <v/>
      </c>
      <c r="P509" s="2" t="str">
        <f t="array" ref="P509">IF(NOW()&gt;BA509,"",IF(AND((WEEKDAY($A509)+$B$2)&gt;1,((WEEKDAY($A509)+$T$2)&lt;7),(WEEKDAY($A509)&lt;&gt;1)),"work",(INDEX(Subject!$A:$I,MATCH(RANDBETWEEN(1,(MAX(Subject!$B:$B))),Subject!$B:$B,0),3))))</f>
        <v/>
      </c>
      <c r="Q509" s="2" t="str">
        <f t="array" ref="Q509">IF(NOW()&gt;BB509,"",IF(AND((WEEKDAY($A509)+$B$2)&gt;1,((WEEKDAY($A509)+$T$2)&lt;7),(WEEKDAY($A509)&lt;&gt;1)),"work",(INDEX(Subject!$A:$I,MATCH(RANDBETWEEN(1,(MAX(Subject!$B:$B))),Subject!$B:$B,0),3))))</f>
        <v/>
      </c>
      <c r="R509" s="2" t="str">
        <f t="array" ref="R509">IF(NOW()&gt;BC509,"",IF(AND((WEEKDAY($A509)+$B$2)&gt;1,((WEEKDAY($A509)+$T$2)&lt;7),(WEEKDAY($A509)&lt;&gt;1)),"work",(INDEX(Subject!$A:$I,MATCH(RANDBETWEEN(1,(MAX(Subject!$B:$B))),Subject!$B:$B,0),3))))</f>
        <v/>
      </c>
      <c r="S509" s="2" t="str">
        <f t="array" ref="S509">IF(NOW()&gt;BD509,"",IF(AND((WEEKDAY($A509)+$B$2)&gt;1,((WEEKDAY($A509)+$T$2)&lt;7),(WEEKDAY($A509)&lt;&gt;1)),"work",(INDEX(Subject!$A:$I,MATCH(RANDBETWEEN(1,(MAX(Subject!$B:$B))),Subject!$B:$B,0),3))))</f>
        <v/>
      </c>
      <c r="T509" s="2" t="str">
        <f t="array" ref="T509">IF(NOW()&gt;BE509,"",IF(AND((WEEKDAY($A509)+$B$2)&gt;1,((WEEKDAY($A509)+$T$2)&lt;7),(WEEKDAY($A509)&lt;&gt;1)),"work",(INDEX(Subject!$A:$I,MATCH(RANDBETWEEN(1,(MAX(Subject!$B:$B))),Subject!$B:$B,0),3))))</f>
        <v/>
      </c>
      <c r="U509" s="8" t="str">
        <f t="array" ref="U509">INDEX(Subject!$A:$I,MATCH(RANDBETWEEN(1,16),Subject!$B:$B,0),3)</f>
        <v>#N/A</v>
      </c>
      <c r="V509" s="8" t="str">
        <f t="array" ref="V509">INDEX(Subject!$A:$I,MATCH(RANDBETWEEN(1,16),Subject!$B:$B,0),3)</f>
        <v>#N/A</v>
      </c>
      <c r="W509" s="8" t="str">
        <f t="array" ref="W509">INDEX(Subject!$A:$I,MATCH(RANDBETWEEN(1,16),Subject!$B:$B,0),3)</f>
        <v>#N/A</v>
      </c>
      <c r="X509" s="8" t="str">
        <f t="array" ref="X509">INDEX(Subject!$A:$I,MATCH(RANDBETWEEN(1,16),Subject!$B:$B,0),3)</f>
        <v>#N/A</v>
      </c>
      <c r="Y509" s="8" t="str">
        <f t="array" ref="Y509">INDEX(Subject!$A:$I,MATCH(RANDBETWEEN(1,16),Subject!$B:$B,0),3)</f>
        <v/>
      </c>
      <c r="Z509" s="8" t="str">
        <f t="array" ref="Z509">INDEX(Subject!$A:$I,MATCH(RANDBETWEEN(1,16),Subject!$B:$B,0),3)</f>
        <v>#N/A</v>
      </c>
      <c r="AA509" s="8" t="str">
        <f t="array" ref="AA509">INDEX(Subject!$A:$I,MATCH(RANDBETWEEN(1,16),Subject!$B:$B,0),3)</f>
        <v>#N/A</v>
      </c>
      <c r="AB509" s="8" t="str">
        <f t="array" ref="AB509">INDEX(Subject!$A:$I,MATCH(RANDBETWEEN(1,16),Subject!$B:$B,0),3)</f>
        <v>#N/A</v>
      </c>
      <c r="AC509" s="8" t="str">
        <f t="array" ref="AC509">INDEX(Subject!$A:$I,MATCH(RANDBETWEEN(1,16),Subject!$B:$B,0),3)</f>
        <v>#N/A</v>
      </c>
      <c r="AD509" s="8" t="str">
        <f t="array" ref="AD509">INDEX(Subject!$A:$I,MATCH(RANDBETWEEN(1,16),Subject!$B:$B,0),3)</f>
        <v>#N/A</v>
      </c>
      <c r="AE509" s="8" t="str">
        <f t="array" ref="AE509">INDEX(Subject!$A:$I,MATCH(RANDBETWEEN(1,16),Subject!$B:$B,0),3)</f>
        <v>#N/A</v>
      </c>
      <c r="AF509" s="8" t="str">
        <f t="array" ref="AF509">INDEX(Subject!$A:$I,MATCH(RANDBETWEEN(1,16),Subject!$B:$B,0),3)</f>
        <v>#N/A</v>
      </c>
      <c r="AG509" s="8" t="str">
        <f t="array" ref="AG509">INDEX(Subject!$A:$I,MATCH(RANDBETWEEN(1,16),Subject!$B:$B,0),3)</f>
        <v>#N/A</v>
      </c>
      <c r="AH509" s="8" t="str">
        <f t="array" ref="AH509">INDEX(Subject!$A:$I,MATCH(RANDBETWEEN(1,16),Subject!$B:$B,0),3)</f>
        <v>#N/A</v>
      </c>
      <c r="AI509" s="8" t="str">
        <f t="array" ref="AI509">INDEX(Subject!$A:$I,MATCH(RANDBETWEEN(1,16),Subject!$B:$B,0),3)</f>
        <v>#N/A</v>
      </c>
      <c r="AJ509" s="8" t="str">
        <f t="array" ref="AJ509">INDEX(Subject!$A:$I,MATCH(RANDBETWEEN(1,16),Subject!$B:$B,0),3)</f>
        <v>#N/A</v>
      </c>
      <c r="AK509" s="8" t="str">
        <f t="array" ref="AK509">INDEX(Subject!$A:$I,MATCH(RANDBETWEEN(1,16),Subject!$B:$B,0),3)</f>
        <v>#N/A</v>
      </c>
      <c r="AL509" s="8" t="str">
        <f t="array" ref="AL509">INDEX(Subject!$A:$I,MATCH(RANDBETWEEN(1,16),Subject!$B:$B,0),3)</f>
        <v>#N/A</v>
      </c>
      <c r="AM509" s="18">
        <f t="shared" si="4"/>
        <v>46009.33333</v>
      </c>
      <c r="AN509" s="19">
        <f t="shared" ref="AN509:BZ509" si="509">$A509+C$1</f>
        <v>46009.35417</v>
      </c>
      <c r="AO509" s="19">
        <f t="shared" si="509"/>
        <v>46009.375</v>
      </c>
      <c r="AP509" s="19">
        <f t="shared" si="509"/>
        <v>46009.39583</v>
      </c>
      <c r="AQ509" s="19">
        <f t="shared" si="509"/>
        <v>46009.41667</v>
      </c>
      <c r="AR509" s="19">
        <f t="shared" si="509"/>
        <v>46009.4375</v>
      </c>
      <c r="AS509" s="19">
        <f t="shared" si="509"/>
        <v>46009.45833</v>
      </c>
      <c r="AT509" s="19">
        <f t="shared" si="509"/>
        <v>46009.47917</v>
      </c>
      <c r="AU509" s="19">
        <f t="shared" si="509"/>
        <v>46009.5</v>
      </c>
      <c r="AV509" s="19">
        <f t="shared" si="509"/>
        <v>46009.52083</v>
      </c>
      <c r="AW509" s="19">
        <f t="shared" si="509"/>
        <v>46009.54167</v>
      </c>
      <c r="AX509" s="19">
        <f t="shared" si="509"/>
        <v>46009.5625</v>
      </c>
      <c r="AY509" s="19">
        <f t="shared" si="509"/>
        <v>46009.58333</v>
      </c>
      <c r="AZ509" s="19">
        <f t="shared" si="509"/>
        <v>46009.60417</v>
      </c>
      <c r="BA509" s="19">
        <f t="shared" si="509"/>
        <v>46009.625</v>
      </c>
      <c r="BB509" s="19">
        <f t="shared" si="509"/>
        <v>46009.64583</v>
      </c>
      <c r="BC509" s="19">
        <f t="shared" si="509"/>
        <v>46009.66667</v>
      </c>
      <c r="BD509" s="19">
        <f t="shared" si="509"/>
        <v>46009.6875</v>
      </c>
      <c r="BE509" s="19">
        <f t="shared" si="509"/>
        <v>46009.70833</v>
      </c>
      <c r="BF509" s="19">
        <f t="shared" si="509"/>
        <v>46009.72917</v>
      </c>
      <c r="BG509" s="19">
        <f t="shared" si="509"/>
        <v>46009.75</v>
      </c>
      <c r="BH509" s="19">
        <f t="shared" si="509"/>
        <v>46009.77083</v>
      </c>
      <c r="BI509" s="19">
        <f t="shared" si="509"/>
        <v>46009.79167</v>
      </c>
      <c r="BJ509" s="19">
        <f t="shared" si="509"/>
        <v>46009.8125</v>
      </c>
      <c r="BK509" s="19">
        <f t="shared" si="509"/>
        <v>46009.83333</v>
      </c>
      <c r="BL509" s="19">
        <f t="shared" si="509"/>
        <v>46009.85417</v>
      </c>
      <c r="BM509" s="19">
        <f t="shared" si="509"/>
        <v>46009.875</v>
      </c>
      <c r="BN509" s="19">
        <f t="shared" si="509"/>
        <v>46009.89583</v>
      </c>
      <c r="BO509" s="19">
        <f t="shared" si="509"/>
        <v>46009.91667</v>
      </c>
      <c r="BP509" s="19">
        <f t="shared" si="509"/>
        <v>46009.9375</v>
      </c>
      <c r="BQ509" s="19">
        <f t="shared" si="509"/>
        <v>46009.95833</v>
      </c>
      <c r="BR509" s="19">
        <f t="shared" si="509"/>
        <v>46009.97917</v>
      </c>
      <c r="BS509" s="19">
        <f t="shared" si="509"/>
        <v>46010</v>
      </c>
      <c r="BT509" s="19">
        <f t="shared" si="509"/>
        <v>46010.02083</v>
      </c>
      <c r="BU509" s="19">
        <f t="shared" si="509"/>
        <v>46010.04167</v>
      </c>
      <c r="BV509" s="19">
        <f t="shared" si="509"/>
        <v>46010.0625</v>
      </c>
      <c r="BW509" s="19">
        <f t="shared" si="509"/>
        <v>46010.08333</v>
      </c>
      <c r="BX509" s="19">
        <f t="shared" si="509"/>
        <v>46009</v>
      </c>
      <c r="BY509" s="19">
        <f t="shared" si="509"/>
        <v>46009</v>
      </c>
      <c r="BZ509" s="19">
        <f t="shared" si="509"/>
        <v>46009</v>
      </c>
    </row>
    <row r="510" ht="14.25" customHeight="1">
      <c r="A510" s="17">
        <v>46010.0</v>
      </c>
      <c r="B510" s="2" t="str">
        <f t="array" ref="B510">IF(NOW()&gt;AM510,"",IF(AND((WEEKDAY($A510)+$B$2)&gt;1,((WEEKDAY($A510)+$T$2)&lt;7),(WEEKDAY($A510)&lt;&gt;1)),"work",(INDEX(Subject!$A:$I,MATCH(RANDBETWEEN(1,(MAX(Subject!$B:$B))),Subject!$B:$B,0),3))))</f>
        <v/>
      </c>
      <c r="C510" s="2" t="str">
        <f t="array" ref="C510">IF(NOW()&gt;AN510,"",IF(AND((WEEKDAY($A510)+$B$2)&gt;1,((WEEKDAY($A510)+$T$2)&lt;7),(WEEKDAY($A510)&lt;&gt;1)),"work",(INDEX(Subject!$A:$I,MATCH(RANDBETWEEN(1,(MAX(Subject!$B:$B))),Subject!$B:$B,0),3))))</f>
        <v/>
      </c>
      <c r="D510" s="2" t="str">
        <f t="array" ref="D510">IF(NOW()&gt;AO510,"",IF(AND((WEEKDAY($A510)+$B$2)&gt;1,((WEEKDAY($A510)+$T$2)&lt;7),(WEEKDAY($A510)&lt;&gt;1)),"work",(INDEX(Subject!$A:$I,MATCH(RANDBETWEEN(1,(MAX(Subject!$B:$B))),Subject!$B:$B,0),3))))</f>
        <v/>
      </c>
      <c r="E510" s="2" t="str">
        <f t="array" ref="E510">IF(NOW()&gt;AP510,"",IF(AND((WEEKDAY($A510)+$B$2)&gt;1,((WEEKDAY($A510)+$T$2)&lt;7),(WEEKDAY($A510)&lt;&gt;1)),"work",(INDEX(Subject!$A:$I,MATCH(RANDBETWEEN(1,(MAX(Subject!$B:$B))),Subject!$B:$B,0),3))))</f>
        <v/>
      </c>
      <c r="F510" s="2" t="str">
        <f t="array" ref="F510">IF(NOW()&gt;AQ510,"",IF(AND((WEEKDAY($A510)+$B$2)&gt;1,((WEEKDAY($A510)+$T$2)&lt;7),(WEEKDAY($A510)&lt;&gt;1)),"work",(INDEX(Subject!$A:$I,MATCH(RANDBETWEEN(1,(MAX(Subject!$B:$B))),Subject!$B:$B,0),3))))</f>
        <v/>
      </c>
      <c r="G510" s="2" t="str">
        <f t="array" ref="G510">IF(NOW()&gt;AR510,"",IF(AND((WEEKDAY($A510)+$B$2)&gt;1,((WEEKDAY($A510)+$T$2)&lt;7),(WEEKDAY($A510)&lt;&gt;1)),"work",(INDEX(Subject!$A:$I,MATCH(RANDBETWEEN(1,(MAX(Subject!$B:$B))),Subject!$B:$B,0),3))))</f>
        <v/>
      </c>
      <c r="H510" s="2" t="str">
        <f t="array" ref="H510">IF(NOW()&gt;AS510,"",IF(AND((WEEKDAY($A510)+$B$2)&gt;1,((WEEKDAY($A510)+$T$2)&lt;7),(WEEKDAY($A510)&lt;&gt;1)),"work",(INDEX(Subject!$A:$I,MATCH(RANDBETWEEN(1,(MAX(Subject!$B:$B))),Subject!$B:$B,0),3))))</f>
        <v/>
      </c>
      <c r="I510" s="2" t="str">
        <f t="array" ref="I510">IF(NOW()&gt;AT510,"",IF(AND((WEEKDAY($A510)+$B$2)&gt;1,((WEEKDAY($A510)+$T$2)&lt;7),(WEEKDAY($A510)&lt;&gt;1)),"work",(INDEX(Subject!$A:$I,MATCH(RANDBETWEEN(1,(MAX(Subject!$B:$B))),Subject!$B:$B,0),3))))</f>
        <v/>
      </c>
      <c r="J510" s="2" t="str">
        <f t="array" ref="J510">IF(NOW()&gt;AU510,"",IF(AND((WEEKDAY($A510)+$B$2)&gt;1,((WEEKDAY($A510)+$T$2)&lt;7),(WEEKDAY($A510)&lt;&gt;1)),"work",(INDEX(Subject!$A:$I,MATCH(RANDBETWEEN(1,(MAX(Subject!$B:$B))),Subject!$B:$B,0),3))))</f>
        <v/>
      </c>
      <c r="K510" s="2" t="str">
        <f t="array" ref="K510">IF(NOW()&gt;AV510,"",IF(AND((WEEKDAY($A510)+$B$2)&gt;1,((WEEKDAY($A510)+$T$2)&lt;7),(WEEKDAY($A510)&lt;&gt;1)),"work",(INDEX(Subject!$A:$I,MATCH(RANDBETWEEN(1,(MAX(Subject!$B:$B))),Subject!$B:$B,0),3))))</f>
        <v/>
      </c>
      <c r="L510" s="2" t="str">
        <f t="array" ref="L510">IF(NOW()&gt;AW510,"",IF(AND((WEEKDAY($A510)+$B$2)&gt;1,((WEEKDAY($A510)+$T$2)&lt;7),(WEEKDAY($A510)&lt;&gt;1)),"work",(INDEX(Subject!$A:$I,MATCH(RANDBETWEEN(1,(MAX(Subject!$B:$B))),Subject!$B:$B,0),3))))</f>
        <v/>
      </c>
      <c r="M510" s="2" t="str">
        <f t="array" ref="M510">IF(NOW()&gt;AX510,"",IF(AND((WEEKDAY($A510)+$B$2)&gt;1,((WEEKDAY($A510)+$T$2)&lt;7),(WEEKDAY($A510)&lt;&gt;1)),"work",(INDEX(Subject!$A:$I,MATCH(RANDBETWEEN(1,(MAX(Subject!$B:$B))),Subject!$B:$B,0),3))))</f>
        <v/>
      </c>
      <c r="N510" s="2" t="str">
        <f t="array" ref="N510">IF(NOW()&gt;AY510,"",IF(AND((WEEKDAY($A510)+$B$2)&gt;1,((WEEKDAY($A510)+$T$2)&lt;7),(WEEKDAY($A510)&lt;&gt;1)),"work",(INDEX(Subject!$A:$I,MATCH(RANDBETWEEN(1,(MAX(Subject!$B:$B))),Subject!$B:$B,0),3))))</f>
        <v/>
      </c>
      <c r="O510" s="2" t="str">
        <f t="array" ref="O510">IF(NOW()&gt;AZ510,"",IF(AND((WEEKDAY($A510)+$B$2)&gt;1,((WEEKDAY($A510)+$T$2)&lt;7),(WEEKDAY($A510)&lt;&gt;1)),"work",(INDEX(Subject!$A:$I,MATCH(RANDBETWEEN(1,(MAX(Subject!$B:$B))),Subject!$B:$B,0),3))))</f>
        <v/>
      </c>
      <c r="P510" s="2" t="str">
        <f t="array" ref="P510">IF(NOW()&gt;BA510,"",IF(AND((WEEKDAY($A510)+$B$2)&gt;1,((WEEKDAY($A510)+$T$2)&lt;7),(WEEKDAY($A510)&lt;&gt;1)),"work",(INDEX(Subject!$A:$I,MATCH(RANDBETWEEN(1,(MAX(Subject!$B:$B))),Subject!$B:$B,0),3))))</f>
        <v/>
      </c>
      <c r="Q510" s="2" t="str">
        <f t="array" ref="Q510">IF(NOW()&gt;BB510,"",IF(AND((WEEKDAY($A510)+$B$2)&gt;1,((WEEKDAY($A510)+$T$2)&lt;7),(WEEKDAY($A510)&lt;&gt;1)),"work",(INDEX(Subject!$A:$I,MATCH(RANDBETWEEN(1,(MAX(Subject!$B:$B))),Subject!$B:$B,0),3))))</f>
        <v/>
      </c>
      <c r="R510" s="2" t="str">
        <f t="array" ref="R510">IF(NOW()&gt;BC510,"",IF(AND((WEEKDAY($A510)+$B$2)&gt;1,((WEEKDAY($A510)+$T$2)&lt;7),(WEEKDAY($A510)&lt;&gt;1)),"work",(INDEX(Subject!$A:$I,MATCH(RANDBETWEEN(1,(MAX(Subject!$B:$B))),Subject!$B:$B,0),3))))</f>
        <v/>
      </c>
      <c r="S510" s="2" t="str">
        <f t="array" ref="S510">IF(NOW()&gt;BD510,"",IF(AND((WEEKDAY($A510)+$B$2)&gt;1,((WEEKDAY($A510)+$T$2)&lt;7),(WEEKDAY($A510)&lt;&gt;1)),"work",(INDEX(Subject!$A:$I,MATCH(RANDBETWEEN(1,(MAX(Subject!$B:$B))),Subject!$B:$B,0),3))))</f>
        <v/>
      </c>
      <c r="T510" s="2" t="str">
        <f t="array" ref="T510">IF(NOW()&gt;BE510,"",IF(AND((WEEKDAY($A510)+$B$2)&gt;1,((WEEKDAY($A510)+$T$2)&lt;7),(WEEKDAY($A510)&lt;&gt;1)),"work",(INDEX(Subject!$A:$I,MATCH(RANDBETWEEN(1,(MAX(Subject!$B:$B))),Subject!$B:$B,0),3))))</f>
        <v/>
      </c>
      <c r="U510" s="8" t="str">
        <f t="array" ref="U510">INDEX(Subject!$A:$I,MATCH(RANDBETWEEN(1,16),Subject!$B:$B,0),3)</f>
        <v>#N/A</v>
      </c>
      <c r="V510" s="8" t="str">
        <f t="array" ref="V510">INDEX(Subject!$A:$I,MATCH(RANDBETWEEN(1,16),Subject!$B:$B,0),3)</f>
        <v>#N/A</v>
      </c>
      <c r="W510" s="8" t="str">
        <f t="array" ref="W510">INDEX(Subject!$A:$I,MATCH(RANDBETWEEN(1,16),Subject!$B:$B,0),3)</f>
        <v/>
      </c>
      <c r="X510" s="8" t="str">
        <f t="array" ref="X510">INDEX(Subject!$A:$I,MATCH(RANDBETWEEN(1,16),Subject!$B:$B,0),3)</f>
        <v>#N/A</v>
      </c>
      <c r="Y510" s="8" t="str">
        <f t="array" ref="Y510">INDEX(Subject!$A:$I,MATCH(RANDBETWEEN(1,16),Subject!$B:$B,0),3)</f>
        <v>#N/A</v>
      </c>
      <c r="Z510" s="8" t="str">
        <f t="array" ref="Z510">INDEX(Subject!$A:$I,MATCH(RANDBETWEEN(1,16),Subject!$B:$B,0),3)</f>
        <v>#N/A</v>
      </c>
      <c r="AA510" s="8" t="str">
        <f t="array" ref="AA510">INDEX(Subject!$A:$I,MATCH(RANDBETWEEN(1,16),Subject!$B:$B,0),3)</f>
        <v>#N/A</v>
      </c>
      <c r="AB510" s="8" t="str">
        <f t="array" ref="AB510">INDEX(Subject!$A:$I,MATCH(RANDBETWEEN(1,16),Subject!$B:$B,0),3)</f>
        <v>#N/A</v>
      </c>
      <c r="AC510" s="8" t="str">
        <f t="array" ref="AC510">INDEX(Subject!$A:$I,MATCH(RANDBETWEEN(1,16),Subject!$B:$B,0),3)</f>
        <v>#N/A</v>
      </c>
      <c r="AD510" s="8" t="str">
        <f t="array" ref="AD510">INDEX(Subject!$A:$I,MATCH(RANDBETWEEN(1,16),Subject!$B:$B,0),3)</f>
        <v>#N/A</v>
      </c>
      <c r="AE510" s="8" t="str">
        <f t="array" ref="AE510">INDEX(Subject!$A:$I,MATCH(RANDBETWEEN(1,16),Subject!$B:$B,0),3)</f>
        <v>#N/A</v>
      </c>
      <c r="AF510" s="8" t="str">
        <f t="array" ref="AF510">INDEX(Subject!$A:$I,MATCH(RANDBETWEEN(1,16),Subject!$B:$B,0),3)</f>
        <v>#N/A</v>
      </c>
      <c r="AG510" s="8" t="str">
        <f t="array" ref="AG510">INDEX(Subject!$A:$I,MATCH(RANDBETWEEN(1,16),Subject!$B:$B,0),3)</f>
        <v>#N/A</v>
      </c>
      <c r="AH510" s="8" t="str">
        <f t="array" ref="AH510">INDEX(Subject!$A:$I,MATCH(RANDBETWEEN(1,16),Subject!$B:$B,0),3)</f>
        <v>#N/A</v>
      </c>
      <c r="AI510" s="8" t="str">
        <f t="array" ref="AI510">INDEX(Subject!$A:$I,MATCH(RANDBETWEEN(1,16),Subject!$B:$B,0),3)</f>
        <v>#N/A</v>
      </c>
      <c r="AJ510" s="8" t="str">
        <f t="array" ref="AJ510">INDEX(Subject!$A:$I,MATCH(RANDBETWEEN(1,16),Subject!$B:$B,0),3)</f>
        <v>#N/A</v>
      </c>
      <c r="AK510" s="8" t="str">
        <f t="array" ref="AK510">INDEX(Subject!$A:$I,MATCH(RANDBETWEEN(1,16),Subject!$B:$B,0),3)</f>
        <v>#N/A</v>
      </c>
      <c r="AL510" s="8" t="str">
        <f t="array" ref="AL510">INDEX(Subject!$A:$I,MATCH(RANDBETWEEN(1,16),Subject!$B:$B,0),3)</f>
        <v>#N/A</v>
      </c>
      <c r="AM510" s="18">
        <f t="shared" si="4"/>
        <v>46010.33333</v>
      </c>
      <c r="AN510" s="19">
        <f t="shared" ref="AN510:BZ510" si="510">$A510+C$1</f>
        <v>46010.35417</v>
      </c>
      <c r="AO510" s="19">
        <f t="shared" si="510"/>
        <v>46010.375</v>
      </c>
      <c r="AP510" s="19">
        <f t="shared" si="510"/>
        <v>46010.39583</v>
      </c>
      <c r="AQ510" s="19">
        <f t="shared" si="510"/>
        <v>46010.41667</v>
      </c>
      <c r="AR510" s="19">
        <f t="shared" si="510"/>
        <v>46010.4375</v>
      </c>
      <c r="AS510" s="19">
        <f t="shared" si="510"/>
        <v>46010.45833</v>
      </c>
      <c r="AT510" s="19">
        <f t="shared" si="510"/>
        <v>46010.47917</v>
      </c>
      <c r="AU510" s="19">
        <f t="shared" si="510"/>
        <v>46010.5</v>
      </c>
      <c r="AV510" s="19">
        <f t="shared" si="510"/>
        <v>46010.52083</v>
      </c>
      <c r="AW510" s="19">
        <f t="shared" si="510"/>
        <v>46010.54167</v>
      </c>
      <c r="AX510" s="19">
        <f t="shared" si="510"/>
        <v>46010.5625</v>
      </c>
      <c r="AY510" s="19">
        <f t="shared" si="510"/>
        <v>46010.58333</v>
      </c>
      <c r="AZ510" s="19">
        <f t="shared" si="510"/>
        <v>46010.60417</v>
      </c>
      <c r="BA510" s="19">
        <f t="shared" si="510"/>
        <v>46010.625</v>
      </c>
      <c r="BB510" s="19">
        <f t="shared" si="510"/>
        <v>46010.64583</v>
      </c>
      <c r="BC510" s="19">
        <f t="shared" si="510"/>
        <v>46010.66667</v>
      </c>
      <c r="BD510" s="19">
        <f t="shared" si="510"/>
        <v>46010.6875</v>
      </c>
      <c r="BE510" s="19">
        <f t="shared" si="510"/>
        <v>46010.70833</v>
      </c>
      <c r="BF510" s="19">
        <f t="shared" si="510"/>
        <v>46010.72917</v>
      </c>
      <c r="BG510" s="19">
        <f t="shared" si="510"/>
        <v>46010.75</v>
      </c>
      <c r="BH510" s="19">
        <f t="shared" si="510"/>
        <v>46010.77083</v>
      </c>
      <c r="BI510" s="19">
        <f t="shared" si="510"/>
        <v>46010.79167</v>
      </c>
      <c r="BJ510" s="19">
        <f t="shared" si="510"/>
        <v>46010.8125</v>
      </c>
      <c r="BK510" s="19">
        <f t="shared" si="510"/>
        <v>46010.83333</v>
      </c>
      <c r="BL510" s="19">
        <f t="shared" si="510"/>
        <v>46010.85417</v>
      </c>
      <c r="BM510" s="19">
        <f t="shared" si="510"/>
        <v>46010.875</v>
      </c>
      <c r="BN510" s="19">
        <f t="shared" si="510"/>
        <v>46010.89583</v>
      </c>
      <c r="BO510" s="19">
        <f t="shared" si="510"/>
        <v>46010.91667</v>
      </c>
      <c r="BP510" s="19">
        <f t="shared" si="510"/>
        <v>46010.9375</v>
      </c>
      <c r="BQ510" s="19">
        <f t="shared" si="510"/>
        <v>46010.95833</v>
      </c>
      <c r="BR510" s="19">
        <f t="shared" si="510"/>
        <v>46010.97917</v>
      </c>
      <c r="BS510" s="19">
        <f t="shared" si="510"/>
        <v>46011</v>
      </c>
      <c r="BT510" s="19">
        <f t="shared" si="510"/>
        <v>46011.02083</v>
      </c>
      <c r="BU510" s="19">
        <f t="shared" si="510"/>
        <v>46011.04167</v>
      </c>
      <c r="BV510" s="19">
        <f t="shared" si="510"/>
        <v>46011.0625</v>
      </c>
      <c r="BW510" s="19">
        <f t="shared" si="510"/>
        <v>46011.08333</v>
      </c>
      <c r="BX510" s="19">
        <f t="shared" si="510"/>
        <v>46010</v>
      </c>
      <c r="BY510" s="19">
        <f t="shared" si="510"/>
        <v>46010</v>
      </c>
      <c r="BZ510" s="19">
        <f t="shared" si="510"/>
        <v>46010</v>
      </c>
    </row>
    <row r="511" ht="14.25" customHeight="1">
      <c r="A511" s="17">
        <v>46011.0</v>
      </c>
      <c r="B511" s="2" t="str">
        <f t="array" ref="B511">IF(NOW()&gt;AM511,"",IF(AND((WEEKDAY($A511)+$B$2)&gt;1,((WEEKDAY($A511)+$T$2)&lt;7),(WEEKDAY($A511)&lt;&gt;1)),"work",(INDEX(Subject!$A:$I,MATCH(RANDBETWEEN(1,(MAX(Subject!$B:$B))),Subject!$B:$B,0),3))))</f>
        <v/>
      </c>
      <c r="C511" s="2" t="str">
        <f t="array" ref="C511">IF(NOW()&gt;AN511,"",IF(AND((WEEKDAY($A511)+$B$2)&gt;1,((WEEKDAY($A511)+$T$2)&lt;7),(WEEKDAY($A511)&lt;&gt;1)),"work",(INDEX(Subject!$A:$I,MATCH(RANDBETWEEN(1,(MAX(Subject!$B:$B))),Subject!$B:$B,0),3))))</f>
        <v/>
      </c>
      <c r="D511" s="2" t="str">
        <f t="array" ref="D511">IF(NOW()&gt;AO511,"",IF(AND((WEEKDAY($A511)+$B$2)&gt;1,((WEEKDAY($A511)+$T$2)&lt;7),(WEEKDAY($A511)&lt;&gt;1)),"work",(INDEX(Subject!$A:$I,MATCH(RANDBETWEEN(1,(MAX(Subject!$B:$B))),Subject!$B:$B,0),3))))</f>
        <v/>
      </c>
      <c r="E511" s="2" t="str">
        <f t="array" ref="E511">IF(NOW()&gt;AP511,"",IF(AND((WEEKDAY($A511)+$B$2)&gt;1,((WEEKDAY($A511)+$T$2)&lt;7),(WEEKDAY($A511)&lt;&gt;1)),"work",(INDEX(Subject!$A:$I,MATCH(RANDBETWEEN(1,(MAX(Subject!$B:$B))),Subject!$B:$B,0),3))))</f>
        <v/>
      </c>
      <c r="F511" s="2" t="str">
        <f t="array" ref="F511">IF(NOW()&gt;AQ511,"",IF(AND((WEEKDAY($A511)+$B$2)&gt;1,((WEEKDAY($A511)+$T$2)&lt;7),(WEEKDAY($A511)&lt;&gt;1)),"work",(INDEX(Subject!$A:$I,MATCH(RANDBETWEEN(1,(MAX(Subject!$B:$B))),Subject!$B:$B,0),3))))</f>
        <v/>
      </c>
      <c r="G511" s="2" t="str">
        <f t="array" ref="G511">IF(NOW()&gt;AR511,"",IF(AND((WEEKDAY($A511)+$B$2)&gt;1,((WEEKDAY($A511)+$T$2)&lt;7),(WEEKDAY($A511)&lt;&gt;1)),"work",(INDEX(Subject!$A:$I,MATCH(RANDBETWEEN(1,(MAX(Subject!$B:$B))),Subject!$B:$B,0),3))))</f>
        <v/>
      </c>
      <c r="H511" s="2" t="str">
        <f t="array" ref="H511">IF(NOW()&gt;AS511,"",IF(AND((WEEKDAY($A511)+$B$2)&gt;1,((WEEKDAY($A511)+$T$2)&lt;7),(WEEKDAY($A511)&lt;&gt;1)),"work",(INDEX(Subject!$A:$I,MATCH(RANDBETWEEN(1,(MAX(Subject!$B:$B))),Subject!$B:$B,0),3))))</f>
        <v/>
      </c>
      <c r="I511" s="2" t="str">
        <f t="array" ref="I511">IF(NOW()&gt;AT511,"",IF(AND((WEEKDAY($A511)+$B$2)&gt;1,((WEEKDAY($A511)+$T$2)&lt;7),(WEEKDAY($A511)&lt;&gt;1)),"work",(INDEX(Subject!$A:$I,MATCH(RANDBETWEEN(1,(MAX(Subject!$B:$B))),Subject!$B:$B,0),3))))</f>
        <v/>
      </c>
      <c r="J511" s="2" t="str">
        <f t="array" ref="J511">IF(NOW()&gt;AU511,"",IF(AND((WEEKDAY($A511)+$B$2)&gt;1,((WEEKDAY($A511)+$T$2)&lt;7),(WEEKDAY($A511)&lt;&gt;1)),"work",(INDEX(Subject!$A:$I,MATCH(RANDBETWEEN(1,(MAX(Subject!$B:$B))),Subject!$B:$B,0),3))))</f>
        <v/>
      </c>
      <c r="K511" s="2" t="str">
        <f t="array" ref="K511">IF(NOW()&gt;AV511,"",IF(AND((WEEKDAY($A511)+$B$2)&gt;1,((WEEKDAY($A511)+$T$2)&lt;7),(WEEKDAY($A511)&lt;&gt;1)),"work",(INDEX(Subject!$A:$I,MATCH(RANDBETWEEN(1,(MAX(Subject!$B:$B))),Subject!$B:$B,0),3))))</f>
        <v/>
      </c>
      <c r="L511" s="2" t="str">
        <f t="array" ref="L511">IF(NOW()&gt;AW511,"",IF(AND((WEEKDAY($A511)+$B$2)&gt;1,((WEEKDAY($A511)+$T$2)&lt;7),(WEEKDAY($A511)&lt;&gt;1)),"work",(INDEX(Subject!$A:$I,MATCH(RANDBETWEEN(1,(MAX(Subject!$B:$B))),Subject!$B:$B,0),3))))</f>
        <v/>
      </c>
      <c r="M511" s="2" t="str">
        <f t="array" ref="M511">IF(NOW()&gt;AX511,"",IF(AND((WEEKDAY($A511)+$B$2)&gt;1,((WEEKDAY($A511)+$T$2)&lt;7),(WEEKDAY($A511)&lt;&gt;1)),"work",(INDEX(Subject!$A:$I,MATCH(RANDBETWEEN(1,(MAX(Subject!$B:$B))),Subject!$B:$B,0),3))))</f>
        <v/>
      </c>
      <c r="N511" s="2" t="str">
        <f t="array" ref="N511">IF(NOW()&gt;AY511,"",IF(AND((WEEKDAY($A511)+$B$2)&gt;1,((WEEKDAY($A511)+$T$2)&lt;7),(WEEKDAY($A511)&lt;&gt;1)),"work",(INDEX(Subject!$A:$I,MATCH(RANDBETWEEN(1,(MAX(Subject!$B:$B))),Subject!$B:$B,0),3))))</f>
        <v/>
      </c>
      <c r="O511" s="2" t="str">
        <f t="array" ref="O511">IF(NOW()&gt;AZ511,"",IF(AND((WEEKDAY($A511)+$B$2)&gt;1,((WEEKDAY($A511)+$T$2)&lt;7),(WEEKDAY($A511)&lt;&gt;1)),"work",(INDEX(Subject!$A:$I,MATCH(RANDBETWEEN(1,(MAX(Subject!$B:$B))),Subject!$B:$B,0),3))))</f>
        <v/>
      </c>
      <c r="P511" s="2" t="str">
        <f t="array" ref="P511">IF(NOW()&gt;BA511,"",IF(AND((WEEKDAY($A511)+$B$2)&gt;1,((WEEKDAY($A511)+$T$2)&lt;7),(WEEKDAY($A511)&lt;&gt;1)),"work",(INDEX(Subject!$A:$I,MATCH(RANDBETWEEN(1,(MAX(Subject!$B:$B))),Subject!$B:$B,0),3))))</f>
        <v/>
      </c>
      <c r="Q511" s="2" t="str">
        <f t="array" ref="Q511">IF(NOW()&gt;BB511,"",IF(AND((WEEKDAY($A511)+$B$2)&gt;1,((WEEKDAY($A511)+$T$2)&lt;7),(WEEKDAY($A511)&lt;&gt;1)),"work",(INDEX(Subject!$A:$I,MATCH(RANDBETWEEN(1,(MAX(Subject!$B:$B))),Subject!$B:$B,0),3))))</f>
        <v/>
      </c>
      <c r="R511" s="2" t="str">
        <f t="array" ref="R511">IF(NOW()&gt;BC511,"",IF(AND((WEEKDAY($A511)+$B$2)&gt;1,((WEEKDAY($A511)+$T$2)&lt;7),(WEEKDAY($A511)&lt;&gt;1)),"work",(INDEX(Subject!$A:$I,MATCH(RANDBETWEEN(1,(MAX(Subject!$B:$B))),Subject!$B:$B,0),3))))</f>
        <v/>
      </c>
      <c r="S511" s="2" t="str">
        <f t="array" ref="S511">IF(NOW()&gt;BD511,"",IF(AND((WEEKDAY($A511)+$B$2)&gt;1,((WEEKDAY($A511)+$T$2)&lt;7),(WEEKDAY($A511)&lt;&gt;1)),"work",(INDEX(Subject!$A:$I,MATCH(RANDBETWEEN(1,(MAX(Subject!$B:$B))),Subject!$B:$B,0),3))))</f>
        <v/>
      </c>
      <c r="T511" s="2" t="str">
        <f t="array" ref="T511">IF(NOW()&gt;BE511,"",IF(AND((WEEKDAY($A511)+$B$2)&gt;1,((WEEKDAY($A511)+$T$2)&lt;7),(WEEKDAY($A511)&lt;&gt;1)),"work",(INDEX(Subject!$A:$I,MATCH(RANDBETWEEN(1,(MAX(Subject!$B:$B))),Subject!$B:$B,0),3))))</f>
        <v/>
      </c>
      <c r="U511" s="8" t="str">
        <f t="array" ref="U511">INDEX(Subject!$A:$I,MATCH(RANDBETWEEN(1,16),Subject!$B:$B,0),3)</f>
        <v>#N/A</v>
      </c>
      <c r="V511" s="8" t="str">
        <f t="array" ref="V511">INDEX(Subject!$A:$I,MATCH(RANDBETWEEN(1,16),Subject!$B:$B,0),3)</f>
        <v>#N/A</v>
      </c>
      <c r="W511" s="8" t="str">
        <f t="array" ref="W511">INDEX(Subject!$A:$I,MATCH(RANDBETWEEN(1,16),Subject!$B:$B,0),3)</f>
        <v>#N/A</v>
      </c>
      <c r="X511" s="8" t="str">
        <f t="array" ref="X511">INDEX(Subject!$A:$I,MATCH(RANDBETWEEN(1,16),Subject!$B:$B,0),3)</f>
        <v>#N/A</v>
      </c>
      <c r="Y511" s="8" t="str">
        <f t="array" ref="Y511">INDEX(Subject!$A:$I,MATCH(RANDBETWEEN(1,16),Subject!$B:$B,0),3)</f>
        <v>#N/A</v>
      </c>
      <c r="Z511" s="8" t="str">
        <f t="array" ref="Z511">INDEX(Subject!$A:$I,MATCH(RANDBETWEEN(1,16),Subject!$B:$B,0),3)</f>
        <v>#N/A</v>
      </c>
      <c r="AA511" s="8" t="str">
        <f t="array" ref="AA511">INDEX(Subject!$A:$I,MATCH(RANDBETWEEN(1,16),Subject!$B:$B,0),3)</f>
        <v>#N/A</v>
      </c>
      <c r="AB511" s="8" t="str">
        <f t="array" ref="AB511">INDEX(Subject!$A:$I,MATCH(RANDBETWEEN(1,16),Subject!$B:$B,0),3)</f>
        <v>#N/A</v>
      </c>
      <c r="AC511" s="8" t="str">
        <f t="array" ref="AC511">INDEX(Subject!$A:$I,MATCH(RANDBETWEEN(1,16),Subject!$B:$B,0),3)</f>
        <v>#N/A</v>
      </c>
      <c r="AD511" s="8" t="str">
        <f t="array" ref="AD511">INDEX(Subject!$A:$I,MATCH(RANDBETWEEN(1,16),Subject!$B:$B,0),3)</f>
        <v>#N/A</v>
      </c>
      <c r="AE511" s="8" t="str">
        <f t="array" ref="AE511">INDEX(Subject!$A:$I,MATCH(RANDBETWEEN(1,16),Subject!$B:$B,0),3)</f>
        <v>#N/A</v>
      </c>
      <c r="AF511" s="8" t="str">
        <f t="array" ref="AF511">INDEX(Subject!$A:$I,MATCH(RANDBETWEEN(1,16),Subject!$B:$B,0),3)</f>
        <v>#N/A</v>
      </c>
      <c r="AG511" s="8" t="str">
        <f t="array" ref="AG511">INDEX(Subject!$A:$I,MATCH(RANDBETWEEN(1,16),Subject!$B:$B,0),3)</f>
        <v>#N/A</v>
      </c>
      <c r="AH511" s="8" t="str">
        <f t="array" ref="AH511">INDEX(Subject!$A:$I,MATCH(RANDBETWEEN(1,16),Subject!$B:$B,0),3)</f>
        <v>#N/A</v>
      </c>
      <c r="AI511" s="8" t="str">
        <f t="array" ref="AI511">INDEX(Subject!$A:$I,MATCH(RANDBETWEEN(1,16),Subject!$B:$B,0),3)</f>
        <v>#N/A</v>
      </c>
      <c r="AJ511" s="8" t="str">
        <f t="array" ref="AJ511">INDEX(Subject!$A:$I,MATCH(RANDBETWEEN(1,16),Subject!$B:$B,0),3)</f>
        <v>#N/A</v>
      </c>
      <c r="AK511" s="8" t="str">
        <f t="array" ref="AK511">INDEX(Subject!$A:$I,MATCH(RANDBETWEEN(1,16),Subject!$B:$B,0),3)</f>
        <v>#N/A</v>
      </c>
      <c r="AL511" s="8" t="str">
        <f t="array" ref="AL511">INDEX(Subject!$A:$I,MATCH(RANDBETWEEN(1,16),Subject!$B:$B,0),3)</f>
        <v>#N/A</v>
      </c>
      <c r="AM511" s="18">
        <f t="shared" si="4"/>
        <v>46011.33333</v>
      </c>
      <c r="AN511" s="19">
        <f t="shared" ref="AN511:BZ511" si="511">$A511+C$1</f>
        <v>46011.35417</v>
      </c>
      <c r="AO511" s="19">
        <f t="shared" si="511"/>
        <v>46011.375</v>
      </c>
      <c r="AP511" s="19">
        <f t="shared" si="511"/>
        <v>46011.39583</v>
      </c>
      <c r="AQ511" s="19">
        <f t="shared" si="511"/>
        <v>46011.41667</v>
      </c>
      <c r="AR511" s="19">
        <f t="shared" si="511"/>
        <v>46011.4375</v>
      </c>
      <c r="AS511" s="19">
        <f t="shared" si="511"/>
        <v>46011.45833</v>
      </c>
      <c r="AT511" s="19">
        <f t="shared" si="511"/>
        <v>46011.47917</v>
      </c>
      <c r="AU511" s="19">
        <f t="shared" si="511"/>
        <v>46011.5</v>
      </c>
      <c r="AV511" s="19">
        <f t="shared" si="511"/>
        <v>46011.52083</v>
      </c>
      <c r="AW511" s="19">
        <f t="shared" si="511"/>
        <v>46011.54167</v>
      </c>
      <c r="AX511" s="19">
        <f t="shared" si="511"/>
        <v>46011.5625</v>
      </c>
      <c r="AY511" s="19">
        <f t="shared" si="511"/>
        <v>46011.58333</v>
      </c>
      <c r="AZ511" s="19">
        <f t="shared" si="511"/>
        <v>46011.60417</v>
      </c>
      <c r="BA511" s="19">
        <f t="shared" si="511"/>
        <v>46011.625</v>
      </c>
      <c r="BB511" s="19">
        <f t="shared" si="511"/>
        <v>46011.64583</v>
      </c>
      <c r="BC511" s="19">
        <f t="shared" si="511"/>
        <v>46011.66667</v>
      </c>
      <c r="BD511" s="19">
        <f t="shared" si="511"/>
        <v>46011.6875</v>
      </c>
      <c r="BE511" s="19">
        <f t="shared" si="511"/>
        <v>46011.70833</v>
      </c>
      <c r="BF511" s="19">
        <f t="shared" si="511"/>
        <v>46011.72917</v>
      </c>
      <c r="BG511" s="19">
        <f t="shared" si="511"/>
        <v>46011.75</v>
      </c>
      <c r="BH511" s="19">
        <f t="shared" si="511"/>
        <v>46011.77083</v>
      </c>
      <c r="BI511" s="19">
        <f t="shared" si="511"/>
        <v>46011.79167</v>
      </c>
      <c r="BJ511" s="19">
        <f t="shared" si="511"/>
        <v>46011.8125</v>
      </c>
      <c r="BK511" s="19">
        <f t="shared" si="511"/>
        <v>46011.83333</v>
      </c>
      <c r="BL511" s="19">
        <f t="shared" si="511"/>
        <v>46011.85417</v>
      </c>
      <c r="BM511" s="19">
        <f t="shared" si="511"/>
        <v>46011.875</v>
      </c>
      <c r="BN511" s="19">
        <f t="shared" si="511"/>
        <v>46011.89583</v>
      </c>
      <c r="BO511" s="19">
        <f t="shared" si="511"/>
        <v>46011.91667</v>
      </c>
      <c r="BP511" s="19">
        <f t="shared" si="511"/>
        <v>46011.9375</v>
      </c>
      <c r="BQ511" s="19">
        <f t="shared" si="511"/>
        <v>46011.95833</v>
      </c>
      <c r="BR511" s="19">
        <f t="shared" si="511"/>
        <v>46011.97917</v>
      </c>
      <c r="BS511" s="19">
        <f t="shared" si="511"/>
        <v>46012</v>
      </c>
      <c r="BT511" s="19">
        <f t="shared" si="511"/>
        <v>46012.02083</v>
      </c>
      <c r="BU511" s="19">
        <f t="shared" si="511"/>
        <v>46012.04167</v>
      </c>
      <c r="BV511" s="19">
        <f t="shared" si="511"/>
        <v>46012.0625</v>
      </c>
      <c r="BW511" s="19">
        <f t="shared" si="511"/>
        <v>46012.08333</v>
      </c>
      <c r="BX511" s="19">
        <f t="shared" si="511"/>
        <v>46011</v>
      </c>
      <c r="BY511" s="19">
        <f t="shared" si="511"/>
        <v>46011</v>
      </c>
      <c r="BZ511" s="19">
        <f t="shared" si="511"/>
        <v>46011</v>
      </c>
    </row>
    <row r="512" ht="14.25" customHeight="1">
      <c r="A512" s="17">
        <v>46012.0</v>
      </c>
      <c r="B512" s="2" t="str">
        <f t="array" ref="B512">IF(NOW()&gt;AM512,"",IF(AND((WEEKDAY($A512)+$B$2)&gt;1,((WEEKDAY($A512)+$T$2)&lt;7),(WEEKDAY($A512)&lt;&gt;1)),"work",(INDEX(Subject!$A:$I,MATCH(RANDBETWEEN(1,(MAX(Subject!$B:$B))),Subject!$B:$B,0),3))))</f>
        <v/>
      </c>
      <c r="C512" s="2" t="str">
        <f t="array" ref="C512">IF(NOW()&gt;AN512,"",IF(AND((WEEKDAY($A512)+$B$2)&gt;1,((WEEKDAY($A512)+$T$2)&lt;7),(WEEKDAY($A512)&lt;&gt;1)),"work",(INDEX(Subject!$A:$I,MATCH(RANDBETWEEN(1,(MAX(Subject!$B:$B))),Subject!$B:$B,0),3))))</f>
        <v/>
      </c>
      <c r="D512" s="2" t="str">
        <f t="array" ref="D512">IF(NOW()&gt;AO512,"",IF(AND((WEEKDAY($A512)+$B$2)&gt;1,((WEEKDAY($A512)+$T$2)&lt;7),(WEEKDAY($A512)&lt;&gt;1)),"work",(INDEX(Subject!$A:$I,MATCH(RANDBETWEEN(1,(MAX(Subject!$B:$B))),Subject!$B:$B,0),3))))</f>
        <v/>
      </c>
      <c r="E512" s="2" t="str">
        <f t="array" ref="E512">IF(NOW()&gt;AP512,"",IF(AND((WEEKDAY($A512)+$B$2)&gt;1,((WEEKDAY($A512)+$T$2)&lt;7),(WEEKDAY($A512)&lt;&gt;1)),"work",(INDEX(Subject!$A:$I,MATCH(RANDBETWEEN(1,(MAX(Subject!$B:$B))),Subject!$B:$B,0),3))))</f>
        <v/>
      </c>
      <c r="F512" s="2" t="str">
        <f t="array" ref="F512">IF(NOW()&gt;AQ512,"",IF(AND((WEEKDAY($A512)+$B$2)&gt;1,((WEEKDAY($A512)+$T$2)&lt;7),(WEEKDAY($A512)&lt;&gt;1)),"work",(INDEX(Subject!$A:$I,MATCH(RANDBETWEEN(1,(MAX(Subject!$B:$B))),Subject!$B:$B,0),3))))</f>
        <v/>
      </c>
      <c r="G512" s="2" t="str">
        <f t="array" ref="G512">IF(NOW()&gt;AR512,"",IF(AND((WEEKDAY($A512)+$B$2)&gt;1,((WEEKDAY($A512)+$T$2)&lt;7),(WEEKDAY($A512)&lt;&gt;1)),"work",(INDEX(Subject!$A:$I,MATCH(RANDBETWEEN(1,(MAX(Subject!$B:$B))),Subject!$B:$B,0),3))))</f>
        <v/>
      </c>
      <c r="H512" s="2" t="str">
        <f t="array" ref="H512">IF(NOW()&gt;AS512,"",IF(AND((WEEKDAY($A512)+$B$2)&gt;1,((WEEKDAY($A512)+$T$2)&lt;7),(WEEKDAY($A512)&lt;&gt;1)),"work",(INDEX(Subject!$A:$I,MATCH(RANDBETWEEN(1,(MAX(Subject!$B:$B))),Subject!$B:$B,0),3))))</f>
        <v/>
      </c>
      <c r="I512" s="2" t="str">
        <f t="array" ref="I512">IF(NOW()&gt;AT512,"",IF(AND((WEEKDAY($A512)+$B$2)&gt;1,((WEEKDAY($A512)+$T$2)&lt;7),(WEEKDAY($A512)&lt;&gt;1)),"work",(INDEX(Subject!$A:$I,MATCH(RANDBETWEEN(1,(MAX(Subject!$B:$B))),Subject!$B:$B,0),3))))</f>
        <v/>
      </c>
      <c r="J512" s="2" t="str">
        <f t="array" ref="J512">IF(NOW()&gt;AU512,"",IF(AND((WEEKDAY($A512)+$B$2)&gt;1,((WEEKDAY($A512)+$T$2)&lt;7),(WEEKDAY($A512)&lt;&gt;1)),"work",(INDEX(Subject!$A:$I,MATCH(RANDBETWEEN(1,(MAX(Subject!$B:$B))),Subject!$B:$B,0),3))))</f>
        <v/>
      </c>
      <c r="K512" s="2" t="str">
        <f t="array" ref="K512">IF(NOW()&gt;AV512,"",IF(AND((WEEKDAY($A512)+$B$2)&gt;1,((WEEKDAY($A512)+$T$2)&lt;7),(WEEKDAY($A512)&lt;&gt;1)),"work",(INDEX(Subject!$A:$I,MATCH(RANDBETWEEN(1,(MAX(Subject!$B:$B))),Subject!$B:$B,0),3))))</f>
        <v/>
      </c>
      <c r="L512" s="2" t="str">
        <f t="array" ref="L512">IF(NOW()&gt;AW512,"",IF(AND((WEEKDAY($A512)+$B$2)&gt;1,((WEEKDAY($A512)+$T$2)&lt;7),(WEEKDAY($A512)&lt;&gt;1)),"work",(INDEX(Subject!$A:$I,MATCH(RANDBETWEEN(1,(MAX(Subject!$B:$B))),Subject!$B:$B,0),3))))</f>
        <v/>
      </c>
      <c r="M512" s="2" t="str">
        <f t="array" ref="M512">IF(NOW()&gt;AX512,"",IF(AND((WEEKDAY($A512)+$B$2)&gt;1,((WEEKDAY($A512)+$T$2)&lt;7),(WEEKDAY($A512)&lt;&gt;1)),"work",(INDEX(Subject!$A:$I,MATCH(RANDBETWEEN(1,(MAX(Subject!$B:$B))),Subject!$B:$B,0),3))))</f>
        <v/>
      </c>
      <c r="N512" s="2" t="str">
        <f t="array" ref="N512">IF(NOW()&gt;AY512,"",IF(AND((WEEKDAY($A512)+$B$2)&gt;1,((WEEKDAY($A512)+$T$2)&lt;7),(WEEKDAY($A512)&lt;&gt;1)),"work",(INDEX(Subject!$A:$I,MATCH(RANDBETWEEN(1,(MAX(Subject!$B:$B))),Subject!$B:$B,0),3))))</f>
        <v/>
      </c>
      <c r="O512" s="2" t="str">
        <f t="array" ref="O512">IF(NOW()&gt;AZ512,"",IF(AND((WEEKDAY($A512)+$B$2)&gt;1,((WEEKDAY($A512)+$T$2)&lt;7),(WEEKDAY($A512)&lt;&gt;1)),"work",(INDEX(Subject!$A:$I,MATCH(RANDBETWEEN(1,(MAX(Subject!$B:$B))),Subject!$B:$B,0),3))))</f>
        <v/>
      </c>
      <c r="P512" s="2" t="str">
        <f t="array" ref="P512">IF(NOW()&gt;BA512,"",IF(AND((WEEKDAY($A512)+$B$2)&gt;1,((WEEKDAY($A512)+$T$2)&lt;7),(WEEKDAY($A512)&lt;&gt;1)),"work",(INDEX(Subject!$A:$I,MATCH(RANDBETWEEN(1,(MAX(Subject!$B:$B))),Subject!$B:$B,0),3))))</f>
        <v/>
      </c>
      <c r="Q512" s="2" t="str">
        <f t="array" ref="Q512">IF(NOW()&gt;BB512,"",IF(AND((WEEKDAY($A512)+$B$2)&gt;1,((WEEKDAY($A512)+$T$2)&lt;7),(WEEKDAY($A512)&lt;&gt;1)),"work",(INDEX(Subject!$A:$I,MATCH(RANDBETWEEN(1,(MAX(Subject!$B:$B))),Subject!$B:$B,0),3))))</f>
        <v/>
      </c>
      <c r="R512" s="2" t="str">
        <f t="array" ref="R512">IF(NOW()&gt;BC512,"",IF(AND((WEEKDAY($A512)+$B$2)&gt;1,((WEEKDAY($A512)+$T$2)&lt;7),(WEEKDAY($A512)&lt;&gt;1)),"work",(INDEX(Subject!$A:$I,MATCH(RANDBETWEEN(1,(MAX(Subject!$B:$B))),Subject!$B:$B,0),3))))</f>
        <v/>
      </c>
      <c r="S512" s="2" t="str">
        <f t="array" ref="S512">IF(NOW()&gt;BD512,"",IF(AND((WEEKDAY($A512)+$B$2)&gt;1,((WEEKDAY($A512)+$T$2)&lt;7),(WEEKDAY($A512)&lt;&gt;1)),"work",(INDEX(Subject!$A:$I,MATCH(RANDBETWEEN(1,(MAX(Subject!$B:$B))),Subject!$B:$B,0),3))))</f>
        <v/>
      </c>
      <c r="T512" s="2" t="str">
        <f t="array" ref="T512">IF(NOW()&gt;BE512,"",IF(AND((WEEKDAY($A512)+$B$2)&gt;1,((WEEKDAY($A512)+$T$2)&lt;7),(WEEKDAY($A512)&lt;&gt;1)),"work",(INDEX(Subject!$A:$I,MATCH(RANDBETWEEN(1,(MAX(Subject!$B:$B))),Subject!$B:$B,0),3))))</f>
        <v/>
      </c>
      <c r="U512" s="8" t="str">
        <f t="array" ref="U512">INDEX(Subject!$A:$I,MATCH(RANDBETWEEN(1,16),Subject!$B:$B,0),3)</f>
        <v>#N/A</v>
      </c>
      <c r="V512" s="8" t="str">
        <f t="array" ref="V512">INDEX(Subject!$A:$I,MATCH(RANDBETWEEN(1,16),Subject!$B:$B,0),3)</f>
        <v>#N/A</v>
      </c>
      <c r="W512" s="8" t="str">
        <f t="array" ref="W512">INDEX(Subject!$A:$I,MATCH(RANDBETWEEN(1,16),Subject!$B:$B,0),3)</f>
        <v/>
      </c>
      <c r="X512" s="8" t="str">
        <f t="array" ref="X512">INDEX(Subject!$A:$I,MATCH(RANDBETWEEN(1,16),Subject!$B:$B,0),3)</f>
        <v>#N/A</v>
      </c>
      <c r="Y512" s="8" t="str">
        <f t="array" ref="Y512">INDEX(Subject!$A:$I,MATCH(RANDBETWEEN(1,16),Subject!$B:$B,0),3)</f>
        <v>#N/A</v>
      </c>
      <c r="Z512" s="8" t="str">
        <f t="array" ref="Z512">INDEX(Subject!$A:$I,MATCH(RANDBETWEEN(1,16),Subject!$B:$B,0),3)</f>
        <v>#N/A</v>
      </c>
      <c r="AA512" s="8" t="str">
        <f t="array" ref="AA512">INDEX(Subject!$A:$I,MATCH(RANDBETWEEN(1,16),Subject!$B:$B,0),3)</f>
        <v>#N/A</v>
      </c>
      <c r="AB512" s="8" t="str">
        <f t="array" ref="AB512">INDEX(Subject!$A:$I,MATCH(RANDBETWEEN(1,16),Subject!$B:$B,0),3)</f>
        <v>#N/A</v>
      </c>
      <c r="AC512" s="8" t="str">
        <f t="array" ref="AC512">INDEX(Subject!$A:$I,MATCH(RANDBETWEEN(1,16),Subject!$B:$B,0),3)</f>
        <v>#N/A</v>
      </c>
      <c r="AD512" s="8" t="str">
        <f t="array" ref="AD512">INDEX(Subject!$A:$I,MATCH(RANDBETWEEN(1,16),Subject!$B:$B,0),3)</f>
        <v/>
      </c>
      <c r="AE512" s="8" t="str">
        <f t="array" ref="AE512">INDEX(Subject!$A:$I,MATCH(RANDBETWEEN(1,16),Subject!$B:$B,0),3)</f>
        <v>#N/A</v>
      </c>
      <c r="AF512" s="8" t="str">
        <f t="array" ref="AF512">INDEX(Subject!$A:$I,MATCH(RANDBETWEEN(1,16),Subject!$B:$B,0),3)</f>
        <v>#N/A</v>
      </c>
      <c r="AG512" s="8" t="str">
        <f t="array" ref="AG512">INDEX(Subject!$A:$I,MATCH(RANDBETWEEN(1,16),Subject!$B:$B,0),3)</f>
        <v>#N/A</v>
      </c>
      <c r="AH512" s="8" t="str">
        <f t="array" ref="AH512">INDEX(Subject!$A:$I,MATCH(RANDBETWEEN(1,16),Subject!$B:$B,0),3)</f>
        <v/>
      </c>
      <c r="AI512" s="8" t="str">
        <f t="array" ref="AI512">INDEX(Subject!$A:$I,MATCH(RANDBETWEEN(1,16),Subject!$B:$B,0),3)</f>
        <v>#N/A</v>
      </c>
      <c r="AJ512" s="8" t="str">
        <f t="array" ref="AJ512">INDEX(Subject!$A:$I,MATCH(RANDBETWEEN(1,16),Subject!$B:$B,0),3)</f>
        <v>#N/A</v>
      </c>
      <c r="AK512" s="8" t="str">
        <f t="array" ref="AK512">INDEX(Subject!$A:$I,MATCH(RANDBETWEEN(1,16),Subject!$B:$B,0),3)</f>
        <v>#N/A</v>
      </c>
      <c r="AL512" s="8" t="str">
        <f t="array" ref="AL512">INDEX(Subject!$A:$I,MATCH(RANDBETWEEN(1,16),Subject!$B:$B,0),3)</f>
        <v>#N/A</v>
      </c>
      <c r="AM512" s="18">
        <f t="shared" si="4"/>
        <v>46012.33333</v>
      </c>
      <c r="AN512" s="19">
        <f t="shared" ref="AN512:BZ512" si="512">$A512+C$1</f>
        <v>46012.35417</v>
      </c>
      <c r="AO512" s="19">
        <f t="shared" si="512"/>
        <v>46012.375</v>
      </c>
      <c r="AP512" s="19">
        <f t="shared" si="512"/>
        <v>46012.39583</v>
      </c>
      <c r="AQ512" s="19">
        <f t="shared" si="512"/>
        <v>46012.41667</v>
      </c>
      <c r="AR512" s="19">
        <f t="shared" si="512"/>
        <v>46012.4375</v>
      </c>
      <c r="AS512" s="19">
        <f t="shared" si="512"/>
        <v>46012.45833</v>
      </c>
      <c r="AT512" s="19">
        <f t="shared" si="512"/>
        <v>46012.47917</v>
      </c>
      <c r="AU512" s="19">
        <f t="shared" si="512"/>
        <v>46012.5</v>
      </c>
      <c r="AV512" s="19">
        <f t="shared" si="512"/>
        <v>46012.52083</v>
      </c>
      <c r="AW512" s="19">
        <f t="shared" si="512"/>
        <v>46012.54167</v>
      </c>
      <c r="AX512" s="19">
        <f t="shared" si="512"/>
        <v>46012.5625</v>
      </c>
      <c r="AY512" s="19">
        <f t="shared" si="512"/>
        <v>46012.58333</v>
      </c>
      <c r="AZ512" s="19">
        <f t="shared" si="512"/>
        <v>46012.60417</v>
      </c>
      <c r="BA512" s="19">
        <f t="shared" si="512"/>
        <v>46012.625</v>
      </c>
      <c r="BB512" s="19">
        <f t="shared" si="512"/>
        <v>46012.64583</v>
      </c>
      <c r="BC512" s="19">
        <f t="shared" si="512"/>
        <v>46012.66667</v>
      </c>
      <c r="BD512" s="19">
        <f t="shared" si="512"/>
        <v>46012.6875</v>
      </c>
      <c r="BE512" s="19">
        <f t="shared" si="512"/>
        <v>46012.70833</v>
      </c>
      <c r="BF512" s="19">
        <f t="shared" si="512"/>
        <v>46012.72917</v>
      </c>
      <c r="BG512" s="19">
        <f t="shared" si="512"/>
        <v>46012.75</v>
      </c>
      <c r="BH512" s="19">
        <f t="shared" si="512"/>
        <v>46012.77083</v>
      </c>
      <c r="BI512" s="19">
        <f t="shared" si="512"/>
        <v>46012.79167</v>
      </c>
      <c r="BJ512" s="19">
        <f t="shared" si="512"/>
        <v>46012.8125</v>
      </c>
      <c r="BK512" s="19">
        <f t="shared" si="512"/>
        <v>46012.83333</v>
      </c>
      <c r="BL512" s="19">
        <f t="shared" si="512"/>
        <v>46012.85417</v>
      </c>
      <c r="BM512" s="19">
        <f t="shared" si="512"/>
        <v>46012.875</v>
      </c>
      <c r="BN512" s="19">
        <f t="shared" si="512"/>
        <v>46012.89583</v>
      </c>
      <c r="BO512" s="19">
        <f t="shared" si="512"/>
        <v>46012.91667</v>
      </c>
      <c r="BP512" s="19">
        <f t="shared" si="512"/>
        <v>46012.9375</v>
      </c>
      <c r="BQ512" s="19">
        <f t="shared" si="512"/>
        <v>46012.95833</v>
      </c>
      <c r="BR512" s="19">
        <f t="shared" si="512"/>
        <v>46012.97917</v>
      </c>
      <c r="BS512" s="19">
        <f t="shared" si="512"/>
        <v>46013</v>
      </c>
      <c r="BT512" s="19">
        <f t="shared" si="512"/>
        <v>46013.02083</v>
      </c>
      <c r="BU512" s="19">
        <f t="shared" si="512"/>
        <v>46013.04167</v>
      </c>
      <c r="BV512" s="19">
        <f t="shared" si="512"/>
        <v>46013.0625</v>
      </c>
      <c r="BW512" s="19">
        <f t="shared" si="512"/>
        <v>46013.08333</v>
      </c>
      <c r="BX512" s="19">
        <f t="shared" si="512"/>
        <v>46012</v>
      </c>
      <c r="BY512" s="19">
        <f t="shared" si="512"/>
        <v>46012</v>
      </c>
      <c r="BZ512" s="19">
        <f t="shared" si="512"/>
        <v>46012</v>
      </c>
    </row>
    <row r="513" ht="14.25" customHeight="1">
      <c r="A513" s="17">
        <v>46013.0</v>
      </c>
      <c r="B513" s="2" t="str">
        <f t="array" ref="B513">IF(NOW()&gt;AM513,"",IF(AND((WEEKDAY($A513)+$B$2)&gt;1,((WEEKDAY($A513)+$T$2)&lt;7),(WEEKDAY($A513)&lt;&gt;1)),"work",(INDEX(Subject!$A:$I,MATCH(RANDBETWEEN(1,(MAX(Subject!$B:$B))),Subject!$B:$B,0),3))))</f>
        <v/>
      </c>
      <c r="C513" s="2" t="str">
        <f t="array" ref="C513">IF(NOW()&gt;AN513,"",IF(AND((WEEKDAY($A513)+$B$2)&gt;1,((WEEKDAY($A513)+$T$2)&lt;7),(WEEKDAY($A513)&lt;&gt;1)),"work",(INDEX(Subject!$A:$I,MATCH(RANDBETWEEN(1,(MAX(Subject!$B:$B))),Subject!$B:$B,0),3))))</f>
        <v/>
      </c>
      <c r="D513" s="2" t="str">
        <f t="array" ref="D513">IF(NOW()&gt;AO513,"",IF(AND((WEEKDAY($A513)+$B$2)&gt;1,((WEEKDAY($A513)+$T$2)&lt;7),(WEEKDAY($A513)&lt;&gt;1)),"work",(INDEX(Subject!$A:$I,MATCH(RANDBETWEEN(1,(MAX(Subject!$B:$B))),Subject!$B:$B,0),3))))</f>
        <v/>
      </c>
      <c r="E513" s="2" t="str">
        <f t="array" ref="E513">IF(NOW()&gt;AP513,"",IF(AND((WEEKDAY($A513)+$B$2)&gt;1,((WEEKDAY($A513)+$T$2)&lt;7),(WEEKDAY($A513)&lt;&gt;1)),"work",(INDEX(Subject!$A:$I,MATCH(RANDBETWEEN(1,(MAX(Subject!$B:$B))),Subject!$B:$B,0),3))))</f>
        <v/>
      </c>
      <c r="F513" s="2" t="str">
        <f t="array" ref="F513">IF(NOW()&gt;AQ513,"",IF(AND((WEEKDAY($A513)+$B$2)&gt;1,((WEEKDAY($A513)+$T$2)&lt;7),(WEEKDAY($A513)&lt;&gt;1)),"work",(INDEX(Subject!$A:$I,MATCH(RANDBETWEEN(1,(MAX(Subject!$B:$B))),Subject!$B:$B,0),3))))</f>
        <v/>
      </c>
      <c r="G513" s="2" t="str">
        <f t="array" ref="G513">IF(NOW()&gt;AR513,"",IF(AND((WEEKDAY($A513)+$B$2)&gt;1,((WEEKDAY($A513)+$T$2)&lt;7),(WEEKDAY($A513)&lt;&gt;1)),"work",(INDEX(Subject!$A:$I,MATCH(RANDBETWEEN(1,(MAX(Subject!$B:$B))),Subject!$B:$B,0),3))))</f>
        <v/>
      </c>
      <c r="H513" s="2" t="str">
        <f t="array" ref="H513">IF(NOW()&gt;AS513,"",IF(AND((WEEKDAY($A513)+$B$2)&gt;1,((WEEKDAY($A513)+$T$2)&lt;7),(WEEKDAY($A513)&lt;&gt;1)),"work",(INDEX(Subject!$A:$I,MATCH(RANDBETWEEN(1,(MAX(Subject!$B:$B))),Subject!$B:$B,0),3))))</f>
        <v/>
      </c>
      <c r="I513" s="2" t="str">
        <f t="array" ref="I513">IF(NOW()&gt;AT513,"",IF(AND((WEEKDAY($A513)+$B$2)&gt;1,((WEEKDAY($A513)+$T$2)&lt;7),(WEEKDAY($A513)&lt;&gt;1)),"work",(INDEX(Subject!$A:$I,MATCH(RANDBETWEEN(1,(MAX(Subject!$B:$B))),Subject!$B:$B,0),3))))</f>
        <v/>
      </c>
      <c r="J513" s="2" t="str">
        <f t="array" ref="J513">IF(NOW()&gt;AU513,"",IF(AND((WEEKDAY($A513)+$B$2)&gt;1,((WEEKDAY($A513)+$T$2)&lt;7),(WEEKDAY($A513)&lt;&gt;1)),"work",(INDEX(Subject!$A:$I,MATCH(RANDBETWEEN(1,(MAX(Subject!$B:$B))),Subject!$B:$B,0),3))))</f>
        <v/>
      </c>
      <c r="K513" s="2" t="str">
        <f t="array" ref="K513">IF(NOW()&gt;AV513,"",IF(AND((WEEKDAY($A513)+$B$2)&gt;1,((WEEKDAY($A513)+$T$2)&lt;7),(WEEKDAY($A513)&lt;&gt;1)),"work",(INDEX(Subject!$A:$I,MATCH(RANDBETWEEN(1,(MAX(Subject!$B:$B))),Subject!$B:$B,0),3))))</f>
        <v/>
      </c>
      <c r="L513" s="2" t="str">
        <f t="array" ref="L513">IF(NOW()&gt;AW513,"",IF(AND((WEEKDAY($A513)+$B$2)&gt;1,((WEEKDAY($A513)+$T$2)&lt;7),(WEEKDAY($A513)&lt;&gt;1)),"work",(INDEX(Subject!$A:$I,MATCH(RANDBETWEEN(1,(MAX(Subject!$B:$B))),Subject!$B:$B,0),3))))</f>
        <v/>
      </c>
      <c r="M513" s="2" t="str">
        <f t="array" ref="M513">IF(NOW()&gt;AX513,"",IF(AND((WEEKDAY($A513)+$B$2)&gt;1,((WEEKDAY($A513)+$T$2)&lt;7),(WEEKDAY($A513)&lt;&gt;1)),"work",(INDEX(Subject!$A:$I,MATCH(RANDBETWEEN(1,(MAX(Subject!$B:$B))),Subject!$B:$B,0),3))))</f>
        <v/>
      </c>
      <c r="N513" s="2" t="str">
        <f t="array" ref="N513">IF(NOW()&gt;AY513,"",IF(AND((WEEKDAY($A513)+$B$2)&gt;1,((WEEKDAY($A513)+$T$2)&lt;7),(WEEKDAY($A513)&lt;&gt;1)),"work",(INDEX(Subject!$A:$I,MATCH(RANDBETWEEN(1,(MAX(Subject!$B:$B))),Subject!$B:$B,0),3))))</f>
        <v/>
      </c>
      <c r="O513" s="2" t="str">
        <f t="array" ref="O513">IF(NOW()&gt;AZ513,"",IF(AND((WEEKDAY($A513)+$B$2)&gt;1,((WEEKDAY($A513)+$T$2)&lt;7),(WEEKDAY($A513)&lt;&gt;1)),"work",(INDEX(Subject!$A:$I,MATCH(RANDBETWEEN(1,(MAX(Subject!$B:$B))),Subject!$B:$B,0),3))))</f>
        <v/>
      </c>
      <c r="P513" s="2" t="str">
        <f t="array" ref="P513">IF(NOW()&gt;BA513,"",IF(AND((WEEKDAY($A513)+$B$2)&gt;1,((WEEKDAY($A513)+$T$2)&lt;7),(WEEKDAY($A513)&lt;&gt;1)),"work",(INDEX(Subject!$A:$I,MATCH(RANDBETWEEN(1,(MAX(Subject!$B:$B))),Subject!$B:$B,0),3))))</f>
        <v/>
      </c>
      <c r="Q513" s="2" t="str">
        <f t="array" ref="Q513">IF(NOW()&gt;BB513,"",IF(AND((WEEKDAY($A513)+$B$2)&gt;1,((WEEKDAY($A513)+$T$2)&lt;7),(WEEKDAY($A513)&lt;&gt;1)),"work",(INDEX(Subject!$A:$I,MATCH(RANDBETWEEN(1,(MAX(Subject!$B:$B))),Subject!$B:$B,0),3))))</f>
        <v/>
      </c>
      <c r="R513" s="2" t="str">
        <f t="array" ref="R513">IF(NOW()&gt;BC513,"",IF(AND((WEEKDAY($A513)+$B$2)&gt;1,((WEEKDAY($A513)+$T$2)&lt;7),(WEEKDAY($A513)&lt;&gt;1)),"work",(INDEX(Subject!$A:$I,MATCH(RANDBETWEEN(1,(MAX(Subject!$B:$B))),Subject!$B:$B,0),3))))</f>
        <v/>
      </c>
      <c r="S513" s="2" t="str">
        <f t="array" ref="S513">IF(NOW()&gt;BD513,"",IF(AND((WEEKDAY($A513)+$B$2)&gt;1,((WEEKDAY($A513)+$T$2)&lt;7),(WEEKDAY($A513)&lt;&gt;1)),"work",(INDEX(Subject!$A:$I,MATCH(RANDBETWEEN(1,(MAX(Subject!$B:$B))),Subject!$B:$B,0),3))))</f>
        <v/>
      </c>
      <c r="T513" s="2" t="str">
        <f t="array" ref="T513">IF(NOW()&gt;BE513,"",IF(AND((WEEKDAY($A513)+$B$2)&gt;1,((WEEKDAY($A513)+$T$2)&lt;7),(WEEKDAY($A513)&lt;&gt;1)),"work",(INDEX(Subject!$A:$I,MATCH(RANDBETWEEN(1,(MAX(Subject!$B:$B))),Subject!$B:$B,0),3))))</f>
        <v/>
      </c>
      <c r="U513" s="8" t="str">
        <f t="array" ref="U513">INDEX(Subject!$A:$I,MATCH(RANDBETWEEN(1,16),Subject!$B:$B,0),3)</f>
        <v>#N/A</v>
      </c>
      <c r="V513" s="8" t="str">
        <f t="array" ref="V513">INDEX(Subject!$A:$I,MATCH(RANDBETWEEN(1,16),Subject!$B:$B,0),3)</f>
        <v>#N/A</v>
      </c>
      <c r="W513" s="8" t="str">
        <f t="array" ref="W513">INDEX(Subject!$A:$I,MATCH(RANDBETWEEN(1,16),Subject!$B:$B,0),3)</f>
        <v>#N/A</v>
      </c>
      <c r="X513" s="8" t="str">
        <f t="array" ref="X513">INDEX(Subject!$A:$I,MATCH(RANDBETWEEN(1,16),Subject!$B:$B,0),3)</f>
        <v>#N/A</v>
      </c>
      <c r="Y513" s="8" t="str">
        <f t="array" ref="Y513">INDEX(Subject!$A:$I,MATCH(RANDBETWEEN(1,16),Subject!$B:$B,0),3)</f>
        <v>#N/A</v>
      </c>
      <c r="Z513" s="8" t="str">
        <f t="array" ref="Z513">INDEX(Subject!$A:$I,MATCH(RANDBETWEEN(1,16),Subject!$B:$B,0),3)</f>
        <v>#N/A</v>
      </c>
      <c r="AA513" s="8" t="str">
        <f t="array" ref="AA513">INDEX(Subject!$A:$I,MATCH(RANDBETWEEN(1,16),Subject!$B:$B,0),3)</f>
        <v>#N/A</v>
      </c>
      <c r="AB513" s="8" t="str">
        <f t="array" ref="AB513">INDEX(Subject!$A:$I,MATCH(RANDBETWEEN(1,16),Subject!$B:$B,0),3)</f>
        <v>#N/A</v>
      </c>
      <c r="AC513" s="8" t="str">
        <f t="array" ref="AC513">INDEX(Subject!$A:$I,MATCH(RANDBETWEEN(1,16),Subject!$B:$B,0),3)</f>
        <v>#N/A</v>
      </c>
      <c r="AD513" s="8" t="str">
        <f t="array" ref="AD513">INDEX(Subject!$A:$I,MATCH(RANDBETWEEN(1,16),Subject!$B:$B,0),3)</f>
        <v/>
      </c>
      <c r="AE513" s="8" t="str">
        <f t="array" ref="AE513">INDEX(Subject!$A:$I,MATCH(RANDBETWEEN(1,16),Subject!$B:$B,0),3)</f>
        <v>#N/A</v>
      </c>
      <c r="AF513" s="8" t="str">
        <f t="array" ref="AF513">INDEX(Subject!$A:$I,MATCH(RANDBETWEEN(1,16),Subject!$B:$B,0),3)</f>
        <v>#N/A</v>
      </c>
      <c r="AG513" s="8" t="str">
        <f t="array" ref="AG513">INDEX(Subject!$A:$I,MATCH(RANDBETWEEN(1,16),Subject!$B:$B,0),3)</f>
        <v>#N/A</v>
      </c>
      <c r="AH513" s="8" t="str">
        <f t="array" ref="AH513">INDEX(Subject!$A:$I,MATCH(RANDBETWEEN(1,16),Subject!$B:$B,0),3)</f>
        <v>#N/A</v>
      </c>
      <c r="AI513" s="8" t="str">
        <f t="array" ref="AI513">INDEX(Subject!$A:$I,MATCH(RANDBETWEEN(1,16),Subject!$B:$B,0),3)</f>
        <v>#N/A</v>
      </c>
      <c r="AJ513" s="8" t="str">
        <f t="array" ref="AJ513">INDEX(Subject!$A:$I,MATCH(RANDBETWEEN(1,16),Subject!$B:$B,0),3)</f>
        <v>#N/A</v>
      </c>
      <c r="AK513" s="8" t="str">
        <f t="array" ref="AK513">INDEX(Subject!$A:$I,MATCH(RANDBETWEEN(1,16),Subject!$B:$B,0),3)</f>
        <v>#N/A</v>
      </c>
      <c r="AL513" s="8" t="str">
        <f t="array" ref="AL513">INDEX(Subject!$A:$I,MATCH(RANDBETWEEN(1,16),Subject!$B:$B,0),3)</f>
        <v>#N/A</v>
      </c>
      <c r="AM513" s="18">
        <f t="shared" si="4"/>
        <v>46013.33333</v>
      </c>
      <c r="AN513" s="19">
        <f t="shared" ref="AN513:BZ513" si="513">$A513+C$1</f>
        <v>46013.35417</v>
      </c>
      <c r="AO513" s="19">
        <f t="shared" si="513"/>
        <v>46013.375</v>
      </c>
      <c r="AP513" s="19">
        <f t="shared" si="513"/>
        <v>46013.39583</v>
      </c>
      <c r="AQ513" s="19">
        <f t="shared" si="513"/>
        <v>46013.41667</v>
      </c>
      <c r="AR513" s="19">
        <f t="shared" si="513"/>
        <v>46013.4375</v>
      </c>
      <c r="AS513" s="19">
        <f t="shared" si="513"/>
        <v>46013.45833</v>
      </c>
      <c r="AT513" s="19">
        <f t="shared" si="513"/>
        <v>46013.47917</v>
      </c>
      <c r="AU513" s="19">
        <f t="shared" si="513"/>
        <v>46013.5</v>
      </c>
      <c r="AV513" s="19">
        <f t="shared" si="513"/>
        <v>46013.52083</v>
      </c>
      <c r="AW513" s="19">
        <f t="shared" si="513"/>
        <v>46013.54167</v>
      </c>
      <c r="AX513" s="19">
        <f t="shared" si="513"/>
        <v>46013.5625</v>
      </c>
      <c r="AY513" s="19">
        <f t="shared" si="513"/>
        <v>46013.58333</v>
      </c>
      <c r="AZ513" s="19">
        <f t="shared" si="513"/>
        <v>46013.60417</v>
      </c>
      <c r="BA513" s="19">
        <f t="shared" si="513"/>
        <v>46013.625</v>
      </c>
      <c r="BB513" s="19">
        <f t="shared" si="513"/>
        <v>46013.64583</v>
      </c>
      <c r="BC513" s="19">
        <f t="shared" si="513"/>
        <v>46013.66667</v>
      </c>
      <c r="BD513" s="19">
        <f t="shared" si="513"/>
        <v>46013.6875</v>
      </c>
      <c r="BE513" s="19">
        <f t="shared" si="513"/>
        <v>46013.70833</v>
      </c>
      <c r="BF513" s="19">
        <f t="shared" si="513"/>
        <v>46013.72917</v>
      </c>
      <c r="BG513" s="19">
        <f t="shared" si="513"/>
        <v>46013.75</v>
      </c>
      <c r="BH513" s="19">
        <f t="shared" si="513"/>
        <v>46013.77083</v>
      </c>
      <c r="BI513" s="19">
        <f t="shared" si="513"/>
        <v>46013.79167</v>
      </c>
      <c r="BJ513" s="19">
        <f t="shared" si="513"/>
        <v>46013.8125</v>
      </c>
      <c r="BK513" s="19">
        <f t="shared" si="513"/>
        <v>46013.83333</v>
      </c>
      <c r="BL513" s="19">
        <f t="shared" si="513"/>
        <v>46013.85417</v>
      </c>
      <c r="BM513" s="19">
        <f t="shared" si="513"/>
        <v>46013.875</v>
      </c>
      <c r="BN513" s="19">
        <f t="shared" si="513"/>
        <v>46013.89583</v>
      </c>
      <c r="BO513" s="19">
        <f t="shared" si="513"/>
        <v>46013.91667</v>
      </c>
      <c r="BP513" s="19">
        <f t="shared" si="513"/>
        <v>46013.9375</v>
      </c>
      <c r="BQ513" s="19">
        <f t="shared" si="513"/>
        <v>46013.95833</v>
      </c>
      <c r="BR513" s="19">
        <f t="shared" si="513"/>
        <v>46013.97917</v>
      </c>
      <c r="BS513" s="19">
        <f t="shared" si="513"/>
        <v>46014</v>
      </c>
      <c r="BT513" s="19">
        <f t="shared" si="513"/>
        <v>46014.02083</v>
      </c>
      <c r="BU513" s="19">
        <f t="shared" si="513"/>
        <v>46014.04167</v>
      </c>
      <c r="BV513" s="19">
        <f t="shared" si="513"/>
        <v>46014.0625</v>
      </c>
      <c r="BW513" s="19">
        <f t="shared" si="513"/>
        <v>46014.08333</v>
      </c>
      <c r="BX513" s="19">
        <f t="shared" si="513"/>
        <v>46013</v>
      </c>
      <c r="BY513" s="19">
        <f t="shared" si="513"/>
        <v>46013</v>
      </c>
      <c r="BZ513" s="19">
        <f t="shared" si="513"/>
        <v>46013</v>
      </c>
    </row>
    <row r="514" ht="14.25" customHeight="1">
      <c r="A514" s="17">
        <v>46014.0</v>
      </c>
      <c r="B514" s="2" t="str">
        <f t="array" ref="B514">IF(NOW()&gt;AM514,"",IF(AND((WEEKDAY($A514)+$B$2)&gt;1,((WEEKDAY($A514)+$T$2)&lt;7),(WEEKDAY($A514)&lt;&gt;1)),"work",(INDEX(Subject!$A:$I,MATCH(RANDBETWEEN(1,(MAX(Subject!$B:$B))),Subject!$B:$B,0),3))))</f>
        <v/>
      </c>
      <c r="C514" s="2" t="str">
        <f t="array" ref="C514">IF(NOW()&gt;AN514,"",IF(AND((WEEKDAY($A514)+$B$2)&gt;1,((WEEKDAY($A514)+$T$2)&lt;7),(WEEKDAY($A514)&lt;&gt;1)),"work",(INDEX(Subject!$A:$I,MATCH(RANDBETWEEN(1,(MAX(Subject!$B:$B))),Subject!$B:$B,0),3))))</f>
        <v/>
      </c>
      <c r="D514" s="2" t="str">
        <f t="array" ref="D514">IF(NOW()&gt;AO514,"",IF(AND((WEEKDAY($A514)+$B$2)&gt;1,((WEEKDAY($A514)+$T$2)&lt;7),(WEEKDAY($A514)&lt;&gt;1)),"work",(INDEX(Subject!$A:$I,MATCH(RANDBETWEEN(1,(MAX(Subject!$B:$B))),Subject!$B:$B,0),3))))</f>
        <v/>
      </c>
      <c r="E514" s="2" t="str">
        <f t="array" ref="E514">IF(NOW()&gt;AP514,"",IF(AND((WEEKDAY($A514)+$B$2)&gt;1,((WEEKDAY($A514)+$T$2)&lt;7),(WEEKDAY($A514)&lt;&gt;1)),"work",(INDEX(Subject!$A:$I,MATCH(RANDBETWEEN(1,(MAX(Subject!$B:$B))),Subject!$B:$B,0),3))))</f>
        <v/>
      </c>
      <c r="F514" s="2" t="str">
        <f t="array" ref="F514">IF(NOW()&gt;AQ514,"",IF(AND((WEEKDAY($A514)+$B$2)&gt;1,((WEEKDAY($A514)+$T$2)&lt;7),(WEEKDAY($A514)&lt;&gt;1)),"work",(INDEX(Subject!$A:$I,MATCH(RANDBETWEEN(1,(MAX(Subject!$B:$B))),Subject!$B:$B,0),3))))</f>
        <v/>
      </c>
      <c r="G514" s="2" t="str">
        <f t="array" ref="G514">IF(NOW()&gt;AR514,"",IF(AND((WEEKDAY($A514)+$B$2)&gt;1,((WEEKDAY($A514)+$T$2)&lt;7),(WEEKDAY($A514)&lt;&gt;1)),"work",(INDEX(Subject!$A:$I,MATCH(RANDBETWEEN(1,(MAX(Subject!$B:$B))),Subject!$B:$B,0),3))))</f>
        <v/>
      </c>
      <c r="H514" s="2" t="str">
        <f t="array" ref="H514">IF(NOW()&gt;AS514,"",IF(AND((WEEKDAY($A514)+$B$2)&gt;1,((WEEKDAY($A514)+$T$2)&lt;7),(WEEKDAY($A514)&lt;&gt;1)),"work",(INDEX(Subject!$A:$I,MATCH(RANDBETWEEN(1,(MAX(Subject!$B:$B))),Subject!$B:$B,0),3))))</f>
        <v/>
      </c>
      <c r="I514" s="2" t="str">
        <f t="array" ref="I514">IF(NOW()&gt;AT514,"",IF(AND((WEEKDAY($A514)+$B$2)&gt;1,((WEEKDAY($A514)+$T$2)&lt;7),(WEEKDAY($A514)&lt;&gt;1)),"work",(INDEX(Subject!$A:$I,MATCH(RANDBETWEEN(1,(MAX(Subject!$B:$B))),Subject!$B:$B,0),3))))</f>
        <v/>
      </c>
      <c r="J514" s="2" t="str">
        <f t="array" ref="J514">IF(NOW()&gt;AU514,"",IF(AND((WEEKDAY($A514)+$B$2)&gt;1,((WEEKDAY($A514)+$T$2)&lt;7),(WEEKDAY($A514)&lt;&gt;1)),"work",(INDEX(Subject!$A:$I,MATCH(RANDBETWEEN(1,(MAX(Subject!$B:$B))),Subject!$B:$B,0),3))))</f>
        <v/>
      </c>
      <c r="K514" s="2" t="str">
        <f t="array" ref="K514">IF(NOW()&gt;AV514,"",IF(AND((WEEKDAY($A514)+$B$2)&gt;1,((WEEKDAY($A514)+$T$2)&lt;7),(WEEKDAY($A514)&lt;&gt;1)),"work",(INDEX(Subject!$A:$I,MATCH(RANDBETWEEN(1,(MAX(Subject!$B:$B))),Subject!$B:$B,0),3))))</f>
        <v/>
      </c>
      <c r="L514" s="2" t="str">
        <f t="array" ref="L514">IF(NOW()&gt;AW514,"",IF(AND((WEEKDAY($A514)+$B$2)&gt;1,((WEEKDAY($A514)+$T$2)&lt;7),(WEEKDAY($A514)&lt;&gt;1)),"work",(INDEX(Subject!$A:$I,MATCH(RANDBETWEEN(1,(MAX(Subject!$B:$B))),Subject!$B:$B,0),3))))</f>
        <v/>
      </c>
      <c r="M514" s="2" t="str">
        <f t="array" ref="M514">IF(NOW()&gt;AX514,"",IF(AND((WEEKDAY($A514)+$B$2)&gt;1,((WEEKDAY($A514)+$T$2)&lt;7),(WEEKDAY($A514)&lt;&gt;1)),"work",(INDEX(Subject!$A:$I,MATCH(RANDBETWEEN(1,(MAX(Subject!$B:$B))),Subject!$B:$B,0),3))))</f>
        <v/>
      </c>
      <c r="N514" s="2" t="str">
        <f t="array" ref="N514">IF(NOW()&gt;AY514,"",IF(AND((WEEKDAY($A514)+$B$2)&gt;1,((WEEKDAY($A514)+$T$2)&lt;7),(WEEKDAY($A514)&lt;&gt;1)),"work",(INDEX(Subject!$A:$I,MATCH(RANDBETWEEN(1,(MAX(Subject!$B:$B))),Subject!$B:$B,0),3))))</f>
        <v/>
      </c>
      <c r="O514" s="2" t="str">
        <f t="array" ref="O514">IF(NOW()&gt;AZ514,"",IF(AND((WEEKDAY($A514)+$B$2)&gt;1,((WEEKDAY($A514)+$T$2)&lt;7),(WEEKDAY($A514)&lt;&gt;1)),"work",(INDEX(Subject!$A:$I,MATCH(RANDBETWEEN(1,(MAX(Subject!$B:$B))),Subject!$B:$B,0),3))))</f>
        <v/>
      </c>
      <c r="P514" s="2" t="str">
        <f t="array" ref="P514">IF(NOW()&gt;BA514,"",IF(AND((WEEKDAY($A514)+$B$2)&gt;1,((WEEKDAY($A514)+$T$2)&lt;7),(WEEKDAY($A514)&lt;&gt;1)),"work",(INDEX(Subject!$A:$I,MATCH(RANDBETWEEN(1,(MAX(Subject!$B:$B))),Subject!$B:$B,0),3))))</f>
        <v/>
      </c>
      <c r="Q514" s="2" t="str">
        <f t="array" ref="Q514">IF(NOW()&gt;BB514,"",IF(AND((WEEKDAY($A514)+$B$2)&gt;1,((WEEKDAY($A514)+$T$2)&lt;7),(WEEKDAY($A514)&lt;&gt;1)),"work",(INDEX(Subject!$A:$I,MATCH(RANDBETWEEN(1,(MAX(Subject!$B:$B))),Subject!$B:$B,0),3))))</f>
        <v/>
      </c>
      <c r="R514" s="2" t="str">
        <f t="array" ref="R514">IF(NOW()&gt;BC514,"",IF(AND((WEEKDAY($A514)+$B$2)&gt;1,((WEEKDAY($A514)+$T$2)&lt;7),(WEEKDAY($A514)&lt;&gt;1)),"work",(INDEX(Subject!$A:$I,MATCH(RANDBETWEEN(1,(MAX(Subject!$B:$B))),Subject!$B:$B,0),3))))</f>
        <v/>
      </c>
      <c r="S514" s="2" t="str">
        <f t="array" ref="S514">IF(NOW()&gt;BD514,"",IF(AND((WEEKDAY($A514)+$B$2)&gt;1,((WEEKDAY($A514)+$T$2)&lt;7),(WEEKDAY($A514)&lt;&gt;1)),"work",(INDEX(Subject!$A:$I,MATCH(RANDBETWEEN(1,(MAX(Subject!$B:$B))),Subject!$B:$B,0),3))))</f>
        <v/>
      </c>
      <c r="T514" s="2" t="str">
        <f t="array" ref="T514">IF(NOW()&gt;BE514,"",IF(AND((WEEKDAY($A514)+$B$2)&gt;1,((WEEKDAY($A514)+$T$2)&lt;7),(WEEKDAY($A514)&lt;&gt;1)),"work",(INDEX(Subject!$A:$I,MATCH(RANDBETWEEN(1,(MAX(Subject!$B:$B))),Subject!$B:$B,0),3))))</f>
        <v/>
      </c>
      <c r="U514" s="8" t="str">
        <f t="array" ref="U514">INDEX(Subject!$A:$I,MATCH(RANDBETWEEN(1,16),Subject!$B:$B,0),3)</f>
        <v>#N/A</v>
      </c>
      <c r="V514" s="8" t="str">
        <f t="array" ref="V514">INDEX(Subject!$A:$I,MATCH(RANDBETWEEN(1,16),Subject!$B:$B,0),3)</f>
        <v>#N/A</v>
      </c>
      <c r="W514" s="8" t="str">
        <f t="array" ref="W514">INDEX(Subject!$A:$I,MATCH(RANDBETWEEN(1,16),Subject!$B:$B,0),3)</f>
        <v>#N/A</v>
      </c>
      <c r="X514" s="8" t="str">
        <f t="array" ref="X514">INDEX(Subject!$A:$I,MATCH(RANDBETWEEN(1,16),Subject!$B:$B,0),3)</f>
        <v>#N/A</v>
      </c>
      <c r="Y514" s="8" t="str">
        <f t="array" ref="Y514">INDEX(Subject!$A:$I,MATCH(RANDBETWEEN(1,16),Subject!$B:$B,0),3)</f>
        <v>#N/A</v>
      </c>
      <c r="Z514" s="8" t="str">
        <f t="array" ref="Z514">INDEX(Subject!$A:$I,MATCH(RANDBETWEEN(1,16),Subject!$B:$B,0),3)</f>
        <v>#N/A</v>
      </c>
      <c r="AA514" s="8" t="str">
        <f t="array" ref="AA514">INDEX(Subject!$A:$I,MATCH(RANDBETWEEN(1,16),Subject!$B:$B,0),3)</f>
        <v>#N/A</v>
      </c>
      <c r="AB514" s="8" t="str">
        <f t="array" ref="AB514">INDEX(Subject!$A:$I,MATCH(RANDBETWEEN(1,16),Subject!$B:$B,0),3)</f>
        <v>#N/A</v>
      </c>
      <c r="AC514" s="8" t="str">
        <f t="array" ref="AC514">INDEX(Subject!$A:$I,MATCH(RANDBETWEEN(1,16),Subject!$B:$B,0),3)</f>
        <v>#N/A</v>
      </c>
      <c r="AD514" s="8" t="str">
        <f t="array" ref="AD514">INDEX(Subject!$A:$I,MATCH(RANDBETWEEN(1,16),Subject!$B:$B,0),3)</f>
        <v>#N/A</v>
      </c>
      <c r="AE514" s="8" t="str">
        <f t="array" ref="AE514">INDEX(Subject!$A:$I,MATCH(RANDBETWEEN(1,16),Subject!$B:$B,0),3)</f>
        <v>#N/A</v>
      </c>
      <c r="AF514" s="8" t="str">
        <f t="array" ref="AF514">INDEX(Subject!$A:$I,MATCH(RANDBETWEEN(1,16),Subject!$B:$B,0),3)</f>
        <v>#N/A</v>
      </c>
      <c r="AG514" s="8" t="str">
        <f t="array" ref="AG514">INDEX(Subject!$A:$I,MATCH(RANDBETWEEN(1,16),Subject!$B:$B,0),3)</f>
        <v>#N/A</v>
      </c>
      <c r="AH514" s="8" t="str">
        <f t="array" ref="AH514">INDEX(Subject!$A:$I,MATCH(RANDBETWEEN(1,16),Subject!$B:$B,0),3)</f>
        <v>#N/A</v>
      </c>
      <c r="AI514" s="8" t="str">
        <f t="array" ref="AI514">INDEX(Subject!$A:$I,MATCH(RANDBETWEEN(1,16),Subject!$B:$B,0),3)</f>
        <v>#N/A</v>
      </c>
      <c r="AJ514" s="8" t="str">
        <f t="array" ref="AJ514">INDEX(Subject!$A:$I,MATCH(RANDBETWEEN(1,16),Subject!$B:$B,0),3)</f>
        <v>#N/A</v>
      </c>
      <c r="AK514" s="8" t="str">
        <f t="array" ref="AK514">INDEX(Subject!$A:$I,MATCH(RANDBETWEEN(1,16),Subject!$B:$B,0),3)</f>
        <v>#N/A</v>
      </c>
      <c r="AL514" s="8" t="str">
        <f t="array" ref="AL514">INDEX(Subject!$A:$I,MATCH(RANDBETWEEN(1,16),Subject!$B:$B,0),3)</f>
        <v>#N/A</v>
      </c>
      <c r="AM514" s="18">
        <f t="shared" si="4"/>
        <v>46014.33333</v>
      </c>
      <c r="AN514" s="19">
        <f t="shared" ref="AN514:BZ514" si="514">$A514+C$1</f>
        <v>46014.35417</v>
      </c>
      <c r="AO514" s="19">
        <f t="shared" si="514"/>
        <v>46014.375</v>
      </c>
      <c r="AP514" s="19">
        <f t="shared" si="514"/>
        <v>46014.39583</v>
      </c>
      <c r="AQ514" s="19">
        <f t="shared" si="514"/>
        <v>46014.41667</v>
      </c>
      <c r="AR514" s="19">
        <f t="shared" si="514"/>
        <v>46014.4375</v>
      </c>
      <c r="AS514" s="19">
        <f t="shared" si="514"/>
        <v>46014.45833</v>
      </c>
      <c r="AT514" s="19">
        <f t="shared" si="514"/>
        <v>46014.47917</v>
      </c>
      <c r="AU514" s="19">
        <f t="shared" si="514"/>
        <v>46014.5</v>
      </c>
      <c r="AV514" s="19">
        <f t="shared" si="514"/>
        <v>46014.52083</v>
      </c>
      <c r="AW514" s="19">
        <f t="shared" si="514"/>
        <v>46014.54167</v>
      </c>
      <c r="AX514" s="19">
        <f t="shared" si="514"/>
        <v>46014.5625</v>
      </c>
      <c r="AY514" s="19">
        <f t="shared" si="514"/>
        <v>46014.58333</v>
      </c>
      <c r="AZ514" s="19">
        <f t="shared" si="514"/>
        <v>46014.60417</v>
      </c>
      <c r="BA514" s="19">
        <f t="shared" si="514"/>
        <v>46014.625</v>
      </c>
      <c r="BB514" s="19">
        <f t="shared" si="514"/>
        <v>46014.64583</v>
      </c>
      <c r="BC514" s="19">
        <f t="shared" si="514"/>
        <v>46014.66667</v>
      </c>
      <c r="BD514" s="19">
        <f t="shared" si="514"/>
        <v>46014.6875</v>
      </c>
      <c r="BE514" s="19">
        <f t="shared" si="514"/>
        <v>46014.70833</v>
      </c>
      <c r="BF514" s="19">
        <f t="shared" si="514"/>
        <v>46014.72917</v>
      </c>
      <c r="BG514" s="19">
        <f t="shared" si="514"/>
        <v>46014.75</v>
      </c>
      <c r="BH514" s="19">
        <f t="shared" si="514"/>
        <v>46014.77083</v>
      </c>
      <c r="BI514" s="19">
        <f t="shared" si="514"/>
        <v>46014.79167</v>
      </c>
      <c r="BJ514" s="19">
        <f t="shared" si="514"/>
        <v>46014.8125</v>
      </c>
      <c r="BK514" s="19">
        <f t="shared" si="514"/>
        <v>46014.83333</v>
      </c>
      <c r="BL514" s="19">
        <f t="shared" si="514"/>
        <v>46014.85417</v>
      </c>
      <c r="BM514" s="19">
        <f t="shared" si="514"/>
        <v>46014.875</v>
      </c>
      <c r="BN514" s="19">
        <f t="shared" si="514"/>
        <v>46014.89583</v>
      </c>
      <c r="BO514" s="19">
        <f t="shared" si="514"/>
        <v>46014.91667</v>
      </c>
      <c r="BP514" s="19">
        <f t="shared" si="514"/>
        <v>46014.9375</v>
      </c>
      <c r="BQ514" s="19">
        <f t="shared" si="514"/>
        <v>46014.95833</v>
      </c>
      <c r="BR514" s="19">
        <f t="shared" si="514"/>
        <v>46014.97917</v>
      </c>
      <c r="BS514" s="19">
        <f t="shared" si="514"/>
        <v>46015</v>
      </c>
      <c r="BT514" s="19">
        <f t="shared" si="514"/>
        <v>46015.02083</v>
      </c>
      <c r="BU514" s="19">
        <f t="shared" si="514"/>
        <v>46015.04167</v>
      </c>
      <c r="BV514" s="19">
        <f t="shared" si="514"/>
        <v>46015.0625</v>
      </c>
      <c r="BW514" s="19">
        <f t="shared" si="514"/>
        <v>46015.08333</v>
      </c>
      <c r="BX514" s="19">
        <f t="shared" si="514"/>
        <v>46014</v>
      </c>
      <c r="BY514" s="19">
        <f t="shared" si="514"/>
        <v>46014</v>
      </c>
      <c r="BZ514" s="19">
        <f t="shared" si="514"/>
        <v>46014</v>
      </c>
    </row>
    <row r="515" ht="14.25" customHeight="1">
      <c r="A515" s="17">
        <v>46015.0</v>
      </c>
      <c r="B515" s="2" t="str">
        <f t="array" ref="B515">IF(NOW()&gt;AM515,"",IF(AND((WEEKDAY($A515)+$B$2)&gt;1,((WEEKDAY($A515)+$T$2)&lt;7),(WEEKDAY($A515)&lt;&gt;1)),"work",(INDEX(Subject!$A:$I,MATCH(RANDBETWEEN(1,(MAX(Subject!$B:$B))),Subject!$B:$B,0),3))))</f>
        <v/>
      </c>
      <c r="C515" s="2" t="str">
        <f t="array" ref="C515">IF(NOW()&gt;AN515,"",IF(AND((WEEKDAY($A515)+$B$2)&gt;1,((WEEKDAY($A515)+$T$2)&lt;7),(WEEKDAY($A515)&lt;&gt;1)),"work",(INDEX(Subject!$A:$I,MATCH(RANDBETWEEN(1,(MAX(Subject!$B:$B))),Subject!$B:$B,0),3))))</f>
        <v/>
      </c>
      <c r="D515" s="2" t="str">
        <f t="array" ref="D515">IF(NOW()&gt;AO515,"",IF(AND((WEEKDAY($A515)+$B$2)&gt;1,((WEEKDAY($A515)+$T$2)&lt;7),(WEEKDAY($A515)&lt;&gt;1)),"work",(INDEX(Subject!$A:$I,MATCH(RANDBETWEEN(1,(MAX(Subject!$B:$B))),Subject!$B:$B,0),3))))</f>
        <v/>
      </c>
      <c r="E515" s="2" t="str">
        <f t="array" ref="E515">IF(NOW()&gt;AP515,"",IF(AND((WEEKDAY($A515)+$B$2)&gt;1,((WEEKDAY($A515)+$T$2)&lt;7),(WEEKDAY($A515)&lt;&gt;1)),"work",(INDEX(Subject!$A:$I,MATCH(RANDBETWEEN(1,(MAX(Subject!$B:$B))),Subject!$B:$B,0),3))))</f>
        <v/>
      </c>
      <c r="F515" s="2" t="str">
        <f t="array" ref="F515">IF(NOW()&gt;AQ515,"",IF(AND((WEEKDAY($A515)+$B$2)&gt;1,((WEEKDAY($A515)+$T$2)&lt;7),(WEEKDAY($A515)&lt;&gt;1)),"work",(INDEX(Subject!$A:$I,MATCH(RANDBETWEEN(1,(MAX(Subject!$B:$B))),Subject!$B:$B,0),3))))</f>
        <v/>
      </c>
      <c r="G515" s="2" t="str">
        <f t="array" ref="G515">IF(NOW()&gt;AR515,"",IF(AND((WEEKDAY($A515)+$B$2)&gt;1,((WEEKDAY($A515)+$T$2)&lt;7),(WEEKDAY($A515)&lt;&gt;1)),"work",(INDEX(Subject!$A:$I,MATCH(RANDBETWEEN(1,(MAX(Subject!$B:$B))),Subject!$B:$B,0),3))))</f>
        <v/>
      </c>
      <c r="H515" s="2" t="str">
        <f t="array" ref="H515">IF(NOW()&gt;AS515,"",IF(AND((WEEKDAY($A515)+$B$2)&gt;1,((WEEKDAY($A515)+$T$2)&lt;7),(WEEKDAY($A515)&lt;&gt;1)),"work",(INDEX(Subject!$A:$I,MATCH(RANDBETWEEN(1,(MAX(Subject!$B:$B))),Subject!$B:$B,0),3))))</f>
        <v/>
      </c>
      <c r="I515" s="2" t="str">
        <f t="array" ref="I515">IF(NOW()&gt;AT515,"",IF(AND((WEEKDAY($A515)+$B$2)&gt;1,((WEEKDAY($A515)+$T$2)&lt;7),(WEEKDAY($A515)&lt;&gt;1)),"work",(INDEX(Subject!$A:$I,MATCH(RANDBETWEEN(1,(MAX(Subject!$B:$B))),Subject!$B:$B,0),3))))</f>
        <v/>
      </c>
      <c r="J515" s="2" t="str">
        <f t="array" ref="J515">IF(NOW()&gt;AU515,"",IF(AND((WEEKDAY($A515)+$B$2)&gt;1,((WEEKDAY($A515)+$T$2)&lt;7),(WEEKDAY($A515)&lt;&gt;1)),"work",(INDEX(Subject!$A:$I,MATCH(RANDBETWEEN(1,(MAX(Subject!$B:$B))),Subject!$B:$B,0),3))))</f>
        <v/>
      </c>
      <c r="K515" s="2" t="str">
        <f t="array" ref="K515">IF(NOW()&gt;AV515,"",IF(AND((WEEKDAY($A515)+$B$2)&gt;1,((WEEKDAY($A515)+$T$2)&lt;7),(WEEKDAY($A515)&lt;&gt;1)),"work",(INDEX(Subject!$A:$I,MATCH(RANDBETWEEN(1,(MAX(Subject!$B:$B))),Subject!$B:$B,0),3))))</f>
        <v/>
      </c>
      <c r="L515" s="2" t="str">
        <f t="array" ref="L515">IF(NOW()&gt;AW515,"",IF(AND((WEEKDAY($A515)+$B$2)&gt;1,((WEEKDAY($A515)+$T$2)&lt;7),(WEEKDAY($A515)&lt;&gt;1)),"work",(INDEX(Subject!$A:$I,MATCH(RANDBETWEEN(1,(MAX(Subject!$B:$B))),Subject!$B:$B,0),3))))</f>
        <v/>
      </c>
      <c r="M515" s="2" t="str">
        <f t="array" ref="M515">IF(NOW()&gt;AX515,"",IF(AND((WEEKDAY($A515)+$B$2)&gt;1,((WEEKDAY($A515)+$T$2)&lt;7),(WEEKDAY($A515)&lt;&gt;1)),"work",(INDEX(Subject!$A:$I,MATCH(RANDBETWEEN(1,(MAX(Subject!$B:$B))),Subject!$B:$B,0),3))))</f>
        <v/>
      </c>
      <c r="N515" s="2" t="str">
        <f t="array" ref="N515">IF(NOW()&gt;AY515,"",IF(AND((WEEKDAY($A515)+$B$2)&gt;1,((WEEKDAY($A515)+$T$2)&lt;7),(WEEKDAY($A515)&lt;&gt;1)),"work",(INDEX(Subject!$A:$I,MATCH(RANDBETWEEN(1,(MAX(Subject!$B:$B))),Subject!$B:$B,0),3))))</f>
        <v/>
      </c>
      <c r="O515" s="2" t="str">
        <f t="array" ref="O515">IF(NOW()&gt;AZ515,"",IF(AND((WEEKDAY($A515)+$B$2)&gt;1,((WEEKDAY($A515)+$T$2)&lt;7),(WEEKDAY($A515)&lt;&gt;1)),"work",(INDEX(Subject!$A:$I,MATCH(RANDBETWEEN(1,(MAX(Subject!$B:$B))),Subject!$B:$B,0),3))))</f>
        <v/>
      </c>
      <c r="P515" s="2" t="str">
        <f t="array" ref="P515">IF(NOW()&gt;BA515,"",IF(AND((WEEKDAY($A515)+$B$2)&gt;1,((WEEKDAY($A515)+$T$2)&lt;7),(WEEKDAY($A515)&lt;&gt;1)),"work",(INDEX(Subject!$A:$I,MATCH(RANDBETWEEN(1,(MAX(Subject!$B:$B))),Subject!$B:$B,0),3))))</f>
        <v/>
      </c>
      <c r="Q515" s="2" t="str">
        <f t="array" ref="Q515">IF(NOW()&gt;BB515,"",IF(AND((WEEKDAY($A515)+$B$2)&gt;1,((WEEKDAY($A515)+$T$2)&lt;7),(WEEKDAY($A515)&lt;&gt;1)),"work",(INDEX(Subject!$A:$I,MATCH(RANDBETWEEN(1,(MAX(Subject!$B:$B))),Subject!$B:$B,0),3))))</f>
        <v/>
      </c>
      <c r="R515" s="2" t="str">
        <f t="array" ref="R515">IF(NOW()&gt;BC515,"",IF(AND((WEEKDAY($A515)+$B$2)&gt;1,((WEEKDAY($A515)+$T$2)&lt;7),(WEEKDAY($A515)&lt;&gt;1)),"work",(INDEX(Subject!$A:$I,MATCH(RANDBETWEEN(1,(MAX(Subject!$B:$B))),Subject!$B:$B,0),3))))</f>
        <v/>
      </c>
      <c r="S515" s="2" t="str">
        <f t="array" ref="S515">IF(NOW()&gt;BD515,"",IF(AND((WEEKDAY($A515)+$B$2)&gt;1,((WEEKDAY($A515)+$T$2)&lt;7),(WEEKDAY($A515)&lt;&gt;1)),"work",(INDEX(Subject!$A:$I,MATCH(RANDBETWEEN(1,(MAX(Subject!$B:$B))),Subject!$B:$B,0),3))))</f>
        <v/>
      </c>
      <c r="T515" s="2" t="str">
        <f t="array" ref="T515">IF(NOW()&gt;BE515,"",IF(AND((WEEKDAY($A515)+$B$2)&gt;1,((WEEKDAY($A515)+$T$2)&lt;7),(WEEKDAY($A515)&lt;&gt;1)),"work",(INDEX(Subject!$A:$I,MATCH(RANDBETWEEN(1,(MAX(Subject!$B:$B))),Subject!$B:$B,0),3))))</f>
        <v/>
      </c>
      <c r="U515" s="8" t="str">
        <f t="array" ref="U515">INDEX(Subject!$A:$I,MATCH(RANDBETWEEN(1,16),Subject!$B:$B,0),3)</f>
        <v>#N/A</v>
      </c>
      <c r="V515" s="8" t="str">
        <f t="array" ref="V515">INDEX(Subject!$A:$I,MATCH(RANDBETWEEN(1,16),Subject!$B:$B,0),3)</f>
        <v>#N/A</v>
      </c>
      <c r="W515" s="8" t="str">
        <f t="array" ref="W515">INDEX(Subject!$A:$I,MATCH(RANDBETWEEN(1,16),Subject!$B:$B,0),3)</f>
        <v>#N/A</v>
      </c>
      <c r="X515" s="8" t="str">
        <f t="array" ref="X515">INDEX(Subject!$A:$I,MATCH(RANDBETWEEN(1,16),Subject!$B:$B,0),3)</f>
        <v>#N/A</v>
      </c>
      <c r="Y515" s="8" t="str">
        <f t="array" ref="Y515">INDEX(Subject!$A:$I,MATCH(RANDBETWEEN(1,16),Subject!$B:$B,0),3)</f>
        <v>#N/A</v>
      </c>
      <c r="Z515" s="8" t="str">
        <f t="array" ref="Z515">INDEX(Subject!$A:$I,MATCH(RANDBETWEEN(1,16),Subject!$B:$B,0),3)</f>
        <v>#N/A</v>
      </c>
      <c r="AA515" s="8" t="str">
        <f t="array" ref="AA515">INDEX(Subject!$A:$I,MATCH(RANDBETWEEN(1,16),Subject!$B:$B,0),3)</f>
        <v>#N/A</v>
      </c>
      <c r="AB515" s="8" t="str">
        <f t="array" ref="AB515">INDEX(Subject!$A:$I,MATCH(RANDBETWEEN(1,16),Subject!$B:$B,0),3)</f>
        <v>#N/A</v>
      </c>
      <c r="AC515" s="8" t="str">
        <f t="array" ref="AC515">INDEX(Subject!$A:$I,MATCH(RANDBETWEEN(1,16),Subject!$B:$B,0),3)</f>
        <v>#N/A</v>
      </c>
      <c r="AD515" s="8" t="str">
        <f t="array" ref="AD515">INDEX(Subject!$A:$I,MATCH(RANDBETWEEN(1,16),Subject!$B:$B,0),3)</f>
        <v>#N/A</v>
      </c>
      <c r="AE515" s="8" t="str">
        <f t="array" ref="AE515">INDEX(Subject!$A:$I,MATCH(RANDBETWEEN(1,16),Subject!$B:$B,0),3)</f>
        <v>#N/A</v>
      </c>
      <c r="AF515" s="8" t="str">
        <f t="array" ref="AF515">INDEX(Subject!$A:$I,MATCH(RANDBETWEEN(1,16),Subject!$B:$B,0),3)</f>
        <v>#N/A</v>
      </c>
      <c r="AG515" s="8" t="str">
        <f t="array" ref="AG515">INDEX(Subject!$A:$I,MATCH(RANDBETWEEN(1,16),Subject!$B:$B,0),3)</f>
        <v>#N/A</v>
      </c>
      <c r="AH515" s="8" t="str">
        <f t="array" ref="AH515">INDEX(Subject!$A:$I,MATCH(RANDBETWEEN(1,16),Subject!$B:$B,0),3)</f>
        <v>#N/A</v>
      </c>
      <c r="AI515" s="8" t="str">
        <f t="array" ref="AI515">INDEX(Subject!$A:$I,MATCH(RANDBETWEEN(1,16),Subject!$B:$B,0),3)</f>
        <v>#N/A</v>
      </c>
      <c r="AJ515" s="8" t="str">
        <f t="array" ref="AJ515">INDEX(Subject!$A:$I,MATCH(RANDBETWEEN(1,16),Subject!$B:$B,0),3)</f>
        <v>#N/A</v>
      </c>
      <c r="AK515" s="8" t="str">
        <f t="array" ref="AK515">INDEX(Subject!$A:$I,MATCH(RANDBETWEEN(1,16),Subject!$B:$B,0),3)</f>
        <v>#N/A</v>
      </c>
      <c r="AL515" s="8" t="str">
        <f t="array" ref="AL515">INDEX(Subject!$A:$I,MATCH(RANDBETWEEN(1,16),Subject!$B:$B,0),3)</f>
        <v>#N/A</v>
      </c>
      <c r="AM515" s="18">
        <f t="shared" si="4"/>
        <v>46015.33333</v>
      </c>
      <c r="AN515" s="19">
        <f t="shared" ref="AN515:BZ515" si="515">$A515+C$1</f>
        <v>46015.35417</v>
      </c>
      <c r="AO515" s="19">
        <f t="shared" si="515"/>
        <v>46015.375</v>
      </c>
      <c r="AP515" s="19">
        <f t="shared" si="515"/>
        <v>46015.39583</v>
      </c>
      <c r="AQ515" s="19">
        <f t="shared" si="515"/>
        <v>46015.41667</v>
      </c>
      <c r="AR515" s="19">
        <f t="shared" si="515"/>
        <v>46015.4375</v>
      </c>
      <c r="AS515" s="19">
        <f t="shared" si="515"/>
        <v>46015.45833</v>
      </c>
      <c r="AT515" s="19">
        <f t="shared" si="515"/>
        <v>46015.47917</v>
      </c>
      <c r="AU515" s="19">
        <f t="shared" si="515"/>
        <v>46015.5</v>
      </c>
      <c r="AV515" s="19">
        <f t="shared" si="515"/>
        <v>46015.52083</v>
      </c>
      <c r="AW515" s="19">
        <f t="shared" si="515"/>
        <v>46015.54167</v>
      </c>
      <c r="AX515" s="19">
        <f t="shared" si="515"/>
        <v>46015.5625</v>
      </c>
      <c r="AY515" s="19">
        <f t="shared" si="515"/>
        <v>46015.58333</v>
      </c>
      <c r="AZ515" s="19">
        <f t="shared" si="515"/>
        <v>46015.60417</v>
      </c>
      <c r="BA515" s="19">
        <f t="shared" si="515"/>
        <v>46015.625</v>
      </c>
      <c r="BB515" s="19">
        <f t="shared" si="515"/>
        <v>46015.64583</v>
      </c>
      <c r="BC515" s="19">
        <f t="shared" si="515"/>
        <v>46015.66667</v>
      </c>
      <c r="BD515" s="19">
        <f t="shared" si="515"/>
        <v>46015.6875</v>
      </c>
      <c r="BE515" s="19">
        <f t="shared" si="515"/>
        <v>46015.70833</v>
      </c>
      <c r="BF515" s="19">
        <f t="shared" si="515"/>
        <v>46015.72917</v>
      </c>
      <c r="BG515" s="19">
        <f t="shared" si="515"/>
        <v>46015.75</v>
      </c>
      <c r="BH515" s="19">
        <f t="shared" si="515"/>
        <v>46015.77083</v>
      </c>
      <c r="BI515" s="19">
        <f t="shared" si="515"/>
        <v>46015.79167</v>
      </c>
      <c r="BJ515" s="19">
        <f t="shared" si="515"/>
        <v>46015.8125</v>
      </c>
      <c r="BK515" s="19">
        <f t="shared" si="515"/>
        <v>46015.83333</v>
      </c>
      <c r="BL515" s="19">
        <f t="shared" si="515"/>
        <v>46015.85417</v>
      </c>
      <c r="BM515" s="19">
        <f t="shared" si="515"/>
        <v>46015.875</v>
      </c>
      <c r="BN515" s="19">
        <f t="shared" si="515"/>
        <v>46015.89583</v>
      </c>
      <c r="BO515" s="19">
        <f t="shared" si="515"/>
        <v>46015.91667</v>
      </c>
      <c r="BP515" s="19">
        <f t="shared" si="515"/>
        <v>46015.9375</v>
      </c>
      <c r="BQ515" s="19">
        <f t="shared" si="515"/>
        <v>46015.95833</v>
      </c>
      <c r="BR515" s="19">
        <f t="shared" si="515"/>
        <v>46015.97917</v>
      </c>
      <c r="BS515" s="19">
        <f t="shared" si="515"/>
        <v>46016</v>
      </c>
      <c r="BT515" s="19">
        <f t="shared" si="515"/>
        <v>46016.02083</v>
      </c>
      <c r="BU515" s="19">
        <f t="shared" si="515"/>
        <v>46016.04167</v>
      </c>
      <c r="BV515" s="19">
        <f t="shared" si="515"/>
        <v>46016.0625</v>
      </c>
      <c r="BW515" s="19">
        <f t="shared" si="515"/>
        <v>46016.08333</v>
      </c>
      <c r="BX515" s="19">
        <f t="shared" si="515"/>
        <v>46015</v>
      </c>
      <c r="BY515" s="19">
        <f t="shared" si="515"/>
        <v>46015</v>
      </c>
      <c r="BZ515" s="19">
        <f t="shared" si="515"/>
        <v>46015</v>
      </c>
    </row>
    <row r="516" ht="14.25" customHeight="1">
      <c r="A516" s="17">
        <v>46016.0</v>
      </c>
      <c r="B516" s="2" t="str">
        <f t="array" ref="B516">IF(NOW()&gt;AM516,"",IF(AND((WEEKDAY($A516)+$B$2)&gt;1,((WEEKDAY($A516)+$T$2)&lt;7),(WEEKDAY($A516)&lt;&gt;1)),"work",(INDEX(Subject!$A:$I,MATCH(RANDBETWEEN(1,(MAX(Subject!$B:$B))),Subject!$B:$B,0),3))))</f>
        <v/>
      </c>
      <c r="C516" s="2" t="str">
        <f t="array" ref="C516">IF(NOW()&gt;AN516,"",IF(AND((WEEKDAY($A516)+$B$2)&gt;1,((WEEKDAY($A516)+$T$2)&lt;7),(WEEKDAY($A516)&lt;&gt;1)),"work",(INDEX(Subject!$A:$I,MATCH(RANDBETWEEN(1,(MAX(Subject!$B:$B))),Subject!$B:$B,0),3))))</f>
        <v/>
      </c>
      <c r="D516" s="2" t="str">
        <f t="array" ref="D516">IF(NOW()&gt;AO516,"",IF(AND((WEEKDAY($A516)+$B$2)&gt;1,((WEEKDAY($A516)+$T$2)&lt;7),(WEEKDAY($A516)&lt;&gt;1)),"work",(INDEX(Subject!$A:$I,MATCH(RANDBETWEEN(1,(MAX(Subject!$B:$B))),Subject!$B:$B,0),3))))</f>
        <v/>
      </c>
      <c r="E516" s="2" t="str">
        <f t="array" ref="E516">IF(NOW()&gt;AP516,"",IF(AND((WEEKDAY($A516)+$B$2)&gt;1,((WEEKDAY($A516)+$T$2)&lt;7),(WEEKDAY($A516)&lt;&gt;1)),"work",(INDEX(Subject!$A:$I,MATCH(RANDBETWEEN(1,(MAX(Subject!$B:$B))),Subject!$B:$B,0),3))))</f>
        <v/>
      </c>
      <c r="F516" s="2" t="str">
        <f t="array" ref="F516">IF(NOW()&gt;AQ516,"",IF(AND((WEEKDAY($A516)+$B$2)&gt;1,((WEEKDAY($A516)+$T$2)&lt;7),(WEEKDAY($A516)&lt;&gt;1)),"work",(INDEX(Subject!$A:$I,MATCH(RANDBETWEEN(1,(MAX(Subject!$B:$B))),Subject!$B:$B,0),3))))</f>
        <v/>
      </c>
      <c r="G516" s="2" t="str">
        <f t="array" ref="G516">IF(NOW()&gt;AR516,"",IF(AND((WEEKDAY($A516)+$B$2)&gt;1,((WEEKDAY($A516)+$T$2)&lt;7),(WEEKDAY($A516)&lt;&gt;1)),"work",(INDEX(Subject!$A:$I,MATCH(RANDBETWEEN(1,(MAX(Subject!$B:$B))),Subject!$B:$B,0),3))))</f>
        <v/>
      </c>
      <c r="H516" s="2" t="str">
        <f t="array" ref="H516">IF(NOW()&gt;AS516,"",IF(AND((WEEKDAY($A516)+$B$2)&gt;1,((WEEKDAY($A516)+$T$2)&lt;7),(WEEKDAY($A516)&lt;&gt;1)),"work",(INDEX(Subject!$A:$I,MATCH(RANDBETWEEN(1,(MAX(Subject!$B:$B))),Subject!$B:$B,0),3))))</f>
        <v/>
      </c>
      <c r="I516" s="2" t="str">
        <f t="array" ref="I516">IF(NOW()&gt;AT516,"",IF(AND((WEEKDAY($A516)+$B$2)&gt;1,((WEEKDAY($A516)+$T$2)&lt;7),(WEEKDAY($A516)&lt;&gt;1)),"work",(INDEX(Subject!$A:$I,MATCH(RANDBETWEEN(1,(MAX(Subject!$B:$B))),Subject!$B:$B,0),3))))</f>
        <v/>
      </c>
      <c r="J516" s="2" t="str">
        <f t="array" ref="J516">IF(NOW()&gt;AU516,"",IF(AND((WEEKDAY($A516)+$B$2)&gt;1,((WEEKDAY($A516)+$T$2)&lt;7),(WEEKDAY($A516)&lt;&gt;1)),"work",(INDEX(Subject!$A:$I,MATCH(RANDBETWEEN(1,(MAX(Subject!$B:$B))),Subject!$B:$B,0),3))))</f>
        <v/>
      </c>
      <c r="K516" s="2" t="str">
        <f t="array" ref="K516">IF(NOW()&gt;AV516,"",IF(AND((WEEKDAY($A516)+$B$2)&gt;1,((WEEKDAY($A516)+$T$2)&lt;7),(WEEKDAY($A516)&lt;&gt;1)),"work",(INDEX(Subject!$A:$I,MATCH(RANDBETWEEN(1,(MAX(Subject!$B:$B))),Subject!$B:$B,0),3))))</f>
        <v/>
      </c>
      <c r="L516" s="2" t="str">
        <f t="array" ref="L516">IF(NOW()&gt;AW516,"",IF(AND((WEEKDAY($A516)+$B$2)&gt;1,((WEEKDAY($A516)+$T$2)&lt;7),(WEEKDAY($A516)&lt;&gt;1)),"work",(INDEX(Subject!$A:$I,MATCH(RANDBETWEEN(1,(MAX(Subject!$B:$B))),Subject!$B:$B,0),3))))</f>
        <v/>
      </c>
      <c r="M516" s="2" t="str">
        <f t="array" ref="M516">IF(NOW()&gt;AX516,"",IF(AND((WEEKDAY($A516)+$B$2)&gt;1,((WEEKDAY($A516)+$T$2)&lt;7),(WEEKDAY($A516)&lt;&gt;1)),"work",(INDEX(Subject!$A:$I,MATCH(RANDBETWEEN(1,(MAX(Subject!$B:$B))),Subject!$B:$B,0),3))))</f>
        <v/>
      </c>
      <c r="N516" s="2" t="str">
        <f t="array" ref="N516">IF(NOW()&gt;AY516,"",IF(AND((WEEKDAY($A516)+$B$2)&gt;1,((WEEKDAY($A516)+$T$2)&lt;7),(WEEKDAY($A516)&lt;&gt;1)),"work",(INDEX(Subject!$A:$I,MATCH(RANDBETWEEN(1,(MAX(Subject!$B:$B))),Subject!$B:$B,0),3))))</f>
        <v/>
      </c>
      <c r="O516" s="2" t="str">
        <f t="array" ref="O516">IF(NOW()&gt;AZ516,"",IF(AND((WEEKDAY($A516)+$B$2)&gt;1,((WEEKDAY($A516)+$T$2)&lt;7),(WEEKDAY($A516)&lt;&gt;1)),"work",(INDEX(Subject!$A:$I,MATCH(RANDBETWEEN(1,(MAX(Subject!$B:$B))),Subject!$B:$B,0),3))))</f>
        <v/>
      </c>
      <c r="P516" s="2" t="str">
        <f t="array" ref="P516">IF(NOW()&gt;BA516,"",IF(AND((WEEKDAY($A516)+$B$2)&gt;1,((WEEKDAY($A516)+$T$2)&lt;7),(WEEKDAY($A516)&lt;&gt;1)),"work",(INDEX(Subject!$A:$I,MATCH(RANDBETWEEN(1,(MAX(Subject!$B:$B))),Subject!$B:$B,0),3))))</f>
        <v/>
      </c>
      <c r="Q516" s="2" t="str">
        <f t="array" ref="Q516">IF(NOW()&gt;BB516,"",IF(AND((WEEKDAY($A516)+$B$2)&gt;1,((WEEKDAY($A516)+$T$2)&lt;7),(WEEKDAY($A516)&lt;&gt;1)),"work",(INDEX(Subject!$A:$I,MATCH(RANDBETWEEN(1,(MAX(Subject!$B:$B))),Subject!$B:$B,0),3))))</f>
        <v/>
      </c>
      <c r="R516" s="2" t="str">
        <f t="array" ref="R516">IF(NOW()&gt;BC516,"",IF(AND((WEEKDAY($A516)+$B$2)&gt;1,((WEEKDAY($A516)+$T$2)&lt;7),(WEEKDAY($A516)&lt;&gt;1)),"work",(INDEX(Subject!$A:$I,MATCH(RANDBETWEEN(1,(MAX(Subject!$B:$B))),Subject!$B:$B,0),3))))</f>
        <v/>
      </c>
      <c r="S516" s="2" t="str">
        <f t="array" ref="S516">IF(NOW()&gt;BD516,"",IF(AND((WEEKDAY($A516)+$B$2)&gt;1,((WEEKDAY($A516)+$T$2)&lt;7),(WEEKDAY($A516)&lt;&gt;1)),"work",(INDEX(Subject!$A:$I,MATCH(RANDBETWEEN(1,(MAX(Subject!$B:$B))),Subject!$B:$B,0),3))))</f>
        <v/>
      </c>
      <c r="T516" s="2" t="str">
        <f t="array" ref="T516">IF(NOW()&gt;BE516,"",IF(AND((WEEKDAY($A516)+$B$2)&gt;1,((WEEKDAY($A516)+$T$2)&lt;7),(WEEKDAY($A516)&lt;&gt;1)),"work",(INDEX(Subject!$A:$I,MATCH(RANDBETWEEN(1,(MAX(Subject!$B:$B))),Subject!$B:$B,0),3))))</f>
        <v/>
      </c>
      <c r="U516" s="8" t="str">
        <f t="array" ref="U516">INDEX(Subject!$A:$I,MATCH(RANDBETWEEN(1,16),Subject!$B:$B,0),3)</f>
        <v>#N/A</v>
      </c>
      <c r="V516" s="8" t="str">
        <f t="array" ref="V516">INDEX(Subject!$A:$I,MATCH(RANDBETWEEN(1,16),Subject!$B:$B,0),3)</f>
        <v>#N/A</v>
      </c>
      <c r="W516" s="8" t="str">
        <f t="array" ref="W516">INDEX(Subject!$A:$I,MATCH(RANDBETWEEN(1,16),Subject!$B:$B,0),3)</f>
        <v>#N/A</v>
      </c>
      <c r="X516" s="8" t="str">
        <f t="array" ref="X516">INDEX(Subject!$A:$I,MATCH(RANDBETWEEN(1,16),Subject!$B:$B,0),3)</f>
        <v>#N/A</v>
      </c>
      <c r="Y516" s="8" t="str">
        <f t="array" ref="Y516">INDEX(Subject!$A:$I,MATCH(RANDBETWEEN(1,16),Subject!$B:$B,0),3)</f>
        <v/>
      </c>
      <c r="Z516" s="8" t="str">
        <f t="array" ref="Z516">INDEX(Subject!$A:$I,MATCH(RANDBETWEEN(1,16),Subject!$B:$B,0),3)</f>
        <v>#N/A</v>
      </c>
      <c r="AA516" s="8" t="str">
        <f t="array" ref="AA516">INDEX(Subject!$A:$I,MATCH(RANDBETWEEN(1,16),Subject!$B:$B,0),3)</f>
        <v>#N/A</v>
      </c>
      <c r="AB516" s="8" t="str">
        <f t="array" ref="AB516">INDEX(Subject!$A:$I,MATCH(RANDBETWEEN(1,16),Subject!$B:$B,0),3)</f>
        <v>#N/A</v>
      </c>
      <c r="AC516" s="8" t="str">
        <f t="array" ref="AC516">INDEX(Subject!$A:$I,MATCH(RANDBETWEEN(1,16),Subject!$B:$B,0),3)</f>
        <v>#N/A</v>
      </c>
      <c r="AD516" s="8" t="str">
        <f t="array" ref="AD516">INDEX(Subject!$A:$I,MATCH(RANDBETWEEN(1,16),Subject!$B:$B,0),3)</f>
        <v>#N/A</v>
      </c>
      <c r="AE516" s="8" t="str">
        <f t="array" ref="AE516">INDEX(Subject!$A:$I,MATCH(RANDBETWEEN(1,16),Subject!$B:$B,0),3)</f>
        <v>#N/A</v>
      </c>
      <c r="AF516" s="8" t="str">
        <f t="array" ref="AF516">INDEX(Subject!$A:$I,MATCH(RANDBETWEEN(1,16),Subject!$B:$B,0),3)</f>
        <v>#N/A</v>
      </c>
      <c r="AG516" s="8" t="str">
        <f t="array" ref="AG516">INDEX(Subject!$A:$I,MATCH(RANDBETWEEN(1,16),Subject!$B:$B,0),3)</f>
        <v>#N/A</v>
      </c>
      <c r="AH516" s="8" t="str">
        <f t="array" ref="AH516">INDEX(Subject!$A:$I,MATCH(RANDBETWEEN(1,16),Subject!$B:$B,0),3)</f>
        <v>#N/A</v>
      </c>
      <c r="AI516" s="8" t="str">
        <f t="array" ref="AI516">INDEX(Subject!$A:$I,MATCH(RANDBETWEEN(1,16),Subject!$B:$B,0),3)</f>
        <v>#N/A</v>
      </c>
      <c r="AJ516" s="8" t="str">
        <f t="array" ref="AJ516">INDEX(Subject!$A:$I,MATCH(RANDBETWEEN(1,16),Subject!$B:$B,0),3)</f>
        <v>#N/A</v>
      </c>
      <c r="AK516" s="8" t="str">
        <f t="array" ref="AK516">INDEX(Subject!$A:$I,MATCH(RANDBETWEEN(1,16),Subject!$B:$B,0),3)</f>
        <v>#N/A</v>
      </c>
      <c r="AL516" s="8" t="str">
        <f t="array" ref="AL516">INDEX(Subject!$A:$I,MATCH(RANDBETWEEN(1,16),Subject!$B:$B,0),3)</f>
        <v>#N/A</v>
      </c>
      <c r="AM516" s="18">
        <f t="shared" si="4"/>
        <v>46016.33333</v>
      </c>
      <c r="AN516" s="19">
        <f t="shared" ref="AN516:BZ516" si="516">$A516+C$1</f>
        <v>46016.35417</v>
      </c>
      <c r="AO516" s="19">
        <f t="shared" si="516"/>
        <v>46016.375</v>
      </c>
      <c r="AP516" s="19">
        <f t="shared" si="516"/>
        <v>46016.39583</v>
      </c>
      <c r="AQ516" s="19">
        <f t="shared" si="516"/>
        <v>46016.41667</v>
      </c>
      <c r="AR516" s="19">
        <f t="shared" si="516"/>
        <v>46016.4375</v>
      </c>
      <c r="AS516" s="19">
        <f t="shared" si="516"/>
        <v>46016.45833</v>
      </c>
      <c r="AT516" s="19">
        <f t="shared" si="516"/>
        <v>46016.47917</v>
      </c>
      <c r="AU516" s="19">
        <f t="shared" si="516"/>
        <v>46016.5</v>
      </c>
      <c r="AV516" s="19">
        <f t="shared" si="516"/>
        <v>46016.52083</v>
      </c>
      <c r="AW516" s="19">
        <f t="shared" si="516"/>
        <v>46016.54167</v>
      </c>
      <c r="AX516" s="19">
        <f t="shared" si="516"/>
        <v>46016.5625</v>
      </c>
      <c r="AY516" s="19">
        <f t="shared" si="516"/>
        <v>46016.58333</v>
      </c>
      <c r="AZ516" s="19">
        <f t="shared" si="516"/>
        <v>46016.60417</v>
      </c>
      <c r="BA516" s="19">
        <f t="shared" si="516"/>
        <v>46016.625</v>
      </c>
      <c r="BB516" s="19">
        <f t="shared" si="516"/>
        <v>46016.64583</v>
      </c>
      <c r="BC516" s="19">
        <f t="shared" si="516"/>
        <v>46016.66667</v>
      </c>
      <c r="BD516" s="19">
        <f t="shared" si="516"/>
        <v>46016.6875</v>
      </c>
      <c r="BE516" s="19">
        <f t="shared" si="516"/>
        <v>46016.70833</v>
      </c>
      <c r="BF516" s="19">
        <f t="shared" si="516"/>
        <v>46016.72917</v>
      </c>
      <c r="BG516" s="19">
        <f t="shared" si="516"/>
        <v>46016.75</v>
      </c>
      <c r="BH516" s="19">
        <f t="shared" si="516"/>
        <v>46016.77083</v>
      </c>
      <c r="BI516" s="19">
        <f t="shared" si="516"/>
        <v>46016.79167</v>
      </c>
      <c r="BJ516" s="19">
        <f t="shared" si="516"/>
        <v>46016.8125</v>
      </c>
      <c r="BK516" s="19">
        <f t="shared" si="516"/>
        <v>46016.83333</v>
      </c>
      <c r="BL516" s="19">
        <f t="shared" si="516"/>
        <v>46016.85417</v>
      </c>
      <c r="BM516" s="19">
        <f t="shared" si="516"/>
        <v>46016.875</v>
      </c>
      <c r="BN516" s="19">
        <f t="shared" si="516"/>
        <v>46016.89583</v>
      </c>
      <c r="BO516" s="19">
        <f t="shared" si="516"/>
        <v>46016.91667</v>
      </c>
      <c r="BP516" s="19">
        <f t="shared" si="516"/>
        <v>46016.9375</v>
      </c>
      <c r="BQ516" s="19">
        <f t="shared" si="516"/>
        <v>46016.95833</v>
      </c>
      <c r="BR516" s="19">
        <f t="shared" si="516"/>
        <v>46016.97917</v>
      </c>
      <c r="BS516" s="19">
        <f t="shared" si="516"/>
        <v>46017</v>
      </c>
      <c r="BT516" s="19">
        <f t="shared" si="516"/>
        <v>46017.02083</v>
      </c>
      <c r="BU516" s="19">
        <f t="shared" si="516"/>
        <v>46017.04167</v>
      </c>
      <c r="BV516" s="19">
        <f t="shared" si="516"/>
        <v>46017.0625</v>
      </c>
      <c r="BW516" s="19">
        <f t="shared" si="516"/>
        <v>46017.08333</v>
      </c>
      <c r="BX516" s="19">
        <f t="shared" si="516"/>
        <v>46016</v>
      </c>
      <c r="BY516" s="19">
        <f t="shared" si="516"/>
        <v>46016</v>
      </c>
      <c r="BZ516" s="19">
        <f t="shared" si="516"/>
        <v>46016</v>
      </c>
    </row>
    <row r="517" ht="14.25" customHeight="1">
      <c r="A517" s="17">
        <v>46017.0</v>
      </c>
      <c r="B517" s="2" t="str">
        <f t="array" ref="B517">IF(NOW()&gt;AM517,"",IF(AND((WEEKDAY($A517)+$B$2)&gt;1,((WEEKDAY($A517)+$T$2)&lt;7),(WEEKDAY($A517)&lt;&gt;1)),"work",(INDEX(Subject!$A:$I,MATCH(RANDBETWEEN(1,(MAX(Subject!$B:$B))),Subject!$B:$B,0),3))))</f>
        <v/>
      </c>
      <c r="C517" s="2" t="str">
        <f t="array" ref="C517">IF(NOW()&gt;AN517,"",IF(AND((WEEKDAY($A517)+$B$2)&gt;1,((WEEKDAY($A517)+$T$2)&lt;7),(WEEKDAY($A517)&lt;&gt;1)),"work",(INDEX(Subject!$A:$I,MATCH(RANDBETWEEN(1,(MAX(Subject!$B:$B))),Subject!$B:$B,0),3))))</f>
        <v/>
      </c>
      <c r="D517" s="2" t="str">
        <f t="array" ref="D517">IF(NOW()&gt;AO517,"",IF(AND((WEEKDAY($A517)+$B$2)&gt;1,((WEEKDAY($A517)+$T$2)&lt;7),(WEEKDAY($A517)&lt;&gt;1)),"work",(INDEX(Subject!$A:$I,MATCH(RANDBETWEEN(1,(MAX(Subject!$B:$B))),Subject!$B:$B,0),3))))</f>
        <v/>
      </c>
      <c r="E517" s="2" t="str">
        <f t="array" ref="E517">IF(NOW()&gt;AP517,"",IF(AND((WEEKDAY($A517)+$B$2)&gt;1,((WEEKDAY($A517)+$T$2)&lt;7),(WEEKDAY($A517)&lt;&gt;1)),"work",(INDEX(Subject!$A:$I,MATCH(RANDBETWEEN(1,(MAX(Subject!$B:$B))),Subject!$B:$B,0),3))))</f>
        <v/>
      </c>
      <c r="F517" s="2" t="str">
        <f t="array" ref="F517">IF(NOW()&gt;AQ517,"",IF(AND((WEEKDAY($A517)+$B$2)&gt;1,((WEEKDAY($A517)+$T$2)&lt;7),(WEEKDAY($A517)&lt;&gt;1)),"work",(INDEX(Subject!$A:$I,MATCH(RANDBETWEEN(1,(MAX(Subject!$B:$B))),Subject!$B:$B,0),3))))</f>
        <v/>
      </c>
      <c r="G517" s="2" t="str">
        <f t="array" ref="G517">IF(NOW()&gt;AR517,"",IF(AND((WEEKDAY($A517)+$B$2)&gt;1,((WEEKDAY($A517)+$T$2)&lt;7),(WEEKDAY($A517)&lt;&gt;1)),"work",(INDEX(Subject!$A:$I,MATCH(RANDBETWEEN(1,(MAX(Subject!$B:$B))),Subject!$B:$B,0),3))))</f>
        <v/>
      </c>
      <c r="H517" s="2" t="str">
        <f t="array" ref="H517">IF(NOW()&gt;AS517,"",IF(AND((WEEKDAY($A517)+$B$2)&gt;1,((WEEKDAY($A517)+$T$2)&lt;7),(WEEKDAY($A517)&lt;&gt;1)),"work",(INDEX(Subject!$A:$I,MATCH(RANDBETWEEN(1,(MAX(Subject!$B:$B))),Subject!$B:$B,0),3))))</f>
        <v/>
      </c>
      <c r="I517" s="2" t="str">
        <f t="array" ref="I517">IF(NOW()&gt;AT517,"",IF(AND((WEEKDAY($A517)+$B$2)&gt;1,((WEEKDAY($A517)+$T$2)&lt;7),(WEEKDAY($A517)&lt;&gt;1)),"work",(INDEX(Subject!$A:$I,MATCH(RANDBETWEEN(1,(MAX(Subject!$B:$B))),Subject!$B:$B,0),3))))</f>
        <v/>
      </c>
      <c r="J517" s="2" t="str">
        <f t="array" ref="J517">IF(NOW()&gt;AU517,"",IF(AND((WEEKDAY($A517)+$B$2)&gt;1,((WEEKDAY($A517)+$T$2)&lt;7),(WEEKDAY($A517)&lt;&gt;1)),"work",(INDEX(Subject!$A:$I,MATCH(RANDBETWEEN(1,(MAX(Subject!$B:$B))),Subject!$B:$B,0),3))))</f>
        <v/>
      </c>
      <c r="K517" s="2" t="str">
        <f t="array" ref="K517">IF(NOW()&gt;AV517,"",IF(AND((WEEKDAY($A517)+$B$2)&gt;1,((WEEKDAY($A517)+$T$2)&lt;7),(WEEKDAY($A517)&lt;&gt;1)),"work",(INDEX(Subject!$A:$I,MATCH(RANDBETWEEN(1,(MAX(Subject!$B:$B))),Subject!$B:$B,0),3))))</f>
        <v/>
      </c>
      <c r="L517" s="2" t="str">
        <f t="array" ref="L517">IF(NOW()&gt;AW517,"",IF(AND((WEEKDAY($A517)+$B$2)&gt;1,((WEEKDAY($A517)+$T$2)&lt;7),(WEEKDAY($A517)&lt;&gt;1)),"work",(INDEX(Subject!$A:$I,MATCH(RANDBETWEEN(1,(MAX(Subject!$B:$B))),Subject!$B:$B,0),3))))</f>
        <v/>
      </c>
      <c r="M517" s="2" t="str">
        <f t="array" ref="M517">IF(NOW()&gt;AX517,"",IF(AND((WEEKDAY($A517)+$B$2)&gt;1,((WEEKDAY($A517)+$T$2)&lt;7),(WEEKDAY($A517)&lt;&gt;1)),"work",(INDEX(Subject!$A:$I,MATCH(RANDBETWEEN(1,(MAX(Subject!$B:$B))),Subject!$B:$B,0),3))))</f>
        <v/>
      </c>
      <c r="N517" s="2" t="str">
        <f t="array" ref="N517">IF(NOW()&gt;AY517,"",IF(AND((WEEKDAY($A517)+$B$2)&gt;1,((WEEKDAY($A517)+$T$2)&lt;7),(WEEKDAY($A517)&lt;&gt;1)),"work",(INDEX(Subject!$A:$I,MATCH(RANDBETWEEN(1,(MAX(Subject!$B:$B))),Subject!$B:$B,0),3))))</f>
        <v/>
      </c>
      <c r="O517" s="2" t="str">
        <f t="array" ref="O517">IF(NOW()&gt;AZ517,"",IF(AND((WEEKDAY($A517)+$B$2)&gt;1,((WEEKDAY($A517)+$T$2)&lt;7),(WEEKDAY($A517)&lt;&gt;1)),"work",(INDEX(Subject!$A:$I,MATCH(RANDBETWEEN(1,(MAX(Subject!$B:$B))),Subject!$B:$B,0),3))))</f>
        <v/>
      </c>
      <c r="P517" s="2" t="str">
        <f t="array" ref="P517">IF(NOW()&gt;BA517,"",IF(AND((WEEKDAY($A517)+$B$2)&gt;1,((WEEKDAY($A517)+$T$2)&lt;7),(WEEKDAY($A517)&lt;&gt;1)),"work",(INDEX(Subject!$A:$I,MATCH(RANDBETWEEN(1,(MAX(Subject!$B:$B))),Subject!$B:$B,0),3))))</f>
        <v/>
      </c>
      <c r="Q517" s="2" t="str">
        <f t="array" ref="Q517">IF(NOW()&gt;BB517,"",IF(AND((WEEKDAY($A517)+$B$2)&gt;1,((WEEKDAY($A517)+$T$2)&lt;7),(WEEKDAY($A517)&lt;&gt;1)),"work",(INDEX(Subject!$A:$I,MATCH(RANDBETWEEN(1,(MAX(Subject!$B:$B))),Subject!$B:$B,0),3))))</f>
        <v/>
      </c>
      <c r="R517" s="2" t="str">
        <f t="array" ref="R517">IF(NOW()&gt;BC517,"",IF(AND((WEEKDAY($A517)+$B$2)&gt;1,((WEEKDAY($A517)+$T$2)&lt;7),(WEEKDAY($A517)&lt;&gt;1)),"work",(INDEX(Subject!$A:$I,MATCH(RANDBETWEEN(1,(MAX(Subject!$B:$B))),Subject!$B:$B,0),3))))</f>
        <v/>
      </c>
      <c r="S517" s="2" t="str">
        <f t="array" ref="S517">IF(NOW()&gt;BD517,"",IF(AND((WEEKDAY($A517)+$B$2)&gt;1,((WEEKDAY($A517)+$T$2)&lt;7),(WEEKDAY($A517)&lt;&gt;1)),"work",(INDEX(Subject!$A:$I,MATCH(RANDBETWEEN(1,(MAX(Subject!$B:$B))),Subject!$B:$B,0),3))))</f>
        <v/>
      </c>
      <c r="T517" s="2" t="str">
        <f t="array" ref="T517">IF(NOW()&gt;BE517,"",IF(AND((WEEKDAY($A517)+$B$2)&gt;1,((WEEKDAY($A517)+$T$2)&lt;7),(WEEKDAY($A517)&lt;&gt;1)),"work",(INDEX(Subject!$A:$I,MATCH(RANDBETWEEN(1,(MAX(Subject!$B:$B))),Subject!$B:$B,0),3))))</f>
        <v/>
      </c>
      <c r="U517" s="8" t="str">
        <f t="array" ref="U517">INDEX(Subject!$A:$I,MATCH(RANDBETWEEN(1,16),Subject!$B:$B,0),3)</f>
        <v>#N/A</v>
      </c>
      <c r="V517" s="8" t="str">
        <f t="array" ref="V517">INDEX(Subject!$A:$I,MATCH(RANDBETWEEN(1,16),Subject!$B:$B,0),3)</f>
        <v>#N/A</v>
      </c>
      <c r="W517" s="8" t="str">
        <f t="array" ref="W517">INDEX(Subject!$A:$I,MATCH(RANDBETWEEN(1,16),Subject!$B:$B,0),3)</f>
        <v>#N/A</v>
      </c>
      <c r="X517" s="8" t="str">
        <f t="array" ref="X517">INDEX(Subject!$A:$I,MATCH(RANDBETWEEN(1,16),Subject!$B:$B,0),3)</f>
        <v>#N/A</v>
      </c>
      <c r="Y517" s="8" t="str">
        <f t="array" ref="Y517">INDEX(Subject!$A:$I,MATCH(RANDBETWEEN(1,16),Subject!$B:$B,0),3)</f>
        <v>#N/A</v>
      </c>
      <c r="Z517" s="8" t="str">
        <f t="array" ref="Z517">INDEX(Subject!$A:$I,MATCH(RANDBETWEEN(1,16),Subject!$B:$B,0),3)</f>
        <v>#N/A</v>
      </c>
      <c r="AA517" s="8" t="str">
        <f t="array" ref="AA517">INDEX(Subject!$A:$I,MATCH(RANDBETWEEN(1,16),Subject!$B:$B,0),3)</f>
        <v>#N/A</v>
      </c>
      <c r="AB517" s="8" t="str">
        <f t="array" ref="AB517">INDEX(Subject!$A:$I,MATCH(RANDBETWEEN(1,16),Subject!$B:$B,0),3)</f>
        <v>#N/A</v>
      </c>
      <c r="AC517" s="8" t="str">
        <f t="array" ref="AC517">INDEX(Subject!$A:$I,MATCH(RANDBETWEEN(1,16),Subject!$B:$B,0),3)</f>
        <v>#N/A</v>
      </c>
      <c r="AD517" s="8" t="str">
        <f t="array" ref="AD517">INDEX(Subject!$A:$I,MATCH(RANDBETWEEN(1,16),Subject!$B:$B,0),3)</f>
        <v/>
      </c>
      <c r="AE517" s="8" t="str">
        <f t="array" ref="AE517">INDEX(Subject!$A:$I,MATCH(RANDBETWEEN(1,16),Subject!$B:$B,0),3)</f>
        <v>#N/A</v>
      </c>
      <c r="AF517" s="8" t="str">
        <f t="array" ref="AF517">INDEX(Subject!$A:$I,MATCH(RANDBETWEEN(1,16),Subject!$B:$B,0),3)</f>
        <v>#N/A</v>
      </c>
      <c r="AG517" s="8" t="str">
        <f t="array" ref="AG517">INDEX(Subject!$A:$I,MATCH(RANDBETWEEN(1,16),Subject!$B:$B,0),3)</f>
        <v>#N/A</v>
      </c>
      <c r="AH517" s="8" t="str">
        <f t="array" ref="AH517">INDEX(Subject!$A:$I,MATCH(RANDBETWEEN(1,16),Subject!$B:$B,0),3)</f>
        <v>#N/A</v>
      </c>
      <c r="AI517" s="8" t="str">
        <f t="array" ref="AI517">INDEX(Subject!$A:$I,MATCH(RANDBETWEEN(1,16),Subject!$B:$B,0),3)</f>
        <v>#N/A</v>
      </c>
      <c r="AJ517" s="8" t="str">
        <f t="array" ref="AJ517">INDEX(Subject!$A:$I,MATCH(RANDBETWEEN(1,16),Subject!$B:$B,0),3)</f>
        <v>#N/A</v>
      </c>
      <c r="AK517" s="8" t="str">
        <f t="array" ref="AK517">INDEX(Subject!$A:$I,MATCH(RANDBETWEEN(1,16),Subject!$B:$B,0),3)</f>
        <v>#N/A</v>
      </c>
      <c r="AL517" s="8" t="str">
        <f t="array" ref="AL517">INDEX(Subject!$A:$I,MATCH(RANDBETWEEN(1,16),Subject!$B:$B,0),3)</f>
        <v>#N/A</v>
      </c>
      <c r="AM517" s="18">
        <f t="shared" si="4"/>
        <v>46017.33333</v>
      </c>
      <c r="AN517" s="19">
        <f t="shared" ref="AN517:BZ517" si="517">$A517+C$1</f>
        <v>46017.35417</v>
      </c>
      <c r="AO517" s="19">
        <f t="shared" si="517"/>
        <v>46017.375</v>
      </c>
      <c r="AP517" s="19">
        <f t="shared" si="517"/>
        <v>46017.39583</v>
      </c>
      <c r="AQ517" s="19">
        <f t="shared" si="517"/>
        <v>46017.41667</v>
      </c>
      <c r="AR517" s="19">
        <f t="shared" si="517"/>
        <v>46017.4375</v>
      </c>
      <c r="AS517" s="19">
        <f t="shared" si="517"/>
        <v>46017.45833</v>
      </c>
      <c r="AT517" s="19">
        <f t="shared" si="517"/>
        <v>46017.47917</v>
      </c>
      <c r="AU517" s="19">
        <f t="shared" si="517"/>
        <v>46017.5</v>
      </c>
      <c r="AV517" s="19">
        <f t="shared" si="517"/>
        <v>46017.52083</v>
      </c>
      <c r="AW517" s="19">
        <f t="shared" si="517"/>
        <v>46017.54167</v>
      </c>
      <c r="AX517" s="19">
        <f t="shared" si="517"/>
        <v>46017.5625</v>
      </c>
      <c r="AY517" s="19">
        <f t="shared" si="517"/>
        <v>46017.58333</v>
      </c>
      <c r="AZ517" s="19">
        <f t="shared" si="517"/>
        <v>46017.60417</v>
      </c>
      <c r="BA517" s="19">
        <f t="shared" si="517"/>
        <v>46017.625</v>
      </c>
      <c r="BB517" s="19">
        <f t="shared" si="517"/>
        <v>46017.64583</v>
      </c>
      <c r="BC517" s="19">
        <f t="shared" si="517"/>
        <v>46017.66667</v>
      </c>
      <c r="BD517" s="19">
        <f t="shared" si="517"/>
        <v>46017.6875</v>
      </c>
      <c r="BE517" s="19">
        <f t="shared" si="517"/>
        <v>46017.70833</v>
      </c>
      <c r="BF517" s="19">
        <f t="shared" si="517"/>
        <v>46017.72917</v>
      </c>
      <c r="BG517" s="19">
        <f t="shared" si="517"/>
        <v>46017.75</v>
      </c>
      <c r="BH517" s="19">
        <f t="shared" si="517"/>
        <v>46017.77083</v>
      </c>
      <c r="BI517" s="19">
        <f t="shared" si="517"/>
        <v>46017.79167</v>
      </c>
      <c r="BJ517" s="19">
        <f t="shared" si="517"/>
        <v>46017.8125</v>
      </c>
      <c r="BK517" s="19">
        <f t="shared" si="517"/>
        <v>46017.83333</v>
      </c>
      <c r="BL517" s="19">
        <f t="shared" si="517"/>
        <v>46017.85417</v>
      </c>
      <c r="BM517" s="19">
        <f t="shared" si="517"/>
        <v>46017.875</v>
      </c>
      <c r="BN517" s="19">
        <f t="shared" si="517"/>
        <v>46017.89583</v>
      </c>
      <c r="BO517" s="19">
        <f t="shared" si="517"/>
        <v>46017.91667</v>
      </c>
      <c r="BP517" s="19">
        <f t="shared" si="517"/>
        <v>46017.9375</v>
      </c>
      <c r="BQ517" s="19">
        <f t="shared" si="517"/>
        <v>46017.95833</v>
      </c>
      <c r="BR517" s="19">
        <f t="shared" si="517"/>
        <v>46017.97917</v>
      </c>
      <c r="BS517" s="19">
        <f t="shared" si="517"/>
        <v>46018</v>
      </c>
      <c r="BT517" s="19">
        <f t="shared" si="517"/>
        <v>46018.02083</v>
      </c>
      <c r="BU517" s="19">
        <f t="shared" si="517"/>
        <v>46018.04167</v>
      </c>
      <c r="BV517" s="19">
        <f t="shared" si="517"/>
        <v>46018.0625</v>
      </c>
      <c r="BW517" s="19">
        <f t="shared" si="517"/>
        <v>46018.08333</v>
      </c>
      <c r="BX517" s="19">
        <f t="shared" si="517"/>
        <v>46017</v>
      </c>
      <c r="BY517" s="19">
        <f t="shared" si="517"/>
        <v>46017</v>
      </c>
      <c r="BZ517" s="19">
        <f t="shared" si="517"/>
        <v>46017</v>
      </c>
    </row>
    <row r="518" ht="14.25" customHeight="1">
      <c r="A518" s="17">
        <v>46018.0</v>
      </c>
      <c r="B518" s="2" t="str">
        <f t="array" ref="B518">IF(NOW()&gt;AM518,"",IF(AND((WEEKDAY($A518)+$B$2)&gt;1,((WEEKDAY($A518)+$T$2)&lt;7),(WEEKDAY($A518)&lt;&gt;1)),"work",(INDEX(Subject!$A:$I,MATCH(RANDBETWEEN(1,(MAX(Subject!$B:$B))),Subject!$B:$B,0),3))))</f>
        <v/>
      </c>
      <c r="C518" s="2" t="str">
        <f t="array" ref="C518">IF(NOW()&gt;AN518,"",IF(AND((WEEKDAY($A518)+$B$2)&gt;1,((WEEKDAY($A518)+$T$2)&lt;7),(WEEKDAY($A518)&lt;&gt;1)),"work",(INDEX(Subject!$A:$I,MATCH(RANDBETWEEN(1,(MAX(Subject!$B:$B))),Subject!$B:$B,0),3))))</f>
        <v/>
      </c>
      <c r="D518" s="2" t="str">
        <f t="array" ref="D518">IF(NOW()&gt;AO518,"",IF(AND((WEEKDAY($A518)+$B$2)&gt;1,((WEEKDAY($A518)+$T$2)&lt;7),(WEEKDAY($A518)&lt;&gt;1)),"work",(INDEX(Subject!$A:$I,MATCH(RANDBETWEEN(1,(MAX(Subject!$B:$B))),Subject!$B:$B,0),3))))</f>
        <v/>
      </c>
      <c r="E518" s="2" t="str">
        <f t="array" ref="E518">IF(NOW()&gt;AP518,"",IF(AND((WEEKDAY($A518)+$B$2)&gt;1,((WEEKDAY($A518)+$T$2)&lt;7),(WEEKDAY($A518)&lt;&gt;1)),"work",(INDEX(Subject!$A:$I,MATCH(RANDBETWEEN(1,(MAX(Subject!$B:$B))),Subject!$B:$B,0),3))))</f>
        <v/>
      </c>
      <c r="F518" s="2" t="str">
        <f t="array" ref="F518">IF(NOW()&gt;AQ518,"",IF(AND((WEEKDAY($A518)+$B$2)&gt;1,((WEEKDAY($A518)+$T$2)&lt;7),(WEEKDAY($A518)&lt;&gt;1)),"work",(INDEX(Subject!$A:$I,MATCH(RANDBETWEEN(1,(MAX(Subject!$B:$B))),Subject!$B:$B,0),3))))</f>
        <v/>
      </c>
      <c r="G518" s="2" t="str">
        <f t="array" ref="G518">IF(NOW()&gt;AR518,"",IF(AND((WEEKDAY($A518)+$B$2)&gt;1,((WEEKDAY($A518)+$T$2)&lt;7),(WEEKDAY($A518)&lt;&gt;1)),"work",(INDEX(Subject!$A:$I,MATCH(RANDBETWEEN(1,(MAX(Subject!$B:$B))),Subject!$B:$B,0),3))))</f>
        <v/>
      </c>
      <c r="H518" s="2" t="str">
        <f t="array" ref="H518">IF(NOW()&gt;AS518,"",IF(AND((WEEKDAY($A518)+$B$2)&gt;1,((WEEKDAY($A518)+$T$2)&lt;7),(WEEKDAY($A518)&lt;&gt;1)),"work",(INDEX(Subject!$A:$I,MATCH(RANDBETWEEN(1,(MAX(Subject!$B:$B))),Subject!$B:$B,0),3))))</f>
        <v/>
      </c>
      <c r="I518" s="2" t="str">
        <f t="array" ref="I518">IF(NOW()&gt;AT518,"",IF(AND((WEEKDAY($A518)+$B$2)&gt;1,((WEEKDAY($A518)+$T$2)&lt;7),(WEEKDAY($A518)&lt;&gt;1)),"work",(INDEX(Subject!$A:$I,MATCH(RANDBETWEEN(1,(MAX(Subject!$B:$B))),Subject!$B:$B,0),3))))</f>
        <v/>
      </c>
      <c r="J518" s="2" t="str">
        <f t="array" ref="J518">IF(NOW()&gt;AU518,"",IF(AND((WEEKDAY($A518)+$B$2)&gt;1,((WEEKDAY($A518)+$T$2)&lt;7),(WEEKDAY($A518)&lt;&gt;1)),"work",(INDEX(Subject!$A:$I,MATCH(RANDBETWEEN(1,(MAX(Subject!$B:$B))),Subject!$B:$B,0),3))))</f>
        <v/>
      </c>
      <c r="K518" s="2" t="str">
        <f t="array" ref="K518">IF(NOW()&gt;AV518,"",IF(AND((WEEKDAY($A518)+$B$2)&gt;1,((WEEKDAY($A518)+$T$2)&lt;7),(WEEKDAY($A518)&lt;&gt;1)),"work",(INDEX(Subject!$A:$I,MATCH(RANDBETWEEN(1,(MAX(Subject!$B:$B))),Subject!$B:$B,0),3))))</f>
        <v/>
      </c>
      <c r="L518" s="2" t="str">
        <f t="array" ref="L518">IF(NOW()&gt;AW518,"",IF(AND((WEEKDAY($A518)+$B$2)&gt;1,((WEEKDAY($A518)+$T$2)&lt;7),(WEEKDAY($A518)&lt;&gt;1)),"work",(INDEX(Subject!$A:$I,MATCH(RANDBETWEEN(1,(MAX(Subject!$B:$B))),Subject!$B:$B,0),3))))</f>
        <v/>
      </c>
      <c r="M518" s="2" t="str">
        <f t="array" ref="M518">IF(NOW()&gt;AX518,"",IF(AND((WEEKDAY($A518)+$B$2)&gt;1,((WEEKDAY($A518)+$T$2)&lt;7),(WEEKDAY($A518)&lt;&gt;1)),"work",(INDEX(Subject!$A:$I,MATCH(RANDBETWEEN(1,(MAX(Subject!$B:$B))),Subject!$B:$B,0),3))))</f>
        <v/>
      </c>
      <c r="N518" s="2" t="str">
        <f t="array" ref="N518">IF(NOW()&gt;AY518,"",IF(AND((WEEKDAY($A518)+$B$2)&gt;1,((WEEKDAY($A518)+$T$2)&lt;7),(WEEKDAY($A518)&lt;&gt;1)),"work",(INDEX(Subject!$A:$I,MATCH(RANDBETWEEN(1,(MAX(Subject!$B:$B))),Subject!$B:$B,0),3))))</f>
        <v/>
      </c>
      <c r="O518" s="2" t="str">
        <f t="array" ref="O518">IF(NOW()&gt;AZ518,"",IF(AND((WEEKDAY($A518)+$B$2)&gt;1,((WEEKDAY($A518)+$T$2)&lt;7),(WEEKDAY($A518)&lt;&gt;1)),"work",(INDEX(Subject!$A:$I,MATCH(RANDBETWEEN(1,(MAX(Subject!$B:$B))),Subject!$B:$B,0),3))))</f>
        <v/>
      </c>
      <c r="P518" s="2" t="str">
        <f t="array" ref="P518">IF(NOW()&gt;BA518,"",IF(AND((WEEKDAY($A518)+$B$2)&gt;1,((WEEKDAY($A518)+$T$2)&lt;7),(WEEKDAY($A518)&lt;&gt;1)),"work",(INDEX(Subject!$A:$I,MATCH(RANDBETWEEN(1,(MAX(Subject!$B:$B))),Subject!$B:$B,0),3))))</f>
        <v/>
      </c>
      <c r="Q518" s="2" t="str">
        <f t="array" ref="Q518">IF(NOW()&gt;BB518,"",IF(AND((WEEKDAY($A518)+$B$2)&gt;1,((WEEKDAY($A518)+$T$2)&lt;7),(WEEKDAY($A518)&lt;&gt;1)),"work",(INDEX(Subject!$A:$I,MATCH(RANDBETWEEN(1,(MAX(Subject!$B:$B))),Subject!$B:$B,0),3))))</f>
        <v/>
      </c>
      <c r="R518" s="2" t="str">
        <f t="array" ref="R518">IF(NOW()&gt;BC518,"",IF(AND((WEEKDAY($A518)+$B$2)&gt;1,((WEEKDAY($A518)+$T$2)&lt;7),(WEEKDAY($A518)&lt;&gt;1)),"work",(INDEX(Subject!$A:$I,MATCH(RANDBETWEEN(1,(MAX(Subject!$B:$B))),Subject!$B:$B,0),3))))</f>
        <v/>
      </c>
      <c r="S518" s="2" t="str">
        <f t="array" ref="S518">IF(NOW()&gt;BD518,"",IF(AND((WEEKDAY($A518)+$B$2)&gt;1,((WEEKDAY($A518)+$T$2)&lt;7),(WEEKDAY($A518)&lt;&gt;1)),"work",(INDEX(Subject!$A:$I,MATCH(RANDBETWEEN(1,(MAX(Subject!$B:$B))),Subject!$B:$B,0),3))))</f>
        <v/>
      </c>
      <c r="T518" s="2" t="str">
        <f t="array" ref="T518">IF(NOW()&gt;BE518,"",IF(AND((WEEKDAY($A518)+$B$2)&gt;1,((WEEKDAY($A518)+$T$2)&lt;7),(WEEKDAY($A518)&lt;&gt;1)),"work",(INDEX(Subject!$A:$I,MATCH(RANDBETWEEN(1,(MAX(Subject!$B:$B))),Subject!$B:$B,0),3))))</f>
        <v/>
      </c>
      <c r="U518" s="8" t="str">
        <f t="array" ref="U518">INDEX(Subject!$A:$I,MATCH(RANDBETWEEN(1,16),Subject!$B:$B,0),3)</f>
        <v>#N/A</v>
      </c>
      <c r="V518" s="8" t="str">
        <f t="array" ref="V518">INDEX(Subject!$A:$I,MATCH(RANDBETWEEN(1,16),Subject!$B:$B,0),3)</f>
        <v>#N/A</v>
      </c>
      <c r="W518" s="8" t="str">
        <f t="array" ref="W518">INDEX(Subject!$A:$I,MATCH(RANDBETWEEN(1,16),Subject!$B:$B,0),3)</f>
        <v>#N/A</v>
      </c>
      <c r="X518" s="8" t="str">
        <f t="array" ref="X518">INDEX(Subject!$A:$I,MATCH(RANDBETWEEN(1,16),Subject!$B:$B,0),3)</f>
        <v>#N/A</v>
      </c>
      <c r="Y518" s="8" t="str">
        <f t="array" ref="Y518">INDEX(Subject!$A:$I,MATCH(RANDBETWEEN(1,16),Subject!$B:$B,0),3)</f>
        <v>#N/A</v>
      </c>
      <c r="Z518" s="8" t="str">
        <f t="array" ref="Z518">INDEX(Subject!$A:$I,MATCH(RANDBETWEEN(1,16),Subject!$B:$B,0),3)</f>
        <v>#N/A</v>
      </c>
      <c r="AA518" s="8" t="str">
        <f t="array" ref="AA518">INDEX(Subject!$A:$I,MATCH(RANDBETWEEN(1,16),Subject!$B:$B,0),3)</f>
        <v>#N/A</v>
      </c>
      <c r="AB518" s="8" t="str">
        <f t="array" ref="AB518">INDEX(Subject!$A:$I,MATCH(RANDBETWEEN(1,16),Subject!$B:$B,0),3)</f>
        <v>#N/A</v>
      </c>
      <c r="AC518" s="8" t="str">
        <f t="array" ref="AC518">INDEX(Subject!$A:$I,MATCH(RANDBETWEEN(1,16),Subject!$B:$B,0),3)</f>
        <v>#N/A</v>
      </c>
      <c r="AD518" s="8" t="str">
        <f t="array" ref="AD518">INDEX(Subject!$A:$I,MATCH(RANDBETWEEN(1,16),Subject!$B:$B,0),3)</f>
        <v>#N/A</v>
      </c>
      <c r="AE518" s="8" t="str">
        <f t="array" ref="AE518">INDEX(Subject!$A:$I,MATCH(RANDBETWEEN(1,16),Subject!$B:$B,0),3)</f>
        <v>#N/A</v>
      </c>
      <c r="AF518" s="8" t="str">
        <f t="array" ref="AF518">INDEX(Subject!$A:$I,MATCH(RANDBETWEEN(1,16),Subject!$B:$B,0),3)</f>
        <v>#N/A</v>
      </c>
      <c r="AG518" s="8" t="str">
        <f t="array" ref="AG518">INDEX(Subject!$A:$I,MATCH(RANDBETWEEN(1,16),Subject!$B:$B,0),3)</f>
        <v>#N/A</v>
      </c>
      <c r="AH518" s="8" t="str">
        <f t="array" ref="AH518">INDEX(Subject!$A:$I,MATCH(RANDBETWEEN(1,16),Subject!$B:$B,0),3)</f>
        <v>#N/A</v>
      </c>
      <c r="AI518" s="8" t="str">
        <f t="array" ref="AI518">INDEX(Subject!$A:$I,MATCH(RANDBETWEEN(1,16),Subject!$B:$B,0),3)</f>
        <v>#N/A</v>
      </c>
      <c r="AJ518" s="8" t="str">
        <f t="array" ref="AJ518">INDEX(Subject!$A:$I,MATCH(RANDBETWEEN(1,16),Subject!$B:$B,0),3)</f>
        <v>#N/A</v>
      </c>
      <c r="AK518" s="8" t="str">
        <f t="array" ref="AK518">INDEX(Subject!$A:$I,MATCH(RANDBETWEEN(1,16),Subject!$B:$B,0),3)</f>
        <v>#N/A</v>
      </c>
      <c r="AL518" s="8" t="str">
        <f t="array" ref="AL518">INDEX(Subject!$A:$I,MATCH(RANDBETWEEN(1,16),Subject!$B:$B,0),3)</f>
        <v>#N/A</v>
      </c>
      <c r="AM518" s="18">
        <f t="shared" si="4"/>
        <v>46018.33333</v>
      </c>
      <c r="AN518" s="19">
        <f t="shared" ref="AN518:BZ518" si="518">$A518+C$1</f>
        <v>46018.35417</v>
      </c>
      <c r="AO518" s="19">
        <f t="shared" si="518"/>
        <v>46018.375</v>
      </c>
      <c r="AP518" s="19">
        <f t="shared" si="518"/>
        <v>46018.39583</v>
      </c>
      <c r="AQ518" s="19">
        <f t="shared" si="518"/>
        <v>46018.41667</v>
      </c>
      <c r="AR518" s="19">
        <f t="shared" si="518"/>
        <v>46018.4375</v>
      </c>
      <c r="AS518" s="19">
        <f t="shared" si="518"/>
        <v>46018.45833</v>
      </c>
      <c r="AT518" s="19">
        <f t="shared" si="518"/>
        <v>46018.47917</v>
      </c>
      <c r="AU518" s="19">
        <f t="shared" si="518"/>
        <v>46018.5</v>
      </c>
      <c r="AV518" s="19">
        <f t="shared" si="518"/>
        <v>46018.52083</v>
      </c>
      <c r="AW518" s="19">
        <f t="shared" si="518"/>
        <v>46018.54167</v>
      </c>
      <c r="AX518" s="19">
        <f t="shared" si="518"/>
        <v>46018.5625</v>
      </c>
      <c r="AY518" s="19">
        <f t="shared" si="518"/>
        <v>46018.58333</v>
      </c>
      <c r="AZ518" s="19">
        <f t="shared" si="518"/>
        <v>46018.60417</v>
      </c>
      <c r="BA518" s="19">
        <f t="shared" si="518"/>
        <v>46018.625</v>
      </c>
      <c r="BB518" s="19">
        <f t="shared" si="518"/>
        <v>46018.64583</v>
      </c>
      <c r="BC518" s="19">
        <f t="shared" si="518"/>
        <v>46018.66667</v>
      </c>
      <c r="BD518" s="19">
        <f t="shared" si="518"/>
        <v>46018.6875</v>
      </c>
      <c r="BE518" s="19">
        <f t="shared" si="518"/>
        <v>46018.70833</v>
      </c>
      <c r="BF518" s="19">
        <f t="shared" si="518"/>
        <v>46018.72917</v>
      </c>
      <c r="BG518" s="19">
        <f t="shared" si="518"/>
        <v>46018.75</v>
      </c>
      <c r="BH518" s="19">
        <f t="shared" si="518"/>
        <v>46018.77083</v>
      </c>
      <c r="BI518" s="19">
        <f t="shared" si="518"/>
        <v>46018.79167</v>
      </c>
      <c r="BJ518" s="19">
        <f t="shared" si="518"/>
        <v>46018.8125</v>
      </c>
      <c r="BK518" s="19">
        <f t="shared" si="518"/>
        <v>46018.83333</v>
      </c>
      <c r="BL518" s="19">
        <f t="shared" si="518"/>
        <v>46018.85417</v>
      </c>
      <c r="BM518" s="19">
        <f t="shared" si="518"/>
        <v>46018.875</v>
      </c>
      <c r="BN518" s="19">
        <f t="shared" si="518"/>
        <v>46018.89583</v>
      </c>
      <c r="BO518" s="19">
        <f t="shared" si="518"/>
        <v>46018.91667</v>
      </c>
      <c r="BP518" s="19">
        <f t="shared" si="518"/>
        <v>46018.9375</v>
      </c>
      <c r="BQ518" s="19">
        <f t="shared" si="518"/>
        <v>46018.95833</v>
      </c>
      <c r="BR518" s="19">
        <f t="shared" si="518"/>
        <v>46018.97917</v>
      </c>
      <c r="BS518" s="19">
        <f t="shared" si="518"/>
        <v>46019</v>
      </c>
      <c r="BT518" s="19">
        <f t="shared" si="518"/>
        <v>46019.02083</v>
      </c>
      <c r="BU518" s="19">
        <f t="shared" si="518"/>
        <v>46019.04167</v>
      </c>
      <c r="BV518" s="19">
        <f t="shared" si="518"/>
        <v>46019.0625</v>
      </c>
      <c r="BW518" s="19">
        <f t="shared" si="518"/>
        <v>46019.08333</v>
      </c>
      <c r="BX518" s="19">
        <f t="shared" si="518"/>
        <v>46018</v>
      </c>
      <c r="BY518" s="19">
        <f t="shared" si="518"/>
        <v>46018</v>
      </c>
      <c r="BZ518" s="19">
        <f t="shared" si="518"/>
        <v>46018</v>
      </c>
    </row>
    <row r="519" ht="14.25" customHeight="1">
      <c r="A519" s="17">
        <v>46019.0</v>
      </c>
      <c r="B519" s="2" t="str">
        <f t="array" ref="B519">IF(NOW()&gt;AM519,"",IF(AND((WEEKDAY($A519)+$B$2)&gt;1,((WEEKDAY($A519)+$T$2)&lt;7),(WEEKDAY($A519)&lt;&gt;1)),"work",(INDEX(Subject!$A:$I,MATCH(RANDBETWEEN(1,(MAX(Subject!$B:$B))),Subject!$B:$B,0),3))))</f>
        <v/>
      </c>
      <c r="C519" s="2" t="str">
        <f t="array" ref="C519">IF(NOW()&gt;AN519,"",IF(AND((WEEKDAY($A519)+$B$2)&gt;1,((WEEKDAY($A519)+$T$2)&lt;7),(WEEKDAY($A519)&lt;&gt;1)),"work",(INDEX(Subject!$A:$I,MATCH(RANDBETWEEN(1,(MAX(Subject!$B:$B))),Subject!$B:$B,0),3))))</f>
        <v/>
      </c>
      <c r="D519" s="2" t="str">
        <f t="array" ref="D519">IF(NOW()&gt;AO519,"",IF(AND((WEEKDAY($A519)+$B$2)&gt;1,((WEEKDAY($A519)+$T$2)&lt;7),(WEEKDAY($A519)&lt;&gt;1)),"work",(INDEX(Subject!$A:$I,MATCH(RANDBETWEEN(1,(MAX(Subject!$B:$B))),Subject!$B:$B,0),3))))</f>
        <v/>
      </c>
      <c r="E519" s="2" t="str">
        <f t="array" ref="E519">IF(NOW()&gt;AP519,"",IF(AND((WEEKDAY($A519)+$B$2)&gt;1,((WEEKDAY($A519)+$T$2)&lt;7),(WEEKDAY($A519)&lt;&gt;1)),"work",(INDEX(Subject!$A:$I,MATCH(RANDBETWEEN(1,(MAX(Subject!$B:$B))),Subject!$B:$B,0),3))))</f>
        <v/>
      </c>
      <c r="F519" s="2" t="str">
        <f t="array" ref="F519">IF(NOW()&gt;AQ519,"",IF(AND((WEEKDAY($A519)+$B$2)&gt;1,((WEEKDAY($A519)+$T$2)&lt;7),(WEEKDAY($A519)&lt;&gt;1)),"work",(INDEX(Subject!$A:$I,MATCH(RANDBETWEEN(1,(MAX(Subject!$B:$B))),Subject!$B:$B,0),3))))</f>
        <v/>
      </c>
      <c r="G519" s="2" t="str">
        <f t="array" ref="G519">IF(NOW()&gt;AR519,"",IF(AND((WEEKDAY($A519)+$B$2)&gt;1,((WEEKDAY($A519)+$T$2)&lt;7),(WEEKDAY($A519)&lt;&gt;1)),"work",(INDEX(Subject!$A:$I,MATCH(RANDBETWEEN(1,(MAX(Subject!$B:$B))),Subject!$B:$B,0),3))))</f>
        <v/>
      </c>
      <c r="H519" s="2" t="str">
        <f t="array" ref="H519">IF(NOW()&gt;AS519,"",IF(AND((WEEKDAY($A519)+$B$2)&gt;1,((WEEKDAY($A519)+$T$2)&lt;7),(WEEKDAY($A519)&lt;&gt;1)),"work",(INDEX(Subject!$A:$I,MATCH(RANDBETWEEN(1,(MAX(Subject!$B:$B))),Subject!$B:$B,0),3))))</f>
        <v/>
      </c>
      <c r="I519" s="2" t="str">
        <f t="array" ref="I519">IF(NOW()&gt;AT519,"",IF(AND((WEEKDAY($A519)+$B$2)&gt;1,((WEEKDAY($A519)+$T$2)&lt;7),(WEEKDAY($A519)&lt;&gt;1)),"work",(INDEX(Subject!$A:$I,MATCH(RANDBETWEEN(1,(MAX(Subject!$B:$B))),Subject!$B:$B,0),3))))</f>
        <v/>
      </c>
      <c r="J519" s="2" t="str">
        <f t="array" ref="J519">IF(NOW()&gt;AU519,"",IF(AND((WEEKDAY($A519)+$B$2)&gt;1,((WEEKDAY($A519)+$T$2)&lt;7),(WEEKDAY($A519)&lt;&gt;1)),"work",(INDEX(Subject!$A:$I,MATCH(RANDBETWEEN(1,(MAX(Subject!$B:$B))),Subject!$B:$B,0),3))))</f>
        <v/>
      </c>
      <c r="K519" s="2" t="str">
        <f t="array" ref="K519">IF(NOW()&gt;AV519,"",IF(AND((WEEKDAY($A519)+$B$2)&gt;1,((WEEKDAY($A519)+$T$2)&lt;7),(WEEKDAY($A519)&lt;&gt;1)),"work",(INDEX(Subject!$A:$I,MATCH(RANDBETWEEN(1,(MAX(Subject!$B:$B))),Subject!$B:$B,0),3))))</f>
        <v/>
      </c>
      <c r="L519" s="2" t="str">
        <f t="array" ref="L519">IF(NOW()&gt;AW519,"",IF(AND((WEEKDAY($A519)+$B$2)&gt;1,((WEEKDAY($A519)+$T$2)&lt;7),(WEEKDAY($A519)&lt;&gt;1)),"work",(INDEX(Subject!$A:$I,MATCH(RANDBETWEEN(1,(MAX(Subject!$B:$B))),Subject!$B:$B,0),3))))</f>
        <v/>
      </c>
      <c r="M519" s="2" t="str">
        <f t="array" ref="M519">IF(NOW()&gt;AX519,"",IF(AND((WEEKDAY($A519)+$B$2)&gt;1,((WEEKDAY($A519)+$T$2)&lt;7),(WEEKDAY($A519)&lt;&gt;1)),"work",(INDEX(Subject!$A:$I,MATCH(RANDBETWEEN(1,(MAX(Subject!$B:$B))),Subject!$B:$B,0),3))))</f>
        <v/>
      </c>
      <c r="N519" s="2" t="str">
        <f t="array" ref="N519">IF(NOW()&gt;AY519,"",IF(AND((WEEKDAY($A519)+$B$2)&gt;1,((WEEKDAY($A519)+$T$2)&lt;7),(WEEKDAY($A519)&lt;&gt;1)),"work",(INDEX(Subject!$A:$I,MATCH(RANDBETWEEN(1,(MAX(Subject!$B:$B))),Subject!$B:$B,0),3))))</f>
        <v/>
      </c>
      <c r="O519" s="2" t="str">
        <f t="array" ref="O519">IF(NOW()&gt;AZ519,"",IF(AND((WEEKDAY($A519)+$B$2)&gt;1,((WEEKDAY($A519)+$T$2)&lt;7),(WEEKDAY($A519)&lt;&gt;1)),"work",(INDEX(Subject!$A:$I,MATCH(RANDBETWEEN(1,(MAX(Subject!$B:$B))),Subject!$B:$B,0),3))))</f>
        <v/>
      </c>
      <c r="P519" s="2" t="str">
        <f t="array" ref="P519">IF(NOW()&gt;BA519,"",IF(AND((WEEKDAY($A519)+$B$2)&gt;1,((WEEKDAY($A519)+$T$2)&lt;7),(WEEKDAY($A519)&lt;&gt;1)),"work",(INDEX(Subject!$A:$I,MATCH(RANDBETWEEN(1,(MAX(Subject!$B:$B))),Subject!$B:$B,0),3))))</f>
        <v/>
      </c>
      <c r="Q519" s="2" t="str">
        <f t="array" ref="Q519">IF(NOW()&gt;BB519,"",IF(AND((WEEKDAY($A519)+$B$2)&gt;1,((WEEKDAY($A519)+$T$2)&lt;7),(WEEKDAY($A519)&lt;&gt;1)),"work",(INDEX(Subject!$A:$I,MATCH(RANDBETWEEN(1,(MAX(Subject!$B:$B))),Subject!$B:$B,0),3))))</f>
        <v/>
      </c>
      <c r="R519" s="2" t="str">
        <f t="array" ref="R519">IF(NOW()&gt;BC519,"",IF(AND((WEEKDAY($A519)+$B$2)&gt;1,((WEEKDAY($A519)+$T$2)&lt;7),(WEEKDAY($A519)&lt;&gt;1)),"work",(INDEX(Subject!$A:$I,MATCH(RANDBETWEEN(1,(MAX(Subject!$B:$B))),Subject!$B:$B,0),3))))</f>
        <v/>
      </c>
      <c r="S519" s="2" t="str">
        <f t="array" ref="S519">IF(NOW()&gt;BD519,"",IF(AND((WEEKDAY($A519)+$B$2)&gt;1,((WEEKDAY($A519)+$T$2)&lt;7),(WEEKDAY($A519)&lt;&gt;1)),"work",(INDEX(Subject!$A:$I,MATCH(RANDBETWEEN(1,(MAX(Subject!$B:$B))),Subject!$B:$B,0),3))))</f>
        <v/>
      </c>
      <c r="T519" s="2" t="str">
        <f t="array" ref="T519">IF(NOW()&gt;BE519,"",IF(AND((WEEKDAY($A519)+$B$2)&gt;1,((WEEKDAY($A519)+$T$2)&lt;7),(WEEKDAY($A519)&lt;&gt;1)),"work",(INDEX(Subject!$A:$I,MATCH(RANDBETWEEN(1,(MAX(Subject!$B:$B))),Subject!$B:$B,0),3))))</f>
        <v/>
      </c>
      <c r="U519" s="8" t="str">
        <f t="array" ref="U519">INDEX(Subject!$A:$I,MATCH(RANDBETWEEN(1,16),Subject!$B:$B,0),3)</f>
        <v>#N/A</v>
      </c>
      <c r="V519" s="8" t="str">
        <f t="array" ref="V519">INDEX(Subject!$A:$I,MATCH(RANDBETWEEN(1,16),Subject!$B:$B,0),3)</f>
        <v>#N/A</v>
      </c>
      <c r="W519" s="8" t="str">
        <f t="array" ref="W519">INDEX(Subject!$A:$I,MATCH(RANDBETWEEN(1,16),Subject!$B:$B,0),3)</f>
        <v>#N/A</v>
      </c>
      <c r="X519" s="8" t="str">
        <f t="array" ref="X519">INDEX(Subject!$A:$I,MATCH(RANDBETWEEN(1,16),Subject!$B:$B,0),3)</f>
        <v>#N/A</v>
      </c>
      <c r="Y519" s="8" t="str">
        <f t="array" ref="Y519">INDEX(Subject!$A:$I,MATCH(RANDBETWEEN(1,16),Subject!$B:$B,0),3)</f>
        <v>#N/A</v>
      </c>
      <c r="Z519" s="8" t="str">
        <f t="array" ref="Z519">INDEX(Subject!$A:$I,MATCH(RANDBETWEEN(1,16),Subject!$B:$B,0),3)</f>
        <v>#N/A</v>
      </c>
      <c r="AA519" s="8" t="str">
        <f t="array" ref="AA519">INDEX(Subject!$A:$I,MATCH(RANDBETWEEN(1,16),Subject!$B:$B,0),3)</f>
        <v>#N/A</v>
      </c>
      <c r="AB519" s="8" t="str">
        <f t="array" ref="AB519">INDEX(Subject!$A:$I,MATCH(RANDBETWEEN(1,16),Subject!$B:$B,0),3)</f>
        <v>#N/A</v>
      </c>
      <c r="AC519" s="8" t="str">
        <f t="array" ref="AC519">INDEX(Subject!$A:$I,MATCH(RANDBETWEEN(1,16),Subject!$B:$B,0),3)</f>
        <v>#N/A</v>
      </c>
      <c r="AD519" s="8" t="str">
        <f t="array" ref="AD519">INDEX(Subject!$A:$I,MATCH(RANDBETWEEN(1,16),Subject!$B:$B,0),3)</f>
        <v>#N/A</v>
      </c>
      <c r="AE519" s="8" t="str">
        <f t="array" ref="AE519">INDEX(Subject!$A:$I,MATCH(RANDBETWEEN(1,16),Subject!$B:$B,0),3)</f>
        <v>#N/A</v>
      </c>
      <c r="AF519" s="8" t="str">
        <f t="array" ref="AF519">INDEX(Subject!$A:$I,MATCH(RANDBETWEEN(1,16),Subject!$B:$B,0),3)</f>
        <v>#N/A</v>
      </c>
      <c r="AG519" s="8" t="str">
        <f t="array" ref="AG519">INDEX(Subject!$A:$I,MATCH(RANDBETWEEN(1,16),Subject!$B:$B,0),3)</f>
        <v>#N/A</v>
      </c>
      <c r="AH519" s="8" t="str">
        <f t="array" ref="AH519">INDEX(Subject!$A:$I,MATCH(RANDBETWEEN(1,16),Subject!$B:$B,0),3)</f>
        <v>#N/A</v>
      </c>
      <c r="AI519" s="8" t="str">
        <f t="array" ref="AI519">INDEX(Subject!$A:$I,MATCH(RANDBETWEEN(1,16),Subject!$B:$B,0),3)</f>
        <v/>
      </c>
      <c r="AJ519" s="8" t="str">
        <f t="array" ref="AJ519">INDEX(Subject!$A:$I,MATCH(RANDBETWEEN(1,16),Subject!$B:$B,0),3)</f>
        <v>#N/A</v>
      </c>
      <c r="AK519" s="8" t="str">
        <f t="array" ref="AK519">INDEX(Subject!$A:$I,MATCH(RANDBETWEEN(1,16),Subject!$B:$B,0),3)</f>
        <v/>
      </c>
      <c r="AL519" s="8" t="str">
        <f t="array" ref="AL519">INDEX(Subject!$A:$I,MATCH(RANDBETWEEN(1,16),Subject!$B:$B,0),3)</f>
        <v>#N/A</v>
      </c>
      <c r="AM519" s="18">
        <f t="shared" si="4"/>
        <v>46019.33333</v>
      </c>
      <c r="AN519" s="19">
        <f t="shared" ref="AN519:BZ519" si="519">$A519+C$1</f>
        <v>46019.35417</v>
      </c>
      <c r="AO519" s="19">
        <f t="shared" si="519"/>
        <v>46019.375</v>
      </c>
      <c r="AP519" s="19">
        <f t="shared" si="519"/>
        <v>46019.39583</v>
      </c>
      <c r="AQ519" s="19">
        <f t="shared" si="519"/>
        <v>46019.41667</v>
      </c>
      <c r="AR519" s="19">
        <f t="shared" si="519"/>
        <v>46019.4375</v>
      </c>
      <c r="AS519" s="19">
        <f t="shared" si="519"/>
        <v>46019.45833</v>
      </c>
      <c r="AT519" s="19">
        <f t="shared" si="519"/>
        <v>46019.47917</v>
      </c>
      <c r="AU519" s="19">
        <f t="shared" si="519"/>
        <v>46019.5</v>
      </c>
      <c r="AV519" s="19">
        <f t="shared" si="519"/>
        <v>46019.52083</v>
      </c>
      <c r="AW519" s="19">
        <f t="shared" si="519"/>
        <v>46019.54167</v>
      </c>
      <c r="AX519" s="19">
        <f t="shared" si="519"/>
        <v>46019.5625</v>
      </c>
      <c r="AY519" s="19">
        <f t="shared" si="519"/>
        <v>46019.58333</v>
      </c>
      <c r="AZ519" s="19">
        <f t="shared" si="519"/>
        <v>46019.60417</v>
      </c>
      <c r="BA519" s="19">
        <f t="shared" si="519"/>
        <v>46019.625</v>
      </c>
      <c r="BB519" s="19">
        <f t="shared" si="519"/>
        <v>46019.64583</v>
      </c>
      <c r="BC519" s="19">
        <f t="shared" si="519"/>
        <v>46019.66667</v>
      </c>
      <c r="BD519" s="19">
        <f t="shared" si="519"/>
        <v>46019.6875</v>
      </c>
      <c r="BE519" s="19">
        <f t="shared" si="519"/>
        <v>46019.70833</v>
      </c>
      <c r="BF519" s="19">
        <f t="shared" si="519"/>
        <v>46019.72917</v>
      </c>
      <c r="BG519" s="19">
        <f t="shared" si="519"/>
        <v>46019.75</v>
      </c>
      <c r="BH519" s="19">
        <f t="shared" si="519"/>
        <v>46019.77083</v>
      </c>
      <c r="BI519" s="19">
        <f t="shared" si="519"/>
        <v>46019.79167</v>
      </c>
      <c r="BJ519" s="19">
        <f t="shared" si="519"/>
        <v>46019.8125</v>
      </c>
      <c r="BK519" s="19">
        <f t="shared" si="519"/>
        <v>46019.83333</v>
      </c>
      <c r="BL519" s="19">
        <f t="shared" si="519"/>
        <v>46019.85417</v>
      </c>
      <c r="BM519" s="19">
        <f t="shared" si="519"/>
        <v>46019.875</v>
      </c>
      <c r="BN519" s="19">
        <f t="shared" si="519"/>
        <v>46019.89583</v>
      </c>
      <c r="BO519" s="19">
        <f t="shared" si="519"/>
        <v>46019.91667</v>
      </c>
      <c r="BP519" s="19">
        <f t="shared" si="519"/>
        <v>46019.9375</v>
      </c>
      <c r="BQ519" s="19">
        <f t="shared" si="519"/>
        <v>46019.95833</v>
      </c>
      <c r="BR519" s="19">
        <f t="shared" si="519"/>
        <v>46019.97917</v>
      </c>
      <c r="BS519" s="19">
        <f t="shared" si="519"/>
        <v>46020</v>
      </c>
      <c r="BT519" s="19">
        <f t="shared" si="519"/>
        <v>46020.02083</v>
      </c>
      <c r="BU519" s="19">
        <f t="shared" si="519"/>
        <v>46020.04167</v>
      </c>
      <c r="BV519" s="19">
        <f t="shared" si="519"/>
        <v>46020.0625</v>
      </c>
      <c r="BW519" s="19">
        <f t="shared" si="519"/>
        <v>46020.08333</v>
      </c>
      <c r="BX519" s="19">
        <f t="shared" si="519"/>
        <v>46019</v>
      </c>
      <c r="BY519" s="19">
        <f t="shared" si="519"/>
        <v>46019</v>
      </c>
      <c r="BZ519" s="19">
        <f t="shared" si="519"/>
        <v>46019</v>
      </c>
    </row>
    <row r="520" ht="14.25" customHeight="1">
      <c r="A520" s="17">
        <v>46020.0</v>
      </c>
      <c r="B520" s="2" t="str">
        <f t="array" ref="B520">IF(NOW()&gt;AM520,"",IF(AND((WEEKDAY($A520)+$B$2)&gt;1,((WEEKDAY($A520)+$T$2)&lt;7),(WEEKDAY($A520)&lt;&gt;1)),"work",(INDEX(Subject!$A:$I,MATCH(RANDBETWEEN(1,(MAX(Subject!$B:$B))),Subject!$B:$B,0),3))))</f>
        <v/>
      </c>
      <c r="C520" s="2" t="str">
        <f t="array" ref="C520">IF(NOW()&gt;AN520,"",IF(AND((WEEKDAY($A520)+$B$2)&gt;1,((WEEKDAY($A520)+$T$2)&lt;7),(WEEKDAY($A520)&lt;&gt;1)),"work",(INDEX(Subject!$A:$I,MATCH(RANDBETWEEN(1,(MAX(Subject!$B:$B))),Subject!$B:$B,0),3))))</f>
        <v/>
      </c>
      <c r="D520" s="2" t="str">
        <f t="array" ref="D520">IF(NOW()&gt;AO520,"",IF(AND((WEEKDAY($A520)+$B$2)&gt;1,((WEEKDAY($A520)+$T$2)&lt;7),(WEEKDAY($A520)&lt;&gt;1)),"work",(INDEX(Subject!$A:$I,MATCH(RANDBETWEEN(1,(MAX(Subject!$B:$B))),Subject!$B:$B,0),3))))</f>
        <v/>
      </c>
      <c r="E520" s="2" t="str">
        <f t="array" ref="E520">IF(NOW()&gt;AP520,"",IF(AND((WEEKDAY($A520)+$B$2)&gt;1,((WEEKDAY($A520)+$T$2)&lt;7),(WEEKDAY($A520)&lt;&gt;1)),"work",(INDEX(Subject!$A:$I,MATCH(RANDBETWEEN(1,(MAX(Subject!$B:$B))),Subject!$B:$B,0),3))))</f>
        <v/>
      </c>
      <c r="F520" s="2" t="str">
        <f t="array" ref="F520">IF(NOW()&gt;AQ520,"",IF(AND((WEEKDAY($A520)+$B$2)&gt;1,((WEEKDAY($A520)+$T$2)&lt;7),(WEEKDAY($A520)&lt;&gt;1)),"work",(INDEX(Subject!$A:$I,MATCH(RANDBETWEEN(1,(MAX(Subject!$B:$B))),Subject!$B:$B,0),3))))</f>
        <v/>
      </c>
      <c r="G520" s="2" t="str">
        <f t="array" ref="G520">IF(NOW()&gt;AR520,"",IF(AND((WEEKDAY($A520)+$B$2)&gt;1,((WEEKDAY($A520)+$T$2)&lt;7),(WEEKDAY($A520)&lt;&gt;1)),"work",(INDEX(Subject!$A:$I,MATCH(RANDBETWEEN(1,(MAX(Subject!$B:$B))),Subject!$B:$B,0),3))))</f>
        <v/>
      </c>
      <c r="H520" s="2" t="str">
        <f t="array" ref="H520">IF(NOW()&gt;AS520,"",IF(AND((WEEKDAY($A520)+$B$2)&gt;1,((WEEKDAY($A520)+$T$2)&lt;7),(WEEKDAY($A520)&lt;&gt;1)),"work",(INDEX(Subject!$A:$I,MATCH(RANDBETWEEN(1,(MAX(Subject!$B:$B))),Subject!$B:$B,0),3))))</f>
        <v/>
      </c>
      <c r="I520" s="2" t="str">
        <f t="array" ref="I520">IF(NOW()&gt;AT520,"",IF(AND((WEEKDAY($A520)+$B$2)&gt;1,((WEEKDAY($A520)+$T$2)&lt;7),(WEEKDAY($A520)&lt;&gt;1)),"work",(INDEX(Subject!$A:$I,MATCH(RANDBETWEEN(1,(MAX(Subject!$B:$B))),Subject!$B:$B,0),3))))</f>
        <v/>
      </c>
      <c r="J520" s="2" t="str">
        <f t="array" ref="J520">IF(NOW()&gt;AU520,"",IF(AND((WEEKDAY($A520)+$B$2)&gt;1,((WEEKDAY($A520)+$T$2)&lt;7),(WEEKDAY($A520)&lt;&gt;1)),"work",(INDEX(Subject!$A:$I,MATCH(RANDBETWEEN(1,(MAX(Subject!$B:$B))),Subject!$B:$B,0),3))))</f>
        <v/>
      </c>
      <c r="K520" s="2" t="str">
        <f t="array" ref="K520">IF(NOW()&gt;AV520,"",IF(AND((WEEKDAY($A520)+$B$2)&gt;1,((WEEKDAY($A520)+$T$2)&lt;7),(WEEKDAY($A520)&lt;&gt;1)),"work",(INDEX(Subject!$A:$I,MATCH(RANDBETWEEN(1,(MAX(Subject!$B:$B))),Subject!$B:$B,0),3))))</f>
        <v/>
      </c>
      <c r="L520" s="2" t="str">
        <f t="array" ref="L520">IF(NOW()&gt;AW520,"",IF(AND((WEEKDAY($A520)+$B$2)&gt;1,((WEEKDAY($A520)+$T$2)&lt;7),(WEEKDAY($A520)&lt;&gt;1)),"work",(INDEX(Subject!$A:$I,MATCH(RANDBETWEEN(1,(MAX(Subject!$B:$B))),Subject!$B:$B,0),3))))</f>
        <v/>
      </c>
      <c r="M520" s="2" t="str">
        <f t="array" ref="M520">IF(NOW()&gt;AX520,"",IF(AND((WEEKDAY($A520)+$B$2)&gt;1,((WEEKDAY($A520)+$T$2)&lt;7),(WEEKDAY($A520)&lt;&gt;1)),"work",(INDEX(Subject!$A:$I,MATCH(RANDBETWEEN(1,(MAX(Subject!$B:$B))),Subject!$B:$B,0),3))))</f>
        <v/>
      </c>
      <c r="N520" s="2" t="str">
        <f t="array" ref="N520">IF(NOW()&gt;AY520,"",IF(AND((WEEKDAY($A520)+$B$2)&gt;1,((WEEKDAY($A520)+$T$2)&lt;7),(WEEKDAY($A520)&lt;&gt;1)),"work",(INDEX(Subject!$A:$I,MATCH(RANDBETWEEN(1,(MAX(Subject!$B:$B))),Subject!$B:$B,0),3))))</f>
        <v/>
      </c>
      <c r="O520" s="2" t="str">
        <f t="array" ref="O520">IF(NOW()&gt;AZ520,"",IF(AND((WEEKDAY($A520)+$B$2)&gt;1,((WEEKDAY($A520)+$T$2)&lt;7),(WEEKDAY($A520)&lt;&gt;1)),"work",(INDEX(Subject!$A:$I,MATCH(RANDBETWEEN(1,(MAX(Subject!$B:$B))),Subject!$B:$B,0),3))))</f>
        <v/>
      </c>
      <c r="P520" s="2" t="str">
        <f t="array" ref="P520">IF(NOW()&gt;BA520,"",IF(AND((WEEKDAY($A520)+$B$2)&gt;1,((WEEKDAY($A520)+$T$2)&lt;7),(WEEKDAY($A520)&lt;&gt;1)),"work",(INDEX(Subject!$A:$I,MATCH(RANDBETWEEN(1,(MAX(Subject!$B:$B))),Subject!$B:$B,0),3))))</f>
        <v/>
      </c>
      <c r="Q520" s="2" t="str">
        <f t="array" ref="Q520">IF(NOW()&gt;BB520,"",IF(AND((WEEKDAY($A520)+$B$2)&gt;1,((WEEKDAY($A520)+$T$2)&lt;7),(WEEKDAY($A520)&lt;&gt;1)),"work",(INDEX(Subject!$A:$I,MATCH(RANDBETWEEN(1,(MAX(Subject!$B:$B))),Subject!$B:$B,0),3))))</f>
        <v/>
      </c>
      <c r="R520" s="2" t="str">
        <f t="array" ref="R520">IF(NOW()&gt;BC520,"",IF(AND((WEEKDAY($A520)+$B$2)&gt;1,((WEEKDAY($A520)+$T$2)&lt;7),(WEEKDAY($A520)&lt;&gt;1)),"work",(INDEX(Subject!$A:$I,MATCH(RANDBETWEEN(1,(MAX(Subject!$B:$B))),Subject!$B:$B,0),3))))</f>
        <v/>
      </c>
      <c r="S520" s="2" t="str">
        <f t="array" ref="S520">IF(NOW()&gt;BD520,"",IF(AND((WEEKDAY($A520)+$B$2)&gt;1,((WEEKDAY($A520)+$T$2)&lt;7),(WEEKDAY($A520)&lt;&gt;1)),"work",(INDEX(Subject!$A:$I,MATCH(RANDBETWEEN(1,(MAX(Subject!$B:$B))),Subject!$B:$B,0),3))))</f>
        <v/>
      </c>
      <c r="T520" s="2" t="str">
        <f t="array" ref="T520">IF(NOW()&gt;BE520,"",IF(AND((WEEKDAY($A520)+$B$2)&gt;1,((WEEKDAY($A520)+$T$2)&lt;7),(WEEKDAY($A520)&lt;&gt;1)),"work",(INDEX(Subject!$A:$I,MATCH(RANDBETWEEN(1,(MAX(Subject!$B:$B))),Subject!$B:$B,0),3))))</f>
        <v/>
      </c>
      <c r="U520" s="8" t="str">
        <f t="array" ref="U520">INDEX(Subject!$A:$I,MATCH(RANDBETWEEN(1,16),Subject!$B:$B,0),3)</f>
        <v>#N/A</v>
      </c>
      <c r="V520" s="8" t="str">
        <f t="array" ref="V520">INDEX(Subject!$A:$I,MATCH(RANDBETWEEN(1,16),Subject!$B:$B,0),3)</f>
        <v>#N/A</v>
      </c>
      <c r="W520" s="8" t="str">
        <f t="array" ref="W520">INDEX(Subject!$A:$I,MATCH(RANDBETWEEN(1,16),Subject!$B:$B,0),3)</f>
        <v>#N/A</v>
      </c>
      <c r="X520" s="8" t="str">
        <f t="array" ref="X520">INDEX(Subject!$A:$I,MATCH(RANDBETWEEN(1,16),Subject!$B:$B,0),3)</f>
        <v>#N/A</v>
      </c>
      <c r="Y520" s="8" t="str">
        <f t="array" ref="Y520">INDEX(Subject!$A:$I,MATCH(RANDBETWEEN(1,16),Subject!$B:$B,0),3)</f>
        <v>#N/A</v>
      </c>
      <c r="Z520" s="8" t="str">
        <f t="array" ref="Z520">INDEX(Subject!$A:$I,MATCH(RANDBETWEEN(1,16),Subject!$B:$B,0),3)</f>
        <v>#N/A</v>
      </c>
      <c r="AA520" s="8" t="str">
        <f t="array" ref="AA520">INDEX(Subject!$A:$I,MATCH(RANDBETWEEN(1,16),Subject!$B:$B,0),3)</f>
        <v>#N/A</v>
      </c>
      <c r="AB520" s="8" t="str">
        <f t="array" ref="AB520">INDEX(Subject!$A:$I,MATCH(RANDBETWEEN(1,16),Subject!$B:$B,0),3)</f>
        <v>#N/A</v>
      </c>
      <c r="AC520" s="8" t="str">
        <f t="array" ref="AC520">INDEX(Subject!$A:$I,MATCH(RANDBETWEEN(1,16),Subject!$B:$B,0),3)</f>
        <v>#N/A</v>
      </c>
      <c r="AD520" s="8" t="str">
        <f t="array" ref="AD520">INDEX(Subject!$A:$I,MATCH(RANDBETWEEN(1,16),Subject!$B:$B,0),3)</f>
        <v>#N/A</v>
      </c>
      <c r="AE520" s="8" t="str">
        <f t="array" ref="AE520">INDEX(Subject!$A:$I,MATCH(RANDBETWEEN(1,16),Subject!$B:$B,0),3)</f>
        <v>#N/A</v>
      </c>
      <c r="AF520" s="8" t="str">
        <f t="array" ref="AF520">INDEX(Subject!$A:$I,MATCH(RANDBETWEEN(1,16),Subject!$B:$B,0),3)</f>
        <v>#N/A</v>
      </c>
      <c r="AG520" s="8" t="str">
        <f t="array" ref="AG520">INDEX(Subject!$A:$I,MATCH(RANDBETWEEN(1,16),Subject!$B:$B,0),3)</f>
        <v>#N/A</v>
      </c>
      <c r="AH520" s="8" t="str">
        <f t="array" ref="AH520">INDEX(Subject!$A:$I,MATCH(RANDBETWEEN(1,16),Subject!$B:$B,0),3)</f>
        <v/>
      </c>
      <c r="AI520" s="8" t="str">
        <f t="array" ref="AI520">INDEX(Subject!$A:$I,MATCH(RANDBETWEEN(1,16),Subject!$B:$B,0),3)</f>
        <v>#N/A</v>
      </c>
      <c r="AJ520" s="8" t="str">
        <f t="array" ref="AJ520">INDEX(Subject!$A:$I,MATCH(RANDBETWEEN(1,16),Subject!$B:$B,0),3)</f>
        <v>#N/A</v>
      </c>
      <c r="AK520" s="8" t="str">
        <f t="array" ref="AK520">INDEX(Subject!$A:$I,MATCH(RANDBETWEEN(1,16),Subject!$B:$B,0),3)</f>
        <v>#N/A</v>
      </c>
      <c r="AL520" s="8" t="str">
        <f t="array" ref="AL520">INDEX(Subject!$A:$I,MATCH(RANDBETWEEN(1,16),Subject!$B:$B,0),3)</f>
        <v>#N/A</v>
      </c>
      <c r="AM520" s="18">
        <f t="shared" si="4"/>
        <v>46020.33333</v>
      </c>
      <c r="AN520" s="19">
        <f t="shared" ref="AN520:BZ520" si="520">$A520+C$1</f>
        <v>46020.35417</v>
      </c>
      <c r="AO520" s="19">
        <f t="shared" si="520"/>
        <v>46020.375</v>
      </c>
      <c r="AP520" s="19">
        <f t="shared" si="520"/>
        <v>46020.39583</v>
      </c>
      <c r="AQ520" s="19">
        <f t="shared" si="520"/>
        <v>46020.41667</v>
      </c>
      <c r="AR520" s="19">
        <f t="shared" si="520"/>
        <v>46020.4375</v>
      </c>
      <c r="AS520" s="19">
        <f t="shared" si="520"/>
        <v>46020.45833</v>
      </c>
      <c r="AT520" s="19">
        <f t="shared" si="520"/>
        <v>46020.47917</v>
      </c>
      <c r="AU520" s="19">
        <f t="shared" si="520"/>
        <v>46020.5</v>
      </c>
      <c r="AV520" s="19">
        <f t="shared" si="520"/>
        <v>46020.52083</v>
      </c>
      <c r="AW520" s="19">
        <f t="shared" si="520"/>
        <v>46020.54167</v>
      </c>
      <c r="AX520" s="19">
        <f t="shared" si="520"/>
        <v>46020.5625</v>
      </c>
      <c r="AY520" s="19">
        <f t="shared" si="520"/>
        <v>46020.58333</v>
      </c>
      <c r="AZ520" s="19">
        <f t="shared" si="520"/>
        <v>46020.60417</v>
      </c>
      <c r="BA520" s="19">
        <f t="shared" si="520"/>
        <v>46020.625</v>
      </c>
      <c r="BB520" s="19">
        <f t="shared" si="520"/>
        <v>46020.64583</v>
      </c>
      <c r="BC520" s="19">
        <f t="shared" si="520"/>
        <v>46020.66667</v>
      </c>
      <c r="BD520" s="19">
        <f t="shared" si="520"/>
        <v>46020.6875</v>
      </c>
      <c r="BE520" s="19">
        <f t="shared" si="520"/>
        <v>46020.70833</v>
      </c>
      <c r="BF520" s="19">
        <f t="shared" si="520"/>
        <v>46020.72917</v>
      </c>
      <c r="BG520" s="19">
        <f t="shared" si="520"/>
        <v>46020.75</v>
      </c>
      <c r="BH520" s="19">
        <f t="shared" si="520"/>
        <v>46020.77083</v>
      </c>
      <c r="BI520" s="19">
        <f t="shared" si="520"/>
        <v>46020.79167</v>
      </c>
      <c r="BJ520" s="19">
        <f t="shared" si="520"/>
        <v>46020.8125</v>
      </c>
      <c r="BK520" s="19">
        <f t="shared" si="520"/>
        <v>46020.83333</v>
      </c>
      <c r="BL520" s="19">
        <f t="shared" si="520"/>
        <v>46020.85417</v>
      </c>
      <c r="BM520" s="19">
        <f t="shared" si="520"/>
        <v>46020.875</v>
      </c>
      <c r="BN520" s="19">
        <f t="shared" si="520"/>
        <v>46020.89583</v>
      </c>
      <c r="BO520" s="19">
        <f t="shared" si="520"/>
        <v>46020.91667</v>
      </c>
      <c r="BP520" s="19">
        <f t="shared" si="520"/>
        <v>46020.9375</v>
      </c>
      <c r="BQ520" s="19">
        <f t="shared" si="520"/>
        <v>46020.95833</v>
      </c>
      <c r="BR520" s="19">
        <f t="shared" si="520"/>
        <v>46020.97917</v>
      </c>
      <c r="BS520" s="19">
        <f t="shared" si="520"/>
        <v>46021</v>
      </c>
      <c r="BT520" s="19">
        <f t="shared" si="520"/>
        <v>46021.02083</v>
      </c>
      <c r="BU520" s="19">
        <f t="shared" si="520"/>
        <v>46021.04167</v>
      </c>
      <c r="BV520" s="19">
        <f t="shared" si="520"/>
        <v>46021.0625</v>
      </c>
      <c r="BW520" s="19">
        <f t="shared" si="520"/>
        <v>46021.08333</v>
      </c>
      <c r="BX520" s="19">
        <f t="shared" si="520"/>
        <v>46020</v>
      </c>
      <c r="BY520" s="19">
        <f t="shared" si="520"/>
        <v>46020</v>
      </c>
      <c r="BZ520" s="19">
        <f t="shared" si="520"/>
        <v>46020</v>
      </c>
    </row>
    <row r="521" ht="14.25" customHeight="1">
      <c r="A521" s="17">
        <v>46021.0</v>
      </c>
      <c r="B521" s="2" t="str">
        <f t="array" ref="B521">IF(NOW()&gt;AM521,"",IF(AND((WEEKDAY($A521)+$B$2)&gt;1,((WEEKDAY($A521)+$T$2)&lt;7),(WEEKDAY($A521)&lt;&gt;1)),"work",(INDEX(Subject!$A:$I,MATCH(RANDBETWEEN(1,(MAX(Subject!$B:$B))),Subject!$B:$B,0),3))))</f>
        <v/>
      </c>
      <c r="C521" s="2" t="str">
        <f t="array" ref="C521">IF(NOW()&gt;AN521,"",IF(AND((WEEKDAY($A521)+$B$2)&gt;1,((WEEKDAY($A521)+$T$2)&lt;7),(WEEKDAY($A521)&lt;&gt;1)),"work",(INDEX(Subject!$A:$I,MATCH(RANDBETWEEN(1,(MAX(Subject!$B:$B))),Subject!$B:$B,0),3))))</f>
        <v/>
      </c>
      <c r="D521" s="2" t="str">
        <f t="array" ref="D521">IF(NOW()&gt;AO521,"",IF(AND((WEEKDAY($A521)+$B$2)&gt;1,((WEEKDAY($A521)+$T$2)&lt;7),(WEEKDAY($A521)&lt;&gt;1)),"work",(INDEX(Subject!$A:$I,MATCH(RANDBETWEEN(1,(MAX(Subject!$B:$B))),Subject!$B:$B,0),3))))</f>
        <v/>
      </c>
      <c r="E521" s="2" t="str">
        <f t="array" ref="E521">IF(NOW()&gt;AP521,"",IF(AND((WEEKDAY($A521)+$B$2)&gt;1,((WEEKDAY($A521)+$T$2)&lt;7),(WEEKDAY($A521)&lt;&gt;1)),"work",(INDEX(Subject!$A:$I,MATCH(RANDBETWEEN(1,(MAX(Subject!$B:$B))),Subject!$B:$B,0),3))))</f>
        <v/>
      </c>
      <c r="F521" s="2" t="str">
        <f t="array" ref="F521">IF(NOW()&gt;AQ521,"",IF(AND((WEEKDAY($A521)+$B$2)&gt;1,((WEEKDAY($A521)+$T$2)&lt;7),(WEEKDAY($A521)&lt;&gt;1)),"work",(INDEX(Subject!$A:$I,MATCH(RANDBETWEEN(1,(MAX(Subject!$B:$B))),Subject!$B:$B,0),3))))</f>
        <v/>
      </c>
      <c r="G521" s="2" t="str">
        <f t="array" ref="G521">IF(NOW()&gt;AR521,"",IF(AND((WEEKDAY($A521)+$B$2)&gt;1,((WEEKDAY($A521)+$T$2)&lt;7),(WEEKDAY($A521)&lt;&gt;1)),"work",(INDEX(Subject!$A:$I,MATCH(RANDBETWEEN(1,(MAX(Subject!$B:$B))),Subject!$B:$B,0),3))))</f>
        <v/>
      </c>
      <c r="H521" s="2" t="str">
        <f t="array" ref="H521">IF(NOW()&gt;AS521,"",IF(AND((WEEKDAY($A521)+$B$2)&gt;1,((WEEKDAY($A521)+$T$2)&lt;7),(WEEKDAY($A521)&lt;&gt;1)),"work",(INDEX(Subject!$A:$I,MATCH(RANDBETWEEN(1,(MAX(Subject!$B:$B))),Subject!$B:$B,0),3))))</f>
        <v/>
      </c>
      <c r="I521" s="2" t="str">
        <f t="array" ref="I521">IF(NOW()&gt;AT521,"",IF(AND((WEEKDAY($A521)+$B$2)&gt;1,((WEEKDAY($A521)+$T$2)&lt;7),(WEEKDAY($A521)&lt;&gt;1)),"work",(INDEX(Subject!$A:$I,MATCH(RANDBETWEEN(1,(MAX(Subject!$B:$B))),Subject!$B:$B,0),3))))</f>
        <v/>
      </c>
      <c r="J521" s="2" t="str">
        <f t="array" ref="J521">IF(NOW()&gt;AU521,"",IF(AND((WEEKDAY($A521)+$B$2)&gt;1,((WEEKDAY($A521)+$T$2)&lt;7),(WEEKDAY($A521)&lt;&gt;1)),"work",(INDEX(Subject!$A:$I,MATCH(RANDBETWEEN(1,(MAX(Subject!$B:$B))),Subject!$B:$B,0),3))))</f>
        <v/>
      </c>
      <c r="K521" s="2" t="str">
        <f t="array" ref="K521">IF(NOW()&gt;AV521,"",IF(AND((WEEKDAY($A521)+$B$2)&gt;1,((WEEKDAY($A521)+$T$2)&lt;7),(WEEKDAY($A521)&lt;&gt;1)),"work",(INDEX(Subject!$A:$I,MATCH(RANDBETWEEN(1,(MAX(Subject!$B:$B))),Subject!$B:$B,0),3))))</f>
        <v/>
      </c>
      <c r="L521" s="2" t="str">
        <f t="array" ref="L521">IF(NOW()&gt;AW521,"",IF(AND((WEEKDAY($A521)+$B$2)&gt;1,((WEEKDAY($A521)+$T$2)&lt;7),(WEEKDAY($A521)&lt;&gt;1)),"work",(INDEX(Subject!$A:$I,MATCH(RANDBETWEEN(1,(MAX(Subject!$B:$B))),Subject!$B:$B,0),3))))</f>
        <v/>
      </c>
      <c r="M521" s="2" t="str">
        <f t="array" ref="M521">IF(NOW()&gt;AX521,"",IF(AND((WEEKDAY($A521)+$B$2)&gt;1,((WEEKDAY($A521)+$T$2)&lt;7),(WEEKDAY($A521)&lt;&gt;1)),"work",(INDEX(Subject!$A:$I,MATCH(RANDBETWEEN(1,(MAX(Subject!$B:$B))),Subject!$B:$B,0),3))))</f>
        <v/>
      </c>
      <c r="N521" s="2" t="str">
        <f t="array" ref="N521">IF(NOW()&gt;AY521,"",IF(AND((WEEKDAY($A521)+$B$2)&gt;1,((WEEKDAY($A521)+$T$2)&lt;7),(WEEKDAY($A521)&lt;&gt;1)),"work",(INDEX(Subject!$A:$I,MATCH(RANDBETWEEN(1,(MAX(Subject!$B:$B))),Subject!$B:$B,0),3))))</f>
        <v/>
      </c>
      <c r="O521" s="2" t="str">
        <f t="array" ref="O521">IF(NOW()&gt;AZ521,"",IF(AND((WEEKDAY($A521)+$B$2)&gt;1,((WEEKDAY($A521)+$T$2)&lt;7),(WEEKDAY($A521)&lt;&gt;1)),"work",(INDEX(Subject!$A:$I,MATCH(RANDBETWEEN(1,(MAX(Subject!$B:$B))),Subject!$B:$B,0),3))))</f>
        <v/>
      </c>
      <c r="P521" s="2" t="str">
        <f t="array" ref="P521">IF(NOW()&gt;BA521,"",IF(AND((WEEKDAY($A521)+$B$2)&gt;1,((WEEKDAY($A521)+$T$2)&lt;7),(WEEKDAY($A521)&lt;&gt;1)),"work",(INDEX(Subject!$A:$I,MATCH(RANDBETWEEN(1,(MAX(Subject!$B:$B))),Subject!$B:$B,0),3))))</f>
        <v/>
      </c>
      <c r="Q521" s="2" t="str">
        <f t="array" ref="Q521">IF(NOW()&gt;BB521,"",IF(AND((WEEKDAY($A521)+$B$2)&gt;1,((WEEKDAY($A521)+$T$2)&lt;7),(WEEKDAY($A521)&lt;&gt;1)),"work",(INDEX(Subject!$A:$I,MATCH(RANDBETWEEN(1,(MAX(Subject!$B:$B))),Subject!$B:$B,0),3))))</f>
        <v/>
      </c>
      <c r="R521" s="2" t="str">
        <f t="array" ref="R521">IF(NOW()&gt;BC521,"",IF(AND((WEEKDAY($A521)+$B$2)&gt;1,((WEEKDAY($A521)+$T$2)&lt;7),(WEEKDAY($A521)&lt;&gt;1)),"work",(INDEX(Subject!$A:$I,MATCH(RANDBETWEEN(1,(MAX(Subject!$B:$B))),Subject!$B:$B,0),3))))</f>
        <v/>
      </c>
      <c r="S521" s="2" t="str">
        <f t="array" ref="S521">IF(NOW()&gt;BD521,"",IF(AND((WEEKDAY($A521)+$B$2)&gt;1,((WEEKDAY($A521)+$T$2)&lt;7),(WEEKDAY($A521)&lt;&gt;1)),"work",(INDEX(Subject!$A:$I,MATCH(RANDBETWEEN(1,(MAX(Subject!$B:$B))),Subject!$B:$B,0),3))))</f>
        <v/>
      </c>
      <c r="T521" s="2" t="str">
        <f t="array" ref="T521">IF(NOW()&gt;BE521,"",IF(AND((WEEKDAY($A521)+$B$2)&gt;1,((WEEKDAY($A521)+$T$2)&lt;7),(WEEKDAY($A521)&lt;&gt;1)),"work",(INDEX(Subject!$A:$I,MATCH(RANDBETWEEN(1,(MAX(Subject!$B:$B))),Subject!$B:$B,0),3))))</f>
        <v/>
      </c>
      <c r="U521" s="8" t="str">
        <f t="array" ref="U521">INDEX(Subject!$A:$I,MATCH(RANDBETWEEN(1,16),Subject!$B:$B,0),3)</f>
        <v>#N/A</v>
      </c>
      <c r="V521" s="8" t="str">
        <f t="array" ref="V521">INDEX(Subject!$A:$I,MATCH(RANDBETWEEN(1,16),Subject!$B:$B,0),3)</f>
        <v>#N/A</v>
      </c>
      <c r="W521" s="8" t="str">
        <f t="array" ref="W521">INDEX(Subject!$A:$I,MATCH(RANDBETWEEN(1,16),Subject!$B:$B,0),3)</f>
        <v>#N/A</v>
      </c>
      <c r="X521" s="8" t="str">
        <f t="array" ref="X521">INDEX(Subject!$A:$I,MATCH(RANDBETWEEN(1,16),Subject!$B:$B,0),3)</f>
        <v>#N/A</v>
      </c>
      <c r="Y521" s="8" t="str">
        <f t="array" ref="Y521">INDEX(Subject!$A:$I,MATCH(RANDBETWEEN(1,16),Subject!$B:$B,0),3)</f>
        <v/>
      </c>
      <c r="Z521" s="8" t="str">
        <f t="array" ref="Z521">INDEX(Subject!$A:$I,MATCH(RANDBETWEEN(1,16),Subject!$B:$B,0),3)</f>
        <v>#N/A</v>
      </c>
      <c r="AA521" s="8" t="str">
        <f t="array" ref="AA521">INDEX(Subject!$A:$I,MATCH(RANDBETWEEN(1,16),Subject!$B:$B,0),3)</f>
        <v>#N/A</v>
      </c>
      <c r="AB521" s="8" t="str">
        <f t="array" ref="AB521">INDEX(Subject!$A:$I,MATCH(RANDBETWEEN(1,16),Subject!$B:$B,0),3)</f>
        <v>#N/A</v>
      </c>
      <c r="AC521" s="8" t="str">
        <f t="array" ref="AC521">INDEX(Subject!$A:$I,MATCH(RANDBETWEEN(1,16),Subject!$B:$B,0),3)</f>
        <v>#N/A</v>
      </c>
      <c r="AD521" s="8" t="str">
        <f t="array" ref="AD521">INDEX(Subject!$A:$I,MATCH(RANDBETWEEN(1,16),Subject!$B:$B,0),3)</f>
        <v>#N/A</v>
      </c>
      <c r="AE521" s="8" t="str">
        <f t="array" ref="AE521">INDEX(Subject!$A:$I,MATCH(RANDBETWEEN(1,16),Subject!$B:$B,0),3)</f>
        <v>#N/A</v>
      </c>
      <c r="AF521" s="8" t="str">
        <f t="array" ref="AF521">INDEX(Subject!$A:$I,MATCH(RANDBETWEEN(1,16),Subject!$B:$B,0),3)</f>
        <v>#N/A</v>
      </c>
      <c r="AG521" s="8" t="str">
        <f t="array" ref="AG521">INDEX(Subject!$A:$I,MATCH(RANDBETWEEN(1,16),Subject!$B:$B,0),3)</f>
        <v>#N/A</v>
      </c>
      <c r="AH521" s="8" t="str">
        <f t="array" ref="AH521">INDEX(Subject!$A:$I,MATCH(RANDBETWEEN(1,16),Subject!$B:$B,0),3)</f>
        <v>#N/A</v>
      </c>
      <c r="AI521" s="8" t="str">
        <f t="array" ref="AI521">INDEX(Subject!$A:$I,MATCH(RANDBETWEEN(1,16),Subject!$B:$B,0),3)</f>
        <v>#N/A</v>
      </c>
      <c r="AJ521" s="8" t="str">
        <f t="array" ref="AJ521">INDEX(Subject!$A:$I,MATCH(RANDBETWEEN(1,16),Subject!$B:$B,0),3)</f>
        <v>#N/A</v>
      </c>
      <c r="AK521" s="8" t="str">
        <f t="array" ref="AK521">INDEX(Subject!$A:$I,MATCH(RANDBETWEEN(1,16),Subject!$B:$B,0),3)</f>
        <v>#N/A</v>
      </c>
      <c r="AL521" s="8" t="str">
        <f t="array" ref="AL521">INDEX(Subject!$A:$I,MATCH(RANDBETWEEN(1,16),Subject!$B:$B,0),3)</f>
        <v>#N/A</v>
      </c>
      <c r="AM521" s="18">
        <f t="shared" si="4"/>
        <v>46021.33333</v>
      </c>
      <c r="AN521" s="19">
        <f t="shared" ref="AN521:BZ521" si="521">$A521+C$1</f>
        <v>46021.35417</v>
      </c>
      <c r="AO521" s="19">
        <f t="shared" si="521"/>
        <v>46021.375</v>
      </c>
      <c r="AP521" s="19">
        <f t="shared" si="521"/>
        <v>46021.39583</v>
      </c>
      <c r="AQ521" s="19">
        <f t="shared" si="521"/>
        <v>46021.41667</v>
      </c>
      <c r="AR521" s="19">
        <f t="shared" si="521"/>
        <v>46021.4375</v>
      </c>
      <c r="AS521" s="19">
        <f t="shared" si="521"/>
        <v>46021.45833</v>
      </c>
      <c r="AT521" s="19">
        <f t="shared" si="521"/>
        <v>46021.47917</v>
      </c>
      <c r="AU521" s="19">
        <f t="shared" si="521"/>
        <v>46021.5</v>
      </c>
      <c r="AV521" s="19">
        <f t="shared" si="521"/>
        <v>46021.52083</v>
      </c>
      <c r="AW521" s="19">
        <f t="shared" si="521"/>
        <v>46021.54167</v>
      </c>
      <c r="AX521" s="19">
        <f t="shared" si="521"/>
        <v>46021.5625</v>
      </c>
      <c r="AY521" s="19">
        <f t="shared" si="521"/>
        <v>46021.58333</v>
      </c>
      <c r="AZ521" s="19">
        <f t="shared" si="521"/>
        <v>46021.60417</v>
      </c>
      <c r="BA521" s="19">
        <f t="shared" si="521"/>
        <v>46021.625</v>
      </c>
      <c r="BB521" s="19">
        <f t="shared" si="521"/>
        <v>46021.64583</v>
      </c>
      <c r="BC521" s="19">
        <f t="shared" si="521"/>
        <v>46021.66667</v>
      </c>
      <c r="BD521" s="19">
        <f t="shared" si="521"/>
        <v>46021.6875</v>
      </c>
      <c r="BE521" s="19">
        <f t="shared" si="521"/>
        <v>46021.70833</v>
      </c>
      <c r="BF521" s="19">
        <f t="shared" si="521"/>
        <v>46021.72917</v>
      </c>
      <c r="BG521" s="19">
        <f t="shared" si="521"/>
        <v>46021.75</v>
      </c>
      <c r="BH521" s="19">
        <f t="shared" si="521"/>
        <v>46021.77083</v>
      </c>
      <c r="BI521" s="19">
        <f t="shared" si="521"/>
        <v>46021.79167</v>
      </c>
      <c r="BJ521" s="19">
        <f t="shared" si="521"/>
        <v>46021.8125</v>
      </c>
      <c r="BK521" s="19">
        <f t="shared" si="521"/>
        <v>46021.83333</v>
      </c>
      <c r="BL521" s="19">
        <f t="shared" si="521"/>
        <v>46021.85417</v>
      </c>
      <c r="BM521" s="19">
        <f t="shared" si="521"/>
        <v>46021.875</v>
      </c>
      <c r="BN521" s="19">
        <f t="shared" si="521"/>
        <v>46021.89583</v>
      </c>
      <c r="BO521" s="19">
        <f t="shared" si="521"/>
        <v>46021.91667</v>
      </c>
      <c r="BP521" s="19">
        <f t="shared" si="521"/>
        <v>46021.9375</v>
      </c>
      <c r="BQ521" s="19">
        <f t="shared" si="521"/>
        <v>46021.95833</v>
      </c>
      <c r="BR521" s="19">
        <f t="shared" si="521"/>
        <v>46021.97917</v>
      </c>
      <c r="BS521" s="19">
        <f t="shared" si="521"/>
        <v>46022</v>
      </c>
      <c r="BT521" s="19">
        <f t="shared" si="521"/>
        <v>46022.02083</v>
      </c>
      <c r="BU521" s="19">
        <f t="shared" si="521"/>
        <v>46022.04167</v>
      </c>
      <c r="BV521" s="19">
        <f t="shared" si="521"/>
        <v>46022.0625</v>
      </c>
      <c r="BW521" s="19">
        <f t="shared" si="521"/>
        <v>46022.08333</v>
      </c>
      <c r="BX521" s="19">
        <f t="shared" si="521"/>
        <v>46021</v>
      </c>
      <c r="BY521" s="19">
        <f t="shared" si="521"/>
        <v>46021</v>
      </c>
      <c r="BZ521" s="19">
        <f t="shared" si="521"/>
        <v>46021</v>
      </c>
    </row>
    <row r="522" ht="14.25" customHeight="1">
      <c r="A522" s="17">
        <v>46022.0</v>
      </c>
      <c r="B522" s="2" t="str">
        <f t="array" ref="B522">IF(NOW()&gt;AM522,"",IF(AND((WEEKDAY($A522)+$B$2)&gt;1,((WEEKDAY($A522)+$T$2)&lt;7),(WEEKDAY($A522)&lt;&gt;1)),"work",(INDEX(Subject!$A:$I,MATCH(RANDBETWEEN(1,(MAX(Subject!$B:$B))),Subject!$B:$B,0),3))))</f>
        <v/>
      </c>
      <c r="C522" s="2" t="str">
        <f t="array" ref="C522">IF(NOW()&gt;AN522,"",IF(AND((WEEKDAY($A522)+$B$2)&gt;1,((WEEKDAY($A522)+$T$2)&lt;7),(WEEKDAY($A522)&lt;&gt;1)),"work",(INDEX(Subject!$A:$I,MATCH(RANDBETWEEN(1,(MAX(Subject!$B:$B))),Subject!$B:$B,0),3))))</f>
        <v/>
      </c>
      <c r="D522" s="2" t="str">
        <f t="array" ref="D522">IF(NOW()&gt;AO522,"",IF(AND((WEEKDAY($A522)+$B$2)&gt;1,((WEEKDAY($A522)+$T$2)&lt;7),(WEEKDAY($A522)&lt;&gt;1)),"work",(INDEX(Subject!$A:$I,MATCH(RANDBETWEEN(1,(MAX(Subject!$B:$B))),Subject!$B:$B,0),3))))</f>
        <v/>
      </c>
      <c r="E522" s="2" t="str">
        <f t="array" ref="E522">IF(NOW()&gt;AP522,"",IF(AND((WEEKDAY($A522)+$B$2)&gt;1,((WEEKDAY($A522)+$T$2)&lt;7),(WEEKDAY($A522)&lt;&gt;1)),"work",(INDEX(Subject!$A:$I,MATCH(RANDBETWEEN(1,(MAX(Subject!$B:$B))),Subject!$B:$B,0),3))))</f>
        <v/>
      </c>
      <c r="F522" s="2" t="str">
        <f t="array" ref="F522">IF(NOW()&gt;AQ522,"",IF(AND((WEEKDAY($A522)+$B$2)&gt;1,((WEEKDAY($A522)+$T$2)&lt;7),(WEEKDAY($A522)&lt;&gt;1)),"work",(INDEX(Subject!$A:$I,MATCH(RANDBETWEEN(1,(MAX(Subject!$B:$B))),Subject!$B:$B,0),3))))</f>
        <v/>
      </c>
      <c r="G522" s="2" t="str">
        <f t="array" ref="G522">IF(NOW()&gt;AR522,"",IF(AND((WEEKDAY($A522)+$B$2)&gt;1,((WEEKDAY($A522)+$T$2)&lt;7),(WEEKDAY($A522)&lt;&gt;1)),"work",(INDEX(Subject!$A:$I,MATCH(RANDBETWEEN(1,(MAX(Subject!$B:$B))),Subject!$B:$B,0),3))))</f>
        <v/>
      </c>
      <c r="H522" s="2" t="str">
        <f t="array" ref="H522">IF(NOW()&gt;AS522,"",IF(AND((WEEKDAY($A522)+$B$2)&gt;1,((WEEKDAY($A522)+$T$2)&lt;7),(WEEKDAY($A522)&lt;&gt;1)),"work",(INDEX(Subject!$A:$I,MATCH(RANDBETWEEN(1,(MAX(Subject!$B:$B))),Subject!$B:$B,0),3))))</f>
        <v/>
      </c>
      <c r="I522" s="2" t="str">
        <f t="array" ref="I522">IF(NOW()&gt;AT522,"",IF(AND((WEEKDAY($A522)+$B$2)&gt;1,((WEEKDAY($A522)+$T$2)&lt;7),(WEEKDAY($A522)&lt;&gt;1)),"work",(INDEX(Subject!$A:$I,MATCH(RANDBETWEEN(1,(MAX(Subject!$B:$B))),Subject!$B:$B,0),3))))</f>
        <v/>
      </c>
      <c r="J522" s="2" t="str">
        <f t="array" ref="J522">IF(NOW()&gt;AU522,"",IF(AND((WEEKDAY($A522)+$B$2)&gt;1,((WEEKDAY($A522)+$T$2)&lt;7),(WEEKDAY($A522)&lt;&gt;1)),"work",(INDEX(Subject!$A:$I,MATCH(RANDBETWEEN(1,(MAX(Subject!$B:$B))),Subject!$B:$B,0),3))))</f>
        <v/>
      </c>
      <c r="K522" s="2" t="str">
        <f t="array" ref="K522">IF(NOW()&gt;AV522,"",IF(AND((WEEKDAY($A522)+$B$2)&gt;1,((WEEKDAY($A522)+$T$2)&lt;7),(WEEKDAY($A522)&lt;&gt;1)),"work",(INDEX(Subject!$A:$I,MATCH(RANDBETWEEN(1,(MAX(Subject!$B:$B))),Subject!$B:$B,0),3))))</f>
        <v/>
      </c>
      <c r="L522" s="2" t="str">
        <f t="array" ref="L522">IF(NOW()&gt;AW522,"",IF(AND((WEEKDAY($A522)+$B$2)&gt;1,((WEEKDAY($A522)+$T$2)&lt;7),(WEEKDAY($A522)&lt;&gt;1)),"work",(INDEX(Subject!$A:$I,MATCH(RANDBETWEEN(1,(MAX(Subject!$B:$B))),Subject!$B:$B,0),3))))</f>
        <v/>
      </c>
      <c r="M522" s="2" t="str">
        <f t="array" ref="M522">IF(NOW()&gt;AX522,"",IF(AND((WEEKDAY($A522)+$B$2)&gt;1,((WEEKDAY($A522)+$T$2)&lt;7),(WEEKDAY($A522)&lt;&gt;1)),"work",(INDEX(Subject!$A:$I,MATCH(RANDBETWEEN(1,(MAX(Subject!$B:$B))),Subject!$B:$B,0),3))))</f>
        <v/>
      </c>
      <c r="N522" s="2" t="str">
        <f t="array" ref="N522">IF(NOW()&gt;AY522,"",IF(AND((WEEKDAY($A522)+$B$2)&gt;1,((WEEKDAY($A522)+$T$2)&lt;7),(WEEKDAY($A522)&lt;&gt;1)),"work",(INDEX(Subject!$A:$I,MATCH(RANDBETWEEN(1,(MAX(Subject!$B:$B))),Subject!$B:$B,0),3))))</f>
        <v/>
      </c>
      <c r="O522" s="2" t="str">
        <f t="array" ref="O522">IF(NOW()&gt;AZ522,"",IF(AND((WEEKDAY($A522)+$B$2)&gt;1,((WEEKDAY($A522)+$T$2)&lt;7),(WEEKDAY($A522)&lt;&gt;1)),"work",(INDEX(Subject!$A:$I,MATCH(RANDBETWEEN(1,(MAX(Subject!$B:$B))),Subject!$B:$B,0),3))))</f>
        <v/>
      </c>
      <c r="P522" s="2" t="str">
        <f t="array" ref="P522">IF(NOW()&gt;BA522,"",IF(AND((WEEKDAY($A522)+$B$2)&gt;1,((WEEKDAY($A522)+$T$2)&lt;7),(WEEKDAY($A522)&lt;&gt;1)),"work",(INDEX(Subject!$A:$I,MATCH(RANDBETWEEN(1,(MAX(Subject!$B:$B))),Subject!$B:$B,0),3))))</f>
        <v/>
      </c>
      <c r="Q522" s="2" t="str">
        <f t="array" ref="Q522">IF(NOW()&gt;BB522,"",IF(AND((WEEKDAY($A522)+$B$2)&gt;1,((WEEKDAY($A522)+$T$2)&lt;7),(WEEKDAY($A522)&lt;&gt;1)),"work",(INDEX(Subject!$A:$I,MATCH(RANDBETWEEN(1,(MAX(Subject!$B:$B))),Subject!$B:$B,0),3))))</f>
        <v/>
      </c>
      <c r="R522" s="2" t="str">
        <f t="array" ref="R522">IF(NOW()&gt;BC522,"",IF(AND((WEEKDAY($A522)+$B$2)&gt;1,((WEEKDAY($A522)+$T$2)&lt;7),(WEEKDAY($A522)&lt;&gt;1)),"work",(INDEX(Subject!$A:$I,MATCH(RANDBETWEEN(1,(MAX(Subject!$B:$B))),Subject!$B:$B,0),3))))</f>
        <v/>
      </c>
      <c r="S522" s="2" t="str">
        <f t="array" ref="S522">IF(NOW()&gt;BD522,"",IF(AND((WEEKDAY($A522)+$B$2)&gt;1,((WEEKDAY($A522)+$T$2)&lt;7),(WEEKDAY($A522)&lt;&gt;1)),"work",(INDEX(Subject!$A:$I,MATCH(RANDBETWEEN(1,(MAX(Subject!$B:$B))),Subject!$B:$B,0),3))))</f>
        <v/>
      </c>
      <c r="T522" s="2" t="str">
        <f t="array" ref="T522">IF(NOW()&gt;BE522,"",IF(AND((WEEKDAY($A522)+$B$2)&gt;1,((WEEKDAY($A522)+$T$2)&lt;7),(WEEKDAY($A522)&lt;&gt;1)),"work",(INDEX(Subject!$A:$I,MATCH(RANDBETWEEN(1,(MAX(Subject!$B:$B))),Subject!$B:$B,0),3))))</f>
        <v/>
      </c>
      <c r="U522" s="8" t="str">
        <f t="array" ref="U522">INDEX(Subject!$A:$I,MATCH(RANDBETWEEN(1,16),Subject!$B:$B,0),3)</f>
        <v>#N/A</v>
      </c>
      <c r="V522" s="8" t="str">
        <f t="array" ref="V522">INDEX(Subject!$A:$I,MATCH(RANDBETWEEN(1,16),Subject!$B:$B,0),3)</f>
        <v>#N/A</v>
      </c>
      <c r="W522" s="8" t="str">
        <f t="array" ref="W522">INDEX(Subject!$A:$I,MATCH(RANDBETWEEN(1,16),Subject!$B:$B,0),3)</f>
        <v>#N/A</v>
      </c>
      <c r="X522" s="8" t="str">
        <f t="array" ref="X522">INDEX(Subject!$A:$I,MATCH(RANDBETWEEN(1,16),Subject!$B:$B,0),3)</f>
        <v>#N/A</v>
      </c>
      <c r="Y522" s="8" t="str">
        <f t="array" ref="Y522">INDEX(Subject!$A:$I,MATCH(RANDBETWEEN(1,16),Subject!$B:$B,0),3)</f>
        <v>#N/A</v>
      </c>
      <c r="Z522" s="8" t="str">
        <f t="array" ref="Z522">INDEX(Subject!$A:$I,MATCH(RANDBETWEEN(1,16),Subject!$B:$B,0),3)</f>
        <v>#N/A</v>
      </c>
      <c r="AA522" s="8" t="str">
        <f t="array" ref="AA522">INDEX(Subject!$A:$I,MATCH(RANDBETWEEN(1,16),Subject!$B:$B,0),3)</f>
        <v>#N/A</v>
      </c>
      <c r="AB522" s="8" t="str">
        <f t="array" ref="AB522">INDEX(Subject!$A:$I,MATCH(RANDBETWEEN(1,16),Subject!$B:$B,0),3)</f>
        <v>#N/A</v>
      </c>
      <c r="AC522" s="8" t="str">
        <f t="array" ref="AC522">INDEX(Subject!$A:$I,MATCH(RANDBETWEEN(1,16),Subject!$B:$B,0),3)</f>
        <v>#N/A</v>
      </c>
      <c r="AD522" s="8" t="str">
        <f t="array" ref="AD522">INDEX(Subject!$A:$I,MATCH(RANDBETWEEN(1,16),Subject!$B:$B,0),3)</f>
        <v>#N/A</v>
      </c>
      <c r="AE522" s="8" t="str">
        <f t="array" ref="AE522">INDEX(Subject!$A:$I,MATCH(RANDBETWEEN(1,16),Subject!$B:$B,0),3)</f>
        <v>#N/A</v>
      </c>
      <c r="AF522" s="8" t="str">
        <f t="array" ref="AF522">INDEX(Subject!$A:$I,MATCH(RANDBETWEEN(1,16),Subject!$B:$B,0),3)</f>
        <v>#N/A</v>
      </c>
      <c r="AG522" s="8" t="str">
        <f t="array" ref="AG522">INDEX(Subject!$A:$I,MATCH(RANDBETWEEN(1,16),Subject!$B:$B,0),3)</f>
        <v>#N/A</v>
      </c>
      <c r="AH522" s="8" t="str">
        <f t="array" ref="AH522">INDEX(Subject!$A:$I,MATCH(RANDBETWEEN(1,16),Subject!$B:$B,0),3)</f>
        <v>#N/A</v>
      </c>
      <c r="AI522" s="8" t="str">
        <f t="array" ref="AI522">INDEX(Subject!$A:$I,MATCH(RANDBETWEEN(1,16),Subject!$B:$B,0),3)</f>
        <v>#N/A</v>
      </c>
      <c r="AJ522" s="8" t="str">
        <f t="array" ref="AJ522">INDEX(Subject!$A:$I,MATCH(RANDBETWEEN(1,16),Subject!$B:$B,0),3)</f>
        <v>#N/A</v>
      </c>
      <c r="AK522" s="8" t="str">
        <f t="array" ref="AK522">INDEX(Subject!$A:$I,MATCH(RANDBETWEEN(1,16),Subject!$B:$B,0),3)</f>
        <v>#N/A</v>
      </c>
      <c r="AL522" s="8" t="str">
        <f t="array" ref="AL522">INDEX(Subject!$A:$I,MATCH(RANDBETWEEN(1,16),Subject!$B:$B,0),3)</f>
        <v>#N/A</v>
      </c>
      <c r="AM522" s="18">
        <f t="shared" si="4"/>
        <v>46022.33333</v>
      </c>
      <c r="AN522" s="19">
        <f t="shared" ref="AN522:BZ522" si="522">$A522+C$1</f>
        <v>46022.35417</v>
      </c>
      <c r="AO522" s="19">
        <f t="shared" si="522"/>
        <v>46022.375</v>
      </c>
      <c r="AP522" s="19">
        <f t="shared" si="522"/>
        <v>46022.39583</v>
      </c>
      <c r="AQ522" s="19">
        <f t="shared" si="522"/>
        <v>46022.41667</v>
      </c>
      <c r="AR522" s="19">
        <f t="shared" si="522"/>
        <v>46022.4375</v>
      </c>
      <c r="AS522" s="19">
        <f t="shared" si="522"/>
        <v>46022.45833</v>
      </c>
      <c r="AT522" s="19">
        <f t="shared" si="522"/>
        <v>46022.47917</v>
      </c>
      <c r="AU522" s="19">
        <f t="shared" si="522"/>
        <v>46022.5</v>
      </c>
      <c r="AV522" s="19">
        <f t="shared" si="522"/>
        <v>46022.52083</v>
      </c>
      <c r="AW522" s="19">
        <f t="shared" si="522"/>
        <v>46022.54167</v>
      </c>
      <c r="AX522" s="19">
        <f t="shared" si="522"/>
        <v>46022.5625</v>
      </c>
      <c r="AY522" s="19">
        <f t="shared" si="522"/>
        <v>46022.58333</v>
      </c>
      <c r="AZ522" s="19">
        <f t="shared" si="522"/>
        <v>46022.60417</v>
      </c>
      <c r="BA522" s="19">
        <f t="shared" si="522"/>
        <v>46022.625</v>
      </c>
      <c r="BB522" s="19">
        <f t="shared" si="522"/>
        <v>46022.64583</v>
      </c>
      <c r="BC522" s="19">
        <f t="shared" si="522"/>
        <v>46022.66667</v>
      </c>
      <c r="BD522" s="19">
        <f t="shared" si="522"/>
        <v>46022.6875</v>
      </c>
      <c r="BE522" s="19">
        <f t="shared" si="522"/>
        <v>46022.70833</v>
      </c>
      <c r="BF522" s="19">
        <f t="shared" si="522"/>
        <v>46022.72917</v>
      </c>
      <c r="BG522" s="19">
        <f t="shared" si="522"/>
        <v>46022.75</v>
      </c>
      <c r="BH522" s="19">
        <f t="shared" si="522"/>
        <v>46022.77083</v>
      </c>
      <c r="BI522" s="19">
        <f t="shared" si="522"/>
        <v>46022.79167</v>
      </c>
      <c r="BJ522" s="19">
        <f t="shared" si="522"/>
        <v>46022.8125</v>
      </c>
      <c r="BK522" s="19">
        <f t="shared" si="522"/>
        <v>46022.83333</v>
      </c>
      <c r="BL522" s="19">
        <f t="shared" si="522"/>
        <v>46022.85417</v>
      </c>
      <c r="BM522" s="19">
        <f t="shared" si="522"/>
        <v>46022.875</v>
      </c>
      <c r="BN522" s="19">
        <f t="shared" si="522"/>
        <v>46022.89583</v>
      </c>
      <c r="BO522" s="19">
        <f t="shared" si="522"/>
        <v>46022.91667</v>
      </c>
      <c r="BP522" s="19">
        <f t="shared" si="522"/>
        <v>46022.9375</v>
      </c>
      <c r="BQ522" s="19">
        <f t="shared" si="522"/>
        <v>46022.95833</v>
      </c>
      <c r="BR522" s="19">
        <f t="shared" si="522"/>
        <v>46022.97917</v>
      </c>
      <c r="BS522" s="19">
        <f t="shared" si="522"/>
        <v>46023</v>
      </c>
      <c r="BT522" s="19">
        <f t="shared" si="522"/>
        <v>46023.02083</v>
      </c>
      <c r="BU522" s="19">
        <f t="shared" si="522"/>
        <v>46023.04167</v>
      </c>
      <c r="BV522" s="19">
        <f t="shared" si="522"/>
        <v>46023.0625</v>
      </c>
      <c r="BW522" s="19">
        <f t="shared" si="522"/>
        <v>46023.08333</v>
      </c>
      <c r="BX522" s="19">
        <f t="shared" si="522"/>
        <v>46022</v>
      </c>
      <c r="BY522" s="19">
        <f t="shared" si="522"/>
        <v>46022</v>
      </c>
      <c r="BZ522" s="19">
        <f t="shared" si="522"/>
        <v>46022</v>
      </c>
    </row>
    <row r="523" ht="14.25" customHeight="1">
      <c r="A523" s="17">
        <v>46023.0</v>
      </c>
      <c r="B523" s="2" t="str">
        <f t="array" ref="B523">IF(NOW()&gt;AM523,"",IF(AND((WEEKDAY($A523)+$B$2)&gt;1,((WEEKDAY($A523)+$T$2)&lt;7),(WEEKDAY($A523)&lt;&gt;1)),"work",(INDEX(Subject!$A:$I,MATCH(RANDBETWEEN(1,(MAX(Subject!$B:$B))),Subject!$B:$B,0),3))))</f>
        <v/>
      </c>
      <c r="C523" s="2" t="str">
        <f t="array" ref="C523">IF(NOW()&gt;AN523,"",IF(AND((WEEKDAY($A523)+$B$2)&gt;1,((WEEKDAY($A523)+$T$2)&lt;7),(WEEKDAY($A523)&lt;&gt;1)),"work",(INDEX(Subject!$A:$I,MATCH(RANDBETWEEN(1,(MAX(Subject!$B:$B))),Subject!$B:$B,0),3))))</f>
        <v/>
      </c>
      <c r="D523" s="2" t="str">
        <f t="array" ref="D523">IF(NOW()&gt;AO523,"",IF(AND((WEEKDAY($A523)+$B$2)&gt;1,((WEEKDAY($A523)+$T$2)&lt;7),(WEEKDAY($A523)&lt;&gt;1)),"work",(INDEX(Subject!$A:$I,MATCH(RANDBETWEEN(1,(MAX(Subject!$B:$B))),Subject!$B:$B,0),3))))</f>
        <v/>
      </c>
      <c r="E523" s="2" t="str">
        <f t="array" ref="E523">IF(NOW()&gt;AP523,"",IF(AND((WEEKDAY($A523)+$B$2)&gt;1,((WEEKDAY($A523)+$T$2)&lt;7),(WEEKDAY($A523)&lt;&gt;1)),"work",(INDEX(Subject!$A:$I,MATCH(RANDBETWEEN(1,(MAX(Subject!$B:$B))),Subject!$B:$B,0),3))))</f>
        <v/>
      </c>
      <c r="F523" s="2" t="str">
        <f t="array" ref="F523">IF(NOW()&gt;AQ523,"",IF(AND((WEEKDAY($A523)+$B$2)&gt;1,((WEEKDAY($A523)+$T$2)&lt;7),(WEEKDAY($A523)&lt;&gt;1)),"work",(INDEX(Subject!$A:$I,MATCH(RANDBETWEEN(1,(MAX(Subject!$B:$B))),Subject!$B:$B,0),3))))</f>
        <v/>
      </c>
      <c r="G523" s="2" t="str">
        <f t="array" ref="G523">IF(NOW()&gt;AR523,"",IF(AND((WEEKDAY($A523)+$B$2)&gt;1,((WEEKDAY($A523)+$T$2)&lt;7),(WEEKDAY($A523)&lt;&gt;1)),"work",(INDEX(Subject!$A:$I,MATCH(RANDBETWEEN(1,(MAX(Subject!$B:$B))),Subject!$B:$B,0),3))))</f>
        <v/>
      </c>
      <c r="H523" s="2" t="str">
        <f t="array" ref="H523">IF(NOW()&gt;AS523,"",IF(AND((WEEKDAY($A523)+$B$2)&gt;1,((WEEKDAY($A523)+$T$2)&lt;7),(WEEKDAY($A523)&lt;&gt;1)),"work",(INDEX(Subject!$A:$I,MATCH(RANDBETWEEN(1,(MAX(Subject!$B:$B))),Subject!$B:$B,0),3))))</f>
        <v/>
      </c>
      <c r="I523" s="2" t="str">
        <f t="array" ref="I523">IF(NOW()&gt;AT523,"",IF(AND((WEEKDAY($A523)+$B$2)&gt;1,((WEEKDAY($A523)+$T$2)&lt;7),(WEEKDAY($A523)&lt;&gt;1)),"work",(INDEX(Subject!$A:$I,MATCH(RANDBETWEEN(1,(MAX(Subject!$B:$B))),Subject!$B:$B,0),3))))</f>
        <v/>
      </c>
      <c r="J523" s="2" t="str">
        <f t="array" ref="J523">IF(NOW()&gt;AU523,"",IF(AND((WEEKDAY($A523)+$B$2)&gt;1,((WEEKDAY($A523)+$T$2)&lt;7),(WEEKDAY($A523)&lt;&gt;1)),"work",(INDEX(Subject!$A:$I,MATCH(RANDBETWEEN(1,(MAX(Subject!$B:$B))),Subject!$B:$B,0),3))))</f>
        <v/>
      </c>
      <c r="K523" s="2" t="str">
        <f t="array" ref="K523">IF(NOW()&gt;AV523,"",IF(AND((WEEKDAY($A523)+$B$2)&gt;1,((WEEKDAY($A523)+$T$2)&lt;7),(WEEKDAY($A523)&lt;&gt;1)),"work",(INDEX(Subject!$A:$I,MATCH(RANDBETWEEN(1,(MAX(Subject!$B:$B))),Subject!$B:$B,0),3))))</f>
        <v/>
      </c>
      <c r="L523" s="2" t="str">
        <f t="array" ref="L523">IF(NOW()&gt;AW523,"",IF(AND((WEEKDAY($A523)+$B$2)&gt;1,((WEEKDAY($A523)+$T$2)&lt;7),(WEEKDAY($A523)&lt;&gt;1)),"work",(INDEX(Subject!$A:$I,MATCH(RANDBETWEEN(1,(MAX(Subject!$B:$B))),Subject!$B:$B,0),3))))</f>
        <v/>
      </c>
      <c r="M523" s="2" t="str">
        <f t="array" ref="M523">IF(NOW()&gt;AX523,"",IF(AND((WEEKDAY($A523)+$B$2)&gt;1,((WEEKDAY($A523)+$T$2)&lt;7),(WEEKDAY($A523)&lt;&gt;1)),"work",(INDEX(Subject!$A:$I,MATCH(RANDBETWEEN(1,(MAX(Subject!$B:$B))),Subject!$B:$B,0),3))))</f>
        <v/>
      </c>
      <c r="N523" s="2" t="str">
        <f t="array" ref="N523">IF(NOW()&gt;AY523,"",IF(AND((WEEKDAY($A523)+$B$2)&gt;1,((WEEKDAY($A523)+$T$2)&lt;7),(WEEKDAY($A523)&lt;&gt;1)),"work",(INDEX(Subject!$A:$I,MATCH(RANDBETWEEN(1,(MAX(Subject!$B:$B))),Subject!$B:$B,0),3))))</f>
        <v/>
      </c>
      <c r="O523" s="2" t="str">
        <f t="array" ref="O523">IF(NOW()&gt;AZ523,"",IF(AND((WEEKDAY($A523)+$B$2)&gt;1,((WEEKDAY($A523)+$T$2)&lt;7),(WEEKDAY($A523)&lt;&gt;1)),"work",(INDEX(Subject!$A:$I,MATCH(RANDBETWEEN(1,(MAX(Subject!$B:$B))),Subject!$B:$B,0),3))))</f>
        <v/>
      </c>
      <c r="P523" s="2" t="str">
        <f t="array" ref="P523">IF(NOW()&gt;BA523,"",IF(AND((WEEKDAY($A523)+$B$2)&gt;1,((WEEKDAY($A523)+$T$2)&lt;7),(WEEKDAY($A523)&lt;&gt;1)),"work",(INDEX(Subject!$A:$I,MATCH(RANDBETWEEN(1,(MAX(Subject!$B:$B))),Subject!$B:$B,0),3))))</f>
        <v/>
      </c>
      <c r="Q523" s="2" t="str">
        <f t="array" ref="Q523">IF(NOW()&gt;BB523,"",IF(AND((WEEKDAY($A523)+$B$2)&gt;1,((WEEKDAY($A523)+$T$2)&lt;7),(WEEKDAY($A523)&lt;&gt;1)),"work",(INDEX(Subject!$A:$I,MATCH(RANDBETWEEN(1,(MAX(Subject!$B:$B))),Subject!$B:$B,0),3))))</f>
        <v/>
      </c>
      <c r="R523" s="2" t="str">
        <f t="array" ref="R523">IF(NOW()&gt;BC523,"",IF(AND((WEEKDAY($A523)+$B$2)&gt;1,((WEEKDAY($A523)+$T$2)&lt;7),(WEEKDAY($A523)&lt;&gt;1)),"work",(INDEX(Subject!$A:$I,MATCH(RANDBETWEEN(1,(MAX(Subject!$B:$B))),Subject!$B:$B,0),3))))</f>
        <v/>
      </c>
      <c r="S523" s="2" t="str">
        <f t="array" ref="S523">IF(NOW()&gt;BD523,"",IF(AND((WEEKDAY($A523)+$B$2)&gt;1,((WEEKDAY($A523)+$T$2)&lt;7),(WEEKDAY($A523)&lt;&gt;1)),"work",(INDEX(Subject!$A:$I,MATCH(RANDBETWEEN(1,(MAX(Subject!$B:$B))),Subject!$B:$B,0),3))))</f>
        <v/>
      </c>
      <c r="T523" s="2" t="str">
        <f t="array" ref="T523">IF(NOW()&gt;BE523,"",IF(AND((WEEKDAY($A523)+$B$2)&gt;1,((WEEKDAY($A523)+$T$2)&lt;7),(WEEKDAY($A523)&lt;&gt;1)),"work",(INDEX(Subject!$A:$I,MATCH(RANDBETWEEN(1,(MAX(Subject!$B:$B))),Subject!$B:$B,0),3))))</f>
        <v/>
      </c>
      <c r="U523" s="8" t="str">
        <f t="array" ref="U523">INDEX(Subject!$A:$I,MATCH(RANDBETWEEN(1,16),Subject!$B:$B,0),3)</f>
        <v>#N/A</v>
      </c>
      <c r="V523" s="8" t="str">
        <f t="array" ref="V523">INDEX(Subject!$A:$I,MATCH(RANDBETWEEN(1,16),Subject!$B:$B,0),3)</f>
        <v>#N/A</v>
      </c>
      <c r="W523" s="8" t="str">
        <f t="array" ref="W523">INDEX(Subject!$A:$I,MATCH(RANDBETWEEN(1,16),Subject!$B:$B,0),3)</f>
        <v/>
      </c>
      <c r="X523" s="8" t="str">
        <f t="array" ref="X523">INDEX(Subject!$A:$I,MATCH(RANDBETWEEN(1,16),Subject!$B:$B,0),3)</f>
        <v>#N/A</v>
      </c>
      <c r="Y523" s="8" t="str">
        <f t="array" ref="Y523">INDEX(Subject!$A:$I,MATCH(RANDBETWEEN(1,16),Subject!$B:$B,0),3)</f>
        <v>#N/A</v>
      </c>
      <c r="Z523" s="8" t="str">
        <f t="array" ref="Z523">INDEX(Subject!$A:$I,MATCH(RANDBETWEEN(1,16),Subject!$B:$B,0),3)</f>
        <v>#N/A</v>
      </c>
      <c r="AA523" s="8" t="str">
        <f t="array" ref="AA523">INDEX(Subject!$A:$I,MATCH(RANDBETWEEN(1,16),Subject!$B:$B,0),3)</f>
        <v>#N/A</v>
      </c>
      <c r="AB523" s="8" t="str">
        <f t="array" ref="AB523">INDEX(Subject!$A:$I,MATCH(RANDBETWEEN(1,16),Subject!$B:$B,0),3)</f>
        <v>#N/A</v>
      </c>
      <c r="AC523" s="8" t="str">
        <f t="array" ref="AC523">INDEX(Subject!$A:$I,MATCH(RANDBETWEEN(1,16),Subject!$B:$B,0),3)</f>
        <v>#N/A</v>
      </c>
      <c r="AD523" s="8" t="str">
        <f t="array" ref="AD523">INDEX(Subject!$A:$I,MATCH(RANDBETWEEN(1,16),Subject!$B:$B,0),3)</f>
        <v/>
      </c>
      <c r="AE523" s="8" t="str">
        <f t="array" ref="AE523">INDEX(Subject!$A:$I,MATCH(RANDBETWEEN(1,16),Subject!$B:$B,0),3)</f>
        <v>#N/A</v>
      </c>
      <c r="AF523" s="8" t="str">
        <f t="array" ref="AF523">INDEX(Subject!$A:$I,MATCH(RANDBETWEEN(1,16),Subject!$B:$B,0),3)</f>
        <v>#N/A</v>
      </c>
      <c r="AG523" s="8" t="str">
        <f t="array" ref="AG523">INDEX(Subject!$A:$I,MATCH(RANDBETWEEN(1,16),Subject!$B:$B,0),3)</f>
        <v>#N/A</v>
      </c>
      <c r="AH523" s="8" t="str">
        <f t="array" ref="AH523">INDEX(Subject!$A:$I,MATCH(RANDBETWEEN(1,16),Subject!$B:$B,0),3)</f>
        <v>#N/A</v>
      </c>
      <c r="AI523" s="8" t="str">
        <f t="array" ref="AI523">INDEX(Subject!$A:$I,MATCH(RANDBETWEEN(1,16),Subject!$B:$B,0),3)</f>
        <v>#N/A</v>
      </c>
      <c r="AJ523" s="8" t="str">
        <f t="array" ref="AJ523">INDEX(Subject!$A:$I,MATCH(RANDBETWEEN(1,16),Subject!$B:$B,0),3)</f>
        <v>#N/A</v>
      </c>
      <c r="AK523" s="8" t="str">
        <f t="array" ref="AK523">INDEX(Subject!$A:$I,MATCH(RANDBETWEEN(1,16),Subject!$B:$B,0),3)</f>
        <v>#N/A</v>
      </c>
      <c r="AL523" s="8" t="str">
        <f t="array" ref="AL523">INDEX(Subject!$A:$I,MATCH(RANDBETWEEN(1,16),Subject!$B:$B,0),3)</f>
        <v/>
      </c>
      <c r="AM523" s="18">
        <f t="shared" si="4"/>
        <v>46023.33333</v>
      </c>
      <c r="AN523" s="19">
        <f t="shared" ref="AN523:BZ523" si="523">$A523+C$1</f>
        <v>46023.35417</v>
      </c>
      <c r="AO523" s="19">
        <f t="shared" si="523"/>
        <v>46023.375</v>
      </c>
      <c r="AP523" s="19">
        <f t="shared" si="523"/>
        <v>46023.39583</v>
      </c>
      <c r="AQ523" s="19">
        <f t="shared" si="523"/>
        <v>46023.41667</v>
      </c>
      <c r="AR523" s="19">
        <f t="shared" si="523"/>
        <v>46023.4375</v>
      </c>
      <c r="AS523" s="19">
        <f t="shared" si="523"/>
        <v>46023.45833</v>
      </c>
      <c r="AT523" s="19">
        <f t="shared" si="523"/>
        <v>46023.47917</v>
      </c>
      <c r="AU523" s="19">
        <f t="shared" si="523"/>
        <v>46023.5</v>
      </c>
      <c r="AV523" s="19">
        <f t="shared" si="523"/>
        <v>46023.52083</v>
      </c>
      <c r="AW523" s="19">
        <f t="shared" si="523"/>
        <v>46023.54167</v>
      </c>
      <c r="AX523" s="19">
        <f t="shared" si="523"/>
        <v>46023.5625</v>
      </c>
      <c r="AY523" s="19">
        <f t="shared" si="523"/>
        <v>46023.58333</v>
      </c>
      <c r="AZ523" s="19">
        <f t="shared" si="523"/>
        <v>46023.60417</v>
      </c>
      <c r="BA523" s="19">
        <f t="shared" si="523"/>
        <v>46023.625</v>
      </c>
      <c r="BB523" s="19">
        <f t="shared" si="523"/>
        <v>46023.64583</v>
      </c>
      <c r="BC523" s="19">
        <f t="shared" si="523"/>
        <v>46023.66667</v>
      </c>
      <c r="BD523" s="19">
        <f t="shared" si="523"/>
        <v>46023.6875</v>
      </c>
      <c r="BE523" s="19">
        <f t="shared" si="523"/>
        <v>46023.70833</v>
      </c>
      <c r="BF523" s="19">
        <f t="shared" si="523"/>
        <v>46023.72917</v>
      </c>
      <c r="BG523" s="19">
        <f t="shared" si="523"/>
        <v>46023.75</v>
      </c>
      <c r="BH523" s="19">
        <f t="shared" si="523"/>
        <v>46023.77083</v>
      </c>
      <c r="BI523" s="19">
        <f t="shared" si="523"/>
        <v>46023.79167</v>
      </c>
      <c r="BJ523" s="19">
        <f t="shared" si="523"/>
        <v>46023.8125</v>
      </c>
      <c r="BK523" s="19">
        <f t="shared" si="523"/>
        <v>46023.83333</v>
      </c>
      <c r="BL523" s="19">
        <f t="shared" si="523"/>
        <v>46023.85417</v>
      </c>
      <c r="BM523" s="19">
        <f t="shared" si="523"/>
        <v>46023.875</v>
      </c>
      <c r="BN523" s="19">
        <f t="shared" si="523"/>
        <v>46023.89583</v>
      </c>
      <c r="BO523" s="19">
        <f t="shared" si="523"/>
        <v>46023.91667</v>
      </c>
      <c r="BP523" s="19">
        <f t="shared" si="523"/>
        <v>46023.9375</v>
      </c>
      <c r="BQ523" s="19">
        <f t="shared" si="523"/>
        <v>46023.95833</v>
      </c>
      <c r="BR523" s="19">
        <f t="shared" si="523"/>
        <v>46023.97917</v>
      </c>
      <c r="BS523" s="19">
        <f t="shared" si="523"/>
        <v>46024</v>
      </c>
      <c r="BT523" s="19">
        <f t="shared" si="523"/>
        <v>46024.02083</v>
      </c>
      <c r="BU523" s="19">
        <f t="shared" si="523"/>
        <v>46024.04167</v>
      </c>
      <c r="BV523" s="19">
        <f t="shared" si="523"/>
        <v>46024.0625</v>
      </c>
      <c r="BW523" s="19">
        <f t="shared" si="523"/>
        <v>46024.08333</v>
      </c>
      <c r="BX523" s="19">
        <f t="shared" si="523"/>
        <v>46023</v>
      </c>
      <c r="BY523" s="19">
        <f t="shared" si="523"/>
        <v>46023</v>
      </c>
      <c r="BZ523" s="19">
        <f t="shared" si="523"/>
        <v>46023</v>
      </c>
    </row>
    <row r="524" ht="14.25" customHeight="1">
      <c r="A524" s="17">
        <v>46024.0</v>
      </c>
      <c r="B524" s="2" t="str">
        <f t="array" ref="B524">IF(NOW()&gt;AM524,"",IF(AND((WEEKDAY($A524)+$B$2)&gt;1,((WEEKDAY($A524)+$T$2)&lt;7),(WEEKDAY($A524)&lt;&gt;1)),"work",(INDEX(Subject!$A:$I,MATCH(RANDBETWEEN(1,(MAX(Subject!$B:$B))),Subject!$B:$B,0),3))))</f>
        <v/>
      </c>
      <c r="C524" s="2" t="str">
        <f t="array" ref="C524">IF(NOW()&gt;AN524,"",IF(AND((WEEKDAY($A524)+$B$2)&gt;1,((WEEKDAY($A524)+$T$2)&lt;7),(WEEKDAY($A524)&lt;&gt;1)),"work",(INDEX(Subject!$A:$I,MATCH(RANDBETWEEN(1,(MAX(Subject!$B:$B))),Subject!$B:$B,0),3))))</f>
        <v/>
      </c>
      <c r="D524" s="2" t="str">
        <f t="array" ref="D524">IF(NOW()&gt;AO524,"",IF(AND((WEEKDAY($A524)+$B$2)&gt;1,((WEEKDAY($A524)+$T$2)&lt;7),(WEEKDAY($A524)&lt;&gt;1)),"work",(INDEX(Subject!$A:$I,MATCH(RANDBETWEEN(1,(MAX(Subject!$B:$B))),Subject!$B:$B,0),3))))</f>
        <v/>
      </c>
      <c r="E524" s="2" t="str">
        <f t="array" ref="E524">IF(NOW()&gt;AP524,"",IF(AND((WEEKDAY($A524)+$B$2)&gt;1,((WEEKDAY($A524)+$T$2)&lt;7),(WEEKDAY($A524)&lt;&gt;1)),"work",(INDEX(Subject!$A:$I,MATCH(RANDBETWEEN(1,(MAX(Subject!$B:$B))),Subject!$B:$B,0),3))))</f>
        <v/>
      </c>
      <c r="F524" s="2" t="str">
        <f t="array" ref="F524">IF(NOW()&gt;AQ524,"",IF(AND((WEEKDAY($A524)+$B$2)&gt;1,((WEEKDAY($A524)+$T$2)&lt;7),(WEEKDAY($A524)&lt;&gt;1)),"work",(INDEX(Subject!$A:$I,MATCH(RANDBETWEEN(1,(MAX(Subject!$B:$B))),Subject!$B:$B,0),3))))</f>
        <v/>
      </c>
      <c r="G524" s="2" t="str">
        <f t="array" ref="G524">IF(NOW()&gt;AR524,"",IF(AND((WEEKDAY($A524)+$B$2)&gt;1,((WEEKDAY($A524)+$T$2)&lt;7),(WEEKDAY($A524)&lt;&gt;1)),"work",(INDEX(Subject!$A:$I,MATCH(RANDBETWEEN(1,(MAX(Subject!$B:$B))),Subject!$B:$B,0),3))))</f>
        <v/>
      </c>
      <c r="H524" s="2" t="str">
        <f t="array" ref="H524">IF(NOW()&gt;AS524,"",IF(AND((WEEKDAY($A524)+$B$2)&gt;1,((WEEKDAY($A524)+$T$2)&lt;7),(WEEKDAY($A524)&lt;&gt;1)),"work",(INDEX(Subject!$A:$I,MATCH(RANDBETWEEN(1,(MAX(Subject!$B:$B))),Subject!$B:$B,0),3))))</f>
        <v/>
      </c>
      <c r="I524" s="2" t="str">
        <f t="array" ref="I524">IF(NOW()&gt;AT524,"",IF(AND((WEEKDAY($A524)+$B$2)&gt;1,((WEEKDAY($A524)+$T$2)&lt;7),(WEEKDAY($A524)&lt;&gt;1)),"work",(INDEX(Subject!$A:$I,MATCH(RANDBETWEEN(1,(MAX(Subject!$B:$B))),Subject!$B:$B,0),3))))</f>
        <v/>
      </c>
      <c r="J524" s="2" t="str">
        <f t="array" ref="J524">IF(NOW()&gt;AU524,"",IF(AND((WEEKDAY($A524)+$B$2)&gt;1,((WEEKDAY($A524)+$T$2)&lt;7),(WEEKDAY($A524)&lt;&gt;1)),"work",(INDEX(Subject!$A:$I,MATCH(RANDBETWEEN(1,(MAX(Subject!$B:$B))),Subject!$B:$B,0),3))))</f>
        <v/>
      </c>
      <c r="K524" s="2" t="str">
        <f t="array" ref="K524">IF(NOW()&gt;AV524,"",IF(AND((WEEKDAY($A524)+$B$2)&gt;1,((WEEKDAY($A524)+$T$2)&lt;7),(WEEKDAY($A524)&lt;&gt;1)),"work",(INDEX(Subject!$A:$I,MATCH(RANDBETWEEN(1,(MAX(Subject!$B:$B))),Subject!$B:$B,0),3))))</f>
        <v/>
      </c>
      <c r="L524" s="2" t="str">
        <f t="array" ref="L524">IF(NOW()&gt;AW524,"",IF(AND((WEEKDAY($A524)+$B$2)&gt;1,((WEEKDAY($A524)+$T$2)&lt;7),(WEEKDAY($A524)&lt;&gt;1)),"work",(INDEX(Subject!$A:$I,MATCH(RANDBETWEEN(1,(MAX(Subject!$B:$B))),Subject!$B:$B,0),3))))</f>
        <v/>
      </c>
      <c r="M524" s="2" t="str">
        <f t="array" ref="M524">IF(NOW()&gt;AX524,"",IF(AND((WEEKDAY($A524)+$B$2)&gt;1,((WEEKDAY($A524)+$T$2)&lt;7),(WEEKDAY($A524)&lt;&gt;1)),"work",(INDEX(Subject!$A:$I,MATCH(RANDBETWEEN(1,(MAX(Subject!$B:$B))),Subject!$B:$B,0),3))))</f>
        <v/>
      </c>
      <c r="N524" s="2" t="str">
        <f t="array" ref="N524">IF(NOW()&gt;AY524,"",IF(AND((WEEKDAY($A524)+$B$2)&gt;1,((WEEKDAY($A524)+$T$2)&lt;7),(WEEKDAY($A524)&lt;&gt;1)),"work",(INDEX(Subject!$A:$I,MATCH(RANDBETWEEN(1,(MAX(Subject!$B:$B))),Subject!$B:$B,0),3))))</f>
        <v/>
      </c>
      <c r="O524" s="2" t="str">
        <f t="array" ref="O524">IF(NOW()&gt;AZ524,"",IF(AND((WEEKDAY($A524)+$B$2)&gt;1,((WEEKDAY($A524)+$T$2)&lt;7),(WEEKDAY($A524)&lt;&gt;1)),"work",(INDEX(Subject!$A:$I,MATCH(RANDBETWEEN(1,(MAX(Subject!$B:$B))),Subject!$B:$B,0),3))))</f>
        <v/>
      </c>
      <c r="P524" s="2" t="str">
        <f t="array" ref="P524">IF(NOW()&gt;BA524,"",IF(AND((WEEKDAY($A524)+$B$2)&gt;1,((WEEKDAY($A524)+$T$2)&lt;7),(WEEKDAY($A524)&lt;&gt;1)),"work",(INDEX(Subject!$A:$I,MATCH(RANDBETWEEN(1,(MAX(Subject!$B:$B))),Subject!$B:$B,0),3))))</f>
        <v/>
      </c>
      <c r="Q524" s="2" t="str">
        <f t="array" ref="Q524">IF(NOW()&gt;BB524,"",IF(AND((WEEKDAY($A524)+$B$2)&gt;1,((WEEKDAY($A524)+$T$2)&lt;7),(WEEKDAY($A524)&lt;&gt;1)),"work",(INDEX(Subject!$A:$I,MATCH(RANDBETWEEN(1,(MAX(Subject!$B:$B))),Subject!$B:$B,0),3))))</f>
        <v/>
      </c>
      <c r="R524" s="2" t="str">
        <f t="array" ref="R524">IF(NOW()&gt;BC524,"",IF(AND((WEEKDAY($A524)+$B$2)&gt;1,((WEEKDAY($A524)+$T$2)&lt;7),(WEEKDAY($A524)&lt;&gt;1)),"work",(INDEX(Subject!$A:$I,MATCH(RANDBETWEEN(1,(MAX(Subject!$B:$B))),Subject!$B:$B,0),3))))</f>
        <v/>
      </c>
      <c r="S524" s="2" t="str">
        <f t="array" ref="S524">IF(NOW()&gt;BD524,"",IF(AND((WEEKDAY($A524)+$B$2)&gt;1,((WEEKDAY($A524)+$T$2)&lt;7),(WEEKDAY($A524)&lt;&gt;1)),"work",(INDEX(Subject!$A:$I,MATCH(RANDBETWEEN(1,(MAX(Subject!$B:$B))),Subject!$B:$B,0),3))))</f>
        <v/>
      </c>
      <c r="T524" s="2" t="str">
        <f t="array" ref="T524">IF(NOW()&gt;BE524,"",IF(AND((WEEKDAY($A524)+$B$2)&gt;1,((WEEKDAY($A524)+$T$2)&lt;7),(WEEKDAY($A524)&lt;&gt;1)),"work",(INDEX(Subject!$A:$I,MATCH(RANDBETWEEN(1,(MAX(Subject!$B:$B))),Subject!$B:$B,0),3))))</f>
        <v/>
      </c>
      <c r="U524" s="8" t="str">
        <f t="array" ref="U524">INDEX(Subject!$A:$I,MATCH(RANDBETWEEN(1,16),Subject!$B:$B,0),3)</f>
        <v>#N/A</v>
      </c>
      <c r="V524" s="8" t="str">
        <f t="array" ref="V524">INDEX(Subject!$A:$I,MATCH(RANDBETWEEN(1,16),Subject!$B:$B,0),3)</f>
        <v>#N/A</v>
      </c>
      <c r="W524" s="8" t="str">
        <f t="array" ref="W524">INDEX(Subject!$A:$I,MATCH(RANDBETWEEN(1,16),Subject!$B:$B,0),3)</f>
        <v>#N/A</v>
      </c>
      <c r="X524" s="8" t="str">
        <f t="array" ref="X524">INDEX(Subject!$A:$I,MATCH(RANDBETWEEN(1,16),Subject!$B:$B,0),3)</f>
        <v>#N/A</v>
      </c>
      <c r="Y524" s="8" t="str">
        <f t="array" ref="Y524">INDEX(Subject!$A:$I,MATCH(RANDBETWEEN(1,16),Subject!$B:$B,0),3)</f>
        <v>#N/A</v>
      </c>
      <c r="Z524" s="8" t="str">
        <f t="array" ref="Z524">INDEX(Subject!$A:$I,MATCH(RANDBETWEEN(1,16),Subject!$B:$B,0),3)</f>
        <v>#N/A</v>
      </c>
      <c r="AA524" s="8" t="str">
        <f t="array" ref="AA524">INDEX(Subject!$A:$I,MATCH(RANDBETWEEN(1,16),Subject!$B:$B,0),3)</f>
        <v>#N/A</v>
      </c>
      <c r="AB524" s="8" t="str">
        <f t="array" ref="AB524">INDEX(Subject!$A:$I,MATCH(RANDBETWEEN(1,16),Subject!$B:$B,0),3)</f>
        <v>#N/A</v>
      </c>
      <c r="AC524" s="8" t="str">
        <f t="array" ref="AC524">INDEX(Subject!$A:$I,MATCH(RANDBETWEEN(1,16),Subject!$B:$B,0),3)</f>
        <v>#N/A</v>
      </c>
      <c r="AD524" s="8" t="str">
        <f t="array" ref="AD524">INDEX(Subject!$A:$I,MATCH(RANDBETWEEN(1,16),Subject!$B:$B,0),3)</f>
        <v>#N/A</v>
      </c>
      <c r="AE524" s="8" t="str">
        <f t="array" ref="AE524">INDEX(Subject!$A:$I,MATCH(RANDBETWEEN(1,16),Subject!$B:$B,0),3)</f>
        <v>#N/A</v>
      </c>
      <c r="AF524" s="8" t="str">
        <f t="array" ref="AF524">INDEX(Subject!$A:$I,MATCH(RANDBETWEEN(1,16),Subject!$B:$B,0),3)</f>
        <v>#N/A</v>
      </c>
      <c r="AG524" s="8" t="str">
        <f t="array" ref="AG524">INDEX(Subject!$A:$I,MATCH(RANDBETWEEN(1,16),Subject!$B:$B,0),3)</f>
        <v>#N/A</v>
      </c>
      <c r="AH524" s="8" t="str">
        <f t="array" ref="AH524">INDEX(Subject!$A:$I,MATCH(RANDBETWEEN(1,16),Subject!$B:$B,0),3)</f>
        <v>#N/A</v>
      </c>
      <c r="AI524" s="8" t="str">
        <f t="array" ref="AI524">INDEX(Subject!$A:$I,MATCH(RANDBETWEEN(1,16),Subject!$B:$B,0),3)</f>
        <v>#N/A</v>
      </c>
      <c r="AJ524" s="8" t="str">
        <f t="array" ref="AJ524">INDEX(Subject!$A:$I,MATCH(RANDBETWEEN(1,16),Subject!$B:$B,0),3)</f>
        <v>#N/A</v>
      </c>
      <c r="AK524" s="8" t="str">
        <f t="array" ref="AK524">INDEX(Subject!$A:$I,MATCH(RANDBETWEEN(1,16),Subject!$B:$B,0),3)</f>
        <v>#N/A</v>
      </c>
      <c r="AL524" s="8" t="str">
        <f t="array" ref="AL524">INDEX(Subject!$A:$I,MATCH(RANDBETWEEN(1,16),Subject!$B:$B,0),3)</f>
        <v>#N/A</v>
      </c>
      <c r="AM524" s="18">
        <f t="shared" si="4"/>
        <v>46024.33333</v>
      </c>
      <c r="AN524" s="19">
        <f t="shared" ref="AN524:BZ524" si="524">$A524+C$1</f>
        <v>46024.35417</v>
      </c>
      <c r="AO524" s="19">
        <f t="shared" si="524"/>
        <v>46024.375</v>
      </c>
      <c r="AP524" s="19">
        <f t="shared" si="524"/>
        <v>46024.39583</v>
      </c>
      <c r="AQ524" s="19">
        <f t="shared" si="524"/>
        <v>46024.41667</v>
      </c>
      <c r="AR524" s="19">
        <f t="shared" si="524"/>
        <v>46024.4375</v>
      </c>
      <c r="AS524" s="19">
        <f t="shared" si="524"/>
        <v>46024.45833</v>
      </c>
      <c r="AT524" s="19">
        <f t="shared" si="524"/>
        <v>46024.47917</v>
      </c>
      <c r="AU524" s="19">
        <f t="shared" si="524"/>
        <v>46024.5</v>
      </c>
      <c r="AV524" s="19">
        <f t="shared" si="524"/>
        <v>46024.52083</v>
      </c>
      <c r="AW524" s="19">
        <f t="shared" si="524"/>
        <v>46024.54167</v>
      </c>
      <c r="AX524" s="19">
        <f t="shared" si="524"/>
        <v>46024.5625</v>
      </c>
      <c r="AY524" s="19">
        <f t="shared" si="524"/>
        <v>46024.58333</v>
      </c>
      <c r="AZ524" s="19">
        <f t="shared" si="524"/>
        <v>46024.60417</v>
      </c>
      <c r="BA524" s="19">
        <f t="shared" si="524"/>
        <v>46024.625</v>
      </c>
      <c r="BB524" s="19">
        <f t="shared" si="524"/>
        <v>46024.64583</v>
      </c>
      <c r="BC524" s="19">
        <f t="shared" si="524"/>
        <v>46024.66667</v>
      </c>
      <c r="BD524" s="19">
        <f t="shared" si="524"/>
        <v>46024.6875</v>
      </c>
      <c r="BE524" s="19">
        <f t="shared" si="524"/>
        <v>46024.70833</v>
      </c>
      <c r="BF524" s="19">
        <f t="shared" si="524"/>
        <v>46024.72917</v>
      </c>
      <c r="BG524" s="19">
        <f t="shared" si="524"/>
        <v>46024.75</v>
      </c>
      <c r="BH524" s="19">
        <f t="shared" si="524"/>
        <v>46024.77083</v>
      </c>
      <c r="BI524" s="19">
        <f t="shared" si="524"/>
        <v>46024.79167</v>
      </c>
      <c r="BJ524" s="19">
        <f t="shared" si="524"/>
        <v>46024.8125</v>
      </c>
      <c r="BK524" s="19">
        <f t="shared" si="524"/>
        <v>46024.83333</v>
      </c>
      <c r="BL524" s="19">
        <f t="shared" si="524"/>
        <v>46024.85417</v>
      </c>
      <c r="BM524" s="19">
        <f t="shared" si="524"/>
        <v>46024.875</v>
      </c>
      <c r="BN524" s="19">
        <f t="shared" si="524"/>
        <v>46024.89583</v>
      </c>
      <c r="BO524" s="19">
        <f t="shared" si="524"/>
        <v>46024.91667</v>
      </c>
      <c r="BP524" s="19">
        <f t="shared" si="524"/>
        <v>46024.9375</v>
      </c>
      <c r="BQ524" s="19">
        <f t="shared" si="524"/>
        <v>46024.95833</v>
      </c>
      <c r="BR524" s="19">
        <f t="shared" si="524"/>
        <v>46024.97917</v>
      </c>
      <c r="BS524" s="19">
        <f t="shared" si="524"/>
        <v>46025</v>
      </c>
      <c r="BT524" s="19">
        <f t="shared" si="524"/>
        <v>46025.02083</v>
      </c>
      <c r="BU524" s="19">
        <f t="shared" si="524"/>
        <v>46025.04167</v>
      </c>
      <c r="BV524" s="19">
        <f t="shared" si="524"/>
        <v>46025.0625</v>
      </c>
      <c r="BW524" s="19">
        <f t="shared" si="524"/>
        <v>46025.08333</v>
      </c>
      <c r="BX524" s="19">
        <f t="shared" si="524"/>
        <v>46024</v>
      </c>
      <c r="BY524" s="19">
        <f t="shared" si="524"/>
        <v>46024</v>
      </c>
      <c r="BZ524" s="19">
        <f t="shared" si="524"/>
        <v>46024</v>
      </c>
    </row>
    <row r="525" ht="14.25" customHeight="1">
      <c r="A525" s="17">
        <v>46025.0</v>
      </c>
      <c r="B525" s="2" t="str">
        <f t="array" ref="B525">IF(NOW()&gt;AM525,"",IF(AND((WEEKDAY($A525)+$B$2)&gt;1,((WEEKDAY($A525)+$T$2)&lt;7),(WEEKDAY($A525)&lt;&gt;1)),"work",(INDEX(Subject!$A:$I,MATCH(RANDBETWEEN(1,(MAX(Subject!$B:$B))),Subject!$B:$B,0),3))))</f>
        <v/>
      </c>
      <c r="C525" s="2" t="str">
        <f t="array" ref="C525">IF(NOW()&gt;AN525,"",IF(AND((WEEKDAY($A525)+$B$2)&gt;1,((WEEKDAY($A525)+$T$2)&lt;7),(WEEKDAY($A525)&lt;&gt;1)),"work",(INDEX(Subject!$A:$I,MATCH(RANDBETWEEN(1,(MAX(Subject!$B:$B))),Subject!$B:$B,0),3))))</f>
        <v/>
      </c>
      <c r="D525" s="2" t="str">
        <f t="array" ref="D525">IF(NOW()&gt;AO525,"",IF(AND((WEEKDAY($A525)+$B$2)&gt;1,((WEEKDAY($A525)+$T$2)&lt;7),(WEEKDAY($A525)&lt;&gt;1)),"work",(INDEX(Subject!$A:$I,MATCH(RANDBETWEEN(1,(MAX(Subject!$B:$B))),Subject!$B:$B,0),3))))</f>
        <v/>
      </c>
      <c r="E525" s="2" t="str">
        <f t="array" ref="E525">IF(NOW()&gt;AP525,"",IF(AND((WEEKDAY($A525)+$B$2)&gt;1,((WEEKDAY($A525)+$T$2)&lt;7),(WEEKDAY($A525)&lt;&gt;1)),"work",(INDEX(Subject!$A:$I,MATCH(RANDBETWEEN(1,(MAX(Subject!$B:$B))),Subject!$B:$B,0),3))))</f>
        <v/>
      </c>
      <c r="F525" s="2" t="str">
        <f t="array" ref="F525">IF(NOW()&gt;AQ525,"",IF(AND((WEEKDAY($A525)+$B$2)&gt;1,((WEEKDAY($A525)+$T$2)&lt;7),(WEEKDAY($A525)&lt;&gt;1)),"work",(INDEX(Subject!$A:$I,MATCH(RANDBETWEEN(1,(MAX(Subject!$B:$B))),Subject!$B:$B,0),3))))</f>
        <v/>
      </c>
      <c r="G525" s="2" t="str">
        <f t="array" ref="G525">IF(NOW()&gt;AR525,"",IF(AND((WEEKDAY($A525)+$B$2)&gt;1,((WEEKDAY($A525)+$T$2)&lt;7),(WEEKDAY($A525)&lt;&gt;1)),"work",(INDEX(Subject!$A:$I,MATCH(RANDBETWEEN(1,(MAX(Subject!$B:$B))),Subject!$B:$B,0),3))))</f>
        <v/>
      </c>
      <c r="H525" s="2" t="str">
        <f t="array" ref="H525">IF(NOW()&gt;AS525,"",IF(AND((WEEKDAY($A525)+$B$2)&gt;1,((WEEKDAY($A525)+$T$2)&lt;7),(WEEKDAY($A525)&lt;&gt;1)),"work",(INDEX(Subject!$A:$I,MATCH(RANDBETWEEN(1,(MAX(Subject!$B:$B))),Subject!$B:$B,0),3))))</f>
        <v/>
      </c>
      <c r="I525" s="2" t="str">
        <f t="array" ref="I525">IF(NOW()&gt;AT525,"",IF(AND((WEEKDAY($A525)+$B$2)&gt;1,((WEEKDAY($A525)+$T$2)&lt;7),(WEEKDAY($A525)&lt;&gt;1)),"work",(INDEX(Subject!$A:$I,MATCH(RANDBETWEEN(1,(MAX(Subject!$B:$B))),Subject!$B:$B,0),3))))</f>
        <v/>
      </c>
      <c r="J525" s="2" t="str">
        <f t="array" ref="J525">IF(NOW()&gt;AU525,"",IF(AND((WEEKDAY($A525)+$B$2)&gt;1,((WEEKDAY($A525)+$T$2)&lt;7),(WEEKDAY($A525)&lt;&gt;1)),"work",(INDEX(Subject!$A:$I,MATCH(RANDBETWEEN(1,(MAX(Subject!$B:$B))),Subject!$B:$B,0),3))))</f>
        <v/>
      </c>
      <c r="K525" s="2" t="str">
        <f t="array" ref="K525">IF(NOW()&gt;AV525,"",IF(AND((WEEKDAY($A525)+$B$2)&gt;1,((WEEKDAY($A525)+$T$2)&lt;7),(WEEKDAY($A525)&lt;&gt;1)),"work",(INDEX(Subject!$A:$I,MATCH(RANDBETWEEN(1,(MAX(Subject!$B:$B))),Subject!$B:$B,0),3))))</f>
        <v/>
      </c>
      <c r="L525" s="2" t="str">
        <f t="array" ref="L525">IF(NOW()&gt;AW525,"",IF(AND((WEEKDAY($A525)+$B$2)&gt;1,((WEEKDAY($A525)+$T$2)&lt;7),(WEEKDAY($A525)&lt;&gt;1)),"work",(INDEX(Subject!$A:$I,MATCH(RANDBETWEEN(1,(MAX(Subject!$B:$B))),Subject!$B:$B,0),3))))</f>
        <v/>
      </c>
      <c r="M525" s="2" t="str">
        <f t="array" ref="M525">IF(NOW()&gt;AX525,"",IF(AND((WEEKDAY($A525)+$B$2)&gt;1,((WEEKDAY($A525)+$T$2)&lt;7),(WEEKDAY($A525)&lt;&gt;1)),"work",(INDEX(Subject!$A:$I,MATCH(RANDBETWEEN(1,(MAX(Subject!$B:$B))),Subject!$B:$B,0),3))))</f>
        <v/>
      </c>
      <c r="N525" s="2" t="str">
        <f t="array" ref="N525">IF(NOW()&gt;AY525,"",IF(AND((WEEKDAY($A525)+$B$2)&gt;1,((WEEKDAY($A525)+$T$2)&lt;7),(WEEKDAY($A525)&lt;&gt;1)),"work",(INDEX(Subject!$A:$I,MATCH(RANDBETWEEN(1,(MAX(Subject!$B:$B))),Subject!$B:$B,0),3))))</f>
        <v/>
      </c>
      <c r="O525" s="2" t="str">
        <f t="array" ref="O525">IF(NOW()&gt;AZ525,"",IF(AND((WEEKDAY($A525)+$B$2)&gt;1,((WEEKDAY($A525)+$T$2)&lt;7),(WEEKDAY($A525)&lt;&gt;1)),"work",(INDEX(Subject!$A:$I,MATCH(RANDBETWEEN(1,(MAX(Subject!$B:$B))),Subject!$B:$B,0),3))))</f>
        <v/>
      </c>
      <c r="P525" s="2" t="str">
        <f t="array" ref="P525">IF(NOW()&gt;BA525,"",IF(AND((WEEKDAY($A525)+$B$2)&gt;1,((WEEKDAY($A525)+$T$2)&lt;7),(WEEKDAY($A525)&lt;&gt;1)),"work",(INDEX(Subject!$A:$I,MATCH(RANDBETWEEN(1,(MAX(Subject!$B:$B))),Subject!$B:$B,0),3))))</f>
        <v/>
      </c>
      <c r="Q525" s="2" t="str">
        <f t="array" ref="Q525">IF(NOW()&gt;BB525,"",IF(AND((WEEKDAY($A525)+$B$2)&gt;1,((WEEKDAY($A525)+$T$2)&lt;7),(WEEKDAY($A525)&lt;&gt;1)),"work",(INDEX(Subject!$A:$I,MATCH(RANDBETWEEN(1,(MAX(Subject!$B:$B))),Subject!$B:$B,0),3))))</f>
        <v/>
      </c>
      <c r="R525" s="2" t="str">
        <f t="array" ref="R525">IF(NOW()&gt;BC525,"",IF(AND((WEEKDAY($A525)+$B$2)&gt;1,((WEEKDAY($A525)+$T$2)&lt;7),(WEEKDAY($A525)&lt;&gt;1)),"work",(INDEX(Subject!$A:$I,MATCH(RANDBETWEEN(1,(MAX(Subject!$B:$B))),Subject!$B:$B,0),3))))</f>
        <v/>
      </c>
      <c r="S525" s="2" t="str">
        <f t="array" ref="S525">IF(NOW()&gt;BD525,"",IF(AND((WEEKDAY($A525)+$B$2)&gt;1,((WEEKDAY($A525)+$T$2)&lt;7),(WEEKDAY($A525)&lt;&gt;1)),"work",(INDEX(Subject!$A:$I,MATCH(RANDBETWEEN(1,(MAX(Subject!$B:$B))),Subject!$B:$B,0),3))))</f>
        <v/>
      </c>
      <c r="T525" s="2" t="str">
        <f t="array" ref="T525">IF(NOW()&gt;BE525,"",IF(AND((WEEKDAY($A525)+$B$2)&gt;1,((WEEKDAY($A525)+$T$2)&lt;7),(WEEKDAY($A525)&lt;&gt;1)),"work",(INDEX(Subject!$A:$I,MATCH(RANDBETWEEN(1,(MAX(Subject!$B:$B))),Subject!$B:$B,0),3))))</f>
        <v/>
      </c>
      <c r="U525" s="8" t="str">
        <f t="array" ref="U525">INDEX(Subject!$A:$I,MATCH(RANDBETWEEN(1,16),Subject!$B:$B,0),3)</f>
        <v>#N/A</v>
      </c>
      <c r="V525" s="8" t="str">
        <f t="array" ref="V525">INDEX(Subject!$A:$I,MATCH(RANDBETWEEN(1,16),Subject!$B:$B,0),3)</f>
        <v>#N/A</v>
      </c>
      <c r="W525" s="8" t="str">
        <f t="array" ref="W525">INDEX(Subject!$A:$I,MATCH(RANDBETWEEN(1,16),Subject!$B:$B,0),3)</f>
        <v>#N/A</v>
      </c>
      <c r="X525" s="8" t="str">
        <f t="array" ref="X525">INDEX(Subject!$A:$I,MATCH(RANDBETWEEN(1,16),Subject!$B:$B,0),3)</f>
        <v>#N/A</v>
      </c>
      <c r="Y525" s="8" t="str">
        <f t="array" ref="Y525">INDEX(Subject!$A:$I,MATCH(RANDBETWEEN(1,16),Subject!$B:$B,0),3)</f>
        <v>#N/A</v>
      </c>
      <c r="Z525" s="8" t="str">
        <f t="array" ref="Z525">INDEX(Subject!$A:$I,MATCH(RANDBETWEEN(1,16),Subject!$B:$B,0),3)</f>
        <v>#N/A</v>
      </c>
      <c r="AA525" s="8" t="str">
        <f t="array" ref="AA525">INDEX(Subject!$A:$I,MATCH(RANDBETWEEN(1,16),Subject!$B:$B,0),3)</f>
        <v>#N/A</v>
      </c>
      <c r="AB525" s="8" t="str">
        <f t="array" ref="AB525">INDEX(Subject!$A:$I,MATCH(RANDBETWEEN(1,16),Subject!$B:$B,0),3)</f>
        <v/>
      </c>
      <c r="AC525" s="8" t="str">
        <f t="array" ref="AC525">INDEX(Subject!$A:$I,MATCH(RANDBETWEEN(1,16),Subject!$B:$B,0),3)</f>
        <v>#N/A</v>
      </c>
      <c r="AD525" s="8" t="str">
        <f t="array" ref="AD525">INDEX(Subject!$A:$I,MATCH(RANDBETWEEN(1,16),Subject!$B:$B,0),3)</f>
        <v>#N/A</v>
      </c>
      <c r="AE525" s="8" t="str">
        <f t="array" ref="AE525">INDEX(Subject!$A:$I,MATCH(RANDBETWEEN(1,16),Subject!$B:$B,0),3)</f>
        <v>#N/A</v>
      </c>
      <c r="AF525" s="8" t="str">
        <f t="array" ref="AF525">INDEX(Subject!$A:$I,MATCH(RANDBETWEEN(1,16),Subject!$B:$B,0),3)</f>
        <v>#N/A</v>
      </c>
      <c r="AG525" s="8" t="str">
        <f t="array" ref="AG525">INDEX(Subject!$A:$I,MATCH(RANDBETWEEN(1,16),Subject!$B:$B,0),3)</f>
        <v>#N/A</v>
      </c>
      <c r="AH525" s="8" t="str">
        <f t="array" ref="AH525">INDEX(Subject!$A:$I,MATCH(RANDBETWEEN(1,16),Subject!$B:$B,0),3)</f>
        <v>#N/A</v>
      </c>
      <c r="AI525" s="8" t="str">
        <f t="array" ref="AI525">INDEX(Subject!$A:$I,MATCH(RANDBETWEEN(1,16),Subject!$B:$B,0),3)</f>
        <v>#N/A</v>
      </c>
      <c r="AJ525" s="8" t="str">
        <f t="array" ref="AJ525">INDEX(Subject!$A:$I,MATCH(RANDBETWEEN(1,16),Subject!$B:$B,0),3)</f>
        <v/>
      </c>
      <c r="AK525" s="8" t="str">
        <f t="array" ref="AK525">INDEX(Subject!$A:$I,MATCH(RANDBETWEEN(1,16),Subject!$B:$B,0),3)</f>
        <v>#N/A</v>
      </c>
      <c r="AL525" s="8" t="str">
        <f t="array" ref="AL525">INDEX(Subject!$A:$I,MATCH(RANDBETWEEN(1,16),Subject!$B:$B,0),3)</f>
        <v>#N/A</v>
      </c>
      <c r="AM525" s="18">
        <f t="shared" si="4"/>
        <v>46025.33333</v>
      </c>
      <c r="AN525" s="19">
        <f t="shared" ref="AN525:BZ525" si="525">$A525+C$1</f>
        <v>46025.35417</v>
      </c>
      <c r="AO525" s="19">
        <f t="shared" si="525"/>
        <v>46025.375</v>
      </c>
      <c r="AP525" s="19">
        <f t="shared" si="525"/>
        <v>46025.39583</v>
      </c>
      <c r="AQ525" s="19">
        <f t="shared" si="525"/>
        <v>46025.41667</v>
      </c>
      <c r="AR525" s="19">
        <f t="shared" si="525"/>
        <v>46025.4375</v>
      </c>
      <c r="AS525" s="19">
        <f t="shared" si="525"/>
        <v>46025.45833</v>
      </c>
      <c r="AT525" s="19">
        <f t="shared" si="525"/>
        <v>46025.47917</v>
      </c>
      <c r="AU525" s="19">
        <f t="shared" si="525"/>
        <v>46025.5</v>
      </c>
      <c r="AV525" s="19">
        <f t="shared" si="525"/>
        <v>46025.52083</v>
      </c>
      <c r="AW525" s="19">
        <f t="shared" si="525"/>
        <v>46025.54167</v>
      </c>
      <c r="AX525" s="19">
        <f t="shared" si="525"/>
        <v>46025.5625</v>
      </c>
      <c r="AY525" s="19">
        <f t="shared" si="525"/>
        <v>46025.58333</v>
      </c>
      <c r="AZ525" s="19">
        <f t="shared" si="525"/>
        <v>46025.60417</v>
      </c>
      <c r="BA525" s="19">
        <f t="shared" si="525"/>
        <v>46025.625</v>
      </c>
      <c r="BB525" s="19">
        <f t="shared" si="525"/>
        <v>46025.64583</v>
      </c>
      <c r="BC525" s="19">
        <f t="shared" si="525"/>
        <v>46025.66667</v>
      </c>
      <c r="BD525" s="19">
        <f t="shared" si="525"/>
        <v>46025.6875</v>
      </c>
      <c r="BE525" s="19">
        <f t="shared" si="525"/>
        <v>46025.70833</v>
      </c>
      <c r="BF525" s="19">
        <f t="shared" si="525"/>
        <v>46025.72917</v>
      </c>
      <c r="BG525" s="19">
        <f t="shared" si="525"/>
        <v>46025.75</v>
      </c>
      <c r="BH525" s="19">
        <f t="shared" si="525"/>
        <v>46025.77083</v>
      </c>
      <c r="BI525" s="19">
        <f t="shared" si="525"/>
        <v>46025.79167</v>
      </c>
      <c r="BJ525" s="19">
        <f t="shared" si="525"/>
        <v>46025.8125</v>
      </c>
      <c r="BK525" s="19">
        <f t="shared" si="525"/>
        <v>46025.83333</v>
      </c>
      <c r="BL525" s="19">
        <f t="shared" si="525"/>
        <v>46025.85417</v>
      </c>
      <c r="BM525" s="19">
        <f t="shared" si="525"/>
        <v>46025.875</v>
      </c>
      <c r="BN525" s="19">
        <f t="shared" si="525"/>
        <v>46025.89583</v>
      </c>
      <c r="BO525" s="19">
        <f t="shared" si="525"/>
        <v>46025.91667</v>
      </c>
      <c r="BP525" s="19">
        <f t="shared" si="525"/>
        <v>46025.9375</v>
      </c>
      <c r="BQ525" s="19">
        <f t="shared" si="525"/>
        <v>46025.95833</v>
      </c>
      <c r="BR525" s="19">
        <f t="shared" si="525"/>
        <v>46025.97917</v>
      </c>
      <c r="BS525" s="19">
        <f t="shared" si="525"/>
        <v>46026</v>
      </c>
      <c r="BT525" s="19">
        <f t="shared" si="525"/>
        <v>46026.02083</v>
      </c>
      <c r="BU525" s="19">
        <f t="shared" si="525"/>
        <v>46026.04167</v>
      </c>
      <c r="BV525" s="19">
        <f t="shared" si="525"/>
        <v>46026.0625</v>
      </c>
      <c r="BW525" s="19">
        <f t="shared" si="525"/>
        <v>46026.08333</v>
      </c>
      <c r="BX525" s="19">
        <f t="shared" si="525"/>
        <v>46025</v>
      </c>
      <c r="BY525" s="19">
        <f t="shared" si="525"/>
        <v>46025</v>
      </c>
      <c r="BZ525" s="19">
        <f t="shared" si="525"/>
        <v>46025</v>
      </c>
    </row>
    <row r="526" ht="14.25" customHeight="1">
      <c r="A526" s="17">
        <v>46026.0</v>
      </c>
      <c r="B526" s="2" t="str">
        <f t="array" ref="B526">IF(NOW()&gt;AM526,"",IF(AND((WEEKDAY($A526)+$B$2)&gt;1,((WEEKDAY($A526)+$T$2)&lt;7),(WEEKDAY($A526)&lt;&gt;1)),"work",(INDEX(Subject!$A:$I,MATCH(RANDBETWEEN(1,(MAX(Subject!$B:$B))),Subject!$B:$B,0),3))))</f>
        <v/>
      </c>
      <c r="C526" s="2" t="str">
        <f t="array" ref="C526">IF(NOW()&gt;AN526,"",IF(AND((WEEKDAY($A526)+$B$2)&gt;1,((WEEKDAY($A526)+$T$2)&lt;7),(WEEKDAY($A526)&lt;&gt;1)),"work",(INDEX(Subject!$A:$I,MATCH(RANDBETWEEN(1,(MAX(Subject!$B:$B))),Subject!$B:$B,0),3))))</f>
        <v/>
      </c>
      <c r="D526" s="2" t="str">
        <f t="array" ref="D526">IF(NOW()&gt;AO526,"",IF(AND((WEEKDAY($A526)+$B$2)&gt;1,((WEEKDAY($A526)+$T$2)&lt;7),(WEEKDAY($A526)&lt;&gt;1)),"work",(INDEX(Subject!$A:$I,MATCH(RANDBETWEEN(1,(MAX(Subject!$B:$B))),Subject!$B:$B,0),3))))</f>
        <v/>
      </c>
      <c r="E526" s="2" t="str">
        <f t="array" ref="E526">IF(NOW()&gt;AP526,"",IF(AND((WEEKDAY($A526)+$B$2)&gt;1,((WEEKDAY($A526)+$T$2)&lt;7),(WEEKDAY($A526)&lt;&gt;1)),"work",(INDEX(Subject!$A:$I,MATCH(RANDBETWEEN(1,(MAX(Subject!$B:$B))),Subject!$B:$B,0),3))))</f>
        <v/>
      </c>
      <c r="F526" s="2" t="str">
        <f t="array" ref="F526">IF(NOW()&gt;AQ526,"",IF(AND((WEEKDAY($A526)+$B$2)&gt;1,((WEEKDAY($A526)+$T$2)&lt;7),(WEEKDAY($A526)&lt;&gt;1)),"work",(INDEX(Subject!$A:$I,MATCH(RANDBETWEEN(1,(MAX(Subject!$B:$B))),Subject!$B:$B,0),3))))</f>
        <v/>
      </c>
      <c r="G526" s="2" t="str">
        <f t="array" ref="G526">IF(NOW()&gt;AR526,"",IF(AND((WEEKDAY($A526)+$B$2)&gt;1,((WEEKDAY($A526)+$T$2)&lt;7),(WEEKDAY($A526)&lt;&gt;1)),"work",(INDEX(Subject!$A:$I,MATCH(RANDBETWEEN(1,(MAX(Subject!$B:$B))),Subject!$B:$B,0),3))))</f>
        <v/>
      </c>
      <c r="H526" s="2" t="str">
        <f t="array" ref="H526">IF(NOW()&gt;AS526,"",IF(AND((WEEKDAY($A526)+$B$2)&gt;1,((WEEKDAY($A526)+$T$2)&lt;7),(WEEKDAY($A526)&lt;&gt;1)),"work",(INDEX(Subject!$A:$I,MATCH(RANDBETWEEN(1,(MAX(Subject!$B:$B))),Subject!$B:$B,0),3))))</f>
        <v/>
      </c>
      <c r="I526" s="2" t="str">
        <f t="array" ref="I526">IF(NOW()&gt;AT526,"",IF(AND((WEEKDAY($A526)+$B$2)&gt;1,((WEEKDAY($A526)+$T$2)&lt;7),(WEEKDAY($A526)&lt;&gt;1)),"work",(INDEX(Subject!$A:$I,MATCH(RANDBETWEEN(1,(MAX(Subject!$B:$B))),Subject!$B:$B,0),3))))</f>
        <v/>
      </c>
      <c r="J526" s="2" t="str">
        <f t="array" ref="J526">IF(NOW()&gt;AU526,"",IF(AND((WEEKDAY($A526)+$B$2)&gt;1,((WEEKDAY($A526)+$T$2)&lt;7),(WEEKDAY($A526)&lt;&gt;1)),"work",(INDEX(Subject!$A:$I,MATCH(RANDBETWEEN(1,(MAX(Subject!$B:$B))),Subject!$B:$B,0),3))))</f>
        <v/>
      </c>
      <c r="K526" s="2" t="str">
        <f t="array" ref="K526">IF(NOW()&gt;AV526,"",IF(AND((WEEKDAY($A526)+$B$2)&gt;1,((WEEKDAY($A526)+$T$2)&lt;7),(WEEKDAY($A526)&lt;&gt;1)),"work",(INDEX(Subject!$A:$I,MATCH(RANDBETWEEN(1,(MAX(Subject!$B:$B))),Subject!$B:$B,0),3))))</f>
        <v/>
      </c>
      <c r="L526" s="2" t="str">
        <f t="array" ref="L526">IF(NOW()&gt;AW526,"",IF(AND((WEEKDAY($A526)+$B$2)&gt;1,((WEEKDAY($A526)+$T$2)&lt;7),(WEEKDAY($A526)&lt;&gt;1)),"work",(INDEX(Subject!$A:$I,MATCH(RANDBETWEEN(1,(MAX(Subject!$B:$B))),Subject!$B:$B,0),3))))</f>
        <v/>
      </c>
      <c r="M526" s="2" t="str">
        <f t="array" ref="M526">IF(NOW()&gt;AX526,"",IF(AND((WEEKDAY($A526)+$B$2)&gt;1,((WEEKDAY($A526)+$T$2)&lt;7),(WEEKDAY($A526)&lt;&gt;1)),"work",(INDEX(Subject!$A:$I,MATCH(RANDBETWEEN(1,(MAX(Subject!$B:$B))),Subject!$B:$B,0),3))))</f>
        <v/>
      </c>
      <c r="N526" s="2" t="str">
        <f t="array" ref="N526">IF(NOW()&gt;AY526,"",IF(AND((WEEKDAY($A526)+$B$2)&gt;1,((WEEKDAY($A526)+$T$2)&lt;7),(WEEKDAY($A526)&lt;&gt;1)),"work",(INDEX(Subject!$A:$I,MATCH(RANDBETWEEN(1,(MAX(Subject!$B:$B))),Subject!$B:$B,0),3))))</f>
        <v/>
      </c>
      <c r="O526" s="2" t="str">
        <f t="array" ref="O526">IF(NOW()&gt;AZ526,"",IF(AND((WEEKDAY($A526)+$B$2)&gt;1,((WEEKDAY($A526)+$T$2)&lt;7),(WEEKDAY($A526)&lt;&gt;1)),"work",(INDEX(Subject!$A:$I,MATCH(RANDBETWEEN(1,(MAX(Subject!$B:$B))),Subject!$B:$B,0),3))))</f>
        <v/>
      </c>
      <c r="P526" s="2" t="str">
        <f t="array" ref="P526">IF(NOW()&gt;BA526,"",IF(AND((WEEKDAY($A526)+$B$2)&gt;1,((WEEKDAY($A526)+$T$2)&lt;7),(WEEKDAY($A526)&lt;&gt;1)),"work",(INDEX(Subject!$A:$I,MATCH(RANDBETWEEN(1,(MAX(Subject!$B:$B))),Subject!$B:$B,0),3))))</f>
        <v/>
      </c>
      <c r="Q526" s="2" t="str">
        <f t="array" ref="Q526">IF(NOW()&gt;BB526,"",IF(AND((WEEKDAY($A526)+$B$2)&gt;1,((WEEKDAY($A526)+$T$2)&lt;7),(WEEKDAY($A526)&lt;&gt;1)),"work",(INDEX(Subject!$A:$I,MATCH(RANDBETWEEN(1,(MAX(Subject!$B:$B))),Subject!$B:$B,0),3))))</f>
        <v/>
      </c>
      <c r="R526" s="2" t="str">
        <f t="array" ref="R526">IF(NOW()&gt;BC526,"",IF(AND((WEEKDAY($A526)+$B$2)&gt;1,((WEEKDAY($A526)+$T$2)&lt;7),(WEEKDAY($A526)&lt;&gt;1)),"work",(INDEX(Subject!$A:$I,MATCH(RANDBETWEEN(1,(MAX(Subject!$B:$B))),Subject!$B:$B,0),3))))</f>
        <v/>
      </c>
      <c r="S526" s="2" t="str">
        <f t="array" ref="S526">IF(NOW()&gt;BD526,"",IF(AND((WEEKDAY($A526)+$B$2)&gt;1,((WEEKDAY($A526)+$T$2)&lt;7),(WEEKDAY($A526)&lt;&gt;1)),"work",(INDEX(Subject!$A:$I,MATCH(RANDBETWEEN(1,(MAX(Subject!$B:$B))),Subject!$B:$B,0),3))))</f>
        <v/>
      </c>
      <c r="T526" s="2" t="str">
        <f t="array" ref="T526">IF(NOW()&gt;BE526,"",IF(AND((WEEKDAY($A526)+$B$2)&gt;1,((WEEKDAY($A526)+$T$2)&lt;7),(WEEKDAY($A526)&lt;&gt;1)),"work",(INDEX(Subject!$A:$I,MATCH(RANDBETWEEN(1,(MAX(Subject!$B:$B))),Subject!$B:$B,0),3))))</f>
        <v/>
      </c>
      <c r="U526" s="8" t="str">
        <f t="array" ref="U526">INDEX(Subject!$A:$I,MATCH(RANDBETWEEN(1,16),Subject!$B:$B,0),3)</f>
        <v>#N/A</v>
      </c>
      <c r="V526" s="8" t="str">
        <f t="array" ref="V526">INDEX(Subject!$A:$I,MATCH(RANDBETWEEN(1,16),Subject!$B:$B,0),3)</f>
        <v>#N/A</v>
      </c>
      <c r="W526" s="8" t="str">
        <f t="array" ref="W526">INDEX(Subject!$A:$I,MATCH(RANDBETWEEN(1,16),Subject!$B:$B,0),3)</f>
        <v>#N/A</v>
      </c>
      <c r="X526" s="8" t="str">
        <f t="array" ref="X526">INDEX(Subject!$A:$I,MATCH(RANDBETWEEN(1,16),Subject!$B:$B,0),3)</f>
        <v>#N/A</v>
      </c>
      <c r="Y526" s="8" t="str">
        <f t="array" ref="Y526">INDEX(Subject!$A:$I,MATCH(RANDBETWEEN(1,16),Subject!$B:$B,0),3)</f>
        <v>#N/A</v>
      </c>
      <c r="Z526" s="8" t="str">
        <f t="array" ref="Z526">INDEX(Subject!$A:$I,MATCH(RANDBETWEEN(1,16),Subject!$B:$B,0),3)</f>
        <v>#N/A</v>
      </c>
      <c r="AA526" s="8" t="str">
        <f t="array" ref="AA526">INDEX(Subject!$A:$I,MATCH(RANDBETWEEN(1,16),Subject!$B:$B,0),3)</f>
        <v>#N/A</v>
      </c>
      <c r="AB526" s="8" t="str">
        <f t="array" ref="AB526">INDEX(Subject!$A:$I,MATCH(RANDBETWEEN(1,16),Subject!$B:$B,0),3)</f>
        <v>#N/A</v>
      </c>
      <c r="AC526" s="8" t="str">
        <f t="array" ref="AC526">INDEX(Subject!$A:$I,MATCH(RANDBETWEEN(1,16),Subject!$B:$B,0),3)</f>
        <v>#N/A</v>
      </c>
      <c r="AD526" s="8" t="str">
        <f t="array" ref="AD526">INDEX(Subject!$A:$I,MATCH(RANDBETWEEN(1,16),Subject!$B:$B,0),3)</f>
        <v/>
      </c>
      <c r="AE526" s="8" t="str">
        <f t="array" ref="AE526">INDEX(Subject!$A:$I,MATCH(RANDBETWEEN(1,16),Subject!$B:$B,0),3)</f>
        <v>#N/A</v>
      </c>
      <c r="AF526" s="8" t="str">
        <f t="array" ref="AF526">INDEX(Subject!$A:$I,MATCH(RANDBETWEEN(1,16),Subject!$B:$B,0),3)</f>
        <v>#N/A</v>
      </c>
      <c r="AG526" s="8" t="str">
        <f t="array" ref="AG526">INDEX(Subject!$A:$I,MATCH(RANDBETWEEN(1,16),Subject!$B:$B,0),3)</f>
        <v>#N/A</v>
      </c>
      <c r="AH526" s="8" t="str">
        <f t="array" ref="AH526">INDEX(Subject!$A:$I,MATCH(RANDBETWEEN(1,16),Subject!$B:$B,0),3)</f>
        <v>#N/A</v>
      </c>
      <c r="AI526" s="8" t="str">
        <f t="array" ref="AI526">INDEX(Subject!$A:$I,MATCH(RANDBETWEEN(1,16),Subject!$B:$B,0),3)</f>
        <v>#N/A</v>
      </c>
      <c r="AJ526" s="8" t="str">
        <f t="array" ref="AJ526">INDEX(Subject!$A:$I,MATCH(RANDBETWEEN(1,16),Subject!$B:$B,0),3)</f>
        <v>#N/A</v>
      </c>
      <c r="AK526" s="8" t="str">
        <f t="array" ref="AK526">INDEX(Subject!$A:$I,MATCH(RANDBETWEEN(1,16),Subject!$B:$B,0),3)</f>
        <v>#N/A</v>
      </c>
      <c r="AL526" s="8" t="str">
        <f t="array" ref="AL526">INDEX(Subject!$A:$I,MATCH(RANDBETWEEN(1,16),Subject!$B:$B,0),3)</f>
        <v>#N/A</v>
      </c>
      <c r="AM526" s="18">
        <f t="shared" si="4"/>
        <v>46026.33333</v>
      </c>
      <c r="AN526" s="19">
        <f t="shared" ref="AN526:BZ526" si="526">$A526+C$1</f>
        <v>46026.35417</v>
      </c>
      <c r="AO526" s="19">
        <f t="shared" si="526"/>
        <v>46026.375</v>
      </c>
      <c r="AP526" s="19">
        <f t="shared" si="526"/>
        <v>46026.39583</v>
      </c>
      <c r="AQ526" s="19">
        <f t="shared" si="526"/>
        <v>46026.41667</v>
      </c>
      <c r="AR526" s="19">
        <f t="shared" si="526"/>
        <v>46026.4375</v>
      </c>
      <c r="AS526" s="19">
        <f t="shared" si="526"/>
        <v>46026.45833</v>
      </c>
      <c r="AT526" s="19">
        <f t="shared" si="526"/>
        <v>46026.47917</v>
      </c>
      <c r="AU526" s="19">
        <f t="shared" si="526"/>
        <v>46026.5</v>
      </c>
      <c r="AV526" s="19">
        <f t="shared" si="526"/>
        <v>46026.52083</v>
      </c>
      <c r="AW526" s="19">
        <f t="shared" si="526"/>
        <v>46026.54167</v>
      </c>
      <c r="AX526" s="19">
        <f t="shared" si="526"/>
        <v>46026.5625</v>
      </c>
      <c r="AY526" s="19">
        <f t="shared" si="526"/>
        <v>46026.58333</v>
      </c>
      <c r="AZ526" s="19">
        <f t="shared" si="526"/>
        <v>46026.60417</v>
      </c>
      <c r="BA526" s="19">
        <f t="shared" si="526"/>
        <v>46026.625</v>
      </c>
      <c r="BB526" s="19">
        <f t="shared" si="526"/>
        <v>46026.64583</v>
      </c>
      <c r="BC526" s="19">
        <f t="shared" si="526"/>
        <v>46026.66667</v>
      </c>
      <c r="BD526" s="19">
        <f t="shared" si="526"/>
        <v>46026.6875</v>
      </c>
      <c r="BE526" s="19">
        <f t="shared" si="526"/>
        <v>46026.70833</v>
      </c>
      <c r="BF526" s="19">
        <f t="shared" si="526"/>
        <v>46026.72917</v>
      </c>
      <c r="BG526" s="19">
        <f t="shared" si="526"/>
        <v>46026.75</v>
      </c>
      <c r="BH526" s="19">
        <f t="shared" si="526"/>
        <v>46026.77083</v>
      </c>
      <c r="BI526" s="19">
        <f t="shared" si="526"/>
        <v>46026.79167</v>
      </c>
      <c r="BJ526" s="19">
        <f t="shared" si="526"/>
        <v>46026.8125</v>
      </c>
      <c r="BK526" s="19">
        <f t="shared" si="526"/>
        <v>46026.83333</v>
      </c>
      <c r="BL526" s="19">
        <f t="shared" si="526"/>
        <v>46026.85417</v>
      </c>
      <c r="BM526" s="19">
        <f t="shared" si="526"/>
        <v>46026.875</v>
      </c>
      <c r="BN526" s="19">
        <f t="shared" si="526"/>
        <v>46026.89583</v>
      </c>
      <c r="BO526" s="19">
        <f t="shared" si="526"/>
        <v>46026.91667</v>
      </c>
      <c r="BP526" s="19">
        <f t="shared" si="526"/>
        <v>46026.9375</v>
      </c>
      <c r="BQ526" s="19">
        <f t="shared" si="526"/>
        <v>46026.95833</v>
      </c>
      <c r="BR526" s="19">
        <f t="shared" si="526"/>
        <v>46026.97917</v>
      </c>
      <c r="BS526" s="19">
        <f t="shared" si="526"/>
        <v>46027</v>
      </c>
      <c r="BT526" s="19">
        <f t="shared" si="526"/>
        <v>46027.02083</v>
      </c>
      <c r="BU526" s="19">
        <f t="shared" si="526"/>
        <v>46027.04167</v>
      </c>
      <c r="BV526" s="19">
        <f t="shared" si="526"/>
        <v>46027.0625</v>
      </c>
      <c r="BW526" s="19">
        <f t="shared" si="526"/>
        <v>46027.08333</v>
      </c>
      <c r="BX526" s="19">
        <f t="shared" si="526"/>
        <v>46026</v>
      </c>
      <c r="BY526" s="19">
        <f t="shared" si="526"/>
        <v>46026</v>
      </c>
      <c r="BZ526" s="19">
        <f t="shared" si="526"/>
        <v>46026</v>
      </c>
    </row>
    <row r="527" ht="14.25" customHeight="1">
      <c r="A527" s="17">
        <v>46027.0</v>
      </c>
      <c r="B527" s="2" t="str">
        <f t="array" ref="B527">IF(NOW()&gt;AM527,"",IF(AND((WEEKDAY($A527)+$B$2)&gt;1,((WEEKDAY($A527)+$T$2)&lt;7),(WEEKDAY($A527)&lt;&gt;1)),"work",(INDEX(Subject!$A:$I,MATCH(RANDBETWEEN(1,(MAX(Subject!$B:$B))),Subject!$B:$B,0),3))))</f>
        <v/>
      </c>
      <c r="C527" s="2" t="str">
        <f t="array" ref="C527">IF(NOW()&gt;AN527,"",IF(AND((WEEKDAY($A527)+$B$2)&gt;1,((WEEKDAY($A527)+$T$2)&lt;7),(WEEKDAY($A527)&lt;&gt;1)),"work",(INDEX(Subject!$A:$I,MATCH(RANDBETWEEN(1,(MAX(Subject!$B:$B))),Subject!$B:$B,0),3))))</f>
        <v/>
      </c>
      <c r="D527" s="2" t="str">
        <f t="array" ref="D527">IF(NOW()&gt;AO527,"",IF(AND((WEEKDAY($A527)+$B$2)&gt;1,((WEEKDAY($A527)+$T$2)&lt;7),(WEEKDAY($A527)&lt;&gt;1)),"work",(INDEX(Subject!$A:$I,MATCH(RANDBETWEEN(1,(MAX(Subject!$B:$B))),Subject!$B:$B,0),3))))</f>
        <v/>
      </c>
      <c r="E527" s="2" t="str">
        <f t="array" ref="E527">IF(NOW()&gt;AP527,"",IF(AND((WEEKDAY($A527)+$B$2)&gt;1,((WEEKDAY($A527)+$T$2)&lt;7),(WEEKDAY($A527)&lt;&gt;1)),"work",(INDEX(Subject!$A:$I,MATCH(RANDBETWEEN(1,(MAX(Subject!$B:$B))),Subject!$B:$B,0),3))))</f>
        <v/>
      </c>
      <c r="F527" s="2" t="str">
        <f t="array" ref="F527">IF(NOW()&gt;AQ527,"",IF(AND((WEEKDAY($A527)+$B$2)&gt;1,((WEEKDAY($A527)+$T$2)&lt;7),(WEEKDAY($A527)&lt;&gt;1)),"work",(INDEX(Subject!$A:$I,MATCH(RANDBETWEEN(1,(MAX(Subject!$B:$B))),Subject!$B:$B,0),3))))</f>
        <v/>
      </c>
      <c r="G527" s="2" t="str">
        <f t="array" ref="G527">IF(NOW()&gt;AR527,"",IF(AND((WEEKDAY($A527)+$B$2)&gt;1,((WEEKDAY($A527)+$T$2)&lt;7),(WEEKDAY($A527)&lt;&gt;1)),"work",(INDEX(Subject!$A:$I,MATCH(RANDBETWEEN(1,(MAX(Subject!$B:$B))),Subject!$B:$B,0),3))))</f>
        <v/>
      </c>
      <c r="H527" s="2" t="str">
        <f t="array" ref="H527">IF(NOW()&gt;AS527,"",IF(AND((WEEKDAY($A527)+$B$2)&gt;1,((WEEKDAY($A527)+$T$2)&lt;7),(WEEKDAY($A527)&lt;&gt;1)),"work",(INDEX(Subject!$A:$I,MATCH(RANDBETWEEN(1,(MAX(Subject!$B:$B))),Subject!$B:$B,0),3))))</f>
        <v/>
      </c>
      <c r="I527" s="2" t="str">
        <f t="array" ref="I527">IF(NOW()&gt;AT527,"",IF(AND((WEEKDAY($A527)+$B$2)&gt;1,((WEEKDAY($A527)+$T$2)&lt;7),(WEEKDAY($A527)&lt;&gt;1)),"work",(INDEX(Subject!$A:$I,MATCH(RANDBETWEEN(1,(MAX(Subject!$B:$B))),Subject!$B:$B,0),3))))</f>
        <v/>
      </c>
      <c r="J527" s="2" t="str">
        <f t="array" ref="J527">IF(NOW()&gt;AU527,"",IF(AND((WEEKDAY($A527)+$B$2)&gt;1,((WEEKDAY($A527)+$T$2)&lt;7),(WEEKDAY($A527)&lt;&gt;1)),"work",(INDEX(Subject!$A:$I,MATCH(RANDBETWEEN(1,(MAX(Subject!$B:$B))),Subject!$B:$B,0),3))))</f>
        <v/>
      </c>
      <c r="K527" s="2" t="str">
        <f t="array" ref="K527">IF(NOW()&gt;AV527,"",IF(AND((WEEKDAY($A527)+$B$2)&gt;1,((WEEKDAY($A527)+$T$2)&lt;7),(WEEKDAY($A527)&lt;&gt;1)),"work",(INDEX(Subject!$A:$I,MATCH(RANDBETWEEN(1,(MAX(Subject!$B:$B))),Subject!$B:$B,0),3))))</f>
        <v/>
      </c>
      <c r="L527" s="2" t="str">
        <f t="array" ref="L527">IF(NOW()&gt;AW527,"",IF(AND((WEEKDAY($A527)+$B$2)&gt;1,((WEEKDAY($A527)+$T$2)&lt;7),(WEEKDAY($A527)&lt;&gt;1)),"work",(INDEX(Subject!$A:$I,MATCH(RANDBETWEEN(1,(MAX(Subject!$B:$B))),Subject!$B:$B,0),3))))</f>
        <v/>
      </c>
      <c r="M527" s="2" t="str">
        <f t="array" ref="M527">IF(NOW()&gt;AX527,"",IF(AND((WEEKDAY($A527)+$B$2)&gt;1,((WEEKDAY($A527)+$T$2)&lt;7),(WEEKDAY($A527)&lt;&gt;1)),"work",(INDEX(Subject!$A:$I,MATCH(RANDBETWEEN(1,(MAX(Subject!$B:$B))),Subject!$B:$B,0),3))))</f>
        <v/>
      </c>
      <c r="N527" s="2" t="str">
        <f t="array" ref="N527">IF(NOW()&gt;AY527,"",IF(AND((WEEKDAY($A527)+$B$2)&gt;1,((WEEKDAY($A527)+$T$2)&lt;7),(WEEKDAY($A527)&lt;&gt;1)),"work",(INDEX(Subject!$A:$I,MATCH(RANDBETWEEN(1,(MAX(Subject!$B:$B))),Subject!$B:$B,0),3))))</f>
        <v/>
      </c>
      <c r="O527" s="2" t="str">
        <f t="array" ref="O527">IF(NOW()&gt;AZ527,"",IF(AND((WEEKDAY($A527)+$B$2)&gt;1,((WEEKDAY($A527)+$T$2)&lt;7),(WEEKDAY($A527)&lt;&gt;1)),"work",(INDEX(Subject!$A:$I,MATCH(RANDBETWEEN(1,(MAX(Subject!$B:$B))),Subject!$B:$B,0),3))))</f>
        <v/>
      </c>
      <c r="P527" s="2" t="str">
        <f t="array" ref="P527">IF(NOW()&gt;BA527,"",IF(AND((WEEKDAY($A527)+$B$2)&gt;1,((WEEKDAY($A527)+$T$2)&lt;7),(WEEKDAY($A527)&lt;&gt;1)),"work",(INDEX(Subject!$A:$I,MATCH(RANDBETWEEN(1,(MAX(Subject!$B:$B))),Subject!$B:$B,0),3))))</f>
        <v/>
      </c>
      <c r="Q527" s="2" t="str">
        <f t="array" ref="Q527">IF(NOW()&gt;BB527,"",IF(AND((WEEKDAY($A527)+$B$2)&gt;1,((WEEKDAY($A527)+$T$2)&lt;7),(WEEKDAY($A527)&lt;&gt;1)),"work",(INDEX(Subject!$A:$I,MATCH(RANDBETWEEN(1,(MAX(Subject!$B:$B))),Subject!$B:$B,0),3))))</f>
        <v/>
      </c>
      <c r="R527" s="2" t="str">
        <f t="array" ref="R527">IF(NOW()&gt;BC527,"",IF(AND((WEEKDAY($A527)+$B$2)&gt;1,((WEEKDAY($A527)+$T$2)&lt;7),(WEEKDAY($A527)&lt;&gt;1)),"work",(INDEX(Subject!$A:$I,MATCH(RANDBETWEEN(1,(MAX(Subject!$B:$B))),Subject!$B:$B,0),3))))</f>
        <v/>
      </c>
      <c r="S527" s="2" t="str">
        <f t="array" ref="S527">IF(NOW()&gt;BD527,"",IF(AND((WEEKDAY($A527)+$B$2)&gt;1,((WEEKDAY($A527)+$T$2)&lt;7),(WEEKDAY($A527)&lt;&gt;1)),"work",(INDEX(Subject!$A:$I,MATCH(RANDBETWEEN(1,(MAX(Subject!$B:$B))),Subject!$B:$B,0),3))))</f>
        <v/>
      </c>
      <c r="T527" s="2" t="str">
        <f t="array" ref="T527">IF(NOW()&gt;BE527,"",IF(AND((WEEKDAY($A527)+$B$2)&gt;1,((WEEKDAY($A527)+$T$2)&lt;7),(WEEKDAY($A527)&lt;&gt;1)),"work",(INDEX(Subject!$A:$I,MATCH(RANDBETWEEN(1,(MAX(Subject!$B:$B))),Subject!$B:$B,0),3))))</f>
        <v/>
      </c>
      <c r="U527" s="8" t="str">
        <f t="array" ref="U527">INDEX(Subject!$A:$I,MATCH(RANDBETWEEN(1,16),Subject!$B:$B,0),3)</f>
        <v>#N/A</v>
      </c>
      <c r="V527" s="8" t="str">
        <f t="array" ref="V527">INDEX(Subject!$A:$I,MATCH(RANDBETWEEN(1,16),Subject!$B:$B,0),3)</f>
        <v>#N/A</v>
      </c>
      <c r="W527" s="8" t="str">
        <f t="array" ref="W527">INDEX(Subject!$A:$I,MATCH(RANDBETWEEN(1,16),Subject!$B:$B,0),3)</f>
        <v>#N/A</v>
      </c>
      <c r="X527" s="8" t="str">
        <f t="array" ref="X527">INDEX(Subject!$A:$I,MATCH(RANDBETWEEN(1,16),Subject!$B:$B,0),3)</f>
        <v>#N/A</v>
      </c>
      <c r="Y527" s="8" t="str">
        <f t="array" ref="Y527">INDEX(Subject!$A:$I,MATCH(RANDBETWEEN(1,16),Subject!$B:$B,0),3)</f>
        <v>#N/A</v>
      </c>
      <c r="Z527" s="8" t="str">
        <f t="array" ref="Z527">INDEX(Subject!$A:$I,MATCH(RANDBETWEEN(1,16),Subject!$B:$B,0),3)</f>
        <v>#N/A</v>
      </c>
      <c r="AA527" s="8" t="str">
        <f t="array" ref="AA527">INDEX(Subject!$A:$I,MATCH(RANDBETWEEN(1,16),Subject!$B:$B,0),3)</f>
        <v>#N/A</v>
      </c>
      <c r="AB527" s="8" t="str">
        <f t="array" ref="AB527">INDEX(Subject!$A:$I,MATCH(RANDBETWEEN(1,16),Subject!$B:$B,0),3)</f>
        <v>#N/A</v>
      </c>
      <c r="AC527" s="8" t="str">
        <f t="array" ref="AC527">INDEX(Subject!$A:$I,MATCH(RANDBETWEEN(1,16),Subject!$B:$B,0),3)</f>
        <v>#N/A</v>
      </c>
      <c r="AD527" s="8" t="str">
        <f t="array" ref="AD527">INDEX(Subject!$A:$I,MATCH(RANDBETWEEN(1,16),Subject!$B:$B,0),3)</f>
        <v>#N/A</v>
      </c>
      <c r="AE527" s="8" t="str">
        <f t="array" ref="AE527">INDEX(Subject!$A:$I,MATCH(RANDBETWEEN(1,16),Subject!$B:$B,0),3)</f>
        <v>#N/A</v>
      </c>
      <c r="AF527" s="8" t="str">
        <f t="array" ref="AF527">INDEX(Subject!$A:$I,MATCH(RANDBETWEEN(1,16),Subject!$B:$B,0),3)</f>
        <v>#N/A</v>
      </c>
      <c r="AG527" s="8" t="str">
        <f t="array" ref="AG527">INDEX(Subject!$A:$I,MATCH(RANDBETWEEN(1,16),Subject!$B:$B,0),3)</f>
        <v>#N/A</v>
      </c>
      <c r="AH527" s="8" t="str">
        <f t="array" ref="AH527">INDEX(Subject!$A:$I,MATCH(RANDBETWEEN(1,16),Subject!$B:$B,0),3)</f>
        <v>#N/A</v>
      </c>
      <c r="AI527" s="8" t="str">
        <f t="array" ref="AI527">INDEX(Subject!$A:$I,MATCH(RANDBETWEEN(1,16),Subject!$B:$B,0),3)</f>
        <v>#N/A</v>
      </c>
      <c r="AJ527" s="8" t="str">
        <f t="array" ref="AJ527">INDEX(Subject!$A:$I,MATCH(RANDBETWEEN(1,16),Subject!$B:$B,0),3)</f>
        <v/>
      </c>
      <c r="AK527" s="8" t="str">
        <f t="array" ref="AK527">INDEX(Subject!$A:$I,MATCH(RANDBETWEEN(1,16),Subject!$B:$B,0),3)</f>
        <v>#N/A</v>
      </c>
      <c r="AL527" s="8" t="str">
        <f t="array" ref="AL527">INDEX(Subject!$A:$I,MATCH(RANDBETWEEN(1,16),Subject!$B:$B,0),3)</f>
        <v>#N/A</v>
      </c>
      <c r="AM527" s="18">
        <f t="shared" si="4"/>
        <v>46027.33333</v>
      </c>
      <c r="AN527" s="19">
        <f t="shared" ref="AN527:BZ527" si="527">$A527+C$1</f>
        <v>46027.35417</v>
      </c>
      <c r="AO527" s="19">
        <f t="shared" si="527"/>
        <v>46027.375</v>
      </c>
      <c r="AP527" s="19">
        <f t="shared" si="527"/>
        <v>46027.39583</v>
      </c>
      <c r="AQ527" s="19">
        <f t="shared" si="527"/>
        <v>46027.41667</v>
      </c>
      <c r="AR527" s="19">
        <f t="shared" si="527"/>
        <v>46027.4375</v>
      </c>
      <c r="AS527" s="19">
        <f t="shared" si="527"/>
        <v>46027.45833</v>
      </c>
      <c r="AT527" s="19">
        <f t="shared" si="527"/>
        <v>46027.47917</v>
      </c>
      <c r="AU527" s="19">
        <f t="shared" si="527"/>
        <v>46027.5</v>
      </c>
      <c r="AV527" s="19">
        <f t="shared" si="527"/>
        <v>46027.52083</v>
      </c>
      <c r="AW527" s="19">
        <f t="shared" si="527"/>
        <v>46027.54167</v>
      </c>
      <c r="AX527" s="19">
        <f t="shared" si="527"/>
        <v>46027.5625</v>
      </c>
      <c r="AY527" s="19">
        <f t="shared" si="527"/>
        <v>46027.58333</v>
      </c>
      <c r="AZ527" s="19">
        <f t="shared" si="527"/>
        <v>46027.60417</v>
      </c>
      <c r="BA527" s="19">
        <f t="shared" si="527"/>
        <v>46027.625</v>
      </c>
      <c r="BB527" s="19">
        <f t="shared" si="527"/>
        <v>46027.64583</v>
      </c>
      <c r="BC527" s="19">
        <f t="shared" si="527"/>
        <v>46027.66667</v>
      </c>
      <c r="BD527" s="19">
        <f t="shared" si="527"/>
        <v>46027.6875</v>
      </c>
      <c r="BE527" s="19">
        <f t="shared" si="527"/>
        <v>46027.70833</v>
      </c>
      <c r="BF527" s="19">
        <f t="shared" si="527"/>
        <v>46027.72917</v>
      </c>
      <c r="BG527" s="19">
        <f t="shared" si="527"/>
        <v>46027.75</v>
      </c>
      <c r="BH527" s="19">
        <f t="shared" si="527"/>
        <v>46027.77083</v>
      </c>
      <c r="BI527" s="19">
        <f t="shared" si="527"/>
        <v>46027.79167</v>
      </c>
      <c r="BJ527" s="19">
        <f t="shared" si="527"/>
        <v>46027.8125</v>
      </c>
      <c r="BK527" s="19">
        <f t="shared" si="527"/>
        <v>46027.83333</v>
      </c>
      <c r="BL527" s="19">
        <f t="shared" si="527"/>
        <v>46027.85417</v>
      </c>
      <c r="BM527" s="19">
        <f t="shared" si="527"/>
        <v>46027.875</v>
      </c>
      <c r="BN527" s="19">
        <f t="shared" si="527"/>
        <v>46027.89583</v>
      </c>
      <c r="BO527" s="19">
        <f t="shared" si="527"/>
        <v>46027.91667</v>
      </c>
      <c r="BP527" s="19">
        <f t="shared" si="527"/>
        <v>46027.9375</v>
      </c>
      <c r="BQ527" s="19">
        <f t="shared" si="527"/>
        <v>46027.95833</v>
      </c>
      <c r="BR527" s="19">
        <f t="shared" si="527"/>
        <v>46027.97917</v>
      </c>
      <c r="BS527" s="19">
        <f t="shared" si="527"/>
        <v>46028</v>
      </c>
      <c r="BT527" s="19">
        <f t="shared" si="527"/>
        <v>46028.02083</v>
      </c>
      <c r="BU527" s="19">
        <f t="shared" si="527"/>
        <v>46028.04167</v>
      </c>
      <c r="BV527" s="19">
        <f t="shared" si="527"/>
        <v>46028.0625</v>
      </c>
      <c r="BW527" s="19">
        <f t="shared" si="527"/>
        <v>46028.08333</v>
      </c>
      <c r="BX527" s="19">
        <f t="shared" si="527"/>
        <v>46027</v>
      </c>
      <c r="BY527" s="19">
        <f t="shared" si="527"/>
        <v>46027</v>
      </c>
      <c r="BZ527" s="19">
        <f t="shared" si="527"/>
        <v>46027</v>
      </c>
    </row>
    <row r="528" ht="14.25" customHeight="1">
      <c r="A528" s="17">
        <v>46028.0</v>
      </c>
      <c r="B528" s="2" t="str">
        <f t="array" ref="B528">IF(NOW()&gt;AM528,"",IF(AND((WEEKDAY($A528)+$B$2)&gt;1,((WEEKDAY($A528)+$T$2)&lt;7),(WEEKDAY($A528)&lt;&gt;1)),"work",(INDEX(Subject!$A:$I,MATCH(RANDBETWEEN(1,(MAX(Subject!$B:$B))),Subject!$B:$B,0),3))))</f>
        <v/>
      </c>
      <c r="C528" s="2" t="str">
        <f t="array" ref="C528">IF(NOW()&gt;AN528,"",IF(AND((WEEKDAY($A528)+$B$2)&gt;1,((WEEKDAY($A528)+$T$2)&lt;7),(WEEKDAY($A528)&lt;&gt;1)),"work",(INDEX(Subject!$A:$I,MATCH(RANDBETWEEN(1,(MAX(Subject!$B:$B))),Subject!$B:$B,0),3))))</f>
        <v/>
      </c>
      <c r="D528" s="2" t="str">
        <f t="array" ref="D528">IF(NOW()&gt;AO528,"",IF(AND((WEEKDAY($A528)+$B$2)&gt;1,((WEEKDAY($A528)+$T$2)&lt;7),(WEEKDAY($A528)&lt;&gt;1)),"work",(INDEX(Subject!$A:$I,MATCH(RANDBETWEEN(1,(MAX(Subject!$B:$B))),Subject!$B:$B,0),3))))</f>
        <v/>
      </c>
      <c r="E528" s="2" t="str">
        <f t="array" ref="E528">IF(NOW()&gt;AP528,"",IF(AND((WEEKDAY($A528)+$B$2)&gt;1,((WEEKDAY($A528)+$T$2)&lt;7),(WEEKDAY($A528)&lt;&gt;1)),"work",(INDEX(Subject!$A:$I,MATCH(RANDBETWEEN(1,(MAX(Subject!$B:$B))),Subject!$B:$B,0),3))))</f>
        <v/>
      </c>
      <c r="F528" s="2" t="str">
        <f t="array" ref="F528">IF(NOW()&gt;AQ528,"",IF(AND((WEEKDAY($A528)+$B$2)&gt;1,((WEEKDAY($A528)+$T$2)&lt;7),(WEEKDAY($A528)&lt;&gt;1)),"work",(INDEX(Subject!$A:$I,MATCH(RANDBETWEEN(1,(MAX(Subject!$B:$B))),Subject!$B:$B,0),3))))</f>
        <v/>
      </c>
      <c r="G528" s="2" t="str">
        <f t="array" ref="G528">IF(NOW()&gt;AR528,"",IF(AND((WEEKDAY($A528)+$B$2)&gt;1,((WEEKDAY($A528)+$T$2)&lt;7),(WEEKDAY($A528)&lt;&gt;1)),"work",(INDEX(Subject!$A:$I,MATCH(RANDBETWEEN(1,(MAX(Subject!$B:$B))),Subject!$B:$B,0),3))))</f>
        <v/>
      </c>
      <c r="H528" s="2" t="str">
        <f t="array" ref="H528">IF(NOW()&gt;AS528,"",IF(AND((WEEKDAY($A528)+$B$2)&gt;1,((WEEKDAY($A528)+$T$2)&lt;7),(WEEKDAY($A528)&lt;&gt;1)),"work",(INDEX(Subject!$A:$I,MATCH(RANDBETWEEN(1,(MAX(Subject!$B:$B))),Subject!$B:$B,0),3))))</f>
        <v/>
      </c>
      <c r="I528" s="2" t="str">
        <f t="array" ref="I528">IF(NOW()&gt;AT528,"",IF(AND((WEEKDAY($A528)+$B$2)&gt;1,((WEEKDAY($A528)+$T$2)&lt;7),(WEEKDAY($A528)&lt;&gt;1)),"work",(INDEX(Subject!$A:$I,MATCH(RANDBETWEEN(1,(MAX(Subject!$B:$B))),Subject!$B:$B,0),3))))</f>
        <v/>
      </c>
      <c r="J528" s="2" t="str">
        <f t="array" ref="J528">IF(NOW()&gt;AU528,"",IF(AND((WEEKDAY($A528)+$B$2)&gt;1,((WEEKDAY($A528)+$T$2)&lt;7),(WEEKDAY($A528)&lt;&gt;1)),"work",(INDEX(Subject!$A:$I,MATCH(RANDBETWEEN(1,(MAX(Subject!$B:$B))),Subject!$B:$B,0),3))))</f>
        <v/>
      </c>
      <c r="K528" s="2" t="str">
        <f t="array" ref="K528">IF(NOW()&gt;AV528,"",IF(AND((WEEKDAY($A528)+$B$2)&gt;1,((WEEKDAY($A528)+$T$2)&lt;7),(WEEKDAY($A528)&lt;&gt;1)),"work",(INDEX(Subject!$A:$I,MATCH(RANDBETWEEN(1,(MAX(Subject!$B:$B))),Subject!$B:$B,0),3))))</f>
        <v/>
      </c>
      <c r="L528" s="2" t="str">
        <f t="array" ref="L528">IF(NOW()&gt;AW528,"",IF(AND((WEEKDAY($A528)+$B$2)&gt;1,((WEEKDAY($A528)+$T$2)&lt;7),(WEEKDAY($A528)&lt;&gt;1)),"work",(INDEX(Subject!$A:$I,MATCH(RANDBETWEEN(1,(MAX(Subject!$B:$B))),Subject!$B:$B,0),3))))</f>
        <v/>
      </c>
      <c r="M528" s="2" t="str">
        <f t="array" ref="M528">IF(NOW()&gt;AX528,"",IF(AND((WEEKDAY($A528)+$B$2)&gt;1,((WEEKDAY($A528)+$T$2)&lt;7),(WEEKDAY($A528)&lt;&gt;1)),"work",(INDEX(Subject!$A:$I,MATCH(RANDBETWEEN(1,(MAX(Subject!$B:$B))),Subject!$B:$B,0),3))))</f>
        <v/>
      </c>
      <c r="N528" s="2" t="str">
        <f t="array" ref="N528">IF(NOW()&gt;AY528,"",IF(AND((WEEKDAY($A528)+$B$2)&gt;1,((WEEKDAY($A528)+$T$2)&lt;7),(WEEKDAY($A528)&lt;&gt;1)),"work",(INDEX(Subject!$A:$I,MATCH(RANDBETWEEN(1,(MAX(Subject!$B:$B))),Subject!$B:$B,0),3))))</f>
        <v/>
      </c>
      <c r="O528" s="2" t="str">
        <f t="array" ref="O528">IF(NOW()&gt;AZ528,"",IF(AND((WEEKDAY($A528)+$B$2)&gt;1,((WEEKDAY($A528)+$T$2)&lt;7),(WEEKDAY($A528)&lt;&gt;1)),"work",(INDEX(Subject!$A:$I,MATCH(RANDBETWEEN(1,(MAX(Subject!$B:$B))),Subject!$B:$B,0),3))))</f>
        <v/>
      </c>
      <c r="P528" s="2" t="str">
        <f t="array" ref="P528">IF(NOW()&gt;BA528,"",IF(AND((WEEKDAY($A528)+$B$2)&gt;1,((WEEKDAY($A528)+$T$2)&lt;7),(WEEKDAY($A528)&lt;&gt;1)),"work",(INDEX(Subject!$A:$I,MATCH(RANDBETWEEN(1,(MAX(Subject!$B:$B))),Subject!$B:$B,0),3))))</f>
        <v/>
      </c>
      <c r="Q528" s="2" t="str">
        <f t="array" ref="Q528">IF(NOW()&gt;BB528,"",IF(AND((WEEKDAY($A528)+$B$2)&gt;1,((WEEKDAY($A528)+$T$2)&lt;7),(WEEKDAY($A528)&lt;&gt;1)),"work",(INDEX(Subject!$A:$I,MATCH(RANDBETWEEN(1,(MAX(Subject!$B:$B))),Subject!$B:$B,0),3))))</f>
        <v/>
      </c>
      <c r="R528" s="2" t="str">
        <f t="array" ref="R528">IF(NOW()&gt;BC528,"",IF(AND((WEEKDAY($A528)+$B$2)&gt;1,((WEEKDAY($A528)+$T$2)&lt;7),(WEEKDAY($A528)&lt;&gt;1)),"work",(INDEX(Subject!$A:$I,MATCH(RANDBETWEEN(1,(MAX(Subject!$B:$B))),Subject!$B:$B,0),3))))</f>
        <v/>
      </c>
      <c r="S528" s="2" t="str">
        <f t="array" ref="S528">IF(NOW()&gt;BD528,"",IF(AND((WEEKDAY($A528)+$B$2)&gt;1,((WEEKDAY($A528)+$T$2)&lt;7),(WEEKDAY($A528)&lt;&gt;1)),"work",(INDEX(Subject!$A:$I,MATCH(RANDBETWEEN(1,(MAX(Subject!$B:$B))),Subject!$B:$B,0),3))))</f>
        <v/>
      </c>
      <c r="T528" s="2" t="str">
        <f t="array" ref="T528">IF(NOW()&gt;BE528,"",IF(AND((WEEKDAY($A528)+$B$2)&gt;1,((WEEKDAY($A528)+$T$2)&lt;7),(WEEKDAY($A528)&lt;&gt;1)),"work",(INDEX(Subject!$A:$I,MATCH(RANDBETWEEN(1,(MAX(Subject!$B:$B))),Subject!$B:$B,0),3))))</f>
        <v/>
      </c>
      <c r="U528" s="8" t="str">
        <f t="array" ref="U528">INDEX(Subject!$A:$I,MATCH(RANDBETWEEN(1,16),Subject!$B:$B,0),3)</f>
        <v>#N/A</v>
      </c>
      <c r="V528" s="8" t="str">
        <f t="array" ref="V528">INDEX(Subject!$A:$I,MATCH(RANDBETWEEN(1,16),Subject!$B:$B,0),3)</f>
        <v>#N/A</v>
      </c>
      <c r="W528" s="8" t="str">
        <f t="array" ref="W528">INDEX(Subject!$A:$I,MATCH(RANDBETWEEN(1,16),Subject!$B:$B,0),3)</f>
        <v>#N/A</v>
      </c>
      <c r="X528" s="8" t="str">
        <f t="array" ref="X528">INDEX(Subject!$A:$I,MATCH(RANDBETWEEN(1,16),Subject!$B:$B,0),3)</f>
        <v>#N/A</v>
      </c>
      <c r="Y528" s="8" t="str">
        <f t="array" ref="Y528">INDEX(Subject!$A:$I,MATCH(RANDBETWEEN(1,16),Subject!$B:$B,0),3)</f>
        <v>#N/A</v>
      </c>
      <c r="Z528" s="8" t="str">
        <f t="array" ref="Z528">INDEX(Subject!$A:$I,MATCH(RANDBETWEEN(1,16),Subject!$B:$B,0),3)</f>
        <v>#N/A</v>
      </c>
      <c r="AA528" s="8" t="str">
        <f t="array" ref="AA528">INDEX(Subject!$A:$I,MATCH(RANDBETWEEN(1,16),Subject!$B:$B,0),3)</f>
        <v>#N/A</v>
      </c>
      <c r="AB528" s="8" t="str">
        <f t="array" ref="AB528">INDEX(Subject!$A:$I,MATCH(RANDBETWEEN(1,16),Subject!$B:$B,0),3)</f>
        <v>#N/A</v>
      </c>
      <c r="AC528" s="8" t="str">
        <f t="array" ref="AC528">INDEX(Subject!$A:$I,MATCH(RANDBETWEEN(1,16),Subject!$B:$B,0),3)</f>
        <v>#N/A</v>
      </c>
      <c r="AD528" s="8" t="str">
        <f t="array" ref="AD528">INDEX(Subject!$A:$I,MATCH(RANDBETWEEN(1,16),Subject!$B:$B,0),3)</f>
        <v>#N/A</v>
      </c>
      <c r="AE528" s="8" t="str">
        <f t="array" ref="AE528">INDEX(Subject!$A:$I,MATCH(RANDBETWEEN(1,16),Subject!$B:$B,0),3)</f>
        <v>#N/A</v>
      </c>
      <c r="AF528" s="8" t="str">
        <f t="array" ref="AF528">INDEX(Subject!$A:$I,MATCH(RANDBETWEEN(1,16),Subject!$B:$B,0),3)</f>
        <v>#N/A</v>
      </c>
      <c r="AG528" s="8" t="str">
        <f t="array" ref="AG528">INDEX(Subject!$A:$I,MATCH(RANDBETWEEN(1,16),Subject!$B:$B,0),3)</f>
        <v>#N/A</v>
      </c>
      <c r="AH528" s="8" t="str">
        <f t="array" ref="AH528">INDEX(Subject!$A:$I,MATCH(RANDBETWEEN(1,16),Subject!$B:$B,0),3)</f>
        <v>#N/A</v>
      </c>
      <c r="AI528" s="8" t="str">
        <f t="array" ref="AI528">INDEX(Subject!$A:$I,MATCH(RANDBETWEEN(1,16),Subject!$B:$B,0),3)</f>
        <v>#N/A</v>
      </c>
      <c r="AJ528" s="8" t="str">
        <f t="array" ref="AJ528">INDEX(Subject!$A:$I,MATCH(RANDBETWEEN(1,16),Subject!$B:$B,0),3)</f>
        <v>#N/A</v>
      </c>
      <c r="AK528" s="8" t="str">
        <f t="array" ref="AK528">INDEX(Subject!$A:$I,MATCH(RANDBETWEEN(1,16),Subject!$B:$B,0),3)</f>
        <v>#N/A</v>
      </c>
      <c r="AL528" s="8" t="str">
        <f t="array" ref="AL528">INDEX(Subject!$A:$I,MATCH(RANDBETWEEN(1,16),Subject!$B:$B,0),3)</f>
        <v/>
      </c>
      <c r="AM528" s="18">
        <f t="shared" si="4"/>
        <v>46028.33333</v>
      </c>
      <c r="AN528" s="19">
        <f t="shared" ref="AN528:BZ528" si="528">$A528+C$1</f>
        <v>46028.35417</v>
      </c>
      <c r="AO528" s="19">
        <f t="shared" si="528"/>
        <v>46028.375</v>
      </c>
      <c r="AP528" s="19">
        <f t="shared" si="528"/>
        <v>46028.39583</v>
      </c>
      <c r="AQ528" s="19">
        <f t="shared" si="528"/>
        <v>46028.41667</v>
      </c>
      <c r="AR528" s="19">
        <f t="shared" si="528"/>
        <v>46028.4375</v>
      </c>
      <c r="AS528" s="19">
        <f t="shared" si="528"/>
        <v>46028.45833</v>
      </c>
      <c r="AT528" s="19">
        <f t="shared" si="528"/>
        <v>46028.47917</v>
      </c>
      <c r="AU528" s="19">
        <f t="shared" si="528"/>
        <v>46028.5</v>
      </c>
      <c r="AV528" s="19">
        <f t="shared" si="528"/>
        <v>46028.52083</v>
      </c>
      <c r="AW528" s="19">
        <f t="shared" si="528"/>
        <v>46028.54167</v>
      </c>
      <c r="AX528" s="19">
        <f t="shared" si="528"/>
        <v>46028.5625</v>
      </c>
      <c r="AY528" s="19">
        <f t="shared" si="528"/>
        <v>46028.58333</v>
      </c>
      <c r="AZ528" s="19">
        <f t="shared" si="528"/>
        <v>46028.60417</v>
      </c>
      <c r="BA528" s="19">
        <f t="shared" si="528"/>
        <v>46028.625</v>
      </c>
      <c r="BB528" s="19">
        <f t="shared" si="528"/>
        <v>46028.64583</v>
      </c>
      <c r="BC528" s="19">
        <f t="shared" si="528"/>
        <v>46028.66667</v>
      </c>
      <c r="BD528" s="19">
        <f t="shared" si="528"/>
        <v>46028.6875</v>
      </c>
      <c r="BE528" s="19">
        <f t="shared" si="528"/>
        <v>46028.70833</v>
      </c>
      <c r="BF528" s="19">
        <f t="shared" si="528"/>
        <v>46028.72917</v>
      </c>
      <c r="BG528" s="19">
        <f t="shared" si="528"/>
        <v>46028.75</v>
      </c>
      <c r="BH528" s="19">
        <f t="shared" si="528"/>
        <v>46028.77083</v>
      </c>
      <c r="BI528" s="19">
        <f t="shared" si="528"/>
        <v>46028.79167</v>
      </c>
      <c r="BJ528" s="19">
        <f t="shared" si="528"/>
        <v>46028.8125</v>
      </c>
      <c r="BK528" s="19">
        <f t="shared" si="528"/>
        <v>46028.83333</v>
      </c>
      <c r="BL528" s="19">
        <f t="shared" si="528"/>
        <v>46028.85417</v>
      </c>
      <c r="BM528" s="19">
        <f t="shared" si="528"/>
        <v>46028.875</v>
      </c>
      <c r="BN528" s="19">
        <f t="shared" si="528"/>
        <v>46028.89583</v>
      </c>
      <c r="BO528" s="19">
        <f t="shared" si="528"/>
        <v>46028.91667</v>
      </c>
      <c r="BP528" s="19">
        <f t="shared" si="528"/>
        <v>46028.9375</v>
      </c>
      <c r="BQ528" s="19">
        <f t="shared" si="528"/>
        <v>46028.95833</v>
      </c>
      <c r="BR528" s="19">
        <f t="shared" si="528"/>
        <v>46028.97917</v>
      </c>
      <c r="BS528" s="19">
        <f t="shared" si="528"/>
        <v>46029</v>
      </c>
      <c r="BT528" s="19">
        <f t="shared" si="528"/>
        <v>46029.02083</v>
      </c>
      <c r="BU528" s="19">
        <f t="shared" si="528"/>
        <v>46029.04167</v>
      </c>
      <c r="BV528" s="19">
        <f t="shared" si="528"/>
        <v>46029.0625</v>
      </c>
      <c r="BW528" s="19">
        <f t="shared" si="528"/>
        <v>46029.08333</v>
      </c>
      <c r="BX528" s="19">
        <f t="shared" si="528"/>
        <v>46028</v>
      </c>
      <c r="BY528" s="19">
        <f t="shared" si="528"/>
        <v>46028</v>
      </c>
      <c r="BZ528" s="19">
        <f t="shared" si="528"/>
        <v>46028</v>
      </c>
    </row>
    <row r="529" ht="14.25" customHeight="1">
      <c r="A529" s="17">
        <v>46029.0</v>
      </c>
      <c r="B529" s="2" t="str">
        <f t="array" ref="B529">IF(NOW()&gt;AM529,"",IF(AND((WEEKDAY($A529)+$B$2)&gt;1,((WEEKDAY($A529)+$T$2)&lt;7),(WEEKDAY($A529)&lt;&gt;1)),"work",(INDEX(Subject!$A:$I,MATCH(RANDBETWEEN(1,(MAX(Subject!$B:$B))),Subject!$B:$B,0),3))))</f>
        <v/>
      </c>
      <c r="C529" s="2" t="str">
        <f t="array" ref="C529">IF(NOW()&gt;AN529,"",IF(AND((WEEKDAY($A529)+$B$2)&gt;1,((WEEKDAY($A529)+$T$2)&lt;7),(WEEKDAY($A529)&lt;&gt;1)),"work",(INDEX(Subject!$A:$I,MATCH(RANDBETWEEN(1,(MAX(Subject!$B:$B))),Subject!$B:$B,0),3))))</f>
        <v/>
      </c>
      <c r="D529" s="2" t="str">
        <f t="array" ref="D529">IF(NOW()&gt;AO529,"",IF(AND((WEEKDAY($A529)+$B$2)&gt;1,((WEEKDAY($A529)+$T$2)&lt;7),(WEEKDAY($A529)&lt;&gt;1)),"work",(INDEX(Subject!$A:$I,MATCH(RANDBETWEEN(1,(MAX(Subject!$B:$B))),Subject!$B:$B,0),3))))</f>
        <v/>
      </c>
      <c r="E529" s="2" t="str">
        <f t="array" ref="E529">IF(NOW()&gt;AP529,"",IF(AND((WEEKDAY($A529)+$B$2)&gt;1,((WEEKDAY($A529)+$T$2)&lt;7),(WEEKDAY($A529)&lt;&gt;1)),"work",(INDEX(Subject!$A:$I,MATCH(RANDBETWEEN(1,(MAX(Subject!$B:$B))),Subject!$B:$B,0),3))))</f>
        <v/>
      </c>
      <c r="F529" s="2" t="str">
        <f t="array" ref="F529">IF(NOW()&gt;AQ529,"",IF(AND((WEEKDAY($A529)+$B$2)&gt;1,((WEEKDAY($A529)+$T$2)&lt;7),(WEEKDAY($A529)&lt;&gt;1)),"work",(INDEX(Subject!$A:$I,MATCH(RANDBETWEEN(1,(MAX(Subject!$B:$B))),Subject!$B:$B,0),3))))</f>
        <v/>
      </c>
      <c r="G529" s="2" t="str">
        <f t="array" ref="G529">IF(NOW()&gt;AR529,"",IF(AND((WEEKDAY($A529)+$B$2)&gt;1,((WEEKDAY($A529)+$T$2)&lt;7),(WEEKDAY($A529)&lt;&gt;1)),"work",(INDEX(Subject!$A:$I,MATCH(RANDBETWEEN(1,(MAX(Subject!$B:$B))),Subject!$B:$B,0),3))))</f>
        <v/>
      </c>
      <c r="H529" s="2" t="str">
        <f t="array" ref="H529">IF(NOW()&gt;AS529,"",IF(AND((WEEKDAY($A529)+$B$2)&gt;1,((WEEKDAY($A529)+$T$2)&lt;7),(WEEKDAY($A529)&lt;&gt;1)),"work",(INDEX(Subject!$A:$I,MATCH(RANDBETWEEN(1,(MAX(Subject!$B:$B))),Subject!$B:$B,0),3))))</f>
        <v/>
      </c>
      <c r="I529" s="2" t="str">
        <f t="array" ref="I529">IF(NOW()&gt;AT529,"",IF(AND((WEEKDAY($A529)+$B$2)&gt;1,((WEEKDAY($A529)+$T$2)&lt;7),(WEEKDAY($A529)&lt;&gt;1)),"work",(INDEX(Subject!$A:$I,MATCH(RANDBETWEEN(1,(MAX(Subject!$B:$B))),Subject!$B:$B,0),3))))</f>
        <v/>
      </c>
      <c r="J529" s="2" t="str">
        <f t="array" ref="J529">IF(NOW()&gt;AU529,"",IF(AND((WEEKDAY($A529)+$B$2)&gt;1,((WEEKDAY($A529)+$T$2)&lt;7),(WEEKDAY($A529)&lt;&gt;1)),"work",(INDEX(Subject!$A:$I,MATCH(RANDBETWEEN(1,(MAX(Subject!$B:$B))),Subject!$B:$B,0),3))))</f>
        <v/>
      </c>
      <c r="K529" s="2" t="str">
        <f t="array" ref="K529">IF(NOW()&gt;AV529,"",IF(AND((WEEKDAY($A529)+$B$2)&gt;1,((WEEKDAY($A529)+$T$2)&lt;7),(WEEKDAY($A529)&lt;&gt;1)),"work",(INDEX(Subject!$A:$I,MATCH(RANDBETWEEN(1,(MAX(Subject!$B:$B))),Subject!$B:$B,0),3))))</f>
        <v/>
      </c>
      <c r="L529" s="2" t="str">
        <f t="array" ref="L529">IF(NOW()&gt;AW529,"",IF(AND((WEEKDAY($A529)+$B$2)&gt;1,((WEEKDAY($A529)+$T$2)&lt;7),(WEEKDAY($A529)&lt;&gt;1)),"work",(INDEX(Subject!$A:$I,MATCH(RANDBETWEEN(1,(MAX(Subject!$B:$B))),Subject!$B:$B,0),3))))</f>
        <v/>
      </c>
      <c r="M529" s="2" t="str">
        <f t="array" ref="M529">IF(NOW()&gt;AX529,"",IF(AND((WEEKDAY($A529)+$B$2)&gt;1,((WEEKDAY($A529)+$T$2)&lt;7),(WEEKDAY($A529)&lt;&gt;1)),"work",(INDEX(Subject!$A:$I,MATCH(RANDBETWEEN(1,(MAX(Subject!$B:$B))),Subject!$B:$B,0),3))))</f>
        <v/>
      </c>
      <c r="N529" s="2" t="str">
        <f t="array" ref="N529">IF(NOW()&gt;AY529,"",IF(AND((WEEKDAY($A529)+$B$2)&gt;1,((WEEKDAY($A529)+$T$2)&lt;7),(WEEKDAY($A529)&lt;&gt;1)),"work",(INDEX(Subject!$A:$I,MATCH(RANDBETWEEN(1,(MAX(Subject!$B:$B))),Subject!$B:$B,0),3))))</f>
        <v/>
      </c>
      <c r="O529" s="2" t="str">
        <f t="array" ref="O529">IF(NOW()&gt;AZ529,"",IF(AND((WEEKDAY($A529)+$B$2)&gt;1,((WEEKDAY($A529)+$T$2)&lt;7),(WEEKDAY($A529)&lt;&gt;1)),"work",(INDEX(Subject!$A:$I,MATCH(RANDBETWEEN(1,(MAX(Subject!$B:$B))),Subject!$B:$B,0),3))))</f>
        <v/>
      </c>
      <c r="P529" s="2" t="str">
        <f t="array" ref="P529">IF(NOW()&gt;BA529,"",IF(AND((WEEKDAY($A529)+$B$2)&gt;1,((WEEKDAY($A529)+$T$2)&lt;7),(WEEKDAY($A529)&lt;&gt;1)),"work",(INDEX(Subject!$A:$I,MATCH(RANDBETWEEN(1,(MAX(Subject!$B:$B))),Subject!$B:$B,0),3))))</f>
        <v/>
      </c>
      <c r="Q529" s="2" t="str">
        <f t="array" ref="Q529">IF(NOW()&gt;BB529,"",IF(AND((WEEKDAY($A529)+$B$2)&gt;1,((WEEKDAY($A529)+$T$2)&lt;7),(WEEKDAY($A529)&lt;&gt;1)),"work",(INDEX(Subject!$A:$I,MATCH(RANDBETWEEN(1,(MAX(Subject!$B:$B))),Subject!$B:$B,0),3))))</f>
        <v/>
      </c>
      <c r="R529" s="2" t="str">
        <f t="array" ref="R529">IF(NOW()&gt;BC529,"",IF(AND((WEEKDAY($A529)+$B$2)&gt;1,((WEEKDAY($A529)+$T$2)&lt;7),(WEEKDAY($A529)&lt;&gt;1)),"work",(INDEX(Subject!$A:$I,MATCH(RANDBETWEEN(1,(MAX(Subject!$B:$B))),Subject!$B:$B,0),3))))</f>
        <v/>
      </c>
      <c r="S529" s="2" t="str">
        <f t="array" ref="S529">IF(NOW()&gt;BD529,"",IF(AND((WEEKDAY($A529)+$B$2)&gt;1,((WEEKDAY($A529)+$T$2)&lt;7),(WEEKDAY($A529)&lt;&gt;1)),"work",(INDEX(Subject!$A:$I,MATCH(RANDBETWEEN(1,(MAX(Subject!$B:$B))),Subject!$B:$B,0),3))))</f>
        <v/>
      </c>
      <c r="T529" s="2" t="str">
        <f t="array" ref="T529">IF(NOW()&gt;BE529,"",IF(AND((WEEKDAY($A529)+$B$2)&gt;1,((WEEKDAY($A529)+$T$2)&lt;7),(WEEKDAY($A529)&lt;&gt;1)),"work",(INDEX(Subject!$A:$I,MATCH(RANDBETWEEN(1,(MAX(Subject!$B:$B))),Subject!$B:$B,0),3))))</f>
        <v/>
      </c>
      <c r="U529" s="8" t="str">
        <f t="array" ref="U529">INDEX(Subject!$A:$I,MATCH(RANDBETWEEN(1,16),Subject!$B:$B,0),3)</f>
        <v>#N/A</v>
      </c>
      <c r="V529" s="8" t="str">
        <f t="array" ref="V529">INDEX(Subject!$A:$I,MATCH(RANDBETWEEN(1,16),Subject!$B:$B,0),3)</f>
        <v>#N/A</v>
      </c>
      <c r="W529" s="8" t="str">
        <f t="array" ref="W529">INDEX(Subject!$A:$I,MATCH(RANDBETWEEN(1,16),Subject!$B:$B,0),3)</f>
        <v>#N/A</v>
      </c>
      <c r="X529" s="8" t="str">
        <f t="array" ref="X529">INDEX(Subject!$A:$I,MATCH(RANDBETWEEN(1,16),Subject!$B:$B,0),3)</f>
        <v>#N/A</v>
      </c>
      <c r="Y529" s="8" t="str">
        <f t="array" ref="Y529">INDEX(Subject!$A:$I,MATCH(RANDBETWEEN(1,16),Subject!$B:$B,0),3)</f>
        <v>#N/A</v>
      </c>
      <c r="Z529" s="8" t="str">
        <f t="array" ref="Z529">INDEX(Subject!$A:$I,MATCH(RANDBETWEEN(1,16),Subject!$B:$B,0),3)</f>
        <v>#N/A</v>
      </c>
      <c r="AA529" s="8" t="str">
        <f t="array" ref="AA529">INDEX(Subject!$A:$I,MATCH(RANDBETWEEN(1,16),Subject!$B:$B,0),3)</f>
        <v>#N/A</v>
      </c>
      <c r="AB529" s="8" t="str">
        <f t="array" ref="AB529">INDEX(Subject!$A:$I,MATCH(RANDBETWEEN(1,16),Subject!$B:$B,0),3)</f>
        <v>#N/A</v>
      </c>
      <c r="AC529" s="8" t="str">
        <f t="array" ref="AC529">INDEX(Subject!$A:$I,MATCH(RANDBETWEEN(1,16),Subject!$B:$B,0),3)</f>
        <v>#N/A</v>
      </c>
      <c r="AD529" s="8" t="str">
        <f t="array" ref="AD529">INDEX(Subject!$A:$I,MATCH(RANDBETWEEN(1,16),Subject!$B:$B,0),3)</f>
        <v>#N/A</v>
      </c>
      <c r="AE529" s="8" t="str">
        <f t="array" ref="AE529">INDEX(Subject!$A:$I,MATCH(RANDBETWEEN(1,16),Subject!$B:$B,0),3)</f>
        <v>#N/A</v>
      </c>
      <c r="AF529" s="8" t="str">
        <f t="array" ref="AF529">INDEX(Subject!$A:$I,MATCH(RANDBETWEEN(1,16),Subject!$B:$B,0),3)</f>
        <v>#N/A</v>
      </c>
      <c r="AG529" s="8" t="str">
        <f t="array" ref="AG529">INDEX(Subject!$A:$I,MATCH(RANDBETWEEN(1,16),Subject!$B:$B,0),3)</f>
        <v>#N/A</v>
      </c>
      <c r="AH529" s="8" t="str">
        <f t="array" ref="AH529">INDEX(Subject!$A:$I,MATCH(RANDBETWEEN(1,16),Subject!$B:$B,0),3)</f>
        <v>#N/A</v>
      </c>
      <c r="AI529" s="8" t="str">
        <f t="array" ref="AI529">INDEX(Subject!$A:$I,MATCH(RANDBETWEEN(1,16),Subject!$B:$B,0),3)</f>
        <v>#N/A</v>
      </c>
      <c r="AJ529" s="8" t="str">
        <f t="array" ref="AJ529">INDEX(Subject!$A:$I,MATCH(RANDBETWEEN(1,16),Subject!$B:$B,0),3)</f>
        <v>#N/A</v>
      </c>
      <c r="AK529" s="8" t="str">
        <f t="array" ref="AK529">INDEX(Subject!$A:$I,MATCH(RANDBETWEEN(1,16),Subject!$B:$B,0),3)</f>
        <v>#N/A</v>
      </c>
      <c r="AL529" s="8" t="str">
        <f t="array" ref="AL529">INDEX(Subject!$A:$I,MATCH(RANDBETWEEN(1,16),Subject!$B:$B,0),3)</f>
        <v>#N/A</v>
      </c>
      <c r="AM529" s="18">
        <f t="shared" si="4"/>
        <v>46029.33333</v>
      </c>
      <c r="AN529" s="19">
        <f t="shared" ref="AN529:BZ529" si="529">$A529+C$1</f>
        <v>46029.35417</v>
      </c>
      <c r="AO529" s="19">
        <f t="shared" si="529"/>
        <v>46029.375</v>
      </c>
      <c r="AP529" s="19">
        <f t="shared" si="529"/>
        <v>46029.39583</v>
      </c>
      <c r="AQ529" s="19">
        <f t="shared" si="529"/>
        <v>46029.41667</v>
      </c>
      <c r="AR529" s="19">
        <f t="shared" si="529"/>
        <v>46029.4375</v>
      </c>
      <c r="AS529" s="19">
        <f t="shared" si="529"/>
        <v>46029.45833</v>
      </c>
      <c r="AT529" s="19">
        <f t="shared" si="529"/>
        <v>46029.47917</v>
      </c>
      <c r="AU529" s="19">
        <f t="shared" si="529"/>
        <v>46029.5</v>
      </c>
      <c r="AV529" s="19">
        <f t="shared" si="529"/>
        <v>46029.52083</v>
      </c>
      <c r="AW529" s="19">
        <f t="shared" si="529"/>
        <v>46029.54167</v>
      </c>
      <c r="AX529" s="19">
        <f t="shared" si="529"/>
        <v>46029.5625</v>
      </c>
      <c r="AY529" s="19">
        <f t="shared" si="529"/>
        <v>46029.58333</v>
      </c>
      <c r="AZ529" s="19">
        <f t="shared" si="529"/>
        <v>46029.60417</v>
      </c>
      <c r="BA529" s="19">
        <f t="shared" si="529"/>
        <v>46029.625</v>
      </c>
      <c r="BB529" s="19">
        <f t="shared" si="529"/>
        <v>46029.64583</v>
      </c>
      <c r="BC529" s="19">
        <f t="shared" si="529"/>
        <v>46029.66667</v>
      </c>
      <c r="BD529" s="19">
        <f t="shared" si="529"/>
        <v>46029.6875</v>
      </c>
      <c r="BE529" s="19">
        <f t="shared" si="529"/>
        <v>46029.70833</v>
      </c>
      <c r="BF529" s="19">
        <f t="shared" si="529"/>
        <v>46029.72917</v>
      </c>
      <c r="BG529" s="19">
        <f t="shared" si="529"/>
        <v>46029.75</v>
      </c>
      <c r="BH529" s="19">
        <f t="shared" si="529"/>
        <v>46029.77083</v>
      </c>
      <c r="BI529" s="19">
        <f t="shared" si="529"/>
        <v>46029.79167</v>
      </c>
      <c r="BJ529" s="19">
        <f t="shared" si="529"/>
        <v>46029.8125</v>
      </c>
      <c r="BK529" s="19">
        <f t="shared" si="529"/>
        <v>46029.83333</v>
      </c>
      <c r="BL529" s="19">
        <f t="shared" si="529"/>
        <v>46029.85417</v>
      </c>
      <c r="BM529" s="19">
        <f t="shared" si="529"/>
        <v>46029.875</v>
      </c>
      <c r="BN529" s="19">
        <f t="shared" si="529"/>
        <v>46029.89583</v>
      </c>
      <c r="BO529" s="19">
        <f t="shared" si="529"/>
        <v>46029.91667</v>
      </c>
      <c r="BP529" s="19">
        <f t="shared" si="529"/>
        <v>46029.9375</v>
      </c>
      <c r="BQ529" s="19">
        <f t="shared" si="529"/>
        <v>46029.95833</v>
      </c>
      <c r="BR529" s="19">
        <f t="shared" si="529"/>
        <v>46029.97917</v>
      </c>
      <c r="BS529" s="19">
        <f t="shared" si="529"/>
        <v>46030</v>
      </c>
      <c r="BT529" s="19">
        <f t="shared" si="529"/>
        <v>46030.02083</v>
      </c>
      <c r="BU529" s="19">
        <f t="shared" si="529"/>
        <v>46030.04167</v>
      </c>
      <c r="BV529" s="19">
        <f t="shared" si="529"/>
        <v>46030.0625</v>
      </c>
      <c r="BW529" s="19">
        <f t="shared" si="529"/>
        <v>46030.08333</v>
      </c>
      <c r="BX529" s="19">
        <f t="shared" si="529"/>
        <v>46029</v>
      </c>
      <c r="BY529" s="19">
        <f t="shared" si="529"/>
        <v>46029</v>
      </c>
      <c r="BZ529" s="19">
        <f t="shared" si="529"/>
        <v>46029</v>
      </c>
    </row>
    <row r="530" ht="14.25" customHeight="1">
      <c r="A530" s="17">
        <v>46030.0</v>
      </c>
      <c r="B530" s="2" t="str">
        <f t="array" ref="B530">IF(NOW()&gt;AM530,"",IF(AND((WEEKDAY($A530)+$B$2)&gt;1,((WEEKDAY($A530)+$T$2)&lt;7),(WEEKDAY($A530)&lt;&gt;1)),"work",(INDEX(Subject!$A:$I,MATCH(RANDBETWEEN(1,(MAX(Subject!$B:$B))),Subject!$B:$B,0),3))))</f>
        <v/>
      </c>
      <c r="C530" s="2" t="str">
        <f t="array" ref="C530">IF(NOW()&gt;AN530,"",IF(AND((WEEKDAY($A530)+$B$2)&gt;1,((WEEKDAY($A530)+$T$2)&lt;7),(WEEKDAY($A530)&lt;&gt;1)),"work",(INDEX(Subject!$A:$I,MATCH(RANDBETWEEN(1,(MAX(Subject!$B:$B))),Subject!$B:$B,0),3))))</f>
        <v/>
      </c>
      <c r="D530" s="2" t="str">
        <f t="array" ref="D530">IF(NOW()&gt;AO530,"",IF(AND((WEEKDAY($A530)+$B$2)&gt;1,((WEEKDAY($A530)+$T$2)&lt;7),(WEEKDAY($A530)&lt;&gt;1)),"work",(INDEX(Subject!$A:$I,MATCH(RANDBETWEEN(1,(MAX(Subject!$B:$B))),Subject!$B:$B,0),3))))</f>
        <v/>
      </c>
      <c r="E530" s="2" t="str">
        <f t="array" ref="E530">IF(NOW()&gt;AP530,"",IF(AND((WEEKDAY($A530)+$B$2)&gt;1,((WEEKDAY($A530)+$T$2)&lt;7),(WEEKDAY($A530)&lt;&gt;1)),"work",(INDEX(Subject!$A:$I,MATCH(RANDBETWEEN(1,(MAX(Subject!$B:$B))),Subject!$B:$B,0),3))))</f>
        <v/>
      </c>
      <c r="F530" s="2" t="str">
        <f t="array" ref="F530">IF(NOW()&gt;AQ530,"",IF(AND((WEEKDAY($A530)+$B$2)&gt;1,((WEEKDAY($A530)+$T$2)&lt;7),(WEEKDAY($A530)&lt;&gt;1)),"work",(INDEX(Subject!$A:$I,MATCH(RANDBETWEEN(1,(MAX(Subject!$B:$B))),Subject!$B:$B,0),3))))</f>
        <v/>
      </c>
      <c r="G530" s="2" t="str">
        <f t="array" ref="G530">IF(NOW()&gt;AR530,"",IF(AND((WEEKDAY($A530)+$B$2)&gt;1,((WEEKDAY($A530)+$T$2)&lt;7),(WEEKDAY($A530)&lt;&gt;1)),"work",(INDEX(Subject!$A:$I,MATCH(RANDBETWEEN(1,(MAX(Subject!$B:$B))),Subject!$B:$B,0),3))))</f>
        <v/>
      </c>
      <c r="H530" s="2" t="str">
        <f t="array" ref="H530">IF(NOW()&gt;AS530,"",IF(AND((WEEKDAY($A530)+$B$2)&gt;1,((WEEKDAY($A530)+$T$2)&lt;7),(WEEKDAY($A530)&lt;&gt;1)),"work",(INDEX(Subject!$A:$I,MATCH(RANDBETWEEN(1,(MAX(Subject!$B:$B))),Subject!$B:$B,0),3))))</f>
        <v/>
      </c>
      <c r="I530" s="2" t="str">
        <f t="array" ref="I530">IF(NOW()&gt;AT530,"",IF(AND((WEEKDAY($A530)+$B$2)&gt;1,((WEEKDAY($A530)+$T$2)&lt;7),(WEEKDAY($A530)&lt;&gt;1)),"work",(INDEX(Subject!$A:$I,MATCH(RANDBETWEEN(1,(MAX(Subject!$B:$B))),Subject!$B:$B,0),3))))</f>
        <v/>
      </c>
      <c r="J530" s="2" t="str">
        <f t="array" ref="J530">IF(NOW()&gt;AU530,"",IF(AND((WEEKDAY($A530)+$B$2)&gt;1,((WEEKDAY($A530)+$T$2)&lt;7),(WEEKDAY($A530)&lt;&gt;1)),"work",(INDEX(Subject!$A:$I,MATCH(RANDBETWEEN(1,(MAX(Subject!$B:$B))),Subject!$B:$B,0),3))))</f>
        <v/>
      </c>
      <c r="K530" s="2" t="str">
        <f t="array" ref="K530">IF(NOW()&gt;AV530,"",IF(AND((WEEKDAY($A530)+$B$2)&gt;1,((WEEKDAY($A530)+$T$2)&lt;7),(WEEKDAY($A530)&lt;&gt;1)),"work",(INDEX(Subject!$A:$I,MATCH(RANDBETWEEN(1,(MAX(Subject!$B:$B))),Subject!$B:$B,0),3))))</f>
        <v/>
      </c>
      <c r="L530" s="2" t="str">
        <f t="array" ref="L530">IF(NOW()&gt;AW530,"",IF(AND((WEEKDAY($A530)+$B$2)&gt;1,((WEEKDAY($A530)+$T$2)&lt;7),(WEEKDAY($A530)&lt;&gt;1)),"work",(INDEX(Subject!$A:$I,MATCH(RANDBETWEEN(1,(MAX(Subject!$B:$B))),Subject!$B:$B,0),3))))</f>
        <v/>
      </c>
      <c r="M530" s="2" t="str">
        <f t="array" ref="M530">IF(NOW()&gt;AX530,"",IF(AND((WEEKDAY($A530)+$B$2)&gt;1,((WEEKDAY($A530)+$T$2)&lt;7),(WEEKDAY($A530)&lt;&gt;1)),"work",(INDEX(Subject!$A:$I,MATCH(RANDBETWEEN(1,(MAX(Subject!$B:$B))),Subject!$B:$B,0),3))))</f>
        <v/>
      </c>
      <c r="N530" s="2" t="str">
        <f t="array" ref="N530">IF(NOW()&gt;AY530,"",IF(AND((WEEKDAY($A530)+$B$2)&gt;1,((WEEKDAY($A530)+$T$2)&lt;7),(WEEKDAY($A530)&lt;&gt;1)),"work",(INDEX(Subject!$A:$I,MATCH(RANDBETWEEN(1,(MAX(Subject!$B:$B))),Subject!$B:$B,0),3))))</f>
        <v/>
      </c>
      <c r="O530" s="2" t="str">
        <f t="array" ref="O530">IF(NOW()&gt;AZ530,"",IF(AND((WEEKDAY($A530)+$B$2)&gt;1,((WEEKDAY($A530)+$T$2)&lt;7),(WEEKDAY($A530)&lt;&gt;1)),"work",(INDEX(Subject!$A:$I,MATCH(RANDBETWEEN(1,(MAX(Subject!$B:$B))),Subject!$B:$B,0),3))))</f>
        <v/>
      </c>
      <c r="P530" s="2" t="str">
        <f t="array" ref="P530">IF(NOW()&gt;BA530,"",IF(AND((WEEKDAY($A530)+$B$2)&gt;1,((WEEKDAY($A530)+$T$2)&lt;7),(WEEKDAY($A530)&lt;&gt;1)),"work",(INDEX(Subject!$A:$I,MATCH(RANDBETWEEN(1,(MAX(Subject!$B:$B))),Subject!$B:$B,0),3))))</f>
        <v/>
      </c>
      <c r="Q530" s="2" t="str">
        <f t="array" ref="Q530">IF(NOW()&gt;BB530,"",IF(AND((WEEKDAY($A530)+$B$2)&gt;1,((WEEKDAY($A530)+$T$2)&lt;7),(WEEKDAY($A530)&lt;&gt;1)),"work",(INDEX(Subject!$A:$I,MATCH(RANDBETWEEN(1,(MAX(Subject!$B:$B))),Subject!$B:$B,0),3))))</f>
        <v/>
      </c>
      <c r="R530" s="2" t="str">
        <f t="array" ref="R530">IF(NOW()&gt;BC530,"",IF(AND((WEEKDAY($A530)+$B$2)&gt;1,((WEEKDAY($A530)+$T$2)&lt;7),(WEEKDAY($A530)&lt;&gt;1)),"work",(INDEX(Subject!$A:$I,MATCH(RANDBETWEEN(1,(MAX(Subject!$B:$B))),Subject!$B:$B,0),3))))</f>
        <v/>
      </c>
      <c r="S530" s="2" t="str">
        <f t="array" ref="S530">IF(NOW()&gt;BD530,"",IF(AND((WEEKDAY($A530)+$B$2)&gt;1,((WEEKDAY($A530)+$T$2)&lt;7),(WEEKDAY($A530)&lt;&gt;1)),"work",(INDEX(Subject!$A:$I,MATCH(RANDBETWEEN(1,(MAX(Subject!$B:$B))),Subject!$B:$B,0),3))))</f>
        <v/>
      </c>
      <c r="T530" s="2" t="str">
        <f t="array" ref="T530">IF(NOW()&gt;BE530,"",IF(AND((WEEKDAY($A530)+$B$2)&gt;1,((WEEKDAY($A530)+$T$2)&lt;7),(WEEKDAY($A530)&lt;&gt;1)),"work",(INDEX(Subject!$A:$I,MATCH(RANDBETWEEN(1,(MAX(Subject!$B:$B))),Subject!$B:$B,0),3))))</f>
        <v/>
      </c>
      <c r="U530" s="8" t="str">
        <f t="array" ref="U530">INDEX(Subject!$A:$I,MATCH(RANDBETWEEN(1,16),Subject!$B:$B,0),3)</f>
        <v>#N/A</v>
      </c>
      <c r="V530" s="8" t="str">
        <f t="array" ref="V530">INDEX(Subject!$A:$I,MATCH(RANDBETWEEN(1,16),Subject!$B:$B,0),3)</f>
        <v>#N/A</v>
      </c>
      <c r="W530" s="8" t="str">
        <f t="array" ref="W530">INDEX(Subject!$A:$I,MATCH(RANDBETWEEN(1,16),Subject!$B:$B,0),3)</f>
        <v>#N/A</v>
      </c>
      <c r="X530" s="8" t="str">
        <f t="array" ref="X530">INDEX(Subject!$A:$I,MATCH(RANDBETWEEN(1,16),Subject!$B:$B,0),3)</f>
        <v>#N/A</v>
      </c>
      <c r="Y530" s="8" t="str">
        <f t="array" ref="Y530">INDEX(Subject!$A:$I,MATCH(RANDBETWEEN(1,16),Subject!$B:$B,0),3)</f>
        <v>#N/A</v>
      </c>
      <c r="Z530" s="8" t="str">
        <f t="array" ref="Z530">INDEX(Subject!$A:$I,MATCH(RANDBETWEEN(1,16),Subject!$B:$B,0),3)</f>
        <v>#N/A</v>
      </c>
      <c r="AA530" s="8" t="str">
        <f t="array" ref="AA530">INDEX(Subject!$A:$I,MATCH(RANDBETWEEN(1,16),Subject!$B:$B,0),3)</f>
        <v>#N/A</v>
      </c>
      <c r="AB530" s="8" t="str">
        <f t="array" ref="AB530">INDEX(Subject!$A:$I,MATCH(RANDBETWEEN(1,16),Subject!$B:$B,0),3)</f>
        <v>#N/A</v>
      </c>
      <c r="AC530" s="8" t="str">
        <f t="array" ref="AC530">INDEX(Subject!$A:$I,MATCH(RANDBETWEEN(1,16),Subject!$B:$B,0),3)</f>
        <v>#N/A</v>
      </c>
      <c r="AD530" s="8" t="str">
        <f t="array" ref="AD530">INDEX(Subject!$A:$I,MATCH(RANDBETWEEN(1,16),Subject!$B:$B,0),3)</f>
        <v>#N/A</v>
      </c>
      <c r="AE530" s="8" t="str">
        <f t="array" ref="AE530">INDEX(Subject!$A:$I,MATCH(RANDBETWEEN(1,16),Subject!$B:$B,0),3)</f>
        <v/>
      </c>
      <c r="AF530" s="8" t="str">
        <f t="array" ref="AF530">INDEX(Subject!$A:$I,MATCH(RANDBETWEEN(1,16),Subject!$B:$B,0),3)</f>
        <v>#N/A</v>
      </c>
      <c r="AG530" s="8" t="str">
        <f t="array" ref="AG530">INDEX(Subject!$A:$I,MATCH(RANDBETWEEN(1,16),Subject!$B:$B,0),3)</f>
        <v/>
      </c>
      <c r="AH530" s="8" t="str">
        <f t="array" ref="AH530">INDEX(Subject!$A:$I,MATCH(RANDBETWEEN(1,16),Subject!$B:$B,0),3)</f>
        <v>#N/A</v>
      </c>
      <c r="AI530" s="8" t="str">
        <f t="array" ref="AI530">INDEX(Subject!$A:$I,MATCH(RANDBETWEEN(1,16),Subject!$B:$B,0),3)</f>
        <v>#N/A</v>
      </c>
      <c r="AJ530" s="8" t="str">
        <f t="array" ref="AJ530">INDEX(Subject!$A:$I,MATCH(RANDBETWEEN(1,16),Subject!$B:$B,0),3)</f>
        <v/>
      </c>
      <c r="AK530" s="8" t="str">
        <f t="array" ref="AK530">INDEX(Subject!$A:$I,MATCH(RANDBETWEEN(1,16),Subject!$B:$B,0),3)</f>
        <v>#N/A</v>
      </c>
      <c r="AL530" s="8" t="str">
        <f t="array" ref="AL530">INDEX(Subject!$A:$I,MATCH(RANDBETWEEN(1,16),Subject!$B:$B,0),3)</f>
        <v>#N/A</v>
      </c>
      <c r="AM530" s="18">
        <f t="shared" si="4"/>
        <v>46030.33333</v>
      </c>
      <c r="AN530" s="19">
        <f t="shared" ref="AN530:BZ530" si="530">$A530+C$1</f>
        <v>46030.35417</v>
      </c>
      <c r="AO530" s="19">
        <f t="shared" si="530"/>
        <v>46030.375</v>
      </c>
      <c r="AP530" s="19">
        <f t="shared" si="530"/>
        <v>46030.39583</v>
      </c>
      <c r="AQ530" s="19">
        <f t="shared" si="530"/>
        <v>46030.41667</v>
      </c>
      <c r="AR530" s="19">
        <f t="shared" si="530"/>
        <v>46030.4375</v>
      </c>
      <c r="AS530" s="19">
        <f t="shared" si="530"/>
        <v>46030.45833</v>
      </c>
      <c r="AT530" s="19">
        <f t="shared" si="530"/>
        <v>46030.47917</v>
      </c>
      <c r="AU530" s="19">
        <f t="shared" si="530"/>
        <v>46030.5</v>
      </c>
      <c r="AV530" s="19">
        <f t="shared" si="530"/>
        <v>46030.52083</v>
      </c>
      <c r="AW530" s="19">
        <f t="shared" si="530"/>
        <v>46030.54167</v>
      </c>
      <c r="AX530" s="19">
        <f t="shared" si="530"/>
        <v>46030.5625</v>
      </c>
      <c r="AY530" s="19">
        <f t="shared" si="530"/>
        <v>46030.58333</v>
      </c>
      <c r="AZ530" s="19">
        <f t="shared" si="530"/>
        <v>46030.60417</v>
      </c>
      <c r="BA530" s="19">
        <f t="shared" si="530"/>
        <v>46030.625</v>
      </c>
      <c r="BB530" s="19">
        <f t="shared" si="530"/>
        <v>46030.64583</v>
      </c>
      <c r="BC530" s="19">
        <f t="shared" si="530"/>
        <v>46030.66667</v>
      </c>
      <c r="BD530" s="19">
        <f t="shared" si="530"/>
        <v>46030.6875</v>
      </c>
      <c r="BE530" s="19">
        <f t="shared" si="530"/>
        <v>46030.70833</v>
      </c>
      <c r="BF530" s="19">
        <f t="shared" si="530"/>
        <v>46030.72917</v>
      </c>
      <c r="BG530" s="19">
        <f t="shared" si="530"/>
        <v>46030.75</v>
      </c>
      <c r="BH530" s="19">
        <f t="shared" si="530"/>
        <v>46030.77083</v>
      </c>
      <c r="BI530" s="19">
        <f t="shared" si="530"/>
        <v>46030.79167</v>
      </c>
      <c r="BJ530" s="19">
        <f t="shared" si="530"/>
        <v>46030.8125</v>
      </c>
      <c r="BK530" s="19">
        <f t="shared" si="530"/>
        <v>46030.83333</v>
      </c>
      <c r="BL530" s="19">
        <f t="shared" si="530"/>
        <v>46030.85417</v>
      </c>
      <c r="BM530" s="19">
        <f t="shared" si="530"/>
        <v>46030.875</v>
      </c>
      <c r="BN530" s="19">
        <f t="shared" si="530"/>
        <v>46030.89583</v>
      </c>
      <c r="BO530" s="19">
        <f t="shared" si="530"/>
        <v>46030.91667</v>
      </c>
      <c r="BP530" s="19">
        <f t="shared" si="530"/>
        <v>46030.9375</v>
      </c>
      <c r="BQ530" s="19">
        <f t="shared" si="530"/>
        <v>46030.95833</v>
      </c>
      <c r="BR530" s="19">
        <f t="shared" si="530"/>
        <v>46030.97917</v>
      </c>
      <c r="BS530" s="19">
        <f t="shared" si="530"/>
        <v>46031</v>
      </c>
      <c r="BT530" s="19">
        <f t="shared" si="530"/>
        <v>46031.02083</v>
      </c>
      <c r="BU530" s="19">
        <f t="shared" si="530"/>
        <v>46031.04167</v>
      </c>
      <c r="BV530" s="19">
        <f t="shared" si="530"/>
        <v>46031.0625</v>
      </c>
      <c r="BW530" s="19">
        <f t="shared" si="530"/>
        <v>46031.08333</v>
      </c>
      <c r="BX530" s="19">
        <f t="shared" si="530"/>
        <v>46030</v>
      </c>
      <c r="BY530" s="19">
        <f t="shared" si="530"/>
        <v>46030</v>
      </c>
      <c r="BZ530" s="19">
        <f t="shared" si="530"/>
        <v>46030</v>
      </c>
    </row>
    <row r="531" ht="14.25" customHeight="1">
      <c r="A531" s="17">
        <v>46031.0</v>
      </c>
      <c r="B531" s="2" t="str">
        <f t="array" ref="B531">IF(NOW()&gt;AM531,"",IF(AND((WEEKDAY($A531)+$B$2)&gt;1,((WEEKDAY($A531)+$T$2)&lt;7),(WEEKDAY($A531)&lt;&gt;1)),"work",(INDEX(Subject!$A:$I,MATCH(RANDBETWEEN(1,(MAX(Subject!$B:$B))),Subject!$B:$B,0),3))))</f>
        <v/>
      </c>
      <c r="C531" s="2" t="str">
        <f t="array" ref="C531">IF(NOW()&gt;AN531,"",IF(AND((WEEKDAY($A531)+$B$2)&gt;1,((WEEKDAY($A531)+$T$2)&lt;7),(WEEKDAY($A531)&lt;&gt;1)),"work",(INDEX(Subject!$A:$I,MATCH(RANDBETWEEN(1,(MAX(Subject!$B:$B))),Subject!$B:$B,0),3))))</f>
        <v/>
      </c>
      <c r="D531" s="2" t="str">
        <f t="array" ref="D531">IF(NOW()&gt;AO531,"",IF(AND((WEEKDAY($A531)+$B$2)&gt;1,((WEEKDAY($A531)+$T$2)&lt;7),(WEEKDAY($A531)&lt;&gt;1)),"work",(INDEX(Subject!$A:$I,MATCH(RANDBETWEEN(1,(MAX(Subject!$B:$B))),Subject!$B:$B,0),3))))</f>
        <v/>
      </c>
      <c r="E531" s="2" t="str">
        <f t="array" ref="E531">IF(NOW()&gt;AP531,"",IF(AND((WEEKDAY($A531)+$B$2)&gt;1,((WEEKDAY($A531)+$T$2)&lt;7),(WEEKDAY($A531)&lt;&gt;1)),"work",(INDEX(Subject!$A:$I,MATCH(RANDBETWEEN(1,(MAX(Subject!$B:$B))),Subject!$B:$B,0),3))))</f>
        <v/>
      </c>
      <c r="F531" s="2" t="str">
        <f t="array" ref="F531">IF(NOW()&gt;AQ531,"",IF(AND((WEEKDAY($A531)+$B$2)&gt;1,((WEEKDAY($A531)+$T$2)&lt;7),(WEEKDAY($A531)&lt;&gt;1)),"work",(INDEX(Subject!$A:$I,MATCH(RANDBETWEEN(1,(MAX(Subject!$B:$B))),Subject!$B:$B,0),3))))</f>
        <v/>
      </c>
      <c r="G531" s="2" t="str">
        <f t="array" ref="G531">IF(NOW()&gt;AR531,"",IF(AND((WEEKDAY($A531)+$B$2)&gt;1,((WEEKDAY($A531)+$T$2)&lt;7),(WEEKDAY($A531)&lt;&gt;1)),"work",(INDEX(Subject!$A:$I,MATCH(RANDBETWEEN(1,(MAX(Subject!$B:$B))),Subject!$B:$B,0),3))))</f>
        <v/>
      </c>
      <c r="H531" s="2" t="str">
        <f t="array" ref="H531">IF(NOW()&gt;AS531,"",IF(AND((WEEKDAY($A531)+$B$2)&gt;1,((WEEKDAY($A531)+$T$2)&lt;7),(WEEKDAY($A531)&lt;&gt;1)),"work",(INDEX(Subject!$A:$I,MATCH(RANDBETWEEN(1,(MAX(Subject!$B:$B))),Subject!$B:$B,0),3))))</f>
        <v/>
      </c>
      <c r="I531" s="2" t="str">
        <f t="array" ref="I531">IF(NOW()&gt;AT531,"",IF(AND((WEEKDAY($A531)+$B$2)&gt;1,((WEEKDAY($A531)+$T$2)&lt;7),(WEEKDAY($A531)&lt;&gt;1)),"work",(INDEX(Subject!$A:$I,MATCH(RANDBETWEEN(1,(MAX(Subject!$B:$B))),Subject!$B:$B,0),3))))</f>
        <v/>
      </c>
      <c r="J531" s="2" t="str">
        <f t="array" ref="J531">IF(NOW()&gt;AU531,"",IF(AND((WEEKDAY($A531)+$B$2)&gt;1,((WEEKDAY($A531)+$T$2)&lt;7),(WEEKDAY($A531)&lt;&gt;1)),"work",(INDEX(Subject!$A:$I,MATCH(RANDBETWEEN(1,(MAX(Subject!$B:$B))),Subject!$B:$B,0),3))))</f>
        <v/>
      </c>
      <c r="K531" s="2" t="str">
        <f t="array" ref="K531">IF(NOW()&gt;AV531,"",IF(AND((WEEKDAY($A531)+$B$2)&gt;1,((WEEKDAY($A531)+$T$2)&lt;7),(WEEKDAY($A531)&lt;&gt;1)),"work",(INDEX(Subject!$A:$I,MATCH(RANDBETWEEN(1,(MAX(Subject!$B:$B))),Subject!$B:$B,0),3))))</f>
        <v/>
      </c>
      <c r="L531" s="2" t="str">
        <f t="array" ref="L531">IF(NOW()&gt;AW531,"",IF(AND((WEEKDAY($A531)+$B$2)&gt;1,((WEEKDAY($A531)+$T$2)&lt;7),(WEEKDAY($A531)&lt;&gt;1)),"work",(INDEX(Subject!$A:$I,MATCH(RANDBETWEEN(1,(MAX(Subject!$B:$B))),Subject!$B:$B,0),3))))</f>
        <v/>
      </c>
      <c r="M531" s="2" t="str">
        <f t="array" ref="M531">IF(NOW()&gt;AX531,"",IF(AND((WEEKDAY($A531)+$B$2)&gt;1,((WEEKDAY($A531)+$T$2)&lt;7),(WEEKDAY($A531)&lt;&gt;1)),"work",(INDEX(Subject!$A:$I,MATCH(RANDBETWEEN(1,(MAX(Subject!$B:$B))),Subject!$B:$B,0),3))))</f>
        <v/>
      </c>
      <c r="N531" s="2" t="str">
        <f t="array" ref="N531">IF(NOW()&gt;AY531,"",IF(AND((WEEKDAY($A531)+$B$2)&gt;1,((WEEKDAY($A531)+$T$2)&lt;7),(WEEKDAY($A531)&lt;&gt;1)),"work",(INDEX(Subject!$A:$I,MATCH(RANDBETWEEN(1,(MAX(Subject!$B:$B))),Subject!$B:$B,0),3))))</f>
        <v/>
      </c>
      <c r="O531" s="2" t="str">
        <f t="array" ref="O531">IF(NOW()&gt;AZ531,"",IF(AND((WEEKDAY($A531)+$B$2)&gt;1,((WEEKDAY($A531)+$T$2)&lt;7),(WEEKDAY($A531)&lt;&gt;1)),"work",(INDEX(Subject!$A:$I,MATCH(RANDBETWEEN(1,(MAX(Subject!$B:$B))),Subject!$B:$B,0),3))))</f>
        <v/>
      </c>
      <c r="P531" s="2" t="str">
        <f t="array" ref="P531">IF(NOW()&gt;BA531,"",IF(AND((WEEKDAY($A531)+$B$2)&gt;1,((WEEKDAY($A531)+$T$2)&lt;7),(WEEKDAY($A531)&lt;&gt;1)),"work",(INDEX(Subject!$A:$I,MATCH(RANDBETWEEN(1,(MAX(Subject!$B:$B))),Subject!$B:$B,0),3))))</f>
        <v/>
      </c>
      <c r="Q531" s="2" t="str">
        <f t="array" ref="Q531">IF(NOW()&gt;BB531,"",IF(AND((WEEKDAY($A531)+$B$2)&gt;1,((WEEKDAY($A531)+$T$2)&lt;7),(WEEKDAY($A531)&lt;&gt;1)),"work",(INDEX(Subject!$A:$I,MATCH(RANDBETWEEN(1,(MAX(Subject!$B:$B))),Subject!$B:$B,0),3))))</f>
        <v/>
      </c>
      <c r="R531" s="2" t="str">
        <f t="array" ref="R531">IF(NOW()&gt;BC531,"",IF(AND((WEEKDAY($A531)+$B$2)&gt;1,((WEEKDAY($A531)+$T$2)&lt;7),(WEEKDAY($A531)&lt;&gt;1)),"work",(INDEX(Subject!$A:$I,MATCH(RANDBETWEEN(1,(MAX(Subject!$B:$B))),Subject!$B:$B,0),3))))</f>
        <v/>
      </c>
      <c r="S531" s="2" t="str">
        <f t="array" ref="S531">IF(NOW()&gt;BD531,"",IF(AND((WEEKDAY($A531)+$B$2)&gt;1,((WEEKDAY($A531)+$T$2)&lt;7),(WEEKDAY($A531)&lt;&gt;1)),"work",(INDEX(Subject!$A:$I,MATCH(RANDBETWEEN(1,(MAX(Subject!$B:$B))),Subject!$B:$B,0),3))))</f>
        <v/>
      </c>
      <c r="T531" s="2" t="str">
        <f t="array" ref="T531">IF(NOW()&gt;BE531,"",IF(AND((WEEKDAY($A531)+$B$2)&gt;1,((WEEKDAY($A531)+$T$2)&lt;7),(WEEKDAY($A531)&lt;&gt;1)),"work",(INDEX(Subject!$A:$I,MATCH(RANDBETWEEN(1,(MAX(Subject!$B:$B))),Subject!$B:$B,0),3))))</f>
        <v/>
      </c>
      <c r="U531" s="8" t="str">
        <f t="array" ref="U531">INDEX(Subject!$A:$I,MATCH(RANDBETWEEN(1,16),Subject!$B:$B,0),3)</f>
        <v>#N/A</v>
      </c>
      <c r="V531" s="8" t="str">
        <f t="array" ref="V531">INDEX(Subject!$A:$I,MATCH(RANDBETWEEN(1,16),Subject!$B:$B,0),3)</f>
        <v>#N/A</v>
      </c>
      <c r="W531" s="8" t="str">
        <f t="array" ref="W531">INDEX(Subject!$A:$I,MATCH(RANDBETWEEN(1,16),Subject!$B:$B,0),3)</f>
        <v>#N/A</v>
      </c>
      <c r="X531" s="8" t="str">
        <f t="array" ref="X531">INDEX(Subject!$A:$I,MATCH(RANDBETWEEN(1,16),Subject!$B:$B,0),3)</f>
        <v>#N/A</v>
      </c>
      <c r="Y531" s="8" t="str">
        <f t="array" ref="Y531">INDEX(Subject!$A:$I,MATCH(RANDBETWEEN(1,16),Subject!$B:$B,0),3)</f>
        <v>#N/A</v>
      </c>
      <c r="Z531" s="8" t="str">
        <f t="array" ref="Z531">INDEX(Subject!$A:$I,MATCH(RANDBETWEEN(1,16),Subject!$B:$B,0),3)</f>
        <v>#N/A</v>
      </c>
      <c r="AA531" s="8" t="str">
        <f t="array" ref="AA531">INDEX(Subject!$A:$I,MATCH(RANDBETWEEN(1,16),Subject!$B:$B,0),3)</f>
        <v>#N/A</v>
      </c>
      <c r="AB531" s="8" t="str">
        <f t="array" ref="AB531">INDEX(Subject!$A:$I,MATCH(RANDBETWEEN(1,16),Subject!$B:$B,0),3)</f>
        <v>#N/A</v>
      </c>
      <c r="AC531" s="8" t="str">
        <f t="array" ref="AC531">INDEX(Subject!$A:$I,MATCH(RANDBETWEEN(1,16),Subject!$B:$B,0),3)</f>
        <v>#N/A</v>
      </c>
      <c r="AD531" s="8" t="str">
        <f t="array" ref="AD531">INDEX(Subject!$A:$I,MATCH(RANDBETWEEN(1,16),Subject!$B:$B,0),3)</f>
        <v>#N/A</v>
      </c>
      <c r="AE531" s="8" t="str">
        <f t="array" ref="AE531">INDEX(Subject!$A:$I,MATCH(RANDBETWEEN(1,16),Subject!$B:$B,0),3)</f>
        <v>#N/A</v>
      </c>
      <c r="AF531" s="8" t="str">
        <f t="array" ref="AF531">INDEX(Subject!$A:$I,MATCH(RANDBETWEEN(1,16),Subject!$B:$B,0),3)</f>
        <v>#N/A</v>
      </c>
      <c r="AG531" s="8" t="str">
        <f t="array" ref="AG531">INDEX(Subject!$A:$I,MATCH(RANDBETWEEN(1,16),Subject!$B:$B,0),3)</f>
        <v>#N/A</v>
      </c>
      <c r="AH531" s="8" t="str">
        <f t="array" ref="AH531">INDEX(Subject!$A:$I,MATCH(RANDBETWEEN(1,16),Subject!$B:$B,0),3)</f>
        <v>#N/A</v>
      </c>
      <c r="AI531" s="8" t="str">
        <f t="array" ref="AI531">INDEX(Subject!$A:$I,MATCH(RANDBETWEEN(1,16),Subject!$B:$B,0),3)</f>
        <v>#N/A</v>
      </c>
      <c r="AJ531" s="8" t="str">
        <f t="array" ref="AJ531">INDEX(Subject!$A:$I,MATCH(RANDBETWEEN(1,16),Subject!$B:$B,0),3)</f>
        <v>#N/A</v>
      </c>
      <c r="AK531" s="8" t="str">
        <f t="array" ref="AK531">INDEX(Subject!$A:$I,MATCH(RANDBETWEEN(1,16),Subject!$B:$B,0),3)</f>
        <v>#N/A</v>
      </c>
      <c r="AL531" s="8" t="str">
        <f t="array" ref="AL531">INDEX(Subject!$A:$I,MATCH(RANDBETWEEN(1,16),Subject!$B:$B,0),3)</f>
        <v>#N/A</v>
      </c>
      <c r="AM531" s="18">
        <f t="shared" si="4"/>
        <v>46031.33333</v>
      </c>
      <c r="AN531" s="19">
        <f t="shared" ref="AN531:BZ531" si="531">$A531+C$1</f>
        <v>46031.35417</v>
      </c>
      <c r="AO531" s="19">
        <f t="shared" si="531"/>
        <v>46031.375</v>
      </c>
      <c r="AP531" s="19">
        <f t="shared" si="531"/>
        <v>46031.39583</v>
      </c>
      <c r="AQ531" s="19">
        <f t="shared" si="531"/>
        <v>46031.41667</v>
      </c>
      <c r="AR531" s="19">
        <f t="shared" si="531"/>
        <v>46031.4375</v>
      </c>
      <c r="AS531" s="19">
        <f t="shared" si="531"/>
        <v>46031.45833</v>
      </c>
      <c r="AT531" s="19">
        <f t="shared" si="531"/>
        <v>46031.47917</v>
      </c>
      <c r="AU531" s="19">
        <f t="shared" si="531"/>
        <v>46031.5</v>
      </c>
      <c r="AV531" s="19">
        <f t="shared" si="531"/>
        <v>46031.52083</v>
      </c>
      <c r="AW531" s="19">
        <f t="shared" si="531"/>
        <v>46031.54167</v>
      </c>
      <c r="AX531" s="19">
        <f t="shared" si="531"/>
        <v>46031.5625</v>
      </c>
      <c r="AY531" s="19">
        <f t="shared" si="531"/>
        <v>46031.58333</v>
      </c>
      <c r="AZ531" s="19">
        <f t="shared" si="531"/>
        <v>46031.60417</v>
      </c>
      <c r="BA531" s="19">
        <f t="shared" si="531"/>
        <v>46031.625</v>
      </c>
      <c r="BB531" s="19">
        <f t="shared" si="531"/>
        <v>46031.64583</v>
      </c>
      <c r="BC531" s="19">
        <f t="shared" si="531"/>
        <v>46031.66667</v>
      </c>
      <c r="BD531" s="19">
        <f t="shared" si="531"/>
        <v>46031.6875</v>
      </c>
      <c r="BE531" s="19">
        <f t="shared" si="531"/>
        <v>46031.70833</v>
      </c>
      <c r="BF531" s="19">
        <f t="shared" si="531"/>
        <v>46031.72917</v>
      </c>
      <c r="BG531" s="19">
        <f t="shared" si="531"/>
        <v>46031.75</v>
      </c>
      <c r="BH531" s="19">
        <f t="shared" si="531"/>
        <v>46031.77083</v>
      </c>
      <c r="BI531" s="19">
        <f t="shared" si="531"/>
        <v>46031.79167</v>
      </c>
      <c r="BJ531" s="19">
        <f t="shared" si="531"/>
        <v>46031.8125</v>
      </c>
      <c r="BK531" s="19">
        <f t="shared" si="531"/>
        <v>46031.83333</v>
      </c>
      <c r="BL531" s="19">
        <f t="shared" si="531"/>
        <v>46031.85417</v>
      </c>
      <c r="BM531" s="19">
        <f t="shared" si="531"/>
        <v>46031.875</v>
      </c>
      <c r="BN531" s="19">
        <f t="shared" si="531"/>
        <v>46031.89583</v>
      </c>
      <c r="BO531" s="19">
        <f t="shared" si="531"/>
        <v>46031.91667</v>
      </c>
      <c r="BP531" s="19">
        <f t="shared" si="531"/>
        <v>46031.9375</v>
      </c>
      <c r="BQ531" s="19">
        <f t="shared" si="531"/>
        <v>46031.95833</v>
      </c>
      <c r="BR531" s="19">
        <f t="shared" si="531"/>
        <v>46031.97917</v>
      </c>
      <c r="BS531" s="19">
        <f t="shared" si="531"/>
        <v>46032</v>
      </c>
      <c r="BT531" s="19">
        <f t="shared" si="531"/>
        <v>46032.02083</v>
      </c>
      <c r="BU531" s="19">
        <f t="shared" si="531"/>
        <v>46032.04167</v>
      </c>
      <c r="BV531" s="19">
        <f t="shared" si="531"/>
        <v>46032.0625</v>
      </c>
      <c r="BW531" s="19">
        <f t="shared" si="531"/>
        <v>46032.08333</v>
      </c>
      <c r="BX531" s="19">
        <f t="shared" si="531"/>
        <v>46031</v>
      </c>
      <c r="BY531" s="19">
        <f t="shared" si="531"/>
        <v>46031</v>
      </c>
      <c r="BZ531" s="19">
        <f t="shared" si="531"/>
        <v>46031</v>
      </c>
    </row>
    <row r="532" ht="14.25" customHeight="1">
      <c r="A532" s="17">
        <v>46032.0</v>
      </c>
      <c r="B532" s="2" t="str">
        <f t="array" ref="B532">IF(NOW()&gt;AM532,"",IF(AND((WEEKDAY($A532)+$B$2)&gt;1,((WEEKDAY($A532)+$T$2)&lt;7),(WEEKDAY($A532)&lt;&gt;1)),"work",(INDEX(Subject!$A:$I,MATCH(RANDBETWEEN(1,(MAX(Subject!$B:$B))),Subject!$B:$B,0),3))))</f>
        <v/>
      </c>
      <c r="C532" s="2" t="str">
        <f t="array" ref="C532">IF(NOW()&gt;AN532,"",IF(AND((WEEKDAY($A532)+$B$2)&gt;1,((WEEKDAY($A532)+$T$2)&lt;7),(WEEKDAY($A532)&lt;&gt;1)),"work",(INDEX(Subject!$A:$I,MATCH(RANDBETWEEN(1,(MAX(Subject!$B:$B))),Subject!$B:$B,0),3))))</f>
        <v/>
      </c>
      <c r="D532" s="2" t="str">
        <f t="array" ref="D532">IF(NOW()&gt;AO532,"",IF(AND((WEEKDAY($A532)+$B$2)&gt;1,((WEEKDAY($A532)+$T$2)&lt;7),(WEEKDAY($A532)&lt;&gt;1)),"work",(INDEX(Subject!$A:$I,MATCH(RANDBETWEEN(1,(MAX(Subject!$B:$B))),Subject!$B:$B,0),3))))</f>
        <v/>
      </c>
      <c r="E532" s="2" t="str">
        <f t="array" ref="E532">IF(NOW()&gt;AP532,"",IF(AND((WEEKDAY($A532)+$B$2)&gt;1,((WEEKDAY($A532)+$T$2)&lt;7),(WEEKDAY($A532)&lt;&gt;1)),"work",(INDEX(Subject!$A:$I,MATCH(RANDBETWEEN(1,(MAX(Subject!$B:$B))),Subject!$B:$B,0),3))))</f>
        <v/>
      </c>
      <c r="F532" s="2" t="str">
        <f t="array" ref="F532">IF(NOW()&gt;AQ532,"",IF(AND((WEEKDAY($A532)+$B$2)&gt;1,((WEEKDAY($A532)+$T$2)&lt;7),(WEEKDAY($A532)&lt;&gt;1)),"work",(INDEX(Subject!$A:$I,MATCH(RANDBETWEEN(1,(MAX(Subject!$B:$B))),Subject!$B:$B,0),3))))</f>
        <v/>
      </c>
      <c r="G532" s="2" t="str">
        <f t="array" ref="G532">IF(NOW()&gt;AR532,"",IF(AND((WEEKDAY($A532)+$B$2)&gt;1,((WEEKDAY($A532)+$T$2)&lt;7),(WEEKDAY($A532)&lt;&gt;1)),"work",(INDEX(Subject!$A:$I,MATCH(RANDBETWEEN(1,(MAX(Subject!$B:$B))),Subject!$B:$B,0),3))))</f>
        <v/>
      </c>
      <c r="H532" s="2" t="str">
        <f t="array" ref="H532">IF(NOW()&gt;AS532,"",IF(AND((WEEKDAY($A532)+$B$2)&gt;1,((WEEKDAY($A532)+$T$2)&lt;7),(WEEKDAY($A532)&lt;&gt;1)),"work",(INDEX(Subject!$A:$I,MATCH(RANDBETWEEN(1,(MAX(Subject!$B:$B))),Subject!$B:$B,0),3))))</f>
        <v/>
      </c>
      <c r="I532" s="2" t="str">
        <f t="array" ref="I532">IF(NOW()&gt;AT532,"",IF(AND((WEEKDAY($A532)+$B$2)&gt;1,((WEEKDAY($A532)+$T$2)&lt;7),(WEEKDAY($A532)&lt;&gt;1)),"work",(INDEX(Subject!$A:$I,MATCH(RANDBETWEEN(1,(MAX(Subject!$B:$B))),Subject!$B:$B,0),3))))</f>
        <v/>
      </c>
      <c r="J532" s="2" t="str">
        <f t="array" ref="J532">IF(NOW()&gt;AU532,"",IF(AND((WEEKDAY($A532)+$B$2)&gt;1,((WEEKDAY($A532)+$T$2)&lt;7),(WEEKDAY($A532)&lt;&gt;1)),"work",(INDEX(Subject!$A:$I,MATCH(RANDBETWEEN(1,(MAX(Subject!$B:$B))),Subject!$B:$B,0),3))))</f>
        <v/>
      </c>
      <c r="K532" s="2" t="str">
        <f t="array" ref="K532">IF(NOW()&gt;AV532,"",IF(AND((WEEKDAY($A532)+$B$2)&gt;1,((WEEKDAY($A532)+$T$2)&lt;7),(WEEKDAY($A532)&lt;&gt;1)),"work",(INDEX(Subject!$A:$I,MATCH(RANDBETWEEN(1,(MAX(Subject!$B:$B))),Subject!$B:$B,0),3))))</f>
        <v/>
      </c>
      <c r="L532" s="2" t="str">
        <f t="array" ref="L532">IF(NOW()&gt;AW532,"",IF(AND((WEEKDAY($A532)+$B$2)&gt;1,((WEEKDAY($A532)+$T$2)&lt;7),(WEEKDAY($A532)&lt;&gt;1)),"work",(INDEX(Subject!$A:$I,MATCH(RANDBETWEEN(1,(MAX(Subject!$B:$B))),Subject!$B:$B,0),3))))</f>
        <v/>
      </c>
      <c r="M532" s="2" t="str">
        <f t="array" ref="M532">IF(NOW()&gt;AX532,"",IF(AND((WEEKDAY($A532)+$B$2)&gt;1,((WEEKDAY($A532)+$T$2)&lt;7),(WEEKDAY($A532)&lt;&gt;1)),"work",(INDEX(Subject!$A:$I,MATCH(RANDBETWEEN(1,(MAX(Subject!$B:$B))),Subject!$B:$B,0),3))))</f>
        <v/>
      </c>
      <c r="N532" s="2" t="str">
        <f t="array" ref="N532">IF(NOW()&gt;AY532,"",IF(AND((WEEKDAY($A532)+$B$2)&gt;1,((WEEKDAY($A532)+$T$2)&lt;7),(WEEKDAY($A532)&lt;&gt;1)),"work",(INDEX(Subject!$A:$I,MATCH(RANDBETWEEN(1,(MAX(Subject!$B:$B))),Subject!$B:$B,0),3))))</f>
        <v/>
      </c>
      <c r="O532" s="2" t="str">
        <f t="array" ref="O532">IF(NOW()&gt;AZ532,"",IF(AND((WEEKDAY($A532)+$B$2)&gt;1,((WEEKDAY($A532)+$T$2)&lt;7),(WEEKDAY($A532)&lt;&gt;1)),"work",(INDEX(Subject!$A:$I,MATCH(RANDBETWEEN(1,(MAX(Subject!$B:$B))),Subject!$B:$B,0),3))))</f>
        <v/>
      </c>
      <c r="P532" s="2" t="str">
        <f t="array" ref="P532">IF(NOW()&gt;BA532,"",IF(AND((WEEKDAY($A532)+$B$2)&gt;1,((WEEKDAY($A532)+$T$2)&lt;7),(WEEKDAY($A532)&lt;&gt;1)),"work",(INDEX(Subject!$A:$I,MATCH(RANDBETWEEN(1,(MAX(Subject!$B:$B))),Subject!$B:$B,0),3))))</f>
        <v/>
      </c>
      <c r="Q532" s="2" t="str">
        <f t="array" ref="Q532">IF(NOW()&gt;BB532,"",IF(AND((WEEKDAY($A532)+$B$2)&gt;1,((WEEKDAY($A532)+$T$2)&lt;7),(WEEKDAY($A532)&lt;&gt;1)),"work",(INDEX(Subject!$A:$I,MATCH(RANDBETWEEN(1,(MAX(Subject!$B:$B))),Subject!$B:$B,0),3))))</f>
        <v/>
      </c>
      <c r="R532" s="2" t="str">
        <f t="array" ref="R532">IF(NOW()&gt;BC532,"",IF(AND((WEEKDAY($A532)+$B$2)&gt;1,((WEEKDAY($A532)+$T$2)&lt;7),(WEEKDAY($A532)&lt;&gt;1)),"work",(INDEX(Subject!$A:$I,MATCH(RANDBETWEEN(1,(MAX(Subject!$B:$B))),Subject!$B:$B,0),3))))</f>
        <v/>
      </c>
      <c r="S532" s="2" t="str">
        <f t="array" ref="S532">IF(NOW()&gt;BD532,"",IF(AND((WEEKDAY($A532)+$B$2)&gt;1,((WEEKDAY($A532)+$T$2)&lt;7),(WEEKDAY($A532)&lt;&gt;1)),"work",(INDEX(Subject!$A:$I,MATCH(RANDBETWEEN(1,(MAX(Subject!$B:$B))),Subject!$B:$B,0),3))))</f>
        <v/>
      </c>
      <c r="T532" s="2" t="str">
        <f t="array" ref="T532">IF(NOW()&gt;BE532,"",IF(AND((WEEKDAY($A532)+$B$2)&gt;1,((WEEKDAY($A532)+$T$2)&lt;7),(WEEKDAY($A532)&lt;&gt;1)),"work",(INDEX(Subject!$A:$I,MATCH(RANDBETWEEN(1,(MAX(Subject!$B:$B))),Subject!$B:$B,0),3))))</f>
        <v/>
      </c>
      <c r="U532" s="8" t="str">
        <f t="array" ref="U532">INDEX(Subject!$A:$I,MATCH(RANDBETWEEN(1,16),Subject!$B:$B,0),3)</f>
        <v>#N/A</v>
      </c>
      <c r="V532" s="8" t="str">
        <f t="array" ref="V532">INDEX(Subject!$A:$I,MATCH(RANDBETWEEN(1,16),Subject!$B:$B,0),3)</f>
        <v>#N/A</v>
      </c>
      <c r="W532" s="8" t="str">
        <f t="array" ref="W532">INDEX(Subject!$A:$I,MATCH(RANDBETWEEN(1,16),Subject!$B:$B,0),3)</f>
        <v>#N/A</v>
      </c>
      <c r="X532" s="8" t="str">
        <f t="array" ref="X532">INDEX(Subject!$A:$I,MATCH(RANDBETWEEN(1,16),Subject!$B:$B,0),3)</f>
        <v>#N/A</v>
      </c>
      <c r="Y532" s="8" t="str">
        <f t="array" ref="Y532">INDEX(Subject!$A:$I,MATCH(RANDBETWEEN(1,16),Subject!$B:$B,0),3)</f>
        <v>#N/A</v>
      </c>
      <c r="Z532" s="8" t="str">
        <f t="array" ref="Z532">INDEX(Subject!$A:$I,MATCH(RANDBETWEEN(1,16),Subject!$B:$B,0),3)</f>
        <v>#N/A</v>
      </c>
      <c r="AA532" s="8" t="str">
        <f t="array" ref="AA532">INDEX(Subject!$A:$I,MATCH(RANDBETWEEN(1,16),Subject!$B:$B,0),3)</f>
        <v>#N/A</v>
      </c>
      <c r="AB532" s="8" t="str">
        <f t="array" ref="AB532">INDEX(Subject!$A:$I,MATCH(RANDBETWEEN(1,16),Subject!$B:$B,0),3)</f>
        <v>#N/A</v>
      </c>
      <c r="AC532" s="8" t="str">
        <f t="array" ref="AC532">INDEX(Subject!$A:$I,MATCH(RANDBETWEEN(1,16),Subject!$B:$B,0),3)</f>
        <v>#N/A</v>
      </c>
      <c r="AD532" s="8" t="str">
        <f t="array" ref="AD532">INDEX(Subject!$A:$I,MATCH(RANDBETWEEN(1,16),Subject!$B:$B,0),3)</f>
        <v>#N/A</v>
      </c>
      <c r="AE532" s="8" t="str">
        <f t="array" ref="AE532">INDEX(Subject!$A:$I,MATCH(RANDBETWEEN(1,16),Subject!$B:$B,0),3)</f>
        <v>#N/A</v>
      </c>
      <c r="AF532" s="8" t="str">
        <f t="array" ref="AF532">INDEX(Subject!$A:$I,MATCH(RANDBETWEEN(1,16),Subject!$B:$B,0),3)</f>
        <v>#N/A</v>
      </c>
      <c r="AG532" s="8" t="str">
        <f t="array" ref="AG532">INDEX(Subject!$A:$I,MATCH(RANDBETWEEN(1,16),Subject!$B:$B,0),3)</f>
        <v>#N/A</v>
      </c>
      <c r="AH532" s="8" t="str">
        <f t="array" ref="AH532">INDEX(Subject!$A:$I,MATCH(RANDBETWEEN(1,16),Subject!$B:$B,0),3)</f>
        <v>#N/A</v>
      </c>
      <c r="AI532" s="8" t="str">
        <f t="array" ref="AI532">INDEX(Subject!$A:$I,MATCH(RANDBETWEEN(1,16),Subject!$B:$B,0),3)</f>
        <v/>
      </c>
      <c r="AJ532" s="8" t="str">
        <f t="array" ref="AJ532">INDEX(Subject!$A:$I,MATCH(RANDBETWEEN(1,16),Subject!$B:$B,0),3)</f>
        <v/>
      </c>
      <c r="AK532" s="8" t="str">
        <f t="array" ref="AK532">INDEX(Subject!$A:$I,MATCH(RANDBETWEEN(1,16),Subject!$B:$B,0),3)</f>
        <v>#N/A</v>
      </c>
      <c r="AL532" s="8" t="str">
        <f t="array" ref="AL532">INDEX(Subject!$A:$I,MATCH(RANDBETWEEN(1,16),Subject!$B:$B,0),3)</f>
        <v>#N/A</v>
      </c>
      <c r="AM532" s="18">
        <f t="shared" si="4"/>
        <v>46032.33333</v>
      </c>
      <c r="AN532" s="19">
        <f t="shared" ref="AN532:BZ532" si="532">$A532+C$1</f>
        <v>46032.35417</v>
      </c>
      <c r="AO532" s="19">
        <f t="shared" si="532"/>
        <v>46032.375</v>
      </c>
      <c r="AP532" s="19">
        <f t="shared" si="532"/>
        <v>46032.39583</v>
      </c>
      <c r="AQ532" s="19">
        <f t="shared" si="532"/>
        <v>46032.41667</v>
      </c>
      <c r="AR532" s="19">
        <f t="shared" si="532"/>
        <v>46032.4375</v>
      </c>
      <c r="AS532" s="19">
        <f t="shared" si="532"/>
        <v>46032.45833</v>
      </c>
      <c r="AT532" s="19">
        <f t="shared" si="532"/>
        <v>46032.47917</v>
      </c>
      <c r="AU532" s="19">
        <f t="shared" si="532"/>
        <v>46032.5</v>
      </c>
      <c r="AV532" s="19">
        <f t="shared" si="532"/>
        <v>46032.52083</v>
      </c>
      <c r="AW532" s="19">
        <f t="shared" si="532"/>
        <v>46032.54167</v>
      </c>
      <c r="AX532" s="19">
        <f t="shared" si="532"/>
        <v>46032.5625</v>
      </c>
      <c r="AY532" s="19">
        <f t="shared" si="532"/>
        <v>46032.58333</v>
      </c>
      <c r="AZ532" s="19">
        <f t="shared" si="532"/>
        <v>46032.60417</v>
      </c>
      <c r="BA532" s="19">
        <f t="shared" si="532"/>
        <v>46032.625</v>
      </c>
      <c r="BB532" s="19">
        <f t="shared" si="532"/>
        <v>46032.64583</v>
      </c>
      <c r="BC532" s="19">
        <f t="shared" si="532"/>
        <v>46032.66667</v>
      </c>
      <c r="BD532" s="19">
        <f t="shared" si="532"/>
        <v>46032.6875</v>
      </c>
      <c r="BE532" s="19">
        <f t="shared" si="532"/>
        <v>46032.70833</v>
      </c>
      <c r="BF532" s="19">
        <f t="shared" si="532"/>
        <v>46032.72917</v>
      </c>
      <c r="BG532" s="19">
        <f t="shared" si="532"/>
        <v>46032.75</v>
      </c>
      <c r="BH532" s="19">
        <f t="shared" si="532"/>
        <v>46032.77083</v>
      </c>
      <c r="BI532" s="19">
        <f t="shared" si="532"/>
        <v>46032.79167</v>
      </c>
      <c r="BJ532" s="19">
        <f t="shared" si="532"/>
        <v>46032.8125</v>
      </c>
      <c r="BK532" s="19">
        <f t="shared" si="532"/>
        <v>46032.83333</v>
      </c>
      <c r="BL532" s="19">
        <f t="shared" si="532"/>
        <v>46032.85417</v>
      </c>
      <c r="BM532" s="19">
        <f t="shared" si="532"/>
        <v>46032.875</v>
      </c>
      <c r="BN532" s="19">
        <f t="shared" si="532"/>
        <v>46032.89583</v>
      </c>
      <c r="BO532" s="19">
        <f t="shared" si="532"/>
        <v>46032.91667</v>
      </c>
      <c r="BP532" s="19">
        <f t="shared" si="532"/>
        <v>46032.9375</v>
      </c>
      <c r="BQ532" s="19">
        <f t="shared" si="532"/>
        <v>46032.95833</v>
      </c>
      <c r="BR532" s="19">
        <f t="shared" si="532"/>
        <v>46032.97917</v>
      </c>
      <c r="BS532" s="19">
        <f t="shared" si="532"/>
        <v>46033</v>
      </c>
      <c r="BT532" s="19">
        <f t="shared" si="532"/>
        <v>46033.02083</v>
      </c>
      <c r="BU532" s="19">
        <f t="shared" si="532"/>
        <v>46033.04167</v>
      </c>
      <c r="BV532" s="19">
        <f t="shared" si="532"/>
        <v>46033.0625</v>
      </c>
      <c r="BW532" s="19">
        <f t="shared" si="532"/>
        <v>46033.08333</v>
      </c>
      <c r="BX532" s="19">
        <f t="shared" si="532"/>
        <v>46032</v>
      </c>
      <c r="BY532" s="19">
        <f t="shared" si="532"/>
        <v>46032</v>
      </c>
      <c r="BZ532" s="19">
        <f t="shared" si="532"/>
        <v>46032</v>
      </c>
    </row>
    <row r="533" ht="14.25" customHeight="1">
      <c r="A533" s="17">
        <v>46033.0</v>
      </c>
      <c r="B533" s="2" t="str">
        <f t="array" ref="B533">IF(NOW()&gt;AM533,"",IF(AND((WEEKDAY($A533)+$B$2)&gt;1,((WEEKDAY($A533)+$T$2)&lt;7),(WEEKDAY($A533)&lt;&gt;1)),"work",(INDEX(Subject!$A:$I,MATCH(RANDBETWEEN(1,(MAX(Subject!$B:$B))),Subject!$B:$B,0),3))))</f>
        <v/>
      </c>
      <c r="C533" s="2" t="str">
        <f t="array" ref="C533">IF(NOW()&gt;AN533,"",IF(AND((WEEKDAY($A533)+$B$2)&gt;1,((WEEKDAY($A533)+$T$2)&lt;7),(WEEKDAY($A533)&lt;&gt;1)),"work",(INDEX(Subject!$A:$I,MATCH(RANDBETWEEN(1,(MAX(Subject!$B:$B))),Subject!$B:$B,0),3))))</f>
        <v/>
      </c>
      <c r="D533" s="2" t="str">
        <f t="array" ref="D533">IF(NOW()&gt;AO533,"",IF(AND((WEEKDAY($A533)+$B$2)&gt;1,((WEEKDAY($A533)+$T$2)&lt;7),(WEEKDAY($A533)&lt;&gt;1)),"work",(INDEX(Subject!$A:$I,MATCH(RANDBETWEEN(1,(MAX(Subject!$B:$B))),Subject!$B:$B,0),3))))</f>
        <v/>
      </c>
      <c r="E533" s="2" t="str">
        <f t="array" ref="E533">IF(NOW()&gt;AP533,"",IF(AND((WEEKDAY($A533)+$B$2)&gt;1,((WEEKDAY($A533)+$T$2)&lt;7),(WEEKDAY($A533)&lt;&gt;1)),"work",(INDEX(Subject!$A:$I,MATCH(RANDBETWEEN(1,(MAX(Subject!$B:$B))),Subject!$B:$B,0),3))))</f>
        <v/>
      </c>
      <c r="F533" s="2" t="str">
        <f t="array" ref="F533">IF(NOW()&gt;AQ533,"",IF(AND((WEEKDAY($A533)+$B$2)&gt;1,((WEEKDAY($A533)+$T$2)&lt;7),(WEEKDAY($A533)&lt;&gt;1)),"work",(INDEX(Subject!$A:$I,MATCH(RANDBETWEEN(1,(MAX(Subject!$B:$B))),Subject!$B:$B,0),3))))</f>
        <v/>
      </c>
      <c r="G533" s="2" t="str">
        <f t="array" ref="G533">IF(NOW()&gt;AR533,"",IF(AND((WEEKDAY($A533)+$B$2)&gt;1,((WEEKDAY($A533)+$T$2)&lt;7),(WEEKDAY($A533)&lt;&gt;1)),"work",(INDEX(Subject!$A:$I,MATCH(RANDBETWEEN(1,(MAX(Subject!$B:$B))),Subject!$B:$B,0),3))))</f>
        <v/>
      </c>
      <c r="H533" s="2" t="str">
        <f t="array" ref="H533">IF(NOW()&gt;AS533,"",IF(AND((WEEKDAY($A533)+$B$2)&gt;1,((WEEKDAY($A533)+$T$2)&lt;7),(WEEKDAY($A533)&lt;&gt;1)),"work",(INDEX(Subject!$A:$I,MATCH(RANDBETWEEN(1,(MAX(Subject!$B:$B))),Subject!$B:$B,0),3))))</f>
        <v/>
      </c>
      <c r="I533" s="2" t="str">
        <f t="array" ref="I533">IF(NOW()&gt;AT533,"",IF(AND((WEEKDAY($A533)+$B$2)&gt;1,((WEEKDAY($A533)+$T$2)&lt;7),(WEEKDAY($A533)&lt;&gt;1)),"work",(INDEX(Subject!$A:$I,MATCH(RANDBETWEEN(1,(MAX(Subject!$B:$B))),Subject!$B:$B,0),3))))</f>
        <v/>
      </c>
      <c r="J533" s="2" t="str">
        <f t="array" ref="J533">IF(NOW()&gt;AU533,"",IF(AND((WEEKDAY($A533)+$B$2)&gt;1,((WEEKDAY($A533)+$T$2)&lt;7),(WEEKDAY($A533)&lt;&gt;1)),"work",(INDEX(Subject!$A:$I,MATCH(RANDBETWEEN(1,(MAX(Subject!$B:$B))),Subject!$B:$B,0),3))))</f>
        <v/>
      </c>
      <c r="K533" s="2" t="str">
        <f t="array" ref="K533">IF(NOW()&gt;AV533,"",IF(AND((WEEKDAY($A533)+$B$2)&gt;1,((WEEKDAY($A533)+$T$2)&lt;7),(WEEKDAY($A533)&lt;&gt;1)),"work",(INDEX(Subject!$A:$I,MATCH(RANDBETWEEN(1,(MAX(Subject!$B:$B))),Subject!$B:$B,0),3))))</f>
        <v/>
      </c>
      <c r="L533" s="2" t="str">
        <f t="array" ref="L533">IF(NOW()&gt;AW533,"",IF(AND((WEEKDAY($A533)+$B$2)&gt;1,((WEEKDAY($A533)+$T$2)&lt;7),(WEEKDAY($A533)&lt;&gt;1)),"work",(INDEX(Subject!$A:$I,MATCH(RANDBETWEEN(1,(MAX(Subject!$B:$B))),Subject!$B:$B,0),3))))</f>
        <v/>
      </c>
      <c r="M533" s="2" t="str">
        <f t="array" ref="M533">IF(NOW()&gt;AX533,"",IF(AND((WEEKDAY($A533)+$B$2)&gt;1,((WEEKDAY($A533)+$T$2)&lt;7),(WEEKDAY($A533)&lt;&gt;1)),"work",(INDEX(Subject!$A:$I,MATCH(RANDBETWEEN(1,(MAX(Subject!$B:$B))),Subject!$B:$B,0),3))))</f>
        <v/>
      </c>
      <c r="N533" s="2" t="str">
        <f t="array" ref="N533">IF(NOW()&gt;AY533,"",IF(AND((WEEKDAY($A533)+$B$2)&gt;1,((WEEKDAY($A533)+$T$2)&lt;7),(WEEKDAY($A533)&lt;&gt;1)),"work",(INDEX(Subject!$A:$I,MATCH(RANDBETWEEN(1,(MAX(Subject!$B:$B))),Subject!$B:$B,0),3))))</f>
        <v/>
      </c>
      <c r="O533" s="2" t="str">
        <f t="array" ref="O533">IF(NOW()&gt;AZ533,"",IF(AND((WEEKDAY($A533)+$B$2)&gt;1,((WEEKDAY($A533)+$T$2)&lt;7),(WEEKDAY($A533)&lt;&gt;1)),"work",(INDEX(Subject!$A:$I,MATCH(RANDBETWEEN(1,(MAX(Subject!$B:$B))),Subject!$B:$B,0),3))))</f>
        <v/>
      </c>
      <c r="P533" s="2" t="str">
        <f t="array" ref="P533">IF(NOW()&gt;BA533,"",IF(AND((WEEKDAY($A533)+$B$2)&gt;1,((WEEKDAY($A533)+$T$2)&lt;7),(WEEKDAY($A533)&lt;&gt;1)),"work",(INDEX(Subject!$A:$I,MATCH(RANDBETWEEN(1,(MAX(Subject!$B:$B))),Subject!$B:$B,0),3))))</f>
        <v/>
      </c>
      <c r="Q533" s="2" t="str">
        <f t="array" ref="Q533">IF(NOW()&gt;BB533,"",IF(AND((WEEKDAY($A533)+$B$2)&gt;1,((WEEKDAY($A533)+$T$2)&lt;7),(WEEKDAY($A533)&lt;&gt;1)),"work",(INDEX(Subject!$A:$I,MATCH(RANDBETWEEN(1,(MAX(Subject!$B:$B))),Subject!$B:$B,0),3))))</f>
        <v/>
      </c>
      <c r="R533" s="2" t="str">
        <f t="array" ref="R533">IF(NOW()&gt;BC533,"",IF(AND((WEEKDAY($A533)+$B$2)&gt;1,((WEEKDAY($A533)+$T$2)&lt;7),(WEEKDAY($A533)&lt;&gt;1)),"work",(INDEX(Subject!$A:$I,MATCH(RANDBETWEEN(1,(MAX(Subject!$B:$B))),Subject!$B:$B,0),3))))</f>
        <v/>
      </c>
      <c r="S533" s="2" t="str">
        <f t="array" ref="S533">IF(NOW()&gt;BD533,"",IF(AND((WEEKDAY($A533)+$B$2)&gt;1,((WEEKDAY($A533)+$T$2)&lt;7),(WEEKDAY($A533)&lt;&gt;1)),"work",(INDEX(Subject!$A:$I,MATCH(RANDBETWEEN(1,(MAX(Subject!$B:$B))),Subject!$B:$B,0),3))))</f>
        <v/>
      </c>
      <c r="T533" s="2" t="str">
        <f t="array" ref="T533">IF(NOW()&gt;BE533,"",IF(AND((WEEKDAY($A533)+$B$2)&gt;1,((WEEKDAY($A533)+$T$2)&lt;7),(WEEKDAY($A533)&lt;&gt;1)),"work",(INDEX(Subject!$A:$I,MATCH(RANDBETWEEN(1,(MAX(Subject!$B:$B))),Subject!$B:$B,0),3))))</f>
        <v/>
      </c>
      <c r="U533" s="8" t="str">
        <f t="array" ref="U533">INDEX(Subject!$A:$I,MATCH(RANDBETWEEN(1,16),Subject!$B:$B,0),3)</f>
        <v/>
      </c>
      <c r="V533" s="8" t="str">
        <f t="array" ref="V533">INDEX(Subject!$A:$I,MATCH(RANDBETWEEN(1,16),Subject!$B:$B,0),3)</f>
        <v>#N/A</v>
      </c>
      <c r="W533" s="8" t="str">
        <f t="array" ref="W533">INDEX(Subject!$A:$I,MATCH(RANDBETWEEN(1,16),Subject!$B:$B,0),3)</f>
        <v>#N/A</v>
      </c>
      <c r="X533" s="8" t="str">
        <f t="array" ref="X533">INDEX(Subject!$A:$I,MATCH(RANDBETWEEN(1,16),Subject!$B:$B,0),3)</f>
        <v>#N/A</v>
      </c>
      <c r="Y533" s="8" t="str">
        <f t="array" ref="Y533">INDEX(Subject!$A:$I,MATCH(RANDBETWEEN(1,16),Subject!$B:$B,0),3)</f>
        <v>#N/A</v>
      </c>
      <c r="Z533" s="8" t="str">
        <f t="array" ref="Z533">INDEX(Subject!$A:$I,MATCH(RANDBETWEEN(1,16),Subject!$B:$B,0),3)</f>
        <v/>
      </c>
      <c r="AA533" s="8" t="str">
        <f t="array" ref="AA533">INDEX(Subject!$A:$I,MATCH(RANDBETWEEN(1,16),Subject!$B:$B,0),3)</f>
        <v>#N/A</v>
      </c>
      <c r="AB533" s="8" t="str">
        <f t="array" ref="AB533">INDEX(Subject!$A:$I,MATCH(RANDBETWEEN(1,16),Subject!$B:$B,0),3)</f>
        <v>#N/A</v>
      </c>
      <c r="AC533" s="8" t="str">
        <f t="array" ref="AC533">INDEX(Subject!$A:$I,MATCH(RANDBETWEEN(1,16),Subject!$B:$B,0),3)</f>
        <v>#N/A</v>
      </c>
      <c r="AD533" s="8" t="str">
        <f t="array" ref="AD533">INDEX(Subject!$A:$I,MATCH(RANDBETWEEN(1,16),Subject!$B:$B,0),3)</f>
        <v>#N/A</v>
      </c>
      <c r="AE533" s="8" t="str">
        <f t="array" ref="AE533">INDEX(Subject!$A:$I,MATCH(RANDBETWEEN(1,16),Subject!$B:$B,0),3)</f>
        <v>#N/A</v>
      </c>
      <c r="AF533" s="8" t="str">
        <f t="array" ref="AF533">INDEX(Subject!$A:$I,MATCH(RANDBETWEEN(1,16),Subject!$B:$B,0),3)</f>
        <v>#N/A</v>
      </c>
      <c r="AG533" s="8" t="str">
        <f t="array" ref="AG533">INDEX(Subject!$A:$I,MATCH(RANDBETWEEN(1,16),Subject!$B:$B,0),3)</f>
        <v>#N/A</v>
      </c>
      <c r="AH533" s="8" t="str">
        <f t="array" ref="AH533">INDEX(Subject!$A:$I,MATCH(RANDBETWEEN(1,16),Subject!$B:$B,0),3)</f>
        <v>#N/A</v>
      </c>
      <c r="AI533" s="8" t="str">
        <f t="array" ref="AI533">INDEX(Subject!$A:$I,MATCH(RANDBETWEEN(1,16),Subject!$B:$B,0),3)</f>
        <v>#N/A</v>
      </c>
      <c r="AJ533" s="8" t="str">
        <f t="array" ref="AJ533">INDEX(Subject!$A:$I,MATCH(RANDBETWEEN(1,16),Subject!$B:$B,0),3)</f>
        <v>#N/A</v>
      </c>
      <c r="AK533" s="8" t="str">
        <f t="array" ref="AK533">INDEX(Subject!$A:$I,MATCH(RANDBETWEEN(1,16),Subject!$B:$B,0),3)</f>
        <v>#N/A</v>
      </c>
      <c r="AL533" s="8" t="str">
        <f t="array" ref="AL533">INDEX(Subject!$A:$I,MATCH(RANDBETWEEN(1,16),Subject!$B:$B,0),3)</f>
        <v>#N/A</v>
      </c>
      <c r="AM533" s="18">
        <f t="shared" si="4"/>
        <v>46033.33333</v>
      </c>
      <c r="AN533" s="19">
        <f t="shared" ref="AN533:BZ533" si="533">$A533+C$1</f>
        <v>46033.35417</v>
      </c>
      <c r="AO533" s="19">
        <f t="shared" si="533"/>
        <v>46033.375</v>
      </c>
      <c r="AP533" s="19">
        <f t="shared" si="533"/>
        <v>46033.39583</v>
      </c>
      <c r="AQ533" s="19">
        <f t="shared" si="533"/>
        <v>46033.41667</v>
      </c>
      <c r="AR533" s="19">
        <f t="shared" si="533"/>
        <v>46033.4375</v>
      </c>
      <c r="AS533" s="19">
        <f t="shared" si="533"/>
        <v>46033.45833</v>
      </c>
      <c r="AT533" s="19">
        <f t="shared" si="533"/>
        <v>46033.47917</v>
      </c>
      <c r="AU533" s="19">
        <f t="shared" si="533"/>
        <v>46033.5</v>
      </c>
      <c r="AV533" s="19">
        <f t="shared" si="533"/>
        <v>46033.52083</v>
      </c>
      <c r="AW533" s="19">
        <f t="shared" si="533"/>
        <v>46033.54167</v>
      </c>
      <c r="AX533" s="19">
        <f t="shared" si="533"/>
        <v>46033.5625</v>
      </c>
      <c r="AY533" s="19">
        <f t="shared" si="533"/>
        <v>46033.58333</v>
      </c>
      <c r="AZ533" s="19">
        <f t="shared" si="533"/>
        <v>46033.60417</v>
      </c>
      <c r="BA533" s="19">
        <f t="shared" si="533"/>
        <v>46033.625</v>
      </c>
      <c r="BB533" s="19">
        <f t="shared" si="533"/>
        <v>46033.64583</v>
      </c>
      <c r="BC533" s="19">
        <f t="shared" si="533"/>
        <v>46033.66667</v>
      </c>
      <c r="BD533" s="19">
        <f t="shared" si="533"/>
        <v>46033.6875</v>
      </c>
      <c r="BE533" s="19">
        <f t="shared" si="533"/>
        <v>46033.70833</v>
      </c>
      <c r="BF533" s="19">
        <f t="shared" si="533"/>
        <v>46033.72917</v>
      </c>
      <c r="BG533" s="19">
        <f t="shared" si="533"/>
        <v>46033.75</v>
      </c>
      <c r="BH533" s="19">
        <f t="shared" si="533"/>
        <v>46033.77083</v>
      </c>
      <c r="BI533" s="19">
        <f t="shared" si="533"/>
        <v>46033.79167</v>
      </c>
      <c r="BJ533" s="19">
        <f t="shared" si="533"/>
        <v>46033.8125</v>
      </c>
      <c r="BK533" s="19">
        <f t="shared" si="533"/>
        <v>46033.83333</v>
      </c>
      <c r="BL533" s="19">
        <f t="shared" si="533"/>
        <v>46033.85417</v>
      </c>
      <c r="BM533" s="19">
        <f t="shared" si="533"/>
        <v>46033.875</v>
      </c>
      <c r="BN533" s="19">
        <f t="shared" si="533"/>
        <v>46033.89583</v>
      </c>
      <c r="BO533" s="19">
        <f t="shared" si="533"/>
        <v>46033.91667</v>
      </c>
      <c r="BP533" s="19">
        <f t="shared" si="533"/>
        <v>46033.9375</v>
      </c>
      <c r="BQ533" s="19">
        <f t="shared" si="533"/>
        <v>46033.95833</v>
      </c>
      <c r="BR533" s="19">
        <f t="shared" si="533"/>
        <v>46033.97917</v>
      </c>
      <c r="BS533" s="19">
        <f t="shared" si="533"/>
        <v>46034</v>
      </c>
      <c r="BT533" s="19">
        <f t="shared" si="533"/>
        <v>46034.02083</v>
      </c>
      <c r="BU533" s="19">
        <f t="shared" si="533"/>
        <v>46034.04167</v>
      </c>
      <c r="BV533" s="19">
        <f t="shared" si="533"/>
        <v>46034.0625</v>
      </c>
      <c r="BW533" s="19">
        <f t="shared" si="533"/>
        <v>46034.08333</v>
      </c>
      <c r="BX533" s="19">
        <f t="shared" si="533"/>
        <v>46033</v>
      </c>
      <c r="BY533" s="19">
        <f t="shared" si="533"/>
        <v>46033</v>
      </c>
      <c r="BZ533" s="19">
        <f t="shared" si="533"/>
        <v>46033</v>
      </c>
    </row>
    <row r="534" ht="14.25" customHeight="1">
      <c r="A534" s="17">
        <v>46034.0</v>
      </c>
      <c r="B534" s="2" t="str">
        <f t="array" ref="B534">IF(NOW()&gt;AM534,"",IF(AND((WEEKDAY($A534)+$B$2)&gt;1,((WEEKDAY($A534)+$T$2)&lt;7),(WEEKDAY($A534)&lt;&gt;1)),"work",(INDEX(Subject!$A:$I,MATCH(RANDBETWEEN(1,(MAX(Subject!$B:$B))),Subject!$B:$B,0),3))))</f>
        <v/>
      </c>
      <c r="C534" s="2" t="str">
        <f t="array" ref="C534">IF(NOW()&gt;AN534,"",IF(AND((WEEKDAY($A534)+$B$2)&gt;1,((WEEKDAY($A534)+$T$2)&lt;7),(WEEKDAY($A534)&lt;&gt;1)),"work",(INDEX(Subject!$A:$I,MATCH(RANDBETWEEN(1,(MAX(Subject!$B:$B))),Subject!$B:$B,0),3))))</f>
        <v/>
      </c>
      <c r="D534" s="2" t="str">
        <f t="array" ref="D534">IF(NOW()&gt;AO534,"",IF(AND((WEEKDAY($A534)+$B$2)&gt;1,((WEEKDAY($A534)+$T$2)&lt;7),(WEEKDAY($A534)&lt;&gt;1)),"work",(INDEX(Subject!$A:$I,MATCH(RANDBETWEEN(1,(MAX(Subject!$B:$B))),Subject!$B:$B,0),3))))</f>
        <v/>
      </c>
      <c r="E534" s="2" t="str">
        <f t="array" ref="E534">IF(NOW()&gt;AP534,"",IF(AND((WEEKDAY($A534)+$B$2)&gt;1,((WEEKDAY($A534)+$T$2)&lt;7),(WEEKDAY($A534)&lt;&gt;1)),"work",(INDEX(Subject!$A:$I,MATCH(RANDBETWEEN(1,(MAX(Subject!$B:$B))),Subject!$B:$B,0),3))))</f>
        <v/>
      </c>
      <c r="F534" s="2" t="str">
        <f t="array" ref="F534">IF(NOW()&gt;AQ534,"",IF(AND((WEEKDAY($A534)+$B$2)&gt;1,((WEEKDAY($A534)+$T$2)&lt;7),(WEEKDAY($A534)&lt;&gt;1)),"work",(INDEX(Subject!$A:$I,MATCH(RANDBETWEEN(1,(MAX(Subject!$B:$B))),Subject!$B:$B,0),3))))</f>
        <v/>
      </c>
      <c r="G534" s="2" t="str">
        <f t="array" ref="G534">IF(NOW()&gt;AR534,"",IF(AND((WEEKDAY($A534)+$B$2)&gt;1,((WEEKDAY($A534)+$T$2)&lt;7),(WEEKDAY($A534)&lt;&gt;1)),"work",(INDEX(Subject!$A:$I,MATCH(RANDBETWEEN(1,(MAX(Subject!$B:$B))),Subject!$B:$B,0),3))))</f>
        <v/>
      </c>
      <c r="H534" s="2" t="str">
        <f t="array" ref="H534">IF(NOW()&gt;AS534,"",IF(AND((WEEKDAY($A534)+$B$2)&gt;1,((WEEKDAY($A534)+$T$2)&lt;7),(WEEKDAY($A534)&lt;&gt;1)),"work",(INDEX(Subject!$A:$I,MATCH(RANDBETWEEN(1,(MAX(Subject!$B:$B))),Subject!$B:$B,0),3))))</f>
        <v/>
      </c>
      <c r="I534" s="2" t="str">
        <f t="array" ref="I534">IF(NOW()&gt;AT534,"",IF(AND((WEEKDAY($A534)+$B$2)&gt;1,((WEEKDAY($A534)+$T$2)&lt;7),(WEEKDAY($A534)&lt;&gt;1)),"work",(INDEX(Subject!$A:$I,MATCH(RANDBETWEEN(1,(MAX(Subject!$B:$B))),Subject!$B:$B,0),3))))</f>
        <v/>
      </c>
      <c r="J534" s="2" t="str">
        <f t="array" ref="J534">IF(NOW()&gt;AU534,"",IF(AND((WEEKDAY($A534)+$B$2)&gt;1,((WEEKDAY($A534)+$T$2)&lt;7),(WEEKDAY($A534)&lt;&gt;1)),"work",(INDEX(Subject!$A:$I,MATCH(RANDBETWEEN(1,(MAX(Subject!$B:$B))),Subject!$B:$B,0),3))))</f>
        <v/>
      </c>
      <c r="K534" s="2" t="str">
        <f t="array" ref="K534">IF(NOW()&gt;AV534,"",IF(AND((WEEKDAY($A534)+$B$2)&gt;1,((WEEKDAY($A534)+$T$2)&lt;7),(WEEKDAY($A534)&lt;&gt;1)),"work",(INDEX(Subject!$A:$I,MATCH(RANDBETWEEN(1,(MAX(Subject!$B:$B))),Subject!$B:$B,0),3))))</f>
        <v/>
      </c>
      <c r="L534" s="2" t="str">
        <f t="array" ref="L534">IF(NOW()&gt;AW534,"",IF(AND((WEEKDAY($A534)+$B$2)&gt;1,((WEEKDAY($A534)+$T$2)&lt;7),(WEEKDAY($A534)&lt;&gt;1)),"work",(INDEX(Subject!$A:$I,MATCH(RANDBETWEEN(1,(MAX(Subject!$B:$B))),Subject!$B:$B,0),3))))</f>
        <v/>
      </c>
      <c r="M534" s="2" t="str">
        <f t="array" ref="M534">IF(NOW()&gt;AX534,"",IF(AND((WEEKDAY($A534)+$B$2)&gt;1,((WEEKDAY($A534)+$T$2)&lt;7),(WEEKDAY($A534)&lt;&gt;1)),"work",(INDEX(Subject!$A:$I,MATCH(RANDBETWEEN(1,(MAX(Subject!$B:$B))),Subject!$B:$B,0),3))))</f>
        <v/>
      </c>
      <c r="N534" s="2" t="str">
        <f t="array" ref="N534">IF(NOW()&gt;AY534,"",IF(AND((WEEKDAY($A534)+$B$2)&gt;1,((WEEKDAY($A534)+$T$2)&lt;7),(WEEKDAY($A534)&lt;&gt;1)),"work",(INDEX(Subject!$A:$I,MATCH(RANDBETWEEN(1,(MAX(Subject!$B:$B))),Subject!$B:$B,0),3))))</f>
        <v/>
      </c>
      <c r="O534" s="2" t="str">
        <f t="array" ref="O534">IF(NOW()&gt;AZ534,"",IF(AND((WEEKDAY($A534)+$B$2)&gt;1,((WEEKDAY($A534)+$T$2)&lt;7),(WEEKDAY($A534)&lt;&gt;1)),"work",(INDEX(Subject!$A:$I,MATCH(RANDBETWEEN(1,(MAX(Subject!$B:$B))),Subject!$B:$B,0),3))))</f>
        <v/>
      </c>
      <c r="P534" s="2" t="str">
        <f t="array" ref="P534">IF(NOW()&gt;BA534,"",IF(AND((WEEKDAY($A534)+$B$2)&gt;1,((WEEKDAY($A534)+$T$2)&lt;7),(WEEKDAY($A534)&lt;&gt;1)),"work",(INDEX(Subject!$A:$I,MATCH(RANDBETWEEN(1,(MAX(Subject!$B:$B))),Subject!$B:$B,0),3))))</f>
        <v/>
      </c>
      <c r="Q534" s="2" t="str">
        <f t="array" ref="Q534">IF(NOW()&gt;BB534,"",IF(AND((WEEKDAY($A534)+$B$2)&gt;1,((WEEKDAY($A534)+$T$2)&lt;7),(WEEKDAY($A534)&lt;&gt;1)),"work",(INDEX(Subject!$A:$I,MATCH(RANDBETWEEN(1,(MAX(Subject!$B:$B))),Subject!$B:$B,0),3))))</f>
        <v/>
      </c>
      <c r="R534" s="2" t="str">
        <f t="array" ref="R534">IF(NOW()&gt;BC534,"",IF(AND((WEEKDAY($A534)+$B$2)&gt;1,((WEEKDAY($A534)+$T$2)&lt;7),(WEEKDAY($A534)&lt;&gt;1)),"work",(INDEX(Subject!$A:$I,MATCH(RANDBETWEEN(1,(MAX(Subject!$B:$B))),Subject!$B:$B,0),3))))</f>
        <v/>
      </c>
      <c r="S534" s="2" t="str">
        <f t="array" ref="S534">IF(NOW()&gt;BD534,"",IF(AND((WEEKDAY($A534)+$B$2)&gt;1,((WEEKDAY($A534)+$T$2)&lt;7),(WEEKDAY($A534)&lt;&gt;1)),"work",(INDEX(Subject!$A:$I,MATCH(RANDBETWEEN(1,(MAX(Subject!$B:$B))),Subject!$B:$B,0),3))))</f>
        <v/>
      </c>
      <c r="T534" s="2" t="str">
        <f t="array" ref="T534">IF(NOW()&gt;BE534,"",IF(AND((WEEKDAY($A534)+$B$2)&gt;1,((WEEKDAY($A534)+$T$2)&lt;7),(WEEKDAY($A534)&lt;&gt;1)),"work",(INDEX(Subject!$A:$I,MATCH(RANDBETWEEN(1,(MAX(Subject!$B:$B))),Subject!$B:$B,0),3))))</f>
        <v/>
      </c>
      <c r="U534" s="8" t="str">
        <f t="array" ref="U534">INDEX(Subject!$A:$I,MATCH(RANDBETWEEN(1,16),Subject!$B:$B,0),3)</f>
        <v>#N/A</v>
      </c>
      <c r="V534" s="8" t="str">
        <f t="array" ref="V534">INDEX(Subject!$A:$I,MATCH(RANDBETWEEN(1,16),Subject!$B:$B,0),3)</f>
        <v>#N/A</v>
      </c>
      <c r="W534" s="8" t="str">
        <f t="array" ref="W534">INDEX(Subject!$A:$I,MATCH(RANDBETWEEN(1,16),Subject!$B:$B,0),3)</f>
        <v>#N/A</v>
      </c>
      <c r="X534" s="8" t="str">
        <f t="array" ref="X534">INDEX(Subject!$A:$I,MATCH(RANDBETWEEN(1,16),Subject!$B:$B,0),3)</f>
        <v>#N/A</v>
      </c>
      <c r="Y534" s="8" t="str">
        <f t="array" ref="Y534">INDEX(Subject!$A:$I,MATCH(RANDBETWEEN(1,16),Subject!$B:$B,0),3)</f>
        <v>#N/A</v>
      </c>
      <c r="Z534" s="8" t="str">
        <f t="array" ref="Z534">INDEX(Subject!$A:$I,MATCH(RANDBETWEEN(1,16),Subject!$B:$B,0),3)</f>
        <v>#N/A</v>
      </c>
      <c r="AA534" s="8" t="str">
        <f t="array" ref="AA534">INDEX(Subject!$A:$I,MATCH(RANDBETWEEN(1,16),Subject!$B:$B,0),3)</f>
        <v>#N/A</v>
      </c>
      <c r="AB534" s="8" t="str">
        <f t="array" ref="AB534">INDEX(Subject!$A:$I,MATCH(RANDBETWEEN(1,16),Subject!$B:$B,0),3)</f>
        <v>#N/A</v>
      </c>
      <c r="AC534" s="8" t="str">
        <f t="array" ref="AC534">INDEX(Subject!$A:$I,MATCH(RANDBETWEEN(1,16),Subject!$B:$B,0),3)</f>
        <v>#N/A</v>
      </c>
      <c r="AD534" s="8" t="str">
        <f t="array" ref="AD534">INDEX(Subject!$A:$I,MATCH(RANDBETWEEN(1,16),Subject!$B:$B,0),3)</f>
        <v>#N/A</v>
      </c>
      <c r="AE534" s="8" t="str">
        <f t="array" ref="AE534">INDEX(Subject!$A:$I,MATCH(RANDBETWEEN(1,16),Subject!$B:$B,0),3)</f>
        <v>#N/A</v>
      </c>
      <c r="AF534" s="8" t="str">
        <f t="array" ref="AF534">INDEX(Subject!$A:$I,MATCH(RANDBETWEEN(1,16),Subject!$B:$B,0),3)</f>
        <v>#N/A</v>
      </c>
      <c r="AG534" s="8" t="str">
        <f t="array" ref="AG534">INDEX(Subject!$A:$I,MATCH(RANDBETWEEN(1,16),Subject!$B:$B,0),3)</f>
        <v>#N/A</v>
      </c>
      <c r="AH534" s="8" t="str">
        <f t="array" ref="AH534">INDEX(Subject!$A:$I,MATCH(RANDBETWEEN(1,16),Subject!$B:$B,0),3)</f>
        <v>#N/A</v>
      </c>
      <c r="AI534" s="8" t="str">
        <f t="array" ref="AI534">INDEX(Subject!$A:$I,MATCH(RANDBETWEEN(1,16),Subject!$B:$B,0),3)</f>
        <v>#N/A</v>
      </c>
      <c r="AJ534" s="8" t="str">
        <f t="array" ref="AJ534">INDEX(Subject!$A:$I,MATCH(RANDBETWEEN(1,16),Subject!$B:$B,0),3)</f>
        <v>#N/A</v>
      </c>
      <c r="AK534" s="8" t="str">
        <f t="array" ref="AK534">INDEX(Subject!$A:$I,MATCH(RANDBETWEEN(1,16),Subject!$B:$B,0),3)</f>
        <v>#N/A</v>
      </c>
      <c r="AL534" s="8" t="str">
        <f t="array" ref="AL534">INDEX(Subject!$A:$I,MATCH(RANDBETWEEN(1,16),Subject!$B:$B,0),3)</f>
        <v>#N/A</v>
      </c>
      <c r="AM534" s="18">
        <f t="shared" si="4"/>
        <v>46034.33333</v>
      </c>
      <c r="AN534" s="19">
        <f t="shared" ref="AN534:BZ534" si="534">$A534+C$1</f>
        <v>46034.35417</v>
      </c>
      <c r="AO534" s="19">
        <f t="shared" si="534"/>
        <v>46034.375</v>
      </c>
      <c r="AP534" s="19">
        <f t="shared" si="534"/>
        <v>46034.39583</v>
      </c>
      <c r="AQ534" s="19">
        <f t="shared" si="534"/>
        <v>46034.41667</v>
      </c>
      <c r="AR534" s="19">
        <f t="shared" si="534"/>
        <v>46034.4375</v>
      </c>
      <c r="AS534" s="19">
        <f t="shared" si="534"/>
        <v>46034.45833</v>
      </c>
      <c r="AT534" s="19">
        <f t="shared" si="534"/>
        <v>46034.47917</v>
      </c>
      <c r="AU534" s="19">
        <f t="shared" si="534"/>
        <v>46034.5</v>
      </c>
      <c r="AV534" s="19">
        <f t="shared" si="534"/>
        <v>46034.52083</v>
      </c>
      <c r="AW534" s="19">
        <f t="shared" si="534"/>
        <v>46034.54167</v>
      </c>
      <c r="AX534" s="19">
        <f t="shared" si="534"/>
        <v>46034.5625</v>
      </c>
      <c r="AY534" s="19">
        <f t="shared" si="534"/>
        <v>46034.58333</v>
      </c>
      <c r="AZ534" s="19">
        <f t="shared" si="534"/>
        <v>46034.60417</v>
      </c>
      <c r="BA534" s="19">
        <f t="shared" si="534"/>
        <v>46034.625</v>
      </c>
      <c r="BB534" s="19">
        <f t="shared" si="534"/>
        <v>46034.64583</v>
      </c>
      <c r="BC534" s="19">
        <f t="shared" si="534"/>
        <v>46034.66667</v>
      </c>
      <c r="BD534" s="19">
        <f t="shared" si="534"/>
        <v>46034.6875</v>
      </c>
      <c r="BE534" s="19">
        <f t="shared" si="534"/>
        <v>46034.70833</v>
      </c>
      <c r="BF534" s="19">
        <f t="shared" si="534"/>
        <v>46034.72917</v>
      </c>
      <c r="BG534" s="19">
        <f t="shared" si="534"/>
        <v>46034.75</v>
      </c>
      <c r="BH534" s="19">
        <f t="shared" si="534"/>
        <v>46034.77083</v>
      </c>
      <c r="BI534" s="19">
        <f t="shared" si="534"/>
        <v>46034.79167</v>
      </c>
      <c r="BJ534" s="19">
        <f t="shared" si="534"/>
        <v>46034.8125</v>
      </c>
      <c r="BK534" s="19">
        <f t="shared" si="534"/>
        <v>46034.83333</v>
      </c>
      <c r="BL534" s="19">
        <f t="shared" si="534"/>
        <v>46034.85417</v>
      </c>
      <c r="BM534" s="19">
        <f t="shared" si="534"/>
        <v>46034.875</v>
      </c>
      <c r="BN534" s="19">
        <f t="shared" si="534"/>
        <v>46034.89583</v>
      </c>
      <c r="BO534" s="19">
        <f t="shared" si="534"/>
        <v>46034.91667</v>
      </c>
      <c r="BP534" s="19">
        <f t="shared" si="534"/>
        <v>46034.9375</v>
      </c>
      <c r="BQ534" s="19">
        <f t="shared" si="534"/>
        <v>46034.95833</v>
      </c>
      <c r="BR534" s="19">
        <f t="shared" si="534"/>
        <v>46034.97917</v>
      </c>
      <c r="BS534" s="19">
        <f t="shared" si="534"/>
        <v>46035</v>
      </c>
      <c r="BT534" s="19">
        <f t="shared" si="534"/>
        <v>46035.02083</v>
      </c>
      <c r="BU534" s="19">
        <f t="shared" si="534"/>
        <v>46035.04167</v>
      </c>
      <c r="BV534" s="19">
        <f t="shared" si="534"/>
        <v>46035.0625</v>
      </c>
      <c r="BW534" s="19">
        <f t="shared" si="534"/>
        <v>46035.08333</v>
      </c>
      <c r="BX534" s="19">
        <f t="shared" si="534"/>
        <v>46034</v>
      </c>
      <c r="BY534" s="19">
        <f t="shared" si="534"/>
        <v>46034</v>
      </c>
      <c r="BZ534" s="19">
        <f t="shared" si="534"/>
        <v>46034</v>
      </c>
    </row>
    <row r="535" ht="14.25" customHeight="1">
      <c r="A535" s="17">
        <v>46035.0</v>
      </c>
      <c r="B535" s="2" t="str">
        <f t="array" ref="B535">IF(NOW()&gt;AM535,"",IF(AND((WEEKDAY($A535)+$B$2)&gt;1,((WEEKDAY($A535)+$T$2)&lt;7),(WEEKDAY($A535)&lt;&gt;1)),"work",(INDEX(Subject!$A:$I,MATCH(RANDBETWEEN(1,(MAX(Subject!$B:$B))),Subject!$B:$B,0),3))))</f>
        <v/>
      </c>
      <c r="C535" s="2" t="str">
        <f t="array" ref="C535">IF(NOW()&gt;AN535,"",IF(AND((WEEKDAY($A535)+$B$2)&gt;1,((WEEKDAY($A535)+$T$2)&lt;7),(WEEKDAY($A535)&lt;&gt;1)),"work",(INDEX(Subject!$A:$I,MATCH(RANDBETWEEN(1,(MAX(Subject!$B:$B))),Subject!$B:$B,0),3))))</f>
        <v/>
      </c>
      <c r="D535" s="2" t="str">
        <f t="array" ref="D535">IF(NOW()&gt;AO535,"",IF(AND((WEEKDAY($A535)+$B$2)&gt;1,((WEEKDAY($A535)+$T$2)&lt;7),(WEEKDAY($A535)&lt;&gt;1)),"work",(INDEX(Subject!$A:$I,MATCH(RANDBETWEEN(1,(MAX(Subject!$B:$B))),Subject!$B:$B,0),3))))</f>
        <v/>
      </c>
      <c r="E535" s="2" t="str">
        <f t="array" ref="E535">IF(NOW()&gt;AP535,"",IF(AND((WEEKDAY($A535)+$B$2)&gt;1,((WEEKDAY($A535)+$T$2)&lt;7),(WEEKDAY($A535)&lt;&gt;1)),"work",(INDEX(Subject!$A:$I,MATCH(RANDBETWEEN(1,(MAX(Subject!$B:$B))),Subject!$B:$B,0),3))))</f>
        <v/>
      </c>
      <c r="F535" s="2" t="str">
        <f t="array" ref="F535">IF(NOW()&gt;AQ535,"",IF(AND((WEEKDAY($A535)+$B$2)&gt;1,((WEEKDAY($A535)+$T$2)&lt;7),(WEEKDAY($A535)&lt;&gt;1)),"work",(INDEX(Subject!$A:$I,MATCH(RANDBETWEEN(1,(MAX(Subject!$B:$B))),Subject!$B:$B,0),3))))</f>
        <v/>
      </c>
      <c r="G535" s="2" t="str">
        <f t="array" ref="G535">IF(NOW()&gt;AR535,"",IF(AND((WEEKDAY($A535)+$B$2)&gt;1,((WEEKDAY($A535)+$T$2)&lt;7),(WEEKDAY($A535)&lt;&gt;1)),"work",(INDEX(Subject!$A:$I,MATCH(RANDBETWEEN(1,(MAX(Subject!$B:$B))),Subject!$B:$B,0),3))))</f>
        <v/>
      </c>
      <c r="H535" s="2" t="str">
        <f t="array" ref="H535">IF(NOW()&gt;AS535,"",IF(AND((WEEKDAY($A535)+$B$2)&gt;1,((WEEKDAY($A535)+$T$2)&lt;7),(WEEKDAY($A535)&lt;&gt;1)),"work",(INDEX(Subject!$A:$I,MATCH(RANDBETWEEN(1,(MAX(Subject!$B:$B))),Subject!$B:$B,0),3))))</f>
        <v/>
      </c>
      <c r="I535" s="2" t="str">
        <f t="array" ref="I535">IF(NOW()&gt;AT535,"",IF(AND((WEEKDAY($A535)+$B$2)&gt;1,((WEEKDAY($A535)+$T$2)&lt;7),(WEEKDAY($A535)&lt;&gt;1)),"work",(INDEX(Subject!$A:$I,MATCH(RANDBETWEEN(1,(MAX(Subject!$B:$B))),Subject!$B:$B,0),3))))</f>
        <v/>
      </c>
      <c r="J535" s="2" t="str">
        <f t="array" ref="J535">IF(NOW()&gt;AU535,"",IF(AND((WEEKDAY($A535)+$B$2)&gt;1,((WEEKDAY($A535)+$T$2)&lt;7),(WEEKDAY($A535)&lt;&gt;1)),"work",(INDEX(Subject!$A:$I,MATCH(RANDBETWEEN(1,(MAX(Subject!$B:$B))),Subject!$B:$B,0),3))))</f>
        <v/>
      </c>
      <c r="K535" s="2" t="str">
        <f t="array" ref="K535">IF(NOW()&gt;AV535,"",IF(AND((WEEKDAY($A535)+$B$2)&gt;1,((WEEKDAY($A535)+$T$2)&lt;7),(WEEKDAY($A535)&lt;&gt;1)),"work",(INDEX(Subject!$A:$I,MATCH(RANDBETWEEN(1,(MAX(Subject!$B:$B))),Subject!$B:$B,0),3))))</f>
        <v/>
      </c>
      <c r="L535" s="2" t="str">
        <f t="array" ref="L535">IF(NOW()&gt;AW535,"",IF(AND((WEEKDAY($A535)+$B$2)&gt;1,((WEEKDAY($A535)+$T$2)&lt;7),(WEEKDAY($A535)&lt;&gt;1)),"work",(INDEX(Subject!$A:$I,MATCH(RANDBETWEEN(1,(MAX(Subject!$B:$B))),Subject!$B:$B,0),3))))</f>
        <v/>
      </c>
      <c r="M535" s="2" t="str">
        <f t="array" ref="M535">IF(NOW()&gt;AX535,"",IF(AND((WEEKDAY($A535)+$B$2)&gt;1,((WEEKDAY($A535)+$T$2)&lt;7),(WEEKDAY($A535)&lt;&gt;1)),"work",(INDEX(Subject!$A:$I,MATCH(RANDBETWEEN(1,(MAX(Subject!$B:$B))),Subject!$B:$B,0),3))))</f>
        <v/>
      </c>
      <c r="N535" s="2" t="str">
        <f t="array" ref="N535">IF(NOW()&gt;AY535,"",IF(AND((WEEKDAY($A535)+$B$2)&gt;1,((WEEKDAY($A535)+$T$2)&lt;7),(WEEKDAY($A535)&lt;&gt;1)),"work",(INDEX(Subject!$A:$I,MATCH(RANDBETWEEN(1,(MAX(Subject!$B:$B))),Subject!$B:$B,0),3))))</f>
        <v/>
      </c>
      <c r="O535" s="2" t="str">
        <f t="array" ref="O535">IF(NOW()&gt;AZ535,"",IF(AND((WEEKDAY($A535)+$B$2)&gt;1,((WEEKDAY($A535)+$T$2)&lt;7),(WEEKDAY($A535)&lt;&gt;1)),"work",(INDEX(Subject!$A:$I,MATCH(RANDBETWEEN(1,(MAX(Subject!$B:$B))),Subject!$B:$B,0),3))))</f>
        <v/>
      </c>
      <c r="P535" s="2" t="str">
        <f t="array" ref="P535">IF(NOW()&gt;BA535,"",IF(AND((WEEKDAY($A535)+$B$2)&gt;1,((WEEKDAY($A535)+$T$2)&lt;7),(WEEKDAY($A535)&lt;&gt;1)),"work",(INDEX(Subject!$A:$I,MATCH(RANDBETWEEN(1,(MAX(Subject!$B:$B))),Subject!$B:$B,0),3))))</f>
        <v/>
      </c>
      <c r="Q535" s="2" t="str">
        <f t="array" ref="Q535">IF(NOW()&gt;BB535,"",IF(AND((WEEKDAY($A535)+$B$2)&gt;1,((WEEKDAY($A535)+$T$2)&lt;7),(WEEKDAY($A535)&lt;&gt;1)),"work",(INDEX(Subject!$A:$I,MATCH(RANDBETWEEN(1,(MAX(Subject!$B:$B))),Subject!$B:$B,0),3))))</f>
        <v/>
      </c>
      <c r="R535" s="2" t="str">
        <f t="array" ref="R535">IF(NOW()&gt;BC535,"",IF(AND((WEEKDAY($A535)+$B$2)&gt;1,((WEEKDAY($A535)+$T$2)&lt;7),(WEEKDAY($A535)&lt;&gt;1)),"work",(INDEX(Subject!$A:$I,MATCH(RANDBETWEEN(1,(MAX(Subject!$B:$B))),Subject!$B:$B,0),3))))</f>
        <v/>
      </c>
      <c r="S535" s="2" t="str">
        <f t="array" ref="S535">IF(NOW()&gt;BD535,"",IF(AND((WEEKDAY($A535)+$B$2)&gt;1,((WEEKDAY($A535)+$T$2)&lt;7),(WEEKDAY($A535)&lt;&gt;1)),"work",(INDEX(Subject!$A:$I,MATCH(RANDBETWEEN(1,(MAX(Subject!$B:$B))),Subject!$B:$B,0),3))))</f>
        <v/>
      </c>
      <c r="T535" s="2" t="str">
        <f t="array" ref="T535">IF(NOW()&gt;BE535,"",IF(AND((WEEKDAY($A535)+$B$2)&gt;1,((WEEKDAY($A535)+$T$2)&lt;7),(WEEKDAY($A535)&lt;&gt;1)),"work",(INDEX(Subject!$A:$I,MATCH(RANDBETWEEN(1,(MAX(Subject!$B:$B))),Subject!$B:$B,0),3))))</f>
        <v/>
      </c>
      <c r="U535" s="8" t="str">
        <f t="array" ref="U535">INDEX(Subject!$A:$I,MATCH(RANDBETWEEN(1,16),Subject!$B:$B,0),3)</f>
        <v>#N/A</v>
      </c>
      <c r="V535" s="8" t="str">
        <f t="array" ref="V535">INDEX(Subject!$A:$I,MATCH(RANDBETWEEN(1,16),Subject!$B:$B,0),3)</f>
        <v>#N/A</v>
      </c>
      <c r="W535" s="8" t="str">
        <f t="array" ref="W535">INDEX(Subject!$A:$I,MATCH(RANDBETWEEN(1,16),Subject!$B:$B,0),3)</f>
        <v>#N/A</v>
      </c>
      <c r="X535" s="8" t="str">
        <f t="array" ref="X535">INDEX(Subject!$A:$I,MATCH(RANDBETWEEN(1,16),Subject!$B:$B,0),3)</f>
        <v>#N/A</v>
      </c>
      <c r="Y535" s="8" t="str">
        <f t="array" ref="Y535">INDEX(Subject!$A:$I,MATCH(RANDBETWEEN(1,16),Subject!$B:$B,0),3)</f>
        <v>#N/A</v>
      </c>
      <c r="Z535" s="8" t="str">
        <f t="array" ref="Z535">INDEX(Subject!$A:$I,MATCH(RANDBETWEEN(1,16),Subject!$B:$B,0),3)</f>
        <v>#N/A</v>
      </c>
      <c r="AA535" s="8" t="str">
        <f t="array" ref="AA535">INDEX(Subject!$A:$I,MATCH(RANDBETWEEN(1,16),Subject!$B:$B,0),3)</f>
        <v>#N/A</v>
      </c>
      <c r="AB535" s="8" t="str">
        <f t="array" ref="AB535">INDEX(Subject!$A:$I,MATCH(RANDBETWEEN(1,16),Subject!$B:$B,0),3)</f>
        <v/>
      </c>
      <c r="AC535" s="8" t="str">
        <f t="array" ref="AC535">INDEX(Subject!$A:$I,MATCH(RANDBETWEEN(1,16),Subject!$B:$B,0),3)</f>
        <v>#N/A</v>
      </c>
      <c r="AD535" s="8" t="str">
        <f t="array" ref="AD535">INDEX(Subject!$A:$I,MATCH(RANDBETWEEN(1,16),Subject!$B:$B,0),3)</f>
        <v/>
      </c>
      <c r="AE535" s="8" t="str">
        <f t="array" ref="AE535">INDEX(Subject!$A:$I,MATCH(RANDBETWEEN(1,16),Subject!$B:$B,0),3)</f>
        <v>#N/A</v>
      </c>
      <c r="AF535" s="8" t="str">
        <f t="array" ref="AF535">INDEX(Subject!$A:$I,MATCH(RANDBETWEEN(1,16),Subject!$B:$B,0),3)</f>
        <v>#N/A</v>
      </c>
      <c r="AG535" s="8" t="str">
        <f t="array" ref="AG535">INDEX(Subject!$A:$I,MATCH(RANDBETWEEN(1,16),Subject!$B:$B,0),3)</f>
        <v/>
      </c>
      <c r="AH535" s="8" t="str">
        <f t="array" ref="AH535">INDEX(Subject!$A:$I,MATCH(RANDBETWEEN(1,16),Subject!$B:$B,0),3)</f>
        <v>#N/A</v>
      </c>
      <c r="AI535" s="8" t="str">
        <f t="array" ref="AI535">INDEX(Subject!$A:$I,MATCH(RANDBETWEEN(1,16),Subject!$B:$B,0),3)</f>
        <v>#N/A</v>
      </c>
      <c r="AJ535" s="8" t="str">
        <f t="array" ref="AJ535">INDEX(Subject!$A:$I,MATCH(RANDBETWEEN(1,16),Subject!$B:$B,0),3)</f>
        <v>#N/A</v>
      </c>
      <c r="AK535" s="8" t="str">
        <f t="array" ref="AK535">INDEX(Subject!$A:$I,MATCH(RANDBETWEEN(1,16),Subject!$B:$B,0),3)</f>
        <v/>
      </c>
      <c r="AL535" s="8" t="str">
        <f t="array" ref="AL535">INDEX(Subject!$A:$I,MATCH(RANDBETWEEN(1,16),Subject!$B:$B,0),3)</f>
        <v>#N/A</v>
      </c>
      <c r="AM535" s="18">
        <f t="shared" si="4"/>
        <v>46035.33333</v>
      </c>
      <c r="AN535" s="19">
        <f t="shared" ref="AN535:BZ535" si="535">$A535+C$1</f>
        <v>46035.35417</v>
      </c>
      <c r="AO535" s="19">
        <f t="shared" si="535"/>
        <v>46035.375</v>
      </c>
      <c r="AP535" s="19">
        <f t="shared" si="535"/>
        <v>46035.39583</v>
      </c>
      <c r="AQ535" s="19">
        <f t="shared" si="535"/>
        <v>46035.41667</v>
      </c>
      <c r="AR535" s="19">
        <f t="shared" si="535"/>
        <v>46035.4375</v>
      </c>
      <c r="AS535" s="19">
        <f t="shared" si="535"/>
        <v>46035.45833</v>
      </c>
      <c r="AT535" s="19">
        <f t="shared" si="535"/>
        <v>46035.47917</v>
      </c>
      <c r="AU535" s="19">
        <f t="shared" si="535"/>
        <v>46035.5</v>
      </c>
      <c r="AV535" s="19">
        <f t="shared" si="535"/>
        <v>46035.52083</v>
      </c>
      <c r="AW535" s="19">
        <f t="shared" si="535"/>
        <v>46035.54167</v>
      </c>
      <c r="AX535" s="19">
        <f t="shared" si="535"/>
        <v>46035.5625</v>
      </c>
      <c r="AY535" s="19">
        <f t="shared" si="535"/>
        <v>46035.58333</v>
      </c>
      <c r="AZ535" s="19">
        <f t="shared" si="535"/>
        <v>46035.60417</v>
      </c>
      <c r="BA535" s="19">
        <f t="shared" si="535"/>
        <v>46035.625</v>
      </c>
      <c r="BB535" s="19">
        <f t="shared" si="535"/>
        <v>46035.64583</v>
      </c>
      <c r="BC535" s="19">
        <f t="shared" si="535"/>
        <v>46035.66667</v>
      </c>
      <c r="BD535" s="19">
        <f t="shared" si="535"/>
        <v>46035.6875</v>
      </c>
      <c r="BE535" s="19">
        <f t="shared" si="535"/>
        <v>46035.70833</v>
      </c>
      <c r="BF535" s="19">
        <f t="shared" si="535"/>
        <v>46035.72917</v>
      </c>
      <c r="BG535" s="19">
        <f t="shared" si="535"/>
        <v>46035.75</v>
      </c>
      <c r="BH535" s="19">
        <f t="shared" si="535"/>
        <v>46035.77083</v>
      </c>
      <c r="BI535" s="19">
        <f t="shared" si="535"/>
        <v>46035.79167</v>
      </c>
      <c r="BJ535" s="19">
        <f t="shared" si="535"/>
        <v>46035.8125</v>
      </c>
      <c r="BK535" s="19">
        <f t="shared" si="535"/>
        <v>46035.83333</v>
      </c>
      <c r="BL535" s="19">
        <f t="shared" si="535"/>
        <v>46035.85417</v>
      </c>
      <c r="BM535" s="19">
        <f t="shared" si="535"/>
        <v>46035.875</v>
      </c>
      <c r="BN535" s="19">
        <f t="shared" si="535"/>
        <v>46035.89583</v>
      </c>
      <c r="BO535" s="19">
        <f t="shared" si="535"/>
        <v>46035.91667</v>
      </c>
      <c r="BP535" s="19">
        <f t="shared" si="535"/>
        <v>46035.9375</v>
      </c>
      <c r="BQ535" s="19">
        <f t="shared" si="535"/>
        <v>46035.95833</v>
      </c>
      <c r="BR535" s="19">
        <f t="shared" si="535"/>
        <v>46035.97917</v>
      </c>
      <c r="BS535" s="19">
        <f t="shared" si="535"/>
        <v>46036</v>
      </c>
      <c r="BT535" s="19">
        <f t="shared" si="535"/>
        <v>46036.02083</v>
      </c>
      <c r="BU535" s="19">
        <f t="shared" si="535"/>
        <v>46036.04167</v>
      </c>
      <c r="BV535" s="19">
        <f t="shared" si="535"/>
        <v>46036.0625</v>
      </c>
      <c r="BW535" s="19">
        <f t="shared" si="535"/>
        <v>46036.08333</v>
      </c>
      <c r="BX535" s="19">
        <f t="shared" si="535"/>
        <v>46035</v>
      </c>
      <c r="BY535" s="19">
        <f t="shared" si="535"/>
        <v>46035</v>
      </c>
      <c r="BZ535" s="19">
        <f t="shared" si="535"/>
        <v>46035</v>
      </c>
    </row>
    <row r="536" ht="14.25" customHeight="1">
      <c r="A536" s="17">
        <v>46036.0</v>
      </c>
      <c r="B536" s="2" t="str">
        <f t="array" ref="B536">IF(NOW()&gt;AM536,"",IF(AND((WEEKDAY($A536)+$B$2)&gt;1,((WEEKDAY($A536)+$T$2)&lt;7),(WEEKDAY($A536)&lt;&gt;1)),"work",(INDEX(Subject!$A:$I,MATCH(RANDBETWEEN(1,(MAX(Subject!$B:$B))),Subject!$B:$B,0),3))))</f>
        <v/>
      </c>
      <c r="C536" s="2" t="str">
        <f t="array" ref="C536">IF(NOW()&gt;AN536,"",IF(AND((WEEKDAY($A536)+$B$2)&gt;1,((WEEKDAY($A536)+$T$2)&lt;7),(WEEKDAY($A536)&lt;&gt;1)),"work",(INDEX(Subject!$A:$I,MATCH(RANDBETWEEN(1,(MAX(Subject!$B:$B))),Subject!$B:$B,0),3))))</f>
        <v/>
      </c>
      <c r="D536" s="2" t="str">
        <f t="array" ref="D536">IF(NOW()&gt;AO536,"",IF(AND((WEEKDAY($A536)+$B$2)&gt;1,((WEEKDAY($A536)+$T$2)&lt;7),(WEEKDAY($A536)&lt;&gt;1)),"work",(INDEX(Subject!$A:$I,MATCH(RANDBETWEEN(1,(MAX(Subject!$B:$B))),Subject!$B:$B,0),3))))</f>
        <v/>
      </c>
      <c r="E536" s="2" t="str">
        <f t="array" ref="E536">IF(NOW()&gt;AP536,"",IF(AND((WEEKDAY($A536)+$B$2)&gt;1,((WEEKDAY($A536)+$T$2)&lt;7),(WEEKDAY($A536)&lt;&gt;1)),"work",(INDEX(Subject!$A:$I,MATCH(RANDBETWEEN(1,(MAX(Subject!$B:$B))),Subject!$B:$B,0),3))))</f>
        <v/>
      </c>
      <c r="F536" s="2" t="str">
        <f t="array" ref="F536">IF(NOW()&gt;AQ536,"",IF(AND((WEEKDAY($A536)+$B$2)&gt;1,((WEEKDAY($A536)+$T$2)&lt;7),(WEEKDAY($A536)&lt;&gt;1)),"work",(INDEX(Subject!$A:$I,MATCH(RANDBETWEEN(1,(MAX(Subject!$B:$B))),Subject!$B:$B,0),3))))</f>
        <v/>
      </c>
      <c r="G536" s="2" t="str">
        <f t="array" ref="G536">IF(NOW()&gt;AR536,"",IF(AND((WEEKDAY($A536)+$B$2)&gt;1,((WEEKDAY($A536)+$T$2)&lt;7),(WEEKDAY($A536)&lt;&gt;1)),"work",(INDEX(Subject!$A:$I,MATCH(RANDBETWEEN(1,(MAX(Subject!$B:$B))),Subject!$B:$B,0),3))))</f>
        <v/>
      </c>
      <c r="H536" s="2" t="str">
        <f t="array" ref="H536">IF(NOW()&gt;AS536,"",IF(AND((WEEKDAY($A536)+$B$2)&gt;1,((WEEKDAY($A536)+$T$2)&lt;7),(WEEKDAY($A536)&lt;&gt;1)),"work",(INDEX(Subject!$A:$I,MATCH(RANDBETWEEN(1,(MAX(Subject!$B:$B))),Subject!$B:$B,0),3))))</f>
        <v/>
      </c>
      <c r="I536" s="2" t="str">
        <f t="array" ref="I536">IF(NOW()&gt;AT536,"",IF(AND((WEEKDAY($A536)+$B$2)&gt;1,((WEEKDAY($A536)+$T$2)&lt;7),(WEEKDAY($A536)&lt;&gt;1)),"work",(INDEX(Subject!$A:$I,MATCH(RANDBETWEEN(1,(MAX(Subject!$B:$B))),Subject!$B:$B,0),3))))</f>
        <v/>
      </c>
      <c r="J536" s="2" t="str">
        <f t="array" ref="J536">IF(NOW()&gt;AU536,"",IF(AND((WEEKDAY($A536)+$B$2)&gt;1,((WEEKDAY($A536)+$T$2)&lt;7),(WEEKDAY($A536)&lt;&gt;1)),"work",(INDEX(Subject!$A:$I,MATCH(RANDBETWEEN(1,(MAX(Subject!$B:$B))),Subject!$B:$B,0),3))))</f>
        <v/>
      </c>
      <c r="K536" s="2" t="str">
        <f t="array" ref="K536">IF(NOW()&gt;AV536,"",IF(AND((WEEKDAY($A536)+$B$2)&gt;1,((WEEKDAY($A536)+$T$2)&lt;7),(WEEKDAY($A536)&lt;&gt;1)),"work",(INDEX(Subject!$A:$I,MATCH(RANDBETWEEN(1,(MAX(Subject!$B:$B))),Subject!$B:$B,0),3))))</f>
        <v/>
      </c>
      <c r="L536" s="2" t="str">
        <f t="array" ref="L536">IF(NOW()&gt;AW536,"",IF(AND((WEEKDAY($A536)+$B$2)&gt;1,((WEEKDAY($A536)+$T$2)&lt;7),(WEEKDAY($A536)&lt;&gt;1)),"work",(INDEX(Subject!$A:$I,MATCH(RANDBETWEEN(1,(MAX(Subject!$B:$B))),Subject!$B:$B,0),3))))</f>
        <v/>
      </c>
      <c r="M536" s="2" t="str">
        <f t="array" ref="M536">IF(NOW()&gt;AX536,"",IF(AND((WEEKDAY($A536)+$B$2)&gt;1,((WEEKDAY($A536)+$T$2)&lt;7),(WEEKDAY($A536)&lt;&gt;1)),"work",(INDEX(Subject!$A:$I,MATCH(RANDBETWEEN(1,(MAX(Subject!$B:$B))),Subject!$B:$B,0),3))))</f>
        <v/>
      </c>
      <c r="N536" s="2" t="str">
        <f t="array" ref="N536">IF(NOW()&gt;AY536,"",IF(AND((WEEKDAY($A536)+$B$2)&gt;1,((WEEKDAY($A536)+$T$2)&lt;7),(WEEKDAY($A536)&lt;&gt;1)),"work",(INDEX(Subject!$A:$I,MATCH(RANDBETWEEN(1,(MAX(Subject!$B:$B))),Subject!$B:$B,0),3))))</f>
        <v/>
      </c>
      <c r="O536" s="2" t="str">
        <f t="array" ref="O536">IF(NOW()&gt;AZ536,"",IF(AND((WEEKDAY($A536)+$B$2)&gt;1,((WEEKDAY($A536)+$T$2)&lt;7),(WEEKDAY($A536)&lt;&gt;1)),"work",(INDEX(Subject!$A:$I,MATCH(RANDBETWEEN(1,(MAX(Subject!$B:$B))),Subject!$B:$B,0),3))))</f>
        <v/>
      </c>
      <c r="P536" s="2" t="str">
        <f t="array" ref="P536">IF(NOW()&gt;BA536,"",IF(AND((WEEKDAY($A536)+$B$2)&gt;1,((WEEKDAY($A536)+$T$2)&lt;7),(WEEKDAY($A536)&lt;&gt;1)),"work",(INDEX(Subject!$A:$I,MATCH(RANDBETWEEN(1,(MAX(Subject!$B:$B))),Subject!$B:$B,0),3))))</f>
        <v/>
      </c>
      <c r="Q536" s="2" t="str">
        <f t="array" ref="Q536">IF(NOW()&gt;BB536,"",IF(AND((WEEKDAY($A536)+$B$2)&gt;1,((WEEKDAY($A536)+$T$2)&lt;7),(WEEKDAY($A536)&lt;&gt;1)),"work",(INDEX(Subject!$A:$I,MATCH(RANDBETWEEN(1,(MAX(Subject!$B:$B))),Subject!$B:$B,0),3))))</f>
        <v/>
      </c>
      <c r="R536" s="2" t="str">
        <f t="array" ref="R536">IF(NOW()&gt;BC536,"",IF(AND((WEEKDAY($A536)+$B$2)&gt;1,((WEEKDAY($A536)+$T$2)&lt;7),(WEEKDAY($A536)&lt;&gt;1)),"work",(INDEX(Subject!$A:$I,MATCH(RANDBETWEEN(1,(MAX(Subject!$B:$B))),Subject!$B:$B,0),3))))</f>
        <v/>
      </c>
      <c r="S536" s="2" t="str">
        <f t="array" ref="S536">IF(NOW()&gt;BD536,"",IF(AND((WEEKDAY($A536)+$B$2)&gt;1,((WEEKDAY($A536)+$T$2)&lt;7),(WEEKDAY($A536)&lt;&gt;1)),"work",(INDEX(Subject!$A:$I,MATCH(RANDBETWEEN(1,(MAX(Subject!$B:$B))),Subject!$B:$B,0),3))))</f>
        <v/>
      </c>
      <c r="T536" s="2" t="str">
        <f t="array" ref="T536">IF(NOW()&gt;BE536,"",IF(AND((WEEKDAY($A536)+$B$2)&gt;1,((WEEKDAY($A536)+$T$2)&lt;7),(WEEKDAY($A536)&lt;&gt;1)),"work",(INDEX(Subject!$A:$I,MATCH(RANDBETWEEN(1,(MAX(Subject!$B:$B))),Subject!$B:$B,0),3))))</f>
        <v/>
      </c>
      <c r="U536" s="8" t="str">
        <f t="array" ref="U536">INDEX(Subject!$A:$I,MATCH(RANDBETWEEN(1,16),Subject!$B:$B,0),3)</f>
        <v/>
      </c>
      <c r="V536" s="8" t="str">
        <f t="array" ref="V536">INDEX(Subject!$A:$I,MATCH(RANDBETWEEN(1,16),Subject!$B:$B,0),3)</f>
        <v>#N/A</v>
      </c>
      <c r="W536" s="8" t="str">
        <f t="array" ref="W536">INDEX(Subject!$A:$I,MATCH(RANDBETWEEN(1,16),Subject!$B:$B,0),3)</f>
        <v>#N/A</v>
      </c>
      <c r="X536" s="8" t="str">
        <f t="array" ref="X536">INDEX(Subject!$A:$I,MATCH(RANDBETWEEN(1,16),Subject!$B:$B,0),3)</f>
        <v>#N/A</v>
      </c>
      <c r="Y536" s="8" t="str">
        <f t="array" ref="Y536">INDEX(Subject!$A:$I,MATCH(RANDBETWEEN(1,16),Subject!$B:$B,0),3)</f>
        <v>#N/A</v>
      </c>
      <c r="Z536" s="8" t="str">
        <f t="array" ref="Z536">INDEX(Subject!$A:$I,MATCH(RANDBETWEEN(1,16),Subject!$B:$B,0),3)</f>
        <v>#N/A</v>
      </c>
      <c r="AA536" s="8" t="str">
        <f t="array" ref="AA536">INDEX(Subject!$A:$I,MATCH(RANDBETWEEN(1,16),Subject!$B:$B,0),3)</f>
        <v>#N/A</v>
      </c>
      <c r="AB536" s="8" t="str">
        <f t="array" ref="AB536">INDEX(Subject!$A:$I,MATCH(RANDBETWEEN(1,16),Subject!$B:$B,0),3)</f>
        <v>#N/A</v>
      </c>
      <c r="AC536" s="8" t="str">
        <f t="array" ref="AC536">INDEX(Subject!$A:$I,MATCH(RANDBETWEEN(1,16),Subject!$B:$B,0),3)</f>
        <v>#N/A</v>
      </c>
      <c r="AD536" s="8" t="str">
        <f t="array" ref="AD536">INDEX(Subject!$A:$I,MATCH(RANDBETWEEN(1,16),Subject!$B:$B,0),3)</f>
        <v>#N/A</v>
      </c>
      <c r="AE536" s="8" t="str">
        <f t="array" ref="AE536">INDEX(Subject!$A:$I,MATCH(RANDBETWEEN(1,16),Subject!$B:$B,0),3)</f>
        <v>#N/A</v>
      </c>
      <c r="AF536" s="8" t="str">
        <f t="array" ref="AF536">INDEX(Subject!$A:$I,MATCH(RANDBETWEEN(1,16),Subject!$B:$B,0),3)</f>
        <v>#N/A</v>
      </c>
      <c r="AG536" s="8" t="str">
        <f t="array" ref="AG536">INDEX(Subject!$A:$I,MATCH(RANDBETWEEN(1,16),Subject!$B:$B,0),3)</f>
        <v>#N/A</v>
      </c>
      <c r="AH536" s="8" t="str">
        <f t="array" ref="AH536">INDEX(Subject!$A:$I,MATCH(RANDBETWEEN(1,16),Subject!$B:$B,0),3)</f>
        <v>#N/A</v>
      </c>
      <c r="AI536" s="8" t="str">
        <f t="array" ref="AI536">INDEX(Subject!$A:$I,MATCH(RANDBETWEEN(1,16),Subject!$B:$B,0),3)</f>
        <v>#N/A</v>
      </c>
      <c r="AJ536" s="8" t="str">
        <f t="array" ref="AJ536">INDEX(Subject!$A:$I,MATCH(RANDBETWEEN(1,16),Subject!$B:$B,0),3)</f>
        <v/>
      </c>
      <c r="AK536" s="8" t="str">
        <f t="array" ref="AK536">INDEX(Subject!$A:$I,MATCH(RANDBETWEEN(1,16),Subject!$B:$B,0),3)</f>
        <v>#N/A</v>
      </c>
      <c r="AL536" s="8" t="str">
        <f t="array" ref="AL536">INDEX(Subject!$A:$I,MATCH(RANDBETWEEN(1,16),Subject!$B:$B,0),3)</f>
        <v>#N/A</v>
      </c>
      <c r="AM536" s="18">
        <f t="shared" si="4"/>
        <v>46036.33333</v>
      </c>
      <c r="AN536" s="19">
        <f t="shared" ref="AN536:BZ536" si="536">$A536+C$1</f>
        <v>46036.35417</v>
      </c>
      <c r="AO536" s="19">
        <f t="shared" si="536"/>
        <v>46036.375</v>
      </c>
      <c r="AP536" s="19">
        <f t="shared" si="536"/>
        <v>46036.39583</v>
      </c>
      <c r="AQ536" s="19">
        <f t="shared" si="536"/>
        <v>46036.41667</v>
      </c>
      <c r="AR536" s="19">
        <f t="shared" si="536"/>
        <v>46036.4375</v>
      </c>
      <c r="AS536" s="19">
        <f t="shared" si="536"/>
        <v>46036.45833</v>
      </c>
      <c r="AT536" s="19">
        <f t="shared" si="536"/>
        <v>46036.47917</v>
      </c>
      <c r="AU536" s="19">
        <f t="shared" si="536"/>
        <v>46036.5</v>
      </c>
      <c r="AV536" s="19">
        <f t="shared" si="536"/>
        <v>46036.52083</v>
      </c>
      <c r="AW536" s="19">
        <f t="shared" si="536"/>
        <v>46036.54167</v>
      </c>
      <c r="AX536" s="19">
        <f t="shared" si="536"/>
        <v>46036.5625</v>
      </c>
      <c r="AY536" s="19">
        <f t="shared" si="536"/>
        <v>46036.58333</v>
      </c>
      <c r="AZ536" s="19">
        <f t="shared" si="536"/>
        <v>46036.60417</v>
      </c>
      <c r="BA536" s="19">
        <f t="shared" si="536"/>
        <v>46036.625</v>
      </c>
      <c r="BB536" s="19">
        <f t="shared" si="536"/>
        <v>46036.64583</v>
      </c>
      <c r="BC536" s="19">
        <f t="shared" si="536"/>
        <v>46036.66667</v>
      </c>
      <c r="BD536" s="19">
        <f t="shared" si="536"/>
        <v>46036.6875</v>
      </c>
      <c r="BE536" s="19">
        <f t="shared" si="536"/>
        <v>46036.70833</v>
      </c>
      <c r="BF536" s="19">
        <f t="shared" si="536"/>
        <v>46036.72917</v>
      </c>
      <c r="BG536" s="19">
        <f t="shared" si="536"/>
        <v>46036.75</v>
      </c>
      <c r="BH536" s="19">
        <f t="shared" si="536"/>
        <v>46036.77083</v>
      </c>
      <c r="BI536" s="19">
        <f t="shared" si="536"/>
        <v>46036.79167</v>
      </c>
      <c r="BJ536" s="19">
        <f t="shared" si="536"/>
        <v>46036.8125</v>
      </c>
      <c r="BK536" s="19">
        <f t="shared" si="536"/>
        <v>46036.83333</v>
      </c>
      <c r="BL536" s="19">
        <f t="shared" si="536"/>
        <v>46036.85417</v>
      </c>
      <c r="BM536" s="19">
        <f t="shared" si="536"/>
        <v>46036.875</v>
      </c>
      <c r="BN536" s="19">
        <f t="shared" si="536"/>
        <v>46036.89583</v>
      </c>
      <c r="BO536" s="19">
        <f t="shared" si="536"/>
        <v>46036.91667</v>
      </c>
      <c r="BP536" s="19">
        <f t="shared" si="536"/>
        <v>46036.9375</v>
      </c>
      <c r="BQ536" s="19">
        <f t="shared" si="536"/>
        <v>46036.95833</v>
      </c>
      <c r="BR536" s="19">
        <f t="shared" si="536"/>
        <v>46036.97917</v>
      </c>
      <c r="BS536" s="19">
        <f t="shared" si="536"/>
        <v>46037</v>
      </c>
      <c r="BT536" s="19">
        <f t="shared" si="536"/>
        <v>46037.02083</v>
      </c>
      <c r="BU536" s="19">
        <f t="shared" si="536"/>
        <v>46037.04167</v>
      </c>
      <c r="BV536" s="19">
        <f t="shared" si="536"/>
        <v>46037.0625</v>
      </c>
      <c r="BW536" s="19">
        <f t="shared" si="536"/>
        <v>46037.08333</v>
      </c>
      <c r="BX536" s="19">
        <f t="shared" si="536"/>
        <v>46036</v>
      </c>
      <c r="BY536" s="19">
        <f t="shared" si="536"/>
        <v>46036</v>
      </c>
      <c r="BZ536" s="19">
        <f t="shared" si="536"/>
        <v>46036</v>
      </c>
    </row>
    <row r="537" ht="14.25" customHeight="1">
      <c r="A537" s="17">
        <v>46037.0</v>
      </c>
      <c r="B537" s="2" t="str">
        <f t="array" ref="B537">IF(NOW()&gt;AM537,"",IF(AND((WEEKDAY($A537)+$B$2)&gt;1,((WEEKDAY($A537)+$T$2)&lt;7),(WEEKDAY($A537)&lt;&gt;1)),"work",(INDEX(Subject!$A:$I,MATCH(RANDBETWEEN(1,(MAX(Subject!$B:$B))),Subject!$B:$B,0),3))))</f>
        <v/>
      </c>
      <c r="C537" s="2" t="str">
        <f t="array" ref="C537">IF(NOW()&gt;AN537,"",IF(AND((WEEKDAY($A537)+$B$2)&gt;1,((WEEKDAY($A537)+$T$2)&lt;7),(WEEKDAY($A537)&lt;&gt;1)),"work",(INDEX(Subject!$A:$I,MATCH(RANDBETWEEN(1,(MAX(Subject!$B:$B))),Subject!$B:$B,0),3))))</f>
        <v/>
      </c>
      <c r="D537" s="2" t="str">
        <f t="array" ref="D537">IF(NOW()&gt;AO537,"",IF(AND((WEEKDAY($A537)+$B$2)&gt;1,((WEEKDAY($A537)+$T$2)&lt;7),(WEEKDAY($A537)&lt;&gt;1)),"work",(INDEX(Subject!$A:$I,MATCH(RANDBETWEEN(1,(MAX(Subject!$B:$B))),Subject!$B:$B,0),3))))</f>
        <v/>
      </c>
      <c r="E537" s="2" t="str">
        <f t="array" ref="E537">IF(NOW()&gt;AP537,"",IF(AND((WEEKDAY($A537)+$B$2)&gt;1,((WEEKDAY($A537)+$T$2)&lt;7),(WEEKDAY($A537)&lt;&gt;1)),"work",(INDEX(Subject!$A:$I,MATCH(RANDBETWEEN(1,(MAX(Subject!$B:$B))),Subject!$B:$B,0),3))))</f>
        <v/>
      </c>
      <c r="F537" s="2" t="str">
        <f t="array" ref="F537">IF(NOW()&gt;AQ537,"",IF(AND((WEEKDAY($A537)+$B$2)&gt;1,((WEEKDAY($A537)+$T$2)&lt;7),(WEEKDAY($A537)&lt;&gt;1)),"work",(INDEX(Subject!$A:$I,MATCH(RANDBETWEEN(1,(MAX(Subject!$B:$B))),Subject!$B:$B,0),3))))</f>
        <v/>
      </c>
      <c r="G537" s="2" t="str">
        <f t="array" ref="G537">IF(NOW()&gt;AR537,"",IF(AND((WEEKDAY($A537)+$B$2)&gt;1,((WEEKDAY($A537)+$T$2)&lt;7),(WEEKDAY($A537)&lt;&gt;1)),"work",(INDEX(Subject!$A:$I,MATCH(RANDBETWEEN(1,(MAX(Subject!$B:$B))),Subject!$B:$B,0),3))))</f>
        <v/>
      </c>
      <c r="H537" s="2" t="str">
        <f t="array" ref="H537">IF(NOW()&gt;AS537,"",IF(AND((WEEKDAY($A537)+$B$2)&gt;1,((WEEKDAY($A537)+$T$2)&lt;7),(WEEKDAY($A537)&lt;&gt;1)),"work",(INDEX(Subject!$A:$I,MATCH(RANDBETWEEN(1,(MAX(Subject!$B:$B))),Subject!$B:$B,0),3))))</f>
        <v/>
      </c>
      <c r="I537" s="2" t="str">
        <f t="array" ref="I537">IF(NOW()&gt;AT537,"",IF(AND((WEEKDAY($A537)+$B$2)&gt;1,((WEEKDAY($A537)+$T$2)&lt;7),(WEEKDAY($A537)&lt;&gt;1)),"work",(INDEX(Subject!$A:$I,MATCH(RANDBETWEEN(1,(MAX(Subject!$B:$B))),Subject!$B:$B,0),3))))</f>
        <v/>
      </c>
      <c r="J537" s="2" t="str">
        <f t="array" ref="J537">IF(NOW()&gt;AU537,"",IF(AND((WEEKDAY($A537)+$B$2)&gt;1,((WEEKDAY($A537)+$T$2)&lt;7),(WEEKDAY($A537)&lt;&gt;1)),"work",(INDEX(Subject!$A:$I,MATCH(RANDBETWEEN(1,(MAX(Subject!$B:$B))),Subject!$B:$B,0),3))))</f>
        <v/>
      </c>
      <c r="K537" s="2" t="str">
        <f t="array" ref="K537">IF(NOW()&gt;AV537,"",IF(AND((WEEKDAY($A537)+$B$2)&gt;1,((WEEKDAY($A537)+$T$2)&lt;7),(WEEKDAY($A537)&lt;&gt;1)),"work",(INDEX(Subject!$A:$I,MATCH(RANDBETWEEN(1,(MAX(Subject!$B:$B))),Subject!$B:$B,0),3))))</f>
        <v/>
      </c>
      <c r="L537" s="2" t="str">
        <f t="array" ref="L537">IF(NOW()&gt;AW537,"",IF(AND((WEEKDAY($A537)+$B$2)&gt;1,((WEEKDAY($A537)+$T$2)&lt;7),(WEEKDAY($A537)&lt;&gt;1)),"work",(INDEX(Subject!$A:$I,MATCH(RANDBETWEEN(1,(MAX(Subject!$B:$B))),Subject!$B:$B,0),3))))</f>
        <v/>
      </c>
      <c r="M537" s="2" t="str">
        <f t="array" ref="M537">IF(NOW()&gt;AX537,"",IF(AND((WEEKDAY($A537)+$B$2)&gt;1,((WEEKDAY($A537)+$T$2)&lt;7),(WEEKDAY($A537)&lt;&gt;1)),"work",(INDEX(Subject!$A:$I,MATCH(RANDBETWEEN(1,(MAX(Subject!$B:$B))),Subject!$B:$B,0),3))))</f>
        <v/>
      </c>
      <c r="N537" s="2" t="str">
        <f t="array" ref="N537">IF(NOW()&gt;AY537,"",IF(AND((WEEKDAY($A537)+$B$2)&gt;1,((WEEKDAY($A537)+$T$2)&lt;7),(WEEKDAY($A537)&lt;&gt;1)),"work",(INDEX(Subject!$A:$I,MATCH(RANDBETWEEN(1,(MAX(Subject!$B:$B))),Subject!$B:$B,0),3))))</f>
        <v/>
      </c>
      <c r="O537" s="2" t="str">
        <f t="array" ref="O537">IF(NOW()&gt;AZ537,"",IF(AND((WEEKDAY($A537)+$B$2)&gt;1,((WEEKDAY($A537)+$T$2)&lt;7),(WEEKDAY($A537)&lt;&gt;1)),"work",(INDEX(Subject!$A:$I,MATCH(RANDBETWEEN(1,(MAX(Subject!$B:$B))),Subject!$B:$B,0),3))))</f>
        <v/>
      </c>
      <c r="P537" s="2" t="str">
        <f t="array" ref="P537">IF(NOW()&gt;BA537,"",IF(AND((WEEKDAY($A537)+$B$2)&gt;1,((WEEKDAY($A537)+$T$2)&lt;7),(WEEKDAY($A537)&lt;&gt;1)),"work",(INDEX(Subject!$A:$I,MATCH(RANDBETWEEN(1,(MAX(Subject!$B:$B))),Subject!$B:$B,0),3))))</f>
        <v/>
      </c>
      <c r="Q537" s="2" t="str">
        <f t="array" ref="Q537">IF(NOW()&gt;BB537,"",IF(AND((WEEKDAY($A537)+$B$2)&gt;1,((WEEKDAY($A537)+$T$2)&lt;7),(WEEKDAY($A537)&lt;&gt;1)),"work",(INDEX(Subject!$A:$I,MATCH(RANDBETWEEN(1,(MAX(Subject!$B:$B))),Subject!$B:$B,0),3))))</f>
        <v/>
      </c>
      <c r="R537" s="2" t="str">
        <f t="array" ref="R537">IF(NOW()&gt;BC537,"",IF(AND((WEEKDAY($A537)+$B$2)&gt;1,((WEEKDAY($A537)+$T$2)&lt;7),(WEEKDAY($A537)&lt;&gt;1)),"work",(INDEX(Subject!$A:$I,MATCH(RANDBETWEEN(1,(MAX(Subject!$B:$B))),Subject!$B:$B,0),3))))</f>
        <v/>
      </c>
      <c r="S537" s="2" t="str">
        <f t="array" ref="S537">IF(NOW()&gt;BD537,"",IF(AND((WEEKDAY($A537)+$B$2)&gt;1,((WEEKDAY($A537)+$T$2)&lt;7),(WEEKDAY($A537)&lt;&gt;1)),"work",(INDEX(Subject!$A:$I,MATCH(RANDBETWEEN(1,(MAX(Subject!$B:$B))),Subject!$B:$B,0),3))))</f>
        <v/>
      </c>
      <c r="T537" s="2" t="str">
        <f t="array" ref="T537">IF(NOW()&gt;BE537,"",IF(AND((WEEKDAY($A537)+$B$2)&gt;1,((WEEKDAY($A537)+$T$2)&lt;7),(WEEKDAY($A537)&lt;&gt;1)),"work",(INDEX(Subject!$A:$I,MATCH(RANDBETWEEN(1,(MAX(Subject!$B:$B))),Subject!$B:$B,0),3))))</f>
        <v/>
      </c>
      <c r="U537" s="8" t="str">
        <f t="array" ref="U537">INDEX(Subject!$A:$I,MATCH(RANDBETWEEN(1,16),Subject!$B:$B,0),3)</f>
        <v>#N/A</v>
      </c>
      <c r="V537" s="8" t="str">
        <f t="array" ref="V537">INDEX(Subject!$A:$I,MATCH(RANDBETWEEN(1,16),Subject!$B:$B,0),3)</f>
        <v>#N/A</v>
      </c>
      <c r="W537" s="8" t="str">
        <f t="array" ref="W537">INDEX(Subject!$A:$I,MATCH(RANDBETWEEN(1,16),Subject!$B:$B,0),3)</f>
        <v>#N/A</v>
      </c>
      <c r="X537" s="8" t="str">
        <f t="array" ref="X537">INDEX(Subject!$A:$I,MATCH(RANDBETWEEN(1,16),Subject!$B:$B,0),3)</f>
        <v>#N/A</v>
      </c>
      <c r="Y537" s="8" t="str">
        <f t="array" ref="Y537">INDEX(Subject!$A:$I,MATCH(RANDBETWEEN(1,16),Subject!$B:$B,0),3)</f>
        <v>#N/A</v>
      </c>
      <c r="Z537" s="8" t="str">
        <f t="array" ref="Z537">INDEX(Subject!$A:$I,MATCH(RANDBETWEEN(1,16),Subject!$B:$B,0),3)</f>
        <v>#N/A</v>
      </c>
      <c r="AA537" s="8" t="str">
        <f t="array" ref="AA537">INDEX(Subject!$A:$I,MATCH(RANDBETWEEN(1,16),Subject!$B:$B,0),3)</f>
        <v>#N/A</v>
      </c>
      <c r="AB537" s="8" t="str">
        <f t="array" ref="AB537">INDEX(Subject!$A:$I,MATCH(RANDBETWEEN(1,16),Subject!$B:$B,0),3)</f>
        <v>#N/A</v>
      </c>
      <c r="AC537" s="8" t="str">
        <f t="array" ref="AC537">INDEX(Subject!$A:$I,MATCH(RANDBETWEEN(1,16),Subject!$B:$B,0),3)</f>
        <v>#N/A</v>
      </c>
      <c r="AD537" s="8" t="str">
        <f t="array" ref="AD537">INDEX(Subject!$A:$I,MATCH(RANDBETWEEN(1,16),Subject!$B:$B,0),3)</f>
        <v>#N/A</v>
      </c>
      <c r="AE537" s="8" t="str">
        <f t="array" ref="AE537">INDEX(Subject!$A:$I,MATCH(RANDBETWEEN(1,16),Subject!$B:$B,0),3)</f>
        <v>#N/A</v>
      </c>
      <c r="AF537" s="8" t="str">
        <f t="array" ref="AF537">INDEX(Subject!$A:$I,MATCH(RANDBETWEEN(1,16),Subject!$B:$B,0),3)</f>
        <v>#N/A</v>
      </c>
      <c r="AG537" s="8" t="str">
        <f t="array" ref="AG537">INDEX(Subject!$A:$I,MATCH(RANDBETWEEN(1,16),Subject!$B:$B,0),3)</f>
        <v/>
      </c>
      <c r="AH537" s="8" t="str">
        <f t="array" ref="AH537">INDEX(Subject!$A:$I,MATCH(RANDBETWEEN(1,16),Subject!$B:$B,0),3)</f>
        <v>#N/A</v>
      </c>
      <c r="AI537" s="8" t="str">
        <f t="array" ref="AI537">INDEX(Subject!$A:$I,MATCH(RANDBETWEEN(1,16),Subject!$B:$B,0),3)</f>
        <v>#N/A</v>
      </c>
      <c r="AJ537" s="8" t="str">
        <f t="array" ref="AJ537">INDEX(Subject!$A:$I,MATCH(RANDBETWEEN(1,16),Subject!$B:$B,0),3)</f>
        <v>#N/A</v>
      </c>
      <c r="AK537" s="8" t="str">
        <f t="array" ref="AK537">INDEX(Subject!$A:$I,MATCH(RANDBETWEEN(1,16),Subject!$B:$B,0),3)</f>
        <v>#N/A</v>
      </c>
      <c r="AL537" s="8" t="str">
        <f t="array" ref="AL537">INDEX(Subject!$A:$I,MATCH(RANDBETWEEN(1,16),Subject!$B:$B,0),3)</f>
        <v>#N/A</v>
      </c>
      <c r="AM537" s="18">
        <f t="shared" si="4"/>
        <v>46037.33333</v>
      </c>
      <c r="AN537" s="19">
        <f t="shared" ref="AN537:BZ537" si="537">$A537+C$1</f>
        <v>46037.35417</v>
      </c>
      <c r="AO537" s="19">
        <f t="shared" si="537"/>
        <v>46037.375</v>
      </c>
      <c r="AP537" s="19">
        <f t="shared" si="537"/>
        <v>46037.39583</v>
      </c>
      <c r="AQ537" s="19">
        <f t="shared" si="537"/>
        <v>46037.41667</v>
      </c>
      <c r="AR537" s="19">
        <f t="shared" si="537"/>
        <v>46037.4375</v>
      </c>
      <c r="AS537" s="19">
        <f t="shared" si="537"/>
        <v>46037.45833</v>
      </c>
      <c r="AT537" s="19">
        <f t="shared" si="537"/>
        <v>46037.47917</v>
      </c>
      <c r="AU537" s="19">
        <f t="shared" si="537"/>
        <v>46037.5</v>
      </c>
      <c r="AV537" s="19">
        <f t="shared" si="537"/>
        <v>46037.52083</v>
      </c>
      <c r="AW537" s="19">
        <f t="shared" si="537"/>
        <v>46037.54167</v>
      </c>
      <c r="AX537" s="19">
        <f t="shared" si="537"/>
        <v>46037.5625</v>
      </c>
      <c r="AY537" s="19">
        <f t="shared" si="537"/>
        <v>46037.58333</v>
      </c>
      <c r="AZ537" s="19">
        <f t="shared" si="537"/>
        <v>46037.60417</v>
      </c>
      <c r="BA537" s="19">
        <f t="shared" si="537"/>
        <v>46037.625</v>
      </c>
      <c r="BB537" s="19">
        <f t="shared" si="537"/>
        <v>46037.64583</v>
      </c>
      <c r="BC537" s="19">
        <f t="shared" si="537"/>
        <v>46037.66667</v>
      </c>
      <c r="BD537" s="19">
        <f t="shared" si="537"/>
        <v>46037.6875</v>
      </c>
      <c r="BE537" s="19">
        <f t="shared" si="537"/>
        <v>46037.70833</v>
      </c>
      <c r="BF537" s="19">
        <f t="shared" si="537"/>
        <v>46037.72917</v>
      </c>
      <c r="BG537" s="19">
        <f t="shared" si="537"/>
        <v>46037.75</v>
      </c>
      <c r="BH537" s="19">
        <f t="shared" si="537"/>
        <v>46037.77083</v>
      </c>
      <c r="BI537" s="19">
        <f t="shared" si="537"/>
        <v>46037.79167</v>
      </c>
      <c r="BJ537" s="19">
        <f t="shared" si="537"/>
        <v>46037.8125</v>
      </c>
      <c r="BK537" s="19">
        <f t="shared" si="537"/>
        <v>46037.83333</v>
      </c>
      <c r="BL537" s="19">
        <f t="shared" si="537"/>
        <v>46037.85417</v>
      </c>
      <c r="BM537" s="19">
        <f t="shared" si="537"/>
        <v>46037.875</v>
      </c>
      <c r="BN537" s="19">
        <f t="shared" si="537"/>
        <v>46037.89583</v>
      </c>
      <c r="BO537" s="19">
        <f t="shared" si="537"/>
        <v>46037.91667</v>
      </c>
      <c r="BP537" s="19">
        <f t="shared" si="537"/>
        <v>46037.9375</v>
      </c>
      <c r="BQ537" s="19">
        <f t="shared" si="537"/>
        <v>46037.95833</v>
      </c>
      <c r="BR537" s="19">
        <f t="shared" si="537"/>
        <v>46037.97917</v>
      </c>
      <c r="BS537" s="19">
        <f t="shared" si="537"/>
        <v>46038</v>
      </c>
      <c r="BT537" s="19">
        <f t="shared" si="537"/>
        <v>46038.02083</v>
      </c>
      <c r="BU537" s="19">
        <f t="shared" si="537"/>
        <v>46038.04167</v>
      </c>
      <c r="BV537" s="19">
        <f t="shared" si="537"/>
        <v>46038.0625</v>
      </c>
      <c r="BW537" s="19">
        <f t="shared" si="537"/>
        <v>46038.08333</v>
      </c>
      <c r="BX537" s="19">
        <f t="shared" si="537"/>
        <v>46037</v>
      </c>
      <c r="BY537" s="19">
        <f t="shared" si="537"/>
        <v>46037</v>
      </c>
      <c r="BZ537" s="19">
        <f t="shared" si="537"/>
        <v>46037</v>
      </c>
    </row>
    <row r="538" ht="14.25" customHeight="1">
      <c r="A538" s="17">
        <v>46038.0</v>
      </c>
      <c r="B538" s="2" t="str">
        <f t="array" ref="B538">IF(NOW()&gt;AM538,"",IF(AND((WEEKDAY($A538)+$B$2)&gt;1,((WEEKDAY($A538)+$T$2)&lt;7),(WEEKDAY($A538)&lt;&gt;1)),"work",(INDEX(Subject!$A:$I,MATCH(RANDBETWEEN(1,(MAX(Subject!$B:$B))),Subject!$B:$B,0),3))))</f>
        <v/>
      </c>
      <c r="C538" s="2" t="str">
        <f t="array" ref="C538">IF(NOW()&gt;AN538,"",IF(AND((WEEKDAY($A538)+$B$2)&gt;1,((WEEKDAY($A538)+$T$2)&lt;7),(WEEKDAY($A538)&lt;&gt;1)),"work",(INDEX(Subject!$A:$I,MATCH(RANDBETWEEN(1,(MAX(Subject!$B:$B))),Subject!$B:$B,0),3))))</f>
        <v/>
      </c>
      <c r="D538" s="2" t="str">
        <f t="array" ref="D538">IF(NOW()&gt;AO538,"",IF(AND((WEEKDAY($A538)+$B$2)&gt;1,((WEEKDAY($A538)+$T$2)&lt;7),(WEEKDAY($A538)&lt;&gt;1)),"work",(INDEX(Subject!$A:$I,MATCH(RANDBETWEEN(1,(MAX(Subject!$B:$B))),Subject!$B:$B,0),3))))</f>
        <v/>
      </c>
      <c r="E538" s="2" t="str">
        <f t="array" ref="E538">IF(NOW()&gt;AP538,"",IF(AND((WEEKDAY($A538)+$B$2)&gt;1,((WEEKDAY($A538)+$T$2)&lt;7),(WEEKDAY($A538)&lt;&gt;1)),"work",(INDEX(Subject!$A:$I,MATCH(RANDBETWEEN(1,(MAX(Subject!$B:$B))),Subject!$B:$B,0),3))))</f>
        <v/>
      </c>
      <c r="F538" s="2" t="str">
        <f t="array" ref="F538">IF(NOW()&gt;AQ538,"",IF(AND((WEEKDAY($A538)+$B$2)&gt;1,((WEEKDAY($A538)+$T$2)&lt;7),(WEEKDAY($A538)&lt;&gt;1)),"work",(INDEX(Subject!$A:$I,MATCH(RANDBETWEEN(1,(MAX(Subject!$B:$B))),Subject!$B:$B,0),3))))</f>
        <v/>
      </c>
      <c r="G538" s="2" t="str">
        <f t="array" ref="G538">IF(NOW()&gt;AR538,"",IF(AND((WEEKDAY($A538)+$B$2)&gt;1,((WEEKDAY($A538)+$T$2)&lt;7),(WEEKDAY($A538)&lt;&gt;1)),"work",(INDEX(Subject!$A:$I,MATCH(RANDBETWEEN(1,(MAX(Subject!$B:$B))),Subject!$B:$B,0),3))))</f>
        <v/>
      </c>
      <c r="H538" s="2" t="str">
        <f t="array" ref="H538">IF(NOW()&gt;AS538,"",IF(AND((WEEKDAY($A538)+$B$2)&gt;1,((WEEKDAY($A538)+$T$2)&lt;7),(WEEKDAY($A538)&lt;&gt;1)),"work",(INDEX(Subject!$A:$I,MATCH(RANDBETWEEN(1,(MAX(Subject!$B:$B))),Subject!$B:$B,0),3))))</f>
        <v/>
      </c>
      <c r="I538" s="2" t="str">
        <f t="array" ref="I538">IF(NOW()&gt;AT538,"",IF(AND((WEEKDAY($A538)+$B$2)&gt;1,((WEEKDAY($A538)+$T$2)&lt;7),(WEEKDAY($A538)&lt;&gt;1)),"work",(INDEX(Subject!$A:$I,MATCH(RANDBETWEEN(1,(MAX(Subject!$B:$B))),Subject!$B:$B,0),3))))</f>
        <v/>
      </c>
      <c r="J538" s="2" t="str">
        <f t="array" ref="J538">IF(NOW()&gt;AU538,"",IF(AND((WEEKDAY($A538)+$B$2)&gt;1,((WEEKDAY($A538)+$T$2)&lt;7),(WEEKDAY($A538)&lt;&gt;1)),"work",(INDEX(Subject!$A:$I,MATCH(RANDBETWEEN(1,(MAX(Subject!$B:$B))),Subject!$B:$B,0),3))))</f>
        <v/>
      </c>
      <c r="K538" s="2" t="str">
        <f t="array" ref="K538">IF(NOW()&gt;AV538,"",IF(AND((WEEKDAY($A538)+$B$2)&gt;1,((WEEKDAY($A538)+$T$2)&lt;7),(WEEKDAY($A538)&lt;&gt;1)),"work",(INDEX(Subject!$A:$I,MATCH(RANDBETWEEN(1,(MAX(Subject!$B:$B))),Subject!$B:$B,0),3))))</f>
        <v/>
      </c>
      <c r="L538" s="2" t="str">
        <f t="array" ref="L538">IF(NOW()&gt;AW538,"",IF(AND((WEEKDAY($A538)+$B$2)&gt;1,((WEEKDAY($A538)+$T$2)&lt;7),(WEEKDAY($A538)&lt;&gt;1)),"work",(INDEX(Subject!$A:$I,MATCH(RANDBETWEEN(1,(MAX(Subject!$B:$B))),Subject!$B:$B,0),3))))</f>
        <v/>
      </c>
      <c r="M538" s="2" t="str">
        <f t="array" ref="M538">IF(NOW()&gt;AX538,"",IF(AND((WEEKDAY($A538)+$B$2)&gt;1,((WEEKDAY($A538)+$T$2)&lt;7),(WEEKDAY($A538)&lt;&gt;1)),"work",(INDEX(Subject!$A:$I,MATCH(RANDBETWEEN(1,(MAX(Subject!$B:$B))),Subject!$B:$B,0),3))))</f>
        <v/>
      </c>
      <c r="N538" s="2" t="str">
        <f t="array" ref="N538">IF(NOW()&gt;AY538,"",IF(AND((WEEKDAY($A538)+$B$2)&gt;1,((WEEKDAY($A538)+$T$2)&lt;7),(WEEKDAY($A538)&lt;&gt;1)),"work",(INDEX(Subject!$A:$I,MATCH(RANDBETWEEN(1,(MAX(Subject!$B:$B))),Subject!$B:$B,0),3))))</f>
        <v/>
      </c>
      <c r="O538" s="2" t="str">
        <f t="array" ref="O538">IF(NOW()&gt;AZ538,"",IF(AND((WEEKDAY($A538)+$B$2)&gt;1,((WEEKDAY($A538)+$T$2)&lt;7),(WEEKDAY($A538)&lt;&gt;1)),"work",(INDEX(Subject!$A:$I,MATCH(RANDBETWEEN(1,(MAX(Subject!$B:$B))),Subject!$B:$B,0),3))))</f>
        <v/>
      </c>
      <c r="P538" s="2" t="str">
        <f t="array" ref="P538">IF(NOW()&gt;BA538,"",IF(AND((WEEKDAY($A538)+$B$2)&gt;1,((WEEKDAY($A538)+$T$2)&lt;7),(WEEKDAY($A538)&lt;&gt;1)),"work",(INDEX(Subject!$A:$I,MATCH(RANDBETWEEN(1,(MAX(Subject!$B:$B))),Subject!$B:$B,0),3))))</f>
        <v/>
      </c>
      <c r="Q538" s="2" t="str">
        <f t="array" ref="Q538">IF(NOW()&gt;BB538,"",IF(AND((WEEKDAY($A538)+$B$2)&gt;1,((WEEKDAY($A538)+$T$2)&lt;7),(WEEKDAY($A538)&lt;&gt;1)),"work",(INDEX(Subject!$A:$I,MATCH(RANDBETWEEN(1,(MAX(Subject!$B:$B))),Subject!$B:$B,0),3))))</f>
        <v/>
      </c>
      <c r="R538" s="2" t="str">
        <f t="array" ref="R538">IF(NOW()&gt;BC538,"",IF(AND((WEEKDAY($A538)+$B$2)&gt;1,((WEEKDAY($A538)+$T$2)&lt;7),(WEEKDAY($A538)&lt;&gt;1)),"work",(INDEX(Subject!$A:$I,MATCH(RANDBETWEEN(1,(MAX(Subject!$B:$B))),Subject!$B:$B,0),3))))</f>
        <v/>
      </c>
      <c r="S538" s="2" t="str">
        <f t="array" ref="S538">IF(NOW()&gt;BD538,"",IF(AND((WEEKDAY($A538)+$B$2)&gt;1,((WEEKDAY($A538)+$T$2)&lt;7),(WEEKDAY($A538)&lt;&gt;1)),"work",(INDEX(Subject!$A:$I,MATCH(RANDBETWEEN(1,(MAX(Subject!$B:$B))),Subject!$B:$B,0),3))))</f>
        <v/>
      </c>
      <c r="T538" s="2" t="str">
        <f t="array" ref="T538">IF(NOW()&gt;BE538,"",IF(AND((WEEKDAY($A538)+$B$2)&gt;1,((WEEKDAY($A538)+$T$2)&lt;7),(WEEKDAY($A538)&lt;&gt;1)),"work",(INDEX(Subject!$A:$I,MATCH(RANDBETWEEN(1,(MAX(Subject!$B:$B))),Subject!$B:$B,0),3))))</f>
        <v/>
      </c>
      <c r="U538" s="8" t="str">
        <f t="array" ref="U538">INDEX(Subject!$A:$I,MATCH(RANDBETWEEN(1,16),Subject!$B:$B,0),3)</f>
        <v>#N/A</v>
      </c>
      <c r="V538" s="8" t="str">
        <f t="array" ref="V538">INDEX(Subject!$A:$I,MATCH(RANDBETWEEN(1,16),Subject!$B:$B,0),3)</f>
        <v>#N/A</v>
      </c>
      <c r="W538" s="8" t="str">
        <f t="array" ref="W538">INDEX(Subject!$A:$I,MATCH(RANDBETWEEN(1,16),Subject!$B:$B,0),3)</f>
        <v>#N/A</v>
      </c>
      <c r="X538" s="8" t="str">
        <f t="array" ref="X538">INDEX(Subject!$A:$I,MATCH(RANDBETWEEN(1,16),Subject!$B:$B,0),3)</f>
        <v/>
      </c>
      <c r="Y538" s="8" t="str">
        <f t="array" ref="Y538">INDEX(Subject!$A:$I,MATCH(RANDBETWEEN(1,16),Subject!$B:$B,0),3)</f>
        <v>#N/A</v>
      </c>
      <c r="Z538" s="8" t="str">
        <f t="array" ref="Z538">INDEX(Subject!$A:$I,MATCH(RANDBETWEEN(1,16),Subject!$B:$B,0),3)</f>
        <v>#N/A</v>
      </c>
      <c r="AA538" s="8" t="str">
        <f t="array" ref="AA538">INDEX(Subject!$A:$I,MATCH(RANDBETWEEN(1,16),Subject!$B:$B,0),3)</f>
        <v>#N/A</v>
      </c>
      <c r="AB538" s="8" t="str">
        <f t="array" ref="AB538">INDEX(Subject!$A:$I,MATCH(RANDBETWEEN(1,16),Subject!$B:$B,0),3)</f>
        <v>#N/A</v>
      </c>
      <c r="AC538" s="8" t="str">
        <f t="array" ref="AC538">INDEX(Subject!$A:$I,MATCH(RANDBETWEEN(1,16),Subject!$B:$B,0),3)</f>
        <v>#N/A</v>
      </c>
      <c r="AD538" s="8" t="str">
        <f t="array" ref="AD538">INDEX(Subject!$A:$I,MATCH(RANDBETWEEN(1,16),Subject!$B:$B,0),3)</f>
        <v>#N/A</v>
      </c>
      <c r="AE538" s="8" t="str">
        <f t="array" ref="AE538">INDEX(Subject!$A:$I,MATCH(RANDBETWEEN(1,16),Subject!$B:$B,0),3)</f>
        <v>#N/A</v>
      </c>
      <c r="AF538" s="8" t="str">
        <f t="array" ref="AF538">INDEX(Subject!$A:$I,MATCH(RANDBETWEEN(1,16),Subject!$B:$B,0),3)</f>
        <v>#N/A</v>
      </c>
      <c r="AG538" s="8" t="str">
        <f t="array" ref="AG538">INDEX(Subject!$A:$I,MATCH(RANDBETWEEN(1,16),Subject!$B:$B,0),3)</f>
        <v/>
      </c>
      <c r="AH538" s="8" t="str">
        <f t="array" ref="AH538">INDEX(Subject!$A:$I,MATCH(RANDBETWEEN(1,16),Subject!$B:$B,0),3)</f>
        <v>#N/A</v>
      </c>
      <c r="AI538" s="8" t="str">
        <f t="array" ref="AI538">INDEX(Subject!$A:$I,MATCH(RANDBETWEEN(1,16),Subject!$B:$B,0),3)</f>
        <v>#N/A</v>
      </c>
      <c r="AJ538" s="8" t="str">
        <f t="array" ref="AJ538">INDEX(Subject!$A:$I,MATCH(RANDBETWEEN(1,16),Subject!$B:$B,0),3)</f>
        <v>#N/A</v>
      </c>
      <c r="AK538" s="8" t="str">
        <f t="array" ref="AK538">INDEX(Subject!$A:$I,MATCH(RANDBETWEEN(1,16),Subject!$B:$B,0),3)</f>
        <v>#N/A</v>
      </c>
      <c r="AL538" s="8" t="str">
        <f t="array" ref="AL538">INDEX(Subject!$A:$I,MATCH(RANDBETWEEN(1,16),Subject!$B:$B,0),3)</f>
        <v>#N/A</v>
      </c>
      <c r="AM538" s="18">
        <f t="shared" si="4"/>
        <v>46038.33333</v>
      </c>
      <c r="AN538" s="19">
        <f t="shared" ref="AN538:BZ538" si="538">$A538+C$1</f>
        <v>46038.35417</v>
      </c>
      <c r="AO538" s="19">
        <f t="shared" si="538"/>
        <v>46038.375</v>
      </c>
      <c r="AP538" s="19">
        <f t="shared" si="538"/>
        <v>46038.39583</v>
      </c>
      <c r="AQ538" s="19">
        <f t="shared" si="538"/>
        <v>46038.41667</v>
      </c>
      <c r="AR538" s="19">
        <f t="shared" si="538"/>
        <v>46038.4375</v>
      </c>
      <c r="AS538" s="19">
        <f t="shared" si="538"/>
        <v>46038.45833</v>
      </c>
      <c r="AT538" s="19">
        <f t="shared" si="538"/>
        <v>46038.47917</v>
      </c>
      <c r="AU538" s="19">
        <f t="shared" si="538"/>
        <v>46038.5</v>
      </c>
      <c r="AV538" s="19">
        <f t="shared" si="538"/>
        <v>46038.52083</v>
      </c>
      <c r="AW538" s="19">
        <f t="shared" si="538"/>
        <v>46038.54167</v>
      </c>
      <c r="AX538" s="19">
        <f t="shared" si="538"/>
        <v>46038.5625</v>
      </c>
      <c r="AY538" s="19">
        <f t="shared" si="538"/>
        <v>46038.58333</v>
      </c>
      <c r="AZ538" s="19">
        <f t="shared" si="538"/>
        <v>46038.60417</v>
      </c>
      <c r="BA538" s="19">
        <f t="shared" si="538"/>
        <v>46038.625</v>
      </c>
      <c r="BB538" s="19">
        <f t="shared" si="538"/>
        <v>46038.64583</v>
      </c>
      <c r="BC538" s="19">
        <f t="shared" si="538"/>
        <v>46038.66667</v>
      </c>
      <c r="BD538" s="19">
        <f t="shared" si="538"/>
        <v>46038.6875</v>
      </c>
      <c r="BE538" s="19">
        <f t="shared" si="538"/>
        <v>46038.70833</v>
      </c>
      <c r="BF538" s="19">
        <f t="shared" si="538"/>
        <v>46038.72917</v>
      </c>
      <c r="BG538" s="19">
        <f t="shared" si="538"/>
        <v>46038.75</v>
      </c>
      <c r="BH538" s="19">
        <f t="shared" si="538"/>
        <v>46038.77083</v>
      </c>
      <c r="BI538" s="19">
        <f t="shared" si="538"/>
        <v>46038.79167</v>
      </c>
      <c r="BJ538" s="19">
        <f t="shared" si="538"/>
        <v>46038.8125</v>
      </c>
      <c r="BK538" s="19">
        <f t="shared" si="538"/>
        <v>46038.83333</v>
      </c>
      <c r="BL538" s="19">
        <f t="shared" si="538"/>
        <v>46038.85417</v>
      </c>
      <c r="BM538" s="19">
        <f t="shared" si="538"/>
        <v>46038.875</v>
      </c>
      <c r="BN538" s="19">
        <f t="shared" si="538"/>
        <v>46038.89583</v>
      </c>
      <c r="BO538" s="19">
        <f t="shared" si="538"/>
        <v>46038.91667</v>
      </c>
      <c r="BP538" s="19">
        <f t="shared" si="538"/>
        <v>46038.9375</v>
      </c>
      <c r="BQ538" s="19">
        <f t="shared" si="538"/>
        <v>46038.95833</v>
      </c>
      <c r="BR538" s="19">
        <f t="shared" si="538"/>
        <v>46038.97917</v>
      </c>
      <c r="BS538" s="19">
        <f t="shared" si="538"/>
        <v>46039</v>
      </c>
      <c r="BT538" s="19">
        <f t="shared" si="538"/>
        <v>46039.02083</v>
      </c>
      <c r="BU538" s="19">
        <f t="shared" si="538"/>
        <v>46039.04167</v>
      </c>
      <c r="BV538" s="19">
        <f t="shared" si="538"/>
        <v>46039.0625</v>
      </c>
      <c r="BW538" s="19">
        <f t="shared" si="538"/>
        <v>46039.08333</v>
      </c>
      <c r="BX538" s="19">
        <f t="shared" si="538"/>
        <v>46038</v>
      </c>
      <c r="BY538" s="19">
        <f t="shared" si="538"/>
        <v>46038</v>
      </c>
      <c r="BZ538" s="19">
        <f t="shared" si="538"/>
        <v>46038</v>
      </c>
    </row>
    <row r="539" ht="14.25" customHeight="1">
      <c r="A539" s="17">
        <v>46039.0</v>
      </c>
      <c r="B539" s="2" t="str">
        <f t="array" ref="B539">IF(NOW()&gt;AM539,"",IF(AND((WEEKDAY($A539)+$B$2)&gt;1,((WEEKDAY($A539)+$T$2)&lt;7),(WEEKDAY($A539)&lt;&gt;1)),"work",(INDEX(Subject!$A:$I,MATCH(RANDBETWEEN(1,(MAX(Subject!$B:$B))),Subject!$B:$B,0),3))))</f>
        <v/>
      </c>
      <c r="C539" s="2" t="str">
        <f t="array" ref="C539">IF(NOW()&gt;AN539,"",IF(AND((WEEKDAY($A539)+$B$2)&gt;1,((WEEKDAY($A539)+$T$2)&lt;7),(WEEKDAY($A539)&lt;&gt;1)),"work",(INDEX(Subject!$A:$I,MATCH(RANDBETWEEN(1,(MAX(Subject!$B:$B))),Subject!$B:$B,0),3))))</f>
        <v/>
      </c>
      <c r="D539" s="2" t="str">
        <f t="array" ref="D539">IF(NOW()&gt;AO539,"",IF(AND((WEEKDAY($A539)+$B$2)&gt;1,((WEEKDAY($A539)+$T$2)&lt;7),(WEEKDAY($A539)&lt;&gt;1)),"work",(INDEX(Subject!$A:$I,MATCH(RANDBETWEEN(1,(MAX(Subject!$B:$B))),Subject!$B:$B,0),3))))</f>
        <v/>
      </c>
      <c r="E539" s="2" t="str">
        <f t="array" ref="E539">IF(NOW()&gt;AP539,"",IF(AND((WEEKDAY($A539)+$B$2)&gt;1,((WEEKDAY($A539)+$T$2)&lt;7),(WEEKDAY($A539)&lt;&gt;1)),"work",(INDEX(Subject!$A:$I,MATCH(RANDBETWEEN(1,(MAX(Subject!$B:$B))),Subject!$B:$B,0),3))))</f>
        <v/>
      </c>
      <c r="F539" s="2" t="str">
        <f t="array" ref="F539">IF(NOW()&gt;AQ539,"",IF(AND((WEEKDAY($A539)+$B$2)&gt;1,((WEEKDAY($A539)+$T$2)&lt;7),(WEEKDAY($A539)&lt;&gt;1)),"work",(INDEX(Subject!$A:$I,MATCH(RANDBETWEEN(1,(MAX(Subject!$B:$B))),Subject!$B:$B,0),3))))</f>
        <v/>
      </c>
      <c r="G539" s="2" t="str">
        <f t="array" ref="G539">IF(NOW()&gt;AR539,"",IF(AND((WEEKDAY($A539)+$B$2)&gt;1,((WEEKDAY($A539)+$T$2)&lt;7),(WEEKDAY($A539)&lt;&gt;1)),"work",(INDEX(Subject!$A:$I,MATCH(RANDBETWEEN(1,(MAX(Subject!$B:$B))),Subject!$B:$B,0),3))))</f>
        <v/>
      </c>
      <c r="H539" s="2" t="str">
        <f t="array" ref="H539">IF(NOW()&gt;AS539,"",IF(AND((WEEKDAY($A539)+$B$2)&gt;1,((WEEKDAY($A539)+$T$2)&lt;7),(WEEKDAY($A539)&lt;&gt;1)),"work",(INDEX(Subject!$A:$I,MATCH(RANDBETWEEN(1,(MAX(Subject!$B:$B))),Subject!$B:$B,0),3))))</f>
        <v/>
      </c>
      <c r="I539" s="2" t="str">
        <f t="array" ref="I539">IF(NOW()&gt;AT539,"",IF(AND((WEEKDAY($A539)+$B$2)&gt;1,((WEEKDAY($A539)+$T$2)&lt;7),(WEEKDAY($A539)&lt;&gt;1)),"work",(INDEX(Subject!$A:$I,MATCH(RANDBETWEEN(1,(MAX(Subject!$B:$B))),Subject!$B:$B,0),3))))</f>
        <v/>
      </c>
      <c r="J539" s="2" t="str">
        <f t="array" ref="J539">IF(NOW()&gt;AU539,"",IF(AND((WEEKDAY($A539)+$B$2)&gt;1,((WEEKDAY($A539)+$T$2)&lt;7),(WEEKDAY($A539)&lt;&gt;1)),"work",(INDEX(Subject!$A:$I,MATCH(RANDBETWEEN(1,(MAX(Subject!$B:$B))),Subject!$B:$B,0),3))))</f>
        <v/>
      </c>
      <c r="K539" s="2" t="str">
        <f t="array" ref="K539">IF(NOW()&gt;AV539,"",IF(AND((WEEKDAY($A539)+$B$2)&gt;1,((WEEKDAY($A539)+$T$2)&lt;7),(WEEKDAY($A539)&lt;&gt;1)),"work",(INDEX(Subject!$A:$I,MATCH(RANDBETWEEN(1,(MAX(Subject!$B:$B))),Subject!$B:$B,0),3))))</f>
        <v/>
      </c>
      <c r="L539" s="2" t="str">
        <f t="array" ref="L539">IF(NOW()&gt;AW539,"",IF(AND((WEEKDAY($A539)+$B$2)&gt;1,((WEEKDAY($A539)+$T$2)&lt;7),(WEEKDAY($A539)&lt;&gt;1)),"work",(INDEX(Subject!$A:$I,MATCH(RANDBETWEEN(1,(MAX(Subject!$B:$B))),Subject!$B:$B,0),3))))</f>
        <v/>
      </c>
      <c r="M539" s="2" t="str">
        <f t="array" ref="M539">IF(NOW()&gt;AX539,"",IF(AND((WEEKDAY($A539)+$B$2)&gt;1,((WEEKDAY($A539)+$T$2)&lt;7),(WEEKDAY($A539)&lt;&gt;1)),"work",(INDEX(Subject!$A:$I,MATCH(RANDBETWEEN(1,(MAX(Subject!$B:$B))),Subject!$B:$B,0),3))))</f>
        <v/>
      </c>
      <c r="N539" s="2" t="str">
        <f t="array" ref="N539">IF(NOW()&gt;AY539,"",IF(AND((WEEKDAY($A539)+$B$2)&gt;1,((WEEKDAY($A539)+$T$2)&lt;7),(WEEKDAY($A539)&lt;&gt;1)),"work",(INDEX(Subject!$A:$I,MATCH(RANDBETWEEN(1,(MAX(Subject!$B:$B))),Subject!$B:$B,0),3))))</f>
        <v/>
      </c>
      <c r="O539" s="2" t="str">
        <f t="array" ref="O539">IF(NOW()&gt;AZ539,"",IF(AND((WEEKDAY($A539)+$B$2)&gt;1,((WEEKDAY($A539)+$T$2)&lt;7),(WEEKDAY($A539)&lt;&gt;1)),"work",(INDEX(Subject!$A:$I,MATCH(RANDBETWEEN(1,(MAX(Subject!$B:$B))),Subject!$B:$B,0),3))))</f>
        <v/>
      </c>
      <c r="P539" s="2" t="str">
        <f t="array" ref="P539">IF(NOW()&gt;BA539,"",IF(AND((WEEKDAY($A539)+$B$2)&gt;1,((WEEKDAY($A539)+$T$2)&lt;7),(WEEKDAY($A539)&lt;&gt;1)),"work",(INDEX(Subject!$A:$I,MATCH(RANDBETWEEN(1,(MAX(Subject!$B:$B))),Subject!$B:$B,0),3))))</f>
        <v/>
      </c>
      <c r="Q539" s="2" t="str">
        <f t="array" ref="Q539">IF(NOW()&gt;BB539,"",IF(AND((WEEKDAY($A539)+$B$2)&gt;1,((WEEKDAY($A539)+$T$2)&lt;7),(WEEKDAY($A539)&lt;&gt;1)),"work",(INDEX(Subject!$A:$I,MATCH(RANDBETWEEN(1,(MAX(Subject!$B:$B))),Subject!$B:$B,0),3))))</f>
        <v/>
      </c>
      <c r="R539" s="2" t="str">
        <f t="array" ref="R539">IF(NOW()&gt;BC539,"",IF(AND((WEEKDAY($A539)+$B$2)&gt;1,((WEEKDAY($A539)+$T$2)&lt;7),(WEEKDAY($A539)&lt;&gt;1)),"work",(INDEX(Subject!$A:$I,MATCH(RANDBETWEEN(1,(MAX(Subject!$B:$B))),Subject!$B:$B,0),3))))</f>
        <v/>
      </c>
      <c r="S539" s="2" t="str">
        <f t="array" ref="S539">IF(NOW()&gt;BD539,"",IF(AND((WEEKDAY($A539)+$B$2)&gt;1,((WEEKDAY($A539)+$T$2)&lt;7),(WEEKDAY($A539)&lt;&gt;1)),"work",(INDEX(Subject!$A:$I,MATCH(RANDBETWEEN(1,(MAX(Subject!$B:$B))),Subject!$B:$B,0),3))))</f>
        <v/>
      </c>
      <c r="T539" s="2" t="str">
        <f t="array" ref="T539">IF(NOW()&gt;BE539,"",IF(AND((WEEKDAY($A539)+$B$2)&gt;1,((WEEKDAY($A539)+$T$2)&lt;7),(WEEKDAY($A539)&lt;&gt;1)),"work",(INDEX(Subject!$A:$I,MATCH(RANDBETWEEN(1,(MAX(Subject!$B:$B))),Subject!$B:$B,0),3))))</f>
        <v/>
      </c>
      <c r="U539" s="8" t="str">
        <f t="array" ref="U539">INDEX(Subject!$A:$I,MATCH(RANDBETWEEN(1,16),Subject!$B:$B,0),3)</f>
        <v>#N/A</v>
      </c>
      <c r="V539" s="8" t="str">
        <f t="array" ref="V539">INDEX(Subject!$A:$I,MATCH(RANDBETWEEN(1,16),Subject!$B:$B,0),3)</f>
        <v>#N/A</v>
      </c>
      <c r="W539" s="8" t="str">
        <f t="array" ref="W539">INDEX(Subject!$A:$I,MATCH(RANDBETWEEN(1,16),Subject!$B:$B,0),3)</f>
        <v>#N/A</v>
      </c>
      <c r="X539" s="8" t="str">
        <f t="array" ref="X539">INDEX(Subject!$A:$I,MATCH(RANDBETWEEN(1,16),Subject!$B:$B,0),3)</f>
        <v>#N/A</v>
      </c>
      <c r="Y539" s="8" t="str">
        <f t="array" ref="Y539">INDEX(Subject!$A:$I,MATCH(RANDBETWEEN(1,16),Subject!$B:$B,0),3)</f>
        <v>#N/A</v>
      </c>
      <c r="Z539" s="8" t="str">
        <f t="array" ref="Z539">INDEX(Subject!$A:$I,MATCH(RANDBETWEEN(1,16),Subject!$B:$B,0),3)</f>
        <v>#N/A</v>
      </c>
      <c r="AA539" s="8" t="str">
        <f t="array" ref="AA539">INDEX(Subject!$A:$I,MATCH(RANDBETWEEN(1,16),Subject!$B:$B,0),3)</f>
        <v>#N/A</v>
      </c>
      <c r="AB539" s="8" t="str">
        <f t="array" ref="AB539">INDEX(Subject!$A:$I,MATCH(RANDBETWEEN(1,16),Subject!$B:$B,0),3)</f>
        <v>#N/A</v>
      </c>
      <c r="AC539" s="8" t="str">
        <f t="array" ref="AC539">INDEX(Subject!$A:$I,MATCH(RANDBETWEEN(1,16),Subject!$B:$B,0),3)</f>
        <v>#N/A</v>
      </c>
      <c r="AD539" s="8" t="str">
        <f t="array" ref="AD539">INDEX(Subject!$A:$I,MATCH(RANDBETWEEN(1,16),Subject!$B:$B,0),3)</f>
        <v>#N/A</v>
      </c>
      <c r="AE539" s="8" t="str">
        <f t="array" ref="AE539">INDEX(Subject!$A:$I,MATCH(RANDBETWEEN(1,16),Subject!$B:$B,0),3)</f>
        <v>#N/A</v>
      </c>
      <c r="AF539" s="8" t="str">
        <f t="array" ref="AF539">INDEX(Subject!$A:$I,MATCH(RANDBETWEEN(1,16),Subject!$B:$B,0),3)</f>
        <v>#N/A</v>
      </c>
      <c r="AG539" s="8" t="str">
        <f t="array" ref="AG539">INDEX(Subject!$A:$I,MATCH(RANDBETWEEN(1,16),Subject!$B:$B,0),3)</f>
        <v>#N/A</v>
      </c>
      <c r="AH539" s="8" t="str">
        <f t="array" ref="AH539">INDEX(Subject!$A:$I,MATCH(RANDBETWEEN(1,16),Subject!$B:$B,0),3)</f>
        <v/>
      </c>
      <c r="AI539" s="8" t="str">
        <f t="array" ref="AI539">INDEX(Subject!$A:$I,MATCH(RANDBETWEEN(1,16),Subject!$B:$B,0),3)</f>
        <v>#N/A</v>
      </c>
      <c r="AJ539" s="8" t="str">
        <f t="array" ref="AJ539">INDEX(Subject!$A:$I,MATCH(RANDBETWEEN(1,16),Subject!$B:$B,0),3)</f>
        <v>#N/A</v>
      </c>
      <c r="AK539" s="8" t="str">
        <f t="array" ref="AK539">INDEX(Subject!$A:$I,MATCH(RANDBETWEEN(1,16),Subject!$B:$B,0),3)</f>
        <v>#N/A</v>
      </c>
      <c r="AL539" s="8" t="str">
        <f t="array" ref="AL539">INDEX(Subject!$A:$I,MATCH(RANDBETWEEN(1,16),Subject!$B:$B,0),3)</f>
        <v>#N/A</v>
      </c>
      <c r="AM539" s="18">
        <f t="shared" si="4"/>
        <v>46039.33333</v>
      </c>
      <c r="AN539" s="19">
        <f t="shared" ref="AN539:BZ539" si="539">$A539+C$1</f>
        <v>46039.35417</v>
      </c>
      <c r="AO539" s="19">
        <f t="shared" si="539"/>
        <v>46039.375</v>
      </c>
      <c r="AP539" s="19">
        <f t="shared" si="539"/>
        <v>46039.39583</v>
      </c>
      <c r="AQ539" s="19">
        <f t="shared" si="539"/>
        <v>46039.41667</v>
      </c>
      <c r="AR539" s="19">
        <f t="shared" si="539"/>
        <v>46039.4375</v>
      </c>
      <c r="AS539" s="19">
        <f t="shared" si="539"/>
        <v>46039.45833</v>
      </c>
      <c r="AT539" s="19">
        <f t="shared" si="539"/>
        <v>46039.47917</v>
      </c>
      <c r="AU539" s="19">
        <f t="shared" si="539"/>
        <v>46039.5</v>
      </c>
      <c r="AV539" s="19">
        <f t="shared" si="539"/>
        <v>46039.52083</v>
      </c>
      <c r="AW539" s="19">
        <f t="shared" si="539"/>
        <v>46039.54167</v>
      </c>
      <c r="AX539" s="19">
        <f t="shared" si="539"/>
        <v>46039.5625</v>
      </c>
      <c r="AY539" s="19">
        <f t="shared" si="539"/>
        <v>46039.58333</v>
      </c>
      <c r="AZ539" s="19">
        <f t="shared" si="539"/>
        <v>46039.60417</v>
      </c>
      <c r="BA539" s="19">
        <f t="shared" si="539"/>
        <v>46039.625</v>
      </c>
      <c r="BB539" s="19">
        <f t="shared" si="539"/>
        <v>46039.64583</v>
      </c>
      <c r="BC539" s="19">
        <f t="shared" si="539"/>
        <v>46039.66667</v>
      </c>
      <c r="BD539" s="19">
        <f t="shared" si="539"/>
        <v>46039.6875</v>
      </c>
      <c r="BE539" s="19">
        <f t="shared" si="539"/>
        <v>46039.70833</v>
      </c>
      <c r="BF539" s="19">
        <f t="shared" si="539"/>
        <v>46039.72917</v>
      </c>
      <c r="BG539" s="19">
        <f t="shared" si="539"/>
        <v>46039.75</v>
      </c>
      <c r="BH539" s="19">
        <f t="shared" si="539"/>
        <v>46039.77083</v>
      </c>
      <c r="BI539" s="19">
        <f t="shared" si="539"/>
        <v>46039.79167</v>
      </c>
      <c r="BJ539" s="19">
        <f t="shared" si="539"/>
        <v>46039.8125</v>
      </c>
      <c r="BK539" s="19">
        <f t="shared" si="539"/>
        <v>46039.83333</v>
      </c>
      <c r="BL539" s="19">
        <f t="shared" si="539"/>
        <v>46039.85417</v>
      </c>
      <c r="BM539" s="19">
        <f t="shared" si="539"/>
        <v>46039.875</v>
      </c>
      <c r="BN539" s="19">
        <f t="shared" si="539"/>
        <v>46039.89583</v>
      </c>
      <c r="BO539" s="19">
        <f t="shared" si="539"/>
        <v>46039.91667</v>
      </c>
      <c r="BP539" s="19">
        <f t="shared" si="539"/>
        <v>46039.9375</v>
      </c>
      <c r="BQ539" s="19">
        <f t="shared" si="539"/>
        <v>46039.95833</v>
      </c>
      <c r="BR539" s="19">
        <f t="shared" si="539"/>
        <v>46039.97917</v>
      </c>
      <c r="BS539" s="19">
        <f t="shared" si="539"/>
        <v>46040</v>
      </c>
      <c r="BT539" s="19">
        <f t="shared" si="539"/>
        <v>46040.02083</v>
      </c>
      <c r="BU539" s="19">
        <f t="shared" si="539"/>
        <v>46040.04167</v>
      </c>
      <c r="BV539" s="19">
        <f t="shared" si="539"/>
        <v>46040.0625</v>
      </c>
      <c r="BW539" s="19">
        <f t="shared" si="539"/>
        <v>46040.08333</v>
      </c>
      <c r="BX539" s="19">
        <f t="shared" si="539"/>
        <v>46039</v>
      </c>
      <c r="BY539" s="19">
        <f t="shared" si="539"/>
        <v>46039</v>
      </c>
      <c r="BZ539" s="19">
        <f t="shared" si="539"/>
        <v>46039</v>
      </c>
    </row>
    <row r="540" ht="14.25" customHeight="1">
      <c r="A540" s="17">
        <v>46040.0</v>
      </c>
      <c r="B540" s="2" t="str">
        <f t="array" ref="B540">IF(NOW()&gt;AM540,"",IF(AND((WEEKDAY($A540)+$B$2)&gt;1,((WEEKDAY($A540)+$T$2)&lt;7),(WEEKDAY($A540)&lt;&gt;1)),"work",(INDEX(Subject!$A:$I,MATCH(RANDBETWEEN(1,(MAX(Subject!$B:$B))),Subject!$B:$B,0),3))))</f>
        <v/>
      </c>
      <c r="C540" s="2" t="str">
        <f t="array" ref="C540">IF(NOW()&gt;AN540,"",IF(AND((WEEKDAY($A540)+$B$2)&gt;1,((WEEKDAY($A540)+$T$2)&lt;7),(WEEKDAY($A540)&lt;&gt;1)),"work",(INDEX(Subject!$A:$I,MATCH(RANDBETWEEN(1,(MAX(Subject!$B:$B))),Subject!$B:$B,0),3))))</f>
        <v/>
      </c>
      <c r="D540" s="2" t="str">
        <f t="array" ref="D540">IF(NOW()&gt;AO540,"",IF(AND((WEEKDAY($A540)+$B$2)&gt;1,((WEEKDAY($A540)+$T$2)&lt;7),(WEEKDAY($A540)&lt;&gt;1)),"work",(INDEX(Subject!$A:$I,MATCH(RANDBETWEEN(1,(MAX(Subject!$B:$B))),Subject!$B:$B,0),3))))</f>
        <v/>
      </c>
      <c r="E540" s="2" t="str">
        <f t="array" ref="E540">IF(NOW()&gt;AP540,"",IF(AND((WEEKDAY($A540)+$B$2)&gt;1,((WEEKDAY($A540)+$T$2)&lt;7),(WEEKDAY($A540)&lt;&gt;1)),"work",(INDEX(Subject!$A:$I,MATCH(RANDBETWEEN(1,(MAX(Subject!$B:$B))),Subject!$B:$B,0),3))))</f>
        <v/>
      </c>
      <c r="F540" s="2" t="str">
        <f t="array" ref="F540">IF(NOW()&gt;AQ540,"",IF(AND((WEEKDAY($A540)+$B$2)&gt;1,((WEEKDAY($A540)+$T$2)&lt;7),(WEEKDAY($A540)&lt;&gt;1)),"work",(INDEX(Subject!$A:$I,MATCH(RANDBETWEEN(1,(MAX(Subject!$B:$B))),Subject!$B:$B,0),3))))</f>
        <v/>
      </c>
      <c r="G540" s="2" t="str">
        <f t="array" ref="G540">IF(NOW()&gt;AR540,"",IF(AND((WEEKDAY($A540)+$B$2)&gt;1,((WEEKDAY($A540)+$T$2)&lt;7),(WEEKDAY($A540)&lt;&gt;1)),"work",(INDEX(Subject!$A:$I,MATCH(RANDBETWEEN(1,(MAX(Subject!$B:$B))),Subject!$B:$B,0),3))))</f>
        <v/>
      </c>
      <c r="H540" s="2" t="str">
        <f t="array" ref="H540">IF(NOW()&gt;AS540,"",IF(AND((WEEKDAY($A540)+$B$2)&gt;1,((WEEKDAY($A540)+$T$2)&lt;7),(WEEKDAY($A540)&lt;&gt;1)),"work",(INDEX(Subject!$A:$I,MATCH(RANDBETWEEN(1,(MAX(Subject!$B:$B))),Subject!$B:$B,0),3))))</f>
        <v/>
      </c>
      <c r="I540" s="2" t="str">
        <f t="array" ref="I540">IF(NOW()&gt;AT540,"",IF(AND((WEEKDAY($A540)+$B$2)&gt;1,((WEEKDAY($A540)+$T$2)&lt;7),(WEEKDAY($A540)&lt;&gt;1)),"work",(INDEX(Subject!$A:$I,MATCH(RANDBETWEEN(1,(MAX(Subject!$B:$B))),Subject!$B:$B,0),3))))</f>
        <v/>
      </c>
      <c r="J540" s="2" t="str">
        <f t="array" ref="J540">IF(NOW()&gt;AU540,"",IF(AND((WEEKDAY($A540)+$B$2)&gt;1,((WEEKDAY($A540)+$T$2)&lt;7),(WEEKDAY($A540)&lt;&gt;1)),"work",(INDEX(Subject!$A:$I,MATCH(RANDBETWEEN(1,(MAX(Subject!$B:$B))),Subject!$B:$B,0),3))))</f>
        <v/>
      </c>
      <c r="K540" s="2" t="str">
        <f t="array" ref="K540">IF(NOW()&gt;AV540,"",IF(AND((WEEKDAY($A540)+$B$2)&gt;1,((WEEKDAY($A540)+$T$2)&lt;7),(WEEKDAY($A540)&lt;&gt;1)),"work",(INDEX(Subject!$A:$I,MATCH(RANDBETWEEN(1,(MAX(Subject!$B:$B))),Subject!$B:$B,0),3))))</f>
        <v/>
      </c>
      <c r="L540" s="2" t="str">
        <f t="array" ref="L540">IF(NOW()&gt;AW540,"",IF(AND((WEEKDAY($A540)+$B$2)&gt;1,((WEEKDAY($A540)+$T$2)&lt;7),(WEEKDAY($A540)&lt;&gt;1)),"work",(INDEX(Subject!$A:$I,MATCH(RANDBETWEEN(1,(MAX(Subject!$B:$B))),Subject!$B:$B,0),3))))</f>
        <v/>
      </c>
      <c r="M540" s="2" t="str">
        <f t="array" ref="M540">IF(NOW()&gt;AX540,"",IF(AND((WEEKDAY($A540)+$B$2)&gt;1,((WEEKDAY($A540)+$T$2)&lt;7),(WEEKDAY($A540)&lt;&gt;1)),"work",(INDEX(Subject!$A:$I,MATCH(RANDBETWEEN(1,(MAX(Subject!$B:$B))),Subject!$B:$B,0),3))))</f>
        <v/>
      </c>
      <c r="N540" s="2" t="str">
        <f t="array" ref="N540">IF(NOW()&gt;AY540,"",IF(AND((WEEKDAY($A540)+$B$2)&gt;1,((WEEKDAY($A540)+$T$2)&lt;7),(WEEKDAY($A540)&lt;&gt;1)),"work",(INDEX(Subject!$A:$I,MATCH(RANDBETWEEN(1,(MAX(Subject!$B:$B))),Subject!$B:$B,0),3))))</f>
        <v/>
      </c>
      <c r="O540" s="2" t="str">
        <f t="array" ref="O540">IF(NOW()&gt;AZ540,"",IF(AND((WEEKDAY($A540)+$B$2)&gt;1,((WEEKDAY($A540)+$T$2)&lt;7),(WEEKDAY($A540)&lt;&gt;1)),"work",(INDEX(Subject!$A:$I,MATCH(RANDBETWEEN(1,(MAX(Subject!$B:$B))),Subject!$B:$B,0),3))))</f>
        <v/>
      </c>
      <c r="P540" s="2" t="str">
        <f t="array" ref="P540">IF(NOW()&gt;BA540,"",IF(AND((WEEKDAY($A540)+$B$2)&gt;1,((WEEKDAY($A540)+$T$2)&lt;7),(WEEKDAY($A540)&lt;&gt;1)),"work",(INDEX(Subject!$A:$I,MATCH(RANDBETWEEN(1,(MAX(Subject!$B:$B))),Subject!$B:$B,0),3))))</f>
        <v/>
      </c>
      <c r="Q540" s="2" t="str">
        <f t="array" ref="Q540">IF(NOW()&gt;BB540,"",IF(AND((WEEKDAY($A540)+$B$2)&gt;1,((WEEKDAY($A540)+$T$2)&lt;7),(WEEKDAY($A540)&lt;&gt;1)),"work",(INDEX(Subject!$A:$I,MATCH(RANDBETWEEN(1,(MAX(Subject!$B:$B))),Subject!$B:$B,0),3))))</f>
        <v/>
      </c>
      <c r="R540" s="2" t="str">
        <f t="array" ref="R540">IF(NOW()&gt;BC540,"",IF(AND((WEEKDAY($A540)+$B$2)&gt;1,((WEEKDAY($A540)+$T$2)&lt;7),(WEEKDAY($A540)&lt;&gt;1)),"work",(INDEX(Subject!$A:$I,MATCH(RANDBETWEEN(1,(MAX(Subject!$B:$B))),Subject!$B:$B,0),3))))</f>
        <v/>
      </c>
      <c r="S540" s="2" t="str">
        <f t="array" ref="S540">IF(NOW()&gt;BD540,"",IF(AND((WEEKDAY($A540)+$B$2)&gt;1,((WEEKDAY($A540)+$T$2)&lt;7),(WEEKDAY($A540)&lt;&gt;1)),"work",(INDEX(Subject!$A:$I,MATCH(RANDBETWEEN(1,(MAX(Subject!$B:$B))),Subject!$B:$B,0),3))))</f>
        <v/>
      </c>
      <c r="T540" s="2" t="str">
        <f t="array" ref="T540">IF(NOW()&gt;BE540,"",IF(AND((WEEKDAY($A540)+$B$2)&gt;1,((WEEKDAY($A540)+$T$2)&lt;7),(WEEKDAY($A540)&lt;&gt;1)),"work",(INDEX(Subject!$A:$I,MATCH(RANDBETWEEN(1,(MAX(Subject!$B:$B))),Subject!$B:$B,0),3))))</f>
        <v/>
      </c>
      <c r="U540" s="8" t="str">
        <f t="array" ref="U540">INDEX(Subject!$A:$I,MATCH(RANDBETWEEN(1,16),Subject!$B:$B,0),3)</f>
        <v>#N/A</v>
      </c>
      <c r="V540" s="8" t="str">
        <f t="array" ref="V540">INDEX(Subject!$A:$I,MATCH(RANDBETWEEN(1,16),Subject!$B:$B,0),3)</f>
        <v>#N/A</v>
      </c>
      <c r="W540" s="8" t="str">
        <f t="array" ref="W540">INDEX(Subject!$A:$I,MATCH(RANDBETWEEN(1,16),Subject!$B:$B,0),3)</f>
        <v>#N/A</v>
      </c>
      <c r="X540" s="8" t="str">
        <f t="array" ref="X540">INDEX(Subject!$A:$I,MATCH(RANDBETWEEN(1,16),Subject!$B:$B,0),3)</f>
        <v/>
      </c>
      <c r="Y540" s="8" t="str">
        <f t="array" ref="Y540">INDEX(Subject!$A:$I,MATCH(RANDBETWEEN(1,16),Subject!$B:$B,0),3)</f>
        <v>#N/A</v>
      </c>
      <c r="Z540" s="8" t="str">
        <f t="array" ref="Z540">INDEX(Subject!$A:$I,MATCH(RANDBETWEEN(1,16),Subject!$B:$B,0),3)</f>
        <v>#N/A</v>
      </c>
      <c r="AA540" s="8" t="str">
        <f t="array" ref="AA540">INDEX(Subject!$A:$I,MATCH(RANDBETWEEN(1,16),Subject!$B:$B,0),3)</f>
        <v>#N/A</v>
      </c>
      <c r="AB540" s="8" t="str">
        <f t="array" ref="AB540">INDEX(Subject!$A:$I,MATCH(RANDBETWEEN(1,16),Subject!$B:$B,0),3)</f>
        <v>#N/A</v>
      </c>
      <c r="AC540" s="8" t="str">
        <f t="array" ref="AC540">INDEX(Subject!$A:$I,MATCH(RANDBETWEEN(1,16),Subject!$B:$B,0),3)</f>
        <v>#N/A</v>
      </c>
      <c r="AD540" s="8" t="str">
        <f t="array" ref="AD540">INDEX(Subject!$A:$I,MATCH(RANDBETWEEN(1,16),Subject!$B:$B,0),3)</f>
        <v>#N/A</v>
      </c>
      <c r="AE540" s="8" t="str">
        <f t="array" ref="AE540">INDEX(Subject!$A:$I,MATCH(RANDBETWEEN(1,16),Subject!$B:$B,0),3)</f>
        <v>#N/A</v>
      </c>
      <c r="AF540" s="8" t="str">
        <f t="array" ref="AF540">INDEX(Subject!$A:$I,MATCH(RANDBETWEEN(1,16),Subject!$B:$B,0),3)</f>
        <v>#N/A</v>
      </c>
      <c r="AG540" s="8" t="str">
        <f t="array" ref="AG540">INDEX(Subject!$A:$I,MATCH(RANDBETWEEN(1,16),Subject!$B:$B,0),3)</f>
        <v>#N/A</v>
      </c>
      <c r="AH540" s="8" t="str">
        <f t="array" ref="AH540">INDEX(Subject!$A:$I,MATCH(RANDBETWEEN(1,16),Subject!$B:$B,0),3)</f>
        <v>#N/A</v>
      </c>
      <c r="AI540" s="8" t="str">
        <f t="array" ref="AI540">INDEX(Subject!$A:$I,MATCH(RANDBETWEEN(1,16),Subject!$B:$B,0),3)</f>
        <v>#N/A</v>
      </c>
      <c r="AJ540" s="8" t="str">
        <f t="array" ref="AJ540">INDEX(Subject!$A:$I,MATCH(RANDBETWEEN(1,16),Subject!$B:$B,0),3)</f>
        <v>#N/A</v>
      </c>
      <c r="AK540" s="8" t="str">
        <f t="array" ref="AK540">INDEX(Subject!$A:$I,MATCH(RANDBETWEEN(1,16),Subject!$B:$B,0),3)</f>
        <v>#N/A</v>
      </c>
      <c r="AL540" s="8" t="str">
        <f t="array" ref="AL540">INDEX(Subject!$A:$I,MATCH(RANDBETWEEN(1,16),Subject!$B:$B,0),3)</f>
        <v>#N/A</v>
      </c>
      <c r="AM540" s="18">
        <f t="shared" si="4"/>
        <v>46040.33333</v>
      </c>
      <c r="AN540" s="19">
        <f t="shared" ref="AN540:BZ540" si="540">$A540+C$1</f>
        <v>46040.35417</v>
      </c>
      <c r="AO540" s="19">
        <f t="shared" si="540"/>
        <v>46040.375</v>
      </c>
      <c r="AP540" s="19">
        <f t="shared" si="540"/>
        <v>46040.39583</v>
      </c>
      <c r="AQ540" s="19">
        <f t="shared" si="540"/>
        <v>46040.41667</v>
      </c>
      <c r="AR540" s="19">
        <f t="shared" si="540"/>
        <v>46040.4375</v>
      </c>
      <c r="AS540" s="19">
        <f t="shared" si="540"/>
        <v>46040.45833</v>
      </c>
      <c r="AT540" s="19">
        <f t="shared" si="540"/>
        <v>46040.47917</v>
      </c>
      <c r="AU540" s="19">
        <f t="shared" si="540"/>
        <v>46040.5</v>
      </c>
      <c r="AV540" s="19">
        <f t="shared" si="540"/>
        <v>46040.52083</v>
      </c>
      <c r="AW540" s="19">
        <f t="shared" si="540"/>
        <v>46040.54167</v>
      </c>
      <c r="AX540" s="19">
        <f t="shared" si="540"/>
        <v>46040.5625</v>
      </c>
      <c r="AY540" s="19">
        <f t="shared" si="540"/>
        <v>46040.58333</v>
      </c>
      <c r="AZ540" s="19">
        <f t="shared" si="540"/>
        <v>46040.60417</v>
      </c>
      <c r="BA540" s="19">
        <f t="shared" si="540"/>
        <v>46040.625</v>
      </c>
      <c r="BB540" s="19">
        <f t="shared" si="540"/>
        <v>46040.64583</v>
      </c>
      <c r="BC540" s="19">
        <f t="shared" si="540"/>
        <v>46040.66667</v>
      </c>
      <c r="BD540" s="19">
        <f t="shared" si="540"/>
        <v>46040.6875</v>
      </c>
      <c r="BE540" s="19">
        <f t="shared" si="540"/>
        <v>46040.70833</v>
      </c>
      <c r="BF540" s="19">
        <f t="shared" si="540"/>
        <v>46040.72917</v>
      </c>
      <c r="BG540" s="19">
        <f t="shared" si="540"/>
        <v>46040.75</v>
      </c>
      <c r="BH540" s="19">
        <f t="shared" si="540"/>
        <v>46040.77083</v>
      </c>
      <c r="BI540" s="19">
        <f t="shared" si="540"/>
        <v>46040.79167</v>
      </c>
      <c r="BJ540" s="19">
        <f t="shared" si="540"/>
        <v>46040.8125</v>
      </c>
      <c r="BK540" s="19">
        <f t="shared" si="540"/>
        <v>46040.83333</v>
      </c>
      <c r="BL540" s="19">
        <f t="shared" si="540"/>
        <v>46040.85417</v>
      </c>
      <c r="BM540" s="19">
        <f t="shared" si="540"/>
        <v>46040.875</v>
      </c>
      <c r="BN540" s="19">
        <f t="shared" si="540"/>
        <v>46040.89583</v>
      </c>
      <c r="BO540" s="19">
        <f t="shared" si="540"/>
        <v>46040.91667</v>
      </c>
      <c r="BP540" s="19">
        <f t="shared" si="540"/>
        <v>46040.9375</v>
      </c>
      <c r="BQ540" s="19">
        <f t="shared" si="540"/>
        <v>46040.95833</v>
      </c>
      <c r="BR540" s="19">
        <f t="shared" si="540"/>
        <v>46040.97917</v>
      </c>
      <c r="BS540" s="19">
        <f t="shared" si="540"/>
        <v>46041</v>
      </c>
      <c r="BT540" s="19">
        <f t="shared" si="540"/>
        <v>46041.02083</v>
      </c>
      <c r="BU540" s="19">
        <f t="shared" si="540"/>
        <v>46041.04167</v>
      </c>
      <c r="BV540" s="19">
        <f t="shared" si="540"/>
        <v>46041.0625</v>
      </c>
      <c r="BW540" s="19">
        <f t="shared" si="540"/>
        <v>46041.08333</v>
      </c>
      <c r="BX540" s="19">
        <f t="shared" si="540"/>
        <v>46040</v>
      </c>
      <c r="BY540" s="19">
        <f t="shared" si="540"/>
        <v>46040</v>
      </c>
      <c r="BZ540" s="19">
        <f t="shared" si="540"/>
        <v>46040</v>
      </c>
    </row>
    <row r="541" ht="14.25" customHeight="1">
      <c r="A541" s="17">
        <v>46041.0</v>
      </c>
      <c r="B541" s="2" t="str">
        <f t="array" ref="B541">IF(NOW()&gt;AM541,"",IF(AND((WEEKDAY($A541)+$B$2)&gt;1,((WEEKDAY($A541)+$T$2)&lt;7),(WEEKDAY($A541)&lt;&gt;1)),"work",(INDEX(Subject!$A:$I,MATCH(RANDBETWEEN(1,(MAX(Subject!$B:$B))),Subject!$B:$B,0),3))))</f>
        <v/>
      </c>
      <c r="C541" s="2" t="str">
        <f t="array" ref="C541">IF(NOW()&gt;AN541,"",IF(AND((WEEKDAY($A541)+$B$2)&gt;1,((WEEKDAY($A541)+$T$2)&lt;7),(WEEKDAY($A541)&lt;&gt;1)),"work",(INDEX(Subject!$A:$I,MATCH(RANDBETWEEN(1,(MAX(Subject!$B:$B))),Subject!$B:$B,0),3))))</f>
        <v/>
      </c>
      <c r="D541" s="2" t="str">
        <f t="array" ref="D541">IF(NOW()&gt;AO541,"",IF(AND((WEEKDAY($A541)+$B$2)&gt;1,((WEEKDAY($A541)+$T$2)&lt;7),(WEEKDAY($A541)&lt;&gt;1)),"work",(INDEX(Subject!$A:$I,MATCH(RANDBETWEEN(1,(MAX(Subject!$B:$B))),Subject!$B:$B,0),3))))</f>
        <v/>
      </c>
      <c r="E541" s="2" t="str">
        <f t="array" ref="E541">IF(NOW()&gt;AP541,"",IF(AND((WEEKDAY($A541)+$B$2)&gt;1,((WEEKDAY($A541)+$T$2)&lt;7),(WEEKDAY($A541)&lt;&gt;1)),"work",(INDEX(Subject!$A:$I,MATCH(RANDBETWEEN(1,(MAX(Subject!$B:$B))),Subject!$B:$B,0),3))))</f>
        <v/>
      </c>
      <c r="F541" s="2" t="str">
        <f t="array" ref="F541">IF(NOW()&gt;AQ541,"",IF(AND((WEEKDAY($A541)+$B$2)&gt;1,((WEEKDAY($A541)+$T$2)&lt;7),(WEEKDAY($A541)&lt;&gt;1)),"work",(INDEX(Subject!$A:$I,MATCH(RANDBETWEEN(1,(MAX(Subject!$B:$B))),Subject!$B:$B,0),3))))</f>
        <v/>
      </c>
      <c r="G541" s="2" t="str">
        <f t="array" ref="G541">IF(NOW()&gt;AR541,"",IF(AND((WEEKDAY($A541)+$B$2)&gt;1,((WEEKDAY($A541)+$T$2)&lt;7),(WEEKDAY($A541)&lt;&gt;1)),"work",(INDEX(Subject!$A:$I,MATCH(RANDBETWEEN(1,(MAX(Subject!$B:$B))),Subject!$B:$B,0),3))))</f>
        <v/>
      </c>
      <c r="H541" s="2" t="str">
        <f t="array" ref="H541">IF(NOW()&gt;AS541,"",IF(AND((WEEKDAY($A541)+$B$2)&gt;1,((WEEKDAY($A541)+$T$2)&lt;7),(WEEKDAY($A541)&lt;&gt;1)),"work",(INDEX(Subject!$A:$I,MATCH(RANDBETWEEN(1,(MAX(Subject!$B:$B))),Subject!$B:$B,0),3))))</f>
        <v/>
      </c>
      <c r="I541" s="2" t="str">
        <f t="array" ref="I541">IF(NOW()&gt;AT541,"",IF(AND((WEEKDAY($A541)+$B$2)&gt;1,((WEEKDAY($A541)+$T$2)&lt;7),(WEEKDAY($A541)&lt;&gt;1)),"work",(INDEX(Subject!$A:$I,MATCH(RANDBETWEEN(1,(MAX(Subject!$B:$B))),Subject!$B:$B,0),3))))</f>
        <v/>
      </c>
      <c r="J541" s="2" t="str">
        <f t="array" ref="J541">IF(NOW()&gt;AU541,"",IF(AND((WEEKDAY($A541)+$B$2)&gt;1,((WEEKDAY($A541)+$T$2)&lt;7),(WEEKDAY($A541)&lt;&gt;1)),"work",(INDEX(Subject!$A:$I,MATCH(RANDBETWEEN(1,(MAX(Subject!$B:$B))),Subject!$B:$B,0),3))))</f>
        <v/>
      </c>
      <c r="K541" s="2" t="str">
        <f t="array" ref="K541">IF(NOW()&gt;AV541,"",IF(AND((WEEKDAY($A541)+$B$2)&gt;1,((WEEKDAY($A541)+$T$2)&lt;7),(WEEKDAY($A541)&lt;&gt;1)),"work",(INDEX(Subject!$A:$I,MATCH(RANDBETWEEN(1,(MAX(Subject!$B:$B))),Subject!$B:$B,0),3))))</f>
        <v/>
      </c>
      <c r="L541" s="2" t="str">
        <f t="array" ref="L541">IF(NOW()&gt;AW541,"",IF(AND((WEEKDAY($A541)+$B$2)&gt;1,((WEEKDAY($A541)+$T$2)&lt;7),(WEEKDAY($A541)&lt;&gt;1)),"work",(INDEX(Subject!$A:$I,MATCH(RANDBETWEEN(1,(MAX(Subject!$B:$B))),Subject!$B:$B,0),3))))</f>
        <v/>
      </c>
      <c r="M541" s="2" t="str">
        <f t="array" ref="M541">IF(NOW()&gt;AX541,"",IF(AND((WEEKDAY($A541)+$B$2)&gt;1,((WEEKDAY($A541)+$T$2)&lt;7),(WEEKDAY($A541)&lt;&gt;1)),"work",(INDEX(Subject!$A:$I,MATCH(RANDBETWEEN(1,(MAX(Subject!$B:$B))),Subject!$B:$B,0),3))))</f>
        <v/>
      </c>
      <c r="N541" s="2" t="str">
        <f t="array" ref="N541">IF(NOW()&gt;AY541,"",IF(AND((WEEKDAY($A541)+$B$2)&gt;1,((WEEKDAY($A541)+$T$2)&lt;7),(WEEKDAY($A541)&lt;&gt;1)),"work",(INDEX(Subject!$A:$I,MATCH(RANDBETWEEN(1,(MAX(Subject!$B:$B))),Subject!$B:$B,0),3))))</f>
        <v/>
      </c>
      <c r="O541" s="2" t="str">
        <f t="array" ref="O541">IF(NOW()&gt;AZ541,"",IF(AND((WEEKDAY($A541)+$B$2)&gt;1,((WEEKDAY($A541)+$T$2)&lt;7),(WEEKDAY($A541)&lt;&gt;1)),"work",(INDEX(Subject!$A:$I,MATCH(RANDBETWEEN(1,(MAX(Subject!$B:$B))),Subject!$B:$B,0),3))))</f>
        <v/>
      </c>
      <c r="P541" s="2" t="str">
        <f t="array" ref="P541">IF(NOW()&gt;BA541,"",IF(AND((WEEKDAY($A541)+$B$2)&gt;1,((WEEKDAY($A541)+$T$2)&lt;7),(WEEKDAY($A541)&lt;&gt;1)),"work",(INDEX(Subject!$A:$I,MATCH(RANDBETWEEN(1,(MAX(Subject!$B:$B))),Subject!$B:$B,0),3))))</f>
        <v/>
      </c>
      <c r="Q541" s="2" t="str">
        <f t="array" ref="Q541">IF(NOW()&gt;BB541,"",IF(AND((WEEKDAY($A541)+$B$2)&gt;1,((WEEKDAY($A541)+$T$2)&lt;7),(WEEKDAY($A541)&lt;&gt;1)),"work",(INDEX(Subject!$A:$I,MATCH(RANDBETWEEN(1,(MAX(Subject!$B:$B))),Subject!$B:$B,0),3))))</f>
        <v/>
      </c>
      <c r="R541" s="2" t="str">
        <f t="array" ref="R541">IF(NOW()&gt;BC541,"",IF(AND((WEEKDAY($A541)+$B$2)&gt;1,((WEEKDAY($A541)+$T$2)&lt;7),(WEEKDAY($A541)&lt;&gt;1)),"work",(INDEX(Subject!$A:$I,MATCH(RANDBETWEEN(1,(MAX(Subject!$B:$B))),Subject!$B:$B,0),3))))</f>
        <v/>
      </c>
      <c r="S541" s="2" t="str">
        <f t="array" ref="S541">IF(NOW()&gt;BD541,"",IF(AND((WEEKDAY($A541)+$B$2)&gt;1,((WEEKDAY($A541)+$T$2)&lt;7),(WEEKDAY($A541)&lt;&gt;1)),"work",(INDEX(Subject!$A:$I,MATCH(RANDBETWEEN(1,(MAX(Subject!$B:$B))),Subject!$B:$B,0),3))))</f>
        <v/>
      </c>
      <c r="T541" s="2" t="str">
        <f t="array" ref="T541">IF(NOW()&gt;BE541,"",IF(AND((WEEKDAY($A541)+$B$2)&gt;1,((WEEKDAY($A541)+$T$2)&lt;7),(WEEKDAY($A541)&lt;&gt;1)),"work",(INDEX(Subject!$A:$I,MATCH(RANDBETWEEN(1,(MAX(Subject!$B:$B))),Subject!$B:$B,0),3))))</f>
        <v/>
      </c>
      <c r="U541" s="8" t="str">
        <f t="array" ref="U541">INDEX(Subject!$A:$I,MATCH(RANDBETWEEN(1,16),Subject!$B:$B,0),3)</f>
        <v/>
      </c>
      <c r="V541" s="8" t="str">
        <f t="array" ref="V541">INDEX(Subject!$A:$I,MATCH(RANDBETWEEN(1,16),Subject!$B:$B,0),3)</f>
        <v>#N/A</v>
      </c>
      <c r="W541" s="8" t="str">
        <f t="array" ref="W541">INDEX(Subject!$A:$I,MATCH(RANDBETWEEN(1,16),Subject!$B:$B,0),3)</f>
        <v>#N/A</v>
      </c>
      <c r="X541" s="8" t="str">
        <f t="array" ref="X541">INDEX(Subject!$A:$I,MATCH(RANDBETWEEN(1,16),Subject!$B:$B,0),3)</f>
        <v>#N/A</v>
      </c>
      <c r="Y541" s="8" t="str">
        <f t="array" ref="Y541">INDEX(Subject!$A:$I,MATCH(RANDBETWEEN(1,16),Subject!$B:$B,0),3)</f>
        <v>#N/A</v>
      </c>
      <c r="Z541" s="8" t="str">
        <f t="array" ref="Z541">INDEX(Subject!$A:$I,MATCH(RANDBETWEEN(1,16),Subject!$B:$B,0),3)</f>
        <v>#N/A</v>
      </c>
      <c r="AA541" s="8" t="str">
        <f t="array" ref="AA541">INDEX(Subject!$A:$I,MATCH(RANDBETWEEN(1,16),Subject!$B:$B,0),3)</f>
        <v>#N/A</v>
      </c>
      <c r="AB541" s="8" t="str">
        <f t="array" ref="AB541">INDEX(Subject!$A:$I,MATCH(RANDBETWEEN(1,16),Subject!$B:$B,0),3)</f>
        <v>#N/A</v>
      </c>
      <c r="AC541" s="8" t="str">
        <f t="array" ref="AC541">INDEX(Subject!$A:$I,MATCH(RANDBETWEEN(1,16),Subject!$B:$B,0),3)</f>
        <v>#N/A</v>
      </c>
      <c r="AD541" s="8" t="str">
        <f t="array" ref="AD541">INDEX(Subject!$A:$I,MATCH(RANDBETWEEN(1,16),Subject!$B:$B,0),3)</f>
        <v>#N/A</v>
      </c>
      <c r="AE541" s="8" t="str">
        <f t="array" ref="AE541">INDEX(Subject!$A:$I,MATCH(RANDBETWEEN(1,16),Subject!$B:$B,0),3)</f>
        <v>#N/A</v>
      </c>
      <c r="AF541" s="8" t="str">
        <f t="array" ref="AF541">INDEX(Subject!$A:$I,MATCH(RANDBETWEEN(1,16),Subject!$B:$B,0),3)</f>
        <v>#N/A</v>
      </c>
      <c r="AG541" s="8" t="str">
        <f t="array" ref="AG541">INDEX(Subject!$A:$I,MATCH(RANDBETWEEN(1,16),Subject!$B:$B,0),3)</f>
        <v>#N/A</v>
      </c>
      <c r="AH541" s="8" t="str">
        <f t="array" ref="AH541">INDEX(Subject!$A:$I,MATCH(RANDBETWEEN(1,16),Subject!$B:$B,0),3)</f>
        <v>#N/A</v>
      </c>
      <c r="AI541" s="8" t="str">
        <f t="array" ref="AI541">INDEX(Subject!$A:$I,MATCH(RANDBETWEEN(1,16),Subject!$B:$B,0),3)</f>
        <v/>
      </c>
      <c r="AJ541" s="8" t="str">
        <f t="array" ref="AJ541">INDEX(Subject!$A:$I,MATCH(RANDBETWEEN(1,16),Subject!$B:$B,0),3)</f>
        <v>#N/A</v>
      </c>
      <c r="AK541" s="8" t="str">
        <f t="array" ref="AK541">INDEX(Subject!$A:$I,MATCH(RANDBETWEEN(1,16),Subject!$B:$B,0),3)</f>
        <v>#N/A</v>
      </c>
      <c r="AL541" s="8" t="str">
        <f t="array" ref="AL541">INDEX(Subject!$A:$I,MATCH(RANDBETWEEN(1,16),Subject!$B:$B,0),3)</f>
        <v/>
      </c>
      <c r="AM541" s="18">
        <f t="shared" si="4"/>
        <v>46041.33333</v>
      </c>
      <c r="AN541" s="19">
        <f t="shared" ref="AN541:BZ541" si="541">$A541+C$1</f>
        <v>46041.35417</v>
      </c>
      <c r="AO541" s="19">
        <f t="shared" si="541"/>
        <v>46041.375</v>
      </c>
      <c r="AP541" s="19">
        <f t="shared" si="541"/>
        <v>46041.39583</v>
      </c>
      <c r="AQ541" s="19">
        <f t="shared" si="541"/>
        <v>46041.41667</v>
      </c>
      <c r="AR541" s="19">
        <f t="shared" si="541"/>
        <v>46041.4375</v>
      </c>
      <c r="AS541" s="19">
        <f t="shared" si="541"/>
        <v>46041.45833</v>
      </c>
      <c r="AT541" s="19">
        <f t="shared" si="541"/>
        <v>46041.47917</v>
      </c>
      <c r="AU541" s="19">
        <f t="shared" si="541"/>
        <v>46041.5</v>
      </c>
      <c r="AV541" s="19">
        <f t="shared" si="541"/>
        <v>46041.52083</v>
      </c>
      <c r="AW541" s="19">
        <f t="shared" si="541"/>
        <v>46041.54167</v>
      </c>
      <c r="AX541" s="19">
        <f t="shared" si="541"/>
        <v>46041.5625</v>
      </c>
      <c r="AY541" s="19">
        <f t="shared" si="541"/>
        <v>46041.58333</v>
      </c>
      <c r="AZ541" s="19">
        <f t="shared" si="541"/>
        <v>46041.60417</v>
      </c>
      <c r="BA541" s="19">
        <f t="shared" si="541"/>
        <v>46041.625</v>
      </c>
      <c r="BB541" s="19">
        <f t="shared" si="541"/>
        <v>46041.64583</v>
      </c>
      <c r="BC541" s="19">
        <f t="shared" si="541"/>
        <v>46041.66667</v>
      </c>
      <c r="BD541" s="19">
        <f t="shared" si="541"/>
        <v>46041.6875</v>
      </c>
      <c r="BE541" s="19">
        <f t="shared" si="541"/>
        <v>46041.70833</v>
      </c>
      <c r="BF541" s="19">
        <f t="shared" si="541"/>
        <v>46041.72917</v>
      </c>
      <c r="BG541" s="19">
        <f t="shared" si="541"/>
        <v>46041.75</v>
      </c>
      <c r="BH541" s="19">
        <f t="shared" si="541"/>
        <v>46041.77083</v>
      </c>
      <c r="BI541" s="19">
        <f t="shared" si="541"/>
        <v>46041.79167</v>
      </c>
      <c r="BJ541" s="19">
        <f t="shared" si="541"/>
        <v>46041.8125</v>
      </c>
      <c r="BK541" s="19">
        <f t="shared" si="541"/>
        <v>46041.83333</v>
      </c>
      <c r="BL541" s="19">
        <f t="shared" si="541"/>
        <v>46041.85417</v>
      </c>
      <c r="BM541" s="19">
        <f t="shared" si="541"/>
        <v>46041.875</v>
      </c>
      <c r="BN541" s="19">
        <f t="shared" si="541"/>
        <v>46041.89583</v>
      </c>
      <c r="BO541" s="19">
        <f t="shared" si="541"/>
        <v>46041.91667</v>
      </c>
      <c r="BP541" s="19">
        <f t="shared" si="541"/>
        <v>46041.9375</v>
      </c>
      <c r="BQ541" s="19">
        <f t="shared" si="541"/>
        <v>46041.95833</v>
      </c>
      <c r="BR541" s="19">
        <f t="shared" si="541"/>
        <v>46041.97917</v>
      </c>
      <c r="BS541" s="19">
        <f t="shared" si="541"/>
        <v>46042</v>
      </c>
      <c r="BT541" s="19">
        <f t="shared" si="541"/>
        <v>46042.02083</v>
      </c>
      <c r="BU541" s="19">
        <f t="shared" si="541"/>
        <v>46042.04167</v>
      </c>
      <c r="BV541" s="19">
        <f t="shared" si="541"/>
        <v>46042.0625</v>
      </c>
      <c r="BW541" s="19">
        <f t="shared" si="541"/>
        <v>46042.08333</v>
      </c>
      <c r="BX541" s="19">
        <f t="shared" si="541"/>
        <v>46041</v>
      </c>
      <c r="BY541" s="19">
        <f t="shared" si="541"/>
        <v>46041</v>
      </c>
      <c r="BZ541" s="19">
        <f t="shared" si="541"/>
        <v>46041</v>
      </c>
    </row>
    <row r="542" ht="14.25" customHeight="1">
      <c r="A542" s="17">
        <v>46042.0</v>
      </c>
      <c r="B542" s="2" t="str">
        <f t="array" ref="B542">IF(NOW()&gt;AM542,"",IF(AND((WEEKDAY($A542)+$B$2)&gt;1,((WEEKDAY($A542)+$T$2)&lt;7),(WEEKDAY($A542)&lt;&gt;1)),"work",(INDEX(Subject!$A:$I,MATCH(RANDBETWEEN(1,(MAX(Subject!$B:$B))),Subject!$B:$B,0),3))))</f>
        <v/>
      </c>
      <c r="C542" s="2" t="str">
        <f t="array" ref="C542">IF(NOW()&gt;AN542,"",IF(AND((WEEKDAY($A542)+$B$2)&gt;1,((WEEKDAY($A542)+$T$2)&lt;7),(WEEKDAY($A542)&lt;&gt;1)),"work",(INDEX(Subject!$A:$I,MATCH(RANDBETWEEN(1,(MAX(Subject!$B:$B))),Subject!$B:$B,0),3))))</f>
        <v/>
      </c>
      <c r="D542" s="2" t="str">
        <f t="array" ref="D542">IF(NOW()&gt;AO542,"",IF(AND((WEEKDAY($A542)+$B$2)&gt;1,((WEEKDAY($A542)+$T$2)&lt;7),(WEEKDAY($A542)&lt;&gt;1)),"work",(INDEX(Subject!$A:$I,MATCH(RANDBETWEEN(1,(MAX(Subject!$B:$B))),Subject!$B:$B,0),3))))</f>
        <v/>
      </c>
      <c r="E542" s="2" t="str">
        <f t="array" ref="E542">IF(NOW()&gt;AP542,"",IF(AND((WEEKDAY($A542)+$B$2)&gt;1,((WEEKDAY($A542)+$T$2)&lt;7),(WEEKDAY($A542)&lt;&gt;1)),"work",(INDEX(Subject!$A:$I,MATCH(RANDBETWEEN(1,(MAX(Subject!$B:$B))),Subject!$B:$B,0),3))))</f>
        <v/>
      </c>
      <c r="F542" s="2" t="str">
        <f t="array" ref="F542">IF(NOW()&gt;AQ542,"",IF(AND((WEEKDAY($A542)+$B$2)&gt;1,((WEEKDAY($A542)+$T$2)&lt;7),(WEEKDAY($A542)&lt;&gt;1)),"work",(INDEX(Subject!$A:$I,MATCH(RANDBETWEEN(1,(MAX(Subject!$B:$B))),Subject!$B:$B,0),3))))</f>
        <v/>
      </c>
      <c r="G542" s="2" t="str">
        <f t="array" ref="G542">IF(NOW()&gt;AR542,"",IF(AND((WEEKDAY($A542)+$B$2)&gt;1,((WEEKDAY($A542)+$T$2)&lt;7),(WEEKDAY($A542)&lt;&gt;1)),"work",(INDEX(Subject!$A:$I,MATCH(RANDBETWEEN(1,(MAX(Subject!$B:$B))),Subject!$B:$B,0),3))))</f>
        <v/>
      </c>
      <c r="H542" s="2" t="str">
        <f t="array" ref="H542">IF(NOW()&gt;AS542,"",IF(AND((WEEKDAY($A542)+$B$2)&gt;1,((WEEKDAY($A542)+$T$2)&lt;7),(WEEKDAY($A542)&lt;&gt;1)),"work",(INDEX(Subject!$A:$I,MATCH(RANDBETWEEN(1,(MAX(Subject!$B:$B))),Subject!$B:$B,0),3))))</f>
        <v/>
      </c>
      <c r="I542" s="2" t="str">
        <f t="array" ref="I542">IF(NOW()&gt;AT542,"",IF(AND((WEEKDAY($A542)+$B$2)&gt;1,((WEEKDAY($A542)+$T$2)&lt;7),(WEEKDAY($A542)&lt;&gt;1)),"work",(INDEX(Subject!$A:$I,MATCH(RANDBETWEEN(1,(MAX(Subject!$B:$B))),Subject!$B:$B,0),3))))</f>
        <v/>
      </c>
      <c r="J542" s="2" t="str">
        <f t="array" ref="J542">IF(NOW()&gt;AU542,"",IF(AND((WEEKDAY($A542)+$B$2)&gt;1,((WEEKDAY($A542)+$T$2)&lt;7),(WEEKDAY($A542)&lt;&gt;1)),"work",(INDEX(Subject!$A:$I,MATCH(RANDBETWEEN(1,(MAX(Subject!$B:$B))),Subject!$B:$B,0),3))))</f>
        <v/>
      </c>
      <c r="K542" s="2" t="str">
        <f t="array" ref="K542">IF(NOW()&gt;AV542,"",IF(AND((WEEKDAY($A542)+$B$2)&gt;1,((WEEKDAY($A542)+$T$2)&lt;7),(WEEKDAY($A542)&lt;&gt;1)),"work",(INDEX(Subject!$A:$I,MATCH(RANDBETWEEN(1,(MAX(Subject!$B:$B))),Subject!$B:$B,0),3))))</f>
        <v/>
      </c>
      <c r="L542" s="2" t="str">
        <f t="array" ref="L542">IF(NOW()&gt;AW542,"",IF(AND((WEEKDAY($A542)+$B$2)&gt;1,((WEEKDAY($A542)+$T$2)&lt;7),(WEEKDAY($A542)&lt;&gt;1)),"work",(INDEX(Subject!$A:$I,MATCH(RANDBETWEEN(1,(MAX(Subject!$B:$B))),Subject!$B:$B,0),3))))</f>
        <v/>
      </c>
      <c r="M542" s="2" t="str">
        <f t="array" ref="M542">IF(NOW()&gt;AX542,"",IF(AND((WEEKDAY($A542)+$B$2)&gt;1,((WEEKDAY($A542)+$T$2)&lt;7),(WEEKDAY($A542)&lt;&gt;1)),"work",(INDEX(Subject!$A:$I,MATCH(RANDBETWEEN(1,(MAX(Subject!$B:$B))),Subject!$B:$B,0),3))))</f>
        <v/>
      </c>
      <c r="N542" s="2" t="str">
        <f t="array" ref="N542">IF(NOW()&gt;AY542,"",IF(AND((WEEKDAY($A542)+$B$2)&gt;1,((WEEKDAY($A542)+$T$2)&lt;7),(WEEKDAY($A542)&lt;&gt;1)),"work",(INDEX(Subject!$A:$I,MATCH(RANDBETWEEN(1,(MAX(Subject!$B:$B))),Subject!$B:$B,0),3))))</f>
        <v/>
      </c>
      <c r="O542" s="2" t="str">
        <f t="array" ref="O542">IF(NOW()&gt;AZ542,"",IF(AND((WEEKDAY($A542)+$B$2)&gt;1,((WEEKDAY($A542)+$T$2)&lt;7),(WEEKDAY($A542)&lt;&gt;1)),"work",(INDEX(Subject!$A:$I,MATCH(RANDBETWEEN(1,(MAX(Subject!$B:$B))),Subject!$B:$B,0),3))))</f>
        <v/>
      </c>
      <c r="P542" s="2" t="str">
        <f t="array" ref="P542">IF(NOW()&gt;BA542,"",IF(AND((WEEKDAY($A542)+$B$2)&gt;1,((WEEKDAY($A542)+$T$2)&lt;7),(WEEKDAY($A542)&lt;&gt;1)),"work",(INDEX(Subject!$A:$I,MATCH(RANDBETWEEN(1,(MAX(Subject!$B:$B))),Subject!$B:$B,0),3))))</f>
        <v/>
      </c>
      <c r="Q542" s="2" t="str">
        <f t="array" ref="Q542">IF(NOW()&gt;BB542,"",IF(AND((WEEKDAY($A542)+$B$2)&gt;1,((WEEKDAY($A542)+$T$2)&lt;7),(WEEKDAY($A542)&lt;&gt;1)),"work",(INDEX(Subject!$A:$I,MATCH(RANDBETWEEN(1,(MAX(Subject!$B:$B))),Subject!$B:$B,0),3))))</f>
        <v/>
      </c>
      <c r="R542" s="2" t="str">
        <f t="array" ref="R542">IF(NOW()&gt;BC542,"",IF(AND((WEEKDAY($A542)+$B$2)&gt;1,((WEEKDAY($A542)+$T$2)&lt;7),(WEEKDAY($A542)&lt;&gt;1)),"work",(INDEX(Subject!$A:$I,MATCH(RANDBETWEEN(1,(MAX(Subject!$B:$B))),Subject!$B:$B,0),3))))</f>
        <v/>
      </c>
      <c r="S542" s="2" t="str">
        <f t="array" ref="S542">IF(NOW()&gt;BD542,"",IF(AND((WEEKDAY($A542)+$B$2)&gt;1,((WEEKDAY($A542)+$T$2)&lt;7),(WEEKDAY($A542)&lt;&gt;1)),"work",(INDEX(Subject!$A:$I,MATCH(RANDBETWEEN(1,(MAX(Subject!$B:$B))),Subject!$B:$B,0),3))))</f>
        <v/>
      </c>
      <c r="T542" s="2" t="str">
        <f t="array" ref="T542">IF(NOW()&gt;BE542,"",IF(AND((WEEKDAY($A542)+$B$2)&gt;1,((WEEKDAY($A542)+$T$2)&lt;7),(WEEKDAY($A542)&lt;&gt;1)),"work",(INDEX(Subject!$A:$I,MATCH(RANDBETWEEN(1,(MAX(Subject!$B:$B))),Subject!$B:$B,0),3))))</f>
        <v/>
      </c>
      <c r="U542" s="8" t="str">
        <f t="array" ref="U542">INDEX(Subject!$A:$I,MATCH(RANDBETWEEN(1,16),Subject!$B:$B,0),3)</f>
        <v>#N/A</v>
      </c>
      <c r="V542" s="8" t="str">
        <f t="array" ref="V542">INDEX(Subject!$A:$I,MATCH(RANDBETWEEN(1,16),Subject!$B:$B,0),3)</f>
        <v>#N/A</v>
      </c>
      <c r="W542" s="8" t="str">
        <f t="array" ref="W542">INDEX(Subject!$A:$I,MATCH(RANDBETWEEN(1,16),Subject!$B:$B,0),3)</f>
        <v>#N/A</v>
      </c>
      <c r="X542" s="8" t="str">
        <f t="array" ref="X542">INDEX(Subject!$A:$I,MATCH(RANDBETWEEN(1,16),Subject!$B:$B,0),3)</f>
        <v>#N/A</v>
      </c>
      <c r="Y542" s="8" t="str">
        <f t="array" ref="Y542">INDEX(Subject!$A:$I,MATCH(RANDBETWEEN(1,16),Subject!$B:$B,0),3)</f>
        <v>#N/A</v>
      </c>
      <c r="Z542" s="8" t="str">
        <f t="array" ref="Z542">INDEX(Subject!$A:$I,MATCH(RANDBETWEEN(1,16),Subject!$B:$B,0),3)</f>
        <v>#N/A</v>
      </c>
      <c r="AA542" s="8" t="str">
        <f t="array" ref="AA542">INDEX(Subject!$A:$I,MATCH(RANDBETWEEN(1,16),Subject!$B:$B,0),3)</f>
        <v>#N/A</v>
      </c>
      <c r="AB542" s="8" t="str">
        <f t="array" ref="AB542">INDEX(Subject!$A:$I,MATCH(RANDBETWEEN(1,16),Subject!$B:$B,0),3)</f>
        <v>#N/A</v>
      </c>
      <c r="AC542" s="8" t="str">
        <f t="array" ref="AC542">INDEX(Subject!$A:$I,MATCH(RANDBETWEEN(1,16),Subject!$B:$B,0),3)</f>
        <v>#N/A</v>
      </c>
      <c r="AD542" s="8" t="str">
        <f t="array" ref="AD542">INDEX(Subject!$A:$I,MATCH(RANDBETWEEN(1,16),Subject!$B:$B,0),3)</f>
        <v>#N/A</v>
      </c>
      <c r="AE542" s="8" t="str">
        <f t="array" ref="AE542">INDEX(Subject!$A:$I,MATCH(RANDBETWEEN(1,16),Subject!$B:$B,0),3)</f>
        <v>#N/A</v>
      </c>
      <c r="AF542" s="8" t="str">
        <f t="array" ref="AF542">INDEX(Subject!$A:$I,MATCH(RANDBETWEEN(1,16),Subject!$B:$B,0),3)</f>
        <v>#N/A</v>
      </c>
      <c r="AG542" s="8" t="str">
        <f t="array" ref="AG542">INDEX(Subject!$A:$I,MATCH(RANDBETWEEN(1,16),Subject!$B:$B,0),3)</f>
        <v>#N/A</v>
      </c>
      <c r="AH542" s="8" t="str">
        <f t="array" ref="AH542">INDEX(Subject!$A:$I,MATCH(RANDBETWEEN(1,16),Subject!$B:$B,0),3)</f>
        <v>#N/A</v>
      </c>
      <c r="AI542" s="8" t="str">
        <f t="array" ref="AI542">INDEX(Subject!$A:$I,MATCH(RANDBETWEEN(1,16),Subject!$B:$B,0),3)</f>
        <v/>
      </c>
      <c r="AJ542" s="8" t="str">
        <f t="array" ref="AJ542">INDEX(Subject!$A:$I,MATCH(RANDBETWEEN(1,16),Subject!$B:$B,0),3)</f>
        <v>#N/A</v>
      </c>
      <c r="AK542" s="8" t="str">
        <f t="array" ref="AK542">INDEX(Subject!$A:$I,MATCH(RANDBETWEEN(1,16),Subject!$B:$B,0),3)</f>
        <v>#N/A</v>
      </c>
      <c r="AL542" s="8" t="str">
        <f t="array" ref="AL542">INDEX(Subject!$A:$I,MATCH(RANDBETWEEN(1,16),Subject!$B:$B,0),3)</f>
        <v>#N/A</v>
      </c>
      <c r="AM542" s="18">
        <f t="shared" si="4"/>
        <v>46042.33333</v>
      </c>
      <c r="AN542" s="19">
        <f t="shared" ref="AN542:BZ542" si="542">$A542+C$1</f>
        <v>46042.35417</v>
      </c>
      <c r="AO542" s="19">
        <f t="shared" si="542"/>
        <v>46042.375</v>
      </c>
      <c r="AP542" s="19">
        <f t="shared" si="542"/>
        <v>46042.39583</v>
      </c>
      <c r="AQ542" s="19">
        <f t="shared" si="542"/>
        <v>46042.41667</v>
      </c>
      <c r="AR542" s="19">
        <f t="shared" si="542"/>
        <v>46042.4375</v>
      </c>
      <c r="AS542" s="19">
        <f t="shared" si="542"/>
        <v>46042.45833</v>
      </c>
      <c r="AT542" s="19">
        <f t="shared" si="542"/>
        <v>46042.47917</v>
      </c>
      <c r="AU542" s="19">
        <f t="shared" si="542"/>
        <v>46042.5</v>
      </c>
      <c r="AV542" s="19">
        <f t="shared" si="542"/>
        <v>46042.52083</v>
      </c>
      <c r="AW542" s="19">
        <f t="shared" si="542"/>
        <v>46042.54167</v>
      </c>
      <c r="AX542" s="19">
        <f t="shared" si="542"/>
        <v>46042.5625</v>
      </c>
      <c r="AY542" s="19">
        <f t="shared" si="542"/>
        <v>46042.58333</v>
      </c>
      <c r="AZ542" s="19">
        <f t="shared" si="542"/>
        <v>46042.60417</v>
      </c>
      <c r="BA542" s="19">
        <f t="shared" si="542"/>
        <v>46042.625</v>
      </c>
      <c r="BB542" s="19">
        <f t="shared" si="542"/>
        <v>46042.64583</v>
      </c>
      <c r="BC542" s="19">
        <f t="shared" si="542"/>
        <v>46042.66667</v>
      </c>
      <c r="BD542" s="19">
        <f t="shared" si="542"/>
        <v>46042.6875</v>
      </c>
      <c r="BE542" s="19">
        <f t="shared" si="542"/>
        <v>46042.70833</v>
      </c>
      <c r="BF542" s="19">
        <f t="shared" si="542"/>
        <v>46042.72917</v>
      </c>
      <c r="BG542" s="19">
        <f t="shared" si="542"/>
        <v>46042.75</v>
      </c>
      <c r="BH542" s="19">
        <f t="shared" si="542"/>
        <v>46042.77083</v>
      </c>
      <c r="BI542" s="19">
        <f t="shared" si="542"/>
        <v>46042.79167</v>
      </c>
      <c r="BJ542" s="19">
        <f t="shared" si="542"/>
        <v>46042.8125</v>
      </c>
      <c r="BK542" s="19">
        <f t="shared" si="542"/>
        <v>46042.83333</v>
      </c>
      <c r="BL542" s="19">
        <f t="shared" si="542"/>
        <v>46042.85417</v>
      </c>
      <c r="BM542" s="19">
        <f t="shared" si="542"/>
        <v>46042.875</v>
      </c>
      <c r="BN542" s="19">
        <f t="shared" si="542"/>
        <v>46042.89583</v>
      </c>
      <c r="BO542" s="19">
        <f t="shared" si="542"/>
        <v>46042.91667</v>
      </c>
      <c r="BP542" s="19">
        <f t="shared" si="542"/>
        <v>46042.9375</v>
      </c>
      <c r="BQ542" s="19">
        <f t="shared" si="542"/>
        <v>46042.95833</v>
      </c>
      <c r="BR542" s="19">
        <f t="shared" si="542"/>
        <v>46042.97917</v>
      </c>
      <c r="BS542" s="19">
        <f t="shared" si="542"/>
        <v>46043</v>
      </c>
      <c r="BT542" s="19">
        <f t="shared" si="542"/>
        <v>46043.02083</v>
      </c>
      <c r="BU542" s="19">
        <f t="shared" si="542"/>
        <v>46043.04167</v>
      </c>
      <c r="BV542" s="19">
        <f t="shared" si="542"/>
        <v>46043.0625</v>
      </c>
      <c r="BW542" s="19">
        <f t="shared" si="542"/>
        <v>46043.08333</v>
      </c>
      <c r="BX542" s="19">
        <f t="shared" si="542"/>
        <v>46042</v>
      </c>
      <c r="BY542" s="19">
        <f t="shared" si="542"/>
        <v>46042</v>
      </c>
      <c r="BZ542" s="19">
        <f t="shared" si="542"/>
        <v>46042</v>
      </c>
    </row>
    <row r="543" ht="14.25" customHeight="1">
      <c r="A543" s="17">
        <v>46043.0</v>
      </c>
      <c r="B543" s="2" t="str">
        <f t="array" ref="B543">IF(NOW()&gt;AM543,"",IF(AND((WEEKDAY($A543)+$B$2)&gt;1,((WEEKDAY($A543)+$T$2)&lt;7),(WEEKDAY($A543)&lt;&gt;1)),"work",(INDEX(Subject!$A:$I,MATCH(RANDBETWEEN(1,(MAX(Subject!$B:$B))),Subject!$B:$B,0),3))))</f>
        <v/>
      </c>
      <c r="C543" s="2" t="str">
        <f t="array" ref="C543">IF(NOW()&gt;AN543,"",IF(AND((WEEKDAY($A543)+$B$2)&gt;1,((WEEKDAY($A543)+$T$2)&lt;7),(WEEKDAY($A543)&lt;&gt;1)),"work",(INDEX(Subject!$A:$I,MATCH(RANDBETWEEN(1,(MAX(Subject!$B:$B))),Subject!$B:$B,0),3))))</f>
        <v/>
      </c>
      <c r="D543" s="2" t="str">
        <f t="array" ref="D543">IF(NOW()&gt;AO543,"",IF(AND((WEEKDAY($A543)+$B$2)&gt;1,((WEEKDAY($A543)+$T$2)&lt;7),(WEEKDAY($A543)&lt;&gt;1)),"work",(INDEX(Subject!$A:$I,MATCH(RANDBETWEEN(1,(MAX(Subject!$B:$B))),Subject!$B:$B,0),3))))</f>
        <v/>
      </c>
      <c r="E543" s="2" t="str">
        <f t="array" ref="E543">IF(NOW()&gt;AP543,"",IF(AND((WEEKDAY($A543)+$B$2)&gt;1,((WEEKDAY($A543)+$T$2)&lt;7),(WEEKDAY($A543)&lt;&gt;1)),"work",(INDEX(Subject!$A:$I,MATCH(RANDBETWEEN(1,(MAX(Subject!$B:$B))),Subject!$B:$B,0),3))))</f>
        <v/>
      </c>
      <c r="F543" s="2" t="str">
        <f t="array" ref="F543">IF(NOW()&gt;AQ543,"",IF(AND((WEEKDAY($A543)+$B$2)&gt;1,((WEEKDAY($A543)+$T$2)&lt;7),(WEEKDAY($A543)&lt;&gt;1)),"work",(INDEX(Subject!$A:$I,MATCH(RANDBETWEEN(1,(MAX(Subject!$B:$B))),Subject!$B:$B,0),3))))</f>
        <v/>
      </c>
      <c r="G543" s="2" t="str">
        <f t="array" ref="G543">IF(NOW()&gt;AR543,"",IF(AND((WEEKDAY($A543)+$B$2)&gt;1,((WEEKDAY($A543)+$T$2)&lt;7),(WEEKDAY($A543)&lt;&gt;1)),"work",(INDEX(Subject!$A:$I,MATCH(RANDBETWEEN(1,(MAX(Subject!$B:$B))),Subject!$B:$B,0),3))))</f>
        <v/>
      </c>
      <c r="H543" s="2" t="str">
        <f t="array" ref="H543">IF(NOW()&gt;AS543,"",IF(AND((WEEKDAY($A543)+$B$2)&gt;1,((WEEKDAY($A543)+$T$2)&lt;7),(WEEKDAY($A543)&lt;&gt;1)),"work",(INDEX(Subject!$A:$I,MATCH(RANDBETWEEN(1,(MAX(Subject!$B:$B))),Subject!$B:$B,0),3))))</f>
        <v/>
      </c>
      <c r="I543" s="2" t="str">
        <f t="array" ref="I543">IF(NOW()&gt;AT543,"",IF(AND((WEEKDAY($A543)+$B$2)&gt;1,((WEEKDAY($A543)+$T$2)&lt;7),(WEEKDAY($A543)&lt;&gt;1)),"work",(INDEX(Subject!$A:$I,MATCH(RANDBETWEEN(1,(MAX(Subject!$B:$B))),Subject!$B:$B,0),3))))</f>
        <v/>
      </c>
      <c r="J543" s="2" t="str">
        <f t="array" ref="J543">IF(NOW()&gt;AU543,"",IF(AND((WEEKDAY($A543)+$B$2)&gt;1,((WEEKDAY($A543)+$T$2)&lt;7),(WEEKDAY($A543)&lt;&gt;1)),"work",(INDEX(Subject!$A:$I,MATCH(RANDBETWEEN(1,(MAX(Subject!$B:$B))),Subject!$B:$B,0),3))))</f>
        <v/>
      </c>
      <c r="K543" s="2" t="str">
        <f t="array" ref="K543">IF(NOW()&gt;AV543,"",IF(AND((WEEKDAY($A543)+$B$2)&gt;1,((WEEKDAY($A543)+$T$2)&lt;7),(WEEKDAY($A543)&lt;&gt;1)),"work",(INDEX(Subject!$A:$I,MATCH(RANDBETWEEN(1,(MAX(Subject!$B:$B))),Subject!$B:$B,0),3))))</f>
        <v/>
      </c>
      <c r="L543" s="2" t="str">
        <f t="array" ref="L543">IF(NOW()&gt;AW543,"",IF(AND((WEEKDAY($A543)+$B$2)&gt;1,((WEEKDAY($A543)+$T$2)&lt;7),(WEEKDAY($A543)&lt;&gt;1)),"work",(INDEX(Subject!$A:$I,MATCH(RANDBETWEEN(1,(MAX(Subject!$B:$B))),Subject!$B:$B,0),3))))</f>
        <v/>
      </c>
      <c r="M543" s="2" t="str">
        <f t="array" ref="M543">IF(NOW()&gt;AX543,"",IF(AND((WEEKDAY($A543)+$B$2)&gt;1,((WEEKDAY($A543)+$T$2)&lt;7),(WEEKDAY($A543)&lt;&gt;1)),"work",(INDEX(Subject!$A:$I,MATCH(RANDBETWEEN(1,(MAX(Subject!$B:$B))),Subject!$B:$B,0),3))))</f>
        <v/>
      </c>
      <c r="N543" s="2" t="str">
        <f t="array" ref="N543">IF(NOW()&gt;AY543,"",IF(AND((WEEKDAY($A543)+$B$2)&gt;1,((WEEKDAY($A543)+$T$2)&lt;7),(WEEKDAY($A543)&lt;&gt;1)),"work",(INDEX(Subject!$A:$I,MATCH(RANDBETWEEN(1,(MAX(Subject!$B:$B))),Subject!$B:$B,0),3))))</f>
        <v/>
      </c>
      <c r="O543" s="2" t="str">
        <f t="array" ref="O543">IF(NOW()&gt;AZ543,"",IF(AND((WEEKDAY($A543)+$B$2)&gt;1,((WEEKDAY($A543)+$T$2)&lt;7),(WEEKDAY($A543)&lt;&gt;1)),"work",(INDEX(Subject!$A:$I,MATCH(RANDBETWEEN(1,(MAX(Subject!$B:$B))),Subject!$B:$B,0),3))))</f>
        <v/>
      </c>
      <c r="P543" s="2" t="str">
        <f t="array" ref="P543">IF(NOW()&gt;BA543,"",IF(AND((WEEKDAY($A543)+$B$2)&gt;1,((WEEKDAY($A543)+$T$2)&lt;7),(WEEKDAY($A543)&lt;&gt;1)),"work",(INDEX(Subject!$A:$I,MATCH(RANDBETWEEN(1,(MAX(Subject!$B:$B))),Subject!$B:$B,0),3))))</f>
        <v/>
      </c>
      <c r="Q543" s="2" t="str">
        <f t="array" ref="Q543">IF(NOW()&gt;BB543,"",IF(AND((WEEKDAY($A543)+$B$2)&gt;1,((WEEKDAY($A543)+$T$2)&lt;7),(WEEKDAY($A543)&lt;&gt;1)),"work",(INDEX(Subject!$A:$I,MATCH(RANDBETWEEN(1,(MAX(Subject!$B:$B))),Subject!$B:$B,0),3))))</f>
        <v/>
      </c>
      <c r="R543" s="2" t="str">
        <f t="array" ref="R543">IF(NOW()&gt;BC543,"",IF(AND((WEEKDAY($A543)+$B$2)&gt;1,((WEEKDAY($A543)+$T$2)&lt;7),(WEEKDAY($A543)&lt;&gt;1)),"work",(INDEX(Subject!$A:$I,MATCH(RANDBETWEEN(1,(MAX(Subject!$B:$B))),Subject!$B:$B,0),3))))</f>
        <v/>
      </c>
      <c r="S543" s="2" t="str">
        <f t="array" ref="S543">IF(NOW()&gt;BD543,"",IF(AND((WEEKDAY($A543)+$B$2)&gt;1,((WEEKDAY($A543)+$T$2)&lt;7),(WEEKDAY($A543)&lt;&gt;1)),"work",(INDEX(Subject!$A:$I,MATCH(RANDBETWEEN(1,(MAX(Subject!$B:$B))),Subject!$B:$B,0),3))))</f>
        <v/>
      </c>
      <c r="T543" s="2" t="str">
        <f t="array" ref="T543">IF(NOW()&gt;BE543,"",IF(AND((WEEKDAY($A543)+$B$2)&gt;1,((WEEKDAY($A543)+$T$2)&lt;7),(WEEKDAY($A543)&lt;&gt;1)),"work",(INDEX(Subject!$A:$I,MATCH(RANDBETWEEN(1,(MAX(Subject!$B:$B))),Subject!$B:$B,0),3))))</f>
        <v/>
      </c>
      <c r="U543" s="8" t="str">
        <f t="array" ref="U543">INDEX(Subject!$A:$I,MATCH(RANDBETWEEN(1,16),Subject!$B:$B,0),3)</f>
        <v>#N/A</v>
      </c>
      <c r="V543" s="8" t="str">
        <f t="array" ref="V543">INDEX(Subject!$A:$I,MATCH(RANDBETWEEN(1,16),Subject!$B:$B,0),3)</f>
        <v>#N/A</v>
      </c>
      <c r="W543" s="8" t="str">
        <f t="array" ref="W543">INDEX(Subject!$A:$I,MATCH(RANDBETWEEN(1,16),Subject!$B:$B,0),3)</f>
        <v/>
      </c>
      <c r="X543" s="8" t="str">
        <f t="array" ref="X543">INDEX(Subject!$A:$I,MATCH(RANDBETWEEN(1,16),Subject!$B:$B,0),3)</f>
        <v/>
      </c>
      <c r="Y543" s="8" t="str">
        <f t="array" ref="Y543">INDEX(Subject!$A:$I,MATCH(RANDBETWEEN(1,16),Subject!$B:$B,0),3)</f>
        <v>#N/A</v>
      </c>
      <c r="Z543" s="8" t="str">
        <f t="array" ref="Z543">INDEX(Subject!$A:$I,MATCH(RANDBETWEEN(1,16),Subject!$B:$B,0),3)</f>
        <v>#N/A</v>
      </c>
      <c r="AA543" s="8" t="str">
        <f t="array" ref="AA543">INDEX(Subject!$A:$I,MATCH(RANDBETWEEN(1,16),Subject!$B:$B,0),3)</f>
        <v>#N/A</v>
      </c>
      <c r="AB543" s="8" t="str">
        <f t="array" ref="AB543">INDEX(Subject!$A:$I,MATCH(RANDBETWEEN(1,16),Subject!$B:$B,0),3)</f>
        <v>#N/A</v>
      </c>
      <c r="AC543" s="8" t="str">
        <f t="array" ref="AC543">INDEX(Subject!$A:$I,MATCH(RANDBETWEEN(1,16),Subject!$B:$B,0),3)</f>
        <v/>
      </c>
      <c r="AD543" s="8" t="str">
        <f t="array" ref="AD543">INDEX(Subject!$A:$I,MATCH(RANDBETWEEN(1,16),Subject!$B:$B,0),3)</f>
        <v>#N/A</v>
      </c>
      <c r="AE543" s="8" t="str">
        <f t="array" ref="AE543">INDEX(Subject!$A:$I,MATCH(RANDBETWEEN(1,16),Subject!$B:$B,0),3)</f>
        <v>#N/A</v>
      </c>
      <c r="AF543" s="8" t="str">
        <f t="array" ref="AF543">INDEX(Subject!$A:$I,MATCH(RANDBETWEEN(1,16),Subject!$B:$B,0),3)</f>
        <v>#N/A</v>
      </c>
      <c r="AG543" s="8" t="str">
        <f t="array" ref="AG543">INDEX(Subject!$A:$I,MATCH(RANDBETWEEN(1,16),Subject!$B:$B,0),3)</f>
        <v/>
      </c>
      <c r="AH543" s="8" t="str">
        <f t="array" ref="AH543">INDEX(Subject!$A:$I,MATCH(RANDBETWEEN(1,16),Subject!$B:$B,0),3)</f>
        <v>#N/A</v>
      </c>
      <c r="AI543" s="8" t="str">
        <f t="array" ref="AI543">INDEX(Subject!$A:$I,MATCH(RANDBETWEEN(1,16),Subject!$B:$B,0),3)</f>
        <v>#N/A</v>
      </c>
      <c r="AJ543" s="8" t="str">
        <f t="array" ref="AJ543">INDEX(Subject!$A:$I,MATCH(RANDBETWEEN(1,16),Subject!$B:$B,0),3)</f>
        <v>#N/A</v>
      </c>
      <c r="AK543" s="8" t="str">
        <f t="array" ref="AK543">INDEX(Subject!$A:$I,MATCH(RANDBETWEEN(1,16),Subject!$B:$B,0),3)</f>
        <v>#N/A</v>
      </c>
      <c r="AL543" s="8" t="str">
        <f t="array" ref="AL543">INDEX(Subject!$A:$I,MATCH(RANDBETWEEN(1,16),Subject!$B:$B,0),3)</f>
        <v>#N/A</v>
      </c>
      <c r="AM543" s="18">
        <f t="shared" si="4"/>
        <v>46043.33333</v>
      </c>
      <c r="AN543" s="19">
        <f t="shared" ref="AN543:BZ543" si="543">$A543+C$1</f>
        <v>46043.35417</v>
      </c>
      <c r="AO543" s="19">
        <f t="shared" si="543"/>
        <v>46043.375</v>
      </c>
      <c r="AP543" s="19">
        <f t="shared" si="543"/>
        <v>46043.39583</v>
      </c>
      <c r="AQ543" s="19">
        <f t="shared" si="543"/>
        <v>46043.41667</v>
      </c>
      <c r="AR543" s="19">
        <f t="shared" si="543"/>
        <v>46043.4375</v>
      </c>
      <c r="AS543" s="19">
        <f t="shared" si="543"/>
        <v>46043.45833</v>
      </c>
      <c r="AT543" s="19">
        <f t="shared" si="543"/>
        <v>46043.47917</v>
      </c>
      <c r="AU543" s="19">
        <f t="shared" si="543"/>
        <v>46043.5</v>
      </c>
      <c r="AV543" s="19">
        <f t="shared" si="543"/>
        <v>46043.52083</v>
      </c>
      <c r="AW543" s="19">
        <f t="shared" si="543"/>
        <v>46043.54167</v>
      </c>
      <c r="AX543" s="19">
        <f t="shared" si="543"/>
        <v>46043.5625</v>
      </c>
      <c r="AY543" s="19">
        <f t="shared" si="543"/>
        <v>46043.58333</v>
      </c>
      <c r="AZ543" s="19">
        <f t="shared" si="543"/>
        <v>46043.60417</v>
      </c>
      <c r="BA543" s="19">
        <f t="shared" si="543"/>
        <v>46043.625</v>
      </c>
      <c r="BB543" s="19">
        <f t="shared" si="543"/>
        <v>46043.64583</v>
      </c>
      <c r="BC543" s="19">
        <f t="shared" si="543"/>
        <v>46043.66667</v>
      </c>
      <c r="BD543" s="19">
        <f t="shared" si="543"/>
        <v>46043.6875</v>
      </c>
      <c r="BE543" s="19">
        <f t="shared" si="543"/>
        <v>46043.70833</v>
      </c>
      <c r="BF543" s="19">
        <f t="shared" si="543"/>
        <v>46043.72917</v>
      </c>
      <c r="BG543" s="19">
        <f t="shared" si="543"/>
        <v>46043.75</v>
      </c>
      <c r="BH543" s="19">
        <f t="shared" si="543"/>
        <v>46043.77083</v>
      </c>
      <c r="BI543" s="19">
        <f t="shared" si="543"/>
        <v>46043.79167</v>
      </c>
      <c r="BJ543" s="19">
        <f t="shared" si="543"/>
        <v>46043.8125</v>
      </c>
      <c r="BK543" s="19">
        <f t="shared" si="543"/>
        <v>46043.83333</v>
      </c>
      <c r="BL543" s="19">
        <f t="shared" si="543"/>
        <v>46043.85417</v>
      </c>
      <c r="BM543" s="19">
        <f t="shared" si="543"/>
        <v>46043.875</v>
      </c>
      <c r="BN543" s="19">
        <f t="shared" si="543"/>
        <v>46043.89583</v>
      </c>
      <c r="BO543" s="19">
        <f t="shared" si="543"/>
        <v>46043.91667</v>
      </c>
      <c r="BP543" s="19">
        <f t="shared" si="543"/>
        <v>46043.9375</v>
      </c>
      <c r="BQ543" s="19">
        <f t="shared" si="543"/>
        <v>46043.95833</v>
      </c>
      <c r="BR543" s="19">
        <f t="shared" si="543"/>
        <v>46043.97917</v>
      </c>
      <c r="BS543" s="19">
        <f t="shared" si="543"/>
        <v>46044</v>
      </c>
      <c r="BT543" s="19">
        <f t="shared" si="543"/>
        <v>46044.02083</v>
      </c>
      <c r="BU543" s="19">
        <f t="shared" si="543"/>
        <v>46044.04167</v>
      </c>
      <c r="BV543" s="19">
        <f t="shared" si="543"/>
        <v>46044.0625</v>
      </c>
      <c r="BW543" s="19">
        <f t="shared" si="543"/>
        <v>46044.08333</v>
      </c>
      <c r="BX543" s="19">
        <f t="shared" si="543"/>
        <v>46043</v>
      </c>
      <c r="BY543" s="19">
        <f t="shared" si="543"/>
        <v>46043</v>
      </c>
      <c r="BZ543" s="19">
        <f t="shared" si="543"/>
        <v>46043</v>
      </c>
    </row>
    <row r="544" ht="14.25" customHeight="1">
      <c r="A544" s="17">
        <v>46044.0</v>
      </c>
      <c r="B544" s="2" t="str">
        <f t="array" ref="B544">IF(NOW()&gt;AM544,"",IF(AND((WEEKDAY($A544)+$B$2)&gt;1,((WEEKDAY($A544)+$T$2)&lt;7),(WEEKDAY($A544)&lt;&gt;1)),"work",(INDEX(Subject!$A:$I,MATCH(RANDBETWEEN(1,(MAX(Subject!$B:$B))),Subject!$B:$B,0),3))))</f>
        <v/>
      </c>
      <c r="C544" s="2" t="str">
        <f t="array" ref="C544">IF(NOW()&gt;AN544,"",IF(AND((WEEKDAY($A544)+$B$2)&gt;1,((WEEKDAY($A544)+$T$2)&lt;7),(WEEKDAY($A544)&lt;&gt;1)),"work",(INDEX(Subject!$A:$I,MATCH(RANDBETWEEN(1,(MAX(Subject!$B:$B))),Subject!$B:$B,0),3))))</f>
        <v/>
      </c>
      <c r="D544" s="2" t="str">
        <f t="array" ref="D544">IF(NOW()&gt;AO544,"",IF(AND((WEEKDAY($A544)+$B$2)&gt;1,((WEEKDAY($A544)+$T$2)&lt;7),(WEEKDAY($A544)&lt;&gt;1)),"work",(INDEX(Subject!$A:$I,MATCH(RANDBETWEEN(1,(MAX(Subject!$B:$B))),Subject!$B:$B,0),3))))</f>
        <v/>
      </c>
      <c r="E544" s="2" t="str">
        <f t="array" ref="E544">IF(NOW()&gt;AP544,"",IF(AND((WEEKDAY($A544)+$B$2)&gt;1,((WEEKDAY($A544)+$T$2)&lt;7),(WEEKDAY($A544)&lt;&gt;1)),"work",(INDEX(Subject!$A:$I,MATCH(RANDBETWEEN(1,(MAX(Subject!$B:$B))),Subject!$B:$B,0),3))))</f>
        <v/>
      </c>
      <c r="F544" s="2" t="str">
        <f t="array" ref="F544">IF(NOW()&gt;AQ544,"",IF(AND((WEEKDAY($A544)+$B$2)&gt;1,((WEEKDAY($A544)+$T$2)&lt;7),(WEEKDAY($A544)&lt;&gt;1)),"work",(INDEX(Subject!$A:$I,MATCH(RANDBETWEEN(1,(MAX(Subject!$B:$B))),Subject!$B:$B,0),3))))</f>
        <v/>
      </c>
      <c r="G544" s="2" t="str">
        <f t="array" ref="G544">IF(NOW()&gt;AR544,"",IF(AND((WEEKDAY($A544)+$B$2)&gt;1,((WEEKDAY($A544)+$T$2)&lt;7),(WEEKDAY($A544)&lt;&gt;1)),"work",(INDEX(Subject!$A:$I,MATCH(RANDBETWEEN(1,(MAX(Subject!$B:$B))),Subject!$B:$B,0),3))))</f>
        <v/>
      </c>
      <c r="H544" s="2" t="str">
        <f t="array" ref="H544">IF(NOW()&gt;AS544,"",IF(AND((WEEKDAY($A544)+$B$2)&gt;1,((WEEKDAY($A544)+$T$2)&lt;7),(WEEKDAY($A544)&lt;&gt;1)),"work",(INDEX(Subject!$A:$I,MATCH(RANDBETWEEN(1,(MAX(Subject!$B:$B))),Subject!$B:$B,0),3))))</f>
        <v/>
      </c>
      <c r="I544" s="2" t="str">
        <f t="array" ref="I544">IF(NOW()&gt;AT544,"",IF(AND((WEEKDAY($A544)+$B$2)&gt;1,((WEEKDAY($A544)+$T$2)&lt;7),(WEEKDAY($A544)&lt;&gt;1)),"work",(INDEX(Subject!$A:$I,MATCH(RANDBETWEEN(1,(MAX(Subject!$B:$B))),Subject!$B:$B,0),3))))</f>
        <v/>
      </c>
      <c r="J544" s="2" t="str">
        <f t="array" ref="J544">IF(NOW()&gt;AU544,"",IF(AND((WEEKDAY($A544)+$B$2)&gt;1,((WEEKDAY($A544)+$T$2)&lt;7),(WEEKDAY($A544)&lt;&gt;1)),"work",(INDEX(Subject!$A:$I,MATCH(RANDBETWEEN(1,(MAX(Subject!$B:$B))),Subject!$B:$B,0),3))))</f>
        <v/>
      </c>
      <c r="K544" s="2" t="str">
        <f t="array" ref="K544">IF(NOW()&gt;AV544,"",IF(AND((WEEKDAY($A544)+$B$2)&gt;1,((WEEKDAY($A544)+$T$2)&lt;7),(WEEKDAY($A544)&lt;&gt;1)),"work",(INDEX(Subject!$A:$I,MATCH(RANDBETWEEN(1,(MAX(Subject!$B:$B))),Subject!$B:$B,0),3))))</f>
        <v/>
      </c>
      <c r="L544" s="2" t="str">
        <f t="array" ref="L544">IF(NOW()&gt;AW544,"",IF(AND((WEEKDAY($A544)+$B$2)&gt;1,((WEEKDAY($A544)+$T$2)&lt;7),(WEEKDAY($A544)&lt;&gt;1)),"work",(INDEX(Subject!$A:$I,MATCH(RANDBETWEEN(1,(MAX(Subject!$B:$B))),Subject!$B:$B,0),3))))</f>
        <v/>
      </c>
      <c r="M544" s="2" t="str">
        <f t="array" ref="M544">IF(NOW()&gt;AX544,"",IF(AND((WEEKDAY($A544)+$B$2)&gt;1,((WEEKDAY($A544)+$T$2)&lt;7),(WEEKDAY($A544)&lt;&gt;1)),"work",(INDEX(Subject!$A:$I,MATCH(RANDBETWEEN(1,(MAX(Subject!$B:$B))),Subject!$B:$B,0),3))))</f>
        <v/>
      </c>
      <c r="N544" s="2" t="str">
        <f t="array" ref="N544">IF(NOW()&gt;AY544,"",IF(AND((WEEKDAY($A544)+$B$2)&gt;1,((WEEKDAY($A544)+$T$2)&lt;7),(WEEKDAY($A544)&lt;&gt;1)),"work",(INDEX(Subject!$A:$I,MATCH(RANDBETWEEN(1,(MAX(Subject!$B:$B))),Subject!$B:$B,0),3))))</f>
        <v/>
      </c>
      <c r="O544" s="2" t="str">
        <f t="array" ref="O544">IF(NOW()&gt;AZ544,"",IF(AND((WEEKDAY($A544)+$B$2)&gt;1,((WEEKDAY($A544)+$T$2)&lt;7),(WEEKDAY($A544)&lt;&gt;1)),"work",(INDEX(Subject!$A:$I,MATCH(RANDBETWEEN(1,(MAX(Subject!$B:$B))),Subject!$B:$B,0),3))))</f>
        <v/>
      </c>
      <c r="P544" s="2" t="str">
        <f t="array" ref="P544">IF(NOW()&gt;BA544,"",IF(AND((WEEKDAY($A544)+$B$2)&gt;1,((WEEKDAY($A544)+$T$2)&lt;7),(WEEKDAY($A544)&lt;&gt;1)),"work",(INDEX(Subject!$A:$I,MATCH(RANDBETWEEN(1,(MAX(Subject!$B:$B))),Subject!$B:$B,0),3))))</f>
        <v/>
      </c>
      <c r="Q544" s="2" t="str">
        <f t="array" ref="Q544">IF(NOW()&gt;BB544,"",IF(AND((WEEKDAY($A544)+$B$2)&gt;1,((WEEKDAY($A544)+$T$2)&lt;7),(WEEKDAY($A544)&lt;&gt;1)),"work",(INDEX(Subject!$A:$I,MATCH(RANDBETWEEN(1,(MAX(Subject!$B:$B))),Subject!$B:$B,0),3))))</f>
        <v/>
      </c>
      <c r="R544" s="2" t="str">
        <f t="array" ref="R544">IF(NOW()&gt;BC544,"",IF(AND((WEEKDAY($A544)+$B$2)&gt;1,((WEEKDAY($A544)+$T$2)&lt;7),(WEEKDAY($A544)&lt;&gt;1)),"work",(INDEX(Subject!$A:$I,MATCH(RANDBETWEEN(1,(MAX(Subject!$B:$B))),Subject!$B:$B,0),3))))</f>
        <v/>
      </c>
      <c r="S544" s="2" t="str">
        <f t="array" ref="S544">IF(NOW()&gt;BD544,"",IF(AND((WEEKDAY($A544)+$B$2)&gt;1,((WEEKDAY($A544)+$T$2)&lt;7),(WEEKDAY($A544)&lt;&gt;1)),"work",(INDEX(Subject!$A:$I,MATCH(RANDBETWEEN(1,(MAX(Subject!$B:$B))),Subject!$B:$B,0),3))))</f>
        <v/>
      </c>
      <c r="T544" s="2" t="str">
        <f t="array" ref="T544">IF(NOW()&gt;BE544,"",IF(AND((WEEKDAY($A544)+$B$2)&gt;1,((WEEKDAY($A544)+$T$2)&lt;7),(WEEKDAY($A544)&lt;&gt;1)),"work",(INDEX(Subject!$A:$I,MATCH(RANDBETWEEN(1,(MAX(Subject!$B:$B))),Subject!$B:$B,0),3))))</f>
        <v/>
      </c>
      <c r="U544" s="8" t="str">
        <f t="array" ref="U544">INDEX(Subject!$A:$I,MATCH(RANDBETWEEN(1,16),Subject!$B:$B,0),3)</f>
        <v>#N/A</v>
      </c>
      <c r="V544" s="8" t="str">
        <f t="array" ref="V544">INDEX(Subject!$A:$I,MATCH(RANDBETWEEN(1,16),Subject!$B:$B,0),3)</f>
        <v>#N/A</v>
      </c>
      <c r="W544" s="8" t="str">
        <f t="array" ref="W544">INDEX(Subject!$A:$I,MATCH(RANDBETWEEN(1,16),Subject!$B:$B,0),3)</f>
        <v>#N/A</v>
      </c>
      <c r="X544" s="8" t="str">
        <f t="array" ref="X544">INDEX(Subject!$A:$I,MATCH(RANDBETWEEN(1,16),Subject!$B:$B,0),3)</f>
        <v>#N/A</v>
      </c>
      <c r="Y544" s="8" t="str">
        <f t="array" ref="Y544">INDEX(Subject!$A:$I,MATCH(RANDBETWEEN(1,16),Subject!$B:$B,0),3)</f>
        <v>#N/A</v>
      </c>
      <c r="Z544" s="8" t="str">
        <f t="array" ref="Z544">INDEX(Subject!$A:$I,MATCH(RANDBETWEEN(1,16),Subject!$B:$B,0),3)</f>
        <v>#N/A</v>
      </c>
      <c r="AA544" s="8" t="str">
        <f t="array" ref="AA544">INDEX(Subject!$A:$I,MATCH(RANDBETWEEN(1,16),Subject!$B:$B,0),3)</f>
        <v>#N/A</v>
      </c>
      <c r="AB544" s="8" t="str">
        <f t="array" ref="AB544">INDEX(Subject!$A:$I,MATCH(RANDBETWEEN(1,16),Subject!$B:$B,0),3)</f>
        <v>#N/A</v>
      </c>
      <c r="AC544" s="8" t="str">
        <f t="array" ref="AC544">INDEX(Subject!$A:$I,MATCH(RANDBETWEEN(1,16),Subject!$B:$B,0),3)</f>
        <v>#N/A</v>
      </c>
      <c r="AD544" s="8" t="str">
        <f t="array" ref="AD544">INDEX(Subject!$A:$I,MATCH(RANDBETWEEN(1,16),Subject!$B:$B,0),3)</f>
        <v>#N/A</v>
      </c>
      <c r="AE544" s="8" t="str">
        <f t="array" ref="AE544">INDEX(Subject!$A:$I,MATCH(RANDBETWEEN(1,16),Subject!$B:$B,0),3)</f>
        <v>#N/A</v>
      </c>
      <c r="AF544" s="8" t="str">
        <f t="array" ref="AF544">INDEX(Subject!$A:$I,MATCH(RANDBETWEEN(1,16),Subject!$B:$B,0),3)</f>
        <v>#N/A</v>
      </c>
      <c r="AG544" s="8" t="str">
        <f t="array" ref="AG544">INDEX(Subject!$A:$I,MATCH(RANDBETWEEN(1,16),Subject!$B:$B,0),3)</f>
        <v>#N/A</v>
      </c>
      <c r="AH544" s="8" t="str">
        <f t="array" ref="AH544">INDEX(Subject!$A:$I,MATCH(RANDBETWEEN(1,16),Subject!$B:$B,0),3)</f>
        <v>#N/A</v>
      </c>
      <c r="AI544" s="8" t="str">
        <f t="array" ref="AI544">INDEX(Subject!$A:$I,MATCH(RANDBETWEEN(1,16),Subject!$B:$B,0),3)</f>
        <v>#N/A</v>
      </c>
      <c r="AJ544" s="8" t="str">
        <f t="array" ref="AJ544">INDEX(Subject!$A:$I,MATCH(RANDBETWEEN(1,16),Subject!$B:$B,0),3)</f>
        <v>#N/A</v>
      </c>
      <c r="AK544" s="8" t="str">
        <f t="array" ref="AK544">INDEX(Subject!$A:$I,MATCH(RANDBETWEEN(1,16),Subject!$B:$B,0),3)</f>
        <v>#N/A</v>
      </c>
      <c r="AL544" s="8" t="str">
        <f t="array" ref="AL544">INDEX(Subject!$A:$I,MATCH(RANDBETWEEN(1,16),Subject!$B:$B,0),3)</f>
        <v>#N/A</v>
      </c>
      <c r="AM544" s="18">
        <f t="shared" si="4"/>
        <v>46044.33333</v>
      </c>
      <c r="AN544" s="19">
        <f t="shared" ref="AN544:BZ544" si="544">$A544+C$1</f>
        <v>46044.35417</v>
      </c>
      <c r="AO544" s="19">
        <f t="shared" si="544"/>
        <v>46044.375</v>
      </c>
      <c r="AP544" s="19">
        <f t="shared" si="544"/>
        <v>46044.39583</v>
      </c>
      <c r="AQ544" s="19">
        <f t="shared" si="544"/>
        <v>46044.41667</v>
      </c>
      <c r="AR544" s="19">
        <f t="shared" si="544"/>
        <v>46044.4375</v>
      </c>
      <c r="AS544" s="19">
        <f t="shared" si="544"/>
        <v>46044.45833</v>
      </c>
      <c r="AT544" s="19">
        <f t="shared" si="544"/>
        <v>46044.47917</v>
      </c>
      <c r="AU544" s="19">
        <f t="shared" si="544"/>
        <v>46044.5</v>
      </c>
      <c r="AV544" s="19">
        <f t="shared" si="544"/>
        <v>46044.52083</v>
      </c>
      <c r="AW544" s="19">
        <f t="shared" si="544"/>
        <v>46044.54167</v>
      </c>
      <c r="AX544" s="19">
        <f t="shared" si="544"/>
        <v>46044.5625</v>
      </c>
      <c r="AY544" s="19">
        <f t="shared" si="544"/>
        <v>46044.58333</v>
      </c>
      <c r="AZ544" s="19">
        <f t="shared" si="544"/>
        <v>46044.60417</v>
      </c>
      <c r="BA544" s="19">
        <f t="shared" si="544"/>
        <v>46044.625</v>
      </c>
      <c r="BB544" s="19">
        <f t="shared" si="544"/>
        <v>46044.64583</v>
      </c>
      <c r="BC544" s="19">
        <f t="shared" si="544"/>
        <v>46044.66667</v>
      </c>
      <c r="BD544" s="19">
        <f t="shared" si="544"/>
        <v>46044.6875</v>
      </c>
      <c r="BE544" s="19">
        <f t="shared" si="544"/>
        <v>46044.70833</v>
      </c>
      <c r="BF544" s="19">
        <f t="shared" si="544"/>
        <v>46044.72917</v>
      </c>
      <c r="BG544" s="19">
        <f t="shared" si="544"/>
        <v>46044.75</v>
      </c>
      <c r="BH544" s="19">
        <f t="shared" si="544"/>
        <v>46044.77083</v>
      </c>
      <c r="BI544" s="19">
        <f t="shared" si="544"/>
        <v>46044.79167</v>
      </c>
      <c r="BJ544" s="19">
        <f t="shared" si="544"/>
        <v>46044.8125</v>
      </c>
      <c r="BK544" s="19">
        <f t="shared" si="544"/>
        <v>46044.83333</v>
      </c>
      <c r="BL544" s="19">
        <f t="shared" si="544"/>
        <v>46044.85417</v>
      </c>
      <c r="BM544" s="19">
        <f t="shared" si="544"/>
        <v>46044.875</v>
      </c>
      <c r="BN544" s="19">
        <f t="shared" si="544"/>
        <v>46044.89583</v>
      </c>
      <c r="BO544" s="19">
        <f t="shared" si="544"/>
        <v>46044.91667</v>
      </c>
      <c r="BP544" s="19">
        <f t="shared" si="544"/>
        <v>46044.9375</v>
      </c>
      <c r="BQ544" s="19">
        <f t="shared" si="544"/>
        <v>46044.95833</v>
      </c>
      <c r="BR544" s="19">
        <f t="shared" si="544"/>
        <v>46044.97917</v>
      </c>
      <c r="BS544" s="19">
        <f t="shared" si="544"/>
        <v>46045</v>
      </c>
      <c r="BT544" s="19">
        <f t="shared" si="544"/>
        <v>46045.02083</v>
      </c>
      <c r="BU544" s="19">
        <f t="shared" si="544"/>
        <v>46045.04167</v>
      </c>
      <c r="BV544" s="19">
        <f t="shared" si="544"/>
        <v>46045.0625</v>
      </c>
      <c r="BW544" s="19">
        <f t="shared" si="544"/>
        <v>46045.08333</v>
      </c>
      <c r="BX544" s="19">
        <f t="shared" si="544"/>
        <v>46044</v>
      </c>
      <c r="BY544" s="19">
        <f t="shared" si="544"/>
        <v>46044</v>
      </c>
      <c r="BZ544" s="19">
        <f t="shared" si="544"/>
        <v>46044</v>
      </c>
    </row>
    <row r="545" ht="14.25" customHeight="1">
      <c r="A545" s="17">
        <v>46045.0</v>
      </c>
      <c r="B545" s="2" t="str">
        <f t="array" ref="B545">IF(NOW()&gt;AM545,"",IF(AND((WEEKDAY($A545)+$B$2)&gt;1,((WEEKDAY($A545)+$T$2)&lt;7),(WEEKDAY($A545)&lt;&gt;1)),"work",(INDEX(Subject!$A:$I,MATCH(RANDBETWEEN(1,(MAX(Subject!$B:$B))),Subject!$B:$B,0),3))))</f>
        <v/>
      </c>
      <c r="C545" s="2" t="str">
        <f t="array" ref="C545">IF(NOW()&gt;AN545,"",IF(AND((WEEKDAY($A545)+$B$2)&gt;1,((WEEKDAY($A545)+$T$2)&lt;7),(WEEKDAY($A545)&lt;&gt;1)),"work",(INDEX(Subject!$A:$I,MATCH(RANDBETWEEN(1,(MAX(Subject!$B:$B))),Subject!$B:$B,0),3))))</f>
        <v/>
      </c>
      <c r="D545" s="2" t="str">
        <f t="array" ref="D545">IF(NOW()&gt;AO545,"",IF(AND((WEEKDAY($A545)+$B$2)&gt;1,((WEEKDAY($A545)+$T$2)&lt;7),(WEEKDAY($A545)&lt;&gt;1)),"work",(INDEX(Subject!$A:$I,MATCH(RANDBETWEEN(1,(MAX(Subject!$B:$B))),Subject!$B:$B,0),3))))</f>
        <v/>
      </c>
      <c r="E545" s="2" t="str">
        <f t="array" ref="E545">IF(NOW()&gt;AP545,"",IF(AND((WEEKDAY($A545)+$B$2)&gt;1,((WEEKDAY($A545)+$T$2)&lt;7),(WEEKDAY($A545)&lt;&gt;1)),"work",(INDEX(Subject!$A:$I,MATCH(RANDBETWEEN(1,(MAX(Subject!$B:$B))),Subject!$B:$B,0),3))))</f>
        <v/>
      </c>
      <c r="F545" s="2" t="str">
        <f t="array" ref="F545">IF(NOW()&gt;AQ545,"",IF(AND((WEEKDAY($A545)+$B$2)&gt;1,((WEEKDAY($A545)+$T$2)&lt;7),(WEEKDAY($A545)&lt;&gt;1)),"work",(INDEX(Subject!$A:$I,MATCH(RANDBETWEEN(1,(MAX(Subject!$B:$B))),Subject!$B:$B,0),3))))</f>
        <v/>
      </c>
      <c r="G545" s="2" t="str">
        <f t="array" ref="G545">IF(NOW()&gt;AR545,"",IF(AND((WEEKDAY($A545)+$B$2)&gt;1,((WEEKDAY($A545)+$T$2)&lt;7),(WEEKDAY($A545)&lt;&gt;1)),"work",(INDEX(Subject!$A:$I,MATCH(RANDBETWEEN(1,(MAX(Subject!$B:$B))),Subject!$B:$B,0),3))))</f>
        <v/>
      </c>
      <c r="H545" s="2" t="str">
        <f t="array" ref="H545">IF(NOW()&gt;AS545,"",IF(AND((WEEKDAY($A545)+$B$2)&gt;1,((WEEKDAY($A545)+$T$2)&lt;7),(WEEKDAY($A545)&lt;&gt;1)),"work",(INDEX(Subject!$A:$I,MATCH(RANDBETWEEN(1,(MAX(Subject!$B:$B))),Subject!$B:$B,0),3))))</f>
        <v/>
      </c>
      <c r="I545" s="2" t="str">
        <f t="array" ref="I545">IF(NOW()&gt;AT545,"",IF(AND((WEEKDAY($A545)+$B$2)&gt;1,((WEEKDAY($A545)+$T$2)&lt;7),(WEEKDAY($A545)&lt;&gt;1)),"work",(INDEX(Subject!$A:$I,MATCH(RANDBETWEEN(1,(MAX(Subject!$B:$B))),Subject!$B:$B,0),3))))</f>
        <v/>
      </c>
      <c r="J545" s="2" t="str">
        <f t="array" ref="J545">IF(NOW()&gt;AU545,"",IF(AND((WEEKDAY($A545)+$B$2)&gt;1,((WEEKDAY($A545)+$T$2)&lt;7),(WEEKDAY($A545)&lt;&gt;1)),"work",(INDEX(Subject!$A:$I,MATCH(RANDBETWEEN(1,(MAX(Subject!$B:$B))),Subject!$B:$B,0),3))))</f>
        <v/>
      </c>
      <c r="K545" s="2" t="str">
        <f t="array" ref="K545">IF(NOW()&gt;AV545,"",IF(AND((WEEKDAY($A545)+$B$2)&gt;1,((WEEKDAY($A545)+$T$2)&lt;7),(WEEKDAY($A545)&lt;&gt;1)),"work",(INDEX(Subject!$A:$I,MATCH(RANDBETWEEN(1,(MAX(Subject!$B:$B))),Subject!$B:$B,0),3))))</f>
        <v/>
      </c>
      <c r="L545" s="2" t="str">
        <f t="array" ref="L545">IF(NOW()&gt;AW545,"",IF(AND((WEEKDAY($A545)+$B$2)&gt;1,((WEEKDAY($A545)+$T$2)&lt;7),(WEEKDAY($A545)&lt;&gt;1)),"work",(INDEX(Subject!$A:$I,MATCH(RANDBETWEEN(1,(MAX(Subject!$B:$B))),Subject!$B:$B,0),3))))</f>
        <v/>
      </c>
      <c r="M545" s="2" t="str">
        <f t="array" ref="M545">IF(NOW()&gt;AX545,"",IF(AND((WEEKDAY($A545)+$B$2)&gt;1,((WEEKDAY($A545)+$T$2)&lt;7),(WEEKDAY($A545)&lt;&gt;1)),"work",(INDEX(Subject!$A:$I,MATCH(RANDBETWEEN(1,(MAX(Subject!$B:$B))),Subject!$B:$B,0),3))))</f>
        <v/>
      </c>
      <c r="N545" s="2" t="str">
        <f t="array" ref="N545">IF(NOW()&gt;AY545,"",IF(AND((WEEKDAY($A545)+$B$2)&gt;1,((WEEKDAY($A545)+$T$2)&lt;7),(WEEKDAY($A545)&lt;&gt;1)),"work",(INDEX(Subject!$A:$I,MATCH(RANDBETWEEN(1,(MAX(Subject!$B:$B))),Subject!$B:$B,0),3))))</f>
        <v/>
      </c>
      <c r="O545" s="2" t="str">
        <f t="array" ref="O545">IF(NOW()&gt;AZ545,"",IF(AND((WEEKDAY($A545)+$B$2)&gt;1,((WEEKDAY($A545)+$T$2)&lt;7),(WEEKDAY($A545)&lt;&gt;1)),"work",(INDEX(Subject!$A:$I,MATCH(RANDBETWEEN(1,(MAX(Subject!$B:$B))),Subject!$B:$B,0),3))))</f>
        <v/>
      </c>
      <c r="P545" s="2" t="str">
        <f t="array" ref="P545">IF(NOW()&gt;BA545,"",IF(AND((WEEKDAY($A545)+$B$2)&gt;1,((WEEKDAY($A545)+$T$2)&lt;7),(WEEKDAY($A545)&lt;&gt;1)),"work",(INDEX(Subject!$A:$I,MATCH(RANDBETWEEN(1,(MAX(Subject!$B:$B))),Subject!$B:$B,0),3))))</f>
        <v/>
      </c>
      <c r="Q545" s="2" t="str">
        <f t="array" ref="Q545">IF(NOW()&gt;BB545,"",IF(AND((WEEKDAY($A545)+$B$2)&gt;1,((WEEKDAY($A545)+$T$2)&lt;7),(WEEKDAY($A545)&lt;&gt;1)),"work",(INDEX(Subject!$A:$I,MATCH(RANDBETWEEN(1,(MAX(Subject!$B:$B))),Subject!$B:$B,0),3))))</f>
        <v/>
      </c>
      <c r="R545" s="2" t="str">
        <f t="array" ref="R545">IF(NOW()&gt;BC545,"",IF(AND((WEEKDAY($A545)+$B$2)&gt;1,((WEEKDAY($A545)+$T$2)&lt;7),(WEEKDAY($A545)&lt;&gt;1)),"work",(INDEX(Subject!$A:$I,MATCH(RANDBETWEEN(1,(MAX(Subject!$B:$B))),Subject!$B:$B,0),3))))</f>
        <v/>
      </c>
      <c r="S545" s="2" t="str">
        <f t="array" ref="S545">IF(NOW()&gt;BD545,"",IF(AND((WEEKDAY($A545)+$B$2)&gt;1,((WEEKDAY($A545)+$T$2)&lt;7),(WEEKDAY($A545)&lt;&gt;1)),"work",(INDEX(Subject!$A:$I,MATCH(RANDBETWEEN(1,(MAX(Subject!$B:$B))),Subject!$B:$B,0),3))))</f>
        <v/>
      </c>
      <c r="T545" s="2" t="str">
        <f t="array" ref="T545">IF(NOW()&gt;BE545,"",IF(AND((WEEKDAY($A545)+$B$2)&gt;1,((WEEKDAY($A545)+$T$2)&lt;7),(WEEKDAY($A545)&lt;&gt;1)),"work",(INDEX(Subject!$A:$I,MATCH(RANDBETWEEN(1,(MAX(Subject!$B:$B))),Subject!$B:$B,0),3))))</f>
        <v/>
      </c>
      <c r="U545" s="8" t="str">
        <f t="array" ref="U545">INDEX(Subject!$A:$I,MATCH(RANDBETWEEN(1,16),Subject!$B:$B,0),3)</f>
        <v>#N/A</v>
      </c>
      <c r="V545" s="8" t="str">
        <f t="array" ref="V545">INDEX(Subject!$A:$I,MATCH(RANDBETWEEN(1,16),Subject!$B:$B,0),3)</f>
        <v>#N/A</v>
      </c>
      <c r="W545" s="8" t="str">
        <f t="array" ref="W545">INDEX(Subject!$A:$I,MATCH(RANDBETWEEN(1,16),Subject!$B:$B,0),3)</f>
        <v>#N/A</v>
      </c>
      <c r="X545" s="8" t="str">
        <f t="array" ref="X545">INDEX(Subject!$A:$I,MATCH(RANDBETWEEN(1,16),Subject!$B:$B,0),3)</f>
        <v>#N/A</v>
      </c>
      <c r="Y545" s="8" t="str">
        <f t="array" ref="Y545">INDEX(Subject!$A:$I,MATCH(RANDBETWEEN(1,16),Subject!$B:$B,0),3)</f>
        <v>#N/A</v>
      </c>
      <c r="Z545" s="8" t="str">
        <f t="array" ref="Z545">INDEX(Subject!$A:$I,MATCH(RANDBETWEEN(1,16),Subject!$B:$B,0),3)</f>
        <v>#N/A</v>
      </c>
      <c r="AA545" s="8" t="str">
        <f t="array" ref="AA545">INDEX(Subject!$A:$I,MATCH(RANDBETWEEN(1,16),Subject!$B:$B,0),3)</f>
        <v/>
      </c>
      <c r="AB545" s="8" t="str">
        <f t="array" ref="AB545">INDEX(Subject!$A:$I,MATCH(RANDBETWEEN(1,16),Subject!$B:$B,0),3)</f>
        <v>#N/A</v>
      </c>
      <c r="AC545" s="8" t="str">
        <f t="array" ref="AC545">INDEX(Subject!$A:$I,MATCH(RANDBETWEEN(1,16),Subject!$B:$B,0),3)</f>
        <v>#N/A</v>
      </c>
      <c r="AD545" s="8" t="str">
        <f t="array" ref="AD545">INDEX(Subject!$A:$I,MATCH(RANDBETWEEN(1,16),Subject!$B:$B,0),3)</f>
        <v>#N/A</v>
      </c>
      <c r="AE545" s="8" t="str">
        <f t="array" ref="AE545">INDEX(Subject!$A:$I,MATCH(RANDBETWEEN(1,16),Subject!$B:$B,0),3)</f>
        <v>#N/A</v>
      </c>
      <c r="AF545" s="8" t="str">
        <f t="array" ref="AF545">INDEX(Subject!$A:$I,MATCH(RANDBETWEEN(1,16),Subject!$B:$B,0),3)</f>
        <v>#N/A</v>
      </c>
      <c r="AG545" s="8" t="str">
        <f t="array" ref="AG545">INDEX(Subject!$A:$I,MATCH(RANDBETWEEN(1,16),Subject!$B:$B,0),3)</f>
        <v>#N/A</v>
      </c>
      <c r="AH545" s="8" t="str">
        <f t="array" ref="AH545">INDEX(Subject!$A:$I,MATCH(RANDBETWEEN(1,16),Subject!$B:$B,0),3)</f>
        <v>#N/A</v>
      </c>
      <c r="AI545" s="8" t="str">
        <f t="array" ref="AI545">INDEX(Subject!$A:$I,MATCH(RANDBETWEEN(1,16),Subject!$B:$B,0),3)</f>
        <v>#N/A</v>
      </c>
      <c r="AJ545" s="8" t="str">
        <f t="array" ref="AJ545">INDEX(Subject!$A:$I,MATCH(RANDBETWEEN(1,16),Subject!$B:$B,0),3)</f>
        <v>#N/A</v>
      </c>
      <c r="AK545" s="8" t="str">
        <f t="array" ref="AK545">INDEX(Subject!$A:$I,MATCH(RANDBETWEEN(1,16),Subject!$B:$B,0),3)</f>
        <v>#N/A</v>
      </c>
      <c r="AL545" s="8" t="str">
        <f t="array" ref="AL545">INDEX(Subject!$A:$I,MATCH(RANDBETWEEN(1,16),Subject!$B:$B,0),3)</f>
        <v>#N/A</v>
      </c>
      <c r="AM545" s="18">
        <f t="shared" si="4"/>
        <v>46045.33333</v>
      </c>
      <c r="AN545" s="19">
        <f t="shared" ref="AN545:BZ545" si="545">$A545+C$1</f>
        <v>46045.35417</v>
      </c>
      <c r="AO545" s="19">
        <f t="shared" si="545"/>
        <v>46045.375</v>
      </c>
      <c r="AP545" s="19">
        <f t="shared" si="545"/>
        <v>46045.39583</v>
      </c>
      <c r="AQ545" s="19">
        <f t="shared" si="545"/>
        <v>46045.41667</v>
      </c>
      <c r="AR545" s="19">
        <f t="shared" si="545"/>
        <v>46045.4375</v>
      </c>
      <c r="AS545" s="19">
        <f t="shared" si="545"/>
        <v>46045.45833</v>
      </c>
      <c r="AT545" s="19">
        <f t="shared" si="545"/>
        <v>46045.47917</v>
      </c>
      <c r="AU545" s="19">
        <f t="shared" si="545"/>
        <v>46045.5</v>
      </c>
      <c r="AV545" s="19">
        <f t="shared" si="545"/>
        <v>46045.52083</v>
      </c>
      <c r="AW545" s="19">
        <f t="shared" si="545"/>
        <v>46045.54167</v>
      </c>
      <c r="AX545" s="19">
        <f t="shared" si="545"/>
        <v>46045.5625</v>
      </c>
      <c r="AY545" s="19">
        <f t="shared" si="545"/>
        <v>46045.58333</v>
      </c>
      <c r="AZ545" s="19">
        <f t="shared" si="545"/>
        <v>46045.60417</v>
      </c>
      <c r="BA545" s="19">
        <f t="shared" si="545"/>
        <v>46045.625</v>
      </c>
      <c r="BB545" s="19">
        <f t="shared" si="545"/>
        <v>46045.64583</v>
      </c>
      <c r="BC545" s="19">
        <f t="shared" si="545"/>
        <v>46045.66667</v>
      </c>
      <c r="BD545" s="19">
        <f t="shared" si="545"/>
        <v>46045.6875</v>
      </c>
      <c r="BE545" s="19">
        <f t="shared" si="545"/>
        <v>46045.70833</v>
      </c>
      <c r="BF545" s="19">
        <f t="shared" si="545"/>
        <v>46045.72917</v>
      </c>
      <c r="BG545" s="19">
        <f t="shared" si="545"/>
        <v>46045.75</v>
      </c>
      <c r="BH545" s="19">
        <f t="shared" si="545"/>
        <v>46045.77083</v>
      </c>
      <c r="BI545" s="19">
        <f t="shared" si="545"/>
        <v>46045.79167</v>
      </c>
      <c r="BJ545" s="19">
        <f t="shared" si="545"/>
        <v>46045.8125</v>
      </c>
      <c r="BK545" s="19">
        <f t="shared" si="545"/>
        <v>46045.83333</v>
      </c>
      <c r="BL545" s="19">
        <f t="shared" si="545"/>
        <v>46045.85417</v>
      </c>
      <c r="BM545" s="19">
        <f t="shared" si="545"/>
        <v>46045.875</v>
      </c>
      <c r="BN545" s="19">
        <f t="shared" si="545"/>
        <v>46045.89583</v>
      </c>
      <c r="BO545" s="19">
        <f t="shared" si="545"/>
        <v>46045.91667</v>
      </c>
      <c r="BP545" s="19">
        <f t="shared" si="545"/>
        <v>46045.9375</v>
      </c>
      <c r="BQ545" s="19">
        <f t="shared" si="545"/>
        <v>46045.95833</v>
      </c>
      <c r="BR545" s="19">
        <f t="shared" si="545"/>
        <v>46045.97917</v>
      </c>
      <c r="BS545" s="19">
        <f t="shared" si="545"/>
        <v>46046</v>
      </c>
      <c r="BT545" s="19">
        <f t="shared" si="545"/>
        <v>46046.02083</v>
      </c>
      <c r="BU545" s="19">
        <f t="shared" si="545"/>
        <v>46046.04167</v>
      </c>
      <c r="BV545" s="19">
        <f t="shared" si="545"/>
        <v>46046.0625</v>
      </c>
      <c r="BW545" s="19">
        <f t="shared" si="545"/>
        <v>46046.08333</v>
      </c>
      <c r="BX545" s="19">
        <f t="shared" si="545"/>
        <v>46045</v>
      </c>
      <c r="BY545" s="19">
        <f t="shared" si="545"/>
        <v>46045</v>
      </c>
      <c r="BZ545" s="19">
        <f t="shared" si="545"/>
        <v>46045</v>
      </c>
    </row>
    <row r="546" ht="14.25" customHeight="1">
      <c r="A546" s="17">
        <v>46046.0</v>
      </c>
      <c r="B546" s="2" t="str">
        <f t="array" ref="B546">IF(NOW()&gt;AM546,"",IF(AND((WEEKDAY($A546)+$B$2)&gt;1,((WEEKDAY($A546)+$T$2)&lt;7),(WEEKDAY($A546)&lt;&gt;1)),"work",(INDEX(Subject!$A:$I,MATCH(RANDBETWEEN(1,(MAX(Subject!$B:$B))),Subject!$B:$B,0),3))))</f>
        <v/>
      </c>
      <c r="C546" s="2" t="str">
        <f t="array" ref="C546">IF(NOW()&gt;AN546,"",IF(AND((WEEKDAY($A546)+$B$2)&gt;1,((WEEKDAY($A546)+$T$2)&lt;7),(WEEKDAY($A546)&lt;&gt;1)),"work",(INDEX(Subject!$A:$I,MATCH(RANDBETWEEN(1,(MAX(Subject!$B:$B))),Subject!$B:$B,0),3))))</f>
        <v/>
      </c>
      <c r="D546" s="2" t="str">
        <f t="array" ref="D546">IF(NOW()&gt;AO546,"",IF(AND((WEEKDAY($A546)+$B$2)&gt;1,((WEEKDAY($A546)+$T$2)&lt;7),(WEEKDAY($A546)&lt;&gt;1)),"work",(INDEX(Subject!$A:$I,MATCH(RANDBETWEEN(1,(MAX(Subject!$B:$B))),Subject!$B:$B,0),3))))</f>
        <v/>
      </c>
      <c r="E546" s="2" t="str">
        <f t="array" ref="E546">IF(NOW()&gt;AP546,"",IF(AND((WEEKDAY($A546)+$B$2)&gt;1,((WEEKDAY($A546)+$T$2)&lt;7),(WEEKDAY($A546)&lt;&gt;1)),"work",(INDEX(Subject!$A:$I,MATCH(RANDBETWEEN(1,(MAX(Subject!$B:$B))),Subject!$B:$B,0),3))))</f>
        <v/>
      </c>
      <c r="F546" s="2" t="str">
        <f t="array" ref="F546">IF(NOW()&gt;AQ546,"",IF(AND((WEEKDAY($A546)+$B$2)&gt;1,((WEEKDAY($A546)+$T$2)&lt;7),(WEEKDAY($A546)&lt;&gt;1)),"work",(INDEX(Subject!$A:$I,MATCH(RANDBETWEEN(1,(MAX(Subject!$B:$B))),Subject!$B:$B,0),3))))</f>
        <v/>
      </c>
      <c r="G546" s="2" t="str">
        <f t="array" ref="G546">IF(NOW()&gt;AR546,"",IF(AND((WEEKDAY($A546)+$B$2)&gt;1,((WEEKDAY($A546)+$T$2)&lt;7),(WEEKDAY($A546)&lt;&gt;1)),"work",(INDEX(Subject!$A:$I,MATCH(RANDBETWEEN(1,(MAX(Subject!$B:$B))),Subject!$B:$B,0),3))))</f>
        <v/>
      </c>
      <c r="H546" s="2" t="str">
        <f t="array" ref="H546">IF(NOW()&gt;AS546,"",IF(AND((WEEKDAY($A546)+$B$2)&gt;1,((WEEKDAY($A546)+$T$2)&lt;7),(WEEKDAY($A546)&lt;&gt;1)),"work",(INDEX(Subject!$A:$I,MATCH(RANDBETWEEN(1,(MAX(Subject!$B:$B))),Subject!$B:$B,0),3))))</f>
        <v/>
      </c>
      <c r="I546" s="2" t="str">
        <f t="array" ref="I546">IF(NOW()&gt;AT546,"",IF(AND((WEEKDAY($A546)+$B$2)&gt;1,((WEEKDAY($A546)+$T$2)&lt;7),(WEEKDAY($A546)&lt;&gt;1)),"work",(INDEX(Subject!$A:$I,MATCH(RANDBETWEEN(1,(MAX(Subject!$B:$B))),Subject!$B:$B,0),3))))</f>
        <v/>
      </c>
      <c r="J546" s="2" t="str">
        <f t="array" ref="J546">IF(NOW()&gt;AU546,"",IF(AND((WEEKDAY($A546)+$B$2)&gt;1,((WEEKDAY($A546)+$T$2)&lt;7),(WEEKDAY($A546)&lt;&gt;1)),"work",(INDEX(Subject!$A:$I,MATCH(RANDBETWEEN(1,(MAX(Subject!$B:$B))),Subject!$B:$B,0),3))))</f>
        <v/>
      </c>
      <c r="K546" s="2" t="str">
        <f t="array" ref="K546">IF(NOW()&gt;AV546,"",IF(AND((WEEKDAY($A546)+$B$2)&gt;1,((WEEKDAY($A546)+$T$2)&lt;7),(WEEKDAY($A546)&lt;&gt;1)),"work",(INDEX(Subject!$A:$I,MATCH(RANDBETWEEN(1,(MAX(Subject!$B:$B))),Subject!$B:$B,0),3))))</f>
        <v/>
      </c>
      <c r="L546" s="2" t="str">
        <f t="array" ref="L546">IF(NOW()&gt;AW546,"",IF(AND((WEEKDAY($A546)+$B$2)&gt;1,((WEEKDAY($A546)+$T$2)&lt;7),(WEEKDAY($A546)&lt;&gt;1)),"work",(INDEX(Subject!$A:$I,MATCH(RANDBETWEEN(1,(MAX(Subject!$B:$B))),Subject!$B:$B,0),3))))</f>
        <v/>
      </c>
      <c r="M546" s="2" t="str">
        <f t="array" ref="M546">IF(NOW()&gt;AX546,"",IF(AND((WEEKDAY($A546)+$B$2)&gt;1,((WEEKDAY($A546)+$T$2)&lt;7),(WEEKDAY($A546)&lt;&gt;1)),"work",(INDEX(Subject!$A:$I,MATCH(RANDBETWEEN(1,(MAX(Subject!$B:$B))),Subject!$B:$B,0),3))))</f>
        <v/>
      </c>
      <c r="N546" s="2" t="str">
        <f t="array" ref="N546">IF(NOW()&gt;AY546,"",IF(AND((WEEKDAY($A546)+$B$2)&gt;1,((WEEKDAY($A546)+$T$2)&lt;7),(WEEKDAY($A546)&lt;&gt;1)),"work",(INDEX(Subject!$A:$I,MATCH(RANDBETWEEN(1,(MAX(Subject!$B:$B))),Subject!$B:$B,0),3))))</f>
        <v/>
      </c>
      <c r="O546" s="2" t="str">
        <f t="array" ref="O546">IF(NOW()&gt;AZ546,"",IF(AND((WEEKDAY($A546)+$B$2)&gt;1,((WEEKDAY($A546)+$T$2)&lt;7),(WEEKDAY($A546)&lt;&gt;1)),"work",(INDEX(Subject!$A:$I,MATCH(RANDBETWEEN(1,(MAX(Subject!$B:$B))),Subject!$B:$B,0),3))))</f>
        <v/>
      </c>
      <c r="P546" s="2" t="str">
        <f t="array" ref="P546">IF(NOW()&gt;BA546,"",IF(AND((WEEKDAY($A546)+$B$2)&gt;1,((WEEKDAY($A546)+$T$2)&lt;7),(WEEKDAY($A546)&lt;&gt;1)),"work",(INDEX(Subject!$A:$I,MATCH(RANDBETWEEN(1,(MAX(Subject!$B:$B))),Subject!$B:$B,0),3))))</f>
        <v/>
      </c>
      <c r="Q546" s="2" t="str">
        <f t="array" ref="Q546">IF(NOW()&gt;BB546,"",IF(AND((WEEKDAY($A546)+$B$2)&gt;1,((WEEKDAY($A546)+$T$2)&lt;7),(WEEKDAY($A546)&lt;&gt;1)),"work",(INDEX(Subject!$A:$I,MATCH(RANDBETWEEN(1,(MAX(Subject!$B:$B))),Subject!$B:$B,0),3))))</f>
        <v/>
      </c>
      <c r="R546" s="2" t="str">
        <f t="array" ref="R546">IF(NOW()&gt;BC546,"",IF(AND((WEEKDAY($A546)+$B$2)&gt;1,((WEEKDAY($A546)+$T$2)&lt;7),(WEEKDAY($A546)&lt;&gt;1)),"work",(INDEX(Subject!$A:$I,MATCH(RANDBETWEEN(1,(MAX(Subject!$B:$B))),Subject!$B:$B,0),3))))</f>
        <v/>
      </c>
      <c r="S546" s="2" t="str">
        <f t="array" ref="S546">IF(NOW()&gt;BD546,"",IF(AND((WEEKDAY($A546)+$B$2)&gt;1,((WEEKDAY($A546)+$T$2)&lt;7),(WEEKDAY($A546)&lt;&gt;1)),"work",(INDEX(Subject!$A:$I,MATCH(RANDBETWEEN(1,(MAX(Subject!$B:$B))),Subject!$B:$B,0),3))))</f>
        <v/>
      </c>
      <c r="T546" s="2" t="str">
        <f t="array" ref="T546">IF(NOW()&gt;BE546,"",IF(AND((WEEKDAY($A546)+$B$2)&gt;1,((WEEKDAY($A546)+$T$2)&lt;7),(WEEKDAY($A546)&lt;&gt;1)),"work",(INDEX(Subject!$A:$I,MATCH(RANDBETWEEN(1,(MAX(Subject!$B:$B))),Subject!$B:$B,0),3))))</f>
        <v/>
      </c>
      <c r="U546" s="8" t="str">
        <f t="array" ref="U546">INDEX(Subject!$A:$I,MATCH(RANDBETWEEN(1,16),Subject!$B:$B,0),3)</f>
        <v>#N/A</v>
      </c>
      <c r="V546" s="8" t="str">
        <f t="array" ref="V546">INDEX(Subject!$A:$I,MATCH(RANDBETWEEN(1,16),Subject!$B:$B,0),3)</f>
        <v>#N/A</v>
      </c>
      <c r="W546" s="8" t="str">
        <f t="array" ref="W546">INDEX(Subject!$A:$I,MATCH(RANDBETWEEN(1,16),Subject!$B:$B,0),3)</f>
        <v>#N/A</v>
      </c>
      <c r="X546" s="8" t="str">
        <f t="array" ref="X546">INDEX(Subject!$A:$I,MATCH(RANDBETWEEN(1,16),Subject!$B:$B,0),3)</f>
        <v>#N/A</v>
      </c>
      <c r="Y546" s="8" t="str">
        <f t="array" ref="Y546">INDEX(Subject!$A:$I,MATCH(RANDBETWEEN(1,16),Subject!$B:$B,0),3)</f>
        <v>#N/A</v>
      </c>
      <c r="Z546" s="8" t="str">
        <f t="array" ref="Z546">INDEX(Subject!$A:$I,MATCH(RANDBETWEEN(1,16),Subject!$B:$B,0),3)</f>
        <v>#N/A</v>
      </c>
      <c r="AA546" s="8" t="str">
        <f t="array" ref="AA546">INDEX(Subject!$A:$I,MATCH(RANDBETWEEN(1,16),Subject!$B:$B,0),3)</f>
        <v>#N/A</v>
      </c>
      <c r="AB546" s="8" t="str">
        <f t="array" ref="AB546">INDEX(Subject!$A:$I,MATCH(RANDBETWEEN(1,16),Subject!$B:$B,0),3)</f>
        <v>#N/A</v>
      </c>
      <c r="AC546" s="8" t="str">
        <f t="array" ref="AC546">INDEX(Subject!$A:$I,MATCH(RANDBETWEEN(1,16),Subject!$B:$B,0),3)</f>
        <v>#N/A</v>
      </c>
      <c r="AD546" s="8" t="str">
        <f t="array" ref="AD546">INDEX(Subject!$A:$I,MATCH(RANDBETWEEN(1,16),Subject!$B:$B,0),3)</f>
        <v>#N/A</v>
      </c>
      <c r="AE546" s="8" t="str">
        <f t="array" ref="AE546">INDEX(Subject!$A:$I,MATCH(RANDBETWEEN(1,16),Subject!$B:$B,0),3)</f>
        <v>#N/A</v>
      </c>
      <c r="AF546" s="8" t="str">
        <f t="array" ref="AF546">INDEX(Subject!$A:$I,MATCH(RANDBETWEEN(1,16),Subject!$B:$B,0),3)</f>
        <v>#N/A</v>
      </c>
      <c r="AG546" s="8" t="str">
        <f t="array" ref="AG546">INDEX(Subject!$A:$I,MATCH(RANDBETWEEN(1,16),Subject!$B:$B,0),3)</f>
        <v>#N/A</v>
      </c>
      <c r="AH546" s="8" t="str">
        <f t="array" ref="AH546">INDEX(Subject!$A:$I,MATCH(RANDBETWEEN(1,16),Subject!$B:$B,0),3)</f>
        <v>#N/A</v>
      </c>
      <c r="AI546" s="8" t="str">
        <f t="array" ref="AI546">INDEX(Subject!$A:$I,MATCH(RANDBETWEEN(1,16),Subject!$B:$B,0),3)</f>
        <v>#N/A</v>
      </c>
      <c r="AJ546" s="8" t="str">
        <f t="array" ref="AJ546">INDEX(Subject!$A:$I,MATCH(RANDBETWEEN(1,16),Subject!$B:$B,0),3)</f>
        <v>#N/A</v>
      </c>
      <c r="AK546" s="8" t="str">
        <f t="array" ref="AK546">INDEX(Subject!$A:$I,MATCH(RANDBETWEEN(1,16),Subject!$B:$B,0),3)</f>
        <v>#N/A</v>
      </c>
      <c r="AL546" s="8" t="str">
        <f t="array" ref="AL546">INDEX(Subject!$A:$I,MATCH(RANDBETWEEN(1,16),Subject!$B:$B,0),3)</f>
        <v>#N/A</v>
      </c>
      <c r="AM546" s="18">
        <f t="shared" si="4"/>
        <v>46046.33333</v>
      </c>
      <c r="AN546" s="19">
        <f t="shared" ref="AN546:BZ546" si="546">$A546+C$1</f>
        <v>46046.35417</v>
      </c>
      <c r="AO546" s="19">
        <f t="shared" si="546"/>
        <v>46046.375</v>
      </c>
      <c r="AP546" s="19">
        <f t="shared" si="546"/>
        <v>46046.39583</v>
      </c>
      <c r="AQ546" s="19">
        <f t="shared" si="546"/>
        <v>46046.41667</v>
      </c>
      <c r="AR546" s="19">
        <f t="shared" si="546"/>
        <v>46046.4375</v>
      </c>
      <c r="AS546" s="19">
        <f t="shared" si="546"/>
        <v>46046.45833</v>
      </c>
      <c r="AT546" s="19">
        <f t="shared" si="546"/>
        <v>46046.47917</v>
      </c>
      <c r="AU546" s="19">
        <f t="shared" si="546"/>
        <v>46046.5</v>
      </c>
      <c r="AV546" s="19">
        <f t="shared" si="546"/>
        <v>46046.52083</v>
      </c>
      <c r="AW546" s="19">
        <f t="shared" si="546"/>
        <v>46046.54167</v>
      </c>
      <c r="AX546" s="19">
        <f t="shared" si="546"/>
        <v>46046.5625</v>
      </c>
      <c r="AY546" s="19">
        <f t="shared" si="546"/>
        <v>46046.58333</v>
      </c>
      <c r="AZ546" s="19">
        <f t="shared" si="546"/>
        <v>46046.60417</v>
      </c>
      <c r="BA546" s="19">
        <f t="shared" si="546"/>
        <v>46046.625</v>
      </c>
      <c r="BB546" s="19">
        <f t="shared" si="546"/>
        <v>46046.64583</v>
      </c>
      <c r="BC546" s="19">
        <f t="shared" si="546"/>
        <v>46046.66667</v>
      </c>
      <c r="BD546" s="19">
        <f t="shared" si="546"/>
        <v>46046.6875</v>
      </c>
      <c r="BE546" s="19">
        <f t="shared" si="546"/>
        <v>46046.70833</v>
      </c>
      <c r="BF546" s="19">
        <f t="shared" si="546"/>
        <v>46046.72917</v>
      </c>
      <c r="BG546" s="19">
        <f t="shared" si="546"/>
        <v>46046.75</v>
      </c>
      <c r="BH546" s="19">
        <f t="shared" si="546"/>
        <v>46046.77083</v>
      </c>
      <c r="BI546" s="19">
        <f t="shared" si="546"/>
        <v>46046.79167</v>
      </c>
      <c r="BJ546" s="19">
        <f t="shared" si="546"/>
        <v>46046.8125</v>
      </c>
      <c r="BK546" s="19">
        <f t="shared" si="546"/>
        <v>46046.83333</v>
      </c>
      <c r="BL546" s="19">
        <f t="shared" si="546"/>
        <v>46046.85417</v>
      </c>
      <c r="BM546" s="19">
        <f t="shared" si="546"/>
        <v>46046.875</v>
      </c>
      <c r="BN546" s="19">
        <f t="shared" si="546"/>
        <v>46046.89583</v>
      </c>
      <c r="BO546" s="19">
        <f t="shared" si="546"/>
        <v>46046.91667</v>
      </c>
      <c r="BP546" s="19">
        <f t="shared" si="546"/>
        <v>46046.9375</v>
      </c>
      <c r="BQ546" s="19">
        <f t="shared" si="546"/>
        <v>46046.95833</v>
      </c>
      <c r="BR546" s="19">
        <f t="shared" si="546"/>
        <v>46046.97917</v>
      </c>
      <c r="BS546" s="19">
        <f t="shared" si="546"/>
        <v>46047</v>
      </c>
      <c r="BT546" s="19">
        <f t="shared" si="546"/>
        <v>46047.02083</v>
      </c>
      <c r="BU546" s="19">
        <f t="shared" si="546"/>
        <v>46047.04167</v>
      </c>
      <c r="BV546" s="19">
        <f t="shared" si="546"/>
        <v>46047.0625</v>
      </c>
      <c r="BW546" s="19">
        <f t="shared" si="546"/>
        <v>46047.08333</v>
      </c>
      <c r="BX546" s="19">
        <f t="shared" si="546"/>
        <v>46046</v>
      </c>
      <c r="BY546" s="19">
        <f t="shared" si="546"/>
        <v>46046</v>
      </c>
      <c r="BZ546" s="19">
        <f t="shared" si="546"/>
        <v>46046</v>
      </c>
    </row>
    <row r="547" ht="14.25" customHeight="1">
      <c r="A547" s="17">
        <v>46047.0</v>
      </c>
      <c r="B547" s="2" t="str">
        <f t="array" ref="B547">IF(NOW()&gt;AM547,"",IF(AND((WEEKDAY($A547)+$B$2)&gt;1,((WEEKDAY($A547)+$T$2)&lt;7),(WEEKDAY($A547)&lt;&gt;1)),"work",(INDEX(Subject!$A:$I,MATCH(RANDBETWEEN(1,(MAX(Subject!$B:$B))),Subject!$B:$B,0),3))))</f>
        <v/>
      </c>
      <c r="C547" s="2" t="str">
        <f t="array" ref="C547">IF(NOW()&gt;AN547,"",IF(AND((WEEKDAY($A547)+$B$2)&gt;1,((WEEKDAY($A547)+$T$2)&lt;7),(WEEKDAY($A547)&lt;&gt;1)),"work",(INDEX(Subject!$A:$I,MATCH(RANDBETWEEN(1,(MAX(Subject!$B:$B))),Subject!$B:$B,0),3))))</f>
        <v/>
      </c>
      <c r="D547" s="2" t="str">
        <f t="array" ref="D547">IF(NOW()&gt;AO547,"",IF(AND((WEEKDAY($A547)+$B$2)&gt;1,((WEEKDAY($A547)+$T$2)&lt;7),(WEEKDAY($A547)&lt;&gt;1)),"work",(INDEX(Subject!$A:$I,MATCH(RANDBETWEEN(1,(MAX(Subject!$B:$B))),Subject!$B:$B,0),3))))</f>
        <v/>
      </c>
      <c r="E547" s="2" t="str">
        <f t="array" ref="E547">IF(NOW()&gt;AP547,"",IF(AND((WEEKDAY($A547)+$B$2)&gt;1,((WEEKDAY($A547)+$T$2)&lt;7),(WEEKDAY($A547)&lt;&gt;1)),"work",(INDEX(Subject!$A:$I,MATCH(RANDBETWEEN(1,(MAX(Subject!$B:$B))),Subject!$B:$B,0),3))))</f>
        <v/>
      </c>
      <c r="F547" s="2" t="str">
        <f t="array" ref="F547">IF(NOW()&gt;AQ547,"",IF(AND((WEEKDAY($A547)+$B$2)&gt;1,((WEEKDAY($A547)+$T$2)&lt;7),(WEEKDAY($A547)&lt;&gt;1)),"work",(INDEX(Subject!$A:$I,MATCH(RANDBETWEEN(1,(MAX(Subject!$B:$B))),Subject!$B:$B,0),3))))</f>
        <v/>
      </c>
      <c r="G547" s="2" t="str">
        <f t="array" ref="G547">IF(NOW()&gt;AR547,"",IF(AND((WEEKDAY($A547)+$B$2)&gt;1,((WEEKDAY($A547)+$T$2)&lt;7),(WEEKDAY($A547)&lt;&gt;1)),"work",(INDEX(Subject!$A:$I,MATCH(RANDBETWEEN(1,(MAX(Subject!$B:$B))),Subject!$B:$B,0),3))))</f>
        <v/>
      </c>
      <c r="H547" s="2" t="str">
        <f t="array" ref="H547">IF(NOW()&gt;AS547,"",IF(AND((WEEKDAY($A547)+$B$2)&gt;1,((WEEKDAY($A547)+$T$2)&lt;7),(WEEKDAY($A547)&lt;&gt;1)),"work",(INDEX(Subject!$A:$I,MATCH(RANDBETWEEN(1,(MAX(Subject!$B:$B))),Subject!$B:$B,0),3))))</f>
        <v/>
      </c>
      <c r="I547" s="2" t="str">
        <f t="array" ref="I547">IF(NOW()&gt;AT547,"",IF(AND((WEEKDAY($A547)+$B$2)&gt;1,((WEEKDAY($A547)+$T$2)&lt;7),(WEEKDAY($A547)&lt;&gt;1)),"work",(INDEX(Subject!$A:$I,MATCH(RANDBETWEEN(1,(MAX(Subject!$B:$B))),Subject!$B:$B,0),3))))</f>
        <v/>
      </c>
      <c r="J547" s="2" t="str">
        <f t="array" ref="J547">IF(NOW()&gt;AU547,"",IF(AND((WEEKDAY($A547)+$B$2)&gt;1,((WEEKDAY($A547)+$T$2)&lt;7),(WEEKDAY($A547)&lt;&gt;1)),"work",(INDEX(Subject!$A:$I,MATCH(RANDBETWEEN(1,(MAX(Subject!$B:$B))),Subject!$B:$B,0),3))))</f>
        <v/>
      </c>
      <c r="K547" s="2" t="str">
        <f t="array" ref="K547">IF(NOW()&gt;AV547,"",IF(AND((WEEKDAY($A547)+$B$2)&gt;1,((WEEKDAY($A547)+$T$2)&lt;7),(WEEKDAY($A547)&lt;&gt;1)),"work",(INDEX(Subject!$A:$I,MATCH(RANDBETWEEN(1,(MAX(Subject!$B:$B))),Subject!$B:$B,0),3))))</f>
        <v/>
      </c>
      <c r="L547" s="2" t="str">
        <f t="array" ref="L547">IF(NOW()&gt;AW547,"",IF(AND((WEEKDAY($A547)+$B$2)&gt;1,((WEEKDAY($A547)+$T$2)&lt;7),(WEEKDAY($A547)&lt;&gt;1)),"work",(INDEX(Subject!$A:$I,MATCH(RANDBETWEEN(1,(MAX(Subject!$B:$B))),Subject!$B:$B,0),3))))</f>
        <v/>
      </c>
      <c r="M547" s="2" t="str">
        <f t="array" ref="M547">IF(NOW()&gt;AX547,"",IF(AND((WEEKDAY($A547)+$B$2)&gt;1,((WEEKDAY($A547)+$T$2)&lt;7),(WEEKDAY($A547)&lt;&gt;1)),"work",(INDEX(Subject!$A:$I,MATCH(RANDBETWEEN(1,(MAX(Subject!$B:$B))),Subject!$B:$B,0),3))))</f>
        <v/>
      </c>
      <c r="N547" s="2" t="str">
        <f t="array" ref="N547">IF(NOW()&gt;AY547,"",IF(AND((WEEKDAY($A547)+$B$2)&gt;1,((WEEKDAY($A547)+$T$2)&lt;7),(WEEKDAY($A547)&lt;&gt;1)),"work",(INDEX(Subject!$A:$I,MATCH(RANDBETWEEN(1,(MAX(Subject!$B:$B))),Subject!$B:$B,0),3))))</f>
        <v/>
      </c>
      <c r="O547" s="2" t="str">
        <f t="array" ref="O547">IF(NOW()&gt;AZ547,"",IF(AND((WEEKDAY($A547)+$B$2)&gt;1,((WEEKDAY($A547)+$T$2)&lt;7),(WEEKDAY($A547)&lt;&gt;1)),"work",(INDEX(Subject!$A:$I,MATCH(RANDBETWEEN(1,(MAX(Subject!$B:$B))),Subject!$B:$B,0),3))))</f>
        <v/>
      </c>
      <c r="P547" s="2" t="str">
        <f t="array" ref="P547">IF(NOW()&gt;BA547,"",IF(AND((WEEKDAY($A547)+$B$2)&gt;1,((WEEKDAY($A547)+$T$2)&lt;7),(WEEKDAY($A547)&lt;&gt;1)),"work",(INDEX(Subject!$A:$I,MATCH(RANDBETWEEN(1,(MAX(Subject!$B:$B))),Subject!$B:$B,0),3))))</f>
        <v/>
      </c>
      <c r="Q547" s="2" t="str">
        <f t="array" ref="Q547">IF(NOW()&gt;BB547,"",IF(AND((WEEKDAY($A547)+$B$2)&gt;1,((WEEKDAY($A547)+$T$2)&lt;7),(WEEKDAY($A547)&lt;&gt;1)),"work",(INDEX(Subject!$A:$I,MATCH(RANDBETWEEN(1,(MAX(Subject!$B:$B))),Subject!$B:$B,0),3))))</f>
        <v/>
      </c>
      <c r="R547" s="2" t="str">
        <f t="array" ref="R547">IF(NOW()&gt;BC547,"",IF(AND((WEEKDAY($A547)+$B$2)&gt;1,((WEEKDAY($A547)+$T$2)&lt;7),(WEEKDAY($A547)&lt;&gt;1)),"work",(INDEX(Subject!$A:$I,MATCH(RANDBETWEEN(1,(MAX(Subject!$B:$B))),Subject!$B:$B,0),3))))</f>
        <v/>
      </c>
      <c r="S547" s="2" t="str">
        <f t="array" ref="S547">IF(NOW()&gt;BD547,"",IF(AND((WEEKDAY($A547)+$B$2)&gt;1,((WEEKDAY($A547)+$T$2)&lt;7),(WEEKDAY($A547)&lt;&gt;1)),"work",(INDEX(Subject!$A:$I,MATCH(RANDBETWEEN(1,(MAX(Subject!$B:$B))),Subject!$B:$B,0),3))))</f>
        <v/>
      </c>
      <c r="T547" s="2" t="str">
        <f t="array" ref="T547">IF(NOW()&gt;BE547,"",IF(AND((WEEKDAY($A547)+$B$2)&gt;1,((WEEKDAY($A547)+$T$2)&lt;7),(WEEKDAY($A547)&lt;&gt;1)),"work",(INDEX(Subject!$A:$I,MATCH(RANDBETWEEN(1,(MAX(Subject!$B:$B))),Subject!$B:$B,0),3))))</f>
        <v/>
      </c>
      <c r="U547" s="8" t="str">
        <f t="array" ref="U547">INDEX(Subject!$A:$I,MATCH(RANDBETWEEN(1,16),Subject!$B:$B,0),3)</f>
        <v>#N/A</v>
      </c>
      <c r="V547" s="8" t="str">
        <f t="array" ref="V547">INDEX(Subject!$A:$I,MATCH(RANDBETWEEN(1,16),Subject!$B:$B,0),3)</f>
        <v>#N/A</v>
      </c>
      <c r="W547" s="8" t="str">
        <f t="array" ref="W547">INDEX(Subject!$A:$I,MATCH(RANDBETWEEN(1,16),Subject!$B:$B,0),3)</f>
        <v>#N/A</v>
      </c>
      <c r="X547" s="8" t="str">
        <f t="array" ref="X547">INDEX(Subject!$A:$I,MATCH(RANDBETWEEN(1,16),Subject!$B:$B,0),3)</f>
        <v>#N/A</v>
      </c>
      <c r="Y547" s="8" t="str">
        <f t="array" ref="Y547">INDEX(Subject!$A:$I,MATCH(RANDBETWEEN(1,16),Subject!$B:$B,0),3)</f>
        <v>#N/A</v>
      </c>
      <c r="Z547" s="8" t="str">
        <f t="array" ref="Z547">INDEX(Subject!$A:$I,MATCH(RANDBETWEEN(1,16),Subject!$B:$B,0),3)</f>
        <v>#N/A</v>
      </c>
      <c r="AA547" s="8" t="str">
        <f t="array" ref="AA547">INDEX(Subject!$A:$I,MATCH(RANDBETWEEN(1,16),Subject!$B:$B,0),3)</f>
        <v>#N/A</v>
      </c>
      <c r="AB547" s="8" t="str">
        <f t="array" ref="AB547">INDEX(Subject!$A:$I,MATCH(RANDBETWEEN(1,16),Subject!$B:$B,0),3)</f>
        <v>#N/A</v>
      </c>
      <c r="AC547" s="8" t="str">
        <f t="array" ref="AC547">INDEX(Subject!$A:$I,MATCH(RANDBETWEEN(1,16),Subject!$B:$B,0),3)</f>
        <v>#N/A</v>
      </c>
      <c r="AD547" s="8" t="str">
        <f t="array" ref="AD547">INDEX(Subject!$A:$I,MATCH(RANDBETWEEN(1,16),Subject!$B:$B,0),3)</f>
        <v>#N/A</v>
      </c>
      <c r="AE547" s="8" t="str">
        <f t="array" ref="AE547">INDEX(Subject!$A:$I,MATCH(RANDBETWEEN(1,16),Subject!$B:$B,0),3)</f>
        <v>#N/A</v>
      </c>
      <c r="AF547" s="8" t="str">
        <f t="array" ref="AF547">INDEX(Subject!$A:$I,MATCH(RANDBETWEEN(1,16),Subject!$B:$B,0),3)</f>
        <v>#N/A</v>
      </c>
      <c r="AG547" s="8" t="str">
        <f t="array" ref="AG547">INDEX(Subject!$A:$I,MATCH(RANDBETWEEN(1,16),Subject!$B:$B,0),3)</f>
        <v>#N/A</v>
      </c>
      <c r="AH547" s="8" t="str">
        <f t="array" ref="AH547">INDEX(Subject!$A:$I,MATCH(RANDBETWEEN(1,16),Subject!$B:$B,0),3)</f>
        <v>#N/A</v>
      </c>
      <c r="AI547" s="8" t="str">
        <f t="array" ref="AI547">INDEX(Subject!$A:$I,MATCH(RANDBETWEEN(1,16),Subject!$B:$B,0),3)</f>
        <v>#N/A</v>
      </c>
      <c r="AJ547" s="8" t="str">
        <f t="array" ref="AJ547">INDEX(Subject!$A:$I,MATCH(RANDBETWEEN(1,16),Subject!$B:$B,0),3)</f>
        <v>#N/A</v>
      </c>
      <c r="AK547" s="8" t="str">
        <f t="array" ref="AK547">INDEX(Subject!$A:$I,MATCH(RANDBETWEEN(1,16),Subject!$B:$B,0),3)</f>
        <v>#N/A</v>
      </c>
      <c r="AL547" s="8" t="str">
        <f t="array" ref="AL547">INDEX(Subject!$A:$I,MATCH(RANDBETWEEN(1,16),Subject!$B:$B,0),3)</f>
        <v>#N/A</v>
      </c>
      <c r="AM547" s="18">
        <f t="shared" si="4"/>
        <v>46047.33333</v>
      </c>
      <c r="AN547" s="19">
        <f t="shared" ref="AN547:BZ547" si="547">$A547+C$1</f>
        <v>46047.35417</v>
      </c>
      <c r="AO547" s="19">
        <f t="shared" si="547"/>
        <v>46047.375</v>
      </c>
      <c r="AP547" s="19">
        <f t="shared" si="547"/>
        <v>46047.39583</v>
      </c>
      <c r="AQ547" s="19">
        <f t="shared" si="547"/>
        <v>46047.41667</v>
      </c>
      <c r="AR547" s="19">
        <f t="shared" si="547"/>
        <v>46047.4375</v>
      </c>
      <c r="AS547" s="19">
        <f t="shared" si="547"/>
        <v>46047.45833</v>
      </c>
      <c r="AT547" s="19">
        <f t="shared" si="547"/>
        <v>46047.47917</v>
      </c>
      <c r="AU547" s="19">
        <f t="shared" si="547"/>
        <v>46047.5</v>
      </c>
      <c r="AV547" s="19">
        <f t="shared" si="547"/>
        <v>46047.52083</v>
      </c>
      <c r="AW547" s="19">
        <f t="shared" si="547"/>
        <v>46047.54167</v>
      </c>
      <c r="AX547" s="19">
        <f t="shared" si="547"/>
        <v>46047.5625</v>
      </c>
      <c r="AY547" s="19">
        <f t="shared" si="547"/>
        <v>46047.58333</v>
      </c>
      <c r="AZ547" s="19">
        <f t="shared" si="547"/>
        <v>46047.60417</v>
      </c>
      <c r="BA547" s="19">
        <f t="shared" si="547"/>
        <v>46047.625</v>
      </c>
      <c r="BB547" s="19">
        <f t="shared" si="547"/>
        <v>46047.64583</v>
      </c>
      <c r="BC547" s="19">
        <f t="shared" si="547"/>
        <v>46047.66667</v>
      </c>
      <c r="BD547" s="19">
        <f t="shared" si="547"/>
        <v>46047.6875</v>
      </c>
      <c r="BE547" s="19">
        <f t="shared" si="547"/>
        <v>46047.70833</v>
      </c>
      <c r="BF547" s="19">
        <f t="shared" si="547"/>
        <v>46047.72917</v>
      </c>
      <c r="BG547" s="19">
        <f t="shared" si="547"/>
        <v>46047.75</v>
      </c>
      <c r="BH547" s="19">
        <f t="shared" si="547"/>
        <v>46047.77083</v>
      </c>
      <c r="BI547" s="19">
        <f t="shared" si="547"/>
        <v>46047.79167</v>
      </c>
      <c r="BJ547" s="19">
        <f t="shared" si="547"/>
        <v>46047.8125</v>
      </c>
      <c r="BK547" s="19">
        <f t="shared" si="547"/>
        <v>46047.83333</v>
      </c>
      <c r="BL547" s="19">
        <f t="shared" si="547"/>
        <v>46047.85417</v>
      </c>
      <c r="BM547" s="19">
        <f t="shared" si="547"/>
        <v>46047.875</v>
      </c>
      <c r="BN547" s="19">
        <f t="shared" si="547"/>
        <v>46047.89583</v>
      </c>
      <c r="BO547" s="19">
        <f t="shared" si="547"/>
        <v>46047.91667</v>
      </c>
      <c r="BP547" s="19">
        <f t="shared" si="547"/>
        <v>46047.9375</v>
      </c>
      <c r="BQ547" s="19">
        <f t="shared" si="547"/>
        <v>46047.95833</v>
      </c>
      <c r="BR547" s="19">
        <f t="shared" si="547"/>
        <v>46047.97917</v>
      </c>
      <c r="BS547" s="19">
        <f t="shared" si="547"/>
        <v>46048</v>
      </c>
      <c r="BT547" s="19">
        <f t="shared" si="547"/>
        <v>46048.02083</v>
      </c>
      <c r="BU547" s="19">
        <f t="shared" si="547"/>
        <v>46048.04167</v>
      </c>
      <c r="BV547" s="19">
        <f t="shared" si="547"/>
        <v>46048.0625</v>
      </c>
      <c r="BW547" s="19">
        <f t="shared" si="547"/>
        <v>46048.08333</v>
      </c>
      <c r="BX547" s="19">
        <f t="shared" si="547"/>
        <v>46047</v>
      </c>
      <c r="BY547" s="19">
        <f t="shared" si="547"/>
        <v>46047</v>
      </c>
      <c r="BZ547" s="19">
        <f t="shared" si="547"/>
        <v>46047</v>
      </c>
    </row>
    <row r="548" ht="14.25" customHeight="1">
      <c r="A548" s="17">
        <v>46048.0</v>
      </c>
      <c r="B548" s="2" t="str">
        <f t="array" ref="B548">IF(NOW()&gt;AM548,"",IF(AND((WEEKDAY($A548)+$B$2)&gt;1,((WEEKDAY($A548)+$T$2)&lt;7),(WEEKDAY($A548)&lt;&gt;1)),"work",(INDEX(Subject!$A:$I,MATCH(RANDBETWEEN(1,(MAX(Subject!$B:$B))),Subject!$B:$B,0),3))))</f>
        <v/>
      </c>
      <c r="C548" s="2" t="str">
        <f t="array" ref="C548">IF(NOW()&gt;AN548,"",IF(AND((WEEKDAY($A548)+$B$2)&gt;1,((WEEKDAY($A548)+$T$2)&lt;7),(WEEKDAY($A548)&lt;&gt;1)),"work",(INDEX(Subject!$A:$I,MATCH(RANDBETWEEN(1,(MAX(Subject!$B:$B))),Subject!$B:$B,0),3))))</f>
        <v/>
      </c>
      <c r="D548" s="2" t="str">
        <f t="array" ref="D548">IF(NOW()&gt;AO548,"",IF(AND((WEEKDAY($A548)+$B$2)&gt;1,((WEEKDAY($A548)+$T$2)&lt;7),(WEEKDAY($A548)&lt;&gt;1)),"work",(INDEX(Subject!$A:$I,MATCH(RANDBETWEEN(1,(MAX(Subject!$B:$B))),Subject!$B:$B,0),3))))</f>
        <v/>
      </c>
      <c r="E548" s="2" t="str">
        <f t="array" ref="E548">IF(NOW()&gt;AP548,"",IF(AND((WEEKDAY($A548)+$B$2)&gt;1,((WEEKDAY($A548)+$T$2)&lt;7),(WEEKDAY($A548)&lt;&gt;1)),"work",(INDEX(Subject!$A:$I,MATCH(RANDBETWEEN(1,(MAX(Subject!$B:$B))),Subject!$B:$B,0),3))))</f>
        <v/>
      </c>
      <c r="F548" s="2" t="str">
        <f t="array" ref="F548">IF(NOW()&gt;AQ548,"",IF(AND((WEEKDAY($A548)+$B$2)&gt;1,((WEEKDAY($A548)+$T$2)&lt;7),(WEEKDAY($A548)&lt;&gt;1)),"work",(INDEX(Subject!$A:$I,MATCH(RANDBETWEEN(1,(MAX(Subject!$B:$B))),Subject!$B:$B,0),3))))</f>
        <v/>
      </c>
      <c r="G548" s="2" t="str">
        <f t="array" ref="G548">IF(NOW()&gt;AR548,"",IF(AND((WEEKDAY($A548)+$B$2)&gt;1,((WEEKDAY($A548)+$T$2)&lt;7),(WEEKDAY($A548)&lt;&gt;1)),"work",(INDEX(Subject!$A:$I,MATCH(RANDBETWEEN(1,(MAX(Subject!$B:$B))),Subject!$B:$B,0),3))))</f>
        <v/>
      </c>
      <c r="H548" s="2" t="str">
        <f t="array" ref="H548">IF(NOW()&gt;AS548,"",IF(AND((WEEKDAY($A548)+$B$2)&gt;1,((WEEKDAY($A548)+$T$2)&lt;7),(WEEKDAY($A548)&lt;&gt;1)),"work",(INDEX(Subject!$A:$I,MATCH(RANDBETWEEN(1,(MAX(Subject!$B:$B))),Subject!$B:$B,0),3))))</f>
        <v/>
      </c>
      <c r="I548" s="2" t="str">
        <f t="array" ref="I548">IF(NOW()&gt;AT548,"",IF(AND((WEEKDAY($A548)+$B$2)&gt;1,((WEEKDAY($A548)+$T$2)&lt;7),(WEEKDAY($A548)&lt;&gt;1)),"work",(INDEX(Subject!$A:$I,MATCH(RANDBETWEEN(1,(MAX(Subject!$B:$B))),Subject!$B:$B,0),3))))</f>
        <v/>
      </c>
      <c r="J548" s="2" t="str">
        <f t="array" ref="J548">IF(NOW()&gt;AU548,"",IF(AND((WEEKDAY($A548)+$B$2)&gt;1,((WEEKDAY($A548)+$T$2)&lt;7),(WEEKDAY($A548)&lt;&gt;1)),"work",(INDEX(Subject!$A:$I,MATCH(RANDBETWEEN(1,(MAX(Subject!$B:$B))),Subject!$B:$B,0),3))))</f>
        <v/>
      </c>
      <c r="K548" s="2" t="str">
        <f t="array" ref="K548">IF(NOW()&gt;AV548,"",IF(AND((WEEKDAY($A548)+$B$2)&gt;1,((WEEKDAY($A548)+$T$2)&lt;7),(WEEKDAY($A548)&lt;&gt;1)),"work",(INDEX(Subject!$A:$I,MATCH(RANDBETWEEN(1,(MAX(Subject!$B:$B))),Subject!$B:$B,0),3))))</f>
        <v/>
      </c>
      <c r="L548" s="2" t="str">
        <f t="array" ref="L548">IF(NOW()&gt;AW548,"",IF(AND((WEEKDAY($A548)+$B$2)&gt;1,((WEEKDAY($A548)+$T$2)&lt;7),(WEEKDAY($A548)&lt;&gt;1)),"work",(INDEX(Subject!$A:$I,MATCH(RANDBETWEEN(1,(MAX(Subject!$B:$B))),Subject!$B:$B,0),3))))</f>
        <v/>
      </c>
      <c r="M548" s="2" t="str">
        <f t="array" ref="M548">IF(NOW()&gt;AX548,"",IF(AND((WEEKDAY($A548)+$B$2)&gt;1,((WEEKDAY($A548)+$T$2)&lt;7),(WEEKDAY($A548)&lt;&gt;1)),"work",(INDEX(Subject!$A:$I,MATCH(RANDBETWEEN(1,(MAX(Subject!$B:$B))),Subject!$B:$B,0),3))))</f>
        <v/>
      </c>
      <c r="N548" s="2" t="str">
        <f t="array" ref="N548">IF(NOW()&gt;AY548,"",IF(AND((WEEKDAY($A548)+$B$2)&gt;1,((WEEKDAY($A548)+$T$2)&lt;7),(WEEKDAY($A548)&lt;&gt;1)),"work",(INDEX(Subject!$A:$I,MATCH(RANDBETWEEN(1,(MAX(Subject!$B:$B))),Subject!$B:$B,0),3))))</f>
        <v/>
      </c>
      <c r="O548" s="2" t="str">
        <f t="array" ref="O548">IF(NOW()&gt;AZ548,"",IF(AND((WEEKDAY($A548)+$B$2)&gt;1,((WEEKDAY($A548)+$T$2)&lt;7),(WEEKDAY($A548)&lt;&gt;1)),"work",(INDEX(Subject!$A:$I,MATCH(RANDBETWEEN(1,(MAX(Subject!$B:$B))),Subject!$B:$B,0),3))))</f>
        <v/>
      </c>
      <c r="P548" s="2" t="str">
        <f t="array" ref="P548">IF(NOW()&gt;BA548,"",IF(AND((WEEKDAY($A548)+$B$2)&gt;1,((WEEKDAY($A548)+$T$2)&lt;7),(WEEKDAY($A548)&lt;&gt;1)),"work",(INDEX(Subject!$A:$I,MATCH(RANDBETWEEN(1,(MAX(Subject!$B:$B))),Subject!$B:$B,0),3))))</f>
        <v/>
      </c>
      <c r="Q548" s="2" t="str">
        <f t="array" ref="Q548">IF(NOW()&gt;BB548,"",IF(AND((WEEKDAY($A548)+$B$2)&gt;1,((WEEKDAY($A548)+$T$2)&lt;7),(WEEKDAY($A548)&lt;&gt;1)),"work",(INDEX(Subject!$A:$I,MATCH(RANDBETWEEN(1,(MAX(Subject!$B:$B))),Subject!$B:$B,0),3))))</f>
        <v/>
      </c>
      <c r="R548" s="2" t="str">
        <f t="array" ref="R548">IF(NOW()&gt;BC548,"",IF(AND((WEEKDAY($A548)+$B$2)&gt;1,((WEEKDAY($A548)+$T$2)&lt;7),(WEEKDAY($A548)&lt;&gt;1)),"work",(INDEX(Subject!$A:$I,MATCH(RANDBETWEEN(1,(MAX(Subject!$B:$B))),Subject!$B:$B,0),3))))</f>
        <v/>
      </c>
      <c r="S548" s="2" t="str">
        <f t="array" ref="S548">IF(NOW()&gt;BD548,"",IF(AND((WEEKDAY($A548)+$B$2)&gt;1,((WEEKDAY($A548)+$T$2)&lt;7),(WEEKDAY($A548)&lt;&gt;1)),"work",(INDEX(Subject!$A:$I,MATCH(RANDBETWEEN(1,(MAX(Subject!$B:$B))),Subject!$B:$B,0),3))))</f>
        <v/>
      </c>
      <c r="T548" s="2" t="str">
        <f t="array" ref="T548">IF(NOW()&gt;BE548,"",IF(AND((WEEKDAY($A548)+$B$2)&gt;1,((WEEKDAY($A548)+$T$2)&lt;7),(WEEKDAY($A548)&lt;&gt;1)),"work",(INDEX(Subject!$A:$I,MATCH(RANDBETWEEN(1,(MAX(Subject!$B:$B))),Subject!$B:$B,0),3))))</f>
        <v/>
      </c>
      <c r="U548" s="8" t="str">
        <f t="array" ref="U548">INDEX(Subject!$A:$I,MATCH(RANDBETWEEN(1,16),Subject!$B:$B,0),3)</f>
        <v>#N/A</v>
      </c>
      <c r="V548" s="8" t="str">
        <f t="array" ref="V548">INDEX(Subject!$A:$I,MATCH(RANDBETWEEN(1,16),Subject!$B:$B,0),3)</f>
        <v>#N/A</v>
      </c>
      <c r="W548" s="8" t="str">
        <f t="array" ref="W548">INDEX(Subject!$A:$I,MATCH(RANDBETWEEN(1,16),Subject!$B:$B,0),3)</f>
        <v>#N/A</v>
      </c>
      <c r="X548" s="8" t="str">
        <f t="array" ref="X548">INDEX(Subject!$A:$I,MATCH(RANDBETWEEN(1,16),Subject!$B:$B,0),3)</f>
        <v>#N/A</v>
      </c>
      <c r="Y548" s="8" t="str">
        <f t="array" ref="Y548">INDEX(Subject!$A:$I,MATCH(RANDBETWEEN(1,16),Subject!$B:$B,0),3)</f>
        <v>#N/A</v>
      </c>
      <c r="Z548" s="8" t="str">
        <f t="array" ref="Z548">INDEX(Subject!$A:$I,MATCH(RANDBETWEEN(1,16),Subject!$B:$B,0),3)</f>
        <v>#N/A</v>
      </c>
      <c r="AA548" s="8" t="str">
        <f t="array" ref="AA548">INDEX(Subject!$A:$I,MATCH(RANDBETWEEN(1,16),Subject!$B:$B,0),3)</f>
        <v/>
      </c>
      <c r="AB548" s="8" t="str">
        <f t="array" ref="AB548">INDEX(Subject!$A:$I,MATCH(RANDBETWEEN(1,16),Subject!$B:$B,0),3)</f>
        <v>#N/A</v>
      </c>
      <c r="AC548" s="8" t="str">
        <f t="array" ref="AC548">INDEX(Subject!$A:$I,MATCH(RANDBETWEEN(1,16),Subject!$B:$B,0),3)</f>
        <v>#N/A</v>
      </c>
      <c r="AD548" s="8" t="str">
        <f t="array" ref="AD548">INDEX(Subject!$A:$I,MATCH(RANDBETWEEN(1,16),Subject!$B:$B,0),3)</f>
        <v>#N/A</v>
      </c>
      <c r="AE548" s="8" t="str">
        <f t="array" ref="AE548">INDEX(Subject!$A:$I,MATCH(RANDBETWEEN(1,16),Subject!$B:$B,0),3)</f>
        <v>#N/A</v>
      </c>
      <c r="AF548" s="8" t="str">
        <f t="array" ref="AF548">INDEX(Subject!$A:$I,MATCH(RANDBETWEEN(1,16),Subject!$B:$B,0),3)</f>
        <v>#N/A</v>
      </c>
      <c r="AG548" s="8" t="str">
        <f t="array" ref="AG548">INDEX(Subject!$A:$I,MATCH(RANDBETWEEN(1,16),Subject!$B:$B,0),3)</f>
        <v>#N/A</v>
      </c>
      <c r="AH548" s="8" t="str">
        <f t="array" ref="AH548">INDEX(Subject!$A:$I,MATCH(RANDBETWEEN(1,16),Subject!$B:$B,0),3)</f>
        <v>#N/A</v>
      </c>
      <c r="AI548" s="8" t="str">
        <f t="array" ref="AI548">INDEX(Subject!$A:$I,MATCH(RANDBETWEEN(1,16),Subject!$B:$B,0),3)</f>
        <v>#N/A</v>
      </c>
      <c r="AJ548" s="8" t="str">
        <f t="array" ref="AJ548">INDEX(Subject!$A:$I,MATCH(RANDBETWEEN(1,16),Subject!$B:$B,0),3)</f>
        <v>#N/A</v>
      </c>
      <c r="AK548" s="8" t="str">
        <f t="array" ref="AK548">INDEX(Subject!$A:$I,MATCH(RANDBETWEEN(1,16),Subject!$B:$B,0),3)</f>
        <v>#N/A</v>
      </c>
      <c r="AL548" s="8" t="str">
        <f t="array" ref="AL548">INDEX(Subject!$A:$I,MATCH(RANDBETWEEN(1,16),Subject!$B:$B,0),3)</f>
        <v>#N/A</v>
      </c>
      <c r="AM548" s="18">
        <f t="shared" si="4"/>
        <v>46048.33333</v>
      </c>
      <c r="AN548" s="19">
        <f t="shared" ref="AN548:BZ548" si="548">$A548+C$1</f>
        <v>46048.35417</v>
      </c>
      <c r="AO548" s="19">
        <f t="shared" si="548"/>
        <v>46048.375</v>
      </c>
      <c r="AP548" s="19">
        <f t="shared" si="548"/>
        <v>46048.39583</v>
      </c>
      <c r="AQ548" s="19">
        <f t="shared" si="548"/>
        <v>46048.41667</v>
      </c>
      <c r="AR548" s="19">
        <f t="shared" si="548"/>
        <v>46048.4375</v>
      </c>
      <c r="AS548" s="19">
        <f t="shared" si="548"/>
        <v>46048.45833</v>
      </c>
      <c r="AT548" s="19">
        <f t="shared" si="548"/>
        <v>46048.47917</v>
      </c>
      <c r="AU548" s="19">
        <f t="shared" si="548"/>
        <v>46048.5</v>
      </c>
      <c r="AV548" s="19">
        <f t="shared" si="548"/>
        <v>46048.52083</v>
      </c>
      <c r="AW548" s="19">
        <f t="shared" si="548"/>
        <v>46048.54167</v>
      </c>
      <c r="AX548" s="19">
        <f t="shared" si="548"/>
        <v>46048.5625</v>
      </c>
      <c r="AY548" s="19">
        <f t="shared" si="548"/>
        <v>46048.58333</v>
      </c>
      <c r="AZ548" s="19">
        <f t="shared" si="548"/>
        <v>46048.60417</v>
      </c>
      <c r="BA548" s="19">
        <f t="shared" si="548"/>
        <v>46048.625</v>
      </c>
      <c r="BB548" s="19">
        <f t="shared" si="548"/>
        <v>46048.64583</v>
      </c>
      <c r="BC548" s="19">
        <f t="shared" si="548"/>
        <v>46048.66667</v>
      </c>
      <c r="BD548" s="19">
        <f t="shared" si="548"/>
        <v>46048.6875</v>
      </c>
      <c r="BE548" s="19">
        <f t="shared" si="548"/>
        <v>46048.70833</v>
      </c>
      <c r="BF548" s="19">
        <f t="shared" si="548"/>
        <v>46048.72917</v>
      </c>
      <c r="BG548" s="19">
        <f t="shared" si="548"/>
        <v>46048.75</v>
      </c>
      <c r="BH548" s="19">
        <f t="shared" si="548"/>
        <v>46048.77083</v>
      </c>
      <c r="BI548" s="19">
        <f t="shared" si="548"/>
        <v>46048.79167</v>
      </c>
      <c r="BJ548" s="19">
        <f t="shared" si="548"/>
        <v>46048.8125</v>
      </c>
      <c r="BK548" s="19">
        <f t="shared" si="548"/>
        <v>46048.83333</v>
      </c>
      <c r="BL548" s="19">
        <f t="shared" si="548"/>
        <v>46048.85417</v>
      </c>
      <c r="BM548" s="19">
        <f t="shared" si="548"/>
        <v>46048.875</v>
      </c>
      <c r="BN548" s="19">
        <f t="shared" si="548"/>
        <v>46048.89583</v>
      </c>
      <c r="BO548" s="19">
        <f t="shared" si="548"/>
        <v>46048.91667</v>
      </c>
      <c r="BP548" s="19">
        <f t="shared" si="548"/>
        <v>46048.9375</v>
      </c>
      <c r="BQ548" s="19">
        <f t="shared" si="548"/>
        <v>46048.95833</v>
      </c>
      <c r="BR548" s="19">
        <f t="shared" si="548"/>
        <v>46048.97917</v>
      </c>
      <c r="BS548" s="19">
        <f t="shared" si="548"/>
        <v>46049</v>
      </c>
      <c r="BT548" s="19">
        <f t="shared" si="548"/>
        <v>46049.02083</v>
      </c>
      <c r="BU548" s="19">
        <f t="shared" si="548"/>
        <v>46049.04167</v>
      </c>
      <c r="BV548" s="19">
        <f t="shared" si="548"/>
        <v>46049.0625</v>
      </c>
      <c r="BW548" s="19">
        <f t="shared" si="548"/>
        <v>46049.08333</v>
      </c>
      <c r="BX548" s="19">
        <f t="shared" si="548"/>
        <v>46048</v>
      </c>
      <c r="BY548" s="19">
        <f t="shared" si="548"/>
        <v>46048</v>
      </c>
      <c r="BZ548" s="19">
        <f t="shared" si="548"/>
        <v>46048</v>
      </c>
    </row>
    <row r="549" ht="14.25" customHeight="1">
      <c r="A549" s="17">
        <v>46049.0</v>
      </c>
      <c r="B549" s="2" t="str">
        <f t="array" ref="B549">IF(NOW()&gt;AM549,"",IF(AND((WEEKDAY($A549)+$B$2)&gt;1,((WEEKDAY($A549)+$T$2)&lt;7),(WEEKDAY($A549)&lt;&gt;1)),"work",(INDEX(Subject!$A:$I,MATCH(RANDBETWEEN(1,(MAX(Subject!$B:$B))),Subject!$B:$B,0),3))))</f>
        <v/>
      </c>
      <c r="C549" s="2" t="str">
        <f t="array" ref="C549">IF(NOW()&gt;AN549,"",IF(AND((WEEKDAY($A549)+$B$2)&gt;1,((WEEKDAY($A549)+$T$2)&lt;7),(WEEKDAY($A549)&lt;&gt;1)),"work",(INDEX(Subject!$A:$I,MATCH(RANDBETWEEN(1,(MAX(Subject!$B:$B))),Subject!$B:$B,0),3))))</f>
        <v/>
      </c>
      <c r="D549" s="2" t="str">
        <f t="array" ref="D549">IF(NOW()&gt;AO549,"",IF(AND((WEEKDAY($A549)+$B$2)&gt;1,((WEEKDAY($A549)+$T$2)&lt;7),(WEEKDAY($A549)&lt;&gt;1)),"work",(INDEX(Subject!$A:$I,MATCH(RANDBETWEEN(1,(MAX(Subject!$B:$B))),Subject!$B:$B,0),3))))</f>
        <v/>
      </c>
      <c r="E549" s="2" t="str">
        <f t="array" ref="E549">IF(NOW()&gt;AP549,"",IF(AND((WEEKDAY($A549)+$B$2)&gt;1,((WEEKDAY($A549)+$T$2)&lt;7),(WEEKDAY($A549)&lt;&gt;1)),"work",(INDEX(Subject!$A:$I,MATCH(RANDBETWEEN(1,(MAX(Subject!$B:$B))),Subject!$B:$B,0),3))))</f>
        <v/>
      </c>
      <c r="F549" s="2" t="str">
        <f t="array" ref="F549">IF(NOW()&gt;AQ549,"",IF(AND((WEEKDAY($A549)+$B$2)&gt;1,((WEEKDAY($A549)+$T$2)&lt;7),(WEEKDAY($A549)&lt;&gt;1)),"work",(INDEX(Subject!$A:$I,MATCH(RANDBETWEEN(1,(MAX(Subject!$B:$B))),Subject!$B:$B,0),3))))</f>
        <v/>
      </c>
      <c r="G549" s="2" t="str">
        <f t="array" ref="G549">IF(NOW()&gt;AR549,"",IF(AND((WEEKDAY($A549)+$B$2)&gt;1,((WEEKDAY($A549)+$T$2)&lt;7),(WEEKDAY($A549)&lt;&gt;1)),"work",(INDEX(Subject!$A:$I,MATCH(RANDBETWEEN(1,(MAX(Subject!$B:$B))),Subject!$B:$B,0),3))))</f>
        <v/>
      </c>
      <c r="H549" s="2" t="str">
        <f t="array" ref="H549">IF(NOW()&gt;AS549,"",IF(AND((WEEKDAY($A549)+$B$2)&gt;1,((WEEKDAY($A549)+$T$2)&lt;7),(WEEKDAY($A549)&lt;&gt;1)),"work",(INDEX(Subject!$A:$I,MATCH(RANDBETWEEN(1,(MAX(Subject!$B:$B))),Subject!$B:$B,0),3))))</f>
        <v/>
      </c>
      <c r="I549" s="2" t="str">
        <f t="array" ref="I549">IF(NOW()&gt;AT549,"",IF(AND((WEEKDAY($A549)+$B$2)&gt;1,((WEEKDAY($A549)+$T$2)&lt;7),(WEEKDAY($A549)&lt;&gt;1)),"work",(INDEX(Subject!$A:$I,MATCH(RANDBETWEEN(1,(MAX(Subject!$B:$B))),Subject!$B:$B,0),3))))</f>
        <v/>
      </c>
      <c r="J549" s="2" t="str">
        <f t="array" ref="J549">IF(NOW()&gt;AU549,"",IF(AND((WEEKDAY($A549)+$B$2)&gt;1,((WEEKDAY($A549)+$T$2)&lt;7),(WEEKDAY($A549)&lt;&gt;1)),"work",(INDEX(Subject!$A:$I,MATCH(RANDBETWEEN(1,(MAX(Subject!$B:$B))),Subject!$B:$B,0),3))))</f>
        <v/>
      </c>
      <c r="K549" s="2" t="str">
        <f t="array" ref="K549">IF(NOW()&gt;AV549,"",IF(AND((WEEKDAY($A549)+$B$2)&gt;1,((WEEKDAY($A549)+$T$2)&lt;7),(WEEKDAY($A549)&lt;&gt;1)),"work",(INDEX(Subject!$A:$I,MATCH(RANDBETWEEN(1,(MAX(Subject!$B:$B))),Subject!$B:$B,0),3))))</f>
        <v/>
      </c>
      <c r="L549" s="2" t="str">
        <f t="array" ref="L549">IF(NOW()&gt;AW549,"",IF(AND((WEEKDAY($A549)+$B$2)&gt;1,((WEEKDAY($A549)+$T$2)&lt;7),(WEEKDAY($A549)&lt;&gt;1)),"work",(INDEX(Subject!$A:$I,MATCH(RANDBETWEEN(1,(MAX(Subject!$B:$B))),Subject!$B:$B,0),3))))</f>
        <v/>
      </c>
      <c r="M549" s="2" t="str">
        <f t="array" ref="M549">IF(NOW()&gt;AX549,"",IF(AND((WEEKDAY($A549)+$B$2)&gt;1,((WEEKDAY($A549)+$T$2)&lt;7),(WEEKDAY($A549)&lt;&gt;1)),"work",(INDEX(Subject!$A:$I,MATCH(RANDBETWEEN(1,(MAX(Subject!$B:$B))),Subject!$B:$B,0),3))))</f>
        <v/>
      </c>
      <c r="N549" s="2" t="str">
        <f t="array" ref="N549">IF(NOW()&gt;AY549,"",IF(AND((WEEKDAY($A549)+$B$2)&gt;1,((WEEKDAY($A549)+$T$2)&lt;7),(WEEKDAY($A549)&lt;&gt;1)),"work",(INDEX(Subject!$A:$I,MATCH(RANDBETWEEN(1,(MAX(Subject!$B:$B))),Subject!$B:$B,0),3))))</f>
        <v/>
      </c>
      <c r="O549" s="2" t="str">
        <f t="array" ref="O549">IF(NOW()&gt;AZ549,"",IF(AND((WEEKDAY($A549)+$B$2)&gt;1,((WEEKDAY($A549)+$T$2)&lt;7),(WEEKDAY($A549)&lt;&gt;1)),"work",(INDEX(Subject!$A:$I,MATCH(RANDBETWEEN(1,(MAX(Subject!$B:$B))),Subject!$B:$B,0),3))))</f>
        <v/>
      </c>
      <c r="P549" s="2" t="str">
        <f t="array" ref="P549">IF(NOW()&gt;BA549,"",IF(AND((WEEKDAY($A549)+$B$2)&gt;1,((WEEKDAY($A549)+$T$2)&lt;7),(WEEKDAY($A549)&lt;&gt;1)),"work",(INDEX(Subject!$A:$I,MATCH(RANDBETWEEN(1,(MAX(Subject!$B:$B))),Subject!$B:$B,0),3))))</f>
        <v/>
      </c>
      <c r="Q549" s="2" t="str">
        <f t="array" ref="Q549">IF(NOW()&gt;BB549,"",IF(AND((WEEKDAY($A549)+$B$2)&gt;1,((WEEKDAY($A549)+$T$2)&lt;7),(WEEKDAY($A549)&lt;&gt;1)),"work",(INDEX(Subject!$A:$I,MATCH(RANDBETWEEN(1,(MAX(Subject!$B:$B))),Subject!$B:$B,0),3))))</f>
        <v/>
      </c>
      <c r="R549" s="2" t="str">
        <f t="array" ref="R549">IF(NOW()&gt;BC549,"",IF(AND((WEEKDAY($A549)+$B$2)&gt;1,((WEEKDAY($A549)+$T$2)&lt;7),(WEEKDAY($A549)&lt;&gt;1)),"work",(INDEX(Subject!$A:$I,MATCH(RANDBETWEEN(1,(MAX(Subject!$B:$B))),Subject!$B:$B,0),3))))</f>
        <v/>
      </c>
      <c r="S549" s="2" t="str">
        <f t="array" ref="S549">IF(NOW()&gt;BD549,"",IF(AND((WEEKDAY($A549)+$B$2)&gt;1,((WEEKDAY($A549)+$T$2)&lt;7),(WEEKDAY($A549)&lt;&gt;1)),"work",(INDEX(Subject!$A:$I,MATCH(RANDBETWEEN(1,(MAX(Subject!$B:$B))),Subject!$B:$B,0),3))))</f>
        <v/>
      </c>
      <c r="T549" s="2" t="str">
        <f t="array" ref="T549">IF(NOW()&gt;BE549,"",IF(AND((WEEKDAY($A549)+$B$2)&gt;1,((WEEKDAY($A549)+$T$2)&lt;7),(WEEKDAY($A549)&lt;&gt;1)),"work",(INDEX(Subject!$A:$I,MATCH(RANDBETWEEN(1,(MAX(Subject!$B:$B))),Subject!$B:$B,0),3))))</f>
        <v/>
      </c>
      <c r="U549" s="8" t="str">
        <f t="array" ref="U549">INDEX(Subject!$A:$I,MATCH(RANDBETWEEN(1,16),Subject!$B:$B,0),3)</f>
        <v>#N/A</v>
      </c>
      <c r="V549" s="8" t="str">
        <f t="array" ref="V549">INDEX(Subject!$A:$I,MATCH(RANDBETWEEN(1,16),Subject!$B:$B,0),3)</f>
        <v>#N/A</v>
      </c>
      <c r="W549" s="8" t="str">
        <f t="array" ref="W549">INDEX(Subject!$A:$I,MATCH(RANDBETWEEN(1,16),Subject!$B:$B,0),3)</f>
        <v>#N/A</v>
      </c>
      <c r="X549" s="8" t="str">
        <f t="array" ref="X549">INDEX(Subject!$A:$I,MATCH(RANDBETWEEN(1,16),Subject!$B:$B,0),3)</f>
        <v>#N/A</v>
      </c>
      <c r="Y549" s="8" t="str">
        <f t="array" ref="Y549">INDEX(Subject!$A:$I,MATCH(RANDBETWEEN(1,16),Subject!$B:$B,0),3)</f>
        <v>#N/A</v>
      </c>
      <c r="Z549" s="8" t="str">
        <f t="array" ref="Z549">INDEX(Subject!$A:$I,MATCH(RANDBETWEEN(1,16),Subject!$B:$B,0),3)</f>
        <v>#N/A</v>
      </c>
      <c r="AA549" s="8" t="str">
        <f t="array" ref="AA549">INDEX(Subject!$A:$I,MATCH(RANDBETWEEN(1,16),Subject!$B:$B,0),3)</f>
        <v>#N/A</v>
      </c>
      <c r="AB549" s="8" t="str">
        <f t="array" ref="AB549">INDEX(Subject!$A:$I,MATCH(RANDBETWEEN(1,16),Subject!$B:$B,0),3)</f>
        <v>#N/A</v>
      </c>
      <c r="AC549" s="8" t="str">
        <f t="array" ref="AC549">INDEX(Subject!$A:$I,MATCH(RANDBETWEEN(1,16),Subject!$B:$B,0),3)</f>
        <v>#N/A</v>
      </c>
      <c r="AD549" s="8" t="str">
        <f t="array" ref="AD549">INDEX(Subject!$A:$I,MATCH(RANDBETWEEN(1,16),Subject!$B:$B,0),3)</f>
        <v>#N/A</v>
      </c>
      <c r="AE549" s="8" t="str">
        <f t="array" ref="AE549">INDEX(Subject!$A:$I,MATCH(RANDBETWEEN(1,16),Subject!$B:$B,0),3)</f>
        <v>#N/A</v>
      </c>
      <c r="AF549" s="8" t="str">
        <f t="array" ref="AF549">INDEX(Subject!$A:$I,MATCH(RANDBETWEEN(1,16),Subject!$B:$B,0),3)</f>
        <v>#N/A</v>
      </c>
      <c r="AG549" s="8" t="str">
        <f t="array" ref="AG549">INDEX(Subject!$A:$I,MATCH(RANDBETWEEN(1,16),Subject!$B:$B,0),3)</f>
        <v>#N/A</v>
      </c>
      <c r="AH549" s="8" t="str">
        <f t="array" ref="AH549">INDEX(Subject!$A:$I,MATCH(RANDBETWEEN(1,16),Subject!$B:$B,0),3)</f>
        <v>#N/A</v>
      </c>
      <c r="AI549" s="8" t="str">
        <f t="array" ref="AI549">INDEX(Subject!$A:$I,MATCH(RANDBETWEEN(1,16),Subject!$B:$B,0),3)</f>
        <v>#N/A</v>
      </c>
      <c r="AJ549" s="8" t="str">
        <f t="array" ref="AJ549">INDEX(Subject!$A:$I,MATCH(RANDBETWEEN(1,16),Subject!$B:$B,0),3)</f>
        <v/>
      </c>
      <c r="AK549" s="8" t="str">
        <f t="array" ref="AK549">INDEX(Subject!$A:$I,MATCH(RANDBETWEEN(1,16),Subject!$B:$B,0),3)</f>
        <v>#N/A</v>
      </c>
      <c r="AL549" s="8" t="str">
        <f t="array" ref="AL549">INDEX(Subject!$A:$I,MATCH(RANDBETWEEN(1,16),Subject!$B:$B,0),3)</f>
        <v>#N/A</v>
      </c>
      <c r="AM549" s="18">
        <f t="shared" si="4"/>
        <v>46049.33333</v>
      </c>
      <c r="AN549" s="19">
        <f t="shared" ref="AN549:BZ549" si="549">$A549+C$1</f>
        <v>46049.35417</v>
      </c>
      <c r="AO549" s="19">
        <f t="shared" si="549"/>
        <v>46049.375</v>
      </c>
      <c r="AP549" s="19">
        <f t="shared" si="549"/>
        <v>46049.39583</v>
      </c>
      <c r="AQ549" s="19">
        <f t="shared" si="549"/>
        <v>46049.41667</v>
      </c>
      <c r="AR549" s="19">
        <f t="shared" si="549"/>
        <v>46049.4375</v>
      </c>
      <c r="AS549" s="19">
        <f t="shared" si="549"/>
        <v>46049.45833</v>
      </c>
      <c r="AT549" s="19">
        <f t="shared" si="549"/>
        <v>46049.47917</v>
      </c>
      <c r="AU549" s="19">
        <f t="shared" si="549"/>
        <v>46049.5</v>
      </c>
      <c r="AV549" s="19">
        <f t="shared" si="549"/>
        <v>46049.52083</v>
      </c>
      <c r="AW549" s="19">
        <f t="shared" si="549"/>
        <v>46049.54167</v>
      </c>
      <c r="AX549" s="19">
        <f t="shared" si="549"/>
        <v>46049.5625</v>
      </c>
      <c r="AY549" s="19">
        <f t="shared" si="549"/>
        <v>46049.58333</v>
      </c>
      <c r="AZ549" s="19">
        <f t="shared" si="549"/>
        <v>46049.60417</v>
      </c>
      <c r="BA549" s="19">
        <f t="shared" si="549"/>
        <v>46049.625</v>
      </c>
      <c r="BB549" s="19">
        <f t="shared" si="549"/>
        <v>46049.64583</v>
      </c>
      <c r="BC549" s="19">
        <f t="shared" si="549"/>
        <v>46049.66667</v>
      </c>
      <c r="BD549" s="19">
        <f t="shared" si="549"/>
        <v>46049.6875</v>
      </c>
      <c r="BE549" s="19">
        <f t="shared" si="549"/>
        <v>46049.70833</v>
      </c>
      <c r="BF549" s="19">
        <f t="shared" si="549"/>
        <v>46049.72917</v>
      </c>
      <c r="BG549" s="19">
        <f t="shared" si="549"/>
        <v>46049.75</v>
      </c>
      <c r="BH549" s="19">
        <f t="shared" si="549"/>
        <v>46049.77083</v>
      </c>
      <c r="BI549" s="19">
        <f t="shared" si="549"/>
        <v>46049.79167</v>
      </c>
      <c r="BJ549" s="19">
        <f t="shared" si="549"/>
        <v>46049.8125</v>
      </c>
      <c r="BK549" s="19">
        <f t="shared" si="549"/>
        <v>46049.83333</v>
      </c>
      <c r="BL549" s="19">
        <f t="shared" si="549"/>
        <v>46049.85417</v>
      </c>
      <c r="BM549" s="19">
        <f t="shared" si="549"/>
        <v>46049.875</v>
      </c>
      <c r="BN549" s="19">
        <f t="shared" si="549"/>
        <v>46049.89583</v>
      </c>
      <c r="BO549" s="19">
        <f t="shared" si="549"/>
        <v>46049.91667</v>
      </c>
      <c r="BP549" s="19">
        <f t="shared" si="549"/>
        <v>46049.9375</v>
      </c>
      <c r="BQ549" s="19">
        <f t="shared" si="549"/>
        <v>46049.95833</v>
      </c>
      <c r="BR549" s="19">
        <f t="shared" si="549"/>
        <v>46049.97917</v>
      </c>
      <c r="BS549" s="19">
        <f t="shared" si="549"/>
        <v>46050</v>
      </c>
      <c r="BT549" s="19">
        <f t="shared" si="549"/>
        <v>46050.02083</v>
      </c>
      <c r="BU549" s="19">
        <f t="shared" si="549"/>
        <v>46050.04167</v>
      </c>
      <c r="BV549" s="19">
        <f t="shared" si="549"/>
        <v>46050.0625</v>
      </c>
      <c r="BW549" s="19">
        <f t="shared" si="549"/>
        <v>46050.08333</v>
      </c>
      <c r="BX549" s="19">
        <f t="shared" si="549"/>
        <v>46049</v>
      </c>
      <c r="BY549" s="19">
        <f t="shared" si="549"/>
        <v>46049</v>
      </c>
      <c r="BZ549" s="19">
        <f t="shared" si="549"/>
        <v>46049</v>
      </c>
    </row>
    <row r="550" ht="14.25" customHeight="1">
      <c r="A550" s="17">
        <v>46050.0</v>
      </c>
      <c r="B550" s="2" t="str">
        <f t="array" ref="B550">IF(NOW()&gt;AM550,"",IF(AND((WEEKDAY($A550)+$B$2)&gt;1,((WEEKDAY($A550)+$T$2)&lt;7),(WEEKDAY($A550)&lt;&gt;1)),"work",(INDEX(Subject!$A:$I,MATCH(RANDBETWEEN(1,(MAX(Subject!$B:$B))),Subject!$B:$B,0),3))))</f>
        <v/>
      </c>
      <c r="C550" s="2" t="str">
        <f t="array" ref="C550">IF(NOW()&gt;AN550,"",IF(AND((WEEKDAY($A550)+$B$2)&gt;1,((WEEKDAY($A550)+$T$2)&lt;7),(WEEKDAY($A550)&lt;&gt;1)),"work",(INDEX(Subject!$A:$I,MATCH(RANDBETWEEN(1,(MAX(Subject!$B:$B))),Subject!$B:$B,0),3))))</f>
        <v/>
      </c>
      <c r="D550" s="2" t="str">
        <f t="array" ref="D550">IF(NOW()&gt;AO550,"",IF(AND((WEEKDAY($A550)+$B$2)&gt;1,((WEEKDAY($A550)+$T$2)&lt;7),(WEEKDAY($A550)&lt;&gt;1)),"work",(INDEX(Subject!$A:$I,MATCH(RANDBETWEEN(1,(MAX(Subject!$B:$B))),Subject!$B:$B,0),3))))</f>
        <v/>
      </c>
      <c r="E550" s="2" t="str">
        <f t="array" ref="E550">IF(NOW()&gt;AP550,"",IF(AND((WEEKDAY($A550)+$B$2)&gt;1,((WEEKDAY($A550)+$T$2)&lt;7),(WEEKDAY($A550)&lt;&gt;1)),"work",(INDEX(Subject!$A:$I,MATCH(RANDBETWEEN(1,(MAX(Subject!$B:$B))),Subject!$B:$B,0),3))))</f>
        <v/>
      </c>
      <c r="F550" s="2" t="str">
        <f t="array" ref="F550">IF(NOW()&gt;AQ550,"",IF(AND((WEEKDAY($A550)+$B$2)&gt;1,((WEEKDAY($A550)+$T$2)&lt;7),(WEEKDAY($A550)&lt;&gt;1)),"work",(INDEX(Subject!$A:$I,MATCH(RANDBETWEEN(1,(MAX(Subject!$B:$B))),Subject!$B:$B,0),3))))</f>
        <v/>
      </c>
      <c r="G550" s="2" t="str">
        <f t="array" ref="G550">IF(NOW()&gt;AR550,"",IF(AND((WEEKDAY($A550)+$B$2)&gt;1,((WEEKDAY($A550)+$T$2)&lt;7),(WEEKDAY($A550)&lt;&gt;1)),"work",(INDEX(Subject!$A:$I,MATCH(RANDBETWEEN(1,(MAX(Subject!$B:$B))),Subject!$B:$B,0),3))))</f>
        <v/>
      </c>
      <c r="H550" s="2" t="str">
        <f t="array" ref="H550">IF(NOW()&gt;AS550,"",IF(AND((WEEKDAY($A550)+$B$2)&gt;1,((WEEKDAY($A550)+$T$2)&lt;7),(WEEKDAY($A550)&lt;&gt;1)),"work",(INDEX(Subject!$A:$I,MATCH(RANDBETWEEN(1,(MAX(Subject!$B:$B))),Subject!$B:$B,0),3))))</f>
        <v/>
      </c>
      <c r="I550" s="2" t="str">
        <f t="array" ref="I550">IF(NOW()&gt;AT550,"",IF(AND((WEEKDAY($A550)+$B$2)&gt;1,((WEEKDAY($A550)+$T$2)&lt;7),(WEEKDAY($A550)&lt;&gt;1)),"work",(INDEX(Subject!$A:$I,MATCH(RANDBETWEEN(1,(MAX(Subject!$B:$B))),Subject!$B:$B,0),3))))</f>
        <v/>
      </c>
      <c r="J550" s="2" t="str">
        <f t="array" ref="J550">IF(NOW()&gt;AU550,"",IF(AND((WEEKDAY($A550)+$B$2)&gt;1,((WEEKDAY($A550)+$T$2)&lt;7),(WEEKDAY($A550)&lt;&gt;1)),"work",(INDEX(Subject!$A:$I,MATCH(RANDBETWEEN(1,(MAX(Subject!$B:$B))),Subject!$B:$B,0),3))))</f>
        <v/>
      </c>
      <c r="K550" s="2" t="str">
        <f t="array" ref="K550">IF(NOW()&gt;AV550,"",IF(AND((WEEKDAY($A550)+$B$2)&gt;1,((WEEKDAY($A550)+$T$2)&lt;7),(WEEKDAY($A550)&lt;&gt;1)),"work",(INDEX(Subject!$A:$I,MATCH(RANDBETWEEN(1,(MAX(Subject!$B:$B))),Subject!$B:$B,0),3))))</f>
        <v/>
      </c>
      <c r="L550" s="2" t="str">
        <f t="array" ref="L550">IF(NOW()&gt;AW550,"",IF(AND((WEEKDAY($A550)+$B$2)&gt;1,((WEEKDAY($A550)+$T$2)&lt;7),(WEEKDAY($A550)&lt;&gt;1)),"work",(INDEX(Subject!$A:$I,MATCH(RANDBETWEEN(1,(MAX(Subject!$B:$B))),Subject!$B:$B,0),3))))</f>
        <v/>
      </c>
      <c r="M550" s="2" t="str">
        <f t="array" ref="M550">IF(NOW()&gt;AX550,"",IF(AND((WEEKDAY($A550)+$B$2)&gt;1,((WEEKDAY($A550)+$T$2)&lt;7),(WEEKDAY($A550)&lt;&gt;1)),"work",(INDEX(Subject!$A:$I,MATCH(RANDBETWEEN(1,(MAX(Subject!$B:$B))),Subject!$B:$B,0),3))))</f>
        <v/>
      </c>
      <c r="N550" s="2" t="str">
        <f t="array" ref="N550">IF(NOW()&gt;AY550,"",IF(AND((WEEKDAY($A550)+$B$2)&gt;1,((WEEKDAY($A550)+$T$2)&lt;7),(WEEKDAY($A550)&lt;&gt;1)),"work",(INDEX(Subject!$A:$I,MATCH(RANDBETWEEN(1,(MAX(Subject!$B:$B))),Subject!$B:$B,0),3))))</f>
        <v/>
      </c>
      <c r="O550" s="2" t="str">
        <f t="array" ref="O550">IF(NOW()&gt;AZ550,"",IF(AND((WEEKDAY($A550)+$B$2)&gt;1,((WEEKDAY($A550)+$T$2)&lt;7),(WEEKDAY($A550)&lt;&gt;1)),"work",(INDEX(Subject!$A:$I,MATCH(RANDBETWEEN(1,(MAX(Subject!$B:$B))),Subject!$B:$B,0),3))))</f>
        <v/>
      </c>
      <c r="P550" s="2" t="str">
        <f t="array" ref="P550">IF(NOW()&gt;BA550,"",IF(AND((WEEKDAY($A550)+$B$2)&gt;1,((WEEKDAY($A550)+$T$2)&lt;7),(WEEKDAY($A550)&lt;&gt;1)),"work",(INDEX(Subject!$A:$I,MATCH(RANDBETWEEN(1,(MAX(Subject!$B:$B))),Subject!$B:$B,0),3))))</f>
        <v/>
      </c>
      <c r="Q550" s="2" t="str">
        <f t="array" ref="Q550">IF(NOW()&gt;BB550,"",IF(AND((WEEKDAY($A550)+$B$2)&gt;1,((WEEKDAY($A550)+$T$2)&lt;7),(WEEKDAY($A550)&lt;&gt;1)),"work",(INDEX(Subject!$A:$I,MATCH(RANDBETWEEN(1,(MAX(Subject!$B:$B))),Subject!$B:$B,0),3))))</f>
        <v/>
      </c>
      <c r="R550" s="2" t="str">
        <f t="array" ref="R550">IF(NOW()&gt;BC550,"",IF(AND((WEEKDAY($A550)+$B$2)&gt;1,((WEEKDAY($A550)+$T$2)&lt;7),(WEEKDAY($A550)&lt;&gt;1)),"work",(INDEX(Subject!$A:$I,MATCH(RANDBETWEEN(1,(MAX(Subject!$B:$B))),Subject!$B:$B,0),3))))</f>
        <v/>
      </c>
      <c r="S550" s="2" t="str">
        <f t="array" ref="S550">IF(NOW()&gt;BD550,"",IF(AND((WEEKDAY($A550)+$B$2)&gt;1,((WEEKDAY($A550)+$T$2)&lt;7),(WEEKDAY($A550)&lt;&gt;1)),"work",(INDEX(Subject!$A:$I,MATCH(RANDBETWEEN(1,(MAX(Subject!$B:$B))),Subject!$B:$B,0),3))))</f>
        <v/>
      </c>
      <c r="T550" s="2" t="str">
        <f t="array" ref="T550">IF(NOW()&gt;BE550,"",IF(AND((WEEKDAY($A550)+$B$2)&gt;1,((WEEKDAY($A550)+$T$2)&lt;7),(WEEKDAY($A550)&lt;&gt;1)),"work",(INDEX(Subject!$A:$I,MATCH(RANDBETWEEN(1,(MAX(Subject!$B:$B))),Subject!$B:$B,0),3))))</f>
        <v/>
      </c>
      <c r="U550" s="8" t="str">
        <f t="array" ref="U550">INDEX(Subject!$A:$I,MATCH(RANDBETWEEN(1,16),Subject!$B:$B,0),3)</f>
        <v>#N/A</v>
      </c>
      <c r="V550" s="8" t="str">
        <f t="array" ref="V550">INDEX(Subject!$A:$I,MATCH(RANDBETWEEN(1,16),Subject!$B:$B,0),3)</f>
        <v>#N/A</v>
      </c>
      <c r="W550" s="8" t="str">
        <f t="array" ref="W550">INDEX(Subject!$A:$I,MATCH(RANDBETWEEN(1,16),Subject!$B:$B,0),3)</f>
        <v>#N/A</v>
      </c>
      <c r="X550" s="8" t="str">
        <f t="array" ref="X550">INDEX(Subject!$A:$I,MATCH(RANDBETWEEN(1,16),Subject!$B:$B,0),3)</f>
        <v>#N/A</v>
      </c>
      <c r="Y550" s="8" t="str">
        <f t="array" ref="Y550">INDEX(Subject!$A:$I,MATCH(RANDBETWEEN(1,16),Subject!$B:$B,0),3)</f>
        <v>#N/A</v>
      </c>
      <c r="Z550" s="8" t="str">
        <f t="array" ref="Z550">INDEX(Subject!$A:$I,MATCH(RANDBETWEEN(1,16),Subject!$B:$B,0),3)</f>
        <v>#N/A</v>
      </c>
      <c r="AA550" s="8" t="str">
        <f t="array" ref="AA550">INDEX(Subject!$A:$I,MATCH(RANDBETWEEN(1,16),Subject!$B:$B,0),3)</f>
        <v>#N/A</v>
      </c>
      <c r="AB550" s="8" t="str">
        <f t="array" ref="AB550">INDEX(Subject!$A:$I,MATCH(RANDBETWEEN(1,16),Subject!$B:$B,0),3)</f>
        <v>#N/A</v>
      </c>
      <c r="AC550" s="8" t="str">
        <f t="array" ref="AC550">INDEX(Subject!$A:$I,MATCH(RANDBETWEEN(1,16),Subject!$B:$B,0),3)</f>
        <v>#N/A</v>
      </c>
      <c r="AD550" s="8" t="str">
        <f t="array" ref="AD550">INDEX(Subject!$A:$I,MATCH(RANDBETWEEN(1,16),Subject!$B:$B,0),3)</f>
        <v>#N/A</v>
      </c>
      <c r="AE550" s="8" t="str">
        <f t="array" ref="AE550">INDEX(Subject!$A:$I,MATCH(RANDBETWEEN(1,16),Subject!$B:$B,0),3)</f>
        <v>#N/A</v>
      </c>
      <c r="AF550" s="8" t="str">
        <f t="array" ref="AF550">INDEX(Subject!$A:$I,MATCH(RANDBETWEEN(1,16),Subject!$B:$B,0),3)</f>
        <v>#N/A</v>
      </c>
      <c r="AG550" s="8" t="str">
        <f t="array" ref="AG550">INDEX(Subject!$A:$I,MATCH(RANDBETWEEN(1,16),Subject!$B:$B,0),3)</f>
        <v>#N/A</v>
      </c>
      <c r="AH550" s="8" t="str">
        <f t="array" ref="AH550">INDEX(Subject!$A:$I,MATCH(RANDBETWEEN(1,16),Subject!$B:$B,0),3)</f>
        <v>#N/A</v>
      </c>
      <c r="AI550" s="8" t="str">
        <f t="array" ref="AI550">INDEX(Subject!$A:$I,MATCH(RANDBETWEEN(1,16),Subject!$B:$B,0),3)</f>
        <v>#N/A</v>
      </c>
      <c r="AJ550" s="8" t="str">
        <f t="array" ref="AJ550">INDEX(Subject!$A:$I,MATCH(RANDBETWEEN(1,16),Subject!$B:$B,0),3)</f>
        <v>#N/A</v>
      </c>
      <c r="AK550" s="8" t="str">
        <f t="array" ref="AK550">INDEX(Subject!$A:$I,MATCH(RANDBETWEEN(1,16),Subject!$B:$B,0),3)</f>
        <v>#N/A</v>
      </c>
      <c r="AL550" s="8" t="str">
        <f t="array" ref="AL550">INDEX(Subject!$A:$I,MATCH(RANDBETWEEN(1,16),Subject!$B:$B,0),3)</f>
        <v>#N/A</v>
      </c>
      <c r="AM550" s="18">
        <f t="shared" si="4"/>
        <v>46050.33333</v>
      </c>
      <c r="AN550" s="19">
        <f t="shared" ref="AN550:BZ550" si="550">$A550+C$1</f>
        <v>46050.35417</v>
      </c>
      <c r="AO550" s="19">
        <f t="shared" si="550"/>
        <v>46050.375</v>
      </c>
      <c r="AP550" s="19">
        <f t="shared" si="550"/>
        <v>46050.39583</v>
      </c>
      <c r="AQ550" s="19">
        <f t="shared" si="550"/>
        <v>46050.41667</v>
      </c>
      <c r="AR550" s="19">
        <f t="shared" si="550"/>
        <v>46050.4375</v>
      </c>
      <c r="AS550" s="19">
        <f t="shared" si="550"/>
        <v>46050.45833</v>
      </c>
      <c r="AT550" s="19">
        <f t="shared" si="550"/>
        <v>46050.47917</v>
      </c>
      <c r="AU550" s="19">
        <f t="shared" si="550"/>
        <v>46050.5</v>
      </c>
      <c r="AV550" s="19">
        <f t="shared" si="550"/>
        <v>46050.52083</v>
      </c>
      <c r="AW550" s="19">
        <f t="shared" si="550"/>
        <v>46050.54167</v>
      </c>
      <c r="AX550" s="19">
        <f t="shared" si="550"/>
        <v>46050.5625</v>
      </c>
      <c r="AY550" s="19">
        <f t="shared" si="550"/>
        <v>46050.58333</v>
      </c>
      <c r="AZ550" s="19">
        <f t="shared" si="550"/>
        <v>46050.60417</v>
      </c>
      <c r="BA550" s="19">
        <f t="shared" si="550"/>
        <v>46050.625</v>
      </c>
      <c r="BB550" s="19">
        <f t="shared" si="550"/>
        <v>46050.64583</v>
      </c>
      <c r="BC550" s="19">
        <f t="shared" si="550"/>
        <v>46050.66667</v>
      </c>
      <c r="BD550" s="19">
        <f t="shared" si="550"/>
        <v>46050.6875</v>
      </c>
      <c r="BE550" s="19">
        <f t="shared" si="550"/>
        <v>46050.70833</v>
      </c>
      <c r="BF550" s="19">
        <f t="shared" si="550"/>
        <v>46050.72917</v>
      </c>
      <c r="BG550" s="19">
        <f t="shared" si="550"/>
        <v>46050.75</v>
      </c>
      <c r="BH550" s="19">
        <f t="shared" si="550"/>
        <v>46050.77083</v>
      </c>
      <c r="BI550" s="19">
        <f t="shared" si="550"/>
        <v>46050.79167</v>
      </c>
      <c r="BJ550" s="19">
        <f t="shared" si="550"/>
        <v>46050.8125</v>
      </c>
      <c r="BK550" s="19">
        <f t="shared" si="550"/>
        <v>46050.83333</v>
      </c>
      <c r="BL550" s="19">
        <f t="shared" si="550"/>
        <v>46050.85417</v>
      </c>
      <c r="BM550" s="19">
        <f t="shared" si="550"/>
        <v>46050.875</v>
      </c>
      <c r="BN550" s="19">
        <f t="shared" si="550"/>
        <v>46050.89583</v>
      </c>
      <c r="BO550" s="19">
        <f t="shared" si="550"/>
        <v>46050.91667</v>
      </c>
      <c r="BP550" s="19">
        <f t="shared" si="550"/>
        <v>46050.9375</v>
      </c>
      <c r="BQ550" s="19">
        <f t="shared" si="550"/>
        <v>46050.95833</v>
      </c>
      <c r="BR550" s="19">
        <f t="shared" si="550"/>
        <v>46050.97917</v>
      </c>
      <c r="BS550" s="19">
        <f t="shared" si="550"/>
        <v>46051</v>
      </c>
      <c r="BT550" s="19">
        <f t="shared" si="550"/>
        <v>46051.02083</v>
      </c>
      <c r="BU550" s="19">
        <f t="shared" si="550"/>
        <v>46051.04167</v>
      </c>
      <c r="BV550" s="19">
        <f t="shared" si="550"/>
        <v>46051.0625</v>
      </c>
      <c r="BW550" s="19">
        <f t="shared" si="550"/>
        <v>46051.08333</v>
      </c>
      <c r="BX550" s="19">
        <f t="shared" si="550"/>
        <v>46050</v>
      </c>
      <c r="BY550" s="19">
        <f t="shared" si="550"/>
        <v>46050</v>
      </c>
      <c r="BZ550" s="19">
        <f t="shared" si="550"/>
        <v>46050</v>
      </c>
    </row>
    <row r="551" ht="14.25" customHeight="1">
      <c r="A551" s="17">
        <v>46051.0</v>
      </c>
      <c r="B551" s="2" t="str">
        <f t="array" ref="B551">IF(NOW()&gt;AM551,"",IF(AND((WEEKDAY($A551)+$B$2)&gt;1,((WEEKDAY($A551)+$T$2)&lt;7),(WEEKDAY($A551)&lt;&gt;1)),"work",(INDEX(Subject!$A:$I,MATCH(RANDBETWEEN(1,(MAX(Subject!$B:$B))),Subject!$B:$B,0),3))))</f>
        <v/>
      </c>
      <c r="C551" s="2" t="str">
        <f t="array" ref="C551">IF(NOW()&gt;AN551,"",IF(AND((WEEKDAY($A551)+$B$2)&gt;1,((WEEKDAY($A551)+$T$2)&lt;7),(WEEKDAY($A551)&lt;&gt;1)),"work",(INDEX(Subject!$A:$I,MATCH(RANDBETWEEN(1,(MAX(Subject!$B:$B))),Subject!$B:$B,0),3))))</f>
        <v/>
      </c>
      <c r="D551" s="2" t="str">
        <f t="array" ref="D551">IF(NOW()&gt;AO551,"",IF(AND((WEEKDAY($A551)+$B$2)&gt;1,((WEEKDAY($A551)+$T$2)&lt;7),(WEEKDAY($A551)&lt;&gt;1)),"work",(INDEX(Subject!$A:$I,MATCH(RANDBETWEEN(1,(MAX(Subject!$B:$B))),Subject!$B:$B,0),3))))</f>
        <v/>
      </c>
      <c r="E551" s="2" t="str">
        <f t="array" ref="E551">IF(NOW()&gt;AP551,"",IF(AND((WEEKDAY($A551)+$B$2)&gt;1,((WEEKDAY($A551)+$T$2)&lt;7),(WEEKDAY($A551)&lt;&gt;1)),"work",(INDEX(Subject!$A:$I,MATCH(RANDBETWEEN(1,(MAX(Subject!$B:$B))),Subject!$B:$B,0),3))))</f>
        <v/>
      </c>
      <c r="F551" s="2" t="str">
        <f t="array" ref="F551">IF(NOW()&gt;AQ551,"",IF(AND((WEEKDAY($A551)+$B$2)&gt;1,((WEEKDAY($A551)+$T$2)&lt;7),(WEEKDAY($A551)&lt;&gt;1)),"work",(INDEX(Subject!$A:$I,MATCH(RANDBETWEEN(1,(MAX(Subject!$B:$B))),Subject!$B:$B,0),3))))</f>
        <v/>
      </c>
      <c r="G551" s="2" t="str">
        <f t="array" ref="G551">IF(NOW()&gt;AR551,"",IF(AND((WEEKDAY($A551)+$B$2)&gt;1,((WEEKDAY($A551)+$T$2)&lt;7),(WEEKDAY($A551)&lt;&gt;1)),"work",(INDEX(Subject!$A:$I,MATCH(RANDBETWEEN(1,(MAX(Subject!$B:$B))),Subject!$B:$B,0),3))))</f>
        <v/>
      </c>
      <c r="H551" s="2" t="str">
        <f t="array" ref="H551">IF(NOW()&gt;AS551,"",IF(AND((WEEKDAY($A551)+$B$2)&gt;1,((WEEKDAY($A551)+$T$2)&lt;7),(WEEKDAY($A551)&lt;&gt;1)),"work",(INDEX(Subject!$A:$I,MATCH(RANDBETWEEN(1,(MAX(Subject!$B:$B))),Subject!$B:$B,0),3))))</f>
        <v/>
      </c>
      <c r="I551" s="2" t="str">
        <f t="array" ref="I551">IF(NOW()&gt;AT551,"",IF(AND((WEEKDAY($A551)+$B$2)&gt;1,((WEEKDAY($A551)+$T$2)&lt;7),(WEEKDAY($A551)&lt;&gt;1)),"work",(INDEX(Subject!$A:$I,MATCH(RANDBETWEEN(1,(MAX(Subject!$B:$B))),Subject!$B:$B,0),3))))</f>
        <v/>
      </c>
      <c r="J551" s="2" t="str">
        <f t="array" ref="J551">IF(NOW()&gt;AU551,"",IF(AND((WEEKDAY($A551)+$B$2)&gt;1,((WEEKDAY($A551)+$T$2)&lt;7),(WEEKDAY($A551)&lt;&gt;1)),"work",(INDEX(Subject!$A:$I,MATCH(RANDBETWEEN(1,(MAX(Subject!$B:$B))),Subject!$B:$B,0),3))))</f>
        <v/>
      </c>
      <c r="K551" s="2" t="str">
        <f t="array" ref="K551">IF(NOW()&gt;AV551,"",IF(AND((WEEKDAY($A551)+$B$2)&gt;1,((WEEKDAY($A551)+$T$2)&lt;7),(WEEKDAY($A551)&lt;&gt;1)),"work",(INDEX(Subject!$A:$I,MATCH(RANDBETWEEN(1,(MAX(Subject!$B:$B))),Subject!$B:$B,0),3))))</f>
        <v/>
      </c>
      <c r="L551" s="2" t="str">
        <f t="array" ref="L551">IF(NOW()&gt;AW551,"",IF(AND((WEEKDAY($A551)+$B$2)&gt;1,((WEEKDAY($A551)+$T$2)&lt;7),(WEEKDAY($A551)&lt;&gt;1)),"work",(INDEX(Subject!$A:$I,MATCH(RANDBETWEEN(1,(MAX(Subject!$B:$B))),Subject!$B:$B,0),3))))</f>
        <v/>
      </c>
      <c r="M551" s="2" t="str">
        <f t="array" ref="M551">IF(NOW()&gt;AX551,"",IF(AND((WEEKDAY($A551)+$B$2)&gt;1,((WEEKDAY($A551)+$T$2)&lt;7),(WEEKDAY($A551)&lt;&gt;1)),"work",(INDEX(Subject!$A:$I,MATCH(RANDBETWEEN(1,(MAX(Subject!$B:$B))),Subject!$B:$B,0),3))))</f>
        <v/>
      </c>
      <c r="N551" s="2" t="str">
        <f t="array" ref="N551">IF(NOW()&gt;AY551,"",IF(AND((WEEKDAY($A551)+$B$2)&gt;1,((WEEKDAY($A551)+$T$2)&lt;7),(WEEKDAY($A551)&lt;&gt;1)),"work",(INDEX(Subject!$A:$I,MATCH(RANDBETWEEN(1,(MAX(Subject!$B:$B))),Subject!$B:$B,0),3))))</f>
        <v/>
      </c>
      <c r="O551" s="2" t="str">
        <f t="array" ref="O551">IF(NOW()&gt;AZ551,"",IF(AND((WEEKDAY($A551)+$B$2)&gt;1,((WEEKDAY($A551)+$T$2)&lt;7),(WEEKDAY($A551)&lt;&gt;1)),"work",(INDEX(Subject!$A:$I,MATCH(RANDBETWEEN(1,(MAX(Subject!$B:$B))),Subject!$B:$B,0),3))))</f>
        <v/>
      </c>
      <c r="P551" s="2" t="str">
        <f t="array" ref="P551">IF(NOW()&gt;BA551,"",IF(AND((WEEKDAY($A551)+$B$2)&gt;1,((WEEKDAY($A551)+$T$2)&lt;7),(WEEKDAY($A551)&lt;&gt;1)),"work",(INDEX(Subject!$A:$I,MATCH(RANDBETWEEN(1,(MAX(Subject!$B:$B))),Subject!$B:$B,0),3))))</f>
        <v/>
      </c>
      <c r="Q551" s="2" t="str">
        <f t="array" ref="Q551">IF(NOW()&gt;BB551,"",IF(AND((WEEKDAY($A551)+$B$2)&gt;1,((WEEKDAY($A551)+$T$2)&lt;7),(WEEKDAY($A551)&lt;&gt;1)),"work",(INDEX(Subject!$A:$I,MATCH(RANDBETWEEN(1,(MAX(Subject!$B:$B))),Subject!$B:$B,0),3))))</f>
        <v/>
      </c>
      <c r="R551" s="2" t="str">
        <f t="array" ref="R551">IF(NOW()&gt;BC551,"",IF(AND((WEEKDAY($A551)+$B$2)&gt;1,((WEEKDAY($A551)+$T$2)&lt;7),(WEEKDAY($A551)&lt;&gt;1)),"work",(INDEX(Subject!$A:$I,MATCH(RANDBETWEEN(1,(MAX(Subject!$B:$B))),Subject!$B:$B,0),3))))</f>
        <v/>
      </c>
      <c r="S551" s="2" t="str">
        <f t="array" ref="S551">IF(NOW()&gt;BD551,"",IF(AND((WEEKDAY($A551)+$B$2)&gt;1,((WEEKDAY($A551)+$T$2)&lt;7),(WEEKDAY($A551)&lt;&gt;1)),"work",(INDEX(Subject!$A:$I,MATCH(RANDBETWEEN(1,(MAX(Subject!$B:$B))),Subject!$B:$B,0),3))))</f>
        <v/>
      </c>
      <c r="T551" s="2" t="str">
        <f t="array" ref="T551">IF(NOW()&gt;BE551,"",IF(AND((WEEKDAY($A551)+$B$2)&gt;1,((WEEKDAY($A551)+$T$2)&lt;7),(WEEKDAY($A551)&lt;&gt;1)),"work",(INDEX(Subject!$A:$I,MATCH(RANDBETWEEN(1,(MAX(Subject!$B:$B))),Subject!$B:$B,0),3))))</f>
        <v/>
      </c>
      <c r="U551" s="8" t="str">
        <f t="array" ref="U551">INDEX(Subject!$A:$I,MATCH(RANDBETWEEN(1,16),Subject!$B:$B,0),3)</f>
        <v>#N/A</v>
      </c>
      <c r="V551" s="8" t="str">
        <f t="array" ref="V551">INDEX(Subject!$A:$I,MATCH(RANDBETWEEN(1,16),Subject!$B:$B,0),3)</f>
        <v>#N/A</v>
      </c>
      <c r="W551" s="8" t="str">
        <f t="array" ref="W551">INDEX(Subject!$A:$I,MATCH(RANDBETWEEN(1,16),Subject!$B:$B,0),3)</f>
        <v>#N/A</v>
      </c>
      <c r="X551" s="8" t="str">
        <f t="array" ref="X551">INDEX(Subject!$A:$I,MATCH(RANDBETWEEN(1,16),Subject!$B:$B,0),3)</f>
        <v>#N/A</v>
      </c>
      <c r="Y551" s="8" t="str">
        <f t="array" ref="Y551">INDEX(Subject!$A:$I,MATCH(RANDBETWEEN(1,16),Subject!$B:$B,0),3)</f>
        <v>#N/A</v>
      </c>
      <c r="Z551" s="8" t="str">
        <f t="array" ref="Z551">INDEX(Subject!$A:$I,MATCH(RANDBETWEEN(1,16),Subject!$B:$B,0),3)</f>
        <v>#N/A</v>
      </c>
      <c r="AA551" s="8" t="str">
        <f t="array" ref="AA551">INDEX(Subject!$A:$I,MATCH(RANDBETWEEN(1,16),Subject!$B:$B,0),3)</f>
        <v>#N/A</v>
      </c>
      <c r="AB551" s="8" t="str">
        <f t="array" ref="AB551">INDEX(Subject!$A:$I,MATCH(RANDBETWEEN(1,16),Subject!$B:$B,0),3)</f>
        <v>#N/A</v>
      </c>
      <c r="AC551" s="8" t="str">
        <f t="array" ref="AC551">INDEX(Subject!$A:$I,MATCH(RANDBETWEEN(1,16),Subject!$B:$B,0),3)</f>
        <v>#N/A</v>
      </c>
      <c r="AD551" s="8" t="str">
        <f t="array" ref="AD551">INDEX(Subject!$A:$I,MATCH(RANDBETWEEN(1,16),Subject!$B:$B,0),3)</f>
        <v>#N/A</v>
      </c>
      <c r="AE551" s="8" t="str">
        <f t="array" ref="AE551">INDEX(Subject!$A:$I,MATCH(RANDBETWEEN(1,16),Subject!$B:$B,0),3)</f>
        <v/>
      </c>
      <c r="AF551" s="8" t="str">
        <f t="array" ref="AF551">INDEX(Subject!$A:$I,MATCH(RANDBETWEEN(1,16),Subject!$B:$B,0),3)</f>
        <v>#N/A</v>
      </c>
      <c r="AG551" s="8" t="str">
        <f t="array" ref="AG551">INDEX(Subject!$A:$I,MATCH(RANDBETWEEN(1,16),Subject!$B:$B,0),3)</f>
        <v>#N/A</v>
      </c>
      <c r="AH551" s="8" t="str">
        <f t="array" ref="AH551">INDEX(Subject!$A:$I,MATCH(RANDBETWEEN(1,16),Subject!$B:$B,0),3)</f>
        <v>#N/A</v>
      </c>
      <c r="AI551" s="8" t="str">
        <f t="array" ref="AI551">INDEX(Subject!$A:$I,MATCH(RANDBETWEEN(1,16),Subject!$B:$B,0),3)</f>
        <v>#N/A</v>
      </c>
      <c r="AJ551" s="8" t="str">
        <f t="array" ref="AJ551">INDEX(Subject!$A:$I,MATCH(RANDBETWEEN(1,16),Subject!$B:$B,0),3)</f>
        <v>#N/A</v>
      </c>
      <c r="AK551" s="8" t="str">
        <f t="array" ref="AK551">INDEX(Subject!$A:$I,MATCH(RANDBETWEEN(1,16),Subject!$B:$B,0),3)</f>
        <v>#N/A</v>
      </c>
      <c r="AL551" s="8" t="str">
        <f t="array" ref="AL551">INDEX(Subject!$A:$I,MATCH(RANDBETWEEN(1,16),Subject!$B:$B,0),3)</f>
        <v>#N/A</v>
      </c>
      <c r="AM551" s="18">
        <f t="shared" si="4"/>
        <v>46051.33333</v>
      </c>
      <c r="AN551" s="19">
        <f t="shared" ref="AN551:BZ551" si="551">$A551+C$1</f>
        <v>46051.35417</v>
      </c>
      <c r="AO551" s="19">
        <f t="shared" si="551"/>
        <v>46051.375</v>
      </c>
      <c r="AP551" s="19">
        <f t="shared" si="551"/>
        <v>46051.39583</v>
      </c>
      <c r="AQ551" s="19">
        <f t="shared" si="551"/>
        <v>46051.41667</v>
      </c>
      <c r="AR551" s="19">
        <f t="shared" si="551"/>
        <v>46051.4375</v>
      </c>
      <c r="AS551" s="19">
        <f t="shared" si="551"/>
        <v>46051.45833</v>
      </c>
      <c r="AT551" s="19">
        <f t="shared" si="551"/>
        <v>46051.47917</v>
      </c>
      <c r="AU551" s="19">
        <f t="shared" si="551"/>
        <v>46051.5</v>
      </c>
      <c r="AV551" s="19">
        <f t="shared" si="551"/>
        <v>46051.52083</v>
      </c>
      <c r="AW551" s="19">
        <f t="shared" si="551"/>
        <v>46051.54167</v>
      </c>
      <c r="AX551" s="19">
        <f t="shared" si="551"/>
        <v>46051.5625</v>
      </c>
      <c r="AY551" s="19">
        <f t="shared" si="551"/>
        <v>46051.58333</v>
      </c>
      <c r="AZ551" s="19">
        <f t="shared" si="551"/>
        <v>46051.60417</v>
      </c>
      <c r="BA551" s="19">
        <f t="shared" si="551"/>
        <v>46051.625</v>
      </c>
      <c r="BB551" s="19">
        <f t="shared" si="551"/>
        <v>46051.64583</v>
      </c>
      <c r="BC551" s="19">
        <f t="shared" si="551"/>
        <v>46051.66667</v>
      </c>
      <c r="BD551" s="19">
        <f t="shared" si="551"/>
        <v>46051.6875</v>
      </c>
      <c r="BE551" s="19">
        <f t="shared" si="551"/>
        <v>46051.70833</v>
      </c>
      <c r="BF551" s="19">
        <f t="shared" si="551"/>
        <v>46051.72917</v>
      </c>
      <c r="BG551" s="19">
        <f t="shared" si="551"/>
        <v>46051.75</v>
      </c>
      <c r="BH551" s="19">
        <f t="shared" si="551"/>
        <v>46051.77083</v>
      </c>
      <c r="BI551" s="19">
        <f t="shared" si="551"/>
        <v>46051.79167</v>
      </c>
      <c r="BJ551" s="19">
        <f t="shared" si="551"/>
        <v>46051.8125</v>
      </c>
      <c r="BK551" s="19">
        <f t="shared" si="551"/>
        <v>46051.83333</v>
      </c>
      <c r="BL551" s="19">
        <f t="shared" si="551"/>
        <v>46051.85417</v>
      </c>
      <c r="BM551" s="19">
        <f t="shared" si="551"/>
        <v>46051.875</v>
      </c>
      <c r="BN551" s="19">
        <f t="shared" si="551"/>
        <v>46051.89583</v>
      </c>
      <c r="BO551" s="19">
        <f t="shared" si="551"/>
        <v>46051.91667</v>
      </c>
      <c r="BP551" s="19">
        <f t="shared" si="551"/>
        <v>46051.9375</v>
      </c>
      <c r="BQ551" s="19">
        <f t="shared" si="551"/>
        <v>46051.95833</v>
      </c>
      <c r="BR551" s="19">
        <f t="shared" si="551"/>
        <v>46051.97917</v>
      </c>
      <c r="BS551" s="19">
        <f t="shared" si="551"/>
        <v>46052</v>
      </c>
      <c r="BT551" s="19">
        <f t="shared" si="551"/>
        <v>46052.02083</v>
      </c>
      <c r="BU551" s="19">
        <f t="shared" si="551"/>
        <v>46052.04167</v>
      </c>
      <c r="BV551" s="19">
        <f t="shared" si="551"/>
        <v>46052.0625</v>
      </c>
      <c r="BW551" s="19">
        <f t="shared" si="551"/>
        <v>46052.08333</v>
      </c>
      <c r="BX551" s="19">
        <f t="shared" si="551"/>
        <v>46051</v>
      </c>
      <c r="BY551" s="19">
        <f t="shared" si="551"/>
        <v>46051</v>
      </c>
      <c r="BZ551" s="19">
        <f t="shared" si="551"/>
        <v>46051</v>
      </c>
    </row>
    <row r="552" ht="14.25" customHeight="1">
      <c r="A552" s="17">
        <v>46052.0</v>
      </c>
      <c r="B552" s="2" t="str">
        <f t="array" ref="B552">IF(NOW()&gt;AM552,"",IF(AND((WEEKDAY($A552)+$B$2)&gt;1,((WEEKDAY($A552)+$T$2)&lt;7),(WEEKDAY($A552)&lt;&gt;1)),"work",(INDEX(Subject!$A:$I,MATCH(RANDBETWEEN(1,(MAX(Subject!$B:$B))),Subject!$B:$B,0),3))))</f>
        <v/>
      </c>
      <c r="C552" s="2" t="str">
        <f t="array" ref="C552">IF(NOW()&gt;AN552,"",IF(AND((WEEKDAY($A552)+$B$2)&gt;1,((WEEKDAY($A552)+$T$2)&lt;7),(WEEKDAY($A552)&lt;&gt;1)),"work",(INDEX(Subject!$A:$I,MATCH(RANDBETWEEN(1,(MAX(Subject!$B:$B))),Subject!$B:$B,0),3))))</f>
        <v/>
      </c>
      <c r="D552" s="2" t="str">
        <f t="array" ref="D552">IF(NOW()&gt;AO552,"",IF(AND((WEEKDAY($A552)+$B$2)&gt;1,((WEEKDAY($A552)+$T$2)&lt;7),(WEEKDAY($A552)&lt;&gt;1)),"work",(INDEX(Subject!$A:$I,MATCH(RANDBETWEEN(1,(MAX(Subject!$B:$B))),Subject!$B:$B,0),3))))</f>
        <v/>
      </c>
      <c r="E552" s="2" t="str">
        <f t="array" ref="E552">IF(NOW()&gt;AP552,"",IF(AND((WEEKDAY($A552)+$B$2)&gt;1,((WEEKDAY($A552)+$T$2)&lt;7),(WEEKDAY($A552)&lt;&gt;1)),"work",(INDEX(Subject!$A:$I,MATCH(RANDBETWEEN(1,(MAX(Subject!$B:$B))),Subject!$B:$B,0),3))))</f>
        <v/>
      </c>
      <c r="F552" s="2" t="str">
        <f t="array" ref="F552">IF(NOW()&gt;AQ552,"",IF(AND((WEEKDAY($A552)+$B$2)&gt;1,((WEEKDAY($A552)+$T$2)&lt;7),(WEEKDAY($A552)&lt;&gt;1)),"work",(INDEX(Subject!$A:$I,MATCH(RANDBETWEEN(1,(MAX(Subject!$B:$B))),Subject!$B:$B,0),3))))</f>
        <v/>
      </c>
      <c r="G552" s="2" t="str">
        <f t="array" ref="G552">IF(NOW()&gt;AR552,"",IF(AND((WEEKDAY($A552)+$B$2)&gt;1,((WEEKDAY($A552)+$T$2)&lt;7),(WEEKDAY($A552)&lt;&gt;1)),"work",(INDEX(Subject!$A:$I,MATCH(RANDBETWEEN(1,(MAX(Subject!$B:$B))),Subject!$B:$B,0),3))))</f>
        <v/>
      </c>
      <c r="H552" s="2" t="str">
        <f t="array" ref="H552">IF(NOW()&gt;AS552,"",IF(AND((WEEKDAY($A552)+$B$2)&gt;1,((WEEKDAY($A552)+$T$2)&lt;7),(WEEKDAY($A552)&lt;&gt;1)),"work",(INDEX(Subject!$A:$I,MATCH(RANDBETWEEN(1,(MAX(Subject!$B:$B))),Subject!$B:$B,0),3))))</f>
        <v/>
      </c>
      <c r="I552" s="2" t="str">
        <f t="array" ref="I552">IF(NOW()&gt;AT552,"",IF(AND((WEEKDAY($A552)+$B$2)&gt;1,((WEEKDAY($A552)+$T$2)&lt;7),(WEEKDAY($A552)&lt;&gt;1)),"work",(INDEX(Subject!$A:$I,MATCH(RANDBETWEEN(1,(MAX(Subject!$B:$B))),Subject!$B:$B,0),3))))</f>
        <v/>
      </c>
      <c r="J552" s="2" t="str">
        <f t="array" ref="J552">IF(NOW()&gt;AU552,"",IF(AND((WEEKDAY($A552)+$B$2)&gt;1,((WEEKDAY($A552)+$T$2)&lt;7),(WEEKDAY($A552)&lt;&gt;1)),"work",(INDEX(Subject!$A:$I,MATCH(RANDBETWEEN(1,(MAX(Subject!$B:$B))),Subject!$B:$B,0),3))))</f>
        <v/>
      </c>
      <c r="K552" s="2" t="str">
        <f t="array" ref="K552">IF(NOW()&gt;AV552,"",IF(AND((WEEKDAY($A552)+$B$2)&gt;1,((WEEKDAY($A552)+$T$2)&lt;7),(WEEKDAY($A552)&lt;&gt;1)),"work",(INDEX(Subject!$A:$I,MATCH(RANDBETWEEN(1,(MAX(Subject!$B:$B))),Subject!$B:$B,0),3))))</f>
        <v/>
      </c>
      <c r="L552" s="2" t="str">
        <f t="array" ref="L552">IF(NOW()&gt;AW552,"",IF(AND((WEEKDAY($A552)+$B$2)&gt;1,((WEEKDAY($A552)+$T$2)&lt;7),(WEEKDAY($A552)&lt;&gt;1)),"work",(INDEX(Subject!$A:$I,MATCH(RANDBETWEEN(1,(MAX(Subject!$B:$B))),Subject!$B:$B,0),3))))</f>
        <v/>
      </c>
      <c r="M552" s="2" t="str">
        <f t="array" ref="M552">IF(NOW()&gt;AX552,"",IF(AND((WEEKDAY($A552)+$B$2)&gt;1,((WEEKDAY($A552)+$T$2)&lt;7),(WEEKDAY($A552)&lt;&gt;1)),"work",(INDEX(Subject!$A:$I,MATCH(RANDBETWEEN(1,(MAX(Subject!$B:$B))),Subject!$B:$B,0),3))))</f>
        <v/>
      </c>
      <c r="N552" s="2" t="str">
        <f t="array" ref="N552">IF(NOW()&gt;AY552,"",IF(AND((WEEKDAY($A552)+$B$2)&gt;1,((WEEKDAY($A552)+$T$2)&lt;7),(WEEKDAY($A552)&lt;&gt;1)),"work",(INDEX(Subject!$A:$I,MATCH(RANDBETWEEN(1,(MAX(Subject!$B:$B))),Subject!$B:$B,0),3))))</f>
        <v/>
      </c>
      <c r="O552" s="2" t="str">
        <f t="array" ref="O552">IF(NOW()&gt;AZ552,"",IF(AND((WEEKDAY($A552)+$B$2)&gt;1,((WEEKDAY($A552)+$T$2)&lt;7),(WEEKDAY($A552)&lt;&gt;1)),"work",(INDEX(Subject!$A:$I,MATCH(RANDBETWEEN(1,(MAX(Subject!$B:$B))),Subject!$B:$B,0),3))))</f>
        <v/>
      </c>
      <c r="P552" s="2" t="str">
        <f t="array" ref="P552">IF(NOW()&gt;BA552,"",IF(AND((WEEKDAY($A552)+$B$2)&gt;1,((WEEKDAY($A552)+$T$2)&lt;7),(WEEKDAY($A552)&lt;&gt;1)),"work",(INDEX(Subject!$A:$I,MATCH(RANDBETWEEN(1,(MAX(Subject!$B:$B))),Subject!$B:$B,0),3))))</f>
        <v/>
      </c>
      <c r="Q552" s="2" t="str">
        <f t="array" ref="Q552">IF(NOW()&gt;BB552,"",IF(AND((WEEKDAY($A552)+$B$2)&gt;1,((WEEKDAY($A552)+$T$2)&lt;7),(WEEKDAY($A552)&lt;&gt;1)),"work",(INDEX(Subject!$A:$I,MATCH(RANDBETWEEN(1,(MAX(Subject!$B:$B))),Subject!$B:$B,0),3))))</f>
        <v/>
      </c>
      <c r="R552" s="2" t="str">
        <f t="array" ref="R552">IF(NOW()&gt;BC552,"",IF(AND((WEEKDAY($A552)+$B$2)&gt;1,((WEEKDAY($A552)+$T$2)&lt;7),(WEEKDAY($A552)&lt;&gt;1)),"work",(INDEX(Subject!$A:$I,MATCH(RANDBETWEEN(1,(MAX(Subject!$B:$B))),Subject!$B:$B,0),3))))</f>
        <v/>
      </c>
      <c r="S552" s="2" t="str">
        <f t="array" ref="S552">IF(NOW()&gt;BD552,"",IF(AND((WEEKDAY($A552)+$B$2)&gt;1,((WEEKDAY($A552)+$T$2)&lt;7),(WEEKDAY($A552)&lt;&gt;1)),"work",(INDEX(Subject!$A:$I,MATCH(RANDBETWEEN(1,(MAX(Subject!$B:$B))),Subject!$B:$B,0),3))))</f>
        <v/>
      </c>
      <c r="T552" s="2" t="str">
        <f t="array" ref="T552">IF(NOW()&gt;BE552,"",IF(AND((WEEKDAY($A552)+$B$2)&gt;1,((WEEKDAY($A552)+$T$2)&lt;7),(WEEKDAY($A552)&lt;&gt;1)),"work",(INDEX(Subject!$A:$I,MATCH(RANDBETWEEN(1,(MAX(Subject!$B:$B))),Subject!$B:$B,0),3))))</f>
        <v/>
      </c>
      <c r="U552" s="8" t="str">
        <f t="array" ref="U552">INDEX(Subject!$A:$I,MATCH(RANDBETWEEN(1,16),Subject!$B:$B,0),3)</f>
        <v>#N/A</v>
      </c>
      <c r="V552" s="8" t="str">
        <f t="array" ref="V552">INDEX(Subject!$A:$I,MATCH(RANDBETWEEN(1,16),Subject!$B:$B,0),3)</f>
        <v>#N/A</v>
      </c>
      <c r="W552" s="8" t="str">
        <f t="array" ref="W552">INDEX(Subject!$A:$I,MATCH(RANDBETWEEN(1,16),Subject!$B:$B,0),3)</f>
        <v/>
      </c>
      <c r="X552" s="8" t="str">
        <f t="array" ref="X552">INDEX(Subject!$A:$I,MATCH(RANDBETWEEN(1,16),Subject!$B:$B,0),3)</f>
        <v>#N/A</v>
      </c>
      <c r="Y552" s="8" t="str">
        <f t="array" ref="Y552">INDEX(Subject!$A:$I,MATCH(RANDBETWEEN(1,16),Subject!$B:$B,0),3)</f>
        <v/>
      </c>
      <c r="Z552" s="8" t="str">
        <f t="array" ref="Z552">INDEX(Subject!$A:$I,MATCH(RANDBETWEEN(1,16),Subject!$B:$B,0),3)</f>
        <v>#N/A</v>
      </c>
      <c r="AA552" s="8" t="str">
        <f t="array" ref="AA552">INDEX(Subject!$A:$I,MATCH(RANDBETWEEN(1,16),Subject!$B:$B,0),3)</f>
        <v>#N/A</v>
      </c>
      <c r="AB552" s="8" t="str">
        <f t="array" ref="AB552">INDEX(Subject!$A:$I,MATCH(RANDBETWEEN(1,16),Subject!$B:$B,0),3)</f>
        <v>#N/A</v>
      </c>
      <c r="AC552" s="8" t="str">
        <f t="array" ref="AC552">INDEX(Subject!$A:$I,MATCH(RANDBETWEEN(1,16),Subject!$B:$B,0),3)</f>
        <v>#N/A</v>
      </c>
      <c r="AD552" s="8" t="str">
        <f t="array" ref="AD552">INDEX(Subject!$A:$I,MATCH(RANDBETWEEN(1,16),Subject!$B:$B,0),3)</f>
        <v>#N/A</v>
      </c>
      <c r="AE552" s="8" t="str">
        <f t="array" ref="AE552">INDEX(Subject!$A:$I,MATCH(RANDBETWEEN(1,16),Subject!$B:$B,0),3)</f>
        <v/>
      </c>
      <c r="AF552" s="8" t="str">
        <f t="array" ref="AF552">INDEX(Subject!$A:$I,MATCH(RANDBETWEEN(1,16),Subject!$B:$B,0),3)</f>
        <v>#N/A</v>
      </c>
      <c r="AG552" s="8" t="str">
        <f t="array" ref="AG552">INDEX(Subject!$A:$I,MATCH(RANDBETWEEN(1,16),Subject!$B:$B,0),3)</f>
        <v>#N/A</v>
      </c>
      <c r="AH552" s="8" t="str">
        <f t="array" ref="AH552">INDEX(Subject!$A:$I,MATCH(RANDBETWEEN(1,16),Subject!$B:$B,0),3)</f>
        <v>#N/A</v>
      </c>
      <c r="AI552" s="8" t="str">
        <f t="array" ref="AI552">INDEX(Subject!$A:$I,MATCH(RANDBETWEEN(1,16),Subject!$B:$B,0),3)</f>
        <v>#N/A</v>
      </c>
      <c r="AJ552" s="8" t="str">
        <f t="array" ref="AJ552">INDEX(Subject!$A:$I,MATCH(RANDBETWEEN(1,16),Subject!$B:$B,0),3)</f>
        <v>#N/A</v>
      </c>
      <c r="AK552" s="8" t="str">
        <f t="array" ref="AK552">INDEX(Subject!$A:$I,MATCH(RANDBETWEEN(1,16),Subject!$B:$B,0),3)</f>
        <v>#N/A</v>
      </c>
      <c r="AL552" s="8" t="str">
        <f t="array" ref="AL552">INDEX(Subject!$A:$I,MATCH(RANDBETWEEN(1,16),Subject!$B:$B,0),3)</f>
        <v>#N/A</v>
      </c>
      <c r="AM552" s="18">
        <f t="shared" si="4"/>
        <v>46052.33333</v>
      </c>
      <c r="AN552" s="19">
        <f t="shared" ref="AN552:BZ552" si="552">$A552+C$1</f>
        <v>46052.35417</v>
      </c>
      <c r="AO552" s="19">
        <f t="shared" si="552"/>
        <v>46052.375</v>
      </c>
      <c r="AP552" s="19">
        <f t="shared" si="552"/>
        <v>46052.39583</v>
      </c>
      <c r="AQ552" s="19">
        <f t="shared" si="552"/>
        <v>46052.41667</v>
      </c>
      <c r="AR552" s="19">
        <f t="shared" si="552"/>
        <v>46052.4375</v>
      </c>
      <c r="AS552" s="19">
        <f t="shared" si="552"/>
        <v>46052.45833</v>
      </c>
      <c r="AT552" s="19">
        <f t="shared" si="552"/>
        <v>46052.47917</v>
      </c>
      <c r="AU552" s="19">
        <f t="shared" si="552"/>
        <v>46052.5</v>
      </c>
      <c r="AV552" s="19">
        <f t="shared" si="552"/>
        <v>46052.52083</v>
      </c>
      <c r="AW552" s="19">
        <f t="shared" si="552"/>
        <v>46052.54167</v>
      </c>
      <c r="AX552" s="19">
        <f t="shared" si="552"/>
        <v>46052.5625</v>
      </c>
      <c r="AY552" s="19">
        <f t="shared" si="552"/>
        <v>46052.58333</v>
      </c>
      <c r="AZ552" s="19">
        <f t="shared" si="552"/>
        <v>46052.60417</v>
      </c>
      <c r="BA552" s="19">
        <f t="shared" si="552"/>
        <v>46052.625</v>
      </c>
      <c r="BB552" s="19">
        <f t="shared" si="552"/>
        <v>46052.64583</v>
      </c>
      <c r="BC552" s="19">
        <f t="shared" si="552"/>
        <v>46052.66667</v>
      </c>
      <c r="BD552" s="19">
        <f t="shared" si="552"/>
        <v>46052.6875</v>
      </c>
      <c r="BE552" s="19">
        <f t="shared" si="552"/>
        <v>46052.70833</v>
      </c>
      <c r="BF552" s="19">
        <f t="shared" si="552"/>
        <v>46052.72917</v>
      </c>
      <c r="BG552" s="19">
        <f t="shared" si="552"/>
        <v>46052.75</v>
      </c>
      <c r="BH552" s="19">
        <f t="shared" si="552"/>
        <v>46052.77083</v>
      </c>
      <c r="BI552" s="19">
        <f t="shared" si="552"/>
        <v>46052.79167</v>
      </c>
      <c r="BJ552" s="19">
        <f t="shared" si="552"/>
        <v>46052.8125</v>
      </c>
      <c r="BK552" s="19">
        <f t="shared" si="552"/>
        <v>46052.83333</v>
      </c>
      <c r="BL552" s="19">
        <f t="shared" si="552"/>
        <v>46052.85417</v>
      </c>
      <c r="BM552" s="19">
        <f t="shared" si="552"/>
        <v>46052.875</v>
      </c>
      <c r="BN552" s="19">
        <f t="shared" si="552"/>
        <v>46052.89583</v>
      </c>
      <c r="BO552" s="19">
        <f t="shared" si="552"/>
        <v>46052.91667</v>
      </c>
      <c r="BP552" s="19">
        <f t="shared" si="552"/>
        <v>46052.9375</v>
      </c>
      <c r="BQ552" s="19">
        <f t="shared" si="552"/>
        <v>46052.95833</v>
      </c>
      <c r="BR552" s="19">
        <f t="shared" si="552"/>
        <v>46052.97917</v>
      </c>
      <c r="BS552" s="19">
        <f t="shared" si="552"/>
        <v>46053</v>
      </c>
      <c r="BT552" s="19">
        <f t="shared" si="552"/>
        <v>46053.02083</v>
      </c>
      <c r="BU552" s="19">
        <f t="shared" si="552"/>
        <v>46053.04167</v>
      </c>
      <c r="BV552" s="19">
        <f t="shared" si="552"/>
        <v>46053.0625</v>
      </c>
      <c r="BW552" s="19">
        <f t="shared" si="552"/>
        <v>46053.08333</v>
      </c>
      <c r="BX552" s="19">
        <f t="shared" si="552"/>
        <v>46052</v>
      </c>
      <c r="BY552" s="19">
        <f t="shared" si="552"/>
        <v>46052</v>
      </c>
      <c r="BZ552" s="19">
        <f t="shared" si="552"/>
        <v>46052</v>
      </c>
    </row>
    <row r="553" ht="14.25" customHeight="1">
      <c r="A553" s="17">
        <v>46053.0</v>
      </c>
      <c r="B553" s="2" t="str">
        <f t="array" ref="B553">IF(NOW()&gt;AM553,"",IF(AND((WEEKDAY($A553)+$B$2)&gt;1,((WEEKDAY($A553)+$T$2)&lt;7),(WEEKDAY($A553)&lt;&gt;1)),"work",(INDEX(Subject!$A:$I,MATCH(RANDBETWEEN(1,(MAX(Subject!$B:$B))),Subject!$B:$B,0),3))))</f>
        <v/>
      </c>
      <c r="C553" s="2" t="str">
        <f t="array" ref="C553">IF(NOW()&gt;AN553,"",IF(AND((WEEKDAY($A553)+$B$2)&gt;1,((WEEKDAY($A553)+$T$2)&lt;7),(WEEKDAY($A553)&lt;&gt;1)),"work",(INDEX(Subject!$A:$I,MATCH(RANDBETWEEN(1,(MAX(Subject!$B:$B))),Subject!$B:$B,0),3))))</f>
        <v/>
      </c>
      <c r="D553" s="2" t="str">
        <f t="array" ref="D553">IF(NOW()&gt;AO553,"",IF(AND((WEEKDAY($A553)+$B$2)&gt;1,((WEEKDAY($A553)+$T$2)&lt;7),(WEEKDAY($A553)&lt;&gt;1)),"work",(INDEX(Subject!$A:$I,MATCH(RANDBETWEEN(1,(MAX(Subject!$B:$B))),Subject!$B:$B,0),3))))</f>
        <v/>
      </c>
      <c r="E553" s="2" t="str">
        <f t="array" ref="E553">IF(NOW()&gt;AP553,"",IF(AND((WEEKDAY($A553)+$B$2)&gt;1,((WEEKDAY($A553)+$T$2)&lt;7),(WEEKDAY($A553)&lt;&gt;1)),"work",(INDEX(Subject!$A:$I,MATCH(RANDBETWEEN(1,(MAX(Subject!$B:$B))),Subject!$B:$B,0),3))))</f>
        <v/>
      </c>
      <c r="F553" s="2" t="str">
        <f t="array" ref="F553">IF(NOW()&gt;AQ553,"",IF(AND((WEEKDAY($A553)+$B$2)&gt;1,((WEEKDAY($A553)+$T$2)&lt;7),(WEEKDAY($A553)&lt;&gt;1)),"work",(INDEX(Subject!$A:$I,MATCH(RANDBETWEEN(1,(MAX(Subject!$B:$B))),Subject!$B:$B,0),3))))</f>
        <v/>
      </c>
      <c r="G553" s="2" t="str">
        <f t="array" ref="G553">IF(NOW()&gt;AR553,"",IF(AND((WEEKDAY($A553)+$B$2)&gt;1,((WEEKDAY($A553)+$T$2)&lt;7),(WEEKDAY($A553)&lt;&gt;1)),"work",(INDEX(Subject!$A:$I,MATCH(RANDBETWEEN(1,(MAX(Subject!$B:$B))),Subject!$B:$B,0),3))))</f>
        <v/>
      </c>
      <c r="H553" s="2" t="str">
        <f t="array" ref="H553">IF(NOW()&gt;AS553,"",IF(AND((WEEKDAY($A553)+$B$2)&gt;1,((WEEKDAY($A553)+$T$2)&lt;7),(WEEKDAY($A553)&lt;&gt;1)),"work",(INDEX(Subject!$A:$I,MATCH(RANDBETWEEN(1,(MAX(Subject!$B:$B))),Subject!$B:$B,0),3))))</f>
        <v/>
      </c>
      <c r="I553" s="2" t="str">
        <f t="array" ref="I553">IF(NOW()&gt;AT553,"",IF(AND((WEEKDAY($A553)+$B$2)&gt;1,((WEEKDAY($A553)+$T$2)&lt;7),(WEEKDAY($A553)&lt;&gt;1)),"work",(INDEX(Subject!$A:$I,MATCH(RANDBETWEEN(1,(MAX(Subject!$B:$B))),Subject!$B:$B,0),3))))</f>
        <v/>
      </c>
      <c r="J553" s="2" t="str">
        <f t="array" ref="J553">IF(NOW()&gt;AU553,"",IF(AND((WEEKDAY($A553)+$B$2)&gt;1,((WEEKDAY($A553)+$T$2)&lt;7),(WEEKDAY($A553)&lt;&gt;1)),"work",(INDEX(Subject!$A:$I,MATCH(RANDBETWEEN(1,(MAX(Subject!$B:$B))),Subject!$B:$B,0),3))))</f>
        <v/>
      </c>
      <c r="K553" s="2" t="str">
        <f t="array" ref="K553">IF(NOW()&gt;AV553,"",IF(AND((WEEKDAY($A553)+$B$2)&gt;1,((WEEKDAY($A553)+$T$2)&lt;7),(WEEKDAY($A553)&lt;&gt;1)),"work",(INDEX(Subject!$A:$I,MATCH(RANDBETWEEN(1,(MAX(Subject!$B:$B))),Subject!$B:$B,0),3))))</f>
        <v/>
      </c>
      <c r="L553" s="2" t="str">
        <f t="array" ref="L553">IF(NOW()&gt;AW553,"",IF(AND((WEEKDAY($A553)+$B$2)&gt;1,((WEEKDAY($A553)+$T$2)&lt;7),(WEEKDAY($A553)&lt;&gt;1)),"work",(INDEX(Subject!$A:$I,MATCH(RANDBETWEEN(1,(MAX(Subject!$B:$B))),Subject!$B:$B,0),3))))</f>
        <v/>
      </c>
      <c r="M553" s="2" t="str">
        <f t="array" ref="M553">IF(NOW()&gt;AX553,"",IF(AND((WEEKDAY($A553)+$B$2)&gt;1,((WEEKDAY($A553)+$T$2)&lt;7),(WEEKDAY($A553)&lt;&gt;1)),"work",(INDEX(Subject!$A:$I,MATCH(RANDBETWEEN(1,(MAX(Subject!$B:$B))),Subject!$B:$B,0),3))))</f>
        <v/>
      </c>
      <c r="N553" s="2" t="str">
        <f t="array" ref="N553">IF(NOW()&gt;AY553,"",IF(AND((WEEKDAY($A553)+$B$2)&gt;1,((WEEKDAY($A553)+$T$2)&lt;7),(WEEKDAY($A553)&lt;&gt;1)),"work",(INDEX(Subject!$A:$I,MATCH(RANDBETWEEN(1,(MAX(Subject!$B:$B))),Subject!$B:$B,0),3))))</f>
        <v/>
      </c>
      <c r="O553" s="2" t="str">
        <f t="array" ref="O553">IF(NOW()&gt;AZ553,"",IF(AND((WEEKDAY($A553)+$B$2)&gt;1,((WEEKDAY($A553)+$T$2)&lt;7),(WEEKDAY($A553)&lt;&gt;1)),"work",(INDEX(Subject!$A:$I,MATCH(RANDBETWEEN(1,(MAX(Subject!$B:$B))),Subject!$B:$B,0),3))))</f>
        <v/>
      </c>
      <c r="P553" s="2" t="str">
        <f t="array" ref="P553">IF(NOW()&gt;BA553,"",IF(AND((WEEKDAY($A553)+$B$2)&gt;1,((WEEKDAY($A553)+$T$2)&lt;7),(WEEKDAY($A553)&lt;&gt;1)),"work",(INDEX(Subject!$A:$I,MATCH(RANDBETWEEN(1,(MAX(Subject!$B:$B))),Subject!$B:$B,0),3))))</f>
        <v/>
      </c>
      <c r="Q553" s="2" t="str">
        <f t="array" ref="Q553">IF(NOW()&gt;BB553,"",IF(AND((WEEKDAY($A553)+$B$2)&gt;1,((WEEKDAY($A553)+$T$2)&lt;7),(WEEKDAY($A553)&lt;&gt;1)),"work",(INDEX(Subject!$A:$I,MATCH(RANDBETWEEN(1,(MAX(Subject!$B:$B))),Subject!$B:$B,0),3))))</f>
        <v/>
      </c>
      <c r="R553" s="2" t="str">
        <f t="array" ref="R553">IF(NOW()&gt;BC553,"",IF(AND((WEEKDAY($A553)+$B$2)&gt;1,((WEEKDAY($A553)+$T$2)&lt;7),(WEEKDAY($A553)&lt;&gt;1)),"work",(INDEX(Subject!$A:$I,MATCH(RANDBETWEEN(1,(MAX(Subject!$B:$B))),Subject!$B:$B,0),3))))</f>
        <v/>
      </c>
      <c r="S553" s="2" t="str">
        <f t="array" ref="S553">IF(NOW()&gt;BD553,"",IF(AND((WEEKDAY($A553)+$B$2)&gt;1,((WEEKDAY($A553)+$T$2)&lt;7),(WEEKDAY($A553)&lt;&gt;1)),"work",(INDEX(Subject!$A:$I,MATCH(RANDBETWEEN(1,(MAX(Subject!$B:$B))),Subject!$B:$B,0),3))))</f>
        <v/>
      </c>
      <c r="T553" s="2" t="str">
        <f t="array" ref="T553">IF(NOW()&gt;BE553,"",IF(AND((WEEKDAY($A553)+$B$2)&gt;1,((WEEKDAY($A553)+$T$2)&lt;7),(WEEKDAY($A553)&lt;&gt;1)),"work",(INDEX(Subject!$A:$I,MATCH(RANDBETWEEN(1,(MAX(Subject!$B:$B))),Subject!$B:$B,0),3))))</f>
        <v/>
      </c>
      <c r="U553" s="8" t="str">
        <f t="array" ref="U553">INDEX(Subject!$A:$I,MATCH(RANDBETWEEN(1,16),Subject!$B:$B,0),3)</f>
        <v>#N/A</v>
      </c>
      <c r="V553" s="8" t="str">
        <f t="array" ref="V553">INDEX(Subject!$A:$I,MATCH(RANDBETWEEN(1,16),Subject!$B:$B,0),3)</f>
        <v>#N/A</v>
      </c>
      <c r="W553" s="8" t="str">
        <f t="array" ref="W553">INDEX(Subject!$A:$I,MATCH(RANDBETWEEN(1,16),Subject!$B:$B,0),3)</f>
        <v>#N/A</v>
      </c>
      <c r="X553" s="8" t="str">
        <f t="array" ref="X553">INDEX(Subject!$A:$I,MATCH(RANDBETWEEN(1,16),Subject!$B:$B,0),3)</f>
        <v>#N/A</v>
      </c>
      <c r="Y553" s="8" t="str">
        <f t="array" ref="Y553">INDEX(Subject!$A:$I,MATCH(RANDBETWEEN(1,16),Subject!$B:$B,0),3)</f>
        <v>#N/A</v>
      </c>
      <c r="Z553" s="8" t="str">
        <f t="array" ref="Z553">INDEX(Subject!$A:$I,MATCH(RANDBETWEEN(1,16),Subject!$B:$B,0),3)</f>
        <v>#N/A</v>
      </c>
      <c r="AA553" s="8" t="str">
        <f t="array" ref="AA553">INDEX(Subject!$A:$I,MATCH(RANDBETWEEN(1,16),Subject!$B:$B,0),3)</f>
        <v>#N/A</v>
      </c>
      <c r="AB553" s="8" t="str">
        <f t="array" ref="AB553">INDEX(Subject!$A:$I,MATCH(RANDBETWEEN(1,16),Subject!$B:$B,0),3)</f>
        <v>#N/A</v>
      </c>
      <c r="AC553" s="8" t="str">
        <f t="array" ref="AC553">INDEX(Subject!$A:$I,MATCH(RANDBETWEEN(1,16),Subject!$B:$B,0),3)</f>
        <v>#N/A</v>
      </c>
      <c r="AD553" s="8" t="str">
        <f t="array" ref="AD553">INDEX(Subject!$A:$I,MATCH(RANDBETWEEN(1,16),Subject!$B:$B,0),3)</f>
        <v>#N/A</v>
      </c>
      <c r="AE553" s="8" t="str">
        <f t="array" ref="AE553">INDEX(Subject!$A:$I,MATCH(RANDBETWEEN(1,16),Subject!$B:$B,0),3)</f>
        <v>#N/A</v>
      </c>
      <c r="AF553" s="8" t="str">
        <f t="array" ref="AF553">INDEX(Subject!$A:$I,MATCH(RANDBETWEEN(1,16),Subject!$B:$B,0),3)</f>
        <v>#N/A</v>
      </c>
      <c r="AG553" s="8" t="str">
        <f t="array" ref="AG553">INDEX(Subject!$A:$I,MATCH(RANDBETWEEN(1,16),Subject!$B:$B,0),3)</f>
        <v>#N/A</v>
      </c>
      <c r="AH553" s="8" t="str">
        <f t="array" ref="AH553">INDEX(Subject!$A:$I,MATCH(RANDBETWEEN(1,16),Subject!$B:$B,0),3)</f>
        <v>#N/A</v>
      </c>
      <c r="AI553" s="8" t="str">
        <f t="array" ref="AI553">INDEX(Subject!$A:$I,MATCH(RANDBETWEEN(1,16),Subject!$B:$B,0),3)</f>
        <v/>
      </c>
      <c r="AJ553" s="8" t="str">
        <f t="array" ref="AJ553">INDEX(Subject!$A:$I,MATCH(RANDBETWEEN(1,16),Subject!$B:$B,0),3)</f>
        <v>#N/A</v>
      </c>
      <c r="AK553" s="8" t="str">
        <f t="array" ref="AK553">INDEX(Subject!$A:$I,MATCH(RANDBETWEEN(1,16),Subject!$B:$B,0),3)</f>
        <v>#N/A</v>
      </c>
      <c r="AL553" s="8" t="str">
        <f t="array" ref="AL553">INDEX(Subject!$A:$I,MATCH(RANDBETWEEN(1,16),Subject!$B:$B,0),3)</f>
        <v>#N/A</v>
      </c>
      <c r="AM553" s="18">
        <f t="shared" si="4"/>
        <v>46053.33333</v>
      </c>
      <c r="AN553" s="19">
        <f t="shared" ref="AN553:BZ553" si="553">$A553+C$1</f>
        <v>46053.35417</v>
      </c>
      <c r="AO553" s="19">
        <f t="shared" si="553"/>
        <v>46053.375</v>
      </c>
      <c r="AP553" s="19">
        <f t="shared" si="553"/>
        <v>46053.39583</v>
      </c>
      <c r="AQ553" s="19">
        <f t="shared" si="553"/>
        <v>46053.41667</v>
      </c>
      <c r="AR553" s="19">
        <f t="shared" si="553"/>
        <v>46053.4375</v>
      </c>
      <c r="AS553" s="19">
        <f t="shared" si="553"/>
        <v>46053.45833</v>
      </c>
      <c r="AT553" s="19">
        <f t="shared" si="553"/>
        <v>46053.47917</v>
      </c>
      <c r="AU553" s="19">
        <f t="shared" si="553"/>
        <v>46053.5</v>
      </c>
      <c r="AV553" s="19">
        <f t="shared" si="553"/>
        <v>46053.52083</v>
      </c>
      <c r="AW553" s="19">
        <f t="shared" si="553"/>
        <v>46053.54167</v>
      </c>
      <c r="AX553" s="19">
        <f t="shared" si="553"/>
        <v>46053.5625</v>
      </c>
      <c r="AY553" s="19">
        <f t="shared" si="553"/>
        <v>46053.58333</v>
      </c>
      <c r="AZ553" s="19">
        <f t="shared" si="553"/>
        <v>46053.60417</v>
      </c>
      <c r="BA553" s="19">
        <f t="shared" si="553"/>
        <v>46053.625</v>
      </c>
      <c r="BB553" s="19">
        <f t="shared" si="553"/>
        <v>46053.64583</v>
      </c>
      <c r="BC553" s="19">
        <f t="shared" si="553"/>
        <v>46053.66667</v>
      </c>
      <c r="BD553" s="19">
        <f t="shared" si="553"/>
        <v>46053.6875</v>
      </c>
      <c r="BE553" s="19">
        <f t="shared" si="553"/>
        <v>46053.70833</v>
      </c>
      <c r="BF553" s="19">
        <f t="shared" si="553"/>
        <v>46053.72917</v>
      </c>
      <c r="BG553" s="19">
        <f t="shared" si="553"/>
        <v>46053.75</v>
      </c>
      <c r="BH553" s="19">
        <f t="shared" si="553"/>
        <v>46053.77083</v>
      </c>
      <c r="BI553" s="19">
        <f t="shared" si="553"/>
        <v>46053.79167</v>
      </c>
      <c r="BJ553" s="19">
        <f t="shared" si="553"/>
        <v>46053.8125</v>
      </c>
      <c r="BK553" s="19">
        <f t="shared" si="553"/>
        <v>46053.83333</v>
      </c>
      <c r="BL553" s="19">
        <f t="shared" si="553"/>
        <v>46053.85417</v>
      </c>
      <c r="BM553" s="19">
        <f t="shared" si="553"/>
        <v>46053.875</v>
      </c>
      <c r="BN553" s="19">
        <f t="shared" si="553"/>
        <v>46053.89583</v>
      </c>
      <c r="BO553" s="19">
        <f t="shared" si="553"/>
        <v>46053.91667</v>
      </c>
      <c r="BP553" s="19">
        <f t="shared" si="553"/>
        <v>46053.9375</v>
      </c>
      <c r="BQ553" s="19">
        <f t="shared" si="553"/>
        <v>46053.95833</v>
      </c>
      <c r="BR553" s="19">
        <f t="shared" si="553"/>
        <v>46053.97917</v>
      </c>
      <c r="BS553" s="19">
        <f t="shared" si="553"/>
        <v>46054</v>
      </c>
      <c r="BT553" s="19">
        <f t="shared" si="553"/>
        <v>46054.02083</v>
      </c>
      <c r="BU553" s="19">
        <f t="shared" si="553"/>
        <v>46054.04167</v>
      </c>
      <c r="BV553" s="19">
        <f t="shared" si="553"/>
        <v>46054.0625</v>
      </c>
      <c r="BW553" s="19">
        <f t="shared" si="553"/>
        <v>46054.08333</v>
      </c>
      <c r="BX553" s="19">
        <f t="shared" si="553"/>
        <v>46053</v>
      </c>
      <c r="BY553" s="19">
        <f t="shared" si="553"/>
        <v>46053</v>
      </c>
      <c r="BZ553" s="19">
        <f t="shared" si="553"/>
        <v>46053</v>
      </c>
    </row>
    <row r="554" ht="14.25" customHeight="1">
      <c r="A554" s="17">
        <v>46054.0</v>
      </c>
      <c r="B554" s="2" t="str">
        <f t="array" ref="B554">IF(NOW()&gt;AM554,"",IF(AND((WEEKDAY($A554)+$B$2)&gt;1,((WEEKDAY($A554)+$T$2)&lt;7),(WEEKDAY($A554)&lt;&gt;1)),"work",(INDEX(Subject!$A:$I,MATCH(RANDBETWEEN(1,(MAX(Subject!$B:$B))),Subject!$B:$B,0),3))))</f>
        <v/>
      </c>
      <c r="C554" s="2" t="str">
        <f t="array" ref="C554">IF(NOW()&gt;AN554,"",IF(AND((WEEKDAY($A554)+$B$2)&gt;1,((WEEKDAY($A554)+$T$2)&lt;7),(WEEKDAY($A554)&lt;&gt;1)),"work",(INDEX(Subject!$A:$I,MATCH(RANDBETWEEN(1,(MAX(Subject!$B:$B))),Subject!$B:$B,0),3))))</f>
        <v/>
      </c>
      <c r="D554" s="2" t="str">
        <f t="array" ref="D554">IF(NOW()&gt;AO554,"",IF(AND((WEEKDAY($A554)+$B$2)&gt;1,((WEEKDAY($A554)+$T$2)&lt;7),(WEEKDAY($A554)&lt;&gt;1)),"work",(INDEX(Subject!$A:$I,MATCH(RANDBETWEEN(1,(MAX(Subject!$B:$B))),Subject!$B:$B,0),3))))</f>
        <v/>
      </c>
      <c r="E554" s="2" t="str">
        <f t="array" ref="E554">IF(NOW()&gt;AP554,"",IF(AND((WEEKDAY($A554)+$B$2)&gt;1,((WEEKDAY($A554)+$T$2)&lt;7),(WEEKDAY($A554)&lt;&gt;1)),"work",(INDEX(Subject!$A:$I,MATCH(RANDBETWEEN(1,(MAX(Subject!$B:$B))),Subject!$B:$B,0),3))))</f>
        <v/>
      </c>
      <c r="F554" s="2" t="str">
        <f t="array" ref="F554">IF(NOW()&gt;AQ554,"",IF(AND((WEEKDAY($A554)+$B$2)&gt;1,((WEEKDAY($A554)+$T$2)&lt;7),(WEEKDAY($A554)&lt;&gt;1)),"work",(INDEX(Subject!$A:$I,MATCH(RANDBETWEEN(1,(MAX(Subject!$B:$B))),Subject!$B:$B,0),3))))</f>
        <v/>
      </c>
      <c r="G554" s="2" t="str">
        <f t="array" ref="G554">IF(NOW()&gt;AR554,"",IF(AND((WEEKDAY($A554)+$B$2)&gt;1,((WEEKDAY($A554)+$T$2)&lt;7),(WEEKDAY($A554)&lt;&gt;1)),"work",(INDEX(Subject!$A:$I,MATCH(RANDBETWEEN(1,(MAX(Subject!$B:$B))),Subject!$B:$B,0),3))))</f>
        <v/>
      </c>
      <c r="H554" s="2" t="str">
        <f t="array" ref="H554">IF(NOW()&gt;AS554,"",IF(AND((WEEKDAY($A554)+$B$2)&gt;1,((WEEKDAY($A554)+$T$2)&lt;7),(WEEKDAY($A554)&lt;&gt;1)),"work",(INDEX(Subject!$A:$I,MATCH(RANDBETWEEN(1,(MAX(Subject!$B:$B))),Subject!$B:$B,0),3))))</f>
        <v/>
      </c>
      <c r="I554" s="2" t="str">
        <f t="array" ref="I554">IF(NOW()&gt;AT554,"",IF(AND((WEEKDAY($A554)+$B$2)&gt;1,((WEEKDAY($A554)+$T$2)&lt;7),(WEEKDAY($A554)&lt;&gt;1)),"work",(INDEX(Subject!$A:$I,MATCH(RANDBETWEEN(1,(MAX(Subject!$B:$B))),Subject!$B:$B,0),3))))</f>
        <v/>
      </c>
      <c r="J554" s="2" t="str">
        <f t="array" ref="J554">IF(NOW()&gt;AU554,"",IF(AND((WEEKDAY($A554)+$B$2)&gt;1,((WEEKDAY($A554)+$T$2)&lt;7),(WEEKDAY($A554)&lt;&gt;1)),"work",(INDEX(Subject!$A:$I,MATCH(RANDBETWEEN(1,(MAX(Subject!$B:$B))),Subject!$B:$B,0),3))))</f>
        <v/>
      </c>
      <c r="K554" s="2" t="str">
        <f t="array" ref="K554">IF(NOW()&gt;AV554,"",IF(AND((WEEKDAY($A554)+$B$2)&gt;1,((WEEKDAY($A554)+$T$2)&lt;7),(WEEKDAY($A554)&lt;&gt;1)),"work",(INDEX(Subject!$A:$I,MATCH(RANDBETWEEN(1,(MAX(Subject!$B:$B))),Subject!$B:$B,0),3))))</f>
        <v/>
      </c>
      <c r="L554" s="2" t="str">
        <f t="array" ref="L554">IF(NOW()&gt;AW554,"",IF(AND((WEEKDAY($A554)+$B$2)&gt;1,((WEEKDAY($A554)+$T$2)&lt;7),(WEEKDAY($A554)&lt;&gt;1)),"work",(INDEX(Subject!$A:$I,MATCH(RANDBETWEEN(1,(MAX(Subject!$B:$B))),Subject!$B:$B,0),3))))</f>
        <v/>
      </c>
      <c r="M554" s="2" t="str">
        <f t="array" ref="M554">IF(NOW()&gt;AX554,"",IF(AND((WEEKDAY($A554)+$B$2)&gt;1,((WEEKDAY($A554)+$T$2)&lt;7),(WEEKDAY($A554)&lt;&gt;1)),"work",(INDEX(Subject!$A:$I,MATCH(RANDBETWEEN(1,(MAX(Subject!$B:$B))),Subject!$B:$B,0),3))))</f>
        <v/>
      </c>
      <c r="N554" s="2" t="str">
        <f t="array" ref="N554">IF(NOW()&gt;AY554,"",IF(AND((WEEKDAY($A554)+$B$2)&gt;1,((WEEKDAY($A554)+$T$2)&lt;7),(WEEKDAY($A554)&lt;&gt;1)),"work",(INDEX(Subject!$A:$I,MATCH(RANDBETWEEN(1,(MAX(Subject!$B:$B))),Subject!$B:$B,0),3))))</f>
        <v/>
      </c>
      <c r="O554" s="2" t="str">
        <f t="array" ref="O554">IF(NOW()&gt;AZ554,"",IF(AND((WEEKDAY($A554)+$B$2)&gt;1,((WEEKDAY($A554)+$T$2)&lt;7),(WEEKDAY($A554)&lt;&gt;1)),"work",(INDEX(Subject!$A:$I,MATCH(RANDBETWEEN(1,(MAX(Subject!$B:$B))),Subject!$B:$B,0),3))))</f>
        <v/>
      </c>
      <c r="P554" s="2" t="str">
        <f t="array" ref="P554">IF(NOW()&gt;BA554,"",IF(AND((WEEKDAY($A554)+$B$2)&gt;1,((WEEKDAY($A554)+$T$2)&lt;7),(WEEKDAY($A554)&lt;&gt;1)),"work",(INDEX(Subject!$A:$I,MATCH(RANDBETWEEN(1,(MAX(Subject!$B:$B))),Subject!$B:$B,0),3))))</f>
        <v/>
      </c>
      <c r="Q554" s="2" t="str">
        <f t="array" ref="Q554">IF(NOW()&gt;BB554,"",IF(AND((WEEKDAY($A554)+$B$2)&gt;1,((WEEKDAY($A554)+$T$2)&lt;7),(WEEKDAY($A554)&lt;&gt;1)),"work",(INDEX(Subject!$A:$I,MATCH(RANDBETWEEN(1,(MAX(Subject!$B:$B))),Subject!$B:$B,0),3))))</f>
        <v/>
      </c>
      <c r="R554" s="2" t="str">
        <f t="array" ref="R554">IF(NOW()&gt;BC554,"",IF(AND((WEEKDAY($A554)+$B$2)&gt;1,((WEEKDAY($A554)+$T$2)&lt;7),(WEEKDAY($A554)&lt;&gt;1)),"work",(INDEX(Subject!$A:$I,MATCH(RANDBETWEEN(1,(MAX(Subject!$B:$B))),Subject!$B:$B,0),3))))</f>
        <v/>
      </c>
      <c r="S554" s="2" t="str">
        <f t="array" ref="S554">IF(NOW()&gt;BD554,"",IF(AND((WEEKDAY($A554)+$B$2)&gt;1,((WEEKDAY($A554)+$T$2)&lt;7),(WEEKDAY($A554)&lt;&gt;1)),"work",(INDEX(Subject!$A:$I,MATCH(RANDBETWEEN(1,(MAX(Subject!$B:$B))),Subject!$B:$B,0),3))))</f>
        <v/>
      </c>
      <c r="T554" s="2" t="str">
        <f t="array" ref="T554">IF(NOW()&gt;BE554,"",IF(AND((WEEKDAY($A554)+$B$2)&gt;1,((WEEKDAY($A554)+$T$2)&lt;7),(WEEKDAY($A554)&lt;&gt;1)),"work",(INDEX(Subject!$A:$I,MATCH(RANDBETWEEN(1,(MAX(Subject!$B:$B))),Subject!$B:$B,0),3))))</f>
        <v/>
      </c>
      <c r="U554" s="8" t="str">
        <f t="array" ref="U554">INDEX(Subject!$A:$I,MATCH(RANDBETWEEN(1,16),Subject!$B:$B,0),3)</f>
        <v>#N/A</v>
      </c>
      <c r="V554" s="8" t="str">
        <f t="array" ref="V554">INDEX(Subject!$A:$I,MATCH(RANDBETWEEN(1,16),Subject!$B:$B,0),3)</f>
        <v>#N/A</v>
      </c>
      <c r="W554" s="8" t="str">
        <f t="array" ref="W554">INDEX(Subject!$A:$I,MATCH(RANDBETWEEN(1,16),Subject!$B:$B,0),3)</f>
        <v>#N/A</v>
      </c>
      <c r="X554" s="8" t="str">
        <f t="array" ref="X554">INDEX(Subject!$A:$I,MATCH(RANDBETWEEN(1,16),Subject!$B:$B,0),3)</f>
        <v>#N/A</v>
      </c>
      <c r="Y554" s="8" t="str">
        <f t="array" ref="Y554">INDEX(Subject!$A:$I,MATCH(RANDBETWEEN(1,16),Subject!$B:$B,0),3)</f>
        <v>#N/A</v>
      </c>
      <c r="Z554" s="8" t="str">
        <f t="array" ref="Z554">INDEX(Subject!$A:$I,MATCH(RANDBETWEEN(1,16),Subject!$B:$B,0),3)</f>
        <v>#N/A</v>
      </c>
      <c r="AA554" s="8" t="str">
        <f t="array" ref="AA554">INDEX(Subject!$A:$I,MATCH(RANDBETWEEN(1,16),Subject!$B:$B,0),3)</f>
        <v>#N/A</v>
      </c>
      <c r="AB554" s="8" t="str">
        <f t="array" ref="AB554">INDEX(Subject!$A:$I,MATCH(RANDBETWEEN(1,16),Subject!$B:$B,0),3)</f>
        <v>#N/A</v>
      </c>
      <c r="AC554" s="8" t="str">
        <f t="array" ref="AC554">INDEX(Subject!$A:$I,MATCH(RANDBETWEEN(1,16),Subject!$B:$B,0),3)</f>
        <v>#N/A</v>
      </c>
      <c r="AD554" s="8" t="str">
        <f t="array" ref="AD554">INDEX(Subject!$A:$I,MATCH(RANDBETWEEN(1,16),Subject!$B:$B,0),3)</f>
        <v>#N/A</v>
      </c>
      <c r="AE554" s="8" t="str">
        <f t="array" ref="AE554">INDEX(Subject!$A:$I,MATCH(RANDBETWEEN(1,16),Subject!$B:$B,0),3)</f>
        <v>#N/A</v>
      </c>
      <c r="AF554" s="8" t="str">
        <f t="array" ref="AF554">INDEX(Subject!$A:$I,MATCH(RANDBETWEEN(1,16),Subject!$B:$B,0),3)</f>
        <v>#N/A</v>
      </c>
      <c r="AG554" s="8" t="str">
        <f t="array" ref="AG554">INDEX(Subject!$A:$I,MATCH(RANDBETWEEN(1,16),Subject!$B:$B,0),3)</f>
        <v>#N/A</v>
      </c>
      <c r="AH554" s="8" t="str">
        <f t="array" ref="AH554">INDEX(Subject!$A:$I,MATCH(RANDBETWEEN(1,16),Subject!$B:$B,0),3)</f>
        <v>#N/A</v>
      </c>
      <c r="AI554" s="8" t="str">
        <f t="array" ref="AI554">INDEX(Subject!$A:$I,MATCH(RANDBETWEEN(1,16),Subject!$B:$B,0),3)</f>
        <v>#N/A</v>
      </c>
      <c r="AJ554" s="8" t="str">
        <f t="array" ref="AJ554">INDEX(Subject!$A:$I,MATCH(RANDBETWEEN(1,16),Subject!$B:$B,0),3)</f>
        <v>#N/A</v>
      </c>
      <c r="AK554" s="8" t="str">
        <f t="array" ref="AK554">INDEX(Subject!$A:$I,MATCH(RANDBETWEEN(1,16),Subject!$B:$B,0),3)</f>
        <v>#N/A</v>
      </c>
      <c r="AL554" s="8" t="str">
        <f t="array" ref="AL554">INDEX(Subject!$A:$I,MATCH(RANDBETWEEN(1,16),Subject!$B:$B,0),3)</f>
        <v>#N/A</v>
      </c>
      <c r="AM554" s="18">
        <f t="shared" si="4"/>
        <v>46054.33333</v>
      </c>
      <c r="AN554" s="19">
        <f t="shared" ref="AN554:BZ554" si="554">$A554+C$1</f>
        <v>46054.35417</v>
      </c>
      <c r="AO554" s="19">
        <f t="shared" si="554"/>
        <v>46054.375</v>
      </c>
      <c r="AP554" s="19">
        <f t="shared" si="554"/>
        <v>46054.39583</v>
      </c>
      <c r="AQ554" s="19">
        <f t="shared" si="554"/>
        <v>46054.41667</v>
      </c>
      <c r="AR554" s="19">
        <f t="shared" si="554"/>
        <v>46054.4375</v>
      </c>
      <c r="AS554" s="19">
        <f t="shared" si="554"/>
        <v>46054.45833</v>
      </c>
      <c r="AT554" s="19">
        <f t="shared" si="554"/>
        <v>46054.47917</v>
      </c>
      <c r="AU554" s="19">
        <f t="shared" si="554"/>
        <v>46054.5</v>
      </c>
      <c r="AV554" s="19">
        <f t="shared" si="554"/>
        <v>46054.52083</v>
      </c>
      <c r="AW554" s="19">
        <f t="shared" si="554"/>
        <v>46054.54167</v>
      </c>
      <c r="AX554" s="19">
        <f t="shared" si="554"/>
        <v>46054.5625</v>
      </c>
      <c r="AY554" s="19">
        <f t="shared" si="554"/>
        <v>46054.58333</v>
      </c>
      <c r="AZ554" s="19">
        <f t="shared" si="554"/>
        <v>46054.60417</v>
      </c>
      <c r="BA554" s="19">
        <f t="shared" si="554"/>
        <v>46054.625</v>
      </c>
      <c r="BB554" s="19">
        <f t="shared" si="554"/>
        <v>46054.64583</v>
      </c>
      <c r="BC554" s="19">
        <f t="shared" si="554"/>
        <v>46054.66667</v>
      </c>
      <c r="BD554" s="19">
        <f t="shared" si="554"/>
        <v>46054.6875</v>
      </c>
      <c r="BE554" s="19">
        <f t="shared" si="554"/>
        <v>46054.70833</v>
      </c>
      <c r="BF554" s="19">
        <f t="shared" si="554"/>
        <v>46054.72917</v>
      </c>
      <c r="BG554" s="19">
        <f t="shared" si="554"/>
        <v>46054.75</v>
      </c>
      <c r="BH554" s="19">
        <f t="shared" si="554"/>
        <v>46054.77083</v>
      </c>
      <c r="BI554" s="19">
        <f t="shared" si="554"/>
        <v>46054.79167</v>
      </c>
      <c r="BJ554" s="19">
        <f t="shared" si="554"/>
        <v>46054.8125</v>
      </c>
      <c r="BK554" s="19">
        <f t="shared" si="554"/>
        <v>46054.83333</v>
      </c>
      <c r="BL554" s="19">
        <f t="shared" si="554"/>
        <v>46054.85417</v>
      </c>
      <c r="BM554" s="19">
        <f t="shared" si="554"/>
        <v>46054.875</v>
      </c>
      <c r="BN554" s="19">
        <f t="shared" si="554"/>
        <v>46054.89583</v>
      </c>
      <c r="BO554" s="19">
        <f t="shared" si="554"/>
        <v>46054.91667</v>
      </c>
      <c r="BP554" s="19">
        <f t="shared" si="554"/>
        <v>46054.9375</v>
      </c>
      <c r="BQ554" s="19">
        <f t="shared" si="554"/>
        <v>46054.95833</v>
      </c>
      <c r="BR554" s="19">
        <f t="shared" si="554"/>
        <v>46054.97917</v>
      </c>
      <c r="BS554" s="19">
        <f t="shared" si="554"/>
        <v>46055</v>
      </c>
      <c r="BT554" s="19">
        <f t="shared" si="554"/>
        <v>46055.02083</v>
      </c>
      <c r="BU554" s="19">
        <f t="shared" si="554"/>
        <v>46055.04167</v>
      </c>
      <c r="BV554" s="19">
        <f t="shared" si="554"/>
        <v>46055.0625</v>
      </c>
      <c r="BW554" s="19">
        <f t="shared" si="554"/>
        <v>46055.08333</v>
      </c>
      <c r="BX554" s="19">
        <f t="shared" si="554"/>
        <v>46054</v>
      </c>
      <c r="BY554" s="19">
        <f t="shared" si="554"/>
        <v>46054</v>
      </c>
      <c r="BZ554" s="19">
        <f t="shared" si="554"/>
        <v>46054</v>
      </c>
    </row>
    <row r="555" ht="14.25" customHeight="1">
      <c r="A555" s="17">
        <v>46055.0</v>
      </c>
      <c r="B555" s="2" t="str">
        <f t="array" ref="B555">IF(NOW()&gt;AM555,"",IF(AND((WEEKDAY($A555)+$B$2)&gt;1,((WEEKDAY($A555)+$T$2)&lt;7),(WEEKDAY($A555)&lt;&gt;1)),"work",(INDEX(Subject!$A:$I,MATCH(RANDBETWEEN(1,(MAX(Subject!$B:$B))),Subject!$B:$B,0),3))))</f>
        <v/>
      </c>
      <c r="C555" s="2" t="str">
        <f t="array" ref="C555">IF(NOW()&gt;AN555,"",IF(AND((WEEKDAY($A555)+$B$2)&gt;1,((WEEKDAY($A555)+$T$2)&lt;7),(WEEKDAY($A555)&lt;&gt;1)),"work",(INDEX(Subject!$A:$I,MATCH(RANDBETWEEN(1,(MAX(Subject!$B:$B))),Subject!$B:$B,0),3))))</f>
        <v/>
      </c>
      <c r="D555" s="2" t="str">
        <f t="array" ref="D555">IF(NOW()&gt;AO555,"",IF(AND((WEEKDAY($A555)+$B$2)&gt;1,((WEEKDAY($A555)+$T$2)&lt;7),(WEEKDAY($A555)&lt;&gt;1)),"work",(INDEX(Subject!$A:$I,MATCH(RANDBETWEEN(1,(MAX(Subject!$B:$B))),Subject!$B:$B,0),3))))</f>
        <v/>
      </c>
      <c r="E555" s="2" t="str">
        <f t="array" ref="E555">IF(NOW()&gt;AP555,"",IF(AND((WEEKDAY($A555)+$B$2)&gt;1,((WEEKDAY($A555)+$T$2)&lt;7),(WEEKDAY($A555)&lt;&gt;1)),"work",(INDEX(Subject!$A:$I,MATCH(RANDBETWEEN(1,(MAX(Subject!$B:$B))),Subject!$B:$B,0),3))))</f>
        <v/>
      </c>
      <c r="F555" s="2" t="str">
        <f t="array" ref="F555">IF(NOW()&gt;AQ555,"",IF(AND((WEEKDAY($A555)+$B$2)&gt;1,((WEEKDAY($A555)+$T$2)&lt;7),(WEEKDAY($A555)&lt;&gt;1)),"work",(INDEX(Subject!$A:$I,MATCH(RANDBETWEEN(1,(MAX(Subject!$B:$B))),Subject!$B:$B,0),3))))</f>
        <v/>
      </c>
      <c r="G555" s="2" t="str">
        <f t="array" ref="G555">IF(NOW()&gt;AR555,"",IF(AND((WEEKDAY($A555)+$B$2)&gt;1,((WEEKDAY($A555)+$T$2)&lt;7),(WEEKDAY($A555)&lt;&gt;1)),"work",(INDEX(Subject!$A:$I,MATCH(RANDBETWEEN(1,(MAX(Subject!$B:$B))),Subject!$B:$B,0),3))))</f>
        <v/>
      </c>
      <c r="H555" s="2" t="str">
        <f t="array" ref="H555">IF(NOW()&gt;AS555,"",IF(AND((WEEKDAY($A555)+$B$2)&gt;1,((WEEKDAY($A555)+$T$2)&lt;7),(WEEKDAY($A555)&lt;&gt;1)),"work",(INDEX(Subject!$A:$I,MATCH(RANDBETWEEN(1,(MAX(Subject!$B:$B))),Subject!$B:$B,0),3))))</f>
        <v/>
      </c>
      <c r="I555" s="2" t="str">
        <f t="array" ref="I555">IF(NOW()&gt;AT555,"",IF(AND((WEEKDAY($A555)+$B$2)&gt;1,((WEEKDAY($A555)+$T$2)&lt;7),(WEEKDAY($A555)&lt;&gt;1)),"work",(INDEX(Subject!$A:$I,MATCH(RANDBETWEEN(1,(MAX(Subject!$B:$B))),Subject!$B:$B,0),3))))</f>
        <v/>
      </c>
      <c r="J555" s="2" t="str">
        <f t="array" ref="J555">IF(NOW()&gt;AU555,"",IF(AND((WEEKDAY($A555)+$B$2)&gt;1,((WEEKDAY($A555)+$T$2)&lt;7),(WEEKDAY($A555)&lt;&gt;1)),"work",(INDEX(Subject!$A:$I,MATCH(RANDBETWEEN(1,(MAX(Subject!$B:$B))),Subject!$B:$B,0),3))))</f>
        <v/>
      </c>
      <c r="K555" s="2" t="str">
        <f t="array" ref="K555">IF(NOW()&gt;AV555,"",IF(AND((WEEKDAY($A555)+$B$2)&gt;1,((WEEKDAY($A555)+$T$2)&lt;7),(WEEKDAY($A555)&lt;&gt;1)),"work",(INDEX(Subject!$A:$I,MATCH(RANDBETWEEN(1,(MAX(Subject!$B:$B))),Subject!$B:$B,0),3))))</f>
        <v/>
      </c>
      <c r="L555" s="2" t="str">
        <f t="array" ref="L555">IF(NOW()&gt;AW555,"",IF(AND((WEEKDAY($A555)+$B$2)&gt;1,((WEEKDAY($A555)+$T$2)&lt;7),(WEEKDAY($A555)&lt;&gt;1)),"work",(INDEX(Subject!$A:$I,MATCH(RANDBETWEEN(1,(MAX(Subject!$B:$B))),Subject!$B:$B,0),3))))</f>
        <v/>
      </c>
      <c r="M555" s="2" t="str">
        <f t="array" ref="M555">IF(NOW()&gt;AX555,"",IF(AND((WEEKDAY($A555)+$B$2)&gt;1,((WEEKDAY($A555)+$T$2)&lt;7),(WEEKDAY($A555)&lt;&gt;1)),"work",(INDEX(Subject!$A:$I,MATCH(RANDBETWEEN(1,(MAX(Subject!$B:$B))),Subject!$B:$B,0),3))))</f>
        <v/>
      </c>
      <c r="N555" s="2" t="str">
        <f t="array" ref="N555">IF(NOW()&gt;AY555,"",IF(AND((WEEKDAY($A555)+$B$2)&gt;1,((WEEKDAY($A555)+$T$2)&lt;7),(WEEKDAY($A555)&lt;&gt;1)),"work",(INDEX(Subject!$A:$I,MATCH(RANDBETWEEN(1,(MAX(Subject!$B:$B))),Subject!$B:$B,0),3))))</f>
        <v/>
      </c>
      <c r="O555" s="2" t="str">
        <f t="array" ref="O555">IF(NOW()&gt;AZ555,"",IF(AND((WEEKDAY($A555)+$B$2)&gt;1,((WEEKDAY($A555)+$T$2)&lt;7),(WEEKDAY($A555)&lt;&gt;1)),"work",(INDEX(Subject!$A:$I,MATCH(RANDBETWEEN(1,(MAX(Subject!$B:$B))),Subject!$B:$B,0),3))))</f>
        <v/>
      </c>
      <c r="P555" s="2" t="str">
        <f t="array" ref="P555">IF(NOW()&gt;BA555,"",IF(AND((WEEKDAY($A555)+$B$2)&gt;1,((WEEKDAY($A555)+$T$2)&lt;7),(WEEKDAY($A555)&lt;&gt;1)),"work",(INDEX(Subject!$A:$I,MATCH(RANDBETWEEN(1,(MAX(Subject!$B:$B))),Subject!$B:$B,0),3))))</f>
        <v/>
      </c>
      <c r="Q555" s="2" t="str">
        <f t="array" ref="Q555">IF(NOW()&gt;BB555,"",IF(AND((WEEKDAY($A555)+$B$2)&gt;1,((WEEKDAY($A555)+$T$2)&lt;7),(WEEKDAY($A555)&lt;&gt;1)),"work",(INDEX(Subject!$A:$I,MATCH(RANDBETWEEN(1,(MAX(Subject!$B:$B))),Subject!$B:$B,0),3))))</f>
        <v/>
      </c>
      <c r="R555" s="2" t="str">
        <f t="array" ref="R555">IF(NOW()&gt;BC555,"",IF(AND((WEEKDAY($A555)+$B$2)&gt;1,((WEEKDAY($A555)+$T$2)&lt;7),(WEEKDAY($A555)&lt;&gt;1)),"work",(INDEX(Subject!$A:$I,MATCH(RANDBETWEEN(1,(MAX(Subject!$B:$B))),Subject!$B:$B,0),3))))</f>
        <v/>
      </c>
      <c r="S555" s="2" t="str">
        <f t="array" ref="S555">IF(NOW()&gt;BD555,"",IF(AND((WEEKDAY($A555)+$B$2)&gt;1,((WEEKDAY($A555)+$T$2)&lt;7),(WEEKDAY($A555)&lt;&gt;1)),"work",(INDEX(Subject!$A:$I,MATCH(RANDBETWEEN(1,(MAX(Subject!$B:$B))),Subject!$B:$B,0),3))))</f>
        <v/>
      </c>
      <c r="T555" s="2" t="str">
        <f t="array" ref="T555">IF(NOW()&gt;BE555,"",IF(AND((WEEKDAY($A555)+$B$2)&gt;1,((WEEKDAY($A555)+$T$2)&lt;7),(WEEKDAY($A555)&lt;&gt;1)),"work",(INDEX(Subject!$A:$I,MATCH(RANDBETWEEN(1,(MAX(Subject!$B:$B))),Subject!$B:$B,0),3))))</f>
        <v/>
      </c>
      <c r="U555" s="8" t="str">
        <f t="array" ref="U555">INDEX(Subject!$A:$I,MATCH(RANDBETWEEN(1,16),Subject!$B:$B,0),3)</f>
        <v>#N/A</v>
      </c>
      <c r="V555" s="8" t="str">
        <f t="array" ref="V555">INDEX(Subject!$A:$I,MATCH(RANDBETWEEN(1,16),Subject!$B:$B,0),3)</f>
        <v>#N/A</v>
      </c>
      <c r="W555" s="8" t="str">
        <f t="array" ref="W555">INDEX(Subject!$A:$I,MATCH(RANDBETWEEN(1,16),Subject!$B:$B,0),3)</f>
        <v>#N/A</v>
      </c>
      <c r="X555" s="8" t="str">
        <f t="array" ref="X555">INDEX(Subject!$A:$I,MATCH(RANDBETWEEN(1,16),Subject!$B:$B,0),3)</f>
        <v>#N/A</v>
      </c>
      <c r="Y555" s="8" t="str">
        <f t="array" ref="Y555">INDEX(Subject!$A:$I,MATCH(RANDBETWEEN(1,16),Subject!$B:$B,0),3)</f>
        <v>#N/A</v>
      </c>
      <c r="Z555" s="8" t="str">
        <f t="array" ref="Z555">INDEX(Subject!$A:$I,MATCH(RANDBETWEEN(1,16),Subject!$B:$B,0),3)</f>
        <v>#N/A</v>
      </c>
      <c r="AA555" s="8" t="str">
        <f t="array" ref="AA555">INDEX(Subject!$A:$I,MATCH(RANDBETWEEN(1,16),Subject!$B:$B,0),3)</f>
        <v>#N/A</v>
      </c>
      <c r="AB555" s="8" t="str">
        <f t="array" ref="AB555">INDEX(Subject!$A:$I,MATCH(RANDBETWEEN(1,16),Subject!$B:$B,0),3)</f>
        <v>#N/A</v>
      </c>
      <c r="AC555" s="8" t="str">
        <f t="array" ref="AC555">INDEX(Subject!$A:$I,MATCH(RANDBETWEEN(1,16),Subject!$B:$B,0),3)</f>
        <v>#N/A</v>
      </c>
      <c r="AD555" s="8" t="str">
        <f t="array" ref="AD555">INDEX(Subject!$A:$I,MATCH(RANDBETWEEN(1,16),Subject!$B:$B,0),3)</f>
        <v>#N/A</v>
      </c>
      <c r="AE555" s="8" t="str">
        <f t="array" ref="AE555">INDEX(Subject!$A:$I,MATCH(RANDBETWEEN(1,16),Subject!$B:$B,0),3)</f>
        <v>#N/A</v>
      </c>
      <c r="AF555" s="8" t="str">
        <f t="array" ref="AF555">INDEX(Subject!$A:$I,MATCH(RANDBETWEEN(1,16),Subject!$B:$B,0),3)</f>
        <v>#N/A</v>
      </c>
      <c r="AG555" s="8" t="str">
        <f t="array" ref="AG555">INDEX(Subject!$A:$I,MATCH(RANDBETWEEN(1,16),Subject!$B:$B,0),3)</f>
        <v>#N/A</v>
      </c>
      <c r="AH555" s="8" t="str">
        <f t="array" ref="AH555">INDEX(Subject!$A:$I,MATCH(RANDBETWEEN(1,16),Subject!$B:$B,0),3)</f>
        <v/>
      </c>
      <c r="AI555" s="8" t="str">
        <f t="array" ref="AI555">INDEX(Subject!$A:$I,MATCH(RANDBETWEEN(1,16),Subject!$B:$B,0),3)</f>
        <v>#N/A</v>
      </c>
      <c r="AJ555" s="8" t="str">
        <f t="array" ref="AJ555">INDEX(Subject!$A:$I,MATCH(RANDBETWEEN(1,16),Subject!$B:$B,0),3)</f>
        <v>#N/A</v>
      </c>
      <c r="AK555" s="8" t="str">
        <f t="array" ref="AK555">INDEX(Subject!$A:$I,MATCH(RANDBETWEEN(1,16),Subject!$B:$B,0),3)</f>
        <v>#N/A</v>
      </c>
      <c r="AL555" s="8" t="str">
        <f t="array" ref="AL555">INDEX(Subject!$A:$I,MATCH(RANDBETWEEN(1,16),Subject!$B:$B,0),3)</f>
        <v>#N/A</v>
      </c>
      <c r="AM555" s="18">
        <f t="shared" si="4"/>
        <v>46055.33333</v>
      </c>
      <c r="AN555" s="19">
        <f t="shared" ref="AN555:BZ555" si="555">$A555+C$1</f>
        <v>46055.35417</v>
      </c>
      <c r="AO555" s="19">
        <f t="shared" si="555"/>
        <v>46055.375</v>
      </c>
      <c r="AP555" s="19">
        <f t="shared" si="555"/>
        <v>46055.39583</v>
      </c>
      <c r="AQ555" s="19">
        <f t="shared" si="555"/>
        <v>46055.41667</v>
      </c>
      <c r="AR555" s="19">
        <f t="shared" si="555"/>
        <v>46055.4375</v>
      </c>
      <c r="AS555" s="19">
        <f t="shared" si="555"/>
        <v>46055.45833</v>
      </c>
      <c r="AT555" s="19">
        <f t="shared" si="555"/>
        <v>46055.47917</v>
      </c>
      <c r="AU555" s="19">
        <f t="shared" si="555"/>
        <v>46055.5</v>
      </c>
      <c r="AV555" s="19">
        <f t="shared" si="555"/>
        <v>46055.52083</v>
      </c>
      <c r="AW555" s="19">
        <f t="shared" si="555"/>
        <v>46055.54167</v>
      </c>
      <c r="AX555" s="19">
        <f t="shared" si="555"/>
        <v>46055.5625</v>
      </c>
      <c r="AY555" s="19">
        <f t="shared" si="555"/>
        <v>46055.58333</v>
      </c>
      <c r="AZ555" s="19">
        <f t="shared" si="555"/>
        <v>46055.60417</v>
      </c>
      <c r="BA555" s="19">
        <f t="shared" si="555"/>
        <v>46055.625</v>
      </c>
      <c r="BB555" s="19">
        <f t="shared" si="555"/>
        <v>46055.64583</v>
      </c>
      <c r="BC555" s="19">
        <f t="shared" si="555"/>
        <v>46055.66667</v>
      </c>
      <c r="BD555" s="19">
        <f t="shared" si="555"/>
        <v>46055.6875</v>
      </c>
      <c r="BE555" s="19">
        <f t="shared" si="555"/>
        <v>46055.70833</v>
      </c>
      <c r="BF555" s="19">
        <f t="shared" si="555"/>
        <v>46055.72917</v>
      </c>
      <c r="BG555" s="19">
        <f t="shared" si="555"/>
        <v>46055.75</v>
      </c>
      <c r="BH555" s="19">
        <f t="shared" si="555"/>
        <v>46055.77083</v>
      </c>
      <c r="BI555" s="19">
        <f t="shared" si="555"/>
        <v>46055.79167</v>
      </c>
      <c r="BJ555" s="19">
        <f t="shared" si="555"/>
        <v>46055.8125</v>
      </c>
      <c r="BK555" s="19">
        <f t="shared" si="555"/>
        <v>46055.83333</v>
      </c>
      <c r="BL555" s="19">
        <f t="shared" si="555"/>
        <v>46055.85417</v>
      </c>
      <c r="BM555" s="19">
        <f t="shared" si="555"/>
        <v>46055.875</v>
      </c>
      <c r="BN555" s="19">
        <f t="shared" si="555"/>
        <v>46055.89583</v>
      </c>
      <c r="BO555" s="19">
        <f t="shared" si="555"/>
        <v>46055.91667</v>
      </c>
      <c r="BP555" s="19">
        <f t="shared" si="555"/>
        <v>46055.9375</v>
      </c>
      <c r="BQ555" s="19">
        <f t="shared" si="555"/>
        <v>46055.95833</v>
      </c>
      <c r="BR555" s="19">
        <f t="shared" si="555"/>
        <v>46055.97917</v>
      </c>
      <c r="BS555" s="19">
        <f t="shared" si="555"/>
        <v>46056</v>
      </c>
      <c r="BT555" s="19">
        <f t="shared" si="555"/>
        <v>46056.02083</v>
      </c>
      <c r="BU555" s="19">
        <f t="shared" si="555"/>
        <v>46056.04167</v>
      </c>
      <c r="BV555" s="19">
        <f t="shared" si="555"/>
        <v>46056.0625</v>
      </c>
      <c r="BW555" s="19">
        <f t="shared" si="555"/>
        <v>46056.08333</v>
      </c>
      <c r="BX555" s="19">
        <f t="shared" si="555"/>
        <v>46055</v>
      </c>
      <c r="BY555" s="19">
        <f t="shared" si="555"/>
        <v>46055</v>
      </c>
      <c r="BZ555" s="19">
        <f t="shared" si="555"/>
        <v>46055</v>
      </c>
    </row>
    <row r="556" ht="14.25" customHeight="1">
      <c r="A556" s="17">
        <v>46056.0</v>
      </c>
      <c r="B556" s="2" t="str">
        <f t="array" ref="B556">IF(NOW()&gt;AM556,"",IF(AND((WEEKDAY($A556)+$B$2)&gt;1,((WEEKDAY($A556)+$T$2)&lt;7),(WEEKDAY($A556)&lt;&gt;1)),"work",(INDEX(Subject!$A:$I,MATCH(RANDBETWEEN(1,(MAX(Subject!$B:$B))),Subject!$B:$B,0),3))))</f>
        <v/>
      </c>
      <c r="C556" s="2" t="str">
        <f t="array" ref="C556">IF(NOW()&gt;AN556,"",IF(AND((WEEKDAY($A556)+$B$2)&gt;1,((WEEKDAY($A556)+$T$2)&lt;7),(WEEKDAY($A556)&lt;&gt;1)),"work",(INDEX(Subject!$A:$I,MATCH(RANDBETWEEN(1,(MAX(Subject!$B:$B))),Subject!$B:$B,0),3))))</f>
        <v/>
      </c>
      <c r="D556" s="2" t="str">
        <f t="array" ref="D556">IF(NOW()&gt;AO556,"",IF(AND((WEEKDAY($A556)+$B$2)&gt;1,((WEEKDAY($A556)+$T$2)&lt;7),(WEEKDAY($A556)&lt;&gt;1)),"work",(INDEX(Subject!$A:$I,MATCH(RANDBETWEEN(1,(MAX(Subject!$B:$B))),Subject!$B:$B,0),3))))</f>
        <v/>
      </c>
      <c r="E556" s="2" t="str">
        <f t="array" ref="E556">IF(NOW()&gt;AP556,"",IF(AND((WEEKDAY($A556)+$B$2)&gt;1,((WEEKDAY($A556)+$T$2)&lt;7),(WEEKDAY($A556)&lt;&gt;1)),"work",(INDEX(Subject!$A:$I,MATCH(RANDBETWEEN(1,(MAX(Subject!$B:$B))),Subject!$B:$B,0),3))))</f>
        <v/>
      </c>
      <c r="F556" s="2" t="str">
        <f t="array" ref="F556">IF(NOW()&gt;AQ556,"",IF(AND((WEEKDAY($A556)+$B$2)&gt;1,((WEEKDAY($A556)+$T$2)&lt;7),(WEEKDAY($A556)&lt;&gt;1)),"work",(INDEX(Subject!$A:$I,MATCH(RANDBETWEEN(1,(MAX(Subject!$B:$B))),Subject!$B:$B,0),3))))</f>
        <v/>
      </c>
      <c r="G556" s="2" t="str">
        <f t="array" ref="G556">IF(NOW()&gt;AR556,"",IF(AND((WEEKDAY($A556)+$B$2)&gt;1,((WEEKDAY($A556)+$T$2)&lt;7),(WEEKDAY($A556)&lt;&gt;1)),"work",(INDEX(Subject!$A:$I,MATCH(RANDBETWEEN(1,(MAX(Subject!$B:$B))),Subject!$B:$B,0),3))))</f>
        <v/>
      </c>
      <c r="H556" s="2" t="str">
        <f t="array" ref="H556">IF(NOW()&gt;AS556,"",IF(AND((WEEKDAY($A556)+$B$2)&gt;1,((WEEKDAY($A556)+$T$2)&lt;7),(WEEKDAY($A556)&lt;&gt;1)),"work",(INDEX(Subject!$A:$I,MATCH(RANDBETWEEN(1,(MAX(Subject!$B:$B))),Subject!$B:$B,0),3))))</f>
        <v/>
      </c>
      <c r="I556" s="2" t="str">
        <f t="array" ref="I556">IF(NOW()&gt;AT556,"",IF(AND((WEEKDAY($A556)+$B$2)&gt;1,((WEEKDAY($A556)+$T$2)&lt;7),(WEEKDAY($A556)&lt;&gt;1)),"work",(INDEX(Subject!$A:$I,MATCH(RANDBETWEEN(1,(MAX(Subject!$B:$B))),Subject!$B:$B,0),3))))</f>
        <v/>
      </c>
      <c r="J556" s="2" t="str">
        <f t="array" ref="J556">IF(NOW()&gt;AU556,"",IF(AND((WEEKDAY($A556)+$B$2)&gt;1,((WEEKDAY($A556)+$T$2)&lt;7),(WEEKDAY($A556)&lt;&gt;1)),"work",(INDEX(Subject!$A:$I,MATCH(RANDBETWEEN(1,(MAX(Subject!$B:$B))),Subject!$B:$B,0),3))))</f>
        <v/>
      </c>
      <c r="K556" s="2" t="str">
        <f t="array" ref="K556">IF(NOW()&gt;AV556,"",IF(AND((WEEKDAY($A556)+$B$2)&gt;1,((WEEKDAY($A556)+$T$2)&lt;7),(WEEKDAY($A556)&lt;&gt;1)),"work",(INDEX(Subject!$A:$I,MATCH(RANDBETWEEN(1,(MAX(Subject!$B:$B))),Subject!$B:$B,0),3))))</f>
        <v/>
      </c>
      <c r="L556" s="2" t="str">
        <f t="array" ref="L556">IF(NOW()&gt;AW556,"",IF(AND((WEEKDAY($A556)+$B$2)&gt;1,((WEEKDAY($A556)+$T$2)&lt;7),(WEEKDAY($A556)&lt;&gt;1)),"work",(INDEX(Subject!$A:$I,MATCH(RANDBETWEEN(1,(MAX(Subject!$B:$B))),Subject!$B:$B,0),3))))</f>
        <v/>
      </c>
      <c r="M556" s="2" t="str">
        <f t="array" ref="M556">IF(NOW()&gt;AX556,"",IF(AND((WEEKDAY($A556)+$B$2)&gt;1,((WEEKDAY($A556)+$T$2)&lt;7),(WEEKDAY($A556)&lt;&gt;1)),"work",(INDEX(Subject!$A:$I,MATCH(RANDBETWEEN(1,(MAX(Subject!$B:$B))),Subject!$B:$B,0),3))))</f>
        <v/>
      </c>
      <c r="N556" s="2" t="str">
        <f t="array" ref="N556">IF(NOW()&gt;AY556,"",IF(AND((WEEKDAY($A556)+$B$2)&gt;1,((WEEKDAY($A556)+$T$2)&lt;7),(WEEKDAY($A556)&lt;&gt;1)),"work",(INDEX(Subject!$A:$I,MATCH(RANDBETWEEN(1,(MAX(Subject!$B:$B))),Subject!$B:$B,0),3))))</f>
        <v/>
      </c>
      <c r="O556" s="2" t="str">
        <f t="array" ref="O556">IF(NOW()&gt;AZ556,"",IF(AND((WEEKDAY($A556)+$B$2)&gt;1,((WEEKDAY($A556)+$T$2)&lt;7),(WEEKDAY($A556)&lt;&gt;1)),"work",(INDEX(Subject!$A:$I,MATCH(RANDBETWEEN(1,(MAX(Subject!$B:$B))),Subject!$B:$B,0),3))))</f>
        <v/>
      </c>
      <c r="P556" s="2" t="str">
        <f t="array" ref="P556">IF(NOW()&gt;BA556,"",IF(AND((WEEKDAY($A556)+$B$2)&gt;1,((WEEKDAY($A556)+$T$2)&lt;7),(WEEKDAY($A556)&lt;&gt;1)),"work",(INDEX(Subject!$A:$I,MATCH(RANDBETWEEN(1,(MAX(Subject!$B:$B))),Subject!$B:$B,0),3))))</f>
        <v/>
      </c>
      <c r="Q556" s="2" t="str">
        <f t="array" ref="Q556">IF(NOW()&gt;BB556,"",IF(AND((WEEKDAY($A556)+$B$2)&gt;1,((WEEKDAY($A556)+$T$2)&lt;7),(WEEKDAY($A556)&lt;&gt;1)),"work",(INDEX(Subject!$A:$I,MATCH(RANDBETWEEN(1,(MAX(Subject!$B:$B))),Subject!$B:$B,0),3))))</f>
        <v/>
      </c>
      <c r="R556" s="2" t="str">
        <f t="array" ref="R556">IF(NOW()&gt;BC556,"",IF(AND((WEEKDAY($A556)+$B$2)&gt;1,((WEEKDAY($A556)+$T$2)&lt;7),(WEEKDAY($A556)&lt;&gt;1)),"work",(INDEX(Subject!$A:$I,MATCH(RANDBETWEEN(1,(MAX(Subject!$B:$B))),Subject!$B:$B,0),3))))</f>
        <v/>
      </c>
      <c r="S556" s="2" t="str">
        <f t="array" ref="S556">IF(NOW()&gt;BD556,"",IF(AND((WEEKDAY($A556)+$B$2)&gt;1,((WEEKDAY($A556)+$T$2)&lt;7),(WEEKDAY($A556)&lt;&gt;1)),"work",(INDEX(Subject!$A:$I,MATCH(RANDBETWEEN(1,(MAX(Subject!$B:$B))),Subject!$B:$B,0),3))))</f>
        <v/>
      </c>
      <c r="T556" s="2" t="str">
        <f t="array" ref="T556">IF(NOW()&gt;BE556,"",IF(AND((WEEKDAY($A556)+$B$2)&gt;1,((WEEKDAY($A556)+$T$2)&lt;7),(WEEKDAY($A556)&lt;&gt;1)),"work",(INDEX(Subject!$A:$I,MATCH(RANDBETWEEN(1,(MAX(Subject!$B:$B))),Subject!$B:$B,0),3))))</f>
        <v/>
      </c>
      <c r="U556" s="8" t="str">
        <f t="array" ref="U556">INDEX(Subject!$A:$I,MATCH(RANDBETWEEN(1,16),Subject!$B:$B,0),3)</f>
        <v>#N/A</v>
      </c>
      <c r="V556" s="8" t="str">
        <f t="array" ref="V556">INDEX(Subject!$A:$I,MATCH(RANDBETWEEN(1,16),Subject!$B:$B,0),3)</f>
        <v>#N/A</v>
      </c>
      <c r="W556" s="8" t="str">
        <f t="array" ref="W556">INDEX(Subject!$A:$I,MATCH(RANDBETWEEN(1,16),Subject!$B:$B,0),3)</f>
        <v>#N/A</v>
      </c>
      <c r="X556" s="8" t="str">
        <f t="array" ref="X556">INDEX(Subject!$A:$I,MATCH(RANDBETWEEN(1,16),Subject!$B:$B,0),3)</f>
        <v>#N/A</v>
      </c>
      <c r="Y556" s="8" t="str">
        <f t="array" ref="Y556">INDEX(Subject!$A:$I,MATCH(RANDBETWEEN(1,16),Subject!$B:$B,0),3)</f>
        <v>#N/A</v>
      </c>
      <c r="Z556" s="8" t="str">
        <f t="array" ref="Z556">INDEX(Subject!$A:$I,MATCH(RANDBETWEEN(1,16),Subject!$B:$B,0),3)</f>
        <v>#N/A</v>
      </c>
      <c r="AA556" s="8" t="str">
        <f t="array" ref="AA556">INDEX(Subject!$A:$I,MATCH(RANDBETWEEN(1,16),Subject!$B:$B,0),3)</f>
        <v>#N/A</v>
      </c>
      <c r="AB556" s="8" t="str">
        <f t="array" ref="AB556">INDEX(Subject!$A:$I,MATCH(RANDBETWEEN(1,16),Subject!$B:$B,0),3)</f>
        <v>#N/A</v>
      </c>
      <c r="AC556" s="8" t="str">
        <f t="array" ref="AC556">INDEX(Subject!$A:$I,MATCH(RANDBETWEEN(1,16),Subject!$B:$B,0),3)</f>
        <v>#N/A</v>
      </c>
      <c r="AD556" s="8" t="str">
        <f t="array" ref="AD556">INDEX(Subject!$A:$I,MATCH(RANDBETWEEN(1,16),Subject!$B:$B,0),3)</f>
        <v>#N/A</v>
      </c>
      <c r="AE556" s="8" t="str">
        <f t="array" ref="AE556">INDEX(Subject!$A:$I,MATCH(RANDBETWEEN(1,16),Subject!$B:$B,0),3)</f>
        <v>#N/A</v>
      </c>
      <c r="AF556" s="8" t="str">
        <f t="array" ref="AF556">INDEX(Subject!$A:$I,MATCH(RANDBETWEEN(1,16),Subject!$B:$B,0),3)</f>
        <v>#N/A</v>
      </c>
      <c r="AG556" s="8" t="str">
        <f t="array" ref="AG556">INDEX(Subject!$A:$I,MATCH(RANDBETWEEN(1,16),Subject!$B:$B,0),3)</f>
        <v>#N/A</v>
      </c>
      <c r="AH556" s="8" t="str">
        <f t="array" ref="AH556">INDEX(Subject!$A:$I,MATCH(RANDBETWEEN(1,16),Subject!$B:$B,0),3)</f>
        <v>#N/A</v>
      </c>
      <c r="AI556" s="8" t="str">
        <f t="array" ref="AI556">INDEX(Subject!$A:$I,MATCH(RANDBETWEEN(1,16),Subject!$B:$B,0),3)</f>
        <v>#N/A</v>
      </c>
      <c r="AJ556" s="8" t="str">
        <f t="array" ref="AJ556">INDEX(Subject!$A:$I,MATCH(RANDBETWEEN(1,16),Subject!$B:$B,0),3)</f>
        <v>#N/A</v>
      </c>
      <c r="AK556" s="8" t="str">
        <f t="array" ref="AK556">INDEX(Subject!$A:$I,MATCH(RANDBETWEEN(1,16),Subject!$B:$B,0),3)</f>
        <v>#N/A</v>
      </c>
      <c r="AL556" s="8" t="str">
        <f t="array" ref="AL556">INDEX(Subject!$A:$I,MATCH(RANDBETWEEN(1,16),Subject!$B:$B,0),3)</f>
        <v/>
      </c>
      <c r="AM556" s="18">
        <f t="shared" si="4"/>
        <v>46056.33333</v>
      </c>
      <c r="AN556" s="19">
        <f t="shared" ref="AN556:BZ556" si="556">$A556+C$1</f>
        <v>46056.35417</v>
      </c>
      <c r="AO556" s="19">
        <f t="shared" si="556"/>
        <v>46056.375</v>
      </c>
      <c r="AP556" s="19">
        <f t="shared" si="556"/>
        <v>46056.39583</v>
      </c>
      <c r="AQ556" s="19">
        <f t="shared" si="556"/>
        <v>46056.41667</v>
      </c>
      <c r="AR556" s="19">
        <f t="shared" si="556"/>
        <v>46056.4375</v>
      </c>
      <c r="AS556" s="19">
        <f t="shared" si="556"/>
        <v>46056.45833</v>
      </c>
      <c r="AT556" s="19">
        <f t="shared" si="556"/>
        <v>46056.47917</v>
      </c>
      <c r="AU556" s="19">
        <f t="shared" si="556"/>
        <v>46056.5</v>
      </c>
      <c r="AV556" s="19">
        <f t="shared" si="556"/>
        <v>46056.52083</v>
      </c>
      <c r="AW556" s="19">
        <f t="shared" si="556"/>
        <v>46056.54167</v>
      </c>
      <c r="AX556" s="19">
        <f t="shared" si="556"/>
        <v>46056.5625</v>
      </c>
      <c r="AY556" s="19">
        <f t="shared" si="556"/>
        <v>46056.58333</v>
      </c>
      <c r="AZ556" s="19">
        <f t="shared" si="556"/>
        <v>46056.60417</v>
      </c>
      <c r="BA556" s="19">
        <f t="shared" si="556"/>
        <v>46056.625</v>
      </c>
      <c r="BB556" s="19">
        <f t="shared" si="556"/>
        <v>46056.64583</v>
      </c>
      <c r="BC556" s="19">
        <f t="shared" si="556"/>
        <v>46056.66667</v>
      </c>
      <c r="BD556" s="19">
        <f t="shared" si="556"/>
        <v>46056.6875</v>
      </c>
      <c r="BE556" s="19">
        <f t="shared" si="556"/>
        <v>46056.70833</v>
      </c>
      <c r="BF556" s="19">
        <f t="shared" si="556"/>
        <v>46056.72917</v>
      </c>
      <c r="BG556" s="19">
        <f t="shared" si="556"/>
        <v>46056.75</v>
      </c>
      <c r="BH556" s="19">
        <f t="shared" si="556"/>
        <v>46056.77083</v>
      </c>
      <c r="BI556" s="19">
        <f t="shared" si="556"/>
        <v>46056.79167</v>
      </c>
      <c r="BJ556" s="19">
        <f t="shared" si="556"/>
        <v>46056.8125</v>
      </c>
      <c r="BK556" s="19">
        <f t="shared" si="556"/>
        <v>46056.83333</v>
      </c>
      <c r="BL556" s="19">
        <f t="shared" si="556"/>
        <v>46056.85417</v>
      </c>
      <c r="BM556" s="19">
        <f t="shared" si="556"/>
        <v>46056.875</v>
      </c>
      <c r="BN556" s="19">
        <f t="shared" si="556"/>
        <v>46056.89583</v>
      </c>
      <c r="BO556" s="19">
        <f t="shared" si="556"/>
        <v>46056.91667</v>
      </c>
      <c r="BP556" s="19">
        <f t="shared" si="556"/>
        <v>46056.9375</v>
      </c>
      <c r="BQ556" s="19">
        <f t="shared" si="556"/>
        <v>46056.95833</v>
      </c>
      <c r="BR556" s="19">
        <f t="shared" si="556"/>
        <v>46056.97917</v>
      </c>
      <c r="BS556" s="19">
        <f t="shared" si="556"/>
        <v>46057</v>
      </c>
      <c r="BT556" s="19">
        <f t="shared" si="556"/>
        <v>46057.02083</v>
      </c>
      <c r="BU556" s="19">
        <f t="shared" si="556"/>
        <v>46057.04167</v>
      </c>
      <c r="BV556" s="19">
        <f t="shared" si="556"/>
        <v>46057.0625</v>
      </c>
      <c r="BW556" s="19">
        <f t="shared" si="556"/>
        <v>46057.08333</v>
      </c>
      <c r="BX556" s="19">
        <f t="shared" si="556"/>
        <v>46056</v>
      </c>
      <c r="BY556" s="19">
        <f t="shared" si="556"/>
        <v>46056</v>
      </c>
      <c r="BZ556" s="19">
        <f t="shared" si="556"/>
        <v>46056</v>
      </c>
    </row>
    <row r="557" ht="14.25" customHeight="1">
      <c r="A557" s="17">
        <v>46057.0</v>
      </c>
      <c r="B557" s="2" t="str">
        <f t="array" ref="B557">IF(NOW()&gt;AM557,"",IF(AND((WEEKDAY($A557)+$B$2)&gt;1,((WEEKDAY($A557)+$T$2)&lt;7),(WEEKDAY($A557)&lt;&gt;1)),"work",(INDEX(Subject!$A:$I,MATCH(RANDBETWEEN(1,(MAX(Subject!$B:$B))),Subject!$B:$B,0),3))))</f>
        <v/>
      </c>
      <c r="C557" s="2" t="str">
        <f t="array" ref="C557">IF(NOW()&gt;AN557,"",IF(AND((WEEKDAY($A557)+$B$2)&gt;1,((WEEKDAY($A557)+$T$2)&lt;7),(WEEKDAY($A557)&lt;&gt;1)),"work",(INDEX(Subject!$A:$I,MATCH(RANDBETWEEN(1,(MAX(Subject!$B:$B))),Subject!$B:$B,0),3))))</f>
        <v/>
      </c>
      <c r="D557" s="2" t="str">
        <f t="array" ref="D557">IF(NOW()&gt;AO557,"",IF(AND((WEEKDAY($A557)+$B$2)&gt;1,((WEEKDAY($A557)+$T$2)&lt;7),(WEEKDAY($A557)&lt;&gt;1)),"work",(INDEX(Subject!$A:$I,MATCH(RANDBETWEEN(1,(MAX(Subject!$B:$B))),Subject!$B:$B,0),3))))</f>
        <v/>
      </c>
      <c r="E557" s="2" t="str">
        <f t="array" ref="E557">IF(NOW()&gt;AP557,"",IF(AND((WEEKDAY($A557)+$B$2)&gt;1,((WEEKDAY($A557)+$T$2)&lt;7),(WEEKDAY($A557)&lt;&gt;1)),"work",(INDEX(Subject!$A:$I,MATCH(RANDBETWEEN(1,(MAX(Subject!$B:$B))),Subject!$B:$B,0),3))))</f>
        <v/>
      </c>
      <c r="F557" s="2" t="str">
        <f t="array" ref="F557">IF(NOW()&gt;AQ557,"",IF(AND((WEEKDAY($A557)+$B$2)&gt;1,((WEEKDAY($A557)+$T$2)&lt;7),(WEEKDAY($A557)&lt;&gt;1)),"work",(INDEX(Subject!$A:$I,MATCH(RANDBETWEEN(1,(MAX(Subject!$B:$B))),Subject!$B:$B,0),3))))</f>
        <v/>
      </c>
      <c r="G557" s="2" t="str">
        <f t="array" ref="G557">IF(NOW()&gt;AR557,"",IF(AND((WEEKDAY($A557)+$B$2)&gt;1,((WEEKDAY($A557)+$T$2)&lt;7),(WEEKDAY($A557)&lt;&gt;1)),"work",(INDEX(Subject!$A:$I,MATCH(RANDBETWEEN(1,(MAX(Subject!$B:$B))),Subject!$B:$B,0),3))))</f>
        <v/>
      </c>
      <c r="H557" s="2" t="str">
        <f t="array" ref="H557">IF(NOW()&gt;AS557,"",IF(AND((WEEKDAY($A557)+$B$2)&gt;1,((WEEKDAY($A557)+$T$2)&lt;7),(WEEKDAY($A557)&lt;&gt;1)),"work",(INDEX(Subject!$A:$I,MATCH(RANDBETWEEN(1,(MAX(Subject!$B:$B))),Subject!$B:$B,0),3))))</f>
        <v/>
      </c>
      <c r="I557" s="2" t="str">
        <f t="array" ref="I557">IF(NOW()&gt;AT557,"",IF(AND((WEEKDAY($A557)+$B$2)&gt;1,((WEEKDAY($A557)+$T$2)&lt;7),(WEEKDAY($A557)&lt;&gt;1)),"work",(INDEX(Subject!$A:$I,MATCH(RANDBETWEEN(1,(MAX(Subject!$B:$B))),Subject!$B:$B,0),3))))</f>
        <v/>
      </c>
      <c r="J557" s="2" t="str">
        <f t="array" ref="J557">IF(NOW()&gt;AU557,"",IF(AND((WEEKDAY($A557)+$B$2)&gt;1,((WEEKDAY($A557)+$T$2)&lt;7),(WEEKDAY($A557)&lt;&gt;1)),"work",(INDEX(Subject!$A:$I,MATCH(RANDBETWEEN(1,(MAX(Subject!$B:$B))),Subject!$B:$B,0),3))))</f>
        <v/>
      </c>
      <c r="K557" s="2" t="str">
        <f t="array" ref="K557">IF(NOW()&gt;AV557,"",IF(AND((WEEKDAY($A557)+$B$2)&gt;1,((WEEKDAY($A557)+$T$2)&lt;7),(WEEKDAY($A557)&lt;&gt;1)),"work",(INDEX(Subject!$A:$I,MATCH(RANDBETWEEN(1,(MAX(Subject!$B:$B))),Subject!$B:$B,0),3))))</f>
        <v/>
      </c>
      <c r="L557" s="2" t="str">
        <f t="array" ref="L557">IF(NOW()&gt;AW557,"",IF(AND((WEEKDAY($A557)+$B$2)&gt;1,((WEEKDAY($A557)+$T$2)&lt;7),(WEEKDAY($A557)&lt;&gt;1)),"work",(INDEX(Subject!$A:$I,MATCH(RANDBETWEEN(1,(MAX(Subject!$B:$B))),Subject!$B:$B,0),3))))</f>
        <v/>
      </c>
      <c r="M557" s="2" t="str">
        <f t="array" ref="M557">IF(NOW()&gt;AX557,"",IF(AND((WEEKDAY($A557)+$B$2)&gt;1,((WEEKDAY($A557)+$T$2)&lt;7),(WEEKDAY($A557)&lt;&gt;1)),"work",(INDEX(Subject!$A:$I,MATCH(RANDBETWEEN(1,(MAX(Subject!$B:$B))),Subject!$B:$B,0),3))))</f>
        <v/>
      </c>
      <c r="N557" s="2" t="str">
        <f t="array" ref="N557">IF(NOW()&gt;AY557,"",IF(AND((WEEKDAY($A557)+$B$2)&gt;1,((WEEKDAY($A557)+$T$2)&lt;7),(WEEKDAY($A557)&lt;&gt;1)),"work",(INDEX(Subject!$A:$I,MATCH(RANDBETWEEN(1,(MAX(Subject!$B:$B))),Subject!$B:$B,0),3))))</f>
        <v/>
      </c>
      <c r="O557" s="2" t="str">
        <f t="array" ref="O557">IF(NOW()&gt;AZ557,"",IF(AND((WEEKDAY($A557)+$B$2)&gt;1,((WEEKDAY($A557)+$T$2)&lt;7),(WEEKDAY($A557)&lt;&gt;1)),"work",(INDEX(Subject!$A:$I,MATCH(RANDBETWEEN(1,(MAX(Subject!$B:$B))),Subject!$B:$B,0),3))))</f>
        <v/>
      </c>
      <c r="P557" s="2" t="str">
        <f t="array" ref="P557">IF(NOW()&gt;BA557,"",IF(AND((WEEKDAY($A557)+$B$2)&gt;1,((WEEKDAY($A557)+$T$2)&lt;7),(WEEKDAY($A557)&lt;&gt;1)),"work",(INDEX(Subject!$A:$I,MATCH(RANDBETWEEN(1,(MAX(Subject!$B:$B))),Subject!$B:$B,0),3))))</f>
        <v/>
      </c>
      <c r="Q557" s="2" t="str">
        <f t="array" ref="Q557">IF(NOW()&gt;BB557,"",IF(AND((WEEKDAY($A557)+$B$2)&gt;1,((WEEKDAY($A557)+$T$2)&lt;7),(WEEKDAY($A557)&lt;&gt;1)),"work",(INDEX(Subject!$A:$I,MATCH(RANDBETWEEN(1,(MAX(Subject!$B:$B))),Subject!$B:$B,0),3))))</f>
        <v/>
      </c>
      <c r="R557" s="2" t="str">
        <f t="array" ref="R557">IF(NOW()&gt;BC557,"",IF(AND((WEEKDAY($A557)+$B$2)&gt;1,((WEEKDAY($A557)+$T$2)&lt;7),(WEEKDAY($A557)&lt;&gt;1)),"work",(INDEX(Subject!$A:$I,MATCH(RANDBETWEEN(1,(MAX(Subject!$B:$B))),Subject!$B:$B,0),3))))</f>
        <v/>
      </c>
      <c r="S557" s="2" t="str">
        <f t="array" ref="S557">IF(NOW()&gt;BD557,"",IF(AND((WEEKDAY($A557)+$B$2)&gt;1,((WEEKDAY($A557)+$T$2)&lt;7),(WEEKDAY($A557)&lt;&gt;1)),"work",(INDEX(Subject!$A:$I,MATCH(RANDBETWEEN(1,(MAX(Subject!$B:$B))),Subject!$B:$B,0),3))))</f>
        <v/>
      </c>
      <c r="T557" s="2" t="str">
        <f t="array" ref="T557">IF(NOW()&gt;BE557,"",IF(AND((WEEKDAY($A557)+$B$2)&gt;1,((WEEKDAY($A557)+$T$2)&lt;7),(WEEKDAY($A557)&lt;&gt;1)),"work",(INDEX(Subject!$A:$I,MATCH(RANDBETWEEN(1,(MAX(Subject!$B:$B))),Subject!$B:$B,0),3))))</f>
        <v/>
      </c>
      <c r="U557" s="8" t="str">
        <f t="array" ref="U557">INDEX(Subject!$A:$I,MATCH(RANDBETWEEN(1,16),Subject!$B:$B,0),3)</f>
        <v>#N/A</v>
      </c>
      <c r="V557" s="8" t="str">
        <f t="array" ref="V557">INDEX(Subject!$A:$I,MATCH(RANDBETWEEN(1,16),Subject!$B:$B,0),3)</f>
        <v/>
      </c>
      <c r="W557" s="8" t="str">
        <f t="array" ref="W557">INDEX(Subject!$A:$I,MATCH(RANDBETWEEN(1,16),Subject!$B:$B,0),3)</f>
        <v>#N/A</v>
      </c>
      <c r="X557" s="8" t="str">
        <f t="array" ref="X557">INDEX(Subject!$A:$I,MATCH(RANDBETWEEN(1,16),Subject!$B:$B,0),3)</f>
        <v>#N/A</v>
      </c>
      <c r="Y557" s="8" t="str">
        <f t="array" ref="Y557">INDEX(Subject!$A:$I,MATCH(RANDBETWEEN(1,16),Subject!$B:$B,0),3)</f>
        <v>#N/A</v>
      </c>
      <c r="Z557" s="8" t="str">
        <f t="array" ref="Z557">INDEX(Subject!$A:$I,MATCH(RANDBETWEEN(1,16),Subject!$B:$B,0),3)</f>
        <v>#N/A</v>
      </c>
      <c r="AA557" s="8" t="str">
        <f t="array" ref="AA557">INDEX(Subject!$A:$I,MATCH(RANDBETWEEN(1,16),Subject!$B:$B,0),3)</f>
        <v>#N/A</v>
      </c>
      <c r="AB557" s="8" t="str">
        <f t="array" ref="AB557">INDEX(Subject!$A:$I,MATCH(RANDBETWEEN(1,16),Subject!$B:$B,0),3)</f>
        <v>#N/A</v>
      </c>
      <c r="AC557" s="8" t="str">
        <f t="array" ref="AC557">INDEX(Subject!$A:$I,MATCH(RANDBETWEEN(1,16),Subject!$B:$B,0),3)</f>
        <v/>
      </c>
      <c r="AD557" s="8" t="str">
        <f t="array" ref="AD557">INDEX(Subject!$A:$I,MATCH(RANDBETWEEN(1,16),Subject!$B:$B,0),3)</f>
        <v>#N/A</v>
      </c>
      <c r="AE557" s="8" t="str">
        <f t="array" ref="AE557">INDEX(Subject!$A:$I,MATCH(RANDBETWEEN(1,16),Subject!$B:$B,0),3)</f>
        <v>#N/A</v>
      </c>
      <c r="AF557" s="8" t="str">
        <f t="array" ref="AF557">INDEX(Subject!$A:$I,MATCH(RANDBETWEEN(1,16),Subject!$B:$B,0),3)</f>
        <v>#N/A</v>
      </c>
      <c r="AG557" s="8" t="str">
        <f t="array" ref="AG557">INDEX(Subject!$A:$I,MATCH(RANDBETWEEN(1,16),Subject!$B:$B,0),3)</f>
        <v>#N/A</v>
      </c>
      <c r="AH557" s="8" t="str">
        <f t="array" ref="AH557">INDEX(Subject!$A:$I,MATCH(RANDBETWEEN(1,16),Subject!$B:$B,0),3)</f>
        <v>#N/A</v>
      </c>
      <c r="AI557" s="8" t="str">
        <f t="array" ref="AI557">INDEX(Subject!$A:$I,MATCH(RANDBETWEEN(1,16),Subject!$B:$B,0),3)</f>
        <v>#N/A</v>
      </c>
      <c r="AJ557" s="8" t="str">
        <f t="array" ref="AJ557">INDEX(Subject!$A:$I,MATCH(RANDBETWEEN(1,16),Subject!$B:$B,0),3)</f>
        <v>#N/A</v>
      </c>
      <c r="AK557" s="8" t="str">
        <f t="array" ref="AK557">INDEX(Subject!$A:$I,MATCH(RANDBETWEEN(1,16),Subject!$B:$B,0),3)</f>
        <v>#N/A</v>
      </c>
      <c r="AL557" s="8" t="str">
        <f t="array" ref="AL557">INDEX(Subject!$A:$I,MATCH(RANDBETWEEN(1,16),Subject!$B:$B,0),3)</f>
        <v/>
      </c>
      <c r="AM557" s="18">
        <f t="shared" si="4"/>
        <v>46057.33333</v>
      </c>
      <c r="AN557" s="19">
        <f t="shared" ref="AN557:BZ557" si="557">$A557+C$1</f>
        <v>46057.35417</v>
      </c>
      <c r="AO557" s="19">
        <f t="shared" si="557"/>
        <v>46057.375</v>
      </c>
      <c r="AP557" s="19">
        <f t="shared" si="557"/>
        <v>46057.39583</v>
      </c>
      <c r="AQ557" s="19">
        <f t="shared" si="557"/>
        <v>46057.41667</v>
      </c>
      <c r="AR557" s="19">
        <f t="shared" si="557"/>
        <v>46057.4375</v>
      </c>
      <c r="AS557" s="19">
        <f t="shared" si="557"/>
        <v>46057.45833</v>
      </c>
      <c r="AT557" s="19">
        <f t="shared" si="557"/>
        <v>46057.47917</v>
      </c>
      <c r="AU557" s="19">
        <f t="shared" si="557"/>
        <v>46057.5</v>
      </c>
      <c r="AV557" s="19">
        <f t="shared" si="557"/>
        <v>46057.52083</v>
      </c>
      <c r="AW557" s="19">
        <f t="shared" si="557"/>
        <v>46057.54167</v>
      </c>
      <c r="AX557" s="19">
        <f t="shared" si="557"/>
        <v>46057.5625</v>
      </c>
      <c r="AY557" s="19">
        <f t="shared" si="557"/>
        <v>46057.58333</v>
      </c>
      <c r="AZ557" s="19">
        <f t="shared" si="557"/>
        <v>46057.60417</v>
      </c>
      <c r="BA557" s="19">
        <f t="shared" si="557"/>
        <v>46057.625</v>
      </c>
      <c r="BB557" s="19">
        <f t="shared" si="557"/>
        <v>46057.64583</v>
      </c>
      <c r="BC557" s="19">
        <f t="shared" si="557"/>
        <v>46057.66667</v>
      </c>
      <c r="BD557" s="19">
        <f t="shared" si="557"/>
        <v>46057.6875</v>
      </c>
      <c r="BE557" s="19">
        <f t="shared" si="557"/>
        <v>46057.70833</v>
      </c>
      <c r="BF557" s="19">
        <f t="shared" si="557"/>
        <v>46057.72917</v>
      </c>
      <c r="BG557" s="19">
        <f t="shared" si="557"/>
        <v>46057.75</v>
      </c>
      <c r="BH557" s="19">
        <f t="shared" si="557"/>
        <v>46057.77083</v>
      </c>
      <c r="BI557" s="19">
        <f t="shared" si="557"/>
        <v>46057.79167</v>
      </c>
      <c r="BJ557" s="19">
        <f t="shared" si="557"/>
        <v>46057.8125</v>
      </c>
      <c r="BK557" s="19">
        <f t="shared" si="557"/>
        <v>46057.83333</v>
      </c>
      <c r="BL557" s="19">
        <f t="shared" si="557"/>
        <v>46057.85417</v>
      </c>
      <c r="BM557" s="19">
        <f t="shared" si="557"/>
        <v>46057.875</v>
      </c>
      <c r="BN557" s="19">
        <f t="shared" si="557"/>
        <v>46057.89583</v>
      </c>
      <c r="BO557" s="19">
        <f t="shared" si="557"/>
        <v>46057.91667</v>
      </c>
      <c r="BP557" s="19">
        <f t="shared" si="557"/>
        <v>46057.9375</v>
      </c>
      <c r="BQ557" s="19">
        <f t="shared" si="557"/>
        <v>46057.95833</v>
      </c>
      <c r="BR557" s="19">
        <f t="shared" si="557"/>
        <v>46057.97917</v>
      </c>
      <c r="BS557" s="19">
        <f t="shared" si="557"/>
        <v>46058</v>
      </c>
      <c r="BT557" s="19">
        <f t="shared" si="557"/>
        <v>46058.02083</v>
      </c>
      <c r="BU557" s="19">
        <f t="shared" si="557"/>
        <v>46058.04167</v>
      </c>
      <c r="BV557" s="19">
        <f t="shared" si="557"/>
        <v>46058.0625</v>
      </c>
      <c r="BW557" s="19">
        <f t="shared" si="557"/>
        <v>46058.08333</v>
      </c>
      <c r="BX557" s="19">
        <f t="shared" si="557"/>
        <v>46057</v>
      </c>
      <c r="BY557" s="19">
        <f t="shared" si="557"/>
        <v>46057</v>
      </c>
      <c r="BZ557" s="19">
        <f t="shared" si="557"/>
        <v>46057</v>
      </c>
    </row>
    <row r="558" ht="14.25" customHeight="1">
      <c r="A558" s="17">
        <v>46058.0</v>
      </c>
      <c r="B558" s="2" t="str">
        <f t="array" ref="B558">IF(NOW()&gt;AM558,"",IF(AND((WEEKDAY($A558)+$B$2)&gt;1,((WEEKDAY($A558)+$T$2)&lt;7),(WEEKDAY($A558)&lt;&gt;1)),"work",(INDEX(Subject!$A:$I,MATCH(RANDBETWEEN(1,(MAX(Subject!$B:$B))),Subject!$B:$B,0),3))))</f>
        <v/>
      </c>
      <c r="C558" s="2" t="str">
        <f t="array" ref="C558">IF(NOW()&gt;AN558,"",IF(AND((WEEKDAY($A558)+$B$2)&gt;1,((WEEKDAY($A558)+$T$2)&lt;7),(WEEKDAY($A558)&lt;&gt;1)),"work",(INDEX(Subject!$A:$I,MATCH(RANDBETWEEN(1,(MAX(Subject!$B:$B))),Subject!$B:$B,0),3))))</f>
        <v/>
      </c>
      <c r="D558" s="2" t="str">
        <f t="array" ref="D558">IF(NOW()&gt;AO558,"",IF(AND((WEEKDAY($A558)+$B$2)&gt;1,((WEEKDAY($A558)+$T$2)&lt;7),(WEEKDAY($A558)&lt;&gt;1)),"work",(INDEX(Subject!$A:$I,MATCH(RANDBETWEEN(1,(MAX(Subject!$B:$B))),Subject!$B:$B,0),3))))</f>
        <v/>
      </c>
      <c r="E558" s="2" t="str">
        <f t="array" ref="E558">IF(NOW()&gt;AP558,"",IF(AND((WEEKDAY($A558)+$B$2)&gt;1,((WEEKDAY($A558)+$T$2)&lt;7),(WEEKDAY($A558)&lt;&gt;1)),"work",(INDEX(Subject!$A:$I,MATCH(RANDBETWEEN(1,(MAX(Subject!$B:$B))),Subject!$B:$B,0),3))))</f>
        <v/>
      </c>
      <c r="F558" s="2" t="str">
        <f t="array" ref="F558">IF(NOW()&gt;AQ558,"",IF(AND((WEEKDAY($A558)+$B$2)&gt;1,((WEEKDAY($A558)+$T$2)&lt;7),(WEEKDAY($A558)&lt;&gt;1)),"work",(INDEX(Subject!$A:$I,MATCH(RANDBETWEEN(1,(MAX(Subject!$B:$B))),Subject!$B:$B,0),3))))</f>
        <v/>
      </c>
      <c r="G558" s="2" t="str">
        <f t="array" ref="G558">IF(NOW()&gt;AR558,"",IF(AND((WEEKDAY($A558)+$B$2)&gt;1,((WEEKDAY($A558)+$T$2)&lt;7),(WEEKDAY($A558)&lt;&gt;1)),"work",(INDEX(Subject!$A:$I,MATCH(RANDBETWEEN(1,(MAX(Subject!$B:$B))),Subject!$B:$B,0),3))))</f>
        <v/>
      </c>
      <c r="H558" s="2" t="str">
        <f t="array" ref="H558">IF(NOW()&gt;AS558,"",IF(AND((WEEKDAY($A558)+$B$2)&gt;1,((WEEKDAY($A558)+$T$2)&lt;7),(WEEKDAY($A558)&lt;&gt;1)),"work",(INDEX(Subject!$A:$I,MATCH(RANDBETWEEN(1,(MAX(Subject!$B:$B))),Subject!$B:$B,0),3))))</f>
        <v/>
      </c>
      <c r="I558" s="2" t="str">
        <f t="array" ref="I558">IF(NOW()&gt;AT558,"",IF(AND((WEEKDAY($A558)+$B$2)&gt;1,((WEEKDAY($A558)+$T$2)&lt;7),(WEEKDAY($A558)&lt;&gt;1)),"work",(INDEX(Subject!$A:$I,MATCH(RANDBETWEEN(1,(MAX(Subject!$B:$B))),Subject!$B:$B,0),3))))</f>
        <v/>
      </c>
      <c r="J558" s="2" t="str">
        <f t="array" ref="J558">IF(NOW()&gt;AU558,"",IF(AND((WEEKDAY($A558)+$B$2)&gt;1,((WEEKDAY($A558)+$T$2)&lt;7),(WEEKDAY($A558)&lt;&gt;1)),"work",(INDEX(Subject!$A:$I,MATCH(RANDBETWEEN(1,(MAX(Subject!$B:$B))),Subject!$B:$B,0),3))))</f>
        <v/>
      </c>
      <c r="K558" s="2" t="str">
        <f t="array" ref="K558">IF(NOW()&gt;AV558,"",IF(AND((WEEKDAY($A558)+$B$2)&gt;1,((WEEKDAY($A558)+$T$2)&lt;7),(WEEKDAY($A558)&lt;&gt;1)),"work",(INDEX(Subject!$A:$I,MATCH(RANDBETWEEN(1,(MAX(Subject!$B:$B))),Subject!$B:$B,0),3))))</f>
        <v/>
      </c>
      <c r="L558" s="2" t="str">
        <f t="array" ref="L558">IF(NOW()&gt;AW558,"",IF(AND((WEEKDAY($A558)+$B$2)&gt;1,((WEEKDAY($A558)+$T$2)&lt;7),(WEEKDAY($A558)&lt;&gt;1)),"work",(INDEX(Subject!$A:$I,MATCH(RANDBETWEEN(1,(MAX(Subject!$B:$B))),Subject!$B:$B,0),3))))</f>
        <v/>
      </c>
      <c r="M558" s="2" t="str">
        <f t="array" ref="M558">IF(NOW()&gt;AX558,"",IF(AND((WEEKDAY($A558)+$B$2)&gt;1,((WEEKDAY($A558)+$T$2)&lt;7),(WEEKDAY($A558)&lt;&gt;1)),"work",(INDEX(Subject!$A:$I,MATCH(RANDBETWEEN(1,(MAX(Subject!$B:$B))),Subject!$B:$B,0),3))))</f>
        <v/>
      </c>
      <c r="N558" s="2" t="str">
        <f t="array" ref="N558">IF(NOW()&gt;AY558,"",IF(AND((WEEKDAY($A558)+$B$2)&gt;1,((WEEKDAY($A558)+$T$2)&lt;7),(WEEKDAY($A558)&lt;&gt;1)),"work",(INDEX(Subject!$A:$I,MATCH(RANDBETWEEN(1,(MAX(Subject!$B:$B))),Subject!$B:$B,0),3))))</f>
        <v/>
      </c>
      <c r="O558" s="2" t="str">
        <f t="array" ref="O558">IF(NOW()&gt;AZ558,"",IF(AND((WEEKDAY($A558)+$B$2)&gt;1,((WEEKDAY($A558)+$T$2)&lt;7),(WEEKDAY($A558)&lt;&gt;1)),"work",(INDEX(Subject!$A:$I,MATCH(RANDBETWEEN(1,(MAX(Subject!$B:$B))),Subject!$B:$B,0),3))))</f>
        <v/>
      </c>
      <c r="P558" s="2" t="str">
        <f t="array" ref="P558">IF(NOW()&gt;BA558,"",IF(AND((WEEKDAY($A558)+$B$2)&gt;1,((WEEKDAY($A558)+$T$2)&lt;7),(WEEKDAY($A558)&lt;&gt;1)),"work",(INDEX(Subject!$A:$I,MATCH(RANDBETWEEN(1,(MAX(Subject!$B:$B))),Subject!$B:$B,0),3))))</f>
        <v/>
      </c>
      <c r="Q558" s="2" t="str">
        <f t="array" ref="Q558">IF(NOW()&gt;BB558,"",IF(AND((WEEKDAY($A558)+$B$2)&gt;1,((WEEKDAY($A558)+$T$2)&lt;7),(WEEKDAY($A558)&lt;&gt;1)),"work",(INDEX(Subject!$A:$I,MATCH(RANDBETWEEN(1,(MAX(Subject!$B:$B))),Subject!$B:$B,0),3))))</f>
        <v/>
      </c>
      <c r="R558" s="2" t="str">
        <f t="array" ref="R558">IF(NOW()&gt;BC558,"",IF(AND((WEEKDAY($A558)+$B$2)&gt;1,((WEEKDAY($A558)+$T$2)&lt;7),(WEEKDAY($A558)&lt;&gt;1)),"work",(INDEX(Subject!$A:$I,MATCH(RANDBETWEEN(1,(MAX(Subject!$B:$B))),Subject!$B:$B,0),3))))</f>
        <v/>
      </c>
      <c r="S558" s="2" t="str">
        <f t="array" ref="S558">IF(NOW()&gt;BD558,"",IF(AND((WEEKDAY($A558)+$B$2)&gt;1,((WEEKDAY($A558)+$T$2)&lt;7),(WEEKDAY($A558)&lt;&gt;1)),"work",(INDEX(Subject!$A:$I,MATCH(RANDBETWEEN(1,(MAX(Subject!$B:$B))),Subject!$B:$B,0),3))))</f>
        <v/>
      </c>
      <c r="T558" s="2" t="str">
        <f t="array" ref="T558">IF(NOW()&gt;BE558,"",IF(AND((WEEKDAY($A558)+$B$2)&gt;1,((WEEKDAY($A558)+$T$2)&lt;7),(WEEKDAY($A558)&lt;&gt;1)),"work",(INDEX(Subject!$A:$I,MATCH(RANDBETWEEN(1,(MAX(Subject!$B:$B))),Subject!$B:$B,0),3))))</f>
        <v/>
      </c>
      <c r="U558" s="8" t="str">
        <f t="array" ref="U558">INDEX(Subject!$A:$I,MATCH(RANDBETWEEN(1,16),Subject!$B:$B,0),3)</f>
        <v>#N/A</v>
      </c>
      <c r="V558" s="8" t="str">
        <f t="array" ref="V558">INDEX(Subject!$A:$I,MATCH(RANDBETWEEN(1,16),Subject!$B:$B,0),3)</f>
        <v>#N/A</v>
      </c>
      <c r="W558" s="8" t="str">
        <f t="array" ref="W558">INDEX(Subject!$A:$I,MATCH(RANDBETWEEN(1,16),Subject!$B:$B,0),3)</f>
        <v>#N/A</v>
      </c>
      <c r="X558" s="8" t="str">
        <f t="array" ref="X558">INDEX(Subject!$A:$I,MATCH(RANDBETWEEN(1,16),Subject!$B:$B,0),3)</f>
        <v>#N/A</v>
      </c>
      <c r="Y558" s="8" t="str">
        <f t="array" ref="Y558">INDEX(Subject!$A:$I,MATCH(RANDBETWEEN(1,16),Subject!$B:$B,0),3)</f>
        <v>#N/A</v>
      </c>
      <c r="Z558" s="8" t="str">
        <f t="array" ref="Z558">INDEX(Subject!$A:$I,MATCH(RANDBETWEEN(1,16),Subject!$B:$B,0),3)</f>
        <v>#N/A</v>
      </c>
      <c r="AA558" s="8" t="str">
        <f t="array" ref="AA558">INDEX(Subject!$A:$I,MATCH(RANDBETWEEN(1,16),Subject!$B:$B,0),3)</f>
        <v>#N/A</v>
      </c>
      <c r="AB558" s="8" t="str">
        <f t="array" ref="AB558">INDEX(Subject!$A:$I,MATCH(RANDBETWEEN(1,16),Subject!$B:$B,0),3)</f>
        <v>#N/A</v>
      </c>
      <c r="AC558" s="8" t="str">
        <f t="array" ref="AC558">INDEX(Subject!$A:$I,MATCH(RANDBETWEEN(1,16),Subject!$B:$B,0),3)</f>
        <v>#N/A</v>
      </c>
      <c r="AD558" s="8" t="str">
        <f t="array" ref="AD558">INDEX(Subject!$A:$I,MATCH(RANDBETWEEN(1,16),Subject!$B:$B,0),3)</f>
        <v>#N/A</v>
      </c>
      <c r="AE558" s="8" t="str">
        <f t="array" ref="AE558">INDEX(Subject!$A:$I,MATCH(RANDBETWEEN(1,16),Subject!$B:$B,0),3)</f>
        <v>#N/A</v>
      </c>
      <c r="AF558" s="8" t="str">
        <f t="array" ref="AF558">INDEX(Subject!$A:$I,MATCH(RANDBETWEEN(1,16),Subject!$B:$B,0),3)</f>
        <v>#N/A</v>
      </c>
      <c r="AG558" s="8" t="str">
        <f t="array" ref="AG558">INDEX(Subject!$A:$I,MATCH(RANDBETWEEN(1,16),Subject!$B:$B,0),3)</f>
        <v>#N/A</v>
      </c>
      <c r="AH558" s="8" t="str">
        <f t="array" ref="AH558">INDEX(Subject!$A:$I,MATCH(RANDBETWEEN(1,16),Subject!$B:$B,0),3)</f>
        <v>#N/A</v>
      </c>
      <c r="AI558" s="8" t="str">
        <f t="array" ref="AI558">INDEX(Subject!$A:$I,MATCH(RANDBETWEEN(1,16),Subject!$B:$B,0),3)</f>
        <v>#N/A</v>
      </c>
      <c r="AJ558" s="8" t="str">
        <f t="array" ref="AJ558">INDEX(Subject!$A:$I,MATCH(RANDBETWEEN(1,16),Subject!$B:$B,0),3)</f>
        <v>#N/A</v>
      </c>
      <c r="AK558" s="8" t="str">
        <f t="array" ref="AK558">INDEX(Subject!$A:$I,MATCH(RANDBETWEEN(1,16),Subject!$B:$B,0),3)</f>
        <v>#N/A</v>
      </c>
      <c r="AL558" s="8" t="str">
        <f t="array" ref="AL558">INDEX(Subject!$A:$I,MATCH(RANDBETWEEN(1,16),Subject!$B:$B,0),3)</f>
        <v>#N/A</v>
      </c>
      <c r="AM558" s="18">
        <f t="shared" si="4"/>
        <v>46058.33333</v>
      </c>
      <c r="AN558" s="19">
        <f t="shared" ref="AN558:BZ558" si="558">$A558+C$1</f>
        <v>46058.35417</v>
      </c>
      <c r="AO558" s="19">
        <f t="shared" si="558"/>
        <v>46058.375</v>
      </c>
      <c r="AP558" s="19">
        <f t="shared" si="558"/>
        <v>46058.39583</v>
      </c>
      <c r="AQ558" s="19">
        <f t="shared" si="558"/>
        <v>46058.41667</v>
      </c>
      <c r="AR558" s="19">
        <f t="shared" si="558"/>
        <v>46058.4375</v>
      </c>
      <c r="AS558" s="19">
        <f t="shared" si="558"/>
        <v>46058.45833</v>
      </c>
      <c r="AT558" s="19">
        <f t="shared" si="558"/>
        <v>46058.47917</v>
      </c>
      <c r="AU558" s="19">
        <f t="shared" si="558"/>
        <v>46058.5</v>
      </c>
      <c r="AV558" s="19">
        <f t="shared" si="558"/>
        <v>46058.52083</v>
      </c>
      <c r="AW558" s="19">
        <f t="shared" si="558"/>
        <v>46058.54167</v>
      </c>
      <c r="AX558" s="19">
        <f t="shared" si="558"/>
        <v>46058.5625</v>
      </c>
      <c r="AY558" s="19">
        <f t="shared" si="558"/>
        <v>46058.58333</v>
      </c>
      <c r="AZ558" s="19">
        <f t="shared" si="558"/>
        <v>46058.60417</v>
      </c>
      <c r="BA558" s="19">
        <f t="shared" si="558"/>
        <v>46058.625</v>
      </c>
      <c r="BB558" s="19">
        <f t="shared" si="558"/>
        <v>46058.64583</v>
      </c>
      <c r="BC558" s="19">
        <f t="shared" si="558"/>
        <v>46058.66667</v>
      </c>
      <c r="BD558" s="19">
        <f t="shared" si="558"/>
        <v>46058.6875</v>
      </c>
      <c r="BE558" s="19">
        <f t="shared" si="558"/>
        <v>46058.70833</v>
      </c>
      <c r="BF558" s="19">
        <f t="shared" si="558"/>
        <v>46058.72917</v>
      </c>
      <c r="BG558" s="19">
        <f t="shared" si="558"/>
        <v>46058.75</v>
      </c>
      <c r="BH558" s="19">
        <f t="shared" si="558"/>
        <v>46058.77083</v>
      </c>
      <c r="BI558" s="19">
        <f t="shared" si="558"/>
        <v>46058.79167</v>
      </c>
      <c r="BJ558" s="19">
        <f t="shared" si="558"/>
        <v>46058.8125</v>
      </c>
      <c r="BK558" s="19">
        <f t="shared" si="558"/>
        <v>46058.83333</v>
      </c>
      <c r="BL558" s="19">
        <f t="shared" si="558"/>
        <v>46058.85417</v>
      </c>
      <c r="BM558" s="19">
        <f t="shared" si="558"/>
        <v>46058.875</v>
      </c>
      <c r="BN558" s="19">
        <f t="shared" si="558"/>
        <v>46058.89583</v>
      </c>
      <c r="BO558" s="19">
        <f t="shared" si="558"/>
        <v>46058.91667</v>
      </c>
      <c r="BP558" s="19">
        <f t="shared" si="558"/>
        <v>46058.9375</v>
      </c>
      <c r="BQ558" s="19">
        <f t="shared" si="558"/>
        <v>46058.95833</v>
      </c>
      <c r="BR558" s="19">
        <f t="shared" si="558"/>
        <v>46058.97917</v>
      </c>
      <c r="BS558" s="19">
        <f t="shared" si="558"/>
        <v>46059</v>
      </c>
      <c r="BT558" s="19">
        <f t="shared" si="558"/>
        <v>46059.02083</v>
      </c>
      <c r="BU558" s="19">
        <f t="shared" si="558"/>
        <v>46059.04167</v>
      </c>
      <c r="BV558" s="19">
        <f t="shared" si="558"/>
        <v>46059.0625</v>
      </c>
      <c r="BW558" s="19">
        <f t="shared" si="558"/>
        <v>46059.08333</v>
      </c>
      <c r="BX558" s="19">
        <f t="shared" si="558"/>
        <v>46058</v>
      </c>
      <c r="BY558" s="19">
        <f t="shared" si="558"/>
        <v>46058</v>
      </c>
      <c r="BZ558" s="19">
        <f t="shared" si="558"/>
        <v>46058</v>
      </c>
    </row>
    <row r="559" ht="14.25" customHeight="1">
      <c r="A559" s="17">
        <v>46059.0</v>
      </c>
      <c r="B559" s="2" t="str">
        <f t="array" ref="B559">IF(NOW()&gt;AM559,"",IF(AND((WEEKDAY($A559)+$B$2)&gt;1,((WEEKDAY($A559)+$T$2)&lt;7),(WEEKDAY($A559)&lt;&gt;1)),"work",(INDEX(Subject!$A:$I,MATCH(RANDBETWEEN(1,(MAX(Subject!$B:$B))),Subject!$B:$B,0),3))))</f>
        <v/>
      </c>
      <c r="C559" s="2" t="str">
        <f t="array" ref="C559">IF(NOW()&gt;AN559,"",IF(AND((WEEKDAY($A559)+$B$2)&gt;1,((WEEKDAY($A559)+$T$2)&lt;7),(WEEKDAY($A559)&lt;&gt;1)),"work",(INDEX(Subject!$A:$I,MATCH(RANDBETWEEN(1,(MAX(Subject!$B:$B))),Subject!$B:$B,0),3))))</f>
        <v/>
      </c>
      <c r="D559" s="2" t="str">
        <f t="array" ref="D559">IF(NOW()&gt;AO559,"",IF(AND((WEEKDAY($A559)+$B$2)&gt;1,((WEEKDAY($A559)+$T$2)&lt;7),(WEEKDAY($A559)&lt;&gt;1)),"work",(INDEX(Subject!$A:$I,MATCH(RANDBETWEEN(1,(MAX(Subject!$B:$B))),Subject!$B:$B,0),3))))</f>
        <v/>
      </c>
      <c r="E559" s="2" t="str">
        <f t="array" ref="E559">IF(NOW()&gt;AP559,"",IF(AND((WEEKDAY($A559)+$B$2)&gt;1,((WEEKDAY($A559)+$T$2)&lt;7),(WEEKDAY($A559)&lt;&gt;1)),"work",(INDEX(Subject!$A:$I,MATCH(RANDBETWEEN(1,(MAX(Subject!$B:$B))),Subject!$B:$B,0),3))))</f>
        <v/>
      </c>
      <c r="F559" s="2" t="str">
        <f t="array" ref="F559">IF(NOW()&gt;AQ559,"",IF(AND((WEEKDAY($A559)+$B$2)&gt;1,((WEEKDAY($A559)+$T$2)&lt;7),(WEEKDAY($A559)&lt;&gt;1)),"work",(INDEX(Subject!$A:$I,MATCH(RANDBETWEEN(1,(MAX(Subject!$B:$B))),Subject!$B:$B,0),3))))</f>
        <v/>
      </c>
      <c r="G559" s="2" t="str">
        <f t="array" ref="G559">IF(NOW()&gt;AR559,"",IF(AND((WEEKDAY($A559)+$B$2)&gt;1,((WEEKDAY($A559)+$T$2)&lt;7),(WEEKDAY($A559)&lt;&gt;1)),"work",(INDEX(Subject!$A:$I,MATCH(RANDBETWEEN(1,(MAX(Subject!$B:$B))),Subject!$B:$B,0),3))))</f>
        <v/>
      </c>
      <c r="H559" s="2" t="str">
        <f t="array" ref="H559">IF(NOW()&gt;AS559,"",IF(AND((WEEKDAY($A559)+$B$2)&gt;1,((WEEKDAY($A559)+$T$2)&lt;7),(WEEKDAY($A559)&lt;&gt;1)),"work",(INDEX(Subject!$A:$I,MATCH(RANDBETWEEN(1,(MAX(Subject!$B:$B))),Subject!$B:$B,0),3))))</f>
        <v/>
      </c>
      <c r="I559" s="2" t="str">
        <f t="array" ref="I559">IF(NOW()&gt;AT559,"",IF(AND((WEEKDAY($A559)+$B$2)&gt;1,((WEEKDAY($A559)+$T$2)&lt;7),(WEEKDAY($A559)&lt;&gt;1)),"work",(INDEX(Subject!$A:$I,MATCH(RANDBETWEEN(1,(MAX(Subject!$B:$B))),Subject!$B:$B,0),3))))</f>
        <v/>
      </c>
      <c r="J559" s="2" t="str">
        <f t="array" ref="J559">IF(NOW()&gt;AU559,"",IF(AND((WEEKDAY($A559)+$B$2)&gt;1,((WEEKDAY($A559)+$T$2)&lt;7),(WEEKDAY($A559)&lt;&gt;1)),"work",(INDEX(Subject!$A:$I,MATCH(RANDBETWEEN(1,(MAX(Subject!$B:$B))),Subject!$B:$B,0),3))))</f>
        <v/>
      </c>
      <c r="K559" s="2" t="str">
        <f t="array" ref="K559">IF(NOW()&gt;AV559,"",IF(AND((WEEKDAY($A559)+$B$2)&gt;1,((WEEKDAY($A559)+$T$2)&lt;7),(WEEKDAY($A559)&lt;&gt;1)),"work",(INDEX(Subject!$A:$I,MATCH(RANDBETWEEN(1,(MAX(Subject!$B:$B))),Subject!$B:$B,0),3))))</f>
        <v/>
      </c>
      <c r="L559" s="2" t="str">
        <f t="array" ref="L559">IF(NOW()&gt;AW559,"",IF(AND((WEEKDAY($A559)+$B$2)&gt;1,((WEEKDAY($A559)+$T$2)&lt;7),(WEEKDAY($A559)&lt;&gt;1)),"work",(INDEX(Subject!$A:$I,MATCH(RANDBETWEEN(1,(MAX(Subject!$B:$B))),Subject!$B:$B,0),3))))</f>
        <v/>
      </c>
      <c r="M559" s="2" t="str">
        <f t="array" ref="M559">IF(NOW()&gt;AX559,"",IF(AND((WEEKDAY($A559)+$B$2)&gt;1,((WEEKDAY($A559)+$T$2)&lt;7),(WEEKDAY($A559)&lt;&gt;1)),"work",(INDEX(Subject!$A:$I,MATCH(RANDBETWEEN(1,(MAX(Subject!$B:$B))),Subject!$B:$B,0),3))))</f>
        <v/>
      </c>
      <c r="N559" s="2" t="str">
        <f t="array" ref="N559">IF(NOW()&gt;AY559,"",IF(AND((WEEKDAY($A559)+$B$2)&gt;1,((WEEKDAY($A559)+$T$2)&lt;7),(WEEKDAY($A559)&lt;&gt;1)),"work",(INDEX(Subject!$A:$I,MATCH(RANDBETWEEN(1,(MAX(Subject!$B:$B))),Subject!$B:$B,0),3))))</f>
        <v/>
      </c>
      <c r="O559" s="2" t="str">
        <f t="array" ref="O559">IF(NOW()&gt;AZ559,"",IF(AND((WEEKDAY($A559)+$B$2)&gt;1,((WEEKDAY($A559)+$T$2)&lt;7),(WEEKDAY($A559)&lt;&gt;1)),"work",(INDEX(Subject!$A:$I,MATCH(RANDBETWEEN(1,(MAX(Subject!$B:$B))),Subject!$B:$B,0),3))))</f>
        <v/>
      </c>
      <c r="P559" s="2" t="str">
        <f t="array" ref="P559">IF(NOW()&gt;BA559,"",IF(AND((WEEKDAY($A559)+$B$2)&gt;1,((WEEKDAY($A559)+$T$2)&lt;7),(WEEKDAY($A559)&lt;&gt;1)),"work",(INDEX(Subject!$A:$I,MATCH(RANDBETWEEN(1,(MAX(Subject!$B:$B))),Subject!$B:$B,0),3))))</f>
        <v/>
      </c>
      <c r="Q559" s="2" t="str">
        <f t="array" ref="Q559">IF(NOW()&gt;BB559,"",IF(AND((WEEKDAY($A559)+$B$2)&gt;1,((WEEKDAY($A559)+$T$2)&lt;7),(WEEKDAY($A559)&lt;&gt;1)),"work",(INDEX(Subject!$A:$I,MATCH(RANDBETWEEN(1,(MAX(Subject!$B:$B))),Subject!$B:$B,0),3))))</f>
        <v/>
      </c>
      <c r="R559" s="2" t="str">
        <f t="array" ref="R559">IF(NOW()&gt;BC559,"",IF(AND((WEEKDAY($A559)+$B$2)&gt;1,((WEEKDAY($A559)+$T$2)&lt;7),(WEEKDAY($A559)&lt;&gt;1)),"work",(INDEX(Subject!$A:$I,MATCH(RANDBETWEEN(1,(MAX(Subject!$B:$B))),Subject!$B:$B,0),3))))</f>
        <v/>
      </c>
      <c r="S559" s="2" t="str">
        <f t="array" ref="S559">IF(NOW()&gt;BD559,"",IF(AND((WEEKDAY($A559)+$B$2)&gt;1,((WEEKDAY($A559)+$T$2)&lt;7),(WEEKDAY($A559)&lt;&gt;1)),"work",(INDEX(Subject!$A:$I,MATCH(RANDBETWEEN(1,(MAX(Subject!$B:$B))),Subject!$B:$B,0),3))))</f>
        <v/>
      </c>
      <c r="T559" s="2" t="str">
        <f t="array" ref="T559">IF(NOW()&gt;BE559,"",IF(AND((WEEKDAY($A559)+$B$2)&gt;1,((WEEKDAY($A559)+$T$2)&lt;7),(WEEKDAY($A559)&lt;&gt;1)),"work",(INDEX(Subject!$A:$I,MATCH(RANDBETWEEN(1,(MAX(Subject!$B:$B))),Subject!$B:$B,0),3))))</f>
        <v/>
      </c>
      <c r="U559" s="8" t="str">
        <f t="array" ref="U559">INDEX(Subject!$A:$I,MATCH(RANDBETWEEN(1,16),Subject!$B:$B,0),3)</f>
        <v>#N/A</v>
      </c>
      <c r="V559" s="8" t="str">
        <f t="array" ref="V559">INDEX(Subject!$A:$I,MATCH(RANDBETWEEN(1,16),Subject!$B:$B,0),3)</f>
        <v/>
      </c>
      <c r="W559" s="8" t="str">
        <f t="array" ref="W559">INDEX(Subject!$A:$I,MATCH(RANDBETWEEN(1,16),Subject!$B:$B,0),3)</f>
        <v>#N/A</v>
      </c>
      <c r="X559" s="8" t="str">
        <f t="array" ref="X559">INDEX(Subject!$A:$I,MATCH(RANDBETWEEN(1,16),Subject!$B:$B,0),3)</f>
        <v>#N/A</v>
      </c>
      <c r="Y559" s="8" t="str">
        <f t="array" ref="Y559">INDEX(Subject!$A:$I,MATCH(RANDBETWEEN(1,16),Subject!$B:$B,0),3)</f>
        <v>#N/A</v>
      </c>
      <c r="Z559" s="8" t="str">
        <f t="array" ref="Z559">INDEX(Subject!$A:$I,MATCH(RANDBETWEEN(1,16),Subject!$B:$B,0),3)</f>
        <v>#N/A</v>
      </c>
      <c r="AA559" s="8" t="str">
        <f t="array" ref="AA559">INDEX(Subject!$A:$I,MATCH(RANDBETWEEN(1,16),Subject!$B:$B,0),3)</f>
        <v>#N/A</v>
      </c>
      <c r="AB559" s="8" t="str">
        <f t="array" ref="AB559">INDEX(Subject!$A:$I,MATCH(RANDBETWEEN(1,16),Subject!$B:$B,0),3)</f>
        <v>#N/A</v>
      </c>
      <c r="AC559" s="8" t="str">
        <f t="array" ref="AC559">INDEX(Subject!$A:$I,MATCH(RANDBETWEEN(1,16),Subject!$B:$B,0),3)</f>
        <v>#N/A</v>
      </c>
      <c r="AD559" s="8" t="str">
        <f t="array" ref="AD559">INDEX(Subject!$A:$I,MATCH(RANDBETWEEN(1,16),Subject!$B:$B,0),3)</f>
        <v>#N/A</v>
      </c>
      <c r="AE559" s="8" t="str">
        <f t="array" ref="AE559">INDEX(Subject!$A:$I,MATCH(RANDBETWEEN(1,16),Subject!$B:$B,0),3)</f>
        <v>#N/A</v>
      </c>
      <c r="AF559" s="8" t="str">
        <f t="array" ref="AF559">INDEX(Subject!$A:$I,MATCH(RANDBETWEEN(1,16),Subject!$B:$B,0),3)</f>
        <v>#N/A</v>
      </c>
      <c r="AG559" s="8" t="str">
        <f t="array" ref="AG559">INDEX(Subject!$A:$I,MATCH(RANDBETWEEN(1,16),Subject!$B:$B,0),3)</f>
        <v>#N/A</v>
      </c>
      <c r="AH559" s="8" t="str">
        <f t="array" ref="AH559">INDEX(Subject!$A:$I,MATCH(RANDBETWEEN(1,16),Subject!$B:$B,0),3)</f>
        <v>#N/A</v>
      </c>
      <c r="AI559" s="8" t="str">
        <f t="array" ref="AI559">INDEX(Subject!$A:$I,MATCH(RANDBETWEEN(1,16),Subject!$B:$B,0),3)</f>
        <v>#N/A</v>
      </c>
      <c r="AJ559" s="8" t="str">
        <f t="array" ref="AJ559">INDEX(Subject!$A:$I,MATCH(RANDBETWEEN(1,16),Subject!$B:$B,0),3)</f>
        <v>#N/A</v>
      </c>
      <c r="AK559" s="8" t="str">
        <f t="array" ref="AK559">INDEX(Subject!$A:$I,MATCH(RANDBETWEEN(1,16),Subject!$B:$B,0),3)</f>
        <v>#N/A</v>
      </c>
      <c r="AL559" s="8" t="str">
        <f t="array" ref="AL559">INDEX(Subject!$A:$I,MATCH(RANDBETWEEN(1,16),Subject!$B:$B,0),3)</f>
        <v>#N/A</v>
      </c>
      <c r="AM559" s="18">
        <f t="shared" si="4"/>
        <v>46059.33333</v>
      </c>
      <c r="AN559" s="19">
        <f t="shared" ref="AN559:BZ559" si="559">$A559+C$1</f>
        <v>46059.35417</v>
      </c>
      <c r="AO559" s="19">
        <f t="shared" si="559"/>
        <v>46059.375</v>
      </c>
      <c r="AP559" s="19">
        <f t="shared" si="559"/>
        <v>46059.39583</v>
      </c>
      <c r="AQ559" s="19">
        <f t="shared" si="559"/>
        <v>46059.41667</v>
      </c>
      <c r="AR559" s="19">
        <f t="shared" si="559"/>
        <v>46059.4375</v>
      </c>
      <c r="AS559" s="19">
        <f t="shared" si="559"/>
        <v>46059.45833</v>
      </c>
      <c r="AT559" s="19">
        <f t="shared" si="559"/>
        <v>46059.47917</v>
      </c>
      <c r="AU559" s="19">
        <f t="shared" si="559"/>
        <v>46059.5</v>
      </c>
      <c r="AV559" s="19">
        <f t="shared" si="559"/>
        <v>46059.52083</v>
      </c>
      <c r="AW559" s="19">
        <f t="shared" si="559"/>
        <v>46059.54167</v>
      </c>
      <c r="AX559" s="19">
        <f t="shared" si="559"/>
        <v>46059.5625</v>
      </c>
      <c r="AY559" s="19">
        <f t="shared" si="559"/>
        <v>46059.58333</v>
      </c>
      <c r="AZ559" s="19">
        <f t="shared" si="559"/>
        <v>46059.60417</v>
      </c>
      <c r="BA559" s="19">
        <f t="shared" si="559"/>
        <v>46059.625</v>
      </c>
      <c r="BB559" s="19">
        <f t="shared" si="559"/>
        <v>46059.64583</v>
      </c>
      <c r="BC559" s="19">
        <f t="shared" si="559"/>
        <v>46059.66667</v>
      </c>
      <c r="BD559" s="19">
        <f t="shared" si="559"/>
        <v>46059.6875</v>
      </c>
      <c r="BE559" s="19">
        <f t="shared" si="559"/>
        <v>46059.70833</v>
      </c>
      <c r="BF559" s="19">
        <f t="shared" si="559"/>
        <v>46059.72917</v>
      </c>
      <c r="BG559" s="19">
        <f t="shared" si="559"/>
        <v>46059.75</v>
      </c>
      <c r="BH559" s="19">
        <f t="shared" si="559"/>
        <v>46059.77083</v>
      </c>
      <c r="BI559" s="19">
        <f t="shared" si="559"/>
        <v>46059.79167</v>
      </c>
      <c r="BJ559" s="19">
        <f t="shared" si="559"/>
        <v>46059.8125</v>
      </c>
      <c r="BK559" s="19">
        <f t="shared" si="559"/>
        <v>46059.83333</v>
      </c>
      <c r="BL559" s="19">
        <f t="shared" si="559"/>
        <v>46059.85417</v>
      </c>
      <c r="BM559" s="19">
        <f t="shared" si="559"/>
        <v>46059.875</v>
      </c>
      <c r="BN559" s="19">
        <f t="shared" si="559"/>
        <v>46059.89583</v>
      </c>
      <c r="BO559" s="19">
        <f t="shared" si="559"/>
        <v>46059.91667</v>
      </c>
      <c r="BP559" s="19">
        <f t="shared" si="559"/>
        <v>46059.9375</v>
      </c>
      <c r="BQ559" s="19">
        <f t="shared" si="559"/>
        <v>46059.95833</v>
      </c>
      <c r="BR559" s="19">
        <f t="shared" si="559"/>
        <v>46059.97917</v>
      </c>
      <c r="BS559" s="19">
        <f t="shared" si="559"/>
        <v>46060</v>
      </c>
      <c r="BT559" s="19">
        <f t="shared" si="559"/>
        <v>46060.02083</v>
      </c>
      <c r="BU559" s="19">
        <f t="shared" si="559"/>
        <v>46060.04167</v>
      </c>
      <c r="BV559" s="19">
        <f t="shared" si="559"/>
        <v>46060.0625</v>
      </c>
      <c r="BW559" s="19">
        <f t="shared" si="559"/>
        <v>46060.08333</v>
      </c>
      <c r="BX559" s="19">
        <f t="shared" si="559"/>
        <v>46059</v>
      </c>
      <c r="BY559" s="19">
        <f t="shared" si="559"/>
        <v>46059</v>
      </c>
      <c r="BZ559" s="19">
        <f t="shared" si="559"/>
        <v>46059</v>
      </c>
    </row>
    <row r="560" ht="14.25" customHeight="1">
      <c r="A560" s="17">
        <v>46060.0</v>
      </c>
      <c r="B560" s="2" t="str">
        <f t="array" ref="B560">IF(NOW()&gt;AM560,"",IF(AND((WEEKDAY($A560)+$B$2)&gt;1,((WEEKDAY($A560)+$T$2)&lt;7),(WEEKDAY($A560)&lt;&gt;1)),"work",(INDEX(Subject!$A:$I,MATCH(RANDBETWEEN(1,(MAX(Subject!$B:$B))),Subject!$B:$B,0),3))))</f>
        <v/>
      </c>
      <c r="C560" s="2" t="str">
        <f t="array" ref="C560">IF(NOW()&gt;AN560,"",IF(AND((WEEKDAY($A560)+$B$2)&gt;1,((WEEKDAY($A560)+$T$2)&lt;7),(WEEKDAY($A560)&lt;&gt;1)),"work",(INDEX(Subject!$A:$I,MATCH(RANDBETWEEN(1,(MAX(Subject!$B:$B))),Subject!$B:$B,0),3))))</f>
        <v/>
      </c>
      <c r="D560" s="2" t="str">
        <f t="array" ref="D560">IF(NOW()&gt;AO560,"",IF(AND((WEEKDAY($A560)+$B$2)&gt;1,((WEEKDAY($A560)+$T$2)&lt;7),(WEEKDAY($A560)&lt;&gt;1)),"work",(INDEX(Subject!$A:$I,MATCH(RANDBETWEEN(1,(MAX(Subject!$B:$B))),Subject!$B:$B,0),3))))</f>
        <v/>
      </c>
      <c r="E560" s="2" t="str">
        <f t="array" ref="E560">IF(NOW()&gt;AP560,"",IF(AND((WEEKDAY($A560)+$B$2)&gt;1,((WEEKDAY($A560)+$T$2)&lt;7),(WEEKDAY($A560)&lt;&gt;1)),"work",(INDEX(Subject!$A:$I,MATCH(RANDBETWEEN(1,(MAX(Subject!$B:$B))),Subject!$B:$B,0),3))))</f>
        <v/>
      </c>
      <c r="F560" s="2" t="str">
        <f t="array" ref="F560">IF(NOW()&gt;AQ560,"",IF(AND((WEEKDAY($A560)+$B$2)&gt;1,((WEEKDAY($A560)+$T$2)&lt;7),(WEEKDAY($A560)&lt;&gt;1)),"work",(INDEX(Subject!$A:$I,MATCH(RANDBETWEEN(1,(MAX(Subject!$B:$B))),Subject!$B:$B,0),3))))</f>
        <v/>
      </c>
      <c r="G560" s="2" t="str">
        <f t="array" ref="G560">IF(NOW()&gt;AR560,"",IF(AND((WEEKDAY($A560)+$B$2)&gt;1,((WEEKDAY($A560)+$T$2)&lt;7),(WEEKDAY($A560)&lt;&gt;1)),"work",(INDEX(Subject!$A:$I,MATCH(RANDBETWEEN(1,(MAX(Subject!$B:$B))),Subject!$B:$B,0),3))))</f>
        <v/>
      </c>
      <c r="H560" s="2" t="str">
        <f t="array" ref="H560">IF(NOW()&gt;AS560,"",IF(AND((WEEKDAY($A560)+$B$2)&gt;1,((WEEKDAY($A560)+$T$2)&lt;7),(WEEKDAY($A560)&lt;&gt;1)),"work",(INDEX(Subject!$A:$I,MATCH(RANDBETWEEN(1,(MAX(Subject!$B:$B))),Subject!$B:$B,0),3))))</f>
        <v/>
      </c>
      <c r="I560" s="2" t="str">
        <f t="array" ref="I560">IF(NOW()&gt;AT560,"",IF(AND((WEEKDAY($A560)+$B$2)&gt;1,((WEEKDAY($A560)+$T$2)&lt;7),(WEEKDAY($A560)&lt;&gt;1)),"work",(INDEX(Subject!$A:$I,MATCH(RANDBETWEEN(1,(MAX(Subject!$B:$B))),Subject!$B:$B,0),3))))</f>
        <v/>
      </c>
      <c r="J560" s="2" t="str">
        <f t="array" ref="J560">IF(NOW()&gt;AU560,"",IF(AND((WEEKDAY($A560)+$B$2)&gt;1,((WEEKDAY($A560)+$T$2)&lt;7),(WEEKDAY($A560)&lt;&gt;1)),"work",(INDEX(Subject!$A:$I,MATCH(RANDBETWEEN(1,(MAX(Subject!$B:$B))),Subject!$B:$B,0),3))))</f>
        <v/>
      </c>
      <c r="K560" s="2" t="str">
        <f t="array" ref="K560">IF(NOW()&gt;AV560,"",IF(AND((WEEKDAY($A560)+$B$2)&gt;1,((WEEKDAY($A560)+$T$2)&lt;7),(WEEKDAY($A560)&lt;&gt;1)),"work",(INDEX(Subject!$A:$I,MATCH(RANDBETWEEN(1,(MAX(Subject!$B:$B))),Subject!$B:$B,0),3))))</f>
        <v/>
      </c>
      <c r="L560" s="2" t="str">
        <f t="array" ref="L560">IF(NOW()&gt;AW560,"",IF(AND((WEEKDAY($A560)+$B$2)&gt;1,((WEEKDAY($A560)+$T$2)&lt;7),(WEEKDAY($A560)&lt;&gt;1)),"work",(INDEX(Subject!$A:$I,MATCH(RANDBETWEEN(1,(MAX(Subject!$B:$B))),Subject!$B:$B,0),3))))</f>
        <v/>
      </c>
      <c r="M560" s="2" t="str">
        <f t="array" ref="M560">IF(NOW()&gt;AX560,"",IF(AND((WEEKDAY($A560)+$B$2)&gt;1,((WEEKDAY($A560)+$T$2)&lt;7),(WEEKDAY($A560)&lt;&gt;1)),"work",(INDEX(Subject!$A:$I,MATCH(RANDBETWEEN(1,(MAX(Subject!$B:$B))),Subject!$B:$B,0),3))))</f>
        <v/>
      </c>
      <c r="N560" s="2" t="str">
        <f t="array" ref="N560">IF(NOW()&gt;AY560,"",IF(AND((WEEKDAY($A560)+$B$2)&gt;1,((WEEKDAY($A560)+$T$2)&lt;7),(WEEKDAY($A560)&lt;&gt;1)),"work",(INDEX(Subject!$A:$I,MATCH(RANDBETWEEN(1,(MAX(Subject!$B:$B))),Subject!$B:$B,0),3))))</f>
        <v/>
      </c>
      <c r="O560" s="2" t="str">
        <f t="array" ref="O560">IF(NOW()&gt;AZ560,"",IF(AND((WEEKDAY($A560)+$B$2)&gt;1,((WEEKDAY($A560)+$T$2)&lt;7),(WEEKDAY($A560)&lt;&gt;1)),"work",(INDEX(Subject!$A:$I,MATCH(RANDBETWEEN(1,(MAX(Subject!$B:$B))),Subject!$B:$B,0),3))))</f>
        <v/>
      </c>
      <c r="P560" s="2" t="str">
        <f t="array" ref="P560">IF(NOW()&gt;BA560,"",IF(AND((WEEKDAY($A560)+$B$2)&gt;1,((WEEKDAY($A560)+$T$2)&lt;7),(WEEKDAY($A560)&lt;&gt;1)),"work",(INDEX(Subject!$A:$I,MATCH(RANDBETWEEN(1,(MAX(Subject!$B:$B))),Subject!$B:$B,0),3))))</f>
        <v/>
      </c>
      <c r="Q560" s="2" t="str">
        <f t="array" ref="Q560">IF(NOW()&gt;BB560,"",IF(AND((WEEKDAY($A560)+$B$2)&gt;1,((WEEKDAY($A560)+$T$2)&lt;7),(WEEKDAY($A560)&lt;&gt;1)),"work",(INDEX(Subject!$A:$I,MATCH(RANDBETWEEN(1,(MAX(Subject!$B:$B))),Subject!$B:$B,0),3))))</f>
        <v/>
      </c>
      <c r="R560" s="2" t="str">
        <f t="array" ref="R560">IF(NOW()&gt;BC560,"",IF(AND((WEEKDAY($A560)+$B$2)&gt;1,((WEEKDAY($A560)+$T$2)&lt;7),(WEEKDAY($A560)&lt;&gt;1)),"work",(INDEX(Subject!$A:$I,MATCH(RANDBETWEEN(1,(MAX(Subject!$B:$B))),Subject!$B:$B,0),3))))</f>
        <v/>
      </c>
      <c r="S560" s="2" t="str">
        <f t="array" ref="S560">IF(NOW()&gt;BD560,"",IF(AND((WEEKDAY($A560)+$B$2)&gt;1,((WEEKDAY($A560)+$T$2)&lt;7),(WEEKDAY($A560)&lt;&gt;1)),"work",(INDEX(Subject!$A:$I,MATCH(RANDBETWEEN(1,(MAX(Subject!$B:$B))),Subject!$B:$B,0),3))))</f>
        <v/>
      </c>
      <c r="T560" s="2" t="str">
        <f t="array" ref="T560">IF(NOW()&gt;BE560,"",IF(AND((WEEKDAY($A560)+$B$2)&gt;1,((WEEKDAY($A560)+$T$2)&lt;7),(WEEKDAY($A560)&lt;&gt;1)),"work",(INDEX(Subject!$A:$I,MATCH(RANDBETWEEN(1,(MAX(Subject!$B:$B))),Subject!$B:$B,0),3))))</f>
        <v/>
      </c>
      <c r="U560" s="8" t="str">
        <f t="array" ref="U560">INDEX(Subject!$A:$I,MATCH(RANDBETWEEN(1,16),Subject!$B:$B,0),3)</f>
        <v>#N/A</v>
      </c>
      <c r="V560" s="8" t="str">
        <f t="array" ref="V560">INDEX(Subject!$A:$I,MATCH(RANDBETWEEN(1,16),Subject!$B:$B,0),3)</f>
        <v>#N/A</v>
      </c>
      <c r="W560" s="8" t="str">
        <f t="array" ref="W560">INDEX(Subject!$A:$I,MATCH(RANDBETWEEN(1,16),Subject!$B:$B,0),3)</f>
        <v>#N/A</v>
      </c>
      <c r="X560" s="8" t="str">
        <f t="array" ref="X560">INDEX(Subject!$A:$I,MATCH(RANDBETWEEN(1,16),Subject!$B:$B,0),3)</f>
        <v>#N/A</v>
      </c>
      <c r="Y560" s="8" t="str">
        <f t="array" ref="Y560">INDEX(Subject!$A:$I,MATCH(RANDBETWEEN(1,16),Subject!$B:$B,0),3)</f>
        <v>#N/A</v>
      </c>
      <c r="Z560" s="8" t="str">
        <f t="array" ref="Z560">INDEX(Subject!$A:$I,MATCH(RANDBETWEEN(1,16),Subject!$B:$B,0),3)</f>
        <v>#N/A</v>
      </c>
      <c r="AA560" s="8" t="str">
        <f t="array" ref="AA560">INDEX(Subject!$A:$I,MATCH(RANDBETWEEN(1,16),Subject!$B:$B,0),3)</f>
        <v>#N/A</v>
      </c>
      <c r="AB560" s="8" t="str">
        <f t="array" ref="AB560">INDEX(Subject!$A:$I,MATCH(RANDBETWEEN(1,16),Subject!$B:$B,0),3)</f>
        <v>#N/A</v>
      </c>
      <c r="AC560" s="8" t="str">
        <f t="array" ref="AC560">INDEX(Subject!$A:$I,MATCH(RANDBETWEEN(1,16),Subject!$B:$B,0),3)</f>
        <v>#N/A</v>
      </c>
      <c r="AD560" s="8" t="str">
        <f t="array" ref="AD560">INDEX(Subject!$A:$I,MATCH(RANDBETWEEN(1,16),Subject!$B:$B,0),3)</f>
        <v>#N/A</v>
      </c>
      <c r="AE560" s="8" t="str">
        <f t="array" ref="AE560">INDEX(Subject!$A:$I,MATCH(RANDBETWEEN(1,16),Subject!$B:$B,0),3)</f>
        <v>#N/A</v>
      </c>
      <c r="AF560" s="8" t="str">
        <f t="array" ref="AF560">INDEX(Subject!$A:$I,MATCH(RANDBETWEEN(1,16),Subject!$B:$B,0),3)</f>
        <v>#N/A</v>
      </c>
      <c r="AG560" s="8" t="str">
        <f t="array" ref="AG560">INDEX(Subject!$A:$I,MATCH(RANDBETWEEN(1,16),Subject!$B:$B,0),3)</f>
        <v>#N/A</v>
      </c>
      <c r="AH560" s="8" t="str">
        <f t="array" ref="AH560">INDEX(Subject!$A:$I,MATCH(RANDBETWEEN(1,16),Subject!$B:$B,0),3)</f>
        <v/>
      </c>
      <c r="AI560" s="8" t="str">
        <f t="array" ref="AI560">INDEX(Subject!$A:$I,MATCH(RANDBETWEEN(1,16),Subject!$B:$B,0),3)</f>
        <v>#N/A</v>
      </c>
      <c r="AJ560" s="8" t="str">
        <f t="array" ref="AJ560">INDEX(Subject!$A:$I,MATCH(RANDBETWEEN(1,16),Subject!$B:$B,0),3)</f>
        <v>#N/A</v>
      </c>
      <c r="AK560" s="8" t="str">
        <f t="array" ref="AK560">INDEX(Subject!$A:$I,MATCH(RANDBETWEEN(1,16),Subject!$B:$B,0),3)</f>
        <v>#N/A</v>
      </c>
      <c r="AL560" s="8" t="str">
        <f t="array" ref="AL560">INDEX(Subject!$A:$I,MATCH(RANDBETWEEN(1,16),Subject!$B:$B,0),3)</f>
        <v>#N/A</v>
      </c>
      <c r="AM560" s="18">
        <f t="shared" si="4"/>
        <v>46060.33333</v>
      </c>
      <c r="AN560" s="19">
        <f t="shared" ref="AN560:BZ560" si="560">$A560+C$1</f>
        <v>46060.35417</v>
      </c>
      <c r="AO560" s="19">
        <f t="shared" si="560"/>
        <v>46060.375</v>
      </c>
      <c r="AP560" s="19">
        <f t="shared" si="560"/>
        <v>46060.39583</v>
      </c>
      <c r="AQ560" s="19">
        <f t="shared" si="560"/>
        <v>46060.41667</v>
      </c>
      <c r="AR560" s="19">
        <f t="shared" si="560"/>
        <v>46060.4375</v>
      </c>
      <c r="AS560" s="19">
        <f t="shared" si="560"/>
        <v>46060.45833</v>
      </c>
      <c r="AT560" s="19">
        <f t="shared" si="560"/>
        <v>46060.47917</v>
      </c>
      <c r="AU560" s="19">
        <f t="shared" si="560"/>
        <v>46060.5</v>
      </c>
      <c r="AV560" s="19">
        <f t="shared" si="560"/>
        <v>46060.52083</v>
      </c>
      <c r="AW560" s="19">
        <f t="shared" si="560"/>
        <v>46060.54167</v>
      </c>
      <c r="AX560" s="19">
        <f t="shared" si="560"/>
        <v>46060.5625</v>
      </c>
      <c r="AY560" s="19">
        <f t="shared" si="560"/>
        <v>46060.58333</v>
      </c>
      <c r="AZ560" s="19">
        <f t="shared" si="560"/>
        <v>46060.60417</v>
      </c>
      <c r="BA560" s="19">
        <f t="shared" si="560"/>
        <v>46060.625</v>
      </c>
      <c r="BB560" s="19">
        <f t="shared" si="560"/>
        <v>46060.64583</v>
      </c>
      <c r="BC560" s="19">
        <f t="shared" si="560"/>
        <v>46060.66667</v>
      </c>
      <c r="BD560" s="19">
        <f t="shared" si="560"/>
        <v>46060.6875</v>
      </c>
      <c r="BE560" s="19">
        <f t="shared" si="560"/>
        <v>46060.70833</v>
      </c>
      <c r="BF560" s="19">
        <f t="shared" si="560"/>
        <v>46060.72917</v>
      </c>
      <c r="BG560" s="19">
        <f t="shared" si="560"/>
        <v>46060.75</v>
      </c>
      <c r="BH560" s="19">
        <f t="shared" si="560"/>
        <v>46060.77083</v>
      </c>
      <c r="BI560" s="19">
        <f t="shared" si="560"/>
        <v>46060.79167</v>
      </c>
      <c r="BJ560" s="19">
        <f t="shared" si="560"/>
        <v>46060.8125</v>
      </c>
      <c r="BK560" s="19">
        <f t="shared" si="560"/>
        <v>46060.83333</v>
      </c>
      <c r="BL560" s="19">
        <f t="shared" si="560"/>
        <v>46060.85417</v>
      </c>
      <c r="BM560" s="19">
        <f t="shared" si="560"/>
        <v>46060.875</v>
      </c>
      <c r="BN560" s="19">
        <f t="shared" si="560"/>
        <v>46060.89583</v>
      </c>
      <c r="BO560" s="19">
        <f t="shared" si="560"/>
        <v>46060.91667</v>
      </c>
      <c r="BP560" s="19">
        <f t="shared" si="560"/>
        <v>46060.9375</v>
      </c>
      <c r="BQ560" s="19">
        <f t="shared" si="560"/>
        <v>46060.95833</v>
      </c>
      <c r="BR560" s="19">
        <f t="shared" si="560"/>
        <v>46060.97917</v>
      </c>
      <c r="BS560" s="19">
        <f t="shared" si="560"/>
        <v>46061</v>
      </c>
      <c r="BT560" s="19">
        <f t="shared" si="560"/>
        <v>46061.02083</v>
      </c>
      <c r="BU560" s="19">
        <f t="shared" si="560"/>
        <v>46061.04167</v>
      </c>
      <c r="BV560" s="19">
        <f t="shared" si="560"/>
        <v>46061.0625</v>
      </c>
      <c r="BW560" s="19">
        <f t="shared" si="560"/>
        <v>46061.08333</v>
      </c>
      <c r="BX560" s="19">
        <f t="shared" si="560"/>
        <v>46060</v>
      </c>
      <c r="BY560" s="19">
        <f t="shared" si="560"/>
        <v>46060</v>
      </c>
      <c r="BZ560" s="19">
        <f t="shared" si="560"/>
        <v>46060</v>
      </c>
    </row>
    <row r="561" ht="14.25" customHeight="1">
      <c r="A561" s="17">
        <v>46061.0</v>
      </c>
      <c r="B561" s="2" t="str">
        <f t="array" ref="B561">IF(NOW()&gt;AM561,"",IF(AND((WEEKDAY($A561)+$B$2)&gt;1,((WEEKDAY($A561)+$T$2)&lt;7),(WEEKDAY($A561)&lt;&gt;1)),"work",(INDEX(Subject!$A:$I,MATCH(RANDBETWEEN(1,(MAX(Subject!$B:$B))),Subject!$B:$B,0),3))))</f>
        <v/>
      </c>
      <c r="C561" s="2" t="str">
        <f t="array" ref="C561">IF(NOW()&gt;AN561,"",IF(AND((WEEKDAY($A561)+$B$2)&gt;1,((WEEKDAY($A561)+$T$2)&lt;7),(WEEKDAY($A561)&lt;&gt;1)),"work",(INDEX(Subject!$A:$I,MATCH(RANDBETWEEN(1,(MAX(Subject!$B:$B))),Subject!$B:$B,0),3))))</f>
        <v/>
      </c>
      <c r="D561" s="2" t="str">
        <f t="array" ref="D561">IF(NOW()&gt;AO561,"",IF(AND((WEEKDAY($A561)+$B$2)&gt;1,((WEEKDAY($A561)+$T$2)&lt;7),(WEEKDAY($A561)&lt;&gt;1)),"work",(INDEX(Subject!$A:$I,MATCH(RANDBETWEEN(1,(MAX(Subject!$B:$B))),Subject!$B:$B,0),3))))</f>
        <v/>
      </c>
      <c r="E561" s="2" t="str">
        <f t="array" ref="E561">IF(NOW()&gt;AP561,"",IF(AND((WEEKDAY($A561)+$B$2)&gt;1,((WEEKDAY($A561)+$T$2)&lt;7),(WEEKDAY($A561)&lt;&gt;1)),"work",(INDEX(Subject!$A:$I,MATCH(RANDBETWEEN(1,(MAX(Subject!$B:$B))),Subject!$B:$B,0),3))))</f>
        <v/>
      </c>
      <c r="F561" s="2" t="str">
        <f t="array" ref="F561">IF(NOW()&gt;AQ561,"",IF(AND((WEEKDAY($A561)+$B$2)&gt;1,((WEEKDAY($A561)+$T$2)&lt;7),(WEEKDAY($A561)&lt;&gt;1)),"work",(INDEX(Subject!$A:$I,MATCH(RANDBETWEEN(1,(MAX(Subject!$B:$B))),Subject!$B:$B,0),3))))</f>
        <v/>
      </c>
      <c r="G561" s="2" t="str">
        <f t="array" ref="G561">IF(NOW()&gt;AR561,"",IF(AND((WEEKDAY($A561)+$B$2)&gt;1,((WEEKDAY($A561)+$T$2)&lt;7),(WEEKDAY($A561)&lt;&gt;1)),"work",(INDEX(Subject!$A:$I,MATCH(RANDBETWEEN(1,(MAX(Subject!$B:$B))),Subject!$B:$B,0),3))))</f>
        <v/>
      </c>
      <c r="H561" s="2" t="str">
        <f t="array" ref="H561">IF(NOW()&gt;AS561,"",IF(AND((WEEKDAY($A561)+$B$2)&gt;1,((WEEKDAY($A561)+$T$2)&lt;7),(WEEKDAY($A561)&lt;&gt;1)),"work",(INDEX(Subject!$A:$I,MATCH(RANDBETWEEN(1,(MAX(Subject!$B:$B))),Subject!$B:$B,0),3))))</f>
        <v/>
      </c>
      <c r="I561" s="2" t="str">
        <f t="array" ref="I561">IF(NOW()&gt;AT561,"",IF(AND((WEEKDAY($A561)+$B$2)&gt;1,((WEEKDAY($A561)+$T$2)&lt;7),(WEEKDAY($A561)&lt;&gt;1)),"work",(INDEX(Subject!$A:$I,MATCH(RANDBETWEEN(1,(MAX(Subject!$B:$B))),Subject!$B:$B,0),3))))</f>
        <v/>
      </c>
      <c r="J561" s="2" t="str">
        <f t="array" ref="J561">IF(NOW()&gt;AU561,"",IF(AND((WEEKDAY($A561)+$B$2)&gt;1,((WEEKDAY($A561)+$T$2)&lt;7),(WEEKDAY($A561)&lt;&gt;1)),"work",(INDEX(Subject!$A:$I,MATCH(RANDBETWEEN(1,(MAX(Subject!$B:$B))),Subject!$B:$B,0),3))))</f>
        <v/>
      </c>
      <c r="K561" s="2" t="str">
        <f t="array" ref="K561">IF(NOW()&gt;AV561,"",IF(AND((WEEKDAY($A561)+$B$2)&gt;1,((WEEKDAY($A561)+$T$2)&lt;7),(WEEKDAY($A561)&lt;&gt;1)),"work",(INDEX(Subject!$A:$I,MATCH(RANDBETWEEN(1,(MAX(Subject!$B:$B))),Subject!$B:$B,0),3))))</f>
        <v/>
      </c>
      <c r="L561" s="2" t="str">
        <f t="array" ref="L561">IF(NOW()&gt;AW561,"",IF(AND((WEEKDAY($A561)+$B$2)&gt;1,((WEEKDAY($A561)+$T$2)&lt;7),(WEEKDAY($A561)&lt;&gt;1)),"work",(INDEX(Subject!$A:$I,MATCH(RANDBETWEEN(1,(MAX(Subject!$B:$B))),Subject!$B:$B,0),3))))</f>
        <v/>
      </c>
      <c r="M561" s="2" t="str">
        <f t="array" ref="M561">IF(NOW()&gt;AX561,"",IF(AND((WEEKDAY($A561)+$B$2)&gt;1,((WEEKDAY($A561)+$T$2)&lt;7),(WEEKDAY($A561)&lt;&gt;1)),"work",(INDEX(Subject!$A:$I,MATCH(RANDBETWEEN(1,(MAX(Subject!$B:$B))),Subject!$B:$B,0),3))))</f>
        <v/>
      </c>
      <c r="N561" s="2" t="str">
        <f t="array" ref="N561">IF(NOW()&gt;AY561,"",IF(AND((WEEKDAY($A561)+$B$2)&gt;1,((WEEKDAY($A561)+$T$2)&lt;7),(WEEKDAY($A561)&lt;&gt;1)),"work",(INDEX(Subject!$A:$I,MATCH(RANDBETWEEN(1,(MAX(Subject!$B:$B))),Subject!$B:$B,0),3))))</f>
        <v/>
      </c>
      <c r="O561" s="2" t="str">
        <f t="array" ref="O561">IF(NOW()&gt;AZ561,"",IF(AND((WEEKDAY($A561)+$B$2)&gt;1,((WEEKDAY($A561)+$T$2)&lt;7),(WEEKDAY($A561)&lt;&gt;1)),"work",(INDEX(Subject!$A:$I,MATCH(RANDBETWEEN(1,(MAX(Subject!$B:$B))),Subject!$B:$B,0),3))))</f>
        <v/>
      </c>
      <c r="P561" s="2" t="str">
        <f t="array" ref="P561">IF(NOW()&gt;BA561,"",IF(AND((WEEKDAY($A561)+$B$2)&gt;1,((WEEKDAY($A561)+$T$2)&lt;7),(WEEKDAY($A561)&lt;&gt;1)),"work",(INDEX(Subject!$A:$I,MATCH(RANDBETWEEN(1,(MAX(Subject!$B:$B))),Subject!$B:$B,0),3))))</f>
        <v/>
      </c>
      <c r="Q561" s="2" t="str">
        <f t="array" ref="Q561">IF(NOW()&gt;BB561,"",IF(AND((WEEKDAY($A561)+$B$2)&gt;1,((WEEKDAY($A561)+$T$2)&lt;7),(WEEKDAY($A561)&lt;&gt;1)),"work",(INDEX(Subject!$A:$I,MATCH(RANDBETWEEN(1,(MAX(Subject!$B:$B))),Subject!$B:$B,0),3))))</f>
        <v/>
      </c>
      <c r="R561" s="2" t="str">
        <f t="array" ref="R561">IF(NOW()&gt;BC561,"",IF(AND((WEEKDAY($A561)+$B$2)&gt;1,((WEEKDAY($A561)+$T$2)&lt;7),(WEEKDAY($A561)&lt;&gt;1)),"work",(INDEX(Subject!$A:$I,MATCH(RANDBETWEEN(1,(MAX(Subject!$B:$B))),Subject!$B:$B,0),3))))</f>
        <v/>
      </c>
      <c r="S561" s="2" t="str">
        <f t="array" ref="S561">IF(NOW()&gt;BD561,"",IF(AND((WEEKDAY($A561)+$B$2)&gt;1,((WEEKDAY($A561)+$T$2)&lt;7),(WEEKDAY($A561)&lt;&gt;1)),"work",(INDEX(Subject!$A:$I,MATCH(RANDBETWEEN(1,(MAX(Subject!$B:$B))),Subject!$B:$B,0),3))))</f>
        <v/>
      </c>
      <c r="T561" s="2" t="str">
        <f t="array" ref="T561">IF(NOW()&gt;BE561,"",IF(AND((WEEKDAY($A561)+$B$2)&gt;1,((WEEKDAY($A561)+$T$2)&lt;7),(WEEKDAY($A561)&lt;&gt;1)),"work",(INDEX(Subject!$A:$I,MATCH(RANDBETWEEN(1,(MAX(Subject!$B:$B))),Subject!$B:$B,0),3))))</f>
        <v/>
      </c>
      <c r="U561" s="8" t="str">
        <f t="array" ref="U561">INDEX(Subject!$A:$I,MATCH(RANDBETWEEN(1,16),Subject!$B:$B,0),3)</f>
        <v>#N/A</v>
      </c>
      <c r="V561" s="8" t="str">
        <f t="array" ref="V561">INDEX(Subject!$A:$I,MATCH(RANDBETWEEN(1,16),Subject!$B:$B,0),3)</f>
        <v>#N/A</v>
      </c>
      <c r="W561" s="8" t="str">
        <f t="array" ref="W561">INDEX(Subject!$A:$I,MATCH(RANDBETWEEN(1,16),Subject!$B:$B,0),3)</f>
        <v>#N/A</v>
      </c>
      <c r="X561" s="8" t="str">
        <f t="array" ref="X561">INDEX(Subject!$A:$I,MATCH(RANDBETWEEN(1,16),Subject!$B:$B,0),3)</f>
        <v>#N/A</v>
      </c>
      <c r="Y561" s="8" t="str">
        <f t="array" ref="Y561">INDEX(Subject!$A:$I,MATCH(RANDBETWEEN(1,16),Subject!$B:$B,0),3)</f>
        <v>#N/A</v>
      </c>
      <c r="Z561" s="8" t="str">
        <f t="array" ref="Z561">INDEX(Subject!$A:$I,MATCH(RANDBETWEEN(1,16),Subject!$B:$B,0),3)</f>
        <v>#N/A</v>
      </c>
      <c r="AA561" s="8" t="str">
        <f t="array" ref="AA561">INDEX(Subject!$A:$I,MATCH(RANDBETWEEN(1,16),Subject!$B:$B,0),3)</f>
        <v>#N/A</v>
      </c>
      <c r="AB561" s="8" t="str">
        <f t="array" ref="AB561">INDEX(Subject!$A:$I,MATCH(RANDBETWEEN(1,16),Subject!$B:$B,0),3)</f>
        <v>#N/A</v>
      </c>
      <c r="AC561" s="8" t="str">
        <f t="array" ref="AC561">INDEX(Subject!$A:$I,MATCH(RANDBETWEEN(1,16),Subject!$B:$B,0),3)</f>
        <v>#N/A</v>
      </c>
      <c r="AD561" s="8" t="str">
        <f t="array" ref="AD561">INDEX(Subject!$A:$I,MATCH(RANDBETWEEN(1,16),Subject!$B:$B,0),3)</f>
        <v>#N/A</v>
      </c>
      <c r="AE561" s="8" t="str">
        <f t="array" ref="AE561">INDEX(Subject!$A:$I,MATCH(RANDBETWEEN(1,16),Subject!$B:$B,0),3)</f>
        <v>#N/A</v>
      </c>
      <c r="AF561" s="8" t="str">
        <f t="array" ref="AF561">INDEX(Subject!$A:$I,MATCH(RANDBETWEEN(1,16),Subject!$B:$B,0),3)</f>
        <v>#N/A</v>
      </c>
      <c r="AG561" s="8" t="str">
        <f t="array" ref="AG561">INDEX(Subject!$A:$I,MATCH(RANDBETWEEN(1,16),Subject!$B:$B,0),3)</f>
        <v>#N/A</v>
      </c>
      <c r="AH561" s="8" t="str">
        <f t="array" ref="AH561">INDEX(Subject!$A:$I,MATCH(RANDBETWEEN(1,16),Subject!$B:$B,0),3)</f>
        <v>#N/A</v>
      </c>
      <c r="AI561" s="8" t="str">
        <f t="array" ref="AI561">INDEX(Subject!$A:$I,MATCH(RANDBETWEEN(1,16),Subject!$B:$B,0),3)</f>
        <v>#N/A</v>
      </c>
      <c r="AJ561" s="8" t="str">
        <f t="array" ref="AJ561">INDEX(Subject!$A:$I,MATCH(RANDBETWEEN(1,16),Subject!$B:$B,0),3)</f>
        <v>#N/A</v>
      </c>
      <c r="AK561" s="8" t="str">
        <f t="array" ref="AK561">INDEX(Subject!$A:$I,MATCH(RANDBETWEEN(1,16),Subject!$B:$B,0),3)</f>
        <v>#N/A</v>
      </c>
      <c r="AL561" s="8" t="str">
        <f t="array" ref="AL561">INDEX(Subject!$A:$I,MATCH(RANDBETWEEN(1,16),Subject!$B:$B,0),3)</f>
        <v>#N/A</v>
      </c>
      <c r="AM561" s="18">
        <f t="shared" si="4"/>
        <v>46061.33333</v>
      </c>
      <c r="AN561" s="19">
        <f t="shared" ref="AN561:BZ561" si="561">$A561+C$1</f>
        <v>46061.35417</v>
      </c>
      <c r="AO561" s="19">
        <f t="shared" si="561"/>
        <v>46061.375</v>
      </c>
      <c r="AP561" s="19">
        <f t="shared" si="561"/>
        <v>46061.39583</v>
      </c>
      <c r="AQ561" s="19">
        <f t="shared" si="561"/>
        <v>46061.41667</v>
      </c>
      <c r="AR561" s="19">
        <f t="shared" si="561"/>
        <v>46061.4375</v>
      </c>
      <c r="AS561" s="19">
        <f t="shared" si="561"/>
        <v>46061.45833</v>
      </c>
      <c r="AT561" s="19">
        <f t="shared" si="561"/>
        <v>46061.47917</v>
      </c>
      <c r="AU561" s="19">
        <f t="shared" si="561"/>
        <v>46061.5</v>
      </c>
      <c r="AV561" s="19">
        <f t="shared" si="561"/>
        <v>46061.52083</v>
      </c>
      <c r="AW561" s="19">
        <f t="shared" si="561"/>
        <v>46061.54167</v>
      </c>
      <c r="AX561" s="19">
        <f t="shared" si="561"/>
        <v>46061.5625</v>
      </c>
      <c r="AY561" s="19">
        <f t="shared" si="561"/>
        <v>46061.58333</v>
      </c>
      <c r="AZ561" s="19">
        <f t="shared" si="561"/>
        <v>46061.60417</v>
      </c>
      <c r="BA561" s="19">
        <f t="shared" si="561"/>
        <v>46061.625</v>
      </c>
      <c r="BB561" s="19">
        <f t="shared" si="561"/>
        <v>46061.64583</v>
      </c>
      <c r="BC561" s="19">
        <f t="shared" si="561"/>
        <v>46061.66667</v>
      </c>
      <c r="BD561" s="19">
        <f t="shared" si="561"/>
        <v>46061.6875</v>
      </c>
      <c r="BE561" s="19">
        <f t="shared" si="561"/>
        <v>46061.70833</v>
      </c>
      <c r="BF561" s="19">
        <f t="shared" si="561"/>
        <v>46061.72917</v>
      </c>
      <c r="BG561" s="19">
        <f t="shared" si="561"/>
        <v>46061.75</v>
      </c>
      <c r="BH561" s="19">
        <f t="shared" si="561"/>
        <v>46061.77083</v>
      </c>
      <c r="BI561" s="19">
        <f t="shared" si="561"/>
        <v>46061.79167</v>
      </c>
      <c r="BJ561" s="19">
        <f t="shared" si="561"/>
        <v>46061.8125</v>
      </c>
      <c r="BK561" s="19">
        <f t="shared" si="561"/>
        <v>46061.83333</v>
      </c>
      <c r="BL561" s="19">
        <f t="shared" si="561"/>
        <v>46061.85417</v>
      </c>
      <c r="BM561" s="19">
        <f t="shared" si="561"/>
        <v>46061.875</v>
      </c>
      <c r="BN561" s="19">
        <f t="shared" si="561"/>
        <v>46061.89583</v>
      </c>
      <c r="BO561" s="19">
        <f t="shared" si="561"/>
        <v>46061.91667</v>
      </c>
      <c r="BP561" s="19">
        <f t="shared" si="561"/>
        <v>46061.9375</v>
      </c>
      <c r="BQ561" s="19">
        <f t="shared" si="561"/>
        <v>46061.95833</v>
      </c>
      <c r="BR561" s="19">
        <f t="shared" si="561"/>
        <v>46061.97917</v>
      </c>
      <c r="BS561" s="19">
        <f t="shared" si="561"/>
        <v>46062</v>
      </c>
      <c r="BT561" s="19">
        <f t="shared" si="561"/>
        <v>46062.02083</v>
      </c>
      <c r="BU561" s="19">
        <f t="shared" si="561"/>
        <v>46062.04167</v>
      </c>
      <c r="BV561" s="19">
        <f t="shared" si="561"/>
        <v>46062.0625</v>
      </c>
      <c r="BW561" s="19">
        <f t="shared" si="561"/>
        <v>46062.08333</v>
      </c>
      <c r="BX561" s="19">
        <f t="shared" si="561"/>
        <v>46061</v>
      </c>
      <c r="BY561" s="19">
        <f t="shared" si="561"/>
        <v>46061</v>
      </c>
      <c r="BZ561" s="19">
        <f t="shared" si="561"/>
        <v>46061</v>
      </c>
    </row>
    <row r="562" ht="14.25" customHeight="1">
      <c r="A562" s="17">
        <v>46062.0</v>
      </c>
      <c r="B562" s="2" t="str">
        <f t="array" ref="B562">IF(NOW()&gt;AM562,"",IF(AND((WEEKDAY($A562)+$B$2)&gt;1,((WEEKDAY($A562)+$T$2)&lt;7),(WEEKDAY($A562)&lt;&gt;1)),"work",(INDEX(Subject!$A:$I,MATCH(RANDBETWEEN(1,(MAX(Subject!$B:$B))),Subject!$B:$B,0),3))))</f>
        <v/>
      </c>
      <c r="C562" s="2" t="str">
        <f t="array" ref="C562">IF(NOW()&gt;AN562,"",IF(AND((WEEKDAY($A562)+$B$2)&gt;1,((WEEKDAY($A562)+$T$2)&lt;7),(WEEKDAY($A562)&lt;&gt;1)),"work",(INDEX(Subject!$A:$I,MATCH(RANDBETWEEN(1,(MAX(Subject!$B:$B))),Subject!$B:$B,0),3))))</f>
        <v/>
      </c>
      <c r="D562" s="2" t="str">
        <f t="array" ref="D562">IF(NOW()&gt;AO562,"",IF(AND((WEEKDAY($A562)+$B$2)&gt;1,((WEEKDAY($A562)+$T$2)&lt;7),(WEEKDAY($A562)&lt;&gt;1)),"work",(INDEX(Subject!$A:$I,MATCH(RANDBETWEEN(1,(MAX(Subject!$B:$B))),Subject!$B:$B,0),3))))</f>
        <v/>
      </c>
      <c r="E562" s="2" t="str">
        <f t="array" ref="E562">IF(NOW()&gt;AP562,"",IF(AND((WEEKDAY($A562)+$B$2)&gt;1,((WEEKDAY($A562)+$T$2)&lt;7),(WEEKDAY($A562)&lt;&gt;1)),"work",(INDEX(Subject!$A:$I,MATCH(RANDBETWEEN(1,(MAX(Subject!$B:$B))),Subject!$B:$B,0),3))))</f>
        <v/>
      </c>
      <c r="F562" s="2" t="str">
        <f t="array" ref="F562">IF(NOW()&gt;AQ562,"",IF(AND((WEEKDAY($A562)+$B$2)&gt;1,((WEEKDAY($A562)+$T$2)&lt;7),(WEEKDAY($A562)&lt;&gt;1)),"work",(INDEX(Subject!$A:$I,MATCH(RANDBETWEEN(1,(MAX(Subject!$B:$B))),Subject!$B:$B,0),3))))</f>
        <v/>
      </c>
      <c r="G562" s="2" t="str">
        <f t="array" ref="G562">IF(NOW()&gt;AR562,"",IF(AND((WEEKDAY($A562)+$B$2)&gt;1,((WEEKDAY($A562)+$T$2)&lt;7),(WEEKDAY($A562)&lt;&gt;1)),"work",(INDEX(Subject!$A:$I,MATCH(RANDBETWEEN(1,(MAX(Subject!$B:$B))),Subject!$B:$B,0),3))))</f>
        <v/>
      </c>
      <c r="H562" s="2" t="str">
        <f t="array" ref="H562">IF(NOW()&gt;AS562,"",IF(AND((WEEKDAY($A562)+$B$2)&gt;1,((WEEKDAY($A562)+$T$2)&lt;7),(WEEKDAY($A562)&lt;&gt;1)),"work",(INDEX(Subject!$A:$I,MATCH(RANDBETWEEN(1,(MAX(Subject!$B:$B))),Subject!$B:$B,0),3))))</f>
        <v/>
      </c>
      <c r="I562" s="2" t="str">
        <f t="array" ref="I562">IF(NOW()&gt;AT562,"",IF(AND((WEEKDAY($A562)+$B$2)&gt;1,((WEEKDAY($A562)+$T$2)&lt;7),(WEEKDAY($A562)&lt;&gt;1)),"work",(INDEX(Subject!$A:$I,MATCH(RANDBETWEEN(1,(MAX(Subject!$B:$B))),Subject!$B:$B,0),3))))</f>
        <v/>
      </c>
      <c r="J562" s="2" t="str">
        <f t="array" ref="J562">IF(NOW()&gt;AU562,"",IF(AND((WEEKDAY($A562)+$B$2)&gt;1,((WEEKDAY($A562)+$T$2)&lt;7),(WEEKDAY($A562)&lt;&gt;1)),"work",(INDEX(Subject!$A:$I,MATCH(RANDBETWEEN(1,(MAX(Subject!$B:$B))),Subject!$B:$B,0),3))))</f>
        <v/>
      </c>
      <c r="K562" s="2" t="str">
        <f t="array" ref="K562">IF(NOW()&gt;AV562,"",IF(AND((WEEKDAY($A562)+$B$2)&gt;1,((WEEKDAY($A562)+$T$2)&lt;7),(WEEKDAY($A562)&lt;&gt;1)),"work",(INDEX(Subject!$A:$I,MATCH(RANDBETWEEN(1,(MAX(Subject!$B:$B))),Subject!$B:$B,0),3))))</f>
        <v/>
      </c>
      <c r="L562" s="2" t="str">
        <f t="array" ref="L562">IF(NOW()&gt;AW562,"",IF(AND((WEEKDAY($A562)+$B$2)&gt;1,((WEEKDAY($A562)+$T$2)&lt;7),(WEEKDAY($A562)&lt;&gt;1)),"work",(INDEX(Subject!$A:$I,MATCH(RANDBETWEEN(1,(MAX(Subject!$B:$B))),Subject!$B:$B,0),3))))</f>
        <v/>
      </c>
      <c r="M562" s="2" t="str">
        <f t="array" ref="M562">IF(NOW()&gt;AX562,"",IF(AND((WEEKDAY($A562)+$B$2)&gt;1,((WEEKDAY($A562)+$T$2)&lt;7),(WEEKDAY($A562)&lt;&gt;1)),"work",(INDEX(Subject!$A:$I,MATCH(RANDBETWEEN(1,(MAX(Subject!$B:$B))),Subject!$B:$B,0),3))))</f>
        <v/>
      </c>
      <c r="N562" s="2" t="str">
        <f t="array" ref="N562">IF(NOW()&gt;AY562,"",IF(AND((WEEKDAY($A562)+$B$2)&gt;1,((WEEKDAY($A562)+$T$2)&lt;7),(WEEKDAY($A562)&lt;&gt;1)),"work",(INDEX(Subject!$A:$I,MATCH(RANDBETWEEN(1,(MAX(Subject!$B:$B))),Subject!$B:$B,0),3))))</f>
        <v/>
      </c>
      <c r="O562" s="2" t="str">
        <f t="array" ref="O562">IF(NOW()&gt;AZ562,"",IF(AND((WEEKDAY($A562)+$B$2)&gt;1,((WEEKDAY($A562)+$T$2)&lt;7),(WEEKDAY($A562)&lt;&gt;1)),"work",(INDEX(Subject!$A:$I,MATCH(RANDBETWEEN(1,(MAX(Subject!$B:$B))),Subject!$B:$B,0),3))))</f>
        <v/>
      </c>
      <c r="P562" s="2" t="str">
        <f t="array" ref="P562">IF(NOW()&gt;BA562,"",IF(AND((WEEKDAY($A562)+$B$2)&gt;1,((WEEKDAY($A562)+$T$2)&lt;7),(WEEKDAY($A562)&lt;&gt;1)),"work",(INDEX(Subject!$A:$I,MATCH(RANDBETWEEN(1,(MAX(Subject!$B:$B))),Subject!$B:$B,0),3))))</f>
        <v/>
      </c>
      <c r="Q562" s="2" t="str">
        <f t="array" ref="Q562">IF(NOW()&gt;BB562,"",IF(AND((WEEKDAY($A562)+$B$2)&gt;1,((WEEKDAY($A562)+$T$2)&lt;7),(WEEKDAY($A562)&lt;&gt;1)),"work",(INDEX(Subject!$A:$I,MATCH(RANDBETWEEN(1,(MAX(Subject!$B:$B))),Subject!$B:$B,0),3))))</f>
        <v/>
      </c>
      <c r="R562" s="2" t="str">
        <f t="array" ref="R562">IF(NOW()&gt;BC562,"",IF(AND((WEEKDAY($A562)+$B$2)&gt;1,((WEEKDAY($A562)+$T$2)&lt;7),(WEEKDAY($A562)&lt;&gt;1)),"work",(INDEX(Subject!$A:$I,MATCH(RANDBETWEEN(1,(MAX(Subject!$B:$B))),Subject!$B:$B,0),3))))</f>
        <v/>
      </c>
      <c r="S562" s="2" t="str">
        <f t="array" ref="S562">IF(NOW()&gt;BD562,"",IF(AND((WEEKDAY($A562)+$B$2)&gt;1,((WEEKDAY($A562)+$T$2)&lt;7),(WEEKDAY($A562)&lt;&gt;1)),"work",(INDEX(Subject!$A:$I,MATCH(RANDBETWEEN(1,(MAX(Subject!$B:$B))),Subject!$B:$B,0),3))))</f>
        <v/>
      </c>
      <c r="T562" s="2" t="str">
        <f t="array" ref="T562">IF(NOW()&gt;BE562,"",IF(AND((WEEKDAY($A562)+$B$2)&gt;1,((WEEKDAY($A562)+$T$2)&lt;7),(WEEKDAY($A562)&lt;&gt;1)),"work",(INDEX(Subject!$A:$I,MATCH(RANDBETWEEN(1,(MAX(Subject!$B:$B))),Subject!$B:$B,0),3))))</f>
        <v/>
      </c>
      <c r="U562" s="8" t="str">
        <f t="array" ref="U562">INDEX(Subject!$A:$I,MATCH(RANDBETWEEN(1,16),Subject!$B:$B,0),3)</f>
        <v>#N/A</v>
      </c>
      <c r="V562" s="8" t="str">
        <f t="array" ref="V562">INDEX(Subject!$A:$I,MATCH(RANDBETWEEN(1,16),Subject!$B:$B,0),3)</f>
        <v>#N/A</v>
      </c>
      <c r="W562" s="8" t="str">
        <f t="array" ref="W562">INDEX(Subject!$A:$I,MATCH(RANDBETWEEN(1,16),Subject!$B:$B,0),3)</f>
        <v>#N/A</v>
      </c>
      <c r="X562" s="8" t="str">
        <f t="array" ref="X562">INDEX(Subject!$A:$I,MATCH(RANDBETWEEN(1,16),Subject!$B:$B,0),3)</f>
        <v>#N/A</v>
      </c>
      <c r="Y562" s="8" t="str">
        <f t="array" ref="Y562">INDEX(Subject!$A:$I,MATCH(RANDBETWEEN(1,16),Subject!$B:$B,0),3)</f>
        <v>#N/A</v>
      </c>
      <c r="Z562" s="8" t="str">
        <f t="array" ref="Z562">INDEX(Subject!$A:$I,MATCH(RANDBETWEEN(1,16),Subject!$B:$B,0),3)</f>
        <v>#N/A</v>
      </c>
      <c r="AA562" s="8" t="str">
        <f t="array" ref="AA562">INDEX(Subject!$A:$I,MATCH(RANDBETWEEN(1,16),Subject!$B:$B,0),3)</f>
        <v>#N/A</v>
      </c>
      <c r="AB562" s="8" t="str">
        <f t="array" ref="AB562">INDEX(Subject!$A:$I,MATCH(RANDBETWEEN(1,16),Subject!$B:$B,0),3)</f>
        <v>#N/A</v>
      </c>
      <c r="AC562" s="8" t="str">
        <f t="array" ref="AC562">INDEX(Subject!$A:$I,MATCH(RANDBETWEEN(1,16),Subject!$B:$B,0),3)</f>
        <v>#N/A</v>
      </c>
      <c r="AD562" s="8" t="str">
        <f t="array" ref="AD562">INDEX(Subject!$A:$I,MATCH(RANDBETWEEN(1,16),Subject!$B:$B,0),3)</f>
        <v>#N/A</v>
      </c>
      <c r="AE562" s="8" t="str">
        <f t="array" ref="AE562">INDEX(Subject!$A:$I,MATCH(RANDBETWEEN(1,16),Subject!$B:$B,0),3)</f>
        <v>#N/A</v>
      </c>
      <c r="AF562" s="8" t="str">
        <f t="array" ref="AF562">INDEX(Subject!$A:$I,MATCH(RANDBETWEEN(1,16),Subject!$B:$B,0),3)</f>
        <v>#N/A</v>
      </c>
      <c r="AG562" s="8" t="str">
        <f t="array" ref="AG562">INDEX(Subject!$A:$I,MATCH(RANDBETWEEN(1,16),Subject!$B:$B,0),3)</f>
        <v>#N/A</v>
      </c>
      <c r="AH562" s="8" t="str">
        <f t="array" ref="AH562">INDEX(Subject!$A:$I,MATCH(RANDBETWEEN(1,16),Subject!$B:$B,0),3)</f>
        <v>#N/A</v>
      </c>
      <c r="AI562" s="8" t="str">
        <f t="array" ref="AI562">INDEX(Subject!$A:$I,MATCH(RANDBETWEEN(1,16),Subject!$B:$B,0),3)</f>
        <v>#N/A</v>
      </c>
      <c r="AJ562" s="8" t="str">
        <f t="array" ref="AJ562">INDEX(Subject!$A:$I,MATCH(RANDBETWEEN(1,16),Subject!$B:$B,0),3)</f>
        <v>#N/A</v>
      </c>
      <c r="AK562" s="8" t="str">
        <f t="array" ref="AK562">INDEX(Subject!$A:$I,MATCH(RANDBETWEEN(1,16),Subject!$B:$B,0),3)</f>
        <v>#N/A</v>
      </c>
      <c r="AL562" s="8" t="str">
        <f t="array" ref="AL562">INDEX(Subject!$A:$I,MATCH(RANDBETWEEN(1,16),Subject!$B:$B,0),3)</f>
        <v>#N/A</v>
      </c>
      <c r="AM562" s="18">
        <f t="shared" si="4"/>
        <v>46062.33333</v>
      </c>
      <c r="AN562" s="19">
        <f t="shared" ref="AN562:BZ562" si="562">$A562+C$1</f>
        <v>46062.35417</v>
      </c>
      <c r="AO562" s="19">
        <f t="shared" si="562"/>
        <v>46062.375</v>
      </c>
      <c r="AP562" s="19">
        <f t="shared" si="562"/>
        <v>46062.39583</v>
      </c>
      <c r="AQ562" s="19">
        <f t="shared" si="562"/>
        <v>46062.41667</v>
      </c>
      <c r="AR562" s="19">
        <f t="shared" si="562"/>
        <v>46062.4375</v>
      </c>
      <c r="AS562" s="19">
        <f t="shared" si="562"/>
        <v>46062.45833</v>
      </c>
      <c r="AT562" s="19">
        <f t="shared" si="562"/>
        <v>46062.47917</v>
      </c>
      <c r="AU562" s="19">
        <f t="shared" si="562"/>
        <v>46062.5</v>
      </c>
      <c r="AV562" s="19">
        <f t="shared" si="562"/>
        <v>46062.52083</v>
      </c>
      <c r="AW562" s="19">
        <f t="shared" si="562"/>
        <v>46062.54167</v>
      </c>
      <c r="AX562" s="19">
        <f t="shared" si="562"/>
        <v>46062.5625</v>
      </c>
      <c r="AY562" s="19">
        <f t="shared" si="562"/>
        <v>46062.58333</v>
      </c>
      <c r="AZ562" s="19">
        <f t="shared" si="562"/>
        <v>46062.60417</v>
      </c>
      <c r="BA562" s="19">
        <f t="shared" si="562"/>
        <v>46062.625</v>
      </c>
      <c r="BB562" s="19">
        <f t="shared" si="562"/>
        <v>46062.64583</v>
      </c>
      <c r="BC562" s="19">
        <f t="shared" si="562"/>
        <v>46062.66667</v>
      </c>
      <c r="BD562" s="19">
        <f t="shared" si="562"/>
        <v>46062.6875</v>
      </c>
      <c r="BE562" s="19">
        <f t="shared" si="562"/>
        <v>46062.70833</v>
      </c>
      <c r="BF562" s="19">
        <f t="shared" si="562"/>
        <v>46062.72917</v>
      </c>
      <c r="BG562" s="19">
        <f t="shared" si="562"/>
        <v>46062.75</v>
      </c>
      <c r="BH562" s="19">
        <f t="shared" si="562"/>
        <v>46062.77083</v>
      </c>
      <c r="BI562" s="19">
        <f t="shared" si="562"/>
        <v>46062.79167</v>
      </c>
      <c r="BJ562" s="19">
        <f t="shared" si="562"/>
        <v>46062.8125</v>
      </c>
      <c r="BK562" s="19">
        <f t="shared" si="562"/>
        <v>46062.83333</v>
      </c>
      <c r="BL562" s="19">
        <f t="shared" si="562"/>
        <v>46062.85417</v>
      </c>
      <c r="BM562" s="19">
        <f t="shared" si="562"/>
        <v>46062.875</v>
      </c>
      <c r="BN562" s="19">
        <f t="shared" si="562"/>
        <v>46062.89583</v>
      </c>
      <c r="BO562" s="19">
        <f t="shared" si="562"/>
        <v>46062.91667</v>
      </c>
      <c r="BP562" s="19">
        <f t="shared" si="562"/>
        <v>46062.9375</v>
      </c>
      <c r="BQ562" s="19">
        <f t="shared" si="562"/>
        <v>46062.95833</v>
      </c>
      <c r="BR562" s="19">
        <f t="shared" si="562"/>
        <v>46062.97917</v>
      </c>
      <c r="BS562" s="19">
        <f t="shared" si="562"/>
        <v>46063</v>
      </c>
      <c r="BT562" s="19">
        <f t="shared" si="562"/>
        <v>46063.02083</v>
      </c>
      <c r="BU562" s="19">
        <f t="shared" si="562"/>
        <v>46063.04167</v>
      </c>
      <c r="BV562" s="19">
        <f t="shared" si="562"/>
        <v>46063.0625</v>
      </c>
      <c r="BW562" s="19">
        <f t="shared" si="562"/>
        <v>46063.08333</v>
      </c>
      <c r="BX562" s="19">
        <f t="shared" si="562"/>
        <v>46062</v>
      </c>
      <c r="BY562" s="19">
        <f t="shared" si="562"/>
        <v>46062</v>
      </c>
      <c r="BZ562" s="19">
        <f t="shared" si="562"/>
        <v>46062</v>
      </c>
    </row>
    <row r="563" ht="14.25" customHeight="1">
      <c r="A563" s="17">
        <v>46063.0</v>
      </c>
      <c r="B563" s="2" t="str">
        <f t="array" ref="B563">IF(NOW()&gt;AM563,"",IF(AND((WEEKDAY($A563)+$B$2)&gt;1,((WEEKDAY($A563)+$T$2)&lt;7),(WEEKDAY($A563)&lt;&gt;1)),"work",(INDEX(Subject!$A:$I,MATCH(RANDBETWEEN(1,(MAX(Subject!$B:$B))),Subject!$B:$B,0),3))))</f>
        <v/>
      </c>
      <c r="C563" s="2" t="str">
        <f t="array" ref="C563">IF(NOW()&gt;AN563,"",IF(AND((WEEKDAY($A563)+$B$2)&gt;1,((WEEKDAY($A563)+$T$2)&lt;7),(WEEKDAY($A563)&lt;&gt;1)),"work",(INDEX(Subject!$A:$I,MATCH(RANDBETWEEN(1,(MAX(Subject!$B:$B))),Subject!$B:$B,0),3))))</f>
        <v/>
      </c>
      <c r="D563" s="2" t="str">
        <f t="array" ref="D563">IF(NOW()&gt;AO563,"",IF(AND((WEEKDAY($A563)+$B$2)&gt;1,((WEEKDAY($A563)+$T$2)&lt;7),(WEEKDAY($A563)&lt;&gt;1)),"work",(INDEX(Subject!$A:$I,MATCH(RANDBETWEEN(1,(MAX(Subject!$B:$B))),Subject!$B:$B,0),3))))</f>
        <v/>
      </c>
      <c r="E563" s="2" t="str">
        <f t="array" ref="E563">IF(NOW()&gt;AP563,"",IF(AND((WEEKDAY($A563)+$B$2)&gt;1,((WEEKDAY($A563)+$T$2)&lt;7),(WEEKDAY($A563)&lt;&gt;1)),"work",(INDEX(Subject!$A:$I,MATCH(RANDBETWEEN(1,(MAX(Subject!$B:$B))),Subject!$B:$B,0),3))))</f>
        <v/>
      </c>
      <c r="F563" s="2" t="str">
        <f t="array" ref="F563">IF(NOW()&gt;AQ563,"",IF(AND((WEEKDAY($A563)+$B$2)&gt;1,((WEEKDAY($A563)+$T$2)&lt;7),(WEEKDAY($A563)&lt;&gt;1)),"work",(INDEX(Subject!$A:$I,MATCH(RANDBETWEEN(1,(MAX(Subject!$B:$B))),Subject!$B:$B,0),3))))</f>
        <v/>
      </c>
      <c r="G563" s="2" t="str">
        <f t="array" ref="G563">IF(NOW()&gt;AR563,"",IF(AND((WEEKDAY($A563)+$B$2)&gt;1,((WEEKDAY($A563)+$T$2)&lt;7),(WEEKDAY($A563)&lt;&gt;1)),"work",(INDEX(Subject!$A:$I,MATCH(RANDBETWEEN(1,(MAX(Subject!$B:$B))),Subject!$B:$B,0),3))))</f>
        <v/>
      </c>
      <c r="H563" s="2" t="str">
        <f t="array" ref="H563">IF(NOW()&gt;AS563,"",IF(AND((WEEKDAY($A563)+$B$2)&gt;1,((WEEKDAY($A563)+$T$2)&lt;7),(WEEKDAY($A563)&lt;&gt;1)),"work",(INDEX(Subject!$A:$I,MATCH(RANDBETWEEN(1,(MAX(Subject!$B:$B))),Subject!$B:$B,0),3))))</f>
        <v/>
      </c>
      <c r="I563" s="2" t="str">
        <f t="array" ref="I563">IF(NOW()&gt;AT563,"",IF(AND((WEEKDAY($A563)+$B$2)&gt;1,((WEEKDAY($A563)+$T$2)&lt;7),(WEEKDAY($A563)&lt;&gt;1)),"work",(INDEX(Subject!$A:$I,MATCH(RANDBETWEEN(1,(MAX(Subject!$B:$B))),Subject!$B:$B,0),3))))</f>
        <v/>
      </c>
      <c r="J563" s="2" t="str">
        <f t="array" ref="J563">IF(NOW()&gt;AU563,"",IF(AND((WEEKDAY($A563)+$B$2)&gt;1,((WEEKDAY($A563)+$T$2)&lt;7),(WEEKDAY($A563)&lt;&gt;1)),"work",(INDEX(Subject!$A:$I,MATCH(RANDBETWEEN(1,(MAX(Subject!$B:$B))),Subject!$B:$B,0),3))))</f>
        <v/>
      </c>
      <c r="K563" s="2" t="str">
        <f t="array" ref="K563">IF(NOW()&gt;AV563,"",IF(AND((WEEKDAY($A563)+$B$2)&gt;1,((WEEKDAY($A563)+$T$2)&lt;7),(WEEKDAY($A563)&lt;&gt;1)),"work",(INDEX(Subject!$A:$I,MATCH(RANDBETWEEN(1,(MAX(Subject!$B:$B))),Subject!$B:$B,0),3))))</f>
        <v/>
      </c>
      <c r="L563" s="2" t="str">
        <f t="array" ref="L563">IF(NOW()&gt;AW563,"",IF(AND((WEEKDAY($A563)+$B$2)&gt;1,((WEEKDAY($A563)+$T$2)&lt;7),(WEEKDAY($A563)&lt;&gt;1)),"work",(INDEX(Subject!$A:$I,MATCH(RANDBETWEEN(1,(MAX(Subject!$B:$B))),Subject!$B:$B,0),3))))</f>
        <v/>
      </c>
      <c r="M563" s="2" t="str">
        <f t="array" ref="M563">IF(NOW()&gt;AX563,"",IF(AND((WEEKDAY($A563)+$B$2)&gt;1,((WEEKDAY($A563)+$T$2)&lt;7),(WEEKDAY($A563)&lt;&gt;1)),"work",(INDEX(Subject!$A:$I,MATCH(RANDBETWEEN(1,(MAX(Subject!$B:$B))),Subject!$B:$B,0),3))))</f>
        <v/>
      </c>
      <c r="N563" s="2" t="str">
        <f t="array" ref="N563">IF(NOW()&gt;AY563,"",IF(AND((WEEKDAY($A563)+$B$2)&gt;1,((WEEKDAY($A563)+$T$2)&lt;7),(WEEKDAY($A563)&lt;&gt;1)),"work",(INDEX(Subject!$A:$I,MATCH(RANDBETWEEN(1,(MAX(Subject!$B:$B))),Subject!$B:$B,0),3))))</f>
        <v/>
      </c>
      <c r="O563" s="2" t="str">
        <f t="array" ref="O563">IF(NOW()&gt;AZ563,"",IF(AND((WEEKDAY($A563)+$B$2)&gt;1,((WEEKDAY($A563)+$T$2)&lt;7),(WEEKDAY($A563)&lt;&gt;1)),"work",(INDEX(Subject!$A:$I,MATCH(RANDBETWEEN(1,(MAX(Subject!$B:$B))),Subject!$B:$B,0),3))))</f>
        <v/>
      </c>
      <c r="P563" s="2" t="str">
        <f t="array" ref="P563">IF(NOW()&gt;BA563,"",IF(AND((WEEKDAY($A563)+$B$2)&gt;1,((WEEKDAY($A563)+$T$2)&lt;7),(WEEKDAY($A563)&lt;&gt;1)),"work",(INDEX(Subject!$A:$I,MATCH(RANDBETWEEN(1,(MAX(Subject!$B:$B))),Subject!$B:$B,0),3))))</f>
        <v/>
      </c>
      <c r="Q563" s="2" t="str">
        <f t="array" ref="Q563">IF(NOW()&gt;BB563,"",IF(AND((WEEKDAY($A563)+$B$2)&gt;1,((WEEKDAY($A563)+$T$2)&lt;7),(WEEKDAY($A563)&lt;&gt;1)),"work",(INDEX(Subject!$A:$I,MATCH(RANDBETWEEN(1,(MAX(Subject!$B:$B))),Subject!$B:$B,0),3))))</f>
        <v/>
      </c>
      <c r="R563" s="2" t="str">
        <f t="array" ref="R563">IF(NOW()&gt;BC563,"",IF(AND((WEEKDAY($A563)+$B$2)&gt;1,((WEEKDAY($A563)+$T$2)&lt;7),(WEEKDAY($A563)&lt;&gt;1)),"work",(INDEX(Subject!$A:$I,MATCH(RANDBETWEEN(1,(MAX(Subject!$B:$B))),Subject!$B:$B,0),3))))</f>
        <v/>
      </c>
      <c r="S563" s="2" t="str">
        <f t="array" ref="S563">IF(NOW()&gt;BD563,"",IF(AND((WEEKDAY($A563)+$B$2)&gt;1,((WEEKDAY($A563)+$T$2)&lt;7),(WEEKDAY($A563)&lt;&gt;1)),"work",(INDEX(Subject!$A:$I,MATCH(RANDBETWEEN(1,(MAX(Subject!$B:$B))),Subject!$B:$B,0),3))))</f>
        <v/>
      </c>
      <c r="T563" s="2" t="str">
        <f t="array" ref="T563">IF(NOW()&gt;BE563,"",IF(AND((WEEKDAY($A563)+$B$2)&gt;1,((WEEKDAY($A563)+$T$2)&lt;7),(WEEKDAY($A563)&lt;&gt;1)),"work",(INDEX(Subject!$A:$I,MATCH(RANDBETWEEN(1,(MAX(Subject!$B:$B))),Subject!$B:$B,0),3))))</f>
        <v/>
      </c>
      <c r="U563" s="8" t="str">
        <f t="array" ref="U563">INDEX(Subject!$A:$I,MATCH(RANDBETWEEN(1,16),Subject!$B:$B,0),3)</f>
        <v>#N/A</v>
      </c>
      <c r="V563" s="8" t="str">
        <f t="array" ref="V563">INDEX(Subject!$A:$I,MATCH(RANDBETWEEN(1,16),Subject!$B:$B,0),3)</f>
        <v>#N/A</v>
      </c>
      <c r="W563" s="8" t="str">
        <f t="array" ref="W563">INDEX(Subject!$A:$I,MATCH(RANDBETWEEN(1,16),Subject!$B:$B,0),3)</f>
        <v>#N/A</v>
      </c>
      <c r="X563" s="8" t="str">
        <f t="array" ref="X563">INDEX(Subject!$A:$I,MATCH(RANDBETWEEN(1,16),Subject!$B:$B,0),3)</f>
        <v>#N/A</v>
      </c>
      <c r="Y563" s="8" t="str">
        <f t="array" ref="Y563">INDEX(Subject!$A:$I,MATCH(RANDBETWEEN(1,16),Subject!$B:$B,0),3)</f>
        <v>#N/A</v>
      </c>
      <c r="Z563" s="8" t="str">
        <f t="array" ref="Z563">INDEX(Subject!$A:$I,MATCH(RANDBETWEEN(1,16),Subject!$B:$B,0),3)</f>
        <v>#N/A</v>
      </c>
      <c r="AA563" s="8" t="str">
        <f t="array" ref="AA563">INDEX(Subject!$A:$I,MATCH(RANDBETWEEN(1,16),Subject!$B:$B,0),3)</f>
        <v>#N/A</v>
      </c>
      <c r="AB563" s="8" t="str">
        <f t="array" ref="AB563">INDEX(Subject!$A:$I,MATCH(RANDBETWEEN(1,16),Subject!$B:$B,0),3)</f>
        <v>#N/A</v>
      </c>
      <c r="AC563" s="8" t="str">
        <f t="array" ref="AC563">INDEX(Subject!$A:$I,MATCH(RANDBETWEEN(1,16),Subject!$B:$B,0),3)</f>
        <v/>
      </c>
      <c r="AD563" s="8" t="str">
        <f t="array" ref="AD563">INDEX(Subject!$A:$I,MATCH(RANDBETWEEN(1,16),Subject!$B:$B,0),3)</f>
        <v>#N/A</v>
      </c>
      <c r="AE563" s="8" t="str">
        <f t="array" ref="AE563">INDEX(Subject!$A:$I,MATCH(RANDBETWEEN(1,16),Subject!$B:$B,0),3)</f>
        <v>#N/A</v>
      </c>
      <c r="AF563" s="8" t="str">
        <f t="array" ref="AF563">INDEX(Subject!$A:$I,MATCH(RANDBETWEEN(1,16),Subject!$B:$B,0),3)</f>
        <v>#N/A</v>
      </c>
      <c r="AG563" s="8" t="str">
        <f t="array" ref="AG563">INDEX(Subject!$A:$I,MATCH(RANDBETWEEN(1,16),Subject!$B:$B,0),3)</f>
        <v>#N/A</v>
      </c>
      <c r="AH563" s="8" t="str">
        <f t="array" ref="AH563">INDEX(Subject!$A:$I,MATCH(RANDBETWEEN(1,16),Subject!$B:$B,0),3)</f>
        <v>#N/A</v>
      </c>
      <c r="AI563" s="8" t="str">
        <f t="array" ref="AI563">INDEX(Subject!$A:$I,MATCH(RANDBETWEEN(1,16),Subject!$B:$B,0),3)</f>
        <v>#N/A</v>
      </c>
      <c r="AJ563" s="8" t="str">
        <f t="array" ref="AJ563">INDEX(Subject!$A:$I,MATCH(RANDBETWEEN(1,16),Subject!$B:$B,0),3)</f>
        <v/>
      </c>
      <c r="AK563" s="8" t="str">
        <f t="array" ref="AK563">INDEX(Subject!$A:$I,MATCH(RANDBETWEEN(1,16),Subject!$B:$B,0),3)</f>
        <v>#N/A</v>
      </c>
      <c r="AL563" s="8" t="str">
        <f t="array" ref="AL563">INDEX(Subject!$A:$I,MATCH(RANDBETWEEN(1,16),Subject!$B:$B,0),3)</f>
        <v>#N/A</v>
      </c>
      <c r="AM563" s="18">
        <f t="shared" si="4"/>
        <v>46063.33333</v>
      </c>
      <c r="AN563" s="19">
        <f t="shared" ref="AN563:BZ563" si="563">$A563+C$1</f>
        <v>46063.35417</v>
      </c>
      <c r="AO563" s="19">
        <f t="shared" si="563"/>
        <v>46063.375</v>
      </c>
      <c r="AP563" s="19">
        <f t="shared" si="563"/>
        <v>46063.39583</v>
      </c>
      <c r="AQ563" s="19">
        <f t="shared" si="563"/>
        <v>46063.41667</v>
      </c>
      <c r="AR563" s="19">
        <f t="shared" si="563"/>
        <v>46063.4375</v>
      </c>
      <c r="AS563" s="19">
        <f t="shared" si="563"/>
        <v>46063.45833</v>
      </c>
      <c r="AT563" s="19">
        <f t="shared" si="563"/>
        <v>46063.47917</v>
      </c>
      <c r="AU563" s="19">
        <f t="shared" si="563"/>
        <v>46063.5</v>
      </c>
      <c r="AV563" s="19">
        <f t="shared" si="563"/>
        <v>46063.52083</v>
      </c>
      <c r="AW563" s="19">
        <f t="shared" si="563"/>
        <v>46063.54167</v>
      </c>
      <c r="AX563" s="19">
        <f t="shared" si="563"/>
        <v>46063.5625</v>
      </c>
      <c r="AY563" s="19">
        <f t="shared" si="563"/>
        <v>46063.58333</v>
      </c>
      <c r="AZ563" s="19">
        <f t="shared" si="563"/>
        <v>46063.60417</v>
      </c>
      <c r="BA563" s="19">
        <f t="shared" si="563"/>
        <v>46063.625</v>
      </c>
      <c r="BB563" s="19">
        <f t="shared" si="563"/>
        <v>46063.64583</v>
      </c>
      <c r="BC563" s="19">
        <f t="shared" si="563"/>
        <v>46063.66667</v>
      </c>
      <c r="BD563" s="19">
        <f t="shared" si="563"/>
        <v>46063.6875</v>
      </c>
      <c r="BE563" s="19">
        <f t="shared" si="563"/>
        <v>46063.70833</v>
      </c>
      <c r="BF563" s="19">
        <f t="shared" si="563"/>
        <v>46063.72917</v>
      </c>
      <c r="BG563" s="19">
        <f t="shared" si="563"/>
        <v>46063.75</v>
      </c>
      <c r="BH563" s="19">
        <f t="shared" si="563"/>
        <v>46063.77083</v>
      </c>
      <c r="BI563" s="19">
        <f t="shared" si="563"/>
        <v>46063.79167</v>
      </c>
      <c r="BJ563" s="19">
        <f t="shared" si="563"/>
        <v>46063.8125</v>
      </c>
      <c r="BK563" s="19">
        <f t="shared" si="563"/>
        <v>46063.83333</v>
      </c>
      <c r="BL563" s="19">
        <f t="shared" si="563"/>
        <v>46063.85417</v>
      </c>
      <c r="BM563" s="19">
        <f t="shared" si="563"/>
        <v>46063.875</v>
      </c>
      <c r="BN563" s="19">
        <f t="shared" si="563"/>
        <v>46063.89583</v>
      </c>
      <c r="BO563" s="19">
        <f t="shared" si="563"/>
        <v>46063.91667</v>
      </c>
      <c r="BP563" s="19">
        <f t="shared" si="563"/>
        <v>46063.9375</v>
      </c>
      <c r="BQ563" s="19">
        <f t="shared" si="563"/>
        <v>46063.95833</v>
      </c>
      <c r="BR563" s="19">
        <f t="shared" si="563"/>
        <v>46063.97917</v>
      </c>
      <c r="BS563" s="19">
        <f t="shared" si="563"/>
        <v>46064</v>
      </c>
      <c r="BT563" s="19">
        <f t="shared" si="563"/>
        <v>46064.02083</v>
      </c>
      <c r="BU563" s="19">
        <f t="shared" si="563"/>
        <v>46064.04167</v>
      </c>
      <c r="BV563" s="19">
        <f t="shared" si="563"/>
        <v>46064.0625</v>
      </c>
      <c r="BW563" s="19">
        <f t="shared" si="563"/>
        <v>46064.08333</v>
      </c>
      <c r="BX563" s="19">
        <f t="shared" si="563"/>
        <v>46063</v>
      </c>
      <c r="BY563" s="19">
        <f t="shared" si="563"/>
        <v>46063</v>
      </c>
      <c r="BZ563" s="19">
        <f t="shared" si="563"/>
        <v>46063</v>
      </c>
    </row>
    <row r="564" ht="14.25" customHeight="1">
      <c r="A564" s="17">
        <v>46064.0</v>
      </c>
      <c r="B564" s="2" t="str">
        <f t="array" ref="B564">IF(NOW()&gt;AM564,"",IF(AND((WEEKDAY($A564)+$B$2)&gt;1,((WEEKDAY($A564)+$T$2)&lt;7),(WEEKDAY($A564)&lt;&gt;1)),"work",(INDEX(Subject!$A:$I,MATCH(RANDBETWEEN(1,(MAX(Subject!$B:$B))),Subject!$B:$B,0),3))))</f>
        <v/>
      </c>
      <c r="C564" s="2" t="str">
        <f t="array" ref="C564">IF(NOW()&gt;AN564,"",IF(AND((WEEKDAY($A564)+$B$2)&gt;1,((WEEKDAY($A564)+$T$2)&lt;7),(WEEKDAY($A564)&lt;&gt;1)),"work",(INDEX(Subject!$A:$I,MATCH(RANDBETWEEN(1,(MAX(Subject!$B:$B))),Subject!$B:$B,0),3))))</f>
        <v/>
      </c>
      <c r="D564" s="2" t="str">
        <f t="array" ref="D564">IF(NOW()&gt;AO564,"",IF(AND((WEEKDAY($A564)+$B$2)&gt;1,((WEEKDAY($A564)+$T$2)&lt;7),(WEEKDAY($A564)&lt;&gt;1)),"work",(INDEX(Subject!$A:$I,MATCH(RANDBETWEEN(1,(MAX(Subject!$B:$B))),Subject!$B:$B,0),3))))</f>
        <v/>
      </c>
      <c r="E564" s="2" t="str">
        <f t="array" ref="E564">IF(NOW()&gt;AP564,"",IF(AND((WEEKDAY($A564)+$B$2)&gt;1,((WEEKDAY($A564)+$T$2)&lt;7),(WEEKDAY($A564)&lt;&gt;1)),"work",(INDEX(Subject!$A:$I,MATCH(RANDBETWEEN(1,(MAX(Subject!$B:$B))),Subject!$B:$B,0),3))))</f>
        <v/>
      </c>
      <c r="F564" s="2" t="str">
        <f t="array" ref="F564">IF(NOW()&gt;AQ564,"",IF(AND((WEEKDAY($A564)+$B$2)&gt;1,((WEEKDAY($A564)+$T$2)&lt;7),(WEEKDAY($A564)&lt;&gt;1)),"work",(INDEX(Subject!$A:$I,MATCH(RANDBETWEEN(1,(MAX(Subject!$B:$B))),Subject!$B:$B,0),3))))</f>
        <v/>
      </c>
      <c r="G564" s="2" t="str">
        <f t="array" ref="G564">IF(NOW()&gt;AR564,"",IF(AND((WEEKDAY($A564)+$B$2)&gt;1,((WEEKDAY($A564)+$T$2)&lt;7),(WEEKDAY($A564)&lt;&gt;1)),"work",(INDEX(Subject!$A:$I,MATCH(RANDBETWEEN(1,(MAX(Subject!$B:$B))),Subject!$B:$B,0),3))))</f>
        <v/>
      </c>
      <c r="H564" s="2" t="str">
        <f t="array" ref="H564">IF(NOW()&gt;AS564,"",IF(AND((WEEKDAY($A564)+$B$2)&gt;1,((WEEKDAY($A564)+$T$2)&lt;7),(WEEKDAY($A564)&lt;&gt;1)),"work",(INDEX(Subject!$A:$I,MATCH(RANDBETWEEN(1,(MAX(Subject!$B:$B))),Subject!$B:$B,0),3))))</f>
        <v/>
      </c>
      <c r="I564" s="2" t="str">
        <f t="array" ref="I564">IF(NOW()&gt;AT564,"",IF(AND((WEEKDAY($A564)+$B$2)&gt;1,((WEEKDAY($A564)+$T$2)&lt;7),(WEEKDAY($A564)&lt;&gt;1)),"work",(INDEX(Subject!$A:$I,MATCH(RANDBETWEEN(1,(MAX(Subject!$B:$B))),Subject!$B:$B,0),3))))</f>
        <v/>
      </c>
      <c r="J564" s="2" t="str">
        <f t="array" ref="J564">IF(NOW()&gt;AU564,"",IF(AND((WEEKDAY($A564)+$B$2)&gt;1,((WEEKDAY($A564)+$T$2)&lt;7),(WEEKDAY($A564)&lt;&gt;1)),"work",(INDEX(Subject!$A:$I,MATCH(RANDBETWEEN(1,(MAX(Subject!$B:$B))),Subject!$B:$B,0),3))))</f>
        <v/>
      </c>
      <c r="K564" s="2" t="str">
        <f t="array" ref="K564">IF(NOW()&gt;AV564,"",IF(AND((WEEKDAY($A564)+$B$2)&gt;1,((WEEKDAY($A564)+$T$2)&lt;7),(WEEKDAY($A564)&lt;&gt;1)),"work",(INDEX(Subject!$A:$I,MATCH(RANDBETWEEN(1,(MAX(Subject!$B:$B))),Subject!$B:$B,0),3))))</f>
        <v/>
      </c>
      <c r="L564" s="2" t="str">
        <f t="array" ref="L564">IF(NOW()&gt;AW564,"",IF(AND((WEEKDAY($A564)+$B$2)&gt;1,((WEEKDAY($A564)+$T$2)&lt;7),(WEEKDAY($A564)&lt;&gt;1)),"work",(INDEX(Subject!$A:$I,MATCH(RANDBETWEEN(1,(MAX(Subject!$B:$B))),Subject!$B:$B,0),3))))</f>
        <v/>
      </c>
      <c r="M564" s="2" t="str">
        <f t="array" ref="M564">IF(NOW()&gt;AX564,"",IF(AND((WEEKDAY($A564)+$B$2)&gt;1,((WEEKDAY($A564)+$T$2)&lt;7),(WEEKDAY($A564)&lt;&gt;1)),"work",(INDEX(Subject!$A:$I,MATCH(RANDBETWEEN(1,(MAX(Subject!$B:$B))),Subject!$B:$B,0),3))))</f>
        <v/>
      </c>
      <c r="N564" s="2" t="str">
        <f t="array" ref="N564">IF(NOW()&gt;AY564,"",IF(AND((WEEKDAY($A564)+$B$2)&gt;1,((WEEKDAY($A564)+$T$2)&lt;7),(WEEKDAY($A564)&lt;&gt;1)),"work",(INDEX(Subject!$A:$I,MATCH(RANDBETWEEN(1,(MAX(Subject!$B:$B))),Subject!$B:$B,0),3))))</f>
        <v/>
      </c>
      <c r="O564" s="2" t="str">
        <f t="array" ref="O564">IF(NOW()&gt;AZ564,"",IF(AND((WEEKDAY($A564)+$B$2)&gt;1,((WEEKDAY($A564)+$T$2)&lt;7),(WEEKDAY($A564)&lt;&gt;1)),"work",(INDEX(Subject!$A:$I,MATCH(RANDBETWEEN(1,(MAX(Subject!$B:$B))),Subject!$B:$B,0),3))))</f>
        <v/>
      </c>
      <c r="P564" s="2" t="str">
        <f t="array" ref="P564">IF(NOW()&gt;BA564,"",IF(AND((WEEKDAY($A564)+$B$2)&gt;1,((WEEKDAY($A564)+$T$2)&lt;7),(WEEKDAY($A564)&lt;&gt;1)),"work",(INDEX(Subject!$A:$I,MATCH(RANDBETWEEN(1,(MAX(Subject!$B:$B))),Subject!$B:$B,0),3))))</f>
        <v/>
      </c>
      <c r="Q564" s="2" t="str">
        <f t="array" ref="Q564">IF(NOW()&gt;BB564,"",IF(AND((WEEKDAY($A564)+$B$2)&gt;1,((WEEKDAY($A564)+$T$2)&lt;7),(WEEKDAY($A564)&lt;&gt;1)),"work",(INDEX(Subject!$A:$I,MATCH(RANDBETWEEN(1,(MAX(Subject!$B:$B))),Subject!$B:$B,0),3))))</f>
        <v/>
      </c>
      <c r="R564" s="2" t="str">
        <f t="array" ref="R564">IF(NOW()&gt;BC564,"",IF(AND((WEEKDAY($A564)+$B$2)&gt;1,((WEEKDAY($A564)+$T$2)&lt;7),(WEEKDAY($A564)&lt;&gt;1)),"work",(INDEX(Subject!$A:$I,MATCH(RANDBETWEEN(1,(MAX(Subject!$B:$B))),Subject!$B:$B,0),3))))</f>
        <v/>
      </c>
      <c r="S564" s="2" t="str">
        <f t="array" ref="S564">IF(NOW()&gt;BD564,"",IF(AND((WEEKDAY($A564)+$B$2)&gt;1,((WEEKDAY($A564)+$T$2)&lt;7),(WEEKDAY($A564)&lt;&gt;1)),"work",(INDEX(Subject!$A:$I,MATCH(RANDBETWEEN(1,(MAX(Subject!$B:$B))),Subject!$B:$B,0),3))))</f>
        <v/>
      </c>
      <c r="T564" s="2" t="str">
        <f t="array" ref="T564">IF(NOW()&gt;BE564,"",IF(AND((WEEKDAY($A564)+$B$2)&gt;1,((WEEKDAY($A564)+$T$2)&lt;7),(WEEKDAY($A564)&lt;&gt;1)),"work",(INDEX(Subject!$A:$I,MATCH(RANDBETWEEN(1,(MAX(Subject!$B:$B))),Subject!$B:$B,0),3))))</f>
        <v/>
      </c>
      <c r="U564" s="8" t="str">
        <f t="array" ref="U564">INDEX(Subject!$A:$I,MATCH(RANDBETWEEN(1,16),Subject!$B:$B,0),3)</f>
        <v>#N/A</v>
      </c>
      <c r="V564" s="8" t="str">
        <f t="array" ref="V564">INDEX(Subject!$A:$I,MATCH(RANDBETWEEN(1,16),Subject!$B:$B,0),3)</f>
        <v/>
      </c>
      <c r="W564" s="8" t="str">
        <f t="array" ref="W564">INDEX(Subject!$A:$I,MATCH(RANDBETWEEN(1,16),Subject!$B:$B,0),3)</f>
        <v>#N/A</v>
      </c>
      <c r="X564" s="8" t="str">
        <f t="array" ref="X564">INDEX(Subject!$A:$I,MATCH(RANDBETWEEN(1,16),Subject!$B:$B,0),3)</f>
        <v>#N/A</v>
      </c>
      <c r="Y564" s="8" t="str">
        <f t="array" ref="Y564">INDEX(Subject!$A:$I,MATCH(RANDBETWEEN(1,16),Subject!$B:$B,0),3)</f>
        <v>#N/A</v>
      </c>
      <c r="Z564" s="8" t="str">
        <f t="array" ref="Z564">INDEX(Subject!$A:$I,MATCH(RANDBETWEEN(1,16),Subject!$B:$B,0),3)</f>
        <v>#N/A</v>
      </c>
      <c r="AA564" s="8" t="str">
        <f t="array" ref="AA564">INDEX(Subject!$A:$I,MATCH(RANDBETWEEN(1,16),Subject!$B:$B,0),3)</f>
        <v>#N/A</v>
      </c>
      <c r="AB564" s="8" t="str">
        <f t="array" ref="AB564">INDEX(Subject!$A:$I,MATCH(RANDBETWEEN(1,16),Subject!$B:$B,0),3)</f>
        <v>#N/A</v>
      </c>
      <c r="AC564" s="8" t="str">
        <f t="array" ref="AC564">INDEX(Subject!$A:$I,MATCH(RANDBETWEEN(1,16),Subject!$B:$B,0),3)</f>
        <v>#N/A</v>
      </c>
      <c r="AD564" s="8" t="str">
        <f t="array" ref="AD564">INDEX(Subject!$A:$I,MATCH(RANDBETWEEN(1,16),Subject!$B:$B,0),3)</f>
        <v>#N/A</v>
      </c>
      <c r="AE564" s="8" t="str">
        <f t="array" ref="AE564">INDEX(Subject!$A:$I,MATCH(RANDBETWEEN(1,16),Subject!$B:$B,0),3)</f>
        <v>#N/A</v>
      </c>
      <c r="AF564" s="8" t="str">
        <f t="array" ref="AF564">INDEX(Subject!$A:$I,MATCH(RANDBETWEEN(1,16),Subject!$B:$B,0),3)</f>
        <v>#N/A</v>
      </c>
      <c r="AG564" s="8" t="str">
        <f t="array" ref="AG564">INDEX(Subject!$A:$I,MATCH(RANDBETWEEN(1,16),Subject!$B:$B,0),3)</f>
        <v>#N/A</v>
      </c>
      <c r="AH564" s="8" t="str">
        <f t="array" ref="AH564">INDEX(Subject!$A:$I,MATCH(RANDBETWEEN(1,16),Subject!$B:$B,0),3)</f>
        <v>#N/A</v>
      </c>
      <c r="AI564" s="8" t="str">
        <f t="array" ref="AI564">INDEX(Subject!$A:$I,MATCH(RANDBETWEEN(1,16),Subject!$B:$B,0),3)</f>
        <v>#N/A</v>
      </c>
      <c r="AJ564" s="8" t="str">
        <f t="array" ref="AJ564">INDEX(Subject!$A:$I,MATCH(RANDBETWEEN(1,16),Subject!$B:$B,0),3)</f>
        <v>#N/A</v>
      </c>
      <c r="AK564" s="8" t="str">
        <f t="array" ref="AK564">INDEX(Subject!$A:$I,MATCH(RANDBETWEEN(1,16),Subject!$B:$B,0),3)</f>
        <v>#N/A</v>
      </c>
      <c r="AL564" s="8" t="str">
        <f t="array" ref="AL564">INDEX(Subject!$A:$I,MATCH(RANDBETWEEN(1,16),Subject!$B:$B,0),3)</f>
        <v>#N/A</v>
      </c>
      <c r="AM564" s="18">
        <f t="shared" si="4"/>
        <v>46064.33333</v>
      </c>
      <c r="AN564" s="19">
        <f t="shared" ref="AN564:BZ564" si="564">$A564+C$1</f>
        <v>46064.35417</v>
      </c>
      <c r="AO564" s="19">
        <f t="shared" si="564"/>
        <v>46064.375</v>
      </c>
      <c r="AP564" s="19">
        <f t="shared" si="564"/>
        <v>46064.39583</v>
      </c>
      <c r="AQ564" s="19">
        <f t="shared" si="564"/>
        <v>46064.41667</v>
      </c>
      <c r="AR564" s="19">
        <f t="shared" si="564"/>
        <v>46064.4375</v>
      </c>
      <c r="AS564" s="19">
        <f t="shared" si="564"/>
        <v>46064.45833</v>
      </c>
      <c r="AT564" s="19">
        <f t="shared" si="564"/>
        <v>46064.47917</v>
      </c>
      <c r="AU564" s="19">
        <f t="shared" si="564"/>
        <v>46064.5</v>
      </c>
      <c r="AV564" s="19">
        <f t="shared" si="564"/>
        <v>46064.52083</v>
      </c>
      <c r="AW564" s="19">
        <f t="shared" si="564"/>
        <v>46064.54167</v>
      </c>
      <c r="AX564" s="19">
        <f t="shared" si="564"/>
        <v>46064.5625</v>
      </c>
      <c r="AY564" s="19">
        <f t="shared" si="564"/>
        <v>46064.58333</v>
      </c>
      <c r="AZ564" s="19">
        <f t="shared" si="564"/>
        <v>46064.60417</v>
      </c>
      <c r="BA564" s="19">
        <f t="shared" si="564"/>
        <v>46064.625</v>
      </c>
      <c r="BB564" s="19">
        <f t="shared" si="564"/>
        <v>46064.64583</v>
      </c>
      <c r="BC564" s="19">
        <f t="shared" si="564"/>
        <v>46064.66667</v>
      </c>
      <c r="BD564" s="19">
        <f t="shared" si="564"/>
        <v>46064.6875</v>
      </c>
      <c r="BE564" s="19">
        <f t="shared" si="564"/>
        <v>46064.70833</v>
      </c>
      <c r="BF564" s="19">
        <f t="shared" si="564"/>
        <v>46064.72917</v>
      </c>
      <c r="BG564" s="19">
        <f t="shared" si="564"/>
        <v>46064.75</v>
      </c>
      <c r="BH564" s="19">
        <f t="shared" si="564"/>
        <v>46064.77083</v>
      </c>
      <c r="BI564" s="19">
        <f t="shared" si="564"/>
        <v>46064.79167</v>
      </c>
      <c r="BJ564" s="19">
        <f t="shared" si="564"/>
        <v>46064.8125</v>
      </c>
      <c r="BK564" s="19">
        <f t="shared" si="564"/>
        <v>46064.83333</v>
      </c>
      <c r="BL564" s="19">
        <f t="shared" si="564"/>
        <v>46064.85417</v>
      </c>
      <c r="BM564" s="19">
        <f t="shared" si="564"/>
        <v>46064.875</v>
      </c>
      <c r="BN564" s="19">
        <f t="shared" si="564"/>
        <v>46064.89583</v>
      </c>
      <c r="BO564" s="19">
        <f t="shared" si="564"/>
        <v>46064.91667</v>
      </c>
      <c r="BP564" s="19">
        <f t="shared" si="564"/>
        <v>46064.9375</v>
      </c>
      <c r="BQ564" s="19">
        <f t="shared" si="564"/>
        <v>46064.95833</v>
      </c>
      <c r="BR564" s="19">
        <f t="shared" si="564"/>
        <v>46064.97917</v>
      </c>
      <c r="BS564" s="19">
        <f t="shared" si="564"/>
        <v>46065</v>
      </c>
      <c r="BT564" s="19">
        <f t="shared" si="564"/>
        <v>46065.02083</v>
      </c>
      <c r="BU564" s="19">
        <f t="shared" si="564"/>
        <v>46065.04167</v>
      </c>
      <c r="BV564" s="19">
        <f t="shared" si="564"/>
        <v>46065.0625</v>
      </c>
      <c r="BW564" s="19">
        <f t="shared" si="564"/>
        <v>46065.08333</v>
      </c>
      <c r="BX564" s="19">
        <f t="shared" si="564"/>
        <v>46064</v>
      </c>
      <c r="BY564" s="19">
        <f t="shared" si="564"/>
        <v>46064</v>
      </c>
      <c r="BZ564" s="19">
        <f t="shared" si="564"/>
        <v>46064</v>
      </c>
    </row>
    <row r="565" ht="14.25" customHeight="1">
      <c r="A565" s="17">
        <v>46065.0</v>
      </c>
      <c r="B565" s="2" t="str">
        <f t="array" ref="B565">IF(NOW()&gt;AM565,"",IF(AND((WEEKDAY($A565)+$B$2)&gt;1,((WEEKDAY($A565)+$T$2)&lt;7),(WEEKDAY($A565)&lt;&gt;1)),"work",(INDEX(Subject!$A:$I,MATCH(RANDBETWEEN(1,(MAX(Subject!$B:$B))),Subject!$B:$B,0),3))))</f>
        <v/>
      </c>
      <c r="C565" s="2" t="str">
        <f t="array" ref="C565">IF(NOW()&gt;AN565,"",IF(AND((WEEKDAY($A565)+$B$2)&gt;1,((WEEKDAY($A565)+$T$2)&lt;7),(WEEKDAY($A565)&lt;&gt;1)),"work",(INDEX(Subject!$A:$I,MATCH(RANDBETWEEN(1,(MAX(Subject!$B:$B))),Subject!$B:$B,0),3))))</f>
        <v/>
      </c>
      <c r="D565" s="2" t="str">
        <f t="array" ref="D565">IF(NOW()&gt;AO565,"",IF(AND((WEEKDAY($A565)+$B$2)&gt;1,((WEEKDAY($A565)+$T$2)&lt;7),(WEEKDAY($A565)&lt;&gt;1)),"work",(INDEX(Subject!$A:$I,MATCH(RANDBETWEEN(1,(MAX(Subject!$B:$B))),Subject!$B:$B,0),3))))</f>
        <v/>
      </c>
      <c r="E565" s="2" t="str">
        <f t="array" ref="E565">IF(NOW()&gt;AP565,"",IF(AND((WEEKDAY($A565)+$B$2)&gt;1,((WEEKDAY($A565)+$T$2)&lt;7),(WEEKDAY($A565)&lt;&gt;1)),"work",(INDEX(Subject!$A:$I,MATCH(RANDBETWEEN(1,(MAX(Subject!$B:$B))),Subject!$B:$B,0),3))))</f>
        <v/>
      </c>
      <c r="F565" s="2" t="str">
        <f t="array" ref="F565">IF(NOW()&gt;AQ565,"",IF(AND((WEEKDAY($A565)+$B$2)&gt;1,((WEEKDAY($A565)+$T$2)&lt;7),(WEEKDAY($A565)&lt;&gt;1)),"work",(INDEX(Subject!$A:$I,MATCH(RANDBETWEEN(1,(MAX(Subject!$B:$B))),Subject!$B:$B,0),3))))</f>
        <v/>
      </c>
      <c r="G565" s="2" t="str">
        <f t="array" ref="G565">IF(NOW()&gt;AR565,"",IF(AND((WEEKDAY($A565)+$B$2)&gt;1,((WEEKDAY($A565)+$T$2)&lt;7),(WEEKDAY($A565)&lt;&gt;1)),"work",(INDEX(Subject!$A:$I,MATCH(RANDBETWEEN(1,(MAX(Subject!$B:$B))),Subject!$B:$B,0),3))))</f>
        <v/>
      </c>
      <c r="H565" s="2" t="str">
        <f t="array" ref="H565">IF(NOW()&gt;AS565,"",IF(AND((WEEKDAY($A565)+$B$2)&gt;1,((WEEKDAY($A565)+$T$2)&lt;7),(WEEKDAY($A565)&lt;&gt;1)),"work",(INDEX(Subject!$A:$I,MATCH(RANDBETWEEN(1,(MAX(Subject!$B:$B))),Subject!$B:$B,0),3))))</f>
        <v/>
      </c>
      <c r="I565" s="2" t="str">
        <f t="array" ref="I565">IF(NOW()&gt;AT565,"",IF(AND((WEEKDAY($A565)+$B$2)&gt;1,((WEEKDAY($A565)+$T$2)&lt;7),(WEEKDAY($A565)&lt;&gt;1)),"work",(INDEX(Subject!$A:$I,MATCH(RANDBETWEEN(1,(MAX(Subject!$B:$B))),Subject!$B:$B,0),3))))</f>
        <v/>
      </c>
      <c r="J565" s="2" t="str">
        <f t="array" ref="J565">IF(NOW()&gt;AU565,"",IF(AND((WEEKDAY($A565)+$B$2)&gt;1,((WEEKDAY($A565)+$T$2)&lt;7),(WEEKDAY($A565)&lt;&gt;1)),"work",(INDEX(Subject!$A:$I,MATCH(RANDBETWEEN(1,(MAX(Subject!$B:$B))),Subject!$B:$B,0),3))))</f>
        <v/>
      </c>
      <c r="K565" s="2" t="str">
        <f t="array" ref="K565">IF(NOW()&gt;AV565,"",IF(AND((WEEKDAY($A565)+$B$2)&gt;1,((WEEKDAY($A565)+$T$2)&lt;7),(WEEKDAY($A565)&lt;&gt;1)),"work",(INDEX(Subject!$A:$I,MATCH(RANDBETWEEN(1,(MAX(Subject!$B:$B))),Subject!$B:$B,0),3))))</f>
        <v/>
      </c>
      <c r="L565" s="2" t="str">
        <f t="array" ref="L565">IF(NOW()&gt;AW565,"",IF(AND((WEEKDAY($A565)+$B$2)&gt;1,((WEEKDAY($A565)+$T$2)&lt;7),(WEEKDAY($A565)&lt;&gt;1)),"work",(INDEX(Subject!$A:$I,MATCH(RANDBETWEEN(1,(MAX(Subject!$B:$B))),Subject!$B:$B,0),3))))</f>
        <v/>
      </c>
      <c r="M565" s="2" t="str">
        <f t="array" ref="M565">IF(NOW()&gt;AX565,"",IF(AND((WEEKDAY($A565)+$B$2)&gt;1,((WEEKDAY($A565)+$T$2)&lt;7),(WEEKDAY($A565)&lt;&gt;1)),"work",(INDEX(Subject!$A:$I,MATCH(RANDBETWEEN(1,(MAX(Subject!$B:$B))),Subject!$B:$B,0),3))))</f>
        <v/>
      </c>
      <c r="N565" s="2" t="str">
        <f t="array" ref="N565">IF(NOW()&gt;AY565,"",IF(AND((WEEKDAY($A565)+$B$2)&gt;1,((WEEKDAY($A565)+$T$2)&lt;7),(WEEKDAY($A565)&lt;&gt;1)),"work",(INDEX(Subject!$A:$I,MATCH(RANDBETWEEN(1,(MAX(Subject!$B:$B))),Subject!$B:$B,0),3))))</f>
        <v/>
      </c>
      <c r="O565" s="2" t="str">
        <f t="array" ref="O565">IF(NOW()&gt;AZ565,"",IF(AND((WEEKDAY($A565)+$B$2)&gt;1,((WEEKDAY($A565)+$T$2)&lt;7),(WEEKDAY($A565)&lt;&gt;1)),"work",(INDEX(Subject!$A:$I,MATCH(RANDBETWEEN(1,(MAX(Subject!$B:$B))),Subject!$B:$B,0),3))))</f>
        <v/>
      </c>
      <c r="P565" s="2" t="str">
        <f t="array" ref="P565">IF(NOW()&gt;BA565,"",IF(AND((WEEKDAY($A565)+$B$2)&gt;1,((WEEKDAY($A565)+$T$2)&lt;7),(WEEKDAY($A565)&lt;&gt;1)),"work",(INDEX(Subject!$A:$I,MATCH(RANDBETWEEN(1,(MAX(Subject!$B:$B))),Subject!$B:$B,0),3))))</f>
        <v/>
      </c>
      <c r="Q565" s="2" t="str">
        <f t="array" ref="Q565">IF(NOW()&gt;BB565,"",IF(AND((WEEKDAY($A565)+$B$2)&gt;1,((WEEKDAY($A565)+$T$2)&lt;7),(WEEKDAY($A565)&lt;&gt;1)),"work",(INDEX(Subject!$A:$I,MATCH(RANDBETWEEN(1,(MAX(Subject!$B:$B))),Subject!$B:$B,0),3))))</f>
        <v/>
      </c>
      <c r="R565" s="2" t="str">
        <f t="array" ref="R565">IF(NOW()&gt;BC565,"",IF(AND((WEEKDAY($A565)+$B$2)&gt;1,((WEEKDAY($A565)+$T$2)&lt;7),(WEEKDAY($A565)&lt;&gt;1)),"work",(INDEX(Subject!$A:$I,MATCH(RANDBETWEEN(1,(MAX(Subject!$B:$B))),Subject!$B:$B,0),3))))</f>
        <v/>
      </c>
      <c r="S565" s="2" t="str">
        <f t="array" ref="S565">IF(NOW()&gt;BD565,"",IF(AND((WEEKDAY($A565)+$B$2)&gt;1,((WEEKDAY($A565)+$T$2)&lt;7),(WEEKDAY($A565)&lt;&gt;1)),"work",(INDEX(Subject!$A:$I,MATCH(RANDBETWEEN(1,(MAX(Subject!$B:$B))),Subject!$B:$B,0),3))))</f>
        <v/>
      </c>
      <c r="T565" s="2" t="str">
        <f t="array" ref="T565">IF(NOW()&gt;BE565,"",IF(AND((WEEKDAY($A565)+$B$2)&gt;1,((WEEKDAY($A565)+$T$2)&lt;7),(WEEKDAY($A565)&lt;&gt;1)),"work",(INDEX(Subject!$A:$I,MATCH(RANDBETWEEN(1,(MAX(Subject!$B:$B))),Subject!$B:$B,0),3))))</f>
        <v/>
      </c>
      <c r="U565" s="8" t="str">
        <f t="array" ref="U565">INDEX(Subject!$A:$I,MATCH(RANDBETWEEN(1,16),Subject!$B:$B,0),3)</f>
        <v>#N/A</v>
      </c>
      <c r="V565" s="8" t="str">
        <f t="array" ref="V565">INDEX(Subject!$A:$I,MATCH(RANDBETWEEN(1,16),Subject!$B:$B,0),3)</f>
        <v>#N/A</v>
      </c>
      <c r="W565" s="8" t="str">
        <f t="array" ref="W565">INDEX(Subject!$A:$I,MATCH(RANDBETWEEN(1,16),Subject!$B:$B,0),3)</f>
        <v>#N/A</v>
      </c>
      <c r="X565" s="8" t="str">
        <f t="array" ref="X565">INDEX(Subject!$A:$I,MATCH(RANDBETWEEN(1,16),Subject!$B:$B,0),3)</f>
        <v>#N/A</v>
      </c>
      <c r="Y565" s="8" t="str">
        <f t="array" ref="Y565">INDEX(Subject!$A:$I,MATCH(RANDBETWEEN(1,16),Subject!$B:$B,0),3)</f>
        <v>#N/A</v>
      </c>
      <c r="Z565" s="8" t="str">
        <f t="array" ref="Z565">INDEX(Subject!$A:$I,MATCH(RANDBETWEEN(1,16),Subject!$B:$B,0),3)</f>
        <v>#N/A</v>
      </c>
      <c r="AA565" s="8" t="str">
        <f t="array" ref="AA565">INDEX(Subject!$A:$I,MATCH(RANDBETWEEN(1,16),Subject!$B:$B,0),3)</f>
        <v>#N/A</v>
      </c>
      <c r="AB565" s="8" t="str">
        <f t="array" ref="AB565">INDEX(Subject!$A:$I,MATCH(RANDBETWEEN(1,16),Subject!$B:$B,0),3)</f>
        <v>#N/A</v>
      </c>
      <c r="AC565" s="8" t="str">
        <f t="array" ref="AC565">INDEX(Subject!$A:$I,MATCH(RANDBETWEEN(1,16),Subject!$B:$B,0),3)</f>
        <v>#N/A</v>
      </c>
      <c r="AD565" s="8" t="str">
        <f t="array" ref="AD565">INDEX(Subject!$A:$I,MATCH(RANDBETWEEN(1,16),Subject!$B:$B,0),3)</f>
        <v>#N/A</v>
      </c>
      <c r="AE565" s="8" t="str">
        <f t="array" ref="AE565">INDEX(Subject!$A:$I,MATCH(RANDBETWEEN(1,16),Subject!$B:$B,0),3)</f>
        <v>#N/A</v>
      </c>
      <c r="AF565" s="8" t="str">
        <f t="array" ref="AF565">INDEX(Subject!$A:$I,MATCH(RANDBETWEEN(1,16),Subject!$B:$B,0),3)</f>
        <v>#N/A</v>
      </c>
      <c r="AG565" s="8" t="str">
        <f t="array" ref="AG565">INDEX(Subject!$A:$I,MATCH(RANDBETWEEN(1,16),Subject!$B:$B,0),3)</f>
        <v>#N/A</v>
      </c>
      <c r="AH565" s="8" t="str">
        <f t="array" ref="AH565">INDEX(Subject!$A:$I,MATCH(RANDBETWEEN(1,16),Subject!$B:$B,0),3)</f>
        <v>#N/A</v>
      </c>
      <c r="AI565" s="8" t="str">
        <f t="array" ref="AI565">INDEX(Subject!$A:$I,MATCH(RANDBETWEEN(1,16),Subject!$B:$B,0),3)</f>
        <v>#N/A</v>
      </c>
      <c r="AJ565" s="8" t="str">
        <f t="array" ref="AJ565">INDEX(Subject!$A:$I,MATCH(RANDBETWEEN(1,16),Subject!$B:$B,0),3)</f>
        <v>#N/A</v>
      </c>
      <c r="AK565" s="8" t="str">
        <f t="array" ref="AK565">INDEX(Subject!$A:$I,MATCH(RANDBETWEEN(1,16),Subject!$B:$B,0),3)</f>
        <v>#N/A</v>
      </c>
      <c r="AL565" s="8" t="str">
        <f t="array" ref="AL565">INDEX(Subject!$A:$I,MATCH(RANDBETWEEN(1,16),Subject!$B:$B,0),3)</f>
        <v>#N/A</v>
      </c>
      <c r="AM565" s="18">
        <f t="shared" si="4"/>
        <v>46065.33333</v>
      </c>
      <c r="AN565" s="19">
        <f t="shared" ref="AN565:BZ565" si="565">$A565+C$1</f>
        <v>46065.35417</v>
      </c>
      <c r="AO565" s="19">
        <f t="shared" si="565"/>
        <v>46065.375</v>
      </c>
      <c r="AP565" s="19">
        <f t="shared" si="565"/>
        <v>46065.39583</v>
      </c>
      <c r="AQ565" s="19">
        <f t="shared" si="565"/>
        <v>46065.41667</v>
      </c>
      <c r="AR565" s="19">
        <f t="shared" si="565"/>
        <v>46065.4375</v>
      </c>
      <c r="AS565" s="19">
        <f t="shared" si="565"/>
        <v>46065.45833</v>
      </c>
      <c r="AT565" s="19">
        <f t="shared" si="565"/>
        <v>46065.47917</v>
      </c>
      <c r="AU565" s="19">
        <f t="shared" si="565"/>
        <v>46065.5</v>
      </c>
      <c r="AV565" s="19">
        <f t="shared" si="565"/>
        <v>46065.52083</v>
      </c>
      <c r="AW565" s="19">
        <f t="shared" si="565"/>
        <v>46065.54167</v>
      </c>
      <c r="AX565" s="19">
        <f t="shared" si="565"/>
        <v>46065.5625</v>
      </c>
      <c r="AY565" s="19">
        <f t="shared" si="565"/>
        <v>46065.58333</v>
      </c>
      <c r="AZ565" s="19">
        <f t="shared" si="565"/>
        <v>46065.60417</v>
      </c>
      <c r="BA565" s="19">
        <f t="shared" si="565"/>
        <v>46065.625</v>
      </c>
      <c r="BB565" s="19">
        <f t="shared" si="565"/>
        <v>46065.64583</v>
      </c>
      <c r="BC565" s="19">
        <f t="shared" si="565"/>
        <v>46065.66667</v>
      </c>
      <c r="BD565" s="19">
        <f t="shared" si="565"/>
        <v>46065.6875</v>
      </c>
      <c r="BE565" s="19">
        <f t="shared" si="565"/>
        <v>46065.70833</v>
      </c>
      <c r="BF565" s="19">
        <f t="shared" si="565"/>
        <v>46065.72917</v>
      </c>
      <c r="BG565" s="19">
        <f t="shared" si="565"/>
        <v>46065.75</v>
      </c>
      <c r="BH565" s="19">
        <f t="shared" si="565"/>
        <v>46065.77083</v>
      </c>
      <c r="BI565" s="19">
        <f t="shared" si="565"/>
        <v>46065.79167</v>
      </c>
      <c r="BJ565" s="19">
        <f t="shared" si="565"/>
        <v>46065.8125</v>
      </c>
      <c r="BK565" s="19">
        <f t="shared" si="565"/>
        <v>46065.83333</v>
      </c>
      <c r="BL565" s="19">
        <f t="shared" si="565"/>
        <v>46065.85417</v>
      </c>
      <c r="BM565" s="19">
        <f t="shared" si="565"/>
        <v>46065.875</v>
      </c>
      <c r="BN565" s="19">
        <f t="shared" si="565"/>
        <v>46065.89583</v>
      </c>
      <c r="BO565" s="19">
        <f t="shared" si="565"/>
        <v>46065.91667</v>
      </c>
      <c r="BP565" s="19">
        <f t="shared" si="565"/>
        <v>46065.9375</v>
      </c>
      <c r="BQ565" s="19">
        <f t="shared" si="565"/>
        <v>46065.95833</v>
      </c>
      <c r="BR565" s="19">
        <f t="shared" si="565"/>
        <v>46065.97917</v>
      </c>
      <c r="BS565" s="19">
        <f t="shared" si="565"/>
        <v>46066</v>
      </c>
      <c r="BT565" s="19">
        <f t="shared" si="565"/>
        <v>46066.02083</v>
      </c>
      <c r="BU565" s="19">
        <f t="shared" si="565"/>
        <v>46066.04167</v>
      </c>
      <c r="BV565" s="19">
        <f t="shared" si="565"/>
        <v>46066.0625</v>
      </c>
      <c r="BW565" s="19">
        <f t="shared" si="565"/>
        <v>46066.08333</v>
      </c>
      <c r="BX565" s="19">
        <f t="shared" si="565"/>
        <v>46065</v>
      </c>
      <c r="BY565" s="19">
        <f t="shared" si="565"/>
        <v>46065</v>
      </c>
      <c r="BZ565" s="19">
        <f t="shared" si="565"/>
        <v>46065</v>
      </c>
    </row>
    <row r="566" ht="14.25" customHeight="1">
      <c r="A566" s="17">
        <v>46066.0</v>
      </c>
      <c r="B566" s="2" t="str">
        <f t="array" ref="B566">IF(NOW()&gt;AM566,"",IF(AND((WEEKDAY($A566)+$B$2)&gt;1,((WEEKDAY($A566)+$T$2)&lt;7),(WEEKDAY($A566)&lt;&gt;1)),"work",(INDEX(Subject!$A:$I,MATCH(RANDBETWEEN(1,(MAX(Subject!$B:$B))),Subject!$B:$B,0),3))))</f>
        <v/>
      </c>
      <c r="C566" s="2" t="str">
        <f t="array" ref="C566">IF(NOW()&gt;AN566,"",IF(AND((WEEKDAY($A566)+$B$2)&gt;1,((WEEKDAY($A566)+$T$2)&lt;7),(WEEKDAY($A566)&lt;&gt;1)),"work",(INDEX(Subject!$A:$I,MATCH(RANDBETWEEN(1,(MAX(Subject!$B:$B))),Subject!$B:$B,0),3))))</f>
        <v/>
      </c>
      <c r="D566" s="2" t="str">
        <f t="array" ref="D566">IF(NOW()&gt;AO566,"",IF(AND((WEEKDAY($A566)+$B$2)&gt;1,((WEEKDAY($A566)+$T$2)&lt;7),(WEEKDAY($A566)&lt;&gt;1)),"work",(INDEX(Subject!$A:$I,MATCH(RANDBETWEEN(1,(MAX(Subject!$B:$B))),Subject!$B:$B,0),3))))</f>
        <v/>
      </c>
      <c r="E566" s="2" t="str">
        <f t="array" ref="E566">IF(NOW()&gt;AP566,"",IF(AND((WEEKDAY($A566)+$B$2)&gt;1,((WEEKDAY($A566)+$T$2)&lt;7),(WEEKDAY($A566)&lt;&gt;1)),"work",(INDEX(Subject!$A:$I,MATCH(RANDBETWEEN(1,(MAX(Subject!$B:$B))),Subject!$B:$B,0),3))))</f>
        <v/>
      </c>
      <c r="F566" s="2" t="str">
        <f t="array" ref="F566">IF(NOW()&gt;AQ566,"",IF(AND((WEEKDAY($A566)+$B$2)&gt;1,((WEEKDAY($A566)+$T$2)&lt;7),(WEEKDAY($A566)&lt;&gt;1)),"work",(INDEX(Subject!$A:$I,MATCH(RANDBETWEEN(1,(MAX(Subject!$B:$B))),Subject!$B:$B,0),3))))</f>
        <v/>
      </c>
      <c r="G566" s="2" t="str">
        <f t="array" ref="G566">IF(NOW()&gt;AR566,"",IF(AND((WEEKDAY($A566)+$B$2)&gt;1,((WEEKDAY($A566)+$T$2)&lt;7),(WEEKDAY($A566)&lt;&gt;1)),"work",(INDEX(Subject!$A:$I,MATCH(RANDBETWEEN(1,(MAX(Subject!$B:$B))),Subject!$B:$B,0),3))))</f>
        <v/>
      </c>
      <c r="H566" s="2" t="str">
        <f t="array" ref="H566">IF(NOW()&gt;AS566,"",IF(AND((WEEKDAY($A566)+$B$2)&gt;1,((WEEKDAY($A566)+$T$2)&lt;7),(WEEKDAY($A566)&lt;&gt;1)),"work",(INDEX(Subject!$A:$I,MATCH(RANDBETWEEN(1,(MAX(Subject!$B:$B))),Subject!$B:$B,0),3))))</f>
        <v/>
      </c>
      <c r="I566" s="2" t="str">
        <f t="array" ref="I566">IF(NOW()&gt;AT566,"",IF(AND((WEEKDAY($A566)+$B$2)&gt;1,((WEEKDAY($A566)+$T$2)&lt;7),(WEEKDAY($A566)&lt;&gt;1)),"work",(INDEX(Subject!$A:$I,MATCH(RANDBETWEEN(1,(MAX(Subject!$B:$B))),Subject!$B:$B,0),3))))</f>
        <v/>
      </c>
      <c r="J566" s="2" t="str">
        <f t="array" ref="J566">IF(NOW()&gt;AU566,"",IF(AND((WEEKDAY($A566)+$B$2)&gt;1,((WEEKDAY($A566)+$T$2)&lt;7),(WEEKDAY($A566)&lt;&gt;1)),"work",(INDEX(Subject!$A:$I,MATCH(RANDBETWEEN(1,(MAX(Subject!$B:$B))),Subject!$B:$B,0),3))))</f>
        <v/>
      </c>
      <c r="K566" s="2" t="str">
        <f t="array" ref="K566">IF(NOW()&gt;AV566,"",IF(AND((WEEKDAY($A566)+$B$2)&gt;1,((WEEKDAY($A566)+$T$2)&lt;7),(WEEKDAY($A566)&lt;&gt;1)),"work",(INDEX(Subject!$A:$I,MATCH(RANDBETWEEN(1,(MAX(Subject!$B:$B))),Subject!$B:$B,0),3))))</f>
        <v/>
      </c>
      <c r="L566" s="2" t="str">
        <f t="array" ref="L566">IF(NOW()&gt;AW566,"",IF(AND((WEEKDAY($A566)+$B$2)&gt;1,((WEEKDAY($A566)+$T$2)&lt;7),(WEEKDAY($A566)&lt;&gt;1)),"work",(INDEX(Subject!$A:$I,MATCH(RANDBETWEEN(1,(MAX(Subject!$B:$B))),Subject!$B:$B,0),3))))</f>
        <v/>
      </c>
      <c r="M566" s="2" t="str">
        <f t="array" ref="M566">IF(NOW()&gt;AX566,"",IF(AND((WEEKDAY($A566)+$B$2)&gt;1,((WEEKDAY($A566)+$T$2)&lt;7),(WEEKDAY($A566)&lt;&gt;1)),"work",(INDEX(Subject!$A:$I,MATCH(RANDBETWEEN(1,(MAX(Subject!$B:$B))),Subject!$B:$B,0),3))))</f>
        <v/>
      </c>
      <c r="N566" s="2" t="str">
        <f t="array" ref="N566">IF(NOW()&gt;AY566,"",IF(AND((WEEKDAY($A566)+$B$2)&gt;1,((WEEKDAY($A566)+$T$2)&lt;7),(WEEKDAY($A566)&lt;&gt;1)),"work",(INDEX(Subject!$A:$I,MATCH(RANDBETWEEN(1,(MAX(Subject!$B:$B))),Subject!$B:$B,0),3))))</f>
        <v/>
      </c>
      <c r="O566" s="2" t="str">
        <f t="array" ref="O566">IF(NOW()&gt;AZ566,"",IF(AND((WEEKDAY($A566)+$B$2)&gt;1,((WEEKDAY($A566)+$T$2)&lt;7),(WEEKDAY($A566)&lt;&gt;1)),"work",(INDEX(Subject!$A:$I,MATCH(RANDBETWEEN(1,(MAX(Subject!$B:$B))),Subject!$B:$B,0),3))))</f>
        <v/>
      </c>
      <c r="P566" s="2" t="str">
        <f t="array" ref="P566">IF(NOW()&gt;BA566,"",IF(AND((WEEKDAY($A566)+$B$2)&gt;1,((WEEKDAY($A566)+$T$2)&lt;7),(WEEKDAY($A566)&lt;&gt;1)),"work",(INDEX(Subject!$A:$I,MATCH(RANDBETWEEN(1,(MAX(Subject!$B:$B))),Subject!$B:$B,0),3))))</f>
        <v/>
      </c>
      <c r="Q566" s="2" t="str">
        <f t="array" ref="Q566">IF(NOW()&gt;BB566,"",IF(AND((WEEKDAY($A566)+$B$2)&gt;1,((WEEKDAY($A566)+$T$2)&lt;7),(WEEKDAY($A566)&lt;&gt;1)),"work",(INDEX(Subject!$A:$I,MATCH(RANDBETWEEN(1,(MAX(Subject!$B:$B))),Subject!$B:$B,0),3))))</f>
        <v/>
      </c>
      <c r="R566" s="2" t="str">
        <f t="array" ref="R566">IF(NOW()&gt;BC566,"",IF(AND((WEEKDAY($A566)+$B$2)&gt;1,((WEEKDAY($A566)+$T$2)&lt;7),(WEEKDAY($A566)&lt;&gt;1)),"work",(INDEX(Subject!$A:$I,MATCH(RANDBETWEEN(1,(MAX(Subject!$B:$B))),Subject!$B:$B,0),3))))</f>
        <v/>
      </c>
      <c r="S566" s="2" t="str">
        <f t="array" ref="S566">IF(NOW()&gt;BD566,"",IF(AND((WEEKDAY($A566)+$B$2)&gt;1,((WEEKDAY($A566)+$T$2)&lt;7),(WEEKDAY($A566)&lt;&gt;1)),"work",(INDEX(Subject!$A:$I,MATCH(RANDBETWEEN(1,(MAX(Subject!$B:$B))),Subject!$B:$B,0),3))))</f>
        <v/>
      </c>
      <c r="T566" s="2" t="str">
        <f t="array" ref="T566">IF(NOW()&gt;BE566,"",IF(AND((WEEKDAY($A566)+$B$2)&gt;1,((WEEKDAY($A566)+$T$2)&lt;7),(WEEKDAY($A566)&lt;&gt;1)),"work",(INDEX(Subject!$A:$I,MATCH(RANDBETWEEN(1,(MAX(Subject!$B:$B))),Subject!$B:$B,0),3))))</f>
        <v/>
      </c>
      <c r="U566" s="8" t="str">
        <f t="array" ref="U566">INDEX(Subject!$A:$I,MATCH(RANDBETWEEN(1,16),Subject!$B:$B,0),3)</f>
        <v>#N/A</v>
      </c>
      <c r="V566" s="8" t="str">
        <f t="array" ref="V566">INDEX(Subject!$A:$I,MATCH(RANDBETWEEN(1,16),Subject!$B:$B,0),3)</f>
        <v>#N/A</v>
      </c>
      <c r="W566" s="8" t="str">
        <f t="array" ref="W566">INDEX(Subject!$A:$I,MATCH(RANDBETWEEN(1,16),Subject!$B:$B,0),3)</f>
        <v>#N/A</v>
      </c>
      <c r="X566" s="8" t="str">
        <f t="array" ref="X566">INDEX(Subject!$A:$I,MATCH(RANDBETWEEN(1,16),Subject!$B:$B,0),3)</f>
        <v>#N/A</v>
      </c>
      <c r="Y566" s="8" t="str">
        <f t="array" ref="Y566">INDEX(Subject!$A:$I,MATCH(RANDBETWEEN(1,16),Subject!$B:$B,0),3)</f>
        <v>#N/A</v>
      </c>
      <c r="Z566" s="8" t="str">
        <f t="array" ref="Z566">INDEX(Subject!$A:$I,MATCH(RANDBETWEEN(1,16),Subject!$B:$B,0),3)</f>
        <v>#N/A</v>
      </c>
      <c r="AA566" s="8" t="str">
        <f t="array" ref="AA566">INDEX(Subject!$A:$I,MATCH(RANDBETWEEN(1,16),Subject!$B:$B,0),3)</f>
        <v>#N/A</v>
      </c>
      <c r="AB566" s="8" t="str">
        <f t="array" ref="AB566">INDEX(Subject!$A:$I,MATCH(RANDBETWEEN(1,16),Subject!$B:$B,0),3)</f>
        <v>#N/A</v>
      </c>
      <c r="AC566" s="8" t="str">
        <f t="array" ref="AC566">INDEX(Subject!$A:$I,MATCH(RANDBETWEEN(1,16),Subject!$B:$B,0),3)</f>
        <v>#N/A</v>
      </c>
      <c r="AD566" s="8" t="str">
        <f t="array" ref="AD566">INDEX(Subject!$A:$I,MATCH(RANDBETWEEN(1,16),Subject!$B:$B,0),3)</f>
        <v>#N/A</v>
      </c>
      <c r="AE566" s="8" t="str">
        <f t="array" ref="AE566">INDEX(Subject!$A:$I,MATCH(RANDBETWEEN(1,16),Subject!$B:$B,0),3)</f>
        <v>#N/A</v>
      </c>
      <c r="AF566" s="8" t="str">
        <f t="array" ref="AF566">INDEX(Subject!$A:$I,MATCH(RANDBETWEEN(1,16),Subject!$B:$B,0),3)</f>
        <v>#N/A</v>
      </c>
      <c r="AG566" s="8" t="str">
        <f t="array" ref="AG566">INDEX(Subject!$A:$I,MATCH(RANDBETWEEN(1,16),Subject!$B:$B,0),3)</f>
        <v>#N/A</v>
      </c>
      <c r="AH566" s="8" t="str">
        <f t="array" ref="AH566">INDEX(Subject!$A:$I,MATCH(RANDBETWEEN(1,16),Subject!$B:$B,0),3)</f>
        <v>#N/A</v>
      </c>
      <c r="AI566" s="8" t="str">
        <f t="array" ref="AI566">INDEX(Subject!$A:$I,MATCH(RANDBETWEEN(1,16),Subject!$B:$B,0),3)</f>
        <v>#N/A</v>
      </c>
      <c r="AJ566" s="8" t="str">
        <f t="array" ref="AJ566">INDEX(Subject!$A:$I,MATCH(RANDBETWEEN(1,16),Subject!$B:$B,0),3)</f>
        <v>#N/A</v>
      </c>
      <c r="AK566" s="8" t="str">
        <f t="array" ref="AK566">INDEX(Subject!$A:$I,MATCH(RANDBETWEEN(1,16),Subject!$B:$B,0),3)</f>
        <v>#N/A</v>
      </c>
      <c r="AL566" s="8" t="str">
        <f t="array" ref="AL566">INDEX(Subject!$A:$I,MATCH(RANDBETWEEN(1,16),Subject!$B:$B,0),3)</f>
        <v>#N/A</v>
      </c>
      <c r="AM566" s="18">
        <f t="shared" si="4"/>
        <v>46066.33333</v>
      </c>
      <c r="AN566" s="19">
        <f t="shared" ref="AN566:BZ566" si="566">$A566+C$1</f>
        <v>46066.35417</v>
      </c>
      <c r="AO566" s="19">
        <f t="shared" si="566"/>
        <v>46066.375</v>
      </c>
      <c r="AP566" s="19">
        <f t="shared" si="566"/>
        <v>46066.39583</v>
      </c>
      <c r="AQ566" s="19">
        <f t="shared" si="566"/>
        <v>46066.41667</v>
      </c>
      <c r="AR566" s="19">
        <f t="shared" si="566"/>
        <v>46066.4375</v>
      </c>
      <c r="AS566" s="19">
        <f t="shared" si="566"/>
        <v>46066.45833</v>
      </c>
      <c r="AT566" s="19">
        <f t="shared" si="566"/>
        <v>46066.47917</v>
      </c>
      <c r="AU566" s="19">
        <f t="shared" si="566"/>
        <v>46066.5</v>
      </c>
      <c r="AV566" s="19">
        <f t="shared" si="566"/>
        <v>46066.52083</v>
      </c>
      <c r="AW566" s="19">
        <f t="shared" si="566"/>
        <v>46066.54167</v>
      </c>
      <c r="AX566" s="19">
        <f t="shared" si="566"/>
        <v>46066.5625</v>
      </c>
      <c r="AY566" s="19">
        <f t="shared" si="566"/>
        <v>46066.58333</v>
      </c>
      <c r="AZ566" s="19">
        <f t="shared" si="566"/>
        <v>46066.60417</v>
      </c>
      <c r="BA566" s="19">
        <f t="shared" si="566"/>
        <v>46066.625</v>
      </c>
      <c r="BB566" s="19">
        <f t="shared" si="566"/>
        <v>46066.64583</v>
      </c>
      <c r="BC566" s="19">
        <f t="shared" si="566"/>
        <v>46066.66667</v>
      </c>
      <c r="BD566" s="19">
        <f t="shared" si="566"/>
        <v>46066.6875</v>
      </c>
      <c r="BE566" s="19">
        <f t="shared" si="566"/>
        <v>46066.70833</v>
      </c>
      <c r="BF566" s="19">
        <f t="shared" si="566"/>
        <v>46066.72917</v>
      </c>
      <c r="BG566" s="19">
        <f t="shared" si="566"/>
        <v>46066.75</v>
      </c>
      <c r="BH566" s="19">
        <f t="shared" si="566"/>
        <v>46066.77083</v>
      </c>
      <c r="BI566" s="19">
        <f t="shared" si="566"/>
        <v>46066.79167</v>
      </c>
      <c r="BJ566" s="19">
        <f t="shared" si="566"/>
        <v>46066.8125</v>
      </c>
      <c r="BK566" s="19">
        <f t="shared" si="566"/>
        <v>46066.83333</v>
      </c>
      <c r="BL566" s="19">
        <f t="shared" si="566"/>
        <v>46066.85417</v>
      </c>
      <c r="BM566" s="19">
        <f t="shared" si="566"/>
        <v>46066.875</v>
      </c>
      <c r="BN566" s="19">
        <f t="shared" si="566"/>
        <v>46066.89583</v>
      </c>
      <c r="BO566" s="19">
        <f t="shared" si="566"/>
        <v>46066.91667</v>
      </c>
      <c r="BP566" s="19">
        <f t="shared" si="566"/>
        <v>46066.9375</v>
      </c>
      <c r="BQ566" s="19">
        <f t="shared" si="566"/>
        <v>46066.95833</v>
      </c>
      <c r="BR566" s="19">
        <f t="shared" si="566"/>
        <v>46066.97917</v>
      </c>
      <c r="BS566" s="19">
        <f t="shared" si="566"/>
        <v>46067</v>
      </c>
      <c r="BT566" s="19">
        <f t="shared" si="566"/>
        <v>46067.02083</v>
      </c>
      <c r="BU566" s="19">
        <f t="shared" si="566"/>
        <v>46067.04167</v>
      </c>
      <c r="BV566" s="19">
        <f t="shared" si="566"/>
        <v>46067.0625</v>
      </c>
      <c r="BW566" s="19">
        <f t="shared" si="566"/>
        <v>46067.08333</v>
      </c>
      <c r="BX566" s="19">
        <f t="shared" si="566"/>
        <v>46066</v>
      </c>
      <c r="BY566" s="19">
        <f t="shared" si="566"/>
        <v>46066</v>
      </c>
      <c r="BZ566" s="19">
        <f t="shared" si="566"/>
        <v>46066</v>
      </c>
    </row>
    <row r="567" ht="14.25" customHeight="1">
      <c r="A567" s="17">
        <v>46067.0</v>
      </c>
      <c r="B567" s="2" t="str">
        <f t="array" ref="B567">IF(NOW()&gt;AM567,"",IF(AND((WEEKDAY($A567)+$B$2)&gt;1,((WEEKDAY($A567)+$T$2)&lt;7),(WEEKDAY($A567)&lt;&gt;1)),"work",(INDEX(Subject!$A:$I,MATCH(RANDBETWEEN(1,(MAX(Subject!$B:$B))),Subject!$B:$B,0),3))))</f>
        <v/>
      </c>
      <c r="C567" s="2" t="str">
        <f t="array" ref="C567">IF(NOW()&gt;AN567,"",IF(AND((WEEKDAY($A567)+$B$2)&gt;1,((WEEKDAY($A567)+$T$2)&lt;7),(WEEKDAY($A567)&lt;&gt;1)),"work",(INDEX(Subject!$A:$I,MATCH(RANDBETWEEN(1,(MAX(Subject!$B:$B))),Subject!$B:$B,0),3))))</f>
        <v/>
      </c>
      <c r="D567" s="2" t="str">
        <f t="array" ref="D567">IF(NOW()&gt;AO567,"",IF(AND((WEEKDAY($A567)+$B$2)&gt;1,((WEEKDAY($A567)+$T$2)&lt;7),(WEEKDAY($A567)&lt;&gt;1)),"work",(INDEX(Subject!$A:$I,MATCH(RANDBETWEEN(1,(MAX(Subject!$B:$B))),Subject!$B:$B,0),3))))</f>
        <v/>
      </c>
      <c r="E567" s="2" t="str">
        <f t="array" ref="E567">IF(NOW()&gt;AP567,"",IF(AND((WEEKDAY($A567)+$B$2)&gt;1,((WEEKDAY($A567)+$T$2)&lt;7),(WEEKDAY($A567)&lt;&gt;1)),"work",(INDEX(Subject!$A:$I,MATCH(RANDBETWEEN(1,(MAX(Subject!$B:$B))),Subject!$B:$B,0),3))))</f>
        <v/>
      </c>
      <c r="F567" s="2" t="str">
        <f t="array" ref="F567">IF(NOW()&gt;AQ567,"",IF(AND((WEEKDAY($A567)+$B$2)&gt;1,((WEEKDAY($A567)+$T$2)&lt;7),(WEEKDAY($A567)&lt;&gt;1)),"work",(INDEX(Subject!$A:$I,MATCH(RANDBETWEEN(1,(MAX(Subject!$B:$B))),Subject!$B:$B,0),3))))</f>
        <v/>
      </c>
      <c r="G567" s="2" t="str">
        <f t="array" ref="G567">IF(NOW()&gt;AR567,"",IF(AND((WEEKDAY($A567)+$B$2)&gt;1,((WEEKDAY($A567)+$T$2)&lt;7),(WEEKDAY($A567)&lt;&gt;1)),"work",(INDEX(Subject!$A:$I,MATCH(RANDBETWEEN(1,(MAX(Subject!$B:$B))),Subject!$B:$B,0),3))))</f>
        <v/>
      </c>
      <c r="H567" s="2" t="str">
        <f t="array" ref="H567">IF(NOW()&gt;AS567,"",IF(AND((WEEKDAY($A567)+$B$2)&gt;1,((WEEKDAY($A567)+$T$2)&lt;7),(WEEKDAY($A567)&lt;&gt;1)),"work",(INDEX(Subject!$A:$I,MATCH(RANDBETWEEN(1,(MAX(Subject!$B:$B))),Subject!$B:$B,0),3))))</f>
        <v/>
      </c>
      <c r="I567" s="2" t="str">
        <f t="array" ref="I567">IF(NOW()&gt;AT567,"",IF(AND((WEEKDAY($A567)+$B$2)&gt;1,((WEEKDAY($A567)+$T$2)&lt;7),(WEEKDAY($A567)&lt;&gt;1)),"work",(INDEX(Subject!$A:$I,MATCH(RANDBETWEEN(1,(MAX(Subject!$B:$B))),Subject!$B:$B,0),3))))</f>
        <v/>
      </c>
      <c r="J567" s="2" t="str">
        <f t="array" ref="J567">IF(NOW()&gt;AU567,"",IF(AND((WEEKDAY($A567)+$B$2)&gt;1,((WEEKDAY($A567)+$T$2)&lt;7),(WEEKDAY($A567)&lt;&gt;1)),"work",(INDEX(Subject!$A:$I,MATCH(RANDBETWEEN(1,(MAX(Subject!$B:$B))),Subject!$B:$B,0),3))))</f>
        <v/>
      </c>
      <c r="K567" s="2" t="str">
        <f t="array" ref="K567">IF(NOW()&gt;AV567,"",IF(AND((WEEKDAY($A567)+$B$2)&gt;1,((WEEKDAY($A567)+$T$2)&lt;7),(WEEKDAY($A567)&lt;&gt;1)),"work",(INDEX(Subject!$A:$I,MATCH(RANDBETWEEN(1,(MAX(Subject!$B:$B))),Subject!$B:$B,0),3))))</f>
        <v/>
      </c>
      <c r="L567" s="2" t="str">
        <f t="array" ref="L567">IF(NOW()&gt;AW567,"",IF(AND((WEEKDAY($A567)+$B$2)&gt;1,((WEEKDAY($A567)+$T$2)&lt;7),(WEEKDAY($A567)&lt;&gt;1)),"work",(INDEX(Subject!$A:$I,MATCH(RANDBETWEEN(1,(MAX(Subject!$B:$B))),Subject!$B:$B,0),3))))</f>
        <v/>
      </c>
      <c r="M567" s="2" t="str">
        <f t="array" ref="M567">IF(NOW()&gt;AX567,"",IF(AND((WEEKDAY($A567)+$B$2)&gt;1,((WEEKDAY($A567)+$T$2)&lt;7),(WEEKDAY($A567)&lt;&gt;1)),"work",(INDEX(Subject!$A:$I,MATCH(RANDBETWEEN(1,(MAX(Subject!$B:$B))),Subject!$B:$B,0),3))))</f>
        <v/>
      </c>
      <c r="N567" s="2" t="str">
        <f t="array" ref="N567">IF(NOW()&gt;AY567,"",IF(AND((WEEKDAY($A567)+$B$2)&gt;1,((WEEKDAY($A567)+$T$2)&lt;7),(WEEKDAY($A567)&lt;&gt;1)),"work",(INDEX(Subject!$A:$I,MATCH(RANDBETWEEN(1,(MAX(Subject!$B:$B))),Subject!$B:$B,0),3))))</f>
        <v/>
      </c>
      <c r="O567" s="2" t="str">
        <f t="array" ref="O567">IF(NOW()&gt;AZ567,"",IF(AND((WEEKDAY($A567)+$B$2)&gt;1,((WEEKDAY($A567)+$T$2)&lt;7),(WEEKDAY($A567)&lt;&gt;1)),"work",(INDEX(Subject!$A:$I,MATCH(RANDBETWEEN(1,(MAX(Subject!$B:$B))),Subject!$B:$B,0),3))))</f>
        <v/>
      </c>
      <c r="P567" s="2" t="str">
        <f t="array" ref="P567">IF(NOW()&gt;BA567,"",IF(AND((WEEKDAY($A567)+$B$2)&gt;1,((WEEKDAY($A567)+$T$2)&lt;7),(WEEKDAY($A567)&lt;&gt;1)),"work",(INDEX(Subject!$A:$I,MATCH(RANDBETWEEN(1,(MAX(Subject!$B:$B))),Subject!$B:$B,0),3))))</f>
        <v/>
      </c>
      <c r="Q567" s="2" t="str">
        <f t="array" ref="Q567">IF(NOW()&gt;BB567,"",IF(AND((WEEKDAY($A567)+$B$2)&gt;1,((WEEKDAY($A567)+$T$2)&lt;7),(WEEKDAY($A567)&lt;&gt;1)),"work",(INDEX(Subject!$A:$I,MATCH(RANDBETWEEN(1,(MAX(Subject!$B:$B))),Subject!$B:$B,0),3))))</f>
        <v/>
      </c>
      <c r="R567" s="2" t="str">
        <f t="array" ref="R567">IF(NOW()&gt;BC567,"",IF(AND((WEEKDAY($A567)+$B$2)&gt;1,((WEEKDAY($A567)+$T$2)&lt;7),(WEEKDAY($A567)&lt;&gt;1)),"work",(INDEX(Subject!$A:$I,MATCH(RANDBETWEEN(1,(MAX(Subject!$B:$B))),Subject!$B:$B,0),3))))</f>
        <v/>
      </c>
      <c r="S567" s="2" t="str">
        <f t="array" ref="S567">IF(NOW()&gt;BD567,"",IF(AND((WEEKDAY($A567)+$B$2)&gt;1,((WEEKDAY($A567)+$T$2)&lt;7),(WEEKDAY($A567)&lt;&gt;1)),"work",(INDEX(Subject!$A:$I,MATCH(RANDBETWEEN(1,(MAX(Subject!$B:$B))),Subject!$B:$B,0),3))))</f>
        <v/>
      </c>
      <c r="T567" s="2" t="str">
        <f t="array" ref="T567">IF(NOW()&gt;BE567,"",IF(AND((WEEKDAY($A567)+$B$2)&gt;1,((WEEKDAY($A567)+$T$2)&lt;7),(WEEKDAY($A567)&lt;&gt;1)),"work",(INDEX(Subject!$A:$I,MATCH(RANDBETWEEN(1,(MAX(Subject!$B:$B))),Subject!$B:$B,0),3))))</f>
        <v/>
      </c>
      <c r="U567" s="8" t="str">
        <f t="array" ref="U567">INDEX(Subject!$A:$I,MATCH(RANDBETWEEN(1,16),Subject!$B:$B,0),3)</f>
        <v>#N/A</v>
      </c>
      <c r="V567" s="8" t="str">
        <f t="array" ref="V567">INDEX(Subject!$A:$I,MATCH(RANDBETWEEN(1,16),Subject!$B:$B,0),3)</f>
        <v/>
      </c>
      <c r="W567" s="8" t="str">
        <f t="array" ref="W567">INDEX(Subject!$A:$I,MATCH(RANDBETWEEN(1,16),Subject!$B:$B,0),3)</f>
        <v>#N/A</v>
      </c>
      <c r="X567" s="8" t="str">
        <f t="array" ref="X567">INDEX(Subject!$A:$I,MATCH(RANDBETWEEN(1,16),Subject!$B:$B,0),3)</f>
        <v>#N/A</v>
      </c>
      <c r="Y567" s="8" t="str">
        <f t="array" ref="Y567">INDEX(Subject!$A:$I,MATCH(RANDBETWEEN(1,16),Subject!$B:$B,0),3)</f>
        <v>#N/A</v>
      </c>
      <c r="Z567" s="8" t="str">
        <f t="array" ref="Z567">INDEX(Subject!$A:$I,MATCH(RANDBETWEEN(1,16),Subject!$B:$B,0),3)</f>
        <v>#N/A</v>
      </c>
      <c r="AA567" s="8" t="str">
        <f t="array" ref="AA567">INDEX(Subject!$A:$I,MATCH(RANDBETWEEN(1,16),Subject!$B:$B,0),3)</f>
        <v>#N/A</v>
      </c>
      <c r="AB567" s="8" t="str">
        <f t="array" ref="AB567">INDEX(Subject!$A:$I,MATCH(RANDBETWEEN(1,16),Subject!$B:$B,0),3)</f>
        <v/>
      </c>
      <c r="AC567" s="8" t="str">
        <f t="array" ref="AC567">INDEX(Subject!$A:$I,MATCH(RANDBETWEEN(1,16),Subject!$B:$B,0),3)</f>
        <v>#N/A</v>
      </c>
      <c r="AD567" s="8" t="str">
        <f t="array" ref="AD567">INDEX(Subject!$A:$I,MATCH(RANDBETWEEN(1,16),Subject!$B:$B,0),3)</f>
        <v>#N/A</v>
      </c>
      <c r="AE567" s="8" t="str">
        <f t="array" ref="AE567">INDEX(Subject!$A:$I,MATCH(RANDBETWEEN(1,16),Subject!$B:$B,0),3)</f>
        <v/>
      </c>
      <c r="AF567" s="8" t="str">
        <f t="array" ref="AF567">INDEX(Subject!$A:$I,MATCH(RANDBETWEEN(1,16),Subject!$B:$B,0),3)</f>
        <v>#N/A</v>
      </c>
      <c r="AG567" s="8" t="str">
        <f t="array" ref="AG567">INDEX(Subject!$A:$I,MATCH(RANDBETWEEN(1,16),Subject!$B:$B,0),3)</f>
        <v>#N/A</v>
      </c>
      <c r="AH567" s="8" t="str">
        <f t="array" ref="AH567">INDEX(Subject!$A:$I,MATCH(RANDBETWEEN(1,16),Subject!$B:$B,0),3)</f>
        <v>#N/A</v>
      </c>
      <c r="AI567" s="8" t="str">
        <f t="array" ref="AI567">INDEX(Subject!$A:$I,MATCH(RANDBETWEEN(1,16),Subject!$B:$B,0),3)</f>
        <v>#N/A</v>
      </c>
      <c r="AJ567" s="8" t="str">
        <f t="array" ref="AJ567">INDEX(Subject!$A:$I,MATCH(RANDBETWEEN(1,16),Subject!$B:$B,0),3)</f>
        <v>#N/A</v>
      </c>
      <c r="AK567" s="8" t="str">
        <f t="array" ref="AK567">INDEX(Subject!$A:$I,MATCH(RANDBETWEEN(1,16),Subject!$B:$B,0),3)</f>
        <v>#N/A</v>
      </c>
      <c r="AL567" s="8" t="str">
        <f t="array" ref="AL567">INDEX(Subject!$A:$I,MATCH(RANDBETWEEN(1,16),Subject!$B:$B,0),3)</f>
        <v>#N/A</v>
      </c>
      <c r="AM567" s="18">
        <f t="shared" si="4"/>
        <v>46067.33333</v>
      </c>
      <c r="AN567" s="19">
        <f t="shared" ref="AN567:BZ567" si="567">$A567+C$1</f>
        <v>46067.35417</v>
      </c>
      <c r="AO567" s="19">
        <f t="shared" si="567"/>
        <v>46067.375</v>
      </c>
      <c r="AP567" s="19">
        <f t="shared" si="567"/>
        <v>46067.39583</v>
      </c>
      <c r="AQ567" s="19">
        <f t="shared" si="567"/>
        <v>46067.41667</v>
      </c>
      <c r="AR567" s="19">
        <f t="shared" si="567"/>
        <v>46067.4375</v>
      </c>
      <c r="AS567" s="19">
        <f t="shared" si="567"/>
        <v>46067.45833</v>
      </c>
      <c r="AT567" s="19">
        <f t="shared" si="567"/>
        <v>46067.47917</v>
      </c>
      <c r="AU567" s="19">
        <f t="shared" si="567"/>
        <v>46067.5</v>
      </c>
      <c r="AV567" s="19">
        <f t="shared" si="567"/>
        <v>46067.52083</v>
      </c>
      <c r="AW567" s="19">
        <f t="shared" si="567"/>
        <v>46067.54167</v>
      </c>
      <c r="AX567" s="19">
        <f t="shared" si="567"/>
        <v>46067.5625</v>
      </c>
      <c r="AY567" s="19">
        <f t="shared" si="567"/>
        <v>46067.58333</v>
      </c>
      <c r="AZ567" s="19">
        <f t="shared" si="567"/>
        <v>46067.60417</v>
      </c>
      <c r="BA567" s="19">
        <f t="shared" si="567"/>
        <v>46067.625</v>
      </c>
      <c r="BB567" s="19">
        <f t="shared" si="567"/>
        <v>46067.64583</v>
      </c>
      <c r="BC567" s="19">
        <f t="shared" si="567"/>
        <v>46067.66667</v>
      </c>
      <c r="BD567" s="19">
        <f t="shared" si="567"/>
        <v>46067.6875</v>
      </c>
      <c r="BE567" s="19">
        <f t="shared" si="567"/>
        <v>46067.70833</v>
      </c>
      <c r="BF567" s="19">
        <f t="shared" si="567"/>
        <v>46067.72917</v>
      </c>
      <c r="BG567" s="19">
        <f t="shared" si="567"/>
        <v>46067.75</v>
      </c>
      <c r="BH567" s="19">
        <f t="shared" si="567"/>
        <v>46067.77083</v>
      </c>
      <c r="BI567" s="19">
        <f t="shared" si="567"/>
        <v>46067.79167</v>
      </c>
      <c r="BJ567" s="19">
        <f t="shared" si="567"/>
        <v>46067.8125</v>
      </c>
      <c r="BK567" s="19">
        <f t="shared" si="567"/>
        <v>46067.83333</v>
      </c>
      <c r="BL567" s="19">
        <f t="shared" si="567"/>
        <v>46067.85417</v>
      </c>
      <c r="BM567" s="19">
        <f t="shared" si="567"/>
        <v>46067.875</v>
      </c>
      <c r="BN567" s="19">
        <f t="shared" si="567"/>
        <v>46067.89583</v>
      </c>
      <c r="BO567" s="19">
        <f t="shared" si="567"/>
        <v>46067.91667</v>
      </c>
      <c r="BP567" s="19">
        <f t="shared" si="567"/>
        <v>46067.9375</v>
      </c>
      <c r="BQ567" s="19">
        <f t="shared" si="567"/>
        <v>46067.95833</v>
      </c>
      <c r="BR567" s="19">
        <f t="shared" si="567"/>
        <v>46067.97917</v>
      </c>
      <c r="BS567" s="19">
        <f t="shared" si="567"/>
        <v>46068</v>
      </c>
      <c r="BT567" s="19">
        <f t="shared" si="567"/>
        <v>46068.02083</v>
      </c>
      <c r="BU567" s="19">
        <f t="shared" si="567"/>
        <v>46068.04167</v>
      </c>
      <c r="BV567" s="19">
        <f t="shared" si="567"/>
        <v>46068.0625</v>
      </c>
      <c r="BW567" s="19">
        <f t="shared" si="567"/>
        <v>46068.08333</v>
      </c>
      <c r="BX567" s="19">
        <f t="shared" si="567"/>
        <v>46067</v>
      </c>
      <c r="BY567" s="19">
        <f t="shared" si="567"/>
        <v>46067</v>
      </c>
      <c r="BZ567" s="19">
        <f t="shared" si="567"/>
        <v>46067</v>
      </c>
    </row>
    <row r="568" ht="14.25" customHeight="1">
      <c r="A568" s="17">
        <v>46068.0</v>
      </c>
      <c r="B568" s="2" t="str">
        <f t="array" ref="B568">IF(NOW()&gt;AM568,"",IF(AND((WEEKDAY($A568)+$B$2)&gt;1,((WEEKDAY($A568)+$T$2)&lt;7),(WEEKDAY($A568)&lt;&gt;1)),"work",(INDEX(Subject!$A:$I,MATCH(RANDBETWEEN(1,(MAX(Subject!$B:$B))),Subject!$B:$B,0),3))))</f>
        <v/>
      </c>
      <c r="C568" s="2" t="str">
        <f t="array" ref="C568">IF(NOW()&gt;AN568,"",IF(AND((WEEKDAY($A568)+$B$2)&gt;1,((WEEKDAY($A568)+$T$2)&lt;7),(WEEKDAY($A568)&lt;&gt;1)),"work",(INDEX(Subject!$A:$I,MATCH(RANDBETWEEN(1,(MAX(Subject!$B:$B))),Subject!$B:$B,0),3))))</f>
        <v/>
      </c>
      <c r="D568" s="2" t="str">
        <f t="array" ref="D568">IF(NOW()&gt;AO568,"",IF(AND((WEEKDAY($A568)+$B$2)&gt;1,((WEEKDAY($A568)+$T$2)&lt;7),(WEEKDAY($A568)&lt;&gt;1)),"work",(INDEX(Subject!$A:$I,MATCH(RANDBETWEEN(1,(MAX(Subject!$B:$B))),Subject!$B:$B,0),3))))</f>
        <v/>
      </c>
      <c r="E568" s="2" t="str">
        <f t="array" ref="E568">IF(NOW()&gt;AP568,"",IF(AND((WEEKDAY($A568)+$B$2)&gt;1,((WEEKDAY($A568)+$T$2)&lt;7),(WEEKDAY($A568)&lt;&gt;1)),"work",(INDEX(Subject!$A:$I,MATCH(RANDBETWEEN(1,(MAX(Subject!$B:$B))),Subject!$B:$B,0),3))))</f>
        <v/>
      </c>
      <c r="F568" s="2" t="str">
        <f t="array" ref="F568">IF(NOW()&gt;AQ568,"",IF(AND((WEEKDAY($A568)+$B$2)&gt;1,((WEEKDAY($A568)+$T$2)&lt;7),(WEEKDAY($A568)&lt;&gt;1)),"work",(INDEX(Subject!$A:$I,MATCH(RANDBETWEEN(1,(MAX(Subject!$B:$B))),Subject!$B:$B,0),3))))</f>
        <v/>
      </c>
      <c r="G568" s="2" t="str">
        <f t="array" ref="G568">IF(NOW()&gt;AR568,"",IF(AND((WEEKDAY($A568)+$B$2)&gt;1,((WEEKDAY($A568)+$T$2)&lt;7),(WEEKDAY($A568)&lt;&gt;1)),"work",(INDEX(Subject!$A:$I,MATCH(RANDBETWEEN(1,(MAX(Subject!$B:$B))),Subject!$B:$B,0),3))))</f>
        <v/>
      </c>
      <c r="H568" s="2" t="str">
        <f t="array" ref="H568">IF(NOW()&gt;AS568,"",IF(AND((WEEKDAY($A568)+$B$2)&gt;1,((WEEKDAY($A568)+$T$2)&lt;7),(WEEKDAY($A568)&lt;&gt;1)),"work",(INDEX(Subject!$A:$I,MATCH(RANDBETWEEN(1,(MAX(Subject!$B:$B))),Subject!$B:$B,0),3))))</f>
        <v/>
      </c>
      <c r="I568" s="2" t="str">
        <f t="array" ref="I568">IF(NOW()&gt;AT568,"",IF(AND((WEEKDAY($A568)+$B$2)&gt;1,((WEEKDAY($A568)+$T$2)&lt;7),(WEEKDAY($A568)&lt;&gt;1)),"work",(INDEX(Subject!$A:$I,MATCH(RANDBETWEEN(1,(MAX(Subject!$B:$B))),Subject!$B:$B,0),3))))</f>
        <v/>
      </c>
      <c r="J568" s="2" t="str">
        <f t="array" ref="J568">IF(NOW()&gt;AU568,"",IF(AND((WEEKDAY($A568)+$B$2)&gt;1,((WEEKDAY($A568)+$T$2)&lt;7),(WEEKDAY($A568)&lt;&gt;1)),"work",(INDEX(Subject!$A:$I,MATCH(RANDBETWEEN(1,(MAX(Subject!$B:$B))),Subject!$B:$B,0),3))))</f>
        <v/>
      </c>
      <c r="K568" s="2" t="str">
        <f t="array" ref="K568">IF(NOW()&gt;AV568,"",IF(AND((WEEKDAY($A568)+$B$2)&gt;1,((WEEKDAY($A568)+$T$2)&lt;7),(WEEKDAY($A568)&lt;&gt;1)),"work",(INDEX(Subject!$A:$I,MATCH(RANDBETWEEN(1,(MAX(Subject!$B:$B))),Subject!$B:$B,0),3))))</f>
        <v/>
      </c>
      <c r="L568" s="2" t="str">
        <f t="array" ref="L568">IF(NOW()&gt;AW568,"",IF(AND((WEEKDAY($A568)+$B$2)&gt;1,((WEEKDAY($A568)+$T$2)&lt;7),(WEEKDAY($A568)&lt;&gt;1)),"work",(INDEX(Subject!$A:$I,MATCH(RANDBETWEEN(1,(MAX(Subject!$B:$B))),Subject!$B:$B,0),3))))</f>
        <v/>
      </c>
      <c r="M568" s="2" t="str">
        <f t="array" ref="M568">IF(NOW()&gt;AX568,"",IF(AND((WEEKDAY($A568)+$B$2)&gt;1,((WEEKDAY($A568)+$T$2)&lt;7),(WEEKDAY($A568)&lt;&gt;1)),"work",(INDEX(Subject!$A:$I,MATCH(RANDBETWEEN(1,(MAX(Subject!$B:$B))),Subject!$B:$B,0),3))))</f>
        <v/>
      </c>
      <c r="N568" s="2" t="str">
        <f t="array" ref="N568">IF(NOW()&gt;AY568,"",IF(AND((WEEKDAY($A568)+$B$2)&gt;1,((WEEKDAY($A568)+$T$2)&lt;7),(WEEKDAY($A568)&lt;&gt;1)),"work",(INDEX(Subject!$A:$I,MATCH(RANDBETWEEN(1,(MAX(Subject!$B:$B))),Subject!$B:$B,0),3))))</f>
        <v/>
      </c>
      <c r="O568" s="2" t="str">
        <f t="array" ref="O568">IF(NOW()&gt;AZ568,"",IF(AND((WEEKDAY($A568)+$B$2)&gt;1,((WEEKDAY($A568)+$T$2)&lt;7),(WEEKDAY($A568)&lt;&gt;1)),"work",(INDEX(Subject!$A:$I,MATCH(RANDBETWEEN(1,(MAX(Subject!$B:$B))),Subject!$B:$B,0),3))))</f>
        <v/>
      </c>
      <c r="P568" s="2" t="str">
        <f t="array" ref="P568">IF(NOW()&gt;BA568,"",IF(AND((WEEKDAY($A568)+$B$2)&gt;1,((WEEKDAY($A568)+$T$2)&lt;7),(WEEKDAY($A568)&lt;&gt;1)),"work",(INDEX(Subject!$A:$I,MATCH(RANDBETWEEN(1,(MAX(Subject!$B:$B))),Subject!$B:$B,0),3))))</f>
        <v/>
      </c>
      <c r="Q568" s="2" t="str">
        <f t="array" ref="Q568">IF(NOW()&gt;BB568,"",IF(AND((WEEKDAY($A568)+$B$2)&gt;1,((WEEKDAY($A568)+$T$2)&lt;7),(WEEKDAY($A568)&lt;&gt;1)),"work",(INDEX(Subject!$A:$I,MATCH(RANDBETWEEN(1,(MAX(Subject!$B:$B))),Subject!$B:$B,0),3))))</f>
        <v/>
      </c>
      <c r="R568" s="2" t="str">
        <f t="array" ref="R568">IF(NOW()&gt;BC568,"",IF(AND((WEEKDAY($A568)+$B$2)&gt;1,((WEEKDAY($A568)+$T$2)&lt;7),(WEEKDAY($A568)&lt;&gt;1)),"work",(INDEX(Subject!$A:$I,MATCH(RANDBETWEEN(1,(MAX(Subject!$B:$B))),Subject!$B:$B,0),3))))</f>
        <v/>
      </c>
      <c r="S568" s="2" t="str">
        <f t="array" ref="S568">IF(NOW()&gt;BD568,"",IF(AND((WEEKDAY($A568)+$B$2)&gt;1,((WEEKDAY($A568)+$T$2)&lt;7),(WEEKDAY($A568)&lt;&gt;1)),"work",(INDEX(Subject!$A:$I,MATCH(RANDBETWEEN(1,(MAX(Subject!$B:$B))),Subject!$B:$B,0),3))))</f>
        <v/>
      </c>
      <c r="T568" s="2" t="str">
        <f t="array" ref="T568">IF(NOW()&gt;BE568,"",IF(AND((WEEKDAY($A568)+$B$2)&gt;1,((WEEKDAY($A568)+$T$2)&lt;7),(WEEKDAY($A568)&lt;&gt;1)),"work",(INDEX(Subject!$A:$I,MATCH(RANDBETWEEN(1,(MAX(Subject!$B:$B))),Subject!$B:$B,0),3))))</f>
        <v/>
      </c>
      <c r="U568" s="8" t="str">
        <f t="array" ref="U568">INDEX(Subject!$A:$I,MATCH(RANDBETWEEN(1,16),Subject!$B:$B,0),3)</f>
        <v>#N/A</v>
      </c>
      <c r="V568" s="8" t="str">
        <f t="array" ref="V568">INDEX(Subject!$A:$I,MATCH(RANDBETWEEN(1,16),Subject!$B:$B,0),3)</f>
        <v>#N/A</v>
      </c>
      <c r="W568" s="8" t="str">
        <f t="array" ref="W568">INDEX(Subject!$A:$I,MATCH(RANDBETWEEN(1,16),Subject!$B:$B,0),3)</f>
        <v>#N/A</v>
      </c>
      <c r="X568" s="8" t="str">
        <f t="array" ref="X568">INDEX(Subject!$A:$I,MATCH(RANDBETWEEN(1,16),Subject!$B:$B,0),3)</f>
        <v>#N/A</v>
      </c>
      <c r="Y568" s="8" t="str">
        <f t="array" ref="Y568">INDEX(Subject!$A:$I,MATCH(RANDBETWEEN(1,16),Subject!$B:$B,0),3)</f>
        <v>#N/A</v>
      </c>
      <c r="Z568" s="8" t="str">
        <f t="array" ref="Z568">INDEX(Subject!$A:$I,MATCH(RANDBETWEEN(1,16),Subject!$B:$B,0),3)</f>
        <v>#N/A</v>
      </c>
      <c r="AA568" s="8" t="str">
        <f t="array" ref="AA568">INDEX(Subject!$A:$I,MATCH(RANDBETWEEN(1,16),Subject!$B:$B,0),3)</f>
        <v>#N/A</v>
      </c>
      <c r="AB568" s="8" t="str">
        <f t="array" ref="AB568">INDEX(Subject!$A:$I,MATCH(RANDBETWEEN(1,16),Subject!$B:$B,0),3)</f>
        <v>#N/A</v>
      </c>
      <c r="AC568" s="8" t="str">
        <f t="array" ref="AC568">INDEX(Subject!$A:$I,MATCH(RANDBETWEEN(1,16),Subject!$B:$B,0),3)</f>
        <v/>
      </c>
      <c r="AD568" s="8" t="str">
        <f t="array" ref="AD568">INDEX(Subject!$A:$I,MATCH(RANDBETWEEN(1,16),Subject!$B:$B,0),3)</f>
        <v>#N/A</v>
      </c>
      <c r="AE568" s="8" t="str">
        <f t="array" ref="AE568">INDEX(Subject!$A:$I,MATCH(RANDBETWEEN(1,16),Subject!$B:$B,0),3)</f>
        <v>#N/A</v>
      </c>
      <c r="AF568" s="8" t="str">
        <f t="array" ref="AF568">INDEX(Subject!$A:$I,MATCH(RANDBETWEEN(1,16),Subject!$B:$B,0),3)</f>
        <v/>
      </c>
      <c r="AG568" s="8" t="str">
        <f t="array" ref="AG568">INDEX(Subject!$A:$I,MATCH(RANDBETWEEN(1,16),Subject!$B:$B,0),3)</f>
        <v>#N/A</v>
      </c>
      <c r="AH568" s="8" t="str">
        <f t="array" ref="AH568">INDEX(Subject!$A:$I,MATCH(RANDBETWEEN(1,16),Subject!$B:$B,0),3)</f>
        <v>#N/A</v>
      </c>
      <c r="AI568" s="8" t="str">
        <f t="array" ref="AI568">INDEX(Subject!$A:$I,MATCH(RANDBETWEEN(1,16),Subject!$B:$B,0),3)</f>
        <v>#N/A</v>
      </c>
      <c r="AJ568" s="8" t="str">
        <f t="array" ref="AJ568">INDEX(Subject!$A:$I,MATCH(RANDBETWEEN(1,16),Subject!$B:$B,0),3)</f>
        <v>#N/A</v>
      </c>
      <c r="AK568" s="8" t="str">
        <f t="array" ref="AK568">INDEX(Subject!$A:$I,MATCH(RANDBETWEEN(1,16),Subject!$B:$B,0),3)</f>
        <v>#N/A</v>
      </c>
      <c r="AL568" s="8" t="str">
        <f t="array" ref="AL568">INDEX(Subject!$A:$I,MATCH(RANDBETWEEN(1,16),Subject!$B:$B,0),3)</f>
        <v>#N/A</v>
      </c>
      <c r="AM568" s="18">
        <f t="shared" si="4"/>
        <v>46068.33333</v>
      </c>
      <c r="AN568" s="19">
        <f t="shared" ref="AN568:BZ568" si="568">$A568+C$1</f>
        <v>46068.35417</v>
      </c>
      <c r="AO568" s="19">
        <f t="shared" si="568"/>
        <v>46068.375</v>
      </c>
      <c r="AP568" s="19">
        <f t="shared" si="568"/>
        <v>46068.39583</v>
      </c>
      <c r="AQ568" s="19">
        <f t="shared" si="568"/>
        <v>46068.41667</v>
      </c>
      <c r="AR568" s="19">
        <f t="shared" si="568"/>
        <v>46068.4375</v>
      </c>
      <c r="AS568" s="19">
        <f t="shared" si="568"/>
        <v>46068.45833</v>
      </c>
      <c r="AT568" s="19">
        <f t="shared" si="568"/>
        <v>46068.47917</v>
      </c>
      <c r="AU568" s="19">
        <f t="shared" si="568"/>
        <v>46068.5</v>
      </c>
      <c r="AV568" s="19">
        <f t="shared" si="568"/>
        <v>46068.52083</v>
      </c>
      <c r="AW568" s="19">
        <f t="shared" si="568"/>
        <v>46068.54167</v>
      </c>
      <c r="AX568" s="19">
        <f t="shared" si="568"/>
        <v>46068.5625</v>
      </c>
      <c r="AY568" s="19">
        <f t="shared" si="568"/>
        <v>46068.58333</v>
      </c>
      <c r="AZ568" s="19">
        <f t="shared" si="568"/>
        <v>46068.60417</v>
      </c>
      <c r="BA568" s="19">
        <f t="shared" si="568"/>
        <v>46068.625</v>
      </c>
      <c r="BB568" s="19">
        <f t="shared" si="568"/>
        <v>46068.64583</v>
      </c>
      <c r="BC568" s="19">
        <f t="shared" si="568"/>
        <v>46068.66667</v>
      </c>
      <c r="BD568" s="19">
        <f t="shared" si="568"/>
        <v>46068.6875</v>
      </c>
      <c r="BE568" s="19">
        <f t="shared" si="568"/>
        <v>46068.70833</v>
      </c>
      <c r="BF568" s="19">
        <f t="shared" si="568"/>
        <v>46068.72917</v>
      </c>
      <c r="BG568" s="19">
        <f t="shared" si="568"/>
        <v>46068.75</v>
      </c>
      <c r="BH568" s="19">
        <f t="shared" si="568"/>
        <v>46068.77083</v>
      </c>
      <c r="BI568" s="19">
        <f t="shared" si="568"/>
        <v>46068.79167</v>
      </c>
      <c r="BJ568" s="19">
        <f t="shared" si="568"/>
        <v>46068.8125</v>
      </c>
      <c r="BK568" s="19">
        <f t="shared" si="568"/>
        <v>46068.83333</v>
      </c>
      <c r="BL568" s="19">
        <f t="shared" si="568"/>
        <v>46068.85417</v>
      </c>
      <c r="BM568" s="19">
        <f t="shared" si="568"/>
        <v>46068.875</v>
      </c>
      <c r="BN568" s="19">
        <f t="shared" si="568"/>
        <v>46068.89583</v>
      </c>
      <c r="BO568" s="19">
        <f t="shared" si="568"/>
        <v>46068.91667</v>
      </c>
      <c r="BP568" s="19">
        <f t="shared" si="568"/>
        <v>46068.9375</v>
      </c>
      <c r="BQ568" s="19">
        <f t="shared" si="568"/>
        <v>46068.95833</v>
      </c>
      <c r="BR568" s="19">
        <f t="shared" si="568"/>
        <v>46068.97917</v>
      </c>
      <c r="BS568" s="19">
        <f t="shared" si="568"/>
        <v>46069</v>
      </c>
      <c r="BT568" s="19">
        <f t="shared" si="568"/>
        <v>46069.02083</v>
      </c>
      <c r="BU568" s="19">
        <f t="shared" si="568"/>
        <v>46069.04167</v>
      </c>
      <c r="BV568" s="19">
        <f t="shared" si="568"/>
        <v>46069.0625</v>
      </c>
      <c r="BW568" s="19">
        <f t="shared" si="568"/>
        <v>46069.08333</v>
      </c>
      <c r="BX568" s="19">
        <f t="shared" si="568"/>
        <v>46068</v>
      </c>
      <c r="BY568" s="19">
        <f t="shared" si="568"/>
        <v>46068</v>
      </c>
      <c r="BZ568" s="19">
        <f t="shared" si="568"/>
        <v>46068</v>
      </c>
    </row>
    <row r="569" ht="14.25" customHeight="1">
      <c r="A569" s="17">
        <v>46069.0</v>
      </c>
      <c r="B569" s="2" t="str">
        <f t="array" ref="B569">IF(NOW()&gt;AM569,"",IF(AND((WEEKDAY($A569)+$B$2)&gt;1,((WEEKDAY($A569)+$T$2)&lt;7),(WEEKDAY($A569)&lt;&gt;1)),"work",(INDEX(Subject!$A:$I,MATCH(RANDBETWEEN(1,(MAX(Subject!$B:$B))),Subject!$B:$B,0),3))))</f>
        <v/>
      </c>
      <c r="C569" s="2" t="str">
        <f t="array" ref="C569">IF(NOW()&gt;AN569,"",IF(AND((WEEKDAY($A569)+$B$2)&gt;1,((WEEKDAY($A569)+$T$2)&lt;7),(WEEKDAY($A569)&lt;&gt;1)),"work",(INDEX(Subject!$A:$I,MATCH(RANDBETWEEN(1,(MAX(Subject!$B:$B))),Subject!$B:$B,0),3))))</f>
        <v/>
      </c>
      <c r="D569" s="2" t="str">
        <f t="array" ref="D569">IF(NOW()&gt;AO569,"",IF(AND((WEEKDAY($A569)+$B$2)&gt;1,((WEEKDAY($A569)+$T$2)&lt;7),(WEEKDAY($A569)&lt;&gt;1)),"work",(INDEX(Subject!$A:$I,MATCH(RANDBETWEEN(1,(MAX(Subject!$B:$B))),Subject!$B:$B,0),3))))</f>
        <v/>
      </c>
      <c r="E569" s="2" t="str">
        <f t="array" ref="E569">IF(NOW()&gt;AP569,"",IF(AND((WEEKDAY($A569)+$B$2)&gt;1,((WEEKDAY($A569)+$T$2)&lt;7),(WEEKDAY($A569)&lt;&gt;1)),"work",(INDEX(Subject!$A:$I,MATCH(RANDBETWEEN(1,(MAX(Subject!$B:$B))),Subject!$B:$B,0),3))))</f>
        <v/>
      </c>
      <c r="F569" s="2" t="str">
        <f t="array" ref="F569">IF(NOW()&gt;AQ569,"",IF(AND((WEEKDAY($A569)+$B$2)&gt;1,((WEEKDAY($A569)+$T$2)&lt;7),(WEEKDAY($A569)&lt;&gt;1)),"work",(INDEX(Subject!$A:$I,MATCH(RANDBETWEEN(1,(MAX(Subject!$B:$B))),Subject!$B:$B,0),3))))</f>
        <v/>
      </c>
      <c r="G569" s="2" t="str">
        <f t="array" ref="G569">IF(NOW()&gt;AR569,"",IF(AND((WEEKDAY($A569)+$B$2)&gt;1,((WEEKDAY($A569)+$T$2)&lt;7),(WEEKDAY($A569)&lt;&gt;1)),"work",(INDEX(Subject!$A:$I,MATCH(RANDBETWEEN(1,(MAX(Subject!$B:$B))),Subject!$B:$B,0),3))))</f>
        <v/>
      </c>
      <c r="H569" s="2" t="str">
        <f t="array" ref="H569">IF(NOW()&gt;AS569,"",IF(AND((WEEKDAY($A569)+$B$2)&gt;1,((WEEKDAY($A569)+$T$2)&lt;7),(WEEKDAY($A569)&lt;&gt;1)),"work",(INDEX(Subject!$A:$I,MATCH(RANDBETWEEN(1,(MAX(Subject!$B:$B))),Subject!$B:$B,0),3))))</f>
        <v/>
      </c>
      <c r="I569" s="2" t="str">
        <f t="array" ref="I569">IF(NOW()&gt;AT569,"",IF(AND((WEEKDAY($A569)+$B$2)&gt;1,((WEEKDAY($A569)+$T$2)&lt;7),(WEEKDAY($A569)&lt;&gt;1)),"work",(INDEX(Subject!$A:$I,MATCH(RANDBETWEEN(1,(MAX(Subject!$B:$B))),Subject!$B:$B,0),3))))</f>
        <v/>
      </c>
      <c r="J569" s="2" t="str">
        <f t="array" ref="J569">IF(NOW()&gt;AU569,"",IF(AND((WEEKDAY($A569)+$B$2)&gt;1,((WEEKDAY($A569)+$T$2)&lt;7),(WEEKDAY($A569)&lt;&gt;1)),"work",(INDEX(Subject!$A:$I,MATCH(RANDBETWEEN(1,(MAX(Subject!$B:$B))),Subject!$B:$B,0),3))))</f>
        <v/>
      </c>
      <c r="K569" s="2" t="str">
        <f t="array" ref="K569">IF(NOW()&gt;AV569,"",IF(AND((WEEKDAY($A569)+$B$2)&gt;1,((WEEKDAY($A569)+$T$2)&lt;7),(WEEKDAY($A569)&lt;&gt;1)),"work",(INDEX(Subject!$A:$I,MATCH(RANDBETWEEN(1,(MAX(Subject!$B:$B))),Subject!$B:$B,0),3))))</f>
        <v/>
      </c>
      <c r="L569" s="2" t="str">
        <f t="array" ref="L569">IF(NOW()&gt;AW569,"",IF(AND((WEEKDAY($A569)+$B$2)&gt;1,((WEEKDAY($A569)+$T$2)&lt;7),(WEEKDAY($A569)&lt;&gt;1)),"work",(INDEX(Subject!$A:$I,MATCH(RANDBETWEEN(1,(MAX(Subject!$B:$B))),Subject!$B:$B,0),3))))</f>
        <v/>
      </c>
      <c r="M569" s="2" t="str">
        <f t="array" ref="M569">IF(NOW()&gt;AX569,"",IF(AND((WEEKDAY($A569)+$B$2)&gt;1,((WEEKDAY($A569)+$T$2)&lt;7),(WEEKDAY($A569)&lt;&gt;1)),"work",(INDEX(Subject!$A:$I,MATCH(RANDBETWEEN(1,(MAX(Subject!$B:$B))),Subject!$B:$B,0),3))))</f>
        <v/>
      </c>
      <c r="N569" s="2" t="str">
        <f t="array" ref="N569">IF(NOW()&gt;AY569,"",IF(AND((WEEKDAY($A569)+$B$2)&gt;1,((WEEKDAY($A569)+$T$2)&lt;7),(WEEKDAY($A569)&lt;&gt;1)),"work",(INDEX(Subject!$A:$I,MATCH(RANDBETWEEN(1,(MAX(Subject!$B:$B))),Subject!$B:$B,0),3))))</f>
        <v/>
      </c>
      <c r="O569" s="2" t="str">
        <f t="array" ref="O569">IF(NOW()&gt;AZ569,"",IF(AND((WEEKDAY($A569)+$B$2)&gt;1,((WEEKDAY($A569)+$T$2)&lt;7),(WEEKDAY($A569)&lt;&gt;1)),"work",(INDEX(Subject!$A:$I,MATCH(RANDBETWEEN(1,(MAX(Subject!$B:$B))),Subject!$B:$B,0),3))))</f>
        <v/>
      </c>
      <c r="P569" s="2" t="str">
        <f t="array" ref="P569">IF(NOW()&gt;BA569,"",IF(AND((WEEKDAY($A569)+$B$2)&gt;1,((WEEKDAY($A569)+$T$2)&lt;7),(WEEKDAY($A569)&lt;&gt;1)),"work",(INDEX(Subject!$A:$I,MATCH(RANDBETWEEN(1,(MAX(Subject!$B:$B))),Subject!$B:$B,0),3))))</f>
        <v/>
      </c>
      <c r="Q569" s="2" t="str">
        <f t="array" ref="Q569">IF(NOW()&gt;BB569,"",IF(AND((WEEKDAY($A569)+$B$2)&gt;1,((WEEKDAY($A569)+$T$2)&lt;7),(WEEKDAY($A569)&lt;&gt;1)),"work",(INDEX(Subject!$A:$I,MATCH(RANDBETWEEN(1,(MAX(Subject!$B:$B))),Subject!$B:$B,0),3))))</f>
        <v/>
      </c>
      <c r="R569" s="2" t="str">
        <f t="array" ref="R569">IF(NOW()&gt;BC569,"",IF(AND((WEEKDAY($A569)+$B$2)&gt;1,((WEEKDAY($A569)+$T$2)&lt;7),(WEEKDAY($A569)&lt;&gt;1)),"work",(INDEX(Subject!$A:$I,MATCH(RANDBETWEEN(1,(MAX(Subject!$B:$B))),Subject!$B:$B,0),3))))</f>
        <v/>
      </c>
      <c r="S569" s="2" t="str">
        <f t="array" ref="S569">IF(NOW()&gt;BD569,"",IF(AND((WEEKDAY($A569)+$B$2)&gt;1,((WEEKDAY($A569)+$T$2)&lt;7),(WEEKDAY($A569)&lt;&gt;1)),"work",(INDEX(Subject!$A:$I,MATCH(RANDBETWEEN(1,(MAX(Subject!$B:$B))),Subject!$B:$B,0),3))))</f>
        <v/>
      </c>
      <c r="T569" s="2" t="str">
        <f t="array" ref="T569">IF(NOW()&gt;BE569,"",IF(AND((WEEKDAY($A569)+$B$2)&gt;1,((WEEKDAY($A569)+$T$2)&lt;7),(WEEKDAY($A569)&lt;&gt;1)),"work",(INDEX(Subject!$A:$I,MATCH(RANDBETWEEN(1,(MAX(Subject!$B:$B))),Subject!$B:$B,0),3))))</f>
        <v/>
      </c>
      <c r="U569" s="8" t="str">
        <f t="array" ref="U569">INDEX(Subject!$A:$I,MATCH(RANDBETWEEN(1,16),Subject!$B:$B,0),3)</f>
        <v>#N/A</v>
      </c>
      <c r="V569" s="8" t="str">
        <f t="array" ref="V569">INDEX(Subject!$A:$I,MATCH(RANDBETWEEN(1,16),Subject!$B:$B,0),3)</f>
        <v>#N/A</v>
      </c>
      <c r="W569" s="8" t="str">
        <f t="array" ref="W569">INDEX(Subject!$A:$I,MATCH(RANDBETWEEN(1,16),Subject!$B:$B,0),3)</f>
        <v>#N/A</v>
      </c>
      <c r="X569" s="8" t="str">
        <f t="array" ref="X569">INDEX(Subject!$A:$I,MATCH(RANDBETWEEN(1,16),Subject!$B:$B,0),3)</f>
        <v>#N/A</v>
      </c>
      <c r="Y569" s="8" t="str">
        <f t="array" ref="Y569">INDEX(Subject!$A:$I,MATCH(RANDBETWEEN(1,16),Subject!$B:$B,0),3)</f>
        <v>#N/A</v>
      </c>
      <c r="Z569" s="8" t="str">
        <f t="array" ref="Z569">INDEX(Subject!$A:$I,MATCH(RANDBETWEEN(1,16),Subject!$B:$B,0),3)</f>
        <v>#N/A</v>
      </c>
      <c r="AA569" s="8" t="str">
        <f t="array" ref="AA569">INDEX(Subject!$A:$I,MATCH(RANDBETWEEN(1,16),Subject!$B:$B,0),3)</f>
        <v>#N/A</v>
      </c>
      <c r="AB569" s="8" t="str">
        <f t="array" ref="AB569">INDEX(Subject!$A:$I,MATCH(RANDBETWEEN(1,16),Subject!$B:$B,0),3)</f>
        <v>#N/A</v>
      </c>
      <c r="AC569" s="8" t="str">
        <f t="array" ref="AC569">INDEX(Subject!$A:$I,MATCH(RANDBETWEEN(1,16),Subject!$B:$B,0),3)</f>
        <v>#N/A</v>
      </c>
      <c r="AD569" s="8" t="str">
        <f t="array" ref="AD569">INDEX(Subject!$A:$I,MATCH(RANDBETWEEN(1,16),Subject!$B:$B,0),3)</f>
        <v>#N/A</v>
      </c>
      <c r="AE569" s="8" t="str">
        <f t="array" ref="AE569">INDEX(Subject!$A:$I,MATCH(RANDBETWEEN(1,16),Subject!$B:$B,0),3)</f>
        <v>#N/A</v>
      </c>
      <c r="AF569" s="8" t="str">
        <f t="array" ref="AF569">INDEX(Subject!$A:$I,MATCH(RANDBETWEEN(1,16),Subject!$B:$B,0),3)</f>
        <v>#N/A</v>
      </c>
      <c r="AG569" s="8" t="str">
        <f t="array" ref="AG569">INDEX(Subject!$A:$I,MATCH(RANDBETWEEN(1,16),Subject!$B:$B,0),3)</f>
        <v>#N/A</v>
      </c>
      <c r="AH569" s="8" t="str">
        <f t="array" ref="AH569">INDEX(Subject!$A:$I,MATCH(RANDBETWEEN(1,16),Subject!$B:$B,0),3)</f>
        <v>#N/A</v>
      </c>
      <c r="AI569" s="8" t="str">
        <f t="array" ref="AI569">INDEX(Subject!$A:$I,MATCH(RANDBETWEEN(1,16),Subject!$B:$B,0),3)</f>
        <v>#N/A</v>
      </c>
      <c r="AJ569" s="8" t="str">
        <f t="array" ref="AJ569">INDEX(Subject!$A:$I,MATCH(RANDBETWEEN(1,16),Subject!$B:$B,0),3)</f>
        <v>#N/A</v>
      </c>
      <c r="AK569" s="8" t="str">
        <f t="array" ref="AK569">INDEX(Subject!$A:$I,MATCH(RANDBETWEEN(1,16),Subject!$B:$B,0),3)</f>
        <v>#N/A</v>
      </c>
      <c r="AL569" s="8" t="str">
        <f t="array" ref="AL569">INDEX(Subject!$A:$I,MATCH(RANDBETWEEN(1,16),Subject!$B:$B,0),3)</f>
        <v>#N/A</v>
      </c>
      <c r="AM569" s="18">
        <f t="shared" si="4"/>
        <v>46069.33333</v>
      </c>
      <c r="AN569" s="19">
        <f t="shared" ref="AN569:BZ569" si="569">$A569+C$1</f>
        <v>46069.35417</v>
      </c>
      <c r="AO569" s="19">
        <f t="shared" si="569"/>
        <v>46069.375</v>
      </c>
      <c r="AP569" s="19">
        <f t="shared" si="569"/>
        <v>46069.39583</v>
      </c>
      <c r="AQ569" s="19">
        <f t="shared" si="569"/>
        <v>46069.41667</v>
      </c>
      <c r="AR569" s="19">
        <f t="shared" si="569"/>
        <v>46069.4375</v>
      </c>
      <c r="AS569" s="19">
        <f t="shared" si="569"/>
        <v>46069.45833</v>
      </c>
      <c r="AT569" s="19">
        <f t="shared" si="569"/>
        <v>46069.47917</v>
      </c>
      <c r="AU569" s="19">
        <f t="shared" si="569"/>
        <v>46069.5</v>
      </c>
      <c r="AV569" s="19">
        <f t="shared" si="569"/>
        <v>46069.52083</v>
      </c>
      <c r="AW569" s="19">
        <f t="shared" si="569"/>
        <v>46069.54167</v>
      </c>
      <c r="AX569" s="19">
        <f t="shared" si="569"/>
        <v>46069.5625</v>
      </c>
      <c r="AY569" s="19">
        <f t="shared" si="569"/>
        <v>46069.58333</v>
      </c>
      <c r="AZ569" s="19">
        <f t="shared" si="569"/>
        <v>46069.60417</v>
      </c>
      <c r="BA569" s="19">
        <f t="shared" si="569"/>
        <v>46069.625</v>
      </c>
      <c r="BB569" s="19">
        <f t="shared" si="569"/>
        <v>46069.64583</v>
      </c>
      <c r="BC569" s="19">
        <f t="shared" si="569"/>
        <v>46069.66667</v>
      </c>
      <c r="BD569" s="19">
        <f t="shared" si="569"/>
        <v>46069.6875</v>
      </c>
      <c r="BE569" s="19">
        <f t="shared" si="569"/>
        <v>46069.70833</v>
      </c>
      <c r="BF569" s="19">
        <f t="shared" si="569"/>
        <v>46069.72917</v>
      </c>
      <c r="BG569" s="19">
        <f t="shared" si="569"/>
        <v>46069.75</v>
      </c>
      <c r="BH569" s="19">
        <f t="shared" si="569"/>
        <v>46069.77083</v>
      </c>
      <c r="BI569" s="19">
        <f t="shared" si="569"/>
        <v>46069.79167</v>
      </c>
      <c r="BJ569" s="19">
        <f t="shared" si="569"/>
        <v>46069.8125</v>
      </c>
      <c r="BK569" s="19">
        <f t="shared" si="569"/>
        <v>46069.83333</v>
      </c>
      <c r="BL569" s="19">
        <f t="shared" si="569"/>
        <v>46069.85417</v>
      </c>
      <c r="BM569" s="19">
        <f t="shared" si="569"/>
        <v>46069.875</v>
      </c>
      <c r="BN569" s="19">
        <f t="shared" si="569"/>
        <v>46069.89583</v>
      </c>
      <c r="BO569" s="19">
        <f t="shared" si="569"/>
        <v>46069.91667</v>
      </c>
      <c r="BP569" s="19">
        <f t="shared" si="569"/>
        <v>46069.9375</v>
      </c>
      <c r="BQ569" s="19">
        <f t="shared" si="569"/>
        <v>46069.95833</v>
      </c>
      <c r="BR569" s="19">
        <f t="shared" si="569"/>
        <v>46069.97917</v>
      </c>
      <c r="BS569" s="19">
        <f t="shared" si="569"/>
        <v>46070</v>
      </c>
      <c r="BT569" s="19">
        <f t="shared" si="569"/>
        <v>46070.02083</v>
      </c>
      <c r="BU569" s="19">
        <f t="shared" si="569"/>
        <v>46070.04167</v>
      </c>
      <c r="BV569" s="19">
        <f t="shared" si="569"/>
        <v>46070.0625</v>
      </c>
      <c r="BW569" s="19">
        <f t="shared" si="569"/>
        <v>46070.08333</v>
      </c>
      <c r="BX569" s="19">
        <f t="shared" si="569"/>
        <v>46069</v>
      </c>
      <c r="BY569" s="19">
        <f t="shared" si="569"/>
        <v>46069</v>
      </c>
      <c r="BZ569" s="19">
        <f t="shared" si="569"/>
        <v>46069</v>
      </c>
    </row>
    <row r="570" ht="14.25" customHeight="1">
      <c r="A570" s="17">
        <v>46070.0</v>
      </c>
      <c r="B570" s="2" t="str">
        <f t="array" ref="B570">IF(NOW()&gt;AM570,"",IF(AND((WEEKDAY($A570)+$B$2)&gt;1,((WEEKDAY($A570)+$T$2)&lt;7),(WEEKDAY($A570)&lt;&gt;1)),"work",(INDEX(Subject!$A:$I,MATCH(RANDBETWEEN(1,(MAX(Subject!$B:$B))),Subject!$B:$B,0),3))))</f>
        <v/>
      </c>
      <c r="C570" s="2" t="str">
        <f t="array" ref="C570">IF(NOW()&gt;AN570,"",IF(AND((WEEKDAY($A570)+$B$2)&gt;1,((WEEKDAY($A570)+$T$2)&lt;7),(WEEKDAY($A570)&lt;&gt;1)),"work",(INDEX(Subject!$A:$I,MATCH(RANDBETWEEN(1,(MAX(Subject!$B:$B))),Subject!$B:$B,0),3))))</f>
        <v/>
      </c>
      <c r="D570" s="2" t="str">
        <f t="array" ref="D570">IF(NOW()&gt;AO570,"",IF(AND((WEEKDAY($A570)+$B$2)&gt;1,((WEEKDAY($A570)+$T$2)&lt;7),(WEEKDAY($A570)&lt;&gt;1)),"work",(INDEX(Subject!$A:$I,MATCH(RANDBETWEEN(1,(MAX(Subject!$B:$B))),Subject!$B:$B,0),3))))</f>
        <v/>
      </c>
      <c r="E570" s="2" t="str">
        <f t="array" ref="E570">IF(NOW()&gt;AP570,"",IF(AND((WEEKDAY($A570)+$B$2)&gt;1,((WEEKDAY($A570)+$T$2)&lt;7),(WEEKDAY($A570)&lt;&gt;1)),"work",(INDEX(Subject!$A:$I,MATCH(RANDBETWEEN(1,(MAX(Subject!$B:$B))),Subject!$B:$B,0),3))))</f>
        <v/>
      </c>
      <c r="F570" s="2" t="str">
        <f t="array" ref="F570">IF(NOW()&gt;AQ570,"",IF(AND((WEEKDAY($A570)+$B$2)&gt;1,((WEEKDAY($A570)+$T$2)&lt;7),(WEEKDAY($A570)&lt;&gt;1)),"work",(INDEX(Subject!$A:$I,MATCH(RANDBETWEEN(1,(MAX(Subject!$B:$B))),Subject!$B:$B,0),3))))</f>
        <v/>
      </c>
      <c r="G570" s="2" t="str">
        <f t="array" ref="G570">IF(NOW()&gt;AR570,"",IF(AND((WEEKDAY($A570)+$B$2)&gt;1,((WEEKDAY($A570)+$T$2)&lt;7),(WEEKDAY($A570)&lt;&gt;1)),"work",(INDEX(Subject!$A:$I,MATCH(RANDBETWEEN(1,(MAX(Subject!$B:$B))),Subject!$B:$B,0),3))))</f>
        <v/>
      </c>
      <c r="H570" s="2" t="str">
        <f t="array" ref="H570">IF(NOW()&gt;AS570,"",IF(AND((WEEKDAY($A570)+$B$2)&gt;1,((WEEKDAY($A570)+$T$2)&lt;7),(WEEKDAY($A570)&lt;&gt;1)),"work",(INDEX(Subject!$A:$I,MATCH(RANDBETWEEN(1,(MAX(Subject!$B:$B))),Subject!$B:$B,0),3))))</f>
        <v/>
      </c>
      <c r="I570" s="2" t="str">
        <f t="array" ref="I570">IF(NOW()&gt;AT570,"",IF(AND((WEEKDAY($A570)+$B$2)&gt;1,((WEEKDAY($A570)+$T$2)&lt;7),(WEEKDAY($A570)&lt;&gt;1)),"work",(INDEX(Subject!$A:$I,MATCH(RANDBETWEEN(1,(MAX(Subject!$B:$B))),Subject!$B:$B,0),3))))</f>
        <v/>
      </c>
      <c r="J570" s="2" t="str">
        <f t="array" ref="J570">IF(NOW()&gt;AU570,"",IF(AND((WEEKDAY($A570)+$B$2)&gt;1,((WEEKDAY($A570)+$T$2)&lt;7),(WEEKDAY($A570)&lt;&gt;1)),"work",(INDEX(Subject!$A:$I,MATCH(RANDBETWEEN(1,(MAX(Subject!$B:$B))),Subject!$B:$B,0),3))))</f>
        <v/>
      </c>
      <c r="K570" s="2" t="str">
        <f t="array" ref="K570">IF(NOW()&gt;AV570,"",IF(AND((WEEKDAY($A570)+$B$2)&gt;1,((WEEKDAY($A570)+$T$2)&lt;7),(WEEKDAY($A570)&lt;&gt;1)),"work",(INDEX(Subject!$A:$I,MATCH(RANDBETWEEN(1,(MAX(Subject!$B:$B))),Subject!$B:$B,0),3))))</f>
        <v/>
      </c>
      <c r="L570" s="2" t="str">
        <f t="array" ref="L570">IF(NOW()&gt;AW570,"",IF(AND((WEEKDAY($A570)+$B$2)&gt;1,((WEEKDAY($A570)+$T$2)&lt;7),(WEEKDAY($A570)&lt;&gt;1)),"work",(INDEX(Subject!$A:$I,MATCH(RANDBETWEEN(1,(MAX(Subject!$B:$B))),Subject!$B:$B,0),3))))</f>
        <v/>
      </c>
      <c r="M570" s="2" t="str">
        <f t="array" ref="M570">IF(NOW()&gt;AX570,"",IF(AND((WEEKDAY($A570)+$B$2)&gt;1,((WEEKDAY($A570)+$T$2)&lt;7),(WEEKDAY($A570)&lt;&gt;1)),"work",(INDEX(Subject!$A:$I,MATCH(RANDBETWEEN(1,(MAX(Subject!$B:$B))),Subject!$B:$B,0),3))))</f>
        <v/>
      </c>
      <c r="N570" s="2" t="str">
        <f t="array" ref="N570">IF(NOW()&gt;AY570,"",IF(AND((WEEKDAY($A570)+$B$2)&gt;1,((WEEKDAY($A570)+$T$2)&lt;7),(WEEKDAY($A570)&lt;&gt;1)),"work",(INDEX(Subject!$A:$I,MATCH(RANDBETWEEN(1,(MAX(Subject!$B:$B))),Subject!$B:$B,0),3))))</f>
        <v/>
      </c>
      <c r="O570" s="2" t="str">
        <f t="array" ref="O570">IF(NOW()&gt;AZ570,"",IF(AND((WEEKDAY($A570)+$B$2)&gt;1,((WEEKDAY($A570)+$T$2)&lt;7),(WEEKDAY($A570)&lt;&gt;1)),"work",(INDEX(Subject!$A:$I,MATCH(RANDBETWEEN(1,(MAX(Subject!$B:$B))),Subject!$B:$B,0),3))))</f>
        <v/>
      </c>
      <c r="P570" s="2" t="str">
        <f t="array" ref="P570">IF(NOW()&gt;BA570,"",IF(AND((WEEKDAY($A570)+$B$2)&gt;1,((WEEKDAY($A570)+$T$2)&lt;7),(WEEKDAY($A570)&lt;&gt;1)),"work",(INDEX(Subject!$A:$I,MATCH(RANDBETWEEN(1,(MAX(Subject!$B:$B))),Subject!$B:$B,0),3))))</f>
        <v/>
      </c>
      <c r="Q570" s="2" t="str">
        <f t="array" ref="Q570">IF(NOW()&gt;BB570,"",IF(AND((WEEKDAY($A570)+$B$2)&gt;1,((WEEKDAY($A570)+$T$2)&lt;7),(WEEKDAY($A570)&lt;&gt;1)),"work",(INDEX(Subject!$A:$I,MATCH(RANDBETWEEN(1,(MAX(Subject!$B:$B))),Subject!$B:$B,0),3))))</f>
        <v/>
      </c>
      <c r="R570" s="2" t="str">
        <f t="array" ref="R570">IF(NOW()&gt;BC570,"",IF(AND((WEEKDAY($A570)+$B$2)&gt;1,((WEEKDAY($A570)+$T$2)&lt;7),(WEEKDAY($A570)&lt;&gt;1)),"work",(INDEX(Subject!$A:$I,MATCH(RANDBETWEEN(1,(MAX(Subject!$B:$B))),Subject!$B:$B,0),3))))</f>
        <v/>
      </c>
      <c r="S570" s="2" t="str">
        <f t="array" ref="S570">IF(NOW()&gt;BD570,"",IF(AND((WEEKDAY($A570)+$B$2)&gt;1,((WEEKDAY($A570)+$T$2)&lt;7),(WEEKDAY($A570)&lt;&gt;1)),"work",(INDEX(Subject!$A:$I,MATCH(RANDBETWEEN(1,(MAX(Subject!$B:$B))),Subject!$B:$B,0),3))))</f>
        <v/>
      </c>
      <c r="T570" s="2" t="str">
        <f t="array" ref="T570">IF(NOW()&gt;BE570,"",IF(AND((WEEKDAY($A570)+$B$2)&gt;1,((WEEKDAY($A570)+$T$2)&lt;7),(WEEKDAY($A570)&lt;&gt;1)),"work",(INDEX(Subject!$A:$I,MATCH(RANDBETWEEN(1,(MAX(Subject!$B:$B))),Subject!$B:$B,0),3))))</f>
        <v/>
      </c>
      <c r="U570" s="8" t="str">
        <f t="array" ref="U570">INDEX(Subject!$A:$I,MATCH(RANDBETWEEN(1,16),Subject!$B:$B,0),3)</f>
        <v>#N/A</v>
      </c>
      <c r="V570" s="8" t="str">
        <f t="array" ref="V570">INDEX(Subject!$A:$I,MATCH(RANDBETWEEN(1,16),Subject!$B:$B,0),3)</f>
        <v>#N/A</v>
      </c>
      <c r="W570" s="8" t="str">
        <f t="array" ref="W570">INDEX(Subject!$A:$I,MATCH(RANDBETWEEN(1,16),Subject!$B:$B,0),3)</f>
        <v>#N/A</v>
      </c>
      <c r="X570" s="8" t="str">
        <f t="array" ref="X570">INDEX(Subject!$A:$I,MATCH(RANDBETWEEN(1,16),Subject!$B:$B,0),3)</f>
        <v>#N/A</v>
      </c>
      <c r="Y570" s="8" t="str">
        <f t="array" ref="Y570">INDEX(Subject!$A:$I,MATCH(RANDBETWEEN(1,16),Subject!$B:$B,0),3)</f>
        <v>#N/A</v>
      </c>
      <c r="Z570" s="8" t="str">
        <f t="array" ref="Z570">INDEX(Subject!$A:$I,MATCH(RANDBETWEEN(1,16),Subject!$B:$B,0),3)</f>
        <v>#N/A</v>
      </c>
      <c r="AA570" s="8" t="str">
        <f t="array" ref="AA570">INDEX(Subject!$A:$I,MATCH(RANDBETWEEN(1,16),Subject!$B:$B,0),3)</f>
        <v>#N/A</v>
      </c>
      <c r="AB570" s="8" t="str">
        <f t="array" ref="AB570">INDEX(Subject!$A:$I,MATCH(RANDBETWEEN(1,16),Subject!$B:$B,0),3)</f>
        <v/>
      </c>
      <c r="AC570" s="8" t="str">
        <f t="array" ref="AC570">INDEX(Subject!$A:$I,MATCH(RANDBETWEEN(1,16),Subject!$B:$B,0),3)</f>
        <v/>
      </c>
      <c r="AD570" s="8" t="str">
        <f t="array" ref="AD570">INDEX(Subject!$A:$I,MATCH(RANDBETWEEN(1,16),Subject!$B:$B,0),3)</f>
        <v>#N/A</v>
      </c>
      <c r="AE570" s="8" t="str">
        <f t="array" ref="AE570">INDEX(Subject!$A:$I,MATCH(RANDBETWEEN(1,16),Subject!$B:$B,0),3)</f>
        <v>#N/A</v>
      </c>
      <c r="AF570" s="8" t="str">
        <f t="array" ref="AF570">INDEX(Subject!$A:$I,MATCH(RANDBETWEEN(1,16),Subject!$B:$B,0),3)</f>
        <v>#N/A</v>
      </c>
      <c r="AG570" s="8" t="str">
        <f t="array" ref="AG570">INDEX(Subject!$A:$I,MATCH(RANDBETWEEN(1,16),Subject!$B:$B,0),3)</f>
        <v>#N/A</v>
      </c>
      <c r="AH570" s="8" t="str">
        <f t="array" ref="AH570">INDEX(Subject!$A:$I,MATCH(RANDBETWEEN(1,16),Subject!$B:$B,0),3)</f>
        <v>#N/A</v>
      </c>
      <c r="AI570" s="8" t="str">
        <f t="array" ref="AI570">INDEX(Subject!$A:$I,MATCH(RANDBETWEEN(1,16),Subject!$B:$B,0),3)</f>
        <v>#N/A</v>
      </c>
      <c r="AJ570" s="8" t="str">
        <f t="array" ref="AJ570">INDEX(Subject!$A:$I,MATCH(RANDBETWEEN(1,16),Subject!$B:$B,0),3)</f>
        <v/>
      </c>
      <c r="AK570" s="8" t="str">
        <f t="array" ref="AK570">INDEX(Subject!$A:$I,MATCH(RANDBETWEEN(1,16),Subject!$B:$B,0),3)</f>
        <v>#N/A</v>
      </c>
      <c r="AL570" s="8" t="str">
        <f t="array" ref="AL570">INDEX(Subject!$A:$I,MATCH(RANDBETWEEN(1,16),Subject!$B:$B,0),3)</f>
        <v/>
      </c>
      <c r="AM570" s="18">
        <f t="shared" si="4"/>
        <v>46070.33333</v>
      </c>
      <c r="AN570" s="19">
        <f t="shared" ref="AN570:BZ570" si="570">$A570+C$1</f>
        <v>46070.35417</v>
      </c>
      <c r="AO570" s="19">
        <f t="shared" si="570"/>
        <v>46070.375</v>
      </c>
      <c r="AP570" s="19">
        <f t="shared" si="570"/>
        <v>46070.39583</v>
      </c>
      <c r="AQ570" s="19">
        <f t="shared" si="570"/>
        <v>46070.41667</v>
      </c>
      <c r="AR570" s="19">
        <f t="shared" si="570"/>
        <v>46070.4375</v>
      </c>
      <c r="AS570" s="19">
        <f t="shared" si="570"/>
        <v>46070.45833</v>
      </c>
      <c r="AT570" s="19">
        <f t="shared" si="570"/>
        <v>46070.47917</v>
      </c>
      <c r="AU570" s="19">
        <f t="shared" si="570"/>
        <v>46070.5</v>
      </c>
      <c r="AV570" s="19">
        <f t="shared" si="570"/>
        <v>46070.52083</v>
      </c>
      <c r="AW570" s="19">
        <f t="shared" si="570"/>
        <v>46070.54167</v>
      </c>
      <c r="AX570" s="19">
        <f t="shared" si="570"/>
        <v>46070.5625</v>
      </c>
      <c r="AY570" s="19">
        <f t="shared" si="570"/>
        <v>46070.58333</v>
      </c>
      <c r="AZ570" s="19">
        <f t="shared" si="570"/>
        <v>46070.60417</v>
      </c>
      <c r="BA570" s="19">
        <f t="shared" si="570"/>
        <v>46070.625</v>
      </c>
      <c r="BB570" s="19">
        <f t="shared" si="570"/>
        <v>46070.64583</v>
      </c>
      <c r="BC570" s="19">
        <f t="shared" si="570"/>
        <v>46070.66667</v>
      </c>
      <c r="BD570" s="19">
        <f t="shared" si="570"/>
        <v>46070.6875</v>
      </c>
      <c r="BE570" s="19">
        <f t="shared" si="570"/>
        <v>46070.70833</v>
      </c>
      <c r="BF570" s="19">
        <f t="shared" si="570"/>
        <v>46070.72917</v>
      </c>
      <c r="BG570" s="19">
        <f t="shared" si="570"/>
        <v>46070.75</v>
      </c>
      <c r="BH570" s="19">
        <f t="shared" si="570"/>
        <v>46070.77083</v>
      </c>
      <c r="BI570" s="19">
        <f t="shared" si="570"/>
        <v>46070.79167</v>
      </c>
      <c r="BJ570" s="19">
        <f t="shared" si="570"/>
        <v>46070.8125</v>
      </c>
      <c r="BK570" s="19">
        <f t="shared" si="570"/>
        <v>46070.83333</v>
      </c>
      <c r="BL570" s="19">
        <f t="shared" si="570"/>
        <v>46070.85417</v>
      </c>
      <c r="BM570" s="19">
        <f t="shared" si="570"/>
        <v>46070.875</v>
      </c>
      <c r="BN570" s="19">
        <f t="shared" si="570"/>
        <v>46070.89583</v>
      </c>
      <c r="BO570" s="19">
        <f t="shared" si="570"/>
        <v>46070.91667</v>
      </c>
      <c r="BP570" s="19">
        <f t="shared" si="570"/>
        <v>46070.9375</v>
      </c>
      <c r="BQ570" s="19">
        <f t="shared" si="570"/>
        <v>46070.95833</v>
      </c>
      <c r="BR570" s="19">
        <f t="shared" si="570"/>
        <v>46070.97917</v>
      </c>
      <c r="BS570" s="19">
        <f t="shared" si="570"/>
        <v>46071</v>
      </c>
      <c r="BT570" s="19">
        <f t="shared" si="570"/>
        <v>46071.02083</v>
      </c>
      <c r="BU570" s="19">
        <f t="shared" si="570"/>
        <v>46071.04167</v>
      </c>
      <c r="BV570" s="19">
        <f t="shared" si="570"/>
        <v>46071.0625</v>
      </c>
      <c r="BW570" s="19">
        <f t="shared" si="570"/>
        <v>46071.08333</v>
      </c>
      <c r="BX570" s="19">
        <f t="shared" si="570"/>
        <v>46070</v>
      </c>
      <c r="BY570" s="19">
        <f t="shared" si="570"/>
        <v>46070</v>
      </c>
      <c r="BZ570" s="19">
        <f t="shared" si="570"/>
        <v>46070</v>
      </c>
    </row>
    <row r="571" ht="14.25" customHeight="1">
      <c r="A571" s="17">
        <v>46071.0</v>
      </c>
      <c r="B571" s="2" t="str">
        <f t="array" ref="B571">IF(NOW()&gt;AM571,"",IF(AND((WEEKDAY($A571)+$B$2)&gt;1,((WEEKDAY($A571)+$T$2)&lt;7),(WEEKDAY($A571)&lt;&gt;1)),"work",(INDEX(Subject!$A:$I,MATCH(RANDBETWEEN(1,(MAX(Subject!$B:$B))),Subject!$B:$B,0),3))))</f>
        <v/>
      </c>
      <c r="C571" s="2" t="str">
        <f t="array" ref="C571">IF(NOW()&gt;AN571,"",IF(AND((WEEKDAY($A571)+$B$2)&gt;1,((WEEKDAY($A571)+$T$2)&lt;7),(WEEKDAY($A571)&lt;&gt;1)),"work",(INDEX(Subject!$A:$I,MATCH(RANDBETWEEN(1,(MAX(Subject!$B:$B))),Subject!$B:$B,0),3))))</f>
        <v/>
      </c>
      <c r="D571" s="2" t="str">
        <f t="array" ref="D571">IF(NOW()&gt;AO571,"",IF(AND((WEEKDAY($A571)+$B$2)&gt;1,((WEEKDAY($A571)+$T$2)&lt;7),(WEEKDAY($A571)&lt;&gt;1)),"work",(INDEX(Subject!$A:$I,MATCH(RANDBETWEEN(1,(MAX(Subject!$B:$B))),Subject!$B:$B,0),3))))</f>
        <v/>
      </c>
      <c r="E571" s="2" t="str">
        <f t="array" ref="E571">IF(NOW()&gt;AP571,"",IF(AND((WEEKDAY($A571)+$B$2)&gt;1,((WEEKDAY($A571)+$T$2)&lt;7),(WEEKDAY($A571)&lt;&gt;1)),"work",(INDEX(Subject!$A:$I,MATCH(RANDBETWEEN(1,(MAX(Subject!$B:$B))),Subject!$B:$B,0),3))))</f>
        <v/>
      </c>
      <c r="F571" s="2" t="str">
        <f t="array" ref="F571">IF(NOW()&gt;AQ571,"",IF(AND((WEEKDAY($A571)+$B$2)&gt;1,((WEEKDAY($A571)+$T$2)&lt;7),(WEEKDAY($A571)&lt;&gt;1)),"work",(INDEX(Subject!$A:$I,MATCH(RANDBETWEEN(1,(MAX(Subject!$B:$B))),Subject!$B:$B,0),3))))</f>
        <v/>
      </c>
      <c r="G571" s="2" t="str">
        <f t="array" ref="G571">IF(NOW()&gt;AR571,"",IF(AND((WEEKDAY($A571)+$B$2)&gt;1,((WEEKDAY($A571)+$T$2)&lt;7),(WEEKDAY($A571)&lt;&gt;1)),"work",(INDEX(Subject!$A:$I,MATCH(RANDBETWEEN(1,(MAX(Subject!$B:$B))),Subject!$B:$B,0),3))))</f>
        <v/>
      </c>
      <c r="H571" s="2" t="str">
        <f t="array" ref="H571">IF(NOW()&gt;AS571,"",IF(AND((WEEKDAY($A571)+$B$2)&gt;1,((WEEKDAY($A571)+$T$2)&lt;7),(WEEKDAY($A571)&lt;&gt;1)),"work",(INDEX(Subject!$A:$I,MATCH(RANDBETWEEN(1,(MAX(Subject!$B:$B))),Subject!$B:$B,0),3))))</f>
        <v/>
      </c>
      <c r="I571" s="2" t="str">
        <f t="array" ref="I571">IF(NOW()&gt;AT571,"",IF(AND((WEEKDAY($A571)+$B$2)&gt;1,((WEEKDAY($A571)+$T$2)&lt;7),(WEEKDAY($A571)&lt;&gt;1)),"work",(INDEX(Subject!$A:$I,MATCH(RANDBETWEEN(1,(MAX(Subject!$B:$B))),Subject!$B:$B,0),3))))</f>
        <v/>
      </c>
      <c r="J571" s="2" t="str">
        <f t="array" ref="J571">IF(NOW()&gt;AU571,"",IF(AND((WEEKDAY($A571)+$B$2)&gt;1,((WEEKDAY($A571)+$T$2)&lt;7),(WEEKDAY($A571)&lt;&gt;1)),"work",(INDEX(Subject!$A:$I,MATCH(RANDBETWEEN(1,(MAX(Subject!$B:$B))),Subject!$B:$B,0),3))))</f>
        <v/>
      </c>
      <c r="K571" s="2" t="str">
        <f t="array" ref="K571">IF(NOW()&gt;AV571,"",IF(AND((WEEKDAY($A571)+$B$2)&gt;1,((WEEKDAY($A571)+$T$2)&lt;7),(WEEKDAY($A571)&lt;&gt;1)),"work",(INDEX(Subject!$A:$I,MATCH(RANDBETWEEN(1,(MAX(Subject!$B:$B))),Subject!$B:$B,0),3))))</f>
        <v/>
      </c>
      <c r="L571" s="2" t="str">
        <f t="array" ref="L571">IF(NOW()&gt;AW571,"",IF(AND((WEEKDAY($A571)+$B$2)&gt;1,((WEEKDAY($A571)+$T$2)&lt;7),(WEEKDAY($A571)&lt;&gt;1)),"work",(INDEX(Subject!$A:$I,MATCH(RANDBETWEEN(1,(MAX(Subject!$B:$B))),Subject!$B:$B,0),3))))</f>
        <v/>
      </c>
      <c r="M571" s="2" t="str">
        <f t="array" ref="M571">IF(NOW()&gt;AX571,"",IF(AND((WEEKDAY($A571)+$B$2)&gt;1,((WEEKDAY($A571)+$T$2)&lt;7),(WEEKDAY($A571)&lt;&gt;1)),"work",(INDEX(Subject!$A:$I,MATCH(RANDBETWEEN(1,(MAX(Subject!$B:$B))),Subject!$B:$B,0),3))))</f>
        <v/>
      </c>
      <c r="N571" s="2" t="str">
        <f t="array" ref="N571">IF(NOW()&gt;AY571,"",IF(AND((WEEKDAY($A571)+$B$2)&gt;1,((WEEKDAY($A571)+$T$2)&lt;7),(WEEKDAY($A571)&lt;&gt;1)),"work",(INDEX(Subject!$A:$I,MATCH(RANDBETWEEN(1,(MAX(Subject!$B:$B))),Subject!$B:$B,0),3))))</f>
        <v/>
      </c>
      <c r="O571" s="2" t="str">
        <f t="array" ref="O571">IF(NOW()&gt;AZ571,"",IF(AND((WEEKDAY($A571)+$B$2)&gt;1,((WEEKDAY($A571)+$T$2)&lt;7),(WEEKDAY($A571)&lt;&gt;1)),"work",(INDEX(Subject!$A:$I,MATCH(RANDBETWEEN(1,(MAX(Subject!$B:$B))),Subject!$B:$B,0),3))))</f>
        <v/>
      </c>
      <c r="P571" s="2" t="str">
        <f t="array" ref="P571">IF(NOW()&gt;BA571,"",IF(AND((WEEKDAY($A571)+$B$2)&gt;1,((WEEKDAY($A571)+$T$2)&lt;7),(WEEKDAY($A571)&lt;&gt;1)),"work",(INDEX(Subject!$A:$I,MATCH(RANDBETWEEN(1,(MAX(Subject!$B:$B))),Subject!$B:$B,0),3))))</f>
        <v/>
      </c>
      <c r="Q571" s="2" t="str">
        <f t="array" ref="Q571">IF(NOW()&gt;BB571,"",IF(AND((WEEKDAY($A571)+$B$2)&gt;1,((WEEKDAY($A571)+$T$2)&lt;7),(WEEKDAY($A571)&lt;&gt;1)),"work",(INDEX(Subject!$A:$I,MATCH(RANDBETWEEN(1,(MAX(Subject!$B:$B))),Subject!$B:$B,0),3))))</f>
        <v/>
      </c>
      <c r="R571" s="2" t="str">
        <f t="array" ref="R571">IF(NOW()&gt;BC571,"",IF(AND((WEEKDAY($A571)+$B$2)&gt;1,((WEEKDAY($A571)+$T$2)&lt;7),(WEEKDAY($A571)&lt;&gt;1)),"work",(INDEX(Subject!$A:$I,MATCH(RANDBETWEEN(1,(MAX(Subject!$B:$B))),Subject!$B:$B,0),3))))</f>
        <v/>
      </c>
      <c r="S571" s="2" t="str">
        <f t="array" ref="S571">IF(NOW()&gt;BD571,"",IF(AND((WEEKDAY($A571)+$B$2)&gt;1,((WEEKDAY($A571)+$T$2)&lt;7),(WEEKDAY($A571)&lt;&gt;1)),"work",(INDEX(Subject!$A:$I,MATCH(RANDBETWEEN(1,(MAX(Subject!$B:$B))),Subject!$B:$B,0),3))))</f>
        <v/>
      </c>
      <c r="T571" s="2" t="str">
        <f t="array" ref="T571">IF(NOW()&gt;BE571,"",IF(AND((WEEKDAY($A571)+$B$2)&gt;1,((WEEKDAY($A571)+$T$2)&lt;7),(WEEKDAY($A571)&lt;&gt;1)),"work",(INDEX(Subject!$A:$I,MATCH(RANDBETWEEN(1,(MAX(Subject!$B:$B))),Subject!$B:$B,0),3))))</f>
        <v/>
      </c>
      <c r="U571" s="8" t="str">
        <f t="array" ref="U571">INDEX(Subject!$A:$I,MATCH(RANDBETWEEN(1,16),Subject!$B:$B,0),3)</f>
        <v>#N/A</v>
      </c>
      <c r="V571" s="8" t="str">
        <f t="array" ref="V571">INDEX(Subject!$A:$I,MATCH(RANDBETWEEN(1,16),Subject!$B:$B,0),3)</f>
        <v>#N/A</v>
      </c>
      <c r="W571" s="8" t="str">
        <f t="array" ref="W571">INDEX(Subject!$A:$I,MATCH(RANDBETWEEN(1,16),Subject!$B:$B,0),3)</f>
        <v>#N/A</v>
      </c>
      <c r="X571" s="8" t="str">
        <f t="array" ref="X571">INDEX(Subject!$A:$I,MATCH(RANDBETWEEN(1,16),Subject!$B:$B,0),3)</f>
        <v>#N/A</v>
      </c>
      <c r="Y571" s="8" t="str">
        <f t="array" ref="Y571">INDEX(Subject!$A:$I,MATCH(RANDBETWEEN(1,16),Subject!$B:$B,0),3)</f>
        <v>#N/A</v>
      </c>
      <c r="Z571" s="8" t="str">
        <f t="array" ref="Z571">INDEX(Subject!$A:$I,MATCH(RANDBETWEEN(1,16),Subject!$B:$B,0),3)</f>
        <v>#N/A</v>
      </c>
      <c r="AA571" s="8" t="str">
        <f t="array" ref="AA571">INDEX(Subject!$A:$I,MATCH(RANDBETWEEN(1,16),Subject!$B:$B,0),3)</f>
        <v>#N/A</v>
      </c>
      <c r="AB571" s="8" t="str">
        <f t="array" ref="AB571">INDEX(Subject!$A:$I,MATCH(RANDBETWEEN(1,16),Subject!$B:$B,0),3)</f>
        <v>#N/A</v>
      </c>
      <c r="AC571" s="8" t="str">
        <f t="array" ref="AC571">INDEX(Subject!$A:$I,MATCH(RANDBETWEEN(1,16),Subject!$B:$B,0),3)</f>
        <v>#N/A</v>
      </c>
      <c r="AD571" s="8" t="str">
        <f t="array" ref="AD571">INDEX(Subject!$A:$I,MATCH(RANDBETWEEN(1,16),Subject!$B:$B,0),3)</f>
        <v>#N/A</v>
      </c>
      <c r="AE571" s="8" t="str">
        <f t="array" ref="AE571">INDEX(Subject!$A:$I,MATCH(RANDBETWEEN(1,16),Subject!$B:$B,0),3)</f>
        <v>#N/A</v>
      </c>
      <c r="AF571" s="8" t="str">
        <f t="array" ref="AF571">INDEX(Subject!$A:$I,MATCH(RANDBETWEEN(1,16),Subject!$B:$B,0),3)</f>
        <v>#N/A</v>
      </c>
      <c r="AG571" s="8" t="str">
        <f t="array" ref="AG571">INDEX(Subject!$A:$I,MATCH(RANDBETWEEN(1,16),Subject!$B:$B,0),3)</f>
        <v>#N/A</v>
      </c>
      <c r="AH571" s="8" t="str">
        <f t="array" ref="AH571">INDEX(Subject!$A:$I,MATCH(RANDBETWEEN(1,16),Subject!$B:$B,0),3)</f>
        <v>#N/A</v>
      </c>
      <c r="AI571" s="8" t="str">
        <f t="array" ref="AI571">INDEX(Subject!$A:$I,MATCH(RANDBETWEEN(1,16),Subject!$B:$B,0),3)</f>
        <v>#N/A</v>
      </c>
      <c r="AJ571" s="8" t="str">
        <f t="array" ref="AJ571">INDEX(Subject!$A:$I,MATCH(RANDBETWEEN(1,16),Subject!$B:$B,0),3)</f>
        <v>#N/A</v>
      </c>
      <c r="AK571" s="8" t="str">
        <f t="array" ref="AK571">INDEX(Subject!$A:$I,MATCH(RANDBETWEEN(1,16),Subject!$B:$B,0),3)</f>
        <v>#N/A</v>
      </c>
      <c r="AL571" s="8" t="str">
        <f t="array" ref="AL571">INDEX(Subject!$A:$I,MATCH(RANDBETWEEN(1,16),Subject!$B:$B,0),3)</f>
        <v>#N/A</v>
      </c>
      <c r="AM571" s="18">
        <f t="shared" si="4"/>
        <v>46071.33333</v>
      </c>
      <c r="AN571" s="19">
        <f t="shared" ref="AN571:BZ571" si="571">$A571+C$1</f>
        <v>46071.35417</v>
      </c>
      <c r="AO571" s="19">
        <f t="shared" si="571"/>
        <v>46071.375</v>
      </c>
      <c r="AP571" s="19">
        <f t="shared" si="571"/>
        <v>46071.39583</v>
      </c>
      <c r="AQ571" s="19">
        <f t="shared" si="571"/>
        <v>46071.41667</v>
      </c>
      <c r="AR571" s="19">
        <f t="shared" si="571"/>
        <v>46071.4375</v>
      </c>
      <c r="AS571" s="19">
        <f t="shared" si="571"/>
        <v>46071.45833</v>
      </c>
      <c r="AT571" s="19">
        <f t="shared" si="571"/>
        <v>46071.47917</v>
      </c>
      <c r="AU571" s="19">
        <f t="shared" si="571"/>
        <v>46071.5</v>
      </c>
      <c r="AV571" s="19">
        <f t="shared" si="571"/>
        <v>46071.52083</v>
      </c>
      <c r="AW571" s="19">
        <f t="shared" si="571"/>
        <v>46071.54167</v>
      </c>
      <c r="AX571" s="19">
        <f t="shared" si="571"/>
        <v>46071.5625</v>
      </c>
      <c r="AY571" s="19">
        <f t="shared" si="571"/>
        <v>46071.58333</v>
      </c>
      <c r="AZ571" s="19">
        <f t="shared" si="571"/>
        <v>46071.60417</v>
      </c>
      <c r="BA571" s="19">
        <f t="shared" si="571"/>
        <v>46071.625</v>
      </c>
      <c r="BB571" s="19">
        <f t="shared" si="571"/>
        <v>46071.64583</v>
      </c>
      <c r="BC571" s="19">
        <f t="shared" si="571"/>
        <v>46071.66667</v>
      </c>
      <c r="BD571" s="19">
        <f t="shared" si="571"/>
        <v>46071.6875</v>
      </c>
      <c r="BE571" s="19">
        <f t="shared" si="571"/>
        <v>46071.70833</v>
      </c>
      <c r="BF571" s="19">
        <f t="shared" si="571"/>
        <v>46071.72917</v>
      </c>
      <c r="BG571" s="19">
        <f t="shared" si="571"/>
        <v>46071.75</v>
      </c>
      <c r="BH571" s="19">
        <f t="shared" si="571"/>
        <v>46071.77083</v>
      </c>
      <c r="BI571" s="19">
        <f t="shared" si="571"/>
        <v>46071.79167</v>
      </c>
      <c r="BJ571" s="19">
        <f t="shared" si="571"/>
        <v>46071.8125</v>
      </c>
      <c r="BK571" s="19">
        <f t="shared" si="571"/>
        <v>46071.83333</v>
      </c>
      <c r="BL571" s="19">
        <f t="shared" si="571"/>
        <v>46071.85417</v>
      </c>
      <c r="BM571" s="19">
        <f t="shared" si="571"/>
        <v>46071.875</v>
      </c>
      <c r="BN571" s="19">
        <f t="shared" si="571"/>
        <v>46071.89583</v>
      </c>
      <c r="BO571" s="19">
        <f t="shared" si="571"/>
        <v>46071.91667</v>
      </c>
      <c r="BP571" s="19">
        <f t="shared" si="571"/>
        <v>46071.9375</v>
      </c>
      <c r="BQ571" s="19">
        <f t="shared" si="571"/>
        <v>46071.95833</v>
      </c>
      <c r="BR571" s="19">
        <f t="shared" si="571"/>
        <v>46071.97917</v>
      </c>
      <c r="BS571" s="19">
        <f t="shared" si="571"/>
        <v>46072</v>
      </c>
      <c r="BT571" s="19">
        <f t="shared" si="571"/>
        <v>46072.02083</v>
      </c>
      <c r="BU571" s="19">
        <f t="shared" si="571"/>
        <v>46072.04167</v>
      </c>
      <c r="BV571" s="19">
        <f t="shared" si="571"/>
        <v>46072.0625</v>
      </c>
      <c r="BW571" s="19">
        <f t="shared" si="571"/>
        <v>46072.08333</v>
      </c>
      <c r="BX571" s="19">
        <f t="shared" si="571"/>
        <v>46071</v>
      </c>
      <c r="BY571" s="19">
        <f t="shared" si="571"/>
        <v>46071</v>
      </c>
      <c r="BZ571" s="19">
        <f t="shared" si="571"/>
        <v>46071</v>
      </c>
    </row>
    <row r="572" ht="14.25" customHeight="1">
      <c r="A572" s="17">
        <v>46072.0</v>
      </c>
      <c r="B572" s="2" t="str">
        <f t="array" ref="B572">IF(NOW()&gt;AM572,"",IF(AND((WEEKDAY($A572)+$B$2)&gt;1,((WEEKDAY($A572)+$T$2)&lt;7),(WEEKDAY($A572)&lt;&gt;1)),"work",(INDEX(Subject!$A:$I,MATCH(RANDBETWEEN(1,(MAX(Subject!$B:$B))),Subject!$B:$B,0),3))))</f>
        <v/>
      </c>
      <c r="C572" s="2" t="str">
        <f t="array" ref="C572">IF(NOW()&gt;AN572,"",IF(AND((WEEKDAY($A572)+$B$2)&gt;1,((WEEKDAY($A572)+$T$2)&lt;7),(WEEKDAY($A572)&lt;&gt;1)),"work",(INDEX(Subject!$A:$I,MATCH(RANDBETWEEN(1,(MAX(Subject!$B:$B))),Subject!$B:$B,0),3))))</f>
        <v/>
      </c>
      <c r="D572" s="2" t="str">
        <f t="array" ref="D572">IF(NOW()&gt;AO572,"",IF(AND((WEEKDAY($A572)+$B$2)&gt;1,((WEEKDAY($A572)+$T$2)&lt;7),(WEEKDAY($A572)&lt;&gt;1)),"work",(INDEX(Subject!$A:$I,MATCH(RANDBETWEEN(1,(MAX(Subject!$B:$B))),Subject!$B:$B,0),3))))</f>
        <v/>
      </c>
      <c r="E572" s="2" t="str">
        <f t="array" ref="E572">IF(NOW()&gt;AP572,"",IF(AND((WEEKDAY($A572)+$B$2)&gt;1,((WEEKDAY($A572)+$T$2)&lt;7),(WEEKDAY($A572)&lt;&gt;1)),"work",(INDEX(Subject!$A:$I,MATCH(RANDBETWEEN(1,(MAX(Subject!$B:$B))),Subject!$B:$B,0),3))))</f>
        <v/>
      </c>
      <c r="F572" s="2" t="str">
        <f t="array" ref="F572">IF(NOW()&gt;AQ572,"",IF(AND((WEEKDAY($A572)+$B$2)&gt;1,((WEEKDAY($A572)+$T$2)&lt;7),(WEEKDAY($A572)&lt;&gt;1)),"work",(INDEX(Subject!$A:$I,MATCH(RANDBETWEEN(1,(MAX(Subject!$B:$B))),Subject!$B:$B,0),3))))</f>
        <v/>
      </c>
      <c r="G572" s="2" t="str">
        <f t="array" ref="G572">IF(NOW()&gt;AR572,"",IF(AND((WEEKDAY($A572)+$B$2)&gt;1,((WEEKDAY($A572)+$T$2)&lt;7),(WEEKDAY($A572)&lt;&gt;1)),"work",(INDEX(Subject!$A:$I,MATCH(RANDBETWEEN(1,(MAX(Subject!$B:$B))),Subject!$B:$B,0),3))))</f>
        <v/>
      </c>
      <c r="H572" s="2" t="str">
        <f t="array" ref="H572">IF(NOW()&gt;AS572,"",IF(AND((WEEKDAY($A572)+$B$2)&gt;1,((WEEKDAY($A572)+$T$2)&lt;7),(WEEKDAY($A572)&lt;&gt;1)),"work",(INDEX(Subject!$A:$I,MATCH(RANDBETWEEN(1,(MAX(Subject!$B:$B))),Subject!$B:$B,0),3))))</f>
        <v/>
      </c>
      <c r="I572" s="2" t="str">
        <f t="array" ref="I572">IF(NOW()&gt;AT572,"",IF(AND((WEEKDAY($A572)+$B$2)&gt;1,((WEEKDAY($A572)+$T$2)&lt;7),(WEEKDAY($A572)&lt;&gt;1)),"work",(INDEX(Subject!$A:$I,MATCH(RANDBETWEEN(1,(MAX(Subject!$B:$B))),Subject!$B:$B,0),3))))</f>
        <v/>
      </c>
      <c r="J572" s="2" t="str">
        <f t="array" ref="J572">IF(NOW()&gt;AU572,"",IF(AND((WEEKDAY($A572)+$B$2)&gt;1,((WEEKDAY($A572)+$T$2)&lt;7),(WEEKDAY($A572)&lt;&gt;1)),"work",(INDEX(Subject!$A:$I,MATCH(RANDBETWEEN(1,(MAX(Subject!$B:$B))),Subject!$B:$B,0),3))))</f>
        <v/>
      </c>
      <c r="K572" s="2" t="str">
        <f t="array" ref="K572">IF(NOW()&gt;AV572,"",IF(AND((WEEKDAY($A572)+$B$2)&gt;1,((WEEKDAY($A572)+$T$2)&lt;7),(WEEKDAY($A572)&lt;&gt;1)),"work",(INDEX(Subject!$A:$I,MATCH(RANDBETWEEN(1,(MAX(Subject!$B:$B))),Subject!$B:$B,0),3))))</f>
        <v/>
      </c>
      <c r="L572" s="2" t="str">
        <f t="array" ref="L572">IF(NOW()&gt;AW572,"",IF(AND((WEEKDAY($A572)+$B$2)&gt;1,((WEEKDAY($A572)+$T$2)&lt;7),(WEEKDAY($A572)&lt;&gt;1)),"work",(INDEX(Subject!$A:$I,MATCH(RANDBETWEEN(1,(MAX(Subject!$B:$B))),Subject!$B:$B,0),3))))</f>
        <v/>
      </c>
      <c r="M572" s="2" t="str">
        <f t="array" ref="M572">IF(NOW()&gt;AX572,"",IF(AND((WEEKDAY($A572)+$B$2)&gt;1,((WEEKDAY($A572)+$T$2)&lt;7),(WEEKDAY($A572)&lt;&gt;1)),"work",(INDEX(Subject!$A:$I,MATCH(RANDBETWEEN(1,(MAX(Subject!$B:$B))),Subject!$B:$B,0),3))))</f>
        <v/>
      </c>
      <c r="N572" s="2" t="str">
        <f t="array" ref="N572">IF(NOW()&gt;AY572,"",IF(AND((WEEKDAY($A572)+$B$2)&gt;1,((WEEKDAY($A572)+$T$2)&lt;7),(WEEKDAY($A572)&lt;&gt;1)),"work",(INDEX(Subject!$A:$I,MATCH(RANDBETWEEN(1,(MAX(Subject!$B:$B))),Subject!$B:$B,0),3))))</f>
        <v/>
      </c>
      <c r="O572" s="2" t="str">
        <f t="array" ref="O572">IF(NOW()&gt;AZ572,"",IF(AND((WEEKDAY($A572)+$B$2)&gt;1,((WEEKDAY($A572)+$T$2)&lt;7),(WEEKDAY($A572)&lt;&gt;1)),"work",(INDEX(Subject!$A:$I,MATCH(RANDBETWEEN(1,(MAX(Subject!$B:$B))),Subject!$B:$B,0),3))))</f>
        <v/>
      </c>
      <c r="P572" s="2" t="str">
        <f t="array" ref="P572">IF(NOW()&gt;BA572,"",IF(AND((WEEKDAY($A572)+$B$2)&gt;1,((WEEKDAY($A572)+$T$2)&lt;7),(WEEKDAY($A572)&lt;&gt;1)),"work",(INDEX(Subject!$A:$I,MATCH(RANDBETWEEN(1,(MAX(Subject!$B:$B))),Subject!$B:$B,0),3))))</f>
        <v/>
      </c>
      <c r="Q572" s="2" t="str">
        <f t="array" ref="Q572">IF(NOW()&gt;BB572,"",IF(AND((WEEKDAY($A572)+$B$2)&gt;1,((WEEKDAY($A572)+$T$2)&lt;7),(WEEKDAY($A572)&lt;&gt;1)),"work",(INDEX(Subject!$A:$I,MATCH(RANDBETWEEN(1,(MAX(Subject!$B:$B))),Subject!$B:$B,0),3))))</f>
        <v/>
      </c>
      <c r="R572" s="2" t="str">
        <f t="array" ref="R572">IF(NOW()&gt;BC572,"",IF(AND((WEEKDAY($A572)+$B$2)&gt;1,((WEEKDAY($A572)+$T$2)&lt;7),(WEEKDAY($A572)&lt;&gt;1)),"work",(INDEX(Subject!$A:$I,MATCH(RANDBETWEEN(1,(MAX(Subject!$B:$B))),Subject!$B:$B,0),3))))</f>
        <v/>
      </c>
      <c r="S572" s="2" t="str">
        <f t="array" ref="S572">IF(NOW()&gt;BD572,"",IF(AND((WEEKDAY($A572)+$B$2)&gt;1,((WEEKDAY($A572)+$T$2)&lt;7),(WEEKDAY($A572)&lt;&gt;1)),"work",(INDEX(Subject!$A:$I,MATCH(RANDBETWEEN(1,(MAX(Subject!$B:$B))),Subject!$B:$B,0),3))))</f>
        <v/>
      </c>
      <c r="T572" s="2" t="str">
        <f t="array" ref="T572">IF(NOW()&gt;BE572,"",IF(AND((WEEKDAY($A572)+$B$2)&gt;1,((WEEKDAY($A572)+$T$2)&lt;7),(WEEKDAY($A572)&lt;&gt;1)),"work",(INDEX(Subject!$A:$I,MATCH(RANDBETWEEN(1,(MAX(Subject!$B:$B))),Subject!$B:$B,0),3))))</f>
        <v/>
      </c>
      <c r="U572" s="8" t="str">
        <f t="array" ref="U572">INDEX(Subject!$A:$I,MATCH(RANDBETWEEN(1,16),Subject!$B:$B,0),3)</f>
        <v>#N/A</v>
      </c>
      <c r="V572" s="8" t="str">
        <f t="array" ref="V572">INDEX(Subject!$A:$I,MATCH(RANDBETWEEN(1,16),Subject!$B:$B,0),3)</f>
        <v>#N/A</v>
      </c>
      <c r="W572" s="8" t="str">
        <f t="array" ref="W572">INDEX(Subject!$A:$I,MATCH(RANDBETWEEN(1,16),Subject!$B:$B,0),3)</f>
        <v>#N/A</v>
      </c>
      <c r="X572" s="8" t="str">
        <f t="array" ref="X572">INDEX(Subject!$A:$I,MATCH(RANDBETWEEN(1,16),Subject!$B:$B,0),3)</f>
        <v/>
      </c>
      <c r="Y572" s="8" t="str">
        <f t="array" ref="Y572">INDEX(Subject!$A:$I,MATCH(RANDBETWEEN(1,16),Subject!$B:$B,0),3)</f>
        <v>#N/A</v>
      </c>
      <c r="Z572" s="8" t="str">
        <f t="array" ref="Z572">INDEX(Subject!$A:$I,MATCH(RANDBETWEEN(1,16),Subject!$B:$B,0),3)</f>
        <v>#N/A</v>
      </c>
      <c r="AA572" s="8" t="str">
        <f t="array" ref="AA572">INDEX(Subject!$A:$I,MATCH(RANDBETWEEN(1,16),Subject!$B:$B,0),3)</f>
        <v>#N/A</v>
      </c>
      <c r="AB572" s="8" t="str">
        <f t="array" ref="AB572">INDEX(Subject!$A:$I,MATCH(RANDBETWEEN(1,16),Subject!$B:$B,0),3)</f>
        <v>#N/A</v>
      </c>
      <c r="AC572" s="8" t="str">
        <f t="array" ref="AC572">INDEX(Subject!$A:$I,MATCH(RANDBETWEEN(1,16),Subject!$B:$B,0),3)</f>
        <v>#N/A</v>
      </c>
      <c r="AD572" s="8" t="str">
        <f t="array" ref="AD572">INDEX(Subject!$A:$I,MATCH(RANDBETWEEN(1,16),Subject!$B:$B,0),3)</f>
        <v>#N/A</v>
      </c>
      <c r="AE572" s="8" t="str">
        <f t="array" ref="AE572">INDEX(Subject!$A:$I,MATCH(RANDBETWEEN(1,16),Subject!$B:$B,0),3)</f>
        <v>#N/A</v>
      </c>
      <c r="AF572" s="8" t="str">
        <f t="array" ref="AF572">INDEX(Subject!$A:$I,MATCH(RANDBETWEEN(1,16),Subject!$B:$B,0),3)</f>
        <v>#N/A</v>
      </c>
      <c r="AG572" s="8" t="str">
        <f t="array" ref="AG572">INDEX(Subject!$A:$I,MATCH(RANDBETWEEN(1,16),Subject!$B:$B,0),3)</f>
        <v/>
      </c>
      <c r="AH572" s="8" t="str">
        <f t="array" ref="AH572">INDEX(Subject!$A:$I,MATCH(RANDBETWEEN(1,16),Subject!$B:$B,0),3)</f>
        <v>#N/A</v>
      </c>
      <c r="AI572" s="8" t="str">
        <f t="array" ref="AI572">INDEX(Subject!$A:$I,MATCH(RANDBETWEEN(1,16),Subject!$B:$B,0),3)</f>
        <v>#N/A</v>
      </c>
      <c r="AJ572" s="8" t="str">
        <f t="array" ref="AJ572">INDEX(Subject!$A:$I,MATCH(RANDBETWEEN(1,16),Subject!$B:$B,0),3)</f>
        <v>#N/A</v>
      </c>
      <c r="AK572" s="8" t="str">
        <f t="array" ref="AK572">INDEX(Subject!$A:$I,MATCH(RANDBETWEEN(1,16),Subject!$B:$B,0),3)</f>
        <v>#N/A</v>
      </c>
      <c r="AL572" s="8" t="str">
        <f t="array" ref="AL572">INDEX(Subject!$A:$I,MATCH(RANDBETWEEN(1,16),Subject!$B:$B,0),3)</f>
        <v>#N/A</v>
      </c>
      <c r="AM572" s="18">
        <f t="shared" si="4"/>
        <v>46072.33333</v>
      </c>
      <c r="AN572" s="19">
        <f t="shared" ref="AN572:BZ572" si="572">$A572+C$1</f>
        <v>46072.35417</v>
      </c>
      <c r="AO572" s="19">
        <f t="shared" si="572"/>
        <v>46072.375</v>
      </c>
      <c r="AP572" s="19">
        <f t="shared" si="572"/>
        <v>46072.39583</v>
      </c>
      <c r="AQ572" s="19">
        <f t="shared" si="572"/>
        <v>46072.41667</v>
      </c>
      <c r="AR572" s="19">
        <f t="shared" si="572"/>
        <v>46072.4375</v>
      </c>
      <c r="AS572" s="19">
        <f t="shared" si="572"/>
        <v>46072.45833</v>
      </c>
      <c r="AT572" s="19">
        <f t="shared" si="572"/>
        <v>46072.47917</v>
      </c>
      <c r="AU572" s="19">
        <f t="shared" si="572"/>
        <v>46072.5</v>
      </c>
      <c r="AV572" s="19">
        <f t="shared" si="572"/>
        <v>46072.52083</v>
      </c>
      <c r="AW572" s="19">
        <f t="shared" si="572"/>
        <v>46072.54167</v>
      </c>
      <c r="AX572" s="19">
        <f t="shared" si="572"/>
        <v>46072.5625</v>
      </c>
      <c r="AY572" s="19">
        <f t="shared" si="572"/>
        <v>46072.58333</v>
      </c>
      <c r="AZ572" s="19">
        <f t="shared" si="572"/>
        <v>46072.60417</v>
      </c>
      <c r="BA572" s="19">
        <f t="shared" si="572"/>
        <v>46072.625</v>
      </c>
      <c r="BB572" s="19">
        <f t="shared" si="572"/>
        <v>46072.64583</v>
      </c>
      <c r="BC572" s="19">
        <f t="shared" si="572"/>
        <v>46072.66667</v>
      </c>
      <c r="BD572" s="19">
        <f t="shared" si="572"/>
        <v>46072.6875</v>
      </c>
      <c r="BE572" s="19">
        <f t="shared" si="572"/>
        <v>46072.70833</v>
      </c>
      <c r="BF572" s="19">
        <f t="shared" si="572"/>
        <v>46072.72917</v>
      </c>
      <c r="BG572" s="19">
        <f t="shared" si="572"/>
        <v>46072.75</v>
      </c>
      <c r="BH572" s="19">
        <f t="shared" si="572"/>
        <v>46072.77083</v>
      </c>
      <c r="BI572" s="19">
        <f t="shared" si="572"/>
        <v>46072.79167</v>
      </c>
      <c r="BJ572" s="19">
        <f t="shared" si="572"/>
        <v>46072.8125</v>
      </c>
      <c r="BK572" s="19">
        <f t="shared" si="572"/>
        <v>46072.83333</v>
      </c>
      <c r="BL572" s="19">
        <f t="shared" si="572"/>
        <v>46072.85417</v>
      </c>
      <c r="BM572" s="19">
        <f t="shared" si="572"/>
        <v>46072.875</v>
      </c>
      <c r="BN572" s="19">
        <f t="shared" si="572"/>
        <v>46072.89583</v>
      </c>
      <c r="BO572" s="19">
        <f t="shared" si="572"/>
        <v>46072.91667</v>
      </c>
      <c r="BP572" s="19">
        <f t="shared" si="572"/>
        <v>46072.9375</v>
      </c>
      <c r="BQ572" s="19">
        <f t="shared" si="572"/>
        <v>46072.95833</v>
      </c>
      <c r="BR572" s="19">
        <f t="shared" si="572"/>
        <v>46072.97917</v>
      </c>
      <c r="BS572" s="19">
        <f t="shared" si="572"/>
        <v>46073</v>
      </c>
      <c r="BT572" s="19">
        <f t="shared" si="572"/>
        <v>46073.02083</v>
      </c>
      <c r="BU572" s="19">
        <f t="shared" si="572"/>
        <v>46073.04167</v>
      </c>
      <c r="BV572" s="19">
        <f t="shared" si="572"/>
        <v>46073.0625</v>
      </c>
      <c r="BW572" s="19">
        <f t="shared" si="572"/>
        <v>46073.08333</v>
      </c>
      <c r="BX572" s="19">
        <f t="shared" si="572"/>
        <v>46072</v>
      </c>
      <c r="BY572" s="19">
        <f t="shared" si="572"/>
        <v>46072</v>
      </c>
      <c r="BZ572" s="19">
        <f t="shared" si="572"/>
        <v>46072</v>
      </c>
    </row>
    <row r="573" ht="14.25" customHeight="1">
      <c r="A573" s="17">
        <v>46073.0</v>
      </c>
      <c r="B573" s="2" t="str">
        <f t="array" ref="B573">IF(NOW()&gt;AM573,"",IF(AND((WEEKDAY($A573)+$B$2)&gt;1,((WEEKDAY($A573)+$T$2)&lt;7),(WEEKDAY($A573)&lt;&gt;1)),"work",(INDEX(Subject!$A:$I,MATCH(RANDBETWEEN(1,(MAX(Subject!$B:$B))),Subject!$B:$B,0),3))))</f>
        <v/>
      </c>
      <c r="C573" s="2" t="str">
        <f t="array" ref="C573">IF(NOW()&gt;AN573,"",IF(AND((WEEKDAY($A573)+$B$2)&gt;1,((WEEKDAY($A573)+$T$2)&lt;7),(WEEKDAY($A573)&lt;&gt;1)),"work",(INDEX(Subject!$A:$I,MATCH(RANDBETWEEN(1,(MAX(Subject!$B:$B))),Subject!$B:$B,0),3))))</f>
        <v/>
      </c>
      <c r="D573" s="2" t="str">
        <f t="array" ref="D573">IF(NOW()&gt;AO573,"",IF(AND((WEEKDAY($A573)+$B$2)&gt;1,((WEEKDAY($A573)+$T$2)&lt;7),(WEEKDAY($A573)&lt;&gt;1)),"work",(INDEX(Subject!$A:$I,MATCH(RANDBETWEEN(1,(MAX(Subject!$B:$B))),Subject!$B:$B,0),3))))</f>
        <v/>
      </c>
      <c r="E573" s="2" t="str">
        <f t="array" ref="E573">IF(NOW()&gt;AP573,"",IF(AND((WEEKDAY($A573)+$B$2)&gt;1,((WEEKDAY($A573)+$T$2)&lt;7),(WEEKDAY($A573)&lt;&gt;1)),"work",(INDEX(Subject!$A:$I,MATCH(RANDBETWEEN(1,(MAX(Subject!$B:$B))),Subject!$B:$B,0),3))))</f>
        <v/>
      </c>
      <c r="F573" s="2" t="str">
        <f t="array" ref="F573">IF(NOW()&gt;AQ573,"",IF(AND((WEEKDAY($A573)+$B$2)&gt;1,((WEEKDAY($A573)+$T$2)&lt;7),(WEEKDAY($A573)&lt;&gt;1)),"work",(INDEX(Subject!$A:$I,MATCH(RANDBETWEEN(1,(MAX(Subject!$B:$B))),Subject!$B:$B,0),3))))</f>
        <v/>
      </c>
      <c r="G573" s="2" t="str">
        <f t="array" ref="G573">IF(NOW()&gt;AR573,"",IF(AND((WEEKDAY($A573)+$B$2)&gt;1,((WEEKDAY($A573)+$T$2)&lt;7),(WEEKDAY($A573)&lt;&gt;1)),"work",(INDEX(Subject!$A:$I,MATCH(RANDBETWEEN(1,(MAX(Subject!$B:$B))),Subject!$B:$B,0),3))))</f>
        <v/>
      </c>
      <c r="H573" s="2" t="str">
        <f t="array" ref="H573">IF(NOW()&gt;AS573,"",IF(AND((WEEKDAY($A573)+$B$2)&gt;1,((WEEKDAY($A573)+$T$2)&lt;7),(WEEKDAY($A573)&lt;&gt;1)),"work",(INDEX(Subject!$A:$I,MATCH(RANDBETWEEN(1,(MAX(Subject!$B:$B))),Subject!$B:$B,0),3))))</f>
        <v/>
      </c>
      <c r="I573" s="2" t="str">
        <f t="array" ref="I573">IF(NOW()&gt;AT573,"",IF(AND((WEEKDAY($A573)+$B$2)&gt;1,((WEEKDAY($A573)+$T$2)&lt;7),(WEEKDAY($A573)&lt;&gt;1)),"work",(INDEX(Subject!$A:$I,MATCH(RANDBETWEEN(1,(MAX(Subject!$B:$B))),Subject!$B:$B,0),3))))</f>
        <v/>
      </c>
      <c r="J573" s="2" t="str">
        <f t="array" ref="J573">IF(NOW()&gt;AU573,"",IF(AND((WEEKDAY($A573)+$B$2)&gt;1,((WEEKDAY($A573)+$T$2)&lt;7),(WEEKDAY($A573)&lt;&gt;1)),"work",(INDEX(Subject!$A:$I,MATCH(RANDBETWEEN(1,(MAX(Subject!$B:$B))),Subject!$B:$B,0),3))))</f>
        <v/>
      </c>
      <c r="K573" s="2" t="str">
        <f t="array" ref="K573">IF(NOW()&gt;AV573,"",IF(AND((WEEKDAY($A573)+$B$2)&gt;1,((WEEKDAY($A573)+$T$2)&lt;7),(WEEKDAY($A573)&lt;&gt;1)),"work",(INDEX(Subject!$A:$I,MATCH(RANDBETWEEN(1,(MAX(Subject!$B:$B))),Subject!$B:$B,0),3))))</f>
        <v/>
      </c>
      <c r="L573" s="2" t="str">
        <f t="array" ref="L573">IF(NOW()&gt;AW573,"",IF(AND((WEEKDAY($A573)+$B$2)&gt;1,((WEEKDAY($A573)+$T$2)&lt;7),(WEEKDAY($A573)&lt;&gt;1)),"work",(INDEX(Subject!$A:$I,MATCH(RANDBETWEEN(1,(MAX(Subject!$B:$B))),Subject!$B:$B,0),3))))</f>
        <v/>
      </c>
      <c r="M573" s="2" t="str">
        <f t="array" ref="M573">IF(NOW()&gt;AX573,"",IF(AND((WEEKDAY($A573)+$B$2)&gt;1,((WEEKDAY($A573)+$T$2)&lt;7),(WEEKDAY($A573)&lt;&gt;1)),"work",(INDEX(Subject!$A:$I,MATCH(RANDBETWEEN(1,(MAX(Subject!$B:$B))),Subject!$B:$B,0),3))))</f>
        <v/>
      </c>
      <c r="N573" s="2" t="str">
        <f t="array" ref="N573">IF(NOW()&gt;AY573,"",IF(AND((WEEKDAY($A573)+$B$2)&gt;1,((WEEKDAY($A573)+$T$2)&lt;7),(WEEKDAY($A573)&lt;&gt;1)),"work",(INDEX(Subject!$A:$I,MATCH(RANDBETWEEN(1,(MAX(Subject!$B:$B))),Subject!$B:$B,0),3))))</f>
        <v/>
      </c>
      <c r="O573" s="2" t="str">
        <f t="array" ref="O573">IF(NOW()&gt;AZ573,"",IF(AND((WEEKDAY($A573)+$B$2)&gt;1,((WEEKDAY($A573)+$T$2)&lt;7),(WEEKDAY($A573)&lt;&gt;1)),"work",(INDEX(Subject!$A:$I,MATCH(RANDBETWEEN(1,(MAX(Subject!$B:$B))),Subject!$B:$B,0),3))))</f>
        <v/>
      </c>
      <c r="P573" s="2" t="str">
        <f t="array" ref="P573">IF(NOW()&gt;BA573,"",IF(AND((WEEKDAY($A573)+$B$2)&gt;1,((WEEKDAY($A573)+$T$2)&lt;7),(WEEKDAY($A573)&lt;&gt;1)),"work",(INDEX(Subject!$A:$I,MATCH(RANDBETWEEN(1,(MAX(Subject!$B:$B))),Subject!$B:$B,0),3))))</f>
        <v/>
      </c>
      <c r="Q573" s="2" t="str">
        <f t="array" ref="Q573">IF(NOW()&gt;BB573,"",IF(AND((WEEKDAY($A573)+$B$2)&gt;1,((WEEKDAY($A573)+$T$2)&lt;7),(WEEKDAY($A573)&lt;&gt;1)),"work",(INDEX(Subject!$A:$I,MATCH(RANDBETWEEN(1,(MAX(Subject!$B:$B))),Subject!$B:$B,0),3))))</f>
        <v/>
      </c>
      <c r="R573" s="2" t="str">
        <f t="array" ref="R573">IF(NOW()&gt;BC573,"",IF(AND((WEEKDAY($A573)+$B$2)&gt;1,((WEEKDAY($A573)+$T$2)&lt;7),(WEEKDAY($A573)&lt;&gt;1)),"work",(INDEX(Subject!$A:$I,MATCH(RANDBETWEEN(1,(MAX(Subject!$B:$B))),Subject!$B:$B,0),3))))</f>
        <v/>
      </c>
      <c r="S573" s="2" t="str">
        <f t="array" ref="S573">IF(NOW()&gt;BD573,"",IF(AND((WEEKDAY($A573)+$B$2)&gt;1,((WEEKDAY($A573)+$T$2)&lt;7),(WEEKDAY($A573)&lt;&gt;1)),"work",(INDEX(Subject!$A:$I,MATCH(RANDBETWEEN(1,(MAX(Subject!$B:$B))),Subject!$B:$B,0),3))))</f>
        <v/>
      </c>
      <c r="T573" s="2" t="str">
        <f t="array" ref="T573">IF(NOW()&gt;BE573,"",IF(AND((WEEKDAY($A573)+$B$2)&gt;1,((WEEKDAY($A573)+$T$2)&lt;7),(WEEKDAY($A573)&lt;&gt;1)),"work",(INDEX(Subject!$A:$I,MATCH(RANDBETWEEN(1,(MAX(Subject!$B:$B))),Subject!$B:$B,0),3))))</f>
        <v/>
      </c>
      <c r="U573" s="8" t="str">
        <f t="array" ref="U573">INDEX(Subject!$A:$I,MATCH(RANDBETWEEN(1,16),Subject!$B:$B,0),3)</f>
        <v>#N/A</v>
      </c>
      <c r="V573" s="8" t="str">
        <f t="array" ref="V573">INDEX(Subject!$A:$I,MATCH(RANDBETWEEN(1,16),Subject!$B:$B,0),3)</f>
        <v>#N/A</v>
      </c>
      <c r="W573" s="8" t="str">
        <f t="array" ref="W573">INDEX(Subject!$A:$I,MATCH(RANDBETWEEN(1,16),Subject!$B:$B,0),3)</f>
        <v>#N/A</v>
      </c>
      <c r="X573" s="8" t="str">
        <f t="array" ref="X573">INDEX(Subject!$A:$I,MATCH(RANDBETWEEN(1,16),Subject!$B:$B,0),3)</f>
        <v>#N/A</v>
      </c>
      <c r="Y573" s="8" t="str">
        <f t="array" ref="Y573">INDEX(Subject!$A:$I,MATCH(RANDBETWEEN(1,16),Subject!$B:$B,0),3)</f>
        <v>#N/A</v>
      </c>
      <c r="Z573" s="8" t="str">
        <f t="array" ref="Z573">INDEX(Subject!$A:$I,MATCH(RANDBETWEEN(1,16),Subject!$B:$B,0),3)</f>
        <v>#N/A</v>
      </c>
      <c r="AA573" s="8" t="str">
        <f t="array" ref="AA573">INDEX(Subject!$A:$I,MATCH(RANDBETWEEN(1,16),Subject!$B:$B,0),3)</f>
        <v>#N/A</v>
      </c>
      <c r="AB573" s="8" t="str">
        <f t="array" ref="AB573">INDEX(Subject!$A:$I,MATCH(RANDBETWEEN(1,16),Subject!$B:$B,0),3)</f>
        <v>#N/A</v>
      </c>
      <c r="AC573" s="8" t="str">
        <f t="array" ref="AC573">INDEX(Subject!$A:$I,MATCH(RANDBETWEEN(1,16),Subject!$B:$B,0),3)</f>
        <v>#N/A</v>
      </c>
      <c r="AD573" s="8" t="str">
        <f t="array" ref="AD573">INDEX(Subject!$A:$I,MATCH(RANDBETWEEN(1,16),Subject!$B:$B,0),3)</f>
        <v>#N/A</v>
      </c>
      <c r="AE573" s="8" t="str">
        <f t="array" ref="AE573">INDEX(Subject!$A:$I,MATCH(RANDBETWEEN(1,16),Subject!$B:$B,0),3)</f>
        <v>#N/A</v>
      </c>
      <c r="AF573" s="8" t="str">
        <f t="array" ref="AF573">INDEX(Subject!$A:$I,MATCH(RANDBETWEEN(1,16),Subject!$B:$B,0),3)</f>
        <v>#N/A</v>
      </c>
      <c r="AG573" s="8" t="str">
        <f t="array" ref="AG573">INDEX(Subject!$A:$I,MATCH(RANDBETWEEN(1,16),Subject!$B:$B,0),3)</f>
        <v>#N/A</v>
      </c>
      <c r="AH573" s="8" t="str">
        <f t="array" ref="AH573">INDEX(Subject!$A:$I,MATCH(RANDBETWEEN(1,16),Subject!$B:$B,0),3)</f>
        <v>#N/A</v>
      </c>
      <c r="AI573" s="8" t="str">
        <f t="array" ref="AI573">INDEX(Subject!$A:$I,MATCH(RANDBETWEEN(1,16),Subject!$B:$B,0),3)</f>
        <v>#N/A</v>
      </c>
      <c r="AJ573" s="8" t="str">
        <f t="array" ref="AJ573">INDEX(Subject!$A:$I,MATCH(RANDBETWEEN(1,16),Subject!$B:$B,0),3)</f>
        <v>#N/A</v>
      </c>
      <c r="AK573" s="8" t="str">
        <f t="array" ref="AK573">INDEX(Subject!$A:$I,MATCH(RANDBETWEEN(1,16),Subject!$B:$B,0),3)</f>
        <v>#N/A</v>
      </c>
      <c r="AL573" s="8" t="str">
        <f t="array" ref="AL573">INDEX(Subject!$A:$I,MATCH(RANDBETWEEN(1,16),Subject!$B:$B,0),3)</f>
        <v>#N/A</v>
      </c>
      <c r="AM573" s="18">
        <f t="shared" si="4"/>
        <v>46073.33333</v>
      </c>
      <c r="AN573" s="19">
        <f t="shared" ref="AN573:BZ573" si="573">$A573+C$1</f>
        <v>46073.35417</v>
      </c>
      <c r="AO573" s="19">
        <f t="shared" si="573"/>
        <v>46073.375</v>
      </c>
      <c r="AP573" s="19">
        <f t="shared" si="573"/>
        <v>46073.39583</v>
      </c>
      <c r="AQ573" s="19">
        <f t="shared" si="573"/>
        <v>46073.41667</v>
      </c>
      <c r="AR573" s="19">
        <f t="shared" si="573"/>
        <v>46073.4375</v>
      </c>
      <c r="AS573" s="19">
        <f t="shared" si="573"/>
        <v>46073.45833</v>
      </c>
      <c r="AT573" s="19">
        <f t="shared" si="573"/>
        <v>46073.47917</v>
      </c>
      <c r="AU573" s="19">
        <f t="shared" si="573"/>
        <v>46073.5</v>
      </c>
      <c r="AV573" s="19">
        <f t="shared" si="573"/>
        <v>46073.52083</v>
      </c>
      <c r="AW573" s="19">
        <f t="shared" si="573"/>
        <v>46073.54167</v>
      </c>
      <c r="AX573" s="19">
        <f t="shared" si="573"/>
        <v>46073.5625</v>
      </c>
      <c r="AY573" s="19">
        <f t="shared" si="573"/>
        <v>46073.58333</v>
      </c>
      <c r="AZ573" s="19">
        <f t="shared" si="573"/>
        <v>46073.60417</v>
      </c>
      <c r="BA573" s="19">
        <f t="shared" si="573"/>
        <v>46073.625</v>
      </c>
      <c r="BB573" s="19">
        <f t="shared" si="573"/>
        <v>46073.64583</v>
      </c>
      <c r="BC573" s="19">
        <f t="shared" si="573"/>
        <v>46073.66667</v>
      </c>
      <c r="BD573" s="19">
        <f t="shared" si="573"/>
        <v>46073.6875</v>
      </c>
      <c r="BE573" s="19">
        <f t="shared" si="573"/>
        <v>46073.70833</v>
      </c>
      <c r="BF573" s="19">
        <f t="shared" si="573"/>
        <v>46073.72917</v>
      </c>
      <c r="BG573" s="19">
        <f t="shared" si="573"/>
        <v>46073.75</v>
      </c>
      <c r="BH573" s="19">
        <f t="shared" si="573"/>
        <v>46073.77083</v>
      </c>
      <c r="BI573" s="19">
        <f t="shared" si="573"/>
        <v>46073.79167</v>
      </c>
      <c r="BJ573" s="19">
        <f t="shared" si="573"/>
        <v>46073.8125</v>
      </c>
      <c r="BK573" s="19">
        <f t="shared" si="573"/>
        <v>46073.83333</v>
      </c>
      <c r="BL573" s="19">
        <f t="shared" si="573"/>
        <v>46073.85417</v>
      </c>
      <c r="BM573" s="19">
        <f t="shared" si="573"/>
        <v>46073.875</v>
      </c>
      <c r="BN573" s="19">
        <f t="shared" si="573"/>
        <v>46073.89583</v>
      </c>
      <c r="BO573" s="19">
        <f t="shared" si="573"/>
        <v>46073.91667</v>
      </c>
      <c r="BP573" s="19">
        <f t="shared" si="573"/>
        <v>46073.9375</v>
      </c>
      <c r="BQ573" s="19">
        <f t="shared" si="573"/>
        <v>46073.95833</v>
      </c>
      <c r="BR573" s="19">
        <f t="shared" si="573"/>
        <v>46073.97917</v>
      </c>
      <c r="BS573" s="19">
        <f t="shared" si="573"/>
        <v>46074</v>
      </c>
      <c r="BT573" s="19">
        <f t="shared" si="573"/>
        <v>46074.02083</v>
      </c>
      <c r="BU573" s="19">
        <f t="shared" si="573"/>
        <v>46074.04167</v>
      </c>
      <c r="BV573" s="19">
        <f t="shared" si="573"/>
        <v>46074.0625</v>
      </c>
      <c r="BW573" s="19">
        <f t="shared" si="573"/>
        <v>46074.08333</v>
      </c>
      <c r="BX573" s="19">
        <f t="shared" si="573"/>
        <v>46073</v>
      </c>
      <c r="BY573" s="19">
        <f t="shared" si="573"/>
        <v>46073</v>
      </c>
      <c r="BZ573" s="19">
        <f t="shared" si="573"/>
        <v>46073</v>
      </c>
    </row>
    <row r="574" ht="14.25" customHeight="1">
      <c r="A574" s="17">
        <v>46074.0</v>
      </c>
      <c r="B574" s="2" t="str">
        <f t="array" ref="B574">IF(NOW()&gt;AM574,"",IF(AND((WEEKDAY($A574)+$B$2)&gt;1,((WEEKDAY($A574)+$T$2)&lt;7),(WEEKDAY($A574)&lt;&gt;1)),"work",(INDEX(Subject!$A:$I,MATCH(RANDBETWEEN(1,(MAX(Subject!$B:$B))),Subject!$B:$B,0),3))))</f>
        <v/>
      </c>
      <c r="C574" s="2" t="str">
        <f t="array" ref="C574">IF(NOW()&gt;AN574,"",IF(AND((WEEKDAY($A574)+$B$2)&gt;1,((WEEKDAY($A574)+$T$2)&lt;7),(WEEKDAY($A574)&lt;&gt;1)),"work",(INDEX(Subject!$A:$I,MATCH(RANDBETWEEN(1,(MAX(Subject!$B:$B))),Subject!$B:$B,0),3))))</f>
        <v/>
      </c>
      <c r="D574" s="2" t="str">
        <f t="array" ref="D574">IF(NOW()&gt;AO574,"",IF(AND((WEEKDAY($A574)+$B$2)&gt;1,((WEEKDAY($A574)+$T$2)&lt;7),(WEEKDAY($A574)&lt;&gt;1)),"work",(INDEX(Subject!$A:$I,MATCH(RANDBETWEEN(1,(MAX(Subject!$B:$B))),Subject!$B:$B,0),3))))</f>
        <v/>
      </c>
      <c r="E574" s="2" t="str">
        <f t="array" ref="E574">IF(NOW()&gt;AP574,"",IF(AND((WEEKDAY($A574)+$B$2)&gt;1,((WEEKDAY($A574)+$T$2)&lt;7),(WEEKDAY($A574)&lt;&gt;1)),"work",(INDEX(Subject!$A:$I,MATCH(RANDBETWEEN(1,(MAX(Subject!$B:$B))),Subject!$B:$B,0),3))))</f>
        <v/>
      </c>
      <c r="F574" s="2" t="str">
        <f t="array" ref="F574">IF(NOW()&gt;AQ574,"",IF(AND((WEEKDAY($A574)+$B$2)&gt;1,((WEEKDAY($A574)+$T$2)&lt;7),(WEEKDAY($A574)&lt;&gt;1)),"work",(INDEX(Subject!$A:$I,MATCH(RANDBETWEEN(1,(MAX(Subject!$B:$B))),Subject!$B:$B,0),3))))</f>
        <v/>
      </c>
      <c r="G574" s="2" t="str">
        <f t="array" ref="G574">IF(NOW()&gt;AR574,"",IF(AND((WEEKDAY($A574)+$B$2)&gt;1,((WEEKDAY($A574)+$T$2)&lt;7),(WEEKDAY($A574)&lt;&gt;1)),"work",(INDEX(Subject!$A:$I,MATCH(RANDBETWEEN(1,(MAX(Subject!$B:$B))),Subject!$B:$B,0),3))))</f>
        <v/>
      </c>
      <c r="H574" s="2" t="str">
        <f t="array" ref="H574">IF(NOW()&gt;AS574,"",IF(AND((WEEKDAY($A574)+$B$2)&gt;1,((WEEKDAY($A574)+$T$2)&lt;7),(WEEKDAY($A574)&lt;&gt;1)),"work",(INDEX(Subject!$A:$I,MATCH(RANDBETWEEN(1,(MAX(Subject!$B:$B))),Subject!$B:$B,0),3))))</f>
        <v/>
      </c>
      <c r="I574" s="2" t="str">
        <f t="array" ref="I574">IF(NOW()&gt;AT574,"",IF(AND((WEEKDAY($A574)+$B$2)&gt;1,((WEEKDAY($A574)+$T$2)&lt;7),(WEEKDAY($A574)&lt;&gt;1)),"work",(INDEX(Subject!$A:$I,MATCH(RANDBETWEEN(1,(MAX(Subject!$B:$B))),Subject!$B:$B,0),3))))</f>
        <v/>
      </c>
      <c r="J574" s="2" t="str">
        <f t="array" ref="J574">IF(NOW()&gt;AU574,"",IF(AND((WEEKDAY($A574)+$B$2)&gt;1,((WEEKDAY($A574)+$T$2)&lt;7),(WEEKDAY($A574)&lt;&gt;1)),"work",(INDEX(Subject!$A:$I,MATCH(RANDBETWEEN(1,(MAX(Subject!$B:$B))),Subject!$B:$B,0),3))))</f>
        <v/>
      </c>
      <c r="K574" s="2" t="str">
        <f t="array" ref="K574">IF(NOW()&gt;AV574,"",IF(AND((WEEKDAY($A574)+$B$2)&gt;1,((WEEKDAY($A574)+$T$2)&lt;7),(WEEKDAY($A574)&lt;&gt;1)),"work",(INDEX(Subject!$A:$I,MATCH(RANDBETWEEN(1,(MAX(Subject!$B:$B))),Subject!$B:$B,0),3))))</f>
        <v/>
      </c>
      <c r="L574" s="2" t="str">
        <f t="array" ref="L574">IF(NOW()&gt;AW574,"",IF(AND((WEEKDAY($A574)+$B$2)&gt;1,((WEEKDAY($A574)+$T$2)&lt;7),(WEEKDAY($A574)&lt;&gt;1)),"work",(INDEX(Subject!$A:$I,MATCH(RANDBETWEEN(1,(MAX(Subject!$B:$B))),Subject!$B:$B,0),3))))</f>
        <v/>
      </c>
      <c r="M574" s="2" t="str">
        <f t="array" ref="M574">IF(NOW()&gt;AX574,"",IF(AND((WEEKDAY($A574)+$B$2)&gt;1,((WEEKDAY($A574)+$T$2)&lt;7),(WEEKDAY($A574)&lt;&gt;1)),"work",(INDEX(Subject!$A:$I,MATCH(RANDBETWEEN(1,(MAX(Subject!$B:$B))),Subject!$B:$B,0),3))))</f>
        <v/>
      </c>
      <c r="N574" s="2" t="str">
        <f t="array" ref="N574">IF(NOW()&gt;AY574,"",IF(AND((WEEKDAY($A574)+$B$2)&gt;1,((WEEKDAY($A574)+$T$2)&lt;7),(WEEKDAY($A574)&lt;&gt;1)),"work",(INDEX(Subject!$A:$I,MATCH(RANDBETWEEN(1,(MAX(Subject!$B:$B))),Subject!$B:$B,0),3))))</f>
        <v/>
      </c>
      <c r="O574" s="2" t="str">
        <f t="array" ref="O574">IF(NOW()&gt;AZ574,"",IF(AND((WEEKDAY($A574)+$B$2)&gt;1,((WEEKDAY($A574)+$T$2)&lt;7),(WEEKDAY($A574)&lt;&gt;1)),"work",(INDEX(Subject!$A:$I,MATCH(RANDBETWEEN(1,(MAX(Subject!$B:$B))),Subject!$B:$B,0),3))))</f>
        <v/>
      </c>
      <c r="P574" s="2" t="str">
        <f t="array" ref="P574">IF(NOW()&gt;BA574,"",IF(AND((WEEKDAY($A574)+$B$2)&gt;1,((WEEKDAY($A574)+$T$2)&lt;7),(WEEKDAY($A574)&lt;&gt;1)),"work",(INDEX(Subject!$A:$I,MATCH(RANDBETWEEN(1,(MAX(Subject!$B:$B))),Subject!$B:$B,0),3))))</f>
        <v/>
      </c>
      <c r="Q574" s="2" t="str">
        <f t="array" ref="Q574">IF(NOW()&gt;BB574,"",IF(AND((WEEKDAY($A574)+$B$2)&gt;1,((WEEKDAY($A574)+$T$2)&lt;7),(WEEKDAY($A574)&lt;&gt;1)),"work",(INDEX(Subject!$A:$I,MATCH(RANDBETWEEN(1,(MAX(Subject!$B:$B))),Subject!$B:$B,0),3))))</f>
        <v/>
      </c>
      <c r="R574" s="2" t="str">
        <f t="array" ref="R574">IF(NOW()&gt;BC574,"",IF(AND((WEEKDAY($A574)+$B$2)&gt;1,((WEEKDAY($A574)+$T$2)&lt;7),(WEEKDAY($A574)&lt;&gt;1)),"work",(INDEX(Subject!$A:$I,MATCH(RANDBETWEEN(1,(MAX(Subject!$B:$B))),Subject!$B:$B,0),3))))</f>
        <v/>
      </c>
      <c r="S574" s="2" t="str">
        <f t="array" ref="S574">IF(NOW()&gt;BD574,"",IF(AND((WEEKDAY($A574)+$B$2)&gt;1,((WEEKDAY($A574)+$T$2)&lt;7),(WEEKDAY($A574)&lt;&gt;1)),"work",(INDEX(Subject!$A:$I,MATCH(RANDBETWEEN(1,(MAX(Subject!$B:$B))),Subject!$B:$B,0),3))))</f>
        <v/>
      </c>
      <c r="T574" s="2" t="str">
        <f t="array" ref="T574">IF(NOW()&gt;BE574,"",IF(AND((WEEKDAY($A574)+$B$2)&gt;1,((WEEKDAY($A574)+$T$2)&lt;7),(WEEKDAY($A574)&lt;&gt;1)),"work",(INDEX(Subject!$A:$I,MATCH(RANDBETWEEN(1,(MAX(Subject!$B:$B))),Subject!$B:$B,0),3))))</f>
        <v/>
      </c>
      <c r="U574" s="8" t="str">
        <f t="array" ref="U574">INDEX(Subject!$A:$I,MATCH(RANDBETWEEN(1,16),Subject!$B:$B,0),3)</f>
        <v>#N/A</v>
      </c>
      <c r="V574" s="8" t="str">
        <f t="array" ref="V574">INDEX(Subject!$A:$I,MATCH(RANDBETWEEN(1,16),Subject!$B:$B,0),3)</f>
        <v>#N/A</v>
      </c>
      <c r="W574" s="8" t="str">
        <f t="array" ref="W574">INDEX(Subject!$A:$I,MATCH(RANDBETWEEN(1,16),Subject!$B:$B,0),3)</f>
        <v>#N/A</v>
      </c>
      <c r="X574" s="8" t="str">
        <f t="array" ref="X574">INDEX(Subject!$A:$I,MATCH(RANDBETWEEN(1,16),Subject!$B:$B,0),3)</f>
        <v/>
      </c>
      <c r="Y574" s="8" t="str">
        <f t="array" ref="Y574">INDEX(Subject!$A:$I,MATCH(RANDBETWEEN(1,16),Subject!$B:$B,0),3)</f>
        <v>#N/A</v>
      </c>
      <c r="Z574" s="8" t="str">
        <f t="array" ref="Z574">INDEX(Subject!$A:$I,MATCH(RANDBETWEEN(1,16),Subject!$B:$B,0),3)</f>
        <v/>
      </c>
      <c r="AA574" s="8" t="str">
        <f t="array" ref="AA574">INDEX(Subject!$A:$I,MATCH(RANDBETWEEN(1,16),Subject!$B:$B,0),3)</f>
        <v>#N/A</v>
      </c>
      <c r="AB574" s="8" t="str">
        <f t="array" ref="AB574">INDEX(Subject!$A:$I,MATCH(RANDBETWEEN(1,16),Subject!$B:$B,0),3)</f>
        <v>#N/A</v>
      </c>
      <c r="AC574" s="8" t="str">
        <f t="array" ref="AC574">INDEX(Subject!$A:$I,MATCH(RANDBETWEEN(1,16),Subject!$B:$B,0),3)</f>
        <v>#N/A</v>
      </c>
      <c r="AD574" s="8" t="str">
        <f t="array" ref="AD574">INDEX(Subject!$A:$I,MATCH(RANDBETWEEN(1,16),Subject!$B:$B,0),3)</f>
        <v>#N/A</v>
      </c>
      <c r="AE574" s="8" t="str">
        <f t="array" ref="AE574">INDEX(Subject!$A:$I,MATCH(RANDBETWEEN(1,16),Subject!$B:$B,0),3)</f>
        <v>#N/A</v>
      </c>
      <c r="AF574" s="8" t="str">
        <f t="array" ref="AF574">INDEX(Subject!$A:$I,MATCH(RANDBETWEEN(1,16),Subject!$B:$B,0),3)</f>
        <v>#N/A</v>
      </c>
      <c r="AG574" s="8" t="str">
        <f t="array" ref="AG574">INDEX(Subject!$A:$I,MATCH(RANDBETWEEN(1,16),Subject!$B:$B,0),3)</f>
        <v>#N/A</v>
      </c>
      <c r="AH574" s="8" t="str">
        <f t="array" ref="AH574">INDEX(Subject!$A:$I,MATCH(RANDBETWEEN(1,16),Subject!$B:$B,0),3)</f>
        <v>#N/A</v>
      </c>
      <c r="AI574" s="8" t="str">
        <f t="array" ref="AI574">INDEX(Subject!$A:$I,MATCH(RANDBETWEEN(1,16),Subject!$B:$B,0),3)</f>
        <v>#N/A</v>
      </c>
      <c r="AJ574" s="8" t="str">
        <f t="array" ref="AJ574">INDEX(Subject!$A:$I,MATCH(RANDBETWEEN(1,16),Subject!$B:$B,0),3)</f>
        <v>#N/A</v>
      </c>
      <c r="AK574" s="8" t="str">
        <f t="array" ref="AK574">INDEX(Subject!$A:$I,MATCH(RANDBETWEEN(1,16),Subject!$B:$B,0),3)</f>
        <v>#N/A</v>
      </c>
      <c r="AL574" s="8" t="str">
        <f t="array" ref="AL574">INDEX(Subject!$A:$I,MATCH(RANDBETWEEN(1,16),Subject!$B:$B,0),3)</f>
        <v/>
      </c>
      <c r="AM574" s="18">
        <f t="shared" si="4"/>
        <v>46074.33333</v>
      </c>
      <c r="AN574" s="19">
        <f t="shared" ref="AN574:BZ574" si="574">$A574+C$1</f>
        <v>46074.35417</v>
      </c>
      <c r="AO574" s="19">
        <f t="shared" si="574"/>
        <v>46074.375</v>
      </c>
      <c r="AP574" s="19">
        <f t="shared" si="574"/>
        <v>46074.39583</v>
      </c>
      <c r="AQ574" s="19">
        <f t="shared" si="574"/>
        <v>46074.41667</v>
      </c>
      <c r="AR574" s="19">
        <f t="shared" si="574"/>
        <v>46074.4375</v>
      </c>
      <c r="AS574" s="19">
        <f t="shared" si="574"/>
        <v>46074.45833</v>
      </c>
      <c r="AT574" s="19">
        <f t="shared" si="574"/>
        <v>46074.47917</v>
      </c>
      <c r="AU574" s="19">
        <f t="shared" si="574"/>
        <v>46074.5</v>
      </c>
      <c r="AV574" s="19">
        <f t="shared" si="574"/>
        <v>46074.52083</v>
      </c>
      <c r="AW574" s="19">
        <f t="shared" si="574"/>
        <v>46074.54167</v>
      </c>
      <c r="AX574" s="19">
        <f t="shared" si="574"/>
        <v>46074.5625</v>
      </c>
      <c r="AY574" s="19">
        <f t="shared" si="574"/>
        <v>46074.58333</v>
      </c>
      <c r="AZ574" s="19">
        <f t="shared" si="574"/>
        <v>46074.60417</v>
      </c>
      <c r="BA574" s="19">
        <f t="shared" si="574"/>
        <v>46074.625</v>
      </c>
      <c r="BB574" s="19">
        <f t="shared" si="574"/>
        <v>46074.64583</v>
      </c>
      <c r="BC574" s="19">
        <f t="shared" si="574"/>
        <v>46074.66667</v>
      </c>
      <c r="BD574" s="19">
        <f t="shared" si="574"/>
        <v>46074.6875</v>
      </c>
      <c r="BE574" s="19">
        <f t="shared" si="574"/>
        <v>46074.70833</v>
      </c>
      <c r="BF574" s="19">
        <f t="shared" si="574"/>
        <v>46074.72917</v>
      </c>
      <c r="BG574" s="19">
        <f t="shared" si="574"/>
        <v>46074.75</v>
      </c>
      <c r="BH574" s="19">
        <f t="shared" si="574"/>
        <v>46074.77083</v>
      </c>
      <c r="BI574" s="19">
        <f t="shared" si="574"/>
        <v>46074.79167</v>
      </c>
      <c r="BJ574" s="19">
        <f t="shared" si="574"/>
        <v>46074.8125</v>
      </c>
      <c r="BK574" s="19">
        <f t="shared" si="574"/>
        <v>46074.83333</v>
      </c>
      <c r="BL574" s="19">
        <f t="shared" si="574"/>
        <v>46074.85417</v>
      </c>
      <c r="BM574" s="19">
        <f t="shared" si="574"/>
        <v>46074.875</v>
      </c>
      <c r="BN574" s="19">
        <f t="shared" si="574"/>
        <v>46074.89583</v>
      </c>
      <c r="BO574" s="19">
        <f t="shared" si="574"/>
        <v>46074.91667</v>
      </c>
      <c r="BP574" s="19">
        <f t="shared" si="574"/>
        <v>46074.9375</v>
      </c>
      <c r="BQ574" s="19">
        <f t="shared" si="574"/>
        <v>46074.95833</v>
      </c>
      <c r="BR574" s="19">
        <f t="shared" si="574"/>
        <v>46074.97917</v>
      </c>
      <c r="BS574" s="19">
        <f t="shared" si="574"/>
        <v>46075</v>
      </c>
      <c r="BT574" s="19">
        <f t="shared" si="574"/>
        <v>46075.02083</v>
      </c>
      <c r="BU574" s="19">
        <f t="shared" si="574"/>
        <v>46075.04167</v>
      </c>
      <c r="BV574" s="19">
        <f t="shared" si="574"/>
        <v>46075.0625</v>
      </c>
      <c r="BW574" s="19">
        <f t="shared" si="574"/>
        <v>46075.08333</v>
      </c>
      <c r="BX574" s="19">
        <f t="shared" si="574"/>
        <v>46074</v>
      </c>
      <c r="BY574" s="19">
        <f t="shared" si="574"/>
        <v>46074</v>
      </c>
      <c r="BZ574" s="19">
        <f t="shared" si="574"/>
        <v>46074</v>
      </c>
    </row>
    <row r="575" ht="14.25" customHeight="1">
      <c r="A575" s="17">
        <v>46075.0</v>
      </c>
      <c r="B575" s="2" t="str">
        <f t="array" ref="B575">IF(NOW()&gt;AM575,"",IF(AND((WEEKDAY($A575)+$B$2)&gt;1,((WEEKDAY($A575)+$T$2)&lt;7),(WEEKDAY($A575)&lt;&gt;1)),"work",(INDEX(Subject!$A:$I,MATCH(RANDBETWEEN(1,(MAX(Subject!$B:$B))),Subject!$B:$B,0),3))))</f>
        <v/>
      </c>
      <c r="C575" s="2" t="str">
        <f t="array" ref="C575">IF(NOW()&gt;AN575,"",IF(AND((WEEKDAY($A575)+$B$2)&gt;1,((WEEKDAY($A575)+$T$2)&lt;7),(WEEKDAY($A575)&lt;&gt;1)),"work",(INDEX(Subject!$A:$I,MATCH(RANDBETWEEN(1,(MAX(Subject!$B:$B))),Subject!$B:$B,0),3))))</f>
        <v/>
      </c>
      <c r="D575" s="2" t="str">
        <f t="array" ref="D575">IF(NOW()&gt;AO575,"",IF(AND((WEEKDAY($A575)+$B$2)&gt;1,((WEEKDAY($A575)+$T$2)&lt;7),(WEEKDAY($A575)&lt;&gt;1)),"work",(INDEX(Subject!$A:$I,MATCH(RANDBETWEEN(1,(MAX(Subject!$B:$B))),Subject!$B:$B,0),3))))</f>
        <v/>
      </c>
      <c r="E575" s="2" t="str">
        <f t="array" ref="E575">IF(NOW()&gt;AP575,"",IF(AND((WEEKDAY($A575)+$B$2)&gt;1,((WEEKDAY($A575)+$T$2)&lt;7),(WEEKDAY($A575)&lt;&gt;1)),"work",(INDEX(Subject!$A:$I,MATCH(RANDBETWEEN(1,(MAX(Subject!$B:$B))),Subject!$B:$B,0),3))))</f>
        <v/>
      </c>
      <c r="F575" s="2" t="str">
        <f t="array" ref="F575">IF(NOW()&gt;AQ575,"",IF(AND((WEEKDAY($A575)+$B$2)&gt;1,((WEEKDAY($A575)+$T$2)&lt;7),(WEEKDAY($A575)&lt;&gt;1)),"work",(INDEX(Subject!$A:$I,MATCH(RANDBETWEEN(1,(MAX(Subject!$B:$B))),Subject!$B:$B,0),3))))</f>
        <v/>
      </c>
      <c r="G575" s="2" t="str">
        <f t="array" ref="G575">IF(NOW()&gt;AR575,"",IF(AND((WEEKDAY($A575)+$B$2)&gt;1,((WEEKDAY($A575)+$T$2)&lt;7),(WEEKDAY($A575)&lt;&gt;1)),"work",(INDEX(Subject!$A:$I,MATCH(RANDBETWEEN(1,(MAX(Subject!$B:$B))),Subject!$B:$B,0),3))))</f>
        <v/>
      </c>
      <c r="H575" s="2" t="str">
        <f t="array" ref="H575">IF(NOW()&gt;AS575,"",IF(AND((WEEKDAY($A575)+$B$2)&gt;1,((WEEKDAY($A575)+$T$2)&lt;7),(WEEKDAY($A575)&lt;&gt;1)),"work",(INDEX(Subject!$A:$I,MATCH(RANDBETWEEN(1,(MAX(Subject!$B:$B))),Subject!$B:$B,0),3))))</f>
        <v/>
      </c>
      <c r="I575" s="2" t="str">
        <f t="array" ref="I575">IF(NOW()&gt;AT575,"",IF(AND((WEEKDAY($A575)+$B$2)&gt;1,((WEEKDAY($A575)+$T$2)&lt;7),(WEEKDAY($A575)&lt;&gt;1)),"work",(INDEX(Subject!$A:$I,MATCH(RANDBETWEEN(1,(MAX(Subject!$B:$B))),Subject!$B:$B,0),3))))</f>
        <v/>
      </c>
      <c r="J575" s="2" t="str">
        <f t="array" ref="J575">IF(NOW()&gt;AU575,"",IF(AND((WEEKDAY($A575)+$B$2)&gt;1,((WEEKDAY($A575)+$T$2)&lt;7),(WEEKDAY($A575)&lt;&gt;1)),"work",(INDEX(Subject!$A:$I,MATCH(RANDBETWEEN(1,(MAX(Subject!$B:$B))),Subject!$B:$B,0),3))))</f>
        <v/>
      </c>
      <c r="K575" s="2" t="str">
        <f t="array" ref="K575">IF(NOW()&gt;AV575,"",IF(AND((WEEKDAY($A575)+$B$2)&gt;1,((WEEKDAY($A575)+$T$2)&lt;7),(WEEKDAY($A575)&lt;&gt;1)),"work",(INDEX(Subject!$A:$I,MATCH(RANDBETWEEN(1,(MAX(Subject!$B:$B))),Subject!$B:$B,0),3))))</f>
        <v/>
      </c>
      <c r="L575" s="2" t="str">
        <f t="array" ref="L575">IF(NOW()&gt;AW575,"",IF(AND((WEEKDAY($A575)+$B$2)&gt;1,((WEEKDAY($A575)+$T$2)&lt;7),(WEEKDAY($A575)&lt;&gt;1)),"work",(INDEX(Subject!$A:$I,MATCH(RANDBETWEEN(1,(MAX(Subject!$B:$B))),Subject!$B:$B,0),3))))</f>
        <v/>
      </c>
      <c r="M575" s="2" t="str">
        <f t="array" ref="M575">IF(NOW()&gt;AX575,"",IF(AND((WEEKDAY($A575)+$B$2)&gt;1,((WEEKDAY($A575)+$T$2)&lt;7),(WEEKDAY($A575)&lt;&gt;1)),"work",(INDEX(Subject!$A:$I,MATCH(RANDBETWEEN(1,(MAX(Subject!$B:$B))),Subject!$B:$B,0),3))))</f>
        <v/>
      </c>
      <c r="N575" s="2" t="str">
        <f t="array" ref="N575">IF(NOW()&gt;AY575,"",IF(AND((WEEKDAY($A575)+$B$2)&gt;1,((WEEKDAY($A575)+$T$2)&lt;7),(WEEKDAY($A575)&lt;&gt;1)),"work",(INDEX(Subject!$A:$I,MATCH(RANDBETWEEN(1,(MAX(Subject!$B:$B))),Subject!$B:$B,0),3))))</f>
        <v/>
      </c>
      <c r="O575" s="2" t="str">
        <f t="array" ref="O575">IF(NOW()&gt;AZ575,"",IF(AND((WEEKDAY($A575)+$B$2)&gt;1,((WEEKDAY($A575)+$T$2)&lt;7),(WEEKDAY($A575)&lt;&gt;1)),"work",(INDEX(Subject!$A:$I,MATCH(RANDBETWEEN(1,(MAX(Subject!$B:$B))),Subject!$B:$B,0),3))))</f>
        <v/>
      </c>
      <c r="P575" s="2" t="str">
        <f t="array" ref="P575">IF(NOW()&gt;BA575,"",IF(AND((WEEKDAY($A575)+$B$2)&gt;1,((WEEKDAY($A575)+$T$2)&lt;7),(WEEKDAY($A575)&lt;&gt;1)),"work",(INDEX(Subject!$A:$I,MATCH(RANDBETWEEN(1,(MAX(Subject!$B:$B))),Subject!$B:$B,0),3))))</f>
        <v/>
      </c>
      <c r="Q575" s="2" t="str">
        <f t="array" ref="Q575">IF(NOW()&gt;BB575,"",IF(AND((WEEKDAY($A575)+$B$2)&gt;1,((WEEKDAY($A575)+$T$2)&lt;7),(WEEKDAY($A575)&lt;&gt;1)),"work",(INDEX(Subject!$A:$I,MATCH(RANDBETWEEN(1,(MAX(Subject!$B:$B))),Subject!$B:$B,0),3))))</f>
        <v/>
      </c>
      <c r="R575" s="2" t="str">
        <f t="array" ref="R575">IF(NOW()&gt;BC575,"",IF(AND((WEEKDAY($A575)+$B$2)&gt;1,((WEEKDAY($A575)+$T$2)&lt;7),(WEEKDAY($A575)&lt;&gt;1)),"work",(INDEX(Subject!$A:$I,MATCH(RANDBETWEEN(1,(MAX(Subject!$B:$B))),Subject!$B:$B,0),3))))</f>
        <v/>
      </c>
      <c r="S575" s="2" t="str">
        <f t="array" ref="S575">IF(NOW()&gt;BD575,"",IF(AND((WEEKDAY($A575)+$B$2)&gt;1,((WEEKDAY($A575)+$T$2)&lt;7),(WEEKDAY($A575)&lt;&gt;1)),"work",(INDEX(Subject!$A:$I,MATCH(RANDBETWEEN(1,(MAX(Subject!$B:$B))),Subject!$B:$B,0),3))))</f>
        <v/>
      </c>
      <c r="T575" s="2" t="str">
        <f t="array" ref="T575">IF(NOW()&gt;BE575,"",IF(AND((WEEKDAY($A575)+$B$2)&gt;1,((WEEKDAY($A575)+$T$2)&lt;7),(WEEKDAY($A575)&lt;&gt;1)),"work",(INDEX(Subject!$A:$I,MATCH(RANDBETWEEN(1,(MAX(Subject!$B:$B))),Subject!$B:$B,0),3))))</f>
        <v/>
      </c>
      <c r="U575" s="8" t="str">
        <f t="array" ref="U575">INDEX(Subject!$A:$I,MATCH(RANDBETWEEN(1,16),Subject!$B:$B,0),3)</f>
        <v>#N/A</v>
      </c>
      <c r="V575" s="8" t="str">
        <f t="array" ref="V575">INDEX(Subject!$A:$I,MATCH(RANDBETWEEN(1,16),Subject!$B:$B,0),3)</f>
        <v>#N/A</v>
      </c>
      <c r="W575" s="8" t="str">
        <f t="array" ref="W575">INDEX(Subject!$A:$I,MATCH(RANDBETWEEN(1,16),Subject!$B:$B,0),3)</f>
        <v/>
      </c>
      <c r="X575" s="8" t="str">
        <f t="array" ref="X575">INDEX(Subject!$A:$I,MATCH(RANDBETWEEN(1,16),Subject!$B:$B,0),3)</f>
        <v>#N/A</v>
      </c>
      <c r="Y575" s="8" t="str">
        <f t="array" ref="Y575">INDEX(Subject!$A:$I,MATCH(RANDBETWEEN(1,16),Subject!$B:$B,0),3)</f>
        <v>#N/A</v>
      </c>
      <c r="Z575" s="8" t="str">
        <f t="array" ref="Z575">INDEX(Subject!$A:$I,MATCH(RANDBETWEEN(1,16),Subject!$B:$B,0),3)</f>
        <v>#N/A</v>
      </c>
      <c r="AA575" s="8" t="str">
        <f t="array" ref="AA575">INDEX(Subject!$A:$I,MATCH(RANDBETWEEN(1,16),Subject!$B:$B,0),3)</f>
        <v>#N/A</v>
      </c>
      <c r="AB575" s="8" t="str">
        <f t="array" ref="AB575">INDEX(Subject!$A:$I,MATCH(RANDBETWEEN(1,16),Subject!$B:$B,0),3)</f>
        <v>#N/A</v>
      </c>
      <c r="AC575" s="8" t="str">
        <f t="array" ref="AC575">INDEX(Subject!$A:$I,MATCH(RANDBETWEEN(1,16),Subject!$B:$B,0),3)</f>
        <v>#N/A</v>
      </c>
      <c r="AD575" s="8" t="str">
        <f t="array" ref="AD575">INDEX(Subject!$A:$I,MATCH(RANDBETWEEN(1,16),Subject!$B:$B,0),3)</f>
        <v>#N/A</v>
      </c>
      <c r="AE575" s="8" t="str">
        <f t="array" ref="AE575">INDEX(Subject!$A:$I,MATCH(RANDBETWEEN(1,16),Subject!$B:$B,0),3)</f>
        <v>#N/A</v>
      </c>
      <c r="AF575" s="8" t="str">
        <f t="array" ref="AF575">INDEX(Subject!$A:$I,MATCH(RANDBETWEEN(1,16),Subject!$B:$B,0),3)</f>
        <v>#N/A</v>
      </c>
      <c r="AG575" s="8" t="str">
        <f t="array" ref="AG575">INDEX(Subject!$A:$I,MATCH(RANDBETWEEN(1,16),Subject!$B:$B,0),3)</f>
        <v>#N/A</v>
      </c>
      <c r="AH575" s="8" t="str">
        <f t="array" ref="AH575">INDEX(Subject!$A:$I,MATCH(RANDBETWEEN(1,16),Subject!$B:$B,0),3)</f>
        <v>#N/A</v>
      </c>
      <c r="AI575" s="8" t="str">
        <f t="array" ref="AI575">INDEX(Subject!$A:$I,MATCH(RANDBETWEEN(1,16),Subject!$B:$B,0),3)</f>
        <v>#N/A</v>
      </c>
      <c r="AJ575" s="8" t="str">
        <f t="array" ref="AJ575">INDEX(Subject!$A:$I,MATCH(RANDBETWEEN(1,16),Subject!$B:$B,0),3)</f>
        <v>#N/A</v>
      </c>
      <c r="AK575" s="8" t="str">
        <f t="array" ref="AK575">INDEX(Subject!$A:$I,MATCH(RANDBETWEEN(1,16),Subject!$B:$B,0),3)</f>
        <v>#N/A</v>
      </c>
      <c r="AL575" s="8" t="str">
        <f t="array" ref="AL575">INDEX(Subject!$A:$I,MATCH(RANDBETWEEN(1,16),Subject!$B:$B,0),3)</f>
        <v>#N/A</v>
      </c>
      <c r="AM575" s="18">
        <f t="shared" si="4"/>
        <v>46075.33333</v>
      </c>
      <c r="AN575" s="19">
        <f t="shared" ref="AN575:BZ575" si="575">$A575+C$1</f>
        <v>46075.35417</v>
      </c>
      <c r="AO575" s="19">
        <f t="shared" si="575"/>
        <v>46075.375</v>
      </c>
      <c r="AP575" s="19">
        <f t="shared" si="575"/>
        <v>46075.39583</v>
      </c>
      <c r="AQ575" s="19">
        <f t="shared" si="575"/>
        <v>46075.41667</v>
      </c>
      <c r="AR575" s="19">
        <f t="shared" si="575"/>
        <v>46075.4375</v>
      </c>
      <c r="AS575" s="19">
        <f t="shared" si="575"/>
        <v>46075.45833</v>
      </c>
      <c r="AT575" s="19">
        <f t="shared" si="575"/>
        <v>46075.47917</v>
      </c>
      <c r="AU575" s="19">
        <f t="shared" si="575"/>
        <v>46075.5</v>
      </c>
      <c r="AV575" s="19">
        <f t="shared" si="575"/>
        <v>46075.52083</v>
      </c>
      <c r="AW575" s="19">
        <f t="shared" si="575"/>
        <v>46075.54167</v>
      </c>
      <c r="AX575" s="19">
        <f t="shared" si="575"/>
        <v>46075.5625</v>
      </c>
      <c r="AY575" s="19">
        <f t="shared" si="575"/>
        <v>46075.58333</v>
      </c>
      <c r="AZ575" s="19">
        <f t="shared" si="575"/>
        <v>46075.60417</v>
      </c>
      <c r="BA575" s="19">
        <f t="shared" si="575"/>
        <v>46075.625</v>
      </c>
      <c r="BB575" s="19">
        <f t="shared" si="575"/>
        <v>46075.64583</v>
      </c>
      <c r="BC575" s="19">
        <f t="shared" si="575"/>
        <v>46075.66667</v>
      </c>
      <c r="BD575" s="19">
        <f t="shared" si="575"/>
        <v>46075.6875</v>
      </c>
      <c r="BE575" s="19">
        <f t="shared" si="575"/>
        <v>46075.70833</v>
      </c>
      <c r="BF575" s="19">
        <f t="shared" si="575"/>
        <v>46075.72917</v>
      </c>
      <c r="BG575" s="19">
        <f t="shared" si="575"/>
        <v>46075.75</v>
      </c>
      <c r="BH575" s="19">
        <f t="shared" si="575"/>
        <v>46075.77083</v>
      </c>
      <c r="BI575" s="19">
        <f t="shared" si="575"/>
        <v>46075.79167</v>
      </c>
      <c r="BJ575" s="19">
        <f t="shared" si="575"/>
        <v>46075.8125</v>
      </c>
      <c r="BK575" s="19">
        <f t="shared" si="575"/>
        <v>46075.83333</v>
      </c>
      <c r="BL575" s="19">
        <f t="shared" si="575"/>
        <v>46075.85417</v>
      </c>
      <c r="BM575" s="19">
        <f t="shared" si="575"/>
        <v>46075.875</v>
      </c>
      <c r="BN575" s="19">
        <f t="shared" si="575"/>
        <v>46075.89583</v>
      </c>
      <c r="BO575" s="19">
        <f t="shared" si="575"/>
        <v>46075.91667</v>
      </c>
      <c r="BP575" s="19">
        <f t="shared" si="575"/>
        <v>46075.9375</v>
      </c>
      <c r="BQ575" s="19">
        <f t="shared" si="575"/>
        <v>46075.95833</v>
      </c>
      <c r="BR575" s="19">
        <f t="shared" si="575"/>
        <v>46075.97917</v>
      </c>
      <c r="BS575" s="19">
        <f t="shared" si="575"/>
        <v>46076</v>
      </c>
      <c r="BT575" s="19">
        <f t="shared" si="575"/>
        <v>46076.02083</v>
      </c>
      <c r="BU575" s="19">
        <f t="shared" si="575"/>
        <v>46076.04167</v>
      </c>
      <c r="BV575" s="19">
        <f t="shared" si="575"/>
        <v>46076.0625</v>
      </c>
      <c r="BW575" s="19">
        <f t="shared" si="575"/>
        <v>46076.08333</v>
      </c>
      <c r="BX575" s="19">
        <f t="shared" si="575"/>
        <v>46075</v>
      </c>
      <c r="BY575" s="19">
        <f t="shared" si="575"/>
        <v>46075</v>
      </c>
      <c r="BZ575" s="19">
        <f t="shared" si="575"/>
        <v>46075</v>
      </c>
    </row>
    <row r="576" ht="14.25" customHeight="1">
      <c r="A576" s="17">
        <v>46076.0</v>
      </c>
      <c r="B576" s="2" t="str">
        <f t="array" ref="B576">IF(NOW()&gt;AM576,"",IF(AND((WEEKDAY($A576)+$B$2)&gt;1,((WEEKDAY($A576)+$T$2)&lt;7),(WEEKDAY($A576)&lt;&gt;1)),"work",(INDEX(Subject!$A:$I,MATCH(RANDBETWEEN(1,(MAX(Subject!$B:$B))),Subject!$B:$B,0),3))))</f>
        <v/>
      </c>
      <c r="C576" s="2" t="str">
        <f t="array" ref="C576">IF(NOW()&gt;AN576,"",IF(AND((WEEKDAY($A576)+$B$2)&gt;1,((WEEKDAY($A576)+$T$2)&lt;7),(WEEKDAY($A576)&lt;&gt;1)),"work",(INDEX(Subject!$A:$I,MATCH(RANDBETWEEN(1,(MAX(Subject!$B:$B))),Subject!$B:$B,0),3))))</f>
        <v/>
      </c>
      <c r="D576" s="2" t="str">
        <f t="array" ref="D576">IF(NOW()&gt;AO576,"",IF(AND((WEEKDAY($A576)+$B$2)&gt;1,((WEEKDAY($A576)+$T$2)&lt;7),(WEEKDAY($A576)&lt;&gt;1)),"work",(INDEX(Subject!$A:$I,MATCH(RANDBETWEEN(1,(MAX(Subject!$B:$B))),Subject!$B:$B,0),3))))</f>
        <v/>
      </c>
      <c r="E576" s="2" t="str">
        <f t="array" ref="E576">IF(NOW()&gt;AP576,"",IF(AND((WEEKDAY($A576)+$B$2)&gt;1,((WEEKDAY($A576)+$T$2)&lt;7),(WEEKDAY($A576)&lt;&gt;1)),"work",(INDEX(Subject!$A:$I,MATCH(RANDBETWEEN(1,(MAX(Subject!$B:$B))),Subject!$B:$B,0),3))))</f>
        <v/>
      </c>
      <c r="F576" s="2" t="str">
        <f t="array" ref="F576">IF(NOW()&gt;AQ576,"",IF(AND((WEEKDAY($A576)+$B$2)&gt;1,((WEEKDAY($A576)+$T$2)&lt;7),(WEEKDAY($A576)&lt;&gt;1)),"work",(INDEX(Subject!$A:$I,MATCH(RANDBETWEEN(1,(MAX(Subject!$B:$B))),Subject!$B:$B,0),3))))</f>
        <v/>
      </c>
      <c r="G576" s="2" t="str">
        <f t="array" ref="G576">IF(NOW()&gt;AR576,"",IF(AND((WEEKDAY($A576)+$B$2)&gt;1,((WEEKDAY($A576)+$T$2)&lt;7),(WEEKDAY($A576)&lt;&gt;1)),"work",(INDEX(Subject!$A:$I,MATCH(RANDBETWEEN(1,(MAX(Subject!$B:$B))),Subject!$B:$B,0),3))))</f>
        <v/>
      </c>
      <c r="H576" s="2" t="str">
        <f t="array" ref="H576">IF(NOW()&gt;AS576,"",IF(AND((WEEKDAY($A576)+$B$2)&gt;1,((WEEKDAY($A576)+$T$2)&lt;7),(WEEKDAY($A576)&lt;&gt;1)),"work",(INDEX(Subject!$A:$I,MATCH(RANDBETWEEN(1,(MAX(Subject!$B:$B))),Subject!$B:$B,0),3))))</f>
        <v/>
      </c>
      <c r="I576" s="2" t="str">
        <f t="array" ref="I576">IF(NOW()&gt;AT576,"",IF(AND((WEEKDAY($A576)+$B$2)&gt;1,((WEEKDAY($A576)+$T$2)&lt;7),(WEEKDAY($A576)&lt;&gt;1)),"work",(INDEX(Subject!$A:$I,MATCH(RANDBETWEEN(1,(MAX(Subject!$B:$B))),Subject!$B:$B,0),3))))</f>
        <v/>
      </c>
      <c r="J576" s="2" t="str">
        <f t="array" ref="J576">IF(NOW()&gt;AU576,"",IF(AND((WEEKDAY($A576)+$B$2)&gt;1,((WEEKDAY($A576)+$T$2)&lt;7),(WEEKDAY($A576)&lt;&gt;1)),"work",(INDEX(Subject!$A:$I,MATCH(RANDBETWEEN(1,(MAX(Subject!$B:$B))),Subject!$B:$B,0),3))))</f>
        <v/>
      </c>
      <c r="K576" s="2" t="str">
        <f t="array" ref="K576">IF(NOW()&gt;AV576,"",IF(AND((WEEKDAY($A576)+$B$2)&gt;1,((WEEKDAY($A576)+$T$2)&lt;7),(WEEKDAY($A576)&lt;&gt;1)),"work",(INDEX(Subject!$A:$I,MATCH(RANDBETWEEN(1,(MAX(Subject!$B:$B))),Subject!$B:$B,0),3))))</f>
        <v/>
      </c>
      <c r="L576" s="2" t="str">
        <f t="array" ref="L576">IF(NOW()&gt;AW576,"",IF(AND((WEEKDAY($A576)+$B$2)&gt;1,((WEEKDAY($A576)+$T$2)&lt;7),(WEEKDAY($A576)&lt;&gt;1)),"work",(INDEX(Subject!$A:$I,MATCH(RANDBETWEEN(1,(MAX(Subject!$B:$B))),Subject!$B:$B,0),3))))</f>
        <v/>
      </c>
      <c r="M576" s="2" t="str">
        <f t="array" ref="M576">IF(NOW()&gt;AX576,"",IF(AND((WEEKDAY($A576)+$B$2)&gt;1,((WEEKDAY($A576)+$T$2)&lt;7),(WEEKDAY($A576)&lt;&gt;1)),"work",(INDEX(Subject!$A:$I,MATCH(RANDBETWEEN(1,(MAX(Subject!$B:$B))),Subject!$B:$B,0),3))))</f>
        <v/>
      </c>
      <c r="N576" s="2" t="str">
        <f t="array" ref="N576">IF(NOW()&gt;AY576,"",IF(AND((WEEKDAY($A576)+$B$2)&gt;1,((WEEKDAY($A576)+$T$2)&lt;7),(WEEKDAY($A576)&lt;&gt;1)),"work",(INDEX(Subject!$A:$I,MATCH(RANDBETWEEN(1,(MAX(Subject!$B:$B))),Subject!$B:$B,0),3))))</f>
        <v/>
      </c>
      <c r="O576" s="2" t="str">
        <f t="array" ref="O576">IF(NOW()&gt;AZ576,"",IF(AND((WEEKDAY($A576)+$B$2)&gt;1,((WEEKDAY($A576)+$T$2)&lt;7),(WEEKDAY($A576)&lt;&gt;1)),"work",(INDEX(Subject!$A:$I,MATCH(RANDBETWEEN(1,(MAX(Subject!$B:$B))),Subject!$B:$B,0),3))))</f>
        <v/>
      </c>
      <c r="P576" s="2" t="str">
        <f t="array" ref="P576">IF(NOW()&gt;BA576,"",IF(AND((WEEKDAY($A576)+$B$2)&gt;1,((WEEKDAY($A576)+$T$2)&lt;7),(WEEKDAY($A576)&lt;&gt;1)),"work",(INDEX(Subject!$A:$I,MATCH(RANDBETWEEN(1,(MAX(Subject!$B:$B))),Subject!$B:$B,0),3))))</f>
        <v/>
      </c>
      <c r="Q576" s="2" t="str">
        <f t="array" ref="Q576">IF(NOW()&gt;BB576,"",IF(AND((WEEKDAY($A576)+$B$2)&gt;1,((WEEKDAY($A576)+$T$2)&lt;7),(WEEKDAY($A576)&lt;&gt;1)),"work",(INDEX(Subject!$A:$I,MATCH(RANDBETWEEN(1,(MAX(Subject!$B:$B))),Subject!$B:$B,0),3))))</f>
        <v/>
      </c>
      <c r="R576" s="2" t="str">
        <f t="array" ref="R576">IF(NOW()&gt;BC576,"",IF(AND((WEEKDAY($A576)+$B$2)&gt;1,((WEEKDAY($A576)+$T$2)&lt;7),(WEEKDAY($A576)&lt;&gt;1)),"work",(INDEX(Subject!$A:$I,MATCH(RANDBETWEEN(1,(MAX(Subject!$B:$B))),Subject!$B:$B,0),3))))</f>
        <v/>
      </c>
      <c r="S576" s="2" t="str">
        <f t="array" ref="S576">IF(NOW()&gt;BD576,"",IF(AND((WEEKDAY($A576)+$B$2)&gt;1,((WEEKDAY($A576)+$T$2)&lt;7),(WEEKDAY($A576)&lt;&gt;1)),"work",(INDEX(Subject!$A:$I,MATCH(RANDBETWEEN(1,(MAX(Subject!$B:$B))),Subject!$B:$B,0),3))))</f>
        <v/>
      </c>
      <c r="T576" s="2" t="str">
        <f t="array" ref="T576">IF(NOW()&gt;BE576,"",IF(AND((WEEKDAY($A576)+$B$2)&gt;1,((WEEKDAY($A576)+$T$2)&lt;7),(WEEKDAY($A576)&lt;&gt;1)),"work",(INDEX(Subject!$A:$I,MATCH(RANDBETWEEN(1,(MAX(Subject!$B:$B))),Subject!$B:$B,0),3))))</f>
        <v/>
      </c>
      <c r="U576" s="8" t="str">
        <f t="array" ref="U576">INDEX(Subject!$A:$I,MATCH(RANDBETWEEN(1,16),Subject!$B:$B,0),3)</f>
        <v>#N/A</v>
      </c>
      <c r="V576" s="8" t="str">
        <f t="array" ref="V576">INDEX(Subject!$A:$I,MATCH(RANDBETWEEN(1,16),Subject!$B:$B,0),3)</f>
        <v/>
      </c>
      <c r="W576" s="8" t="str">
        <f t="array" ref="W576">INDEX(Subject!$A:$I,MATCH(RANDBETWEEN(1,16),Subject!$B:$B,0),3)</f>
        <v>#N/A</v>
      </c>
      <c r="X576" s="8" t="str">
        <f t="array" ref="X576">INDEX(Subject!$A:$I,MATCH(RANDBETWEEN(1,16),Subject!$B:$B,0),3)</f>
        <v>#N/A</v>
      </c>
      <c r="Y576" s="8" t="str">
        <f t="array" ref="Y576">INDEX(Subject!$A:$I,MATCH(RANDBETWEEN(1,16),Subject!$B:$B,0),3)</f>
        <v>#N/A</v>
      </c>
      <c r="Z576" s="8" t="str">
        <f t="array" ref="Z576">INDEX(Subject!$A:$I,MATCH(RANDBETWEEN(1,16),Subject!$B:$B,0),3)</f>
        <v>#N/A</v>
      </c>
      <c r="AA576" s="8" t="str">
        <f t="array" ref="AA576">INDEX(Subject!$A:$I,MATCH(RANDBETWEEN(1,16),Subject!$B:$B,0),3)</f>
        <v>#N/A</v>
      </c>
      <c r="AB576" s="8" t="str">
        <f t="array" ref="AB576">INDEX(Subject!$A:$I,MATCH(RANDBETWEEN(1,16),Subject!$B:$B,0),3)</f>
        <v>#N/A</v>
      </c>
      <c r="AC576" s="8" t="str">
        <f t="array" ref="AC576">INDEX(Subject!$A:$I,MATCH(RANDBETWEEN(1,16),Subject!$B:$B,0),3)</f>
        <v>#N/A</v>
      </c>
      <c r="AD576" s="8" t="str">
        <f t="array" ref="AD576">INDEX(Subject!$A:$I,MATCH(RANDBETWEEN(1,16),Subject!$B:$B,0),3)</f>
        <v>#N/A</v>
      </c>
      <c r="AE576" s="8" t="str">
        <f t="array" ref="AE576">INDEX(Subject!$A:$I,MATCH(RANDBETWEEN(1,16),Subject!$B:$B,0),3)</f>
        <v>#N/A</v>
      </c>
      <c r="AF576" s="8" t="str">
        <f t="array" ref="AF576">INDEX(Subject!$A:$I,MATCH(RANDBETWEEN(1,16),Subject!$B:$B,0),3)</f>
        <v/>
      </c>
      <c r="AG576" s="8" t="str">
        <f t="array" ref="AG576">INDEX(Subject!$A:$I,MATCH(RANDBETWEEN(1,16),Subject!$B:$B,0),3)</f>
        <v>#N/A</v>
      </c>
      <c r="AH576" s="8" t="str">
        <f t="array" ref="AH576">INDEX(Subject!$A:$I,MATCH(RANDBETWEEN(1,16),Subject!$B:$B,0),3)</f>
        <v>#N/A</v>
      </c>
      <c r="AI576" s="8" t="str">
        <f t="array" ref="AI576">INDEX(Subject!$A:$I,MATCH(RANDBETWEEN(1,16),Subject!$B:$B,0),3)</f>
        <v>#N/A</v>
      </c>
      <c r="AJ576" s="8" t="str">
        <f t="array" ref="AJ576">INDEX(Subject!$A:$I,MATCH(RANDBETWEEN(1,16),Subject!$B:$B,0),3)</f>
        <v>#N/A</v>
      </c>
      <c r="AK576" s="8" t="str">
        <f t="array" ref="AK576">INDEX(Subject!$A:$I,MATCH(RANDBETWEEN(1,16),Subject!$B:$B,0),3)</f>
        <v>#N/A</v>
      </c>
      <c r="AL576" s="8" t="str">
        <f t="array" ref="AL576">INDEX(Subject!$A:$I,MATCH(RANDBETWEEN(1,16),Subject!$B:$B,0),3)</f>
        <v>#N/A</v>
      </c>
      <c r="AM576" s="18">
        <f t="shared" si="4"/>
        <v>46076.33333</v>
      </c>
      <c r="AN576" s="19">
        <f t="shared" ref="AN576:BZ576" si="576">$A576+C$1</f>
        <v>46076.35417</v>
      </c>
      <c r="AO576" s="19">
        <f t="shared" si="576"/>
        <v>46076.375</v>
      </c>
      <c r="AP576" s="19">
        <f t="shared" si="576"/>
        <v>46076.39583</v>
      </c>
      <c r="AQ576" s="19">
        <f t="shared" si="576"/>
        <v>46076.41667</v>
      </c>
      <c r="AR576" s="19">
        <f t="shared" si="576"/>
        <v>46076.4375</v>
      </c>
      <c r="AS576" s="19">
        <f t="shared" si="576"/>
        <v>46076.45833</v>
      </c>
      <c r="AT576" s="19">
        <f t="shared" si="576"/>
        <v>46076.47917</v>
      </c>
      <c r="AU576" s="19">
        <f t="shared" si="576"/>
        <v>46076.5</v>
      </c>
      <c r="AV576" s="19">
        <f t="shared" si="576"/>
        <v>46076.52083</v>
      </c>
      <c r="AW576" s="19">
        <f t="shared" si="576"/>
        <v>46076.54167</v>
      </c>
      <c r="AX576" s="19">
        <f t="shared" si="576"/>
        <v>46076.5625</v>
      </c>
      <c r="AY576" s="19">
        <f t="shared" si="576"/>
        <v>46076.58333</v>
      </c>
      <c r="AZ576" s="19">
        <f t="shared" si="576"/>
        <v>46076.60417</v>
      </c>
      <c r="BA576" s="19">
        <f t="shared" si="576"/>
        <v>46076.625</v>
      </c>
      <c r="BB576" s="19">
        <f t="shared" si="576"/>
        <v>46076.64583</v>
      </c>
      <c r="BC576" s="19">
        <f t="shared" si="576"/>
        <v>46076.66667</v>
      </c>
      <c r="BD576" s="19">
        <f t="shared" si="576"/>
        <v>46076.6875</v>
      </c>
      <c r="BE576" s="19">
        <f t="shared" si="576"/>
        <v>46076.70833</v>
      </c>
      <c r="BF576" s="19">
        <f t="shared" si="576"/>
        <v>46076.72917</v>
      </c>
      <c r="BG576" s="19">
        <f t="shared" si="576"/>
        <v>46076.75</v>
      </c>
      <c r="BH576" s="19">
        <f t="shared" si="576"/>
        <v>46076.77083</v>
      </c>
      <c r="BI576" s="19">
        <f t="shared" si="576"/>
        <v>46076.79167</v>
      </c>
      <c r="BJ576" s="19">
        <f t="shared" si="576"/>
        <v>46076.8125</v>
      </c>
      <c r="BK576" s="19">
        <f t="shared" si="576"/>
        <v>46076.83333</v>
      </c>
      <c r="BL576" s="19">
        <f t="shared" si="576"/>
        <v>46076.85417</v>
      </c>
      <c r="BM576" s="19">
        <f t="shared" si="576"/>
        <v>46076.875</v>
      </c>
      <c r="BN576" s="19">
        <f t="shared" si="576"/>
        <v>46076.89583</v>
      </c>
      <c r="BO576" s="19">
        <f t="shared" si="576"/>
        <v>46076.91667</v>
      </c>
      <c r="BP576" s="19">
        <f t="shared" si="576"/>
        <v>46076.9375</v>
      </c>
      <c r="BQ576" s="19">
        <f t="shared" si="576"/>
        <v>46076.95833</v>
      </c>
      <c r="BR576" s="19">
        <f t="shared" si="576"/>
        <v>46076.97917</v>
      </c>
      <c r="BS576" s="19">
        <f t="shared" si="576"/>
        <v>46077</v>
      </c>
      <c r="BT576" s="19">
        <f t="shared" si="576"/>
        <v>46077.02083</v>
      </c>
      <c r="BU576" s="19">
        <f t="shared" si="576"/>
        <v>46077.04167</v>
      </c>
      <c r="BV576" s="19">
        <f t="shared" si="576"/>
        <v>46077.0625</v>
      </c>
      <c r="BW576" s="19">
        <f t="shared" si="576"/>
        <v>46077.08333</v>
      </c>
      <c r="BX576" s="19">
        <f t="shared" si="576"/>
        <v>46076</v>
      </c>
      <c r="BY576" s="19">
        <f t="shared" si="576"/>
        <v>46076</v>
      </c>
      <c r="BZ576" s="19">
        <f t="shared" si="576"/>
        <v>46076</v>
      </c>
    </row>
    <row r="577" ht="14.25" customHeight="1">
      <c r="A577" s="17">
        <v>46077.0</v>
      </c>
      <c r="B577" s="2" t="str">
        <f t="array" ref="B577">IF(NOW()&gt;AM577,"",IF(AND((WEEKDAY($A577)+$B$2)&gt;1,((WEEKDAY($A577)+$T$2)&lt;7),(WEEKDAY($A577)&lt;&gt;1)),"work",(INDEX(Subject!$A:$I,MATCH(RANDBETWEEN(1,(MAX(Subject!$B:$B))),Subject!$B:$B,0),3))))</f>
        <v/>
      </c>
      <c r="C577" s="2" t="str">
        <f t="array" ref="C577">IF(NOW()&gt;AN577,"",IF(AND((WEEKDAY($A577)+$B$2)&gt;1,((WEEKDAY($A577)+$T$2)&lt;7),(WEEKDAY($A577)&lt;&gt;1)),"work",(INDEX(Subject!$A:$I,MATCH(RANDBETWEEN(1,(MAX(Subject!$B:$B))),Subject!$B:$B,0),3))))</f>
        <v/>
      </c>
      <c r="D577" s="2" t="str">
        <f t="array" ref="D577">IF(NOW()&gt;AO577,"",IF(AND((WEEKDAY($A577)+$B$2)&gt;1,((WEEKDAY($A577)+$T$2)&lt;7),(WEEKDAY($A577)&lt;&gt;1)),"work",(INDEX(Subject!$A:$I,MATCH(RANDBETWEEN(1,(MAX(Subject!$B:$B))),Subject!$B:$B,0),3))))</f>
        <v/>
      </c>
      <c r="E577" s="2" t="str">
        <f t="array" ref="E577">IF(NOW()&gt;AP577,"",IF(AND((WEEKDAY($A577)+$B$2)&gt;1,((WEEKDAY($A577)+$T$2)&lt;7),(WEEKDAY($A577)&lt;&gt;1)),"work",(INDEX(Subject!$A:$I,MATCH(RANDBETWEEN(1,(MAX(Subject!$B:$B))),Subject!$B:$B,0),3))))</f>
        <v/>
      </c>
      <c r="F577" s="2" t="str">
        <f t="array" ref="F577">IF(NOW()&gt;AQ577,"",IF(AND((WEEKDAY($A577)+$B$2)&gt;1,((WEEKDAY($A577)+$T$2)&lt;7),(WEEKDAY($A577)&lt;&gt;1)),"work",(INDEX(Subject!$A:$I,MATCH(RANDBETWEEN(1,(MAX(Subject!$B:$B))),Subject!$B:$B,0),3))))</f>
        <v/>
      </c>
      <c r="G577" s="2" t="str">
        <f t="array" ref="G577">IF(NOW()&gt;AR577,"",IF(AND((WEEKDAY($A577)+$B$2)&gt;1,((WEEKDAY($A577)+$T$2)&lt;7),(WEEKDAY($A577)&lt;&gt;1)),"work",(INDEX(Subject!$A:$I,MATCH(RANDBETWEEN(1,(MAX(Subject!$B:$B))),Subject!$B:$B,0),3))))</f>
        <v/>
      </c>
      <c r="H577" s="2" t="str">
        <f t="array" ref="H577">IF(NOW()&gt;AS577,"",IF(AND((WEEKDAY($A577)+$B$2)&gt;1,((WEEKDAY($A577)+$T$2)&lt;7),(WEEKDAY($A577)&lt;&gt;1)),"work",(INDEX(Subject!$A:$I,MATCH(RANDBETWEEN(1,(MAX(Subject!$B:$B))),Subject!$B:$B,0),3))))</f>
        <v/>
      </c>
      <c r="I577" s="2" t="str">
        <f t="array" ref="I577">IF(NOW()&gt;AT577,"",IF(AND((WEEKDAY($A577)+$B$2)&gt;1,((WEEKDAY($A577)+$T$2)&lt;7),(WEEKDAY($A577)&lt;&gt;1)),"work",(INDEX(Subject!$A:$I,MATCH(RANDBETWEEN(1,(MAX(Subject!$B:$B))),Subject!$B:$B,0),3))))</f>
        <v/>
      </c>
      <c r="J577" s="2" t="str">
        <f t="array" ref="J577">IF(NOW()&gt;AU577,"",IF(AND((WEEKDAY($A577)+$B$2)&gt;1,((WEEKDAY($A577)+$T$2)&lt;7),(WEEKDAY($A577)&lt;&gt;1)),"work",(INDEX(Subject!$A:$I,MATCH(RANDBETWEEN(1,(MAX(Subject!$B:$B))),Subject!$B:$B,0),3))))</f>
        <v/>
      </c>
      <c r="K577" s="2" t="str">
        <f t="array" ref="K577">IF(NOW()&gt;AV577,"",IF(AND((WEEKDAY($A577)+$B$2)&gt;1,((WEEKDAY($A577)+$T$2)&lt;7),(WEEKDAY($A577)&lt;&gt;1)),"work",(INDEX(Subject!$A:$I,MATCH(RANDBETWEEN(1,(MAX(Subject!$B:$B))),Subject!$B:$B,0),3))))</f>
        <v/>
      </c>
      <c r="L577" s="2" t="str">
        <f t="array" ref="L577">IF(NOW()&gt;AW577,"",IF(AND((WEEKDAY($A577)+$B$2)&gt;1,((WEEKDAY($A577)+$T$2)&lt;7),(WEEKDAY($A577)&lt;&gt;1)),"work",(INDEX(Subject!$A:$I,MATCH(RANDBETWEEN(1,(MAX(Subject!$B:$B))),Subject!$B:$B,0),3))))</f>
        <v/>
      </c>
      <c r="M577" s="2" t="str">
        <f t="array" ref="M577">IF(NOW()&gt;AX577,"",IF(AND((WEEKDAY($A577)+$B$2)&gt;1,((WEEKDAY($A577)+$T$2)&lt;7),(WEEKDAY($A577)&lt;&gt;1)),"work",(INDEX(Subject!$A:$I,MATCH(RANDBETWEEN(1,(MAX(Subject!$B:$B))),Subject!$B:$B,0),3))))</f>
        <v/>
      </c>
      <c r="N577" s="2" t="str">
        <f t="array" ref="N577">IF(NOW()&gt;AY577,"",IF(AND((WEEKDAY($A577)+$B$2)&gt;1,((WEEKDAY($A577)+$T$2)&lt;7),(WEEKDAY($A577)&lt;&gt;1)),"work",(INDEX(Subject!$A:$I,MATCH(RANDBETWEEN(1,(MAX(Subject!$B:$B))),Subject!$B:$B,0),3))))</f>
        <v/>
      </c>
      <c r="O577" s="2" t="str">
        <f t="array" ref="O577">IF(NOW()&gt;AZ577,"",IF(AND((WEEKDAY($A577)+$B$2)&gt;1,((WEEKDAY($A577)+$T$2)&lt;7),(WEEKDAY($A577)&lt;&gt;1)),"work",(INDEX(Subject!$A:$I,MATCH(RANDBETWEEN(1,(MAX(Subject!$B:$B))),Subject!$B:$B,0),3))))</f>
        <v/>
      </c>
      <c r="P577" s="2" t="str">
        <f t="array" ref="P577">IF(NOW()&gt;BA577,"",IF(AND((WEEKDAY($A577)+$B$2)&gt;1,((WEEKDAY($A577)+$T$2)&lt;7),(WEEKDAY($A577)&lt;&gt;1)),"work",(INDEX(Subject!$A:$I,MATCH(RANDBETWEEN(1,(MAX(Subject!$B:$B))),Subject!$B:$B,0),3))))</f>
        <v/>
      </c>
      <c r="Q577" s="2" t="str">
        <f t="array" ref="Q577">IF(NOW()&gt;BB577,"",IF(AND((WEEKDAY($A577)+$B$2)&gt;1,((WEEKDAY($A577)+$T$2)&lt;7),(WEEKDAY($A577)&lt;&gt;1)),"work",(INDEX(Subject!$A:$I,MATCH(RANDBETWEEN(1,(MAX(Subject!$B:$B))),Subject!$B:$B,0),3))))</f>
        <v/>
      </c>
      <c r="R577" s="2" t="str">
        <f t="array" ref="R577">IF(NOW()&gt;BC577,"",IF(AND((WEEKDAY($A577)+$B$2)&gt;1,((WEEKDAY($A577)+$T$2)&lt;7),(WEEKDAY($A577)&lt;&gt;1)),"work",(INDEX(Subject!$A:$I,MATCH(RANDBETWEEN(1,(MAX(Subject!$B:$B))),Subject!$B:$B,0),3))))</f>
        <v/>
      </c>
      <c r="S577" s="2" t="str">
        <f t="array" ref="S577">IF(NOW()&gt;BD577,"",IF(AND((WEEKDAY($A577)+$B$2)&gt;1,((WEEKDAY($A577)+$T$2)&lt;7),(WEEKDAY($A577)&lt;&gt;1)),"work",(INDEX(Subject!$A:$I,MATCH(RANDBETWEEN(1,(MAX(Subject!$B:$B))),Subject!$B:$B,0),3))))</f>
        <v/>
      </c>
      <c r="T577" s="2" t="str">
        <f t="array" ref="T577">IF(NOW()&gt;BE577,"",IF(AND((WEEKDAY($A577)+$B$2)&gt;1,((WEEKDAY($A577)+$T$2)&lt;7),(WEEKDAY($A577)&lt;&gt;1)),"work",(INDEX(Subject!$A:$I,MATCH(RANDBETWEEN(1,(MAX(Subject!$B:$B))),Subject!$B:$B,0),3))))</f>
        <v/>
      </c>
      <c r="U577" s="8" t="str">
        <f t="array" ref="U577">INDEX(Subject!$A:$I,MATCH(RANDBETWEEN(1,16),Subject!$B:$B,0),3)</f>
        <v>#N/A</v>
      </c>
      <c r="V577" s="8" t="str">
        <f t="array" ref="V577">INDEX(Subject!$A:$I,MATCH(RANDBETWEEN(1,16),Subject!$B:$B,0),3)</f>
        <v>#N/A</v>
      </c>
      <c r="W577" s="8" t="str">
        <f t="array" ref="W577">INDEX(Subject!$A:$I,MATCH(RANDBETWEEN(1,16),Subject!$B:$B,0),3)</f>
        <v>#N/A</v>
      </c>
      <c r="X577" s="8" t="str">
        <f t="array" ref="X577">INDEX(Subject!$A:$I,MATCH(RANDBETWEEN(1,16),Subject!$B:$B,0),3)</f>
        <v>#N/A</v>
      </c>
      <c r="Y577" s="8" t="str">
        <f t="array" ref="Y577">INDEX(Subject!$A:$I,MATCH(RANDBETWEEN(1,16),Subject!$B:$B,0),3)</f>
        <v>#N/A</v>
      </c>
      <c r="Z577" s="8" t="str">
        <f t="array" ref="Z577">INDEX(Subject!$A:$I,MATCH(RANDBETWEEN(1,16),Subject!$B:$B,0),3)</f>
        <v>#N/A</v>
      </c>
      <c r="AA577" s="8" t="str">
        <f t="array" ref="AA577">INDEX(Subject!$A:$I,MATCH(RANDBETWEEN(1,16),Subject!$B:$B,0),3)</f>
        <v>#N/A</v>
      </c>
      <c r="AB577" s="8" t="str">
        <f t="array" ref="AB577">INDEX(Subject!$A:$I,MATCH(RANDBETWEEN(1,16),Subject!$B:$B,0),3)</f>
        <v>#N/A</v>
      </c>
      <c r="AC577" s="8" t="str">
        <f t="array" ref="AC577">INDEX(Subject!$A:$I,MATCH(RANDBETWEEN(1,16),Subject!$B:$B,0),3)</f>
        <v>#N/A</v>
      </c>
      <c r="AD577" s="8" t="str">
        <f t="array" ref="AD577">INDEX(Subject!$A:$I,MATCH(RANDBETWEEN(1,16),Subject!$B:$B,0),3)</f>
        <v>#N/A</v>
      </c>
      <c r="AE577" s="8" t="str">
        <f t="array" ref="AE577">INDEX(Subject!$A:$I,MATCH(RANDBETWEEN(1,16),Subject!$B:$B,0),3)</f>
        <v>#N/A</v>
      </c>
      <c r="AF577" s="8" t="str">
        <f t="array" ref="AF577">INDEX(Subject!$A:$I,MATCH(RANDBETWEEN(1,16),Subject!$B:$B,0),3)</f>
        <v>#N/A</v>
      </c>
      <c r="AG577" s="8" t="str">
        <f t="array" ref="AG577">INDEX(Subject!$A:$I,MATCH(RANDBETWEEN(1,16),Subject!$B:$B,0),3)</f>
        <v/>
      </c>
      <c r="AH577" s="8" t="str">
        <f t="array" ref="AH577">INDEX(Subject!$A:$I,MATCH(RANDBETWEEN(1,16),Subject!$B:$B,0),3)</f>
        <v>#N/A</v>
      </c>
      <c r="AI577" s="8" t="str">
        <f t="array" ref="AI577">INDEX(Subject!$A:$I,MATCH(RANDBETWEEN(1,16),Subject!$B:$B,0),3)</f>
        <v>#N/A</v>
      </c>
      <c r="AJ577" s="8" t="str">
        <f t="array" ref="AJ577">INDEX(Subject!$A:$I,MATCH(RANDBETWEEN(1,16),Subject!$B:$B,0),3)</f>
        <v>#N/A</v>
      </c>
      <c r="AK577" s="8" t="str">
        <f t="array" ref="AK577">INDEX(Subject!$A:$I,MATCH(RANDBETWEEN(1,16),Subject!$B:$B,0),3)</f>
        <v>#N/A</v>
      </c>
      <c r="AL577" s="8" t="str">
        <f t="array" ref="AL577">INDEX(Subject!$A:$I,MATCH(RANDBETWEEN(1,16),Subject!$B:$B,0),3)</f>
        <v>#N/A</v>
      </c>
      <c r="AM577" s="18">
        <f t="shared" si="4"/>
        <v>46077.33333</v>
      </c>
      <c r="AN577" s="19">
        <f t="shared" ref="AN577:BZ577" si="577">$A577+C$1</f>
        <v>46077.35417</v>
      </c>
      <c r="AO577" s="19">
        <f t="shared" si="577"/>
        <v>46077.375</v>
      </c>
      <c r="AP577" s="19">
        <f t="shared" si="577"/>
        <v>46077.39583</v>
      </c>
      <c r="AQ577" s="19">
        <f t="shared" si="577"/>
        <v>46077.41667</v>
      </c>
      <c r="AR577" s="19">
        <f t="shared" si="577"/>
        <v>46077.4375</v>
      </c>
      <c r="AS577" s="19">
        <f t="shared" si="577"/>
        <v>46077.45833</v>
      </c>
      <c r="AT577" s="19">
        <f t="shared" si="577"/>
        <v>46077.47917</v>
      </c>
      <c r="AU577" s="19">
        <f t="shared" si="577"/>
        <v>46077.5</v>
      </c>
      <c r="AV577" s="19">
        <f t="shared" si="577"/>
        <v>46077.52083</v>
      </c>
      <c r="AW577" s="19">
        <f t="shared" si="577"/>
        <v>46077.54167</v>
      </c>
      <c r="AX577" s="19">
        <f t="shared" si="577"/>
        <v>46077.5625</v>
      </c>
      <c r="AY577" s="19">
        <f t="shared" si="577"/>
        <v>46077.58333</v>
      </c>
      <c r="AZ577" s="19">
        <f t="shared" si="577"/>
        <v>46077.60417</v>
      </c>
      <c r="BA577" s="19">
        <f t="shared" si="577"/>
        <v>46077.625</v>
      </c>
      <c r="BB577" s="19">
        <f t="shared" si="577"/>
        <v>46077.64583</v>
      </c>
      <c r="BC577" s="19">
        <f t="shared" si="577"/>
        <v>46077.66667</v>
      </c>
      <c r="BD577" s="19">
        <f t="shared" si="577"/>
        <v>46077.6875</v>
      </c>
      <c r="BE577" s="19">
        <f t="shared" si="577"/>
        <v>46077.70833</v>
      </c>
      <c r="BF577" s="19">
        <f t="shared" si="577"/>
        <v>46077.72917</v>
      </c>
      <c r="BG577" s="19">
        <f t="shared" si="577"/>
        <v>46077.75</v>
      </c>
      <c r="BH577" s="19">
        <f t="shared" si="577"/>
        <v>46077.77083</v>
      </c>
      <c r="BI577" s="19">
        <f t="shared" si="577"/>
        <v>46077.79167</v>
      </c>
      <c r="BJ577" s="19">
        <f t="shared" si="577"/>
        <v>46077.8125</v>
      </c>
      <c r="BK577" s="19">
        <f t="shared" si="577"/>
        <v>46077.83333</v>
      </c>
      <c r="BL577" s="19">
        <f t="shared" si="577"/>
        <v>46077.85417</v>
      </c>
      <c r="BM577" s="19">
        <f t="shared" si="577"/>
        <v>46077.875</v>
      </c>
      <c r="BN577" s="19">
        <f t="shared" si="577"/>
        <v>46077.89583</v>
      </c>
      <c r="BO577" s="19">
        <f t="shared" si="577"/>
        <v>46077.91667</v>
      </c>
      <c r="BP577" s="19">
        <f t="shared" si="577"/>
        <v>46077.9375</v>
      </c>
      <c r="BQ577" s="19">
        <f t="shared" si="577"/>
        <v>46077.95833</v>
      </c>
      <c r="BR577" s="19">
        <f t="shared" si="577"/>
        <v>46077.97917</v>
      </c>
      <c r="BS577" s="19">
        <f t="shared" si="577"/>
        <v>46078</v>
      </c>
      <c r="BT577" s="19">
        <f t="shared" si="577"/>
        <v>46078.02083</v>
      </c>
      <c r="BU577" s="19">
        <f t="shared" si="577"/>
        <v>46078.04167</v>
      </c>
      <c r="BV577" s="19">
        <f t="shared" si="577"/>
        <v>46078.0625</v>
      </c>
      <c r="BW577" s="19">
        <f t="shared" si="577"/>
        <v>46078.08333</v>
      </c>
      <c r="BX577" s="19">
        <f t="shared" si="577"/>
        <v>46077</v>
      </c>
      <c r="BY577" s="19">
        <f t="shared" si="577"/>
        <v>46077</v>
      </c>
      <c r="BZ577" s="19">
        <f t="shared" si="577"/>
        <v>46077</v>
      </c>
    </row>
    <row r="578" ht="14.25" customHeight="1">
      <c r="A578" s="17">
        <v>46078.0</v>
      </c>
      <c r="B578" s="2" t="str">
        <f t="array" ref="B578">IF(NOW()&gt;AM578,"",IF(AND((WEEKDAY($A578)+$B$2)&gt;1,((WEEKDAY($A578)+$T$2)&lt;7),(WEEKDAY($A578)&lt;&gt;1)),"work",(INDEX(Subject!$A:$I,MATCH(RANDBETWEEN(1,(MAX(Subject!$B:$B))),Subject!$B:$B,0),3))))</f>
        <v/>
      </c>
      <c r="C578" s="2" t="str">
        <f t="array" ref="C578">IF(NOW()&gt;AN578,"",IF(AND((WEEKDAY($A578)+$B$2)&gt;1,((WEEKDAY($A578)+$T$2)&lt;7),(WEEKDAY($A578)&lt;&gt;1)),"work",(INDEX(Subject!$A:$I,MATCH(RANDBETWEEN(1,(MAX(Subject!$B:$B))),Subject!$B:$B,0),3))))</f>
        <v/>
      </c>
      <c r="D578" s="2" t="str">
        <f t="array" ref="D578">IF(NOW()&gt;AO578,"",IF(AND((WEEKDAY($A578)+$B$2)&gt;1,((WEEKDAY($A578)+$T$2)&lt;7),(WEEKDAY($A578)&lt;&gt;1)),"work",(INDEX(Subject!$A:$I,MATCH(RANDBETWEEN(1,(MAX(Subject!$B:$B))),Subject!$B:$B,0),3))))</f>
        <v/>
      </c>
      <c r="E578" s="2" t="str">
        <f t="array" ref="E578">IF(NOW()&gt;AP578,"",IF(AND((WEEKDAY($A578)+$B$2)&gt;1,((WEEKDAY($A578)+$T$2)&lt;7),(WEEKDAY($A578)&lt;&gt;1)),"work",(INDEX(Subject!$A:$I,MATCH(RANDBETWEEN(1,(MAX(Subject!$B:$B))),Subject!$B:$B,0),3))))</f>
        <v/>
      </c>
      <c r="F578" s="2" t="str">
        <f t="array" ref="F578">IF(NOW()&gt;AQ578,"",IF(AND((WEEKDAY($A578)+$B$2)&gt;1,((WEEKDAY($A578)+$T$2)&lt;7),(WEEKDAY($A578)&lt;&gt;1)),"work",(INDEX(Subject!$A:$I,MATCH(RANDBETWEEN(1,(MAX(Subject!$B:$B))),Subject!$B:$B,0),3))))</f>
        <v/>
      </c>
      <c r="G578" s="2" t="str">
        <f t="array" ref="G578">IF(NOW()&gt;AR578,"",IF(AND((WEEKDAY($A578)+$B$2)&gt;1,((WEEKDAY($A578)+$T$2)&lt;7),(WEEKDAY($A578)&lt;&gt;1)),"work",(INDEX(Subject!$A:$I,MATCH(RANDBETWEEN(1,(MAX(Subject!$B:$B))),Subject!$B:$B,0),3))))</f>
        <v/>
      </c>
      <c r="H578" s="2" t="str">
        <f t="array" ref="H578">IF(NOW()&gt;AS578,"",IF(AND((WEEKDAY($A578)+$B$2)&gt;1,((WEEKDAY($A578)+$T$2)&lt;7),(WEEKDAY($A578)&lt;&gt;1)),"work",(INDEX(Subject!$A:$I,MATCH(RANDBETWEEN(1,(MAX(Subject!$B:$B))),Subject!$B:$B,0),3))))</f>
        <v/>
      </c>
      <c r="I578" s="2" t="str">
        <f t="array" ref="I578">IF(NOW()&gt;AT578,"",IF(AND((WEEKDAY($A578)+$B$2)&gt;1,((WEEKDAY($A578)+$T$2)&lt;7),(WEEKDAY($A578)&lt;&gt;1)),"work",(INDEX(Subject!$A:$I,MATCH(RANDBETWEEN(1,(MAX(Subject!$B:$B))),Subject!$B:$B,0),3))))</f>
        <v/>
      </c>
      <c r="J578" s="2" t="str">
        <f t="array" ref="J578">IF(NOW()&gt;AU578,"",IF(AND((WEEKDAY($A578)+$B$2)&gt;1,((WEEKDAY($A578)+$T$2)&lt;7),(WEEKDAY($A578)&lt;&gt;1)),"work",(INDEX(Subject!$A:$I,MATCH(RANDBETWEEN(1,(MAX(Subject!$B:$B))),Subject!$B:$B,0),3))))</f>
        <v/>
      </c>
      <c r="K578" s="2" t="str">
        <f t="array" ref="K578">IF(NOW()&gt;AV578,"",IF(AND((WEEKDAY($A578)+$B$2)&gt;1,((WEEKDAY($A578)+$T$2)&lt;7),(WEEKDAY($A578)&lt;&gt;1)),"work",(INDEX(Subject!$A:$I,MATCH(RANDBETWEEN(1,(MAX(Subject!$B:$B))),Subject!$B:$B,0),3))))</f>
        <v/>
      </c>
      <c r="L578" s="2" t="str">
        <f t="array" ref="L578">IF(NOW()&gt;AW578,"",IF(AND((WEEKDAY($A578)+$B$2)&gt;1,((WEEKDAY($A578)+$T$2)&lt;7),(WEEKDAY($A578)&lt;&gt;1)),"work",(INDEX(Subject!$A:$I,MATCH(RANDBETWEEN(1,(MAX(Subject!$B:$B))),Subject!$B:$B,0),3))))</f>
        <v/>
      </c>
      <c r="M578" s="2" t="str">
        <f t="array" ref="M578">IF(NOW()&gt;AX578,"",IF(AND((WEEKDAY($A578)+$B$2)&gt;1,((WEEKDAY($A578)+$T$2)&lt;7),(WEEKDAY($A578)&lt;&gt;1)),"work",(INDEX(Subject!$A:$I,MATCH(RANDBETWEEN(1,(MAX(Subject!$B:$B))),Subject!$B:$B,0),3))))</f>
        <v/>
      </c>
      <c r="N578" s="2" t="str">
        <f t="array" ref="N578">IF(NOW()&gt;AY578,"",IF(AND((WEEKDAY($A578)+$B$2)&gt;1,((WEEKDAY($A578)+$T$2)&lt;7),(WEEKDAY($A578)&lt;&gt;1)),"work",(INDEX(Subject!$A:$I,MATCH(RANDBETWEEN(1,(MAX(Subject!$B:$B))),Subject!$B:$B,0),3))))</f>
        <v/>
      </c>
      <c r="O578" s="2" t="str">
        <f t="array" ref="O578">IF(NOW()&gt;AZ578,"",IF(AND((WEEKDAY($A578)+$B$2)&gt;1,((WEEKDAY($A578)+$T$2)&lt;7),(WEEKDAY($A578)&lt;&gt;1)),"work",(INDEX(Subject!$A:$I,MATCH(RANDBETWEEN(1,(MAX(Subject!$B:$B))),Subject!$B:$B,0),3))))</f>
        <v/>
      </c>
      <c r="P578" s="2" t="str">
        <f t="array" ref="P578">IF(NOW()&gt;BA578,"",IF(AND((WEEKDAY($A578)+$B$2)&gt;1,((WEEKDAY($A578)+$T$2)&lt;7),(WEEKDAY($A578)&lt;&gt;1)),"work",(INDEX(Subject!$A:$I,MATCH(RANDBETWEEN(1,(MAX(Subject!$B:$B))),Subject!$B:$B,0),3))))</f>
        <v/>
      </c>
      <c r="Q578" s="2" t="str">
        <f t="array" ref="Q578">IF(NOW()&gt;BB578,"",IF(AND((WEEKDAY($A578)+$B$2)&gt;1,((WEEKDAY($A578)+$T$2)&lt;7),(WEEKDAY($A578)&lt;&gt;1)),"work",(INDEX(Subject!$A:$I,MATCH(RANDBETWEEN(1,(MAX(Subject!$B:$B))),Subject!$B:$B,0),3))))</f>
        <v/>
      </c>
      <c r="R578" s="2" t="str">
        <f t="array" ref="R578">IF(NOW()&gt;BC578,"",IF(AND((WEEKDAY($A578)+$B$2)&gt;1,((WEEKDAY($A578)+$T$2)&lt;7),(WEEKDAY($A578)&lt;&gt;1)),"work",(INDEX(Subject!$A:$I,MATCH(RANDBETWEEN(1,(MAX(Subject!$B:$B))),Subject!$B:$B,0),3))))</f>
        <v/>
      </c>
      <c r="S578" s="2" t="str">
        <f t="array" ref="S578">IF(NOW()&gt;BD578,"",IF(AND((WEEKDAY($A578)+$B$2)&gt;1,((WEEKDAY($A578)+$T$2)&lt;7),(WEEKDAY($A578)&lt;&gt;1)),"work",(INDEX(Subject!$A:$I,MATCH(RANDBETWEEN(1,(MAX(Subject!$B:$B))),Subject!$B:$B,0),3))))</f>
        <v/>
      </c>
      <c r="T578" s="2" t="str">
        <f t="array" ref="T578">IF(NOW()&gt;BE578,"",IF(AND((WEEKDAY($A578)+$B$2)&gt;1,((WEEKDAY($A578)+$T$2)&lt;7),(WEEKDAY($A578)&lt;&gt;1)),"work",(INDEX(Subject!$A:$I,MATCH(RANDBETWEEN(1,(MAX(Subject!$B:$B))),Subject!$B:$B,0),3))))</f>
        <v/>
      </c>
      <c r="U578" s="8" t="str">
        <f t="array" ref="U578">INDEX(Subject!$A:$I,MATCH(RANDBETWEEN(1,16),Subject!$B:$B,0),3)</f>
        <v>#N/A</v>
      </c>
      <c r="V578" s="8" t="str">
        <f t="array" ref="V578">INDEX(Subject!$A:$I,MATCH(RANDBETWEEN(1,16),Subject!$B:$B,0),3)</f>
        <v>#N/A</v>
      </c>
      <c r="W578" s="8" t="str">
        <f t="array" ref="W578">INDEX(Subject!$A:$I,MATCH(RANDBETWEEN(1,16),Subject!$B:$B,0),3)</f>
        <v>#N/A</v>
      </c>
      <c r="X578" s="8" t="str">
        <f t="array" ref="X578">INDEX(Subject!$A:$I,MATCH(RANDBETWEEN(1,16),Subject!$B:$B,0),3)</f>
        <v>#N/A</v>
      </c>
      <c r="Y578" s="8" t="str">
        <f t="array" ref="Y578">INDEX(Subject!$A:$I,MATCH(RANDBETWEEN(1,16),Subject!$B:$B,0),3)</f>
        <v>#N/A</v>
      </c>
      <c r="Z578" s="8" t="str">
        <f t="array" ref="Z578">INDEX(Subject!$A:$I,MATCH(RANDBETWEEN(1,16),Subject!$B:$B,0),3)</f>
        <v>#N/A</v>
      </c>
      <c r="AA578" s="8" t="str">
        <f t="array" ref="AA578">INDEX(Subject!$A:$I,MATCH(RANDBETWEEN(1,16),Subject!$B:$B,0),3)</f>
        <v>#N/A</v>
      </c>
      <c r="AB578" s="8" t="str">
        <f t="array" ref="AB578">INDEX(Subject!$A:$I,MATCH(RANDBETWEEN(1,16),Subject!$B:$B,0),3)</f>
        <v>#N/A</v>
      </c>
      <c r="AC578" s="8" t="str">
        <f t="array" ref="AC578">INDEX(Subject!$A:$I,MATCH(RANDBETWEEN(1,16),Subject!$B:$B,0),3)</f>
        <v>#N/A</v>
      </c>
      <c r="AD578" s="8" t="str">
        <f t="array" ref="AD578">INDEX(Subject!$A:$I,MATCH(RANDBETWEEN(1,16),Subject!$B:$B,0),3)</f>
        <v>#N/A</v>
      </c>
      <c r="AE578" s="8" t="str">
        <f t="array" ref="AE578">INDEX(Subject!$A:$I,MATCH(RANDBETWEEN(1,16),Subject!$B:$B,0),3)</f>
        <v/>
      </c>
      <c r="AF578" s="8" t="str">
        <f t="array" ref="AF578">INDEX(Subject!$A:$I,MATCH(RANDBETWEEN(1,16),Subject!$B:$B,0),3)</f>
        <v>#N/A</v>
      </c>
      <c r="AG578" s="8" t="str">
        <f t="array" ref="AG578">INDEX(Subject!$A:$I,MATCH(RANDBETWEEN(1,16),Subject!$B:$B,0),3)</f>
        <v/>
      </c>
      <c r="AH578" s="8" t="str">
        <f t="array" ref="AH578">INDEX(Subject!$A:$I,MATCH(RANDBETWEEN(1,16),Subject!$B:$B,0),3)</f>
        <v>#N/A</v>
      </c>
      <c r="AI578" s="8" t="str">
        <f t="array" ref="AI578">INDEX(Subject!$A:$I,MATCH(RANDBETWEEN(1,16),Subject!$B:$B,0),3)</f>
        <v>#N/A</v>
      </c>
      <c r="AJ578" s="8" t="str">
        <f t="array" ref="AJ578">INDEX(Subject!$A:$I,MATCH(RANDBETWEEN(1,16),Subject!$B:$B,0),3)</f>
        <v>#N/A</v>
      </c>
      <c r="AK578" s="8" t="str">
        <f t="array" ref="AK578">INDEX(Subject!$A:$I,MATCH(RANDBETWEEN(1,16),Subject!$B:$B,0),3)</f>
        <v>#N/A</v>
      </c>
      <c r="AL578" s="8" t="str">
        <f t="array" ref="AL578">INDEX(Subject!$A:$I,MATCH(RANDBETWEEN(1,16),Subject!$B:$B,0),3)</f>
        <v>#N/A</v>
      </c>
      <c r="AM578" s="18">
        <f t="shared" si="4"/>
        <v>46078.33333</v>
      </c>
      <c r="AN578" s="19">
        <f t="shared" ref="AN578:BZ578" si="578">$A578+C$1</f>
        <v>46078.35417</v>
      </c>
      <c r="AO578" s="19">
        <f t="shared" si="578"/>
        <v>46078.375</v>
      </c>
      <c r="AP578" s="19">
        <f t="shared" si="578"/>
        <v>46078.39583</v>
      </c>
      <c r="AQ578" s="19">
        <f t="shared" si="578"/>
        <v>46078.41667</v>
      </c>
      <c r="AR578" s="19">
        <f t="shared" si="578"/>
        <v>46078.4375</v>
      </c>
      <c r="AS578" s="19">
        <f t="shared" si="578"/>
        <v>46078.45833</v>
      </c>
      <c r="AT578" s="19">
        <f t="shared" si="578"/>
        <v>46078.47917</v>
      </c>
      <c r="AU578" s="19">
        <f t="shared" si="578"/>
        <v>46078.5</v>
      </c>
      <c r="AV578" s="19">
        <f t="shared" si="578"/>
        <v>46078.52083</v>
      </c>
      <c r="AW578" s="19">
        <f t="shared" si="578"/>
        <v>46078.54167</v>
      </c>
      <c r="AX578" s="19">
        <f t="shared" si="578"/>
        <v>46078.5625</v>
      </c>
      <c r="AY578" s="19">
        <f t="shared" si="578"/>
        <v>46078.58333</v>
      </c>
      <c r="AZ578" s="19">
        <f t="shared" si="578"/>
        <v>46078.60417</v>
      </c>
      <c r="BA578" s="19">
        <f t="shared" si="578"/>
        <v>46078.625</v>
      </c>
      <c r="BB578" s="19">
        <f t="shared" si="578"/>
        <v>46078.64583</v>
      </c>
      <c r="BC578" s="19">
        <f t="shared" si="578"/>
        <v>46078.66667</v>
      </c>
      <c r="BD578" s="19">
        <f t="shared" si="578"/>
        <v>46078.6875</v>
      </c>
      <c r="BE578" s="19">
        <f t="shared" si="578"/>
        <v>46078.70833</v>
      </c>
      <c r="BF578" s="19">
        <f t="shared" si="578"/>
        <v>46078.72917</v>
      </c>
      <c r="BG578" s="19">
        <f t="shared" si="578"/>
        <v>46078.75</v>
      </c>
      <c r="BH578" s="19">
        <f t="shared" si="578"/>
        <v>46078.77083</v>
      </c>
      <c r="BI578" s="19">
        <f t="shared" si="578"/>
        <v>46078.79167</v>
      </c>
      <c r="BJ578" s="19">
        <f t="shared" si="578"/>
        <v>46078.8125</v>
      </c>
      <c r="BK578" s="19">
        <f t="shared" si="578"/>
        <v>46078.83333</v>
      </c>
      <c r="BL578" s="19">
        <f t="shared" si="578"/>
        <v>46078.85417</v>
      </c>
      <c r="BM578" s="19">
        <f t="shared" si="578"/>
        <v>46078.875</v>
      </c>
      <c r="BN578" s="19">
        <f t="shared" si="578"/>
        <v>46078.89583</v>
      </c>
      <c r="BO578" s="19">
        <f t="shared" si="578"/>
        <v>46078.91667</v>
      </c>
      <c r="BP578" s="19">
        <f t="shared" si="578"/>
        <v>46078.9375</v>
      </c>
      <c r="BQ578" s="19">
        <f t="shared" si="578"/>
        <v>46078.95833</v>
      </c>
      <c r="BR578" s="19">
        <f t="shared" si="578"/>
        <v>46078.97917</v>
      </c>
      <c r="BS578" s="19">
        <f t="shared" si="578"/>
        <v>46079</v>
      </c>
      <c r="BT578" s="19">
        <f t="shared" si="578"/>
        <v>46079.02083</v>
      </c>
      <c r="BU578" s="19">
        <f t="shared" si="578"/>
        <v>46079.04167</v>
      </c>
      <c r="BV578" s="19">
        <f t="shared" si="578"/>
        <v>46079.0625</v>
      </c>
      <c r="BW578" s="19">
        <f t="shared" si="578"/>
        <v>46079.08333</v>
      </c>
      <c r="BX578" s="19">
        <f t="shared" si="578"/>
        <v>46078</v>
      </c>
      <c r="BY578" s="19">
        <f t="shared" si="578"/>
        <v>46078</v>
      </c>
      <c r="BZ578" s="19">
        <f t="shared" si="578"/>
        <v>46078</v>
      </c>
    </row>
    <row r="579" ht="14.25" customHeight="1">
      <c r="A579" s="17">
        <v>46079.0</v>
      </c>
      <c r="B579" s="2" t="str">
        <f t="array" ref="B579">IF(NOW()&gt;AM579,"",IF(AND((WEEKDAY($A579)+$B$2)&gt;1,((WEEKDAY($A579)+$T$2)&lt;7),(WEEKDAY($A579)&lt;&gt;1)),"work",(INDEX(Subject!$A:$I,MATCH(RANDBETWEEN(1,(MAX(Subject!$B:$B))),Subject!$B:$B,0),3))))</f>
        <v/>
      </c>
      <c r="C579" s="2" t="str">
        <f t="array" ref="C579">IF(NOW()&gt;AN579,"",IF(AND((WEEKDAY($A579)+$B$2)&gt;1,((WEEKDAY($A579)+$T$2)&lt;7),(WEEKDAY($A579)&lt;&gt;1)),"work",(INDEX(Subject!$A:$I,MATCH(RANDBETWEEN(1,(MAX(Subject!$B:$B))),Subject!$B:$B,0),3))))</f>
        <v/>
      </c>
      <c r="D579" s="2" t="str">
        <f t="array" ref="D579">IF(NOW()&gt;AO579,"",IF(AND((WEEKDAY($A579)+$B$2)&gt;1,((WEEKDAY($A579)+$T$2)&lt;7),(WEEKDAY($A579)&lt;&gt;1)),"work",(INDEX(Subject!$A:$I,MATCH(RANDBETWEEN(1,(MAX(Subject!$B:$B))),Subject!$B:$B,0),3))))</f>
        <v/>
      </c>
      <c r="E579" s="2" t="str">
        <f t="array" ref="E579">IF(NOW()&gt;AP579,"",IF(AND((WEEKDAY($A579)+$B$2)&gt;1,((WEEKDAY($A579)+$T$2)&lt;7),(WEEKDAY($A579)&lt;&gt;1)),"work",(INDEX(Subject!$A:$I,MATCH(RANDBETWEEN(1,(MAX(Subject!$B:$B))),Subject!$B:$B,0),3))))</f>
        <v/>
      </c>
      <c r="F579" s="2" t="str">
        <f t="array" ref="F579">IF(NOW()&gt;AQ579,"",IF(AND((WEEKDAY($A579)+$B$2)&gt;1,((WEEKDAY($A579)+$T$2)&lt;7),(WEEKDAY($A579)&lt;&gt;1)),"work",(INDEX(Subject!$A:$I,MATCH(RANDBETWEEN(1,(MAX(Subject!$B:$B))),Subject!$B:$B,0),3))))</f>
        <v/>
      </c>
      <c r="G579" s="2" t="str">
        <f t="array" ref="G579">IF(NOW()&gt;AR579,"",IF(AND((WEEKDAY($A579)+$B$2)&gt;1,((WEEKDAY($A579)+$T$2)&lt;7),(WEEKDAY($A579)&lt;&gt;1)),"work",(INDEX(Subject!$A:$I,MATCH(RANDBETWEEN(1,(MAX(Subject!$B:$B))),Subject!$B:$B,0),3))))</f>
        <v/>
      </c>
      <c r="H579" s="2" t="str">
        <f t="array" ref="H579">IF(NOW()&gt;AS579,"",IF(AND((WEEKDAY($A579)+$B$2)&gt;1,((WEEKDAY($A579)+$T$2)&lt;7),(WEEKDAY($A579)&lt;&gt;1)),"work",(INDEX(Subject!$A:$I,MATCH(RANDBETWEEN(1,(MAX(Subject!$B:$B))),Subject!$B:$B,0),3))))</f>
        <v/>
      </c>
      <c r="I579" s="2" t="str">
        <f t="array" ref="I579">IF(NOW()&gt;AT579,"",IF(AND((WEEKDAY($A579)+$B$2)&gt;1,((WEEKDAY($A579)+$T$2)&lt;7),(WEEKDAY($A579)&lt;&gt;1)),"work",(INDEX(Subject!$A:$I,MATCH(RANDBETWEEN(1,(MAX(Subject!$B:$B))),Subject!$B:$B,0),3))))</f>
        <v/>
      </c>
      <c r="J579" s="2" t="str">
        <f t="array" ref="J579">IF(NOW()&gt;AU579,"",IF(AND((WEEKDAY($A579)+$B$2)&gt;1,((WEEKDAY($A579)+$T$2)&lt;7),(WEEKDAY($A579)&lt;&gt;1)),"work",(INDEX(Subject!$A:$I,MATCH(RANDBETWEEN(1,(MAX(Subject!$B:$B))),Subject!$B:$B,0),3))))</f>
        <v/>
      </c>
      <c r="K579" s="2" t="str">
        <f t="array" ref="K579">IF(NOW()&gt;AV579,"",IF(AND((WEEKDAY($A579)+$B$2)&gt;1,((WEEKDAY($A579)+$T$2)&lt;7),(WEEKDAY($A579)&lt;&gt;1)),"work",(INDEX(Subject!$A:$I,MATCH(RANDBETWEEN(1,(MAX(Subject!$B:$B))),Subject!$B:$B,0),3))))</f>
        <v/>
      </c>
      <c r="L579" s="2" t="str">
        <f t="array" ref="L579">IF(NOW()&gt;AW579,"",IF(AND((WEEKDAY($A579)+$B$2)&gt;1,((WEEKDAY($A579)+$T$2)&lt;7),(WEEKDAY($A579)&lt;&gt;1)),"work",(INDEX(Subject!$A:$I,MATCH(RANDBETWEEN(1,(MAX(Subject!$B:$B))),Subject!$B:$B,0),3))))</f>
        <v/>
      </c>
      <c r="M579" s="2" t="str">
        <f t="array" ref="M579">IF(NOW()&gt;AX579,"",IF(AND((WEEKDAY($A579)+$B$2)&gt;1,((WEEKDAY($A579)+$T$2)&lt;7),(WEEKDAY($A579)&lt;&gt;1)),"work",(INDEX(Subject!$A:$I,MATCH(RANDBETWEEN(1,(MAX(Subject!$B:$B))),Subject!$B:$B,0),3))))</f>
        <v/>
      </c>
      <c r="N579" s="2" t="str">
        <f t="array" ref="N579">IF(NOW()&gt;AY579,"",IF(AND((WEEKDAY($A579)+$B$2)&gt;1,((WEEKDAY($A579)+$T$2)&lt;7),(WEEKDAY($A579)&lt;&gt;1)),"work",(INDEX(Subject!$A:$I,MATCH(RANDBETWEEN(1,(MAX(Subject!$B:$B))),Subject!$B:$B,0),3))))</f>
        <v/>
      </c>
      <c r="O579" s="2" t="str">
        <f t="array" ref="O579">IF(NOW()&gt;AZ579,"",IF(AND((WEEKDAY($A579)+$B$2)&gt;1,((WEEKDAY($A579)+$T$2)&lt;7),(WEEKDAY($A579)&lt;&gt;1)),"work",(INDEX(Subject!$A:$I,MATCH(RANDBETWEEN(1,(MAX(Subject!$B:$B))),Subject!$B:$B,0),3))))</f>
        <v/>
      </c>
      <c r="P579" s="2" t="str">
        <f t="array" ref="P579">IF(NOW()&gt;BA579,"",IF(AND((WEEKDAY($A579)+$B$2)&gt;1,((WEEKDAY($A579)+$T$2)&lt;7),(WEEKDAY($A579)&lt;&gt;1)),"work",(INDEX(Subject!$A:$I,MATCH(RANDBETWEEN(1,(MAX(Subject!$B:$B))),Subject!$B:$B,0),3))))</f>
        <v/>
      </c>
      <c r="Q579" s="2" t="str">
        <f t="array" ref="Q579">IF(NOW()&gt;BB579,"",IF(AND((WEEKDAY($A579)+$B$2)&gt;1,((WEEKDAY($A579)+$T$2)&lt;7),(WEEKDAY($A579)&lt;&gt;1)),"work",(INDEX(Subject!$A:$I,MATCH(RANDBETWEEN(1,(MAX(Subject!$B:$B))),Subject!$B:$B,0),3))))</f>
        <v/>
      </c>
      <c r="R579" s="2" t="str">
        <f t="array" ref="R579">IF(NOW()&gt;BC579,"",IF(AND((WEEKDAY($A579)+$B$2)&gt;1,((WEEKDAY($A579)+$T$2)&lt;7),(WEEKDAY($A579)&lt;&gt;1)),"work",(INDEX(Subject!$A:$I,MATCH(RANDBETWEEN(1,(MAX(Subject!$B:$B))),Subject!$B:$B,0),3))))</f>
        <v/>
      </c>
      <c r="S579" s="2" t="str">
        <f t="array" ref="S579">IF(NOW()&gt;BD579,"",IF(AND((WEEKDAY($A579)+$B$2)&gt;1,((WEEKDAY($A579)+$T$2)&lt;7),(WEEKDAY($A579)&lt;&gt;1)),"work",(INDEX(Subject!$A:$I,MATCH(RANDBETWEEN(1,(MAX(Subject!$B:$B))),Subject!$B:$B,0),3))))</f>
        <v/>
      </c>
      <c r="T579" s="2" t="str">
        <f t="array" ref="T579">IF(NOW()&gt;BE579,"",IF(AND((WEEKDAY($A579)+$B$2)&gt;1,((WEEKDAY($A579)+$T$2)&lt;7),(WEEKDAY($A579)&lt;&gt;1)),"work",(INDEX(Subject!$A:$I,MATCH(RANDBETWEEN(1,(MAX(Subject!$B:$B))),Subject!$B:$B,0),3))))</f>
        <v/>
      </c>
      <c r="U579" s="8" t="str">
        <f t="array" ref="U579">INDEX(Subject!$A:$I,MATCH(RANDBETWEEN(1,16),Subject!$B:$B,0),3)</f>
        <v>#N/A</v>
      </c>
      <c r="V579" s="8" t="str">
        <f t="array" ref="V579">INDEX(Subject!$A:$I,MATCH(RANDBETWEEN(1,16),Subject!$B:$B,0),3)</f>
        <v>#N/A</v>
      </c>
      <c r="W579" s="8" t="str">
        <f t="array" ref="W579">INDEX(Subject!$A:$I,MATCH(RANDBETWEEN(1,16),Subject!$B:$B,0),3)</f>
        <v>#N/A</v>
      </c>
      <c r="X579" s="8" t="str">
        <f t="array" ref="X579">INDEX(Subject!$A:$I,MATCH(RANDBETWEEN(1,16),Subject!$B:$B,0),3)</f>
        <v>#N/A</v>
      </c>
      <c r="Y579" s="8" t="str">
        <f t="array" ref="Y579">INDEX(Subject!$A:$I,MATCH(RANDBETWEEN(1,16),Subject!$B:$B,0),3)</f>
        <v>#N/A</v>
      </c>
      <c r="Z579" s="8" t="str">
        <f t="array" ref="Z579">INDEX(Subject!$A:$I,MATCH(RANDBETWEEN(1,16),Subject!$B:$B,0),3)</f>
        <v>#N/A</v>
      </c>
      <c r="AA579" s="8" t="str">
        <f t="array" ref="AA579">INDEX(Subject!$A:$I,MATCH(RANDBETWEEN(1,16),Subject!$B:$B,0),3)</f>
        <v>#N/A</v>
      </c>
      <c r="AB579" s="8" t="str">
        <f t="array" ref="AB579">INDEX(Subject!$A:$I,MATCH(RANDBETWEEN(1,16),Subject!$B:$B,0),3)</f>
        <v>#N/A</v>
      </c>
      <c r="AC579" s="8" t="str">
        <f t="array" ref="AC579">INDEX(Subject!$A:$I,MATCH(RANDBETWEEN(1,16),Subject!$B:$B,0),3)</f>
        <v>#N/A</v>
      </c>
      <c r="AD579" s="8" t="str">
        <f t="array" ref="AD579">INDEX(Subject!$A:$I,MATCH(RANDBETWEEN(1,16),Subject!$B:$B,0),3)</f>
        <v>#N/A</v>
      </c>
      <c r="AE579" s="8" t="str">
        <f t="array" ref="AE579">INDEX(Subject!$A:$I,MATCH(RANDBETWEEN(1,16),Subject!$B:$B,0),3)</f>
        <v>#N/A</v>
      </c>
      <c r="AF579" s="8" t="str">
        <f t="array" ref="AF579">INDEX(Subject!$A:$I,MATCH(RANDBETWEEN(1,16),Subject!$B:$B,0),3)</f>
        <v>#N/A</v>
      </c>
      <c r="AG579" s="8" t="str">
        <f t="array" ref="AG579">INDEX(Subject!$A:$I,MATCH(RANDBETWEEN(1,16),Subject!$B:$B,0),3)</f>
        <v/>
      </c>
      <c r="AH579" s="8" t="str">
        <f t="array" ref="AH579">INDEX(Subject!$A:$I,MATCH(RANDBETWEEN(1,16),Subject!$B:$B,0),3)</f>
        <v>#N/A</v>
      </c>
      <c r="AI579" s="8" t="str">
        <f t="array" ref="AI579">INDEX(Subject!$A:$I,MATCH(RANDBETWEEN(1,16),Subject!$B:$B,0),3)</f>
        <v>#N/A</v>
      </c>
      <c r="AJ579" s="8" t="str">
        <f t="array" ref="AJ579">INDEX(Subject!$A:$I,MATCH(RANDBETWEEN(1,16),Subject!$B:$B,0),3)</f>
        <v>#N/A</v>
      </c>
      <c r="AK579" s="8" t="str">
        <f t="array" ref="AK579">INDEX(Subject!$A:$I,MATCH(RANDBETWEEN(1,16),Subject!$B:$B,0),3)</f>
        <v/>
      </c>
      <c r="AL579" s="8" t="str">
        <f t="array" ref="AL579">INDEX(Subject!$A:$I,MATCH(RANDBETWEEN(1,16),Subject!$B:$B,0),3)</f>
        <v>#N/A</v>
      </c>
      <c r="AM579" s="18">
        <f t="shared" si="4"/>
        <v>46079.33333</v>
      </c>
      <c r="AN579" s="19">
        <f t="shared" ref="AN579:BZ579" si="579">$A579+C$1</f>
        <v>46079.35417</v>
      </c>
      <c r="AO579" s="19">
        <f t="shared" si="579"/>
        <v>46079.375</v>
      </c>
      <c r="AP579" s="19">
        <f t="shared" si="579"/>
        <v>46079.39583</v>
      </c>
      <c r="AQ579" s="19">
        <f t="shared" si="579"/>
        <v>46079.41667</v>
      </c>
      <c r="AR579" s="19">
        <f t="shared" si="579"/>
        <v>46079.4375</v>
      </c>
      <c r="AS579" s="19">
        <f t="shared" si="579"/>
        <v>46079.45833</v>
      </c>
      <c r="AT579" s="19">
        <f t="shared" si="579"/>
        <v>46079.47917</v>
      </c>
      <c r="AU579" s="19">
        <f t="shared" si="579"/>
        <v>46079.5</v>
      </c>
      <c r="AV579" s="19">
        <f t="shared" si="579"/>
        <v>46079.52083</v>
      </c>
      <c r="AW579" s="19">
        <f t="shared" si="579"/>
        <v>46079.54167</v>
      </c>
      <c r="AX579" s="19">
        <f t="shared" si="579"/>
        <v>46079.5625</v>
      </c>
      <c r="AY579" s="19">
        <f t="shared" si="579"/>
        <v>46079.58333</v>
      </c>
      <c r="AZ579" s="19">
        <f t="shared" si="579"/>
        <v>46079.60417</v>
      </c>
      <c r="BA579" s="19">
        <f t="shared" si="579"/>
        <v>46079.625</v>
      </c>
      <c r="BB579" s="19">
        <f t="shared" si="579"/>
        <v>46079.64583</v>
      </c>
      <c r="BC579" s="19">
        <f t="shared" si="579"/>
        <v>46079.66667</v>
      </c>
      <c r="BD579" s="19">
        <f t="shared" si="579"/>
        <v>46079.6875</v>
      </c>
      <c r="BE579" s="19">
        <f t="shared" si="579"/>
        <v>46079.70833</v>
      </c>
      <c r="BF579" s="19">
        <f t="shared" si="579"/>
        <v>46079.72917</v>
      </c>
      <c r="BG579" s="19">
        <f t="shared" si="579"/>
        <v>46079.75</v>
      </c>
      <c r="BH579" s="19">
        <f t="shared" si="579"/>
        <v>46079.77083</v>
      </c>
      <c r="BI579" s="19">
        <f t="shared" si="579"/>
        <v>46079.79167</v>
      </c>
      <c r="BJ579" s="19">
        <f t="shared" si="579"/>
        <v>46079.8125</v>
      </c>
      <c r="BK579" s="19">
        <f t="shared" si="579"/>
        <v>46079.83333</v>
      </c>
      <c r="BL579" s="19">
        <f t="shared" si="579"/>
        <v>46079.85417</v>
      </c>
      <c r="BM579" s="19">
        <f t="shared" si="579"/>
        <v>46079.875</v>
      </c>
      <c r="BN579" s="19">
        <f t="shared" si="579"/>
        <v>46079.89583</v>
      </c>
      <c r="BO579" s="19">
        <f t="shared" si="579"/>
        <v>46079.91667</v>
      </c>
      <c r="BP579" s="19">
        <f t="shared" si="579"/>
        <v>46079.9375</v>
      </c>
      <c r="BQ579" s="19">
        <f t="shared" si="579"/>
        <v>46079.95833</v>
      </c>
      <c r="BR579" s="19">
        <f t="shared" si="579"/>
        <v>46079.97917</v>
      </c>
      <c r="BS579" s="19">
        <f t="shared" si="579"/>
        <v>46080</v>
      </c>
      <c r="BT579" s="19">
        <f t="shared" si="579"/>
        <v>46080.02083</v>
      </c>
      <c r="BU579" s="19">
        <f t="shared" si="579"/>
        <v>46080.04167</v>
      </c>
      <c r="BV579" s="19">
        <f t="shared" si="579"/>
        <v>46080.0625</v>
      </c>
      <c r="BW579" s="19">
        <f t="shared" si="579"/>
        <v>46080.08333</v>
      </c>
      <c r="BX579" s="19">
        <f t="shared" si="579"/>
        <v>46079</v>
      </c>
      <c r="BY579" s="19">
        <f t="shared" si="579"/>
        <v>46079</v>
      </c>
      <c r="BZ579" s="19">
        <f t="shared" si="579"/>
        <v>46079</v>
      </c>
    </row>
    <row r="580" ht="14.25" customHeight="1">
      <c r="A580" s="17">
        <v>46080.0</v>
      </c>
      <c r="B580" s="2" t="str">
        <f t="array" ref="B580">IF(NOW()&gt;AM580,"",IF(AND((WEEKDAY($A580)+$B$2)&gt;1,((WEEKDAY($A580)+$T$2)&lt;7),(WEEKDAY($A580)&lt;&gt;1)),"work",(INDEX(Subject!$A:$I,MATCH(RANDBETWEEN(1,(MAX(Subject!$B:$B))),Subject!$B:$B,0),3))))</f>
        <v/>
      </c>
      <c r="C580" s="2" t="str">
        <f t="array" ref="C580">IF(NOW()&gt;AN580,"",IF(AND((WEEKDAY($A580)+$B$2)&gt;1,((WEEKDAY($A580)+$T$2)&lt;7),(WEEKDAY($A580)&lt;&gt;1)),"work",(INDEX(Subject!$A:$I,MATCH(RANDBETWEEN(1,(MAX(Subject!$B:$B))),Subject!$B:$B,0),3))))</f>
        <v/>
      </c>
      <c r="D580" s="2" t="str">
        <f t="array" ref="D580">IF(NOW()&gt;AO580,"",IF(AND((WEEKDAY($A580)+$B$2)&gt;1,((WEEKDAY($A580)+$T$2)&lt;7),(WEEKDAY($A580)&lt;&gt;1)),"work",(INDEX(Subject!$A:$I,MATCH(RANDBETWEEN(1,(MAX(Subject!$B:$B))),Subject!$B:$B,0),3))))</f>
        <v/>
      </c>
      <c r="E580" s="2" t="str">
        <f t="array" ref="E580">IF(NOW()&gt;AP580,"",IF(AND((WEEKDAY($A580)+$B$2)&gt;1,((WEEKDAY($A580)+$T$2)&lt;7),(WEEKDAY($A580)&lt;&gt;1)),"work",(INDEX(Subject!$A:$I,MATCH(RANDBETWEEN(1,(MAX(Subject!$B:$B))),Subject!$B:$B,0),3))))</f>
        <v/>
      </c>
      <c r="F580" s="2" t="str">
        <f t="array" ref="F580">IF(NOW()&gt;AQ580,"",IF(AND((WEEKDAY($A580)+$B$2)&gt;1,((WEEKDAY($A580)+$T$2)&lt;7),(WEEKDAY($A580)&lt;&gt;1)),"work",(INDEX(Subject!$A:$I,MATCH(RANDBETWEEN(1,(MAX(Subject!$B:$B))),Subject!$B:$B,0),3))))</f>
        <v/>
      </c>
      <c r="G580" s="2" t="str">
        <f t="array" ref="G580">IF(NOW()&gt;AR580,"",IF(AND((WEEKDAY($A580)+$B$2)&gt;1,((WEEKDAY($A580)+$T$2)&lt;7),(WEEKDAY($A580)&lt;&gt;1)),"work",(INDEX(Subject!$A:$I,MATCH(RANDBETWEEN(1,(MAX(Subject!$B:$B))),Subject!$B:$B,0),3))))</f>
        <v/>
      </c>
      <c r="H580" s="2" t="str">
        <f t="array" ref="H580">IF(NOW()&gt;AS580,"",IF(AND((WEEKDAY($A580)+$B$2)&gt;1,((WEEKDAY($A580)+$T$2)&lt;7),(WEEKDAY($A580)&lt;&gt;1)),"work",(INDEX(Subject!$A:$I,MATCH(RANDBETWEEN(1,(MAX(Subject!$B:$B))),Subject!$B:$B,0),3))))</f>
        <v/>
      </c>
      <c r="I580" s="2" t="str">
        <f t="array" ref="I580">IF(NOW()&gt;AT580,"",IF(AND((WEEKDAY($A580)+$B$2)&gt;1,((WEEKDAY($A580)+$T$2)&lt;7),(WEEKDAY($A580)&lt;&gt;1)),"work",(INDEX(Subject!$A:$I,MATCH(RANDBETWEEN(1,(MAX(Subject!$B:$B))),Subject!$B:$B,0),3))))</f>
        <v/>
      </c>
      <c r="J580" s="2" t="str">
        <f t="array" ref="J580">IF(NOW()&gt;AU580,"",IF(AND((WEEKDAY($A580)+$B$2)&gt;1,((WEEKDAY($A580)+$T$2)&lt;7),(WEEKDAY($A580)&lt;&gt;1)),"work",(INDEX(Subject!$A:$I,MATCH(RANDBETWEEN(1,(MAX(Subject!$B:$B))),Subject!$B:$B,0),3))))</f>
        <v/>
      </c>
      <c r="K580" s="2" t="str">
        <f t="array" ref="K580">IF(NOW()&gt;AV580,"",IF(AND((WEEKDAY($A580)+$B$2)&gt;1,((WEEKDAY($A580)+$T$2)&lt;7),(WEEKDAY($A580)&lt;&gt;1)),"work",(INDEX(Subject!$A:$I,MATCH(RANDBETWEEN(1,(MAX(Subject!$B:$B))),Subject!$B:$B,0),3))))</f>
        <v/>
      </c>
      <c r="L580" s="2" t="str">
        <f t="array" ref="L580">IF(NOW()&gt;AW580,"",IF(AND((WEEKDAY($A580)+$B$2)&gt;1,((WEEKDAY($A580)+$T$2)&lt;7),(WEEKDAY($A580)&lt;&gt;1)),"work",(INDEX(Subject!$A:$I,MATCH(RANDBETWEEN(1,(MAX(Subject!$B:$B))),Subject!$B:$B,0),3))))</f>
        <v/>
      </c>
      <c r="M580" s="2" t="str">
        <f t="array" ref="M580">IF(NOW()&gt;AX580,"",IF(AND((WEEKDAY($A580)+$B$2)&gt;1,((WEEKDAY($A580)+$T$2)&lt;7),(WEEKDAY($A580)&lt;&gt;1)),"work",(INDEX(Subject!$A:$I,MATCH(RANDBETWEEN(1,(MAX(Subject!$B:$B))),Subject!$B:$B,0),3))))</f>
        <v/>
      </c>
      <c r="N580" s="2" t="str">
        <f t="array" ref="N580">IF(NOW()&gt;AY580,"",IF(AND((WEEKDAY($A580)+$B$2)&gt;1,((WEEKDAY($A580)+$T$2)&lt;7),(WEEKDAY($A580)&lt;&gt;1)),"work",(INDEX(Subject!$A:$I,MATCH(RANDBETWEEN(1,(MAX(Subject!$B:$B))),Subject!$B:$B,0),3))))</f>
        <v/>
      </c>
      <c r="O580" s="2" t="str">
        <f t="array" ref="O580">IF(NOW()&gt;AZ580,"",IF(AND((WEEKDAY($A580)+$B$2)&gt;1,((WEEKDAY($A580)+$T$2)&lt;7),(WEEKDAY($A580)&lt;&gt;1)),"work",(INDEX(Subject!$A:$I,MATCH(RANDBETWEEN(1,(MAX(Subject!$B:$B))),Subject!$B:$B,0),3))))</f>
        <v/>
      </c>
      <c r="P580" s="2" t="str">
        <f t="array" ref="P580">IF(NOW()&gt;BA580,"",IF(AND((WEEKDAY($A580)+$B$2)&gt;1,((WEEKDAY($A580)+$T$2)&lt;7),(WEEKDAY($A580)&lt;&gt;1)),"work",(INDEX(Subject!$A:$I,MATCH(RANDBETWEEN(1,(MAX(Subject!$B:$B))),Subject!$B:$B,0),3))))</f>
        <v/>
      </c>
      <c r="Q580" s="2" t="str">
        <f t="array" ref="Q580">IF(NOW()&gt;BB580,"",IF(AND((WEEKDAY($A580)+$B$2)&gt;1,((WEEKDAY($A580)+$T$2)&lt;7),(WEEKDAY($A580)&lt;&gt;1)),"work",(INDEX(Subject!$A:$I,MATCH(RANDBETWEEN(1,(MAX(Subject!$B:$B))),Subject!$B:$B,0),3))))</f>
        <v/>
      </c>
      <c r="R580" s="2" t="str">
        <f t="array" ref="R580">IF(NOW()&gt;BC580,"",IF(AND((WEEKDAY($A580)+$B$2)&gt;1,((WEEKDAY($A580)+$T$2)&lt;7),(WEEKDAY($A580)&lt;&gt;1)),"work",(INDEX(Subject!$A:$I,MATCH(RANDBETWEEN(1,(MAX(Subject!$B:$B))),Subject!$B:$B,0),3))))</f>
        <v/>
      </c>
      <c r="S580" s="2" t="str">
        <f t="array" ref="S580">IF(NOW()&gt;BD580,"",IF(AND((WEEKDAY($A580)+$B$2)&gt;1,((WEEKDAY($A580)+$T$2)&lt;7),(WEEKDAY($A580)&lt;&gt;1)),"work",(INDEX(Subject!$A:$I,MATCH(RANDBETWEEN(1,(MAX(Subject!$B:$B))),Subject!$B:$B,0),3))))</f>
        <v/>
      </c>
      <c r="T580" s="2" t="str">
        <f t="array" ref="T580">IF(NOW()&gt;BE580,"",IF(AND((WEEKDAY($A580)+$B$2)&gt;1,((WEEKDAY($A580)+$T$2)&lt;7),(WEEKDAY($A580)&lt;&gt;1)),"work",(INDEX(Subject!$A:$I,MATCH(RANDBETWEEN(1,(MAX(Subject!$B:$B))),Subject!$B:$B,0),3))))</f>
        <v/>
      </c>
      <c r="U580" s="8" t="str">
        <f t="array" ref="U580">INDEX(Subject!$A:$I,MATCH(RANDBETWEEN(1,16),Subject!$B:$B,0),3)</f>
        <v>#N/A</v>
      </c>
      <c r="V580" s="8" t="str">
        <f t="array" ref="V580">INDEX(Subject!$A:$I,MATCH(RANDBETWEEN(1,16),Subject!$B:$B,0),3)</f>
        <v>#N/A</v>
      </c>
      <c r="W580" s="8" t="str">
        <f t="array" ref="W580">INDEX(Subject!$A:$I,MATCH(RANDBETWEEN(1,16),Subject!$B:$B,0),3)</f>
        <v>#N/A</v>
      </c>
      <c r="X580" s="8" t="str">
        <f t="array" ref="X580">INDEX(Subject!$A:$I,MATCH(RANDBETWEEN(1,16),Subject!$B:$B,0),3)</f>
        <v>#N/A</v>
      </c>
      <c r="Y580" s="8" t="str">
        <f t="array" ref="Y580">INDEX(Subject!$A:$I,MATCH(RANDBETWEEN(1,16),Subject!$B:$B,0),3)</f>
        <v>#N/A</v>
      </c>
      <c r="Z580" s="8" t="str">
        <f t="array" ref="Z580">INDEX(Subject!$A:$I,MATCH(RANDBETWEEN(1,16),Subject!$B:$B,0),3)</f>
        <v>#N/A</v>
      </c>
      <c r="AA580" s="8" t="str">
        <f t="array" ref="AA580">INDEX(Subject!$A:$I,MATCH(RANDBETWEEN(1,16),Subject!$B:$B,0),3)</f>
        <v>#N/A</v>
      </c>
      <c r="AB580" s="8" t="str">
        <f t="array" ref="AB580">INDEX(Subject!$A:$I,MATCH(RANDBETWEEN(1,16),Subject!$B:$B,0),3)</f>
        <v/>
      </c>
      <c r="AC580" s="8" t="str">
        <f t="array" ref="AC580">INDEX(Subject!$A:$I,MATCH(RANDBETWEEN(1,16),Subject!$B:$B,0),3)</f>
        <v>#N/A</v>
      </c>
      <c r="AD580" s="8" t="str">
        <f t="array" ref="AD580">INDEX(Subject!$A:$I,MATCH(RANDBETWEEN(1,16),Subject!$B:$B,0),3)</f>
        <v>#N/A</v>
      </c>
      <c r="AE580" s="8" t="str">
        <f t="array" ref="AE580">INDEX(Subject!$A:$I,MATCH(RANDBETWEEN(1,16),Subject!$B:$B,0),3)</f>
        <v>#N/A</v>
      </c>
      <c r="AF580" s="8" t="str">
        <f t="array" ref="AF580">INDEX(Subject!$A:$I,MATCH(RANDBETWEEN(1,16),Subject!$B:$B,0),3)</f>
        <v>#N/A</v>
      </c>
      <c r="AG580" s="8" t="str">
        <f t="array" ref="AG580">INDEX(Subject!$A:$I,MATCH(RANDBETWEEN(1,16),Subject!$B:$B,0),3)</f>
        <v>#N/A</v>
      </c>
      <c r="AH580" s="8" t="str">
        <f t="array" ref="AH580">INDEX(Subject!$A:$I,MATCH(RANDBETWEEN(1,16),Subject!$B:$B,0),3)</f>
        <v/>
      </c>
      <c r="AI580" s="8" t="str">
        <f t="array" ref="AI580">INDEX(Subject!$A:$I,MATCH(RANDBETWEEN(1,16),Subject!$B:$B,0),3)</f>
        <v>#N/A</v>
      </c>
      <c r="AJ580" s="8" t="str">
        <f t="array" ref="AJ580">INDEX(Subject!$A:$I,MATCH(RANDBETWEEN(1,16),Subject!$B:$B,0),3)</f>
        <v>#N/A</v>
      </c>
      <c r="AK580" s="8" t="str">
        <f t="array" ref="AK580">INDEX(Subject!$A:$I,MATCH(RANDBETWEEN(1,16),Subject!$B:$B,0),3)</f>
        <v>#N/A</v>
      </c>
      <c r="AL580" s="8" t="str">
        <f t="array" ref="AL580">INDEX(Subject!$A:$I,MATCH(RANDBETWEEN(1,16),Subject!$B:$B,0),3)</f>
        <v>#N/A</v>
      </c>
      <c r="AM580" s="18">
        <f t="shared" si="4"/>
        <v>46080.33333</v>
      </c>
      <c r="AN580" s="19">
        <f t="shared" ref="AN580:BZ580" si="580">$A580+C$1</f>
        <v>46080.35417</v>
      </c>
      <c r="AO580" s="19">
        <f t="shared" si="580"/>
        <v>46080.375</v>
      </c>
      <c r="AP580" s="19">
        <f t="shared" si="580"/>
        <v>46080.39583</v>
      </c>
      <c r="AQ580" s="19">
        <f t="shared" si="580"/>
        <v>46080.41667</v>
      </c>
      <c r="AR580" s="19">
        <f t="shared" si="580"/>
        <v>46080.4375</v>
      </c>
      <c r="AS580" s="19">
        <f t="shared" si="580"/>
        <v>46080.45833</v>
      </c>
      <c r="AT580" s="19">
        <f t="shared" si="580"/>
        <v>46080.47917</v>
      </c>
      <c r="AU580" s="19">
        <f t="shared" si="580"/>
        <v>46080.5</v>
      </c>
      <c r="AV580" s="19">
        <f t="shared" si="580"/>
        <v>46080.52083</v>
      </c>
      <c r="AW580" s="19">
        <f t="shared" si="580"/>
        <v>46080.54167</v>
      </c>
      <c r="AX580" s="19">
        <f t="shared" si="580"/>
        <v>46080.5625</v>
      </c>
      <c r="AY580" s="19">
        <f t="shared" si="580"/>
        <v>46080.58333</v>
      </c>
      <c r="AZ580" s="19">
        <f t="shared" si="580"/>
        <v>46080.60417</v>
      </c>
      <c r="BA580" s="19">
        <f t="shared" si="580"/>
        <v>46080.625</v>
      </c>
      <c r="BB580" s="19">
        <f t="shared" si="580"/>
        <v>46080.64583</v>
      </c>
      <c r="BC580" s="19">
        <f t="shared" si="580"/>
        <v>46080.66667</v>
      </c>
      <c r="BD580" s="19">
        <f t="shared" si="580"/>
        <v>46080.6875</v>
      </c>
      <c r="BE580" s="19">
        <f t="shared" si="580"/>
        <v>46080.70833</v>
      </c>
      <c r="BF580" s="19">
        <f t="shared" si="580"/>
        <v>46080.72917</v>
      </c>
      <c r="BG580" s="19">
        <f t="shared" si="580"/>
        <v>46080.75</v>
      </c>
      <c r="BH580" s="19">
        <f t="shared" si="580"/>
        <v>46080.77083</v>
      </c>
      <c r="BI580" s="19">
        <f t="shared" si="580"/>
        <v>46080.79167</v>
      </c>
      <c r="BJ580" s="19">
        <f t="shared" si="580"/>
        <v>46080.8125</v>
      </c>
      <c r="BK580" s="19">
        <f t="shared" si="580"/>
        <v>46080.83333</v>
      </c>
      <c r="BL580" s="19">
        <f t="shared" si="580"/>
        <v>46080.85417</v>
      </c>
      <c r="BM580" s="19">
        <f t="shared" si="580"/>
        <v>46080.875</v>
      </c>
      <c r="BN580" s="19">
        <f t="shared" si="580"/>
        <v>46080.89583</v>
      </c>
      <c r="BO580" s="19">
        <f t="shared" si="580"/>
        <v>46080.91667</v>
      </c>
      <c r="BP580" s="19">
        <f t="shared" si="580"/>
        <v>46080.9375</v>
      </c>
      <c r="BQ580" s="19">
        <f t="shared" si="580"/>
        <v>46080.95833</v>
      </c>
      <c r="BR580" s="19">
        <f t="shared" si="580"/>
        <v>46080.97917</v>
      </c>
      <c r="BS580" s="19">
        <f t="shared" si="580"/>
        <v>46081</v>
      </c>
      <c r="BT580" s="19">
        <f t="shared" si="580"/>
        <v>46081.02083</v>
      </c>
      <c r="BU580" s="19">
        <f t="shared" si="580"/>
        <v>46081.04167</v>
      </c>
      <c r="BV580" s="19">
        <f t="shared" si="580"/>
        <v>46081.0625</v>
      </c>
      <c r="BW580" s="19">
        <f t="shared" si="580"/>
        <v>46081.08333</v>
      </c>
      <c r="BX580" s="19">
        <f t="shared" si="580"/>
        <v>46080</v>
      </c>
      <c r="BY580" s="19">
        <f t="shared" si="580"/>
        <v>46080</v>
      </c>
      <c r="BZ580" s="19">
        <f t="shared" si="580"/>
        <v>46080</v>
      </c>
    </row>
    <row r="581" ht="14.25" customHeight="1">
      <c r="A581" s="17">
        <v>46081.0</v>
      </c>
      <c r="B581" s="2" t="str">
        <f t="array" ref="B581">IF(NOW()&gt;AM581,"",IF(AND((WEEKDAY($A581)+$B$2)&gt;1,((WEEKDAY($A581)+$T$2)&lt;7),(WEEKDAY($A581)&lt;&gt;1)),"work",(INDEX(Subject!$A:$I,MATCH(RANDBETWEEN(1,(MAX(Subject!$B:$B))),Subject!$B:$B,0),3))))</f>
        <v/>
      </c>
      <c r="C581" s="2" t="str">
        <f t="array" ref="C581">IF(NOW()&gt;AN581,"",IF(AND((WEEKDAY($A581)+$B$2)&gt;1,((WEEKDAY($A581)+$T$2)&lt;7),(WEEKDAY($A581)&lt;&gt;1)),"work",(INDEX(Subject!$A:$I,MATCH(RANDBETWEEN(1,(MAX(Subject!$B:$B))),Subject!$B:$B,0),3))))</f>
        <v/>
      </c>
      <c r="D581" s="2" t="str">
        <f t="array" ref="D581">IF(NOW()&gt;AO581,"",IF(AND((WEEKDAY($A581)+$B$2)&gt;1,((WEEKDAY($A581)+$T$2)&lt;7),(WEEKDAY($A581)&lt;&gt;1)),"work",(INDEX(Subject!$A:$I,MATCH(RANDBETWEEN(1,(MAX(Subject!$B:$B))),Subject!$B:$B,0),3))))</f>
        <v/>
      </c>
      <c r="E581" s="2" t="str">
        <f t="array" ref="E581">IF(NOW()&gt;AP581,"",IF(AND((WEEKDAY($A581)+$B$2)&gt;1,((WEEKDAY($A581)+$T$2)&lt;7),(WEEKDAY($A581)&lt;&gt;1)),"work",(INDEX(Subject!$A:$I,MATCH(RANDBETWEEN(1,(MAX(Subject!$B:$B))),Subject!$B:$B,0),3))))</f>
        <v/>
      </c>
      <c r="F581" s="2" t="str">
        <f t="array" ref="F581">IF(NOW()&gt;AQ581,"",IF(AND((WEEKDAY($A581)+$B$2)&gt;1,((WEEKDAY($A581)+$T$2)&lt;7),(WEEKDAY($A581)&lt;&gt;1)),"work",(INDEX(Subject!$A:$I,MATCH(RANDBETWEEN(1,(MAX(Subject!$B:$B))),Subject!$B:$B,0),3))))</f>
        <v/>
      </c>
      <c r="G581" s="2" t="str">
        <f t="array" ref="G581">IF(NOW()&gt;AR581,"",IF(AND((WEEKDAY($A581)+$B$2)&gt;1,((WEEKDAY($A581)+$T$2)&lt;7),(WEEKDAY($A581)&lt;&gt;1)),"work",(INDEX(Subject!$A:$I,MATCH(RANDBETWEEN(1,(MAX(Subject!$B:$B))),Subject!$B:$B,0),3))))</f>
        <v/>
      </c>
      <c r="H581" s="2" t="str">
        <f t="array" ref="H581">IF(NOW()&gt;AS581,"",IF(AND((WEEKDAY($A581)+$B$2)&gt;1,((WEEKDAY($A581)+$T$2)&lt;7),(WEEKDAY($A581)&lt;&gt;1)),"work",(INDEX(Subject!$A:$I,MATCH(RANDBETWEEN(1,(MAX(Subject!$B:$B))),Subject!$B:$B,0),3))))</f>
        <v/>
      </c>
      <c r="I581" s="2" t="str">
        <f t="array" ref="I581">IF(NOW()&gt;AT581,"",IF(AND((WEEKDAY($A581)+$B$2)&gt;1,((WEEKDAY($A581)+$T$2)&lt;7),(WEEKDAY($A581)&lt;&gt;1)),"work",(INDEX(Subject!$A:$I,MATCH(RANDBETWEEN(1,(MAX(Subject!$B:$B))),Subject!$B:$B,0),3))))</f>
        <v/>
      </c>
      <c r="J581" s="2" t="str">
        <f t="array" ref="J581">IF(NOW()&gt;AU581,"",IF(AND((WEEKDAY($A581)+$B$2)&gt;1,((WEEKDAY($A581)+$T$2)&lt;7),(WEEKDAY($A581)&lt;&gt;1)),"work",(INDEX(Subject!$A:$I,MATCH(RANDBETWEEN(1,(MAX(Subject!$B:$B))),Subject!$B:$B,0),3))))</f>
        <v/>
      </c>
      <c r="K581" s="2" t="str">
        <f t="array" ref="K581">IF(NOW()&gt;AV581,"",IF(AND((WEEKDAY($A581)+$B$2)&gt;1,((WEEKDAY($A581)+$T$2)&lt;7),(WEEKDAY($A581)&lt;&gt;1)),"work",(INDEX(Subject!$A:$I,MATCH(RANDBETWEEN(1,(MAX(Subject!$B:$B))),Subject!$B:$B,0),3))))</f>
        <v/>
      </c>
      <c r="L581" s="2" t="str">
        <f t="array" ref="L581">IF(NOW()&gt;AW581,"",IF(AND((WEEKDAY($A581)+$B$2)&gt;1,((WEEKDAY($A581)+$T$2)&lt;7),(WEEKDAY($A581)&lt;&gt;1)),"work",(INDEX(Subject!$A:$I,MATCH(RANDBETWEEN(1,(MAX(Subject!$B:$B))),Subject!$B:$B,0),3))))</f>
        <v/>
      </c>
      <c r="M581" s="2" t="str">
        <f t="array" ref="M581">IF(NOW()&gt;AX581,"",IF(AND((WEEKDAY($A581)+$B$2)&gt;1,((WEEKDAY($A581)+$T$2)&lt;7),(WEEKDAY($A581)&lt;&gt;1)),"work",(INDEX(Subject!$A:$I,MATCH(RANDBETWEEN(1,(MAX(Subject!$B:$B))),Subject!$B:$B,0),3))))</f>
        <v/>
      </c>
      <c r="N581" s="2" t="str">
        <f t="array" ref="N581">IF(NOW()&gt;AY581,"",IF(AND((WEEKDAY($A581)+$B$2)&gt;1,((WEEKDAY($A581)+$T$2)&lt;7),(WEEKDAY($A581)&lt;&gt;1)),"work",(INDEX(Subject!$A:$I,MATCH(RANDBETWEEN(1,(MAX(Subject!$B:$B))),Subject!$B:$B,0),3))))</f>
        <v/>
      </c>
      <c r="O581" s="2" t="str">
        <f t="array" ref="O581">IF(NOW()&gt;AZ581,"",IF(AND((WEEKDAY($A581)+$B$2)&gt;1,((WEEKDAY($A581)+$T$2)&lt;7),(WEEKDAY($A581)&lt;&gt;1)),"work",(INDEX(Subject!$A:$I,MATCH(RANDBETWEEN(1,(MAX(Subject!$B:$B))),Subject!$B:$B,0),3))))</f>
        <v/>
      </c>
      <c r="P581" s="2" t="str">
        <f t="array" ref="P581">IF(NOW()&gt;BA581,"",IF(AND((WEEKDAY($A581)+$B$2)&gt;1,((WEEKDAY($A581)+$T$2)&lt;7),(WEEKDAY($A581)&lt;&gt;1)),"work",(INDEX(Subject!$A:$I,MATCH(RANDBETWEEN(1,(MAX(Subject!$B:$B))),Subject!$B:$B,0),3))))</f>
        <v/>
      </c>
      <c r="Q581" s="2" t="str">
        <f t="array" ref="Q581">IF(NOW()&gt;BB581,"",IF(AND((WEEKDAY($A581)+$B$2)&gt;1,((WEEKDAY($A581)+$T$2)&lt;7),(WEEKDAY($A581)&lt;&gt;1)),"work",(INDEX(Subject!$A:$I,MATCH(RANDBETWEEN(1,(MAX(Subject!$B:$B))),Subject!$B:$B,0),3))))</f>
        <v/>
      </c>
      <c r="R581" s="2" t="str">
        <f t="array" ref="R581">IF(NOW()&gt;BC581,"",IF(AND((WEEKDAY($A581)+$B$2)&gt;1,((WEEKDAY($A581)+$T$2)&lt;7),(WEEKDAY($A581)&lt;&gt;1)),"work",(INDEX(Subject!$A:$I,MATCH(RANDBETWEEN(1,(MAX(Subject!$B:$B))),Subject!$B:$B,0),3))))</f>
        <v/>
      </c>
      <c r="S581" s="2" t="str">
        <f t="array" ref="S581">IF(NOW()&gt;BD581,"",IF(AND((WEEKDAY($A581)+$B$2)&gt;1,((WEEKDAY($A581)+$T$2)&lt;7),(WEEKDAY($A581)&lt;&gt;1)),"work",(INDEX(Subject!$A:$I,MATCH(RANDBETWEEN(1,(MAX(Subject!$B:$B))),Subject!$B:$B,0),3))))</f>
        <v/>
      </c>
      <c r="T581" s="2" t="str">
        <f t="array" ref="T581">IF(NOW()&gt;BE581,"",IF(AND((WEEKDAY($A581)+$B$2)&gt;1,((WEEKDAY($A581)+$T$2)&lt;7),(WEEKDAY($A581)&lt;&gt;1)),"work",(INDEX(Subject!$A:$I,MATCH(RANDBETWEEN(1,(MAX(Subject!$B:$B))),Subject!$B:$B,0),3))))</f>
        <v/>
      </c>
      <c r="U581" s="8" t="str">
        <f t="array" ref="U581">INDEX(Subject!$A:$I,MATCH(RANDBETWEEN(1,16),Subject!$B:$B,0),3)</f>
        <v>#N/A</v>
      </c>
      <c r="V581" s="8" t="str">
        <f t="array" ref="V581">INDEX(Subject!$A:$I,MATCH(RANDBETWEEN(1,16),Subject!$B:$B,0),3)</f>
        <v>#N/A</v>
      </c>
      <c r="W581" s="8" t="str">
        <f t="array" ref="W581">INDEX(Subject!$A:$I,MATCH(RANDBETWEEN(1,16),Subject!$B:$B,0),3)</f>
        <v>#N/A</v>
      </c>
      <c r="X581" s="8" t="str">
        <f t="array" ref="X581">INDEX(Subject!$A:$I,MATCH(RANDBETWEEN(1,16),Subject!$B:$B,0),3)</f>
        <v>#N/A</v>
      </c>
      <c r="Y581" s="8" t="str">
        <f t="array" ref="Y581">INDEX(Subject!$A:$I,MATCH(RANDBETWEEN(1,16),Subject!$B:$B,0),3)</f>
        <v>#N/A</v>
      </c>
      <c r="Z581" s="8" t="str">
        <f t="array" ref="Z581">INDEX(Subject!$A:$I,MATCH(RANDBETWEEN(1,16),Subject!$B:$B,0),3)</f>
        <v>#N/A</v>
      </c>
      <c r="AA581" s="8" t="str">
        <f t="array" ref="AA581">INDEX(Subject!$A:$I,MATCH(RANDBETWEEN(1,16),Subject!$B:$B,0),3)</f>
        <v>#N/A</v>
      </c>
      <c r="AB581" s="8" t="str">
        <f t="array" ref="AB581">INDEX(Subject!$A:$I,MATCH(RANDBETWEEN(1,16),Subject!$B:$B,0),3)</f>
        <v>#N/A</v>
      </c>
      <c r="AC581" s="8" t="str">
        <f t="array" ref="AC581">INDEX(Subject!$A:$I,MATCH(RANDBETWEEN(1,16),Subject!$B:$B,0),3)</f>
        <v>#N/A</v>
      </c>
      <c r="AD581" s="8" t="str">
        <f t="array" ref="AD581">INDEX(Subject!$A:$I,MATCH(RANDBETWEEN(1,16),Subject!$B:$B,0),3)</f>
        <v>#N/A</v>
      </c>
      <c r="AE581" s="8" t="str">
        <f t="array" ref="AE581">INDEX(Subject!$A:$I,MATCH(RANDBETWEEN(1,16),Subject!$B:$B,0),3)</f>
        <v>#N/A</v>
      </c>
      <c r="AF581" s="8" t="str">
        <f t="array" ref="AF581">INDEX(Subject!$A:$I,MATCH(RANDBETWEEN(1,16),Subject!$B:$B,0),3)</f>
        <v>#N/A</v>
      </c>
      <c r="AG581" s="8" t="str">
        <f t="array" ref="AG581">INDEX(Subject!$A:$I,MATCH(RANDBETWEEN(1,16),Subject!$B:$B,0),3)</f>
        <v>#N/A</v>
      </c>
      <c r="AH581" s="8" t="str">
        <f t="array" ref="AH581">INDEX(Subject!$A:$I,MATCH(RANDBETWEEN(1,16),Subject!$B:$B,0),3)</f>
        <v>#N/A</v>
      </c>
      <c r="AI581" s="8" t="str">
        <f t="array" ref="AI581">INDEX(Subject!$A:$I,MATCH(RANDBETWEEN(1,16),Subject!$B:$B,0),3)</f>
        <v>#N/A</v>
      </c>
      <c r="AJ581" s="8" t="str">
        <f t="array" ref="AJ581">INDEX(Subject!$A:$I,MATCH(RANDBETWEEN(1,16),Subject!$B:$B,0),3)</f>
        <v>#N/A</v>
      </c>
      <c r="AK581" s="8" t="str">
        <f t="array" ref="AK581">INDEX(Subject!$A:$I,MATCH(RANDBETWEEN(1,16),Subject!$B:$B,0),3)</f>
        <v>#N/A</v>
      </c>
      <c r="AL581" s="8" t="str">
        <f t="array" ref="AL581">INDEX(Subject!$A:$I,MATCH(RANDBETWEEN(1,16),Subject!$B:$B,0),3)</f>
        <v>#N/A</v>
      </c>
      <c r="AM581" s="18">
        <f t="shared" si="4"/>
        <v>46081.33333</v>
      </c>
      <c r="AN581" s="19">
        <f t="shared" ref="AN581:BZ581" si="581">$A581+C$1</f>
        <v>46081.35417</v>
      </c>
      <c r="AO581" s="19">
        <f t="shared" si="581"/>
        <v>46081.375</v>
      </c>
      <c r="AP581" s="19">
        <f t="shared" si="581"/>
        <v>46081.39583</v>
      </c>
      <c r="AQ581" s="19">
        <f t="shared" si="581"/>
        <v>46081.41667</v>
      </c>
      <c r="AR581" s="19">
        <f t="shared" si="581"/>
        <v>46081.4375</v>
      </c>
      <c r="AS581" s="19">
        <f t="shared" si="581"/>
        <v>46081.45833</v>
      </c>
      <c r="AT581" s="19">
        <f t="shared" si="581"/>
        <v>46081.47917</v>
      </c>
      <c r="AU581" s="19">
        <f t="shared" si="581"/>
        <v>46081.5</v>
      </c>
      <c r="AV581" s="19">
        <f t="shared" si="581"/>
        <v>46081.52083</v>
      </c>
      <c r="AW581" s="19">
        <f t="shared" si="581"/>
        <v>46081.54167</v>
      </c>
      <c r="AX581" s="19">
        <f t="shared" si="581"/>
        <v>46081.5625</v>
      </c>
      <c r="AY581" s="19">
        <f t="shared" si="581"/>
        <v>46081.58333</v>
      </c>
      <c r="AZ581" s="19">
        <f t="shared" si="581"/>
        <v>46081.60417</v>
      </c>
      <c r="BA581" s="19">
        <f t="shared" si="581"/>
        <v>46081.625</v>
      </c>
      <c r="BB581" s="19">
        <f t="shared" si="581"/>
        <v>46081.64583</v>
      </c>
      <c r="BC581" s="19">
        <f t="shared" si="581"/>
        <v>46081.66667</v>
      </c>
      <c r="BD581" s="19">
        <f t="shared" si="581"/>
        <v>46081.6875</v>
      </c>
      <c r="BE581" s="19">
        <f t="shared" si="581"/>
        <v>46081.70833</v>
      </c>
      <c r="BF581" s="19">
        <f t="shared" si="581"/>
        <v>46081.72917</v>
      </c>
      <c r="BG581" s="19">
        <f t="shared" si="581"/>
        <v>46081.75</v>
      </c>
      <c r="BH581" s="19">
        <f t="shared" si="581"/>
        <v>46081.77083</v>
      </c>
      <c r="BI581" s="19">
        <f t="shared" si="581"/>
        <v>46081.79167</v>
      </c>
      <c r="BJ581" s="19">
        <f t="shared" si="581"/>
        <v>46081.8125</v>
      </c>
      <c r="BK581" s="19">
        <f t="shared" si="581"/>
        <v>46081.83333</v>
      </c>
      <c r="BL581" s="19">
        <f t="shared" si="581"/>
        <v>46081.85417</v>
      </c>
      <c r="BM581" s="19">
        <f t="shared" si="581"/>
        <v>46081.875</v>
      </c>
      <c r="BN581" s="19">
        <f t="shared" si="581"/>
        <v>46081.89583</v>
      </c>
      <c r="BO581" s="19">
        <f t="shared" si="581"/>
        <v>46081.91667</v>
      </c>
      <c r="BP581" s="19">
        <f t="shared" si="581"/>
        <v>46081.9375</v>
      </c>
      <c r="BQ581" s="19">
        <f t="shared" si="581"/>
        <v>46081.95833</v>
      </c>
      <c r="BR581" s="19">
        <f t="shared" si="581"/>
        <v>46081.97917</v>
      </c>
      <c r="BS581" s="19">
        <f t="shared" si="581"/>
        <v>46082</v>
      </c>
      <c r="BT581" s="19">
        <f t="shared" si="581"/>
        <v>46082.02083</v>
      </c>
      <c r="BU581" s="19">
        <f t="shared" si="581"/>
        <v>46082.04167</v>
      </c>
      <c r="BV581" s="19">
        <f t="shared" si="581"/>
        <v>46082.0625</v>
      </c>
      <c r="BW581" s="19">
        <f t="shared" si="581"/>
        <v>46082.08333</v>
      </c>
      <c r="BX581" s="19">
        <f t="shared" si="581"/>
        <v>46081</v>
      </c>
      <c r="BY581" s="19">
        <f t="shared" si="581"/>
        <v>46081</v>
      </c>
      <c r="BZ581" s="19">
        <f t="shared" si="581"/>
        <v>46081</v>
      </c>
    </row>
    <row r="582" ht="14.25" customHeight="1">
      <c r="A582" s="17">
        <v>46082.0</v>
      </c>
      <c r="B582" s="2" t="str">
        <f t="array" ref="B582">IF(NOW()&gt;AM582,"",IF(AND((WEEKDAY($A582)+$B$2)&gt;1,((WEEKDAY($A582)+$T$2)&lt;7),(WEEKDAY($A582)&lt;&gt;1)),"work",(INDEX(Subject!$A:$I,MATCH(RANDBETWEEN(1,(MAX(Subject!$B:$B))),Subject!$B:$B,0),3))))</f>
        <v/>
      </c>
      <c r="C582" s="2" t="str">
        <f t="array" ref="C582">IF(NOW()&gt;AN582,"",IF(AND((WEEKDAY($A582)+$B$2)&gt;1,((WEEKDAY($A582)+$T$2)&lt;7),(WEEKDAY($A582)&lt;&gt;1)),"work",(INDEX(Subject!$A:$I,MATCH(RANDBETWEEN(1,(MAX(Subject!$B:$B))),Subject!$B:$B,0),3))))</f>
        <v/>
      </c>
      <c r="D582" s="2" t="str">
        <f t="array" ref="D582">IF(NOW()&gt;AO582,"",IF(AND((WEEKDAY($A582)+$B$2)&gt;1,((WEEKDAY($A582)+$T$2)&lt;7),(WEEKDAY($A582)&lt;&gt;1)),"work",(INDEX(Subject!$A:$I,MATCH(RANDBETWEEN(1,(MAX(Subject!$B:$B))),Subject!$B:$B,0),3))))</f>
        <v/>
      </c>
      <c r="E582" s="2" t="str">
        <f t="array" ref="E582">IF(NOW()&gt;AP582,"",IF(AND((WEEKDAY($A582)+$B$2)&gt;1,((WEEKDAY($A582)+$T$2)&lt;7),(WEEKDAY($A582)&lt;&gt;1)),"work",(INDEX(Subject!$A:$I,MATCH(RANDBETWEEN(1,(MAX(Subject!$B:$B))),Subject!$B:$B,0),3))))</f>
        <v/>
      </c>
      <c r="F582" s="2" t="str">
        <f t="array" ref="F582">IF(NOW()&gt;AQ582,"",IF(AND((WEEKDAY($A582)+$B$2)&gt;1,((WEEKDAY($A582)+$T$2)&lt;7),(WEEKDAY($A582)&lt;&gt;1)),"work",(INDEX(Subject!$A:$I,MATCH(RANDBETWEEN(1,(MAX(Subject!$B:$B))),Subject!$B:$B,0),3))))</f>
        <v/>
      </c>
      <c r="G582" s="2" t="str">
        <f t="array" ref="G582">IF(NOW()&gt;AR582,"",IF(AND((WEEKDAY($A582)+$B$2)&gt;1,((WEEKDAY($A582)+$T$2)&lt;7),(WEEKDAY($A582)&lt;&gt;1)),"work",(INDEX(Subject!$A:$I,MATCH(RANDBETWEEN(1,(MAX(Subject!$B:$B))),Subject!$B:$B,0),3))))</f>
        <v/>
      </c>
      <c r="H582" s="2" t="str">
        <f t="array" ref="H582">IF(NOW()&gt;AS582,"",IF(AND((WEEKDAY($A582)+$B$2)&gt;1,((WEEKDAY($A582)+$T$2)&lt;7),(WEEKDAY($A582)&lt;&gt;1)),"work",(INDEX(Subject!$A:$I,MATCH(RANDBETWEEN(1,(MAX(Subject!$B:$B))),Subject!$B:$B,0),3))))</f>
        <v/>
      </c>
      <c r="I582" s="2" t="str">
        <f t="array" ref="I582">IF(NOW()&gt;AT582,"",IF(AND((WEEKDAY($A582)+$B$2)&gt;1,((WEEKDAY($A582)+$T$2)&lt;7),(WEEKDAY($A582)&lt;&gt;1)),"work",(INDEX(Subject!$A:$I,MATCH(RANDBETWEEN(1,(MAX(Subject!$B:$B))),Subject!$B:$B,0),3))))</f>
        <v/>
      </c>
      <c r="J582" s="2" t="str">
        <f t="array" ref="J582">IF(NOW()&gt;AU582,"",IF(AND((WEEKDAY($A582)+$B$2)&gt;1,((WEEKDAY($A582)+$T$2)&lt;7),(WEEKDAY($A582)&lt;&gt;1)),"work",(INDEX(Subject!$A:$I,MATCH(RANDBETWEEN(1,(MAX(Subject!$B:$B))),Subject!$B:$B,0),3))))</f>
        <v/>
      </c>
      <c r="K582" s="2" t="str">
        <f t="array" ref="K582">IF(NOW()&gt;AV582,"",IF(AND((WEEKDAY($A582)+$B$2)&gt;1,((WEEKDAY($A582)+$T$2)&lt;7),(WEEKDAY($A582)&lt;&gt;1)),"work",(INDEX(Subject!$A:$I,MATCH(RANDBETWEEN(1,(MAX(Subject!$B:$B))),Subject!$B:$B,0),3))))</f>
        <v/>
      </c>
      <c r="L582" s="2" t="str">
        <f t="array" ref="L582">IF(NOW()&gt;AW582,"",IF(AND((WEEKDAY($A582)+$B$2)&gt;1,((WEEKDAY($A582)+$T$2)&lt;7),(WEEKDAY($A582)&lt;&gt;1)),"work",(INDEX(Subject!$A:$I,MATCH(RANDBETWEEN(1,(MAX(Subject!$B:$B))),Subject!$B:$B,0),3))))</f>
        <v/>
      </c>
      <c r="M582" s="2" t="str">
        <f t="array" ref="M582">IF(NOW()&gt;AX582,"",IF(AND((WEEKDAY($A582)+$B$2)&gt;1,((WEEKDAY($A582)+$T$2)&lt;7),(WEEKDAY($A582)&lt;&gt;1)),"work",(INDEX(Subject!$A:$I,MATCH(RANDBETWEEN(1,(MAX(Subject!$B:$B))),Subject!$B:$B,0),3))))</f>
        <v/>
      </c>
      <c r="N582" s="2" t="str">
        <f t="array" ref="N582">IF(NOW()&gt;AY582,"",IF(AND((WEEKDAY($A582)+$B$2)&gt;1,((WEEKDAY($A582)+$T$2)&lt;7),(WEEKDAY($A582)&lt;&gt;1)),"work",(INDEX(Subject!$A:$I,MATCH(RANDBETWEEN(1,(MAX(Subject!$B:$B))),Subject!$B:$B,0),3))))</f>
        <v/>
      </c>
      <c r="O582" s="2" t="str">
        <f t="array" ref="O582">IF(NOW()&gt;AZ582,"",IF(AND((WEEKDAY($A582)+$B$2)&gt;1,((WEEKDAY($A582)+$T$2)&lt;7),(WEEKDAY($A582)&lt;&gt;1)),"work",(INDEX(Subject!$A:$I,MATCH(RANDBETWEEN(1,(MAX(Subject!$B:$B))),Subject!$B:$B,0),3))))</f>
        <v/>
      </c>
      <c r="P582" s="2" t="str">
        <f t="array" ref="P582">IF(NOW()&gt;BA582,"",IF(AND((WEEKDAY($A582)+$B$2)&gt;1,((WEEKDAY($A582)+$T$2)&lt;7),(WEEKDAY($A582)&lt;&gt;1)),"work",(INDEX(Subject!$A:$I,MATCH(RANDBETWEEN(1,(MAX(Subject!$B:$B))),Subject!$B:$B,0),3))))</f>
        <v/>
      </c>
      <c r="Q582" s="2" t="str">
        <f t="array" ref="Q582">IF(NOW()&gt;BB582,"",IF(AND((WEEKDAY($A582)+$B$2)&gt;1,((WEEKDAY($A582)+$T$2)&lt;7),(WEEKDAY($A582)&lt;&gt;1)),"work",(INDEX(Subject!$A:$I,MATCH(RANDBETWEEN(1,(MAX(Subject!$B:$B))),Subject!$B:$B,0),3))))</f>
        <v/>
      </c>
      <c r="R582" s="2" t="str">
        <f t="array" ref="R582">IF(NOW()&gt;BC582,"",IF(AND((WEEKDAY($A582)+$B$2)&gt;1,((WEEKDAY($A582)+$T$2)&lt;7),(WEEKDAY($A582)&lt;&gt;1)),"work",(INDEX(Subject!$A:$I,MATCH(RANDBETWEEN(1,(MAX(Subject!$B:$B))),Subject!$B:$B,0),3))))</f>
        <v/>
      </c>
      <c r="S582" s="2" t="str">
        <f t="array" ref="S582">IF(NOW()&gt;BD582,"",IF(AND((WEEKDAY($A582)+$B$2)&gt;1,((WEEKDAY($A582)+$T$2)&lt;7),(WEEKDAY($A582)&lt;&gt;1)),"work",(INDEX(Subject!$A:$I,MATCH(RANDBETWEEN(1,(MAX(Subject!$B:$B))),Subject!$B:$B,0),3))))</f>
        <v/>
      </c>
      <c r="T582" s="2" t="str">
        <f t="array" ref="T582">IF(NOW()&gt;BE582,"",IF(AND((WEEKDAY($A582)+$B$2)&gt;1,((WEEKDAY($A582)+$T$2)&lt;7),(WEEKDAY($A582)&lt;&gt;1)),"work",(INDEX(Subject!$A:$I,MATCH(RANDBETWEEN(1,(MAX(Subject!$B:$B))),Subject!$B:$B,0),3))))</f>
        <v/>
      </c>
      <c r="U582" s="8" t="str">
        <f t="array" ref="U582">INDEX(Subject!$A:$I,MATCH(RANDBETWEEN(1,16),Subject!$B:$B,0),3)</f>
        <v>#N/A</v>
      </c>
      <c r="V582" s="8" t="str">
        <f t="array" ref="V582">INDEX(Subject!$A:$I,MATCH(RANDBETWEEN(1,16),Subject!$B:$B,0),3)</f>
        <v>#N/A</v>
      </c>
      <c r="W582" s="8" t="str">
        <f t="array" ref="W582">INDEX(Subject!$A:$I,MATCH(RANDBETWEEN(1,16),Subject!$B:$B,0),3)</f>
        <v>#N/A</v>
      </c>
      <c r="X582" s="8" t="str">
        <f t="array" ref="X582">INDEX(Subject!$A:$I,MATCH(RANDBETWEEN(1,16),Subject!$B:$B,0),3)</f>
        <v/>
      </c>
      <c r="Y582" s="8" t="str">
        <f t="array" ref="Y582">INDEX(Subject!$A:$I,MATCH(RANDBETWEEN(1,16),Subject!$B:$B,0),3)</f>
        <v>#N/A</v>
      </c>
      <c r="Z582" s="8" t="str">
        <f t="array" ref="Z582">INDEX(Subject!$A:$I,MATCH(RANDBETWEEN(1,16),Subject!$B:$B,0),3)</f>
        <v>#N/A</v>
      </c>
      <c r="AA582" s="8" t="str">
        <f t="array" ref="AA582">INDEX(Subject!$A:$I,MATCH(RANDBETWEEN(1,16),Subject!$B:$B,0),3)</f>
        <v>#N/A</v>
      </c>
      <c r="AB582" s="8" t="str">
        <f t="array" ref="AB582">INDEX(Subject!$A:$I,MATCH(RANDBETWEEN(1,16),Subject!$B:$B,0),3)</f>
        <v>#N/A</v>
      </c>
      <c r="AC582" s="8" t="str">
        <f t="array" ref="AC582">INDEX(Subject!$A:$I,MATCH(RANDBETWEEN(1,16),Subject!$B:$B,0),3)</f>
        <v>#N/A</v>
      </c>
      <c r="AD582" s="8" t="str">
        <f t="array" ref="AD582">INDEX(Subject!$A:$I,MATCH(RANDBETWEEN(1,16),Subject!$B:$B,0),3)</f>
        <v>#N/A</v>
      </c>
      <c r="AE582" s="8" t="str">
        <f t="array" ref="AE582">INDEX(Subject!$A:$I,MATCH(RANDBETWEEN(1,16),Subject!$B:$B,0),3)</f>
        <v>#N/A</v>
      </c>
      <c r="AF582" s="8" t="str">
        <f t="array" ref="AF582">INDEX(Subject!$A:$I,MATCH(RANDBETWEEN(1,16),Subject!$B:$B,0),3)</f>
        <v>#N/A</v>
      </c>
      <c r="AG582" s="8" t="str">
        <f t="array" ref="AG582">INDEX(Subject!$A:$I,MATCH(RANDBETWEEN(1,16),Subject!$B:$B,0),3)</f>
        <v>#N/A</v>
      </c>
      <c r="AH582" s="8" t="str">
        <f t="array" ref="AH582">INDEX(Subject!$A:$I,MATCH(RANDBETWEEN(1,16),Subject!$B:$B,0),3)</f>
        <v>#N/A</v>
      </c>
      <c r="AI582" s="8" t="str">
        <f t="array" ref="AI582">INDEX(Subject!$A:$I,MATCH(RANDBETWEEN(1,16),Subject!$B:$B,0),3)</f>
        <v>#N/A</v>
      </c>
      <c r="AJ582" s="8" t="str">
        <f t="array" ref="AJ582">INDEX(Subject!$A:$I,MATCH(RANDBETWEEN(1,16),Subject!$B:$B,0),3)</f>
        <v>#N/A</v>
      </c>
      <c r="AK582" s="8" t="str">
        <f t="array" ref="AK582">INDEX(Subject!$A:$I,MATCH(RANDBETWEEN(1,16),Subject!$B:$B,0),3)</f>
        <v>#N/A</v>
      </c>
      <c r="AL582" s="8" t="str">
        <f t="array" ref="AL582">INDEX(Subject!$A:$I,MATCH(RANDBETWEEN(1,16),Subject!$B:$B,0),3)</f>
        <v>#N/A</v>
      </c>
      <c r="AM582" s="18">
        <f t="shared" si="4"/>
        <v>46082.33333</v>
      </c>
      <c r="AN582" s="19">
        <f t="shared" ref="AN582:BZ582" si="582">$A582+C$1</f>
        <v>46082.35417</v>
      </c>
      <c r="AO582" s="19">
        <f t="shared" si="582"/>
        <v>46082.375</v>
      </c>
      <c r="AP582" s="19">
        <f t="shared" si="582"/>
        <v>46082.39583</v>
      </c>
      <c r="AQ582" s="19">
        <f t="shared" si="582"/>
        <v>46082.41667</v>
      </c>
      <c r="AR582" s="19">
        <f t="shared" si="582"/>
        <v>46082.4375</v>
      </c>
      <c r="AS582" s="19">
        <f t="shared" si="582"/>
        <v>46082.45833</v>
      </c>
      <c r="AT582" s="19">
        <f t="shared" si="582"/>
        <v>46082.47917</v>
      </c>
      <c r="AU582" s="19">
        <f t="shared" si="582"/>
        <v>46082.5</v>
      </c>
      <c r="AV582" s="19">
        <f t="shared" si="582"/>
        <v>46082.52083</v>
      </c>
      <c r="AW582" s="19">
        <f t="shared" si="582"/>
        <v>46082.54167</v>
      </c>
      <c r="AX582" s="19">
        <f t="shared" si="582"/>
        <v>46082.5625</v>
      </c>
      <c r="AY582" s="19">
        <f t="shared" si="582"/>
        <v>46082.58333</v>
      </c>
      <c r="AZ582" s="19">
        <f t="shared" si="582"/>
        <v>46082.60417</v>
      </c>
      <c r="BA582" s="19">
        <f t="shared" si="582"/>
        <v>46082.625</v>
      </c>
      <c r="BB582" s="19">
        <f t="shared" si="582"/>
        <v>46082.64583</v>
      </c>
      <c r="BC582" s="19">
        <f t="shared" si="582"/>
        <v>46082.66667</v>
      </c>
      <c r="BD582" s="19">
        <f t="shared" si="582"/>
        <v>46082.6875</v>
      </c>
      <c r="BE582" s="19">
        <f t="shared" si="582"/>
        <v>46082.70833</v>
      </c>
      <c r="BF582" s="19">
        <f t="shared" si="582"/>
        <v>46082.72917</v>
      </c>
      <c r="BG582" s="19">
        <f t="shared" si="582"/>
        <v>46082.75</v>
      </c>
      <c r="BH582" s="19">
        <f t="shared" si="582"/>
        <v>46082.77083</v>
      </c>
      <c r="BI582" s="19">
        <f t="shared" si="582"/>
        <v>46082.79167</v>
      </c>
      <c r="BJ582" s="19">
        <f t="shared" si="582"/>
        <v>46082.8125</v>
      </c>
      <c r="BK582" s="19">
        <f t="shared" si="582"/>
        <v>46082.83333</v>
      </c>
      <c r="BL582" s="19">
        <f t="shared" si="582"/>
        <v>46082.85417</v>
      </c>
      <c r="BM582" s="19">
        <f t="shared" si="582"/>
        <v>46082.875</v>
      </c>
      <c r="BN582" s="19">
        <f t="shared" si="582"/>
        <v>46082.89583</v>
      </c>
      <c r="BO582" s="19">
        <f t="shared" si="582"/>
        <v>46082.91667</v>
      </c>
      <c r="BP582" s="19">
        <f t="shared" si="582"/>
        <v>46082.9375</v>
      </c>
      <c r="BQ582" s="19">
        <f t="shared" si="582"/>
        <v>46082.95833</v>
      </c>
      <c r="BR582" s="19">
        <f t="shared" si="582"/>
        <v>46082.97917</v>
      </c>
      <c r="BS582" s="19">
        <f t="shared" si="582"/>
        <v>46083</v>
      </c>
      <c r="BT582" s="19">
        <f t="shared" si="582"/>
        <v>46083.02083</v>
      </c>
      <c r="BU582" s="19">
        <f t="shared" si="582"/>
        <v>46083.04167</v>
      </c>
      <c r="BV582" s="19">
        <f t="shared" si="582"/>
        <v>46083.0625</v>
      </c>
      <c r="BW582" s="19">
        <f t="shared" si="582"/>
        <v>46083.08333</v>
      </c>
      <c r="BX582" s="19">
        <f t="shared" si="582"/>
        <v>46082</v>
      </c>
      <c r="BY582" s="19">
        <f t="shared" si="582"/>
        <v>46082</v>
      </c>
      <c r="BZ582" s="19">
        <f t="shared" si="582"/>
        <v>46082</v>
      </c>
    </row>
    <row r="583" ht="14.25" customHeight="1">
      <c r="A583" s="17">
        <v>46083.0</v>
      </c>
      <c r="B583" s="2" t="str">
        <f t="array" ref="B583">IF(NOW()&gt;AM583,"",IF(AND((WEEKDAY($A583)+$B$2)&gt;1,((WEEKDAY($A583)+$T$2)&lt;7),(WEEKDAY($A583)&lt;&gt;1)),"work",(INDEX(Subject!$A:$I,MATCH(RANDBETWEEN(1,(MAX(Subject!$B:$B))),Subject!$B:$B,0),3))))</f>
        <v/>
      </c>
      <c r="C583" s="2" t="str">
        <f t="array" ref="C583">IF(NOW()&gt;AN583,"",IF(AND((WEEKDAY($A583)+$B$2)&gt;1,((WEEKDAY($A583)+$T$2)&lt;7),(WEEKDAY($A583)&lt;&gt;1)),"work",(INDEX(Subject!$A:$I,MATCH(RANDBETWEEN(1,(MAX(Subject!$B:$B))),Subject!$B:$B,0),3))))</f>
        <v/>
      </c>
      <c r="D583" s="2" t="str">
        <f t="array" ref="D583">IF(NOW()&gt;AO583,"",IF(AND((WEEKDAY($A583)+$B$2)&gt;1,((WEEKDAY($A583)+$T$2)&lt;7),(WEEKDAY($A583)&lt;&gt;1)),"work",(INDEX(Subject!$A:$I,MATCH(RANDBETWEEN(1,(MAX(Subject!$B:$B))),Subject!$B:$B,0),3))))</f>
        <v/>
      </c>
      <c r="E583" s="2" t="str">
        <f t="array" ref="E583">IF(NOW()&gt;AP583,"",IF(AND((WEEKDAY($A583)+$B$2)&gt;1,((WEEKDAY($A583)+$T$2)&lt;7),(WEEKDAY($A583)&lt;&gt;1)),"work",(INDEX(Subject!$A:$I,MATCH(RANDBETWEEN(1,(MAX(Subject!$B:$B))),Subject!$B:$B,0),3))))</f>
        <v/>
      </c>
      <c r="F583" s="2" t="str">
        <f t="array" ref="F583">IF(NOW()&gt;AQ583,"",IF(AND((WEEKDAY($A583)+$B$2)&gt;1,((WEEKDAY($A583)+$T$2)&lt;7),(WEEKDAY($A583)&lt;&gt;1)),"work",(INDEX(Subject!$A:$I,MATCH(RANDBETWEEN(1,(MAX(Subject!$B:$B))),Subject!$B:$B,0),3))))</f>
        <v/>
      </c>
      <c r="G583" s="2" t="str">
        <f t="array" ref="G583">IF(NOW()&gt;AR583,"",IF(AND((WEEKDAY($A583)+$B$2)&gt;1,((WEEKDAY($A583)+$T$2)&lt;7),(WEEKDAY($A583)&lt;&gt;1)),"work",(INDEX(Subject!$A:$I,MATCH(RANDBETWEEN(1,(MAX(Subject!$B:$B))),Subject!$B:$B,0),3))))</f>
        <v/>
      </c>
      <c r="H583" s="2" t="str">
        <f t="array" ref="H583">IF(NOW()&gt;AS583,"",IF(AND((WEEKDAY($A583)+$B$2)&gt;1,((WEEKDAY($A583)+$T$2)&lt;7),(WEEKDAY($A583)&lt;&gt;1)),"work",(INDEX(Subject!$A:$I,MATCH(RANDBETWEEN(1,(MAX(Subject!$B:$B))),Subject!$B:$B,0),3))))</f>
        <v/>
      </c>
      <c r="I583" s="2" t="str">
        <f t="array" ref="I583">IF(NOW()&gt;AT583,"",IF(AND((WEEKDAY($A583)+$B$2)&gt;1,((WEEKDAY($A583)+$T$2)&lt;7),(WEEKDAY($A583)&lt;&gt;1)),"work",(INDEX(Subject!$A:$I,MATCH(RANDBETWEEN(1,(MAX(Subject!$B:$B))),Subject!$B:$B,0),3))))</f>
        <v/>
      </c>
      <c r="J583" s="2" t="str">
        <f t="array" ref="J583">IF(NOW()&gt;AU583,"",IF(AND((WEEKDAY($A583)+$B$2)&gt;1,((WEEKDAY($A583)+$T$2)&lt;7),(WEEKDAY($A583)&lt;&gt;1)),"work",(INDEX(Subject!$A:$I,MATCH(RANDBETWEEN(1,(MAX(Subject!$B:$B))),Subject!$B:$B,0),3))))</f>
        <v/>
      </c>
      <c r="K583" s="2" t="str">
        <f t="array" ref="K583">IF(NOW()&gt;AV583,"",IF(AND((WEEKDAY($A583)+$B$2)&gt;1,((WEEKDAY($A583)+$T$2)&lt;7),(WEEKDAY($A583)&lt;&gt;1)),"work",(INDEX(Subject!$A:$I,MATCH(RANDBETWEEN(1,(MAX(Subject!$B:$B))),Subject!$B:$B,0),3))))</f>
        <v/>
      </c>
      <c r="L583" s="2" t="str">
        <f t="array" ref="L583">IF(NOW()&gt;AW583,"",IF(AND((WEEKDAY($A583)+$B$2)&gt;1,((WEEKDAY($A583)+$T$2)&lt;7),(WEEKDAY($A583)&lt;&gt;1)),"work",(INDEX(Subject!$A:$I,MATCH(RANDBETWEEN(1,(MAX(Subject!$B:$B))),Subject!$B:$B,0),3))))</f>
        <v/>
      </c>
      <c r="M583" s="2" t="str">
        <f t="array" ref="M583">IF(NOW()&gt;AX583,"",IF(AND((WEEKDAY($A583)+$B$2)&gt;1,((WEEKDAY($A583)+$T$2)&lt;7),(WEEKDAY($A583)&lt;&gt;1)),"work",(INDEX(Subject!$A:$I,MATCH(RANDBETWEEN(1,(MAX(Subject!$B:$B))),Subject!$B:$B,0),3))))</f>
        <v/>
      </c>
      <c r="N583" s="2" t="str">
        <f t="array" ref="N583">IF(NOW()&gt;AY583,"",IF(AND((WEEKDAY($A583)+$B$2)&gt;1,((WEEKDAY($A583)+$T$2)&lt;7),(WEEKDAY($A583)&lt;&gt;1)),"work",(INDEX(Subject!$A:$I,MATCH(RANDBETWEEN(1,(MAX(Subject!$B:$B))),Subject!$B:$B,0),3))))</f>
        <v/>
      </c>
      <c r="O583" s="2" t="str">
        <f t="array" ref="O583">IF(NOW()&gt;AZ583,"",IF(AND((WEEKDAY($A583)+$B$2)&gt;1,((WEEKDAY($A583)+$T$2)&lt;7),(WEEKDAY($A583)&lt;&gt;1)),"work",(INDEX(Subject!$A:$I,MATCH(RANDBETWEEN(1,(MAX(Subject!$B:$B))),Subject!$B:$B,0),3))))</f>
        <v/>
      </c>
      <c r="P583" s="2" t="str">
        <f t="array" ref="P583">IF(NOW()&gt;BA583,"",IF(AND((WEEKDAY($A583)+$B$2)&gt;1,((WEEKDAY($A583)+$T$2)&lt;7),(WEEKDAY($A583)&lt;&gt;1)),"work",(INDEX(Subject!$A:$I,MATCH(RANDBETWEEN(1,(MAX(Subject!$B:$B))),Subject!$B:$B,0),3))))</f>
        <v/>
      </c>
      <c r="Q583" s="2" t="str">
        <f t="array" ref="Q583">IF(NOW()&gt;BB583,"",IF(AND((WEEKDAY($A583)+$B$2)&gt;1,((WEEKDAY($A583)+$T$2)&lt;7),(WEEKDAY($A583)&lt;&gt;1)),"work",(INDEX(Subject!$A:$I,MATCH(RANDBETWEEN(1,(MAX(Subject!$B:$B))),Subject!$B:$B,0),3))))</f>
        <v/>
      </c>
      <c r="R583" s="2" t="str">
        <f t="array" ref="R583">IF(NOW()&gt;BC583,"",IF(AND((WEEKDAY($A583)+$B$2)&gt;1,((WEEKDAY($A583)+$T$2)&lt;7),(WEEKDAY($A583)&lt;&gt;1)),"work",(INDEX(Subject!$A:$I,MATCH(RANDBETWEEN(1,(MAX(Subject!$B:$B))),Subject!$B:$B,0),3))))</f>
        <v/>
      </c>
      <c r="S583" s="2" t="str">
        <f t="array" ref="S583">IF(NOW()&gt;BD583,"",IF(AND((WEEKDAY($A583)+$B$2)&gt;1,((WEEKDAY($A583)+$T$2)&lt;7),(WEEKDAY($A583)&lt;&gt;1)),"work",(INDEX(Subject!$A:$I,MATCH(RANDBETWEEN(1,(MAX(Subject!$B:$B))),Subject!$B:$B,0),3))))</f>
        <v/>
      </c>
      <c r="T583" s="2" t="str">
        <f t="array" ref="T583">IF(NOW()&gt;BE583,"",IF(AND((WEEKDAY($A583)+$B$2)&gt;1,((WEEKDAY($A583)+$T$2)&lt;7),(WEEKDAY($A583)&lt;&gt;1)),"work",(INDEX(Subject!$A:$I,MATCH(RANDBETWEEN(1,(MAX(Subject!$B:$B))),Subject!$B:$B,0),3))))</f>
        <v/>
      </c>
      <c r="U583" s="8" t="str">
        <f t="array" ref="U583">INDEX(Subject!$A:$I,MATCH(RANDBETWEEN(1,16),Subject!$B:$B,0),3)</f>
        <v>#N/A</v>
      </c>
      <c r="V583" s="8" t="str">
        <f t="array" ref="V583">INDEX(Subject!$A:$I,MATCH(RANDBETWEEN(1,16),Subject!$B:$B,0),3)</f>
        <v>#N/A</v>
      </c>
      <c r="W583" s="8" t="str">
        <f t="array" ref="W583">INDEX(Subject!$A:$I,MATCH(RANDBETWEEN(1,16),Subject!$B:$B,0),3)</f>
        <v>#N/A</v>
      </c>
      <c r="X583" s="8" t="str">
        <f t="array" ref="X583">INDEX(Subject!$A:$I,MATCH(RANDBETWEEN(1,16),Subject!$B:$B,0),3)</f>
        <v>#N/A</v>
      </c>
      <c r="Y583" s="8" t="str">
        <f t="array" ref="Y583">INDEX(Subject!$A:$I,MATCH(RANDBETWEEN(1,16),Subject!$B:$B,0),3)</f>
        <v>#N/A</v>
      </c>
      <c r="Z583" s="8" t="str">
        <f t="array" ref="Z583">INDEX(Subject!$A:$I,MATCH(RANDBETWEEN(1,16),Subject!$B:$B,0),3)</f>
        <v>#N/A</v>
      </c>
      <c r="AA583" s="8" t="str">
        <f t="array" ref="AA583">INDEX(Subject!$A:$I,MATCH(RANDBETWEEN(1,16),Subject!$B:$B,0),3)</f>
        <v>#N/A</v>
      </c>
      <c r="AB583" s="8" t="str">
        <f t="array" ref="AB583">INDEX(Subject!$A:$I,MATCH(RANDBETWEEN(1,16),Subject!$B:$B,0),3)</f>
        <v>#N/A</v>
      </c>
      <c r="AC583" s="8" t="str">
        <f t="array" ref="AC583">INDEX(Subject!$A:$I,MATCH(RANDBETWEEN(1,16),Subject!$B:$B,0),3)</f>
        <v/>
      </c>
      <c r="AD583" s="8" t="str">
        <f t="array" ref="AD583">INDEX(Subject!$A:$I,MATCH(RANDBETWEEN(1,16),Subject!$B:$B,0),3)</f>
        <v>#N/A</v>
      </c>
      <c r="AE583" s="8" t="str">
        <f t="array" ref="AE583">INDEX(Subject!$A:$I,MATCH(RANDBETWEEN(1,16),Subject!$B:$B,0),3)</f>
        <v>#N/A</v>
      </c>
      <c r="AF583" s="8" t="str">
        <f t="array" ref="AF583">INDEX(Subject!$A:$I,MATCH(RANDBETWEEN(1,16),Subject!$B:$B,0),3)</f>
        <v>#N/A</v>
      </c>
      <c r="AG583" s="8" t="str">
        <f t="array" ref="AG583">INDEX(Subject!$A:$I,MATCH(RANDBETWEEN(1,16),Subject!$B:$B,0),3)</f>
        <v>#N/A</v>
      </c>
      <c r="AH583" s="8" t="str">
        <f t="array" ref="AH583">INDEX(Subject!$A:$I,MATCH(RANDBETWEEN(1,16),Subject!$B:$B,0),3)</f>
        <v>#N/A</v>
      </c>
      <c r="AI583" s="8" t="str">
        <f t="array" ref="AI583">INDEX(Subject!$A:$I,MATCH(RANDBETWEEN(1,16),Subject!$B:$B,0),3)</f>
        <v>#N/A</v>
      </c>
      <c r="AJ583" s="8" t="str">
        <f t="array" ref="AJ583">INDEX(Subject!$A:$I,MATCH(RANDBETWEEN(1,16),Subject!$B:$B,0),3)</f>
        <v>#N/A</v>
      </c>
      <c r="AK583" s="8" t="str">
        <f t="array" ref="AK583">INDEX(Subject!$A:$I,MATCH(RANDBETWEEN(1,16),Subject!$B:$B,0),3)</f>
        <v/>
      </c>
      <c r="AL583" s="8" t="str">
        <f t="array" ref="AL583">INDEX(Subject!$A:$I,MATCH(RANDBETWEEN(1,16),Subject!$B:$B,0),3)</f>
        <v>#N/A</v>
      </c>
      <c r="AM583" s="18">
        <f t="shared" si="4"/>
        <v>46083.33333</v>
      </c>
      <c r="AN583" s="19">
        <f t="shared" ref="AN583:BZ583" si="583">$A583+C$1</f>
        <v>46083.35417</v>
      </c>
      <c r="AO583" s="19">
        <f t="shared" si="583"/>
        <v>46083.375</v>
      </c>
      <c r="AP583" s="19">
        <f t="shared" si="583"/>
        <v>46083.39583</v>
      </c>
      <c r="AQ583" s="19">
        <f t="shared" si="583"/>
        <v>46083.41667</v>
      </c>
      <c r="AR583" s="19">
        <f t="shared" si="583"/>
        <v>46083.4375</v>
      </c>
      <c r="AS583" s="19">
        <f t="shared" si="583"/>
        <v>46083.45833</v>
      </c>
      <c r="AT583" s="19">
        <f t="shared" si="583"/>
        <v>46083.47917</v>
      </c>
      <c r="AU583" s="19">
        <f t="shared" si="583"/>
        <v>46083.5</v>
      </c>
      <c r="AV583" s="19">
        <f t="shared" si="583"/>
        <v>46083.52083</v>
      </c>
      <c r="AW583" s="19">
        <f t="shared" si="583"/>
        <v>46083.54167</v>
      </c>
      <c r="AX583" s="19">
        <f t="shared" si="583"/>
        <v>46083.5625</v>
      </c>
      <c r="AY583" s="19">
        <f t="shared" si="583"/>
        <v>46083.58333</v>
      </c>
      <c r="AZ583" s="19">
        <f t="shared" si="583"/>
        <v>46083.60417</v>
      </c>
      <c r="BA583" s="19">
        <f t="shared" si="583"/>
        <v>46083.625</v>
      </c>
      <c r="BB583" s="19">
        <f t="shared" si="583"/>
        <v>46083.64583</v>
      </c>
      <c r="BC583" s="19">
        <f t="shared" si="583"/>
        <v>46083.66667</v>
      </c>
      <c r="BD583" s="19">
        <f t="shared" si="583"/>
        <v>46083.6875</v>
      </c>
      <c r="BE583" s="19">
        <f t="shared" si="583"/>
        <v>46083.70833</v>
      </c>
      <c r="BF583" s="19">
        <f t="shared" si="583"/>
        <v>46083.72917</v>
      </c>
      <c r="BG583" s="19">
        <f t="shared" si="583"/>
        <v>46083.75</v>
      </c>
      <c r="BH583" s="19">
        <f t="shared" si="583"/>
        <v>46083.77083</v>
      </c>
      <c r="BI583" s="19">
        <f t="shared" si="583"/>
        <v>46083.79167</v>
      </c>
      <c r="BJ583" s="19">
        <f t="shared" si="583"/>
        <v>46083.8125</v>
      </c>
      <c r="BK583" s="19">
        <f t="shared" si="583"/>
        <v>46083.83333</v>
      </c>
      <c r="BL583" s="19">
        <f t="shared" si="583"/>
        <v>46083.85417</v>
      </c>
      <c r="BM583" s="19">
        <f t="shared" si="583"/>
        <v>46083.875</v>
      </c>
      <c r="BN583" s="19">
        <f t="shared" si="583"/>
        <v>46083.89583</v>
      </c>
      <c r="BO583" s="19">
        <f t="shared" si="583"/>
        <v>46083.91667</v>
      </c>
      <c r="BP583" s="19">
        <f t="shared" si="583"/>
        <v>46083.9375</v>
      </c>
      <c r="BQ583" s="19">
        <f t="shared" si="583"/>
        <v>46083.95833</v>
      </c>
      <c r="BR583" s="19">
        <f t="shared" si="583"/>
        <v>46083.97917</v>
      </c>
      <c r="BS583" s="19">
        <f t="shared" si="583"/>
        <v>46084</v>
      </c>
      <c r="BT583" s="19">
        <f t="shared" si="583"/>
        <v>46084.02083</v>
      </c>
      <c r="BU583" s="19">
        <f t="shared" si="583"/>
        <v>46084.04167</v>
      </c>
      <c r="BV583" s="19">
        <f t="shared" si="583"/>
        <v>46084.0625</v>
      </c>
      <c r="BW583" s="19">
        <f t="shared" si="583"/>
        <v>46084.08333</v>
      </c>
      <c r="BX583" s="19">
        <f t="shared" si="583"/>
        <v>46083</v>
      </c>
      <c r="BY583" s="19">
        <f t="shared" si="583"/>
        <v>46083</v>
      </c>
      <c r="BZ583" s="19">
        <f t="shared" si="583"/>
        <v>46083</v>
      </c>
    </row>
    <row r="584" ht="14.25" customHeight="1">
      <c r="A584" s="17">
        <v>46084.0</v>
      </c>
      <c r="B584" s="2" t="str">
        <f t="array" ref="B584">IF(NOW()&gt;AM584,"",IF(AND((WEEKDAY($A584)+$B$2)&gt;1,((WEEKDAY($A584)+$T$2)&lt;7),(WEEKDAY($A584)&lt;&gt;1)),"work",(INDEX(Subject!$A:$I,MATCH(RANDBETWEEN(1,(MAX(Subject!$B:$B))),Subject!$B:$B,0),3))))</f>
        <v/>
      </c>
      <c r="C584" s="2" t="str">
        <f t="array" ref="C584">IF(NOW()&gt;AN584,"",IF(AND((WEEKDAY($A584)+$B$2)&gt;1,((WEEKDAY($A584)+$T$2)&lt;7),(WEEKDAY($A584)&lt;&gt;1)),"work",(INDEX(Subject!$A:$I,MATCH(RANDBETWEEN(1,(MAX(Subject!$B:$B))),Subject!$B:$B,0),3))))</f>
        <v/>
      </c>
      <c r="D584" s="2" t="str">
        <f t="array" ref="D584">IF(NOW()&gt;AO584,"",IF(AND((WEEKDAY($A584)+$B$2)&gt;1,((WEEKDAY($A584)+$T$2)&lt;7),(WEEKDAY($A584)&lt;&gt;1)),"work",(INDEX(Subject!$A:$I,MATCH(RANDBETWEEN(1,(MAX(Subject!$B:$B))),Subject!$B:$B,0),3))))</f>
        <v/>
      </c>
      <c r="E584" s="2" t="str">
        <f t="array" ref="E584">IF(NOW()&gt;AP584,"",IF(AND((WEEKDAY($A584)+$B$2)&gt;1,((WEEKDAY($A584)+$T$2)&lt;7),(WEEKDAY($A584)&lt;&gt;1)),"work",(INDEX(Subject!$A:$I,MATCH(RANDBETWEEN(1,(MAX(Subject!$B:$B))),Subject!$B:$B,0),3))))</f>
        <v/>
      </c>
      <c r="F584" s="2" t="str">
        <f t="array" ref="F584">IF(NOW()&gt;AQ584,"",IF(AND((WEEKDAY($A584)+$B$2)&gt;1,((WEEKDAY($A584)+$T$2)&lt;7),(WEEKDAY($A584)&lt;&gt;1)),"work",(INDEX(Subject!$A:$I,MATCH(RANDBETWEEN(1,(MAX(Subject!$B:$B))),Subject!$B:$B,0),3))))</f>
        <v/>
      </c>
      <c r="G584" s="2" t="str">
        <f t="array" ref="G584">IF(NOW()&gt;AR584,"",IF(AND((WEEKDAY($A584)+$B$2)&gt;1,((WEEKDAY($A584)+$T$2)&lt;7),(WEEKDAY($A584)&lt;&gt;1)),"work",(INDEX(Subject!$A:$I,MATCH(RANDBETWEEN(1,(MAX(Subject!$B:$B))),Subject!$B:$B,0),3))))</f>
        <v/>
      </c>
      <c r="H584" s="2" t="str">
        <f t="array" ref="H584">IF(NOW()&gt;AS584,"",IF(AND((WEEKDAY($A584)+$B$2)&gt;1,((WEEKDAY($A584)+$T$2)&lt;7),(WEEKDAY($A584)&lt;&gt;1)),"work",(INDEX(Subject!$A:$I,MATCH(RANDBETWEEN(1,(MAX(Subject!$B:$B))),Subject!$B:$B,0),3))))</f>
        <v/>
      </c>
      <c r="I584" s="2" t="str">
        <f t="array" ref="I584">IF(NOW()&gt;AT584,"",IF(AND((WEEKDAY($A584)+$B$2)&gt;1,((WEEKDAY($A584)+$T$2)&lt;7),(WEEKDAY($A584)&lt;&gt;1)),"work",(INDEX(Subject!$A:$I,MATCH(RANDBETWEEN(1,(MAX(Subject!$B:$B))),Subject!$B:$B,0),3))))</f>
        <v/>
      </c>
      <c r="J584" s="2" t="str">
        <f t="array" ref="J584">IF(NOW()&gt;AU584,"",IF(AND((WEEKDAY($A584)+$B$2)&gt;1,((WEEKDAY($A584)+$T$2)&lt;7),(WEEKDAY($A584)&lt;&gt;1)),"work",(INDEX(Subject!$A:$I,MATCH(RANDBETWEEN(1,(MAX(Subject!$B:$B))),Subject!$B:$B,0),3))))</f>
        <v/>
      </c>
      <c r="K584" s="2" t="str">
        <f t="array" ref="K584">IF(NOW()&gt;AV584,"",IF(AND((WEEKDAY($A584)+$B$2)&gt;1,((WEEKDAY($A584)+$T$2)&lt;7),(WEEKDAY($A584)&lt;&gt;1)),"work",(INDEX(Subject!$A:$I,MATCH(RANDBETWEEN(1,(MAX(Subject!$B:$B))),Subject!$B:$B,0),3))))</f>
        <v/>
      </c>
      <c r="L584" s="2" t="str">
        <f t="array" ref="L584">IF(NOW()&gt;AW584,"",IF(AND((WEEKDAY($A584)+$B$2)&gt;1,((WEEKDAY($A584)+$T$2)&lt;7),(WEEKDAY($A584)&lt;&gt;1)),"work",(INDEX(Subject!$A:$I,MATCH(RANDBETWEEN(1,(MAX(Subject!$B:$B))),Subject!$B:$B,0),3))))</f>
        <v/>
      </c>
      <c r="M584" s="2" t="str">
        <f t="array" ref="M584">IF(NOW()&gt;AX584,"",IF(AND((WEEKDAY($A584)+$B$2)&gt;1,((WEEKDAY($A584)+$T$2)&lt;7),(WEEKDAY($A584)&lt;&gt;1)),"work",(INDEX(Subject!$A:$I,MATCH(RANDBETWEEN(1,(MAX(Subject!$B:$B))),Subject!$B:$B,0),3))))</f>
        <v/>
      </c>
      <c r="N584" s="2" t="str">
        <f t="array" ref="N584">IF(NOW()&gt;AY584,"",IF(AND((WEEKDAY($A584)+$B$2)&gt;1,((WEEKDAY($A584)+$T$2)&lt;7),(WEEKDAY($A584)&lt;&gt;1)),"work",(INDEX(Subject!$A:$I,MATCH(RANDBETWEEN(1,(MAX(Subject!$B:$B))),Subject!$B:$B,0),3))))</f>
        <v/>
      </c>
      <c r="O584" s="2" t="str">
        <f t="array" ref="O584">IF(NOW()&gt;AZ584,"",IF(AND((WEEKDAY($A584)+$B$2)&gt;1,((WEEKDAY($A584)+$T$2)&lt;7),(WEEKDAY($A584)&lt;&gt;1)),"work",(INDEX(Subject!$A:$I,MATCH(RANDBETWEEN(1,(MAX(Subject!$B:$B))),Subject!$B:$B,0),3))))</f>
        <v/>
      </c>
      <c r="P584" s="2" t="str">
        <f t="array" ref="P584">IF(NOW()&gt;BA584,"",IF(AND((WEEKDAY($A584)+$B$2)&gt;1,((WEEKDAY($A584)+$T$2)&lt;7),(WEEKDAY($A584)&lt;&gt;1)),"work",(INDEX(Subject!$A:$I,MATCH(RANDBETWEEN(1,(MAX(Subject!$B:$B))),Subject!$B:$B,0),3))))</f>
        <v/>
      </c>
      <c r="Q584" s="2" t="str">
        <f t="array" ref="Q584">IF(NOW()&gt;BB584,"",IF(AND((WEEKDAY($A584)+$B$2)&gt;1,((WEEKDAY($A584)+$T$2)&lt;7),(WEEKDAY($A584)&lt;&gt;1)),"work",(INDEX(Subject!$A:$I,MATCH(RANDBETWEEN(1,(MAX(Subject!$B:$B))),Subject!$B:$B,0),3))))</f>
        <v/>
      </c>
      <c r="R584" s="2" t="str">
        <f t="array" ref="R584">IF(NOW()&gt;BC584,"",IF(AND((WEEKDAY($A584)+$B$2)&gt;1,((WEEKDAY($A584)+$T$2)&lt;7),(WEEKDAY($A584)&lt;&gt;1)),"work",(INDEX(Subject!$A:$I,MATCH(RANDBETWEEN(1,(MAX(Subject!$B:$B))),Subject!$B:$B,0),3))))</f>
        <v/>
      </c>
      <c r="S584" s="2" t="str">
        <f t="array" ref="S584">IF(NOW()&gt;BD584,"",IF(AND((WEEKDAY($A584)+$B$2)&gt;1,((WEEKDAY($A584)+$T$2)&lt;7),(WEEKDAY($A584)&lt;&gt;1)),"work",(INDEX(Subject!$A:$I,MATCH(RANDBETWEEN(1,(MAX(Subject!$B:$B))),Subject!$B:$B,0),3))))</f>
        <v/>
      </c>
      <c r="T584" s="2" t="str">
        <f t="array" ref="T584">IF(NOW()&gt;BE584,"",IF(AND((WEEKDAY($A584)+$B$2)&gt;1,((WEEKDAY($A584)+$T$2)&lt;7),(WEEKDAY($A584)&lt;&gt;1)),"work",(INDEX(Subject!$A:$I,MATCH(RANDBETWEEN(1,(MAX(Subject!$B:$B))),Subject!$B:$B,0),3))))</f>
        <v/>
      </c>
      <c r="U584" s="8" t="str">
        <f t="array" ref="U584">INDEX(Subject!$A:$I,MATCH(RANDBETWEEN(1,16),Subject!$B:$B,0),3)</f>
        <v>#N/A</v>
      </c>
      <c r="V584" s="8" t="str">
        <f t="array" ref="V584">INDEX(Subject!$A:$I,MATCH(RANDBETWEEN(1,16),Subject!$B:$B,0),3)</f>
        <v>#N/A</v>
      </c>
      <c r="W584" s="8" t="str">
        <f t="array" ref="W584">INDEX(Subject!$A:$I,MATCH(RANDBETWEEN(1,16),Subject!$B:$B,0),3)</f>
        <v>#N/A</v>
      </c>
      <c r="X584" s="8" t="str">
        <f t="array" ref="X584">INDEX(Subject!$A:$I,MATCH(RANDBETWEEN(1,16),Subject!$B:$B,0),3)</f>
        <v/>
      </c>
      <c r="Y584" s="8" t="str">
        <f t="array" ref="Y584">INDEX(Subject!$A:$I,MATCH(RANDBETWEEN(1,16),Subject!$B:$B,0),3)</f>
        <v/>
      </c>
      <c r="Z584" s="8" t="str">
        <f t="array" ref="Z584">INDEX(Subject!$A:$I,MATCH(RANDBETWEEN(1,16),Subject!$B:$B,0),3)</f>
        <v>#N/A</v>
      </c>
      <c r="AA584" s="8" t="str">
        <f t="array" ref="AA584">INDEX(Subject!$A:$I,MATCH(RANDBETWEEN(1,16),Subject!$B:$B,0),3)</f>
        <v/>
      </c>
      <c r="AB584" s="8" t="str">
        <f t="array" ref="AB584">INDEX(Subject!$A:$I,MATCH(RANDBETWEEN(1,16),Subject!$B:$B,0),3)</f>
        <v>#N/A</v>
      </c>
      <c r="AC584" s="8" t="str">
        <f t="array" ref="AC584">INDEX(Subject!$A:$I,MATCH(RANDBETWEEN(1,16),Subject!$B:$B,0),3)</f>
        <v>#N/A</v>
      </c>
      <c r="AD584" s="8" t="str">
        <f t="array" ref="AD584">INDEX(Subject!$A:$I,MATCH(RANDBETWEEN(1,16),Subject!$B:$B,0),3)</f>
        <v>#N/A</v>
      </c>
      <c r="AE584" s="8" t="str">
        <f t="array" ref="AE584">INDEX(Subject!$A:$I,MATCH(RANDBETWEEN(1,16),Subject!$B:$B,0),3)</f>
        <v>#N/A</v>
      </c>
      <c r="AF584" s="8" t="str">
        <f t="array" ref="AF584">INDEX(Subject!$A:$I,MATCH(RANDBETWEEN(1,16),Subject!$B:$B,0),3)</f>
        <v>#N/A</v>
      </c>
      <c r="AG584" s="8" t="str">
        <f t="array" ref="AG584">INDEX(Subject!$A:$I,MATCH(RANDBETWEEN(1,16),Subject!$B:$B,0),3)</f>
        <v>#N/A</v>
      </c>
      <c r="AH584" s="8" t="str">
        <f t="array" ref="AH584">INDEX(Subject!$A:$I,MATCH(RANDBETWEEN(1,16),Subject!$B:$B,0),3)</f>
        <v>#N/A</v>
      </c>
      <c r="AI584" s="8" t="str">
        <f t="array" ref="AI584">INDEX(Subject!$A:$I,MATCH(RANDBETWEEN(1,16),Subject!$B:$B,0),3)</f>
        <v>#N/A</v>
      </c>
      <c r="AJ584" s="8" t="str">
        <f t="array" ref="AJ584">INDEX(Subject!$A:$I,MATCH(RANDBETWEEN(1,16),Subject!$B:$B,0),3)</f>
        <v>#N/A</v>
      </c>
      <c r="AK584" s="8" t="str">
        <f t="array" ref="AK584">INDEX(Subject!$A:$I,MATCH(RANDBETWEEN(1,16),Subject!$B:$B,0),3)</f>
        <v>#N/A</v>
      </c>
      <c r="AL584" s="8" t="str">
        <f t="array" ref="AL584">INDEX(Subject!$A:$I,MATCH(RANDBETWEEN(1,16),Subject!$B:$B,0),3)</f>
        <v>#N/A</v>
      </c>
      <c r="AM584" s="18">
        <f t="shared" si="4"/>
        <v>46084.33333</v>
      </c>
      <c r="AN584" s="19">
        <f t="shared" ref="AN584:BZ584" si="584">$A584+C$1</f>
        <v>46084.35417</v>
      </c>
      <c r="AO584" s="19">
        <f t="shared" si="584"/>
        <v>46084.375</v>
      </c>
      <c r="AP584" s="19">
        <f t="shared" si="584"/>
        <v>46084.39583</v>
      </c>
      <c r="AQ584" s="19">
        <f t="shared" si="584"/>
        <v>46084.41667</v>
      </c>
      <c r="AR584" s="19">
        <f t="shared" si="584"/>
        <v>46084.4375</v>
      </c>
      <c r="AS584" s="19">
        <f t="shared" si="584"/>
        <v>46084.45833</v>
      </c>
      <c r="AT584" s="19">
        <f t="shared" si="584"/>
        <v>46084.47917</v>
      </c>
      <c r="AU584" s="19">
        <f t="shared" si="584"/>
        <v>46084.5</v>
      </c>
      <c r="AV584" s="19">
        <f t="shared" si="584"/>
        <v>46084.52083</v>
      </c>
      <c r="AW584" s="19">
        <f t="shared" si="584"/>
        <v>46084.54167</v>
      </c>
      <c r="AX584" s="19">
        <f t="shared" si="584"/>
        <v>46084.5625</v>
      </c>
      <c r="AY584" s="19">
        <f t="shared" si="584"/>
        <v>46084.58333</v>
      </c>
      <c r="AZ584" s="19">
        <f t="shared" si="584"/>
        <v>46084.60417</v>
      </c>
      <c r="BA584" s="19">
        <f t="shared" si="584"/>
        <v>46084.625</v>
      </c>
      <c r="BB584" s="19">
        <f t="shared" si="584"/>
        <v>46084.64583</v>
      </c>
      <c r="BC584" s="19">
        <f t="shared" si="584"/>
        <v>46084.66667</v>
      </c>
      <c r="BD584" s="19">
        <f t="shared" si="584"/>
        <v>46084.6875</v>
      </c>
      <c r="BE584" s="19">
        <f t="shared" si="584"/>
        <v>46084.70833</v>
      </c>
      <c r="BF584" s="19">
        <f t="shared" si="584"/>
        <v>46084.72917</v>
      </c>
      <c r="BG584" s="19">
        <f t="shared" si="584"/>
        <v>46084.75</v>
      </c>
      <c r="BH584" s="19">
        <f t="shared" si="584"/>
        <v>46084.77083</v>
      </c>
      <c r="BI584" s="19">
        <f t="shared" si="584"/>
        <v>46084.79167</v>
      </c>
      <c r="BJ584" s="19">
        <f t="shared" si="584"/>
        <v>46084.8125</v>
      </c>
      <c r="BK584" s="19">
        <f t="shared" si="584"/>
        <v>46084.83333</v>
      </c>
      <c r="BL584" s="19">
        <f t="shared" si="584"/>
        <v>46084.85417</v>
      </c>
      <c r="BM584" s="19">
        <f t="shared" si="584"/>
        <v>46084.875</v>
      </c>
      <c r="BN584" s="19">
        <f t="shared" si="584"/>
        <v>46084.89583</v>
      </c>
      <c r="BO584" s="19">
        <f t="shared" si="584"/>
        <v>46084.91667</v>
      </c>
      <c r="BP584" s="19">
        <f t="shared" si="584"/>
        <v>46084.9375</v>
      </c>
      <c r="BQ584" s="19">
        <f t="shared" si="584"/>
        <v>46084.95833</v>
      </c>
      <c r="BR584" s="19">
        <f t="shared" si="584"/>
        <v>46084.97917</v>
      </c>
      <c r="BS584" s="19">
        <f t="shared" si="584"/>
        <v>46085</v>
      </c>
      <c r="BT584" s="19">
        <f t="shared" si="584"/>
        <v>46085.02083</v>
      </c>
      <c r="BU584" s="19">
        <f t="shared" si="584"/>
        <v>46085.04167</v>
      </c>
      <c r="BV584" s="19">
        <f t="shared" si="584"/>
        <v>46085.0625</v>
      </c>
      <c r="BW584" s="19">
        <f t="shared" si="584"/>
        <v>46085.08333</v>
      </c>
      <c r="BX584" s="19">
        <f t="shared" si="584"/>
        <v>46084</v>
      </c>
      <c r="BY584" s="19">
        <f t="shared" si="584"/>
        <v>46084</v>
      </c>
      <c r="BZ584" s="19">
        <f t="shared" si="584"/>
        <v>46084</v>
      </c>
    </row>
    <row r="585" ht="14.25" customHeight="1">
      <c r="A585" s="17">
        <v>46085.0</v>
      </c>
      <c r="B585" s="2" t="str">
        <f t="array" ref="B585">IF(NOW()&gt;AM585,"",IF(AND((WEEKDAY($A585)+$B$2)&gt;1,((WEEKDAY($A585)+$T$2)&lt;7),(WEEKDAY($A585)&lt;&gt;1)),"work",(INDEX(Subject!$A:$I,MATCH(RANDBETWEEN(1,(MAX(Subject!$B:$B))),Subject!$B:$B,0),3))))</f>
        <v/>
      </c>
      <c r="C585" s="2" t="str">
        <f t="array" ref="C585">IF(NOW()&gt;AN585,"",IF(AND((WEEKDAY($A585)+$B$2)&gt;1,((WEEKDAY($A585)+$T$2)&lt;7),(WEEKDAY($A585)&lt;&gt;1)),"work",(INDEX(Subject!$A:$I,MATCH(RANDBETWEEN(1,(MAX(Subject!$B:$B))),Subject!$B:$B,0),3))))</f>
        <v/>
      </c>
      <c r="D585" s="2" t="str">
        <f t="array" ref="D585">IF(NOW()&gt;AO585,"",IF(AND((WEEKDAY($A585)+$B$2)&gt;1,((WEEKDAY($A585)+$T$2)&lt;7),(WEEKDAY($A585)&lt;&gt;1)),"work",(INDEX(Subject!$A:$I,MATCH(RANDBETWEEN(1,(MAX(Subject!$B:$B))),Subject!$B:$B,0),3))))</f>
        <v/>
      </c>
      <c r="E585" s="2" t="str">
        <f t="array" ref="E585">IF(NOW()&gt;AP585,"",IF(AND((WEEKDAY($A585)+$B$2)&gt;1,((WEEKDAY($A585)+$T$2)&lt;7),(WEEKDAY($A585)&lt;&gt;1)),"work",(INDEX(Subject!$A:$I,MATCH(RANDBETWEEN(1,(MAX(Subject!$B:$B))),Subject!$B:$B,0),3))))</f>
        <v/>
      </c>
      <c r="F585" s="2" t="str">
        <f t="array" ref="F585">IF(NOW()&gt;AQ585,"",IF(AND((WEEKDAY($A585)+$B$2)&gt;1,((WEEKDAY($A585)+$T$2)&lt;7),(WEEKDAY($A585)&lt;&gt;1)),"work",(INDEX(Subject!$A:$I,MATCH(RANDBETWEEN(1,(MAX(Subject!$B:$B))),Subject!$B:$B,0),3))))</f>
        <v/>
      </c>
      <c r="G585" s="2" t="str">
        <f t="array" ref="G585">IF(NOW()&gt;AR585,"",IF(AND((WEEKDAY($A585)+$B$2)&gt;1,((WEEKDAY($A585)+$T$2)&lt;7),(WEEKDAY($A585)&lt;&gt;1)),"work",(INDEX(Subject!$A:$I,MATCH(RANDBETWEEN(1,(MAX(Subject!$B:$B))),Subject!$B:$B,0),3))))</f>
        <v/>
      </c>
      <c r="H585" s="2" t="str">
        <f t="array" ref="H585">IF(NOW()&gt;AS585,"",IF(AND((WEEKDAY($A585)+$B$2)&gt;1,((WEEKDAY($A585)+$T$2)&lt;7),(WEEKDAY($A585)&lt;&gt;1)),"work",(INDEX(Subject!$A:$I,MATCH(RANDBETWEEN(1,(MAX(Subject!$B:$B))),Subject!$B:$B,0),3))))</f>
        <v/>
      </c>
      <c r="I585" s="2" t="str">
        <f t="array" ref="I585">IF(NOW()&gt;AT585,"",IF(AND((WEEKDAY($A585)+$B$2)&gt;1,((WEEKDAY($A585)+$T$2)&lt;7),(WEEKDAY($A585)&lt;&gt;1)),"work",(INDEX(Subject!$A:$I,MATCH(RANDBETWEEN(1,(MAX(Subject!$B:$B))),Subject!$B:$B,0),3))))</f>
        <v/>
      </c>
      <c r="J585" s="2" t="str">
        <f t="array" ref="J585">IF(NOW()&gt;AU585,"",IF(AND((WEEKDAY($A585)+$B$2)&gt;1,((WEEKDAY($A585)+$T$2)&lt;7),(WEEKDAY($A585)&lt;&gt;1)),"work",(INDEX(Subject!$A:$I,MATCH(RANDBETWEEN(1,(MAX(Subject!$B:$B))),Subject!$B:$B,0),3))))</f>
        <v/>
      </c>
      <c r="K585" s="2" t="str">
        <f t="array" ref="K585">IF(NOW()&gt;AV585,"",IF(AND((WEEKDAY($A585)+$B$2)&gt;1,((WEEKDAY($A585)+$T$2)&lt;7),(WEEKDAY($A585)&lt;&gt;1)),"work",(INDEX(Subject!$A:$I,MATCH(RANDBETWEEN(1,(MAX(Subject!$B:$B))),Subject!$B:$B,0),3))))</f>
        <v/>
      </c>
      <c r="L585" s="2" t="str">
        <f t="array" ref="L585">IF(NOW()&gt;AW585,"",IF(AND((WEEKDAY($A585)+$B$2)&gt;1,((WEEKDAY($A585)+$T$2)&lt;7),(WEEKDAY($A585)&lt;&gt;1)),"work",(INDEX(Subject!$A:$I,MATCH(RANDBETWEEN(1,(MAX(Subject!$B:$B))),Subject!$B:$B,0),3))))</f>
        <v/>
      </c>
      <c r="M585" s="2" t="str">
        <f t="array" ref="M585">IF(NOW()&gt;AX585,"",IF(AND((WEEKDAY($A585)+$B$2)&gt;1,((WEEKDAY($A585)+$T$2)&lt;7),(WEEKDAY($A585)&lt;&gt;1)),"work",(INDEX(Subject!$A:$I,MATCH(RANDBETWEEN(1,(MAX(Subject!$B:$B))),Subject!$B:$B,0),3))))</f>
        <v/>
      </c>
      <c r="N585" s="2" t="str">
        <f t="array" ref="N585">IF(NOW()&gt;AY585,"",IF(AND((WEEKDAY($A585)+$B$2)&gt;1,((WEEKDAY($A585)+$T$2)&lt;7),(WEEKDAY($A585)&lt;&gt;1)),"work",(INDEX(Subject!$A:$I,MATCH(RANDBETWEEN(1,(MAX(Subject!$B:$B))),Subject!$B:$B,0),3))))</f>
        <v/>
      </c>
      <c r="O585" s="2" t="str">
        <f t="array" ref="O585">IF(NOW()&gt;AZ585,"",IF(AND((WEEKDAY($A585)+$B$2)&gt;1,((WEEKDAY($A585)+$T$2)&lt;7),(WEEKDAY($A585)&lt;&gt;1)),"work",(INDEX(Subject!$A:$I,MATCH(RANDBETWEEN(1,(MAX(Subject!$B:$B))),Subject!$B:$B,0),3))))</f>
        <v/>
      </c>
      <c r="P585" s="2" t="str">
        <f t="array" ref="P585">IF(NOW()&gt;BA585,"",IF(AND((WEEKDAY($A585)+$B$2)&gt;1,((WEEKDAY($A585)+$T$2)&lt;7),(WEEKDAY($A585)&lt;&gt;1)),"work",(INDEX(Subject!$A:$I,MATCH(RANDBETWEEN(1,(MAX(Subject!$B:$B))),Subject!$B:$B,0),3))))</f>
        <v/>
      </c>
      <c r="Q585" s="2" t="str">
        <f t="array" ref="Q585">IF(NOW()&gt;BB585,"",IF(AND((WEEKDAY($A585)+$B$2)&gt;1,((WEEKDAY($A585)+$T$2)&lt;7),(WEEKDAY($A585)&lt;&gt;1)),"work",(INDEX(Subject!$A:$I,MATCH(RANDBETWEEN(1,(MAX(Subject!$B:$B))),Subject!$B:$B,0),3))))</f>
        <v/>
      </c>
      <c r="R585" s="2" t="str">
        <f t="array" ref="R585">IF(NOW()&gt;BC585,"",IF(AND((WEEKDAY($A585)+$B$2)&gt;1,((WEEKDAY($A585)+$T$2)&lt;7),(WEEKDAY($A585)&lt;&gt;1)),"work",(INDEX(Subject!$A:$I,MATCH(RANDBETWEEN(1,(MAX(Subject!$B:$B))),Subject!$B:$B,0),3))))</f>
        <v/>
      </c>
      <c r="S585" s="2" t="str">
        <f t="array" ref="S585">IF(NOW()&gt;BD585,"",IF(AND((WEEKDAY($A585)+$B$2)&gt;1,((WEEKDAY($A585)+$T$2)&lt;7),(WEEKDAY($A585)&lt;&gt;1)),"work",(INDEX(Subject!$A:$I,MATCH(RANDBETWEEN(1,(MAX(Subject!$B:$B))),Subject!$B:$B,0),3))))</f>
        <v/>
      </c>
      <c r="T585" s="2" t="str">
        <f t="array" ref="T585">IF(NOW()&gt;BE585,"",IF(AND((WEEKDAY($A585)+$B$2)&gt;1,((WEEKDAY($A585)+$T$2)&lt;7),(WEEKDAY($A585)&lt;&gt;1)),"work",(INDEX(Subject!$A:$I,MATCH(RANDBETWEEN(1,(MAX(Subject!$B:$B))),Subject!$B:$B,0),3))))</f>
        <v/>
      </c>
      <c r="U585" s="8" t="str">
        <f t="array" ref="U585">INDEX(Subject!$A:$I,MATCH(RANDBETWEEN(1,16),Subject!$B:$B,0),3)</f>
        <v>#N/A</v>
      </c>
      <c r="V585" s="8" t="str">
        <f t="array" ref="V585">INDEX(Subject!$A:$I,MATCH(RANDBETWEEN(1,16),Subject!$B:$B,0),3)</f>
        <v>#N/A</v>
      </c>
      <c r="W585" s="8" t="str">
        <f t="array" ref="W585">INDEX(Subject!$A:$I,MATCH(RANDBETWEEN(1,16),Subject!$B:$B,0),3)</f>
        <v>#N/A</v>
      </c>
      <c r="X585" s="8" t="str">
        <f t="array" ref="X585">INDEX(Subject!$A:$I,MATCH(RANDBETWEEN(1,16),Subject!$B:$B,0),3)</f>
        <v>#N/A</v>
      </c>
      <c r="Y585" s="8" t="str">
        <f t="array" ref="Y585">INDEX(Subject!$A:$I,MATCH(RANDBETWEEN(1,16),Subject!$B:$B,0),3)</f>
        <v>#N/A</v>
      </c>
      <c r="Z585" s="8" t="str">
        <f t="array" ref="Z585">INDEX(Subject!$A:$I,MATCH(RANDBETWEEN(1,16),Subject!$B:$B,0),3)</f>
        <v>#N/A</v>
      </c>
      <c r="AA585" s="8" t="str">
        <f t="array" ref="AA585">INDEX(Subject!$A:$I,MATCH(RANDBETWEEN(1,16),Subject!$B:$B,0),3)</f>
        <v>#N/A</v>
      </c>
      <c r="AB585" s="8" t="str">
        <f t="array" ref="AB585">INDEX(Subject!$A:$I,MATCH(RANDBETWEEN(1,16),Subject!$B:$B,0),3)</f>
        <v>#N/A</v>
      </c>
      <c r="AC585" s="8" t="str">
        <f t="array" ref="AC585">INDEX(Subject!$A:$I,MATCH(RANDBETWEEN(1,16),Subject!$B:$B,0),3)</f>
        <v>#N/A</v>
      </c>
      <c r="AD585" s="8" t="str">
        <f t="array" ref="AD585">INDEX(Subject!$A:$I,MATCH(RANDBETWEEN(1,16),Subject!$B:$B,0),3)</f>
        <v>#N/A</v>
      </c>
      <c r="AE585" s="8" t="str">
        <f t="array" ref="AE585">INDEX(Subject!$A:$I,MATCH(RANDBETWEEN(1,16),Subject!$B:$B,0),3)</f>
        <v>#N/A</v>
      </c>
      <c r="AF585" s="8" t="str">
        <f t="array" ref="AF585">INDEX(Subject!$A:$I,MATCH(RANDBETWEEN(1,16),Subject!$B:$B,0),3)</f>
        <v>#N/A</v>
      </c>
      <c r="AG585" s="8" t="str">
        <f t="array" ref="AG585">INDEX(Subject!$A:$I,MATCH(RANDBETWEEN(1,16),Subject!$B:$B,0),3)</f>
        <v>#N/A</v>
      </c>
      <c r="AH585" s="8" t="str">
        <f t="array" ref="AH585">INDEX(Subject!$A:$I,MATCH(RANDBETWEEN(1,16),Subject!$B:$B,0),3)</f>
        <v>#N/A</v>
      </c>
      <c r="AI585" s="8" t="str">
        <f t="array" ref="AI585">INDEX(Subject!$A:$I,MATCH(RANDBETWEEN(1,16),Subject!$B:$B,0),3)</f>
        <v>#N/A</v>
      </c>
      <c r="AJ585" s="8" t="str">
        <f t="array" ref="AJ585">INDEX(Subject!$A:$I,MATCH(RANDBETWEEN(1,16),Subject!$B:$B,0),3)</f>
        <v>#N/A</v>
      </c>
      <c r="AK585" s="8" t="str">
        <f t="array" ref="AK585">INDEX(Subject!$A:$I,MATCH(RANDBETWEEN(1,16),Subject!$B:$B,0),3)</f>
        <v>#N/A</v>
      </c>
      <c r="AL585" s="8" t="str">
        <f t="array" ref="AL585">INDEX(Subject!$A:$I,MATCH(RANDBETWEEN(1,16),Subject!$B:$B,0),3)</f>
        <v>#N/A</v>
      </c>
      <c r="AM585" s="18">
        <f t="shared" si="4"/>
        <v>46085.33333</v>
      </c>
      <c r="AN585" s="19">
        <f t="shared" ref="AN585:BZ585" si="585">$A585+C$1</f>
        <v>46085.35417</v>
      </c>
      <c r="AO585" s="19">
        <f t="shared" si="585"/>
        <v>46085.375</v>
      </c>
      <c r="AP585" s="19">
        <f t="shared" si="585"/>
        <v>46085.39583</v>
      </c>
      <c r="AQ585" s="19">
        <f t="shared" si="585"/>
        <v>46085.41667</v>
      </c>
      <c r="AR585" s="19">
        <f t="shared" si="585"/>
        <v>46085.4375</v>
      </c>
      <c r="AS585" s="19">
        <f t="shared" si="585"/>
        <v>46085.45833</v>
      </c>
      <c r="AT585" s="19">
        <f t="shared" si="585"/>
        <v>46085.47917</v>
      </c>
      <c r="AU585" s="19">
        <f t="shared" si="585"/>
        <v>46085.5</v>
      </c>
      <c r="AV585" s="19">
        <f t="shared" si="585"/>
        <v>46085.52083</v>
      </c>
      <c r="AW585" s="19">
        <f t="shared" si="585"/>
        <v>46085.54167</v>
      </c>
      <c r="AX585" s="19">
        <f t="shared" si="585"/>
        <v>46085.5625</v>
      </c>
      <c r="AY585" s="19">
        <f t="shared" si="585"/>
        <v>46085.58333</v>
      </c>
      <c r="AZ585" s="19">
        <f t="shared" si="585"/>
        <v>46085.60417</v>
      </c>
      <c r="BA585" s="19">
        <f t="shared" si="585"/>
        <v>46085.625</v>
      </c>
      <c r="BB585" s="19">
        <f t="shared" si="585"/>
        <v>46085.64583</v>
      </c>
      <c r="BC585" s="19">
        <f t="shared" si="585"/>
        <v>46085.66667</v>
      </c>
      <c r="BD585" s="19">
        <f t="shared" si="585"/>
        <v>46085.6875</v>
      </c>
      <c r="BE585" s="19">
        <f t="shared" si="585"/>
        <v>46085.70833</v>
      </c>
      <c r="BF585" s="19">
        <f t="shared" si="585"/>
        <v>46085.72917</v>
      </c>
      <c r="BG585" s="19">
        <f t="shared" si="585"/>
        <v>46085.75</v>
      </c>
      <c r="BH585" s="19">
        <f t="shared" si="585"/>
        <v>46085.77083</v>
      </c>
      <c r="BI585" s="19">
        <f t="shared" si="585"/>
        <v>46085.79167</v>
      </c>
      <c r="BJ585" s="19">
        <f t="shared" si="585"/>
        <v>46085.8125</v>
      </c>
      <c r="BK585" s="19">
        <f t="shared" si="585"/>
        <v>46085.83333</v>
      </c>
      <c r="BL585" s="19">
        <f t="shared" si="585"/>
        <v>46085.85417</v>
      </c>
      <c r="BM585" s="19">
        <f t="shared" si="585"/>
        <v>46085.875</v>
      </c>
      <c r="BN585" s="19">
        <f t="shared" si="585"/>
        <v>46085.89583</v>
      </c>
      <c r="BO585" s="19">
        <f t="shared" si="585"/>
        <v>46085.91667</v>
      </c>
      <c r="BP585" s="19">
        <f t="shared" si="585"/>
        <v>46085.9375</v>
      </c>
      <c r="BQ585" s="19">
        <f t="shared" si="585"/>
        <v>46085.95833</v>
      </c>
      <c r="BR585" s="19">
        <f t="shared" si="585"/>
        <v>46085.97917</v>
      </c>
      <c r="BS585" s="19">
        <f t="shared" si="585"/>
        <v>46086</v>
      </c>
      <c r="BT585" s="19">
        <f t="shared" si="585"/>
        <v>46086.02083</v>
      </c>
      <c r="BU585" s="19">
        <f t="shared" si="585"/>
        <v>46086.04167</v>
      </c>
      <c r="BV585" s="19">
        <f t="shared" si="585"/>
        <v>46086.0625</v>
      </c>
      <c r="BW585" s="19">
        <f t="shared" si="585"/>
        <v>46086.08333</v>
      </c>
      <c r="BX585" s="19">
        <f t="shared" si="585"/>
        <v>46085</v>
      </c>
      <c r="BY585" s="19">
        <f t="shared" si="585"/>
        <v>46085</v>
      </c>
      <c r="BZ585" s="19">
        <f t="shared" si="585"/>
        <v>46085</v>
      </c>
    </row>
    <row r="586" ht="14.25" customHeight="1">
      <c r="A586" s="17">
        <v>46086.0</v>
      </c>
      <c r="B586" s="2" t="str">
        <f t="array" ref="B586">IF(NOW()&gt;AM586,"",IF(AND((WEEKDAY($A586)+$B$2)&gt;1,((WEEKDAY($A586)+$T$2)&lt;7),(WEEKDAY($A586)&lt;&gt;1)),"work",(INDEX(Subject!$A:$I,MATCH(RANDBETWEEN(1,(MAX(Subject!$B:$B))),Subject!$B:$B,0),3))))</f>
        <v/>
      </c>
      <c r="C586" s="2" t="str">
        <f t="array" ref="C586">IF(NOW()&gt;AN586,"",IF(AND((WEEKDAY($A586)+$B$2)&gt;1,((WEEKDAY($A586)+$T$2)&lt;7),(WEEKDAY($A586)&lt;&gt;1)),"work",(INDEX(Subject!$A:$I,MATCH(RANDBETWEEN(1,(MAX(Subject!$B:$B))),Subject!$B:$B,0),3))))</f>
        <v/>
      </c>
      <c r="D586" s="2" t="str">
        <f t="array" ref="D586">IF(NOW()&gt;AO586,"",IF(AND((WEEKDAY($A586)+$B$2)&gt;1,((WEEKDAY($A586)+$T$2)&lt;7),(WEEKDAY($A586)&lt;&gt;1)),"work",(INDEX(Subject!$A:$I,MATCH(RANDBETWEEN(1,(MAX(Subject!$B:$B))),Subject!$B:$B,0),3))))</f>
        <v/>
      </c>
      <c r="E586" s="2" t="str">
        <f t="array" ref="E586">IF(NOW()&gt;AP586,"",IF(AND((WEEKDAY($A586)+$B$2)&gt;1,((WEEKDAY($A586)+$T$2)&lt;7),(WEEKDAY($A586)&lt;&gt;1)),"work",(INDEX(Subject!$A:$I,MATCH(RANDBETWEEN(1,(MAX(Subject!$B:$B))),Subject!$B:$B,0),3))))</f>
        <v/>
      </c>
      <c r="F586" s="2" t="str">
        <f t="array" ref="F586">IF(NOW()&gt;AQ586,"",IF(AND((WEEKDAY($A586)+$B$2)&gt;1,((WEEKDAY($A586)+$T$2)&lt;7),(WEEKDAY($A586)&lt;&gt;1)),"work",(INDEX(Subject!$A:$I,MATCH(RANDBETWEEN(1,(MAX(Subject!$B:$B))),Subject!$B:$B,0),3))))</f>
        <v/>
      </c>
      <c r="G586" s="2" t="str">
        <f t="array" ref="G586">IF(NOW()&gt;AR586,"",IF(AND((WEEKDAY($A586)+$B$2)&gt;1,((WEEKDAY($A586)+$T$2)&lt;7),(WEEKDAY($A586)&lt;&gt;1)),"work",(INDEX(Subject!$A:$I,MATCH(RANDBETWEEN(1,(MAX(Subject!$B:$B))),Subject!$B:$B,0),3))))</f>
        <v/>
      </c>
      <c r="H586" s="2" t="str">
        <f t="array" ref="H586">IF(NOW()&gt;AS586,"",IF(AND((WEEKDAY($A586)+$B$2)&gt;1,((WEEKDAY($A586)+$T$2)&lt;7),(WEEKDAY($A586)&lt;&gt;1)),"work",(INDEX(Subject!$A:$I,MATCH(RANDBETWEEN(1,(MAX(Subject!$B:$B))),Subject!$B:$B,0),3))))</f>
        <v/>
      </c>
      <c r="I586" s="2" t="str">
        <f t="array" ref="I586">IF(NOW()&gt;AT586,"",IF(AND((WEEKDAY($A586)+$B$2)&gt;1,((WEEKDAY($A586)+$T$2)&lt;7),(WEEKDAY($A586)&lt;&gt;1)),"work",(INDEX(Subject!$A:$I,MATCH(RANDBETWEEN(1,(MAX(Subject!$B:$B))),Subject!$B:$B,0),3))))</f>
        <v/>
      </c>
      <c r="J586" s="2" t="str">
        <f t="array" ref="J586">IF(NOW()&gt;AU586,"",IF(AND((WEEKDAY($A586)+$B$2)&gt;1,((WEEKDAY($A586)+$T$2)&lt;7),(WEEKDAY($A586)&lt;&gt;1)),"work",(INDEX(Subject!$A:$I,MATCH(RANDBETWEEN(1,(MAX(Subject!$B:$B))),Subject!$B:$B,0),3))))</f>
        <v/>
      </c>
      <c r="K586" s="2" t="str">
        <f t="array" ref="K586">IF(NOW()&gt;AV586,"",IF(AND((WEEKDAY($A586)+$B$2)&gt;1,((WEEKDAY($A586)+$T$2)&lt;7),(WEEKDAY($A586)&lt;&gt;1)),"work",(INDEX(Subject!$A:$I,MATCH(RANDBETWEEN(1,(MAX(Subject!$B:$B))),Subject!$B:$B,0),3))))</f>
        <v/>
      </c>
      <c r="L586" s="2" t="str">
        <f t="array" ref="L586">IF(NOW()&gt;AW586,"",IF(AND((WEEKDAY($A586)+$B$2)&gt;1,((WEEKDAY($A586)+$T$2)&lt;7),(WEEKDAY($A586)&lt;&gt;1)),"work",(INDEX(Subject!$A:$I,MATCH(RANDBETWEEN(1,(MAX(Subject!$B:$B))),Subject!$B:$B,0),3))))</f>
        <v/>
      </c>
      <c r="M586" s="2" t="str">
        <f t="array" ref="M586">IF(NOW()&gt;AX586,"",IF(AND((WEEKDAY($A586)+$B$2)&gt;1,((WEEKDAY($A586)+$T$2)&lt;7),(WEEKDAY($A586)&lt;&gt;1)),"work",(INDEX(Subject!$A:$I,MATCH(RANDBETWEEN(1,(MAX(Subject!$B:$B))),Subject!$B:$B,0),3))))</f>
        <v/>
      </c>
      <c r="N586" s="2" t="str">
        <f t="array" ref="N586">IF(NOW()&gt;AY586,"",IF(AND((WEEKDAY($A586)+$B$2)&gt;1,((WEEKDAY($A586)+$T$2)&lt;7),(WEEKDAY($A586)&lt;&gt;1)),"work",(INDEX(Subject!$A:$I,MATCH(RANDBETWEEN(1,(MAX(Subject!$B:$B))),Subject!$B:$B,0),3))))</f>
        <v/>
      </c>
      <c r="O586" s="2" t="str">
        <f t="array" ref="O586">IF(NOW()&gt;AZ586,"",IF(AND((WEEKDAY($A586)+$B$2)&gt;1,((WEEKDAY($A586)+$T$2)&lt;7),(WEEKDAY($A586)&lt;&gt;1)),"work",(INDEX(Subject!$A:$I,MATCH(RANDBETWEEN(1,(MAX(Subject!$B:$B))),Subject!$B:$B,0),3))))</f>
        <v/>
      </c>
      <c r="P586" s="2" t="str">
        <f t="array" ref="P586">IF(NOW()&gt;BA586,"",IF(AND((WEEKDAY($A586)+$B$2)&gt;1,((WEEKDAY($A586)+$T$2)&lt;7),(WEEKDAY($A586)&lt;&gt;1)),"work",(INDEX(Subject!$A:$I,MATCH(RANDBETWEEN(1,(MAX(Subject!$B:$B))),Subject!$B:$B,0),3))))</f>
        <v/>
      </c>
      <c r="Q586" s="2" t="str">
        <f t="array" ref="Q586">IF(NOW()&gt;BB586,"",IF(AND((WEEKDAY($A586)+$B$2)&gt;1,((WEEKDAY($A586)+$T$2)&lt;7),(WEEKDAY($A586)&lt;&gt;1)),"work",(INDEX(Subject!$A:$I,MATCH(RANDBETWEEN(1,(MAX(Subject!$B:$B))),Subject!$B:$B,0),3))))</f>
        <v/>
      </c>
      <c r="R586" s="2" t="str">
        <f t="array" ref="R586">IF(NOW()&gt;BC586,"",IF(AND((WEEKDAY($A586)+$B$2)&gt;1,((WEEKDAY($A586)+$T$2)&lt;7),(WEEKDAY($A586)&lt;&gt;1)),"work",(INDEX(Subject!$A:$I,MATCH(RANDBETWEEN(1,(MAX(Subject!$B:$B))),Subject!$B:$B,0),3))))</f>
        <v/>
      </c>
      <c r="S586" s="2" t="str">
        <f t="array" ref="S586">IF(NOW()&gt;BD586,"",IF(AND((WEEKDAY($A586)+$B$2)&gt;1,((WEEKDAY($A586)+$T$2)&lt;7),(WEEKDAY($A586)&lt;&gt;1)),"work",(INDEX(Subject!$A:$I,MATCH(RANDBETWEEN(1,(MAX(Subject!$B:$B))),Subject!$B:$B,0),3))))</f>
        <v/>
      </c>
      <c r="T586" s="2" t="str">
        <f t="array" ref="T586">IF(NOW()&gt;BE586,"",IF(AND((WEEKDAY($A586)+$B$2)&gt;1,((WEEKDAY($A586)+$T$2)&lt;7),(WEEKDAY($A586)&lt;&gt;1)),"work",(INDEX(Subject!$A:$I,MATCH(RANDBETWEEN(1,(MAX(Subject!$B:$B))),Subject!$B:$B,0),3))))</f>
        <v/>
      </c>
      <c r="U586" s="8" t="str">
        <f t="array" ref="U586">INDEX(Subject!$A:$I,MATCH(RANDBETWEEN(1,16),Subject!$B:$B,0),3)</f>
        <v>#N/A</v>
      </c>
      <c r="V586" s="8" t="str">
        <f t="array" ref="V586">INDEX(Subject!$A:$I,MATCH(RANDBETWEEN(1,16),Subject!$B:$B,0),3)</f>
        <v>#N/A</v>
      </c>
      <c r="W586" s="8" t="str">
        <f t="array" ref="W586">INDEX(Subject!$A:$I,MATCH(RANDBETWEEN(1,16),Subject!$B:$B,0),3)</f>
        <v>#N/A</v>
      </c>
      <c r="X586" s="8" t="str">
        <f t="array" ref="X586">INDEX(Subject!$A:$I,MATCH(RANDBETWEEN(1,16),Subject!$B:$B,0),3)</f>
        <v/>
      </c>
      <c r="Y586" s="8" t="str">
        <f t="array" ref="Y586">INDEX(Subject!$A:$I,MATCH(RANDBETWEEN(1,16),Subject!$B:$B,0),3)</f>
        <v>#N/A</v>
      </c>
      <c r="Z586" s="8" t="str">
        <f t="array" ref="Z586">INDEX(Subject!$A:$I,MATCH(RANDBETWEEN(1,16),Subject!$B:$B,0),3)</f>
        <v>#N/A</v>
      </c>
      <c r="AA586" s="8" t="str">
        <f t="array" ref="AA586">INDEX(Subject!$A:$I,MATCH(RANDBETWEEN(1,16),Subject!$B:$B,0),3)</f>
        <v>#N/A</v>
      </c>
      <c r="AB586" s="8" t="str">
        <f t="array" ref="AB586">INDEX(Subject!$A:$I,MATCH(RANDBETWEEN(1,16),Subject!$B:$B,0),3)</f>
        <v>#N/A</v>
      </c>
      <c r="AC586" s="8" t="str">
        <f t="array" ref="AC586">INDEX(Subject!$A:$I,MATCH(RANDBETWEEN(1,16),Subject!$B:$B,0),3)</f>
        <v>#N/A</v>
      </c>
      <c r="AD586" s="8" t="str">
        <f t="array" ref="AD586">INDEX(Subject!$A:$I,MATCH(RANDBETWEEN(1,16),Subject!$B:$B,0),3)</f>
        <v>#N/A</v>
      </c>
      <c r="AE586" s="8" t="str">
        <f t="array" ref="AE586">INDEX(Subject!$A:$I,MATCH(RANDBETWEEN(1,16),Subject!$B:$B,0),3)</f>
        <v>#N/A</v>
      </c>
      <c r="AF586" s="8" t="str">
        <f t="array" ref="AF586">INDEX(Subject!$A:$I,MATCH(RANDBETWEEN(1,16),Subject!$B:$B,0),3)</f>
        <v>#N/A</v>
      </c>
      <c r="AG586" s="8" t="str">
        <f t="array" ref="AG586">INDEX(Subject!$A:$I,MATCH(RANDBETWEEN(1,16),Subject!$B:$B,0),3)</f>
        <v>#N/A</v>
      </c>
      <c r="AH586" s="8" t="str">
        <f t="array" ref="AH586">INDEX(Subject!$A:$I,MATCH(RANDBETWEEN(1,16),Subject!$B:$B,0),3)</f>
        <v>#N/A</v>
      </c>
      <c r="AI586" s="8" t="str">
        <f t="array" ref="AI586">INDEX(Subject!$A:$I,MATCH(RANDBETWEEN(1,16),Subject!$B:$B,0),3)</f>
        <v>#N/A</v>
      </c>
      <c r="AJ586" s="8" t="str">
        <f t="array" ref="AJ586">INDEX(Subject!$A:$I,MATCH(RANDBETWEEN(1,16),Subject!$B:$B,0),3)</f>
        <v>#N/A</v>
      </c>
      <c r="AK586" s="8" t="str">
        <f t="array" ref="AK586">INDEX(Subject!$A:$I,MATCH(RANDBETWEEN(1,16),Subject!$B:$B,0),3)</f>
        <v>#N/A</v>
      </c>
      <c r="AL586" s="8" t="str">
        <f t="array" ref="AL586">INDEX(Subject!$A:$I,MATCH(RANDBETWEEN(1,16),Subject!$B:$B,0),3)</f>
        <v>#N/A</v>
      </c>
      <c r="AM586" s="18">
        <f t="shared" si="4"/>
        <v>46086.33333</v>
      </c>
      <c r="AN586" s="19">
        <f t="shared" ref="AN586:BZ586" si="586">$A586+C$1</f>
        <v>46086.35417</v>
      </c>
      <c r="AO586" s="19">
        <f t="shared" si="586"/>
        <v>46086.375</v>
      </c>
      <c r="AP586" s="19">
        <f t="shared" si="586"/>
        <v>46086.39583</v>
      </c>
      <c r="AQ586" s="19">
        <f t="shared" si="586"/>
        <v>46086.41667</v>
      </c>
      <c r="AR586" s="19">
        <f t="shared" si="586"/>
        <v>46086.4375</v>
      </c>
      <c r="AS586" s="19">
        <f t="shared" si="586"/>
        <v>46086.45833</v>
      </c>
      <c r="AT586" s="19">
        <f t="shared" si="586"/>
        <v>46086.47917</v>
      </c>
      <c r="AU586" s="19">
        <f t="shared" si="586"/>
        <v>46086.5</v>
      </c>
      <c r="AV586" s="19">
        <f t="shared" si="586"/>
        <v>46086.52083</v>
      </c>
      <c r="AW586" s="19">
        <f t="shared" si="586"/>
        <v>46086.54167</v>
      </c>
      <c r="AX586" s="19">
        <f t="shared" si="586"/>
        <v>46086.5625</v>
      </c>
      <c r="AY586" s="19">
        <f t="shared" si="586"/>
        <v>46086.58333</v>
      </c>
      <c r="AZ586" s="19">
        <f t="shared" si="586"/>
        <v>46086.60417</v>
      </c>
      <c r="BA586" s="19">
        <f t="shared" si="586"/>
        <v>46086.625</v>
      </c>
      <c r="BB586" s="19">
        <f t="shared" si="586"/>
        <v>46086.64583</v>
      </c>
      <c r="BC586" s="19">
        <f t="shared" si="586"/>
        <v>46086.66667</v>
      </c>
      <c r="BD586" s="19">
        <f t="shared" si="586"/>
        <v>46086.6875</v>
      </c>
      <c r="BE586" s="19">
        <f t="shared" si="586"/>
        <v>46086.70833</v>
      </c>
      <c r="BF586" s="19">
        <f t="shared" si="586"/>
        <v>46086.72917</v>
      </c>
      <c r="BG586" s="19">
        <f t="shared" si="586"/>
        <v>46086.75</v>
      </c>
      <c r="BH586" s="19">
        <f t="shared" si="586"/>
        <v>46086.77083</v>
      </c>
      <c r="BI586" s="19">
        <f t="shared" si="586"/>
        <v>46086.79167</v>
      </c>
      <c r="BJ586" s="19">
        <f t="shared" si="586"/>
        <v>46086.8125</v>
      </c>
      <c r="BK586" s="19">
        <f t="shared" si="586"/>
        <v>46086.83333</v>
      </c>
      <c r="BL586" s="19">
        <f t="shared" si="586"/>
        <v>46086.85417</v>
      </c>
      <c r="BM586" s="19">
        <f t="shared" si="586"/>
        <v>46086.875</v>
      </c>
      <c r="BN586" s="19">
        <f t="shared" si="586"/>
        <v>46086.89583</v>
      </c>
      <c r="BO586" s="19">
        <f t="shared" si="586"/>
        <v>46086.91667</v>
      </c>
      <c r="BP586" s="19">
        <f t="shared" si="586"/>
        <v>46086.9375</v>
      </c>
      <c r="BQ586" s="19">
        <f t="shared" si="586"/>
        <v>46086.95833</v>
      </c>
      <c r="BR586" s="19">
        <f t="shared" si="586"/>
        <v>46086.97917</v>
      </c>
      <c r="BS586" s="19">
        <f t="shared" si="586"/>
        <v>46087</v>
      </c>
      <c r="BT586" s="19">
        <f t="shared" si="586"/>
        <v>46087.02083</v>
      </c>
      <c r="BU586" s="19">
        <f t="shared" si="586"/>
        <v>46087.04167</v>
      </c>
      <c r="BV586" s="19">
        <f t="shared" si="586"/>
        <v>46087.0625</v>
      </c>
      <c r="BW586" s="19">
        <f t="shared" si="586"/>
        <v>46087.08333</v>
      </c>
      <c r="BX586" s="19">
        <f t="shared" si="586"/>
        <v>46086</v>
      </c>
      <c r="BY586" s="19">
        <f t="shared" si="586"/>
        <v>46086</v>
      </c>
      <c r="BZ586" s="19">
        <f t="shared" si="586"/>
        <v>46086</v>
      </c>
    </row>
    <row r="587" ht="14.25" customHeight="1">
      <c r="A587" s="17">
        <v>46087.0</v>
      </c>
      <c r="B587" s="2" t="str">
        <f t="array" ref="B587">IF(NOW()&gt;AM587,"",IF(AND((WEEKDAY($A587)+$B$2)&gt;1,((WEEKDAY($A587)+$T$2)&lt;7),(WEEKDAY($A587)&lt;&gt;1)),"work",(INDEX(Subject!$A:$I,MATCH(RANDBETWEEN(1,(MAX(Subject!$B:$B))),Subject!$B:$B,0),3))))</f>
        <v/>
      </c>
      <c r="C587" s="2" t="str">
        <f t="array" ref="C587">IF(NOW()&gt;AN587,"",IF(AND((WEEKDAY($A587)+$B$2)&gt;1,((WEEKDAY($A587)+$T$2)&lt;7),(WEEKDAY($A587)&lt;&gt;1)),"work",(INDEX(Subject!$A:$I,MATCH(RANDBETWEEN(1,(MAX(Subject!$B:$B))),Subject!$B:$B,0),3))))</f>
        <v/>
      </c>
      <c r="D587" s="2" t="str">
        <f t="array" ref="D587">IF(NOW()&gt;AO587,"",IF(AND((WEEKDAY($A587)+$B$2)&gt;1,((WEEKDAY($A587)+$T$2)&lt;7),(WEEKDAY($A587)&lt;&gt;1)),"work",(INDEX(Subject!$A:$I,MATCH(RANDBETWEEN(1,(MAX(Subject!$B:$B))),Subject!$B:$B,0),3))))</f>
        <v/>
      </c>
      <c r="E587" s="2" t="str">
        <f t="array" ref="E587">IF(NOW()&gt;AP587,"",IF(AND((WEEKDAY($A587)+$B$2)&gt;1,((WEEKDAY($A587)+$T$2)&lt;7),(WEEKDAY($A587)&lt;&gt;1)),"work",(INDEX(Subject!$A:$I,MATCH(RANDBETWEEN(1,(MAX(Subject!$B:$B))),Subject!$B:$B,0),3))))</f>
        <v/>
      </c>
      <c r="F587" s="2" t="str">
        <f t="array" ref="F587">IF(NOW()&gt;AQ587,"",IF(AND((WEEKDAY($A587)+$B$2)&gt;1,((WEEKDAY($A587)+$T$2)&lt;7),(WEEKDAY($A587)&lt;&gt;1)),"work",(INDEX(Subject!$A:$I,MATCH(RANDBETWEEN(1,(MAX(Subject!$B:$B))),Subject!$B:$B,0),3))))</f>
        <v/>
      </c>
      <c r="G587" s="2" t="str">
        <f t="array" ref="G587">IF(NOW()&gt;AR587,"",IF(AND((WEEKDAY($A587)+$B$2)&gt;1,((WEEKDAY($A587)+$T$2)&lt;7),(WEEKDAY($A587)&lt;&gt;1)),"work",(INDEX(Subject!$A:$I,MATCH(RANDBETWEEN(1,(MAX(Subject!$B:$B))),Subject!$B:$B,0),3))))</f>
        <v/>
      </c>
      <c r="H587" s="2" t="str">
        <f t="array" ref="H587">IF(NOW()&gt;AS587,"",IF(AND((WEEKDAY($A587)+$B$2)&gt;1,((WEEKDAY($A587)+$T$2)&lt;7),(WEEKDAY($A587)&lt;&gt;1)),"work",(INDEX(Subject!$A:$I,MATCH(RANDBETWEEN(1,(MAX(Subject!$B:$B))),Subject!$B:$B,0),3))))</f>
        <v/>
      </c>
      <c r="I587" s="2" t="str">
        <f t="array" ref="I587">IF(NOW()&gt;AT587,"",IF(AND((WEEKDAY($A587)+$B$2)&gt;1,((WEEKDAY($A587)+$T$2)&lt;7),(WEEKDAY($A587)&lt;&gt;1)),"work",(INDEX(Subject!$A:$I,MATCH(RANDBETWEEN(1,(MAX(Subject!$B:$B))),Subject!$B:$B,0),3))))</f>
        <v/>
      </c>
      <c r="J587" s="2" t="str">
        <f t="array" ref="J587">IF(NOW()&gt;AU587,"",IF(AND((WEEKDAY($A587)+$B$2)&gt;1,((WEEKDAY($A587)+$T$2)&lt;7),(WEEKDAY($A587)&lt;&gt;1)),"work",(INDEX(Subject!$A:$I,MATCH(RANDBETWEEN(1,(MAX(Subject!$B:$B))),Subject!$B:$B,0),3))))</f>
        <v/>
      </c>
      <c r="K587" s="2" t="str">
        <f t="array" ref="K587">IF(NOW()&gt;AV587,"",IF(AND((WEEKDAY($A587)+$B$2)&gt;1,((WEEKDAY($A587)+$T$2)&lt;7),(WEEKDAY($A587)&lt;&gt;1)),"work",(INDEX(Subject!$A:$I,MATCH(RANDBETWEEN(1,(MAX(Subject!$B:$B))),Subject!$B:$B,0),3))))</f>
        <v/>
      </c>
      <c r="L587" s="2" t="str">
        <f t="array" ref="L587">IF(NOW()&gt;AW587,"",IF(AND((WEEKDAY($A587)+$B$2)&gt;1,((WEEKDAY($A587)+$T$2)&lt;7),(WEEKDAY($A587)&lt;&gt;1)),"work",(INDEX(Subject!$A:$I,MATCH(RANDBETWEEN(1,(MAX(Subject!$B:$B))),Subject!$B:$B,0),3))))</f>
        <v/>
      </c>
      <c r="M587" s="2" t="str">
        <f t="array" ref="M587">IF(NOW()&gt;AX587,"",IF(AND((WEEKDAY($A587)+$B$2)&gt;1,((WEEKDAY($A587)+$T$2)&lt;7),(WEEKDAY($A587)&lt;&gt;1)),"work",(INDEX(Subject!$A:$I,MATCH(RANDBETWEEN(1,(MAX(Subject!$B:$B))),Subject!$B:$B,0),3))))</f>
        <v/>
      </c>
      <c r="N587" s="2" t="str">
        <f t="array" ref="N587">IF(NOW()&gt;AY587,"",IF(AND((WEEKDAY($A587)+$B$2)&gt;1,((WEEKDAY($A587)+$T$2)&lt;7),(WEEKDAY($A587)&lt;&gt;1)),"work",(INDEX(Subject!$A:$I,MATCH(RANDBETWEEN(1,(MAX(Subject!$B:$B))),Subject!$B:$B,0),3))))</f>
        <v/>
      </c>
      <c r="O587" s="2" t="str">
        <f t="array" ref="O587">IF(NOW()&gt;AZ587,"",IF(AND((WEEKDAY($A587)+$B$2)&gt;1,((WEEKDAY($A587)+$T$2)&lt;7),(WEEKDAY($A587)&lt;&gt;1)),"work",(INDEX(Subject!$A:$I,MATCH(RANDBETWEEN(1,(MAX(Subject!$B:$B))),Subject!$B:$B,0),3))))</f>
        <v/>
      </c>
      <c r="P587" s="2" t="str">
        <f t="array" ref="P587">IF(NOW()&gt;BA587,"",IF(AND((WEEKDAY($A587)+$B$2)&gt;1,((WEEKDAY($A587)+$T$2)&lt;7),(WEEKDAY($A587)&lt;&gt;1)),"work",(INDEX(Subject!$A:$I,MATCH(RANDBETWEEN(1,(MAX(Subject!$B:$B))),Subject!$B:$B,0),3))))</f>
        <v/>
      </c>
      <c r="Q587" s="2" t="str">
        <f t="array" ref="Q587">IF(NOW()&gt;BB587,"",IF(AND((WEEKDAY($A587)+$B$2)&gt;1,((WEEKDAY($A587)+$T$2)&lt;7),(WEEKDAY($A587)&lt;&gt;1)),"work",(INDEX(Subject!$A:$I,MATCH(RANDBETWEEN(1,(MAX(Subject!$B:$B))),Subject!$B:$B,0),3))))</f>
        <v/>
      </c>
      <c r="R587" s="2" t="str">
        <f t="array" ref="R587">IF(NOW()&gt;BC587,"",IF(AND((WEEKDAY($A587)+$B$2)&gt;1,((WEEKDAY($A587)+$T$2)&lt;7),(WEEKDAY($A587)&lt;&gt;1)),"work",(INDEX(Subject!$A:$I,MATCH(RANDBETWEEN(1,(MAX(Subject!$B:$B))),Subject!$B:$B,0),3))))</f>
        <v/>
      </c>
      <c r="S587" s="2" t="str">
        <f t="array" ref="S587">IF(NOW()&gt;BD587,"",IF(AND((WEEKDAY($A587)+$B$2)&gt;1,((WEEKDAY($A587)+$T$2)&lt;7),(WEEKDAY($A587)&lt;&gt;1)),"work",(INDEX(Subject!$A:$I,MATCH(RANDBETWEEN(1,(MAX(Subject!$B:$B))),Subject!$B:$B,0),3))))</f>
        <v/>
      </c>
      <c r="T587" s="2" t="str">
        <f t="array" ref="T587">IF(NOW()&gt;BE587,"",IF(AND((WEEKDAY($A587)+$B$2)&gt;1,((WEEKDAY($A587)+$T$2)&lt;7),(WEEKDAY($A587)&lt;&gt;1)),"work",(INDEX(Subject!$A:$I,MATCH(RANDBETWEEN(1,(MAX(Subject!$B:$B))),Subject!$B:$B,0),3))))</f>
        <v/>
      </c>
      <c r="U587" s="8" t="str">
        <f t="array" ref="U587">INDEX(Subject!$A:$I,MATCH(RANDBETWEEN(1,16),Subject!$B:$B,0),3)</f>
        <v>#N/A</v>
      </c>
      <c r="V587" s="8" t="str">
        <f t="array" ref="V587">INDEX(Subject!$A:$I,MATCH(RANDBETWEEN(1,16),Subject!$B:$B,0),3)</f>
        <v>#N/A</v>
      </c>
      <c r="W587" s="8" t="str">
        <f t="array" ref="W587">INDEX(Subject!$A:$I,MATCH(RANDBETWEEN(1,16),Subject!$B:$B,0),3)</f>
        <v>#N/A</v>
      </c>
      <c r="X587" s="8" t="str">
        <f t="array" ref="X587">INDEX(Subject!$A:$I,MATCH(RANDBETWEEN(1,16),Subject!$B:$B,0),3)</f>
        <v>#N/A</v>
      </c>
      <c r="Y587" s="8" t="str">
        <f t="array" ref="Y587">INDEX(Subject!$A:$I,MATCH(RANDBETWEEN(1,16),Subject!$B:$B,0),3)</f>
        <v>#N/A</v>
      </c>
      <c r="Z587" s="8" t="str">
        <f t="array" ref="Z587">INDEX(Subject!$A:$I,MATCH(RANDBETWEEN(1,16),Subject!$B:$B,0),3)</f>
        <v>#N/A</v>
      </c>
      <c r="AA587" s="8" t="str">
        <f t="array" ref="AA587">INDEX(Subject!$A:$I,MATCH(RANDBETWEEN(1,16),Subject!$B:$B,0),3)</f>
        <v>#N/A</v>
      </c>
      <c r="AB587" s="8" t="str">
        <f t="array" ref="AB587">INDEX(Subject!$A:$I,MATCH(RANDBETWEEN(1,16),Subject!$B:$B,0),3)</f>
        <v>#N/A</v>
      </c>
      <c r="AC587" s="8" t="str">
        <f t="array" ref="AC587">INDEX(Subject!$A:$I,MATCH(RANDBETWEEN(1,16),Subject!$B:$B,0),3)</f>
        <v>#N/A</v>
      </c>
      <c r="AD587" s="8" t="str">
        <f t="array" ref="AD587">INDEX(Subject!$A:$I,MATCH(RANDBETWEEN(1,16),Subject!$B:$B,0),3)</f>
        <v>#N/A</v>
      </c>
      <c r="AE587" s="8" t="str">
        <f t="array" ref="AE587">INDEX(Subject!$A:$I,MATCH(RANDBETWEEN(1,16),Subject!$B:$B,0),3)</f>
        <v>#N/A</v>
      </c>
      <c r="AF587" s="8" t="str">
        <f t="array" ref="AF587">INDEX(Subject!$A:$I,MATCH(RANDBETWEEN(1,16),Subject!$B:$B,0),3)</f>
        <v>#N/A</v>
      </c>
      <c r="AG587" s="8" t="str">
        <f t="array" ref="AG587">INDEX(Subject!$A:$I,MATCH(RANDBETWEEN(1,16),Subject!$B:$B,0),3)</f>
        <v>#N/A</v>
      </c>
      <c r="AH587" s="8" t="str">
        <f t="array" ref="AH587">INDEX(Subject!$A:$I,MATCH(RANDBETWEEN(1,16),Subject!$B:$B,0),3)</f>
        <v>#N/A</v>
      </c>
      <c r="AI587" s="8" t="str">
        <f t="array" ref="AI587">INDEX(Subject!$A:$I,MATCH(RANDBETWEEN(1,16),Subject!$B:$B,0),3)</f>
        <v>#N/A</v>
      </c>
      <c r="AJ587" s="8" t="str">
        <f t="array" ref="AJ587">INDEX(Subject!$A:$I,MATCH(RANDBETWEEN(1,16),Subject!$B:$B,0),3)</f>
        <v>#N/A</v>
      </c>
      <c r="AK587" s="8" t="str">
        <f t="array" ref="AK587">INDEX(Subject!$A:$I,MATCH(RANDBETWEEN(1,16),Subject!$B:$B,0),3)</f>
        <v>#N/A</v>
      </c>
      <c r="AL587" s="8" t="str">
        <f t="array" ref="AL587">INDEX(Subject!$A:$I,MATCH(RANDBETWEEN(1,16),Subject!$B:$B,0),3)</f>
        <v>#N/A</v>
      </c>
      <c r="AM587" s="18">
        <f t="shared" si="4"/>
        <v>46087.33333</v>
      </c>
      <c r="AN587" s="19">
        <f t="shared" ref="AN587:BZ587" si="587">$A587+C$1</f>
        <v>46087.35417</v>
      </c>
      <c r="AO587" s="19">
        <f t="shared" si="587"/>
        <v>46087.375</v>
      </c>
      <c r="AP587" s="19">
        <f t="shared" si="587"/>
        <v>46087.39583</v>
      </c>
      <c r="AQ587" s="19">
        <f t="shared" si="587"/>
        <v>46087.41667</v>
      </c>
      <c r="AR587" s="19">
        <f t="shared" si="587"/>
        <v>46087.4375</v>
      </c>
      <c r="AS587" s="19">
        <f t="shared" si="587"/>
        <v>46087.45833</v>
      </c>
      <c r="AT587" s="19">
        <f t="shared" si="587"/>
        <v>46087.47917</v>
      </c>
      <c r="AU587" s="19">
        <f t="shared" si="587"/>
        <v>46087.5</v>
      </c>
      <c r="AV587" s="19">
        <f t="shared" si="587"/>
        <v>46087.52083</v>
      </c>
      <c r="AW587" s="19">
        <f t="shared" si="587"/>
        <v>46087.54167</v>
      </c>
      <c r="AX587" s="19">
        <f t="shared" si="587"/>
        <v>46087.5625</v>
      </c>
      <c r="AY587" s="19">
        <f t="shared" si="587"/>
        <v>46087.58333</v>
      </c>
      <c r="AZ587" s="19">
        <f t="shared" si="587"/>
        <v>46087.60417</v>
      </c>
      <c r="BA587" s="19">
        <f t="shared" si="587"/>
        <v>46087.625</v>
      </c>
      <c r="BB587" s="19">
        <f t="shared" si="587"/>
        <v>46087.64583</v>
      </c>
      <c r="BC587" s="19">
        <f t="shared" si="587"/>
        <v>46087.66667</v>
      </c>
      <c r="BD587" s="19">
        <f t="shared" si="587"/>
        <v>46087.6875</v>
      </c>
      <c r="BE587" s="19">
        <f t="shared" si="587"/>
        <v>46087.70833</v>
      </c>
      <c r="BF587" s="19">
        <f t="shared" si="587"/>
        <v>46087.72917</v>
      </c>
      <c r="BG587" s="19">
        <f t="shared" si="587"/>
        <v>46087.75</v>
      </c>
      <c r="BH587" s="19">
        <f t="shared" si="587"/>
        <v>46087.77083</v>
      </c>
      <c r="BI587" s="19">
        <f t="shared" si="587"/>
        <v>46087.79167</v>
      </c>
      <c r="BJ587" s="19">
        <f t="shared" si="587"/>
        <v>46087.8125</v>
      </c>
      <c r="BK587" s="19">
        <f t="shared" si="587"/>
        <v>46087.83333</v>
      </c>
      <c r="BL587" s="19">
        <f t="shared" si="587"/>
        <v>46087.85417</v>
      </c>
      <c r="BM587" s="19">
        <f t="shared" si="587"/>
        <v>46087.875</v>
      </c>
      <c r="BN587" s="19">
        <f t="shared" si="587"/>
        <v>46087.89583</v>
      </c>
      <c r="BO587" s="19">
        <f t="shared" si="587"/>
        <v>46087.91667</v>
      </c>
      <c r="BP587" s="19">
        <f t="shared" si="587"/>
        <v>46087.9375</v>
      </c>
      <c r="BQ587" s="19">
        <f t="shared" si="587"/>
        <v>46087.95833</v>
      </c>
      <c r="BR587" s="19">
        <f t="shared" si="587"/>
        <v>46087.97917</v>
      </c>
      <c r="BS587" s="19">
        <f t="shared" si="587"/>
        <v>46088</v>
      </c>
      <c r="BT587" s="19">
        <f t="shared" si="587"/>
        <v>46088.02083</v>
      </c>
      <c r="BU587" s="19">
        <f t="shared" si="587"/>
        <v>46088.04167</v>
      </c>
      <c r="BV587" s="19">
        <f t="shared" si="587"/>
        <v>46088.0625</v>
      </c>
      <c r="BW587" s="19">
        <f t="shared" si="587"/>
        <v>46088.08333</v>
      </c>
      <c r="BX587" s="19">
        <f t="shared" si="587"/>
        <v>46087</v>
      </c>
      <c r="BY587" s="19">
        <f t="shared" si="587"/>
        <v>46087</v>
      </c>
      <c r="BZ587" s="19">
        <f t="shared" si="587"/>
        <v>46087</v>
      </c>
    </row>
    <row r="588" ht="14.25" customHeight="1">
      <c r="A588" s="17">
        <v>46088.0</v>
      </c>
      <c r="B588" s="2" t="str">
        <f t="array" ref="B588">IF(NOW()&gt;AM588,"",IF(AND((WEEKDAY($A588)+$B$2)&gt;1,((WEEKDAY($A588)+$T$2)&lt;7),(WEEKDAY($A588)&lt;&gt;1)),"work",(INDEX(Subject!$A:$I,MATCH(RANDBETWEEN(1,(MAX(Subject!$B:$B))),Subject!$B:$B,0),3))))</f>
        <v/>
      </c>
      <c r="C588" s="2" t="str">
        <f t="array" ref="C588">IF(NOW()&gt;AN588,"",IF(AND((WEEKDAY($A588)+$B$2)&gt;1,((WEEKDAY($A588)+$T$2)&lt;7),(WEEKDAY($A588)&lt;&gt;1)),"work",(INDEX(Subject!$A:$I,MATCH(RANDBETWEEN(1,(MAX(Subject!$B:$B))),Subject!$B:$B,0),3))))</f>
        <v/>
      </c>
      <c r="D588" s="2" t="str">
        <f t="array" ref="D588">IF(NOW()&gt;AO588,"",IF(AND((WEEKDAY($A588)+$B$2)&gt;1,((WEEKDAY($A588)+$T$2)&lt;7),(WEEKDAY($A588)&lt;&gt;1)),"work",(INDEX(Subject!$A:$I,MATCH(RANDBETWEEN(1,(MAX(Subject!$B:$B))),Subject!$B:$B,0),3))))</f>
        <v/>
      </c>
      <c r="E588" s="2" t="str">
        <f t="array" ref="E588">IF(NOW()&gt;AP588,"",IF(AND((WEEKDAY($A588)+$B$2)&gt;1,((WEEKDAY($A588)+$T$2)&lt;7),(WEEKDAY($A588)&lt;&gt;1)),"work",(INDEX(Subject!$A:$I,MATCH(RANDBETWEEN(1,(MAX(Subject!$B:$B))),Subject!$B:$B,0),3))))</f>
        <v/>
      </c>
      <c r="F588" s="2" t="str">
        <f t="array" ref="F588">IF(NOW()&gt;AQ588,"",IF(AND((WEEKDAY($A588)+$B$2)&gt;1,((WEEKDAY($A588)+$T$2)&lt;7),(WEEKDAY($A588)&lt;&gt;1)),"work",(INDEX(Subject!$A:$I,MATCH(RANDBETWEEN(1,(MAX(Subject!$B:$B))),Subject!$B:$B,0),3))))</f>
        <v/>
      </c>
      <c r="G588" s="2" t="str">
        <f t="array" ref="G588">IF(NOW()&gt;AR588,"",IF(AND((WEEKDAY($A588)+$B$2)&gt;1,((WEEKDAY($A588)+$T$2)&lt;7),(WEEKDAY($A588)&lt;&gt;1)),"work",(INDEX(Subject!$A:$I,MATCH(RANDBETWEEN(1,(MAX(Subject!$B:$B))),Subject!$B:$B,0),3))))</f>
        <v/>
      </c>
      <c r="H588" s="2" t="str">
        <f t="array" ref="H588">IF(NOW()&gt;AS588,"",IF(AND((WEEKDAY($A588)+$B$2)&gt;1,((WEEKDAY($A588)+$T$2)&lt;7),(WEEKDAY($A588)&lt;&gt;1)),"work",(INDEX(Subject!$A:$I,MATCH(RANDBETWEEN(1,(MAX(Subject!$B:$B))),Subject!$B:$B,0),3))))</f>
        <v/>
      </c>
      <c r="I588" s="2" t="str">
        <f t="array" ref="I588">IF(NOW()&gt;AT588,"",IF(AND((WEEKDAY($A588)+$B$2)&gt;1,((WEEKDAY($A588)+$T$2)&lt;7),(WEEKDAY($A588)&lt;&gt;1)),"work",(INDEX(Subject!$A:$I,MATCH(RANDBETWEEN(1,(MAX(Subject!$B:$B))),Subject!$B:$B,0),3))))</f>
        <v/>
      </c>
      <c r="J588" s="2" t="str">
        <f t="array" ref="J588">IF(NOW()&gt;AU588,"",IF(AND((WEEKDAY($A588)+$B$2)&gt;1,((WEEKDAY($A588)+$T$2)&lt;7),(WEEKDAY($A588)&lt;&gt;1)),"work",(INDEX(Subject!$A:$I,MATCH(RANDBETWEEN(1,(MAX(Subject!$B:$B))),Subject!$B:$B,0),3))))</f>
        <v/>
      </c>
      <c r="K588" s="2" t="str">
        <f t="array" ref="K588">IF(NOW()&gt;AV588,"",IF(AND((WEEKDAY($A588)+$B$2)&gt;1,((WEEKDAY($A588)+$T$2)&lt;7),(WEEKDAY($A588)&lt;&gt;1)),"work",(INDEX(Subject!$A:$I,MATCH(RANDBETWEEN(1,(MAX(Subject!$B:$B))),Subject!$B:$B,0),3))))</f>
        <v/>
      </c>
      <c r="L588" s="2" t="str">
        <f t="array" ref="L588">IF(NOW()&gt;AW588,"",IF(AND((WEEKDAY($A588)+$B$2)&gt;1,((WEEKDAY($A588)+$T$2)&lt;7),(WEEKDAY($A588)&lt;&gt;1)),"work",(INDEX(Subject!$A:$I,MATCH(RANDBETWEEN(1,(MAX(Subject!$B:$B))),Subject!$B:$B,0),3))))</f>
        <v/>
      </c>
      <c r="M588" s="2" t="str">
        <f t="array" ref="M588">IF(NOW()&gt;AX588,"",IF(AND((WEEKDAY($A588)+$B$2)&gt;1,((WEEKDAY($A588)+$T$2)&lt;7),(WEEKDAY($A588)&lt;&gt;1)),"work",(INDEX(Subject!$A:$I,MATCH(RANDBETWEEN(1,(MAX(Subject!$B:$B))),Subject!$B:$B,0),3))))</f>
        <v/>
      </c>
      <c r="N588" s="2" t="str">
        <f t="array" ref="N588">IF(NOW()&gt;AY588,"",IF(AND((WEEKDAY($A588)+$B$2)&gt;1,((WEEKDAY($A588)+$T$2)&lt;7),(WEEKDAY($A588)&lt;&gt;1)),"work",(INDEX(Subject!$A:$I,MATCH(RANDBETWEEN(1,(MAX(Subject!$B:$B))),Subject!$B:$B,0),3))))</f>
        <v/>
      </c>
      <c r="O588" s="2" t="str">
        <f t="array" ref="O588">IF(NOW()&gt;AZ588,"",IF(AND((WEEKDAY($A588)+$B$2)&gt;1,((WEEKDAY($A588)+$T$2)&lt;7),(WEEKDAY($A588)&lt;&gt;1)),"work",(INDEX(Subject!$A:$I,MATCH(RANDBETWEEN(1,(MAX(Subject!$B:$B))),Subject!$B:$B,0),3))))</f>
        <v/>
      </c>
      <c r="P588" s="2" t="str">
        <f t="array" ref="P588">IF(NOW()&gt;BA588,"",IF(AND((WEEKDAY($A588)+$B$2)&gt;1,((WEEKDAY($A588)+$T$2)&lt;7),(WEEKDAY($A588)&lt;&gt;1)),"work",(INDEX(Subject!$A:$I,MATCH(RANDBETWEEN(1,(MAX(Subject!$B:$B))),Subject!$B:$B,0),3))))</f>
        <v/>
      </c>
      <c r="Q588" s="2" t="str">
        <f t="array" ref="Q588">IF(NOW()&gt;BB588,"",IF(AND((WEEKDAY($A588)+$B$2)&gt;1,((WEEKDAY($A588)+$T$2)&lt;7),(WEEKDAY($A588)&lt;&gt;1)),"work",(INDEX(Subject!$A:$I,MATCH(RANDBETWEEN(1,(MAX(Subject!$B:$B))),Subject!$B:$B,0),3))))</f>
        <v/>
      </c>
      <c r="R588" s="2" t="str">
        <f t="array" ref="R588">IF(NOW()&gt;BC588,"",IF(AND((WEEKDAY($A588)+$B$2)&gt;1,((WEEKDAY($A588)+$T$2)&lt;7),(WEEKDAY($A588)&lt;&gt;1)),"work",(INDEX(Subject!$A:$I,MATCH(RANDBETWEEN(1,(MAX(Subject!$B:$B))),Subject!$B:$B,0),3))))</f>
        <v/>
      </c>
      <c r="S588" s="2" t="str">
        <f t="array" ref="S588">IF(NOW()&gt;BD588,"",IF(AND((WEEKDAY($A588)+$B$2)&gt;1,((WEEKDAY($A588)+$T$2)&lt;7),(WEEKDAY($A588)&lt;&gt;1)),"work",(INDEX(Subject!$A:$I,MATCH(RANDBETWEEN(1,(MAX(Subject!$B:$B))),Subject!$B:$B,0),3))))</f>
        <v/>
      </c>
      <c r="T588" s="2" t="str">
        <f t="array" ref="T588">IF(NOW()&gt;BE588,"",IF(AND((WEEKDAY($A588)+$B$2)&gt;1,((WEEKDAY($A588)+$T$2)&lt;7),(WEEKDAY($A588)&lt;&gt;1)),"work",(INDEX(Subject!$A:$I,MATCH(RANDBETWEEN(1,(MAX(Subject!$B:$B))),Subject!$B:$B,0),3))))</f>
        <v/>
      </c>
      <c r="U588" s="8" t="str">
        <f t="array" ref="U588">INDEX(Subject!$A:$I,MATCH(RANDBETWEEN(1,16),Subject!$B:$B,0),3)</f>
        <v>#N/A</v>
      </c>
      <c r="V588" s="8" t="str">
        <f t="array" ref="V588">INDEX(Subject!$A:$I,MATCH(RANDBETWEEN(1,16),Subject!$B:$B,0),3)</f>
        <v>#N/A</v>
      </c>
      <c r="W588" s="8" t="str">
        <f t="array" ref="W588">INDEX(Subject!$A:$I,MATCH(RANDBETWEEN(1,16),Subject!$B:$B,0),3)</f>
        <v>#N/A</v>
      </c>
      <c r="X588" s="8" t="str">
        <f t="array" ref="X588">INDEX(Subject!$A:$I,MATCH(RANDBETWEEN(1,16),Subject!$B:$B,0),3)</f>
        <v/>
      </c>
      <c r="Y588" s="8" t="str">
        <f t="array" ref="Y588">INDEX(Subject!$A:$I,MATCH(RANDBETWEEN(1,16),Subject!$B:$B,0),3)</f>
        <v>#N/A</v>
      </c>
      <c r="Z588" s="8" t="str">
        <f t="array" ref="Z588">INDEX(Subject!$A:$I,MATCH(RANDBETWEEN(1,16),Subject!$B:$B,0),3)</f>
        <v>#N/A</v>
      </c>
      <c r="AA588" s="8" t="str">
        <f t="array" ref="AA588">INDEX(Subject!$A:$I,MATCH(RANDBETWEEN(1,16),Subject!$B:$B,0),3)</f>
        <v>#N/A</v>
      </c>
      <c r="AB588" s="8" t="str">
        <f t="array" ref="AB588">INDEX(Subject!$A:$I,MATCH(RANDBETWEEN(1,16),Subject!$B:$B,0),3)</f>
        <v>#N/A</v>
      </c>
      <c r="AC588" s="8" t="str">
        <f t="array" ref="AC588">INDEX(Subject!$A:$I,MATCH(RANDBETWEEN(1,16),Subject!$B:$B,0),3)</f>
        <v>#N/A</v>
      </c>
      <c r="AD588" s="8" t="str">
        <f t="array" ref="AD588">INDEX(Subject!$A:$I,MATCH(RANDBETWEEN(1,16),Subject!$B:$B,0),3)</f>
        <v>#N/A</v>
      </c>
      <c r="AE588" s="8" t="str">
        <f t="array" ref="AE588">INDEX(Subject!$A:$I,MATCH(RANDBETWEEN(1,16),Subject!$B:$B,0),3)</f>
        <v>#N/A</v>
      </c>
      <c r="AF588" s="8" t="str">
        <f t="array" ref="AF588">INDEX(Subject!$A:$I,MATCH(RANDBETWEEN(1,16),Subject!$B:$B,0),3)</f>
        <v>#N/A</v>
      </c>
      <c r="AG588" s="8" t="str">
        <f t="array" ref="AG588">INDEX(Subject!$A:$I,MATCH(RANDBETWEEN(1,16),Subject!$B:$B,0),3)</f>
        <v>#N/A</v>
      </c>
      <c r="AH588" s="8" t="str">
        <f t="array" ref="AH588">INDEX(Subject!$A:$I,MATCH(RANDBETWEEN(1,16),Subject!$B:$B,0),3)</f>
        <v>#N/A</v>
      </c>
      <c r="AI588" s="8" t="str">
        <f t="array" ref="AI588">INDEX(Subject!$A:$I,MATCH(RANDBETWEEN(1,16),Subject!$B:$B,0),3)</f>
        <v>#N/A</v>
      </c>
      <c r="AJ588" s="8" t="str">
        <f t="array" ref="AJ588">INDEX(Subject!$A:$I,MATCH(RANDBETWEEN(1,16),Subject!$B:$B,0),3)</f>
        <v>#N/A</v>
      </c>
      <c r="AK588" s="8" t="str">
        <f t="array" ref="AK588">INDEX(Subject!$A:$I,MATCH(RANDBETWEEN(1,16),Subject!$B:$B,0),3)</f>
        <v>#N/A</v>
      </c>
      <c r="AL588" s="8" t="str">
        <f t="array" ref="AL588">INDEX(Subject!$A:$I,MATCH(RANDBETWEEN(1,16),Subject!$B:$B,0),3)</f>
        <v>#N/A</v>
      </c>
      <c r="AM588" s="18">
        <f t="shared" si="4"/>
        <v>46088.33333</v>
      </c>
      <c r="AN588" s="19">
        <f t="shared" ref="AN588:BZ588" si="588">$A588+C$1</f>
        <v>46088.35417</v>
      </c>
      <c r="AO588" s="19">
        <f t="shared" si="588"/>
        <v>46088.375</v>
      </c>
      <c r="AP588" s="19">
        <f t="shared" si="588"/>
        <v>46088.39583</v>
      </c>
      <c r="AQ588" s="19">
        <f t="shared" si="588"/>
        <v>46088.41667</v>
      </c>
      <c r="AR588" s="19">
        <f t="shared" si="588"/>
        <v>46088.4375</v>
      </c>
      <c r="AS588" s="19">
        <f t="shared" si="588"/>
        <v>46088.45833</v>
      </c>
      <c r="AT588" s="19">
        <f t="shared" si="588"/>
        <v>46088.47917</v>
      </c>
      <c r="AU588" s="19">
        <f t="shared" si="588"/>
        <v>46088.5</v>
      </c>
      <c r="AV588" s="19">
        <f t="shared" si="588"/>
        <v>46088.52083</v>
      </c>
      <c r="AW588" s="19">
        <f t="shared" si="588"/>
        <v>46088.54167</v>
      </c>
      <c r="AX588" s="19">
        <f t="shared" si="588"/>
        <v>46088.5625</v>
      </c>
      <c r="AY588" s="19">
        <f t="shared" si="588"/>
        <v>46088.58333</v>
      </c>
      <c r="AZ588" s="19">
        <f t="shared" si="588"/>
        <v>46088.60417</v>
      </c>
      <c r="BA588" s="19">
        <f t="shared" si="588"/>
        <v>46088.625</v>
      </c>
      <c r="BB588" s="19">
        <f t="shared" si="588"/>
        <v>46088.64583</v>
      </c>
      <c r="BC588" s="19">
        <f t="shared" si="588"/>
        <v>46088.66667</v>
      </c>
      <c r="BD588" s="19">
        <f t="shared" si="588"/>
        <v>46088.6875</v>
      </c>
      <c r="BE588" s="19">
        <f t="shared" si="588"/>
        <v>46088.70833</v>
      </c>
      <c r="BF588" s="19">
        <f t="shared" si="588"/>
        <v>46088.72917</v>
      </c>
      <c r="BG588" s="19">
        <f t="shared" si="588"/>
        <v>46088.75</v>
      </c>
      <c r="BH588" s="19">
        <f t="shared" si="588"/>
        <v>46088.77083</v>
      </c>
      <c r="BI588" s="19">
        <f t="shared" si="588"/>
        <v>46088.79167</v>
      </c>
      <c r="BJ588" s="19">
        <f t="shared" si="588"/>
        <v>46088.8125</v>
      </c>
      <c r="BK588" s="19">
        <f t="shared" si="588"/>
        <v>46088.83333</v>
      </c>
      <c r="BL588" s="19">
        <f t="shared" si="588"/>
        <v>46088.85417</v>
      </c>
      <c r="BM588" s="19">
        <f t="shared" si="588"/>
        <v>46088.875</v>
      </c>
      <c r="BN588" s="19">
        <f t="shared" si="588"/>
        <v>46088.89583</v>
      </c>
      <c r="BO588" s="19">
        <f t="shared" si="588"/>
        <v>46088.91667</v>
      </c>
      <c r="BP588" s="19">
        <f t="shared" si="588"/>
        <v>46088.9375</v>
      </c>
      <c r="BQ588" s="19">
        <f t="shared" si="588"/>
        <v>46088.95833</v>
      </c>
      <c r="BR588" s="19">
        <f t="shared" si="588"/>
        <v>46088.97917</v>
      </c>
      <c r="BS588" s="19">
        <f t="shared" si="588"/>
        <v>46089</v>
      </c>
      <c r="BT588" s="19">
        <f t="shared" si="588"/>
        <v>46089.02083</v>
      </c>
      <c r="BU588" s="19">
        <f t="shared" si="588"/>
        <v>46089.04167</v>
      </c>
      <c r="BV588" s="19">
        <f t="shared" si="588"/>
        <v>46089.0625</v>
      </c>
      <c r="BW588" s="19">
        <f t="shared" si="588"/>
        <v>46089.08333</v>
      </c>
      <c r="BX588" s="19">
        <f t="shared" si="588"/>
        <v>46088</v>
      </c>
      <c r="BY588" s="19">
        <f t="shared" si="588"/>
        <v>46088</v>
      </c>
      <c r="BZ588" s="19">
        <f t="shared" si="588"/>
        <v>46088</v>
      </c>
    </row>
    <row r="589" ht="14.25" customHeight="1">
      <c r="A589" s="17">
        <v>46089.0</v>
      </c>
      <c r="B589" s="2" t="str">
        <f t="array" ref="B589">IF(NOW()&gt;AM589,"",IF(AND((WEEKDAY($A589)+$B$2)&gt;1,((WEEKDAY($A589)+$T$2)&lt;7),(WEEKDAY($A589)&lt;&gt;1)),"work",(INDEX(Subject!$A:$I,MATCH(RANDBETWEEN(1,(MAX(Subject!$B:$B))),Subject!$B:$B,0),3))))</f>
        <v/>
      </c>
      <c r="C589" s="2" t="str">
        <f t="array" ref="C589">IF(NOW()&gt;AN589,"",IF(AND((WEEKDAY($A589)+$B$2)&gt;1,((WEEKDAY($A589)+$T$2)&lt;7),(WEEKDAY($A589)&lt;&gt;1)),"work",(INDEX(Subject!$A:$I,MATCH(RANDBETWEEN(1,(MAX(Subject!$B:$B))),Subject!$B:$B,0),3))))</f>
        <v/>
      </c>
      <c r="D589" s="2" t="str">
        <f t="array" ref="D589">IF(NOW()&gt;AO589,"",IF(AND((WEEKDAY($A589)+$B$2)&gt;1,((WEEKDAY($A589)+$T$2)&lt;7),(WEEKDAY($A589)&lt;&gt;1)),"work",(INDEX(Subject!$A:$I,MATCH(RANDBETWEEN(1,(MAX(Subject!$B:$B))),Subject!$B:$B,0),3))))</f>
        <v/>
      </c>
      <c r="E589" s="2" t="str">
        <f t="array" ref="E589">IF(NOW()&gt;AP589,"",IF(AND((WEEKDAY($A589)+$B$2)&gt;1,((WEEKDAY($A589)+$T$2)&lt;7),(WEEKDAY($A589)&lt;&gt;1)),"work",(INDEX(Subject!$A:$I,MATCH(RANDBETWEEN(1,(MAX(Subject!$B:$B))),Subject!$B:$B,0),3))))</f>
        <v/>
      </c>
      <c r="F589" s="2" t="str">
        <f t="array" ref="F589">IF(NOW()&gt;AQ589,"",IF(AND((WEEKDAY($A589)+$B$2)&gt;1,((WEEKDAY($A589)+$T$2)&lt;7),(WEEKDAY($A589)&lt;&gt;1)),"work",(INDEX(Subject!$A:$I,MATCH(RANDBETWEEN(1,(MAX(Subject!$B:$B))),Subject!$B:$B,0),3))))</f>
        <v/>
      </c>
      <c r="G589" s="2" t="str">
        <f t="array" ref="G589">IF(NOW()&gt;AR589,"",IF(AND((WEEKDAY($A589)+$B$2)&gt;1,((WEEKDAY($A589)+$T$2)&lt;7),(WEEKDAY($A589)&lt;&gt;1)),"work",(INDEX(Subject!$A:$I,MATCH(RANDBETWEEN(1,(MAX(Subject!$B:$B))),Subject!$B:$B,0),3))))</f>
        <v/>
      </c>
      <c r="H589" s="2" t="str">
        <f t="array" ref="H589">IF(NOW()&gt;AS589,"",IF(AND((WEEKDAY($A589)+$B$2)&gt;1,((WEEKDAY($A589)+$T$2)&lt;7),(WEEKDAY($A589)&lt;&gt;1)),"work",(INDEX(Subject!$A:$I,MATCH(RANDBETWEEN(1,(MAX(Subject!$B:$B))),Subject!$B:$B,0),3))))</f>
        <v/>
      </c>
      <c r="I589" s="2" t="str">
        <f t="array" ref="I589">IF(NOW()&gt;AT589,"",IF(AND((WEEKDAY($A589)+$B$2)&gt;1,((WEEKDAY($A589)+$T$2)&lt;7),(WEEKDAY($A589)&lt;&gt;1)),"work",(INDEX(Subject!$A:$I,MATCH(RANDBETWEEN(1,(MAX(Subject!$B:$B))),Subject!$B:$B,0),3))))</f>
        <v/>
      </c>
      <c r="J589" s="2" t="str">
        <f t="array" ref="J589">IF(NOW()&gt;AU589,"",IF(AND((WEEKDAY($A589)+$B$2)&gt;1,((WEEKDAY($A589)+$T$2)&lt;7),(WEEKDAY($A589)&lt;&gt;1)),"work",(INDEX(Subject!$A:$I,MATCH(RANDBETWEEN(1,(MAX(Subject!$B:$B))),Subject!$B:$B,0),3))))</f>
        <v/>
      </c>
      <c r="K589" s="2" t="str">
        <f t="array" ref="K589">IF(NOW()&gt;AV589,"",IF(AND((WEEKDAY($A589)+$B$2)&gt;1,((WEEKDAY($A589)+$T$2)&lt;7),(WEEKDAY($A589)&lt;&gt;1)),"work",(INDEX(Subject!$A:$I,MATCH(RANDBETWEEN(1,(MAX(Subject!$B:$B))),Subject!$B:$B,0),3))))</f>
        <v/>
      </c>
      <c r="L589" s="2" t="str">
        <f t="array" ref="L589">IF(NOW()&gt;AW589,"",IF(AND((WEEKDAY($A589)+$B$2)&gt;1,((WEEKDAY($A589)+$T$2)&lt;7),(WEEKDAY($A589)&lt;&gt;1)),"work",(INDEX(Subject!$A:$I,MATCH(RANDBETWEEN(1,(MAX(Subject!$B:$B))),Subject!$B:$B,0),3))))</f>
        <v/>
      </c>
      <c r="M589" s="2" t="str">
        <f t="array" ref="M589">IF(NOW()&gt;AX589,"",IF(AND((WEEKDAY($A589)+$B$2)&gt;1,((WEEKDAY($A589)+$T$2)&lt;7),(WEEKDAY($A589)&lt;&gt;1)),"work",(INDEX(Subject!$A:$I,MATCH(RANDBETWEEN(1,(MAX(Subject!$B:$B))),Subject!$B:$B,0),3))))</f>
        <v/>
      </c>
      <c r="N589" s="2" t="str">
        <f t="array" ref="N589">IF(NOW()&gt;AY589,"",IF(AND((WEEKDAY($A589)+$B$2)&gt;1,((WEEKDAY($A589)+$T$2)&lt;7),(WEEKDAY($A589)&lt;&gt;1)),"work",(INDEX(Subject!$A:$I,MATCH(RANDBETWEEN(1,(MAX(Subject!$B:$B))),Subject!$B:$B,0),3))))</f>
        <v/>
      </c>
      <c r="O589" s="2" t="str">
        <f t="array" ref="O589">IF(NOW()&gt;AZ589,"",IF(AND((WEEKDAY($A589)+$B$2)&gt;1,((WEEKDAY($A589)+$T$2)&lt;7),(WEEKDAY($A589)&lt;&gt;1)),"work",(INDEX(Subject!$A:$I,MATCH(RANDBETWEEN(1,(MAX(Subject!$B:$B))),Subject!$B:$B,0),3))))</f>
        <v/>
      </c>
      <c r="P589" s="2" t="str">
        <f t="array" ref="P589">IF(NOW()&gt;BA589,"",IF(AND((WEEKDAY($A589)+$B$2)&gt;1,((WEEKDAY($A589)+$T$2)&lt;7),(WEEKDAY($A589)&lt;&gt;1)),"work",(INDEX(Subject!$A:$I,MATCH(RANDBETWEEN(1,(MAX(Subject!$B:$B))),Subject!$B:$B,0),3))))</f>
        <v/>
      </c>
      <c r="Q589" s="2" t="str">
        <f t="array" ref="Q589">IF(NOW()&gt;BB589,"",IF(AND((WEEKDAY($A589)+$B$2)&gt;1,((WEEKDAY($A589)+$T$2)&lt;7),(WEEKDAY($A589)&lt;&gt;1)),"work",(INDEX(Subject!$A:$I,MATCH(RANDBETWEEN(1,(MAX(Subject!$B:$B))),Subject!$B:$B,0),3))))</f>
        <v/>
      </c>
      <c r="R589" s="2" t="str">
        <f t="array" ref="R589">IF(NOW()&gt;BC589,"",IF(AND((WEEKDAY($A589)+$B$2)&gt;1,((WEEKDAY($A589)+$T$2)&lt;7),(WEEKDAY($A589)&lt;&gt;1)),"work",(INDEX(Subject!$A:$I,MATCH(RANDBETWEEN(1,(MAX(Subject!$B:$B))),Subject!$B:$B,0),3))))</f>
        <v/>
      </c>
      <c r="S589" s="2" t="str">
        <f t="array" ref="S589">IF(NOW()&gt;BD589,"",IF(AND((WEEKDAY($A589)+$B$2)&gt;1,((WEEKDAY($A589)+$T$2)&lt;7),(WEEKDAY($A589)&lt;&gt;1)),"work",(INDEX(Subject!$A:$I,MATCH(RANDBETWEEN(1,(MAX(Subject!$B:$B))),Subject!$B:$B,0),3))))</f>
        <v/>
      </c>
      <c r="T589" s="2" t="str">
        <f t="array" ref="T589">IF(NOW()&gt;BE589,"",IF(AND((WEEKDAY($A589)+$B$2)&gt;1,((WEEKDAY($A589)+$T$2)&lt;7),(WEEKDAY($A589)&lt;&gt;1)),"work",(INDEX(Subject!$A:$I,MATCH(RANDBETWEEN(1,(MAX(Subject!$B:$B))),Subject!$B:$B,0),3))))</f>
        <v/>
      </c>
      <c r="U589" s="8" t="str">
        <f t="array" ref="U589">INDEX(Subject!$A:$I,MATCH(RANDBETWEEN(1,16),Subject!$B:$B,0),3)</f>
        <v/>
      </c>
      <c r="V589" s="8" t="str">
        <f t="array" ref="V589">INDEX(Subject!$A:$I,MATCH(RANDBETWEEN(1,16),Subject!$B:$B,0),3)</f>
        <v>#N/A</v>
      </c>
      <c r="W589" s="8" t="str">
        <f t="array" ref="W589">INDEX(Subject!$A:$I,MATCH(RANDBETWEEN(1,16),Subject!$B:$B,0),3)</f>
        <v/>
      </c>
      <c r="X589" s="8" t="str">
        <f t="array" ref="X589">INDEX(Subject!$A:$I,MATCH(RANDBETWEEN(1,16),Subject!$B:$B,0),3)</f>
        <v>#N/A</v>
      </c>
      <c r="Y589" s="8" t="str">
        <f t="array" ref="Y589">INDEX(Subject!$A:$I,MATCH(RANDBETWEEN(1,16),Subject!$B:$B,0),3)</f>
        <v>#N/A</v>
      </c>
      <c r="Z589" s="8" t="str">
        <f t="array" ref="Z589">INDEX(Subject!$A:$I,MATCH(RANDBETWEEN(1,16),Subject!$B:$B,0),3)</f>
        <v>#N/A</v>
      </c>
      <c r="AA589" s="8" t="str">
        <f t="array" ref="AA589">INDEX(Subject!$A:$I,MATCH(RANDBETWEEN(1,16),Subject!$B:$B,0),3)</f>
        <v>#N/A</v>
      </c>
      <c r="AB589" s="8" t="str">
        <f t="array" ref="AB589">INDEX(Subject!$A:$I,MATCH(RANDBETWEEN(1,16),Subject!$B:$B,0),3)</f>
        <v>#N/A</v>
      </c>
      <c r="AC589" s="8" t="str">
        <f t="array" ref="AC589">INDEX(Subject!$A:$I,MATCH(RANDBETWEEN(1,16),Subject!$B:$B,0),3)</f>
        <v>#N/A</v>
      </c>
      <c r="AD589" s="8" t="str">
        <f t="array" ref="AD589">INDEX(Subject!$A:$I,MATCH(RANDBETWEEN(1,16),Subject!$B:$B,0),3)</f>
        <v>#N/A</v>
      </c>
      <c r="AE589" s="8" t="str">
        <f t="array" ref="AE589">INDEX(Subject!$A:$I,MATCH(RANDBETWEEN(1,16),Subject!$B:$B,0),3)</f>
        <v>#N/A</v>
      </c>
      <c r="AF589" s="8" t="str">
        <f t="array" ref="AF589">INDEX(Subject!$A:$I,MATCH(RANDBETWEEN(1,16),Subject!$B:$B,0),3)</f>
        <v>#N/A</v>
      </c>
      <c r="AG589" s="8" t="str">
        <f t="array" ref="AG589">INDEX(Subject!$A:$I,MATCH(RANDBETWEEN(1,16),Subject!$B:$B,0),3)</f>
        <v>#N/A</v>
      </c>
      <c r="AH589" s="8" t="str">
        <f t="array" ref="AH589">INDEX(Subject!$A:$I,MATCH(RANDBETWEEN(1,16),Subject!$B:$B,0),3)</f>
        <v>#N/A</v>
      </c>
      <c r="AI589" s="8" t="str">
        <f t="array" ref="AI589">INDEX(Subject!$A:$I,MATCH(RANDBETWEEN(1,16),Subject!$B:$B,0),3)</f>
        <v>#N/A</v>
      </c>
      <c r="AJ589" s="8" t="str">
        <f t="array" ref="AJ589">INDEX(Subject!$A:$I,MATCH(RANDBETWEEN(1,16),Subject!$B:$B,0),3)</f>
        <v/>
      </c>
      <c r="AK589" s="8" t="str">
        <f t="array" ref="AK589">INDEX(Subject!$A:$I,MATCH(RANDBETWEEN(1,16),Subject!$B:$B,0),3)</f>
        <v>#N/A</v>
      </c>
      <c r="AL589" s="8" t="str">
        <f t="array" ref="AL589">INDEX(Subject!$A:$I,MATCH(RANDBETWEEN(1,16),Subject!$B:$B,0),3)</f>
        <v>#N/A</v>
      </c>
      <c r="AM589" s="18">
        <f t="shared" si="4"/>
        <v>46089.33333</v>
      </c>
      <c r="AN589" s="19">
        <f t="shared" ref="AN589:BZ589" si="589">$A589+C$1</f>
        <v>46089.35417</v>
      </c>
      <c r="AO589" s="19">
        <f t="shared" si="589"/>
        <v>46089.375</v>
      </c>
      <c r="AP589" s="19">
        <f t="shared" si="589"/>
        <v>46089.39583</v>
      </c>
      <c r="AQ589" s="19">
        <f t="shared" si="589"/>
        <v>46089.41667</v>
      </c>
      <c r="AR589" s="19">
        <f t="shared" si="589"/>
        <v>46089.4375</v>
      </c>
      <c r="AS589" s="19">
        <f t="shared" si="589"/>
        <v>46089.45833</v>
      </c>
      <c r="AT589" s="19">
        <f t="shared" si="589"/>
        <v>46089.47917</v>
      </c>
      <c r="AU589" s="19">
        <f t="shared" si="589"/>
        <v>46089.5</v>
      </c>
      <c r="AV589" s="19">
        <f t="shared" si="589"/>
        <v>46089.52083</v>
      </c>
      <c r="AW589" s="19">
        <f t="shared" si="589"/>
        <v>46089.54167</v>
      </c>
      <c r="AX589" s="19">
        <f t="shared" si="589"/>
        <v>46089.5625</v>
      </c>
      <c r="AY589" s="19">
        <f t="shared" si="589"/>
        <v>46089.58333</v>
      </c>
      <c r="AZ589" s="19">
        <f t="shared" si="589"/>
        <v>46089.60417</v>
      </c>
      <c r="BA589" s="19">
        <f t="shared" si="589"/>
        <v>46089.625</v>
      </c>
      <c r="BB589" s="19">
        <f t="shared" si="589"/>
        <v>46089.64583</v>
      </c>
      <c r="BC589" s="19">
        <f t="shared" si="589"/>
        <v>46089.66667</v>
      </c>
      <c r="BD589" s="19">
        <f t="shared" si="589"/>
        <v>46089.6875</v>
      </c>
      <c r="BE589" s="19">
        <f t="shared" si="589"/>
        <v>46089.70833</v>
      </c>
      <c r="BF589" s="19">
        <f t="shared" si="589"/>
        <v>46089.72917</v>
      </c>
      <c r="BG589" s="19">
        <f t="shared" si="589"/>
        <v>46089.75</v>
      </c>
      <c r="BH589" s="19">
        <f t="shared" si="589"/>
        <v>46089.77083</v>
      </c>
      <c r="BI589" s="19">
        <f t="shared" si="589"/>
        <v>46089.79167</v>
      </c>
      <c r="BJ589" s="19">
        <f t="shared" si="589"/>
        <v>46089.8125</v>
      </c>
      <c r="BK589" s="19">
        <f t="shared" si="589"/>
        <v>46089.83333</v>
      </c>
      <c r="BL589" s="19">
        <f t="shared" si="589"/>
        <v>46089.85417</v>
      </c>
      <c r="BM589" s="19">
        <f t="shared" si="589"/>
        <v>46089.875</v>
      </c>
      <c r="BN589" s="19">
        <f t="shared" si="589"/>
        <v>46089.89583</v>
      </c>
      <c r="BO589" s="19">
        <f t="shared" si="589"/>
        <v>46089.91667</v>
      </c>
      <c r="BP589" s="19">
        <f t="shared" si="589"/>
        <v>46089.9375</v>
      </c>
      <c r="BQ589" s="19">
        <f t="shared" si="589"/>
        <v>46089.95833</v>
      </c>
      <c r="BR589" s="19">
        <f t="shared" si="589"/>
        <v>46089.97917</v>
      </c>
      <c r="BS589" s="19">
        <f t="shared" si="589"/>
        <v>46090</v>
      </c>
      <c r="BT589" s="19">
        <f t="shared" si="589"/>
        <v>46090.02083</v>
      </c>
      <c r="BU589" s="19">
        <f t="shared" si="589"/>
        <v>46090.04167</v>
      </c>
      <c r="BV589" s="19">
        <f t="shared" si="589"/>
        <v>46090.0625</v>
      </c>
      <c r="BW589" s="19">
        <f t="shared" si="589"/>
        <v>46090.08333</v>
      </c>
      <c r="BX589" s="19">
        <f t="shared" si="589"/>
        <v>46089</v>
      </c>
      <c r="BY589" s="19">
        <f t="shared" si="589"/>
        <v>46089</v>
      </c>
      <c r="BZ589" s="19">
        <f t="shared" si="589"/>
        <v>46089</v>
      </c>
    </row>
    <row r="590" ht="14.25" customHeight="1">
      <c r="A590" s="17">
        <v>46090.0</v>
      </c>
      <c r="B590" s="2" t="str">
        <f t="array" ref="B590">IF(NOW()&gt;AM590,"",IF(AND((WEEKDAY($A590)+$B$2)&gt;1,((WEEKDAY($A590)+$T$2)&lt;7),(WEEKDAY($A590)&lt;&gt;1)),"work",(INDEX(Subject!$A:$I,MATCH(RANDBETWEEN(1,(MAX(Subject!$B:$B))),Subject!$B:$B,0),3))))</f>
        <v/>
      </c>
      <c r="C590" s="2" t="str">
        <f t="array" ref="C590">IF(NOW()&gt;AN590,"",IF(AND((WEEKDAY($A590)+$B$2)&gt;1,((WEEKDAY($A590)+$T$2)&lt;7),(WEEKDAY($A590)&lt;&gt;1)),"work",(INDEX(Subject!$A:$I,MATCH(RANDBETWEEN(1,(MAX(Subject!$B:$B))),Subject!$B:$B,0),3))))</f>
        <v/>
      </c>
      <c r="D590" s="2" t="str">
        <f t="array" ref="D590">IF(NOW()&gt;AO590,"",IF(AND((WEEKDAY($A590)+$B$2)&gt;1,((WEEKDAY($A590)+$T$2)&lt;7),(WEEKDAY($A590)&lt;&gt;1)),"work",(INDEX(Subject!$A:$I,MATCH(RANDBETWEEN(1,(MAX(Subject!$B:$B))),Subject!$B:$B,0),3))))</f>
        <v/>
      </c>
      <c r="E590" s="2" t="str">
        <f t="array" ref="E590">IF(NOW()&gt;AP590,"",IF(AND((WEEKDAY($A590)+$B$2)&gt;1,((WEEKDAY($A590)+$T$2)&lt;7),(WEEKDAY($A590)&lt;&gt;1)),"work",(INDEX(Subject!$A:$I,MATCH(RANDBETWEEN(1,(MAX(Subject!$B:$B))),Subject!$B:$B,0),3))))</f>
        <v/>
      </c>
      <c r="F590" s="2" t="str">
        <f t="array" ref="F590">IF(NOW()&gt;AQ590,"",IF(AND((WEEKDAY($A590)+$B$2)&gt;1,((WEEKDAY($A590)+$T$2)&lt;7),(WEEKDAY($A590)&lt;&gt;1)),"work",(INDEX(Subject!$A:$I,MATCH(RANDBETWEEN(1,(MAX(Subject!$B:$B))),Subject!$B:$B,0),3))))</f>
        <v/>
      </c>
      <c r="G590" s="2" t="str">
        <f t="array" ref="G590">IF(NOW()&gt;AR590,"",IF(AND((WEEKDAY($A590)+$B$2)&gt;1,((WEEKDAY($A590)+$T$2)&lt;7),(WEEKDAY($A590)&lt;&gt;1)),"work",(INDEX(Subject!$A:$I,MATCH(RANDBETWEEN(1,(MAX(Subject!$B:$B))),Subject!$B:$B,0),3))))</f>
        <v/>
      </c>
      <c r="H590" s="2" t="str">
        <f t="array" ref="H590">IF(NOW()&gt;AS590,"",IF(AND((WEEKDAY($A590)+$B$2)&gt;1,((WEEKDAY($A590)+$T$2)&lt;7),(WEEKDAY($A590)&lt;&gt;1)),"work",(INDEX(Subject!$A:$I,MATCH(RANDBETWEEN(1,(MAX(Subject!$B:$B))),Subject!$B:$B,0),3))))</f>
        <v/>
      </c>
      <c r="I590" s="2" t="str">
        <f t="array" ref="I590">IF(NOW()&gt;AT590,"",IF(AND((WEEKDAY($A590)+$B$2)&gt;1,((WEEKDAY($A590)+$T$2)&lt;7),(WEEKDAY($A590)&lt;&gt;1)),"work",(INDEX(Subject!$A:$I,MATCH(RANDBETWEEN(1,(MAX(Subject!$B:$B))),Subject!$B:$B,0),3))))</f>
        <v/>
      </c>
      <c r="J590" s="2" t="str">
        <f t="array" ref="J590">IF(NOW()&gt;AU590,"",IF(AND((WEEKDAY($A590)+$B$2)&gt;1,((WEEKDAY($A590)+$T$2)&lt;7),(WEEKDAY($A590)&lt;&gt;1)),"work",(INDEX(Subject!$A:$I,MATCH(RANDBETWEEN(1,(MAX(Subject!$B:$B))),Subject!$B:$B,0),3))))</f>
        <v/>
      </c>
      <c r="K590" s="2" t="str">
        <f t="array" ref="K590">IF(NOW()&gt;AV590,"",IF(AND((WEEKDAY($A590)+$B$2)&gt;1,((WEEKDAY($A590)+$T$2)&lt;7),(WEEKDAY($A590)&lt;&gt;1)),"work",(INDEX(Subject!$A:$I,MATCH(RANDBETWEEN(1,(MAX(Subject!$B:$B))),Subject!$B:$B,0),3))))</f>
        <v/>
      </c>
      <c r="L590" s="2" t="str">
        <f t="array" ref="L590">IF(NOW()&gt;AW590,"",IF(AND((WEEKDAY($A590)+$B$2)&gt;1,((WEEKDAY($A590)+$T$2)&lt;7),(WEEKDAY($A590)&lt;&gt;1)),"work",(INDEX(Subject!$A:$I,MATCH(RANDBETWEEN(1,(MAX(Subject!$B:$B))),Subject!$B:$B,0),3))))</f>
        <v/>
      </c>
      <c r="M590" s="2" t="str">
        <f t="array" ref="M590">IF(NOW()&gt;AX590,"",IF(AND((WEEKDAY($A590)+$B$2)&gt;1,((WEEKDAY($A590)+$T$2)&lt;7),(WEEKDAY($A590)&lt;&gt;1)),"work",(INDEX(Subject!$A:$I,MATCH(RANDBETWEEN(1,(MAX(Subject!$B:$B))),Subject!$B:$B,0),3))))</f>
        <v/>
      </c>
      <c r="N590" s="2" t="str">
        <f t="array" ref="N590">IF(NOW()&gt;AY590,"",IF(AND((WEEKDAY($A590)+$B$2)&gt;1,((WEEKDAY($A590)+$T$2)&lt;7),(WEEKDAY($A590)&lt;&gt;1)),"work",(INDEX(Subject!$A:$I,MATCH(RANDBETWEEN(1,(MAX(Subject!$B:$B))),Subject!$B:$B,0),3))))</f>
        <v/>
      </c>
      <c r="O590" s="2" t="str">
        <f t="array" ref="O590">IF(NOW()&gt;AZ590,"",IF(AND((WEEKDAY($A590)+$B$2)&gt;1,((WEEKDAY($A590)+$T$2)&lt;7),(WEEKDAY($A590)&lt;&gt;1)),"work",(INDEX(Subject!$A:$I,MATCH(RANDBETWEEN(1,(MAX(Subject!$B:$B))),Subject!$B:$B,0),3))))</f>
        <v/>
      </c>
      <c r="P590" s="2" t="str">
        <f t="array" ref="P590">IF(NOW()&gt;BA590,"",IF(AND((WEEKDAY($A590)+$B$2)&gt;1,((WEEKDAY($A590)+$T$2)&lt;7),(WEEKDAY($A590)&lt;&gt;1)),"work",(INDEX(Subject!$A:$I,MATCH(RANDBETWEEN(1,(MAX(Subject!$B:$B))),Subject!$B:$B,0),3))))</f>
        <v/>
      </c>
      <c r="Q590" s="2" t="str">
        <f t="array" ref="Q590">IF(NOW()&gt;BB590,"",IF(AND((WEEKDAY($A590)+$B$2)&gt;1,((WEEKDAY($A590)+$T$2)&lt;7),(WEEKDAY($A590)&lt;&gt;1)),"work",(INDEX(Subject!$A:$I,MATCH(RANDBETWEEN(1,(MAX(Subject!$B:$B))),Subject!$B:$B,0),3))))</f>
        <v/>
      </c>
      <c r="R590" s="2" t="str">
        <f t="array" ref="R590">IF(NOW()&gt;BC590,"",IF(AND((WEEKDAY($A590)+$B$2)&gt;1,((WEEKDAY($A590)+$T$2)&lt;7),(WEEKDAY($A590)&lt;&gt;1)),"work",(INDEX(Subject!$A:$I,MATCH(RANDBETWEEN(1,(MAX(Subject!$B:$B))),Subject!$B:$B,0),3))))</f>
        <v/>
      </c>
      <c r="S590" s="2" t="str">
        <f t="array" ref="S590">IF(NOW()&gt;BD590,"",IF(AND((WEEKDAY($A590)+$B$2)&gt;1,((WEEKDAY($A590)+$T$2)&lt;7),(WEEKDAY($A590)&lt;&gt;1)),"work",(INDEX(Subject!$A:$I,MATCH(RANDBETWEEN(1,(MAX(Subject!$B:$B))),Subject!$B:$B,0),3))))</f>
        <v/>
      </c>
      <c r="T590" s="2" t="str">
        <f t="array" ref="T590">IF(NOW()&gt;BE590,"",IF(AND((WEEKDAY($A590)+$B$2)&gt;1,((WEEKDAY($A590)+$T$2)&lt;7),(WEEKDAY($A590)&lt;&gt;1)),"work",(INDEX(Subject!$A:$I,MATCH(RANDBETWEEN(1,(MAX(Subject!$B:$B))),Subject!$B:$B,0),3))))</f>
        <v/>
      </c>
      <c r="U590" s="8" t="str">
        <f t="array" ref="U590">INDEX(Subject!$A:$I,MATCH(RANDBETWEEN(1,16),Subject!$B:$B,0),3)</f>
        <v>#N/A</v>
      </c>
      <c r="V590" s="8" t="str">
        <f t="array" ref="V590">INDEX(Subject!$A:$I,MATCH(RANDBETWEEN(1,16),Subject!$B:$B,0),3)</f>
        <v>#N/A</v>
      </c>
      <c r="W590" s="8" t="str">
        <f t="array" ref="W590">INDEX(Subject!$A:$I,MATCH(RANDBETWEEN(1,16),Subject!$B:$B,0),3)</f>
        <v>#N/A</v>
      </c>
      <c r="X590" s="8" t="str">
        <f t="array" ref="X590">INDEX(Subject!$A:$I,MATCH(RANDBETWEEN(1,16),Subject!$B:$B,0),3)</f>
        <v>#N/A</v>
      </c>
      <c r="Y590" s="8" t="str">
        <f t="array" ref="Y590">INDEX(Subject!$A:$I,MATCH(RANDBETWEEN(1,16),Subject!$B:$B,0),3)</f>
        <v>#N/A</v>
      </c>
      <c r="Z590" s="8" t="str">
        <f t="array" ref="Z590">INDEX(Subject!$A:$I,MATCH(RANDBETWEEN(1,16),Subject!$B:$B,0),3)</f>
        <v>#N/A</v>
      </c>
      <c r="AA590" s="8" t="str">
        <f t="array" ref="AA590">INDEX(Subject!$A:$I,MATCH(RANDBETWEEN(1,16),Subject!$B:$B,0),3)</f>
        <v>#N/A</v>
      </c>
      <c r="AB590" s="8" t="str">
        <f t="array" ref="AB590">INDEX(Subject!$A:$I,MATCH(RANDBETWEEN(1,16),Subject!$B:$B,0),3)</f>
        <v>#N/A</v>
      </c>
      <c r="AC590" s="8" t="str">
        <f t="array" ref="AC590">INDEX(Subject!$A:$I,MATCH(RANDBETWEEN(1,16),Subject!$B:$B,0),3)</f>
        <v>#N/A</v>
      </c>
      <c r="AD590" s="8" t="str">
        <f t="array" ref="AD590">INDEX(Subject!$A:$I,MATCH(RANDBETWEEN(1,16),Subject!$B:$B,0),3)</f>
        <v>#N/A</v>
      </c>
      <c r="AE590" s="8" t="str">
        <f t="array" ref="AE590">INDEX(Subject!$A:$I,MATCH(RANDBETWEEN(1,16),Subject!$B:$B,0),3)</f>
        <v>#N/A</v>
      </c>
      <c r="AF590" s="8" t="str">
        <f t="array" ref="AF590">INDEX(Subject!$A:$I,MATCH(RANDBETWEEN(1,16),Subject!$B:$B,0),3)</f>
        <v>#N/A</v>
      </c>
      <c r="AG590" s="8" t="str">
        <f t="array" ref="AG590">INDEX(Subject!$A:$I,MATCH(RANDBETWEEN(1,16),Subject!$B:$B,0),3)</f>
        <v/>
      </c>
      <c r="AH590" s="8" t="str">
        <f t="array" ref="AH590">INDEX(Subject!$A:$I,MATCH(RANDBETWEEN(1,16),Subject!$B:$B,0),3)</f>
        <v>#N/A</v>
      </c>
      <c r="AI590" s="8" t="str">
        <f t="array" ref="AI590">INDEX(Subject!$A:$I,MATCH(RANDBETWEEN(1,16),Subject!$B:$B,0),3)</f>
        <v>#N/A</v>
      </c>
      <c r="AJ590" s="8" t="str">
        <f t="array" ref="AJ590">INDEX(Subject!$A:$I,MATCH(RANDBETWEEN(1,16),Subject!$B:$B,0),3)</f>
        <v>#N/A</v>
      </c>
      <c r="AK590" s="8" t="str">
        <f t="array" ref="AK590">INDEX(Subject!$A:$I,MATCH(RANDBETWEEN(1,16),Subject!$B:$B,0),3)</f>
        <v>#N/A</v>
      </c>
      <c r="AL590" s="8" t="str">
        <f t="array" ref="AL590">INDEX(Subject!$A:$I,MATCH(RANDBETWEEN(1,16),Subject!$B:$B,0),3)</f>
        <v>#N/A</v>
      </c>
      <c r="AM590" s="18">
        <f t="shared" si="4"/>
        <v>46090.33333</v>
      </c>
      <c r="AN590" s="19">
        <f t="shared" ref="AN590:BZ590" si="590">$A590+C$1</f>
        <v>46090.35417</v>
      </c>
      <c r="AO590" s="19">
        <f t="shared" si="590"/>
        <v>46090.375</v>
      </c>
      <c r="AP590" s="19">
        <f t="shared" si="590"/>
        <v>46090.39583</v>
      </c>
      <c r="AQ590" s="19">
        <f t="shared" si="590"/>
        <v>46090.41667</v>
      </c>
      <c r="AR590" s="19">
        <f t="shared" si="590"/>
        <v>46090.4375</v>
      </c>
      <c r="AS590" s="19">
        <f t="shared" si="590"/>
        <v>46090.45833</v>
      </c>
      <c r="AT590" s="19">
        <f t="shared" si="590"/>
        <v>46090.47917</v>
      </c>
      <c r="AU590" s="19">
        <f t="shared" si="590"/>
        <v>46090.5</v>
      </c>
      <c r="AV590" s="19">
        <f t="shared" si="590"/>
        <v>46090.52083</v>
      </c>
      <c r="AW590" s="19">
        <f t="shared" si="590"/>
        <v>46090.54167</v>
      </c>
      <c r="AX590" s="19">
        <f t="shared" si="590"/>
        <v>46090.5625</v>
      </c>
      <c r="AY590" s="19">
        <f t="shared" si="590"/>
        <v>46090.58333</v>
      </c>
      <c r="AZ590" s="19">
        <f t="shared" si="590"/>
        <v>46090.60417</v>
      </c>
      <c r="BA590" s="19">
        <f t="shared" si="590"/>
        <v>46090.625</v>
      </c>
      <c r="BB590" s="19">
        <f t="shared" si="590"/>
        <v>46090.64583</v>
      </c>
      <c r="BC590" s="19">
        <f t="shared" si="590"/>
        <v>46090.66667</v>
      </c>
      <c r="BD590" s="19">
        <f t="shared" si="590"/>
        <v>46090.6875</v>
      </c>
      <c r="BE590" s="19">
        <f t="shared" si="590"/>
        <v>46090.70833</v>
      </c>
      <c r="BF590" s="19">
        <f t="shared" si="590"/>
        <v>46090.72917</v>
      </c>
      <c r="BG590" s="19">
        <f t="shared" si="590"/>
        <v>46090.75</v>
      </c>
      <c r="BH590" s="19">
        <f t="shared" si="590"/>
        <v>46090.77083</v>
      </c>
      <c r="BI590" s="19">
        <f t="shared" si="590"/>
        <v>46090.79167</v>
      </c>
      <c r="BJ590" s="19">
        <f t="shared" si="590"/>
        <v>46090.8125</v>
      </c>
      <c r="BK590" s="19">
        <f t="shared" si="590"/>
        <v>46090.83333</v>
      </c>
      <c r="BL590" s="19">
        <f t="shared" si="590"/>
        <v>46090.85417</v>
      </c>
      <c r="BM590" s="19">
        <f t="shared" si="590"/>
        <v>46090.875</v>
      </c>
      <c r="BN590" s="19">
        <f t="shared" si="590"/>
        <v>46090.89583</v>
      </c>
      <c r="BO590" s="19">
        <f t="shared" si="590"/>
        <v>46090.91667</v>
      </c>
      <c r="BP590" s="19">
        <f t="shared" si="590"/>
        <v>46090.9375</v>
      </c>
      <c r="BQ590" s="19">
        <f t="shared" si="590"/>
        <v>46090.95833</v>
      </c>
      <c r="BR590" s="19">
        <f t="shared" si="590"/>
        <v>46090.97917</v>
      </c>
      <c r="BS590" s="19">
        <f t="shared" si="590"/>
        <v>46091</v>
      </c>
      <c r="BT590" s="19">
        <f t="shared" si="590"/>
        <v>46091.02083</v>
      </c>
      <c r="BU590" s="19">
        <f t="shared" si="590"/>
        <v>46091.04167</v>
      </c>
      <c r="BV590" s="19">
        <f t="shared" si="590"/>
        <v>46091.0625</v>
      </c>
      <c r="BW590" s="19">
        <f t="shared" si="590"/>
        <v>46091.08333</v>
      </c>
      <c r="BX590" s="19">
        <f t="shared" si="590"/>
        <v>46090</v>
      </c>
      <c r="BY590" s="19">
        <f t="shared" si="590"/>
        <v>46090</v>
      </c>
      <c r="BZ590" s="19">
        <f t="shared" si="590"/>
        <v>46090</v>
      </c>
    </row>
    <row r="591" ht="14.25" customHeight="1">
      <c r="A591" s="17">
        <v>46091.0</v>
      </c>
      <c r="B591" s="2" t="str">
        <f t="array" ref="B591">IF(NOW()&gt;AM591,"",IF(AND((WEEKDAY($A591)+$B$2)&gt;1,((WEEKDAY($A591)+$T$2)&lt;7),(WEEKDAY($A591)&lt;&gt;1)),"work",(INDEX(Subject!$A:$I,MATCH(RANDBETWEEN(1,(MAX(Subject!$B:$B))),Subject!$B:$B,0),3))))</f>
        <v/>
      </c>
      <c r="C591" s="2" t="str">
        <f t="array" ref="C591">IF(NOW()&gt;AN591,"",IF(AND((WEEKDAY($A591)+$B$2)&gt;1,((WEEKDAY($A591)+$T$2)&lt;7),(WEEKDAY($A591)&lt;&gt;1)),"work",(INDEX(Subject!$A:$I,MATCH(RANDBETWEEN(1,(MAX(Subject!$B:$B))),Subject!$B:$B,0),3))))</f>
        <v/>
      </c>
      <c r="D591" s="2" t="str">
        <f t="array" ref="D591">IF(NOW()&gt;AO591,"",IF(AND((WEEKDAY($A591)+$B$2)&gt;1,((WEEKDAY($A591)+$T$2)&lt;7),(WEEKDAY($A591)&lt;&gt;1)),"work",(INDEX(Subject!$A:$I,MATCH(RANDBETWEEN(1,(MAX(Subject!$B:$B))),Subject!$B:$B,0),3))))</f>
        <v/>
      </c>
      <c r="E591" s="2" t="str">
        <f t="array" ref="E591">IF(NOW()&gt;AP591,"",IF(AND((WEEKDAY($A591)+$B$2)&gt;1,((WEEKDAY($A591)+$T$2)&lt;7),(WEEKDAY($A591)&lt;&gt;1)),"work",(INDEX(Subject!$A:$I,MATCH(RANDBETWEEN(1,(MAX(Subject!$B:$B))),Subject!$B:$B,0),3))))</f>
        <v/>
      </c>
      <c r="F591" s="2" t="str">
        <f t="array" ref="F591">IF(NOW()&gt;AQ591,"",IF(AND((WEEKDAY($A591)+$B$2)&gt;1,((WEEKDAY($A591)+$T$2)&lt;7),(WEEKDAY($A591)&lt;&gt;1)),"work",(INDEX(Subject!$A:$I,MATCH(RANDBETWEEN(1,(MAX(Subject!$B:$B))),Subject!$B:$B,0),3))))</f>
        <v/>
      </c>
      <c r="G591" s="2" t="str">
        <f t="array" ref="G591">IF(NOW()&gt;AR591,"",IF(AND((WEEKDAY($A591)+$B$2)&gt;1,((WEEKDAY($A591)+$T$2)&lt;7),(WEEKDAY($A591)&lt;&gt;1)),"work",(INDEX(Subject!$A:$I,MATCH(RANDBETWEEN(1,(MAX(Subject!$B:$B))),Subject!$B:$B,0),3))))</f>
        <v/>
      </c>
      <c r="H591" s="2" t="str">
        <f t="array" ref="H591">IF(NOW()&gt;AS591,"",IF(AND((WEEKDAY($A591)+$B$2)&gt;1,((WEEKDAY($A591)+$T$2)&lt;7),(WEEKDAY($A591)&lt;&gt;1)),"work",(INDEX(Subject!$A:$I,MATCH(RANDBETWEEN(1,(MAX(Subject!$B:$B))),Subject!$B:$B,0),3))))</f>
        <v/>
      </c>
      <c r="I591" s="2" t="str">
        <f t="array" ref="I591">IF(NOW()&gt;AT591,"",IF(AND((WEEKDAY($A591)+$B$2)&gt;1,((WEEKDAY($A591)+$T$2)&lt;7),(WEEKDAY($A591)&lt;&gt;1)),"work",(INDEX(Subject!$A:$I,MATCH(RANDBETWEEN(1,(MAX(Subject!$B:$B))),Subject!$B:$B,0),3))))</f>
        <v/>
      </c>
      <c r="J591" s="2" t="str">
        <f t="array" ref="J591">IF(NOW()&gt;AU591,"",IF(AND((WEEKDAY($A591)+$B$2)&gt;1,((WEEKDAY($A591)+$T$2)&lt;7),(WEEKDAY($A591)&lt;&gt;1)),"work",(INDEX(Subject!$A:$I,MATCH(RANDBETWEEN(1,(MAX(Subject!$B:$B))),Subject!$B:$B,0),3))))</f>
        <v/>
      </c>
      <c r="K591" s="2" t="str">
        <f t="array" ref="K591">IF(NOW()&gt;AV591,"",IF(AND((WEEKDAY($A591)+$B$2)&gt;1,((WEEKDAY($A591)+$T$2)&lt;7),(WEEKDAY($A591)&lt;&gt;1)),"work",(INDEX(Subject!$A:$I,MATCH(RANDBETWEEN(1,(MAX(Subject!$B:$B))),Subject!$B:$B,0),3))))</f>
        <v/>
      </c>
      <c r="L591" s="2" t="str">
        <f t="array" ref="L591">IF(NOW()&gt;AW591,"",IF(AND((WEEKDAY($A591)+$B$2)&gt;1,((WEEKDAY($A591)+$T$2)&lt;7),(WEEKDAY($A591)&lt;&gt;1)),"work",(INDEX(Subject!$A:$I,MATCH(RANDBETWEEN(1,(MAX(Subject!$B:$B))),Subject!$B:$B,0),3))))</f>
        <v/>
      </c>
      <c r="M591" s="2" t="str">
        <f t="array" ref="M591">IF(NOW()&gt;AX591,"",IF(AND((WEEKDAY($A591)+$B$2)&gt;1,((WEEKDAY($A591)+$T$2)&lt;7),(WEEKDAY($A591)&lt;&gt;1)),"work",(INDEX(Subject!$A:$I,MATCH(RANDBETWEEN(1,(MAX(Subject!$B:$B))),Subject!$B:$B,0),3))))</f>
        <v/>
      </c>
      <c r="N591" s="2" t="str">
        <f t="array" ref="N591">IF(NOW()&gt;AY591,"",IF(AND((WEEKDAY($A591)+$B$2)&gt;1,((WEEKDAY($A591)+$T$2)&lt;7),(WEEKDAY($A591)&lt;&gt;1)),"work",(INDEX(Subject!$A:$I,MATCH(RANDBETWEEN(1,(MAX(Subject!$B:$B))),Subject!$B:$B,0),3))))</f>
        <v/>
      </c>
      <c r="O591" s="2" t="str">
        <f t="array" ref="O591">IF(NOW()&gt;AZ591,"",IF(AND((WEEKDAY($A591)+$B$2)&gt;1,((WEEKDAY($A591)+$T$2)&lt;7),(WEEKDAY($A591)&lt;&gt;1)),"work",(INDEX(Subject!$A:$I,MATCH(RANDBETWEEN(1,(MAX(Subject!$B:$B))),Subject!$B:$B,0),3))))</f>
        <v/>
      </c>
      <c r="P591" s="2" t="str">
        <f t="array" ref="P591">IF(NOW()&gt;BA591,"",IF(AND((WEEKDAY($A591)+$B$2)&gt;1,((WEEKDAY($A591)+$T$2)&lt;7),(WEEKDAY($A591)&lt;&gt;1)),"work",(INDEX(Subject!$A:$I,MATCH(RANDBETWEEN(1,(MAX(Subject!$B:$B))),Subject!$B:$B,0),3))))</f>
        <v/>
      </c>
      <c r="Q591" s="2" t="str">
        <f t="array" ref="Q591">IF(NOW()&gt;BB591,"",IF(AND((WEEKDAY($A591)+$B$2)&gt;1,((WEEKDAY($A591)+$T$2)&lt;7),(WEEKDAY($A591)&lt;&gt;1)),"work",(INDEX(Subject!$A:$I,MATCH(RANDBETWEEN(1,(MAX(Subject!$B:$B))),Subject!$B:$B,0),3))))</f>
        <v/>
      </c>
      <c r="R591" s="2" t="str">
        <f t="array" ref="R591">IF(NOW()&gt;BC591,"",IF(AND((WEEKDAY($A591)+$B$2)&gt;1,((WEEKDAY($A591)+$T$2)&lt;7),(WEEKDAY($A591)&lt;&gt;1)),"work",(INDEX(Subject!$A:$I,MATCH(RANDBETWEEN(1,(MAX(Subject!$B:$B))),Subject!$B:$B,0),3))))</f>
        <v/>
      </c>
      <c r="S591" s="2" t="str">
        <f t="array" ref="S591">IF(NOW()&gt;BD591,"",IF(AND((WEEKDAY($A591)+$B$2)&gt;1,((WEEKDAY($A591)+$T$2)&lt;7),(WEEKDAY($A591)&lt;&gt;1)),"work",(INDEX(Subject!$A:$I,MATCH(RANDBETWEEN(1,(MAX(Subject!$B:$B))),Subject!$B:$B,0),3))))</f>
        <v/>
      </c>
      <c r="T591" s="2" t="str">
        <f t="array" ref="T591">IF(NOW()&gt;BE591,"",IF(AND((WEEKDAY($A591)+$B$2)&gt;1,((WEEKDAY($A591)+$T$2)&lt;7),(WEEKDAY($A591)&lt;&gt;1)),"work",(INDEX(Subject!$A:$I,MATCH(RANDBETWEEN(1,(MAX(Subject!$B:$B))),Subject!$B:$B,0),3))))</f>
        <v/>
      </c>
      <c r="U591" s="8" t="str">
        <f t="array" ref="U591">INDEX(Subject!$A:$I,MATCH(RANDBETWEEN(1,16),Subject!$B:$B,0),3)</f>
        <v>#N/A</v>
      </c>
      <c r="V591" s="8" t="str">
        <f t="array" ref="V591">INDEX(Subject!$A:$I,MATCH(RANDBETWEEN(1,16),Subject!$B:$B,0),3)</f>
        <v>#N/A</v>
      </c>
      <c r="W591" s="8" t="str">
        <f t="array" ref="W591">INDEX(Subject!$A:$I,MATCH(RANDBETWEEN(1,16),Subject!$B:$B,0),3)</f>
        <v>#N/A</v>
      </c>
      <c r="X591" s="8" t="str">
        <f t="array" ref="X591">INDEX(Subject!$A:$I,MATCH(RANDBETWEEN(1,16),Subject!$B:$B,0),3)</f>
        <v>#N/A</v>
      </c>
      <c r="Y591" s="8" t="str">
        <f t="array" ref="Y591">INDEX(Subject!$A:$I,MATCH(RANDBETWEEN(1,16),Subject!$B:$B,0),3)</f>
        <v/>
      </c>
      <c r="Z591" s="8" t="str">
        <f t="array" ref="Z591">INDEX(Subject!$A:$I,MATCH(RANDBETWEEN(1,16),Subject!$B:$B,0),3)</f>
        <v>#N/A</v>
      </c>
      <c r="AA591" s="8" t="str">
        <f t="array" ref="AA591">INDEX(Subject!$A:$I,MATCH(RANDBETWEEN(1,16),Subject!$B:$B,0),3)</f>
        <v>#N/A</v>
      </c>
      <c r="AB591" s="8" t="str">
        <f t="array" ref="AB591">INDEX(Subject!$A:$I,MATCH(RANDBETWEEN(1,16),Subject!$B:$B,0),3)</f>
        <v>#N/A</v>
      </c>
      <c r="AC591" s="8" t="str">
        <f t="array" ref="AC591">INDEX(Subject!$A:$I,MATCH(RANDBETWEEN(1,16),Subject!$B:$B,0),3)</f>
        <v>#N/A</v>
      </c>
      <c r="AD591" s="8" t="str">
        <f t="array" ref="AD591">INDEX(Subject!$A:$I,MATCH(RANDBETWEEN(1,16),Subject!$B:$B,0),3)</f>
        <v>#N/A</v>
      </c>
      <c r="AE591" s="8" t="str">
        <f t="array" ref="AE591">INDEX(Subject!$A:$I,MATCH(RANDBETWEEN(1,16),Subject!$B:$B,0),3)</f>
        <v/>
      </c>
      <c r="AF591" s="8" t="str">
        <f t="array" ref="AF591">INDEX(Subject!$A:$I,MATCH(RANDBETWEEN(1,16),Subject!$B:$B,0),3)</f>
        <v>#N/A</v>
      </c>
      <c r="AG591" s="8" t="str">
        <f t="array" ref="AG591">INDEX(Subject!$A:$I,MATCH(RANDBETWEEN(1,16),Subject!$B:$B,0),3)</f>
        <v>#N/A</v>
      </c>
      <c r="AH591" s="8" t="str">
        <f t="array" ref="AH591">INDEX(Subject!$A:$I,MATCH(RANDBETWEEN(1,16),Subject!$B:$B,0),3)</f>
        <v>#N/A</v>
      </c>
      <c r="AI591" s="8" t="str">
        <f t="array" ref="AI591">INDEX(Subject!$A:$I,MATCH(RANDBETWEEN(1,16),Subject!$B:$B,0),3)</f>
        <v>#N/A</v>
      </c>
      <c r="AJ591" s="8" t="str">
        <f t="array" ref="AJ591">INDEX(Subject!$A:$I,MATCH(RANDBETWEEN(1,16),Subject!$B:$B,0),3)</f>
        <v>#N/A</v>
      </c>
      <c r="AK591" s="8" t="str">
        <f t="array" ref="AK591">INDEX(Subject!$A:$I,MATCH(RANDBETWEEN(1,16),Subject!$B:$B,0),3)</f>
        <v>#N/A</v>
      </c>
      <c r="AL591" s="8" t="str">
        <f t="array" ref="AL591">INDEX(Subject!$A:$I,MATCH(RANDBETWEEN(1,16),Subject!$B:$B,0),3)</f>
        <v>#N/A</v>
      </c>
      <c r="AM591" s="18">
        <f t="shared" si="4"/>
        <v>46091.33333</v>
      </c>
      <c r="AN591" s="19">
        <f t="shared" ref="AN591:BZ591" si="591">$A591+C$1</f>
        <v>46091.35417</v>
      </c>
      <c r="AO591" s="19">
        <f t="shared" si="591"/>
        <v>46091.375</v>
      </c>
      <c r="AP591" s="19">
        <f t="shared" si="591"/>
        <v>46091.39583</v>
      </c>
      <c r="AQ591" s="19">
        <f t="shared" si="591"/>
        <v>46091.41667</v>
      </c>
      <c r="AR591" s="19">
        <f t="shared" si="591"/>
        <v>46091.4375</v>
      </c>
      <c r="AS591" s="19">
        <f t="shared" si="591"/>
        <v>46091.45833</v>
      </c>
      <c r="AT591" s="19">
        <f t="shared" si="591"/>
        <v>46091.47917</v>
      </c>
      <c r="AU591" s="19">
        <f t="shared" si="591"/>
        <v>46091.5</v>
      </c>
      <c r="AV591" s="19">
        <f t="shared" si="591"/>
        <v>46091.52083</v>
      </c>
      <c r="AW591" s="19">
        <f t="shared" si="591"/>
        <v>46091.54167</v>
      </c>
      <c r="AX591" s="19">
        <f t="shared" si="591"/>
        <v>46091.5625</v>
      </c>
      <c r="AY591" s="19">
        <f t="shared" si="591"/>
        <v>46091.58333</v>
      </c>
      <c r="AZ591" s="19">
        <f t="shared" si="591"/>
        <v>46091.60417</v>
      </c>
      <c r="BA591" s="19">
        <f t="shared" si="591"/>
        <v>46091.625</v>
      </c>
      <c r="BB591" s="19">
        <f t="shared" si="591"/>
        <v>46091.64583</v>
      </c>
      <c r="BC591" s="19">
        <f t="shared" si="591"/>
        <v>46091.66667</v>
      </c>
      <c r="BD591" s="19">
        <f t="shared" si="591"/>
        <v>46091.6875</v>
      </c>
      <c r="BE591" s="19">
        <f t="shared" si="591"/>
        <v>46091.70833</v>
      </c>
      <c r="BF591" s="19">
        <f t="shared" si="591"/>
        <v>46091.72917</v>
      </c>
      <c r="BG591" s="19">
        <f t="shared" si="591"/>
        <v>46091.75</v>
      </c>
      <c r="BH591" s="19">
        <f t="shared" si="591"/>
        <v>46091.77083</v>
      </c>
      <c r="BI591" s="19">
        <f t="shared" si="591"/>
        <v>46091.79167</v>
      </c>
      <c r="BJ591" s="19">
        <f t="shared" si="591"/>
        <v>46091.8125</v>
      </c>
      <c r="BK591" s="19">
        <f t="shared" si="591"/>
        <v>46091.83333</v>
      </c>
      <c r="BL591" s="19">
        <f t="shared" si="591"/>
        <v>46091.85417</v>
      </c>
      <c r="BM591" s="19">
        <f t="shared" si="591"/>
        <v>46091.875</v>
      </c>
      <c r="BN591" s="19">
        <f t="shared" si="591"/>
        <v>46091.89583</v>
      </c>
      <c r="BO591" s="19">
        <f t="shared" si="591"/>
        <v>46091.91667</v>
      </c>
      <c r="BP591" s="19">
        <f t="shared" si="591"/>
        <v>46091.9375</v>
      </c>
      <c r="BQ591" s="19">
        <f t="shared" si="591"/>
        <v>46091.95833</v>
      </c>
      <c r="BR591" s="19">
        <f t="shared" si="591"/>
        <v>46091.97917</v>
      </c>
      <c r="BS591" s="19">
        <f t="shared" si="591"/>
        <v>46092</v>
      </c>
      <c r="BT591" s="19">
        <f t="shared" si="591"/>
        <v>46092.02083</v>
      </c>
      <c r="BU591" s="19">
        <f t="shared" si="591"/>
        <v>46092.04167</v>
      </c>
      <c r="BV591" s="19">
        <f t="shared" si="591"/>
        <v>46092.0625</v>
      </c>
      <c r="BW591" s="19">
        <f t="shared" si="591"/>
        <v>46092.08333</v>
      </c>
      <c r="BX591" s="19">
        <f t="shared" si="591"/>
        <v>46091</v>
      </c>
      <c r="BY591" s="19">
        <f t="shared" si="591"/>
        <v>46091</v>
      </c>
      <c r="BZ591" s="19">
        <f t="shared" si="591"/>
        <v>46091</v>
      </c>
    </row>
    <row r="592" ht="14.25" customHeight="1">
      <c r="A592" s="17">
        <v>46092.0</v>
      </c>
      <c r="B592" s="2" t="str">
        <f t="array" ref="B592">IF(NOW()&gt;AM592,"",IF(AND((WEEKDAY($A592)+$B$2)&gt;1,((WEEKDAY($A592)+$T$2)&lt;7),(WEEKDAY($A592)&lt;&gt;1)),"work",(INDEX(Subject!$A:$I,MATCH(RANDBETWEEN(1,(MAX(Subject!$B:$B))),Subject!$B:$B,0),3))))</f>
        <v/>
      </c>
      <c r="C592" s="2" t="str">
        <f t="array" ref="C592">IF(NOW()&gt;AN592,"",IF(AND((WEEKDAY($A592)+$B$2)&gt;1,((WEEKDAY($A592)+$T$2)&lt;7),(WEEKDAY($A592)&lt;&gt;1)),"work",(INDEX(Subject!$A:$I,MATCH(RANDBETWEEN(1,(MAX(Subject!$B:$B))),Subject!$B:$B,0),3))))</f>
        <v/>
      </c>
      <c r="D592" s="2" t="str">
        <f t="array" ref="D592">IF(NOW()&gt;AO592,"",IF(AND((WEEKDAY($A592)+$B$2)&gt;1,((WEEKDAY($A592)+$T$2)&lt;7),(WEEKDAY($A592)&lt;&gt;1)),"work",(INDEX(Subject!$A:$I,MATCH(RANDBETWEEN(1,(MAX(Subject!$B:$B))),Subject!$B:$B,0),3))))</f>
        <v/>
      </c>
      <c r="E592" s="2" t="str">
        <f t="array" ref="E592">IF(NOW()&gt;AP592,"",IF(AND((WEEKDAY($A592)+$B$2)&gt;1,((WEEKDAY($A592)+$T$2)&lt;7),(WEEKDAY($A592)&lt;&gt;1)),"work",(INDEX(Subject!$A:$I,MATCH(RANDBETWEEN(1,(MAX(Subject!$B:$B))),Subject!$B:$B,0),3))))</f>
        <v/>
      </c>
      <c r="F592" s="2" t="str">
        <f t="array" ref="F592">IF(NOW()&gt;AQ592,"",IF(AND((WEEKDAY($A592)+$B$2)&gt;1,((WEEKDAY($A592)+$T$2)&lt;7),(WEEKDAY($A592)&lt;&gt;1)),"work",(INDEX(Subject!$A:$I,MATCH(RANDBETWEEN(1,(MAX(Subject!$B:$B))),Subject!$B:$B,0),3))))</f>
        <v/>
      </c>
      <c r="G592" s="2" t="str">
        <f t="array" ref="G592">IF(NOW()&gt;AR592,"",IF(AND((WEEKDAY($A592)+$B$2)&gt;1,((WEEKDAY($A592)+$T$2)&lt;7),(WEEKDAY($A592)&lt;&gt;1)),"work",(INDEX(Subject!$A:$I,MATCH(RANDBETWEEN(1,(MAX(Subject!$B:$B))),Subject!$B:$B,0),3))))</f>
        <v/>
      </c>
      <c r="H592" s="2" t="str">
        <f t="array" ref="H592">IF(NOW()&gt;AS592,"",IF(AND((WEEKDAY($A592)+$B$2)&gt;1,((WEEKDAY($A592)+$T$2)&lt;7),(WEEKDAY($A592)&lt;&gt;1)),"work",(INDEX(Subject!$A:$I,MATCH(RANDBETWEEN(1,(MAX(Subject!$B:$B))),Subject!$B:$B,0),3))))</f>
        <v/>
      </c>
      <c r="I592" s="2" t="str">
        <f t="array" ref="I592">IF(NOW()&gt;AT592,"",IF(AND((WEEKDAY($A592)+$B$2)&gt;1,((WEEKDAY($A592)+$T$2)&lt;7),(WEEKDAY($A592)&lt;&gt;1)),"work",(INDEX(Subject!$A:$I,MATCH(RANDBETWEEN(1,(MAX(Subject!$B:$B))),Subject!$B:$B,0),3))))</f>
        <v/>
      </c>
      <c r="J592" s="2" t="str">
        <f t="array" ref="J592">IF(NOW()&gt;AU592,"",IF(AND((WEEKDAY($A592)+$B$2)&gt;1,((WEEKDAY($A592)+$T$2)&lt;7),(WEEKDAY($A592)&lt;&gt;1)),"work",(INDEX(Subject!$A:$I,MATCH(RANDBETWEEN(1,(MAX(Subject!$B:$B))),Subject!$B:$B,0),3))))</f>
        <v/>
      </c>
      <c r="K592" s="2" t="str">
        <f t="array" ref="K592">IF(NOW()&gt;AV592,"",IF(AND((WEEKDAY($A592)+$B$2)&gt;1,((WEEKDAY($A592)+$T$2)&lt;7),(WEEKDAY($A592)&lt;&gt;1)),"work",(INDEX(Subject!$A:$I,MATCH(RANDBETWEEN(1,(MAX(Subject!$B:$B))),Subject!$B:$B,0),3))))</f>
        <v/>
      </c>
      <c r="L592" s="2" t="str">
        <f t="array" ref="L592">IF(NOW()&gt;AW592,"",IF(AND((WEEKDAY($A592)+$B$2)&gt;1,((WEEKDAY($A592)+$T$2)&lt;7),(WEEKDAY($A592)&lt;&gt;1)),"work",(INDEX(Subject!$A:$I,MATCH(RANDBETWEEN(1,(MAX(Subject!$B:$B))),Subject!$B:$B,0),3))))</f>
        <v/>
      </c>
      <c r="M592" s="2" t="str">
        <f t="array" ref="M592">IF(NOW()&gt;AX592,"",IF(AND((WEEKDAY($A592)+$B$2)&gt;1,((WEEKDAY($A592)+$T$2)&lt;7),(WEEKDAY($A592)&lt;&gt;1)),"work",(INDEX(Subject!$A:$I,MATCH(RANDBETWEEN(1,(MAX(Subject!$B:$B))),Subject!$B:$B,0),3))))</f>
        <v/>
      </c>
      <c r="N592" s="2" t="str">
        <f t="array" ref="N592">IF(NOW()&gt;AY592,"",IF(AND((WEEKDAY($A592)+$B$2)&gt;1,((WEEKDAY($A592)+$T$2)&lt;7),(WEEKDAY($A592)&lt;&gt;1)),"work",(INDEX(Subject!$A:$I,MATCH(RANDBETWEEN(1,(MAX(Subject!$B:$B))),Subject!$B:$B,0),3))))</f>
        <v/>
      </c>
      <c r="O592" s="2" t="str">
        <f t="array" ref="O592">IF(NOW()&gt;AZ592,"",IF(AND((WEEKDAY($A592)+$B$2)&gt;1,((WEEKDAY($A592)+$T$2)&lt;7),(WEEKDAY($A592)&lt;&gt;1)),"work",(INDEX(Subject!$A:$I,MATCH(RANDBETWEEN(1,(MAX(Subject!$B:$B))),Subject!$B:$B,0),3))))</f>
        <v/>
      </c>
      <c r="P592" s="2" t="str">
        <f t="array" ref="P592">IF(NOW()&gt;BA592,"",IF(AND((WEEKDAY($A592)+$B$2)&gt;1,((WEEKDAY($A592)+$T$2)&lt;7),(WEEKDAY($A592)&lt;&gt;1)),"work",(INDEX(Subject!$A:$I,MATCH(RANDBETWEEN(1,(MAX(Subject!$B:$B))),Subject!$B:$B,0),3))))</f>
        <v/>
      </c>
      <c r="Q592" s="2" t="str">
        <f t="array" ref="Q592">IF(NOW()&gt;BB592,"",IF(AND((WEEKDAY($A592)+$B$2)&gt;1,((WEEKDAY($A592)+$T$2)&lt;7),(WEEKDAY($A592)&lt;&gt;1)),"work",(INDEX(Subject!$A:$I,MATCH(RANDBETWEEN(1,(MAX(Subject!$B:$B))),Subject!$B:$B,0),3))))</f>
        <v/>
      </c>
      <c r="R592" s="2" t="str">
        <f t="array" ref="R592">IF(NOW()&gt;BC592,"",IF(AND((WEEKDAY($A592)+$B$2)&gt;1,((WEEKDAY($A592)+$T$2)&lt;7),(WEEKDAY($A592)&lt;&gt;1)),"work",(INDEX(Subject!$A:$I,MATCH(RANDBETWEEN(1,(MAX(Subject!$B:$B))),Subject!$B:$B,0),3))))</f>
        <v/>
      </c>
      <c r="S592" s="2" t="str">
        <f t="array" ref="S592">IF(NOW()&gt;BD592,"",IF(AND((WEEKDAY($A592)+$B$2)&gt;1,((WEEKDAY($A592)+$T$2)&lt;7),(WEEKDAY($A592)&lt;&gt;1)),"work",(INDEX(Subject!$A:$I,MATCH(RANDBETWEEN(1,(MAX(Subject!$B:$B))),Subject!$B:$B,0),3))))</f>
        <v/>
      </c>
      <c r="T592" s="2" t="str">
        <f t="array" ref="T592">IF(NOW()&gt;BE592,"",IF(AND((WEEKDAY($A592)+$B$2)&gt;1,((WEEKDAY($A592)+$T$2)&lt;7),(WEEKDAY($A592)&lt;&gt;1)),"work",(INDEX(Subject!$A:$I,MATCH(RANDBETWEEN(1,(MAX(Subject!$B:$B))),Subject!$B:$B,0),3))))</f>
        <v/>
      </c>
      <c r="U592" s="8" t="str">
        <f t="array" ref="U592">INDEX(Subject!$A:$I,MATCH(RANDBETWEEN(1,16),Subject!$B:$B,0),3)</f>
        <v>#N/A</v>
      </c>
      <c r="V592" s="8" t="str">
        <f t="array" ref="V592">INDEX(Subject!$A:$I,MATCH(RANDBETWEEN(1,16),Subject!$B:$B,0),3)</f>
        <v>#N/A</v>
      </c>
      <c r="W592" s="8" t="str">
        <f t="array" ref="W592">INDEX(Subject!$A:$I,MATCH(RANDBETWEEN(1,16),Subject!$B:$B,0),3)</f>
        <v/>
      </c>
      <c r="X592" s="8" t="str">
        <f t="array" ref="X592">INDEX(Subject!$A:$I,MATCH(RANDBETWEEN(1,16),Subject!$B:$B,0),3)</f>
        <v>#N/A</v>
      </c>
      <c r="Y592" s="8" t="str">
        <f t="array" ref="Y592">INDEX(Subject!$A:$I,MATCH(RANDBETWEEN(1,16),Subject!$B:$B,0),3)</f>
        <v>#N/A</v>
      </c>
      <c r="Z592" s="8" t="str">
        <f t="array" ref="Z592">INDEX(Subject!$A:$I,MATCH(RANDBETWEEN(1,16),Subject!$B:$B,0),3)</f>
        <v>#N/A</v>
      </c>
      <c r="AA592" s="8" t="str">
        <f t="array" ref="AA592">INDEX(Subject!$A:$I,MATCH(RANDBETWEEN(1,16),Subject!$B:$B,0),3)</f>
        <v>#N/A</v>
      </c>
      <c r="AB592" s="8" t="str">
        <f t="array" ref="AB592">INDEX(Subject!$A:$I,MATCH(RANDBETWEEN(1,16),Subject!$B:$B,0),3)</f>
        <v>#N/A</v>
      </c>
      <c r="AC592" s="8" t="str">
        <f t="array" ref="AC592">INDEX(Subject!$A:$I,MATCH(RANDBETWEEN(1,16),Subject!$B:$B,0),3)</f>
        <v>#N/A</v>
      </c>
      <c r="AD592" s="8" t="str">
        <f t="array" ref="AD592">INDEX(Subject!$A:$I,MATCH(RANDBETWEEN(1,16),Subject!$B:$B,0),3)</f>
        <v>#N/A</v>
      </c>
      <c r="AE592" s="8" t="str">
        <f t="array" ref="AE592">INDEX(Subject!$A:$I,MATCH(RANDBETWEEN(1,16),Subject!$B:$B,0),3)</f>
        <v>#N/A</v>
      </c>
      <c r="AF592" s="8" t="str">
        <f t="array" ref="AF592">INDEX(Subject!$A:$I,MATCH(RANDBETWEEN(1,16),Subject!$B:$B,0),3)</f>
        <v>#N/A</v>
      </c>
      <c r="AG592" s="8" t="str">
        <f t="array" ref="AG592">INDEX(Subject!$A:$I,MATCH(RANDBETWEEN(1,16),Subject!$B:$B,0),3)</f>
        <v>#N/A</v>
      </c>
      <c r="AH592" s="8" t="str">
        <f t="array" ref="AH592">INDEX(Subject!$A:$I,MATCH(RANDBETWEEN(1,16),Subject!$B:$B,0),3)</f>
        <v>#N/A</v>
      </c>
      <c r="AI592" s="8" t="str">
        <f t="array" ref="AI592">INDEX(Subject!$A:$I,MATCH(RANDBETWEEN(1,16),Subject!$B:$B,0),3)</f>
        <v>#N/A</v>
      </c>
      <c r="AJ592" s="8" t="str">
        <f t="array" ref="AJ592">INDEX(Subject!$A:$I,MATCH(RANDBETWEEN(1,16),Subject!$B:$B,0),3)</f>
        <v>#N/A</v>
      </c>
      <c r="AK592" s="8" t="str">
        <f t="array" ref="AK592">INDEX(Subject!$A:$I,MATCH(RANDBETWEEN(1,16),Subject!$B:$B,0),3)</f>
        <v>#N/A</v>
      </c>
      <c r="AL592" s="8" t="str">
        <f t="array" ref="AL592">INDEX(Subject!$A:$I,MATCH(RANDBETWEEN(1,16),Subject!$B:$B,0),3)</f>
        <v>#N/A</v>
      </c>
      <c r="AM592" s="18">
        <f t="shared" si="4"/>
        <v>46092.33333</v>
      </c>
      <c r="AN592" s="19">
        <f t="shared" ref="AN592:BZ592" si="592">$A592+C$1</f>
        <v>46092.35417</v>
      </c>
      <c r="AO592" s="19">
        <f t="shared" si="592"/>
        <v>46092.375</v>
      </c>
      <c r="AP592" s="19">
        <f t="shared" si="592"/>
        <v>46092.39583</v>
      </c>
      <c r="AQ592" s="19">
        <f t="shared" si="592"/>
        <v>46092.41667</v>
      </c>
      <c r="AR592" s="19">
        <f t="shared" si="592"/>
        <v>46092.4375</v>
      </c>
      <c r="AS592" s="19">
        <f t="shared" si="592"/>
        <v>46092.45833</v>
      </c>
      <c r="AT592" s="19">
        <f t="shared" si="592"/>
        <v>46092.47917</v>
      </c>
      <c r="AU592" s="19">
        <f t="shared" si="592"/>
        <v>46092.5</v>
      </c>
      <c r="AV592" s="19">
        <f t="shared" si="592"/>
        <v>46092.52083</v>
      </c>
      <c r="AW592" s="19">
        <f t="shared" si="592"/>
        <v>46092.54167</v>
      </c>
      <c r="AX592" s="19">
        <f t="shared" si="592"/>
        <v>46092.5625</v>
      </c>
      <c r="AY592" s="19">
        <f t="shared" si="592"/>
        <v>46092.58333</v>
      </c>
      <c r="AZ592" s="19">
        <f t="shared" si="592"/>
        <v>46092.60417</v>
      </c>
      <c r="BA592" s="19">
        <f t="shared" si="592"/>
        <v>46092.625</v>
      </c>
      <c r="BB592" s="19">
        <f t="shared" si="592"/>
        <v>46092.64583</v>
      </c>
      <c r="BC592" s="19">
        <f t="shared" si="592"/>
        <v>46092.66667</v>
      </c>
      <c r="BD592" s="19">
        <f t="shared" si="592"/>
        <v>46092.6875</v>
      </c>
      <c r="BE592" s="19">
        <f t="shared" si="592"/>
        <v>46092.70833</v>
      </c>
      <c r="BF592" s="19">
        <f t="shared" si="592"/>
        <v>46092.72917</v>
      </c>
      <c r="BG592" s="19">
        <f t="shared" si="592"/>
        <v>46092.75</v>
      </c>
      <c r="BH592" s="19">
        <f t="shared" si="592"/>
        <v>46092.77083</v>
      </c>
      <c r="BI592" s="19">
        <f t="shared" si="592"/>
        <v>46092.79167</v>
      </c>
      <c r="BJ592" s="19">
        <f t="shared" si="592"/>
        <v>46092.8125</v>
      </c>
      <c r="BK592" s="19">
        <f t="shared" si="592"/>
        <v>46092.83333</v>
      </c>
      <c r="BL592" s="19">
        <f t="shared" si="592"/>
        <v>46092.85417</v>
      </c>
      <c r="BM592" s="19">
        <f t="shared" si="592"/>
        <v>46092.875</v>
      </c>
      <c r="BN592" s="19">
        <f t="shared" si="592"/>
        <v>46092.89583</v>
      </c>
      <c r="BO592" s="19">
        <f t="shared" si="592"/>
        <v>46092.91667</v>
      </c>
      <c r="BP592" s="19">
        <f t="shared" si="592"/>
        <v>46092.9375</v>
      </c>
      <c r="BQ592" s="19">
        <f t="shared" si="592"/>
        <v>46092.95833</v>
      </c>
      <c r="BR592" s="19">
        <f t="shared" si="592"/>
        <v>46092.97917</v>
      </c>
      <c r="BS592" s="19">
        <f t="shared" si="592"/>
        <v>46093</v>
      </c>
      <c r="BT592" s="19">
        <f t="shared" si="592"/>
        <v>46093.02083</v>
      </c>
      <c r="BU592" s="19">
        <f t="shared" si="592"/>
        <v>46093.04167</v>
      </c>
      <c r="BV592" s="19">
        <f t="shared" si="592"/>
        <v>46093.0625</v>
      </c>
      <c r="BW592" s="19">
        <f t="shared" si="592"/>
        <v>46093.08333</v>
      </c>
      <c r="BX592" s="19">
        <f t="shared" si="592"/>
        <v>46092</v>
      </c>
      <c r="BY592" s="19">
        <f t="shared" si="592"/>
        <v>46092</v>
      </c>
      <c r="BZ592" s="19">
        <f t="shared" si="592"/>
        <v>46092</v>
      </c>
    </row>
    <row r="593" ht="14.25" customHeight="1">
      <c r="A593" s="17">
        <v>46093.0</v>
      </c>
      <c r="B593" s="2" t="str">
        <f t="array" ref="B593">IF(NOW()&gt;AM593,"",IF(AND((WEEKDAY($A593)+$B$2)&gt;1,((WEEKDAY($A593)+$T$2)&lt;7),(WEEKDAY($A593)&lt;&gt;1)),"work",(INDEX(Subject!$A:$I,MATCH(RANDBETWEEN(1,(MAX(Subject!$B:$B))),Subject!$B:$B,0),3))))</f>
        <v/>
      </c>
      <c r="C593" s="2" t="str">
        <f t="array" ref="C593">IF(NOW()&gt;AN593,"",IF(AND((WEEKDAY($A593)+$B$2)&gt;1,((WEEKDAY($A593)+$T$2)&lt;7),(WEEKDAY($A593)&lt;&gt;1)),"work",(INDEX(Subject!$A:$I,MATCH(RANDBETWEEN(1,(MAX(Subject!$B:$B))),Subject!$B:$B,0),3))))</f>
        <v/>
      </c>
      <c r="D593" s="2" t="str">
        <f t="array" ref="D593">IF(NOW()&gt;AO593,"",IF(AND((WEEKDAY($A593)+$B$2)&gt;1,((WEEKDAY($A593)+$T$2)&lt;7),(WEEKDAY($A593)&lt;&gt;1)),"work",(INDEX(Subject!$A:$I,MATCH(RANDBETWEEN(1,(MAX(Subject!$B:$B))),Subject!$B:$B,0),3))))</f>
        <v/>
      </c>
      <c r="E593" s="2" t="str">
        <f t="array" ref="E593">IF(NOW()&gt;AP593,"",IF(AND((WEEKDAY($A593)+$B$2)&gt;1,((WEEKDAY($A593)+$T$2)&lt;7),(WEEKDAY($A593)&lt;&gt;1)),"work",(INDEX(Subject!$A:$I,MATCH(RANDBETWEEN(1,(MAX(Subject!$B:$B))),Subject!$B:$B,0),3))))</f>
        <v/>
      </c>
      <c r="F593" s="2" t="str">
        <f t="array" ref="F593">IF(NOW()&gt;AQ593,"",IF(AND((WEEKDAY($A593)+$B$2)&gt;1,((WEEKDAY($A593)+$T$2)&lt;7),(WEEKDAY($A593)&lt;&gt;1)),"work",(INDEX(Subject!$A:$I,MATCH(RANDBETWEEN(1,(MAX(Subject!$B:$B))),Subject!$B:$B,0),3))))</f>
        <v/>
      </c>
      <c r="G593" s="2" t="str">
        <f t="array" ref="G593">IF(NOW()&gt;AR593,"",IF(AND((WEEKDAY($A593)+$B$2)&gt;1,((WEEKDAY($A593)+$T$2)&lt;7),(WEEKDAY($A593)&lt;&gt;1)),"work",(INDEX(Subject!$A:$I,MATCH(RANDBETWEEN(1,(MAX(Subject!$B:$B))),Subject!$B:$B,0),3))))</f>
        <v/>
      </c>
      <c r="H593" s="2" t="str">
        <f t="array" ref="H593">IF(NOW()&gt;AS593,"",IF(AND((WEEKDAY($A593)+$B$2)&gt;1,((WEEKDAY($A593)+$T$2)&lt;7),(WEEKDAY($A593)&lt;&gt;1)),"work",(INDEX(Subject!$A:$I,MATCH(RANDBETWEEN(1,(MAX(Subject!$B:$B))),Subject!$B:$B,0),3))))</f>
        <v/>
      </c>
      <c r="I593" s="2" t="str">
        <f t="array" ref="I593">IF(NOW()&gt;AT593,"",IF(AND((WEEKDAY($A593)+$B$2)&gt;1,((WEEKDAY($A593)+$T$2)&lt;7),(WEEKDAY($A593)&lt;&gt;1)),"work",(INDEX(Subject!$A:$I,MATCH(RANDBETWEEN(1,(MAX(Subject!$B:$B))),Subject!$B:$B,0),3))))</f>
        <v/>
      </c>
      <c r="J593" s="2" t="str">
        <f t="array" ref="J593">IF(NOW()&gt;AU593,"",IF(AND((WEEKDAY($A593)+$B$2)&gt;1,((WEEKDAY($A593)+$T$2)&lt;7),(WEEKDAY($A593)&lt;&gt;1)),"work",(INDEX(Subject!$A:$I,MATCH(RANDBETWEEN(1,(MAX(Subject!$B:$B))),Subject!$B:$B,0),3))))</f>
        <v/>
      </c>
      <c r="K593" s="2" t="str">
        <f t="array" ref="K593">IF(NOW()&gt;AV593,"",IF(AND((WEEKDAY($A593)+$B$2)&gt;1,((WEEKDAY($A593)+$T$2)&lt;7),(WEEKDAY($A593)&lt;&gt;1)),"work",(INDEX(Subject!$A:$I,MATCH(RANDBETWEEN(1,(MAX(Subject!$B:$B))),Subject!$B:$B,0),3))))</f>
        <v/>
      </c>
      <c r="L593" s="2" t="str">
        <f t="array" ref="L593">IF(NOW()&gt;AW593,"",IF(AND((WEEKDAY($A593)+$B$2)&gt;1,((WEEKDAY($A593)+$T$2)&lt;7),(WEEKDAY($A593)&lt;&gt;1)),"work",(INDEX(Subject!$A:$I,MATCH(RANDBETWEEN(1,(MAX(Subject!$B:$B))),Subject!$B:$B,0),3))))</f>
        <v/>
      </c>
      <c r="M593" s="2" t="str">
        <f t="array" ref="M593">IF(NOW()&gt;AX593,"",IF(AND((WEEKDAY($A593)+$B$2)&gt;1,((WEEKDAY($A593)+$T$2)&lt;7),(WEEKDAY($A593)&lt;&gt;1)),"work",(INDEX(Subject!$A:$I,MATCH(RANDBETWEEN(1,(MAX(Subject!$B:$B))),Subject!$B:$B,0),3))))</f>
        <v/>
      </c>
      <c r="N593" s="2" t="str">
        <f t="array" ref="N593">IF(NOW()&gt;AY593,"",IF(AND((WEEKDAY($A593)+$B$2)&gt;1,((WEEKDAY($A593)+$T$2)&lt;7),(WEEKDAY($A593)&lt;&gt;1)),"work",(INDEX(Subject!$A:$I,MATCH(RANDBETWEEN(1,(MAX(Subject!$B:$B))),Subject!$B:$B,0),3))))</f>
        <v/>
      </c>
      <c r="O593" s="2" t="str">
        <f t="array" ref="O593">IF(NOW()&gt;AZ593,"",IF(AND((WEEKDAY($A593)+$B$2)&gt;1,((WEEKDAY($A593)+$T$2)&lt;7),(WEEKDAY($A593)&lt;&gt;1)),"work",(INDEX(Subject!$A:$I,MATCH(RANDBETWEEN(1,(MAX(Subject!$B:$B))),Subject!$B:$B,0),3))))</f>
        <v/>
      </c>
      <c r="P593" s="2" t="str">
        <f t="array" ref="P593">IF(NOW()&gt;BA593,"",IF(AND((WEEKDAY($A593)+$B$2)&gt;1,((WEEKDAY($A593)+$T$2)&lt;7),(WEEKDAY($A593)&lt;&gt;1)),"work",(INDEX(Subject!$A:$I,MATCH(RANDBETWEEN(1,(MAX(Subject!$B:$B))),Subject!$B:$B,0),3))))</f>
        <v/>
      </c>
      <c r="Q593" s="2" t="str">
        <f t="array" ref="Q593">IF(NOW()&gt;BB593,"",IF(AND((WEEKDAY($A593)+$B$2)&gt;1,((WEEKDAY($A593)+$T$2)&lt;7),(WEEKDAY($A593)&lt;&gt;1)),"work",(INDEX(Subject!$A:$I,MATCH(RANDBETWEEN(1,(MAX(Subject!$B:$B))),Subject!$B:$B,0),3))))</f>
        <v/>
      </c>
      <c r="R593" s="2" t="str">
        <f t="array" ref="R593">IF(NOW()&gt;BC593,"",IF(AND((WEEKDAY($A593)+$B$2)&gt;1,((WEEKDAY($A593)+$T$2)&lt;7),(WEEKDAY($A593)&lt;&gt;1)),"work",(INDEX(Subject!$A:$I,MATCH(RANDBETWEEN(1,(MAX(Subject!$B:$B))),Subject!$B:$B,0),3))))</f>
        <v/>
      </c>
      <c r="S593" s="2" t="str">
        <f t="array" ref="S593">IF(NOW()&gt;BD593,"",IF(AND((WEEKDAY($A593)+$B$2)&gt;1,((WEEKDAY($A593)+$T$2)&lt;7),(WEEKDAY($A593)&lt;&gt;1)),"work",(INDEX(Subject!$A:$I,MATCH(RANDBETWEEN(1,(MAX(Subject!$B:$B))),Subject!$B:$B,0),3))))</f>
        <v/>
      </c>
      <c r="T593" s="2" t="str">
        <f t="array" ref="T593">IF(NOW()&gt;BE593,"",IF(AND((WEEKDAY($A593)+$B$2)&gt;1,((WEEKDAY($A593)+$T$2)&lt;7),(WEEKDAY($A593)&lt;&gt;1)),"work",(INDEX(Subject!$A:$I,MATCH(RANDBETWEEN(1,(MAX(Subject!$B:$B))),Subject!$B:$B,0),3))))</f>
        <v/>
      </c>
      <c r="U593" s="8" t="str">
        <f t="array" ref="U593">INDEX(Subject!$A:$I,MATCH(RANDBETWEEN(1,16),Subject!$B:$B,0),3)</f>
        <v>#N/A</v>
      </c>
      <c r="V593" s="8" t="str">
        <f t="array" ref="V593">INDEX(Subject!$A:$I,MATCH(RANDBETWEEN(1,16),Subject!$B:$B,0),3)</f>
        <v>#N/A</v>
      </c>
      <c r="W593" s="8" t="str">
        <f t="array" ref="W593">INDEX(Subject!$A:$I,MATCH(RANDBETWEEN(1,16),Subject!$B:$B,0),3)</f>
        <v>#N/A</v>
      </c>
      <c r="X593" s="8" t="str">
        <f t="array" ref="X593">INDEX(Subject!$A:$I,MATCH(RANDBETWEEN(1,16),Subject!$B:$B,0),3)</f>
        <v>#N/A</v>
      </c>
      <c r="Y593" s="8" t="str">
        <f t="array" ref="Y593">INDEX(Subject!$A:$I,MATCH(RANDBETWEEN(1,16),Subject!$B:$B,0),3)</f>
        <v>#N/A</v>
      </c>
      <c r="Z593" s="8" t="str">
        <f t="array" ref="Z593">INDEX(Subject!$A:$I,MATCH(RANDBETWEEN(1,16),Subject!$B:$B,0),3)</f>
        <v>#N/A</v>
      </c>
      <c r="AA593" s="8" t="str">
        <f t="array" ref="AA593">INDEX(Subject!$A:$I,MATCH(RANDBETWEEN(1,16),Subject!$B:$B,0),3)</f>
        <v>#N/A</v>
      </c>
      <c r="AB593" s="8" t="str">
        <f t="array" ref="AB593">INDEX(Subject!$A:$I,MATCH(RANDBETWEEN(1,16),Subject!$B:$B,0),3)</f>
        <v/>
      </c>
      <c r="AC593" s="8" t="str">
        <f t="array" ref="AC593">INDEX(Subject!$A:$I,MATCH(RANDBETWEEN(1,16),Subject!$B:$B,0),3)</f>
        <v>#N/A</v>
      </c>
      <c r="AD593" s="8" t="str">
        <f t="array" ref="AD593">INDEX(Subject!$A:$I,MATCH(RANDBETWEEN(1,16),Subject!$B:$B,0),3)</f>
        <v>#N/A</v>
      </c>
      <c r="AE593" s="8" t="str">
        <f t="array" ref="AE593">INDEX(Subject!$A:$I,MATCH(RANDBETWEEN(1,16),Subject!$B:$B,0),3)</f>
        <v>#N/A</v>
      </c>
      <c r="AF593" s="8" t="str">
        <f t="array" ref="AF593">INDEX(Subject!$A:$I,MATCH(RANDBETWEEN(1,16),Subject!$B:$B,0),3)</f>
        <v>#N/A</v>
      </c>
      <c r="AG593" s="8" t="str">
        <f t="array" ref="AG593">INDEX(Subject!$A:$I,MATCH(RANDBETWEEN(1,16),Subject!$B:$B,0),3)</f>
        <v>#N/A</v>
      </c>
      <c r="AH593" s="8" t="str">
        <f t="array" ref="AH593">INDEX(Subject!$A:$I,MATCH(RANDBETWEEN(1,16),Subject!$B:$B,0),3)</f>
        <v>#N/A</v>
      </c>
      <c r="AI593" s="8" t="str">
        <f t="array" ref="AI593">INDEX(Subject!$A:$I,MATCH(RANDBETWEEN(1,16),Subject!$B:$B,0),3)</f>
        <v>#N/A</v>
      </c>
      <c r="AJ593" s="8" t="str">
        <f t="array" ref="AJ593">INDEX(Subject!$A:$I,MATCH(RANDBETWEEN(1,16),Subject!$B:$B,0),3)</f>
        <v>#N/A</v>
      </c>
      <c r="AK593" s="8" t="str">
        <f t="array" ref="AK593">INDEX(Subject!$A:$I,MATCH(RANDBETWEEN(1,16),Subject!$B:$B,0),3)</f>
        <v>#N/A</v>
      </c>
      <c r="AL593" s="8" t="str">
        <f t="array" ref="AL593">INDEX(Subject!$A:$I,MATCH(RANDBETWEEN(1,16),Subject!$B:$B,0),3)</f>
        <v>#N/A</v>
      </c>
      <c r="AM593" s="18">
        <f t="shared" si="4"/>
        <v>46093.33333</v>
      </c>
      <c r="AN593" s="19">
        <f t="shared" ref="AN593:BZ593" si="593">$A593+C$1</f>
        <v>46093.35417</v>
      </c>
      <c r="AO593" s="19">
        <f t="shared" si="593"/>
        <v>46093.375</v>
      </c>
      <c r="AP593" s="19">
        <f t="shared" si="593"/>
        <v>46093.39583</v>
      </c>
      <c r="AQ593" s="19">
        <f t="shared" si="593"/>
        <v>46093.41667</v>
      </c>
      <c r="AR593" s="19">
        <f t="shared" si="593"/>
        <v>46093.4375</v>
      </c>
      <c r="AS593" s="19">
        <f t="shared" si="593"/>
        <v>46093.45833</v>
      </c>
      <c r="AT593" s="19">
        <f t="shared" si="593"/>
        <v>46093.47917</v>
      </c>
      <c r="AU593" s="19">
        <f t="shared" si="593"/>
        <v>46093.5</v>
      </c>
      <c r="AV593" s="19">
        <f t="shared" si="593"/>
        <v>46093.52083</v>
      </c>
      <c r="AW593" s="19">
        <f t="shared" si="593"/>
        <v>46093.54167</v>
      </c>
      <c r="AX593" s="19">
        <f t="shared" si="593"/>
        <v>46093.5625</v>
      </c>
      <c r="AY593" s="19">
        <f t="shared" si="593"/>
        <v>46093.58333</v>
      </c>
      <c r="AZ593" s="19">
        <f t="shared" si="593"/>
        <v>46093.60417</v>
      </c>
      <c r="BA593" s="19">
        <f t="shared" si="593"/>
        <v>46093.625</v>
      </c>
      <c r="BB593" s="19">
        <f t="shared" si="593"/>
        <v>46093.64583</v>
      </c>
      <c r="BC593" s="19">
        <f t="shared" si="593"/>
        <v>46093.66667</v>
      </c>
      <c r="BD593" s="19">
        <f t="shared" si="593"/>
        <v>46093.6875</v>
      </c>
      <c r="BE593" s="19">
        <f t="shared" si="593"/>
        <v>46093.70833</v>
      </c>
      <c r="BF593" s="19">
        <f t="shared" si="593"/>
        <v>46093.72917</v>
      </c>
      <c r="BG593" s="19">
        <f t="shared" si="593"/>
        <v>46093.75</v>
      </c>
      <c r="BH593" s="19">
        <f t="shared" si="593"/>
        <v>46093.77083</v>
      </c>
      <c r="BI593" s="19">
        <f t="shared" si="593"/>
        <v>46093.79167</v>
      </c>
      <c r="BJ593" s="19">
        <f t="shared" si="593"/>
        <v>46093.8125</v>
      </c>
      <c r="BK593" s="19">
        <f t="shared" si="593"/>
        <v>46093.83333</v>
      </c>
      <c r="BL593" s="19">
        <f t="shared" si="593"/>
        <v>46093.85417</v>
      </c>
      <c r="BM593" s="19">
        <f t="shared" si="593"/>
        <v>46093.875</v>
      </c>
      <c r="BN593" s="19">
        <f t="shared" si="593"/>
        <v>46093.89583</v>
      </c>
      <c r="BO593" s="19">
        <f t="shared" si="593"/>
        <v>46093.91667</v>
      </c>
      <c r="BP593" s="19">
        <f t="shared" si="593"/>
        <v>46093.9375</v>
      </c>
      <c r="BQ593" s="19">
        <f t="shared" si="593"/>
        <v>46093.95833</v>
      </c>
      <c r="BR593" s="19">
        <f t="shared" si="593"/>
        <v>46093.97917</v>
      </c>
      <c r="BS593" s="19">
        <f t="shared" si="593"/>
        <v>46094</v>
      </c>
      <c r="BT593" s="19">
        <f t="shared" si="593"/>
        <v>46094.02083</v>
      </c>
      <c r="BU593" s="19">
        <f t="shared" si="593"/>
        <v>46094.04167</v>
      </c>
      <c r="BV593" s="19">
        <f t="shared" si="593"/>
        <v>46094.0625</v>
      </c>
      <c r="BW593" s="19">
        <f t="shared" si="593"/>
        <v>46094.08333</v>
      </c>
      <c r="BX593" s="19">
        <f t="shared" si="593"/>
        <v>46093</v>
      </c>
      <c r="BY593" s="19">
        <f t="shared" si="593"/>
        <v>46093</v>
      </c>
      <c r="BZ593" s="19">
        <f t="shared" si="593"/>
        <v>46093</v>
      </c>
    </row>
    <row r="594" ht="14.25" customHeight="1">
      <c r="A594" s="17">
        <v>46094.0</v>
      </c>
      <c r="B594" s="2" t="str">
        <f t="array" ref="B594">IF(NOW()&gt;AM594,"",IF(AND((WEEKDAY($A594)+$B$2)&gt;1,((WEEKDAY($A594)+$T$2)&lt;7),(WEEKDAY($A594)&lt;&gt;1)),"work",(INDEX(Subject!$A:$I,MATCH(RANDBETWEEN(1,(MAX(Subject!$B:$B))),Subject!$B:$B,0),3))))</f>
        <v/>
      </c>
      <c r="C594" s="2" t="str">
        <f t="array" ref="C594">IF(NOW()&gt;AN594,"",IF(AND((WEEKDAY($A594)+$B$2)&gt;1,((WEEKDAY($A594)+$T$2)&lt;7),(WEEKDAY($A594)&lt;&gt;1)),"work",(INDEX(Subject!$A:$I,MATCH(RANDBETWEEN(1,(MAX(Subject!$B:$B))),Subject!$B:$B,0),3))))</f>
        <v/>
      </c>
      <c r="D594" s="2" t="str">
        <f t="array" ref="D594">IF(NOW()&gt;AO594,"",IF(AND((WEEKDAY($A594)+$B$2)&gt;1,((WEEKDAY($A594)+$T$2)&lt;7),(WEEKDAY($A594)&lt;&gt;1)),"work",(INDEX(Subject!$A:$I,MATCH(RANDBETWEEN(1,(MAX(Subject!$B:$B))),Subject!$B:$B,0),3))))</f>
        <v/>
      </c>
      <c r="E594" s="2" t="str">
        <f t="array" ref="E594">IF(NOW()&gt;AP594,"",IF(AND((WEEKDAY($A594)+$B$2)&gt;1,((WEEKDAY($A594)+$T$2)&lt;7),(WEEKDAY($A594)&lt;&gt;1)),"work",(INDEX(Subject!$A:$I,MATCH(RANDBETWEEN(1,(MAX(Subject!$B:$B))),Subject!$B:$B,0),3))))</f>
        <v/>
      </c>
      <c r="F594" s="2" t="str">
        <f t="array" ref="F594">IF(NOW()&gt;AQ594,"",IF(AND((WEEKDAY($A594)+$B$2)&gt;1,((WEEKDAY($A594)+$T$2)&lt;7),(WEEKDAY($A594)&lt;&gt;1)),"work",(INDEX(Subject!$A:$I,MATCH(RANDBETWEEN(1,(MAX(Subject!$B:$B))),Subject!$B:$B,0),3))))</f>
        <v/>
      </c>
      <c r="G594" s="2" t="str">
        <f t="array" ref="G594">IF(NOW()&gt;AR594,"",IF(AND((WEEKDAY($A594)+$B$2)&gt;1,((WEEKDAY($A594)+$T$2)&lt;7),(WEEKDAY($A594)&lt;&gt;1)),"work",(INDEX(Subject!$A:$I,MATCH(RANDBETWEEN(1,(MAX(Subject!$B:$B))),Subject!$B:$B,0),3))))</f>
        <v/>
      </c>
      <c r="H594" s="2" t="str">
        <f t="array" ref="H594">IF(NOW()&gt;AS594,"",IF(AND((WEEKDAY($A594)+$B$2)&gt;1,((WEEKDAY($A594)+$T$2)&lt;7),(WEEKDAY($A594)&lt;&gt;1)),"work",(INDEX(Subject!$A:$I,MATCH(RANDBETWEEN(1,(MAX(Subject!$B:$B))),Subject!$B:$B,0),3))))</f>
        <v/>
      </c>
      <c r="I594" s="2" t="str">
        <f t="array" ref="I594">IF(NOW()&gt;AT594,"",IF(AND((WEEKDAY($A594)+$B$2)&gt;1,((WEEKDAY($A594)+$T$2)&lt;7),(WEEKDAY($A594)&lt;&gt;1)),"work",(INDEX(Subject!$A:$I,MATCH(RANDBETWEEN(1,(MAX(Subject!$B:$B))),Subject!$B:$B,0),3))))</f>
        <v/>
      </c>
      <c r="J594" s="2" t="str">
        <f t="array" ref="J594">IF(NOW()&gt;AU594,"",IF(AND((WEEKDAY($A594)+$B$2)&gt;1,((WEEKDAY($A594)+$T$2)&lt;7),(WEEKDAY($A594)&lt;&gt;1)),"work",(INDEX(Subject!$A:$I,MATCH(RANDBETWEEN(1,(MAX(Subject!$B:$B))),Subject!$B:$B,0),3))))</f>
        <v/>
      </c>
      <c r="K594" s="2" t="str">
        <f t="array" ref="K594">IF(NOW()&gt;AV594,"",IF(AND((WEEKDAY($A594)+$B$2)&gt;1,((WEEKDAY($A594)+$T$2)&lt;7),(WEEKDAY($A594)&lt;&gt;1)),"work",(INDEX(Subject!$A:$I,MATCH(RANDBETWEEN(1,(MAX(Subject!$B:$B))),Subject!$B:$B,0),3))))</f>
        <v/>
      </c>
      <c r="L594" s="2" t="str">
        <f t="array" ref="L594">IF(NOW()&gt;AW594,"",IF(AND((WEEKDAY($A594)+$B$2)&gt;1,((WEEKDAY($A594)+$T$2)&lt;7),(WEEKDAY($A594)&lt;&gt;1)),"work",(INDEX(Subject!$A:$I,MATCH(RANDBETWEEN(1,(MAX(Subject!$B:$B))),Subject!$B:$B,0),3))))</f>
        <v/>
      </c>
      <c r="M594" s="2" t="str">
        <f t="array" ref="M594">IF(NOW()&gt;AX594,"",IF(AND((WEEKDAY($A594)+$B$2)&gt;1,((WEEKDAY($A594)+$T$2)&lt;7),(WEEKDAY($A594)&lt;&gt;1)),"work",(INDEX(Subject!$A:$I,MATCH(RANDBETWEEN(1,(MAX(Subject!$B:$B))),Subject!$B:$B,0),3))))</f>
        <v/>
      </c>
      <c r="N594" s="2" t="str">
        <f t="array" ref="N594">IF(NOW()&gt;AY594,"",IF(AND((WEEKDAY($A594)+$B$2)&gt;1,((WEEKDAY($A594)+$T$2)&lt;7),(WEEKDAY($A594)&lt;&gt;1)),"work",(INDEX(Subject!$A:$I,MATCH(RANDBETWEEN(1,(MAX(Subject!$B:$B))),Subject!$B:$B,0),3))))</f>
        <v/>
      </c>
      <c r="O594" s="2" t="str">
        <f t="array" ref="O594">IF(NOW()&gt;AZ594,"",IF(AND((WEEKDAY($A594)+$B$2)&gt;1,((WEEKDAY($A594)+$T$2)&lt;7),(WEEKDAY($A594)&lt;&gt;1)),"work",(INDEX(Subject!$A:$I,MATCH(RANDBETWEEN(1,(MAX(Subject!$B:$B))),Subject!$B:$B,0),3))))</f>
        <v/>
      </c>
      <c r="P594" s="2" t="str">
        <f t="array" ref="P594">IF(NOW()&gt;BA594,"",IF(AND((WEEKDAY($A594)+$B$2)&gt;1,((WEEKDAY($A594)+$T$2)&lt;7),(WEEKDAY($A594)&lt;&gt;1)),"work",(INDEX(Subject!$A:$I,MATCH(RANDBETWEEN(1,(MAX(Subject!$B:$B))),Subject!$B:$B,0),3))))</f>
        <v/>
      </c>
      <c r="Q594" s="2" t="str">
        <f t="array" ref="Q594">IF(NOW()&gt;BB594,"",IF(AND((WEEKDAY($A594)+$B$2)&gt;1,((WEEKDAY($A594)+$T$2)&lt;7),(WEEKDAY($A594)&lt;&gt;1)),"work",(INDEX(Subject!$A:$I,MATCH(RANDBETWEEN(1,(MAX(Subject!$B:$B))),Subject!$B:$B,0),3))))</f>
        <v/>
      </c>
      <c r="R594" s="2" t="str">
        <f t="array" ref="R594">IF(NOW()&gt;BC594,"",IF(AND((WEEKDAY($A594)+$B$2)&gt;1,((WEEKDAY($A594)+$T$2)&lt;7),(WEEKDAY($A594)&lt;&gt;1)),"work",(INDEX(Subject!$A:$I,MATCH(RANDBETWEEN(1,(MAX(Subject!$B:$B))),Subject!$B:$B,0),3))))</f>
        <v/>
      </c>
      <c r="S594" s="2" t="str">
        <f t="array" ref="S594">IF(NOW()&gt;BD594,"",IF(AND((WEEKDAY($A594)+$B$2)&gt;1,((WEEKDAY($A594)+$T$2)&lt;7),(WEEKDAY($A594)&lt;&gt;1)),"work",(INDEX(Subject!$A:$I,MATCH(RANDBETWEEN(1,(MAX(Subject!$B:$B))),Subject!$B:$B,0),3))))</f>
        <v/>
      </c>
      <c r="T594" s="2" t="str">
        <f t="array" ref="T594">IF(NOW()&gt;BE594,"",IF(AND((WEEKDAY($A594)+$B$2)&gt;1,((WEEKDAY($A594)+$T$2)&lt;7),(WEEKDAY($A594)&lt;&gt;1)),"work",(INDEX(Subject!$A:$I,MATCH(RANDBETWEEN(1,(MAX(Subject!$B:$B))),Subject!$B:$B,0),3))))</f>
        <v/>
      </c>
      <c r="U594" s="8" t="str">
        <f t="array" ref="U594">INDEX(Subject!$A:$I,MATCH(RANDBETWEEN(1,16),Subject!$B:$B,0),3)</f>
        <v>#N/A</v>
      </c>
      <c r="V594" s="8" t="str">
        <f t="array" ref="V594">INDEX(Subject!$A:$I,MATCH(RANDBETWEEN(1,16),Subject!$B:$B,0),3)</f>
        <v>#N/A</v>
      </c>
      <c r="W594" s="8" t="str">
        <f t="array" ref="W594">INDEX(Subject!$A:$I,MATCH(RANDBETWEEN(1,16),Subject!$B:$B,0),3)</f>
        <v/>
      </c>
      <c r="X594" s="8" t="str">
        <f t="array" ref="X594">INDEX(Subject!$A:$I,MATCH(RANDBETWEEN(1,16),Subject!$B:$B,0),3)</f>
        <v>#N/A</v>
      </c>
      <c r="Y594" s="8" t="str">
        <f t="array" ref="Y594">INDEX(Subject!$A:$I,MATCH(RANDBETWEEN(1,16),Subject!$B:$B,0),3)</f>
        <v>#N/A</v>
      </c>
      <c r="Z594" s="8" t="str">
        <f t="array" ref="Z594">INDEX(Subject!$A:$I,MATCH(RANDBETWEEN(1,16),Subject!$B:$B,0),3)</f>
        <v/>
      </c>
      <c r="AA594" s="8" t="str">
        <f t="array" ref="AA594">INDEX(Subject!$A:$I,MATCH(RANDBETWEEN(1,16),Subject!$B:$B,0),3)</f>
        <v>#N/A</v>
      </c>
      <c r="AB594" s="8" t="str">
        <f t="array" ref="AB594">INDEX(Subject!$A:$I,MATCH(RANDBETWEEN(1,16),Subject!$B:$B,0),3)</f>
        <v>#N/A</v>
      </c>
      <c r="AC594" s="8" t="str">
        <f t="array" ref="AC594">INDEX(Subject!$A:$I,MATCH(RANDBETWEEN(1,16),Subject!$B:$B,0),3)</f>
        <v>#N/A</v>
      </c>
      <c r="AD594" s="8" t="str">
        <f t="array" ref="AD594">INDEX(Subject!$A:$I,MATCH(RANDBETWEEN(1,16),Subject!$B:$B,0),3)</f>
        <v>#N/A</v>
      </c>
      <c r="AE594" s="8" t="str">
        <f t="array" ref="AE594">INDEX(Subject!$A:$I,MATCH(RANDBETWEEN(1,16),Subject!$B:$B,0),3)</f>
        <v>#N/A</v>
      </c>
      <c r="AF594" s="8" t="str">
        <f t="array" ref="AF594">INDEX(Subject!$A:$I,MATCH(RANDBETWEEN(1,16),Subject!$B:$B,0),3)</f>
        <v>#N/A</v>
      </c>
      <c r="AG594" s="8" t="str">
        <f t="array" ref="AG594">INDEX(Subject!$A:$I,MATCH(RANDBETWEEN(1,16),Subject!$B:$B,0),3)</f>
        <v>#N/A</v>
      </c>
      <c r="AH594" s="8" t="str">
        <f t="array" ref="AH594">INDEX(Subject!$A:$I,MATCH(RANDBETWEEN(1,16),Subject!$B:$B,0),3)</f>
        <v>#N/A</v>
      </c>
      <c r="AI594" s="8" t="str">
        <f t="array" ref="AI594">INDEX(Subject!$A:$I,MATCH(RANDBETWEEN(1,16),Subject!$B:$B,0),3)</f>
        <v/>
      </c>
      <c r="AJ594" s="8" t="str">
        <f t="array" ref="AJ594">INDEX(Subject!$A:$I,MATCH(RANDBETWEEN(1,16),Subject!$B:$B,0),3)</f>
        <v>#N/A</v>
      </c>
      <c r="AK594" s="8" t="str">
        <f t="array" ref="AK594">INDEX(Subject!$A:$I,MATCH(RANDBETWEEN(1,16),Subject!$B:$B,0),3)</f>
        <v>#N/A</v>
      </c>
      <c r="AL594" s="8" t="str">
        <f t="array" ref="AL594">INDEX(Subject!$A:$I,MATCH(RANDBETWEEN(1,16),Subject!$B:$B,0),3)</f>
        <v>#N/A</v>
      </c>
      <c r="AM594" s="18">
        <f t="shared" si="4"/>
        <v>46094.33333</v>
      </c>
      <c r="AN594" s="19">
        <f t="shared" ref="AN594:BZ594" si="594">$A594+C$1</f>
        <v>46094.35417</v>
      </c>
      <c r="AO594" s="19">
        <f t="shared" si="594"/>
        <v>46094.375</v>
      </c>
      <c r="AP594" s="19">
        <f t="shared" si="594"/>
        <v>46094.39583</v>
      </c>
      <c r="AQ594" s="19">
        <f t="shared" si="594"/>
        <v>46094.41667</v>
      </c>
      <c r="AR594" s="19">
        <f t="shared" si="594"/>
        <v>46094.4375</v>
      </c>
      <c r="AS594" s="19">
        <f t="shared" si="594"/>
        <v>46094.45833</v>
      </c>
      <c r="AT594" s="19">
        <f t="shared" si="594"/>
        <v>46094.47917</v>
      </c>
      <c r="AU594" s="19">
        <f t="shared" si="594"/>
        <v>46094.5</v>
      </c>
      <c r="AV594" s="19">
        <f t="shared" si="594"/>
        <v>46094.52083</v>
      </c>
      <c r="AW594" s="19">
        <f t="shared" si="594"/>
        <v>46094.54167</v>
      </c>
      <c r="AX594" s="19">
        <f t="shared" si="594"/>
        <v>46094.5625</v>
      </c>
      <c r="AY594" s="19">
        <f t="shared" si="594"/>
        <v>46094.58333</v>
      </c>
      <c r="AZ594" s="19">
        <f t="shared" si="594"/>
        <v>46094.60417</v>
      </c>
      <c r="BA594" s="19">
        <f t="shared" si="594"/>
        <v>46094.625</v>
      </c>
      <c r="BB594" s="19">
        <f t="shared" si="594"/>
        <v>46094.64583</v>
      </c>
      <c r="BC594" s="19">
        <f t="shared" si="594"/>
        <v>46094.66667</v>
      </c>
      <c r="BD594" s="19">
        <f t="shared" si="594"/>
        <v>46094.6875</v>
      </c>
      <c r="BE594" s="19">
        <f t="shared" si="594"/>
        <v>46094.70833</v>
      </c>
      <c r="BF594" s="19">
        <f t="shared" si="594"/>
        <v>46094.72917</v>
      </c>
      <c r="BG594" s="19">
        <f t="shared" si="594"/>
        <v>46094.75</v>
      </c>
      <c r="BH594" s="19">
        <f t="shared" si="594"/>
        <v>46094.77083</v>
      </c>
      <c r="BI594" s="19">
        <f t="shared" si="594"/>
        <v>46094.79167</v>
      </c>
      <c r="BJ594" s="19">
        <f t="shared" si="594"/>
        <v>46094.8125</v>
      </c>
      <c r="BK594" s="19">
        <f t="shared" si="594"/>
        <v>46094.83333</v>
      </c>
      <c r="BL594" s="19">
        <f t="shared" si="594"/>
        <v>46094.85417</v>
      </c>
      <c r="BM594" s="19">
        <f t="shared" si="594"/>
        <v>46094.875</v>
      </c>
      <c r="BN594" s="19">
        <f t="shared" si="594"/>
        <v>46094.89583</v>
      </c>
      <c r="BO594" s="19">
        <f t="shared" si="594"/>
        <v>46094.91667</v>
      </c>
      <c r="BP594" s="19">
        <f t="shared" si="594"/>
        <v>46094.9375</v>
      </c>
      <c r="BQ594" s="19">
        <f t="shared" si="594"/>
        <v>46094.95833</v>
      </c>
      <c r="BR594" s="19">
        <f t="shared" si="594"/>
        <v>46094.97917</v>
      </c>
      <c r="BS594" s="19">
        <f t="shared" si="594"/>
        <v>46095</v>
      </c>
      <c r="BT594" s="19">
        <f t="shared" si="594"/>
        <v>46095.02083</v>
      </c>
      <c r="BU594" s="19">
        <f t="shared" si="594"/>
        <v>46095.04167</v>
      </c>
      <c r="BV594" s="19">
        <f t="shared" si="594"/>
        <v>46095.0625</v>
      </c>
      <c r="BW594" s="19">
        <f t="shared" si="594"/>
        <v>46095.08333</v>
      </c>
      <c r="BX594" s="19">
        <f t="shared" si="594"/>
        <v>46094</v>
      </c>
      <c r="BY594" s="19">
        <f t="shared" si="594"/>
        <v>46094</v>
      </c>
      <c r="BZ594" s="19">
        <f t="shared" si="594"/>
        <v>46094</v>
      </c>
    </row>
    <row r="595" ht="14.25" customHeight="1">
      <c r="A595" s="17">
        <v>46095.0</v>
      </c>
      <c r="B595" s="2" t="str">
        <f t="array" ref="B595">IF(NOW()&gt;AM595,"",IF(AND((WEEKDAY($A595)+$B$2)&gt;1,((WEEKDAY($A595)+$T$2)&lt;7),(WEEKDAY($A595)&lt;&gt;1)),"work",(INDEX(Subject!$A:$I,MATCH(RANDBETWEEN(1,(MAX(Subject!$B:$B))),Subject!$B:$B,0),3))))</f>
        <v/>
      </c>
      <c r="C595" s="2" t="str">
        <f t="array" ref="C595">IF(NOW()&gt;AN595,"",IF(AND((WEEKDAY($A595)+$B$2)&gt;1,((WEEKDAY($A595)+$T$2)&lt;7),(WEEKDAY($A595)&lt;&gt;1)),"work",(INDEX(Subject!$A:$I,MATCH(RANDBETWEEN(1,(MAX(Subject!$B:$B))),Subject!$B:$B,0),3))))</f>
        <v/>
      </c>
      <c r="D595" s="2" t="str">
        <f t="array" ref="D595">IF(NOW()&gt;AO595,"",IF(AND((WEEKDAY($A595)+$B$2)&gt;1,((WEEKDAY($A595)+$T$2)&lt;7),(WEEKDAY($A595)&lt;&gt;1)),"work",(INDEX(Subject!$A:$I,MATCH(RANDBETWEEN(1,(MAX(Subject!$B:$B))),Subject!$B:$B,0),3))))</f>
        <v/>
      </c>
      <c r="E595" s="2" t="str">
        <f t="array" ref="E595">IF(NOW()&gt;AP595,"",IF(AND((WEEKDAY($A595)+$B$2)&gt;1,((WEEKDAY($A595)+$T$2)&lt;7),(WEEKDAY($A595)&lt;&gt;1)),"work",(INDEX(Subject!$A:$I,MATCH(RANDBETWEEN(1,(MAX(Subject!$B:$B))),Subject!$B:$B,0),3))))</f>
        <v/>
      </c>
      <c r="F595" s="2" t="str">
        <f t="array" ref="F595">IF(NOW()&gt;AQ595,"",IF(AND((WEEKDAY($A595)+$B$2)&gt;1,((WEEKDAY($A595)+$T$2)&lt;7),(WEEKDAY($A595)&lt;&gt;1)),"work",(INDEX(Subject!$A:$I,MATCH(RANDBETWEEN(1,(MAX(Subject!$B:$B))),Subject!$B:$B,0),3))))</f>
        <v/>
      </c>
      <c r="G595" s="2" t="str">
        <f t="array" ref="G595">IF(NOW()&gt;AR595,"",IF(AND((WEEKDAY($A595)+$B$2)&gt;1,((WEEKDAY($A595)+$T$2)&lt;7),(WEEKDAY($A595)&lt;&gt;1)),"work",(INDEX(Subject!$A:$I,MATCH(RANDBETWEEN(1,(MAX(Subject!$B:$B))),Subject!$B:$B,0),3))))</f>
        <v/>
      </c>
      <c r="H595" s="2" t="str">
        <f t="array" ref="H595">IF(NOW()&gt;AS595,"",IF(AND((WEEKDAY($A595)+$B$2)&gt;1,((WEEKDAY($A595)+$T$2)&lt;7),(WEEKDAY($A595)&lt;&gt;1)),"work",(INDEX(Subject!$A:$I,MATCH(RANDBETWEEN(1,(MAX(Subject!$B:$B))),Subject!$B:$B,0),3))))</f>
        <v/>
      </c>
      <c r="I595" s="2" t="str">
        <f t="array" ref="I595">IF(NOW()&gt;AT595,"",IF(AND((WEEKDAY($A595)+$B$2)&gt;1,((WEEKDAY($A595)+$T$2)&lt;7),(WEEKDAY($A595)&lt;&gt;1)),"work",(INDEX(Subject!$A:$I,MATCH(RANDBETWEEN(1,(MAX(Subject!$B:$B))),Subject!$B:$B,0),3))))</f>
        <v/>
      </c>
      <c r="J595" s="2" t="str">
        <f t="array" ref="J595">IF(NOW()&gt;AU595,"",IF(AND((WEEKDAY($A595)+$B$2)&gt;1,((WEEKDAY($A595)+$T$2)&lt;7),(WEEKDAY($A595)&lt;&gt;1)),"work",(INDEX(Subject!$A:$I,MATCH(RANDBETWEEN(1,(MAX(Subject!$B:$B))),Subject!$B:$B,0),3))))</f>
        <v/>
      </c>
      <c r="K595" s="2" t="str">
        <f t="array" ref="K595">IF(NOW()&gt;AV595,"",IF(AND((WEEKDAY($A595)+$B$2)&gt;1,((WEEKDAY($A595)+$T$2)&lt;7),(WEEKDAY($A595)&lt;&gt;1)),"work",(INDEX(Subject!$A:$I,MATCH(RANDBETWEEN(1,(MAX(Subject!$B:$B))),Subject!$B:$B,0),3))))</f>
        <v/>
      </c>
      <c r="L595" s="2" t="str">
        <f t="array" ref="L595">IF(NOW()&gt;AW595,"",IF(AND((WEEKDAY($A595)+$B$2)&gt;1,((WEEKDAY($A595)+$T$2)&lt;7),(WEEKDAY($A595)&lt;&gt;1)),"work",(INDEX(Subject!$A:$I,MATCH(RANDBETWEEN(1,(MAX(Subject!$B:$B))),Subject!$B:$B,0),3))))</f>
        <v/>
      </c>
      <c r="M595" s="2" t="str">
        <f t="array" ref="M595">IF(NOW()&gt;AX595,"",IF(AND((WEEKDAY($A595)+$B$2)&gt;1,((WEEKDAY($A595)+$T$2)&lt;7),(WEEKDAY($A595)&lt;&gt;1)),"work",(INDEX(Subject!$A:$I,MATCH(RANDBETWEEN(1,(MAX(Subject!$B:$B))),Subject!$B:$B,0),3))))</f>
        <v/>
      </c>
      <c r="N595" s="2" t="str">
        <f t="array" ref="N595">IF(NOW()&gt;AY595,"",IF(AND((WEEKDAY($A595)+$B$2)&gt;1,((WEEKDAY($A595)+$T$2)&lt;7),(WEEKDAY($A595)&lt;&gt;1)),"work",(INDEX(Subject!$A:$I,MATCH(RANDBETWEEN(1,(MAX(Subject!$B:$B))),Subject!$B:$B,0),3))))</f>
        <v/>
      </c>
      <c r="O595" s="2" t="str">
        <f t="array" ref="O595">IF(NOW()&gt;AZ595,"",IF(AND((WEEKDAY($A595)+$B$2)&gt;1,((WEEKDAY($A595)+$T$2)&lt;7),(WEEKDAY($A595)&lt;&gt;1)),"work",(INDEX(Subject!$A:$I,MATCH(RANDBETWEEN(1,(MAX(Subject!$B:$B))),Subject!$B:$B,0),3))))</f>
        <v/>
      </c>
      <c r="P595" s="2" t="str">
        <f t="array" ref="P595">IF(NOW()&gt;BA595,"",IF(AND((WEEKDAY($A595)+$B$2)&gt;1,((WEEKDAY($A595)+$T$2)&lt;7),(WEEKDAY($A595)&lt;&gt;1)),"work",(INDEX(Subject!$A:$I,MATCH(RANDBETWEEN(1,(MAX(Subject!$B:$B))),Subject!$B:$B,0),3))))</f>
        <v/>
      </c>
      <c r="Q595" s="2" t="str">
        <f t="array" ref="Q595">IF(NOW()&gt;BB595,"",IF(AND((WEEKDAY($A595)+$B$2)&gt;1,((WEEKDAY($A595)+$T$2)&lt;7),(WEEKDAY($A595)&lt;&gt;1)),"work",(INDEX(Subject!$A:$I,MATCH(RANDBETWEEN(1,(MAX(Subject!$B:$B))),Subject!$B:$B,0),3))))</f>
        <v/>
      </c>
      <c r="R595" s="2" t="str">
        <f t="array" ref="R595">IF(NOW()&gt;BC595,"",IF(AND((WEEKDAY($A595)+$B$2)&gt;1,((WEEKDAY($A595)+$T$2)&lt;7),(WEEKDAY($A595)&lt;&gt;1)),"work",(INDEX(Subject!$A:$I,MATCH(RANDBETWEEN(1,(MAX(Subject!$B:$B))),Subject!$B:$B,0),3))))</f>
        <v/>
      </c>
      <c r="S595" s="2" t="str">
        <f t="array" ref="S595">IF(NOW()&gt;BD595,"",IF(AND((WEEKDAY($A595)+$B$2)&gt;1,((WEEKDAY($A595)+$T$2)&lt;7),(WEEKDAY($A595)&lt;&gt;1)),"work",(INDEX(Subject!$A:$I,MATCH(RANDBETWEEN(1,(MAX(Subject!$B:$B))),Subject!$B:$B,0),3))))</f>
        <v/>
      </c>
      <c r="T595" s="2" t="str">
        <f t="array" ref="T595">IF(NOW()&gt;BE595,"",IF(AND((WEEKDAY($A595)+$B$2)&gt;1,((WEEKDAY($A595)+$T$2)&lt;7),(WEEKDAY($A595)&lt;&gt;1)),"work",(INDEX(Subject!$A:$I,MATCH(RANDBETWEEN(1,(MAX(Subject!$B:$B))),Subject!$B:$B,0),3))))</f>
        <v/>
      </c>
      <c r="U595" s="8" t="str">
        <f t="array" ref="U595">INDEX(Subject!$A:$I,MATCH(RANDBETWEEN(1,16),Subject!$B:$B,0),3)</f>
        <v>#N/A</v>
      </c>
      <c r="V595" s="8" t="str">
        <f t="array" ref="V595">INDEX(Subject!$A:$I,MATCH(RANDBETWEEN(1,16),Subject!$B:$B,0),3)</f>
        <v>#N/A</v>
      </c>
      <c r="W595" s="8" t="str">
        <f t="array" ref="W595">INDEX(Subject!$A:$I,MATCH(RANDBETWEEN(1,16),Subject!$B:$B,0),3)</f>
        <v>#N/A</v>
      </c>
      <c r="X595" s="8" t="str">
        <f t="array" ref="X595">INDEX(Subject!$A:$I,MATCH(RANDBETWEEN(1,16),Subject!$B:$B,0),3)</f>
        <v>#N/A</v>
      </c>
      <c r="Y595" s="8" t="str">
        <f t="array" ref="Y595">INDEX(Subject!$A:$I,MATCH(RANDBETWEEN(1,16),Subject!$B:$B,0),3)</f>
        <v>#N/A</v>
      </c>
      <c r="Z595" s="8" t="str">
        <f t="array" ref="Z595">INDEX(Subject!$A:$I,MATCH(RANDBETWEEN(1,16),Subject!$B:$B,0),3)</f>
        <v>#N/A</v>
      </c>
      <c r="AA595" s="8" t="str">
        <f t="array" ref="AA595">INDEX(Subject!$A:$I,MATCH(RANDBETWEEN(1,16),Subject!$B:$B,0),3)</f>
        <v>#N/A</v>
      </c>
      <c r="AB595" s="8" t="str">
        <f t="array" ref="AB595">INDEX(Subject!$A:$I,MATCH(RANDBETWEEN(1,16),Subject!$B:$B,0),3)</f>
        <v>#N/A</v>
      </c>
      <c r="AC595" s="8" t="str">
        <f t="array" ref="AC595">INDEX(Subject!$A:$I,MATCH(RANDBETWEEN(1,16),Subject!$B:$B,0),3)</f>
        <v>#N/A</v>
      </c>
      <c r="AD595" s="8" t="str">
        <f t="array" ref="AD595">INDEX(Subject!$A:$I,MATCH(RANDBETWEEN(1,16),Subject!$B:$B,0),3)</f>
        <v>#N/A</v>
      </c>
      <c r="AE595" s="8" t="str">
        <f t="array" ref="AE595">INDEX(Subject!$A:$I,MATCH(RANDBETWEEN(1,16),Subject!$B:$B,0),3)</f>
        <v>#N/A</v>
      </c>
      <c r="AF595" s="8" t="str">
        <f t="array" ref="AF595">INDEX(Subject!$A:$I,MATCH(RANDBETWEEN(1,16),Subject!$B:$B,0),3)</f>
        <v>#N/A</v>
      </c>
      <c r="AG595" s="8" t="str">
        <f t="array" ref="AG595">INDEX(Subject!$A:$I,MATCH(RANDBETWEEN(1,16),Subject!$B:$B,0),3)</f>
        <v>#N/A</v>
      </c>
      <c r="AH595" s="8" t="str">
        <f t="array" ref="AH595">INDEX(Subject!$A:$I,MATCH(RANDBETWEEN(1,16),Subject!$B:$B,0),3)</f>
        <v>#N/A</v>
      </c>
      <c r="AI595" s="8" t="str">
        <f t="array" ref="AI595">INDEX(Subject!$A:$I,MATCH(RANDBETWEEN(1,16),Subject!$B:$B,0),3)</f>
        <v>#N/A</v>
      </c>
      <c r="AJ595" s="8" t="str">
        <f t="array" ref="AJ595">INDEX(Subject!$A:$I,MATCH(RANDBETWEEN(1,16),Subject!$B:$B,0),3)</f>
        <v>#N/A</v>
      </c>
      <c r="AK595" s="8" t="str">
        <f t="array" ref="AK595">INDEX(Subject!$A:$I,MATCH(RANDBETWEEN(1,16),Subject!$B:$B,0),3)</f>
        <v>#N/A</v>
      </c>
      <c r="AL595" s="8" t="str">
        <f t="array" ref="AL595">INDEX(Subject!$A:$I,MATCH(RANDBETWEEN(1,16),Subject!$B:$B,0),3)</f>
        <v>#N/A</v>
      </c>
      <c r="AM595" s="18">
        <f t="shared" si="4"/>
        <v>46095.33333</v>
      </c>
      <c r="AN595" s="19">
        <f t="shared" ref="AN595:BZ595" si="595">$A595+C$1</f>
        <v>46095.35417</v>
      </c>
      <c r="AO595" s="19">
        <f t="shared" si="595"/>
        <v>46095.375</v>
      </c>
      <c r="AP595" s="19">
        <f t="shared" si="595"/>
        <v>46095.39583</v>
      </c>
      <c r="AQ595" s="19">
        <f t="shared" si="595"/>
        <v>46095.41667</v>
      </c>
      <c r="AR595" s="19">
        <f t="shared" si="595"/>
        <v>46095.4375</v>
      </c>
      <c r="AS595" s="19">
        <f t="shared" si="595"/>
        <v>46095.45833</v>
      </c>
      <c r="AT595" s="19">
        <f t="shared" si="595"/>
        <v>46095.47917</v>
      </c>
      <c r="AU595" s="19">
        <f t="shared" si="595"/>
        <v>46095.5</v>
      </c>
      <c r="AV595" s="19">
        <f t="shared" si="595"/>
        <v>46095.52083</v>
      </c>
      <c r="AW595" s="19">
        <f t="shared" si="595"/>
        <v>46095.54167</v>
      </c>
      <c r="AX595" s="19">
        <f t="shared" si="595"/>
        <v>46095.5625</v>
      </c>
      <c r="AY595" s="19">
        <f t="shared" si="595"/>
        <v>46095.58333</v>
      </c>
      <c r="AZ595" s="19">
        <f t="shared" si="595"/>
        <v>46095.60417</v>
      </c>
      <c r="BA595" s="19">
        <f t="shared" si="595"/>
        <v>46095.625</v>
      </c>
      <c r="BB595" s="19">
        <f t="shared" si="595"/>
        <v>46095.64583</v>
      </c>
      <c r="BC595" s="19">
        <f t="shared" si="595"/>
        <v>46095.66667</v>
      </c>
      <c r="BD595" s="19">
        <f t="shared" si="595"/>
        <v>46095.6875</v>
      </c>
      <c r="BE595" s="19">
        <f t="shared" si="595"/>
        <v>46095.70833</v>
      </c>
      <c r="BF595" s="19">
        <f t="shared" si="595"/>
        <v>46095.72917</v>
      </c>
      <c r="BG595" s="19">
        <f t="shared" si="595"/>
        <v>46095.75</v>
      </c>
      <c r="BH595" s="19">
        <f t="shared" si="595"/>
        <v>46095.77083</v>
      </c>
      <c r="BI595" s="19">
        <f t="shared" si="595"/>
        <v>46095.79167</v>
      </c>
      <c r="BJ595" s="19">
        <f t="shared" si="595"/>
        <v>46095.8125</v>
      </c>
      <c r="BK595" s="19">
        <f t="shared" si="595"/>
        <v>46095.83333</v>
      </c>
      <c r="BL595" s="19">
        <f t="shared" si="595"/>
        <v>46095.85417</v>
      </c>
      <c r="BM595" s="19">
        <f t="shared" si="595"/>
        <v>46095.875</v>
      </c>
      <c r="BN595" s="19">
        <f t="shared" si="595"/>
        <v>46095.89583</v>
      </c>
      <c r="BO595" s="19">
        <f t="shared" si="595"/>
        <v>46095.91667</v>
      </c>
      <c r="BP595" s="19">
        <f t="shared" si="595"/>
        <v>46095.9375</v>
      </c>
      <c r="BQ595" s="19">
        <f t="shared" si="595"/>
        <v>46095.95833</v>
      </c>
      <c r="BR595" s="19">
        <f t="shared" si="595"/>
        <v>46095.97917</v>
      </c>
      <c r="BS595" s="19">
        <f t="shared" si="595"/>
        <v>46096</v>
      </c>
      <c r="BT595" s="19">
        <f t="shared" si="595"/>
        <v>46096.02083</v>
      </c>
      <c r="BU595" s="19">
        <f t="shared" si="595"/>
        <v>46096.04167</v>
      </c>
      <c r="BV595" s="19">
        <f t="shared" si="595"/>
        <v>46096.0625</v>
      </c>
      <c r="BW595" s="19">
        <f t="shared" si="595"/>
        <v>46096.08333</v>
      </c>
      <c r="BX595" s="19">
        <f t="shared" si="595"/>
        <v>46095</v>
      </c>
      <c r="BY595" s="19">
        <f t="shared" si="595"/>
        <v>46095</v>
      </c>
      <c r="BZ595" s="19">
        <f t="shared" si="595"/>
        <v>46095</v>
      </c>
    </row>
    <row r="596" ht="14.25" customHeight="1">
      <c r="A596" s="17">
        <v>46096.0</v>
      </c>
      <c r="B596" s="2" t="str">
        <f t="array" ref="B596">IF(NOW()&gt;AM596,"",IF(AND((WEEKDAY($A596)+$B$2)&gt;1,((WEEKDAY($A596)+$T$2)&lt;7),(WEEKDAY($A596)&lt;&gt;1)),"work",(INDEX(Subject!$A:$I,MATCH(RANDBETWEEN(1,(MAX(Subject!$B:$B))),Subject!$B:$B,0),3))))</f>
        <v/>
      </c>
      <c r="C596" s="2" t="str">
        <f t="array" ref="C596">IF(NOW()&gt;AN596,"",IF(AND((WEEKDAY($A596)+$B$2)&gt;1,((WEEKDAY($A596)+$T$2)&lt;7),(WEEKDAY($A596)&lt;&gt;1)),"work",(INDEX(Subject!$A:$I,MATCH(RANDBETWEEN(1,(MAX(Subject!$B:$B))),Subject!$B:$B,0),3))))</f>
        <v/>
      </c>
      <c r="D596" s="2" t="str">
        <f t="array" ref="D596">IF(NOW()&gt;AO596,"",IF(AND((WEEKDAY($A596)+$B$2)&gt;1,((WEEKDAY($A596)+$T$2)&lt;7),(WEEKDAY($A596)&lt;&gt;1)),"work",(INDEX(Subject!$A:$I,MATCH(RANDBETWEEN(1,(MAX(Subject!$B:$B))),Subject!$B:$B,0),3))))</f>
        <v/>
      </c>
      <c r="E596" s="2" t="str">
        <f t="array" ref="E596">IF(NOW()&gt;AP596,"",IF(AND((WEEKDAY($A596)+$B$2)&gt;1,((WEEKDAY($A596)+$T$2)&lt;7),(WEEKDAY($A596)&lt;&gt;1)),"work",(INDEX(Subject!$A:$I,MATCH(RANDBETWEEN(1,(MAX(Subject!$B:$B))),Subject!$B:$B,0),3))))</f>
        <v/>
      </c>
      <c r="F596" s="2" t="str">
        <f t="array" ref="F596">IF(NOW()&gt;AQ596,"",IF(AND((WEEKDAY($A596)+$B$2)&gt;1,((WEEKDAY($A596)+$T$2)&lt;7),(WEEKDAY($A596)&lt;&gt;1)),"work",(INDEX(Subject!$A:$I,MATCH(RANDBETWEEN(1,(MAX(Subject!$B:$B))),Subject!$B:$B,0),3))))</f>
        <v/>
      </c>
      <c r="G596" s="2" t="str">
        <f t="array" ref="G596">IF(NOW()&gt;AR596,"",IF(AND((WEEKDAY($A596)+$B$2)&gt;1,((WEEKDAY($A596)+$T$2)&lt;7),(WEEKDAY($A596)&lt;&gt;1)),"work",(INDEX(Subject!$A:$I,MATCH(RANDBETWEEN(1,(MAX(Subject!$B:$B))),Subject!$B:$B,0),3))))</f>
        <v/>
      </c>
      <c r="H596" s="2" t="str">
        <f t="array" ref="H596">IF(NOW()&gt;AS596,"",IF(AND((WEEKDAY($A596)+$B$2)&gt;1,((WEEKDAY($A596)+$T$2)&lt;7),(WEEKDAY($A596)&lt;&gt;1)),"work",(INDEX(Subject!$A:$I,MATCH(RANDBETWEEN(1,(MAX(Subject!$B:$B))),Subject!$B:$B,0),3))))</f>
        <v/>
      </c>
      <c r="I596" s="2" t="str">
        <f t="array" ref="I596">IF(NOW()&gt;AT596,"",IF(AND((WEEKDAY($A596)+$B$2)&gt;1,((WEEKDAY($A596)+$T$2)&lt;7),(WEEKDAY($A596)&lt;&gt;1)),"work",(INDEX(Subject!$A:$I,MATCH(RANDBETWEEN(1,(MAX(Subject!$B:$B))),Subject!$B:$B,0),3))))</f>
        <v/>
      </c>
      <c r="J596" s="2" t="str">
        <f t="array" ref="J596">IF(NOW()&gt;AU596,"",IF(AND((WEEKDAY($A596)+$B$2)&gt;1,((WEEKDAY($A596)+$T$2)&lt;7),(WEEKDAY($A596)&lt;&gt;1)),"work",(INDEX(Subject!$A:$I,MATCH(RANDBETWEEN(1,(MAX(Subject!$B:$B))),Subject!$B:$B,0),3))))</f>
        <v/>
      </c>
      <c r="K596" s="2" t="str">
        <f t="array" ref="K596">IF(NOW()&gt;AV596,"",IF(AND((WEEKDAY($A596)+$B$2)&gt;1,((WEEKDAY($A596)+$T$2)&lt;7),(WEEKDAY($A596)&lt;&gt;1)),"work",(INDEX(Subject!$A:$I,MATCH(RANDBETWEEN(1,(MAX(Subject!$B:$B))),Subject!$B:$B,0),3))))</f>
        <v/>
      </c>
      <c r="L596" s="2" t="str">
        <f t="array" ref="L596">IF(NOW()&gt;AW596,"",IF(AND((WEEKDAY($A596)+$B$2)&gt;1,((WEEKDAY($A596)+$T$2)&lt;7),(WEEKDAY($A596)&lt;&gt;1)),"work",(INDEX(Subject!$A:$I,MATCH(RANDBETWEEN(1,(MAX(Subject!$B:$B))),Subject!$B:$B,0),3))))</f>
        <v/>
      </c>
      <c r="M596" s="2" t="str">
        <f t="array" ref="M596">IF(NOW()&gt;AX596,"",IF(AND((WEEKDAY($A596)+$B$2)&gt;1,((WEEKDAY($A596)+$T$2)&lt;7),(WEEKDAY($A596)&lt;&gt;1)),"work",(INDEX(Subject!$A:$I,MATCH(RANDBETWEEN(1,(MAX(Subject!$B:$B))),Subject!$B:$B,0),3))))</f>
        <v/>
      </c>
      <c r="N596" s="2" t="str">
        <f t="array" ref="N596">IF(NOW()&gt;AY596,"",IF(AND((WEEKDAY($A596)+$B$2)&gt;1,((WEEKDAY($A596)+$T$2)&lt;7),(WEEKDAY($A596)&lt;&gt;1)),"work",(INDEX(Subject!$A:$I,MATCH(RANDBETWEEN(1,(MAX(Subject!$B:$B))),Subject!$B:$B,0),3))))</f>
        <v/>
      </c>
      <c r="O596" s="2" t="str">
        <f t="array" ref="O596">IF(NOW()&gt;AZ596,"",IF(AND((WEEKDAY($A596)+$B$2)&gt;1,((WEEKDAY($A596)+$T$2)&lt;7),(WEEKDAY($A596)&lt;&gt;1)),"work",(INDEX(Subject!$A:$I,MATCH(RANDBETWEEN(1,(MAX(Subject!$B:$B))),Subject!$B:$B,0),3))))</f>
        <v/>
      </c>
      <c r="P596" s="2" t="str">
        <f t="array" ref="P596">IF(NOW()&gt;BA596,"",IF(AND((WEEKDAY($A596)+$B$2)&gt;1,((WEEKDAY($A596)+$T$2)&lt;7),(WEEKDAY($A596)&lt;&gt;1)),"work",(INDEX(Subject!$A:$I,MATCH(RANDBETWEEN(1,(MAX(Subject!$B:$B))),Subject!$B:$B,0),3))))</f>
        <v/>
      </c>
      <c r="Q596" s="2" t="str">
        <f t="array" ref="Q596">IF(NOW()&gt;BB596,"",IF(AND((WEEKDAY($A596)+$B$2)&gt;1,((WEEKDAY($A596)+$T$2)&lt;7),(WEEKDAY($A596)&lt;&gt;1)),"work",(INDEX(Subject!$A:$I,MATCH(RANDBETWEEN(1,(MAX(Subject!$B:$B))),Subject!$B:$B,0),3))))</f>
        <v/>
      </c>
      <c r="R596" s="2" t="str">
        <f t="array" ref="R596">IF(NOW()&gt;BC596,"",IF(AND((WEEKDAY($A596)+$B$2)&gt;1,((WEEKDAY($A596)+$T$2)&lt;7),(WEEKDAY($A596)&lt;&gt;1)),"work",(INDEX(Subject!$A:$I,MATCH(RANDBETWEEN(1,(MAX(Subject!$B:$B))),Subject!$B:$B,0),3))))</f>
        <v/>
      </c>
      <c r="S596" s="2" t="str">
        <f t="array" ref="S596">IF(NOW()&gt;BD596,"",IF(AND((WEEKDAY($A596)+$B$2)&gt;1,((WEEKDAY($A596)+$T$2)&lt;7),(WEEKDAY($A596)&lt;&gt;1)),"work",(INDEX(Subject!$A:$I,MATCH(RANDBETWEEN(1,(MAX(Subject!$B:$B))),Subject!$B:$B,0),3))))</f>
        <v/>
      </c>
      <c r="T596" s="2" t="str">
        <f t="array" ref="T596">IF(NOW()&gt;BE596,"",IF(AND((WEEKDAY($A596)+$B$2)&gt;1,((WEEKDAY($A596)+$T$2)&lt;7),(WEEKDAY($A596)&lt;&gt;1)),"work",(INDEX(Subject!$A:$I,MATCH(RANDBETWEEN(1,(MAX(Subject!$B:$B))),Subject!$B:$B,0),3))))</f>
        <v/>
      </c>
      <c r="U596" s="8" t="str">
        <f t="array" ref="U596">INDEX(Subject!$A:$I,MATCH(RANDBETWEEN(1,16),Subject!$B:$B,0),3)</f>
        <v>#N/A</v>
      </c>
      <c r="V596" s="8" t="str">
        <f t="array" ref="V596">INDEX(Subject!$A:$I,MATCH(RANDBETWEEN(1,16),Subject!$B:$B,0),3)</f>
        <v>#N/A</v>
      </c>
      <c r="W596" s="8" t="str">
        <f t="array" ref="W596">INDEX(Subject!$A:$I,MATCH(RANDBETWEEN(1,16),Subject!$B:$B,0),3)</f>
        <v>#N/A</v>
      </c>
      <c r="X596" s="8" t="str">
        <f t="array" ref="X596">INDEX(Subject!$A:$I,MATCH(RANDBETWEEN(1,16),Subject!$B:$B,0),3)</f>
        <v>#N/A</v>
      </c>
      <c r="Y596" s="8" t="str">
        <f t="array" ref="Y596">INDEX(Subject!$A:$I,MATCH(RANDBETWEEN(1,16),Subject!$B:$B,0),3)</f>
        <v>#N/A</v>
      </c>
      <c r="Z596" s="8" t="str">
        <f t="array" ref="Z596">INDEX(Subject!$A:$I,MATCH(RANDBETWEEN(1,16),Subject!$B:$B,0),3)</f>
        <v>#N/A</v>
      </c>
      <c r="AA596" s="8" t="str">
        <f t="array" ref="AA596">INDEX(Subject!$A:$I,MATCH(RANDBETWEEN(1,16),Subject!$B:$B,0),3)</f>
        <v>#N/A</v>
      </c>
      <c r="AB596" s="8" t="str">
        <f t="array" ref="AB596">INDEX(Subject!$A:$I,MATCH(RANDBETWEEN(1,16),Subject!$B:$B,0),3)</f>
        <v>#N/A</v>
      </c>
      <c r="AC596" s="8" t="str">
        <f t="array" ref="AC596">INDEX(Subject!$A:$I,MATCH(RANDBETWEEN(1,16),Subject!$B:$B,0),3)</f>
        <v>#N/A</v>
      </c>
      <c r="AD596" s="8" t="str">
        <f t="array" ref="AD596">INDEX(Subject!$A:$I,MATCH(RANDBETWEEN(1,16),Subject!$B:$B,0),3)</f>
        <v>#N/A</v>
      </c>
      <c r="AE596" s="8" t="str">
        <f t="array" ref="AE596">INDEX(Subject!$A:$I,MATCH(RANDBETWEEN(1,16),Subject!$B:$B,0),3)</f>
        <v>#N/A</v>
      </c>
      <c r="AF596" s="8" t="str">
        <f t="array" ref="AF596">INDEX(Subject!$A:$I,MATCH(RANDBETWEEN(1,16),Subject!$B:$B,0),3)</f>
        <v>#N/A</v>
      </c>
      <c r="AG596" s="8" t="str">
        <f t="array" ref="AG596">INDEX(Subject!$A:$I,MATCH(RANDBETWEEN(1,16),Subject!$B:$B,0),3)</f>
        <v>#N/A</v>
      </c>
      <c r="AH596" s="8" t="str">
        <f t="array" ref="AH596">INDEX(Subject!$A:$I,MATCH(RANDBETWEEN(1,16),Subject!$B:$B,0),3)</f>
        <v>#N/A</v>
      </c>
      <c r="AI596" s="8" t="str">
        <f t="array" ref="AI596">INDEX(Subject!$A:$I,MATCH(RANDBETWEEN(1,16),Subject!$B:$B,0),3)</f>
        <v>#N/A</v>
      </c>
      <c r="AJ596" s="8" t="str">
        <f t="array" ref="AJ596">INDEX(Subject!$A:$I,MATCH(RANDBETWEEN(1,16),Subject!$B:$B,0),3)</f>
        <v>#N/A</v>
      </c>
      <c r="AK596" s="8" t="str">
        <f t="array" ref="AK596">INDEX(Subject!$A:$I,MATCH(RANDBETWEEN(1,16),Subject!$B:$B,0),3)</f>
        <v>#N/A</v>
      </c>
      <c r="AL596" s="8" t="str">
        <f t="array" ref="AL596">INDEX(Subject!$A:$I,MATCH(RANDBETWEEN(1,16),Subject!$B:$B,0),3)</f>
        <v>#N/A</v>
      </c>
      <c r="AM596" s="18">
        <f t="shared" si="4"/>
        <v>46096.33333</v>
      </c>
      <c r="AN596" s="19">
        <f t="shared" ref="AN596:BZ596" si="596">$A596+C$1</f>
        <v>46096.35417</v>
      </c>
      <c r="AO596" s="19">
        <f t="shared" si="596"/>
        <v>46096.375</v>
      </c>
      <c r="AP596" s="19">
        <f t="shared" si="596"/>
        <v>46096.39583</v>
      </c>
      <c r="AQ596" s="19">
        <f t="shared" si="596"/>
        <v>46096.41667</v>
      </c>
      <c r="AR596" s="19">
        <f t="shared" si="596"/>
        <v>46096.4375</v>
      </c>
      <c r="AS596" s="19">
        <f t="shared" si="596"/>
        <v>46096.45833</v>
      </c>
      <c r="AT596" s="19">
        <f t="shared" si="596"/>
        <v>46096.47917</v>
      </c>
      <c r="AU596" s="19">
        <f t="shared" si="596"/>
        <v>46096.5</v>
      </c>
      <c r="AV596" s="19">
        <f t="shared" si="596"/>
        <v>46096.52083</v>
      </c>
      <c r="AW596" s="19">
        <f t="shared" si="596"/>
        <v>46096.54167</v>
      </c>
      <c r="AX596" s="19">
        <f t="shared" si="596"/>
        <v>46096.5625</v>
      </c>
      <c r="AY596" s="19">
        <f t="shared" si="596"/>
        <v>46096.58333</v>
      </c>
      <c r="AZ596" s="19">
        <f t="shared" si="596"/>
        <v>46096.60417</v>
      </c>
      <c r="BA596" s="19">
        <f t="shared" si="596"/>
        <v>46096.625</v>
      </c>
      <c r="BB596" s="19">
        <f t="shared" si="596"/>
        <v>46096.64583</v>
      </c>
      <c r="BC596" s="19">
        <f t="shared" si="596"/>
        <v>46096.66667</v>
      </c>
      <c r="BD596" s="19">
        <f t="shared" si="596"/>
        <v>46096.6875</v>
      </c>
      <c r="BE596" s="19">
        <f t="shared" si="596"/>
        <v>46096.70833</v>
      </c>
      <c r="BF596" s="19">
        <f t="shared" si="596"/>
        <v>46096.72917</v>
      </c>
      <c r="BG596" s="19">
        <f t="shared" si="596"/>
        <v>46096.75</v>
      </c>
      <c r="BH596" s="19">
        <f t="shared" si="596"/>
        <v>46096.77083</v>
      </c>
      <c r="BI596" s="19">
        <f t="shared" si="596"/>
        <v>46096.79167</v>
      </c>
      <c r="BJ596" s="19">
        <f t="shared" si="596"/>
        <v>46096.8125</v>
      </c>
      <c r="BK596" s="19">
        <f t="shared" si="596"/>
        <v>46096.83333</v>
      </c>
      <c r="BL596" s="19">
        <f t="shared" si="596"/>
        <v>46096.85417</v>
      </c>
      <c r="BM596" s="19">
        <f t="shared" si="596"/>
        <v>46096.875</v>
      </c>
      <c r="BN596" s="19">
        <f t="shared" si="596"/>
        <v>46096.89583</v>
      </c>
      <c r="BO596" s="19">
        <f t="shared" si="596"/>
        <v>46096.91667</v>
      </c>
      <c r="BP596" s="19">
        <f t="shared" si="596"/>
        <v>46096.9375</v>
      </c>
      <c r="BQ596" s="19">
        <f t="shared" si="596"/>
        <v>46096.95833</v>
      </c>
      <c r="BR596" s="19">
        <f t="shared" si="596"/>
        <v>46096.97917</v>
      </c>
      <c r="BS596" s="19">
        <f t="shared" si="596"/>
        <v>46097</v>
      </c>
      <c r="BT596" s="19">
        <f t="shared" si="596"/>
        <v>46097.02083</v>
      </c>
      <c r="BU596" s="19">
        <f t="shared" si="596"/>
        <v>46097.04167</v>
      </c>
      <c r="BV596" s="19">
        <f t="shared" si="596"/>
        <v>46097.0625</v>
      </c>
      <c r="BW596" s="19">
        <f t="shared" si="596"/>
        <v>46097.08333</v>
      </c>
      <c r="BX596" s="19">
        <f t="shared" si="596"/>
        <v>46096</v>
      </c>
      <c r="BY596" s="19">
        <f t="shared" si="596"/>
        <v>46096</v>
      </c>
      <c r="BZ596" s="19">
        <f t="shared" si="596"/>
        <v>46096</v>
      </c>
    </row>
    <row r="597" ht="14.25" customHeight="1">
      <c r="A597" s="17">
        <v>46097.0</v>
      </c>
      <c r="B597" s="2" t="str">
        <f t="array" ref="B597">IF(NOW()&gt;AM597,"",IF(AND((WEEKDAY($A597)+$B$2)&gt;1,((WEEKDAY($A597)+$T$2)&lt;7),(WEEKDAY($A597)&lt;&gt;1)),"work",(INDEX(Subject!$A:$I,MATCH(RANDBETWEEN(1,(MAX(Subject!$B:$B))),Subject!$B:$B,0),3))))</f>
        <v/>
      </c>
      <c r="C597" s="2" t="str">
        <f t="array" ref="C597">IF(NOW()&gt;AN597,"",IF(AND((WEEKDAY($A597)+$B$2)&gt;1,((WEEKDAY($A597)+$T$2)&lt;7),(WEEKDAY($A597)&lt;&gt;1)),"work",(INDEX(Subject!$A:$I,MATCH(RANDBETWEEN(1,(MAX(Subject!$B:$B))),Subject!$B:$B,0),3))))</f>
        <v/>
      </c>
      <c r="D597" s="2" t="str">
        <f t="array" ref="D597">IF(NOW()&gt;AO597,"",IF(AND((WEEKDAY($A597)+$B$2)&gt;1,((WEEKDAY($A597)+$T$2)&lt;7),(WEEKDAY($A597)&lt;&gt;1)),"work",(INDEX(Subject!$A:$I,MATCH(RANDBETWEEN(1,(MAX(Subject!$B:$B))),Subject!$B:$B,0),3))))</f>
        <v/>
      </c>
      <c r="E597" s="2" t="str">
        <f t="array" ref="E597">IF(NOW()&gt;AP597,"",IF(AND((WEEKDAY($A597)+$B$2)&gt;1,((WEEKDAY($A597)+$T$2)&lt;7),(WEEKDAY($A597)&lt;&gt;1)),"work",(INDEX(Subject!$A:$I,MATCH(RANDBETWEEN(1,(MAX(Subject!$B:$B))),Subject!$B:$B,0),3))))</f>
        <v/>
      </c>
      <c r="F597" s="2" t="str">
        <f t="array" ref="F597">IF(NOW()&gt;AQ597,"",IF(AND((WEEKDAY($A597)+$B$2)&gt;1,((WEEKDAY($A597)+$T$2)&lt;7),(WEEKDAY($A597)&lt;&gt;1)),"work",(INDEX(Subject!$A:$I,MATCH(RANDBETWEEN(1,(MAX(Subject!$B:$B))),Subject!$B:$B,0),3))))</f>
        <v/>
      </c>
      <c r="G597" s="2" t="str">
        <f t="array" ref="G597">IF(NOW()&gt;AR597,"",IF(AND((WEEKDAY($A597)+$B$2)&gt;1,((WEEKDAY($A597)+$T$2)&lt;7),(WEEKDAY($A597)&lt;&gt;1)),"work",(INDEX(Subject!$A:$I,MATCH(RANDBETWEEN(1,(MAX(Subject!$B:$B))),Subject!$B:$B,0),3))))</f>
        <v/>
      </c>
      <c r="H597" s="2" t="str">
        <f t="array" ref="H597">IF(NOW()&gt;AS597,"",IF(AND((WEEKDAY($A597)+$B$2)&gt;1,((WEEKDAY($A597)+$T$2)&lt;7),(WEEKDAY($A597)&lt;&gt;1)),"work",(INDEX(Subject!$A:$I,MATCH(RANDBETWEEN(1,(MAX(Subject!$B:$B))),Subject!$B:$B,0),3))))</f>
        <v/>
      </c>
      <c r="I597" s="2" t="str">
        <f t="array" ref="I597">IF(NOW()&gt;AT597,"",IF(AND((WEEKDAY($A597)+$B$2)&gt;1,((WEEKDAY($A597)+$T$2)&lt;7),(WEEKDAY($A597)&lt;&gt;1)),"work",(INDEX(Subject!$A:$I,MATCH(RANDBETWEEN(1,(MAX(Subject!$B:$B))),Subject!$B:$B,0),3))))</f>
        <v/>
      </c>
      <c r="J597" s="2" t="str">
        <f t="array" ref="J597">IF(NOW()&gt;AU597,"",IF(AND((WEEKDAY($A597)+$B$2)&gt;1,((WEEKDAY($A597)+$T$2)&lt;7),(WEEKDAY($A597)&lt;&gt;1)),"work",(INDEX(Subject!$A:$I,MATCH(RANDBETWEEN(1,(MAX(Subject!$B:$B))),Subject!$B:$B,0),3))))</f>
        <v/>
      </c>
      <c r="K597" s="2" t="str">
        <f t="array" ref="K597">IF(NOW()&gt;AV597,"",IF(AND((WEEKDAY($A597)+$B$2)&gt;1,((WEEKDAY($A597)+$T$2)&lt;7),(WEEKDAY($A597)&lt;&gt;1)),"work",(INDEX(Subject!$A:$I,MATCH(RANDBETWEEN(1,(MAX(Subject!$B:$B))),Subject!$B:$B,0),3))))</f>
        <v/>
      </c>
      <c r="L597" s="2" t="str">
        <f t="array" ref="L597">IF(NOW()&gt;AW597,"",IF(AND((WEEKDAY($A597)+$B$2)&gt;1,((WEEKDAY($A597)+$T$2)&lt;7),(WEEKDAY($A597)&lt;&gt;1)),"work",(INDEX(Subject!$A:$I,MATCH(RANDBETWEEN(1,(MAX(Subject!$B:$B))),Subject!$B:$B,0),3))))</f>
        <v/>
      </c>
      <c r="M597" s="2" t="str">
        <f t="array" ref="M597">IF(NOW()&gt;AX597,"",IF(AND((WEEKDAY($A597)+$B$2)&gt;1,((WEEKDAY($A597)+$T$2)&lt;7),(WEEKDAY($A597)&lt;&gt;1)),"work",(INDEX(Subject!$A:$I,MATCH(RANDBETWEEN(1,(MAX(Subject!$B:$B))),Subject!$B:$B,0),3))))</f>
        <v/>
      </c>
      <c r="N597" s="2" t="str">
        <f t="array" ref="N597">IF(NOW()&gt;AY597,"",IF(AND((WEEKDAY($A597)+$B$2)&gt;1,((WEEKDAY($A597)+$T$2)&lt;7),(WEEKDAY($A597)&lt;&gt;1)),"work",(INDEX(Subject!$A:$I,MATCH(RANDBETWEEN(1,(MAX(Subject!$B:$B))),Subject!$B:$B,0),3))))</f>
        <v/>
      </c>
      <c r="O597" s="2" t="str">
        <f t="array" ref="O597">IF(NOW()&gt;AZ597,"",IF(AND((WEEKDAY($A597)+$B$2)&gt;1,((WEEKDAY($A597)+$T$2)&lt;7),(WEEKDAY($A597)&lt;&gt;1)),"work",(INDEX(Subject!$A:$I,MATCH(RANDBETWEEN(1,(MAX(Subject!$B:$B))),Subject!$B:$B,0),3))))</f>
        <v/>
      </c>
      <c r="P597" s="2" t="str">
        <f t="array" ref="P597">IF(NOW()&gt;BA597,"",IF(AND((WEEKDAY($A597)+$B$2)&gt;1,((WEEKDAY($A597)+$T$2)&lt;7),(WEEKDAY($A597)&lt;&gt;1)),"work",(INDEX(Subject!$A:$I,MATCH(RANDBETWEEN(1,(MAX(Subject!$B:$B))),Subject!$B:$B,0),3))))</f>
        <v/>
      </c>
      <c r="Q597" s="2" t="str">
        <f t="array" ref="Q597">IF(NOW()&gt;BB597,"",IF(AND((WEEKDAY($A597)+$B$2)&gt;1,((WEEKDAY($A597)+$T$2)&lt;7),(WEEKDAY($A597)&lt;&gt;1)),"work",(INDEX(Subject!$A:$I,MATCH(RANDBETWEEN(1,(MAX(Subject!$B:$B))),Subject!$B:$B,0),3))))</f>
        <v/>
      </c>
      <c r="R597" s="2" t="str">
        <f t="array" ref="R597">IF(NOW()&gt;BC597,"",IF(AND((WEEKDAY($A597)+$B$2)&gt;1,((WEEKDAY($A597)+$T$2)&lt;7),(WEEKDAY($A597)&lt;&gt;1)),"work",(INDEX(Subject!$A:$I,MATCH(RANDBETWEEN(1,(MAX(Subject!$B:$B))),Subject!$B:$B,0),3))))</f>
        <v/>
      </c>
      <c r="S597" s="2" t="str">
        <f t="array" ref="S597">IF(NOW()&gt;BD597,"",IF(AND((WEEKDAY($A597)+$B$2)&gt;1,((WEEKDAY($A597)+$T$2)&lt;7),(WEEKDAY($A597)&lt;&gt;1)),"work",(INDEX(Subject!$A:$I,MATCH(RANDBETWEEN(1,(MAX(Subject!$B:$B))),Subject!$B:$B,0),3))))</f>
        <v/>
      </c>
      <c r="T597" s="2" t="str">
        <f t="array" ref="T597">IF(NOW()&gt;BE597,"",IF(AND((WEEKDAY($A597)+$B$2)&gt;1,((WEEKDAY($A597)+$T$2)&lt;7),(WEEKDAY($A597)&lt;&gt;1)),"work",(INDEX(Subject!$A:$I,MATCH(RANDBETWEEN(1,(MAX(Subject!$B:$B))),Subject!$B:$B,0),3))))</f>
        <v/>
      </c>
      <c r="U597" s="8" t="str">
        <f t="array" ref="U597">INDEX(Subject!$A:$I,MATCH(RANDBETWEEN(1,16),Subject!$B:$B,0),3)</f>
        <v>#N/A</v>
      </c>
      <c r="V597" s="8" t="str">
        <f t="array" ref="V597">INDEX(Subject!$A:$I,MATCH(RANDBETWEEN(1,16),Subject!$B:$B,0),3)</f>
        <v>#N/A</v>
      </c>
      <c r="W597" s="8" t="str">
        <f t="array" ref="W597">INDEX(Subject!$A:$I,MATCH(RANDBETWEEN(1,16),Subject!$B:$B,0),3)</f>
        <v>#N/A</v>
      </c>
      <c r="X597" s="8" t="str">
        <f t="array" ref="X597">INDEX(Subject!$A:$I,MATCH(RANDBETWEEN(1,16),Subject!$B:$B,0),3)</f>
        <v>#N/A</v>
      </c>
      <c r="Y597" s="8" t="str">
        <f t="array" ref="Y597">INDEX(Subject!$A:$I,MATCH(RANDBETWEEN(1,16),Subject!$B:$B,0),3)</f>
        <v>#N/A</v>
      </c>
      <c r="Z597" s="8" t="str">
        <f t="array" ref="Z597">INDEX(Subject!$A:$I,MATCH(RANDBETWEEN(1,16),Subject!$B:$B,0),3)</f>
        <v>#N/A</v>
      </c>
      <c r="AA597" s="8" t="str">
        <f t="array" ref="AA597">INDEX(Subject!$A:$I,MATCH(RANDBETWEEN(1,16),Subject!$B:$B,0),3)</f>
        <v>#N/A</v>
      </c>
      <c r="AB597" s="8" t="str">
        <f t="array" ref="AB597">INDEX(Subject!$A:$I,MATCH(RANDBETWEEN(1,16),Subject!$B:$B,0),3)</f>
        <v>#N/A</v>
      </c>
      <c r="AC597" s="8" t="str">
        <f t="array" ref="AC597">INDEX(Subject!$A:$I,MATCH(RANDBETWEEN(1,16),Subject!$B:$B,0),3)</f>
        <v>#N/A</v>
      </c>
      <c r="AD597" s="8" t="str">
        <f t="array" ref="AD597">INDEX(Subject!$A:$I,MATCH(RANDBETWEEN(1,16),Subject!$B:$B,0),3)</f>
        <v>#N/A</v>
      </c>
      <c r="AE597" s="8" t="str">
        <f t="array" ref="AE597">INDEX(Subject!$A:$I,MATCH(RANDBETWEEN(1,16),Subject!$B:$B,0),3)</f>
        <v>#N/A</v>
      </c>
      <c r="AF597" s="8" t="str">
        <f t="array" ref="AF597">INDEX(Subject!$A:$I,MATCH(RANDBETWEEN(1,16),Subject!$B:$B,0),3)</f>
        <v>#N/A</v>
      </c>
      <c r="AG597" s="8" t="str">
        <f t="array" ref="AG597">INDEX(Subject!$A:$I,MATCH(RANDBETWEEN(1,16),Subject!$B:$B,0),3)</f>
        <v>#N/A</v>
      </c>
      <c r="AH597" s="8" t="str">
        <f t="array" ref="AH597">INDEX(Subject!$A:$I,MATCH(RANDBETWEEN(1,16),Subject!$B:$B,0),3)</f>
        <v>#N/A</v>
      </c>
      <c r="AI597" s="8" t="str">
        <f t="array" ref="AI597">INDEX(Subject!$A:$I,MATCH(RANDBETWEEN(1,16),Subject!$B:$B,0),3)</f>
        <v>#N/A</v>
      </c>
      <c r="AJ597" s="8" t="str">
        <f t="array" ref="AJ597">INDEX(Subject!$A:$I,MATCH(RANDBETWEEN(1,16),Subject!$B:$B,0),3)</f>
        <v>#N/A</v>
      </c>
      <c r="AK597" s="8" t="str">
        <f t="array" ref="AK597">INDEX(Subject!$A:$I,MATCH(RANDBETWEEN(1,16),Subject!$B:$B,0),3)</f>
        <v>#N/A</v>
      </c>
      <c r="AL597" s="8" t="str">
        <f t="array" ref="AL597">INDEX(Subject!$A:$I,MATCH(RANDBETWEEN(1,16),Subject!$B:$B,0),3)</f>
        <v/>
      </c>
      <c r="AM597" s="18">
        <f t="shared" si="4"/>
        <v>46097.33333</v>
      </c>
      <c r="AN597" s="19">
        <f t="shared" ref="AN597:BZ597" si="597">$A597+C$1</f>
        <v>46097.35417</v>
      </c>
      <c r="AO597" s="19">
        <f t="shared" si="597"/>
        <v>46097.375</v>
      </c>
      <c r="AP597" s="19">
        <f t="shared" si="597"/>
        <v>46097.39583</v>
      </c>
      <c r="AQ597" s="19">
        <f t="shared" si="597"/>
        <v>46097.41667</v>
      </c>
      <c r="AR597" s="19">
        <f t="shared" si="597"/>
        <v>46097.4375</v>
      </c>
      <c r="AS597" s="19">
        <f t="shared" si="597"/>
        <v>46097.45833</v>
      </c>
      <c r="AT597" s="19">
        <f t="shared" si="597"/>
        <v>46097.47917</v>
      </c>
      <c r="AU597" s="19">
        <f t="shared" si="597"/>
        <v>46097.5</v>
      </c>
      <c r="AV597" s="19">
        <f t="shared" si="597"/>
        <v>46097.52083</v>
      </c>
      <c r="AW597" s="19">
        <f t="shared" si="597"/>
        <v>46097.54167</v>
      </c>
      <c r="AX597" s="19">
        <f t="shared" si="597"/>
        <v>46097.5625</v>
      </c>
      <c r="AY597" s="19">
        <f t="shared" si="597"/>
        <v>46097.58333</v>
      </c>
      <c r="AZ597" s="19">
        <f t="shared" si="597"/>
        <v>46097.60417</v>
      </c>
      <c r="BA597" s="19">
        <f t="shared" si="597"/>
        <v>46097.625</v>
      </c>
      <c r="BB597" s="19">
        <f t="shared" si="597"/>
        <v>46097.64583</v>
      </c>
      <c r="BC597" s="19">
        <f t="shared" si="597"/>
        <v>46097.66667</v>
      </c>
      <c r="BD597" s="19">
        <f t="shared" si="597"/>
        <v>46097.6875</v>
      </c>
      <c r="BE597" s="19">
        <f t="shared" si="597"/>
        <v>46097.70833</v>
      </c>
      <c r="BF597" s="19">
        <f t="shared" si="597"/>
        <v>46097.72917</v>
      </c>
      <c r="BG597" s="19">
        <f t="shared" si="597"/>
        <v>46097.75</v>
      </c>
      <c r="BH597" s="19">
        <f t="shared" si="597"/>
        <v>46097.77083</v>
      </c>
      <c r="BI597" s="19">
        <f t="shared" si="597"/>
        <v>46097.79167</v>
      </c>
      <c r="BJ597" s="19">
        <f t="shared" si="597"/>
        <v>46097.8125</v>
      </c>
      <c r="BK597" s="19">
        <f t="shared" si="597"/>
        <v>46097.83333</v>
      </c>
      <c r="BL597" s="19">
        <f t="shared" si="597"/>
        <v>46097.85417</v>
      </c>
      <c r="BM597" s="19">
        <f t="shared" si="597"/>
        <v>46097.875</v>
      </c>
      <c r="BN597" s="19">
        <f t="shared" si="597"/>
        <v>46097.89583</v>
      </c>
      <c r="BO597" s="19">
        <f t="shared" si="597"/>
        <v>46097.91667</v>
      </c>
      <c r="BP597" s="19">
        <f t="shared" si="597"/>
        <v>46097.9375</v>
      </c>
      <c r="BQ597" s="19">
        <f t="shared" si="597"/>
        <v>46097.95833</v>
      </c>
      <c r="BR597" s="19">
        <f t="shared" si="597"/>
        <v>46097.97917</v>
      </c>
      <c r="BS597" s="19">
        <f t="shared" si="597"/>
        <v>46098</v>
      </c>
      <c r="BT597" s="19">
        <f t="shared" si="597"/>
        <v>46098.02083</v>
      </c>
      <c r="BU597" s="19">
        <f t="shared" si="597"/>
        <v>46098.04167</v>
      </c>
      <c r="BV597" s="19">
        <f t="shared" si="597"/>
        <v>46098.0625</v>
      </c>
      <c r="BW597" s="19">
        <f t="shared" si="597"/>
        <v>46098.08333</v>
      </c>
      <c r="BX597" s="19">
        <f t="shared" si="597"/>
        <v>46097</v>
      </c>
      <c r="BY597" s="19">
        <f t="shared" si="597"/>
        <v>46097</v>
      </c>
      <c r="BZ597" s="19">
        <f t="shared" si="597"/>
        <v>46097</v>
      </c>
    </row>
    <row r="598" ht="14.25" customHeight="1">
      <c r="A598" s="17">
        <v>46098.0</v>
      </c>
      <c r="B598" s="2" t="str">
        <f t="array" ref="B598">IF(NOW()&gt;AM598,"",IF(AND((WEEKDAY($A598)+$B$2)&gt;1,((WEEKDAY($A598)+$T$2)&lt;7),(WEEKDAY($A598)&lt;&gt;1)),"work",(INDEX(Subject!$A:$I,MATCH(RANDBETWEEN(1,(MAX(Subject!$B:$B))),Subject!$B:$B,0),3))))</f>
        <v/>
      </c>
      <c r="C598" s="2" t="str">
        <f t="array" ref="C598">IF(NOW()&gt;AN598,"",IF(AND((WEEKDAY($A598)+$B$2)&gt;1,((WEEKDAY($A598)+$T$2)&lt;7),(WEEKDAY($A598)&lt;&gt;1)),"work",(INDEX(Subject!$A:$I,MATCH(RANDBETWEEN(1,(MAX(Subject!$B:$B))),Subject!$B:$B,0),3))))</f>
        <v/>
      </c>
      <c r="D598" s="2" t="str">
        <f t="array" ref="D598">IF(NOW()&gt;AO598,"",IF(AND((WEEKDAY($A598)+$B$2)&gt;1,((WEEKDAY($A598)+$T$2)&lt;7),(WEEKDAY($A598)&lt;&gt;1)),"work",(INDEX(Subject!$A:$I,MATCH(RANDBETWEEN(1,(MAX(Subject!$B:$B))),Subject!$B:$B,0),3))))</f>
        <v/>
      </c>
      <c r="E598" s="2" t="str">
        <f t="array" ref="E598">IF(NOW()&gt;AP598,"",IF(AND((WEEKDAY($A598)+$B$2)&gt;1,((WEEKDAY($A598)+$T$2)&lt;7),(WEEKDAY($A598)&lt;&gt;1)),"work",(INDEX(Subject!$A:$I,MATCH(RANDBETWEEN(1,(MAX(Subject!$B:$B))),Subject!$B:$B,0),3))))</f>
        <v/>
      </c>
      <c r="F598" s="2" t="str">
        <f t="array" ref="F598">IF(NOW()&gt;AQ598,"",IF(AND((WEEKDAY($A598)+$B$2)&gt;1,((WEEKDAY($A598)+$T$2)&lt;7),(WEEKDAY($A598)&lt;&gt;1)),"work",(INDEX(Subject!$A:$I,MATCH(RANDBETWEEN(1,(MAX(Subject!$B:$B))),Subject!$B:$B,0),3))))</f>
        <v/>
      </c>
      <c r="G598" s="2" t="str">
        <f t="array" ref="G598">IF(NOW()&gt;AR598,"",IF(AND((WEEKDAY($A598)+$B$2)&gt;1,((WEEKDAY($A598)+$T$2)&lt;7),(WEEKDAY($A598)&lt;&gt;1)),"work",(INDEX(Subject!$A:$I,MATCH(RANDBETWEEN(1,(MAX(Subject!$B:$B))),Subject!$B:$B,0),3))))</f>
        <v/>
      </c>
      <c r="H598" s="2" t="str">
        <f t="array" ref="H598">IF(NOW()&gt;AS598,"",IF(AND((WEEKDAY($A598)+$B$2)&gt;1,((WEEKDAY($A598)+$T$2)&lt;7),(WEEKDAY($A598)&lt;&gt;1)),"work",(INDEX(Subject!$A:$I,MATCH(RANDBETWEEN(1,(MAX(Subject!$B:$B))),Subject!$B:$B,0),3))))</f>
        <v/>
      </c>
      <c r="I598" s="2" t="str">
        <f t="array" ref="I598">IF(NOW()&gt;AT598,"",IF(AND((WEEKDAY($A598)+$B$2)&gt;1,((WEEKDAY($A598)+$T$2)&lt;7),(WEEKDAY($A598)&lt;&gt;1)),"work",(INDEX(Subject!$A:$I,MATCH(RANDBETWEEN(1,(MAX(Subject!$B:$B))),Subject!$B:$B,0),3))))</f>
        <v/>
      </c>
      <c r="J598" s="2" t="str">
        <f t="array" ref="J598">IF(NOW()&gt;AU598,"",IF(AND((WEEKDAY($A598)+$B$2)&gt;1,((WEEKDAY($A598)+$T$2)&lt;7),(WEEKDAY($A598)&lt;&gt;1)),"work",(INDEX(Subject!$A:$I,MATCH(RANDBETWEEN(1,(MAX(Subject!$B:$B))),Subject!$B:$B,0),3))))</f>
        <v/>
      </c>
      <c r="K598" s="2" t="str">
        <f t="array" ref="K598">IF(NOW()&gt;AV598,"",IF(AND((WEEKDAY($A598)+$B$2)&gt;1,((WEEKDAY($A598)+$T$2)&lt;7),(WEEKDAY($A598)&lt;&gt;1)),"work",(INDEX(Subject!$A:$I,MATCH(RANDBETWEEN(1,(MAX(Subject!$B:$B))),Subject!$B:$B,0),3))))</f>
        <v/>
      </c>
      <c r="L598" s="2" t="str">
        <f t="array" ref="L598">IF(NOW()&gt;AW598,"",IF(AND((WEEKDAY($A598)+$B$2)&gt;1,((WEEKDAY($A598)+$T$2)&lt;7),(WEEKDAY($A598)&lt;&gt;1)),"work",(INDEX(Subject!$A:$I,MATCH(RANDBETWEEN(1,(MAX(Subject!$B:$B))),Subject!$B:$B,0),3))))</f>
        <v/>
      </c>
      <c r="M598" s="2" t="str">
        <f t="array" ref="M598">IF(NOW()&gt;AX598,"",IF(AND((WEEKDAY($A598)+$B$2)&gt;1,((WEEKDAY($A598)+$T$2)&lt;7),(WEEKDAY($A598)&lt;&gt;1)),"work",(INDEX(Subject!$A:$I,MATCH(RANDBETWEEN(1,(MAX(Subject!$B:$B))),Subject!$B:$B,0),3))))</f>
        <v/>
      </c>
      <c r="N598" s="2" t="str">
        <f t="array" ref="N598">IF(NOW()&gt;AY598,"",IF(AND((WEEKDAY($A598)+$B$2)&gt;1,((WEEKDAY($A598)+$T$2)&lt;7),(WEEKDAY($A598)&lt;&gt;1)),"work",(INDEX(Subject!$A:$I,MATCH(RANDBETWEEN(1,(MAX(Subject!$B:$B))),Subject!$B:$B,0),3))))</f>
        <v/>
      </c>
      <c r="O598" s="2" t="str">
        <f t="array" ref="O598">IF(NOW()&gt;AZ598,"",IF(AND((WEEKDAY($A598)+$B$2)&gt;1,((WEEKDAY($A598)+$T$2)&lt;7),(WEEKDAY($A598)&lt;&gt;1)),"work",(INDEX(Subject!$A:$I,MATCH(RANDBETWEEN(1,(MAX(Subject!$B:$B))),Subject!$B:$B,0),3))))</f>
        <v/>
      </c>
      <c r="P598" s="2" t="str">
        <f t="array" ref="P598">IF(NOW()&gt;BA598,"",IF(AND((WEEKDAY($A598)+$B$2)&gt;1,((WEEKDAY($A598)+$T$2)&lt;7),(WEEKDAY($A598)&lt;&gt;1)),"work",(INDEX(Subject!$A:$I,MATCH(RANDBETWEEN(1,(MAX(Subject!$B:$B))),Subject!$B:$B,0),3))))</f>
        <v/>
      </c>
      <c r="Q598" s="2" t="str">
        <f t="array" ref="Q598">IF(NOW()&gt;BB598,"",IF(AND((WEEKDAY($A598)+$B$2)&gt;1,((WEEKDAY($A598)+$T$2)&lt;7),(WEEKDAY($A598)&lt;&gt;1)),"work",(INDEX(Subject!$A:$I,MATCH(RANDBETWEEN(1,(MAX(Subject!$B:$B))),Subject!$B:$B,0),3))))</f>
        <v/>
      </c>
      <c r="R598" s="2" t="str">
        <f t="array" ref="R598">IF(NOW()&gt;BC598,"",IF(AND((WEEKDAY($A598)+$B$2)&gt;1,((WEEKDAY($A598)+$T$2)&lt;7),(WEEKDAY($A598)&lt;&gt;1)),"work",(INDEX(Subject!$A:$I,MATCH(RANDBETWEEN(1,(MAX(Subject!$B:$B))),Subject!$B:$B,0),3))))</f>
        <v/>
      </c>
      <c r="S598" s="2" t="str">
        <f t="array" ref="S598">IF(NOW()&gt;BD598,"",IF(AND((WEEKDAY($A598)+$B$2)&gt;1,((WEEKDAY($A598)+$T$2)&lt;7),(WEEKDAY($A598)&lt;&gt;1)),"work",(INDEX(Subject!$A:$I,MATCH(RANDBETWEEN(1,(MAX(Subject!$B:$B))),Subject!$B:$B,0),3))))</f>
        <v/>
      </c>
      <c r="T598" s="2" t="str">
        <f t="array" ref="T598">IF(NOW()&gt;BE598,"",IF(AND((WEEKDAY($A598)+$B$2)&gt;1,((WEEKDAY($A598)+$T$2)&lt;7),(WEEKDAY($A598)&lt;&gt;1)),"work",(INDEX(Subject!$A:$I,MATCH(RANDBETWEEN(1,(MAX(Subject!$B:$B))),Subject!$B:$B,0),3))))</f>
        <v/>
      </c>
      <c r="U598" s="8" t="str">
        <f t="array" ref="U598">INDEX(Subject!$A:$I,MATCH(RANDBETWEEN(1,16),Subject!$B:$B,0),3)</f>
        <v>#N/A</v>
      </c>
      <c r="V598" s="8" t="str">
        <f t="array" ref="V598">INDEX(Subject!$A:$I,MATCH(RANDBETWEEN(1,16),Subject!$B:$B,0),3)</f>
        <v>#N/A</v>
      </c>
      <c r="W598" s="8" t="str">
        <f t="array" ref="W598">INDEX(Subject!$A:$I,MATCH(RANDBETWEEN(1,16),Subject!$B:$B,0),3)</f>
        <v>#N/A</v>
      </c>
      <c r="X598" s="8" t="str">
        <f t="array" ref="X598">INDEX(Subject!$A:$I,MATCH(RANDBETWEEN(1,16),Subject!$B:$B,0),3)</f>
        <v>#N/A</v>
      </c>
      <c r="Y598" s="8" t="str">
        <f t="array" ref="Y598">INDEX(Subject!$A:$I,MATCH(RANDBETWEEN(1,16),Subject!$B:$B,0),3)</f>
        <v>#N/A</v>
      </c>
      <c r="Z598" s="8" t="str">
        <f t="array" ref="Z598">INDEX(Subject!$A:$I,MATCH(RANDBETWEEN(1,16),Subject!$B:$B,0),3)</f>
        <v>#N/A</v>
      </c>
      <c r="AA598" s="8" t="str">
        <f t="array" ref="AA598">INDEX(Subject!$A:$I,MATCH(RANDBETWEEN(1,16),Subject!$B:$B,0),3)</f>
        <v>#N/A</v>
      </c>
      <c r="AB598" s="8" t="str">
        <f t="array" ref="AB598">INDEX(Subject!$A:$I,MATCH(RANDBETWEEN(1,16),Subject!$B:$B,0),3)</f>
        <v>#N/A</v>
      </c>
      <c r="AC598" s="8" t="str">
        <f t="array" ref="AC598">INDEX(Subject!$A:$I,MATCH(RANDBETWEEN(1,16),Subject!$B:$B,0),3)</f>
        <v>#N/A</v>
      </c>
      <c r="AD598" s="8" t="str">
        <f t="array" ref="AD598">INDEX(Subject!$A:$I,MATCH(RANDBETWEEN(1,16),Subject!$B:$B,0),3)</f>
        <v>#N/A</v>
      </c>
      <c r="AE598" s="8" t="str">
        <f t="array" ref="AE598">INDEX(Subject!$A:$I,MATCH(RANDBETWEEN(1,16),Subject!$B:$B,0),3)</f>
        <v>#N/A</v>
      </c>
      <c r="AF598" s="8" t="str">
        <f t="array" ref="AF598">INDEX(Subject!$A:$I,MATCH(RANDBETWEEN(1,16),Subject!$B:$B,0),3)</f>
        <v>#N/A</v>
      </c>
      <c r="AG598" s="8" t="str">
        <f t="array" ref="AG598">INDEX(Subject!$A:$I,MATCH(RANDBETWEEN(1,16),Subject!$B:$B,0),3)</f>
        <v>#N/A</v>
      </c>
      <c r="AH598" s="8" t="str">
        <f t="array" ref="AH598">INDEX(Subject!$A:$I,MATCH(RANDBETWEEN(1,16),Subject!$B:$B,0),3)</f>
        <v>#N/A</v>
      </c>
      <c r="AI598" s="8" t="str">
        <f t="array" ref="AI598">INDEX(Subject!$A:$I,MATCH(RANDBETWEEN(1,16),Subject!$B:$B,0),3)</f>
        <v>#N/A</v>
      </c>
      <c r="AJ598" s="8" t="str">
        <f t="array" ref="AJ598">INDEX(Subject!$A:$I,MATCH(RANDBETWEEN(1,16),Subject!$B:$B,0),3)</f>
        <v>#N/A</v>
      </c>
      <c r="AK598" s="8" t="str">
        <f t="array" ref="AK598">INDEX(Subject!$A:$I,MATCH(RANDBETWEEN(1,16),Subject!$B:$B,0),3)</f>
        <v>#N/A</v>
      </c>
      <c r="AL598" s="8" t="str">
        <f t="array" ref="AL598">INDEX(Subject!$A:$I,MATCH(RANDBETWEEN(1,16),Subject!$B:$B,0),3)</f>
        <v>#N/A</v>
      </c>
      <c r="AM598" s="18">
        <f t="shared" si="4"/>
        <v>46098.33333</v>
      </c>
      <c r="AN598" s="19">
        <f t="shared" ref="AN598:BZ598" si="598">$A598+C$1</f>
        <v>46098.35417</v>
      </c>
      <c r="AO598" s="19">
        <f t="shared" si="598"/>
        <v>46098.375</v>
      </c>
      <c r="AP598" s="19">
        <f t="shared" si="598"/>
        <v>46098.39583</v>
      </c>
      <c r="AQ598" s="19">
        <f t="shared" si="598"/>
        <v>46098.41667</v>
      </c>
      <c r="AR598" s="19">
        <f t="shared" si="598"/>
        <v>46098.4375</v>
      </c>
      <c r="AS598" s="19">
        <f t="shared" si="598"/>
        <v>46098.45833</v>
      </c>
      <c r="AT598" s="19">
        <f t="shared" si="598"/>
        <v>46098.47917</v>
      </c>
      <c r="AU598" s="19">
        <f t="shared" si="598"/>
        <v>46098.5</v>
      </c>
      <c r="AV598" s="19">
        <f t="shared" si="598"/>
        <v>46098.52083</v>
      </c>
      <c r="AW598" s="19">
        <f t="shared" si="598"/>
        <v>46098.54167</v>
      </c>
      <c r="AX598" s="19">
        <f t="shared" si="598"/>
        <v>46098.5625</v>
      </c>
      <c r="AY598" s="19">
        <f t="shared" si="598"/>
        <v>46098.58333</v>
      </c>
      <c r="AZ598" s="19">
        <f t="shared" si="598"/>
        <v>46098.60417</v>
      </c>
      <c r="BA598" s="19">
        <f t="shared" si="598"/>
        <v>46098.625</v>
      </c>
      <c r="BB598" s="19">
        <f t="shared" si="598"/>
        <v>46098.64583</v>
      </c>
      <c r="BC598" s="19">
        <f t="shared" si="598"/>
        <v>46098.66667</v>
      </c>
      <c r="BD598" s="19">
        <f t="shared" si="598"/>
        <v>46098.6875</v>
      </c>
      <c r="BE598" s="19">
        <f t="shared" si="598"/>
        <v>46098.70833</v>
      </c>
      <c r="BF598" s="19">
        <f t="shared" si="598"/>
        <v>46098.72917</v>
      </c>
      <c r="BG598" s="19">
        <f t="shared" si="598"/>
        <v>46098.75</v>
      </c>
      <c r="BH598" s="19">
        <f t="shared" si="598"/>
        <v>46098.77083</v>
      </c>
      <c r="BI598" s="19">
        <f t="shared" si="598"/>
        <v>46098.79167</v>
      </c>
      <c r="BJ598" s="19">
        <f t="shared" si="598"/>
        <v>46098.8125</v>
      </c>
      <c r="BK598" s="19">
        <f t="shared" si="598"/>
        <v>46098.83333</v>
      </c>
      <c r="BL598" s="19">
        <f t="shared" si="598"/>
        <v>46098.85417</v>
      </c>
      <c r="BM598" s="19">
        <f t="shared" si="598"/>
        <v>46098.875</v>
      </c>
      <c r="BN598" s="19">
        <f t="shared" si="598"/>
        <v>46098.89583</v>
      </c>
      <c r="BO598" s="19">
        <f t="shared" si="598"/>
        <v>46098.91667</v>
      </c>
      <c r="BP598" s="19">
        <f t="shared" si="598"/>
        <v>46098.9375</v>
      </c>
      <c r="BQ598" s="19">
        <f t="shared" si="598"/>
        <v>46098.95833</v>
      </c>
      <c r="BR598" s="19">
        <f t="shared" si="598"/>
        <v>46098.97917</v>
      </c>
      <c r="BS598" s="19">
        <f t="shared" si="598"/>
        <v>46099</v>
      </c>
      <c r="BT598" s="19">
        <f t="shared" si="598"/>
        <v>46099.02083</v>
      </c>
      <c r="BU598" s="19">
        <f t="shared" si="598"/>
        <v>46099.04167</v>
      </c>
      <c r="BV598" s="19">
        <f t="shared" si="598"/>
        <v>46099.0625</v>
      </c>
      <c r="BW598" s="19">
        <f t="shared" si="598"/>
        <v>46099.08333</v>
      </c>
      <c r="BX598" s="19">
        <f t="shared" si="598"/>
        <v>46098</v>
      </c>
      <c r="BY598" s="19">
        <f t="shared" si="598"/>
        <v>46098</v>
      </c>
      <c r="BZ598" s="19">
        <f t="shared" si="598"/>
        <v>46098</v>
      </c>
    </row>
    <row r="599" ht="14.25" customHeight="1">
      <c r="A599" s="17">
        <v>46099.0</v>
      </c>
      <c r="B599" s="2" t="str">
        <f t="array" ref="B599">IF(NOW()&gt;AM599,"",IF(AND((WEEKDAY($A599)+$B$2)&gt;1,((WEEKDAY($A599)+$T$2)&lt;7),(WEEKDAY($A599)&lt;&gt;1)),"work",(INDEX(Subject!$A:$I,MATCH(RANDBETWEEN(1,(MAX(Subject!$B:$B))),Subject!$B:$B,0),3))))</f>
        <v/>
      </c>
      <c r="C599" s="2" t="str">
        <f t="array" ref="C599">IF(NOW()&gt;AN599,"",IF(AND((WEEKDAY($A599)+$B$2)&gt;1,((WEEKDAY($A599)+$T$2)&lt;7),(WEEKDAY($A599)&lt;&gt;1)),"work",(INDEX(Subject!$A:$I,MATCH(RANDBETWEEN(1,(MAX(Subject!$B:$B))),Subject!$B:$B,0),3))))</f>
        <v/>
      </c>
      <c r="D599" s="2" t="str">
        <f t="array" ref="D599">IF(NOW()&gt;AO599,"",IF(AND((WEEKDAY($A599)+$B$2)&gt;1,((WEEKDAY($A599)+$T$2)&lt;7),(WEEKDAY($A599)&lt;&gt;1)),"work",(INDEX(Subject!$A:$I,MATCH(RANDBETWEEN(1,(MAX(Subject!$B:$B))),Subject!$B:$B,0),3))))</f>
        <v/>
      </c>
      <c r="E599" s="2" t="str">
        <f t="array" ref="E599">IF(NOW()&gt;AP599,"",IF(AND((WEEKDAY($A599)+$B$2)&gt;1,((WEEKDAY($A599)+$T$2)&lt;7),(WEEKDAY($A599)&lt;&gt;1)),"work",(INDEX(Subject!$A:$I,MATCH(RANDBETWEEN(1,(MAX(Subject!$B:$B))),Subject!$B:$B,0),3))))</f>
        <v/>
      </c>
      <c r="F599" s="2" t="str">
        <f t="array" ref="F599">IF(NOW()&gt;AQ599,"",IF(AND((WEEKDAY($A599)+$B$2)&gt;1,((WEEKDAY($A599)+$T$2)&lt;7),(WEEKDAY($A599)&lt;&gt;1)),"work",(INDEX(Subject!$A:$I,MATCH(RANDBETWEEN(1,(MAX(Subject!$B:$B))),Subject!$B:$B,0),3))))</f>
        <v/>
      </c>
      <c r="G599" s="2" t="str">
        <f t="array" ref="G599">IF(NOW()&gt;AR599,"",IF(AND((WEEKDAY($A599)+$B$2)&gt;1,((WEEKDAY($A599)+$T$2)&lt;7),(WEEKDAY($A599)&lt;&gt;1)),"work",(INDEX(Subject!$A:$I,MATCH(RANDBETWEEN(1,(MAX(Subject!$B:$B))),Subject!$B:$B,0),3))))</f>
        <v/>
      </c>
      <c r="H599" s="2" t="str">
        <f t="array" ref="H599">IF(NOW()&gt;AS599,"",IF(AND((WEEKDAY($A599)+$B$2)&gt;1,((WEEKDAY($A599)+$T$2)&lt;7),(WEEKDAY($A599)&lt;&gt;1)),"work",(INDEX(Subject!$A:$I,MATCH(RANDBETWEEN(1,(MAX(Subject!$B:$B))),Subject!$B:$B,0),3))))</f>
        <v/>
      </c>
      <c r="I599" s="2" t="str">
        <f t="array" ref="I599">IF(NOW()&gt;AT599,"",IF(AND((WEEKDAY($A599)+$B$2)&gt;1,((WEEKDAY($A599)+$T$2)&lt;7),(WEEKDAY($A599)&lt;&gt;1)),"work",(INDEX(Subject!$A:$I,MATCH(RANDBETWEEN(1,(MAX(Subject!$B:$B))),Subject!$B:$B,0),3))))</f>
        <v/>
      </c>
      <c r="J599" s="2" t="str">
        <f t="array" ref="J599">IF(NOW()&gt;AU599,"",IF(AND((WEEKDAY($A599)+$B$2)&gt;1,((WEEKDAY($A599)+$T$2)&lt;7),(WEEKDAY($A599)&lt;&gt;1)),"work",(INDEX(Subject!$A:$I,MATCH(RANDBETWEEN(1,(MAX(Subject!$B:$B))),Subject!$B:$B,0),3))))</f>
        <v/>
      </c>
      <c r="K599" s="2" t="str">
        <f t="array" ref="K599">IF(NOW()&gt;AV599,"",IF(AND((WEEKDAY($A599)+$B$2)&gt;1,((WEEKDAY($A599)+$T$2)&lt;7),(WEEKDAY($A599)&lt;&gt;1)),"work",(INDEX(Subject!$A:$I,MATCH(RANDBETWEEN(1,(MAX(Subject!$B:$B))),Subject!$B:$B,0),3))))</f>
        <v/>
      </c>
      <c r="L599" s="2" t="str">
        <f t="array" ref="L599">IF(NOW()&gt;AW599,"",IF(AND((WEEKDAY($A599)+$B$2)&gt;1,((WEEKDAY($A599)+$T$2)&lt;7),(WEEKDAY($A599)&lt;&gt;1)),"work",(INDEX(Subject!$A:$I,MATCH(RANDBETWEEN(1,(MAX(Subject!$B:$B))),Subject!$B:$B,0),3))))</f>
        <v/>
      </c>
      <c r="M599" s="2" t="str">
        <f t="array" ref="M599">IF(NOW()&gt;AX599,"",IF(AND((WEEKDAY($A599)+$B$2)&gt;1,((WEEKDAY($A599)+$T$2)&lt;7),(WEEKDAY($A599)&lt;&gt;1)),"work",(INDEX(Subject!$A:$I,MATCH(RANDBETWEEN(1,(MAX(Subject!$B:$B))),Subject!$B:$B,0),3))))</f>
        <v/>
      </c>
      <c r="N599" s="2" t="str">
        <f t="array" ref="N599">IF(NOW()&gt;AY599,"",IF(AND((WEEKDAY($A599)+$B$2)&gt;1,((WEEKDAY($A599)+$T$2)&lt;7),(WEEKDAY($A599)&lt;&gt;1)),"work",(INDEX(Subject!$A:$I,MATCH(RANDBETWEEN(1,(MAX(Subject!$B:$B))),Subject!$B:$B,0),3))))</f>
        <v/>
      </c>
      <c r="O599" s="2" t="str">
        <f t="array" ref="O599">IF(NOW()&gt;AZ599,"",IF(AND((WEEKDAY($A599)+$B$2)&gt;1,((WEEKDAY($A599)+$T$2)&lt;7),(WEEKDAY($A599)&lt;&gt;1)),"work",(INDEX(Subject!$A:$I,MATCH(RANDBETWEEN(1,(MAX(Subject!$B:$B))),Subject!$B:$B,0),3))))</f>
        <v/>
      </c>
      <c r="P599" s="2" t="str">
        <f t="array" ref="P599">IF(NOW()&gt;BA599,"",IF(AND((WEEKDAY($A599)+$B$2)&gt;1,((WEEKDAY($A599)+$T$2)&lt;7),(WEEKDAY($A599)&lt;&gt;1)),"work",(INDEX(Subject!$A:$I,MATCH(RANDBETWEEN(1,(MAX(Subject!$B:$B))),Subject!$B:$B,0),3))))</f>
        <v/>
      </c>
      <c r="Q599" s="2" t="str">
        <f t="array" ref="Q599">IF(NOW()&gt;BB599,"",IF(AND((WEEKDAY($A599)+$B$2)&gt;1,((WEEKDAY($A599)+$T$2)&lt;7),(WEEKDAY($A599)&lt;&gt;1)),"work",(INDEX(Subject!$A:$I,MATCH(RANDBETWEEN(1,(MAX(Subject!$B:$B))),Subject!$B:$B,0),3))))</f>
        <v/>
      </c>
      <c r="R599" s="2" t="str">
        <f t="array" ref="R599">IF(NOW()&gt;BC599,"",IF(AND((WEEKDAY($A599)+$B$2)&gt;1,((WEEKDAY($A599)+$T$2)&lt;7),(WEEKDAY($A599)&lt;&gt;1)),"work",(INDEX(Subject!$A:$I,MATCH(RANDBETWEEN(1,(MAX(Subject!$B:$B))),Subject!$B:$B,0),3))))</f>
        <v/>
      </c>
      <c r="S599" s="2" t="str">
        <f t="array" ref="S599">IF(NOW()&gt;BD599,"",IF(AND((WEEKDAY($A599)+$B$2)&gt;1,((WEEKDAY($A599)+$T$2)&lt;7),(WEEKDAY($A599)&lt;&gt;1)),"work",(INDEX(Subject!$A:$I,MATCH(RANDBETWEEN(1,(MAX(Subject!$B:$B))),Subject!$B:$B,0),3))))</f>
        <v/>
      </c>
      <c r="T599" s="2" t="str">
        <f t="array" ref="T599">IF(NOW()&gt;BE599,"",IF(AND((WEEKDAY($A599)+$B$2)&gt;1,((WEEKDAY($A599)+$T$2)&lt;7),(WEEKDAY($A599)&lt;&gt;1)),"work",(INDEX(Subject!$A:$I,MATCH(RANDBETWEEN(1,(MAX(Subject!$B:$B))),Subject!$B:$B,0),3))))</f>
        <v/>
      </c>
      <c r="U599" s="8" t="str">
        <f t="array" ref="U599">INDEX(Subject!$A:$I,MATCH(RANDBETWEEN(1,16),Subject!$B:$B,0),3)</f>
        <v>#N/A</v>
      </c>
      <c r="V599" s="8" t="str">
        <f t="array" ref="V599">INDEX(Subject!$A:$I,MATCH(RANDBETWEEN(1,16),Subject!$B:$B,0),3)</f>
        <v/>
      </c>
      <c r="W599" s="8" t="str">
        <f t="array" ref="W599">INDEX(Subject!$A:$I,MATCH(RANDBETWEEN(1,16),Subject!$B:$B,0),3)</f>
        <v>#N/A</v>
      </c>
      <c r="X599" s="8" t="str">
        <f t="array" ref="X599">INDEX(Subject!$A:$I,MATCH(RANDBETWEEN(1,16),Subject!$B:$B,0),3)</f>
        <v>#N/A</v>
      </c>
      <c r="Y599" s="8" t="str">
        <f t="array" ref="Y599">INDEX(Subject!$A:$I,MATCH(RANDBETWEEN(1,16),Subject!$B:$B,0),3)</f>
        <v>#N/A</v>
      </c>
      <c r="Z599" s="8" t="str">
        <f t="array" ref="Z599">INDEX(Subject!$A:$I,MATCH(RANDBETWEEN(1,16),Subject!$B:$B,0),3)</f>
        <v>#N/A</v>
      </c>
      <c r="AA599" s="8" t="str">
        <f t="array" ref="AA599">INDEX(Subject!$A:$I,MATCH(RANDBETWEEN(1,16),Subject!$B:$B,0),3)</f>
        <v>#N/A</v>
      </c>
      <c r="AB599" s="8" t="str">
        <f t="array" ref="AB599">INDEX(Subject!$A:$I,MATCH(RANDBETWEEN(1,16),Subject!$B:$B,0),3)</f>
        <v>#N/A</v>
      </c>
      <c r="AC599" s="8" t="str">
        <f t="array" ref="AC599">INDEX(Subject!$A:$I,MATCH(RANDBETWEEN(1,16),Subject!$B:$B,0),3)</f>
        <v>#N/A</v>
      </c>
      <c r="AD599" s="8" t="str">
        <f t="array" ref="AD599">INDEX(Subject!$A:$I,MATCH(RANDBETWEEN(1,16),Subject!$B:$B,0),3)</f>
        <v>#N/A</v>
      </c>
      <c r="AE599" s="8" t="str">
        <f t="array" ref="AE599">INDEX(Subject!$A:$I,MATCH(RANDBETWEEN(1,16),Subject!$B:$B,0),3)</f>
        <v>#N/A</v>
      </c>
      <c r="AF599" s="8" t="str">
        <f t="array" ref="AF599">INDEX(Subject!$A:$I,MATCH(RANDBETWEEN(1,16),Subject!$B:$B,0),3)</f>
        <v>#N/A</v>
      </c>
      <c r="AG599" s="8" t="str">
        <f t="array" ref="AG599">INDEX(Subject!$A:$I,MATCH(RANDBETWEEN(1,16),Subject!$B:$B,0),3)</f>
        <v>#N/A</v>
      </c>
      <c r="AH599" s="8" t="str">
        <f t="array" ref="AH599">INDEX(Subject!$A:$I,MATCH(RANDBETWEEN(1,16),Subject!$B:$B,0),3)</f>
        <v>#N/A</v>
      </c>
      <c r="AI599" s="8" t="str">
        <f t="array" ref="AI599">INDEX(Subject!$A:$I,MATCH(RANDBETWEEN(1,16),Subject!$B:$B,0),3)</f>
        <v>#N/A</v>
      </c>
      <c r="AJ599" s="8" t="str">
        <f t="array" ref="AJ599">INDEX(Subject!$A:$I,MATCH(RANDBETWEEN(1,16),Subject!$B:$B,0),3)</f>
        <v>#N/A</v>
      </c>
      <c r="AK599" s="8" t="str">
        <f t="array" ref="AK599">INDEX(Subject!$A:$I,MATCH(RANDBETWEEN(1,16),Subject!$B:$B,0),3)</f>
        <v>#N/A</v>
      </c>
      <c r="AL599" s="8" t="str">
        <f t="array" ref="AL599">INDEX(Subject!$A:$I,MATCH(RANDBETWEEN(1,16),Subject!$B:$B,0),3)</f>
        <v>#N/A</v>
      </c>
      <c r="AM599" s="18">
        <f t="shared" si="4"/>
        <v>46099.33333</v>
      </c>
      <c r="AN599" s="19">
        <f t="shared" ref="AN599:BZ599" si="599">$A599+C$1</f>
        <v>46099.35417</v>
      </c>
      <c r="AO599" s="19">
        <f t="shared" si="599"/>
        <v>46099.375</v>
      </c>
      <c r="AP599" s="19">
        <f t="shared" si="599"/>
        <v>46099.39583</v>
      </c>
      <c r="AQ599" s="19">
        <f t="shared" si="599"/>
        <v>46099.41667</v>
      </c>
      <c r="AR599" s="19">
        <f t="shared" si="599"/>
        <v>46099.4375</v>
      </c>
      <c r="AS599" s="19">
        <f t="shared" si="599"/>
        <v>46099.45833</v>
      </c>
      <c r="AT599" s="19">
        <f t="shared" si="599"/>
        <v>46099.47917</v>
      </c>
      <c r="AU599" s="19">
        <f t="shared" si="599"/>
        <v>46099.5</v>
      </c>
      <c r="AV599" s="19">
        <f t="shared" si="599"/>
        <v>46099.52083</v>
      </c>
      <c r="AW599" s="19">
        <f t="shared" si="599"/>
        <v>46099.54167</v>
      </c>
      <c r="AX599" s="19">
        <f t="shared" si="599"/>
        <v>46099.5625</v>
      </c>
      <c r="AY599" s="19">
        <f t="shared" si="599"/>
        <v>46099.58333</v>
      </c>
      <c r="AZ599" s="19">
        <f t="shared" si="599"/>
        <v>46099.60417</v>
      </c>
      <c r="BA599" s="19">
        <f t="shared" si="599"/>
        <v>46099.625</v>
      </c>
      <c r="BB599" s="19">
        <f t="shared" si="599"/>
        <v>46099.64583</v>
      </c>
      <c r="BC599" s="19">
        <f t="shared" si="599"/>
        <v>46099.66667</v>
      </c>
      <c r="BD599" s="19">
        <f t="shared" si="599"/>
        <v>46099.6875</v>
      </c>
      <c r="BE599" s="19">
        <f t="shared" si="599"/>
        <v>46099.70833</v>
      </c>
      <c r="BF599" s="19">
        <f t="shared" si="599"/>
        <v>46099.72917</v>
      </c>
      <c r="BG599" s="19">
        <f t="shared" si="599"/>
        <v>46099.75</v>
      </c>
      <c r="BH599" s="19">
        <f t="shared" si="599"/>
        <v>46099.77083</v>
      </c>
      <c r="BI599" s="19">
        <f t="shared" si="599"/>
        <v>46099.79167</v>
      </c>
      <c r="BJ599" s="19">
        <f t="shared" si="599"/>
        <v>46099.8125</v>
      </c>
      <c r="BK599" s="19">
        <f t="shared" si="599"/>
        <v>46099.83333</v>
      </c>
      <c r="BL599" s="19">
        <f t="shared" si="599"/>
        <v>46099.85417</v>
      </c>
      <c r="BM599" s="19">
        <f t="shared" si="599"/>
        <v>46099.875</v>
      </c>
      <c r="BN599" s="19">
        <f t="shared" si="599"/>
        <v>46099.89583</v>
      </c>
      <c r="BO599" s="19">
        <f t="shared" si="599"/>
        <v>46099.91667</v>
      </c>
      <c r="BP599" s="19">
        <f t="shared" si="599"/>
        <v>46099.9375</v>
      </c>
      <c r="BQ599" s="19">
        <f t="shared" si="599"/>
        <v>46099.95833</v>
      </c>
      <c r="BR599" s="19">
        <f t="shared" si="599"/>
        <v>46099.97917</v>
      </c>
      <c r="BS599" s="19">
        <f t="shared" si="599"/>
        <v>46100</v>
      </c>
      <c r="BT599" s="19">
        <f t="shared" si="599"/>
        <v>46100.02083</v>
      </c>
      <c r="BU599" s="19">
        <f t="shared" si="599"/>
        <v>46100.04167</v>
      </c>
      <c r="BV599" s="19">
        <f t="shared" si="599"/>
        <v>46100.0625</v>
      </c>
      <c r="BW599" s="19">
        <f t="shared" si="599"/>
        <v>46100.08333</v>
      </c>
      <c r="BX599" s="19">
        <f t="shared" si="599"/>
        <v>46099</v>
      </c>
      <c r="BY599" s="19">
        <f t="shared" si="599"/>
        <v>46099</v>
      </c>
      <c r="BZ599" s="19">
        <f t="shared" si="599"/>
        <v>46099</v>
      </c>
    </row>
    <row r="600" ht="14.25" customHeight="1">
      <c r="A600" s="17">
        <v>46100.0</v>
      </c>
      <c r="B600" s="2" t="str">
        <f t="array" ref="B600">IF(NOW()&gt;AM600,"",IF(AND((WEEKDAY($A600)+$B$2)&gt;1,((WEEKDAY($A600)+$T$2)&lt;7),(WEEKDAY($A600)&lt;&gt;1)),"work",(INDEX(Subject!$A:$I,MATCH(RANDBETWEEN(1,(MAX(Subject!$B:$B))),Subject!$B:$B,0),3))))</f>
        <v/>
      </c>
      <c r="C600" s="2" t="str">
        <f t="array" ref="C600">IF(NOW()&gt;AN600,"",IF(AND((WEEKDAY($A600)+$B$2)&gt;1,((WEEKDAY($A600)+$T$2)&lt;7),(WEEKDAY($A600)&lt;&gt;1)),"work",(INDEX(Subject!$A:$I,MATCH(RANDBETWEEN(1,(MAX(Subject!$B:$B))),Subject!$B:$B,0),3))))</f>
        <v/>
      </c>
      <c r="D600" s="2" t="str">
        <f t="array" ref="D600">IF(NOW()&gt;AO600,"",IF(AND((WEEKDAY($A600)+$B$2)&gt;1,((WEEKDAY($A600)+$T$2)&lt;7),(WEEKDAY($A600)&lt;&gt;1)),"work",(INDEX(Subject!$A:$I,MATCH(RANDBETWEEN(1,(MAX(Subject!$B:$B))),Subject!$B:$B,0),3))))</f>
        <v/>
      </c>
      <c r="E600" s="2" t="str">
        <f t="array" ref="E600">IF(NOW()&gt;AP600,"",IF(AND((WEEKDAY($A600)+$B$2)&gt;1,((WEEKDAY($A600)+$T$2)&lt;7),(WEEKDAY($A600)&lt;&gt;1)),"work",(INDEX(Subject!$A:$I,MATCH(RANDBETWEEN(1,(MAX(Subject!$B:$B))),Subject!$B:$B,0),3))))</f>
        <v/>
      </c>
      <c r="F600" s="2" t="str">
        <f t="array" ref="F600">IF(NOW()&gt;AQ600,"",IF(AND((WEEKDAY($A600)+$B$2)&gt;1,((WEEKDAY($A600)+$T$2)&lt;7),(WEEKDAY($A600)&lt;&gt;1)),"work",(INDEX(Subject!$A:$I,MATCH(RANDBETWEEN(1,(MAX(Subject!$B:$B))),Subject!$B:$B,0),3))))</f>
        <v/>
      </c>
      <c r="G600" s="2" t="str">
        <f t="array" ref="G600">IF(NOW()&gt;AR600,"",IF(AND((WEEKDAY($A600)+$B$2)&gt;1,((WEEKDAY($A600)+$T$2)&lt;7),(WEEKDAY($A600)&lt;&gt;1)),"work",(INDEX(Subject!$A:$I,MATCH(RANDBETWEEN(1,(MAX(Subject!$B:$B))),Subject!$B:$B,0),3))))</f>
        <v/>
      </c>
      <c r="H600" s="2" t="str">
        <f t="array" ref="H600">IF(NOW()&gt;AS600,"",IF(AND((WEEKDAY($A600)+$B$2)&gt;1,((WEEKDAY($A600)+$T$2)&lt;7),(WEEKDAY($A600)&lt;&gt;1)),"work",(INDEX(Subject!$A:$I,MATCH(RANDBETWEEN(1,(MAX(Subject!$B:$B))),Subject!$B:$B,0),3))))</f>
        <v/>
      </c>
      <c r="I600" s="2" t="str">
        <f t="array" ref="I600">IF(NOW()&gt;AT600,"",IF(AND((WEEKDAY($A600)+$B$2)&gt;1,((WEEKDAY($A600)+$T$2)&lt;7),(WEEKDAY($A600)&lt;&gt;1)),"work",(INDEX(Subject!$A:$I,MATCH(RANDBETWEEN(1,(MAX(Subject!$B:$B))),Subject!$B:$B,0),3))))</f>
        <v/>
      </c>
      <c r="J600" s="2" t="str">
        <f t="array" ref="J600">IF(NOW()&gt;AU600,"",IF(AND((WEEKDAY($A600)+$B$2)&gt;1,((WEEKDAY($A600)+$T$2)&lt;7),(WEEKDAY($A600)&lt;&gt;1)),"work",(INDEX(Subject!$A:$I,MATCH(RANDBETWEEN(1,(MAX(Subject!$B:$B))),Subject!$B:$B,0),3))))</f>
        <v/>
      </c>
      <c r="K600" s="2" t="str">
        <f t="array" ref="K600">IF(NOW()&gt;AV600,"",IF(AND((WEEKDAY($A600)+$B$2)&gt;1,((WEEKDAY($A600)+$T$2)&lt;7),(WEEKDAY($A600)&lt;&gt;1)),"work",(INDEX(Subject!$A:$I,MATCH(RANDBETWEEN(1,(MAX(Subject!$B:$B))),Subject!$B:$B,0),3))))</f>
        <v/>
      </c>
      <c r="L600" s="2" t="str">
        <f t="array" ref="L600">IF(NOW()&gt;AW600,"",IF(AND((WEEKDAY($A600)+$B$2)&gt;1,((WEEKDAY($A600)+$T$2)&lt;7),(WEEKDAY($A600)&lt;&gt;1)),"work",(INDEX(Subject!$A:$I,MATCH(RANDBETWEEN(1,(MAX(Subject!$B:$B))),Subject!$B:$B,0),3))))</f>
        <v/>
      </c>
      <c r="M600" s="2" t="str">
        <f t="array" ref="M600">IF(NOW()&gt;AX600,"",IF(AND((WEEKDAY($A600)+$B$2)&gt;1,((WEEKDAY($A600)+$T$2)&lt;7),(WEEKDAY($A600)&lt;&gt;1)),"work",(INDEX(Subject!$A:$I,MATCH(RANDBETWEEN(1,(MAX(Subject!$B:$B))),Subject!$B:$B,0),3))))</f>
        <v/>
      </c>
      <c r="N600" s="2" t="str">
        <f t="array" ref="N600">IF(NOW()&gt;AY600,"",IF(AND((WEEKDAY($A600)+$B$2)&gt;1,((WEEKDAY($A600)+$T$2)&lt;7),(WEEKDAY($A600)&lt;&gt;1)),"work",(INDEX(Subject!$A:$I,MATCH(RANDBETWEEN(1,(MAX(Subject!$B:$B))),Subject!$B:$B,0),3))))</f>
        <v/>
      </c>
      <c r="O600" s="2" t="str">
        <f t="array" ref="O600">IF(NOW()&gt;AZ600,"",IF(AND((WEEKDAY($A600)+$B$2)&gt;1,((WEEKDAY($A600)+$T$2)&lt;7),(WEEKDAY($A600)&lt;&gt;1)),"work",(INDEX(Subject!$A:$I,MATCH(RANDBETWEEN(1,(MAX(Subject!$B:$B))),Subject!$B:$B,0),3))))</f>
        <v/>
      </c>
      <c r="P600" s="2" t="str">
        <f t="array" ref="P600">IF(NOW()&gt;BA600,"",IF(AND((WEEKDAY($A600)+$B$2)&gt;1,((WEEKDAY($A600)+$T$2)&lt;7),(WEEKDAY($A600)&lt;&gt;1)),"work",(INDEX(Subject!$A:$I,MATCH(RANDBETWEEN(1,(MAX(Subject!$B:$B))),Subject!$B:$B,0),3))))</f>
        <v/>
      </c>
      <c r="Q600" s="2" t="str">
        <f t="array" ref="Q600">IF(NOW()&gt;BB600,"",IF(AND((WEEKDAY($A600)+$B$2)&gt;1,((WEEKDAY($A600)+$T$2)&lt;7),(WEEKDAY($A600)&lt;&gt;1)),"work",(INDEX(Subject!$A:$I,MATCH(RANDBETWEEN(1,(MAX(Subject!$B:$B))),Subject!$B:$B,0),3))))</f>
        <v/>
      </c>
      <c r="R600" s="2" t="str">
        <f t="array" ref="R600">IF(NOW()&gt;BC600,"",IF(AND((WEEKDAY($A600)+$B$2)&gt;1,((WEEKDAY($A600)+$T$2)&lt;7),(WEEKDAY($A600)&lt;&gt;1)),"work",(INDEX(Subject!$A:$I,MATCH(RANDBETWEEN(1,(MAX(Subject!$B:$B))),Subject!$B:$B,0),3))))</f>
        <v/>
      </c>
      <c r="S600" s="2" t="str">
        <f t="array" ref="S600">IF(NOW()&gt;BD600,"",IF(AND((WEEKDAY($A600)+$B$2)&gt;1,((WEEKDAY($A600)+$T$2)&lt;7),(WEEKDAY($A600)&lt;&gt;1)),"work",(INDEX(Subject!$A:$I,MATCH(RANDBETWEEN(1,(MAX(Subject!$B:$B))),Subject!$B:$B,0),3))))</f>
        <v/>
      </c>
      <c r="T600" s="2" t="str">
        <f t="array" ref="T600">IF(NOW()&gt;BE600,"",IF(AND((WEEKDAY($A600)+$B$2)&gt;1,((WEEKDAY($A600)+$T$2)&lt;7),(WEEKDAY($A600)&lt;&gt;1)),"work",(INDEX(Subject!$A:$I,MATCH(RANDBETWEEN(1,(MAX(Subject!$B:$B))),Subject!$B:$B,0),3))))</f>
        <v/>
      </c>
      <c r="U600" s="8" t="str">
        <f t="array" ref="U600">INDEX(Subject!$A:$I,MATCH(RANDBETWEEN(1,16),Subject!$B:$B,0),3)</f>
        <v>#N/A</v>
      </c>
      <c r="V600" s="8" t="str">
        <f t="array" ref="V600">INDEX(Subject!$A:$I,MATCH(RANDBETWEEN(1,16),Subject!$B:$B,0),3)</f>
        <v>#N/A</v>
      </c>
      <c r="W600" s="8" t="str">
        <f t="array" ref="W600">INDEX(Subject!$A:$I,MATCH(RANDBETWEEN(1,16),Subject!$B:$B,0),3)</f>
        <v>#N/A</v>
      </c>
      <c r="X600" s="8" t="str">
        <f t="array" ref="X600">INDEX(Subject!$A:$I,MATCH(RANDBETWEEN(1,16),Subject!$B:$B,0),3)</f>
        <v>#N/A</v>
      </c>
      <c r="Y600" s="8" t="str">
        <f t="array" ref="Y600">INDEX(Subject!$A:$I,MATCH(RANDBETWEEN(1,16),Subject!$B:$B,0),3)</f>
        <v>#N/A</v>
      </c>
      <c r="Z600" s="8" t="str">
        <f t="array" ref="Z600">INDEX(Subject!$A:$I,MATCH(RANDBETWEEN(1,16),Subject!$B:$B,0),3)</f>
        <v>#N/A</v>
      </c>
      <c r="AA600" s="8" t="str">
        <f t="array" ref="AA600">INDEX(Subject!$A:$I,MATCH(RANDBETWEEN(1,16),Subject!$B:$B,0),3)</f>
        <v>#N/A</v>
      </c>
      <c r="AB600" s="8" t="str">
        <f t="array" ref="AB600">INDEX(Subject!$A:$I,MATCH(RANDBETWEEN(1,16),Subject!$B:$B,0),3)</f>
        <v>#N/A</v>
      </c>
      <c r="AC600" s="8" t="str">
        <f t="array" ref="AC600">INDEX(Subject!$A:$I,MATCH(RANDBETWEEN(1,16),Subject!$B:$B,0),3)</f>
        <v>#N/A</v>
      </c>
      <c r="AD600" s="8" t="str">
        <f t="array" ref="AD600">INDEX(Subject!$A:$I,MATCH(RANDBETWEEN(1,16),Subject!$B:$B,0),3)</f>
        <v>#N/A</v>
      </c>
      <c r="AE600" s="8" t="str">
        <f t="array" ref="AE600">INDEX(Subject!$A:$I,MATCH(RANDBETWEEN(1,16),Subject!$B:$B,0),3)</f>
        <v>#N/A</v>
      </c>
      <c r="AF600" s="8" t="str">
        <f t="array" ref="AF600">INDEX(Subject!$A:$I,MATCH(RANDBETWEEN(1,16),Subject!$B:$B,0),3)</f>
        <v>#N/A</v>
      </c>
      <c r="AG600" s="8" t="str">
        <f t="array" ref="AG600">INDEX(Subject!$A:$I,MATCH(RANDBETWEEN(1,16),Subject!$B:$B,0),3)</f>
        <v>#N/A</v>
      </c>
      <c r="AH600" s="8" t="str">
        <f t="array" ref="AH600">INDEX(Subject!$A:$I,MATCH(RANDBETWEEN(1,16),Subject!$B:$B,0),3)</f>
        <v>#N/A</v>
      </c>
      <c r="AI600" s="8" t="str">
        <f t="array" ref="AI600">INDEX(Subject!$A:$I,MATCH(RANDBETWEEN(1,16),Subject!$B:$B,0),3)</f>
        <v>#N/A</v>
      </c>
      <c r="AJ600" s="8" t="str">
        <f t="array" ref="AJ600">INDEX(Subject!$A:$I,MATCH(RANDBETWEEN(1,16),Subject!$B:$B,0),3)</f>
        <v>#N/A</v>
      </c>
      <c r="AK600" s="8" t="str">
        <f t="array" ref="AK600">INDEX(Subject!$A:$I,MATCH(RANDBETWEEN(1,16),Subject!$B:$B,0),3)</f>
        <v>#N/A</v>
      </c>
      <c r="AL600" s="8" t="str">
        <f t="array" ref="AL600">INDEX(Subject!$A:$I,MATCH(RANDBETWEEN(1,16),Subject!$B:$B,0),3)</f>
        <v>#N/A</v>
      </c>
      <c r="AM600" s="18">
        <f t="shared" si="4"/>
        <v>46100.33333</v>
      </c>
      <c r="AN600" s="19">
        <f t="shared" ref="AN600:BZ600" si="600">$A600+C$1</f>
        <v>46100.35417</v>
      </c>
      <c r="AO600" s="19">
        <f t="shared" si="600"/>
        <v>46100.375</v>
      </c>
      <c r="AP600" s="19">
        <f t="shared" si="600"/>
        <v>46100.39583</v>
      </c>
      <c r="AQ600" s="19">
        <f t="shared" si="600"/>
        <v>46100.41667</v>
      </c>
      <c r="AR600" s="19">
        <f t="shared" si="600"/>
        <v>46100.4375</v>
      </c>
      <c r="AS600" s="19">
        <f t="shared" si="600"/>
        <v>46100.45833</v>
      </c>
      <c r="AT600" s="19">
        <f t="shared" si="600"/>
        <v>46100.47917</v>
      </c>
      <c r="AU600" s="19">
        <f t="shared" si="600"/>
        <v>46100.5</v>
      </c>
      <c r="AV600" s="19">
        <f t="shared" si="600"/>
        <v>46100.52083</v>
      </c>
      <c r="AW600" s="19">
        <f t="shared" si="600"/>
        <v>46100.54167</v>
      </c>
      <c r="AX600" s="19">
        <f t="shared" si="600"/>
        <v>46100.5625</v>
      </c>
      <c r="AY600" s="19">
        <f t="shared" si="600"/>
        <v>46100.58333</v>
      </c>
      <c r="AZ600" s="19">
        <f t="shared" si="600"/>
        <v>46100.60417</v>
      </c>
      <c r="BA600" s="19">
        <f t="shared" si="600"/>
        <v>46100.625</v>
      </c>
      <c r="BB600" s="19">
        <f t="shared" si="600"/>
        <v>46100.64583</v>
      </c>
      <c r="BC600" s="19">
        <f t="shared" si="600"/>
        <v>46100.66667</v>
      </c>
      <c r="BD600" s="19">
        <f t="shared" si="600"/>
        <v>46100.6875</v>
      </c>
      <c r="BE600" s="19">
        <f t="shared" si="600"/>
        <v>46100.70833</v>
      </c>
      <c r="BF600" s="19">
        <f t="shared" si="600"/>
        <v>46100.72917</v>
      </c>
      <c r="BG600" s="19">
        <f t="shared" si="600"/>
        <v>46100.75</v>
      </c>
      <c r="BH600" s="19">
        <f t="shared" si="600"/>
        <v>46100.77083</v>
      </c>
      <c r="BI600" s="19">
        <f t="shared" si="600"/>
        <v>46100.79167</v>
      </c>
      <c r="BJ600" s="19">
        <f t="shared" si="600"/>
        <v>46100.8125</v>
      </c>
      <c r="BK600" s="19">
        <f t="shared" si="600"/>
        <v>46100.83333</v>
      </c>
      <c r="BL600" s="19">
        <f t="shared" si="600"/>
        <v>46100.85417</v>
      </c>
      <c r="BM600" s="19">
        <f t="shared" si="600"/>
        <v>46100.875</v>
      </c>
      <c r="BN600" s="19">
        <f t="shared" si="600"/>
        <v>46100.89583</v>
      </c>
      <c r="BO600" s="19">
        <f t="shared" si="600"/>
        <v>46100.91667</v>
      </c>
      <c r="BP600" s="19">
        <f t="shared" si="600"/>
        <v>46100.9375</v>
      </c>
      <c r="BQ600" s="19">
        <f t="shared" si="600"/>
        <v>46100.95833</v>
      </c>
      <c r="BR600" s="19">
        <f t="shared" si="600"/>
        <v>46100.97917</v>
      </c>
      <c r="BS600" s="19">
        <f t="shared" si="600"/>
        <v>46101</v>
      </c>
      <c r="BT600" s="19">
        <f t="shared" si="600"/>
        <v>46101.02083</v>
      </c>
      <c r="BU600" s="19">
        <f t="shared" si="600"/>
        <v>46101.04167</v>
      </c>
      <c r="BV600" s="19">
        <f t="shared" si="600"/>
        <v>46101.0625</v>
      </c>
      <c r="BW600" s="19">
        <f t="shared" si="600"/>
        <v>46101.08333</v>
      </c>
      <c r="BX600" s="19">
        <f t="shared" si="600"/>
        <v>46100</v>
      </c>
      <c r="BY600" s="19">
        <f t="shared" si="600"/>
        <v>46100</v>
      </c>
      <c r="BZ600" s="19">
        <f t="shared" si="600"/>
        <v>46100</v>
      </c>
    </row>
    <row r="601" ht="14.25" customHeight="1">
      <c r="A601" s="17">
        <v>46101.0</v>
      </c>
      <c r="B601" s="2" t="str">
        <f t="array" ref="B601">IF(NOW()&gt;AM601,"",IF(AND((WEEKDAY($A601)+$B$2)&gt;1,((WEEKDAY($A601)+$T$2)&lt;7),(WEEKDAY($A601)&lt;&gt;1)),"work",(INDEX(Subject!$A:$I,MATCH(RANDBETWEEN(1,(MAX(Subject!$B:$B))),Subject!$B:$B,0),3))))</f>
        <v/>
      </c>
      <c r="C601" s="2" t="str">
        <f t="array" ref="C601">IF(NOW()&gt;AN601,"",IF(AND((WEEKDAY($A601)+$B$2)&gt;1,((WEEKDAY($A601)+$T$2)&lt;7),(WEEKDAY($A601)&lt;&gt;1)),"work",(INDEX(Subject!$A:$I,MATCH(RANDBETWEEN(1,(MAX(Subject!$B:$B))),Subject!$B:$B,0),3))))</f>
        <v/>
      </c>
      <c r="D601" s="2" t="str">
        <f t="array" ref="D601">IF(NOW()&gt;AO601,"",IF(AND((WEEKDAY($A601)+$B$2)&gt;1,((WEEKDAY($A601)+$T$2)&lt;7),(WEEKDAY($A601)&lt;&gt;1)),"work",(INDEX(Subject!$A:$I,MATCH(RANDBETWEEN(1,(MAX(Subject!$B:$B))),Subject!$B:$B,0),3))))</f>
        <v/>
      </c>
      <c r="E601" s="2" t="str">
        <f t="array" ref="E601">IF(NOW()&gt;AP601,"",IF(AND((WEEKDAY($A601)+$B$2)&gt;1,((WEEKDAY($A601)+$T$2)&lt;7),(WEEKDAY($A601)&lt;&gt;1)),"work",(INDEX(Subject!$A:$I,MATCH(RANDBETWEEN(1,(MAX(Subject!$B:$B))),Subject!$B:$B,0),3))))</f>
        <v/>
      </c>
      <c r="F601" s="2" t="str">
        <f t="array" ref="F601">IF(NOW()&gt;AQ601,"",IF(AND((WEEKDAY($A601)+$B$2)&gt;1,((WEEKDAY($A601)+$T$2)&lt;7),(WEEKDAY($A601)&lt;&gt;1)),"work",(INDEX(Subject!$A:$I,MATCH(RANDBETWEEN(1,(MAX(Subject!$B:$B))),Subject!$B:$B,0),3))))</f>
        <v/>
      </c>
      <c r="G601" s="2" t="str">
        <f t="array" ref="G601">IF(NOW()&gt;AR601,"",IF(AND((WEEKDAY($A601)+$B$2)&gt;1,((WEEKDAY($A601)+$T$2)&lt;7),(WEEKDAY($A601)&lt;&gt;1)),"work",(INDEX(Subject!$A:$I,MATCH(RANDBETWEEN(1,(MAX(Subject!$B:$B))),Subject!$B:$B,0),3))))</f>
        <v/>
      </c>
      <c r="H601" s="2" t="str">
        <f t="array" ref="H601">IF(NOW()&gt;AS601,"",IF(AND((WEEKDAY($A601)+$B$2)&gt;1,((WEEKDAY($A601)+$T$2)&lt;7),(WEEKDAY($A601)&lt;&gt;1)),"work",(INDEX(Subject!$A:$I,MATCH(RANDBETWEEN(1,(MAX(Subject!$B:$B))),Subject!$B:$B,0),3))))</f>
        <v/>
      </c>
      <c r="I601" s="2" t="str">
        <f t="array" ref="I601">IF(NOW()&gt;AT601,"",IF(AND((WEEKDAY($A601)+$B$2)&gt;1,((WEEKDAY($A601)+$T$2)&lt;7),(WEEKDAY($A601)&lt;&gt;1)),"work",(INDEX(Subject!$A:$I,MATCH(RANDBETWEEN(1,(MAX(Subject!$B:$B))),Subject!$B:$B,0),3))))</f>
        <v/>
      </c>
      <c r="J601" s="2" t="str">
        <f t="array" ref="J601">IF(NOW()&gt;AU601,"",IF(AND((WEEKDAY($A601)+$B$2)&gt;1,((WEEKDAY($A601)+$T$2)&lt;7),(WEEKDAY($A601)&lt;&gt;1)),"work",(INDEX(Subject!$A:$I,MATCH(RANDBETWEEN(1,(MAX(Subject!$B:$B))),Subject!$B:$B,0),3))))</f>
        <v/>
      </c>
      <c r="K601" s="2" t="str">
        <f t="array" ref="K601">IF(NOW()&gt;AV601,"",IF(AND((WEEKDAY($A601)+$B$2)&gt;1,((WEEKDAY($A601)+$T$2)&lt;7),(WEEKDAY($A601)&lt;&gt;1)),"work",(INDEX(Subject!$A:$I,MATCH(RANDBETWEEN(1,(MAX(Subject!$B:$B))),Subject!$B:$B,0),3))))</f>
        <v/>
      </c>
      <c r="L601" s="2" t="str">
        <f t="array" ref="L601">IF(NOW()&gt;AW601,"",IF(AND((WEEKDAY($A601)+$B$2)&gt;1,((WEEKDAY($A601)+$T$2)&lt;7),(WEEKDAY($A601)&lt;&gt;1)),"work",(INDEX(Subject!$A:$I,MATCH(RANDBETWEEN(1,(MAX(Subject!$B:$B))),Subject!$B:$B,0),3))))</f>
        <v/>
      </c>
      <c r="M601" s="2" t="str">
        <f t="array" ref="M601">IF(NOW()&gt;AX601,"",IF(AND((WEEKDAY($A601)+$B$2)&gt;1,((WEEKDAY($A601)+$T$2)&lt;7),(WEEKDAY($A601)&lt;&gt;1)),"work",(INDEX(Subject!$A:$I,MATCH(RANDBETWEEN(1,(MAX(Subject!$B:$B))),Subject!$B:$B,0),3))))</f>
        <v/>
      </c>
      <c r="N601" s="2" t="str">
        <f t="array" ref="N601">IF(NOW()&gt;AY601,"",IF(AND((WEEKDAY($A601)+$B$2)&gt;1,((WEEKDAY($A601)+$T$2)&lt;7),(WEEKDAY($A601)&lt;&gt;1)),"work",(INDEX(Subject!$A:$I,MATCH(RANDBETWEEN(1,(MAX(Subject!$B:$B))),Subject!$B:$B,0),3))))</f>
        <v/>
      </c>
      <c r="O601" s="2" t="str">
        <f t="array" ref="O601">IF(NOW()&gt;AZ601,"",IF(AND((WEEKDAY($A601)+$B$2)&gt;1,((WEEKDAY($A601)+$T$2)&lt;7),(WEEKDAY($A601)&lt;&gt;1)),"work",(INDEX(Subject!$A:$I,MATCH(RANDBETWEEN(1,(MAX(Subject!$B:$B))),Subject!$B:$B,0),3))))</f>
        <v/>
      </c>
      <c r="P601" s="2" t="str">
        <f t="array" ref="P601">IF(NOW()&gt;BA601,"",IF(AND((WEEKDAY($A601)+$B$2)&gt;1,((WEEKDAY($A601)+$T$2)&lt;7),(WEEKDAY($A601)&lt;&gt;1)),"work",(INDEX(Subject!$A:$I,MATCH(RANDBETWEEN(1,(MAX(Subject!$B:$B))),Subject!$B:$B,0),3))))</f>
        <v/>
      </c>
      <c r="Q601" s="2" t="str">
        <f t="array" ref="Q601">IF(NOW()&gt;BB601,"",IF(AND((WEEKDAY($A601)+$B$2)&gt;1,((WEEKDAY($A601)+$T$2)&lt;7),(WEEKDAY($A601)&lt;&gt;1)),"work",(INDEX(Subject!$A:$I,MATCH(RANDBETWEEN(1,(MAX(Subject!$B:$B))),Subject!$B:$B,0),3))))</f>
        <v/>
      </c>
      <c r="R601" s="2" t="str">
        <f t="array" ref="R601">IF(NOW()&gt;BC601,"",IF(AND((WEEKDAY($A601)+$B$2)&gt;1,((WEEKDAY($A601)+$T$2)&lt;7),(WEEKDAY($A601)&lt;&gt;1)),"work",(INDEX(Subject!$A:$I,MATCH(RANDBETWEEN(1,(MAX(Subject!$B:$B))),Subject!$B:$B,0),3))))</f>
        <v/>
      </c>
      <c r="S601" s="2" t="str">
        <f t="array" ref="S601">IF(NOW()&gt;BD601,"",IF(AND((WEEKDAY($A601)+$B$2)&gt;1,((WEEKDAY($A601)+$T$2)&lt;7),(WEEKDAY($A601)&lt;&gt;1)),"work",(INDEX(Subject!$A:$I,MATCH(RANDBETWEEN(1,(MAX(Subject!$B:$B))),Subject!$B:$B,0),3))))</f>
        <v/>
      </c>
      <c r="T601" s="2" t="str">
        <f t="array" ref="T601">IF(NOW()&gt;BE601,"",IF(AND((WEEKDAY($A601)+$B$2)&gt;1,((WEEKDAY($A601)+$T$2)&lt;7),(WEEKDAY($A601)&lt;&gt;1)),"work",(INDEX(Subject!$A:$I,MATCH(RANDBETWEEN(1,(MAX(Subject!$B:$B))),Subject!$B:$B,0),3))))</f>
        <v/>
      </c>
      <c r="U601" s="8" t="str">
        <f t="array" ref="U601">INDEX(Subject!$A:$I,MATCH(RANDBETWEEN(1,16),Subject!$B:$B,0),3)</f>
        <v>#N/A</v>
      </c>
      <c r="V601" s="8" t="str">
        <f t="array" ref="V601">INDEX(Subject!$A:$I,MATCH(RANDBETWEEN(1,16),Subject!$B:$B,0),3)</f>
        <v>#N/A</v>
      </c>
      <c r="W601" s="8" t="str">
        <f t="array" ref="W601">INDEX(Subject!$A:$I,MATCH(RANDBETWEEN(1,16),Subject!$B:$B,0),3)</f>
        <v>#N/A</v>
      </c>
      <c r="X601" s="8" t="str">
        <f t="array" ref="X601">INDEX(Subject!$A:$I,MATCH(RANDBETWEEN(1,16),Subject!$B:$B,0),3)</f>
        <v>#N/A</v>
      </c>
      <c r="Y601" s="8" t="str">
        <f t="array" ref="Y601">INDEX(Subject!$A:$I,MATCH(RANDBETWEEN(1,16),Subject!$B:$B,0),3)</f>
        <v/>
      </c>
      <c r="Z601" s="8" t="str">
        <f t="array" ref="Z601">INDEX(Subject!$A:$I,MATCH(RANDBETWEEN(1,16),Subject!$B:$B,0),3)</f>
        <v>#N/A</v>
      </c>
      <c r="AA601" s="8" t="str">
        <f t="array" ref="AA601">INDEX(Subject!$A:$I,MATCH(RANDBETWEEN(1,16),Subject!$B:$B,0),3)</f>
        <v>#N/A</v>
      </c>
      <c r="AB601" s="8" t="str">
        <f t="array" ref="AB601">INDEX(Subject!$A:$I,MATCH(RANDBETWEEN(1,16),Subject!$B:$B,0),3)</f>
        <v>#N/A</v>
      </c>
      <c r="AC601" s="8" t="str">
        <f t="array" ref="AC601">INDEX(Subject!$A:$I,MATCH(RANDBETWEEN(1,16),Subject!$B:$B,0),3)</f>
        <v>#N/A</v>
      </c>
      <c r="AD601" s="8" t="str">
        <f t="array" ref="AD601">INDEX(Subject!$A:$I,MATCH(RANDBETWEEN(1,16),Subject!$B:$B,0),3)</f>
        <v>#N/A</v>
      </c>
      <c r="AE601" s="8" t="str">
        <f t="array" ref="AE601">INDEX(Subject!$A:$I,MATCH(RANDBETWEEN(1,16),Subject!$B:$B,0),3)</f>
        <v>#N/A</v>
      </c>
      <c r="AF601" s="8" t="str">
        <f t="array" ref="AF601">INDEX(Subject!$A:$I,MATCH(RANDBETWEEN(1,16),Subject!$B:$B,0),3)</f>
        <v>#N/A</v>
      </c>
      <c r="AG601" s="8" t="str">
        <f t="array" ref="AG601">INDEX(Subject!$A:$I,MATCH(RANDBETWEEN(1,16),Subject!$B:$B,0),3)</f>
        <v>#N/A</v>
      </c>
      <c r="AH601" s="8" t="str">
        <f t="array" ref="AH601">INDEX(Subject!$A:$I,MATCH(RANDBETWEEN(1,16),Subject!$B:$B,0),3)</f>
        <v>#N/A</v>
      </c>
      <c r="AI601" s="8" t="str">
        <f t="array" ref="AI601">INDEX(Subject!$A:$I,MATCH(RANDBETWEEN(1,16),Subject!$B:$B,0),3)</f>
        <v>#N/A</v>
      </c>
      <c r="AJ601" s="8" t="str">
        <f t="array" ref="AJ601">INDEX(Subject!$A:$I,MATCH(RANDBETWEEN(1,16),Subject!$B:$B,0),3)</f>
        <v>#N/A</v>
      </c>
      <c r="AK601" s="8" t="str">
        <f t="array" ref="AK601">INDEX(Subject!$A:$I,MATCH(RANDBETWEEN(1,16),Subject!$B:$B,0),3)</f>
        <v/>
      </c>
      <c r="AL601" s="8" t="str">
        <f t="array" ref="AL601">INDEX(Subject!$A:$I,MATCH(RANDBETWEEN(1,16),Subject!$B:$B,0),3)</f>
        <v>#N/A</v>
      </c>
      <c r="AM601" s="18">
        <f t="shared" si="4"/>
        <v>46101.33333</v>
      </c>
      <c r="AN601" s="19">
        <f t="shared" ref="AN601:BZ601" si="601">$A601+C$1</f>
        <v>46101.35417</v>
      </c>
      <c r="AO601" s="19">
        <f t="shared" si="601"/>
        <v>46101.375</v>
      </c>
      <c r="AP601" s="19">
        <f t="shared" si="601"/>
        <v>46101.39583</v>
      </c>
      <c r="AQ601" s="19">
        <f t="shared" si="601"/>
        <v>46101.41667</v>
      </c>
      <c r="AR601" s="19">
        <f t="shared" si="601"/>
        <v>46101.4375</v>
      </c>
      <c r="AS601" s="19">
        <f t="shared" si="601"/>
        <v>46101.45833</v>
      </c>
      <c r="AT601" s="19">
        <f t="shared" si="601"/>
        <v>46101.47917</v>
      </c>
      <c r="AU601" s="19">
        <f t="shared" si="601"/>
        <v>46101.5</v>
      </c>
      <c r="AV601" s="19">
        <f t="shared" si="601"/>
        <v>46101.52083</v>
      </c>
      <c r="AW601" s="19">
        <f t="shared" si="601"/>
        <v>46101.54167</v>
      </c>
      <c r="AX601" s="19">
        <f t="shared" si="601"/>
        <v>46101.5625</v>
      </c>
      <c r="AY601" s="19">
        <f t="shared" si="601"/>
        <v>46101.58333</v>
      </c>
      <c r="AZ601" s="19">
        <f t="shared" si="601"/>
        <v>46101.60417</v>
      </c>
      <c r="BA601" s="19">
        <f t="shared" si="601"/>
        <v>46101.625</v>
      </c>
      <c r="BB601" s="19">
        <f t="shared" si="601"/>
        <v>46101.64583</v>
      </c>
      <c r="BC601" s="19">
        <f t="shared" si="601"/>
        <v>46101.66667</v>
      </c>
      <c r="BD601" s="19">
        <f t="shared" si="601"/>
        <v>46101.6875</v>
      </c>
      <c r="BE601" s="19">
        <f t="shared" si="601"/>
        <v>46101.70833</v>
      </c>
      <c r="BF601" s="19">
        <f t="shared" si="601"/>
        <v>46101.72917</v>
      </c>
      <c r="BG601" s="19">
        <f t="shared" si="601"/>
        <v>46101.75</v>
      </c>
      <c r="BH601" s="19">
        <f t="shared" si="601"/>
        <v>46101.77083</v>
      </c>
      <c r="BI601" s="19">
        <f t="shared" si="601"/>
        <v>46101.79167</v>
      </c>
      <c r="BJ601" s="19">
        <f t="shared" si="601"/>
        <v>46101.8125</v>
      </c>
      <c r="BK601" s="19">
        <f t="shared" si="601"/>
        <v>46101.83333</v>
      </c>
      <c r="BL601" s="19">
        <f t="shared" si="601"/>
        <v>46101.85417</v>
      </c>
      <c r="BM601" s="19">
        <f t="shared" si="601"/>
        <v>46101.875</v>
      </c>
      <c r="BN601" s="19">
        <f t="shared" si="601"/>
        <v>46101.89583</v>
      </c>
      <c r="BO601" s="19">
        <f t="shared" si="601"/>
        <v>46101.91667</v>
      </c>
      <c r="BP601" s="19">
        <f t="shared" si="601"/>
        <v>46101.9375</v>
      </c>
      <c r="BQ601" s="19">
        <f t="shared" si="601"/>
        <v>46101.95833</v>
      </c>
      <c r="BR601" s="19">
        <f t="shared" si="601"/>
        <v>46101.97917</v>
      </c>
      <c r="BS601" s="19">
        <f t="shared" si="601"/>
        <v>46102</v>
      </c>
      <c r="BT601" s="19">
        <f t="shared" si="601"/>
        <v>46102.02083</v>
      </c>
      <c r="BU601" s="19">
        <f t="shared" si="601"/>
        <v>46102.04167</v>
      </c>
      <c r="BV601" s="19">
        <f t="shared" si="601"/>
        <v>46102.0625</v>
      </c>
      <c r="BW601" s="19">
        <f t="shared" si="601"/>
        <v>46102.08333</v>
      </c>
      <c r="BX601" s="19">
        <f t="shared" si="601"/>
        <v>46101</v>
      </c>
      <c r="BY601" s="19">
        <f t="shared" si="601"/>
        <v>46101</v>
      </c>
      <c r="BZ601" s="19">
        <f t="shared" si="601"/>
        <v>46101</v>
      </c>
    </row>
    <row r="602" ht="14.25" customHeight="1">
      <c r="A602" s="17">
        <v>46102.0</v>
      </c>
      <c r="B602" s="2" t="str">
        <f t="array" ref="B602">IF(NOW()&gt;AM602,"",IF(AND((WEEKDAY($A602)+$B$2)&gt;1,((WEEKDAY($A602)+$T$2)&lt;7),(WEEKDAY($A602)&lt;&gt;1)),"work",(INDEX(Subject!$A:$I,MATCH(RANDBETWEEN(1,(MAX(Subject!$B:$B))),Subject!$B:$B,0),3))))</f>
        <v/>
      </c>
      <c r="C602" s="2" t="str">
        <f t="array" ref="C602">IF(NOW()&gt;AN602,"",IF(AND((WEEKDAY($A602)+$B$2)&gt;1,((WEEKDAY($A602)+$T$2)&lt;7),(WEEKDAY($A602)&lt;&gt;1)),"work",(INDEX(Subject!$A:$I,MATCH(RANDBETWEEN(1,(MAX(Subject!$B:$B))),Subject!$B:$B,0),3))))</f>
        <v/>
      </c>
      <c r="D602" s="2" t="str">
        <f t="array" ref="D602">IF(NOW()&gt;AO602,"",IF(AND((WEEKDAY($A602)+$B$2)&gt;1,((WEEKDAY($A602)+$T$2)&lt;7),(WEEKDAY($A602)&lt;&gt;1)),"work",(INDEX(Subject!$A:$I,MATCH(RANDBETWEEN(1,(MAX(Subject!$B:$B))),Subject!$B:$B,0),3))))</f>
        <v/>
      </c>
      <c r="E602" s="2" t="str">
        <f t="array" ref="E602">IF(NOW()&gt;AP602,"",IF(AND((WEEKDAY($A602)+$B$2)&gt;1,((WEEKDAY($A602)+$T$2)&lt;7),(WEEKDAY($A602)&lt;&gt;1)),"work",(INDEX(Subject!$A:$I,MATCH(RANDBETWEEN(1,(MAX(Subject!$B:$B))),Subject!$B:$B,0),3))))</f>
        <v/>
      </c>
      <c r="F602" s="2" t="str">
        <f t="array" ref="F602">IF(NOW()&gt;AQ602,"",IF(AND((WEEKDAY($A602)+$B$2)&gt;1,((WEEKDAY($A602)+$T$2)&lt;7),(WEEKDAY($A602)&lt;&gt;1)),"work",(INDEX(Subject!$A:$I,MATCH(RANDBETWEEN(1,(MAX(Subject!$B:$B))),Subject!$B:$B,0),3))))</f>
        <v/>
      </c>
      <c r="G602" s="2" t="str">
        <f t="array" ref="G602">IF(NOW()&gt;AR602,"",IF(AND((WEEKDAY($A602)+$B$2)&gt;1,((WEEKDAY($A602)+$T$2)&lt;7),(WEEKDAY($A602)&lt;&gt;1)),"work",(INDEX(Subject!$A:$I,MATCH(RANDBETWEEN(1,(MAX(Subject!$B:$B))),Subject!$B:$B,0),3))))</f>
        <v/>
      </c>
      <c r="H602" s="2" t="str">
        <f t="array" ref="H602">IF(NOW()&gt;AS602,"",IF(AND((WEEKDAY($A602)+$B$2)&gt;1,((WEEKDAY($A602)+$T$2)&lt;7),(WEEKDAY($A602)&lt;&gt;1)),"work",(INDEX(Subject!$A:$I,MATCH(RANDBETWEEN(1,(MAX(Subject!$B:$B))),Subject!$B:$B,0),3))))</f>
        <v/>
      </c>
      <c r="I602" s="2" t="str">
        <f t="array" ref="I602">IF(NOW()&gt;AT602,"",IF(AND((WEEKDAY($A602)+$B$2)&gt;1,((WEEKDAY($A602)+$T$2)&lt;7),(WEEKDAY($A602)&lt;&gt;1)),"work",(INDEX(Subject!$A:$I,MATCH(RANDBETWEEN(1,(MAX(Subject!$B:$B))),Subject!$B:$B,0),3))))</f>
        <v/>
      </c>
      <c r="J602" s="2" t="str">
        <f t="array" ref="J602">IF(NOW()&gt;AU602,"",IF(AND((WEEKDAY($A602)+$B$2)&gt;1,((WEEKDAY($A602)+$T$2)&lt;7),(WEEKDAY($A602)&lt;&gt;1)),"work",(INDEX(Subject!$A:$I,MATCH(RANDBETWEEN(1,(MAX(Subject!$B:$B))),Subject!$B:$B,0),3))))</f>
        <v/>
      </c>
      <c r="K602" s="2" t="str">
        <f t="array" ref="K602">IF(NOW()&gt;AV602,"",IF(AND((WEEKDAY($A602)+$B$2)&gt;1,((WEEKDAY($A602)+$T$2)&lt;7),(WEEKDAY($A602)&lt;&gt;1)),"work",(INDEX(Subject!$A:$I,MATCH(RANDBETWEEN(1,(MAX(Subject!$B:$B))),Subject!$B:$B,0),3))))</f>
        <v/>
      </c>
      <c r="L602" s="2" t="str">
        <f t="array" ref="L602">IF(NOW()&gt;AW602,"",IF(AND((WEEKDAY($A602)+$B$2)&gt;1,((WEEKDAY($A602)+$T$2)&lt;7),(WEEKDAY($A602)&lt;&gt;1)),"work",(INDEX(Subject!$A:$I,MATCH(RANDBETWEEN(1,(MAX(Subject!$B:$B))),Subject!$B:$B,0),3))))</f>
        <v/>
      </c>
      <c r="M602" s="2" t="str">
        <f t="array" ref="M602">IF(NOW()&gt;AX602,"",IF(AND((WEEKDAY($A602)+$B$2)&gt;1,((WEEKDAY($A602)+$T$2)&lt;7),(WEEKDAY($A602)&lt;&gt;1)),"work",(INDEX(Subject!$A:$I,MATCH(RANDBETWEEN(1,(MAX(Subject!$B:$B))),Subject!$B:$B,0),3))))</f>
        <v/>
      </c>
      <c r="N602" s="2" t="str">
        <f t="array" ref="N602">IF(NOW()&gt;AY602,"",IF(AND((WEEKDAY($A602)+$B$2)&gt;1,((WEEKDAY($A602)+$T$2)&lt;7),(WEEKDAY($A602)&lt;&gt;1)),"work",(INDEX(Subject!$A:$I,MATCH(RANDBETWEEN(1,(MAX(Subject!$B:$B))),Subject!$B:$B,0),3))))</f>
        <v/>
      </c>
      <c r="O602" s="2" t="str">
        <f t="array" ref="O602">IF(NOW()&gt;AZ602,"",IF(AND((WEEKDAY($A602)+$B$2)&gt;1,((WEEKDAY($A602)+$T$2)&lt;7),(WEEKDAY($A602)&lt;&gt;1)),"work",(INDEX(Subject!$A:$I,MATCH(RANDBETWEEN(1,(MAX(Subject!$B:$B))),Subject!$B:$B,0),3))))</f>
        <v/>
      </c>
      <c r="P602" s="2" t="str">
        <f t="array" ref="P602">IF(NOW()&gt;BA602,"",IF(AND((WEEKDAY($A602)+$B$2)&gt;1,((WEEKDAY($A602)+$T$2)&lt;7),(WEEKDAY($A602)&lt;&gt;1)),"work",(INDEX(Subject!$A:$I,MATCH(RANDBETWEEN(1,(MAX(Subject!$B:$B))),Subject!$B:$B,0),3))))</f>
        <v/>
      </c>
      <c r="Q602" s="2" t="str">
        <f t="array" ref="Q602">IF(NOW()&gt;BB602,"",IF(AND((WEEKDAY($A602)+$B$2)&gt;1,((WEEKDAY($A602)+$T$2)&lt;7),(WEEKDAY($A602)&lt;&gt;1)),"work",(INDEX(Subject!$A:$I,MATCH(RANDBETWEEN(1,(MAX(Subject!$B:$B))),Subject!$B:$B,0),3))))</f>
        <v/>
      </c>
      <c r="R602" s="2" t="str">
        <f t="array" ref="R602">IF(NOW()&gt;BC602,"",IF(AND((WEEKDAY($A602)+$B$2)&gt;1,((WEEKDAY($A602)+$T$2)&lt;7),(WEEKDAY($A602)&lt;&gt;1)),"work",(INDEX(Subject!$A:$I,MATCH(RANDBETWEEN(1,(MAX(Subject!$B:$B))),Subject!$B:$B,0),3))))</f>
        <v/>
      </c>
      <c r="S602" s="2" t="str">
        <f t="array" ref="S602">IF(NOW()&gt;BD602,"",IF(AND((WEEKDAY($A602)+$B$2)&gt;1,((WEEKDAY($A602)+$T$2)&lt;7),(WEEKDAY($A602)&lt;&gt;1)),"work",(INDEX(Subject!$A:$I,MATCH(RANDBETWEEN(1,(MAX(Subject!$B:$B))),Subject!$B:$B,0),3))))</f>
        <v/>
      </c>
      <c r="T602" s="2" t="str">
        <f t="array" ref="T602">IF(NOW()&gt;BE602,"",IF(AND((WEEKDAY($A602)+$B$2)&gt;1,((WEEKDAY($A602)+$T$2)&lt;7),(WEEKDAY($A602)&lt;&gt;1)),"work",(INDEX(Subject!$A:$I,MATCH(RANDBETWEEN(1,(MAX(Subject!$B:$B))),Subject!$B:$B,0),3))))</f>
        <v/>
      </c>
      <c r="U602" s="8" t="str">
        <f t="array" ref="U602">INDEX(Subject!$A:$I,MATCH(RANDBETWEEN(1,16),Subject!$B:$B,0),3)</f>
        <v>#N/A</v>
      </c>
      <c r="V602" s="8" t="str">
        <f t="array" ref="V602">INDEX(Subject!$A:$I,MATCH(RANDBETWEEN(1,16),Subject!$B:$B,0),3)</f>
        <v>#N/A</v>
      </c>
      <c r="W602" s="8" t="str">
        <f t="array" ref="W602">INDEX(Subject!$A:$I,MATCH(RANDBETWEEN(1,16),Subject!$B:$B,0),3)</f>
        <v>#N/A</v>
      </c>
      <c r="X602" s="8" t="str">
        <f t="array" ref="X602">INDEX(Subject!$A:$I,MATCH(RANDBETWEEN(1,16),Subject!$B:$B,0),3)</f>
        <v>#N/A</v>
      </c>
      <c r="Y602" s="8" t="str">
        <f t="array" ref="Y602">INDEX(Subject!$A:$I,MATCH(RANDBETWEEN(1,16),Subject!$B:$B,0),3)</f>
        <v/>
      </c>
      <c r="Z602" s="8" t="str">
        <f t="array" ref="Z602">INDEX(Subject!$A:$I,MATCH(RANDBETWEEN(1,16),Subject!$B:$B,0),3)</f>
        <v>#N/A</v>
      </c>
      <c r="AA602" s="8" t="str">
        <f t="array" ref="AA602">INDEX(Subject!$A:$I,MATCH(RANDBETWEEN(1,16),Subject!$B:$B,0),3)</f>
        <v>#N/A</v>
      </c>
      <c r="AB602" s="8" t="str">
        <f t="array" ref="AB602">INDEX(Subject!$A:$I,MATCH(RANDBETWEEN(1,16),Subject!$B:$B,0),3)</f>
        <v>#N/A</v>
      </c>
      <c r="AC602" s="8" t="str">
        <f t="array" ref="AC602">INDEX(Subject!$A:$I,MATCH(RANDBETWEEN(1,16),Subject!$B:$B,0),3)</f>
        <v>#N/A</v>
      </c>
      <c r="AD602" s="8" t="str">
        <f t="array" ref="AD602">INDEX(Subject!$A:$I,MATCH(RANDBETWEEN(1,16),Subject!$B:$B,0),3)</f>
        <v>#N/A</v>
      </c>
      <c r="AE602" s="8" t="str">
        <f t="array" ref="AE602">INDEX(Subject!$A:$I,MATCH(RANDBETWEEN(1,16),Subject!$B:$B,0),3)</f>
        <v>#N/A</v>
      </c>
      <c r="AF602" s="8" t="str">
        <f t="array" ref="AF602">INDEX(Subject!$A:$I,MATCH(RANDBETWEEN(1,16),Subject!$B:$B,0),3)</f>
        <v>#N/A</v>
      </c>
      <c r="AG602" s="8" t="str">
        <f t="array" ref="AG602">INDEX(Subject!$A:$I,MATCH(RANDBETWEEN(1,16),Subject!$B:$B,0),3)</f>
        <v>#N/A</v>
      </c>
      <c r="AH602" s="8" t="str">
        <f t="array" ref="AH602">INDEX(Subject!$A:$I,MATCH(RANDBETWEEN(1,16),Subject!$B:$B,0),3)</f>
        <v>#N/A</v>
      </c>
      <c r="AI602" s="8" t="str">
        <f t="array" ref="AI602">INDEX(Subject!$A:$I,MATCH(RANDBETWEEN(1,16),Subject!$B:$B,0),3)</f>
        <v>#N/A</v>
      </c>
      <c r="AJ602" s="8" t="str">
        <f t="array" ref="AJ602">INDEX(Subject!$A:$I,MATCH(RANDBETWEEN(1,16),Subject!$B:$B,0),3)</f>
        <v>#N/A</v>
      </c>
      <c r="AK602" s="8" t="str">
        <f t="array" ref="AK602">INDEX(Subject!$A:$I,MATCH(RANDBETWEEN(1,16),Subject!$B:$B,0),3)</f>
        <v>#N/A</v>
      </c>
      <c r="AL602" s="8" t="str">
        <f t="array" ref="AL602">INDEX(Subject!$A:$I,MATCH(RANDBETWEEN(1,16),Subject!$B:$B,0),3)</f>
        <v>#N/A</v>
      </c>
      <c r="AM602" s="18">
        <f t="shared" si="4"/>
        <v>46102.33333</v>
      </c>
      <c r="AN602" s="19">
        <f t="shared" ref="AN602:BZ602" si="602">$A602+C$1</f>
        <v>46102.35417</v>
      </c>
      <c r="AO602" s="19">
        <f t="shared" si="602"/>
        <v>46102.375</v>
      </c>
      <c r="AP602" s="19">
        <f t="shared" si="602"/>
        <v>46102.39583</v>
      </c>
      <c r="AQ602" s="19">
        <f t="shared" si="602"/>
        <v>46102.41667</v>
      </c>
      <c r="AR602" s="19">
        <f t="shared" si="602"/>
        <v>46102.4375</v>
      </c>
      <c r="AS602" s="19">
        <f t="shared" si="602"/>
        <v>46102.45833</v>
      </c>
      <c r="AT602" s="19">
        <f t="shared" si="602"/>
        <v>46102.47917</v>
      </c>
      <c r="AU602" s="19">
        <f t="shared" si="602"/>
        <v>46102.5</v>
      </c>
      <c r="AV602" s="19">
        <f t="shared" si="602"/>
        <v>46102.52083</v>
      </c>
      <c r="AW602" s="19">
        <f t="shared" si="602"/>
        <v>46102.54167</v>
      </c>
      <c r="AX602" s="19">
        <f t="shared" si="602"/>
        <v>46102.5625</v>
      </c>
      <c r="AY602" s="19">
        <f t="shared" si="602"/>
        <v>46102.58333</v>
      </c>
      <c r="AZ602" s="19">
        <f t="shared" si="602"/>
        <v>46102.60417</v>
      </c>
      <c r="BA602" s="19">
        <f t="shared" si="602"/>
        <v>46102.625</v>
      </c>
      <c r="BB602" s="19">
        <f t="shared" si="602"/>
        <v>46102.64583</v>
      </c>
      <c r="BC602" s="19">
        <f t="shared" si="602"/>
        <v>46102.66667</v>
      </c>
      <c r="BD602" s="19">
        <f t="shared" si="602"/>
        <v>46102.6875</v>
      </c>
      <c r="BE602" s="19">
        <f t="shared" si="602"/>
        <v>46102.70833</v>
      </c>
      <c r="BF602" s="19">
        <f t="shared" si="602"/>
        <v>46102.72917</v>
      </c>
      <c r="BG602" s="19">
        <f t="shared" si="602"/>
        <v>46102.75</v>
      </c>
      <c r="BH602" s="19">
        <f t="shared" si="602"/>
        <v>46102.77083</v>
      </c>
      <c r="BI602" s="19">
        <f t="shared" si="602"/>
        <v>46102.79167</v>
      </c>
      <c r="BJ602" s="19">
        <f t="shared" si="602"/>
        <v>46102.8125</v>
      </c>
      <c r="BK602" s="19">
        <f t="shared" si="602"/>
        <v>46102.83333</v>
      </c>
      <c r="BL602" s="19">
        <f t="shared" si="602"/>
        <v>46102.85417</v>
      </c>
      <c r="BM602" s="19">
        <f t="shared" si="602"/>
        <v>46102.875</v>
      </c>
      <c r="BN602" s="19">
        <f t="shared" si="602"/>
        <v>46102.89583</v>
      </c>
      <c r="BO602" s="19">
        <f t="shared" si="602"/>
        <v>46102.91667</v>
      </c>
      <c r="BP602" s="19">
        <f t="shared" si="602"/>
        <v>46102.9375</v>
      </c>
      <c r="BQ602" s="19">
        <f t="shared" si="602"/>
        <v>46102.95833</v>
      </c>
      <c r="BR602" s="19">
        <f t="shared" si="602"/>
        <v>46102.97917</v>
      </c>
      <c r="BS602" s="19">
        <f t="shared" si="602"/>
        <v>46103</v>
      </c>
      <c r="BT602" s="19">
        <f t="shared" si="602"/>
        <v>46103.02083</v>
      </c>
      <c r="BU602" s="19">
        <f t="shared" si="602"/>
        <v>46103.04167</v>
      </c>
      <c r="BV602" s="19">
        <f t="shared" si="602"/>
        <v>46103.0625</v>
      </c>
      <c r="BW602" s="19">
        <f t="shared" si="602"/>
        <v>46103.08333</v>
      </c>
      <c r="BX602" s="19">
        <f t="shared" si="602"/>
        <v>46102</v>
      </c>
      <c r="BY602" s="19">
        <f t="shared" si="602"/>
        <v>46102</v>
      </c>
      <c r="BZ602" s="19">
        <f t="shared" si="602"/>
        <v>46102</v>
      </c>
    </row>
    <row r="603" ht="14.25" customHeight="1">
      <c r="A603" s="17">
        <v>46103.0</v>
      </c>
      <c r="B603" s="2" t="str">
        <f t="array" ref="B603">IF(NOW()&gt;AM603,"",IF(AND((WEEKDAY($A603)+$B$2)&gt;1,((WEEKDAY($A603)+$T$2)&lt;7),(WEEKDAY($A603)&lt;&gt;1)),"work",(INDEX(Subject!$A:$I,MATCH(RANDBETWEEN(1,(MAX(Subject!$B:$B))),Subject!$B:$B,0),3))))</f>
        <v/>
      </c>
      <c r="C603" s="2" t="str">
        <f t="array" ref="C603">IF(NOW()&gt;AN603,"",IF(AND((WEEKDAY($A603)+$B$2)&gt;1,((WEEKDAY($A603)+$T$2)&lt;7),(WEEKDAY($A603)&lt;&gt;1)),"work",(INDEX(Subject!$A:$I,MATCH(RANDBETWEEN(1,(MAX(Subject!$B:$B))),Subject!$B:$B,0),3))))</f>
        <v/>
      </c>
      <c r="D603" s="2" t="str">
        <f t="array" ref="D603">IF(NOW()&gt;AO603,"",IF(AND((WEEKDAY($A603)+$B$2)&gt;1,((WEEKDAY($A603)+$T$2)&lt;7),(WEEKDAY($A603)&lt;&gt;1)),"work",(INDEX(Subject!$A:$I,MATCH(RANDBETWEEN(1,(MAX(Subject!$B:$B))),Subject!$B:$B,0),3))))</f>
        <v/>
      </c>
      <c r="E603" s="2" t="str">
        <f t="array" ref="E603">IF(NOW()&gt;AP603,"",IF(AND((WEEKDAY($A603)+$B$2)&gt;1,((WEEKDAY($A603)+$T$2)&lt;7),(WEEKDAY($A603)&lt;&gt;1)),"work",(INDEX(Subject!$A:$I,MATCH(RANDBETWEEN(1,(MAX(Subject!$B:$B))),Subject!$B:$B,0),3))))</f>
        <v/>
      </c>
      <c r="F603" s="2" t="str">
        <f t="array" ref="F603">IF(NOW()&gt;AQ603,"",IF(AND((WEEKDAY($A603)+$B$2)&gt;1,((WEEKDAY($A603)+$T$2)&lt;7),(WEEKDAY($A603)&lt;&gt;1)),"work",(INDEX(Subject!$A:$I,MATCH(RANDBETWEEN(1,(MAX(Subject!$B:$B))),Subject!$B:$B,0),3))))</f>
        <v/>
      </c>
      <c r="G603" s="2" t="str">
        <f t="array" ref="G603">IF(NOW()&gt;AR603,"",IF(AND((WEEKDAY($A603)+$B$2)&gt;1,((WEEKDAY($A603)+$T$2)&lt;7),(WEEKDAY($A603)&lt;&gt;1)),"work",(INDEX(Subject!$A:$I,MATCH(RANDBETWEEN(1,(MAX(Subject!$B:$B))),Subject!$B:$B,0),3))))</f>
        <v/>
      </c>
      <c r="H603" s="2" t="str">
        <f t="array" ref="H603">IF(NOW()&gt;AS603,"",IF(AND((WEEKDAY($A603)+$B$2)&gt;1,((WEEKDAY($A603)+$T$2)&lt;7),(WEEKDAY($A603)&lt;&gt;1)),"work",(INDEX(Subject!$A:$I,MATCH(RANDBETWEEN(1,(MAX(Subject!$B:$B))),Subject!$B:$B,0),3))))</f>
        <v/>
      </c>
      <c r="I603" s="2" t="str">
        <f t="array" ref="I603">IF(NOW()&gt;AT603,"",IF(AND((WEEKDAY($A603)+$B$2)&gt;1,((WEEKDAY($A603)+$T$2)&lt;7),(WEEKDAY($A603)&lt;&gt;1)),"work",(INDEX(Subject!$A:$I,MATCH(RANDBETWEEN(1,(MAX(Subject!$B:$B))),Subject!$B:$B,0),3))))</f>
        <v/>
      </c>
      <c r="J603" s="2" t="str">
        <f t="array" ref="J603">IF(NOW()&gt;AU603,"",IF(AND((WEEKDAY($A603)+$B$2)&gt;1,((WEEKDAY($A603)+$T$2)&lt;7),(WEEKDAY($A603)&lt;&gt;1)),"work",(INDEX(Subject!$A:$I,MATCH(RANDBETWEEN(1,(MAX(Subject!$B:$B))),Subject!$B:$B,0),3))))</f>
        <v/>
      </c>
      <c r="K603" s="2" t="str">
        <f t="array" ref="K603">IF(NOW()&gt;AV603,"",IF(AND((WEEKDAY($A603)+$B$2)&gt;1,((WEEKDAY($A603)+$T$2)&lt;7),(WEEKDAY($A603)&lt;&gt;1)),"work",(INDEX(Subject!$A:$I,MATCH(RANDBETWEEN(1,(MAX(Subject!$B:$B))),Subject!$B:$B,0),3))))</f>
        <v/>
      </c>
      <c r="L603" s="2" t="str">
        <f t="array" ref="L603">IF(NOW()&gt;AW603,"",IF(AND((WEEKDAY($A603)+$B$2)&gt;1,((WEEKDAY($A603)+$T$2)&lt;7),(WEEKDAY($A603)&lt;&gt;1)),"work",(INDEX(Subject!$A:$I,MATCH(RANDBETWEEN(1,(MAX(Subject!$B:$B))),Subject!$B:$B,0),3))))</f>
        <v/>
      </c>
      <c r="M603" s="2" t="str">
        <f t="array" ref="M603">IF(NOW()&gt;AX603,"",IF(AND((WEEKDAY($A603)+$B$2)&gt;1,((WEEKDAY($A603)+$T$2)&lt;7),(WEEKDAY($A603)&lt;&gt;1)),"work",(INDEX(Subject!$A:$I,MATCH(RANDBETWEEN(1,(MAX(Subject!$B:$B))),Subject!$B:$B,0),3))))</f>
        <v/>
      </c>
      <c r="N603" s="2" t="str">
        <f t="array" ref="N603">IF(NOW()&gt;AY603,"",IF(AND((WEEKDAY($A603)+$B$2)&gt;1,((WEEKDAY($A603)+$T$2)&lt;7),(WEEKDAY($A603)&lt;&gt;1)),"work",(INDEX(Subject!$A:$I,MATCH(RANDBETWEEN(1,(MAX(Subject!$B:$B))),Subject!$B:$B,0),3))))</f>
        <v/>
      </c>
      <c r="O603" s="2" t="str">
        <f t="array" ref="O603">IF(NOW()&gt;AZ603,"",IF(AND((WEEKDAY($A603)+$B$2)&gt;1,((WEEKDAY($A603)+$T$2)&lt;7),(WEEKDAY($A603)&lt;&gt;1)),"work",(INDEX(Subject!$A:$I,MATCH(RANDBETWEEN(1,(MAX(Subject!$B:$B))),Subject!$B:$B,0),3))))</f>
        <v/>
      </c>
      <c r="P603" s="2" t="str">
        <f t="array" ref="P603">IF(NOW()&gt;BA603,"",IF(AND((WEEKDAY($A603)+$B$2)&gt;1,((WEEKDAY($A603)+$T$2)&lt;7),(WEEKDAY($A603)&lt;&gt;1)),"work",(INDEX(Subject!$A:$I,MATCH(RANDBETWEEN(1,(MAX(Subject!$B:$B))),Subject!$B:$B,0),3))))</f>
        <v/>
      </c>
      <c r="Q603" s="2" t="str">
        <f t="array" ref="Q603">IF(NOW()&gt;BB603,"",IF(AND((WEEKDAY($A603)+$B$2)&gt;1,((WEEKDAY($A603)+$T$2)&lt;7),(WEEKDAY($A603)&lt;&gt;1)),"work",(INDEX(Subject!$A:$I,MATCH(RANDBETWEEN(1,(MAX(Subject!$B:$B))),Subject!$B:$B,0),3))))</f>
        <v/>
      </c>
      <c r="R603" s="2" t="str">
        <f t="array" ref="R603">IF(NOW()&gt;BC603,"",IF(AND((WEEKDAY($A603)+$B$2)&gt;1,((WEEKDAY($A603)+$T$2)&lt;7),(WEEKDAY($A603)&lt;&gt;1)),"work",(INDEX(Subject!$A:$I,MATCH(RANDBETWEEN(1,(MAX(Subject!$B:$B))),Subject!$B:$B,0),3))))</f>
        <v/>
      </c>
      <c r="S603" s="2" t="str">
        <f t="array" ref="S603">IF(NOW()&gt;BD603,"",IF(AND((WEEKDAY($A603)+$B$2)&gt;1,((WEEKDAY($A603)+$T$2)&lt;7),(WEEKDAY($A603)&lt;&gt;1)),"work",(INDEX(Subject!$A:$I,MATCH(RANDBETWEEN(1,(MAX(Subject!$B:$B))),Subject!$B:$B,0),3))))</f>
        <v/>
      </c>
      <c r="T603" s="2" t="str">
        <f t="array" ref="T603">IF(NOW()&gt;BE603,"",IF(AND((WEEKDAY($A603)+$B$2)&gt;1,((WEEKDAY($A603)+$T$2)&lt;7),(WEEKDAY($A603)&lt;&gt;1)),"work",(INDEX(Subject!$A:$I,MATCH(RANDBETWEEN(1,(MAX(Subject!$B:$B))),Subject!$B:$B,0),3))))</f>
        <v/>
      </c>
      <c r="U603" s="8" t="str">
        <f t="array" ref="U603">INDEX(Subject!$A:$I,MATCH(RANDBETWEEN(1,16),Subject!$B:$B,0),3)</f>
        <v>#N/A</v>
      </c>
      <c r="V603" s="8" t="str">
        <f t="array" ref="V603">INDEX(Subject!$A:$I,MATCH(RANDBETWEEN(1,16),Subject!$B:$B,0),3)</f>
        <v>#N/A</v>
      </c>
      <c r="W603" s="8" t="str">
        <f t="array" ref="W603">INDEX(Subject!$A:$I,MATCH(RANDBETWEEN(1,16),Subject!$B:$B,0),3)</f>
        <v>#N/A</v>
      </c>
      <c r="X603" s="8" t="str">
        <f t="array" ref="X603">INDEX(Subject!$A:$I,MATCH(RANDBETWEEN(1,16),Subject!$B:$B,0),3)</f>
        <v>#N/A</v>
      </c>
      <c r="Y603" s="8" t="str">
        <f t="array" ref="Y603">INDEX(Subject!$A:$I,MATCH(RANDBETWEEN(1,16),Subject!$B:$B,0),3)</f>
        <v>#N/A</v>
      </c>
      <c r="Z603" s="8" t="str">
        <f t="array" ref="Z603">INDEX(Subject!$A:$I,MATCH(RANDBETWEEN(1,16),Subject!$B:$B,0),3)</f>
        <v/>
      </c>
      <c r="AA603" s="8" t="str">
        <f t="array" ref="AA603">INDEX(Subject!$A:$I,MATCH(RANDBETWEEN(1,16),Subject!$B:$B,0),3)</f>
        <v>#N/A</v>
      </c>
      <c r="AB603" s="8" t="str">
        <f t="array" ref="AB603">INDEX(Subject!$A:$I,MATCH(RANDBETWEEN(1,16),Subject!$B:$B,0),3)</f>
        <v>#N/A</v>
      </c>
      <c r="AC603" s="8" t="str">
        <f t="array" ref="AC603">INDEX(Subject!$A:$I,MATCH(RANDBETWEEN(1,16),Subject!$B:$B,0),3)</f>
        <v>#N/A</v>
      </c>
      <c r="AD603" s="8" t="str">
        <f t="array" ref="AD603">INDEX(Subject!$A:$I,MATCH(RANDBETWEEN(1,16),Subject!$B:$B,0),3)</f>
        <v>#N/A</v>
      </c>
      <c r="AE603" s="8" t="str">
        <f t="array" ref="AE603">INDEX(Subject!$A:$I,MATCH(RANDBETWEEN(1,16),Subject!$B:$B,0),3)</f>
        <v>#N/A</v>
      </c>
      <c r="AF603" s="8" t="str">
        <f t="array" ref="AF603">INDEX(Subject!$A:$I,MATCH(RANDBETWEEN(1,16),Subject!$B:$B,0),3)</f>
        <v>#N/A</v>
      </c>
      <c r="AG603" s="8" t="str">
        <f t="array" ref="AG603">INDEX(Subject!$A:$I,MATCH(RANDBETWEEN(1,16),Subject!$B:$B,0),3)</f>
        <v>#N/A</v>
      </c>
      <c r="AH603" s="8" t="str">
        <f t="array" ref="AH603">INDEX(Subject!$A:$I,MATCH(RANDBETWEEN(1,16),Subject!$B:$B,0),3)</f>
        <v>#N/A</v>
      </c>
      <c r="AI603" s="8" t="str">
        <f t="array" ref="AI603">INDEX(Subject!$A:$I,MATCH(RANDBETWEEN(1,16),Subject!$B:$B,0),3)</f>
        <v>#N/A</v>
      </c>
      <c r="AJ603" s="8" t="str">
        <f t="array" ref="AJ603">INDEX(Subject!$A:$I,MATCH(RANDBETWEEN(1,16),Subject!$B:$B,0),3)</f>
        <v>#N/A</v>
      </c>
      <c r="AK603" s="8" t="str">
        <f t="array" ref="AK603">INDEX(Subject!$A:$I,MATCH(RANDBETWEEN(1,16),Subject!$B:$B,0),3)</f>
        <v>#N/A</v>
      </c>
      <c r="AL603" s="8" t="str">
        <f t="array" ref="AL603">INDEX(Subject!$A:$I,MATCH(RANDBETWEEN(1,16),Subject!$B:$B,0),3)</f>
        <v>#N/A</v>
      </c>
      <c r="AM603" s="18">
        <f t="shared" si="4"/>
        <v>46103.33333</v>
      </c>
      <c r="AN603" s="19">
        <f t="shared" ref="AN603:BZ603" si="603">$A603+C$1</f>
        <v>46103.35417</v>
      </c>
      <c r="AO603" s="19">
        <f t="shared" si="603"/>
        <v>46103.375</v>
      </c>
      <c r="AP603" s="19">
        <f t="shared" si="603"/>
        <v>46103.39583</v>
      </c>
      <c r="AQ603" s="19">
        <f t="shared" si="603"/>
        <v>46103.41667</v>
      </c>
      <c r="AR603" s="19">
        <f t="shared" si="603"/>
        <v>46103.4375</v>
      </c>
      <c r="AS603" s="19">
        <f t="shared" si="603"/>
        <v>46103.45833</v>
      </c>
      <c r="AT603" s="19">
        <f t="shared" si="603"/>
        <v>46103.47917</v>
      </c>
      <c r="AU603" s="19">
        <f t="shared" si="603"/>
        <v>46103.5</v>
      </c>
      <c r="AV603" s="19">
        <f t="shared" si="603"/>
        <v>46103.52083</v>
      </c>
      <c r="AW603" s="19">
        <f t="shared" si="603"/>
        <v>46103.54167</v>
      </c>
      <c r="AX603" s="19">
        <f t="shared" si="603"/>
        <v>46103.5625</v>
      </c>
      <c r="AY603" s="19">
        <f t="shared" si="603"/>
        <v>46103.58333</v>
      </c>
      <c r="AZ603" s="19">
        <f t="shared" si="603"/>
        <v>46103.60417</v>
      </c>
      <c r="BA603" s="19">
        <f t="shared" si="603"/>
        <v>46103.625</v>
      </c>
      <c r="BB603" s="19">
        <f t="shared" si="603"/>
        <v>46103.64583</v>
      </c>
      <c r="BC603" s="19">
        <f t="shared" si="603"/>
        <v>46103.66667</v>
      </c>
      <c r="BD603" s="19">
        <f t="shared" si="603"/>
        <v>46103.6875</v>
      </c>
      <c r="BE603" s="19">
        <f t="shared" si="603"/>
        <v>46103.70833</v>
      </c>
      <c r="BF603" s="19">
        <f t="shared" si="603"/>
        <v>46103.72917</v>
      </c>
      <c r="BG603" s="19">
        <f t="shared" si="603"/>
        <v>46103.75</v>
      </c>
      <c r="BH603" s="19">
        <f t="shared" si="603"/>
        <v>46103.77083</v>
      </c>
      <c r="BI603" s="19">
        <f t="shared" si="603"/>
        <v>46103.79167</v>
      </c>
      <c r="BJ603" s="19">
        <f t="shared" si="603"/>
        <v>46103.8125</v>
      </c>
      <c r="BK603" s="19">
        <f t="shared" si="603"/>
        <v>46103.83333</v>
      </c>
      <c r="BL603" s="19">
        <f t="shared" si="603"/>
        <v>46103.85417</v>
      </c>
      <c r="BM603" s="19">
        <f t="shared" si="603"/>
        <v>46103.875</v>
      </c>
      <c r="BN603" s="19">
        <f t="shared" si="603"/>
        <v>46103.89583</v>
      </c>
      <c r="BO603" s="19">
        <f t="shared" si="603"/>
        <v>46103.91667</v>
      </c>
      <c r="BP603" s="19">
        <f t="shared" si="603"/>
        <v>46103.9375</v>
      </c>
      <c r="BQ603" s="19">
        <f t="shared" si="603"/>
        <v>46103.95833</v>
      </c>
      <c r="BR603" s="19">
        <f t="shared" si="603"/>
        <v>46103.97917</v>
      </c>
      <c r="BS603" s="19">
        <f t="shared" si="603"/>
        <v>46104</v>
      </c>
      <c r="BT603" s="19">
        <f t="shared" si="603"/>
        <v>46104.02083</v>
      </c>
      <c r="BU603" s="19">
        <f t="shared" si="603"/>
        <v>46104.04167</v>
      </c>
      <c r="BV603" s="19">
        <f t="shared" si="603"/>
        <v>46104.0625</v>
      </c>
      <c r="BW603" s="19">
        <f t="shared" si="603"/>
        <v>46104.08333</v>
      </c>
      <c r="BX603" s="19">
        <f t="shared" si="603"/>
        <v>46103</v>
      </c>
      <c r="BY603" s="19">
        <f t="shared" si="603"/>
        <v>46103</v>
      </c>
      <c r="BZ603" s="19">
        <f t="shared" si="603"/>
        <v>46103</v>
      </c>
    </row>
    <row r="604" ht="14.25" customHeight="1">
      <c r="A604" s="17">
        <v>46104.0</v>
      </c>
      <c r="B604" s="2" t="str">
        <f t="array" ref="B604">IF(NOW()&gt;AM604,"",IF(AND((WEEKDAY($A604)+$B$2)&gt;1,((WEEKDAY($A604)+$T$2)&lt;7),(WEEKDAY($A604)&lt;&gt;1)),"work",(INDEX(Subject!$A:$I,MATCH(RANDBETWEEN(1,(MAX(Subject!$B:$B))),Subject!$B:$B,0),3))))</f>
        <v/>
      </c>
      <c r="C604" s="2" t="str">
        <f t="array" ref="C604">IF(NOW()&gt;AN604,"",IF(AND((WEEKDAY($A604)+$B$2)&gt;1,((WEEKDAY($A604)+$T$2)&lt;7),(WEEKDAY($A604)&lt;&gt;1)),"work",(INDEX(Subject!$A:$I,MATCH(RANDBETWEEN(1,(MAX(Subject!$B:$B))),Subject!$B:$B,0),3))))</f>
        <v/>
      </c>
      <c r="D604" s="2" t="str">
        <f t="array" ref="D604">IF(NOW()&gt;AO604,"",IF(AND((WEEKDAY($A604)+$B$2)&gt;1,((WEEKDAY($A604)+$T$2)&lt;7),(WEEKDAY($A604)&lt;&gt;1)),"work",(INDEX(Subject!$A:$I,MATCH(RANDBETWEEN(1,(MAX(Subject!$B:$B))),Subject!$B:$B,0),3))))</f>
        <v/>
      </c>
      <c r="E604" s="2" t="str">
        <f t="array" ref="E604">IF(NOW()&gt;AP604,"",IF(AND((WEEKDAY($A604)+$B$2)&gt;1,((WEEKDAY($A604)+$T$2)&lt;7),(WEEKDAY($A604)&lt;&gt;1)),"work",(INDEX(Subject!$A:$I,MATCH(RANDBETWEEN(1,(MAX(Subject!$B:$B))),Subject!$B:$B,0),3))))</f>
        <v/>
      </c>
      <c r="F604" s="2" t="str">
        <f t="array" ref="F604">IF(NOW()&gt;AQ604,"",IF(AND((WEEKDAY($A604)+$B$2)&gt;1,((WEEKDAY($A604)+$T$2)&lt;7),(WEEKDAY($A604)&lt;&gt;1)),"work",(INDEX(Subject!$A:$I,MATCH(RANDBETWEEN(1,(MAX(Subject!$B:$B))),Subject!$B:$B,0),3))))</f>
        <v/>
      </c>
      <c r="G604" s="2" t="str">
        <f t="array" ref="G604">IF(NOW()&gt;AR604,"",IF(AND((WEEKDAY($A604)+$B$2)&gt;1,((WEEKDAY($A604)+$T$2)&lt;7),(WEEKDAY($A604)&lt;&gt;1)),"work",(INDEX(Subject!$A:$I,MATCH(RANDBETWEEN(1,(MAX(Subject!$B:$B))),Subject!$B:$B,0),3))))</f>
        <v/>
      </c>
      <c r="H604" s="2" t="str">
        <f t="array" ref="H604">IF(NOW()&gt;AS604,"",IF(AND((WEEKDAY($A604)+$B$2)&gt;1,((WEEKDAY($A604)+$T$2)&lt;7),(WEEKDAY($A604)&lt;&gt;1)),"work",(INDEX(Subject!$A:$I,MATCH(RANDBETWEEN(1,(MAX(Subject!$B:$B))),Subject!$B:$B,0),3))))</f>
        <v/>
      </c>
      <c r="I604" s="2" t="str">
        <f t="array" ref="I604">IF(NOW()&gt;AT604,"",IF(AND((WEEKDAY($A604)+$B$2)&gt;1,((WEEKDAY($A604)+$T$2)&lt;7),(WEEKDAY($A604)&lt;&gt;1)),"work",(INDEX(Subject!$A:$I,MATCH(RANDBETWEEN(1,(MAX(Subject!$B:$B))),Subject!$B:$B,0),3))))</f>
        <v/>
      </c>
      <c r="J604" s="2" t="str">
        <f t="array" ref="J604">IF(NOW()&gt;AU604,"",IF(AND((WEEKDAY($A604)+$B$2)&gt;1,((WEEKDAY($A604)+$T$2)&lt;7),(WEEKDAY($A604)&lt;&gt;1)),"work",(INDEX(Subject!$A:$I,MATCH(RANDBETWEEN(1,(MAX(Subject!$B:$B))),Subject!$B:$B,0),3))))</f>
        <v/>
      </c>
      <c r="K604" s="2" t="str">
        <f t="array" ref="K604">IF(NOW()&gt;AV604,"",IF(AND((WEEKDAY($A604)+$B$2)&gt;1,((WEEKDAY($A604)+$T$2)&lt;7),(WEEKDAY($A604)&lt;&gt;1)),"work",(INDEX(Subject!$A:$I,MATCH(RANDBETWEEN(1,(MAX(Subject!$B:$B))),Subject!$B:$B,0),3))))</f>
        <v/>
      </c>
      <c r="L604" s="2" t="str">
        <f t="array" ref="L604">IF(NOW()&gt;AW604,"",IF(AND((WEEKDAY($A604)+$B$2)&gt;1,((WEEKDAY($A604)+$T$2)&lt;7),(WEEKDAY($A604)&lt;&gt;1)),"work",(INDEX(Subject!$A:$I,MATCH(RANDBETWEEN(1,(MAX(Subject!$B:$B))),Subject!$B:$B,0),3))))</f>
        <v/>
      </c>
      <c r="M604" s="2" t="str">
        <f t="array" ref="M604">IF(NOW()&gt;AX604,"",IF(AND((WEEKDAY($A604)+$B$2)&gt;1,((WEEKDAY($A604)+$T$2)&lt;7),(WEEKDAY($A604)&lt;&gt;1)),"work",(INDEX(Subject!$A:$I,MATCH(RANDBETWEEN(1,(MAX(Subject!$B:$B))),Subject!$B:$B,0),3))))</f>
        <v/>
      </c>
      <c r="N604" s="2" t="str">
        <f t="array" ref="N604">IF(NOW()&gt;AY604,"",IF(AND((WEEKDAY($A604)+$B$2)&gt;1,((WEEKDAY($A604)+$T$2)&lt;7),(WEEKDAY($A604)&lt;&gt;1)),"work",(INDEX(Subject!$A:$I,MATCH(RANDBETWEEN(1,(MAX(Subject!$B:$B))),Subject!$B:$B,0),3))))</f>
        <v/>
      </c>
      <c r="O604" s="2" t="str">
        <f t="array" ref="O604">IF(NOW()&gt;AZ604,"",IF(AND((WEEKDAY($A604)+$B$2)&gt;1,((WEEKDAY($A604)+$T$2)&lt;7),(WEEKDAY($A604)&lt;&gt;1)),"work",(INDEX(Subject!$A:$I,MATCH(RANDBETWEEN(1,(MAX(Subject!$B:$B))),Subject!$B:$B,0),3))))</f>
        <v/>
      </c>
      <c r="P604" s="2" t="str">
        <f t="array" ref="P604">IF(NOW()&gt;BA604,"",IF(AND((WEEKDAY($A604)+$B$2)&gt;1,((WEEKDAY($A604)+$T$2)&lt;7),(WEEKDAY($A604)&lt;&gt;1)),"work",(INDEX(Subject!$A:$I,MATCH(RANDBETWEEN(1,(MAX(Subject!$B:$B))),Subject!$B:$B,0),3))))</f>
        <v/>
      </c>
      <c r="Q604" s="2" t="str">
        <f t="array" ref="Q604">IF(NOW()&gt;BB604,"",IF(AND((WEEKDAY($A604)+$B$2)&gt;1,((WEEKDAY($A604)+$T$2)&lt;7),(WEEKDAY($A604)&lt;&gt;1)),"work",(INDEX(Subject!$A:$I,MATCH(RANDBETWEEN(1,(MAX(Subject!$B:$B))),Subject!$B:$B,0),3))))</f>
        <v/>
      </c>
      <c r="R604" s="2" t="str">
        <f t="array" ref="R604">IF(NOW()&gt;BC604,"",IF(AND((WEEKDAY($A604)+$B$2)&gt;1,((WEEKDAY($A604)+$T$2)&lt;7),(WEEKDAY($A604)&lt;&gt;1)),"work",(INDEX(Subject!$A:$I,MATCH(RANDBETWEEN(1,(MAX(Subject!$B:$B))),Subject!$B:$B,0),3))))</f>
        <v/>
      </c>
      <c r="S604" s="2" t="str">
        <f t="array" ref="S604">IF(NOW()&gt;BD604,"",IF(AND((WEEKDAY($A604)+$B$2)&gt;1,((WEEKDAY($A604)+$T$2)&lt;7),(WEEKDAY($A604)&lt;&gt;1)),"work",(INDEX(Subject!$A:$I,MATCH(RANDBETWEEN(1,(MAX(Subject!$B:$B))),Subject!$B:$B,0),3))))</f>
        <v/>
      </c>
      <c r="T604" s="2" t="str">
        <f t="array" ref="T604">IF(NOW()&gt;BE604,"",IF(AND((WEEKDAY($A604)+$B$2)&gt;1,((WEEKDAY($A604)+$T$2)&lt;7),(WEEKDAY($A604)&lt;&gt;1)),"work",(INDEX(Subject!$A:$I,MATCH(RANDBETWEEN(1,(MAX(Subject!$B:$B))),Subject!$B:$B,0),3))))</f>
        <v/>
      </c>
      <c r="U604" s="8" t="str">
        <f t="array" ref="U604">INDEX(Subject!$A:$I,MATCH(RANDBETWEEN(1,16),Subject!$B:$B,0),3)</f>
        <v>#N/A</v>
      </c>
      <c r="V604" s="8" t="str">
        <f t="array" ref="V604">INDEX(Subject!$A:$I,MATCH(RANDBETWEEN(1,16),Subject!$B:$B,0),3)</f>
        <v>#N/A</v>
      </c>
      <c r="W604" s="8" t="str">
        <f t="array" ref="W604">INDEX(Subject!$A:$I,MATCH(RANDBETWEEN(1,16),Subject!$B:$B,0),3)</f>
        <v>#N/A</v>
      </c>
      <c r="X604" s="8" t="str">
        <f t="array" ref="X604">INDEX(Subject!$A:$I,MATCH(RANDBETWEEN(1,16),Subject!$B:$B,0),3)</f>
        <v>#N/A</v>
      </c>
      <c r="Y604" s="8" t="str">
        <f t="array" ref="Y604">INDEX(Subject!$A:$I,MATCH(RANDBETWEEN(1,16),Subject!$B:$B,0),3)</f>
        <v>#N/A</v>
      </c>
      <c r="Z604" s="8" t="str">
        <f t="array" ref="Z604">INDEX(Subject!$A:$I,MATCH(RANDBETWEEN(1,16),Subject!$B:$B,0),3)</f>
        <v>#N/A</v>
      </c>
      <c r="AA604" s="8" t="str">
        <f t="array" ref="AA604">INDEX(Subject!$A:$I,MATCH(RANDBETWEEN(1,16),Subject!$B:$B,0),3)</f>
        <v>#N/A</v>
      </c>
      <c r="AB604" s="8" t="str">
        <f t="array" ref="AB604">INDEX(Subject!$A:$I,MATCH(RANDBETWEEN(1,16),Subject!$B:$B,0),3)</f>
        <v>#N/A</v>
      </c>
      <c r="AC604" s="8" t="str">
        <f t="array" ref="AC604">INDEX(Subject!$A:$I,MATCH(RANDBETWEEN(1,16),Subject!$B:$B,0),3)</f>
        <v>#N/A</v>
      </c>
      <c r="AD604" s="8" t="str">
        <f t="array" ref="AD604">INDEX(Subject!$A:$I,MATCH(RANDBETWEEN(1,16),Subject!$B:$B,0),3)</f>
        <v>#N/A</v>
      </c>
      <c r="AE604" s="8" t="str">
        <f t="array" ref="AE604">INDEX(Subject!$A:$I,MATCH(RANDBETWEEN(1,16),Subject!$B:$B,0),3)</f>
        <v>#N/A</v>
      </c>
      <c r="AF604" s="8" t="str">
        <f t="array" ref="AF604">INDEX(Subject!$A:$I,MATCH(RANDBETWEEN(1,16),Subject!$B:$B,0),3)</f>
        <v>#N/A</v>
      </c>
      <c r="AG604" s="8" t="str">
        <f t="array" ref="AG604">INDEX(Subject!$A:$I,MATCH(RANDBETWEEN(1,16),Subject!$B:$B,0),3)</f>
        <v>#N/A</v>
      </c>
      <c r="AH604" s="8" t="str">
        <f t="array" ref="AH604">INDEX(Subject!$A:$I,MATCH(RANDBETWEEN(1,16),Subject!$B:$B,0),3)</f>
        <v>#N/A</v>
      </c>
      <c r="AI604" s="8" t="str">
        <f t="array" ref="AI604">INDEX(Subject!$A:$I,MATCH(RANDBETWEEN(1,16),Subject!$B:$B,0),3)</f>
        <v>#N/A</v>
      </c>
      <c r="AJ604" s="8" t="str">
        <f t="array" ref="AJ604">INDEX(Subject!$A:$I,MATCH(RANDBETWEEN(1,16),Subject!$B:$B,0),3)</f>
        <v>#N/A</v>
      </c>
      <c r="AK604" s="8" t="str">
        <f t="array" ref="AK604">INDEX(Subject!$A:$I,MATCH(RANDBETWEEN(1,16),Subject!$B:$B,0),3)</f>
        <v/>
      </c>
      <c r="AL604" s="8" t="str">
        <f t="array" ref="AL604">INDEX(Subject!$A:$I,MATCH(RANDBETWEEN(1,16),Subject!$B:$B,0),3)</f>
        <v>#N/A</v>
      </c>
      <c r="AM604" s="18">
        <f t="shared" si="4"/>
        <v>46104.33333</v>
      </c>
      <c r="AN604" s="19">
        <f t="shared" ref="AN604:BZ604" si="604">$A604+C$1</f>
        <v>46104.35417</v>
      </c>
      <c r="AO604" s="19">
        <f t="shared" si="604"/>
        <v>46104.375</v>
      </c>
      <c r="AP604" s="19">
        <f t="shared" si="604"/>
        <v>46104.39583</v>
      </c>
      <c r="AQ604" s="19">
        <f t="shared" si="604"/>
        <v>46104.41667</v>
      </c>
      <c r="AR604" s="19">
        <f t="shared" si="604"/>
        <v>46104.4375</v>
      </c>
      <c r="AS604" s="19">
        <f t="shared" si="604"/>
        <v>46104.45833</v>
      </c>
      <c r="AT604" s="19">
        <f t="shared" si="604"/>
        <v>46104.47917</v>
      </c>
      <c r="AU604" s="19">
        <f t="shared" si="604"/>
        <v>46104.5</v>
      </c>
      <c r="AV604" s="19">
        <f t="shared" si="604"/>
        <v>46104.52083</v>
      </c>
      <c r="AW604" s="19">
        <f t="shared" si="604"/>
        <v>46104.54167</v>
      </c>
      <c r="AX604" s="19">
        <f t="shared" si="604"/>
        <v>46104.5625</v>
      </c>
      <c r="AY604" s="19">
        <f t="shared" si="604"/>
        <v>46104.58333</v>
      </c>
      <c r="AZ604" s="19">
        <f t="shared" si="604"/>
        <v>46104.60417</v>
      </c>
      <c r="BA604" s="19">
        <f t="shared" si="604"/>
        <v>46104.625</v>
      </c>
      <c r="BB604" s="19">
        <f t="shared" si="604"/>
        <v>46104.64583</v>
      </c>
      <c r="BC604" s="19">
        <f t="shared" si="604"/>
        <v>46104.66667</v>
      </c>
      <c r="BD604" s="19">
        <f t="shared" si="604"/>
        <v>46104.6875</v>
      </c>
      <c r="BE604" s="19">
        <f t="shared" si="604"/>
        <v>46104.70833</v>
      </c>
      <c r="BF604" s="19">
        <f t="shared" si="604"/>
        <v>46104.72917</v>
      </c>
      <c r="BG604" s="19">
        <f t="shared" si="604"/>
        <v>46104.75</v>
      </c>
      <c r="BH604" s="19">
        <f t="shared" si="604"/>
        <v>46104.77083</v>
      </c>
      <c r="BI604" s="19">
        <f t="shared" si="604"/>
        <v>46104.79167</v>
      </c>
      <c r="BJ604" s="19">
        <f t="shared" si="604"/>
        <v>46104.8125</v>
      </c>
      <c r="BK604" s="19">
        <f t="shared" si="604"/>
        <v>46104.83333</v>
      </c>
      <c r="BL604" s="19">
        <f t="shared" si="604"/>
        <v>46104.85417</v>
      </c>
      <c r="BM604" s="19">
        <f t="shared" si="604"/>
        <v>46104.875</v>
      </c>
      <c r="BN604" s="19">
        <f t="shared" si="604"/>
        <v>46104.89583</v>
      </c>
      <c r="BO604" s="19">
        <f t="shared" si="604"/>
        <v>46104.91667</v>
      </c>
      <c r="BP604" s="19">
        <f t="shared" si="604"/>
        <v>46104.9375</v>
      </c>
      <c r="BQ604" s="19">
        <f t="shared" si="604"/>
        <v>46104.95833</v>
      </c>
      <c r="BR604" s="19">
        <f t="shared" si="604"/>
        <v>46104.97917</v>
      </c>
      <c r="BS604" s="19">
        <f t="shared" si="604"/>
        <v>46105</v>
      </c>
      <c r="BT604" s="19">
        <f t="shared" si="604"/>
        <v>46105.02083</v>
      </c>
      <c r="BU604" s="19">
        <f t="shared" si="604"/>
        <v>46105.04167</v>
      </c>
      <c r="BV604" s="19">
        <f t="shared" si="604"/>
        <v>46105.0625</v>
      </c>
      <c r="BW604" s="19">
        <f t="shared" si="604"/>
        <v>46105.08333</v>
      </c>
      <c r="BX604" s="19">
        <f t="shared" si="604"/>
        <v>46104</v>
      </c>
      <c r="BY604" s="19">
        <f t="shared" si="604"/>
        <v>46104</v>
      </c>
      <c r="BZ604" s="19">
        <f t="shared" si="604"/>
        <v>46104</v>
      </c>
    </row>
    <row r="605" ht="14.25" customHeight="1">
      <c r="A605" s="17">
        <v>46105.0</v>
      </c>
      <c r="B605" s="2" t="str">
        <f t="array" ref="B605">IF(NOW()&gt;AM605,"",IF(AND((WEEKDAY($A605)+$B$2)&gt;1,((WEEKDAY($A605)+$T$2)&lt;7),(WEEKDAY($A605)&lt;&gt;1)),"work",(INDEX(Subject!$A:$I,MATCH(RANDBETWEEN(1,(MAX(Subject!$B:$B))),Subject!$B:$B,0),3))))</f>
        <v/>
      </c>
      <c r="C605" s="2" t="str">
        <f t="array" ref="C605">IF(NOW()&gt;AN605,"",IF(AND((WEEKDAY($A605)+$B$2)&gt;1,((WEEKDAY($A605)+$T$2)&lt;7),(WEEKDAY($A605)&lt;&gt;1)),"work",(INDEX(Subject!$A:$I,MATCH(RANDBETWEEN(1,(MAX(Subject!$B:$B))),Subject!$B:$B,0),3))))</f>
        <v/>
      </c>
      <c r="D605" s="2" t="str">
        <f t="array" ref="D605">IF(NOW()&gt;AO605,"",IF(AND((WEEKDAY($A605)+$B$2)&gt;1,((WEEKDAY($A605)+$T$2)&lt;7),(WEEKDAY($A605)&lt;&gt;1)),"work",(INDEX(Subject!$A:$I,MATCH(RANDBETWEEN(1,(MAX(Subject!$B:$B))),Subject!$B:$B,0),3))))</f>
        <v/>
      </c>
      <c r="E605" s="2" t="str">
        <f t="array" ref="E605">IF(NOW()&gt;AP605,"",IF(AND((WEEKDAY($A605)+$B$2)&gt;1,((WEEKDAY($A605)+$T$2)&lt;7),(WEEKDAY($A605)&lt;&gt;1)),"work",(INDEX(Subject!$A:$I,MATCH(RANDBETWEEN(1,(MAX(Subject!$B:$B))),Subject!$B:$B,0),3))))</f>
        <v/>
      </c>
      <c r="F605" s="2" t="str">
        <f t="array" ref="F605">IF(NOW()&gt;AQ605,"",IF(AND((WEEKDAY($A605)+$B$2)&gt;1,((WEEKDAY($A605)+$T$2)&lt;7),(WEEKDAY($A605)&lt;&gt;1)),"work",(INDEX(Subject!$A:$I,MATCH(RANDBETWEEN(1,(MAX(Subject!$B:$B))),Subject!$B:$B,0),3))))</f>
        <v/>
      </c>
      <c r="G605" s="2" t="str">
        <f t="array" ref="G605">IF(NOW()&gt;AR605,"",IF(AND((WEEKDAY($A605)+$B$2)&gt;1,((WEEKDAY($A605)+$T$2)&lt;7),(WEEKDAY($A605)&lt;&gt;1)),"work",(INDEX(Subject!$A:$I,MATCH(RANDBETWEEN(1,(MAX(Subject!$B:$B))),Subject!$B:$B,0),3))))</f>
        <v/>
      </c>
      <c r="H605" s="2" t="str">
        <f t="array" ref="H605">IF(NOW()&gt;AS605,"",IF(AND((WEEKDAY($A605)+$B$2)&gt;1,((WEEKDAY($A605)+$T$2)&lt;7),(WEEKDAY($A605)&lt;&gt;1)),"work",(INDEX(Subject!$A:$I,MATCH(RANDBETWEEN(1,(MAX(Subject!$B:$B))),Subject!$B:$B,0),3))))</f>
        <v/>
      </c>
      <c r="I605" s="2" t="str">
        <f t="array" ref="I605">IF(NOW()&gt;AT605,"",IF(AND((WEEKDAY($A605)+$B$2)&gt;1,((WEEKDAY($A605)+$T$2)&lt;7),(WEEKDAY($A605)&lt;&gt;1)),"work",(INDEX(Subject!$A:$I,MATCH(RANDBETWEEN(1,(MAX(Subject!$B:$B))),Subject!$B:$B,0),3))))</f>
        <v/>
      </c>
      <c r="J605" s="2" t="str">
        <f t="array" ref="J605">IF(NOW()&gt;AU605,"",IF(AND((WEEKDAY($A605)+$B$2)&gt;1,((WEEKDAY($A605)+$T$2)&lt;7),(WEEKDAY($A605)&lt;&gt;1)),"work",(INDEX(Subject!$A:$I,MATCH(RANDBETWEEN(1,(MAX(Subject!$B:$B))),Subject!$B:$B,0),3))))</f>
        <v/>
      </c>
      <c r="K605" s="2" t="str">
        <f t="array" ref="K605">IF(NOW()&gt;AV605,"",IF(AND((WEEKDAY($A605)+$B$2)&gt;1,((WEEKDAY($A605)+$T$2)&lt;7),(WEEKDAY($A605)&lt;&gt;1)),"work",(INDEX(Subject!$A:$I,MATCH(RANDBETWEEN(1,(MAX(Subject!$B:$B))),Subject!$B:$B,0),3))))</f>
        <v/>
      </c>
      <c r="L605" s="2" t="str">
        <f t="array" ref="L605">IF(NOW()&gt;AW605,"",IF(AND((WEEKDAY($A605)+$B$2)&gt;1,((WEEKDAY($A605)+$T$2)&lt;7),(WEEKDAY($A605)&lt;&gt;1)),"work",(INDEX(Subject!$A:$I,MATCH(RANDBETWEEN(1,(MAX(Subject!$B:$B))),Subject!$B:$B,0),3))))</f>
        <v/>
      </c>
      <c r="M605" s="2" t="str">
        <f t="array" ref="M605">IF(NOW()&gt;AX605,"",IF(AND((WEEKDAY($A605)+$B$2)&gt;1,((WEEKDAY($A605)+$T$2)&lt;7),(WEEKDAY($A605)&lt;&gt;1)),"work",(INDEX(Subject!$A:$I,MATCH(RANDBETWEEN(1,(MAX(Subject!$B:$B))),Subject!$B:$B,0),3))))</f>
        <v/>
      </c>
      <c r="N605" s="2" t="str">
        <f t="array" ref="N605">IF(NOW()&gt;AY605,"",IF(AND((WEEKDAY($A605)+$B$2)&gt;1,((WEEKDAY($A605)+$T$2)&lt;7),(WEEKDAY($A605)&lt;&gt;1)),"work",(INDEX(Subject!$A:$I,MATCH(RANDBETWEEN(1,(MAX(Subject!$B:$B))),Subject!$B:$B,0),3))))</f>
        <v/>
      </c>
      <c r="O605" s="2" t="str">
        <f t="array" ref="O605">IF(NOW()&gt;AZ605,"",IF(AND((WEEKDAY($A605)+$B$2)&gt;1,((WEEKDAY($A605)+$T$2)&lt;7),(WEEKDAY($A605)&lt;&gt;1)),"work",(INDEX(Subject!$A:$I,MATCH(RANDBETWEEN(1,(MAX(Subject!$B:$B))),Subject!$B:$B,0),3))))</f>
        <v/>
      </c>
      <c r="P605" s="2" t="str">
        <f t="array" ref="P605">IF(NOW()&gt;BA605,"",IF(AND((WEEKDAY($A605)+$B$2)&gt;1,((WEEKDAY($A605)+$T$2)&lt;7),(WEEKDAY($A605)&lt;&gt;1)),"work",(INDEX(Subject!$A:$I,MATCH(RANDBETWEEN(1,(MAX(Subject!$B:$B))),Subject!$B:$B,0),3))))</f>
        <v/>
      </c>
      <c r="Q605" s="2" t="str">
        <f t="array" ref="Q605">IF(NOW()&gt;BB605,"",IF(AND((WEEKDAY($A605)+$B$2)&gt;1,((WEEKDAY($A605)+$T$2)&lt;7),(WEEKDAY($A605)&lt;&gt;1)),"work",(INDEX(Subject!$A:$I,MATCH(RANDBETWEEN(1,(MAX(Subject!$B:$B))),Subject!$B:$B,0),3))))</f>
        <v/>
      </c>
      <c r="R605" s="2" t="str">
        <f t="array" ref="R605">IF(NOW()&gt;BC605,"",IF(AND((WEEKDAY($A605)+$B$2)&gt;1,((WEEKDAY($A605)+$T$2)&lt;7),(WEEKDAY($A605)&lt;&gt;1)),"work",(INDEX(Subject!$A:$I,MATCH(RANDBETWEEN(1,(MAX(Subject!$B:$B))),Subject!$B:$B,0),3))))</f>
        <v/>
      </c>
      <c r="S605" s="2" t="str">
        <f t="array" ref="S605">IF(NOW()&gt;BD605,"",IF(AND((WEEKDAY($A605)+$B$2)&gt;1,((WEEKDAY($A605)+$T$2)&lt;7),(WEEKDAY($A605)&lt;&gt;1)),"work",(INDEX(Subject!$A:$I,MATCH(RANDBETWEEN(1,(MAX(Subject!$B:$B))),Subject!$B:$B,0),3))))</f>
        <v/>
      </c>
      <c r="T605" s="2" t="str">
        <f t="array" ref="T605">IF(NOW()&gt;BE605,"",IF(AND((WEEKDAY($A605)+$B$2)&gt;1,((WEEKDAY($A605)+$T$2)&lt;7),(WEEKDAY($A605)&lt;&gt;1)),"work",(INDEX(Subject!$A:$I,MATCH(RANDBETWEEN(1,(MAX(Subject!$B:$B))),Subject!$B:$B,0),3))))</f>
        <v/>
      </c>
      <c r="U605" s="8" t="str">
        <f t="array" ref="U605">INDEX(Subject!$A:$I,MATCH(RANDBETWEEN(1,16),Subject!$B:$B,0),3)</f>
        <v>#N/A</v>
      </c>
      <c r="V605" s="8" t="str">
        <f t="array" ref="V605">INDEX(Subject!$A:$I,MATCH(RANDBETWEEN(1,16),Subject!$B:$B,0),3)</f>
        <v>#N/A</v>
      </c>
      <c r="W605" s="8" t="str">
        <f t="array" ref="W605">INDEX(Subject!$A:$I,MATCH(RANDBETWEEN(1,16),Subject!$B:$B,0),3)</f>
        <v>#N/A</v>
      </c>
      <c r="X605" s="8" t="str">
        <f t="array" ref="X605">INDEX(Subject!$A:$I,MATCH(RANDBETWEEN(1,16),Subject!$B:$B,0),3)</f>
        <v>#N/A</v>
      </c>
      <c r="Y605" s="8" t="str">
        <f t="array" ref="Y605">INDEX(Subject!$A:$I,MATCH(RANDBETWEEN(1,16),Subject!$B:$B,0),3)</f>
        <v>#N/A</v>
      </c>
      <c r="Z605" s="8" t="str">
        <f t="array" ref="Z605">INDEX(Subject!$A:$I,MATCH(RANDBETWEEN(1,16),Subject!$B:$B,0),3)</f>
        <v>#N/A</v>
      </c>
      <c r="AA605" s="8" t="str">
        <f t="array" ref="AA605">INDEX(Subject!$A:$I,MATCH(RANDBETWEEN(1,16),Subject!$B:$B,0),3)</f>
        <v>#N/A</v>
      </c>
      <c r="AB605" s="8" t="str">
        <f t="array" ref="AB605">INDEX(Subject!$A:$I,MATCH(RANDBETWEEN(1,16),Subject!$B:$B,0),3)</f>
        <v>#N/A</v>
      </c>
      <c r="AC605" s="8" t="str">
        <f t="array" ref="AC605">INDEX(Subject!$A:$I,MATCH(RANDBETWEEN(1,16),Subject!$B:$B,0),3)</f>
        <v>#N/A</v>
      </c>
      <c r="AD605" s="8" t="str">
        <f t="array" ref="AD605">INDEX(Subject!$A:$I,MATCH(RANDBETWEEN(1,16),Subject!$B:$B,0),3)</f>
        <v>#N/A</v>
      </c>
      <c r="AE605" s="8" t="str">
        <f t="array" ref="AE605">INDEX(Subject!$A:$I,MATCH(RANDBETWEEN(1,16),Subject!$B:$B,0),3)</f>
        <v>#N/A</v>
      </c>
      <c r="AF605" s="8" t="str">
        <f t="array" ref="AF605">INDEX(Subject!$A:$I,MATCH(RANDBETWEEN(1,16),Subject!$B:$B,0),3)</f>
        <v>#N/A</v>
      </c>
      <c r="AG605" s="8" t="str">
        <f t="array" ref="AG605">INDEX(Subject!$A:$I,MATCH(RANDBETWEEN(1,16),Subject!$B:$B,0),3)</f>
        <v>#N/A</v>
      </c>
      <c r="AH605" s="8" t="str">
        <f t="array" ref="AH605">INDEX(Subject!$A:$I,MATCH(RANDBETWEEN(1,16),Subject!$B:$B,0),3)</f>
        <v>#N/A</v>
      </c>
      <c r="AI605" s="8" t="str">
        <f t="array" ref="AI605">INDEX(Subject!$A:$I,MATCH(RANDBETWEEN(1,16),Subject!$B:$B,0),3)</f>
        <v>#N/A</v>
      </c>
      <c r="AJ605" s="8" t="str">
        <f t="array" ref="AJ605">INDEX(Subject!$A:$I,MATCH(RANDBETWEEN(1,16),Subject!$B:$B,0),3)</f>
        <v>#N/A</v>
      </c>
      <c r="AK605" s="8" t="str">
        <f t="array" ref="AK605">INDEX(Subject!$A:$I,MATCH(RANDBETWEEN(1,16),Subject!$B:$B,0),3)</f>
        <v>#N/A</v>
      </c>
      <c r="AL605" s="8" t="str">
        <f t="array" ref="AL605">INDEX(Subject!$A:$I,MATCH(RANDBETWEEN(1,16),Subject!$B:$B,0),3)</f>
        <v>#N/A</v>
      </c>
      <c r="AM605" s="18">
        <f t="shared" si="4"/>
        <v>46105.33333</v>
      </c>
      <c r="AN605" s="19">
        <f t="shared" ref="AN605:BZ605" si="605">$A605+C$1</f>
        <v>46105.35417</v>
      </c>
      <c r="AO605" s="19">
        <f t="shared" si="605"/>
        <v>46105.375</v>
      </c>
      <c r="AP605" s="19">
        <f t="shared" si="605"/>
        <v>46105.39583</v>
      </c>
      <c r="AQ605" s="19">
        <f t="shared" si="605"/>
        <v>46105.41667</v>
      </c>
      <c r="AR605" s="19">
        <f t="shared" si="605"/>
        <v>46105.4375</v>
      </c>
      <c r="AS605" s="19">
        <f t="shared" si="605"/>
        <v>46105.45833</v>
      </c>
      <c r="AT605" s="19">
        <f t="shared" si="605"/>
        <v>46105.47917</v>
      </c>
      <c r="AU605" s="19">
        <f t="shared" si="605"/>
        <v>46105.5</v>
      </c>
      <c r="AV605" s="19">
        <f t="shared" si="605"/>
        <v>46105.52083</v>
      </c>
      <c r="AW605" s="19">
        <f t="shared" si="605"/>
        <v>46105.54167</v>
      </c>
      <c r="AX605" s="19">
        <f t="shared" si="605"/>
        <v>46105.5625</v>
      </c>
      <c r="AY605" s="19">
        <f t="shared" si="605"/>
        <v>46105.58333</v>
      </c>
      <c r="AZ605" s="19">
        <f t="shared" si="605"/>
        <v>46105.60417</v>
      </c>
      <c r="BA605" s="19">
        <f t="shared" si="605"/>
        <v>46105.625</v>
      </c>
      <c r="BB605" s="19">
        <f t="shared" si="605"/>
        <v>46105.64583</v>
      </c>
      <c r="BC605" s="19">
        <f t="shared" si="605"/>
        <v>46105.66667</v>
      </c>
      <c r="BD605" s="19">
        <f t="shared" si="605"/>
        <v>46105.6875</v>
      </c>
      <c r="BE605" s="19">
        <f t="shared" si="605"/>
        <v>46105.70833</v>
      </c>
      <c r="BF605" s="19">
        <f t="shared" si="605"/>
        <v>46105.72917</v>
      </c>
      <c r="BG605" s="19">
        <f t="shared" si="605"/>
        <v>46105.75</v>
      </c>
      <c r="BH605" s="19">
        <f t="shared" si="605"/>
        <v>46105.77083</v>
      </c>
      <c r="BI605" s="19">
        <f t="shared" si="605"/>
        <v>46105.79167</v>
      </c>
      <c r="BJ605" s="19">
        <f t="shared" si="605"/>
        <v>46105.8125</v>
      </c>
      <c r="BK605" s="19">
        <f t="shared" si="605"/>
        <v>46105.83333</v>
      </c>
      <c r="BL605" s="19">
        <f t="shared" si="605"/>
        <v>46105.85417</v>
      </c>
      <c r="BM605" s="19">
        <f t="shared" si="605"/>
        <v>46105.875</v>
      </c>
      <c r="BN605" s="19">
        <f t="shared" si="605"/>
        <v>46105.89583</v>
      </c>
      <c r="BO605" s="19">
        <f t="shared" si="605"/>
        <v>46105.91667</v>
      </c>
      <c r="BP605" s="19">
        <f t="shared" si="605"/>
        <v>46105.9375</v>
      </c>
      <c r="BQ605" s="19">
        <f t="shared" si="605"/>
        <v>46105.95833</v>
      </c>
      <c r="BR605" s="19">
        <f t="shared" si="605"/>
        <v>46105.97917</v>
      </c>
      <c r="BS605" s="19">
        <f t="shared" si="605"/>
        <v>46106</v>
      </c>
      <c r="BT605" s="19">
        <f t="shared" si="605"/>
        <v>46106.02083</v>
      </c>
      <c r="BU605" s="19">
        <f t="shared" si="605"/>
        <v>46106.04167</v>
      </c>
      <c r="BV605" s="19">
        <f t="shared" si="605"/>
        <v>46106.0625</v>
      </c>
      <c r="BW605" s="19">
        <f t="shared" si="605"/>
        <v>46106.08333</v>
      </c>
      <c r="BX605" s="19">
        <f t="shared" si="605"/>
        <v>46105</v>
      </c>
      <c r="BY605" s="19">
        <f t="shared" si="605"/>
        <v>46105</v>
      </c>
      <c r="BZ605" s="19">
        <f t="shared" si="605"/>
        <v>46105</v>
      </c>
    </row>
    <row r="606" ht="14.25" customHeight="1">
      <c r="A606" s="17">
        <v>46106.0</v>
      </c>
      <c r="B606" s="2" t="str">
        <f t="array" ref="B606">IF(NOW()&gt;AM606,"",IF(AND((WEEKDAY($A606)+$B$2)&gt;1,((WEEKDAY($A606)+$T$2)&lt;7),(WEEKDAY($A606)&lt;&gt;1)),"work",(INDEX(Subject!$A:$I,MATCH(RANDBETWEEN(1,(MAX(Subject!$B:$B))),Subject!$B:$B,0),3))))</f>
        <v/>
      </c>
      <c r="C606" s="2" t="str">
        <f t="array" ref="C606">IF(NOW()&gt;AN606,"",IF(AND((WEEKDAY($A606)+$B$2)&gt;1,((WEEKDAY($A606)+$T$2)&lt;7),(WEEKDAY($A606)&lt;&gt;1)),"work",(INDEX(Subject!$A:$I,MATCH(RANDBETWEEN(1,(MAX(Subject!$B:$B))),Subject!$B:$B,0),3))))</f>
        <v/>
      </c>
      <c r="D606" s="2" t="str">
        <f t="array" ref="D606">IF(NOW()&gt;AO606,"",IF(AND((WEEKDAY($A606)+$B$2)&gt;1,((WEEKDAY($A606)+$T$2)&lt;7),(WEEKDAY($A606)&lt;&gt;1)),"work",(INDEX(Subject!$A:$I,MATCH(RANDBETWEEN(1,(MAX(Subject!$B:$B))),Subject!$B:$B,0),3))))</f>
        <v/>
      </c>
      <c r="E606" s="2" t="str">
        <f t="array" ref="E606">IF(NOW()&gt;AP606,"",IF(AND((WEEKDAY($A606)+$B$2)&gt;1,((WEEKDAY($A606)+$T$2)&lt;7),(WEEKDAY($A606)&lt;&gt;1)),"work",(INDEX(Subject!$A:$I,MATCH(RANDBETWEEN(1,(MAX(Subject!$B:$B))),Subject!$B:$B,0),3))))</f>
        <v/>
      </c>
      <c r="F606" s="2" t="str">
        <f t="array" ref="F606">IF(NOW()&gt;AQ606,"",IF(AND((WEEKDAY($A606)+$B$2)&gt;1,((WEEKDAY($A606)+$T$2)&lt;7),(WEEKDAY($A606)&lt;&gt;1)),"work",(INDEX(Subject!$A:$I,MATCH(RANDBETWEEN(1,(MAX(Subject!$B:$B))),Subject!$B:$B,0),3))))</f>
        <v/>
      </c>
      <c r="G606" s="2" t="str">
        <f t="array" ref="G606">IF(NOW()&gt;AR606,"",IF(AND((WEEKDAY($A606)+$B$2)&gt;1,((WEEKDAY($A606)+$T$2)&lt;7),(WEEKDAY($A606)&lt;&gt;1)),"work",(INDEX(Subject!$A:$I,MATCH(RANDBETWEEN(1,(MAX(Subject!$B:$B))),Subject!$B:$B,0),3))))</f>
        <v/>
      </c>
      <c r="H606" s="2" t="str">
        <f t="array" ref="H606">IF(NOW()&gt;AS606,"",IF(AND((WEEKDAY($A606)+$B$2)&gt;1,((WEEKDAY($A606)+$T$2)&lt;7),(WEEKDAY($A606)&lt;&gt;1)),"work",(INDEX(Subject!$A:$I,MATCH(RANDBETWEEN(1,(MAX(Subject!$B:$B))),Subject!$B:$B,0),3))))</f>
        <v/>
      </c>
      <c r="I606" s="2" t="str">
        <f t="array" ref="I606">IF(NOW()&gt;AT606,"",IF(AND((WEEKDAY($A606)+$B$2)&gt;1,((WEEKDAY($A606)+$T$2)&lt;7),(WEEKDAY($A606)&lt;&gt;1)),"work",(INDEX(Subject!$A:$I,MATCH(RANDBETWEEN(1,(MAX(Subject!$B:$B))),Subject!$B:$B,0),3))))</f>
        <v/>
      </c>
      <c r="J606" s="2" t="str">
        <f t="array" ref="J606">IF(NOW()&gt;AU606,"",IF(AND((WEEKDAY($A606)+$B$2)&gt;1,((WEEKDAY($A606)+$T$2)&lt;7),(WEEKDAY($A606)&lt;&gt;1)),"work",(INDEX(Subject!$A:$I,MATCH(RANDBETWEEN(1,(MAX(Subject!$B:$B))),Subject!$B:$B,0),3))))</f>
        <v/>
      </c>
      <c r="K606" s="2" t="str">
        <f t="array" ref="K606">IF(NOW()&gt;AV606,"",IF(AND((WEEKDAY($A606)+$B$2)&gt;1,((WEEKDAY($A606)+$T$2)&lt;7),(WEEKDAY($A606)&lt;&gt;1)),"work",(INDEX(Subject!$A:$I,MATCH(RANDBETWEEN(1,(MAX(Subject!$B:$B))),Subject!$B:$B,0),3))))</f>
        <v/>
      </c>
      <c r="L606" s="2" t="str">
        <f t="array" ref="L606">IF(NOW()&gt;AW606,"",IF(AND((WEEKDAY($A606)+$B$2)&gt;1,((WEEKDAY($A606)+$T$2)&lt;7),(WEEKDAY($A606)&lt;&gt;1)),"work",(INDEX(Subject!$A:$I,MATCH(RANDBETWEEN(1,(MAX(Subject!$B:$B))),Subject!$B:$B,0),3))))</f>
        <v/>
      </c>
      <c r="M606" s="2" t="str">
        <f t="array" ref="M606">IF(NOW()&gt;AX606,"",IF(AND((WEEKDAY($A606)+$B$2)&gt;1,((WEEKDAY($A606)+$T$2)&lt;7),(WEEKDAY($A606)&lt;&gt;1)),"work",(INDEX(Subject!$A:$I,MATCH(RANDBETWEEN(1,(MAX(Subject!$B:$B))),Subject!$B:$B,0),3))))</f>
        <v/>
      </c>
      <c r="N606" s="2" t="str">
        <f t="array" ref="N606">IF(NOW()&gt;AY606,"",IF(AND((WEEKDAY($A606)+$B$2)&gt;1,((WEEKDAY($A606)+$T$2)&lt;7),(WEEKDAY($A606)&lt;&gt;1)),"work",(INDEX(Subject!$A:$I,MATCH(RANDBETWEEN(1,(MAX(Subject!$B:$B))),Subject!$B:$B,0),3))))</f>
        <v/>
      </c>
      <c r="O606" s="2" t="str">
        <f t="array" ref="O606">IF(NOW()&gt;AZ606,"",IF(AND((WEEKDAY($A606)+$B$2)&gt;1,((WEEKDAY($A606)+$T$2)&lt;7),(WEEKDAY($A606)&lt;&gt;1)),"work",(INDEX(Subject!$A:$I,MATCH(RANDBETWEEN(1,(MAX(Subject!$B:$B))),Subject!$B:$B,0),3))))</f>
        <v/>
      </c>
      <c r="P606" s="2" t="str">
        <f t="array" ref="P606">IF(NOW()&gt;BA606,"",IF(AND((WEEKDAY($A606)+$B$2)&gt;1,((WEEKDAY($A606)+$T$2)&lt;7),(WEEKDAY($A606)&lt;&gt;1)),"work",(INDEX(Subject!$A:$I,MATCH(RANDBETWEEN(1,(MAX(Subject!$B:$B))),Subject!$B:$B,0),3))))</f>
        <v/>
      </c>
      <c r="Q606" s="2" t="str">
        <f t="array" ref="Q606">IF(NOW()&gt;BB606,"",IF(AND((WEEKDAY($A606)+$B$2)&gt;1,((WEEKDAY($A606)+$T$2)&lt;7),(WEEKDAY($A606)&lt;&gt;1)),"work",(INDEX(Subject!$A:$I,MATCH(RANDBETWEEN(1,(MAX(Subject!$B:$B))),Subject!$B:$B,0),3))))</f>
        <v/>
      </c>
      <c r="R606" s="2" t="str">
        <f t="array" ref="R606">IF(NOW()&gt;BC606,"",IF(AND((WEEKDAY($A606)+$B$2)&gt;1,((WEEKDAY($A606)+$T$2)&lt;7),(WEEKDAY($A606)&lt;&gt;1)),"work",(INDEX(Subject!$A:$I,MATCH(RANDBETWEEN(1,(MAX(Subject!$B:$B))),Subject!$B:$B,0),3))))</f>
        <v/>
      </c>
      <c r="S606" s="2" t="str">
        <f t="array" ref="S606">IF(NOW()&gt;BD606,"",IF(AND((WEEKDAY($A606)+$B$2)&gt;1,((WEEKDAY($A606)+$T$2)&lt;7),(WEEKDAY($A606)&lt;&gt;1)),"work",(INDEX(Subject!$A:$I,MATCH(RANDBETWEEN(1,(MAX(Subject!$B:$B))),Subject!$B:$B,0),3))))</f>
        <v/>
      </c>
      <c r="T606" s="2" t="str">
        <f t="array" ref="T606">IF(NOW()&gt;BE606,"",IF(AND((WEEKDAY($A606)+$B$2)&gt;1,((WEEKDAY($A606)+$T$2)&lt;7),(WEEKDAY($A606)&lt;&gt;1)),"work",(INDEX(Subject!$A:$I,MATCH(RANDBETWEEN(1,(MAX(Subject!$B:$B))),Subject!$B:$B,0),3))))</f>
        <v/>
      </c>
      <c r="U606" s="8" t="str">
        <f t="array" ref="U606">INDEX(Subject!$A:$I,MATCH(RANDBETWEEN(1,16),Subject!$B:$B,0),3)</f>
        <v>#N/A</v>
      </c>
      <c r="V606" s="8" t="str">
        <f t="array" ref="V606">INDEX(Subject!$A:$I,MATCH(RANDBETWEEN(1,16),Subject!$B:$B,0),3)</f>
        <v/>
      </c>
      <c r="W606" s="8" t="str">
        <f t="array" ref="W606">INDEX(Subject!$A:$I,MATCH(RANDBETWEEN(1,16),Subject!$B:$B,0),3)</f>
        <v>#N/A</v>
      </c>
      <c r="X606" s="8" t="str">
        <f t="array" ref="X606">INDEX(Subject!$A:$I,MATCH(RANDBETWEEN(1,16),Subject!$B:$B,0),3)</f>
        <v>#N/A</v>
      </c>
      <c r="Y606" s="8" t="str">
        <f t="array" ref="Y606">INDEX(Subject!$A:$I,MATCH(RANDBETWEEN(1,16),Subject!$B:$B,0),3)</f>
        <v>#N/A</v>
      </c>
      <c r="Z606" s="8" t="str">
        <f t="array" ref="Z606">INDEX(Subject!$A:$I,MATCH(RANDBETWEEN(1,16),Subject!$B:$B,0),3)</f>
        <v>#N/A</v>
      </c>
      <c r="AA606" s="8" t="str">
        <f t="array" ref="AA606">INDEX(Subject!$A:$I,MATCH(RANDBETWEEN(1,16),Subject!$B:$B,0),3)</f>
        <v>#N/A</v>
      </c>
      <c r="AB606" s="8" t="str">
        <f t="array" ref="AB606">INDEX(Subject!$A:$I,MATCH(RANDBETWEEN(1,16),Subject!$B:$B,0),3)</f>
        <v>#N/A</v>
      </c>
      <c r="AC606" s="8" t="str">
        <f t="array" ref="AC606">INDEX(Subject!$A:$I,MATCH(RANDBETWEEN(1,16),Subject!$B:$B,0),3)</f>
        <v>#N/A</v>
      </c>
      <c r="AD606" s="8" t="str">
        <f t="array" ref="AD606">INDEX(Subject!$A:$I,MATCH(RANDBETWEEN(1,16),Subject!$B:$B,0),3)</f>
        <v>#N/A</v>
      </c>
      <c r="AE606" s="8" t="str">
        <f t="array" ref="AE606">INDEX(Subject!$A:$I,MATCH(RANDBETWEEN(1,16),Subject!$B:$B,0),3)</f>
        <v>#N/A</v>
      </c>
      <c r="AF606" s="8" t="str">
        <f t="array" ref="AF606">INDEX(Subject!$A:$I,MATCH(RANDBETWEEN(1,16),Subject!$B:$B,0),3)</f>
        <v>#N/A</v>
      </c>
      <c r="AG606" s="8" t="str">
        <f t="array" ref="AG606">INDEX(Subject!$A:$I,MATCH(RANDBETWEEN(1,16),Subject!$B:$B,0),3)</f>
        <v>#N/A</v>
      </c>
      <c r="AH606" s="8" t="str">
        <f t="array" ref="AH606">INDEX(Subject!$A:$I,MATCH(RANDBETWEEN(1,16),Subject!$B:$B,0),3)</f>
        <v>#N/A</v>
      </c>
      <c r="AI606" s="8" t="str">
        <f t="array" ref="AI606">INDEX(Subject!$A:$I,MATCH(RANDBETWEEN(1,16),Subject!$B:$B,0),3)</f>
        <v>#N/A</v>
      </c>
      <c r="AJ606" s="8" t="str">
        <f t="array" ref="AJ606">INDEX(Subject!$A:$I,MATCH(RANDBETWEEN(1,16),Subject!$B:$B,0),3)</f>
        <v>#N/A</v>
      </c>
      <c r="AK606" s="8" t="str">
        <f t="array" ref="AK606">INDEX(Subject!$A:$I,MATCH(RANDBETWEEN(1,16),Subject!$B:$B,0),3)</f>
        <v>#N/A</v>
      </c>
      <c r="AL606" s="8" t="str">
        <f t="array" ref="AL606">INDEX(Subject!$A:$I,MATCH(RANDBETWEEN(1,16),Subject!$B:$B,0),3)</f>
        <v>#N/A</v>
      </c>
      <c r="AM606" s="18">
        <f t="shared" si="4"/>
        <v>46106.33333</v>
      </c>
      <c r="AN606" s="19">
        <f t="shared" ref="AN606:BZ606" si="606">$A606+C$1</f>
        <v>46106.35417</v>
      </c>
      <c r="AO606" s="19">
        <f t="shared" si="606"/>
        <v>46106.375</v>
      </c>
      <c r="AP606" s="19">
        <f t="shared" si="606"/>
        <v>46106.39583</v>
      </c>
      <c r="AQ606" s="19">
        <f t="shared" si="606"/>
        <v>46106.41667</v>
      </c>
      <c r="AR606" s="19">
        <f t="shared" si="606"/>
        <v>46106.4375</v>
      </c>
      <c r="AS606" s="19">
        <f t="shared" si="606"/>
        <v>46106.45833</v>
      </c>
      <c r="AT606" s="19">
        <f t="shared" si="606"/>
        <v>46106.47917</v>
      </c>
      <c r="AU606" s="19">
        <f t="shared" si="606"/>
        <v>46106.5</v>
      </c>
      <c r="AV606" s="19">
        <f t="shared" si="606"/>
        <v>46106.52083</v>
      </c>
      <c r="AW606" s="19">
        <f t="shared" si="606"/>
        <v>46106.54167</v>
      </c>
      <c r="AX606" s="19">
        <f t="shared" si="606"/>
        <v>46106.5625</v>
      </c>
      <c r="AY606" s="19">
        <f t="shared" si="606"/>
        <v>46106.58333</v>
      </c>
      <c r="AZ606" s="19">
        <f t="shared" si="606"/>
        <v>46106.60417</v>
      </c>
      <c r="BA606" s="19">
        <f t="shared" si="606"/>
        <v>46106.625</v>
      </c>
      <c r="BB606" s="19">
        <f t="shared" si="606"/>
        <v>46106.64583</v>
      </c>
      <c r="BC606" s="19">
        <f t="shared" si="606"/>
        <v>46106.66667</v>
      </c>
      <c r="BD606" s="19">
        <f t="shared" si="606"/>
        <v>46106.6875</v>
      </c>
      <c r="BE606" s="19">
        <f t="shared" si="606"/>
        <v>46106.70833</v>
      </c>
      <c r="BF606" s="19">
        <f t="shared" si="606"/>
        <v>46106.72917</v>
      </c>
      <c r="BG606" s="19">
        <f t="shared" si="606"/>
        <v>46106.75</v>
      </c>
      <c r="BH606" s="19">
        <f t="shared" si="606"/>
        <v>46106.77083</v>
      </c>
      <c r="BI606" s="19">
        <f t="shared" si="606"/>
        <v>46106.79167</v>
      </c>
      <c r="BJ606" s="19">
        <f t="shared" si="606"/>
        <v>46106.8125</v>
      </c>
      <c r="BK606" s="19">
        <f t="shared" si="606"/>
        <v>46106.83333</v>
      </c>
      <c r="BL606" s="19">
        <f t="shared" si="606"/>
        <v>46106.85417</v>
      </c>
      <c r="BM606" s="19">
        <f t="shared" si="606"/>
        <v>46106.875</v>
      </c>
      <c r="BN606" s="19">
        <f t="shared" si="606"/>
        <v>46106.89583</v>
      </c>
      <c r="BO606" s="19">
        <f t="shared" si="606"/>
        <v>46106.91667</v>
      </c>
      <c r="BP606" s="19">
        <f t="shared" si="606"/>
        <v>46106.9375</v>
      </c>
      <c r="BQ606" s="19">
        <f t="shared" si="606"/>
        <v>46106.95833</v>
      </c>
      <c r="BR606" s="19">
        <f t="shared" si="606"/>
        <v>46106.97917</v>
      </c>
      <c r="BS606" s="19">
        <f t="shared" si="606"/>
        <v>46107</v>
      </c>
      <c r="BT606" s="19">
        <f t="shared" si="606"/>
        <v>46107.02083</v>
      </c>
      <c r="BU606" s="19">
        <f t="shared" si="606"/>
        <v>46107.04167</v>
      </c>
      <c r="BV606" s="19">
        <f t="shared" si="606"/>
        <v>46107.0625</v>
      </c>
      <c r="BW606" s="19">
        <f t="shared" si="606"/>
        <v>46107.08333</v>
      </c>
      <c r="BX606" s="19">
        <f t="shared" si="606"/>
        <v>46106</v>
      </c>
      <c r="BY606" s="19">
        <f t="shared" si="606"/>
        <v>46106</v>
      </c>
      <c r="BZ606" s="19">
        <f t="shared" si="606"/>
        <v>46106</v>
      </c>
    </row>
    <row r="607" ht="14.25" customHeight="1">
      <c r="A607" s="17">
        <v>46107.0</v>
      </c>
      <c r="B607" s="2" t="str">
        <f t="array" ref="B607">IF(NOW()&gt;AM607,"",IF(AND((WEEKDAY($A607)+$B$2)&gt;1,((WEEKDAY($A607)+$T$2)&lt;7),(WEEKDAY($A607)&lt;&gt;1)),"work",(INDEX(Subject!$A:$I,MATCH(RANDBETWEEN(1,(MAX(Subject!$B:$B))),Subject!$B:$B,0),3))))</f>
        <v/>
      </c>
      <c r="C607" s="2" t="str">
        <f t="array" ref="C607">IF(NOW()&gt;AN607,"",IF(AND((WEEKDAY($A607)+$B$2)&gt;1,((WEEKDAY($A607)+$T$2)&lt;7),(WEEKDAY($A607)&lt;&gt;1)),"work",(INDEX(Subject!$A:$I,MATCH(RANDBETWEEN(1,(MAX(Subject!$B:$B))),Subject!$B:$B,0),3))))</f>
        <v/>
      </c>
      <c r="D607" s="2" t="str">
        <f t="array" ref="D607">IF(NOW()&gt;AO607,"",IF(AND((WEEKDAY($A607)+$B$2)&gt;1,((WEEKDAY($A607)+$T$2)&lt;7),(WEEKDAY($A607)&lt;&gt;1)),"work",(INDEX(Subject!$A:$I,MATCH(RANDBETWEEN(1,(MAX(Subject!$B:$B))),Subject!$B:$B,0),3))))</f>
        <v/>
      </c>
      <c r="E607" s="2" t="str">
        <f t="array" ref="E607">IF(NOW()&gt;AP607,"",IF(AND((WEEKDAY($A607)+$B$2)&gt;1,((WEEKDAY($A607)+$T$2)&lt;7),(WEEKDAY($A607)&lt;&gt;1)),"work",(INDEX(Subject!$A:$I,MATCH(RANDBETWEEN(1,(MAX(Subject!$B:$B))),Subject!$B:$B,0),3))))</f>
        <v/>
      </c>
      <c r="F607" s="2" t="str">
        <f t="array" ref="F607">IF(NOW()&gt;AQ607,"",IF(AND((WEEKDAY($A607)+$B$2)&gt;1,((WEEKDAY($A607)+$T$2)&lt;7),(WEEKDAY($A607)&lt;&gt;1)),"work",(INDEX(Subject!$A:$I,MATCH(RANDBETWEEN(1,(MAX(Subject!$B:$B))),Subject!$B:$B,0),3))))</f>
        <v/>
      </c>
      <c r="G607" s="2" t="str">
        <f t="array" ref="G607">IF(NOW()&gt;AR607,"",IF(AND((WEEKDAY($A607)+$B$2)&gt;1,((WEEKDAY($A607)+$T$2)&lt;7),(WEEKDAY($A607)&lt;&gt;1)),"work",(INDEX(Subject!$A:$I,MATCH(RANDBETWEEN(1,(MAX(Subject!$B:$B))),Subject!$B:$B,0),3))))</f>
        <v/>
      </c>
      <c r="H607" s="2" t="str">
        <f t="array" ref="H607">IF(NOW()&gt;AS607,"",IF(AND((WEEKDAY($A607)+$B$2)&gt;1,((WEEKDAY($A607)+$T$2)&lt;7),(WEEKDAY($A607)&lt;&gt;1)),"work",(INDEX(Subject!$A:$I,MATCH(RANDBETWEEN(1,(MAX(Subject!$B:$B))),Subject!$B:$B,0),3))))</f>
        <v/>
      </c>
      <c r="I607" s="2" t="str">
        <f t="array" ref="I607">IF(NOW()&gt;AT607,"",IF(AND((WEEKDAY($A607)+$B$2)&gt;1,((WEEKDAY($A607)+$T$2)&lt;7),(WEEKDAY($A607)&lt;&gt;1)),"work",(INDEX(Subject!$A:$I,MATCH(RANDBETWEEN(1,(MAX(Subject!$B:$B))),Subject!$B:$B,0),3))))</f>
        <v/>
      </c>
      <c r="J607" s="2" t="str">
        <f t="array" ref="J607">IF(NOW()&gt;AU607,"",IF(AND((WEEKDAY($A607)+$B$2)&gt;1,((WEEKDAY($A607)+$T$2)&lt;7),(WEEKDAY($A607)&lt;&gt;1)),"work",(INDEX(Subject!$A:$I,MATCH(RANDBETWEEN(1,(MAX(Subject!$B:$B))),Subject!$B:$B,0),3))))</f>
        <v/>
      </c>
      <c r="K607" s="2" t="str">
        <f t="array" ref="K607">IF(NOW()&gt;AV607,"",IF(AND((WEEKDAY($A607)+$B$2)&gt;1,((WEEKDAY($A607)+$T$2)&lt;7),(WEEKDAY($A607)&lt;&gt;1)),"work",(INDEX(Subject!$A:$I,MATCH(RANDBETWEEN(1,(MAX(Subject!$B:$B))),Subject!$B:$B,0),3))))</f>
        <v/>
      </c>
      <c r="L607" s="2" t="str">
        <f t="array" ref="L607">IF(NOW()&gt;AW607,"",IF(AND((WEEKDAY($A607)+$B$2)&gt;1,((WEEKDAY($A607)+$T$2)&lt;7),(WEEKDAY($A607)&lt;&gt;1)),"work",(INDEX(Subject!$A:$I,MATCH(RANDBETWEEN(1,(MAX(Subject!$B:$B))),Subject!$B:$B,0),3))))</f>
        <v/>
      </c>
      <c r="M607" s="2" t="str">
        <f t="array" ref="M607">IF(NOW()&gt;AX607,"",IF(AND((WEEKDAY($A607)+$B$2)&gt;1,((WEEKDAY($A607)+$T$2)&lt;7),(WEEKDAY($A607)&lt;&gt;1)),"work",(INDEX(Subject!$A:$I,MATCH(RANDBETWEEN(1,(MAX(Subject!$B:$B))),Subject!$B:$B,0),3))))</f>
        <v/>
      </c>
      <c r="N607" s="2" t="str">
        <f t="array" ref="N607">IF(NOW()&gt;AY607,"",IF(AND((WEEKDAY($A607)+$B$2)&gt;1,((WEEKDAY($A607)+$T$2)&lt;7),(WEEKDAY($A607)&lt;&gt;1)),"work",(INDEX(Subject!$A:$I,MATCH(RANDBETWEEN(1,(MAX(Subject!$B:$B))),Subject!$B:$B,0),3))))</f>
        <v/>
      </c>
      <c r="O607" s="2" t="str">
        <f t="array" ref="O607">IF(NOW()&gt;AZ607,"",IF(AND((WEEKDAY($A607)+$B$2)&gt;1,((WEEKDAY($A607)+$T$2)&lt;7),(WEEKDAY($A607)&lt;&gt;1)),"work",(INDEX(Subject!$A:$I,MATCH(RANDBETWEEN(1,(MAX(Subject!$B:$B))),Subject!$B:$B,0),3))))</f>
        <v/>
      </c>
      <c r="P607" s="2" t="str">
        <f t="array" ref="P607">IF(NOW()&gt;BA607,"",IF(AND((WEEKDAY($A607)+$B$2)&gt;1,((WEEKDAY($A607)+$T$2)&lt;7),(WEEKDAY($A607)&lt;&gt;1)),"work",(INDEX(Subject!$A:$I,MATCH(RANDBETWEEN(1,(MAX(Subject!$B:$B))),Subject!$B:$B,0),3))))</f>
        <v/>
      </c>
      <c r="Q607" s="2" t="str">
        <f t="array" ref="Q607">IF(NOW()&gt;BB607,"",IF(AND((WEEKDAY($A607)+$B$2)&gt;1,((WEEKDAY($A607)+$T$2)&lt;7),(WEEKDAY($A607)&lt;&gt;1)),"work",(INDEX(Subject!$A:$I,MATCH(RANDBETWEEN(1,(MAX(Subject!$B:$B))),Subject!$B:$B,0),3))))</f>
        <v/>
      </c>
      <c r="R607" s="2" t="str">
        <f t="array" ref="R607">IF(NOW()&gt;BC607,"",IF(AND((WEEKDAY($A607)+$B$2)&gt;1,((WEEKDAY($A607)+$T$2)&lt;7),(WEEKDAY($A607)&lt;&gt;1)),"work",(INDEX(Subject!$A:$I,MATCH(RANDBETWEEN(1,(MAX(Subject!$B:$B))),Subject!$B:$B,0),3))))</f>
        <v/>
      </c>
      <c r="S607" s="2" t="str">
        <f t="array" ref="S607">IF(NOW()&gt;BD607,"",IF(AND((WEEKDAY($A607)+$B$2)&gt;1,((WEEKDAY($A607)+$T$2)&lt;7),(WEEKDAY($A607)&lt;&gt;1)),"work",(INDEX(Subject!$A:$I,MATCH(RANDBETWEEN(1,(MAX(Subject!$B:$B))),Subject!$B:$B,0),3))))</f>
        <v/>
      </c>
      <c r="T607" s="2" t="str">
        <f t="array" ref="T607">IF(NOW()&gt;BE607,"",IF(AND((WEEKDAY($A607)+$B$2)&gt;1,((WEEKDAY($A607)+$T$2)&lt;7),(WEEKDAY($A607)&lt;&gt;1)),"work",(INDEX(Subject!$A:$I,MATCH(RANDBETWEEN(1,(MAX(Subject!$B:$B))),Subject!$B:$B,0),3))))</f>
        <v/>
      </c>
      <c r="U607" s="8" t="str">
        <f t="array" ref="U607">INDEX(Subject!$A:$I,MATCH(RANDBETWEEN(1,16),Subject!$B:$B,0),3)</f>
        <v>#N/A</v>
      </c>
      <c r="V607" s="8" t="str">
        <f t="array" ref="V607">INDEX(Subject!$A:$I,MATCH(RANDBETWEEN(1,16),Subject!$B:$B,0),3)</f>
        <v>#N/A</v>
      </c>
      <c r="W607" s="8" t="str">
        <f t="array" ref="W607">INDEX(Subject!$A:$I,MATCH(RANDBETWEEN(1,16),Subject!$B:$B,0),3)</f>
        <v>#N/A</v>
      </c>
      <c r="X607" s="8" t="str">
        <f t="array" ref="X607">INDEX(Subject!$A:$I,MATCH(RANDBETWEEN(1,16),Subject!$B:$B,0),3)</f>
        <v>#N/A</v>
      </c>
      <c r="Y607" s="8" t="str">
        <f t="array" ref="Y607">INDEX(Subject!$A:$I,MATCH(RANDBETWEEN(1,16),Subject!$B:$B,0),3)</f>
        <v>#N/A</v>
      </c>
      <c r="Z607" s="8" t="str">
        <f t="array" ref="Z607">INDEX(Subject!$A:$I,MATCH(RANDBETWEEN(1,16),Subject!$B:$B,0),3)</f>
        <v>#N/A</v>
      </c>
      <c r="AA607" s="8" t="str">
        <f t="array" ref="AA607">INDEX(Subject!$A:$I,MATCH(RANDBETWEEN(1,16),Subject!$B:$B,0),3)</f>
        <v>#N/A</v>
      </c>
      <c r="AB607" s="8" t="str">
        <f t="array" ref="AB607">INDEX(Subject!$A:$I,MATCH(RANDBETWEEN(1,16),Subject!$B:$B,0),3)</f>
        <v>#N/A</v>
      </c>
      <c r="AC607" s="8" t="str">
        <f t="array" ref="AC607">INDEX(Subject!$A:$I,MATCH(RANDBETWEEN(1,16),Subject!$B:$B,0),3)</f>
        <v>#N/A</v>
      </c>
      <c r="AD607" s="8" t="str">
        <f t="array" ref="AD607">INDEX(Subject!$A:$I,MATCH(RANDBETWEEN(1,16),Subject!$B:$B,0),3)</f>
        <v>#N/A</v>
      </c>
      <c r="AE607" s="8" t="str">
        <f t="array" ref="AE607">INDEX(Subject!$A:$I,MATCH(RANDBETWEEN(1,16),Subject!$B:$B,0),3)</f>
        <v>#N/A</v>
      </c>
      <c r="AF607" s="8" t="str">
        <f t="array" ref="AF607">INDEX(Subject!$A:$I,MATCH(RANDBETWEEN(1,16),Subject!$B:$B,0),3)</f>
        <v>#N/A</v>
      </c>
      <c r="AG607" s="8" t="str">
        <f t="array" ref="AG607">INDEX(Subject!$A:$I,MATCH(RANDBETWEEN(1,16),Subject!$B:$B,0),3)</f>
        <v>#N/A</v>
      </c>
      <c r="AH607" s="8" t="str">
        <f t="array" ref="AH607">INDEX(Subject!$A:$I,MATCH(RANDBETWEEN(1,16),Subject!$B:$B,0),3)</f>
        <v>#N/A</v>
      </c>
      <c r="AI607" s="8" t="str">
        <f t="array" ref="AI607">INDEX(Subject!$A:$I,MATCH(RANDBETWEEN(1,16),Subject!$B:$B,0),3)</f>
        <v>#N/A</v>
      </c>
      <c r="AJ607" s="8" t="str">
        <f t="array" ref="AJ607">INDEX(Subject!$A:$I,MATCH(RANDBETWEEN(1,16),Subject!$B:$B,0),3)</f>
        <v>#N/A</v>
      </c>
      <c r="AK607" s="8" t="str">
        <f t="array" ref="AK607">INDEX(Subject!$A:$I,MATCH(RANDBETWEEN(1,16),Subject!$B:$B,0),3)</f>
        <v>#N/A</v>
      </c>
      <c r="AL607" s="8" t="str">
        <f t="array" ref="AL607">INDEX(Subject!$A:$I,MATCH(RANDBETWEEN(1,16),Subject!$B:$B,0),3)</f>
        <v>#N/A</v>
      </c>
      <c r="AM607" s="18">
        <f t="shared" si="4"/>
        <v>46107.33333</v>
      </c>
      <c r="AN607" s="19">
        <f t="shared" ref="AN607:BZ607" si="607">$A607+C$1</f>
        <v>46107.35417</v>
      </c>
      <c r="AO607" s="19">
        <f t="shared" si="607"/>
        <v>46107.375</v>
      </c>
      <c r="AP607" s="19">
        <f t="shared" si="607"/>
        <v>46107.39583</v>
      </c>
      <c r="AQ607" s="19">
        <f t="shared" si="607"/>
        <v>46107.41667</v>
      </c>
      <c r="AR607" s="19">
        <f t="shared" si="607"/>
        <v>46107.4375</v>
      </c>
      <c r="AS607" s="19">
        <f t="shared" si="607"/>
        <v>46107.45833</v>
      </c>
      <c r="AT607" s="19">
        <f t="shared" si="607"/>
        <v>46107.47917</v>
      </c>
      <c r="AU607" s="19">
        <f t="shared" si="607"/>
        <v>46107.5</v>
      </c>
      <c r="AV607" s="19">
        <f t="shared" si="607"/>
        <v>46107.52083</v>
      </c>
      <c r="AW607" s="19">
        <f t="shared" si="607"/>
        <v>46107.54167</v>
      </c>
      <c r="AX607" s="19">
        <f t="shared" si="607"/>
        <v>46107.5625</v>
      </c>
      <c r="AY607" s="19">
        <f t="shared" si="607"/>
        <v>46107.58333</v>
      </c>
      <c r="AZ607" s="19">
        <f t="shared" si="607"/>
        <v>46107.60417</v>
      </c>
      <c r="BA607" s="19">
        <f t="shared" si="607"/>
        <v>46107.625</v>
      </c>
      <c r="BB607" s="19">
        <f t="shared" si="607"/>
        <v>46107.64583</v>
      </c>
      <c r="BC607" s="19">
        <f t="shared" si="607"/>
        <v>46107.66667</v>
      </c>
      <c r="BD607" s="19">
        <f t="shared" si="607"/>
        <v>46107.6875</v>
      </c>
      <c r="BE607" s="19">
        <f t="shared" si="607"/>
        <v>46107.70833</v>
      </c>
      <c r="BF607" s="19">
        <f t="shared" si="607"/>
        <v>46107.72917</v>
      </c>
      <c r="BG607" s="19">
        <f t="shared" si="607"/>
        <v>46107.75</v>
      </c>
      <c r="BH607" s="19">
        <f t="shared" si="607"/>
        <v>46107.77083</v>
      </c>
      <c r="BI607" s="19">
        <f t="shared" si="607"/>
        <v>46107.79167</v>
      </c>
      <c r="BJ607" s="19">
        <f t="shared" si="607"/>
        <v>46107.8125</v>
      </c>
      <c r="BK607" s="19">
        <f t="shared" si="607"/>
        <v>46107.83333</v>
      </c>
      <c r="BL607" s="19">
        <f t="shared" si="607"/>
        <v>46107.85417</v>
      </c>
      <c r="BM607" s="19">
        <f t="shared" si="607"/>
        <v>46107.875</v>
      </c>
      <c r="BN607" s="19">
        <f t="shared" si="607"/>
        <v>46107.89583</v>
      </c>
      <c r="BO607" s="19">
        <f t="shared" si="607"/>
        <v>46107.91667</v>
      </c>
      <c r="BP607" s="19">
        <f t="shared" si="607"/>
        <v>46107.9375</v>
      </c>
      <c r="BQ607" s="19">
        <f t="shared" si="607"/>
        <v>46107.95833</v>
      </c>
      <c r="BR607" s="19">
        <f t="shared" si="607"/>
        <v>46107.97917</v>
      </c>
      <c r="BS607" s="19">
        <f t="shared" si="607"/>
        <v>46108</v>
      </c>
      <c r="BT607" s="19">
        <f t="shared" si="607"/>
        <v>46108.02083</v>
      </c>
      <c r="BU607" s="19">
        <f t="shared" si="607"/>
        <v>46108.04167</v>
      </c>
      <c r="BV607" s="19">
        <f t="shared" si="607"/>
        <v>46108.0625</v>
      </c>
      <c r="BW607" s="19">
        <f t="shared" si="607"/>
        <v>46108.08333</v>
      </c>
      <c r="BX607" s="19">
        <f t="shared" si="607"/>
        <v>46107</v>
      </c>
      <c r="BY607" s="19">
        <f t="shared" si="607"/>
        <v>46107</v>
      </c>
      <c r="BZ607" s="19">
        <f t="shared" si="607"/>
        <v>46107</v>
      </c>
    </row>
    <row r="608" ht="14.25" customHeight="1">
      <c r="A608" s="17">
        <v>46108.0</v>
      </c>
      <c r="B608" s="2" t="str">
        <f t="array" ref="B608">IF(NOW()&gt;AM608,"",IF(AND((WEEKDAY($A608)+$B$2)&gt;1,((WEEKDAY($A608)+$T$2)&lt;7),(WEEKDAY($A608)&lt;&gt;1)),"work",(INDEX(Subject!$A:$I,MATCH(RANDBETWEEN(1,(MAX(Subject!$B:$B))),Subject!$B:$B,0),3))))</f>
        <v/>
      </c>
      <c r="C608" s="2" t="str">
        <f t="array" ref="C608">IF(NOW()&gt;AN608,"",IF(AND((WEEKDAY($A608)+$B$2)&gt;1,((WEEKDAY($A608)+$T$2)&lt;7),(WEEKDAY($A608)&lt;&gt;1)),"work",(INDEX(Subject!$A:$I,MATCH(RANDBETWEEN(1,(MAX(Subject!$B:$B))),Subject!$B:$B,0),3))))</f>
        <v/>
      </c>
      <c r="D608" s="2" t="str">
        <f t="array" ref="D608">IF(NOW()&gt;AO608,"",IF(AND((WEEKDAY($A608)+$B$2)&gt;1,((WEEKDAY($A608)+$T$2)&lt;7),(WEEKDAY($A608)&lt;&gt;1)),"work",(INDEX(Subject!$A:$I,MATCH(RANDBETWEEN(1,(MAX(Subject!$B:$B))),Subject!$B:$B,0),3))))</f>
        <v/>
      </c>
      <c r="E608" s="2" t="str">
        <f t="array" ref="E608">IF(NOW()&gt;AP608,"",IF(AND((WEEKDAY($A608)+$B$2)&gt;1,((WEEKDAY($A608)+$T$2)&lt;7),(WEEKDAY($A608)&lt;&gt;1)),"work",(INDEX(Subject!$A:$I,MATCH(RANDBETWEEN(1,(MAX(Subject!$B:$B))),Subject!$B:$B,0),3))))</f>
        <v/>
      </c>
      <c r="F608" s="2" t="str">
        <f t="array" ref="F608">IF(NOW()&gt;AQ608,"",IF(AND((WEEKDAY($A608)+$B$2)&gt;1,((WEEKDAY($A608)+$T$2)&lt;7),(WEEKDAY($A608)&lt;&gt;1)),"work",(INDEX(Subject!$A:$I,MATCH(RANDBETWEEN(1,(MAX(Subject!$B:$B))),Subject!$B:$B,0),3))))</f>
        <v/>
      </c>
      <c r="G608" s="2" t="str">
        <f t="array" ref="G608">IF(NOW()&gt;AR608,"",IF(AND((WEEKDAY($A608)+$B$2)&gt;1,((WEEKDAY($A608)+$T$2)&lt;7),(WEEKDAY($A608)&lt;&gt;1)),"work",(INDEX(Subject!$A:$I,MATCH(RANDBETWEEN(1,(MAX(Subject!$B:$B))),Subject!$B:$B,0),3))))</f>
        <v/>
      </c>
      <c r="H608" s="2" t="str">
        <f t="array" ref="H608">IF(NOW()&gt;AS608,"",IF(AND((WEEKDAY($A608)+$B$2)&gt;1,((WEEKDAY($A608)+$T$2)&lt;7),(WEEKDAY($A608)&lt;&gt;1)),"work",(INDEX(Subject!$A:$I,MATCH(RANDBETWEEN(1,(MAX(Subject!$B:$B))),Subject!$B:$B,0),3))))</f>
        <v/>
      </c>
      <c r="I608" s="2" t="str">
        <f t="array" ref="I608">IF(NOW()&gt;AT608,"",IF(AND((WEEKDAY($A608)+$B$2)&gt;1,((WEEKDAY($A608)+$T$2)&lt;7),(WEEKDAY($A608)&lt;&gt;1)),"work",(INDEX(Subject!$A:$I,MATCH(RANDBETWEEN(1,(MAX(Subject!$B:$B))),Subject!$B:$B,0),3))))</f>
        <v/>
      </c>
      <c r="J608" s="2" t="str">
        <f t="array" ref="J608">IF(NOW()&gt;AU608,"",IF(AND((WEEKDAY($A608)+$B$2)&gt;1,((WEEKDAY($A608)+$T$2)&lt;7),(WEEKDAY($A608)&lt;&gt;1)),"work",(INDEX(Subject!$A:$I,MATCH(RANDBETWEEN(1,(MAX(Subject!$B:$B))),Subject!$B:$B,0),3))))</f>
        <v/>
      </c>
      <c r="K608" s="2" t="str">
        <f t="array" ref="K608">IF(NOW()&gt;AV608,"",IF(AND((WEEKDAY($A608)+$B$2)&gt;1,((WEEKDAY($A608)+$T$2)&lt;7),(WEEKDAY($A608)&lt;&gt;1)),"work",(INDEX(Subject!$A:$I,MATCH(RANDBETWEEN(1,(MAX(Subject!$B:$B))),Subject!$B:$B,0),3))))</f>
        <v/>
      </c>
      <c r="L608" s="2" t="str">
        <f t="array" ref="L608">IF(NOW()&gt;AW608,"",IF(AND((WEEKDAY($A608)+$B$2)&gt;1,((WEEKDAY($A608)+$T$2)&lt;7),(WEEKDAY($A608)&lt;&gt;1)),"work",(INDEX(Subject!$A:$I,MATCH(RANDBETWEEN(1,(MAX(Subject!$B:$B))),Subject!$B:$B,0),3))))</f>
        <v/>
      </c>
      <c r="M608" s="2" t="str">
        <f t="array" ref="M608">IF(NOW()&gt;AX608,"",IF(AND((WEEKDAY($A608)+$B$2)&gt;1,((WEEKDAY($A608)+$T$2)&lt;7),(WEEKDAY($A608)&lt;&gt;1)),"work",(INDEX(Subject!$A:$I,MATCH(RANDBETWEEN(1,(MAX(Subject!$B:$B))),Subject!$B:$B,0),3))))</f>
        <v/>
      </c>
      <c r="N608" s="2" t="str">
        <f t="array" ref="N608">IF(NOW()&gt;AY608,"",IF(AND((WEEKDAY($A608)+$B$2)&gt;1,((WEEKDAY($A608)+$T$2)&lt;7),(WEEKDAY($A608)&lt;&gt;1)),"work",(INDEX(Subject!$A:$I,MATCH(RANDBETWEEN(1,(MAX(Subject!$B:$B))),Subject!$B:$B,0),3))))</f>
        <v/>
      </c>
      <c r="O608" s="2" t="str">
        <f t="array" ref="O608">IF(NOW()&gt;AZ608,"",IF(AND((WEEKDAY($A608)+$B$2)&gt;1,((WEEKDAY($A608)+$T$2)&lt;7),(WEEKDAY($A608)&lt;&gt;1)),"work",(INDEX(Subject!$A:$I,MATCH(RANDBETWEEN(1,(MAX(Subject!$B:$B))),Subject!$B:$B,0),3))))</f>
        <v/>
      </c>
      <c r="P608" s="2" t="str">
        <f t="array" ref="P608">IF(NOW()&gt;BA608,"",IF(AND((WEEKDAY($A608)+$B$2)&gt;1,((WEEKDAY($A608)+$T$2)&lt;7),(WEEKDAY($A608)&lt;&gt;1)),"work",(INDEX(Subject!$A:$I,MATCH(RANDBETWEEN(1,(MAX(Subject!$B:$B))),Subject!$B:$B,0),3))))</f>
        <v/>
      </c>
      <c r="Q608" s="2" t="str">
        <f t="array" ref="Q608">IF(NOW()&gt;BB608,"",IF(AND((WEEKDAY($A608)+$B$2)&gt;1,((WEEKDAY($A608)+$T$2)&lt;7),(WEEKDAY($A608)&lt;&gt;1)),"work",(INDEX(Subject!$A:$I,MATCH(RANDBETWEEN(1,(MAX(Subject!$B:$B))),Subject!$B:$B,0),3))))</f>
        <v/>
      </c>
      <c r="R608" s="2" t="str">
        <f t="array" ref="R608">IF(NOW()&gt;BC608,"",IF(AND((WEEKDAY($A608)+$B$2)&gt;1,((WEEKDAY($A608)+$T$2)&lt;7),(WEEKDAY($A608)&lt;&gt;1)),"work",(INDEX(Subject!$A:$I,MATCH(RANDBETWEEN(1,(MAX(Subject!$B:$B))),Subject!$B:$B,0),3))))</f>
        <v/>
      </c>
      <c r="S608" s="2" t="str">
        <f t="array" ref="S608">IF(NOW()&gt;BD608,"",IF(AND((WEEKDAY($A608)+$B$2)&gt;1,((WEEKDAY($A608)+$T$2)&lt;7),(WEEKDAY($A608)&lt;&gt;1)),"work",(INDEX(Subject!$A:$I,MATCH(RANDBETWEEN(1,(MAX(Subject!$B:$B))),Subject!$B:$B,0),3))))</f>
        <v/>
      </c>
      <c r="T608" s="2" t="str">
        <f t="array" ref="T608">IF(NOW()&gt;BE608,"",IF(AND((WEEKDAY($A608)+$B$2)&gt;1,((WEEKDAY($A608)+$T$2)&lt;7),(WEEKDAY($A608)&lt;&gt;1)),"work",(INDEX(Subject!$A:$I,MATCH(RANDBETWEEN(1,(MAX(Subject!$B:$B))),Subject!$B:$B,0),3))))</f>
        <v/>
      </c>
      <c r="U608" s="8" t="str">
        <f t="array" ref="U608">INDEX(Subject!$A:$I,MATCH(RANDBETWEEN(1,16),Subject!$B:$B,0),3)</f>
        <v>#N/A</v>
      </c>
      <c r="V608" s="8" t="str">
        <f t="array" ref="V608">INDEX(Subject!$A:$I,MATCH(RANDBETWEEN(1,16),Subject!$B:$B,0),3)</f>
        <v>#N/A</v>
      </c>
      <c r="W608" s="8" t="str">
        <f t="array" ref="W608">INDEX(Subject!$A:$I,MATCH(RANDBETWEEN(1,16),Subject!$B:$B,0),3)</f>
        <v>#N/A</v>
      </c>
      <c r="X608" s="8" t="str">
        <f t="array" ref="X608">INDEX(Subject!$A:$I,MATCH(RANDBETWEEN(1,16),Subject!$B:$B,0),3)</f>
        <v>#N/A</v>
      </c>
      <c r="Y608" s="8" t="str">
        <f t="array" ref="Y608">INDEX(Subject!$A:$I,MATCH(RANDBETWEEN(1,16),Subject!$B:$B,0),3)</f>
        <v>#N/A</v>
      </c>
      <c r="Z608" s="8" t="str">
        <f t="array" ref="Z608">INDEX(Subject!$A:$I,MATCH(RANDBETWEEN(1,16),Subject!$B:$B,0),3)</f>
        <v>#N/A</v>
      </c>
      <c r="AA608" s="8" t="str">
        <f t="array" ref="AA608">INDEX(Subject!$A:$I,MATCH(RANDBETWEEN(1,16),Subject!$B:$B,0),3)</f>
        <v>#N/A</v>
      </c>
      <c r="AB608" s="8" t="str">
        <f t="array" ref="AB608">INDEX(Subject!$A:$I,MATCH(RANDBETWEEN(1,16),Subject!$B:$B,0),3)</f>
        <v>#N/A</v>
      </c>
      <c r="AC608" s="8" t="str">
        <f t="array" ref="AC608">INDEX(Subject!$A:$I,MATCH(RANDBETWEEN(1,16),Subject!$B:$B,0),3)</f>
        <v>#N/A</v>
      </c>
      <c r="AD608" s="8" t="str">
        <f t="array" ref="AD608">INDEX(Subject!$A:$I,MATCH(RANDBETWEEN(1,16),Subject!$B:$B,0),3)</f>
        <v>#N/A</v>
      </c>
      <c r="AE608" s="8" t="str">
        <f t="array" ref="AE608">INDEX(Subject!$A:$I,MATCH(RANDBETWEEN(1,16),Subject!$B:$B,0),3)</f>
        <v>#N/A</v>
      </c>
      <c r="AF608" s="8" t="str">
        <f t="array" ref="AF608">INDEX(Subject!$A:$I,MATCH(RANDBETWEEN(1,16),Subject!$B:$B,0),3)</f>
        <v>#N/A</v>
      </c>
      <c r="AG608" s="8" t="str">
        <f t="array" ref="AG608">INDEX(Subject!$A:$I,MATCH(RANDBETWEEN(1,16),Subject!$B:$B,0),3)</f>
        <v>#N/A</v>
      </c>
      <c r="AH608" s="8" t="str">
        <f t="array" ref="AH608">INDEX(Subject!$A:$I,MATCH(RANDBETWEEN(1,16),Subject!$B:$B,0),3)</f>
        <v/>
      </c>
      <c r="AI608" s="8" t="str">
        <f t="array" ref="AI608">INDEX(Subject!$A:$I,MATCH(RANDBETWEEN(1,16),Subject!$B:$B,0),3)</f>
        <v>#N/A</v>
      </c>
      <c r="AJ608" s="8" t="str">
        <f t="array" ref="AJ608">INDEX(Subject!$A:$I,MATCH(RANDBETWEEN(1,16),Subject!$B:$B,0),3)</f>
        <v>#N/A</v>
      </c>
      <c r="AK608" s="8" t="str">
        <f t="array" ref="AK608">INDEX(Subject!$A:$I,MATCH(RANDBETWEEN(1,16),Subject!$B:$B,0),3)</f>
        <v>#N/A</v>
      </c>
      <c r="AL608" s="8" t="str">
        <f t="array" ref="AL608">INDEX(Subject!$A:$I,MATCH(RANDBETWEEN(1,16),Subject!$B:$B,0),3)</f>
        <v>#N/A</v>
      </c>
      <c r="AM608" s="18">
        <f t="shared" si="4"/>
        <v>46108.33333</v>
      </c>
      <c r="AN608" s="19">
        <f t="shared" ref="AN608:BZ608" si="608">$A608+C$1</f>
        <v>46108.35417</v>
      </c>
      <c r="AO608" s="19">
        <f t="shared" si="608"/>
        <v>46108.375</v>
      </c>
      <c r="AP608" s="19">
        <f t="shared" si="608"/>
        <v>46108.39583</v>
      </c>
      <c r="AQ608" s="19">
        <f t="shared" si="608"/>
        <v>46108.41667</v>
      </c>
      <c r="AR608" s="19">
        <f t="shared" si="608"/>
        <v>46108.4375</v>
      </c>
      <c r="AS608" s="19">
        <f t="shared" si="608"/>
        <v>46108.45833</v>
      </c>
      <c r="AT608" s="19">
        <f t="shared" si="608"/>
        <v>46108.47917</v>
      </c>
      <c r="AU608" s="19">
        <f t="shared" si="608"/>
        <v>46108.5</v>
      </c>
      <c r="AV608" s="19">
        <f t="shared" si="608"/>
        <v>46108.52083</v>
      </c>
      <c r="AW608" s="19">
        <f t="shared" si="608"/>
        <v>46108.54167</v>
      </c>
      <c r="AX608" s="19">
        <f t="shared" si="608"/>
        <v>46108.5625</v>
      </c>
      <c r="AY608" s="19">
        <f t="shared" si="608"/>
        <v>46108.58333</v>
      </c>
      <c r="AZ608" s="19">
        <f t="shared" si="608"/>
        <v>46108.60417</v>
      </c>
      <c r="BA608" s="19">
        <f t="shared" si="608"/>
        <v>46108.625</v>
      </c>
      <c r="BB608" s="19">
        <f t="shared" si="608"/>
        <v>46108.64583</v>
      </c>
      <c r="BC608" s="19">
        <f t="shared" si="608"/>
        <v>46108.66667</v>
      </c>
      <c r="BD608" s="19">
        <f t="shared" si="608"/>
        <v>46108.6875</v>
      </c>
      <c r="BE608" s="19">
        <f t="shared" si="608"/>
        <v>46108.70833</v>
      </c>
      <c r="BF608" s="19">
        <f t="shared" si="608"/>
        <v>46108.72917</v>
      </c>
      <c r="BG608" s="19">
        <f t="shared" si="608"/>
        <v>46108.75</v>
      </c>
      <c r="BH608" s="19">
        <f t="shared" si="608"/>
        <v>46108.77083</v>
      </c>
      <c r="BI608" s="19">
        <f t="shared" si="608"/>
        <v>46108.79167</v>
      </c>
      <c r="BJ608" s="19">
        <f t="shared" si="608"/>
        <v>46108.8125</v>
      </c>
      <c r="BK608" s="19">
        <f t="shared" si="608"/>
        <v>46108.83333</v>
      </c>
      <c r="BL608" s="19">
        <f t="shared" si="608"/>
        <v>46108.85417</v>
      </c>
      <c r="BM608" s="19">
        <f t="shared" si="608"/>
        <v>46108.875</v>
      </c>
      <c r="BN608" s="19">
        <f t="shared" si="608"/>
        <v>46108.89583</v>
      </c>
      <c r="BO608" s="19">
        <f t="shared" si="608"/>
        <v>46108.91667</v>
      </c>
      <c r="BP608" s="19">
        <f t="shared" si="608"/>
        <v>46108.9375</v>
      </c>
      <c r="BQ608" s="19">
        <f t="shared" si="608"/>
        <v>46108.95833</v>
      </c>
      <c r="BR608" s="19">
        <f t="shared" si="608"/>
        <v>46108.97917</v>
      </c>
      <c r="BS608" s="19">
        <f t="shared" si="608"/>
        <v>46109</v>
      </c>
      <c r="BT608" s="19">
        <f t="shared" si="608"/>
        <v>46109.02083</v>
      </c>
      <c r="BU608" s="19">
        <f t="shared" si="608"/>
        <v>46109.04167</v>
      </c>
      <c r="BV608" s="19">
        <f t="shared" si="608"/>
        <v>46109.0625</v>
      </c>
      <c r="BW608" s="19">
        <f t="shared" si="608"/>
        <v>46109.08333</v>
      </c>
      <c r="BX608" s="19">
        <f t="shared" si="608"/>
        <v>46108</v>
      </c>
      <c r="BY608" s="19">
        <f t="shared" si="608"/>
        <v>46108</v>
      </c>
      <c r="BZ608" s="19">
        <f t="shared" si="608"/>
        <v>46108</v>
      </c>
    </row>
    <row r="609" ht="14.25" customHeight="1">
      <c r="A609" s="17">
        <v>46109.0</v>
      </c>
      <c r="B609" s="2" t="str">
        <f t="array" ref="B609">IF(NOW()&gt;AM609,"",IF(AND((WEEKDAY($A609)+$B$2)&gt;1,((WEEKDAY($A609)+$T$2)&lt;7),(WEEKDAY($A609)&lt;&gt;1)),"work",(INDEX(Subject!$A:$I,MATCH(RANDBETWEEN(1,(MAX(Subject!$B:$B))),Subject!$B:$B,0),3))))</f>
        <v/>
      </c>
      <c r="C609" s="2" t="str">
        <f t="array" ref="C609">IF(NOW()&gt;AN609,"",IF(AND((WEEKDAY($A609)+$B$2)&gt;1,((WEEKDAY($A609)+$T$2)&lt;7),(WEEKDAY($A609)&lt;&gt;1)),"work",(INDEX(Subject!$A:$I,MATCH(RANDBETWEEN(1,(MAX(Subject!$B:$B))),Subject!$B:$B,0),3))))</f>
        <v/>
      </c>
      <c r="D609" s="2" t="str">
        <f t="array" ref="D609">IF(NOW()&gt;AO609,"",IF(AND((WEEKDAY($A609)+$B$2)&gt;1,((WEEKDAY($A609)+$T$2)&lt;7),(WEEKDAY($A609)&lt;&gt;1)),"work",(INDEX(Subject!$A:$I,MATCH(RANDBETWEEN(1,(MAX(Subject!$B:$B))),Subject!$B:$B,0),3))))</f>
        <v/>
      </c>
      <c r="E609" s="2" t="str">
        <f t="array" ref="E609">IF(NOW()&gt;AP609,"",IF(AND((WEEKDAY($A609)+$B$2)&gt;1,((WEEKDAY($A609)+$T$2)&lt;7),(WEEKDAY($A609)&lt;&gt;1)),"work",(INDEX(Subject!$A:$I,MATCH(RANDBETWEEN(1,(MAX(Subject!$B:$B))),Subject!$B:$B,0),3))))</f>
        <v/>
      </c>
      <c r="F609" s="2" t="str">
        <f t="array" ref="F609">IF(NOW()&gt;AQ609,"",IF(AND((WEEKDAY($A609)+$B$2)&gt;1,((WEEKDAY($A609)+$T$2)&lt;7),(WEEKDAY($A609)&lt;&gt;1)),"work",(INDEX(Subject!$A:$I,MATCH(RANDBETWEEN(1,(MAX(Subject!$B:$B))),Subject!$B:$B,0),3))))</f>
        <v/>
      </c>
      <c r="G609" s="2" t="str">
        <f t="array" ref="G609">IF(NOW()&gt;AR609,"",IF(AND((WEEKDAY($A609)+$B$2)&gt;1,((WEEKDAY($A609)+$T$2)&lt;7),(WEEKDAY($A609)&lt;&gt;1)),"work",(INDEX(Subject!$A:$I,MATCH(RANDBETWEEN(1,(MAX(Subject!$B:$B))),Subject!$B:$B,0),3))))</f>
        <v/>
      </c>
      <c r="H609" s="2" t="str">
        <f t="array" ref="H609">IF(NOW()&gt;AS609,"",IF(AND((WEEKDAY($A609)+$B$2)&gt;1,((WEEKDAY($A609)+$T$2)&lt;7),(WEEKDAY($A609)&lt;&gt;1)),"work",(INDEX(Subject!$A:$I,MATCH(RANDBETWEEN(1,(MAX(Subject!$B:$B))),Subject!$B:$B,0),3))))</f>
        <v/>
      </c>
      <c r="I609" s="2" t="str">
        <f t="array" ref="I609">IF(NOW()&gt;AT609,"",IF(AND((WEEKDAY($A609)+$B$2)&gt;1,((WEEKDAY($A609)+$T$2)&lt;7),(WEEKDAY($A609)&lt;&gt;1)),"work",(INDEX(Subject!$A:$I,MATCH(RANDBETWEEN(1,(MAX(Subject!$B:$B))),Subject!$B:$B,0),3))))</f>
        <v/>
      </c>
      <c r="J609" s="2" t="str">
        <f t="array" ref="J609">IF(NOW()&gt;AU609,"",IF(AND((WEEKDAY($A609)+$B$2)&gt;1,((WEEKDAY($A609)+$T$2)&lt;7),(WEEKDAY($A609)&lt;&gt;1)),"work",(INDEX(Subject!$A:$I,MATCH(RANDBETWEEN(1,(MAX(Subject!$B:$B))),Subject!$B:$B,0),3))))</f>
        <v/>
      </c>
      <c r="K609" s="2" t="str">
        <f t="array" ref="K609">IF(NOW()&gt;AV609,"",IF(AND((WEEKDAY($A609)+$B$2)&gt;1,((WEEKDAY($A609)+$T$2)&lt;7),(WEEKDAY($A609)&lt;&gt;1)),"work",(INDEX(Subject!$A:$I,MATCH(RANDBETWEEN(1,(MAX(Subject!$B:$B))),Subject!$B:$B,0),3))))</f>
        <v/>
      </c>
      <c r="L609" s="2" t="str">
        <f t="array" ref="L609">IF(NOW()&gt;AW609,"",IF(AND((WEEKDAY($A609)+$B$2)&gt;1,((WEEKDAY($A609)+$T$2)&lt;7),(WEEKDAY($A609)&lt;&gt;1)),"work",(INDEX(Subject!$A:$I,MATCH(RANDBETWEEN(1,(MAX(Subject!$B:$B))),Subject!$B:$B,0),3))))</f>
        <v/>
      </c>
      <c r="M609" s="2" t="str">
        <f t="array" ref="M609">IF(NOW()&gt;AX609,"",IF(AND((WEEKDAY($A609)+$B$2)&gt;1,((WEEKDAY($A609)+$T$2)&lt;7),(WEEKDAY($A609)&lt;&gt;1)),"work",(INDEX(Subject!$A:$I,MATCH(RANDBETWEEN(1,(MAX(Subject!$B:$B))),Subject!$B:$B,0),3))))</f>
        <v/>
      </c>
      <c r="N609" s="2" t="str">
        <f t="array" ref="N609">IF(NOW()&gt;AY609,"",IF(AND((WEEKDAY($A609)+$B$2)&gt;1,((WEEKDAY($A609)+$T$2)&lt;7),(WEEKDAY($A609)&lt;&gt;1)),"work",(INDEX(Subject!$A:$I,MATCH(RANDBETWEEN(1,(MAX(Subject!$B:$B))),Subject!$B:$B,0),3))))</f>
        <v/>
      </c>
      <c r="O609" s="2" t="str">
        <f t="array" ref="O609">IF(NOW()&gt;AZ609,"",IF(AND((WEEKDAY($A609)+$B$2)&gt;1,((WEEKDAY($A609)+$T$2)&lt;7),(WEEKDAY($A609)&lt;&gt;1)),"work",(INDEX(Subject!$A:$I,MATCH(RANDBETWEEN(1,(MAX(Subject!$B:$B))),Subject!$B:$B,0),3))))</f>
        <v/>
      </c>
      <c r="P609" s="2" t="str">
        <f t="array" ref="P609">IF(NOW()&gt;BA609,"",IF(AND((WEEKDAY($A609)+$B$2)&gt;1,((WEEKDAY($A609)+$T$2)&lt;7),(WEEKDAY($A609)&lt;&gt;1)),"work",(INDEX(Subject!$A:$I,MATCH(RANDBETWEEN(1,(MAX(Subject!$B:$B))),Subject!$B:$B,0),3))))</f>
        <v/>
      </c>
      <c r="Q609" s="2" t="str">
        <f t="array" ref="Q609">IF(NOW()&gt;BB609,"",IF(AND((WEEKDAY($A609)+$B$2)&gt;1,((WEEKDAY($A609)+$T$2)&lt;7),(WEEKDAY($A609)&lt;&gt;1)),"work",(INDEX(Subject!$A:$I,MATCH(RANDBETWEEN(1,(MAX(Subject!$B:$B))),Subject!$B:$B,0),3))))</f>
        <v/>
      </c>
      <c r="R609" s="2" t="str">
        <f t="array" ref="R609">IF(NOW()&gt;BC609,"",IF(AND((WEEKDAY($A609)+$B$2)&gt;1,((WEEKDAY($A609)+$T$2)&lt;7),(WEEKDAY($A609)&lt;&gt;1)),"work",(INDEX(Subject!$A:$I,MATCH(RANDBETWEEN(1,(MAX(Subject!$B:$B))),Subject!$B:$B,0),3))))</f>
        <v/>
      </c>
      <c r="S609" s="2" t="str">
        <f t="array" ref="S609">IF(NOW()&gt;BD609,"",IF(AND((WEEKDAY($A609)+$B$2)&gt;1,((WEEKDAY($A609)+$T$2)&lt;7),(WEEKDAY($A609)&lt;&gt;1)),"work",(INDEX(Subject!$A:$I,MATCH(RANDBETWEEN(1,(MAX(Subject!$B:$B))),Subject!$B:$B,0),3))))</f>
        <v/>
      </c>
      <c r="T609" s="2" t="str">
        <f t="array" ref="T609">IF(NOW()&gt;BE609,"",IF(AND((WEEKDAY($A609)+$B$2)&gt;1,((WEEKDAY($A609)+$T$2)&lt;7),(WEEKDAY($A609)&lt;&gt;1)),"work",(INDEX(Subject!$A:$I,MATCH(RANDBETWEEN(1,(MAX(Subject!$B:$B))),Subject!$B:$B,0),3))))</f>
        <v/>
      </c>
      <c r="U609" s="8" t="str">
        <f t="array" ref="U609">INDEX(Subject!$A:$I,MATCH(RANDBETWEEN(1,16),Subject!$B:$B,0),3)</f>
        <v>#N/A</v>
      </c>
      <c r="V609" s="8" t="str">
        <f t="array" ref="V609">INDEX(Subject!$A:$I,MATCH(RANDBETWEEN(1,16),Subject!$B:$B,0),3)</f>
        <v>#N/A</v>
      </c>
      <c r="W609" s="8" t="str">
        <f t="array" ref="W609">INDEX(Subject!$A:$I,MATCH(RANDBETWEEN(1,16),Subject!$B:$B,0),3)</f>
        <v>#N/A</v>
      </c>
      <c r="X609" s="8" t="str">
        <f t="array" ref="X609">INDEX(Subject!$A:$I,MATCH(RANDBETWEEN(1,16),Subject!$B:$B,0),3)</f>
        <v>#N/A</v>
      </c>
      <c r="Y609" s="8" t="str">
        <f t="array" ref="Y609">INDEX(Subject!$A:$I,MATCH(RANDBETWEEN(1,16),Subject!$B:$B,0),3)</f>
        <v>#N/A</v>
      </c>
      <c r="Z609" s="8" t="str">
        <f t="array" ref="Z609">INDEX(Subject!$A:$I,MATCH(RANDBETWEEN(1,16),Subject!$B:$B,0),3)</f>
        <v>#N/A</v>
      </c>
      <c r="AA609" s="8" t="str">
        <f t="array" ref="AA609">INDEX(Subject!$A:$I,MATCH(RANDBETWEEN(1,16),Subject!$B:$B,0),3)</f>
        <v>#N/A</v>
      </c>
      <c r="AB609" s="8" t="str">
        <f t="array" ref="AB609">INDEX(Subject!$A:$I,MATCH(RANDBETWEEN(1,16),Subject!$B:$B,0),3)</f>
        <v>#N/A</v>
      </c>
      <c r="AC609" s="8" t="str">
        <f t="array" ref="AC609">INDEX(Subject!$A:$I,MATCH(RANDBETWEEN(1,16),Subject!$B:$B,0),3)</f>
        <v>#N/A</v>
      </c>
      <c r="AD609" s="8" t="str">
        <f t="array" ref="AD609">INDEX(Subject!$A:$I,MATCH(RANDBETWEEN(1,16),Subject!$B:$B,0),3)</f>
        <v>#N/A</v>
      </c>
      <c r="AE609" s="8" t="str">
        <f t="array" ref="AE609">INDEX(Subject!$A:$I,MATCH(RANDBETWEEN(1,16),Subject!$B:$B,0),3)</f>
        <v>#N/A</v>
      </c>
      <c r="AF609" s="8" t="str">
        <f t="array" ref="AF609">INDEX(Subject!$A:$I,MATCH(RANDBETWEEN(1,16),Subject!$B:$B,0),3)</f>
        <v>#N/A</v>
      </c>
      <c r="AG609" s="8" t="str">
        <f t="array" ref="AG609">INDEX(Subject!$A:$I,MATCH(RANDBETWEEN(1,16),Subject!$B:$B,0),3)</f>
        <v>#N/A</v>
      </c>
      <c r="AH609" s="8" t="str">
        <f t="array" ref="AH609">INDEX(Subject!$A:$I,MATCH(RANDBETWEEN(1,16),Subject!$B:$B,0),3)</f>
        <v/>
      </c>
      <c r="AI609" s="8" t="str">
        <f t="array" ref="AI609">INDEX(Subject!$A:$I,MATCH(RANDBETWEEN(1,16),Subject!$B:$B,0),3)</f>
        <v>#N/A</v>
      </c>
      <c r="AJ609" s="8" t="str">
        <f t="array" ref="AJ609">INDEX(Subject!$A:$I,MATCH(RANDBETWEEN(1,16),Subject!$B:$B,0),3)</f>
        <v>#N/A</v>
      </c>
      <c r="AK609" s="8" t="str">
        <f t="array" ref="AK609">INDEX(Subject!$A:$I,MATCH(RANDBETWEEN(1,16),Subject!$B:$B,0),3)</f>
        <v>#N/A</v>
      </c>
      <c r="AL609" s="8" t="str">
        <f t="array" ref="AL609">INDEX(Subject!$A:$I,MATCH(RANDBETWEEN(1,16),Subject!$B:$B,0),3)</f>
        <v>#N/A</v>
      </c>
      <c r="AM609" s="18">
        <f t="shared" si="4"/>
        <v>46109.33333</v>
      </c>
      <c r="AN609" s="19">
        <f t="shared" ref="AN609:BZ609" si="609">$A609+C$1</f>
        <v>46109.35417</v>
      </c>
      <c r="AO609" s="19">
        <f t="shared" si="609"/>
        <v>46109.375</v>
      </c>
      <c r="AP609" s="19">
        <f t="shared" si="609"/>
        <v>46109.39583</v>
      </c>
      <c r="AQ609" s="19">
        <f t="shared" si="609"/>
        <v>46109.41667</v>
      </c>
      <c r="AR609" s="19">
        <f t="shared" si="609"/>
        <v>46109.4375</v>
      </c>
      <c r="AS609" s="19">
        <f t="shared" si="609"/>
        <v>46109.45833</v>
      </c>
      <c r="AT609" s="19">
        <f t="shared" si="609"/>
        <v>46109.47917</v>
      </c>
      <c r="AU609" s="19">
        <f t="shared" si="609"/>
        <v>46109.5</v>
      </c>
      <c r="AV609" s="19">
        <f t="shared" si="609"/>
        <v>46109.52083</v>
      </c>
      <c r="AW609" s="19">
        <f t="shared" si="609"/>
        <v>46109.54167</v>
      </c>
      <c r="AX609" s="19">
        <f t="shared" si="609"/>
        <v>46109.5625</v>
      </c>
      <c r="AY609" s="19">
        <f t="shared" si="609"/>
        <v>46109.58333</v>
      </c>
      <c r="AZ609" s="19">
        <f t="shared" si="609"/>
        <v>46109.60417</v>
      </c>
      <c r="BA609" s="19">
        <f t="shared" si="609"/>
        <v>46109.625</v>
      </c>
      <c r="BB609" s="19">
        <f t="shared" si="609"/>
        <v>46109.64583</v>
      </c>
      <c r="BC609" s="19">
        <f t="shared" si="609"/>
        <v>46109.66667</v>
      </c>
      <c r="BD609" s="19">
        <f t="shared" si="609"/>
        <v>46109.6875</v>
      </c>
      <c r="BE609" s="19">
        <f t="shared" si="609"/>
        <v>46109.70833</v>
      </c>
      <c r="BF609" s="19">
        <f t="shared" si="609"/>
        <v>46109.72917</v>
      </c>
      <c r="BG609" s="19">
        <f t="shared" si="609"/>
        <v>46109.75</v>
      </c>
      <c r="BH609" s="19">
        <f t="shared" si="609"/>
        <v>46109.77083</v>
      </c>
      <c r="BI609" s="19">
        <f t="shared" si="609"/>
        <v>46109.79167</v>
      </c>
      <c r="BJ609" s="19">
        <f t="shared" si="609"/>
        <v>46109.8125</v>
      </c>
      <c r="BK609" s="19">
        <f t="shared" si="609"/>
        <v>46109.83333</v>
      </c>
      <c r="BL609" s="19">
        <f t="shared" si="609"/>
        <v>46109.85417</v>
      </c>
      <c r="BM609" s="19">
        <f t="shared" si="609"/>
        <v>46109.875</v>
      </c>
      <c r="BN609" s="19">
        <f t="shared" si="609"/>
        <v>46109.89583</v>
      </c>
      <c r="BO609" s="19">
        <f t="shared" si="609"/>
        <v>46109.91667</v>
      </c>
      <c r="BP609" s="19">
        <f t="shared" si="609"/>
        <v>46109.9375</v>
      </c>
      <c r="BQ609" s="19">
        <f t="shared" si="609"/>
        <v>46109.95833</v>
      </c>
      <c r="BR609" s="19">
        <f t="shared" si="609"/>
        <v>46109.97917</v>
      </c>
      <c r="BS609" s="19">
        <f t="shared" si="609"/>
        <v>46110</v>
      </c>
      <c r="BT609" s="19">
        <f t="shared" si="609"/>
        <v>46110.02083</v>
      </c>
      <c r="BU609" s="19">
        <f t="shared" si="609"/>
        <v>46110.04167</v>
      </c>
      <c r="BV609" s="19">
        <f t="shared" si="609"/>
        <v>46110.0625</v>
      </c>
      <c r="BW609" s="19">
        <f t="shared" si="609"/>
        <v>46110.08333</v>
      </c>
      <c r="BX609" s="19">
        <f t="shared" si="609"/>
        <v>46109</v>
      </c>
      <c r="BY609" s="19">
        <f t="shared" si="609"/>
        <v>46109</v>
      </c>
      <c r="BZ609" s="19">
        <f t="shared" si="609"/>
        <v>46109</v>
      </c>
    </row>
    <row r="610" ht="14.25" customHeight="1">
      <c r="A610" s="17">
        <v>46110.0</v>
      </c>
      <c r="B610" s="2" t="str">
        <f t="array" ref="B610">IF(NOW()&gt;AM610,"",IF(AND((WEEKDAY($A610)+$B$2)&gt;1,((WEEKDAY($A610)+$T$2)&lt;7),(WEEKDAY($A610)&lt;&gt;1)),"work",(INDEX(Subject!$A:$I,MATCH(RANDBETWEEN(1,(MAX(Subject!$B:$B))),Subject!$B:$B,0),3))))</f>
        <v/>
      </c>
      <c r="C610" s="2" t="str">
        <f t="array" ref="C610">IF(NOW()&gt;AN610,"",IF(AND((WEEKDAY($A610)+$B$2)&gt;1,((WEEKDAY($A610)+$T$2)&lt;7),(WEEKDAY($A610)&lt;&gt;1)),"work",(INDEX(Subject!$A:$I,MATCH(RANDBETWEEN(1,(MAX(Subject!$B:$B))),Subject!$B:$B,0),3))))</f>
        <v/>
      </c>
      <c r="D610" s="2" t="str">
        <f t="array" ref="D610">IF(NOW()&gt;AO610,"",IF(AND((WEEKDAY($A610)+$B$2)&gt;1,((WEEKDAY($A610)+$T$2)&lt;7),(WEEKDAY($A610)&lt;&gt;1)),"work",(INDEX(Subject!$A:$I,MATCH(RANDBETWEEN(1,(MAX(Subject!$B:$B))),Subject!$B:$B,0),3))))</f>
        <v/>
      </c>
      <c r="E610" s="2" t="str">
        <f t="array" ref="E610">IF(NOW()&gt;AP610,"",IF(AND((WEEKDAY($A610)+$B$2)&gt;1,((WEEKDAY($A610)+$T$2)&lt;7),(WEEKDAY($A610)&lt;&gt;1)),"work",(INDEX(Subject!$A:$I,MATCH(RANDBETWEEN(1,(MAX(Subject!$B:$B))),Subject!$B:$B,0),3))))</f>
        <v/>
      </c>
      <c r="F610" s="2" t="str">
        <f t="array" ref="F610">IF(NOW()&gt;AQ610,"",IF(AND((WEEKDAY($A610)+$B$2)&gt;1,((WEEKDAY($A610)+$T$2)&lt;7),(WEEKDAY($A610)&lt;&gt;1)),"work",(INDEX(Subject!$A:$I,MATCH(RANDBETWEEN(1,(MAX(Subject!$B:$B))),Subject!$B:$B,0),3))))</f>
        <v/>
      </c>
      <c r="G610" s="2" t="str">
        <f t="array" ref="G610">IF(NOW()&gt;AR610,"",IF(AND((WEEKDAY($A610)+$B$2)&gt;1,((WEEKDAY($A610)+$T$2)&lt;7),(WEEKDAY($A610)&lt;&gt;1)),"work",(INDEX(Subject!$A:$I,MATCH(RANDBETWEEN(1,(MAX(Subject!$B:$B))),Subject!$B:$B,0),3))))</f>
        <v/>
      </c>
      <c r="H610" s="2" t="str">
        <f t="array" ref="H610">IF(NOW()&gt;AS610,"",IF(AND((WEEKDAY($A610)+$B$2)&gt;1,((WEEKDAY($A610)+$T$2)&lt;7),(WEEKDAY($A610)&lt;&gt;1)),"work",(INDEX(Subject!$A:$I,MATCH(RANDBETWEEN(1,(MAX(Subject!$B:$B))),Subject!$B:$B,0),3))))</f>
        <v/>
      </c>
      <c r="I610" s="2" t="str">
        <f t="array" ref="I610">IF(NOW()&gt;AT610,"",IF(AND((WEEKDAY($A610)+$B$2)&gt;1,((WEEKDAY($A610)+$T$2)&lt;7),(WEEKDAY($A610)&lt;&gt;1)),"work",(INDEX(Subject!$A:$I,MATCH(RANDBETWEEN(1,(MAX(Subject!$B:$B))),Subject!$B:$B,0),3))))</f>
        <v/>
      </c>
      <c r="J610" s="2" t="str">
        <f t="array" ref="J610">IF(NOW()&gt;AU610,"",IF(AND((WEEKDAY($A610)+$B$2)&gt;1,((WEEKDAY($A610)+$T$2)&lt;7),(WEEKDAY($A610)&lt;&gt;1)),"work",(INDEX(Subject!$A:$I,MATCH(RANDBETWEEN(1,(MAX(Subject!$B:$B))),Subject!$B:$B,0),3))))</f>
        <v/>
      </c>
      <c r="K610" s="2" t="str">
        <f t="array" ref="K610">IF(NOW()&gt;AV610,"",IF(AND((WEEKDAY($A610)+$B$2)&gt;1,((WEEKDAY($A610)+$T$2)&lt;7),(WEEKDAY($A610)&lt;&gt;1)),"work",(INDEX(Subject!$A:$I,MATCH(RANDBETWEEN(1,(MAX(Subject!$B:$B))),Subject!$B:$B,0),3))))</f>
        <v/>
      </c>
      <c r="L610" s="2" t="str">
        <f t="array" ref="L610">IF(NOW()&gt;AW610,"",IF(AND((WEEKDAY($A610)+$B$2)&gt;1,((WEEKDAY($A610)+$T$2)&lt;7),(WEEKDAY($A610)&lt;&gt;1)),"work",(INDEX(Subject!$A:$I,MATCH(RANDBETWEEN(1,(MAX(Subject!$B:$B))),Subject!$B:$B,0),3))))</f>
        <v/>
      </c>
      <c r="M610" s="2" t="str">
        <f t="array" ref="M610">IF(NOW()&gt;AX610,"",IF(AND((WEEKDAY($A610)+$B$2)&gt;1,((WEEKDAY($A610)+$T$2)&lt;7),(WEEKDAY($A610)&lt;&gt;1)),"work",(INDEX(Subject!$A:$I,MATCH(RANDBETWEEN(1,(MAX(Subject!$B:$B))),Subject!$B:$B,0),3))))</f>
        <v/>
      </c>
      <c r="N610" s="2" t="str">
        <f t="array" ref="N610">IF(NOW()&gt;AY610,"",IF(AND((WEEKDAY($A610)+$B$2)&gt;1,((WEEKDAY($A610)+$T$2)&lt;7),(WEEKDAY($A610)&lt;&gt;1)),"work",(INDEX(Subject!$A:$I,MATCH(RANDBETWEEN(1,(MAX(Subject!$B:$B))),Subject!$B:$B,0),3))))</f>
        <v/>
      </c>
      <c r="O610" s="2" t="str">
        <f t="array" ref="O610">IF(NOW()&gt;AZ610,"",IF(AND((WEEKDAY($A610)+$B$2)&gt;1,((WEEKDAY($A610)+$T$2)&lt;7),(WEEKDAY($A610)&lt;&gt;1)),"work",(INDEX(Subject!$A:$I,MATCH(RANDBETWEEN(1,(MAX(Subject!$B:$B))),Subject!$B:$B,0),3))))</f>
        <v/>
      </c>
      <c r="P610" s="2" t="str">
        <f t="array" ref="P610">IF(NOW()&gt;BA610,"",IF(AND((WEEKDAY($A610)+$B$2)&gt;1,((WEEKDAY($A610)+$T$2)&lt;7),(WEEKDAY($A610)&lt;&gt;1)),"work",(INDEX(Subject!$A:$I,MATCH(RANDBETWEEN(1,(MAX(Subject!$B:$B))),Subject!$B:$B,0),3))))</f>
        <v/>
      </c>
      <c r="Q610" s="2" t="str">
        <f t="array" ref="Q610">IF(NOW()&gt;BB610,"",IF(AND((WEEKDAY($A610)+$B$2)&gt;1,((WEEKDAY($A610)+$T$2)&lt;7),(WEEKDAY($A610)&lt;&gt;1)),"work",(INDEX(Subject!$A:$I,MATCH(RANDBETWEEN(1,(MAX(Subject!$B:$B))),Subject!$B:$B,0),3))))</f>
        <v/>
      </c>
      <c r="R610" s="2" t="str">
        <f t="array" ref="R610">IF(NOW()&gt;BC610,"",IF(AND((WEEKDAY($A610)+$B$2)&gt;1,((WEEKDAY($A610)+$T$2)&lt;7),(WEEKDAY($A610)&lt;&gt;1)),"work",(INDEX(Subject!$A:$I,MATCH(RANDBETWEEN(1,(MAX(Subject!$B:$B))),Subject!$B:$B,0),3))))</f>
        <v/>
      </c>
      <c r="S610" s="2" t="str">
        <f t="array" ref="S610">IF(NOW()&gt;BD610,"",IF(AND((WEEKDAY($A610)+$B$2)&gt;1,((WEEKDAY($A610)+$T$2)&lt;7),(WEEKDAY($A610)&lt;&gt;1)),"work",(INDEX(Subject!$A:$I,MATCH(RANDBETWEEN(1,(MAX(Subject!$B:$B))),Subject!$B:$B,0),3))))</f>
        <v/>
      </c>
      <c r="T610" s="2" t="str">
        <f t="array" ref="T610">IF(NOW()&gt;BE610,"",IF(AND((WEEKDAY($A610)+$B$2)&gt;1,((WEEKDAY($A610)+$T$2)&lt;7),(WEEKDAY($A610)&lt;&gt;1)),"work",(INDEX(Subject!$A:$I,MATCH(RANDBETWEEN(1,(MAX(Subject!$B:$B))),Subject!$B:$B,0),3))))</f>
        <v/>
      </c>
      <c r="U610" s="8" t="str">
        <f t="array" ref="U610">INDEX(Subject!$A:$I,MATCH(RANDBETWEEN(1,16),Subject!$B:$B,0),3)</f>
        <v>#N/A</v>
      </c>
      <c r="V610" s="8" t="str">
        <f t="array" ref="V610">INDEX(Subject!$A:$I,MATCH(RANDBETWEEN(1,16),Subject!$B:$B,0),3)</f>
        <v>#N/A</v>
      </c>
      <c r="W610" s="8" t="str">
        <f t="array" ref="W610">INDEX(Subject!$A:$I,MATCH(RANDBETWEEN(1,16),Subject!$B:$B,0),3)</f>
        <v/>
      </c>
      <c r="X610" s="8" t="str">
        <f t="array" ref="X610">INDEX(Subject!$A:$I,MATCH(RANDBETWEEN(1,16),Subject!$B:$B,0),3)</f>
        <v>#N/A</v>
      </c>
      <c r="Y610" s="8" t="str">
        <f t="array" ref="Y610">INDEX(Subject!$A:$I,MATCH(RANDBETWEEN(1,16),Subject!$B:$B,0),3)</f>
        <v>#N/A</v>
      </c>
      <c r="Z610" s="8" t="str">
        <f t="array" ref="Z610">INDEX(Subject!$A:$I,MATCH(RANDBETWEEN(1,16),Subject!$B:$B,0),3)</f>
        <v>#N/A</v>
      </c>
      <c r="AA610" s="8" t="str">
        <f t="array" ref="AA610">INDEX(Subject!$A:$I,MATCH(RANDBETWEEN(1,16),Subject!$B:$B,0),3)</f>
        <v>#N/A</v>
      </c>
      <c r="AB610" s="8" t="str">
        <f t="array" ref="AB610">INDEX(Subject!$A:$I,MATCH(RANDBETWEEN(1,16),Subject!$B:$B,0),3)</f>
        <v>#N/A</v>
      </c>
      <c r="AC610" s="8" t="str">
        <f t="array" ref="AC610">INDEX(Subject!$A:$I,MATCH(RANDBETWEEN(1,16),Subject!$B:$B,0),3)</f>
        <v>#N/A</v>
      </c>
      <c r="AD610" s="8" t="str">
        <f t="array" ref="AD610">INDEX(Subject!$A:$I,MATCH(RANDBETWEEN(1,16),Subject!$B:$B,0),3)</f>
        <v>#N/A</v>
      </c>
      <c r="AE610" s="8" t="str">
        <f t="array" ref="AE610">INDEX(Subject!$A:$I,MATCH(RANDBETWEEN(1,16),Subject!$B:$B,0),3)</f>
        <v>#N/A</v>
      </c>
      <c r="AF610" s="8" t="str">
        <f t="array" ref="AF610">INDEX(Subject!$A:$I,MATCH(RANDBETWEEN(1,16),Subject!$B:$B,0),3)</f>
        <v>#N/A</v>
      </c>
      <c r="AG610" s="8" t="str">
        <f t="array" ref="AG610">INDEX(Subject!$A:$I,MATCH(RANDBETWEEN(1,16),Subject!$B:$B,0),3)</f>
        <v>#N/A</v>
      </c>
      <c r="AH610" s="8" t="str">
        <f t="array" ref="AH610">INDEX(Subject!$A:$I,MATCH(RANDBETWEEN(1,16),Subject!$B:$B,0),3)</f>
        <v/>
      </c>
      <c r="AI610" s="8" t="str">
        <f t="array" ref="AI610">INDEX(Subject!$A:$I,MATCH(RANDBETWEEN(1,16),Subject!$B:$B,0),3)</f>
        <v>#N/A</v>
      </c>
      <c r="AJ610" s="8" t="str">
        <f t="array" ref="AJ610">INDEX(Subject!$A:$I,MATCH(RANDBETWEEN(1,16),Subject!$B:$B,0),3)</f>
        <v>#N/A</v>
      </c>
      <c r="AK610" s="8" t="str">
        <f t="array" ref="AK610">INDEX(Subject!$A:$I,MATCH(RANDBETWEEN(1,16),Subject!$B:$B,0),3)</f>
        <v>#N/A</v>
      </c>
      <c r="AL610" s="8" t="str">
        <f t="array" ref="AL610">INDEX(Subject!$A:$I,MATCH(RANDBETWEEN(1,16),Subject!$B:$B,0),3)</f>
        <v>#N/A</v>
      </c>
      <c r="AM610" s="18">
        <f t="shared" si="4"/>
        <v>46110.33333</v>
      </c>
      <c r="AN610" s="19">
        <f t="shared" ref="AN610:BZ610" si="610">$A610+C$1</f>
        <v>46110.35417</v>
      </c>
      <c r="AO610" s="19">
        <f t="shared" si="610"/>
        <v>46110.375</v>
      </c>
      <c r="AP610" s="19">
        <f t="shared" si="610"/>
        <v>46110.39583</v>
      </c>
      <c r="AQ610" s="19">
        <f t="shared" si="610"/>
        <v>46110.41667</v>
      </c>
      <c r="AR610" s="19">
        <f t="shared" si="610"/>
        <v>46110.4375</v>
      </c>
      <c r="AS610" s="19">
        <f t="shared" si="610"/>
        <v>46110.45833</v>
      </c>
      <c r="AT610" s="19">
        <f t="shared" si="610"/>
        <v>46110.47917</v>
      </c>
      <c r="AU610" s="19">
        <f t="shared" si="610"/>
        <v>46110.5</v>
      </c>
      <c r="AV610" s="19">
        <f t="shared" si="610"/>
        <v>46110.52083</v>
      </c>
      <c r="AW610" s="19">
        <f t="shared" si="610"/>
        <v>46110.54167</v>
      </c>
      <c r="AX610" s="19">
        <f t="shared" si="610"/>
        <v>46110.5625</v>
      </c>
      <c r="AY610" s="19">
        <f t="shared" si="610"/>
        <v>46110.58333</v>
      </c>
      <c r="AZ610" s="19">
        <f t="shared" si="610"/>
        <v>46110.60417</v>
      </c>
      <c r="BA610" s="19">
        <f t="shared" si="610"/>
        <v>46110.625</v>
      </c>
      <c r="BB610" s="19">
        <f t="shared" si="610"/>
        <v>46110.64583</v>
      </c>
      <c r="BC610" s="19">
        <f t="shared" si="610"/>
        <v>46110.66667</v>
      </c>
      <c r="BD610" s="19">
        <f t="shared" si="610"/>
        <v>46110.6875</v>
      </c>
      <c r="BE610" s="19">
        <f t="shared" si="610"/>
        <v>46110.70833</v>
      </c>
      <c r="BF610" s="19">
        <f t="shared" si="610"/>
        <v>46110.72917</v>
      </c>
      <c r="BG610" s="19">
        <f t="shared" si="610"/>
        <v>46110.75</v>
      </c>
      <c r="BH610" s="19">
        <f t="shared" si="610"/>
        <v>46110.77083</v>
      </c>
      <c r="BI610" s="19">
        <f t="shared" si="610"/>
        <v>46110.79167</v>
      </c>
      <c r="BJ610" s="19">
        <f t="shared" si="610"/>
        <v>46110.8125</v>
      </c>
      <c r="BK610" s="19">
        <f t="shared" si="610"/>
        <v>46110.83333</v>
      </c>
      <c r="BL610" s="19">
        <f t="shared" si="610"/>
        <v>46110.85417</v>
      </c>
      <c r="BM610" s="19">
        <f t="shared" si="610"/>
        <v>46110.875</v>
      </c>
      <c r="BN610" s="19">
        <f t="shared" si="610"/>
        <v>46110.89583</v>
      </c>
      <c r="BO610" s="19">
        <f t="shared" si="610"/>
        <v>46110.91667</v>
      </c>
      <c r="BP610" s="19">
        <f t="shared" si="610"/>
        <v>46110.9375</v>
      </c>
      <c r="BQ610" s="19">
        <f t="shared" si="610"/>
        <v>46110.95833</v>
      </c>
      <c r="BR610" s="19">
        <f t="shared" si="610"/>
        <v>46110.97917</v>
      </c>
      <c r="BS610" s="19">
        <f t="shared" si="610"/>
        <v>46111</v>
      </c>
      <c r="BT610" s="19">
        <f t="shared" si="610"/>
        <v>46111.02083</v>
      </c>
      <c r="BU610" s="19">
        <f t="shared" si="610"/>
        <v>46111.04167</v>
      </c>
      <c r="BV610" s="19">
        <f t="shared" si="610"/>
        <v>46111.0625</v>
      </c>
      <c r="BW610" s="19">
        <f t="shared" si="610"/>
        <v>46111.08333</v>
      </c>
      <c r="BX610" s="19">
        <f t="shared" si="610"/>
        <v>46110</v>
      </c>
      <c r="BY610" s="19">
        <f t="shared" si="610"/>
        <v>46110</v>
      </c>
      <c r="BZ610" s="19">
        <f t="shared" si="610"/>
        <v>46110</v>
      </c>
    </row>
    <row r="611" ht="14.25" customHeight="1">
      <c r="A611" s="17">
        <v>46111.0</v>
      </c>
      <c r="B611" s="2" t="str">
        <f t="array" ref="B611">IF(NOW()&gt;AM611,"",IF(AND((WEEKDAY($A611)+$B$2)&gt;1,((WEEKDAY($A611)+$T$2)&lt;7),(WEEKDAY($A611)&lt;&gt;1)),"work",(INDEX(Subject!$A:$I,MATCH(RANDBETWEEN(1,(MAX(Subject!$B:$B))),Subject!$B:$B,0),3))))</f>
        <v/>
      </c>
      <c r="C611" s="2" t="str">
        <f t="array" ref="C611">IF(NOW()&gt;AN611,"",IF(AND((WEEKDAY($A611)+$B$2)&gt;1,((WEEKDAY($A611)+$T$2)&lt;7),(WEEKDAY($A611)&lt;&gt;1)),"work",(INDEX(Subject!$A:$I,MATCH(RANDBETWEEN(1,(MAX(Subject!$B:$B))),Subject!$B:$B,0),3))))</f>
        <v/>
      </c>
      <c r="D611" s="2" t="str">
        <f t="array" ref="D611">IF(NOW()&gt;AO611,"",IF(AND((WEEKDAY($A611)+$B$2)&gt;1,((WEEKDAY($A611)+$T$2)&lt;7),(WEEKDAY($A611)&lt;&gt;1)),"work",(INDEX(Subject!$A:$I,MATCH(RANDBETWEEN(1,(MAX(Subject!$B:$B))),Subject!$B:$B,0),3))))</f>
        <v/>
      </c>
      <c r="E611" s="2" t="str">
        <f t="array" ref="E611">IF(NOW()&gt;AP611,"",IF(AND((WEEKDAY($A611)+$B$2)&gt;1,((WEEKDAY($A611)+$T$2)&lt;7),(WEEKDAY($A611)&lt;&gt;1)),"work",(INDEX(Subject!$A:$I,MATCH(RANDBETWEEN(1,(MAX(Subject!$B:$B))),Subject!$B:$B,0),3))))</f>
        <v/>
      </c>
      <c r="F611" s="2" t="str">
        <f t="array" ref="F611">IF(NOW()&gt;AQ611,"",IF(AND((WEEKDAY($A611)+$B$2)&gt;1,((WEEKDAY($A611)+$T$2)&lt;7),(WEEKDAY($A611)&lt;&gt;1)),"work",(INDEX(Subject!$A:$I,MATCH(RANDBETWEEN(1,(MAX(Subject!$B:$B))),Subject!$B:$B,0),3))))</f>
        <v/>
      </c>
      <c r="G611" s="2" t="str">
        <f t="array" ref="G611">IF(NOW()&gt;AR611,"",IF(AND((WEEKDAY($A611)+$B$2)&gt;1,((WEEKDAY($A611)+$T$2)&lt;7),(WEEKDAY($A611)&lt;&gt;1)),"work",(INDEX(Subject!$A:$I,MATCH(RANDBETWEEN(1,(MAX(Subject!$B:$B))),Subject!$B:$B,0),3))))</f>
        <v/>
      </c>
      <c r="H611" s="2" t="str">
        <f t="array" ref="H611">IF(NOW()&gt;AS611,"",IF(AND((WEEKDAY($A611)+$B$2)&gt;1,((WEEKDAY($A611)+$T$2)&lt;7),(WEEKDAY($A611)&lt;&gt;1)),"work",(INDEX(Subject!$A:$I,MATCH(RANDBETWEEN(1,(MAX(Subject!$B:$B))),Subject!$B:$B,0),3))))</f>
        <v/>
      </c>
      <c r="I611" s="2" t="str">
        <f t="array" ref="I611">IF(NOW()&gt;AT611,"",IF(AND((WEEKDAY($A611)+$B$2)&gt;1,((WEEKDAY($A611)+$T$2)&lt;7),(WEEKDAY($A611)&lt;&gt;1)),"work",(INDEX(Subject!$A:$I,MATCH(RANDBETWEEN(1,(MAX(Subject!$B:$B))),Subject!$B:$B,0),3))))</f>
        <v/>
      </c>
      <c r="J611" s="2" t="str">
        <f t="array" ref="J611">IF(NOW()&gt;AU611,"",IF(AND((WEEKDAY($A611)+$B$2)&gt;1,((WEEKDAY($A611)+$T$2)&lt;7),(WEEKDAY($A611)&lt;&gt;1)),"work",(INDEX(Subject!$A:$I,MATCH(RANDBETWEEN(1,(MAX(Subject!$B:$B))),Subject!$B:$B,0),3))))</f>
        <v/>
      </c>
      <c r="K611" s="2" t="str">
        <f t="array" ref="K611">IF(NOW()&gt;AV611,"",IF(AND((WEEKDAY($A611)+$B$2)&gt;1,((WEEKDAY($A611)+$T$2)&lt;7),(WEEKDAY($A611)&lt;&gt;1)),"work",(INDEX(Subject!$A:$I,MATCH(RANDBETWEEN(1,(MAX(Subject!$B:$B))),Subject!$B:$B,0),3))))</f>
        <v/>
      </c>
      <c r="L611" s="2" t="str">
        <f t="array" ref="L611">IF(NOW()&gt;AW611,"",IF(AND((WEEKDAY($A611)+$B$2)&gt;1,((WEEKDAY($A611)+$T$2)&lt;7),(WEEKDAY($A611)&lt;&gt;1)),"work",(INDEX(Subject!$A:$I,MATCH(RANDBETWEEN(1,(MAX(Subject!$B:$B))),Subject!$B:$B,0),3))))</f>
        <v/>
      </c>
      <c r="M611" s="2" t="str">
        <f t="array" ref="M611">IF(NOW()&gt;AX611,"",IF(AND((WEEKDAY($A611)+$B$2)&gt;1,((WEEKDAY($A611)+$T$2)&lt;7),(WEEKDAY($A611)&lt;&gt;1)),"work",(INDEX(Subject!$A:$I,MATCH(RANDBETWEEN(1,(MAX(Subject!$B:$B))),Subject!$B:$B,0),3))))</f>
        <v/>
      </c>
      <c r="N611" s="2" t="str">
        <f t="array" ref="N611">IF(NOW()&gt;AY611,"",IF(AND((WEEKDAY($A611)+$B$2)&gt;1,((WEEKDAY($A611)+$T$2)&lt;7),(WEEKDAY($A611)&lt;&gt;1)),"work",(INDEX(Subject!$A:$I,MATCH(RANDBETWEEN(1,(MAX(Subject!$B:$B))),Subject!$B:$B,0),3))))</f>
        <v/>
      </c>
      <c r="O611" s="2" t="str">
        <f t="array" ref="O611">IF(NOW()&gt;AZ611,"",IF(AND((WEEKDAY($A611)+$B$2)&gt;1,((WEEKDAY($A611)+$T$2)&lt;7),(WEEKDAY($A611)&lt;&gt;1)),"work",(INDEX(Subject!$A:$I,MATCH(RANDBETWEEN(1,(MAX(Subject!$B:$B))),Subject!$B:$B,0),3))))</f>
        <v/>
      </c>
      <c r="P611" s="2" t="str">
        <f t="array" ref="P611">IF(NOW()&gt;BA611,"",IF(AND((WEEKDAY($A611)+$B$2)&gt;1,((WEEKDAY($A611)+$T$2)&lt;7),(WEEKDAY($A611)&lt;&gt;1)),"work",(INDEX(Subject!$A:$I,MATCH(RANDBETWEEN(1,(MAX(Subject!$B:$B))),Subject!$B:$B,0),3))))</f>
        <v/>
      </c>
      <c r="Q611" s="2" t="str">
        <f t="array" ref="Q611">IF(NOW()&gt;BB611,"",IF(AND((WEEKDAY($A611)+$B$2)&gt;1,((WEEKDAY($A611)+$T$2)&lt;7),(WEEKDAY($A611)&lt;&gt;1)),"work",(INDEX(Subject!$A:$I,MATCH(RANDBETWEEN(1,(MAX(Subject!$B:$B))),Subject!$B:$B,0),3))))</f>
        <v/>
      </c>
      <c r="R611" s="2" t="str">
        <f t="array" ref="R611">IF(NOW()&gt;BC611,"",IF(AND((WEEKDAY($A611)+$B$2)&gt;1,((WEEKDAY($A611)+$T$2)&lt;7),(WEEKDAY($A611)&lt;&gt;1)),"work",(INDEX(Subject!$A:$I,MATCH(RANDBETWEEN(1,(MAX(Subject!$B:$B))),Subject!$B:$B,0),3))))</f>
        <v/>
      </c>
      <c r="S611" s="2" t="str">
        <f t="array" ref="S611">IF(NOW()&gt;BD611,"",IF(AND((WEEKDAY($A611)+$B$2)&gt;1,((WEEKDAY($A611)+$T$2)&lt;7),(WEEKDAY($A611)&lt;&gt;1)),"work",(INDEX(Subject!$A:$I,MATCH(RANDBETWEEN(1,(MAX(Subject!$B:$B))),Subject!$B:$B,0),3))))</f>
        <v/>
      </c>
      <c r="T611" s="2" t="str">
        <f t="array" ref="T611">IF(NOW()&gt;BE611,"",IF(AND((WEEKDAY($A611)+$B$2)&gt;1,((WEEKDAY($A611)+$T$2)&lt;7),(WEEKDAY($A611)&lt;&gt;1)),"work",(INDEX(Subject!$A:$I,MATCH(RANDBETWEEN(1,(MAX(Subject!$B:$B))),Subject!$B:$B,0),3))))</f>
        <v/>
      </c>
      <c r="U611" s="8" t="str">
        <f t="array" ref="U611">INDEX(Subject!$A:$I,MATCH(RANDBETWEEN(1,16),Subject!$B:$B,0),3)</f>
        <v>#N/A</v>
      </c>
      <c r="V611" s="8" t="str">
        <f t="array" ref="V611">INDEX(Subject!$A:$I,MATCH(RANDBETWEEN(1,16),Subject!$B:$B,0),3)</f>
        <v>#N/A</v>
      </c>
      <c r="W611" s="8" t="str">
        <f t="array" ref="W611">INDEX(Subject!$A:$I,MATCH(RANDBETWEEN(1,16),Subject!$B:$B,0),3)</f>
        <v>#N/A</v>
      </c>
      <c r="X611" s="8" t="str">
        <f t="array" ref="X611">INDEX(Subject!$A:$I,MATCH(RANDBETWEEN(1,16),Subject!$B:$B,0),3)</f>
        <v>#N/A</v>
      </c>
      <c r="Y611" s="8" t="str">
        <f t="array" ref="Y611">INDEX(Subject!$A:$I,MATCH(RANDBETWEEN(1,16),Subject!$B:$B,0),3)</f>
        <v/>
      </c>
      <c r="Z611" s="8" t="str">
        <f t="array" ref="Z611">INDEX(Subject!$A:$I,MATCH(RANDBETWEEN(1,16),Subject!$B:$B,0),3)</f>
        <v>#N/A</v>
      </c>
      <c r="AA611" s="8" t="str">
        <f t="array" ref="AA611">INDEX(Subject!$A:$I,MATCH(RANDBETWEEN(1,16),Subject!$B:$B,0),3)</f>
        <v/>
      </c>
      <c r="AB611" s="8" t="str">
        <f t="array" ref="AB611">INDEX(Subject!$A:$I,MATCH(RANDBETWEEN(1,16),Subject!$B:$B,0),3)</f>
        <v>#N/A</v>
      </c>
      <c r="AC611" s="8" t="str">
        <f t="array" ref="AC611">INDEX(Subject!$A:$I,MATCH(RANDBETWEEN(1,16),Subject!$B:$B,0),3)</f>
        <v>#N/A</v>
      </c>
      <c r="AD611" s="8" t="str">
        <f t="array" ref="AD611">INDEX(Subject!$A:$I,MATCH(RANDBETWEEN(1,16),Subject!$B:$B,0),3)</f>
        <v>#N/A</v>
      </c>
      <c r="AE611" s="8" t="str">
        <f t="array" ref="AE611">INDEX(Subject!$A:$I,MATCH(RANDBETWEEN(1,16),Subject!$B:$B,0),3)</f>
        <v>#N/A</v>
      </c>
      <c r="AF611" s="8" t="str">
        <f t="array" ref="AF611">INDEX(Subject!$A:$I,MATCH(RANDBETWEEN(1,16),Subject!$B:$B,0),3)</f>
        <v>#N/A</v>
      </c>
      <c r="AG611" s="8" t="str">
        <f t="array" ref="AG611">INDEX(Subject!$A:$I,MATCH(RANDBETWEEN(1,16),Subject!$B:$B,0),3)</f>
        <v>#N/A</v>
      </c>
      <c r="AH611" s="8" t="str">
        <f t="array" ref="AH611">INDEX(Subject!$A:$I,MATCH(RANDBETWEEN(1,16),Subject!$B:$B,0),3)</f>
        <v>#N/A</v>
      </c>
      <c r="AI611" s="8" t="str">
        <f t="array" ref="AI611">INDEX(Subject!$A:$I,MATCH(RANDBETWEEN(1,16),Subject!$B:$B,0),3)</f>
        <v>#N/A</v>
      </c>
      <c r="AJ611" s="8" t="str">
        <f t="array" ref="AJ611">INDEX(Subject!$A:$I,MATCH(RANDBETWEEN(1,16),Subject!$B:$B,0),3)</f>
        <v>#N/A</v>
      </c>
      <c r="AK611" s="8" t="str">
        <f t="array" ref="AK611">INDEX(Subject!$A:$I,MATCH(RANDBETWEEN(1,16),Subject!$B:$B,0),3)</f>
        <v>#N/A</v>
      </c>
      <c r="AL611" s="8" t="str">
        <f t="array" ref="AL611">INDEX(Subject!$A:$I,MATCH(RANDBETWEEN(1,16),Subject!$B:$B,0),3)</f>
        <v>#N/A</v>
      </c>
      <c r="AM611" s="18">
        <f t="shared" si="4"/>
        <v>46111.33333</v>
      </c>
      <c r="AN611" s="19">
        <f t="shared" ref="AN611:BZ611" si="611">$A611+C$1</f>
        <v>46111.35417</v>
      </c>
      <c r="AO611" s="19">
        <f t="shared" si="611"/>
        <v>46111.375</v>
      </c>
      <c r="AP611" s="19">
        <f t="shared" si="611"/>
        <v>46111.39583</v>
      </c>
      <c r="AQ611" s="19">
        <f t="shared" si="611"/>
        <v>46111.41667</v>
      </c>
      <c r="AR611" s="19">
        <f t="shared" si="611"/>
        <v>46111.4375</v>
      </c>
      <c r="AS611" s="19">
        <f t="shared" si="611"/>
        <v>46111.45833</v>
      </c>
      <c r="AT611" s="19">
        <f t="shared" si="611"/>
        <v>46111.47917</v>
      </c>
      <c r="AU611" s="19">
        <f t="shared" si="611"/>
        <v>46111.5</v>
      </c>
      <c r="AV611" s="19">
        <f t="shared" si="611"/>
        <v>46111.52083</v>
      </c>
      <c r="AW611" s="19">
        <f t="shared" si="611"/>
        <v>46111.54167</v>
      </c>
      <c r="AX611" s="19">
        <f t="shared" si="611"/>
        <v>46111.5625</v>
      </c>
      <c r="AY611" s="19">
        <f t="shared" si="611"/>
        <v>46111.58333</v>
      </c>
      <c r="AZ611" s="19">
        <f t="shared" si="611"/>
        <v>46111.60417</v>
      </c>
      <c r="BA611" s="19">
        <f t="shared" si="611"/>
        <v>46111.625</v>
      </c>
      <c r="BB611" s="19">
        <f t="shared" si="611"/>
        <v>46111.64583</v>
      </c>
      <c r="BC611" s="19">
        <f t="shared" si="611"/>
        <v>46111.66667</v>
      </c>
      <c r="BD611" s="19">
        <f t="shared" si="611"/>
        <v>46111.6875</v>
      </c>
      <c r="BE611" s="19">
        <f t="shared" si="611"/>
        <v>46111.70833</v>
      </c>
      <c r="BF611" s="19">
        <f t="shared" si="611"/>
        <v>46111.72917</v>
      </c>
      <c r="BG611" s="19">
        <f t="shared" si="611"/>
        <v>46111.75</v>
      </c>
      <c r="BH611" s="19">
        <f t="shared" si="611"/>
        <v>46111.77083</v>
      </c>
      <c r="BI611" s="19">
        <f t="shared" si="611"/>
        <v>46111.79167</v>
      </c>
      <c r="BJ611" s="19">
        <f t="shared" si="611"/>
        <v>46111.8125</v>
      </c>
      <c r="BK611" s="19">
        <f t="shared" si="611"/>
        <v>46111.83333</v>
      </c>
      <c r="BL611" s="19">
        <f t="shared" si="611"/>
        <v>46111.85417</v>
      </c>
      <c r="BM611" s="19">
        <f t="shared" si="611"/>
        <v>46111.875</v>
      </c>
      <c r="BN611" s="19">
        <f t="shared" si="611"/>
        <v>46111.89583</v>
      </c>
      <c r="BO611" s="19">
        <f t="shared" si="611"/>
        <v>46111.91667</v>
      </c>
      <c r="BP611" s="19">
        <f t="shared" si="611"/>
        <v>46111.9375</v>
      </c>
      <c r="BQ611" s="19">
        <f t="shared" si="611"/>
        <v>46111.95833</v>
      </c>
      <c r="BR611" s="19">
        <f t="shared" si="611"/>
        <v>46111.97917</v>
      </c>
      <c r="BS611" s="19">
        <f t="shared" si="611"/>
        <v>46112</v>
      </c>
      <c r="BT611" s="19">
        <f t="shared" si="611"/>
        <v>46112.02083</v>
      </c>
      <c r="BU611" s="19">
        <f t="shared" si="611"/>
        <v>46112.04167</v>
      </c>
      <c r="BV611" s="19">
        <f t="shared" si="611"/>
        <v>46112.0625</v>
      </c>
      <c r="BW611" s="19">
        <f t="shared" si="611"/>
        <v>46112.08333</v>
      </c>
      <c r="BX611" s="19">
        <f t="shared" si="611"/>
        <v>46111</v>
      </c>
      <c r="BY611" s="19">
        <f t="shared" si="611"/>
        <v>46111</v>
      </c>
      <c r="BZ611" s="19">
        <f t="shared" si="611"/>
        <v>46111</v>
      </c>
    </row>
    <row r="612" ht="14.25" customHeight="1">
      <c r="A612" s="17">
        <v>46112.0</v>
      </c>
      <c r="B612" s="2" t="str">
        <f t="array" ref="B612">IF(NOW()&gt;AM612,"",IF(AND((WEEKDAY($A612)+$B$2)&gt;1,((WEEKDAY($A612)+$T$2)&lt;7),(WEEKDAY($A612)&lt;&gt;1)),"work",(INDEX(Subject!$A:$I,MATCH(RANDBETWEEN(1,(MAX(Subject!$B:$B))),Subject!$B:$B,0),3))))</f>
        <v/>
      </c>
      <c r="C612" s="2" t="str">
        <f t="array" ref="C612">IF(NOW()&gt;AN612,"",IF(AND((WEEKDAY($A612)+$B$2)&gt;1,((WEEKDAY($A612)+$T$2)&lt;7),(WEEKDAY($A612)&lt;&gt;1)),"work",(INDEX(Subject!$A:$I,MATCH(RANDBETWEEN(1,(MAX(Subject!$B:$B))),Subject!$B:$B,0),3))))</f>
        <v/>
      </c>
      <c r="D612" s="2" t="str">
        <f t="array" ref="D612">IF(NOW()&gt;AO612,"",IF(AND((WEEKDAY($A612)+$B$2)&gt;1,((WEEKDAY($A612)+$T$2)&lt;7),(WEEKDAY($A612)&lt;&gt;1)),"work",(INDEX(Subject!$A:$I,MATCH(RANDBETWEEN(1,(MAX(Subject!$B:$B))),Subject!$B:$B,0),3))))</f>
        <v/>
      </c>
      <c r="E612" s="2" t="str">
        <f t="array" ref="E612">IF(NOW()&gt;AP612,"",IF(AND((WEEKDAY($A612)+$B$2)&gt;1,((WEEKDAY($A612)+$T$2)&lt;7),(WEEKDAY($A612)&lt;&gt;1)),"work",(INDEX(Subject!$A:$I,MATCH(RANDBETWEEN(1,(MAX(Subject!$B:$B))),Subject!$B:$B,0),3))))</f>
        <v/>
      </c>
      <c r="F612" s="2" t="str">
        <f t="array" ref="F612">IF(NOW()&gt;AQ612,"",IF(AND((WEEKDAY($A612)+$B$2)&gt;1,((WEEKDAY($A612)+$T$2)&lt;7),(WEEKDAY($A612)&lt;&gt;1)),"work",(INDEX(Subject!$A:$I,MATCH(RANDBETWEEN(1,(MAX(Subject!$B:$B))),Subject!$B:$B,0),3))))</f>
        <v/>
      </c>
      <c r="G612" s="2" t="str">
        <f t="array" ref="G612">IF(NOW()&gt;AR612,"",IF(AND((WEEKDAY($A612)+$B$2)&gt;1,((WEEKDAY($A612)+$T$2)&lt;7),(WEEKDAY($A612)&lt;&gt;1)),"work",(INDEX(Subject!$A:$I,MATCH(RANDBETWEEN(1,(MAX(Subject!$B:$B))),Subject!$B:$B,0),3))))</f>
        <v/>
      </c>
      <c r="H612" s="2" t="str">
        <f t="array" ref="H612">IF(NOW()&gt;AS612,"",IF(AND((WEEKDAY($A612)+$B$2)&gt;1,((WEEKDAY($A612)+$T$2)&lt;7),(WEEKDAY($A612)&lt;&gt;1)),"work",(INDEX(Subject!$A:$I,MATCH(RANDBETWEEN(1,(MAX(Subject!$B:$B))),Subject!$B:$B,0),3))))</f>
        <v/>
      </c>
      <c r="I612" s="2" t="str">
        <f t="array" ref="I612">IF(NOW()&gt;AT612,"",IF(AND((WEEKDAY($A612)+$B$2)&gt;1,((WEEKDAY($A612)+$T$2)&lt;7),(WEEKDAY($A612)&lt;&gt;1)),"work",(INDEX(Subject!$A:$I,MATCH(RANDBETWEEN(1,(MAX(Subject!$B:$B))),Subject!$B:$B,0),3))))</f>
        <v/>
      </c>
      <c r="J612" s="2" t="str">
        <f t="array" ref="J612">IF(NOW()&gt;AU612,"",IF(AND((WEEKDAY($A612)+$B$2)&gt;1,((WEEKDAY($A612)+$T$2)&lt;7),(WEEKDAY($A612)&lt;&gt;1)),"work",(INDEX(Subject!$A:$I,MATCH(RANDBETWEEN(1,(MAX(Subject!$B:$B))),Subject!$B:$B,0),3))))</f>
        <v/>
      </c>
      <c r="K612" s="2" t="str">
        <f t="array" ref="K612">IF(NOW()&gt;AV612,"",IF(AND((WEEKDAY($A612)+$B$2)&gt;1,((WEEKDAY($A612)+$T$2)&lt;7),(WEEKDAY($A612)&lt;&gt;1)),"work",(INDEX(Subject!$A:$I,MATCH(RANDBETWEEN(1,(MAX(Subject!$B:$B))),Subject!$B:$B,0),3))))</f>
        <v/>
      </c>
      <c r="L612" s="2" t="str">
        <f t="array" ref="L612">IF(NOW()&gt;AW612,"",IF(AND((WEEKDAY($A612)+$B$2)&gt;1,((WEEKDAY($A612)+$T$2)&lt;7),(WEEKDAY($A612)&lt;&gt;1)),"work",(INDEX(Subject!$A:$I,MATCH(RANDBETWEEN(1,(MAX(Subject!$B:$B))),Subject!$B:$B,0),3))))</f>
        <v/>
      </c>
      <c r="M612" s="2" t="str">
        <f t="array" ref="M612">IF(NOW()&gt;AX612,"",IF(AND((WEEKDAY($A612)+$B$2)&gt;1,((WEEKDAY($A612)+$T$2)&lt;7),(WEEKDAY($A612)&lt;&gt;1)),"work",(INDEX(Subject!$A:$I,MATCH(RANDBETWEEN(1,(MAX(Subject!$B:$B))),Subject!$B:$B,0),3))))</f>
        <v/>
      </c>
      <c r="N612" s="2" t="str">
        <f t="array" ref="N612">IF(NOW()&gt;AY612,"",IF(AND((WEEKDAY($A612)+$B$2)&gt;1,((WEEKDAY($A612)+$T$2)&lt;7),(WEEKDAY($A612)&lt;&gt;1)),"work",(INDEX(Subject!$A:$I,MATCH(RANDBETWEEN(1,(MAX(Subject!$B:$B))),Subject!$B:$B,0),3))))</f>
        <v/>
      </c>
      <c r="O612" s="2" t="str">
        <f t="array" ref="O612">IF(NOW()&gt;AZ612,"",IF(AND((WEEKDAY($A612)+$B$2)&gt;1,((WEEKDAY($A612)+$T$2)&lt;7),(WEEKDAY($A612)&lt;&gt;1)),"work",(INDEX(Subject!$A:$I,MATCH(RANDBETWEEN(1,(MAX(Subject!$B:$B))),Subject!$B:$B,0),3))))</f>
        <v/>
      </c>
      <c r="P612" s="2" t="str">
        <f t="array" ref="P612">IF(NOW()&gt;BA612,"",IF(AND((WEEKDAY($A612)+$B$2)&gt;1,((WEEKDAY($A612)+$T$2)&lt;7),(WEEKDAY($A612)&lt;&gt;1)),"work",(INDEX(Subject!$A:$I,MATCH(RANDBETWEEN(1,(MAX(Subject!$B:$B))),Subject!$B:$B,0),3))))</f>
        <v/>
      </c>
      <c r="Q612" s="2" t="str">
        <f t="array" ref="Q612">IF(NOW()&gt;BB612,"",IF(AND((WEEKDAY($A612)+$B$2)&gt;1,((WEEKDAY($A612)+$T$2)&lt;7),(WEEKDAY($A612)&lt;&gt;1)),"work",(INDEX(Subject!$A:$I,MATCH(RANDBETWEEN(1,(MAX(Subject!$B:$B))),Subject!$B:$B,0),3))))</f>
        <v/>
      </c>
      <c r="R612" s="2" t="str">
        <f t="array" ref="R612">IF(NOW()&gt;BC612,"",IF(AND((WEEKDAY($A612)+$B$2)&gt;1,((WEEKDAY($A612)+$T$2)&lt;7),(WEEKDAY($A612)&lt;&gt;1)),"work",(INDEX(Subject!$A:$I,MATCH(RANDBETWEEN(1,(MAX(Subject!$B:$B))),Subject!$B:$B,0),3))))</f>
        <v/>
      </c>
      <c r="S612" s="2" t="str">
        <f t="array" ref="S612">IF(NOW()&gt;BD612,"",IF(AND((WEEKDAY($A612)+$B$2)&gt;1,((WEEKDAY($A612)+$T$2)&lt;7),(WEEKDAY($A612)&lt;&gt;1)),"work",(INDEX(Subject!$A:$I,MATCH(RANDBETWEEN(1,(MAX(Subject!$B:$B))),Subject!$B:$B,0),3))))</f>
        <v/>
      </c>
      <c r="T612" s="2" t="str">
        <f t="array" ref="T612">IF(NOW()&gt;BE612,"",IF(AND((WEEKDAY($A612)+$B$2)&gt;1,((WEEKDAY($A612)+$T$2)&lt;7),(WEEKDAY($A612)&lt;&gt;1)),"work",(INDEX(Subject!$A:$I,MATCH(RANDBETWEEN(1,(MAX(Subject!$B:$B))),Subject!$B:$B,0),3))))</f>
        <v/>
      </c>
      <c r="U612" s="8" t="str">
        <f t="array" ref="U612">INDEX(Subject!$A:$I,MATCH(RANDBETWEEN(1,16),Subject!$B:$B,0),3)</f>
        <v/>
      </c>
      <c r="V612" s="8" t="str">
        <f t="array" ref="V612">INDEX(Subject!$A:$I,MATCH(RANDBETWEEN(1,16),Subject!$B:$B,0),3)</f>
        <v>#N/A</v>
      </c>
      <c r="W612" s="8" t="str">
        <f t="array" ref="W612">INDEX(Subject!$A:$I,MATCH(RANDBETWEEN(1,16),Subject!$B:$B,0),3)</f>
        <v>#N/A</v>
      </c>
      <c r="X612" s="8" t="str">
        <f t="array" ref="X612">INDEX(Subject!$A:$I,MATCH(RANDBETWEEN(1,16),Subject!$B:$B,0),3)</f>
        <v>#N/A</v>
      </c>
      <c r="Y612" s="8" t="str">
        <f t="array" ref="Y612">INDEX(Subject!$A:$I,MATCH(RANDBETWEEN(1,16),Subject!$B:$B,0),3)</f>
        <v>#N/A</v>
      </c>
      <c r="Z612" s="8" t="str">
        <f t="array" ref="Z612">INDEX(Subject!$A:$I,MATCH(RANDBETWEEN(1,16),Subject!$B:$B,0),3)</f>
        <v>#N/A</v>
      </c>
      <c r="AA612" s="8" t="str">
        <f t="array" ref="AA612">INDEX(Subject!$A:$I,MATCH(RANDBETWEEN(1,16),Subject!$B:$B,0),3)</f>
        <v>#N/A</v>
      </c>
      <c r="AB612" s="8" t="str">
        <f t="array" ref="AB612">INDEX(Subject!$A:$I,MATCH(RANDBETWEEN(1,16),Subject!$B:$B,0),3)</f>
        <v>#N/A</v>
      </c>
      <c r="AC612" s="8" t="str">
        <f t="array" ref="AC612">INDEX(Subject!$A:$I,MATCH(RANDBETWEEN(1,16),Subject!$B:$B,0),3)</f>
        <v>#N/A</v>
      </c>
      <c r="AD612" s="8" t="str">
        <f t="array" ref="AD612">INDEX(Subject!$A:$I,MATCH(RANDBETWEEN(1,16),Subject!$B:$B,0),3)</f>
        <v>#N/A</v>
      </c>
      <c r="AE612" s="8" t="str">
        <f t="array" ref="AE612">INDEX(Subject!$A:$I,MATCH(RANDBETWEEN(1,16),Subject!$B:$B,0),3)</f>
        <v>#N/A</v>
      </c>
      <c r="AF612" s="8" t="str">
        <f t="array" ref="AF612">INDEX(Subject!$A:$I,MATCH(RANDBETWEEN(1,16),Subject!$B:$B,0),3)</f>
        <v>#N/A</v>
      </c>
      <c r="AG612" s="8" t="str">
        <f t="array" ref="AG612">INDEX(Subject!$A:$I,MATCH(RANDBETWEEN(1,16),Subject!$B:$B,0),3)</f>
        <v>#N/A</v>
      </c>
      <c r="AH612" s="8" t="str">
        <f t="array" ref="AH612">INDEX(Subject!$A:$I,MATCH(RANDBETWEEN(1,16),Subject!$B:$B,0),3)</f>
        <v>#N/A</v>
      </c>
      <c r="AI612" s="8" t="str">
        <f t="array" ref="AI612">INDEX(Subject!$A:$I,MATCH(RANDBETWEEN(1,16),Subject!$B:$B,0),3)</f>
        <v>#N/A</v>
      </c>
      <c r="AJ612" s="8" t="str">
        <f t="array" ref="AJ612">INDEX(Subject!$A:$I,MATCH(RANDBETWEEN(1,16),Subject!$B:$B,0),3)</f>
        <v>#N/A</v>
      </c>
      <c r="AK612" s="8" t="str">
        <f t="array" ref="AK612">INDEX(Subject!$A:$I,MATCH(RANDBETWEEN(1,16),Subject!$B:$B,0),3)</f>
        <v/>
      </c>
      <c r="AL612" s="8" t="str">
        <f t="array" ref="AL612">INDEX(Subject!$A:$I,MATCH(RANDBETWEEN(1,16),Subject!$B:$B,0),3)</f>
        <v>#N/A</v>
      </c>
      <c r="AM612" s="18">
        <f t="shared" si="4"/>
        <v>46112.33333</v>
      </c>
      <c r="AN612" s="19">
        <f t="shared" ref="AN612:BZ612" si="612">$A612+C$1</f>
        <v>46112.35417</v>
      </c>
      <c r="AO612" s="19">
        <f t="shared" si="612"/>
        <v>46112.375</v>
      </c>
      <c r="AP612" s="19">
        <f t="shared" si="612"/>
        <v>46112.39583</v>
      </c>
      <c r="AQ612" s="19">
        <f t="shared" si="612"/>
        <v>46112.41667</v>
      </c>
      <c r="AR612" s="19">
        <f t="shared" si="612"/>
        <v>46112.4375</v>
      </c>
      <c r="AS612" s="19">
        <f t="shared" si="612"/>
        <v>46112.45833</v>
      </c>
      <c r="AT612" s="19">
        <f t="shared" si="612"/>
        <v>46112.47917</v>
      </c>
      <c r="AU612" s="19">
        <f t="shared" si="612"/>
        <v>46112.5</v>
      </c>
      <c r="AV612" s="19">
        <f t="shared" si="612"/>
        <v>46112.52083</v>
      </c>
      <c r="AW612" s="19">
        <f t="shared" si="612"/>
        <v>46112.54167</v>
      </c>
      <c r="AX612" s="19">
        <f t="shared" si="612"/>
        <v>46112.5625</v>
      </c>
      <c r="AY612" s="19">
        <f t="shared" si="612"/>
        <v>46112.58333</v>
      </c>
      <c r="AZ612" s="19">
        <f t="shared" si="612"/>
        <v>46112.60417</v>
      </c>
      <c r="BA612" s="19">
        <f t="shared" si="612"/>
        <v>46112.625</v>
      </c>
      <c r="BB612" s="19">
        <f t="shared" si="612"/>
        <v>46112.64583</v>
      </c>
      <c r="BC612" s="19">
        <f t="shared" si="612"/>
        <v>46112.66667</v>
      </c>
      <c r="BD612" s="19">
        <f t="shared" si="612"/>
        <v>46112.6875</v>
      </c>
      <c r="BE612" s="19">
        <f t="shared" si="612"/>
        <v>46112.70833</v>
      </c>
      <c r="BF612" s="19">
        <f t="shared" si="612"/>
        <v>46112.72917</v>
      </c>
      <c r="BG612" s="19">
        <f t="shared" si="612"/>
        <v>46112.75</v>
      </c>
      <c r="BH612" s="19">
        <f t="shared" si="612"/>
        <v>46112.77083</v>
      </c>
      <c r="BI612" s="19">
        <f t="shared" si="612"/>
        <v>46112.79167</v>
      </c>
      <c r="BJ612" s="19">
        <f t="shared" si="612"/>
        <v>46112.8125</v>
      </c>
      <c r="BK612" s="19">
        <f t="shared" si="612"/>
        <v>46112.83333</v>
      </c>
      <c r="BL612" s="19">
        <f t="shared" si="612"/>
        <v>46112.85417</v>
      </c>
      <c r="BM612" s="19">
        <f t="shared" si="612"/>
        <v>46112.875</v>
      </c>
      <c r="BN612" s="19">
        <f t="shared" si="612"/>
        <v>46112.89583</v>
      </c>
      <c r="BO612" s="19">
        <f t="shared" si="612"/>
        <v>46112.91667</v>
      </c>
      <c r="BP612" s="19">
        <f t="shared" si="612"/>
        <v>46112.9375</v>
      </c>
      <c r="BQ612" s="19">
        <f t="shared" si="612"/>
        <v>46112.95833</v>
      </c>
      <c r="BR612" s="19">
        <f t="shared" si="612"/>
        <v>46112.97917</v>
      </c>
      <c r="BS612" s="19">
        <f t="shared" si="612"/>
        <v>46113</v>
      </c>
      <c r="BT612" s="19">
        <f t="shared" si="612"/>
        <v>46113.02083</v>
      </c>
      <c r="BU612" s="19">
        <f t="shared" si="612"/>
        <v>46113.04167</v>
      </c>
      <c r="BV612" s="19">
        <f t="shared" si="612"/>
        <v>46113.0625</v>
      </c>
      <c r="BW612" s="19">
        <f t="shared" si="612"/>
        <v>46113.08333</v>
      </c>
      <c r="BX612" s="19">
        <f t="shared" si="612"/>
        <v>46112</v>
      </c>
      <c r="BY612" s="19">
        <f t="shared" si="612"/>
        <v>46112</v>
      </c>
      <c r="BZ612" s="19">
        <f t="shared" si="612"/>
        <v>46112</v>
      </c>
    </row>
    <row r="613" ht="14.25" customHeight="1">
      <c r="A613" s="17">
        <v>46113.0</v>
      </c>
      <c r="B613" s="2" t="str">
        <f t="array" ref="B613">IF(NOW()&gt;AM613,"",IF(AND((WEEKDAY($A613)+$B$2)&gt;1,((WEEKDAY($A613)+$T$2)&lt;7),(WEEKDAY($A613)&lt;&gt;1)),"work",(INDEX(Subject!$A:$I,MATCH(RANDBETWEEN(1,(MAX(Subject!$B:$B))),Subject!$B:$B,0),3))))</f>
        <v/>
      </c>
      <c r="C613" s="2" t="str">
        <f t="array" ref="C613">IF(NOW()&gt;AN613,"",IF(AND((WEEKDAY($A613)+$B$2)&gt;1,((WEEKDAY($A613)+$T$2)&lt;7),(WEEKDAY($A613)&lt;&gt;1)),"work",(INDEX(Subject!$A:$I,MATCH(RANDBETWEEN(1,(MAX(Subject!$B:$B))),Subject!$B:$B,0),3))))</f>
        <v/>
      </c>
      <c r="D613" s="2" t="str">
        <f t="array" ref="D613">IF(NOW()&gt;AO613,"",IF(AND((WEEKDAY($A613)+$B$2)&gt;1,((WEEKDAY($A613)+$T$2)&lt;7),(WEEKDAY($A613)&lt;&gt;1)),"work",(INDEX(Subject!$A:$I,MATCH(RANDBETWEEN(1,(MAX(Subject!$B:$B))),Subject!$B:$B,0),3))))</f>
        <v/>
      </c>
      <c r="E613" s="2" t="str">
        <f t="array" ref="E613">IF(NOW()&gt;AP613,"",IF(AND((WEEKDAY($A613)+$B$2)&gt;1,((WEEKDAY($A613)+$T$2)&lt;7),(WEEKDAY($A613)&lt;&gt;1)),"work",(INDEX(Subject!$A:$I,MATCH(RANDBETWEEN(1,(MAX(Subject!$B:$B))),Subject!$B:$B,0),3))))</f>
        <v/>
      </c>
      <c r="F613" s="2" t="str">
        <f t="array" ref="F613">IF(NOW()&gt;AQ613,"",IF(AND((WEEKDAY($A613)+$B$2)&gt;1,((WEEKDAY($A613)+$T$2)&lt;7),(WEEKDAY($A613)&lt;&gt;1)),"work",(INDEX(Subject!$A:$I,MATCH(RANDBETWEEN(1,(MAX(Subject!$B:$B))),Subject!$B:$B,0),3))))</f>
        <v/>
      </c>
      <c r="G613" s="2" t="str">
        <f t="array" ref="G613">IF(NOW()&gt;AR613,"",IF(AND((WEEKDAY($A613)+$B$2)&gt;1,((WEEKDAY($A613)+$T$2)&lt;7),(WEEKDAY($A613)&lt;&gt;1)),"work",(INDEX(Subject!$A:$I,MATCH(RANDBETWEEN(1,(MAX(Subject!$B:$B))),Subject!$B:$B,0),3))))</f>
        <v/>
      </c>
      <c r="H613" s="2" t="str">
        <f t="array" ref="H613">IF(NOW()&gt;AS613,"",IF(AND((WEEKDAY($A613)+$B$2)&gt;1,((WEEKDAY($A613)+$T$2)&lt;7),(WEEKDAY($A613)&lt;&gt;1)),"work",(INDEX(Subject!$A:$I,MATCH(RANDBETWEEN(1,(MAX(Subject!$B:$B))),Subject!$B:$B,0),3))))</f>
        <v/>
      </c>
      <c r="I613" s="2" t="str">
        <f t="array" ref="I613">IF(NOW()&gt;AT613,"",IF(AND((WEEKDAY($A613)+$B$2)&gt;1,((WEEKDAY($A613)+$T$2)&lt;7),(WEEKDAY($A613)&lt;&gt;1)),"work",(INDEX(Subject!$A:$I,MATCH(RANDBETWEEN(1,(MAX(Subject!$B:$B))),Subject!$B:$B,0),3))))</f>
        <v/>
      </c>
      <c r="J613" s="2" t="str">
        <f t="array" ref="J613">IF(NOW()&gt;AU613,"",IF(AND((WEEKDAY($A613)+$B$2)&gt;1,((WEEKDAY($A613)+$T$2)&lt;7),(WEEKDAY($A613)&lt;&gt;1)),"work",(INDEX(Subject!$A:$I,MATCH(RANDBETWEEN(1,(MAX(Subject!$B:$B))),Subject!$B:$B,0),3))))</f>
        <v/>
      </c>
      <c r="K613" s="2" t="str">
        <f t="array" ref="K613">IF(NOW()&gt;AV613,"",IF(AND((WEEKDAY($A613)+$B$2)&gt;1,((WEEKDAY($A613)+$T$2)&lt;7),(WEEKDAY($A613)&lt;&gt;1)),"work",(INDEX(Subject!$A:$I,MATCH(RANDBETWEEN(1,(MAX(Subject!$B:$B))),Subject!$B:$B,0),3))))</f>
        <v/>
      </c>
      <c r="L613" s="2" t="str">
        <f t="array" ref="L613">IF(NOW()&gt;AW613,"",IF(AND((WEEKDAY($A613)+$B$2)&gt;1,((WEEKDAY($A613)+$T$2)&lt;7),(WEEKDAY($A613)&lt;&gt;1)),"work",(INDEX(Subject!$A:$I,MATCH(RANDBETWEEN(1,(MAX(Subject!$B:$B))),Subject!$B:$B,0),3))))</f>
        <v/>
      </c>
      <c r="M613" s="2" t="str">
        <f t="array" ref="M613">IF(NOW()&gt;AX613,"",IF(AND((WEEKDAY($A613)+$B$2)&gt;1,((WEEKDAY($A613)+$T$2)&lt;7),(WEEKDAY($A613)&lt;&gt;1)),"work",(INDEX(Subject!$A:$I,MATCH(RANDBETWEEN(1,(MAX(Subject!$B:$B))),Subject!$B:$B,0),3))))</f>
        <v/>
      </c>
      <c r="N613" s="2" t="str">
        <f t="array" ref="N613">IF(NOW()&gt;AY613,"",IF(AND((WEEKDAY($A613)+$B$2)&gt;1,((WEEKDAY($A613)+$T$2)&lt;7),(WEEKDAY($A613)&lt;&gt;1)),"work",(INDEX(Subject!$A:$I,MATCH(RANDBETWEEN(1,(MAX(Subject!$B:$B))),Subject!$B:$B,0),3))))</f>
        <v/>
      </c>
      <c r="O613" s="2" t="str">
        <f t="array" ref="O613">IF(NOW()&gt;AZ613,"",IF(AND((WEEKDAY($A613)+$B$2)&gt;1,((WEEKDAY($A613)+$T$2)&lt;7),(WEEKDAY($A613)&lt;&gt;1)),"work",(INDEX(Subject!$A:$I,MATCH(RANDBETWEEN(1,(MAX(Subject!$B:$B))),Subject!$B:$B,0),3))))</f>
        <v/>
      </c>
      <c r="P613" s="2" t="str">
        <f t="array" ref="P613">IF(NOW()&gt;BA613,"",IF(AND((WEEKDAY($A613)+$B$2)&gt;1,((WEEKDAY($A613)+$T$2)&lt;7),(WEEKDAY($A613)&lt;&gt;1)),"work",(INDEX(Subject!$A:$I,MATCH(RANDBETWEEN(1,(MAX(Subject!$B:$B))),Subject!$B:$B,0),3))))</f>
        <v/>
      </c>
      <c r="Q613" s="2" t="str">
        <f t="array" ref="Q613">IF(NOW()&gt;BB613,"",IF(AND((WEEKDAY($A613)+$B$2)&gt;1,((WEEKDAY($A613)+$T$2)&lt;7),(WEEKDAY($A613)&lt;&gt;1)),"work",(INDEX(Subject!$A:$I,MATCH(RANDBETWEEN(1,(MAX(Subject!$B:$B))),Subject!$B:$B,0),3))))</f>
        <v/>
      </c>
      <c r="R613" s="2" t="str">
        <f t="array" ref="R613">IF(NOW()&gt;BC613,"",IF(AND((WEEKDAY($A613)+$B$2)&gt;1,((WEEKDAY($A613)+$T$2)&lt;7),(WEEKDAY($A613)&lt;&gt;1)),"work",(INDEX(Subject!$A:$I,MATCH(RANDBETWEEN(1,(MAX(Subject!$B:$B))),Subject!$B:$B,0),3))))</f>
        <v/>
      </c>
      <c r="S613" s="2" t="str">
        <f t="array" ref="S613">IF(NOW()&gt;BD613,"",IF(AND((WEEKDAY($A613)+$B$2)&gt;1,((WEEKDAY($A613)+$T$2)&lt;7),(WEEKDAY($A613)&lt;&gt;1)),"work",(INDEX(Subject!$A:$I,MATCH(RANDBETWEEN(1,(MAX(Subject!$B:$B))),Subject!$B:$B,0),3))))</f>
        <v/>
      </c>
      <c r="T613" s="2" t="str">
        <f t="array" ref="T613">IF(NOW()&gt;BE613,"",IF(AND((WEEKDAY($A613)+$B$2)&gt;1,((WEEKDAY($A613)+$T$2)&lt;7),(WEEKDAY($A613)&lt;&gt;1)),"work",(INDEX(Subject!$A:$I,MATCH(RANDBETWEEN(1,(MAX(Subject!$B:$B))),Subject!$B:$B,0),3))))</f>
        <v/>
      </c>
      <c r="U613" s="8" t="str">
        <f t="array" ref="U613">INDEX(Subject!$A:$I,MATCH(RANDBETWEEN(1,16),Subject!$B:$B,0),3)</f>
        <v>#N/A</v>
      </c>
      <c r="V613" s="8" t="str">
        <f t="array" ref="V613">INDEX(Subject!$A:$I,MATCH(RANDBETWEEN(1,16),Subject!$B:$B,0),3)</f>
        <v>#N/A</v>
      </c>
      <c r="W613" s="8" t="str">
        <f t="array" ref="W613">INDEX(Subject!$A:$I,MATCH(RANDBETWEEN(1,16),Subject!$B:$B,0),3)</f>
        <v>#N/A</v>
      </c>
      <c r="X613" s="8" t="str">
        <f t="array" ref="X613">INDEX(Subject!$A:$I,MATCH(RANDBETWEEN(1,16),Subject!$B:$B,0),3)</f>
        <v>#N/A</v>
      </c>
      <c r="Y613" s="8" t="str">
        <f t="array" ref="Y613">INDEX(Subject!$A:$I,MATCH(RANDBETWEEN(1,16),Subject!$B:$B,0),3)</f>
        <v>#N/A</v>
      </c>
      <c r="Z613" s="8" t="str">
        <f t="array" ref="Z613">INDEX(Subject!$A:$I,MATCH(RANDBETWEEN(1,16),Subject!$B:$B,0),3)</f>
        <v>#N/A</v>
      </c>
      <c r="AA613" s="8" t="str">
        <f t="array" ref="AA613">INDEX(Subject!$A:$I,MATCH(RANDBETWEEN(1,16),Subject!$B:$B,0),3)</f>
        <v>#N/A</v>
      </c>
      <c r="AB613" s="8" t="str">
        <f t="array" ref="AB613">INDEX(Subject!$A:$I,MATCH(RANDBETWEEN(1,16),Subject!$B:$B,0),3)</f>
        <v>#N/A</v>
      </c>
      <c r="AC613" s="8" t="str">
        <f t="array" ref="AC613">INDEX(Subject!$A:$I,MATCH(RANDBETWEEN(1,16),Subject!$B:$B,0),3)</f>
        <v>#N/A</v>
      </c>
      <c r="AD613" s="8" t="str">
        <f t="array" ref="AD613">INDEX(Subject!$A:$I,MATCH(RANDBETWEEN(1,16),Subject!$B:$B,0),3)</f>
        <v/>
      </c>
      <c r="AE613" s="8" t="str">
        <f t="array" ref="AE613">INDEX(Subject!$A:$I,MATCH(RANDBETWEEN(1,16),Subject!$B:$B,0),3)</f>
        <v>#N/A</v>
      </c>
      <c r="AF613" s="8" t="str">
        <f t="array" ref="AF613">INDEX(Subject!$A:$I,MATCH(RANDBETWEEN(1,16),Subject!$B:$B,0),3)</f>
        <v>#N/A</v>
      </c>
      <c r="AG613" s="8" t="str">
        <f t="array" ref="AG613">INDEX(Subject!$A:$I,MATCH(RANDBETWEEN(1,16),Subject!$B:$B,0),3)</f>
        <v>#N/A</v>
      </c>
      <c r="AH613" s="8" t="str">
        <f t="array" ref="AH613">INDEX(Subject!$A:$I,MATCH(RANDBETWEEN(1,16),Subject!$B:$B,0),3)</f>
        <v>#N/A</v>
      </c>
      <c r="AI613" s="8" t="str">
        <f t="array" ref="AI613">INDEX(Subject!$A:$I,MATCH(RANDBETWEEN(1,16),Subject!$B:$B,0),3)</f>
        <v>#N/A</v>
      </c>
      <c r="AJ613" s="8" t="str">
        <f t="array" ref="AJ613">INDEX(Subject!$A:$I,MATCH(RANDBETWEEN(1,16),Subject!$B:$B,0),3)</f>
        <v>#N/A</v>
      </c>
      <c r="AK613" s="8" t="str">
        <f t="array" ref="AK613">INDEX(Subject!$A:$I,MATCH(RANDBETWEEN(1,16),Subject!$B:$B,0),3)</f>
        <v>#N/A</v>
      </c>
      <c r="AL613" s="8" t="str">
        <f t="array" ref="AL613">INDEX(Subject!$A:$I,MATCH(RANDBETWEEN(1,16),Subject!$B:$B,0),3)</f>
        <v>#N/A</v>
      </c>
      <c r="AM613" s="18">
        <f t="shared" si="4"/>
        <v>46113.33333</v>
      </c>
      <c r="AN613" s="19">
        <f t="shared" ref="AN613:BZ613" si="613">$A613+C$1</f>
        <v>46113.35417</v>
      </c>
      <c r="AO613" s="19">
        <f t="shared" si="613"/>
        <v>46113.375</v>
      </c>
      <c r="AP613" s="19">
        <f t="shared" si="613"/>
        <v>46113.39583</v>
      </c>
      <c r="AQ613" s="19">
        <f t="shared" si="613"/>
        <v>46113.41667</v>
      </c>
      <c r="AR613" s="19">
        <f t="shared" si="613"/>
        <v>46113.4375</v>
      </c>
      <c r="AS613" s="19">
        <f t="shared" si="613"/>
        <v>46113.45833</v>
      </c>
      <c r="AT613" s="19">
        <f t="shared" si="613"/>
        <v>46113.47917</v>
      </c>
      <c r="AU613" s="19">
        <f t="shared" si="613"/>
        <v>46113.5</v>
      </c>
      <c r="AV613" s="19">
        <f t="shared" si="613"/>
        <v>46113.52083</v>
      </c>
      <c r="AW613" s="19">
        <f t="shared" si="613"/>
        <v>46113.54167</v>
      </c>
      <c r="AX613" s="19">
        <f t="shared" si="613"/>
        <v>46113.5625</v>
      </c>
      <c r="AY613" s="19">
        <f t="shared" si="613"/>
        <v>46113.58333</v>
      </c>
      <c r="AZ613" s="19">
        <f t="shared" si="613"/>
        <v>46113.60417</v>
      </c>
      <c r="BA613" s="19">
        <f t="shared" si="613"/>
        <v>46113.625</v>
      </c>
      <c r="BB613" s="19">
        <f t="shared" si="613"/>
        <v>46113.64583</v>
      </c>
      <c r="BC613" s="19">
        <f t="shared" si="613"/>
        <v>46113.66667</v>
      </c>
      <c r="BD613" s="19">
        <f t="shared" si="613"/>
        <v>46113.6875</v>
      </c>
      <c r="BE613" s="19">
        <f t="shared" si="613"/>
        <v>46113.70833</v>
      </c>
      <c r="BF613" s="19">
        <f t="shared" si="613"/>
        <v>46113.72917</v>
      </c>
      <c r="BG613" s="19">
        <f t="shared" si="613"/>
        <v>46113.75</v>
      </c>
      <c r="BH613" s="19">
        <f t="shared" si="613"/>
        <v>46113.77083</v>
      </c>
      <c r="BI613" s="19">
        <f t="shared" si="613"/>
        <v>46113.79167</v>
      </c>
      <c r="BJ613" s="19">
        <f t="shared" si="613"/>
        <v>46113.8125</v>
      </c>
      <c r="BK613" s="19">
        <f t="shared" si="613"/>
        <v>46113.83333</v>
      </c>
      <c r="BL613" s="19">
        <f t="shared" si="613"/>
        <v>46113.85417</v>
      </c>
      <c r="BM613" s="19">
        <f t="shared" si="613"/>
        <v>46113.875</v>
      </c>
      <c r="BN613" s="19">
        <f t="shared" si="613"/>
        <v>46113.89583</v>
      </c>
      <c r="BO613" s="19">
        <f t="shared" si="613"/>
        <v>46113.91667</v>
      </c>
      <c r="BP613" s="19">
        <f t="shared" si="613"/>
        <v>46113.9375</v>
      </c>
      <c r="BQ613" s="19">
        <f t="shared" si="613"/>
        <v>46113.95833</v>
      </c>
      <c r="BR613" s="19">
        <f t="shared" si="613"/>
        <v>46113.97917</v>
      </c>
      <c r="BS613" s="19">
        <f t="shared" si="613"/>
        <v>46114</v>
      </c>
      <c r="BT613" s="19">
        <f t="shared" si="613"/>
        <v>46114.02083</v>
      </c>
      <c r="BU613" s="19">
        <f t="shared" si="613"/>
        <v>46114.04167</v>
      </c>
      <c r="BV613" s="19">
        <f t="shared" si="613"/>
        <v>46114.0625</v>
      </c>
      <c r="BW613" s="19">
        <f t="shared" si="613"/>
        <v>46114.08333</v>
      </c>
      <c r="BX613" s="19">
        <f t="shared" si="613"/>
        <v>46113</v>
      </c>
      <c r="BY613" s="19">
        <f t="shared" si="613"/>
        <v>46113</v>
      </c>
      <c r="BZ613" s="19">
        <f t="shared" si="613"/>
        <v>46113</v>
      </c>
    </row>
    <row r="614" ht="14.25" customHeight="1">
      <c r="A614" s="17">
        <v>46114.0</v>
      </c>
      <c r="B614" s="2" t="str">
        <f t="array" ref="B614">IF(NOW()&gt;AM614,"",IF(AND((WEEKDAY($A614)+$B$2)&gt;1,((WEEKDAY($A614)+$T$2)&lt;7),(WEEKDAY($A614)&lt;&gt;1)),"work",(INDEX(Subject!$A:$I,MATCH(RANDBETWEEN(1,(MAX(Subject!$B:$B))),Subject!$B:$B,0),3))))</f>
        <v/>
      </c>
      <c r="C614" s="2" t="str">
        <f t="array" ref="C614">IF(NOW()&gt;AN614,"",IF(AND((WEEKDAY($A614)+$B$2)&gt;1,((WEEKDAY($A614)+$T$2)&lt;7),(WEEKDAY($A614)&lt;&gt;1)),"work",(INDEX(Subject!$A:$I,MATCH(RANDBETWEEN(1,(MAX(Subject!$B:$B))),Subject!$B:$B,0),3))))</f>
        <v/>
      </c>
      <c r="D614" s="2" t="str">
        <f t="array" ref="D614">IF(NOW()&gt;AO614,"",IF(AND((WEEKDAY($A614)+$B$2)&gt;1,((WEEKDAY($A614)+$T$2)&lt;7),(WEEKDAY($A614)&lt;&gt;1)),"work",(INDEX(Subject!$A:$I,MATCH(RANDBETWEEN(1,(MAX(Subject!$B:$B))),Subject!$B:$B,0),3))))</f>
        <v/>
      </c>
      <c r="E614" s="2" t="str">
        <f t="array" ref="E614">IF(NOW()&gt;AP614,"",IF(AND((WEEKDAY($A614)+$B$2)&gt;1,((WEEKDAY($A614)+$T$2)&lt;7),(WEEKDAY($A614)&lt;&gt;1)),"work",(INDEX(Subject!$A:$I,MATCH(RANDBETWEEN(1,(MAX(Subject!$B:$B))),Subject!$B:$B,0),3))))</f>
        <v/>
      </c>
      <c r="F614" s="2" t="str">
        <f t="array" ref="F614">IF(NOW()&gt;AQ614,"",IF(AND((WEEKDAY($A614)+$B$2)&gt;1,((WEEKDAY($A614)+$T$2)&lt;7),(WEEKDAY($A614)&lt;&gt;1)),"work",(INDEX(Subject!$A:$I,MATCH(RANDBETWEEN(1,(MAX(Subject!$B:$B))),Subject!$B:$B,0),3))))</f>
        <v/>
      </c>
      <c r="G614" s="2" t="str">
        <f t="array" ref="G614">IF(NOW()&gt;AR614,"",IF(AND((WEEKDAY($A614)+$B$2)&gt;1,((WEEKDAY($A614)+$T$2)&lt;7),(WEEKDAY($A614)&lt;&gt;1)),"work",(INDEX(Subject!$A:$I,MATCH(RANDBETWEEN(1,(MAX(Subject!$B:$B))),Subject!$B:$B,0),3))))</f>
        <v/>
      </c>
      <c r="H614" s="2" t="str">
        <f t="array" ref="H614">IF(NOW()&gt;AS614,"",IF(AND((WEEKDAY($A614)+$B$2)&gt;1,((WEEKDAY($A614)+$T$2)&lt;7),(WEEKDAY($A614)&lt;&gt;1)),"work",(INDEX(Subject!$A:$I,MATCH(RANDBETWEEN(1,(MAX(Subject!$B:$B))),Subject!$B:$B,0),3))))</f>
        <v/>
      </c>
      <c r="I614" s="2" t="str">
        <f t="array" ref="I614">IF(NOW()&gt;AT614,"",IF(AND((WEEKDAY($A614)+$B$2)&gt;1,((WEEKDAY($A614)+$T$2)&lt;7),(WEEKDAY($A614)&lt;&gt;1)),"work",(INDEX(Subject!$A:$I,MATCH(RANDBETWEEN(1,(MAX(Subject!$B:$B))),Subject!$B:$B,0),3))))</f>
        <v/>
      </c>
      <c r="J614" s="2" t="str">
        <f t="array" ref="J614">IF(NOW()&gt;AU614,"",IF(AND((WEEKDAY($A614)+$B$2)&gt;1,((WEEKDAY($A614)+$T$2)&lt;7),(WEEKDAY($A614)&lt;&gt;1)),"work",(INDEX(Subject!$A:$I,MATCH(RANDBETWEEN(1,(MAX(Subject!$B:$B))),Subject!$B:$B,0),3))))</f>
        <v/>
      </c>
      <c r="K614" s="2" t="str">
        <f t="array" ref="K614">IF(NOW()&gt;AV614,"",IF(AND((WEEKDAY($A614)+$B$2)&gt;1,((WEEKDAY($A614)+$T$2)&lt;7),(WEEKDAY($A614)&lt;&gt;1)),"work",(INDEX(Subject!$A:$I,MATCH(RANDBETWEEN(1,(MAX(Subject!$B:$B))),Subject!$B:$B,0),3))))</f>
        <v/>
      </c>
      <c r="L614" s="2" t="str">
        <f t="array" ref="L614">IF(NOW()&gt;AW614,"",IF(AND((WEEKDAY($A614)+$B$2)&gt;1,((WEEKDAY($A614)+$T$2)&lt;7),(WEEKDAY($A614)&lt;&gt;1)),"work",(INDEX(Subject!$A:$I,MATCH(RANDBETWEEN(1,(MAX(Subject!$B:$B))),Subject!$B:$B,0),3))))</f>
        <v/>
      </c>
      <c r="M614" s="2" t="str">
        <f t="array" ref="M614">IF(NOW()&gt;AX614,"",IF(AND((WEEKDAY($A614)+$B$2)&gt;1,((WEEKDAY($A614)+$T$2)&lt;7),(WEEKDAY($A614)&lt;&gt;1)),"work",(INDEX(Subject!$A:$I,MATCH(RANDBETWEEN(1,(MAX(Subject!$B:$B))),Subject!$B:$B,0),3))))</f>
        <v/>
      </c>
      <c r="N614" s="2" t="str">
        <f t="array" ref="N614">IF(NOW()&gt;AY614,"",IF(AND((WEEKDAY($A614)+$B$2)&gt;1,((WEEKDAY($A614)+$T$2)&lt;7),(WEEKDAY($A614)&lt;&gt;1)),"work",(INDEX(Subject!$A:$I,MATCH(RANDBETWEEN(1,(MAX(Subject!$B:$B))),Subject!$B:$B,0),3))))</f>
        <v/>
      </c>
      <c r="O614" s="2" t="str">
        <f t="array" ref="O614">IF(NOW()&gt;AZ614,"",IF(AND((WEEKDAY($A614)+$B$2)&gt;1,((WEEKDAY($A614)+$T$2)&lt;7),(WEEKDAY($A614)&lt;&gt;1)),"work",(INDEX(Subject!$A:$I,MATCH(RANDBETWEEN(1,(MAX(Subject!$B:$B))),Subject!$B:$B,0),3))))</f>
        <v/>
      </c>
      <c r="P614" s="2" t="str">
        <f t="array" ref="P614">IF(NOW()&gt;BA614,"",IF(AND((WEEKDAY($A614)+$B$2)&gt;1,((WEEKDAY($A614)+$T$2)&lt;7),(WEEKDAY($A614)&lt;&gt;1)),"work",(INDEX(Subject!$A:$I,MATCH(RANDBETWEEN(1,(MAX(Subject!$B:$B))),Subject!$B:$B,0),3))))</f>
        <v/>
      </c>
      <c r="Q614" s="2" t="str">
        <f t="array" ref="Q614">IF(NOW()&gt;BB614,"",IF(AND((WEEKDAY($A614)+$B$2)&gt;1,((WEEKDAY($A614)+$T$2)&lt;7),(WEEKDAY($A614)&lt;&gt;1)),"work",(INDEX(Subject!$A:$I,MATCH(RANDBETWEEN(1,(MAX(Subject!$B:$B))),Subject!$B:$B,0),3))))</f>
        <v/>
      </c>
      <c r="R614" s="2" t="str">
        <f t="array" ref="R614">IF(NOW()&gt;BC614,"",IF(AND((WEEKDAY($A614)+$B$2)&gt;1,((WEEKDAY($A614)+$T$2)&lt;7),(WEEKDAY($A614)&lt;&gt;1)),"work",(INDEX(Subject!$A:$I,MATCH(RANDBETWEEN(1,(MAX(Subject!$B:$B))),Subject!$B:$B,0),3))))</f>
        <v/>
      </c>
      <c r="S614" s="2" t="str">
        <f t="array" ref="S614">IF(NOW()&gt;BD614,"",IF(AND((WEEKDAY($A614)+$B$2)&gt;1,((WEEKDAY($A614)+$T$2)&lt;7),(WEEKDAY($A614)&lt;&gt;1)),"work",(INDEX(Subject!$A:$I,MATCH(RANDBETWEEN(1,(MAX(Subject!$B:$B))),Subject!$B:$B,0),3))))</f>
        <v/>
      </c>
      <c r="T614" s="2" t="str">
        <f t="array" ref="T614">IF(NOW()&gt;BE614,"",IF(AND((WEEKDAY($A614)+$B$2)&gt;1,((WEEKDAY($A614)+$T$2)&lt;7),(WEEKDAY($A614)&lt;&gt;1)),"work",(INDEX(Subject!$A:$I,MATCH(RANDBETWEEN(1,(MAX(Subject!$B:$B))),Subject!$B:$B,0),3))))</f>
        <v/>
      </c>
      <c r="U614" s="8" t="str">
        <f t="array" ref="U614">INDEX(Subject!$A:$I,MATCH(RANDBETWEEN(1,16),Subject!$B:$B,0),3)</f>
        <v>#N/A</v>
      </c>
      <c r="V614" s="8" t="str">
        <f t="array" ref="V614">INDEX(Subject!$A:$I,MATCH(RANDBETWEEN(1,16),Subject!$B:$B,0),3)</f>
        <v>#N/A</v>
      </c>
      <c r="W614" s="8" t="str">
        <f t="array" ref="W614">INDEX(Subject!$A:$I,MATCH(RANDBETWEEN(1,16),Subject!$B:$B,0),3)</f>
        <v>#N/A</v>
      </c>
      <c r="X614" s="8" t="str">
        <f t="array" ref="X614">INDEX(Subject!$A:$I,MATCH(RANDBETWEEN(1,16),Subject!$B:$B,0),3)</f>
        <v/>
      </c>
      <c r="Y614" s="8" t="str">
        <f t="array" ref="Y614">INDEX(Subject!$A:$I,MATCH(RANDBETWEEN(1,16),Subject!$B:$B,0),3)</f>
        <v>#N/A</v>
      </c>
      <c r="Z614" s="8" t="str">
        <f t="array" ref="Z614">INDEX(Subject!$A:$I,MATCH(RANDBETWEEN(1,16),Subject!$B:$B,0),3)</f>
        <v>#N/A</v>
      </c>
      <c r="AA614" s="8" t="str">
        <f t="array" ref="AA614">INDEX(Subject!$A:$I,MATCH(RANDBETWEEN(1,16),Subject!$B:$B,0),3)</f>
        <v>#N/A</v>
      </c>
      <c r="AB614" s="8" t="str">
        <f t="array" ref="AB614">INDEX(Subject!$A:$I,MATCH(RANDBETWEEN(1,16),Subject!$B:$B,0),3)</f>
        <v>#N/A</v>
      </c>
      <c r="AC614" s="8" t="str">
        <f t="array" ref="AC614">INDEX(Subject!$A:$I,MATCH(RANDBETWEEN(1,16),Subject!$B:$B,0),3)</f>
        <v>#N/A</v>
      </c>
      <c r="AD614" s="8" t="str">
        <f t="array" ref="AD614">INDEX(Subject!$A:$I,MATCH(RANDBETWEEN(1,16),Subject!$B:$B,0),3)</f>
        <v>#N/A</v>
      </c>
      <c r="AE614" s="8" t="str">
        <f t="array" ref="AE614">INDEX(Subject!$A:$I,MATCH(RANDBETWEEN(1,16),Subject!$B:$B,0),3)</f>
        <v>#N/A</v>
      </c>
      <c r="AF614" s="8" t="str">
        <f t="array" ref="AF614">INDEX(Subject!$A:$I,MATCH(RANDBETWEEN(1,16),Subject!$B:$B,0),3)</f>
        <v>#N/A</v>
      </c>
      <c r="AG614" s="8" t="str">
        <f t="array" ref="AG614">INDEX(Subject!$A:$I,MATCH(RANDBETWEEN(1,16),Subject!$B:$B,0),3)</f>
        <v>#N/A</v>
      </c>
      <c r="AH614" s="8" t="str">
        <f t="array" ref="AH614">INDEX(Subject!$A:$I,MATCH(RANDBETWEEN(1,16),Subject!$B:$B,0),3)</f>
        <v>#N/A</v>
      </c>
      <c r="AI614" s="8" t="str">
        <f t="array" ref="AI614">INDEX(Subject!$A:$I,MATCH(RANDBETWEEN(1,16),Subject!$B:$B,0),3)</f>
        <v>#N/A</v>
      </c>
      <c r="AJ614" s="8" t="str">
        <f t="array" ref="AJ614">INDEX(Subject!$A:$I,MATCH(RANDBETWEEN(1,16),Subject!$B:$B,0),3)</f>
        <v>#N/A</v>
      </c>
      <c r="AK614" s="8" t="str">
        <f t="array" ref="AK614">INDEX(Subject!$A:$I,MATCH(RANDBETWEEN(1,16),Subject!$B:$B,0),3)</f>
        <v>#N/A</v>
      </c>
      <c r="AL614" s="8" t="str">
        <f t="array" ref="AL614">INDEX(Subject!$A:$I,MATCH(RANDBETWEEN(1,16),Subject!$B:$B,0),3)</f>
        <v>#N/A</v>
      </c>
      <c r="AM614" s="18">
        <f t="shared" si="4"/>
        <v>46114.33333</v>
      </c>
      <c r="AN614" s="19">
        <f t="shared" ref="AN614:BZ614" si="614">$A614+C$1</f>
        <v>46114.35417</v>
      </c>
      <c r="AO614" s="19">
        <f t="shared" si="614"/>
        <v>46114.375</v>
      </c>
      <c r="AP614" s="19">
        <f t="shared" si="614"/>
        <v>46114.39583</v>
      </c>
      <c r="AQ614" s="19">
        <f t="shared" si="614"/>
        <v>46114.41667</v>
      </c>
      <c r="AR614" s="19">
        <f t="shared" si="614"/>
        <v>46114.4375</v>
      </c>
      <c r="AS614" s="19">
        <f t="shared" si="614"/>
        <v>46114.45833</v>
      </c>
      <c r="AT614" s="19">
        <f t="shared" si="614"/>
        <v>46114.47917</v>
      </c>
      <c r="AU614" s="19">
        <f t="shared" si="614"/>
        <v>46114.5</v>
      </c>
      <c r="AV614" s="19">
        <f t="shared" si="614"/>
        <v>46114.52083</v>
      </c>
      <c r="AW614" s="19">
        <f t="shared" si="614"/>
        <v>46114.54167</v>
      </c>
      <c r="AX614" s="19">
        <f t="shared" si="614"/>
        <v>46114.5625</v>
      </c>
      <c r="AY614" s="19">
        <f t="shared" si="614"/>
        <v>46114.58333</v>
      </c>
      <c r="AZ614" s="19">
        <f t="shared" si="614"/>
        <v>46114.60417</v>
      </c>
      <c r="BA614" s="19">
        <f t="shared" si="614"/>
        <v>46114.625</v>
      </c>
      <c r="BB614" s="19">
        <f t="shared" si="614"/>
        <v>46114.64583</v>
      </c>
      <c r="BC614" s="19">
        <f t="shared" si="614"/>
        <v>46114.66667</v>
      </c>
      <c r="BD614" s="19">
        <f t="shared" si="614"/>
        <v>46114.6875</v>
      </c>
      <c r="BE614" s="19">
        <f t="shared" si="614"/>
        <v>46114.70833</v>
      </c>
      <c r="BF614" s="19">
        <f t="shared" si="614"/>
        <v>46114.72917</v>
      </c>
      <c r="BG614" s="19">
        <f t="shared" si="614"/>
        <v>46114.75</v>
      </c>
      <c r="BH614" s="19">
        <f t="shared" si="614"/>
        <v>46114.77083</v>
      </c>
      <c r="BI614" s="19">
        <f t="shared" si="614"/>
        <v>46114.79167</v>
      </c>
      <c r="BJ614" s="19">
        <f t="shared" si="614"/>
        <v>46114.8125</v>
      </c>
      <c r="BK614" s="19">
        <f t="shared" si="614"/>
        <v>46114.83333</v>
      </c>
      <c r="BL614" s="19">
        <f t="shared" si="614"/>
        <v>46114.85417</v>
      </c>
      <c r="BM614" s="19">
        <f t="shared" si="614"/>
        <v>46114.875</v>
      </c>
      <c r="BN614" s="19">
        <f t="shared" si="614"/>
        <v>46114.89583</v>
      </c>
      <c r="BO614" s="19">
        <f t="shared" si="614"/>
        <v>46114.91667</v>
      </c>
      <c r="BP614" s="19">
        <f t="shared" si="614"/>
        <v>46114.9375</v>
      </c>
      <c r="BQ614" s="19">
        <f t="shared" si="614"/>
        <v>46114.95833</v>
      </c>
      <c r="BR614" s="19">
        <f t="shared" si="614"/>
        <v>46114.97917</v>
      </c>
      <c r="BS614" s="19">
        <f t="shared" si="614"/>
        <v>46115</v>
      </c>
      <c r="BT614" s="19">
        <f t="shared" si="614"/>
        <v>46115.02083</v>
      </c>
      <c r="BU614" s="19">
        <f t="shared" si="614"/>
        <v>46115.04167</v>
      </c>
      <c r="BV614" s="19">
        <f t="shared" si="614"/>
        <v>46115.0625</v>
      </c>
      <c r="BW614" s="19">
        <f t="shared" si="614"/>
        <v>46115.08333</v>
      </c>
      <c r="BX614" s="19">
        <f t="shared" si="614"/>
        <v>46114</v>
      </c>
      <c r="BY614" s="19">
        <f t="shared" si="614"/>
        <v>46114</v>
      </c>
      <c r="BZ614" s="19">
        <f t="shared" si="614"/>
        <v>46114</v>
      </c>
    </row>
    <row r="615" ht="14.25" customHeight="1">
      <c r="A615" s="17">
        <v>46115.0</v>
      </c>
      <c r="B615" s="2" t="str">
        <f t="array" ref="B615">IF(NOW()&gt;AM615,"",IF(AND((WEEKDAY($A615)+$B$2)&gt;1,((WEEKDAY($A615)+$T$2)&lt;7),(WEEKDAY($A615)&lt;&gt;1)),"work",(INDEX(Subject!$A:$I,MATCH(RANDBETWEEN(1,(MAX(Subject!$B:$B))),Subject!$B:$B,0),3))))</f>
        <v/>
      </c>
      <c r="C615" s="2" t="str">
        <f t="array" ref="C615">IF(NOW()&gt;AN615,"",IF(AND((WEEKDAY($A615)+$B$2)&gt;1,((WEEKDAY($A615)+$T$2)&lt;7),(WEEKDAY($A615)&lt;&gt;1)),"work",(INDEX(Subject!$A:$I,MATCH(RANDBETWEEN(1,(MAX(Subject!$B:$B))),Subject!$B:$B,0),3))))</f>
        <v/>
      </c>
      <c r="D615" s="2" t="str">
        <f t="array" ref="D615">IF(NOW()&gt;AO615,"",IF(AND((WEEKDAY($A615)+$B$2)&gt;1,((WEEKDAY($A615)+$T$2)&lt;7),(WEEKDAY($A615)&lt;&gt;1)),"work",(INDEX(Subject!$A:$I,MATCH(RANDBETWEEN(1,(MAX(Subject!$B:$B))),Subject!$B:$B,0),3))))</f>
        <v/>
      </c>
      <c r="E615" s="2" t="str">
        <f t="array" ref="E615">IF(NOW()&gt;AP615,"",IF(AND((WEEKDAY($A615)+$B$2)&gt;1,((WEEKDAY($A615)+$T$2)&lt;7),(WEEKDAY($A615)&lt;&gt;1)),"work",(INDEX(Subject!$A:$I,MATCH(RANDBETWEEN(1,(MAX(Subject!$B:$B))),Subject!$B:$B,0),3))))</f>
        <v/>
      </c>
      <c r="F615" s="2" t="str">
        <f t="array" ref="F615">IF(NOW()&gt;AQ615,"",IF(AND((WEEKDAY($A615)+$B$2)&gt;1,((WEEKDAY($A615)+$T$2)&lt;7),(WEEKDAY($A615)&lt;&gt;1)),"work",(INDEX(Subject!$A:$I,MATCH(RANDBETWEEN(1,(MAX(Subject!$B:$B))),Subject!$B:$B,0),3))))</f>
        <v/>
      </c>
      <c r="G615" s="2" t="str">
        <f t="array" ref="G615">IF(NOW()&gt;AR615,"",IF(AND((WEEKDAY($A615)+$B$2)&gt;1,((WEEKDAY($A615)+$T$2)&lt;7),(WEEKDAY($A615)&lt;&gt;1)),"work",(INDEX(Subject!$A:$I,MATCH(RANDBETWEEN(1,(MAX(Subject!$B:$B))),Subject!$B:$B,0),3))))</f>
        <v/>
      </c>
      <c r="H615" s="2" t="str">
        <f t="array" ref="H615">IF(NOW()&gt;AS615,"",IF(AND((WEEKDAY($A615)+$B$2)&gt;1,((WEEKDAY($A615)+$T$2)&lt;7),(WEEKDAY($A615)&lt;&gt;1)),"work",(INDEX(Subject!$A:$I,MATCH(RANDBETWEEN(1,(MAX(Subject!$B:$B))),Subject!$B:$B,0),3))))</f>
        <v/>
      </c>
      <c r="I615" s="2" t="str">
        <f t="array" ref="I615">IF(NOW()&gt;AT615,"",IF(AND((WEEKDAY($A615)+$B$2)&gt;1,((WEEKDAY($A615)+$T$2)&lt;7),(WEEKDAY($A615)&lt;&gt;1)),"work",(INDEX(Subject!$A:$I,MATCH(RANDBETWEEN(1,(MAX(Subject!$B:$B))),Subject!$B:$B,0),3))))</f>
        <v/>
      </c>
      <c r="J615" s="2" t="str">
        <f t="array" ref="J615">IF(NOW()&gt;AU615,"",IF(AND((WEEKDAY($A615)+$B$2)&gt;1,((WEEKDAY($A615)+$T$2)&lt;7),(WEEKDAY($A615)&lt;&gt;1)),"work",(INDEX(Subject!$A:$I,MATCH(RANDBETWEEN(1,(MAX(Subject!$B:$B))),Subject!$B:$B,0),3))))</f>
        <v/>
      </c>
      <c r="K615" s="2" t="str">
        <f t="array" ref="K615">IF(NOW()&gt;AV615,"",IF(AND((WEEKDAY($A615)+$B$2)&gt;1,((WEEKDAY($A615)+$T$2)&lt;7),(WEEKDAY($A615)&lt;&gt;1)),"work",(INDEX(Subject!$A:$I,MATCH(RANDBETWEEN(1,(MAX(Subject!$B:$B))),Subject!$B:$B,0),3))))</f>
        <v/>
      </c>
      <c r="L615" s="2" t="str">
        <f t="array" ref="L615">IF(NOW()&gt;AW615,"",IF(AND((WEEKDAY($A615)+$B$2)&gt;1,((WEEKDAY($A615)+$T$2)&lt;7),(WEEKDAY($A615)&lt;&gt;1)),"work",(INDEX(Subject!$A:$I,MATCH(RANDBETWEEN(1,(MAX(Subject!$B:$B))),Subject!$B:$B,0),3))))</f>
        <v/>
      </c>
      <c r="M615" s="2" t="str">
        <f t="array" ref="M615">IF(NOW()&gt;AX615,"",IF(AND((WEEKDAY($A615)+$B$2)&gt;1,((WEEKDAY($A615)+$T$2)&lt;7),(WEEKDAY($A615)&lt;&gt;1)),"work",(INDEX(Subject!$A:$I,MATCH(RANDBETWEEN(1,(MAX(Subject!$B:$B))),Subject!$B:$B,0),3))))</f>
        <v/>
      </c>
      <c r="N615" s="2" t="str">
        <f t="array" ref="N615">IF(NOW()&gt;AY615,"",IF(AND((WEEKDAY($A615)+$B$2)&gt;1,((WEEKDAY($A615)+$T$2)&lt;7),(WEEKDAY($A615)&lt;&gt;1)),"work",(INDEX(Subject!$A:$I,MATCH(RANDBETWEEN(1,(MAX(Subject!$B:$B))),Subject!$B:$B,0),3))))</f>
        <v/>
      </c>
      <c r="O615" s="2" t="str">
        <f t="array" ref="O615">IF(NOW()&gt;AZ615,"",IF(AND((WEEKDAY($A615)+$B$2)&gt;1,((WEEKDAY($A615)+$T$2)&lt;7),(WEEKDAY($A615)&lt;&gt;1)),"work",(INDEX(Subject!$A:$I,MATCH(RANDBETWEEN(1,(MAX(Subject!$B:$B))),Subject!$B:$B,0),3))))</f>
        <v/>
      </c>
      <c r="P615" s="2" t="str">
        <f t="array" ref="P615">IF(NOW()&gt;BA615,"",IF(AND((WEEKDAY($A615)+$B$2)&gt;1,((WEEKDAY($A615)+$T$2)&lt;7),(WEEKDAY($A615)&lt;&gt;1)),"work",(INDEX(Subject!$A:$I,MATCH(RANDBETWEEN(1,(MAX(Subject!$B:$B))),Subject!$B:$B,0),3))))</f>
        <v/>
      </c>
      <c r="Q615" s="2" t="str">
        <f t="array" ref="Q615">IF(NOW()&gt;BB615,"",IF(AND((WEEKDAY($A615)+$B$2)&gt;1,((WEEKDAY($A615)+$T$2)&lt;7),(WEEKDAY($A615)&lt;&gt;1)),"work",(INDEX(Subject!$A:$I,MATCH(RANDBETWEEN(1,(MAX(Subject!$B:$B))),Subject!$B:$B,0),3))))</f>
        <v/>
      </c>
      <c r="R615" s="2" t="str">
        <f t="array" ref="R615">IF(NOW()&gt;BC615,"",IF(AND((WEEKDAY($A615)+$B$2)&gt;1,((WEEKDAY($A615)+$T$2)&lt;7),(WEEKDAY($A615)&lt;&gt;1)),"work",(INDEX(Subject!$A:$I,MATCH(RANDBETWEEN(1,(MAX(Subject!$B:$B))),Subject!$B:$B,0),3))))</f>
        <v/>
      </c>
      <c r="S615" s="2" t="str">
        <f t="array" ref="S615">IF(NOW()&gt;BD615,"",IF(AND((WEEKDAY($A615)+$B$2)&gt;1,((WEEKDAY($A615)+$T$2)&lt;7),(WEEKDAY($A615)&lt;&gt;1)),"work",(INDEX(Subject!$A:$I,MATCH(RANDBETWEEN(1,(MAX(Subject!$B:$B))),Subject!$B:$B,0),3))))</f>
        <v/>
      </c>
      <c r="T615" s="2" t="str">
        <f t="array" ref="T615">IF(NOW()&gt;BE615,"",IF(AND((WEEKDAY($A615)+$B$2)&gt;1,((WEEKDAY($A615)+$T$2)&lt;7),(WEEKDAY($A615)&lt;&gt;1)),"work",(INDEX(Subject!$A:$I,MATCH(RANDBETWEEN(1,(MAX(Subject!$B:$B))),Subject!$B:$B,0),3))))</f>
        <v/>
      </c>
      <c r="U615" s="8" t="str">
        <f t="array" ref="U615">INDEX(Subject!$A:$I,MATCH(RANDBETWEEN(1,16),Subject!$B:$B,0),3)</f>
        <v/>
      </c>
      <c r="V615" s="8" t="str">
        <f t="array" ref="V615">INDEX(Subject!$A:$I,MATCH(RANDBETWEEN(1,16),Subject!$B:$B,0),3)</f>
        <v>#N/A</v>
      </c>
      <c r="W615" s="8" t="str">
        <f t="array" ref="W615">INDEX(Subject!$A:$I,MATCH(RANDBETWEEN(1,16),Subject!$B:$B,0),3)</f>
        <v>#N/A</v>
      </c>
      <c r="X615" s="8" t="str">
        <f t="array" ref="X615">INDEX(Subject!$A:$I,MATCH(RANDBETWEEN(1,16),Subject!$B:$B,0),3)</f>
        <v>#N/A</v>
      </c>
      <c r="Y615" s="8" t="str">
        <f t="array" ref="Y615">INDEX(Subject!$A:$I,MATCH(RANDBETWEEN(1,16),Subject!$B:$B,0),3)</f>
        <v>#N/A</v>
      </c>
      <c r="Z615" s="8" t="str">
        <f t="array" ref="Z615">INDEX(Subject!$A:$I,MATCH(RANDBETWEEN(1,16),Subject!$B:$B,0),3)</f>
        <v>#N/A</v>
      </c>
      <c r="AA615" s="8" t="str">
        <f t="array" ref="AA615">INDEX(Subject!$A:$I,MATCH(RANDBETWEEN(1,16),Subject!$B:$B,0),3)</f>
        <v>#N/A</v>
      </c>
      <c r="AB615" s="8" t="str">
        <f t="array" ref="AB615">INDEX(Subject!$A:$I,MATCH(RANDBETWEEN(1,16),Subject!$B:$B,0),3)</f>
        <v>#N/A</v>
      </c>
      <c r="AC615" s="8" t="str">
        <f t="array" ref="AC615">INDEX(Subject!$A:$I,MATCH(RANDBETWEEN(1,16),Subject!$B:$B,0),3)</f>
        <v>#N/A</v>
      </c>
      <c r="AD615" s="8" t="str">
        <f t="array" ref="AD615">INDEX(Subject!$A:$I,MATCH(RANDBETWEEN(1,16),Subject!$B:$B,0),3)</f>
        <v>#N/A</v>
      </c>
      <c r="AE615" s="8" t="str">
        <f t="array" ref="AE615">INDEX(Subject!$A:$I,MATCH(RANDBETWEEN(1,16),Subject!$B:$B,0),3)</f>
        <v>#N/A</v>
      </c>
      <c r="AF615" s="8" t="str">
        <f t="array" ref="AF615">INDEX(Subject!$A:$I,MATCH(RANDBETWEEN(1,16),Subject!$B:$B,0),3)</f>
        <v>#N/A</v>
      </c>
      <c r="AG615" s="8" t="str">
        <f t="array" ref="AG615">INDEX(Subject!$A:$I,MATCH(RANDBETWEEN(1,16),Subject!$B:$B,0),3)</f>
        <v>#N/A</v>
      </c>
      <c r="AH615" s="8" t="str">
        <f t="array" ref="AH615">INDEX(Subject!$A:$I,MATCH(RANDBETWEEN(1,16),Subject!$B:$B,0),3)</f>
        <v>#N/A</v>
      </c>
      <c r="AI615" s="8" t="str">
        <f t="array" ref="AI615">INDEX(Subject!$A:$I,MATCH(RANDBETWEEN(1,16),Subject!$B:$B,0),3)</f>
        <v>#N/A</v>
      </c>
      <c r="AJ615" s="8" t="str">
        <f t="array" ref="AJ615">INDEX(Subject!$A:$I,MATCH(RANDBETWEEN(1,16),Subject!$B:$B,0),3)</f>
        <v>#N/A</v>
      </c>
      <c r="AK615" s="8" t="str">
        <f t="array" ref="AK615">INDEX(Subject!$A:$I,MATCH(RANDBETWEEN(1,16),Subject!$B:$B,0),3)</f>
        <v>#N/A</v>
      </c>
      <c r="AL615" s="8" t="str">
        <f t="array" ref="AL615">INDEX(Subject!$A:$I,MATCH(RANDBETWEEN(1,16),Subject!$B:$B,0),3)</f>
        <v>#N/A</v>
      </c>
      <c r="AM615" s="18">
        <f t="shared" si="4"/>
        <v>46115.33333</v>
      </c>
      <c r="AN615" s="19">
        <f t="shared" ref="AN615:BZ615" si="615">$A615+C$1</f>
        <v>46115.35417</v>
      </c>
      <c r="AO615" s="19">
        <f t="shared" si="615"/>
        <v>46115.375</v>
      </c>
      <c r="AP615" s="19">
        <f t="shared" si="615"/>
        <v>46115.39583</v>
      </c>
      <c r="AQ615" s="19">
        <f t="shared" si="615"/>
        <v>46115.41667</v>
      </c>
      <c r="AR615" s="19">
        <f t="shared" si="615"/>
        <v>46115.4375</v>
      </c>
      <c r="AS615" s="19">
        <f t="shared" si="615"/>
        <v>46115.45833</v>
      </c>
      <c r="AT615" s="19">
        <f t="shared" si="615"/>
        <v>46115.47917</v>
      </c>
      <c r="AU615" s="19">
        <f t="shared" si="615"/>
        <v>46115.5</v>
      </c>
      <c r="AV615" s="19">
        <f t="shared" si="615"/>
        <v>46115.52083</v>
      </c>
      <c r="AW615" s="19">
        <f t="shared" si="615"/>
        <v>46115.54167</v>
      </c>
      <c r="AX615" s="19">
        <f t="shared" si="615"/>
        <v>46115.5625</v>
      </c>
      <c r="AY615" s="19">
        <f t="shared" si="615"/>
        <v>46115.58333</v>
      </c>
      <c r="AZ615" s="19">
        <f t="shared" si="615"/>
        <v>46115.60417</v>
      </c>
      <c r="BA615" s="19">
        <f t="shared" si="615"/>
        <v>46115.625</v>
      </c>
      <c r="BB615" s="19">
        <f t="shared" si="615"/>
        <v>46115.64583</v>
      </c>
      <c r="BC615" s="19">
        <f t="shared" si="615"/>
        <v>46115.66667</v>
      </c>
      <c r="BD615" s="19">
        <f t="shared" si="615"/>
        <v>46115.6875</v>
      </c>
      <c r="BE615" s="19">
        <f t="shared" si="615"/>
        <v>46115.70833</v>
      </c>
      <c r="BF615" s="19">
        <f t="shared" si="615"/>
        <v>46115.72917</v>
      </c>
      <c r="BG615" s="19">
        <f t="shared" si="615"/>
        <v>46115.75</v>
      </c>
      <c r="BH615" s="19">
        <f t="shared" si="615"/>
        <v>46115.77083</v>
      </c>
      <c r="BI615" s="19">
        <f t="shared" si="615"/>
        <v>46115.79167</v>
      </c>
      <c r="BJ615" s="19">
        <f t="shared" si="615"/>
        <v>46115.8125</v>
      </c>
      <c r="BK615" s="19">
        <f t="shared" si="615"/>
        <v>46115.83333</v>
      </c>
      <c r="BL615" s="19">
        <f t="shared" si="615"/>
        <v>46115.85417</v>
      </c>
      <c r="BM615" s="19">
        <f t="shared" si="615"/>
        <v>46115.875</v>
      </c>
      <c r="BN615" s="19">
        <f t="shared" si="615"/>
        <v>46115.89583</v>
      </c>
      <c r="BO615" s="19">
        <f t="shared" si="615"/>
        <v>46115.91667</v>
      </c>
      <c r="BP615" s="19">
        <f t="shared" si="615"/>
        <v>46115.9375</v>
      </c>
      <c r="BQ615" s="19">
        <f t="shared" si="615"/>
        <v>46115.95833</v>
      </c>
      <c r="BR615" s="19">
        <f t="shared" si="615"/>
        <v>46115.97917</v>
      </c>
      <c r="BS615" s="19">
        <f t="shared" si="615"/>
        <v>46116</v>
      </c>
      <c r="BT615" s="19">
        <f t="shared" si="615"/>
        <v>46116.02083</v>
      </c>
      <c r="BU615" s="19">
        <f t="shared" si="615"/>
        <v>46116.04167</v>
      </c>
      <c r="BV615" s="19">
        <f t="shared" si="615"/>
        <v>46116.0625</v>
      </c>
      <c r="BW615" s="19">
        <f t="shared" si="615"/>
        <v>46116.08333</v>
      </c>
      <c r="BX615" s="19">
        <f t="shared" si="615"/>
        <v>46115</v>
      </c>
      <c r="BY615" s="19">
        <f t="shared" si="615"/>
        <v>46115</v>
      </c>
      <c r="BZ615" s="19">
        <f t="shared" si="615"/>
        <v>46115</v>
      </c>
    </row>
    <row r="616" ht="14.25" customHeight="1">
      <c r="A616" s="17">
        <v>46116.0</v>
      </c>
      <c r="B616" s="2" t="str">
        <f t="array" ref="B616">IF(NOW()&gt;AM616,"",IF(AND((WEEKDAY($A616)+$B$2)&gt;1,((WEEKDAY($A616)+$T$2)&lt;7),(WEEKDAY($A616)&lt;&gt;1)),"work",(INDEX(Subject!$A:$I,MATCH(RANDBETWEEN(1,(MAX(Subject!$B:$B))),Subject!$B:$B,0),3))))</f>
        <v/>
      </c>
      <c r="C616" s="2" t="str">
        <f t="array" ref="C616">IF(NOW()&gt;AN616,"",IF(AND((WEEKDAY($A616)+$B$2)&gt;1,((WEEKDAY($A616)+$T$2)&lt;7),(WEEKDAY($A616)&lt;&gt;1)),"work",(INDEX(Subject!$A:$I,MATCH(RANDBETWEEN(1,(MAX(Subject!$B:$B))),Subject!$B:$B,0),3))))</f>
        <v/>
      </c>
      <c r="D616" s="2" t="str">
        <f t="array" ref="D616">IF(NOW()&gt;AO616,"",IF(AND((WEEKDAY($A616)+$B$2)&gt;1,((WEEKDAY($A616)+$T$2)&lt;7),(WEEKDAY($A616)&lt;&gt;1)),"work",(INDEX(Subject!$A:$I,MATCH(RANDBETWEEN(1,(MAX(Subject!$B:$B))),Subject!$B:$B,0),3))))</f>
        <v/>
      </c>
      <c r="E616" s="2" t="str">
        <f t="array" ref="E616">IF(NOW()&gt;AP616,"",IF(AND((WEEKDAY($A616)+$B$2)&gt;1,((WEEKDAY($A616)+$T$2)&lt;7),(WEEKDAY($A616)&lt;&gt;1)),"work",(INDEX(Subject!$A:$I,MATCH(RANDBETWEEN(1,(MAX(Subject!$B:$B))),Subject!$B:$B,0),3))))</f>
        <v/>
      </c>
      <c r="F616" s="2" t="str">
        <f t="array" ref="F616">IF(NOW()&gt;AQ616,"",IF(AND((WEEKDAY($A616)+$B$2)&gt;1,((WEEKDAY($A616)+$T$2)&lt;7),(WEEKDAY($A616)&lt;&gt;1)),"work",(INDEX(Subject!$A:$I,MATCH(RANDBETWEEN(1,(MAX(Subject!$B:$B))),Subject!$B:$B,0),3))))</f>
        <v/>
      </c>
      <c r="G616" s="2" t="str">
        <f t="array" ref="G616">IF(NOW()&gt;AR616,"",IF(AND((WEEKDAY($A616)+$B$2)&gt;1,((WEEKDAY($A616)+$T$2)&lt;7),(WEEKDAY($A616)&lt;&gt;1)),"work",(INDEX(Subject!$A:$I,MATCH(RANDBETWEEN(1,(MAX(Subject!$B:$B))),Subject!$B:$B,0),3))))</f>
        <v/>
      </c>
      <c r="H616" s="2" t="str">
        <f t="array" ref="H616">IF(NOW()&gt;AS616,"",IF(AND((WEEKDAY($A616)+$B$2)&gt;1,((WEEKDAY($A616)+$T$2)&lt;7),(WEEKDAY($A616)&lt;&gt;1)),"work",(INDEX(Subject!$A:$I,MATCH(RANDBETWEEN(1,(MAX(Subject!$B:$B))),Subject!$B:$B,0),3))))</f>
        <v/>
      </c>
      <c r="I616" s="2" t="str">
        <f t="array" ref="I616">IF(NOW()&gt;AT616,"",IF(AND((WEEKDAY($A616)+$B$2)&gt;1,((WEEKDAY($A616)+$T$2)&lt;7),(WEEKDAY($A616)&lt;&gt;1)),"work",(INDEX(Subject!$A:$I,MATCH(RANDBETWEEN(1,(MAX(Subject!$B:$B))),Subject!$B:$B,0),3))))</f>
        <v/>
      </c>
      <c r="J616" s="2" t="str">
        <f t="array" ref="J616">IF(NOW()&gt;AU616,"",IF(AND((WEEKDAY($A616)+$B$2)&gt;1,((WEEKDAY($A616)+$T$2)&lt;7),(WEEKDAY($A616)&lt;&gt;1)),"work",(INDEX(Subject!$A:$I,MATCH(RANDBETWEEN(1,(MAX(Subject!$B:$B))),Subject!$B:$B,0),3))))</f>
        <v/>
      </c>
      <c r="K616" s="2" t="str">
        <f t="array" ref="K616">IF(NOW()&gt;AV616,"",IF(AND((WEEKDAY($A616)+$B$2)&gt;1,((WEEKDAY($A616)+$T$2)&lt;7),(WEEKDAY($A616)&lt;&gt;1)),"work",(INDEX(Subject!$A:$I,MATCH(RANDBETWEEN(1,(MAX(Subject!$B:$B))),Subject!$B:$B,0),3))))</f>
        <v/>
      </c>
      <c r="L616" s="2" t="str">
        <f t="array" ref="L616">IF(NOW()&gt;AW616,"",IF(AND((WEEKDAY($A616)+$B$2)&gt;1,((WEEKDAY($A616)+$T$2)&lt;7),(WEEKDAY($A616)&lt;&gt;1)),"work",(INDEX(Subject!$A:$I,MATCH(RANDBETWEEN(1,(MAX(Subject!$B:$B))),Subject!$B:$B,0),3))))</f>
        <v/>
      </c>
      <c r="M616" s="2" t="str">
        <f t="array" ref="M616">IF(NOW()&gt;AX616,"",IF(AND((WEEKDAY($A616)+$B$2)&gt;1,((WEEKDAY($A616)+$T$2)&lt;7),(WEEKDAY($A616)&lt;&gt;1)),"work",(INDEX(Subject!$A:$I,MATCH(RANDBETWEEN(1,(MAX(Subject!$B:$B))),Subject!$B:$B,0),3))))</f>
        <v/>
      </c>
      <c r="N616" s="2" t="str">
        <f t="array" ref="N616">IF(NOW()&gt;AY616,"",IF(AND((WEEKDAY($A616)+$B$2)&gt;1,((WEEKDAY($A616)+$T$2)&lt;7),(WEEKDAY($A616)&lt;&gt;1)),"work",(INDEX(Subject!$A:$I,MATCH(RANDBETWEEN(1,(MAX(Subject!$B:$B))),Subject!$B:$B,0),3))))</f>
        <v/>
      </c>
      <c r="O616" s="2" t="str">
        <f t="array" ref="O616">IF(NOW()&gt;AZ616,"",IF(AND((WEEKDAY($A616)+$B$2)&gt;1,((WEEKDAY($A616)+$T$2)&lt;7),(WEEKDAY($A616)&lt;&gt;1)),"work",(INDEX(Subject!$A:$I,MATCH(RANDBETWEEN(1,(MAX(Subject!$B:$B))),Subject!$B:$B,0),3))))</f>
        <v/>
      </c>
      <c r="P616" s="2" t="str">
        <f t="array" ref="P616">IF(NOW()&gt;BA616,"",IF(AND((WEEKDAY($A616)+$B$2)&gt;1,((WEEKDAY($A616)+$T$2)&lt;7),(WEEKDAY($A616)&lt;&gt;1)),"work",(INDEX(Subject!$A:$I,MATCH(RANDBETWEEN(1,(MAX(Subject!$B:$B))),Subject!$B:$B,0),3))))</f>
        <v/>
      </c>
      <c r="Q616" s="2" t="str">
        <f t="array" ref="Q616">IF(NOW()&gt;BB616,"",IF(AND((WEEKDAY($A616)+$B$2)&gt;1,((WEEKDAY($A616)+$T$2)&lt;7),(WEEKDAY($A616)&lt;&gt;1)),"work",(INDEX(Subject!$A:$I,MATCH(RANDBETWEEN(1,(MAX(Subject!$B:$B))),Subject!$B:$B,0),3))))</f>
        <v/>
      </c>
      <c r="R616" s="2" t="str">
        <f t="array" ref="R616">IF(NOW()&gt;BC616,"",IF(AND((WEEKDAY($A616)+$B$2)&gt;1,((WEEKDAY($A616)+$T$2)&lt;7),(WEEKDAY($A616)&lt;&gt;1)),"work",(INDEX(Subject!$A:$I,MATCH(RANDBETWEEN(1,(MAX(Subject!$B:$B))),Subject!$B:$B,0),3))))</f>
        <v/>
      </c>
      <c r="S616" s="2" t="str">
        <f t="array" ref="S616">IF(NOW()&gt;BD616,"",IF(AND((WEEKDAY($A616)+$B$2)&gt;1,((WEEKDAY($A616)+$T$2)&lt;7),(WEEKDAY($A616)&lt;&gt;1)),"work",(INDEX(Subject!$A:$I,MATCH(RANDBETWEEN(1,(MAX(Subject!$B:$B))),Subject!$B:$B,0),3))))</f>
        <v/>
      </c>
      <c r="T616" s="2" t="str">
        <f t="array" ref="T616">IF(NOW()&gt;BE616,"",IF(AND((WEEKDAY($A616)+$B$2)&gt;1,((WEEKDAY($A616)+$T$2)&lt;7),(WEEKDAY($A616)&lt;&gt;1)),"work",(INDEX(Subject!$A:$I,MATCH(RANDBETWEEN(1,(MAX(Subject!$B:$B))),Subject!$B:$B,0),3))))</f>
        <v/>
      </c>
      <c r="U616" s="8" t="str">
        <f t="array" ref="U616">INDEX(Subject!$A:$I,MATCH(RANDBETWEEN(1,16),Subject!$B:$B,0),3)</f>
        <v>#N/A</v>
      </c>
      <c r="V616" s="8" t="str">
        <f t="array" ref="V616">INDEX(Subject!$A:$I,MATCH(RANDBETWEEN(1,16),Subject!$B:$B,0),3)</f>
        <v/>
      </c>
      <c r="W616" s="8" t="str">
        <f t="array" ref="W616">INDEX(Subject!$A:$I,MATCH(RANDBETWEEN(1,16),Subject!$B:$B,0),3)</f>
        <v>#N/A</v>
      </c>
      <c r="X616" s="8" t="str">
        <f t="array" ref="X616">INDEX(Subject!$A:$I,MATCH(RANDBETWEEN(1,16),Subject!$B:$B,0),3)</f>
        <v>#N/A</v>
      </c>
      <c r="Y616" s="8" t="str">
        <f t="array" ref="Y616">INDEX(Subject!$A:$I,MATCH(RANDBETWEEN(1,16),Subject!$B:$B,0),3)</f>
        <v>#N/A</v>
      </c>
      <c r="Z616" s="8" t="str">
        <f t="array" ref="Z616">INDEX(Subject!$A:$I,MATCH(RANDBETWEEN(1,16),Subject!$B:$B,0),3)</f>
        <v>#N/A</v>
      </c>
      <c r="AA616" s="8" t="str">
        <f t="array" ref="AA616">INDEX(Subject!$A:$I,MATCH(RANDBETWEEN(1,16),Subject!$B:$B,0),3)</f>
        <v>#N/A</v>
      </c>
      <c r="AB616" s="8" t="str">
        <f t="array" ref="AB616">INDEX(Subject!$A:$I,MATCH(RANDBETWEEN(1,16),Subject!$B:$B,0),3)</f>
        <v>#N/A</v>
      </c>
      <c r="AC616" s="8" t="str">
        <f t="array" ref="AC616">INDEX(Subject!$A:$I,MATCH(RANDBETWEEN(1,16),Subject!$B:$B,0),3)</f>
        <v>#N/A</v>
      </c>
      <c r="AD616" s="8" t="str">
        <f t="array" ref="AD616">INDEX(Subject!$A:$I,MATCH(RANDBETWEEN(1,16),Subject!$B:$B,0),3)</f>
        <v>#N/A</v>
      </c>
      <c r="AE616" s="8" t="str">
        <f t="array" ref="AE616">INDEX(Subject!$A:$I,MATCH(RANDBETWEEN(1,16),Subject!$B:$B,0),3)</f>
        <v>#N/A</v>
      </c>
      <c r="AF616" s="8" t="str">
        <f t="array" ref="AF616">INDEX(Subject!$A:$I,MATCH(RANDBETWEEN(1,16),Subject!$B:$B,0),3)</f>
        <v>#N/A</v>
      </c>
      <c r="AG616" s="8" t="str">
        <f t="array" ref="AG616">INDEX(Subject!$A:$I,MATCH(RANDBETWEEN(1,16),Subject!$B:$B,0),3)</f>
        <v>#N/A</v>
      </c>
      <c r="AH616" s="8" t="str">
        <f t="array" ref="AH616">INDEX(Subject!$A:$I,MATCH(RANDBETWEEN(1,16),Subject!$B:$B,0),3)</f>
        <v>#N/A</v>
      </c>
      <c r="AI616" s="8" t="str">
        <f t="array" ref="AI616">INDEX(Subject!$A:$I,MATCH(RANDBETWEEN(1,16),Subject!$B:$B,0),3)</f>
        <v>#N/A</v>
      </c>
      <c r="AJ616" s="8" t="str">
        <f t="array" ref="AJ616">INDEX(Subject!$A:$I,MATCH(RANDBETWEEN(1,16),Subject!$B:$B,0),3)</f>
        <v>#N/A</v>
      </c>
      <c r="AK616" s="8" t="str">
        <f t="array" ref="AK616">INDEX(Subject!$A:$I,MATCH(RANDBETWEEN(1,16),Subject!$B:$B,0),3)</f>
        <v>#N/A</v>
      </c>
      <c r="AL616" s="8" t="str">
        <f t="array" ref="AL616">INDEX(Subject!$A:$I,MATCH(RANDBETWEEN(1,16),Subject!$B:$B,0),3)</f>
        <v>#N/A</v>
      </c>
      <c r="AM616" s="18">
        <f t="shared" si="4"/>
        <v>46116.33333</v>
      </c>
      <c r="AN616" s="19">
        <f t="shared" ref="AN616:BZ616" si="616">$A616+C$1</f>
        <v>46116.35417</v>
      </c>
      <c r="AO616" s="19">
        <f t="shared" si="616"/>
        <v>46116.375</v>
      </c>
      <c r="AP616" s="19">
        <f t="shared" si="616"/>
        <v>46116.39583</v>
      </c>
      <c r="AQ616" s="19">
        <f t="shared" si="616"/>
        <v>46116.41667</v>
      </c>
      <c r="AR616" s="19">
        <f t="shared" si="616"/>
        <v>46116.4375</v>
      </c>
      <c r="AS616" s="19">
        <f t="shared" si="616"/>
        <v>46116.45833</v>
      </c>
      <c r="AT616" s="19">
        <f t="shared" si="616"/>
        <v>46116.47917</v>
      </c>
      <c r="AU616" s="19">
        <f t="shared" si="616"/>
        <v>46116.5</v>
      </c>
      <c r="AV616" s="19">
        <f t="shared" si="616"/>
        <v>46116.52083</v>
      </c>
      <c r="AW616" s="19">
        <f t="shared" si="616"/>
        <v>46116.54167</v>
      </c>
      <c r="AX616" s="19">
        <f t="shared" si="616"/>
        <v>46116.5625</v>
      </c>
      <c r="AY616" s="19">
        <f t="shared" si="616"/>
        <v>46116.58333</v>
      </c>
      <c r="AZ616" s="19">
        <f t="shared" si="616"/>
        <v>46116.60417</v>
      </c>
      <c r="BA616" s="19">
        <f t="shared" si="616"/>
        <v>46116.625</v>
      </c>
      <c r="BB616" s="19">
        <f t="shared" si="616"/>
        <v>46116.64583</v>
      </c>
      <c r="BC616" s="19">
        <f t="shared" si="616"/>
        <v>46116.66667</v>
      </c>
      <c r="BD616" s="19">
        <f t="shared" si="616"/>
        <v>46116.6875</v>
      </c>
      <c r="BE616" s="19">
        <f t="shared" si="616"/>
        <v>46116.70833</v>
      </c>
      <c r="BF616" s="19">
        <f t="shared" si="616"/>
        <v>46116.72917</v>
      </c>
      <c r="BG616" s="19">
        <f t="shared" si="616"/>
        <v>46116.75</v>
      </c>
      <c r="BH616" s="19">
        <f t="shared" si="616"/>
        <v>46116.77083</v>
      </c>
      <c r="BI616" s="19">
        <f t="shared" si="616"/>
        <v>46116.79167</v>
      </c>
      <c r="BJ616" s="19">
        <f t="shared" si="616"/>
        <v>46116.8125</v>
      </c>
      <c r="BK616" s="19">
        <f t="shared" si="616"/>
        <v>46116.83333</v>
      </c>
      <c r="BL616" s="19">
        <f t="shared" si="616"/>
        <v>46116.85417</v>
      </c>
      <c r="BM616" s="19">
        <f t="shared" si="616"/>
        <v>46116.875</v>
      </c>
      <c r="BN616" s="19">
        <f t="shared" si="616"/>
        <v>46116.89583</v>
      </c>
      <c r="BO616" s="19">
        <f t="shared" si="616"/>
        <v>46116.91667</v>
      </c>
      <c r="BP616" s="19">
        <f t="shared" si="616"/>
        <v>46116.9375</v>
      </c>
      <c r="BQ616" s="19">
        <f t="shared" si="616"/>
        <v>46116.95833</v>
      </c>
      <c r="BR616" s="19">
        <f t="shared" si="616"/>
        <v>46116.97917</v>
      </c>
      <c r="BS616" s="19">
        <f t="shared" si="616"/>
        <v>46117</v>
      </c>
      <c r="BT616" s="19">
        <f t="shared" si="616"/>
        <v>46117.02083</v>
      </c>
      <c r="BU616" s="19">
        <f t="shared" si="616"/>
        <v>46117.04167</v>
      </c>
      <c r="BV616" s="19">
        <f t="shared" si="616"/>
        <v>46117.0625</v>
      </c>
      <c r="BW616" s="19">
        <f t="shared" si="616"/>
        <v>46117.08333</v>
      </c>
      <c r="BX616" s="19">
        <f t="shared" si="616"/>
        <v>46116</v>
      </c>
      <c r="BY616" s="19">
        <f t="shared" si="616"/>
        <v>46116</v>
      </c>
      <c r="BZ616" s="19">
        <f t="shared" si="616"/>
        <v>46116</v>
      </c>
    </row>
    <row r="617" ht="14.25" customHeight="1">
      <c r="A617" s="17">
        <v>46117.0</v>
      </c>
      <c r="B617" s="2" t="str">
        <f t="array" ref="B617">IF(NOW()&gt;AM617,"",IF(AND((WEEKDAY($A617)+$B$2)&gt;1,((WEEKDAY($A617)+$T$2)&lt;7),(WEEKDAY($A617)&lt;&gt;1)),"work",(INDEX(Subject!$A:$I,MATCH(RANDBETWEEN(1,(MAX(Subject!$B:$B))),Subject!$B:$B,0),3))))</f>
        <v/>
      </c>
      <c r="C617" s="2" t="str">
        <f t="array" ref="C617">IF(NOW()&gt;AN617,"",IF(AND((WEEKDAY($A617)+$B$2)&gt;1,((WEEKDAY($A617)+$T$2)&lt;7),(WEEKDAY($A617)&lt;&gt;1)),"work",(INDEX(Subject!$A:$I,MATCH(RANDBETWEEN(1,(MAX(Subject!$B:$B))),Subject!$B:$B,0),3))))</f>
        <v/>
      </c>
      <c r="D617" s="2" t="str">
        <f t="array" ref="D617">IF(NOW()&gt;AO617,"",IF(AND((WEEKDAY($A617)+$B$2)&gt;1,((WEEKDAY($A617)+$T$2)&lt;7),(WEEKDAY($A617)&lt;&gt;1)),"work",(INDEX(Subject!$A:$I,MATCH(RANDBETWEEN(1,(MAX(Subject!$B:$B))),Subject!$B:$B,0),3))))</f>
        <v/>
      </c>
      <c r="E617" s="2" t="str">
        <f t="array" ref="E617">IF(NOW()&gt;AP617,"",IF(AND((WEEKDAY($A617)+$B$2)&gt;1,((WEEKDAY($A617)+$T$2)&lt;7),(WEEKDAY($A617)&lt;&gt;1)),"work",(INDEX(Subject!$A:$I,MATCH(RANDBETWEEN(1,(MAX(Subject!$B:$B))),Subject!$B:$B,0),3))))</f>
        <v/>
      </c>
      <c r="F617" s="2" t="str">
        <f t="array" ref="F617">IF(NOW()&gt;AQ617,"",IF(AND((WEEKDAY($A617)+$B$2)&gt;1,((WEEKDAY($A617)+$T$2)&lt;7),(WEEKDAY($A617)&lt;&gt;1)),"work",(INDEX(Subject!$A:$I,MATCH(RANDBETWEEN(1,(MAX(Subject!$B:$B))),Subject!$B:$B,0),3))))</f>
        <v/>
      </c>
      <c r="G617" s="2" t="str">
        <f t="array" ref="G617">IF(NOW()&gt;AR617,"",IF(AND((WEEKDAY($A617)+$B$2)&gt;1,((WEEKDAY($A617)+$T$2)&lt;7),(WEEKDAY($A617)&lt;&gt;1)),"work",(INDEX(Subject!$A:$I,MATCH(RANDBETWEEN(1,(MAX(Subject!$B:$B))),Subject!$B:$B,0),3))))</f>
        <v/>
      </c>
      <c r="H617" s="2" t="str">
        <f t="array" ref="H617">IF(NOW()&gt;AS617,"",IF(AND((WEEKDAY($A617)+$B$2)&gt;1,((WEEKDAY($A617)+$T$2)&lt;7),(WEEKDAY($A617)&lt;&gt;1)),"work",(INDEX(Subject!$A:$I,MATCH(RANDBETWEEN(1,(MAX(Subject!$B:$B))),Subject!$B:$B,0),3))))</f>
        <v/>
      </c>
      <c r="I617" s="2" t="str">
        <f t="array" ref="I617">IF(NOW()&gt;AT617,"",IF(AND((WEEKDAY($A617)+$B$2)&gt;1,((WEEKDAY($A617)+$T$2)&lt;7),(WEEKDAY($A617)&lt;&gt;1)),"work",(INDEX(Subject!$A:$I,MATCH(RANDBETWEEN(1,(MAX(Subject!$B:$B))),Subject!$B:$B,0),3))))</f>
        <v/>
      </c>
      <c r="J617" s="2" t="str">
        <f t="array" ref="J617">IF(NOW()&gt;AU617,"",IF(AND((WEEKDAY($A617)+$B$2)&gt;1,((WEEKDAY($A617)+$T$2)&lt;7),(WEEKDAY($A617)&lt;&gt;1)),"work",(INDEX(Subject!$A:$I,MATCH(RANDBETWEEN(1,(MAX(Subject!$B:$B))),Subject!$B:$B,0),3))))</f>
        <v/>
      </c>
      <c r="K617" s="2" t="str">
        <f t="array" ref="K617">IF(NOW()&gt;AV617,"",IF(AND((WEEKDAY($A617)+$B$2)&gt;1,((WEEKDAY($A617)+$T$2)&lt;7),(WEEKDAY($A617)&lt;&gt;1)),"work",(INDEX(Subject!$A:$I,MATCH(RANDBETWEEN(1,(MAX(Subject!$B:$B))),Subject!$B:$B,0),3))))</f>
        <v/>
      </c>
      <c r="L617" s="2" t="str">
        <f t="array" ref="L617">IF(NOW()&gt;AW617,"",IF(AND((WEEKDAY($A617)+$B$2)&gt;1,((WEEKDAY($A617)+$T$2)&lt;7),(WEEKDAY($A617)&lt;&gt;1)),"work",(INDEX(Subject!$A:$I,MATCH(RANDBETWEEN(1,(MAX(Subject!$B:$B))),Subject!$B:$B,0),3))))</f>
        <v/>
      </c>
      <c r="M617" s="2" t="str">
        <f t="array" ref="M617">IF(NOW()&gt;AX617,"",IF(AND((WEEKDAY($A617)+$B$2)&gt;1,((WEEKDAY($A617)+$T$2)&lt;7),(WEEKDAY($A617)&lt;&gt;1)),"work",(INDEX(Subject!$A:$I,MATCH(RANDBETWEEN(1,(MAX(Subject!$B:$B))),Subject!$B:$B,0),3))))</f>
        <v/>
      </c>
      <c r="N617" s="2" t="str">
        <f t="array" ref="N617">IF(NOW()&gt;AY617,"",IF(AND((WEEKDAY($A617)+$B$2)&gt;1,((WEEKDAY($A617)+$T$2)&lt;7),(WEEKDAY($A617)&lt;&gt;1)),"work",(INDEX(Subject!$A:$I,MATCH(RANDBETWEEN(1,(MAX(Subject!$B:$B))),Subject!$B:$B,0),3))))</f>
        <v/>
      </c>
      <c r="O617" s="2" t="str">
        <f t="array" ref="O617">IF(NOW()&gt;AZ617,"",IF(AND((WEEKDAY($A617)+$B$2)&gt;1,((WEEKDAY($A617)+$T$2)&lt;7),(WEEKDAY($A617)&lt;&gt;1)),"work",(INDEX(Subject!$A:$I,MATCH(RANDBETWEEN(1,(MAX(Subject!$B:$B))),Subject!$B:$B,0),3))))</f>
        <v/>
      </c>
      <c r="P617" s="2" t="str">
        <f t="array" ref="P617">IF(NOW()&gt;BA617,"",IF(AND((WEEKDAY($A617)+$B$2)&gt;1,((WEEKDAY($A617)+$T$2)&lt;7),(WEEKDAY($A617)&lt;&gt;1)),"work",(INDEX(Subject!$A:$I,MATCH(RANDBETWEEN(1,(MAX(Subject!$B:$B))),Subject!$B:$B,0),3))))</f>
        <v/>
      </c>
      <c r="Q617" s="2" t="str">
        <f t="array" ref="Q617">IF(NOW()&gt;BB617,"",IF(AND((WEEKDAY($A617)+$B$2)&gt;1,((WEEKDAY($A617)+$T$2)&lt;7),(WEEKDAY($A617)&lt;&gt;1)),"work",(INDEX(Subject!$A:$I,MATCH(RANDBETWEEN(1,(MAX(Subject!$B:$B))),Subject!$B:$B,0),3))))</f>
        <v/>
      </c>
      <c r="R617" s="2" t="str">
        <f t="array" ref="R617">IF(NOW()&gt;BC617,"",IF(AND((WEEKDAY($A617)+$B$2)&gt;1,((WEEKDAY($A617)+$T$2)&lt;7),(WEEKDAY($A617)&lt;&gt;1)),"work",(INDEX(Subject!$A:$I,MATCH(RANDBETWEEN(1,(MAX(Subject!$B:$B))),Subject!$B:$B,0),3))))</f>
        <v/>
      </c>
      <c r="S617" s="2" t="str">
        <f t="array" ref="S617">IF(NOW()&gt;BD617,"",IF(AND((WEEKDAY($A617)+$B$2)&gt;1,((WEEKDAY($A617)+$T$2)&lt;7),(WEEKDAY($A617)&lt;&gt;1)),"work",(INDEX(Subject!$A:$I,MATCH(RANDBETWEEN(1,(MAX(Subject!$B:$B))),Subject!$B:$B,0),3))))</f>
        <v/>
      </c>
      <c r="T617" s="2" t="str">
        <f t="array" ref="T617">IF(NOW()&gt;BE617,"",IF(AND((WEEKDAY($A617)+$B$2)&gt;1,((WEEKDAY($A617)+$T$2)&lt;7),(WEEKDAY($A617)&lt;&gt;1)),"work",(INDEX(Subject!$A:$I,MATCH(RANDBETWEEN(1,(MAX(Subject!$B:$B))),Subject!$B:$B,0),3))))</f>
        <v/>
      </c>
      <c r="U617" s="8" t="str">
        <f t="array" ref="U617">INDEX(Subject!$A:$I,MATCH(RANDBETWEEN(1,16),Subject!$B:$B,0),3)</f>
        <v>#N/A</v>
      </c>
      <c r="V617" s="8" t="str">
        <f t="array" ref="V617">INDEX(Subject!$A:$I,MATCH(RANDBETWEEN(1,16),Subject!$B:$B,0),3)</f>
        <v>#N/A</v>
      </c>
      <c r="W617" s="8" t="str">
        <f t="array" ref="W617">INDEX(Subject!$A:$I,MATCH(RANDBETWEEN(1,16),Subject!$B:$B,0),3)</f>
        <v>#N/A</v>
      </c>
      <c r="X617" s="8" t="str">
        <f t="array" ref="X617">INDEX(Subject!$A:$I,MATCH(RANDBETWEEN(1,16),Subject!$B:$B,0),3)</f>
        <v>#N/A</v>
      </c>
      <c r="Y617" s="8" t="str">
        <f t="array" ref="Y617">INDEX(Subject!$A:$I,MATCH(RANDBETWEEN(1,16),Subject!$B:$B,0),3)</f>
        <v>#N/A</v>
      </c>
      <c r="Z617" s="8" t="str">
        <f t="array" ref="Z617">INDEX(Subject!$A:$I,MATCH(RANDBETWEEN(1,16),Subject!$B:$B,0),3)</f>
        <v>#N/A</v>
      </c>
      <c r="AA617" s="8" t="str">
        <f t="array" ref="AA617">INDEX(Subject!$A:$I,MATCH(RANDBETWEEN(1,16),Subject!$B:$B,0),3)</f>
        <v>#N/A</v>
      </c>
      <c r="AB617" s="8" t="str">
        <f t="array" ref="AB617">INDEX(Subject!$A:$I,MATCH(RANDBETWEEN(1,16),Subject!$B:$B,0),3)</f>
        <v>#N/A</v>
      </c>
      <c r="AC617" s="8" t="str">
        <f t="array" ref="AC617">INDEX(Subject!$A:$I,MATCH(RANDBETWEEN(1,16),Subject!$B:$B,0),3)</f>
        <v>#N/A</v>
      </c>
      <c r="AD617" s="8" t="str">
        <f t="array" ref="AD617">INDEX(Subject!$A:$I,MATCH(RANDBETWEEN(1,16),Subject!$B:$B,0),3)</f>
        <v>#N/A</v>
      </c>
      <c r="AE617" s="8" t="str">
        <f t="array" ref="AE617">INDEX(Subject!$A:$I,MATCH(RANDBETWEEN(1,16),Subject!$B:$B,0),3)</f>
        <v>#N/A</v>
      </c>
      <c r="AF617" s="8" t="str">
        <f t="array" ref="AF617">INDEX(Subject!$A:$I,MATCH(RANDBETWEEN(1,16),Subject!$B:$B,0),3)</f>
        <v>#N/A</v>
      </c>
      <c r="AG617" s="8" t="str">
        <f t="array" ref="AG617">INDEX(Subject!$A:$I,MATCH(RANDBETWEEN(1,16),Subject!$B:$B,0),3)</f>
        <v>#N/A</v>
      </c>
      <c r="AH617" s="8" t="str">
        <f t="array" ref="AH617">INDEX(Subject!$A:$I,MATCH(RANDBETWEEN(1,16),Subject!$B:$B,0),3)</f>
        <v>#N/A</v>
      </c>
      <c r="AI617" s="8" t="str">
        <f t="array" ref="AI617">INDEX(Subject!$A:$I,MATCH(RANDBETWEEN(1,16),Subject!$B:$B,0),3)</f>
        <v>#N/A</v>
      </c>
      <c r="AJ617" s="8" t="str">
        <f t="array" ref="AJ617">INDEX(Subject!$A:$I,MATCH(RANDBETWEEN(1,16),Subject!$B:$B,0),3)</f>
        <v>#N/A</v>
      </c>
      <c r="AK617" s="8" t="str">
        <f t="array" ref="AK617">INDEX(Subject!$A:$I,MATCH(RANDBETWEEN(1,16),Subject!$B:$B,0),3)</f>
        <v>#N/A</v>
      </c>
      <c r="AL617" s="8" t="str">
        <f t="array" ref="AL617">INDEX(Subject!$A:$I,MATCH(RANDBETWEEN(1,16),Subject!$B:$B,0),3)</f>
        <v/>
      </c>
      <c r="AM617" s="18">
        <f t="shared" si="4"/>
        <v>46117.33333</v>
      </c>
      <c r="AN617" s="19">
        <f t="shared" ref="AN617:BZ617" si="617">$A617+C$1</f>
        <v>46117.35417</v>
      </c>
      <c r="AO617" s="19">
        <f t="shared" si="617"/>
        <v>46117.375</v>
      </c>
      <c r="AP617" s="19">
        <f t="shared" si="617"/>
        <v>46117.39583</v>
      </c>
      <c r="AQ617" s="19">
        <f t="shared" si="617"/>
        <v>46117.41667</v>
      </c>
      <c r="AR617" s="19">
        <f t="shared" si="617"/>
        <v>46117.4375</v>
      </c>
      <c r="AS617" s="19">
        <f t="shared" si="617"/>
        <v>46117.45833</v>
      </c>
      <c r="AT617" s="19">
        <f t="shared" si="617"/>
        <v>46117.47917</v>
      </c>
      <c r="AU617" s="19">
        <f t="shared" si="617"/>
        <v>46117.5</v>
      </c>
      <c r="AV617" s="19">
        <f t="shared" si="617"/>
        <v>46117.52083</v>
      </c>
      <c r="AW617" s="19">
        <f t="shared" si="617"/>
        <v>46117.54167</v>
      </c>
      <c r="AX617" s="19">
        <f t="shared" si="617"/>
        <v>46117.5625</v>
      </c>
      <c r="AY617" s="19">
        <f t="shared" si="617"/>
        <v>46117.58333</v>
      </c>
      <c r="AZ617" s="19">
        <f t="shared" si="617"/>
        <v>46117.60417</v>
      </c>
      <c r="BA617" s="19">
        <f t="shared" si="617"/>
        <v>46117.625</v>
      </c>
      <c r="BB617" s="19">
        <f t="shared" si="617"/>
        <v>46117.64583</v>
      </c>
      <c r="BC617" s="19">
        <f t="shared" si="617"/>
        <v>46117.66667</v>
      </c>
      <c r="BD617" s="19">
        <f t="shared" si="617"/>
        <v>46117.6875</v>
      </c>
      <c r="BE617" s="19">
        <f t="shared" si="617"/>
        <v>46117.70833</v>
      </c>
      <c r="BF617" s="19">
        <f t="shared" si="617"/>
        <v>46117.72917</v>
      </c>
      <c r="BG617" s="19">
        <f t="shared" si="617"/>
        <v>46117.75</v>
      </c>
      <c r="BH617" s="19">
        <f t="shared" si="617"/>
        <v>46117.77083</v>
      </c>
      <c r="BI617" s="19">
        <f t="shared" si="617"/>
        <v>46117.79167</v>
      </c>
      <c r="BJ617" s="19">
        <f t="shared" si="617"/>
        <v>46117.8125</v>
      </c>
      <c r="BK617" s="19">
        <f t="shared" si="617"/>
        <v>46117.83333</v>
      </c>
      <c r="BL617" s="19">
        <f t="shared" si="617"/>
        <v>46117.85417</v>
      </c>
      <c r="BM617" s="19">
        <f t="shared" si="617"/>
        <v>46117.875</v>
      </c>
      <c r="BN617" s="19">
        <f t="shared" si="617"/>
        <v>46117.89583</v>
      </c>
      <c r="BO617" s="19">
        <f t="shared" si="617"/>
        <v>46117.91667</v>
      </c>
      <c r="BP617" s="19">
        <f t="shared" si="617"/>
        <v>46117.9375</v>
      </c>
      <c r="BQ617" s="19">
        <f t="shared" si="617"/>
        <v>46117.95833</v>
      </c>
      <c r="BR617" s="19">
        <f t="shared" si="617"/>
        <v>46117.97917</v>
      </c>
      <c r="BS617" s="19">
        <f t="shared" si="617"/>
        <v>46118</v>
      </c>
      <c r="BT617" s="19">
        <f t="shared" si="617"/>
        <v>46118.02083</v>
      </c>
      <c r="BU617" s="19">
        <f t="shared" si="617"/>
        <v>46118.04167</v>
      </c>
      <c r="BV617" s="19">
        <f t="shared" si="617"/>
        <v>46118.0625</v>
      </c>
      <c r="BW617" s="19">
        <f t="shared" si="617"/>
        <v>46118.08333</v>
      </c>
      <c r="BX617" s="19">
        <f t="shared" si="617"/>
        <v>46117</v>
      </c>
      <c r="BY617" s="19">
        <f t="shared" si="617"/>
        <v>46117</v>
      </c>
      <c r="BZ617" s="19">
        <f t="shared" si="617"/>
        <v>46117</v>
      </c>
    </row>
    <row r="618" ht="14.25" customHeight="1">
      <c r="A618" s="17">
        <v>46118.0</v>
      </c>
      <c r="B618" s="2" t="str">
        <f t="array" ref="B618">IF(NOW()&gt;AM618,"",IF(AND((WEEKDAY($A618)+$B$2)&gt;1,((WEEKDAY($A618)+$T$2)&lt;7),(WEEKDAY($A618)&lt;&gt;1)),"work",(INDEX(Subject!$A:$I,MATCH(RANDBETWEEN(1,(MAX(Subject!$B:$B))),Subject!$B:$B,0),3))))</f>
        <v/>
      </c>
      <c r="C618" s="2" t="str">
        <f t="array" ref="C618">IF(NOW()&gt;AN618,"",IF(AND((WEEKDAY($A618)+$B$2)&gt;1,((WEEKDAY($A618)+$T$2)&lt;7),(WEEKDAY($A618)&lt;&gt;1)),"work",(INDEX(Subject!$A:$I,MATCH(RANDBETWEEN(1,(MAX(Subject!$B:$B))),Subject!$B:$B,0),3))))</f>
        <v/>
      </c>
      <c r="D618" s="2" t="str">
        <f t="array" ref="D618">IF(NOW()&gt;AO618,"",IF(AND((WEEKDAY($A618)+$B$2)&gt;1,((WEEKDAY($A618)+$T$2)&lt;7),(WEEKDAY($A618)&lt;&gt;1)),"work",(INDEX(Subject!$A:$I,MATCH(RANDBETWEEN(1,(MAX(Subject!$B:$B))),Subject!$B:$B,0),3))))</f>
        <v/>
      </c>
      <c r="E618" s="2" t="str">
        <f t="array" ref="E618">IF(NOW()&gt;AP618,"",IF(AND((WEEKDAY($A618)+$B$2)&gt;1,((WEEKDAY($A618)+$T$2)&lt;7),(WEEKDAY($A618)&lt;&gt;1)),"work",(INDEX(Subject!$A:$I,MATCH(RANDBETWEEN(1,(MAX(Subject!$B:$B))),Subject!$B:$B,0),3))))</f>
        <v/>
      </c>
      <c r="F618" s="2" t="str">
        <f t="array" ref="F618">IF(NOW()&gt;AQ618,"",IF(AND((WEEKDAY($A618)+$B$2)&gt;1,((WEEKDAY($A618)+$T$2)&lt;7),(WEEKDAY($A618)&lt;&gt;1)),"work",(INDEX(Subject!$A:$I,MATCH(RANDBETWEEN(1,(MAX(Subject!$B:$B))),Subject!$B:$B,0),3))))</f>
        <v/>
      </c>
      <c r="G618" s="2" t="str">
        <f t="array" ref="G618">IF(NOW()&gt;AR618,"",IF(AND((WEEKDAY($A618)+$B$2)&gt;1,((WEEKDAY($A618)+$T$2)&lt;7),(WEEKDAY($A618)&lt;&gt;1)),"work",(INDEX(Subject!$A:$I,MATCH(RANDBETWEEN(1,(MAX(Subject!$B:$B))),Subject!$B:$B,0),3))))</f>
        <v/>
      </c>
      <c r="H618" s="2" t="str">
        <f t="array" ref="H618">IF(NOW()&gt;AS618,"",IF(AND((WEEKDAY($A618)+$B$2)&gt;1,((WEEKDAY($A618)+$T$2)&lt;7),(WEEKDAY($A618)&lt;&gt;1)),"work",(INDEX(Subject!$A:$I,MATCH(RANDBETWEEN(1,(MAX(Subject!$B:$B))),Subject!$B:$B,0),3))))</f>
        <v/>
      </c>
      <c r="I618" s="2" t="str">
        <f t="array" ref="I618">IF(NOW()&gt;AT618,"",IF(AND((WEEKDAY($A618)+$B$2)&gt;1,((WEEKDAY($A618)+$T$2)&lt;7),(WEEKDAY($A618)&lt;&gt;1)),"work",(INDEX(Subject!$A:$I,MATCH(RANDBETWEEN(1,(MAX(Subject!$B:$B))),Subject!$B:$B,0),3))))</f>
        <v/>
      </c>
      <c r="J618" s="2" t="str">
        <f t="array" ref="J618">IF(NOW()&gt;AU618,"",IF(AND((WEEKDAY($A618)+$B$2)&gt;1,((WEEKDAY($A618)+$T$2)&lt;7),(WEEKDAY($A618)&lt;&gt;1)),"work",(INDEX(Subject!$A:$I,MATCH(RANDBETWEEN(1,(MAX(Subject!$B:$B))),Subject!$B:$B,0),3))))</f>
        <v/>
      </c>
      <c r="K618" s="2" t="str">
        <f t="array" ref="K618">IF(NOW()&gt;AV618,"",IF(AND((WEEKDAY($A618)+$B$2)&gt;1,((WEEKDAY($A618)+$T$2)&lt;7),(WEEKDAY($A618)&lt;&gt;1)),"work",(INDEX(Subject!$A:$I,MATCH(RANDBETWEEN(1,(MAX(Subject!$B:$B))),Subject!$B:$B,0),3))))</f>
        <v/>
      </c>
      <c r="L618" s="2" t="str">
        <f t="array" ref="L618">IF(NOW()&gt;AW618,"",IF(AND((WEEKDAY($A618)+$B$2)&gt;1,((WEEKDAY($A618)+$T$2)&lt;7),(WEEKDAY($A618)&lt;&gt;1)),"work",(INDEX(Subject!$A:$I,MATCH(RANDBETWEEN(1,(MAX(Subject!$B:$B))),Subject!$B:$B,0),3))))</f>
        <v/>
      </c>
      <c r="M618" s="2" t="str">
        <f t="array" ref="M618">IF(NOW()&gt;AX618,"",IF(AND((WEEKDAY($A618)+$B$2)&gt;1,((WEEKDAY($A618)+$T$2)&lt;7),(WEEKDAY($A618)&lt;&gt;1)),"work",(INDEX(Subject!$A:$I,MATCH(RANDBETWEEN(1,(MAX(Subject!$B:$B))),Subject!$B:$B,0),3))))</f>
        <v/>
      </c>
      <c r="N618" s="2" t="str">
        <f t="array" ref="N618">IF(NOW()&gt;AY618,"",IF(AND((WEEKDAY($A618)+$B$2)&gt;1,((WEEKDAY($A618)+$T$2)&lt;7),(WEEKDAY($A618)&lt;&gt;1)),"work",(INDEX(Subject!$A:$I,MATCH(RANDBETWEEN(1,(MAX(Subject!$B:$B))),Subject!$B:$B,0),3))))</f>
        <v/>
      </c>
      <c r="O618" s="2" t="str">
        <f t="array" ref="O618">IF(NOW()&gt;AZ618,"",IF(AND((WEEKDAY($A618)+$B$2)&gt;1,((WEEKDAY($A618)+$T$2)&lt;7),(WEEKDAY($A618)&lt;&gt;1)),"work",(INDEX(Subject!$A:$I,MATCH(RANDBETWEEN(1,(MAX(Subject!$B:$B))),Subject!$B:$B,0),3))))</f>
        <v/>
      </c>
      <c r="P618" s="2" t="str">
        <f t="array" ref="P618">IF(NOW()&gt;BA618,"",IF(AND((WEEKDAY($A618)+$B$2)&gt;1,((WEEKDAY($A618)+$T$2)&lt;7),(WEEKDAY($A618)&lt;&gt;1)),"work",(INDEX(Subject!$A:$I,MATCH(RANDBETWEEN(1,(MAX(Subject!$B:$B))),Subject!$B:$B,0),3))))</f>
        <v/>
      </c>
      <c r="Q618" s="2" t="str">
        <f t="array" ref="Q618">IF(NOW()&gt;BB618,"",IF(AND((WEEKDAY($A618)+$B$2)&gt;1,((WEEKDAY($A618)+$T$2)&lt;7),(WEEKDAY($A618)&lt;&gt;1)),"work",(INDEX(Subject!$A:$I,MATCH(RANDBETWEEN(1,(MAX(Subject!$B:$B))),Subject!$B:$B,0),3))))</f>
        <v/>
      </c>
      <c r="R618" s="2" t="str">
        <f t="array" ref="R618">IF(NOW()&gt;BC618,"",IF(AND((WEEKDAY($A618)+$B$2)&gt;1,((WEEKDAY($A618)+$T$2)&lt;7),(WEEKDAY($A618)&lt;&gt;1)),"work",(INDEX(Subject!$A:$I,MATCH(RANDBETWEEN(1,(MAX(Subject!$B:$B))),Subject!$B:$B,0),3))))</f>
        <v/>
      </c>
      <c r="S618" s="2" t="str">
        <f t="array" ref="S618">IF(NOW()&gt;BD618,"",IF(AND((WEEKDAY($A618)+$B$2)&gt;1,((WEEKDAY($A618)+$T$2)&lt;7),(WEEKDAY($A618)&lt;&gt;1)),"work",(INDEX(Subject!$A:$I,MATCH(RANDBETWEEN(1,(MAX(Subject!$B:$B))),Subject!$B:$B,0),3))))</f>
        <v/>
      </c>
      <c r="T618" s="2" t="str">
        <f t="array" ref="T618">IF(NOW()&gt;BE618,"",IF(AND((WEEKDAY($A618)+$B$2)&gt;1,((WEEKDAY($A618)+$T$2)&lt;7),(WEEKDAY($A618)&lt;&gt;1)),"work",(INDEX(Subject!$A:$I,MATCH(RANDBETWEEN(1,(MAX(Subject!$B:$B))),Subject!$B:$B,0),3))))</f>
        <v/>
      </c>
      <c r="U618" s="8" t="str">
        <f t="array" ref="U618">INDEX(Subject!$A:$I,MATCH(RANDBETWEEN(1,16),Subject!$B:$B,0),3)</f>
        <v>#N/A</v>
      </c>
      <c r="V618" s="8" t="str">
        <f t="array" ref="V618">INDEX(Subject!$A:$I,MATCH(RANDBETWEEN(1,16),Subject!$B:$B,0),3)</f>
        <v>#N/A</v>
      </c>
      <c r="W618" s="8" t="str">
        <f t="array" ref="W618">INDEX(Subject!$A:$I,MATCH(RANDBETWEEN(1,16),Subject!$B:$B,0),3)</f>
        <v>#N/A</v>
      </c>
      <c r="X618" s="8" t="str">
        <f t="array" ref="X618">INDEX(Subject!$A:$I,MATCH(RANDBETWEEN(1,16),Subject!$B:$B,0),3)</f>
        <v>#N/A</v>
      </c>
      <c r="Y618" s="8" t="str">
        <f t="array" ref="Y618">INDEX(Subject!$A:$I,MATCH(RANDBETWEEN(1,16),Subject!$B:$B,0),3)</f>
        <v>#N/A</v>
      </c>
      <c r="Z618" s="8" t="str">
        <f t="array" ref="Z618">INDEX(Subject!$A:$I,MATCH(RANDBETWEEN(1,16),Subject!$B:$B,0),3)</f>
        <v>#N/A</v>
      </c>
      <c r="AA618" s="8" t="str">
        <f t="array" ref="AA618">INDEX(Subject!$A:$I,MATCH(RANDBETWEEN(1,16),Subject!$B:$B,0),3)</f>
        <v>#N/A</v>
      </c>
      <c r="AB618" s="8" t="str">
        <f t="array" ref="AB618">INDEX(Subject!$A:$I,MATCH(RANDBETWEEN(1,16),Subject!$B:$B,0),3)</f>
        <v>#N/A</v>
      </c>
      <c r="AC618" s="8" t="str">
        <f t="array" ref="AC618">INDEX(Subject!$A:$I,MATCH(RANDBETWEEN(1,16),Subject!$B:$B,0),3)</f>
        <v>#N/A</v>
      </c>
      <c r="AD618" s="8" t="str">
        <f t="array" ref="AD618">INDEX(Subject!$A:$I,MATCH(RANDBETWEEN(1,16),Subject!$B:$B,0),3)</f>
        <v/>
      </c>
      <c r="AE618" s="8" t="str">
        <f t="array" ref="AE618">INDEX(Subject!$A:$I,MATCH(RANDBETWEEN(1,16),Subject!$B:$B,0),3)</f>
        <v>#N/A</v>
      </c>
      <c r="AF618" s="8" t="str">
        <f t="array" ref="AF618">INDEX(Subject!$A:$I,MATCH(RANDBETWEEN(1,16),Subject!$B:$B,0),3)</f>
        <v>#N/A</v>
      </c>
      <c r="AG618" s="8" t="str">
        <f t="array" ref="AG618">INDEX(Subject!$A:$I,MATCH(RANDBETWEEN(1,16),Subject!$B:$B,0),3)</f>
        <v>#N/A</v>
      </c>
      <c r="AH618" s="8" t="str">
        <f t="array" ref="AH618">INDEX(Subject!$A:$I,MATCH(RANDBETWEEN(1,16),Subject!$B:$B,0),3)</f>
        <v>#N/A</v>
      </c>
      <c r="AI618" s="8" t="str">
        <f t="array" ref="AI618">INDEX(Subject!$A:$I,MATCH(RANDBETWEEN(1,16),Subject!$B:$B,0),3)</f>
        <v>#N/A</v>
      </c>
      <c r="AJ618" s="8" t="str">
        <f t="array" ref="AJ618">INDEX(Subject!$A:$I,MATCH(RANDBETWEEN(1,16),Subject!$B:$B,0),3)</f>
        <v>#N/A</v>
      </c>
      <c r="AK618" s="8" t="str">
        <f t="array" ref="AK618">INDEX(Subject!$A:$I,MATCH(RANDBETWEEN(1,16),Subject!$B:$B,0),3)</f>
        <v>#N/A</v>
      </c>
      <c r="AL618" s="8" t="str">
        <f t="array" ref="AL618">INDEX(Subject!$A:$I,MATCH(RANDBETWEEN(1,16),Subject!$B:$B,0),3)</f>
        <v/>
      </c>
      <c r="AM618" s="18">
        <f t="shared" si="4"/>
        <v>46118.33333</v>
      </c>
      <c r="AN618" s="19">
        <f t="shared" ref="AN618:BZ618" si="618">$A618+C$1</f>
        <v>46118.35417</v>
      </c>
      <c r="AO618" s="19">
        <f t="shared" si="618"/>
        <v>46118.375</v>
      </c>
      <c r="AP618" s="19">
        <f t="shared" si="618"/>
        <v>46118.39583</v>
      </c>
      <c r="AQ618" s="19">
        <f t="shared" si="618"/>
        <v>46118.41667</v>
      </c>
      <c r="AR618" s="19">
        <f t="shared" si="618"/>
        <v>46118.4375</v>
      </c>
      <c r="AS618" s="19">
        <f t="shared" si="618"/>
        <v>46118.45833</v>
      </c>
      <c r="AT618" s="19">
        <f t="shared" si="618"/>
        <v>46118.47917</v>
      </c>
      <c r="AU618" s="19">
        <f t="shared" si="618"/>
        <v>46118.5</v>
      </c>
      <c r="AV618" s="19">
        <f t="shared" si="618"/>
        <v>46118.52083</v>
      </c>
      <c r="AW618" s="19">
        <f t="shared" si="618"/>
        <v>46118.54167</v>
      </c>
      <c r="AX618" s="19">
        <f t="shared" si="618"/>
        <v>46118.5625</v>
      </c>
      <c r="AY618" s="19">
        <f t="shared" si="618"/>
        <v>46118.58333</v>
      </c>
      <c r="AZ618" s="19">
        <f t="shared" si="618"/>
        <v>46118.60417</v>
      </c>
      <c r="BA618" s="19">
        <f t="shared" si="618"/>
        <v>46118.625</v>
      </c>
      <c r="BB618" s="19">
        <f t="shared" si="618"/>
        <v>46118.64583</v>
      </c>
      <c r="BC618" s="19">
        <f t="shared" si="618"/>
        <v>46118.66667</v>
      </c>
      <c r="BD618" s="19">
        <f t="shared" si="618"/>
        <v>46118.6875</v>
      </c>
      <c r="BE618" s="19">
        <f t="shared" si="618"/>
        <v>46118.70833</v>
      </c>
      <c r="BF618" s="19">
        <f t="shared" si="618"/>
        <v>46118.72917</v>
      </c>
      <c r="BG618" s="19">
        <f t="shared" si="618"/>
        <v>46118.75</v>
      </c>
      <c r="BH618" s="19">
        <f t="shared" si="618"/>
        <v>46118.77083</v>
      </c>
      <c r="BI618" s="19">
        <f t="shared" si="618"/>
        <v>46118.79167</v>
      </c>
      <c r="BJ618" s="19">
        <f t="shared" si="618"/>
        <v>46118.8125</v>
      </c>
      <c r="BK618" s="19">
        <f t="shared" si="618"/>
        <v>46118.83333</v>
      </c>
      <c r="BL618" s="19">
        <f t="shared" si="618"/>
        <v>46118.85417</v>
      </c>
      <c r="BM618" s="19">
        <f t="shared" si="618"/>
        <v>46118.875</v>
      </c>
      <c r="BN618" s="19">
        <f t="shared" si="618"/>
        <v>46118.89583</v>
      </c>
      <c r="BO618" s="19">
        <f t="shared" si="618"/>
        <v>46118.91667</v>
      </c>
      <c r="BP618" s="19">
        <f t="shared" si="618"/>
        <v>46118.9375</v>
      </c>
      <c r="BQ618" s="19">
        <f t="shared" si="618"/>
        <v>46118.95833</v>
      </c>
      <c r="BR618" s="19">
        <f t="shared" si="618"/>
        <v>46118.97917</v>
      </c>
      <c r="BS618" s="19">
        <f t="shared" si="618"/>
        <v>46119</v>
      </c>
      <c r="BT618" s="19">
        <f t="shared" si="618"/>
        <v>46119.02083</v>
      </c>
      <c r="BU618" s="19">
        <f t="shared" si="618"/>
        <v>46119.04167</v>
      </c>
      <c r="BV618" s="19">
        <f t="shared" si="618"/>
        <v>46119.0625</v>
      </c>
      <c r="BW618" s="19">
        <f t="shared" si="618"/>
        <v>46119.08333</v>
      </c>
      <c r="BX618" s="19">
        <f t="shared" si="618"/>
        <v>46118</v>
      </c>
      <c r="BY618" s="19">
        <f t="shared" si="618"/>
        <v>46118</v>
      </c>
      <c r="BZ618" s="19">
        <f t="shared" si="618"/>
        <v>46118</v>
      </c>
    </row>
    <row r="619" ht="14.25" customHeight="1">
      <c r="A619" s="17">
        <v>46119.0</v>
      </c>
      <c r="B619" s="2" t="str">
        <f t="array" ref="B619">IF(NOW()&gt;AM619,"",IF(AND((WEEKDAY($A619)+$B$2)&gt;1,((WEEKDAY($A619)+$T$2)&lt;7),(WEEKDAY($A619)&lt;&gt;1)),"work",(INDEX(Subject!$A:$I,MATCH(RANDBETWEEN(1,(MAX(Subject!$B:$B))),Subject!$B:$B,0),3))))</f>
        <v/>
      </c>
      <c r="C619" s="2" t="str">
        <f t="array" ref="C619">IF(NOW()&gt;AN619,"",IF(AND((WEEKDAY($A619)+$B$2)&gt;1,((WEEKDAY($A619)+$T$2)&lt;7),(WEEKDAY($A619)&lt;&gt;1)),"work",(INDEX(Subject!$A:$I,MATCH(RANDBETWEEN(1,(MAX(Subject!$B:$B))),Subject!$B:$B,0),3))))</f>
        <v/>
      </c>
      <c r="D619" s="2" t="str">
        <f t="array" ref="D619">IF(NOW()&gt;AO619,"",IF(AND((WEEKDAY($A619)+$B$2)&gt;1,((WEEKDAY($A619)+$T$2)&lt;7),(WEEKDAY($A619)&lt;&gt;1)),"work",(INDEX(Subject!$A:$I,MATCH(RANDBETWEEN(1,(MAX(Subject!$B:$B))),Subject!$B:$B,0),3))))</f>
        <v/>
      </c>
      <c r="E619" s="2" t="str">
        <f t="array" ref="E619">IF(NOW()&gt;AP619,"",IF(AND((WEEKDAY($A619)+$B$2)&gt;1,((WEEKDAY($A619)+$T$2)&lt;7),(WEEKDAY($A619)&lt;&gt;1)),"work",(INDEX(Subject!$A:$I,MATCH(RANDBETWEEN(1,(MAX(Subject!$B:$B))),Subject!$B:$B,0),3))))</f>
        <v/>
      </c>
      <c r="F619" s="2" t="str">
        <f t="array" ref="F619">IF(NOW()&gt;AQ619,"",IF(AND((WEEKDAY($A619)+$B$2)&gt;1,((WEEKDAY($A619)+$T$2)&lt;7),(WEEKDAY($A619)&lt;&gt;1)),"work",(INDEX(Subject!$A:$I,MATCH(RANDBETWEEN(1,(MAX(Subject!$B:$B))),Subject!$B:$B,0),3))))</f>
        <v/>
      </c>
      <c r="G619" s="2" t="str">
        <f t="array" ref="G619">IF(NOW()&gt;AR619,"",IF(AND((WEEKDAY($A619)+$B$2)&gt;1,((WEEKDAY($A619)+$T$2)&lt;7),(WEEKDAY($A619)&lt;&gt;1)),"work",(INDEX(Subject!$A:$I,MATCH(RANDBETWEEN(1,(MAX(Subject!$B:$B))),Subject!$B:$B,0),3))))</f>
        <v/>
      </c>
      <c r="H619" s="2" t="str">
        <f t="array" ref="H619">IF(NOW()&gt;AS619,"",IF(AND((WEEKDAY($A619)+$B$2)&gt;1,((WEEKDAY($A619)+$T$2)&lt;7),(WEEKDAY($A619)&lt;&gt;1)),"work",(INDEX(Subject!$A:$I,MATCH(RANDBETWEEN(1,(MAX(Subject!$B:$B))),Subject!$B:$B,0),3))))</f>
        <v/>
      </c>
      <c r="I619" s="2" t="str">
        <f t="array" ref="I619">IF(NOW()&gt;AT619,"",IF(AND((WEEKDAY($A619)+$B$2)&gt;1,((WEEKDAY($A619)+$T$2)&lt;7),(WEEKDAY($A619)&lt;&gt;1)),"work",(INDEX(Subject!$A:$I,MATCH(RANDBETWEEN(1,(MAX(Subject!$B:$B))),Subject!$B:$B,0),3))))</f>
        <v/>
      </c>
      <c r="J619" s="2" t="str">
        <f t="array" ref="J619">IF(NOW()&gt;AU619,"",IF(AND((WEEKDAY($A619)+$B$2)&gt;1,((WEEKDAY($A619)+$T$2)&lt;7),(WEEKDAY($A619)&lt;&gt;1)),"work",(INDEX(Subject!$A:$I,MATCH(RANDBETWEEN(1,(MAX(Subject!$B:$B))),Subject!$B:$B,0),3))))</f>
        <v/>
      </c>
      <c r="K619" s="2" t="str">
        <f t="array" ref="K619">IF(NOW()&gt;AV619,"",IF(AND((WEEKDAY($A619)+$B$2)&gt;1,((WEEKDAY($A619)+$T$2)&lt;7),(WEEKDAY($A619)&lt;&gt;1)),"work",(INDEX(Subject!$A:$I,MATCH(RANDBETWEEN(1,(MAX(Subject!$B:$B))),Subject!$B:$B,0),3))))</f>
        <v/>
      </c>
      <c r="L619" s="2" t="str">
        <f t="array" ref="L619">IF(NOW()&gt;AW619,"",IF(AND((WEEKDAY($A619)+$B$2)&gt;1,((WEEKDAY($A619)+$T$2)&lt;7),(WEEKDAY($A619)&lt;&gt;1)),"work",(INDEX(Subject!$A:$I,MATCH(RANDBETWEEN(1,(MAX(Subject!$B:$B))),Subject!$B:$B,0),3))))</f>
        <v/>
      </c>
      <c r="M619" s="2" t="str">
        <f t="array" ref="M619">IF(NOW()&gt;AX619,"",IF(AND((WEEKDAY($A619)+$B$2)&gt;1,((WEEKDAY($A619)+$T$2)&lt;7),(WEEKDAY($A619)&lt;&gt;1)),"work",(INDEX(Subject!$A:$I,MATCH(RANDBETWEEN(1,(MAX(Subject!$B:$B))),Subject!$B:$B,0),3))))</f>
        <v/>
      </c>
      <c r="N619" s="2" t="str">
        <f t="array" ref="N619">IF(NOW()&gt;AY619,"",IF(AND((WEEKDAY($A619)+$B$2)&gt;1,((WEEKDAY($A619)+$T$2)&lt;7),(WEEKDAY($A619)&lt;&gt;1)),"work",(INDEX(Subject!$A:$I,MATCH(RANDBETWEEN(1,(MAX(Subject!$B:$B))),Subject!$B:$B,0),3))))</f>
        <v/>
      </c>
      <c r="O619" s="2" t="str">
        <f t="array" ref="O619">IF(NOW()&gt;AZ619,"",IF(AND((WEEKDAY($A619)+$B$2)&gt;1,((WEEKDAY($A619)+$T$2)&lt;7),(WEEKDAY($A619)&lt;&gt;1)),"work",(INDEX(Subject!$A:$I,MATCH(RANDBETWEEN(1,(MAX(Subject!$B:$B))),Subject!$B:$B,0),3))))</f>
        <v/>
      </c>
      <c r="P619" s="2" t="str">
        <f t="array" ref="P619">IF(NOW()&gt;BA619,"",IF(AND((WEEKDAY($A619)+$B$2)&gt;1,((WEEKDAY($A619)+$T$2)&lt;7),(WEEKDAY($A619)&lt;&gt;1)),"work",(INDEX(Subject!$A:$I,MATCH(RANDBETWEEN(1,(MAX(Subject!$B:$B))),Subject!$B:$B,0),3))))</f>
        <v/>
      </c>
      <c r="Q619" s="2" t="str">
        <f t="array" ref="Q619">IF(NOW()&gt;BB619,"",IF(AND((WEEKDAY($A619)+$B$2)&gt;1,((WEEKDAY($A619)+$T$2)&lt;7),(WEEKDAY($A619)&lt;&gt;1)),"work",(INDEX(Subject!$A:$I,MATCH(RANDBETWEEN(1,(MAX(Subject!$B:$B))),Subject!$B:$B,0),3))))</f>
        <v/>
      </c>
      <c r="R619" s="2" t="str">
        <f t="array" ref="R619">IF(NOW()&gt;BC619,"",IF(AND((WEEKDAY($A619)+$B$2)&gt;1,((WEEKDAY($A619)+$T$2)&lt;7),(WEEKDAY($A619)&lt;&gt;1)),"work",(INDEX(Subject!$A:$I,MATCH(RANDBETWEEN(1,(MAX(Subject!$B:$B))),Subject!$B:$B,0),3))))</f>
        <v/>
      </c>
      <c r="S619" s="2" t="str">
        <f t="array" ref="S619">IF(NOW()&gt;BD619,"",IF(AND((WEEKDAY($A619)+$B$2)&gt;1,((WEEKDAY($A619)+$T$2)&lt;7),(WEEKDAY($A619)&lt;&gt;1)),"work",(INDEX(Subject!$A:$I,MATCH(RANDBETWEEN(1,(MAX(Subject!$B:$B))),Subject!$B:$B,0),3))))</f>
        <v/>
      </c>
      <c r="T619" s="2" t="str">
        <f t="array" ref="T619">IF(NOW()&gt;BE619,"",IF(AND((WEEKDAY($A619)+$B$2)&gt;1,((WEEKDAY($A619)+$T$2)&lt;7),(WEEKDAY($A619)&lt;&gt;1)),"work",(INDEX(Subject!$A:$I,MATCH(RANDBETWEEN(1,(MAX(Subject!$B:$B))),Subject!$B:$B,0),3))))</f>
        <v/>
      </c>
      <c r="U619" s="8" t="str">
        <f t="array" ref="U619">INDEX(Subject!$A:$I,MATCH(RANDBETWEEN(1,16),Subject!$B:$B,0),3)</f>
        <v>#N/A</v>
      </c>
      <c r="V619" s="8" t="str">
        <f t="array" ref="V619">INDEX(Subject!$A:$I,MATCH(RANDBETWEEN(1,16),Subject!$B:$B,0),3)</f>
        <v>#N/A</v>
      </c>
      <c r="W619" s="8" t="str">
        <f t="array" ref="W619">INDEX(Subject!$A:$I,MATCH(RANDBETWEEN(1,16),Subject!$B:$B,0),3)</f>
        <v>#N/A</v>
      </c>
      <c r="X619" s="8" t="str">
        <f t="array" ref="X619">INDEX(Subject!$A:$I,MATCH(RANDBETWEEN(1,16),Subject!$B:$B,0),3)</f>
        <v>#N/A</v>
      </c>
      <c r="Y619" s="8" t="str">
        <f t="array" ref="Y619">INDEX(Subject!$A:$I,MATCH(RANDBETWEEN(1,16),Subject!$B:$B,0),3)</f>
        <v>#N/A</v>
      </c>
      <c r="Z619" s="8" t="str">
        <f t="array" ref="Z619">INDEX(Subject!$A:$I,MATCH(RANDBETWEEN(1,16),Subject!$B:$B,0),3)</f>
        <v>#N/A</v>
      </c>
      <c r="AA619" s="8" t="str">
        <f t="array" ref="AA619">INDEX(Subject!$A:$I,MATCH(RANDBETWEEN(1,16),Subject!$B:$B,0),3)</f>
        <v>#N/A</v>
      </c>
      <c r="AB619" s="8" t="str">
        <f t="array" ref="AB619">INDEX(Subject!$A:$I,MATCH(RANDBETWEEN(1,16),Subject!$B:$B,0),3)</f>
        <v>#N/A</v>
      </c>
      <c r="AC619" s="8" t="str">
        <f t="array" ref="AC619">INDEX(Subject!$A:$I,MATCH(RANDBETWEEN(1,16),Subject!$B:$B,0),3)</f>
        <v>#N/A</v>
      </c>
      <c r="AD619" s="8" t="str">
        <f t="array" ref="AD619">INDEX(Subject!$A:$I,MATCH(RANDBETWEEN(1,16),Subject!$B:$B,0),3)</f>
        <v>#N/A</v>
      </c>
      <c r="AE619" s="8" t="str">
        <f t="array" ref="AE619">INDEX(Subject!$A:$I,MATCH(RANDBETWEEN(1,16),Subject!$B:$B,0),3)</f>
        <v>#N/A</v>
      </c>
      <c r="AF619" s="8" t="str">
        <f t="array" ref="AF619">INDEX(Subject!$A:$I,MATCH(RANDBETWEEN(1,16),Subject!$B:$B,0),3)</f>
        <v/>
      </c>
      <c r="AG619" s="8" t="str">
        <f t="array" ref="AG619">INDEX(Subject!$A:$I,MATCH(RANDBETWEEN(1,16),Subject!$B:$B,0),3)</f>
        <v>#N/A</v>
      </c>
      <c r="AH619" s="8" t="str">
        <f t="array" ref="AH619">INDEX(Subject!$A:$I,MATCH(RANDBETWEEN(1,16),Subject!$B:$B,0),3)</f>
        <v>#N/A</v>
      </c>
      <c r="AI619" s="8" t="str">
        <f t="array" ref="AI619">INDEX(Subject!$A:$I,MATCH(RANDBETWEEN(1,16),Subject!$B:$B,0),3)</f>
        <v>#N/A</v>
      </c>
      <c r="AJ619" s="8" t="str">
        <f t="array" ref="AJ619">INDEX(Subject!$A:$I,MATCH(RANDBETWEEN(1,16),Subject!$B:$B,0),3)</f>
        <v>#N/A</v>
      </c>
      <c r="AK619" s="8" t="str">
        <f t="array" ref="AK619">INDEX(Subject!$A:$I,MATCH(RANDBETWEEN(1,16),Subject!$B:$B,0),3)</f>
        <v>#N/A</v>
      </c>
      <c r="AL619" s="8" t="str">
        <f t="array" ref="AL619">INDEX(Subject!$A:$I,MATCH(RANDBETWEEN(1,16),Subject!$B:$B,0),3)</f>
        <v>#N/A</v>
      </c>
      <c r="AM619" s="18">
        <f t="shared" si="4"/>
        <v>46119.33333</v>
      </c>
      <c r="AN619" s="19">
        <f t="shared" ref="AN619:BZ619" si="619">$A619+C$1</f>
        <v>46119.35417</v>
      </c>
      <c r="AO619" s="19">
        <f t="shared" si="619"/>
        <v>46119.375</v>
      </c>
      <c r="AP619" s="19">
        <f t="shared" si="619"/>
        <v>46119.39583</v>
      </c>
      <c r="AQ619" s="19">
        <f t="shared" si="619"/>
        <v>46119.41667</v>
      </c>
      <c r="AR619" s="19">
        <f t="shared" si="619"/>
        <v>46119.4375</v>
      </c>
      <c r="AS619" s="19">
        <f t="shared" si="619"/>
        <v>46119.45833</v>
      </c>
      <c r="AT619" s="19">
        <f t="shared" si="619"/>
        <v>46119.47917</v>
      </c>
      <c r="AU619" s="19">
        <f t="shared" si="619"/>
        <v>46119.5</v>
      </c>
      <c r="AV619" s="19">
        <f t="shared" si="619"/>
        <v>46119.52083</v>
      </c>
      <c r="AW619" s="19">
        <f t="shared" si="619"/>
        <v>46119.54167</v>
      </c>
      <c r="AX619" s="19">
        <f t="shared" si="619"/>
        <v>46119.5625</v>
      </c>
      <c r="AY619" s="19">
        <f t="shared" si="619"/>
        <v>46119.58333</v>
      </c>
      <c r="AZ619" s="19">
        <f t="shared" si="619"/>
        <v>46119.60417</v>
      </c>
      <c r="BA619" s="19">
        <f t="shared" si="619"/>
        <v>46119.625</v>
      </c>
      <c r="BB619" s="19">
        <f t="shared" si="619"/>
        <v>46119.64583</v>
      </c>
      <c r="BC619" s="19">
        <f t="shared" si="619"/>
        <v>46119.66667</v>
      </c>
      <c r="BD619" s="19">
        <f t="shared" si="619"/>
        <v>46119.6875</v>
      </c>
      <c r="BE619" s="19">
        <f t="shared" si="619"/>
        <v>46119.70833</v>
      </c>
      <c r="BF619" s="19">
        <f t="shared" si="619"/>
        <v>46119.72917</v>
      </c>
      <c r="BG619" s="19">
        <f t="shared" si="619"/>
        <v>46119.75</v>
      </c>
      <c r="BH619" s="19">
        <f t="shared" si="619"/>
        <v>46119.77083</v>
      </c>
      <c r="BI619" s="19">
        <f t="shared" si="619"/>
        <v>46119.79167</v>
      </c>
      <c r="BJ619" s="19">
        <f t="shared" si="619"/>
        <v>46119.8125</v>
      </c>
      <c r="BK619" s="19">
        <f t="shared" si="619"/>
        <v>46119.83333</v>
      </c>
      <c r="BL619" s="19">
        <f t="shared" si="619"/>
        <v>46119.85417</v>
      </c>
      <c r="BM619" s="19">
        <f t="shared" si="619"/>
        <v>46119.875</v>
      </c>
      <c r="BN619" s="19">
        <f t="shared" si="619"/>
        <v>46119.89583</v>
      </c>
      <c r="BO619" s="19">
        <f t="shared" si="619"/>
        <v>46119.91667</v>
      </c>
      <c r="BP619" s="19">
        <f t="shared" si="619"/>
        <v>46119.9375</v>
      </c>
      <c r="BQ619" s="19">
        <f t="shared" si="619"/>
        <v>46119.95833</v>
      </c>
      <c r="BR619" s="19">
        <f t="shared" si="619"/>
        <v>46119.97917</v>
      </c>
      <c r="BS619" s="19">
        <f t="shared" si="619"/>
        <v>46120</v>
      </c>
      <c r="BT619" s="19">
        <f t="shared" si="619"/>
        <v>46120.02083</v>
      </c>
      <c r="BU619" s="19">
        <f t="shared" si="619"/>
        <v>46120.04167</v>
      </c>
      <c r="BV619" s="19">
        <f t="shared" si="619"/>
        <v>46120.0625</v>
      </c>
      <c r="BW619" s="19">
        <f t="shared" si="619"/>
        <v>46120.08333</v>
      </c>
      <c r="BX619" s="19">
        <f t="shared" si="619"/>
        <v>46119</v>
      </c>
      <c r="BY619" s="19">
        <f t="shared" si="619"/>
        <v>46119</v>
      </c>
      <c r="BZ619" s="19">
        <f t="shared" si="619"/>
        <v>46119</v>
      </c>
    </row>
    <row r="620" ht="14.25" customHeight="1">
      <c r="A620" s="17">
        <v>46120.0</v>
      </c>
      <c r="B620" s="2" t="str">
        <f t="array" ref="B620">IF(NOW()&gt;AM620,"",IF(AND((WEEKDAY($A620)+$B$2)&gt;1,((WEEKDAY($A620)+$T$2)&lt;7),(WEEKDAY($A620)&lt;&gt;1)),"work",(INDEX(Subject!$A:$I,MATCH(RANDBETWEEN(1,(MAX(Subject!$B:$B))),Subject!$B:$B,0),3))))</f>
        <v/>
      </c>
      <c r="C620" s="2" t="str">
        <f t="array" ref="C620">IF(NOW()&gt;AN620,"",IF(AND((WEEKDAY($A620)+$B$2)&gt;1,((WEEKDAY($A620)+$T$2)&lt;7),(WEEKDAY($A620)&lt;&gt;1)),"work",(INDEX(Subject!$A:$I,MATCH(RANDBETWEEN(1,(MAX(Subject!$B:$B))),Subject!$B:$B,0),3))))</f>
        <v/>
      </c>
      <c r="D620" s="2" t="str">
        <f t="array" ref="D620">IF(NOW()&gt;AO620,"",IF(AND((WEEKDAY($A620)+$B$2)&gt;1,((WEEKDAY($A620)+$T$2)&lt;7),(WEEKDAY($A620)&lt;&gt;1)),"work",(INDEX(Subject!$A:$I,MATCH(RANDBETWEEN(1,(MAX(Subject!$B:$B))),Subject!$B:$B,0),3))))</f>
        <v/>
      </c>
      <c r="E620" s="2" t="str">
        <f t="array" ref="E620">IF(NOW()&gt;AP620,"",IF(AND((WEEKDAY($A620)+$B$2)&gt;1,((WEEKDAY($A620)+$T$2)&lt;7),(WEEKDAY($A620)&lt;&gt;1)),"work",(INDEX(Subject!$A:$I,MATCH(RANDBETWEEN(1,(MAX(Subject!$B:$B))),Subject!$B:$B,0),3))))</f>
        <v/>
      </c>
      <c r="F620" s="2" t="str">
        <f t="array" ref="F620">IF(NOW()&gt;AQ620,"",IF(AND((WEEKDAY($A620)+$B$2)&gt;1,((WEEKDAY($A620)+$T$2)&lt;7),(WEEKDAY($A620)&lt;&gt;1)),"work",(INDEX(Subject!$A:$I,MATCH(RANDBETWEEN(1,(MAX(Subject!$B:$B))),Subject!$B:$B,0),3))))</f>
        <v/>
      </c>
      <c r="G620" s="2" t="str">
        <f t="array" ref="G620">IF(NOW()&gt;AR620,"",IF(AND((WEEKDAY($A620)+$B$2)&gt;1,((WEEKDAY($A620)+$T$2)&lt;7),(WEEKDAY($A620)&lt;&gt;1)),"work",(INDEX(Subject!$A:$I,MATCH(RANDBETWEEN(1,(MAX(Subject!$B:$B))),Subject!$B:$B,0),3))))</f>
        <v/>
      </c>
      <c r="H620" s="2" t="str">
        <f t="array" ref="H620">IF(NOW()&gt;AS620,"",IF(AND((WEEKDAY($A620)+$B$2)&gt;1,((WEEKDAY($A620)+$T$2)&lt;7),(WEEKDAY($A620)&lt;&gt;1)),"work",(INDEX(Subject!$A:$I,MATCH(RANDBETWEEN(1,(MAX(Subject!$B:$B))),Subject!$B:$B,0),3))))</f>
        <v/>
      </c>
      <c r="I620" s="2" t="str">
        <f t="array" ref="I620">IF(NOW()&gt;AT620,"",IF(AND((WEEKDAY($A620)+$B$2)&gt;1,((WEEKDAY($A620)+$T$2)&lt;7),(WEEKDAY($A620)&lt;&gt;1)),"work",(INDEX(Subject!$A:$I,MATCH(RANDBETWEEN(1,(MAX(Subject!$B:$B))),Subject!$B:$B,0),3))))</f>
        <v/>
      </c>
      <c r="J620" s="2" t="str">
        <f t="array" ref="J620">IF(NOW()&gt;AU620,"",IF(AND((WEEKDAY($A620)+$B$2)&gt;1,((WEEKDAY($A620)+$T$2)&lt;7),(WEEKDAY($A620)&lt;&gt;1)),"work",(INDEX(Subject!$A:$I,MATCH(RANDBETWEEN(1,(MAX(Subject!$B:$B))),Subject!$B:$B,0),3))))</f>
        <v/>
      </c>
      <c r="K620" s="2" t="str">
        <f t="array" ref="K620">IF(NOW()&gt;AV620,"",IF(AND((WEEKDAY($A620)+$B$2)&gt;1,((WEEKDAY($A620)+$T$2)&lt;7),(WEEKDAY($A620)&lt;&gt;1)),"work",(INDEX(Subject!$A:$I,MATCH(RANDBETWEEN(1,(MAX(Subject!$B:$B))),Subject!$B:$B,0),3))))</f>
        <v/>
      </c>
      <c r="L620" s="2" t="str">
        <f t="array" ref="L620">IF(NOW()&gt;AW620,"",IF(AND((WEEKDAY($A620)+$B$2)&gt;1,((WEEKDAY($A620)+$T$2)&lt;7),(WEEKDAY($A620)&lt;&gt;1)),"work",(INDEX(Subject!$A:$I,MATCH(RANDBETWEEN(1,(MAX(Subject!$B:$B))),Subject!$B:$B,0),3))))</f>
        <v/>
      </c>
      <c r="M620" s="2" t="str">
        <f t="array" ref="M620">IF(NOW()&gt;AX620,"",IF(AND((WEEKDAY($A620)+$B$2)&gt;1,((WEEKDAY($A620)+$T$2)&lt;7),(WEEKDAY($A620)&lt;&gt;1)),"work",(INDEX(Subject!$A:$I,MATCH(RANDBETWEEN(1,(MAX(Subject!$B:$B))),Subject!$B:$B,0),3))))</f>
        <v/>
      </c>
      <c r="N620" s="2" t="str">
        <f t="array" ref="N620">IF(NOW()&gt;AY620,"",IF(AND((WEEKDAY($A620)+$B$2)&gt;1,((WEEKDAY($A620)+$T$2)&lt;7),(WEEKDAY($A620)&lt;&gt;1)),"work",(INDEX(Subject!$A:$I,MATCH(RANDBETWEEN(1,(MAX(Subject!$B:$B))),Subject!$B:$B,0),3))))</f>
        <v/>
      </c>
      <c r="O620" s="2" t="str">
        <f t="array" ref="O620">IF(NOW()&gt;AZ620,"",IF(AND((WEEKDAY($A620)+$B$2)&gt;1,((WEEKDAY($A620)+$T$2)&lt;7),(WEEKDAY($A620)&lt;&gt;1)),"work",(INDEX(Subject!$A:$I,MATCH(RANDBETWEEN(1,(MAX(Subject!$B:$B))),Subject!$B:$B,0),3))))</f>
        <v/>
      </c>
      <c r="P620" s="2" t="str">
        <f t="array" ref="P620">IF(NOW()&gt;BA620,"",IF(AND((WEEKDAY($A620)+$B$2)&gt;1,((WEEKDAY($A620)+$T$2)&lt;7),(WEEKDAY($A620)&lt;&gt;1)),"work",(INDEX(Subject!$A:$I,MATCH(RANDBETWEEN(1,(MAX(Subject!$B:$B))),Subject!$B:$B,0),3))))</f>
        <v/>
      </c>
      <c r="Q620" s="2" t="str">
        <f t="array" ref="Q620">IF(NOW()&gt;BB620,"",IF(AND((WEEKDAY($A620)+$B$2)&gt;1,((WEEKDAY($A620)+$T$2)&lt;7),(WEEKDAY($A620)&lt;&gt;1)),"work",(INDEX(Subject!$A:$I,MATCH(RANDBETWEEN(1,(MAX(Subject!$B:$B))),Subject!$B:$B,0),3))))</f>
        <v/>
      </c>
      <c r="R620" s="2" t="str">
        <f t="array" ref="R620">IF(NOW()&gt;BC620,"",IF(AND((WEEKDAY($A620)+$B$2)&gt;1,((WEEKDAY($A620)+$T$2)&lt;7),(WEEKDAY($A620)&lt;&gt;1)),"work",(INDEX(Subject!$A:$I,MATCH(RANDBETWEEN(1,(MAX(Subject!$B:$B))),Subject!$B:$B,0),3))))</f>
        <v/>
      </c>
      <c r="S620" s="2" t="str">
        <f t="array" ref="S620">IF(NOW()&gt;BD620,"",IF(AND((WEEKDAY($A620)+$B$2)&gt;1,((WEEKDAY($A620)+$T$2)&lt;7),(WEEKDAY($A620)&lt;&gt;1)),"work",(INDEX(Subject!$A:$I,MATCH(RANDBETWEEN(1,(MAX(Subject!$B:$B))),Subject!$B:$B,0),3))))</f>
        <v/>
      </c>
      <c r="T620" s="2" t="str">
        <f t="array" ref="T620">IF(NOW()&gt;BE620,"",IF(AND((WEEKDAY($A620)+$B$2)&gt;1,((WEEKDAY($A620)+$T$2)&lt;7),(WEEKDAY($A620)&lt;&gt;1)),"work",(INDEX(Subject!$A:$I,MATCH(RANDBETWEEN(1,(MAX(Subject!$B:$B))),Subject!$B:$B,0),3))))</f>
        <v/>
      </c>
      <c r="U620" s="8" t="str">
        <f t="array" ref="U620">INDEX(Subject!$A:$I,MATCH(RANDBETWEEN(1,16),Subject!$B:$B,0),3)</f>
        <v/>
      </c>
      <c r="V620" s="8" t="str">
        <f t="array" ref="V620">INDEX(Subject!$A:$I,MATCH(RANDBETWEEN(1,16),Subject!$B:$B,0),3)</f>
        <v>#N/A</v>
      </c>
      <c r="W620" s="8" t="str">
        <f t="array" ref="W620">INDEX(Subject!$A:$I,MATCH(RANDBETWEEN(1,16),Subject!$B:$B,0),3)</f>
        <v>#N/A</v>
      </c>
      <c r="X620" s="8" t="str">
        <f t="array" ref="X620">INDEX(Subject!$A:$I,MATCH(RANDBETWEEN(1,16),Subject!$B:$B,0),3)</f>
        <v>#N/A</v>
      </c>
      <c r="Y620" s="8" t="str">
        <f t="array" ref="Y620">INDEX(Subject!$A:$I,MATCH(RANDBETWEEN(1,16),Subject!$B:$B,0),3)</f>
        <v>#N/A</v>
      </c>
      <c r="Z620" s="8" t="str">
        <f t="array" ref="Z620">INDEX(Subject!$A:$I,MATCH(RANDBETWEEN(1,16),Subject!$B:$B,0),3)</f>
        <v>#N/A</v>
      </c>
      <c r="AA620" s="8" t="str">
        <f t="array" ref="AA620">INDEX(Subject!$A:$I,MATCH(RANDBETWEEN(1,16),Subject!$B:$B,0),3)</f>
        <v>#N/A</v>
      </c>
      <c r="AB620" s="8" t="str">
        <f t="array" ref="AB620">INDEX(Subject!$A:$I,MATCH(RANDBETWEEN(1,16),Subject!$B:$B,0),3)</f>
        <v>#N/A</v>
      </c>
      <c r="AC620" s="8" t="str">
        <f t="array" ref="AC620">INDEX(Subject!$A:$I,MATCH(RANDBETWEEN(1,16),Subject!$B:$B,0),3)</f>
        <v>#N/A</v>
      </c>
      <c r="AD620" s="8" t="str">
        <f t="array" ref="AD620">INDEX(Subject!$A:$I,MATCH(RANDBETWEEN(1,16),Subject!$B:$B,0),3)</f>
        <v/>
      </c>
      <c r="AE620" s="8" t="str">
        <f t="array" ref="AE620">INDEX(Subject!$A:$I,MATCH(RANDBETWEEN(1,16),Subject!$B:$B,0),3)</f>
        <v>#N/A</v>
      </c>
      <c r="AF620" s="8" t="str">
        <f t="array" ref="AF620">INDEX(Subject!$A:$I,MATCH(RANDBETWEEN(1,16),Subject!$B:$B,0),3)</f>
        <v>#N/A</v>
      </c>
      <c r="AG620" s="8" t="str">
        <f t="array" ref="AG620">INDEX(Subject!$A:$I,MATCH(RANDBETWEEN(1,16),Subject!$B:$B,0),3)</f>
        <v>#N/A</v>
      </c>
      <c r="AH620" s="8" t="str">
        <f t="array" ref="AH620">INDEX(Subject!$A:$I,MATCH(RANDBETWEEN(1,16),Subject!$B:$B,0),3)</f>
        <v>#N/A</v>
      </c>
      <c r="AI620" s="8" t="str">
        <f t="array" ref="AI620">INDEX(Subject!$A:$I,MATCH(RANDBETWEEN(1,16),Subject!$B:$B,0),3)</f>
        <v>#N/A</v>
      </c>
      <c r="AJ620" s="8" t="str">
        <f t="array" ref="AJ620">INDEX(Subject!$A:$I,MATCH(RANDBETWEEN(1,16),Subject!$B:$B,0),3)</f>
        <v>#N/A</v>
      </c>
      <c r="AK620" s="8" t="str">
        <f t="array" ref="AK620">INDEX(Subject!$A:$I,MATCH(RANDBETWEEN(1,16),Subject!$B:$B,0),3)</f>
        <v>#N/A</v>
      </c>
      <c r="AL620" s="8" t="str">
        <f t="array" ref="AL620">INDEX(Subject!$A:$I,MATCH(RANDBETWEEN(1,16),Subject!$B:$B,0),3)</f>
        <v>#N/A</v>
      </c>
      <c r="AM620" s="18">
        <f t="shared" si="4"/>
        <v>46120.33333</v>
      </c>
      <c r="AN620" s="19">
        <f t="shared" ref="AN620:BZ620" si="620">$A620+C$1</f>
        <v>46120.35417</v>
      </c>
      <c r="AO620" s="19">
        <f t="shared" si="620"/>
        <v>46120.375</v>
      </c>
      <c r="AP620" s="19">
        <f t="shared" si="620"/>
        <v>46120.39583</v>
      </c>
      <c r="AQ620" s="19">
        <f t="shared" si="620"/>
        <v>46120.41667</v>
      </c>
      <c r="AR620" s="19">
        <f t="shared" si="620"/>
        <v>46120.4375</v>
      </c>
      <c r="AS620" s="19">
        <f t="shared" si="620"/>
        <v>46120.45833</v>
      </c>
      <c r="AT620" s="19">
        <f t="shared" si="620"/>
        <v>46120.47917</v>
      </c>
      <c r="AU620" s="19">
        <f t="shared" si="620"/>
        <v>46120.5</v>
      </c>
      <c r="AV620" s="19">
        <f t="shared" si="620"/>
        <v>46120.52083</v>
      </c>
      <c r="AW620" s="19">
        <f t="shared" si="620"/>
        <v>46120.54167</v>
      </c>
      <c r="AX620" s="19">
        <f t="shared" si="620"/>
        <v>46120.5625</v>
      </c>
      <c r="AY620" s="19">
        <f t="shared" si="620"/>
        <v>46120.58333</v>
      </c>
      <c r="AZ620" s="19">
        <f t="shared" si="620"/>
        <v>46120.60417</v>
      </c>
      <c r="BA620" s="19">
        <f t="shared" si="620"/>
        <v>46120.625</v>
      </c>
      <c r="BB620" s="19">
        <f t="shared" si="620"/>
        <v>46120.64583</v>
      </c>
      <c r="BC620" s="19">
        <f t="shared" si="620"/>
        <v>46120.66667</v>
      </c>
      <c r="BD620" s="19">
        <f t="shared" si="620"/>
        <v>46120.6875</v>
      </c>
      <c r="BE620" s="19">
        <f t="shared" si="620"/>
        <v>46120.70833</v>
      </c>
      <c r="BF620" s="19">
        <f t="shared" si="620"/>
        <v>46120.72917</v>
      </c>
      <c r="BG620" s="19">
        <f t="shared" si="620"/>
        <v>46120.75</v>
      </c>
      <c r="BH620" s="19">
        <f t="shared" si="620"/>
        <v>46120.77083</v>
      </c>
      <c r="BI620" s="19">
        <f t="shared" si="620"/>
        <v>46120.79167</v>
      </c>
      <c r="BJ620" s="19">
        <f t="shared" si="620"/>
        <v>46120.8125</v>
      </c>
      <c r="BK620" s="19">
        <f t="shared" si="620"/>
        <v>46120.83333</v>
      </c>
      <c r="BL620" s="19">
        <f t="shared" si="620"/>
        <v>46120.85417</v>
      </c>
      <c r="BM620" s="19">
        <f t="shared" si="620"/>
        <v>46120.875</v>
      </c>
      <c r="BN620" s="19">
        <f t="shared" si="620"/>
        <v>46120.89583</v>
      </c>
      <c r="BO620" s="19">
        <f t="shared" si="620"/>
        <v>46120.91667</v>
      </c>
      <c r="BP620" s="19">
        <f t="shared" si="620"/>
        <v>46120.9375</v>
      </c>
      <c r="BQ620" s="19">
        <f t="shared" si="620"/>
        <v>46120.95833</v>
      </c>
      <c r="BR620" s="19">
        <f t="shared" si="620"/>
        <v>46120.97917</v>
      </c>
      <c r="BS620" s="19">
        <f t="shared" si="620"/>
        <v>46121</v>
      </c>
      <c r="BT620" s="19">
        <f t="shared" si="620"/>
        <v>46121.02083</v>
      </c>
      <c r="BU620" s="19">
        <f t="shared" si="620"/>
        <v>46121.04167</v>
      </c>
      <c r="BV620" s="19">
        <f t="shared" si="620"/>
        <v>46121.0625</v>
      </c>
      <c r="BW620" s="19">
        <f t="shared" si="620"/>
        <v>46121.08333</v>
      </c>
      <c r="BX620" s="19">
        <f t="shared" si="620"/>
        <v>46120</v>
      </c>
      <c r="BY620" s="19">
        <f t="shared" si="620"/>
        <v>46120</v>
      </c>
      <c r="BZ620" s="19">
        <f t="shared" si="620"/>
        <v>46120</v>
      </c>
    </row>
    <row r="621" ht="14.25" customHeight="1">
      <c r="A621" s="17">
        <v>46121.0</v>
      </c>
      <c r="B621" s="2" t="str">
        <f t="array" ref="B621">IF(NOW()&gt;AM621,"",IF(AND((WEEKDAY($A621)+$B$2)&gt;1,((WEEKDAY($A621)+$T$2)&lt;7),(WEEKDAY($A621)&lt;&gt;1)),"work",(INDEX(Subject!$A:$I,MATCH(RANDBETWEEN(1,(MAX(Subject!$B:$B))),Subject!$B:$B,0),3))))</f>
        <v/>
      </c>
      <c r="C621" s="2" t="str">
        <f t="array" ref="C621">IF(NOW()&gt;AN621,"",IF(AND((WEEKDAY($A621)+$B$2)&gt;1,((WEEKDAY($A621)+$T$2)&lt;7),(WEEKDAY($A621)&lt;&gt;1)),"work",(INDEX(Subject!$A:$I,MATCH(RANDBETWEEN(1,(MAX(Subject!$B:$B))),Subject!$B:$B,0),3))))</f>
        <v/>
      </c>
      <c r="D621" s="2" t="str">
        <f t="array" ref="D621">IF(NOW()&gt;AO621,"",IF(AND((WEEKDAY($A621)+$B$2)&gt;1,((WEEKDAY($A621)+$T$2)&lt;7),(WEEKDAY($A621)&lt;&gt;1)),"work",(INDEX(Subject!$A:$I,MATCH(RANDBETWEEN(1,(MAX(Subject!$B:$B))),Subject!$B:$B,0),3))))</f>
        <v/>
      </c>
      <c r="E621" s="2" t="str">
        <f t="array" ref="E621">IF(NOW()&gt;AP621,"",IF(AND((WEEKDAY($A621)+$B$2)&gt;1,((WEEKDAY($A621)+$T$2)&lt;7),(WEEKDAY($A621)&lt;&gt;1)),"work",(INDEX(Subject!$A:$I,MATCH(RANDBETWEEN(1,(MAX(Subject!$B:$B))),Subject!$B:$B,0),3))))</f>
        <v/>
      </c>
      <c r="F621" s="2" t="str">
        <f t="array" ref="F621">IF(NOW()&gt;AQ621,"",IF(AND((WEEKDAY($A621)+$B$2)&gt;1,((WEEKDAY($A621)+$T$2)&lt;7),(WEEKDAY($A621)&lt;&gt;1)),"work",(INDEX(Subject!$A:$I,MATCH(RANDBETWEEN(1,(MAX(Subject!$B:$B))),Subject!$B:$B,0),3))))</f>
        <v/>
      </c>
      <c r="G621" s="2" t="str">
        <f t="array" ref="G621">IF(NOW()&gt;AR621,"",IF(AND((WEEKDAY($A621)+$B$2)&gt;1,((WEEKDAY($A621)+$T$2)&lt;7),(WEEKDAY($A621)&lt;&gt;1)),"work",(INDEX(Subject!$A:$I,MATCH(RANDBETWEEN(1,(MAX(Subject!$B:$B))),Subject!$B:$B,0),3))))</f>
        <v/>
      </c>
      <c r="H621" s="2" t="str">
        <f t="array" ref="H621">IF(NOW()&gt;AS621,"",IF(AND((WEEKDAY($A621)+$B$2)&gt;1,((WEEKDAY($A621)+$T$2)&lt;7),(WEEKDAY($A621)&lt;&gt;1)),"work",(INDEX(Subject!$A:$I,MATCH(RANDBETWEEN(1,(MAX(Subject!$B:$B))),Subject!$B:$B,0),3))))</f>
        <v/>
      </c>
      <c r="I621" s="2" t="str">
        <f t="array" ref="I621">IF(NOW()&gt;AT621,"",IF(AND((WEEKDAY($A621)+$B$2)&gt;1,((WEEKDAY($A621)+$T$2)&lt;7),(WEEKDAY($A621)&lt;&gt;1)),"work",(INDEX(Subject!$A:$I,MATCH(RANDBETWEEN(1,(MAX(Subject!$B:$B))),Subject!$B:$B,0),3))))</f>
        <v/>
      </c>
      <c r="J621" s="2" t="str">
        <f t="array" ref="J621">IF(NOW()&gt;AU621,"",IF(AND((WEEKDAY($A621)+$B$2)&gt;1,((WEEKDAY($A621)+$T$2)&lt;7),(WEEKDAY($A621)&lt;&gt;1)),"work",(INDEX(Subject!$A:$I,MATCH(RANDBETWEEN(1,(MAX(Subject!$B:$B))),Subject!$B:$B,0),3))))</f>
        <v/>
      </c>
      <c r="K621" s="2" t="str">
        <f t="array" ref="K621">IF(NOW()&gt;AV621,"",IF(AND((WEEKDAY($A621)+$B$2)&gt;1,((WEEKDAY($A621)+$T$2)&lt;7),(WEEKDAY($A621)&lt;&gt;1)),"work",(INDEX(Subject!$A:$I,MATCH(RANDBETWEEN(1,(MAX(Subject!$B:$B))),Subject!$B:$B,0),3))))</f>
        <v/>
      </c>
      <c r="L621" s="2" t="str">
        <f t="array" ref="L621">IF(NOW()&gt;AW621,"",IF(AND((WEEKDAY($A621)+$B$2)&gt;1,((WEEKDAY($A621)+$T$2)&lt;7),(WEEKDAY($A621)&lt;&gt;1)),"work",(INDEX(Subject!$A:$I,MATCH(RANDBETWEEN(1,(MAX(Subject!$B:$B))),Subject!$B:$B,0),3))))</f>
        <v/>
      </c>
      <c r="M621" s="2" t="str">
        <f t="array" ref="M621">IF(NOW()&gt;AX621,"",IF(AND((WEEKDAY($A621)+$B$2)&gt;1,((WEEKDAY($A621)+$T$2)&lt;7),(WEEKDAY($A621)&lt;&gt;1)),"work",(INDEX(Subject!$A:$I,MATCH(RANDBETWEEN(1,(MAX(Subject!$B:$B))),Subject!$B:$B,0),3))))</f>
        <v/>
      </c>
      <c r="N621" s="2" t="str">
        <f t="array" ref="N621">IF(NOW()&gt;AY621,"",IF(AND((WEEKDAY($A621)+$B$2)&gt;1,((WEEKDAY($A621)+$T$2)&lt;7),(WEEKDAY($A621)&lt;&gt;1)),"work",(INDEX(Subject!$A:$I,MATCH(RANDBETWEEN(1,(MAX(Subject!$B:$B))),Subject!$B:$B,0),3))))</f>
        <v/>
      </c>
      <c r="O621" s="2" t="str">
        <f t="array" ref="O621">IF(NOW()&gt;AZ621,"",IF(AND((WEEKDAY($A621)+$B$2)&gt;1,((WEEKDAY($A621)+$T$2)&lt;7),(WEEKDAY($A621)&lt;&gt;1)),"work",(INDEX(Subject!$A:$I,MATCH(RANDBETWEEN(1,(MAX(Subject!$B:$B))),Subject!$B:$B,0),3))))</f>
        <v/>
      </c>
      <c r="P621" s="2" t="str">
        <f t="array" ref="P621">IF(NOW()&gt;BA621,"",IF(AND((WEEKDAY($A621)+$B$2)&gt;1,((WEEKDAY($A621)+$T$2)&lt;7),(WEEKDAY($A621)&lt;&gt;1)),"work",(INDEX(Subject!$A:$I,MATCH(RANDBETWEEN(1,(MAX(Subject!$B:$B))),Subject!$B:$B,0),3))))</f>
        <v/>
      </c>
      <c r="Q621" s="2" t="str">
        <f t="array" ref="Q621">IF(NOW()&gt;BB621,"",IF(AND((WEEKDAY($A621)+$B$2)&gt;1,((WEEKDAY($A621)+$T$2)&lt;7),(WEEKDAY($A621)&lt;&gt;1)),"work",(INDEX(Subject!$A:$I,MATCH(RANDBETWEEN(1,(MAX(Subject!$B:$B))),Subject!$B:$B,0),3))))</f>
        <v/>
      </c>
      <c r="R621" s="2" t="str">
        <f t="array" ref="R621">IF(NOW()&gt;BC621,"",IF(AND((WEEKDAY($A621)+$B$2)&gt;1,((WEEKDAY($A621)+$T$2)&lt;7),(WEEKDAY($A621)&lt;&gt;1)),"work",(INDEX(Subject!$A:$I,MATCH(RANDBETWEEN(1,(MAX(Subject!$B:$B))),Subject!$B:$B,0),3))))</f>
        <v/>
      </c>
      <c r="S621" s="2" t="str">
        <f t="array" ref="S621">IF(NOW()&gt;BD621,"",IF(AND((WEEKDAY($A621)+$B$2)&gt;1,((WEEKDAY($A621)+$T$2)&lt;7),(WEEKDAY($A621)&lt;&gt;1)),"work",(INDEX(Subject!$A:$I,MATCH(RANDBETWEEN(1,(MAX(Subject!$B:$B))),Subject!$B:$B,0),3))))</f>
        <v/>
      </c>
      <c r="T621" s="2" t="str">
        <f t="array" ref="T621">IF(NOW()&gt;BE621,"",IF(AND((WEEKDAY($A621)+$B$2)&gt;1,((WEEKDAY($A621)+$T$2)&lt;7),(WEEKDAY($A621)&lt;&gt;1)),"work",(INDEX(Subject!$A:$I,MATCH(RANDBETWEEN(1,(MAX(Subject!$B:$B))),Subject!$B:$B,0),3))))</f>
        <v/>
      </c>
      <c r="U621" s="8" t="str">
        <f t="array" ref="U621">INDEX(Subject!$A:$I,MATCH(RANDBETWEEN(1,16),Subject!$B:$B,0),3)</f>
        <v>#N/A</v>
      </c>
      <c r="V621" s="8" t="str">
        <f t="array" ref="V621">INDEX(Subject!$A:$I,MATCH(RANDBETWEEN(1,16),Subject!$B:$B,0),3)</f>
        <v>#N/A</v>
      </c>
      <c r="W621" s="8" t="str">
        <f t="array" ref="W621">INDEX(Subject!$A:$I,MATCH(RANDBETWEEN(1,16),Subject!$B:$B,0),3)</f>
        <v>#N/A</v>
      </c>
      <c r="X621" s="8" t="str">
        <f t="array" ref="X621">INDEX(Subject!$A:$I,MATCH(RANDBETWEEN(1,16),Subject!$B:$B,0),3)</f>
        <v>#N/A</v>
      </c>
      <c r="Y621" s="8" t="str">
        <f t="array" ref="Y621">INDEX(Subject!$A:$I,MATCH(RANDBETWEEN(1,16),Subject!$B:$B,0),3)</f>
        <v>#N/A</v>
      </c>
      <c r="Z621" s="8" t="str">
        <f t="array" ref="Z621">INDEX(Subject!$A:$I,MATCH(RANDBETWEEN(1,16),Subject!$B:$B,0),3)</f>
        <v>#N/A</v>
      </c>
      <c r="AA621" s="8" t="str">
        <f t="array" ref="AA621">INDEX(Subject!$A:$I,MATCH(RANDBETWEEN(1,16),Subject!$B:$B,0),3)</f>
        <v>#N/A</v>
      </c>
      <c r="AB621" s="8" t="str">
        <f t="array" ref="AB621">INDEX(Subject!$A:$I,MATCH(RANDBETWEEN(1,16),Subject!$B:$B,0),3)</f>
        <v>#N/A</v>
      </c>
      <c r="AC621" s="8" t="str">
        <f t="array" ref="AC621">INDEX(Subject!$A:$I,MATCH(RANDBETWEEN(1,16),Subject!$B:$B,0),3)</f>
        <v>#N/A</v>
      </c>
      <c r="AD621" s="8" t="str">
        <f t="array" ref="AD621">INDEX(Subject!$A:$I,MATCH(RANDBETWEEN(1,16),Subject!$B:$B,0),3)</f>
        <v/>
      </c>
      <c r="AE621" s="8" t="str">
        <f t="array" ref="AE621">INDEX(Subject!$A:$I,MATCH(RANDBETWEEN(1,16),Subject!$B:$B,0),3)</f>
        <v>#N/A</v>
      </c>
      <c r="AF621" s="8" t="str">
        <f t="array" ref="AF621">INDEX(Subject!$A:$I,MATCH(RANDBETWEEN(1,16),Subject!$B:$B,0),3)</f>
        <v>#N/A</v>
      </c>
      <c r="AG621" s="8" t="str">
        <f t="array" ref="AG621">INDEX(Subject!$A:$I,MATCH(RANDBETWEEN(1,16),Subject!$B:$B,0),3)</f>
        <v>#N/A</v>
      </c>
      <c r="AH621" s="8" t="str">
        <f t="array" ref="AH621">INDEX(Subject!$A:$I,MATCH(RANDBETWEEN(1,16),Subject!$B:$B,0),3)</f>
        <v>#N/A</v>
      </c>
      <c r="AI621" s="8" t="str">
        <f t="array" ref="AI621">INDEX(Subject!$A:$I,MATCH(RANDBETWEEN(1,16),Subject!$B:$B,0),3)</f>
        <v>#N/A</v>
      </c>
      <c r="AJ621" s="8" t="str">
        <f t="array" ref="AJ621">INDEX(Subject!$A:$I,MATCH(RANDBETWEEN(1,16),Subject!$B:$B,0),3)</f>
        <v>#N/A</v>
      </c>
      <c r="AK621" s="8" t="str">
        <f t="array" ref="AK621">INDEX(Subject!$A:$I,MATCH(RANDBETWEEN(1,16),Subject!$B:$B,0),3)</f>
        <v>#N/A</v>
      </c>
      <c r="AL621" s="8" t="str">
        <f t="array" ref="AL621">INDEX(Subject!$A:$I,MATCH(RANDBETWEEN(1,16),Subject!$B:$B,0),3)</f>
        <v>#N/A</v>
      </c>
      <c r="AM621" s="18">
        <f t="shared" si="4"/>
        <v>46121.33333</v>
      </c>
      <c r="AN621" s="19">
        <f t="shared" ref="AN621:BZ621" si="621">$A621+C$1</f>
        <v>46121.35417</v>
      </c>
      <c r="AO621" s="19">
        <f t="shared" si="621"/>
        <v>46121.375</v>
      </c>
      <c r="AP621" s="19">
        <f t="shared" si="621"/>
        <v>46121.39583</v>
      </c>
      <c r="AQ621" s="19">
        <f t="shared" si="621"/>
        <v>46121.41667</v>
      </c>
      <c r="AR621" s="19">
        <f t="shared" si="621"/>
        <v>46121.4375</v>
      </c>
      <c r="AS621" s="19">
        <f t="shared" si="621"/>
        <v>46121.45833</v>
      </c>
      <c r="AT621" s="19">
        <f t="shared" si="621"/>
        <v>46121.47917</v>
      </c>
      <c r="AU621" s="19">
        <f t="shared" si="621"/>
        <v>46121.5</v>
      </c>
      <c r="AV621" s="19">
        <f t="shared" si="621"/>
        <v>46121.52083</v>
      </c>
      <c r="AW621" s="19">
        <f t="shared" si="621"/>
        <v>46121.54167</v>
      </c>
      <c r="AX621" s="19">
        <f t="shared" si="621"/>
        <v>46121.5625</v>
      </c>
      <c r="AY621" s="19">
        <f t="shared" si="621"/>
        <v>46121.58333</v>
      </c>
      <c r="AZ621" s="19">
        <f t="shared" si="621"/>
        <v>46121.60417</v>
      </c>
      <c r="BA621" s="19">
        <f t="shared" si="621"/>
        <v>46121.625</v>
      </c>
      <c r="BB621" s="19">
        <f t="shared" si="621"/>
        <v>46121.64583</v>
      </c>
      <c r="BC621" s="19">
        <f t="shared" si="621"/>
        <v>46121.66667</v>
      </c>
      <c r="BD621" s="19">
        <f t="shared" si="621"/>
        <v>46121.6875</v>
      </c>
      <c r="BE621" s="19">
        <f t="shared" si="621"/>
        <v>46121.70833</v>
      </c>
      <c r="BF621" s="19">
        <f t="shared" si="621"/>
        <v>46121.72917</v>
      </c>
      <c r="BG621" s="19">
        <f t="shared" si="621"/>
        <v>46121.75</v>
      </c>
      <c r="BH621" s="19">
        <f t="shared" si="621"/>
        <v>46121.77083</v>
      </c>
      <c r="BI621" s="19">
        <f t="shared" si="621"/>
        <v>46121.79167</v>
      </c>
      <c r="BJ621" s="19">
        <f t="shared" si="621"/>
        <v>46121.8125</v>
      </c>
      <c r="BK621" s="19">
        <f t="shared" si="621"/>
        <v>46121.83333</v>
      </c>
      <c r="BL621" s="19">
        <f t="shared" si="621"/>
        <v>46121.85417</v>
      </c>
      <c r="BM621" s="19">
        <f t="shared" si="621"/>
        <v>46121.875</v>
      </c>
      <c r="BN621" s="19">
        <f t="shared" si="621"/>
        <v>46121.89583</v>
      </c>
      <c r="BO621" s="19">
        <f t="shared" si="621"/>
        <v>46121.91667</v>
      </c>
      <c r="BP621" s="19">
        <f t="shared" si="621"/>
        <v>46121.9375</v>
      </c>
      <c r="BQ621" s="19">
        <f t="shared" si="621"/>
        <v>46121.95833</v>
      </c>
      <c r="BR621" s="19">
        <f t="shared" si="621"/>
        <v>46121.97917</v>
      </c>
      <c r="BS621" s="19">
        <f t="shared" si="621"/>
        <v>46122</v>
      </c>
      <c r="BT621" s="19">
        <f t="shared" si="621"/>
        <v>46122.02083</v>
      </c>
      <c r="BU621" s="19">
        <f t="shared" si="621"/>
        <v>46122.04167</v>
      </c>
      <c r="BV621" s="19">
        <f t="shared" si="621"/>
        <v>46122.0625</v>
      </c>
      <c r="BW621" s="19">
        <f t="shared" si="621"/>
        <v>46122.08333</v>
      </c>
      <c r="BX621" s="19">
        <f t="shared" si="621"/>
        <v>46121</v>
      </c>
      <c r="BY621" s="19">
        <f t="shared" si="621"/>
        <v>46121</v>
      </c>
      <c r="BZ621" s="19">
        <f t="shared" si="621"/>
        <v>46121</v>
      </c>
    </row>
    <row r="622" ht="14.25" customHeight="1">
      <c r="A622" s="17">
        <v>46122.0</v>
      </c>
      <c r="B622" s="2" t="str">
        <f t="array" ref="B622">IF(NOW()&gt;AM622,"",IF(AND((WEEKDAY($A622)+$B$2)&gt;1,((WEEKDAY($A622)+$T$2)&lt;7),(WEEKDAY($A622)&lt;&gt;1)),"work",(INDEX(Subject!$A:$I,MATCH(RANDBETWEEN(1,(MAX(Subject!$B:$B))),Subject!$B:$B,0),3))))</f>
        <v/>
      </c>
      <c r="C622" s="2" t="str">
        <f t="array" ref="C622">IF(NOW()&gt;AN622,"",IF(AND((WEEKDAY($A622)+$B$2)&gt;1,((WEEKDAY($A622)+$T$2)&lt;7),(WEEKDAY($A622)&lt;&gt;1)),"work",(INDEX(Subject!$A:$I,MATCH(RANDBETWEEN(1,(MAX(Subject!$B:$B))),Subject!$B:$B,0),3))))</f>
        <v/>
      </c>
      <c r="D622" s="2" t="str">
        <f t="array" ref="D622">IF(NOW()&gt;AO622,"",IF(AND((WEEKDAY($A622)+$B$2)&gt;1,((WEEKDAY($A622)+$T$2)&lt;7),(WEEKDAY($A622)&lt;&gt;1)),"work",(INDEX(Subject!$A:$I,MATCH(RANDBETWEEN(1,(MAX(Subject!$B:$B))),Subject!$B:$B,0),3))))</f>
        <v/>
      </c>
      <c r="E622" s="2" t="str">
        <f t="array" ref="E622">IF(NOW()&gt;AP622,"",IF(AND((WEEKDAY($A622)+$B$2)&gt;1,((WEEKDAY($A622)+$T$2)&lt;7),(WEEKDAY($A622)&lt;&gt;1)),"work",(INDEX(Subject!$A:$I,MATCH(RANDBETWEEN(1,(MAX(Subject!$B:$B))),Subject!$B:$B,0),3))))</f>
        <v/>
      </c>
      <c r="F622" s="2" t="str">
        <f t="array" ref="F622">IF(NOW()&gt;AQ622,"",IF(AND((WEEKDAY($A622)+$B$2)&gt;1,((WEEKDAY($A622)+$T$2)&lt;7),(WEEKDAY($A622)&lt;&gt;1)),"work",(INDEX(Subject!$A:$I,MATCH(RANDBETWEEN(1,(MAX(Subject!$B:$B))),Subject!$B:$B,0),3))))</f>
        <v/>
      </c>
      <c r="G622" s="2" t="str">
        <f t="array" ref="G622">IF(NOW()&gt;AR622,"",IF(AND((WEEKDAY($A622)+$B$2)&gt;1,((WEEKDAY($A622)+$T$2)&lt;7),(WEEKDAY($A622)&lt;&gt;1)),"work",(INDEX(Subject!$A:$I,MATCH(RANDBETWEEN(1,(MAX(Subject!$B:$B))),Subject!$B:$B,0),3))))</f>
        <v/>
      </c>
      <c r="H622" s="2" t="str">
        <f t="array" ref="H622">IF(NOW()&gt;AS622,"",IF(AND((WEEKDAY($A622)+$B$2)&gt;1,((WEEKDAY($A622)+$T$2)&lt;7),(WEEKDAY($A622)&lt;&gt;1)),"work",(INDEX(Subject!$A:$I,MATCH(RANDBETWEEN(1,(MAX(Subject!$B:$B))),Subject!$B:$B,0),3))))</f>
        <v/>
      </c>
      <c r="I622" s="2" t="str">
        <f t="array" ref="I622">IF(NOW()&gt;AT622,"",IF(AND((WEEKDAY($A622)+$B$2)&gt;1,((WEEKDAY($A622)+$T$2)&lt;7),(WEEKDAY($A622)&lt;&gt;1)),"work",(INDEX(Subject!$A:$I,MATCH(RANDBETWEEN(1,(MAX(Subject!$B:$B))),Subject!$B:$B,0),3))))</f>
        <v/>
      </c>
      <c r="J622" s="2" t="str">
        <f t="array" ref="J622">IF(NOW()&gt;AU622,"",IF(AND((WEEKDAY($A622)+$B$2)&gt;1,((WEEKDAY($A622)+$T$2)&lt;7),(WEEKDAY($A622)&lt;&gt;1)),"work",(INDEX(Subject!$A:$I,MATCH(RANDBETWEEN(1,(MAX(Subject!$B:$B))),Subject!$B:$B,0),3))))</f>
        <v/>
      </c>
      <c r="K622" s="2" t="str">
        <f t="array" ref="K622">IF(NOW()&gt;AV622,"",IF(AND((WEEKDAY($A622)+$B$2)&gt;1,((WEEKDAY($A622)+$T$2)&lt;7),(WEEKDAY($A622)&lt;&gt;1)),"work",(INDEX(Subject!$A:$I,MATCH(RANDBETWEEN(1,(MAX(Subject!$B:$B))),Subject!$B:$B,0),3))))</f>
        <v/>
      </c>
      <c r="L622" s="2" t="str">
        <f t="array" ref="L622">IF(NOW()&gt;AW622,"",IF(AND((WEEKDAY($A622)+$B$2)&gt;1,((WEEKDAY($A622)+$T$2)&lt;7),(WEEKDAY($A622)&lt;&gt;1)),"work",(INDEX(Subject!$A:$I,MATCH(RANDBETWEEN(1,(MAX(Subject!$B:$B))),Subject!$B:$B,0),3))))</f>
        <v/>
      </c>
      <c r="M622" s="2" t="str">
        <f t="array" ref="M622">IF(NOW()&gt;AX622,"",IF(AND((WEEKDAY($A622)+$B$2)&gt;1,((WEEKDAY($A622)+$T$2)&lt;7),(WEEKDAY($A622)&lt;&gt;1)),"work",(INDEX(Subject!$A:$I,MATCH(RANDBETWEEN(1,(MAX(Subject!$B:$B))),Subject!$B:$B,0),3))))</f>
        <v/>
      </c>
      <c r="N622" s="2" t="str">
        <f t="array" ref="N622">IF(NOW()&gt;AY622,"",IF(AND((WEEKDAY($A622)+$B$2)&gt;1,((WEEKDAY($A622)+$T$2)&lt;7),(WEEKDAY($A622)&lt;&gt;1)),"work",(INDEX(Subject!$A:$I,MATCH(RANDBETWEEN(1,(MAX(Subject!$B:$B))),Subject!$B:$B,0),3))))</f>
        <v/>
      </c>
      <c r="O622" s="2" t="str">
        <f t="array" ref="O622">IF(NOW()&gt;AZ622,"",IF(AND((WEEKDAY($A622)+$B$2)&gt;1,((WEEKDAY($A622)+$T$2)&lt;7),(WEEKDAY($A622)&lt;&gt;1)),"work",(INDEX(Subject!$A:$I,MATCH(RANDBETWEEN(1,(MAX(Subject!$B:$B))),Subject!$B:$B,0),3))))</f>
        <v/>
      </c>
      <c r="P622" s="2" t="str">
        <f t="array" ref="P622">IF(NOW()&gt;BA622,"",IF(AND((WEEKDAY($A622)+$B$2)&gt;1,((WEEKDAY($A622)+$T$2)&lt;7),(WEEKDAY($A622)&lt;&gt;1)),"work",(INDEX(Subject!$A:$I,MATCH(RANDBETWEEN(1,(MAX(Subject!$B:$B))),Subject!$B:$B,0),3))))</f>
        <v/>
      </c>
      <c r="Q622" s="2" t="str">
        <f t="array" ref="Q622">IF(NOW()&gt;BB622,"",IF(AND((WEEKDAY($A622)+$B$2)&gt;1,((WEEKDAY($A622)+$T$2)&lt;7),(WEEKDAY($A622)&lt;&gt;1)),"work",(INDEX(Subject!$A:$I,MATCH(RANDBETWEEN(1,(MAX(Subject!$B:$B))),Subject!$B:$B,0),3))))</f>
        <v/>
      </c>
      <c r="R622" s="2" t="str">
        <f t="array" ref="R622">IF(NOW()&gt;BC622,"",IF(AND((WEEKDAY($A622)+$B$2)&gt;1,((WEEKDAY($A622)+$T$2)&lt;7),(WEEKDAY($A622)&lt;&gt;1)),"work",(INDEX(Subject!$A:$I,MATCH(RANDBETWEEN(1,(MAX(Subject!$B:$B))),Subject!$B:$B,0),3))))</f>
        <v/>
      </c>
      <c r="S622" s="2" t="str">
        <f t="array" ref="S622">IF(NOW()&gt;BD622,"",IF(AND((WEEKDAY($A622)+$B$2)&gt;1,((WEEKDAY($A622)+$T$2)&lt;7),(WEEKDAY($A622)&lt;&gt;1)),"work",(INDEX(Subject!$A:$I,MATCH(RANDBETWEEN(1,(MAX(Subject!$B:$B))),Subject!$B:$B,0),3))))</f>
        <v/>
      </c>
      <c r="T622" s="2" t="str">
        <f t="array" ref="T622">IF(NOW()&gt;BE622,"",IF(AND((WEEKDAY($A622)+$B$2)&gt;1,((WEEKDAY($A622)+$T$2)&lt;7),(WEEKDAY($A622)&lt;&gt;1)),"work",(INDEX(Subject!$A:$I,MATCH(RANDBETWEEN(1,(MAX(Subject!$B:$B))),Subject!$B:$B,0),3))))</f>
        <v/>
      </c>
      <c r="U622" s="8" t="str">
        <f t="array" ref="U622">INDEX(Subject!$A:$I,MATCH(RANDBETWEEN(1,16),Subject!$B:$B,0),3)</f>
        <v>#N/A</v>
      </c>
      <c r="V622" s="8" t="str">
        <f t="array" ref="V622">INDEX(Subject!$A:$I,MATCH(RANDBETWEEN(1,16),Subject!$B:$B,0),3)</f>
        <v>#N/A</v>
      </c>
      <c r="W622" s="8" t="str">
        <f t="array" ref="W622">INDEX(Subject!$A:$I,MATCH(RANDBETWEEN(1,16),Subject!$B:$B,0),3)</f>
        <v>#N/A</v>
      </c>
      <c r="X622" s="8" t="str">
        <f t="array" ref="X622">INDEX(Subject!$A:$I,MATCH(RANDBETWEEN(1,16),Subject!$B:$B,0),3)</f>
        <v>#N/A</v>
      </c>
      <c r="Y622" s="8" t="str">
        <f t="array" ref="Y622">INDEX(Subject!$A:$I,MATCH(RANDBETWEEN(1,16),Subject!$B:$B,0),3)</f>
        <v>#N/A</v>
      </c>
      <c r="Z622" s="8" t="str">
        <f t="array" ref="Z622">INDEX(Subject!$A:$I,MATCH(RANDBETWEEN(1,16),Subject!$B:$B,0),3)</f>
        <v/>
      </c>
      <c r="AA622" s="8" t="str">
        <f t="array" ref="AA622">INDEX(Subject!$A:$I,MATCH(RANDBETWEEN(1,16),Subject!$B:$B,0),3)</f>
        <v>#N/A</v>
      </c>
      <c r="AB622" s="8" t="str">
        <f t="array" ref="AB622">INDEX(Subject!$A:$I,MATCH(RANDBETWEEN(1,16),Subject!$B:$B,0),3)</f>
        <v>#N/A</v>
      </c>
      <c r="AC622" s="8" t="str">
        <f t="array" ref="AC622">INDEX(Subject!$A:$I,MATCH(RANDBETWEEN(1,16),Subject!$B:$B,0),3)</f>
        <v>#N/A</v>
      </c>
      <c r="AD622" s="8" t="str">
        <f t="array" ref="AD622">INDEX(Subject!$A:$I,MATCH(RANDBETWEEN(1,16),Subject!$B:$B,0),3)</f>
        <v>#N/A</v>
      </c>
      <c r="AE622" s="8" t="str">
        <f t="array" ref="AE622">INDEX(Subject!$A:$I,MATCH(RANDBETWEEN(1,16),Subject!$B:$B,0),3)</f>
        <v>#N/A</v>
      </c>
      <c r="AF622" s="8" t="str">
        <f t="array" ref="AF622">INDEX(Subject!$A:$I,MATCH(RANDBETWEEN(1,16),Subject!$B:$B,0),3)</f>
        <v>#N/A</v>
      </c>
      <c r="AG622" s="8" t="str">
        <f t="array" ref="AG622">INDEX(Subject!$A:$I,MATCH(RANDBETWEEN(1,16),Subject!$B:$B,0),3)</f>
        <v>#N/A</v>
      </c>
      <c r="AH622" s="8" t="str">
        <f t="array" ref="AH622">INDEX(Subject!$A:$I,MATCH(RANDBETWEEN(1,16),Subject!$B:$B,0),3)</f>
        <v>#N/A</v>
      </c>
      <c r="AI622" s="8" t="str">
        <f t="array" ref="AI622">INDEX(Subject!$A:$I,MATCH(RANDBETWEEN(1,16),Subject!$B:$B,0),3)</f>
        <v>#N/A</v>
      </c>
      <c r="AJ622" s="8" t="str">
        <f t="array" ref="AJ622">INDEX(Subject!$A:$I,MATCH(RANDBETWEEN(1,16),Subject!$B:$B,0),3)</f>
        <v>#N/A</v>
      </c>
      <c r="AK622" s="8" t="str">
        <f t="array" ref="AK622">INDEX(Subject!$A:$I,MATCH(RANDBETWEEN(1,16),Subject!$B:$B,0),3)</f>
        <v>#N/A</v>
      </c>
      <c r="AL622" s="8" t="str">
        <f t="array" ref="AL622">INDEX(Subject!$A:$I,MATCH(RANDBETWEEN(1,16),Subject!$B:$B,0),3)</f>
        <v>#N/A</v>
      </c>
      <c r="AM622" s="18">
        <f t="shared" si="4"/>
        <v>46122.33333</v>
      </c>
      <c r="AN622" s="19">
        <f t="shared" ref="AN622:BZ622" si="622">$A622+C$1</f>
        <v>46122.35417</v>
      </c>
      <c r="AO622" s="19">
        <f t="shared" si="622"/>
        <v>46122.375</v>
      </c>
      <c r="AP622" s="19">
        <f t="shared" si="622"/>
        <v>46122.39583</v>
      </c>
      <c r="AQ622" s="19">
        <f t="shared" si="622"/>
        <v>46122.41667</v>
      </c>
      <c r="AR622" s="19">
        <f t="shared" si="622"/>
        <v>46122.4375</v>
      </c>
      <c r="AS622" s="19">
        <f t="shared" si="622"/>
        <v>46122.45833</v>
      </c>
      <c r="AT622" s="19">
        <f t="shared" si="622"/>
        <v>46122.47917</v>
      </c>
      <c r="AU622" s="19">
        <f t="shared" si="622"/>
        <v>46122.5</v>
      </c>
      <c r="AV622" s="19">
        <f t="shared" si="622"/>
        <v>46122.52083</v>
      </c>
      <c r="AW622" s="19">
        <f t="shared" si="622"/>
        <v>46122.54167</v>
      </c>
      <c r="AX622" s="19">
        <f t="shared" si="622"/>
        <v>46122.5625</v>
      </c>
      <c r="AY622" s="19">
        <f t="shared" si="622"/>
        <v>46122.58333</v>
      </c>
      <c r="AZ622" s="19">
        <f t="shared" si="622"/>
        <v>46122.60417</v>
      </c>
      <c r="BA622" s="19">
        <f t="shared" si="622"/>
        <v>46122.625</v>
      </c>
      <c r="BB622" s="19">
        <f t="shared" si="622"/>
        <v>46122.64583</v>
      </c>
      <c r="BC622" s="19">
        <f t="shared" si="622"/>
        <v>46122.66667</v>
      </c>
      <c r="BD622" s="19">
        <f t="shared" si="622"/>
        <v>46122.6875</v>
      </c>
      <c r="BE622" s="19">
        <f t="shared" si="622"/>
        <v>46122.70833</v>
      </c>
      <c r="BF622" s="19">
        <f t="shared" si="622"/>
        <v>46122.72917</v>
      </c>
      <c r="BG622" s="19">
        <f t="shared" si="622"/>
        <v>46122.75</v>
      </c>
      <c r="BH622" s="19">
        <f t="shared" si="622"/>
        <v>46122.77083</v>
      </c>
      <c r="BI622" s="19">
        <f t="shared" si="622"/>
        <v>46122.79167</v>
      </c>
      <c r="BJ622" s="19">
        <f t="shared" si="622"/>
        <v>46122.8125</v>
      </c>
      <c r="BK622" s="19">
        <f t="shared" si="622"/>
        <v>46122.83333</v>
      </c>
      <c r="BL622" s="19">
        <f t="shared" si="622"/>
        <v>46122.85417</v>
      </c>
      <c r="BM622" s="19">
        <f t="shared" si="622"/>
        <v>46122.875</v>
      </c>
      <c r="BN622" s="19">
        <f t="shared" si="622"/>
        <v>46122.89583</v>
      </c>
      <c r="BO622" s="19">
        <f t="shared" si="622"/>
        <v>46122.91667</v>
      </c>
      <c r="BP622" s="19">
        <f t="shared" si="622"/>
        <v>46122.9375</v>
      </c>
      <c r="BQ622" s="19">
        <f t="shared" si="622"/>
        <v>46122.95833</v>
      </c>
      <c r="BR622" s="19">
        <f t="shared" si="622"/>
        <v>46122.97917</v>
      </c>
      <c r="BS622" s="19">
        <f t="shared" si="622"/>
        <v>46123</v>
      </c>
      <c r="BT622" s="19">
        <f t="shared" si="622"/>
        <v>46123.02083</v>
      </c>
      <c r="BU622" s="19">
        <f t="shared" si="622"/>
        <v>46123.04167</v>
      </c>
      <c r="BV622" s="19">
        <f t="shared" si="622"/>
        <v>46123.0625</v>
      </c>
      <c r="BW622" s="19">
        <f t="shared" si="622"/>
        <v>46123.08333</v>
      </c>
      <c r="BX622" s="19">
        <f t="shared" si="622"/>
        <v>46122</v>
      </c>
      <c r="BY622" s="19">
        <f t="shared" si="622"/>
        <v>46122</v>
      </c>
      <c r="BZ622" s="19">
        <f t="shared" si="622"/>
        <v>46122</v>
      </c>
    </row>
    <row r="623" ht="14.25" customHeight="1">
      <c r="A623" s="17">
        <v>46123.0</v>
      </c>
      <c r="B623" s="2" t="str">
        <f t="array" ref="B623">IF(NOW()&gt;AM623,"",IF(AND((WEEKDAY($A623)+$B$2)&gt;1,((WEEKDAY($A623)+$T$2)&lt;7),(WEEKDAY($A623)&lt;&gt;1)),"work",(INDEX(Subject!$A:$I,MATCH(RANDBETWEEN(1,(MAX(Subject!$B:$B))),Subject!$B:$B,0),3))))</f>
        <v/>
      </c>
      <c r="C623" s="2" t="str">
        <f t="array" ref="C623">IF(NOW()&gt;AN623,"",IF(AND((WEEKDAY($A623)+$B$2)&gt;1,((WEEKDAY($A623)+$T$2)&lt;7),(WEEKDAY($A623)&lt;&gt;1)),"work",(INDEX(Subject!$A:$I,MATCH(RANDBETWEEN(1,(MAX(Subject!$B:$B))),Subject!$B:$B,0),3))))</f>
        <v/>
      </c>
      <c r="D623" s="2" t="str">
        <f t="array" ref="D623">IF(NOW()&gt;AO623,"",IF(AND((WEEKDAY($A623)+$B$2)&gt;1,((WEEKDAY($A623)+$T$2)&lt;7),(WEEKDAY($A623)&lt;&gt;1)),"work",(INDEX(Subject!$A:$I,MATCH(RANDBETWEEN(1,(MAX(Subject!$B:$B))),Subject!$B:$B,0),3))))</f>
        <v/>
      </c>
      <c r="E623" s="2" t="str">
        <f t="array" ref="E623">IF(NOW()&gt;AP623,"",IF(AND((WEEKDAY($A623)+$B$2)&gt;1,((WEEKDAY($A623)+$T$2)&lt;7),(WEEKDAY($A623)&lt;&gt;1)),"work",(INDEX(Subject!$A:$I,MATCH(RANDBETWEEN(1,(MAX(Subject!$B:$B))),Subject!$B:$B,0),3))))</f>
        <v/>
      </c>
      <c r="F623" s="2" t="str">
        <f t="array" ref="F623">IF(NOW()&gt;AQ623,"",IF(AND((WEEKDAY($A623)+$B$2)&gt;1,((WEEKDAY($A623)+$T$2)&lt;7),(WEEKDAY($A623)&lt;&gt;1)),"work",(INDEX(Subject!$A:$I,MATCH(RANDBETWEEN(1,(MAX(Subject!$B:$B))),Subject!$B:$B,0),3))))</f>
        <v/>
      </c>
      <c r="G623" s="2" t="str">
        <f t="array" ref="G623">IF(NOW()&gt;AR623,"",IF(AND((WEEKDAY($A623)+$B$2)&gt;1,((WEEKDAY($A623)+$T$2)&lt;7),(WEEKDAY($A623)&lt;&gt;1)),"work",(INDEX(Subject!$A:$I,MATCH(RANDBETWEEN(1,(MAX(Subject!$B:$B))),Subject!$B:$B,0),3))))</f>
        <v/>
      </c>
      <c r="H623" s="2" t="str">
        <f t="array" ref="H623">IF(NOW()&gt;AS623,"",IF(AND((WEEKDAY($A623)+$B$2)&gt;1,((WEEKDAY($A623)+$T$2)&lt;7),(WEEKDAY($A623)&lt;&gt;1)),"work",(INDEX(Subject!$A:$I,MATCH(RANDBETWEEN(1,(MAX(Subject!$B:$B))),Subject!$B:$B,0),3))))</f>
        <v/>
      </c>
      <c r="I623" s="2" t="str">
        <f t="array" ref="I623">IF(NOW()&gt;AT623,"",IF(AND((WEEKDAY($A623)+$B$2)&gt;1,((WEEKDAY($A623)+$T$2)&lt;7),(WEEKDAY($A623)&lt;&gt;1)),"work",(INDEX(Subject!$A:$I,MATCH(RANDBETWEEN(1,(MAX(Subject!$B:$B))),Subject!$B:$B,0),3))))</f>
        <v/>
      </c>
      <c r="J623" s="2" t="str">
        <f t="array" ref="J623">IF(NOW()&gt;AU623,"",IF(AND((WEEKDAY($A623)+$B$2)&gt;1,((WEEKDAY($A623)+$T$2)&lt;7),(WEEKDAY($A623)&lt;&gt;1)),"work",(INDEX(Subject!$A:$I,MATCH(RANDBETWEEN(1,(MAX(Subject!$B:$B))),Subject!$B:$B,0),3))))</f>
        <v/>
      </c>
      <c r="K623" s="2" t="str">
        <f t="array" ref="K623">IF(NOW()&gt;AV623,"",IF(AND((WEEKDAY($A623)+$B$2)&gt;1,((WEEKDAY($A623)+$T$2)&lt;7),(WEEKDAY($A623)&lt;&gt;1)),"work",(INDEX(Subject!$A:$I,MATCH(RANDBETWEEN(1,(MAX(Subject!$B:$B))),Subject!$B:$B,0),3))))</f>
        <v/>
      </c>
      <c r="L623" s="2" t="str">
        <f t="array" ref="L623">IF(NOW()&gt;AW623,"",IF(AND((WEEKDAY($A623)+$B$2)&gt;1,((WEEKDAY($A623)+$T$2)&lt;7),(WEEKDAY($A623)&lt;&gt;1)),"work",(INDEX(Subject!$A:$I,MATCH(RANDBETWEEN(1,(MAX(Subject!$B:$B))),Subject!$B:$B,0),3))))</f>
        <v/>
      </c>
      <c r="M623" s="2" t="str">
        <f t="array" ref="M623">IF(NOW()&gt;AX623,"",IF(AND((WEEKDAY($A623)+$B$2)&gt;1,((WEEKDAY($A623)+$T$2)&lt;7),(WEEKDAY($A623)&lt;&gt;1)),"work",(INDEX(Subject!$A:$I,MATCH(RANDBETWEEN(1,(MAX(Subject!$B:$B))),Subject!$B:$B,0),3))))</f>
        <v/>
      </c>
      <c r="N623" s="2" t="str">
        <f t="array" ref="N623">IF(NOW()&gt;AY623,"",IF(AND((WEEKDAY($A623)+$B$2)&gt;1,((WEEKDAY($A623)+$T$2)&lt;7),(WEEKDAY($A623)&lt;&gt;1)),"work",(INDEX(Subject!$A:$I,MATCH(RANDBETWEEN(1,(MAX(Subject!$B:$B))),Subject!$B:$B,0),3))))</f>
        <v/>
      </c>
      <c r="O623" s="2" t="str">
        <f t="array" ref="O623">IF(NOW()&gt;AZ623,"",IF(AND((WEEKDAY($A623)+$B$2)&gt;1,((WEEKDAY($A623)+$T$2)&lt;7),(WEEKDAY($A623)&lt;&gt;1)),"work",(INDEX(Subject!$A:$I,MATCH(RANDBETWEEN(1,(MAX(Subject!$B:$B))),Subject!$B:$B,0),3))))</f>
        <v/>
      </c>
      <c r="P623" s="2" t="str">
        <f t="array" ref="P623">IF(NOW()&gt;BA623,"",IF(AND((WEEKDAY($A623)+$B$2)&gt;1,((WEEKDAY($A623)+$T$2)&lt;7),(WEEKDAY($A623)&lt;&gt;1)),"work",(INDEX(Subject!$A:$I,MATCH(RANDBETWEEN(1,(MAX(Subject!$B:$B))),Subject!$B:$B,0),3))))</f>
        <v/>
      </c>
      <c r="Q623" s="2" t="str">
        <f t="array" ref="Q623">IF(NOW()&gt;BB623,"",IF(AND((WEEKDAY($A623)+$B$2)&gt;1,((WEEKDAY($A623)+$T$2)&lt;7),(WEEKDAY($A623)&lt;&gt;1)),"work",(INDEX(Subject!$A:$I,MATCH(RANDBETWEEN(1,(MAX(Subject!$B:$B))),Subject!$B:$B,0),3))))</f>
        <v/>
      </c>
      <c r="R623" s="2" t="str">
        <f t="array" ref="R623">IF(NOW()&gt;BC623,"",IF(AND((WEEKDAY($A623)+$B$2)&gt;1,((WEEKDAY($A623)+$T$2)&lt;7),(WEEKDAY($A623)&lt;&gt;1)),"work",(INDEX(Subject!$A:$I,MATCH(RANDBETWEEN(1,(MAX(Subject!$B:$B))),Subject!$B:$B,0),3))))</f>
        <v/>
      </c>
      <c r="S623" s="2" t="str">
        <f t="array" ref="S623">IF(NOW()&gt;BD623,"",IF(AND((WEEKDAY($A623)+$B$2)&gt;1,((WEEKDAY($A623)+$T$2)&lt;7),(WEEKDAY($A623)&lt;&gt;1)),"work",(INDEX(Subject!$A:$I,MATCH(RANDBETWEEN(1,(MAX(Subject!$B:$B))),Subject!$B:$B,0),3))))</f>
        <v/>
      </c>
      <c r="T623" s="2" t="str">
        <f t="array" ref="T623">IF(NOW()&gt;BE623,"",IF(AND((WEEKDAY($A623)+$B$2)&gt;1,((WEEKDAY($A623)+$T$2)&lt;7),(WEEKDAY($A623)&lt;&gt;1)),"work",(INDEX(Subject!$A:$I,MATCH(RANDBETWEEN(1,(MAX(Subject!$B:$B))),Subject!$B:$B,0),3))))</f>
        <v/>
      </c>
      <c r="U623" s="8" t="str">
        <f t="array" ref="U623">INDEX(Subject!$A:$I,MATCH(RANDBETWEEN(1,16),Subject!$B:$B,0),3)</f>
        <v>#N/A</v>
      </c>
      <c r="V623" s="8" t="str">
        <f t="array" ref="V623">INDEX(Subject!$A:$I,MATCH(RANDBETWEEN(1,16),Subject!$B:$B,0),3)</f>
        <v>#N/A</v>
      </c>
      <c r="W623" s="8" t="str">
        <f t="array" ref="W623">INDEX(Subject!$A:$I,MATCH(RANDBETWEEN(1,16),Subject!$B:$B,0),3)</f>
        <v>#N/A</v>
      </c>
      <c r="X623" s="8" t="str">
        <f t="array" ref="X623">INDEX(Subject!$A:$I,MATCH(RANDBETWEEN(1,16),Subject!$B:$B,0),3)</f>
        <v/>
      </c>
      <c r="Y623" s="8" t="str">
        <f t="array" ref="Y623">INDEX(Subject!$A:$I,MATCH(RANDBETWEEN(1,16),Subject!$B:$B,0),3)</f>
        <v>#N/A</v>
      </c>
      <c r="Z623" s="8" t="str">
        <f t="array" ref="Z623">INDEX(Subject!$A:$I,MATCH(RANDBETWEEN(1,16),Subject!$B:$B,0),3)</f>
        <v/>
      </c>
      <c r="AA623" s="8" t="str">
        <f t="array" ref="AA623">INDEX(Subject!$A:$I,MATCH(RANDBETWEEN(1,16),Subject!$B:$B,0),3)</f>
        <v>#N/A</v>
      </c>
      <c r="AB623" s="8" t="str">
        <f t="array" ref="AB623">INDEX(Subject!$A:$I,MATCH(RANDBETWEEN(1,16),Subject!$B:$B,0),3)</f>
        <v>#N/A</v>
      </c>
      <c r="AC623" s="8" t="str">
        <f t="array" ref="AC623">INDEX(Subject!$A:$I,MATCH(RANDBETWEEN(1,16),Subject!$B:$B,0),3)</f>
        <v>#N/A</v>
      </c>
      <c r="AD623" s="8" t="str">
        <f t="array" ref="AD623">INDEX(Subject!$A:$I,MATCH(RANDBETWEEN(1,16),Subject!$B:$B,0),3)</f>
        <v>#N/A</v>
      </c>
      <c r="AE623" s="8" t="str">
        <f t="array" ref="AE623">INDEX(Subject!$A:$I,MATCH(RANDBETWEEN(1,16),Subject!$B:$B,0),3)</f>
        <v>#N/A</v>
      </c>
      <c r="AF623" s="8" t="str">
        <f t="array" ref="AF623">INDEX(Subject!$A:$I,MATCH(RANDBETWEEN(1,16),Subject!$B:$B,0),3)</f>
        <v>#N/A</v>
      </c>
      <c r="AG623" s="8" t="str">
        <f t="array" ref="AG623">INDEX(Subject!$A:$I,MATCH(RANDBETWEEN(1,16),Subject!$B:$B,0),3)</f>
        <v>#N/A</v>
      </c>
      <c r="AH623" s="8" t="str">
        <f t="array" ref="AH623">INDEX(Subject!$A:$I,MATCH(RANDBETWEEN(1,16),Subject!$B:$B,0),3)</f>
        <v>#N/A</v>
      </c>
      <c r="AI623" s="8" t="str">
        <f t="array" ref="AI623">INDEX(Subject!$A:$I,MATCH(RANDBETWEEN(1,16),Subject!$B:$B,0),3)</f>
        <v>#N/A</v>
      </c>
      <c r="AJ623" s="8" t="str">
        <f t="array" ref="AJ623">INDEX(Subject!$A:$I,MATCH(RANDBETWEEN(1,16),Subject!$B:$B,0),3)</f>
        <v>#N/A</v>
      </c>
      <c r="AK623" s="8" t="str">
        <f t="array" ref="AK623">INDEX(Subject!$A:$I,MATCH(RANDBETWEEN(1,16),Subject!$B:$B,0),3)</f>
        <v>#N/A</v>
      </c>
      <c r="AL623" s="8" t="str">
        <f t="array" ref="AL623">INDEX(Subject!$A:$I,MATCH(RANDBETWEEN(1,16),Subject!$B:$B,0),3)</f>
        <v>#N/A</v>
      </c>
      <c r="AM623" s="18">
        <f t="shared" si="4"/>
        <v>46123.33333</v>
      </c>
      <c r="AN623" s="19">
        <f t="shared" ref="AN623:BZ623" si="623">$A623+C$1</f>
        <v>46123.35417</v>
      </c>
      <c r="AO623" s="19">
        <f t="shared" si="623"/>
        <v>46123.375</v>
      </c>
      <c r="AP623" s="19">
        <f t="shared" si="623"/>
        <v>46123.39583</v>
      </c>
      <c r="AQ623" s="19">
        <f t="shared" si="623"/>
        <v>46123.41667</v>
      </c>
      <c r="AR623" s="19">
        <f t="shared" si="623"/>
        <v>46123.4375</v>
      </c>
      <c r="AS623" s="19">
        <f t="shared" si="623"/>
        <v>46123.45833</v>
      </c>
      <c r="AT623" s="19">
        <f t="shared" si="623"/>
        <v>46123.47917</v>
      </c>
      <c r="AU623" s="19">
        <f t="shared" si="623"/>
        <v>46123.5</v>
      </c>
      <c r="AV623" s="19">
        <f t="shared" si="623"/>
        <v>46123.52083</v>
      </c>
      <c r="AW623" s="19">
        <f t="shared" si="623"/>
        <v>46123.54167</v>
      </c>
      <c r="AX623" s="19">
        <f t="shared" si="623"/>
        <v>46123.5625</v>
      </c>
      <c r="AY623" s="19">
        <f t="shared" si="623"/>
        <v>46123.58333</v>
      </c>
      <c r="AZ623" s="19">
        <f t="shared" si="623"/>
        <v>46123.60417</v>
      </c>
      <c r="BA623" s="19">
        <f t="shared" si="623"/>
        <v>46123.625</v>
      </c>
      <c r="BB623" s="19">
        <f t="shared" si="623"/>
        <v>46123.64583</v>
      </c>
      <c r="BC623" s="19">
        <f t="shared" si="623"/>
        <v>46123.66667</v>
      </c>
      <c r="BD623" s="19">
        <f t="shared" si="623"/>
        <v>46123.6875</v>
      </c>
      <c r="BE623" s="19">
        <f t="shared" si="623"/>
        <v>46123.70833</v>
      </c>
      <c r="BF623" s="19">
        <f t="shared" si="623"/>
        <v>46123.72917</v>
      </c>
      <c r="BG623" s="19">
        <f t="shared" si="623"/>
        <v>46123.75</v>
      </c>
      <c r="BH623" s="19">
        <f t="shared" si="623"/>
        <v>46123.77083</v>
      </c>
      <c r="BI623" s="19">
        <f t="shared" si="623"/>
        <v>46123.79167</v>
      </c>
      <c r="BJ623" s="19">
        <f t="shared" si="623"/>
        <v>46123.8125</v>
      </c>
      <c r="BK623" s="19">
        <f t="shared" si="623"/>
        <v>46123.83333</v>
      </c>
      <c r="BL623" s="19">
        <f t="shared" si="623"/>
        <v>46123.85417</v>
      </c>
      <c r="BM623" s="19">
        <f t="shared" si="623"/>
        <v>46123.875</v>
      </c>
      <c r="BN623" s="19">
        <f t="shared" si="623"/>
        <v>46123.89583</v>
      </c>
      <c r="BO623" s="19">
        <f t="shared" si="623"/>
        <v>46123.91667</v>
      </c>
      <c r="BP623" s="19">
        <f t="shared" si="623"/>
        <v>46123.9375</v>
      </c>
      <c r="BQ623" s="19">
        <f t="shared" si="623"/>
        <v>46123.95833</v>
      </c>
      <c r="BR623" s="19">
        <f t="shared" si="623"/>
        <v>46123.97917</v>
      </c>
      <c r="BS623" s="19">
        <f t="shared" si="623"/>
        <v>46124</v>
      </c>
      <c r="BT623" s="19">
        <f t="shared" si="623"/>
        <v>46124.02083</v>
      </c>
      <c r="BU623" s="19">
        <f t="shared" si="623"/>
        <v>46124.04167</v>
      </c>
      <c r="BV623" s="19">
        <f t="shared" si="623"/>
        <v>46124.0625</v>
      </c>
      <c r="BW623" s="19">
        <f t="shared" si="623"/>
        <v>46124.08333</v>
      </c>
      <c r="BX623" s="19">
        <f t="shared" si="623"/>
        <v>46123</v>
      </c>
      <c r="BY623" s="19">
        <f t="shared" si="623"/>
        <v>46123</v>
      </c>
      <c r="BZ623" s="19">
        <f t="shared" si="623"/>
        <v>46123</v>
      </c>
    </row>
    <row r="624" ht="14.25" customHeight="1">
      <c r="A624" s="17">
        <v>46124.0</v>
      </c>
      <c r="B624" s="2" t="str">
        <f t="array" ref="B624">IF(NOW()&gt;AM624,"",IF(AND((WEEKDAY($A624)+$B$2)&gt;1,((WEEKDAY($A624)+$T$2)&lt;7),(WEEKDAY($A624)&lt;&gt;1)),"work",(INDEX(Subject!$A:$I,MATCH(RANDBETWEEN(1,(MAX(Subject!$B:$B))),Subject!$B:$B,0),3))))</f>
        <v/>
      </c>
      <c r="C624" s="2" t="str">
        <f t="array" ref="C624">IF(NOW()&gt;AN624,"",IF(AND((WEEKDAY($A624)+$B$2)&gt;1,((WEEKDAY($A624)+$T$2)&lt;7),(WEEKDAY($A624)&lt;&gt;1)),"work",(INDEX(Subject!$A:$I,MATCH(RANDBETWEEN(1,(MAX(Subject!$B:$B))),Subject!$B:$B,0),3))))</f>
        <v/>
      </c>
      <c r="D624" s="2" t="str">
        <f t="array" ref="D624">IF(NOW()&gt;AO624,"",IF(AND((WEEKDAY($A624)+$B$2)&gt;1,((WEEKDAY($A624)+$T$2)&lt;7),(WEEKDAY($A624)&lt;&gt;1)),"work",(INDEX(Subject!$A:$I,MATCH(RANDBETWEEN(1,(MAX(Subject!$B:$B))),Subject!$B:$B,0),3))))</f>
        <v/>
      </c>
      <c r="E624" s="2" t="str">
        <f t="array" ref="E624">IF(NOW()&gt;AP624,"",IF(AND((WEEKDAY($A624)+$B$2)&gt;1,((WEEKDAY($A624)+$T$2)&lt;7),(WEEKDAY($A624)&lt;&gt;1)),"work",(INDEX(Subject!$A:$I,MATCH(RANDBETWEEN(1,(MAX(Subject!$B:$B))),Subject!$B:$B,0),3))))</f>
        <v/>
      </c>
      <c r="F624" s="2" t="str">
        <f t="array" ref="F624">IF(NOW()&gt;AQ624,"",IF(AND((WEEKDAY($A624)+$B$2)&gt;1,((WEEKDAY($A624)+$T$2)&lt;7),(WEEKDAY($A624)&lt;&gt;1)),"work",(INDEX(Subject!$A:$I,MATCH(RANDBETWEEN(1,(MAX(Subject!$B:$B))),Subject!$B:$B,0),3))))</f>
        <v/>
      </c>
      <c r="G624" s="2" t="str">
        <f t="array" ref="G624">IF(NOW()&gt;AR624,"",IF(AND((WEEKDAY($A624)+$B$2)&gt;1,((WEEKDAY($A624)+$T$2)&lt;7),(WEEKDAY($A624)&lt;&gt;1)),"work",(INDEX(Subject!$A:$I,MATCH(RANDBETWEEN(1,(MAX(Subject!$B:$B))),Subject!$B:$B,0),3))))</f>
        <v/>
      </c>
      <c r="H624" s="2" t="str">
        <f t="array" ref="H624">IF(NOW()&gt;AS624,"",IF(AND((WEEKDAY($A624)+$B$2)&gt;1,((WEEKDAY($A624)+$T$2)&lt;7),(WEEKDAY($A624)&lt;&gt;1)),"work",(INDEX(Subject!$A:$I,MATCH(RANDBETWEEN(1,(MAX(Subject!$B:$B))),Subject!$B:$B,0),3))))</f>
        <v/>
      </c>
      <c r="I624" s="2" t="str">
        <f t="array" ref="I624">IF(NOW()&gt;AT624,"",IF(AND((WEEKDAY($A624)+$B$2)&gt;1,((WEEKDAY($A624)+$T$2)&lt;7),(WEEKDAY($A624)&lt;&gt;1)),"work",(INDEX(Subject!$A:$I,MATCH(RANDBETWEEN(1,(MAX(Subject!$B:$B))),Subject!$B:$B,0),3))))</f>
        <v/>
      </c>
      <c r="J624" s="2" t="str">
        <f t="array" ref="J624">IF(NOW()&gt;AU624,"",IF(AND((WEEKDAY($A624)+$B$2)&gt;1,((WEEKDAY($A624)+$T$2)&lt;7),(WEEKDAY($A624)&lt;&gt;1)),"work",(INDEX(Subject!$A:$I,MATCH(RANDBETWEEN(1,(MAX(Subject!$B:$B))),Subject!$B:$B,0),3))))</f>
        <v/>
      </c>
      <c r="K624" s="2" t="str">
        <f t="array" ref="K624">IF(NOW()&gt;AV624,"",IF(AND((WEEKDAY($A624)+$B$2)&gt;1,((WEEKDAY($A624)+$T$2)&lt;7),(WEEKDAY($A624)&lt;&gt;1)),"work",(INDEX(Subject!$A:$I,MATCH(RANDBETWEEN(1,(MAX(Subject!$B:$B))),Subject!$B:$B,0),3))))</f>
        <v/>
      </c>
      <c r="L624" s="2" t="str">
        <f t="array" ref="L624">IF(NOW()&gt;AW624,"",IF(AND((WEEKDAY($A624)+$B$2)&gt;1,((WEEKDAY($A624)+$T$2)&lt;7),(WEEKDAY($A624)&lt;&gt;1)),"work",(INDEX(Subject!$A:$I,MATCH(RANDBETWEEN(1,(MAX(Subject!$B:$B))),Subject!$B:$B,0),3))))</f>
        <v/>
      </c>
      <c r="M624" s="2" t="str">
        <f t="array" ref="M624">IF(NOW()&gt;AX624,"",IF(AND((WEEKDAY($A624)+$B$2)&gt;1,((WEEKDAY($A624)+$T$2)&lt;7),(WEEKDAY($A624)&lt;&gt;1)),"work",(INDEX(Subject!$A:$I,MATCH(RANDBETWEEN(1,(MAX(Subject!$B:$B))),Subject!$B:$B,0),3))))</f>
        <v/>
      </c>
      <c r="N624" s="2" t="str">
        <f t="array" ref="N624">IF(NOW()&gt;AY624,"",IF(AND((WEEKDAY($A624)+$B$2)&gt;1,((WEEKDAY($A624)+$T$2)&lt;7),(WEEKDAY($A624)&lt;&gt;1)),"work",(INDEX(Subject!$A:$I,MATCH(RANDBETWEEN(1,(MAX(Subject!$B:$B))),Subject!$B:$B,0),3))))</f>
        <v/>
      </c>
      <c r="O624" s="2" t="str">
        <f t="array" ref="O624">IF(NOW()&gt;AZ624,"",IF(AND((WEEKDAY($A624)+$B$2)&gt;1,((WEEKDAY($A624)+$T$2)&lt;7),(WEEKDAY($A624)&lt;&gt;1)),"work",(INDEX(Subject!$A:$I,MATCH(RANDBETWEEN(1,(MAX(Subject!$B:$B))),Subject!$B:$B,0),3))))</f>
        <v/>
      </c>
      <c r="P624" s="2" t="str">
        <f t="array" ref="P624">IF(NOW()&gt;BA624,"",IF(AND((WEEKDAY($A624)+$B$2)&gt;1,((WEEKDAY($A624)+$T$2)&lt;7),(WEEKDAY($A624)&lt;&gt;1)),"work",(INDEX(Subject!$A:$I,MATCH(RANDBETWEEN(1,(MAX(Subject!$B:$B))),Subject!$B:$B,0),3))))</f>
        <v/>
      </c>
      <c r="Q624" s="2" t="str">
        <f t="array" ref="Q624">IF(NOW()&gt;BB624,"",IF(AND((WEEKDAY($A624)+$B$2)&gt;1,((WEEKDAY($A624)+$T$2)&lt;7),(WEEKDAY($A624)&lt;&gt;1)),"work",(INDEX(Subject!$A:$I,MATCH(RANDBETWEEN(1,(MAX(Subject!$B:$B))),Subject!$B:$B,0),3))))</f>
        <v/>
      </c>
      <c r="R624" s="2" t="str">
        <f t="array" ref="R624">IF(NOW()&gt;BC624,"",IF(AND((WEEKDAY($A624)+$B$2)&gt;1,((WEEKDAY($A624)+$T$2)&lt;7),(WEEKDAY($A624)&lt;&gt;1)),"work",(INDEX(Subject!$A:$I,MATCH(RANDBETWEEN(1,(MAX(Subject!$B:$B))),Subject!$B:$B,0),3))))</f>
        <v/>
      </c>
      <c r="S624" s="2" t="str">
        <f t="array" ref="S624">IF(NOW()&gt;BD624,"",IF(AND((WEEKDAY($A624)+$B$2)&gt;1,((WEEKDAY($A624)+$T$2)&lt;7),(WEEKDAY($A624)&lt;&gt;1)),"work",(INDEX(Subject!$A:$I,MATCH(RANDBETWEEN(1,(MAX(Subject!$B:$B))),Subject!$B:$B,0),3))))</f>
        <v/>
      </c>
      <c r="T624" s="2" t="str">
        <f t="array" ref="T624">IF(NOW()&gt;BE624,"",IF(AND((WEEKDAY($A624)+$B$2)&gt;1,((WEEKDAY($A624)+$T$2)&lt;7),(WEEKDAY($A624)&lt;&gt;1)),"work",(INDEX(Subject!$A:$I,MATCH(RANDBETWEEN(1,(MAX(Subject!$B:$B))),Subject!$B:$B,0),3))))</f>
        <v/>
      </c>
      <c r="U624" s="8" t="str">
        <f t="array" ref="U624">INDEX(Subject!$A:$I,MATCH(RANDBETWEEN(1,16),Subject!$B:$B,0),3)</f>
        <v>#N/A</v>
      </c>
      <c r="V624" s="8" t="str">
        <f t="array" ref="V624">INDEX(Subject!$A:$I,MATCH(RANDBETWEEN(1,16),Subject!$B:$B,0),3)</f>
        <v>#N/A</v>
      </c>
      <c r="W624" s="8" t="str">
        <f t="array" ref="W624">INDEX(Subject!$A:$I,MATCH(RANDBETWEEN(1,16),Subject!$B:$B,0),3)</f>
        <v>#N/A</v>
      </c>
      <c r="X624" s="8" t="str">
        <f t="array" ref="X624">INDEX(Subject!$A:$I,MATCH(RANDBETWEEN(1,16),Subject!$B:$B,0),3)</f>
        <v>#N/A</v>
      </c>
      <c r="Y624" s="8" t="str">
        <f t="array" ref="Y624">INDEX(Subject!$A:$I,MATCH(RANDBETWEEN(1,16),Subject!$B:$B,0),3)</f>
        <v>#N/A</v>
      </c>
      <c r="Z624" s="8" t="str">
        <f t="array" ref="Z624">INDEX(Subject!$A:$I,MATCH(RANDBETWEEN(1,16),Subject!$B:$B,0),3)</f>
        <v/>
      </c>
      <c r="AA624" s="8" t="str">
        <f t="array" ref="AA624">INDEX(Subject!$A:$I,MATCH(RANDBETWEEN(1,16),Subject!$B:$B,0),3)</f>
        <v>#N/A</v>
      </c>
      <c r="AB624" s="8" t="str">
        <f t="array" ref="AB624">INDEX(Subject!$A:$I,MATCH(RANDBETWEEN(1,16),Subject!$B:$B,0),3)</f>
        <v>#N/A</v>
      </c>
      <c r="AC624" s="8" t="str">
        <f t="array" ref="AC624">INDEX(Subject!$A:$I,MATCH(RANDBETWEEN(1,16),Subject!$B:$B,0),3)</f>
        <v>#N/A</v>
      </c>
      <c r="AD624" s="8" t="str">
        <f t="array" ref="AD624">INDEX(Subject!$A:$I,MATCH(RANDBETWEEN(1,16),Subject!$B:$B,0),3)</f>
        <v>#N/A</v>
      </c>
      <c r="AE624" s="8" t="str">
        <f t="array" ref="AE624">INDEX(Subject!$A:$I,MATCH(RANDBETWEEN(1,16),Subject!$B:$B,0),3)</f>
        <v/>
      </c>
      <c r="AF624" s="8" t="str">
        <f t="array" ref="AF624">INDEX(Subject!$A:$I,MATCH(RANDBETWEEN(1,16),Subject!$B:$B,0),3)</f>
        <v>#N/A</v>
      </c>
      <c r="AG624" s="8" t="str">
        <f t="array" ref="AG624">INDEX(Subject!$A:$I,MATCH(RANDBETWEEN(1,16),Subject!$B:$B,0),3)</f>
        <v>#N/A</v>
      </c>
      <c r="AH624" s="8" t="str">
        <f t="array" ref="AH624">INDEX(Subject!$A:$I,MATCH(RANDBETWEEN(1,16),Subject!$B:$B,0),3)</f>
        <v>#N/A</v>
      </c>
      <c r="AI624" s="8" t="str">
        <f t="array" ref="AI624">INDEX(Subject!$A:$I,MATCH(RANDBETWEEN(1,16),Subject!$B:$B,0),3)</f>
        <v>#N/A</v>
      </c>
      <c r="AJ624" s="8" t="str">
        <f t="array" ref="AJ624">INDEX(Subject!$A:$I,MATCH(RANDBETWEEN(1,16),Subject!$B:$B,0),3)</f>
        <v>#N/A</v>
      </c>
      <c r="AK624" s="8" t="str">
        <f t="array" ref="AK624">INDEX(Subject!$A:$I,MATCH(RANDBETWEEN(1,16),Subject!$B:$B,0),3)</f>
        <v>#N/A</v>
      </c>
      <c r="AL624" s="8" t="str">
        <f t="array" ref="AL624">INDEX(Subject!$A:$I,MATCH(RANDBETWEEN(1,16),Subject!$B:$B,0),3)</f>
        <v>#N/A</v>
      </c>
      <c r="AM624" s="18">
        <f t="shared" si="4"/>
        <v>46124.33333</v>
      </c>
      <c r="AN624" s="19">
        <f t="shared" ref="AN624:BZ624" si="624">$A624+C$1</f>
        <v>46124.35417</v>
      </c>
      <c r="AO624" s="19">
        <f t="shared" si="624"/>
        <v>46124.375</v>
      </c>
      <c r="AP624" s="19">
        <f t="shared" si="624"/>
        <v>46124.39583</v>
      </c>
      <c r="AQ624" s="19">
        <f t="shared" si="624"/>
        <v>46124.41667</v>
      </c>
      <c r="AR624" s="19">
        <f t="shared" si="624"/>
        <v>46124.4375</v>
      </c>
      <c r="AS624" s="19">
        <f t="shared" si="624"/>
        <v>46124.45833</v>
      </c>
      <c r="AT624" s="19">
        <f t="shared" si="624"/>
        <v>46124.47917</v>
      </c>
      <c r="AU624" s="19">
        <f t="shared" si="624"/>
        <v>46124.5</v>
      </c>
      <c r="AV624" s="19">
        <f t="shared" si="624"/>
        <v>46124.52083</v>
      </c>
      <c r="AW624" s="19">
        <f t="shared" si="624"/>
        <v>46124.54167</v>
      </c>
      <c r="AX624" s="19">
        <f t="shared" si="624"/>
        <v>46124.5625</v>
      </c>
      <c r="AY624" s="19">
        <f t="shared" si="624"/>
        <v>46124.58333</v>
      </c>
      <c r="AZ624" s="19">
        <f t="shared" si="624"/>
        <v>46124.60417</v>
      </c>
      <c r="BA624" s="19">
        <f t="shared" si="624"/>
        <v>46124.625</v>
      </c>
      <c r="BB624" s="19">
        <f t="shared" si="624"/>
        <v>46124.64583</v>
      </c>
      <c r="BC624" s="19">
        <f t="shared" si="624"/>
        <v>46124.66667</v>
      </c>
      <c r="BD624" s="19">
        <f t="shared" si="624"/>
        <v>46124.6875</v>
      </c>
      <c r="BE624" s="19">
        <f t="shared" si="624"/>
        <v>46124.70833</v>
      </c>
      <c r="BF624" s="19">
        <f t="shared" si="624"/>
        <v>46124.72917</v>
      </c>
      <c r="BG624" s="19">
        <f t="shared" si="624"/>
        <v>46124.75</v>
      </c>
      <c r="BH624" s="19">
        <f t="shared" si="624"/>
        <v>46124.77083</v>
      </c>
      <c r="BI624" s="19">
        <f t="shared" si="624"/>
        <v>46124.79167</v>
      </c>
      <c r="BJ624" s="19">
        <f t="shared" si="624"/>
        <v>46124.8125</v>
      </c>
      <c r="BK624" s="19">
        <f t="shared" si="624"/>
        <v>46124.83333</v>
      </c>
      <c r="BL624" s="19">
        <f t="shared" si="624"/>
        <v>46124.85417</v>
      </c>
      <c r="BM624" s="19">
        <f t="shared" si="624"/>
        <v>46124.875</v>
      </c>
      <c r="BN624" s="19">
        <f t="shared" si="624"/>
        <v>46124.89583</v>
      </c>
      <c r="BO624" s="19">
        <f t="shared" si="624"/>
        <v>46124.91667</v>
      </c>
      <c r="BP624" s="19">
        <f t="shared" si="624"/>
        <v>46124.9375</v>
      </c>
      <c r="BQ624" s="19">
        <f t="shared" si="624"/>
        <v>46124.95833</v>
      </c>
      <c r="BR624" s="19">
        <f t="shared" si="624"/>
        <v>46124.97917</v>
      </c>
      <c r="BS624" s="19">
        <f t="shared" si="624"/>
        <v>46125</v>
      </c>
      <c r="BT624" s="19">
        <f t="shared" si="624"/>
        <v>46125.02083</v>
      </c>
      <c r="BU624" s="19">
        <f t="shared" si="624"/>
        <v>46125.04167</v>
      </c>
      <c r="BV624" s="19">
        <f t="shared" si="624"/>
        <v>46125.0625</v>
      </c>
      <c r="BW624" s="19">
        <f t="shared" si="624"/>
        <v>46125.08333</v>
      </c>
      <c r="BX624" s="19">
        <f t="shared" si="624"/>
        <v>46124</v>
      </c>
      <c r="BY624" s="19">
        <f t="shared" si="624"/>
        <v>46124</v>
      </c>
      <c r="BZ624" s="19">
        <f t="shared" si="624"/>
        <v>46124</v>
      </c>
    </row>
    <row r="625" ht="14.25" customHeight="1">
      <c r="A625" s="17">
        <v>46125.0</v>
      </c>
      <c r="B625" s="2" t="str">
        <f t="array" ref="B625">IF(NOW()&gt;AM625,"",IF(AND((WEEKDAY($A625)+$B$2)&gt;1,((WEEKDAY($A625)+$T$2)&lt;7),(WEEKDAY($A625)&lt;&gt;1)),"work",(INDEX(Subject!$A:$I,MATCH(RANDBETWEEN(1,(MAX(Subject!$B:$B))),Subject!$B:$B,0),3))))</f>
        <v/>
      </c>
      <c r="C625" s="2" t="str">
        <f t="array" ref="C625">IF(NOW()&gt;AN625,"",IF(AND((WEEKDAY($A625)+$B$2)&gt;1,((WEEKDAY($A625)+$T$2)&lt;7),(WEEKDAY($A625)&lt;&gt;1)),"work",(INDEX(Subject!$A:$I,MATCH(RANDBETWEEN(1,(MAX(Subject!$B:$B))),Subject!$B:$B,0),3))))</f>
        <v/>
      </c>
      <c r="D625" s="2" t="str">
        <f t="array" ref="D625">IF(NOW()&gt;AO625,"",IF(AND((WEEKDAY($A625)+$B$2)&gt;1,((WEEKDAY($A625)+$T$2)&lt;7),(WEEKDAY($A625)&lt;&gt;1)),"work",(INDEX(Subject!$A:$I,MATCH(RANDBETWEEN(1,(MAX(Subject!$B:$B))),Subject!$B:$B,0),3))))</f>
        <v/>
      </c>
      <c r="E625" s="2" t="str">
        <f t="array" ref="E625">IF(NOW()&gt;AP625,"",IF(AND((WEEKDAY($A625)+$B$2)&gt;1,((WEEKDAY($A625)+$T$2)&lt;7),(WEEKDAY($A625)&lt;&gt;1)),"work",(INDEX(Subject!$A:$I,MATCH(RANDBETWEEN(1,(MAX(Subject!$B:$B))),Subject!$B:$B,0),3))))</f>
        <v/>
      </c>
      <c r="F625" s="2" t="str">
        <f t="array" ref="F625">IF(NOW()&gt;AQ625,"",IF(AND((WEEKDAY($A625)+$B$2)&gt;1,((WEEKDAY($A625)+$T$2)&lt;7),(WEEKDAY($A625)&lt;&gt;1)),"work",(INDEX(Subject!$A:$I,MATCH(RANDBETWEEN(1,(MAX(Subject!$B:$B))),Subject!$B:$B,0),3))))</f>
        <v/>
      </c>
      <c r="G625" s="2" t="str">
        <f t="array" ref="G625">IF(NOW()&gt;AR625,"",IF(AND((WEEKDAY($A625)+$B$2)&gt;1,((WEEKDAY($A625)+$T$2)&lt;7),(WEEKDAY($A625)&lt;&gt;1)),"work",(INDEX(Subject!$A:$I,MATCH(RANDBETWEEN(1,(MAX(Subject!$B:$B))),Subject!$B:$B,0),3))))</f>
        <v/>
      </c>
      <c r="H625" s="2" t="str">
        <f t="array" ref="H625">IF(NOW()&gt;AS625,"",IF(AND((WEEKDAY($A625)+$B$2)&gt;1,((WEEKDAY($A625)+$T$2)&lt;7),(WEEKDAY($A625)&lt;&gt;1)),"work",(INDEX(Subject!$A:$I,MATCH(RANDBETWEEN(1,(MAX(Subject!$B:$B))),Subject!$B:$B,0),3))))</f>
        <v/>
      </c>
      <c r="I625" s="2" t="str">
        <f t="array" ref="I625">IF(NOW()&gt;AT625,"",IF(AND((WEEKDAY($A625)+$B$2)&gt;1,((WEEKDAY($A625)+$T$2)&lt;7),(WEEKDAY($A625)&lt;&gt;1)),"work",(INDEX(Subject!$A:$I,MATCH(RANDBETWEEN(1,(MAX(Subject!$B:$B))),Subject!$B:$B,0),3))))</f>
        <v/>
      </c>
      <c r="J625" s="2" t="str">
        <f t="array" ref="J625">IF(NOW()&gt;AU625,"",IF(AND((WEEKDAY($A625)+$B$2)&gt;1,((WEEKDAY($A625)+$T$2)&lt;7),(WEEKDAY($A625)&lt;&gt;1)),"work",(INDEX(Subject!$A:$I,MATCH(RANDBETWEEN(1,(MAX(Subject!$B:$B))),Subject!$B:$B,0),3))))</f>
        <v/>
      </c>
      <c r="K625" s="2" t="str">
        <f t="array" ref="K625">IF(NOW()&gt;AV625,"",IF(AND((WEEKDAY($A625)+$B$2)&gt;1,((WEEKDAY($A625)+$T$2)&lt;7),(WEEKDAY($A625)&lt;&gt;1)),"work",(INDEX(Subject!$A:$I,MATCH(RANDBETWEEN(1,(MAX(Subject!$B:$B))),Subject!$B:$B,0),3))))</f>
        <v/>
      </c>
      <c r="L625" s="2" t="str">
        <f t="array" ref="L625">IF(NOW()&gt;AW625,"",IF(AND((WEEKDAY($A625)+$B$2)&gt;1,((WEEKDAY($A625)+$T$2)&lt;7),(WEEKDAY($A625)&lt;&gt;1)),"work",(INDEX(Subject!$A:$I,MATCH(RANDBETWEEN(1,(MAX(Subject!$B:$B))),Subject!$B:$B,0),3))))</f>
        <v/>
      </c>
      <c r="M625" s="2" t="str">
        <f t="array" ref="M625">IF(NOW()&gt;AX625,"",IF(AND((WEEKDAY($A625)+$B$2)&gt;1,((WEEKDAY($A625)+$T$2)&lt;7),(WEEKDAY($A625)&lt;&gt;1)),"work",(INDEX(Subject!$A:$I,MATCH(RANDBETWEEN(1,(MAX(Subject!$B:$B))),Subject!$B:$B,0),3))))</f>
        <v/>
      </c>
      <c r="N625" s="2" t="str">
        <f t="array" ref="N625">IF(NOW()&gt;AY625,"",IF(AND((WEEKDAY($A625)+$B$2)&gt;1,((WEEKDAY($A625)+$T$2)&lt;7),(WEEKDAY($A625)&lt;&gt;1)),"work",(INDEX(Subject!$A:$I,MATCH(RANDBETWEEN(1,(MAX(Subject!$B:$B))),Subject!$B:$B,0),3))))</f>
        <v/>
      </c>
      <c r="O625" s="2" t="str">
        <f t="array" ref="O625">IF(NOW()&gt;AZ625,"",IF(AND((WEEKDAY($A625)+$B$2)&gt;1,((WEEKDAY($A625)+$T$2)&lt;7),(WEEKDAY($A625)&lt;&gt;1)),"work",(INDEX(Subject!$A:$I,MATCH(RANDBETWEEN(1,(MAX(Subject!$B:$B))),Subject!$B:$B,0),3))))</f>
        <v/>
      </c>
      <c r="P625" s="2" t="str">
        <f t="array" ref="P625">IF(NOW()&gt;BA625,"",IF(AND((WEEKDAY($A625)+$B$2)&gt;1,((WEEKDAY($A625)+$T$2)&lt;7),(WEEKDAY($A625)&lt;&gt;1)),"work",(INDEX(Subject!$A:$I,MATCH(RANDBETWEEN(1,(MAX(Subject!$B:$B))),Subject!$B:$B,0),3))))</f>
        <v/>
      </c>
      <c r="Q625" s="2" t="str">
        <f t="array" ref="Q625">IF(NOW()&gt;BB625,"",IF(AND((WEEKDAY($A625)+$B$2)&gt;1,((WEEKDAY($A625)+$T$2)&lt;7),(WEEKDAY($A625)&lt;&gt;1)),"work",(INDEX(Subject!$A:$I,MATCH(RANDBETWEEN(1,(MAX(Subject!$B:$B))),Subject!$B:$B,0),3))))</f>
        <v/>
      </c>
      <c r="R625" s="2" t="str">
        <f t="array" ref="R625">IF(NOW()&gt;BC625,"",IF(AND((WEEKDAY($A625)+$B$2)&gt;1,((WEEKDAY($A625)+$T$2)&lt;7),(WEEKDAY($A625)&lt;&gt;1)),"work",(INDEX(Subject!$A:$I,MATCH(RANDBETWEEN(1,(MAX(Subject!$B:$B))),Subject!$B:$B,0),3))))</f>
        <v/>
      </c>
      <c r="S625" s="2" t="str">
        <f t="array" ref="S625">IF(NOW()&gt;BD625,"",IF(AND((WEEKDAY($A625)+$B$2)&gt;1,((WEEKDAY($A625)+$T$2)&lt;7),(WEEKDAY($A625)&lt;&gt;1)),"work",(INDEX(Subject!$A:$I,MATCH(RANDBETWEEN(1,(MAX(Subject!$B:$B))),Subject!$B:$B,0),3))))</f>
        <v/>
      </c>
      <c r="T625" s="2" t="str">
        <f t="array" ref="T625">IF(NOW()&gt;BE625,"",IF(AND((WEEKDAY($A625)+$B$2)&gt;1,((WEEKDAY($A625)+$T$2)&lt;7),(WEEKDAY($A625)&lt;&gt;1)),"work",(INDEX(Subject!$A:$I,MATCH(RANDBETWEEN(1,(MAX(Subject!$B:$B))),Subject!$B:$B,0),3))))</f>
        <v/>
      </c>
      <c r="U625" s="8" t="str">
        <f t="array" ref="U625">INDEX(Subject!$A:$I,MATCH(RANDBETWEEN(1,16),Subject!$B:$B,0),3)</f>
        <v/>
      </c>
      <c r="V625" s="8" t="str">
        <f t="array" ref="V625">INDEX(Subject!$A:$I,MATCH(RANDBETWEEN(1,16),Subject!$B:$B,0),3)</f>
        <v>#N/A</v>
      </c>
      <c r="W625" s="8" t="str">
        <f t="array" ref="W625">INDEX(Subject!$A:$I,MATCH(RANDBETWEEN(1,16),Subject!$B:$B,0),3)</f>
        <v>#N/A</v>
      </c>
      <c r="X625" s="8" t="str">
        <f t="array" ref="X625">INDEX(Subject!$A:$I,MATCH(RANDBETWEEN(1,16),Subject!$B:$B,0),3)</f>
        <v>#N/A</v>
      </c>
      <c r="Y625" s="8" t="str">
        <f t="array" ref="Y625">INDEX(Subject!$A:$I,MATCH(RANDBETWEEN(1,16),Subject!$B:$B,0),3)</f>
        <v>#N/A</v>
      </c>
      <c r="Z625" s="8" t="str">
        <f t="array" ref="Z625">INDEX(Subject!$A:$I,MATCH(RANDBETWEEN(1,16),Subject!$B:$B,0),3)</f>
        <v>#N/A</v>
      </c>
      <c r="AA625" s="8" t="str">
        <f t="array" ref="AA625">INDEX(Subject!$A:$I,MATCH(RANDBETWEEN(1,16),Subject!$B:$B,0),3)</f>
        <v>#N/A</v>
      </c>
      <c r="AB625" s="8" t="str">
        <f t="array" ref="AB625">INDEX(Subject!$A:$I,MATCH(RANDBETWEEN(1,16),Subject!$B:$B,0),3)</f>
        <v>#N/A</v>
      </c>
      <c r="AC625" s="8" t="str">
        <f t="array" ref="AC625">INDEX(Subject!$A:$I,MATCH(RANDBETWEEN(1,16),Subject!$B:$B,0),3)</f>
        <v>#N/A</v>
      </c>
      <c r="AD625" s="8" t="str">
        <f t="array" ref="AD625">INDEX(Subject!$A:$I,MATCH(RANDBETWEEN(1,16),Subject!$B:$B,0),3)</f>
        <v>#N/A</v>
      </c>
      <c r="AE625" s="8" t="str">
        <f t="array" ref="AE625">INDEX(Subject!$A:$I,MATCH(RANDBETWEEN(1,16),Subject!$B:$B,0),3)</f>
        <v>#N/A</v>
      </c>
      <c r="AF625" s="8" t="str">
        <f t="array" ref="AF625">INDEX(Subject!$A:$I,MATCH(RANDBETWEEN(1,16),Subject!$B:$B,0),3)</f>
        <v>#N/A</v>
      </c>
      <c r="AG625" s="8" t="str">
        <f t="array" ref="AG625">INDEX(Subject!$A:$I,MATCH(RANDBETWEEN(1,16),Subject!$B:$B,0),3)</f>
        <v>#N/A</v>
      </c>
      <c r="AH625" s="8" t="str">
        <f t="array" ref="AH625">INDEX(Subject!$A:$I,MATCH(RANDBETWEEN(1,16),Subject!$B:$B,0),3)</f>
        <v>#N/A</v>
      </c>
      <c r="AI625" s="8" t="str">
        <f t="array" ref="AI625">INDEX(Subject!$A:$I,MATCH(RANDBETWEEN(1,16),Subject!$B:$B,0),3)</f>
        <v>#N/A</v>
      </c>
      <c r="AJ625" s="8" t="str">
        <f t="array" ref="AJ625">INDEX(Subject!$A:$I,MATCH(RANDBETWEEN(1,16),Subject!$B:$B,0),3)</f>
        <v>#N/A</v>
      </c>
      <c r="AK625" s="8" t="str">
        <f t="array" ref="AK625">INDEX(Subject!$A:$I,MATCH(RANDBETWEEN(1,16),Subject!$B:$B,0),3)</f>
        <v>#N/A</v>
      </c>
      <c r="AL625" s="8" t="str">
        <f t="array" ref="AL625">INDEX(Subject!$A:$I,MATCH(RANDBETWEEN(1,16),Subject!$B:$B,0),3)</f>
        <v>#N/A</v>
      </c>
      <c r="AM625" s="18">
        <f t="shared" si="4"/>
        <v>46125.33333</v>
      </c>
      <c r="AN625" s="19">
        <f t="shared" ref="AN625:BZ625" si="625">$A625+C$1</f>
        <v>46125.35417</v>
      </c>
      <c r="AO625" s="19">
        <f t="shared" si="625"/>
        <v>46125.375</v>
      </c>
      <c r="AP625" s="19">
        <f t="shared" si="625"/>
        <v>46125.39583</v>
      </c>
      <c r="AQ625" s="19">
        <f t="shared" si="625"/>
        <v>46125.41667</v>
      </c>
      <c r="AR625" s="19">
        <f t="shared" si="625"/>
        <v>46125.4375</v>
      </c>
      <c r="AS625" s="19">
        <f t="shared" si="625"/>
        <v>46125.45833</v>
      </c>
      <c r="AT625" s="19">
        <f t="shared" si="625"/>
        <v>46125.47917</v>
      </c>
      <c r="AU625" s="19">
        <f t="shared" si="625"/>
        <v>46125.5</v>
      </c>
      <c r="AV625" s="19">
        <f t="shared" si="625"/>
        <v>46125.52083</v>
      </c>
      <c r="AW625" s="19">
        <f t="shared" si="625"/>
        <v>46125.54167</v>
      </c>
      <c r="AX625" s="19">
        <f t="shared" si="625"/>
        <v>46125.5625</v>
      </c>
      <c r="AY625" s="19">
        <f t="shared" si="625"/>
        <v>46125.58333</v>
      </c>
      <c r="AZ625" s="19">
        <f t="shared" si="625"/>
        <v>46125.60417</v>
      </c>
      <c r="BA625" s="19">
        <f t="shared" si="625"/>
        <v>46125.625</v>
      </c>
      <c r="BB625" s="19">
        <f t="shared" si="625"/>
        <v>46125.64583</v>
      </c>
      <c r="BC625" s="19">
        <f t="shared" si="625"/>
        <v>46125.66667</v>
      </c>
      <c r="BD625" s="19">
        <f t="shared" si="625"/>
        <v>46125.6875</v>
      </c>
      <c r="BE625" s="19">
        <f t="shared" si="625"/>
        <v>46125.70833</v>
      </c>
      <c r="BF625" s="19">
        <f t="shared" si="625"/>
        <v>46125.72917</v>
      </c>
      <c r="BG625" s="19">
        <f t="shared" si="625"/>
        <v>46125.75</v>
      </c>
      <c r="BH625" s="19">
        <f t="shared" si="625"/>
        <v>46125.77083</v>
      </c>
      <c r="BI625" s="19">
        <f t="shared" si="625"/>
        <v>46125.79167</v>
      </c>
      <c r="BJ625" s="19">
        <f t="shared" si="625"/>
        <v>46125.8125</v>
      </c>
      <c r="BK625" s="19">
        <f t="shared" si="625"/>
        <v>46125.83333</v>
      </c>
      <c r="BL625" s="19">
        <f t="shared" si="625"/>
        <v>46125.85417</v>
      </c>
      <c r="BM625" s="19">
        <f t="shared" si="625"/>
        <v>46125.875</v>
      </c>
      <c r="BN625" s="19">
        <f t="shared" si="625"/>
        <v>46125.89583</v>
      </c>
      <c r="BO625" s="19">
        <f t="shared" si="625"/>
        <v>46125.91667</v>
      </c>
      <c r="BP625" s="19">
        <f t="shared" si="625"/>
        <v>46125.9375</v>
      </c>
      <c r="BQ625" s="19">
        <f t="shared" si="625"/>
        <v>46125.95833</v>
      </c>
      <c r="BR625" s="19">
        <f t="shared" si="625"/>
        <v>46125.97917</v>
      </c>
      <c r="BS625" s="19">
        <f t="shared" si="625"/>
        <v>46126</v>
      </c>
      <c r="BT625" s="19">
        <f t="shared" si="625"/>
        <v>46126.02083</v>
      </c>
      <c r="BU625" s="19">
        <f t="shared" si="625"/>
        <v>46126.04167</v>
      </c>
      <c r="BV625" s="19">
        <f t="shared" si="625"/>
        <v>46126.0625</v>
      </c>
      <c r="BW625" s="19">
        <f t="shared" si="625"/>
        <v>46126.08333</v>
      </c>
      <c r="BX625" s="19">
        <f t="shared" si="625"/>
        <v>46125</v>
      </c>
      <c r="BY625" s="19">
        <f t="shared" si="625"/>
        <v>46125</v>
      </c>
      <c r="BZ625" s="19">
        <f t="shared" si="625"/>
        <v>46125</v>
      </c>
    </row>
    <row r="626" ht="14.25" customHeight="1">
      <c r="A626" s="17">
        <v>46126.0</v>
      </c>
      <c r="B626" s="2" t="str">
        <f t="array" ref="B626">IF(NOW()&gt;AM626,"",IF(AND((WEEKDAY($A626)+$B$2)&gt;1,((WEEKDAY($A626)+$T$2)&lt;7),(WEEKDAY($A626)&lt;&gt;1)),"work",(INDEX(Subject!$A:$I,MATCH(RANDBETWEEN(1,(MAX(Subject!$B:$B))),Subject!$B:$B,0),3))))</f>
        <v/>
      </c>
      <c r="C626" s="2" t="str">
        <f t="array" ref="C626">IF(NOW()&gt;AN626,"",IF(AND((WEEKDAY($A626)+$B$2)&gt;1,((WEEKDAY($A626)+$T$2)&lt;7),(WEEKDAY($A626)&lt;&gt;1)),"work",(INDEX(Subject!$A:$I,MATCH(RANDBETWEEN(1,(MAX(Subject!$B:$B))),Subject!$B:$B,0),3))))</f>
        <v/>
      </c>
      <c r="D626" s="2" t="str">
        <f t="array" ref="D626">IF(NOW()&gt;AO626,"",IF(AND((WEEKDAY($A626)+$B$2)&gt;1,((WEEKDAY($A626)+$T$2)&lt;7),(WEEKDAY($A626)&lt;&gt;1)),"work",(INDEX(Subject!$A:$I,MATCH(RANDBETWEEN(1,(MAX(Subject!$B:$B))),Subject!$B:$B,0),3))))</f>
        <v/>
      </c>
      <c r="E626" s="2" t="str">
        <f t="array" ref="E626">IF(NOW()&gt;AP626,"",IF(AND((WEEKDAY($A626)+$B$2)&gt;1,((WEEKDAY($A626)+$T$2)&lt;7),(WEEKDAY($A626)&lt;&gt;1)),"work",(INDEX(Subject!$A:$I,MATCH(RANDBETWEEN(1,(MAX(Subject!$B:$B))),Subject!$B:$B,0),3))))</f>
        <v/>
      </c>
      <c r="F626" s="2" t="str">
        <f t="array" ref="F626">IF(NOW()&gt;AQ626,"",IF(AND((WEEKDAY($A626)+$B$2)&gt;1,((WEEKDAY($A626)+$T$2)&lt;7),(WEEKDAY($A626)&lt;&gt;1)),"work",(INDEX(Subject!$A:$I,MATCH(RANDBETWEEN(1,(MAX(Subject!$B:$B))),Subject!$B:$B,0),3))))</f>
        <v/>
      </c>
      <c r="G626" s="2" t="str">
        <f t="array" ref="G626">IF(NOW()&gt;AR626,"",IF(AND((WEEKDAY($A626)+$B$2)&gt;1,((WEEKDAY($A626)+$T$2)&lt;7),(WEEKDAY($A626)&lt;&gt;1)),"work",(INDEX(Subject!$A:$I,MATCH(RANDBETWEEN(1,(MAX(Subject!$B:$B))),Subject!$B:$B,0),3))))</f>
        <v/>
      </c>
      <c r="H626" s="2" t="str">
        <f t="array" ref="H626">IF(NOW()&gt;AS626,"",IF(AND((WEEKDAY($A626)+$B$2)&gt;1,((WEEKDAY($A626)+$T$2)&lt;7),(WEEKDAY($A626)&lt;&gt;1)),"work",(INDEX(Subject!$A:$I,MATCH(RANDBETWEEN(1,(MAX(Subject!$B:$B))),Subject!$B:$B,0),3))))</f>
        <v/>
      </c>
      <c r="I626" s="2" t="str">
        <f t="array" ref="I626">IF(NOW()&gt;AT626,"",IF(AND((WEEKDAY($A626)+$B$2)&gt;1,((WEEKDAY($A626)+$T$2)&lt;7),(WEEKDAY($A626)&lt;&gt;1)),"work",(INDEX(Subject!$A:$I,MATCH(RANDBETWEEN(1,(MAX(Subject!$B:$B))),Subject!$B:$B,0),3))))</f>
        <v/>
      </c>
      <c r="J626" s="2" t="str">
        <f t="array" ref="J626">IF(NOW()&gt;AU626,"",IF(AND((WEEKDAY($A626)+$B$2)&gt;1,((WEEKDAY($A626)+$T$2)&lt;7),(WEEKDAY($A626)&lt;&gt;1)),"work",(INDEX(Subject!$A:$I,MATCH(RANDBETWEEN(1,(MAX(Subject!$B:$B))),Subject!$B:$B,0),3))))</f>
        <v/>
      </c>
      <c r="K626" s="2" t="str">
        <f t="array" ref="K626">IF(NOW()&gt;AV626,"",IF(AND((WEEKDAY($A626)+$B$2)&gt;1,((WEEKDAY($A626)+$T$2)&lt;7),(WEEKDAY($A626)&lt;&gt;1)),"work",(INDEX(Subject!$A:$I,MATCH(RANDBETWEEN(1,(MAX(Subject!$B:$B))),Subject!$B:$B,0),3))))</f>
        <v/>
      </c>
      <c r="L626" s="2" t="str">
        <f t="array" ref="L626">IF(NOW()&gt;AW626,"",IF(AND((WEEKDAY($A626)+$B$2)&gt;1,((WEEKDAY($A626)+$T$2)&lt;7),(WEEKDAY($A626)&lt;&gt;1)),"work",(INDEX(Subject!$A:$I,MATCH(RANDBETWEEN(1,(MAX(Subject!$B:$B))),Subject!$B:$B,0),3))))</f>
        <v/>
      </c>
      <c r="M626" s="2" t="str">
        <f t="array" ref="M626">IF(NOW()&gt;AX626,"",IF(AND((WEEKDAY($A626)+$B$2)&gt;1,((WEEKDAY($A626)+$T$2)&lt;7),(WEEKDAY($A626)&lt;&gt;1)),"work",(INDEX(Subject!$A:$I,MATCH(RANDBETWEEN(1,(MAX(Subject!$B:$B))),Subject!$B:$B,0),3))))</f>
        <v/>
      </c>
      <c r="N626" s="2" t="str">
        <f t="array" ref="N626">IF(NOW()&gt;AY626,"",IF(AND((WEEKDAY($A626)+$B$2)&gt;1,((WEEKDAY($A626)+$T$2)&lt;7),(WEEKDAY($A626)&lt;&gt;1)),"work",(INDEX(Subject!$A:$I,MATCH(RANDBETWEEN(1,(MAX(Subject!$B:$B))),Subject!$B:$B,0),3))))</f>
        <v/>
      </c>
      <c r="O626" s="2" t="str">
        <f t="array" ref="O626">IF(NOW()&gt;AZ626,"",IF(AND((WEEKDAY($A626)+$B$2)&gt;1,((WEEKDAY($A626)+$T$2)&lt;7),(WEEKDAY($A626)&lt;&gt;1)),"work",(INDEX(Subject!$A:$I,MATCH(RANDBETWEEN(1,(MAX(Subject!$B:$B))),Subject!$B:$B,0),3))))</f>
        <v/>
      </c>
      <c r="P626" s="2" t="str">
        <f t="array" ref="P626">IF(NOW()&gt;BA626,"",IF(AND((WEEKDAY($A626)+$B$2)&gt;1,((WEEKDAY($A626)+$T$2)&lt;7),(WEEKDAY($A626)&lt;&gt;1)),"work",(INDEX(Subject!$A:$I,MATCH(RANDBETWEEN(1,(MAX(Subject!$B:$B))),Subject!$B:$B,0),3))))</f>
        <v/>
      </c>
      <c r="Q626" s="2" t="str">
        <f t="array" ref="Q626">IF(NOW()&gt;BB626,"",IF(AND((WEEKDAY($A626)+$B$2)&gt;1,((WEEKDAY($A626)+$T$2)&lt;7),(WEEKDAY($A626)&lt;&gt;1)),"work",(INDEX(Subject!$A:$I,MATCH(RANDBETWEEN(1,(MAX(Subject!$B:$B))),Subject!$B:$B,0),3))))</f>
        <v/>
      </c>
      <c r="R626" s="2" t="str">
        <f t="array" ref="R626">IF(NOW()&gt;BC626,"",IF(AND((WEEKDAY($A626)+$B$2)&gt;1,((WEEKDAY($A626)+$T$2)&lt;7),(WEEKDAY($A626)&lt;&gt;1)),"work",(INDEX(Subject!$A:$I,MATCH(RANDBETWEEN(1,(MAX(Subject!$B:$B))),Subject!$B:$B,0),3))))</f>
        <v/>
      </c>
      <c r="S626" s="2" t="str">
        <f t="array" ref="S626">IF(NOW()&gt;BD626,"",IF(AND((WEEKDAY($A626)+$B$2)&gt;1,((WEEKDAY($A626)+$T$2)&lt;7),(WEEKDAY($A626)&lt;&gt;1)),"work",(INDEX(Subject!$A:$I,MATCH(RANDBETWEEN(1,(MAX(Subject!$B:$B))),Subject!$B:$B,0),3))))</f>
        <v/>
      </c>
      <c r="T626" s="2" t="str">
        <f t="array" ref="T626">IF(NOW()&gt;BE626,"",IF(AND((WEEKDAY($A626)+$B$2)&gt;1,((WEEKDAY($A626)+$T$2)&lt;7),(WEEKDAY($A626)&lt;&gt;1)),"work",(INDEX(Subject!$A:$I,MATCH(RANDBETWEEN(1,(MAX(Subject!$B:$B))),Subject!$B:$B,0),3))))</f>
        <v/>
      </c>
      <c r="U626" s="8" t="str">
        <f t="array" ref="U626">INDEX(Subject!$A:$I,MATCH(RANDBETWEEN(1,16),Subject!$B:$B,0),3)</f>
        <v>#N/A</v>
      </c>
      <c r="V626" s="8" t="str">
        <f t="array" ref="V626">INDEX(Subject!$A:$I,MATCH(RANDBETWEEN(1,16),Subject!$B:$B,0),3)</f>
        <v>#N/A</v>
      </c>
      <c r="W626" s="8" t="str">
        <f t="array" ref="W626">INDEX(Subject!$A:$I,MATCH(RANDBETWEEN(1,16),Subject!$B:$B,0),3)</f>
        <v>#N/A</v>
      </c>
      <c r="X626" s="8" t="str">
        <f t="array" ref="X626">INDEX(Subject!$A:$I,MATCH(RANDBETWEEN(1,16),Subject!$B:$B,0),3)</f>
        <v>#N/A</v>
      </c>
      <c r="Y626" s="8" t="str">
        <f t="array" ref="Y626">INDEX(Subject!$A:$I,MATCH(RANDBETWEEN(1,16),Subject!$B:$B,0),3)</f>
        <v>#N/A</v>
      </c>
      <c r="Z626" s="8" t="str">
        <f t="array" ref="Z626">INDEX(Subject!$A:$I,MATCH(RANDBETWEEN(1,16),Subject!$B:$B,0),3)</f>
        <v>#N/A</v>
      </c>
      <c r="AA626" s="8" t="str">
        <f t="array" ref="AA626">INDEX(Subject!$A:$I,MATCH(RANDBETWEEN(1,16),Subject!$B:$B,0),3)</f>
        <v>#N/A</v>
      </c>
      <c r="AB626" s="8" t="str">
        <f t="array" ref="AB626">INDEX(Subject!$A:$I,MATCH(RANDBETWEEN(1,16),Subject!$B:$B,0),3)</f>
        <v>#N/A</v>
      </c>
      <c r="AC626" s="8" t="str">
        <f t="array" ref="AC626">INDEX(Subject!$A:$I,MATCH(RANDBETWEEN(1,16),Subject!$B:$B,0),3)</f>
        <v>#N/A</v>
      </c>
      <c r="AD626" s="8" t="str">
        <f t="array" ref="AD626">INDEX(Subject!$A:$I,MATCH(RANDBETWEEN(1,16),Subject!$B:$B,0),3)</f>
        <v>#N/A</v>
      </c>
      <c r="AE626" s="8" t="str">
        <f t="array" ref="AE626">INDEX(Subject!$A:$I,MATCH(RANDBETWEEN(1,16),Subject!$B:$B,0),3)</f>
        <v>#N/A</v>
      </c>
      <c r="AF626" s="8" t="str">
        <f t="array" ref="AF626">INDEX(Subject!$A:$I,MATCH(RANDBETWEEN(1,16),Subject!$B:$B,0),3)</f>
        <v>#N/A</v>
      </c>
      <c r="AG626" s="8" t="str">
        <f t="array" ref="AG626">INDEX(Subject!$A:$I,MATCH(RANDBETWEEN(1,16),Subject!$B:$B,0),3)</f>
        <v>#N/A</v>
      </c>
      <c r="AH626" s="8" t="str">
        <f t="array" ref="AH626">INDEX(Subject!$A:$I,MATCH(RANDBETWEEN(1,16),Subject!$B:$B,0),3)</f>
        <v>#N/A</v>
      </c>
      <c r="AI626" s="8" t="str">
        <f t="array" ref="AI626">INDEX(Subject!$A:$I,MATCH(RANDBETWEEN(1,16),Subject!$B:$B,0),3)</f>
        <v>#N/A</v>
      </c>
      <c r="AJ626" s="8" t="str">
        <f t="array" ref="AJ626">INDEX(Subject!$A:$I,MATCH(RANDBETWEEN(1,16),Subject!$B:$B,0),3)</f>
        <v>#N/A</v>
      </c>
      <c r="AK626" s="8" t="str">
        <f t="array" ref="AK626">INDEX(Subject!$A:$I,MATCH(RANDBETWEEN(1,16),Subject!$B:$B,0),3)</f>
        <v>#N/A</v>
      </c>
      <c r="AL626" s="8" t="str">
        <f t="array" ref="AL626">INDEX(Subject!$A:$I,MATCH(RANDBETWEEN(1,16),Subject!$B:$B,0),3)</f>
        <v>#N/A</v>
      </c>
      <c r="AM626" s="18">
        <f t="shared" si="4"/>
        <v>46126.33333</v>
      </c>
      <c r="AN626" s="19">
        <f t="shared" ref="AN626:BZ626" si="626">$A626+C$1</f>
        <v>46126.35417</v>
      </c>
      <c r="AO626" s="19">
        <f t="shared" si="626"/>
        <v>46126.375</v>
      </c>
      <c r="AP626" s="19">
        <f t="shared" si="626"/>
        <v>46126.39583</v>
      </c>
      <c r="AQ626" s="19">
        <f t="shared" si="626"/>
        <v>46126.41667</v>
      </c>
      <c r="AR626" s="19">
        <f t="shared" si="626"/>
        <v>46126.4375</v>
      </c>
      <c r="AS626" s="19">
        <f t="shared" si="626"/>
        <v>46126.45833</v>
      </c>
      <c r="AT626" s="19">
        <f t="shared" si="626"/>
        <v>46126.47917</v>
      </c>
      <c r="AU626" s="19">
        <f t="shared" si="626"/>
        <v>46126.5</v>
      </c>
      <c r="AV626" s="19">
        <f t="shared" si="626"/>
        <v>46126.52083</v>
      </c>
      <c r="AW626" s="19">
        <f t="shared" si="626"/>
        <v>46126.54167</v>
      </c>
      <c r="AX626" s="19">
        <f t="shared" si="626"/>
        <v>46126.5625</v>
      </c>
      <c r="AY626" s="19">
        <f t="shared" si="626"/>
        <v>46126.58333</v>
      </c>
      <c r="AZ626" s="19">
        <f t="shared" si="626"/>
        <v>46126.60417</v>
      </c>
      <c r="BA626" s="19">
        <f t="shared" si="626"/>
        <v>46126.625</v>
      </c>
      <c r="BB626" s="19">
        <f t="shared" si="626"/>
        <v>46126.64583</v>
      </c>
      <c r="BC626" s="19">
        <f t="shared" si="626"/>
        <v>46126.66667</v>
      </c>
      <c r="BD626" s="19">
        <f t="shared" si="626"/>
        <v>46126.6875</v>
      </c>
      <c r="BE626" s="19">
        <f t="shared" si="626"/>
        <v>46126.70833</v>
      </c>
      <c r="BF626" s="19">
        <f t="shared" si="626"/>
        <v>46126.72917</v>
      </c>
      <c r="BG626" s="19">
        <f t="shared" si="626"/>
        <v>46126.75</v>
      </c>
      <c r="BH626" s="19">
        <f t="shared" si="626"/>
        <v>46126.77083</v>
      </c>
      <c r="BI626" s="19">
        <f t="shared" si="626"/>
        <v>46126.79167</v>
      </c>
      <c r="BJ626" s="19">
        <f t="shared" si="626"/>
        <v>46126.8125</v>
      </c>
      <c r="BK626" s="19">
        <f t="shared" si="626"/>
        <v>46126.83333</v>
      </c>
      <c r="BL626" s="19">
        <f t="shared" si="626"/>
        <v>46126.85417</v>
      </c>
      <c r="BM626" s="19">
        <f t="shared" si="626"/>
        <v>46126.875</v>
      </c>
      <c r="BN626" s="19">
        <f t="shared" si="626"/>
        <v>46126.89583</v>
      </c>
      <c r="BO626" s="19">
        <f t="shared" si="626"/>
        <v>46126.91667</v>
      </c>
      <c r="BP626" s="19">
        <f t="shared" si="626"/>
        <v>46126.9375</v>
      </c>
      <c r="BQ626" s="19">
        <f t="shared" si="626"/>
        <v>46126.95833</v>
      </c>
      <c r="BR626" s="19">
        <f t="shared" si="626"/>
        <v>46126.97917</v>
      </c>
      <c r="BS626" s="19">
        <f t="shared" si="626"/>
        <v>46127</v>
      </c>
      <c r="BT626" s="19">
        <f t="shared" si="626"/>
        <v>46127.02083</v>
      </c>
      <c r="BU626" s="19">
        <f t="shared" si="626"/>
        <v>46127.04167</v>
      </c>
      <c r="BV626" s="19">
        <f t="shared" si="626"/>
        <v>46127.0625</v>
      </c>
      <c r="BW626" s="19">
        <f t="shared" si="626"/>
        <v>46127.08333</v>
      </c>
      <c r="BX626" s="19">
        <f t="shared" si="626"/>
        <v>46126</v>
      </c>
      <c r="BY626" s="19">
        <f t="shared" si="626"/>
        <v>46126</v>
      </c>
      <c r="BZ626" s="19">
        <f t="shared" si="626"/>
        <v>46126</v>
      </c>
    </row>
    <row r="627" ht="14.25" customHeight="1">
      <c r="A627" s="17">
        <v>46127.0</v>
      </c>
      <c r="B627" s="2" t="str">
        <f t="array" ref="B627">IF(NOW()&gt;AM627,"",IF(AND((WEEKDAY($A627)+$B$2)&gt;1,((WEEKDAY($A627)+$T$2)&lt;7),(WEEKDAY($A627)&lt;&gt;1)),"work",(INDEX(Subject!$A:$I,MATCH(RANDBETWEEN(1,(MAX(Subject!$B:$B))),Subject!$B:$B,0),3))))</f>
        <v/>
      </c>
      <c r="C627" s="2" t="str">
        <f t="array" ref="C627">IF(NOW()&gt;AN627,"",IF(AND((WEEKDAY($A627)+$B$2)&gt;1,((WEEKDAY($A627)+$T$2)&lt;7),(WEEKDAY($A627)&lt;&gt;1)),"work",(INDEX(Subject!$A:$I,MATCH(RANDBETWEEN(1,(MAX(Subject!$B:$B))),Subject!$B:$B,0),3))))</f>
        <v/>
      </c>
      <c r="D627" s="2" t="str">
        <f t="array" ref="D627">IF(NOW()&gt;AO627,"",IF(AND((WEEKDAY($A627)+$B$2)&gt;1,((WEEKDAY($A627)+$T$2)&lt;7),(WEEKDAY($A627)&lt;&gt;1)),"work",(INDEX(Subject!$A:$I,MATCH(RANDBETWEEN(1,(MAX(Subject!$B:$B))),Subject!$B:$B,0),3))))</f>
        <v/>
      </c>
      <c r="E627" s="2" t="str">
        <f t="array" ref="E627">IF(NOW()&gt;AP627,"",IF(AND((WEEKDAY($A627)+$B$2)&gt;1,((WEEKDAY($A627)+$T$2)&lt;7),(WEEKDAY($A627)&lt;&gt;1)),"work",(INDEX(Subject!$A:$I,MATCH(RANDBETWEEN(1,(MAX(Subject!$B:$B))),Subject!$B:$B,0),3))))</f>
        <v/>
      </c>
      <c r="F627" s="2" t="str">
        <f t="array" ref="F627">IF(NOW()&gt;AQ627,"",IF(AND((WEEKDAY($A627)+$B$2)&gt;1,((WEEKDAY($A627)+$T$2)&lt;7),(WEEKDAY($A627)&lt;&gt;1)),"work",(INDEX(Subject!$A:$I,MATCH(RANDBETWEEN(1,(MAX(Subject!$B:$B))),Subject!$B:$B,0),3))))</f>
        <v/>
      </c>
      <c r="G627" s="2" t="str">
        <f t="array" ref="G627">IF(NOW()&gt;AR627,"",IF(AND((WEEKDAY($A627)+$B$2)&gt;1,((WEEKDAY($A627)+$T$2)&lt;7),(WEEKDAY($A627)&lt;&gt;1)),"work",(INDEX(Subject!$A:$I,MATCH(RANDBETWEEN(1,(MAX(Subject!$B:$B))),Subject!$B:$B,0),3))))</f>
        <v/>
      </c>
      <c r="H627" s="2" t="str">
        <f t="array" ref="H627">IF(NOW()&gt;AS627,"",IF(AND((WEEKDAY($A627)+$B$2)&gt;1,((WEEKDAY($A627)+$T$2)&lt;7),(WEEKDAY($A627)&lt;&gt;1)),"work",(INDEX(Subject!$A:$I,MATCH(RANDBETWEEN(1,(MAX(Subject!$B:$B))),Subject!$B:$B,0),3))))</f>
        <v/>
      </c>
      <c r="I627" s="2" t="str">
        <f t="array" ref="I627">IF(NOW()&gt;AT627,"",IF(AND((WEEKDAY($A627)+$B$2)&gt;1,((WEEKDAY($A627)+$T$2)&lt;7),(WEEKDAY($A627)&lt;&gt;1)),"work",(INDEX(Subject!$A:$I,MATCH(RANDBETWEEN(1,(MAX(Subject!$B:$B))),Subject!$B:$B,0),3))))</f>
        <v/>
      </c>
      <c r="J627" s="2" t="str">
        <f t="array" ref="J627">IF(NOW()&gt;AU627,"",IF(AND((WEEKDAY($A627)+$B$2)&gt;1,((WEEKDAY($A627)+$T$2)&lt;7),(WEEKDAY($A627)&lt;&gt;1)),"work",(INDEX(Subject!$A:$I,MATCH(RANDBETWEEN(1,(MAX(Subject!$B:$B))),Subject!$B:$B,0),3))))</f>
        <v/>
      </c>
      <c r="K627" s="2" t="str">
        <f t="array" ref="K627">IF(NOW()&gt;AV627,"",IF(AND((WEEKDAY($A627)+$B$2)&gt;1,((WEEKDAY($A627)+$T$2)&lt;7),(WEEKDAY($A627)&lt;&gt;1)),"work",(INDEX(Subject!$A:$I,MATCH(RANDBETWEEN(1,(MAX(Subject!$B:$B))),Subject!$B:$B,0),3))))</f>
        <v/>
      </c>
      <c r="L627" s="2" t="str">
        <f t="array" ref="L627">IF(NOW()&gt;AW627,"",IF(AND((WEEKDAY($A627)+$B$2)&gt;1,((WEEKDAY($A627)+$T$2)&lt;7),(WEEKDAY($A627)&lt;&gt;1)),"work",(INDEX(Subject!$A:$I,MATCH(RANDBETWEEN(1,(MAX(Subject!$B:$B))),Subject!$B:$B,0),3))))</f>
        <v/>
      </c>
      <c r="M627" s="2" t="str">
        <f t="array" ref="M627">IF(NOW()&gt;AX627,"",IF(AND((WEEKDAY($A627)+$B$2)&gt;1,((WEEKDAY($A627)+$T$2)&lt;7),(WEEKDAY($A627)&lt;&gt;1)),"work",(INDEX(Subject!$A:$I,MATCH(RANDBETWEEN(1,(MAX(Subject!$B:$B))),Subject!$B:$B,0),3))))</f>
        <v/>
      </c>
      <c r="N627" s="2" t="str">
        <f t="array" ref="N627">IF(NOW()&gt;AY627,"",IF(AND((WEEKDAY($A627)+$B$2)&gt;1,((WEEKDAY($A627)+$T$2)&lt;7),(WEEKDAY($A627)&lt;&gt;1)),"work",(INDEX(Subject!$A:$I,MATCH(RANDBETWEEN(1,(MAX(Subject!$B:$B))),Subject!$B:$B,0),3))))</f>
        <v/>
      </c>
      <c r="O627" s="2" t="str">
        <f t="array" ref="O627">IF(NOW()&gt;AZ627,"",IF(AND((WEEKDAY($A627)+$B$2)&gt;1,((WEEKDAY($A627)+$T$2)&lt;7),(WEEKDAY($A627)&lt;&gt;1)),"work",(INDEX(Subject!$A:$I,MATCH(RANDBETWEEN(1,(MAX(Subject!$B:$B))),Subject!$B:$B,0),3))))</f>
        <v/>
      </c>
      <c r="P627" s="2" t="str">
        <f t="array" ref="P627">IF(NOW()&gt;BA627,"",IF(AND((WEEKDAY($A627)+$B$2)&gt;1,((WEEKDAY($A627)+$T$2)&lt;7),(WEEKDAY($A627)&lt;&gt;1)),"work",(INDEX(Subject!$A:$I,MATCH(RANDBETWEEN(1,(MAX(Subject!$B:$B))),Subject!$B:$B,0),3))))</f>
        <v/>
      </c>
      <c r="Q627" s="2" t="str">
        <f t="array" ref="Q627">IF(NOW()&gt;BB627,"",IF(AND((WEEKDAY($A627)+$B$2)&gt;1,((WEEKDAY($A627)+$T$2)&lt;7),(WEEKDAY($A627)&lt;&gt;1)),"work",(INDEX(Subject!$A:$I,MATCH(RANDBETWEEN(1,(MAX(Subject!$B:$B))),Subject!$B:$B,0),3))))</f>
        <v/>
      </c>
      <c r="R627" s="2" t="str">
        <f t="array" ref="R627">IF(NOW()&gt;BC627,"",IF(AND((WEEKDAY($A627)+$B$2)&gt;1,((WEEKDAY($A627)+$T$2)&lt;7),(WEEKDAY($A627)&lt;&gt;1)),"work",(INDEX(Subject!$A:$I,MATCH(RANDBETWEEN(1,(MAX(Subject!$B:$B))),Subject!$B:$B,0),3))))</f>
        <v/>
      </c>
      <c r="S627" s="2" t="str">
        <f t="array" ref="S627">IF(NOW()&gt;BD627,"",IF(AND((WEEKDAY($A627)+$B$2)&gt;1,((WEEKDAY($A627)+$T$2)&lt;7),(WEEKDAY($A627)&lt;&gt;1)),"work",(INDEX(Subject!$A:$I,MATCH(RANDBETWEEN(1,(MAX(Subject!$B:$B))),Subject!$B:$B,0),3))))</f>
        <v/>
      </c>
      <c r="T627" s="2" t="str">
        <f t="array" ref="T627">IF(NOW()&gt;BE627,"",IF(AND((WEEKDAY($A627)+$B$2)&gt;1,((WEEKDAY($A627)+$T$2)&lt;7),(WEEKDAY($A627)&lt;&gt;1)),"work",(INDEX(Subject!$A:$I,MATCH(RANDBETWEEN(1,(MAX(Subject!$B:$B))),Subject!$B:$B,0),3))))</f>
        <v/>
      </c>
      <c r="U627" s="8" t="str">
        <f t="array" ref="U627">INDEX(Subject!$A:$I,MATCH(RANDBETWEEN(1,16),Subject!$B:$B,0),3)</f>
        <v>#N/A</v>
      </c>
      <c r="V627" s="8" t="str">
        <f t="array" ref="V627">INDEX(Subject!$A:$I,MATCH(RANDBETWEEN(1,16),Subject!$B:$B,0),3)</f>
        <v>#N/A</v>
      </c>
      <c r="W627" s="8" t="str">
        <f t="array" ref="W627">INDEX(Subject!$A:$I,MATCH(RANDBETWEEN(1,16),Subject!$B:$B,0),3)</f>
        <v>#N/A</v>
      </c>
      <c r="X627" s="8" t="str">
        <f t="array" ref="X627">INDEX(Subject!$A:$I,MATCH(RANDBETWEEN(1,16),Subject!$B:$B,0),3)</f>
        <v>#N/A</v>
      </c>
      <c r="Y627" s="8" t="str">
        <f t="array" ref="Y627">INDEX(Subject!$A:$I,MATCH(RANDBETWEEN(1,16),Subject!$B:$B,0),3)</f>
        <v>#N/A</v>
      </c>
      <c r="Z627" s="8" t="str">
        <f t="array" ref="Z627">INDEX(Subject!$A:$I,MATCH(RANDBETWEEN(1,16),Subject!$B:$B,0),3)</f>
        <v>#N/A</v>
      </c>
      <c r="AA627" s="8" t="str">
        <f t="array" ref="AA627">INDEX(Subject!$A:$I,MATCH(RANDBETWEEN(1,16),Subject!$B:$B,0),3)</f>
        <v>#N/A</v>
      </c>
      <c r="AB627" s="8" t="str">
        <f t="array" ref="AB627">INDEX(Subject!$A:$I,MATCH(RANDBETWEEN(1,16),Subject!$B:$B,0),3)</f>
        <v>#N/A</v>
      </c>
      <c r="AC627" s="8" t="str">
        <f t="array" ref="AC627">INDEX(Subject!$A:$I,MATCH(RANDBETWEEN(1,16),Subject!$B:$B,0),3)</f>
        <v/>
      </c>
      <c r="AD627" s="8" t="str">
        <f t="array" ref="AD627">INDEX(Subject!$A:$I,MATCH(RANDBETWEEN(1,16),Subject!$B:$B,0),3)</f>
        <v>#N/A</v>
      </c>
      <c r="AE627" s="8" t="str">
        <f t="array" ref="AE627">INDEX(Subject!$A:$I,MATCH(RANDBETWEEN(1,16),Subject!$B:$B,0),3)</f>
        <v>#N/A</v>
      </c>
      <c r="AF627" s="8" t="str">
        <f t="array" ref="AF627">INDEX(Subject!$A:$I,MATCH(RANDBETWEEN(1,16),Subject!$B:$B,0),3)</f>
        <v>#N/A</v>
      </c>
      <c r="AG627" s="8" t="str">
        <f t="array" ref="AG627">INDEX(Subject!$A:$I,MATCH(RANDBETWEEN(1,16),Subject!$B:$B,0),3)</f>
        <v>#N/A</v>
      </c>
      <c r="AH627" s="8" t="str">
        <f t="array" ref="AH627">INDEX(Subject!$A:$I,MATCH(RANDBETWEEN(1,16),Subject!$B:$B,0),3)</f>
        <v>#N/A</v>
      </c>
      <c r="AI627" s="8" t="str">
        <f t="array" ref="AI627">INDEX(Subject!$A:$I,MATCH(RANDBETWEEN(1,16),Subject!$B:$B,0),3)</f>
        <v>#N/A</v>
      </c>
      <c r="AJ627" s="8" t="str">
        <f t="array" ref="AJ627">INDEX(Subject!$A:$I,MATCH(RANDBETWEEN(1,16),Subject!$B:$B,0),3)</f>
        <v>#N/A</v>
      </c>
      <c r="AK627" s="8" t="str">
        <f t="array" ref="AK627">INDEX(Subject!$A:$I,MATCH(RANDBETWEEN(1,16),Subject!$B:$B,0),3)</f>
        <v>#N/A</v>
      </c>
      <c r="AL627" s="8" t="str">
        <f t="array" ref="AL627">INDEX(Subject!$A:$I,MATCH(RANDBETWEEN(1,16),Subject!$B:$B,0),3)</f>
        <v>#N/A</v>
      </c>
      <c r="AM627" s="18">
        <f t="shared" si="4"/>
        <v>46127.33333</v>
      </c>
      <c r="AN627" s="19">
        <f t="shared" ref="AN627:BZ627" si="627">$A627+C$1</f>
        <v>46127.35417</v>
      </c>
      <c r="AO627" s="19">
        <f t="shared" si="627"/>
        <v>46127.375</v>
      </c>
      <c r="AP627" s="19">
        <f t="shared" si="627"/>
        <v>46127.39583</v>
      </c>
      <c r="AQ627" s="19">
        <f t="shared" si="627"/>
        <v>46127.41667</v>
      </c>
      <c r="AR627" s="19">
        <f t="shared" si="627"/>
        <v>46127.4375</v>
      </c>
      <c r="AS627" s="19">
        <f t="shared" si="627"/>
        <v>46127.45833</v>
      </c>
      <c r="AT627" s="19">
        <f t="shared" si="627"/>
        <v>46127.47917</v>
      </c>
      <c r="AU627" s="19">
        <f t="shared" si="627"/>
        <v>46127.5</v>
      </c>
      <c r="AV627" s="19">
        <f t="shared" si="627"/>
        <v>46127.52083</v>
      </c>
      <c r="AW627" s="19">
        <f t="shared" si="627"/>
        <v>46127.54167</v>
      </c>
      <c r="AX627" s="19">
        <f t="shared" si="627"/>
        <v>46127.5625</v>
      </c>
      <c r="AY627" s="19">
        <f t="shared" si="627"/>
        <v>46127.58333</v>
      </c>
      <c r="AZ627" s="19">
        <f t="shared" si="627"/>
        <v>46127.60417</v>
      </c>
      <c r="BA627" s="19">
        <f t="shared" si="627"/>
        <v>46127.625</v>
      </c>
      <c r="BB627" s="19">
        <f t="shared" si="627"/>
        <v>46127.64583</v>
      </c>
      <c r="BC627" s="19">
        <f t="shared" si="627"/>
        <v>46127.66667</v>
      </c>
      <c r="BD627" s="19">
        <f t="shared" si="627"/>
        <v>46127.6875</v>
      </c>
      <c r="BE627" s="19">
        <f t="shared" si="627"/>
        <v>46127.70833</v>
      </c>
      <c r="BF627" s="19">
        <f t="shared" si="627"/>
        <v>46127.72917</v>
      </c>
      <c r="BG627" s="19">
        <f t="shared" si="627"/>
        <v>46127.75</v>
      </c>
      <c r="BH627" s="19">
        <f t="shared" si="627"/>
        <v>46127.77083</v>
      </c>
      <c r="BI627" s="19">
        <f t="shared" si="627"/>
        <v>46127.79167</v>
      </c>
      <c r="BJ627" s="19">
        <f t="shared" si="627"/>
        <v>46127.8125</v>
      </c>
      <c r="BK627" s="19">
        <f t="shared" si="627"/>
        <v>46127.83333</v>
      </c>
      <c r="BL627" s="19">
        <f t="shared" si="627"/>
        <v>46127.85417</v>
      </c>
      <c r="BM627" s="19">
        <f t="shared" si="627"/>
        <v>46127.875</v>
      </c>
      <c r="BN627" s="19">
        <f t="shared" si="627"/>
        <v>46127.89583</v>
      </c>
      <c r="BO627" s="19">
        <f t="shared" si="627"/>
        <v>46127.91667</v>
      </c>
      <c r="BP627" s="19">
        <f t="shared" si="627"/>
        <v>46127.9375</v>
      </c>
      <c r="BQ627" s="19">
        <f t="shared" si="627"/>
        <v>46127.95833</v>
      </c>
      <c r="BR627" s="19">
        <f t="shared" si="627"/>
        <v>46127.97917</v>
      </c>
      <c r="BS627" s="19">
        <f t="shared" si="627"/>
        <v>46128</v>
      </c>
      <c r="BT627" s="19">
        <f t="shared" si="627"/>
        <v>46128.02083</v>
      </c>
      <c r="BU627" s="19">
        <f t="shared" si="627"/>
        <v>46128.04167</v>
      </c>
      <c r="BV627" s="19">
        <f t="shared" si="627"/>
        <v>46128.0625</v>
      </c>
      <c r="BW627" s="19">
        <f t="shared" si="627"/>
        <v>46128.08333</v>
      </c>
      <c r="BX627" s="19">
        <f t="shared" si="627"/>
        <v>46127</v>
      </c>
      <c r="BY627" s="19">
        <f t="shared" si="627"/>
        <v>46127</v>
      </c>
      <c r="BZ627" s="19">
        <f t="shared" si="627"/>
        <v>46127</v>
      </c>
    </row>
    <row r="628" ht="14.25" customHeight="1">
      <c r="A628" s="17">
        <v>46128.0</v>
      </c>
      <c r="B628" s="2" t="str">
        <f t="array" ref="B628">IF(NOW()&gt;AM628,"",IF(AND((WEEKDAY($A628)+$B$2)&gt;1,((WEEKDAY($A628)+$T$2)&lt;7),(WEEKDAY($A628)&lt;&gt;1)),"work",(INDEX(Subject!$A:$I,MATCH(RANDBETWEEN(1,(MAX(Subject!$B:$B))),Subject!$B:$B,0),3))))</f>
        <v/>
      </c>
      <c r="C628" s="2" t="str">
        <f t="array" ref="C628">IF(NOW()&gt;AN628,"",IF(AND((WEEKDAY($A628)+$B$2)&gt;1,((WEEKDAY($A628)+$T$2)&lt;7),(WEEKDAY($A628)&lt;&gt;1)),"work",(INDEX(Subject!$A:$I,MATCH(RANDBETWEEN(1,(MAX(Subject!$B:$B))),Subject!$B:$B,0),3))))</f>
        <v/>
      </c>
      <c r="D628" s="2" t="str">
        <f t="array" ref="D628">IF(NOW()&gt;AO628,"",IF(AND((WEEKDAY($A628)+$B$2)&gt;1,((WEEKDAY($A628)+$T$2)&lt;7),(WEEKDAY($A628)&lt;&gt;1)),"work",(INDEX(Subject!$A:$I,MATCH(RANDBETWEEN(1,(MAX(Subject!$B:$B))),Subject!$B:$B,0),3))))</f>
        <v/>
      </c>
      <c r="E628" s="2" t="str">
        <f t="array" ref="E628">IF(NOW()&gt;AP628,"",IF(AND((WEEKDAY($A628)+$B$2)&gt;1,((WEEKDAY($A628)+$T$2)&lt;7),(WEEKDAY($A628)&lt;&gt;1)),"work",(INDEX(Subject!$A:$I,MATCH(RANDBETWEEN(1,(MAX(Subject!$B:$B))),Subject!$B:$B,0),3))))</f>
        <v/>
      </c>
      <c r="F628" s="2" t="str">
        <f t="array" ref="F628">IF(NOW()&gt;AQ628,"",IF(AND((WEEKDAY($A628)+$B$2)&gt;1,((WEEKDAY($A628)+$T$2)&lt;7),(WEEKDAY($A628)&lt;&gt;1)),"work",(INDEX(Subject!$A:$I,MATCH(RANDBETWEEN(1,(MAX(Subject!$B:$B))),Subject!$B:$B,0),3))))</f>
        <v/>
      </c>
      <c r="G628" s="2" t="str">
        <f t="array" ref="G628">IF(NOW()&gt;AR628,"",IF(AND((WEEKDAY($A628)+$B$2)&gt;1,((WEEKDAY($A628)+$T$2)&lt;7),(WEEKDAY($A628)&lt;&gt;1)),"work",(INDEX(Subject!$A:$I,MATCH(RANDBETWEEN(1,(MAX(Subject!$B:$B))),Subject!$B:$B,0),3))))</f>
        <v/>
      </c>
      <c r="H628" s="2" t="str">
        <f t="array" ref="H628">IF(NOW()&gt;AS628,"",IF(AND((WEEKDAY($A628)+$B$2)&gt;1,((WEEKDAY($A628)+$T$2)&lt;7),(WEEKDAY($A628)&lt;&gt;1)),"work",(INDEX(Subject!$A:$I,MATCH(RANDBETWEEN(1,(MAX(Subject!$B:$B))),Subject!$B:$B,0),3))))</f>
        <v/>
      </c>
      <c r="I628" s="2" t="str">
        <f t="array" ref="I628">IF(NOW()&gt;AT628,"",IF(AND((WEEKDAY($A628)+$B$2)&gt;1,((WEEKDAY($A628)+$T$2)&lt;7),(WEEKDAY($A628)&lt;&gt;1)),"work",(INDEX(Subject!$A:$I,MATCH(RANDBETWEEN(1,(MAX(Subject!$B:$B))),Subject!$B:$B,0),3))))</f>
        <v/>
      </c>
      <c r="J628" s="2" t="str">
        <f t="array" ref="J628">IF(NOW()&gt;AU628,"",IF(AND((WEEKDAY($A628)+$B$2)&gt;1,((WEEKDAY($A628)+$T$2)&lt;7),(WEEKDAY($A628)&lt;&gt;1)),"work",(INDEX(Subject!$A:$I,MATCH(RANDBETWEEN(1,(MAX(Subject!$B:$B))),Subject!$B:$B,0),3))))</f>
        <v/>
      </c>
      <c r="K628" s="2" t="str">
        <f t="array" ref="K628">IF(NOW()&gt;AV628,"",IF(AND((WEEKDAY($A628)+$B$2)&gt;1,((WEEKDAY($A628)+$T$2)&lt;7),(WEEKDAY($A628)&lt;&gt;1)),"work",(INDEX(Subject!$A:$I,MATCH(RANDBETWEEN(1,(MAX(Subject!$B:$B))),Subject!$B:$B,0),3))))</f>
        <v/>
      </c>
      <c r="L628" s="2" t="str">
        <f t="array" ref="L628">IF(NOW()&gt;AW628,"",IF(AND((WEEKDAY($A628)+$B$2)&gt;1,((WEEKDAY($A628)+$T$2)&lt;7),(WEEKDAY($A628)&lt;&gt;1)),"work",(INDEX(Subject!$A:$I,MATCH(RANDBETWEEN(1,(MAX(Subject!$B:$B))),Subject!$B:$B,0),3))))</f>
        <v/>
      </c>
      <c r="M628" s="2" t="str">
        <f t="array" ref="M628">IF(NOW()&gt;AX628,"",IF(AND((WEEKDAY($A628)+$B$2)&gt;1,((WEEKDAY($A628)+$T$2)&lt;7),(WEEKDAY($A628)&lt;&gt;1)),"work",(INDEX(Subject!$A:$I,MATCH(RANDBETWEEN(1,(MAX(Subject!$B:$B))),Subject!$B:$B,0),3))))</f>
        <v/>
      </c>
      <c r="N628" s="2" t="str">
        <f t="array" ref="N628">IF(NOW()&gt;AY628,"",IF(AND((WEEKDAY($A628)+$B$2)&gt;1,((WEEKDAY($A628)+$T$2)&lt;7),(WEEKDAY($A628)&lt;&gt;1)),"work",(INDEX(Subject!$A:$I,MATCH(RANDBETWEEN(1,(MAX(Subject!$B:$B))),Subject!$B:$B,0),3))))</f>
        <v/>
      </c>
      <c r="O628" s="2" t="str">
        <f t="array" ref="O628">IF(NOW()&gt;AZ628,"",IF(AND((WEEKDAY($A628)+$B$2)&gt;1,((WEEKDAY($A628)+$T$2)&lt;7),(WEEKDAY($A628)&lt;&gt;1)),"work",(INDEX(Subject!$A:$I,MATCH(RANDBETWEEN(1,(MAX(Subject!$B:$B))),Subject!$B:$B,0),3))))</f>
        <v/>
      </c>
      <c r="P628" s="2" t="str">
        <f t="array" ref="P628">IF(NOW()&gt;BA628,"",IF(AND((WEEKDAY($A628)+$B$2)&gt;1,((WEEKDAY($A628)+$T$2)&lt;7),(WEEKDAY($A628)&lt;&gt;1)),"work",(INDEX(Subject!$A:$I,MATCH(RANDBETWEEN(1,(MAX(Subject!$B:$B))),Subject!$B:$B,0),3))))</f>
        <v/>
      </c>
      <c r="Q628" s="2" t="str">
        <f t="array" ref="Q628">IF(NOW()&gt;BB628,"",IF(AND((WEEKDAY($A628)+$B$2)&gt;1,((WEEKDAY($A628)+$T$2)&lt;7),(WEEKDAY($A628)&lt;&gt;1)),"work",(INDEX(Subject!$A:$I,MATCH(RANDBETWEEN(1,(MAX(Subject!$B:$B))),Subject!$B:$B,0),3))))</f>
        <v/>
      </c>
      <c r="R628" s="2" t="str">
        <f t="array" ref="R628">IF(NOW()&gt;BC628,"",IF(AND((WEEKDAY($A628)+$B$2)&gt;1,((WEEKDAY($A628)+$T$2)&lt;7),(WEEKDAY($A628)&lt;&gt;1)),"work",(INDEX(Subject!$A:$I,MATCH(RANDBETWEEN(1,(MAX(Subject!$B:$B))),Subject!$B:$B,0),3))))</f>
        <v/>
      </c>
      <c r="S628" s="2" t="str">
        <f t="array" ref="S628">IF(NOW()&gt;BD628,"",IF(AND((WEEKDAY($A628)+$B$2)&gt;1,((WEEKDAY($A628)+$T$2)&lt;7),(WEEKDAY($A628)&lt;&gt;1)),"work",(INDEX(Subject!$A:$I,MATCH(RANDBETWEEN(1,(MAX(Subject!$B:$B))),Subject!$B:$B,0),3))))</f>
        <v/>
      </c>
      <c r="T628" s="2" t="str">
        <f t="array" ref="T628">IF(NOW()&gt;BE628,"",IF(AND((WEEKDAY($A628)+$B$2)&gt;1,((WEEKDAY($A628)+$T$2)&lt;7),(WEEKDAY($A628)&lt;&gt;1)),"work",(INDEX(Subject!$A:$I,MATCH(RANDBETWEEN(1,(MAX(Subject!$B:$B))),Subject!$B:$B,0),3))))</f>
        <v/>
      </c>
      <c r="U628" s="8" t="str">
        <f t="array" ref="U628">INDEX(Subject!$A:$I,MATCH(RANDBETWEEN(1,16),Subject!$B:$B,0),3)</f>
        <v>#N/A</v>
      </c>
      <c r="V628" s="8" t="str">
        <f t="array" ref="V628">INDEX(Subject!$A:$I,MATCH(RANDBETWEEN(1,16),Subject!$B:$B,0),3)</f>
        <v>#N/A</v>
      </c>
      <c r="W628" s="8" t="str">
        <f t="array" ref="W628">INDEX(Subject!$A:$I,MATCH(RANDBETWEEN(1,16),Subject!$B:$B,0),3)</f>
        <v>#N/A</v>
      </c>
      <c r="X628" s="8" t="str">
        <f t="array" ref="X628">INDEX(Subject!$A:$I,MATCH(RANDBETWEEN(1,16),Subject!$B:$B,0),3)</f>
        <v>#N/A</v>
      </c>
      <c r="Y628" s="8" t="str">
        <f t="array" ref="Y628">INDEX(Subject!$A:$I,MATCH(RANDBETWEEN(1,16),Subject!$B:$B,0),3)</f>
        <v>#N/A</v>
      </c>
      <c r="Z628" s="8" t="str">
        <f t="array" ref="Z628">INDEX(Subject!$A:$I,MATCH(RANDBETWEEN(1,16),Subject!$B:$B,0),3)</f>
        <v>#N/A</v>
      </c>
      <c r="AA628" s="8" t="str">
        <f t="array" ref="AA628">INDEX(Subject!$A:$I,MATCH(RANDBETWEEN(1,16),Subject!$B:$B,0),3)</f>
        <v>#N/A</v>
      </c>
      <c r="AB628" s="8" t="str">
        <f t="array" ref="AB628">INDEX(Subject!$A:$I,MATCH(RANDBETWEEN(1,16),Subject!$B:$B,0),3)</f>
        <v>#N/A</v>
      </c>
      <c r="AC628" s="8" t="str">
        <f t="array" ref="AC628">INDEX(Subject!$A:$I,MATCH(RANDBETWEEN(1,16),Subject!$B:$B,0),3)</f>
        <v>#N/A</v>
      </c>
      <c r="AD628" s="8" t="str">
        <f t="array" ref="AD628">INDEX(Subject!$A:$I,MATCH(RANDBETWEEN(1,16),Subject!$B:$B,0),3)</f>
        <v>#N/A</v>
      </c>
      <c r="AE628" s="8" t="str">
        <f t="array" ref="AE628">INDEX(Subject!$A:$I,MATCH(RANDBETWEEN(1,16),Subject!$B:$B,0),3)</f>
        <v/>
      </c>
      <c r="AF628" s="8" t="str">
        <f t="array" ref="AF628">INDEX(Subject!$A:$I,MATCH(RANDBETWEEN(1,16),Subject!$B:$B,0),3)</f>
        <v>#N/A</v>
      </c>
      <c r="AG628" s="8" t="str">
        <f t="array" ref="AG628">INDEX(Subject!$A:$I,MATCH(RANDBETWEEN(1,16),Subject!$B:$B,0),3)</f>
        <v>#N/A</v>
      </c>
      <c r="AH628" s="8" t="str">
        <f t="array" ref="AH628">INDEX(Subject!$A:$I,MATCH(RANDBETWEEN(1,16),Subject!$B:$B,0),3)</f>
        <v>#N/A</v>
      </c>
      <c r="AI628" s="8" t="str">
        <f t="array" ref="AI628">INDEX(Subject!$A:$I,MATCH(RANDBETWEEN(1,16),Subject!$B:$B,0),3)</f>
        <v>#N/A</v>
      </c>
      <c r="AJ628" s="8" t="str">
        <f t="array" ref="AJ628">INDEX(Subject!$A:$I,MATCH(RANDBETWEEN(1,16),Subject!$B:$B,0),3)</f>
        <v>#N/A</v>
      </c>
      <c r="AK628" s="8" t="str">
        <f t="array" ref="AK628">INDEX(Subject!$A:$I,MATCH(RANDBETWEEN(1,16),Subject!$B:$B,0),3)</f>
        <v>#N/A</v>
      </c>
      <c r="AL628" s="8" t="str">
        <f t="array" ref="AL628">INDEX(Subject!$A:$I,MATCH(RANDBETWEEN(1,16),Subject!$B:$B,0),3)</f>
        <v>#N/A</v>
      </c>
      <c r="AM628" s="18">
        <f t="shared" si="4"/>
        <v>46128.33333</v>
      </c>
      <c r="AN628" s="19">
        <f t="shared" ref="AN628:BZ628" si="628">$A628+C$1</f>
        <v>46128.35417</v>
      </c>
      <c r="AO628" s="19">
        <f t="shared" si="628"/>
        <v>46128.375</v>
      </c>
      <c r="AP628" s="19">
        <f t="shared" si="628"/>
        <v>46128.39583</v>
      </c>
      <c r="AQ628" s="19">
        <f t="shared" si="628"/>
        <v>46128.41667</v>
      </c>
      <c r="AR628" s="19">
        <f t="shared" si="628"/>
        <v>46128.4375</v>
      </c>
      <c r="AS628" s="19">
        <f t="shared" si="628"/>
        <v>46128.45833</v>
      </c>
      <c r="AT628" s="19">
        <f t="shared" si="628"/>
        <v>46128.47917</v>
      </c>
      <c r="AU628" s="19">
        <f t="shared" si="628"/>
        <v>46128.5</v>
      </c>
      <c r="AV628" s="19">
        <f t="shared" si="628"/>
        <v>46128.52083</v>
      </c>
      <c r="AW628" s="19">
        <f t="shared" si="628"/>
        <v>46128.54167</v>
      </c>
      <c r="AX628" s="19">
        <f t="shared" si="628"/>
        <v>46128.5625</v>
      </c>
      <c r="AY628" s="19">
        <f t="shared" si="628"/>
        <v>46128.58333</v>
      </c>
      <c r="AZ628" s="19">
        <f t="shared" si="628"/>
        <v>46128.60417</v>
      </c>
      <c r="BA628" s="19">
        <f t="shared" si="628"/>
        <v>46128.625</v>
      </c>
      <c r="BB628" s="19">
        <f t="shared" si="628"/>
        <v>46128.64583</v>
      </c>
      <c r="BC628" s="19">
        <f t="shared" si="628"/>
        <v>46128.66667</v>
      </c>
      <c r="BD628" s="19">
        <f t="shared" si="628"/>
        <v>46128.6875</v>
      </c>
      <c r="BE628" s="19">
        <f t="shared" si="628"/>
        <v>46128.70833</v>
      </c>
      <c r="BF628" s="19">
        <f t="shared" si="628"/>
        <v>46128.72917</v>
      </c>
      <c r="BG628" s="19">
        <f t="shared" si="628"/>
        <v>46128.75</v>
      </c>
      <c r="BH628" s="19">
        <f t="shared" si="628"/>
        <v>46128.77083</v>
      </c>
      <c r="BI628" s="19">
        <f t="shared" si="628"/>
        <v>46128.79167</v>
      </c>
      <c r="BJ628" s="19">
        <f t="shared" si="628"/>
        <v>46128.8125</v>
      </c>
      <c r="BK628" s="19">
        <f t="shared" si="628"/>
        <v>46128.83333</v>
      </c>
      <c r="BL628" s="19">
        <f t="shared" si="628"/>
        <v>46128.85417</v>
      </c>
      <c r="BM628" s="19">
        <f t="shared" si="628"/>
        <v>46128.875</v>
      </c>
      <c r="BN628" s="19">
        <f t="shared" si="628"/>
        <v>46128.89583</v>
      </c>
      <c r="BO628" s="19">
        <f t="shared" si="628"/>
        <v>46128.91667</v>
      </c>
      <c r="BP628" s="19">
        <f t="shared" si="628"/>
        <v>46128.9375</v>
      </c>
      <c r="BQ628" s="19">
        <f t="shared" si="628"/>
        <v>46128.95833</v>
      </c>
      <c r="BR628" s="19">
        <f t="shared" si="628"/>
        <v>46128.97917</v>
      </c>
      <c r="BS628" s="19">
        <f t="shared" si="628"/>
        <v>46129</v>
      </c>
      <c r="BT628" s="19">
        <f t="shared" si="628"/>
        <v>46129.02083</v>
      </c>
      <c r="BU628" s="19">
        <f t="shared" si="628"/>
        <v>46129.04167</v>
      </c>
      <c r="BV628" s="19">
        <f t="shared" si="628"/>
        <v>46129.0625</v>
      </c>
      <c r="BW628" s="19">
        <f t="shared" si="628"/>
        <v>46129.08333</v>
      </c>
      <c r="BX628" s="19">
        <f t="shared" si="628"/>
        <v>46128</v>
      </c>
      <c r="BY628" s="19">
        <f t="shared" si="628"/>
        <v>46128</v>
      </c>
      <c r="BZ628" s="19">
        <f t="shared" si="628"/>
        <v>46128</v>
      </c>
    </row>
    <row r="629" ht="14.25" customHeight="1">
      <c r="A629" s="17">
        <v>46129.0</v>
      </c>
      <c r="B629" s="2" t="str">
        <f t="array" ref="B629">IF(NOW()&gt;AM629,"",IF(AND((WEEKDAY($A629)+$B$2)&gt;1,((WEEKDAY($A629)+$T$2)&lt;7),(WEEKDAY($A629)&lt;&gt;1)),"work",(INDEX(Subject!$A:$I,MATCH(RANDBETWEEN(1,(MAX(Subject!$B:$B))),Subject!$B:$B,0),3))))</f>
        <v/>
      </c>
      <c r="C629" s="2" t="str">
        <f t="array" ref="C629">IF(NOW()&gt;AN629,"",IF(AND((WEEKDAY($A629)+$B$2)&gt;1,((WEEKDAY($A629)+$T$2)&lt;7),(WEEKDAY($A629)&lt;&gt;1)),"work",(INDEX(Subject!$A:$I,MATCH(RANDBETWEEN(1,(MAX(Subject!$B:$B))),Subject!$B:$B,0),3))))</f>
        <v/>
      </c>
      <c r="D629" s="2" t="str">
        <f t="array" ref="D629">IF(NOW()&gt;AO629,"",IF(AND((WEEKDAY($A629)+$B$2)&gt;1,((WEEKDAY($A629)+$T$2)&lt;7),(WEEKDAY($A629)&lt;&gt;1)),"work",(INDEX(Subject!$A:$I,MATCH(RANDBETWEEN(1,(MAX(Subject!$B:$B))),Subject!$B:$B,0),3))))</f>
        <v/>
      </c>
      <c r="E629" s="2" t="str">
        <f t="array" ref="E629">IF(NOW()&gt;AP629,"",IF(AND((WEEKDAY($A629)+$B$2)&gt;1,((WEEKDAY($A629)+$T$2)&lt;7),(WEEKDAY($A629)&lt;&gt;1)),"work",(INDEX(Subject!$A:$I,MATCH(RANDBETWEEN(1,(MAX(Subject!$B:$B))),Subject!$B:$B,0),3))))</f>
        <v/>
      </c>
      <c r="F629" s="2" t="str">
        <f t="array" ref="F629">IF(NOW()&gt;AQ629,"",IF(AND((WEEKDAY($A629)+$B$2)&gt;1,((WEEKDAY($A629)+$T$2)&lt;7),(WEEKDAY($A629)&lt;&gt;1)),"work",(INDEX(Subject!$A:$I,MATCH(RANDBETWEEN(1,(MAX(Subject!$B:$B))),Subject!$B:$B,0),3))))</f>
        <v/>
      </c>
      <c r="G629" s="2" t="str">
        <f t="array" ref="G629">IF(NOW()&gt;AR629,"",IF(AND((WEEKDAY($A629)+$B$2)&gt;1,((WEEKDAY($A629)+$T$2)&lt;7),(WEEKDAY($A629)&lt;&gt;1)),"work",(INDEX(Subject!$A:$I,MATCH(RANDBETWEEN(1,(MAX(Subject!$B:$B))),Subject!$B:$B,0),3))))</f>
        <v/>
      </c>
      <c r="H629" s="2" t="str">
        <f t="array" ref="H629">IF(NOW()&gt;AS629,"",IF(AND((WEEKDAY($A629)+$B$2)&gt;1,((WEEKDAY($A629)+$T$2)&lt;7),(WEEKDAY($A629)&lt;&gt;1)),"work",(INDEX(Subject!$A:$I,MATCH(RANDBETWEEN(1,(MAX(Subject!$B:$B))),Subject!$B:$B,0),3))))</f>
        <v/>
      </c>
      <c r="I629" s="2" t="str">
        <f t="array" ref="I629">IF(NOW()&gt;AT629,"",IF(AND((WEEKDAY($A629)+$B$2)&gt;1,((WEEKDAY($A629)+$T$2)&lt;7),(WEEKDAY($A629)&lt;&gt;1)),"work",(INDEX(Subject!$A:$I,MATCH(RANDBETWEEN(1,(MAX(Subject!$B:$B))),Subject!$B:$B,0),3))))</f>
        <v/>
      </c>
      <c r="J629" s="2" t="str">
        <f t="array" ref="J629">IF(NOW()&gt;AU629,"",IF(AND((WEEKDAY($A629)+$B$2)&gt;1,((WEEKDAY($A629)+$T$2)&lt;7),(WEEKDAY($A629)&lt;&gt;1)),"work",(INDEX(Subject!$A:$I,MATCH(RANDBETWEEN(1,(MAX(Subject!$B:$B))),Subject!$B:$B,0),3))))</f>
        <v/>
      </c>
      <c r="K629" s="2" t="str">
        <f t="array" ref="K629">IF(NOW()&gt;AV629,"",IF(AND((WEEKDAY($A629)+$B$2)&gt;1,((WEEKDAY($A629)+$T$2)&lt;7),(WEEKDAY($A629)&lt;&gt;1)),"work",(INDEX(Subject!$A:$I,MATCH(RANDBETWEEN(1,(MAX(Subject!$B:$B))),Subject!$B:$B,0),3))))</f>
        <v/>
      </c>
      <c r="L629" s="2" t="str">
        <f t="array" ref="L629">IF(NOW()&gt;AW629,"",IF(AND((WEEKDAY($A629)+$B$2)&gt;1,((WEEKDAY($A629)+$T$2)&lt;7),(WEEKDAY($A629)&lt;&gt;1)),"work",(INDEX(Subject!$A:$I,MATCH(RANDBETWEEN(1,(MAX(Subject!$B:$B))),Subject!$B:$B,0),3))))</f>
        <v/>
      </c>
      <c r="M629" s="2" t="str">
        <f t="array" ref="M629">IF(NOW()&gt;AX629,"",IF(AND((WEEKDAY($A629)+$B$2)&gt;1,((WEEKDAY($A629)+$T$2)&lt;7),(WEEKDAY($A629)&lt;&gt;1)),"work",(INDEX(Subject!$A:$I,MATCH(RANDBETWEEN(1,(MAX(Subject!$B:$B))),Subject!$B:$B,0),3))))</f>
        <v/>
      </c>
      <c r="N629" s="2" t="str">
        <f t="array" ref="N629">IF(NOW()&gt;AY629,"",IF(AND((WEEKDAY($A629)+$B$2)&gt;1,((WEEKDAY($A629)+$T$2)&lt;7),(WEEKDAY($A629)&lt;&gt;1)),"work",(INDEX(Subject!$A:$I,MATCH(RANDBETWEEN(1,(MAX(Subject!$B:$B))),Subject!$B:$B,0),3))))</f>
        <v/>
      </c>
      <c r="O629" s="2" t="str">
        <f t="array" ref="O629">IF(NOW()&gt;AZ629,"",IF(AND((WEEKDAY($A629)+$B$2)&gt;1,((WEEKDAY($A629)+$T$2)&lt;7),(WEEKDAY($A629)&lt;&gt;1)),"work",(INDEX(Subject!$A:$I,MATCH(RANDBETWEEN(1,(MAX(Subject!$B:$B))),Subject!$B:$B,0),3))))</f>
        <v/>
      </c>
      <c r="P629" s="2" t="str">
        <f t="array" ref="P629">IF(NOW()&gt;BA629,"",IF(AND((WEEKDAY($A629)+$B$2)&gt;1,((WEEKDAY($A629)+$T$2)&lt;7),(WEEKDAY($A629)&lt;&gt;1)),"work",(INDEX(Subject!$A:$I,MATCH(RANDBETWEEN(1,(MAX(Subject!$B:$B))),Subject!$B:$B,0),3))))</f>
        <v/>
      </c>
      <c r="Q629" s="2" t="str">
        <f t="array" ref="Q629">IF(NOW()&gt;BB629,"",IF(AND((WEEKDAY($A629)+$B$2)&gt;1,((WEEKDAY($A629)+$T$2)&lt;7),(WEEKDAY($A629)&lt;&gt;1)),"work",(INDEX(Subject!$A:$I,MATCH(RANDBETWEEN(1,(MAX(Subject!$B:$B))),Subject!$B:$B,0),3))))</f>
        <v/>
      </c>
      <c r="R629" s="2" t="str">
        <f t="array" ref="R629">IF(NOW()&gt;BC629,"",IF(AND((WEEKDAY($A629)+$B$2)&gt;1,((WEEKDAY($A629)+$T$2)&lt;7),(WEEKDAY($A629)&lt;&gt;1)),"work",(INDEX(Subject!$A:$I,MATCH(RANDBETWEEN(1,(MAX(Subject!$B:$B))),Subject!$B:$B,0),3))))</f>
        <v/>
      </c>
      <c r="S629" s="2" t="str">
        <f t="array" ref="S629">IF(NOW()&gt;BD629,"",IF(AND((WEEKDAY($A629)+$B$2)&gt;1,((WEEKDAY($A629)+$T$2)&lt;7),(WEEKDAY($A629)&lt;&gt;1)),"work",(INDEX(Subject!$A:$I,MATCH(RANDBETWEEN(1,(MAX(Subject!$B:$B))),Subject!$B:$B,0),3))))</f>
        <v/>
      </c>
      <c r="T629" s="2" t="str">
        <f t="array" ref="T629">IF(NOW()&gt;BE629,"",IF(AND((WEEKDAY($A629)+$B$2)&gt;1,((WEEKDAY($A629)+$T$2)&lt;7),(WEEKDAY($A629)&lt;&gt;1)),"work",(INDEX(Subject!$A:$I,MATCH(RANDBETWEEN(1,(MAX(Subject!$B:$B))),Subject!$B:$B,0),3))))</f>
        <v/>
      </c>
      <c r="U629" s="8" t="str">
        <f t="array" ref="U629">INDEX(Subject!$A:$I,MATCH(RANDBETWEEN(1,16),Subject!$B:$B,0),3)</f>
        <v>#N/A</v>
      </c>
      <c r="V629" s="8" t="str">
        <f t="array" ref="V629">INDEX(Subject!$A:$I,MATCH(RANDBETWEEN(1,16),Subject!$B:$B,0),3)</f>
        <v>#N/A</v>
      </c>
      <c r="W629" s="8" t="str">
        <f t="array" ref="W629">INDEX(Subject!$A:$I,MATCH(RANDBETWEEN(1,16),Subject!$B:$B,0),3)</f>
        <v>#N/A</v>
      </c>
      <c r="X629" s="8" t="str">
        <f t="array" ref="X629">INDEX(Subject!$A:$I,MATCH(RANDBETWEEN(1,16),Subject!$B:$B,0),3)</f>
        <v>#N/A</v>
      </c>
      <c r="Y629" s="8" t="str">
        <f t="array" ref="Y629">INDEX(Subject!$A:$I,MATCH(RANDBETWEEN(1,16),Subject!$B:$B,0),3)</f>
        <v>#N/A</v>
      </c>
      <c r="Z629" s="8" t="str">
        <f t="array" ref="Z629">INDEX(Subject!$A:$I,MATCH(RANDBETWEEN(1,16),Subject!$B:$B,0),3)</f>
        <v>#N/A</v>
      </c>
      <c r="AA629" s="8" t="str">
        <f t="array" ref="AA629">INDEX(Subject!$A:$I,MATCH(RANDBETWEEN(1,16),Subject!$B:$B,0),3)</f>
        <v>#N/A</v>
      </c>
      <c r="AB629" s="8" t="str">
        <f t="array" ref="AB629">INDEX(Subject!$A:$I,MATCH(RANDBETWEEN(1,16),Subject!$B:$B,0),3)</f>
        <v/>
      </c>
      <c r="AC629" s="8" t="str">
        <f t="array" ref="AC629">INDEX(Subject!$A:$I,MATCH(RANDBETWEEN(1,16),Subject!$B:$B,0),3)</f>
        <v/>
      </c>
      <c r="AD629" s="8" t="str">
        <f t="array" ref="AD629">INDEX(Subject!$A:$I,MATCH(RANDBETWEEN(1,16),Subject!$B:$B,0),3)</f>
        <v>#N/A</v>
      </c>
      <c r="AE629" s="8" t="str">
        <f t="array" ref="AE629">INDEX(Subject!$A:$I,MATCH(RANDBETWEEN(1,16),Subject!$B:$B,0),3)</f>
        <v>#N/A</v>
      </c>
      <c r="AF629" s="8" t="str">
        <f t="array" ref="AF629">INDEX(Subject!$A:$I,MATCH(RANDBETWEEN(1,16),Subject!$B:$B,0),3)</f>
        <v>#N/A</v>
      </c>
      <c r="AG629" s="8" t="str">
        <f t="array" ref="AG629">INDEX(Subject!$A:$I,MATCH(RANDBETWEEN(1,16),Subject!$B:$B,0),3)</f>
        <v>#N/A</v>
      </c>
      <c r="AH629" s="8" t="str">
        <f t="array" ref="AH629">INDEX(Subject!$A:$I,MATCH(RANDBETWEEN(1,16),Subject!$B:$B,0),3)</f>
        <v>#N/A</v>
      </c>
      <c r="AI629" s="8" t="str">
        <f t="array" ref="AI629">INDEX(Subject!$A:$I,MATCH(RANDBETWEEN(1,16),Subject!$B:$B,0),3)</f>
        <v>#N/A</v>
      </c>
      <c r="AJ629" s="8" t="str">
        <f t="array" ref="AJ629">INDEX(Subject!$A:$I,MATCH(RANDBETWEEN(1,16),Subject!$B:$B,0),3)</f>
        <v>#N/A</v>
      </c>
      <c r="AK629" s="8" t="str">
        <f t="array" ref="AK629">INDEX(Subject!$A:$I,MATCH(RANDBETWEEN(1,16),Subject!$B:$B,0),3)</f>
        <v>#N/A</v>
      </c>
      <c r="AL629" s="8" t="str">
        <f t="array" ref="AL629">INDEX(Subject!$A:$I,MATCH(RANDBETWEEN(1,16),Subject!$B:$B,0),3)</f>
        <v>#N/A</v>
      </c>
      <c r="AM629" s="18">
        <f t="shared" si="4"/>
        <v>46129.33333</v>
      </c>
      <c r="AN629" s="19">
        <f t="shared" ref="AN629:BZ629" si="629">$A629+C$1</f>
        <v>46129.35417</v>
      </c>
      <c r="AO629" s="19">
        <f t="shared" si="629"/>
        <v>46129.375</v>
      </c>
      <c r="AP629" s="19">
        <f t="shared" si="629"/>
        <v>46129.39583</v>
      </c>
      <c r="AQ629" s="19">
        <f t="shared" si="629"/>
        <v>46129.41667</v>
      </c>
      <c r="AR629" s="19">
        <f t="shared" si="629"/>
        <v>46129.4375</v>
      </c>
      <c r="AS629" s="19">
        <f t="shared" si="629"/>
        <v>46129.45833</v>
      </c>
      <c r="AT629" s="19">
        <f t="shared" si="629"/>
        <v>46129.47917</v>
      </c>
      <c r="AU629" s="19">
        <f t="shared" si="629"/>
        <v>46129.5</v>
      </c>
      <c r="AV629" s="19">
        <f t="shared" si="629"/>
        <v>46129.52083</v>
      </c>
      <c r="AW629" s="19">
        <f t="shared" si="629"/>
        <v>46129.54167</v>
      </c>
      <c r="AX629" s="19">
        <f t="shared" si="629"/>
        <v>46129.5625</v>
      </c>
      <c r="AY629" s="19">
        <f t="shared" si="629"/>
        <v>46129.58333</v>
      </c>
      <c r="AZ629" s="19">
        <f t="shared" si="629"/>
        <v>46129.60417</v>
      </c>
      <c r="BA629" s="19">
        <f t="shared" si="629"/>
        <v>46129.625</v>
      </c>
      <c r="BB629" s="19">
        <f t="shared" si="629"/>
        <v>46129.64583</v>
      </c>
      <c r="BC629" s="19">
        <f t="shared" si="629"/>
        <v>46129.66667</v>
      </c>
      <c r="BD629" s="19">
        <f t="shared" si="629"/>
        <v>46129.6875</v>
      </c>
      <c r="BE629" s="19">
        <f t="shared" si="629"/>
        <v>46129.70833</v>
      </c>
      <c r="BF629" s="19">
        <f t="shared" si="629"/>
        <v>46129.72917</v>
      </c>
      <c r="BG629" s="19">
        <f t="shared" si="629"/>
        <v>46129.75</v>
      </c>
      <c r="BH629" s="19">
        <f t="shared" si="629"/>
        <v>46129.77083</v>
      </c>
      <c r="BI629" s="19">
        <f t="shared" si="629"/>
        <v>46129.79167</v>
      </c>
      <c r="BJ629" s="19">
        <f t="shared" si="629"/>
        <v>46129.8125</v>
      </c>
      <c r="BK629" s="19">
        <f t="shared" si="629"/>
        <v>46129.83333</v>
      </c>
      <c r="BL629" s="19">
        <f t="shared" si="629"/>
        <v>46129.85417</v>
      </c>
      <c r="BM629" s="19">
        <f t="shared" si="629"/>
        <v>46129.875</v>
      </c>
      <c r="BN629" s="19">
        <f t="shared" si="629"/>
        <v>46129.89583</v>
      </c>
      <c r="BO629" s="19">
        <f t="shared" si="629"/>
        <v>46129.91667</v>
      </c>
      <c r="BP629" s="19">
        <f t="shared" si="629"/>
        <v>46129.9375</v>
      </c>
      <c r="BQ629" s="19">
        <f t="shared" si="629"/>
        <v>46129.95833</v>
      </c>
      <c r="BR629" s="19">
        <f t="shared" si="629"/>
        <v>46129.97917</v>
      </c>
      <c r="BS629" s="19">
        <f t="shared" si="629"/>
        <v>46130</v>
      </c>
      <c r="BT629" s="19">
        <f t="shared" si="629"/>
        <v>46130.02083</v>
      </c>
      <c r="BU629" s="19">
        <f t="shared" si="629"/>
        <v>46130.04167</v>
      </c>
      <c r="BV629" s="19">
        <f t="shared" si="629"/>
        <v>46130.0625</v>
      </c>
      <c r="BW629" s="19">
        <f t="shared" si="629"/>
        <v>46130.08333</v>
      </c>
      <c r="BX629" s="19">
        <f t="shared" si="629"/>
        <v>46129</v>
      </c>
      <c r="BY629" s="19">
        <f t="shared" si="629"/>
        <v>46129</v>
      </c>
      <c r="BZ629" s="19">
        <f t="shared" si="629"/>
        <v>46129</v>
      </c>
    </row>
    <row r="630" ht="14.25" customHeight="1">
      <c r="A630" s="17">
        <v>46130.0</v>
      </c>
      <c r="B630" s="2" t="str">
        <f t="array" ref="B630">IF(NOW()&gt;AM630,"",IF(AND((WEEKDAY($A630)+$B$2)&gt;1,((WEEKDAY($A630)+$T$2)&lt;7),(WEEKDAY($A630)&lt;&gt;1)),"work",(INDEX(Subject!$A:$I,MATCH(RANDBETWEEN(1,(MAX(Subject!$B:$B))),Subject!$B:$B,0),3))))</f>
        <v/>
      </c>
      <c r="C630" s="2" t="str">
        <f t="array" ref="C630">IF(NOW()&gt;AN630,"",IF(AND((WEEKDAY($A630)+$B$2)&gt;1,((WEEKDAY($A630)+$T$2)&lt;7),(WEEKDAY($A630)&lt;&gt;1)),"work",(INDEX(Subject!$A:$I,MATCH(RANDBETWEEN(1,(MAX(Subject!$B:$B))),Subject!$B:$B,0),3))))</f>
        <v/>
      </c>
      <c r="D630" s="2" t="str">
        <f t="array" ref="D630">IF(NOW()&gt;AO630,"",IF(AND((WEEKDAY($A630)+$B$2)&gt;1,((WEEKDAY($A630)+$T$2)&lt;7),(WEEKDAY($A630)&lt;&gt;1)),"work",(INDEX(Subject!$A:$I,MATCH(RANDBETWEEN(1,(MAX(Subject!$B:$B))),Subject!$B:$B,0),3))))</f>
        <v/>
      </c>
      <c r="E630" s="2" t="str">
        <f t="array" ref="E630">IF(NOW()&gt;AP630,"",IF(AND((WEEKDAY($A630)+$B$2)&gt;1,((WEEKDAY($A630)+$T$2)&lt;7),(WEEKDAY($A630)&lt;&gt;1)),"work",(INDEX(Subject!$A:$I,MATCH(RANDBETWEEN(1,(MAX(Subject!$B:$B))),Subject!$B:$B,0),3))))</f>
        <v/>
      </c>
      <c r="F630" s="2" t="str">
        <f t="array" ref="F630">IF(NOW()&gt;AQ630,"",IF(AND((WEEKDAY($A630)+$B$2)&gt;1,((WEEKDAY($A630)+$T$2)&lt;7),(WEEKDAY($A630)&lt;&gt;1)),"work",(INDEX(Subject!$A:$I,MATCH(RANDBETWEEN(1,(MAX(Subject!$B:$B))),Subject!$B:$B,0),3))))</f>
        <v/>
      </c>
      <c r="G630" s="2" t="str">
        <f t="array" ref="G630">IF(NOW()&gt;AR630,"",IF(AND((WEEKDAY($A630)+$B$2)&gt;1,((WEEKDAY($A630)+$T$2)&lt;7),(WEEKDAY($A630)&lt;&gt;1)),"work",(INDEX(Subject!$A:$I,MATCH(RANDBETWEEN(1,(MAX(Subject!$B:$B))),Subject!$B:$B,0),3))))</f>
        <v/>
      </c>
      <c r="H630" s="2" t="str">
        <f t="array" ref="H630">IF(NOW()&gt;AS630,"",IF(AND((WEEKDAY($A630)+$B$2)&gt;1,((WEEKDAY($A630)+$T$2)&lt;7),(WEEKDAY($A630)&lt;&gt;1)),"work",(INDEX(Subject!$A:$I,MATCH(RANDBETWEEN(1,(MAX(Subject!$B:$B))),Subject!$B:$B,0),3))))</f>
        <v/>
      </c>
      <c r="I630" s="2" t="str">
        <f t="array" ref="I630">IF(NOW()&gt;AT630,"",IF(AND((WEEKDAY($A630)+$B$2)&gt;1,((WEEKDAY($A630)+$T$2)&lt;7),(WEEKDAY($A630)&lt;&gt;1)),"work",(INDEX(Subject!$A:$I,MATCH(RANDBETWEEN(1,(MAX(Subject!$B:$B))),Subject!$B:$B,0),3))))</f>
        <v/>
      </c>
      <c r="J630" s="2" t="str">
        <f t="array" ref="J630">IF(NOW()&gt;AU630,"",IF(AND((WEEKDAY($A630)+$B$2)&gt;1,((WEEKDAY($A630)+$T$2)&lt;7),(WEEKDAY($A630)&lt;&gt;1)),"work",(INDEX(Subject!$A:$I,MATCH(RANDBETWEEN(1,(MAX(Subject!$B:$B))),Subject!$B:$B,0),3))))</f>
        <v/>
      </c>
      <c r="K630" s="2" t="str">
        <f t="array" ref="K630">IF(NOW()&gt;AV630,"",IF(AND((WEEKDAY($A630)+$B$2)&gt;1,((WEEKDAY($A630)+$T$2)&lt;7),(WEEKDAY($A630)&lt;&gt;1)),"work",(INDEX(Subject!$A:$I,MATCH(RANDBETWEEN(1,(MAX(Subject!$B:$B))),Subject!$B:$B,0),3))))</f>
        <v/>
      </c>
      <c r="L630" s="2" t="str">
        <f t="array" ref="L630">IF(NOW()&gt;AW630,"",IF(AND((WEEKDAY($A630)+$B$2)&gt;1,((WEEKDAY($A630)+$T$2)&lt;7),(WEEKDAY($A630)&lt;&gt;1)),"work",(INDEX(Subject!$A:$I,MATCH(RANDBETWEEN(1,(MAX(Subject!$B:$B))),Subject!$B:$B,0),3))))</f>
        <v/>
      </c>
      <c r="M630" s="2" t="str">
        <f t="array" ref="M630">IF(NOW()&gt;AX630,"",IF(AND((WEEKDAY($A630)+$B$2)&gt;1,((WEEKDAY($A630)+$T$2)&lt;7),(WEEKDAY($A630)&lt;&gt;1)),"work",(INDEX(Subject!$A:$I,MATCH(RANDBETWEEN(1,(MAX(Subject!$B:$B))),Subject!$B:$B,0),3))))</f>
        <v/>
      </c>
      <c r="N630" s="2" t="str">
        <f t="array" ref="N630">IF(NOW()&gt;AY630,"",IF(AND((WEEKDAY($A630)+$B$2)&gt;1,((WEEKDAY($A630)+$T$2)&lt;7),(WEEKDAY($A630)&lt;&gt;1)),"work",(INDEX(Subject!$A:$I,MATCH(RANDBETWEEN(1,(MAX(Subject!$B:$B))),Subject!$B:$B,0),3))))</f>
        <v/>
      </c>
      <c r="O630" s="2" t="str">
        <f t="array" ref="O630">IF(NOW()&gt;AZ630,"",IF(AND((WEEKDAY($A630)+$B$2)&gt;1,((WEEKDAY($A630)+$T$2)&lt;7),(WEEKDAY($A630)&lt;&gt;1)),"work",(INDEX(Subject!$A:$I,MATCH(RANDBETWEEN(1,(MAX(Subject!$B:$B))),Subject!$B:$B,0),3))))</f>
        <v/>
      </c>
      <c r="P630" s="2" t="str">
        <f t="array" ref="P630">IF(NOW()&gt;BA630,"",IF(AND((WEEKDAY($A630)+$B$2)&gt;1,((WEEKDAY($A630)+$T$2)&lt;7),(WEEKDAY($A630)&lt;&gt;1)),"work",(INDEX(Subject!$A:$I,MATCH(RANDBETWEEN(1,(MAX(Subject!$B:$B))),Subject!$B:$B,0),3))))</f>
        <v/>
      </c>
      <c r="Q630" s="2" t="str">
        <f t="array" ref="Q630">IF(NOW()&gt;BB630,"",IF(AND((WEEKDAY($A630)+$B$2)&gt;1,((WEEKDAY($A630)+$T$2)&lt;7),(WEEKDAY($A630)&lt;&gt;1)),"work",(INDEX(Subject!$A:$I,MATCH(RANDBETWEEN(1,(MAX(Subject!$B:$B))),Subject!$B:$B,0),3))))</f>
        <v/>
      </c>
      <c r="R630" s="2" t="str">
        <f t="array" ref="R630">IF(NOW()&gt;BC630,"",IF(AND((WEEKDAY($A630)+$B$2)&gt;1,((WEEKDAY($A630)+$T$2)&lt;7),(WEEKDAY($A630)&lt;&gt;1)),"work",(INDEX(Subject!$A:$I,MATCH(RANDBETWEEN(1,(MAX(Subject!$B:$B))),Subject!$B:$B,0),3))))</f>
        <v/>
      </c>
      <c r="S630" s="2" t="str">
        <f t="array" ref="S630">IF(NOW()&gt;BD630,"",IF(AND((WEEKDAY($A630)+$B$2)&gt;1,((WEEKDAY($A630)+$T$2)&lt;7),(WEEKDAY($A630)&lt;&gt;1)),"work",(INDEX(Subject!$A:$I,MATCH(RANDBETWEEN(1,(MAX(Subject!$B:$B))),Subject!$B:$B,0),3))))</f>
        <v/>
      </c>
      <c r="T630" s="2" t="str">
        <f t="array" ref="T630">IF(NOW()&gt;BE630,"",IF(AND((WEEKDAY($A630)+$B$2)&gt;1,((WEEKDAY($A630)+$T$2)&lt;7),(WEEKDAY($A630)&lt;&gt;1)),"work",(INDEX(Subject!$A:$I,MATCH(RANDBETWEEN(1,(MAX(Subject!$B:$B))),Subject!$B:$B,0),3))))</f>
        <v/>
      </c>
      <c r="U630" s="8" t="str">
        <f t="array" ref="U630">INDEX(Subject!$A:$I,MATCH(RANDBETWEEN(1,16),Subject!$B:$B,0),3)</f>
        <v>#N/A</v>
      </c>
      <c r="V630" s="8" t="str">
        <f t="array" ref="V630">INDEX(Subject!$A:$I,MATCH(RANDBETWEEN(1,16),Subject!$B:$B,0),3)</f>
        <v>#N/A</v>
      </c>
      <c r="W630" s="8" t="str">
        <f t="array" ref="W630">INDEX(Subject!$A:$I,MATCH(RANDBETWEEN(1,16),Subject!$B:$B,0),3)</f>
        <v>#N/A</v>
      </c>
      <c r="X630" s="8" t="str">
        <f t="array" ref="X630">INDEX(Subject!$A:$I,MATCH(RANDBETWEEN(1,16),Subject!$B:$B,0),3)</f>
        <v>#N/A</v>
      </c>
      <c r="Y630" s="8" t="str">
        <f t="array" ref="Y630">INDEX(Subject!$A:$I,MATCH(RANDBETWEEN(1,16),Subject!$B:$B,0),3)</f>
        <v/>
      </c>
      <c r="Z630" s="8" t="str">
        <f t="array" ref="Z630">INDEX(Subject!$A:$I,MATCH(RANDBETWEEN(1,16),Subject!$B:$B,0),3)</f>
        <v>#N/A</v>
      </c>
      <c r="AA630" s="8" t="str">
        <f t="array" ref="AA630">INDEX(Subject!$A:$I,MATCH(RANDBETWEEN(1,16),Subject!$B:$B,0),3)</f>
        <v>#N/A</v>
      </c>
      <c r="AB630" s="8" t="str">
        <f t="array" ref="AB630">INDEX(Subject!$A:$I,MATCH(RANDBETWEEN(1,16),Subject!$B:$B,0),3)</f>
        <v>#N/A</v>
      </c>
      <c r="AC630" s="8" t="str">
        <f t="array" ref="AC630">INDEX(Subject!$A:$I,MATCH(RANDBETWEEN(1,16),Subject!$B:$B,0),3)</f>
        <v>#N/A</v>
      </c>
      <c r="AD630" s="8" t="str">
        <f t="array" ref="AD630">INDEX(Subject!$A:$I,MATCH(RANDBETWEEN(1,16),Subject!$B:$B,0),3)</f>
        <v>#N/A</v>
      </c>
      <c r="AE630" s="8" t="str">
        <f t="array" ref="AE630">INDEX(Subject!$A:$I,MATCH(RANDBETWEEN(1,16),Subject!$B:$B,0),3)</f>
        <v>#N/A</v>
      </c>
      <c r="AF630" s="8" t="str">
        <f t="array" ref="AF630">INDEX(Subject!$A:$I,MATCH(RANDBETWEEN(1,16),Subject!$B:$B,0),3)</f>
        <v>#N/A</v>
      </c>
      <c r="AG630" s="8" t="str">
        <f t="array" ref="AG630">INDEX(Subject!$A:$I,MATCH(RANDBETWEEN(1,16),Subject!$B:$B,0),3)</f>
        <v>#N/A</v>
      </c>
      <c r="AH630" s="8" t="str">
        <f t="array" ref="AH630">INDEX(Subject!$A:$I,MATCH(RANDBETWEEN(1,16),Subject!$B:$B,0),3)</f>
        <v>#N/A</v>
      </c>
      <c r="AI630" s="8" t="str">
        <f t="array" ref="AI630">INDEX(Subject!$A:$I,MATCH(RANDBETWEEN(1,16),Subject!$B:$B,0),3)</f>
        <v>#N/A</v>
      </c>
      <c r="AJ630" s="8" t="str">
        <f t="array" ref="AJ630">INDEX(Subject!$A:$I,MATCH(RANDBETWEEN(1,16),Subject!$B:$B,0),3)</f>
        <v>#N/A</v>
      </c>
      <c r="AK630" s="8" t="str">
        <f t="array" ref="AK630">INDEX(Subject!$A:$I,MATCH(RANDBETWEEN(1,16),Subject!$B:$B,0),3)</f>
        <v/>
      </c>
      <c r="AL630" s="8" t="str">
        <f t="array" ref="AL630">INDEX(Subject!$A:$I,MATCH(RANDBETWEEN(1,16),Subject!$B:$B,0),3)</f>
        <v>#N/A</v>
      </c>
      <c r="AM630" s="18">
        <f t="shared" si="4"/>
        <v>46130.33333</v>
      </c>
      <c r="AN630" s="19">
        <f t="shared" ref="AN630:BZ630" si="630">$A630+C$1</f>
        <v>46130.35417</v>
      </c>
      <c r="AO630" s="19">
        <f t="shared" si="630"/>
        <v>46130.375</v>
      </c>
      <c r="AP630" s="19">
        <f t="shared" si="630"/>
        <v>46130.39583</v>
      </c>
      <c r="AQ630" s="19">
        <f t="shared" si="630"/>
        <v>46130.41667</v>
      </c>
      <c r="AR630" s="19">
        <f t="shared" si="630"/>
        <v>46130.4375</v>
      </c>
      <c r="AS630" s="19">
        <f t="shared" si="630"/>
        <v>46130.45833</v>
      </c>
      <c r="AT630" s="19">
        <f t="shared" si="630"/>
        <v>46130.47917</v>
      </c>
      <c r="AU630" s="19">
        <f t="shared" si="630"/>
        <v>46130.5</v>
      </c>
      <c r="AV630" s="19">
        <f t="shared" si="630"/>
        <v>46130.52083</v>
      </c>
      <c r="AW630" s="19">
        <f t="shared" si="630"/>
        <v>46130.54167</v>
      </c>
      <c r="AX630" s="19">
        <f t="shared" si="630"/>
        <v>46130.5625</v>
      </c>
      <c r="AY630" s="19">
        <f t="shared" si="630"/>
        <v>46130.58333</v>
      </c>
      <c r="AZ630" s="19">
        <f t="shared" si="630"/>
        <v>46130.60417</v>
      </c>
      <c r="BA630" s="19">
        <f t="shared" si="630"/>
        <v>46130.625</v>
      </c>
      <c r="BB630" s="19">
        <f t="shared" si="630"/>
        <v>46130.64583</v>
      </c>
      <c r="BC630" s="19">
        <f t="shared" si="630"/>
        <v>46130.66667</v>
      </c>
      <c r="BD630" s="19">
        <f t="shared" si="630"/>
        <v>46130.6875</v>
      </c>
      <c r="BE630" s="19">
        <f t="shared" si="630"/>
        <v>46130.70833</v>
      </c>
      <c r="BF630" s="19">
        <f t="shared" si="630"/>
        <v>46130.72917</v>
      </c>
      <c r="BG630" s="19">
        <f t="shared" si="630"/>
        <v>46130.75</v>
      </c>
      <c r="BH630" s="19">
        <f t="shared" si="630"/>
        <v>46130.77083</v>
      </c>
      <c r="BI630" s="19">
        <f t="shared" si="630"/>
        <v>46130.79167</v>
      </c>
      <c r="BJ630" s="19">
        <f t="shared" si="630"/>
        <v>46130.8125</v>
      </c>
      <c r="BK630" s="19">
        <f t="shared" si="630"/>
        <v>46130.83333</v>
      </c>
      <c r="BL630" s="19">
        <f t="shared" si="630"/>
        <v>46130.85417</v>
      </c>
      <c r="BM630" s="19">
        <f t="shared" si="630"/>
        <v>46130.875</v>
      </c>
      <c r="BN630" s="19">
        <f t="shared" si="630"/>
        <v>46130.89583</v>
      </c>
      <c r="BO630" s="19">
        <f t="shared" si="630"/>
        <v>46130.91667</v>
      </c>
      <c r="BP630" s="19">
        <f t="shared" si="630"/>
        <v>46130.9375</v>
      </c>
      <c r="BQ630" s="19">
        <f t="shared" si="630"/>
        <v>46130.95833</v>
      </c>
      <c r="BR630" s="19">
        <f t="shared" si="630"/>
        <v>46130.97917</v>
      </c>
      <c r="BS630" s="19">
        <f t="shared" si="630"/>
        <v>46131</v>
      </c>
      <c r="BT630" s="19">
        <f t="shared" si="630"/>
        <v>46131.02083</v>
      </c>
      <c r="BU630" s="19">
        <f t="shared" si="630"/>
        <v>46131.04167</v>
      </c>
      <c r="BV630" s="19">
        <f t="shared" si="630"/>
        <v>46131.0625</v>
      </c>
      <c r="BW630" s="19">
        <f t="shared" si="630"/>
        <v>46131.08333</v>
      </c>
      <c r="BX630" s="19">
        <f t="shared" si="630"/>
        <v>46130</v>
      </c>
      <c r="BY630" s="19">
        <f t="shared" si="630"/>
        <v>46130</v>
      </c>
      <c r="BZ630" s="19">
        <f t="shared" si="630"/>
        <v>46130</v>
      </c>
    </row>
    <row r="631" ht="14.25" customHeight="1">
      <c r="B631" s="2" t="str">
        <f t="array" ref="B631">IF(NOW()&gt;AM631,"",IF(AND((WEEKDAY($A631)+$B$2)&gt;1,((WEEKDAY($A631)+$T$2)&lt;7),(WEEKDAY($A631)&lt;&gt;1)),"work",(INDEX(Subject!$A:$I,MATCH(RANDBETWEEN(1,(MAX(Subject!$B:$B))),Subject!$B:$B,0),3))))</f>
        <v/>
      </c>
      <c r="C631" s="2" t="str">
        <f t="array" ref="C631">IF(NOW()&gt;AN631,"",IF(AND((WEEKDAY($A631)+$B$2)&gt;1,((WEEKDAY($A631)+$T$2)&lt;7),(WEEKDAY($A631)&lt;&gt;1)),"work",(INDEX(Subject!$A:$I,MATCH(RANDBETWEEN(1,(MAX(Subject!$B:$B))),Subject!$B:$B,0),3))))</f>
        <v/>
      </c>
      <c r="D631" s="2" t="str">
        <f t="array" ref="D631">IF(NOW()&gt;AO631,"",IF(AND((WEEKDAY($A631)+$B$2)&gt;1,((WEEKDAY($A631)+$T$2)&lt;7),(WEEKDAY($A631)&lt;&gt;1)),"work",(INDEX(Subject!$A:$I,MATCH(RANDBETWEEN(1,(MAX(Subject!$B:$B))),Subject!$B:$B,0),3))))</f>
        <v/>
      </c>
      <c r="E631" s="2" t="str">
        <f t="array" ref="E631">IF(NOW()&gt;AP631,"",IF(AND((WEEKDAY($A631)+$B$2)&gt;1,((WEEKDAY($A631)+$T$2)&lt;7),(WEEKDAY($A631)&lt;&gt;1)),"work",(INDEX(Subject!$A:$I,MATCH(RANDBETWEEN(1,(MAX(Subject!$B:$B))),Subject!$B:$B,0),3))))</f>
        <v/>
      </c>
      <c r="F631" s="2" t="str">
        <f t="array" ref="F631">IF(NOW()&gt;AQ631,"",IF(AND((WEEKDAY($A631)+$B$2)&gt;1,((WEEKDAY($A631)+$T$2)&lt;7),(WEEKDAY($A631)&lt;&gt;1)),"work",(INDEX(Subject!$A:$I,MATCH(RANDBETWEEN(1,(MAX(Subject!$B:$B))),Subject!$B:$B,0),3))))</f>
        <v/>
      </c>
      <c r="G631" s="2" t="str">
        <f t="array" ref="G631">IF(NOW()&gt;AR631,"",IF(AND((WEEKDAY($A631)+$B$2)&gt;1,((WEEKDAY($A631)+$T$2)&lt;7),(WEEKDAY($A631)&lt;&gt;1)),"work",(INDEX(Subject!$A:$I,MATCH(RANDBETWEEN(1,(MAX(Subject!$B:$B))),Subject!$B:$B,0),3))))</f>
        <v/>
      </c>
      <c r="H631" s="2" t="str">
        <f t="array" ref="H631">IF(NOW()&gt;AS631,"",IF(AND((WEEKDAY($A631)+$B$2)&gt;1,((WEEKDAY($A631)+$T$2)&lt;7),(WEEKDAY($A631)&lt;&gt;1)),"work",(INDEX(Subject!$A:$I,MATCH(RANDBETWEEN(1,(MAX(Subject!$B:$B))),Subject!$B:$B,0),3))))</f>
        <v/>
      </c>
      <c r="I631" s="2" t="str">
        <f t="array" ref="I631">IF(NOW()&gt;AT631,"",IF(AND((WEEKDAY($A631)+$B$2)&gt;1,((WEEKDAY($A631)+$T$2)&lt;7),(WEEKDAY($A631)&lt;&gt;1)),"work",(INDEX(Subject!$A:$I,MATCH(RANDBETWEEN(1,(MAX(Subject!$B:$B))),Subject!$B:$B,0),3))))</f>
        <v/>
      </c>
      <c r="J631" s="2" t="str">
        <f t="array" ref="J631">IF(NOW()&gt;AU631,"",IF(AND((WEEKDAY($A631)+$B$2)&gt;1,((WEEKDAY($A631)+$T$2)&lt;7),(WEEKDAY($A631)&lt;&gt;1)),"work",(INDEX(Subject!$A:$I,MATCH(RANDBETWEEN(1,(MAX(Subject!$B:$B))),Subject!$B:$B,0),3))))</f>
        <v/>
      </c>
      <c r="K631" s="2" t="str">
        <f t="array" ref="K631">IF(NOW()&gt;AV631,"",IF(AND((WEEKDAY($A631)+$B$2)&gt;1,((WEEKDAY($A631)+$T$2)&lt;7),(WEEKDAY($A631)&lt;&gt;1)),"work",(INDEX(Subject!$A:$I,MATCH(RANDBETWEEN(1,(MAX(Subject!$B:$B))),Subject!$B:$B,0),3))))</f>
        <v/>
      </c>
      <c r="L631" s="2" t="str">
        <f t="array" ref="L631">IF(NOW()&gt;AW631,"",IF(AND((WEEKDAY($A631)+$B$2)&gt;1,((WEEKDAY($A631)+$T$2)&lt;7),(WEEKDAY($A631)&lt;&gt;1)),"work",(INDEX(Subject!$A:$I,MATCH(RANDBETWEEN(1,(MAX(Subject!$B:$B))),Subject!$B:$B,0),3))))</f>
        <v/>
      </c>
      <c r="M631" s="2" t="str">
        <f t="array" ref="M631">IF(NOW()&gt;AX631,"",IF(AND((WEEKDAY($A631)+$B$2)&gt;1,((WEEKDAY($A631)+$T$2)&lt;7),(WEEKDAY($A631)&lt;&gt;1)),"work",(INDEX(Subject!$A:$I,MATCH(RANDBETWEEN(1,(MAX(Subject!$B:$B))),Subject!$B:$B,0),3))))</f>
        <v/>
      </c>
      <c r="N631" s="2" t="str">
        <f t="array" ref="N631">IF(NOW()&gt;AY631,"",IF(AND((WEEKDAY($A631)+$B$2)&gt;1,((WEEKDAY($A631)+$T$2)&lt;7),(WEEKDAY($A631)&lt;&gt;1)),"work",(INDEX(Subject!$A:$I,MATCH(RANDBETWEEN(1,(MAX(Subject!$B:$B))),Subject!$B:$B,0),3))))</f>
        <v/>
      </c>
      <c r="O631" s="2" t="str">
        <f t="array" ref="O631">IF(NOW()&gt;AZ631,"",IF(AND((WEEKDAY($A631)+$B$2)&gt;1,((WEEKDAY($A631)+$T$2)&lt;7),(WEEKDAY($A631)&lt;&gt;1)),"work",(INDEX(Subject!$A:$I,MATCH(RANDBETWEEN(1,(MAX(Subject!$B:$B))),Subject!$B:$B,0),3))))</f>
        <v/>
      </c>
      <c r="P631" s="2" t="str">
        <f t="array" ref="P631">IF(NOW()&gt;BA631,"",IF(AND((WEEKDAY($A631)+$B$2)&gt;1,((WEEKDAY($A631)+$T$2)&lt;7),(WEEKDAY($A631)&lt;&gt;1)),"work",(INDEX(Subject!$A:$I,MATCH(RANDBETWEEN(1,(MAX(Subject!$B:$B))),Subject!$B:$B,0),3))))</f>
        <v/>
      </c>
      <c r="Q631" s="2" t="str">
        <f t="array" ref="Q631">IF(NOW()&gt;BB631,"",IF(AND((WEEKDAY($A631)+$B$2)&gt;1,((WEEKDAY($A631)+$T$2)&lt;7),(WEEKDAY($A631)&lt;&gt;1)),"work",(INDEX(Subject!$A:$I,MATCH(RANDBETWEEN(1,(MAX(Subject!$B:$B))),Subject!$B:$B,0),3))))</f>
        <v/>
      </c>
      <c r="R631" s="2" t="str">
        <f t="array" ref="R631">IF(NOW()&gt;BC631,"",IF(AND((WEEKDAY($A631)+$B$2)&gt;1,((WEEKDAY($A631)+$T$2)&lt;7),(WEEKDAY($A631)&lt;&gt;1)),"work",(INDEX(Subject!$A:$I,MATCH(RANDBETWEEN(1,(MAX(Subject!$B:$B))),Subject!$B:$B,0),3))))</f>
        <v/>
      </c>
      <c r="S631" s="2" t="str">
        <f t="array" ref="S631">IF(NOW()&gt;BD631,"",IF(AND((WEEKDAY($A631)+$B$2)&gt;1,((WEEKDAY($A631)+$T$2)&lt;7),(WEEKDAY($A631)&lt;&gt;1)),"work",(INDEX(Subject!$A:$I,MATCH(RANDBETWEEN(1,(MAX(Subject!$B:$B))),Subject!$B:$B,0),3))))</f>
        <v/>
      </c>
      <c r="T631" s="2" t="str">
        <f t="array" ref="T631">IF(NOW()&gt;BE631,"",IF(AND((WEEKDAY($A631)+$B$2)&gt;1,((WEEKDAY($A631)+$T$2)&lt;7),(WEEKDAY($A631)&lt;&gt;1)),"work",(INDEX(Subject!$A:$I,MATCH(RANDBETWEEN(1,(MAX(Subject!$B:$B))),Subject!$B:$B,0),3))))</f>
        <v/>
      </c>
      <c r="U631" s="8" t="str">
        <f t="array" ref="U631">INDEX(Subject!$A:$I,MATCH(RANDBETWEEN(1,16),Subject!$B:$B,0),3)</f>
        <v>#N/A</v>
      </c>
      <c r="V631" s="8" t="str">
        <f t="array" ref="V631">INDEX(Subject!$A:$I,MATCH(RANDBETWEEN(1,16),Subject!$B:$B,0),3)</f>
        <v>#N/A</v>
      </c>
      <c r="W631" s="8" t="str">
        <f t="array" ref="W631">INDEX(Subject!$A:$I,MATCH(RANDBETWEEN(1,16),Subject!$B:$B,0),3)</f>
        <v>#N/A</v>
      </c>
      <c r="X631" s="8" t="str">
        <f t="array" ref="X631">INDEX(Subject!$A:$I,MATCH(RANDBETWEEN(1,16),Subject!$B:$B,0),3)</f>
        <v>#N/A</v>
      </c>
      <c r="Y631" s="8" t="str">
        <f t="array" ref="Y631">INDEX(Subject!$A:$I,MATCH(RANDBETWEEN(1,16),Subject!$B:$B,0),3)</f>
        <v>#N/A</v>
      </c>
      <c r="Z631" s="8" t="str">
        <f t="array" ref="Z631">INDEX(Subject!$A:$I,MATCH(RANDBETWEEN(1,16),Subject!$B:$B,0),3)</f>
        <v>#N/A</v>
      </c>
      <c r="AA631" s="8" t="str">
        <f t="array" ref="AA631">INDEX(Subject!$A:$I,MATCH(RANDBETWEEN(1,16),Subject!$B:$B,0),3)</f>
        <v>#N/A</v>
      </c>
      <c r="AB631" s="8" t="str">
        <f t="array" ref="AB631">INDEX(Subject!$A:$I,MATCH(RANDBETWEEN(1,16),Subject!$B:$B,0),3)</f>
        <v>#N/A</v>
      </c>
      <c r="AC631" s="8" t="str">
        <f t="array" ref="AC631">INDEX(Subject!$A:$I,MATCH(RANDBETWEEN(1,16),Subject!$B:$B,0),3)</f>
        <v>#N/A</v>
      </c>
      <c r="AD631" s="8" t="str">
        <f t="array" ref="AD631">INDEX(Subject!$A:$I,MATCH(RANDBETWEEN(1,16),Subject!$B:$B,0),3)</f>
        <v>#N/A</v>
      </c>
      <c r="AE631" s="8" t="str">
        <f t="array" ref="AE631">INDEX(Subject!$A:$I,MATCH(RANDBETWEEN(1,16),Subject!$B:$B,0),3)</f>
        <v>#N/A</v>
      </c>
      <c r="AF631" s="8" t="str">
        <f t="array" ref="AF631">INDEX(Subject!$A:$I,MATCH(RANDBETWEEN(1,16),Subject!$B:$B,0),3)</f>
        <v>#N/A</v>
      </c>
      <c r="AG631" s="8" t="str">
        <f t="array" ref="AG631">INDEX(Subject!$A:$I,MATCH(RANDBETWEEN(1,16),Subject!$B:$B,0),3)</f>
        <v>#N/A</v>
      </c>
      <c r="AH631" s="8" t="str">
        <f t="array" ref="AH631">INDEX(Subject!$A:$I,MATCH(RANDBETWEEN(1,16),Subject!$B:$B,0),3)</f>
        <v>#N/A</v>
      </c>
      <c r="AI631" s="8" t="str">
        <f t="array" ref="AI631">INDEX(Subject!$A:$I,MATCH(RANDBETWEEN(1,16),Subject!$B:$B,0),3)</f>
        <v>#N/A</v>
      </c>
      <c r="AJ631" s="8" t="str">
        <f t="array" ref="AJ631">INDEX(Subject!$A:$I,MATCH(RANDBETWEEN(1,16),Subject!$B:$B,0),3)</f>
        <v>#N/A</v>
      </c>
      <c r="AK631" s="8" t="str">
        <f t="array" ref="AK631">INDEX(Subject!$A:$I,MATCH(RANDBETWEEN(1,16),Subject!$B:$B,0),3)</f>
        <v>#N/A</v>
      </c>
      <c r="AL631" s="8" t="str">
        <f t="array" ref="AL631">INDEX(Subject!$A:$I,MATCH(RANDBETWEEN(1,16),Subject!$B:$B,0),3)</f>
        <v>#N/A</v>
      </c>
      <c r="AM631" s="14"/>
      <c r="AN631" s="19">
        <f t="shared" ref="AN631:BZ631" si="631">$A631+C$1</f>
        <v>0.3541666667</v>
      </c>
      <c r="AO631" s="19">
        <f t="shared" si="631"/>
        <v>0.375</v>
      </c>
      <c r="AP631" s="19">
        <f t="shared" si="631"/>
        <v>0.3958333333</v>
      </c>
      <c r="AQ631" s="19">
        <f t="shared" si="631"/>
        <v>0.4166666667</v>
      </c>
      <c r="AR631" s="19">
        <f t="shared" si="631"/>
        <v>0.4375</v>
      </c>
      <c r="AS631" s="19">
        <f t="shared" si="631"/>
        <v>0.4583333333</v>
      </c>
      <c r="AT631" s="19">
        <f t="shared" si="631"/>
        <v>0.4791666667</v>
      </c>
      <c r="AU631" s="19">
        <f t="shared" si="631"/>
        <v>0.5</v>
      </c>
      <c r="AV631" s="19">
        <f t="shared" si="631"/>
        <v>0.5208333333</v>
      </c>
      <c r="AW631" s="19">
        <f t="shared" si="631"/>
        <v>0.5416666667</v>
      </c>
      <c r="AX631" s="19">
        <f t="shared" si="631"/>
        <v>0.5625</v>
      </c>
      <c r="AY631" s="19">
        <f t="shared" si="631"/>
        <v>0.5833333333</v>
      </c>
      <c r="AZ631" s="19">
        <f t="shared" si="631"/>
        <v>0.6041666667</v>
      </c>
      <c r="BA631" s="19">
        <f t="shared" si="631"/>
        <v>0.625</v>
      </c>
      <c r="BB631" s="19">
        <f t="shared" si="631"/>
        <v>0.6458333333</v>
      </c>
      <c r="BC631" s="19">
        <f t="shared" si="631"/>
        <v>0.6666666667</v>
      </c>
      <c r="BD631" s="19">
        <f t="shared" si="631"/>
        <v>0.6875</v>
      </c>
      <c r="BE631" s="19">
        <f t="shared" si="631"/>
        <v>0.7083333333</v>
      </c>
      <c r="BF631" s="19">
        <f t="shared" si="631"/>
        <v>0.7291666667</v>
      </c>
      <c r="BG631" s="19">
        <f t="shared" si="631"/>
        <v>0.75</v>
      </c>
      <c r="BH631" s="19">
        <f t="shared" si="631"/>
        <v>0.7708333333</v>
      </c>
      <c r="BI631" s="19">
        <f t="shared" si="631"/>
        <v>0.7916666667</v>
      </c>
      <c r="BJ631" s="19">
        <f t="shared" si="631"/>
        <v>0.8125</v>
      </c>
      <c r="BK631" s="19">
        <f t="shared" si="631"/>
        <v>0.8333333333</v>
      </c>
      <c r="BL631" s="19">
        <f t="shared" si="631"/>
        <v>0.8541666667</v>
      </c>
      <c r="BM631" s="19">
        <f t="shared" si="631"/>
        <v>0.875</v>
      </c>
      <c r="BN631" s="19">
        <f t="shared" si="631"/>
        <v>0.8958333333</v>
      </c>
      <c r="BO631" s="19">
        <f t="shared" si="631"/>
        <v>0.9166666667</v>
      </c>
      <c r="BP631" s="19">
        <f t="shared" si="631"/>
        <v>0.9375</v>
      </c>
      <c r="BQ631" s="19">
        <f t="shared" si="631"/>
        <v>0.9583333333</v>
      </c>
      <c r="BR631" s="19">
        <f t="shared" si="631"/>
        <v>0.9791666667</v>
      </c>
      <c r="BS631" s="19">
        <f t="shared" si="631"/>
        <v>1</v>
      </c>
      <c r="BT631" s="19">
        <f t="shared" si="631"/>
        <v>1.020833333</v>
      </c>
      <c r="BU631" s="19">
        <f t="shared" si="631"/>
        <v>1.041666667</v>
      </c>
      <c r="BV631" s="19">
        <f t="shared" si="631"/>
        <v>1.0625</v>
      </c>
      <c r="BW631" s="19">
        <f t="shared" si="631"/>
        <v>1.083333333</v>
      </c>
      <c r="BX631" s="19">
        <f t="shared" si="631"/>
        <v>0</v>
      </c>
      <c r="BY631" s="19">
        <f t="shared" si="631"/>
        <v>0</v>
      </c>
      <c r="BZ631" s="19">
        <f t="shared" si="631"/>
        <v>0</v>
      </c>
    </row>
    <row r="632" ht="14.25" customHeight="1">
      <c r="B632" s="2" t="str">
        <f t="array" ref="B632">IF(NOW()&gt;AM632,"",IF(AND((WEEKDAY($A632)+$B$2)&gt;1,((WEEKDAY($A632)+$T$2)&lt;7),(WEEKDAY($A632)&lt;&gt;1)),"work",(INDEX(Subject!$A:$I,MATCH(RANDBETWEEN(1,(MAX(Subject!$B:$B))),Subject!$B:$B,0),3))))</f>
        <v/>
      </c>
      <c r="C632" s="2" t="str">
        <f t="array" ref="C632">IF(NOW()&gt;AN632,"",IF(AND((WEEKDAY($A632)+$B$2)&gt;1,((WEEKDAY($A632)+$T$2)&lt;7),(WEEKDAY($A632)&lt;&gt;1)),"work",(INDEX(Subject!$A:$I,MATCH(RANDBETWEEN(1,(MAX(Subject!$B:$B))),Subject!$B:$B,0),3))))</f>
        <v/>
      </c>
      <c r="D632" s="2" t="str">
        <f t="array" ref="D632">IF(NOW()&gt;AO632,"",IF(AND((WEEKDAY($A632)+$B$2)&gt;1,((WEEKDAY($A632)+$T$2)&lt;7),(WEEKDAY($A632)&lt;&gt;1)),"work",(INDEX(Subject!$A:$I,MATCH(RANDBETWEEN(1,(MAX(Subject!$B:$B))),Subject!$B:$B,0),3))))</f>
        <v/>
      </c>
      <c r="E632" s="2" t="str">
        <f t="array" ref="E632">IF(NOW()&gt;AP632,"",IF(AND((WEEKDAY($A632)+$B$2)&gt;1,((WEEKDAY($A632)+$T$2)&lt;7),(WEEKDAY($A632)&lt;&gt;1)),"work",(INDEX(Subject!$A:$I,MATCH(RANDBETWEEN(1,(MAX(Subject!$B:$B))),Subject!$B:$B,0),3))))</f>
        <v/>
      </c>
      <c r="F632" s="2" t="str">
        <f t="array" ref="F632">IF(NOW()&gt;AQ632,"",IF(AND((WEEKDAY($A632)+$B$2)&gt;1,((WEEKDAY($A632)+$T$2)&lt;7),(WEEKDAY($A632)&lt;&gt;1)),"work",(INDEX(Subject!$A:$I,MATCH(RANDBETWEEN(1,(MAX(Subject!$B:$B))),Subject!$B:$B,0),3))))</f>
        <v/>
      </c>
      <c r="G632" s="2" t="str">
        <f t="array" ref="G632">IF(NOW()&gt;AR632,"",IF(AND((WEEKDAY($A632)+$B$2)&gt;1,((WEEKDAY($A632)+$T$2)&lt;7),(WEEKDAY($A632)&lt;&gt;1)),"work",(INDEX(Subject!$A:$I,MATCH(RANDBETWEEN(1,(MAX(Subject!$B:$B))),Subject!$B:$B,0),3))))</f>
        <v/>
      </c>
      <c r="H632" s="2" t="str">
        <f t="array" ref="H632">IF(NOW()&gt;AS632,"",IF(AND((WEEKDAY($A632)+$B$2)&gt;1,((WEEKDAY($A632)+$T$2)&lt;7),(WEEKDAY($A632)&lt;&gt;1)),"work",(INDEX(Subject!$A:$I,MATCH(RANDBETWEEN(1,(MAX(Subject!$B:$B))),Subject!$B:$B,0),3))))</f>
        <v/>
      </c>
      <c r="I632" s="2" t="str">
        <f t="array" ref="I632">IF(NOW()&gt;AT632,"",IF(AND((WEEKDAY($A632)+$B$2)&gt;1,((WEEKDAY($A632)+$T$2)&lt;7),(WEEKDAY($A632)&lt;&gt;1)),"work",(INDEX(Subject!$A:$I,MATCH(RANDBETWEEN(1,(MAX(Subject!$B:$B))),Subject!$B:$B,0),3))))</f>
        <v/>
      </c>
      <c r="J632" s="2" t="str">
        <f t="array" ref="J632">IF(NOW()&gt;AU632,"",IF(AND((WEEKDAY($A632)+$B$2)&gt;1,((WEEKDAY($A632)+$T$2)&lt;7),(WEEKDAY($A632)&lt;&gt;1)),"work",(INDEX(Subject!$A:$I,MATCH(RANDBETWEEN(1,(MAX(Subject!$B:$B))),Subject!$B:$B,0),3))))</f>
        <v/>
      </c>
      <c r="K632" s="2" t="str">
        <f t="array" ref="K632">IF(NOW()&gt;AV632,"",IF(AND((WEEKDAY($A632)+$B$2)&gt;1,((WEEKDAY($A632)+$T$2)&lt;7),(WEEKDAY($A632)&lt;&gt;1)),"work",(INDEX(Subject!$A:$I,MATCH(RANDBETWEEN(1,(MAX(Subject!$B:$B))),Subject!$B:$B,0),3))))</f>
        <v/>
      </c>
      <c r="L632" s="2" t="str">
        <f t="array" ref="L632">IF(NOW()&gt;AW632,"",IF(AND((WEEKDAY($A632)+$B$2)&gt;1,((WEEKDAY($A632)+$T$2)&lt;7),(WEEKDAY($A632)&lt;&gt;1)),"work",(INDEX(Subject!$A:$I,MATCH(RANDBETWEEN(1,(MAX(Subject!$B:$B))),Subject!$B:$B,0),3))))</f>
        <v/>
      </c>
      <c r="M632" s="2" t="str">
        <f t="array" ref="M632">IF(NOW()&gt;AX632,"",IF(AND((WEEKDAY($A632)+$B$2)&gt;1,((WEEKDAY($A632)+$T$2)&lt;7),(WEEKDAY($A632)&lt;&gt;1)),"work",(INDEX(Subject!$A:$I,MATCH(RANDBETWEEN(1,(MAX(Subject!$B:$B))),Subject!$B:$B,0),3))))</f>
        <v/>
      </c>
      <c r="N632" s="2" t="str">
        <f t="array" ref="N632">IF(NOW()&gt;AY632,"",IF(AND((WEEKDAY($A632)+$B$2)&gt;1,((WEEKDAY($A632)+$T$2)&lt;7),(WEEKDAY($A632)&lt;&gt;1)),"work",(INDEX(Subject!$A:$I,MATCH(RANDBETWEEN(1,(MAX(Subject!$B:$B))),Subject!$B:$B,0),3))))</f>
        <v/>
      </c>
      <c r="O632" s="2" t="str">
        <f t="array" ref="O632">IF(NOW()&gt;AZ632,"",IF(AND((WEEKDAY($A632)+$B$2)&gt;1,((WEEKDAY($A632)+$T$2)&lt;7),(WEEKDAY($A632)&lt;&gt;1)),"work",(INDEX(Subject!$A:$I,MATCH(RANDBETWEEN(1,(MAX(Subject!$B:$B))),Subject!$B:$B,0),3))))</f>
        <v/>
      </c>
      <c r="P632" s="2" t="str">
        <f t="array" ref="P632">IF(NOW()&gt;BA632,"",IF(AND((WEEKDAY($A632)+$B$2)&gt;1,((WEEKDAY($A632)+$T$2)&lt;7),(WEEKDAY($A632)&lt;&gt;1)),"work",(INDEX(Subject!$A:$I,MATCH(RANDBETWEEN(1,(MAX(Subject!$B:$B))),Subject!$B:$B,0),3))))</f>
        <v/>
      </c>
      <c r="Q632" s="2" t="str">
        <f t="array" ref="Q632">IF(NOW()&gt;BB632,"",IF(AND((WEEKDAY($A632)+$B$2)&gt;1,((WEEKDAY($A632)+$T$2)&lt;7),(WEEKDAY($A632)&lt;&gt;1)),"work",(INDEX(Subject!$A:$I,MATCH(RANDBETWEEN(1,(MAX(Subject!$B:$B))),Subject!$B:$B,0),3))))</f>
        <v/>
      </c>
      <c r="R632" s="2" t="str">
        <f t="array" ref="R632">IF(NOW()&gt;BC632,"",IF(AND((WEEKDAY($A632)+$B$2)&gt;1,((WEEKDAY($A632)+$T$2)&lt;7),(WEEKDAY($A632)&lt;&gt;1)),"work",(INDEX(Subject!$A:$I,MATCH(RANDBETWEEN(1,(MAX(Subject!$B:$B))),Subject!$B:$B,0),3))))</f>
        <v/>
      </c>
      <c r="S632" s="2" t="str">
        <f t="array" ref="S632">IF(NOW()&gt;BD632,"",IF(AND((WEEKDAY($A632)+$B$2)&gt;1,((WEEKDAY($A632)+$T$2)&lt;7),(WEEKDAY($A632)&lt;&gt;1)),"work",(INDEX(Subject!$A:$I,MATCH(RANDBETWEEN(1,(MAX(Subject!$B:$B))),Subject!$B:$B,0),3))))</f>
        <v/>
      </c>
      <c r="T632" s="2" t="str">
        <f t="array" ref="T632">IF(NOW()&gt;BE632,"",IF(AND((WEEKDAY($A632)+$B$2)&gt;1,((WEEKDAY($A632)+$T$2)&lt;7),(WEEKDAY($A632)&lt;&gt;1)),"work",(INDEX(Subject!$A:$I,MATCH(RANDBETWEEN(1,(MAX(Subject!$B:$B))),Subject!$B:$B,0),3))))</f>
        <v/>
      </c>
      <c r="AM632" s="14"/>
      <c r="AN632" s="19">
        <f t="shared" ref="AN632:BZ632" si="632">$A632+C$1</f>
        <v>0.3541666667</v>
      </c>
      <c r="AO632" s="19">
        <f t="shared" si="632"/>
        <v>0.375</v>
      </c>
      <c r="AP632" s="19">
        <f t="shared" si="632"/>
        <v>0.3958333333</v>
      </c>
      <c r="AQ632" s="19">
        <f t="shared" si="632"/>
        <v>0.4166666667</v>
      </c>
      <c r="AR632" s="19">
        <f t="shared" si="632"/>
        <v>0.4375</v>
      </c>
      <c r="AS632" s="19">
        <f t="shared" si="632"/>
        <v>0.4583333333</v>
      </c>
      <c r="AT632" s="19">
        <f t="shared" si="632"/>
        <v>0.4791666667</v>
      </c>
      <c r="AU632" s="19">
        <f t="shared" si="632"/>
        <v>0.5</v>
      </c>
      <c r="AV632" s="19">
        <f t="shared" si="632"/>
        <v>0.5208333333</v>
      </c>
      <c r="AW632" s="19">
        <f t="shared" si="632"/>
        <v>0.5416666667</v>
      </c>
      <c r="AX632" s="19">
        <f t="shared" si="632"/>
        <v>0.5625</v>
      </c>
      <c r="AY632" s="19">
        <f t="shared" si="632"/>
        <v>0.5833333333</v>
      </c>
      <c r="AZ632" s="19">
        <f t="shared" si="632"/>
        <v>0.6041666667</v>
      </c>
      <c r="BA632" s="19">
        <f t="shared" si="632"/>
        <v>0.625</v>
      </c>
      <c r="BB632" s="19">
        <f t="shared" si="632"/>
        <v>0.6458333333</v>
      </c>
      <c r="BC632" s="19">
        <f t="shared" si="632"/>
        <v>0.6666666667</v>
      </c>
      <c r="BD632" s="19">
        <f t="shared" si="632"/>
        <v>0.6875</v>
      </c>
      <c r="BE632" s="19">
        <f t="shared" si="632"/>
        <v>0.7083333333</v>
      </c>
      <c r="BF632" s="19">
        <f t="shared" si="632"/>
        <v>0.7291666667</v>
      </c>
      <c r="BG632" s="19">
        <f t="shared" si="632"/>
        <v>0.75</v>
      </c>
      <c r="BH632" s="19">
        <f t="shared" si="632"/>
        <v>0.7708333333</v>
      </c>
      <c r="BI632" s="19">
        <f t="shared" si="632"/>
        <v>0.7916666667</v>
      </c>
      <c r="BJ632" s="19">
        <f t="shared" si="632"/>
        <v>0.8125</v>
      </c>
      <c r="BK632" s="19">
        <f t="shared" si="632"/>
        <v>0.8333333333</v>
      </c>
      <c r="BL632" s="19">
        <f t="shared" si="632"/>
        <v>0.8541666667</v>
      </c>
      <c r="BM632" s="19">
        <f t="shared" si="632"/>
        <v>0.875</v>
      </c>
      <c r="BN632" s="19">
        <f t="shared" si="632"/>
        <v>0.8958333333</v>
      </c>
      <c r="BO632" s="19">
        <f t="shared" si="632"/>
        <v>0.9166666667</v>
      </c>
      <c r="BP632" s="19">
        <f t="shared" si="632"/>
        <v>0.9375</v>
      </c>
      <c r="BQ632" s="19">
        <f t="shared" si="632"/>
        <v>0.9583333333</v>
      </c>
      <c r="BR632" s="19">
        <f t="shared" si="632"/>
        <v>0.9791666667</v>
      </c>
      <c r="BS632" s="19">
        <f t="shared" si="632"/>
        <v>1</v>
      </c>
      <c r="BT632" s="19">
        <f t="shared" si="632"/>
        <v>1.020833333</v>
      </c>
      <c r="BU632" s="19">
        <f t="shared" si="632"/>
        <v>1.041666667</v>
      </c>
      <c r="BV632" s="19">
        <f t="shared" si="632"/>
        <v>1.0625</v>
      </c>
      <c r="BW632" s="19">
        <f t="shared" si="632"/>
        <v>1.083333333</v>
      </c>
      <c r="BX632" s="19">
        <f t="shared" si="632"/>
        <v>0</v>
      </c>
      <c r="BY632" s="19">
        <f t="shared" si="632"/>
        <v>0</v>
      </c>
      <c r="BZ632" s="19">
        <f t="shared" si="632"/>
        <v>0</v>
      </c>
    </row>
    <row r="633" ht="14.25" customHeight="1">
      <c r="B633" s="2" t="str">
        <f t="array" ref="B633">IF(NOW()&gt;AM633,"",IF(AND((WEEKDAY($A633)+$B$2)&gt;1,((WEEKDAY($A633)+$T$2)&lt;7),(WEEKDAY($A633)&lt;&gt;1)),"work",(INDEX(Subject!$A:$I,MATCH(RANDBETWEEN(1,(MAX(Subject!$B:$B))),Subject!$B:$B,0),3))))</f>
        <v/>
      </c>
      <c r="C633" s="2" t="str">
        <f t="array" ref="C633">IF(NOW()&gt;AN633,"",IF(AND((WEEKDAY($A633)+$B$2)&gt;1,((WEEKDAY($A633)+$T$2)&lt;7),(WEEKDAY($A633)&lt;&gt;1)),"work",(INDEX(Subject!$A:$I,MATCH(RANDBETWEEN(1,(MAX(Subject!$B:$B))),Subject!$B:$B,0),3))))</f>
        <v/>
      </c>
      <c r="D633" s="2" t="str">
        <f t="array" ref="D633">IF(NOW()&gt;AO633,"",IF(AND((WEEKDAY($A633)+$B$2)&gt;1,((WEEKDAY($A633)+$T$2)&lt;7),(WEEKDAY($A633)&lt;&gt;1)),"work",(INDEX(Subject!$A:$I,MATCH(RANDBETWEEN(1,(MAX(Subject!$B:$B))),Subject!$B:$B,0),3))))</f>
        <v/>
      </c>
      <c r="E633" s="2" t="str">
        <f t="array" ref="E633">IF(NOW()&gt;AP633,"",IF(AND((WEEKDAY($A633)+$B$2)&gt;1,((WEEKDAY($A633)+$T$2)&lt;7),(WEEKDAY($A633)&lt;&gt;1)),"work",(INDEX(Subject!$A:$I,MATCH(RANDBETWEEN(1,(MAX(Subject!$B:$B))),Subject!$B:$B,0),3))))</f>
        <v/>
      </c>
      <c r="F633" s="2" t="str">
        <f t="array" ref="F633">IF(NOW()&gt;AQ633,"",IF(AND((WEEKDAY($A633)+$B$2)&gt;1,((WEEKDAY($A633)+$T$2)&lt;7),(WEEKDAY($A633)&lt;&gt;1)),"work",(INDEX(Subject!$A:$I,MATCH(RANDBETWEEN(1,(MAX(Subject!$B:$B))),Subject!$B:$B,0),3))))</f>
        <v/>
      </c>
      <c r="G633" s="2" t="str">
        <f t="array" ref="G633">IF(NOW()&gt;AR633,"",IF(AND((WEEKDAY($A633)+$B$2)&gt;1,((WEEKDAY($A633)+$T$2)&lt;7),(WEEKDAY($A633)&lt;&gt;1)),"work",(INDEX(Subject!$A:$I,MATCH(RANDBETWEEN(1,(MAX(Subject!$B:$B))),Subject!$B:$B,0),3))))</f>
        <v/>
      </c>
      <c r="H633" s="2" t="str">
        <f t="array" ref="H633">IF(NOW()&gt;AS633,"",IF(AND((WEEKDAY($A633)+$B$2)&gt;1,((WEEKDAY($A633)+$T$2)&lt;7),(WEEKDAY($A633)&lt;&gt;1)),"work",(INDEX(Subject!$A:$I,MATCH(RANDBETWEEN(1,(MAX(Subject!$B:$B))),Subject!$B:$B,0),3))))</f>
        <v/>
      </c>
      <c r="I633" s="2" t="str">
        <f t="array" ref="I633">IF(NOW()&gt;AT633,"",IF(AND((WEEKDAY($A633)+$B$2)&gt;1,((WEEKDAY($A633)+$T$2)&lt;7),(WEEKDAY($A633)&lt;&gt;1)),"work",(INDEX(Subject!$A:$I,MATCH(RANDBETWEEN(1,(MAX(Subject!$B:$B))),Subject!$B:$B,0),3))))</f>
        <v/>
      </c>
      <c r="J633" s="2" t="str">
        <f t="array" ref="J633">IF(NOW()&gt;AU633,"",IF(AND((WEEKDAY($A633)+$B$2)&gt;1,((WEEKDAY($A633)+$T$2)&lt;7),(WEEKDAY($A633)&lt;&gt;1)),"work",(INDEX(Subject!$A:$I,MATCH(RANDBETWEEN(1,(MAX(Subject!$B:$B))),Subject!$B:$B,0),3))))</f>
        <v/>
      </c>
      <c r="K633" s="2" t="str">
        <f t="array" ref="K633">IF(NOW()&gt;AV633,"",IF(AND((WEEKDAY($A633)+$B$2)&gt;1,((WEEKDAY($A633)+$T$2)&lt;7),(WEEKDAY($A633)&lt;&gt;1)),"work",(INDEX(Subject!$A:$I,MATCH(RANDBETWEEN(1,(MAX(Subject!$B:$B))),Subject!$B:$B,0),3))))</f>
        <v/>
      </c>
      <c r="L633" s="2" t="str">
        <f t="array" ref="L633">IF(NOW()&gt;AW633,"",IF(AND((WEEKDAY($A633)+$B$2)&gt;1,((WEEKDAY($A633)+$T$2)&lt;7),(WEEKDAY($A633)&lt;&gt;1)),"work",(INDEX(Subject!$A:$I,MATCH(RANDBETWEEN(1,(MAX(Subject!$B:$B))),Subject!$B:$B,0),3))))</f>
        <v/>
      </c>
      <c r="M633" s="2" t="str">
        <f t="array" ref="M633">IF(NOW()&gt;AX633,"",IF(AND((WEEKDAY($A633)+$B$2)&gt;1,((WEEKDAY($A633)+$T$2)&lt;7),(WEEKDAY($A633)&lt;&gt;1)),"work",(INDEX(Subject!$A:$I,MATCH(RANDBETWEEN(1,(MAX(Subject!$B:$B))),Subject!$B:$B,0),3))))</f>
        <v/>
      </c>
      <c r="N633" s="2" t="str">
        <f t="array" ref="N633">IF(NOW()&gt;AY633,"",IF(AND((WEEKDAY($A633)+$B$2)&gt;1,((WEEKDAY($A633)+$T$2)&lt;7),(WEEKDAY($A633)&lt;&gt;1)),"work",(INDEX(Subject!$A:$I,MATCH(RANDBETWEEN(1,(MAX(Subject!$B:$B))),Subject!$B:$B,0),3))))</f>
        <v/>
      </c>
      <c r="O633" s="2" t="str">
        <f t="array" ref="O633">IF(NOW()&gt;AZ633,"",IF(AND((WEEKDAY($A633)+$B$2)&gt;1,((WEEKDAY($A633)+$T$2)&lt;7),(WEEKDAY($A633)&lt;&gt;1)),"work",(INDEX(Subject!$A:$I,MATCH(RANDBETWEEN(1,(MAX(Subject!$B:$B))),Subject!$B:$B,0),3))))</f>
        <v/>
      </c>
      <c r="P633" s="2" t="str">
        <f t="array" ref="P633">IF(NOW()&gt;BA633,"",IF(AND((WEEKDAY($A633)+$B$2)&gt;1,((WEEKDAY($A633)+$T$2)&lt;7),(WEEKDAY($A633)&lt;&gt;1)),"work",(INDEX(Subject!$A:$I,MATCH(RANDBETWEEN(1,(MAX(Subject!$B:$B))),Subject!$B:$B,0),3))))</f>
        <v/>
      </c>
      <c r="Q633" s="2" t="str">
        <f t="array" ref="Q633">IF(NOW()&gt;BB633,"",IF(AND((WEEKDAY($A633)+$B$2)&gt;1,((WEEKDAY($A633)+$T$2)&lt;7),(WEEKDAY($A633)&lt;&gt;1)),"work",(INDEX(Subject!$A:$I,MATCH(RANDBETWEEN(1,(MAX(Subject!$B:$B))),Subject!$B:$B,0),3))))</f>
        <v/>
      </c>
      <c r="R633" s="2" t="str">
        <f t="array" ref="R633">IF(NOW()&gt;BC633,"",IF(AND((WEEKDAY($A633)+$B$2)&gt;1,((WEEKDAY($A633)+$T$2)&lt;7),(WEEKDAY($A633)&lt;&gt;1)),"work",(INDEX(Subject!$A:$I,MATCH(RANDBETWEEN(1,(MAX(Subject!$B:$B))),Subject!$B:$B,0),3))))</f>
        <v/>
      </c>
      <c r="S633" s="2" t="str">
        <f t="array" ref="S633">IF(NOW()&gt;BD633,"",IF(AND((WEEKDAY($A633)+$B$2)&gt;1,((WEEKDAY($A633)+$T$2)&lt;7),(WEEKDAY($A633)&lt;&gt;1)),"work",(INDEX(Subject!$A:$I,MATCH(RANDBETWEEN(1,(MAX(Subject!$B:$B))),Subject!$B:$B,0),3))))</f>
        <v/>
      </c>
      <c r="T633" s="2" t="str">
        <f t="array" ref="T633">IF(NOW()&gt;BE633,"",IF(AND((WEEKDAY($A633)+$B$2)&gt;1,((WEEKDAY($A633)+$T$2)&lt;7),(WEEKDAY($A633)&lt;&gt;1)),"work",(INDEX(Subject!$A:$I,MATCH(RANDBETWEEN(1,(MAX(Subject!$B:$B))),Subject!$B:$B,0),3))))</f>
        <v/>
      </c>
      <c r="AM633" s="14"/>
    </row>
    <row r="634" ht="14.25" customHeight="1">
      <c r="T634" s="14"/>
      <c r="AM634" s="14"/>
    </row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" t="s">
        <v>15</v>
      </c>
    </row>
    <row r="2" ht="14.25" customHeight="1">
      <c r="A2" s="15">
        <v>0.3333333333333333</v>
      </c>
      <c r="B2" s="20">
        <f t="shared" ref="B2:B3" si="1">A2</f>
        <v>0.3333333333</v>
      </c>
      <c r="D2" s="15">
        <v>0.3333333333333333</v>
      </c>
    </row>
    <row r="3" ht="14.25" customHeight="1">
      <c r="A3" s="15">
        <v>0.3541666666666667</v>
      </c>
      <c r="B3" s="20">
        <f t="shared" si="1"/>
        <v>0.3541666667</v>
      </c>
      <c r="C3" s="20">
        <f>B3-B2</f>
        <v>0.02083333333</v>
      </c>
      <c r="D3" s="15">
        <v>0.3541666666666667</v>
      </c>
    </row>
    <row r="4" ht="14.25" customHeight="1">
      <c r="A4" s="15">
        <f t="shared" ref="A4:A38" si="2">A3+$C$3</f>
        <v>0.375</v>
      </c>
      <c r="D4" s="15">
        <v>0.37500000000000006</v>
      </c>
    </row>
    <row r="5" ht="14.25" customHeight="1">
      <c r="A5" s="15">
        <f t="shared" si="2"/>
        <v>0.3958333333</v>
      </c>
      <c r="D5" s="15">
        <v>0.3958333333333334</v>
      </c>
    </row>
    <row r="6" ht="14.25" customHeight="1">
      <c r="A6" s="15">
        <f t="shared" si="2"/>
        <v>0.4166666667</v>
      </c>
      <c r="D6" s="15">
        <v>0.4166666666666668</v>
      </c>
    </row>
    <row r="7" ht="14.25" customHeight="1">
      <c r="A7" s="15">
        <f t="shared" si="2"/>
        <v>0.4375</v>
      </c>
      <c r="D7" s="15">
        <v>0.43750000000000017</v>
      </c>
    </row>
    <row r="8" ht="14.25" customHeight="1">
      <c r="A8" s="15">
        <f t="shared" si="2"/>
        <v>0.4583333333</v>
      </c>
      <c r="D8" s="15">
        <v>0.45833333333333354</v>
      </c>
    </row>
    <row r="9" ht="14.25" customHeight="1">
      <c r="A9" s="15">
        <f t="shared" si="2"/>
        <v>0.4791666667</v>
      </c>
      <c r="D9" s="15">
        <v>0.4791666666666669</v>
      </c>
    </row>
    <row r="10" ht="14.25" customHeight="1">
      <c r="A10" s="15">
        <f t="shared" si="2"/>
        <v>0.5</v>
      </c>
      <c r="D10" s="15">
        <v>0.5000000000000002</v>
      </c>
    </row>
    <row r="11" ht="14.25" customHeight="1">
      <c r="A11" s="15">
        <f t="shared" si="2"/>
        <v>0.5208333333</v>
      </c>
      <c r="D11" s="15">
        <v>0.5208333333333336</v>
      </c>
    </row>
    <row r="12" ht="14.25" customHeight="1">
      <c r="A12" s="15">
        <f t="shared" si="2"/>
        <v>0.5416666667</v>
      </c>
      <c r="D12" s="15">
        <v>0.541666666666667</v>
      </c>
    </row>
    <row r="13" ht="14.25" customHeight="1">
      <c r="A13" s="15">
        <f t="shared" si="2"/>
        <v>0.5625</v>
      </c>
      <c r="D13" s="15">
        <v>0.5625000000000003</v>
      </c>
    </row>
    <row r="14" ht="14.25" customHeight="1">
      <c r="A14" s="15">
        <f t="shared" si="2"/>
        <v>0.5833333333</v>
      </c>
      <c r="D14" s="15">
        <v>0.5833333333333337</v>
      </c>
    </row>
    <row r="15" ht="14.25" customHeight="1">
      <c r="A15" s="15">
        <f t="shared" si="2"/>
        <v>0.6041666667</v>
      </c>
      <c r="D15" s="15">
        <v>0.6041666666666671</v>
      </c>
    </row>
    <row r="16" ht="14.25" customHeight="1">
      <c r="A16" s="15">
        <f t="shared" si="2"/>
        <v>0.625</v>
      </c>
      <c r="D16" s="15">
        <v>0.6250000000000004</v>
      </c>
    </row>
    <row r="17" ht="14.25" customHeight="1">
      <c r="A17" s="15">
        <f t="shared" si="2"/>
        <v>0.6458333333</v>
      </c>
      <c r="D17" s="15">
        <v>0.6458333333333338</v>
      </c>
    </row>
    <row r="18" ht="14.25" customHeight="1">
      <c r="A18" s="15">
        <f t="shared" si="2"/>
        <v>0.6666666667</v>
      </c>
      <c r="D18" s="15">
        <v>0.6666666666666672</v>
      </c>
    </row>
    <row r="19" ht="14.25" customHeight="1">
      <c r="A19" s="15">
        <f t="shared" si="2"/>
        <v>0.6875</v>
      </c>
      <c r="D19" s="15">
        <v>0.6875000000000006</v>
      </c>
    </row>
    <row r="20" ht="14.25" customHeight="1">
      <c r="A20" s="15">
        <f t="shared" si="2"/>
        <v>0.7083333333</v>
      </c>
      <c r="D20" s="15">
        <v>0.7083333333333339</v>
      </c>
    </row>
    <row r="21" ht="14.25" customHeight="1">
      <c r="A21" s="15">
        <f t="shared" si="2"/>
        <v>0.7291666667</v>
      </c>
      <c r="D21" s="15">
        <v>0.7291666666666673</v>
      </c>
    </row>
    <row r="22" ht="14.25" customHeight="1">
      <c r="A22" s="15">
        <f t="shared" si="2"/>
        <v>0.75</v>
      </c>
      <c r="D22" s="15">
        <v>0.7500000000000007</v>
      </c>
    </row>
    <row r="23" ht="14.25" customHeight="1">
      <c r="A23" s="15">
        <f t="shared" si="2"/>
        <v>0.7708333333</v>
      </c>
      <c r="D23" s="15">
        <v>0.770833333333334</v>
      </c>
    </row>
    <row r="24" ht="14.25" customHeight="1">
      <c r="A24" s="15">
        <f t="shared" si="2"/>
        <v>0.7916666667</v>
      </c>
      <c r="D24" s="15">
        <v>0.7916666666666674</v>
      </c>
    </row>
    <row r="25" ht="14.25" customHeight="1">
      <c r="A25" s="15">
        <f t="shared" si="2"/>
        <v>0.8125</v>
      </c>
      <c r="D25" s="15">
        <v>0.8125000000000008</v>
      </c>
    </row>
    <row r="26" ht="14.25" customHeight="1">
      <c r="A26" s="15">
        <f t="shared" si="2"/>
        <v>0.8333333333</v>
      </c>
      <c r="D26" s="15">
        <v>0.8333333333333341</v>
      </c>
    </row>
    <row r="27" ht="14.25" customHeight="1">
      <c r="A27" s="15">
        <f t="shared" si="2"/>
        <v>0.8541666667</v>
      </c>
      <c r="D27" s="15">
        <v>0.8541666666666675</v>
      </c>
    </row>
    <row r="28" ht="14.25" customHeight="1">
      <c r="A28" s="15">
        <f t="shared" si="2"/>
        <v>0.875</v>
      </c>
      <c r="D28" s="15">
        <v>0.8750000000000009</v>
      </c>
    </row>
    <row r="29" ht="14.25" customHeight="1">
      <c r="A29" s="15">
        <f t="shared" si="2"/>
        <v>0.8958333333</v>
      </c>
      <c r="D29" s="15">
        <v>0.8958333333333343</v>
      </c>
    </row>
    <row r="30" ht="14.25" customHeight="1">
      <c r="A30" s="15">
        <f t="shared" si="2"/>
        <v>0.9166666667</v>
      </c>
      <c r="D30" s="15">
        <v>0.9166666666666676</v>
      </c>
    </row>
    <row r="31" ht="14.25" customHeight="1">
      <c r="A31" s="15">
        <f t="shared" si="2"/>
        <v>0.9375</v>
      </c>
      <c r="D31" s="15">
        <v>0.937500000000001</v>
      </c>
    </row>
    <row r="32" ht="14.25" customHeight="1">
      <c r="A32" s="15">
        <f t="shared" si="2"/>
        <v>0.9583333333</v>
      </c>
      <c r="D32" s="15">
        <v>0.9583333333333344</v>
      </c>
    </row>
    <row r="33" ht="14.25" customHeight="1">
      <c r="A33" s="15">
        <f t="shared" si="2"/>
        <v>0.9791666667</v>
      </c>
      <c r="D33" s="15">
        <v>0.9791666666666677</v>
      </c>
    </row>
    <row r="34" ht="14.25" customHeight="1">
      <c r="A34" s="15">
        <f t="shared" si="2"/>
        <v>1</v>
      </c>
      <c r="D34" s="15">
        <v>1.000000000000001</v>
      </c>
    </row>
    <row r="35" ht="14.25" customHeight="1">
      <c r="A35" s="15">
        <f t="shared" si="2"/>
        <v>1.020833333</v>
      </c>
      <c r="D35" s="15">
        <v>1.0208333333333344</v>
      </c>
    </row>
    <row r="36" ht="14.25" customHeight="1">
      <c r="A36" s="15">
        <f t="shared" si="2"/>
        <v>1.041666667</v>
      </c>
      <c r="D36" s="15">
        <v>1.0416666666666679</v>
      </c>
    </row>
    <row r="37" ht="14.25" customHeight="1">
      <c r="A37" s="15">
        <f t="shared" si="2"/>
        <v>1.0625</v>
      </c>
      <c r="D37" s="15">
        <v>1.0625000000000013</v>
      </c>
    </row>
    <row r="38" ht="14.25" customHeight="1">
      <c r="A38" s="15">
        <f t="shared" si="2"/>
        <v>1.083333333</v>
      </c>
      <c r="D38" s="15">
        <v>1.0833333333333348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8" width="8.71"/>
  </cols>
  <sheetData>
    <row r="1" ht="14.25" customHeight="1">
      <c r="A1" s="1">
        <v>45507.6400462963</v>
      </c>
      <c r="B1" s="5">
        <v>0.3333333333333333</v>
      </c>
      <c r="C1" s="5">
        <v>0.3541666666666667</v>
      </c>
      <c r="D1" s="5">
        <v>0.37500000000000006</v>
      </c>
      <c r="E1" s="5">
        <v>0.3958333333333334</v>
      </c>
      <c r="F1" s="5">
        <v>0.4166666666666668</v>
      </c>
      <c r="G1" s="5">
        <v>0.43750000000000017</v>
      </c>
      <c r="H1" s="5">
        <v>0.45833333333333354</v>
      </c>
      <c r="I1" s="5">
        <v>0.4791666666666669</v>
      </c>
      <c r="J1" s="5">
        <v>0.5000000000000002</v>
      </c>
      <c r="K1" s="5">
        <v>0.5208333333333336</v>
      </c>
      <c r="L1" s="5">
        <v>0.541666666666667</v>
      </c>
      <c r="M1" s="5">
        <v>0.5625000000000003</v>
      </c>
      <c r="N1" s="5">
        <v>0.5833333333333337</v>
      </c>
      <c r="O1" s="5">
        <v>0.6041666666666671</v>
      </c>
      <c r="P1" s="5">
        <v>0.6250000000000004</v>
      </c>
      <c r="Q1" s="5">
        <v>0.6458333333333338</v>
      </c>
      <c r="R1" s="5">
        <v>0.6666666666666672</v>
      </c>
      <c r="S1" s="5">
        <v>0.6875000000000006</v>
      </c>
      <c r="T1" s="5">
        <v>0.7083333333333339</v>
      </c>
      <c r="U1" s="5">
        <v>0.7291666666666673</v>
      </c>
      <c r="V1" s="5">
        <v>0.7500000000000007</v>
      </c>
      <c r="W1" s="5">
        <v>0.770833333333334</v>
      </c>
      <c r="X1" s="5">
        <v>0.7916666666666674</v>
      </c>
      <c r="Y1" s="5">
        <v>0.8125000000000008</v>
      </c>
      <c r="Z1" s="5">
        <v>0.8333333333333341</v>
      </c>
      <c r="AA1" s="5">
        <v>0.8541666666666675</v>
      </c>
      <c r="AB1" s="5">
        <v>0.8750000000000009</v>
      </c>
      <c r="AC1" s="5">
        <v>0.8958333333333343</v>
      </c>
      <c r="AD1" s="5">
        <v>0.9166666666666676</v>
      </c>
      <c r="AE1" s="5">
        <v>0.937500000000001</v>
      </c>
      <c r="AF1" s="5">
        <v>0.9583333333333344</v>
      </c>
      <c r="AG1" s="5">
        <v>0.9791666666666677</v>
      </c>
      <c r="AH1" s="5">
        <v>1.000000000000001</v>
      </c>
      <c r="AI1" s="5">
        <v>1.0208333333333344</v>
      </c>
      <c r="AJ1" s="5">
        <v>1.0416666666666679</v>
      </c>
      <c r="AK1" s="5">
        <v>1.0625000000000013</v>
      </c>
      <c r="AL1" s="5">
        <v>1.0833333333333348</v>
      </c>
    </row>
    <row r="2" ht="14.25" customHeight="1">
      <c r="B2" s="15">
        <v>0.3333333333333333</v>
      </c>
      <c r="C2" s="15">
        <v>0.3541666666666667</v>
      </c>
      <c r="D2" s="15">
        <v>0.37500000000000006</v>
      </c>
      <c r="E2" s="15">
        <v>0.3958333333333334</v>
      </c>
      <c r="F2" s="15">
        <v>0.4166666666666668</v>
      </c>
      <c r="G2" s="15">
        <v>0.43750000000000017</v>
      </c>
      <c r="H2" s="15">
        <v>0.45833333333333354</v>
      </c>
      <c r="I2" s="15">
        <v>0.4791666666666669</v>
      </c>
      <c r="J2" s="15">
        <v>0.5000000000000002</v>
      </c>
      <c r="K2" s="15">
        <v>0.5208333333333336</v>
      </c>
      <c r="L2" s="15">
        <v>0.541666666666667</v>
      </c>
      <c r="M2" s="15">
        <v>0.5625000000000003</v>
      </c>
      <c r="N2" s="15">
        <v>0.5833333333333337</v>
      </c>
      <c r="O2" s="15">
        <v>0.6041666666666671</v>
      </c>
      <c r="P2" s="15">
        <v>0.6250000000000004</v>
      </c>
      <c r="Q2" s="15">
        <v>0.6458333333333338</v>
      </c>
      <c r="R2" s="15">
        <v>0.6666666666666672</v>
      </c>
      <c r="S2" s="15">
        <v>0.6875000000000006</v>
      </c>
      <c r="T2" s="15">
        <v>0.7083333333333339</v>
      </c>
      <c r="U2" s="15">
        <v>0.7291666666666673</v>
      </c>
      <c r="V2" s="15">
        <v>0.7500000000000007</v>
      </c>
      <c r="W2" s="15">
        <v>0.770833333333334</v>
      </c>
      <c r="X2" s="15">
        <v>0.7916666666666674</v>
      </c>
      <c r="Y2" s="15">
        <v>0.8125000000000008</v>
      </c>
      <c r="Z2" s="15">
        <v>0.8333333333333341</v>
      </c>
      <c r="AA2" s="15">
        <v>0.8541666666666675</v>
      </c>
      <c r="AB2" s="15">
        <v>0.8750000000000009</v>
      </c>
      <c r="AC2" s="15">
        <v>0.8958333333333343</v>
      </c>
      <c r="AD2" s="15">
        <v>0.9166666666666676</v>
      </c>
      <c r="AE2" s="15">
        <v>0.937500000000001</v>
      </c>
      <c r="AF2" s="15">
        <v>0.9583333333333344</v>
      </c>
      <c r="AG2" s="15">
        <v>0.9791666666666677</v>
      </c>
      <c r="AH2" s="15">
        <v>1.000000000000001</v>
      </c>
      <c r="AI2" s="15">
        <v>1.0208333333333344</v>
      </c>
      <c r="AJ2" s="15">
        <v>1.0416666666666679</v>
      </c>
      <c r="AK2" s="15">
        <v>1.0625000000000013</v>
      </c>
      <c r="AL2" s="15">
        <v>1.0833333333333348</v>
      </c>
    </row>
    <row r="3" ht="14.25" customHeight="1">
      <c r="A3" s="17">
        <v>45503.0</v>
      </c>
      <c r="U3" s="2" t="s">
        <v>16</v>
      </c>
    </row>
    <row r="4" ht="14.25" customHeight="1">
      <c r="A4" s="17">
        <v>45504.0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16</v>
      </c>
      <c r="Z4" s="2" t="s">
        <v>20</v>
      </c>
      <c r="AA4" s="2" t="s">
        <v>21</v>
      </c>
      <c r="AB4" s="2" t="s">
        <v>20</v>
      </c>
      <c r="AC4" s="2" t="s">
        <v>16</v>
      </c>
      <c r="AD4" s="2" t="s">
        <v>16</v>
      </c>
      <c r="AE4" s="2" t="s">
        <v>22</v>
      </c>
      <c r="AF4" s="2" t="s">
        <v>16</v>
      </c>
      <c r="AG4" s="2" t="s">
        <v>20</v>
      </c>
      <c r="AH4" s="2" t="s">
        <v>19</v>
      </c>
      <c r="AI4" s="2" t="s">
        <v>19</v>
      </c>
      <c r="AJ4" s="2" t="s">
        <v>17</v>
      </c>
      <c r="AK4" s="2" t="s">
        <v>23</v>
      </c>
      <c r="AL4" s="2" t="s">
        <v>24</v>
      </c>
    </row>
    <row r="5" ht="14.25" customHeight="1">
      <c r="A5" s="17">
        <v>45505.0</v>
      </c>
      <c r="U5" s="2" t="s">
        <v>24</v>
      </c>
      <c r="V5" s="2" t="s">
        <v>25</v>
      </c>
      <c r="W5" s="2" t="s">
        <v>19</v>
      </c>
      <c r="X5" s="2" t="s">
        <v>26</v>
      </c>
      <c r="Y5" s="2" t="s">
        <v>16</v>
      </c>
      <c r="Z5" s="2" t="s">
        <v>16</v>
      </c>
      <c r="AA5" s="2" t="s">
        <v>19</v>
      </c>
      <c r="AB5" s="2" t="s">
        <v>16</v>
      </c>
      <c r="AC5" s="2" t="s">
        <v>18</v>
      </c>
      <c r="AD5" s="2" t="s">
        <v>16</v>
      </c>
      <c r="AE5" s="2" t="s">
        <v>16</v>
      </c>
      <c r="AF5" s="2" t="s">
        <v>21</v>
      </c>
      <c r="AG5" s="2" t="s">
        <v>19</v>
      </c>
      <c r="AH5" s="2" t="s">
        <v>27</v>
      </c>
      <c r="AI5" s="2" t="s">
        <v>28</v>
      </c>
      <c r="AJ5" s="2" t="s">
        <v>26</v>
      </c>
      <c r="AK5" s="2" t="s">
        <v>26</v>
      </c>
      <c r="AL5" s="2" t="s">
        <v>20</v>
      </c>
    </row>
    <row r="6" ht="14.25" customHeight="1">
      <c r="A6" s="17">
        <v>45506.0</v>
      </c>
      <c r="U6" s="2" t="s">
        <v>24</v>
      </c>
      <c r="V6" s="2" t="s">
        <v>27</v>
      </c>
      <c r="W6" s="2" t="s">
        <v>27</v>
      </c>
      <c r="X6" s="2" t="s">
        <v>16</v>
      </c>
      <c r="Y6" s="2" t="s">
        <v>19</v>
      </c>
      <c r="Z6" s="2" t="s">
        <v>22</v>
      </c>
      <c r="AA6" s="2" t="s">
        <v>16</v>
      </c>
      <c r="AB6" s="2" t="s">
        <v>18</v>
      </c>
      <c r="AC6" s="2" t="s">
        <v>16</v>
      </c>
      <c r="AD6" s="2" t="s">
        <v>21</v>
      </c>
      <c r="AE6" s="2" t="s">
        <v>28</v>
      </c>
      <c r="AF6" s="2" t="s">
        <v>25</v>
      </c>
      <c r="AG6" s="2" t="s">
        <v>25</v>
      </c>
      <c r="AH6" s="2" t="s">
        <v>28</v>
      </c>
      <c r="AI6" s="2" t="s">
        <v>16</v>
      </c>
      <c r="AJ6" s="2" t="s">
        <v>20</v>
      </c>
      <c r="AK6" s="2" t="s">
        <v>21</v>
      </c>
      <c r="AL6" s="2" t="s">
        <v>28</v>
      </c>
    </row>
    <row r="7" ht="14.25" customHeight="1">
      <c r="A7" s="17">
        <v>45507.0</v>
      </c>
      <c r="Q7" s="2" t="s">
        <v>29</v>
      </c>
      <c r="R7" s="2" t="s">
        <v>30</v>
      </c>
      <c r="S7" s="2" t="s">
        <v>26</v>
      </c>
      <c r="T7" s="2" t="s">
        <v>27</v>
      </c>
      <c r="U7" s="2" t="s">
        <v>20</v>
      </c>
      <c r="V7" s="2" t="s">
        <v>18</v>
      </c>
      <c r="W7" s="2" t="s">
        <v>18</v>
      </c>
      <c r="X7" s="2" t="s">
        <v>16</v>
      </c>
      <c r="Y7" s="2" t="s">
        <v>17</v>
      </c>
      <c r="Z7" s="2" t="s">
        <v>20</v>
      </c>
      <c r="AA7" s="2" t="s">
        <v>16</v>
      </c>
      <c r="AB7" s="2" t="s">
        <v>28</v>
      </c>
      <c r="AC7" s="2" t="s">
        <v>22</v>
      </c>
      <c r="AD7" s="2" t="s">
        <v>16</v>
      </c>
      <c r="AE7" s="2" t="s">
        <v>21</v>
      </c>
      <c r="AF7" s="2" t="s">
        <v>24</v>
      </c>
      <c r="AG7" s="2" t="s">
        <v>19</v>
      </c>
      <c r="AH7" s="2" t="s">
        <v>20</v>
      </c>
      <c r="AI7" s="2" t="s">
        <v>23</v>
      </c>
      <c r="AJ7" s="2" t="s">
        <v>20</v>
      </c>
      <c r="AK7" s="2" t="s">
        <v>21</v>
      </c>
      <c r="AL7" s="2" t="s">
        <v>21</v>
      </c>
    </row>
    <row r="8" ht="14.25" customHeight="1">
      <c r="A8" s="17">
        <v>45508.0</v>
      </c>
      <c r="B8" s="2" t="s">
        <v>31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2" t="s">
        <v>21</v>
      </c>
      <c r="V8" s="2" t="s">
        <v>16</v>
      </c>
      <c r="W8" s="2" t="s">
        <v>22</v>
      </c>
      <c r="X8" s="2" t="s">
        <v>25</v>
      </c>
      <c r="Y8" s="2" t="s">
        <v>25</v>
      </c>
      <c r="Z8" s="2" t="s">
        <v>17</v>
      </c>
      <c r="AA8" s="2" t="s">
        <v>19</v>
      </c>
      <c r="AB8" s="2" t="s">
        <v>21</v>
      </c>
      <c r="AC8" s="2" t="s">
        <v>27</v>
      </c>
      <c r="AD8" s="2" t="s">
        <v>26</v>
      </c>
      <c r="AE8" s="2" t="s">
        <v>17</v>
      </c>
      <c r="AF8" s="2" t="s">
        <v>25</v>
      </c>
      <c r="AG8" s="2" t="s">
        <v>26</v>
      </c>
      <c r="AH8" s="2" t="s">
        <v>26</v>
      </c>
      <c r="AI8" s="2" t="s">
        <v>25</v>
      </c>
      <c r="AJ8" s="2" t="s">
        <v>16</v>
      </c>
      <c r="AK8" s="2" t="s">
        <v>16</v>
      </c>
      <c r="AL8" s="2" t="s">
        <v>16</v>
      </c>
    </row>
    <row r="9" ht="14.25" customHeight="1">
      <c r="A9" s="17">
        <v>45509.0</v>
      </c>
      <c r="B9" s="2" t="s">
        <v>31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31</v>
      </c>
      <c r="K9" s="2" t="s">
        <v>31</v>
      </c>
      <c r="L9" s="2" t="s">
        <v>31</v>
      </c>
      <c r="M9" s="2" t="s">
        <v>31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2" t="s">
        <v>16</v>
      </c>
      <c r="V9" s="2" t="s">
        <v>22</v>
      </c>
      <c r="W9" s="2" t="s">
        <v>26</v>
      </c>
      <c r="X9" s="2" t="s">
        <v>21</v>
      </c>
      <c r="Y9" s="2" t="s">
        <v>16</v>
      </c>
      <c r="Z9" s="2" t="s">
        <v>20</v>
      </c>
      <c r="AA9" s="2" t="s">
        <v>16</v>
      </c>
      <c r="AB9" s="2" t="s">
        <v>20</v>
      </c>
      <c r="AC9" s="2" t="s">
        <v>19</v>
      </c>
      <c r="AD9" s="2" t="s">
        <v>20</v>
      </c>
      <c r="AE9" s="2" t="s">
        <v>20</v>
      </c>
      <c r="AF9" s="2" t="s">
        <v>21</v>
      </c>
      <c r="AG9" s="2" t="s">
        <v>17</v>
      </c>
      <c r="AH9" s="2" t="s">
        <v>21</v>
      </c>
      <c r="AI9" s="2" t="s">
        <v>24</v>
      </c>
      <c r="AJ9" s="2" t="s">
        <v>28</v>
      </c>
      <c r="AK9" s="2" t="s">
        <v>23</v>
      </c>
      <c r="AL9" s="2" t="s">
        <v>17</v>
      </c>
    </row>
    <row r="10" ht="14.25" customHeight="1">
      <c r="A10" s="17">
        <v>45510.0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  <c r="K10" s="2" t="s">
        <v>31</v>
      </c>
      <c r="L10" s="2" t="s">
        <v>31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2" t="s">
        <v>17</v>
      </c>
      <c r="V10" s="2" t="s">
        <v>16</v>
      </c>
      <c r="W10" s="2" t="s">
        <v>16</v>
      </c>
      <c r="X10" s="2" t="s">
        <v>16</v>
      </c>
      <c r="Y10" s="2" t="s">
        <v>22</v>
      </c>
      <c r="Z10" s="2" t="s">
        <v>18</v>
      </c>
      <c r="AA10" s="2" t="s">
        <v>24</v>
      </c>
      <c r="AB10" s="2" t="s">
        <v>24</v>
      </c>
      <c r="AC10" s="2" t="s">
        <v>26</v>
      </c>
      <c r="AD10" s="2" t="s">
        <v>16</v>
      </c>
      <c r="AE10" s="2" t="s">
        <v>18</v>
      </c>
      <c r="AF10" s="2" t="s">
        <v>26</v>
      </c>
      <c r="AG10" s="2" t="s">
        <v>19</v>
      </c>
      <c r="AH10" s="2" t="s">
        <v>18</v>
      </c>
      <c r="AI10" s="2" t="s">
        <v>25</v>
      </c>
      <c r="AJ10" s="2" t="s">
        <v>23</v>
      </c>
      <c r="AK10" s="2" t="s">
        <v>16</v>
      </c>
      <c r="AL10" s="2" t="s">
        <v>16</v>
      </c>
    </row>
    <row r="11" ht="14.25" customHeight="1">
      <c r="A11" s="17">
        <v>45511.0</v>
      </c>
      <c r="B11" s="2" t="s">
        <v>31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2" t="s">
        <v>31</v>
      </c>
      <c r="K11" s="2" t="s">
        <v>31</v>
      </c>
      <c r="L11" s="2" t="s">
        <v>31</v>
      </c>
      <c r="M11" s="2" t="s">
        <v>31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2" t="s">
        <v>22</v>
      </c>
      <c r="V11" s="2" t="s">
        <v>16</v>
      </c>
      <c r="W11" s="2" t="s">
        <v>18</v>
      </c>
      <c r="X11" s="2" t="s">
        <v>28</v>
      </c>
      <c r="Y11" s="2" t="s">
        <v>25</v>
      </c>
      <c r="Z11" s="2" t="s">
        <v>16</v>
      </c>
      <c r="AA11" s="2" t="s">
        <v>17</v>
      </c>
      <c r="AB11" s="2" t="s">
        <v>17</v>
      </c>
      <c r="AC11" s="2" t="s">
        <v>20</v>
      </c>
      <c r="AD11" s="2" t="s">
        <v>21</v>
      </c>
      <c r="AE11" s="2" t="s">
        <v>16</v>
      </c>
      <c r="AF11" s="2" t="s">
        <v>21</v>
      </c>
      <c r="AG11" s="2" t="s">
        <v>27</v>
      </c>
      <c r="AH11" s="2" t="s">
        <v>24</v>
      </c>
      <c r="AI11" s="2" t="s">
        <v>16</v>
      </c>
      <c r="AJ11" s="2" t="s">
        <v>20</v>
      </c>
      <c r="AK11" s="2" t="s">
        <v>28</v>
      </c>
      <c r="AL11" s="2" t="s">
        <v>16</v>
      </c>
    </row>
    <row r="12" ht="14.25" customHeight="1">
      <c r="A12" s="17">
        <v>45512.0</v>
      </c>
      <c r="B12" s="2" t="s">
        <v>31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2" t="s">
        <v>16</v>
      </c>
      <c r="V12" s="2" t="s">
        <v>16</v>
      </c>
      <c r="W12" s="2" t="s">
        <v>16</v>
      </c>
      <c r="X12" s="2" t="s">
        <v>24</v>
      </c>
      <c r="Y12" s="2" t="s">
        <v>24</v>
      </c>
      <c r="Z12" s="2" t="s">
        <v>24</v>
      </c>
      <c r="AA12" s="2" t="s">
        <v>19</v>
      </c>
      <c r="AB12" s="2" t="s">
        <v>23</v>
      </c>
      <c r="AC12" s="2" t="s">
        <v>25</v>
      </c>
      <c r="AD12" s="2" t="s">
        <v>22</v>
      </c>
      <c r="AE12" s="2" t="s">
        <v>28</v>
      </c>
      <c r="AF12" s="2" t="s">
        <v>16</v>
      </c>
      <c r="AG12" s="2" t="s">
        <v>17</v>
      </c>
      <c r="AH12" s="2" t="s">
        <v>24</v>
      </c>
      <c r="AI12" s="2" t="s">
        <v>24</v>
      </c>
      <c r="AJ12" s="2" t="s">
        <v>16</v>
      </c>
      <c r="AK12" s="2" t="s">
        <v>20</v>
      </c>
      <c r="AL12" s="2" t="s">
        <v>26</v>
      </c>
    </row>
    <row r="13" ht="14.25" customHeight="1">
      <c r="A13" s="17">
        <v>45513.0</v>
      </c>
      <c r="B13" s="2" t="s">
        <v>31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2" t="s">
        <v>31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2" t="s">
        <v>22</v>
      </c>
      <c r="V13" s="2" t="s">
        <v>20</v>
      </c>
      <c r="W13" s="2" t="s">
        <v>26</v>
      </c>
      <c r="X13" s="2" t="s">
        <v>21</v>
      </c>
      <c r="Y13" s="2" t="s">
        <v>17</v>
      </c>
      <c r="Z13" s="2" t="s">
        <v>20</v>
      </c>
      <c r="AA13" s="2" t="s">
        <v>16</v>
      </c>
      <c r="AB13" s="2" t="s">
        <v>26</v>
      </c>
      <c r="AC13" s="2" t="s">
        <v>20</v>
      </c>
      <c r="AD13" s="2" t="s">
        <v>19</v>
      </c>
      <c r="AE13" s="2" t="s">
        <v>23</v>
      </c>
      <c r="AF13" s="2" t="s">
        <v>17</v>
      </c>
      <c r="AG13" s="2" t="s">
        <v>28</v>
      </c>
      <c r="AH13" s="2" t="s">
        <v>26</v>
      </c>
      <c r="AI13" s="2" t="s">
        <v>17</v>
      </c>
      <c r="AJ13" s="2" t="s">
        <v>26</v>
      </c>
      <c r="AK13" s="2" t="s">
        <v>16</v>
      </c>
      <c r="AL13" s="2" t="s">
        <v>20</v>
      </c>
    </row>
    <row r="14" ht="14.25" customHeight="1">
      <c r="A14" s="17">
        <v>45514.0</v>
      </c>
      <c r="B14" s="2" t="s">
        <v>17</v>
      </c>
      <c r="C14" s="2" t="s">
        <v>18</v>
      </c>
      <c r="D14" s="2" t="s">
        <v>19</v>
      </c>
      <c r="E14" s="2" t="s">
        <v>32</v>
      </c>
      <c r="F14" s="2" t="s">
        <v>30</v>
      </c>
      <c r="G14" s="2" t="s">
        <v>33</v>
      </c>
      <c r="H14" s="2" t="s">
        <v>16</v>
      </c>
      <c r="I14" s="2" t="s">
        <v>34</v>
      </c>
      <c r="J14" s="2" t="s">
        <v>17</v>
      </c>
      <c r="K14" s="2" t="s">
        <v>17</v>
      </c>
      <c r="L14" s="2" t="s">
        <v>35</v>
      </c>
      <c r="M14" s="2" t="s">
        <v>16</v>
      </c>
      <c r="N14" s="2" t="s">
        <v>36</v>
      </c>
      <c r="O14" s="2" t="s">
        <v>19</v>
      </c>
      <c r="P14" s="2" t="s">
        <v>25</v>
      </c>
      <c r="Q14" s="2" t="s">
        <v>37</v>
      </c>
      <c r="R14" s="2" t="s">
        <v>38</v>
      </c>
      <c r="S14" s="2" t="s">
        <v>33</v>
      </c>
      <c r="T14" s="2" t="s">
        <v>34</v>
      </c>
      <c r="U14" s="2" t="s">
        <v>19</v>
      </c>
      <c r="V14" s="2" t="s">
        <v>21</v>
      </c>
      <c r="W14" s="2" t="s">
        <v>16</v>
      </c>
      <c r="X14" s="2" t="s">
        <v>16</v>
      </c>
      <c r="Y14" s="2" t="s">
        <v>16</v>
      </c>
      <c r="Z14" s="2" t="s">
        <v>16</v>
      </c>
      <c r="AA14" s="2" t="s">
        <v>26</v>
      </c>
      <c r="AB14" s="2" t="s">
        <v>22</v>
      </c>
      <c r="AC14" s="2" t="s">
        <v>18</v>
      </c>
      <c r="AD14" s="2" t="s">
        <v>28</v>
      </c>
      <c r="AE14" s="2" t="s">
        <v>17</v>
      </c>
      <c r="AF14" s="2" t="s">
        <v>17</v>
      </c>
      <c r="AG14" s="2" t="s">
        <v>21</v>
      </c>
      <c r="AH14" s="2" t="s">
        <v>17</v>
      </c>
      <c r="AI14" s="2" t="s">
        <v>25</v>
      </c>
      <c r="AJ14" s="2" t="s">
        <v>22</v>
      </c>
      <c r="AK14" s="2" t="s">
        <v>16</v>
      </c>
      <c r="AL14" s="2" t="s">
        <v>20</v>
      </c>
    </row>
    <row r="15" ht="14.25" customHeight="1">
      <c r="A15" s="17">
        <v>45515.0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31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2" t="s">
        <v>27</v>
      </c>
      <c r="V15" s="2" t="s">
        <v>19</v>
      </c>
      <c r="W15" s="2" t="s">
        <v>16</v>
      </c>
      <c r="X15" s="2" t="s">
        <v>23</v>
      </c>
      <c r="Y15" s="2" t="s">
        <v>21</v>
      </c>
      <c r="Z15" s="2" t="s">
        <v>17</v>
      </c>
      <c r="AA15" s="2" t="s">
        <v>21</v>
      </c>
      <c r="AB15" s="2" t="s">
        <v>25</v>
      </c>
      <c r="AC15" s="2" t="s">
        <v>16</v>
      </c>
      <c r="AD15" s="2" t="s">
        <v>25</v>
      </c>
      <c r="AE15" s="2" t="s">
        <v>17</v>
      </c>
      <c r="AF15" s="2" t="s">
        <v>26</v>
      </c>
      <c r="AG15" s="2" t="s">
        <v>26</v>
      </c>
      <c r="AH15" s="2" t="s">
        <v>19</v>
      </c>
      <c r="AI15" s="2" t="s">
        <v>25</v>
      </c>
      <c r="AJ15" s="2" t="s">
        <v>26</v>
      </c>
      <c r="AK15" s="2" t="s">
        <v>18</v>
      </c>
      <c r="AL15" s="2" t="s">
        <v>16</v>
      </c>
    </row>
    <row r="16" ht="14.25" customHeight="1">
      <c r="A16" s="17">
        <v>45516.0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28</v>
      </c>
      <c r="V16" s="2" t="s">
        <v>16</v>
      </c>
      <c r="W16" s="2" t="s">
        <v>20</v>
      </c>
      <c r="X16" s="2" t="s">
        <v>27</v>
      </c>
      <c r="Y16" s="2" t="s">
        <v>16</v>
      </c>
      <c r="Z16" s="2" t="s">
        <v>21</v>
      </c>
      <c r="AA16" s="2" t="s">
        <v>16</v>
      </c>
      <c r="AB16" s="2" t="s">
        <v>16</v>
      </c>
      <c r="AC16" s="2" t="s">
        <v>22</v>
      </c>
      <c r="AD16" s="2" t="s">
        <v>25</v>
      </c>
      <c r="AE16" s="2" t="s">
        <v>24</v>
      </c>
      <c r="AF16" s="2" t="s">
        <v>16</v>
      </c>
      <c r="AG16" s="2" t="s">
        <v>24</v>
      </c>
      <c r="AH16" s="2" t="s">
        <v>16</v>
      </c>
      <c r="AI16" s="2" t="s">
        <v>17</v>
      </c>
      <c r="AJ16" s="2" t="s">
        <v>22</v>
      </c>
      <c r="AK16" s="2" t="s">
        <v>25</v>
      </c>
      <c r="AL16" s="2" t="s">
        <v>17</v>
      </c>
    </row>
    <row r="17" ht="14.25" customHeight="1">
      <c r="A17" s="17">
        <v>45517.0</v>
      </c>
      <c r="B17" s="2" t="s">
        <v>31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31</v>
      </c>
      <c r="K17" s="2" t="s">
        <v>31</v>
      </c>
      <c r="L17" s="2" t="s">
        <v>31</v>
      </c>
      <c r="M17" s="2" t="s">
        <v>31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2" t="s">
        <v>24</v>
      </c>
      <c r="V17" s="2" t="s">
        <v>20</v>
      </c>
      <c r="W17" s="2" t="s">
        <v>16</v>
      </c>
      <c r="X17" s="2" t="s">
        <v>16</v>
      </c>
      <c r="Y17" s="2" t="s">
        <v>16</v>
      </c>
      <c r="Z17" s="2" t="s">
        <v>23</v>
      </c>
      <c r="AA17" s="2" t="s">
        <v>24</v>
      </c>
      <c r="AB17" s="2" t="s">
        <v>16</v>
      </c>
      <c r="AC17" s="2" t="s">
        <v>24</v>
      </c>
      <c r="AD17" s="2" t="s">
        <v>27</v>
      </c>
      <c r="AE17" s="2" t="s">
        <v>22</v>
      </c>
      <c r="AF17" s="2" t="s">
        <v>21</v>
      </c>
      <c r="AG17" s="2" t="s">
        <v>25</v>
      </c>
      <c r="AH17" s="2" t="s">
        <v>17</v>
      </c>
      <c r="AI17" s="2" t="s">
        <v>24</v>
      </c>
      <c r="AJ17" s="2" t="s">
        <v>16</v>
      </c>
      <c r="AK17" s="2" t="s">
        <v>25</v>
      </c>
      <c r="AL17" s="2" t="s">
        <v>26</v>
      </c>
    </row>
    <row r="18" ht="14.25" customHeight="1">
      <c r="A18" s="17">
        <v>45518.0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31</v>
      </c>
      <c r="L18" s="2" t="s">
        <v>31</v>
      </c>
      <c r="M18" s="2" t="s">
        <v>31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2" t="s">
        <v>16</v>
      </c>
      <c r="V18" s="2" t="s">
        <v>27</v>
      </c>
      <c r="W18" s="2" t="s">
        <v>26</v>
      </c>
      <c r="X18" s="2" t="s">
        <v>16</v>
      </c>
      <c r="Y18" s="2" t="s">
        <v>16</v>
      </c>
      <c r="Z18" s="2" t="s">
        <v>16</v>
      </c>
      <c r="AA18" s="2" t="s">
        <v>20</v>
      </c>
      <c r="AB18" s="2" t="s">
        <v>17</v>
      </c>
      <c r="AC18" s="2" t="s">
        <v>26</v>
      </c>
      <c r="AD18" s="2" t="s">
        <v>21</v>
      </c>
      <c r="AE18" s="2" t="s">
        <v>25</v>
      </c>
      <c r="AF18" s="2" t="s">
        <v>20</v>
      </c>
      <c r="AG18" s="2" t="s">
        <v>24</v>
      </c>
      <c r="AH18" s="2" t="s">
        <v>16</v>
      </c>
      <c r="AI18" s="2" t="s">
        <v>16</v>
      </c>
      <c r="AJ18" s="2" t="s">
        <v>18</v>
      </c>
      <c r="AK18" s="2" t="s">
        <v>16</v>
      </c>
      <c r="AL18" s="2" t="s">
        <v>22</v>
      </c>
    </row>
    <row r="19" ht="14.25" customHeight="1">
      <c r="A19" s="17">
        <v>45519.0</v>
      </c>
      <c r="B19" s="2" t="s">
        <v>31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  <c r="L19" s="2" t="s">
        <v>31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19</v>
      </c>
      <c r="V19" s="2" t="s">
        <v>21</v>
      </c>
      <c r="W19" s="2" t="s">
        <v>17</v>
      </c>
      <c r="X19" s="2" t="s">
        <v>16</v>
      </c>
      <c r="Y19" s="2" t="s">
        <v>26</v>
      </c>
      <c r="Z19" s="2" t="s">
        <v>20</v>
      </c>
      <c r="AA19" s="2" t="s">
        <v>16</v>
      </c>
      <c r="AB19" s="2" t="s">
        <v>19</v>
      </c>
      <c r="AC19" s="2" t="s">
        <v>25</v>
      </c>
      <c r="AD19" s="2" t="s">
        <v>26</v>
      </c>
      <c r="AE19" s="2" t="s">
        <v>23</v>
      </c>
      <c r="AF19" s="2" t="s">
        <v>24</v>
      </c>
      <c r="AG19" s="2" t="s">
        <v>28</v>
      </c>
      <c r="AH19" s="2" t="s">
        <v>20</v>
      </c>
      <c r="AI19" s="2" t="s">
        <v>25</v>
      </c>
      <c r="AJ19" s="2" t="s">
        <v>17</v>
      </c>
      <c r="AK19" s="2" t="s">
        <v>16</v>
      </c>
      <c r="AL19" s="2" t="s">
        <v>17</v>
      </c>
    </row>
    <row r="20" ht="14.25" customHeight="1">
      <c r="A20" s="17">
        <v>45520.0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31</v>
      </c>
      <c r="K20" s="2" t="s">
        <v>31</v>
      </c>
      <c r="L20" s="2" t="s">
        <v>31</v>
      </c>
      <c r="M20" s="2" t="s">
        <v>31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2" t="s">
        <v>17</v>
      </c>
      <c r="V20" s="2" t="s">
        <v>16</v>
      </c>
      <c r="W20" s="2" t="s">
        <v>21</v>
      </c>
      <c r="X20" s="2" t="s">
        <v>20</v>
      </c>
      <c r="Y20" s="2" t="s">
        <v>21</v>
      </c>
      <c r="Z20" s="2" t="s">
        <v>22</v>
      </c>
      <c r="AA20" s="2" t="s">
        <v>27</v>
      </c>
      <c r="AB20" s="2" t="s">
        <v>27</v>
      </c>
      <c r="AC20" s="2" t="s">
        <v>23</v>
      </c>
      <c r="AD20" s="2" t="s">
        <v>16</v>
      </c>
      <c r="AE20" s="2" t="s">
        <v>21</v>
      </c>
      <c r="AF20" s="2" t="s">
        <v>17</v>
      </c>
      <c r="AG20" s="2" t="s">
        <v>16</v>
      </c>
      <c r="AH20" s="2" t="s">
        <v>16</v>
      </c>
      <c r="AI20" s="2" t="s">
        <v>18</v>
      </c>
      <c r="AJ20" s="2" t="s">
        <v>16</v>
      </c>
      <c r="AK20" s="2" t="s">
        <v>19</v>
      </c>
      <c r="AL20" s="2" t="s">
        <v>16</v>
      </c>
    </row>
    <row r="21" ht="14.25" customHeight="1">
      <c r="A21" s="17">
        <v>45521.0</v>
      </c>
      <c r="B21" s="2" t="s">
        <v>17</v>
      </c>
      <c r="C21" s="2" t="s">
        <v>16</v>
      </c>
      <c r="D21" s="2" t="s">
        <v>27</v>
      </c>
      <c r="E21" s="2" t="s">
        <v>16</v>
      </c>
      <c r="F21" s="2" t="s">
        <v>33</v>
      </c>
      <c r="G21" s="2" t="s">
        <v>39</v>
      </c>
      <c r="H21" s="2" t="s">
        <v>40</v>
      </c>
      <c r="I21" s="2" t="s">
        <v>34</v>
      </c>
      <c r="J21" s="2" t="s">
        <v>26</v>
      </c>
      <c r="K21" s="2" t="s">
        <v>41</v>
      </c>
      <c r="L21" s="2" t="s">
        <v>21</v>
      </c>
      <c r="M21" s="2" t="s">
        <v>24</v>
      </c>
      <c r="N21" s="2" t="s">
        <v>40</v>
      </c>
      <c r="O21" s="2" t="s">
        <v>33</v>
      </c>
      <c r="P21" s="2" t="s">
        <v>37</v>
      </c>
      <c r="Q21" s="2" t="s">
        <v>19</v>
      </c>
      <c r="R21" s="2" t="s">
        <v>16</v>
      </c>
      <c r="S21" s="2" t="s">
        <v>34</v>
      </c>
      <c r="T21" s="2" t="s">
        <v>37</v>
      </c>
      <c r="U21" s="2" t="s">
        <v>21</v>
      </c>
      <c r="V21" s="2" t="s">
        <v>28</v>
      </c>
      <c r="W21" s="2" t="s">
        <v>24</v>
      </c>
      <c r="X21" s="2" t="s">
        <v>16</v>
      </c>
      <c r="Y21" s="2" t="s">
        <v>21</v>
      </c>
      <c r="Z21" s="2" t="s">
        <v>18</v>
      </c>
      <c r="AA21" s="2" t="s">
        <v>16</v>
      </c>
      <c r="AB21" s="2" t="s">
        <v>25</v>
      </c>
      <c r="AC21" s="2" t="s">
        <v>24</v>
      </c>
      <c r="AD21" s="2" t="s">
        <v>26</v>
      </c>
      <c r="AE21" s="2" t="s">
        <v>20</v>
      </c>
      <c r="AF21" s="2" t="s">
        <v>19</v>
      </c>
      <c r="AG21" s="2" t="s">
        <v>28</v>
      </c>
      <c r="AH21" s="2" t="s">
        <v>21</v>
      </c>
      <c r="AI21" s="2" t="s">
        <v>16</v>
      </c>
      <c r="AJ21" s="2" t="s">
        <v>16</v>
      </c>
      <c r="AK21" s="2" t="s">
        <v>17</v>
      </c>
      <c r="AL21" s="2" t="s">
        <v>19</v>
      </c>
    </row>
    <row r="22" ht="14.25" customHeight="1">
      <c r="A22" s="17">
        <v>45522.0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  <c r="K22" s="2" t="s">
        <v>31</v>
      </c>
      <c r="L22" s="2" t="s">
        <v>31</v>
      </c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16</v>
      </c>
      <c r="V22" s="2" t="s">
        <v>16</v>
      </c>
      <c r="W22" s="2" t="s">
        <v>28</v>
      </c>
      <c r="X22" s="2" t="s">
        <v>16</v>
      </c>
      <c r="Y22" s="2" t="s">
        <v>24</v>
      </c>
      <c r="Z22" s="2" t="s">
        <v>23</v>
      </c>
      <c r="AA22" s="2" t="s">
        <v>28</v>
      </c>
      <c r="AB22" s="2" t="s">
        <v>20</v>
      </c>
      <c r="AC22" s="2" t="s">
        <v>26</v>
      </c>
      <c r="AD22" s="2" t="s">
        <v>27</v>
      </c>
      <c r="AE22" s="2" t="s">
        <v>24</v>
      </c>
      <c r="AF22" s="2" t="s">
        <v>21</v>
      </c>
      <c r="AG22" s="2" t="s">
        <v>16</v>
      </c>
      <c r="AH22" s="2" t="s">
        <v>16</v>
      </c>
      <c r="AI22" s="2" t="s">
        <v>26</v>
      </c>
      <c r="AJ22" s="2" t="s">
        <v>16</v>
      </c>
      <c r="AK22" s="2" t="s">
        <v>17</v>
      </c>
      <c r="AL22" s="2" t="s">
        <v>26</v>
      </c>
    </row>
    <row r="23" ht="14.25" customHeight="1">
      <c r="A23" s="17">
        <v>45523.0</v>
      </c>
      <c r="B23" s="2" t="s">
        <v>31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31</v>
      </c>
      <c r="I23" s="2" t="s">
        <v>31</v>
      </c>
      <c r="J23" s="2" t="s">
        <v>31</v>
      </c>
      <c r="K23" s="2" t="s">
        <v>31</v>
      </c>
      <c r="L23" s="2" t="s">
        <v>31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2" t="s">
        <v>16</v>
      </c>
      <c r="V23" s="2" t="s">
        <v>21</v>
      </c>
      <c r="W23" s="2" t="s">
        <v>20</v>
      </c>
      <c r="X23" s="2" t="s">
        <v>16</v>
      </c>
      <c r="Y23" s="2" t="s">
        <v>26</v>
      </c>
      <c r="Z23" s="2" t="s">
        <v>16</v>
      </c>
      <c r="AA23" s="2" t="s">
        <v>18</v>
      </c>
      <c r="AB23" s="2" t="s">
        <v>26</v>
      </c>
      <c r="AC23" s="2" t="s">
        <v>16</v>
      </c>
      <c r="AD23" s="2" t="s">
        <v>16</v>
      </c>
      <c r="AE23" s="2" t="s">
        <v>16</v>
      </c>
      <c r="AF23" s="2" t="s">
        <v>16</v>
      </c>
      <c r="AG23" s="2" t="s">
        <v>24</v>
      </c>
      <c r="AH23" s="2" t="s">
        <v>21</v>
      </c>
      <c r="AI23" s="2" t="s">
        <v>28</v>
      </c>
      <c r="AJ23" s="2" t="s">
        <v>16</v>
      </c>
      <c r="AK23" s="2" t="s">
        <v>22</v>
      </c>
      <c r="AL23" s="2" t="s">
        <v>16</v>
      </c>
    </row>
    <row r="24" ht="14.25" customHeight="1">
      <c r="A24" s="17">
        <v>45524.0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  <c r="K24" s="2" t="s">
        <v>31</v>
      </c>
      <c r="L24" s="2" t="s">
        <v>31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2" t="s">
        <v>16</v>
      </c>
      <c r="V24" s="2" t="s">
        <v>22</v>
      </c>
      <c r="W24" s="2" t="s">
        <v>16</v>
      </c>
      <c r="X24" s="2" t="s">
        <v>26</v>
      </c>
      <c r="Y24" s="2" t="s">
        <v>28</v>
      </c>
      <c r="Z24" s="2" t="s">
        <v>17</v>
      </c>
      <c r="AA24" s="2" t="s">
        <v>16</v>
      </c>
      <c r="AB24" s="2" t="s">
        <v>28</v>
      </c>
      <c r="AC24" s="2" t="s">
        <v>19</v>
      </c>
      <c r="AD24" s="2" t="s">
        <v>20</v>
      </c>
      <c r="AE24" s="2" t="s">
        <v>26</v>
      </c>
      <c r="AF24" s="2" t="s">
        <v>26</v>
      </c>
      <c r="AG24" s="2" t="s">
        <v>25</v>
      </c>
      <c r="AH24" s="2" t="s">
        <v>24</v>
      </c>
      <c r="AI24" s="2" t="s">
        <v>27</v>
      </c>
      <c r="AJ24" s="2" t="s">
        <v>25</v>
      </c>
      <c r="AK24" s="2" t="s">
        <v>21</v>
      </c>
      <c r="AL24" s="2" t="s">
        <v>21</v>
      </c>
    </row>
    <row r="25" ht="14.25" customHeight="1">
      <c r="A25" s="17">
        <v>45525.0</v>
      </c>
      <c r="B25" s="2" t="s">
        <v>31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31</v>
      </c>
      <c r="I25" s="2" t="s">
        <v>31</v>
      </c>
      <c r="J25" s="2" t="s">
        <v>31</v>
      </c>
      <c r="K25" s="2" t="s">
        <v>31</v>
      </c>
      <c r="L25" s="2" t="s">
        <v>31</v>
      </c>
      <c r="M25" s="2" t="s">
        <v>31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2" t="s">
        <v>16</v>
      </c>
      <c r="V25" s="2" t="s">
        <v>25</v>
      </c>
      <c r="W25" s="2" t="s">
        <v>16</v>
      </c>
      <c r="X25" s="2" t="s">
        <v>23</v>
      </c>
      <c r="Y25" s="2" t="s">
        <v>21</v>
      </c>
      <c r="Z25" s="2" t="s">
        <v>17</v>
      </c>
      <c r="AA25" s="2" t="s">
        <v>16</v>
      </c>
      <c r="AB25" s="2" t="s">
        <v>16</v>
      </c>
      <c r="AC25" s="2" t="s">
        <v>17</v>
      </c>
      <c r="AD25" s="2" t="s">
        <v>27</v>
      </c>
      <c r="AE25" s="2" t="s">
        <v>16</v>
      </c>
      <c r="AF25" s="2" t="s">
        <v>21</v>
      </c>
      <c r="AG25" s="2" t="s">
        <v>18</v>
      </c>
      <c r="AH25" s="2" t="s">
        <v>25</v>
      </c>
      <c r="AI25" s="2" t="s">
        <v>26</v>
      </c>
      <c r="AJ25" s="2" t="s">
        <v>17</v>
      </c>
      <c r="AK25" s="2" t="s">
        <v>21</v>
      </c>
      <c r="AL25" s="2" t="s">
        <v>17</v>
      </c>
    </row>
    <row r="26" ht="14.25" customHeight="1">
      <c r="A26" s="17">
        <v>45526.0</v>
      </c>
      <c r="B26" s="2" t="s">
        <v>31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  <c r="K26" s="2" t="s">
        <v>31</v>
      </c>
      <c r="L26" s="2" t="s">
        <v>31</v>
      </c>
      <c r="M26" s="2" t="s">
        <v>31</v>
      </c>
      <c r="N26" s="2" t="s">
        <v>31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2" t="s">
        <v>19</v>
      </c>
      <c r="V26" s="2" t="s">
        <v>16</v>
      </c>
      <c r="W26" s="2" t="s">
        <v>23</v>
      </c>
      <c r="X26" s="2" t="s">
        <v>19</v>
      </c>
      <c r="Y26" s="2" t="s">
        <v>16</v>
      </c>
      <c r="Z26" s="2" t="s">
        <v>18</v>
      </c>
      <c r="AA26" s="2" t="s">
        <v>19</v>
      </c>
      <c r="AB26" s="2" t="s">
        <v>16</v>
      </c>
      <c r="AC26" s="2" t="s">
        <v>21</v>
      </c>
      <c r="AD26" s="2" t="s">
        <v>16</v>
      </c>
      <c r="AE26" s="2" t="s">
        <v>25</v>
      </c>
      <c r="AF26" s="2" t="s">
        <v>28</v>
      </c>
      <c r="AG26" s="2" t="s">
        <v>22</v>
      </c>
      <c r="AH26" s="2" t="s">
        <v>21</v>
      </c>
      <c r="AI26" s="2" t="s">
        <v>20</v>
      </c>
      <c r="AJ26" s="2" t="s">
        <v>19</v>
      </c>
      <c r="AK26" s="2" t="s">
        <v>22</v>
      </c>
      <c r="AL26" s="2" t="s">
        <v>23</v>
      </c>
    </row>
    <row r="27" ht="14.25" customHeight="1">
      <c r="A27" s="17">
        <v>45527.0</v>
      </c>
      <c r="B27" s="2" t="s">
        <v>31</v>
      </c>
      <c r="C27" s="2" t="s">
        <v>31</v>
      </c>
      <c r="D27" s="2" t="s">
        <v>31</v>
      </c>
      <c r="E27" s="2" t="s">
        <v>31</v>
      </c>
      <c r="F27" s="2" t="s">
        <v>31</v>
      </c>
      <c r="G27" s="2" t="s">
        <v>31</v>
      </c>
      <c r="H27" s="2" t="s">
        <v>31</v>
      </c>
      <c r="I27" s="2" t="s">
        <v>31</v>
      </c>
      <c r="J27" s="2" t="s">
        <v>31</v>
      </c>
      <c r="K27" s="2" t="s">
        <v>31</v>
      </c>
      <c r="L27" s="2" t="s">
        <v>31</v>
      </c>
      <c r="M27" s="2" t="s">
        <v>31</v>
      </c>
      <c r="N27" s="2" t="s">
        <v>31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2" t="s">
        <v>19</v>
      </c>
      <c r="V27" s="2" t="s">
        <v>17</v>
      </c>
      <c r="W27" s="2" t="s">
        <v>17</v>
      </c>
      <c r="X27" s="2" t="s">
        <v>20</v>
      </c>
      <c r="Y27" s="2" t="s">
        <v>22</v>
      </c>
      <c r="Z27" s="2" t="s">
        <v>27</v>
      </c>
      <c r="AA27" s="2" t="s">
        <v>16</v>
      </c>
      <c r="AB27" s="2" t="s">
        <v>17</v>
      </c>
      <c r="AC27" s="2" t="s">
        <v>16</v>
      </c>
      <c r="AD27" s="2" t="s">
        <v>21</v>
      </c>
      <c r="AE27" s="2" t="s">
        <v>20</v>
      </c>
      <c r="AF27" s="2" t="s">
        <v>16</v>
      </c>
      <c r="AG27" s="2" t="s">
        <v>17</v>
      </c>
      <c r="AH27" s="2" t="s">
        <v>21</v>
      </c>
      <c r="AI27" s="2" t="s">
        <v>22</v>
      </c>
      <c r="AJ27" s="2" t="s">
        <v>28</v>
      </c>
      <c r="AK27" s="2" t="s">
        <v>16</v>
      </c>
      <c r="AL27" s="2" t="s">
        <v>16</v>
      </c>
    </row>
    <row r="28" ht="14.25" customHeight="1">
      <c r="A28" s="17">
        <v>45528.0</v>
      </c>
      <c r="B28" s="2" t="s">
        <v>16</v>
      </c>
      <c r="C28" s="2" t="s">
        <v>25</v>
      </c>
      <c r="D28" s="2" t="s">
        <v>18</v>
      </c>
      <c r="E28" s="2" t="s">
        <v>40</v>
      </c>
      <c r="F28" s="2" t="s">
        <v>25</v>
      </c>
      <c r="G28" s="2" t="s">
        <v>29</v>
      </c>
      <c r="H28" s="2" t="s">
        <v>42</v>
      </c>
      <c r="I28" s="2" t="s">
        <v>36</v>
      </c>
      <c r="J28" s="2" t="s">
        <v>26</v>
      </c>
      <c r="K28" s="2" t="s">
        <v>28</v>
      </c>
      <c r="L28" s="2" t="s">
        <v>27</v>
      </c>
      <c r="M28" s="2" t="s">
        <v>34</v>
      </c>
      <c r="N28" s="2" t="s">
        <v>33</v>
      </c>
      <c r="O28" s="2" t="s">
        <v>39</v>
      </c>
      <c r="P28" s="2" t="s">
        <v>20</v>
      </c>
      <c r="Q28" s="2" t="s">
        <v>16</v>
      </c>
      <c r="R28" s="2" t="s">
        <v>24</v>
      </c>
      <c r="S28" s="2" t="s">
        <v>39</v>
      </c>
      <c r="T28" s="2" t="s">
        <v>43</v>
      </c>
      <c r="U28" s="2" t="s">
        <v>24</v>
      </c>
      <c r="V28" s="2" t="s">
        <v>27</v>
      </c>
      <c r="W28" s="2" t="s">
        <v>20</v>
      </c>
      <c r="X28" s="2" t="s">
        <v>16</v>
      </c>
      <c r="Y28" s="2" t="s">
        <v>18</v>
      </c>
      <c r="Z28" s="2" t="s">
        <v>16</v>
      </c>
      <c r="AA28" s="2" t="s">
        <v>16</v>
      </c>
      <c r="AB28" s="2" t="s">
        <v>25</v>
      </c>
      <c r="AC28" s="2" t="s">
        <v>16</v>
      </c>
      <c r="AD28" s="2" t="s">
        <v>25</v>
      </c>
      <c r="AE28" s="2" t="s">
        <v>22</v>
      </c>
      <c r="AF28" s="2" t="s">
        <v>17</v>
      </c>
      <c r="AG28" s="2" t="s">
        <v>16</v>
      </c>
      <c r="AH28" s="2" t="s">
        <v>16</v>
      </c>
      <c r="AI28" s="2" t="s">
        <v>23</v>
      </c>
      <c r="AJ28" s="2" t="s">
        <v>16</v>
      </c>
      <c r="AK28" s="2" t="s">
        <v>16</v>
      </c>
      <c r="AL28" s="2" t="s">
        <v>23</v>
      </c>
    </row>
    <row r="29" ht="14.25" customHeight="1">
      <c r="A29" s="17">
        <v>45529.0</v>
      </c>
      <c r="B29" s="2" t="s">
        <v>31</v>
      </c>
      <c r="C29" s="2" t="s">
        <v>31</v>
      </c>
      <c r="D29" s="2" t="s">
        <v>31</v>
      </c>
      <c r="E29" s="2" t="s">
        <v>31</v>
      </c>
      <c r="F29" s="2" t="s">
        <v>31</v>
      </c>
      <c r="G29" s="2" t="s">
        <v>31</v>
      </c>
      <c r="H29" s="2" t="s">
        <v>31</v>
      </c>
      <c r="I29" s="2" t="s">
        <v>31</v>
      </c>
      <c r="J29" s="2" t="s">
        <v>31</v>
      </c>
      <c r="K29" s="2" t="s">
        <v>31</v>
      </c>
      <c r="L29" s="2" t="s">
        <v>31</v>
      </c>
      <c r="M29" s="2" t="s">
        <v>31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2" t="s">
        <v>24</v>
      </c>
      <c r="V29" s="2" t="s">
        <v>24</v>
      </c>
      <c r="W29" s="2" t="s">
        <v>20</v>
      </c>
      <c r="X29" s="2" t="s">
        <v>26</v>
      </c>
      <c r="Y29" s="2" t="s">
        <v>20</v>
      </c>
      <c r="Z29" s="2" t="s">
        <v>20</v>
      </c>
      <c r="AA29" s="2" t="s">
        <v>25</v>
      </c>
      <c r="AB29" s="2" t="s">
        <v>19</v>
      </c>
      <c r="AC29" s="2" t="s">
        <v>19</v>
      </c>
      <c r="AD29" s="2" t="s">
        <v>16</v>
      </c>
      <c r="AE29" s="2" t="s">
        <v>19</v>
      </c>
      <c r="AF29" s="2" t="s">
        <v>20</v>
      </c>
      <c r="AG29" s="2" t="s">
        <v>28</v>
      </c>
      <c r="AH29" s="2" t="s">
        <v>21</v>
      </c>
      <c r="AI29" s="2" t="s">
        <v>27</v>
      </c>
      <c r="AJ29" s="2" t="s">
        <v>16</v>
      </c>
      <c r="AK29" s="2" t="s">
        <v>22</v>
      </c>
      <c r="AL29" s="2" t="s">
        <v>24</v>
      </c>
    </row>
    <row r="30" ht="14.25" customHeight="1">
      <c r="A30" s="17">
        <v>45530.0</v>
      </c>
      <c r="B30" s="2" t="s">
        <v>31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31</v>
      </c>
      <c r="I30" s="2" t="s">
        <v>31</v>
      </c>
      <c r="J30" s="2" t="s">
        <v>31</v>
      </c>
      <c r="K30" s="2" t="s">
        <v>31</v>
      </c>
      <c r="L30" s="2" t="s">
        <v>31</v>
      </c>
      <c r="M30" s="2" t="s">
        <v>31</v>
      </c>
      <c r="N30" s="2" t="s">
        <v>31</v>
      </c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2" t="s">
        <v>19</v>
      </c>
      <c r="V30" s="2" t="s">
        <v>16</v>
      </c>
      <c r="W30" s="2" t="s">
        <v>21</v>
      </c>
      <c r="X30" s="2" t="s">
        <v>22</v>
      </c>
      <c r="Y30" s="2" t="s">
        <v>19</v>
      </c>
      <c r="Z30" s="2" t="s">
        <v>26</v>
      </c>
      <c r="AA30" s="2" t="s">
        <v>22</v>
      </c>
      <c r="AB30" s="2" t="s">
        <v>16</v>
      </c>
      <c r="AC30" s="2" t="s">
        <v>22</v>
      </c>
      <c r="AD30" s="2" t="s">
        <v>23</v>
      </c>
      <c r="AE30" s="2" t="s">
        <v>16</v>
      </c>
      <c r="AF30" s="2" t="s">
        <v>21</v>
      </c>
      <c r="AG30" s="2" t="s">
        <v>26</v>
      </c>
      <c r="AH30" s="2" t="s">
        <v>23</v>
      </c>
      <c r="AI30" s="2" t="s">
        <v>21</v>
      </c>
      <c r="AJ30" s="2" t="s">
        <v>16</v>
      </c>
      <c r="AK30" s="2" t="s">
        <v>16</v>
      </c>
      <c r="AL30" s="2" t="s">
        <v>26</v>
      </c>
    </row>
    <row r="31" ht="14.25" customHeight="1">
      <c r="A31" s="17">
        <v>45531.0</v>
      </c>
      <c r="B31" s="2" t="s">
        <v>31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31</v>
      </c>
      <c r="I31" s="2" t="s">
        <v>31</v>
      </c>
      <c r="J31" s="2" t="s">
        <v>31</v>
      </c>
      <c r="K31" s="2" t="s">
        <v>31</v>
      </c>
      <c r="L31" s="2" t="s">
        <v>31</v>
      </c>
      <c r="M31" s="2" t="s">
        <v>31</v>
      </c>
      <c r="N31" s="2" t="s">
        <v>31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2" t="s">
        <v>28</v>
      </c>
      <c r="V31" s="2" t="s">
        <v>21</v>
      </c>
      <c r="W31" s="2" t="s">
        <v>16</v>
      </c>
      <c r="X31" s="2" t="s">
        <v>17</v>
      </c>
      <c r="Y31" s="2" t="s">
        <v>19</v>
      </c>
      <c r="Z31" s="2" t="s">
        <v>20</v>
      </c>
      <c r="AA31" s="2" t="s">
        <v>22</v>
      </c>
      <c r="AB31" s="2" t="s">
        <v>16</v>
      </c>
      <c r="AC31" s="2" t="s">
        <v>22</v>
      </c>
      <c r="AD31" s="2" t="s">
        <v>19</v>
      </c>
      <c r="AE31" s="2" t="s">
        <v>16</v>
      </c>
      <c r="AF31" s="2" t="s">
        <v>21</v>
      </c>
      <c r="AG31" s="2" t="s">
        <v>16</v>
      </c>
      <c r="AH31" s="2" t="s">
        <v>16</v>
      </c>
      <c r="AI31" s="2" t="s">
        <v>22</v>
      </c>
      <c r="AJ31" s="2" t="s">
        <v>17</v>
      </c>
      <c r="AK31" s="2" t="s">
        <v>22</v>
      </c>
      <c r="AL31" s="2" t="s">
        <v>26</v>
      </c>
    </row>
    <row r="32" ht="14.25" customHeight="1">
      <c r="A32" s="17">
        <v>45532.0</v>
      </c>
      <c r="B32" s="2" t="s">
        <v>31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31</v>
      </c>
      <c r="K32" s="2" t="s">
        <v>31</v>
      </c>
      <c r="L32" s="2" t="s">
        <v>31</v>
      </c>
      <c r="M32" s="2" t="s">
        <v>31</v>
      </c>
      <c r="N32" s="2" t="s">
        <v>31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2" t="s">
        <v>19</v>
      </c>
      <c r="V32" s="2" t="s">
        <v>24</v>
      </c>
      <c r="W32" s="2" t="s">
        <v>16</v>
      </c>
      <c r="X32" s="2" t="s">
        <v>16</v>
      </c>
      <c r="Y32" s="2" t="s">
        <v>26</v>
      </c>
      <c r="Z32" s="2" t="s">
        <v>17</v>
      </c>
      <c r="AA32" s="2" t="s">
        <v>16</v>
      </c>
      <c r="AB32" s="2" t="s">
        <v>25</v>
      </c>
      <c r="AC32" s="2" t="s">
        <v>19</v>
      </c>
      <c r="AD32" s="2" t="s">
        <v>23</v>
      </c>
      <c r="AE32" s="2" t="s">
        <v>28</v>
      </c>
      <c r="AF32" s="2" t="s">
        <v>25</v>
      </c>
      <c r="AG32" s="2" t="s">
        <v>16</v>
      </c>
      <c r="AH32" s="2" t="s">
        <v>24</v>
      </c>
      <c r="AI32" s="2" t="s">
        <v>26</v>
      </c>
      <c r="AJ32" s="2" t="s">
        <v>21</v>
      </c>
      <c r="AK32" s="2" t="s">
        <v>16</v>
      </c>
      <c r="AL32" s="2" t="s">
        <v>16</v>
      </c>
    </row>
    <row r="33" ht="14.25" customHeight="1">
      <c r="A33" s="17">
        <v>45533.0</v>
      </c>
      <c r="B33" s="2" t="s">
        <v>31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31</v>
      </c>
      <c r="I33" s="2" t="s">
        <v>31</v>
      </c>
      <c r="J33" s="2" t="s">
        <v>31</v>
      </c>
      <c r="K33" s="2" t="s">
        <v>31</v>
      </c>
      <c r="L33" s="2" t="s">
        <v>31</v>
      </c>
      <c r="M33" s="2" t="s">
        <v>31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2" t="s">
        <v>20</v>
      </c>
      <c r="V33" s="2" t="s">
        <v>28</v>
      </c>
      <c r="W33" s="2" t="s">
        <v>16</v>
      </c>
      <c r="X33" s="2" t="s">
        <v>27</v>
      </c>
      <c r="Y33" s="2" t="s">
        <v>19</v>
      </c>
      <c r="Z33" s="2" t="s">
        <v>24</v>
      </c>
      <c r="AA33" s="2" t="s">
        <v>16</v>
      </c>
      <c r="AB33" s="2" t="s">
        <v>21</v>
      </c>
      <c r="AC33" s="2" t="s">
        <v>17</v>
      </c>
      <c r="AD33" s="2" t="s">
        <v>25</v>
      </c>
      <c r="AE33" s="2" t="s">
        <v>16</v>
      </c>
      <c r="AF33" s="2" t="s">
        <v>22</v>
      </c>
      <c r="AG33" s="2" t="s">
        <v>16</v>
      </c>
      <c r="AH33" s="2" t="s">
        <v>19</v>
      </c>
      <c r="AI33" s="2" t="s">
        <v>21</v>
      </c>
      <c r="AJ33" s="2" t="s">
        <v>20</v>
      </c>
      <c r="AK33" s="2" t="s">
        <v>16</v>
      </c>
      <c r="AL33" s="2" t="s">
        <v>20</v>
      </c>
    </row>
    <row r="34" ht="14.25" customHeight="1">
      <c r="A34" s="17">
        <v>45534.0</v>
      </c>
      <c r="B34" s="2" t="s">
        <v>31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 t="s">
        <v>31</v>
      </c>
      <c r="K34" s="2" t="s">
        <v>31</v>
      </c>
      <c r="L34" s="2" t="s">
        <v>31</v>
      </c>
      <c r="M34" s="2" t="s">
        <v>31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2" t="s">
        <v>16</v>
      </c>
      <c r="V34" s="2" t="s">
        <v>28</v>
      </c>
      <c r="W34" s="2" t="s">
        <v>22</v>
      </c>
      <c r="X34" s="2" t="s">
        <v>20</v>
      </c>
      <c r="Y34" s="2" t="s">
        <v>21</v>
      </c>
      <c r="Z34" s="2" t="s">
        <v>16</v>
      </c>
      <c r="AA34" s="2" t="s">
        <v>17</v>
      </c>
      <c r="AB34" s="2" t="s">
        <v>25</v>
      </c>
      <c r="AC34" s="2" t="s">
        <v>22</v>
      </c>
      <c r="AD34" s="2" t="s">
        <v>16</v>
      </c>
      <c r="AE34" s="2" t="s">
        <v>23</v>
      </c>
      <c r="AF34" s="2" t="s">
        <v>16</v>
      </c>
      <c r="AG34" s="2" t="s">
        <v>24</v>
      </c>
      <c r="AH34" s="2" t="s">
        <v>16</v>
      </c>
      <c r="AI34" s="2" t="s">
        <v>25</v>
      </c>
      <c r="AJ34" s="2" t="s">
        <v>20</v>
      </c>
      <c r="AK34" s="2" t="s">
        <v>19</v>
      </c>
      <c r="AL34" s="2" t="s">
        <v>21</v>
      </c>
    </row>
    <row r="35" ht="14.25" customHeight="1">
      <c r="A35" s="17">
        <v>45535.0</v>
      </c>
      <c r="B35" s="2" t="s">
        <v>35</v>
      </c>
      <c r="C35" s="2" t="s">
        <v>24</v>
      </c>
      <c r="D35" s="2" t="s">
        <v>16</v>
      </c>
      <c r="E35" s="2" t="s">
        <v>29</v>
      </c>
      <c r="F35" s="2" t="s">
        <v>29</v>
      </c>
      <c r="G35" s="2" t="s">
        <v>35</v>
      </c>
      <c r="H35" s="2" t="s">
        <v>32</v>
      </c>
      <c r="I35" s="2" t="s">
        <v>18</v>
      </c>
      <c r="J35" s="2" t="s">
        <v>43</v>
      </c>
      <c r="K35" s="2" t="s">
        <v>18</v>
      </c>
      <c r="L35" s="2" t="s">
        <v>32</v>
      </c>
      <c r="M35" s="2" t="s">
        <v>41</v>
      </c>
      <c r="N35" s="2" t="s">
        <v>33</v>
      </c>
      <c r="O35" s="2" t="s">
        <v>34</v>
      </c>
      <c r="P35" s="2" t="s">
        <v>27</v>
      </c>
      <c r="Q35" s="2" t="s">
        <v>16</v>
      </c>
      <c r="R35" s="2" t="s">
        <v>18</v>
      </c>
      <c r="S35" s="2" t="s">
        <v>40</v>
      </c>
      <c r="T35" s="2" t="s">
        <v>38</v>
      </c>
      <c r="U35" s="2" t="s">
        <v>24</v>
      </c>
      <c r="V35" s="2" t="s">
        <v>16</v>
      </c>
      <c r="W35" s="2" t="s">
        <v>26</v>
      </c>
      <c r="X35" s="2" t="s">
        <v>16</v>
      </c>
      <c r="Y35" s="2" t="s">
        <v>19</v>
      </c>
      <c r="Z35" s="2" t="s">
        <v>16</v>
      </c>
      <c r="AA35" s="2" t="s">
        <v>28</v>
      </c>
      <c r="AB35" s="2" t="s">
        <v>20</v>
      </c>
      <c r="AC35" s="2" t="s">
        <v>28</v>
      </c>
      <c r="AD35" s="2" t="s">
        <v>20</v>
      </c>
      <c r="AE35" s="2" t="s">
        <v>28</v>
      </c>
      <c r="AF35" s="2" t="s">
        <v>18</v>
      </c>
      <c r="AG35" s="2" t="s">
        <v>23</v>
      </c>
      <c r="AH35" s="2" t="s">
        <v>16</v>
      </c>
      <c r="AI35" s="2" t="s">
        <v>26</v>
      </c>
      <c r="AJ35" s="2" t="s">
        <v>21</v>
      </c>
      <c r="AK35" s="2" t="s">
        <v>16</v>
      </c>
      <c r="AL35" s="2" t="s">
        <v>18</v>
      </c>
    </row>
    <row r="36" ht="14.25" customHeight="1">
      <c r="A36" s="17">
        <v>45536.0</v>
      </c>
      <c r="B36" s="2" t="s">
        <v>31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31</v>
      </c>
      <c r="I36" s="2" t="s">
        <v>31</v>
      </c>
      <c r="J36" s="2" t="s">
        <v>31</v>
      </c>
      <c r="K36" s="2" t="s">
        <v>31</v>
      </c>
      <c r="L36" s="2" t="s">
        <v>31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2" t="s">
        <v>27</v>
      </c>
      <c r="V36" s="2" t="s">
        <v>16</v>
      </c>
      <c r="W36" s="2" t="s">
        <v>16</v>
      </c>
      <c r="X36" s="2" t="s">
        <v>16</v>
      </c>
      <c r="Y36" s="2" t="s">
        <v>19</v>
      </c>
      <c r="Z36" s="2" t="s">
        <v>22</v>
      </c>
      <c r="AA36" s="2" t="s">
        <v>19</v>
      </c>
      <c r="AB36" s="2" t="s">
        <v>25</v>
      </c>
      <c r="AC36" s="2" t="s">
        <v>27</v>
      </c>
      <c r="AD36" s="2" t="s">
        <v>17</v>
      </c>
      <c r="AE36" s="2" t="s">
        <v>25</v>
      </c>
      <c r="AF36" s="2" t="s">
        <v>16</v>
      </c>
      <c r="AG36" s="2" t="s">
        <v>16</v>
      </c>
      <c r="AH36" s="2" t="s">
        <v>22</v>
      </c>
      <c r="AI36" s="2" t="s">
        <v>16</v>
      </c>
      <c r="AJ36" s="2" t="s">
        <v>26</v>
      </c>
      <c r="AK36" s="2" t="s">
        <v>25</v>
      </c>
      <c r="AL36" s="2" t="s">
        <v>19</v>
      </c>
    </row>
    <row r="37" ht="14.25" customHeight="1">
      <c r="A37" s="17">
        <v>45537.0</v>
      </c>
      <c r="B37" s="2" t="s">
        <v>31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 t="s">
        <v>31</v>
      </c>
      <c r="K37" s="2" t="s">
        <v>31</v>
      </c>
      <c r="L37" s="2" t="s">
        <v>31</v>
      </c>
      <c r="M37" s="2" t="s">
        <v>31</v>
      </c>
      <c r="N37" s="2" t="s">
        <v>31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2" t="s">
        <v>22</v>
      </c>
      <c r="V37" s="2" t="s">
        <v>19</v>
      </c>
      <c r="W37" s="2" t="s">
        <v>27</v>
      </c>
      <c r="X37" s="2" t="s">
        <v>17</v>
      </c>
      <c r="Y37" s="2" t="s">
        <v>16</v>
      </c>
      <c r="Z37" s="2" t="s">
        <v>16</v>
      </c>
      <c r="AA37" s="2" t="s">
        <v>25</v>
      </c>
      <c r="AB37" s="2" t="s">
        <v>16</v>
      </c>
      <c r="AC37" s="2" t="s">
        <v>21</v>
      </c>
      <c r="AD37" s="2" t="s">
        <v>23</v>
      </c>
      <c r="AE37" s="2" t="s">
        <v>27</v>
      </c>
      <c r="AF37" s="2" t="s">
        <v>24</v>
      </c>
      <c r="AG37" s="2" t="s">
        <v>16</v>
      </c>
      <c r="AH37" s="2" t="s">
        <v>28</v>
      </c>
      <c r="AI37" s="2" t="s">
        <v>16</v>
      </c>
      <c r="AJ37" s="2" t="s">
        <v>16</v>
      </c>
      <c r="AK37" s="2" t="s">
        <v>17</v>
      </c>
      <c r="AL37" s="2" t="s">
        <v>17</v>
      </c>
    </row>
    <row r="38" ht="14.25" customHeight="1">
      <c r="A38" s="17">
        <v>45538.0</v>
      </c>
      <c r="B38" s="2" t="s">
        <v>31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 t="s">
        <v>31</v>
      </c>
      <c r="K38" s="2" t="s">
        <v>31</v>
      </c>
      <c r="L38" s="2" t="s">
        <v>31</v>
      </c>
      <c r="M38" s="2" t="s">
        <v>31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2" t="s">
        <v>22</v>
      </c>
      <c r="V38" s="2" t="s">
        <v>20</v>
      </c>
      <c r="W38" s="2" t="s">
        <v>16</v>
      </c>
      <c r="X38" s="2" t="s">
        <v>19</v>
      </c>
      <c r="Y38" s="2" t="s">
        <v>16</v>
      </c>
      <c r="Z38" s="2" t="s">
        <v>16</v>
      </c>
      <c r="AA38" s="2" t="s">
        <v>25</v>
      </c>
      <c r="AB38" s="2" t="s">
        <v>19</v>
      </c>
      <c r="AC38" s="2" t="s">
        <v>16</v>
      </c>
      <c r="AD38" s="2" t="s">
        <v>22</v>
      </c>
      <c r="AE38" s="2" t="s">
        <v>28</v>
      </c>
      <c r="AF38" s="2" t="s">
        <v>18</v>
      </c>
      <c r="AG38" s="2" t="s">
        <v>23</v>
      </c>
      <c r="AH38" s="2" t="s">
        <v>28</v>
      </c>
      <c r="AI38" s="2" t="s">
        <v>21</v>
      </c>
      <c r="AJ38" s="2" t="s">
        <v>16</v>
      </c>
      <c r="AK38" s="2" t="s">
        <v>16</v>
      </c>
      <c r="AL38" s="2" t="s">
        <v>17</v>
      </c>
    </row>
    <row r="39" ht="14.25" customHeight="1">
      <c r="A39" s="17">
        <v>45539.0</v>
      </c>
      <c r="B39" s="2" t="s">
        <v>31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31</v>
      </c>
      <c r="I39" s="2" t="s">
        <v>31</v>
      </c>
      <c r="J39" s="2" t="s">
        <v>31</v>
      </c>
      <c r="K39" s="2" t="s">
        <v>31</v>
      </c>
      <c r="L39" s="2" t="s">
        <v>31</v>
      </c>
      <c r="M39" s="2" t="s">
        <v>31</v>
      </c>
      <c r="N39" s="2" t="s">
        <v>31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2" t="s">
        <v>24</v>
      </c>
      <c r="V39" s="2" t="s">
        <v>28</v>
      </c>
      <c r="W39" s="2" t="s">
        <v>27</v>
      </c>
      <c r="X39" s="2" t="s">
        <v>16</v>
      </c>
      <c r="Y39" s="2" t="s">
        <v>18</v>
      </c>
      <c r="Z39" s="2" t="s">
        <v>17</v>
      </c>
      <c r="AA39" s="2" t="s">
        <v>27</v>
      </c>
      <c r="AB39" s="2" t="s">
        <v>24</v>
      </c>
      <c r="AC39" s="2" t="s">
        <v>23</v>
      </c>
      <c r="AD39" s="2" t="s">
        <v>24</v>
      </c>
      <c r="AE39" s="2" t="s">
        <v>27</v>
      </c>
      <c r="AF39" s="2" t="s">
        <v>20</v>
      </c>
      <c r="AG39" s="2" t="s">
        <v>28</v>
      </c>
      <c r="AH39" s="2" t="s">
        <v>24</v>
      </c>
      <c r="AI39" s="2" t="s">
        <v>22</v>
      </c>
      <c r="AJ39" s="2" t="s">
        <v>16</v>
      </c>
      <c r="AK39" s="2" t="s">
        <v>28</v>
      </c>
      <c r="AL39" s="2" t="s">
        <v>22</v>
      </c>
    </row>
    <row r="40" ht="14.25" customHeight="1">
      <c r="A40" s="17">
        <v>45540.0</v>
      </c>
      <c r="B40" s="2" t="s">
        <v>31</v>
      </c>
      <c r="C40" s="2" t="s">
        <v>31</v>
      </c>
      <c r="D40" s="2" t="s">
        <v>31</v>
      </c>
      <c r="E40" s="2" t="s">
        <v>31</v>
      </c>
      <c r="F40" s="2" t="s">
        <v>31</v>
      </c>
      <c r="G40" s="2" t="s">
        <v>31</v>
      </c>
      <c r="H40" s="2" t="s">
        <v>31</v>
      </c>
      <c r="I40" s="2" t="s">
        <v>31</v>
      </c>
      <c r="J40" s="2" t="s">
        <v>31</v>
      </c>
      <c r="K40" s="2" t="s">
        <v>31</v>
      </c>
      <c r="L40" s="2" t="s">
        <v>31</v>
      </c>
      <c r="M40" s="2" t="s">
        <v>31</v>
      </c>
      <c r="N40" s="2" t="s">
        <v>31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2" t="s">
        <v>16</v>
      </c>
      <c r="V40" s="2" t="s">
        <v>25</v>
      </c>
      <c r="W40" s="2" t="s">
        <v>17</v>
      </c>
      <c r="X40" s="2" t="s">
        <v>26</v>
      </c>
      <c r="Y40" s="2" t="s">
        <v>24</v>
      </c>
      <c r="Z40" s="2" t="s">
        <v>27</v>
      </c>
      <c r="AA40" s="2" t="s">
        <v>24</v>
      </c>
      <c r="AB40" s="2" t="s">
        <v>16</v>
      </c>
      <c r="AC40" s="2" t="s">
        <v>24</v>
      </c>
      <c r="AD40" s="2" t="s">
        <v>21</v>
      </c>
      <c r="AE40" s="2" t="s">
        <v>16</v>
      </c>
      <c r="AF40" s="2" t="s">
        <v>22</v>
      </c>
      <c r="AG40" s="2" t="s">
        <v>16</v>
      </c>
      <c r="AH40" s="2" t="s">
        <v>25</v>
      </c>
      <c r="AI40" s="2" t="s">
        <v>19</v>
      </c>
      <c r="AJ40" s="2" t="s">
        <v>22</v>
      </c>
      <c r="AK40" s="2" t="s">
        <v>16</v>
      </c>
      <c r="AL40" s="2" t="s">
        <v>20</v>
      </c>
    </row>
    <row r="41" ht="14.25" customHeight="1">
      <c r="A41" s="17">
        <v>45541.0</v>
      </c>
      <c r="B41" s="2" t="s">
        <v>31</v>
      </c>
      <c r="C41" s="2" t="s">
        <v>31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31</v>
      </c>
      <c r="K41" s="2" t="s">
        <v>31</v>
      </c>
      <c r="L41" s="2" t="s">
        <v>31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2" t="s">
        <v>16</v>
      </c>
      <c r="V41" s="2" t="s">
        <v>24</v>
      </c>
      <c r="W41" s="2" t="s">
        <v>26</v>
      </c>
      <c r="X41" s="2" t="s">
        <v>16</v>
      </c>
      <c r="Y41" s="2" t="s">
        <v>16</v>
      </c>
      <c r="Z41" s="2" t="s">
        <v>25</v>
      </c>
      <c r="AA41" s="2" t="s">
        <v>27</v>
      </c>
      <c r="AB41" s="2" t="s">
        <v>22</v>
      </c>
      <c r="AC41" s="2" t="s">
        <v>27</v>
      </c>
      <c r="AD41" s="2" t="s">
        <v>16</v>
      </c>
      <c r="AE41" s="2" t="s">
        <v>22</v>
      </c>
      <c r="AF41" s="2" t="s">
        <v>25</v>
      </c>
      <c r="AG41" s="2" t="s">
        <v>22</v>
      </c>
      <c r="AH41" s="2" t="s">
        <v>26</v>
      </c>
      <c r="AI41" s="2" t="s">
        <v>22</v>
      </c>
      <c r="AJ41" s="2" t="s">
        <v>26</v>
      </c>
      <c r="AK41" s="2" t="s">
        <v>16</v>
      </c>
      <c r="AL41" s="2" t="s">
        <v>21</v>
      </c>
    </row>
    <row r="42" ht="14.25" customHeight="1">
      <c r="A42" s="17">
        <v>45542.0</v>
      </c>
      <c r="B42" s="2" t="s">
        <v>36</v>
      </c>
      <c r="C42" s="2" t="s">
        <v>33</v>
      </c>
      <c r="D42" s="2" t="s">
        <v>29</v>
      </c>
      <c r="E42" s="2" t="s">
        <v>23</v>
      </c>
      <c r="F42" s="2" t="s">
        <v>41</v>
      </c>
      <c r="G42" s="2" t="s">
        <v>43</v>
      </c>
      <c r="H42" s="2" t="s">
        <v>24</v>
      </c>
      <c r="I42" s="2" t="s">
        <v>16</v>
      </c>
      <c r="J42" s="2" t="s">
        <v>36</v>
      </c>
      <c r="K42" s="2" t="s">
        <v>41</v>
      </c>
      <c r="L42" s="2" t="s">
        <v>20</v>
      </c>
      <c r="M42" s="2" t="s">
        <v>38</v>
      </c>
      <c r="N42" s="2" t="s">
        <v>34</v>
      </c>
      <c r="O42" s="2" t="s">
        <v>33</v>
      </c>
      <c r="P42" s="2" t="s">
        <v>33</v>
      </c>
      <c r="Q42" s="2" t="s">
        <v>40</v>
      </c>
      <c r="R42" s="2" t="s">
        <v>29</v>
      </c>
      <c r="S42" s="2" t="s">
        <v>29</v>
      </c>
      <c r="T42" s="2" t="s">
        <v>27</v>
      </c>
      <c r="U42" s="2" t="s">
        <v>23</v>
      </c>
      <c r="V42" s="2" t="s">
        <v>21</v>
      </c>
      <c r="W42" s="2" t="s">
        <v>16</v>
      </c>
      <c r="X42" s="2" t="s">
        <v>26</v>
      </c>
      <c r="Y42" s="2" t="s">
        <v>23</v>
      </c>
      <c r="Z42" s="2" t="s">
        <v>24</v>
      </c>
      <c r="AA42" s="2" t="s">
        <v>19</v>
      </c>
      <c r="AB42" s="2" t="s">
        <v>19</v>
      </c>
      <c r="AC42" s="2" t="s">
        <v>28</v>
      </c>
      <c r="AD42" s="2" t="s">
        <v>25</v>
      </c>
      <c r="AE42" s="2" t="s">
        <v>24</v>
      </c>
      <c r="AF42" s="2" t="s">
        <v>18</v>
      </c>
      <c r="AG42" s="2" t="s">
        <v>16</v>
      </c>
      <c r="AH42" s="2" t="s">
        <v>21</v>
      </c>
      <c r="AI42" s="2" t="s">
        <v>22</v>
      </c>
      <c r="AJ42" s="2" t="s">
        <v>25</v>
      </c>
      <c r="AK42" s="2" t="s">
        <v>24</v>
      </c>
      <c r="AL42" s="2" t="s">
        <v>26</v>
      </c>
    </row>
    <row r="43" ht="14.25" customHeight="1">
      <c r="A43" s="17">
        <v>45543.0</v>
      </c>
      <c r="B43" s="2" t="s">
        <v>31</v>
      </c>
      <c r="C43" s="2" t="s">
        <v>31</v>
      </c>
      <c r="D43" s="2" t="s">
        <v>31</v>
      </c>
      <c r="E43" s="2" t="s">
        <v>31</v>
      </c>
      <c r="F43" s="2" t="s">
        <v>31</v>
      </c>
      <c r="G43" s="2" t="s">
        <v>31</v>
      </c>
      <c r="H43" s="2" t="s">
        <v>31</v>
      </c>
      <c r="I43" s="2" t="s">
        <v>31</v>
      </c>
      <c r="J43" s="2" t="s">
        <v>31</v>
      </c>
      <c r="K43" s="2" t="s">
        <v>31</v>
      </c>
      <c r="L43" s="2" t="s">
        <v>31</v>
      </c>
      <c r="M43" s="2" t="s">
        <v>31</v>
      </c>
      <c r="N43" s="2" t="s">
        <v>31</v>
      </c>
      <c r="O43" s="2" t="s">
        <v>31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2" t="s">
        <v>16</v>
      </c>
      <c r="V43" s="2" t="s">
        <v>19</v>
      </c>
      <c r="W43" s="2" t="s">
        <v>25</v>
      </c>
      <c r="X43" s="2" t="s">
        <v>25</v>
      </c>
      <c r="Y43" s="2" t="s">
        <v>25</v>
      </c>
      <c r="Z43" s="2" t="s">
        <v>16</v>
      </c>
      <c r="AA43" s="2" t="s">
        <v>21</v>
      </c>
      <c r="AB43" s="2" t="s">
        <v>19</v>
      </c>
      <c r="AC43" s="2" t="s">
        <v>20</v>
      </c>
      <c r="AD43" s="2" t="s">
        <v>27</v>
      </c>
      <c r="AE43" s="2" t="s">
        <v>22</v>
      </c>
      <c r="AF43" s="2" t="s">
        <v>28</v>
      </c>
      <c r="AG43" s="2" t="s">
        <v>16</v>
      </c>
      <c r="AH43" s="2" t="s">
        <v>25</v>
      </c>
      <c r="AI43" s="2" t="s">
        <v>25</v>
      </c>
      <c r="AJ43" s="2" t="s">
        <v>17</v>
      </c>
      <c r="AK43" s="2" t="s">
        <v>19</v>
      </c>
      <c r="AL43" s="2" t="s">
        <v>26</v>
      </c>
    </row>
    <row r="44" ht="14.25" customHeight="1">
      <c r="A44" s="17">
        <v>45544.0</v>
      </c>
      <c r="B44" s="2" t="s">
        <v>31</v>
      </c>
      <c r="C44" s="2" t="s">
        <v>31</v>
      </c>
      <c r="D44" s="2" t="s">
        <v>31</v>
      </c>
      <c r="E44" s="2" t="s">
        <v>31</v>
      </c>
      <c r="F44" s="2" t="s">
        <v>31</v>
      </c>
      <c r="G44" s="2" t="s">
        <v>31</v>
      </c>
      <c r="H44" s="2" t="s">
        <v>31</v>
      </c>
      <c r="I44" s="2" t="s">
        <v>31</v>
      </c>
      <c r="J44" s="2" t="s">
        <v>31</v>
      </c>
      <c r="K44" s="2" t="s">
        <v>31</v>
      </c>
      <c r="L44" s="2" t="s">
        <v>31</v>
      </c>
      <c r="M44" s="2" t="s">
        <v>31</v>
      </c>
      <c r="N44" s="2" t="s">
        <v>31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2" t="s">
        <v>28</v>
      </c>
      <c r="V44" s="2" t="s">
        <v>16</v>
      </c>
      <c r="W44" s="2" t="s">
        <v>25</v>
      </c>
      <c r="X44" s="2" t="s">
        <v>28</v>
      </c>
      <c r="Y44" s="2" t="s">
        <v>27</v>
      </c>
      <c r="Z44" s="2" t="s">
        <v>23</v>
      </c>
      <c r="AA44" s="2" t="s">
        <v>17</v>
      </c>
      <c r="AB44" s="2" t="s">
        <v>17</v>
      </c>
      <c r="AC44" s="2" t="s">
        <v>24</v>
      </c>
      <c r="AD44" s="2" t="s">
        <v>25</v>
      </c>
      <c r="AE44" s="2" t="s">
        <v>19</v>
      </c>
      <c r="AF44" s="2" t="s">
        <v>20</v>
      </c>
      <c r="AG44" s="2" t="s">
        <v>16</v>
      </c>
      <c r="AH44" s="2" t="s">
        <v>16</v>
      </c>
      <c r="AI44" s="2" t="s">
        <v>24</v>
      </c>
      <c r="AJ44" s="2" t="s">
        <v>16</v>
      </c>
      <c r="AK44" s="2" t="s">
        <v>16</v>
      </c>
      <c r="AL44" s="2" t="s">
        <v>16</v>
      </c>
    </row>
    <row r="45" ht="14.25" customHeight="1">
      <c r="A45" s="17">
        <v>45545.0</v>
      </c>
      <c r="B45" s="2" t="s">
        <v>31</v>
      </c>
      <c r="C45" s="2" t="s">
        <v>31</v>
      </c>
      <c r="D45" s="2" t="s">
        <v>31</v>
      </c>
      <c r="E45" s="2" t="s">
        <v>31</v>
      </c>
      <c r="F45" s="2" t="s">
        <v>31</v>
      </c>
      <c r="G45" s="2" t="s">
        <v>31</v>
      </c>
      <c r="H45" s="2" t="s">
        <v>31</v>
      </c>
      <c r="I45" s="2" t="s">
        <v>31</v>
      </c>
      <c r="J45" s="2" t="s">
        <v>31</v>
      </c>
      <c r="K45" s="2" t="s">
        <v>31</v>
      </c>
      <c r="L45" s="2" t="s">
        <v>31</v>
      </c>
      <c r="M45" s="2" t="s">
        <v>31</v>
      </c>
      <c r="N45" s="2" t="s">
        <v>31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2" t="s">
        <v>16</v>
      </c>
      <c r="V45" s="2" t="s">
        <v>19</v>
      </c>
      <c r="W45" s="2" t="s">
        <v>16</v>
      </c>
      <c r="X45" s="2" t="s">
        <v>21</v>
      </c>
      <c r="Y45" s="2" t="s">
        <v>24</v>
      </c>
      <c r="Z45" s="2" t="s">
        <v>21</v>
      </c>
      <c r="AA45" s="2" t="s">
        <v>26</v>
      </c>
      <c r="AB45" s="2" t="s">
        <v>25</v>
      </c>
      <c r="AC45" s="2" t="s">
        <v>24</v>
      </c>
      <c r="AD45" s="2" t="s">
        <v>28</v>
      </c>
      <c r="AE45" s="2" t="s">
        <v>28</v>
      </c>
      <c r="AF45" s="2" t="s">
        <v>22</v>
      </c>
      <c r="AG45" s="2" t="s">
        <v>24</v>
      </c>
      <c r="AH45" s="2" t="s">
        <v>21</v>
      </c>
      <c r="AI45" s="2" t="s">
        <v>27</v>
      </c>
      <c r="AJ45" s="2" t="s">
        <v>16</v>
      </c>
      <c r="AK45" s="2" t="s">
        <v>26</v>
      </c>
      <c r="AL45" s="2" t="s">
        <v>27</v>
      </c>
    </row>
    <row r="46" ht="14.25" customHeight="1">
      <c r="A46" s="17">
        <v>45546.0</v>
      </c>
      <c r="B46" s="2" t="s">
        <v>31</v>
      </c>
      <c r="C46" s="2" t="s">
        <v>31</v>
      </c>
      <c r="D46" s="2" t="s">
        <v>31</v>
      </c>
      <c r="E46" s="2" t="s">
        <v>31</v>
      </c>
      <c r="F46" s="2" t="s">
        <v>31</v>
      </c>
      <c r="G46" s="2" t="s">
        <v>31</v>
      </c>
      <c r="H46" s="2" t="s">
        <v>31</v>
      </c>
      <c r="I46" s="2" t="s">
        <v>31</v>
      </c>
      <c r="J46" s="2" t="s">
        <v>31</v>
      </c>
      <c r="K46" s="2" t="s">
        <v>31</v>
      </c>
      <c r="L46" s="2" t="s">
        <v>31</v>
      </c>
      <c r="M46" s="2" t="s">
        <v>31</v>
      </c>
      <c r="N46" s="2" t="s">
        <v>31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2" t="s">
        <v>18</v>
      </c>
      <c r="V46" s="2" t="s">
        <v>16</v>
      </c>
      <c r="W46" s="2" t="s">
        <v>16</v>
      </c>
      <c r="X46" s="2" t="s">
        <v>26</v>
      </c>
      <c r="Y46" s="2" t="s">
        <v>26</v>
      </c>
      <c r="Z46" s="2" t="s">
        <v>19</v>
      </c>
      <c r="AA46" s="2" t="s">
        <v>24</v>
      </c>
      <c r="AB46" s="2" t="s">
        <v>16</v>
      </c>
      <c r="AC46" s="2" t="s">
        <v>17</v>
      </c>
      <c r="AD46" s="2" t="s">
        <v>28</v>
      </c>
      <c r="AE46" s="2" t="s">
        <v>27</v>
      </c>
      <c r="AF46" s="2" t="s">
        <v>28</v>
      </c>
      <c r="AG46" s="2" t="s">
        <v>16</v>
      </c>
      <c r="AH46" s="2" t="s">
        <v>28</v>
      </c>
      <c r="AI46" s="2" t="s">
        <v>20</v>
      </c>
      <c r="AJ46" s="2" t="s">
        <v>16</v>
      </c>
      <c r="AK46" s="2" t="s">
        <v>26</v>
      </c>
      <c r="AL46" s="2" t="s">
        <v>24</v>
      </c>
    </row>
    <row r="47" ht="14.25" customHeight="1">
      <c r="A47" s="17">
        <v>45547.0</v>
      </c>
      <c r="B47" s="2" t="s">
        <v>31</v>
      </c>
      <c r="C47" s="2" t="s">
        <v>31</v>
      </c>
      <c r="D47" s="2" t="s">
        <v>31</v>
      </c>
      <c r="E47" s="2" t="s">
        <v>31</v>
      </c>
      <c r="F47" s="2" t="s">
        <v>31</v>
      </c>
      <c r="G47" s="2" t="s">
        <v>31</v>
      </c>
      <c r="H47" s="2" t="s">
        <v>31</v>
      </c>
      <c r="I47" s="2" t="s">
        <v>31</v>
      </c>
      <c r="J47" s="2" t="s">
        <v>31</v>
      </c>
      <c r="K47" s="2" t="s">
        <v>31</v>
      </c>
      <c r="L47" s="2" t="s">
        <v>31</v>
      </c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2" t="s">
        <v>16</v>
      </c>
      <c r="V47" s="2" t="s">
        <v>19</v>
      </c>
      <c r="W47" s="2" t="s">
        <v>24</v>
      </c>
      <c r="X47" s="2" t="s">
        <v>19</v>
      </c>
      <c r="Y47" s="2" t="s">
        <v>20</v>
      </c>
      <c r="Z47" s="2" t="s">
        <v>16</v>
      </c>
      <c r="AA47" s="2" t="s">
        <v>17</v>
      </c>
      <c r="AB47" s="2" t="s">
        <v>16</v>
      </c>
      <c r="AC47" s="2" t="s">
        <v>16</v>
      </c>
      <c r="AD47" s="2" t="s">
        <v>26</v>
      </c>
      <c r="AE47" s="2" t="s">
        <v>28</v>
      </c>
      <c r="AF47" s="2" t="s">
        <v>16</v>
      </c>
      <c r="AG47" s="2" t="s">
        <v>16</v>
      </c>
      <c r="AH47" s="2" t="s">
        <v>18</v>
      </c>
      <c r="AI47" s="2" t="s">
        <v>24</v>
      </c>
      <c r="AJ47" s="2" t="s">
        <v>16</v>
      </c>
      <c r="AK47" s="2" t="s">
        <v>28</v>
      </c>
      <c r="AL47" s="2" t="s">
        <v>21</v>
      </c>
    </row>
    <row r="48" ht="14.25" customHeight="1">
      <c r="A48" s="17">
        <v>45548.0</v>
      </c>
      <c r="B48" s="2" t="s">
        <v>31</v>
      </c>
      <c r="C48" s="2" t="s">
        <v>31</v>
      </c>
      <c r="D48" s="2" t="s">
        <v>31</v>
      </c>
      <c r="E48" s="2" t="s">
        <v>31</v>
      </c>
      <c r="F48" s="2" t="s">
        <v>31</v>
      </c>
      <c r="G48" s="2" t="s">
        <v>31</v>
      </c>
      <c r="H48" s="2" t="s">
        <v>31</v>
      </c>
      <c r="I48" s="2" t="s">
        <v>31</v>
      </c>
      <c r="J48" s="2" t="s">
        <v>31</v>
      </c>
      <c r="K48" s="2" t="s">
        <v>31</v>
      </c>
      <c r="L48" s="2" t="s">
        <v>31</v>
      </c>
      <c r="M48" s="2" t="s">
        <v>31</v>
      </c>
      <c r="N48" s="2" t="s">
        <v>31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2" t="s">
        <v>25</v>
      </c>
      <c r="V48" s="2" t="s">
        <v>20</v>
      </c>
      <c r="W48" s="2" t="s">
        <v>16</v>
      </c>
      <c r="X48" s="2" t="s">
        <v>25</v>
      </c>
      <c r="Y48" s="2" t="s">
        <v>16</v>
      </c>
      <c r="Z48" s="2" t="s">
        <v>17</v>
      </c>
      <c r="AA48" s="2" t="s">
        <v>16</v>
      </c>
      <c r="AB48" s="2" t="s">
        <v>28</v>
      </c>
      <c r="AC48" s="2" t="s">
        <v>16</v>
      </c>
      <c r="AD48" s="2" t="s">
        <v>25</v>
      </c>
      <c r="AE48" s="2" t="s">
        <v>25</v>
      </c>
      <c r="AF48" s="2" t="s">
        <v>20</v>
      </c>
      <c r="AG48" s="2" t="s">
        <v>20</v>
      </c>
      <c r="AH48" s="2" t="s">
        <v>20</v>
      </c>
      <c r="AI48" s="2" t="s">
        <v>21</v>
      </c>
      <c r="AJ48" s="2" t="s">
        <v>16</v>
      </c>
      <c r="AK48" s="2" t="s">
        <v>27</v>
      </c>
      <c r="AL48" s="2" t="s">
        <v>17</v>
      </c>
    </row>
    <row r="49" ht="14.25" customHeight="1">
      <c r="A49" s="17">
        <v>45549.0</v>
      </c>
      <c r="B49" s="2" t="s">
        <v>18</v>
      </c>
      <c r="C49" s="2" t="s">
        <v>20</v>
      </c>
      <c r="D49" s="2" t="s">
        <v>18</v>
      </c>
      <c r="E49" s="2" t="s">
        <v>41</v>
      </c>
      <c r="F49" s="2" t="s">
        <v>37</v>
      </c>
      <c r="G49" s="2" t="s">
        <v>16</v>
      </c>
      <c r="H49" s="2" t="s">
        <v>18</v>
      </c>
      <c r="I49" s="2" t="s">
        <v>40</v>
      </c>
      <c r="J49" s="2" t="s">
        <v>35</v>
      </c>
      <c r="K49" s="2" t="s">
        <v>23</v>
      </c>
      <c r="L49" s="2" t="s">
        <v>39</v>
      </c>
      <c r="M49" s="2" t="s">
        <v>18</v>
      </c>
      <c r="N49" s="2" t="s">
        <v>25</v>
      </c>
      <c r="O49" s="2" t="s">
        <v>37</v>
      </c>
      <c r="P49" s="2" t="s">
        <v>19</v>
      </c>
      <c r="Q49" s="2" t="s">
        <v>33</v>
      </c>
      <c r="R49" s="2" t="s">
        <v>18</v>
      </c>
      <c r="S49" s="2" t="s">
        <v>24</v>
      </c>
      <c r="T49" s="2" t="s">
        <v>28</v>
      </c>
      <c r="U49" s="2" t="s">
        <v>21</v>
      </c>
      <c r="V49" s="2" t="s">
        <v>16</v>
      </c>
      <c r="W49" s="2" t="s">
        <v>21</v>
      </c>
      <c r="X49" s="2" t="s">
        <v>22</v>
      </c>
      <c r="Y49" s="2" t="s">
        <v>20</v>
      </c>
      <c r="Z49" s="2" t="s">
        <v>28</v>
      </c>
      <c r="AA49" s="2" t="s">
        <v>26</v>
      </c>
      <c r="AB49" s="2" t="s">
        <v>21</v>
      </c>
      <c r="AC49" s="2" t="s">
        <v>26</v>
      </c>
      <c r="AD49" s="2" t="s">
        <v>20</v>
      </c>
      <c r="AE49" s="2" t="s">
        <v>16</v>
      </c>
      <c r="AF49" s="2" t="s">
        <v>16</v>
      </c>
      <c r="AG49" s="2" t="s">
        <v>18</v>
      </c>
      <c r="AH49" s="2" t="s">
        <v>25</v>
      </c>
      <c r="AI49" s="2" t="s">
        <v>16</v>
      </c>
      <c r="AJ49" s="2" t="s">
        <v>16</v>
      </c>
      <c r="AK49" s="2" t="s">
        <v>21</v>
      </c>
      <c r="AL49" s="2" t="s">
        <v>19</v>
      </c>
    </row>
    <row r="50" ht="14.25" customHeight="1">
      <c r="A50" s="17">
        <v>45550.0</v>
      </c>
      <c r="B50" s="2" t="s">
        <v>31</v>
      </c>
      <c r="C50" s="2" t="s">
        <v>31</v>
      </c>
      <c r="D50" s="2" t="s">
        <v>31</v>
      </c>
      <c r="E50" s="2" t="s">
        <v>31</v>
      </c>
      <c r="F50" s="2" t="s">
        <v>31</v>
      </c>
      <c r="G50" s="2" t="s">
        <v>31</v>
      </c>
      <c r="H50" s="2" t="s">
        <v>31</v>
      </c>
      <c r="I50" s="2" t="s">
        <v>31</v>
      </c>
      <c r="J50" s="2" t="s">
        <v>31</v>
      </c>
      <c r="K50" s="2" t="s">
        <v>31</v>
      </c>
      <c r="L50" s="2" t="s">
        <v>31</v>
      </c>
      <c r="M50" s="2" t="s">
        <v>31</v>
      </c>
      <c r="N50" s="2" t="s">
        <v>31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2" t="s">
        <v>16</v>
      </c>
      <c r="V50" s="2" t="s">
        <v>17</v>
      </c>
      <c r="W50" s="2" t="s">
        <v>23</v>
      </c>
      <c r="X50" s="2" t="s">
        <v>25</v>
      </c>
      <c r="Y50" s="2" t="s">
        <v>25</v>
      </c>
      <c r="Z50" s="2" t="s">
        <v>20</v>
      </c>
      <c r="AA50" s="2" t="s">
        <v>27</v>
      </c>
      <c r="AB50" s="2" t="s">
        <v>16</v>
      </c>
      <c r="AC50" s="2" t="s">
        <v>26</v>
      </c>
      <c r="AD50" s="2" t="s">
        <v>17</v>
      </c>
      <c r="AE50" s="2" t="s">
        <v>16</v>
      </c>
      <c r="AF50" s="2" t="s">
        <v>16</v>
      </c>
      <c r="AG50" s="2" t="s">
        <v>21</v>
      </c>
      <c r="AH50" s="2" t="s">
        <v>27</v>
      </c>
      <c r="AI50" s="2" t="s">
        <v>16</v>
      </c>
      <c r="AJ50" s="2" t="s">
        <v>17</v>
      </c>
      <c r="AK50" s="2" t="s">
        <v>16</v>
      </c>
      <c r="AL50" s="2" t="s">
        <v>16</v>
      </c>
    </row>
    <row r="51" ht="14.25" customHeight="1">
      <c r="A51" s="17">
        <v>45551.0</v>
      </c>
      <c r="B51" s="2" t="s">
        <v>31</v>
      </c>
      <c r="C51" s="2" t="s">
        <v>31</v>
      </c>
      <c r="D51" s="2" t="s">
        <v>31</v>
      </c>
      <c r="E51" s="2" t="s">
        <v>31</v>
      </c>
      <c r="F51" s="2" t="s">
        <v>31</v>
      </c>
      <c r="G51" s="2" t="s">
        <v>31</v>
      </c>
      <c r="H51" s="2" t="s">
        <v>31</v>
      </c>
      <c r="I51" s="2" t="s">
        <v>31</v>
      </c>
      <c r="J51" s="2" t="s">
        <v>31</v>
      </c>
      <c r="K51" s="2" t="s">
        <v>31</v>
      </c>
      <c r="L51" s="2" t="s">
        <v>31</v>
      </c>
      <c r="M51" s="2" t="s">
        <v>31</v>
      </c>
      <c r="N51" s="2" t="s">
        <v>31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2" t="s">
        <v>20</v>
      </c>
      <c r="V51" s="2" t="s">
        <v>21</v>
      </c>
      <c r="W51" s="2" t="s">
        <v>16</v>
      </c>
      <c r="X51" s="2" t="s">
        <v>18</v>
      </c>
      <c r="Y51" s="2" t="s">
        <v>16</v>
      </c>
      <c r="Z51" s="2" t="s">
        <v>18</v>
      </c>
      <c r="AA51" s="2" t="s">
        <v>24</v>
      </c>
      <c r="AB51" s="2" t="s">
        <v>27</v>
      </c>
      <c r="AC51" s="2" t="s">
        <v>26</v>
      </c>
      <c r="AD51" s="2" t="s">
        <v>16</v>
      </c>
      <c r="AE51" s="2" t="s">
        <v>16</v>
      </c>
      <c r="AF51" s="2" t="s">
        <v>26</v>
      </c>
      <c r="AG51" s="2" t="s">
        <v>16</v>
      </c>
      <c r="AH51" s="2" t="s">
        <v>17</v>
      </c>
      <c r="AI51" s="2" t="s">
        <v>27</v>
      </c>
      <c r="AJ51" s="2" t="s">
        <v>20</v>
      </c>
      <c r="AK51" s="2" t="s">
        <v>16</v>
      </c>
      <c r="AL51" s="2" t="s">
        <v>16</v>
      </c>
    </row>
    <row r="52" ht="14.25" customHeight="1">
      <c r="A52" s="17">
        <v>45552.0</v>
      </c>
      <c r="B52" s="2" t="s">
        <v>31</v>
      </c>
      <c r="C52" s="2" t="s">
        <v>31</v>
      </c>
      <c r="D52" s="2" t="s">
        <v>31</v>
      </c>
      <c r="E52" s="2" t="s">
        <v>31</v>
      </c>
      <c r="F52" s="2" t="s">
        <v>31</v>
      </c>
      <c r="G52" s="2" t="s">
        <v>31</v>
      </c>
      <c r="H52" s="2" t="s">
        <v>31</v>
      </c>
      <c r="I52" s="2" t="s">
        <v>31</v>
      </c>
      <c r="J52" s="2" t="s">
        <v>31</v>
      </c>
      <c r="K52" s="2" t="s">
        <v>31</v>
      </c>
      <c r="L52" s="2" t="s">
        <v>31</v>
      </c>
      <c r="M52" s="2" t="s">
        <v>31</v>
      </c>
      <c r="N52" s="2" t="s">
        <v>31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2" t="s">
        <v>22</v>
      </c>
      <c r="V52" s="2" t="s">
        <v>25</v>
      </c>
      <c r="W52" s="2" t="s">
        <v>21</v>
      </c>
      <c r="X52" s="2" t="s">
        <v>16</v>
      </c>
      <c r="Y52" s="2" t="s">
        <v>21</v>
      </c>
      <c r="Z52" s="2" t="s">
        <v>26</v>
      </c>
      <c r="AA52" s="2" t="s">
        <v>16</v>
      </c>
      <c r="AB52" s="2" t="s">
        <v>26</v>
      </c>
      <c r="AC52" s="2" t="s">
        <v>16</v>
      </c>
      <c r="AD52" s="2" t="s">
        <v>22</v>
      </c>
      <c r="AE52" s="2" t="s">
        <v>18</v>
      </c>
      <c r="AF52" s="2" t="s">
        <v>26</v>
      </c>
      <c r="AG52" s="2" t="s">
        <v>25</v>
      </c>
      <c r="AH52" s="2" t="s">
        <v>16</v>
      </c>
      <c r="AI52" s="2" t="s">
        <v>23</v>
      </c>
      <c r="AJ52" s="2" t="s">
        <v>20</v>
      </c>
      <c r="AK52" s="2" t="s">
        <v>27</v>
      </c>
      <c r="AL52" s="2" t="s">
        <v>17</v>
      </c>
    </row>
    <row r="53" ht="14.25" customHeight="1">
      <c r="A53" s="17">
        <v>45553.0</v>
      </c>
      <c r="B53" s="2" t="s">
        <v>31</v>
      </c>
      <c r="C53" s="2" t="s">
        <v>31</v>
      </c>
      <c r="D53" s="2" t="s">
        <v>31</v>
      </c>
      <c r="E53" s="2" t="s">
        <v>31</v>
      </c>
      <c r="F53" s="2" t="s">
        <v>31</v>
      </c>
      <c r="G53" s="2" t="s">
        <v>31</v>
      </c>
      <c r="H53" s="2" t="s">
        <v>31</v>
      </c>
      <c r="I53" s="2" t="s">
        <v>31</v>
      </c>
      <c r="J53" s="2" t="s">
        <v>31</v>
      </c>
      <c r="K53" s="2" t="s">
        <v>31</v>
      </c>
      <c r="L53" s="2" t="s">
        <v>31</v>
      </c>
      <c r="M53" s="2" t="s">
        <v>31</v>
      </c>
      <c r="N53" s="2" t="s">
        <v>31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2" t="s">
        <v>16</v>
      </c>
      <c r="V53" s="2" t="s">
        <v>16</v>
      </c>
      <c r="W53" s="2" t="s">
        <v>18</v>
      </c>
      <c r="X53" s="2" t="s">
        <v>26</v>
      </c>
      <c r="Y53" s="2" t="s">
        <v>27</v>
      </c>
      <c r="Z53" s="2" t="s">
        <v>16</v>
      </c>
      <c r="AA53" s="2" t="s">
        <v>27</v>
      </c>
      <c r="AB53" s="2" t="s">
        <v>24</v>
      </c>
      <c r="AC53" s="2" t="s">
        <v>23</v>
      </c>
      <c r="AD53" s="2" t="s">
        <v>24</v>
      </c>
      <c r="AE53" s="2" t="s">
        <v>21</v>
      </c>
      <c r="AF53" s="2" t="s">
        <v>27</v>
      </c>
      <c r="AG53" s="2" t="s">
        <v>16</v>
      </c>
      <c r="AH53" s="2" t="s">
        <v>21</v>
      </c>
      <c r="AI53" s="2" t="s">
        <v>28</v>
      </c>
      <c r="AJ53" s="2" t="s">
        <v>26</v>
      </c>
      <c r="AK53" s="2" t="s">
        <v>20</v>
      </c>
      <c r="AL53" s="2" t="s">
        <v>16</v>
      </c>
    </row>
    <row r="54" ht="14.25" customHeight="1">
      <c r="A54" s="17">
        <v>45554.0</v>
      </c>
      <c r="B54" s="2" t="s">
        <v>31</v>
      </c>
      <c r="C54" s="2" t="s">
        <v>31</v>
      </c>
      <c r="D54" s="2" t="s">
        <v>31</v>
      </c>
      <c r="E54" s="2" t="s">
        <v>31</v>
      </c>
      <c r="F54" s="2" t="s">
        <v>31</v>
      </c>
      <c r="G54" s="2" t="s">
        <v>31</v>
      </c>
      <c r="H54" s="2" t="s">
        <v>31</v>
      </c>
      <c r="I54" s="2" t="s">
        <v>31</v>
      </c>
      <c r="J54" s="2" t="s">
        <v>31</v>
      </c>
      <c r="K54" s="2" t="s">
        <v>31</v>
      </c>
      <c r="L54" s="2" t="s">
        <v>31</v>
      </c>
      <c r="M54" s="2" t="s">
        <v>31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2" t="s">
        <v>16</v>
      </c>
      <c r="V54" s="2" t="s">
        <v>16</v>
      </c>
      <c r="W54" s="2" t="s">
        <v>16</v>
      </c>
      <c r="X54" s="2" t="s">
        <v>22</v>
      </c>
      <c r="Y54" s="2" t="s">
        <v>16</v>
      </c>
      <c r="Z54" s="2" t="s">
        <v>24</v>
      </c>
      <c r="AA54" s="2" t="s">
        <v>17</v>
      </c>
      <c r="AB54" s="2" t="s">
        <v>27</v>
      </c>
      <c r="AC54" s="2" t="s">
        <v>20</v>
      </c>
      <c r="AD54" s="2" t="s">
        <v>16</v>
      </c>
      <c r="AE54" s="2" t="s">
        <v>22</v>
      </c>
      <c r="AF54" s="2" t="s">
        <v>16</v>
      </c>
      <c r="AG54" s="2" t="s">
        <v>16</v>
      </c>
      <c r="AH54" s="2" t="s">
        <v>24</v>
      </c>
      <c r="AI54" s="2" t="s">
        <v>17</v>
      </c>
      <c r="AJ54" s="2" t="s">
        <v>20</v>
      </c>
      <c r="AK54" s="2" t="s">
        <v>27</v>
      </c>
      <c r="AL54" s="2" t="s">
        <v>21</v>
      </c>
    </row>
    <row r="55" ht="14.25" customHeight="1">
      <c r="A55" s="17">
        <v>45555.0</v>
      </c>
      <c r="B55" s="2" t="s">
        <v>31</v>
      </c>
      <c r="C55" s="2" t="s">
        <v>31</v>
      </c>
      <c r="D55" s="2" t="s">
        <v>31</v>
      </c>
      <c r="E55" s="2" t="s">
        <v>31</v>
      </c>
      <c r="F55" s="2" t="s">
        <v>31</v>
      </c>
      <c r="G55" s="2" t="s">
        <v>31</v>
      </c>
      <c r="H55" s="2" t="s">
        <v>31</v>
      </c>
      <c r="I55" s="2" t="s">
        <v>31</v>
      </c>
      <c r="J55" s="2" t="s">
        <v>31</v>
      </c>
      <c r="K55" s="2" t="s">
        <v>31</v>
      </c>
      <c r="L55" s="2" t="s">
        <v>31</v>
      </c>
      <c r="M55" s="2" t="s">
        <v>31</v>
      </c>
      <c r="N55" s="2" t="s">
        <v>31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2" t="s">
        <v>16</v>
      </c>
      <c r="V55" s="2" t="s">
        <v>27</v>
      </c>
      <c r="W55" s="2" t="s">
        <v>20</v>
      </c>
      <c r="X55" s="2" t="s">
        <v>21</v>
      </c>
      <c r="Y55" s="2" t="s">
        <v>18</v>
      </c>
      <c r="Z55" s="2" t="s">
        <v>16</v>
      </c>
      <c r="AA55" s="2" t="s">
        <v>24</v>
      </c>
      <c r="AB55" s="2" t="s">
        <v>19</v>
      </c>
      <c r="AC55" s="2" t="s">
        <v>24</v>
      </c>
      <c r="AD55" s="2" t="s">
        <v>17</v>
      </c>
      <c r="AE55" s="2" t="s">
        <v>24</v>
      </c>
      <c r="AF55" s="2" t="s">
        <v>16</v>
      </c>
      <c r="AG55" s="2" t="s">
        <v>19</v>
      </c>
      <c r="AH55" s="2" t="s">
        <v>21</v>
      </c>
      <c r="AI55" s="2" t="s">
        <v>28</v>
      </c>
      <c r="AJ55" s="2" t="s">
        <v>16</v>
      </c>
      <c r="AK55" s="2" t="s">
        <v>19</v>
      </c>
      <c r="AL55" s="2" t="s">
        <v>17</v>
      </c>
    </row>
    <row r="56" ht="14.25" customHeight="1">
      <c r="A56" s="17">
        <v>45556.0</v>
      </c>
      <c r="B56" s="2" t="s">
        <v>34</v>
      </c>
      <c r="C56" s="2" t="s">
        <v>16</v>
      </c>
      <c r="D56" s="2" t="s">
        <v>32</v>
      </c>
      <c r="E56" s="2" t="s">
        <v>16</v>
      </c>
      <c r="F56" s="2" t="s">
        <v>18</v>
      </c>
      <c r="G56" s="2" t="s">
        <v>16</v>
      </c>
      <c r="H56" s="2" t="s">
        <v>39</v>
      </c>
      <c r="I56" s="2" t="s">
        <v>17</v>
      </c>
      <c r="J56" s="2" t="s">
        <v>40</v>
      </c>
      <c r="K56" s="2" t="s">
        <v>37</v>
      </c>
      <c r="L56" s="2" t="s">
        <v>30</v>
      </c>
      <c r="M56" s="2" t="s">
        <v>18</v>
      </c>
      <c r="N56" s="2" t="s">
        <v>43</v>
      </c>
      <c r="O56" s="2" t="s">
        <v>26</v>
      </c>
      <c r="P56" s="2" t="s">
        <v>30</v>
      </c>
      <c r="Q56" s="2" t="s">
        <v>38</v>
      </c>
      <c r="R56" s="2" t="s">
        <v>33</v>
      </c>
      <c r="S56" s="2" t="s">
        <v>40</v>
      </c>
      <c r="T56" s="2" t="s">
        <v>19</v>
      </c>
      <c r="U56" s="2" t="s">
        <v>19</v>
      </c>
      <c r="V56" s="2" t="s">
        <v>24</v>
      </c>
      <c r="W56" s="2" t="s">
        <v>19</v>
      </c>
      <c r="X56" s="2" t="s">
        <v>25</v>
      </c>
      <c r="Y56" s="2" t="s">
        <v>21</v>
      </c>
      <c r="Z56" s="2" t="s">
        <v>26</v>
      </c>
      <c r="AA56" s="2" t="s">
        <v>18</v>
      </c>
      <c r="AB56" s="2" t="s">
        <v>26</v>
      </c>
      <c r="AC56" s="2" t="s">
        <v>17</v>
      </c>
      <c r="AD56" s="2" t="s">
        <v>28</v>
      </c>
      <c r="AE56" s="2" t="s">
        <v>16</v>
      </c>
      <c r="AF56" s="2" t="s">
        <v>25</v>
      </c>
      <c r="AG56" s="2" t="s">
        <v>16</v>
      </c>
      <c r="AH56" s="2" t="s">
        <v>21</v>
      </c>
      <c r="AI56" s="2" t="s">
        <v>21</v>
      </c>
      <c r="AJ56" s="2" t="s">
        <v>24</v>
      </c>
      <c r="AK56" s="2" t="s">
        <v>26</v>
      </c>
      <c r="AL56" s="2" t="s">
        <v>16</v>
      </c>
    </row>
    <row r="57" ht="14.25" customHeight="1">
      <c r="A57" s="17">
        <v>45557.0</v>
      </c>
      <c r="B57" s="2" t="s">
        <v>31</v>
      </c>
      <c r="C57" s="2" t="s">
        <v>31</v>
      </c>
      <c r="D57" s="2" t="s">
        <v>31</v>
      </c>
      <c r="E57" s="2" t="s">
        <v>31</v>
      </c>
      <c r="F57" s="2" t="s">
        <v>31</v>
      </c>
      <c r="G57" s="2" t="s">
        <v>31</v>
      </c>
      <c r="H57" s="2" t="s">
        <v>31</v>
      </c>
      <c r="I57" s="2" t="s">
        <v>31</v>
      </c>
      <c r="J57" s="2" t="s">
        <v>31</v>
      </c>
      <c r="K57" s="2" t="s">
        <v>31</v>
      </c>
      <c r="L57" s="2" t="s">
        <v>31</v>
      </c>
      <c r="M57" s="2" t="s">
        <v>31</v>
      </c>
      <c r="N57" s="2" t="s">
        <v>31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2" t="s">
        <v>16</v>
      </c>
      <c r="V57" s="2" t="s">
        <v>16</v>
      </c>
      <c r="W57" s="2" t="s">
        <v>19</v>
      </c>
      <c r="X57" s="2" t="s">
        <v>21</v>
      </c>
      <c r="Y57" s="2" t="s">
        <v>20</v>
      </c>
      <c r="Z57" s="2" t="s">
        <v>26</v>
      </c>
      <c r="AA57" s="2" t="s">
        <v>16</v>
      </c>
      <c r="AB57" s="2" t="s">
        <v>16</v>
      </c>
      <c r="AC57" s="2" t="s">
        <v>17</v>
      </c>
      <c r="AD57" s="2" t="s">
        <v>16</v>
      </c>
      <c r="AE57" s="2" t="s">
        <v>19</v>
      </c>
      <c r="AF57" s="2" t="s">
        <v>21</v>
      </c>
      <c r="AG57" s="2" t="s">
        <v>25</v>
      </c>
      <c r="AH57" s="2" t="s">
        <v>20</v>
      </c>
      <c r="AI57" s="2" t="s">
        <v>16</v>
      </c>
      <c r="AJ57" s="2" t="s">
        <v>17</v>
      </c>
      <c r="AK57" s="2" t="s">
        <v>23</v>
      </c>
      <c r="AL57" s="2" t="s">
        <v>17</v>
      </c>
    </row>
    <row r="58" ht="14.25" customHeight="1">
      <c r="A58" s="17">
        <v>45558.0</v>
      </c>
      <c r="B58" s="2" t="s">
        <v>31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31</v>
      </c>
      <c r="I58" s="2" t="s">
        <v>31</v>
      </c>
      <c r="J58" s="2" t="s">
        <v>31</v>
      </c>
      <c r="K58" s="2" t="s">
        <v>31</v>
      </c>
      <c r="L58" s="2" t="s">
        <v>31</v>
      </c>
      <c r="M58" s="2" t="s">
        <v>31</v>
      </c>
      <c r="N58" s="2" t="s">
        <v>31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2" t="s">
        <v>16</v>
      </c>
      <c r="V58" s="2" t="s">
        <v>19</v>
      </c>
      <c r="W58" s="2" t="s">
        <v>28</v>
      </c>
      <c r="X58" s="2" t="s">
        <v>16</v>
      </c>
      <c r="Y58" s="2" t="s">
        <v>24</v>
      </c>
      <c r="Z58" s="2" t="s">
        <v>24</v>
      </c>
      <c r="AA58" s="2" t="s">
        <v>24</v>
      </c>
      <c r="AB58" s="2" t="s">
        <v>16</v>
      </c>
      <c r="AC58" s="2" t="s">
        <v>17</v>
      </c>
      <c r="AD58" s="2" t="s">
        <v>27</v>
      </c>
      <c r="AE58" s="2" t="s">
        <v>16</v>
      </c>
      <c r="AF58" s="2" t="s">
        <v>19</v>
      </c>
      <c r="AG58" s="2" t="s">
        <v>16</v>
      </c>
      <c r="AH58" s="2" t="s">
        <v>21</v>
      </c>
      <c r="AI58" s="2" t="s">
        <v>28</v>
      </c>
      <c r="AJ58" s="2" t="s">
        <v>24</v>
      </c>
      <c r="AK58" s="2" t="s">
        <v>28</v>
      </c>
      <c r="AL58" s="2" t="s">
        <v>16</v>
      </c>
    </row>
    <row r="59" ht="14.25" customHeight="1">
      <c r="A59" s="17">
        <v>45559.0</v>
      </c>
      <c r="B59" s="2" t="s">
        <v>31</v>
      </c>
      <c r="C59" s="2" t="s">
        <v>31</v>
      </c>
      <c r="D59" s="2" t="s">
        <v>31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 t="s">
        <v>31</v>
      </c>
      <c r="K59" s="2" t="s">
        <v>31</v>
      </c>
      <c r="L59" s="2" t="s">
        <v>31</v>
      </c>
      <c r="M59" s="2" t="s">
        <v>31</v>
      </c>
      <c r="N59" s="2" t="s">
        <v>31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2" t="s">
        <v>26</v>
      </c>
      <c r="V59" s="2" t="s">
        <v>17</v>
      </c>
      <c r="W59" s="2" t="s">
        <v>25</v>
      </c>
      <c r="X59" s="2" t="s">
        <v>24</v>
      </c>
      <c r="Y59" s="2" t="s">
        <v>22</v>
      </c>
      <c r="Z59" s="2" t="s">
        <v>26</v>
      </c>
      <c r="AA59" s="2" t="s">
        <v>27</v>
      </c>
      <c r="AB59" s="2" t="s">
        <v>21</v>
      </c>
      <c r="AC59" s="2" t="s">
        <v>16</v>
      </c>
      <c r="AD59" s="2" t="s">
        <v>24</v>
      </c>
      <c r="AE59" s="2" t="s">
        <v>21</v>
      </c>
      <c r="AF59" s="2" t="s">
        <v>16</v>
      </c>
      <c r="AG59" s="2" t="s">
        <v>22</v>
      </c>
      <c r="AH59" s="2" t="s">
        <v>27</v>
      </c>
      <c r="AI59" s="2" t="s">
        <v>21</v>
      </c>
      <c r="AJ59" s="2" t="s">
        <v>17</v>
      </c>
      <c r="AK59" s="2" t="s">
        <v>23</v>
      </c>
      <c r="AL59" s="2" t="s">
        <v>17</v>
      </c>
    </row>
    <row r="60" ht="14.25" customHeight="1">
      <c r="A60" s="17">
        <v>45560.0</v>
      </c>
      <c r="B60" s="2" t="s">
        <v>31</v>
      </c>
      <c r="C60" s="2" t="s">
        <v>31</v>
      </c>
      <c r="D60" s="2" t="s">
        <v>31</v>
      </c>
      <c r="E60" s="2" t="s">
        <v>31</v>
      </c>
      <c r="F60" s="2" t="s">
        <v>31</v>
      </c>
      <c r="G60" s="2" t="s">
        <v>31</v>
      </c>
      <c r="H60" s="2" t="s">
        <v>31</v>
      </c>
      <c r="I60" s="2" t="s">
        <v>31</v>
      </c>
      <c r="J60" s="2" t="s">
        <v>31</v>
      </c>
      <c r="K60" s="2" t="s">
        <v>31</v>
      </c>
      <c r="L60" s="2" t="s">
        <v>31</v>
      </c>
      <c r="M60" s="2" t="s">
        <v>31</v>
      </c>
      <c r="N60" s="2" t="s">
        <v>31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2" t="s">
        <v>28</v>
      </c>
      <c r="V60" s="2" t="s">
        <v>16</v>
      </c>
      <c r="W60" s="2" t="s">
        <v>26</v>
      </c>
      <c r="X60" s="2" t="s">
        <v>17</v>
      </c>
      <c r="Y60" s="2" t="s">
        <v>28</v>
      </c>
      <c r="Z60" s="2" t="s">
        <v>19</v>
      </c>
      <c r="AA60" s="2" t="s">
        <v>25</v>
      </c>
      <c r="AB60" s="2" t="s">
        <v>28</v>
      </c>
      <c r="AC60" s="2" t="s">
        <v>25</v>
      </c>
      <c r="AD60" s="2" t="s">
        <v>19</v>
      </c>
      <c r="AE60" s="2" t="s">
        <v>16</v>
      </c>
      <c r="AF60" s="2" t="s">
        <v>27</v>
      </c>
      <c r="AG60" s="2" t="s">
        <v>16</v>
      </c>
      <c r="AH60" s="2" t="s">
        <v>16</v>
      </c>
      <c r="AI60" s="2" t="s">
        <v>28</v>
      </c>
      <c r="AJ60" s="2" t="s">
        <v>16</v>
      </c>
      <c r="AK60" s="2" t="s">
        <v>16</v>
      </c>
      <c r="AL60" s="2" t="s">
        <v>18</v>
      </c>
    </row>
    <row r="61" ht="14.25" customHeight="1">
      <c r="A61" s="17">
        <v>45561.0</v>
      </c>
      <c r="B61" s="2" t="s">
        <v>31</v>
      </c>
      <c r="C61" s="2" t="s">
        <v>31</v>
      </c>
      <c r="D61" s="2" t="s">
        <v>31</v>
      </c>
      <c r="E61" s="2" t="s">
        <v>31</v>
      </c>
      <c r="F61" s="2" t="s">
        <v>31</v>
      </c>
      <c r="G61" s="2" t="s">
        <v>31</v>
      </c>
      <c r="H61" s="2" t="s">
        <v>31</v>
      </c>
      <c r="I61" s="2" t="s">
        <v>31</v>
      </c>
      <c r="J61" s="2" t="s">
        <v>31</v>
      </c>
      <c r="K61" s="2" t="s">
        <v>31</v>
      </c>
      <c r="L61" s="2" t="s">
        <v>31</v>
      </c>
      <c r="M61" s="2" t="s">
        <v>31</v>
      </c>
      <c r="N61" s="2" t="s">
        <v>31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2" t="s">
        <v>24</v>
      </c>
      <c r="V61" s="2" t="s">
        <v>25</v>
      </c>
      <c r="W61" s="2" t="s">
        <v>27</v>
      </c>
      <c r="X61" s="2" t="s">
        <v>26</v>
      </c>
      <c r="Y61" s="2" t="s">
        <v>20</v>
      </c>
      <c r="Z61" s="2" t="s">
        <v>24</v>
      </c>
      <c r="AA61" s="2" t="s">
        <v>23</v>
      </c>
      <c r="AB61" s="2" t="s">
        <v>19</v>
      </c>
      <c r="AC61" s="2" t="s">
        <v>16</v>
      </c>
      <c r="AD61" s="2" t="s">
        <v>21</v>
      </c>
      <c r="AE61" s="2" t="s">
        <v>16</v>
      </c>
      <c r="AF61" s="2" t="s">
        <v>23</v>
      </c>
      <c r="AG61" s="2" t="s">
        <v>16</v>
      </c>
      <c r="AH61" s="2" t="s">
        <v>16</v>
      </c>
      <c r="AI61" s="2" t="s">
        <v>26</v>
      </c>
      <c r="AJ61" s="2" t="s">
        <v>22</v>
      </c>
      <c r="AK61" s="2" t="s">
        <v>28</v>
      </c>
      <c r="AL61" s="2" t="s">
        <v>27</v>
      </c>
    </row>
    <row r="62" ht="14.25" customHeight="1">
      <c r="A62" s="17">
        <v>45562.0</v>
      </c>
      <c r="B62" s="2" t="s">
        <v>31</v>
      </c>
      <c r="C62" s="2" t="s">
        <v>31</v>
      </c>
      <c r="D62" s="2" t="s">
        <v>31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2" t="s">
        <v>31</v>
      </c>
      <c r="K62" s="2" t="s">
        <v>31</v>
      </c>
      <c r="L62" s="2" t="s">
        <v>31</v>
      </c>
      <c r="M62" s="2" t="s">
        <v>31</v>
      </c>
      <c r="N62" s="2" t="s">
        <v>31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2" t="s">
        <v>17</v>
      </c>
      <c r="V62" s="2" t="s">
        <v>24</v>
      </c>
      <c r="W62" s="2" t="s">
        <v>28</v>
      </c>
      <c r="X62" s="2" t="s">
        <v>16</v>
      </c>
      <c r="Y62" s="2" t="s">
        <v>21</v>
      </c>
      <c r="Z62" s="2" t="s">
        <v>25</v>
      </c>
      <c r="AA62" s="2" t="s">
        <v>27</v>
      </c>
      <c r="AB62" s="2" t="s">
        <v>24</v>
      </c>
      <c r="AC62" s="2" t="s">
        <v>16</v>
      </c>
      <c r="AD62" s="2" t="s">
        <v>19</v>
      </c>
      <c r="AE62" s="2" t="s">
        <v>18</v>
      </c>
      <c r="AF62" s="2" t="s">
        <v>28</v>
      </c>
      <c r="AG62" s="2" t="s">
        <v>26</v>
      </c>
      <c r="AH62" s="2" t="s">
        <v>16</v>
      </c>
      <c r="AI62" s="2" t="s">
        <v>16</v>
      </c>
      <c r="AJ62" s="2" t="s">
        <v>24</v>
      </c>
      <c r="AK62" s="2" t="s">
        <v>17</v>
      </c>
      <c r="AL62" s="2" t="s">
        <v>21</v>
      </c>
    </row>
    <row r="63" ht="14.25" customHeight="1">
      <c r="A63" s="17">
        <v>45563.0</v>
      </c>
      <c r="B63" s="2" t="s">
        <v>40</v>
      </c>
      <c r="C63" s="2" t="s">
        <v>24</v>
      </c>
      <c r="D63" s="2" t="s">
        <v>28</v>
      </c>
      <c r="E63" s="2" t="s">
        <v>16</v>
      </c>
      <c r="F63" s="2" t="s">
        <v>16</v>
      </c>
      <c r="G63" s="2" t="s">
        <v>38</v>
      </c>
      <c r="H63" s="2" t="s">
        <v>26</v>
      </c>
      <c r="I63" s="2" t="s">
        <v>39</v>
      </c>
      <c r="J63" s="2" t="s">
        <v>28</v>
      </c>
      <c r="K63" s="2" t="s">
        <v>24</v>
      </c>
      <c r="L63" s="2" t="s">
        <v>29</v>
      </c>
      <c r="M63" s="2" t="s">
        <v>42</v>
      </c>
      <c r="N63" s="2" t="s">
        <v>33</v>
      </c>
      <c r="O63" s="2" t="s">
        <v>34</v>
      </c>
      <c r="P63" s="2" t="s">
        <v>20</v>
      </c>
      <c r="Q63" s="2" t="s">
        <v>20</v>
      </c>
      <c r="R63" s="2" t="s">
        <v>30</v>
      </c>
      <c r="S63" s="2" t="s">
        <v>17</v>
      </c>
      <c r="T63" s="2" t="s">
        <v>16</v>
      </c>
      <c r="U63" s="2" t="s">
        <v>25</v>
      </c>
      <c r="V63" s="2" t="s">
        <v>26</v>
      </c>
      <c r="W63" s="2" t="s">
        <v>28</v>
      </c>
      <c r="X63" s="2" t="s">
        <v>21</v>
      </c>
      <c r="Y63" s="2" t="s">
        <v>28</v>
      </c>
      <c r="Z63" s="2" t="s">
        <v>21</v>
      </c>
      <c r="AA63" s="2" t="s">
        <v>20</v>
      </c>
      <c r="AB63" s="2" t="s">
        <v>16</v>
      </c>
      <c r="AC63" s="2" t="s">
        <v>17</v>
      </c>
      <c r="AD63" s="2" t="s">
        <v>28</v>
      </c>
      <c r="AE63" s="2" t="s">
        <v>22</v>
      </c>
      <c r="AF63" s="2" t="s">
        <v>16</v>
      </c>
      <c r="AG63" s="2" t="s">
        <v>16</v>
      </c>
      <c r="AH63" s="2" t="s">
        <v>16</v>
      </c>
      <c r="AI63" s="2" t="s">
        <v>21</v>
      </c>
      <c r="AJ63" s="2" t="s">
        <v>19</v>
      </c>
      <c r="AK63" s="2" t="s">
        <v>20</v>
      </c>
      <c r="AL63" s="2" t="s">
        <v>27</v>
      </c>
    </row>
    <row r="64" ht="14.25" customHeight="1">
      <c r="A64" s="17">
        <v>45564.0</v>
      </c>
      <c r="B64" s="2" t="s">
        <v>31</v>
      </c>
      <c r="C64" s="2" t="s">
        <v>31</v>
      </c>
      <c r="D64" s="2" t="s">
        <v>31</v>
      </c>
      <c r="E64" s="2" t="s">
        <v>31</v>
      </c>
      <c r="F64" s="2" t="s">
        <v>31</v>
      </c>
      <c r="G64" s="2" t="s">
        <v>31</v>
      </c>
      <c r="H64" s="2" t="s">
        <v>31</v>
      </c>
      <c r="I64" s="2" t="s">
        <v>31</v>
      </c>
      <c r="J64" s="2" t="s">
        <v>31</v>
      </c>
      <c r="K64" s="2" t="s">
        <v>31</v>
      </c>
      <c r="L64" s="2" t="s">
        <v>31</v>
      </c>
      <c r="M64" s="2" t="s">
        <v>31</v>
      </c>
      <c r="N64" s="2" t="s">
        <v>31</v>
      </c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2" t="s">
        <v>23</v>
      </c>
      <c r="V64" s="2" t="s">
        <v>17</v>
      </c>
      <c r="W64" s="2" t="s">
        <v>16</v>
      </c>
      <c r="X64" s="2" t="s">
        <v>16</v>
      </c>
      <c r="Y64" s="2" t="s">
        <v>28</v>
      </c>
      <c r="Z64" s="2" t="s">
        <v>20</v>
      </c>
      <c r="AA64" s="2" t="s">
        <v>27</v>
      </c>
      <c r="AB64" s="2" t="s">
        <v>26</v>
      </c>
      <c r="AC64" s="2" t="s">
        <v>24</v>
      </c>
      <c r="AD64" s="2" t="s">
        <v>19</v>
      </c>
      <c r="AE64" s="2" t="s">
        <v>19</v>
      </c>
      <c r="AF64" s="2" t="s">
        <v>27</v>
      </c>
      <c r="AG64" s="2" t="s">
        <v>27</v>
      </c>
      <c r="AH64" s="2" t="s">
        <v>24</v>
      </c>
      <c r="AI64" s="2" t="s">
        <v>27</v>
      </c>
      <c r="AJ64" s="2" t="s">
        <v>16</v>
      </c>
      <c r="AK64" s="2" t="s">
        <v>16</v>
      </c>
      <c r="AL64" s="2" t="s">
        <v>25</v>
      </c>
    </row>
    <row r="65" ht="14.25" customHeight="1">
      <c r="A65" s="17">
        <v>45565.0</v>
      </c>
      <c r="B65" s="2" t="s">
        <v>31</v>
      </c>
      <c r="C65" s="2" t="s">
        <v>31</v>
      </c>
      <c r="D65" s="2" t="s">
        <v>31</v>
      </c>
      <c r="E65" s="2" t="s">
        <v>31</v>
      </c>
      <c r="F65" s="2" t="s">
        <v>31</v>
      </c>
      <c r="G65" s="2" t="s">
        <v>31</v>
      </c>
      <c r="H65" s="2" t="s">
        <v>31</v>
      </c>
      <c r="I65" s="2" t="s">
        <v>31</v>
      </c>
      <c r="J65" s="2" t="s">
        <v>31</v>
      </c>
      <c r="K65" s="2" t="s">
        <v>31</v>
      </c>
      <c r="L65" s="2" t="s">
        <v>31</v>
      </c>
      <c r="M65" s="2" t="s">
        <v>31</v>
      </c>
      <c r="N65" s="2" t="s">
        <v>31</v>
      </c>
      <c r="O65" s="2" t="s">
        <v>31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2" t="s">
        <v>16</v>
      </c>
      <c r="V65" s="2" t="s">
        <v>16</v>
      </c>
      <c r="W65" s="2" t="s">
        <v>22</v>
      </c>
      <c r="X65" s="2" t="s">
        <v>27</v>
      </c>
      <c r="Y65" s="2" t="s">
        <v>22</v>
      </c>
      <c r="Z65" s="2" t="s">
        <v>25</v>
      </c>
      <c r="AA65" s="2" t="s">
        <v>17</v>
      </c>
      <c r="AB65" s="2" t="s">
        <v>24</v>
      </c>
      <c r="AC65" s="2" t="s">
        <v>20</v>
      </c>
      <c r="AD65" s="2" t="s">
        <v>24</v>
      </c>
      <c r="AE65" s="2" t="s">
        <v>17</v>
      </c>
      <c r="AF65" s="2" t="s">
        <v>27</v>
      </c>
      <c r="AG65" s="2" t="s">
        <v>20</v>
      </c>
      <c r="AH65" s="2" t="s">
        <v>16</v>
      </c>
      <c r="AI65" s="2" t="s">
        <v>28</v>
      </c>
      <c r="AJ65" s="2" t="s">
        <v>19</v>
      </c>
      <c r="AK65" s="2" t="s">
        <v>17</v>
      </c>
      <c r="AL65" s="2" t="s">
        <v>25</v>
      </c>
    </row>
    <row r="66" ht="14.25" customHeight="1">
      <c r="A66" s="17">
        <v>45566.0</v>
      </c>
      <c r="B66" s="2" t="s">
        <v>31</v>
      </c>
      <c r="C66" s="2" t="s">
        <v>31</v>
      </c>
      <c r="D66" s="2" t="s">
        <v>31</v>
      </c>
      <c r="E66" s="2" t="s">
        <v>31</v>
      </c>
      <c r="F66" s="2" t="s">
        <v>31</v>
      </c>
      <c r="G66" s="2" t="s">
        <v>31</v>
      </c>
      <c r="H66" s="2" t="s">
        <v>31</v>
      </c>
      <c r="I66" s="2" t="s">
        <v>31</v>
      </c>
      <c r="J66" s="2" t="s">
        <v>31</v>
      </c>
      <c r="K66" s="2" t="s">
        <v>31</v>
      </c>
      <c r="L66" s="2" t="s">
        <v>31</v>
      </c>
      <c r="M66" s="2" t="s">
        <v>31</v>
      </c>
      <c r="N66" s="2" t="s">
        <v>31</v>
      </c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2" t="s">
        <v>16</v>
      </c>
      <c r="V66" s="2" t="s">
        <v>16</v>
      </c>
      <c r="W66" s="2" t="s">
        <v>25</v>
      </c>
      <c r="X66" s="2" t="s">
        <v>16</v>
      </c>
      <c r="Y66" s="2" t="s">
        <v>16</v>
      </c>
      <c r="Z66" s="2" t="s">
        <v>27</v>
      </c>
      <c r="AA66" s="2" t="s">
        <v>16</v>
      </c>
      <c r="AB66" s="2" t="s">
        <v>25</v>
      </c>
      <c r="AC66" s="2" t="s">
        <v>21</v>
      </c>
      <c r="AD66" s="2" t="s">
        <v>25</v>
      </c>
      <c r="AE66" s="2" t="s">
        <v>22</v>
      </c>
      <c r="AF66" s="2" t="s">
        <v>17</v>
      </c>
      <c r="AG66" s="2" t="s">
        <v>16</v>
      </c>
      <c r="AH66" s="2" t="s">
        <v>16</v>
      </c>
      <c r="AI66" s="2" t="s">
        <v>27</v>
      </c>
      <c r="AJ66" s="2" t="s">
        <v>20</v>
      </c>
      <c r="AK66" s="2" t="s">
        <v>23</v>
      </c>
      <c r="AL66" s="2" t="s">
        <v>26</v>
      </c>
    </row>
    <row r="67" ht="14.25" customHeight="1">
      <c r="A67" s="17">
        <v>45567.0</v>
      </c>
      <c r="B67" s="2" t="s">
        <v>31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s="2" t="s">
        <v>31</v>
      </c>
      <c r="J67" s="2" t="s">
        <v>31</v>
      </c>
      <c r="K67" s="2" t="s">
        <v>31</v>
      </c>
      <c r="L67" s="2" t="s">
        <v>31</v>
      </c>
      <c r="M67" s="2" t="s">
        <v>31</v>
      </c>
      <c r="N67" s="2" t="s">
        <v>31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2" t="s">
        <v>22</v>
      </c>
      <c r="V67" s="2" t="s">
        <v>21</v>
      </c>
      <c r="W67" s="2" t="s">
        <v>21</v>
      </c>
      <c r="X67" s="2" t="s">
        <v>16</v>
      </c>
      <c r="Y67" s="2" t="s">
        <v>16</v>
      </c>
      <c r="Z67" s="2" t="s">
        <v>28</v>
      </c>
      <c r="AA67" s="2" t="s">
        <v>22</v>
      </c>
      <c r="AB67" s="2" t="s">
        <v>16</v>
      </c>
      <c r="AC67" s="2" t="s">
        <v>27</v>
      </c>
      <c r="AD67" s="2" t="s">
        <v>17</v>
      </c>
      <c r="AE67" s="2" t="s">
        <v>25</v>
      </c>
      <c r="AF67" s="2" t="s">
        <v>26</v>
      </c>
      <c r="AG67" s="2" t="s">
        <v>21</v>
      </c>
      <c r="AH67" s="2" t="s">
        <v>16</v>
      </c>
      <c r="AI67" s="2" t="s">
        <v>17</v>
      </c>
      <c r="AJ67" s="2" t="s">
        <v>16</v>
      </c>
      <c r="AK67" s="2" t="s">
        <v>28</v>
      </c>
      <c r="AL67" s="2" t="s">
        <v>16</v>
      </c>
    </row>
    <row r="68" ht="14.25" customHeight="1">
      <c r="A68" s="17">
        <v>45568.0</v>
      </c>
      <c r="B68" s="2" t="s">
        <v>31</v>
      </c>
      <c r="C68" s="2" t="s">
        <v>31</v>
      </c>
      <c r="D68" s="2" t="s">
        <v>31</v>
      </c>
      <c r="E68" s="2" t="s">
        <v>31</v>
      </c>
      <c r="F68" s="2" t="s">
        <v>31</v>
      </c>
      <c r="G68" s="2" t="s">
        <v>31</v>
      </c>
      <c r="H68" s="2" t="s">
        <v>31</v>
      </c>
      <c r="I68" s="2" t="s">
        <v>31</v>
      </c>
      <c r="J68" s="2" t="s">
        <v>31</v>
      </c>
      <c r="K68" s="2" t="s">
        <v>31</v>
      </c>
      <c r="L68" s="2" t="s">
        <v>31</v>
      </c>
      <c r="M68" s="2" t="s">
        <v>31</v>
      </c>
      <c r="N68" s="2" t="s">
        <v>31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2" t="s">
        <v>26</v>
      </c>
      <c r="V68" s="2" t="s">
        <v>17</v>
      </c>
      <c r="W68" s="2" t="s">
        <v>25</v>
      </c>
      <c r="X68" s="2" t="s">
        <v>22</v>
      </c>
      <c r="Y68" s="2" t="s">
        <v>28</v>
      </c>
      <c r="Z68" s="2" t="s">
        <v>16</v>
      </c>
      <c r="AA68" s="2" t="s">
        <v>16</v>
      </c>
      <c r="AB68" s="2" t="s">
        <v>25</v>
      </c>
      <c r="AC68" s="2" t="s">
        <v>26</v>
      </c>
      <c r="AD68" s="2" t="s">
        <v>22</v>
      </c>
      <c r="AE68" s="2" t="s">
        <v>18</v>
      </c>
      <c r="AF68" s="2" t="s">
        <v>16</v>
      </c>
      <c r="AG68" s="2" t="s">
        <v>16</v>
      </c>
      <c r="AH68" s="2" t="s">
        <v>16</v>
      </c>
      <c r="AI68" s="2" t="s">
        <v>20</v>
      </c>
      <c r="AJ68" s="2" t="s">
        <v>20</v>
      </c>
      <c r="AK68" s="2" t="s">
        <v>19</v>
      </c>
      <c r="AL68" s="2" t="s">
        <v>21</v>
      </c>
    </row>
    <row r="69" ht="14.25" customHeight="1">
      <c r="A69" s="17">
        <v>45569.0</v>
      </c>
      <c r="B69" s="2" t="s">
        <v>31</v>
      </c>
      <c r="C69" s="2" t="s">
        <v>31</v>
      </c>
      <c r="D69" s="2" t="s">
        <v>31</v>
      </c>
      <c r="E69" s="2" t="s">
        <v>31</v>
      </c>
      <c r="F69" s="2" t="s">
        <v>31</v>
      </c>
      <c r="G69" s="2" t="s">
        <v>31</v>
      </c>
      <c r="H69" s="2" t="s">
        <v>31</v>
      </c>
      <c r="I69" s="2" t="s">
        <v>31</v>
      </c>
      <c r="J69" s="2" t="s">
        <v>31</v>
      </c>
      <c r="K69" s="2" t="s">
        <v>31</v>
      </c>
      <c r="L69" s="2" t="s">
        <v>31</v>
      </c>
      <c r="M69" s="2" t="s">
        <v>31</v>
      </c>
      <c r="N69" s="2" t="s">
        <v>31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2" t="s">
        <v>16</v>
      </c>
      <c r="V69" s="2" t="s">
        <v>23</v>
      </c>
      <c r="W69" s="2" t="s">
        <v>16</v>
      </c>
      <c r="X69" s="2" t="s">
        <v>28</v>
      </c>
      <c r="Y69" s="2" t="s">
        <v>16</v>
      </c>
      <c r="Z69" s="2" t="s">
        <v>25</v>
      </c>
      <c r="AA69" s="2" t="s">
        <v>17</v>
      </c>
      <c r="AB69" s="2" t="s">
        <v>21</v>
      </c>
      <c r="AC69" s="2" t="s">
        <v>25</v>
      </c>
      <c r="AD69" s="2" t="s">
        <v>24</v>
      </c>
      <c r="AE69" s="2" t="s">
        <v>25</v>
      </c>
      <c r="AF69" s="2" t="s">
        <v>26</v>
      </c>
      <c r="AG69" s="2" t="s">
        <v>19</v>
      </c>
      <c r="AH69" s="2" t="s">
        <v>28</v>
      </c>
      <c r="AI69" s="2" t="s">
        <v>26</v>
      </c>
      <c r="AJ69" s="2" t="s">
        <v>20</v>
      </c>
      <c r="AK69" s="2" t="s">
        <v>16</v>
      </c>
      <c r="AL69" s="2" t="s">
        <v>16</v>
      </c>
    </row>
    <row r="70" ht="14.25" customHeight="1">
      <c r="A70" s="17">
        <v>45570.0</v>
      </c>
      <c r="B70" s="2" t="s">
        <v>39</v>
      </c>
      <c r="C70" s="2" t="s">
        <v>30</v>
      </c>
      <c r="D70" s="2" t="s">
        <v>33</v>
      </c>
      <c r="E70" s="2" t="s">
        <v>29</v>
      </c>
      <c r="F70" s="2" t="s">
        <v>26</v>
      </c>
      <c r="G70" s="2" t="s">
        <v>29</v>
      </c>
      <c r="H70" s="2" t="s">
        <v>27</v>
      </c>
      <c r="I70" s="2" t="s">
        <v>33</v>
      </c>
      <c r="J70" s="2" t="s">
        <v>21</v>
      </c>
      <c r="K70" s="2" t="s">
        <v>42</v>
      </c>
      <c r="L70" s="2" t="s">
        <v>16</v>
      </c>
      <c r="M70" s="2" t="s">
        <v>16</v>
      </c>
      <c r="N70" s="2" t="s">
        <v>28</v>
      </c>
      <c r="O70" s="2" t="s">
        <v>27</v>
      </c>
      <c r="P70" s="2" t="s">
        <v>29</v>
      </c>
      <c r="Q70" s="2" t="s">
        <v>41</v>
      </c>
      <c r="R70" s="2" t="s">
        <v>37</v>
      </c>
      <c r="S70" s="2" t="s">
        <v>37</v>
      </c>
      <c r="T70" s="2" t="s">
        <v>16</v>
      </c>
      <c r="U70" s="2" t="s">
        <v>16</v>
      </c>
      <c r="V70" s="2" t="s">
        <v>19</v>
      </c>
      <c r="W70" s="2" t="s">
        <v>23</v>
      </c>
      <c r="X70" s="2" t="s">
        <v>21</v>
      </c>
      <c r="Y70" s="2" t="s">
        <v>16</v>
      </c>
      <c r="Z70" s="2" t="s">
        <v>16</v>
      </c>
      <c r="AA70" s="2" t="s">
        <v>27</v>
      </c>
      <c r="AB70" s="2" t="s">
        <v>22</v>
      </c>
      <c r="AC70" s="2" t="s">
        <v>16</v>
      </c>
      <c r="AD70" s="2" t="s">
        <v>23</v>
      </c>
      <c r="AE70" s="2" t="s">
        <v>16</v>
      </c>
      <c r="AF70" s="2" t="s">
        <v>16</v>
      </c>
      <c r="AG70" s="2" t="s">
        <v>23</v>
      </c>
      <c r="AH70" s="2" t="s">
        <v>22</v>
      </c>
      <c r="AI70" s="2" t="s">
        <v>18</v>
      </c>
      <c r="AJ70" s="2" t="s">
        <v>24</v>
      </c>
      <c r="AK70" s="2" t="s">
        <v>22</v>
      </c>
      <c r="AL70" s="2" t="s">
        <v>16</v>
      </c>
    </row>
    <row r="71" ht="14.25" customHeight="1">
      <c r="A71" s="17">
        <v>45571.0</v>
      </c>
      <c r="B71" s="2" t="s">
        <v>31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2" t="s">
        <v>31</v>
      </c>
      <c r="K71" s="2" t="s">
        <v>31</v>
      </c>
      <c r="L71" s="2" t="s">
        <v>31</v>
      </c>
      <c r="M71" s="2" t="s">
        <v>31</v>
      </c>
      <c r="N71" s="2" t="s">
        <v>31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2" t="s">
        <v>21</v>
      </c>
      <c r="V71" s="2" t="s">
        <v>16</v>
      </c>
      <c r="W71" s="2" t="s">
        <v>23</v>
      </c>
      <c r="X71" s="2" t="s">
        <v>21</v>
      </c>
      <c r="Y71" s="2" t="s">
        <v>24</v>
      </c>
      <c r="Z71" s="2" t="s">
        <v>28</v>
      </c>
      <c r="AA71" s="2" t="s">
        <v>24</v>
      </c>
      <c r="AB71" s="2" t="s">
        <v>16</v>
      </c>
      <c r="AC71" s="2" t="s">
        <v>22</v>
      </c>
      <c r="AD71" s="2" t="s">
        <v>17</v>
      </c>
      <c r="AE71" s="2" t="s">
        <v>26</v>
      </c>
      <c r="AF71" s="2" t="s">
        <v>16</v>
      </c>
      <c r="AG71" s="2" t="s">
        <v>18</v>
      </c>
      <c r="AH71" s="2" t="s">
        <v>28</v>
      </c>
      <c r="AI71" s="2" t="s">
        <v>28</v>
      </c>
      <c r="AJ71" s="2" t="s">
        <v>19</v>
      </c>
      <c r="AK71" s="2" t="s">
        <v>21</v>
      </c>
      <c r="AL71" s="2" t="s">
        <v>16</v>
      </c>
    </row>
    <row r="72" ht="14.25" customHeight="1">
      <c r="A72" s="17">
        <v>45572.0</v>
      </c>
      <c r="B72" s="2" t="s">
        <v>31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31</v>
      </c>
      <c r="I72" s="2" t="s">
        <v>31</v>
      </c>
      <c r="J72" s="2" t="s">
        <v>31</v>
      </c>
      <c r="K72" s="2" t="s">
        <v>31</v>
      </c>
      <c r="L72" s="2" t="s">
        <v>31</v>
      </c>
      <c r="M72" s="2" t="s">
        <v>31</v>
      </c>
      <c r="N72" s="2" t="s">
        <v>31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2" t="s">
        <v>16</v>
      </c>
      <c r="V72" s="2" t="s">
        <v>26</v>
      </c>
      <c r="W72" s="2" t="s">
        <v>27</v>
      </c>
      <c r="X72" s="2" t="s">
        <v>21</v>
      </c>
      <c r="Y72" s="2" t="s">
        <v>21</v>
      </c>
      <c r="Z72" s="2" t="s">
        <v>28</v>
      </c>
      <c r="AA72" s="2" t="s">
        <v>21</v>
      </c>
      <c r="AB72" s="2" t="s">
        <v>28</v>
      </c>
      <c r="AC72" s="2" t="s">
        <v>16</v>
      </c>
      <c r="AD72" s="2" t="s">
        <v>19</v>
      </c>
      <c r="AE72" s="2" t="s">
        <v>20</v>
      </c>
      <c r="AF72" s="2" t="s">
        <v>19</v>
      </c>
      <c r="AG72" s="2" t="s">
        <v>19</v>
      </c>
      <c r="AH72" s="2" t="s">
        <v>25</v>
      </c>
      <c r="AI72" s="2" t="s">
        <v>16</v>
      </c>
      <c r="AJ72" s="2" t="s">
        <v>16</v>
      </c>
      <c r="AK72" s="2" t="s">
        <v>16</v>
      </c>
      <c r="AL72" s="2" t="s">
        <v>25</v>
      </c>
    </row>
    <row r="73" ht="14.25" customHeight="1">
      <c r="A73" s="17">
        <v>45573.0</v>
      </c>
      <c r="B73" s="2" t="s">
        <v>31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31</v>
      </c>
      <c r="I73" s="2" t="s">
        <v>31</v>
      </c>
      <c r="J73" s="2" t="s">
        <v>31</v>
      </c>
      <c r="K73" s="2" t="s">
        <v>31</v>
      </c>
      <c r="L73" s="2" t="s">
        <v>31</v>
      </c>
      <c r="M73" s="2" t="s">
        <v>31</v>
      </c>
      <c r="N73" s="2" t="s">
        <v>31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2" t="s">
        <v>16</v>
      </c>
      <c r="V73" s="2" t="s">
        <v>16</v>
      </c>
      <c r="W73" s="2" t="s">
        <v>21</v>
      </c>
      <c r="X73" s="2" t="s">
        <v>19</v>
      </c>
      <c r="Y73" s="2" t="s">
        <v>16</v>
      </c>
      <c r="Z73" s="2" t="s">
        <v>28</v>
      </c>
      <c r="AA73" s="2" t="s">
        <v>17</v>
      </c>
      <c r="AB73" s="2" t="s">
        <v>16</v>
      </c>
      <c r="AC73" s="2" t="s">
        <v>24</v>
      </c>
      <c r="AD73" s="2" t="s">
        <v>20</v>
      </c>
      <c r="AE73" s="2" t="s">
        <v>25</v>
      </c>
      <c r="AF73" s="2" t="s">
        <v>17</v>
      </c>
      <c r="AG73" s="2" t="s">
        <v>21</v>
      </c>
      <c r="AH73" s="2" t="s">
        <v>25</v>
      </c>
      <c r="AI73" s="2" t="s">
        <v>16</v>
      </c>
      <c r="AJ73" s="2" t="s">
        <v>19</v>
      </c>
      <c r="AK73" s="2" t="s">
        <v>27</v>
      </c>
      <c r="AL73" s="2" t="s">
        <v>27</v>
      </c>
    </row>
    <row r="74" ht="14.25" customHeight="1">
      <c r="A74" s="17">
        <v>45574.0</v>
      </c>
      <c r="B74" s="2" t="s">
        <v>31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2" t="s">
        <v>31</v>
      </c>
      <c r="K74" s="2" t="s">
        <v>31</v>
      </c>
      <c r="L74" s="2" t="s">
        <v>31</v>
      </c>
      <c r="M74" s="2" t="s">
        <v>31</v>
      </c>
      <c r="N74" s="2" t="s">
        <v>31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2" t="s">
        <v>19</v>
      </c>
      <c r="V74" s="2" t="s">
        <v>18</v>
      </c>
      <c r="W74" s="2" t="s">
        <v>27</v>
      </c>
      <c r="X74" s="2" t="s">
        <v>16</v>
      </c>
      <c r="Y74" s="2" t="s">
        <v>24</v>
      </c>
      <c r="Z74" s="2" t="s">
        <v>20</v>
      </c>
      <c r="AA74" s="2" t="s">
        <v>24</v>
      </c>
      <c r="AB74" s="2" t="s">
        <v>16</v>
      </c>
      <c r="AC74" s="2" t="s">
        <v>16</v>
      </c>
      <c r="AD74" s="2" t="s">
        <v>25</v>
      </c>
      <c r="AE74" s="2" t="s">
        <v>24</v>
      </c>
      <c r="AF74" s="2" t="s">
        <v>16</v>
      </c>
      <c r="AG74" s="2" t="s">
        <v>21</v>
      </c>
      <c r="AH74" s="2" t="s">
        <v>24</v>
      </c>
      <c r="AI74" s="2" t="s">
        <v>28</v>
      </c>
      <c r="AJ74" s="2" t="s">
        <v>22</v>
      </c>
      <c r="AK74" s="2" t="s">
        <v>22</v>
      </c>
      <c r="AL74" s="2" t="s">
        <v>25</v>
      </c>
    </row>
    <row r="75" ht="14.25" customHeight="1">
      <c r="A75" s="17">
        <v>45575.0</v>
      </c>
      <c r="B75" s="2" t="s">
        <v>31</v>
      </c>
      <c r="C75" s="2" t="s">
        <v>31</v>
      </c>
      <c r="D75" s="2" t="s">
        <v>31</v>
      </c>
      <c r="E75" s="2" t="s">
        <v>31</v>
      </c>
      <c r="F75" s="2" t="s">
        <v>31</v>
      </c>
      <c r="G75" s="2" t="s">
        <v>31</v>
      </c>
      <c r="H75" s="2" t="s">
        <v>31</v>
      </c>
      <c r="I75" s="2" t="s">
        <v>31</v>
      </c>
      <c r="J75" s="2" t="s">
        <v>31</v>
      </c>
      <c r="K75" s="2" t="s">
        <v>31</v>
      </c>
      <c r="L75" s="2" t="s">
        <v>31</v>
      </c>
      <c r="M75" s="2" t="s">
        <v>31</v>
      </c>
      <c r="N75" s="2" t="s">
        <v>31</v>
      </c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2" t="s">
        <v>23</v>
      </c>
      <c r="V75" s="2" t="s">
        <v>27</v>
      </c>
      <c r="W75" s="2" t="s">
        <v>21</v>
      </c>
      <c r="X75" s="2" t="s">
        <v>24</v>
      </c>
      <c r="Y75" s="2" t="s">
        <v>21</v>
      </c>
      <c r="Z75" s="2" t="s">
        <v>16</v>
      </c>
      <c r="AA75" s="2" t="s">
        <v>16</v>
      </c>
      <c r="AB75" s="2" t="s">
        <v>21</v>
      </c>
      <c r="AC75" s="2" t="s">
        <v>16</v>
      </c>
      <c r="AD75" s="2" t="s">
        <v>18</v>
      </c>
      <c r="AE75" s="2" t="s">
        <v>28</v>
      </c>
      <c r="AF75" s="2" t="s">
        <v>26</v>
      </c>
      <c r="AG75" s="2" t="s">
        <v>20</v>
      </c>
      <c r="AH75" s="2" t="s">
        <v>22</v>
      </c>
      <c r="AI75" s="2" t="s">
        <v>25</v>
      </c>
      <c r="AJ75" s="2" t="s">
        <v>16</v>
      </c>
      <c r="AK75" s="2" t="s">
        <v>21</v>
      </c>
      <c r="AL75" s="2" t="s">
        <v>22</v>
      </c>
    </row>
    <row r="76" ht="14.25" customHeight="1">
      <c r="A76" s="17">
        <v>45576.0</v>
      </c>
      <c r="B76" s="2" t="s">
        <v>31</v>
      </c>
      <c r="C76" s="2" t="s">
        <v>31</v>
      </c>
      <c r="D76" s="2" t="s">
        <v>31</v>
      </c>
      <c r="E76" s="2" t="s">
        <v>31</v>
      </c>
      <c r="F76" s="2" t="s">
        <v>31</v>
      </c>
      <c r="G76" s="2" t="s">
        <v>31</v>
      </c>
      <c r="H76" s="2" t="s">
        <v>31</v>
      </c>
      <c r="I76" s="2" t="s">
        <v>31</v>
      </c>
      <c r="J76" s="2" t="s">
        <v>31</v>
      </c>
      <c r="K76" s="2" t="s">
        <v>31</v>
      </c>
      <c r="L76" s="2" t="s">
        <v>31</v>
      </c>
      <c r="M76" s="2" t="s">
        <v>31</v>
      </c>
      <c r="N76" s="2" t="s">
        <v>31</v>
      </c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2" t="s">
        <v>16</v>
      </c>
      <c r="V76" s="2" t="s">
        <v>16</v>
      </c>
      <c r="W76" s="2" t="s">
        <v>16</v>
      </c>
      <c r="X76" s="2" t="s">
        <v>26</v>
      </c>
      <c r="Y76" s="2" t="s">
        <v>22</v>
      </c>
      <c r="Z76" s="2" t="s">
        <v>16</v>
      </c>
      <c r="AA76" s="2" t="s">
        <v>21</v>
      </c>
      <c r="AB76" s="2" t="s">
        <v>28</v>
      </c>
      <c r="AC76" s="2" t="s">
        <v>16</v>
      </c>
      <c r="AD76" s="2" t="s">
        <v>16</v>
      </c>
      <c r="AE76" s="2" t="s">
        <v>16</v>
      </c>
      <c r="AF76" s="2" t="s">
        <v>27</v>
      </c>
      <c r="AG76" s="2" t="s">
        <v>16</v>
      </c>
      <c r="AH76" s="2" t="s">
        <v>24</v>
      </c>
      <c r="AI76" s="2" t="s">
        <v>24</v>
      </c>
      <c r="AJ76" s="2" t="s">
        <v>16</v>
      </c>
      <c r="AK76" s="2" t="s">
        <v>27</v>
      </c>
      <c r="AL76" s="2" t="s">
        <v>17</v>
      </c>
    </row>
    <row r="77" ht="14.25" customHeight="1">
      <c r="A77" s="17">
        <v>45577.0</v>
      </c>
      <c r="B77" s="2" t="s">
        <v>23</v>
      </c>
      <c r="C77" s="2" t="s">
        <v>21</v>
      </c>
      <c r="D77" s="2" t="s">
        <v>27</v>
      </c>
      <c r="E77" s="2" t="s">
        <v>16</v>
      </c>
      <c r="F77" s="2" t="s">
        <v>20</v>
      </c>
      <c r="G77" s="2" t="s">
        <v>34</v>
      </c>
      <c r="H77" s="2" t="s">
        <v>16</v>
      </c>
      <c r="I77" s="2" t="s">
        <v>23</v>
      </c>
      <c r="J77" s="2" t="s">
        <v>18</v>
      </c>
      <c r="K77" s="2" t="s">
        <v>28</v>
      </c>
      <c r="L77" s="2" t="s">
        <v>28</v>
      </c>
      <c r="M77" s="2" t="s">
        <v>26</v>
      </c>
      <c r="N77" s="2" t="s">
        <v>41</v>
      </c>
      <c r="O77" s="2" t="s">
        <v>37</v>
      </c>
      <c r="P77" s="2" t="s">
        <v>19</v>
      </c>
      <c r="Q77" s="2" t="s">
        <v>36</v>
      </c>
      <c r="R77" s="2" t="s">
        <v>32</v>
      </c>
      <c r="S77" s="2" t="s">
        <v>30</v>
      </c>
      <c r="T77" s="2" t="s">
        <v>40</v>
      </c>
      <c r="U77" s="2" t="s">
        <v>19</v>
      </c>
      <c r="V77" s="2" t="s">
        <v>16</v>
      </c>
      <c r="W77" s="2" t="s">
        <v>20</v>
      </c>
      <c r="X77" s="2" t="s">
        <v>16</v>
      </c>
      <c r="Y77" s="2" t="s">
        <v>16</v>
      </c>
      <c r="Z77" s="2" t="s">
        <v>16</v>
      </c>
      <c r="AA77" s="2" t="s">
        <v>24</v>
      </c>
      <c r="AB77" s="2" t="s">
        <v>26</v>
      </c>
      <c r="AC77" s="2" t="s">
        <v>28</v>
      </c>
      <c r="AD77" s="2" t="s">
        <v>22</v>
      </c>
      <c r="AE77" s="2" t="s">
        <v>24</v>
      </c>
      <c r="AF77" s="2" t="s">
        <v>19</v>
      </c>
      <c r="AG77" s="2" t="s">
        <v>20</v>
      </c>
      <c r="AH77" s="2" t="s">
        <v>24</v>
      </c>
      <c r="AI77" s="2" t="s">
        <v>16</v>
      </c>
      <c r="AJ77" s="2" t="s">
        <v>17</v>
      </c>
      <c r="AK77" s="2" t="s">
        <v>16</v>
      </c>
      <c r="AL77" s="2" t="s">
        <v>19</v>
      </c>
    </row>
    <row r="78" ht="14.25" customHeight="1">
      <c r="A78" s="17">
        <v>45578.0</v>
      </c>
      <c r="B78" s="2" t="s">
        <v>31</v>
      </c>
      <c r="C78" s="2" t="s">
        <v>31</v>
      </c>
      <c r="D78" s="2" t="s">
        <v>31</v>
      </c>
      <c r="E78" s="2" t="s">
        <v>31</v>
      </c>
      <c r="F78" s="2" t="s">
        <v>31</v>
      </c>
      <c r="G78" s="2" t="s">
        <v>31</v>
      </c>
      <c r="H78" s="2" t="s">
        <v>31</v>
      </c>
      <c r="I78" s="2" t="s">
        <v>31</v>
      </c>
      <c r="J78" s="2" t="s">
        <v>31</v>
      </c>
      <c r="K78" s="2" t="s">
        <v>31</v>
      </c>
      <c r="L78" s="2" t="s">
        <v>31</v>
      </c>
      <c r="M78" s="2" t="s">
        <v>31</v>
      </c>
      <c r="N78" s="2" t="s">
        <v>31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2" t="s">
        <v>16</v>
      </c>
      <c r="V78" s="2" t="s">
        <v>26</v>
      </c>
      <c r="W78" s="2" t="s">
        <v>26</v>
      </c>
      <c r="X78" s="2" t="s">
        <v>20</v>
      </c>
      <c r="Y78" s="2" t="s">
        <v>16</v>
      </c>
      <c r="Z78" s="2" t="s">
        <v>26</v>
      </c>
      <c r="AA78" s="2" t="s">
        <v>17</v>
      </c>
      <c r="AB78" s="2" t="s">
        <v>22</v>
      </c>
      <c r="AC78" s="2" t="s">
        <v>28</v>
      </c>
      <c r="AD78" s="2" t="s">
        <v>22</v>
      </c>
      <c r="AE78" s="2" t="s">
        <v>17</v>
      </c>
      <c r="AF78" s="2" t="s">
        <v>25</v>
      </c>
      <c r="AG78" s="2" t="s">
        <v>27</v>
      </c>
      <c r="AH78" s="2" t="s">
        <v>16</v>
      </c>
      <c r="AI78" s="2" t="s">
        <v>16</v>
      </c>
      <c r="AJ78" s="2" t="s">
        <v>17</v>
      </c>
      <c r="AK78" s="2" t="s">
        <v>16</v>
      </c>
      <c r="AL78" s="2" t="s">
        <v>17</v>
      </c>
    </row>
    <row r="79" ht="14.25" customHeight="1">
      <c r="A79" s="17">
        <v>45579.0</v>
      </c>
      <c r="B79" s="2" t="s">
        <v>31</v>
      </c>
      <c r="C79" s="2" t="s">
        <v>31</v>
      </c>
      <c r="D79" s="2" t="s">
        <v>31</v>
      </c>
      <c r="E79" s="2" t="s">
        <v>31</v>
      </c>
      <c r="F79" s="2" t="s">
        <v>31</v>
      </c>
      <c r="G79" s="2" t="s">
        <v>31</v>
      </c>
      <c r="H79" s="2" t="s">
        <v>31</v>
      </c>
      <c r="I79" s="2" t="s">
        <v>31</v>
      </c>
      <c r="J79" s="2" t="s">
        <v>31</v>
      </c>
      <c r="K79" s="2" t="s">
        <v>31</v>
      </c>
      <c r="L79" s="2" t="s">
        <v>31</v>
      </c>
      <c r="M79" s="2" t="s">
        <v>31</v>
      </c>
      <c r="N79" s="2" t="s">
        <v>31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2" t="s">
        <v>17</v>
      </c>
      <c r="V79" s="2" t="s">
        <v>20</v>
      </c>
      <c r="W79" s="2" t="s">
        <v>17</v>
      </c>
      <c r="X79" s="2" t="s">
        <v>19</v>
      </c>
      <c r="Y79" s="2" t="s">
        <v>27</v>
      </c>
      <c r="Z79" s="2" t="s">
        <v>24</v>
      </c>
      <c r="AA79" s="2" t="s">
        <v>18</v>
      </c>
      <c r="AB79" s="2" t="s">
        <v>19</v>
      </c>
      <c r="AC79" s="2" t="s">
        <v>17</v>
      </c>
      <c r="AD79" s="2" t="s">
        <v>21</v>
      </c>
      <c r="AE79" s="2" t="s">
        <v>16</v>
      </c>
      <c r="AF79" s="2" t="s">
        <v>16</v>
      </c>
      <c r="AG79" s="2" t="s">
        <v>25</v>
      </c>
      <c r="AH79" s="2" t="s">
        <v>21</v>
      </c>
      <c r="AI79" s="2" t="s">
        <v>16</v>
      </c>
      <c r="AJ79" s="2" t="s">
        <v>16</v>
      </c>
      <c r="AK79" s="2" t="s">
        <v>23</v>
      </c>
      <c r="AL79" s="2" t="s">
        <v>25</v>
      </c>
    </row>
    <row r="80" ht="14.25" customHeight="1">
      <c r="A80" s="17">
        <v>45580.0</v>
      </c>
      <c r="B80" s="2" t="s">
        <v>31</v>
      </c>
      <c r="C80" s="2" t="s">
        <v>31</v>
      </c>
      <c r="D80" s="2" t="s">
        <v>31</v>
      </c>
      <c r="E80" s="2" t="s">
        <v>31</v>
      </c>
      <c r="F80" s="2" t="s">
        <v>31</v>
      </c>
      <c r="G80" s="2" t="s">
        <v>31</v>
      </c>
      <c r="H80" s="2" t="s">
        <v>31</v>
      </c>
      <c r="I80" s="2" t="s">
        <v>31</v>
      </c>
      <c r="J80" s="2" t="s">
        <v>31</v>
      </c>
      <c r="K80" s="2" t="s">
        <v>31</v>
      </c>
      <c r="L80" s="2" t="s">
        <v>31</v>
      </c>
      <c r="M80" s="2" t="s">
        <v>31</v>
      </c>
      <c r="N80" s="2" t="s">
        <v>31</v>
      </c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2" t="s">
        <v>16</v>
      </c>
      <c r="V80" s="2" t="s">
        <v>25</v>
      </c>
      <c r="W80" s="2" t="s">
        <v>24</v>
      </c>
      <c r="X80" s="2" t="s">
        <v>16</v>
      </c>
      <c r="Y80" s="2" t="s">
        <v>26</v>
      </c>
      <c r="Z80" s="2" t="s">
        <v>22</v>
      </c>
      <c r="AA80" s="2" t="s">
        <v>25</v>
      </c>
      <c r="AB80" s="2" t="s">
        <v>28</v>
      </c>
      <c r="AC80" s="2" t="s">
        <v>26</v>
      </c>
      <c r="AD80" s="2" t="s">
        <v>16</v>
      </c>
      <c r="AE80" s="2" t="s">
        <v>27</v>
      </c>
      <c r="AF80" s="2" t="s">
        <v>26</v>
      </c>
      <c r="AG80" s="2" t="s">
        <v>16</v>
      </c>
      <c r="AH80" s="2" t="s">
        <v>16</v>
      </c>
      <c r="AI80" s="2" t="s">
        <v>26</v>
      </c>
      <c r="AJ80" s="2" t="s">
        <v>23</v>
      </c>
      <c r="AK80" s="2" t="s">
        <v>25</v>
      </c>
      <c r="AL80" s="2" t="s">
        <v>18</v>
      </c>
    </row>
    <row r="81" ht="14.25" customHeight="1">
      <c r="A81" s="17">
        <v>45581.0</v>
      </c>
      <c r="B81" s="2" t="s">
        <v>31</v>
      </c>
      <c r="C81" s="2" t="s">
        <v>31</v>
      </c>
      <c r="D81" s="2" t="s">
        <v>31</v>
      </c>
      <c r="E81" s="2" t="s">
        <v>31</v>
      </c>
      <c r="F81" s="2" t="s">
        <v>31</v>
      </c>
      <c r="G81" s="2" t="s">
        <v>31</v>
      </c>
      <c r="H81" s="2" t="s">
        <v>31</v>
      </c>
      <c r="I81" s="2" t="s">
        <v>31</v>
      </c>
      <c r="J81" s="2" t="s">
        <v>31</v>
      </c>
      <c r="K81" s="2" t="s">
        <v>31</v>
      </c>
      <c r="L81" s="2" t="s">
        <v>31</v>
      </c>
      <c r="M81" s="2" t="s">
        <v>31</v>
      </c>
      <c r="N81" s="2" t="s">
        <v>31</v>
      </c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2" t="s">
        <v>16</v>
      </c>
      <c r="V81" s="2" t="s">
        <v>18</v>
      </c>
      <c r="W81" s="2" t="s">
        <v>16</v>
      </c>
      <c r="X81" s="2" t="s">
        <v>25</v>
      </c>
      <c r="Y81" s="2" t="s">
        <v>24</v>
      </c>
      <c r="Z81" s="2" t="s">
        <v>26</v>
      </c>
      <c r="AA81" s="2" t="s">
        <v>22</v>
      </c>
      <c r="AB81" s="2" t="s">
        <v>25</v>
      </c>
      <c r="AC81" s="2" t="s">
        <v>16</v>
      </c>
      <c r="AD81" s="2" t="s">
        <v>16</v>
      </c>
      <c r="AE81" s="2" t="s">
        <v>27</v>
      </c>
      <c r="AF81" s="2" t="s">
        <v>26</v>
      </c>
      <c r="AG81" s="2" t="s">
        <v>24</v>
      </c>
      <c r="AH81" s="2" t="s">
        <v>16</v>
      </c>
      <c r="AI81" s="2" t="s">
        <v>20</v>
      </c>
      <c r="AJ81" s="2" t="s">
        <v>16</v>
      </c>
      <c r="AK81" s="2" t="s">
        <v>28</v>
      </c>
      <c r="AL81" s="2" t="s">
        <v>24</v>
      </c>
    </row>
    <row r="82" ht="14.25" customHeight="1">
      <c r="A82" s="17">
        <v>45582.0</v>
      </c>
      <c r="B82" s="2" t="s">
        <v>31</v>
      </c>
      <c r="C82" s="2" t="s">
        <v>31</v>
      </c>
      <c r="D82" s="2" t="s">
        <v>31</v>
      </c>
      <c r="E82" s="2" t="s">
        <v>31</v>
      </c>
      <c r="F82" s="2" t="s">
        <v>31</v>
      </c>
      <c r="G82" s="2" t="s">
        <v>31</v>
      </c>
      <c r="H82" s="2" t="s">
        <v>31</v>
      </c>
      <c r="I82" s="2" t="s">
        <v>31</v>
      </c>
      <c r="J82" s="2" t="s">
        <v>31</v>
      </c>
      <c r="K82" s="2" t="s">
        <v>31</v>
      </c>
      <c r="L82" s="2" t="s">
        <v>31</v>
      </c>
      <c r="M82" s="2" t="s">
        <v>31</v>
      </c>
      <c r="N82" s="2" t="s">
        <v>31</v>
      </c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2" t="s">
        <v>22</v>
      </c>
      <c r="V82" s="2" t="s">
        <v>16</v>
      </c>
      <c r="W82" s="2" t="s">
        <v>16</v>
      </c>
      <c r="X82" s="2" t="s">
        <v>21</v>
      </c>
      <c r="Y82" s="2" t="s">
        <v>25</v>
      </c>
      <c r="Z82" s="2" t="s">
        <v>21</v>
      </c>
      <c r="AA82" s="2" t="s">
        <v>16</v>
      </c>
      <c r="AB82" s="2" t="s">
        <v>25</v>
      </c>
      <c r="AC82" s="2" t="s">
        <v>22</v>
      </c>
      <c r="AD82" s="2" t="s">
        <v>16</v>
      </c>
      <c r="AE82" s="2" t="s">
        <v>26</v>
      </c>
      <c r="AF82" s="2" t="s">
        <v>23</v>
      </c>
      <c r="AG82" s="2" t="s">
        <v>28</v>
      </c>
      <c r="AH82" s="2" t="s">
        <v>28</v>
      </c>
      <c r="AI82" s="2" t="s">
        <v>17</v>
      </c>
      <c r="AJ82" s="2" t="s">
        <v>21</v>
      </c>
      <c r="AK82" s="2" t="s">
        <v>26</v>
      </c>
      <c r="AL82" s="2" t="s">
        <v>21</v>
      </c>
    </row>
    <row r="83" ht="14.25" customHeight="1">
      <c r="A83" s="17">
        <v>45583.0</v>
      </c>
      <c r="B83" s="2" t="s">
        <v>31</v>
      </c>
      <c r="C83" s="2" t="s">
        <v>31</v>
      </c>
      <c r="D83" s="2" t="s">
        <v>31</v>
      </c>
      <c r="E83" s="2" t="s">
        <v>31</v>
      </c>
      <c r="F83" s="2" t="s">
        <v>31</v>
      </c>
      <c r="G83" s="2" t="s">
        <v>31</v>
      </c>
      <c r="H83" s="2" t="s">
        <v>31</v>
      </c>
      <c r="I83" s="2" t="s">
        <v>31</v>
      </c>
      <c r="J83" s="2" t="s">
        <v>31</v>
      </c>
      <c r="K83" s="2" t="s">
        <v>31</v>
      </c>
      <c r="L83" s="2" t="s">
        <v>31</v>
      </c>
      <c r="M83" s="2" t="s">
        <v>31</v>
      </c>
      <c r="N83" s="2" t="s">
        <v>31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2" t="s">
        <v>20</v>
      </c>
      <c r="V83" s="2" t="s">
        <v>19</v>
      </c>
      <c r="W83" s="2" t="s">
        <v>23</v>
      </c>
      <c r="X83" s="2" t="s">
        <v>20</v>
      </c>
      <c r="Y83" s="2" t="s">
        <v>27</v>
      </c>
      <c r="Z83" s="2" t="s">
        <v>24</v>
      </c>
      <c r="AA83" s="2" t="s">
        <v>16</v>
      </c>
      <c r="AB83" s="2" t="s">
        <v>25</v>
      </c>
      <c r="AC83" s="2" t="s">
        <v>26</v>
      </c>
      <c r="AD83" s="2" t="s">
        <v>17</v>
      </c>
      <c r="AE83" s="2" t="s">
        <v>23</v>
      </c>
      <c r="AF83" s="2" t="s">
        <v>28</v>
      </c>
      <c r="AG83" s="2" t="s">
        <v>24</v>
      </c>
      <c r="AH83" s="2" t="s">
        <v>16</v>
      </c>
      <c r="AI83" s="2" t="s">
        <v>22</v>
      </c>
      <c r="AJ83" s="2" t="s">
        <v>28</v>
      </c>
      <c r="AK83" s="2" t="s">
        <v>17</v>
      </c>
      <c r="AL83" s="2" t="s">
        <v>19</v>
      </c>
    </row>
    <row r="84" ht="14.25" customHeight="1">
      <c r="A84" s="17">
        <v>45584.0</v>
      </c>
      <c r="B84" s="2" t="s">
        <v>16</v>
      </c>
      <c r="C84" s="2" t="s">
        <v>34</v>
      </c>
      <c r="D84" s="2" t="s">
        <v>26</v>
      </c>
      <c r="E84" s="2" t="s">
        <v>26</v>
      </c>
      <c r="F84" s="2" t="s">
        <v>43</v>
      </c>
      <c r="G84" s="2" t="s">
        <v>21</v>
      </c>
      <c r="H84" s="2" t="s">
        <v>33</v>
      </c>
      <c r="I84" s="2" t="s">
        <v>18</v>
      </c>
      <c r="J84" s="2" t="s">
        <v>37</v>
      </c>
      <c r="K84" s="2" t="s">
        <v>35</v>
      </c>
      <c r="L84" s="2" t="s">
        <v>16</v>
      </c>
      <c r="M84" s="2" t="s">
        <v>24</v>
      </c>
      <c r="N84" s="2" t="s">
        <v>16</v>
      </c>
      <c r="O84" s="2" t="s">
        <v>24</v>
      </c>
      <c r="P84" s="2" t="s">
        <v>16</v>
      </c>
      <c r="Q84" s="2" t="s">
        <v>16</v>
      </c>
      <c r="R84" s="2" t="s">
        <v>20</v>
      </c>
      <c r="S84" s="2" t="s">
        <v>21</v>
      </c>
      <c r="T84" s="2" t="s">
        <v>29</v>
      </c>
      <c r="U84" s="2" t="s">
        <v>19</v>
      </c>
      <c r="V84" s="2" t="s">
        <v>24</v>
      </c>
      <c r="W84" s="2" t="s">
        <v>28</v>
      </c>
      <c r="X84" s="2" t="s">
        <v>21</v>
      </c>
      <c r="Y84" s="2" t="s">
        <v>27</v>
      </c>
      <c r="Z84" s="2" t="s">
        <v>16</v>
      </c>
      <c r="AA84" s="2" t="s">
        <v>16</v>
      </c>
      <c r="AB84" s="2" t="s">
        <v>25</v>
      </c>
      <c r="AC84" s="2" t="s">
        <v>16</v>
      </c>
      <c r="AD84" s="2" t="s">
        <v>22</v>
      </c>
      <c r="AE84" s="2" t="s">
        <v>19</v>
      </c>
      <c r="AF84" s="2" t="s">
        <v>26</v>
      </c>
      <c r="AG84" s="2" t="s">
        <v>16</v>
      </c>
      <c r="AH84" s="2" t="s">
        <v>16</v>
      </c>
      <c r="AI84" s="2" t="s">
        <v>22</v>
      </c>
      <c r="AJ84" s="2" t="s">
        <v>16</v>
      </c>
      <c r="AK84" s="2" t="s">
        <v>19</v>
      </c>
      <c r="AL84" s="2" t="s">
        <v>24</v>
      </c>
    </row>
    <row r="85" ht="14.25" customHeight="1">
      <c r="A85" s="17">
        <v>45585.0</v>
      </c>
      <c r="B85" s="2" t="s">
        <v>31</v>
      </c>
      <c r="C85" s="2" t="s">
        <v>31</v>
      </c>
      <c r="D85" s="2" t="s">
        <v>31</v>
      </c>
      <c r="E85" s="2" t="s">
        <v>31</v>
      </c>
      <c r="F85" s="2" t="s">
        <v>31</v>
      </c>
      <c r="G85" s="2" t="s">
        <v>31</v>
      </c>
      <c r="H85" s="2" t="s">
        <v>31</v>
      </c>
      <c r="I85" s="2" t="s">
        <v>31</v>
      </c>
      <c r="J85" s="2" t="s">
        <v>31</v>
      </c>
      <c r="K85" s="2" t="s">
        <v>31</v>
      </c>
      <c r="L85" s="2" t="s">
        <v>31</v>
      </c>
      <c r="M85" s="2" t="s">
        <v>31</v>
      </c>
      <c r="N85" s="2" t="s">
        <v>31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2" t="s">
        <v>28</v>
      </c>
      <c r="V85" s="2" t="s">
        <v>16</v>
      </c>
      <c r="W85" s="2" t="s">
        <v>27</v>
      </c>
      <c r="X85" s="2" t="s">
        <v>17</v>
      </c>
      <c r="Y85" s="2" t="s">
        <v>17</v>
      </c>
      <c r="Z85" s="2" t="s">
        <v>22</v>
      </c>
      <c r="AA85" s="2" t="s">
        <v>19</v>
      </c>
      <c r="AB85" s="2" t="s">
        <v>26</v>
      </c>
      <c r="AC85" s="2" t="s">
        <v>20</v>
      </c>
      <c r="AD85" s="2" t="s">
        <v>20</v>
      </c>
      <c r="AE85" s="2" t="s">
        <v>17</v>
      </c>
      <c r="AF85" s="2" t="s">
        <v>28</v>
      </c>
      <c r="AG85" s="2" t="s">
        <v>23</v>
      </c>
      <c r="AH85" s="2" t="s">
        <v>24</v>
      </c>
      <c r="AI85" s="2" t="s">
        <v>25</v>
      </c>
      <c r="AJ85" s="2" t="s">
        <v>21</v>
      </c>
      <c r="AK85" s="2" t="s">
        <v>16</v>
      </c>
      <c r="AL85" s="2" t="s">
        <v>19</v>
      </c>
    </row>
    <row r="86" ht="14.25" customHeight="1">
      <c r="A86" s="17">
        <v>45586.0</v>
      </c>
      <c r="B86" s="2" t="s">
        <v>31</v>
      </c>
      <c r="C86" s="2" t="s">
        <v>31</v>
      </c>
      <c r="D86" s="2" t="s">
        <v>31</v>
      </c>
      <c r="E86" s="2" t="s">
        <v>31</v>
      </c>
      <c r="F86" s="2" t="s">
        <v>31</v>
      </c>
      <c r="G86" s="2" t="s">
        <v>31</v>
      </c>
      <c r="H86" s="2" t="s">
        <v>31</v>
      </c>
      <c r="I86" s="2" t="s">
        <v>31</v>
      </c>
      <c r="J86" s="2" t="s">
        <v>31</v>
      </c>
      <c r="K86" s="2" t="s">
        <v>31</v>
      </c>
      <c r="L86" s="2" t="s">
        <v>31</v>
      </c>
      <c r="M86" s="2" t="s">
        <v>31</v>
      </c>
      <c r="N86" s="2" t="s">
        <v>31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2" t="s">
        <v>19</v>
      </c>
      <c r="V86" s="2" t="s">
        <v>19</v>
      </c>
      <c r="W86" s="2" t="s">
        <v>16</v>
      </c>
      <c r="X86" s="2" t="s">
        <v>16</v>
      </c>
      <c r="Y86" s="2" t="s">
        <v>19</v>
      </c>
      <c r="Z86" s="2" t="s">
        <v>20</v>
      </c>
      <c r="AA86" s="2" t="s">
        <v>28</v>
      </c>
      <c r="AB86" s="2" t="s">
        <v>16</v>
      </c>
      <c r="AC86" s="2" t="s">
        <v>18</v>
      </c>
      <c r="AD86" s="2" t="s">
        <v>24</v>
      </c>
      <c r="AE86" s="2" t="s">
        <v>25</v>
      </c>
      <c r="AF86" s="2" t="s">
        <v>24</v>
      </c>
      <c r="AG86" s="2" t="s">
        <v>16</v>
      </c>
      <c r="AH86" s="2" t="s">
        <v>18</v>
      </c>
      <c r="AI86" s="2" t="s">
        <v>27</v>
      </c>
      <c r="AJ86" s="2" t="s">
        <v>22</v>
      </c>
      <c r="AK86" s="2" t="s">
        <v>20</v>
      </c>
      <c r="AL86" s="2" t="s">
        <v>16</v>
      </c>
    </row>
    <row r="87" ht="14.25" customHeight="1">
      <c r="A87" s="17">
        <v>45587.0</v>
      </c>
      <c r="B87" s="2" t="s">
        <v>31</v>
      </c>
      <c r="C87" s="2" t="s">
        <v>31</v>
      </c>
      <c r="D87" s="2" t="s">
        <v>31</v>
      </c>
      <c r="E87" s="2" t="s">
        <v>31</v>
      </c>
      <c r="F87" s="2" t="s">
        <v>31</v>
      </c>
      <c r="G87" s="2" t="s">
        <v>31</v>
      </c>
      <c r="H87" s="2" t="s">
        <v>31</v>
      </c>
      <c r="I87" s="2" t="s">
        <v>31</v>
      </c>
      <c r="J87" s="2" t="s">
        <v>31</v>
      </c>
      <c r="K87" s="2" t="s">
        <v>31</v>
      </c>
      <c r="L87" s="2" t="s">
        <v>31</v>
      </c>
      <c r="M87" s="2" t="s">
        <v>31</v>
      </c>
      <c r="N87" s="2" t="s">
        <v>31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2" t="s">
        <v>16</v>
      </c>
      <c r="V87" s="2" t="s">
        <v>24</v>
      </c>
      <c r="W87" s="2" t="s">
        <v>26</v>
      </c>
      <c r="X87" s="2" t="s">
        <v>22</v>
      </c>
      <c r="Y87" s="2" t="s">
        <v>19</v>
      </c>
      <c r="Z87" s="2" t="s">
        <v>27</v>
      </c>
      <c r="AA87" s="2" t="s">
        <v>25</v>
      </c>
      <c r="AB87" s="2" t="s">
        <v>16</v>
      </c>
      <c r="AC87" s="2" t="s">
        <v>16</v>
      </c>
      <c r="AD87" s="2" t="s">
        <v>20</v>
      </c>
      <c r="AE87" s="2" t="s">
        <v>16</v>
      </c>
      <c r="AF87" s="2" t="s">
        <v>27</v>
      </c>
      <c r="AG87" s="2" t="s">
        <v>28</v>
      </c>
      <c r="AH87" s="2" t="s">
        <v>16</v>
      </c>
      <c r="AI87" s="2" t="s">
        <v>16</v>
      </c>
      <c r="AJ87" s="2" t="s">
        <v>16</v>
      </c>
      <c r="AK87" s="2" t="s">
        <v>28</v>
      </c>
      <c r="AL87" s="2" t="s">
        <v>26</v>
      </c>
    </row>
    <row r="88" ht="14.25" customHeight="1">
      <c r="A88" s="17">
        <v>45588.0</v>
      </c>
      <c r="B88" s="2" t="s">
        <v>31</v>
      </c>
      <c r="C88" s="2" t="s">
        <v>31</v>
      </c>
      <c r="D88" s="2" t="s">
        <v>31</v>
      </c>
      <c r="E88" s="2" t="s">
        <v>31</v>
      </c>
      <c r="F88" s="2" t="s">
        <v>31</v>
      </c>
      <c r="G88" s="2" t="s">
        <v>31</v>
      </c>
      <c r="H88" s="2" t="s">
        <v>31</v>
      </c>
      <c r="I88" s="2" t="s">
        <v>31</v>
      </c>
      <c r="J88" s="2" t="s">
        <v>31</v>
      </c>
      <c r="K88" s="2" t="s">
        <v>31</v>
      </c>
      <c r="L88" s="2" t="s">
        <v>31</v>
      </c>
      <c r="M88" s="2" t="s">
        <v>31</v>
      </c>
      <c r="N88" s="2" t="s">
        <v>31</v>
      </c>
      <c r="O88" s="2" t="s">
        <v>31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2" t="s">
        <v>19</v>
      </c>
      <c r="V88" s="2" t="s">
        <v>16</v>
      </c>
      <c r="W88" s="2" t="s">
        <v>24</v>
      </c>
      <c r="X88" s="2" t="s">
        <v>27</v>
      </c>
      <c r="Y88" s="2" t="s">
        <v>16</v>
      </c>
      <c r="Z88" s="2" t="s">
        <v>16</v>
      </c>
      <c r="AA88" s="2" t="s">
        <v>28</v>
      </c>
      <c r="AB88" s="2" t="s">
        <v>16</v>
      </c>
      <c r="AC88" s="2" t="s">
        <v>23</v>
      </c>
      <c r="AD88" s="2" t="s">
        <v>16</v>
      </c>
      <c r="AE88" s="2" t="s">
        <v>21</v>
      </c>
      <c r="AF88" s="2" t="s">
        <v>24</v>
      </c>
      <c r="AG88" s="2" t="s">
        <v>16</v>
      </c>
      <c r="AH88" s="2" t="s">
        <v>27</v>
      </c>
      <c r="AI88" s="2" t="s">
        <v>17</v>
      </c>
      <c r="AJ88" s="2" t="s">
        <v>17</v>
      </c>
      <c r="AK88" s="2" t="s">
        <v>19</v>
      </c>
      <c r="AL88" s="2" t="s">
        <v>27</v>
      </c>
    </row>
    <row r="89" ht="14.25" customHeight="1">
      <c r="A89" s="17">
        <v>45589.0</v>
      </c>
      <c r="B89" s="2" t="s">
        <v>31</v>
      </c>
      <c r="C89" s="2" t="s">
        <v>31</v>
      </c>
      <c r="D89" s="2" t="s">
        <v>31</v>
      </c>
      <c r="E89" s="2" t="s">
        <v>31</v>
      </c>
      <c r="F89" s="2" t="s">
        <v>31</v>
      </c>
      <c r="G89" s="2" t="s">
        <v>31</v>
      </c>
      <c r="H89" s="2" t="s">
        <v>31</v>
      </c>
      <c r="I89" s="2" t="s">
        <v>31</v>
      </c>
      <c r="J89" s="2" t="s">
        <v>31</v>
      </c>
      <c r="K89" s="2" t="s">
        <v>31</v>
      </c>
      <c r="L89" s="2" t="s">
        <v>31</v>
      </c>
      <c r="M89" s="2" t="s">
        <v>31</v>
      </c>
      <c r="N89" s="2" t="s">
        <v>31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2" t="s">
        <v>20</v>
      </c>
      <c r="V89" s="2" t="s">
        <v>18</v>
      </c>
      <c r="W89" s="2" t="s">
        <v>16</v>
      </c>
      <c r="X89" s="2" t="s">
        <v>20</v>
      </c>
      <c r="Y89" s="2" t="s">
        <v>25</v>
      </c>
      <c r="Z89" s="2" t="s">
        <v>17</v>
      </c>
      <c r="AA89" s="2" t="s">
        <v>18</v>
      </c>
      <c r="AB89" s="2" t="s">
        <v>18</v>
      </c>
      <c r="AC89" s="2" t="s">
        <v>16</v>
      </c>
      <c r="AD89" s="2" t="s">
        <v>16</v>
      </c>
      <c r="AE89" s="2" t="s">
        <v>28</v>
      </c>
      <c r="AF89" s="2" t="s">
        <v>25</v>
      </c>
      <c r="AG89" s="2" t="s">
        <v>24</v>
      </c>
      <c r="AH89" s="2" t="s">
        <v>16</v>
      </c>
      <c r="AI89" s="2" t="s">
        <v>21</v>
      </c>
      <c r="AJ89" s="2" t="s">
        <v>19</v>
      </c>
      <c r="AK89" s="2" t="s">
        <v>16</v>
      </c>
      <c r="AL89" s="2" t="s">
        <v>16</v>
      </c>
    </row>
    <row r="90" ht="14.25" customHeight="1">
      <c r="A90" s="17">
        <v>45590.0</v>
      </c>
      <c r="B90" s="2" t="s">
        <v>31</v>
      </c>
      <c r="C90" s="2" t="s">
        <v>31</v>
      </c>
      <c r="D90" s="2" t="s">
        <v>31</v>
      </c>
      <c r="E90" s="2" t="s">
        <v>31</v>
      </c>
      <c r="F90" s="2" t="s">
        <v>31</v>
      </c>
      <c r="G90" s="2" t="s">
        <v>31</v>
      </c>
      <c r="H90" s="2" t="s">
        <v>31</v>
      </c>
      <c r="I90" s="2" t="s">
        <v>31</v>
      </c>
      <c r="J90" s="2" t="s">
        <v>31</v>
      </c>
      <c r="K90" s="2" t="s">
        <v>31</v>
      </c>
      <c r="L90" s="2" t="s">
        <v>31</v>
      </c>
      <c r="M90" s="2" t="s">
        <v>31</v>
      </c>
      <c r="N90" s="2" t="s">
        <v>31</v>
      </c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2" t="s">
        <v>16</v>
      </c>
      <c r="V90" s="2" t="s">
        <v>25</v>
      </c>
      <c r="W90" s="2" t="s">
        <v>16</v>
      </c>
      <c r="X90" s="2" t="s">
        <v>21</v>
      </c>
      <c r="Y90" s="2" t="s">
        <v>24</v>
      </c>
      <c r="Z90" s="2" t="s">
        <v>23</v>
      </c>
      <c r="AA90" s="2" t="s">
        <v>24</v>
      </c>
      <c r="AB90" s="2" t="s">
        <v>17</v>
      </c>
      <c r="AC90" s="2" t="s">
        <v>20</v>
      </c>
      <c r="AD90" s="2" t="s">
        <v>16</v>
      </c>
      <c r="AE90" s="2" t="s">
        <v>18</v>
      </c>
      <c r="AF90" s="2" t="s">
        <v>17</v>
      </c>
      <c r="AG90" s="2" t="s">
        <v>24</v>
      </c>
      <c r="AH90" s="2" t="s">
        <v>27</v>
      </c>
      <c r="AI90" s="2" t="s">
        <v>25</v>
      </c>
      <c r="AJ90" s="2" t="s">
        <v>21</v>
      </c>
      <c r="AK90" s="2" t="s">
        <v>19</v>
      </c>
      <c r="AL90" s="2" t="s">
        <v>16</v>
      </c>
    </row>
    <row r="91" ht="14.25" customHeight="1">
      <c r="A91" s="17">
        <v>45591.0</v>
      </c>
      <c r="B91" s="2" t="s">
        <v>42</v>
      </c>
      <c r="C91" s="2" t="s">
        <v>25</v>
      </c>
      <c r="D91" s="2" t="s">
        <v>37</v>
      </c>
      <c r="E91" s="2" t="s">
        <v>16</v>
      </c>
      <c r="F91" s="2" t="s">
        <v>17</v>
      </c>
      <c r="G91" s="2" t="s">
        <v>16</v>
      </c>
      <c r="H91" s="2" t="s">
        <v>20</v>
      </c>
      <c r="I91" s="2" t="s">
        <v>37</v>
      </c>
      <c r="J91" s="2" t="s">
        <v>16</v>
      </c>
      <c r="K91" s="2" t="s">
        <v>21</v>
      </c>
      <c r="L91" s="2" t="s">
        <v>38</v>
      </c>
      <c r="M91" s="2" t="s">
        <v>28</v>
      </c>
      <c r="N91" s="2" t="s">
        <v>27</v>
      </c>
      <c r="O91" s="2" t="s">
        <v>24</v>
      </c>
      <c r="P91" s="2" t="s">
        <v>18</v>
      </c>
      <c r="Q91" s="2" t="s">
        <v>16</v>
      </c>
      <c r="R91" s="2" t="s">
        <v>16</v>
      </c>
      <c r="S91" s="2" t="s">
        <v>21</v>
      </c>
      <c r="T91" s="2" t="s">
        <v>16</v>
      </c>
      <c r="U91" s="2" t="s">
        <v>28</v>
      </c>
      <c r="V91" s="2" t="s">
        <v>24</v>
      </c>
      <c r="W91" s="2" t="s">
        <v>16</v>
      </c>
      <c r="X91" s="2" t="s">
        <v>16</v>
      </c>
      <c r="Y91" s="2" t="s">
        <v>21</v>
      </c>
      <c r="Z91" s="2" t="s">
        <v>24</v>
      </c>
      <c r="AA91" s="2" t="s">
        <v>22</v>
      </c>
      <c r="AB91" s="2" t="s">
        <v>16</v>
      </c>
      <c r="AC91" s="2" t="s">
        <v>16</v>
      </c>
      <c r="AD91" s="2" t="s">
        <v>21</v>
      </c>
      <c r="AE91" s="2" t="s">
        <v>27</v>
      </c>
      <c r="AF91" s="2" t="s">
        <v>22</v>
      </c>
      <c r="AG91" s="2" t="s">
        <v>28</v>
      </c>
      <c r="AH91" s="2" t="s">
        <v>25</v>
      </c>
      <c r="AI91" s="2" t="s">
        <v>21</v>
      </c>
      <c r="AJ91" s="2" t="s">
        <v>19</v>
      </c>
      <c r="AK91" s="2" t="s">
        <v>21</v>
      </c>
      <c r="AL91" s="2" t="s">
        <v>16</v>
      </c>
    </row>
    <row r="92" ht="14.25" customHeight="1">
      <c r="A92" s="17">
        <v>45592.0</v>
      </c>
      <c r="B92" s="2" t="s">
        <v>31</v>
      </c>
      <c r="C92" s="2" t="s">
        <v>31</v>
      </c>
      <c r="D92" s="2" t="s">
        <v>31</v>
      </c>
      <c r="E92" s="2" t="s">
        <v>31</v>
      </c>
      <c r="F92" s="2" t="s">
        <v>31</v>
      </c>
      <c r="G92" s="2" t="s">
        <v>31</v>
      </c>
      <c r="H92" s="2" t="s">
        <v>31</v>
      </c>
      <c r="I92" s="2" t="s">
        <v>31</v>
      </c>
      <c r="J92" s="2" t="s">
        <v>31</v>
      </c>
      <c r="K92" s="2" t="s">
        <v>31</v>
      </c>
      <c r="L92" s="2" t="s">
        <v>31</v>
      </c>
      <c r="M92" s="2" t="s">
        <v>31</v>
      </c>
      <c r="N92" s="2" t="s">
        <v>31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2" t="s">
        <v>19</v>
      </c>
      <c r="V92" s="2" t="s">
        <v>20</v>
      </c>
      <c r="W92" s="2" t="s">
        <v>16</v>
      </c>
      <c r="X92" s="2" t="s">
        <v>22</v>
      </c>
      <c r="Y92" s="2" t="s">
        <v>16</v>
      </c>
      <c r="Z92" s="2" t="s">
        <v>16</v>
      </c>
      <c r="AA92" s="2" t="s">
        <v>20</v>
      </c>
      <c r="AB92" s="2" t="s">
        <v>25</v>
      </c>
      <c r="AC92" s="2" t="s">
        <v>16</v>
      </c>
      <c r="AD92" s="2" t="s">
        <v>16</v>
      </c>
      <c r="AE92" s="2" t="s">
        <v>18</v>
      </c>
      <c r="AF92" s="2" t="s">
        <v>20</v>
      </c>
      <c r="AG92" s="2" t="s">
        <v>20</v>
      </c>
      <c r="AH92" s="2" t="s">
        <v>17</v>
      </c>
      <c r="AI92" s="2" t="s">
        <v>21</v>
      </c>
      <c r="AJ92" s="2" t="s">
        <v>16</v>
      </c>
      <c r="AK92" s="2" t="s">
        <v>16</v>
      </c>
      <c r="AL92" s="2" t="s">
        <v>22</v>
      </c>
    </row>
    <row r="93" ht="14.25" customHeight="1">
      <c r="A93" s="17">
        <v>45593.0</v>
      </c>
      <c r="B93" s="2" t="s">
        <v>31</v>
      </c>
      <c r="C93" s="2" t="s">
        <v>31</v>
      </c>
      <c r="D93" s="2" t="s">
        <v>31</v>
      </c>
      <c r="E93" s="2" t="s">
        <v>31</v>
      </c>
      <c r="F93" s="2" t="s">
        <v>31</v>
      </c>
      <c r="G93" s="2" t="s">
        <v>31</v>
      </c>
      <c r="H93" s="2" t="s">
        <v>31</v>
      </c>
      <c r="I93" s="2" t="s">
        <v>31</v>
      </c>
      <c r="J93" s="2" t="s">
        <v>31</v>
      </c>
      <c r="K93" s="2" t="s">
        <v>31</v>
      </c>
      <c r="L93" s="2" t="s">
        <v>31</v>
      </c>
      <c r="M93" s="2" t="s">
        <v>31</v>
      </c>
      <c r="N93" s="2" t="s">
        <v>31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2" t="s">
        <v>21</v>
      </c>
      <c r="V93" s="2" t="s">
        <v>16</v>
      </c>
      <c r="W93" s="2" t="s">
        <v>16</v>
      </c>
      <c r="X93" s="2" t="s">
        <v>25</v>
      </c>
      <c r="Y93" s="2" t="s">
        <v>17</v>
      </c>
      <c r="Z93" s="2" t="s">
        <v>26</v>
      </c>
      <c r="AA93" s="2" t="s">
        <v>26</v>
      </c>
      <c r="AB93" s="2" t="s">
        <v>18</v>
      </c>
      <c r="AC93" s="2" t="s">
        <v>21</v>
      </c>
      <c r="AD93" s="2" t="s">
        <v>16</v>
      </c>
      <c r="AE93" s="2" t="s">
        <v>16</v>
      </c>
      <c r="AF93" s="2" t="s">
        <v>25</v>
      </c>
      <c r="AG93" s="2" t="s">
        <v>16</v>
      </c>
      <c r="AH93" s="2" t="s">
        <v>27</v>
      </c>
      <c r="AI93" s="2" t="s">
        <v>24</v>
      </c>
      <c r="AJ93" s="2" t="s">
        <v>27</v>
      </c>
      <c r="AK93" s="2" t="s">
        <v>16</v>
      </c>
      <c r="AL93" s="2" t="s">
        <v>19</v>
      </c>
    </row>
    <row r="94" ht="14.25" customHeight="1">
      <c r="A94" s="17">
        <v>45594.0</v>
      </c>
      <c r="B94" s="2" t="s">
        <v>31</v>
      </c>
      <c r="C94" s="2" t="s">
        <v>31</v>
      </c>
      <c r="D94" s="2" t="s">
        <v>31</v>
      </c>
      <c r="E94" s="2" t="s">
        <v>31</v>
      </c>
      <c r="F94" s="2" t="s">
        <v>31</v>
      </c>
      <c r="G94" s="2" t="s">
        <v>31</v>
      </c>
      <c r="H94" s="2" t="s">
        <v>31</v>
      </c>
      <c r="I94" s="2" t="s">
        <v>31</v>
      </c>
      <c r="J94" s="2" t="s">
        <v>31</v>
      </c>
      <c r="K94" s="2" t="s">
        <v>31</v>
      </c>
      <c r="L94" s="2" t="s">
        <v>31</v>
      </c>
      <c r="M94" s="2" t="s">
        <v>31</v>
      </c>
      <c r="N94" s="2" t="s">
        <v>31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2" t="s">
        <v>19</v>
      </c>
      <c r="V94" s="2" t="s">
        <v>16</v>
      </c>
      <c r="W94" s="2" t="s">
        <v>19</v>
      </c>
      <c r="X94" s="2" t="s">
        <v>23</v>
      </c>
      <c r="Y94" s="2" t="s">
        <v>28</v>
      </c>
      <c r="Z94" s="2" t="s">
        <v>16</v>
      </c>
      <c r="AA94" s="2" t="s">
        <v>25</v>
      </c>
      <c r="AB94" s="2" t="s">
        <v>17</v>
      </c>
      <c r="AC94" s="2" t="s">
        <v>25</v>
      </c>
      <c r="AD94" s="2" t="s">
        <v>26</v>
      </c>
      <c r="AE94" s="2" t="s">
        <v>20</v>
      </c>
      <c r="AF94" s="2" t="s">
        <v>25</v>
      </c>
      <c r="AG94" s="2" t="s">
        <v>23</v>
      </c>
      <c r="AH94" s="2" t="s">
        <v>16</v>
      </c>
      <c r="AI94" s="2" t="s">
        <v>16</v>
      </c>
      <c r="AJ94" s="2" t="s">
        <v>20</v>
      </c>
      <c r="AK94" s="2" t="s">
        <v>16</v>
      </c>
      <c r="AL94" s="2" t="s">
        <v>28</v>
      </c>
    </row>
    <row r="95" ht="14.25" customHeight="1">
      <c r="A95" s="17">
        <v>45595.0</v>
      </c>
      <c r="B95" s="2" t="s">
        <v>31</v>
      </c>
      <c r="C95" s="2" t="s">
        <v>31</v>
      </c>
      <c r="D95" s="2" t="s">
        <v>31</v>
      </c>
      <c r="E95" s="2" t="s">
        <v>31</v>
      </c>
      <c r="F95" s="2" t="s">
        <v>31</v>
      </c>
      <c r="G95" s="2" t="s">
        <v>31</v>
      </c>
      <c r="H95" s="2" t="s">
        <v>31</v>
      </c>
      <c r="I95" s="2" t="s">
        <v>31</v>
      </c>
      <c r="J95" s="2" t="s">
        <v>31</v>
      </c>
      <c r="K95" s="2" t="s">
        <v>31</v>
      </c>
      <c r="L95" s="2" t="s">
        <v>31</v>
      </c>
      <c r="M95" s="2" t="s">
        <v>31</v>
      </c>
      <c r="N95" s="2" t="s">
        <v>31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2" t="s">
        <v>20</v>
      </c>
      <c r="V95" s="2" t="s">
        <v>27</v>
      </c>
      <c r="W95" s="2" t="s">
        <v>16</v>
      </c>
      <c r="X95" s="2" t="s">
        <v>16</v>
      </c>
      <c r="Y95" s="2" t="s">
        <v>16</v>
      </c>
      <c r="Z95" s="2" t="s">
        <v>19</v>
      </c>
      <c r="AA95" s="2" t="s">
        <v>16</v>
      </c>
      <c r="AB95" s="2" t="s">
        <v>27</v>
      </c>
      <c r="AC95" s="2" t="s">
        <v>25</v>
      </c>
      <c r="AD95" s="2" t="s">
        <v>16</v>
      </c>
      <c r="AE95" s="2" t="s">
        <v>16</v>
      </c>
      <c r="AF95" s="2" t="s">
        <v>16</v>
      </c>
      <c r="AG95" s="2" t="s">
        <v>16</v>
      </c>
      <c r="AH95" s="2" t="s">
        <v>19</v>
      </c>
      <c r="AI95" s="2" t="s">
        <v>22</v>
      </c>
      <c r="AJ95" s="2" t="s">
        <v>22</v>
      </c>
      <c r="AK95" s="2" t="s">
        <v>16</v>
      </c>
      <c r="AL95" s="2" t="s">
        <v>26</v>
      </c>
    </row>
    <row r="96" ht="14.25" customHeight="1">
      <c r="A96" s="17">
        <v>45596.0</v>
      </c>
      <c r="B96" s="2" t="s">
        <v>31</v>
      </c>
      <c r="C96" s="2" t="s">
        <v>31</v>
      </c>
      <c r="D96" s="2" t="s">
        <v>31</v>
      </c>
      <c r="E96" s="2" t="s">
        <v>31</v>
      </c>
      <c r="F96" s="2" t="s">
        <v>31</v>
      </c>
      <c r="G96" s="2" t="s">
        <v>31</v>
      </c>
      <c r="H96" s="2" t="s">
        <v>31</v>
      </c>
      <c r="I96" s="2" t="s">
        <v>31</v>
      </c>
      <c r="J96" s="2" t="s">
        <v>31</v>
      </c>
      <c r="K96" s="2" t="s">
        <v>31</v>
      </c>
      <c r="L96" s="2" t="s">
        <v>31</v>
      </c>
      <c r="M96" s="2" t="s">
        <v>31</v>
      </c>
      <c r="N96" s="2" t="s">
        <v>31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2" t="s">
        <v>27</v>
      </c>
      <c r="V96" s="2" t="s">
        <v>25</v>
      </c>
      <c r="W96" s="2" t="s">
        <v>28</v>
      </c>
      <c r="X96" s="2" t="s">
        <v>26</v>
      </c>
      <c r="Y96" s="2" t="s">
        <v>17</v>
      </c>
      <c r="Z96" s="2" t="s">
        <v>25</v>
      </c>
      <c r="AA96" s="2" t="s">
        <v>26</v>
      </c>
      <c r="AB96" s="2" t="s">
        <v>16</v>
      </c>
      <c r="AC96" s="2" t="s">
        <v>28</v>
      </c>
      <c r="AD96" s="2" t="s">
        <v>21</v>
      </c>
      <c r="AE96" s="2" t="s">
        <v>19</v>
      </c>
      <c r="AF96" s="2" t="s">
        <v>16</v>
      </c>
      <c r="AG96" s="2" t="s">
        <v>16</v>
      </c>
      <c r="AH96" s="2" t="s">
        <v>17</v>
      </c>
      <c r="AI96" s="2" t="s">
        <v>16</v>
      </c>
      <c r="AJ96" s="2" t="s">
        <v>17</v>
      </c>
      <c r="AK96" s="2" t="s">
        <v>24</v>
      </c>
      <c r="AL96" s="2" t="s">
        <v>20</v>
      </c>
    </row>
    <row r="97" ht="14.25" customHeight="1">
      <c r="A97" s="17">
        <v>45597.0</v>
      </c>
      <c r="B97" s="2" t="s">
        <v>31</v>
      </c>
      <c r="C97" s="2" t="s">
        <v>31</v>
      </c>
      <c r="D97" s="2" t="s">
        <v>31</v>
      </c>
      <c r="E97" s="2" t="s">
        <v>31</v>
      </c>
      <c r="F97" s="2" t="s">
        <v>31</v>
      </c>
      <c r="G97" s="2" t="s">
        <v>31</v>
      </c>
      <c r="H97" s="2" t="s">
        <v>31</v>
      </c>
      <c r="I97" s="2" t="s">
        <v>31</v>
      </c>
      <c r="J97" s="2" t="s">
        <v>31</v>
      </c>
      <c r="K97" s="2" t="s">
        <v>31</v>
      </c>
      <c r="L97" s="2" t="s">
        <v>31</v>
      </c>
      <c r="M97" s="2" t="s">
        <v>31</v>
      </c>
      <c r="N97" s="2" t="s">
        <v>31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2" t="s">
        <v>19</v>
      </c>
      <c r="V97" s="2" t="s">
        <v>24</v>
      </c>
      <c r="W97" s="2" t="s">
        <v>22</v>
      </c>
      <c r="X97" s="2" t="s">
        <v>18</v>
      </c>
      <c r="Y97" s="2" t="s">
        <v>24</v>
      </c>
      <c r="Z97" s="2" t="s">
        <v>17</v>
      </c>
      <c r="AA97" s="2" t="s">
        <v>22</v>
      </c>
      <c r="AB97" s="2" t="s">
        <v>26</v>
      </c>
      <c r="AC97" s="2" t="s">
        <v>24</v>
      </c>
      <c r="AD97" s="2" t="s">
        <v>16</v>
      </c>
      <c r="AE97" s="2" t="s">
        <v>26</v>
      </c>
      <c r="AF97" s="2" t="s">
        <v>16</v>
      </c>
      <c r="AG97" s="2" t="s">
        <v>25</v>
      </c>
      <c r="AH97" s="2" t="s">
        <v>19</v>
      </c>
      <c r="AI97" s="2" t="s">
        <v>16</v>
      </c>
      <c r="AJ97" s="2" t="s">
        <v>18</v>
      </c>
      <c r="AK97" s="2" t="s">
        <v>16</v>
      </c>
      <c r="AL97" s="2" t="s">
        <v>25</v>
      </c>
    </row>
    <row r="98" ht="14.25" customHeight="1">
      <c r="A98" s="17">
        <v>45598.0</v>
      </c>
      <c r="B98" s="2" t="s">
        <v>35</v>
      </c>
      <c r="C98" s="2" t="s">
        <v>40</v>
      </c>
      <c r="D98" s="2" t="s">
        <v>29</v>
      </c>
      <c r="E98" s="2" t="s">
        <v>16</v>
      </c>
      <c r="F98" s="2" t="s">
        <v>37</v>
      </c>
      <c r="G98" s="2" t="s">
        <v>37</v>
      </c>
      <c r="H98" s="2" t="s">
        <v>36</v>
      </c>
      <c r="I98" s="2" t="s">
        <v>16</v>
      </c>
      <c r="J98" s="2" t="s">
        <v>20</v>
      </c>
      <c r="K98" s="2" t="s">
        <v>25</v>
      </c>
      <c r="L98" s="2" t="s">
        <v>27</v>
      </c>
      <c r="M98" s="2" t="s">
        <v>16</v>
      </c>
      <c r="N98" s="2" t="s">
        <v>24</v>
      </c>
      <c r="O98" s="2" t="s">
        <v>30</v>
      </c>
      <c r="P98" s="2" t="s">
        <v>26</v>
      </c>
      <c r="Q98" s="2" t="s">
        <v>27</v>
      </c>
      <c r="R98" s="2" t="s">
        <v>17</v>
      </c>
      <c r="S98" s="2" t="s">
        <v>16</v>
      </c>
      <c r="T98" s="2" t="s">
        <v>30</v>
      </c>
      <c r="U98" s="2" t="s">
        <v>17</v>
      </c>
      <c r="V98" s="2" t="s">
        <v>16</v>
      </c>
      <c r="W98" s="2" t="s">
        <v>26</v>
      </c>
      <c r="X98" s="2" t="s">
        <v>27</v>
      </c>
      <c r="Y98" s="2" t="s">
        <v>17</v>
      </c>
      <c r="Z98" s="2" t="s">
        <v>21</v>
      </c>
      <c r="AA98" s="2" t="s">
        <v>26</v>
      </c>
      <c r="AB98" s="2" t="s">
        <v>20</v>
      </c>
      <c r="AC98" s="2" t="s">
        <v>16</v>
      </c>
      <c r="AD98" s="2" t="s">
        <v>19</v>
      </c>
      <c r="AE98" s="2" t="s">
        <v>20</v>
      </c>
      <c r="AF98" s="2" t="s">
        <v>16</v>
      </c>
      <c r="AG98" s="2" t="s">
        <v>20</v>
      </c>
      <c r="AH98" s="2" t="s">
        <v>24</v>
      </c>
      <c r="AI98" s="2" t="s">
        <v>16</v>
      </c>
      <c r="AJ98" s="2" t="s">
        <v>16</v>
      </c>
      <c r="AK98" s="2" t="s">
        <v>21</v>
      </c>
      <c r="AL98" s="2" t="s">
        <v>19</v>
      </c>
    </row>
    <row r="99" ht="14.25" customHeight="1">
      <c r="A99" s="17">
        <v>45599.0</v>
      </c>
      <c r="B99" s="2" t="s">
        <v>31</v>
      </c>
      <c r="C99" s="2" t="s">
        <v>31</v>
      </c>
      <c r="D99" s="2" t="s">
        <v>31</v>
      </c>
      <c r="E99" s="2" t="s">
        <v>31</v>
      </c>
      <c r="F99" s="2" t="s">
        <v>31</v>
      </c>
      <c r="G99" s="2" t="s">
        <v>31</v>
      </c>
      <c r="H99" s="2" t="s">
        <v>31</v>
      </c>
      <c r="I99" s="2" t="s">
        <v>31</v>
      </c>
      <c r="J99" s="2" t="s">
        <v>31</v>
      </c>
      <c r="K99" s="2" t="s">
        <v>31</v>
      </c>
      <c r="L99" s="2" t="s">
        <v>31</v>
      </c>
      <c r="M99" s="2" t="s">
        <v>31</v>
      </c>
      <c r="N99" s="2" t="s">
        <v>31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2" t="s">
        <v>19</v>
      </c>
      <c r="V99" s="2" t="s">
        <v>17</v>
      </c>
      <c r="W99" s="2" t="s">
        <v>28</v>
      </c>
      <c r="X99" s="2" t="s">
        <v>22</v>
      </c>
      <c r="Y99" s="2" t="s">
        <v>16</v>
      </c>
      <c r="Z99" s="2" t="s">
        <v>25</v>
      </c>
      <c r="AA99" s="2" t="s">
        <v>16</v>
      </c>
      <c r="AB99" s="2" t="s">
        <v>27</v>
      </c>
      <c r="AC99" s="2" t="s">
        <v>22</v>
      </c>
      <c r="AD99" s="2" t="s">
        <v>25</v>
      </c>
      <c r="AE99" s="2" t="s">
        <v>16</v>
      </c>
      <c r="AF99" s="2" t="s">
        <v>16</v>
      </c>
      <c r="AG99" s="2" t="s">
        <v>22</v>
      </c>
      <c r="AH99" s="2" t="s">
        <v>22</v>
      </c>
      <c r="AI99" s="2" t="s">
        <v>16</v>
      </c>
      <c r="AJ99" s="2" t="s">
        <v>22</v>
      </c>
      <c r="AK99" s="2" t="s">
        <v>24</v>
      </c>
      <c r="AL99" s="2" t="s">
        <v>26</v>
      </c>
    </row>
    <row r="100" ht="14.25" customHeight="1">
      <c r="A100" s="17">
        <v>45600.0</v>
      </c>
      <c r="B100" s="2" t="s">
        <v>31</v>
      </c>
      <c r="C100" s="2" t="s">
        <v>31</v>
      </c>
      <c r="D100" s="2" t="s">
        <v>31</v>
      </c>
      <c r="E100" s="2" t="s">
        <v>31</v>
      </c>
      <c r="F100" s="2" t="s">
        <v>31</v>
      </c>
      <c r="G100" s="2" t="s">
        <v>31</v>
      </c>
      <c r="H100" s="2" t="s">
        <v>31</v>
      </c>
      <c r="I100" s="2" t="s">
        <v>31</v>
      </c>
      <c r="J100" s="2" t="s">
        <v>31</v>
      </c>
      <c r="K100" s="2" t="s">
        <v>31</v>
      </c>
      <c r="L100" s="2" t="s">
        <v>31</v>
      </c>
      <c r="M100" s="2" t="s">
        <v>31</v>
      </c>
      <c r="N100" s="2" t="s">
        <v>31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2" t="s">
        <v>19</v>
      </c>
      <c r="V100" s="2" t="s">
        <v>16</v>
      </c>
      <c r="W100" s="2" t="s">
        <v>21</v>
      </c>
      <c r="X100" s="2" t="s">
        <v>19</v>
      </c>
      <c r="Y100" s="2" t="s">
        <v>21</v>
      </c>
      <c r="Z100" s="2" t="s">
        <v>16</v>
      </c>
      <c r="AA100" s="2" t="s">
        <v>22</v>
      </c>
      <c r="AB100" s="2" t="s">
        <v>19</v>
      </c>
      <c r="AC100" s="2" t="s">
        <v>28</v>
      </c>
      <c r="AD100" s="2" t="s">
        <v>16</v>
      </c>
      <c r="AE100" s="2" t="s">
        <v>24</v>
      </c>
      <c r="AF100" s="2" t="s">
        <v>24</v>
      </c>
      <c r="AG100" s="2" t="s">
        <v>16</v>
      </c>
      <c r="AH100" s="2" t="s">
        <v>18</v>
      </c>
      <c r="AI100" s="2" t="s">
        <v>16</v>
      </c>
      <c r="AJ100" s="2" t="s">
        <v>25</v>
      </c>
      <c r="AK100" s="2" t="s">
        <v>20</v>
      </c>
      <c r="AL100" s="2" t="s">
        <v>19</v>
      </c>
    </row>
    <row r="101" ht="14.25" customHeight="1">
      <c r="A101" s="17">
        <v>45601.0</v>
      </c>
      <c r="B101" s="2" t="s">
        <v>31</v>
      </c>
      <c r="C101" s="2" t="s">
        <v>31</v>
      </c>
      <c r="D101" s="2" t="s">
        <v>31</v>
      </c>
      <c r="E101" s="2" t="s">
        <v>31</v>
      </c>
      <c r="F101" s="2" t="s">
        <v>31</v>
      </c>
      <c r="G101" s="2" t="s">
        <v>31</v>
      </c>
      <c r="H101" s="2" t="s">
        <v>31</v>
      </c>
      <c r="I101" s="2" t="s">
        <v>31</v>
      </c>
      <c r="J101" s="2" t="s">
        <v>31</v>
      </c>
      <c r="K101" s="2" t="s">
        <v>31</v>
      </c>
      <c r="L101" s="2" t="s">
        <v>31</v>
      </c>
      <c r="M101" s="2" t="s">
        <v>31</v>
      </c>
      <c r="N101" s="2" t="s">
        <v>31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2" t="s">
        <v>21</v>
      </c>
      <c r="V101" s="2" t="s">
        <v>16</v>
      </c>
      <c r="W101" s="2" t="s">
        <v>26</v>
      </c>
      <c r="X101" s="2" t="s">
        <v>19</v>
      </c>
      <c r="Y101" s="2" t="s">
        <v>16</v>
      </c>
      <c r="Z101" s="2" t="s">
        <v>20</v>
      </c>
      <c r="AA101" s="2" t="s">
        <v>26</v>
      </c>
      <c r="AB101" s="2" t="s">
        <v>17</v>
      </c>
      <c r="AC101" s="2" t="s">
        <v>19</v>
      </c>
      <c r="AD101" s="2" t="s">
        <v>17</v>
      </c>
      <c r="AE101" s="2" t="s">
        <v>24</v>
      </c>
      <c r="AF101" s="2" t="s">
        <v>18</v>
      </c>
      <c r="AG101" s="2" t="s">
        <v>16</v>
      </c>
      <c r="AH101" s="2" t="s">
        <v>24</v>
      </c>
      <c r="AI101" s="2" t="s">
        <v>25</v>
      </c>
      <c r="AJ101" s="2" t="s">
        <v>16</v>
      </c>
      <c r="AK101" s="2" t="s">
        <v>16</v>
      </c>
      <c r="AL101" s="2" t="s">
        <v>20</v>
      </c>
    </row>
    <row r="102" ht="14.25" customHeight="1">
      <c r="A102" s="17">
        <v>45602.0</v>
      </c>
      <c r="B102" s="2" t="s">
        <v>31</v>
      </c>
      <c r="C102" s="2" t="s">
        <v>31</v>
      </c>
      <c r="D102" s="2" t="s">
        <v>31</v>
      </c>
      <c r="E102" s="2" t="s">
        <v>31</v>
      </c>
      <c r="F102" s="2" t="s">
        <v>31</v>
      </c>
      <c r="G102" s="2" t="s">
        <v>31</v>
      </c>
      <c r="H102" s="2" t="s">
        <v>31</v>
      </c>
      <c r="I102" s="2" t="s">
        <v>31</v>
      </c>
      <c r="J102" s="2" t="s">
        <v>31</v>
      </c>
      <c r="K102" s="2" t="s">
        <v>31</v>
      </c>
      <c r="L102" s="2" t="s">
        <v>31</v>
      </c>
      <c r="M102" s="2" t="s">
        <v>31</v>
      </c>
      <c r="N102" s="2" t="s">
        <v>31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2" t="s">
        <v>17</v>
      </c>
      <c r="V102" s="2" t="s">
        <v>16</v>
      </c>
      <c r="W102" s="2" t="s">
        <v>23</v>
      </c>
      <c r="X102" s="2" t="s">
        <v>26</v>
      </c>
      <c r="Y102" s="2" t="s">
        <v>18</v>
      </c>
      <c r="Z102" s="2" t="s">
        <v>20</v>
      </c>
      <c r="AA102" s="2" t="s">
        <v>27</v>
      </c>
      <c r="AB102" s="2" t="s">
        <v>28</v>
      </c>
      <c r="AC102" s="2" t="s">
        <v>25</v>
      </c>
      <c r="AD102" s="2" t="s">
        <v>27</v>
      </c>
      <c r="AE102" s="2" t="s">
        <v>16</v>
      </c>
      <c r="AF102" s="2" t="s">
        <v>16</v>
      </c>
      <c r="AG102" s="2" t="s">
        <v>16</v>
      </c>
      <c r="AH102" s="2" t="s">
        <v>22</v>
      </c>
      <c r="AI102" s="2" t="s">
        <v>25</v>
      </c>
      <c r="AJ102" s="2" t="s">
        <v>17</v>
      </c>
      <c r="AK102" s="2" t="s">
        <v>16</v>
      </c>
      <c r="AL102" s="2" t="s">
        <v>25</v>
      </c>
    </row>
    <row r="103" ht="14.25" customHeight="1">
      <c r="A103" s="17">
        <v>45603.0</v>
      </c>
      <c r="B103" s="2" t="s">
        <v>31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31</v>
      </c>
      <c r="H103" s="2" t="s">
        <v>31</v>
      </c>
      <c r="I103" s="2" t="s">
        <v>31</v>
      </c>
      <c r="J103" s="2" t="s">
        <v>31</v>
      </c>
      <c r="K103" s="2" t="s">
        <v>31</v>
      </c>
      <c r="L103" s="2" t="s">
        <v>31</v>
      </c>
      <c r="M103" s="2" t="s">
        <v>31</v>
      </c>
      <c r="N103" s="2" t="s">
        <v>31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2" t="s">
        <v>24</v>
      </c>
      <c r="V103" s="2" t="s">
        <v>19</v>
      </c>
      <c r="W103" s="2" t="s">
        <v>27</v>
      </c>
      <c r="X103" s="2" t="s">
        <v>22</v>
      </c>
      <c r="Y103" s="2" t="s">
        <v>20</v>
      </c>
      <c r="Z103" s="2" t="s">
        <v>26</v>
      </c>
      <c r="AA103" s="2" t="s">
        <v>24</v>
      </c>
      <c r="AB103" s="2" t="s">
        <v>24</v>
      </c>
      <c r="AC103" s="2" t="s">
        <v>21</v>
      </c>
      <c r="AD103" s="2" t="s">
        <v>20</v>
      </c>
      <c r="AE103" s="2" t="s">
        <v>24</v>
      </c>
      <c r="AF103" s="2" t="s">
        <v>23</v>
      </c>
      <c r="AG103" s="2" t="s">
        <v>16</v>
      </c>
      <c r="AH103" s="2" t="s">
        <v>21</v>
      </c>
      <c r="AI103" s="2" t="s">
        <v>16</v>
      </c>
      <c r="AJ103" s="2" t="s">
        <v>16</v>
      </c>
      <c r="AK103" s="2" t="s">
        <v>16</v>
      </c>
      <c r="AL103" s="2" t="s">
        <v>16</v>
      </c>
    </row>
    <row r="104" ht="14.25" customHeight="1">
      <c r="A104" s="17">
        <v>45604.0</v>
      </c>
      <c r="B104" s="2" t="s">
        <v>31</v>
      </c>
      <c r="C104" s="2" t="s">
        <v>31</v>
      </c>
      <c r="D104" s="2" t="s">
        <v>31</v>
      </c>
      <c r="E104" s="2" t="s">
        <v>31</v>
      </c>
      <c r="F104" s="2" t="s">
        <v>31</v>
      </c>
      <c r="G104" s="2" t="s">
        <v>31</v>
      </c>
      <c r="H104" s="2" t="s">
        <v>31</v>
      </c>
      <c r="I104" s="2" t="s">
        <v>31</v>
      </c>
      <c r="J104" s="2" t="s">
        <v>31</v>
      </c>
      <c r="K104" s="2" t="s">
        <v>31</v>
      </c>
      <c r="L104" s="2" t="s">
        <v>31</v>
      </c>
      <c r="M104" s="2" t="s">
        <v>31</v>
      </c>
      <c r="N104" s="2" t="s">
        <v>31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2" t="s">
        <v>16</v>
      </c>
      <c r="V104" s="2" t="s">
        <v>22</v>
      </c>
      <c r="W104" s="2" t="s">
        <v>19</v>
      </c>
      <c r="X104" s="2" t="s">
        <v>25</v>
      </c>
      <c r="Y104" s="2" t="s">
        <v>16</v>
      </c>
      <c r="Z104" s="2" t="s">
        <v>16</v>
      </c>
      <c r="AA104" s="2" t="s">
        <v>28</v>
      </c>
      <c r="AB104" s="2" t="s">
        <v>18</v>
      </c>
      <c r="AC104" s="2" t="s">
        <v>16</v>
      </c>
      <c r="AD104" s="2" t="s">
        <v>25</v>
      </c>
      <c r="AE104" s="2" t="s">
        <v>19</v>
      </c>
      <c r="AF104" s="2" t="s">
        <v>21</v>
      </c>
      <c r="AG104" s="2" t="s">
        <v>18</v>
      </c>
      <c r="AH104" s="2" t="s">
        <v>24</v>
      </c>
      <c r="AI104" s="2" t="s">
        <v>20</v>
      </c>
      <c r="AJ104" s="2" t="s">
        <v>18</v>
      </c>
      <c r="AK104" s="2" t="s">
        <v>16</v>
      </c>
      <c r="AL104" s="2" t="s">
        <v>16</v>
      </c>
    </row>
    <row r="105" ht="14.25" customHeight="1">
      <c r="A105" s="17">
        <v>45605.0</v>
      </c>
      <c r="B105" s="2" t="s">
        <v>22</v>
      </c>
      <c r="C105" s="2" t="s">
        <v>16</v>
      </c>
      <c r="D105" s="2" t="s">
        <v>28</v>
      </c>
      <c r="E105" s="2" t="s">
        <v>43</v>
      </c>
      <c r="F105" s="2" t="s">
        <v>19</v>
      </c>
      <c r="G105" s="2" t="s">
        <v>41</v>
      </c>
      <c r="H105" s="2" t="s">
        <v>38</v>
      </c>
      <c r="I105" s="2" t="s">
        <v>28</v>
      </c>
      <c r="J105" s="2" t="s">
        <v>19</v>
      </c>
      <c r="K105" s="2" t="s">
        <v>37</v>
      </c>
      <c r="L105" s="2" t="s">
        <v>18</v>
      </c>
      <c r="M105" s="2" t="s">
        <v>35</v>
      </c>
      <c r="N105" s="2" t="s">
        <v>40</v>
      </c>
      <c r="O105" s="2" t="s">
        <v>30</v>
      </c>
      <c r="P105" s="2" t="s">
        <v>16</v>
      </c>
      <c r="Q105" s="2" t="s">
        <v>32</v>
      </c>
      <c r="R105" s="2" t="s">
        <v>35</v>
      </c>
      <c r="S105" s="2" t="s">
        <v>16</v>
      </c>
      <c r="T105" s="2" t="s">
        <v>16</v>
      </c>
      <c r="U105" s="2" t="s">
        <v>20</v>
      </c>
      <c r="V105" s="2" t="s">
        <v>20</v>
      </c>
      <c r="W105" s="2" t="s">
        <v>17</v>
      </c>
      <c r="X105" s="2" t="s">
        <v>17</v>
      </c>
      <c r="Y105" s="2" t="s">
        <v>16</v>
      </c>
      <c r="Z105" s="2" t="s">
        <v>24</v>
      </c>
      <c r="AA105" s="2" t="s">
        <v>16</v>
      </c>
      <c r="AB105" s="2" t="s">
        <v>24</v>
      </c>
      <c r="AC105" s="2" t="s">
        <v>16</v>
      </c>
      <c r="AD105" s="2" t="s">
        <v>24</v>
      </c>
      <c r="AE105" s="2" t="s">
        <v>26</v>
      </c>
      <c r="AF105" s="2" t="s">
        <v>19</v>
      </c>
      <c r="AG105" s="2" t="s">
        <v>16</v>
      </c>
      <c r="AH105" s="2" t="s">
        <v>16</v>
      </c>
      <c r="AI105" s="2" t="s">
        <v>18</v>
      </c>
      <c r="AJ105" s="2" t="s">
        <v>28</v>
      </c>
      <c r="AK105" s="2" t="s">
        <v>24</v>
      </c>
      <c r="AL105" s="2" t="s">
        <v>26</v>
      </c>
    </row>
    <row r="106" ht="14.25" customHeight="1">
      <c r="A106" s="17">
        <v>45606.0</v>
      </c>
      <c r="B106" s="2" t="s">
        <v>31</v>
      </c>
      <c r="C106" s="2" t="s">
        <v>31</v>
      </c>
      <c r="D106" s="2" t="s">
        <v>31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  <c r="J106" s="2" t="s">
        <v>31</v>
      </c>
      <c r="K106" s="2" t="s">
        <v>31</v>
      </c>
      <c r="L106" s="2" t="s">
        <v>31</v>
      </c>
      <c r="M106" s="2" t="s">
        <v>31</v>
      </c>
      <c r="N106" s="2" t="s">
        <v>31</v>
      </c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2" t="s">
        <v>16</v>
      </c>
      <c r="V106" s="2" t="s">
        <v>25</v>
      </c>
      <c r="W106" s="2" t="s">
        <v>27</v>
      </c>
      <c r="X106" s="2" t="s">
        <v>17</v>
      </c>
      <c r="Y106" s="2" t="s">
        <v>16</v>
      </c>
      <c r="Z106" s="2" t="s">
        <v>27</v>
      </c>
      <c r="AA106" s="2" t="s">
        <v>16</v>
      </c>
      <c r="AB106" s="2" t="s">
        <v>16</v>
      </c>
      <c r="AC106" s="2" t="s">
        <v>25</v>
      </c>
      <c r="AD106" s="2" t="s">
        <v>19</v>
      </c>
      <c r="AE106" s="2" t="s">
        <v>24</v>
      </c>
      <c r="AF106" s="2" t="s">
        <v>26</v>
      </c>
      <c r="AG106" s="2" t="s">
        <v>16</v>
      </c>
      <c r="AH106" s="2" t="s">
        <v>16</v>
      </c>
      <c r="AI106" s="2" t="s">
        <v>24</v>
      </c>
      <c r="AJ106" s="2" t="s">
        <v>21</v>
      </c>
      <c r="AK106" s="2" t="s">
        <v>16</v>
      </c>
      <c r="AL106" s="2" t="s">
        <v>22</v>
      </c>
    </row>
    <row r="107" ht="14.25" customHeight="1">
      <c r="A107" s="17">
        <v>45607.0</v>
      </c>
      <c r="B107" s="2" t="s">
        <v>31</v>
      </c>
      <c r="C107" s="2" t="s">
        <v>31</v>
      </c>
      <c r="D107" s="2" t="s">
        <v>31</v>
      </c>
      <c r="E107" s="2" t="s">
        <v>31</v>
      </c>
      <c r="F107" s="2" t="s">
        <v>31</v>
      </c>
      <c r="G107" s="2" t="s">
        <v>31</v>
      </c>
      <c r="H107" s="2" t="s">
        <v>31</v>
      </c>
      <c r="I107" s="2" t="s">
        <v>31</v>
      </c>
      <c r="J107" s="2" t="s">
        <v>31</v>
      </c>
      <c r="K107" s="2" t="s">
        <v>31</v>
      </c>
      <c r="L107" s="2" t="s">
        <v>31</v>
      </c>
      <c r="M107" s="2" t="s">
        <v>31</v>
      </c>
      <c r="N107" s="2" t="s">
        <v>31</v>
      </c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2" t="s">
        <v>25</v>
      </c>
      <c r="V107" s="2" t="s">
        <v>27</v>
      </c>
      <c r="W107" s="2" t="s">
        <v>16</v>
      </c>
      <c r="X107" s="2" t="s">
        <v>16</v>
      </c>
      <c r="Y107" s="2" t="s">
        <v>22</v>
      </c>
      <c r="Z107" s="2" t="s">
        <v>16</v>
      </c>
      <c r="AA107" s="2" t="s">
        <v>24</v>
      </c>
      <c r="AB107" s="2" t="s">
        <v>25</v>
      </c>
      <c r="AC107" s="2" t="s">
        <v>18</v>
      </c>
      <c r="AD107" s="2" t="s">
        <v>22</v>
      </c>
      <c r="AE107" s="2" t="s">
        <v>20</v>
      </c>
      <c r="AF107" s="2" t="s">
        <v>24</v>
      </c>
      <c r="AG107" s="2" t="s">
        <v>17</v>
      </c>
      <c r="AH107" s="2" t="s">
        <v>16</v>
      </c>
      <c r="AI107" s="2" t="s">
        <v>21</v>
      </c>
      <c r="AJ107" s="2" t="s">
        <v>22</v>
      </c>
      <c r="AK107" s="2" t="s">
        <v>21</v>
      </c>
      <c r="AL107" s="2" t="s">
        <v>21</v>
      </c>
    </row>
    <row r="108" ht="14.25" customHeight="1">
      <c r="A108" s="17">
        <v>45608.0</v>
      </c>
      <c r="B108" s="2" t="s">
        <v>31</v>
      </c>
      <c r="C108" s="2" t="s">
        <v>31</v>
      </c>
      <c r="D108" s="2" t="s">
        <v>31</v>
      </c>
      <c r="E108" s="2" t="s">
        <v>31</v>
      </c>
      <c r="F108" s="2" t="s">
        <v>31</v>
      </c>
      <c r="G108" s="2" t="s">
        <v>31</v>
      </c>
      <c r="H108" s="2" t="s">
        <v>31</v>
      </c>
      <c r="I108" s="2" t="s">
        <v>31</v>
      </c>
      <c r="J108" s="2" t="s">
        <v>31</v>
      </c>
      <c r="K108" s="2" t="s">
        <v>31</v>
      </c>
      <c r="L108" s="2" t="s">
        <v>31</v>
      </c>
      <c r="M108" s="2" t="s">
        <v>31</v>
      </c>
      <c r="N108" s="2" t="s">
        <v>31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2" t="s">
        <v>16</v>
      </c>
      <c r="V108" s="2" t="s">
        <v>22</v>
      </c>
      <c r="W108" s="2" t="s">
        <v>26</v>
      </c>
      <c r="X108" s="2" t="s">
        <v>16</v>
      </c>
      <c r="Y108" s="2" t="s">
        <v>27</v>
      </c>
      <c r="Z108" s="2" t="s">
        <v>25</v>
      </c>
      <c r="AA108" s="2" t="s">
        <v>26</v>
      </c>
      <c r="AB108" s="2" t="s">
        <v>25</v>
      </c>
      <c r="AC108" s="2" t="s">
        <v>19</v>
      </c>
      <c r="AD108" s="2" t="s">
        <v>17</v>
      </c>
      <c r="AE108" s="2" t="s">
        <v>25</v>
      </c>
      <c r="AF108" s="2" t="s">
        <v>16</v>
      </c>
      <c r="AG108" s="2" t="s">
        <v>28</v>
      </c>
      <c r="AH108" s="2" t="s">
        <v>25</v>
      </c>
      <c r="AI108" s="2" t="s">
        <v>25</v>
      </c>
      <c r="AJ108" s="2" t="s">
        <v>16</v>
      </c>
      <c r="AK108" s="2" t="s">
        <v>25</v>
      </c>
      <c r="AL108" s="2" t="s">
        <v>25</v>
      </c>
    </row>
    <row r="109" ht="14.25" customHeight="1">
      <c r="A109" s="17">
        <v>45609.0</v>
      </c>
      <c r="B109" s="2" t="s">
        <v>31</v>
      </c>
      <c r="C109" s="2" t="s">
        <v>31</v>
      </c>
      <c r="D109" s="2" t="s">
        <v>31</v>
      </c>
      <c r="E109" s="2" t="s">
        <v>31</v>
      </c>
      <c r="F109" s="2" t="s">
        <v>31</v>
      </c>
      <c r="G109" s="2" t="s">
        <v>31</v>
      </c>
      <c r="H109" s="2" t="s">
        <v>31</v>
      </c>
      <c r="I109" s="2" t="s">
        <v>31</v>
      </c>
      <c r="J109" s="2" t="s">
        <v>31</v>
      </c>
      <c r="K109" s="2" t="s">
        <v>31</v>
      </c>
      <c r="L109" s="2" t="s">
        <v>31</v>
      </c>
      <c r="M109" s="2" t="s">
        <v>31</v>
      </c>
      <c r="N109" s="2" t="s">
        <v>31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2" t="s">
        <v>19</v>
      </c>
      <c r="V109" s="2" t="s">
        <v>20</v>
      </c>
      <c r="W109" s="2" t="s">
        <v>24</v>
      </c>
      <c r="X109" s="2" t="s">
        <v>16</v>
      </c>
      <c r="Y109" s="2" t="s">
        <v>22</v>
      </c>
      <c r="Z109" s="2" t="s">
        <v>27</v>
      </c>
      <c r="AA109" s="2" t="s">
        <v>24</v>
      </c>
      <c r="AB109" s="2" t="s">
        <v>24</v>
      </c>
      <c r="AC109" s="2" t="s">
        <v>25</v>
      </c>
      <c r="AD109" s="2" t="s">
        <v>25</v>
      </c>
      <c r="AE109" s="2" t="s">
        <v>25</v>
      </c>
      <c r="AF109" s="2" t="s">
        <v>19</v>
      </c>
      <c r="AG109" s="2" t="s">
        <v>16</v>
      </c>
      <c r="AH109" s="2" t="s">
        <v>23</v>
      </c>
      <c r="AI109" s="2" t="s">
        <v>16</v>
      </c>
      <c r="AJ109" s="2" t="s">
        <v>16</v>
      </c>
      <c r="AK109" s="2" t="s">
        <v>17</v>
      </c>
      <c r="AL109" s="2" t="s">
        <v>27</v>
      </c>
    </row>
    <row r="110" ht="14.25" customHeight="1">
      <c r="A110" s="17">
        <v>45610.0</v>
      </c>
      <c r="B110" s="2" t="s">
        <v>31</v>
      </c>
      <c r="C110" s="2" t="s">
        <v>31</v>
      </c>
      <c r="D110" s="2" t="s">
        <v>31</v>
      </c>
      <c r="E110" s="2" t="s">
        <v>31</v>
      </c>
      <c r="F110" s="2" t="s">
        <v>31</v>
      </c>
      <c r="G110" s="2" t="s">
        <v>31</v>
      </c>
      <c r="H110" s="2" t="s">
        <v>31</v>
      </c>
      <c r="I110" s="2" t="s">
        <v>31</v>
      </c>
      <c r="J110" s="2" t="s">
        <v>31</v>
      </c>
      <c r="K110" s="2" t="s">
        <v>31</v>
      </c>
      <c r="L110" s="2" t="s">
        <v>31</v>
      </c>
      <c r="M110" s="2" t="s">
        <v>31</v>
      </c>
      <c r="N110" s="2" t="s">
        <v>31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2" t="s">
        <v>19</v>
      </c>
      <c r="V110" s="2" t="s">
        <v>25</v>
      </c>
      <c r="W110" s="2" t="s">
        <v>27</v>
      </c>
      <c r="X110" s="2" t="s">
        <v>19</v>
      </c>
      <c r="Y110" s="2" t="s">
        <v>22</v>
      </c>
      <c r="Z110" s="2" t="s">
        <v>19</v>
      </c>
      <c r="AA110" s="2" t="s">
        <v>25</v>
      </c>
      <c r="AB110" s="2" t="s">
        <v>21</v>
      </c>
      <c r="AC110" s="2" t="s">
        <v>24</v>
      </c>
      <c r="AD110" s="2" t="s">
        <v>16</v>
      </c>
      <c r="AE110" s="2" t="s">
        <v>18</v>
      </c>
      <c r="AF110" s="2" t="s">
        <v>16</v>
      </c>
      <c r="AG110" s="2" t="s">
        <v>16</v>
      </c>
      <c r="AH110" s="2" t="s">
        <v>16</v>
      </c>
      <c r="AI110" s="2" t="s">
        <v>19</v>
      </c>
      <c r="AJ110" s="2" t="s">
        <v>24</v>
      </c>
      <c r="AK110" s="2" t="s">
        <v>26</v>
      </c>
      <c r="AL110" s="2" t="s">
        <v>24</v>
      </c>
    </row>
    <row r="111" ht="14.25" customHeight="1">
      <c r="A111" s="17">
        <v>45611.0</v>
      </c>
      <c r="B111" s="2" t="s">
        <v>31</v>
      </c>
      <c r="C111" s="2" t="s">
        <v>31</v>
      </c>
      <c r="D111" s="2" t="s">
        <v>31</v>
      </c>
      <c r="E111" s="2" t="s">
        <v>31</v>
      </c>
      <c r="F111" s="2" t="s">
        <v>31</v>
      </c>
      <c r="G111" s="2" t="s">
        <v>31</v>
      </c>
      <c r="H111" s="2" t="s">
        <v>31</v>
      </c>
      <c r="I111" s="2" t="s">
        <v>31</v>
      </c>
      <c r="J111" s="2" t="s">
        <v>31</v>
      </c>
      <c r="K111" s="2" t="s">
        <v>31</v>
      </c>
      <c r="L111" s="2" t="s">
        <v>31</v>
      </c>
      <c r="M111" s="2" t="s">
        <v>31</v>
      </c>
      <c r="N111" s="2" t="s">
        <v>31</v>
      </c>
      <c r="O111" s="2" t="s">
        <v>31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2" t="s">
        <v>24</v>
      </c>
      <c r="V111" s="2" t="s">
        <v>22</v>
      </c>
      <c r="W111" s="2" t="s">
        <v>20</v>
      </c>
      <c r="X111" s="2" t="s">
        <v>21</v>
      </c>
      <c r="Y111" s="2" t="s">
        <v>16</v>
      </c>
      <c r="Z111" s="2" t="s">
        <v>22</v>
      </c>
      <c r="AA111" s="2" t="s">
        <v>26</v>
      </c>
      <c r="AB111" s="2" t="s">
        <v>19</v>
      </c>
      <c r="AC111" s="2" t="s">
        <v>23</v>
      </c>
      <c r="AD111" s="2" t="s">
        <v>19</v>
      </c>
      <c r="AE111" s="2" t="s">
        <v>21</v>
      </c>
      <c r="AF111" s="2" t="s">
        <v>16</v>
      </c>
      <c r="AG111" s="2" t="s">
        <v>16</v>
      </c>
      <c r="AH111" s="2" t="s">
        <v>16</v>
      </c>
      <c r="AI111" s="2" t="s">
        <v>22</v>
      </c>
      <c r="AJ111" s="2" t="s">
        <v>24</v>
      </c>
      <c r="AK111" s="2" t="s">
        <v>27</v>
      </c>
      <c r="AL111" s="2" t="s">
        <v>16</v>
      </c>
    </row>
    <row r="112" ht="14.25" customHeight="1">
      <c r="A112" s="17">
        <v>45612.0</v>
      </c>
      <c r="B112" s="2" t="s">
        <v>16</v>
      </c>
      <c r="C112" s="2" t="s">
        <v>29</v>
      </c>
      <c r="D112" s="2" t="s">
        <v>35</v>
      </c>
      <c r="E112" s="2" t="s">
        <v>37</v>
      </c>
      <c r="F112" s="2" t="s">
        <v>24</v>
      </c>
      <c r="G112" s="2" t="s">
        <v>33</v>
      </c>
      <c r="H112" s="2" t="s">
        <v>34</v>
      </c>
      <c r="I112" s="2" t="s">
        <v>18</v>
      </c>
      <c r="J112" s="2" t="s">
        <v>20</v>
      </c>
      <c r="K112" s="2" t="s">
        <v>36</v>
      </c>
      <c r="L112" s="2" t="s">
        <v>34</v>
      </c>
      <c r="M112" s="2" t="s">
        <v>37</v>
      </c>
      <c r="N112" s="2" t="s">
        <v>19</v>
      </c>
      <c r="O112" s="2" t="s">
        <v>24</v>
      </c>
      <c r="P112" s="2" t="s">
        <v>38</v>
      </c>
      <c r="Q112" s="2" t="s">
        <v>29</v>
      </c>
      <c r="R112" s="2" t="s">
        <v>17</v>
      </c>
      <c r="S112" s="2" t="s">
        <v>20</v>
      </c>
      <c r="T112" s="2" t="s">
        <v>37</v>
      </c>
      <c r="U112" s="2" t="s">
        <v>22</v>
      </c>
      <c r="V112" s="2" t="s">
        <v>25</v>
      </c>
      <c r="W112" s="2" t="s">
        <v>16</v>
      </c>
      <c r="X112" s="2" t="s">
        <v>25</v>
      </c>
      <c r="Y112" s="2" t="s">
        <v>19</v>
      </c>
      <c r="Z112" s="2" t="s">
        <v>16</v>
      </c>
      <c r="AA112" s="2" t="s">
        <v>16</v>
      </c>
      <c r="AB112" s="2" t="s">
        <v>21</v>
      </c>
      <c r="AC112" s="2" t="s">
        <v>18</v>
      </c>
      <c r="AD112" s="2" t="s">
        <v>24</v>
      </c>
      <c r="AE112" s="2" t="s">
        <v>19</v>
      </c>
      <c r="AF112" s="2" t="s">
        <v>16</v>
      </c>
      <c r="AG112" s="2" t="s">
        <v>20</v>
      </c>
      <c r="AH112" s="2" t="s">
        <v>16</v>
      </c>
      <c r="AI112" s="2" t="s">
        <v>17</v>
      </c>
      <c r="AJ112" s="2" t="s">
        <v>16</v>
      </c>
      <c r="AK112" s="2" t="s">
        <v>26</v>
      </c>
      <c r="AL112" s="2" t="s">
        <v>18</v>
      </c>
    </row>
    <row r="113" ht="14.25" customHeight="1">
      <c r="A113" s="17">
        <v>45613.0</v>
      </c>
      <c r="B113" s="2" t="s">
        <v>31</v>
      </c>
      <c r="C113" s="2" t="s">
        <v>31</v>
      </c>
      <c r="D113" s="2" t="s">
        <v>31</v>
      </c>
      <c r="E113" s="2" t="s">
        <v>31</v>
      </c>
      <c r="F113" s="2" t="s">
        <v>31</v>
      </c>
      <c r="G113" s="2" t="s">
        <v>31</v>
      </c>
      <c r="H113" s="2" t="s">
        <v>31</v>
      </c>
      <c r="I113" s="2" t="s">
        <v>31</v>
      </c>
      <c r="J113" s="2" t="s">
        <v>31</v>
      </c>
      <c r="K113" s="2" t="s">
        <v>31</v>
      </c>
      <c r="L113" s="2" t="s">
        <v>31</v>
      </c>
      <c r="M113" s="2" t="s">
        <v>31</v>
      </c>
      <c r="N113" s="2" t="s">
        <v>31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2" t="s">
        <v>16</v>
      </c>
      <c r="V113" s="2" t="s">
        <v>23</v>
      </c>
      <c r="W113" s="2" t="s">
        <v>27</v>
      </c>
      <c r="X113" s="2" t="s">
        <v>16</v>
      </c>
      <c r="Y113" s="2" t="s">
        <v>24</v>
      </c>
      <c r="Z113" s="2" t="s">
        <v>16</v>
      </c>
      <c r="AA113" s="2" t="s">
        <v>24</v>
      </c>
      <c r="AB113" s="2" t="s">
        <v>16</v>
      </c>
      <c r="AC113" s="2" t="s">
        <v>27</v>
      </c>
      <c r="AD113" s="2" t="s">
        <v>26</v>
      </c>
      <c r="AE113" s="2" t="s">
        <v>16</v>
      </c>
      <c r="AF113" s="2" t="s">
        <v>17</v>
      </c>
      <c r="AG113" s="2" t="s">
        <v>19</v>
      </c>
      <c r="AH113" s="2" t="s">
        <v>22</v>
      </c>
      <c r="AI113" s="2" t="s">
        <v>19</v>
      </c>
      <c r="AJ113" s="2" t="s">
        <v>20</v>
      </c>
      <c r="AK113" s="2" t="s">
        <v>16</v>
      </c>
      <c r="AL113" s="2" t="s">
        <v>19</v>
      </c>
    </row>
    <row r="114" ht="14.25" customHeight="1">
      <c r="A114" s="17">
        <v>45614.0</v>
      </c>
      <c r="B114" s="2" t="s">
        <v>31</v>
      </c>
      <c r="C114" s="2" t="s">
        <v>31</v>
      </c>
      <c r="D114" s="2" t="s">
        <v>31</v>
      </c>
      <c r="E114" s="2" t="s">
        <v>31</v>
      </c>
      <c r="F114" s="2" t="s">
        <v>31</v>
      </c>
      <c r="G114" s="2" t="s">
        <v>31</v>
      </c>
      <c r="H114" s="2" t="s">
        <v>31</v>
      </c>
      <c r="I114" s="2" t="s">
        <v>31</v>
      </c>
      <c r="J114" s="2" t="s">
        <v>31</v>
      </c>
      <c r="K114" s="2" t="s">
        <v>31</v>
      </c>
      <c r="L114" s="2" t="s">
        <v>31</v>
      </c>
      <c r="M114" s="2" t="s">
        <v>31</v>
      </c>
      <c r="N114" s="2" t="s">
        <v>31</v>
      </c>
      <c r="O114" s="2" t="s">
        <v>31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2" t="s">
        <v>16</v>
      </c>
      <c r="V114" s="2" t="s">
        <v>16</v>
      </c>
      <c r="W114" s="2" t="s">
        <v>21</v>
      </c>
      <c r="X114" s="2" t="s">
        <v>24</v>
      </c>
      <c r="Y114" s="2" t="s">
        <v>16</v>
      </c>
      <c r="Z114" s="2" t="s">
        <v>19</v>
      </c>
      <c r="AA114" s="2" t="s">
        <v>21</v>
      </c>
      <c r="AB114" s="2" t="s">
        <v>20</v>
      </c>
      <c r="AC114" s="2" t="s">
        <v>26</v>
      </c>
      <c r="AD114" s="2" t="s">
        <v>28</v>
      </c>
      <c r="AE114" s="2" t="s">
        <v>16</v>
      </c>
      <c r="AF114" s="2" t="s">
        <v>21</v>
      </c>
      <c r="AG114" s="2" t="s">
        <v>21</v>
      </c>
      <c r="AH114" s="2" t="s">
        <v>16</v>
      </c>
      <c r="AI114" s="2" t="s">
        <v>22</v>
      </c>
      <c r="AJ114" s="2" t="s">
        <v>22</v>
      </c>
      <c r="AK114" s="2" t="s">
        <v>16</v>
      </c>
      <c r="AL114" s="2" t="s">
        <v>16</v>
      </c>
    </row>
    <row r="115" ht="14.25" customHeight="1">
      <c r="A115" s="17">
        <v>45615.0</v>
      </c>
      <c r="B115" s="2" t="s">
        <v>31</v>
      </c>
      <c r="C115" s="2" t="s">
        <v>31</v>
      </c>
      <c r="D115" s="2" t="s">
        <v>31</v>
      </c>
      <c r="E115" s="2" t="s">
        <v>31</v>
      </c>
      <c r="F115" s="2" t="s">
        <v>31</v>
      </c>
      <c r="G115" s="2" t="s">
        <v>31</v>
      </c>
      <c r="H115" s="2" t="s">
        <v>31</v>
      </c>
      <c r="I115" s="2" t="s">
        <v>31</v>
      </c>
      <c r="J115" s="2" t="s">
        <v>31</v>
      </c>
      <c r="K115" s="2" t="s">
        <v>31</v>
      </c>
      <c r="L115" s="2" t="s">
        <v>31</v>
      </c>
      <c r="M115" s="2" t="s">
        <v>31</v>
      </c>
      <c r="N115" s="2" t="s">
        <v>31</v>
      </c>
      <c r="O115" s="2" t="s">
        <v>31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2" t="s">
        <v>16</v>
      </c>
      <c r="V115" s="2" t="s">
        <v>20</v>
      </c>
      <c r="W115" s="2" t="s">
        <v>19</v>
      </c>
      <c r="X115" s="2" t="s">
        <v>19</v>
      </c>
      <c r="Y115" s="2" t="s">
        <v>18</v>
      </c>
      <c r="Z115" s="2" t="s">
        <v>16</v>
      </c>
      <c r="AA115" s="2" t="s">
        <v>18</v>
      </c>
      <c r="AB115" s="2" t="s">
        <v>27</v>
      </c>
      <c r="AC115" s="2" t="s">
        <v>16</v>
      </c>
      <c r="AD115" s="2" t="s">
        <v>25</v>
      </c>
      <c r="AE115" s="2" t="s">
        <v>21</v>
      </c>
      <c r="AF115" s="2" t="s">
        <v>16</v>
      </c>
      <c r="AG115" s="2" t="s">
        <v>21</v>
      </c>
      <c r="AH115" s="2" t="s">
        <v>19</v>
      </c>
      <c r="AI115" s="2" t="s">
        <v>22</v>
      </c>
      <c r="AJ115" s="2" t="s">
        <v>16</v>
      </c>
      <c r="AK115" s="2" t="s">
        <v>20</v>
      </c>
      <c r="AL115" s="2" t="s">
        <v>16</v>
      </c>
    </row>
    <row r="116" ht="14.25" customHeight="1">
      <c r="A116" s="17">
        <v>45616.0</v>
      </c>
      <c r="B116" s="2" t="s">
        <v>31</v>
      </c>
      <c r="C116" s="2" t="s">
        <v>31</v>
      </c>
      <c r="D116" s="2" t="s">
        <v>31</v>
      </c>
      <c r="E116" s="2" t="s">
        <v>31</v>
      </c>
      <c r="F116" s="2" t="s">
        <v>31</v>
      </c>
      <c r="G116" s="2" t="s">
        <v>31</v>
      </c>
      <c r="H116" s="2" t="s">
        <v>31</v>
      </c>
      <c r="I116" s="2" t="s">
        <v>31</v>
      </c>
      <c r="J116" s="2" t="s">
        <v>31</v>
      </c>
      <c r="K116" s="2" t="s">
        <v>31</v>
      </c>
      <c r="L116" s="2" t="s">
        <v>31</v>
      </c>
      <c r="M116" s="2" t="s">
        <v>31</v>
      </c>
      <c r="N116" s="2" t="s">
        <v>31</v>
      </c>
      <c r="O116" s="2" t="s">
        <v>31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2" t="s">
        <v>21</v>
      </c>
      <c r="V116" s="2" t="s">
        <v>28</v>
      </c>
      <c r="W116" s="2" t="s">
        <v>17</v>
      </c>
      <c r="X116" s="2" t="s">
        <v>27</v>
      </c>
      <c r="Y116" s="2" t="s">
        <v>28</v>
      </c>
      <c r="Z116" s="2" t="s">
        <v>22</v>
      </c>
      <c r="AA116" s="2" t="s">
        <v>22</v>
      </c>
      <c r="AB116" s="2" t="s">
        <v>16</v>
      </c>
      <c r="AC116" s="2" t="s">
        <v>27</v>
      </c>
      <c r="AD116" s="2" t="s">
        <v>24</v>
      </c>
      <c r="AE116" s="2" t="s">
        <v>16</v>
      </c>
      <c r="AF116" s="2" t="s">
        <v>24</v>
      </c>
      <c r="AG116" s="2" t="s">
        <v>22</v>
      </c>
      <c r="AH116" s="2" t="s">
        <v>16</v>
      </c>
      <c r="AI116" s="2" t="s">
        <v>16</v>
      </c>
      <c r="AJ116" s="2" t="s">
        <v>16</v>
      </c>
      <c r="AK116" s="2" t="s">
        <v>17</v>
      </c>
      <c r="AL116" s="2" t="s">
        <v>16</v>
      </c>
    </row>
    <row r="117" ht="14.25" customHeight="1">
      <c r="A117" s="17">
        <v>45617.0</v>
      </c>
      <c r="B117" s="2" t="s">
        <v>31</v>
      </c>
      <c r="C117" s="2" t="s">
        <v>31</v>
      </c>
      <c r="D117" s="2" t="s">
        <v>31</v>
      </c>
      <c r="E117" s="2" t="s">
        <v>31</v>
      </c>
      <c r="F117" s="2" t="s">
        <v>31</v>
      </c>
      <c r="G117" s="2" t="s">
        <v>31</v>
      </c>
      <c r="H117" s="2" t="s">
        <v>31</v>
      </c>
      <c r="I117" s="2" t="s">
        <v>31</v>
      </c>
      <c r="J117" s="2" t="s">
        <v>31</v>
      </c>
      <c r="K117" s="2" t="s">
        <v>31</v>
      </c>
      <c r="L117" s="2" t="s">
        <v>31</v>
      </c>
      <c r="M117" s="2" t="s">
        <v>31</v>
      </c>
      <c r="N117" s="2" t="s">
        <v>31</v>
      </c>
      <c r="O117" s="2" t="s">
        <v>31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2" t="s">
        <v>18</v>
      </c>
      <c r="V117" s="2" t="s">
        <v>16</v>
      </c>
      <c r="W117" s="2" t="s">
        <v>16</v>
      </c>
      <c r="X117" s="2" t="s">
        <v>25</v>
      </c>
      <c r="Y117" s="2" t="s">
        <v>20</v>
      </c>
      <c r="Z117" s="2" t="s">
        <v>20</v>
      </c>
      <c r="AA117" s="2" t="s">
        <v>16</v>
      </c>
      <c r="AB117" s="2" t="s">
        <v>25</v>
      </c>
      <c r="AC117" s="2" t="s">
        <v>16</v>
      </c>
      <c r="AD117" s="2" t="s">
        <v>16</v>
      </c>
      <c r="AE117" s="2" t="s">
        <v>16</v>
      </c>
      <c r="AF117" s="2" t="s">
        <v>26</v>
      </c>
      <c r="AG117" s="2" t="s">
        <v>25</v>
      </c>
      <c r="AH117" s="2" t="s">
        <v>16</v>
      </c>
      <c r="AI117" s="2" t="s">
        <v>21</v>
      </c>
      <c r="AJ117" s="2" t="s">
        <v>21</v>
      </c>
      <c r="AK117" s="2" t="s">
        <v>25</v>
      </c>
      <c r="AL117" s="2" t="s">
        <v>16</v>
      </c>
    </row>
    <row r="118" ht="14.25" customHeight="1">
      <c r="A118" s="17">
        <v>45618.0</v>
      </c>
      <c r="B118" s="2" t="s">
        <v>31</v>
      </c>
      <c r="C118" s="2" t="s">
        <v>31</v>
      </c>
      <c r="D118" s="2" t="s">
        <v>31</v>
      </c>
      <c r="E118" s="2" t="s">
        <v>31</v>
      </c>
      <c r="F118" s="2" t="s">
        <v>31</v>
      </c>
      <c r="G118" s="2" t="s">
        <v>31</v>
      </c>
      <c r="H118" s="2" t="s">
        <v>31</v>
      </c>
      <c r="I118" s="2" t="s">
        <v>31</v>
      </c>
      <c r="J118" s="2" t="s">
        <v>31</v>
      </c>
      <c r="K118" s="2" t="s">
        <v>31</v>
      </c>
      <c r="L118" s="2" t="s">
        <v>31</v>
      </c>
      <c r="M118" s="2" t="s">
        <v>31</v>
      </c>
      <c r="N118" s="2" t="s">
        <v>31</v>
      </c>
      <c r="O118" s="2" t="s">
        <v>31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2" t="s">
        <v>20</v>
      </c>
      <c r="V118" s="2" t="s">
        <v>16</v>
      </c>
      <c r="W118" s="2" t="s">
        <v>24</v>
      </c>
      <c r="X118" s="2" t="s">
        <v>28</v>
      </c>
      <c r="Y118" s="2" t="s">
        <v>16</v>
      </c>
      <c r="Z118" s="2" t="s">
        <v>16</v>
      </c>
      <c r="AA118" s="2" t="s">
        <v>28</v>
      </c>
      <c r="AB118" s="2" t="s">
        <v>23</v>
      </c>
      <c r="AC118" s="2" t="s">
        <v>20</v>
      </c>
      <c r="AD118" s="2" t="s">
        <v>20</v>
      </c>
      <c r="AE118" s="2" t="s">
        <v>24</v>
      </c>
      <c r="AF118" s="2" t="s">
        <v>18</v>
      </c>
      <c r="AG118" s="2" t="s">
        <v>19</v>
      </c>
      <c r="AH118" s="2" t="s">
        <v>18</v>
      </c>
      <c r="AI118" s="2" t="s">
        <v>20</v>
      </c>
      <c r="AJ118" s="2" t="s">
        <v>27</v>
      </c>
      <c r="AK118" s="2" t="s">
        <v>19</v>
      </c>
      <c r="AL118" s="2" t="s">
        <v>19</v>
      </c>
    </row>
    <row r="119" ht="14.25" customHeight="1">
      <c r="A119" s="17">
        <v>45619.0</v>
      </c>
      <c r="B119" s="2" t="s">
        <v>37</v>
      </c>
      <c r="C119" s="2" t="s">
        <v>39</v>
      </c>
      <c r="D119" s="2" t="s">
        <v>26</v>
      </c>
      <c r="E119" s="2" t="s">
        <v>16</v>
      </c>
      <c r="F119" s="2" t="s">
        <v>25</v>
      </c>
      <c r="G119" s="2" t="s">
        <v>16</v>
      </c>
      <c r="H119" s="2" t="s">
        <v>37</v>
      </c>
      <c r="I119" s="2" t="s">
        <v>38</v>
      </c>
      <c r="J119" s="2" t="s">
        <v>26</v>
      </c>
      <c r="K119" s="2" t="s">
        <v>16</v>
      </c>
      <c r="L119" s="2" t="s">
        <v>34</v>
      </c>
      <c r="M119" s="2" t="s">
        <v>33</v>
      </c>
      <c r="N119" s="2" t="s">
        <v>20</v>
      </c>
      <c r="O119" s="2" t="s">
        <v>27</v>
      </c>
      <c r="P119" s="2" t="s">
        <v>16</v>
      </c>
      <c r="Q119" s="2" t="s">
        <v>27</v>
      </c>
      <c r="R119" s="2" t="s">
        <v>22</v>
      </c>
      <c r="S119" s="2" t="s">
        <v>37</v>
      </c>
      <c r="T119" s="2" t="s">
        <v>16</v>
      </c>
      <c r="U119" s="2" t="s">
        <v>28</v>
      </c>
      <c r="V119" s="2" t="s">
        <v>24</v>
      </c>
      <c r="W119" s="2" t="s">
        <v>26</v>
      </c>
      <c r="X119" s="2" t="s">
        <v>21</v>
      </c>
      <c r="Y119" s="2" t="s">
        <v>21</v>
      </c>
      <c r="Z119" s="2" t="s">
        <v>16</v>
      </c>
      <c r="AA119" s="2" t="s">
        <v>16</v>
      </c>
      <c r="AB119" s="2" t="s">
        <v>27</v>
      </c>
      <c r="AC119" s="2" t="s">
        <v>19</v>
      </c>
      <c r="AD119" s="2" t="s">
        <v>16</v>
      </c>
      <c r="AE119" s="2" t="s">
        <v>16</v>
      </c>
      <c r="AF119" s="2" t="s">
        <v>17</v>
      </c>
      <c r="AG119" s="2" t="s">
        <v>20</v>
      </c>
      <c r="AH119" s="2" t="s">
        <v>28</v>
      </c>
      <c r="AI119" s="2" t="s">
        <v>17</v>
      </c>
      <c r="AJ119" s="2" t="s">
        <v>24</v>
      </c>
      <c r="AK119" s="2" t="s">
        <v>26</v>
      </c>
      <c r="AL119" s="2" t="s">
        <v>21</v>
      </c>
    </row>
    <row r="120" ht="14.25" customHeight="1">
      <c r="A120" s="17">
        <v>45620.0</v>
      </c>
      <c r="B120" s="2" t="s">
        <v>31</v>
      </c>
      <c r="C120" s="2" t="s">
        <v>31</v>
      </c>
      <c r="D120" s="2" t="s">
        <v>31</v>
      </c>
      <c r="E120" s="2" t="s">
        <v>31</v>
      </c>
      <c r="F120" s="2" t="s">
        <v>31</v>
      </c>
      <c r="G120" s="2" t="s">
        <v>31</v>
      </c>
      <c r="H120" s="2" t="s">
        <v>31</v>
      </c>
      <c r="I120" s="2" t="s">
        <v>31</v>
      </c>
      <c r="J120" s="2" t="s">
        <v>31</v>
      </c>
      <c r="K120" s="2" t="s">
        <v>31</v>
      </c>
      <c r="L120" s="2" t="s">
        <v>31</v>
      </c>
      <c r="M120" s="2" t="s">
        <v>31</v>
      </c>
      <c r="N120" s="2" t="s">
        <v>31</v>
      </c>
      <c r="O120" s="2" t="s">
        <v>31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2" t="s">
        <v>16</v>
      </c>
      <c r="V120" s="2" t="s">
        <v>28</v>
      </c>
      <c r="W120" s="2" t="s">
        <v>22</v>
      </c>
      <c r="X120" s="2" t="s">
        <v>24</v>
      </c>
      <c r="Y120" s="2" t="s">
        <v>26</v>
      </c>
      <c r="Z120" s="2" t="s">
        <v>28</v>
      </c>
      <c r="AA120" s="2" t="s">
        <v>25</v>
      </c>
      <c r="AB120" s="2" t="s">
        <v>27</v>
      </c>
      <c r="AC120" s="2" t="s">
        <v>22</v>
      </c>
      <c r="AD120" s="2" t="s">
        <v>16</v>
      </c>
      <c r="AE120" s="2" t="s">
        <v>27</v>
      </c>
      <c r="AF120" s="2" t="s">
        <v>24</v>
      </c>
      <c r="AG120" s="2" t="s">
        <v>16</v>
      </c>
      <c r="AH120" s="2" t="s">
        <v>18</v>
      </c>
      <c r="AI120" s="2" t="s">
        <v>26</v>
      </c>
      <c r="AJ120" s="2" t="s">
        <v>21</v>
      </c>
      <c r="AK120" s="2" t="s">
        <v>23</v>
      </c>
      <c r="AL120" s="2" t="s">
        <v>16</v>
      </c>
    </row>
    <row r="121" ht="14.25" customHeight="1">
      <c r="A121" s="17">
        <v>45621.0</v>
      </c>
      <c r="B121" s="2" t="s">
        <v>31</v>
      </c>
      <c r="C121" s="2" t="s">
        <v>31</v>
      </c>
      <c r="D121" s="2" t="s">
        <v>31</v>
      </c>
      <c r="E121" s="2" t="s">
        <v>31</v>
      </c>
      <c r="F121" s="2" t="s">
        <v>31</v>
      </c>
      <c r="G121" s="2" t="s">
        <v>31</v>
      </c>
      <c r="H121" s="2" t="s">
        <v>31</v>
      </c>
      <c r="I121" s="2" t="s">
        <v>31</v>
      </c>
      <c r="J121" s="2" t="s">
        <v>31</v>
      </c>
      <c r="K121" s="2" t="s">
        <v>31</v>
      </c>
      <c r="L121" s="2" t="s">
        <v>31</v>
      </c>
      <c r="M121" s="2" t="s">
        <v>31</v>
      </c>
      <c r="N121" s="2" t="s">
        <v>31</v>
      </c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2" t="s">
        <v>20</v>
      </c>
      <c r="V121" s="2" t="s">
        <v>20</v>
      </c>
      <c r="W121" s="2" t="s">
        <v>21</v>
      </c>
      <c r="X121" s="2" t="s">
        <v>25</v>
      </c>
      <c r="Y121" s="2" t="s">
        <v>22</v>
      </c>
      <c r="Z121" s="2" t="s">
        <v>16</v>
      </c>
      <c r="AA121" s="2" t="s">
        <v>16</v>
      </c>
      <c r="AB121" s="2" t="s">
        <v>21</v>
      </c>
      <c r="AC121" s="2" t="s">
        <v>23</v>
      </c>
      <c r="AD121" s="2" t="s">
        <v>16</v>
      </c>
      <c r="AE121" s="2" t="s">
        <v>21</v>
      </c>
      <c r="AF121" s="2" t="s">
        <v>16</v>
      </c>
      <c r="AG121" s="2" t="s">
        <v>23</v>
      </c>
      <c r="AH121" s="2" t="s">
        <v>24</v>
      </c>
      <c r="AI121" s="2" t="s">
        <v>21</v>
      </c>
      <c r="AJ121" s="2" t="s">
        <v>20</v>
      </c>
      <c r="AK121" s="2" t="s">
        <v>28</v>
      </c>
      <c r="AL121" s="2" t="s">
        <v>17</v>
      </c>
    </row>
    <row r="122" ht="14.25" customHeight="1">
      <c r="A122" s="17">
        <v>45622.0</v>
      </c>
      <c r="B122" s="2" t="s">
        <v>31</v>
      </c>
      <c r="C122" s="2" t="s">
        <v>31</v>
      </c>
      <c r="D122" s="2" t="s">
        <v>31</v>
      </c>
      <c r="E122" s="2" t="s">
        <v>31</v>
      </c>
      <c r="F122" s="2" t="s">
        <v>31</v>
      </c>
      <c r="G122" s="2" t="s">
        <v>31</v>
      </c>
      <c r="H122" s="2" t="s">
        <v>31</v>
      </c>
      <c r="I122" s="2" t="s">
        <v>31</v>
      </c>
      <c r="J122" s="2" t="s">
        <v>31</v>
      </c>
      <c r="K122" s="2" t="s">
        <v>31</v>
      </c>
      <c r="L122" s="2" t="s">
        <v>31</v>
      </c>
      <c r="M122" s="2" t="s">
        <v>31</v>
      </c>
      <c r="N122" s="2" t="s">
        <v>31</v>
      </c>
      <c r="O122" s="2" t="s">
        <v>31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2" t="s">
        <v>17</v>
      </c>
      <c r="V122" s="2" t="s">
        <v>24</v>
      </c>
      <c r="W122" s="2" t="s">
        <v>19</v>
      </c>
      <c r="X122" s="2" t="s">
        <v>16</v>
      </c>
      <c r="Y122" s="2" t="s">
        <v>28</v>
      </c>
      <c r="Z122" s="2" t="s">
        <v>25</v>
      </c>
      <c r="AA122" s="2" t="s">
        <v>16</v>
      </c>
      <c r="AB122" s="2" t="s">
        <v>18</v>
      </c>
      <c r="AC122" s="2" t="s">
        <v>19</v>
      </c>
      <c r="AD122" s="2" t="s">
        <v>16</v>
      </c>
      <c r="AE122" s="2" t="s">
        <v>19</v>
      </c>
      <c r="AF122" s="2" t="s">
        <v>20</v>
      </c>
      <c r="AG122" s="2" t="s">
        <v>16</v>
      </c>
      <c r="AH122" s="2" t="s">
        <v>24</v>
      </c>
      <c r="AI122" s="2" t="s">
        <v>25</v>
      </c>
      <c r="AJ122" s="2" t="s">
        <v>26</v>
      </c>
      <c r="AK122" s="2" t="s">
        <v>20</v>
      </c>
      <c r="AL122" s="2" t="s">
        <v>28</v>
      </c>
    </row>
    <row r="123" ht="14.25" customHeight="1">
      <c r="A123" s="17">
        <v>45623.0</v>
      </c>
      <c r="B123" s="2" t="s">
        <v>31</v>
      </c>
      <c r="C123" s="2" t="s">
        <v>31</v>
      </c>
      <c r="D123" s="2" t="s">
        <v>31</v>
      </c>
      <c r="E123" s="2" t="s">
        <v>31</v>
      </c>
      <c r="F123" s="2" t="s">
        <v>31</v>
      </c>
      <c r="G123" s="2" t="s">
        <v>31</v>
      </c>
      <c r="H123" s="2" t="s">
        <v>31</v>
      </c>
      <c r="I123" s="2" t="s">
        <v>31</v>
      </c>
      <c r="J123" s="2" t="s">
        <v>31</v>
      </c>
      <c r="K123" s="2" t="s">
        <v>31</v>
      </c>
      <c r="L123" s="2" t="s">
        <v>31</v>
      </c>
      <c r="M123" s="2" t="s">
        <v>31</v>
      </c>
      <c r="N123" s="2" t="s">
        <v>31</v>
      </c>
      <c r="O123" s="2" t="s">
        <v>31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2" t="s">
        <v>17</v>
      </c>
      <c r="V123" s="2" t="s">
        <v>21</v>
      </c>
      <c r="W123" s="2" t="s">
        <v>22</v>
      </c>
      <c r="X123" s="2" t="s">
        <v>22</v>
      </c>
      <c r="Y123" s="2" t="s">
        <v>20</v>
      </c>
      <c r="Z123" s="2" t="s">
        <v>16</v>
      </c>
      <c r="AA123" s="2" t="s">
        <v>26</v>
      </c>
      <c r="AB123" s="2" t="s">
        <v>27</v>
      </c>
      <c r="AC123" s="2" t="s">
        <v>26</v>
      </c>
      <c r="AD123" s="2" t="s">
        <v>24</v>
      </c>
      <c r="AE123" s="2" t="s">
        <v>22</v>
      </c>
      <c r="AF123" s="2" t="s">
        <v>16</v>
      </c>
      <c r="AG123" s="2" t="s">
        <v>16</v>
      </c>
      <c r="AH123" s="2" t="s">
        <v>16</v>
      </c>
      <c r="AI123" s="2" t="s">
        <v>26</v>
      </c>
      <c r="AJ123" s="2" t="s">
        <v>22</v>
      </c>
      <c r="AK123" s="2" t="s">
        <v>23</v>
      </c>
      <c r="AL123" s="2" t="s">
        <v>16</v>
      </c>
    </row>
    <row r="124" ht="14.25" customHeight="1">
      <c r="A124" s="17">
        <v>45624.0</v>
      </c>
      <c r="B124" s="2" t="s">
        <v>31</v>
      </c>
      <c r="C124" s="2" t="s">
        <v>31</v>
      </c>
      <c r="D124" s="2" t="s">
        <v>31</v>
      </c>
      <c r="E124" s="2" t="s">
        <v>31</v>
      </c>
      <c r="F124" s="2" t="s">
        <v>31</v>
      </c>
      <c r="G124" s="2" t="s">
        <v>31</v>
      </c>
      <c r="H124" s="2" t="s">
        <v>31</v>
      </c>
      <c r="I124" s="2" t="s">
        <v>31</v>
      </c>
      <c r="J124" s="2" t="s">
        <v>31</v>
      </c>
      <c r="K124" s="2" t="s">
        <v>31</v>
      </c>
      <c r="L124" s="2" t="s">
        <v>31</v>
      </c>
      <c r="M124" s="2" t="s">
        <v>31</v>
      </c>
      <c r="N124" s="2" t="s">
        <v>31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2" t="s">
        <v>16</v>
      </c>
      <c r="V124" s="2" t="s">
        <v>23</v>
      </c>
      <c r="W124" s="2" t="s">
        <v>16</v>
      </c>
      <c r="X124" s="2" t="s">
        <v>27</v>
      </c>
      <c r="Y124" s="2" t="s">
        <v>16</v>
      </c>
      <c r="Z124" s="2" t="s">
        <v>28</v>
      </c>
      <c r="AA124" s="2" t="s">
        <v>20</v>
      </c>
      <c r="AB124" s="2" t="s">
        <v>21</v>
      </c>
      <c r="AC124" s="2" t="s">
        <v>16</v>
      </c>
      <c r="AD124" s="2" t="s">
        <v>26</v>
      </c>
      <c r="AE124" s="2" t="s">
        <v>16</v>
      </c>
      <c r="AF124" s="2" t="s">
        <v>17</v>
      </c>
      <c r="AG124" s="2" t="s">
        <v>17</v>
      </c>
      <c r="AH124" s="2" t="s">
        <v>16</v>
      </c>
      <c r="AI124" s="2" t="s">
        <v>25</v>
      </c>
      <c r="AJ124" s="2" t="s">
        <v>19</v>
      </c>
      <c r="AK124" s="2" t="s">
        <v>24</v>
      </c>
      <c r="AL124" s="2" t="s">
        <v>16</v>
      </c>
    </row>
    <row r="125" ht="14.25" customHeight="1">
      <c r="A125" s="17">
        <v>45625.0</v>
      </c>
      <c r="B125" s="2" t="s">
        <v>31</v>
      </c>
      <c r="C125" s="2" t="s">
        <v>31</v>
      </c>
      <c r="D125" s="2" t="s">
        <v>31</v>
      </c>
      <c r="E125" s="2" t="s">
        <v>31</v>
      </c>
      <c r="F125" s="2" t="s">
        <v>31</v>
      </c>
      <c r="G125" s="2" t="s">
        <v>31</v>
      </c>
      <c r="H125" s="2" t="s">
        <v>31</v>
      </c>
      <c r="I125" s="2" t="s">
        <v>31</v>
      </c>
      <c r="J125" s="2" t="s">
        <v>31</v>
      </c>
      <c r="K125" s="2" t="s">
        <v>31</v>
      </c>
      <c r="L125" s="2" t="s">
        <v>31</v>
      </c>
      <c r="M125" s="2" t="s">
        <v>31</v>
      </c>
      <c r="N125" s="2" t="s">
        <v>31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2" t="s">
        <v>16</v>
      </c>
      <c r="V125" s="2" t="s">
        <v>17</v>
      </c>
      <c r="W125" s="2" t="s">
        <v>26</v>
      </c>
      <c r="X125" s="2" t="s">
        <v>25</v>
      </c>
      <c r="Y125" s="2" t="s">
        <v>26</v>
      </c>
      <c r="Z125" s="2" t="s">
        <v>16</v>
      </c>
      <c r="AA125" s="2" t="s">
        <v>16</v>
      </c>
      <c r="AB125" s="2" t="s">
        <v>24</v>
      </c>
      <c r="AC125" s="2" t="s">
        <v>27</v>
      </c>
      <c r="AD125" s="2" t="s">
        <v>27</v>
      </c>
      <c r="AE125" s="2" t="s">
        <v>19</v>
      </c>
      <c r="AF125" s="2" t="s">
        <v>22</v>
      </c>
      <c r="AG125" s="2" t="s">
        <v>16</v>
      </c>
      <c r="AH125" s="2" t="s">
        <v>28</v>
      </c>
      <c r="AI125" s="2" t="s">
        <v>19</v>
      </c>
      <c r="AJ125" s="2" t="s">
        <v>22</v>
      </c>
      <c r="AK125" s="2" t="s">
        <v>17</v>
      </c>
      <c r="AL125" s="2" t="s">
        <v>26</v>
      </c>
    </row>
    <row r="126" ht="14.25" customHeight="1">
      <c r="A126" s="17">
        <v>45626.0</v>
      </c>
      <c r="B126" s="2" t="s">
        <v>16</v>
      </c>
      <c r="C126" s="2" t="s">
        <v>28</v>
      </c>
      <c r="D126" s="2" t="s">
        <v>33</v>
      </c>
      <c r="E126" s="2" t="s">
        <v>16</v>
      </c>
      <c r="F126" s="2" t="s">
        <v>37</v>
      </c>
      <c r="G126" s="2" t="s">
        <v>25</v>
      </c>
      <c r="H126" s="2" t="s">
        <v>16</v>
      </c>
      <c r="I126" s="2" t="s">
        <v>18</v>
      </c>
      <c r="J126" s="2" t="s">
        <v>37</v>
      </c>
      <c r="K126" s="2" t="s">
        <v>16</v>
      </c>
      <c r="L126" s="2" t="s">
        <v>33</v>
      </c>
      <c r="M126" s="2" t="s">
        <v>21</v>
      </c>
      <c r="N126" s="2" t="s">
        <v>23</v>
      </c>
      <c r="O126" s="2" t="s">
        <v>26</v>
      </c>
      <c r="P126" s="2" t="s">
        <v>33</v>
      </c>
      <c r="Q126" s="2" t="s">
        <v>22</v>
      </c>
      <c r="R126" s="2" t="s">
        <v>16</v>
      </c>
      <c r="S126" s="2" t="s">
        <v>28</v>
      </c>
      <c r="T126" s="2" t="s">
        <v>27</v>
      </c>
      <c r="U126" s="2" t="s">
        <v>27</v>
      </c>
      <c r="V126" s="2" t="s">
        <v>24</v>
      </c>
      <c r="W126" s="2" t="s">
        <v>24</v>
      </c>
      <c r="X126" s="2" t="s">
        <v>19</v>
      </c>
      <c r="Y126" s="2" t="s">
        <v>16</v>
      </c>
      <c r="Z126" s="2" t="s">
        <v>21</v>
      </c>
      <c r="AA126" s="2" t="s">
        <v>16</v>
      </c>
      <c r="AB126" s="2" t="s">
        <v>17</v>
      </c>
      <c r="AC126" s="2" t="s">
        <v>16</v>
      </c>
      <c r="AD126" s="2" t="s">
        <v>27</v>
      </c>
      <c r="AE126" s="2" t="s">
        <v>28</v>
      </c>
      <c r="AF126" s="2" t="s">
        <v>17</v>
      </c>
      <c r="AG126" s="2" t="s">
        <v>20</v>
      </c>
      <c r="AH126" s="2" t="s">
        <v>18</v>
      </c>
      <c r="AI126" s="2" t="s">
        <v>22</v>
      </c>
      <c r="AJ126" s="2" t="s">
        <v>20</v>
      </c>
      <c r="AK126" s="2" t="s">
        <v>25</v>
      </c>
      <c r="AL126" s="2" t="s">
        <v>21</v>
      </c>
    </row>
    <row r="127" ht="14.25" customHeight="1">
      <c r="A127" s="17">
        <v>45627.0</v>
      </c>
      <c r="B127" s="2" t="s">
        <v>31</v>
      </c>
      <c r="C127" s="2" t="s">
        <v>31</v>
      </c>
      <c r="D127" s="2" t="s">
        <v>31</v>
      </c>
      <c r="E127" s="2" t="s">
        <v>31</v>
      </c>
      <c r="F127" s="2" t="s">
        <v>31</v>
      </c>
      <c r="G127" s="2" t="s">
        <v>31</v>
      </c>
      <c r="H127" s="2" t="s">
        <v>31</v>
      </c>
      <c r="I127" s="2" t="s">
        <v>31</v>
      </c>
      <c r="J127" s="2" t="s">
        <v>31</v>
      </c>
      <c r="K127" s="2" t="s">
        <v>31</v>
      </c>
      <c r="L127" s="2" t="s">
        <v>31</v>
      </c>
      <c r="M127" s="2" t="s">
        <v>31</v>
      </c>
      <c r="N127" s="2" t="s">
        <v>31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2" t="s">
        <v>22</v>
      </c>
      <c r="V127" s="2" t="s">
        <v>24</v>
      </c>
      <c r="W127" s="2" t="s">
        <v>16</v>
      </c>
      <c r="X127" s="2" t="s">
        <v>20</v>
      </c>
      <c r="Y127" s="2" t="s">
        <v>16</v>
      </c>
      <c r="Z127" s="2" t="s">
        <v>26</v>
      </c>
      <c r="AA127" s="2" t="s">
        <v>17</v>
      </c>
      <c r="AB127" s="2" t="s">
        <v>25</v>
      </c>
      <c r="AC127" s="2" t="s">
        <v>25</v>
      </c>
      <c r="AD127" s="2" t="s">
        <v>22</v>
      </c>
      <c r="AE127" s="2" t="s">
        <v>27</v>
      </c>
      <c r="AF127" s="2" t="s">
        <v>20</v>
      </c>
      <c r="AG127" s="2" t="s">
        <v>18</v>
      </c>
      <c r="AH127" s="2" t="s">
        <v>26</v>
      </c>
      <c r="AI127" s="2" t="s">
        <v>16</v>
      </c>
      <c r="AJ127" s="2" t="s">
        <v>24</v>
      </c>
      <c r="AK127" s="2" t="s">
        <v>16</v>
      </c>
      <c r="AL127" s="2" t="s">
        <v>21</v>
      </c>
    </row>
    <row r="128" ht="14.25" customHeight="1">
      <c r="A128" s="17">
        <v>45628.0</v>
      </c>
      <c r="B128" s="2" t="s">
        <v>31</v>
      </c>
      <c r="C128" s="2" t="s">
        <v>31</v>
      </c>
      <c r="D128" s="2" t="s">
        <v>31</v>
      </c>
      <c r="E128" s="2" t="s">
        <v>31</v>
      </c>
      <c r="F128" s="2" t="s">
        <v>31</v>
      </c>
      <c r="G128" s="2" t="s">
        <v>31</v>
      </c>
      <c r="H128" s="2" t="s">
        <v>31</v>
      </c>
      <c r="I128" s="2" t="s">
        <v>31</v>
      </c>
      <c r="J128" s="2" t="s">
        <v>31</v>
      </c>
      <c r="K128" s="2" t="s">
        <v>31</v>
      </c>
      <c r="L128" s="2" t="s">
        <v>31</v>
      </c>
      <c r="M128" s="2" t="s">
        <v>31</v>
      </c>
      <c r="N128" s="2" t="s">
        <v>31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2" t="s">
        <v>28</v>
      </c>
      <c r="V128" s="2" t="s">
        <v>16</v>
      </c>
      <c r="W128" s="2" t="s">
        <v>22</v>
      </c>
      <c r="X128" s="2" t="s">
        <v>18</v>
      </c>
      <c r="Y128" s="2" t="s">
        <v>20</v>
      </c>
      <c r="Z128" s="2" t="s">
        <v>16</v>
      </c>
      <c r="AA128" s="2" t="s">
        <v>26</v>
      </c>
      <c r="AB128" s="2" t="s">
        <v>16</v>
      </c>
      <c r="AC128" s="2" t="s">
        <v>19</v>
      </c>
      <c r="AD128" s="2" t="s">
        <v>28</v>
      </c>
      <c r="AE128" s="2" t="s">
        <v>27</v>
      </c>
      <c r="AF128" s="2" t="s">
        <v>16</v>
      </c>
      <c r="AG128" s="2" t="s">
        <v>17</v>
      </c>
      <c r="AH128" s="2" t="s">
        <v>18</v>
      </c>
      <c r="AI128" s="2" t="s">
        <v>19</v>
      </c>
      <c r="AJ128" s="2" t="s">
        <v>21</v>
      </c>
      <c r="AK128" s="2" t="s">
        <v>20</v>
      </c>
      <c r="AL128" s="2" t="s">
        <v>22</v>
      </c>
    </row>
    <row r="129" ht="14.25" customHeight="1">
      <c r="A129" s="17">
        <v>45629.0</v>
      </c>
      <c r="B129" s="2" t="s">
        <v>31</v>
      </c>
      <c r="C129" s="2" t="s">
        <v>31</v>
      </c>
      <c r="D129" s="2" t="s">
        <v>31</v>
      </c>
      <c r="E129" s="2" t="s">
        <v>31</v>
      </c>
      <c r="F129" s="2" t="s">
        <v>31</v>
      </c>
      <c r="G129" s="2" t="s">
        <v>31</v>
      </c>
      <c r="H129" s="2" t="s">
        <v>31</v>
      </c>
      <c r="I129" s="2" t="s">
        <v>31</v>
      </c>
      <c r="J129" s="2" t="s">
        <v>31</v>
      </c>
      <c r="K129" s="2" t="s">
        <v>31</v>
      </c>
      <c r="L129" s="2" t="s">
        <v>31</v>
      </c>
      <c r="M129" s="2" t="s">
        <v>31</v>
      </c>
      <c r="N129" s="2" t="s">
        <v>31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2" t="s">
        <v>23</v>
      </c>
      <c r="V129" s="2" t="s">
        <v>27</v>
      </c>
      <c r="W129" s="2" t="s">
        <v>26</v>
      </c>
      <c r="X129" s="2" t="s">
        <v>25</v>
      </c>
      <c r="Y129" s="2" t="s">
        <v>22</v>
      </c>
      <c r="Z129" s="2" t="s">
        <v>16</v>
      </c>
      <c r="AA129" s="2" t="s">
        <v>16</v>
      </c>
      <c r="AB129" s="2" t="s">
        <v>16</v>
      </c>
      <c r="AC129" s="2" t="s">
        <v>16</v>
      </c>
      <c r="AD129" s="2" t="s">
        <v>28</v>
      </c>
      <c r="AE129" s="2" t="s">
        <v>27</v>
      </c>
      <c r="AF129" s="2" t="s">
        <v>16</v>
      </c>
      <c r="AG129" s="2" t="s">
        <v>16</v>
      </c>
      <c r="AH129" s="2" t="s">
        <v>16</v>
      </c>
      <c r="AI129" s="2" t="s">
        <v>28</v>
      </c>
      <c r="AJ129" s="2" t="s">
        <v>20</v>
      </c>
      <c r="AK129" s="2" t="s">
        <v>24</v>
      </c>
      <c r="AL129" s="2" t="s">
        <v>19</v>
      </c>
    </row>
    <row r="130" ht="14.25" customHeight="1">
      <c r="A130" s="17">
        <v>45630.0</v>
      </c>
      <c r="B130" s="2" t="s">
        <v>31</v>
      </c>
      <c r="C130" s="2" t="s">
        <v>31</v>
      </c>
      <c r="D130" s="2" t="s">
        <v>31</v>
      </c>
      <c r="E130" s="2" t="s">
        <v>31</v>
      </c>
      <c r="F130" s="2" t="s">
        <v>31</v>
      </c>
      <c r="G130" s="2" t="s">
        <v>31</v>
      </c>
      <c r="H130" s="2" t="s">
        <v>31</v>
      </c>
      <c r="I130" s="2" t="s">
        <v>31</v>
      </c>
      <c r="J130" s="2" t="s">
        <v>31</v>
      </c>
      <c r="K130" s="2" t="s">
        <v>31</v>
      </c>
      <c r="L130" s="2" t="s">
        <v>31</v>
      </c>
      <c r="M130" s="2" t="s">
        <v>31</v>
      </c>
      <c r="N130" s="2" t="s">
        <v>31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2" t="s">
        <v>25</v>
      </c>
      <c r="V130" s="2" t="s">
        <v>25</v>
      </c>
      <c r="W130" s="2" t="s">
        <v>21</v>
      </c>
      <c r="X130" s="2" t="s">
        <v>16</v>
      </c>
      <c r="Y130" s="2" t="s">
        <v>19</v>
      </c>
      <c r="Z130" s="2" t="s">
        <v>19</v>
      </c>
      <c r="AA130" s="2" t="s">
        <v>21</v>
      </c>
      <c r="AB130" s="2" t="s">
        <v>19</v>
      </c>
      <c r="AC130" s="2" t="s">
        <v>16</v>
      </c>
      <c r="AD130" s="2" t="s">
        <v>20</v>
      </c>
      <c r="AE130" s="2" t="s">
        <v>25</v>
      </c>
      <c r="AF130" s="2" t="s">
        <v>16</v>
      </c>
      <c r="AG130" s="2" t="s">
        <v>23</v>
      </c>
      <c r="AH130" s="2" t="s">
        <v>16</v>
      </c>
      <c r="AI130" s="2" t="s">
        <v>16</v>
      </c>
      <c r="AJ130" s="2" t="s">
        <v>16</v>
      </c>
      <c r="AK130" s="2" t="s">
        <v>24</v>
      </c>
      <c r="AL130" s="2" t="s">
        <v>16</v>
      </c>
    </row>
    <row r="131" ht="14.25" customHeight="1">
      <c r="A131" s="17">
        <v>45631.0</v>
      </c>
      <c r="B131" s="2" t="s">
        <v>31</v>
      </c>
      <c r="C131" s="2" t="s">
        <v>31</v>
      </c>
      <c r="D131" s="2" t="s">
        <v>31</v>
      </c>
      <c r="E131" s="2" t="s">
        <v>31</v>
      </c>
      <c r="F131" s="2" t="s">
        <v>31</v>
      </c>
      <c r="G131" s="2" t="s">
        <v>31</v>
      </c>
      <c r="H131" s="2" t="s">
        <v>31</v>
      </c>
      <c r="I131" s="2" t="s">
        <v>31</v>
      </c>
      <c r="J131" s="2" t="s">
        <v>31</v>
      </c>
      <c r="K131" s="2" t="s">
        <v>31</v>
      </c>
      <c r="L131" s="2" t="s">
        <v>31</v>
      </c>
      <c r="M131" s="2" t="s">
        <v>31</v>
      </c>
      <c r="N131" s="2" t="s">
        <v>31</v>
      </c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2" t="s">
        <v>19</v>
      </c>
      <c r="V131" s="2" t="s">
        <v>17</v>
      </c>
      <c r="W131" s="2" t="s">
        <v>28</v>
      </c>
      <c r="X131" s="2" t="s">
        <v>21</v>
      </c>
      <c r="Y131" s="2" t="s">
        <v>25</v>
      </c>
      <c r="Z131" s="2" t="s">
        <v>16</v>
      </c>
      <c r="AA131" s="2" t="s">
        <v>16</v>
      </c>
      <c r="AB131" s="2" t="s">
        <v>24</v>
      </c>
      <c r="AC131" s="2" t="s">
        <v>17</v>
      </c>
      <c r="AD131" s="2" t="s">
        <v>26</v>
      </c>
      <c r="AE131" s="2" t="s">
        <v>21</v>
      </c>
      <c r="AF131" s="2" t="s">
        <v>26</v>
      </c>
      <c r="AG131" s="2" t="s">
        <v>16</v>
      </c>
      <c r="AH131" s="2" t="s">
        <v>16</v>
      </c>
      <c r="AI131" s="2" t="s">
        <v>28</v>
      </c>
      <c r="AJ131" s="2" t="s">
        <v>20</v>
      </c>
      <c r="AK131" s="2" t="s">
        <v>21</v>
      </c>
      <c r="AL131" s="2" t="s">
        <v>16</v>
      </c>
    </row>
    <row r="132" ht="14.25" customHeight="1">
      <c r="A132" s="17">
        <v>45632.0</v>
      </c>
      <c r="B132" s="2" t="s">
        <v>31</v>
      </c>
      <c r="C132" s="2" t="s">
        <v>31</v>
      </c>
      <c r="D132" s="2" t="s">
        <v>31</v>
      </c>
      <c r="E132" s="2" t="s">
        <v>31</v>
      </c>
      <c r="F132" s="2" t="s">
        <v>31</v>
      </c>
      <c r="G132" s="2" t="s">
        <v>31</v>
      </c>
      <c r="H132" s="2" t="s">
        <v>31</v>
      </c>
      <c r="I132" s="2" t="s">
        <v>31</v>
      </c>
      <c r="J132" s="2" t="s">
        <v>31</v>
      </c>
      <c r="K132" s="2" t="s">
        <v>31</v>
      </c>
      <c r="L132" s="2" t="s">
        <v>31</v>
      </c>
      <c r="M132" s="2" t="s">
        <v>31</v>
      </c>
      <c r="N132" s="2" t="s">
        <v>31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2" t="s">
        <v>16</v>
      </c>
      <c r="V132" s="2" t="s">
        <v>21</v>
      </c>
      <c r="W132" s="2" t="s">
        <v>16</v>
      </c>
      <c r="X132" s="2" t="s">
        <v>27</v>
      </c>
      <c r="Y132" s="2" t="s">
        <v>24</v>
      </c>
      <c r="Z132" s="2" t="s">
        <v>24</v>
      </c>
      <c r="AA132" s="2" t="s">
        <v>16</v>
      </c>
      <c r="AB132" s="2" t="s">
        <v>21</v>
      </c>
      <c r="AC132" s="2" t="s">
        <v>16</v>
      </c>
      <c r="AD132" s="2" t="s">
        <v>19</v>
      </c>
      <c r="AE132" s="2" t="s">
        <v>16</v>
      </c>
      <c r="AF132" s="2" t="s">
        <v>17</v>
      </c>
      <c r="AG132" s="2" t="s">
        <v>16</v>
      </c>
      <c r="AH132" s="2" t="s">
        <v>27</v>
      </c>
      <c r="AI132" s="2" t="s">
        <v>26</v>
      </c>
      <c r="AJ132" s="2" t="s">
        <v>16</v>
      </c>
      <c r="AK132" s="2" t="s">
        <v>17</v>
      </c>
      <c r="AL132" s="2" t="s">
        <v>17</v>
      </c>
    </row>
    <row r="133" ht="14.25" customHeight="1">
      <c r="A133" s="17">
        <v>45633.0</v>
      </c>
      <c r="B133" s="2" t="s">
        <v>36</v>
      </c>
      <c r="C133" s="2" t="s">
        <v>27</v>
      </c>
      <c r="D133" s="2" t="s">
        <v>28</v>
      </c>
      <c r="E133" s="2" t="s">
        <v>16</v>
      </c>
      <c r="F133" s="2" t="s">
        <v>43</v>
      </c>
      <c r="G133" s="2" t="s">
        <v>16</v>
      </c>
      <c r="H133" s="2" t="s">
        <v>41</v>
      </c>
      <c r="I133" s="2" t="s">
        <v>33</v>
      </c>
      <c r="J133" s="2" t="s">
        <v>32</v>
      </c>
      <c r="K133" s="2" t="s">
        <v>16</v>
      </c>
      <c r="L133" s="2" t="s">
        <v>43</v>
      </c>
      <c r="M133" s="2" t="s">
        <v>29</v>
      </c>
      <c r="N133" s="2" t="s">
        <v>18</v>
      </c>
      <c r="O133" s="2" t="s">
        <v>25</v>
      </c>
      <c r="P133" s="2" t="s">
        <v>33</v>
      </c>
      <c r="Q133" s="2" t="s">
        <v>43</v>
      </c>
      <c r="R133" s="2" t="s">
        <v>26</v>
      </c>
      <c r="S133" s="2" t="s">
        <v>25</v>
      </c>
      <c r="T133" s="2" t="s">
        <v>37</v>
      </c>
      <c r="U133" s="2" t="s">
        <v>20</v>
      </c>
      <c r="V133" s="2" t="s">
        <v>16</v>
      </c>
      <c r="W133" s="2" t="s">
        <v>28</v>
      </c>
      <c r="X133" s="2" t="s">
        <v>16</v>
      </c>
      <c r="Y133" s="2" t="s">
        <v>20</v>
      </c>
      <c r="Z133" s="2" t="s">
        <v>21</v>
      </c>
      <c r="AA133" s="2" t="s">
        <v>21</v>
      </c>
      <c r="AB133" s="2" t="s">
        <v>23</v>
      </c>
      <c r="AC133" s="2" t="s">
        <v>21</v>
      </c>
      <c r="AD133" s="2" t="s">
        <v>19</v>
      </c>
      <c r="AE133" s="2" t="s">
        <v>25</v>
      </c>
      <c r="AF133" s="2" t="s">
        <v>16</v>
      </c>
      <c r="AG133" s="2" t="s">
        <v>24</v>
      </c>
      <c r="AH133" s="2" t="s">
        <v>16</v>
      </c>
      <c r="AI133" s="2" t="s">
        <v>28</v>
      </c>
      <c r="AJ133" s="2" t="s">
        <v>18</v>
      </c>
      <c r="AK133" s="2" t="s">
        <v>17</v>
      </c>
      <c r="AL133" s="2" t="s">
        <v>25</v>
      </c>
    </row>
    <row r="134" ht="14.25" customHeight="1">
      <c r="A134" s="17">
        <v>45634.0</v>
      </c>
      <c r="B134" s="2" t="s">
        <v>31</v>
      </c>
      <c r="C134" s="2" t="s">
        <v>31</v>
      </c>
      <c r="D134" s="2" t="s">
        <v>31</v>
      </c>
      <c r="E134" s="2" t="s">
        <v>31</v>
      </c>
      <c r="F134" s="2" t="s">
        <v>31</v>
      </c>
      <c r="G134" s="2" t="s">
        <v>31</v>
      </c>
      <c r="H134" s="2" t="s">
        <v>31</v>
      </c>
      <c r="I134" s="2" t="s">
        <v>31</v>
      </c>
      <c r="J134" s="2" t="s">
        <v>31</v>
      </c>
      <c r="K134" s="2" t="s">
        <v>31</v>
      </c>
      <c r="L134" s="2" t="s">
        <v>31</v>
      </c>
      <c r="M134" s="2" t="s">
        <v>31</v>
      </c>
      <c r="N134" s="2" t="s">
        <v>31</v>
      </c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2" t="s">
        <v>22</v>
      </c>
      <c r="V134" s="2" t="s">
        <v>16</v>
      </c>
      <c r="W134" s="2" t="s">
        <v>16</v>
      </c>
      <c r="X134" s="2" t="s">
        <v>16</v>
      </c>
      <c r="Y134" s="2" t="s">
        <v>17</v>
      </c>
      <c r="Z134" s="2" t="s">
        <v>22</v>
      </c>
      <c r="AA134" s="2" t="s">
        <v>16</v>
      </c>
      <c r="AB134" s="2" t="s">
        <v>16</v>
      </c>
      <c r="AC134" s="2" t="s">
        <v>26</v>
      </c>
      <c r="AD134" s="2" t="s">
        <v>27</v>
      </c>
      <c r="AE134" s="2" t="s">
        <v>26</v>
      </c>
      <c r="AF134" s="2" t="s">
        <v>17</v>
      </c>
      <c r="AG134" s="2" t="s">
        <v>16</v>
      </c>
      <c r="AH134" s="2" t="s">
        <v>16</v>
      </c>
      <c r="AI134" s="2" t="s">
        <v>16</v>
      </c>
      <c r="AJ134" s="2" t="s">
        <v>22</v>
      </c>
      <c r="AK134" s="2" t="s">
        <v>21</v>
      </c>
      <c r="AL134" s="2" t="s">
        <v>28</v>
      </c>
    </row>
    <row r="135" ht="14.25" customHeight="1">
      <c r="A135" s="17">
        <v>45635.0</v>
      </c>
      <c r="B135" s="2" t="s">
        <v>31</v>
      </c>
      <c r="C135" s="2" t="s">
        <v>31</v>
      </c>
      <c r="D135" s="2" t="s">
        <v>31</v>
      </c>
      <c r="E135" s="2" t="s">
        <v>31</v>
      </c>
      <c r="F135" s="2" t="s">
        <v>31</v>
      </c>
      <c r="G135" s="2" t="s">
        <v>31</v>
      </c>
      <c r="H135" s="2" t="s">
        <v>31</v>
      </c>
      <c r="I135" s="2" t="s">
        <v>31</v>
      </c>
      <c r="J135" s="2" t="s">
        <v>31</v>
      </c>
      <c r="K135" s="2" t="s">
        <v>31</v>
      </c>
      <c r="L135" s="2" t="s">
        <v>31</v>
      </c>
      <c r="M135" s="2" t="s">
        <v>31</v>
      </c>
      <c r="N135" s="2" t="s">
        <v>31</v>
      </c>
      <c r="O135" s="2" t="s">
        <v>31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2" t="s">
        <v>21</v>
      </c>
      <c r="V135" s="2" t="s">
        <v>16</v>
      </c>
      <c r="W135" s="2" t="s">
        <v>26</v>
      </c>
      <c r="X135" s="2" t="s">
        <v>16</v>
      </c>
      <c r="Y135" s="2" t="s">
        <v>16</v>
      </c>
      <c r="Z135" s="2" t="s">
        <v>26</v>
      </c>
      <c r="AA135" s="2" t="s">
        <v>24</v>
      </c>
      <c r="AB135" s="2" t="s">
        <v>16</v>
      </c>
      <c r="AC135" s="2" t="s">
        <v>28</v>
      </c>
      <c r="AD135" s="2" t="s">
        <v>24</v>
      </c>
      <c r="AE135" s="2" t="s">
        <v>20</v>
      </c>
      <c r="AF135" s="2" t="s">
        <v>24</v>
      </c>
      <c r="AG135" s="2" t="s">
        <v>27</v>
      </c>
      <c r="AH135" s="2" t="s">
        <v>22</v>
      </c>
      <c r="AI135" s="2" t="s">
        <v>16</v>
      </c>
      <c r="AJ135" s="2" t="s">
        <v>28</v>
      </c>
      <c r="AK135" s="2" t="s">
        <v>16</v>
      </c>
      <c r="AL135" s="2" t="s">
        <v>24</v>
      </c>
    </row>
    <row r="136" ht="14.25" customHeight="1">
      <c r="A136" s="17">
        <v>45636.0</v>
      </c>
      <c r="B136" s="2" t="s">
        <v>31</v>
      </c>
      <c r="C136" s="2" t="s">
        <v>31</v>
      </c>
      <c r="D136" s="2" t="s">
        <v>31</v>
      </c>
      <c r="E136" s="2" t="s">
        <v>31</v>
      </c>
      <c r="F136" s="2" t="s">
        <v>31</v>
      </c>
      <c r="G136" s="2" t="s">
        <v>31</v>
      </c>
      <c r="H136" s="2" t="s">
        <v>31</v>
      </c>
      <c r="I136" s="2" t="s">
        <v>31</v>
      </c>
      <c r="J136" s="2" t="s">
        <v>31</v>
      </c>
      <c r="K136" s="2" t="s">
        <v>31</v>
      </c>
      <c r="L136" s="2" t="s">
        <v>31</v>
      </c>
      <c r="M136" s="2" t="s">
        <v>31</v>
      </c>
      <c r="N136" s="2" t="s">
        <v>31</v>
      </c>
      <c r="O136" s="2" t="s">
        <v>31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2" t="s">
        <v>22</v>
      </c>
      <c r="V136" s="2" t="s">
        <v>23</v>
      </c>
      <c r="W136" s="2" t="s">
        <v>27</v>
      </c>
      <c r="X136" s="2" t="s">
        <v>22</v>
      </c>
      <c r="Y136" s="2" t="s">
        <v>16</v>
      </c>
      <c r="Z136" s="2" t="s">
        <v>16</v>
      </c>
      <c r="AA136" s="2" t="s">
        <v>21</v>
      </c>
      <c r="AB136" s="2" t="s">
        <v>16</v>
      </c>
      <c r="AC136" s="2" t="s">
        <v>28</v>
      </c>
      <c r="AD136" s="2" t="s">
        <v>20</v>
      </c>
      <c r="AE136" s="2" t="s">
        <v>18</v>
      </c>
      <c r="AF136" s="2" t="s">
        <v>19</v>
      </c>
      <c r="AG136" s="2" t="s">
        <v>18</v>
      </c>
      <c r="AH136" s="2" t="s">
        <v>28</v>
      </c>
      <c r="AI136" s="2" t="s">
        <v>16</v>
      </c>
      <c r="AJ136" s="2" t="s">
        <v>17</v>
      </c>
      <c r="AK136" s="2" t="s">
        <v>16</v>
      </c>
      <c r="AL136" s="2" t="s">
        <v>27</v>
      </c>
    </row>
    <row r="137" ht="14.25" customHeight="1">
      <c r="A137" s="17">
        <v>45637.0</v>
      </c>
      <c r="B137" s="2" t="s">
        <v>31</v>
      </c>
      <c r="C137" s="2" t="s">
        <v>31</v>
      </c>
      <c r="D137" s="2" t="s">
        <v>31</v>
      </c>
      <c r="E137" s="2" t="s">
        <v>31</v>
      </c>
      <c r="F137" s="2" t="s">
        <v>31</v>
      </c>
      <c r="G137" s="2" t="s">
        <v>31</v>
      </c>
      <c r="H137" s="2" t="s">
        <v>31</v>
      </c>
      <c r="I137" s="2" t="s">
        <v>31</v>
      </c>
      <c r="J137" s="2" t="s">
        <v>31</v>
      </c>
      <c r="K137" s="2" t="s">
        <v>31</v>
      </c>
      <c r="L137" s="2" t="s">
        <v>31</v>
      </c>
      <c r="M137" s="2" t="s">
        <v>31</v>
      </c>
      <c r="N137" s="2" t="s">
        <v>31</v>
      </c>
      <c r="O137" s="2" t="s">
        <v>31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2" t="s">
        <v>16</v>
      </c>
      <c r="V137" s="2" t="s">
        <v>26</v>
      </c>
      <c r="W137" s="2" t="s">
        <v>16</v>
      </c>
      <c r="X137" s="2" t="s">
        <v>25</v>
      </c>
      <c r="Y137" s="2" t="s">
        <v>24</v>
      </c>
      <c r="Z137" s="2" t="s">
        <v>20</v>
      </c>
      <c r="AA137" s="2" t="s">
        <v>19</v>
      </c>
      <c r="AB137" s="2" t="s">
        <v>19</v>
      </c>
      <c r="AC137" s="2" t="s">
        <v>16</v>
      </c>
      <c r="AD137" s="2" t="s">
        <v>22</v>
      </c>
      <c r="AE137" s="2" t="s">
        <v>22</v>
      </c>
      <c r="AF137" s="2" t="s">
        <v>24</v>
      </c>
      <c r="AG137" s="2" t="s">
        <v>18</v>
      </c>
      <c r="AH137" s="2" t="s">
        <v>16</v>
      </c>
      <c r="AI137" s="2" t="s">
        <v>24</v>
      </c>
      <c r="AJ137" s="2" t="s">
        <v>24</v>
      </c>
      <c r="AK137" s="2" t="s">
        <v>25</v>
      </c>
      <c r="AL137" s="2" t="s">
        <v>25</v>
      </c>
    </row>
    <row r="138" ht="14.25" customHeight="1">
      <c r="A138" s="17">
        <v>45638.0</v>
      </c>
      <c r="B138" s="2" t="s">
        <v>31</v>
      </c>
      <c r="C138" s="2" t="s">
        <v>31</v>
      </c>
      <c r="D138" s="2" t="s">
        <v>31</v>
      </c>
      <c r="E138" s="2" t="s">
        <v>31</v>
      </c>
      <c r="F138" s="2" t="s">
        <v>31</v>
      </c>
      <c r="G138" s="2" t="s">
        <v>31</v>
      </c>
      <c r="H138" s="2" t="s">
        <v>31</v>
      </c>
      <c r="I138" s="2" t="s">
        <v>31</v>
      </c>
      <c r="J138" s="2" t="s">
        <v>31</v>
      </c>
      <c r="K138" s="2" t="s">
        <v>31</v>
      </c>
      <c r="L138" s="2" t="s">
        <v>31</v>
      </c>
      <c r="M138" s="2" t="s">
        <v>31</v>
      </c>
      <c r="N138" s="2" t="s">
        <v>31</v>
      </c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2" t="s">
        <v>22</v>
      </c>
      <c r="V138" s="2" t="s">
        <v>24</v>
      </c>
      <c r="W138" s="2" t="s">
        <v>16</v>
      </c>
      <c r="X138" s="2" t="s">
        <v>20</v>
      </c>
      <c r="Y138" s="2" t="s">
        <v>22</v>
      </c>
      <c r="Z138" s="2" t="s">
        <v>21</v>
      </c>
      <c r="AA138" s="2" t="s">
        <v>16</v>
      </c>
      <c r="AB138" s="2" t="s">
        <v>26</v>
      </c>
      <c r="AC138" s="2" t="s">
        <v>22</v>
      </c>
      <c r="AD138" s="2" t="s">
        <v>22</v>
      </c>
      <c r="AE138" s="2" t="s">
        <v>16</v>
      </c>
      <c r="AF138" s="2" t="s">
        <v>16</v>
      </c>
      <c r="AG138" s="2" t="s">
        <v>23</v>
      </c>
      <c r="AH138" s="2" t="s">
        <v>26</v>
      </c>
      <c r="AI138" s="2" t="s">
        <v>25</v>
      </c>
      <c r="AJ138" s="2" t="s">
        <v>22</v>
      </c>
      <c r="AK138" s="2" t="s">
        <v>21</v>
      </c>
      <c r="AL138" s="2" t="s">
        <v>27</v>
      </c>
    </row>
    <row r="139" ht="14.25" customHeight="1">
      <c r="A139" s="17">
        <v>45639.0</v>
      </c>
      <c r="B139" s="2" t="s">
        <v>31</v>
      </c>
      <c r="C139" s="2" t="s">
        <v>31</v>
      </c>
      <c r="D139" s="2" t="s">
        <v>31</v>
      </c>
      <c r="E139" s="2" t="s">
        <v>31</v>
      </c>
      <c r="F139" s="2" t="s">
        <v>31</v>
      </c>
      <c r="G139" s="2" t="s">
        <v>31</v>
      </c>
      <c r="H139" s="2" t="s">
        <v>31</v>
      </c>
      <c r="I139" s="2" t="s">
        <v>31</v>
      </c>
      <c r="J139" s="2" t="s">
        <v>31</v>
      </c>
      <c r="K139" s="2" t="s">
        <v>31</v>
      </c>
      <c r="L139" s="2" t="s">
        <v>31</v>
      </c>
      <c r="M139" s="2" t="s">
        <v>31</v>
      </c>
      <c r="N139" s="2" t="s">
        <v>31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2" t="s">
        <v>22</v>
      </c>
      <c r="V139" s="2" t="s">
        <v>20</v>
      </c>
      <c r="W139" s="2" t="s">
        <v>23</v>
      </c>
      <c r="X139" s="2" t="s">
        <v>19</v>
      </c>
      <c r="Y139" s="2" t="s">
        <v>16</v>
      </c>
      <c r="Z139" s="2" t="s">
        <v>16</v>
      </c>
      <c r="AA139" s="2" t="s">
        <v>16</v>
      </c>
      <c r="AB139" s="2" t="s">
        <v>16</v>
      </c>
      <c r="AC139" s="2" t="s">
        <v>22</v>
      </c>
      <c r="AD139" s="2" t="s">
        <v>20</v>
      </c>
      <c r="AE139" s="2" t="s">
        <v>26</v>
      </c>
      <c r="AF139" s="2" t="s">
        <v>16</v>
      </c>
      <c r="AG139" s="2" t="s">
        <v>16</v>
      </c>
      <c r="AH139" s="2" t="s">
        <v>26</v>
      </c>
      <c r="AI139" s="2" t="s">
        <v>18</v>
      </c>
      <c r="AJ139" s="2" t="s">
        <v>27</v>
      </c>
      <c r="AK139" s="2" t="s">
        <v>21</v>
      </c>
      <c r="AL139" s="2" t="s">
        <v>16</v>
      </c>
    </row>
    <row r="140" ht="14.25" customHeight="1">
      <c r="A140" s="17">
        <v>45640.0</v>
      </c>
      <c r="B140" s="2" t="s">
        <v>17</v>
      </c>
      <c r="C140" s="2" t="s">
        <v>17</v>
      </c>
      <c r="D140" s="2" t="s">
        <v>19</v>
      </c>
      <c r="E140" s="2" t="s">
        <v>19</v>
      </c>
      <c r="F140" s="2" t="s">
        <v>19</v>
      </c>
      <c r="G140" s="2" t="s">
        <v>16</v>
      </c>
      <c r="H140" s="2" t="s">
        <v>32</v>
      </c>
      <c r="I140" s="2" t="s">
        <v>32</v>
      </c>
      <c r="J140" s="2" t="s">
        <v>43</v>
      </c>
      <c r="K140" s="2" t="s">
        <v>40</v>
      </c>
      <c r="L140" s="2" t="s">
        <v>18</v>
      </c>
      <c r="M140" s="2" t="s">
        <v>36</v>
      </c>
      <c r="N140" s="2" t="s">
        <v>19</v>
      </c>
      <c r="O140" s="2" t="s">
        <v>35</v>
      </c>
      <c r="P140" s="2" t="s">
        <v>36</v>
      </c>
      <c r="Q140" s="2" t="s">
        <v>29</v>
      </c>
      <c r="R140" s="2" t="s">
        <v>43</v>
      </c>
      <c r="S140" s="2" t="s">
        <v>24</v>
      </c>
      <c r="T140" s="2" t="s">
        <v>43</v>
      </c>
      <c r="U140" s="2" t="s">
        <v>16</v>
      </c>
      <c r="V140" s="2" t="s">
        <v>16</v>
      </c>
      <c r="W140" s="2" t="s">
        <v>16</v>
      </c>
      <c r="X140" s="2" t="s">
        <v>16</v>
      </c>
      <c r="Y140" s="2" t="s">
        <v>16</v>
      </c>
      <c r="Z140" s="2" t="s">
        <v>26</v>
      </c>
      <c r="AA140" s="2" t="s">
        <v>16</v>
      </c>
      <c r="AB140" s="2" t="s">
        <v>17</v>
      </c>
      <c r="AC140" s="2" t="s">
        <v>17</v>
      </c>
      <c r="AD140" s="2" t="s">
        <v>16</v>
      </c>
      <c r="AE140" s="2" t="s">
        <v>23</v>
      </c>
      <c r="AF140" s="2" t="s">
        <v>22</v>
      </c>
      <c r="AG140" s="2" t="s">
        <v>16</v>
      </c>
      <c r="AH140" s="2" t="s">
        <v>22</v>
      </c>
      <c r="AI140" s="2" t="s">
        <v>16</v>
      </c>
      <c r="AJ140" s="2" t="s">
        <v>20</v>
      </c>
      <c r="AK140" s="2" t="s">
        <v>16</v>
      </c>
      <c r="AL140" s="2" t="s">
        <v>18</v>
      </c>
    </row>
    <row r="141" ht="14.25" customHeight="1">
      <c r="A141" s="17">
        <v>45641.0</v>
      </c>
      <c r="B141" s="2" t="s">
        <v>31</v>
      </c>
      <c r="C141" s="2" t="s">
        <v>31</v>
      </c>
      <c r="D141" s="2" t="s">
        <v>31</v>
      </c>
      <c r="E141" s="2" t="s">
        <v>31</v>
      </c>
      <c r="F141" s="2" t="s">
        <v>31</v>
      </c>
      <c r="G141" s="2" t="s">
        <v>31</v>
      </c>
      <c r="H141" s="2" t="s">
        <v>31</v>
      </c>
      <c r="I141" s="2" t="s">
        <v>31</v>
      </c>
      <c r="J141" s="2" t="s">
        <v>31</v>
      </c>
      <c r="K141" s="2" t="s">
        <v>31</v>
      </c>
      <c r="L141" s="2" t="s">
        <v>31</v>
      </c>
      <c r="M141" s="2" t="s">
        <v>31</v>
      </c>
      <c r="N141" s="2" t="s">
        <v>31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2" t="s">
        <v>16</v>
      </c>
      <c r="V141" s="2" t="s">
        <v>28</v>
      </c>
      <c r="W141" s="2" t="s">
        <v>24</v>
      </c>
      <c r="X141" s="2" t="s">
        <v>26</v>
      </c>
      <c r="Y141" s="2" t="s">
        <v>17</v>
      </c>
      <c r="Z141" s="2" t="s">
        <v>16</v>
      </c>
      <c r="AA141" s="2" t="s">
        <v>16</v>
      </c>
      <c r="AB141" s="2" t="s">
        <v>16</v>
      </c>
      <c r="AC141" s="2" t="s">
        <v>20</v>
      </c>
      <c r="AD141" s="2" t="s">
        <v>16</v>
      </c>
      <c r="AE141" s="2" t="s">
        <v>22</v>
      </c>
      <c r="AF141" s="2" t="s">
        <v>20</v>
      </c>
      <c r="AG141" s="2" t="s">
        <v>17</v>
      </c>
      <c r="AH141" s="2" t="s">
        <v>20</v>
      </c>
      <c r="AI141" s="2" t="s">
        <v>28</v>
      </c>
      <c r="AJ141" s="2" t="s">
        <v>19</v>
      </c>
      <c r="AK141" s="2" t="s">
        <v>16</v>
      </c>
      <c r="AL141" s="2" t="s">
        <v>17</v>
      </c>
    </row>
    <row r="142" ht="14.25" customHeight="1">
      <c r="A142" s="17">
        <v>45642.0</v>
      </c>
      <c r="B142" s="2" t="s">
        <v>31</v>
      </c>
      <c r="C142" s="2" t="s">
        <v>31</v>
      </c>
      <c r="D142" s="2" t="s">
        <v>31</v>
      </c>
      <c r="E142" s="2" t="s">
        <v>31</v>
      </c>
      <c r="F142" s="2" t="s">
        <v>31</v>
      </c>
      <c r="G142" s="2" t="s">
        <v>31</v>
      </c>
      <c r="H142" s="2" t="s">
        <v>31</v>
      </c>
      <c r="I142" s="2" t="s">
        <v>31</v>
      </c>
      <c r="J142" s="2" t="s">
        <v>31</v>
      </c>
      <c r="K142" s="2" t="s">
        <v>31</v>
      </c>
      <c r="L142" s="2" t="s">
        <v>31</v>
      </c>
      <c r="M142" s="2" t="s">
        <v>31</v>
      </c>
      <c r="N142" s="2" t="s">
        <v>31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2" t="s">
        <v>16</v>
      </c>
      <c r="V142" s="2" t="s">
        <v>25</v>
      </c>
      <c r="W142" s="2" t="s">
        <v>19</v>
      </c>
      <c r="X142" s="2" t="s">
        <v>16</v>
      </c>
      <c r="Y142" s="2" t="s">
        <v>17</v>
      </c>
      <c r="Z142" s="2" t="s">
        <v>16</v>
      </c>
      <c r="AA142" s="2" t="s">
        <v>16</v>
      </c>
      <c r="AB142" s="2" t="s">
        <v>16</v>
      </c>
      <c r="AC142" s="2" t="s">
        <v>16</v>
      </c>
      <c r="AD142" s="2" t="s">
        <v>23</v>
      </c>
      <c r="AE142" s="2" t="s">
        <v>16</v>
      </c>
      <c r="AF142" s="2" t="s">
        <v>20</v>
      </c>
      <c r="AG142" s="2" t="s">
        <v>16</v>
      </c>
      <c r="AH142" s="2" t="s">
        <v>21</v>
      </c>
      <c r="AI142" s="2" t="s">
        <v>23</v>
      </c>
      <c r="AJ142" s="2" t="s">
        <v>25</v>
      </c>
      <c r="AK142" s="2" t="s">
        <v>19</v>
      </c>
      <c r="AL142" s="2" t="s">
        <v>16</v>
      </c>
    </row>
    <row r="143" ht="14.25" customHeight="1">
      <c r="A143" s="17">
        <v>45643.0</v>
      </c>
      <c r="B143" s="2" t="s">
        <v>31</v>
      </c>
      <c r="C143" s="2" t="s">
        <v>31</v>
      </c>
      <c r="D143" s="2" t="s">
        <v>31</v>
      </c>
      <c r="E143" s="2" t="s">
        <v>31</v>
      </c>
      <c r="F143" s="2" t="s">
        <v>31</v>
      </c>
      <c r="G143" s="2" t="s">
        <v>31</v>
      </c>
      <c r="H143" s="2" t="s">
        <v>31</v>
      </c>
      <c r="I143" s="2" t="s">
        <v>31</v>
      </c>
      <c r="J143" s="2" t="s">
        <v>31</v>
      </c>
      <c r="K143" s="2" t="s">
        <v>31</v>
      </c>
      <c r="L143" s="2" t="s">
        <v>31</v>
      </c>
      <c r="M143" s="2" t="s">
        <v>31</v>
      </c>
      <c r="N143" s="2" t="s">
        <v>31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2" t="s">
        <v>21</v>
      </c>
      <c r="V143" s="2" t="s">
        <v>19</v>
      </c>
      <c r="W143" s="2" t="s">
        <v>20</v>
      </c>
      <c r="X143" s="2" t="s">
        <v>16</v>
      </c>
      <c r="Y143" s="2" t="s">
        <v>27</v>
      </c>
      <c r="Z143" s="2" t="s">
        <v>16</v>
      </c>
      <c r="AA143" s="2" t="s">
        <v>16</v>
      </c>
      <c r="AB143" s="2" t="s">
        <v>19</v>
      </c>
      <c r="AC143" s="2" t="s">
        <v>20</v>
      </c>
      <c r="AD143" s="2" t="s">
        <v>16</v>
      </c>
      <c r="AE143" s="2" t="s">
        <v>28</v>
      </c>
      <c r="AF143" s="2" t="s">
        <v>16</v>
      </c>
      <c r="AG143" s="2" t="s">
        <v>20</v>
      </c>
      <c r="AH143" s="2" t="s">
        <v>20</v>
      </c>
      <c r="AI143" s="2" t="s">
        <v>16</v>
      </c>
      <c r="AJ143" s="2" t="s">
        <v>19</v>
      </c>
      <c r="AK143" s="2" t="s">
        <v>28</v>
      </c>
      <c r="AL143" s="2" t="s">
        <v>16</v>
      </c>
    </row>
    <row r="144" ht="14.25" customHeight="1">
      <c r="A144" s="17">
        <v>45644.0</v>
      </c>
      <c r="B144" s="2" t="s">
        <v>31</v>
      </c>
      <c r="C144" s="2" t="s">
        <v>31</v>
      </c>
      <c r="D144" s="2" t="s">
        <v>31</v>
      </c>
      <c r="E144" s="2" t="s">
        <v>31</v>
      </c>
      <c r="F144" s="2" t="s">
        <v>31</v>
      </c>
      <c r="G144" s="2" t="s">
        <v>31</v>
      </c>
      <c r="H144" s="2" t="s">
        <v>31</v>
      </c>
      <c r="I144" s="2" t="s">
        <v>31</v>
      </c>
      <c r="J144" s="2" t="s">
        <v>31</v>
      </c>
      <c r="K144" s="2" t="s">
        <v>31</v>
      </c>
      <c r="L144" s="2" t="s">
        <v>31</v>
      </c>
      <c r="M144" s="2" t="s">
        <v>31</v>
      </c>
      <c r="N144" s="2" t="s">
        <v>31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2" t="s">
        <v>25</v>
      </c>
      <c r="V144" s="2" t="s">
        <v>16</v>
      </c>
      <c r="W144" s="2" t="s">
        <v>21</v>
      </c>
      <c r="X144" s="2" t="s">
        <v>16</v>
      </c>
      <c r="Y144" s="2" t="s">
        <v>26</v>
      </c>
      <c r="Z144" s="2" t="s">
        <v>23</v>
      </c>
      <c r="AA144" s="2" t="s">
        <v>16</v>
      </c>
      <c r="AB144" s="2" t="s">
        <v>25</v>
      </c>
      <c r="AC144" s="2" t="s">
        <v>24</v>
      </c>
      <c r="AD144" s="2" t="s">
        <v>27</v>
      </c>
      <c r="AE144" s="2" t="s">
        <v>22</v>
      </c>
      <c r="AF144" s="2" t="s">
        <v>24</v>
      </c>
      <c r="AG144" s="2" t="s">
        <v>16</v>
      </c>
      <c r="AH144" s="2" t="s">
        <v>19</v>
      </c>
      <c r="AI144" s="2" t="s">
        <v>27</v>
      </c>
      <c r="AJ144" s="2" t="s">
        <v>16</v>
      </c>
      <c r="AK144" s="2" t="s">
        <v>26</v>
      </c>
      <c r="AL144" s="2" t="s">
        <v>19</v>
      </c>
    </row>
    <row r="145" ht="14.25" customHeight="1">
      <c r="A145" s="17">
        <v>45645.0</v>
      </c>
      <c r="B145" s="2" t="s">
        <v>31</v>
      </c>
      <c r="C145" s="2" t="s">
        <v>31</v>
      </c>
      <c r="D145" s="2" t="s">
        <v>31</v>
      </c>
      <c r="E145" s="2" t="s">
        <v>31</v>
      </c>
      <c r="F145" s="2" t="s">
        <v>31</v>
      </c>
      <c r="G145" s="2" t="s">
        <v>31</v>
      </c>
      <c r="H145" s="2" t="s">
        <v>31</v>
      </c>
      <c r="I145" s="2" t="s">
        <v>31</v>
      </c>
      <c r="J145" s="2" t="s">
        <v>31</v>
      </c>
      <c r="K145" s="2" t="s">
        <v>31</v>
      </c>
      <c r="L145" s="2" t="s">
        <v>31</v>
      </c>
      <c r="M145" s="2" t="s">
        <v>31</v>
      </c>
      <c r="N145" s="2" t="s">
        <v>31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2" t="s">
        <v>21</v>
      </c>
      <c r="V145" s="2" t="s">
        <v>16</v>
      </c>
      <c r="W145" s="2" t="s">
        <v>19</v>
      </c>
      <c r="X145" s="2" t="s">
        <v>21</v>
      </c>
      <c r="Y145" s="2" t="s">
        <v>22</v>
      </c>
      <c r="Z145" s="2" t="s">
        <v>16</v>
      </c>
      <c r="AA145" s="2" t="s">
        <v>27</v>
      </c>
      <c r="AB145" s="2" t="s">
        <v>16</v>
      </c>
      <c r="AC145" s="2" t="s">
        <v>17</v>
      </c>
      <c r="AD145" s="2" t="s">
        <v>18</v>
      </c>
      <c r="AE145" s="2" t="s">
        <v>27</v>
      </c>
      <c r="AF145" s="2" t="s">
        <v>16</v>
      </c>
      <c r="AG145" s="2" t="s">
        <v>16</v>
      </c>
      <c r="AH145" s="2" t="s">
        <v>19</v>
      </c>
      <c r="AI145" s="2" t="s">
        <v>27</v>
      </c>
      <c r="AJ145" s="2" t="s">
        <v>28</v>
      </c>
      <c r="AK145" s="2" t="s">
        <v>26</v>
      </c>
      <c r="AL145" s="2" t="s">
        <v>25</v>
      </c>
    </row>
    <row r="146" ht="14.25" customHeight="1">
      <c r="A146" s="17">
        <v>45646.0</v>
      </c>
      <c r="B146" s="2" t="s">
        <v>31</v>
      </c>
      <c r="C146" s="2" t="s">
        <v>31</v>
      </c>
      <c r="D146" s="2" t="s">
        <v>31</v>
      </c>
      <c r="E146" s="2" t="s">
        <v>31</v>
      </c>
      <c r="F146" s="2" t="s">
        <v>31</v>
      </c>
      <c r="G146" s="2" t="s">
        <v>31</v>
      </c>
      <c r="H146" s="2" t="s">
        <v>31</v>
      </c>
      <c r="I146" s="2" t="s">
        <v>31</v>
      </c>
      <c r="J146" s="2" t="s">
        <v>31</v>
      </c>
      <c r="K146" s="2" t="s">
        <v>31</v>
      </c>
      <c r="L146" s="2" t="s">
        <v>31</v>
      </c>
      <c r="M146" s="2" t="s">
        <v>31</v>
      </c>
      <c r="N146" s="2" t="s">
        <v>31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2" t="s">
        <v>20</v>
      </c>
      <c r="V146" s="2" t="s">
        <v>26</v>
      </c>
      <c r="W146" s="2" t="s">
        <v>20</v>
      </c>
      <c r="X146" s="2" t="s">
        <v>17</v>
      </c>
      <c r="Y146" s="2" t="s">
        <v>16</v>
      </c>
      <c r="Z146" s="2" t="s">
        <v>16</v>
      </c>
      <c r="AA146" s="2" t="s">
        <v>21</v>
      </c>
      <c r="AB146" s="2" t="s">
        <v>16</v>
      </c>
      <c r="AC146" s="2" t="s">
        <v>16</v>
      </c>
      <c r="AD146" s="2" t="s">
        <v>26</v>
      </c>
      <c r="AE146" s="2" t="s">
        <v>21</v>
      </c>
      <c r="AF146" s="2" t="s">
        <v>21</v>
      </c>
      <c r="AG146" s="2" t="s">
        <v>20</v>
      </c>
      <c r="AH146" s="2" t="s">
        <v>19</v>
      </c>
      <c r="AI146" s="2" t="s">
        <v>20</v>
      </c>
      <c r="AJ146" s="2" t="s">
        <v>16</v>
      </c>
      <c r="AK146" s="2" t="s">
        <v>21</v>
      </c>
      <c r="AL146" s="2" t="s">
        <v>16</v>
      </c>
    </row>
    <row r="147" ht="14.25" customHeight="1">
      <c r="A147" s="17">
        <v>45647.0</v>
      </c>
      <c r="B147" s="2" t="s">
        <v>17</v>
      </c>
      <c r="C147" s="2" t="s">
        <v>43</v>
      </c>
      <c r="D147" s="2" t="s">
        <v>23</v>
      </c>
      <c r="E147" s="2" t="s">
        <v>43</v>
      </c>
      <c r="F147" s="2" t="s">
        <v>16</v>
      </c>
      <c r="G147" s="2" t="s">
        <v>18</v>
      </c>
      <c r="H147" s="2" t="s">
        <v>36</v>
      </c>
      <c r="I147" s="2" t="s">
        <v>36</v>
      </c>
      <c r="J147" s="2" t="s">
        <v>17</v>
      </c>
      <c r="K147" s="2" t="s">
        <v>22</v>
      </c>
      <c r="L147" s="2" t="s">
        <v>29</v>
      </c>
      <c r="M147" s="2" t="s">
        <v>34</v>
      </c>
      <c r="N147" s="2" t="s">
        <v>16</v>
      </c>
      <c r="O147" s="2" t="s">
        <v>34</v>
      </c>
      <c r="P147" s="2" t="s">
        <v>34</v>
      </c>
      <c r="Q147" s="2" t="s">
        <v>34</v>
      </c>
      <c r="R147" s="2" t="s">
        <v>35</v>
      </c>
      <c r="S147" s="2" t="s">
        <v>16</v>
      </c>
      <c r="T147" s="2" t="s">
        <v>40</v>
      </c>
      <c r="U147" s="2" t="s">
        <v>16</v>
      </c>
      <c r="V147" s="2" t="s">
        <v>16</v>
      </c>
      <c r="W147" s="2" t="s">
        <v>17</v>
      </c>
      <c r="X147" s="2" t="s">
        <v>20</v>
      </c>
      <c r="Y147" s="2" t="s">
        <v>16</v>
      </c>
      <c r="Z147" s="2" t="s">
        <v>22</v>
      </c>
      <c r="AA147" s="2" t="s">
        <v>25</v>
      </c>
      <c r="AB147" s="2" t="s">
        <v>22</v>
      </c>
      <c r="AC147" s="2" t="s">
        <v>28</v>
      </c>
      <c r="AD147" s="2" t="s">
        <v>17</v>
      </c>
      <c r="AE147" s="2" t="s">
        <v>16</v>
      </c>
      <c r="AF147" s="2" t="s">
        <v>23</v>
      </c>
      <c r="AG147" s="2" t="s">
        <v>16</v>
      </c>
      <c r="AH147" s="2" t="s">
        <v>24</v>
      </c>
      <c r="AI147" s="2" t="s">
        <v>22</v>
      </c>
      <c r="AJ147" s="2" t="s">
        <v>25</v>
      </c>
      <c r="AK147" s="2" t="s">
        <v>16</v>
      </c>
      <c r="AL147" s="2" t="s">
        <v>25</v>
      </c>
    </row>
    <row r="148" ht="14.25" customHeight="1">
      <c r="A148" s="17">
        <v>45648.0</v>
      </c>
      <c r="B148" s="2" t="s">
        <v>31</v>
      </c>
      <c r="C148" s="2" t="s">
        <v>31</v>
      </c>
      <c r="D148" s="2" t="s">
        <v>31</v>
      </c>
      <c r="E148" s="2" t="s">
        <v>31</v>
      </c>
      <c r="F148" s="2" t="s">
        <v>31</v>
      </c>
      <c r="G148" s="2" t="s">
        <v>31</v>
      </c>
      <c r="H148" s="2" t="s">
        <v>31</v>
      </c>
      <c r="I148" s="2" t="s">
        <v>31</v>
      </c>
      <c r="J148" s="2" t="s">
        <v>31</v>
      </c>
      <c r="K148" s="2" t="s">
        <v>31</v>
      </c>
      <c r="L148" s="2" t="s">
        <v>31</v>
      </c>
      <c r="M148" s="2" t="s">
        <v>31</v>
      </c>
      <c r="N148" s="2" t="s">
        <v>31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2" t="s">
        <v>21</v>
      </c>
      <c r="V148" s="2" t="s">
        <v>16</v>
      </c>
      <c r="W148" s="2" t="s">
        <v>22</v>
      </c>
      <c r="X148" s="2" t="s">
        <v>28</v>
      </c>
      <c r="Y148" s="2" t="s">
        <v>25</v>
      </c>
      <c r="Z148" s="2" t="s">
        <v>22</v>
      </c>
      <c r="AA148" s="2" t="s">
        <v>16</v>
      </c>
      <c r="AB148" s="2" t="s">
        <v>16</v>
      </c>
      <c r="AC148" s="2" t="s">
        <v>17</v>
      </c>
      <c r="AD148" s="2" t="s">
        <v>19</v>
      </c>
      <c r="AE148" s="2" t="s">
        <v>24</v>
      </c>
      <c r="AF148" s="2" t="s">
        <v>25</v>
      </c>
      <c r="AG148" s="2" t="s">
        <v>20</v>
      </c>
      <c r="AH148" s="2" t="s">
        <v>20</v>
      </c>
      <c r="AI148" s="2" t="s">
        <v>28</v>
      </c>
      <c r="AJ148" s="2" t="s">
        <v>24</v>
      </c>
      <c r="AK148" s="2" t="s">
        <v>26</v>
      </c>
      <c r="AL148" s="2" t="s">
        <v>25</v>
      </c>
    </row>
    <row r="149" ht="14.25" customHeight="1">
      <c r="A149" s="17">
        <v>45649.0</v>
      </c>
      <c r="B149" s="2" t="s">
        <v>31</v>
      </c>
      <c r="C149" s="2" t="s">
        <v>31</v>
      </c>
      <c r="D149" s="2" t="s">
        <v>31</v>
      </c>
      <c r="E149" s="2" t="s">
        <v>31</v>
      </c>
      <c r="F149" s="2" t="s">
        <v>31</v>
      </c>
      <c r="G149" s="2" t="s">
        <v>31</v>
      </c>
      <c r="H149" s="2" t="s">
        <v>31</v>
      </c>
      <c r="I149" s="2" t="s">
        <v>31</v>
      </c>
      <c r="J149" s="2" t="s">
        <v>31</v>
      </c>
      <c r="K149" s="2" t="s">
        <v>31</v>
      </c>
      <c r="L149" s="2" t="s">
        <v>31</v>
      </c>
      <c r="M149" s="2" t="s">
        <v>31</v>
      </c>
      <c r="N149" s="2" t="s">
        <v>31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2" t="s">
        <v>17</v>
      </c>
      <c r="V149" s="2" t="s">
        <v>16</v>
      </c>
      <c r="W149" s="2" t="s">
        <v>19</v>
      </c>
      <c r="X149" s="2" t="s">
        <v>19</v>
      </c>
      <c r="Y149" s="2" t="s">
        <v>26</v>
      </c>
      <c r="Z149" s="2" t="s">
        <v>16</v>
      </c>
      <c r="AA149" s="2" t="s">
        <v>16</v>
      </c>
      <c r="AB149" s="2" t="s">
        <v>22</v>
      </c>
      <c r="AC149" s="2" t="s">
        <v>27</v>
      </c>
      <c r="AD149" s="2" t="s">
        <v>16</v>
      </c>
      <c r="AE149" s="2" t="s">
        <v>17</v>
      </c>
      <c r="AF149" s="2" t="s">
        <v>20</v>
      </c>
      <c r="AG149" s="2" t="s">
        <v>17</v>
      </c>
      <c r="AH149" s="2" t="s">
        <v>16</v>
      </c>
      <c r="AI149" s="2" t="s">
        <v>25</v>
      </c>
      <c r="AJ149" s="2" t="s">
        <v>20</v>
      </c>
      <c r="AK149" s="2" t="s">
        <v>16</v>
      </c>
      <c r="AL149" s="2" t="s">
        <v>28</v>
      </c>
    </row>
    <row r="150" ht="14.25" customHeight="1">
      <c r="A150" s="17">
        <v>45650.0</v>
      </c>
      <c r="B150" s="2" t="s">
        <v>31</v>
      </c>
      <c r="C150" s="2" t="s">
        <v>31</v>
      </c>
      <c r="D150" s="2" t="s">
        <v>31</v>
      </c>
      <c r="E150" s="2" t="s">
        <v>31</v>
      </c>
      <c r="F150" s="2" t="s">
        <v>31</v>
      </c>
      <c r="G150" s="2" t="s">
        <v>31</v>
      </c>
      <c r="H150" s="2" t="s">
        <v>31</v>
      </c>
      <c r="I150" s="2" t="s">
        <v>31</v>
      </c>
      <c r="J150" s="2" t="s">
        <v>31</v>
      </c>
      <c r="K150" s="2" t="s">
        <v>31</v>
      </c>
      <c r="L150" s="2" t="s">
        <v>31</v>
      </c>
      <c r="M150" s="2" t="s">
        <v>31</v>
      </c>
      <c r="N150" s="2" t="s">
        <v>31</v>
      </c>
      <c r="O150" s="2" t="s">
        <v>31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2" t="s">
        <v>16</v>
      </c>
      <c r="V150" s="2" t="s">
        <v>16</v>
      </c>
      <c r="W150" s="2" t="s">
        <v>16</v>
      </c>
      <c r="X150" s="2" t="s">
        <v>22</v>
      </c>
      <c r="Y150" s="2" t="s">
        <v>16</v>
      </c>
      <c r="Z150" s="2" t="s">
        <v>28</v>
      </c>
      <c r="AA150" s="2" t="s">
        <v>27</v>
      </c>
      <c r="AB150" s="2" t="s">
        <v>16</v>
      </c>
      <c r="AC150" s="2" t="s">
        <v>19</v>
      </c>
      <c r="AD150" s="2" t="s">
        <v>16</v>
      </c>
      <c r="AE150" s="2" t="s">
        <v>20</v>
      </c>
      <c r="AF150" s="2" t="s">
        <v>28</v>
      </c>
      <c r="AG150" s="2" t="s">
        <v>22</v>
      </c>
      <c r="AH150" s="2" t="s">
        <v>22</v>
      </c>
      <c r="AI150" s="2" t="s">
        <v>20</v>
      </c>
      <c r="AJ150" s="2" t="s">
        <v>19</v>
      </c>
      <c r="AK150" s="2" t="s">
        <v>27</v>
      </c>
      <c r="AL150" s="2" t="s">
        <v>20</v>
      </c>
    </row>
    <row r="151" ht="14.25" customHeight="1">
      <c r="A151" s="17">
        <v>45651.0</v>
      </c>
      <c r="B151" s="2" t="s">
        <v>31</v>
      </c>
      <c r="C151" s="2" t="s">
        <v>31</v>
      </c>
      <c r="D151" s="2" t="s">
        <v>31</v>
      </c>
      <c r="E151" s="2" t="s">
        <v>31</v>
      </c>
      <c r="F151" s="2" t="s">
        <v>31</v>
      </c>
      <c r="G151" s="2" t="s">
        <v>31</v>
      </c>
      <c r="H151" s="2" t="s">
        <v>31</v>
      </c>
      <c r="I151" s="2" t="s">
        <v>31</v>
      </c>
      <c r="J151" s="2" t="s">
        <v>31</v>
      </c>
      <c r="K151" s="2" t="s">
        <v>31</v>
      </c>
      <c r="L151" s="2" t="s">
        <v>31</v>
      </c>
      <c r="M151" s="2" t="s">
        <v>31</v>
      </c>
      <c r="N151" s="2" t="s">
        <v>31</v>
      </c>
      <c r="O151" s="2" t="s">
        <v>31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2" t="s">
        <v>16</v>
      </c>
      <c r="V151" s="2" t="s">
        <v>23</v>
      </c>
      <c r="W151" s="2" t="s">
        <v>28</v>
      </c>
      <c r="X151" s="2" t="s">
        <v>22</v>
      </c>
      <c r="Y151" s="2" t="s">
        <v>16</v>
      </c>
      <c r="Z151" s="2" t="s">
        <v>17</v>
      </c>
      <c r="AA151" s="2" t="s">
        <v>17</v>
      </c>
      <c r="AB151" s="2" t="s">
        <v>20</v>
      </c>
      <c r="AC151" s="2" t="s">
        <v>21</v>
      </c>
      <c r="AD151" s="2" t="s">
        <v>17</v>
      </c>
      <c r="AE151" s="2" t="s">
        <v>16</v>
      </c>
      <c r="AF151" s="2" t="s">
        <v>25</v>
      </c>
      <c r="AG151" s="2" t="s">
        <v>20</v>
      </c>
      <c r="AH151" s="2" t="s">
        <v>28</v>
      </c>
      <c r="AI151" s="2" t="s">
        <v>27</v>
      </c>
      <c r="AJ151" s="2" t="s">
        <v>16</v>
      </c>
      <c r="AK151" s="2" t="s">
        <v>25</v>
      </c>
      <c r="AL151" s="2" t="s">
        <v>24</v>
      </c>
    </row>
    <row r="152" ht="14.25" customHeight="1">
      <c r="A152" s="17">
        <v>45652.0</v>
      </c>
      <c r="B152" s="2" t="s">
        <v>31</v>
      </c>
      <c r="C152" s="2" t="s">
        <v>31</v>
      </c>
      <c r="D152" s="2" t="s">
        <v>31</v>
      </c>
      <c r="E152" s="2" t="s">
        <v>31</v>
      </c>
      <c r="F152" s="2" t="s">
        <v>31</v>
      </c>
      <c r="G152" s="2" t="s">
        <v>31</v>
      </c>
      <c r="H152" s="2" t="s">
        <v>31</v>
      </c>
      <c r="I152" s="2" t="s">
        <v>31</v>
      </c>
      <c r="J152" s="2" t="s">
        <v>31</v>
      </c>
      <c r="K152" s="2" t="s">
        <v>31</v>
      </c>
      <c r="L152" s="2" t="s">
        <v>31</v>
      </c>
      <c r="M152" s="2" t="s">
        <v>31</v>
      </c>
      <c r="N152" s="2" t="s">
        <v>31</v>
      </c>
      <c r="O152" s="2" t="s">
        <v>31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2" t="s">
        <v>22</v>
      </c>
      <c r="V152" s="2" t="s">
        <v>25</v>
      </c>
      <c r="W152" s="2" t="s">
        <v>16</v>
      </c>
      <c r="X152" s="2" t="s">
        <v>20</v>
      </c>
      <c r="Y152" s="2" t="s">
        <v>28</v>
      </c>
      <c r="Z152" s="2" t="s">
        <v>20</v>
      </c>
      <c r="AA152" s="2" t="s">
        <v>21</v>
      </c>
      <c r="AB152" s="2" t="s">
        <v>16</v>
      </c>
      <c r="AC152" s="2" t="s">
        <v>16</v>
      </c>
      <c r="AD152" s="2" t="s">
        <v>24</v>
      </c>
      <c r="AE152" s="2" t="s">
        <v>16</v>
      </c>
      <c r="AF152" s="2" t="s">
        <v>22</v>
      </c>
      <c r="AG152" s="2" t="s">
        <v>24</v>
      </c>
      <c r="AH152" s="2" t="s">
        <v>19</v>
      </c>
      <c r="AI152" s="2" t="s">
        <v>27</v>
      </c>
      <c r="AJ152" s="2" t="s">
        <v>16</v>
      </c>
      <c r="AK152" s="2" t="s">
        <v>21</v>
      </c>
      <c r="AL152" s="2" t="s">
        <v>16</v>
      </c>
    </row>
    <row r="153" ht="14.25" customHeight="1">
      <c r="A153" s="17">
        <v>45653.0</v>
      </c>
      <c r="B153" s="2" t="s">
        <v>31</v>
      </c>
      <c r="C153" s="2" t="s">
        <v>31</v>
      </c>
      <c r="D153" s="2" t="s">
        <v>31</v>
      </c>
      <c r="E153" s="2" t="s">
        <v>31</v>
      </c>
      <c r="F153" s="2" t="s">
        <v>31</v>
      </c>
      <c r="G153" s="2" t="s">
        <v>31</v>
      </c>
      <c r="H153" s="2" t="s">
        <v>31</v>
      </c>
      <c r="I153" s="2" t="s">
        <v>31</v>
      </c>
      <c r="J153" s="2" t="s">
        <v>31</v>
      </c>
      <c r="K153" s="2" t="s">
        <v>31</v>
      </c>
      <c r="L153" s="2" t="s">
        <v>31</v>
      </c>
      <c r="M153" s="2" t="s">
        <v>31</v>
      </c>
      <c r="N153" s="2" t="s">
        <v>31</v>
      </c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2" t="s">
        <v>27</v>
      </c>
      <c r="V153" s="2" t="s">
        <v>16</v>
      </c>
      <c r="W153" s="2" t="s">
        <v>20</v>
      </c>
      <c r="X153" s="2" t="s">
        <v>17</v>
      </c>
      <c r="Y153" s="2" t="s">
        <v>16</v>
      </c>
      <c r="Z153" s="2" t="s">
        <v>20</v>
      </c>
      <c r="AA153" s="2" t="s">
        <v>20</v>
      </c>
      <c r="AB153" s="2" t="s">
        <v>27</v>
      </c>
      <c r="AC153" s="2" t="s">
        <v>16</v>
      </c>
      <c r="AD153" s="2" t="s">
        <v>17</v>
      </c>
      <c r="AE153" s="2" t="s">
        <v>17</v>
      </c>
      <c r="AF153" s="2" t="s">
        <v>16</v>
      </c>
      <c r="AG153" s="2" t="s">
        <v>17</v>
      </c>
      <c r="AH153" s="2" t="s">
        <v>21</v>
      </c>
      <c r="AI153" s="2" t="s">
        <v>24</v>
      </c>
      <c r="AJ153" s="2" t="s">
        <v>22</v>
      </c>
      <c r="AK153" s="2" t="s">
        <v>26</v>
      </c>
      <c r="AL153" s="2" t="s">
        <v>24</v>
      </c>
    </row>
    <row r="154" ht="14.25" customHeight="1">
      <c r="A154" s="17">
        <v>45654.0</v>
      </c>
      <c r="B154" s="2" t="s">
        <v>23</v>
      </c>
      <c r="C154" s="2" t="s">
        <v>28</v>
      </c>
      <c r="D154" s="2" t="s">
        <v>36</v>
      </c>
      <c r="E154" s="2" t="s">
        <v>33</v>
      </c>
      <c r="F154" s="2" t="s">
        <v>22</v>
      </c>
      <c r="G154" s="2" t="s">
        <v>25</v>
      </c>
      <c r="H154" s="2" t="s">
        <v>21</v>
      </c>
      <c r="I154" s="2" t="s">
        <v>34</v>
      </c>
      <c r="J154" s="2" t="s">
        <v>28</v>
      </c>
      <c r="K154" s="2" t="s">
        <v>32</v>
      </c>
      <c r="L154" s="2" t="s">
        <v>16</v>
      </c>
      <c r="M154" s="2" t="s">
        <v>18</v>
      </c>
      <c r="N154" s="2" t="s">
        <v>32</v>
      </c>
      <c r="O154" s="2" t="s">
        <v>43</v>
      </c>
      <c r="P154" s="2" t="s">
        <v>28</v>
      </c>
      <c r="Q154" s="2" t="s">
        <v>25</v>
      </c>
      <c r="R154" s="2" t="s">
        <v>27</v>
      </c>
      <c r="S154" s="2" t="s">
        <v>43</v>
      </c>
      <c r="T154" s="2" t="s">
        <v>18</v>
      </c>
      <c r="U154" s="2" t="s">
        <v>21</v>
      </c>
      <c r="V154" s="2" t="s">
        <v>22</v>
      </c>
      <c r="W154" s="2" t="s">
        <v>26</v>
      </c>
      <c r="X154" s="2" t="s">
        <v>28</v>
      </c>
      <c r="Y154" s="2" t="s">
        <v>16</v>
      </c>
      <c r="Z154" s="2" t="s">
        <v>21</v>
      </c>
      <c r="AA154" s="2" t="s">
        <v>28</v>
      </c>
      <c r="AB154" s="2" t="s">
        <v>21</v>
      </c>
      <c r="AC154" s="2" t="s">
        <v>26</v>
      </c>
      <c r="AD154" s="2" t="s">
        <v>21</v>
      </c>
      <c r="AE154" s="2" t="s">
        <v>24</v>
      </c>
      <c r="AF154" s="2" t="s">
        <v>16</v>
      </c>
      <c r="AG154" s="2" t="s">
        <v>16</v>
      </c>
      <c r="AH154" s="2" t="s">
        <v>22</v>
      </c>
      <c r="AI154" s="2" t="s">
        <v>16</v>
      </c>
      <c r="AJ154" s="2" t="s">
        <v>20</v>
      </c>
      <c r="AK154" s="2" t="s">
        <v>27</v>
      </c>
      <c r="AL154" s="2" t="s">
        <v>16</v>
      </c>
    </row>
    <row r="155" ht="14.25" customHeight="1">
      <c r="A155" s="17">
        <v>45655.0</v>
      </c>
      <c r="B155" s="2" t="s">
        <v>31</v>
      </c>
      <c r="C155" s="2" t="s">
        <v>31</v>
      </c>
      <c r="D155" s="2" t="s">
        <v>31</v>
      </c>
      <c r="E155" s="2" t="s">
        <v>31</v>
      </c>
      <c r="F155" s="2" t="s">
        <v>31</v>
      </c>
      <c r="G155" s="2" t="s">
        <v>31</v>
      </c>
      <c r="H155" s="2" t="s">
        <v>31</v>
      </c>
      <c r="I155" s="2" t="s">
        <v>31</v>
      </c>
      <c r="J155" s="2" t="s">
        <v>31</v>
      </c>
      <c r="K155" s="2" t="s">
        <v>31</v>
      </c>
      <c r="L155" s="2" t="s">
        <v>31</v>
      </c>
      <c r="M155" s="2" t="s">
        <v>31</v>
      </c>
      <c r="N155" s="2" t="s">
        <v>31</v>
      </c>
      <c r="O155" s="2" t="s">
        <v>31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2" t="s">
        <v>26</v>
      </c>
      <c r="V155" s="2" t="s">
        <v>16</v>
      </c>
      <c r="W155" s="2" t="s">
        <v>18</v>
      </c>
      <c r="X155" s="2" t="s">
        <v>28</v>
      </c>
      <c r="Y155" s="2" t="s">
        <v>17</v>
      </c>
      <c r="Z155" s="2" t="s">
        <v>26</v>
      </c>
      <c r="AA155" s="2" t="s">
        <v>16</v>
      </c>
      <c r="AB155" s="2" t="s">
        <v>22</v>
      </c>
      <c r="AC155" s="2" t="s">
        <v>16</v>
      </c>
      <c r="AD155" s="2" t="s">
        <v>17</v>
      </c>
      <c r="AE155" s="2" t="s">
        <v>16</v>
      </c>
      <c r="AF155" s="2" t="s">
        <v>16</v>
      </c>
      <c r="AG155" s="2" t="s">
        <v>24</v>
      </c>
      <c r="AH155" s="2" t="s">
        <v>26</v>
      </c>
      <c r="AI155" s="2" t="s">
        <v>16</v>
      </c>
      <c r="AJ155" s="2" t="s">
        <v>17</v>
      </c>
      <c r="AK155" s="2" t="s">
        <v>22</v>
      </c>
      <c r="AL155" s="2" t="s">
        <v>16</v>
      </c>
    </row>
    <row r="156" ht="14.25" customHeight="1">
      <c r="A156" s="17">
        <v>45656.0</v>
      </c>
      <c r="B156" s="2" t="s">
        <v>31</v>
      </c>
      <c r="C156" s="2" t="s">
        <v>31</v>
      </c>
      <c r="D156" s="2" t="s">
        <v>31</v>
      </c>
      <c r="E156" s="2" t="s">
        <v>31</v>
      </c>
      <c r="F156" s="2" t="s">
        <v>31</v>
      </c>
      <c r="G156" s="2" t="s">
        <v>31</v>
      </c>
      <c r="H156" s="2" t="s">
        <v>31</v>
      </c>
      <c r="I156" s="2" t="s">
        <v>31</v>
      </c>
      <c r="J156" s="2" t="s">
        <v>31</v>
      </c>
      <c r="K156" s="2" t="s">
        <v>31</v>
      </c>
      <c r="L156" s="2" t="s">
        <v>31</v>
      </c>
      <c r="M156" s="2" t="s">
        <v>31</v>
      </c>
      <c r="N156" s="2" t="s">
        <v>31</v>
      </c>
      <c r="O156" s="2" t="s">
        <v>31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2" t="s">
        <v>17</v>
      </c>
      <c r="V156" s="2" t="s">
        <v>16</v>
      </c>
      <c r="W156" s="2" t="s">
        <v>21</v>
      </c>
      <c r="X156" s="2" t="s">
        <v>28</v>
      </c>
      <c r="Y156" s="2" t="s">
        <v>27</v>
      </c>
      <c r="Z156" s="2" t="s">
        <v>28</v>
      </c>
      <c r="AA156" s="2" t="s">
        <v>17</v>
      </c>
      <c r="AB156" s="2" t="s">
        <v>19</v>
      </c>
      <c r="AC156" s="2" t="s">
        <v>26</v>
      </c>
      <c r="AD156" s="2" t="s">
        <v>17</v>
      </c>
      <c r="AE156" s="2" t="s">
        <v>16</v>
      </c>
      <c r="AF156" s="2" t="s">
        <v>27</v>
      </c>
      <c r="AG156" s="2" t="s">
        <v>16</v>
      </c>
      <c r="AH156" s="2" t="s">
        <v>20</v>
      </c>
      <c r="AI156" s="2" t="s">
        <v>16</v>
      </c>
      <c r="AJ156" s="2" t="s">
        <v>17</v>
      </c>
      <c r="AK156" s="2" t="s">
        <v>23</v>
      </c>
      <c r="AL156" s="2" t="s">
        <v>16</v>
      </c>
    </row>
    <row r="157" ht="14.25" customHeight="1">
      <c r="A157" s="17">
        <v>45657.0</v>
      </c>
      <c r="B157" s="2" t="s">
        <v>31</v>
      </c>
      <c r="C157" s="2" t="s">
        <v>31</v>
      </c>
      <c r="D157" s="2" t="s">
        <v>31</v>
      </c>
      <c r="E157" s="2" t="s">
        <v>31</v>
      </c>
      <c r="F157" s="2" t="s">
        <v>31</v>
      </c>
      <c r="G157" s="2" t="s">
        <v>31</v>
      </c>
      <c r="H157" s="2" t="s">
        <v>31</v>
      </c>
      <c r="I157" s="2" t="s">
        <v>31</v>
      </c>
      <c r="J157" s="2" t="s">
        <v>31</v>
      </c>
      <c r="K157" s="2" t="s">
        <v>31</v>
      </c>
      <c r="L157" s="2" t="s">
        <v>31</v>
      </c>
      <c r="M157" s="2" t="s">
        <v>31</v>
      </c>
      <c r="N157" s="2" t="s">
        <v>31</v>
      </c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2" t="s">
        <v>17</v>
      </c>
      <c r="V157" s="2" t="s">
        <v>20</v>
      </c>
      <c r="W157" s="2" t="s">
        <v>24</v>
      </c>
      <c r="X157" s="2" t="s">
        <v>26</v>
      </c>
      <c r="Y157" s="2" t="s">
        <v>16</v>
      </c>
      <c r="Z157" s="2" t="s">
        <v>17</v>
      </c>
      <c r="AA157" s="2" t="s">
        <v>16</v>
      </c>
      <c r="AB157" s="2" t="s">
        <v>16</v>
      </c>
      <c r="AC157" s="2" t="s">
        <v>18</v>
      </c>
      <c r="AD157" s="2" t="s">
        <v>25</v>
      </c>
      <c r="AE157" s="2" t="s">
        <v>28</v>
      </c>
      <c r="AF157" s="2" t="s">
        <v>21</v>
      </c>
      <c r="AG157" s="2" t="s">
        <v>24</v>
      </c>
      <c r="AH157" s="2" t="s">
        <v>27</v>
      </c>
      <c r="AI157" s="2" t="s">
        <v>16</v>
      </c>
      <c r="AJ157" s="2" t="s">
        <v>28</v>
      </c>
      <c r="AK157" s="2" t="s">
        <v>26</v>
      </c>
      <c r="AL157" s="2" t="s">
        <v>28</v>
      </c>
    </row>
    <row r="158" ht="14.25" customHeight="1">
      <c r="A158" s="17">
        <v>45658.0</v>
      </c>
      <c r="B158" s="2" t="s">
        <v>31</v>
      </c>
      <c r="C158" s="2" t="s">
        <v>31</v>
      </c>
      <c r="D158" s="2" t="s">
        <v>31</v>
      </c>
      <c r="E158" s="2" t="s">
        <v>31</v>
      </c>
      <c r="F158" s="2" t="s">
        <v>31</v>
      </c>
      <c r="G158" s="2" t="s">
        <v>31</v>
      </c>
      <c r="H158" s="2" t="s">
        <v>31</v>
      </c>
      <c r="I158" s="2" t="s">
        <v>31</v>
      </c>
      <c r="J158" s="2" t="s">
        <v>31</v>
      </c>
      <c r="K158" s="2" t="s">
        <v>31</v>
      </c>
      <c r="L158" s="2" t="s">
        <v>31</v>
      </c>
      <c r="M158" s="2" t="s">
        <v>31</v>
      </c>
      <c r="N158" s="2" t="s">
        <v>31</v>
      </c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2" t="s">
        <v>16</v>
      </c>
      <c r="V158" s="2" t="s">
        <v>16</v>
      </c>
      <c r="W158" s="2" t="s">
        <v>18</v>
      </c>
      <c r="X158" s="2" t="s">
        <v>16</v>
      </c>
      <c r="Y158" s="2" t="s">
        <v>17</v>
      </c>
      <c r="Z158" s="2" t="s">
        <v>24</v>
      </c>
      <c r="AA158" s="2" t="s">
        <v>21</v>
      </c>
      <c r="AB158" s="2" t="s">
        <v>16</v>
      </c>
      <c r="AC158" s="2" t="s">
        <v>21</v>
      </c>
      <c r="AD158" s="2" t="s">
        <v>25</v>
      </c>
      <c r="AE158" s="2" t="s">
        <v>16</v>
      </c>
      <c r="AF158" s="2" t="s">
        <v>24</v>
      </c>
      <c r="AG158" s="2" t="s">
        <v>27</v>
      </c>
      <c r="AH158" s="2" t="s">
        <v>25</v>
      </c>
      <c r="AI158" s="2" t="s">
        <v>25</v>
      </c>
      <c r="AJ158" s="2" t="s">
        <v>27</v>
      </c>
      <c r="AK158" s="2" t="s">
        <v>16</v>
      </c>
      <c r="AL158" s="2" t="s">
        <v>28</v>
      </c>
    </row>
    <row r="159" ht="14.25" customHeight="1">
      <c r="A159" s="17">
        <v>45659.0</v>
      </c>
      <c r="B159" s="2" t="s">
        <v>31</v>
      </c>
      <c r="C159" s="2" t="s">
        <v>31</v>
      </c>
      <c r="D159" s="2" t="s">
        <v>31</v>
      </c>
      <c r="E159" s="2" t="s">
        <v>31</v>
      </c>
      <c r="F159" s="2" t="s">
        <v>31</v>
      </c>
      <c r="G159" s="2" t="s">
        <v>31</v>
      </c>
      <c r="H159" s="2" t="s">
        <v>31</v>
      </c>
      <c r="I159" s="2" t="s">
        <v>31</v>
      </c>
      <c r="J159" s="2" t="s">
        <v>31</v>
      </c>
      <c r="K159" s="2" t="s">
        <v>31</v>
      </c>
      <c r="L159" s="2" t="s">
        <v>31</v>
      </c>
      <c r="M159" s="2" t="s">
        <v>31</v>
      </c>
      <c r="N159" s="2" t="s">
        <v>31</v>
      </c>
      <c r="O159" s="2" t="s">
        <v>31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2" t="s">
        <v>16</v>
      </c>
      <c r="V159" s="2" t="s">
        <v>25</v>
      </c>
      <c r="W159" s="2" t="s">
        <v>21</v>
      </c>
      <c r="X159" s="2" t="s">
        <v>25</v>
      </c>
      <c r="Y159" s="2" t="s">
        <v>25</v>
      </c>
      <c r="Z159" s="2" t="s">
        <v>28</v>
      </c>
      <c r="AA159" s="2" t="s">
        <v>27</v>
      </c>
      <c r="AB159" s="2" t="s">
        <v>16</v>
      </c>
      <c r="AC159" s="2" t="s">
        <v>16</v>
      </c>
      <c r="AD159" s="2" t="s">
        <v>25</v>
      </c>
      <c r="AE159" s="2" t="s">
        <v>16</v>
      </c>
      <c r="AF159" s="2" t="s">
        <v>19</v>
      </c>
      <c r="AG159" s="2" t="s">
        <v>25</v>
      </c>
      <c r="AH159" s="2" t="s">
        <v>26</v>
      </c>
      <c r="AI159" s="2" t="s">
        <v>22</v>
      </c>
      <c r="AJ159" s="2" t="s">
        <v>22</v>
      </c>
      <c r="AK159" s="2" t="s">
        <v>23</v>
      </c>
      <c r="AL159" s="2" t="s">
        <v>18</v>
      </c>
    </row>
    <row r="160" ht="14.25" customHeight="1">
      <c r="A160" s="17">
        <v>45660.0</v>
      </c>
      <c r="B160" s="2" t="s">
        <v>31</v>
      </c>
      <c r="C160" s="2" t="s">
        <v>31</v>
      </c>
      <c r="D160" s="2" t="s">
        <v>31</v>
      </c>
      <c r="E160" s="2" t="s">
        <v>31</v>
      </c>
      <c r="F160" s="2" t="s">
        <v>31</v>
      </c>
      <c r="G160" s="2" t="s">
        <v>31</v>
      </c>
      <c r="H160" s="2" t="s">
        <v>31</v>
      </c>
      <c r="I160" s="2" t="s">
        <v>31</v>
      </c>
      <c r="J160" s="2" t="s">
        <v>31</v>
      </c>
      <c r="K160" s="2" t="s">
        <v>31</v>
      </c>
      <c r="L160" s="2" t="s">
        <v>31</v>
      </c>
      <c r="M160" s="2" t="s">
        <v>31</v>
      </c>
      <c r="N160" s="2" t="s">
        <v>31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2" t="s">
        <v>19</v>
      </c>
      <c r="V160" s="2" t="s">
        <v>16</v>
      </c>
      <c r="W160" s="2" t="s">
        <v>28</v>
      </c>
      <c r="X160" s="2" t="s">
        <v>28</v>
      </c>
      <c r="Y160" s="2" t="s">
        <v>27</v>
      </c>
      <c r="Z160" s="2" t="s">
        <v>17</v>
      </c>
      <c r="AA160" s="2" t="s">
        <v>26</v>
      </c>
      <c r="AB160" s="2" t="s">
        <v>16</v>
      </c>
      <c r="AC160" s="2" t="s">
        <v>22</v>
      </c>
      <c r="AD160" s="2" t="s">
        <v>22</v>
      </c>
      <c r="AE160" s="2" t="s">
        <v>28</v>
      </c>
      <c r="AF160" s="2" t="s">
        <v>20</v>
      </c>
      <c r="AG160" s="2" t="s">
        <v>26</v>
      </c>
      <c r="AH160" s="2" t="s">
        <v>23</v>
      </c>
      <c r="AI160" s="2" t="s">
        <v>16</v>
      </c>
      <c r="AJ160" s="2" t="s">
        <v>20</v>
      </c>
      <c r="AK160" s="2" t="s">
        <v>26</v>
      </c>
      <c r="AL160" s="2" t="s">
        <v>16</v>
      </c>
    </row>
    <row r="161" ht="14.25" customHeight="1">
      <c r="A161" s="17">
        <v>45661.0</v>
      </c>
      <c r="B161" s="2" t="s">
        <v>37</v>
      </c>
      <c r="C161" s="2" t="s">
        <v>16</v>
      </c>
      <c r="D161" s="2" t="s">
        <v>16</v>
      </c>
      <c r="E161" s="2" t="s">
        <v>20</v>
      </c>
      <c r="F161" s="2" t="s">
        <v>25</v>
      </c>
      <c r="G161" s="2" t="s">
        <v>29</v>
      </c>
      <c r="H161" s="2" t="s">
        <v>36</v>
      </c>
      <c r="I161" s="2" t="s">
        <v>41</v>
      </c>
      <c r="J161" s="2" t="s">
        <v>22</v>
      </c>
      <c r="K161" s="2" t="s">
        <v>22</v>
      </c>
      <c r="L161" s="2" t="s">
        <v>33</v>
      </c>
      <c r="M161" s="2" t="s">
        <v>16</v>
      </c>
      <c r="N161" s="2" t="s">
        <v>16</v>
      </c>
      <c r="O161" s="2" t="s">
        <v>33</v>
      </c>
      <c r="P161" s="2" t="s">
        <v>16</v>
      </c>
      <c r="Q161" s="2" t="s">
        <v>42</v>
      </c>
      <c r="R161" s="2" t="s">
        <v>18</v>
      </c>
      <c r="S161" s="2" t="s">
        <v>18</v>
      </c>
      <c r="T161" s="2" t="s">
        <v>34</v>
      </c>
      <c r="U161" s="2" t="s">
        <v>17</v>
      </c>
      <c r="V161" s="2" t="s">
        <v>25</v>
      </c>
      <c r="W161" s="2" t="s">
        <v>16</v>
      </c>
      <c r="X161" s="2" t="s">
        <v>16</v>
      </c>
      <c r="Y161" s="2" t="s">
        <v>24</v>
      </c>
      <c r="Z161" s="2" t="s">
        <v>19</v>
      </c>
      <c r="AA161" s="2" t="s">
        <v>28</v>
      </c>
      <c r="AB161" s="2" t="s">
        <v>17</v>
      </c>
      <c r="AC161" s="2" t="s">
        <v>24</v>
      </c>
      <c r="AD161" s="2" t="s">
        <v>16</v>
      </c>
      <c r="AE161" s="2" t="s">
        <v>23</v>
      </c>
      <c r="AF161" s="2" t="s">
        <v>16</v>
      </c>
      <c r="AG161" s="2" t="s">
        <v>16</v>
      </c>
      <c r="AH161" s="2" t="s">
        <v>28</v>
      </c>
      <c r="AI161" s="2" t="s">
        <v>26</v>
      </c>
      <c r="AJ161" s="2" t="s">
        <v>18</v>
      </c>
      <c r="AK161" s="2" t="s">
        <v>28</v>
      </c>
      <c r="AL161" s="2" t="s">
        <v>16</v>
      </c>
    </row>
    <row r="162" ht="14.25" customHeight="1">
      <c r="A162" s="17">
        <v>45662.0</v>
      </c>
      <c r="B162" s="2" t="s">
        <v>31</v>
      </c>
      <c r="C162" s="2" t="s">
        <v>31</v>
      </c>
      <c r="D162" s="2" t="s">
        <v>31</v>
      </c>
      <c r="E162" s="2" t="s">
        <v>31</v>
      </c>
      <c r="F162" s="2" t="s">
        <v>31</v>
      </c>
      <c r="G162" s="2" t="s">
        <v>31</v>
      </c>
      <c r="H162" s="2" t="s">
        <v>31</v>
      </c>
      <c r="I162" s="2" t="s">
        <v>31</v>
      </c>
      <c r="J162" s="2" t="s">
        <v>31</v>
      </c>
      <c r="K162" s="2" t="s">
        <v>31</v>
      </c>
      <c r="L162" s="2" t="s">
        <v>31</v>
      </c>
      <c r="M162" s="2" t="s">
        <v>31</v>
      </c>
      <c r="N162" s="2" t="s">
        <v>31</v>
      </c>
      <c r="O162" s="2" t="s">
        <v>31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2" t="s">
        <v>16</v>
      </c>
      <c r="V162" s="2" t="s">
        <v>27</v>
      </c>
      <c r="W162" s="2" t="s">
        <v>16</v>
      </c>
      <c r="X162" s="2" t="s">
        <v>25</v>
      </c>
      <c r="Y162" s="2" t="s">
        <v>28</v>
      </c>
      <c r="Z162" s="2" t="s">
        <v>28</v>
      </c>
      <c r="AA162" s="2" t="s">
        <v>22</v>
      </c>
      <c r="AB162" s="2" t="s">
        <v>18</v>
      </c>
      <c r="AC162" s="2" t="s">
        <v>16</v>
      </c>
      <c r="AD162" s="2" t="s">
        <v>16</v>
      </c>
      <c r="AE162" s="2" t="s">
        <v>16</v>
      </c>
      <c r="AF162" s="2" t="s">
        <v>16</v>
      </c>
      <c r="AG162" s="2" t="s">
        <v>19</v>
      </c>
      <c r="AH162" s="2" t="s">
        <v>21</v>
      </c>
      <c r="AI162" s="2" t="s">
        <v>16</v>
      </c>
      <c r="AJ162" s="2" t="s">
        <v>16</v>
      </c>
      <c r="AK162" s="2" t="s">
        <v>22</v>
      </c>
      <c r="AL162" s="2" t="s">
        <v>28</v>
      </c>
    </row>
    <row r="163" ht="14.25" customHeight="1">
      <c r="A163" s="17">
        <v>45663.0</v>
      </c>
      <c r="B163" s="2" t="s">
        <v>31</v>
      </c>
      <c r="C163" s="2" t="s">
        <v>31</v>
      </c>
      <c r="D163" s="2" t="s">
        <v>31</v>
      </c>
      <c r="E163" s="2" t="s">
        <v>31</v>
      </c>
      <c r="F163" s="2" t="s">
        <v>31</v>
      </c>
      <c r="G163" s="2" t="s">
        <v>31</v>
      </c>
      <c r="H163" s="2" t="s">
        <v>31</v>
      </c>
      <c r="I163" s="2" t="s">
        <v>31</v>
      </c>
      <c r="J163" s="2" t="s">
        <v>31</v>
      </c>
      <c r="K163" s="2" t="s">
        <v>31</v>
      </c>
      <c r="L163" s="2" t="s">
        <v>31</v>
      </c>
      <c r="M163" s="2" t="s">
        <v>31</v>
      </c>
      <c r="N163" s="2" t="s">
        <v>31</v>
      </c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2" t="s">
        <v>16</v>
      </c>
      <c r="V163" s="2" t="s">
        <v>28</v>
      </c>
      <c r="W163" s="2" t="s">
        <v>22</v>
      </c>
      <c r="X163" s="2" t="s">
        <v>18</v>
      </c>
      <c r="Y163" s="2" t="s">
        <v>17</v>
      </c>
      <c r="Z163" s="2" t="s">
        <v>21</v>
      </c>
      <c r="AA163" s="2" t="s">
        <v>16</v>
      </c>
      <c r="AB163" s="2" t="s">
        <v>21</v>
      </c>
      <c r="AC163" s="2" t="s">
        <v>20</v>
      </c>
      <c r="AD163" s="2" t="s">
        <v>21</v>
      </c>
      <c r="AE163" s="2" t="s">
        <v>25</v>
      </c>
      <c r="AF163" s="2" t="s">
        <v>16</v>
      </c>
      <c r="AG163" s="2" t="s">
        <v>27</v>
      </c>
      <c r="AH163" s="2" t="s">
        <v>19</v>
      </c>
      <c r="AI163" s="2" t="s">
        <v>18</v>
      </c>
      <c r="AJ163" s="2" t="s">
        <v>16</v>
      </c>
      <c r="AK163" s="2" t="s">
        <v>25</v>
      </c>
      <c r="AL163" s="2" t="s">
        <v>22</v>
      </c>
    </row>
    <row r="164" ht="14.25" customHeight="1">
      <c r="A164" s="17">
        <v>45664.0</v>
      </c>
      <c r="B164" s="2" t="s">
        <v>31</v>
      </c>
      <c r="C164" s="2" t="s">
        <v>31</v>
      </c>
      <c r="D164" s="2" t="s">
        <v>31</v>
      </c>
      <c r="E164" s="2" t="s">
        <v>31</v>
      </c>
      <c r="F164" s="2" t="s">
        <v>31</v>
      </c>
      <c r="G164" s="2" t="s">
        <v>31</v>
      </c>
      <c r="H164" s="2" t="s">
        <v>31</v>
      </c>
      <c r="I164" s="2" t="s">
        <v>31</v>
      </c>
      <c r="J164" s="2" t="s">
        <v>31</v>
      </c>
      <c r="K164" s="2" t="s">
        <v>31</v>
      </c>
      <c r="L164" s="2" t="s">
        <v>31</v>
      </c>
      <c r="M164" s="2" t="s">
        <v>31</v>
      </c>
      <c r="N164" s="2" t="s">
        <v>31</v>
      </c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2" t="s">
        <v>16</v>
      </c>
      <c r="V164" s="2" t="s">
        <v>24</v>
      </c>
      <c r="W164" s="2" t="s">
        <v>28</v>
      </c>
      <c r="X164" s="2" t="s">
        <v>25</v>
      </c>
      <c r="Y164" s="2" t="s">
        <v>16</v>
      </c>
      <c r="Z164" s="2" t="s">
        <v>28</v>
      </c>
      <c r="AA164" s="2" t="s">
        <v>16</v>
      </c>
      <c r="AB164" s="2" t="s">
        <v>26</v>
      </c>
      <c r="AC164" s="2" t="s">
        <v>24</v>
      </c>
      <c r="AD164" s="2" t="s">
        <v>27</v>
      </c>
      <c r="AE164" s="2" t="s">
        <v>26</v>
      </c>
      <c r="AF164" s="2" t="s">
        <v>16</v>
      </c>
      <c r="AG164" s="2" t="s">
        <v>24</v>
      </c>
      <c r="AH164" s="2" t="s">
        <v>26</v>
      </c>
      <c r="AI164" s="2" t="s">
        <v>27</v>
      </c>
      <c r="AJ164" s="2" t="s">
        <v>20</v>
      </c>
      <c r="AK164" s="2" t="s">
        <v>27</v>
      </c>
      <c r="AL164" s="2" t="s">
        <v>28</v>
      </c>
    </row>
    <row r="165" ht="14.25" customHeight="1">
      <c r="A165" s="17">
        <v>45665.0</v>
      </c>
      <c r="B165" s="2" t="s">
        <v>31</v>
      </c>
      <c r="C165" s="2" t="s">
        <v>31</v>
      </c>
      <c r="D165" s="2" t="s">
        <v>31</v>
      </c>
      <c r="E165" s="2" t="s">
        <v>31</v>
      </c>
      <c r="F165" s="2" t="s">
        <v>31</v>
      </c>
      <c r="G165" s="2" t="s">
        <v>31</v>
      </c>
      <c r="H165" s="2" t="s">
        <v>31</v>
      </c>
      <c r="I165" s="2" t="s">
        <v>31</v>
      </c>
      <c r="J165" s="2" t="s">
        <v>31</v>
      </c>
      <c r="K165" s="2" t="s">
        <v>31</v>
      </c>
      <c r="L165" s="2" t="s">
        <v>31</v>
      </c>
      <c r="M165" s="2" t="s">
        <v>31</v>
      </c>
      <c r="N165" s="2" t="s">
        <v>31</v>
      </c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2" t="s">
        <v>19</v>
      </c>
      <c r="V165" s="2" t="s">
        <v>24</v>
      </c>
      <c r="W165" s="2" t="s">
        <v>19</v>
      </c>
      <c r="X165" s="2" t="s">
        <v>21</v>
      </c>
      <c r="Y165" s="2" t="s">
        <v>16</v>
      </c>
      <c r="Z165" s="2" t="s">
        <v>20</v>
      </c>
      <c r="AA165" s="2" t="s">
        <v>16</v>
      </c>
      <c r="AB165" s="2" t="s">
        <v>26</v>
      </c>
      <c r="AC165" s="2" t="s">
        <v>21</v>
      </c>
      <c r="AD165" s="2" t="s">
        <v>23</v>
      </c>
      <c r="AE165" s="2" t="s">
        <v>23</v>
      </c>
      <c r="AF165" s="2" t="s">
        <v>16</v>
      </c>
      <c r="AG165" s="2" t="s">
        <v>18</v>
      </c>
      <c r="AH165" s="2" t="s">
        <v>24</v>
      </c>
      <c r="AI165" s="2" t="s">
        <v>24</v>
      </c>
      <c r="AJ165" s="2" t="s">
        <v>16</v>
      </c>
      <c r="AK165" s="2" t="s">
        <v>20</v>
      </c>
      <c r="AL165" s="2" t="s">
        <v>16</v>
      </c>
    </row>
    <row r="166" ht="14.25" customHeight="1">
      <c r="A166" s="17">
        <v>45666.0</v>
      </c>
      <c r="B166" s="2" t="s">
        <v>31</v>
      </c>
      <c r="C166" s="2" t="s">
        <v>31</v>
      </c>
      <c r="D166" s="2" t="s">
        <v>31</v>
      </c>
      <c r="E166" s="2" t="s">
        <v>31</v>
      </c>
      <c r="F166" s="2" t="s">
        <v>31</v>
      </c>
      <c r="G166" s="2" t="s">
        <v>31</v>
      </c>
      <c r="H166" s="2" t="s">
        <v>31</v>
      </c>
      <c r="I166" s="2" t="s">
        <v>31</v>
      </c>
      <c r="J166" s="2" t="s">
        <v>31</v>
      </c>
      <c r="K166" s="2" t="s">
        <v>31</v>
      </c>
      <c r="L166" s="2" t="s">
        <v>31</v>
      </c>
      <c r="M166" s="2" t="s">
        <v>31</v>
      </c>
      <c r="N166" s="2" t="s">
        <v>31</v>
      </c>
      <c r="O166" s="2" t="s">
        <v>31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2" t="s">
        <v>24</v>
      </c>
      <c r="V166" s="2" t="s">
        <v>22</v>
      </c>
      <c r="W166" s="2" t="s">
        <v>22</v>
      </c>
      <c r="X166" s="2" t="s">
        <v>16</v>
      </c>
      <c r="Y166" s="2" t="s">
        <v>22</v>
      </c>
      <c r="Z166" s="2" t="s">
        <v>27</v>
      </c>
      <c r="AA166" s="2" t="s">
        <v>28</v>
      </c>
      <c r="AB166" s="2" t="s">
        <v>25</v>
      </c>
      <c r="AC166" s="2" t="s">
        <v>27</v>
      </c>
      <c r="AD166" s="2" t="s">
        <v>19</v>
      </c>
      <c r="AE166" s="2" t="s">
        <v>20</v>
      </c>
      <c r="AF166" s="2" t="s">
        <v>17</v>
      </c>
      <c r="AG166" s="2" t="s">
        <v>16</v>
      </c>
      <c r="AH166" s="2" t="s">
        <v>27</v>
      </c>
      <c r="AI166" s="2" t="s">
        <v>24</v>
      </c>
      <c r="AJ166" s="2" t="s">
        <v>19</v>
      </c>
      <c r="AK166" s="2" t="s">
        <v>28</v>
      </c>
      <c r="AL166" s="2" t="s">
        <v>25</v>
      </c>
    </row>
    <row r="167" ht="14.25" customHeight="1">
      <c r="A167" s="17">
        <v>45667.0</v>
      </c>
      <c r="B167" s="2" t="s">
        <v>31</v>
      </c>
      <c r="C167" s="2" t="s">
        <v>31</v>
      </c>
      <c r="D167" s="2" t="s">
        <v>31</v>
      </c>
      <c r="E167" s="2" t="s">
        <v>31</v>
      </c>
      <c r="F167" s="2" t="s">
        <v>31</v>
      </c>
      <c r="G167" s="2" t="s">
        <v>31</v>
      </c>
      <c r="H167" s="2" t="s">
        <v>31</v>
      </c>
      <c r="I167" s="2" t="s">
        <v>31</v>
      </c>
      <c r="J167" s="2" t="s">
        <v>31</v>
      </c>
      <c r="K167" s="2" t="s">
        <v>31</v>
      </c>
      <c r="L167" s="2" t="s">
        <v>31</v>
      </c>
      <c r="M167" s="2" t="s">
        <v>31</v>
      </c>
      <c r="N167" s="2" t="s">
        <v>31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2" t="s">
        <v>16</v>
      </c>
      <c r="V167" s="2" t="s">
        <v>16</v>
      </c>
      <c r="W167" s="2" t="s">
        <v>16</v>
      </c>
      <c r="X167" s="2" t="s">
        <v>16</v>
      </c>
      <c r="Y167" s="2" t="s">
        <v>21</v>
      </c>
      <c r="Z167" s="2" t="s">
        <v>20</v>
      </c>
      <c r="AA167" s="2" t="s">
        <v>18</v>
      </c>
      <c r="AB167" s="2" t="s">
        <v>23</v>
      </c>
      <c r="AC167" s="2" t="s">
        <v>20</v>
      </c>
      <c r="AD167" s="2" t="s">
        <v>16</v>
      </c>
      <c r="AE167" s="2" t="s">
        <v>22</v>
      </c>
      <c r="AF167" s="2" t="s">
        <v>17</v>
      </c>
      <c r="AG167" s="2" t="s">
        <v>27</v>
      </c>
      <c r="AH167" s="2" t="s">
        <v>28</v>
      </c>
      <c r="AI167" s="2" t="s">
        <v>28</v>
      </c>
      <c r="AJ167" s="2" t="s">
        <v>20</v>
      </c>
      <c r="AK167" s="2" t="s">
        <v>20</v>
      </c>
      <c r="AL167" s="2" t="s">
        <v>19</v>
      </c>
    </row>
    <row r="168" ht="14.25" customHeight="1">
      <c r="A168" s="17">
        <v>45668.0</v>
      </c>
      <c r="B168" s="2" t="s">
        <v>28</v>
      </c>
      <c r="C168" s="2" t="s">
        <v>16</v>
      </c>
      <c r="D168" s="2" t="s">
        <v>42</v>
      </c>
      <c r="E168" s="2" t="s">
        <v>34</v>
      </c>
      <c r="F168" s="2" t="s">
        <v>35</v>
      </c>
      <c r="G168" s="2" t="s">
        <v>22</v>
      </c>
      <c r="H168" s="2" t="s">
        <v>38</v>
      </c>
      <c r="I168" s="2" t="s">
        <v>38</v>
      </c>
      <c r="J168" s="2" t="s">
        <v>18</v>
      </c>
      <c r="K168" s="2" t="s">
        <v>22</v>
      </c>
      <c r="L168" s="2" t="s">
        <v>25</v>
      </c>
      <c r="M168" s="2" t="s">
        <v>39</v>
      </c>
      <c r="N168" s="2" t="s">
        <v>39</v>
      </c>
      <c r="O168" s="2" t="s">
        <v>36</v>
      </c>
      <c r="P168" s="2" t="s">
        <v>42</v>
      </c>
      <c r="Q168" s="2" t="s">
        <v>34</v>
      </c>
      <c r="R168" s="2" t="s">
        <v>37</v>
      </c>
      <c r="S168" s="2" t="s">
        <v>35</v>
      </c>
      <c r="T168" s="2" t="s">
        <v>40</v>
      </c>
      <c r="U168" s="2" t="s">
        <v>27</v>
      </c>
      <c r="V168" s="2" t="s">
        <v>19</v>
      </c>
      <c r="W168" s="2" t="s">
        <v>28</v>
      </c>
      <c r="X168" s="2" t="s">
        <v>16</v>
      </c>
      <c r="Y168" s="2" t="s">
        <v>20</v>
      </c>
      <c r="Z168" s="2" t="s">
        <v>16</v>
      </c>
      <c r="AA168" s="2" t="s">
        <v>28</v>
      </c>
      <c r="AB168" s="2" t="s">
        <v>21</v>
      </c>
      <c r="AC168" s="2" t="s">
        <v>28</v>
      </c>
      <c r="AD168" s="2" t="s">
        <v>20</v>
      </c>
      <c r="AE168" s="2" t="s">
        <v>17</v>
      </c>
      <c r="AF168" s="2" t="s">
        <v>28</v>
      </c>
      <c r="AG168" s="2" t="s">
        <v>18</v>
      </c>
      <c r="AH168" s="2" t="s">
        <v>18</v>
      </c>
      <c r="AI168" s="2" t="s">
        <v>16</v>
      </c>
      <c r="AJ168" s="2" t="s">
        <v>25</v>
      </c>
      <c r="AK168" s="2" t="s">
        <v>21</v>
      </c>
      <c r="AL168" s="2" t="s">
        <v>24</v>
      </c>
    </row>
    <row r="169" ht="14.25" customHeight="1">
      <c r="A169" s="17">
        <v>45669.0</v>
      </c>
      <c r="B169" s="2" t="s">
        <v>31</v>
      </c>
      <c r="C169" s="2" t="s">
        <v>31</v>
      </c>
      <c r="D169" s="2" t="s">
        <v>31</v>
      </c>
      <c r="E169" s="2" t="s">
        <v>31</v>
      </c>
      <c r="F169" s="2" t="s">
        <v>31</v>
      </c>
      <c r="G169" s="2" t="s">
        <v>31</v>
      </c>
      <c r="H169" s="2" t="s">
        <v>31</v>
      </c>
      <c r="I169" s="2" t="s">
        <v>31</v>
      </c>
      <c r="J169" s="2" t="s">
        <v>31</v>
      </c>
      <c r="K169" s="2" t="s">
        <v>31</v>
      </c>
      <c r="L169" s="2" t="s">
        <v>31</v>
      </c>
      <c r="M169" s="2" t="s">
        <v>31</v>
      </c>
      <c r="N169" s="2" t="s">
        <v>31</v>
      </c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2" t="s">
        <v>16</v>
      </c>
      <c r="V169" s="2" t="s">
        <v>16</v>
      </c>
      <c r="W169" s="2" t="s">
        <v>22</v>
      </c>
      <c r="X169" s="2" t="s">
        <v>19</v>
      </c>
      <c r="Y169" s="2" t="s">
        <v>20</v>
      </c>
      <c r="Z169" s="2" t="s">
        <v>16</v>
      </c>
      <c r="AA169" s="2" t="s">
        <v>26</v>
      </c>
      <c r="AB169" s="2" t="s">
        <v>28</v>
      </c>
      <c r="AC169" s="2" t="s">
        <v>21</v>
      </c>
      <c r="AD169" s="2" t="s">
        <v>16</v>
      </c>
      <c r="AE169" s="2" t="s">
        <v>24</v>
      </c>
      <c r="AF169" s="2" t="s">
        <v>21</v>
      </c>
      <c r="AG169" s="2" t="s">
        <v>27</v>
      </c>
      <c r="AH169" s="2" t="s">
        <v>16</v>
      </c>
      <c r="AI169" s="2" t="s">
        <v>27</v>
      </c>
      <c r="AJ169" s="2" t="s">
        <v>16</v>
      </c>
      <c r="AK169" s="2" t="s">
        <v>16</v>
      </c>
      <c r="AL169" s="2" t="s">
        <v>25</v>
      </c>
    </row>
    <row r="170" ht="14.25" customHeight="1">
      <c r="A170" s="17">
        <v>45670.0</v>
      </c>
      <c r="B170" s="2" t="s">
        <v>31</v>
      </c>
      <c r="C170" s="2" t="s">
        <v>31</v>
      </c>
      <c r="D170" s="2" t="s">
        <v>31</v>
      </c>
      <c r="E170" s="2" t="s">
        <v>31</v>
      </c>
      <c r="F170" s="2" t="s">
        <v>31</v>
      </c>
      <c r="G170" s="2" t="s">
        <v>31</v>
      </c>
      <c r="H170" s="2" t="s">
        <v>31</v>
      </c>
      <c r="I170" s="2" t="s">
        <v>31</v>
      </c>
      <c r="J170" s="2" t="s">
        <v>31</v>
      </c>
      <c r="K170" s="2" t="s">
        <v>31</v>
      </c>
      <c r="L170" s="2" t="s">
        <v>31</v>
      </c>
      <c r="M170" s="2" t="s">
        <v>31</v>
      </c>
      <c r="N170" s="2" t="s">
        <v>31</v>
      </c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2" t="s">
        <v>21</v>
      </c>
      <c r="V170" s="2" t="s">
        <v>21</v>
      </c>
      <c r="W170" s="2" t="s">
        <v>24</v>
      </c>
      <c r="X170" s="2" t="s">
        <v>25</v>
      </c>
      <c r="Y170" s="2" t="s">
        <v>16</v>
      </c>
      <c r="Z170" s="2" t="s">
        <v>26</v>
      </c>
      <c r="AA170" s="2" t="s">
        <v>21</v>
      </c>
      <c r="AB170" s="2" t="s">
        <v>19</v>
      </c>
      <c r="AC170" s="2" t="s">
        <v>17</v>
      </c>
      <c r="AD170" s="2" t="s">
        <v>25</v>
      </c>
      <c r="AE170" s="2" t="s">
        <v>20</v>
      </c>
      <c r="AF170" s="2" t="s">
        <v>16</v>
      </c>
      <c r="AG170" s="2" t="s">
        <v>17</v>
      </c>
      <c r="AH170" s="2" t="s">
        <v>28</v>
      </c>
      <c r="AI170" s="2" t="s">
        <v>16</v>
      </c>
      <c r="AJ170" s="2" t="s">
        <v>18</v>
      </c>
      <c r="AK170" s="2" t="s">
        <v>19</v>
      </c>
      <c r="AL170" s="2" t="s">
        <v>16</v>
      </c>
    </row>
    <row r="171" ht="14.25" customHeight="1">
      <c r="A171" s="17">
        <v>45671.0</v>
      </c>
      <c r="B171" s="2" t="s">
        <v>31</v>
      </c>
      <c r="C171" s="2" t="s">
        <v>31</v>
      </c>
      <c r="D171" s="2" t="s">
        <v>31</v>
      </c>
      <c r="E171" s="2" t="s">
        <v>31</v>
      </c>
      <c r="F171" s="2" t="s">
        <v>31</v>
      </c>
      <c r="G171" s="2" t="s">
        <v>31</v>
      </c>
      <c r="H171" s="2" t="s">
        <v>31</v>
      </c>
      <c r="I171" s="2" t="s">
        <v>31</v>
      </c>
      <c r="J171" s="2" t="s">
        <v>31</v>
      </c>
      <c r="K171" s="2" t="s">
        <v>31</v>
      </c>
      <c r="L171" s="2" t="s">
        <v>31</v>
      </c>
      <c r="M171" s="2" t="s">
        <v>31</v>
      </c>
      <c r="N171" s="2" t="s">
        <v>31</v>
      </c>
      <c r="O171" s="2" t="s">
        <v>31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2" t="s">
        <v>18</v>
      </c>
      <c r="V171" s="2" t="s">
        <v>27</v>
      </c>
      <c r="W171" s="2" t="s">
        <v>20</v>
      </c>
      <c r="X171" s="2" t="s">
        <v>26</v>
      </c>
      <c r="Y171" s="2" t="s">
        <v>16</v>
      </c>
      <c r="Z171" s="2" t="s">
        <v>26</v>
      </c>
      <c r="AA171" s="2" t="s">
        <v>22</v>
      </c>
      <c r="AB171" s="2" t="s">
        <v>17</v>
      </c>
      <c r="AC171" s="2" t="s">
        <v>16</v>
      </c>
      <c r="AD171" s="2" t="s">
        <v>16</v>
      </c>
      <c r="AE171" s="2" t="s">
        <v>26</v>
      </c>
      <c r="AF171" s="2" t="s">
        <v>27</v>
      </c>
      <c r="AG171" s="2" t="s">
        <v>25</v>
      </c>
      <c r="AH171" s="2" t="s">
        <v>20</v>
      </c>
      <c r="AI171" s="2" t="s">
        <v>16</v>
      </c>
      <c r="AJ171" s="2" t="s">
        <v>16</v>
      </c>
      <c r="AK171" s="2" t="s">
        <v>18</v>
      </c>
      <c r="AL171" s="2" t="s">
        <v>20</v>
      </c>
    </row>
    <row r="172" ht="14.25" customHeight="1">
      <c r="A172" s="17">
        <v>45672.0</v>
      </c>
      <c r="B172" s="2" t="s">
        <v>31</v>
      </c>
      <c r="C172" s="2" t="s">
        <v>31</v>
      </c>
      <c r="D172" s="2" t="s">
        <v>31</v>
      </c>
      <c r="E172" s="2" t="s">
        <v>31</v>
      </c>
      <c r="F172" s="2" t="s">
        <v>31</v>
      </c>
      <c r="G172" s="2" t="s">
        <v>31</v>
      </c>
      <c r="H172" s="2" t="s">
        <v>31</v>
      </c>
      <c r="I172" s="2" t="s">
        <v>31</v>
      </c>
      <c r="J172" s="2" t="s">
        <v>31</v>
      </c>
      <c r="K172" s="2" t="s">
        <v>31</v>
      </c>
      <c r="L172" s="2" t="s">
        <v>31</v>
      </c>
      <c r="M172" s="2" t="s">
        <v>31</v>
      </c>
      <c r="N172" s="2" t="s">
        <v>31</v>
      </c>
      <c r="O172" s="2" t="s">
        <v>31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2" t="s">
        <v>27</v>
      </c>
      <c r="V172" s="2" t="s">
        <v>20</v>
      </c>
      <c r="W172" s="2" t="s">
        <v>21</v>
      </c>
      <c r="X172" s="2" t="s">
        <v>28</v>
      </c>
      <c r="Y172" s="2" t="s">
        <v>24</v>
      </c>
      <c r="Z172" s="2" t="s">
        <v>25</v>
      </c>
      <c r="AA172" s="2" t="s">
        <v>16</v>
      </c>
      <c r="AB172" s="2" t="s">
        <v>16</v>
      </c>
      <c r="AC172" s="2" t="s">
        <v>19</v>
      </c>
      <c r="AD172" s="2" t="s">
        <v>19</v>
      </c>
      <c r="AE172" s="2" t="s">
        <v>16</v>
      </c>
      <c r="AF172" s="2" t="s">
        <v>25</v>
      </c>
      <c r="AG172" s="2" t="s">
        <v>16</v>
      </c>
      <c r="AH172" s="2" t="s">
        <v>28</v>
      </c>
      <c r="AI172" s="2" t="s">
        <v>25</v>
      </c>
      <c r="AJ172" s="2" t="s">
        <v>23</v>
      </c>
      <c r="AK172" s="2" t="s">
        <v>21</v>
      </c>
      <c r="AL172" s="2" t="s">
        <v>27</v>
      </c>
    </row>
    <row r="173" ht="14.25" customHeight="1">
      <c r="A173" s="17">
        <v>45673.0</v>
      </c>
      <c r="B173" s="2" t="s">
        <v>31</v>
      </c>
      <c r="C173" s="2" t="s">
        <v>31</v>
      </c>
      <c r="D173" s="2" t="s">
        <v>31</v>
      </c>
      <c r="E173" s="2" t="s">
        <v>31</v>
      </c>
      <c r="F173" s="2" t="s">
        <v>31</v>
      </c>
      <c r="G173" s="2" t="s">
        <v>31</v>
      </c>
      <c r="H173" s="2" t="s">
        <v>31</v>
      </c>
      <c r="I173" s="2" t="s">
        <v>31</v>
      </c>
      <c r="J173" s="2" t="s">
        <v>31</v>
      </c>
      <c r="K173" s="2" t="s">
        <v>31</v>
      </c>
      <c r="L173" s="2" t="s">
        <v>31</v>
      </c>
      <c r="M173" s="2" t="s">
        <v>31</v>
      </c>
      <c r="N173" s="2" t="s">
        <v>31</v>
      </c>
      <c r="O173" s="2" t="s">
        <v>31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2" t="s">
        <v>16</v>
      </c>
      <c r="V173" s="2" t="s">
        <v>19</v>
      </c>
      <c r="W173" s="2" t="s">
        <v>16</v>
      </c>
      <c r="X173" s="2" t="s">
        <v>28</v>
      </c>
      <c r="Y173" s="2" t="s">
        <v>19</v>
      </c>
      <c r="Z173" s="2" t="s">
        <v>17</v>
      </c>
      <c r="AA173" s="2" t="s">
        <v>22</v>
      </c>
      <c r="AB173" s="2" t="s">
        <v>20</v>
      </c>
      <c r="AC173" s="2" t="s">
        <v>16</v>
      </c>
      <c r="AD173" s="2" t="s">
        <v>22</v>
      </c>
      <c r="AE173" s="2" t="s">
        <v>20</v>
      </c>
      <c r="AF173" s="2" t="s">
        <v>16</v>
      </c>
      <c r="AG173" s="2" t="s">
        <v>26</v>
      </c>
      <c r="AH173" s="2" t="s">
        <v>21</v>
      </c>
      <c r="AI173" s="2" t="s">
        <v>19</v>
      </c>
      <c r="AJ173" s="2" t="s">
        <v>20</v>
      </c>
      <c r="AK173" s="2" t="s">
        <v>25</v>
      </c>
      <c r="AL173" s="2" t="s">
        <v>20</v>
      </c>
    </row>
    <row r="174" ht="14.25" customHeight="1">
      <c r="A174" s="17">
        <v>45674.0</v>
      </c>
      <c r="B174" s="2" t="s">
        <v>31</v>
      </c>
      <c r="C174" s="2" t="s">
        <v>31</v>
      </c>
      <c r="D174" s="2" t="s">
        <v>31</v>
      </c>
      <c r="E174" s="2" t="s">
        <v>31</v>
      </c>
      <c r="F174" s="2" t="s">
        <v>31</v>
      </c>
      <c r="G174" s="2" t="s">
        <v>31</v>
      </c>
      <c r="H174" s="2" t="s">
        <v>31</v>
      </c>
      <c r="I174" s="2" t="s">
        <v>31</v>
      </c>
      <c r="J174" s="2" t="s">
        <v>31</v>
      </c>
      <c r="K174" s="2" t="s">
        <v>31</v>
      </c>
      <c r="L174" s="2" t="s">
        <v>31</v>
      </c>
      <c r="M174" s="2" t="s">
        <v>31</v>
      </c>
      <c r="N174" s="2" t="s">
        <v>31</v>
      </c>
      <c r="O174" s="2" t="s">
        <v>31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2" t="s">
        <v>20</v>
      </c>
      <c r="V174" s="2" t="s">
        <v>17</v>
      </c>
      <c r="W174" s="2" t="s">
        <v>26</v>
      </c>
      <c r="X174" s="2" t="s">
        <v>26</v>
      </c>
      <c r="Y174" s="2" t="s">
        <v>20</v>
      </c>
      <c r="Z174" s="2" t="s">
        <v>16</v>
      </c>
      <c r="AA174" s="2" t="s">
        <v>19</v>
      </c>
      <c r="AB174" s="2" t="s">
        <v>21</v>
      </c>
      <c r="AC174" s="2" t="s">
        <v>28</v>
      </c>
      <c r="AD174" s="2" t="s">
        <v>19</v>
      </c>
      <c r="AE174" s="2" t="s">
        <v>25</v>
      </c>
      <c r="AF174" s="2" t="s">
        <v>17</v>
      </c>
      <c r="AG174" s="2" t="s">
        <v>21</v>
      </c>
      <c r="AH174" s="2" t="s">
        <v>22</v>
      </c>
      <c r="AI174" s="2" t="s">
        <v>16</v>
      </c>
      <c r="AJ174" s="2" t="s">
        <v>16</v>
      </c>
      <c r="AK174" s="2" t="s">
        <v>24</v>
      </c>
      <c r="AL174" s="2" t="s">
        <v>25</v>
      </c>
    </row>
    <row r="175" ht="14.25" customHeight="1">
      <c r="A175" s="17">
        <v>45675.0</v>
      </c>
      <c r="B175" s="2" t="s">
        <v>26</v>
      </c>
      <c r="C175" s="2" t="s">
        <v>21</v>
      </c>
      <c r="D175" s="2" t="s">
        <v>33</v>
      </c>
      <c r="E175" s="2" t="s">
        <v>41</v>
      </c>
      <c r="F175" s="2" t="s">
        <v>32</v>
      </c>
      <c r="G175" s="2" t="s">
        <v>24</v>
      </c>
      <c r="H175" s="2" t="s">
        <v>32</v>
      </c>
      <c r="I175" s="2" t="s">
        <v>33</v>
      </c>
      <c r="J175" s="2" t="s">
        <v>43</v>
      </c>
      <c r="K175" s="2" t="s">
        <v>24</v>
      </c>
      <c r="L175" s="2" t="s">
        <v>30</v>
      </c>
      <c r="M175" s="2" t="s">
        <v>37</v>
      </c>
      <c r="N175" s="2" t="s">
        <v>26</v>
      </c>
      <c r="O175" s="2" t="s">
        <v>40</v>
      </c>
      <c r="P175" s="2" t="s">
        <v>35</v>
      </c>
      <c r="Q175" s="2" t="s">
        <v>19</v>
      </c>
      <c r="R175" s="2" t="s">
        <v>28</v>
      </c>
      <c r="S175" s="2" t="s">
        <v>23</v>
      </c>
      <c r="T175" s="2" t="s">
        <v>18</v>
      </c>
      <c r="U175" s="2" t="s">
        <v>28</v>
      </c>
      <c r="V175" s="2" t="s">
        <v>27</v>
      </c>
      <c r="W175" s="2" t="s">
        <v>27</v>
      </c>
      <c r="X175" s="2" t="s">
        <v>20</v>
      </c>
      <c r="Y175" s="2" t="s">
        <v>25</v>
      </c>
      <c r="Z175" s="2" t="s">
        <v>16</v>
      </c>
      <c r="AA175" s="2" t="s">
        <v>16</v>
      </c>
      <c r="AB175" s="2" t="s">
        <v>27</v>
      </c>
      <c r="AC175" s="2" t="s">
        <v>27</v>
      </c>
      <c r="AD175" s="2" t="s">
        <v>24</v>
      </c>
      <c r="AE175" s="2" t="s">
        <v>18</v>
      </c>
      <c r="AF175" s="2" t="s">
        <v>24</v>
      </c>
      <c r="AG175" s="2" t="s">
        <v>17</v>
      </c>
      <c r="AH175" s="2" t="s">
        <v>20</v>
      </c>
      <c r="AI175" s="2" t="s">
        <v>17</v>
      </c>
      <c r="AJ175" s="2" t="s">
        <v>27</v>
      </c>
      <c r="AK175" s="2" t="s">
        <v>21</v>
      </c>
      <c r="AL175" s="2" t="s">
        <v>26</v>
      </c>
    </row>
    <row r="176" ht="14.25" customHeight="1">
      <c r="A176" s="17">
        <v>45676.0</v>
      </c>
      <c r="B176" s="2" t="s">
        <v>31</v>
      </c>
      <c r="C176" s="2" t="s">
        <v>31</v>
      </c>
      <c r="D176" s="2" t="s">
        <v>31</v>
      </c>
      <c r="E176" s="2" t="s">
        <v>31</v>
      </c>
      <c r="F176" s="2" t="s">
        <v>31</v>
      </c>
      <c r="G176" s="2" t="s">
        <v>31</v>
      </c>
      <c r="H176" s="2" t="s">
        <v>31</v>
      </c>
      <c r="I176" s="2" t="s">
        <v>31</v>
      </c>
      <c r="J176" s="2" t="s">
        <v>31</v>
      </c>
      <c r="K176" s="2" t="s">
        <v>31</v>
      </c>
      <c r="L176" s="2" t="s">
        <v>31</v>
      </c>
      <c r="M176" s="2" t="s">
        <v>31</v>
      </c>
      <c r="N176" s="2" t="s">
        <v>31</v>
      </c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2" t="s">
        <v>21</v>
      </c>
      <c r="V176" s="2" t="s">
        <v>26</v>
      </c>
      <c r="W176" s="2" t="s">
        <v>19</v>
      </c>
      <c r="X176" s="2" t="s">
        <v>22</v>
      </c>
      <c r="Y176" s="2" t="s">
        <v>16</v>
      </c>
      <c r="Z176" s="2" t="s">
        <v>16</v>
      </c>
      <c r="AA176" s="2" t="s">
        <v>22</v>
      </c>
      <c r="AB176" s="2" t="s">
        <v>18</v>
      </c>
      <c r="AC176" s="2" t="s">
        <v>26</v>
      </c>
      <c r="AD176" s="2" t="s">
        <v>26</v>
      </c>
      <c r="AE176" s="2" t="s">
        <v>20</v>
      </c>
      <c r="AF176" s="2" t="s">
        <v>16</v>
      </c>
      <c r="AG176" s="2" t="s">
        <v>20</v>
      </c>
      <c r="AH176" s="2" t="s">
        <v>16</v>
      </c>
      <c r="AI176" s="2" t="s">
        <v>22</v>
      </c>
      <c r="AJ176" s="2" t="s">
        <v>16</v>
      </c>
      <c r="AK176" s="2" t="s">
        <v>25</v>
      </c>
      <c r="AL176" s="2" t="s">
        <v>25</v>
      </c>
    </row>
    <row r="177" ht="14.25" customHeight="1">
      <c r="A177" s="17">
        <v>45677.0</v>
      </c>
      <c r="B177" s="2" t="s">
        <v>31</v>
      </c>
      <c r="C177" s="2" t="s">
        <v>31</v>
      </c>
      <c r="D177" s="2" t="s">
        <v>31</v>
      </c>
      <c r="E177" s="2" t="s">
        <v>31</v>
      </c>
      <c r="F177" s="2" t="s">
        <v>31</v>
      </c>
      <c r="G177" s="2" t="s">
        <v>31</v>
      </c>
      <c r="H177" s="2" t="s">
        <v>31</v>
      </c>
      <c r="I177" s="2" t="s">
        <v>31</v>
      </c>
      <c r="J177" s="2" t="s">
        <v>31</v>
      </c>
      <c r="K177" s="2" t="s">
        <v>31</v>
      </c>
      <c r="L177" s="2" t="s">
        <v>31</v>
      </c>
      <c r="M177" s="2" t="s">
        <v>31</v>
      </c>
      <c r="N177" s="2" t="s">
        <v>31</v>
      </c>
      <c r="O177" s="2" t="s">
        <v>31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2" t="s">
        <v>24</v>
      </c>
      <c r="V177" s="2" t="s">
        <v>16</v>
      </c>
      <c r="W177" s="2" t="s">
        <v>24</v>
      </c>
      <c r="X177" s="2" t="s">
        <v>24</v>
      </c>
      <c r="Y177" s="2" t="s">
        <v>21</v>
      </c>
      <c r="Z177" s="2" t="s">
        <v>21</v>
      </c>
      <c r="AA177" s="2" t="s">
        <v>16</v>
      </c>
      <c r="AB177" s="2" t="s">
        <v>16</v>
      </c>
      <c r="AC177" s="2" t="s">
        <v>16</v>
      </c>
      <c r="AD177" s="2" t="s">
        <v>25</v>
      </c>
      <c r="AE177" s="2" t="s">
        <v>26</v>
      </c>
      <c r="AF177" s="2" t="s">
        <v>16</v>
      </c>
      <c r="AG177" s="2" t="s">
        <v>26</v>
      </c>
      <c r="AH177" s="2" t="s">
        <v>20</v>
      </c>
      <c r="AI177" s="2" t="s">
        <v>25</v>
      </c>
      <c r="AJ177" s="2" t="s">
        <v>24</v>
      </c>
      <c r="AK177" s="2" t="s">
        <v>16</v>
      </c>
      <c r="AL177" s="2" t="s">
        <v>24</v>
      </c>
    </row>
    <row r="178" ht="14.25" customHeight="1">
      <c r="A178" s="17">
        <v>45678.0</v>
      </c>
      <c r="B178" s="2" t="s">
        <v>31</v>
      </c>
      <c r="C178" s="2" t="s">
        <v>31</v>
      </c>
      <c r="D178" s="2" t="s">
        <v>31</v>
      </c>
      <c r="E178" s="2" t="s">
        <v>31</v>
      </c>
      <c r="F178" s="2" t="s">
        <v>31</v>
      </c>
      <c r="G178" s="2" t="s">
        <v>31</v>
      </c>
      <c r="H178" s="2" t="s">
        <v>31</v>
      </c>
      <c r="I178" s="2" t="s">
        <v>31</v>
      </c>
      <c r="J178" s="2" t="s">
        <v>31</v>
      </c>
      <c r="K178" s="2" t="s">
        <v>31</v>
      </c>
      <c r="L178" s="2" t="s">
        <v>31</v>
      </c>
      <c r="M178" s="2" t="s">
        <v>31</v>
      </c>
      <c r="N178" s="2" t="s">
        <v>31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2" t="s">
        <v>22</v>
      </c>
      <c r="V178" s="2" t="s">
        <v>19</v>
      </c>
      <c r="W178" s="2" t="s">
        <v>22</v>
      </c>
      <c r="X178" s="2" t="s">
        <v>17</v>
      </c>
      <c r="Y178" s="2" t="s">
        <v>22</v>
      </c>
      <c r="Z178" s="2" t="s">
        <v>16</v>
      </c>
      <c r="AA178" s="2" t="s">
        <v>25</v>
      </c>
      <c r="AB178" s="2" t="s">
        <v>26</v>
      </c>
      <c r="AC178" s="2" t="s">
        <v>27</v>
      </c>
      <c r="AD178" s="2" t="s">
        <v>28</v>
      </c>
      <c r="AE178" s="2" t="s">
        <v>26</v>
      </c>
      <c r="AF178" s="2" t="s">
        <v>16</v>
      </c>
      <c r="AG178" s="2" t="s">
        <v>17</v>
      </c>
      <c r="AH178" s="2" t="s">
        <v>20</v>
      </c>
      <c r="AI178" s="2" t="s">
        <v>19</v>
      </c>
      <c r="AJ178" s="2" t="s">
        <v>23</v>
      </c>
      <c r="AK178" s="2" t="s">
        <v>21</v>
      </c>
      <c r="AL178" s="2" t="s">
        <v>27</v>
      </c>
    </row>
    <row r="179" ht="14.25" customHeight="1">
      <c r="A179" s="17">
        <v>45679.0</v>
      </c>
      <c r="B179" s="2" t="s">
        <v>31</v>
      </c>
      <c r="C179" s="2" t="s">
        <v>31</v>
      </c>
      <c r="D179" s="2" t="s">
        <v>31</v>
      </c>
      <c r="E179" s="2" t="s">
        <v>31</v>
      </c>
      <c r="F179" s="2" t="s">
        <v>31</v>
      </c>
      <c r="G179" s="2" t="s">
        <v>31</v>
      </c>
      <c r="H179" s="2" t="s">
        <v>31</v>
      </c>
      <c r="I179" s="2" t="s">
        <v>31</v>
      </c>
      <c r="J179" s="2" t="s">
        <v>31</v>
      </c>
      <c r="K179" s="2" t="s">
        <v>31</v>
      </c>
      <c r="L179" s="2" t="s">
        <v>31</v>
      </c>
      <c r="M179" s="2" t="s">
        <v>31</v>
      </c>
      <c r="N179" s="2" t="s">
        <v>31</v>
      </c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2" t="s">
        <v>28</v>
      </c>
      <c r="V179" s="2" t="s">
        <v>19</v>
      </c>
      <c r="W179" s="2" t="s">
        <v>26</v>
      </c>
      <c r="X179" s="2" t="s">
        <v>22</v>
      </c>
      <c r="Y179" s="2" t="s">
        <v>16</v>
      </c>
      <c r="Z179" s="2" t="s">
        <v>25</v>
      </c>
      <c r="AA179" s="2" t="s">
        <v>16</v>
      </c>
      <c r="AB179" s="2" t="s">
        <v>27</v>
      </c>
      <c r="AC179" s="2" t="s">
        <v>19</v>
      </c>
      <c r="AD179" s="2" t="s">
        <v>27</v>
      </c>
      <c r="AE179" s="2" t="s">
        <v>19</v>
      </c>
      <c r="AF179" s="2" t="s">
        <v>24</v>
      </c>
      <c r="AG179" s="2" t="s">
        <v>24</v>
      </c>
      <c r="AH179" s="2" t="s">
        <v>16</v>
      </c>
      <c r="AI179" s="2" t="s">
        <v>25</v>
      </c>
      <c r="AJ179" s="2" t="s">
        <v>23</v>
      </c>
      <c r="AK179" s="2" t="s">
        <v>18</v>
      </c>
      <c r="AL179" s="2" t="s">
        <v>22</v>
      </c>
    </row>
    <row r="180" ht="14.25" customHeight="1">
      <c r="A180" s="17">
        <v>45680.0</v>
      </c>
      <c r="B180" s="2" t="s">
        <v>31</v>
      </c>
      <c r="C180" s="2" t="s">
        <v>31</v>
      </c>
      <c r="D180" s="2" t="s">
        <v>31</v>
      </c>
      <c r="E180" s="2" t="s">
        <v>31</v>
      </c>
      <c r="F180" s="2" t="s">
        <v>31</v>
      </c>
      <c r="G180" s="2" t="s">
        <v>31</v>
      </c>
      <c r="H180" s="2" t="s">
        <v>31</v>
      </c>
      <c r="I180" s="2" t="s">
        <v>31</v>
      </c>
      <c r="J180" s="2" t="s">
        <v>31</v>
      </c>
      <c r="K180" s="2" t="s">
        <v>31</v>
      </c>
      <c r="L180" s="2" t="s">
        <v>31</v>
      </c>
      <c r="M180" s="2" t="s">
        <v>31</v>
      </c>
      <c r="N180" s="2" t="s">
        <v>31</v>
      </c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2" t="s">
        <v>16</v>
      </c>
      <c r="V180" s="2" t="s">
        <v>27</v>
      </c>
      <c r="W180" s="2" t="s">
        <v>17</v>
      </c>
      <c r="X180" s="2" t="s">
        <v>27</v>
      </c>
      <c r="Y180" s="2" t="s">
        <v>17</v>
      </c>
      <c r="Z180" s="2" t="s">
        <v>16</v>
      </c>
      <c r="AA180" s="2" t="s">
        <v>22</v>
      </c>
      <c r="AB180" s="2" t="s">
        <v>22</v>
      </c>
      <c r="AC180" s="2" t="s">
        <v>28</v>
      </c>
      <c r="AD180" s="2" t="s">
        <v>20</v>
      </c>
      <c r="AE180" s="2" t="s">
        <v>16</v>
      </c>
      <c r="AF180" s="2" t="s">
        <v>16</v>
      </c>
      <c r="AG180" s="2" t="s">
        <v>16</v>
      </c>
      <c r="AH180" s="2" t="s">
        <v>24</v>
      </c>
      <c r="AI180" s="2" t="s">
        <v>16</v>
      </c>
      <c r="AJ180" s="2" t="s">
        <v>16</v>
      </c>
      <c r="AK180" s="2" t="s">
        <v>20</v>
      </c>
      <c r="AL180" s="2" t="s">
        <v>28</v>
      </c>
    </row>
    <row r="181" ht="14.25" customHeight="1">
      <c r="A181" s="17">
        <v>45681.0</v>
      </c>
      <c r="B181" s="2" t="s">
        <v>31</v>
      </c>
      <c r="C181" s="2" t="s">
        <v>31</v>
      </c>
      <c r="D181" s="2" t="s">
        <v>31</v>
      </c>
      <c r="E181" s="2" t="s">
        <v>31</v>
      </c>
      <c r="F181" s="2" t="s">
        <v>31</v>
      </c>
      <c r="G181" s="2" t="s">
        <v>31</v>
      </c>
      <c r="H181" s="2" t="s">
        <v>31</v>
      </c>
      <c r="I181" s="2" t="s">
        <v>31</v>
      </c>
      <c r="J181" s="2" t="s">
        <v>31</v>
      </c>
      <c r="K181" s="2" t="s">
        <v>31</v>
      </c>
      <c r="L181" s="2" t="s">
        <v>31</v>
      </c>
      <c r="M181" s="2" t="s">
        <v>31</v>
      </c>
      <c r="N181" s="2" t="s">
        <v>31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2" t="s">
        <v>28</v>
      </c>
      <c r="V181" s="2" t="s">
        <v>16</v>
      </c>
      <c r="W181" s="2" t="s">
        <v>24</v>
      </c>
      <c r="X181" s="2" t="s">
        <v>17</v>
      </c>
      <c r="Y181" s="2" t="s">
        <v>28</v>
      </c>
      <c r="Z181" s="2" t="s">
        <v>28</v>
      </c>
      <c r="AA181" s="2" t="s">
        <v>16</v>
      </c>
      <c r="AB181" s="2" t="s">
        <v>16</v>
      </c>
      <c r="AC181" s="2" t="s">
        <v>20</v>
      </c>
      <c r="AD181" s="2" t="s">
        <v>20</v>
      </c>
      <c r="AE181" s="2" t="s">
        <v>24</v>
      </c>
      <c r="AF181" s="2" t="s">
        <v>17</v>
      </c>
      <c r="AG181" s="2" t="s">
        <v>27</v>
      </c>
      <c r="AH181" s="2" t="s">
        <v>27</v>
      </c>
      <c r="AI181" s="2" t="s">
        <v>25</v>
      </c>
      <c r="AJ181" s="2" t="s">
        <v>16</v>
      </c>
      <c r="AK181" s="2" t="s">
        <v>16</v>
      </c>
      <c r="AL181" s="2" t="s">
        <v>16</v>
      </c>
    </row>
    <row r="182" ht="14.25" customHeight="1">
      <c r="A182" s="17">
        <v>45682.0</v>
      </c>
      <c r="B182" s="2" t="s">
        <v>33</v>
      </c>
      <c r="C182" s="2" t="s">
        <v>16</v>
      </c>
      <c r="D182" s="2" t="s">
        <v>42</v>
      </c>
      <c r="E182" s="2" t="s">
        <v>20</v>
      </c>
      <c r="F182" s="2" t="s">
        <v>20</v>
      </c>
      <c r="G182" s="2" t="s">
        <v>35</v>
      </c>
      <c r="H182" s="2" t="s">
        <v>37</v>
      </c>
      <c r="I182" s="2" t="s">
        <v>35</v>
      </c>
      <c r="J182" s="2" t="s">
        <v>22</v>
      </c>
      <c r="K182" s="2" t="s">
        <v>28</v>
      </c>
      <c r="L182" s="2" t="s">
        <v>17</v>
      </c>
      <c r="M182" s="2" t="s">
        <v>30</v>
      </c>
      <c r="N182" s="2" t="s">
        <v>16</v>
      </c>
      <c r="O182" s="2" t="s">
        <v>34</v>
      </c>
      <c r="P182" s="2" t="s">
        <v>28</v>
      </c>
      <c r="Q182" s="2" t="s">
        <v>29</v>
      </c>
      <c r="R182" s="2" t="s">
        <v>32</v>
      </c>
      <c r="S182" s="2" t="s">
        <v>27</v>
      </c>
      <c r="T182" s="2" t="s">
        <v>22</v>
      </c>
      <c r="U182" s="2" t="s">
        <v>24</v>
      </c>
      <c r="V182" s="2" t="s">
        <v>16</v>
      </c>
      <c r="W182" s="2" t="s">
        <v>20</v>
      </c>
      <c r="X182" s="2" t="s">
        <v>18</v>
      </c>
      <c r="Y182" s="2" t="s">
        <v>26</v>
      </c>
      <c r="Z182" s="2" t="s">
        <v>27</v>
      </c>
      <c r="AA182" s="2" t="s">
        <v>25</v>
      </c>
      <c r="AB182" s="2" t="s">
        <v>25</v>
      </c>
      <c r="AC182" s="2" t="s">
        <v>16</v>
      </c>
      <c r="AD182" s="2" t="s">
        <v>28</v>
      </c>
      <c r="AE182" s="2" t="s">
        <v>16</v>
      </c>
      <c r="AF182" s="2" t="s">
        <v>28</v>
      </c>
      <c r="AG182" s="2" t="s">
        <v>23</v>
      </c>
      <c r="AH182" s="2" t="s">
        <v>27</v>
      </c>
      <c r="AI182" s="2" t="s">
        <v>26</v>
      </c>
      <c r="AJ182" s="2" t="s">
        <v>18</v>
      </c>
      <c r="AK182" s="2" t="s">
        <v>21</v>
      </c>
      <c r="AL182" s="2" t="s">
        <v>20</v>
      </c>
    </row>
    <row r="183" ht="14.25" customHeight="1">
      <c r="A183" s="17">
        <v>45683.0</v>
      </c>
      <c r="B183" s="2" t="s">
        <v>31</v>
      </c>
      <c r="C183" s="2" t="s">
        <v>31</v>
      </c>
      <c r="D183" s="2" t="s">
        <v>31</v>
      </c>
      <c r="E183" s="2" t="s">
        <v>31</v>
      </c>
      <c r="F183" s="2" t="s">
        <v>31</v>
      </c>
      <c r="G183" s="2" t="s">
        <v>31</v>
      </c>
      <c r="H183" s="2" t="s">
        <v>31</v>
      </c>
      <c r="I183" s="2" t="s">
        <v>31</v>
      </c>
      <c r="J183" s="2" t="s">
        <v>31</v>
      </c>
      <c r="K183" s="2" t="s">
        <v>31</v>
      </c>
      <c r="L183" s="2" t="s">
        <v>31</v>
      </c>
      <c r="M183" s="2" t="s">
        <v>31</v>
      </c>
      <c r="N183" s="2" t="s">
        <v>31</v>
      </c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2" t="s">
        <v>25</v>
      </c>
      <c r="V183" s="2" t="s">
        <v>28</v>
      </c>
      <c r="W183" s="2" t="s">
        <v>21</v>
      </c>
      <c r="X183" s="2" t="s">
        <v>17</v>
      </c>
      <c r="Y183" s="2" t="s">
        <v>20</v>
      </c>
      <c r="Z183" s="2" t="s">
        <v>22</v>
      </c>
      <c r="AA183" s="2" t="s">
        <v>16</v>
      </c>
      <c r="AB183" s="2" t="s">
        <v>27</v>
      </c>
      <c r="AC183" s="2" t="s">
        <v>16</v>
      </c>
      <c r="AD183" s="2" t="s">
        <v>21</v>
      </c>
      <c r="AE183" s="2" t="s">
        <v>25</v>
      </c>
      <c r="AF183" s="2" t="s">
        <v>19</v>
      </c>
      <c r="AG183" s="2" t="s">
        <v>17</v>
      </c>
      <c r="AH183" s="2" t="s">
        <v>25</v>
      </c>
      <c r="AI183" s="2" t="s">
        <v>24</v>
      </c>
      <c r="AJ183" s="2" t="s">
        <v>16</v>
      </c>
      <c r="AK183" s="2" t="s">
        <v>27</v>
      </c>
      <c r="AL183" s="2" t="s">
        <v>16</v>
      </c>
    </row>
    <row r="184" ht="14.25" customHeight="1">
      <c r="A184" s="17">
        <v>45684.0</v>
      </c>
      <c r="B184" s="2" t="s">
        <v>31</v>
      </c>
      <c r="C184" s="2" t="s">
        <v>31</v>
      </c>
      <c r="D184" s="2" t="s">
        <v>31</v>
      </c>
      <c r="E184" s="2" t="s">
        <v>31</v>
      </c>
      <c r="F184" s="2" t="s">
        <v>31</v>
      </c>
      <c r="G184" s="2" t="s">
        <v>31</v>
      </c>
      <c r="H184" s="2" t="s">
        <v>31</v>
      </c>
      <c r="I184" s="2" t="s">
        <v>31</v>
      </c>
      <c r="J184" s="2" t="s">
        <v>31</v>
      </c>
      <c r="K184" s="2" t="s">
        <v>31</v>
      </c>
      <c r="L184" s="2" t="s">
        <v>31</v>
      </c>
      <c r="M184" s="2" t="s">
        <v>31</v>
      </c>
      <c r="N184" s="2" t="s">
        <v>31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2" t="s">
        <v>27</v>
      </c>
      <c r="V184" s="2" t="s">
        <v>20</v>
      </c>
      <c r="W184" s="2" t="s">
        <v>20</v>
      </c>
      <c r="X184" s="2" t="s">
        <v>16</v>
      </c>
      <c r="Y184" s="2" t="s">
        <v>28</v>
      </c>
      <c r="Z184" s="2" t="s">
        <v>23</v>
      </c>
      <c r="AA184" s="2" t="s">
        <v>16</v>
      </c>
      <c r="AB184" s="2" t="s">
        <v>26</v>
      </c>
      <c r="AC184" s="2" t="s">
        <v>27</v>
      </c>
      <c r="AD184" s="2" t="s">
        <v>22</v>
      </c>
      <c r="AE184" s="2" t="s">
        <v>22</v>
      </c>
      <c r="AF184" s="2" t="s">
        <v>23</v>
      </c>
      <c r="AG184" s="2" t="s">
        <v>16</v>
      </c>
      <c r="AH184" s="2" t="s">
        <v>16</v>
      </c>
      <c r="AI184" s="2" t="s">
        <v>16</v>
      </c>
      <c r="AJ184" s="2" t="s">
        <v>16</v>
      </c>
      <c r="AK184" s="2" t="s">
        <v>16</v>
      </c>
      <c r="AL184" s="2" t="s">
        <v>28</v>
      </c>
    </row>
    <row r="185" ht="14.25" customHeight="1">
      <c r="A185" s="17">
        <v>45685.0</v>
      </c>
      <c r="B185" s="2" t="s">
        <v>31</v>
      </c>
      <c r="C185" s="2" t="s">
        <v>31</v>
      </c>
      <c r="D185" s="2" t="s">
        <v>31</v>
      </c>
      <c r="E185" s="2" t="s">
        <v>31</v>
      </c>
      <c r="F185" s="2" t="s">
        <v>31</v>
      </c>
      <c r="G185" s="2" t="s">
        <v>31</v>
      </c>
      <c r="H185" s="2" t="s">
        <v>31</v>
      </c>
      <c r="I185" s="2" t="s">
        <v>31</v>
      </c>
      <c r="J185" s="2" t="s">
        <v>31</v>
      </c>
      <c r="K185" s="2" t="s">
        <v>31</v>
      </c>
      <c r="L185" s="2" t="s">
        <v>31</v>
      </c>
      <c r="M185" s="2" t="s">
        <v>31</v>
      </c>
      <c r="N185" s="2" t="s">
        <v>31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2" t="s">
        <v>17</v>
      </c>
      <c r="V185" s="2" t="s">
        <v>20</v>
      </c>
      <c r="W185" s="2" t="s">
        <v>19</v>
      </c>
      <c r="X185" s="2" t="s">
        <v>24</v>
      </c>
      <c r="Y185" s="2" t="s">
        <v>21</v>
      </c>
      <c r="Z185" s="2" t="s">
        <v>24</v>
      </c>
      <c r="AA185" s="2" t="s">
        <v>20</v>
      </c>
      <c r="AB185" s="2" t="s">
        <v>16</v>
      </c>
      <c r="AC185" s="2" t="s">
        <v>21</v>
      </c>
      <c r="AD185" s="2" t="s">
        <v>25</v>
      </c>
      <c r="AE185" s="2" t="s">
        <v>19</v>
      </c>
      <c r="AF185" s="2" t="s">
        <v>16</v>
      </c>
      <c r="AG185" s="2" t="s">
        <v>27</v>
      </c>
      <c r="AH185" s="2" t="s">
        <v>18</v>
      </c>
      <c r="AI185" s="2" t="s">
        <v>19</v>
      </c>
      <c r="AJ185" s="2" t="s">
        <v>24</v>
      </c>
      <c r="AK185" s="2" t="s">
        <v>16</v>
      </c>
      <c r="AL185" s="2" t="s">
        <v>20</v>
      </c>
    </row>
    <row r="186" ht="14.25" customHeight="1">
      <c r="A186" s="17">
        <v>45686.0</v>
      </c>
      <c r="B186" s="2" t="s">
        <v>31</v>
      </c>
      <c r="C186" s="2" t="s">
        <v>31</v>
      </c>
      <c r="D186" s="2" t="s">
        <v>31</v>
      </c>
      <c r="E186" s="2" t="s">
        <v>31</v>
      </c>
      <c r="F186" s="2" t="s">
        <v>31</v>
      </c>
      <c r="G186" s="2" t="s">
        <v>31</v>
      </c>
      <c r="H186" s="2" t="s">
        <v>31</v>
      </c>
      <c r="I186" s="2" t="s">
        <v>31</v>
      </c>
      <c r="J186" s="2" t="s">
        <v>31</v>
      </c>
      <c r="K186" s="2" t="s">
        <v>31</v>
      </c>
      <c r="L186" s="2" t="s">
        <v>31</v>
      </c>
      <c r="M186" s="2" t="s">
        <v>31</v>
      </c>
      <c r="N186" s="2" t="s">
        <v>31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2" t="s">
        <v>16</v>
      </c>
      <c r="V186" s="2" t="s">
        <v>25</v>
      </c>
      <c r="W186" s="2" t="s">
        <v>28</v>
      </c>
      <c r="X186" s="2" t="s">
        <v>21</v>
      </c>
      <c r="Y186" s="2" t="s">
        <v>16</v>
      </c>
      <c r="Z186" s="2" t="s">
        <v>21</v>
      </c>
      <c r="AA186" s="2" t="s">
        <v>16</v>
      </c>
      <c r="AB186" s="2" t="s">
        <v>23</v>
      </c>
      <c r="AC186" s="2" t="s">
        <v>16</v>
      </c>
      <c r="AD186" s="2" t="s">
        <v>26</v>
      </c>
      <c r="AE186" s="2" t="s">
        <v>27</v>
      </c>
      <c r="AF186" s="2" t="s">
        <v>18</v>
      </c>
      <c r="AG186" s="2" t="s">
        <v>24</v>
      </c>
      <c r="AH186" s="2" t="s">
        <v>16</v>
      </c>
      <c r="AI186" s="2" t="s">
        <v>22</v>
      </c>
      <c r="AJ186" s="2" t="s">
        <v>21</v>
      </c>
      <c r="AK186" s="2" t="s">
        <v>28</v>
      </c>
      <c r="AL186" s="2" t="s">
        <v>21</v>
      </c>
    </row>
    <row r="187" ht="14.25" customHeight="1">
      <c r="A187" s="17">
        <v>45687.0</v>
      </c>
      <c r="B187" s="2" t="s">
        <v>31</v>
      </c>
      <c r="C187" s="2" t="s">
        <v>31</v>
      </c>
      <c r="D187" s="2" t="s">
        <v>31</v>
      </c>
      <c r="E187" s="2" t="s">
        <v>31</v>
      </c>
      <c r="F187" s="2" t="s">
        <v>31</v>
      </c>
      <c r="G187" s="2" t="s">
        <v>31</v>
      </c>
      <c r="H187" s="2" t="s">
        <v>31</v>
      </c>
      <c r="I187" s="2" t="s">
        <v>31</v>
      </c>
      <c r="J187" s="2" t="s">
        <v>31</v>
      </c>
      <c r="K187" s="2" t="s">
        <v>31</v>
      </c>
      <c r="L187" s="2" t="s">
        <v>31</v>
      </c>
      <c r="M187" s="2" t="s">
        <v>31</v>
      </c>
      <c r="N187" s="2" t="s">
        <v>31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2" t="s">
        <v>24</v>
      </c>
      <c r="V187" s="2" t="s">
        <v>16</v>
      </c>
      <c r="W187" s="2" t="s">
        <v>28</v>
      </c>
      <c r="X187" s="2" t="s">
        <v>16</v>
      </c>
      <c r="Y187" s="2" t="s">
        <v>28</v>
      </c>
      <c r="Z187" s="2" t="s">
        <v>20</v>
      </c>
      <c r="AA187" s="2" t="s">
        <v>16</v>
      </c>
      <c r="AB187" s="2" t="s">
        <v>28</v>
      </c>
      <c r="AC187" s="2" t="s">
        <v>16</v>
      </c>
      <c r="AD187" s="2" t="s">
        <v>28</v>
      </c>
      <c r="AE187" s="2" t="s">
        <v>16</v>
      </c>
      <c r="AF187" s="2" t="s">
        <v>16</v>
      </c>
      <c r="AG187" s="2" t="s">
        <v>22</v>
      </c>
      <c r="AH187" s="2" t="s">
        <v>27</v>
      </c>
      <c r="AI187" s="2" t="s">
        <v>26</v>
      </c>
      <c r="AJ187" s="2" t="s">
        <v>27</v>
      </c>
      <c r="AK187" s="2" t="s">
        <v>16</v>
      </c>
      <c r="AL187" s="2" t="s">
        <v>16</v>
      </c>
    </row>
    <row r="188" ht="14.25" customHeight="1">
      <c r="A188" s="17">
        <v>45688.0</v>
      </c>
      <c r="B188" s="2" t="s">
        <v>31</v>
      </c>
      <c r="C188" s="2" t="s">
        <v>31</v>
      </c>
      <c r="D188" s="2" t="s">
        <v>31</v>
      </c>
      <c r="E188" s="2" t="s">
        <v>31</v>
      </c>
      <c r="F188" s="2" t="s">
        <v>31</v>
      </c>
      <c r="G188" s="2" t="s">
        <v>31</v>
      </c>
      <c r="H188" s="2" t="s">
        <v>31</v>
      </c>
      <c r="I188" s="2" t="s">
        <v>31</v>
      </c>
      <c r="J188" s="2" t="s">
        <v>31</v>
      </c>
      <c r="K188" s="2" t="s">
        <v>31</v>
      </c>
      <c r="L188" s="2" t="s">
        <v>31</v>
      </c>
      <c r="M188" s="2" t="s">
        <v>31</v>
      </c>
      <c r="N188" s="2" t="s">
        <v>31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2" t="s">
        <v>21</v>
      </c>
      <c r="V188" s="2" t="s">
        <v>16</v>
      </c>
      <c r="W188" s="2" t="s">
        <v>17</v>
      </c>
      <c r="X188" s="2" t="s">
        <v>25</v>
      </c>
      <c r="Y188" s="2" t="s">
        <v>24</v>
      </c>
      <c r="Z188" s="2" t="s">
        <v>24</v>
      </c>
      <c r="AA188" s="2" t="s">
        <v>24</v>
      </c>
      <c r="AB188" s="2" t="s">
        <v>16</v>
      </c>
      <c r="AC188" s="2" t="s">
        <v>22</v>
      </c>
      <c r="AD188" s="2" t="s">
        <v>26</v>
      </c>
      <c r="AE188" s="2" t="s">
        <v>19</v>
      </c>
      <c r="AF188" s="2" t="s">
        <v>16</v>
      </c>
      <c r="AG188" s="2" t="s">
        <v>27</v>
      </c>
      <c r="AH188" s="2" t="s">
        <v>16</v>
      </c>
      <c r="AI188" s="2" t="s">
        <v>17</v>
      </c>
      <c r="AJ188" s="2" t="s">
        <v>19</v>
      </c>
      <c r="AK188" s="2" t="s">
        <v>28</v>
      </c>
      <c r="AL188" s="2" t="s">
        <v>26</v>
      </c>
    </row>
    <row r="189" ht="14.25" customHeight="1">
      <c r="A189" s="17">
        <v>45689.0</v>
      </c>
      <c r="B189" s="2" t="s">
        <v>28</v>
      </c>
      <c r="C189" s="2" t="s">
        <v>40</v>
      </c>
      <c r="D189" s="2" t="s">
        <v>17</v>
      </c>
      <c r="E189" s="2" t="s">
        <v>41</v>
      </c>
      <c r="F189" s="2" t="s">
        <v>28</v>
      </c>
      <c r="G189" s="2" t="s">
        <v>26</v>
      </c>
      <c r="H189" s="2" t="s">
        <v>20</v>
      </c>
      <c r="I189" s="2" t="s">
        <v>25</v>
      </c>
      <c r="J189" s="2" t="s">
        <v>16</v>
      </c>
      <c r="K189" s="2" t="s">
        <v>37</v>
      </c>
      <c r="L189" s="2" t="s">
        <v>33</v>
      </c>
      <c r="M189" s="2" t="s">
        <v>34</v>
      </c>
      <c r="N189" s="2" t="s">
        <v>27</v>
      </c>
      <c r="O189" s="2" t="s">
        <v>33</v>
      </c>
      <c r="P189" s="2" t="s">
        <v>37</v>
      </c>
      <c r="Q189" s="2" t="s">
        <v>27</v>
      </c>
      <c r="R189" s="2" t="s">
        <v>30</v>
      </c>
      <c r="S189" s="2" t="s">
        <v>37</v>
      </c>
      <c r="T189" s="2" t="s">
        <v>33</v>
      </c>
      <c r="U189" s="2" t="s">
        <v>22</v>
      </c>
      <c r="V189" s="2" t="s">
        <v>16</v>
      </c>
      <c r="W189" s="2" t="s">
        <v>22</v>
      </c>
      <c r="X189" s="2" t="s">
        <v>17</v>
      </c>
      <c r="Y189" s="2" t="s">
        <v>19</v>
      </c>
      <c r="Z189" s="2" t="s">
        <v>21</v>
      </c>
      <c r="AA189" s="2" t="s">
        <v>16</v>
      </c>
      <c r="AB189" s="2" t="s">
        <v>25</v>
      </c>
      <c r="AC189" s="2" t="s">
        <v>18</v>
      </c>
      <c r="AD189" s="2" t="s">
        <v>28</v>
      </c>
      <c r="AE189" s="2" t="s">
        <v>16</v>
      </c>
      <c r="AF189" s="2" t="s">
        <v>16</v>
      </c>
      <c r="AG189" s="2" t="s">
        <v>24</v>
      </c>
      <c r="AH189" s="2" t="s">
        <v>24</v>
      </c>
      <c r="AI189" s="2" t="s">
        <v>16</v>
      </c>
      <c r="AJ189" s="2" t="s">
        <v>27</v>
      </c>
      <c r="AK189" s="2" t="s">
        <v>16</v>
      </c>
      <c r="AL189" s="2" t="s">
        <v>22</v>
      </c>
    </row>
    <row r="190" ht="14.25" customHeight="1">
      <c r="A190" s="17">
        <v>45690.0</v>
      </c>
      <c r="B190" s="2" t="s">
        <v>31</v>
      </c>
      <c r="C190" s="2" t="s">
        <v>31</v>
      </c>
      <c r="D190" s="2" t="s">
        <v>31</v>
      </c>
      <c r="E190" s="2" t="s">
        <v>31</v>
      </c>
      <c r="F190" s="2" t="s">
        <v>31</v>
      </c>
      <c r="G190" s="2" t="s">
        <v>31</v>
      </c>
      <c r="H190" s="2" t="s">
        <v>31</v>
      </c>
      <c r="I190" s="2" t="s">
        <v>31</v>
      </c>
      <c r="J190" s="2" t="s">
        <v>31</v>
      </c>
      <c r="K190" s="2" t="s">
        <v>31</v>
      </c>
      <c r="L190" s="2" t="s">
        <v>31</v>
      </c>
      <c r="M190" s="2" t="s">
        <v>31</v>
      </c>
      <c r="N190" s="2" t="s">
        <v>31</v>
      </c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2" t="s">
        <v>26</v>
      </c>
      <c r="V190" s="2" t="s">
        <v>16</v>
      </c>
      <c r="W190" s="2" t="s">
        <v>21</v>
      </c>
      <c r="X190" s="2" t="s">
        <v>24</v>
      </c>
      <c r="Y190" s="2" t="s">
        <v>16</v>
      </c>
      <c r="Z190" s="2" t="s">
        <v>16</v>
      </c>
      <c r="AA190" s="2" t="s">
        <v>28</v>
      </c>
      <c r="AB190" s="2" t="s">
        <v>19</v>
      </c>
      <c r="AC190" s="2" t="s">
        <v>16</v>
      </c>
      <c r="AD190" s="2" t="s">
        <v>20</v>
      </c>
      <c r="AE190" s="2" t="s">
        <v>23</v>
      </c>
      <c r="AF190" s="2" t="s">
        <v>19</v>
      </c>
      <c r="AG190" s="2" t="s">
        <v>24</v>
      </c>
      <c r="AH190" s="2" t="s">
        <v>17</v>
      </c>
      <c r="AI190" s="2" t="s">
        <v>16</v>
      </c>
      <c r="AJ190" s="2" t="s">
        <v>17</v>
      </c>
      <c r="AK190" s="2" t="s">
        <v>22</v>
      </c>
      <c r="AL190" s="2" t="s">
        <v>23</v>
      </c>
    </row>
    <row r="191" ht="14.25" customHeight="1">
      <c r="A191" s="17">
        <v>45691.0</v>
      </c>
      <c r="B191" s="2" t="s">
        <v>31</v>
      </c>
      <c r="C191" s="2" t="s">
        <v>31</v>
      </c>
      <c r="D191" s="2" t="s">
        <v>31</v>
      </c>
      <c r="E191" s="2" t="s">
        <v>31</v>
      </c>
      <c r="F191" s="2" t="s">
        <v>31</v>
      </c>
      <c r="G191" s="2" t="s">
        <v>31</v>
      </c>
      <c r="H191" s="2" t="s">
        <v>31</v>
      </c>
      <c r="I191" s="2" t="s">
        <v>31</v>
      </c>
      <c r="J191" s="2" t="s">
        <v>31</v>
      </c>
      <c r="K191" s="2" t="s">
        <v>31</v>
      </c>
      <c r="L191" s="2" t="s">
        <v>31</v>
      </c>
      <c r="M191" s="2" t="s">
        <v>31</v>
      </c>
      <c r="N191" s="2" t="s">
        <v>31</v>
      </c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2" t="s">
        <v>16</v>
      </c>
      <c r="V191" s="2" t="s">
        <v>16</v>
      </c>
      <c r="W191" s="2" t="s">
        <v>24</v>
      </c>
      <c r="X191" s="2" t="s">
        <v>20</v>
      </c>
      <c r="Y191" s="2" t="s">
        <v>21</v>
      </c>
      <c r="Z191" s="2" t="s">
        <v>25</v>
      </c>
      <c r="AA191" s="2" t="s">
        <v>16</v>
      </c>
      <c r="AB191" s="2" t="s">
        <v>25</v>
      </c>
      <c r="AC191" s="2" t="s">
        <v>16</v>
      </c>
      <c r="AD191" s="2" t="s">
        <v>20</v>
      </c>
      <c r="AE191" s="2" t="s">
        <v>25</v>
      </c>
      <c r="AF191" s="2" t="s">
        <v>19</v>
      </c>
      <c r="AG191" s="2" t="s">
        <v>19</v>
      </c>
      <c r="AH191" s="2" t="s">
        <v>24</v>
      </c>
      <c r="AI191" s="2" t="s">
        <v>16</v>
      </c>
      <c r="AJ191" s="2" t="s">
        <v>24</v>
      </c>
      <c r="AK191" s="2" t="s">
        <v>24</v>
      </c>
      <c r="AL191" s="2" t="s">
        <v>24</v>
      </c>
    </row>
    <row r="192" ht="14.25" customHeight="1">
      <c r="A192" s="17">
        <v>45692.0</v>
      </c>
      <c r="B192" s="2" t="s">
        <v>31</v>
      </c>
      <c r="C192" s="2" t="s">
        <v>31</v>
      </c>
      <c r="D192" s="2" t="s">
        <v>31</v>
      </c>
      <c r="E192" s="2" t="s">
        <v>31</v>
      </c>
      <c r="F192" s="2" t="s">
        <v>31</v>
      </c>
      <c r="G192" s="2" t="s">
        <v>31</v>
      </c>
      <c r="H192" s="2" t="s">
        <v>31</v>
      </c>
      <c r="I192" s="2" t="s">
        <v>31</v>
      </c>
      <c r="J192" s="2" t="s">
        <v>31</v>
      </c>
      <c r="K192" s="2" t="s">
        <v>31</v>
      </c>
      <c r="L192" s="2" t="s">
        <v>31</v>
      </c>
      <c r="M192" s="2" t="s">
        <v>31</v>
      </c>
      <c r="N192" s="2" t="s">
        <v>31</v>
      </c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2" t="s">
        <v>24</v>
      </c>
      <c r="V192" s="2" t="s">
        <v>16</v>
      </c>
      <c r="W192" s="2" t="s">
        <v>25</v>
      </c>
      <c r="X192" s="2" t="s">
        <v>19</v>
      </c>
      <c r="Y192" s="2" t="s">
        <v>25</v>
      </c>
      <c r="Z192" s="2" t="s">
        <v>25</v>
      </c>
      <c r="AA192" s="2" t="s">
        <v>20</v>
      </c>
      <c r="AB192" s="2" t="s">
        <v>24</v>
      </c>
      <c r="AC192" s="2" t="s">
        <v>19</v>
      </c>
      <c r="AD192" s="2" t="s">
        <v>19</v>
      </c>
      <c r="AE192" s="2" t="s">
        <v>20</v>
      </c>
      <c r="AF192" s="2" t="s">
        <v>16</v>
      </c>
      <c r="AG192" s="2" t="s">
        <v>20</v>
      </c>
      <c r="AH192" s="2" t="s">
        <v>16</v>
      </c>
      <c r="AI192" s="2" t="s">
        <v>17</v>
      </c>
      <c r="AJ192" s="2" t="s">
        <v>16</v>
      </c>
      <c r="AK192" s="2" t="s">
        <v>19</v>
      </c>
      <c r="AL192" s="2" t="s">
        <v>24</v>
      </c>
    </row>
    <row r="193" ht="14.25" customHeight="1">
      <c r="A193" s="17">
        <v>45693.0</v>
      </c>
      <c r="B193" s="2" t="s">
        <v>31</v>
      </c>
      <c r="C193" s="2" t="s">
        <v>31</v>
      </c>
      <c r="D193" s="2" t="s">
        <v>31</v>
      </c>
      <c r="E193" s="2" t="s">
        <v>31</v>
      </c>
      <c r="F193" s="2" t="s">
        <v>31</v>
      </c>
      <c r="G193" s="2" t="s">
        <v>31</v>
      </c>
      <c r="H193" s="2" t="s">
        <v>31</v>
      </c>
      <c r="I193" s="2" t="s">
        <v>31</v>
      </c>
      <c r="J193" s="2" t="s">
        <v>31</v>
      </c>
      <c r="K193" s="2" t="s">
        <v>31</v>
      </c>
      <c r="L193" s="2" t="s">
        <v>31</v>
      </c>
      <c r="M193" s="2" t="s">
        <v>31</v>
      </c>
      <c r="N193" s="2" t="s">
        <v>31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2" t="s">
        <v>21</v>
      </c>
      <c r="V193" s="2" t="s">
        <v>28</v>
      </c>
      <c r="W193" s="2" t="s">
        <v>22</v>
      </c>
      <c r="X193" s="2" t="s">
        <v>23</v>
      </c>
      <c r="Y193" s="2" t="s">
        <v>16</v>
      </c>
      <c r="Z193" s="2" t="s">
        <v>21</v>
      </c>
      <c r="AA193" s="2" t="s">
        <v>24</v>
      </c>
      <c r="AB193" s="2" t="s">
        <v>24</v>
      </c>
      <c r="AC193" s="2" t="s">
        <v>23</v>
      </c>
      <c r="AD193" s="2" t="s">
        <v>16</v>
      </c>
      <c r="AE193" s="2" t="s">
        <v>16</v>
      </c>
      <c r="AF193" s="2" t="s">
        <v>26</v>
      </c>
      <c r="AG193" s="2" t="s">
        <v>16</v>
      </c>
      <c r="AH193" s="2" t="s">
        <v>24</v>
      </c>
      <c r="AI193" s="2" t="s">
        <v>28</v>
      </c>
      <c r="AJ193" s="2" t="s">
        <v>16</v>
      </c>
      <c r="AK193" s="2" t="s">
        <v>28</v>
      </c>
      <c r="AL193" s="2" t="s">
        <v>23</v>
      </c>
    </row>
    <row r="194" ht="14.25" customHeight="1">
      <c r="A194" s="17">
        <v>45694.0</v>
      </c>
      <c r="B194" s="2" t="s">
        <v>31</v>
      </c>
      <c r="C194" s="2" t="s">
        <v>31</v>
      </c>
      <c r="D194" s="2" t="s">
        <v>31</v>
      </c>
      <c r="E194" s="2" t="s">
        <v>31</v>
      </c>
      <c r="F194" s="2" t="s">
        <v>31</v>
      </c>
      <c r="G194" s="2" t="s">
        <v>31</v>
      </c>
      <c r="H194" s="2" t="s">
        <v>31</v>
      </c>
      <c r="I194" s="2" t="s">
        <v>31</v>
      </c>
      <c r="J194" s="2" t="s">
        <v>31</v>
      </c>
      <c r="K194" s="2" t="s">
        <v>31</v>
      </c>
      <c r="L194" s="2" t="s">
        <v>31</v>
      </c>
      <c r="M194" s="2" t="s">
        <v>31</v>
      </c>
      <c r="N194" s="2" t="s">
        <v>31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2" t="s">
        <v>18</v>
      </c>
      <c r="V194" s="2" t="s">
        <v>25</v>
      </c>
      <c r="W194" s="2" t="s">
        <v>22</v>
      </c>
      <c r="X194" s="2" t="s">
        <v>26</v>
      </c>
      <c r="Y194" s="2" t="s">
        <v>24</v>
      </c>
      <c r="Z194" s="2" t="s">
        <v>16</v>
      </c>
      <c r="AA194" s="2" t="s">
        <v>16</v>
      </c>
      <c r="AB194" s="2" t="s">
        <v>21</v>
      </c>
      <c r="AC194" s="2" t="s">
        <v>16</v>
      </c>
      <c r="AD194" s="2" t="s">
        <v>16</v>
      </c>
      <c r="AE194" s="2" t="s">
        <v>27</v>
      </c>
      <c r="AF194" s="2" t="s">
        <v>16</v>
      </c>
      <c r="AG194" s="2" t="s">
        <v>27</v>
      </c>
      <c r="AH194" s="2" t="s">
        <v>25</v>
      </c>
      <c r="AI194" s="2" t="s">
        <v>20</v>
      </c>
      <c r="AJ194" s="2" t="s">
        <v>19</v>
      </c>
      <c r="AK194" s="2" t="s">
        <v>28</v>
      </c>
      <c r="AL194" s="2" t="s">
        <v>20</v>
      </c>
    </row>
    <row r="195" ht="14.25" customHeight="1">
      <c r="A195" s="17">
        <v>45695.0</v>
      </c>
      <c r="B195" s="2" t="s">
        <v>31</v>
      </c>
      <c r="C195" s="2" t="s">
        <v>31</v>
      </c>
      <c r="D195" s="2" t="s">
        <v>31</v>
      </c>
      <c r="E195" s="2" t="s">
        <v>31</v>
      </c>
      <c r="F195" s="2" t="s">
        <v>31</v>
      </c>
      <c r="G195" s="2" t="s">
        <v>31</v>
      </c>
      <c r="H195" s="2" t="s">
        <v>31</v>
      </c>
      <c r="I195" s="2" t="s">
        <v>31</v>
      </c>
      <c r="J195" s="2" t="s">
        <v>31</v>
      </c>
      <c r="K195" s="2" t="s">
        <v>31</v>
      </c>
      <c r="L195" s="2" t="s">
        <v>31</v>
      </c>
      <c r="M195" s="2" t="s">
        <v>31</v>
      </c>
      <c r="N195" s="2" t="s">
        <v>31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2" t="s">
        <v>16</v>
      </c>
      <c r="V195" s="2" t="s">
        <v>20</v>
      </c>
      <c r="W195" s="2" t="s">
        <v>26</v>
      </c>
      <c r="X195" s="2" t="s">
        <v>26</v>
      </c>
      <c r="Y195" s="2" t="s">
        <v>20</v>
      </c>
      <c r="Z195" s="2" t="s">
        <v>16</v>
      </c>
      <c r="AA195" s="2" t="s">
        <v>26</v>
      </c>
      <c r="AB195" s="2" t="s">
        <v>16</v>
      </c>
      <c r="AC195" s="2" t="s">
        <v>16</v>
      </c>
      <c r="AD195" s="2" t="s">
        <v>24</v>
      </c>
      <c r="AE195" s="2" t="s">
        <v>26</v>
      </c>
      <c r="AF195" s="2" t="s">
        <v>24</v>
      </c>
      <c r="AG195" s="2" t="s">
        <v>26</v>
      </c>
      <c r="AH195" s="2" t="s">
        <v>16</v>
      </c>
      <c r="AI195" s="2" t="s">
        <v>25</v>
      </c>
      <c r="AJ195" s="2" t="s">
        <v>16</v>
      </c>
      <c r="AK195" s="2" t="s">
        <v>20</v>
      </c>
      <c r="AL195" s="2" t="s">
        <v>24</v>
      </c>
    </row>
    <row r="196" ht="14.25" customHeight="1">
      <c r="A196" s="17">
        <v>45696.0</v>
      </c>
      <c r="B196" s="2" t="s">
        <v>27</v>
      </c>
      <c r="C196" s="2" t="s">
        <v>29</v>
      </c>
      <c r="D196" s="2" t="s">
        <v>40</v>
      </c>
      <c r="E196" s="2" t="s">
        <v>27</v>
      </c>
      <c r="F196" s="2" t="s">
        <v>35</v>
      </c>
      <c r="G196" s="2" t="s">
        <v>39</v>
      </c>
      <c r="H196" s="2" t="s">
        <v>43</v>
      </c>
      <c r="I196" s="2" t="s">
        <v>43</v>
      </c>
      <c r="J196" s="2" t="s">
        <v>35</v>
      </c>
      <c r="K196" s="2" t="s">
        <v>26</v>
      </c>
      <c r="L196" s="2" t="s">
        <v>33</v>
      </c>
      <c r="M196" s="2" t="s">
        <v>26</v>
      </c>
      <c r="N196" s="2" t="s">
        <v>27</v>
      </c>
      <c r="O196" s="2" t="s">
        <v>18</v>
      </c>
      <c r="P196" s="2" t="s">
        <v>33</v>
      </c>
      <c r="Q196" s="2" t="s">
        <v>42</v>
      </c>
      <c r="R196" s="2" t="s">
        <v>29</v>
      </c>
      <c r="S196" s="2" t="s">
        <v>19</v>
      </c>
      <c r="T196" s="2" t="s">
        <v>16</v>
      </c>
      <c r="U196" s="2" t="s">
        <v>25</v>
      </c>
      <c r="V196" s="2" t="s">
        <v>23</v>
      </c>
      <c r="W196" s="2" t="s">
        <v>17</v>
      </c>
      <c r="X196" s="2" t="s">
        <v>22</v>
      </c>
      <c r="Y196" s="2" t="s">
        <v>21</v>
      </c>
      <c r="Z196" s="2" t="s">
        <v>23</v>
      </c>
      <c r="AA196" s="2" t="s">
        <v>22</v>
      </c>
      <c r="AB196" s="2" t="s">
        <v>16</v>
      </c>
      <c r="AC196" s="2" t="s">
        <v>20</v>
      </c>
      <c r="AD196" s="2" t="s">
        <v>25</v>
      </c>
      <c r="AE196" s="2" t="s">
        <v>16</v>
      </c>
      <c r="AF196" s="2" t="s">
        <v>20</v>
      </c>
      <c r="AG196" s="2" t="s">
        <v>21</v>
      </c>
      <c r="AH196" s="2" t="s">
        <v>17</v>
      </c>
      <c r="AI196" s="2" t="s">
        <v>21</v>
      </c>
      <c r="AJ196" s="2" t="s">
        <v>16</v>
      </c>
      <c r="AK196" s="2" t="s">
        <v>24</v>
      </c>
      <c r="AL196" s="2" t="s">
        <v>16</v>
      </c>
    </row>
    <row r="197" ht="14.25" customHeight="1">
      <c r="A197" s="17">
        <v>45697.0</v>
      </c>
      <c r="B197" s="2" t="s">
        <v>31</v>
      </c>
      <c r="C197" s="2" t="s">
        <v>31</v>
      </c>
      <c r="D197" s="2" t="s">
        <v>31</v>
      </c>
      <c r="E197" s="2" t="s">
        <v>31</v>
      </c>
      <c r="F197" s="2" t="s">
        <v>31</v>
      </c>
      <c r="G197" s="2" t="s">
        <v>31</v>
      </c>
      <c r="H197" s="2" t="s">
        <v>31</v>
      </c>
      <c r="I197" s="2" t="s">
        <v>31</v>
      </c>
      <c r="J197" s="2" t="s">
        <v>31</v>
      </c>
      <c r="K197" s="2" t="s">
        <v>31</v>
      </c>
      <c r="L197" s="2" t="s">
        <v>31</v>
      </c>
      <c r="M197" s="2" t="s">
        <v>31</v>
      </c>
      <c r="N197" s="2" t="s">
        <v>31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2" t="s">
        <v>17</v>
      </c>
      <c r="V197" s="2" t="s">
        <v>20</v>
      </c>
      <c r="W197" s="2" t="s">
        <v>16</v>
      </c>
      <c r="X197" s="2" t="s">
        <v>17</v>
      </c>
      <c r="Y197" s="2" t="s">
        <v>16</v>
      </c>
      <c r="Z197" s="2" t="s">
        <v>28</v>
      </c>
      <c r="AA197" s="2" t="s">
        <v>16</v>
      </c>
      <c r="AB197" s="2" t="s">
        <v>26</v>
      </c>
      <c r="AC197" s="2" t="s">
        <v>16</v>
      </c>
      <c r="AD197" s="2" t="s">
        <v>21</v>
      </c>
      <c r="AE197" s="2" t="s">
        <v>16</v>
      </c>
      <c r="AF197" s="2" t="s">
        <v>21</v>
      </c>
      <c r="AG197" s="2" t="s">
        <v>22</v>
      </c>
      <c r="AH197" s="2" t="s">
        <v>16</v>
      </c>
      <c r="AI197" s="2" t="s">
        <v>24</v>
      </c>
      <c r="AJ197" s="2" t="s">
        <v>17</v>
      </c>
      <c r="AK197" s="2" t="s">
        <v>16</v>
      </c>
      <c r="AL197" s="2" t="s">
        <v>18</v>
      </c>
    </row>
    <row r="198" ht="14.25" customHeight="1">
      <c r="A198" s="17">
        <v>45698.0</v>
      </c>
      <c r="B198" s="2" t="s">
        <v>31</v>
      </c>
      <c r="C198" s="2" t="s">
        <v>31</v>
      </c>
      <c r="D198" s="2" t="s">
        <v>31</v>
      </c>
      <c r="E198" s="2" t="s">
        <v>31</v>
      </c>
      <c r="F198" s="2" t="s">
        <v>31</v>
      </c>
      <c r="G198" s="2" t="s">
        <v>31</v>
      </c>
      <c r="H198" s="2" t="s">
        <v>31</v>
      </c>
      <c r="I198" s="2" t="s">
        <v>31</v>
      </c>
      <c r="J198" s="2" t="s">
        <v>31</v>
      </c>
      <c r="K198" s="2" t="s">
        <v>31</v>
      </c>
      <c r="L198" s="2" t="s">
        <v>31</v>
      </c>
      <c r="M198" s="2" t="s">
        <v>31</v>
      </c>
      <c r="N198" s="2" t="s">
        <v>31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2" t="s">
        <v>22</v>
      </c>
      <c r="V198" s="2" t="s">
        <v>27</v>
      </c>
      <c r="W198" s="2" t="s">
        <v>21</v>
      </c>
      <c r="X198" s="2" t="s">
        <v>28</v>
      </c>
      <c r="Y198" s="2" t="s">
        <v>16</v>
      </c>
      <c r="Z198" s="2" t="s">
        <v>20</v>
      </c>
      <c r="AA198" s="2" t="s">
        <v>22</v>
      </c>
      <c r="AB198" s="2" t="s">
        <v>16</v>
      </c>
      <c r="AC198" s="2" t="s">
        <v>16</v>
      </c>
      <c r="AD198" s="2" t="s">
        <v>27</v>
      </c>
      <c r="AE198" s="2" t="s">
        <v>16</v>
      </c>
      <c r="AF198" s="2" t="s">
        <v>17</v>
      </c>
      <c r="AG198" s="2" t="s">
        <v>26</v>
      </c>
      <c r="AH198" s="2" t="s">
        <v>16</v>
      </c>
      <c r="AI198" s="2" t="s">
        <v>20</v>
      </c>
      <c r="AJ198" s="2" t="s">
        <v>25</v>
      </c>
      <c r="AK198" s="2" t="s">
        <v>28</v>
      </c>
      <c r="AL198" s="2" t="s">
        <v>26</v>
      </c>
    </row>
    <row r="199" ht="14.25" customHeight="1">
      <c r="A199" s="17">
        <v>45699.0</v>
      </c>
      <c r="B199" s="2" t="s">
        <v>31</v>
      </c>
      <c r="C199" s="2" t="s">
        <v>31</v>
      </c>
      <c r="D199" s="2" t="s">
        <v>31</v>
      </c>
      <c r="E199" s="2" t="s">
        <v>31</v>
      </c>
      <c r="F199" s="2" t="s">
        <v>31</v>
      </c>
      <c r="G199" s="2" t="s">
        <v>31</v>
      </c>
      <c r="H199" s="2" t="s">
        <v>31</v>
      </c>
      <c r="I199" s="2" t="s">
        <v>31</v>
      </c>
      <c r="J199" s="2" t="s">
        <v>31</v>
      </c>
      <c r="K199" s="2" t="s">
        <v>31</v>
      </c>
      <c r="L199" s="2" t="s">
        <v>31</v>
      </c>
      <c r="M199" s="2" t="s">
        <v>31</v>
      </c>
      <c r="N199" s="2" t="s">
        <v>31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2" t="s">
        <v>26</v>
      </c>
      <c r="V199" s="2" t="s">
        <v>16</v>
      </c>
      <c r="W199" s="2" t="s">
        <v>26</v>
      </c>
      <c r="X199" s="2" t="s">
        <v>20</v>
      </c>
      <c r="Y199" s="2" t="s">
        <v>27</v>
      </c>
      <c r="Z199" s="2" t="s">
        <v>17</v>
      </c>
      <c r="AA199" s="2" t="s">
        <v>16</v>
      </c>
      <c r="AB199" s="2" t="s">
        <v>17</v>
      </c>
      <c r="AC199" s="2" t="s">
        <v>24</v>
      </c>
      <c r="AD199" s="2" t="s">
        <v>16</v>
      </c>
      <c r="AE199" s="2" t="s">
        <v>25</v>
      </c>
      <c r="AF199" s="2" t="s">
        <v>21</v>
      </c>
      <c r="AG199" s="2" t="s">
        <v>24</v>
      </c>
      <c r="AH199" s="2" t="s">
        <v>21</v>
      </c>
      <c r="AI199" s="2" t="s">
        <v>19</v>
      </c>
      <c r="AJ199" s="2" t="s">
        <v>26</v>
      </c>
      <c r="AK199" s="2" t="s">
        <v>23</v>
      </c>
      <c r="AL199" s="2" t="s">
        <v>27</v>
      </c>
    </row>
    <row r="200" ht="14.25" customHeight="1">
      <c r="A200" s="17">
        <v>45700.0</v>
      </c>
      <c r="B200" s="2" t="s">
        <v>31</v>
      </c>
      <c r="C200" s="2" t="s">
        <v>31</v>
      </c>
      <c r="D200" s="2" t="s">
        <v>31</v>
      </c>
      <c r="E200" s="2" t="s">
        <v>31</v>
      </c>
      <c r="F200" s="2" t="s">
        <v>31</v>
      </c>
      <c r="G200" s="2" t="s">
        <v>31</v>
      </c>
      <c r="H200" s="2" t="s">
        <v>31</v>
      </c>
      <c r="I200" s="2" t="s">
        <v>31</v>
      </c>
      <c r="J200" s="2" t="s">
        <v>31</v>
      </c>
      <c r="K200" s="2" t="s">
        <v>31</v>
      </c>
      <c r="L200" s="2" t="s">
        <v>31</v>
      </c>
      <c r="M200" s="2" t="s">
        <v>31</v>
      </c>
      <c r="N200" s="2" t="s">
        <v>31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2" t="s">
        <v>26</v>
      </c>
      <c r="V200" s="2" t="s">
        <v>28</v>
      </c>
      <c r="W200" s="2" t="s">
        <v>21</v>
      </c>
      <c r="X200" s="2" t="s">
        <v>24</v>
      </c>
      <c r="Y200" s="2" t="s">
        <v>20</v>
      </c>
      <c r="Z200" s="2" t="s">
        <v>28</v>
      </c>
      <c r="AA200" s="2" t="s">
        <v>17</v>
      </c>
      <c r="AB200" s="2" t="s">
        <v>20</v>
      </c>
      <c r="AC200" s="2" t="s">
        <v>16</v>
      </c>
      <c r="AD200" s="2" t="s">
        <v>26</v>
      </c>
      <c r="AE200" s="2" t="s">
        <v>24</v>
      </c>
      <c r="AF200" s="2" t="s">
        <v>16</v>
      </c>
      <c r="AG200" s="2" t="s">
        <v>18</v>
      </c>
      <c r="AH200" s="2" t="s">
        <v>24</v>
      </c>
      <c r="AI200" s="2" t="s">
        <v>16</v>
      </c>
      <c r="AJ200" s="2" t="s">
        <v>28</v>
      </c>
      <c r="AK200" s="2" t="s">
        <v>26</v>
      </c>
      <c r="AL200" s="2" t="s">
        <v>16</v>
      </c>
    </row>
    <row r="201" ht="14.25" customHeight="1">
      <c r="A201" s="17">
        <v>45701.0</v>
      </c>
      <c r="B201" s="2" t="s">
        <v>31</v>
      </c>
      <c r="C201" s="2" t="s">
        <v>31</v>
      </c>
      <c r="D201" s="2" t="s">
        <v>31</v>
      </c>
      <c r="E201" s="2" t="s">
        <v>31</v>
      </c>
      <c r="F201" s="2" t="s">
        <v>31</v>
      </c>
      <c r="G201" s="2" t="s">
        <v>31</v>
      </c>
      <c r="H201" s="2" t="s">
        <v>31</v>
      </c>
      <c r="I201" s="2" t="s">
        <v>31</v>
      </c>
      <c r="J201" s="2" t="s">
        <v>31</v>
      </c>
      <c r="K201" s="2" t="s">
        <v>31</v>
      </c>
      <c r="L201" s="2" t="s">
        <v>31</v>
      </c>
      <c r="M201" s="2" t="s">
        <v>31</v>
      </c>
      <c r="N201" s="2" t="s">
        <v>31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2" t="s">
        <v>20</v>
      </c>
      <c r="V201" s="2" t="s">
        <v>16</v>
      </c>
      <c r="W201" s="2" t="s">
        <v>16</v>
      </c>
      <c r="X201" s="2" t="s">
        <v>17</v>
      </c>
      <c r="Y201" s="2" t="s">
        <v>21</v>
      </c>
      <c r="Z201" s="2" t="s">
        <v>16</v>
      </c>
      <c r="AA201" s="2" t="s">
        <v>16</v>
      </c>
      <c r="AB201" s="2" t="s">
        <v>16</v>
      </c>
      <c r="AC201" s="2" t="s">
        <v>22</v>
      </c>
      <c r="AD201" s="2" t="s">
        <v>21</v>
      </c>
      <c r="AE201" s="2" t="s">
        <v>17</v>
      </c>
      <c r="AF201" s="2" t="s">
        <v>26</v>
      </c>
      <c r="AG201" s="2" t="s">
        <v>16</v>
      </c>
      <c r="AH201" s="2" t="s">
        <v>24</v>
      </c>
      <c r="AI201" s="2" t="s">
        <v>22</v>
      </c>
      <c r="AJ201" s="2" t="s">
        <v>20</v>
      </c>
      <c r="AK201" s="2" t="s">
        <v>21</v>
      </c>
      <c r="AL201" s="2" t="s">
        <v>16</v>
      </c>
    </row>
    <row r="202" ht="14.25" customHeight="1">
      <c r="A202" s="17">
        <v>45702.0</v>
      </c>
      <c r="B202" s="2" t="s">
        <v>31</v>
      </c>
      <c r="C202" s="2" t="s">
        <v>31</v>
      </c>
      <c r="D202" s="2" t="s">
        <v>31</v>
      </c>
      <c r="E202" s="2" t="s">
        <v>31</v>
      </c>
      <c r="F202" s="2" t="s">
        <v>31</v>
      </c>
      <c r="G202" s="2" t="s">
        <v>31</v>
      </c>
      <c r="H202" s="2" t="s">
        <v>31</v>
      </c>
      <c r="I202" s="2" t="s">
        <v>31</v>
      </c>
      <c r="J202" s="2" t="s">
        <v>31</v>
      </c>
      <c r="K202" s="2" t="s">
        <v>31</v>
      </c>
      <c r="L202" s="2" t="s">
        <v>31</v>
      </c>
      <c r="M202" s="2" t="s">
        <v>31</v>
      </c>
      <c r="N202" s="2" t="s">
        <v>31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2" t="s">
        <v>27</v>
      </c>
      <c r="V202" s="2" t="s">
        <v>16</v>
      </c>
      <c r="W202" s="2" t="s">
        <v>26</v>
      </c>
      <c r="X202" s="2" t="s">
        <v>25</v>
      </c>
      <c r="Y202" s="2" t="s">
        <v>16</v>
      </c>
      <c r="Z202" s="2" t="s">
        <v>24</v>
      </c>
      <c r="AA202" s="2" t="s">
        <v>26</v>
      </c>
      <c r="AB202" s="2" t="s">
        <v>22</v>
      </c>
      <c r="AC202" s="2" t="s">
        <v>16</v>
      </c>
      <c r="AD202" s="2" t="s">
        <v>27</v>
      </c>
      <c r="AE202" s="2" t="s">
        <v>16</v>
      </c>
      <c r="AF202" s="2" t="s">
        <v>22</v>
      </c>
      <c r="AG202" s="2" t="s">
        <v>28</v>
      </c>
      <c r="AH202" s="2" t="s">
        <v>21</v>
      </c>
      <c r="AI202" s="2" t="s">
        <v>22</v>
      </c>
      <c r="AJ202" s="2" t="s">
        <v>16</v>
      </c>
      <c r="AK202" s="2" t="s">
        <v>19</v>
      </c>
      <c r="AL202" s="2" t="s">
        <v>20</v>
      </c>
    </row>
    <row r="203" ht="14.25" customHeight="1">
      <c r="A203" s="17">
        <v>45703.0</v>
      </c>
      <c r="B203" s="2" t="s">
        <v>40</v>
      </c>
      <c r="C203" s="2" t="s">
        <v>17</v>
      </c>
      <c r="D203" s="2" t="s">
        <v>29</v>
      </c>
      <c r="E203" s="2" t="s">
        <v>35</v>
      </c>
      <c r="F203" s="2" t="s">
        <v>26</v>
      </c>
      <c r="G203" s="2" t="s">
        <v>24</v>
      </c>
      <c r="H203" s="2" t="s">
        <v>20</v>
      </c>
      <c r="I203" s="2" t="s">
        <v>38</v>
      </c>
      <c r="J203" s="2" t="s">
        <v>25</v>
      </c>
      <c r="K203" s="2" t="s">
        <v>28</v>
      </c>
      <c r="L203" s="2" t="s">
        <v>39</v>
      </c>
      <c r="M203" s="2" t="s">
        <v>20</v>
      </c>
      <c r="N203" s="2" t="s">
        <v>18</v>
      </c>
      <c r="O203" s="2" t="s">
        <v>39</v>
      </c>
      <c r="P203" s="2" t="s">
        <v>42</v>
      </c>
      <c r="Q203" s="2" t="s">
        <v>23</v>
      </c>
      <c r="R203" s="2" t="s">
        <v>36</v>
      </c>
      <c r="S203" s="2" t="s">
        <v>22</v>
      </c>
      <c r="T203" s="2" t="s">
        <v>21</v>
      </c>
      <c r="U203" s="2" t="s">
        <v>21</v>
      </c>
      <c r="V203" s="2" t="s">
        <v>20</v>
      </c>
      <c r="W203" s="2" t="s">
        <v>19</v>
      </c>
      <c r="X203" s="2" t="s">
        <v>25</v>
      </c>
      <c r="Y203" s="2" t="s">
        <v>20</v>
      </c>
      <c r="Z203" s="2" t="s">
        <v>22</v>
      </c>
      <c r="AA203" s="2" t="s">
        <v>16</v>
      </c>
      <c r="AB203" s="2" t="s">
        <v>19</v>
      </c>
      <c r="AC203" s="2" t="s">
        <v>20</v>
      </c>
      <c r="AD203" s="2" t="s">
        <v>16</v>
      </c>
      <c r="AE203" s="2" t="s">
        <v>25</v>
      </c>
      <c r="AF203" s="2" t="s">
        <v>25</v>
      </c>
      <c r="AG203" s="2" t="s">
        <v>16</v>
      </c>
      <c r="AH203" s="2" t="s">
        <v>26</v>
      </c>
      <c r="AI203" s="2" t="s">
        <v>24</v>
      </c>
      <c r="AJ203" s="2" t="s">
        <v>28</v>
      </c>
      <c r="AK203" s="2" t="s">
        <v>28</v>
      </c>
      <c r="AL203" s="2" t="s">
        <v>16</v>
      </c>
    </row>
    <row r="204" ht="14.25" customHeight="1">
      <c r="A204" s="17">
        <v>45704.0</v>
      </c>
      <c r="B204" s="2" t="s">
        <v>31</v>
      </c>
      <c r="C204" s="2" t="s">
        <v>31</v>
      </c>
      <c r="D204" s="2" t="s">
        <v>31</v>
      </c>
      <c r="E204" s="2" t="s">
        <v>31</v>
      </c>
      <c r="F204" s="2" t="s">
        <v>31</v>
      </c>
      <c r="G204" s="2" t="s">
        <v>31</v>
      </c>
      <c r="H204" s="2" t="s">
        <v>31</v>
      </c>
      <c r="I204" s="2" t="s">
        <v>31</v>
      </c>
      <c r="J204" s="2" t="s">
        <v>31</v>
      </c>
      <c r="K204" s="2" t="s">
        <v>31</v>
      </c>
      <c r="L204" s="2" t="s">
        <v>31</v>
      </c>
      <c r="M204" s="2" t="s">
        <v>31</v>
      </c>
      <c r="N204" s="2" t="s">
        <v>31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2" t="s">
        <v>22</v>
      </c>
      <c r="V204" s="2" t="s">
        <v>16</v>
      </c>
      <c r="W204" s="2" t="s">
        <v>16</v>
      </c>
      <c r="X204" s="2" t="s">
        <v>28</v>
      </c>
      <c r="Y204" s="2" t="s">
        <v>16</v>
      </c>
      <c r="Z204" s="2" t="s">
        <v>23</v>
      </c>
      <c r="AA204" s="2" t="s">
        <v>28</v>
      </c>
      <c r="AB204" s="2" t="s">
        <v>27</v>
      </c>
      <c r="AC204" s="2" t="s">
        <v>20</v>
      </c>
      <c r="AD204" s="2" t="s">
        <v>16</v>
      </c>
      <c r="AE204" s="2" t="s">
        <v>16</v>
      </c>
      <c r="AF204" s="2" t="s">
        <v>21</v>
      </c>
      <c r="AG204" s="2" t="s">
        <v>23</v>
      </c>
      <c r="AH204" s="2" t="s">
        <v>24</v>
      </c>
      <c r="AI204" s="2" t="s">
        <v>18</v>
      </c>
      <c r="AJ204" s="2" t="s">
        <v>17</v>
      </c>
      <c r="AK204" s="2" t="s">
        <v>24</v>
      </c>
      <c r="AL204" s="2" t="s">
        <v>20</v>
      </c>
    </row>
    <row r="205" ht="14.25" customHeight="1">
      <c r="A205" s="17">
        <v>45705.0</v>
      </c>
      <c r="B205" s="2" t="s">
        <v>31</v>
      </c>
      <c r="C205" s="2" t="s">
        <v>31</v>
      </c>
      <c r="D205" s="2" t="s">
        <v>31</v>
      </c>
      <c r="E205" s="2" t="s">
        <v>31</v>
      </c>
      <c r="F205" s="2" t="s">
        <v>31</v>
      </c>
      <c r="G205" s="2" t="s">
        <v>31</v>
      </c>
      <c r="H205" s="2" t="s">
        <v>31</v>
      </c>
      <c r="I205" s="2" t="s">
        <v>31</v>
      </c>
      <c r="J205" s="2" t="s">
        <v>31</v>
      </c>
      <c r="K205" s="2" t="s">
        <v>31</v>
      </c>
      <c r="L205" s="2" t="s">
        <v>31</v>
      </c>
      <c r="M205" s="2" t="s">
        <v>31</v>
      </c>
      <c r="N205" s="2" t="s">
        <v>31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2" t="s">
        <v>28</v>
      </c>
      <c r="V205" s="2" t="s">
        <v>16</v>
      </c>
      <c r="W205" s="2" t="s">
        <v>16</v>
      </c>
      <c r="X205" s="2" t="s">
        <v>24</v>
      </c>
      <c r="Y205" s="2" t="s">
        <v>27</v>
      </c>
      <c r="Z205" s="2" t="s">
        <v>21</v>
      </c>
      <c r="AA205" s="2" t="s">
        <v>20</v>
      </c>
      <c r="AB205" s="2" t="s">
        <v>24</v>
      </c>
      <c r="AC205" s="2" t="s">
        <v>16</v>
      </c>
      <c r="AD205" s="2" t="s">
        <v>19</v>
      </c>
      <c r="AE205" s="2" t="s">
        <v>27</v>
      </c>
      <c r="AF205" s="2" t="s">
        <v>21</v>
      </c>
      <c r="AG205" s="2" t="s">
        <v>24</v>
      </c>
      <c r="AH205" s="2" t="s">
        <v>23</v>
      </c>
      <c r="AI205" s="2" t="s">
        <v>26</v>
      </c>
      <c r="AJ205" s="2" t="s">
        <v>21</v>
      </c>
      <c r="AK205" s="2" t="s">
        <v>17</v>
      </c>
      <c r="AL205" s="2" t="s">
        <v>16</v>
      </c>
    </row>
    <row r="206" ht="14.25" customHeight="1">
      <c r="A206" s="17">
        <v>45706.0</v>
      </c>
      <c r="B206" s="2" t="s">
        <v>31</v>
      </c>
      <c r="C206" s="2" t="s">
        <v>31</v>
      </c>
      <c r="D206" s="2" t="s">
        <v>31</v>
      </c>
      <c r="E206" s="2" t="s">
        <v>31</v>
      </c>
      <c r="F206" s="2" t="s">
        <v>31</v>
      </c>
      <c r="G206" s="2" t="s">
        <v>31</v>
      </c>
      <c r="H206" s="2" t="s">
        <v>31</v>
      </c>
      <c r="I206" s="2" t="s">
        <v>31</v>
      </c>
      <c r="J206" s="2" t="s">
        <v>31</v>
      </c>
      <c r="K206" s="2" t="s">
        <v>31</v>
      </c>
      <c r="L206" s="2" t="s">
        <v>31</v>
      </c>
      <c r="M206" s="2" t="s">
        <v>31</v>
      </c>
      <c r="N206" s="2" t="s">
        <v>31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2" t="s">
        <v>23</v>
      </c>
      <c r="V206" s="2" t="s">
        <v>22</v>
      </c>
      <c r="W206" s="2" t="s">
        <v>25</v>
      </c>
      <c r="X206" s="2" t="s">
        <v>24</v>
      </c>
      <c r="Y206" s="2" t="s">
        <v>16</v>
      </c>
      <c r="Z206" s="2" t="s">
        <v>27</v>
      </c>
      <c r="AA206" s="2" t="s">
        <v>16</v>
      </c>
      <c r="AB206" s="2" t="s">
        <v>21</v>
      </c>
      <c r="AC206" s="2" t="s">
        <v>27</v>
      </c>
      <c r="AD206" s="2" t="s">
        <v>27</v>
      </c>
      <c r="AE206" s="2" t="s">
        <v>19</v>
      </c>
      <c r="AF206" s="2" t="s">
        <v>17</v>
      </c>
      <c r="AG206" s="2" t="s">
        <v>22</v>
      </c>
      <c r="AH206" s="2" t="s">
        <v>16</v>
      </c>
      <c r="AI206" s="2" t="s">
        <v>16</v>
      </c>
      <c r="AJ206" s="2" t="s">
        <v>17</v>
      </c>
      <c r="AK206" s="2" t="s">
        <v>16</v>
      </c>
      <c r="AL206" s="2" t="s">
        <v>20</v>
      </c>
    </row>
    <row r="207" ht="14.25" customHeight="1">
      <c r="A207" s="17">
        <v>45707.0</v>
      </c>
      <c r="B207" s="2" t="s">
        <v>31</v>
      </c>
      <c r="C207" s="2" t="s">
        <v>31</v>
      </c>
      <c r="D207" s="2" t="s">
        <v>31</v>
      </c>
      <c r="E207" s="2" t="s">
        <v>31</v>
      </c>
      <c r="F207" s="2" t="s">
        <v>31</v>
      </c>
      <c r="G207" s="2" t="s">
        <v>31</v>
      </c>
      <c r="H207" s="2" t="s">
        <v>31</v>
      </c>
      <c r="I207" s="2" t="s">
        <v>31</v>
      </c>
      <c r="J207" s="2" t="s">
        <v>31</v>
      </c>
      <c r="K207" s="2" t="s">
        <v>31</v>
      </c>
      <c r="L207" s="2" t="s">
        <v>31</v>
      </c>
      <c r="M207" s="2" t="s">
        <v>31</v>
      </c>
      <c r="N207" s="2" t="s">
        <v>31</v>
      </c>
      <c r="O207" s="2" t="s">
        <v>31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2" t="s">
        <v>19</v>
      </c>
      <c r="V207" s="2" t="s">
        <v>27</v>
      </c>
      <c r="W207" s="2" t="s">
        <v>25</v>
      </c>
      <c r="X207" s="2" t="s">
        <v>16</v>
      </c>
      <c r="Y207" s="2" t="s">
        <v>20</v>
      </c>
      <c r="Z207" s="2" t="s">
        <v>21</v>
      </c>
      <c r="AA207" s="2" t="s">
        <v>16</v>
      </c>
      <c r="AB207" s="2" t="s">
        <v>22</v>
      </c>
      <c r="AC207" s="2" t="s">
        <v>17</v>
      </c>
      <c r="AD207" s="2" t="s">
        <v>25</v>
      </c>
      <c r="AE207" s="2" t="s">
        <v>18</v>
      </c>
      <c r="AF207" s="2" t="s">
        <v>28</v>
      </c>
      <c r="AG207" s="2" t="s">
        <v>23</v>
      </c>
      <c r="AH207" s="2" t="s">
        <v>16</v>
      </c>
      <c r="AI207" s="2" t="s">
        <v>25</v>
      </c>
      <c r="AJ207" s="2" t="s">
        <v>16</v>
      </c>
      <c r="AK207" s="2" t="s">
        <v>19</v>
      </c>
      <c r="AL207" s="2" t="s">
        <v>25</v>
      </c>
    </row>
    <row r="208" ht="14.25" customHeight="1">
      <c r="A208" s="17">
        <v>45708.0</v>
      </c>
      <c r="B208" s="2" t="s">
        <v>31</v>
      </c>
      <c r="C208" s="2" t="s">
        <v>31</v>
      </c>
      <c r="D208" s="2" t="s">
        <v>31</v>
      </c>
      <c r="E208" s="2" t="s">
        <v>31</v>
      </c>
      <c r="F208" s="2" t="s">
        <v>31</v>
      </c>
      <c r="G208" s="2" t="s">
        <v>31</v>
      </c>
      <c r="H208" s="2" t="s">
        <v>31</v>
      </c>
      <c r="I208" s="2" t="s">
        <v>31</v>
      </c>
      <c r="J208" s="2" t="s">
        <v>31</v>
      </c>
      <c r="K208" s="2" t="s">
        <v>31</v>
      </c>
      <c r="L208" s="2" t="s">
        <v>31</v>
      </c>
      <c r="M208" s="2" t="s">
        <v>31</v>
      </c>
      <c r="N208" s="2" t="s">
        <v>31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2" t="s">
        <v>26</v>
      </c>
      <c r="V208" s="2" t="s">
        <v>18</v>
      </c>
      <c r="W208" s="2" t="s">
        <v>16</v>
      </c>
      <c r="X208" s="2" t="s">
        <v>16</v>
      </c>
      <c r="Y208" s="2" t="s">
        <v>22</v>
      </c>
      <c r="Z208" s="2" t="s">
        <v>20</v>
      </c>
      <c r="AA208" s="2" t="s">
        <v>16</v>
      </c>
      <c r="AB208" s="2" t="s">
        <v>22</v>
      </c>
      <c r="AC208" s="2" t="s">
        <v>16</v>
      </c>
      <c r="AD208" s="2" t="s">
        <v>20</v>
      </c>
      <c r="AE208" s="2" t="s">
        <v>16</v>
      </c>
      <c r="AF208" s="2" t="s">
        <v>24</v>
      </c>
      <c r="AG208" s="2" t="s">
        <v>16</v>
      </c>
      <c r="AH208" s="2" t="s">
        <v>28</v>
      </c>
      <c r="AI208" s="2" t="s">
        <v>20</v>
      </c>
      <c r="AJ208" s="2" t="s">
        <v>24</v>
      </c>
      <c r="AK208" s="2" t="s">
        <v>16</v>
      </c>
      <c r="AL208" s="2" t="s">
        <v>28</v>
      </c>
    </row>
    <row r="209" ht="14.25" customHeight="1">
      <c r="A209" s="17">
        <v>45709.0</v>
      </c>
      <c r="B209" s="2" t="s">
        <v>31</v>
      </c>
      <c r="C209" s="2" t="s">
        <v>31</v>
      </c>
      <c r="D209" s="2" t="s">
        <v>31</v>
      </c>
      <c r="E209" s="2" t="s">
        <v>31</v>
      </c>
      <c r="F209" s="2" t="s">
        <v>31</v>
      </c>
      <c r="G209" s="2" t="s">
        <v>31</v>
      </c>
      <c r="H209" s="2" t="s">
        <v>31</v>
      </c>
      <c r="I209" s="2" t="s">
        <v>31</v>
      </c>
      <c r="J209" s="2" t="s">
        <v>31</v>
      </c>
      <c r="K209" s="2" t="s">
        <v>31</v>
      </c>
      <c r="L209" s="2" t="s">
        <v>31</v>
      </c>
      <c r="M209" s="2" t="s">
        <v>31</v>
      </c>
      <c r="N209" s="2" t="s">
        <v>31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2" t="s">
        <v>17</v>
      </c>
      <c r="V209" s="2" t="s">
        <v>24</v>
      </c>
      <c r="W209" s="2" t="s">
        <v>25</v>
      </c>
      <c r="X209" s="2" t="s">
        <v>17</v>
      </c>
      <c r="Y209" s="2" t="s">
        <v>16</v>
      </c>
      <c r="Z209" s="2" t="s">
        <v>20</v>
      </c>
      <c r="AA209" s="2" t="s">
        <v>19</v>
      </c>
      <c r="AB209" s="2" t="s">
        <v>17</v>
      </c>
      <c r="AC209" s="2" t="s">
        <v>23</v>
      </c>
      <c r="AD209" s="2" t="s">
        <v>26</v>
      </c>
      <c r="AE209" s="2" t="s">
        <v>24</v>
      </c>
      <c r="AF209" s="2" t="s">
        <v>21</v>
      </c>
      <c r="AG209" s="2" t="s">
        <v>20</v>
      </c>
      <c r="AH209" s="2" t="s">
        <v>27</v>
      </c>
      <c r="AI209" s="2" t="s">
        <v>27</v>
      </c>
      <c r="AJ209" s="2" t="s">
        <v>16</v>
      </c>
      <c r="AK209" s="2" t="s">
        <v>16</v>
      </c>
      <c r="AL209" s="2" t="s">
        <v>21</v>
      </c>
    </row>
    <row r="210" ht="14.25" customHeight="1">
      <c r="A210" s="17">
        <v>45710.0</v>
      </c>
      <c r="B210" s="2" t="s">
        <v>39</v>
      </c>
      <c r="C210" s="2" t="s">
        <v>16</v>
      </c>
      <c r="D210" s="2" t="s">
        <v>16</v>
      </c>
      <c r="E210" s="2" t="s">
        <v>16</v>
      </c>
      <c r="F210" s="2" t="s">
        <v>35</v>
      </c>
      <c r="G210" s="2" t="s">
        <v>16</v>
      </c>
      <c r="H210" s="2" t="s">
        <v>21</v>
      </c>
      <c r="I210" s="2" t="s">
        <v>37</v>
      </c>
      <c r="J210" s="2" t="s">
        <v>16</v>
      </c>
      <c r="K210" s="2" t="s">
        <v>38</v>
      </c>
      <c r="L210" s="2" t="s">
        <v>33</v>
      </c>
      <c r="M210" s="2" t="s">
        <v>16</v>
      </c>
      <c r="N210" s="2" t="s">
        <v>39</v>
      </c>
      <c r="O210" s="2" t="s">
        <v>19</v>
      </c>
      <c r="P210" s="2" t="s">
        <v>18</v>
      </c>
      <c r="Q210" s="2" t="s">
        <v>36</v>
      </c>
      <c r="R210" s="2" t="s">
        <v>39</v>
      </c>
      <c r="S210" s="2" t="s">
        <v>32</v>
      </c>
      <c r="T210" s="2" t="s">
        <v>17</v>
      </c>
      <c r="U210" s="2" t="s">
        <v>25</v>
      </c>
      <c r="V210" s="2" t="s">
        <v>25</v>
      </c>
      <c r="W210" s="2" t="s">
        <v>24</v>
      </c>
      <c r="X210" s="2" t="s">
        <v>16</v>
      </c>
      <c r="Y210" s="2" t="s">
        <v>20</v>
      </c>
      <c r="Z210" s="2" t="s">
        <v>28</v>
      </c>
      <c r="AA210" s="2" t="s">
        <v>20</v>
      </c>
      <c r="AB210" s="2" t="s">
        <v>18</v>
      </c>
      <c r="AC210" s="2" t="s">
        <v>21</v>
      </c>
      <c r="AD210" s="2" t="s">
        <v>22</v>
      </c>
      <c r="AE210" s="2" t="s">
        <v>21</v>
      </c>
      <c r="AF210" s="2" t="s">
        <v>21</v>
      </c>
      <c r="AG210" s="2" t="s">
        <v>27</v>
      </c>
      <c r="AH210" s="2" t="s">
        <v>24</v>
      </c>
      <c r="AI210" s="2" t="s">
        <v>18</v>
      </c>
      <c r="AJ210" s="2" t="s">
        <v>20</v>
      </c>
      <c r="AK210" s="2" t="s">
        <v>24</v>
      </c>
      <c r="AL210" s="2" t="s">
        <v>16</v>
      </c>
    </row>
    <row r="211" ht="14.25" customHeight="1">
      <c r="A211" s="17">
        <v>45711.0</v>
      </c>
      <c r="B211" s="2" t="s">
        <v>31</v>
      </c>
      <c r="C211" s="2" t="s">
        <v>31</v>
      </c>
      <c r="D211" s="2" t="s">
        <v>31</v>
      </c>
      <c r="E211" s="2" t="s">
        <v>31</v>
      </c>
      <c r="F211" s="2" t="s">
        <v>31</v>
      </c>
      <c r="G211" s="2" t="s">
        <v>31</v>
      </c>
      <c r="H211" s="2" t="s">
        <v>31</v>
      </c>
      <c r="I211" s="2" t="s">
        <v>31</v>
      </c>
      <c r="J211" s="2" t="s">
        <v>31</v>
      </c>
      <c r="K211" s="2" t="s">
        <v>31</v>
      </c>
      <c r="L211" s="2" t="s">
        <v>31</v>
      </c>
      <c r="M211" s="2" t="s">
        <v>31</v>
      </c>
      <c r="N211" s="2" t="s">
        <v>31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2" t="s">
        <v>16</v>
      </c>
      <c r="V211" s="2" t="s">
        <v>20</v>
      </c>
      <c r="W211" s="2" t="s">
        <v>24</v>
      </c>
      <c r="X211" s="2" t="s">
        <v>16</v>
      </c>
      <c r="Y211" s="2" t="s">
        <v>24</v>
      </c>
      <c r="Z211" s="2" t="s">
        <v>16</v>
      </c>
      <c r="AA211" s="2" t="s">
        <v>22</v>
      </c>
      <c r="AB211" s="2" t="s">
        <v>16</v>
      </c>
      <c r="AC211" s="2" t="s">
        <v>27</v>
      </c>
      <c r="AD211" s="2" t="s">
        <v>19</v>
      </c>
      <c r="AE211" s="2" t="s">
        <v>27</v>
      </c>
      <c r="AF211" s="2" t="s">
        <v>22</v>
      </c>
      <c r="AG211" s="2" t="s">
        <v>17</v>
      </c>
      <c r="AH211" s="2" t="s">
        <v>23</v>
      </c>
      <c r="AI211" s="2" t="s">
        <v>16</v>
      </c>
      <c r="AJ211" s="2" t="s">
        <v>25</v>
      </c>
      <c r="AK211" s="2" t="s">
        <v>25</v>
      </c>
      <c r="AL211" s="2" t="s">
        <v>25</v>
      </c>
    </row>
    <row r="212" ht="14.25" customHeight="1">
      <c r="A212" s="17">
        <v>45712.0</v>
      </c>
      <c r="B212" s="2" t="s">
        <v>31</v>
      </c>
      <c r="C212" s="2" t="s">
        <v>31</v>
      </c>
      <c r="D212" s="2" t="s">
        <v>31</v>
      </c>
      <c r="E212" s="2" t="s">
        <v>31</v>
      </c>
      <c r="F212" s="2" t="s">
        <v>31</v>
      </c>
      <c r="G212" s="2" t="s">
        <v>31</v>
      </c>
      <c r="H212" s="2" t="s">
        <v>31</v>
      </c>
      <c r="I212" s="2" t="s">
        <v>31</v>
      </c>
      <c r="J212" s="2" t="s">
        <v>31</v>
      </c>
      <c r="K212" s="2" t="s">
        <v>31</v>
      </c>
      <c r="L212" s="2" t="s">
        <v>31</v>
      </c>
      <c r="M212" s="2" t="s">
        <v>31</v>
      </c>
      <c r="N212" s="2" t="s">
        <v>31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2" t="s">
        <v>25</v>
      </c>
      <c r="V212" s="2" t="s">
        <v>16</v>
      </c>
      <c r="W212" s="2" t="s">
        <v>25</v>
      </c>
      <c r="X212" s="2" t="s">
        <v>23</v>
      </c>
      <c r="Y212" s="2" t="s">
        <v>28</v>
      </c>
      <c r="Z212" s="2" t="s">
        <v>25</v>
      </c>
      <c r="AA212" s="2" t="s">
        <v>22</v>
      </c>
      <c r="AB212" s="2" t="s">
        <v>27</v>
      </c>
      <c r="AC212" s="2" t="s">
        <v>26</v>
      </c>
      <c r="AD212" s="2" t="s">
        <v>16</v>
      </c>
      <c r="AE212" s="2" t="s">
        <v>21</v>
      </c>
      <c r="AF212" s="2" t="s">
        <v>27</v>
      </c>
      <c r="AG212" s="2" t="s">
        <v>21</v>
      </c>
      <c r="AH212" s="2" t="s">
        <v>16</v>
      </c>
      <c r="AI212" s="2" t="s">
        <v>17</v>
      </c>
      <c r="AJ212" s="2" t="s">
        <v>16</v>
      </c>
      <c r="AK212" s="2" t="s">
        <v>17</v>
      </c>
      <c r="AL212" s="2" t="s">
        <v>25</v>
      </c>
    </row>
    <row r="213" ht="14.25" customHeight="1">
      <c r="A213" s="17">
        <v>45713.0</v>
      </c>
      <c r="B213" s="2" t="s">
        <v>31</v>
      </c>
      <c r="C213" s="2" t="s">
        <v>31</v>
      </c>
      <c r="D213" s="2" t="s">
        <v>31</v>
      </c>
      <c r="E213" s="2" t="s">
        <v>31</v>
      </c>
      <c r="F213" s="2" t="s">
        <v>31</v>
      </c>
      <c r="G213" s="2" t="s">
        <v>31</v>
      </c>
      <c r="H213" s="2" t="s">
        <v>31</v>
      </c>
      <c r="I213" s="2" t="s">
        <v>31</v>
      </c>
      <c r="J213" s="2" t="s">
        <v>31</v>
      </c>
      <c r="K213" s="2" t="s">
        <v>31</v>
      </c>
      <c r="L213" s="2" t="s">
        <v>31</v>
      </c>
      <c r="M213" s="2" t="s">
        <v>31</v>
      </c>
      <c r="N213" s="2" t="s">
        <v>31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2" t="s">
        <v>21</v>
      </c>
      <c r="V213" s="2" t="s">
        <v>16</v>
      </c>
      <c r="W213" s="2" t="s">
        <v>16</v>
      </c>
      <c r="X213" s="2" t="s">
        <v>22</v>
      </c>
      <c r="Y213" s="2" t="s">
        <v>16</v>
      </c>
      <c r="Z213" s="2" t="s">
        <v>26</v>
      </c>
      <c r="AA213" s="2" t="s">
        <v>16</v>
      </c>
      <c r="AB213" s="2" t="s">
        <v>19</v>
      </c>
      <c r="AC213" s="2" t="s">
        <v>19</v>
      </c>
      <c r="AD213" s="2" t="s">
        <v>16</v>
      </c>
      <c r="AE213" s="2" t="s">
        <v>16</v>
      </c>
      <c r="AF213" s="2" t="s">
        <v>16</v>
      </c>
      <c r="AG213" s="2" t="s">
        <v>17</v>
      </c>
      <c r="AH213" s="2" t="s">
        <v>16</v>
      </c>
      <c r="AI213" s="2" t="s">
        <v>22</v>
      </c>
      <c r="AJ213" s="2" t="s">
        <v>25</v>
      </c>
      <c r="AK213" s="2" t="s">
        <v>27</v>
      </c>
      <c r="AL213" s="2" t="s">
        <v>18</v>
      </c>
    </row>
    <row r="214" ht="14.25" customHeight="1">
      <c r="A214" s="17">
        <v>45714.0</v>
      </c>
      <c r="B214" s="2" t="s">
        <v>31</v>
      </c>
      <c r="C214" s="2" t="s">
        <v>31</v>
      </c>
      <c r="D214" s="2" t="s">
        <v>31</v>
      </c>
      <c r="E214" s="2" t="s">
        <v>31</v>
      </c>
      <c r="F214" s="2" t="s">
        <v>31</v>
      </c>
      <c r="G214" s="2" t="s">
        <v>31</v>
      </c>
      <c r="H214" s="2" t="s">
        <v>31</v>
      </c>
      <c r="I214" s="2" t="s">
        <v>31</v>
      </c>
      <c r="J214" s="2" t="s">
        <v>31</v>
      </c>
      <c r="K214" s="2" t="s">
        <v>31</v>
      </c>
      <c r="L214" s="2" t="s">
        <v>31</v>
      </c>
      <c r="M214" s="2" t="s">
        <v>31</v>
      </c>
      <c r="N214" s="2" t="s">
        <v>31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2" t="s">
        <v>25</v>
      </c>
      <c r="V214" s="2" t="s">
        <v>16</v>
      </c>
      <c r="W214" s="2" t="s">
        <v>17</v>
      </c>
      <c r="X214" s="2" t="s">
        <v>27</v>
      </c>
      <c r="Y214" s="2" t="s">
        <v>17</v>
      </c>
      <c r="Z214" s="2" t="s">
        <v>17</v>
      </c>
      <c r="AA214" s="2" t="s">
        <v>27</v>
      </c>
      <c r="AB214" s="2" t="s">
        <v>26</v>
      </c>
      <c r="AC214" s="2" t="s">
        <v>19</v>
      </c>
      <c r="AD214" s="2" t="s">
        <v>16</v>
      </c>
      <c r="AE214" s="2" t="s">
        <v>16</v>
      </c>
      <c r="AF214" s="2" t="s">
        <v>16</v>
      </c>
      <c r="AG214" s="2" t="s">
        <v>26</v>
      </c>
      <c r="AH214" s="2" t="s">
        <v>27</v>
      </c>
      <c r="AI214" s="2" t="s">
        <v>20</v>
      </c>
      <c r="AJ214" s="2" t="s">
        <v>17</v>
      </c>
      <c r="AK214" s="2" t="s">
        <v>16</v>
      </c>
      <c r="AL214" s="2" t="s">
        <v>21</v>
      </c>
    </row>
    <row r="215" ht="14.25" customHeight="1">
      <c r="A215" s="17">
        <v>45715.0</v>
      </c>
      <c r="B215" s="2" t="s">
        <v>31</v>
      </c>
      <c r="C215" s="2" t="s">
        <v>31</v>
      </c>
      <c r="D215" s="2" t="s">
        <v>31</v>
      </c>
      <c r="E215" s="2" t="s">
        <v>31</v>
      </c>
      <c r="F215" s="2" t="s">
        <v>31</v>
      </c>
      <c r="G215" s="2" t="s">
        <v>31</v>
      </c>
      <c r="H215" s="2" t="s">
        <v>31</v>
      </c>
      <c r="I215" s="2" t="s">
        <v>31</v>
      </c>
      <c r="J215" s="2" t="s">
        <v>31</v>
      </c>
      <c r="K215" s="2" t="s">
        <v>31</v>
      </c>
      <c r="L215" s="2" t="s">
        <v>31</v>
      </c>
      <c r="M215" s="2" t="s">
        <v>31</v>
      </c>
      <c r="N215" s="2" t="s">
        <v>31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2" t="s">
        <v>21</v>
      </c>
      <c r="V215" s="2" t="s">
        <v>17</v>
      </c>
      <c r="W215" s="2" t="s">
        <v>26</v>
      </c>
      <c r="X215" s="2" t="s">
        <v>28</v>
      </c>
      <c r="Y215" s="2" t="s">
        <v>21</v>
      </c>
      <c r="Z215" s="2" t="s">
        <v>27</v>
      </c>
      <c r="AA215" s="2" t="s">
        <v>18</v>
      </c>
      <c r="AB215" s="2" t="s">
        <v>25</v>
      </c>
      <c r="AC215" s="2" t="s">
        <v>22</v>
      </c>
      <c r="AD215" s="2" t="s">
        <v>27</v>
      </c>
      <c r="AE215" s="2" t="s">
        <v>19</v>
      </c>
      <c r="AF215" s="2" t="s">
        <v>16</v>
      </c>
      <c r="AG215" s="2" t="s">
        <v>20</v>
      </c>
      <c r="AH215" s="2" t="s">
        <v>26</v>
      </c>
      <c r="AI215" s="2" t="s">
        <v>28</v>
      </c>
      <c r="AJ215" s="2" t="s">
        <v>22</v>
      </c>
      <c r="AK215" s="2" t="s">
        <v>16</v>
      </c>
      <c r="AL215" s="2" t="s">
        <v>21</v>
      </c>
    </row>
    <row r="216" ht="14.25" customHeight="1">
      <c r="A216" s="17">
        <v>45716.0</v>
      </c>
      <c r="B216" s="2" t="s">
        <v>31</v>
      </c>
      <c r="C216" s="2" t="s">
        <v>31</v>
      </c>
      <c r="D216" s="2" t="s">
        <v>31</v>
      </c>
      <c r="E216" s="2" t="s">
        <v>31</v>
      </c>
      <c r="F216" s="2" t="s">
        <v>31</v>
      </c>
      <c r="G216" s="2" t="s">
        <v>31</v>
      </c>
      <c r="H216" s="2" t="s">
        <v>31</v>
      </c>
      <c r="I216" s="2" t="s">
        <v>31</v>
      </c>
      <c r="J216" s="2" t="s">
        <v>31</v>
      </c>
      <c r="K216" s="2" t="s">
        <v>31</v>
      </c>
      <c r="L216" s="2" t="s">
        <v>31</v>
      </c>
      <c r="M216" s="2" t="s">
        <v>31</v>
      </c>
      <c r="N216" s="2" t="s">
        <v>31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2" t="s">
        <v>26</v>
      </c>
      <c r="V216" s="2" t="s">
        <v>27</v>
      </c>
      <c r="W216" s="2" t="s">
        <v>22</v>
      </c>
      <c r="X216" s="2" t="s">
        <v>21</v>
      </c>
      <c r="Y216" s="2" t="s">
        <v>28</v>
      </c>
      <c r="Z216" s="2" t="s">
        <v>21</v>
      </c>
      <c r="AA216" s="2" t="s">
        <v>17</v>
      </c>
      <c r="AB216" s="2" t="s">
        <v>25</v>
      </c>
      <c r="AC216" s="2" t="s">
        <v>26</v>
      </c>
      <c r="AD216" s="2" t="s">
        <v>21</v>
      </c>
      <c r="AE216" s="2" t="s">
        <v>17</v>
      </c>
      <c r="AF216" s="2" t="s">
        <v>27</v>
      </c>
      <c r="AG216" s="2" t="s">
        <v>28</v>
      </c>
      <c r="AH216" s="2" t="s">
        <v>26</v>
      </c>
      <c r="AI216" s="2" t="s">
        <v>20</v>
      </c>
      <c r="AJ216" s="2" t="s">
        <v>22</v>
      </c>
      <c r="AK216" s="2" t="s">
        <v>21</v>
      </c>
      <c r="AL216" s="2" t="s">
        <v>19</v>
      </c>
    </row>
    <row r="217" ht="14.25" customHeight="1">
      <c r="A217" s="17">
        <v>45717.0</v>
      </c>
      <c r="B217" s="2" t="s">
        <v>17</v>
      </c>
      <c r="C217" s="2" t="s">
        <v>28</v>
      </c>
      <c r="D217" s="2" t="s">
        <v>26</v>
      </c>
      <c r="E217" s="2" t="s">
        <v>16</v>
      </c>
      <c r="F217" s="2" t="s">
        <v>23</v>
      </c>
      <c r="G217" s="2" t="s">
        <v>37</v>
      </c>
      <c r="H217" s="2" t="s">
        <v>16</v>
      </c>
      <c r="I217" s="2" t="s">
        <v>29</v>
      </c>
      <c r="J217" s="2" t="s">
        <v>22</v>
      </c>
      <c r="K217" s="2" t="s">
        <v>41</v>
      </c>
      <c r="L217" s="2" t="s">
        <v>33</v>
      </c>
      <c r="M217" s="2" t="s">
        <v>22</v>
      </c>
      <c r="N217" s="2" t="s">
        <v>30</v>
      </c>
      <c r="O217" s="2" t="s">
        <v>26</v>
      </c>
      <c r="P217" s="2" t="s">
        <v>17</v>
      </c>
      <c r="Q217" s="2" t="s">
        <v>37</v>
      </c>
      <c r="R217" s="2" t="s">
        <v>25</v>
      </c>
      <c r="S217" s="2" t="s">
        <v>42</v>
      </c>
      <c r="T217" s="2" t="s">
        <v>20</v>
      </c>
      <c r="U217" s="2" t="s">
        <v>19</v>
      </c>
      <c r="V217" s="2" t="s">
        <v>21</v>
      </c>
      <c r="W217" s="2" t="s">
        <v>19</v>
      </c>
      <c r="X217" s="2" t="s">
        <v>24</v>
      </c>
      <c r="Y217" s="2" t="s">
        <v>27</v>
      </c>
      <c r="Z217" s="2" t="s">
        <v>20</v>
      </c>
      <c r="AA217" s="2" t="s">
        <v>16</v>
      </c>
      <c r="AB217" s="2" t="s">
        <v>28</v>
      </c>
      <c r="AC217" s="2" t="s">
        <v>22</v>
      </c>
      <c r="AD217" s="2" t="s">
        <v>16</v>
      </c>
      <c r="AE217" s="2" t="s">
        <v>16</v>
      </c>
      <c r="AF217" s="2" t="s">
        <v>16</v>
      </c>
      <c r="AG217" s="2" t="s">
        <v>17</v>
      </c>
      <c r="AH217" s="2" t="s">
        <v>20</v>
      </c>
      <c r="AI217" s="2" t="s">
        <v>28</v>
      </c>
      <c r="AJ217" s="2" t="s">
        <v>26</v>
      </c>
      <c r="AK217" s="2" t="s">
        <v>25</v>
      </c>
      <c r="AL217" s="2" t="s">
        <v>24</v>
      </c>
    </row>
    <row r="218" ht="14.25" customHeight="1">
      <c r="A218" s="17">
        <v>45718.0</v>
      </c>
      <c r="B218" s="2" t="s">
        <v>31</v>
      </c>
      <c r="C218" s="2" t="s">
        <v>31</v>
      </c>
      <c r="D218" s="2" t="s">
        <v>31</v>
      </c>
      <c r="E218" s="2" t="s">
        <v>31</v>
      </c>
      <c r="F218" s="2" t="s">
        <v>31</v>
      </c>
      <c r="G218" s="2" t="s">
        <v>31</v>
      </c>
      <c r="H218" s="2" t="s">
        <v>31</v>
      </c>
      <c r="I218" s="2" t="s">
        <v>31</v>
      </c>
      <c r="J218" s="2" t="s">
        <v>31</v>
      </c>
      <c r="K218" s="2" t="s">
        <v>31</v>
      </c>
      <c r="L218" s="2" t="s">
        <v>31</v>
      </c>
      <c r="M218" s="2" t="s">
        <v>31</v>
      </c>
      <c r="N218" s="2" t="s">
        <v>31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2" t="s">
        <v>28</v>
      </c>
      <c r="V218" s="2" t="s">
        <v>16</v>
      </c>
      <c r="W218" s="2" t="s">
        <v>28</v>
      </c>
      <c r="X218" s="2" t="s">
        <v>16</v>
      </c>
      <c r="Y218" s="2" t="s">
        <v>16</v>
      </c>
      <c r="Z218" s="2" t="s">
        <v>20</v>
      </c>
      <c r="AA218" s="2" t="s">
        <v>19</v>
      </c>
      <c r="AB218" s="2" t="s">
        <v>25</v>
      </c>
      <c r="AC218" s="2" t="s">
        <v>16</v>
      </c>
      <c r="AD218" s="2" t="s">
        <v>17</v>
      </c>
      <c r="AE218" s="2" t="s">
        <v>26</v>
      </c>
      <c r="AF218" s="2" t="s">
        <v>22</v>
      </c>
      <c r="AG218" s="2" t="s">
        <v>28</v>
      </c>
      <c r="AH218" s="2" t="s">
        <v>17</v>
      </c>
      <c r="AI218" s="2" t="s">
        <v>28</v>
      </c>
      <c r="AJ218" s="2" t="s">
        <v>26</v>
      </c>
      <c r="AK218" s="2" t="s">
        <v>20</v>
      </c>
      <c r="AL218" s="2" t="s">
        <v>24</v>
      </c>
    </row>
    <row r="219" ht="14.25" customHeight="1">
      <c r="A219" s="17">
        <v>45719.0</v>
      </c>
      <c r="B219" s="2" t="s">
        <v>31</v>
      </c>
      <c r="C219" s="2" t="s">
        <v>31</v>
      </c>
      <c r="D219" s="2" t="s">
        <v>31</v>
      </c>
      <c r="E219" s="2" t="s">
        <v>31</v>
      </c>
      <c r="F219" s="2" t="s">
        <v>31</v>
      </c>
      <c r="G219" s="2" t="s">
        <v>31</v>
      </c>
      <c r="H219" s="2" t="s">
        <v>31</v>
      </c>
      <c r="I219" s="2" t="s">
        <v>31</v>
      </c>
      <c r="J219" s="2" t="s">
        <v>31</v>
      </c>
      <c r="K219" s="2" t="s">
        <v>31</v>
      </c>
      <c r="L219" s="2" t="s">
        <v>31</v>
      </c>
      <c r="M219" s="2" t="s">
        <v>31</v>
      </c>
      <c r="N219" s="2" t="s">
        <v>31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2" t="s">
        <v>19</v>
      </c>
      <c r="V219" s="2" t="s">
        <v>26</v>
      </c>
      <c r="W219" s="2" t="s">
        <v>23</v>
      </c>
      <c r="X219" s="2" t="s">
        <v>16</v>
      </c>
      <c r="Y219" s="2" t="s">
        <v>22</v>
      </c>
      <c r="Z219" s="2" t="s">
        <v>20</v>
      </c>
      <c r="AA219" s="2" t="s">
        <v>19</v>
      </c>
      <c r="AB219" s="2" t="s">
        <v>26</v>
      </c>
      <c r="AC219" s="2" t="s">
        <v>18</v>
      </c>
      <c r="AD219" s="2" t="s">
        <v>21</v>
      </c>
      <c r="AE219" s="2" t="s">
        <v>27</v>
      </c>
      <c r="AF219" s="2" t="s">
        <v>21</v>
      </c>
      <c r="AG219" s="2" t="s">
        <v>21</v>
      </c>
      <c r="AH219" s="2" t="s">
        <v>16</v>
      </c>
      <c r="AI219" s="2" t="s">
        <v>16</v>
      </c>
      <c r="AJ219" s="2" t="s">
        <v>17</v>
      </c>
      <c r="AK219" s="2" t="s">
        <v>16</v>
      </c>
      <c r="AL219" s="2" t="s">
        <v>16</v>
      </c>
    </row>
    <row r="220" ht="14.25" customHeight="1">
      <c r="A220" s="17">
        <v>45720.0</v>
      </c>
      <c r="B220" s="2" t="s">
        <v>31</v>
      </c>
      <c r="C220" s="2" t="s">
        <v>31</v>
      </c>
      <c r="D220" s="2" t="s">
        <v>31</v>
      </c>
      <c r="E220" s="2" t="s">
        <v>31</v>
      </c>
      <c r="F220" s="2" t="s">
        <v>31</v>
      </c>
      <c r="G220" s="2" t="s">
        <v>31</v>
      </c>
      <c r="H220" s="2" t="s">
        <v>31</v>
      </c>
      <c r="I220" s="2" t="s">
        <v>31</v>
      </c>
      <c r="J220" s="2" t="s">
        <v>31</v>
      </c>
      <c r="K220" s="2" t="s">
        <v>31</v>
      </c>
      <c r="L220" s="2" t="s">
        <v>31</v>
      </c>
      <c r="M220" s="2" t="s">
        <v>31</v>
      </c>
      <c r="N220" s="2" t="s">
        <v>31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2" t="s">
        <v>20</v>
      </c>
      <c r="V220" s="2" t="s">
        <v>28</v>
      </c>
      <c r="W220" s="2" t="s">
        <v>21</v>
      </c>
      <c r="X220" s="2" t="s">
        <v>16</v>
      </c>
      <c r="Y220" s="2" t="s">
        <v>23</v>
      </c>
      <c r="Z220" s="2" t="s">
        <v>28</v>
      </c>
      <c r="AA220" s="2" t="s">
        <v>16</v>
      </c>
      <c r="AB220" s="2" t="s">
        <v>16</v>
      </c>
      <c r="AC220" s="2" t="s">
        <v>21</v>
      </c>
      <c r="AD220" s="2" t="s">
        <v>17</v>
      </c>
      <c r="AE220" s="2" t="s">
        <v>25</v>
      </c>
      <c r="AF220" s="2" t="s">
        <v>28</v>
      </c>
      <c r="AG220" s="2" t="s">
        <v>27</v>
      </c>
      <c r="AH220" s="2" t="s">
        <v>25</v>
      </c>
      <c r="AI220" s="2" t="s">
        <v>16</v>
      </c>
      <c r="AJ220" s="2" t="s">
        <v>17</v>
      </c>
      <c r="AK220" s="2" t="s">
        <v>19</v>
      </c>
      <c r="AL220" s="2" t="s">
        <v>16</v>
      </c>
    </row>
    <row r="221" ht="14.25" customHeight="1">
      <c r="A221" s="17">
        <v>45721.0</v>
      </c>
      <c r="B221" s="2" t="s">
        <v>31</v>
      </c>
      <c r="C221" s="2" t="s">
        <v>31</v>
      </c>
      <c r="D221" s="2" t="s">
        <v>31</v>
      </c>
      <c r="E221" s="2" t="s">
        <v>31</v>
      </c>
      <c r="F221" s="2" t="s">
        <v>31</v>
      </c>
      <c r="G221" s="2" t="s">
        <v>31</v>
      </c>
      <c r="H221" s="2" t="s">
        <v>31</v>
      </c>
      <c r="I221" s="2" t="s">
        <v>31</v>
      </c>
      <c r="J221" s="2" t="s">
        <v>31</v>
      </c>
      <c r="K221" s="2" t="s">
        <v>31</v>
      </c>
      <c r="L221" s="2" t="s">
        <v>31</v>
      </c>
      <c r="M221" s="2" t="s">
        <v>31</v>
      </c>
      <c r="N221" s="2" t="s">
        <v>31</v>
      </c>
      <c r="O221" s="2" t="s">
        <v>31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2" t="s">
        <v>21</v>
      </c>
      <c r="V221" s="2" t="s">
        <v>25</v>
      </c>
      <c r="W221" s="2" t="s">
        <v>24</v>
      </c>
      <c r="X221" s="2" t="s">
        <v>16</v>
      </c>
      <c r="Y221" s="2" t="s">
        <v>24</v>
      </c>
      <c r="Z221" s="2" t="s">
        <v>16</v>
      </c>
      <c r="AA221" s="2" t="s">
        <v>21</v>
      </c>
      <c r="AB221" s="2" t="s">
        <v>20</v>
      </c>
      <c r="AC221" s="2" t="s">
        <v>23</v>
      </c>
      <c r="AD221" s="2" t="s">
        <v>16</v>
      </c>
      <c r="AE221" s="2" t="s">
        <v>16</v>
      </c>
      <c r="AF221" s="2" t="s">
        <v>16</v>
      </c>
      <c r="AG221" s="2" t="s">
        <v>27</v>
      </c>
      <c r="AH221" s="2" t="s">
        <v>26</v>
      </c>
      <c r="AI221" s="2" t="s">
        <v>20</v>
      </c>
      <c r="AJ221" s="2" t="s">
        <v>16</v>
      </c>
      <c r="AK221" s="2" t="s">
        <v>27</v>
      </c>
      <c r="AL221" s="2" t="s">
        <v>25</v>
      </c>
    </row>
    <row r="222" ht="14.25" customHeight="1">
      <c r="A222" s="17">
        <v>45722.0</v>
      </c>
      <c r="B222" s="2" t="s">
        <v>31</v>
      </c>
      <c r="C222" s="2" t="s">
        <v>31</v>
      </c>
      <c r="D222" s="2" t="s">
        <v>31</v>
      </c>
      <c r="E222" s="2" t="s">
        <v>31</v>
      </c>
      <c r="F222" s="2" t="s">
        <v>31</v>
      </c>
      <c r="G222" s="2" t="s">
        <v>31</v>
      </c>
      <c r="H222" s="2" t="s">
        <v>31</v>
      </c>
      <c r="I222" s="2" t="s">
        <v>31</v>
      </c>
      <c r="J222" s="2" t="s">
        <v>31</v>
      </c>
      <c r="K222" s="2" t="s">
        <v>31</v>
      </c>
      <c r="L222" s="2" t="s">
        <v>31</v>
      </c>
      <c r="M222" s="2" t="s">
        <v>31</v>
      </c>
      <c r="N222" s="2" t="s">
        <v>31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2" t="s">
        <v>20</v>
      </c>
      <c r="V222" s="2" t="s">
        <v>26</v>
      </c>
      <c r="W222" s="2" t="s">
        <v>20</v>
      </c>
      <c r="X222" s="2" t="s">
        <v>18</v>
      </c>
      <c r="Y222" s="2" t="s">
        <v>20</v>
      </c>
      <c r="Z222" s="2" t="s">
        <v>21</v>
      </c>
      <c r="AA222" s="2" t="s">
        <v>17</v>
      </c>
      <c r="AB222" s="2" t="s">
        <v>20</v>
      </c>
      <c r="AC222" s="2" t="s">
        <v>16</v>
      </c>
      <c r="AD222" s="2" t="s">
        <v>16</v>
      </c>
      <c r="AE222" s="2" t="s">
        <v>20</v>
      </c>
      <c r="AF222" s="2" t="s">
        <v>25</v>
      </c>
      <c r="AG222" s="2" t="s">
        <v>27</v>
      </c>
      <c r="AH222" s="2" t="s">
        <v>16</v>
      </c>
      <c r="AI222" s="2" t="s">
        <v>19</v>
      </c>
      <c r="AJ222" s="2" t="s">
        <v>17</v>
      </c>
      <c r="AK222" s="2" t="s">
        <v>26</v>
      </c>
      <c r="AL222" s="2" t="s">
        <v>24</v>
      </c>
    </row>
    <row r="223" ht="14.25" customHeight="1">
      <c r="A223" s="17">
        <v>45723.0</v>
      </c>
      <c r="B223" s="2" t="s">
        <v>31</v>
      </c>
      <c r="C223" s="2" t="s">
        <v>31</v>
      </c>
      <c r="D223" s="2" t="s">
        <v>31</v>
      </c>
      <c r="E223" s="2" t="s">
        <v>31</v>
      </c>
      <c r="F223" s="2" t="s">
        <v>31</v>
      </c>
      <c r="G223" s="2" t="s">
        <v>31</v>
      </c>
      <c r="H223" s="2" t="s">
        <v>31</v>
      </c>
      <c r="I223" s="2" t="s">
        <v>31</v>
      </c>
      <c r="J223" s="2" t="s">
        <v>31</v>
      </c>
      <c r="K223" s="2" t="s">
        <v>31</v>
      </c>
      <c r="L223" s="2" t="s">
        <v>31</v>
      </c>
      <c r="M223" s="2" t="s">
        <v>31</v>
      </c>
      <c r="N223" s="2" t="s">
        <v>31</v>
      </c>
      <c r="O223" s="2" t="s">
        <v>31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2" t="s">
        <v>16</v>
      </c>
      <c r="V223" s="2" t="s">
        <v>16</v>
      </c>
      <c r="W223" s="2" t="s">
        <v>22</v>
      </c>
      <c r="X223" s="2" t="s">
        <v>21</v>
      </c>
      <c r="Y223" s="2" t="s">
        <v>19</v>
      </c>
      <c r="Z223" s="2" t="s">
        <v>16</v>
      </c>
      <c r="AA223" s="2" t="s">
        <v>16</v>
      </c>
      <c r="AB223" s="2" t="s">
        <v>16</v>
      </c>
      <c r="AC223" s="2" t="s">
        <v>20</v>
      </c>
      <c r="AD223" s="2" t="s">
        <v>24</v>
      </c>
      <c r="AE223" s="2" t="s">
        <v>24</v>
      </c>
      <c r="AF223" s="2" t="s">
        <v>20</v>
      </c>
      <c r="AG223" s="2" t="s">
        <v>25</v>
      </c>
      <c r="AH223" s="2" t="s">
        <v>23</v>
      </c>
      <c r="AI223" s="2" t="s">
        <v>26</v>
      </c>
      <c r="AJ223" s="2" t="s">
        <v>24</v>
      </c>
      <c r="AK223" s="2" t="s">
        <v>25</v>
      </c>
      <c r="AL223" s="2" t="s">
        <v>27</v>
      </c>
    </row>
    <row r="224" ht="14.25" customHeight="1">
      <c r="A224" s="17">
        <v>45724.0</v>
      </c>
      <c r="B224" s="2" t="s">
        <v>32</v>
      </c>
      <c r="C224" s="2" t="s">
        <v>34</v>
      </c>
      <c r="D224" s="2" t="s">
        <v>30</v>
      </c>
      <c r="E224" s="2" t="s">
        <v>24</v>
      </c>
      <c r="F224" s="2" t="s">
        <v>16</v>
      </c>
      <c r="G224" s="2" t="s">
        <v>41</v>
      </c>
      <c r="H224" s="2" t="s">
        <v>16</v>
      </c>
      <c r="I224" s="2" t="s">
        <v>43</v>
      </c>
      <c r="J224" s="2" t="s">
        <v>20</v>
      </c>
      <c r="K224" s="2" t="s">
        <v>24</v>
      </c>
      <c r="L224" s="2" t="s">
        <v>16</v>
      </c>
      <c r="M224" s="2" t="s">
        <v>16</v>
      </c>
      <c r="N224" s="2" t="s">
        <v>40</v>
      </c>
      <c r="O224" s="2" t="s">
        <v>18</v>
      </c>
      <c r="P224" s="2" t="s">
        <v>16</v>
      </c>
      <c r="Q224" s="2" t="s">
        <v>19</v>
      </c>
      <c r="R224" s="2" t="s">
        <v>36</v>
      </c>
      <c r="S224" s="2" t="s">
        <v>24</v>
      </c>
      <c r="T224" s="2" t="s">
        <v>16</v>
      </c>
      <c r="U224" s="2" t="s">
        <v>18</v>
      </c>
      <c r="V224" s="2" t="s">
        <v>19</v>
      </c>
      <c r="W224" s="2" t="s">
        <v>26</v>
      </c>
      <c r="X224" s="2" t="s">
        <v>24</v>
      </c>
      <c r="Y224" s="2" t="s">
        <v>22</v>
      </c>
      <c r="Z224" s="2" t="s">
        <v>27</v>
      </c>
      <c r="AA224" s="2" t="s">
        <v>17</v>
      </c>
      <c r="AB224" s="2" t="s">
        <v>16</v>
      </c>
      <c r="AC224" s="2" t="s">
        <v>25</v>
      </c>
      <c r="AD224" s="2" t="s">
        <v>25</v>
      </c>
      <c r="AE224" s="2" t="s">
        <v>16</v>
      </c>
      <c r="AF224" s="2" t="s">
        <v>16</v>
      </c>
      <c r="AG224" s="2" t="s">
        <v>16</v>
      </c>
      <c r="AH224" s="2" t="s">
        <v>16</v>
      </c>
      <c r="AI224" s="2" t="s">
        <v>16</v>
      </c>
      <c r="AJ224" s="2" t="s">
        <v>16</v>
      </c>
      <c r="AK224" s="2" t="s">
        <v>16</v>
      </c>
      <c r="AL224" s="2" t="s">
        <v>19</v>
      </c>
    </row>
    <row r="225" ht="14.25" customHeight="1">
      <c r="A225" s="17">
        <v>45725.0</v>
      </c>
      <c r="B225" s="2" t="s">
        <v>31</v>
      </c>
      <c r="C225" s="2" t="s">
        <v>31</v>
      </c>
      <c r="D225" s="2" t="s">
        <v>31</v>
      </c>
      <c r="E225" s="2" t="s">
        <v>31</v>
      </c>
      <c r="F225" s="2" t="s">
        <v>31</v>
      </c>
      <c r="G225" s="2" t="s">
        <v>31</v>
      </c>
      <c r="H225" s="2" t="s">
        <v>31</v>
      </c>
      <c r="I225" s="2" t="s">
        <v>31</v>
      </c>
      <c r="J225" s="2" t="s">
        <v>31</v>
      </c>
      <c r="K225" s="2" t="s">
        <v>31</v>
      </c>
      <c r="L225" s="2" t="s">
        <v>31</v>
      </c>
      <c r="M225" s="2" t="s">
        <v>31</v>
      </c>
      <c r="N225" s="2" t="s">
        <v>31</v>
      </c>
      <c r="O225" s="2" t="s">
        <v>31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2" t="s">
        <v>16</v>
      </c>
      <c r="V225" s="2" t="s">
        <v>25</v>
      </c>
      <c r="W225" s="2" t="s">
        <v>21</v>
      </c>
      <c r="X225" s="2" t="s">
        <v>21</v>
      </c>
      <c r="Y225" s="2" t="s">
        <v>20</v>
      </c>
      <c r="Z225" s="2" t="s">
        <v>19</v>
      </c>
      <c r="AA225" s="2" t="s">
        <v>26</v>
      </c>
      <c r="AB225" s="2" t="s">
        <v>26</v>
      </c>
      <c r="AC225" s="2" t="s">
        <v>26</v>
      </c>
      <c r="AD225" s="2" t="s">
        <v>18</v>
      </c>
      <c r="AE225" s="2" t="s">
        <v>27</v>
      </c>
      <c r="AF225" s="2" t="s">
        <v>21</v>
      </c>
      <c r="AG225" s="2" t="s">
        <v>22</v>
      </c>
      <c r="AH225" s="2" t="s">
        <v>16</v>
      </c>
      <c r="AI225" s="2" t="s">
        <v>27</v>
      </c>
      <c r="AJ225" s="2" t="s">
        <v>16</v>
      </c>
      <c r="AK225" s="2" t="s">
        <v>19</v>
      </c>
      <c r="AL225" s="2" t="s">
        <v>24</v>
      </c>
    </row>
    <row r="226" ht="14.25" customHeight="1">
      <c r="A226" s="17">
        <v>45726.0</v>
      </c>
      <c r="B226" s="2" t="s">
        <v>31</v>
      </c>
      <c r="C226" s="2" t="s">
        <v>31</v>
      </c>
      <c r="D226" s="2" t="s">
        <v>31</v>
      </c>
      <c r="E226" s="2" t="s">
        <v>31</v>
      </c>
      <c r="F226" s="2" t="s">
        <v>31</v>
      </c>
      <c r="G226" s="2" t="s">
        <v>31</v>
      </c>
      <c r="H226" s="2" t="s">
        <v>31</v>
      </c>
      <c r="I226" s="2" t="s">
        <v>31</v>
      </c>
      <c r="J226" s="2" t="s">
        <v>31</v>
      </c>
      <c r="K226" s="2" t="s">
        <v>31</v>
      </c>
      <c r="L226" s="2" t="s">
        <v>31</v>
      </c>
      <c r="M226" s="2" t="s">
        <v>31</v>
      </c>
      <c r="N226" s="2" t="s">
        <v>31</v>
      </c>
      <c r="O226" s="2" t="s">
        <v>31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2" t="s">
        <v>22</v>
      </c>
      <c r="V226" s="2" t="s">
        <v>23</v>
      </c>
      <c r="W226" s="2" t="s">
        <v>27</v>
      </c>
      <c r="X226" s="2" t="s">
        <v>20</v>
      </c>
      <c r="Y226" s="2" t="s">
        <v>16</v>
      </c>
      <c r="Z226" s="2" t="s">
        <v>25</v>
      </c>
      <c r="AA226" s="2" t="s">
        <v>17</v>
      </c>
      <c r="AB226" s="2" t="s">
        <v>22</v>
      </c>
      <c r="AC226" s="2" t="s">
        <v>16</v>
      </c>
      <c r="AD226" s="2" t="s">
        <v>20</v>
      </c>
      <c r="AE226" s="2" t="s">
        <v>24</v>
      </c>
      <c r="AF226" s="2" t="s">
        <v>25</v>
      </c>
      <c r="AG226" s="2" t="s">
        <v>22</v>
      </c>
      <c r="AH226" s="2" t="s">
        <v>24</v>
      </c>
      <c r="AI226" s="2" t="s">
        <v>21</v>
      </c>
      <c r="AJ226" s="2" t="s">
        <v>27</v>
      </c>
      <c r="AK226" s="2" t="s">
        <v>16</v>
      </c>
      <c r="AL226" s="2" t="s">
        <v>27</v>
      </c>
    </row>
    <row r="227" ht="14.25" customHeight="1">
      <c r="A227" s="17">
        <v>45727.0</v>
      </c>
      <c r="B227" s="2" t="s">
        <v>31</v>
      </c>
      <c r="C227" s="2" t="s">
        <v>31</v>
      </c>
      <c r="D227" s="2" t="s">
        <v>31</v>
      </c>
      <c r="E227" s="2" t="s">
        <v>31</v>
      </c>
      <c r="F227" s="2" t="s">
        <v>31</v>
      </c>
      <c r="G227" s="2" t="s">
        <v>31</v>
      </c>
      <c r="H227" s="2" t="s">
        <v>31</v>
      </c>
      <c r="I227" s="2" t="s">
        <v>31</v>
      </c>
      <c r="J227" s="2" t="s">
        <v>31</v>
      </c>
      <c r="K227" s="2" t="s">
        <v>31</v>
      </c>
      <c r="L227" s="2" t="s">
        <v>31</v>
      </c>
      <c r="M227" s="2" t="s">
        <v>31</v>
      </c>
      <c r="N227" s="2" t="s">
        <v>31</v>
      </c>
      <c r="O227" s="2" t="s">
        <v>31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2" t="s">
        <v>28</v>
      </c>
      <c r="V227" s="2" t="s">
        <v>25</v>
      </c>
      <c r="W227" s="2" t="s">
        <v>21</v>
      </c>
      <c r="X227" s="2" t="s">
        <v>25</v>
      </c>
      <c r="Y227" s="2" t="s">
        <v>20</v>
      </c>
      <c r="Z227" s="2" t="s">
        <v>16</v>
      </c>
      <c r="AA227" s="2" t="s">
        <v>28</v>
      </c>
      <c r="AB227" s="2" t="s">
        <v>16</v>
      </c>
      <c r="AC227" s="2" t="s">
        <v>24</v>
      </c>
      <c r="AD227" s="2" t="s">
        <v>16</v>
      </c>
      <c r="AE227" s="2" t="s">
        <v>23</v>
      </c>
      <c r="AF227" s="2" t="s">
        <v>23</v>
      </c>
      <c r="AG227" s="2" t="s">
        <v>28</v>
      </c>
      <c r="AH227" s="2" t="s">
        <v>17</v>
      </c>
      <c r="AI227" s="2" t="s">
        <v>24</v>
      </c>
      <c r="AJ227" s="2" t="s">
        <v>24</v>
      </c>
      <c r="AK227" s="2" t="s">
        <v>16</v>
      </c>
      <c r="AL227" s="2" t="s">
        <v>18</v>
      </c>
    </row>
    <row r="228" ht="14.25" customHeight="1">
      <c r="A228" s="17">
        <v>45728.0</v>
      </c>
      <c r="B228" s="2" t="s">
        <v>31</v>
      </c>
      <c r="C228" s="2" t="s">
        <v>31</v>
      </c>
      <c r="D228" s="2" t="s">
        <v>31</v>
      </c>
      <c r="E228" s="2" t="s">
        <v>31</v>
      </c>
      <c r="F228" s="2" t="s">
        <v>31</v>
      </c>
      <c r="G228" s="2" t="s">
        <v>31</v>
      </c>
      <c r="H228" s="2" t="s">
        <v>31</v>
      </c>
      <c r="I228" s="2" t="s">
        <v>31</v>
      </c>
      <c r="J228" s="2" t="s">
        <v>31</v>
      </c>
      <c r="K228" s="2" t="s">
        <v>31</v>
      </c>
      <c r="L228" s="2" t="s">
        <v>31</v>
      </c>
      <c r="M228" s="2" t="s">
        <v>31</v>
      </c>
      <c r="N228" s="2" t="s">
        <v>31</v>
      </c>
      <c r="O228" s="2" t="s">
        <v>31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2" t="s">
        <v>25</v>
      </c>
      <c r="V228" s="2" t="s">
        <v>22</v>
      </c>
      <c r="W228" s="2" t="s">
        <v>18</v>
      </c>
      <c r="X228" s="2" t="s">
        <v>26</v>
      </c>
      <c r="Y228" s="2" t="s">
        <v>19</v>
      </c>
      <c r="Z228" s="2" t="s">
        <v>20</v>
      </c>
      <c r="AA228" s="2" t="s">
        <v>26</v>
      </c>
      <c r="AB228" s="2" t="s">
        <v>27</v>
      </c>
      <c r="AC228" s="2" t="s">
        <v>16</v>
      </c>
      <c r="AD228" s="2" t="s">
        <v>22</v>
      </c>
      <c r="AE228" s="2" t="s">
        <v>26</v>
      </c>
      <c r="AF228" s="2" t="s">
        <v>26</v>
      </c>
      <c r="AG228" s="2" t="s">
        <v>27</v>
      </c>
      <c r="AH228" s="2" t="s">
        <v>25</v>
      </c>
      <c r="AI228" s="2" t="s">
        <v>22</v>
      </c>
      <c r="AJ228" s="2" t="s">
        <v>20</v>
      </c>
      <c r="AK228" s="2" t="s">
        <v>16</v>
      </c>
      <c r="AL228" s="2" t="s">
        <v>19</v>
      </c>
    </row>
    <row r="229" ht="14.25" customHeight="1">
      <c r="A229" s="17">
        <v>45729.0</v>
      </c>
      <c r="B229" s="2" t="s">
        <v>31</v>
      </c>
      <c r="C229" s="2" t="s">
        <v>31</v>
      </c>
      <c r="D229" s="2" t="s">
        <v>31</v>
      </c>
      <c r="E229" s="2" t="s">
        <v>31</v>
      </c>
      <c r="F229" s="2" t="s">
        <v>31</v>
      </c>
      <c r="G229" s="2" t="s">
        <v>31</v>
      </c>
      <c r="H229" s="2" t="s">
        <v>31</v>
      </c>
      <c r="I229" s="2" t="s">
        <v>31</v>
      </c>
      <c r="J229" s="2" t="s">
        <v>31</v>
      </c>
      <c r="K229" s="2" t="s">
        <v>31</v>
      </c>
      <c r="L229" s="2" t="s">
        <v>31</v>
      </c>
      <c r="M229" s="2" t="s">
        <v>31</v>
      </c>
      <c r="N229" s="2" t="s">
        <v>31</v>
      </c>
      <c r="O229" s="2" t="s">
        <v>31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2" t="s">
        <v>20</v>
      </c>
      <c r="V229" s="2" t="s">
        <v>17</v>
      </c>
      <c r="W229" s="2" t="s">
        <v>16</v>
      </c>
      <c r="X229" s="2" t="s">
        <v>19</v>
      </c>
      <c r="Y229" s="2" t="s">
        <v>21</v>
      </c>
      <c r="Z229" s="2" t="s">
        <v>16</v>
      </c>
      <c r="AA229" s="2" t="s">
        <v>19</v>
      </c>
      <c r="AB229" s="2" t="s">
        <v>21</v>
      </c>
      <c r="AC229" s="2" t="s">
        <v>26</v>
      </c>
      <c r="AD229" s="2" t="s">
        <v>22</v>
      </c>
      <c r="AE229" s="2" t="s">
        <v>16</v>
      </c>
      <c r="AF229" s="2" t="s">
        <v>16</v>
      </c>
      <c r="AG229" s="2" t="s">
        <v>28</v>
      </c>
      <c r="AH229" s="2" t="s">
        <v>27</v>
      </c>
      <c r="AI229" s="2" t="s">
        <v>22</v>
      </c>
      <c r="AJ229" s="2" t="s">
        <v>28</v>
      </c>
      <c r="AK229" s="2" t="s">
        <v>16</v>
      </c>
      <c r="AL229" s="2" t="s">
        <v>16</v>
      </c>
    </row>
    <row r="230" ht="14.25" customHeight="1">
      <c r="A230" s="17">
        <v>45730.0</v>
      </c>
      <c r="B230" s="2" t="s">
        <v>31</v>
      </c>
      <c r="C230" s="2" t="s">
        <v>31</v>
      </c>
      <c r="D230" s="2" t="s">
        <v>31</v>
      </c>
      <c r="E230" s="2" t="s">
        <v>31</v>
      </c>
      <c r="F230" s="2" t="s">
        <v>31</v>
      </c>
      <c r="G230" s="2" t="s">
        <v>31</v>
      </c>
      <c r="H230" s="2" t="s">
        <v>31</v>
      </c>
      <c r="I230" s="2" t="s">
        <v>31</v>
      </c>
      <c r="J230" s="2" t="s">
        <v>31</v>
      </c>
      <c r="K230" s="2" t="s">
        <v>31</v>
      </c>
      <c r="L230" s="2" t="s">
        <v>31</v>
      </c>
      <c r="M230" s="2" t="s">
        <v>31</v>
      </c>
      <c r="N230" s="2" t="s">
        <v>31</v>
      </c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2" t="s">
        <v>16</v>
      </c>
      <c r="V230" s="2" t="s">
        <v>26</v>
      </c>
      <c r="W230" s="2" t="s">
        <v>16</v>
      </c>
      <c r="X230" s="2" t="s">
        <v>19</v>
      </c>
      <c r="Y230" s="2" t="s">
        <v>20</v>
      </c>
      <c r="Z230" s="2" t="s">
        <v>16</v>
      </c>
      <c r="AA230" s="2" t="s">
        <v>20</v>
      </c>
      <c r="AB230" s="2" t="s">
        <v>26</v>
      </c>
      <c r="AC230" s="2" t="s">
        <v>16</v>
      </c>
      <c r="AD230" s="2" t="s">
        <v>16</v>
      </c>
      <c r="AE230" s="2" t="s">
        <v>22</v>
      </c>
      <c r="AF230" s="2" t="s">
        <v>25</v>
      </c>
      <c r="AG230" s="2" t="s">
        <v>16</v>
      </c>
      <c r="AH230" s="2" t="s">
        <v>19</v>
      </c>
      <c r="AI230" s="2" t="s">
        <v>20</v>
      </c>
      <c r="AJ230" s="2" t="s">
        <v>16</v>
      </c>
      <c r="AK230" s="2" t="s">
        <v>26</v>
      </c>
      <c r="AL230" s="2" t="s">
        <v>16</v>
      </c>
    </row>
    <row r="231" ht="14.25" customHeight="1">
      <c r="A231" s="17">
        <v>45731.0</v>
      </c>
      <c r="B231" s="2" t="s">
        <v>43</v>
      </c>
      <c r="C231" s="2" t="s">
        <v>42</v>
      </c>
      <c r="D231" s="2" t="s">
        <v>16</v>
      </c>
      <c r="E231" s="2" t="s">
        <v>24</v>
      </c>
      <c r="F231" s="2" t="s">
        <v>29</v>
      </c>
      <c r="G231" s="2" t="s">
        <v>16</v>
      </c>
      <c r="H231" s="2" t="s">
        <v>27</v>
      </c>
      <c r="I231" s="2" t="s">
        <v>20</v>
      </c>
      <c r="J231" s="2" t="s">
        <v>16</v>
      </c>
      <c r="K231" s="2" t="s">
        <v>17</v>
      </c>
      <c r="L231" s="2" t="s">
        <v>43</v>
      </c>
      <c r="M231" s="2" t="s">
        <v>27</v>
      </c>
      <c r="N231" s="2" t="s">
        <v>18</v>
      </c>
      <c r="O231" s="2" t="s">
        <v>40</v>
      </c>
      <c r="P231" s="2" t="s">
        <v>40</v>
      </c>
      <c r="Q231" s="2" t="s">
        <v>29</v>
      </c>
      <c r="R231" s="2" t="s">
        <v>33</v>
      </c>
      <c r="S231" s="2" t="s">
        <v>27</v>
      </c>
      <c r="T231" s="2" t="s">
        <v>19</v>
      </c>
      <c r="U231" s="2" t="s">
        <v>27</v>
      </c>
      <c r="V231" s="2" t="s">
        <v>25</v>
      </c>
      <c r="W231" s="2" t="s">
        <v>26</v>
      </c>
      <c r="X231" s="2" t="s">
        <v>25</v>
      </c>
      <c r="Y231" s="2" t="s">
        <v>25</v>
      </c>
      <c r="Z231" s="2" t="s">
        <v>16</v>
      </c>
      <c r="AA231" s="2" t="s">
        <v>16</v>
      </c>
      <c r="AB231" s="2" t="s">
        <v>28</v>
      </c>
      <c r="AC231" s="2" t="s">
        <v>26</v>
      </c>
      <c r="AD231" s="2" t="s">
        <v>28</v>
      </c>
      <c r="AE231" s="2" t="s">
        <v>19</v>
      </c>
      <c r="AF231" s="2" t="s">
        <v>24</v>
      </c>
      <c r="AG231" s="2" t="s">
        <v>16</v>
      </c>
      <c r="AH231" s="2" t="s">
        <v>22</v>
      </c>
      <c r="AI231" s="2" t="s">
        <v>16</v>
      </c>
      <c r="AJ231" s="2" t="s">
        <v>27</v>
      </c>
      <c r="AK231" s="2" t="s">
        <v>18</v>
      </c>
      <c r="AL231" s="2" t="s">
        <v>23</v>
      </c>
    </row>
    <row r="232" ht="14.25" customHeight="1">
      <c r="A232" s="17">
        <v>45732.0</v>
      </c>
      <c r="B232" s="2" t="s">
        <v>31</v>
      </c>
      <c r="C232" s="2" t="s">
        <v>31</v>
      </c>
      <c r="D232" s="2" t="s">
        <v>31</v>
      </c>
      <c r="E232" s="2" t="s">
        <v>31</v>
      </c>
      <c r="F232" s="2" t="s">
        <v>31</v>
      </c>
      <c r="G232" s="2" t="s">
        <v>31</v>
      </c>
      <c r="H232" s="2" t="s">
        <v>31</v>
      </c>
      <c r="I232" s="2" t="s">
        <v>31</v>
      </c>
      <c r="J232" s="2" t="s">
        <v>31</v>
      </c>
      <c r="K232" s="2" t="s">
        <v>31</v>
      </c>
      <c r="L232" s="2" t="s">
        <v>31</v>
      </c>
      <c r="M232" s="2" t="s">
        <v>31</v>
      </c>
      <c r="N232" s="2" t="s">
        <v>31</v>
      </c>
      <c r="O232" s="2" t="s">
        <v>31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2" t="s">
        <v>28</v>
      </c>
      <c r="V232" s="2" t="s">
        <v>26</v>
      </c>
      <c r="W232" s="2" t="s">
        <v>28</v>
      </c>
      <c r="X232" s="2" t="s">
        <v>20</v>
      </c>
      <c r="Y232" s="2" t="s">
        <v>16</v>
      </c>
      <c r="Z232" s="2" t="s">
        <v>26</v>
      </c>
      <c r="AA232" s="2" t="s">
        <v>21</v>
      </c>
      <c r="AB232" s="2" t="s">
        <v>16</v>
      </c>
      <c r="AC232" s="2" t="s">
        <v>18</v>
      </c>
      <c r="AD232" s="2" t="s">
        <v>24</v>
      </c>
      <c r="AE232" s="2" t="s">
        <v>28</v>
      </c>
      <c r="AF232" s="2" t="s">
        <v>24</v>
      </c>
      <c r="AG232" s="2" t="s">
        <v>20</v>
      </c>
      <c r="AH232" s="2" t="s">
        <v>16</v>
      </c>
      <c r="AI232" s="2" t="s">
        <v>24</v>
      </c>
      <c r="AJ232" s="2" t="s">
        <v>16</v>
      </c>
      <c r="AK232" s="2" t="s">
        <v>23</v>
      </c>
      <c r="AL232" s="2" t="s">
        <v>16</v>
      </c>
    </row>
    <row r="233" ht="14.25" customHeight="1">
      <c r="A233" s="17">
        <v>45733.0</v>
      </c>
      <c r="B233" s="2" t="s">
        <v>31</v>
      </c>
      <c r="C233" s="2" t="s">
        <v>31</v>
      </c>
      <c r="D233" s="2" t="s">
        <v>31</v>
      </c>
      <c r="E233" s="2" t="s">
        <v>31</v>
      </c>
      <c r="F233" s="2" t="s">
        <v>31</v>
      </c>
      <c r="G233" s="2" t="s">
        <v>31</v>
      </c>
      <c r="H233" s="2" t="s">
        <v>31</v>
      </c>
      <c r="I233" s="2" t="s">
        <v>31</v>
      </c>
      <c r="J233" s="2" t="s">
        <v>31</v>
      </c>
      <c r="K233" s="2" t="s">
        <v>31</v>
      </c>
      <c r="L233" s="2" t="s">
        <v>31</v>
      </c>
      <c r="M233" s="2" t="s">
        <v>31</v>
      </c>
      <c r="N233" s="2" t="s">
        <v>31</v>
      </c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2" t="s">
        <v>25</v>
      </c>
      <c r="V233" s="2" t="s">
        <v>17</v>
      </c>
      <c r="W233" s="2" t="s">
        <v>19</v>
      </c>
      <c r="X233" s="2" t="s">
        <v>16</v>
      </c>
      <c r="Y233" s="2" t="s">
        <v>21</v>
      </c>
      <c r="Z233" s="2" t="s">
        <v>21</v>
      </c>
      <c r="AA233" s="2" t="s">
        <v>16</v>
      </c>
      <c r="AB233" s="2" t="s">
        <v>24</v>
      </c>
      <c r="AC233" s="2" t="s">
        <v>16</v>
      </c>
      <c r="AD233" s="2" t="s">
        <v>16</v>
      </c>
      <c r="AE233" s="2" t="s">
        <v>16</v>
      </c>
      <c r="AF233" s="2" t="s">
        <v>18</v>
      </c>
      <c r="AG233" s="2" t="s">
        <v>16</v>
      </c>
      <c r="AH233" s="2" t="s">
        <v>23</v>
      </c>
      <c r="AI233" s="2" t="s">
        <v>16</v>
      </c>
      <c r="AJ233" s="2" t="s">
        <v>16</v>
      </c>
      <c r="AK233" s="2" t="s">
        <v>26</v>
      </c>
      <c r="AL233" s="2" t="s">
        <v>17</v>
      </c>
    </row>
    <row r="234" ht="14.25" customHeight="1">
      <c r="A234" s="17">
        <v>45734.0</v>
      </c>
      <c r="B234" s="2" t="s">
        <v>31</v>
      </c>
      <c r="C234" s="2" t="s">
        <v>31</v>
      </c>
      <c r="D234" s="2" t="s">
        <v>31</v>
      </c>
      <c r="E234" s="2" t="s">
        <v>31</v>
      </c>
      <c r="F234" s="2" t="s">
        <v>31</v>
      </c>
      <c r="G234" s="2" t="s">
        <v>31</v>
      </c>
      <c r="H234" s="2" t="s">
        <v>31</v>
      </c>
      <c r="I234" s="2" t="s">
        <v>31</v>
      </c>
      <c r="J234" s="2" t="s">
        <v>31</v>
      </c>
      <c r="K234" s="2" t="s">
        <v>31</v>
      </c>
      <c r="L234" s="2" t="s">
        <v>31</v>
      </c>
      <c r="M234" s="2" t="s">
        <v>31</v>
      </c>
      <c r="N234" s="2" t="s">
        <v>31</v>
      </c>
      <c r="O234" s="2" t="s">
        <v>31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2" t="s">
        <v>23</v>
      </c>
      <c r="V234" s="2" t="s">
        <v>26</v>
      </c>
      <c r="W234" s="2" t="s">
        <v>24</v>
      </c>
      <c r="X234" s="2" t="s">
        <v>23</v>
      </c>
      <c r="Y234" s="2" t="s">
        <v>17</v>
      </c>
      <c r="Z234" s="2" t="s">
        <v>24</v>
      </c>
      <c r="AA234" s="2" t="s">
        <v>19</v>
      </c>
      <c r="AB234" s="2" t="s">
        <v>16</v>
      </c>
      <c r="AC234" s="2" t="s">
        <v>16</v>
      </c>
      <c r="AD234" s="2" t="s">
        <v>28</v>
      </c>
      <c r="AE234" s="2" t="s">
        <v>21</v>
      </c>
      <c r="AF234" s="2" t="s">
        <v>26</v>
      </c>
      <c r="AG234" s="2" t="s">
        <v>16</v>
      </c>
      <c r="AH234" s="2" t="s">
        <v>16</v>
      </c>
      <c r="AI234" s="2" t="s">
        <v>17</v>
      </c>
      <c r="AJ234" s="2" t="s">
        <v>20</v>
      </c>
      <c r="AK234" s="2" t="s">
        <v>27</v>
      </c>
      <c r="AL234" s="2" t="s">
        <v>16</v>
      </c>
    </row>
    <row r="235" ht="14.25" customHeight="1">
      <c r="A235" s="17">
        <v>45735.0</v>
      </c>
      <c r="B235" s="2" t="s">
        <v>31</v>
      </c>
      <c r="C235" s="2" t="s">
        <v>31</v>
      </c>
      <c r="D235" s="2" t="s">
        <v>31</v>
      </c>
      <c r="E235" s="2" t="s">
        <v>31</v>
      </c>
      <c r="F235" s="2" t="s">
        <v>31</v>
      </c>
      <c r="G235" s="2" t="s">
        <v>31</v>
      </c>
      <c r="H235" s="2" t="s">
        <v>31</v>
      </c>
      <c r="I235" s="2" t="s">
        <v>31</v>
      </c>
      <c r="J235" s="2" t="s">
        <v>31</v>
      </c>
      <c r="K235" s="2" t="s">
        <v>31</v>
      </c>
      <c r="L235" s="2" t="s">
        <v>31</v>
      </c>
      <c r="M235" s="2" t="s">
        <v>31</v>
      </c>
      <c r="N235" s="2" t="s">
        <v>31</v>
      </c>
      <c r="O235" s="2" t="s">
        <v>31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2" t="s">
        <v>16</v>
      </c>
      <c r="V235" s="2" t="s">
        <v>22</v>
      </c>
      <c r="W235" s="2" t="s">
        <v>16</v>
      </c>
      <c r="X235" s="2" t="s">
        <v>26</v>
      </c>
      <c r="Y235" s="2" t="s">
        <v>20</v>
      </c>
      <c r="Z235" s="2" t="s">
        <v>17</v>
      </c>
      <c r="AA235" s="2" t="s">
        <v>16</v>
      </c>
      <c r="AB235" s="2" t="s">
        <v>28</v>
      </c>
      <c r="AC235" s="2" t="s">
        <v>16</v>
      </c>
      <c r="AD235" s="2" t="s">
        <v>16</v>
      </c>
      <c r="AE235" s="2" t="s">
        <v>28</v>
      </c>
      <c r="AF235" s="2" t="s">
        <v>16</v>
      </c>
      <c r="AG235" s="2" t="s">
        <v>26</v>
      </c>
      <c r="AH235" s="2" t="s">
        <v>28</v>
      </c>
      <c r="AI235" s="2" t="s">
        <v>16</v>
      </c>
      <c r="AJ235" s="2" t="s">
        <v>24</v>
      </c>
      <c r="AK235" s="2" t="s">
        <v>20</v>
      </c>
      <c r="AL235" s="2" t="s">
        <v>24</v>
      </c>
    </row>
    <row r="236" ht="14.25" customHeight="1">
      <c r="A236" s="17">
        <v>45736.0</v>
      </c>
      <c r="B236" s="2" t="s">
        <v>31</v>
      </c>
      <c r="C236" s="2" t="s">
        <v>31</v>
      </c>
      <c r="D236" s="2" t="s">
        <v>31</v>
      </c>
      <c r="E236" s="2" t="s">
        <v>31</v>
      </c>
      <c r="F236" s="2" t="s">
        <v>31</v>
      </c>
      <c r="G236" s="2" t="s">
        <v>31</v>
      </c>
      <c r="H236" s="2" t="s">
        <v>31</v>
      </c>
      <c r="I236" s="2" t="s">
        <v>31</v>
      </c>
      <c r="J236" s="2" t="s">
        <v>31</v>
      </c>
      <c r="K236" s="2" t="s">
        <v>31</v>
      </c>
      <c r="L236" s="2" t="s">
        <v>31</v>
      </c>
      <c r="M236" s="2" t="s">
        <v>31</v>
      </c>
      <c r="N236" s="2" t="s">
        <v>31</v>
      </c>
      <c r="O236" s="2" t="s">
        <v>31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2" t="s">
        <v>24</v>
      </c>
      <c r="V236" s="2" t="s">
        <v>19</v>
      </c>
      <c r="W236" s="2" t="s">
        <v>28</v>
      </c>
      <c r="X236" s="2" t="s">
        <v>16</v>
      </c>
      <c r="Y236" s="2" t="s">
        <v>24</v>
      </c>
      <c r="Z236" s="2" t="s">
        <v>22</v>
      </c>
      <c r="AA236" s="2" t="s">
        <v>16</v>
      </c>
      <c r="AB236" s="2" t="s">
        <v>18</v>
      </c>
      <c r="AC236" s="2" t="s">
        <v>19</v>
      </c>
      <c r="AD236" s="2" t="s">
        <v>26</v>
      </c>
      <c r="AE236" s="2" t="s">
        <v>24</v>
      </c>
      <c r="AF236" s="2" t="s">
        <v>16</v>
      </c>
      <c r="AG236" s="2" t="s">
        <v>16</v>
      </c>
      <c r="AH236" s="2" t="s">
        <v>16</v>
      </c>
      <c r="AI236" s="2" t="s">
        <v>27</v>
      </c>
      <c r="AJ236" s="2" t="s">
        <v>20</v>
      </c>
      <c r="AK236" s="2" t="s">
        <v>25</v>
      </c>
      <c r="AL236" s="2" t="s">
        <v>28</v>
      </c>
    </row>
    <row r="237" ht="14.25" customHeight="1">
      <c r="A237" s="17">
        <v>45737.0</v>
      </c>
      <c r="B237" s="2" t="s">
        <v>31</v>
      </c>
      <c r="C237" s="2" t="s">
        <v>31</v>
      </c>
      <c r="D237" s="2" t="s">
        <v>31</v>
      </c>
      <c r="E237" s="2" t="s">
        <v>31</v>
      </c>
      <c r="F237" s="2" t="s">
        <v>31</v>
      </c>
      <c r="G237" s="2" t="s">
        <v>31</v>
      </c>
      <c r="H237" s="2" t="s">
        <v>31</v>
      </c>
      <c r="I237" s="2" t="s">
        <v>31</v>
      </c>
      <c r="J237" s="2" t="s">
        <v>31</v>
      </c>
      <c r="K237" s="2" t="s">
        <v>31</v>
      </c>
      <c r="L237" s="2" t="s">
        <v>31</v>
      </c>
      <c r="M237" s="2" t="s">
        <v>31</v>
      </c>
      <c r="N237" s="2" t="s">
        <v>31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2" t="s">
        <v>27</v>
      </c>
      <c r="V237" s="2" t="s">
        <v>22</v>
      </c>
      <c r="W237" s="2" t="s">
        <v>16</v>
      </c>
      <c r="X237" s="2" t="s">
        <v>28</v>
      </c>
      <c r="Y237" s="2" t="s">
        <v>23</v>
      </c>
      <c r="Z237" s="2" t="s">
        <v>19</v>
      </c>
      <c r="AA237" s="2" t="s">
        <v>16</v>
      </c>
      <c r="AB237" s="2" t="s">
        <v>22</v>
      </c>
      <c r="AC237" s="2" t="s">
        <v>19</v>
      </c>
      <c r="AD237" s="2" t="s">
        <v>26</v>
      </c>
      <c r="AE237" s="2" t="s">
        <v>26</v>
      </c>
      <c r="AF237" s="2" t="s">
        <v>19</v>
      </c>
      <c r="AG237" s="2" t="s">
        <v>28</v>
      </c>
      <c r="AH237" s="2" t="s">
        <v>21</v>
      </c>
      <c r="AI237" s="2" t="s">
        <v>28</v>
      </c>
      <c r="AJ237" s="2" t="s">
        <v>21</v>
      </c>
      <c r="AK237" s="2" t="s">
        <v>19</v>
      </c>
      <c r="AL237" s="2" t="s">
        <v>17</v>
      </c>
    </row>
    <row r="238" ht="14.25" customHeight="1">
      <c r="A238" s="17">
        <v>45738.0</v>
      </c>
      <c r="B238" s="2" t="s">
        <v>24</v>
      </c>
      <c r="C238" s="2" t="s">
        <v>28</v>
      </c>
      <c r="D238" s="2" t="s">
        <v>27</v>
      </c>
      <c r="E238" s="2" t="s">
        <v>34</v>
      </c>
      <c r="F238" s="2" t="s">
        <v>42</v>
      </c>
      <c r="G238" s="2" t="s">
        <v>38</v>
      </c>
      <c r="H238" s="2" t="s">
        <v>16</v>
      </c>
      <c r="I238" s="2" t="s">
        <v>36</v>
      </c>
      <c r="J238" s="2" t="s">
        <v>34</v>
      </c>
      <c r="K238" s="2" t="s">
        <v>17</v>
      </c>
      <c r="L238" s="2" t="s">
        <v>21</v>
      </c>
      <c r="M238" s="2" t="s">
        <v>24</v>
      </c>
      <c r="N238" s="2" t="s">
        <v>23</v>
      </c>
      <c r="O238" s="2" t="s">
        <v>32</v>
      </c>
      <c r="P238" s="2" t="s">
        <v>33</v>
      </c>
      <c r="Q238" s="2" t="s">
        <v>17</v>
      </c>
      <c r="R238" s="2" t="s">
        <v>18</v>
      </c>
      <c r="S238" s="2" t="s">
        <v>16</v>
      </c>
      <c r="T238" s="2" t="s">
        <v>17</v>
      </c>
      <c r="U238" s="2" t="s">
        <v>16</v>
      </c>
      <c r="V238" s="2" t="s">
        <v>20</v>
      </c>
      <c r="W238" s="2" t="s">
        <v>27</v>
      </c>
      <c r="X238" s="2" t="s">
        <v>22</v>
      </c>
      <c r="Y238" s="2" t="s">
        <v>28</v>
      </c>
      <c r="Z238" s="2" t="s">
        <v>19</v>
      </c>
      <c r="AA238" s="2" t="s">
        <v>25</v>
      </c>
      <c r="AB238" s="2" t="s">
        <v>22</v>
      </c>
      <c r="AC238" s="2" t="s">
        <v>16</v>
      </c>
      <c r="AD238" s="2" t="s">
        <v>28</v>
      </c>
      <c r="AE238" s="2" t="s">
        <v>24</v>
      </c>
      <c r="AF238" s="2" t="s">
        <v>22</v>
      </c>
      <c r="AG238" s="2" t="s">
        <v>27</v>
      </c>
      <c r="AH238" s="2" t="s">
        <v>16</v>
      </c>
      <c r="AI238" s="2" t="s">
        <v>24</v>
      </c>
      <c r="AJ238" s="2" t="s">
        <v>25</v>
      </c>
      <c r="AK238" s="2" t="s">
        <v>18</v>
      </c>
      <c r="AL238" s="2" t="s">
        <v>26</v>
      </c>
    </row>
    <row r="239" ht="14.25" customHeight="1">
      <c r="A239" s="17">
        <v>45739.0</v>
      </c>
      <c r="B239" s="2" t="s">
        <v>31</v>
      </c>
      <c r="C239" s="2" t="s">
        <v>31</v>
      </c>
      <c r="D239" s="2" t="s">
        <v>31</v>
      </c>
      <c r="E239" s="2" t="s">
        <v>31</v>
      </c>
      <c r="F239" s="2" t="s">
        <v>31</v>
      </c>
      <c r="G239" s="2" t="s">
        <v>31</v>
      </c>
      <c r="H239" s="2" t="s">
        <v>31</v>
      </c>
      <c r="I239" s="2" t="s">
        <v>31</v>
      </c>
      <c r="J239" s="2" t="s">
        <v>31</v>
      </c>
      <c r="K239" s="2" t="s">
        <v>31</v>
      </c>
      <c r="L239" s="2" t="s">
        <v>31</v>
      </c>
      <c r="M239" s="2" t="s">
        <v>31</v>
      </c>
      <c r="N239" s="2" t="s">
        <v>31</v>
      </c>
      <c r="O239" s="2" t="s">
        <v>31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2" t="s">
        <v>23</v>
      </c>
      <c r="V239" s="2" t="s">
        <v>22</v>
      </c>
      <c r="W239" s="2" t="s">
        <v>19</v>
      </c>
      <c r="X239" s="2" t="s">
        <v>16</v>
      </c>
      <c r="Y239" s="2" t="s">
        <v>16</v>
      </c>
      <c r="Z239" s="2" t="s">
        <v>23</v>
      </c>
      <c r="AA239" s="2" t="s">
        <v>28</v>
      </c>
      <c r="AB239" s="2" t="s">
        <v>20</v>
      </c>
      <c r="AC239" s="2" t="s">
        <v>17</v>
      </c>
      <c r="AD239" s="2" t="s">
        <v>18</v>
      </c>
      <c r="AE239" s="2" t="s">
        <v>22</v>
      </c>
      <c r="AF239" s="2" t="s">
        <v>16</v>
      </c>
      <c r="AG239" s="2" t="s">
        <v>19</v>
      </c>
      <c r="AH239" s="2" t="s">
        <v>16</v>
      </c>
      <c r="AI239" s="2" t="s">
        <v>16</v>
      </c>
      <c r="AJ239" s="2" t="s">
        <v>16</v>
      </c>
      <c r="AK239" s="2" t="s">
        <v>16</v>
      </c>
      <c r="AL239" s="2" t="s">
        <v>18</v>
      </c>
    </row>
    <row r="240" ht="14.25" customHeight="1">
      <c r="A240" s="17">
        <v>45740.0</v>
      </c>
      <c r="B240" s="2" t="s">
        <v>31</v>
      </c>
      <c r="C240" s="2" t="s">
        <v>31</v>
      </c>
      <c r="D240" s="2" t="s">
        <v>31</v>
      </c>
      <c r="E240" s="2" t="s">
        <v>31</v>
      </c>
      <c r="F240" s="2" t="s">
        <v>31</v>
      </c>
      <c r="G240" s="2" t="s">
        <v>31</v>
      </c>
      <c r="H240" s="2" t="s">
        <v>31</v>
      </c>
      <c r="I240" s="2" t="s">
        <v>31</v>
      </c>
      <c r="J240" s="2" t="s">
        <v>31</v>
      </c>
      <c r="K240" s="2" t="s">
        <v>31</v>
      </c>
      <c r="L240" s="2" t="s">
        <v>31</v>
      </c>
      <c r="M240" s="2" t="s">
        <v>31</v>
      </c>
      <c r="N240" s="2" t="s">
        <v>31</v>
      </c>
      <c r="O240" s="2" t="s">
        <v>31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2" t="s">
        <v>26</v>
      </c>
      <c r="V240" s="2" t="s">
        <v>16</v>
      </c>
      <c r="W240" s="2" t="s">
        <v>18</v>
      </c>
      <c r="X240" s="2" t="s">
        <v>26</v>
      </c>
      <c r="Y240" s="2" t="s">
        <v>16</v>
      </c>
      <c r="Z240" s="2" t="s">
        <v>25</v>
      </c>
      <c r="AA240" s="2" t="s">
        <v>22</v>
      </c>
      <c r="AB240" s="2" t="s">
        <v>16</v>
      </c>
      <c r="AC240" s="2" t="s">
        <v>20</v>
      </c>
      <c r="AD240" s="2" t="s">
        <v>22</v>
      </c>
      <c r="AE240" s="2" t="s">
        <v>17</v>
      </c>
      <c r="AF240" s="2" t="s">
        <v>16</v>
      </c>
      <c r="AG240" s="2" t="s">
        <v>16</v>
      </c>
      <c r="AH240" s="2" t="s">
        <v>28</v>
      </c>
      <c r="AI240" s="2" t="s">
        <v>23</v>
      </c>
      <c r="AJ240" s="2" t="s">
        <v>16</v>
      </c>
      <c r="AK240" s="2" t="s">
        <v>24</v>
      </c>
      <c r="AL240" s="2" t="s">
        <v>27</v>
      </c>
    </row>
    <row r="241" ht="14.25" customHeight="1">
      <c r="A241" s="17">
        <v>45741.0</v>
      </c>
      <c r="B241" s="2" t="s">
        <v>31</v>
      </c>
      <c r="C241" s="2" t="s">
        <v>31</v>
      </c>
      <c r="D241" s="2" t="s">
        <v>31</v>
      </c>
      <c r="E241" s="2" t="s">
        <v>31</v>
      </c>
      <c r="F241" s="2" t="s">
        <v>31</v>
      </c>
      <c r="G241" s="2" t="s">
        <v>31</v>
      </c>
      <c r="H241" s="2" t="s">
        <v>31</v>
      </c>
      <c r="I241" s="2" t="s">
        <v>31</v>
      </c>
      <c r="J241" s="2" t="s">
        <v>31</v>
      </c>
      <c r="K241" s="2" t="s">
        <v>31</v>
      </c>
      <c r="L241" s="2" t="s">
        <v>31</v>
      </c>
      <c r="M241" s="2" t="s">
        <v>31</v>
      </c>
      <c r="N241" s="2" t="s">
        <v>31</v>
      </c>
      <c r="O241" s="2" t="s">
        <v>31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2" t="s">
        <v>28</v>
      </c>
      <c r="V241" s="2" t="s">
        <v>28</v>
      </c>
      <c r="W241" s="2" t="s">
        <v>21</v>
      </c>
      <c r="X241" s="2" t="s">
        <v>16</v>
      </c>
      <c r="Y241" s="2" t="s">
        <v>27</v>
      </c>
      <c r="Z241" s="2" t="s">
        <v>22</v>
      </c>
      <c r="AA241" s="2" t="s">
        <v>16</v>
      </c>
      <c r="AB241" s="2" t="s">
        <v>16</v>
      </c>
      <c r="AC241" s="2" t="s">
        <v>21</v>
      </c>
      <c r="AD241" s="2" t="s">
        <v>16</v>
      </c>
      <c r="AE241" s="2" t="s">
        <v>28</v>
      </c>
      <c r="AF241" s="2" t="s">
        <v>27</v>
      </c>
      <c r="AG241" s="2" t="s">
        <v>20</v>
      </c>
      <c r="AH241" s="2" t="s">
        <v>16</v>
      </c>
      <c r="AI241" s="2" t="s">
        <v>16</v>
      </c>
      <c r="AJ241" s="2" t="s">
        <v>16</v>
      </c>
      <c r="AK241" s="2" t="s">
        <v>17</v>
      </c>
      <c r="AL241" s="2" t="s">
        <v>26</v>
      </c>
    </row>
    <row r="242" ht="14.25" customHeight="1">
      <c r="A242" s="17">
        <v>45742.0</v>
      </c>
      <c r="B242" s="2" t="s">
        <v>31</v>
      </c>
      <c r="C242" s="2" t="s">
        <v>31</v>
      </c>
      <c r="D242" s="2" t="s">
        <v>31</v>
      </c>
      <c r="E242" s="2" t="s">
        <v>31</v>
      </c>
      <c r="F242" s="2" t="s">
        <v>31</v>
      </c>
      <c r="G242" s="2" t="s">
        <v>31</v>
      </c>
      <c r="H242" s="2" t="s">
        <v>31</v>
      </c>
      <c r="I242" s="2" t="s">
        <v>31</v>
      </c>
      <c r="J242" s="2" t="s">
        <v>31</v>
      </c>
      <c r="K242" s="2" t="s">
        <v>31</v>
      </c>
      <c r="L242" s="2" t="s">
        <v>31</v>
      </c>
      <c r="M242" s="2" t="s">
        <v>31</v>
      </c>
      <c r="N242" s="2" t="s">
        <v>31</v>
      </c>
      <c r="O242" s="2" t="s">
        <v>31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2" t="s">
        <v>16</v>
      </c>
      <c r="V242" s="2" t="s">
        <v>22</v>
      </c>
      <c r="W242" s="2" t="s">
        <v>22</v>
      </c>
      <c r="X242" s="2" t="s">
        <v>24</v>
      </c>
      <c r="Y242" s="2" t="s">
        <v>16</v>
      </c>
      <c r="Z242" s="2" t="s">
        <v>16</v>
      </c>
      <c r="AA242" s="2" t="s">
        <v>20</v>
      </c>
      <c r="AB242" s="2" t="s">
        <v>21</v>
      </c>
      <c r="AC242" s="2" t="s">
        <v>24</v>
      </c>
      <c r="AD242" s="2" t="s">
        <v>18</v>
      </c>
      <c r="AE242" s="2" t="s">
        <v>16</v>
      </c>
      <c r="AF242" s="2" t="s">
        <v>21</v>
      </c>
      <c r="AG242" s="2" t="s">
        <v>27</v>
      </c>
      <c r="AH242" s="2" t="s">
        <v>16</v>
      </c>
      <c r="AI242" s="2" t="s">
        <v>24</v>
      </c>
      <c r="AJ242" s="2" t="s">
        <v>22</v>
      </c>
      <c r="AK242" s="2" t="s">
        <v>16</v>
      </c>
      <c r="AL242" s="2" t="s">
        <v>24</v>
      </c>
    </row>
    <row r="243" ht="14.25" customHeight="1">
      <c r="A243" s="17">
        <v>45743.0</v>
      </c>
      <c r="B243" s="2" t="s">
        <v>31</v>
      </c>
      <c r="C243" s="2" t="s">
        <v>31</v>
      </c>
      <c r="D243" s="2" t="s">
        <v>31</v>
      </c>
      <c r="E243" s="2" t="s">
        <v>31</v>
      </c>
      <c r="F243" s="2" t="s">
        <v>31</v>
      </c>
      <c r="G243" s="2" t="s">
        <v>31</v>
      </c>
      <c r="H243" s="2" t="s">
        <v>31</v>
      </c>
      <c r="I243" s="2" t="s">
        <v>31</v>
      </c>
      <c r="J243" s="2" t="s">
        <v>31</v>
      </c>
      <c r="K243" s="2" t="s">
        <v>31</v>
      </c>
      <c r="L243" s="2" t="s">
        <v>31</v>
      </c>
      <c r="M243" s="2" t="s">
        <v>31</v>
      </c>
      <c r="N243" s="2" t="s">
        <v>31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2" t="s">
        <v>22</v>
      </c>
      <c r="V243" s="2" t="s">
        <v>24</v>
      </c>
      <c r="W243" s="2" t="s">
        <v>24</v>
      </c>
      <c r="X243" s="2" t="s">
        <v>16</v>
      </c>
      <c r="Y243" s="2" t="s">
        <v>17</v>
      </c>
      <c r="Z243" s="2" t="s">
        <v>18</v>
      </c>
      <c r="AA243" s="2" t="s">
        <v>16</v>
      </c>
      <c r="AB243" s="2" t="s">
        <v>19</v>
      </c>
      <c r="AC243" s="2" t="s">
        <v>17</v>
      </c>
      <c r="AD243" s="2" t="s">
        <v>26</v>
      </c>
      <c r="AE243" s="2" t="s">
        <v>24</v>
      </c>
      <c r="AF243" s="2" t="s">
        <v>22</v>
      </c>
      <c r="AG243" s="2" t="s">
        <v>23</v>
      </c>
      <c r="AH243" s="2" t="s">
        <v>26</v>
      </c>
      <c r="AI243" s="2" t="s">
        <v>16</v>
      </c>
      <c r="AJ243" s="2" t="s">
        <v>16</v>
      </c>
      <c r="AK243" s="2" t="s">
        <v>18</v>
      </c>
      <c r="AL243" s="2" t="s">
        <v>27</v>
      </c>
    </row>
    <row r="244" ht="14.25" customHeight="1">
      <c r="A244" s="17">
        <v>45744.0</v>
      </c>
      <c r="B244" s="2" t="s">
        <v>31</v>
      </c>
      <c r="C244" s="2" t="s">
        <v>31</v>
      </c>
      <c r="D244" s="2" t="s">
        <v>31</v>
      </c>
      <c r="E244" s="2" t="s">
        <v>31</v>
      </c>
      <c r="F244" s="2" t="s">
        <v>31</v>
      </c>
      <c r="G244" s="2" t="s">
        <v>31</v>
      </c>
      <c r="H244" s="2" t="s">
        <v>31</v>
      </c>
      <c r="I244" s="2" t="s">
        <v>31</v>
      </c>
      <c r="J244" s="2" t="s">
        <v>31</v>
      </c>
      <c r="K244" s="2" t="s">
        <v>31</v>
      </c>
      <c r="L244" s="2" t="s">
        <v>31</v>
      </c>
      <c r="M244" s="2" t="s">
        <v>31</v>
      </c>
      <c r="N244" s="2" t="s">
        <v>31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2" t="s">
        <v>20</v>
      </c>
      <c r="V244" s="2" t="s">
        <v>19</v>
      </c>
      <c r="W244" s="2" t="s">
        <v>24</v>
      </c>
      <c r="X244" s="2" t="s">
        <v>22</v>
      </c>
      <c r="Y244" s="2" t="s">
        <v>16</v>
      </c>
      <c r="Z244" s="2" t="s">
        <v>24</v>
      </c>
      <c r="AA244" s="2" t="s">
        <v>28</v>
      </c>
      <c r="AB244" s="2" t="s">
        <v>22</v>
      </c>
      <c r="AC244" s="2" t="s">
        <v>19</v>
      </c>
      <c r="AD244" s="2" t="s">
        <v>16</v>
      </c>
      <c r="AE244" s="2" t="s">
        <v>16</v>
      </c>
      <c r="AF244" s="2" t="s">
        <v>20</v>
      </c>
      <c r="AG244" s="2" t="s">
        <v>28</v>
      </c>
      <c r="AH244" s="2" t="s">
        <v>16</v>
      </c>
      <c r="AI244" s="2" t="s">
        <v>16</v>
      </c>
      <c r="AJ244" s="2" t="s">
        <v>21</v>
      </c>
      <c r="AK244" s="2" t="s">
        <v>16</v>
      </c>
      <c r="AL244" s="2" t="s">
        <v>21</v>
      </c>
    </row>
    <row r="245" ht="14.25" customHeight="1">
      <c r="A245" s="17">
        <v>45745.0</v>
      </c>
      <c r="B245" s="2" t="s">
        <v>36</v>
      </c>
      <c r="C245" s="2" t="s">
        <v>16</v>
      </c>
      <c r="D245" s="2" t="s">
        <v>17</v>
      </c>
      <c r="E245" s="2" t="s">
        <v>24</v>
      </c>
      <c r="F245" s="2" t="s">
        <v>17</v>
      </c>
      <c r="G245" s="2" t="s">
        <v>39</v>
      </c>
      <c r="H245" s="2" t="s">
        <v>18</v>
      </c>
      <c r="I245" s="2" t="s">
        <v>30</v>
      </c>
      <c r="J245" s="2" t="s">
        <v>26</v>
      </c>
      <c r="K245" s="2" t="s">
        <v>35</v>
      </c>
      <c r="L245" s="2" t="s">
        <v>28</v>
      </c>
      <c r="M245" s="2" t="s">
        <v>35</v>
      </c>
      <c r="N245" s="2" t="s">
        <v>18</v>
      </c>
      <c r="O245" s="2" t="s">
        <v>16</v>
      </c>
      <c r="P245" s="2" t="s">
        <v>40</v>
      </c>
      <c r="Q245" s="2" t="s">
        <v>17</v>
      </c>
      <c r="R245" s="2" t="s">
        <v>25</v>
      </c>
      <c r="S245" s="2" t="s">
        <v>26</v>
      </c>
      <c r="T245" s="2" t="s">
        <v>35</v>
      </c>
      <c r="U245" s="2" t="s">
        <v>16</v>
      </c>
      <c r="V245" s="2" t="s">
        <v>19</v>
      </c>
      <c r="W245" s="2" t="s">
        <v>22</v>
      </c>
      <c r="X245" s="2" t="s">
        <v>16</v>
      </c>
      <c r="Y245" s="2" t="s">
        <v>25</v>
      </c>
      <c r="Z245" s="2" t="s">
        <v>19</v>
      </c>
      <c r="AA245" s="2" t="s">
        <v>16</v>
      </c>
      <c r="AB245" s="2" t="s">
        <v>25</v>
      </c>
      <c r="AC245" s="2" t="s">
        <v>16</v>
      </c>
      <c r="AD245" s="2" t="s">
        <v>16</v>
      </c>
      <c r="AE245" s="2" t="s">
        <v>28</v>
      </c>
      <c r="AF245" s="2" t="s">
        <v>21</v>
      </c>
      <c r="AG245" s="2" t="s">
        <v>19</v>
      </c>
      <c r="AH245" s="2" t="s">
        <v>16</v>
      </c>
      <c r="AI245" s="2" t="s">
        <v>19</v>
      </c>
      <c r="AJ245" s="2" t="s">
        <v>18</v>
      </c>
      <c r="AK245" s="2" t="s">
        <v>26</v>
      </c>
      <c r="AL245" s="2" t="s">
        <v>24</v>
      </c>
    </row>
    <row r="246" ht="14.25" customHeight="1">
      <c r="A246" s="17">
        <v>45746.0</v>
      </c>
      <c r="B246" s="2" t="s">
        <v>31</v>
      </c>
      <c r="C246" s="2" t="s">
        <v>31</v>
      </c>
      <c r="D246" s="2" t="s">
        <v>31</v>
      </c>
      <c r="E246" s="2" t="s">
        <v>31</v>
      </c>
      <c r="F246" s="2" t="s">
        <v>31</v>
      </c>
      <c r="G246" s="2" t="s">
        <v>31</v>
      </c>
      <c r="H246" s="2" t="s">
        <v>31</v>
      </c>
      <c r="I246" s="2" t="s">
        <v>31</v>
      </c>
      <c r="J246" s="2" t="s">
        <v>31</v>
      </c>
      <c r="K246" s="2" t="s">
        <v>31</v>
      </c>
      <c r="L246" s="2" t="s">
        <v>31</v>
      </c>
      <c r="M246" s="2" t="s">
        <v>31</v>
      </c>
      <c r="N246" s="2" t="s">
        <v>31</v>
      </c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2" t="s">
        <v>28</v>
      </c>
      <c r="V246" s="2" t="s">
        <v>21</v>
      </c>
      <c r="W246" s="2" t="s">
        <v>22</v>
      </c>
      <c r="X246" s="2" t="s">
        <v>27</v>
      </c>
      <c r="Y246" s="2" t="s">
        <v>17</v>
      </c>
      <c r="Z246" s="2" t="s">
        <v>19</v>
      </c>
      <c r="AA246" s="2" t="s">
        <v>24</v>
      </c>
      <c r="AB246" s="2" t="s">
        <v>25</v>
      </c>
      <c r="AC246" s="2" t="s">
        <v>25</v>
      </c>
      <c r="AD246" s="2" t="s">
        <v>24</v>
      </c>
      <c r="AE246" s="2" t="s">
        <v>16</v>
      </c>
      <c r="AF246" s="2" t="s">
        <v>27</v>
      </c>
      <c r="AG246" s="2" t="s">
        <v>20</v>
      </c>
      <c r="AH246" s="2" t="s">
        <v>26</v>
      </c>
      <c r="AI246" s="2" t="s">
        <v>16</v>
      </c>
      <c r="AJ246" s="2" t="s">
        <v>26</v>
      </c>
      <c r="AK246" s="2" t="s">
        <v>21</v>
      </c>
      <c r="AL246" s="2" t="s">
        <v>24</v>
      </c>
    </row>
    <row r="247" ht="14.25" customHeight="1">
      <c r="A247" s="17">
        <v>45747.0</v>
      </c>
      <c r="B247" s="2" t="s">
        <v>31</v>
      </c>
      <c r="C247" s="2" t="s">
        <v>31</v>
      </c>
      <c r="D247" s="2" t="s">
        <v>31</v>
      </c>
      <c r="E247" s="2" t="s">
        <v>31</v>
      </c>
      <c r="F247" s="2" t="s">
        <v>31</v>
      </c>
      <c r="G247" s="2" t="s">
        <v>31</v>
      </c>
      <c r="H247" s="2" t="s">
        <v>31</v>
      </c>
      <c r="I247" s="2" t="s">
        <v>31</v>
      </c>
      <c r="J247" s="2" t="s">
        <v>31</v>
      </c>
      <c r="K247" s="2" t="s">
        <v>31</v>
      </c>
      <c r="L247" s="2" t="s">
        <v>31</v>
      </c>
      <c r="M247" s="2" t="s">
        <v>31</v>
      </c>
      <c r="N247" s="2" t="s">
        <v>31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2" t="s">
        <v>27</v>
      </c>
      <c r="V247" s="2" t="s">
        <v>20</v>
      </c>
      <c r="W247" s="2" t="s">
        <v>20</v>
      </c>
      <c r="X247" s="2" t="s">
        <v>16</v>
      </c>
      <c r="Y247" s="2" t="s">
        <v>23</v>
      </c>
      <c r="Z247" s="2" t="s">
        <v>17</v>
      </c>
      <c r="AA247" s="2" t="s">
        <v>24</v>
      </c>
      <c r="AB247" s="2" t="s">
        <v>16</v>
      </c>
      <c r="AC247" s="2" t="s">
        <v>27</v>
      </c>
      <c r="AD247" s="2" t="s">
        <v>22</v>
      </c>
      <c r="AE247" s="2" t="s">
        <v>16</v>
      </c>
      <c r="AF247" s="2" t="s">
        <v>26</v>
      </c>
      <c r="AG247" s="2" t="s">
        <v>16</v>
      </c>
      <c r="AH247" s="2" t="s">
        <v>27</v>
      </c>
      <c r="AI247" s="2" t="s">
        <v>21</v>
      </c>
      <c r="AJ247" s="2" t="s">
        <v>18</v>
      </c>
      <c r="AK247" s="2" t="s">
        <v>16</v>
      </c>
      <c r="AL247" s="2" t="s">
        <v>21</v>
      </c>
    </row>
    <row r="248" ht="14.25" customHeight="1">
      <c r="A248" s="17">
        <v>45748.0</v>
      </c>
      <c r="B248" s="2" t="s">
        <v>31</v>
      </c>
      <c r="C248" s="2" t="s">
        <v>31</v>
      </c>
      <c r="D248" s="2" t="s">
        <v>31</v>
      </c>
      <c r="E248" s="2" t="s">
        <v>31</v>
      </c>
      <c r="F248" s="2" t="s">
        <v>31</v>
      </c>
      <c r="G248" s="2" t="s">
        <v>31</v>
      </c>
      <c r="H248" s="2" t="s">
        <v>31</v>
      </c>
      <c r="I248" s="2" t="s">
        <v>31</v>
      </c>
      <c r="J248" s="2" t="s">
        <v>31</v>
      </c>
      <c r="K248" s="2" t="s">
        <v>31</v>
      </c>
      <c r="L248" s="2" t="s">
        <v>31</v>
      </c>
      <c r="M248" s="2" t="s">
        <v>31</v>
      </c>
      <c r="N248" s="2" t="s">
        <v>31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2" t="s">
        <v>16</v>
      </c>
      <c r="V248" s="2" t="s">
        <v>26</v>
      </c>
      <c r="W248" s="2" t="s">
        <v>17</v>
      </c>
      <c r="X248" s="2" t="s">
        <v>16</v>
      </c>
      <c r="Y248" s="2" t="s">
        <v>16</v>
      </c>
      <c r="Z248" s="2" t="s">
        <v>16</v>
      </c>
      <c r="AA248" s="2" t="s">
        <v>27</v>
      </c>
      <c r="AB248" s="2" t="s">
        <v>25</v>
      </c>
      <c r="AC248" s="2" t="s">
        <v>16</v>
      </c>
      <c r="AD248" s="2" t="s">
        <v>22</v>
      </c>
      <c r="AE248" s="2" t="s">
        <v>16</v>
      </c>
      <c r="AF248" s="2" t="s">
        <v>22</v>
      </c>
      <c r="AG248" s="2" t="s">
        <v>20</v>
      </c>
      <c r="AH248" s="2" t="s">
        <v>22</v>
      </c>
      <c r="AI248" s="2" t="s">
        <v>19</v>
      </c>
      <c r="AJ248" s="2" t="s">
        <v>16</v>
      </c>
      <c r="AK248" s="2" t="s">
        <v>16</v>
      </c>
      <c r="AL248" s="2" t="s">
        <v>18</v>
      </c>
    </row>
    <row r="249" ht="14.25" customHeight="1">
      <c r="A249" s="17">
        <v>45749.0</v>
      </c>
      <c r="B249" s="2" t="s">
        <v>31</v>
      </c>
      <c r="C249" s="2" t="s">
        <v>31</v>
      </c>
      <c r="D249" s="2" t="s">
        <v>31</v>
      </c>
      <c r="E249" s="2" t="s">
        <v>31</v>
      </c>
      <c r="F249" s="2" t="s">
        <v>31</v>
      </c>
      <c r="G249" s="2" t="s">
        <v>31</v>
      </c>
      <c r="H249" s="2" t="s">
        <v>31</v>
      </c>
      <c r="I249" s="2" t="s">
        <v>31</v>
      </c>
      <c r="J249" s="2" t="s">
        <v>31</v>
      </c>
      <c r="K249" s="2" t="s">
        <v>31</v>
      </c>
      <c r="L249" s="2" t="s">
        <v>31</v>
      </c>
      <c r="M249" s="2" t="s">
        <v>31</v>
      </c>
      <c r="N249" s="2" t="s">
        <v>31</v>
      </c>
      <c r="O249" s="2" t="s">
        <v>31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2" t="s">
        <v>27</v>
      </c>
      <c r="V249" s="2" t="s">
        <v>16</v>
      </c>
      <c r="W249" s="2" t="s">
        <v>25</v>
      </c>
      <c r="X249" s="2" t="s">
        <v>26</v>
      </c>
      <c r="Y249" s="2" t="s">
        <v>27</v>
      </c>
      <c r="Z249" s="2" t="s">
        <v>27</v>
      </c>
      <c r="AA249" s="2" t="s">
        <v>22</v>
      </c>
      <c r="AB249" s="2" t="s">
        <v>18</v>
      </c>
      <c r="AC249" s="2" t="s">
        <v>27</v>
      </c>
      <c r="AD249" s="2" t="s">
        <v>17</v>
      </c>
      <c r="AE249" s="2" t="s">
        <v>16</v>
      </c>
      <c r="AF249" s="2" t="s">
        <v>28</v>
      </c>
      <c r="AG249" s="2" t="s">
        <v>20</v>
      </c>
      <c r="AH249" s="2" t="s">
        <v>18</v>
      </c>
      <c r="AI249" s="2" t="s">
        <v>25</v>
      </c>
      <c r="AJ249" s="2" t="s">
        <v>23</v>
      </c>
      <c r="AK249" s="2" t="s">
        <v>22</v>
      </c>
      <c r="AL249" s="2" t="s">
        <v>20</v>
      </c>
    </row>
    <row r="250" ht="14.25" customHeight="1">
      <c r="A250" s="17">
        <v>45750.0</v>
      </c>
      <c r="B250" s="2" t="s">
        <v>31</v>
      </c>
      <c r="C250" s="2" t="s">
        <v>31</v>
      </c>
      <c r="D250" s="2" t="s">
        <v>31</v>
      </c>
      <c r="E250" s="2" t="s">
        <v>31</v>
      </c>
      <c r="F250" s="2" t="s">
        <v>31</v>
      </c>
      <c r="G250" s="2" t="s">
        <v>31</v>
      </c>
      <c r="H250" s="2" t="s">
        <v>31</v>
      </c>
      <c r="I250" s="2" t="s">
        <v>31</v>
      </c>
      <c r="J250" s="2" t="s">
        <v>31</v>
      </c>
      <c r="K250" s="2" t="s">
        <v>31</v>
      </c>
      <c r="L250" s="2" t="s">
        <v>31</v>
      </c>
      <c r="M250" s="2" t="s">
        <v>31</v>
      </c>
      <c r="N250" s="2" t="s">
        <v>31</v>
      </c>
      <c r="O250" s="2" t="s">
        <v>31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2" t="s">
        <v>27</v>
      </c>
      <c r="V250" s="2" t="s">
        <v>16</v>
      </c>
      <c r="W250" s="2" t="s">
        <v>19</v>
      </c>
      <c r="X250" s="2" t="s">
        <v>21</v>
      </c>
      <c r="Y250" s="2" t="s">
        <v>21</v>
      </c>
      <c r="Z250" s="2" t="s">
        <v>22</v>
      </c>
      <c r="AA250" s="2" t="s">
        <v>22</v>
      </c>
      <c r="AB250" s="2" t="s">
        <v>19</v>
      </c>
      <c r="AC250" s="2" t="s">
        <v>21</v>
      </c>
      <c r="AD250" s="2" t="s">
        <v>16</v>
      </c>
      <c r="AE250" s="2" t="s">
        <v>22</v>
      </c>
      <c r="AF250" s="2" t="s">
        <v>21</v>
      </c>
      <c r="AG250" s="2" t="s">
        <v>16</v>
      </c>
      <c r="AH250" s="2" t="s">
        <v>21</v>
      </c>
      <c r="AI250" s="2" t="s">
        <v>16</v>
      </c>
      <c r="AJ250" s="2" t="s">
        <v>16</v>
      </c>
      <c r="AK250" s="2" t="s">
        <v>17</v>
      </c>
      <c r="AL250" s="2" t="s">
        <v>25</v>
      </c>
    </row>
    <row r="251" ht="14.25" customHeight="1">
      <c r="A251" s="17">
        <v>45751.0</v>
      </c>
      <c r="B251" s="2" t="s">
        <v>31</v>
      </c>
      <c r="C251" s="2" t="s">
        <v>31</v>
      </c>
      <c r="D251" s="2" t="s">
        <v>31</v>
      </c>
      <c r="E251" s="2" t="s">
        <v>31</v>
      </c>
      <c r="F251" s="2" t="s">
        <v>31</v>
      </c>
      <c r="G251" s="2" t="s">
        <v>31</v>
      </c>
      <c r="H251" s="2" t="s">
        <v>31</v>
      </c>
      <c r="I251" s="2" t="s">
        <v>31</v>
      </c>
      <c r="J251" s="2" t="s">
        <v>31</v>
      </c>
      <c r="K251" s="2" t="s">
        <v>31</v>
      </c>
      <c r="L251" s="2" t="s">
        <v>31</v>
      </c>
      <c r="M251" s="2" t="s">
        <v>31</v>
      </c>
      <c r="N251" s="2" t="s">
        <v>31</v>
      </c>
      <c r="O251" s="2" t="s">
        <v>31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2" t="s">
        <v>16</v>
      </c>
      <c r="V251" s="2" t="s">
        <v>26</v>
      </c>
      <c r="W251" s="2" t="s">
        <v>18</v>
      </c>
      <c r="X251" s="2" t="s">
        <v>16</v>
      </c>
      <c r="Y251" s="2" t="s">
        <v>26</v>
      </c>
      <c r="Z251" s="2" t="s">
        <v>26</v>
      </c>
      <c r="AA251" s="2" t="s">
        <v>16</v>
      </c>
      <c r="AB251" s="2" t="s">
        <v>18</v>
      </c>
      <c r="AC251" s="2" t="s">
        <v>21</v>
      </c>
      <c r="AD251" s="2" t="s">
        <v>16</v>
      </c>
      <c r="AE251" s="2" t="s">
        <v>25</v>
      </c>
      <c r="AF251" s="2" t="s">
        <v>20</v>
      </c>
      <c r="AG251" s="2" t="s">
        <v>16</v>
      </c>
      <c r="AH251" s="2" t="s">
        <v>22</v>
      </c>
      <c r="AI251" s="2" t="s">
        <v>16</v>
      </c>
      <c r="AJ251" s="2" t="s">
        <v>28</v>
      </c>
      <c r="AK251" s="2" t="s">
        <v>17</v>
      </c>
      <c r="AL251" s="2" t="s">
        <v>22</v>
      </c>
    </row>
    <row r="252" ht="14.25" customHeight="1">
      <c r="A252" s="17">
        <v>45752.0</v>
      </c>
      <c r="B252" s="2" t="s">
        <v>24</v>
      </c>
      <c r="C252" s="2" t="s">
        <v>40</v>
      </c>
      <c r="D252" s="2" t="s">
        <v>19</v>
      </c>
      <c r="E252" s="2" t="s">
        <v>16</v>
      </c>
      <c r="F252" s="2" t="s">
        <v>20</v>
      </c>
      <c r="G252" s="2" t="s">
        <v>38</v>
      </c>
      <c r="H252" s="2" t="s">
        <v>19</v>
      </c>
      <c r="I252" s="2" t="s">
        <v>25</v>
      </c>
      <c r="J252" s="2" t="s">
        <v>16</v>
      </c>
      <c r="K252" s="2" t="s">
        <v>29</v>
      </c>
      <c r="L252" s="2" t="s">
        <v>38</v>
      </c>
      <c r="M252" s="2" t="s">
        <v>36</v>
      </c>
      <c r="N252" s="2" t="s">
        <v>19</v>
      </c>
      <c r="O252" s="2" t="s">
        <v>39</v>
      </c>
      <c r="P252" s="2" t="s">
        <v>16</v>
      </c>
      <c r="Q252" s="2" t="s">
        <v>32</v>
      </c>
      <c r="R252" s="2" t="s">
        <v>19</v>
      </c>
      <c r="S252" s="2" t="s">
        <v>16</v>
      </c>
      <c r="T252" s="2" t="s">
        <v>37</v>
      </c>
      <c r="U252" s="2" t="s">
        <v>23</v>
      </c>
      <c r="V252" s="2" t="s">
        <v>26</v>
      </c>
      <c r="W252" s="2" t="s">
        <v>16</v>
      </c>
      <c r="X252" s="2" t="s">
        <v>22</v>
      </c>
      <c r="Y252" s="2" t="s">
        <v>25</v>
      </c>
      <c r="Z252" s="2" t="s">
        <v>20</v>
      </c>
      <c r="AA252" s="2" t="s">
        <v>16</v>
      </c>
      <c r="AB252" s="2" t="s">
        <v>22</v>
      </c>
      <c r="AC252" s="2" t="s">
        <v>28</v>
      </c>
      <c r="AD252" s="2" t="s">
        <v>24</v>
      </c>
      <c r="AE252" s="2" t="s">
        <v>16</v>
      </c>
      <c r="AF252" s="2" t="s">
        <v>16</v>
      </c>
      <c r="AG252" s="2" t="s">
        <v>24</v>
      </c>
      <c r="AH252" s="2" t="s">
        <v>27</v>
      </c>
      <c r="AI252" s="2" t="s">
        <v>20</v>
      </c>
      <c r="AJ252" s="2" t="s">
        <v>22</v>
      </c>
      <c r="AK252" s="2" t="s">
        <v>23</v>
      </c>
      <c r="AL252" s="2" t="s">
        <v>21</v>
      </c>
    </row>
    <row r="253" ht="14.25" customHeight="1">
      <c r="A253" s="17">
        <v>45753.0</v>
      </c>
      <c r="B253" s="2" t="s">
        <v>31</v>
      </c>
      <c r="C253" s="2" t="s">
        <v>31</v>
      </c>
      <c r="D253" s="2" t="s">
        <v>31</v>
      </c>
      <c r="E253" s="2" t="s">
        <v>31</v>
      </c>
      <c r="F253" s="2" t="s">
        <v>31</v>
      </c>
      <c r="G253" s="2" t="s">
        <v>31</v>
      </c>
      <c r="H253" s="2" t="s">
        <v>31</v>
      </c>
      <c r="I253" s="2" t="s">
        <v>31</v>
      </c>
      <c r="J253" s="2" t="s">
        <v>31</v>
      </c>
      <c r="K253" s="2" t="s">
        <v>31</v>
      </c>
      <c r="L253" s="2" t="s">
        <v>31</v>
      </c>
      <c r="M253" s="2" t="s">
        <v>31</v>
      </c>
      <c r="N253" s="2" t="s">
        <v>31</v>
      </c>
      <c r="O253" s="2" t="s">
        <v>31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2" t="s">
        <v>22</v>
      </c>
      <c r="V253" s="2" t="s">
        <v>22</v>
      </c>
      <c r="W253" s="2" t="s">
        <v>26</v>
      </c>
      <c r="X253" s="2" t="s">
        <v>16</v>
      </c>
      <c r="Y253" s="2" t="s">
        <v>16</v>
      </c>
      <c r="Z253" s="2" t="s">
        <v>27</v>
      </c>
      <c r="AA253" s="2" t="s">
        <v>27</v>
      </c>
      <c r="AB253" s="2" t="s">
        <v>27</v>
      </c>
      <c r="AC253" s="2" t="s">
        <v>18</v>
      </c>
      <c r="AD253" s="2" t="s">
        <v>16</v>
      </c>
      <c r="AE253" s="2" t="s">
        <v>17</v>
      </c>
      <c r="AF253" s="2" t="s">
        <v>17</v>
      </c>
      <c r="AG253" s="2" t="s">
        <v>27</v>
      </c>
      <c r="AH253" s="2" t="s">
        <v>25</v>
      </c>
      <c r="AI253" s="2" t="s">
        <v>23</v>
      </c>
      <c r="AJ253" s="2" t="s">
        <v>21</v>
      </c>
      <c r="AK253" s="2" t="s">
        <v>22</v>
      </c>
      <c r="AL253" s="2" t="s">
        <v>25</v>
      </c>
    </row>
    <row r="254" ht="14.25" customHeight="1">
      <c r="A254" s="17">
        <v>45754.0</v>
      </c>
      <c r="B254" s="2" t="s">
        <v>31</v>
      </c>
      <c r="C254" s="2" t="s">
        <v>31</v>
      </c>
      <c r="D254" s="2" t="s">
        <v>31</v>
      </c>
      <c r="E254" s="2" t="s">
        <v>31</v>
      </c>
      <c r="F254" s="2" t="s">
        <v>31</v>
      </c>
      <c r="G254" s="2" t="s">
        <v>31</v>
      </c>
      <c r="H254" s="2" t="s">
        <v>31</v>
      </c>
      <c r="I254" s="2" t="s">
        <v>31</v>
      </c>
      <c r="J254" s="2" t="s">
        <v>31</v>
      </c>
      <c r="K254" s="2" t="s">
        <v>31</v>
      </c>
      <c r="L254" s="2" t="s">
        <v>31</v>
      </c>
      <c r="M254" s="2" t="s">
        <v>31</v>
      </c>
      <c r="N254" s="2" t="s">
        <v>31</v>
      </c>
      <c r="O254" s="2" t="s">
        <v>31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2" t="s">
        <v>19</v>
      </c>
      <c r="V254" s="2" t="s">
        <v>26</v>
      </c>
      <c r="W254" s="2" t="s">
        <v>16</v>
      </c>
      <c r="X254" s="2" t="s">
        <v>22</v>
      </c>
      <c r="Y254" s="2" t="s">
        <v>22</v>
      </c>
      <c r="Z254" s="2" t="s">
        <v>25</v>
      </c>
      <c r="AA254" s="2" t="s">
        <v>17</v>
      </c>
      <c r="AB254" s="2" t="s">
        <v>28</v>
      </c>
      <c r="AC254" s="2" t="s">
        <v>25</v>
      </c>
      <c r="AD254" s="2" t="s">
        <v>27</v>
      </c>
      <c r="AE254" s="2" t="s">
        <v>26</v>
      </c>
      <c r="AF254" s="2" t="s">
        <v>27</v>
      </c>
      <c r="AG254" s="2" t="s">
        <v>16</v>
      </c>
      <c r="AH254" s="2" t="s">
        <v>16</v>
      </c>
      <c r="AI254" s="2" t="s">
        <v>16</v>
      </c>
      <c r="AJ254" s="2" t="s">
        <v>16</v>
      </c>
      <c r="AK254" s="2" t="s">
        <v>24</v>
      </c>
      <c r="AL254" s="2" t="s">
        <v>17</v>
      </c>
    </row>
    <row r="255" ht="14.25" customHeight="1">
      <c r="A255" s="17">
        <v>45755.0</v>
      </c>
      <c r="B255" s="2" t="s">
        <v>31</v>
      </c>
      <c r="C255" s="2" t="s">
        <v>31</v>
      </c>
      <c r="D255" s="2" t="s">
        <v>31</v>
      </c>
      <c r="E255" s="2" t="s">
        <v>31</v>
      </c>
      <c r="F255" s="2" t="s">
        <v>31</v>
      </c>
      <c r="G255" s="2" t="s">
        <v>31</v>
      </c>
      <c r="H255" s="2" t="s">
        <v>31</v>
      </c>
      <c r="I255" s="2" t="s">
        <v>31</v>
      </c>
      <c r="J255" s="2" t="s">
        <v>31</v>
      </c>
      <c r="K255" s="2" t="s">
        <v>31</v>
      </c>
      <c r="L255" s="2" t="s">
        <v>31</v>
      </c>
      <c r="M255" s="2" t="s">
        <v>31</v>
      </c>
      <c r="N255" s="2" t="s">
        <v>31</v>
      </c>
      <c r="O255" s="2" t="s">
        <v>31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2" t="s">
        <v>16</v>
      </c>
      <c r="V255" s="2" t="s">
        <v>17</v>
      </c>
      <c r="W255" s="2" t="s">
        <v>24</v>
      </c>
      <c r="X255" s="2" t="s">
        <v>27</v>
      </c>
      <c r="Y255" s="2" t="s">
        <v>27</v>
      </c>
      <c r="Z255" s="2" t="s">
        <v>21</v>
      </c>
      <c r="AA255" s="2" t="s">
        <v>23</v>
      </c>
      <c r="AB255" s="2" t="s">
        <v>16</v>
      </c>
      <c r="AC255" s="2" t="s">
        <v>17</v>
      </c>
      <c r="AD255" s="2" t="s">
        <v>24</v>
      </c>
      <c r="AE255" s="2" t="s">
        <v>21</v>
      </c>
      <c r="AF255" s="2" t="s">
        <v>16</v>
      </c>
      <c r="AG255" s="2" t="s">
        <v>20</v>
      </c>
      <c r="AH255" s="2" t="s">
        <v>22</v>
      </c>
      <c r="AI255" s="2" t="s">
        <v>21</v>
      </c>
      <c r="AJ255" s="2" t="s">
        <v>21</v>
      </c>
      <c r="AK255" s="2" t="s">
        <v>27</v>
      </c>
      <c r="AL255" s="2" t="s">
        <v>27</v>
      </c>
    </row>
    <row r="256" ht="14.25" customHeight="1">
      <c r="A256" s="17">
        <v>45756.0</v>
      </c>
      <c r="B256" s="2" t="s">
        <v>31</v>
      </c>
      <c r="C256" s="2" t="s">
        <v>31</v>
      </c>
      <c r="D256" s="2" t="s">
        <v>31</v>
      </c>
      <c r="E256" s="2" t="s">
        <v>31</v>
      </c>
      <c r="F256" s="2" t="s">
        <v>31</v>
      </c>
      <c r="G256" s="2" t="s">
        <v>31</v>
      </c>
      <c r="H256" s="2" t="s">
        <v>31</v>
      </c>
      <c r="I256" s="2" t="s">
        <v>31</v>
      </c>
      <c r="J256" s="2" t="s">
        <v>31</v>
      </c>
      <c r="K256" s="2" t="s">
        <v>31</v>
      </c>
      <c r="L256" s="2" t="s">
        <v>31</v>
      </c>
      <c r="M256" s="2" t="s">
        <v>31</v>
      </c>
      <c r="N256" s="2" t="s">
        <v>31</v>
      </c>
      <c r="O256" s="2" t="s">
        <v>31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2" t="s">
        <v>25</v>
      </c>
      <c r="V256" s="2" t="s">
        <v>16</v>
      </c>
      <c r="W256" s="2" t="s">
        <v>25</v>
      </c>
      <c r="X256" s="2" t="s">
        <v>25</v>
      </c>
      <c r="Y256" s="2" t="s">
        <v>25</v>
      </c>
      <c r="Z256" s="2" t="s">
        <v>28</v>
      </c>
      <c r="AA256" s="2" t="s">
        <v>28</v>
      </c>
      <c r="AB256" s="2" t="s">
        <v>16</v>
      </c>
      <c r="AC256" s="2" t="s">
        <v>28</v>
      </c>
      <c r="AD256" s="2" t="s">
        <v>24</v>
      </c>
      <c r="AE256" s="2" t="s">
        <v>17</v>
      </c>
      <c r="AF256" s="2" t="s">
        <v>17</v>
      </c>
      <c r="AG256" s="2" t="s">
        <v>16</v>
      </c>
      <c r="AH256" s="2" t="s">
        <v>28</v>
      </c>
      <c r="AI256" s="2" t="s">
        <v>16</v>
      </c>
      <c r="AJ256" s="2" t="s">
        <v>18</v>
      </c>
      <c r="AK256" s="2" t="s">
        <v>16</v>
      </c>
      <c r="AL256" s="2" t="s">
        <v>25</v>
      </c>
    </row>
    <row r="257" ht="14.25" customHeight="1">
      <c r="A257" s="17">
        <v>45757.0</v>
      </c>
      <c r="B257" s="2" t="s">
        <v>31</v>
      </c>
      <c r="C257" s="2" t="s">
        <v>31</v>
      </c>
      <c r="D257" s="2" t="s">
        <v>31</v>
      </c>
      <c r="E257" s="2" t="s">
        <v>31</v>
      </c>
      <c r="F257" s="2" t="s">
        <v>31</v>
      </c>
      <c r="G257" s="2" t="s">
        <v>31</v>
      </c>
      <c r="H257" s="2" t="s">
        <v>31</v>
      </c>
      <c r="I257" s="2" t="s">
        <v>31</v>
      </c>
      <c r="J257" s="2" t="s">
        <v>31</v>
      </c>
      <c r="K257" s="2" t="s">
        <v>31</v>
      </c>
      <c r="L257" s="2" t="s">
        <v>31</v>
      </c>
      <c r="M257" s="2" t="s">
        <v>31</v>
      </c>
      <c r="N257" s="2" t="s">
        <v>31</v>
      </c>
      <c r="O257" s="2" t="s">
        <v>31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2" t="s">
        <v>28</v>
      </c>
      <c r="V257" s="2" t="s">
        <v>16</v>
      </c>
      <c r="W257" s="2" t="s">
        <v>16</v>
      </c>
      <c r="X257" s="2" t="s">
        <v>16</v>
      </c>
      <c r="Y257" s="2" t="s">
        <v>28</v>
      </c>
      <c r="Z257" s="2" t="s">
        <v>16</v>
      </c>
      <c r="AA257" s="2" t="s">
        <v>28</v>
      </c>
      <c r="AB257" s="2" t="s">
        <v>19</v>
      </c>
      <c r="AC257" s="2" t="s">
        <v>27</v>
      </c>
      <c r="AD257" s="2" t="s">
        <v>21</v>
      </c>
      <c r="AE257" s="2" t="s">
        <v>20</v>
      </c>
      <c r="AF257" s="2" t="s">
        <v>24</v>
      </c>
      <c r="AG257" s="2" t="s">
        <v>16</v>
      </c>
      <c r="AH257" s="2" t="s">
        <v>16</v>
      </c>
      <c r="AI257" s="2" t="s">
        <v>20</v>
      </c>
      <c r="AJ257" s="2" t="s">
        <v>19</v>
      </c>
      <c r="AK257" s="2" t="s">
        <v>24</v>
      </c>
      <c r="AL257" s="2" t="s">
        <v>25</v>
      </c>
    </row>
    <row r="258" ht="14.25" customHeight="1">
      <c r="A258" s="17">
        <v>45758.0</v>
      </c>
      <c r="B258" s="2" t="s">
        <v>31</v>
      </c>
      <c r="C258" s="2" t="s">
        <v>31</v>
      </c>
      <c r="D258" s="2" t="s">
        <v>31</v>
      </c>
      <c r="E258" s="2" t="s">
        <v>31</v>
      </c>
      <c r="F258" s="2" t="s">
        <v>31</v>
      </c>
      <c r="G258" s="2" t="s">
        <v>31</v>
      </c>
      <c r="H258" s="2" t="s">
        <v>31</v>
      </c>
      <c r="I258" s="2" t="s">
        <v>31</v>
      </c>
      <c r="J258" s="2" t="s">
        <v>31</v>
      </c>
      <c r="K258" s="2" t="s">
        <v>31</v>
      </c>
      <c r="L258" s="2" t="s">
        <v>31</v>
      </c>
      <c r="M258" s="2" t="s">
        <v>31</v>
      </c>
      <c r="N258" s="2" t="s">
        <v>31</v>
      </c>
      <c r="O258" s="2" t="s">
        <v>31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2" t="s">
        <v>18</v>
      </c>
      <c r="V258" s="2" t="s">
        <v>16</v>
      </c>
      <c r="W258" s="2" t="s">
        <v>17</v>
      </c>
      <c r="X258" s="2" t="s">
        <v>16</v>
      </c>
      <c r="Y258" s="2" t="s">
        <v>20</v>
      </c>
      <c r="Z258" s="2" t="s">
        <v>16</v>
      </c>
      <c r="AA258" s="2" t="s">
        <v>25</v>
      </c>
      <c r="AB258" s="2" t="s">
        <v>16</v>
      </c>
      <c r="AC258" s="2" t="s">
        <v>19</v>
      </c>
      <c r="AD258" s="2" t="s">
        <v>22</v>
      </c>
      <c r="AE258" s="2" t="s">
        <v>23</v>
      </c>
      <c r="AF258" s="2" t="s">
        <v>16</v>
      </c>
      <c r="AG258" s="2" t="s">
        <v>25</v>
      </c>
      <c r="AH258" s="2" t="s">
        <v>20</v>
      </c>
      <c r="AI258" s="2" t="s">
        <v>19</v>
      </c>
      <c r="AJ258" s="2" t="s">
        <v>17</v>
      </c>
      <c r="AK258" s="2" t="s">
        <v>25</v>
      </c>
      <c r="AL258" s="2" t="s">
        <v>19</v>
      </c>
    </row>
    <row r="259" ht="14.25" customHeight="1">
      <c r="A259" s="17">
        <v>45759.0</v>
      </c>
      <c r="B259" s="2" t="s">
        <v>22</v>
      </c>
      <c r="C259" s="2" t="s">
        <v>21</v>
      </c>
      <c r="D259" s="2" t="s">
        <v>39</v>
      </c>
      <c r="E259" s="2" t="s">
        <v>30</v>
      </c>
      <c r="F259" s="2" t="s">
        <v>28</v>
      </c>
      <c r="G259" s="2" t="s">
        <v>33</v>
      </c>
      <c r="H259" s="2" t="s">
        <v>29</v>
      </c>
      <c r="I259" s="2" t="s">
        <v>28</v>
      </c>
      <c r="J259" s="2" t="s">
        <v>33</v>
      </c>
      <c r="K259" s="2" t="s">
        <v>19</v>
      </c>
      <c r="L259" s="2" t="s">
        <v>43</v>
      </c>
      <c r="M259" s="2" t="s">
        <v>18</v>
      </c>
      <c r="N259" s="2" t="s">
        <v>41</v>
      </c>
      <c r="O259" s="2" t="s">
        <v>20</v>
      </c>
      <c r="P259" s="2" t="s">
        <v>32</v>
      </c>
      <c r="Q259" s="2" t="s">
        <v>29</v>
      </c>
      <c r="R259" s="2" t="s">
        <v>36</v>
      </c>
      <c r="S259" s="2" t="s">
        <v>18</v>
      </c>
      <c r="T259" s="2" t="s">
        <v>17</v>
      </c>
      <c r="U259" s="2" t="s">
        <v>24</v>
      </c>
      <c r="V259" s="2" t="s">
        <v>20</v>
      </c>
      <c r="W259" s="2" t="s">
        <v>16</v>
      </c>
      <c r="X259" s="2" t="s">
        <v>21</v>
      </c>
      <c r="Y259" s="2" t="s">
        <v>16</v>
      </c>
      <c r="Z259" s="2" t="s">
        <v>17</v>
      </c>
      <c r="AA259" s="2" t="s">
        <v>21</v>
      </c>
      <c r="AB259" s="2" t="s">
        <v>16</v>
      </c>
      <c r="AC259" s="2" t="s">
        <v>28</v>
      </c>
      <c r="AD259" s="2" t="s">
        <v>16</v>
      </c>
      <c r="AE259" s="2" t="s">
        <v>27</v>
      </c>
      <c r="AF259" s="2" t="s">
        <v>27</v>
      </c>
      <c r="AG259" s="2" t="s">
        <v>24</v>
      </c>
      <c r="AH259" s="2" t="s">
        <v>26</v>
      </c>
      <c r="AI259" s="2" t="s">
        <v>28</v>
      </c>
      <c r="AJ259" s="2" t="s">
        <v>16</v>
      </c>
      <c r="AK259" s="2" t="s">
        <v>23</v>
      </c>
      <c r="AL259" s="2" t="s">
        <v>23</v>
      </c>
    </row>
    <row r="260" ht="14.25" customHeight="1">
      <c r="A260" s="17">
        <v>45760.0</v>
      </c>
      <c r="B260" s="2" t="s">
        <v>31</v>
      </c>
      <c r="C260" s="2" t="s">
        <v>31</v>
      </c>
      <c r="D260" s="2" t="s">
        <v>31</v>
      </c>
      <c r="E260" s="2" t="s">
        <v>31</v>
      </c>
      <c r="F260" s="2" t="s">
        <v>31</v>
      </c>
      <c r="G260" s="2" t="s">
        <v>31</v>
      </c>
      <c r="H260" s="2" t="s">
        <v>31</v>
      </c>
      <c r="I260" s="2" t="s">
        <v>31</v>
      </c>
      <c r="J260" s="2" t="s">
        <v>31</v>
      </c>
      <c r="K260" s="2" t="s">
        <v>31</v>
      </c>
      <c r="L260" s="2" t="s">
        <v>31</v>
      </c>
      <c r="M260" s="2" t="s">
        <v>31</v>
      </c>
      <c r="N260" s="2" t="s">
        <v>31</v>
      </c>
      <c r="O260" s="2" t="s">
        <v>31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2" t="s">
        <v>16</v>
      </c>
      <c r="V260" s="2" t="s">
        <v>17</v>
      </c>
      <c r="W260" s="2" t="s">
        <v>25</v>
      </c>
      <c r="X260" s="2" t="s">
        <v>26</v>
      </c>
      <c r="Y260" s="2" t="s">
        <v>28</v>
      </c>
      <c r="Z260" s="2" t="s">
        <v>16</v>
      </c>
      <c r="AA260" s="2" t="s">
        <v>28</v>
      </c>
      <c r="AB260" s="2" t="s">
        <v>20</v>
      </c>
      <c r="AC260" s="2" t="s">
        <v>24</v>
      </c>
      <c r="AD260" s="2" t="s">
        <v>20</v>
      </c>
      <c r="AE260" s="2" t="s">
        <v>24</v>
      </c>
      <c r="AF260" s="2" t="s">
        <v>25</v>
      </c>
      <c r="AG260" s="2" t="s">
        <v>28</v>
      </c>
      <c r="AH260" s="2" t="s">
        <v>20</v>
      </c>
      <c r="AI260" s="2" t="s">
        <v>16</v>
      </c>
      <c r="AJ260" s="2" t="s">
        <v>28</v>
      </c>
      <c r="AK260" s="2" t="s">
        <v>26</v>
      </c>
      <c r="AL260" s="2" t="s">
        <v>17</v>
      </c>
    </row>
    <row r="261" ht="14.25" customHeight="1">
      <c r="A261" s="17">
        <v>45761.0</v>
      </c>
      <c r="B261" s="2" t="s">
        <v>31</v>
      </c>
      <c r="C261" s="2" t="s">
        <v>31</v>
      </c>
      <c r="D261" s="2" t="s">
        <v>31</v>
      </c>
      <c r="E261" s="2" t="s">
        <v>31</v>
      </c>
      <c r="F261" s="2" t="s">
        <v>31</v>
      </c>
      <c r="G261" s="2" t="s">
        <v>31</v>
      </c>
      <c r="H261" s="2" t="s">
        <v>31</v>
      </c>
      <c r="I261" s="2" t="s">
        <v>31</v>
      </c>
      <c r="J261" s="2" t="s">
        <v>31</v>
      </c>
      <c r="K261" s="2" t="s">
        <v>31</v>
      </c>
      <c r="L261" s="2" t="s">
        <v>31</v>
      </c>
      <c r="M261" s="2" t="s">
        <v>31</v>
      </c>
      <c r="N261" s="2" t="s">
        <v>31</v>
      </c>
      <c r="O261" s="2" t="s">
        <v>31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2" t="s">
        <v>28</v>
      </c>
      <c r="V261" s="2" t="s">
        <v>26</v>
      </c>
      <c r="W261" s="2" t="s">
        <v>26</v>
      </c>
      <c r="X261" s="2" t="s">
        <v>27</v>
      </c>
      <c r="Y261" s="2" t="s">
        <v>18</v>
      </c>
      <c r="Z261" s="2" t="s">
        <v>16</v>
      </c>
      <c r="AA261" s="2" t="s">
        <v>20</v>
      </c>
      <c r="AB261" s="2" t="s">
        <v>16</v>
      </c>
      <c r="AC261" s="2" t="s">
        <v>16</v>
      </c>
      <c r="AD261" s="2" t="s">
        <v>25</v>
      </c>
      <c r="AE261" s="2" t="s">
        <v>19</v>
      </c>
      <c r="AF261" s="2" t="s">
        <v>16</v>
      </c>
      <c r="AG261" s="2" t="s">
        <v>16</v>
      </c>
      <c r="AH261" s="2" t="s">
        <v>24</v>
      </c>
      <c r="AI261" s="2" t="s">
        <v>17</v>
      </c>
      <c r="AJ261" s="2" t="s">
        <v>22</v>
      </c>
      <c r="AK261" s="2" t="s">
        <v>16</v>
      </c>
      <c r="AL261" s="2" t="s">
        <v>22</v>
      </c>
    </row>
    <row r="262" ht="14.25" customHeight="1">
      <c r="A262" s="17">
        <v>45762.0</v>
      </c>
      <c r="B262" s="2" t="s">
        <v>31</v>
      </c>
      <c r="C262" s="2" t="s">
        <v>31</v>
      </c>
      <c r="D262" s="2" t="s">
        <v>31</v>
      </c>
      <c r="E262" s="2" t="s">
        <v>31</v>
      </c>
      <c r="F262" s="2" t="s">
        <v>31</v>
      </c>
      <c r="G262" s="2" t="s">
        <v>31</v>
      </c>
      <c r="H262" s="2" t="s">
        <v>31</v>
      </c>
      <c r="I262" s="2" t="s">
        <v>31</v>
      </c>
      <c r="J262" s="2" t="s">
        <v>31</v>
      </c>
      <c r="K262" s="2" t="s">
        <v>31</v>
      </c>
      <c r="L262" s="2" t="s">
        <v>31</v>
      </c>
      <c r="M262" s="2" t="s">
        <v>31</v>
      </c>
      <c r="N262" s="2" t="s">
        <v>31</v>
      </c>
      <c r="O262" s="2" t="s">
        <v>31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2" t="s">
        <v>27</v>
      </c>
      <c r="V262" s="2" t="s">
        <v>19</v>
      </c>
      <c r="W262" s="2" t="s">
        <v>23</v>
      </c>
      <c r="X262" s="2" t="s">
        <v>17</v>
      </c>
      <c r="Y262" s="2" t="s">
        <v>28</v>
      </c>
      <c r="Z262" s="2" t="s">
        <v>23</v>
      </c>
      <c r="AA262" s="2" t="s">
        <v>20</v>
      </c>
      <c r="AB262" s="2" t="s">
        <v>16</v>
      </c>
      <c r="AC262" s="2" t="s">
        <v>22</v>
      </c>
      <c r="AD262" s="2" t="s">
        <v>17</v>
      </c>
      <c r="AE262" s="2" t="s">
        <v>28</v>
      </c>
      <c r="AF262" s="2" t="s">
        <v>17</v>
      </c>
      <c r="AG262" s="2" t="s">
        <v>20</v>
      </c>
      <c r="AH262" s="2" t="s">
        <v>20</v>
      </c>
      <c r="AI262" s="2" t="s">
        <v>16</v>
      </c>
      <c r="AJ262" s="2" t="s">
        <v>24</v>
      </c>
      <c r="AK262" s="2" t="s">
        <v>22</v>
      </c>
      <c r="AL262" s="2" t="s">
        <v>25</v>
      </c>
    </row>
    <row r="263" ht="14.25" customHeight="1">
      <c r="A263" s="17">
        <v>45763.0</v>
      </c>
      <c r="B263" s="2" t="s">
        <v>31</v>
      </c>
      <c r="C263" s="2" t="s">
        <v>31</v>
      </c>
      <c r="D263" s="2" t="s">
        <v>31</v>
      </c>
      <c r="E263" s="2" t="s">
        <v>31</v>
      </c>
      <c r="F263" s="2" t="s">
        <v>31</v>
      </c>
      <c r="G263" s="2" t="s">
        <v>31</v>
      </c>
      <c r="H263" s="2" t="s">
        <v>31</v>
      </c>
      <c r="I263" s="2" t="s">
        <v>31</v>
      </c>
      <c r="J263" s="2" t="s">
        <v>31</v>
      </c>
      <c r="K263" s="2" t="s">
        <v>31</v>
      </c>
      <c r="L263" s="2" t="s">
        <v>31</v>
      </c>
      <c r="M263" s="2" t="s">
        <v>31</v>
      </c>
      <c r="N263" s="2" t="s">
        <v>31</v>
      </c>
      <c r="O263" s="2" t="s">
        <v>31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2" t="s">
        <v>22</v>
      </c>
      <c r="V263" s="2" t="s">
        <v>20</v>
      </c>
      <c r="W263" s="2" t="s">
        <v>22</v>
      </c>
      <c r="X263" s="2" t="s">
        <v>16</v>
      </c>
      <c r="Y263" s="2" t="s">
        <v>16</v>
      </c>
      <c r="Z263" s="2" t="s">
        <v>17</v>
      </c>
      <c r="AA263" s="2" t="s">
        <v>27</v>
      </c>
      <c r="AB263" s="2" t="s">
        <v>26</v>
      </c>
      <c r="AC263" s="2" t="s">
        <v>26</v>
      </c>
      <c r="AD263" s="2" t="s">
        <v>16</v>
      </c>
      <c r="AE263" s="2" t="s">
        <v>19</v>
      </c>
      <c r="AF263" s="2" t="s">
        <v>16</v>
      </c>
      <c r="AG263" s="2" t="s">
        <v>28</v>
      </c>
      <c r="AH263" s="2" t="s">
        <v>16</v>
      </c>
      <c r="AI263" s="2" t="s">
        <v>22</v>
      </c>
      <c r="AJ263" s="2" t="s">
        <v>18</v>
      </c>
      <c r="AK263" s="2" t="s">
        <v>16</v>
      </c>
      <c r="AL263" s="2" t="s">
        <v>26</v>
      </c>
    </row>
    <row r="264" ht="14.25" customHeight="1">
      <c r="A264" s="17">
        <v>45764.0</v>
      </c>
      <c r="B264" s="2" t="s">
        <v>31</v>
      </c>
      <c r="C264" s="2" t="s">
        <v>31</v>
      </c>
      <c r="D264" s="2" t="s">
        <v>31</v>
      </c>
      <c r="E264" s="2" t="s">
        <v>31</v>
      </c>
      <c r="F264" s="2" t="s">
        <v>31</v>
      </c>
      <c r="G264" s="2" t="s">
        <v>31</v>
      </c>
      <c r="H264" s="2" t="s">
        <v>31</v>
      </c>
      <c r="I264" s="2" t="s">
        <v>31</v>
      </c>
      <c r="J264" s="2" t="s">
        <v>31</v>
      </c>
      <c r="K264" s="2" t="s">
        <v>31</v>
      </c>
      <c r="L264" s="2" t="s">
        <v>31</v>
      </c>
      <c r="M264" s="2" t="s">
        <v>31</v>
      </c>
      <c r="N264" s="2" t="s">
        <v>31</v>
      </c>
      <c r="O264" s="2" t="s">
        <v>31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2" t="s">
        <v>20</v>
      </c>
      <c r="V264" s="2" t="s">
        <v>16</v>
      </c>
      <c r="W264" s="2" t="s">
        <v>17</v>
      </c>
      <c r="X264" s="2" t="s">
        <v>20</v>
      </c>
      <c r="Y264" s="2" t="s">
        <v>22</v>
      </c>
      <c r="Z264" s="2" t="s">
        <v>23</v>
      </c>
      <c r="AA264" s="2" t="s">
        <v>16</v>
      </c>
      <c r="AB264" s="2" t="s">
        <v>21</v>
      </c>
      <c r="AC264" s="2" t="s">
        <v>22</v>
      </c>
      <c r="AD264" s="2" t="s">
        <v>26</v>
      </c>
      <c r="AE264" s="2" t="s">
        <v>16</v>
      </c>
      <c r="AF264" s="2" t="s">
        <v>25</v>
      </c>
      <c r="AG264" s="2" t="s">
        <v>22</v>
      </c>
      <c r="AH264" s="2" t="s">
        <v>28</v>
      </c>
      <c r="AI264" s="2" t="s">
        <v>23</v>
      </c>
      <c r="AJ264" s="2" t="s">
        <v>18</v>
      </c>
      <c r="AK264" s="2" t="s">
        <v>16</v>
      </c>
      <c r="AL264" s="2" t="s">
        <v>16</v>
      </c>
    </row>
    <row r="265" ht="14.25" customHeight="1">
      <c r="A265" s="17">
        <v>45765.0</v>
      </c>
      <c r="B265" s="2" t="s">
        <v>31</v>
      </c>
      <c r="C265" s="2" t="s">
        <v>31</v>
      </c>
      <c r="D265" s="2" t="s">
        <v>31</v>
      </c>
      <c r="E265" s="2" t="s">
        <v>31</v>
      </c>
      <c r="F265" s="2" t="s">
        <v>31</v>
      </c>
      <c r="G265" s="2" t="s">
        <v>31</v>
      </c>
      <c r="H265" s="2" t="s">
        <v>31</v>
      </c>
      <c r="I265" s="2" t="s">
        <v>31</v>
      </c>
      <c r="J265" s="2" t="s">
        <v>31</v>
      </c>
      <c r="K265" s="2" t="s">
        <v>31</v>
      </c>
      <c r="L265" s="2" t="s">
        <v>31</v>
      </c>
      <c r="M265" s="2" t="s">
        <v>31</v>
      </c>
      <c r="N265" s="2" t="s">
        <v>31</v>
      </c>
      <c r="O265" s="2" t="s">
        <v>31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2" t="s">
        <v>26</v>
      </c>
      <c r="V265" s="2" t="s">
        <v>18</v>
      </c>
      <c r="W265" s="2" t="s">
        <v>16</v>
      </c>
      <c r="X265" s="2" t="s">
        <v>19</v>
      </c>
      <c r="Y265" s="2" t="s">
        <v>20</v>
      </c>
      <c r="Z265" s="2" t="s">
        <v>16</v>
      </c>
      <c r="AA265" s="2" t="s">
        <v>23</v>
      </c>
      <c r="AB265" s="2" t="s">
        <v>16</v>
      </c>
      <c r="AC265" s="2" t="s">
        <v>16</v>
      </c>
      <c r="AD265" s="2" t="s">
        <v>18</v>
      </c>
      <c r="AE265" s="2" t="s">
        <v>23</v>
      </c>
      <c r="AF265" s="2" t="s">
        <v>19</v>
      </c>
      <c r="AG265" s="2" t="s">
        <v>16</v>
      </c>
      <c r="AH265" s="2" t="s">
        <v>28</v>
      </c>
      <c r="AI265" s="2" t="s">
        <v>20</v>
      </c>
      <c r="AJ265" s="2" t="s">
        <v>28</v>
      </c>
      <c r="AK265" s="2" t="s">
        <v>26</v>
      </c>
      <c r="AL265" s="2" t="s">
        <v>17</v>
      </c>
    </row>
    <row r="266" ht="14.25" customHeight="1">
      <c r="A266" s="17">
        <v>45766.0</v>
      </c>
      <c r="B266" s="2" t="s">
        <v>39</v>
      </c>
      <c r="C266" s="2" t="s">
        <v>42</v>
      </c>
      <c r="D266" s="2" t="s">
        <v>36</v>
      </c>
      <c r="E266" s="2" t="s">
        <v>25</v>
      </c>
      <c r="F266" s="2" t="s">
        <v>17</v>
      </c>
      <c r="G266" s="2" t="s">
        <v>17</v>
      </c>
      <c r="H266" s="2" t="s">
        <v>21</v>
      </c>
      <c r="I266" s="2" t="s">
        <v>33</v>
      </c>
      <c r="J266" s="2" t="s">
        <v>16</v>
      </c>
      <c r="K266" s="2" t="s">
        <v>33</v>
      </c>
      <c r="L266" s="2" t="s">
        <v>37</v>
      </c>
      <c r="M266" s="2" t="s">
        <v>40</v>
      </c>
      <c r="N266" s="2" t="s">
        <v>43</v>
      </c>
      <c r="O266" s="2" t="s">
        <v>30</v>
      </c>
      <c r="P266" s="2" t="s">
        <v>27</v>
      </c>
      <c r="Q266" s="2" t="s">
        <v>39</v>
      </c>
      <c r="R266" s="2" t="s">
        <v>20</v>
      </c>
      <c r="S266" s="2" t="s">
        <v>28</v>
      </c>
      <c r="T266" s="2" t="s">
        <v>33</v>
      </c>
      <c r="U266" s="2" t="s">
        <v>24</v>
      </c>
      <c r="V266" s="2" t="s">
        <v>16</v>
      </c>
      <c r="W266" s="2" t="s">
        <v>16</v>
      </c>
      <c r="X266" s="2" t="s">
        <v>16</v>
      </c>
      <c r="Y266" s="2" t="s">
        <v>16</v>
      </c>
      <c r="Z266" s="2" t="s">
        <v>27</v>
      </c>
      <c r="AA266" s="2" t="s">
        <v>19</v>
      </c>
      <c r="AB266" s="2" t="s">
        <v>27</v>
      </c>
      <c r="AC266" s="2" t="s">
        <v>16</v>
      </c>
      <c r="AD266" s="2" t="s">
        <v>27</v>
      </c>
      <c r="AE266" s="2" t="s">
        <v>16</v>
      </c>
      <c r="AF266" s="2" t="s">
        <v>16</v>
      </c>
      <c r="AG266" s="2" t="s">
        <v>27</v>
      </c>
      <c r="AH266" s="2" t="s">
        <v>16</v>
      </c>
      <c r="AI266" s="2" t="s">
        <v>16</v>
      </c>
      <c r="AJ266" s="2" t="s">
        <v>24</v>
      </c>
      <c r="AK266" s="2" t="s">
        <v>26</v>
      </c>
      <c r="AL266" s="2" t="s">
        <v>22</v>
      </c>
    </row>
    <row r="267" ht="14.25" customHeight="1">
      <c r="A267" s="17">
        <v>45767.0</v>
      </c>
      <c r="B267" s="2" t="s">
        <v>31</v>
      </c>
      <c r="C267" s="2" t="s">
        <v>31</v>
      </c>
      <c r="D267" s="2" t="s">
        <v>31</v>
      </c>
      <c r="E267" s="2" t="s">
        <v>31</v>
      </c>
      <c r="F267" s="2" t="s">
        <v>31</v>
      </c>
      <c r="G267" s="2" t="s">
        <v>31</v>
      </c>
      <c r="H267" s="2" t="s">
        <v>31</v>
      </c>
      <c r="I267" s="2" t="s">
        <v>31</v>
      </c>
      <c r="J267" s="2" t="s">
        <v>31</v>
      </c>
      <c r="K267" s="2" t="s">
        <v>31</v>
      </c>
      <c r="L267" s="2" t="s">
        <v>31</v>
      </c>
      <c r="M267" s="2" t="s">
        <v>31</v>
      </c>
      <c r="N267" s="2" t="s">
        <v>31</v>
      </c>
      <c r="O267" s="2" t="s">
        <v>31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2" t="s">
        <v>27</v>
      </c>
      <c r="V267" s="2" t="s">
        <v>16</v>
      </c>
      <c r="W267" s="2" t="s">
        <v>19</v>
      </c>
      <c r="X267" s="2" t="s">
        <v>20</v>
      </c>
      <c r="Y267" s="2" t="s">
        <v>19</v>
      </c>
      <c r="Z267" s="2" t="s">
        <v>22</v>
      </c>
      <c r="AA267" s="2" t="s">
        <v>19</v>
      </c>
      <c r="AB267" s="2" t="s">
        <v>16</v>
      </c>
      <c r="AC267" s="2" t="s">
        <v>20</v>
      </c>
      <c r="AD267" s="2" t="s">
        <v>26</v>
      </c>
      <c r="AE267" s="2" t="s">
        <v>22</v>
      </c>
      <c r="AF267" s="2" t="s">
        <v>17</v>
      </c>
      <c r="AG267" s="2" t="s">
        <v>24</v>
      </c>
      <c r="AH267" s="2" t="s">
        <v>25</v>
      </c>
      <c r="AI267" s="2" t="s">
        <v>20</v>
      </c>
      <c r="AJ267" s="2" t="s">
        <v>26</v>
      </c>
      <c r="AK267" s="2" t="s">
        <v>16</v>
      </c>
      <c r="AL267" s="2" t="s">
        <v>16</v>
      </c>
    </row>
    <row r="268" ht="14.25" customHeight="1">
      <c r="A268" s="17">
        <v>45768.0</v>
      </c>
      <c r="B268" s="2" t="s">
        <v>31</v>
      </c>
      <c r="C268" s="2" t="s">
        <v>31</v>
      </c>
      <c r="D268" s="2" t="s">
        <v>31</v>
      </c>
      <c r="E268" s="2" t="s">
        <v>31</v>
      </c>
      <c r="F268" s="2" t="s">
        <v>31</v>
      </c>
      <c r="G268" s="2" t="s">
        <v>31</v>
      </c>
      <c r="H268" s="2" t="s">
        <v>31</v>
      </c>
      <c r="I268" s="2" t="s">
        <v>31</v>
      </c>
      <c r="J268" s="2" t="s">
        <v>31</v>
      </c>
      <c r="K268" s="2" t="s">
        <v>31</v>
      </c>
      <c r="L268" s="2" t="s">
        <v>31</v>
      </c>
      <c r="M268" s="2" t="s">
        <v>31</v>
      </c>
      <c r="N268" s="2" t="s">
        <v>31</v>
      </c>
      <c r="O268" s="2" t="s">
        <v>31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2" t="s">
        <v>16</v>
      </c>
      <c r="V268" s="2" t="s">
        <v>16</v>
      </c>
      <c r="W268" s="2" t="s">
        <v>25</v>
      </c>
      <c r="X268" s="2" t="s">
        <v>22</v>
      </c>
      <c r="Y268" s="2" t="s">
        <v>22</v>
      </c>
      <c r="Z268" s="2" t="s">
        <v>16</v>
      </c>
      <c r="AA268" s="2" t="s">
        <v>16</v>
      </c>
      <c r="AB268" s="2" t="s">
        <v>16</v>
      </c>
      <c r="AC268" s="2" t="s">
        <v>16</v>
      </c>
      <c r="AD268" s="2" t="s">
        <v>18</v>
      </c>
      <c r="AE268" s="2" t="s">
        <v>17</v>
      </c>
      <c r="AF268" s="2" t="s">
        <v>18</v>
      </c>
      <c r="AG268" s="2" t="s">
        <v>25</v>
      </c>
      <c r="AH268" s="2" t="s">
        <v>16</v>
      </c>
      <c r="AI268" s="2" t="s">
        <v>26</v>
      </c>
      <c r="AJ268" s="2" t="s">
        <v>28</v>
      </c>
      <c r="AK268" s="2" t="s">
        <v>21</v>
      </c>
      <c r="AL268" s="2" t="s">
        <v>21</v>
      </c>
    </row>
    <row r="269" ht="14.25" customHeight="1">
      <c r="A269" s="17">
        <v>45769.0</v>
      </c>
      <c r="B269" s="2" t="s">
        <v>31</v>
      </c>
      <c r="C269" s="2" t="s">
        <v>31</v>
      </c>
      <c r="D269" s="2" t="s">
        <v>31</v>
      </c>
      <c r="E269" s="2" t="s">
        <v>31</v>
      </c>
      <c r="F269" s="2" t="s">
        <v>31</v>
      </c>
      <c r="G269" s="2" t="s">
        <v>31</v>
      </c>
      <c r="H269" s="2" t="s">
        <v>31</v>
      </c>
      <c r="I269" s="2" t="s">
        <v>31</v>
      </c>
      <c r="J269" s="2" t="s">
        <v>31</v>
      </c>
      <c r="K269" s="2" t="s">
        <v>31</v>
      </c>
      <c r="L269" s="2" t="s">
        <v>31</v>
      </c>
      <c r="M269" s="2" t="s">
        <v>31</v>
      </c>
      <c r="N269" s="2" t="s">
        <v>31</v>
      </c>
      <c r="O269" s="2" t="s">
        <v>31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2" t="s">
        <v>27</v>
      </c>
      <c r="V269" s="2" t="s">
        <v>20</v>
      </c>
      <c r="W269" s="2" t="s">
        <v>27</v>
      </c>
      <c r="X269" s="2" t="s">
        <v>25</v>
      </c>
      <c r="Y269" s="2" t="s">
        <v>19</v>
      </c>
      <c r="Z269" s="2" t="s">
        <v>19</v>
      </c>
      <c r="AA269" s="2" t="s">
        <v>25</v>
      </c>
      <c r="AB269" s="2" t="s">
        <v>16</v>
      </c>
      <c r="AC269" s="2" t="s">
        <v>16</v>
      </c>
      <c r="AD269" s="2" t="s">
        <v>27</v>
      </c>
      <c r="AE269" s="2" t="s">
        <v>16</v>
      </c>
      <c r="AF269" s="2" t="s">
        <v>16</v>
      </c>
      <c r="AG269" s="2" t="s">
        <v>19</v>
      </c>
      <c r="AH269" s="2" t="s">
        <v>26</v>
      </c>
      <c r="AI269" s="2" t="s">
        <v>16</v>
      </c>
      <c r="AJ269" s="2" t="s">
        <v>20</v>
      </c>
      <c r="AK269" s="2" t="s">
        <v>16</v>
      </c>
      <c r="AL269" s="2" t="s">
        <v>16</v>
      </c>
    </row>
    <row r="270" ht="14.25" customHeight="1">
      <c r="A270" s="17">
        <v>45770.0</v>
      </c>
      <c r="B270" s="2" t="s">
        <v>31</v>
      </c>
      <c r="C270" s="2" t="s">
        <v>31</v>
      </c>
      <c r="D270" s="2" t="s">
        <v>31</v>
      </c>
      <c r="E270" s="2" t="s">
        <v>31</v>
      </c>
      <c r="F270" s="2" t="s">
        <v>31</v>
      </c>
      <c r="G270" s="2" t="s">
        <v>31</v>
      </c>
      <c r="H270" s="2" t="s">
        <v>31</v>
      </c>
      <c r="I270" s="2" t="s">
        <v>31</v>
      </c>
      <c r="J270" s="2" t="s">
        <v>31</v>
      </c>
      <c r="K270" s="2" t="s">
        <v>31</v>
      </c>
      <c r="L270" s="2" t="s">
        <v>31</v>
      </c>
      <c r="M270" s="2" t="s">
        <v>31</v>
      </c>
      <c r="N270" s="2" t="s">
        <v>31</v>
      </c>
      <c r="O270" s="2" t="s">
        <v>31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2" t="s">
        <v>23</v>
      </c>
      <c r="V270" s="2" t="s">
        <v>22</v>
      </c>
      <c r="W270" s="2" t="s">
        <v>16</v>
      </c>
      <c r="X270" s="2" t="s">
        <v>24</v>
      </c>
      <c r="Y270" s="2" t="s">
        <v>16</v>
      </c>
      <c r="Z270" s="2" t="s">
        <v>18</v>
      </c>
      <c r="AA270" s="2" t="s">
        <v>16</v>
      </c>
      <c r="AB270" s="2" t="s">
        <v>24</v>
      </c>
      <c r="AC270" s="2" t="s">
        <v>28</v>
      </c>
      <c r="AD270" s="2" t="s">
        <v>22</v>
      </c>
      <c r="AE270" s="2" t="s">
        <v>19</v>
      </c>
      <c r="AF270" s="2" t="s">
        <v>16</v>
      </c>
      <c r="AG270" s="2" t="s">
        <v>26</v>
      </c>
      <c r="AH270" s="2" t="s">
        <v>24</v>
      </c>
      <c r="AI270" s="2" t="s">
        <v>26</v>
      </c>
      <c r="AJ270" s="2" t="s">
        <v>25</v>
      </c>
      <c r="AK270" s="2" t="s">
        <v>28</v>
      </c>
      <c r="AL270" s="2" t="s">
        <v>24</v>
      </c>
    </row>
    <row r="271" ht="14.25" customHeight="1">
      <c r="A271" s="17">
        <v>45771.0</v>
      </c>
      <c r="B271" s="2" t="s">
        <v>31</v>
      </c>
      <c r="C271" s="2" t="s">
        <v>31</v>
      </c>
      <c r="D271" s="2" t="s">
        <v>31</v>
      </c>
      <c r="E271" s="2" t="s">
        <v>31</v>
      </c>
      <c r="F271" s="2" t="s">
        <v>31</v>
      </c>
      <c r="G271" s="2" t="s">
        <v>31</v>
      </c>
      <c r="H271" s="2" t="s">
        <v>31</v>
      </c>
      <c r="I271" s="2" t="s">
        <v>31</v>
      </c>
      <c r="J271" s="2" t="s">
        <v>31</v>
      </c>
      <c r="K271" s="2" t="s">
        <v>31</v>
      </c>
      <c r="L271" s="2" t="s">
        <v>31</v>
      </c>
      <c r="M271" s="2" t="s">
        <v>31</v>
      </c>
      <c r="N271" s="2" t="s">
        <v>31</v>
      </c>
      <c r="O271" s="2" t="s">
        <v>31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2" t="s">
        <v>16</v>
      </c>
      <c r="V271" s="2" t="s">
        <v>27</v>
      </c>
      <c r="W271" s="2" t="s">
        <v>21</v>
      </c>
      <c r="X271" s="2" t="s">
        <v>25</v>
      </c>
      <c r="Y271" s="2" t="s">
        <v>20</v>
      </c>
      <c r="Z271" s="2" t="s">
        <v>26</v>
      </c>
      <c r="AA271" s="2" t="s">
        <v>25</v>
      </c>
      <c r="AB271" s="2" t="s">
        <v>19</v>
      </c>
      <c r="AC271" s="2" t="s">
        <v>21</v>
      </c>
      <c r="AD271" s="2" t="s">
        <v>21</v>
      </c>
      <c r="AE271" s="2" t="s">
        <v>27</v>
      </c>
      <c r="AF271" s="2" t="s">
        <v>21</v>
      </c>
      <c r="AG271" s="2" t="s">
        <v>17</v>
      </c>
      <c r="AH271" s="2" t="s">
        <v>19</v>
      </c>
      <c r="AI271" s="2" t="s">
        <v>20</v>
      </c>
      <c r="AJ271" s="2" t="s">
        <v>17</v>
      </c>
      <c r="AK271" s="2" t="s">
        <v>24</v>
      </c>
      <c r="AL271" s="2" t="s">
        <v>26</v>
      </c>
    </row>
    <row r="272" ht="14.25" customHeight="1">
      <c r="A272" s="17">
        <v>45772.0</v>
      </c>
      <c r="B272" s="2" t="s">
        <v>31</v>
      </c>
      <c r="C272" s="2" t="s">
        <v>31</v>
      </c>
      <c r="D272" s="2" t="s">
        <v>31</v>
      </c>
      <c r="E272" s="2" t="s">
        <v>31</v>
      </c>
      <c r="F272" s="2" t="s">
        <v>31</v>
      </c>
      <c r="G272" s="2" t="s">
        <v>31</v>
      </c>
      <c r="H272" s="2" t="s">
        <v>31</v>
      </c>
      <c r="I272" s="2" t="s">
        <v>31</v>
      </c>
      <c r="J272" s="2" t="s">
        <v>31</v>
      </c>
      <c r="K272" s="2" t="s">
        <v>31</v>
      </c>
      <c r="L272" s="2" t="s">
        <v>31</v>
      </c>
      <c r="M272" s="2" t="s">
        <v>31</v>
      </c>
      <c r="N272" s="2" t="s">
        <v>31</v>
      </c>
      <c r="O272" s="2" t="s">
        <v>31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2" t="s">
        <v>21</v>
      </c>
      <c r="V272" s="2" t="s">
        <v>27</v>
      </c>
      <c r="W272" s="2" t="s">
        <v>22</v>
      </c>
      <c r="X272" s="2" t="s">
        <v>16</v>
      </c>
      <c r="Y272" s="2" t="s">
        <v>16</v>
      </c>
      <c r="Z272" s="2" t="s">
        <v>20</v>
      </c>
      <c r="AA272" s="2" t="s">
        <v>16</v>
      </c>
      <c r="AB272" s="2" t="s">
        <v>26</v>
      </c>
      <c r="AC272" s="2" t="s">
        <v>23</v>
      </c>
      <c r="AD272" s="2" t="s">
        <v>18</v>
      </c>
      <c r="AE272" s="2" t="s">
        <v>20</v>
      </c>
      <c r="AF272" s="2" t="s">
        <v>21</v>
      </c>
      <c r="AG272" s="2" t="s">
        <v>16</v>
      </c>
      <c r="AH272" s="2" t="s">
        <v>17</v>
      </c>
      <c r="AI272" s="2" t="s">
        <v>17</v>
      </c>
      <c r="AJ272" s="2" t="s">
        <v>19</v>
      </c>
      <c r="AK272" s="2" t="s">
        <v>19</v>
      </c>
      <c r="AL272" s="2" t="s">
        <v>27</v>
      </c>
    </row>
    <row r="273" ht="14.25" customHeight="1">
      <c r="A273" s="17">
        <v>45773.0</v>
      </c>
      <c r="B273" s="2" t="s">
        <v>26</v>
      </c>
      <c r="C273" s="2" t="s">
        <v>41</v>
      </c>
      <c r="D273" s="2" t="s">
        <v>35</v>
      </c>
      <c r="E273" s="2" t="s">
        <v>24</v>
      </c>
      <c r="F273" s="2" t="s">
        <v>35</v>
      </c>
      <c r="G273" s="2" t="s">
        <v>21</v>
      </c>
      <c r="H273" s="2" t="s">
        <v>16</v>
      </c>
      <c r="I273" s="2" t="s">
        <v>16</v>
      </c>
      <c r="J273" s="2" t="s">
        <v>34</v>
      </c>
      <c r="K273" s="2" t="s">
        <v>32</v>
      </c>
      <c r="L273" s="2" t="s">
        <v>30</v>
      </c>
      <c r="M273" s="2" t="s">
        <v>19</v>
      </c>
      <c r="N273" s="2" t="s">
        <v>24</v>
      </c>
      <c r="O273" s="2" t="s">
        <v>16</v>
      </c>
      <c r="P273" s="2" t="s">
        <v>43</v>
      </c>
      <c r="Q273" s="2" t="s">
        <v>24</v>
      </c>
      <c r="R273" s="2" t="s">
        <v>21</v>
      </c>
      <c r="S273" s="2" t="s">
        <v>43</v>
      </c>
      <c r="T273" s="2" t="s">
        <v>39</v>
      </c>
      <c r="U273" s="2" t="s">
        <v>28</v>
      </c>
      <c r="V273" s="2" t="s">
        <v>21</v>
      </c>
      <c r="W273" s="2" t="s">
        <v>24</v>
      </c>
      <c r="X273" s="2" t="s">
        <v>24</v>
      </c>
      <c r="Y273" s="2" t="s">
        <v>17</v>
      </c>
      <c r="Z273" s="2" t="s">
        <v>16</v>
      </c>
      <c r="AA273" s="2" t="s">
        <v>26</v>
      </c>
      <c r="AB273" s="2" t="s">
        <v>24</v>
      </c>
      <c r="AC273" s="2" t="s">
        <v>26</v>
      </c>
      <c r="AD273" s="2" t="s">
        <v>21</v>
      </c>
      <c r="AE273" s="2" t="s">
        <v>21</v>
      </c>
      <c r="AF273" s="2" t="s">
        <v>25</v>
      </c>
      <c r="AG273" s="2" t="s">
        <v>24</v>
      </c>
      <c r="AH273" s="2" t="s">
        <v>21</v>
      </c>
      <c r="AI273" s="2" t="s">
        <v>16</v>
      </c>
      <c r="AJ273" s="2" t="s">
        <v>22</v>
      </c>
      <c r="AK273" s="2" t="s">
        <v>21</v>
      </c>
      <c r="AL273" s="2" t="s">
        <v>16</v>
      </c>
    </row>
    <row r="274" ht="14.25" customHeight="1">
      <c r="A274" s="17">
        <v>45774.0</v>
      </c>
      <c r="B274" s="2" t="s">
        <v>31</v>
      </c>
      <c r="C274" s="2" t="s">
        <v>31</v>
      </c>
      <c r="D274" s="2" t="s">
        <v>31</v>
      </c>
      <c r="E274" s="2" t="s">
        <v>31</v>
      </c>
      <c r="F274" s="2" t="s">
        <v>31</v>
      </c>
      <c r="G274" s="2" t="s">
        <v>31</v>
      </c>
      <c r="H274" s="2" t="s">
        <v>31</v>
      </c>
      <c r="I274" s="2" t="s">
        <v>31</v>
      </c>
      <c r="J274" s="2" t="s">
        <v>31</v>
      </c>
      <c r="K274" s="2" t="s">
        <v>31</v>
      </c>
      <c r="L274" s="2" t="s">
        <v>31</v>
      </c>
      <c r="M274" s="2" t="s">
        <v>31</v>
      </c>
      <c r="N274" s="2" t="s">
        <v>31</v>
      </c>
      <c r="O274" s="2" t="s">
        <v>31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2" t="s">
        <v>27</v>
      </c>
      <c r="V274" s="2" t="s">
        <v>16</v>
      </c>
      <c r="W274" s="2" t="s">
        <v>25</v>
      </c>
      <c r="X274" s="2" t="s">
        <v>28</v>
      </c>
      <c r="Y274" s="2" t="s">
        <v>24</v>
      </c>
      <c r="Z274" s="2" t="s">
        <v>16</v>
      </c>
      <c r="AA274" s="2" t="s">
        <v>25</v>
      </c>
      <c r="AB274" s="2" t="s">
        <v>23</v>
      </c>
      <c r="AC274" s="2" t="s">
        <v>16</v>
      </c>
      <c r="AD274" s="2" t="s">
        <v>16</v>
      </c>
      <c r="AE274" s="2" t="s">
        <v>26</v>
      </c>
      <c r="AF274" s="2" t="s">
        <v>26</v>
      </c>
      <c r="AG274" s="2" t="s">
        <v>28</v>
      </c>
      <c r="AH274" s="2" t="s">
        <v>19</v>
      </c>
      <c r="AI274" s="2" t="s">
        <v>27</v>
      </c>
      <c r="AJ274" s="2" t="s">
        <v>25</v>
      </c>
      <c r="AK274" s="2" t="s">
        <v>26</v>
      </c>
      <c r="AL274" s="2" t="s">
        <v>21</v>
      </c>
    </row>
    <row r="275" ht="14.25" customHeight="1">
      <c r="A275" s="17">
        <v>45775.0</v>
      </c>
      <c r="B275" s="2" t="s">
        <v>31</v>
      </c>
      <c r="C275" s="2" t="s">
        <v>31</v>
      </c>
      <c r="D275" s="2" t="s">
        <v>31</v>
      </c>
      <c r="E275" s="2" t="s">
        <v>31</v>
      </c>
      <c r="F275" s="2" t="s">
        <v>31</v>
      </c>
      <c r="G275" s="2" t="s">
        <v>31</v>
      </c>
      <c r="H275" s="2" t="s">
        <v>31</v>
      </c>
      <c r="I275" s="2" t="s">
        <v>31</v>
      </c>
      <c r="J275" s="2" t="s">
        <v>31</v>
      </c>
      <c r="K275" s="2" t="s">
        <v>31</v>
      </c>
      <c r="L275" s="2" t="s">
        <v>31</v>
      </c>
      <c r="M275" s="2" t="s">
        <v>31</v>
      </c>
      <c r="N275" s="2" t="s">
        <v>31</v>
      </c>
      <c r="O275" s="2" t="s">
        <v>31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2" t="s">
        <v>16</v>
      </c>
      <c r="V275" s="2" t="s">
        <v>21</v>
      </c>
      <c r="W275" s="2" t="s">
        <v>16</v>
      </c>
      <c r="X275" s="2" t="s">
        <v>19</v>
      </c>
      <c r="Y275" s="2" t="s">
        <v>23</v>
      </c>
      <c r="Z275" s="2" t="s">
        <v>26</v>
      </c>
      <c r="AA275" s="2" t="s">
        <v>21</v>
      </c>
      <c r="AB275" s="2" t="s">
        <v>16</v>
      </c>
      <c r="AC275" s="2" t="s">
        <v>20</v>
      </c>
      <c r="AD275" s="2" t="s">
        <v>26</v>
      </c>
      <c r="AE275" s="2" t="s">
        <v>16</v>
      </c>
      <c r="AF275" s="2" t="s">
        <v>22</v>
      </c>
      <c r="AG275" s="2" t="s">
        <v>21</v>
      </c>
      <c r="AH275" s="2" t="s">
        <v>16</v>
      </c>
      <c r="AI275" s="2" t="s">
        <v>24</v>
      </c>
      <c r="AJ275" s="2" t="s">
        <v>16</v>
      </c>
      <c r="AK275" s="2" t="s">
        <v>19</v>
      </c>
      <c r="AL275" s="2" t="s">
        <v>24</v>
      </c>
    </row>
    <row r="276" ht="14.25" customHeight="1">
      <c r="A276" s="17">
        <v>45776.0</v>
      </c>
      <c r="B276" s="2" t="s">
        <v>31</v>
      </c>
      <c r="C276" s="2" t="s">
        <v>31</v>
      </c>
      <c r="D276" s="2" t="s">
        <v>31</v>
      </c>
      <c r="E276" s="2" t="s">
        <v>31</v>
      </c>
      <c r="F276" s="2" t="s">
        <v>31</v>
      </c>
      <c r="G276" s="2" t="s">
        <v>31</v>
      </c>
      <c r="H276" s="2" t="s">
        <v>31</v>
      </c>
      <c r="I276" s="2" t="s">
        <v>31</v>
      </c>
      <c r="J276" s="2" t="s">
        <v>31</v>
      </c>
      <c r="K276" s="2" t="s">
        <v>31</v>
      </c>
      <c r="L276" s="2" t="s">
        <v>31</v>
      </c>
      <c r="M276" s="2" t="s">
        <v>31</v>
      </c>
      <c r="N276" s="2" t="s">
        <v>31</v>
      </c>
      <c r="O276" s="2" t="s">
        <v>31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2" t="s">
        <v>20</v>
      </c>
      <c r="V276" s="2" t="s">
        <v>23</v>
      </c>
      <c r="W276" s="2" t="s">
        <v>19</v>
      </c>
      <c r="X276" s="2" t="s">
        <v>16</v>
      </c>
      <c r="Y276" s="2" t="s">
        <v>24</v>
      </c>
      <c r="Z276" s="2" t="s">
        <v>25</v>
      </c>
      <c r="AA276" s="2" t="s">
        <v>16</v>
      </c>
      <c r="AB276" s="2" t="s">
        <v>17</v>
      </c>
      <c r="AC276" s="2" t="s">
        <v>16</v>
      </c>
      <c r="AD276" s="2" t="s">
        <v>26</v>
      </c>
      <c r="AE276" s="2" t="s">
        <v>21</v>
      </c>
      <c r="AF276" s="2" t="s">
        <v>16</v>
      </c>
      <c r="AG276" s="2" t="s">
        <v>20</v>
      </c>
      <c r="AH276" s="2" t="s">
        <v>22</v>
      </c>
      <c r="AI276" s="2" t="s">
        <v>16</v>
      </c>
      <c r="AJ276" s="2" t="s">
        <v>23</v>
      </c>
      <c r="AK276" s="2" t="s">
        <v>23</v>
      </c>
      <c r="AL276" s="2" t="s">
        <v>16</v>
      </c>
    </row>
    <row r="277" ht="14.25" customHeight="1">
      <c r="A277" s="17">
        <v>45777.0</v>
      </c>
      <c r="B277" s="2" t="s">
        <v>31</v>
      </c>
      <c r="C277" s="2" t="s">
        <v>31</v>
      </c>
      <c r="D277" s="2" t="s">
        <v>31</v>
      </c>
      <c r="E277" s="2" t="s">
        <v>31</v>
      </c>
      <c r="F277" s="2" t="s">
        <v>31</v>
      </c>
      <c r="G277" s="2" t="s">
        <v>31</v>
      </c>
      <c r="H277" s="2" t="s">
        <v>31</v>
      </c>
      <c r="I277" s="2" t="s">
        <v>31</v>
      </c>
      <c r="J277" s="2" t="s">
        <v>31</v>
      </c>
      <c r="K277" s="2" t="s">
        <v>31</v>
      </c>
      <c r="L277" s="2" t="s">
        <v>31</v>
      </c>
      <c r="M277" s="2" t="s">
        <v>31</v>
      </c>
      <c r="N277" s="2" t="s">
        <v>31</v>
      </c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2" t="s">
        <v>16</v>
      </c>
      <c r="V277" s="2" t="s">
        <v>25</v>
      </c>
      <c r="W277" s="2" t="s">
        <v>25</v>
      </c>
      <c r="X277" s="2" t="s">
        <v>20</v>
      </c>
      <c r="Y277" s="2" t="s">
        <v>20</v>
      </c>
      <c r="Z277" s="2" t="s">
        <v>18</v>
      </c>
      <c r="AA277" s="2" t="s">
        <v>17</v>
      </c>
      <c r="AB277" s="2" t="s">
        <v>16</v>
      </c>
      <c r="AC277" s="2" t="s">
        <v>27</v>
      </c>
      <c r="AD277" s="2" t="s">
        <v>16</v>
      </c>
      <c r="AE277" s="2" t="s">
        <v>17</v>
      </c>
      <c r="AF277" s="2" t="s">
        <v>25</v>
      </c>
      <c r="AG277" s="2" t="s">
        <v>19</v>
      </c>
      <c r="AH277" s="2" t="s">
        <v>23</v>
      </c>
      <c r="AI277" s="2" t="s">
        <v>20</v>
      </c>
      <c r="AJ277" s="2" t="s">
        <v>20</v>
      </c>
      <c r="AK277" s="2" t="s">
        <v>18</v>
      </c>
      <c r="AL277" s="2" t="s">
        <v>20</v>
      </c>
    </row>
    <row r="278" ht="14.25" customHeight="1">
      <c r="A278" s="17">
        <v>45778.0</v>
      </c>
      <c r="B278" s="2" t="s">
        <v>31</v>
      </c>
      <c r="C278" s="2" t="s">
        <v>31</v>
      </c>
      <c r="D278" s="2" t="s">
        <v>31</v>
      </c>
      <c r="E278" s="2" t="s">
        <v>31</v>
      </c>
      <c r="F278" s="2" t="s">
        <v>31</v>
      </c>
      <c r="G278" s="2" t="s">
        <v>31</v>
      </c>
      <c r="H278" s="2" t="s">
        <v>31</v>
      </c>
      <c r="I278" s="2" t="s">
        <v>31</v>
      </c>
      <c r="J278" s="2" t="s">
        <v>31</v>
      </c>
      <c r="K278" s="2" t="s">
        <v>31</v>
      </c>
      <c r="L278" s="2" t="s">
        <v>31</v>
      </c>
      <c r="M278" s="2" t="s">
        <v>31</v>
      </c>
      <c r="N278" s="2" t="s">
        <v>31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2" t="s">
        <v>16</v>
      </c>
      <c r="V278" s="2" t="s">
        <v>24</v>
      </c>
      <c r="W278" s="2" t="s">
        <v>17</v>
      </c>
      <c r="X278" s="2" t="s">
        <v>16</v>
      </c>
      <c r="Y278" s="2" t="s">
        <v>18</v>
      </c>
      <c r="Z278" s="2" t="s">
        <v>22</v>
      </c>
      <c r="AA278" s="2" t="s">
        <v>28</v>
      </c>
      <c r="AB278" s="2" t="s">
        <v>28</v>
      </c>
      <c r="AC278" s="2" t="s">
        <v>23</v>
      </c>
      <c r="AD278" s="2" t="s">
        <v>16</v>
      </c>
      <c r="AE278" s="2" t="s">
        <v>16</v>
      </c>
      <c r="AF278" s="2" t="s">
        <v>26</v>
      </c>
      <c r="AG278" s="2" t="s">
        <v>23</v>
      </c>
      <c r="AH278" s="2" t="s">
        <v>27</v>
      </c>
      <c r="AI278" s="2" t="s">
        <v>21</v>
      </c>
      <c r="AJ278" s="2" t="s">
        <v>22</v>
      </c>
      <c r="AK278" s="2" t="s">
        <v>26</v>
      </c>
      <c r="AL278" s="2" t="s">
        <v>26</v>
      </c>
    </row>
    <row r="279" ht="14.25" customHeight="1">
      <c r="A279" s="17">
        <v>45779.0</v>
      </c>
      <c r="B279" s="2" t="s">
        <v>31</v>
      </c>
      <c r="C279" s="2" t="s">
        <v>31</v>
      </c>
      <c r="D279" s="2" t="s">
        <v>31</v>
      </c>
      <c r="E279" s="2" t="s">
        <v>31</v>
      </c>
      <c r="F279" s="2" t="s">
        <v>31</v>
      </c>
      <c r="G279" s="2" t="s">
        <v>31</v>
      </c>
      <c r="H279" s="2" t="s">
        <v>31</v>
      </c>
      <c r="I279" s="2" t="s">
        <v>31</v>
      </c>
      <c r="J279" s="2" t="s">
        <v>31</v>
      </c>
      <c r="K279" s="2" t="s">
        <v>31</v>
      </c>
      <c r="L279" s="2" t="s">
        <v>31</v>
      </c>
      <c r="M279" s="2" t="s">
        <v>31</v>
      </c>
      <c r="N279" s="2" t="s">
        <v>31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2" t="s">
        <v>27</v>
      </c>
      <c r="V279" s="2" t="s">
        <v>16</v>
      </c>
      <c r="W279" s="2" t="s">
        <v>20</v>
      </c>
      <c r="X279" s="2" t="s">
        <v>16</v>
      </c>
      <c r="Y279" s="2" t="s">
        <v>20</v>
      </c>
      <c r="Z279" s="2" t="s">
        <v>19</v>
      </c>
      <c r="AA279" s="2" t="s">
        <v>17</v>
      </c>
      <c r="AB279" s="2" t="s">
        <v>21</v>
      </c>
      <c r="AC279" s="2" t="s">
        <v>16</v>
      </c>
      <c r="AD279" s="2" t="s">
        <v>22</v>
      </c>
      <c r="AE279" s="2" t="s">
        <v>27</v>
      </c>
      <c r="AF279" s="2" t="s">
        <v>27</v>
      </c>
      <c r="AG279" s="2" t="s">
        <v>17</v>
      </c>
      <c r="AH279" s="2" t="s">
        <v>26</v>
      </c>
      <c r="AI279" s="2" t="s">
        <v>23</v>
      </c>
      <c r="AJ279" s="2" t="s">
        <v>25</v>
      </c>
      <c r="AK279" s="2" t="s">
        <v>20</v>
      </c>
      <c r="AL279" s="2" t="s">
        <v>23</v>
      </c>
    </row>
    <row r="280" ht="14.25" customHeight="1">
      <c r="A280" s="17">
        <v>45780.0</v>
      </c>
      <c r="B280" s="2" t="s">
        <v>20</v>
      </c>
      <c r="C280" s="2" t="s">
        <v>20</v>
      </c>
      <c r="D280" s="2" t="s">
        <v>24</v>
      </c>
      <c r="E280" s="2" t="s">
        <v>19</v>
      </c>
      <c r="F280" s="2" t="s">
        <v>42</v>
      </c>
      <c r="G280" s="2" t="s">
        <v>41</v>
      </c>
      <c r="H280" s="2" t="s">
        <v>37</v>
      </c>
      <c r="I280" s="2" t="s">
        <v>24</v>
      </c>
      <c r="J280" s="2" t="s">
        <v>26</v>
      </c>
      <c r="K280" s="2" t="s">
        <v>24</v>
      </c>
      <c r="L280" s="2" t="s">
        <v>30</v>
      </c>
      <c r="M280" s="2" t="s">
        <v>19</v>
      </c>
      <c r="N280" s="2" t="s">
        <v>24</v>
      </c>
      <c r="O280" s="2" t="s">
        <v>34</v>
      </c>
      <c r="P280" s="2" t="s">
        <v>18</v>
      </c>
      <c r="Q280" s="2" t="s">
        <v>16</v>
      </c>
      <c r="R280" s="2" t="s">
        <v>30</v>
      </c>
      <c r="S280" s="2" t="s">
        <v>38</v>
      </c>
      <c r="T280" s="2" t="s">
        <v>33</v>
      </c>
      <c r="U280" s="2" t="s">
        <v>16</v>
      </c>
      <c r="V280" s="2" t="s">
        <v>17</v>
      </c>
      <c r="W280" s="2" t="s">
        <v>27</v>
      </c>
      <c r="X280" s="2" t="s">
        <v>21</v>
      </c>
      <c r="Y280" s="2" t="s">
        <v>19</v>
      </c>
      <c r="Z280" s="2" t="s">
        <v>20</v>
      </c>
      <c r="AA280" s="2" t="s">
        <v>17</v>
      </c>
      <c r="AB280" s="2" t="s">
        <v>20</v>
      </c>
      <c r="AC280" s="2" t="s">
        <v>26</v>
      </c>
      <c r="AD280" s="2" t="s">
        <v>27</v>
      </c>
      <c r="AE280" s="2" t="s">
        <v>16</v>
      </c>
      <c r="AF280" s="2" t="s">
        <v>16</v>
      </c>
      <c r="AG280" s="2" t="s">
        <v>16</v>
      </c>
      <c r="AH280" s="2" t="s">
        <v>24</v>
      </c>
      <c r="AI280" s="2" t="s">
        <v>27</v>
      </c>
      <c r="AJ280" s="2" t="s">
        <v>16</v>
      </c>
      <c r="AK280" s="2" t="s">
        <v>24</v>
      </c>
      <c r="AL280" s="2" t="s">
        <v>24</v>
      </c>
    </row>
    <row r="281" ht="14.25" customHeight="1">
      <c r="A281" s="17">
        <v>45781.0</v>
      </c>
      <c r="B281" s="2" t="s">
        <v>31</v>
      </c>
      <c r="C281" s="2" t="s">
        <v>31</v>
      </c>
      <c r="D281" s="2" t="s">
        <v>31</v>
      </c>
      <c r="E281" s="2" t="s">
        <v>31</v>
      </c>
      <c r="F281" s="2" t="s">
        <v>31</v>
      </c>
      <c r="G281" s="2" t="s">
        <v>31</v>
      </c>
      <c r="H281" s="2" t="s">
        <v>31</v>
      </c>
      <c r="I281" s="2" t="s">
        <v>31</v>
      </c>
      <c r="J281" s="2" t="s">
        <v>31</v>
      </c>
      <c r="K281" s="2" t="s">
        <v>31</v>
      </c>
      <c r="L281" s="2" t="s">
        <v>31</v>
      </c>
      <c r="M281" s="2" t="s">
        <v>31</v>
      </c>
      <c r="N281" s="2" t="s">
        <v>31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2" t="s">
        <v>22</v>
      </c>
      <c r="V281" s="2" t="s">
        <v>22</v>
      </c>
      <c r="W281" s="2" t="s">
        <v>17</v>
      </c>
      <c r="X281" s="2" t="s">
        <v>28</v>
      </c>
      <c r="Y281" s="2" t="s">
        <v>17</v>
      </c>
      <c r="Z281" s="2" t="s">
        <v>21</v>
      </c>
      <c r="AA281" s="2" t="s">
        <v>16</v>
      </c>
      <c r="AB281" s="2" t="s">
        <v>25</v>
      </c>
      <c r="AC281" s="2" t="s">
        <v>27</v>
      </c>
      <c r="AD281" s="2" t="s">
        <v>20</v>
      </c>
      <c r="AE281" s="2" t="s">
        <v>18</v>
      </c>
      <c r="AF281" s="2" t="s">
        <v>20</v>
      </c>
      <c r="AG281" s="2" t="s">
        <v>25</v>
      </c>
      <c r="AH281" s="2" t="s">
        <v>16</v>
      </c>
      <c r="AI281" s="2" t="s">
        <v>26</v>
      </c>
      <c r="AJ281" s="2" t="s">
        <v>22</v>
      </c>
      <c r="AK281" s="2" t="s">
        <v>26</v>
      </c>
      <c r="AL281" s="2" t="s">
        <v>21</v>
      </c>
    </row>
    <row r="282" ht="14.25" customHeight="1">
      <c r="A282" s="17">
        <v>45782.0</v>
      </c>
      <c r="B282" s="2" t="s">
        <v>31</v>
      </c>
      <c r="C282" s="2" t="s">
        <v>31</v>
      </c>
      <c r="D282" s="2" t="s">
        <v>31</v>
      </c>
      <c r="E282" s="2" t="s">
        <v>31</v>
      </c>
      <c r="F282" s="2" t="s">
        <v>31</v>
      </c>
      <c r="G282" s="2" t="s">
        <v>31</v>
      </c>
      <c r="H282" s="2" t="s">
        <v>31</v>
      </c>
      <c r="I282" s="2" t="s">
        <v>31</v>
      </c>
      <c r="J282" s="2" t="s">
        <v>31</v>
      </c>
      <c r="K282" s="2" t="s">
        <v>31</v>
      </c>
      <c r="L282" s="2" t="s">
        <v>31</v>
      </c>
      <c r="M282" s="2" t="s">
        <v>31</v>
      </c>
      <c r="N282" s="2" t="s">
        <v>31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2" t="s">
        <v>17</v>
      </c>
      <c r="V282" s="2" t="s">
        <v>26</v>
      </c>
      <c r="W282" s="2" t="s">
        <v>21</v>
      </c>
      <c r="X282" s="2" t="s">
        <v>16</v>
      </c>
      <c r="Y282" s="2" t="s">
        <v>22</v>
      </c>
      <c r="Z282" s="2" t="s">
        <v>16</v>
      </c>
      <c r="AA282" s="2" t="s">
        <v>21</v>
      </c>
      <c r="AB282" s="2" t="s">
        <v>26</v>
      </c>
      <c r="AC282" s="2" t="s">
        <v>24</v>
      </c>
      <c r="AD282" s="2" t="s">
        <v>20</v>
      </c>
      <c r="AE282" s="2" t="s">
        <v>19</v>
      </c>
      <c r="AF282" s="2" t="s">
        <v>23</v>
      </c>
      <c r="AG282" s="2" t="s">
        <v>23</v>
      </c>
      <c r="AH282" s="2" t="s">
        <v>17</v>
      </c>
      <c r="AI282" s="2" t="s">
        <v>26</v>
      </c>
      <c r="AJ282" s="2" t="s">
        <v>26</v>
      </c>
      <c r="AK282" s="2" t="s">
        <v>19</v>
      </c>
      <c r="AL282" s="2" t="s">
        <v>24</v>
      </c>
    </row>
    <row r="283" ht="14.25" customHeight="1">
      <c r="A283" s="17">
        <v>45783.0</v>
      </c>
      <c r="B283" s="2" t="s">
        <v>31</v>
      </c>
      <c r="C283" s="2" t="s">
        <v>31</v>
      </c>
      <c r="D283" s="2" t="s">
        <v>31</v>
      </c>
      <c r="E283" s="2" t="s">
        <v>31</v>
      </c>
      <c r="F283" s="2" t="s">
        <v>31</v>
      </c>
      <c r="G283" s="2" t="s">
        <v>31</v>
      </c>
      <c r="H283" s="2" t="s">
        <v>31</v>
      </c>
      <c r="I283" s="2" t="s">
        <v>31</v>
      </c>
      <c r="J283" s="2" t="s">
        <v>31</v>
      </c>
      <c r="K283" s="2" t="s">
        <v>31</v>
      </c>
      <c r="L283" s="2" t="s">
        <v>31</v>
      </c>
      <c r="M283" s="2" t="s">
        <v>31</v>
      </c>
      <c r="N283" s="2" t="s">
        <v>31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2" t="s">
        <v>26</v>
      </c>
      <c r="V283" s="2" t="s">
        <v>22</v>
      </c>
      <c r="W283" s="2" t="s">
        <v>23</v>
      </c>
      <c r="X283" s="2" t="s">
        <v>17</v>
      </c>
      <c r="Y283" s="2" t="s">
        <v>16</v>
      </c>
      <c r="Z283" s="2" t="s">
        <v>20</v>
      </c>
      <c r="AA283" s="2" t="s">
        <v>26</v>
      </c>
      <c r="AB283" s="2" t="s">
        <v>22</v>
      </c>
      <c r="AC283" s="2" t="s">
        <v>16</v>
      </c>
      <c r="AD283" s="2" t="s">
        <v>16</v>
      </c>
      <c r="AE283" s="2" t="s">
        <v>16</v>
      </c>
      <c r="AF283" s="2" t="s">
        <v>16</v>
      </c>
      <c r="AG283" s="2" t="s">
        <v>19</v>
      </c>
      <c r="AH283" s="2" t="s">
        <v>24</v>
      </c>
      <c r="AI283" s="2" t="s">
        <v>16</v>
      </c>
      <c r="AJ283" s="2" t="s">
        <v>22</v>
      </c>
      <c r="AK283" s="2" t="s">
        <v>27</v>
      </c>
      <c r="AL283" s="2" t="s">
        <v>28</v>
      </c>
    </row>
    <row r="284" ht="14.25" customHeight="1">
      <c r="A284" s="17">
        <v>45784.0</v>
      </c>
      <c r="B284" s="2" t="s">
        <v>31</v>
      </c>
      <c r="C284" s="2" t="s">
        <v>31</v>
      </c>
      <c r="D284" s="2" t="s">
        <v>31</v>
      </c>
      <c r="E284" s="2" t="s">
        <v>31</v>
      </c>
      <c r="F284" s="2" t="s">
        <v>31</v>
      </c>
      <c r="G284" s="2" t="s">
        <v>31</v>
      </c>
      <c r="H284" s="2" t="s">
        <v>31</v>
      </c>
      <c r="I284" s="2" t="s">
        <v>31</v>
      </c>
      <c r="J284" s="2" t="s">
        <v>31</v>
      </c>
      <c r="K284" s="2" t="s">
        <v>31</v>
      </c>
      <c r="L284" s="2" t="s">
        <v>31</v>
      </c>
      <c r="M284" s="2" t="s">
        <v>31</v>
      </c>
      <c r="N284" s="2" t="s">
        <v>31</v>
      </c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2" t="s">
        <v>16</v>
      </c>
      <c r="V284" s="2" t="s">
        <v>16</v>
      </c>
      <c r="W284" s="2" t="s">
        <v>25</v>
      </c>
      <c r="X284" s="2" t="s">
        <v>18</v>
      </c>
      <c r="Y284" s="2" t="s">
        <v>16</v>
      </c>
      <c r="Z284" s="2" t="s">
        <v>26</v>
      </c>
      <c r="AA284" s="2" t="s">
        <v>20</v>
      </c>
      <c r="AB284" s="2" t="s">
        <v>22</v>
      </c>
      <c r="AC284" s="2" t="s">
        <v>16</v>
      </c>
      <c r="AD284" s="2" t="s">
        <v>27</v>
      </c>
      <c r="AE284" s="2" t="s">
        <v>16</v>
      </c>
      <c r="AF284" s="2" t="s">
        <v>28</v>
      </c>
      <c r="AG284" s="2" t="s">
        <v>16</v>
      </c>
      <c r="AH284" s="2" t="s">
        <v>24</v>
      </c>
      <c r="AI284" s="2" t="s">
        <v>27</v>
      </c>
      <c r="AJ284" s="2" t="s">
        <v>16</v>
      </c>
      <c r="AK284" s="2" t="s">
        <v>16</v>
      </c>
      <c r="AL284" s="2" t="s">
        <v>27</v>
      </c>
    </row>
    <row r="285" ht="14.25" customHeight="1">
      <c r="A285" s="17">
        <v>45785.0</v>
      </c>
      <c r="B285" s="2" t="s">
        <v>31</v>
      </c>
      <c r="C285" s="2" t="s">
        <v>31</v>
      </c>
      <c r="D285" s="2" t="s">
        <v>31</v>
      </c>
      <c r="E285" s="2" t="s">
        <v>31</v>
      </c>
      <c r="F285" s="2" t="s">
        <v>31</v>
      </c>
      <c r="G285" s="2" t="s">
        <v>31</v>
      </c>
      <c r="H285" s="2" t="s">
        <v>31</v>
      </c>
      <c r="I285" s="2" t="s">
        <v>31</v>
      </c>
      <c r="J285" s="2" t="s">
        <v>31</v>
      </c>
      <c r="K285" s="2" t="s">
        <v>31</v>
      </c>
      <c r="L285" s="2" t="s">
        <v>31</v>
      </c>
      <c r="M285" s="2" t="s">
        <v>31</v>
      </c>
      <c r="N285" s="2" t="s">
        <v>31</v>
      </c>
      <c r="O285" s="2" t="s">
        <v>31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2" t="s">
        <v>16</v>
      </c>
      <c r="V285" s="2" t="s">
        <v>16</v>
      </c>
      <c r="W285" s="2" t="s">
        <v>28</v>
      </c>
      <c r="X285" s="2" t="s">
        <v>28</v>
      </c>
      <c r="Y285" s="2" t="s">
        <v>26</v>
      </c>
      <c r="Z285" s="2" t="s">
        <v>26</v>
      </c>
      <c r="AA285" s="2" t="s">
        <v>20</v>
      </c>
      <c r="AB285" s="2" t="s">
        <v>18</v>
      </c>
      <c r="AC285" s="2" t="s">
        <v>20</v>
      </c>
      <c r="AD285" s="2" t="s">
        <v>18</v>
      </c>
      <c r="AE285" s="2" t="s">
        <v>21</v>
      </c>
      <c r="AF285" s="2" t="s">
        <v>21</v>
      </c>
      <c r="AG285" s="2" t="s">
        <v>16</v>
      </c>
      <c r="AH285" s="2" t="s">
        <v>16</v>
      </c>
      <c r="AI285" s="2" t="s">
        <v>26</v>
      </c>
      <c r="AJ285" s="2" t="s">
        <v>20</v>
      </c>
      <c r="AK285" s="2" t="s">
        <v>27</v>
      </c>
      <c r="AL285" s="2" t="s">
        <v>16</v>
      </c>
    </row>
    <row r="286" ht="14.25" customHeight="1">
      <c r="A286" s="17">
        <v>45786.0</v>
      </c>
      <c r="B286" s="2" t="s">
        <v>31</v>
      </c>
      <c r="C286" s="2" t="s">
        <v>31</v>
      </c>
      <c r="D286" s="2" t="s">
        <v>31</v>
      </c>
      <c r="E286" s="2" t="s">
        <v>31</v>
      </c>
      <c r="F286" s="2" t="s">
        <v>31</v>
      </c>
      <c r="G286" s="2" t="s">
        <v>31</v>
      </c>
      <c r="H286" s="2" t="s">
        <v>31</v>
      </c>
      <c r="I286" s="2" t="s">
        <v>31</v>
      </c>
      <c r="J286" s="2" t="s">
        <v>31</v>
      </c>
      <c r="K286" s="2" t="s">
        <v>31</v>
      </c>
      <c r="L286" s="2" t="s">
        <v>31</v>
      </c>
      <c r="M286" s="2" t="s">
        <v>31</v>
      </c>
      <c r="N286" s="2" t="s">
        <v>31</v>
      </c>
      <c r="O286" s="2" t="s">
        <v>31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2" t="s">
        <v>17</v>
      </c>
      <c r="V286" s="2" t="s">
        <v>16</v>
      </c>
      <c r="W286" s="2" t="s">
        <v>17</v>
      </c>
      <c r="X286" s="2" t="s">
        <v>20</v>
      </c>
      <c r="Y286" s="2" t="s">
        <v>16</v>
      </c>
      <c r="Z286" s="2" t="s">
        <v>19</v>
      </c>
      <c r="AA286" s="2" t="s">
        <v>24</v>
      </c>
      <c r="AB286" s="2" t="s">
        <v>26</v>
      </c>
      <c r="AC286" s="2" t="s">
        <v>18</v>
      </c>
      <c r="AD286" s="2" t="s">
        <v>26</v>
      </c>
      <c r="AE286" s="2" t="s">
        <v>24</v>
      </c>
      <c r="AF286" s="2" t="s">
        <v>16</v>
      </c>
      <c r="AG286" s="2" t="s">
        <v>22</v>
      </c>
      <c r="AH286" s="2" t="s">
        <v>16</v>
      </c>
      <c r="AI286" s="2" t="s">
        <v>27</v>
      </c>
      <c r="AJ286" s="2" t="s">
        <v>17</v>
      </c>
      <c r="AK286" s="2" t="s">
        <v>16</v>
      </c>
      <c r="AL286" s="2" t="s">
        <v>26</v>
      </c>
    </row>
    <row r="287" ht="14.25" customHeight="1">
      <c r="A287" s="17">
        <v>45787.0</v>
      </c>
      <c r="B287" s="2" t="s">
        <v>43</v>
      </c>
      <c r="C287" s="2" t="s">
        <v>21</v>
      </c>
      <c r="D287" s="2" t="s">
        <v>30</v>
      </c>
      <c r="E287" s="2" t="s">
        <v>23</v>
      </c>
      <c r="F287" s="2" t="s">
        <v>27</v>
      </c>
      <c r="G287" s="2" t="s">
        <v>42</v>
      </c>
      <c r="H287" s="2" t="s">
        <v>26</v>
      </c>
      <c r="I287" s="2" t="s">
        <v>30</v>
      </c>
      <c r="J287" s="2" t="s">
        <v>21</v>
      </c>
      <c r="K287" s="2" t="s">
        <v>26</v>
      </c>
      <c r="L287" s="2" t="s">
        <v>37</v>
      </c>
      <c r="M287" s="2" t="s">
        <v>25</v>
      </c>
      <c r="N287" s="2" t="s">
        <v>41</v>
      </c>
      <c r="O287" s="2" t="s">
        <v>27</v>
      </c>
      <c r="P287" s="2" t="s">
        <v>21</v>
      </c>
      <c r="Q287" s="2" t="s">
        <v>22</v>
      </c>
      <c r="R287" s="2" t="s">
        <v>26</v>
      </c>
      <c r="S287" s="2" t="s">
        <v>33</v>
      </c>
      <c r="T287" s="2" t="s">
        <v>16</v>
      </c>
      <c r="U287" s="2" t="s">
        <v>28</v>
      </c>
      <c r="V287" s="2" t="s">
        <v>27</v>
      </c>
      <c r="W287" s="2" t="s">
        <v>24</v>
      </c>
      <c r="X287" s="2" t="s">
        <v>20</v>
      </c>
      <c r="Y287" s="2" t="s">
        <v>16</v>
      </c>
      <c r="Z287" s="2" t="s">
        <v>19</v>
      </c>
      <c r="AA287" s="2" t="s">
        <v>22</v>
      </c>
      <c r="AB287" s="2" t="s">
        <v>16</v>
      </c>
      <c r="AC287" s="2" t="s">
        <v>18</v>
      </c>
      <c r="AD287" s="2" t="s">
        <v>25</v>
      </c>
      <c r="AE287" s="2" t="s">
        <v>16</v>
      </c>
      <c r="AF287" s="2" t="s">
        <v>16</v>
      </c>
      <c r="AG287" s="2" t="s">
        <v>21</v>
      </c>
      <c r="AH287" s="2" t="s">
        <v>16</v>
      </c>
      <c r="AI287" s="2" t="s">
        <v>16</v>
      </c>
      <c r="AJ287" s="2" t="s">
        <v>26</v>
      </c>
      <c r="AK287" s="2" t="s">
        <v>21</v>
      </c>
      <c r="AL287" s="2" t="s">
        <v>26</v>
      </c>
    </row>
    <row r="288" ht="14.25" customHeight="1">
      <c r="A288" s="17">
        <v>45788.0</v>
      </c>
      <c r="B288" s="2" t="s">
        <v>31</v>
      </c>
      <c r="C288" s="2" t="s">
        <v>31</v>
      </c>
      <c r="D288" s="2" t="s">
        <v>31</v>
      </c>
      <c r="E288" s="2" t="s">
        <v>31</v>
      </c>
      <c r="F288" s="2" t="s">
        <v>31</v>
      </c>
      <c r="G288" s="2" t="s">
        <v>31</v>
      </c>
      <c r="H288" s="2" t="s">
        <v>31</v>
      </c>
      <c r="I288" s="2" t="s">
        <v>31</v>
      </c>
      <c r="J288" s="2" t="s">
        <v>31</v>
      </c>
      <c r="K288" s="2" t="s">
        <v>31</v>
      </c>
      <c r="L288" s="2" t="s">
        <v>31</v>
      </c>
      <c r="M288" s="2" t="s">
        <v>31</v>
      </c>
      <c r="N288" s="2" t="s">
        <v>31</v>
      </c>
      <c r="O288" s="2" t="s">
        <v>31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2" t="s">
        <v>17</v>
      </c>
      <c r="V288" s="2" t="s">
        <v>16</v>
      </c>
      <c r="W288" s="2" t="s">
        <v>19</v>
      </c>
      <c r="X288" s="2" t="s">
        <v>18</v>
      </c>
      <c r="Y288" s="2" t="s">
        <v>16</v>
      </c>
      <c r="Z288" s="2" t="s">
        <v>19</v>
      </c>
      <c r="AA288" s="2" t="s">
        <v>16</v>
      </c>
      <c r="AB288" s="2" t="s">
        <v>16</v>
      </c>
      <c r="AC288" s="2" t="s">
        <v>25</v>
      </c>
      <c r="AD288" s="2" t="s">
        <v>16</v>
      </c>
      <c r="AE288" s="2" t="s">
        <v>26</v>
      </c>
      <c r="AF288" s="2" t="s">
        <v>16</v>
      </c>
      <c r="AG288" s="2" t="s">
        <v>24</v>
      </c>
      <c r="AH288" s="2" t="s">
        <v>24</v>
      </c>
      <c r="AI288" s="2" t="s">
        <v>26</v>
      </c>
      <c r="AJ288" s="2" t="s">
        <v>16</v>
      </c>
      <c r="AK288" s="2" t="s">
        <v>21</v>
      </c>
      <c r="AL288" s="2" t="s">
        <v>23</v>
      </c>
    </row>
    <row r="289" ht="14.25" customHeight="1">
      <c r="A289" s="17">
        <v>45789.0</v>
      </c>
      <c r="B289" s="2" t="s">
        <v>31</v>
      </c>
      <c r="C289" s="2" t="s">
        <v>31</v>
      </c>
      <c r="D289" s="2" t="s">
        <v>31</v>
      </c>
      <c r="E289" s="2" t="s">
        <v>31</v>
      </c>
      <c r="F289" s="2" t="s">
        <v>31</v>
      </c>
      <c r="G289" s="2" t="s">
        <v>31</v>
      </c>
      <c r="H289" s="2" t="s">
        <v>31</v>
      </c>
      <c r="I289" s="2" t="s">
        <v>31</v>
      </c>
      <c r="J289" s="2" t="s">
        <v>31</v>
      </c>
      <c r="K289" s="2" t="s">
        <v>31</v>
      </c>
      <c r="L289" s="2" t="s">
        <v>31</v>
      </c>
      <c r="M289" s="2" t="s">
        <v>31</v>
      </c>
      <c r="N289" s="2" t="s">
        <v>31</v>
      </c>
      <c r="O289" s="2" t="s">
        <v>31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2" t="s">
        <v>16</v>
      </c>
      <c r="V289" s="2" t="s">
        <v>24</v>
      </c>
      <c r="W289" s="2" t="s">
        <v>16</v>
      </c>
      <c r="X289" s="2" t="s">
        <v>19</v>
      </c>
      <c r="Y289" s="2" t="s">
        <v>27</v>
      </c>
      <c r="Z289" s="2" t="s">
        <v>22</v>
      </c>
      <c r="AA289" s="2" t="s">
        <v>28</v>
      </c>
      <c r="AB289" s="2" t="s">
        <v>21</v>
      </c>
      <c r="AC289" s="2" t="s">
        <v>16</v>
      </c>
      <c r="AD289" s="2" t="s">
        <v>16</v>
      </c>
      <c r="AE289" s="2" t="s">
        <v>24</v>
      </c>
      <c r="AF289" s="2" t="s">
        <v>16</v>
      </c>
      <c r="AG289" s="2" t="s">
        <v>21</v>
      </c>
      <c r="AH289" s="2" t="s">
        <v>19</v>
      </c>
      <c r="AI289" s="2" t="s">
        <v>20</v>
      </c>
      <c r="AJ289" s="2" t="s">
        <v>21</v>
      </c>
      <c r="AK289" s="2" t="s">
        <v>27</v>
      </c>
      <c r="AL289" s="2" t="s">
        <v>16</v>
      </c>
    </row>
    <row r="290" ht="14.25" customHeight="1">
      <c r="A290" s="17">
        <v>45790.0</v>
      </c>
      <c r="B290" s="2" t="s">
        <v>31</v>
      </c>
      <c r="C290" s="2" t="s">
        <v>31</v>
      </c>
      <c r="D290" s="2" t="s">
        <v>31</v>
      </c>
      <c r="E290" s="2" t="s">
        <v>31</v>
      </c>
      <c r="F290" s="2" t="s">
        <v>31</v>
      </c>
      <c r="G290" s="2" t="s">
        <v>31</v>
      </c>
      <c r="H290" s="2" t="s">
        <v>31</v>
      </c>
      <c r="I290" s="2" t="s">
        <v>31</v>
      </c>
      <c r="J290" s="2" t="s">
        <v>31</v>
      </c>
      <c r="K290" s="2" t="s">
        <v>31</v>
      </c>
      <c r="L290" s="2" t="s">
        <v>31</v>
      </c>
      <c r="M290" s="2" t="s">
        <v>31</v>
      </c>
      <c r="N290" s="2" t="s">
        <v>31</v>
      </c>
      <c r="O290" s="2" t="s">
        <v>31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2" t="s">
        <v>17</v>
      </c>
      <c r="V290" s="2" t="s">
        <v>20</v>
      </c>
      <c r="W290" s="2" t="s">
        <v>28</v>
      </c>
      <c r="X290" s="2" t="s">
        <v>21</v>
      </c>
      <c r="Y290" s="2" t="s">
        <v>24</v>
      </c>
      <c r="Z290" s="2" t="s">
        <v>20</v>
      </c>
      <c r="AA290" s="2" t="s">
        <v>17</v>
      </c>
      <c r="AB290" s="2" t="s">
        <v>16</v>
      </c>
      <c r="AC290" s="2" t="s">
        <v>25</v>
      </c>
      <c r="AD290" s="2" t="s">
        <v>26</v>
      </c>
      <c r="AE290" s="2" t="s">
        <v>22</v>
      </c>
      <c r="AF290" s="2" t="s">
        <v>28</v>
      </c>
      <c r="AG290" s="2" t="s">
        <v>20</v>
      </c>
      <c r="AH290" s="2" t="s">
        <v>17</v>
      </c>
      <c r="AI290" s="2" t="s">
        <v>21</v>
      </c>
      <c r="AJ290" s="2" t="s">
        <v>22</v>
      </c>
      <c r="AK290" s="2" t="s">
        <v>25</v>
      </c>
      <c r="AL290" s="2" t="s">
        <v>19</v>
      </c>
    </row>
    <row r="291" ht="14.25" customHeight="1">
      <c r="A291" s="17">
        <v>45791.0</v>
      </c>
      <c r="B291" s="2" t="s">
        <v>31</v>
      </c>
      <c r="C291" s="2" t="s">
        <v>31</v>
      </c>
      <c r="D291" s="2" t="s">
        <v>31</v>
      </c>
      <c r="E291" s="2" t="s">
        <v>31</v>
      </c>
      <c r="F291" s="2" t="s">
        <v>31</v>
      </c>
      <c r="G291" s="2" t="s">
        <v>31</v>
      </c>
      <c r="H291" s="2" t="s">
        <v>31</v>
      </c>
      <c r="I291" s="2" t="s">
        <v>31</v>
      </c>
      <c r="J291" s="2" t="s">
        <v>31</v>
      </c>
      <c r="K291" s="2" t="s">
        <v>31</v>
      </c>
      <c r="L291" s="2" t="s">
        <v>31</v>
      </c>
      <c r="M291" s="2" t="s">
        <v>31</v>
      </c>
      <c r="N291" s="2" t="s">
        <v>31</v>
      </c>
      <c r="O291" s="2" t="s">
        <v>31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2" t="s">
        <v>20</v>
      </c>
      <c r="V291" s="2" t="s">
        <v>23</v>
      </c>
      <c r="W291" s="2" t="s">
        <v>16</v>
      </c>
      <c r="X291" s="2" t="s">
        <v>28</v>
      </c>
      <c r="Y291" s="2" t="s">
        <v>16</v>
      </c>
      <c r="Z291" s="2" t="s">
        <v>16</v>
      </c>
      <c r="AA291" s="2" t="s">
        <v>25</v>
      </c>
      <c r="AB291" s="2" t="s">
        <v>16</v>
      </c>
      <c r="AC291" s="2" t="s">
        <v>20</v>
      </c>
      <c r="AD291" s="2" t="s">
        <v>23</v>
      </c>
      <c r="AE291" s="2" t="s">
        <v>17</v>
      </c>
      <c r="AF291" s="2" t="s">
        <v>16</v>
      </c>
      <c r="AG291" s="2" t="s">
        <v>19</v>
      </c>
      <c r="AH291" s="2" t="s">
        <v>18</v>
      </c>
      <c r="AI291" s="2" t="s">
        <v>16</v>
      </c>
      <c r="AJ291" s="2" t="s">
        <v>16</v>
      </c>
      <c r="AK291" s="2" t="s">
        <v>20</v>
      </c>
      <c r="AL291" s="2" t="s">
        <v>22</v>
      </c>
    </row>
    <row r="292" ht="14.25" customHeight="1">
      <c r="A292" s="17">
        <v>45792.0</v>
      </c>
      <c r="B292" s="2" t="s">
        <v>31</v>
      </c>
      <c r="C292" s="2" t="s">
        <v>31</v>
      </c>
      <c r="D292" s="2" t="s">
        <v>31</v>
      </c>
      <c r="E292" s="2" t="s">
        <v>31</v>
      </c>
      <c r="F292" s="2" t="s">
        <v>31</v>
      </c>
      <c r="G292" s="2" t="s">
        <v>31</v>
      </c>
      <c r="H292" s="2" t="s">
        <v>31</v>
      </c>
      <c r="I292" s="2" t="s">
        <v>31</v>
      </c>
      <c r="J292" s="2" t="s">
        <v>31</v>
      </c>
      <c r="K292" s="2" t="s">
        <v>31</v>
      </c>
      <c r="L292" s="2" t="s">
        <v>31</v>
      </c>
      <c r="M292" s="2" t="s">
        <v>31</v>
      </c>
      <c r="N292" s="2" t="s">
        <v>31</v>
      </c>
      <c r="O292" s="2" t="s">
        <v>31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2" t="s">
        <v>27</v>
      </c>
      <c r="V292" s="2" t="s">
        <v>24</v>
      </c>
      <c r="W292" s="2" t="s">
        <v>17</v>
      </c>
      <c r="X292" s="2" t="s">
        <v>16</v>
      </c>
      <c r="Y292" s="2" t="s">
        <v>28</v>
      </c>
      <c r="Z292" s="2" t="s">
        <v>24</v>
      </c>
      <c r="AA292" s="2" t="s">
        <v>28</v>
      </c>
      <c r="AB292" s="2" t="s">
        <v>26</v>
      </c>
      <c r="AC292" s="2" t="s">
        <v>26</v>
      </c>
      <c r="AD292" s="2" t="s">
        <v>22</v>
      </c>
      <c r="AE292" s="2" t="s">
        <v>18</v>
      </c>
      <c r="AF292" s="2" t="s">
        <v>16</v>
      </c>
      <c r="AG292" s="2" t="s">
        <v>21</v>
      </c>
      <c r="AH292" s="2" t="s">
        <v>20</v>
      </c>
      <c r="AI292" s="2" t="s">
        <v>20</v>
      </c>
      <c r="AJ292" s="2" t="s">
        <v>27</v>
      </c>
      <c r="AK292" s="2" t="s">
        <v>16</v>
      </c>
      <c r="AL292" s="2" t="s">
        <v>27</v>
      </c>
    </row>
    <row r="293" ht="14.25" customHeight="1">
      <c r="A293" s="17">
        <v>45793.0</v>
      </c>
      <c r="B293" s="2" t="s">
        <v>31</v>
      </c>
      <c r="C293" s="2" t="s">
        <v>31</v>
      </c>
      <c r="D293" s="2" t="s">
        <v>31</v>
      </c>
      <c r="E293" s="2" t="s">
        <v>31</v>
      </c>
      <c r="F293" s="2" t="s">
        <v>31</v>
      </c>
      <c r="G293" s="2" t="s">
        <v>31</v>
      </c>
      <c r="H293" s="2" t="s">
        <v>31</v>
      </c>
      <c r="I293" s="2" t="s">
        <v>31</v>
      </c>
      <c r="J293" s="2" t="s">
        <v>31</v>
      </c>
      <c r="K293" s="2" t="s">
        <v>31</v>
      </c>
      <c r="L293" s="2" t="s">
        <v>31</v>
      </c>
      <c r="M293" s="2" t="s">
        <v>31</v>
      </c>
      <c r="N293" s="2" t="s">
        <v>31</v>
      </c>
      <c r="O293" s="2" t="s">
        <v>31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2" t="s">
        <v>28</v>
      </c>
      <c r="V293" s="2" t="s">
        <v>16</v>
      </c>
      <c r="W293" s="2" t="s">
        <v>24</v>
      </c>
      <c r="X293" s="2" t="s">
        <v>16</v>
      </c>
      <c r="Y293" s="2" t="s">
        <v>20</v>
      </c>
      <c r="Z293" s="2" t="s">
        <v>16</v>
      </c>
      <c r="AA293" s="2" t="s">
        <v>16</v>
      </c>
      <c r="AB293" s="2" t="s">
        <v>16</v>
      </c>
      <c r="AC293" s="2" t="s">
        <v>27</v>
      </c>
      <c r="AD293" s="2" t="s">
        <v>20</v>
      </c>
      <c r="AE293" s="2" t="s">
        <v>22</v>
      </c>
      <c r="AF293" s="2" t="s">
        <v>16</v>
      </c>
      <c r="AG293" s="2" t="s">
        <v>26</v>
      </c>
      <c r="AH293" s="2" t="s">
        <v>18</v>
      </c>
      <c r="AI293" s="2" t="s">
        <v>18</v>
      </c>
      <c r="AJ293" s="2" t="s">
        <v>16</v>
      </c>
      <c r="AK293" s="2" t="s">
        <v>18</v>
      </c>
      <c r="AL293" s="2" t="s">
        <v>23</v>
      </c>
    </row>
    <row r="294" ht="14.25" customHeight="1">
      <c r="A294" s="17">
        <v>45794.0</v>
      </c>
      <c r="B294" s="2" t="s">
        <v>29</v>
      </c>
      <c r="C294" s="2" t="s">
        <v>28</v>
      </c>
      <c r="D294" s="2" t="s">
        <v>39</v>
      </c>
      <c r="E294" s="2" t="s">
        <v>18</v>
      </c>
      <c r="F294" s="2" t="s">
        <v>35</v>
      </c>
      <c r="G294" s="2" t="s">
        <v>26</v>
      </c>
      <c r="H294" s="2" t="s">
        <v>28</v>
      </c>
      <c r="I294" s="2" t="s">
        <v>16</v>
      </c>
      <c r="J294" s="2" t="s">
        <v>34</v>
      </c>
      <c r="K294" s="2" t="s">
        <v>26</v>
      </c>
      <c r="L294" s="2" t="s">
        <v>29</v>
      </c>
      <c r="M294" s="2" t="s">
        <v>22</v>
      </c>
      <c r="N294" s="2" t="s">
        <v>16</v>
      </c>
      <c r="O294" s="2" t="s">
        <v>34</v>
      </c>
      <c r="P294" s="2" t="s">
        <v>23</v>
      </c>
      <c r="Q294" s="2" t="s">
        <v>26</v>
      </c>
      <c r="R294" s="2" t="s">
        <v>16</v>
      </c>
      <c r="S294" s="2" t="s">
        <v>36</v>
      </c>
      <c r="T294" s="2" t="s">
        <v>33</v>
      </c>
      <c r="U294" s="2" t="s">
        <v>26</v>
      </c>
      <c r="V294" s="2" t="s">
        <v>18</v>
      </c>
      <c r="W294" s="2" t="s">
        <v>26</v>
      </c>
      <c r="X294" s="2" t="s">
        <v>21</v>
      </c>
      <c r="Y294" s="2" t="s">
        <v>22</v>
      </c>
      <c r="Z294" s="2" t="s">
        <v>23</v>
      </c>
      <c r="AA294" s="2" t="s">
        <v>16</v>
      </c>
      <c r="AB294" s="2" t="s">
        <v>25</v>
      </c>
      <c r="AC294" s="2" t="s">
        <v>26</v>
      </c>
      <c r="AD294" s="2" t="s">
        <v>22</v>
      </c>
      <c r="AE294" s="2" t="s">
        <v>19</v>
      </c>
      <c r="AF294" s="2" t="s">
        <v>16</v>
      </c>
      <c r="AG294" s="2" t="s">
        <v>21</v>
      </c>
      <c r="AH294" s="2" t="s">
        <v>27</v>
      </c>
      <c r="AI294" s="2" t="s">
        <v>22</v>
      </c>
      <c r="AJ294" s="2" t="s">
        <v>16</v>
      </c>
      <c r="AK294" s="2" t="s">
        <v>20</v>
      </c>
      <c r="AL294" s="2" t="s">
        <v>22</v>
      </c>
    </row>
    <row r="295" ht="14.25" customHeight="1">
      <c r="A295" s="17">
        <v>45795.0</v>
      </c>
      <c r="B295" s="2" t="s">
        <v>31</v>
      </c>
      <c r="C295" s="2" t="s">
        <v>31</v>
      </c>
      <c r="D295" s="2" t="s">
        <v>31</v>
      </c>
      <c r="E295" s="2" t="s">
        <v>31</v>
      </c>
      <c r="F295" s="2" t="s">
        <v>31</v>
      </c>
      <c r="G295" s="2" t="s">
        <v>31</v>
      </c>
      <c r="H295" s="2" t="s">
        <v>31</v>
      </c>
      <c r="I295" s="2" t="s">
        <v>31</v>
      </c>
      <c r="J295" s="2" t="s">
        <v>31</v>
      </c>
      <c r="K295" s="2" t="s">
        <v>31</v>
      </c>
      <c r="L295" s="2" t="s">
        <v>31</v>
      </c>
      <c r="M295" s="2" t="s">
        <v>31</v>
      </c>
      <c r="N295" s="2" t="s">
        <v>31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2" t="s">
        <v>24</v>
      </c>
      <c r="V295" s="2" t="s">
        <v>16</v>
      </c>
      <c r="W295" s="2" t="s">
        <v>16</v>
      </c>
      <c r="X295" s="2" t="s">
        <v>16</v>
      </c>
      <c r="Y295" s="2" t="s">
        <v>16</v>
      </c>
      <c r="Z295" s="2" t="s">
        <v>27</v>
      </c>
      <c r="AA295" s="2" t="s">
        <v>16</v>
      </c>
      <c r="AB295" s="2" t="s">
        <v>16</v>
      </c>
      <c r="AC295" s="2" t="s">
        <v>20</v>
      </c>
      <c r="AD295" s="2" t="s">
        <v>19</v>
      </c>
      <c r="AE295" s="2" t="s">
        <v>17</v>
      </c>
      <c r="AF295" s="2" t="s">
        <v>16</v>
      </c>
      <c r="AG295" s="2" t="s">
        <v>16</v>
      </c>
      <c r="AH295" s="2" t="s">
        <v>16</v>
      </c>
      <c r="AI295" s="2" t="s">
        <v>22</v>
      </c>
      <c r="AJ295" s="2" t="s">
        <v>22</v>
      </c>
      <c r="AK295" s="2" t="s">
        <v>16</v>
      </c>
      <c r="AL295" s="2" t="s">
        <v>28</v>
      </c>
    </row>
    <row r="296" ht="14.25" customHeight="1">
      <c r="A296" s="17">
        <v>45796.0</v>
      </c>
      <c r="B296" s="2" t="s">
        <v>31</v>
      </c>
      <c r="C296" s="2" t="s">
        <v>31</v>
      </c>
      <c r="D296" s="2" t="s">
        <v>31</v>
      </c>
      <c r="E296" s="2" t="s">
        <v>31</v>
      </c>
      <c r="F296" s="2" t="s">
        <v>31</v>
      </c>
      <c r="G296" s="2" t="s">
        <v>31</v>
      </c>
      <c r="H296" s="2" t="s">
        <v>31</v>
      </c>
      <c r="I296" s="2" t="s">
        <v>31</v>
      </c>
      <c r="J296" s="2" t="s">
        <v>31</v>
      </c>
      <c r="K296" s="2" t="s">
        <v>31</v>
      </c>
      <c r="L296" s="2" t="s">
        <v>31</v>
      </c>
      <c r="M296" s="2" t="s">
        <v>31</v>
      </c>
      <c r="N296" s="2" t="s">
        <v>31</v>
      </c>
      <c r="O296" s="2" t="s">
        <v>31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2" t="s">
        <v>28</v>
      </c>
      <c r="V296" s="2" t="s">
        <v>16</v>
      </c>
      <c r="W296" s="2" t="s">
        <v>28</v>
      </c>
      <c r="X296" s="2" t="s">
        <v>21</v>
      </c>
      <c r="Y296" s="2" t="s">
        <v>22</v>
      </c>
      <c r="Z296" s="2" t="s">
        <v>16</v>
      </c>
      <c r="AA296" s="2" t="s">
        <v>24</v>
      </c>
      <c r="AB296" s="2" t="s">
        <v>28</v>
      </c>
      <c r="AC296" s="2" t="s">
        <v>16</v>
      </c>
      <c r="AD296" s="2" t="s">
        <v>17</v>
      </c>
      <c r="AE296" s="2" t="s">
        <v>17</v>
      </c>
      <c r="AF296" s="2" t="s">
        <v>24</v>
      </c>
      <c r="AG296" s="2" t="s">
        <v>18</v>
      </c>
      <c r="AH296" s="2" t="s">
        <v>16</v>
      </c>
      <c r="AI296" s="2" t="s">
        <v>17</v>
      </c>
      <c r="AJ296" s="2" t="s">
        <v>24</v>
      </c>
      <c r="AK296" s="2" t="s">
        <v>24</v>
      </c>
      <c r="AL296" s="2" t="s">
        <v>26</v>
      </c>
    </row>
    <row r="297" ht="14.25" customHeight="1">
      <c r="A297" s="17">
        <v>45797.0</v>
      </c>
      <c r="B297" s="2" t="s">
        <v>31</v>
      </c>
      <c r="C297" s="2" t="s">
        <v>31</v>
      </c>
      <c r="D297" s="2" t="s">
        <v>31</v>
      </c>
      <c r="E297" s="2" t="s">
        <v>31</v>
      </c>
      <c r="F297" s="2" t="s">
        <v>31</v>
      </c>
      <c r="G297" s="2" t="s">
        <v>31</v>
      </c>
      <c r="H297" s="2" t="s">
        <v>31</v>
      </c>
      <c r="I297" s="2" t="s">
        <v>31</v>
      </c>
      <c r="J297" s="2" t="s">
        <v>31</v>
      </c>
      <c r="K297" s="2" t="s">
        <v>31</v>
      </c>
      <c r="L297" s="2" t="s">
        <v>31</v>
      </c>
      <c r="M297" s="2" t="s">
        <v>31</v>
      </c>
      <c r="N297" s="2" t="s">
        <v>31</v>
      </c>
      <c r="O297" s="2" t="s">
        <v>31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2" t="s">
        <v>25</v>
      </c>
      <c r="V297" s="2" t="s">
        <v>25</v>
      </c>
      <c r="W297" s="2" t="s">
        <v>21</v>
      </c>
      <c r="X297" s="2" t="s">
        <v>16</v>
      </c>
      <c r="Y297" s="2" t="s">
        <v>28</v>
      </c>
      <c r="Z297" s="2" t="s">
        <v>26</v>
      </c>
      <c r="AA297" s="2" t="s">
        <v>16</v>
      </c>
      <c r="AB297" s="2" t="s">
        <v>20</v>
      </c>
      <c r="AC297" s="2" t="s">
        <v>25</v>
      </c>
      <c r="AD297" s="2" t="s">
        <v>28</v>
      </c>
      <c r="AE297" s="2" t="s">
        <v>19</v>
      </c>
      <c r="AF297" s="2" t="s">
        <v>18</v>
      </c>
      <c r="AG297" s="2" t="s">
        <v>16</v>
      </c>
      <c r="AH297" s="2" t="s">
        <v>28</v>
      </c>
      <c r="AI297" s="2" t="s">
        <v>21</v>
      </c>
      <c r="AJ297" s="2" t="s">
        <v>21</v>
      </c>
      <c r="AK297" s="2" t="s">
        <v>24</v>
      </c>
      <c r="AL297" s="2" t="s">
        <v>26</v>
      </c>
    </row>
    <row r="298" ht="14.25" customHeight="1">
      <c r="A298" s="17">
        <v>45798.0</v>
      </c>
      <c r="B298" s="2" t="s">
        <v>31</v>
      </c>
      <c r="C298" s="2" t="s">
        <v>31</v>
      </c>
      <c r="D298" s="2" t="s">
        <v>31</v>
      </c>
      <c r="E298" s="2" t="s">
        <v>31</v>
      </c>
      <c r="F298" s="2" t="s">
        <v>31</v>
      </c>
      <c r="G298" s="2" t="s">
        <v>31</v>
      </c>
      <c r="H298" s="2" t="s">
        <v>31</v>
      </c>
      <c r="I298" s="2" t="s">
        <v>31</v>
      </c>
      <c r="J298" s="2" t="s">
        <v>31</v>
      </c>
      <c r="K298" s="2" t="s">
        <v>31</v>
      </c>
      <c r="L298" s="2" t="s">
        <v>31</v>
      </c>
      <c r="M298" s="2" t="s">
        <v>31</v>
      </c>
      <c r="N298" s="2" t="s">
        <v>31</v>
      </c>
      <c r="O298" s="2" t="s">
        <v>31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2" t="s">
        <v>20</v>
      </c>
      <c r="V298" s="2" t="s">
        <v>25</v>
      </c>
      <c r="W298" s="2" t="s">
        <v>17</v>
      </c>
      <c r="X298" s="2" t="s">
        <v>19</v>
      </c>
      <c r="Y298" s="2" t="s">
        <v>16</v>
      </c>
      <c r="Z298" s="2" t="s">
        <v>22</v>
      </c>
      <c r="AA298" s="2" t="s">
        <v>16</v>
      </c>
      <c r="AB298" s="2" t="s">
        <v>25</v>
      </c>
      <c r="AC298" s="2" t="s">
        <v>27</v>
      </c>
      <c r="AD298" s="2" t="s">
        <v>21</v>
      </c>
      <c r="AE298" s="2" t="s">
        <v>26</v>
      </c>
      <c r="AF298" s="2" t="s">
        <v>16</v>
      </c>
      <c r="AG298" s="2" t="s">
        <v>21</v>
      </c>
      <c r="AH298" s="2" t="s">
        <v>16</v>
      </c>
      <c r="AI298" s="2" t="s">
        <v>16</v>
      </c>
      <c r="AJ298" s="2" t="s">
        <v>18</v>
      </c>
      <c r="AK298" s="2" t="s">
        <v>20</v>
      </c>
      <c r="AL298" s="2" t="s">
        <v>25</v>
      </c>
    </row>
    <row r="299" ht="14.25" customHeight="1">
      <c r="A299" s="17">
        <v>45799.0</v>
      </c>
      <c r="B299" s="2" t="s">
        <v>31</v>
      </c>
      <c r="C299" s="2" t="s">
        <v>31</v>
      </c>
      <c r="D299" s="2" t="s">
        <v>31</v>
      </c>
      <c r="E299" s="2" t="s">
        <v>31</v>
      </c>
      <c r="F299" s="2" t="s">
        <v>31</v>
      </c>
      <c r="G299" s="2" t="s">
        <v>31</v>
      </c>
      <c r="H299" s="2" t="s">
        <v>31</v>
      </c>
      <c r="I299" s="2" t="s">
        <v>31</v>
      </c>
      <c r="J299" s="2" t="s">
        <v>31</v>
      </c>
      <c r="K299" s="2" t="s">
        <v>31</v>
      </c>
      <c r="L299" s="2" t="s">
        <v>31</v>
      </c>
      <c r="M299" s="2" t="s">
        <v>31</v>
      </c>
      <c r="N299" s="2" t="s">
        <v>31</v>
      </c>
      <c r="O299" s="2" t="s">
        <v>31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2" t="s">
        <v>20</v>
      </c>
      <c r="V299" s="2" t="s">
        <v>22</v>
      </c>
      <c r="W299" s="2" t="s">
        <v>17</v>
      </c>
      <c r="X299" s="2" t="s">
        <v>26</v>
      </c>
      <c r="Y299" s="2" t="s">
        <v>25</v>
      </c>
      <c r="Z299" s="2" t="s">
        <v>26</v>
      </c>
      <c r="AA299" s="2" t="s">
        <v>16</v>
      </c>
      <c r="AB299" s="2" t="s">
        <v>16</v>
      </c>
      <c r="AC299" s="2" t="s">
        <v>24</v>
      </c>
      <c r="AD299" s="2" t="s">
        <v>21</v>
      </c>
      <c r="AE299" s="2" t="s">
        <v>24</v>
      </c>
      <c r="AF299" s="2" t="s">
        <v>16</v>
      </c>
      <c r="AG299" s="2" t="s">
        <v>21</v>
      </c>
      <c r="AH299" s="2" t="s">
        <v>19</v>
      </c>
      <c r="AI299" s="2" t="s">
        <v>25</v>
      </c>
      <c r="AJ299" s="2" t="s">
        <v>16</v>
      </c>
      <c r="AK299" s="2" t="s">
        <v>24</v>
      </c>
      <c r="AL299" s="2" t="s">
        <v>16</v>
      </c>
    </row>
    <row r="300" ht="14.25" customHeight="1">
      <c r="A300" s="17">
        <v>45800.0</v>
      </c>
      <c r="B300" s="2" t="s">
        <v>31</v>
      </c>
      <c r="C300" s="2" t="s">
        <v>31</v>
      </c>
      <c r="D300" s="2" t="s">
        <v>31</v>
      </c>
      <c r="E300" s="2" t="s">
        <v>31</v>
      </c>
      <c r="F300" s="2" t="s">
        <v>31</v>
      </c>
      <c r="G300" s="2" t="s">
        <v>31</v>
      </c>
      <c r="H300" s="2" t="s">
        <v>31</v>
      </c>
      <c r="I300" s="2" t="s">
        <v>31</v>
      </c>
      <c r="J300" s="2" t="s">
        <v>31</v>
      </c>
      <c r="K300" s="2" t="s">
        <v>31</v>
      </c>
      <c r="L300" s="2" t="s">
        <v>31</v>
      </c>
      <c r="M300" s="2" t="s">
        <v>31</v>
      </c>
      <c r="N300" s="2" t="s">
        <v>31</v>
      </c>
      <c r="O300" s="2" t="s">
        <v>31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2" t="s">
        <v>16</v>
      </c>
      <c r="V300" s="2" t="s">
        <v>21</v>
      </c>
      <c r="W300" s="2" t="s">
        <v>17</v>
      </c>
      <c r="X300" s="2" t="s">
        <v>20</v>
      </c>
      <c r="Y300" s="2" t="s">
        <v>16</v>
      </c>
      <c r="Z300" s="2" t="s">
        <v>16</v>
      </c>
      <c r="AA300" s="2" t="s">
        <v>20</v>
      </c>
      <c r="AB300" s="2" t="s">
        <v>17</v>
      </c>
      <c r="AC300" s="2" t="s">
        <v>17</v>
      </c>
      <c r="AD300" s="2" t="s">
        <v>16</v>
      </c>
      <c r="AE300" s="2" t="s">
        <v>20</v>
      </c>
      <c r="AF300" s="2" t="s">
        <v>19</v>
      </c>
      <c r="AG300" s="2" t="s">
        <v>22</v>
      </c>
      <c r="AH300" s="2" t="s">
        <v>16</v>
      </c>
      <c r="AI300" s="2" t="s">
        <v>25</v>
      </c>
      <c r="AJ300" s="2" t="s">
        <v>24</v>
      </c>
      <c r="AK300" s="2" t="s">
        <v>16</v>
      </c>
      <c r="AL300" s="2" t="s">
        <v>24</v>
      </c>
    </row>
    <row r="301" ht="14.25" customHeight="1">
      <c r="A301" s="17">
        <v>45801.0</v>
      </c>
      <c r="B301" s="2" t="s">
        <v>24</v>
      </c>
      <c r="C301" s="2" t="s">
        <v>17</v>
      </c>
      <c r="D301" s="2" t="s">
        <v>16</v>
      </c>
      <c r="E301" s="2" t="s">
        <v>32</v>
      </c>
      <c r="F301" s="2" t="s">
        <v>39</v>
      </c>
      <c r="G301" s="2" t="s">
        <v>43</v>
      </c>
      <c r="H301" s="2" t="s">
        <v>34</v>
      </c>
      <c r="I301" s="2" t="s">
        <v>32</v>
      </c>
      <c r="J301" s="2" t="s">
        <v>38</v>
      </c>
      <c r="K301" s="2" t="s">
        <v>32</v>
      </c>
      <c r="L301" s="2" t="s">
        <v>33</v>
      </c>
      <c r="M301" s="2" t="s">
        <v>23</v>
      </c>
      <c r="N301" s="2" t="s">
        <v>41</v>
      </c>
      <c r="O301" s="2" t="s">
        <v>34</v>
      </c>
      <c r="P301" s="2" t="s">
        <v>41</v>
      </c>
      <c r="Q301" s="2" t="s">
        <v>20</v>
      </c>
      <c r="R301" s="2" t="s">
        <v>33</v>
      </c>
      <c r="S301" s="2" t="s">
        <v>16</v>
      </c>
      <c r="T301" s="2" t="s">
        <v>34</v>
      </c>
      <c r="U301" s="2" t="s">
        <v>25</v>
      </c>
      <c r="V301" s="2" t="s">
        <v>22</v>
      </c>
      <c r="W301" s="2" t="s">
        <v>28</v>
      </c>
      <c r="X301" s="2" t="s">
        <v>25</v>
      </c>
      <c r="Y301" s="2" t="s">
        <v>20</v>
      </c>
      <c r="Z301" s="2" t="s">
        <v>25</v>
      </c>
      <c r="AA301" s="2" t="s">
        <v>16</v>
      </c>
      <c r="AB301" s="2" t="s">
        <v>17</v>
      </c>
      <c r="AC301" s="2" t="s">
        <v>16</v>
      </c>
      <c r="AD301" s="2" t="s">
        <v>21</v>
      </c>
      <c r="AE301" s="2" t="s">
        <v>27</v>
      </c>
      <c r="AF301" s="2" t="s">
        <v>28</v>
      </c>
      <c r="AG301" s="2" t="s">
        <v>22</v>
      </c>
      <c r="AH301" s="2" t="s">
        <v>16</v>
      </c>
      <c r="AI301" s="2" t="s">
        <v>22</v>
      </c>
      <c r="AJ301" s="2" t="s">
        <v>28</v>
      </c>
      <c r="AK301" s="2" t="s">
        <v>16</v>
      </c>
      <c r="AL301" s="2" t="s">
        <v>28</v>
      </c>
    </row>
    <row r="302" ht="14.25" customHeight="1">
      <c r="A302" s="17">
        <v>45802.0</v>
      </c>
      <c r="B302" s="2" t="s">
        <v>31</v>
      </c>
      <c r="C302" s="2" t="s">
        <v>31</v>
      </c>
      <c r="D302" s="2" t="s">
        <v>31</v>
      </c>
      <c r="E302" s="2" t="s">
        <v>31</v>
      </c>
      <c r="F302" s="2" t="s">
        <v>31</v>
      </c>
      <c r="G302" s="2" t="s">
        <v>31</v>
      </c>
      <c r="H302" s="2" t="s">
        <v>31</v>
      </c>
      <c r="I302" s="2" t="s">
        <v>31</v>
      </c>
      <c r="J302" s="2" t="s">
        <v>31</v>
      </c>
      <c r="K302" s="2" t="s">
        <v>31</v>
      </c>
      <c r="L302" s="2" t="s">
        <v>31</v>
      </c>
      <c r="M302" s="2" t="s">
        <v>31</v>
      </c>
      <c r="N302" s="2" t="s">
        <v>31</v>
      </c>
      <c r="O302" s="2" t="s">
        <v>31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2" t="s">
        <v>21</v>
      </c>
      <c r="V302" s="2" t="s">
        <v>25</v>
      </c>
      <c r="W302" s="2" t="s">
        <v>16</v>
      </c>
      <c r="X302" s="2" t="s">
        <v>22</v>
      </c>
      <c r="Y302" s="2" t="s">
        <v>25</v>
      </c>
      <c r="Z302" s="2" t="s">
        <v>25</v>
      </c>
      <c r="AA302" s="2" t="s">
        <v>17</v>
      </c>
      <c r="AB302" s="2" t="s">
        <v>24</v>
      </c>
      <c r="AC302" s="2" t="s">
        <v>22</v>
      </c>
      <c r="AD302" s="2" t="s">
        <v>27</v>
      </c>
      <c r="AE302" s="2" t="s">
        <v>27</v>
      </c>
      <c r="AF302" s="2" t="s">
        <v>17</v>
      </c>
      <c r="AG302" s="2" t="s">
        <v>16</v>
      </c>
      <c r="AH302" s="2" t="s">
        <v>16</v>
      </c>
      <c r="AI302" s="2" t="s">
        <v>27</v>
      </c>
      <c r="AJ302" s="2" t="s">
        <v>27</v>
      </c>
      <c r="AK302" s="2" t="s">
        <v>24</v>
      </c>
      <c r="AL302" s="2" t="s">
        <v>17</v>
      </c>
    </row>
    <row r="303" ht="14.25" customHeight="1">
      <c r="A303" s="17">
        <v>45803.0</v>
      </c>
      <c r="B303" s="2" t="s">
        <v>31</v>
      </c>
      <c r="C303" s="2" t="s">
        <v>31</v>
      </c>
      <c r="D303" s="2" t="s">
        <v>31</v>
      </c>
      <c r="E303" s="2" t="s">
        <v>31</v>
      </c>
      <c r="F303" s="2" t="s">
        <v>31</v>
      </c>
      <c r="G303" s="2" t="s">
        <v>31</v>
      </c>
      <c r="H303" s="2" t="s">
        <v>31</v>
      </c>
      <c r="I303" s="2" t="s">
        <v>31</v>
      </c>
      <c r="J303" s="2" t="s">
        <v>31</v>
      </c>
      <c r="K303" s="2" t="s">
        <v>31</v>
      </c>
      <c r="L303" s="2" t="s">
        <v>31</v>
      </c>
      <c r="M303" s="2" t="s">
        <v>31</v>
      </c>
      <c r="N303" s="2" t="s">
        <v>31</v>
      </c>
      <c r="O303" s="2" t="s">
        <v>31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2" t="s">
        <v>21</v>
      </c>
      <c r="V303" s="2" t="s">
        <v>21</v>
      </c>
      <c r="W303" s="2" t="s">
        <v>16</v>
      </c>
      <c r="X303" s="2" t="s">
        <v>20</v>
      </c>
      <c r="Y303" s="2" t="s">
        <v>16</v>
      </c>
      <c r="Z303" s="2" t="s">
        <v>26</v>
      </c>
      <c r="AA303" s="2" t="s">
        <v>24</v>
      </c>
      <c r="AB303" s="2" t="s">
        <v>18</v>
      </c>
      <c r="AC303" s="2" t="s">
        <v>16</v>
      </c>
      <c r="AD303" s="2" t="s">
        <v>16</v>
      </c>
      <c r="AE303" s="2" t="s">
        <v>16</v>
      </c>
      <c r="AF303" s="2" t="s">
        <v>16</v>
      </c>
      <c r="AG303" s="2" t="s">
        <v>19</v>
      </c>
      <c r="AH303" s="2" t="s">
        <v>26</v>
      </c>
      <c r="AI303" s="2" t="s">
        <v>22</v>
      </c>
      <c r="AJ303" s="2" t="s">
        <v>28</v>
      </c>
      <c r="AK303" s="2" t="s">
        <v>21</v>
      </c>
      <c r="AL303" s="2" t="s">
        <v>27</v>
      </c>
    </row>
    <row r="304" ht="14.25" customHeight="1">
      <c r="A304" s="17">
        <v>45804.0</v>
      </c>
      <c r="B304" s="2" t="s">
        <v>31</v>
      </c>
      <c r="C304" s="2" t="s">
        <v>31</v>
      </c>
      <c r="D304" s="2" t="s">
        <v>31</v>
      </c>
      <c r="E304" s="2" t="s">
        <v>31</v>
      </c>
      <c r="F304" s="2" t="s">
        <v>31</v>
      </c>
      <c r="G304" s="2" t="s">
        <v>31</v>
      </c>
      <c r="H304" s="2" t="s">
        <v>31</v>
      </c>
      <c r="I304" s="2" t="s">
        <v>31</v>
      </c>
      <c r="J304" s="2" t="s">
        <v>31</v>
      </c>
      <c r="K304" s="2" t="s">
        <v>31</v>
      </c>
      <c r="L304" s="2" t="s">
        <v>31</v>
      </c>
      <c r="M304" s="2" t="s">
        <v>31</v>
      </c>
      <c r="N304" s="2" t="s">
        <v>31</v>
      </c>
      <c r="O304" s="2" t="s">
        <v>31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2" t="s">
        <v>23</v>
      </c>
      <c r="V304" s="2" t="s">
        <v>28</v>
      </c>
      <c r="W304" s="2" t="s">
        <v>16</v>
      </c>
      <c r="X304" s="2" t="s">
        <v>28</v>
      </c>
      <c r="Y304" s="2" t="s">
        <v>17</v>
      </c>
      <c r="Z304" s="2" t="s">
        <v>20</v>
      </c>
      <c r="AA304" s="2" t="s">
        <v>20</v>
      </c>
      <c r="AB304" s="2" t="s">
        <v>22</v>
      </c>
      <c r="AC304" s="2" t="s">
        <v>16</v>
      </c>
      <c r="AD304" s="2" t="s">
        <v>21</v>
      </c>
      <c r="AE304" s="2" t="s">
        <v>17</v>
      </c>
      <c r="AF304" s="2" t="s">
        <v>21</v>
      </c>
      <c r="AG304" s="2" t="s">
        <v>17</v>
      </c>
      <c r="AH304" s="2" t="s">
        <v>28</v>
      </c>
      <c r="AI304" s="2" t="s">
        <v>16</v>
      </c>
      <c r="AJ304" s="2" t="s">
        <v>16</v>
      </c>
      <c r="AK304" s="2" t="s">
        <v>16</v>
      </c>
      <c r="AL304" s="2" t="s">
        <v>18</v>
      </c>
    </row>
    <row r="305" ht="14.25" customHeight="1">
      <c r="A305" s="17">
        <v>45805.0</v>
      </c>
      <c r="B305" s="2" t="s">
        <v>31</v>
      </c>
      <c r="C305" s="2" t="s">
        <v>31</v>
      </c>
      <c r="D305" s="2" t="s">
        <v>31</v>
      </c>
      <c r="E305" s="2" t="s">
        <v>31</v>
      </c>
      <c r="F305" s="2" t="s">
        <v>31</v>
      </c>
      <c r="G305" s="2" t="s">
        <v>31</v>
      </c>
      <c r="H305" s="2" t="s">
        <v>31</v>
      </c>
      <c r="I305" s="2" t="s">
        <v>31</v>
      </c>
      <c r="J305" s="2" t="s">
        <v>31</v>
      </c>
      <c r="K305" s="2" t="s">
        <v>31</v>
      </c>
      <c r="L305" s="2" t="s">
        <v>31</v>
      </c>
      <c r="M305" s="2" t="s">
        <v>31</v>
      </c>
      <c r="N305" s="2" t="s">
        <v>31</v>
      </c>
      <c r="O305" s="2" t="s">
        <v>31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2" t="s">
        <v>26</v>
      </c>
      <c r="V305" s="2" t="s">
        <v>21</v>
      </c>
      <c r="W305" s="2" t="s">
        <v>18</v>
      </c>
      <c r="X305" s="2" t="s">
        <v>26</v>
      </c>
      <c r="Y305" s="2" t="s">
        <v>26</v>
      </c>
      <c r="Z305" s="2" t="s">
        <v>26</v>
      </c>
      <c r="AA305" s="2" t="s">
        <v>19</v>
      </c>
      <c r="AB305" s="2" t="s">
        <v>24</v>
      </c>
      <c r="AC305" s="2" t="s">
        <v>26</v>
      </c>
      <c r="AD305" s="2" t="s">
        <v>27</v>
      </c>
      <c r="AE305" s="2" t="s">
        <v>16</v>
      </c>
      <c r="AF305" s="2" t="s">
        <v>18</v>
      </c>
      <c r="AG305" s="2" t="s">
        <v>24</v>
      </c>
      <c r="AH305" s="2" t="s">
        <v>20</v>
      </c>
      <c r="AI305" s="2" t="s">
        <v>24</v>
      </c>
      <c r="AJ305" s="2" t="s">
        <v>25</v>
      </c>
      <c r="AK305" s="2" t="s">
        <v>17</v>
      </c>
      <c r="AL305" s="2" t="s">
        <v>23</v>
      </c>
    </row>
    <row r="306" ht="14.25" customHeight="1">
      <c r="A306" s="17">
        <v>45806.0</v>
      </c>
      <c r="B306" s="2" t="s">
        <v>31</v>
      </c>
      <c r="C306" s="2" t="s">
        <v>31</v>
      </c>
      <c r="D306" s="2" t="s">
        <v>31</v>
      </c>
      <c r="E306" s="2" t="s">
        <v>31</v>
      </c>
      <c r="F306" s="2" t="s">
        <v>31</v>
      </c>
      <c r="G306" s="2" t="s">
        <v>31</v>
      </c>
      <c r="H306" s="2" t="s">
        <v>31</v>
      </c>
      <c r="I306" s="2" t="s">
        <v>31</v>
      </c>
      <c r="J306" s="2" t="s">
        <v>31</v>
      </c>
      <c r="K306" s="2" t="s">
        <v>31</v>
      </c>
      <c r="L306" s="2" t="s">
        <v>31</v>
      </c>
      <c r="M306" s="2" t="s">
        <v>31</v>
      </c>
      <c r="N306" s="2" t="s">
        <v>31</v>
      </c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2" t="s">
        <v>16</v>
      </c>
      <c r="V306" s="2" t="s">
        <v>17</v>
      </c>
      <c r="W306" s="2" t="s">
        <v>21</v>
      </c>
      <c r="X306" s="2" t="s">
        <v>22</v>
      </c>
      <c r="Y306" s="2" t="s">
        <v>18</v>
      </c>
      <c r="Z306" s="2" t="s">
        <v>22</v>
      </c>
      <c r="AA306" s="2" t="s">
        <v>16</v>
      </c>
      <c r="AB306" s="2" t="s">
        <v>27</v>
      </c>
      <c r="AC306" s="2" t="s">
        <v>28</v>
      </c>
      <c r="AD306" s="2" t="s">
        <v>19</v>
      </c>
      <c r="AE306" s="2" t="s">
        <v>19</v>
      </c>
      <c r="AF306" s="2" t="s">
        <v>22</v>
      </c>
      <c r="AG306" s="2" t="s">
        <v>16</v>
      </c>
      <c r="AH306" s="2" t="s">
        <v>27</v>
      </c>
      <c r="AI306" s="2" t="s">
        <v>20</v>
      </c>
      <c r="AJ306" s="2" t="s">
        <v>25</v>
      </c>
      <c r="AK306" s="2" t="s">
        <v>18</v>
      </c>
      <c r="AL306" s="2" t="s">
        <v>27</v>
      </c>
    </row>
    <row r="307" ht="14.25" customHeight="1">
      <c r="A307" s="17">
        <v>45807.0</v>
      </c>
      <c r="B307" s="2" t="s">
        <v>31</v>
      </c>
      <c r="C307" s="2" t="s">
        <v>31</v>
      </c>
      <c r="D307" s="2" t="s">
        <v>31</v>
      </c>
      <c r="E307" s="2" t="s">
        <v>31</v>
      </c>
      <c r="F307" s="2" t="s">
        <v>31</v>
      </c>
      <c r="G307" s="2" t="s">
        <v>31</v>
      </c>
      <c r="H307" s="2" t="s">
        <v>31</v>
      </c>
      <c r="I307" s="2" t="s">
        <v>31</v>
      </c>
      <c r="J307" s="2" t="s">
        <v>31</v>
      </c>
      <c r="K307" s="2" t="s">
        <v>31</v>
      </c>
      <c r="L307" s="2" t="s">
        <v>31</v>
      </c>
      <c r="M307" s="2" t="s">
        <v>31</v>
      </c>
      <c r="N307" s="2" t="s">
        <v>31</v>
      </c>
      <c r="O307" s="2" t="s">
        <v>31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2" t="s">
        <v>17</v>
      </c>
      <c r="V307" s="2" t="s">
        <v>22</v>
      </c>
      <c r="W307" s="2" t="s">
        <v>19</v>
      </c>
      <c r="X307" s="2" t="s">
        <v>27</v>
      </c>
      <c r="Y307" s="2" t="s">
        <v>16</v>
      </c>
      <c r="Z307" s="2" t="s">
        <v>21</v>
      </c>
      <c r="AA307" s="2" t="s">
        <v>17</v>
      </c>
      <c r="AB307" s="2" t="s">
        <v>27</v>
      </c>
      <c r="AC307" s="2" t="s">
        <v>16</v>
      </c>
      <c r="AD307" s="2" t="s">
        <v>16</v>
      </c>
      <c r="AE307" s="2" t="s">
        <v>24</v>
      </c>
      <c r="AF307" s="2" t="s">
        <v>19</v>
      </c>
      <c r="AG307" s="2" t="s">
        <v>26</v>
      </c>
      <c r="AH307" s="2" t="s">
        <v>25</v>
      </c>
      <c r="AI307" s="2" t="s">
        <v>20</v>
      </c>
      <c r="AJ307" s="2" t="s">
        <v>19</v>
      </c>
      <c r="AK307" s="2" t="s">
        <v>25</v>
      </c>
      <c r="AL307" s="2" t="s">
        <v>16</v>
      </c>
    </row>
    <row r="308" ht="14.25" customHeight="1">
      <c r="A308" s="17">
        <v>45808.0</v>
      </c>
      <c r="B308" s="2" t="s">
        <v>20</v>
      </c>
      <c r="C308" s="2" t="s">
        <v>35</v>
      </c>
      <c r="D308" s="2" t="s">
        <v>28</v>
      </c>
      <c r="E308" s="2" t="s">
        <v>29</v>
      </c>
      <c r="F308" s="2" t="s">
        <v>20</v>
      </c>
      <c r="G308" s="2" t="s">
        <v>42</v>
      </c>
      <c r="H308" s="2" t="s">
        <v>32</v>
      </c>
      <c r="I308" s="2" t="s">
        <v>40</v>
      </c>
      <c r="J308" s="2" t="s">
        <v>22</v>
      </c>
      <c r="K308" s="2" t="s">
        <v>16</v>
      </c>
      <c r="L308" s="2" t="s">
        <v>38</v>
      </c>
      <c r="M308" s="2" t="s">
        <v>43</v>
      </c>
      <c r="N308" s="2" t="s">
        <v>16</v>
      </c>
      <c r="O308" s="2" t="s">
        <v>33</v>
      </c>
      <c r="P308" s="2" t="s">
        <v>30</v>
      </c>
      <c r="Q308" s="2" t="s">
        <v>38</v>
      </c>
      <c r="R308" s="2" t="s">
        <v>22</v>
      </c>
      <c r="S308" s="2" t="s">
        <v>24</v>
      </c>
      <c r="T308" s="2" t="s">
        <v>24</v>
      </c>
      <c r="U308" s="2" t="s">
        <v>24</v>
      </c>
      <c r="V308" s="2" t="s">
        <v>17</v>
      </c>
      <c r="W308" s="2" t="s">
        <v>28</v>
      </c>
      <c r="X308" s="2" t="s">
        <v>28</v>
      </c>
      <c r="Y308" s="2" t="s">
        <v>24</v>
      </c>
      <c r="Z308" s="2" t="s">
        <v>16</v>
      </c>
      <c r="AA308" s="2" t="s">
        <v>21</v>
      </c>
      <c r="AB308" s="2" t="s">
        <v>23</v>
      </c>
      <c r="AC308" s="2" t="s">
        <v>22</v>
      </c>
      <c r="AD308" s="2" t="s">
        <v>27</v>
      </c>
      <c r="AE308" s="2" t="s">
        <v>16</v>
      </c>
      <c r="AF308" s="2" t="s">
        <v>28</v>
      </c>
      <c r="AG308" s="2" t="s">
        <v>25</v>
      </c>
      <c r="AH308" s="2" t="s">
        <v>22</v>
      </c>
      <c r="AI308" s="2" t="s">
        <v>23</v>
      </c>
      <c r="AJ308" s="2" t="s">
        <v>23</v>
      </c>
      <c r="AK308" s="2" t="s">
        <v>28</v>
      </c>
      <c r="AL308" s="2" t="s">
        <v>27</v>
      </c>
    </row>
    <row r="309" ht="14.25" customHeight="1">
      <c r="A309" s="17">
        <v>45809.0</v>
      </c>
      <c r="B309" s="2" t="s">
        <v>31</v>
      </c>
      <c r="C309" s="2" t="s">
        <v>31</v>
      </c>
      <c r="D309" s="2" t="s">
        <v>31</v>
      </c>
      <c r="E309" s="2" t="s">
        <v>31</v>
      </c>
      <c r="F309" s="2" t="s">
        <v>31</v>
      </c>
      <c r="G309" s="2" t="s">
        <v>31</v>
      </c>
      <c r="H309" s="2" t="s">
        <v>31</v>
      </c>
      <c r="I309" s="2" t="s">
        <v>31</v>
      </c>
      <c r="J309" s="2" t="s">
        <v>31</v>
      </c>
      <c r="K309" s="2" t="s">
        <v>31</v>
      </c>
      <c r="L309" s="2" t="s">
        <v>31</v>
      </c>
      <c r="M309" s="2" t="s">
        <v>31</v>
      </c>
      <c r="N309" s="2" t="s">
        <v>31</v>
      </c>
      <c r="O309" s="2" t="s">
        <v>31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2" t="s">
        <v>16</v>
      </c>
      <c r="V309" s="2" t="s">
        <v>26</v>
      </c>
      <c r="W309" s="2" t="s">
        <v>21</v>
      </c>
      <c r="X309" s="2" t="s">
        <v>23</v>
      </c>
      <c r="Y309" s="2" t="s">
        <v>16</v>
      </c>
      <c r="Z309" s="2" t="s">
        <v>16</v>
      </c>
      <c r="AA309" s="2" t="s">
        <v>16</v>
      </c>
      <c r="AB309" s="2" t="s">
        <v>28</v>
      </c>
      <c r="AC309" s="2" t="s">
        <v>17</v>
      </c>
      <c r="AD309" s="2" t="s">
        <v>16</v>
      </c>
      <c r="AE309" s="2" t="s">
        <v>27</v>
      </c>
      <c r="AF309" s="2" t="s">
        <v>17</v>
      </c>
      <c r="AG309" s="2" t="s">
        <v>25</v>
      </c>
      <c r="AH309" s="2" t="s">
        <v>19</v>
      </c>
      <c r="AI309" s="2" t="s">
        <v>21</v>
      </c>
      <c r="AJ309" s="2" t="s">
        <v>16</v>
      </c>
      <c r="AK309" s="2" t="s">
        <v>26</v>
      </c>
      <c r="AL309" s="2" t="s">
        <v>17</v>
      </c>
    </row>
    <row r="310" ht="14.25" customHeight="1">
      <c r="A310" s="17">
        <v>45810.0</v>
      </c>
      <c r="B310" s="2" t="s">
        <v>31</v>
      </c>
      <c r="C310" s="2" t="s">
        <v>31</v>
      </c>
      <c r="D310" s="2" t="s">
        <v>31</v>
      </c>
      <c r="E310" s="2" t="s">
        <v>31</v>
      </c>
      <c r="F310" s="2" t="s">
        <v>31</v>
      </c>
      <c r="G310" s="2" t="s">
        <v>31</v>
      </c>
      <c r="H310" s="2" t="s">
        <v>31</v>
      </c>
      <c r="I310" s="2" t="s">
        <v>31</v>
      </c>
      <c r="J310" s="2" t="s">
        <v>31</v>
      </c>
      <c r="K310" s="2" t="s">
        <v>31</v>
      </c>
      <c r="L310" s="2" t="s">
        <v>31</v>
      </c>
      <c r="M310" s="2" t="s">
        <v>31</v>
      </c>
      <c r="N310" s="2" t="s">
        <v>31</v>
      </c>
      <c r="O310" s="2" t="s">
        <v>31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2" t="s">
        <v>21</v>
      </c>
      <c r="V310" s="2" t="s">
        <v>16</v>
      </c>
      <c r="W310" s="2" t="s">
        <v>24</v>
      </c>
      <c r="X310" s="2" t="s">
        <v>17</v>
      </c>
      <c r="Y310" s="2" t="s">
        <v>19</v>
      </c>
      <c r="Z310" s="2" t="s">
        <v>21</v>
      </c>
      <c r="AA310" s="2" t="s">
        <v>26</v>
      </c>
      <c r="AB310" s="2" t="s">
        <v>17</v>
      </c>
      <c r="AC310" s="2" t="s">
        <v>16</v>
      </c>
      <c r="AD310" s="2" t="s">
        <v>27</v>
      </c>
      <c r="AE310" s="2" t="s">
        <v>28</v>
      </c>
      <c r="AF310" s="2" t="s">
        <v>16</v>
      </c>
      <c r="AG310" s="2" t="s">
        <v>21</v>
      </c>
      <c r="AH310" s="2" t="s">
        <v>16</v>
      </c>
      <c r="AI310" s="2" t="s">
        <v>17</v>
      </c>
      <c r="AJ310" s="2" t="s">
        <v>23</v>
      </c>
      <c r="AK310" s="2" t="s">
        <v>25</v>
      </c>
      <c r="AL310" s="2" t="s">
        <v>24</v>
      </c>
    </row>
    <row r="311" ht="14.25" customHeight="1">
      <c r="A311" s="17">
        <v>45811.0</v>
      </c>
      <c r="B311" s="2" t="s">
        <v>31</v>
      </c>
      <c r="C311" s="2" t="s">
        <v>31</v>
      </c>
      <c r="D311" s="2" t="s">
        <v>31</v>
      </c>
      <c r="E311" s="2" t="s">
        <v>31</v>
      </c>
      <c r="F311" s="2" t="s">
        <v>31</v>
      </c>
      <c r="G311" s="2" t="s">
        <v>31</v>
      </c>
      <c r="H311" s="2" t="s">
        <v>31</v>
      </c>
      <c r="I311" s="2" t="s">
        <v>31</v>
      </c>
      <c r="J311" s="2" t="s">
        <v>31</v>
      </c>
      <c r="K311" s="2" t="s">
        <v>31</v>
      </c>
      <c r="L311" s="2" t="s">
        <v>31</v>
      </c>
      <c r="M311" s="2" t="s">
        <v>31</v>
      </c>
      <c r="N311" s="2" t="s">
        <v>31</v>
      </c>
      <c r="O311" s="2" t="s">
        <v>31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2" t="s">
        <v>16</v>
      </c>
      <c r="V311" s="2" t="s">
        <v>25</v>
      </c>
      <c r="W311" s="2" t="s">
        <v>16</v>
      </c>
      <c r="X311" s="2" t="s">
        <v>16</v>
      </c>
      <c r="Y311" s="2" t="s">
        <v>27</v>
      </c>
      <c r="Z311" s="2" t="s">
        <v>24</v>
      </c>
      <c r="AA311" s="2" t="s">
        <v>27</v>
      </c>
      <c r="AB311" s="2" t="s">
        <v>28</v>
      </c>
      <c r="AC311" s="2" t="s">
        <v>16</v>
      </c>
      <c r="AD311" s="2" t="s">
        <v>28</v>
      </c>
      <c r="AE311" s="2" t="s">
        <v>22</v>
      </c>
      <c r="AF311" s="2" t="s">
        <v>28</v>
      </c>
      <c r="AG311" s="2" t="s">
        <v>27</v>
      </c>
      <c r="AH311" s="2" t="s">
        <v>23</v>
      </c>
      <c r="AI311" s="2" t="s">
        <v>26</v>
      </c>
      <c r="AJ311" s="2" t="s">
        <v>26</v>
      </c>
      <c r="AK311" s="2" t="s">
        <v>24</v>
      </c>
      <c r="AL311" s="2" t="s">
        <v>24</v>
      </c>
    </row>
    <row r="312" ht="14.25" customHeight="1">
      <c r="A312" s="17">
        <v>45812.0</v>
      </c>
      <c r="B312" s="2" t="s">
        <v>31</v>
      </c>
      <c r="C312" s="2" t="s">
        <v>31</v>
      </c>
      <c r="D312" s="2" t="s">
        <v>31</v>
      </c>
      <c r="E312" s="2" t="s">
        <v>31</v>
      </c>
      <c r="F312" s="2" t="s">
        <v>31</v>
      </c>
      <c r="G312" s="2" t="s">
        <v>31</v>
      </c>
      <c r="H312" s="2" t="s">
        <v>31</v>
      </c>
      <c r="I312" s="2" t="s">
        <v>31</v>
      </c>
      <c r="J312" s="2" t="s">
        <v>31</v>
      </c>
      <c r="K312" s="2" t="s">
        <v>31</v>
      </c>
      <c r="L312" s="2" t="s">
        <v>31</v>
      </c>
      <c r="M312" s="2" t="s">
        <v>31</v>
      </c>
      <c r="N312" s="2" t="s">
        <v>31</v>
      </c>
      <c r="O312" s="2" t="s">
        <v>31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2" t="s">
        <v>25</v>
      </c>
      <c r="V312" s="2" t="s">
        <v>18</v>
      </c>
      <c r="W312" s="2" t="s">
        <v>16</v>
      </c>
      <c r="X312" s="2" t="s">
        <v>19</v>
      </c>
      <c r="Y312" s="2" t="s">
        <v>20</v>
      </c>
      <c r="Z312" s="2" t="s">
        <v>16</v>
      </c>
      <c r="AA312" s="2" t="s">
        <v>19</v>
      </c>
      <c r="AB312" s="2" t="s">
        <v>16</v>
      </c>
      <c r="AC312" s="2" t="s">
        <v>19</v>
      </c>
      <c r="AD312" s="2" t="s">
        <v>28</v>
      </c>
      <c r="AE312" s="2" t="s">
        <v>27</v>
      </c>
      <c r="AF312" s="2" t="s">
        <v>17</v>
      </c>
      <c r="AG312" s="2" t="s">
        <v>21</v>
      </c>
      <c r="AH312" s="2" t="s">
        <v>25</v>
      </c>
      <c r="AI312" s="2" t="s">
        <v>23</v>
      </c>
      <c r="AJ312" s="2" t="s">
        <v>19</v>
      </c>
      <c r="AK312" s="2" t="s">
        <v>16</v>
      </c>
      <c r="AL312" s="2" t="s">
        <v>17</v>
      </c>
    </row>
    <row r="313" ht="14.25" customHeight="1">
      <c r="A313" s="17">
        <v>45813.0</v>
      </c>
      <c r="B313" s="2" t="s">
        <v>31</v>
      </c>
      <c r="C313" s="2" t="s">
        <v>31</v>
      </c>
      <c r="D313" s="2" t="s">
        <v>31</v>
      </c>
      <c r="E313" s="2" t="s">
        <v>31</v>
      </c>
      <c r="F313" s="2" t="s">
        <v>31</v>
      </c>
      <c r="G313" s="2" t="s">
        <v>31</v>
      </c>
      <c r="H313" s="2" t="s">
        <v>31</v>
      </c>
      <c r="I313" s="2" t="s">
        <v>31</v>
      </c>
      <c r="J313" s="2" t="s">
        <v>31</v>
      </c>
      <c r="K313" s="2" t="s">
        <v>31</v>
      </c>
      <c r="L313" s="2" t="s">
        <v>31</v>
      </c>
      <c r="M313" s="2" t="s">
        <v>31</v>
      </c>
      <c r="N313" s="2" t="s">
        <v>31</v>
      </c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2" t="s">
        <v>22</v>
      </c>
      <c r="V313" s="2" t="s">
        <v>20</v>
      </c>
      <c r="W313" s="2" t="s">
        <v>22</v>
      </c>
      <c r="X313" s="2" t="s">
        <v>16</v>
      </c>
      <c r="Y313" s="2" t="s">
        <v>21</v>
      </c>
      <c r="Z313" s="2" t="s">
        <v>16</v>
      </c>
      <c r="AA313" s="2" t="s">
        <v>16</v>
      </c>
      <c r="AB313" s="2" t="s">
        <v>16</v>
      </c>
      <c r="AC313" s="2" t="s">
        <v>21</v>
      </c>
      <c r="AD313" s="2" t="s">
        <v>21</v>
      </c>
      <c r="AE313" s="2" t="s">
        <v>16</v>
      </c>
      <c r="AF313" s="2" t="s">
        <v>23</v>
      </c>
      <c r="AG313" s="2" t="s">
        <v>16</v>
      </c>
      <c r="AH313" s="2" t="s">
        <v>16</v>
      </c>
      <c r="AI313" s="2" t="s">
        <v>24</v>
      </c>
      <c r="AJ313" s="2" t="s">
        <v>16</v>
      </c>
      <c r="AK313" s="2" t="s">
        <v>26</v>
      </c>
      <c r="AL313" s="2" t="s">
        <v>22</v>
      </c>
    </row>
    <row r="314" ht="14.25" customHeight="1">
      <c r="A314" s="17">
        <v>45814.0</v>
      </c>
      <c r="B314" s="2" t="s">
        <v>31</v>
      </c>
      <c r="C314" s="2" t="s">
        <v>31</v>
      </c>
      <c r="D314" s="2" t="s">
        <v>31</v>
      </c>
      <c r="E314" s="2" t="s">
        <v>31</v>
      </c>
      <c r="F314" s="2" t="s">
        <v>31</v>
      </c>
      <c r="G314" s="2" t="s">
        <v>31</v>
      </c>
      <c r="H314" s="2" t="s">
        <v>31</v>
      </c>
      <c r="I314" s="2" t="s">
        <v>31</v>
      </c>
      <c r="J314" s="2" t="s">
        <v>31</v>
      </c>
      <c r="K314" s="2" t="s">
        <v>31</v>
      </c>
      <c r="L314" s="2" t="s">
        <v>31</v>
      </c>
      <c r="M314" s="2" t="s">
        <v>31</v>
      </c>
      <c r="N314" s="2" t="s">
        <v>31</v>
      </c>
      <c r="O314" s="2" t="s">
        <v>31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2" t="s">
        <v>22</v>
      </c>
      <c r="V314" s="2" t="s">
        <v>27</v>
      </c>
      <c r="W314" s="2" t="s">
        <v>27</v>
      </c>
      <c r="X314" s="2" t="s">
        <v>27</v>
      </c>
      <c r="Y314" s="2" t="s">
        <v>22</v>
      </c>
      <c r="Z314" s="2" t="s">
        <v>16</v>
      </c>
      <c r="AA314" s="2" t="s">
        <v>24</v>
      </c>
      <c r="AB314" s="2" t="s">
        <v>25</v>
      </c>
      <c r="AC314" s="2" t="s">
        <v>18</v>
      </c>
      <c r="AD314" s="2" t="s">
        <v>28</v>
      </c>
      <c r="AE314" s="2" t="s">
        <v>17</v>
      </c>
      <c r="AF314" s="2" t="s">
        <v>22</v>
      </c>
      <c r="AG314" s="2" t="s">
        <v>28</v>
      </c>
      <c r="AH314" s="2" t="s">
        <v>16</v>
      </c>
      <c r="AI314" s="2" t="s">
        <v>21</v>
      </c>
      <c r="AJ314" s="2" t="s">
        <v>26</v>
      </c>
      <c r="AK314" s="2" t="s">
        <v>21</v>
      </c>
      <c r="AL314" s="2" t="s">
        <v>28</v>
      </c>
    </row>
    <row r="315" ht="14.25" customHeight="1">
      <c r="A315" s="17">
        <v>45815.0</v>
      </c>
      <c r="B315" s="2" t="s">
        <v>34</v>
      </c>
      <c r="C315" s="2" t="s">
        <v>21</v>
      </c>
      <c r="D315" s="2" t="s">
        <v>37</v>
      </c>
      <c r="E315" s="2" t="s">
        <v>30</v>
      </c>
      <c r="F315" s="2" t="s">
        <v>32</v>
      </c>
      <c r="G315" s="2" t="s">
        <v>19</v>
      </c>
      <c r="H315" s="2" t="s">
        <v>18</v>
      </c>
      <c r="I315" s="2" t="s">
        <v>26</v>
      </c>
      <c r="J315" s="2" t="s">
        <v>23</v>
      </c>
      <c r="K315" s="2" t="s">
        <v>36</v>
      </c>
      <c r="L315" s="2" t="s">
        <v>36</v>
      </c>
      <c r="M315" s="2" t="s">
        <v>16</v>
      </c>
      <c r="N315" s="2" t="s">
        <v>21</v>
      </c>
      <c r="O315" s="2" t="s">
        <v>16</v>
      </c>
      <c r="P315" s="2" t="s">
        <v>34</v>
      </c>
      <c r="Q315" s="2" t="s">
        <v>28</v>
      </c>
      <c r="R315" s="2" t="s">
        <v>32</v>
      </c>
      <c r="S315" s="2" t="s">
        <v>27</v>
      </c>
      <c r="T315" s="2" t="s">
        <v>20</v>
      </c>
      <c r="U315" s="2" t="s">
        <v>17</v>
      </c>
      <c r="V315" s="2" t="s">
        <v>21</v>
      </c>
      <c r="W315" s="2" t="s">
        <v>16</v>
      </c>
      <c r="X315" s="2" t="s">
        <v>16</v>
      </c>
      <c r="Y315" s="2" t="s">
        <v>20</v>
      </c>
      <c r="Z315" s="2" t="s">
        <v>16</v>
      </c>
      <c r="AA315" s="2" t="s">
        <v>18</v>
      </c>
      <c r="AB315" s="2" t="s">
        <v>16</v>
      </c>
      <c r="AC315" s="2" t="s">
        <v>16</v>
      </c>
      <c r="AD315" s="2" t="s">
        <v>24</v>
      </c>
      <c r="AE315" s="2" t="s">
        <v>17</v>
      </c>
      <c r="AF315" s="2" t="s">
        <v>17</v>
      </c>
      <c r="AG315" s="2" t="s">
        <v>20</v>
      </c>
      <c r="AH315" s="2" t="s">
        <v>20</v>
      </c>
      <c r="AI315" s="2" t="s">
        <v>17</v>
      </c>
      <c r="AJ315" s="2" t="s">
        <v>16</v>
      </c>
      <c r="AK315" s="2" t="s">
        <v>21</v>
      </c>
      <c r="AL315" s="2" t="s">
        <v>25</v>
      </c>
    </row>
    <row r="316" ht="14.25" customHeight="1">
      <c r="A316" s="17">
        <v>45816.0</v>
      </c>
      <c r="B316" s="2" t="s">
        <v>31</v>
      </c>
      <c r="C316" s="2" t="s">
        <v>31</v>
      </c>
      <c r="D316" s="2" t="s">
        <v>31</v>
      </c>
      <c r="E316" s="2" t="s">
        <v>31</v>
      </c>
      <c r="F316" s="2" t="s">
        <v>31</v>
      </c>
      <c r="G316" s="2" t="s">
        <v>31</v>
      </c>
      <c r="H316" s="2" t="s">
        <v>31</v>
      </c>
      <c r="I316" s="2" t="s">
        <v>31</v>
      </c>
      <c r="J316" s="2" t="s">
        <v>31</v>
      </c>
      <c r="K316" s="2" t="s">
        <v>31</v>
      </c>
      <c r="L316" s="2" t="s">
        <v>31</v>
      </c>
      <c r="M316" s="2" t="s">
        <v>31</v>
      </c>
      <c r="N316" s="2" t="s">
        <v>31</v>
      </c>
      <c r="O316" s="2" t="s">
        <v>31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2" t="s">
        <v>17</v>
      </c>
      <c r="V316" s="2" t="s">
        <v>28</v>
      </c>
      <c r="W316" s="2" t="s">
        <v>16</v>
      </c>
      <c r="X316" s="2" t="s">
        <v>21</v>
      </c>
      <c r="Y316" s="2" t="s">
        <v>28</v>
      </c>
      <c r="Z316" s="2" t="s">
        <v>18</v>
      </c>
      <c r="AA316" s="2" t="s">
        <v>26</v>
      </c>
      <c r="AB316" s="2" t="s">
        <v>16</v>
      </c>
      <c r="AC316" s="2" t="s">
        <v>24</v>
      </c>
      <c r="AD316" s="2" t="s">
        <v>25</v>
      </c>
      <c r="AE316" s="2" t="s">
        <v>19</v>
      </c>
      <c r="AF316" s="2" t="s">
        <v>16</v>
      </c>
      <c r="AG316" s="2" t="s">
        <v>16</v>
      </c>
      <c r="AH316" s="2" t="s">
        <v>16</v>
      </c>
      <c r="AI316" s="2" t="s">
        <v>25</v>
      </c>
      <c r="AJ316" s="2" t="s">
        <v>23</v>
      </c>
      <c r="AK316" s="2" t="s">
        <v>16</v>
      </c>
      <c r="AL316" s="2" t="s">
        <v>22</v>
      </c>
    </row>
    <row r="317" ht="14.25" customHeight="1">
      <c r="A317" s="17">
        <v>45817.0</v>
      </c>
      <c r="B317" s="2" t="s">
        <v>31</v>
      </c>
      <c r="C317" s="2" t="s">
        <v>31</v>
      </c>
      <c r="D317" s="2" t="s">
        <v>31</v>
      </c>
      <c r="E317" s="2" t="s">
        <v>31</v>
      </c>
      <c r="F317" s="2" t="s">
        <v>31</v>
      </c>
      <c r="G317" s="2" t="s">
        <v>31</v>
      </c>
      <c r="H317" s="2" t="s">
        <v>31</v>
      </c>
      <c r="I317" s="2" t="s">
        <v>31</v>
      </c>
      <c r="J317" s="2" t="s">
        <v>31</v>
      </c>
      <c r="K317" s="2" t="s">
        <v>31</v>
      </c>
      <c r="L317" s="2" t="s">
        <v>31</v>
      </c>
      <c r="M317" s="2" t="s">
        <v>31</v>
      </c>
      <c r="N317" s="2" t="s">
        <v>31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2" t="s">
        <v>25</v>
      </c>
      <c r="V317" s="2" t="s">
        <v>16</v>
      </c>
      <c r="W317" s="2" t="s">
        <v>21</v>
      </c>
      <c r="X317" s="2" t="s">
        <v>20</v>
      </c>
      <c r="Y317" s="2" t="s">
        <v>18</v>
      </c>
      <c r="Z317" s="2" t="s">
        <v>27</v>
      </c>
      <c r="AA317" s="2" t="s">
        <v>21</v>
      </c>
      <c r="AB317" s="2" t="s">
        <v>18</v>
      </c>
      <c r="AC317" s="2" t="s">
        <v>26</v>
      </c>
      <c r="AD317" s="2" t="s">
        <v>26</v>
      </c>
      <c r="AE317" s="2" t="s">
        <v>25</v>
      </c>
      <c r="AF317" s="2" t="s">
        <v>16</v>
      </c>
      <c r="AG317" s="2" t="s">
        <v>19</v>
      </c>
      <c r="AH317" s="2" t="s">
        <v>23</v>
      </c>
      <c r="AI317" s="2" t="s">
        <v>16</v>
      </c>
      <c r="AJ317" s="2" t="s">
        <v>21</v>
      </c>
      <c r="AK317" s="2" t="s">
        <v>27</v>
      </c>
      <c r="AL317" s="2" t="s">
        <v>16</v>
      </c>
    </row>
    <row r="318" ht="14.25" customHeight="1">
      <c r="A318" s="17">
        <v>45818.0</v>
      </c>
      <c r="B318" s="2" t="s">
        <v>31</v>
      </c>
      <c r="C318" s="2" t="s">
        <v>31</v>
      </c>
      <c r="D318" s="2" t="s">
        <v>31</v>
      </c>
      <c r="E318" s="2" t="s">
        <v>31</v>
      </c>
      <c r="F318" s="2" t="s">
        <v>31</v>
      </c>
      <c r="G318" s="2" t="s">
        <v>31</v>
      </c>
      <c r="H318" s="2" t="s">
        <v>31</v>
      </c>
      <c r="I318" s="2" t="s">
        <v>31</v>
      </c>
      <c r="J318" s="2" t="s">
        <v>31</v>
      </c>
      <c r="K318" s="2" t="s">
        <v>31</v>
      </c>
      <c r="L318" s="2" t="s">
        <v>31</v>
      </c>
      <c r="M318" s="2" t="s">
        <v>31</v>
      </c>
      <c r="N318" s="2" t="s">
        <v>31</v>
      </c>
      <c r="O318" s="2" t="s">
        <v>31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2" t="s">
        <v>17</v>
      </c>
      <c r="V318" s="2" t="s">
        <v>16</v>
      </c>
      <c r="W318" s="2" t="s">
        <v>28</v>
      </c>
      <c r="X318" s="2" t="s">
        <v>16</v>
      </c>
      <c r="Y318" s="2" t="s">
        <v>27</v>
      </c>
      <c r="Z318" s="2" t="s">
        <v>27</v>
      </c>
      <c r="AA318" s="2" t="s">
        <v>24</v>
      </c>
      <c r="AB318" s="2" t="s">
        <v>26</v>
      </c>
      <c r="AC318" s="2" t="s">
        <v>22</v>
      </c>
      <c r="AD318" s="2" t="s">
        <v>26</v>
      </c>
      <c r="AE318" s="2" t="s">
        <v>28</v>
      </c>
      <c r="AF318" s="2" t="s">
        <v>21</v>
      </c>
      <c r="AG318" s="2" t="s">
        <v>20</v>
      </c>
      <c r="AH318" s="2" t="s">
        <v>16</v>
      </c>
      <c r="AI318" s="2" t="s">
        <v>25</v>
      </c>
      <c r="AJ318" s="2" t="s">
        <v>21</v>
      </c>
      <c r="AK318" s="2" t="s">
        <v>16</v>
      </c>
      <c r="AL318" s="2" t="s">
        <v>16</v>
      </c>
    </row>
    <row r="319" ht="14.25" customHeight="1">
      <c r="A319" s="17">
        <v>45819.0</v>
      </c>
      <c r="B319" s="2" t="s">
        <v>31</v>
      </c>
      <c r="C319" s="2" t="s">
        <v>31</v>
      </c>
      <c r="D319" s="2" t="s">
        <v>31</v>
      </c>
      <c r="E319" s="2" t="s">
        <v>31</v>
      </c>
      <c r="F319" s="2" t="s">
        <v>31</v>
      </c>
      <c r="G319" s="2" t="s">
        <v>31</v>
      </c>
      <c r="H319" s="2" t="s">
        <v>31</v>
      </c>
      <c r="I319" s="2" t="s">
        <v>31</v>
      </c>
      <c r="J319" s="2" t="s">
        <v>31</v>
      </c>
      <c r="K319" s="2" t="s">
        <v>31</v>
      </c>
      <c r="L319" s="2" t="s">
        <v>31</v>
      </c>
      <c r="M319" s="2" t="s">
        <v>31</v>
      </c>
      <c r="N319" s="2" t="s">
        <v>31</v>
      </c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2" t="s">
        <v>16</v>
      </c>
      <c r="V319" s="2" t="s">
        <v>20</v>
      </c>
      <c r="W319" s="2" t="s">
        <v>16</v>
      </c>
      <c r="X319" s="2" t="s">
        <v>19</v>
      </c>
      <c r="Y319" s="2" t="s">
        <v>21</v>
      </c>
      <c r="Z319" s="2" t="s">
        <v>18</v>
      </c>
      <c r="AA319" s="2" t="s">
        <v>26</v>
      </c>
      <c r="AB319" s="2" t="s">
        <v>25</v>
      </c>
      <c r="AC319" s="2" t="s">
        <v>16</v>
      </c>
      <c r="AD319" s="2" t="s">
        <v>24</v>
      </c>
      <c r="AE319" s="2" t="s">
        <v>16</v>
      </c>
      <c r="AF319" s="2" t="s">
        <v>28</v>
      </c>
      <c r="AG319" s="2" t="s">
        <v>16</v>
      </c>
      <c r="AH319" s="2" t="s">
        <v>16</v>
      </c>
      <c r="AI319" s="2" t="s">
        <v>16</v>
      </c>
      <c r="AJ319" s="2" t="s">
        <v>28</v>
      </c>
      <c r="AK319" s="2" t="s">
        <v>19</v>
      </c>
      <c r="AL319" s="2" t="s">
        <v>16</v>
      </c>
    </row>
    <row r="320" ht="14.25" customHeight="1">
      <c r="A320" s="17">
        <v>45820.0</v>
      </c>
      <c r="B320" s="2" t="s">
        <v>31</v>
      </c>
      <c r="C320" s="2" t="s">
        <v>31</v>
      </c>
      <c r="D320" s="2" t="s">
        <v>31</v>
      </c>
      <c r="E320" s="2" t="s">
        <v>31</v>
      </c>
      <c r="F320" s="2" t="s">
        <v>31</v>
      </c>
      <c r="G320" s="2" t="s">
        <v>31</v>
      </c>
      <c r="H320" s="2" t="s">
        <v>31</v>
      </c>
      <c r="I320" s="2" t="s">
        <v>31</v>
      </c>
      <c r="J320" s="2" t="s">
        <v>31</v>
      </c>
      <c r="K320" s="2" t="s">
        <v>31</v>
      </c>
      <c r="L320" s="2" t="s">
        <v>31</v>
      </c>
      <c r="M320" s="2" t="s">
        <v>31</v>
      </c>
      <c r="N320" s="2" t="s">
        <v>31</v>
      </c>
      <c r="O320" s="2" t="s">
        <v>31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2" t="s">
        <v>18</v>
      </c>
      <c r="V320" s="2" t="s">
        <v>27</v>
      </c>
      <c r="W320" s="2" t="s">
        <v>16</v>
      </c>
      <c r="X320" s="2" t="s">
        <v>27</v>
      </c>
      <c r="Y320" s="2" t="s">
        <v>26</v>
      </c>
      <c r="Z320" s="2" t="s">
        <v>27</v>
      </c>
      <c r="AA320" s="2" t="s">
        <v>22</v>
      </c>
      <c r="AB320" s="2" t="s">
        <v>25</v>
      </c>
      <c r="AC320" s="2" t="s">
        <v>20</v>
      </c>
      <c r="AD320" s="2" t="s">
        <v>25</v>
      </c>
      <c r="AE320" s="2" t="s">
        <v>25</v>
      </c>
      <c r="AF320" s="2" t="s">
        <v>25</v>
      </c>
      <c r="AG320" s="2" t="s">
        <v>20</v>
      </c>
      <c r="AH320" s="2" t="s">
        <v>24</v>
      </c>
      <c r="AI320" s="2" t="s">
        <v>20</v>
      </c>
      <c r="AJ320" s="2" t="s">
        <v>19</v>
      </c>
      <c r="AK320" s="2" t="s">
        <v>16</v>
      </c>
      <c r="AL320" s="2" t="s">
        <v>16</v>
      </c>
    </row>
    <row r="321" ht="14.25" customHeight="1">
      <c r="A321" s="17">
        <v>45821.0</v>
      </c>
      <c r="B321" s="2" t="s">
        <v>31</v>
      </c>
      <c r="C321" s="2" t="s">
        <v>31</v>
      </c>
      <c r="D321" s="2" t="s">
        <v>31</v>
      </c>
      <c r="E321" s="2" t="s">
        <v>31</v>
      </c>
      <c r="F321" s="2" t="s">
        <v>31</v>
      </c>
      <c r="G321" s="2" t="s">
        <v>31</v>
      </c>
      <c r="H321" s="2" t="s">
        <v>31</v>
      </c>
      <c r="I321" s="2" t="s">
        <v>31</v>
      </c>
      <c r="J321" s="2" t="s">
        <v>31</v>
      </c>
      <c r="K321" s="2" t="s">
        <v>31</v>
      </c>
      <c r="L321" s="2" t="s">
        <v>31</v>
      </c>
      <c r="M321" s="2" t="s">
        <v>31</v>
      </c>
      <c r="N321" s="2" t="s">
        <v>31</v>
      </c>
      <c r="O321" s="2" t="s">
        <v>31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2" t="s">
        <v>22</v>
      </c>
      <c r="V321" s="2" t="s">
        <v>21</v>
      </c>
      <c r="W321" s="2" t="s">
        <v>23</v>
      </c>
      <c r="X321" s="2" t="s">
        <v>22</v>
      </c>
      <c r="Y321" s="2" t="s">
        <v>26</v>
      </c>
      <c r="Z321" s="2" t="s">
        <v>16</v>
      </c>
      <c r="AA321" s="2" t="s">
        <v>20</v>
      </c>
      <c r="AB321" s="2" t="s">
        <v>17</v>
      </c>
      <c r="AC321" s="2" t="s">
        <v>16</v>
      </c>
      <c r="AD321" s="2" t="s">
        <v>20</v>
      </c>
      <c r="AE321" s="2" t="s">
        <v>16</v>
      </c>
      <c r="AF321" s="2" t="s">
        <v>24</v>
      </c>
      <c r="AG321" s="2" t="s">
        <v>16</v>
      </c>
      <c r="AH321" s="2" t="s">
        <v>16</v>
      </c>
      <c r="AI321" s="2" t="s">
        <v>16</v>
      </c>
      <c r="AJ321" s="2" t="s">
        <v>16</v>
      </c>
      <c r="AK321" s="2" t="s">
        <v>19</v>
      </c>
      <c r="AL321" s="2" t="s">
        <v>24</v>
      </c>
    </row>
    <row r="322" ht="14.25" customHeight="1">
      <c r="A322" s="17">
        <v>45822.0</v>
      </c>
      <c r="B322" s="2" t="s">
        <v>30</v>
      </c>
      <c r="C322" s="2" t="s">
        <v>30</v>
      </c>
      <c r="D322" s="2" t="s">
        <v>17</v>
      </c>
      <c r="E322" s="2" t="s">
        <v>37</v>
      </c>
      <c r="F322" s="2" t="s">
        <v>42</v>
      </c>
      <c r="G322" s="2" t="s">
        <v>19</v>
      </c>
      <c r="H322" s="2" t="s">
        <v>19</v>
      </c>
      <c r="I322" s="2" t="s">
        <v>40</v>
      </c>
      <c r="J322" s="2" t="s">
        <v>22</v>
      </c>
      <c r="K322" s="2" t="s">
        <v>34</v>
      </c>
      <c r="L322" s="2" t="s">
        <v>30</v>
      </c>
      <c r="M322" s="2" t="s">
        <v>26</v>
      </c>
      <c r="N322" s="2" t="s">
        <v>18</v>
      </c>
      <c r="O322" s="2" t="s">
        <v>37</v>
      </c>
      <c r="P322" s="2" t="s">
        <v>43</v>
      </c>
      <c r="Q322" s="2" t="s">
        <v>25</v>
      </c>
      <c r="R322" s="2" t="s">
        <v>20</v>
      </c>
      <c r="S322" s="2" t="s">
        <v>24</v>
      </c>
      <c r="T322" s="2" t="s">
        <v>16</v>
      </c>
      <c r="U322" s="2" t="s">
        <v>21</v>
      </c>
      <c r="V322" s="2" t="s">
        <v>27</v>
      </c>
      <c r="W322" s="2" t="s">
        <v>22</v>
      </c>
      <c r="X322" s="2" t="s">
        <v>27</v>
      </c>
      <c r="Y322" s="2" t="s">
        <v>20</v>
      </c>
      <c r="Z322" s="2" t="s">
        <v>28</v>
      </c>
      <c r="AA322" s="2" t="s">
        <v>26</v>
      </c>
      <c r="AB322" s="2" t="s">
        <v>16</v>
      </c>
      <c r="AC322" s="2" t="s">
        <v>16</v>
      </c>
      <c r="AD322" s="2" t="s">
        <v>25</v>
      </c>
      <c r="AE322" s="2" t="s">
        <v>19</v>
      </c>
      <c r="AF322" s="2" t="s">
        <v>25</v>
      </c>
      <c r="AG322" s="2" t="s">
        <v>21</v>
      </c>
      <c r="AH322" s="2" t="s">
        <v>23</v>
      </c>
      <c r="AI322" s="2" t="s">
        <v>18</v>
      </c>
      <c r="AJ322" s="2" t="s">
        <v>23</v>
      </c>
      <c r="AK322" s="2" t="s">
        <v>17</v>
      </c>
      <c r="AL322" s="2" t="s">
        <v>21</v>
      </c>
    </row>
    <row r="323" ht="14.25" customHeight="1">
      <c r="A323" s="17">
        <v>45823.0</v>
      </c>
      <c r="B323" s="2" t="s">
        <v>31</v>
      </c>
      <c r="C323" s="2" t="s">
        <v>31</v>
      </c>
      <c r="D323" s="2" t="s">
        <v>31</v>
      </c>
      <c r="E323" s="2" t="s">
        <v>31</v>
      </c>
      <c r="F323" s="2" t="s">
        <v>31</v>
      </c>
      <c r="G323" s="2" t="s">
        <v>31</v>
      </c>
      <c r="H323" s="2" t="s">
        <v>31</v>
      </c>
      <c r="I323" s="2" t="s">
        <v>31</v>
      </c>
      <c r="J323" s="2" t="s">
        <v>31</v>
      </c>
      <c r="K323" s="2" t="s">
        <v>31</v>
      </c>
      <c r="L323" s="2" t="s">
        <v>31</v>
      </c>
      <c r="M323" s="2" t="s">
        <v>31</v>
      </c>
      <c r="N323" s="2" t="s">
        <v>31</v>
      </c>
      <c r="O323" s="2" t="s">
        <v>31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2" t="s">
        <v>27</v>
      </c>
      <c r="V323" s="2" t="s">
        <v>16</v>
      </c>
      <c r="W323" s="2" t="s">
        <v>27</v>
      </c>
      <c r="X323" s="2" t="s">
        <v>18</v>
      </c>
      <c r="Y323" s="2" t="s">
        <v>16</v>
      </c>
      <c r="Z323" s="2" t="s">
        <v>22</v>
      </c>
      <c r="AA323" s="2" t="s">
        <v>26</v>
      </c>
      <c r="AB323" s="2" t="s">
        <v>19</v>
      </c>
      <c r="AC323" s="2" t="s">
        <v>28</v>
      </c>
      <c r="AD323" s="2" t="s">
        <v>16</v>
      </c>
      <c r="AE323" s="2" t="s">
        <v>16</v>
      </c>
      <c r="AF323" s="2" t="s">
        <v>17</v>
      </c>
      <c r="AG323" s="2" t="s">
        <v>20</v>
      </c>
      <c r="AH323" s="2" t="s">
        <v>16</v>
      </c>
      <c r="AI323" s="2" t="s">
        <v>27</v>
      </c>
      <c r="AJ323" s="2" t="s">
        <v>21</v>
      </c>
      <c r="AK323" s="2" t="s">
        <v>25</v>
      </c>
      <c r="AL323" s="2" t="s">
        <v>26</v>
      </c>
    </row>
    <row r="324" ht="14.25" customHeight="1">
      <c r="A324" s="17">
        <v>45824.0</v>
      </c>
      <c r="B324" s="2" t="s">
        <v>31</v>
      </c>
      <c r="C324" s="2" t="s">
        <v>31</v>
      </c>
      <c r="D324" s="2" t="s">
        <v>31</v>
      </c>
      <c r="E324" s="2" t="s">
        <v>31</v>
      </c>
      <c r="F324" s="2" t="s">
        <v>31</v>
      </c>
      <c r="G324" s="2" t="s">
        <v>31</v>
      </c>
      <c r="H324" s="2" t="s">
        <v>31</v>
      </c>
      <c r="I324" s="2" t="s">
        <v>31</v>
      </c>
      <c r="J324" s="2" t="s">
        <v>31</v>
      </c>
      <c r="K324" s="2" t="s">
        <v>31</v>
      </c>
      <c r="L324" s="2" t="s">
        <v>31</v>
      </c>
      <c r="M324" s="2" t="s">
        <v>31</v>
      </c>
      <c r="N324" s="2" t="s">
        <v>31</v>
      </c>
      <c r="O324" s="2" t="s">
        <v>31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2" t="s">
        <v>28</v>
      </c>
      <c r="V324" s="2" t="s">
        <v>19</v>
      </c>
      <c r="W324" s="2" t="s">
        <v>18</v>
      </c>
      <c r="X324" s="2" t="s">
        <v>16</v>
      </c>
      <c r="Y324" s="2" t="s">
        <v>18</v>
      </c>
      <c r="Z324" s="2" t="s">
        <v>16</v>
      </c>
      <c r="AA324" s="2" t="s">
        <v>17</v>
      </c>
      <c r="AB324" s="2" t="s">
        <v>22</v>
      </c>
      <c r="AC324" s="2" t="s">
        <v>20</v>
      </c>
      <c r="AD324" s="2" t="s">
        <v>28</v>
      </c>
      <c r="AE324" s="2" t="s">
        <v>21</v>
      </c>
      <c r="AF324" s="2" t="s">
        <v>28</v>
      </c>
      <c r="AG324" s="2" t="s">
        <v>25</v>
      </c>
      <c r="AH324" s="2" t="s">
        <v>16</v>
      </c>
      <c r="AI324" s="2" t="s">
        <v>17</v>
      </c>
      <c r="AJ324" s="2" t="s">
        <v>28</v>
      </c>
      <c r="AK324" s="2" t="s">
        <v>25</v>
      </c>
      <c r="AL324" s="2" t="s">
        <v>20</v>
      </c>
    </row>
    <row r="325" ht="14.25" customHeight="1">
      <c r="A325" s="17">
        <v>45825.0</v>
      </c>
      <c r="B325" s="2" t="s">
        <v>31</v>
      </c>
      <c r="C325" s="2" t="s">
        <v>31</v>
      </c>
      <c r="D325" s="2" t="s">
        <v>31</v>
      </c>
      <c r="E325" s="2" t="s">
        <v>31</v>
      </c>
      <c r="F325" s="2" t="s">
        <v>31</v>
      </c>
      <c r="G325" s="2" t="s">
        <v>31</v>
      </c>
      <c r="H325" s="2" t="s">
        <v>31</v>
      </c>
      <c r="I325" s="2" t="s">
        <v>31</v>
      </c>
      <c r="J325" s="2" t="s">
        <v>31</v>
      </c>
      <c r="K325" s="2" t="s">
        <v>31</v>
      </c>
      <c r="L325" s="2" t="s">
        <v>31</v>
      </c>
      <c r="M325" s="2" t="s">
        <v>31</v>
      </c>
      <c r="N325" s="2" t="s">
        <v>31</v>
      </c>
      <c r="O325" s="2" t="s">
        <v>31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2" t="s">
        <v>19</v>
      </c>
      <c r="V325" s="2" t="s">
        <v>25</v>
      </c>
      <c r="W325" s="2" t="s">
        <v>17</v>
      </c>
      <c r="X325" s="2" t="s">
        <v>16</v>
      </c>
      <c r="Y325" s="2" t="s">
        <v>25</v>
      </c>
      <c r="Z325" s="2" t="s">
        <v>16</v>
      </c>
      <c r="AA325" s="2" t="s">
        <v>22</v>
      </c>
      <c r="AB325" s="2" t="s">
        <v>20</v>
      </c>
      <c r="AC325" s="2" t="s">
        <v>16</v>
      </c>
      <c r="AD325" s="2" t="s">
        <v>16</v>
      </c>
      <c r="AE325" s="2" t="s">
        <v>17</v>
      </c>
      <c r="AF325" s="2" t="s">
        <v>28</v>
      </c>
      <c r="AG325" s="2" t="s">
        <v>21</v>
      </c>
      <c r="AH325" s="2" t="s">
        <v>16</v>
      </c>
      <c r="AI325" s="2" t="s">
        <v>22</v>
      </c>
      <c r="AJ325" s="2" t="s">
        <v>25</v>
      </c>
      <c r="AK325" s="2" t="s">
        <v>22</v>
      </c>
      <c r="AL325" s="2" t="s">
        <v>21</v>
      </c>
    </row>
    <row r="326" ht="14.25" customHeight="1">
      <c r="A326" s="17">
        <v>45826.0</v>
      </c>
      <c r="B326" s="2" t="s">
        <v>31</v>
      </c>
      <c r="C326" s="2" t="s">
        <v>31</v>
      </c>
      <c r="D326" s="2" t="s">
        <v>31</v>
      </c>
      <c r="E326" s="2" t="s">
        <v>31</v>
      </c>
      <c r="F326" s="2" t="s">
        <v>31</v>
      </c>
      <c r="G326" s="2" t="s">
        <v>31</v>
      </c>
      <c r="H326" s="2" t="s">
        <v>31</v>
      </c>
      <c r="I326" s="2" t="s">
        <v>31</v>
      </c>
      <c r="J326" s="2" t="s">
        <v>31</v>
      </c>
      <c r="K326" s="2" t="s">
        <v>31</v>
      </c>
      <c r="L326" s="2" t="s">
        <v>31</v>
      </c>
      <c r="M326" s="2" t="s">
        <v>31</v>
      </c>
      <c r="N326" s="2" t="s">
        <v>31</v>
      </c>
      <c r="O326" s="2" t="s">
        <v>31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2" t="s">
        <v>16</v>
      </c>
      <c r="V326" s="2" t="s">
        <v>25</v>
      </c>
      <c r="W326" s="2" t="s">
        <v>16</v>
      </c>
      <c r="X326" s="2" t="s">
        <v>20</v>
      </c>
      <c r="Y326" s="2" t="s">
        <v>21</v>
      </c>
      <c r="Z326" s="2" t="s">
        <v>19</v>
      </c>
      <c r="AA326" s="2" t="s">
        <v>16</v>
      </c>
      <c r="AB326" s="2" t="s">
        <v>16</v>
      </c>
      <c r="AC326" s="2" t="s">
        <v>22</v>
      </c>
      <c r="AD326" s="2" t="s">
        <v>26</v>
      </c>
      <c r="AE326" s="2" t="s">
        <v>21</v>
      </c>
      <c r="AF326" s="2" t="s">
        <v>27</v>
      </c>
      <c r="AG326" s="2" t="s">
        <v>25</v>
      </c>
      <c r="AH326" s="2" t="s">
        <v>26</v>
      </c>
      <c r="AI326" s="2" t="s">
        <v>16</v>
      </c>
      <c r="AJ326" s="2" t="s">
        <v>23</v>
      </c>
      <c r="AK326" s="2" t="s">
        <v>28</v>
      </c>
      <c r="AL326" s="2" t="s">
        <v>17</v>
      </c>
    </row>
    <row r="327" ht="14.25" customHeight="1">
      <c r="A327" s="17">
        <v>45827.0</v>
      </c>
      <c r="B327" s="2" t="s">
        <v>31</v>
      </c>
      <c r="C327" s="2" t="s">
        <v>31</v>
      </c>
      <c r="D327" s="2" t="s">
        <v>31</v>
      </c>
      <c r="E327" s="2" t="s">
        <v>31</v>
      </c>
      <c r="F327" s="2" t="s">
        <v>31</v>
      </c>
      <c r="G327" s="2" t="s">
        <v>31</v>
      </c>
      <c r="H327" s="2" t="s">
        <v>31</v>
      </c>
      <c r="I327" s="2" t="s">
        <v>31</v>
      </c>
      <c r="J327" s="2" t="s">
        <v>31</v>
      </c>
      <c r="K327" s="2" t="s">
        <v>31</v>
      </c>
      <c r="L327" s="2" t="s">
        <v>31</v>
      </c>
      <c r="M327" s="2" t="s">
        <v>31</v>
      </c>
      <c r="N327" s="2" t="s">
        <v>31</v>
      </c>
      <c r="O327" s="2" t="s">
        <v>31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2" t="s">
        <v>20</v>
      </c>
      <c r="V327" s="2" t="s">
        <v>27</v>
      </c>
      <c r="W327" s="2" t="s">
        <v>21</v>
      </c>
      <c r="X327" s="2" t="s">
        <v>16</v>
      </c>
      <c r="Y327" s="2" t="s">
        <v>26</v>
      </c>
      <c r="Z327" s="2" t="s">
        <v>20</v>
      </c>
      <c r="AA327" s="2" t="s">
        <v>16</v>
      </c>
      <c r="AB327" s="2" t="s">
        <v>28</v>
      </c>
      <c r="AC327" s="2" t="s">
        <v>22</v>
      </c>
      <c r="AD327" s="2" t="s">
        <v>28</v>
      </c>
      <c r="AE327" s="2" t="s">
        <v>24</v>
      </c>
      <c r="AF327" s="2" t="s">
        <v>20</v>
      </c>
      <c r="AG327" s="2" t="s">
        <v>21</v>
      </c>
      <c r="AH327" s="2" t="s">
        <v>16</v>
      </c>
      <c r="AI327" s="2" t="s">
        <v>22</v>
      </c>
      <c r="AJ327" s="2" t="s">
        <v>26</v>
      </c>
      <c r="AK327" s="2" t="s">
        <v>17</v>
      </c>
      <c r="AL327" s="2" t="s">
        <v>20</v>
      </c>
    </row>
    <row r="328" ht="14.25" customHeight="1">
      <c r="A328" s="17">
        <v>45828.0</v>
      </c>
      <c r="B328" s="2" t="s">
        <v>31</v>
      </c>
      <c r="C328" s="2" t="s">
        <v>31</v>
      </c>
      <c r="D328" s="2" t="s">
        <v>31</v>
      </c>
      <c r="E328" s="2" t="s">
        <v>31</v>
      </c>
      <c r="F328" s="2" t="s">
        <v>31</v>
      </c>
      <c r="G328" s="2" t="s">
        <v>31</v>
      </c>
      <c r="H328" s="2" t="s">
        <v>31</v>
      </c>
      <c r="I328" s="2" t="s">
        <v>31</v>
      </c>
      <c r="J328" s="2" t="s">
        <v>31</v>
      </c>
      <c r="K328" s="2" t="s">
        <v>31</v>
      </c>
      <c r="L328" s="2" t="s">
        <v>31</v>
      </c>
      <c r="M328" s="2" t="s">
        <v>31</v>
      </c>
      <c r="N328" s="2" t="s">
        <v>31</v>
      </c>
      <c r="O328" s="2" t="s">
        <v>31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2" t="s">
        <v>16</v>
      </c>
      <c r="V328" s="2" t="s">
        <v>28</v>
      </c>
      <c r="W328" s="2" t="s">
        <v>26</v>
      </c>
      <c r="X328" s="2" t="s">
        <v>16</v>
      </c>
      <c r="Y328" s="2" t="s">
        <v>22</v>
      </c>
      <c r="Z328" s="2" t="s">
        <v>24</v>
      </c>
      <c r="AA328" s="2" t="s">
        <v>26</v>
      </c>
      <c r="AB328" s="2" t="s">
        <v>16</v>
      </c>
      <c r="AC328" s="2" t="s">
        <v>16</v>
      </c>
      <c r="AD328" s="2" t="s">
        <v>22</v>
      </c>
      <c r="AE328" s="2" t="s">
        <v>20</v>
      </c>
      <c r="AF328" s="2" t="s">
        <v>25</v>
      </c>
      <c r="AG328" s="2" t="s">
        <v>20</v>
      </c>
      <c r="AH328" s="2" t="s">
        <v>16</v>
      </c>
      <c r="AI328" s="2" t="s">
        <v>22</v>
      </c>
      <c r="AJ328" s="2" t="s">
        <v>16</v>
      </c>
      <c r="AK328" s="2" t="s">
        <v>16</v>
      </c>
      <c r="AL328" s="2" t="s">
        <v>17</v>
      </c>
    </row>
    <row r="329" ht="14.25" customHeight="1">
      <c r="A329" s="17">
        <v>45829.0</v>
      </c>
      <c r="B329" s="2" t="s">
        <v>16</v>
      </c>
      <c r="C329" s="2" t="s">
        <v>28</v>
      </c>
      <c r="D329" s="2" t="s">
        <v>21</v>
      </c>
      <c r="E329" s="2" t="s">
        <v>34</v>
      </c>
      <c r="F329" s="2" t="s">
        <v>33</v>
      </c>
      <c r="G329" s="2" t="s">
        <v>39</v>
      </c>
      <c r="H329" s="2" t="s">
        <v>35</v>
      </c>
      <c r="I329" s="2" t="s">
        <v>21</v>
      </c>
      <c r="J329" s="2" t="s">
        <v>18</v>
      </c>
      <c r="K329" s="2" t="s">
        <v>34</v>
      </c>
      <c r="L329" s="2" t="s">
        <v>25</v>
      </c>
      <c r="M329" s="2" t="s">
        <v>17</v>
      </c>
      <c r="N329" s="2" t="s">
        <v>29</v>
      </c>
      <c r="O329" s="2" t="s">
        <v>32</v>
      </c>
      <c r="P329" s="2" t="s">
        <v>25</v>
      </c>
      <c r="Q329" s="2" t="s">
        <v>36</v>
      </c>
      <c r="R329" s="2" t="s">
        <v>16</v>
      </c>
      <c r="S329" s="2" t="s">
        <v>37</v>
      </c>
      <c r="T329" s="2" t="s">
        <v>40</v>
      </c>
      <c r="U329" s="2" t="s">
        <v>17</v>
      </c>
      <c r="V329" s="2" t="s">
        <v>24</v>
      </c>
      <c r="W329" s="2" t="s">
        <v>21</v>
      </c>
      <c r="X329" s="2" t="s">
        <v>16</v>
      </c>
      <c r="Y329" s="2" t="s">
        <v>24</v>
      </c>
      <c r="Z329" s="2" t="s">
        <v>27</v>
      </c>
      <c r="AA329" s="2" t="s">
        <v>28</v>
      </c>
      <c r="AB329" s="2" t="s">
        <v>21</v>
      </c>
      <c r="AC329" s="2" t="s">
        <v>21</v>
      </c>
      <c r="AD329" s="2" t="s">
        <v>20</v>
      </c>
      <c r="AE329" s="2" t="s">
        <v>16</v>
      </c>
      <c r="AF329" s="2" t="s">
        <v>17</v>
      </c>
      <c r="AG329" s="2" t="s">
        <v>21</v>
      </c>
      <c r="AH329" s="2" t="s">
        <v>23</v>
      </c>
      <c r="AI329" s="2" t="s">
        <v>21</v>
      </c>
      <c r="AJ329" s="2" t="s">
        <v>23</v>
      </c>
      <c r="AK329" s="2" t="s">
        <v>26</v>
      </c>
      <c r="AL329" s="2" t="s">
        <v>21</v>
      </c>
    </row>
    <row r="330" ht="14.25" customHeight="1">
      <c r="A330" s="17">
        <v>45830.0</v>
      </c>
      <c r="B330" s="2" t="s">
        <v>31</v>
      </c>
      <c r="C330" s="2" t="s">
        <v>31</v>
      </c>
      <c r="D330" s="2" t="s">
        <v>31</v>
      </c>
      <c r="E330" s="2" t="s">
        <v>31</v>
      </c>
      <c r="F330" s="2" t="s">
        <v>31</v>
      </c>
      <c r="G330" s="2" t="s">
        <v>31</v>
      </c>
      <c r="H330" s="2" t="s">
        <v>31</v>
      </c>
      <c r="I330" s="2" t="s">
        <v>31</v>
      </c>
      <c r="J330" s="2" t="s">
        <v>31</v>
      </c>
      <c r="K330" s="2" t="s">
        <v>31</v>
      </c>
      <c r="L330" s="2" t="s">
        <v>31</v>
      </c>
      <c r="M330" s="2" t="s">
        <v>31</v>
      </c>
      <c r="N330" s="2" t="s">
        <v>31</v>
      </c>
      <c r="O330" s="2" t="s">
        <v>31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2" t="s">
        <v>23</v>
      </c>
      <c r="V330" s="2" t="s">
        <v>20</v>
      </c>
      <c r="W330" s="2" t="s">
        <v>16</v>
      </c>
      <c r="X330" s="2" t="s">
        <v>16</v>
      </c>
      <c r="Y330" s="2" t="s">
        <v>22</v>
      </c>
      <c r="Z330" s="2" t="s">
        <v>26</v>
      </c>
      <c r="AA330" s="2" t="s">
        <v>25</v>
      </c>
      <c r="AB330" s="2" t="s">
        <v>26</v>
      </c>
      <c r="AC330" s="2" t="s">
        <v>25</v>
      </c>
      <c r="AD330" s="2" t="s">
        <v>27</v>
      </c>
      <c r="AE330" s="2" t="s">
        <v>17</v>
      </c>
      <c r="AF330" s="2" t="s">
        <v>24</v>
      </c>
      <c r="AG330" s="2" t="s">
        <v>27</v>
      </c>
      <c r="AH330" s="2" t="s">
        <v>16</v>
      </c>
      <c r="AI330" s="2" t="s">
        <v>18</v>
      </c>
      <c r="AJ330" s="2" t="s">
        <v>28</v>
      </c>
      <c r="AK330" s="2" t="s">
        <v>27</v>
      </c>
      <c r="AL330" s="2" t="s">
        <v>28</v>
      </c>
    </row>
    <row r="331" ht="14.25" customHeight="1">
      <c r="A331" s="17">
        <v>45831.0</v>
      </c>
      <c r="B331" s="2" t="s">
        <v>31</v>
      </c>
      <c r="C331" s="2" t="s">
        <v>31</v>
      </c>
      <c r="D331" s="2" t="s">
        <v>31</v>
      </c>
      <c r="E331" s="2" t="s">
        <v>31</v>
      </c>
      <c r="F331" s="2" t="s">
        <v>31</v>
      </c>
      <c r="G331" s="2" t="s">
        <v>31</v>
      </c>
      <c r="H331" s="2" t="s">
        <v>31</v>
      </c>
      <c r="I331" s="2" t="s">
        <v>31</v>
      </c>
      <c r="J331" s="2" t="s">
        <v>31</v>
      </c>
      <c r="K331" s="2" t="s">
        <v>31</v>
      </c>
      <c r="L331" s="2" t="s">
        <v>31</v>
      </c>
      <c r="M331" s="2" t="s">
        <v>31</v>
      </c>
      <c r="N331" s="2" t="s">
        <v>31</v>
      </c>
      <c r="O331" s="2" t="s">
        <v>31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2" t="s">
        <v>28</v>
      </c>
      <c r="V331" s="2" t="s">
        <v>16</v>
      </c>
      <c r="W331" s="2" t="s">
        <v>16</v>
      </c>
      <c r="X331" s="2" t="s">
        <v>21</v>
      </c>
      <c r="Y331" s="2" t="s">
        <v>22</v>
      </c>
      <c r="Z331" s="2" t="s">
        <v>28</v>
      </c>
      <c r="AA331" s="2" t="s">
        <v>22</v>
      </c>
      <c r="AB331" s="2" t="s">
        <v>21</v>
      </c>
      <c r="AC331" s="2" t="s">
        <v>22</v>
      </c>
      <c r="AD331" s="2" t="s">
        <v>27</v>
      </c>
      <c r="AE331" s="2" t="s">
        <v>20</v>
      </c>
      <c r="AF331" s="2" t="s">
        <v>19</v>
      </c>
      <c r="AG331" s="2" t="s">
        <v>19</v>
      </c>
      <c r="AH331" s="2" t="s">
        <v>24</v>
      </c>
      <c r="AI331" s="2" t="s">
        <v>19</v>
      </c>
      <c r="AJ331" s="2" t="s">
        <v>18</v>
      </c>
      <c r="AK331" s="2" t="s">
        <v>24</v>
      </c>
      <c r="AL331" s="2" t="s">
        <v>17</v>
      </c>
    </row>
    <row r="332" ht="14.25" customHeight="1">
      <c r="A332" s="17">
        <v>45832.0</v>
      </c>
      <c r="B332" s="2" t="s">
        <v>31</v>
      </c>
      <c r="C332" s="2" t="s">
        <v>31</v>
      </c>
      <c r="D332" s="2" t="s">
        <v>31</v>
      </c>
      <c r="E332" s="2" t="s">
        <v>31</v>
      </c>
      <c r="F332" s="2" t="s">
        <v>31</v>
      </c>
      <c r="G332" s="2" t="s">
        <v>31</v>
      </c>
      <c r="H332" s="2" t="s">
        <v>31</v>
      </c>
      <c r="I332" s="2" t="s">
        <v>31</v>
      </c>
      <c r="J332" s="2" t="s">
        <v>31</v>
      </c>
      <c r="K332" s="2" t="s">
        <v>31</v>
      </c>
      <c r="L332" s="2" t="s">
        <v>31</v>
      </c>
      <c r="M332" s="2" t="s">
        <v>31</v>
      </c>
      <c r="N332" s="2" t="s">
        <v>31</v>
      </c>
      <c r="O332" s="2" t="s">
        <v>31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2" t="s">
        <v>26</v>
      </c>
      <c r="V332" s="2" t="s">
        <v>16</v>
      </c>
      <c r="W332" s="2" t="s">
        <v>21</v>
      </c>
      <c r="X332" s="2" t="s">
        <v>26</v>
      </c>
      <c r="Y332" s="2" t="s">
        <v>19</v>
      </c>
      <c r="Z332" s="2" t="s">
        <v>25</v>
      </c>
      <c r="AA332" s="2" t="s">
        <v>24</v>
      </c>
      <c r="AB332" s="2" t="s">
        <v>25</v>
      </c>
      <c r="AC332" s="2" t="s">
        <v>21</v>
      </c>
      <c r="AD332" s="2" t="s">
        <v>16</v>
      </c>
      <c r="AE332" s="2" t="s">
        <v>16</v>
      </c>
      <c r="AF332" s="2" t="s">
        <v>27</v>
      </c>
      <c r="AG332" s="2" t="s">
        <v>22</v>
      </c>
      <c r="AH332" s="2" t="s">
        <v>28</v>
      </c>
      <c r="AI332" s="2" t="s">
        <v>24</v>
      </c>
      <c r="AJ332" s="2" t="s">
        <v>16</v>
      </c>
      <c r="AK332" s="2" t="s">
        <v>16</v>
      </c>
      <c r="AL332" s="2" t="s">
        <v>21</v>
      </c>
    </row>
    <row r="333" ht="14.25" customHeight="1">
      <c r="A333" s="17">
        <v>45833.0</v>
      </c>
      <c r="B333" s="2" t="s">
        <v>31</v>
      </c>
      <c r="C333" s="2" t="s">
        <v>31</v>
      </c>
      <c r="D333" s="2" t="s">
        <v>31</v>
      </c>
      <c r="E333" s="2" t="s">
        <v>31</v>
      </c>
      <c r="F333" s="2" t="s">
        <v>31</v>
      </c>
      <c r="G333" s="2" t="s">
        <v>31</v>
      </c>
      <c r="H333" s="2" t="s">
        <v>31</v>
      </c>
      <c r="I333" s="2" t="s">
        <v>31</v>
      </c>
      <c r="J333" s="2" t="s">
        <v>31</v>
      </c>
      <c r="K333" s="2" t="s">
        <v>31</v>
      </c>
      <c r="L333" s="2" t="s">
        <v>31</v>
      </c>
      <c r="M333" s="2" t="s">
        <v>31</v>
      </c>
      <c r="N333" s="2" t="s">
        <v>31</v>
      </c>
      <c r="O333" s="2" t="s">
        <v>31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2" t="s">
        <v>28</v>
      </c>
      <c r="V333" s="2" t="s">
        <v>25</v>
      </c>
      <c r="W333" s="2" t="s">
        <v>25</v>
      </c>
      <c r="X333" s="2" t="s">
        <v>17</v>
      </c>
      <c r="Y333" s="2" t="s">
        <v>28</v>
      </c>
      <c r="Z333" s="2" t="s">
        <v>21</v>
      </c>
      <c r="AA333" s="2" t="s">
        <v>16</v>
      </c>
      <c r="AB333" s="2" t="s">
        <v>16</v>
      </c>
      <c r="AC333" s="2" t="s">
        <v>17</v>
      </c>
      <c r="AD333" s="2" t="s">
        <v>24</v>
      </c>
      <c r="AE333" s="2" t="s">
        <v>22</v>
      </c>
      <c r="AF333" s="2" t="s">
        <v>16</v>
      </c>
      <c r="AG333" s="2" t="s">
        <v>21</v>
      </c>
      <c r="AH333" s="2" t="s">
        <v>26</v>
      </c>
      <c r="AI333" s="2" t="s">
        <v>16</v>
      </c>
      <c r="AJ333" s="2" t="s">
        <v>28</v>
      </c>
      <c r="AK333" s="2" t="s">
        <v>20</v>
      </c>
      <c r="AL333" s="2" t="s">
        <v>16</v>
      </c>
    </row>
    <row r="334" ht="14.25" customHeight="1">
      <c r="A334" s="17">
        <v>45834.0</v>
      </c>
      <c r="B334" s="2" t="s">
        <v>31</v>
      </c>
      <c r="C334" s="2" t="s">
        <v>31</v>
      </c>
      <c r="D334" s="2" t="s">
        <v>31</v>
      </c>
      <c r="E334" s="2" t="s">
        <v>31</v>
      </c>
      <c r="F334" s="2" t="s">
        <v>31</v>
      </c>
      <c r="G334" s="2" t="s">
        <v>31</v>
      </c>
      <c r="H334" s="2" t="s">
        <v>31</v>
      </c>
      <c r="I334" s="2" t="s">
        <v>31</v>
      </c>
      <c r="J334" s="2" t="s">
        <v>31</v>
      </c>
      <c r="K334" s="2" t="s">
        <v>31</v>
      </c>
      <c r="L334" s="2" t="s">
        <v>31</v>
      </c>
      <c r="M334" s="2" t="s">
        <v>31</v>
      </c>
      <c r="N334" s="2" t="s">
        <v>31</v>
      </c>
      <c r="O334" s="2" t="s">
        <v>31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2" t="s">
        <v>27</v>
      </c>
      <c r="V334" s="2" t="s">
        <v>26</v>
      </c>
      <c r="W334" s="2" t="s">
        <v>25</v>
      </c>
      <c r="X334" s="2" t="s">
        <v>27</v>
      </c>
      <c r="Y334" s="2" t="s">
        <v>16</v>
      </c>
      <c r="Z334" s="2" t="s">
        <v>16</v>
      </c>
      <c r="AA334" s="2" t="s">
        <v>18</v>
      </c>
      <c r="AB334" s="2" t="s">
        <v>25</v>
      </c>
      <c r="AC334" s="2" t="s">
        <v>26</v>
      </c>
      <c r="AD334" s="2" t="s">
        <v>28</v>
      </c>
      <c r="AE334" s="2" t="s">
        <v>16</v>
      </c>
      <c r="AF334" s="2" t="s">
        <v>16</v>
      </c>
      <c r="AG334" s="2" t="s">
        <v>16</v>
      </c>
      <c r="AH334" s="2" t="s">
        <v>16</v>
      </c>
      <c r="AI334" s="2" t="s">
        <v>24</v>
      </c>
      <c r="AJ334" s="2" t="s">
        <v>19</v>
      </c>
      <c r="AK334" s="2" t="s">
        <v>25</v>
      </c>
      <c r="AL334" s="2" t="s">
        <v>26</v>
      </c>
    </row>
    <row r="335" ht="14.25" customHeight="1">
      <c r="A335" s="17">
        <v>45835.0</v>
      </c>
      <c r="B335" s="2" t="s">
        <v>31</v>
      </c>
      <c r="C335" s="2" t="s">
        <v>31</v>
      </c>
      <c r="D335" s="2" t="s">
        <v>31</v>
      </c>
      <c r="E335" s="2" t="s">
        <v>31</v>
      </c>
      <c r="F335" s="2" t="s">
        <v>31</v>
      </c>
      <c r="G335" s="2" t="s">
        <v>31</v>
      </c>
      <c r="H335" s="2" t="s">
        <v>31</v>
      </c>
      <c r="I335" s="2" t="s">
        <v>31</v>
      </c>
      <c r="J335" s="2" t="s">
        <v>31</v>
      </c>
      <c r="K335" s="2" t="s">
        <v>31</v>
      </c>
      <c r="L335" s="2" t="s">
        <v>31</v>
      </c>
      <c r="M335" s="2" t="s">
        <v>31</v>
      </c>
      <c r="N335" s="2" t="s">
        <v>31</v>
      </c>
      <c r="O335" s="2" t="s">
        <v>31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2" t="s">
        <v>18</v>
      </c>
      <c r="V335" s="2" t="s">
        <v>16</v>
      </c>
      <c r="W335" s="2" t="s">
        <v>22</v>
      </c>
      <c r="X335" s="2" t="s">
        <v>18</v>
      </c>
      <c r="Y335" s="2" t="s">
        <v>27</v>
      </c>
      <c r="Z335" s="2" t="s">
        <v>26</v>
      </c>
      <c r="AA335" s="2" t="s">
        <v>23</v>
      </c>
      <c r="AB335" s="2" t="s">
        <v>26</v>
      </c>
      <c r="AC335" s="2" t="s">
        <v>24</v>
      </c>
      <c r="AD335" s="2" t="s">
        <v>17</v>
      </c>
      <c r="AE335" s="2" t="s">
        <v>16</v>
      </c>
      <c r="AF335" s="2" t="s">
        <v>16</v>
      </c>
      <c r="AG335" s="2" t="s">
        <v>22</v>
      </c>
      <c r="AH335" s="2" t="s">
        <v>21</v>
      </c>
      <c r="AI335" s="2" t="s">
        <v>16</v>
      </c>
      <c r="AJ335" s="2" t="s">
        <v>28</v>
      </c>
      <c r="AK335" s="2" t="s">
        <v>16</v>
      </c>
      <c r="AL335" s="2" t="s">
        <v>21</v>
      </c>
    </row>
    <row r="336" ht="14.25" customHeight="1">
      <c r="A336" s="17">
        <v>45836.0</v>
      </c>
      <c r="B336" s="2" t="s">
        <v>16</v>
      </c>
      <c r="C336" s="2" t="s">
        <v>16</v>
      </c>
      <c r="D336" s="2" t="s">
        <v>33</v>
      </c>
      <c r="E336" s="2" t="s">
        <v>34</v>
      </c>
      <c r="F336" s="2" t="s">
        <v>37</v>
      </c>
      <c r="G336" s="2" t="s">
        <v>30</v>
      </c>
      <c r="H336" s="2" t="s">
        <v>37</v>
      </c>
      <c r="I336" s="2" t="s">
        <v>25</v>
      </c>
      <c r="J336" s="2" t="s">
        <v>33</v>
      </c>
      <c r="K336" s="2" t="s">
        <v>19</v>
      </c>
      <c r="L336" s="2" t="s">
        <v>27</v>
      </c>
      <c r="M336" s="2" t="s">
        <v>16</v>
      </c>
      <c r="N336" s="2" t="s">
        <v>25</v>
      </c>
      <c r="O336" s="2" t="s">
        <v>27</v>
      </c>
      <c r="P336" s="2" t="s">
        <v>16</v>
      </c>
      <c r="Q336" s="2" t="s">
        <v>20</v>
      </c>
      <c r="R336" s="2" t="s">
        <v>36</v>
      </c>
      <c r="S336" s="2" t="s">
        <v>18</v>
      </c>
      <c r="T336" s="2" t="s">
        <v>23</v>
      </c>
      <c r="U336" s="2" t="s">
        <v>19</v>
      </c>
      <c r="V336" s="2" t="s">
        <v>24</v>
      </c>
      <c r="W336" s="2" t="s">
        <v>25</v>
      </c>
      <c r="X336" s="2" t="s">
        <v>27</v>
      </c>
      <c r="Y336" s="2" t="s">
        <v>19</v>
      </c>
      <c r="Z336" s="2" t="s">
        <v>16</v>
      </c>
      <c r="AA336" s="2" t="s">
        <v>22</v>
      </c>
      <c r="AB336" s="2" t="s">
        <v>19</v>
      </c>
      <c r="AC336" s="2" t="s">
        <v>17</v>
      </c>
      <c r="AD336" s="2" t="s">
        <v>26</v>
      </c>
      <c r="AE336" s="2" t="s">
        <v>16</v>
      </c>
      <c r="AF336" s="2" t="s">
        <v>16</v>
      </c>
      <c r="AG336" s="2" t="s">
        <v>27</v>
      </c>
      <c r="AH336" s="2" t="s">
        <v>25</v>
      </c>
      <c r="AI336" s="2" t="s">
        <v>22</v>
      </c>
      <c r="AJ336" s="2" t="s">
        <v>23</v>
      </c>
      <c r="AK336" s="2" t="s">
        <v>24</v>
      </c>
      <c r="AL336" s="2" t="s">
        <v>26</v>
      </c>
    </row>
    <row r="337" ht="14.25" customHeight="1">
      <c r="A337" s="17">
        <v>45837.0</v>
      </c>
      <c r="B337" s="2" t="s">
        <v>31</v>
      </c>
      <c r="C337" s="2" t="s">
        <v>31</v>
      </c>
      <c r="D337" s="2" t="s">
        <v>31</v>
      </c>
      <c r="E337" s="2" t="s">
        <v>31</v>
      </c>
      <c r="F337" s="2" t="s">
        <v>31</v>
      </c>
      <c r="G337" s="2" t="s">
        <v>31</v>
      </c>
      <c r="H337" s="2" t="s">
        <v>31</v>
      </c>
      <c r="I337" s="2" t="s">
        <v>31</v>
      </c>
      <c r="J337" s="2" t="s">
        <v>31</v>
      </c>
      <c r="K337" s="2" t="s">
        <v>31</v>
      </c>
      <c r="L337" s="2" t="s">
        <v>31</v>
      </c>
      <c r="M337" s="2" t="s">
        <v>31</v>
      </c>
      <c r="N337" s="2" t="s">
        <v>31</v>
      </c>
      <c r="O337" s="2" t="s">
        <v>31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2" t="s">
        <v>21</v>
      </c>
      <c r="V337" s="2" t="s">
        <v>25</v>
      </c>
      <c r="W337" s="2" t="s">
        <v>16</v>
      </c>
      <c r="X337" s="2" t="s">
        <v>23</v>
      </c>
      <c r="Y337" s="2" t="s">
        <v>16</v>
      </c>
      <c r="Z337" s="2" t="s">
        <v>16</v>
      </c>
      <c r="AA337" s="2" t="s">
        <v>16</v>
      </c>
      <c r="AB337" s="2" t="s">
        <v>16</v>
      </c>
      <c r="AC337" s="2" t="s">
        <v>26</v>
      </c>
      <c r="AD337" s="2" t="s">
        <v>24</v>
      </c>
      <c r="AE337" s="2" t="s">
        <v>16</v>
      </c>
      <c r="AF337" s="2" t="s">
        <v>18</v>
      </c>
      <c r="AG337" s="2" t="s">
        <v>19</v>
      </c>
      <c r="AH337" s="2" t="s">
        <v>17</v>
      </c>
      <c r="AI337" s="2" t="s">
        <v>24</v>
      </c>
      <c r="AJ337" s="2" t="s">
        <v>20</v>
      </c>
      <c r="AK337" s="2" t="s">
        <v>24</v>
      </c>
      <c r="AL337" s="2" t="s">
        <v>16</v>
      </c>
    </row>
    <row r="338" ht="14.25" customHeight="1">
      <c r="A338" s="17">
        <v>45838.0</v>
      </c>
      <c r="B338" s="2" t="s">
        <v>31</v>
      </c>
      <c r="C338" s="2" t="s">
        <v>31</v>
      </c>
      <c r="D338" s="2" t="s">
        <v>31</v>
      </c>
      <c r="E338" s="2" t="s">
        <v>31</v>
      </c>
      <c r="F338" s="2" t="s">
        <v>31</v>
      </c>
      <c r="G338" s="2" t="s">
        <v>31</v>
      </c>
      <c r="H338" s="2" t="s">
        <v>31</v>
      </c>
      <c r="I338" s="2" t="s">
        <v>31</v>
      </c>
      <c r="J338" s="2" t="s">
        <v>31</v>
      </c>
      <c r="K338" s="2" t="s">
        <v>31</v>
      </c>
      <c r="L338" s="2" t="s">
        <v>31</v>
      </c>
      <c r="M338" s="2" t="s">
        <v>31</v>
      </c>
      <c r="N338" s="2" t="s">
        <v>31</v>
      </c>
      <c r="O338" s="2" t="s">
        <v>31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2" t="s">
        <v>28</v>
      </c>
      <c r="V338" s="2" t="s">
        <v>27</v>
      </c>
      <c r="W338" s="2" t="s">
        <v>25</v>
      </c>
      <c r="X338" s="2" t="s">
        <v>26</v>
      </c>
      <c r="Y338" s="2" t="s">
        <v>27</v>
      </c>
      <c r="Z338" s="2" t="s">
        <v>21</v>
      </c>
      <c r="AA338" s="2" t="s">
        <v>16</v>
      </c>
      <c r="AB338" s="2" t="s">
        <v>16</v>
      </c>
      <c r="AC338" s="2" t="s">
        <v>26</v>
      </c>
      <c r="AD338" s="2" t="s">
        <v>26</v>
      </c>
      <c r="AE338" s="2" t="s">
        <v>27</v>
      </c>
      <c r="AF338" s="2" t="s">
        <v>20</v>
      </c>
      <c r="AG338" s="2" t="s">
        <v>28</v>
      </c>
      <c r="AH338" s="2" t="s">
        <v>22</v>
      </c>
      <c r="AI338" s="2" t="s">
        <v>24</v>
      </c>
      <c r="AJ338" s="2" t="s">
        <v>16</v>
      </c>
      <c r="AK338" s="2" t="s">
        <v>27</v>
      </c>
      <c r="AL338" s="2" t="s">
        <v>16</v>
      </c>
    </row>
    <row r="339" ht="14.25" customHeight="1">
      <c r="A339" s="17">
        <v>45839.0</v>
      </c>
      <c r="B339" s="2" t="s">
        <v>31</v>
      </c>
      <c r="C339" s="2" t="s">
        <v>31</v>
      </c>
      <c r="D339" s="2" t="s">
        <v>31</v>
      </c>
      <c r="E339" s="2" t="s">
        <v>31</v>
      </c>
      <c r="F339" s="2" t="s">
        <v>31</v>
      </c>
      <c r="G339" s="2" t="s">
        <v>31</v>
      </c>
      <c r="H339" s="2" t="s">
        <v>31</v>
      </c>
      <c r="I339" s="2" t="s">
        <v>31</v>
      </c>
      <c r="J339" s="2" t="s">
        <v>31</v>
      </c>
      <c r="K339" s="2" t="s">
        <v>31</v>
      </c>
      <c r="L339" s="2" t="s">
        <v>31</v>
      </c>
      <c r="M339" s="2" t="s">
        <v>31</v>
      </c>
      <c r="N339" s="2" t="s">
        <v>31</v>
      </c>
      <c r="O339" s="2" t="s">
        <v>31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2" t="s">
        <v>22</v>
      </c>
      <c r="V339" s="2" t="s">
        <v>16</v>
      </c>
      <c r="W339" s="2" t="s">
        <v>16</v>
      </c>
      <c r="X339" s="2" t="s">
        <v>18</v>
      </c>
      <c r="Y339" s="2" t="s">
        <v>28</v>
      </c>
      <c r="Z339" s="2" t="s">
        <v>20</v>
      </c>
      <c r="AA339" s="2" t="s">
        <v>16</v>
      </c>
      <c r="AB339" s="2" t="s">
        <v>16</v>
      </c>
      <c r="AC339" s="2" t="s">
        <v>21</v>
      </c>
      <c r="AD339" s="2" t="s">
        <v>22</v>
      </c>
      <c r="AE339" s="2" t="s">
        <v>25</v>
      </c>
      <c r="AF339" s="2" t="s">
        <v>24</v>
      </c>
      <c r="AG339" s="2" t="s">
        <v>28</v>
      </c>
      <c r="AH339" s="2" t="s">
        <v>20</v>
      </c>
      <c r="AI339" s="2" t="s">
        <v>16</v>
      </c>
      <c r="AJ339" s="2" t="s">
        <v>16</v>
      </c>
      <c r="AK339" s="2" t="s">
        <v>21</v>
      </c>
      <c r="AL339" s="2" t="s">
        <v>17</v>
      </c>
    </row>
    <row r="340" ht="14.25" customHeight="1">
      <c r="A340" s="17">
        <v>45840.0</v>
      </c>
      <c r="B340" s="2" t="s">
        <v>31</v>
      </c>
      <c r="C340" s="2" t="s">
        <v>31</v>
      </c>
      <c r="D340" s="2" t="s">
        <v>31</v>
      </c>
      <c r="E340" s="2" t="s">
        <v>31</v>
      </c>
      <c r="F340" s="2" t="s">
        <v>31</v>
      </c>
      <c r="G340" s="2" t="s">
        <v>31</v>
      </c>
      <c r="H340" s="2" t="s">
        <v>31</v>
      </c>
      <c r="I340" s="2" t="s">
        <v>31</v>
      </c>
      <c r="J340" s="2" t="s">
        <v>31</v>
      </c>
      <c r="K340" s="2" t="s">
        <v>31</v>
      </c>
      <c r="L340" s="2" t="s">
        <v>31</v>
      </c>
      <c r="M340" s="2" t="s">
        <v>31</v>
      </c>
      <c r="N340" s="2" t="s">
        <v>31</v>
      </c>
      <c r="O340" s="2" t="s">
        <v>31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2" t="s">
        <v>19</v>
      </c>
      <c r="V340" s="2" t="s">
        <v>16</v>
      </c>
      <c r="W340" s="2" t="s">
        <v>17</v>
      </c>
      <c r="X340" s="2" t="s">
        <v>28</v>
      </c>
      <c r="Y340" s="2" t="s">
        <v>20</v>
      </c>
      <c r="Z340" s="2" t="s">
        <v>21</v>
      </c>
      <c r="AA340" s="2" t="s">
        <v>24</v>
      </c>
      <c r="AB340" s="2" t="s">
        <v>21</v>
      </c>
      <c r="AC340" s="2" t="s">
        <v>20</v>
      </c>
      <c r="AD340" s="2" t="s">
        <v>21</v>
      </c>
      <c r="AE340" s="2" t="s">
        <v>27</v>
      </c>
      <c r="AF340" s="2" t="s">
        <v>16</v>
      </c>
      <c r="AG340" s="2" t="s">
        <v>19</v>
      </c>
      <c r="AH340" s="2" t="s">
        <v>20</v>
      </c>
      <c r="AI340" s="2" t="s">
        <v>22</v>
      </c>
      <c r="AJ340" s="2" t="s">
        <v>26</v>
      </c>
      <c r="AK340" s="2" t="s">
        <v>27</v>
      </c>
      <c r="AL340" s="2" t="s">
        <v>22</v>
      </c>
    </row>
    <row r="341" ht="14.25" customHeight="1">
      <c r="A341" s="17">
        <v>45841.0</v>
      </c>
      <c r="B341" s="2" t="s">
        <v>31</v>
      </c>
      <c r="C341" s="2" t="s">
        <v>31</v>
      </c>
      <c r="D341" s="2" t="s">
        <v>31</v>
      </c>
      <c r="E341" s="2" t="s">
        <v>31</v>
      </c>
      <c r="F341" s="2" t="s">
        <v>31</v>
      </c>
      <c r="G341" s="2" t="s">
        <v>31</v>
      </c>
      <c r="H341" s="2" t="s">
        <v>31</v>
      </c>
      <c r="I341" s="2" t="s">
        <v>31</v>
      </c>
      <c r="J341" s="2" t="s">
        <v>31</v>
      </c>
      <c r="K341" s="2" t="s">
        <v>31</v>
      </c>
      <c r="L341" s="2" t="s">
        <v>31</v>
      </c>
      <c r="M341" s="2" t="s">
        <v>31</v>
      </c>
      <c r="N341" s="2" t="s">
        <v>31</v>
      </c>
      <c r="O341" s="2" t="s">
        <v>31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2" t="s">
        <v>25</v>
      </c>
      <c r="V341" s="2" t="s">
        <v>19</v>
      </c>
      <c r="W341" s="2" t="s">
        <v>19</v>
      </c>
      <c r="X341" s="2" t="s">
        <v>25</v>
      </c>
      <c r="Y341" s="2" t="s">
        <v>25</v>
      </c>
      <c r="Z341" s="2" t="s">
        <v>23</v>
      </c>
      <c r="AA341" s="2" t="s">
        <v>16</v>
      </c>
      <c r="AB341" s="2" t="s">
        <v>19</v>
      </c>
      <c r="AC341" s="2" t="s">
        <v>26</v>
      </c>
      <c r="AD341" s="2" t="s">
        <v>16</v>
      </c>
      <c r="AE341" s="2" t="s">
        <v>16</v>
      </c>
      <c r="AF341" s="2" t="s">
        <v>16</v>
      </c>
      <c r="AG341" s="2" t="s">
        <v>16</v>
      </c>
      <c r="AH341" s="2" t="s">
        <v>16</v>
      </c>
      <c r="AI341" s="2" t="s">
        <v>24</v>
      </c>
      <c r="AJ341" s="2" t="s">
        <v>19</v>
      </c>
      <c r="AK341" s="2" t="s">
        <v>16</v>
      </c>
      <c r="AL341" s="2" t="s">
        <v>16</v>
      </c>
    </row>
    <row r="342" ht="14.25" customHeight="1">
      <c r="A342" s="17">
        <v>45842.0</v>
      </c>
      <c r="B342" s="2" t="s">
        <v>31</v>
      </c>
      <c r="C342" s="2" t="s">
        <v>31</v>
      </c>
      <c r="D342" s="2" t="s">
        <v>31</v>
      </c>
      <c r="E342" s="2" t="s">
        <v>31</v>
      </c>
      <c r="F342" s="2" t="s">
        <v>31</v>
      </c>
      <c r="G342" s="2" t="s">
        <v>31</v>
      </c>
      <c r="H342" s="2" t="s">
        <v>31</v>
      </c>
      <c r="I342" s="2" t="s">
        <v>31</v>
      </c>
      <c r="J342" s="2" t="s">
        <v>31</v>
      </c>
      <c r="K342" s="2" t="s">
        <v>31</v>
      </c>
      <c r="L342" s="2" t="s">
        <v>31</v>
      </c>
      <c r="M342" s="2" t="s">
        <v>31</v>
      </c>
      <c r="N342" s="2" t="s">
        <v>31</v>
      </c>
      <c r="O342" s="2" t="s">
        <v>31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2" t="s">
        <v>20</v>
      </c>
      <c r="V342" s="2" t="s">
        <v>16</v>
      </c>
      <c r="W342" s="2" t="s">
        <v>16</v>
      </c>
      <c r="X342" s="2" t="s">
        <v>26</v>
      </c>
      <c r="Y342" s="2" t="s">
        <v>23</v>
      </c>
      <c r="Z342" s="2" t="s">
        <v>17</v>
      </c>
      <c r="AA342" s="2" t="s">
        <v>16</v>
      </c>
      <c r="AB342" s="2" t="s">
        <v>28</v>
      </c>
      <c r="AC342" s="2" t="s">
        <v>16</v>
      </c>
      <c r="AD342" s="2" t="s">
        <v>20</v>
      </c>
      <c r="AE342" s="2" t="s">
        <v>20</v>
      </c>
      <c r="AF342" s="2" t="s">
        <v>28</v>
      </c>
      <c r="AG342" s="2" t="s">
        <v>26</v>
      </c>
      <c r="AH342" s="2" t="s">
        <v>27</v>
      </c>
      <c r="AI342" s="2" t="s">
        <v>16</v>
      </c>
      <c r="AJ342" s="2" t="s">
        <v>20</v>
      </c>
      <c r="AK342" s="2" t="s">
        <v>16</v>
      </c>
      <c r="AL342" s="2" t="s">
        <v>16</v>
      </c>
    </row>
    <row r="343" ht="14.25" customHeight="1">
      <c r="A343" s="17">
        <v>45843.0</v>
      </c>
      <c r="B343" s="2" t="s">
        <v>28</v>
      </c>
      <c r="C343" s="2" t="s">
        <v>36</v>
      </c>
      <c r="D343" s="2" t="s">
        <v>26</v>
      </c>
      <c r="E343" s="2" t="s">
        <v>43</v>
      </c>
      <c r="F343" s="2" t="s">
        <v>30</v>
      </c>
      <c r="G343" s="2" t="s">
        <v>17</v>
      </c>
      <c r="H343" s="2" t="s">
        <v>30</v>
      </c>
      <c r="I343" s="2" t="s">
        <v>33</v>
      </c>
      <c r="J343" s="2" t="s">
        <v>30</v>
      </c>
      <c r="K343" s="2" t="s">
        <v>33</v>
      </c>
      <c r="L343" s="2" t="s">
        <v>29</v>
      </c>
      <c r="M343" s="2" t="s">
        <v>16</v>
      </c>
      <c r="N343" s="2" t="s">
        <v>17</v>
      </c>
      <c r="O343" s="2" t="s">
        <v>16</v>
      </c>
      <c r="P343" s="2" t="s">
        <v>35</v>
      </c>
      <c r="Q343" s="2" t="s">
        <v>23</v>
      </c>
      <c r="R343" s="2" t="s">
        <v>21</v>
      </c>
      <c r="S343" s="2" t="s">
        <v>25</v>
      </c>
      <c r="T343" s="2" t="s">
        <v>16</v>
      </c>
      <c r="U343" s="2" t="s">
        <v>20</v>
      </c>
      <c r="V343" s="2" t="s">
        <v>26</v>
      </c>
      <c r="W343" s="2" t="s">
        <v>16</v>
      </c>
      <c r="X343" s="2" t="s">
        <v>21</v>
      </c>
      <c r="Y343" s="2" t="s">
        <v>20</v>
      </c>
      <c r="Z343" s="2" t="s">
        <v>20</v>
      </c>
      <c r="AA343" s="2" t="s">
        <v>18</v>
      </c>
      <c r="AB343" s="2" t="s">
        <v>25</v>
      </c>
      <c r="AC343" s="2" t="s">
        <v>28</v>
      </c>
      <c r="AD343" s="2" t="s">
        <v>18</v>
      </c>
      <c r="AE343" s="2" t="s">
        <v>28</v>
      </c>
      <c r="AF343" s="2" t="s">
        <v>26</v>
      </c>
      <c r="AG343" s="2" t="s">
        <v>17</v>
      </c>
      <c r="AH343" s="2" t="s">
        <v>16</v>
      </c>
      <c r="AI343" s="2" t="s">
        <v>20</v>
      </c>
      <c r="AJ343" s="2" t="s">
        <v>20</v>
      </c>
      <c r="AK343" s="2" t="s">
        <v>19</v>
      </c>
      <c r="AL343" s="2" t="s">
        <v>20</v>
      </c>
    </row>
    <row r="344" ht="14.25" customHeight="1">
      <c r="A344" s="17">
        <v>45844.0</v>
      </c>
      <c r="B344" s="2" t="s">
        <v>31</v>
      </c>
      <c r="C344" s="2" t="s">
        <v>31</v>
      </c>
      <c r="D344" s="2" t="s">
        <v>31</v>
      </c>
      <c r="E344" s="2" t="s">
        <v>31</v>
      </c>
      <c r="F344" s="2" t="s">
        <v>31</v>
      </c>
      <c r="G344" s="2" t="s">
        <v>31</v>
      </c>
      <c r="H344" s="2" t="s">
        <v>31</v>
      </c>
      <c r="I344" s="2" t="s">
        <v>31</v>
      </c>
      <c r="J344" s="2" t="s">
        <v>31</v>
      </c>
      <c r="K344" s="2" t="s">
        <v>31</v>
      </c>
      <c r="L344" s="2" t="s">
        <v>31</v>
      </c>
      <c r="M344" s="2" t="s">
        <v>31</v>
      </c>
      <c r="N344" s="2" t="s">
        <v>31</v>
      </c>
      <c r="O344" s="2" t="s">
        <v>31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2" t="s">
        <v>16</v>
      </c>
      <c r="V344" s="2" t="s">
        <v>27</v>
      </c>
      <c r="W344" s="2" t="s">
        <v>27</v>
      </c>
      <c r="X344" s="2" t="s">
        <v>24</v>
      </c>
      <c r="Y344" s="2" t="s">
        <v>24</v>
      </c>
      <c r="Z344" s="2" t="s">
        <v>24</v>
      </c>
      <c r="AA344" s="2" t="s">
        <v>16</v>
      </c>
      <c r="AB344" s="2" t="s">
        <v>16</v>
      </c>
      <c r="AC344" s="2" t="s">
        <v>21</v>
      </c>
      <c r="AD344" s="2" t="s">
        <v>20</v>
      </c>
      <c r="AE344" s="2" t="s">
        <v>28</v>
      </c>
      <c r="AF344" s="2" t="s">
        <v>26</v>
      </c>
      <c r="AG344" s="2" t="s">
        <v>16</v>
      </c>
      <c r="AH344" s="2" t="s">
        <v>27</v>
      </c>
      <c r="AI344" s="2" t="s">
        <v>16</v>
      </c>
      <c r="AJ344" s="2" t="s">
        <v>19</v>
      </c>
      <c r="AK344" s="2" t="s">
        <v>17</v>
      </c>
      <c r="AL344" s="2" t="s">
        <v>26</v>
      </c>
    </row>
    <row r="345" ht="14.25" customHeight="1">
      <c r="A345" s="17">
        <v>45845.0</v>
      </c>
      <c r="B345" s="2" t="s">
        <v>31</v>
      </c>
      <c r="C345" s="2" t="s">
        <v>31</v>
      </c>
      <c r="D345" s="2" t="s">
        <v>31</v>
      </c>
      <c r="E345" s="2" t="s">
        <v>31</v>
      </c>
      <c r="F345" s="2" t="s">
        <v>31</v>
      </c>
      <c r="G345" s="2" t="s">
        <v>31</v>
      </c>
      <c r="H345" s="2" t="s">
        <v>31</v>
      </c>
      <c r="I345" s="2" t="s">
        <v>31</v>
      </c>
      <c r="J345" s="2" t="s">
        <v>31</v>
      </c>
      <c r="K345" s="2" t="s">
        <v>31</v>
      </c>
      <c r="L345" s="2" t="s">
        <v>31</v>
      </c>
      <c r="M345" s="2" t="s">
        <v>31</v>
      </c>
      <c r="N345" s="2" t="s">
        <v>31</v>
      </c>
      <c r="O345" s="2" t="s">
        <v>31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2" t="s">
        <v>24</v>
      </c>
      <c r="V345" s="2" t="s">
        <v>16</v>
      </c>
      <c r="W345" s="2" t="s">
        <v>19</v>
      </c>
      <c r="X345" s="2" t="s">
        <v>27</v>
      </c>
      <c r="Y345" s="2" t="s">
        <v>16</v>
      </c>
      <c r="Z345" s="2" t="s">
        <v>23</v>
      </c>
      <c r="AA345" s="2" t="s">
        <v>28</v>
      </c>
      <c r="AB345" s="2" t="s">
        <v>16</v>
      </c>
      <c r="AC345" s="2" t="s">
        <v>22</v>
      </c>
      <c r="AD345" s="2" t="s">
        <v>16</v>
      </c>
      <c r="AE345" s="2" t="s">
        <v>16</v>
      </c>
      <c r="AF345" s="2" t="s">
        <v>24</v>
      </c>
      <c r="AG345" s="2" t="s">
        <v>21</v>
      </c>
      <c r="AH345" s="2" t="s">
        <v>16</v>
      </c>
      <c r="AI345" s="2" t="s">
        <v>24</v>
      </c>
      <c r="AJ345" s="2" t="s">
        <v>17</v>
      </c>
      <c r="AK345" s="2" t="s">
        <v>25</v>
      </c>
      <c r="AL345" s="2" t="s">
        <v>18</v>
      </c>
    </row>
    <row r="346" ht="14.25" customHeight="1">
      <c r="A346" s="17">
        <v>45846.0</v>
      </c>
      <c r="B346" s="2" t="s">
        <v>31</v>
      </c>
      <c r="C346" s="2" t="s">
        <v>31</v>
      </c>
      <c r="D346" s="2" t="s">
        <v>31</v>
      </c>
      <c r="E346" s="2" t="s">
        <v>31</v>
      </c>
      <c r="F346" s="2" t="s">
        <v>31</v>
      </c>
      <c r="G346" s="2" t="s">
        <v>31</v>
      </c>
      <c r="H346" s="2" t="s">
        <v>31</v>
      </c>
      <c r="I346" s="2" t="s">
        <v>31</v>
      </c>
      <c r="J346" s="2" t="s">
        <v>31</v>
      </c>
      <c r="K346" s="2" t="s">
        <v>31</v>
      </c>
      <c r="L346" s="2" t="s">
        <v>31</v>
      </c>
      <c r="M346" s="2" t="s">
        <v>31</v>
      </c>
      <c r="N346" s="2" t="s">
        <v>31</v>
      </c>
      <c r="O346" s="2" t="s">
        <v>31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2" t="s">
        <v>25</v>
      </c>
      <c r="V346" s="2" t="s">
        <v>25</v>
      </c>
      <c r="W346" s="2" t="s">
        <v>17</v>
      </c>
      <c r="X346" s="2" t="s">
        <v>18</v>
      </c>
      <c r="Y346" s="2" t="s">
        <v>22</v>
      </c>
      <c r="Z346" s="2" t="s">
        <v>23</v>
      </c>
      <c r="AA346" s="2" t="s">
        <v>24</v>
      </c>
      <c r="AB346" s="2" t="s">
        <v>21</v>
      </c>
      <c r="AC346" s="2" t="s">
        <v>21</v>
      </c>
      <c r="AD346" s="2" t="s">
        <v>19</v>
      </c>
      <c r="AE346" s="2" t="s">
        <v>27</v>
      </c>
      <c r="AF346" s="2" t="s">
        <v>19</v>
      </c>
      <c r="AG346" s="2" t="s">
        <v>21</v>
      </c>
      <c r="AH346" s="2" t="s">
        <v>18</v>
      </c>
      <c r="AI346" s="2" t="s">
        <v>24</v>
      </c>
      <c r="AJ346" s="2" t="s">
        <v>16</v>
      </c>
      <c r="AK346" s="2" t="s">
        <v>25</v>
      </c>
      <c r="AL346" s="2" t="s">
        <v>16</v>
      </c>
    </row>
    <row r="347" ht="14.25" customHeight="1">
      <c r="A347" s="17">
        <v>45847.0</v>
      </c>
      <c r="B347" s="2" t="s">
        <v>31</v>
      </c>
      <c r="C347" s="2" t="s">
        <v>31</v>
      </c>
      <c r="D347" s="2" t="s">
        <v>31</v>
      </c>
      <c r="E347" s="2" t="s">
        <v>31</v>
      </c>
      <c r="F347" s="2" t="s">
        <v>31</v>
      </c>
      <c r="G347" s="2" t="s">
        <v>31</v>
      </c>
      <c r="H347" s="2" t="s">
        <v>31</v>
      </c>
      <c r="I347" s="2" t="s">
        <v>31</v>
      </c>
      <c r="J347" s="2" t="s">
        <v>31</v>
      </c>
      <c r="K347" s="2" t="s">
        <v>31</v>
      </c>
      <c r="L347" s="2" t="s">
        <v>31</v>
      </c>
      <c r="M347" s="2" t="s">
        <v>31</v>
      </c>
      <c r="N347" s="2" t="s">
        <v>31</v>
      </c>
      <c r="O347" s="2" t="s">
        <v>31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2" t="s">
        <v>17</v>
      </c>
      <c r="V347" s="2" t="s">
        <v>17</v>
      </c>
      <c r="W347" s="2" t="s">
        <v>28</v>
      </c>
      <c r="X347" s="2" t="s">
        <v>17</v>
      </c>
      <c r="Y347" s="2" t="s">
        <v>16</v>
      </c>
      <c r="Z347" s="2" t="s">
        <v>17</v>
      </c>
      <c r="AA347" s="2" t="s">
        <v>16</v>
      </c>
      <c r="AB347" s="2" t="s">
        <v>19</v>
      </c>
      <c r="AC347" s="2" t="s">
        <v>25</v>
      </c>
      <c r="AD347" s="2" t="s">
        <v>25</v>
      </c>
      <c r="AE347" s="2" t="s">
        <v>16</v>
      </c>
      <c r="AF347" s="2" t="s">
        <v>16</v>
      </c>
      <c r="AG347" s="2" t="s">
        <v>28</v>
      </c>
      <c r="AH347" s="2" t="s">
        <v>17</v>
      </c>
      <c r="AI347" s="2" t="s">
        <v>24</v>
      </c>
      <c r="AJ347" s="2" t="s">
        <v>16</v>
      </c>
      <c r="AK347" s="2" t="s">
        <v>21</v>
      </c>
      <c r="AL347" s="2" t="s">
        <v>25</v>
      </c>
    </row>
    <row r="348" ht="14.25" customHeight="1">
      <c r="A348" s="17">
        <v>45848.0</v>
      </c>
      <c r="B348" s="2" t="s">
        <v>31</v>
      </c>
      <c r="C348" s="2" t="s">
        <v>31</v>
      </c>
      <c r="D348" s="2" t="s">
        <v>31</v>
      </c>
      <c r="E348" s="2" t="s">
        <v>31</v>
      </c>
      <c r="F348" s="2" t="s">
        <v>31</v>
      </c>
      <c r="G348" s="2" t="s">
        <v>31</v>
      </c>
      <c r="H348" s="2" t="s">
        <v>31</v>
      </c>
      <c r="I348" s="2" t="s">
        <v>31</v>
      </c>
      <c r="J348" s="2" t="s">
        <v>31</v>
      </c>
      <c r="K348" s="2" t="s">
        <v>31</v>
      </c>
      <c r="L348" s="2" t="s">
        <v>31</v>
      </c>
      <c r="M348" s="2" t="s">
        <v>31</v>
      </c>
      <c r="N348" s="2" t="s">
        <v>31</v>
      </c>
      <c r="O348" s="2" t="s">
        <v>31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2" t="s">
        <v>16</v>
      </c>
      <c r="V348" s="2" t="s">
        <v>21</v>
      </c>
      <c r="W348" s="2" t="s">
        <v>21</v>
      </c>
      <c r="X348" s="2" t="s">
        <v>22</v>
      </c>
      <c r="Y348" s="2" t="s">
        <v>16</v>
      </c>
      <c r="Z348" s="2" t="s">
        <v>20</v>
      </c>
      <c r="AA348" s="2" t="s">
        <v>16</v>
      </c>
      <c r="AB348" s="2" t="s">
        <v>17</v>
      </c>
      <c r="AC348" s="2" t="s">
        <v>16</v>
      </c>
      <c r="AD348" s="2" t="s">
        <v>19</v>
      </c>
      <c r="AE348" s="2" t="s">
        <v>26</v>
      </c>
      <c r="AF348" s="2" t="s">
        <v>16</v>
      </c>
      <c r="AG348" s="2" t="s">
        <v>26</v>
      </c>
      <c r="AH348" s="2" t="s">
        <v>16</v>
      </c>
      <c r="AI348" s="2" t="s">
        <v>28</v>
      </c>
      <c r="AJ348" s="2" t="s">
        <v>16</v>
      </c>
      <c r="AK348" s="2" t="s">
        <v>16</v>
      </c>
      <c r="AL348" s="2" t="s">
        <v>24</v>
      </c>
    </row>
    <row r="349" ht="14.25" customHeight="1">
      <c r="A349" s="17">
        <v>45849.0</v>
      </c>
      <c r="B349" s="2" t="s">
        <v>31</v>
      </c>
      <c r="C349" s="2" t="s">
        <v>31</v>
      </c>
      <c r="D349" s="2" t="s">
        <v>31</v>
      </c>
      <c r="E349" s="2" t="s">
        <v>31</v>
      </c>
      <c r="F349" s="2" t="s">
        <v>31</v>
      </c>
      <c r="G349" s="2" t="s">
        <v>31</v>
      </c>
      <c r="H349" s="2" t="s">
        <v>31</v>
      </c>
      <c r="I349" s="2" t="s">
        <v>31</v>
      </c>
      <c r="J349" s="2" t="s">
        <v>31</v>
      </c>
      <c r="K349" s="2" t="s">
        <v>31</v>
      </c>
      <c r="L349" s="2" t="s">
        <v>31</v>
      </c>
      <c r="M349" s="2" t="s">
        <v>31</v>
      </c>
      <c r="N349" s="2" t="s">
        <v>31</v>
      </c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2" t="s">
        <v>23</v>
      </c>
      <c r="V349" s="2" t="s">
        <v>21</v>
      </c>
      <c r="W349" s="2" t="s">
        <v>16</v>
      </c>
      <c r="X349" s="2" t="s">
        <v>16</v>
      </c>
      <c r="Y349" s="2" t="s">
        <v>28</v>
      </c>
      <c r="Z349" s="2" t="s">
        <v>25</v>
      </c>
      <c r="AA349" s="2" t="s">
        <v>27</v>
      </c>
      <c r="AB349" s="2" t="s">
        <v>28</v>
      </c>
      <c r="AC349" s="2" t="s">
        <v>27</v>
      </c>
      <c r="AD349" s="2" t="s">
        <v>17</v>
      </c>
      <c r="AE349" s="2" t="s">
        <v>16</v>
      </c>
      <c r="AF349" s="2" t="s">
        <v>16</v>
      </c>
      <c r="AG349" s="2" t="s">
        <v>22</v>
      </c>
      <c r="AH349" s="2" t="s">
        <v>18</v>
      </c>
      <c r="AI349" s="2" t="s">
        <v>16</v>
      </c>
      <c r="AJ349" s="2" t="s">
        <v>18</v>
      </c>
      <c r="AK349" s="2" t="s">
        <v>27</v>
      </c>
      <c r="AL349" s="2" t="s">
        <v>22</v>
      </c>
    </row>
    <row r="350" ht="14.25" customHeight="1">
      <c r="A350" s="17">
        <v>45850.0</v>
      </c>
      <c r="B350" s="2" t="s">
        <v>36</v>
      </c>
      <c r="C350" s="2" t="s">
        <v>20</v>
      </c>
      <c r="D350" s="2" t="s">
        <v>33</v>
      </c>
      <c r="E350" s="2" t="s">
        <v>40</v>
      </c>
      <c r="F350" s="2" t="s">
        <v>27</v>
      </c>
      <c r="G350" s="2" t="s">
        <v>20</v>
      </c>
      <c r="H350" s="2" t="s">
        <v>19</v>
      </c>
      <c r="I350" s="2" t="s">
        <v>40</v>
      </c>
      <c r="J350" s="2" t="s">
        <v>29</v>
      </c>
      <c r="K350" s="2" t="s">
        <v>21</v>
      </c>
      <c r="L350" s="2" t="s">
        <v>35</v>
      </c>
      <c r="M350" s="2" t="s">
        <v>16</v>
      </c>
      <c r="N350" s="2" t="s">
        <v>27</v>
      </c>
      <c r="O350" s="2" t="s">
        <v>20</v>
      </c>
      <c r="P350" s="2" t="s">
        <v>19</v>
      </c>
      <c r="Q350" s="2" t="s">
        <v>43</v>
      </c>
      <c r="R350" s="2" t="s">
        <v>28</v>
      </c>
      <c r="S350" s="2" t="s">
        <v>29</v>
      </c>
      <c r="T350" s="2" t="s">
        <v>43</v>
      </c>
      <c r="U350" s="2" t="s">
        <v>25</v>
      </c>
      <c r="V350" s="2" t="s">
        <v>28</v>
      </c>
      <c r="W350" s="2" t="s">
        <v>24</v>
      </c>
      <c r="X350" s="2" t="s">
        <v>17</v>
      </c>
      <c r="Y350" s="2" t="s">
        <v>24</v>
      </c>
      <c r="Z350" s="2" t="s">
        <v>19</v>
      </c>
      <c r="AA350" s="2" t="s">
        <v>22</v>
      </c>
      <c r="AB350" s="2" t="s">
        <v>22</v>
      </c>
      <c r="AC350" s="2" t="s">
        <v>18</v>
      </c>
      <c r="AD350" s="2" t="s">
        <v>21</v>
      </c>
      <c r="AE350" s="2" t="s">
        <v>26</v>
      </c>
      <c r="AF350" s="2" t="s">
        <v>19</v>
      </c>
      <c r="AG350" s="2" t="s">
        <v>16</v>
      </c>
      <c r="AH350" s="2" t="s">
        <v>16</v>
      </c>
      <c r="AI350" s="2" t="s">
        <v>22</v>
      </c>
      <c r="AJ350" s="2" t="s">
        <v>16</v>
      </c>
      <c r="AK350" s="2" t="s">
        <v>25</v>
      </c>
      <c r="AL350" s="2" t="s">
        <v>20</v>
      </c>
    </row>
    <row r="351" ht="14.25" customHeight="1">
      <c r="A351" s="17">
        <v>45851.0</v>
      </c>
      <c r="B351" s="2" t="s">
        <v>31</v>
      </c>
      <c r="C351" s="2" t="s">
        <v>31</v>
      </c>
      <c r="D351" s="2" t="s">
        <v>31</v>
      </c>
      <c r="E351" s="2" t="s">
        <v>31</v>
      </c>
      <c r="F351" s="2" t="s">
        <v>31</v>
      </c>
      <c r="G351" s="2" t="s">
        <v>31</v>
      </c>
      <c r="H351" s="2" t="s">
        <v>31</v>
      </c>
      <c r="I351" s="2" t="s">
        <v>31</v>
      </c>
      <c r="J351" s="2" t="s">
        <v>31</v>
      </c>
      <c r="K351" s="2" t="s">
        <v>31</v>
      </c>
      <c r="L351" s="2" t="s">
        <v>31</v>
      </c>
      <c r="M351" s="2" t="s">
        <v>31</v>
      </c>
      <c r="N351" s="2" t="s">
        <v>31</v>
      </c>
      <c r="O351" s="2" t="s">
        <v>31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2" t="s">
        <v>26</v>
      </c>
      <c r="V351" s="2" t="s">
        <v>16</v>
      </c>
      <c r="W351" s="2" t="s">
        <v>20</v>
      </c>
      <c r="X351" s="2" t="s">
        <v>23</v>
      </c>
      <c r="Y351" s="2" t="s">
        <v>27</v>
      </c>
      <c r="Z351" s="2" t="s">
        <v>18</v>
      </c>
      <c r="AA351" s="2" t="s">
        <v>25</v>
      </c>
      <c r="AB351" s="2" t="s">
        <v>25</v>
      </c>
      <c r="AC351" s="2" t="s">
        <v>16</v>
      </c>
      <c r="AD351" s="2" t="s">
        <v>17</v>
      </c>
      <c r="AE351" s="2" t="s">
        <v>16</v>
      </c>
      <c r="AF351" s="2" t="s">
        <v>22</v>
      </c>
      <c r="AG351" s="2" t="s">
        <v>17</v>
      </c>
      <c r="AH351" s="2" t="s">
        <v>27</v>
      </c>
      <c r="AI351" s="2" t="s">
        <v>17</v>
      </c>
      <c r="AJ351" s="2" t="s">
        <v>25</v>
      </c>
      <c r="AK351" s="2" t="s">
        <v>16</v>
      </c>
      <c r="AL351" s="2" t="s">
        <v>16</v>
      </c>
    </row>
    <row r="352" ht="14.25" customHeight="1">
      <c r="A352" s="17">
        <v>45852.0</v>
      </c>
      <c r="B352" s="2" t="s">
        <v>31</v>
      </c>
      <c r="C352" s="2" t="s">
        <v>31</v>
      </c>
      <c r="D352" s="2" t="s">
        <v>31</v>
      </c>
      <c r="E352" s="2" t="s">
        <v>31</v>
      </c>
      <c r="F352" s="2" t="s">
        <v>31</v>
      </c>
      <c r="G352" s="2" t="s">
        <v>31</v>
      </c>
      <c r="H352" s="2" t="s">
        <v>31</v>
      </c>
      <c r="I352" s="2" t="s">
        <v>31</v>
      </c>
      <c r="J352" s="2" t="s">
        <v>31</v>
      </c>
      <c r="K352" s="2" t="s">
        <v>31</v>
      </c>
      <c r="L352" s="2" t="s">
        <v>31</v>
      </c>
      <c r="M352" s="2" t="s">
        <v>31</v>
      </c>
      <c r="N352" s="2" t="s">
        <v>31</v>
      </c>
      <c r="O352" s="2" t="s">
        <v>31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2" t="s">
        <v>19</v>
      </c>
      <c r="V352" s="2" t="s">
        <v>23</v>
      </c>
      <c r="W352" s="2" t="s">
        <v>22</v>
      </c>
      <c r="X352" s="2" t="s">
        <v>16</v>
      </c>
      <c r="Y352" s="2" t="s">
        <v>16</v>
      </c>
      <c r="Z352" s="2" t="s">
        <v>25</v>
      </c>
      <c r="AA352" s="2" t="s">
        <v>16</v>
      </c>
      <c r="AB352" s="2" t="s">
        <v>16</v>
      </c>
      <c r="AC352" s="2" t="s">
        <v>16</v>
      </c>
      <c r="AD352" s="2" t="s">
        <v>16</v>
      </c>
      <c r="AE352" s="2" t="s">
        <v>20</v>
      </c>
      <c r="AF352" s="2" t="s">
        <v>19</v>
      </c>
      <c r="AG352" s="2" t="s">
        <v>27</v>
      </c>
      <c r="AH352" s="2" t="s">
        <v>22</v>
      </c>
      <c r="AI352" s="2" t="s">
        <v>20</v>
      </c>
      <c r="AJ352" s="2" t="s">
        <v>23</v>
      </c>
      <c r="AK352" s="2" t="s">
        <v>18</v>
      </c>
      <c r="AL352" s="2" t="s">
        <v>16</v>
      </c>
    </row>
    <row r="353" ht="14.25" customHeight="1">
      <c r="A353" s="17">
        <v>45853.0</v>
      </c>
      <c r="B353" s="2" t="s">
        <v>31</v>
      </c>
      <c r="C353" s="2" t="s">
        <v>31</v>
      </c>
      <c r="D353" s="2" t="s">
        <v>31</v>
      </c>
      <c r="E353" s="2" t="s">
        <v>31</v>
      </c>
      <c r="F353" s="2" t="s">
        <v>31</v>
      </c>
      <c r="G353" s="2" t="s">
        <v>31</v>
      </c>
      <c r="H353" s="2" t="s">
        <v>31</v>
      </c>
      <c r="I353" s="2" t="s">
        <v>31</v>
      </c>
      <c r="J353" s="2" t="s">
        <v>31</v>
      </c>
      <c r="K353" s="2" t="s">
        <v>31</v>
      </c>
      <c r="L353" s="2" t="s">
        <v>31</v>
      </c>
      <c r="M353" s="2" t="s">
        <v>31</v>
      </c>
      <c r="N353" s="2" t="s">
        <v>31</v>
      </c>
      <c r="O353" s="2" t="s">
        <v>31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2" t="s">
        <v>23</v>
      </c>
      <c r="V353" s="2" t="s">
        <v>17</v>
      </c>
      <c r="W353" s="2" t="s">
        <v>19</v>
      </c>
      <c r="X353" s="2" t="s">
        <v>18</v>
      </c>
      <c r="Y353" s="2" t="s">
        <v>24</v>
      </c>
      <c r="Z353" s="2" t="s">
        <v>26</v>
      </c>
      <c r="AA353" s="2" t="s">
        <v>21</v>
      </c>
      <c r="AB353" s="2" t="s">
        <v>26</v>
      </c>
      <c r="AC353" s="2" t="s">
        <v>28</v>
      </c>
      <c r="AD353" s="2" t="s">
        <v>26</v>
      </c>
      <c r="AE353" s="2" t="s">
        <v>25</v>
      </c>
      <c r="AF353" s="2" t="s">
        <v>16</v>
      </c>
      <c r="AG353" s="2" t="s">
        <v>16</v>
      </c>
      <c r="AH353" s="2" t="s">
        <v>20</v>
      </c>
      <c r="AI353" s="2" t="s">
        <v>19</v>
      </c>
      <c r="AJ353" s="2" t="s">
        <v>17</v>
      </c>
      <c r="AK353" s="2" t="s">
        <v>16</v>
      </c>
      <c r="AL353" s="2" t="s">
        <v>17</v>
      </c>
    </row>
    <row r="354" ht="14.25" customHeight="1">
      <c r="A354" s="17">
        <v>45854.0</v>
      </c>
      <c r="B354" s="2" t="s">
        <v>31</v>
      </c>
      <c r="C354" s="2" t="s">
        <v>31</v>
      </c>
      <c r="D354" s="2" t="s">
        <v>31</v>
      </c>
      <c r="E354" s="2" t="s">
        <v>31</v>
      </c>
      <c r="F354" s="2" t="s">
        <v>31</v>
      </c>
      <c r="G354" s="2" t="s">
        <v>31</v>
      </c>
      <c r="H354" s="2" t="s">
        <v>31</v>
      </c>
      <c r="I354" s="2" t="s">
        <v>31</v>
      </c>
      <c r="J354" s="2" t="s">
        <v>31</v>
      </c>
      <c r="K354" s="2" t="s">
        <v>31</v>
      </c>
      <c r="L354" s="2" t="s">
        <v>31</v>
      </c>
      <c r="M354" s="2" t="s">
        <v>31</v>
      </c>
      <c r="N354" s="2" t="s">
        <v>31</v>
      </c>
      <c r="O354" s="2" t="s">
        <v>31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2" t="s">
        <v>19</v>
      </c>
      <c r="V354" s="2" t="s">
        <v>16</v>
      </c>
      <c r="W354" s="2" t="s">
        <v>21</v>
      </c>
      <c r="X354" s="2" t="s">
        <v>20</v>
      </c>
      <c r="Y354" s="2" t="s">
        <v>28</v>
      </c>
      <c r="Z354" s="2" t="s">
        <v>20</v>
      </c>
      <c r="AA354" s="2" t="s">
        <v>16</v>
      </c>
      <c r="AB354" s="2" t="s">
        <v>22</v>
      </c>
      <c r="AC354" s="2" t="s">
        <v>16</v>
      </c>
      <c r="AD354" s="2" t="s">
        <v>16</v>
      </c>
      <c r="AE354" s="2" t="s">
        <v>27</v>
      </c>
      <c r="AF354" s="2" t="s">
        <v>19</v>
      </c>
      <c r="AG354" s="2" t="s">
        <v>19</v>
      </c>
      <c r="AH354" s="2" t="s">
        <v>18</v>
      </c>
      <c r="AI354" s="2" t="s">
        <v>16</v>
      </c>
      <c r="AJ354" s="2" t="s">
        <v>16</v>
      </c>
      <c r="AK354" s="2" t="s">
        <v>28</v>
      </c>
      <c r="AL354" s="2" t="s">
        <v>16</v>
      </c>
    </row>
    <row r="355" ht="14.25" customHeight="1">
      <c r="A355" s="17">
        <v>45855.0</v>
      </c>
      <c r="B355" s="2" t="s">
        <v>31</v>
      </c>
      <c r="C355" s="2" t="s">
        <v>31</v>
      </c>
      <c r="D355" s="2" t="s">
        <v>31</v>
      </c>
      <c r="E355" s="2" t="s">
        <v>31</v>
      </c>
      <c r="F355" s="2" t="s">
        <v>31</v>
      </c>
      <c r="G355" s="2" t="s">
        <v>31</v>
      </c>
      <c r="H355" s="2" t="s">
        <v>31</v>
      </c>
      <c r="I355" s="2" t="s">
        <v>31</v>
      </c>
      <c r="J355" s="2" t="s">
        <v>31</v>
      </c>
      <c r="K355" s="2" t="s">
        <v>31</v>
      </c>
      <c r="L355" s="2" t="s">
        <v>31</v>
      </c>
      <c r="M355" s="2" t="s">
        <v>31</v>
      </c>
      <c r="N355" s="2" t="s">
        <v>31</v>
      </c>
      <c r="O355" s="2" t="s">
        <v>31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2" t="s">
        <v>21</v>
      </c>
      <c r="V355" s="2" t="s">
        <v>27</v>
      </c>
      <c r="W355" s="2" t="s">
        <v>19</v>
      </c>
      <c r="X355" s="2" t="s">
        <v>16</v>
      </c>
      <c r="Y355" s="2" t="s">
        <v>19</v>
      </c>
      <c r="Z355" s="2" t="s">
        <v>20</v>
      </c>
      <c r="AA355" s="2" t="s">
        <v>20</v>
      </c>
      <c r="AB355" s="2" t="s">
        <v>28</v>
      </c>
      <c r="AC355" s="2" t="s">
        <v>28</v>
      </c>
      <c r="AD355" s="2" t="s">
        <v>20</v>
      </c>
      <c r="AE355" s="2" t="s">
        <v>27</v>
      </c>
      <c r="AF355" s="2" t="s">
        <v>24</v>
      </c>
      <c r="AG355" s="2" t="s">
        <v>24</v>
      </c>
      <c r="AH355" s="2" t="s">
        <v>23</v>
      </c>
      <c r="AI355" s="2" t="s">
        <v>16</v>
      </c>
      <c r="AJ355" s="2" t="s">
        <v>21</v>
      </c>
      <c r="AK355" s="2" t="s">
        <v>16</v>
      </c>
      <c r="AL355" s="2" t="s">
        <v>28</v>
      </c>
    </row>
    <row r="356" ht="14.25" customHeight="1">
      <c r="A356" s="17">
        <v>45856.0</v>
      </c>
      <c r="B356" s="2" t="s">
        <v>31</v>
      </c>
      <c r="C356" s="2" t="s">
        <v>31</v>
      </c>
      <c r="D356" s="2" t="s">
        <v>31</v>
      </c>
      <c r="E356" s="2" t="s">
        <v>31</v>
      </c>
      <c r="F356" s="2" t="s">
        <v>31</v>
      </c>
      <c r="G356" s="2" t="s">
        <v>31</v>
      </c>
      <c r="H356" s="2" t="s">
        <v>31</v>
      </c>
      <c r="I356" s="2" t="s">
        <v>31</v>
      </c>
      <c r="J356" s="2" t="s">
        <v>31</v>
      </c>
      <c r="K356" s="2" t="s">
        <v>31</v>
      </c>
      <c r="L356" s="2" t="s">
        <v>31</v>
      </c>
      <c r="M356" s="2" t="s">
        <v>31</v>
      </c>
      <c r="N356" s="2" t="s">
        <v>31</v>
      </c>
      <c r="O356" s="2" t="s">
        <v>31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2" t="s">
        <v>16</v>
      </c>
      <c r="V356" s="2" t="s">
        <v>27</v>
      </c>
      <c r="W356" s="2" t="s">
        <v>16</v>
      </c>
      <c r="X356" s="2" t="s">
        <v>24</v>
      </c>
      <c r="Y356" s="2" t="s">
        <v>21</v>
      </c>
      <c r="Z356" s="2" t="s">
        <v>26</v>
      </c>
      <c r="AA356" s="2" t="s">
        <v>22</v>
      </c>
      <c r="AB356" s="2" t="s">
        <v>16</v>
      </c>
      <c r="AC356" s="2" t="s">
        <v>19</v>
      </c>
      <c r="AD356" s="2" t="s">
        <v>20</v>
      </c>
      <c r="AE356" s="2" t="s">
        <v>18</v>
      </c>
      <c r="AF356" s="2" t="s">
        <v>24</v>
      </c>
      <c r="AG356" s="2" t="s">
        <v>20</v>
      </c>
      <c r="AH356" s="2" t="s">
        <v>27</v>
      </c>
      <c r="AI356" s="2" t="s">
        <v>16</v>
      </c>
      <c r="AJ356" s="2" t="s">
        <v>22</v>
      </c>
      <c r="AK356" s="2" t="s">
        <v>24</v>
      </c>
      <c r="AL356" s="2" t="s">
        <v>25</v>
      </c>
    </row>
    <row r="357" ht="14.25" customHeight="1">
      <c r="A357" s="17">
        <v>45857.0</v>
      </c>
      <c r="B357" s="2" t="s">
        <v>32</v>
      </c>
      <c r="C357" s="2" t="s">
        <v>39</v>
      </c>
      <c r="D357" s="2" t="s">
        <v>26</v>
      </c>
      <c r="E357" s="2" t="s">
        <v>20</v>
      </c>
      <c r="F357" s="2" t="s">
        <v>32</v>
      </c>
      <c r="G357" s="2" t="s">
        <v>20</v>
      </c>
      <c r="H357" s="2" t="s">
        <v>37</v>
      </c>
      <c r="I357" s="2" t="s">
        <v>34</v>
      </c>
      <c r="J357" s="2" t="s">
        <v>43</v>
      </c>
      <c r="K357" s="2" t="s">
        <v>40</v>
      </c>
      <c r="L357" s="2" t="s">
        <v>38</v>
      </c>
      <c r="M357" s="2" t="s">
        <v>17</v>
      </c>
      <c r="N357" s="2" t="s">
        <v>16</v>
      </c>
      <c r="O357" s="2" t="s">
        <v>38</v>
      </c>
      <c r="P357" s="2" t="s">
        <v>36</v>
      </c>
      <c r="Q357" s="2" t="s">
        <v>28</v>
      </c>
      <c r="R357" s="2" t="s">
        <v>27</v>
      </c>
      <c r="S357" s="2" t="s">
        <v>16</v>
      </c>
      <c r="T357" s="2" t="s">
        <v>30</v>
      </c>
      <c r="U357" s="2" t="s">
        <v>26</v>
      </c>
      <c r="V357" s="2" t="s">
        <v>24</v>
      </c>
      <c r="W357" s="2" t="s">
        <v>22</v>
      </c>
      <c r="X357" s="2" t="s">
        <v>24</v>
      </c>
      <c r="Y357" s="2" t="s">
        <v>24</v>
      </c>
      <c r="Z357" s="2" t="s">
        <v>16</v>
      </c>
      <c r="AA357" s="2" t="s">
        <v>16</v>
      </c>
      <c r="AB357" s="2" t="s">
        <v>24</v>
      </c>
      <c r="AC357" s="2" t="s">
        <v>27</v>
      </c>
      <c r="AD357" s="2" t="s">
        <v>17</v>
      </c>
      <c r="AE357" s="2" t="s">
        <v>23</v>
      </c>
      <c r="AF357" s="2" t="s">
        <v>16</v>
      </c>
      <c r="AG357" s="2" t="s">
        <v>16</v>
      </c>
      <c r="AH357" s="2" t="s">
        <v>26</v>
      </c>
      <c r="AI357" s="2" t="s">
        <v>26</v>
      </c>
      <c r="AJ357" s="2" t="s">
        <v>27</v>
      </c>
      <c r="AK357" s="2" t="s">
        <v>24</v>
      </c>
      <c r="AL357" s="2" t="s">
        <v>16</v>
      </c>
    </row>
    <row r="358" ht="14.25" customHeight="1">
      <c r="A358" s="17">
        <v>45858.0</v>
      </c>
      <c r="B358" s="2" t="s">
        <v>31</v>
      </c>
      <c r="C358" s="2" t="s">
        <v>31</v>
      </c>
      <c r="D358" s="2" t="s">
        <v>31</v>
      </c>
      <c r="E358" s="2" t="s">
        <v>31</v>
      </c>
      <c r="F358" s="2" t="s">
        <v>31</v>
      </c>
      <c r="G358" s="2" t="s">
        <v>31</v>
      </c>
      <c r="H358" s="2" t="s">
        <v>31</v>
      </c>
      <c r="I358" s="2" t="s">
        <v>31</v>
      </c>
      <c r="J358" s="2" t="s">
        <v>31</v>
      </c>
      <c r="K358" s="2" t="s">
        <v>31</v>
      </c>
      <c r="L358" s="2" t="s">
        <v>31</v>
      </c>
      <c r="M358" s="2" t="s">
        <v>31</v>
      </c>
      <c r="N358" s="2" t="s">
        <v>31</v>
      </c>
      <c r="O358" s="2" t="s">
        <v>31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2" t="s">
        <v>28</v>
      </c>
      <c r="V358" s="2" t="s">
        <v>16</v>
      </c>
      <c r="W358" s="2" t="s">
        <v>16</v>
      </c>
      <c r="X358" s="2" t="s">
        <v>20</v>
      </c>
      <c r="Y358" s="2" t="s">
        <v>24</v>
      </c>
      <c r="Z358" s="2" t="s">
        <v>28</v>
      </c>
      <c r="AA358" s="2" t="s">
        <v>27</v>
      </c>
      <c r="AB358" s="2" t="s">
        <v>17</v>
      </c>
      <c r="AC358" s="2" t="s">
        <v>28</v>
      </c>
      <c r="AD358" s="2" t="s">
        <v>28</v>
      </c>
      <c r="AE358" s="2" t="s">
        <v>27</v>
      </c>
      <c r="AF358" s="2" t="s">
        <v>16</v>
      </c>
      <c r="AG358" s="2" t="s">
        <v>26</v>
      </c>
      <c r="AH358" s="2" t="s">
        <v>27</v>
      </c>
      <c r="AI358" s="2" t="s">
        <v>19</v>
      </c>
      <c r="AJ358" s="2" t="s">
        <v>19</v>
      </c>
      <c r="AK358" s="2" t="s">
        <v>21</v>
      </c>
      <c r="AL358" s="2" t="s">
        <v>16</v>
      </c>
    </row>
    <row r="359" ht="14.25" customHeight="1">
      <c r="A359" s="17">
        <v>45859.0</v>
      </c>
      <c r="B359" s="2" t="s">
        <v>31</v>
      </c>
      <c r="C359" s="2" t="s">
        <v>31</v>
      </c>
      <c r="D359" s="2" t="s">
        <v>31</v>
      </c>
      <c r="E359" s="2" t="s">
        <v>31</v>
      </c>
      <c r="F359" s="2" t="s">
        <v>31</v>
      </c>
      <c r="G359" s="2" t="s">
        <v>31</v>
      </c>
      <c r="H359" s="2" t="s">
        <v>31</v>
      </c>
      <c r="I359" s="2" t="s">
        <v>31</v>
      </c>
      <c r="J359" s="2" t="s">
        <v>31</v>
      </c>
      <c r="K359" s="2" t="s">
        <v>31</v>
      </c>
      <c r="L359" s="2" t="s">
        <v>31</v>
      </c>
      <c r="M359" s="2" t="s">
        <v>31</v>
      </c>
      <c r="N359" s="2" t="s">
        <v>31</v>
      </c>
      <c r="O359" s="2" t="s">
        <v>31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2" t="s">
        <v>16</v>
      </c>
      <c r="V359" s="2" t="s">
        <v>19</v>
      </c>
      <c r="W359" s="2" t="s">
        <v>17</v>
      </c>
      <c r="X359" s="2" t="s">
        <v>21</v>
      </c>
      <c r="Y359" s="2" t="s">
        <v>28</v>
      </c>
      <c r="Z359" s="2" t="s">
        <v>16</v>
      </c>
      <c r="AA359" s="2" t="s">
        <v>25</v>
      </c>
      <c r="AB359" s="2" t="s">
        <v>20</v>
      </c>
      <c r="AC359" s="2" t="s">
        <v>28</v>
      </c>
      <c r="AD359" s="2" t="s">
        <v>21</v>
      </c>
      <c r="AE359" s="2" t="s">
        <v>26</v>
      </c>
      <c r="AF359" s="2" t="s">
        <v>19</v>
      </c>
      <c r="AG359" s="2" t="s">
        <v>27</v>
      </c>
      <c r="AH359" s="2" t="s">
        <v>16</v>
      </c>
      <c r="AI359" s="2" t="s">
        <v>19</v>
      </c>
      <c r="AJ359" s="2" t="s">
        <v>21</v>
      </c>
      <c r="AK359" s="2" t="s">
        <v>21</v>
      </c>
      <c r="AL359" s="2" t="s">
        <v>16</v>
      </c>
    </row>
    <row r="360" ht="14.25" customHeight="1">
      <c r="A360" s="17">
        <v>45860.0</v>
      </c>
      <c r="B360" s="2" t="s">
        <v>31</v>
      </c>
      <c r="C360" s="2" t="s">
        <v>31</v>
      </c>
      <c r="D360" s="2" t="s">
        <v>31</v>
      </c>
      <c r="E360" s="2" t="s">
        <v>31</v>
      </c>
      <c r="F360" s="2" t="s">
        <v>31</v>
      </c>
      <c r="G360" s="2" t="s">
        <v>31</v>
      </c>
      <c r="H360" s="2" t="s">
        <v>31</v>
      </c>
      <c r="I360" s="2" t="s">
        <v>31</v>
      </c>
      <c r="J360" s="2" t="s">
        <v>31</v>
      </c>
      <c r="K360" s="2" t="s">
        <v>31</v>
      </c>
      <c r="L360" s="2" t="s">
        <v>31</v>
      </c>
      <c r="M360" s="2" t="s">
        <v>31</v>
      </c>
      <c r="N360" s="2" t="s">
        <v>31</v>
      </c>
      <c r="O360" s="2" t="s">
        <v>31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2" t="s">
        <v>20</v>
      </c>
      <c r="V360" s="2" t="s">
        <v>26</v>
      </c>
      <c r="W360" s="2" t="s">
        <v>28</v>
      </c>
      <c r="X360" s="2" t="s">
        <v>19</v>
      </c>
      <c r="Y360" s="2" t="s">
        <v>16</v>
      </c>
      <c r="Z360" s="2" t="s">
        <v>24</v>
      </c>
      <c r="AA360" s="2" t="s">
        <v>24</v>
      </c>
      <c r="AB360" s="2" t="s">
        <v>16</v>
      </c>
      <c r="AC360" s="2" t="s">
        <v>22</v>
      </c>
      <c r="AD360" s="2" t="s">
        <v>19</v>
      </c>
      <c r="AE360" s="2" t="s">
        <v>25</v>
      </c>
      <c r="AF360" s="2" t="s">
        <v>26</v>
      </c>
      <c r="AG360" s="2" t="s">
        <v>16</v>
      </c>
      <c r="AH360" s="2" t="s">
        <v>16</v>
      </c>
      <c r="AI360" s="2" t="s">
        <v>25</v>
      </c>
      <c r="AJ360" s="2" t="s">
        <v>24</v>
      </c>
      <c r="AK360" s="2" t="s">
        <v>21</v>
      </c>
      <c r="AL360" s="2" t="s">
        <v>16</v>
      </c>
    </row>
    <row r="361" ht="14.25" customHeight="1">
      <c r="A361" s="17">
        <v>45861.0</v>
      </c>
      <c r="B361" s="2" t="s">
        <v>31</v>
      </c>
      <c r="C361" s="2" t="s">
        <v>31</v>
      </c>
      <c r="D361" s="2" t="s">
        <v>31</v>
      </c>
      <c r="E361" s="2" t="s">
        <v>31</v>
      </c>
      <c r="F361" s="2" t="s">
        <v>31</v>
      </c>
      <c r="G361" s="2" t="s">
        <v>31</v>
      </c>
      <c r="H361" s="2" t="s">
        <v>31</v>
      </c>
      <c r="I361" s="2" t="s">
        <v>31</v>
      </c>
      <c r="J361" s="2" t="s">
        <v>31</v>
      </c>
      <c r="K361" s="2" t="s">
        <v>31</v>
      </c>
      <c r="L361" s="2" t="s">
        <v>31</v>
      </c>
      <c r="M361" s="2" t="s">
        <v>31</v>
      </c>
      <c r="N361" s="2" t="s">
        <v>31</v>
      </c>
      <c r="O361" s="2" t="s">
        <v>31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2" t="s">
        <v>20</v>
      </c>
      <c r="V361" s="2" t="s">
        <v>26</v>
      </c>
      <c r="W361" s="2" t="s">
        <v>22</v>
      </c>
      <c r="X361" s="2" t="s">
        <v>22</v>
      </c>
      <c r="Y361" s="2" t="s">
        <v>16</v>
      </c>
      <c r="Z361" s="2" t="s">
        <v>17</v>
      </c>
      <c r="AA361" s="2" t="s">
        <v>16</v>
      </c>
      <c r="AB361" s="2" t="s">
        <v>16</v>
      </c>
      <c r="AC361" s="2" t="s">
        <v>19</v>
      </c>
      <c r="AD361" s="2" t="s">
        <v>19</v>
      </c>
      <c r="AE361" s="2" t="s">
        <v>23</v>
      </c>
      <c r="AF361" s="2" t="s">
        <v>21</v>
      </c>
      <c r="AG361" s="2" t="s">
        <v>17</v>
      </c>
      <c r="AH361" s="2" t="s">
        <v>27</v>
      </c>
      <c r="AI361" s="2" t="s">
        <v>24</v>
      </c>
      <c r="AJ361" s="2" t="s">
        <v>20</v>
      </c>
      <c r="AK361" s="2" t="s">
        <v>25</v>
      </c>
      <c r="AL361" s="2" t="s">
        <v>17</v>
      </c>
    </row>
    <row r="362" ht="14.25" customHeight="1">
      <c r="A362" s="17">
        <v>45862.0</v>
      </c>
      <c r="B362" s="2" t="s">
        <v>31</v>
      </c>
      <c r="C362" s="2" t="s">
        <v>31</v>
      </c>
      <c r="D362" s="2" t="s">
        <v>31</v>
      </c>
      <c r="E362" s="2" t="s">
        <v>31</v>
      </c>
      <c r="F362" s="2" t="s">
        <v>31</v>
      </c>
      <c r="G362" s="2" t="s">
        <v>31</v>
      </c>
      <c r="H362" s="2" t="s">
        <v>31</v>
      </c>
      <c r="I362" s="2" t="s">
        <v>31</v>
      </c>
      <c r="J362" s="2" t="s">
        <v>31</v>
      </c>
      <c r="K362" s="2" t="s">
        <v>31</v>
      </c>
      <c r="L362" s="2" t="s">
        <v>31</v>
      </c>
      <c r="M362" s="2" t="s">
        <v>31</v>
      </c>
      <c r="N362" s="2" t="s">
        <v>31</v>
      </c>
      <c r="O362" s="2" t="s">
        <v>31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2" t="s">
        <v>24</v>
      </c>
      <c r="V362" s="2" t="s">
        <v>27</v>
      </c>
      <c r="W362" s="2" t="s">
        <v>24</v>
      </c>
      <c r="X362" s="2" t="s">
        <v>28</v>
      </c>
      <c r="Y362" s="2" t="s">
        <v>16</v>
      </c>
      <c r="Z362" s="2" t="s">
        <v>23</v>
      </c>
      <c r="AA362" s="2" t="s">
        <v>16</v>
      </c>
      <c r="AB362" s="2" t="s">
        <v>22</v>
      </c>
      <c r="AC362" s="2" t="s">
        <v>21</v>
      </c>
      <c r="AD362" s="2" t="s">
        <v>16</v>
      </c>
      <c r="AE362" s="2" t="s">
        <v>26</v>
      </c>
      <c r="AF362" s="2" t="s">
        <v>19</v>
      </c>
      <c r="AG362" s="2" t="s">
        <v>16</v>
      </c>
      <c r="AH362" s="2" t="s">
        <v>19</v>
      </c>
      <c r="AI362" s="2" t="s">
        <v>19</v>
      </c>
      <c r="AJ362" s="2" t="s">
        <v>19</v>
      </c>
      <c r="AK362" s="2" t="s">
        <v>21</v>
      </c>
      <c r="AL362" s="2" t="s">
        <v>26</v>
      </c>
    </row>
    <row r="363" ht="14.25" customHeight="1">
      <c r="A363" s="17">
        <v>45863.0</v>
      </c>
      <c r="B363" s="2" t="s">
        <v>31</v>
      </c>
      <c r="C363" s="2" t="s">
        <v>31</v>
      </c>
      <c r="D363" s="2" t="s">
        <v>31</v>
      </c>
      <c r="E363" s="2" t="s">
        <v>31</v>
      </c>
      <c r="F363" s="2" t="s">
        <v>31</v>
      </c>
      <c r="G363" s="2" t="s">
        <v>31</v>
      </c>
      <c r="H363" s="2" t="s">
        <v>31</v>
      </c>
      <c r="I363" s="2" t="s">
        <v>31</v>
      </c>
      <c r="J363" s="2" t="s">
        <v>31</v>
      </c>
      <c r="K363" s="2" t="s">
        <v>31</v>
      </c>
      <c r="L363" s="2" t="s">
        <v>31</v>
      </c>
      <c r="M363" s="2" t="s">
        <v>31</v>
      </c>
      <c r="N363" s="2" t="s">
        <v>31</v>
      </c>
      <c r="O363" s="2" t="s">
        <v>31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2" t="s">
        <v>17</v>
      </c>
      <c r="V363" s="2" t="s">
        <v>16</v>
      </c>
      <c r="W363" s="2" t="s">
        <v>20</v>
      </c>
      <c r="X363" s="2" t="s">
        <v>23</v>
      </c>
      <c r="Y363" s="2" t="s">
        <v>19</v>
      </c>
      <c r="Z363" s="2" t="s">
        <v>19</v>
      </c>
      <c r="AA363" s="2" t="s">
        <v>16</v>
      </c>
      <c r="AB363" s="2" t="s">
        <v>21</v>
      </c>
      <c r="AC363" s="2" t="s">
        <v>16</v>
      </c>
      <c r="AD363" s="2" t="s">
        <v>20</v>
      </c>
      <c r="AE363" s="2" t="s">
        <v>24</v>
      </c>
      <c r="AF363" s="2" t="s">
        <v>16</v>
      </c>
      <c r="AG363" s="2" t="s">
        <v>21</v>
      </c>
      <c r="AH363" s="2" t="s">
        <v>16</v>
      </c>
      <c r="AI363" s="2" t="s">
        <v>27</v>
      </c>
      <c r="AJ363" s="2" t="s">
        <v>27</v>
      </c>
      <c r="AK363" s="2" t="s">
        <v>27</v>
      </c>
      <c r="AL363" s="2" t="s">
        <v>16</v>
      </c>
    </row>
    <row r="364" ht="14.25" customHeight="1">
      <c r="A364" s="17">
        <v>45864.0</v>
      </c>
      <c r="B364" s="2" t="s">
        <v>30</v>
      </c>
      <c r="C364" s="2" t="s">
        <v>22</v>
      </c>
      <c r="D364" s="2" t="s">
        <v>19</v>
      </c>
      <c r="E364" s="2" t="s">
        <v>39</v>
      </c>
      <c r="F364" s="2" t="s">
        <v>16</v>
      </c>
      <c r="G364" s="2" t="s">
        <v>37</v>
      </c>
      <c r="H364" s="2" t="s">
        <v>16</v>
      </c>
      <c r="I364" s="2" t="s">
        <v>40</v>
      </c>
      <c r="J364" s="2" t="s">
        <v>16</v>
      </c>
      <c r="K364" s="2" t="s">
        <v>23</v>
      </c>
      <c r="L364" s="2" t="s">
        <v>32</v>
      </c>
      <c r="M364" s="2" t="s">
        <v>23</v>
      </c>
      <c r="N364" s="2" t="s">
        <v>33</v>
      </c>
      <c r="O364" s="2" t="s">
        <v>35</v>
      </c>
      <c r="P364" s="2" t="s">
        <v>32</v>
      </c>
      <c r="Q364" s="2" t="s">
        <v>29</v>
      </c>
      <c r="R364" s="2" t="s">
        <v>20</v>
      </c>
      <c r="S364" s="2" t="s">
        <v>38</v>
      </c>
      <c r="T364" s="2" t="s">
        <v>42</v>
      </c>
      <c r="U364" s="2" t="s">
        <v>25</v>
      </c>
      <c r="V364" s="2" t="s">
        <v>22</v>
      </c>
      <c r="W364" s="2" t="s">
        <v>17</v>
      </c>
      <c r="X364" s="2" t="s">
        <v>26</v>
      </c>
      <c r="Y364" s="2" t="s">
        <v>18</v>
      </c>
      <c r="Z364" s="2" t="s">
        <v>16</v>
      </c>
      <c r="AA364" s="2" t="s">
        <v>16</v>
      </c>
      <c r="AB364" s="2" t="s">
        <v>16</v>
      </c>
      <c r="AC364" s="2" t="s">
        <v>25</v>
      </c>
      <c r="AD364" s="2" t="s">
        <v>20</v>
      </c>
      <c r="AE364" s="2" t="s">
        <v>19</v>
      </c>
      <c r="AF364" s="2" t="s">
        <v>21</v>
      </c>
      <c r="AG364" s="2" t="s">
        <v>16</v>
      </c>
      <c r="AH364" s="2" t="s">
        <v>27</v>
      </c>
      <c r="AI364" s="2" t="s">
        <v>21</v>
      </c>
      <c r="AJ364" s="2" t="s">
        <v>16</v>
      </c>
      <c r="AK364" s="2" t="s">
        <v>26</v>
      </c>
      <c r="AL364" s="2" t="s">
        <v>19</v>
      </c>
    </row>
    <row r="365" ht="14.25" customHeight="1">
      <c r="A365" s="17">
        <v>45865.0</v>
      </c>
      <c r="B365" s="2" t="s">
        <v>31</v>
      </c>
      <c r="C365" s="2" t="s">
        <v>31</v>
      </c>
      <c r="D365" s="2" t="s">
        <v>31</v>
      </c>
      <c r="E365" s="2" t="s">
        <v>31</v>
      </c>
      <c r="F365" s="2" t="s">
        <v>31</v>
      </c>
      <c r="G365" s="2" t="s">
        <v>31</v>
      </c>
      <c r="H365" s="2" t="s">
        <v>31</v>
      </c>
      <c r="I365" s="2" t="s">
        <v>31</v>
      </c>
      <c r="J365" s="2" t="s">
        <v>31</v>
      </c>
      <c r="K365" s="2" t="s">
        <v>31</v>
      </c>
      <c r="L365" s="2" t="s">
        <v>31</v>
      </c>
      <c r="M365" s="2" t="s">
        <v>31</v>
      </c>
      <c r="N365" s="2" t="s">
        <v>31</v>
      </c>
      <c r="O365" s="2" t="s">
        <v>31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2" t="s">
        <v>25</v>
      </c>
      <c r="V365" s="2" t="s">
        <v>22</v>
      </c>
      <c r="W365" s="2" t="s">
        <v>16</v>
      </c>
      <c r="X365" s="2" t="s">
        <v>28</v>
      </c>
      <c r="Y365" s="2" t="s">
        <v>25</v>
      </c>
      <c r="Z365" s="2" t="s">
        <v>17</v>
      </c>
      <c r="AA365" s="2" t="s">
        <v>16</v>
      </c>
      <c r="AB365" s="2" t="s">
        <v>21</v>
      </c>
      <c r="AC365" s="2" t="s">
        <v>25</v>
      </c>
      <c r="AD365" s="2" t="s">
        <v>26</v>
      </c>
      <c r="AE365" s="2" t="s">
        <v>19</v>
      </c>
      <c r="AF365" s="2" t="s">
        <v>17</v>
      </c>
      <c r="AG365" s="2" t="s">
        <v>25</v>
      </c>
      <c r="AH365" s="2" t="s">
        <v>19</v>
      </c>
      <c r="AI365" s="2" t="s">
        <v>16</v>
      </c>
      <c r="AJ365" s="2" t="s">
        <v>26</v>
      </c>
      <c r="AK365" s="2" t="s">
        <v>26</v>
      </c>
      <c r="AL365" s="2" t="s">
        <v>27</v>
      </c>
    </row>
    <row r="366" ht="14.25" customHeight="1">
      <c r="A366" s="17">
        <v>45866.0</v>
      </c>
      <c r="B366" s="2" t="s">
        <v>31</v>
      </c>
      <c r="C366" s="2" t="s">
        <v>31</v>
      </c>
      <c r="D366" s="2" t="s">
        <v>31</v>
      </c>
      <c r="E366" s="2" t="s">
        <v>31</v>
      </c>
      <c r="F366" s="2" t="s">
        <v>31</v>
      </c>
      <c r="G366" s="2" t="s">
        <v>31</v>
      </c>
      <c r="H366" s="2" t="s">
        <v>31</v>
      </c>
      <c r="I366" s="2" t="s">
        <v>31</v>
      </c>
      <c r="J366" s="2" t="s">
        <v>31</v>
      </c>
      <c r="K366" s="2" t="s">
        <v>31</v>
      </c>
      <c r="L366" s="2" t="s">
        <v>31</v>
      </c>
      <c r="M366" s="2" t="s">
        <v>31</v>
      </c>
      <c r="N366" s="2" t="s">
        <v>31</v>
      </c>
      <c r="O366" s="2" t="s">
        <v>31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2" t="s">
        <v>25</v>
      </c>
      <c r="V366" s="2" t="s">
        <v>20</v>
      </c>
      <c r="W366" s="2" t="s">
        <v>19</v>
      </c>
      <c r="X366" s="2" t="s">
        <v>27</v>
      </c>
      <c r="Y366" s="2" t="s">
        <v>16</v>
      </c>
      <c r="Z366" s="2" t="s">
        <v>28</v>
      </c>
      <c r="AA366" s="2" t="s">
        <v>26</v>
      </c>
      <c r="AB366" s="2" t="s">
        <v>22</v>
      </c>
      <c r="AC366" s="2" t="s">
        <v>25</v>
      </c>
      <c r="AD366" s="2" t="s">
        <v>17</v>
      </c>
      <c r="AE366" s="2" t="s">
        <v>28</v>
      </c>
      <c r="AF366" s="2" t="s">
        <v>25</v>
      </c>
      <c r="AG366" s="2" t="s">
        <v>16</v>
      </c>
      <c r="AH366" s="2" t="s">
        <v>28</v>
      </c>
      <c r="AI366" s="2" t="s">
        <v>16</v>
      </c>
      <c r="AJ366" s="2" t="s">
        <v>28</v>
      </c>
      <c r="AK366" s="2" t="s">
        <v>19</v>
      </c>
      <c r="AL366" s="2" t="s">
        <v>20</v>
      </c>
    </row>
    <row r="367" ht="14.25" customHeight="1">
      <c r="A367" s="17">
        <v>45867.0</v>
      </c>
      <c r="B367" s="2" t="s">
        <v>31</v>
      </c>
      <c r="C367" s="2" t="s">
        <v>31</v>
      </c>
      <c r="D367" s="2" t="s">
        <v>31</v>
      </c>
      <c r="E367" s="2" t="s">
        <v>31</v>
      </c>
      <c r="F367" s="2" t="s">
        <v>31</v>
      </c>
      <c r="G367" s="2" t="s">
        <v>31</v>
      </c>
      <c r="H367" s="2" t="s">
        <v>31</v>
      </c>
      <c r="I367" s="2" t="s">
        <v>31</v>
      </c>
      <c r="J367" s="2" t="s">
        <v>31</v>
      </c>
      <c r="K367" s="2" t="s">
        <v>31</v>
      </c>
      <c r="L367" s="2" t="s">
        <v>31</v>
      </c>
      <c r="M367" s="2" t="s">
        <v>31</v>
      </c>
      <c r="N367" s="2" t="s">
        <v>31</v>
      </c>
      <c r="O367" s="2" t="s">
        <v>31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2" t="s">
        <v>17</v>
      </c>
      <c r="V367" s="2" t="s">
        <v>16</v>
      </c>
      <c r="W367" s="2" t="s">
        <v>24</v>
      </c>
      <c r="X367" s="2" t="s">
        <v>16</v>
      </c>
      <c r="Y367" s="2" t="s">
        <v>16</v>
      </c>
      <c r="Z367" s="2" t="s">
        <v>26</v>
      </c>
      <c r="AA367" s="2" t="s">
        <v>16</v>
      </c>
      <c r="AB367" s="2" t="s">
        <v>21</v>
      </c>
      <c r="AC367" s="2" t="s">
        <v>26</v>
      </c>
      <c r="AD367" s="2" t="s">
        <v>28</v>
      </c>
      <c r="AE367" s="2" t="s">
        <v>26</v>
      </c>
      <c r="AF367" s="2" t="s">
        <v>23</v>
      </c>
      <c r="AG367" s="2" t="s">
        <v>20</v>
      </c>
      <c r="AH367" s="2" t="s">
        <v>16</v>
      </c>
      <c r="AI367" s="2" t="s">
        <v>16</v>
      </c>
      <c r="AJ367" s="2" t="s">
        <v>16</v>
      </c>
      <c r="AK367" s="2" t="s">
        <v>21</v>
      </c>
      <c r="AL367" s="2" t="s">
        <v>16</v>
      </c>
    </row>
    <row r="368" ht="14.25" customHeight="1">
      <c r="A368" s="17">
        <v>45868.0</v>
      </c>
      <c r="B368" s="2" t="s">
        <v>31</v>
      </c>
      <c r="C368" s="2" t="s">
        <v>31</v>
      </c>
      <c r="D368" s="2" t="s">
        <v>31</v>
      </c>
      <c r="E368" s="2" t="s">
        <v>31</v>
      </c>
      <c r="F368" s="2" t="s">
        <v>31</v>
      </c>
      <c r="G368" s="2" t="s">
        <v>31</v>
      </c>
      <c r="H368" s="2" t="s">
        <v>31</v>
      </c>
      <c r="I368" s="2" t="s">
        <v>31</v>
      </c>
      <c r="J368" s="2" t="s">
        <v>31</v>
      </c>
      <c r="K368" s="2" t="s">
        <v>31</v>
      </c>
      <c r="L368" s="2" t="s">
        <v>31</v>
      </c>
      <c r="M368" s="2" t="s">
        <v>31</v>
      </c>
      <c r="N368" s="2" t="s">
        <v>31</v>
      </c>
      <c r="O368" s="2" t="s">
        <v>31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2" t="s">
        <v>19</v>
      </c>
      <c r="V368" s="2" t="s">
        <v>21</v>
      </c>
      <c r="W368" s="2" t="s">
        <v>26</v>
      </c>
      <c r="X368" s="2" t="s">
        <v>19</v>
      </c>
      <c r="Y368" s="2" t="s">
        <v>21</v>
      </c>
      <c r="Z368" s="2" t="s">
        <v>20</v>
      </c>
      <c r="AA368" s="2" t="s">
        <v>20</v>
      </c>
      <c r="AB368" s="2" t="s">
        <v>23</v>
      </c>
      <c r="AC368" s="2" t="s">
        <v>23</v>
      </c>
      <c r="AD368" s="2" t="s">
        <v>16</v>
      </c>
      <c r="AE368" s="2" t="s">
        <v>26</v>
      </c>
      <c r="AF368" s="2" t="s">
        <v>16</v>
      </c>
      <c r="AG368" s="2" t="s">
        <v>25</v>
      </c>
      <c r="AH368" s="2" t="s">
        <v>23</v>
      </c>
      <c r="AI368" s="2" t="s">
        <v>26</v>
      </c>
      <c r="AJ368" s="2" t="s">
        <v>16</v>
      </c>
      <c r="AK368" s="2" t="s">
        <v>22</v>
      </c>
      <c r="AL368" s="2" t="s">
        <v>21</v>
      </c>
    </row>
    <row r="369" ht="14.25" customHeight="1">
      <c r="A369" s="17">
        <v>45869.0</v>
      </c>
      <c r="B369" s="2" t="s">
        <v>31</v>
      </c>
      <c r="C369" s="2" t="s">
        <v>31</v>
      </c>
      <c r="D369" s="2" t="s">
        <v>31</v>
      </c>
      <c r="E369" s="2" t="s">
        <v>31</v>
      </c>
      <c r="F369" s="2" t="s">
        <v>31</v>
      </c>
      <c r="G369" s="2" t="s">
        <v>31</v>
      </c>
      <c r="H369" s="2" t="s">
        <v>31</v>
      </c>
      <c r="I369" s="2" t="s">
        <v>31</v>
      </c>
      <c r="J369" s="2" t="s">
        <v>31</v>
      </c>
      <c r="K369" s="2" t="s">
        <v>31</v>
      </c>
      <c r="L369" s="2" t="s">
        <v>31</v>
      </c>
      <c r="M369" s="2" t="s">
        <v>31</v>
      </c>
      <c r="N369" s="2" t="s">
        <v>31</v>
      </c>
      <c r="O369" s="2" t="s">
        <v>31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2" t="s">
        <v>25</v>
      </c>
      <c r="V369" s="2" t="s">
        <v>28</v>
      </c>
      <c r="W369" s="2" t="s">
        <v>25</v>
      </c>
      <c r="X369" s="2" t="s">
        <v>16</v>
      </c>
      <c r="Y369" s="2" t="s">
        <v>17</v>
      </c>
      <c r="Z369" s="2" t="s">
        <v>16</v>
      </c>
      <c r="AA369" s="2" t="s">
        <v>19</v>
      </c>
      <c r="AB369" s="2" t="s">
        <v>17</v>
      </c>
      <c r="AC369" s="2" t="s">
        <v>28</v>
      </c>
      <c r="AD369" s="2" t="s">
        <v>28</v>
      </c>
      <c r="AE369" s="2" t="s">
        <v>17</v>
      </c>
      <c r="AF369" s="2" t="s">
        <v>27</v>
      </c>
      <c r="AG369" s="2" t="s">
        <v>26</v>
      </c>
      <c r="AH369" s="2" t="s">
        <v>20</v>
      </c>
      <c r="AI369" s="2" t="s">
        <v>16</v>
      </c>
      <c r="AJ369" s="2" t="s">
        <v>27</v>
      </c>
      <c r="AK369" s="2" t="s">
        <v>16</v>
      </c>
      <c r="AL369" s="2" t="s">
        <v>16</v>
      </c>
    </row>
    <row r="370" ht="14.25" customHeight="1">
      <c r="A370" s="17">
        <v>45870.0</v>
      </c>
      <c r="B370" s="2" t="s">
        <v>31</v>
      </c>
      <c r="C370" s="2" t="s">
        <v>31</v>
      </c>
      <c r="D370" s="2" t="s">
        <v>31</v>
      </c>
      <c r="E370" s="2" t="s">
        <v>31</v>
      </c>
      <c r="F370" s="2" t="s">
        <v>31</v>
      </c>
      <c r="G370" s="2" t="s">
        <v>31</v>
      </c>
      <c r="H370" s="2" t="s">
        <v>31</v>
      </c>
      <c r="I370" s="2" t="s">
        <v>31</v>
      </c>
      <c r="J370" s="2" t="s">
        <v>31</v>
      </c>
      <c r="K370" s="2" t="s">
        <v>31</v>
      </c>
      <c r="L370" s="2" t="s">
        <v>31</v>
      </c>
      <c r="M370" s="2" t="s">
        <v>31</v>
      </c>
      <c r="N370" s="2" t="s">
        <v>31</v>
      </c>
      <c r="O370" s="2" t="s">
        <v>31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2" t="s">
        <v>16</v>
      </c>
      <c r="V370" s="2" t="s">
        <v>16</v>
      </c>
      <c r="W370" s="2" t="s">
        <v>16</v>
      </c>
      <c r="X370" s="2" t="s">
        <v>16</v>
      </c>
      <c r="Y370" s="2" t="s">
        <v>19</v>
      </c>
      <c r="Z370" s="2" t="s">
        <v>19</v>
      </c>
      <c r="AA370" s="2" t="s">
        <v>16</v>
      </c>
      <c r="AB370" s="2" t="s">
        <v>27</v>
      </c>
      <c r="AC370" s="2" t="s">
        <v>16</v>
      </c>
      <c r="AD370" s="2" t="s">
        <v>24</v>
      </c>
      <c r="AE370" s="2" t="s">
        <v>17</v>
      </c>
      <c r="AF370" s="2" t="s">
        <v>16</v>
      </c>
      <c r="AG370" s="2" t="s">
        <v>16</v>
      </c>
      <c r="AH370" s="2" t="s">
        <v>17</v>
      </c>
      <c r="AI370" s="2" t="s">
        <v>16</v>
      </c>
      <c r="AJ370" s="2" t="s">
        <v>26</v>
      </c>
      <c r="AK370" s="2" t="s">
        <v>16</v>
      </c>
      <c r="AL370" s="2" t="s">
        <v>25</v>
      </c>
    </row>
    <row r="371" ht="14.25" customHeight="1">
      <c r="A371" s="17">
        <v>45871.0</v>
      </c>
      <c r="B371" s="2" t="s">
        <v>20</v>
      </c>
      <c r="C371" s="2" t="s">
        <v>27</v>
      </c>
      <c r="D371" s="2" t="s">
        <v>33</v>
      </c>
      <c r="E371" s="2" t="s">
        <v>21</v>
      </c>
      <c r="F371" s="2" t="s">
        <v>25</v>
      </c>
      <c r="G371" s="2" t="s">
        <v>30</v>
      </c>
      <c r="H371" s="2" t="s">
        <v>22</v>
      </c>
      <c r="I371" s="2" t="s">
        <v>19</v>
      </c>
      <c r="J371" s="2" t="s">
        <v>33</v>
      </c>
      <c r="K371" s="2" t="s">
        <v>37</v>
      </c>
      <c r="L371" s="2" t="s">
        <v>24</v>
      </c>
      <c r="M371" s="2" t="s">
        <v>20</v>
      </c>
      <c r="N371" s="2" t="s">
        <v>25</v>
      </c>
      <c r="O371" s="2" t="s">
        <v>16</v>
      </c>
      <c r="P371" s="2" t="s">
        <v>16</v>
      </c>
      <c r="Q371" s="2" t="s">
        <v>20</v>
      </c>
      <c r="R371" s="2" t="s">
        <v>20</v>
      </c>
      <c r="S371" s="2" t="s">
        <v>20</v>
      </c>
      <c r="T371" s="2" t="s">
        <v>17</v>
      </c>
      <c r="U371" s="2" t="s">
        <v>25</v>
      </c>
      <c r="V371" s="2" t="s">
        <v>27</v>
      </c>
      <c r="W371" s="2" t="s">
        <v>25</v>
      </c>
      <c r="X371" s="2" t="s">
        <v>17</v>
      </c>
      <c r="Y371" s="2" t="s">
        <v>28</v>
      </c>
      <c r="Z371" s="2" t="s">
        <v>21</v>
      </c>
      <c r="AA371" s="2" t="s">
        <v>27</v>
      </c>
      <c r="AB371" s="2" t="s">
        <v>28</v>
      </c>
      <c r="AC371" s="2" t="s">
        <v>22</v>
      </c>
      <c r="AD371" s="2" t="s">
        <v>22</v>
      </c>
      <c r="AE371" s="2" t="s">
        <v>24</v>
      </c>
      <c r="AF371" s="2" t="s">
        <v>24</v>
      </c>
      <c r="AG371" s="2" t="s">
        <v>18</v>
      </c>
      <c r="AH371" s="2" t="s">
        <v>17</v>
      </c>
      <c r="AI371" s="2" t="s">
        <v>25</v>
      </c>
      <c r="AJ371" s="2" t="s">
        <v>27</v>
      </c>
      <c r="AK371" s="2" t="s">
        <v>26</v>
      </c>
      <c r="AL371" s="2" t="s">
        <v>27</v>
      </c>
    </row>
    <row r="372" ht="14.25" customHeight="1">
      <c r="A372" s="17">
        <v>45872.0</v>
      </c>
      <c r="B372" s="2" t="s">
        <v>31</v>
      </c>
      <c r="C372" s="2" t="s">
        <v>31</v>
      </c>
      <c r="D372" s="2" t="s">
        <v>31</v>
      </c>
      <c r="E372" s="2" t="s">
        <v>31</v>
      </c>
      <c r="F372" s="2" t="s">
        <v>31</v>
      </c>
      <c r="G372" s="2" t="s">
        <v>31</v>
      </c>
      <c r="H372" s="2" t="s">
        <v>31</v>
      </c>
      <c r="I372" s="2" t="s">
        <v>31</v>
      </c>
      <c r="J372" s="2" t="s">
        <v>31</v>
      </c>
      <c r="K372" s="2" t="s">
        <v>31</v>
      </c>
      <c r="L372" s="2" t="s">
        <v>31</v>
      </c>
      <c r="M372" s="2" t="s">
        <v>31</v>
      </c>
      <c r="N372" s="2" t="s">
        <v>31</v>
      </c>
      <c r="O372" s="2" t="s">
        <v>31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2" t="s">
        <v>17</v>
      </c>
      <c r="V372" s="2" t="s">
        <v>20</v>
      </c>
      <c r="W372" s="2" t="s">
        <v>21</v>
      </c>
      <c r="X372" s="2" t="s">
        <v>17</v>
      </c>
      <c r="Y372" s="2" t="s">
        <v>18</v>
      </c>
      <c r="Z372" s="2" t="s">
        <v>16</v>
      </c>
      <c r="AA372" s="2" t="s">
        <v>23</v>
      </c>
      <c r="AB372" s="2" t="s">
        <v>24</v>
      </c>
      <c r="AC372" s="2" t="s">
        <v>17</v>
      </c>
      <c r="AD372" s="2" t="s">
        <v>16</v>
      </c>
      <c r="AE372" s="2" t="s">
        <v>19</v>
      </c>
      <c r="AF372" s="2" t="s">
        <v>16</v>
      </c>
      <c r="AG372" s="2" t="s">
        <v>27</v>
      </c>
      <c r="AH372" s="2" t="s">
        <v>27</v>
      </c>
      <c r="AI372" s="2" t="s">
        <v>17</v>
      </c>
      <c r="AJ372" s="2" t="s">
        <v>20</v>
      </c>
      <c r="AK372" s="2" t="s">
        <v>20</v>
      </c>
      <c r="AL372" s="2" t="s">
        <v>19</v>
      </c>
    </row>
    <row r="373" ht="14.25" customHeight="1">
      <c r="A373" s="17">
        <v>45873.0</v>
      </c>
      <c r="B373" s="2" t="s">
        <v>31</v>
      </c>
      <c r="C373" s="2" t="s">
        <v>31</v>
      </c>
      <c r="D373" s="2" t="s">
        <v>31</v>
      </c>
      <c r="E373" s="2" t="s">
        <v>31</v>
      </c>
      <c r="F373" s="2" t="s">
        <v>31</v>
      </c>
      <c r="G373" s="2" t="s">
        <v>31</v>
      </c>
      <c r="H373" s="2" t="s">
        <v>31</v>
      </c>
      <c r="I373" s="2" t="s">
        <v>31</v>
      </c>
      <c r="J373" s="2" t="s">
        <v>31</v>
      </c>
      <c r="K373" s="2" t="s">
        <v>31</v>
      </c>
      <c r="L373" s="2" t="s">
        <v>31</v>
      </c>
      <c r="M373" s="2" t="s">
        <v>31</v>
      </c>
      <c r="N373" s="2" t="s">
        <v>31</v>
      </c>
      <c r="O373" s="2" t="s">
        <v>31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2" t="s">
        <v>26</v>
      </c>
      <c r="V373" s="2" t="s">
        <v>16</v>
      </c>
      <c r="W373" s="2" t="s">
        <v>16</v>
      </c>
      <c r="X373" s="2" t="s">
        <v>25</v>
      </c>
      <c r="Y373" s="2" t="s">
        <v>16</v>
      </c>
      <c r="Z373" s="2" t="s">
        <v>21</v>
      </c>
      <c r="AA373" s="2" t="s">
        <v>21</v>
      </c>
      <c r="AB373" s="2" t="s">
        <v>28</v>
      </c>
      <c r="AC373" s="2" t="s">
        <v>26</v>
      </c>
      <c r="AD373" s="2" t="s">
        <v>28</v>
      </c>
      <c r="AE373" s="2" t="s">
        <v>27</v>
      </c>
      <c r="AF373" s="2" t="s">
        <v>27</v>
      </c>
      <c r="AG373" s="2" t="s">
        <v>26</v>
      </c>
      <c r="AH373" s="2" t="s">
        <v>27</v>
      </c>
      <c r="AI373" s="2" t="s">
        <v>21</v>
      </c>
      <c r="AJ373" s="2" t="s">
        <v>19</v>
      </c>
      <c r="AK373" s="2" t="s">
        <v>21</v>
      </c>
      <c r="AL373" s="2" t="s">
        <v>19</v>
      </c>
    </row>
    <row r="374" ht="14.25" customHeight="1">
      <c r="A374" s="17">
        <v>45874.0</v>
      </c>
      <c r="B374" s="2" t="s">
        <v>31</v>
      </c>
      <c r="C374" s="2" t="s">
        <v>31</v>
      </c>
      <c r="D374" s="2" t="s">
        <v>31</v>
      </c>
      <c r="E374" s="2" t="s">
        <v>31</v>
      </c>
      <c r="F374" s="2" t="s">
        <v>31</v>
      </c>
      <c r="G374" s="2" t="s">
        <v>31</v>
      </c>
      <c r="H374" s="2" t="s">
        <v>31</v>
      </c>
      <c r="I374" s="2" t="s">
        <v>31</v>
      </c>
      <c r="J374" s="2" t="s">
        <v>31</v>
      </c>
      <c r="K374" s="2" t="s">
        <v>31</v>
      </c>
      <c r="L374" s="2" t="s">
        <v>31</v>
      </c>
      <c r="M374" s="2" t="s">
        <v>31</v>
      </c>
      <c r="N374" s="2" t="s">
        <v>31</v>
      </c>
      <c r="O374" s="2" t="s">
        <v>31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2" t="s">
        <v>16</v>
      </c>
      <c r="V374" s="2" t="s">
        <v>20</v>
      </c>
      <c r="W374" s="2" t="s">
        <v>25</v>
      </c>
      <c r="X374" s="2" t="s">
        <v>16</v>
      </c>
      <c r="Y374" s="2" t="s">
        <v>21</v>
      </c>
      <c r="Z374" s="2" t="s">
        <v>23</v>
      </c>
      <c r="AA374" s="2" t="s">
        <v>16</v>
      </c>
      <c r="AB374" s="2" t="s">
        <v>25</v>
      </c>
      <c r="AC374" s="2" t="s">
        <v>16</v>
      </c>
      <c r="AD374" s="2" t="s">
        <v>25</v>
      </c>
      <c r="AE374" s="2" t="s">
        <v>16</v>
      </c>
      <c r="AF374" s="2" t="s">
        <v>16</v>
      </c>
      <c r="AG374" s="2" t="s">
        <v>16</v>
      </c>
      <c r="AH374" s="2" t="s">
        <v>17</v>
      </c>
      <c r="AI374" s="2" t="s">
        <v>23</v>
      </c>
      <c r="AJ374" s="2" t="s">
        <v>28</v>
      </c>
      <c r="AK374" s="2" t="s">
        <v>17</v>
      </c>
      <c r="AL374" s="2" t="s">
        <v>16</v>
      </c>
    </row>
    <row r="375" ht="14.25" customHeight="1">
      <c r="A375" s="17">
        <v>45875.0</v>
      </c>
      <c r="B375" s="2" t="s">
        <v>31</v>
      </c>
      <c r="C375" s="2" t="s">
        <v>31</v>
      </c>
      <c r="D375" s="2" t="s">
        <v>31</v>
      </c>
      <c r="E375" s="2" t="s">
        <v>31</v>
      </c>
      <c r="F375" s="2" t="s">
        <v>31</v>
      </c>
      <c r="G375" s="2" t="s">
        <v>31</v>
      </c>
      <c r="H375" s="2" t="s">
        <v>31</v>
      </c>
      <c r="I375" s="2" t="s">
        <v>31</v>
      </c>
      <c r="J375" s="2" t="s">
        <v>31</v>
      </c>
      <c r="K375" s="2" t="s">
        <v>31</v>
      </c>
      <c r="L375" s="2" t="s">
        <v>31</v>
      </c>
      <c r="M375" s="2" t="s">
        <v>31</v>
      </c>
      <c r="N375" s="2" t="s">
        <v>31</v>
      </c>
      <c r="O375" s="2" t="s">
        <v>31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2" t="s">
        <v>23</v>
      </c>
      <c r="V375" s="2" t="s">
        <v>26</v>
      </c>
      <c r="W375" s="2" t="s">
        <v>21</v>
      </c>
      <c r="X375" s="2" t="s">
        <v>22</v>
      </c>
      <c r="Y375" s="2" t="s">
        <v>21</v>
      </c>
      <c r="Z375" s="2" t="s">
        <v>16</v>
      </c>
      <c r="AA375" s="2" t="s">
        <v>25</v>
      </c>
      <c r="AB375" s="2" t="s">
        <v>23</v>
      </c>
      <c r="AC375" s="2" t="s">
        <v>25</v>
      </c>
      <c r="AD375" s="2" t="s">
        <v>19</v>
      </c>
      <c r="AE375" s="2" t="s">
        <v>18</v>
      </c>
      <c r="AF375" s="2" t="s">
        <v>21</v>
      </c>
      <c r="AG375" s="2" t="s">
        <v>26</v>
      </c>
      <c r="AH375" s="2" t="s">
        <v>16</v>
      </c>
      <c r="AI375" s="2" t="s">
        <v>16</v>
      </c>
      <c r="AJ375" s="2" t="s">
        <v>24</v>
      </c>
      <c r="AK375" s="2" t="s">
        <v>28</v>
      </c>
      <c r="AL375" s="2" t="s">
        <v>16</v>
      </c>
    </row>
    <row r="376" ht="14.25" customHeight="1">
      <c r="A376" s="17">
        <v>45876.0</v>
      </c>
      <c r="B376" s="2" t="s">
        <v>31</v>
      </c>
      <c r="C376" s="2" t="s">
        <v>31</v>
      </c>
      <c r="D376" s="2" t="s">
        <v>31</v>
      </c>
      <c r="E376" s="2" t="s">
        <v>31</v>
      </c>
      <c r="F376" s="2" t="s">
        <v>31</v>
      </c>
      <c r="G376" s="2" t="s">
        <v>31</v>
      </c>
      <c r="H376" s="2" t="s">
        <v>31</v>
      </c>
      <c r="I376" s="2" t="s">
        <v>31</v>
      </c>
      <c r="J376" s="2" t="s">
        <v>31</v>
      </c>
      <c r="K376" s="2" t="s">
        <v>31</v>
      </c>
      <c r="L376" s="2" t="s">
        <v>31</v>
      </c>
      <c r="M376" s="2" t="s">
        <v>31</v>
      </c>
      <c r="N376" s="2" t="s">
        <v>31</v>
      </c>
      <c r="O376" s="2" t="s">
        <v>31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2" t="s">
        <v>25</v>
      </c>
      <c r="V376" s="2" t="s">
        <v>27</v>
      </c>
      <c r="W376" s="2" t="s">
        <v>20</v>
      </c>
      <c r="X376" s="2" t="s">
        <v>21</v>
      </c>
      <c r="Y376" s="2" t="s">
        <v>16</v>
      </c>
      <c r="Z376" s="2" t="s">
        <v>17</v>
      </c>
      <c r="AA376" s="2" t="s">
        <v>21</v>
      </c>
      <c r="AB376" s="2" t="s">
        <v>18</v>
      </c>
      <c r="AC376" s="2" t="s">
        <v>16</v>
      </c>
      <c r="AD376" s="2" t="s">
        <v>28</v>
      </c>
      <c r="AE376" s="2" t="s">
        <v>16</v>
      </c>
      <c r="AF376" s="2" t="s">
        <v>20</v>
      </c>
      <c r="AG376" s="2" t="s">
        <v>24</v>
      </c>
      <c r="AH376" s="2" t="s">
        <v>27</v>
      </c>
      <c r="AI376" s="2" t="s">
        <v>16</v>
      </c>
      <c r="AJ376" s="2" t="s">
        <v>28</v>
      </c>
      <c r="AK376" s="2" t="s">
        <v>24</v>
      </c>
      <c r="AL376" s="2" t="s">
        <v>19</v>
      </c>
    </row>
    <row r="377" ht="14.25" customHeight="1">
      <c r="A377" s="17">
        <v>45877.0</v>
      </c>
      <c r="B377" s="2" t="s">
        <v>31</v>
      </c>
      <c r="C377" s="2" t="s">
        <v>31</v>
      </c>
      <c r="D377" s="2" t="s">
        <v>31</v>
      </c>
      <c r="E377" s="2" t="s">
        <v>31</v>
      </c>
      <c r="F377" s="2" t="s">
        <v>31</v>
      </c>
      <c r="G377" s="2" t="s">
        <v>31</v>
      </c>
      <c r="H377" s="2" t="s">
        <v>31</v>
      </c>
      <c r="I377" s="2" t="s">
        <v>31</v>
      </c>
      <c r="J377" s="2" t="s">
        <v>31</v>
      </c>
      <c r="K377" s="2" t="s">
        <v>31</v>
      </c>
      <c r="L377" s="2" t="s">
        <v>31</v>
      </c>
      <c r="M377" s="2" t="s">
        <v>31</v>
      </c>
      <c r="N377" s="2" t="s">
        <v>31</v>
      </c>
      <c r="O377" s="2" t="s">
        <v>31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2" t="s">
        <v>25</v>
      </c>
      <c r="V377" s="2" t="s">
        <v>24</v>
      </c>
      <c r="W377" s="2" t="s">
        <v>28</v>
      </c>
      <c r="X377" s="2" t="s">
        <v>16</v>
      </c>
      <c r="Y377" s="2" t="s">
        <v>21</v>
      </c>
      <c r="Z377" s="2" t="s">
        <v>19</v>
      </c>
      <c r="AA377" s="2" t="s">
        <v>16</v>
      </c>
      <c r="AB377" s="2" t="s">
        <v>16</v>
      </c>
      <c r="AC377" s="2" t="s">
        <v>26</v>
      </c>
      <c r="AD377" s="2" t="s">
        <v>16</v>
      </c>
      <c r="AE377" s="2" t="s">
        <v>17</v>
      </c>
      <c r="AF377" s="2" t="s">
        <v>19</v>
      </c>
      <c r="AG377" s="2" t="s">
        <v>22</v>
      </c>
      <c r="AH377" s="2" t="s">
        <v>26</v>
      </c>
      <c r="AI377" s="2" t="s">
        <v>16</v>
      </c>
      <c r="AJ377" s="2" t="s">
        <v>27</v>
      </c>
      <c r="AK377" s="2" t="s">
        <v>16</v>
      </c>
      <c r="AL377" s="2" t="s">
        <v>16</v>
      </c>
    </row>
    <row r="378" ht="14.25" customHeight="1">
      <c r="A378" s="17">
        <v>45878.0</v>
      </c>
      <c r="B378" s="2" t="s">
        <v>22</v>
      </c>
      <c r="C378" s="2" t="s">
        <v>22</v>
      </c>
      <c r="D378" s="2" t="s">
        <v>17</v>
      </c>
      <c r="E378" s="2" t="s">
        <v>22</v>
      </c>
      <c r="F378" s="2" t="s">
        <v>27</v>
      </c>
      <c r="G378" s="2" t="s">
        <v>16</v>
      </c>
      <c r="H378" s="2" t="s">
        <v>30</v>
      </c>
      <c r="I378" s="2" t="s">
        <v>43</v>
      </c>
      <c r="J378" s="2" t="s">
        <v>16</v>
      </c>
      <c r="K378" s="2" t="s">
        <v>16</v>
      </c>
      <c r="L378" s="2" t="s">
        <v>42</v>
      </c>
      <c r="M378" s="2" t="s">
        <v>19</v>
      </c>
      <c r="N378" s="2" t="s">
        <v>37</v>
      </c>
      <c r="O378" s="2" t="s">
        <v>39</v>
      </c>
      <c r="P378" s="2" t="s">
        <v>39</v>
      </c>
      <c r="Q378" s="2" t="s">
        <v>38</v>
      </c>
      <c r="R378" s="2" t="s">
        <v>16</v>
      </c>
      <c r="S378" s="2" t="s">
        <v>33</v>
      </c>
      <c r="T378" s="2" t="s">
        <v>40</v>
      </c>
      <c r="U378" s="2" t="s">
        <v>22</v>
      </c>
      <c r="V378" s="2" t="s">
        <v>28</v>
      </c>
      <c r="W378" s="2" t="s">
        <v>28</v>
      </c>
      <c r="X378" s="2" t="s">
        <v>27</v>
      </c>
      <c r="Y378" s="2" t="s">
        <v>16</v>
      </c>
      <c r="Z378" s="2" t="s">
        <v>21</v>
      </c>
      <c r="AA378" s="2" t="s">
        <v>23</v>
      </c>
      <c r="AB378" s="2" t="s">
        <v>27</v>
      </c>
      <c r="AC378" s="2" t="s">
        <v>16</v>
      </c>
      <c r="AD378" s="2" t="s">
        <v>25</v>
      </c>
      <c r="AE378" s="2" t="s">
        <v>18</v>
      </c>
      <c r="AF378" s="2" t="s">
        <v>16</v>
      </c>
      <c r="AG378" s="2" t="s">
        <v>20</v>
      </c>
      <c r="AH378" s="2" t="s">
        <v>26</v>
      </c>
      <c r="AI378" s="2" t="s">
        <v>21</v>
      </c>
      <c r="AJ378" s="2" t="s">
        <v>21</v>
      </c>
      <c r="AK378" s="2" t="s">
        <v>16</v>
      </c>
      <c r="AL378" s="2" t="s">
        <v>16</v>
      </c>
    </row>
    <row r="379" ht="14.25" customHeight="1">
      <c r="A379" s="17">
        <v>45879.0</v>
      </c>
      <c r="B379" s="2" t="s">
        <v>31</v>
      </c>
      <c r="C379" s="2" t="s">
        <v>31</v>
      </c>
      <c r="D379" s="2" t="s">
        <v>31</v>
      </c>
      <c r="E379" s="2" t="s">
        <v>31</v>
      </c>
      <c r="F379" s="2" t="s">
        <v>31</v>
      </c>
      <c r="G379" s="2" t="s">
        <v>31</v>
      </c>
      <c r="H379" s="2" t="s">
        <v>31</v>
      </c>
      <c r="I379" s="2" t="s">
        <v>31</v>
      </c>
      <c r="J379" s="2" t="s">
        <v>31</v>
      </c>
      <c r="K379" s="2" t="s">
        <v>31</v>
      </c>
      <c r="L379" s="2" t="s">
        <v>31</v>
      </c>
      <c r="M379" s="2" t="s">
        <v>31</v>
      </c>
      <c r="N379" s="2" t="s">
        <v>31</v>
      </c>
      <c r="O379" s="2" t="s">
        <v>31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2" t="s">
        <v>28</v>
      </c>
      <c r="V379" s="2" t="s">
        <v>26</v>
      </c>
      <c r="W379" s="2" t="s">
        <v>22</v>
      </c>
      <c r="X379" s="2" t="s">
        <v>17</v>
      </c>
      <c r="Y379" s="2" t="s">
        <v>21</v>
      </c>
      <c r="Z379" s="2" t="s">
        <v>28</v>
      </c>
      <c r="AA379" s="2" t="s">
        <v>16</v>
      </c>
      <c r="AB379" s="2" t="s">
        <v>27</v>
      </c>
      <c r="AC379" s="2" t="s">
        <v>21</v>
      </c>
      <c r="AD379" s="2" t="s">
        <v>23</v>
      </c>
      <c r="AE379" s="2" t="s">
        <v>22</v>
      </c>
      <c r="AF379" s="2" t="s">
        <v>16</v>
      </c>
      <c r="AG379" s="2" t="s">
        <v>20</v>
      </c>
      <c r="AH379" s="2" t="s">
        <v>22</v>
      </c>
      <c r="AI379" s="2" t="s">
        <v>28</v>
      </c>
      <c r="AJ379" s="2" t="s">
        <v>20</v>
      </c>
      <c r="AK379" s="2" t="s">
        <v>27</v>
      </c>
      <c r="AL379" s="2" t="s">
        <v>24</v>
      </c>
    </row>
    <row r="380" ht="14.25" customHeight="1">
      <c r="A380" s="17">
        <v>45880.0</v>
      </c>
      <c r="B380" s="2" t="s">
        <v>31</v>
      </c>
      <c r="C380" s="2" t="s">
        <v>31</v>
      </c>
      <c r="D380" s="2" t="s">
        <v>31</v>
      </c>
      <c r="E380" s="2" t="s">
        <v>31</v>
      </c>
      <c r="F380" s="2" t="s">
        <v>31</v>
      </c>
      <c r="G380" s="2" t="s">
        <v>31</v>
      </c>
      <c r="H380" s="2" t="s">
        <v>31</v>
      </c>
      <c r="I380" s="2" t="s">
        <v>31</v>
      </c>
      <c r="J380" s="2" t="s">
        <v>31</v>
      </c>
      <c r="K380" s="2" t="s">
        <v>31</v>
      </c>
      <c r="L380" s="2" t="s">
        <v>31</v>
      </c>
      <c r="M380" s="2" t="s">
        <v>31</v>
      </c>
      <c r="N380" s="2" t="s">
        <v>31</v>
      </c>
      <c r="O380" s="2" t="s">
        <v>31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2" t="s">
        <v>26</v>
      </c>
      <c r="V380" s="2" t="s">
        <v>25</v>
      </c>
      <c r="W380" s="2" t="s">
        <v>20</v>
      </c>
      <c r="X380" s="2" t="s">
        <v>16</v>
      </c>
      <c r="Y380" s="2" t="s">
        <v>20</v>
      </c>
      <c r="Z380" s="2" t="s">
        <v>28</v>
      </c>
      <c r="AA380" s="2" t="s">
        <v>23</v>
      </c>
      <c r="AB380" s="2" t="s">
        <v>20</v>
      </c>
      <c r="AC380" s="2" t="s">
        <v>23</v>
      </c>
      <c r="AD380" s="2" t="s">
        <v>28</v>
      </c>
      <c r="AE380" s="2" t="s">
        <v>25</v>
      </c>
      <c r="AF380" s="2" t="s">
        <v>24</v>
      </c>
      <c r="AG380" s="2" t="s">
        <v>22</v>
      </c>
      <c r="AH380" s="2" t="s">
        <v>16</v>
      </c>
      <c r="AI380" s="2" t="s">
        <v>17</v>
      </c>
      <c r="AJ380" s="2" t="s">
        <v>22</v>
      </c>
      <c r="AK380" s="2" t="s">
        <v>24</v>
      </c>
      <c r="AL380" s="2" t="s">
        <v>16</v>
      </c>
    </row>
    <row r="381" ht="14.25" customHeight="1">
      <c r="A381" s="17">
        <v>45881.0</v>
      </c>
      <c r="B381" s="2" t="s">
        <v>31</v>
      </c>
      <c r="C381" s="2" t="s">
        <v>31</v>
      </c>
      <c r="D381" s="2" t="s">
        <v>31</v>
      </c>
      <c r="E381" s="2" t="s">
        <v>31</v>
      </c>
      <c r="F381" s="2" t="s">
        <v>31</v>
      </c>
      <c r="G381" s="2" t="s">
        <v>31</v>
      </c>
      <c r="H381" s="2" t="s">
        <v>31</v>
      </c>
      <c r="I381" s="2" t="s">
        <v>31</v>
      </c>
      <c r="J381" s="2" t="s">
        <v>31</v>
      </c>
      <c r="K381" s="2" t="s">
        <v>31</v>
      </c>
      <c r="L381" s="2" t="s">
        <v>31</v>
      </c>
      <c r="M381" s="2" t="s">
        <v>31</v>
      </c>
      <c r="N381" s="2" t="s">
        <v>31</v>
      </c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2" t="s">
        <v>21</v>
      </c>
      <c r="V381" s="2" t="s">
        <v>26</v>
      </c>
      <c r="W381" s="2" t="s">
        <v>16</v>
      </c>
      <c r="X381" s="2" t="s">
        <v>16</v>
      </c>
      <c r="Y381" s="2" t="s">
        <v>16</v>
      </c>
      <c r="Z381" s="2" t="s">
        <v>26</v>
      </c>
      <c r="AA381" s="2" t="s">
        <v>21</v>
      </c>
      <c r="AB381" s="2" t="s">
        <v>16</v>
      </c>
      <c r="AC381" s="2" t="s">
        <v>22</v>
      </c>
      <c r="AD381" s="2" t="s">
        <v>26</v>
      </c>
      <c r="AE381" s="2" t="s">
        <v>16</v>
      </c>
      <c r="AF381" s="2" t="s">
        <v>16</v>
      </c>
      <c r="AG381" s="2" t="s">
        <v>21</v>
      </c>
      <c r="AH381" s="2" t="s">
        <v>16</v>
      </c>
      <c r="AI381" s="2" t="s">
        <v>23</v>
      </c>
      <c r="AJ381" s="2" t="s">
        <v>16</v>
      </c>
      <c r="AK381" s="2" t="s">
        <v>27</v>
      </c>
      <c r="AL381" s="2" t="s">
        <v>20</v>
      </c>
    </row>
    <row r="382" ht="14.25" customHeight="1">
      <c r="A382" s="17">
        <v>45882.0</v>
      </c>
      <c r="B382" s="2" t="s">
        <v>31</v>
      </c>
      <c r="C382" s="2" t="s">
        <v>31</v>
      </c>
      <c r="D382" s="2" t="s">
        <v>31</v>
      </c>
      <c r="E382" s="2" t="s">
        <v>31</v>
      </c>
      <c r="F382" s="2" t="s">
        <v>31</v>
      </c>
      <c r="G382" s="2" t="s">
        <v>31</v>
      </c>
      <c r="H382" s="2" t="s">
        <v>31</v>
      </c>
      <c r="I382" s="2" t="s">
        <v>31</v>
      </c>
      <c r="J382" s="2" t="s">
        <v>31</v>
      </c>
      <c r="K382" s="2" t="s">
        <v>31</v>
      </c>
      <c r="L382" s="2" t="s">
        <v>31</v>
      </c>
      <c r="M382" s="2" t="s">
        <v>31</v>
      </c>
      <c r="N382" s="2" t="s">
        <v>31</v>
      </c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2" t="s">
        <v>21</v>
      </c>
      <c r="V382" s="2" t="s">
        <v>16</v>
      </c>
      <c r="W382" s="2" t="s">
        <v>16</v>
      </c>
      <c r="X382" s="2" t="s">
        <v>16</v>
      </c>
      <c r="Y382" s="2" t="s">
        <v>19</v>
      </c>
      <c r="Z382" s="2" t="s">
        <v>16</v>
      </c>
      <c r="AA382" s="2" t="s">
        <v>26</v>
      </c>
      <c r="AB382" s="2" t="s">
        <v>22</v>
      </c>
      <c r="AC382" s="2" t="s">
        <v>28</v>
      </c>
      <c r="AD382" s="2" t="s">
        <v>16</v>
      </c>
      <c r="AE382" s="2" t="s">
        <v>17</v>
      </c>
      <c r="AF382" s="2" t="s">
        <v>16</v>
      </c>
      <c r="AG382" s="2" t="s">
        <v>25</v>
      </c>
      <c r="AH382" s="2" t="s">
        <v>27</v>
      </c>
      <c r="AI382" s="2" t="s">
        <v>16</v>
      </c>
      <c r="AJ382" s="2" t="s">
        <v>17</v>
      </c>
      <c r="AK382" s="2" t="s">
        <v>24</v>
      </c>
      <c r="AL382" s="2" t="s">
        <v>19</v>
      </c>
    </row>
    <row r="383" ht="14.25" customHeight="1">
      <c r="A383" s="17">
        <v>45883.0</v>
      </c>
      <c r="B383" s="2" t="s">
        <v>31</v>
      </c>
      <c r="C383" s="2" t="s">
        <v>31</v>
      </c>
      <c r="D383" s="2" t="s">
        <v>31</v>
      </c>
      <c r="E383" s="2" t="s">
        <v>31</v>
      </c>
      <c r="F383" s="2" t="s">
        <v>31</v>
      </c>
      <c r="G383" s="2" t="s">
        <v>31</v>
      </c>
      <c r="H383" s="2" t="s">
        <v>31</v>
      </c>
      <c r="I383" s="2" t="s">
        <v>31</v>
      </c>
      <c r="J383" s="2" t="s">
        <v>31</v>
      </c>
      <c r="K383" s="2" t="s">
        <v>31</v>
      </c>
      <c r="L383" s="2" t="s">
        <v>31</v>
      </c>
      <c r="M383" s="2" t="s">
        <v>31</v>
      </c>
      <c r="N383" s="2" t="s">
        <v>31</v>
      </c>
      <c r="O383" s="2" t="s">
        <v>31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2" t="s">
        <v>20</v>
      </c>
      <c r="V383" s="2" t="s">
        <v>21</v>
      </c>
      <c r="W383" s="2" t="s">
        <v>24</v>
      </c>
      <c r="X383" s="2" t="s">
        <v>20</v>
      </c>
      <c r="Y383" s="2" t="s">
        <v>17</v>
      </c>
      <c r="Z383" s="2" t="s">
        <v>17</v>
      </c>
      <c r="AA383" s="2" t="s">
        <v>26</v>
      </c>
      <c r="AB383" s="2" t="s">
        <v>20</v>
      </c>
      <c r="AC383" s="2" t="s">
        <v>27</v>
      </c>
      <c r="AD383" s="2" t="s">
        <v>16</v>
      </c>
      <c r="AE383" s="2" t="s">
        <v>28</v>
      </c>
      <c r="AF383" s="2" t="s">
        <v>25</v>
      </c>
      <c r="AG383" s="2" t="s">
        <v>18</v>
      </c>
      <c r="AH383" s="2" t="s">
        <v>26</v>
      </c>
      <c r="AI383" s="2" t="s">
        <v>21</v>
      </c>
      <c r="AJ383" s="2" t="s">
        <v>28</v>
      </c>
      <c r="AK383" s="2" t="s">
        <v>16</v>
      </c>
      <c r="AL383" s="2" t="s">
        <v>16</v>
      </c>
    </row>
    <row r="384" ht="14.25" customHeight="1">
      <c r="A384" s="17">
        <v>45884.0</v>
      </c>
      <c r="B384" s="2" t="s">
        <v>31</v>
      </c>
      <c r="C384" s="2" t="s">
        <v>31</v>
      </c>
      <c r="D384" s="2" t="s">
        <v>31</v>
      </c>
      <c r="E384" s="2" t="s">
        <v>31</v>
      </c>
      <c r="F384" s="2" t="s">
        <v>31</v>
      </c>
      <c r="G384" s="2" t="s">
        <v>31</v>
      </c>
      <c r="H384" s="2" t="s">
        <v>31</v>
      </c>
      <c r="I384" s="2" t="s">
        <v>31</v>
      </c>
      <c r="J384" s="2" t="s">
        <v>31</v>
      </c>
      <c r="K384" s="2" t="s">
        <v>31</v>
      </c>
      <c r="L384" s="2" t="s">
        <v>31</v>
      </c>
      <c r="M384" s="2" t="s">
        <v>31</v>
      </c>
      <c r="N384" s="2" t="s">
        <v>31</v>
      </c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2" t="s">
        <v>16</v>
      </c>
      <c r="V384" s="2" t="s">
        <v>20</v>
      </c>
      <c r="W384" s="2" t="s">
        <v>24</v>
      </c>
      <c r="X384" s="2" t="s">
        <v>27</v>
      </c>
      <c r="Y384" s="2" t="s">
        <v>19</v>
      </c>
      <c r="Z384" s="2" t="s">
        <v>17</v>
      </c>
      <c r="AA384" s="2" t="s">
        <v>21</v>
      </c>
      <c r="AB384" s="2" t="s">
        <v>24</v>
      </c>
      <c r="AC384" s="2" t="s">
        <v>16</v>
      </c>
      <c r="AD384" s="2" t="s">
        <v>16</v>
      </c>
      <c r="AE384" s="2" t="s">
        <v>16</v>
      </c>
      <c r="AF384" s="2" t="s">
        <v>17</v>
      </c>
      <c r="AG384" s="2" t="s">
        <v>20</v>
      </c>
      <c r="AH384" s="2" t="s">
        <v>25</v>
      </c>
      <c r="AI384" s="2" t="s">
        <v>16</v>
      </c>
      <c r="AJ384" s="2" t="s">
        <v>16</v>
      </c>
      <c r="AK384" s="2" t="s">
        <v>28</v>
      </c>
      <c r="AL384" s="2" t="s">
        <v>24</v>
      </c>
    </row>
    <row r="385" ht="14.25" customHeight="1">
      <c r="A385" s="17">
        <v>45885.0</v>
      </c>
      <c r="B385" s="2" t="s">
        <v>22</v>
      </c>
      <c r="C385" s="2" t="s">
        <v>22</v>
      </c>
      <c r="D385" s="2" t="s">
        <v>20</v>
      </c>
      <c r="E385" s="2" t="s">
        <v>33</v>
      </c>
      <c r="F385" s="2" t="s">
        <v>36</v>
      </c>
      <c r="G385" s="2" t="s">
        <v>28</v>
      </c>
      <c r="H385" s="2" t="s">
        <v>33</v>
      </c>
      <c r="I385" s="2" t="s">
        <v>34</v>
      </c>
      <c r="J385" s="2" t="s">
        <v>24</v>
      </c>
      <c r="K385" s="2" t="s">
        <v>29</v>
      </c>
      <c r="L385" s="2" t="s">
        <v>38</v>
      </c>
      <c r="M385" s="2" t="s">
        <v>43</v>
      </c>
      <c r="N385" s="2" t="s">
        <v>40</v>
      </c>
      <c r="O385" s="2" t="s">
        <v>33</v>
      </c>
      <c r="P385" s="2" t="s">
        <v>20</v>
      </c>
      <c r="Q385" s="2" t="s">
        <v>36</v>
      </c>
      <c r="R385" s="2" t="s">
        <v>39</v>
      </c>
      <c r="S385" s="2" t="s">
        <v>41</v>
      </c>
      <c r="T385" s="2" t="s">
        <v>20</v>
      </c>
      <c r="U385" s="2" t="s">
        <v>17</v>
      </c>
      <c r="V385" s="2" t="s">
        <v>28</v>
      </c>
      <c r="W385" s="2" t="s">
        <v>24</v>
      </c>
      <c r="X385" s="2" t="s">
        <v>27</v>
      </c>
      <c r="Y385" s="2" t="s">
        <v>26</v>
      </c>
      <c r="Z385" s="2" t="s">
        <v>20</v>
      </c>
      <c r="AA385" s="2" t="s">
        <v>24</v>
      </c>
      <c r="AB385" s="2" t="s">
        <v>17</v>
      </c>
      <c r="AC385" s="2" t="s">
        <v>16</v>
      </c>
      <c r="AD385" s="2" t="s">
        <v>16</v>
      </c>
      <c r="AE385" s="2" t="s">
        <v>17</v>
      </c>
      <c r="AF385" s="2" t="s">
        <v>28</v>
      </c>
      <c r="AG385" s="2" t="s">
        <v>19</v>
      </c>
      <c r="AH385" s="2" t="s">
        <v>25</v>
      </c>
      <c r="AI385" s="2" t="s">
        <v>24</v>
      </c>
      <c r="AJ385" s="2" t="s">
        <v>27</v>
      </c>
      <c r="AK385" s="2" t="s">
        <v>17</v>
      </c>
      <c r="AL385" s="2" t="s">
        <v>28</v>
      </c>
    </row>
    <row r="386" ht="14.25" customHeight="1">
      <c r="A386" s="17">
        <v>45886.0</v>
      </c>
      <c r="B386" s="2" t="s">
        <v>31</v>
      </c>
      <c r="C386" s="2" t="s">
        <v>31</v>
      </c>
      <c r="D386" s="2" t="s">
        <v>31</v>
      </c>
      <c r="E386" s="2" t="s">
        <v>31</v>
      </c>
      <c r="F386" s="2" t="s">
        <v>31</v>
      </c>
      <c r="G386" s="2" t="s">
        <v>31</v>
      </c>
      <c r="H386" s="2" t="s">
        <v>31</v>
      </c>
      <c r="I386" s="2" t="s">
        <v>31</v>
      </c>
      <c r="J386" s="2" t="s">
        <v>31</v>
      </c>
      <c r="K386" s="2" t="s">
        <v>31</v>
      </c>
      <c r="L386" s="2" t="s">
        <v>31</v>
      </c>
      <c r="M386" s="2" t="s">
        <v>31</v>
      </c>
      <c r="N386" s="2" t="s">
        <v>31</v>
      </c>
      <c r="O386" s="2" t="s">
        <v>31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2" t="s">
        <v>23</v>
      </c>
      <c r="V386" s="2" t="s">
        <v>26</v>
      </c>
      <c r="W386" s="2" t="s">
        <v>16</v>
      </c>
      <c r="X386" s="2" t="s">
        <v>18</v>
      </c>
      <c r="Y386" s="2" t="s">
        <v>28</v>
      </c>
      <c r="Z386" s="2" t="s">
        <v>25</v>
      </c>
      <c r="AA386" s="2" t="s">
        <v>16</v>
      </c>
      <c r="AB386" s="2" t="s">
        <v>25</v>
      </c>
      <c r="AC386" s="2" t="s">
        <v>18</v>
      </c>
      <c r="AD386" s="2" t="s">
        <v>16</v>
      </c>
      <c r="AE386" s="2" t="s">
        <v>17</v>
      </c>
      <c r="AF386" s="2" t="s">
        <v>19</v>
      </c>
      <c r="AG386" s="2" t="s">
        <v>16</v>
      </c>
      <c r="AH386" s="2" t="s">
        <v>19</v>
      </c>
      <c r="AI386" s="2" t="s">
        <v>20</v>
      </c>
      <c r="AJ386" s="2" t="s">
        <v>19</v>
      </c>
      <c r="AK386" s="2" t="s">
        <v>16</v>
      </c>
      <c r="AL386" s="2" t="s">
        <v>16</v>
      </c>
    </row>
    <row r="387" ht="14.25" customHeight="1">
      <c r="A387" s="17">
        <v>45887.0</v>
      </c>
      <c r="B387" s="2" t="s">
        <v>31</v>
      </c>
      <c r="C387" s="2" t="s">
        <v>31</v>
      </c>
      <c r="D387" s="2" t="s">
        <v>31</v>
      </c>
      <c r="E387" s="2" t="s">
        <v>31</v>
      </c>
      <c r="F387" s="2" t="s">
        <v>31</v>
      </c>
      <c r="G387" s="2" t="s">
        <v>31</v>
      </c>
      <c r="H387" s="2" t="s">
        <v>31</v>
      </c>
      <c r="I387" s="2" t="s">
        <v>31</v>
      </c>
      <c r="J387" s="2" t="s">
        <v>31</v>
      </c>
      <c r="K387" s="2" t="s">
        <v>31</v>
      </c>
      <c r="L387" s="2" t="s">
        <v>31</v>
      </c>
      <c r="M387" s="2" t="s">
        <v>31</v>
      </c>
      <c r="N387" s="2" t="s">
        <v>31</v>
      </c>
      <c r="O387" s="2" t="s">
        <v>31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2" t="s">
        <v>28</v>
      </c>
      <c r="V387" s="2" t="s">
        <v>16</v>
      </c>
      <c r="W387" s="2" t="s">
        <v>27</v>
      </c>
      <c r="X387" s="2" t="s">
        <v>28</v>
      </c>
      <c r="Y387" s="2" t="s">
        <v>18</v>
      </c>
      <c r="Z387" s="2" t="s">
        <v>28</v>
      </c>
      <c r="AA387" s="2" t="s">
        <v>28</v>
      </c>
      <c r="AB387" s="2" t="s">
        <v>22</v>
      </c>
      <c r="AC387" s="2" t="s">
        <v>27</v>
      </c>
      <c r="AD387" s="2" t="s">
        <v>16</v>
      </c>
      <c r="AE387" s="2" t="s">
        <v>16</v>
      </c>
      <c r="AF387" s="2" t="s">
        <v>22</v>
      </c>
      <c r="AG387" s="2" t="s">
        <v>23</v>
      </c>
      <c r="AH387" s="2" t="s">
        <v>27</v>
      </c>
      <c r="AI387" s="2" t="s">
        <v>24</v>
      </c>
      <c r="AJ387" s="2" t="s">
        <v>16</v>
      </c>
      <c r="AK387" s="2" t="s">
        <v>28</v>
      </c>
      <c r="AL387" s="2" t="s">
        <v>16</v>
      </c>
    </row>
    <row r="388" ht="14.25" customHeight="1">
      <c r="A388" s="17">
        <v>45888.0</v>
      </c>
      <c r="B388" s="2" t="s">
        <v>31</v>
      </c>
      <c r="C388" s="2" t="s">
        <v>31</v>
      </c>
      <c r="D388" s="2" t="s">
        <v>31</v>
      </c>
      <c r="E388" s="2" t="s">
        <v>31</v>
      </c>
      <c r="F388" s="2" t="s">
        <v>31</v>
      </c>
      <c r="G388" s="2" t="s">
        <v>31</v>
      </c>
      <c r="H388" s="2" t="s">
        <v>31</v>
      </c>
      <c r="I388" s="2" t="s">
        <v>31</v>
      </c>
      <c r="J388" s="2" t="s">
        <v>31</v>
      </c>
      <c r="K388" s="2" t="s">
        <v>31</v>
      </c>
      <c r="L388" s="2" t="s">
        <v>31</v>
      </c>
      <c r="M388" s="2" t="s">
        <v>31</v>
      </c>
      <c r="N388" s="2" t="s">
        <v>31</v>
      </c>
      <c r="O388" s="2" t="s">
        <v>31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2" t="s">
        <v>17</v>
      </c>
      <c r="V388" s="2" t="s">
        <v>23</v>
      </c>
      <c r="W388" s="2" t="s">
        <v>16</v>
      </c>
      <c r="X388" s="2" t="s">
        <v>18</v>
      </c>
      <c r="Y388" s="2" t="s">
        <v>27</v>
      </c>
      <c r="Z388" s="2" t="s">
        <v>23</v>
      </c>
      <c r="AA388" s="2" t="s">
        <v>16</v>
      </c>
      <c r="AB388" s="2" t="s">
        <v>16</v>
      </c>
      <c r="AC388" s="2" t="s">
        <v>16</v>
      </c>
      <c r="AD388" s="2" t="s">
        <v>19</v>
      </c>
      <c r="AE388" s="2" t="s">
        <v>19</v>
      </c>
      <c r="AF388" s="2" t="s">
        <v>21</v>
      </c>
      <c r="AG388" s="2" t="s">
        <v>18</v>
      </c>
      <c r="AH388" s="2" t="s">
        <v>23</v>
      </c>
      <c r="AI388" s="2" t="s">
        <v>17</v>
      </c>
      <c r="AJ388" s="2" t="s">
        <v>26</v>
      </c>
      <c r="AK388" s="2" t="s">
        <v>20</v>
      </c>
      <c r="AL388" s="2" t="s">
        <v>21</v>
      </c>
    </row>
    <row r="389" ht="14.25" customHeight="1">
      <c r="A389" s="17">
        <v>45889.0</v>
      </c>
      <c r="B389" s="2" t="s">
        <v>31</v>
      </c>
      <c r="C389" s="2" t="s">
        <v>31</v>
      </c>
      <c r="D389" s="2" t="s">
        <v>31</v>
      </c>
      <c r="E389" s="2" t="s">
        <v>31</v>
      </c>
      <c r="F389" s="2" t="s">
        <v>31</v>
      </c>
      <c r="G389" s="2" t="s">
        <v>31</v>
      </c>
      <c r="H389" s="2" t="s">
        <v>31</v>
      </c>
      <c r="I389" s="2" t="s">
        <v>31</v>
      </c>
      <c r="J389" s="2" t="s">
        <v>31</v>
      </c>
      <c r="K389" s="2" t="s">
        <v>31</v>
      </c>
      <c r="L389" s="2" t="s">
        <v>31</v>
      </c>
      <c r="M389" s="2" t="s">
        <v>31</v>
      </c>
      <c r="N389" s="2" t="s">
        <v>31</v>
      </c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2" t="s">
        <v>16</v>
      </c>
      <c r="V389" s="2" t="s">
        <v>28</v>
      </c>
      <c r="W389" s="2" t="s">
        <v>17</v>
      </c>
      <c r="X389" s="2" t="s">
        <v>17</v>
      </c>
      <c r="Y389" s="2" t="s">
        <v>26</v>
      </c>
      <c r="Z389" s="2" t="s">
        <v>18</v>
      </c>
      <c r="AA389" s="2" t="s">
        <v>27</v>
      </c>
      <c r="AB389" s="2" t="s">
        <v>17</v>
      </c>
      <c r="AC389" s="2" t="s">
        <v>26</v>
      </c>
      <c r="AD389" s="2" t="s">
        <v>27</v>
      </c>
      <c r="AE389" s="2" t="s">
        <v>16</v>
      </c>
      <c r="AF389" s="2" t="s">
        <v>19</v>
      </c>
      <c r="AG389" s="2" t="s">
        <v>20</v>
      </c>
      <c r="AH389" s="2" t="s">
        <v>28</v>
      </c>
      <c r="AI389" s="2" t="s">
        <v>19</v>
      </c>
      <c r="AJ389" s="2" t="s">
        <v>16</v>
      </c>
      <c r="AK389" s="2" t="s">
        <v>21</v>
      </c>
      <c r="AL389" s="2" t="s">
        <v>17</v>
      </c>
    </row>
    <row r="390" ht="14.25" customHeight="1">
      <c r="A390" s="17">
        <v>45890.0</v>
      </c>
      <c r="B390" s="2" t="s">
        <v>31</v>
      </c>
      <c r="C390" s="2" t="s">
        <v>31</v>
      </c>
      <c r="D390" s="2" t="s">
        <v>31</v>
      </c>
      <c r="E390" s="2" t="s">
        <v>31</v>
      </c>
      <c r="F390" s="2" t="s">
        <v>31</v>
      </c>
      <c r="G390" s="2" t="s">
        <v>31</v>
      </c>
      <c r="H390" s="2" t="s">
        <v>31</v>
      </c>
      <c r="I390" s="2" t="s">
        <v>31</v>
      </c>
      <c r="J390" s="2" t="s">
        <v>31</v>
      </c>
      <c r="K390" s="2" t="s">
        <v>31</v>
      </c>
      <c r="L390" s="2" t="s">
        <v>31</v>
      </c>
      <c r="M390" s="2" t="s">
        <v>31</v>
      </c>
      <c r="N390" s="2" t="s">
        <v>31</v>
      </c>
      <c r="O390" s="2" t="s">
        <v>31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2" t="s">
        <v>20</v>
      </c>
      <c r="V390" s="2" t="s">
        <v>27</v>
      </c>
      <c r="W390" s="2" t="s">
        <v>23</v>
      </c>
      <c r="X390" s="2" t="s">
        <v>20</v>
      </c>
      <c r="Y390" s="2" t="s">
        <v>26</v>
      </c>
      <c r="Z390" s="2" t="s">
        <v>20</v>
      </c>
      <c r="AA390" s="2" t="s">
        <v>16</v>
      </c>
      <c r="AB390" s="2" t="s">
        <v>16</v>
      </c>
      <c r="AC390" s="2" t="s">
        <v>20</v>
      </c>
      <c r="AD390" s="2" t="s">
        <v>16</v>
      </c>
      <c r="AE390" s="2" t="s">
        <v>24</v>
      </c>
      <c r="AF390" s="2" t="s">
        <v>17</v>
      </c>
      <c r="AG390" s="2" t="s">
        <v>16</v>
      </c>
      <c r="AH390" s="2" t="s">
        <v>27</v>
      </c>
      <c r="AI390" s="2" t="s">
        <v>26</v>
      </c>
      <c r="AJ390" s="2" t="s">
        <v>16</v>
      </c>
      <c r="AK390" s="2" t="s">
        <v>26</v>
      </c>
      <c r="AL390" s="2" t="s">
        <v>25</v>
      </c>
    </row>
    <row r="391" ht="14.25" customHeight="1">
      <c r="A391" s="17">
        <v>45891.0</v>
      </c>
      <c r="B391" s="2" t="s">
        <v>31</v>
      </c>
      <c r="C391" s="2" t="s">
        <v>31</v>
      </c>
      <c r="D391" s="2" t="s">
        <v>31</v>
      </c>
      <c r="E391" s="2" t="s">
        <v>31</v>
      </c>
      <c r="F391" s="2" t="s">
        <v>31</v>
      </c>
      <c r="G391" s="2" t="s">
        <v>31</v>
      </c>
      <c r="H391" s="2" t="s">
        <v>31</v>
      </c>
      <c r="I391" s="2" t="s">
        <v>31</v>
      </c>
      <c r="J391" s="2" t="s">
        <v>31</v>
      </c>
      <c r="K391" s="2" t="s">
        <v>31</v>
      </c>
      <c r="L391" s="2" t="s">
        <v>31</v>
      </c>
      <c r="M391" s="2" t="s">
        <v>31</v>
      </c>
      <c r="N391" s="2" t="s">
        <v>31</v>
      </c>
      <c r="O391" s="2" t="s">
        <v>31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2" t="s">
        <v>28</v>
      </c>
      <c r="V391" s="2" t="s">
        <v>27</v>
      </c>
      <c r="W391" s="2" t="s">
        <v>28</v>
      </c>
      <c r="X391" s="2" t="s">
        <v>27</v>
      </c>
      <c r="Y391" s="2" t="s">
        <v>20</v>
      </c>
      <c r="Z391" s="2" t="s">
        <v>22</v>
      </c>
      <c r="AA391" s="2" t="s">
        <v>26</v>
      </c>
      <c r="AB391" s="2" t="s">
        <v>27</v>
      </c>
      <c r="AC391" s="2" t="s">
        <v>16</v>
      </c>
      <c r="AD391" s="2" t="s">
        <v>27</v>
      </c>
      <c r="AE391" s="2" t="s">
        <v>16</v>
      </c>
      <c r="AF391" s="2" t="s">
        <v>20</v>
      </c>
      <c r="AG391" s="2" t="s">
        <v>19</v>
      </c>
      <c r="AH391" s="2" t="s">
        <v>25</v>
      </c>
      <c r="AI391" s="2" t="s">
        <v>16</v>
      </c>
      <c r="AJ391" s="2" t="s">
        <v>16</v>
      </c>
      <c r="AK391" s="2" t="s">
        <v>16</v>
      </c>
      <c r="AL391" s="2" t="s">
        <v>16</v>
      </c>
    </row>
    <row r="392" ht="14.25" customHeight="1">
      <c r="A392" s="17">
        <v>45892.0</v>
      </c>
      <c r="B392" s="2" t="s">
        <v>27</v>
      </c>
      <c r="C392" s="2" t="s">
        <v>42</v>
      </c>
      <c r="D392" s="2" t="s">
        <v>41</v>
      </c>
      <c r="E392" s="2" t="s">
        <v>35</v>
      </c>
      <c r="F392" s="2" t="s">
        <v>26</v>
      </c>
      <c r="G392" s="2" t="s">
        <v>40</v>
      </c>
      <c r="H392" s="2" t="s">
        <v>33</v>
      </c>
      <c r="I392" s="2" t="s">
        <v>33</v>
      </c>
      <c r="J392" s="2" t="s">
        <v>37</v>
      </c>
      <c r="K392" s="2" t="s">
        <v>40</v>
      </c>
      <c r="L392" s="2" t="s">
        <v>21</v>
      </c>
      <c r="M392" s="2" t="s">
        <v>34</v>
      </c>
      <c r="N392" s="2" t="s">
        <v>34</v>
      </c>
      <c r="O392" s="2" t="s">
        <v>33</v>
      </c>
      <c r="P392" s="2" t="s">
        <v>16</v>
      </c>
      <c r="Q392" s="2" t="s">
        <v>24</v>
      </c>
      <c r="R392" s="2" t="s">
        <v>32</v>
      </c>
      <c r="S392" s="2" t="s">
        <v>20</v>
      </c>
      <c r="T392" s="2" t="s">
        <v>32</v>
      </c>
      <c r="U392" s="2" t="s">
        <v>21</v>
      </c>
      <c r="V392" s="2" t="s">
        <v>16</v>
      </c>
      <c r="W392" s="2" t="s">
        <v>22</v>
      </c>
      <c r="X392" s="2" t="s">
        <v>25</v>
      </c>
      <c r="Y392" s="2" t="s">
        <v>28</v>
      </c>
      <c r="Z392" s="2" t="s">
        <v>16</v>
      </c>
      <c r="AA392" s="2" t="s">
        <v>27</v>
      </c>
      <c r="AB392" s="2" t="s">
        <v>28</v>
      </c>
      <c r="AC392" s="2" t="s">
        <v>20</v>
      </c>
      <c r="AD392" s="2" t="s">
        <v>26</v>
      </c>
      <c r="AE392" s="2" t="s">
        <v>24</v>
      </c>
      <c r="AF392" s="2" t="s">
        <v>26</v>
      </c>
      <c r="AG392" s="2" t="s">
        <v>16</v>
      </c>
      <c r="AH392" s="2" t="s">
        <v>16</v>
      </c>
      <c r="AI392" s="2" t="s">
        <v>21</v>
      </c>
      <c r="AJ392" s="2" t="s">
        <v>24</v>
      </c>
      <c r="AK392" s="2" t="s">
        <v>23</v>
      </c>
      <c r="AL392" s="2" t="s">
        <v>28</v>
      </c>
    </row>
    <row r="393" ht="14.25" customHeight="1">
      <c r="A393" s="17">
        <v>45893.0</v>
      </c>
      <c r="B393" s="2" t="s">
        <v>31</v>
      </c>
      <c r="C393" s="2" t="s">
        <v>31</v>
      </c>
      <c r="D393" s="2" t="s">
        <v>31</v>
      </c>
      <c r="E393" s="2" t="s">
        <v>31</v>
      </c>
      <c r="F393" s="2" t="s">
        <v>31</v>
      </c>
      <c r="G393" s="2" t="s">
        <v>31</v>
      </c>
      <c r="H393" s="2" t="s">
        <v>31</v>
      </c>
      <c r="I393" s="2" t="s">
        <v>31</v>
      </c>
      <c r="J393" s="2" t="s">
        <v>31</v>
      </c>
      <c r="K393" s="2" t="s">
        <v>31</v>
      </c>
      <c r="L393" s="2" t="s">
        <v>31</v>
      </c>
      <c r="M393" s="2" t="s">
        <v>31</v>
      </c>
      <c r="N393" s="2" t="s">
        <v>31</v>
      </c>
      <c r="O393" s="2" t="s">
        <v>31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2" t="s">
        <v>16</v>
      </c>
      <c r="V393" s="2" t="s">
        <v>27</v>
      </c>
      <c r="W393" s="2" t="s">
        <v>24</v>
      </c>
      <c r="X393" s="2" t="s">
        <v>28</v>
      </c>
      <c r="Y393" s="2" t="s">
        <v>19</v>
      </c>
      <c r="Z393" s="2" t="s">
        <v>27</v>
      </c>
      <c r="AA393" s="2" t="s">
        <v>19</v>
      </c>
      <c r="AB393" s="2" t="s">
        <v>16</v>
      </c>
      <c r="AC393" s="2" t="s">
        <v>17</v>
      </c>
      <c r="AD393" s="2" t="s">
        <v>27</v>
      </c>
      <c r="AE393" s="2" t="s">
        <v>19</v>
      </c>
      <c r="AF393" s="2" t="s">
        <v>26</v>
      </c>
      <c r="AG393" s="2" t="s">
        <v>16</v>
      </c>
      <c r="AH393" s="2" t="s">
        <v>25</v>
      </c>
      <c r="AI393" s="2" t="s">
        <v>22</v>
      </c>
      <c r="AJ393" s="2" t="s">
        <v>22</v>
      </c>
      <c r="AK393" s="2" t="s">
        <v>16</v>
      </c>
      <c r="AL393" s="2" t="s">
        <v>21</v>
      </c>
    </row>
    <row r="394" ht="14.25" customHeight="1">
      <c r="A394" s="17">
        <v>45894.0</v>
      </c>
      <c r="B394" s="2" t="s">
        <v>31</v>
      </c>
      <c r="C394" s="2" t="s">
        <v>31</v>
      </c>
      <c r="D394" s="2" t="s">
        <v>31</v>
      </c>
      <c r="E394" s="2" t="s">
        <v>31</v>
      </c>
      <c r="F394" s="2" t="s">
        <v>31</v>
      </c>
      <c r="G394" s="2" t="s">
        <v>31</v>
      </c>
      <c r="H394" s="2" t="s">
        <v>31</v>
      </c>
      <c r="I394" s="2" t="s">
        <v>31</v>
      </c>
      <c r="J394" s="2" t="s">
        <v>31</v>
      </c>
      <c r="K394" s="2" t="s">
        <v>31</v>
      </c>
      <c r="L394" s="2" t="s">
        <v>31</v>
      </c>
      <c r="M394" s="2" t="s">
        <v>31</v>
      </c>
      <c r="N394" s="2" t="s">
        <v>31</v>
      </c>
      <c r="O394" s="2" t="s">
        <v>31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2" t="s">
        <v>24</v>
      </c>
      <c r="V394" s="2" t="s">
        <v>24</v>
      </c>
      <c r="W394" s="2" t="s">
        <v>20</v>
      </c>
      <c r="X394" s="2" t="s">
        <v>18</v>
      </c>
      <c r="Y394" s="2" t="s">
        <v>21</v>
      </c>
      <c r="Z394" s="2" t="s">
        <v>17</v>
      </c>
      <c r="AA394" s="2" t="s">
        <v>28</v>
      </c>
      <c r="AB394" s="2" t="s">
        <v>26</v>
      </c>
      <c r="AC394" s="2" t="s">
        <v>26</v>
      </c>
      <c r="AD394" s="2" t="s">
        <v>27</v>
      </c>
      <c r="AE394" s="2" t="s">
        <v>27</v>
      </c>
      <c r="AF394" s="2" t="s">
        <v>20</v>
      </c>
      <c r="AG394" s="2" t="s">
        <v>22</v>
      </c>
      <c r="AH394" s="2" t="s">
        <v>16</v>
      </c>
      <c r="AI394" s="2" t="s">
        <v>19</v>
      </c>
      <c r="AJ394" s="2" t="s">
        <v>19</v>
      </c>
      <c r="AK394" s="2" t="s">
        <v>23</v>
      </c>
      <c r="AL394" s="2" t="s">
        <v>22</v>
      </c>
    </row>
    <row r="395" ht="14.25" customHeight="1">
      <c r="A395" s="17">
        <v>45895.0</v>
      </c>
      <c r="B395" s="2" t="s">
        <v>31</v>
      </c>
      <c r="C395" s="2" t="s">
        <v>31</v>
      </c>
      <c r="D395" s="2" t="s">
        <v>31</v>
      </c>
      <c r="E395" s="2" t="s">
        <v>31</v>
      </c>
      <c r="F395" s="2" t="s">
        <v>31</v>
      </c>
      <c r="G395" s="2" t="s">
        <v>31</v>
      </c>
      <c r="H395" s="2" t="s">
        <v>31</v>
      </c>
      <c r="I395" s="2" t="s">
        <v>31</v>
      </c>
      <c r="J395" s="2" t="s">
        <v>31</v>
      </c>
      <c r="K395" s="2" t="s">
        <v>31</v>
      </c>
      <c r="L395" s="2" t="s">
        <v>31</v>
      </c>
      <c r="M395" s="2" t="s">
        <v>31</v>
      </c>
      <c r="N395" s="2" t="s">
        <v>31</v>
      </c>
      <c r="O395" s="2" t="s">
        <v>31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2" t="s">
        <v>22</v>
      </c>
      <c r="V395" s="2" t="s">
        <v>16</v>
      </c>
      <c r="W395" s="2" t="s">
        <v>19</v>
      </c>
      <c r="X395" s="2" t="s">
        <v>18</v>
      </c>
      <c r="Y395" s="2" t="s">
        <v>19</v>
      </c>
      <c r="Z395" s="2" t="s">
        <v>22</v>
      </c>
      <c r="AA395" s="2" t="s">
        <v>22</v>
      </c>
      <c r="AB395" s="2" t="s">
        <v>22</v>
      </c>
      <c r="AC395" s="2" t="s">
        <v>16</v>
      </c>
      <c r="AD395" s="2" t="s">
        <v>16</v>
      </c>
      <c r="AE395" s="2" t="s">
        <v>16</v>
      </c>
      <c r="AF395" s="2" t="s">
        <v>26</v>
      </c>
      <c r="AG395" s="2" t="s">
        <v>16</v>
      </c>
      <c r="AH395" s="2" t="s">
        <v>26</v>
      </c>
      <c r="AI395" s="2" t="s">
        <v>20</v>
      </c>
      <c r="AJ395" s="2" t="s">
        <v>21</v>
      </c>
      <c r="AK395" s="2" t="s">
        <v>24</v>
      </c>
      <c r="AL395" s="2" t="s">
        <v>16</v>
      </c>
    </row>
    <row r="396" ht="14.25" customHeight="1">
      <c r="A396" s="17">
        <v>45896.0</v>
      </c>
      <c r="B396" s="2" t="s">
        <v>31</v>
      </c>
      <c r="C396" s="2" t="s">
        <v>31</v>
      </c>
      <c r="D396" s="2" t="s">
        <v>31</v>
      </c>
      <c r="E396" s="2" t="s">
        <v>31</v>
      </c>
      <c r="F396" s="2" t="s">
        <v>31</v>
      </c>
      <c r="G396" s="2" t="s">
        <v>31</v>
      </c>
      <c r="H396" s="2" t="s">
        <v>31</v>
      </c>
      <c r="I396" s="2" t="s">
        <v>31</v>
      </c>
      <c r="J396" s="2" t="s">
        <v>31</v>
      </c>
      <c r="K396" s="2" t="s">
        <v>31</v>
      </c>
      <c r="L396" s="2" t="s">
        <v>31</v>
      </c>
      <c r="M396" s="2" t="s">
        <v>31</v>
      </c>
      <c r="N396" s="2" t="s">
        <v>31</v>
      </c>
      <c r="O396" s="2" t="s">
        <v>31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2" t="s">
        <v>17</v>
      </c>
      <c r="V396" s="2" t="s">
        <v>16</v>
      </c>
      <c r="W396" s="2" t="s">
        <v>17</v>
      </c>
      <c r="X396" s="2" t="s">
        <v>27</v>
      </c>
      <c r="Y396" s="2" t="s">
        <v>16</v>
      </c>
      <c r="Z396" s="2" t="s">
        <v>25</v>
      </c>
      <c r="AA396" s="2" t="s">
        <v>16</v>
      </c>
      <c r="AB396" s="2" t="s">
        <v>25</v>
      </c>
      <c r="AC396" s="2" t="s">
        <v>24</v>
      </c>
      <c r="AD396" s="2" t="s">
        <v>20</v>
      </c>
      <c r="AE396" s="2" t="s">
        <v>16</v>
      </c>
      <c r="AF396" s="2" t="s">
        <v>16</v>
      </c>
      <c r="AG396" s="2" t="s">
        <v>18</v>
      </c>
      <c r="AH396" s="2" t="s">
        <v>22</v>
      </c>
      <c r="AI396" s="2" t="s">
        <v>19</v>
      </c>
      <c r="AJ396" s="2" t="s">
        <v>27</v>
      </c>
      <c r="AK396" s="2" t="s">
        <v>23</v>
      </c>
      <c r="AL396" s="2" t="s">
        <v>23</v>
      </c>
    </row>
    <row r="397" ht="14.25" customHeight="1">
      <c r="A397" s="17">
        <v>45897.0</v>
      </c>
      <c r="B397" s="2" t="s">
        <v>31</v>
      </c>
      <c r="C397" s="2" t="s">
        <v>31</v>
      </c>
      <c r="D397" s="2" t="s">
        <v>31</v>
      </c>
      <c r="E397" s="2" t="s">
        <v>31</v>
      </c>
      <c r="F397" s="2" t="s">
        <v>31</v>
      </c>
      <c r="G397" s="2" t="s">
        <v>31</v>
      </c>
      <c r="H397" s="2" t="s">
        <v>31</v>
      </c>
      <c r="I397" s="2" t="s">
        <v>31</v>
      </c>
      <c r="J397" s="2" t="s">
        <v>31</v>
      </c>
      <c r="K397" s="2" t="s">
        <v>31</v>
      </c>
      <c r="L397" s="2" t="s">
        <v>31</v>
      </c>
      <c r="M397" s="2" t="s">
        <v>31</v>
      </c>
      <c r="N397" s="2" t="s">
        <v>31</v>
      </c>
      <c r="O397" s="2" t="s">
        <v>31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2" t="s">
        <v>24</v>
      </c>
      <c r="V397" s="2" t="s">
        <v>27</v>
      </c>
      <c r="W397" s="2" t="s">
        <v>21</v>
      </c>
      <c r="X397" s="2" t="s">
        <v>17</v>
      </c>
      <c r="Y397" s="2" t="s">
        <v>25</v>
      </c>
      <c r="Z397" s="2" t="s">
        <v>28</v>
      </c>
      <c r="AA397" s="2" t="s">
        <v>16</v>
      </c>
      <c r="AB397" s="2" t="s">
        <v>16</v>
      </c>
      <c r="AC397" s="2" t="s">
        <v>23</v>
      </c>
      <c r="AD397" s="2" t="s">
        <v>16</v>
      </c>
      <c r="AE397" s="2" t="s">
        <v>27</v>
      </c>
      <c r="AF397" s="2" t="s">
        <v>19</v>
      </c>
      <c r="AG397" s="2" t="s">
        <v>21</v>
      </c>
      <c r="AH397" s="2" t="s">
        <v>16</v>
      </c>
      <c r="AI397" s="2" t="s">
        <v>21</v>
      </c>
      <c r="AJ397" s="2" t="s">
        <v>16</v>
      </c>
      <c r="AK397" s="2" t="s">
        <v>27</v>
      </c>
      <c r="AL397" s="2" t="s">
        <v>26</v>
      </c>
    </row>
    <row r="398" ht="14.25" customHeight="1">
      <c r="A398" s="17">
        <v>45898.0</v>
      </c>
      <c r="B398" s="2" t="s">
        <v>31</v>
      </c>
      <c r="C398" s="2" t="s">
        <v>31</v>
      </c>
      <c r="D398" s="2" t="s">
        <v>31</v>
      </c>
      <c r="E398" s="2" t="s">
        <v>31</v>
      </c>
      <c r="F398" s="2" t="s">
        <v>31</v>
      </c>
      <c r="G398" s="2" t="s">
        <v>31</v>
      </c>
      <c r="H398" s="2" t="s">
        <v>31</v>
      </c>
      <c r="I398" s="2" t="s">
        <v>31</v>
      </c>
      <c r="J398" s="2" t="s">
        <v>31</v>
      </c>
      <c r="K398" s="2" t="s">
        <v>31</v>
      </c>
      <c r="L398" s="2" t="s">
        <v>31</v>
      </c>
      <c r="M398" s="2" t="s">
        <v>31</v>
      </c>
      <c r="N398" s="2" t="s">
        <v>31</v>
      </c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2" t="s">
        <v>16</v>
      </c>
      <c r="V398" s="2" t="s">
        <v>25</v>
      </c>
      <c r="W398" s="2" t="s">
        <v>24</v>
      </c>
      <c r="X398" s="2" t="s">
        <v>27</v>
      </c>
      <c r="Y398" s="2" t="s">
        <v>16</v>
      </c>
      <c r="Z398" s="2" t="s">
        <v>16</v>
      </c>
      <c r="AA398" s="2" t="s">
        <v>16</v>
      </c>
      <c r="AB398" s="2" t="s">
        <v>20</v>
      </c>
      <c r="AC398" s="2" t="s">
        <v>28</v>
      </c>
      <c r="AD398" s="2" t="s">
        <v>27</v>
      </c>
      <c r="AE398" s="2" t="s">
        <v>20</v>
      </c>
      <c r="AF398" s="2" t="s">
        <v>25</v>
      </c>
      <c r="AG398" s="2" t="s">
        <v>16</v>
      </c>
      <c r="AH398" s="2" t="s">
        <v>26</v>
      </c>
      <c r="AI398" s="2" t="s">
        <v>19</v>
      </c>
      <c r="AJ398" s="2" t="s">
        <v>16</v>
      </c>
      <c r="AK398" s="2" t="s">
        <v>27</v>
      </c>
      <c r="AL398" s="2" t="s">
        <v>19</v>
      </c>
    </row>
    <row r="399" ht="14.25" customHeight="1">
      <c r="A399" s="17">
        <v>45899.0</v>
      </c>
      <c r="B399" s="2" t="s">
        <v>41</v>
      </c>
      <c r="C399" s="2" t="s">
        <v>34</v>
      </c>
      <c r="D399" s="2" t="s">
        <v>18</v>
      </c>
      <c r="E399" s="2" t="s">
        <v>30</v>
      </c>
      <c r="F399" s="2" t="s">
        <v>36</v>
      </c>
      <c r="G399" s="2" t="s">
        <v>30</v>
      </c>
      <c r="H399" s="2" t="s">
        <v>24</v>
      </c>
      <c r="I399" s="2" t="s">
        <v>39</v>
      </c>
      <c r="J399" s="2" t="s">
        <v>38</v>
      </c>
      <c r="K399" s="2" t="s">
        <v>38</v>
      </c>
      <c r="L399" s="2" t="s">
        <v>38</v>
      </c>
      <c r="M399" s="2" t="s">
        <v>16</v>
      </c>
      <c r="N399" s="2" t="s">
        <v>28</v>
      </c>
      <c r="O399" s="2" t="s">
        <v>33</v>
      </c>
      <c r="P399" s="2" t="s">
        <v>16</v>
      </c>
      <c r="Q399" s="2" t="s">
        <v>41</v>
      </c>
      <c r="R399" s="2" t="s">
        <v>18</v>
      </c>
      <c r="S399" s="2" t="s">
        <v>38</v>
      </c>
      <c r="T399" s="2" t="s">
        <v>41</v>
      </c>
      <c r="U399" s="2" t="s">
        <v>28</v>
      </c>
      <c r="V399" s="2" t="s">
        <v>24</v>
      </c>
      <c r="W399" s="2" t="s">
        <v>21</v>
      </c>
      <c r="X399" s="2" t="s">
        <v>20</v>
      </c>
      <c r="Y399" s="2" t="s">
        <v>27</v>
      </c>
      <c r="Z399" s="2" t="s">
        <v>16</v>
      </c>
      <c r="AA399" s="2" t="s">
        <v>27</v>
      </c>
      <c r="AB399" s="2" t="s">
        <v>16</v>
      </c>
      <c r="AC399" s="2" t="s">
        <v>16</v>
      </c>
      <c r="AD399" s="2" t="s">
        <v>26</v>
      </c>
      <c r="AE399" s="2" t="s">
        <v>16</v>
      </c>
      <c r="AF399" s="2" t="s">
        <v>16</v>
      </c>
      <c r="AG399" s="2" t="s">
        <v>20</v>
      </c>
      <c r="AH399" s="2" t="s">
        <v>27</v>
      </c>
      <c r="AI399" s="2" t="s">
        <v>19</v>
      </c>
      <c r="AJ399" s="2" t="s">
        <v>24</v>
      </c>
      <c r="AK399" s="2" t="s">
        <v>28</v>
      </c>
      <c r="AL399" s="2" t="s">
        <v>16</v>
      </c>
    </row>
    <row r="400" ht="14.25" customHeight="1">
      <c r="A400" s="17">
        <v>45900.0</v>
      </c>
      <c r="B400" s="2" t="s">
        <v>31</v>
      </c>
      <c r="C400" s="2" t="s">
        <v>31</v>
      </c>
      <c r="D400" s="2" t="s">
        <v>31</v>
      </c>
      <c r="E400" s="2" t="s">
        <v>31</v>
      </c>
      <c r="F400" s="2" t="s">
        <v>31</v>
      </c>
      <c r="G400" s="2" t="s">
        <v>31</v>
      </c>
      <c r="H400" s="2" t="s">
        <v>31</v>
      </c>
      <c r="I400" s="2" t="s">
        <v>31</v>
      </c>
      <c r="J400" s="2" t="s">
        <v>31</v>
      </c>
      <c r="K400" s="2" t="s">
        <v>31</v>
      </c>
      <c r="L400" s="2" t="s">
        <v>31</v>
      </c>
      <c r="M400" s="2" t="s">
        <v>31</v>
      </c>
      <c r="N400" s="2" t="s">
        <v>31</v>
      </c>
      <c r="O400" s="2" t="s">
        <v>31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2" t="s">
        <v>16</v>
      </c>
      <c r="V400" s="2" t="s">
        <v>17</v>
      </c>
      <c r="W400" s="2" t="s">
        <v>26</v>
      </c>
      <c r="X400" s="2" t="s">
        <v>16</v>
      </c>
      <c r="Y400" s="2" t="s">
        <v>16</v>
      </c>
      <c r="Z400" s="2" t="s">
        <v>24</v>
      </c>
      <c r="AA400" s="2" t="s">
        <v>18</v>
      </c>
      <c r="AB400" s="2" t="s">
        <v>28</v>
      </c>
      <c r="AC400" s="2" t="s">
        <v>24</v>
      </c>
      <c r="AD400" s="2" t="s">
        <v>20</v>
      </c>
      <c r="AE400" s="2" t="s">
        <v>26</v>
      </c>
      <c r="AF400" s="2" t="s">
        <v>16</v>
      </c>
      <c r="AG400" s="2" t="s">
        <v>21</v>
      </c>
      <c r="AH400" s="2" t="s">
        <v>20</v>
      </c>
      <c r="AI400" s="2" t="s">
        <v>19</v>
      </c>
      <c r="AJ400" s="2" t="s">
        <v>25</v>
      </c>
      <c r="AK400" s="2" t="s">
        <v>17</v>
      </c>
      <c r="AL400" s="2" t="s">
        <v>28</v>
      </c>
    </row>
    <row r="401" ht="14.25" customHeight="1">
      <c r="A401" s="17">
        <v>45901.0</v>
      </c>
      <c r="B401" s="2" t="s">
        <v>31</v>
      </c>
      <c r="C401" s="2" t="s">
        <v>31</v>
      </c>
      <c r="D401" s="2" t="s">
        <v>31</v>
      </c>
      <c r="E401" s="2" t="s">
        <v>31</v>
      </c>
      <c r="F401" s="2" t="s">
        <v>31</v>
      </c>
      <c r="G401" s="2" t="s">
        <v>31</v>
      </c>
      <c r="H401" s="2" t="s">
        <v>31</v>
      </c>
      <c r="I401" s="2" t="s">
        <v>31</v>
      </c>
      <c r="J401" s="2" t="s">
        <v>31</v>
      </c>
      <c r="K401" s="2" t="s">
        <v>31</v>
      </c>
      <c r="L401" s="2" t="s">
        <v>31</v>
      </c>
      <c r="M401" s="2" t="s">
        <v>31</v>
      </c>
      <c r="N401" s="2" t="s">
        <v>31</v>
      </c>
      <c r="O401" s="2" t="s">
        <v>31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2" t="s">
        <v>18</v>
      </c>
      <c r="V401" s="2" t="s">
        <v>26</v>
      </c>
      <c r="W401" s="2" t="s">
        <v>16</v>
      </c>
      <c r="X401" s="2" t="s">
        <v>16</v>
      </c>
      <c r="Y401" s="2" t="s">
        <v>22</v>
      </c>
      <c r="Z401" s="2" t="s">
        <v>27</v>
      </c>
      <c r="AA401" s="2" t="s">
        <v>16</v>
      </c>
      <c r="AB401" s="2" t="s">
        <v>16</v>
      </c>
      <c r="AC401" s="2" t="s">
        <v>17</v>
      </c>
      <c r="AD401" s="2" t="s">
        <v>19</v>
      </c>
      <c r="AE401" s="2" t="s">
        <v>27</v>
      </c>
      <c r="AF401" s="2" t="s">
        <v>16</v>
      </c>
      <c r="AG401" s="2" t="s">
        <v>26</v>
      </c>
      <c r="AH401" s="2" t="s">
        <v>17</v>
      </c>
      <c r="AI401" s="2" t="s">
        <v>22</v>
      </c>
      <c r="AJ401" s="2" t="s">
        <v>16</v>
      </c>
      <c r="AK401" s="2" t="s">
        <v>16</v>
      </c>
      <c r="AL401" s="2" t="s">
        <v>19</v>
      </c>
    </row>
    <row r="402" ht="14.25" customHeight="1">
      <c r="A402" s="17">
        <v>45902.0</v>
      </c>
      <c r="B402" s="2" t="s">
        <v>31</v>
      </c>
      <c r="C402" s="2" t="s">
        <v>31</v>
      </c>
      <c r="D402" s="2" t="s">
        <v>31</v>
      </c>
      <c r="E402" s="2" t="s">
        <v>31</v>
      </c>
      <c r="F402" s="2" t="s">
        <v>31</v>
      </c>
      <c r="G402" s="2" t="s">
        <v>31</v>
      </c>
      <c r="H402" s="2" t="s">
        <v>31</v>
      </c>
      <c r="I402" s="2" t="s">
        <v>31</v>
      </c>
      <c r="J402" s="2" t="s">
        <v>31</v>
      </c>
      <c r="K402" s="2" t="s">
        <v>31</v>
      </c>
      <c r="L402" s="2" t="s">
        <v>31</v>
      </c>
      <c r="M402" s="2" t="s">
        <v>31</v>
      </c>
      <c r="N402" s="2" t="s">
        <v>31</v>
      </c>
      <c r="O402" s="2" t="s">
        <v>31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2" t="s">
        <v>20</v>
      </c>
      <c r="V402" s="2" t="s">
        <v>16</v>
      </c>
      <c r="W402" s="2" t="s">
        <v>27</v>
      </c>
      <c r="X402" s="2" t="s">
        <v>21</v>
      </c>
      <c r="Y402" s="2" t="s">
        <v>19</v>
      </c>
      <c r="Z402" s="2" t="s">
        <v>21</v>
      </c>
      <c r="AA402" s="2" t="s">
        <v>24</v>
      </c>
      <c r="AB402" s="2" t="s">
        <v>26</v>
      </c>
      <c r="AC402" s="2" t="s">
        <v>16</v>
      </c>
      <c r="AD402" s="2" t="s">
        <v>26</v>
      </c>
      <c r="AE402" s="2" t="s">
        <v>19</v>
      </c>
      <c r="AF402" s="2" t="s">
        <v>18</v>
      </c>
      <c r="AG402" s="2" t="s">
        <v>20</v>
      </c>
      <c r="AH402" s="2" t="s">
        <v>16</v>
      </c>
      <c r="AI402" s="2" t="s">
        <v>25</v>
      </c>
      <c r="AJ402" s="2" t="s">
        <v>22</v>
      </c>
      <c r="AK402" s="2" t="s">
        <v>22</v>
      </c>
      <c r="AL402" s="2" t="s">
        <v>21</v>
      </c>
    </row>
    <row r="403" ht="14.25" customHeight="1">
      <c r="A403" s="17">
        <v>45903.0</v>
      </c>
      <c r="B403" s="2" t="s">
        <v>31</v>
      </c>
      <c r="C403" s="2" t="s">
        <v>31</v>
      </c>
      <c r="D403" s="2" t="s">
        <v>31</v>
      </c>
      <c r="E403" s="2" t="s">
        <v>31</v>
      </c>
      <c r="F403" s="2" t="s">
        <v>31</v>
      </c>
      <c r="G403" s="2" t="s">
        <v>31</v>
      </c>
      <c r="H403" s="2" t="s">
        <v>31</v>
      </c>
      <c r="I403" s="2" t="s">
        <v>31</v>
      </c>
      <c r="J403" s="2" t="s">
        <v>31</v>
      </c>
      <c r="K403" s="2" t="s">
        <v>31</v>
      </c>
      <c r="L403" s="2" t="s">
        <v>31</v>
      </c>
      <c r="M403" s="2" t="s">
        <v>31</v>
      </c>
      <c r="N403" s="2" t="s">
        <v>31</v>
      </c>
      <c r="O403" s="2" t="s">
        <v>31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2" t="s">
        <v>26</v>
      </c>
      <c r="V403" s="2" t="s">
        <v>16</v>
      </c>
      <c r="W403" s="2" t="s">
        <v>26</v>
      </c>
      <c r="X403" s="2" t="s">
        <v>19</v>
      </c>
      <c r="Y403" s="2" t="s">
        <v>20</v>
      </c>
      <c r="Z403" s="2" t="s">
        <v>27</v>
      </c>
      <c r="AA403" s="2" t="s">
        <v>28</v>
      </c>
      <c r="AB403" s="2" t="s">
        <v>16</v>
      </c>
      <c r="AC403" s="2" t="s">
        <v>22</v>
      </c>
      <c r="AD403" s="2" t="s">
        <v>28</v>
      </c>
      <c r="AE403" s="2" t="s">
        <v>24</v>
      </c>
      <c r="AF403" s="2" t="s">
        <v>16</v>
      </c>
      <c r="AG403" s="2" t="s">
        <v>18</v>
      </c>
      <c r="AH403" s="2" t="s">
        <v>21</v>
      </c>
      <c r="AI403" s="2" t="s">
        <v>16</v>
      </c>
      <c r="AJ403" s="2" t="s">
        <v>20</v>
      </c>
      <c r="AK403" s="2" t="s">
        <v>25</v>
      </c>
      <c r="AL403" s="2" t="s">
        <v>22</v>
      </c>
    </row>
    <row r="404" ht="14.25" customHeight="1">
      <c r="A404" s="17">
        <v>45904.0</v>
      </c>
      <c r="B404" s="2" t="s">
        <v>31</v>
      </c>
      <c r="C404" s="2" t="s">
        <v>31</v>
      </c>
      <c r="D404" s="2" t="s">
        <v>31</v>
      </c>
      <c r="E404" s="2" t="s">
        <v>31</v>
      </c>
      <c r="F404" s="2" t="s">
        <v>31</v>
      </c>
      <c r="G404" s="2" t="s">
        <v>31</v>
      </c>
      <c r="H404" s="2" t="s">
        <v>31</v>
      </c>
      <c r="I404" s="2" t="s">
        <v>31</v>
      </c>
      <c r="J404" s="2" t="s">
        <v>31</v>
      </c>
      <c r="K404" s="2" t="s">
        <v>31</v>
      </c>
      <c r="L404" s="2" t="s">
        <v>31</v>
      </c>
      <c r="M404" s="2" t="s">
        <v>31</v>
      </c>
      <c r="N404" s="2" t="s">
        <v>31</v>
      </c>
      <c r="O404" s="2" t="s">
        <v>31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2" t="s">
        <v>17</v>
      </c>
      <c r="V404" s="2" t="s">
        <v>17</v>
      </c>
      <c r="W404" s="2" t="s">
        <v>17</v>
      </c>
      <c r="X404" s="2" t="s">
        <v>18</v>
      </c>
      <c r="Y404" s="2" t="s">
        <v>28</v>
      </c>
      <c r="Z404" s="2" t="s">
        <v>22</v>
      </c>
      <c r="AA404" s="2" t="s">
        <v>21</v>
      </c>
      <c r="AB404" s="2" t="s">
        <v>26</v>
      </c>
      <c r="AC404" s="2" t="s">
        <v>17</v>
      </c>
      <c r="AD404" s="2" t="s">
        <v>17</v>
      </c>
      <c r="AE404" s="2" t="s">
        <v>19</v>
      </c>
      <c r="AF404" s="2" t="s">
        <v>27</v>
      </c>
      <c r="AG404" s="2" t="s">
        <v>16</v>
      </c>
      <c r="AH404" s="2" t="s">
        <v>16</v>
      </c>
      <c r="AI404" s="2" t="s">
        <v>22</v>
      </c>
      <c r="AJ404" s="2" t="s">
        <v>19</v>
      </c>
      <c r="AK404" s="2" t="s">
        <v>19</v>
      </c>
      <c r="AL404" s="2" t="s">
        <v>24</v>
      </c>
    </row>
    <row r="405" ht="14.25" customHeight="1">
      <c r="A405" s="17">
        <v>45905.0</v>
      </c>
      <c r="B405" s="2" t="s">
        <v>31</v>
      </c>
      <c r="C405" s="2" t="s">
        <v>31</v>
      </c>
      <c r="D405" s="2" t="s">
        <v>31</v>
      </c>
      <c r="E405" s="2" t="s">
        <v>31</v>
      </c>
      <c r="F405" s="2" t="s">
        <v>31</v>
      </c>
      <c r="G405" s="2" t="s">
        <v>31</v>
      </c>
      <c r="H405" s="2" t="s">
        <v>31</v>
      </c>
      <c r="I405" s="2" t="s">
        <v>31</v>
      </c>
      <c r="J405" s="2" t="s">
        <v>31</v>
      </c>
      <c r="K405" s="2" t="s">
        <v>31</v>
      </c>
      <c r="L405" s="2" t="s">
        <v>31</v>
      </c>
      <c r="M405" s="2" t="s">
        <v>31</v>
      </c>
      <c r="N405" s="2" t="s">
        <v>31</v>
      </c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2" t="s">
        <v>21</v>
      </c>
      <c r="V405" s="2" t="s">
        <v>21</v>
      </c>
      <c r="W405" s="2" t="s">
        <v>23</v>
      </c>
      <c r="X405" s="2" t="s">
        <v>21</v>
      </c>
      <c r="Y405" s="2" t="s">
        <v>16</v>
      </c>
      <c r="Z405" s="2" t="s">
        <v>19</v>
      </c>
      <c r="AA405" s="2" t="s">
        <v>25</v>
      </c>
      <c r="AB405" s="2" t="s">
        <v>25</v>
      </c>
      <c r="AC405" s="2" t="s">
        <v>22</v>
      </c>
      <c r="AD405" s="2" t="s">
        <v>16</v>
      </c>
      <c r="AE405" s="2" t="s">
        <v>16</v>
      </c>
      <c r="AF405" s="2" t="s">
        <v>24</v>
      </c>
      <c r="AG405" s="2" t="s">
        <v>22</v>
      </c>
      <c r="AH405" s="2" t="s">
        <v>17</v>
      </c>
      <c r="AI405" s="2" t="s">
        <v>16</v>
      </c>
      <c r="AJ405" s="2" t="s">
        <v>22</v>
      </c>
      <c r="AK405" s="2" t="s">
        <v>18</v>
      </c>
      <c r="AL405" s="2" t="s">
        <v>18</v>
      </c>
    </row>
    <row r="406" ht="14.25" customHeight="1">
      <c r="A406" s="17">
        <v>45906.0</v>
      </c>
      <c r="B406" s="2" t="s">
        <v>29</v>
      </c>
      <c r="C406" s="2" t="s">
        <v>41</v>
      </c>
      <c r="D406" s="2" t="s">
        <v>37</v>
      </c>
      <c r="E406" s="2" t="s">
        <v>34</v>
      </c>
      <c r="F406" s="2" t="s">
        <v>36</v>
      </c>
      <c r="G406" s="2" t="s">
        <v>33</v>
      </c>
      <c r="H406" s="2" t="s">
        <v>20</v>
      </c>
      <c r="I406" s="2" t="s">
        <v>28</v>
      </c>
      <c r="J406" s="2" t="s">
        <v>21</v>
      </c>
      <c r="K406" s="2" t="s">
        <v>32</v>
      </c>
      <c r="L406" s="2" t="s">
        <v>28</v>
      </c>
      <c r="M406" s="2" t="s">
        <v>29</v>
      </c>
      <c r="N406" s="2" t="s">
        <v>22</v>
      </c>
      <c r="O406" s="2" t="s">
        <v>25</v>
      </c>
      <c r="P406" s="2" t="s">
        <v>27</v>
      </c>
      <c r="Q406" s="2" t="s">
        <v>24</v>
      </c>
      <c r="R406" s="2" t="s">
        <v>25</v>
      </c>
      <c r="S406" s="2" t="s">
        <v>39</v>
      </c>
      <c r="T406" s="2" t="s">
        <v>16</v>
      </c>
      <c r="U406" s="2" t="s">
        <v>16</v>
      </c>
      <c r="V406" s="2" t="s">
        <v>16</v>
      </c>
      <c r="W406" s="2" t="s">
        <v>16</v>
      </c>
      <c r="X406" s="2" t="s">
        <v>24</v>
      </c>
      <c r="Y406" s="2" t="s">
        <v>28</v>
      </c>
      <c r="Z406" s="2" t="s">
        <v>26</v>
      </c>
      <c r="AA406" s="2" t="s">
        <v>16</v>
      </c>
      <c r="AB406" s="2" t="s">
        <v>17</v>
      </c>
      <c r="AC406" s="2" t="s">
        <v>19</v>
      </c>
      <c r="AD406" s="2" t="s">
        <v>21</v>
      </c>
      <c r="AE406" s="2" t="s">
        <v>17</v>
      </c>
      <c r="AF406" s="2" t="s">
        <v>24</v>
      </c>
      <c r="AG406" s="2" t="s">
        <v>19</v>
      </c>
      <c r="AH406" s="2" t="s">
        <v>26</v>
      </c>
      <c r="AI406" s="2" t="s">
        <v>27</v>
      </c>
      <c r="AJ406" s="2" t="s">
        <v>23</v>
      </c>
      <c r="AK406" s="2" t="s">
        <v>28</v>
      </c>
      <c r="AL406" s="2" t="s">
        <v>25</v>
      </c>
    </row>
    <row r="407" ht="14.25" customHeight="1">
      <c r="A407" s="17">
        <v>45907.0</v>
      </c>
      <c r="B407" s="2" t="s">
        <v>31</v>
      </c>
      <c r="C407" s="2" t="s">
        <v>31</v>
      </c>
      <c r="D407" s="2" t="s">
        <v>31</v>
      </c>
      <c r="E407" s="2" t="s">
        <v>31</v>
      </c>
      <c r="F407" s="2" t="s">
        <v>31</v>
      </c>
      <c r="G407" s="2" t="s">
        <v>31</v>
      </c>
      <c r="H407" s="2" t="s">
        <v>31</v>
      </c>
      <c r="I407" s="2" t="s">
        <v>31</v>
      </c>
      <c r="J407" s="2" t="s">
        <v>31</v>
      </c>
      <c r="K407" s="2" t="s">
        <v>31</v>
      </c>
      <c r="L407" s="2" t="s">
        <v>31</v>
      </c>
      <c r="M407" s="2" t="s">
        <v>31</v>
      </c>
      <c r="N407" s="2" t="s">
        <v>31</v>
      </c>
      <c r="O407" s="2" t="s">
        <v>31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2" t="s">
        <v>20</v>
      </c>
      <c r="V407" s="2" t="s">
        <v>16</v>
      </c>
      <c r="W407" s="2" t="s">
        <v>25</v>
      </c>
      <c r="X407" s="2" t="s">
        <v>24</v>
      </c>
      <c r="Y407" s="2" t="s">
        <v>28</v>
      </c>
      <c r="Z407" s="2" t="s">
        <v>22</v>
      </c>
      <c r="AA407" s="2" t="s">
        <v>20</v>
      </c>
      <c r="AB407" s="2" t="s">
        <v>21</v>
      </c>
      <c r="AC407" s="2" t="s">
        <v>28</v>
      </c>
      <c r="AD407" s="2" t="s">
        <v>21</v>
      </c>
      <c r="AE407" s="2" t="s">
        <v>20</v>
      </c>
      <c r="AF407" s="2" t="s">
        <v>27</v>
      </c>
      <c r="AG407" s="2" t="s">
        <v>16</v>
      </c>
      <c r="AH407" s="2" t="s">
        <v>16</v>
      </c>
      <c r="AI407" s="2" t="s">
        <v>28</v>
      </c>
      <c r="AJ407" s="2" t="s">
        <v>16</v>
      </c>
      <c r="AK407" s="2" t="s">
        <v>18</v>
      </c>
      <c r="AL407" s="2" t="s">
        <v>16</v>
      </c>
    </row>
    <row r="408" ht="14.25" customHeight="1">
      <c r="A408" s="17">
        <v>45908.0</v>
      </c>
      <c r="B408" s="2" t="s">
        <v>31</v>
      </c>
      <c r="C408" s="2" t="s">
        <v>31</v>
      </c>
      <c r="D408" s="2" t="s">
        <v>31</v>
      </c>
      <c r="E408" s="2" t="s">
        <v>31</v>
      </c>
      <c r="F408" s="2" t="s">
        <v>31</v>
      </c>
      <c r="G408" s="2" t="s">
        <v>31</v>
      </c>
      <c r="H408" s="2" t="s">
        <v>31</v>
      </c>
      <c r="I408" s="2" t="s">
        <v>31</v>
      </c>
      <c r="J408" s="2" t="s">
        <v>31</v>
      </c>
      <c r="K408" s="2" t="s">
        <v>31</v>
      </c>
      <c r="L408" s="2" t="s">
        <v>31</v>
      </c>
      <c r="M408" s="2" t="s">
        <v>31</v>
      </c>
      <c r="N408" s="2" t="s">
        <v>31</v>
      </c>
      <c r="O408" s="2" t="s">
        <v>31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2" t="s">
        <v>22</v>
      </c>
      <c r="V408" s="2" t="s">
        <v>16</v>
      </c>
      <c r="W408" s="2" t="s">
        <v>16</v>
      </c>
      <c r="X408" s="2" t="s">
        <v>16</v>
      </c>
      <c r="Y408" s="2" t="s">
        <v>17</v>
      </c>
      <c r="Z408" s="2" t="s">
        <v>16</v>
      </c>
      <c r="AA408" s="2" t="s">
        <v>16</v>
      </c>
      <c r="AB408" s="2" t="s">
        <v>19</v>
      </c>
      <c r="AC408" s="2" t="s">
        <v>22</v>
      </c>
      <c r="AD408" s="2" t="s">
        <v>25</v>
      </c>
      <c r="AE408" s="2" t="s">
        <v>23</v>
      </c>
      <c r="AF408" s="2" t="s">
        <v>19</v>
      </c>
      <c r="AG408" s="2" t="s">
        <v>19</v>
      </c>
      <c r="AH408" s="2" t="s">
        <v>16</v>
      </c>
      <c r="AI408" s="2" t="s">
        <v>25</v>
      </c>
      <c r="AJ408" s="2" t="s">
        <v>24</v>
      </c>
      <c r="AK408" s="2" t="s">
        <v>17</v>
      </c>
      <c r="AL408" s="2" t="s">
        <v>16</v>
      </c>
    </row>
    <row r="409" ht="14.25" customHeight="1">
      <c r="A409" s="17">
        <v>45909.0</v>
      </c>
      <c r="B409" s="2" t="s">
        <v>31</v>
      </c>
      <c r="C409" s="2" t="s">
        <v>31</v>
      </c>
      <c r="D409" s="2" t="s">
        <v>31</v>
      </c>
      <c r="E409" s="2" t="s">
        <v>31</v>
      </c>
      <c r="F409" s="2" t="s">
        <v>31</v>
      </c>
      <c r="G409" s="2" t="s">
        <v>31</v>
      </c>
      <c r="H409" s="2" t="s">
        <v>31</v>
      </c>
      <c r="I409" s="2" t="s">
        <v>31</v>
      </c>
      <c r="J409" s="2" t="s">
        <v>31</v>
      </c>
      <c r="K409" s="2" t="s">
        <v>31</v>
      </c>
      <c r="L409" s="2" t="s">
        <v>31</v>
      </c>
      <c r="M409" s="2" t="s">
        <v>31</v>
      </c>
      <c r="N409" s="2" t="s">
        <v>31</v>
      </c>
      <c r="O409" s="2" t="s">
        <v>31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2" t="s">
        <v>28</v>
      </c>
      <c r="V409" s="2" t="s">
        <v>19</v>
      </c>
      <c r="W409" s="2" t="s">
        <v>27</v>
      </c>
      <c r="X409" s="2" t="s">
        <v>16</v>
      </c>
      <c r="Y409" s="2" t="s">
        <v>16</v>
      </c>
      <c r="Z409" s="2" t="s">
        <v>16</v>
      </c>
      <c r="AA409" s="2" t="s">
        <v>16</v>
      </c>
      <c r="AB409" s="2" t="s">
        <v>19</v>
      </c>
      <c r="AC409" s="2" t="s">
        <v>17</v>
      </c>
      <c r="AD409" s="2" t="s">
        <v>18</v>
      </c>
      <c r="AE409" s="2" t="s">
        <v>26</v>
      </c>
      <c r="AF409" s="2" t="s">
        <v>20</v>
      </c>
      <c r="AG409" s="2" t="s">
        <v>27</v>
      </c>
      <c r="AH409" s="2" t="s">
        <v>16</v>
      </c>
      <c r="AI409" s="2" t="s">
        <v>19</v>
      </c>
      <c r="AJ409" s="2" t="s">
        <v>16</v>
      </c>
      <c r="AK409" s="2" t="s">
        <v>18</v>
      </c>
      <c r="AL409" s="2" t="s">
        <v>16</v>
      </c>
    </row>
    <row r="410" ht="14.25" customHeight="1">
      <c r="A410" s="17">
        <v>45910.0</v>
      </c>
      <c r="B410" s="2" t="s">
        <v>31</v>
      </c>
      <c r="C410" s="2" t="s">
        <v>31</v>
      </c>
      <c r="D410" s="2" t="s">
        <v>31</v>
      </c>
      <c r="E410" s="2" t="s">
        <v>31</v>
      </c>
      <c r="F410" s="2" t="s">
        <v>31</v>
      </c>
      <c r="G410" s="2" t="s">
        <v>31</v>
      </c>
      <c r="H410" s="2" t="s">
        <v>31</v>
      </c>
      <c r="I410" s="2" t="s">
        <v>31</v>
      </c>
      <c r="J410" s="2" t="s">
        <v>31</v>
      </c>
      <c r="K410" s="2" t="s">
        <v>31</v>
      </c>
      <c r="L410" s="2" t="s">
        <v>31</v>
      </c>
      <c r="M410" s="2" t="s">
        <v>31</v>
      </c>
      <c r="N410" s="2" t="s">
        <v>31</v>
      </c>
      <c r="O410" s="2" t="s">
        <v>31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2" t="s">
        <v>25</v>
      </c>
      <c r="V410" s="2" t="s">
        <v>26</v>
      </c>
      <c r="W410" s="2" t="s">
        <v>16</v>
      </c>
      <c r="X410" s="2" t="s">
        <v>16</v>
      </c>
      <c r="Y410" s="2" t="s">
        <v>16</v>
      </c>
      <c r="Z410" s="2" t="s">
        <v>18</v>
      </c>
      <c r="AA410" s="2" t="s">
        <v>16</v>
      </c>
      <c r="AB410" s="2" t="s">
        <v>23</v>
      </c>
      <c r="AC410" s="2" t="s">
        <v>21</v>
      </c>
      <c r="AD410" s="2" t="s">
        <v>27</v>
      </c>
      <c r="AE410" s="2" t="s">
        <v>22</v>
      </c>
      <c r="AF410" s="2" t="s">
        <v>17</v>
      </c>
      <c r="AG410" s="2" t="s">
        <v>21</v>
      </c>
      <c r="AH410" s="2" t="s">
        <v>20</v>
      </c>
      <c r="AI410" s="2" t="s">
        <v>17</v>
      </c>
      <c r="AJ410" s="2" t="s">
        <v>21</v>
      </c>
      <c r="AK410" s="2" t="s">
        <v>17</v>
      </c>
      <c r="AL410" s="2" t="s">
        <v>27</v>
      </c>
    </row>
    <row r="411" ht="14.25" customHeight="1">
      <c r="A411" s="17">
        <v>45911.0</v>
      </c>
      <c r="B411" s="2" t="s">
        <v>31</v>
      </c>
      <c r="C411" s="2" t="s">
        <v>31</v>
      </c>
      <c r="D411" s="2" t="s">
        <v>31</v>
      </c>
      <c r="E411" s="2" t="s">
        <v>31</v>
      </c>
      <c r="F411" s="2" t="s">
        <v>31</v>
      </c>
      <c r="G411" s="2" t="s">
        <v>31</v>
      </c>
      <c r="H411" s="2" t="s">
        <v>31</v>
      </c>
      <c r="I411" s="2" t="s">
        <v>31</v>
      </c>
      <c r="J411" s="2" t="s">
        <v>31</v>
      </c>
      <c r="K411" s="2" t="s">
        <v>31</v>
      </c>
      <c r="L411" s="2" t="s">
        <v>31</v>
      </c>
      <c r="M411" s="2" t="s">
        <v>31</v>
      </c>
      <c r="N411" s="2" t="s">
        <v>31</v>
      </c>
      <c r="O411" s="2" t="s">
        <v>31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2" t="s">
        <v>17</v>
      </c>
      <c r="V411" s="2" t="s">
        <v>16</v>
      </c>
      <c r="W411" s="2" t="s">
        <v>17</v>
      </c>
      <c r="X411" s="2" t="s">
        <v>28</v>
      </c>
      <c r="Y411" s="2" t="s">
        <v>20</v>
      </c>
      <c r="Z411" s="2" t="s">
        <v>26</v>
      </c>
      <c r="AA411" s="2" t="s">
        <v>16</v>
      </c>
      <c r="AB411" s="2" t="s">
        <v>18</v>
      </c>
      <c r="AC411" s="2" t="s">
        <v>24</v>
      </c>
      <c r="AD411" s="2" t="s">
        <v>19</v>
      </c>
      <c r="AE411" s="2" t="s">
        <v>25</v>
      </c>
      <c r="AF411" s="2" t="s">
        <v>24</v>
      </c>
      <c r="AG411" s="2" t="s">
        <v>20</v>
      </c>
      <c r="AH411" s="2" t="s">
        <v>23</v>
      </c>
      <c r="AI411" s="2" t="s">
        <v>22</v>
      </c>
      <c r="AJ411" s="2" t="s">
        <v>22</v>
      </c>
      <c r="AK411" s="2" t="s">
        <v>25</v>
      </c>
      <c r="AL411" s="2" t="s">
        <v>16</v>
      </c>
    </row>
    <row r="412" ht="14.25" customHeight="1">
      <c r="A412" s="17">
        <v>45912.0</v>
      </c>
      <c r="B412" s="2" t="s">
        <v>31</v>
      </c>
      <c r="C412" s="2" t="s">
        <v>31</v>
      </c>
      <c r="D412" s="2" t="s">
        <v>31</v>
      </c>
      <c r="E412" s="2" t="s">
        <v>31</v>
      </c>
      <c r="F412" s="2" t="s">
        <v>31</v>
      </c>
      <c r="G412" s="2" t="s">
        <v>31</v>
      </c>
      <c r="H412" s="2" t="s">
        <v>31</v>
      </c>
      <c r="I412" s="2" t="s">
        <v>31</v>
      </c>
      <c r="J412" s="2" t="s">
        <v>31</v>
      </c>
      <c r="K412" s="2" t="s">
        <v>31</v>
      </c>
      <c r="L412" s="2" t="s">
        <v>31</v>
      </c>
      <c r="M412" s="2" t="s">
        <v>31</v>
      </c>
      <c r="N412" s="2" t="s">
        <v>31</v>
      </c>
      <c r="O412" s="2" t="s">
        <v>31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2" t="s">
        <v>16</v>
      </c>
      <c r="V412" s="2" t="s">
        <v>17</v>
      </c>
      <c r="W412" s="2" t="s">
        <v>16</v>
      </c>
      <c r="X412" s="2" t="s">
        <v>24</v>
      </c>
      <c r="Y412" s="2" t="s">
        <v>22</v>
      </c>
      <c r="Z412" s="2" t="s">
        <v>27</v>
      </c>
      <c r="AA412" s="2" t="s">
        <v>16</v>
      </c>
      <c r="AB412" s="2" t="s">
        <v>22</v>
      </c>
      <c r="AC412" s="2" t="s">
        <v>27</v>
      </c>
      <c r="AD412" s="2" t="s">
        <v>16</v>
      </c>
      <c r="AE412" s="2" t="s">
        <v>27</v>
      </c>
      <c r="AF412" s="2" t="s">
        <v>25</v>
      </c>
      <c r="AG412" s="2" t="s">
        <v>16</v>
      </c>
      <c r="AH412" s="2" t="s">
        <v>26</v>
      </c>
      <c r="AI412" s="2" t="s">
        <v>16</v>
      </c>
      <c r="AJ412" s="2" t="s">
        <v>21</v>
      </c>
      <c r="AK412" s="2" t="s">
        <v>28</v>
      </c>
      <c r="AL412" s="2" t="s">
        <v>22</v>
      </c>
    </row>
    <row r="413" ht="14.25" customHeight="1">
      <c r="A413" s="17">
        <v>45913.0</v>
      </c>
      <c r="B413" s="2" t="s">
        <v>20</v>
      </c>
      <c r="C413" s="2" t="s">
        <v>32</v>
      </c>
      <c r="D413" s="2" t="s">
        <v>22</v>
      </c>
      <c r="E413" s="2" t="s">
        <v>32</v>
      </c>
      <c r="F413" s="2" t="s">
        <v>30</v>
      </c>
      <c r="G413" s="2" t="s">
        <v>26</v>
      </c>
      <c r="H413" s="2" t="s">
        <v>22</v>
      </c>
      <c r="I413" s="2" t="s">
        <v>33</v>
      </c>
      <c r="J413" s="2" t="s">
        <v>19</v>
      </c>
      <c r="K413" s="2" t="s">
        <v>29</v>
      </c>
      <c r="L413" s="2" t="s">
        <v>21</v>
      </c>
      <c r="M413" s="2" t="s">
        <v>39</v>
      </c>
      <c r="N413" s="2" t="s">
        <v>28</v>
      </c>
      <c r="O413" s="2" t="s">
        <v>17</v>
      </c>
      <c r="P413" s="2" t="s">
        <v>19</v>
      </c>
      <c r="Q413" s="2" t="s">
        <v>27</v>
      </c>
      <c r="R413" s="2" t="s">
        <v>27</v>
      </c>
      <c r="S413" s="2" t="s">
        <v>24</v>
      </c>
      <c r="T413" s="2" t="s">
        <v>25</v>
      </c>
      <c r="U413" s="2" t="s">
        <v>23</v>
      </c>
      <c r="V413" s="2" t="s">
        <v>24</v>
      </c>
      <c r="W413" s="2" t="s">
        <v>28</v>
      </c>
      <c r="X413" s="2" t="s">
        <v>23</v>
      </c>
      <c r="Y413" s="2" t="s">
        <v>19</v>
      </c>
      <c r="Z413" s="2" t="s">
        <v>21</v>
      </c>
      <c r="AA413" s="2" t="s">
        <v>16</v>
      </c>
      <c r="AB413" s="2" t="s">
        <v>27</v>
      </c>
      <c r="AC413" s="2" t="s">
        <v>26</v>
      </c>
      <c r="AD413" s="2" t="s">
        <v>16</v>
      </c>
      <c r="AE413" s="2" t="s">
        <v>24</v>
      </c>
      <c r="AF413" s="2" t="s">
        <v>17</v>
      </c>
      <c r="AG413" s="2" t="s">
        <v>21</v>
      </c>
      <c r="AH413" s="2" t="s">
        <v>23</v>
      </c>
      <c r="AI413" s="2" t="s">
        <v>23</v>
      </c>
      <c r="AJ413" s="2" t="s">
        <v>26</v>
      </c>
      <c r="AK413" s="2" t="s">
        <v>16</v>
      </c>
      <c r="AL413" s="2" t="s">
        <v>28</v>
      </c>
    </row>
    <row r="414" ht="14.25" customHeight="1">
      <c r="A414" s="17">
        <v>45914.0</v>
      </c>
      <c r="B414" s="2" t="s">
        <v>31</v>
      </c>
      <c r="C414" s="2" t="s">
        <v>31</v>
      </c>
      <c r="D414" s="2" t="s">
        <v>31</v>
      </c>
      <c r="E414" s="2" t="s">
        <v>31</v>
      </c>
      <c r="F414" s="2" t="s">
        <v>31</v>
      </c>
      <c r="G414" s="2" t="s">
        <v>31</v>
      </c>
      <c r="H414" s="2" t="s">
        <v>31</v>
      </c>
      <c r="I414" s="2" t="s">
        <v>31</v>
      </c>
      <c r="J414" s="2" t="s">
        <v>31</v>
      </c>
      <c r="K414" s="2" t="s">
        <v>31</v>
      </c>
      <c r="L414" s="2" t="s">
        <v>31</v>
      </c>
      <c r="M414" s="2" t="s">
        <v>31</v>
      </c>
      <c r="N414" s="2" t="s">
        <v>31</v>
      </c>
      <c r="O414" s="2" t="s">
        <v>31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2" t="s">
        <v>16</v>
      </c>
      <c r="V414" s="2" t="s">
        <v>16</v>
      </c>
      <c r="W414" s="2" t="s">
        <v>26</v>
      </c>
      <c r="X414" s="2" t="s">
        <v>16</v>
      </c>
      <c r="Y414" s="2" t="s">
        <v>16</v>
      </c>
      <c r="Z414" s="2" t="s">
        <v>27</v>
      </c>
      <c r="AA414" s="2" t="s">
        <v>16</v>
      </c>
      <c r="AB414" s="2" t="s">
        <v>28</v>
      </c>
      <c r="AC414" s="2" t="s">
        <v>25</v>
      </c>
      <c r="AD414" s="2" t="s">
        <v>21</v>
      </c>
      <c r="AE414" s="2" t="s">
        <v>26</v>
      </c>
      <c r="AF414" s="2" t="s">
        <v>16</v>
      </c>
      <c r="AG414" s="2" t="s">
        <v>21</v>
      </c>
      <c r="AH414" s="2" t="s">
        <v>22</v>
      </c>
      <c r="AI414" s="2" t="s">
        <v>19</v>
      </c>
      <c r="AJ414" s="2" t="s">
        <v>16</v>
      </c>
      <c r="AK414" s="2" t="s">
        <v>17</v>
      </c>
      <c r="AL414" s="2" t="s">
        <v>18</v>
      </c>
    </row>
    <row r="415" ht="14.25" customHeight="1">
      <c r="A415" s="17">
        <v>45915.0</v>
      </c>
      <c r="B415" s="2" t="s">
        <v>31</v>
      </c>
      <c r="C415" s="2" t="s">
        <v>31</v>
      </c>
      <c r="D415" s="2" t="s">
        <v>31</v>
      </c>
      <c r="E415" s="2" t="s">
        <v>31</v>
      </c>
      <c r="F415" s="2" t="s">
        <v>31</v>
      </c>
      <c r="G415" s="2" t="s">
        <v>31</v>
      </c>
      <c r="H415" s="2" t="s">
        <v>31</v>
      </c>
      <c r="I415" s="2" t="s">
        <v>31</v>
      </c>
      <c r="J415" s="2" t="s">
        <v>31</v>
      </c>
      <c r="K415" s="2" t="s">
        <v>31</v>
      </c>
      <c r="L415" s="2" t="s">
        <v>31</v>
      </c>
      <c r="M415" s="2" t="s">
        <v>31</v>
      </c>
      <c r="N415" s="2" t="s">
        <v>31</v>
      </c>
      <c r="O415" s="2" t="s">
        <v>31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2" t="s">
        <v>20</v>
      </c>
      <c r="V415" s="2" t="s">
        <v>16</v>
      </c>
      <c r="W415" s="2" t="s">
        <v>16</v>
      </c>
      <c r="X415" s="2" t="s">
        <v>20</v>
      </c>
      <c r="Y415" s="2" t="s">
        <v>17</v>
      </c>
      <c r="Z415" s="2" t="s">
        <v>16</v>
      </c>
      <c r="AA415" s="2" t="s">
        <v>19</v>
      </c>
      <c r="AB415" s="2" t="s">
        <v>25</v>
      </c>
      <c r="AC415" s="2" t="s">
        <v>18</v>
      </c>
      <c r="AD415" s="2" t="s">
        <v>26</v>
      </c>
      <c r="AE415" s="2" t="s">
        <v>16</v>
      </c>
      <c r="AF415" s="2" t="s">
        <v>26</v>
      </c>
      <c r="AG415" s="2" t="s">
        <v>22</v>
      </c>
      <c r="AH415" s="2" t="s">
        <v>24</v>
      </c>
      <c r="AI415" s="2" t="s">
        <v>19</v>
      </c>
      <c r="AJ415" s="2" t="s">
        <v>16</v>
      </c>
      <c r="AK415" s="2" t="s">
        <v>24</v>
      </c>
      <c r="AL415" s="2" t="s">
        <v>21</v>
      </c>
    </row>
    <row r="416" ht="14.25" customHeight="1">
      <c r="A416" s="17">
        <v>45916.0</v>
      </c>
      <c r="B416" s="2" t="s">
        <v>31</v>
      </c>
      <c r="C416" s="2" t="s">
        <v>31</v>
      </c>
      <c r="D416" s="2" t="s">
        <v>31</v>
      </c>
      <c r="E416" s="2" t="s">
        <v>31</v>
      </c>
      <c r="F416" s="2" t="s">
        <v>31</v>
      </c>
      <c r="G416" s="2" t="s">
        <v>31</v>
      </c>
      <c r="H416" s="2" t="s">
        <v>31</v>
      </c>
      <c r="I416" s="2" t="s">
        <v>31</v>
      </c>
      <c r="J416" s="2" t="s">
        <v>31</v>
      </c>
      <c r="K416" s="2" t="s">
        <v>31</v>
      </c>
      <c r="L416" s="2" t="s">
        <v>31</v>
      </c>
      <c r="M416" s="2" t="s">
        <v>31</v>
      </c>
      <c r="N416" s="2" t="s">
        <v>31</v>
      </c>
      <c r="O416" s="2" t="s">
        <v>31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2" t="s">
        <v>19</v>
      </c>
      <c r="V416" s="2" t="s">
        <v>16</v>
      </c>
      <c r="W416" s="2" t="s">
        <v>19</v>
      </c>
      <c r="X416" s="2" t="s">
        <v>16</v>
      </c>
      <c r="Y416" s="2" t="s">
        <v>25</v>
      </c>
      <c r="Z416" s="2" t="s">
        <v>18</v>
      </c>
      <c r="AA416" s="2" t="s">
        <v>16</v>
      </c>
      <c r="AB416" s="2" t="s">
        <v>22</v>
      </c>
      <c r="AC416" s="2" t="s">
        <v>17</v>
      </c>
      <c r="AD416" s="2" t="s">
        <v>16</v>
      </c>
      <c r="AE416" s="2" t="s">
        <v>28</v>
      </c>
      <c r="AF416" s="2" t="s">
        <v>16</v>
      </c>
      <c r="AG416" s="2" t="s">
        <v>24</v>
      </c>
      <c r="AH416" s="2" t="s">
        <v>25</v>
      </c>
      <c r="AI416" s="2" t="s">
        <v>26</v>
      </c>
      <c r="AJ416" s="2" t="s">
        <v>25</v>
      </c>
      <c r="AK416" s="2" t="s">
        <v>16</v>
      </c>
      <c r="AL416" s="2" t="s">
        <v>26</v>
      </c>
    </row>
    <row r="417" ht="14.25" customHeight="1">
      <c r="A417" s="17">
        <v>45917.0</v>
      </c>
      <c r="B417" s="2" t="s">
        <v>31</v>
      </c>
      <c r="C417" s="2" t="s">
        <v>31</v>
      </c>
      <c r="D417" s="2" t="s">
        <v>31</v>
      </c>
      <c r="E417" s="2" t="s">
        <v>31</v>
      </c>
      <c r="F417" s="2" t="s">
        <v>31</v>
      </c>
      <c r="G417" s="2" t="s">
        <v>31</v>
      </c>
      <c r="H417" s="2" t="s">
        <v>31</v>
      </c>
      <c r="I417" s="2" t="s">
        <v>31</v>
      </c>
      <c r="J417" s="2" t="s">
        <v>31</v>
      </c>
      <c r="K417" s="2" t="s">
        <v>31</v>
      </c>
      <c r="L417" s="2" t="s">
        <v>31</v>
      </c>
      <c r="M417" s="2" t="s">
        <v>31</v>
      </c>
      <c r="N417" s="2" t="s">
        <v>31</v>
      </c>
      <c r="O417" s="2" t="s">
        <v>31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2" t="s">
        <v>24</v>
      </c>
      <c r="V417" s="2" t="s">
        <v>21</v>
      </c>
      <c r="W417" s="2" t="s">
        <v>16</v>
      </c>
      <c r="X417" s="2" t="s">
        <v>17</v>
      </c>
      <c r="Y417" s="2" t="s">
        <v>16</v>
      </c>
      <c r="Z417" s="2" t="s">
        <v>22</v>
      </c>
      <c r="AA417" s="2" t="s">
        <v>26</v>
      </c>
      <c r="AB417" s="2" t="s">
        <v>17</v>
      </c>
      <c r="AC417" s="2" t="s">
        <v>23</v>
      </c>
      <c r="AD417" s="2" t="s">
        <v>25</v>
      </c>
      <c r="AE417" s="2" t="s">
        <v>19</v>
      </c>
      <c r="AF417" s="2" t="s">
        <v>27</v>
      </c>
      <c r="AG417" s="2" t="s">
        <v>16</v>
      </c>
      <c r="AH417" s="2" t="s">
        <v>25</v>
      </c>
      <c r="AI417" s="2" t="s">
        <v>28</v>
      </c>
      <c r="AJ417" s="2" t="s">
        <v>20</v>
      </c>
      <c r="AK417" s="2" t="s">
        <v>17</v>
      </c>
      <c r="AL417" s="2" t="s">
        <v>16</v>
      </c>
    </row>
    <row r="418" ht="14.25" customHeight="1">
      <c r="A418" s="17">
        <v>45918.0</v>
      </c>
      <c r="B418" s="2" t="s">
        <v>31</v>
      </c>
      <c r="C418" s="2" t="s">
        <v>31</v>
      </c>
      <c r="D418" s="2" t="s">
        <v>31</v>
      </c>
      <c r="E418" s="2" t="s">
        <v>31</v>
      </c>
      <c r="F418" s="2" t="s">
        <v>31</v>
      </c>
      <c r="G418" s="2" t="s">
        <v>31</v>
      </c>
      <c r="H418" s="2" t="s">
        <v>31</v>
      </c>
      <c r="I418" s="2" t="s">
        <v>31</v>
      </c>
      <c r="J418" s="2" t="s">
        <v>31</v>
      </c>
      <c r="K418" s="2" t="s">
        <v>31</v>
      </c>
      <c r="L418" s="2" t="s">
        <v>31</v>
      </c>
      <c r="M418" s="2" t="s">
        <v>31</v>
      </c>
      <c r="N418" s="2" t="s">
        <v>31</v>
      </c>
      <c r="O418" s="2" t="s">
        <v>31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2" t="s">
        <v>21</v>
      </c>
      <c r="V418" s="2" t="s">
        <v>27</v>
      </c>
      <c r="W418" s="2" t="s">
        <v>16</v>
      </c>
      <c r="X418" s="2" t="s">
        <v>26</v>
      </c>
      <c r="Y418" s="2" t="s">
        <v>17</v>
      </c>
      <c r="Z418" s="2" t="s">
        <v>17</v>
      </c>
      <c r="AA418" s="2" t="s">
        <v>16</v>
      </c>
      <c r="AB418" s="2" t="s">
        <v>21</v>
      </c>
      <c r="AC418" s="2" t="s">
        <v>24</v>
      </c>
      <c r="AD418" s="2" t="s">
        <v>17</v>
      </c>
      <c r="AE418" s="2" t="s">
        <v>17</v>
      </c>
      <c r="AF418" s="2" t="s">
        <v>17</v>
      </c>
      <c r="AG418" s="2" t="s">
        <v>16</v>
      </c>
      <c r="AH418" s="2" t="s">
        <v>28</v>
      </c>
      <c r="AI418" s="2" t="s">
        <v>24</v>
      </c>
      <c r="AJ418" s="2" t="s">
        <v>16</v>
      </c>
      <c r="AK418" s="2" t="s">
        <v>23</v>
      </c>
      <c r="AL418" s="2" t="s">
        <v>19</v>
      </c>
    </row>
    <row r="419" ht="14.25" customHeight="1">
      <c r="A419" s="17">
        <v>45919.0</v>
      </c>
      <c r="B419" s="2" t="s">
        <v>31</v>
      </c>
      <c r="C419" s="2" t="s">
        <v>31</v>
      </c>
      <c r="D419" s="2" t="s">
        <v>31</v>
      </c>
      <c r="E419" s="2" t="s">
        <v>31</v>
      </c>
      <c r="F419" s="2" t="s">
        <v>31</v>
      </c>
      <c r="G419" s="2" t="s">
        <v>31</v>
      </c>
      <c r="H419" s="2" t="s">
        <v>31</v>
      </c>
      <c r="I419" s="2" t="s">
        <v>31</v>
      </c>
      <c r="J419" s="2" t="s">
        <v>31</v>
      </c>
      <c r="K419" s="2" t="s">
        <v>31</v>
      </c>
      <c r="L419" s="2" t="s">
        <v>31</v>
      </c>
      <c r="M419" s="2" t="s">
        <v>31</v>
      </c>
      <c r="N419" s="2" t="s">
        <v>31</v>
      </c>
      <c r="O419" s="2" t="s">
        <v>31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2" t="s">
        <v>16</v>
      </c>
      <c r="V419" s="2" t="s">
        <v>26</v>
      </c>
      <c r="W419" s="2" t="s">
        <v>22</v>
      </c>
      <c r="X419" s="2" t="s">
        <v>27</v>
      </c>
      <c r="Y419" s="2" t="s">
        <v>27</v>
      </c>
      <c r="Z419" s="2" t="s">
        <v>26</v>
      </c>
      <c r="AA419" s="2" t="s">
        <v>16</v>
      </c>
      <c r="AB419" s="2" t="s">
        <v>16</v>
      </c>
      <c r="AC419" s="2" t="s">
        <v>19</v>
      </c>
      <c r="AD419" s="2" t="s">
        <v>16</v>
      </c>
      <c r="AE419" s="2" t="s">
        <v>16</v>
      </c>
      <c r="AF419" s="2" t="s">
        <v>25</v>
      </c>
      <c r="AG419" s="2" t="s">
        <v>16</v>
      </c>
      <c r="AH419" s="2" t="s">
        <v>27</v>
      </c>
      <c r="AI419" s="2" t="s">
        <v>28</v>
      </c>
      <c r="AJ419" s="2" t="s">
        <v>16</v>
      </c>
      <c r="AK419" s="2" t="s">
        <v>21</v>
      </c>
      <c r="AL419" s="2" t="s">
        <v>22</v>
      </c>
    </row>
    <row r="420" ht="14.25" customHeight="1">
      <c r="A420" s="17">
        <v>45920.0</v>
      </c>
      <c r="B420" s="2" t="s">
        <v>38</v>
      </c>
      <c r="C420" s="2" t="s">
        <v>16</v>
      </c>
      <c r="D420" s="2" t="s">
        <v>35</v>
      </c>
      <c r="E420" s="2" t="s">
        <v>19</v>
      </c>
      <c r="F420" s="2" t="s">
        <v>27</v>
      </c>
      <c r="G420" s="2" t="s">
        <v>28</v>
      </c>
      <c r="H420" s="2" t="s">
        <v>35</v>
      </c>
      <c r="I420" s="2" t="s">
        <v>19</v>
      </c>
      <c r="J420" s="2" t="s">
        <v>28</v>
      </c>
      <c r="K420" s="2" t="s">
        <v>28</v>
      </c>
      <c r="L420" s="2" t="s">
        <v>16</v>
      </c>
      <c r="M420" s="2" t="s">
        <v>28</v>
      </c>
      <c r="N420" s="2" t="s">
        <v>21</v>
      </c>
      <c r="O420" s="2" t="s">
        <v>21</v>
      </c>
      <c r="P420" s="2" t="s">
        <v>24</v>
      </c>
      <c r="Q420" s="2" t="s">
        <v>21</v>
      </c>
      <c r="R420" s="2" t="s">
        <v>26</v>
      </c>
      <c r="S420" s="2" t="s">
        <v>18</v>
      </c>
      <c r="T420" s="2" t="s">
        <v>20</v>
      </c>
      <c r="U420" s="2" t="s">
        <v>16</v>
      </c>
      <c r="V420" s="2" t="s">
        <v>16</v>
      </c>
      <c r="W420" s="2" t="s">
        <v>17</v>
      </c>
      <c r="X420" s="2" t="s">
        <v>20</v>
      </c>
      <c r="Y420" s="2" t="s">
        <v>16</v>
      </c>
      <c r="Z420" s="2" t="s">
        <v>19</v>
      </c>
      <c r="AA420" s="2" t="s">
        <v>17</v>
      </c>
      <c r="AB420" s="2" t="s">
        <v>22</v>
      </c>
      <c r="AC420" s="2" t="s">
        <v>16</v>
      </c>
      <c r="AD420" s="2" t="s">
        <v>21</v>
      </c>
      <c r="AE420" s="2" t="s">
        <v>21</v>
      </c>
      <c r="AF420" s="2" t="s">
        <v>24</v>
      </c>
      <c r="AG420" s="2" t="s">
        <v>25</v>
      </c>
      <c r="AH420" s="2" t="s">
        <v>27</v>
      </c>
      <c r="AI420" s="2" t="s">
        <v>19</v>
      </c>
      <c r="AJ420" s="2" t="s">
        <v>19</v>
      </c>
      <c r="AK420" s="2" t="s">
        <v>24</v>
      </c>
      <c r="AL420" s="2" t="s">
        <v>19</v>
      </c>
    </row>
    <row r="421" ht="14.25" customHeight="1">
      <c r="A421" s="17">
        <v>45921.0</v>
      </c>
      <c r="B421" s="2" t="s">
        <v>31</v>
      </c>
      <c r="C421" s="2" t="s">
        <v>31</v>
      </c>
      <c r="D421" s="2" t="s">
        <v>31</v>
      </c>
      <c r="E421" s="2" t="s">
        <v>31</v>
      </c>
      <c r="F421" s="2" t="s">
        <v>31</v>
      </c>
      <c r="G421" s="2" t="s">
        <v>31</v>
      </c>
      <c r="H421" s="2" t="s">
        <v>31</v>
      </c>
      <c r="I421" s="2" t="s">
        <v>31</v>
      </c>
      <c r="J421" s="2" t="s">
        <v>31</v>
      </c>
      <c r="K421" s="2" t="s">
        <v>31</v>
      </c>
      <c r="L421" s="2" t="s">
        <v>31</v>
      </c>
      <c r="M421" s="2" t="s">
        <v>31</v>
      </c>
      <c r="N421" s="2" t="s">
        <v>31</v>
      </c>
      <c r="O421" s="2" t="s">
        <v>31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2" t="s">
        <v>16</v>
      </c>
      <c r="V421" s="2" t="s">
        <v>21</v>
      </c>
      <c r="W421" s="2" t="s">
        <v>22</v>
      </c>
      <c r="X421" s="2" t="s">
        <v>26</v>
      </c>
      <c r="Y421" s="2" t="s">
        <v>23</v>
      </c>
      <c r="Z421" s="2" t="s">
        <v>16</v>
      </c>
      <c r="AA421" s="2" t="s">
        <v>16</v>
      </c>
      <c r="AB421" s="2" t="s">
        <v>16</v>
      </c>
      <c r="AC421" s="2" t="s">
        <v>24</v>
      </c>
      <c r="AD421" s="2" t="s">
        <v>19</v>
      </c>
      <c r="AE421" s="2" t="s">
        <v>17</v>
      </c>
      <c r="AF421" s="2" t="s">
        <v>22</v>
      </c>
      <c r="AG421" s="2" t="s">
        <v>16</v>
      </c>
      <c r="AH421" s="2" t="s">
        <v>16</v>
      </c>
      <c r="AI421" s="2" t="s">
        <v>21</v>
      </c>
      <c r="AJ421" s="2" t="s">
        <v>16</v>
      </c>
      <c r="AK421" s="2" t="s">
        <v>20</v>
      </c>
      <c r="AL421" s="2" t="s">
        <v>27</v>
      </c>
    </row>
    <row r="422" ht="14.25" customHeight="1">
      <c r="A422" s="17">
        <v>45922.0</v>
      </c>
      <c r="B422" s="2" t="s">
        <v>31</v>
      </c>
      <c r="C422" s="2" t="s">
        <v>31</v>
      </c>
      <c r="D422" s="2" t="s">
        <v>31</v>
      </c>
      <c r="E422" s="2" t="s">
        <v>31</v>
      </c>
      <c r="F422" s="2" t="s">
        <v>31</v>
      </c>
      <c r="G422" s="2" t="s">
        <v>31</v>
      </c>
      <c r="H422" s="2" t="s">
        <v>31</v>
      </c>
      <c r="I422" s="2" t="s">
        <v>31</v>
      </c>
      <c r="J422" s="2" t="s">
        <v>31</v>
      </c>
      <c r="K422" s="2" t="s">
        <v>31</v>
      </c>
      <c r="L422" s="2" t="s">
        <v>31</v>
      </c>
      <c r="M422" s="2" t="s">
        <v>31</v>
      </c>
      <c r="N422" s="2" t="s">
        <v>31</v>
      </c>
      <c r="O422" s="2" t="s">
        <v>31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2" t="s">
        <v>16</v>
      </c>
      <c r="V422" s="2" t="s">
        <v>19</v>
      </c>
      <c r="W422" s="2" t="s">
        <v>20</v>
      </c>
      <c r="X422" s="2" t="s">
        <v>16</v>
      </c>
      <c r="Y422" s="2" t="s">
        <v>19</v>
      </c>
      <c r="Z422" s="2" t="s">
        <v>16</v>
      </c>
      <c r="AA422" s="2" t="s">
        <v>27</v>
      </c>
      <c r="AB422" s="2" t="s">
        <v>20</v>
      </c>
      <c r="AC422" s="2" t="s">
        <v>16</v>
      </c>
      <c r="AD422" s="2" t="s">
        <v>17</v>
      </c>
      <c r="AE422" s="2" t="s">
        <v>19</v>
      </c>
      <c r="AF422" s="2" t="s">
        <v>24</v>
      </c>
      <c r="AG422" s="2" t="s">
        <v>25</v>
      </c>
      <c r="AH422" s="2" t="s">
        <v>16</v>
      </c>
      <c r="AI422" s="2" t="s">
        <v>28</v>
      </c>
      <c r="AJ422" s="2" t="s">
        <v>17</v>
      </c>
      <c r="AK422" s="2" t="s">
        <v>16</v>
      </c>
      <c r="AL422" s="2" t="s">
        <v>16</v>
      </c>
    </row>
    <row r="423" ht="14.25" customHeight="1">
      <c r="A423" s="17">
        <v>45923.0</v>
      </c>
      <c r="B423" s="2" t="s">
        <v>31</v>
      </c>
      <c r="C423" s="2" t="s">
        <v>31</v>
      </c>
      <c r="D423" s="2" t="s">
        <v>31</v>
      </c>
      <c r="E423" s="2" t="s">
        <v>31</v>
      </c>
      <c r="F423" s="2" t="s">
        <v>31</v>
      </c>
      <c r="G423" s="2" t="s">
        <v>31</v>
      </c>
      <c r="H423" s="2" t="s">
        <v>31</v>
      </c>
      <c r="I423" s="2" t="s">
        <v>31</v>
      </c>
      <c r="J423" s="2" t="s">
        <v>31</v>
      </c>
      <c r="K423" s="2" t="s">
        <v>31</v>
      </c>
      <c r="L423" s="2" t="s">
        <v>31</v>
      </c>
      <c r="M423" s="2" t="s">
        <v>31</v>
      </c>
      <c r="N423" s="2" t="s">
        <v>31</v>
      </c>
      <c r="O423" s="2" t="s">
        <v>31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2" t="s">
        <v>28</v>
      </c>
      <c r="V423" s="2" t="s">
        <v>20</v>
      </c>
      <c r="W423" s="2" t="s">
        <v>26</v>
      </c>
      <c r="X423" s="2" t="s">
        <v>26</v>
      </c>
      <c r="Y423" s="2" t="s">
        <v>28</v>
      </c>
      <c r="Z423" s="2" t="s">
        <v>16</v>
      </c>
      <c r="AA423" s="2" t="s">
        <v>20</v>
      </c>
      <c r="AB423" s="2" t="s">
        <v>16</v>
      </c>
      <c r="AC423" s="2" t="s">
        <v>16</v>
      </c>
      <c r="AD423" s="2" t="s">
        <v>16</v>
      </c>
      <c r="AE423" s="2" t="s">
        <v>19</v>
      </c>
      <c r="AF423" s="2" t="s">
        <v>28</v>
      </c>
      <c r="AG423" s="2" t="s">
        <v>28</v>
      </c>
      <c r="AH423" s="2" t="s">
        <v>25</v>
      </c>
      <c r="AI423" s="2" t="s">
        <v>16</v>
      </c>
      <c r="AJ423" s="2" t="s">
        <v>16</v>
      </c>
      <c r="AK423" s="2" t="s">
        <v>23</v>
      </c>
      <c r="AL423" s="2" t="s">
        <v>16</v>
      </c>
    </row>
    <row r="424" ht="14.25" customHeight="1">
      <c r="A424" s="17">
        <v>45924.0</v>
      </c>
      <c r="B424" s="2" t="s">
        <v>31</v>
      </c>
      <c r="C424" s="2" t="s">
        <v>31</v>
      </c>
      <c r="D424" s="2" t="s">
        <v>31</v>
      </c>
      <c r="E424" s="2" t="s">
        <v>31</v>
      </c>
      <c r="F424" s="2" t="s">
        <v>31</v>
      </c>
      <c r="G424" s="2" t="s">
        <v>31</v>
      </c>
      <c r="H424" s="2" t="s">
        <v>31</v>
      </c>
      <c r="I424" s="2" t="s">
        <v>31</v>
      </c>
      <c r="J424" s="2" t="s">
        <v>31</v>
      </c>
      <c r="K424" s="2" t="s">
        <v>31</v>
      </c>
      <c r="L424" s="2" t="s">
        <v>31</v>
      </c>
      <c r="M424" s="2" t="s">
        <v>31</v>
      </c>
      <c r="N424" s="2" t="s">
        <v>31</v>
      </c>
      <c r="O424" s="2" t="s">
        <v>31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2" t="s">
        <v>23</v>
      </c>
      <c r="V424" s="2" t="s">
        <v>21</v>
      </c>
      <c r="W424" s="2" t="s">
        <v>16</v>
      </c>
      <c r="X424" s="2" t="s">
        <v>17</v>
      </c>
      <c r="Y424" s="2" t="s">
        <v>19</v>
      </c>
      <c r="Z424" s="2" t="s">
        <v>18</v>
      </c>
      <c r="AA424" s="2" t="s">
        <v>19</v>
      </c>
      <c r="AB424" s="2" t="s">
        <v>22</v>
      </c>
      <c r="AC424" s="2" t="s">
        <v>17</v>
      </c>
      <c r="AD424" s="2" t="s">
        <v>24</v>
      </c>
      <c r="AE424" s="2" t="s">
        <v>27</v>
      </c>
      <c r="AF424" s="2" t="s">
        <v>20</v>
      </c>
      <c r="AG424" s="2" t="s">
        <v>16</v>
      </c>
      <c r="AH424" s="2" t="s">
        <v>16</v>
      </c>
      <c r="AI424" s="2" t="s">
        <v>16</v>
      </c>
      <c r="AJ424" s="2" t="s">
        <v>20</v>
      </c>
      <c r="AK424" s="2" t="s">
        <v>16</v>
      </c>
      <c r="AL424" s="2" t="s">
        <v>16</v>
      </c>
    </row>
    <row r="425" ht="14.25" customHeight="1">
      <c r="A425" s="17">
        <v>45925.0</v>
      </c>
      <c r="B425" s="2" t="s">
        <v>31</v>
      </c>
      <c r="C425" s="2" t="s">
        <v>31</v>
      </c>
      <c r="D425" s="2" t="s">
        <v>31</v>
      </c>
      <c r="E425" s="2" t="s">
        <v>31</v>
      </c>
      <c r="F425" s="2" t="s">
        <v>31</v>
      </c>
      <c r="G425" s="2" t="s">
        <v>31</v>
      </c>
      <c r="H425" s="2" t="s">
        <v>31</v>
      </c>
      <c r="I425" s="2" t="s">
        <v>31</v>
      </c>
      <c r="J425" s="2" t="s">
        <v>31</v>
      </c>
      <c r="K425" s="2" t="s">
        <v>31</v>
      </c>
      <c r="L425" s="2" t="s">
        <v>31</v>
      </c>
      <c r="M425" s="2" t="s">
        <v>31</v>
      </c>
      <c r="N425" s="2" t="s">
        <v>31</v>
      </c>
      <c r="O425" s="2" t="s">
        <v>31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2" t="s">
        <v>16</v>
      </c>
      <c r="V425" s="2" t="s">
        <v>24</v>
      </c>
      <c r="W425" s="2" t="s">
        <v>16</v>
      </c>
      <c r="X425" s="2" t="s">
        <v>25</v>
      </c>
      <c r="Y425" s="2" t="s">
        <v>28</v>
      </c>
      <c r="Z425" s="2" t="s">
        <v>25</v>
      </c>
      <c r="AA425" s="2" t="s">
        <v>28</v>
      </c>
      <c r="AB425" s="2" t="s">
        <v>28</v>
      </c>
      <c r="AC425" s="2" t="s">
        <v>16</v>
      </c>
      <c r="AD425" s="2" t="s">
        <v>16</v>
      </c>
      <c r="AE425" s="2" t="s">
        <v>28</v>
      </c>
      <c r="AF425" s="2" t="s">
        <v>23</v>
      </c>
      <c r="AG425" s="2" t="s">
        <v>25</v>
      </c>
      <c r="AH425" s="2" t="s">
        <v>16</v>
      </c>
      <c r="AI425" s="2" t="s">
        <v>16</v>
      </c>
      <c r="AJ425" s="2" t="s">
        <v>16</v>
      </c>
      <c r="AK425" s="2" t="s">
        <v>22</v>
      </c>
      <c r="AL425" s="2" t="s">
        <v>27</v>
      </c>
    </row>
    <row r="426" ht="14.25" customHeight="1">
      <c r="A426" s="17">
        <v>45926.0</v>
      </c>
      <c r="B426" s="2" t="s">
        <v>31</v>
      </c>
      <c r="C426" s="2" t="s">
        <v>31</v>
      </c>
      <c r="D426" s="2" t="s">
        <v>31</v>
      </c>
      <c r="E426" s="2" t="s">
        <v>31</v>
      </c>
      <c r="F426" s="2" t="s">
        <v>31</v>
      </c>
      <c r="G426" s="2" t="s">
        <v>31</v>
      </c>
      <c r="H426" s="2" t="s">
        <v>31</v>
      </c>
      <c r="I426" s="2" t="s">
        <v>31</v>
      </c>
      <c r="J426" s="2" t="s">
        <v>31</v>
      </c>
      <c r="K426" s="2" t="s">
        <v>31</v>
      </c>
      <c r="L426" s="2" t="s">
        <v>31</v>
      </c>
      <c r="M426" s="2" t="s">
        <v>31</v>
      </c>
      <c r="N426" s="2" t="s">
        <v>31</v>
      </c>
      <c r="O426" s="2" t="s">
        <v>31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2" t="s">
        <v>26</v>
      </c>
      <c r="V426" s="2" t="s">
        <v>23</v>
      </c>
      <c r="W426" s="2" t="s">
        <v>26</v>
      </c>
      <c r="X426" s="2" t="s">
        <v>23</v>
      </c>
      <c r="Y426" s="2" t="s">
        <v>24</v>
      </c>
      <c r="Z426" s="2" t="s">
        <v>17</v>
      </c>
      <c r="AA426" s="2" t="s">
        <v>24</v>
      </c>
      <c r="AB426" s="2" t="s">
        <v>23</v>
      </c>
      <c r="AC426" s="2" t="s">
        <v>22</v>
      </c>
      <c r="AD426" s="2" t="s">
        <v>21</v>
      </c>
      <c r="AE426" s="2" t="s">
        <v>20</v>
      </c>
      <c r="AF426" s="2" t="s">
        <v>25</v>
      </c>
      <c r="AG426" s="2" t="s">
        <v>26</v>
      </c>
      <c r="AH426" s="2" t="s">
        <v>22</v>
      </c>
      <c r="AI426" s="2" t="s">
        <v>24</v>
      </c>
      <c r="AJ426" s="2" t="s">
        <v>16</v>
      </c>
      <c r="AK426" s="2" t="s">
        <v>16</v>
      </c>
      <c r="AL426" s="2" t="s">
        <v>17</v>
      </c>
    </row>
    <row r="427" ht="14.25" customHeight="1">
      <c r="A427" s="17">
        <v>45927.0</v>
      </c>
      <c r="B427" s="2" t="s">
        <v>17</v>
      </c>
      <c r="C427" s="2" t="s">
        <v>36</v>
      </c>
      <c r="D427" s="2" t="s">
        <v>20</v>
      </c>
      <c r="E427" s="2" t="s">
        <v>22</v>
      </c>
      <c r="F427" s="2" t="s">
        <v>37</v>
      </c>
      <c r="G427" s="2" t="s">
        <v>33</v>
      </c>
      <c r="H427" s="2" t="s">
        <v>26</v>
      </c>
      <c r="I427" s="2" t="s">
        <v>32</v>
      </c>
      <c r="J427" s="2" t="s">
        <v>20</v>
      </c>
      <c r="K427" s="2" t="s">
        <v>20</v>
      </c>
      <c r="L427" s="2" t="s">
        <v>22</v>
      </c>
      <c r="M427" s="2" t="s">
        <v>39</v>
      </c>
      <c r="N427" s="2" t="s">
        <v>29</v>
      </c>
      <c r="O427" s="2" t="s">
        <v>19</v>
      </c>
      <c r="P427" s="2" t="s">
        <v>20</v>
      </c>
      <c r="Q427" s="2" t="s">
        <v>34</v>
      </c>
      <c r="R427" s="2" t="s">
        <v>36</v>
      </c>
      <c r="S427" s="2" t="s">
        <v>25</v>
      </c>
      <c r="T427" s="2" t="s">
        <v>28</v>
      </c>
      <c r="U427" s="2" t="s">
        <v>16</v>
      </c>
      <c r="V427" s="2" t="s">
        <v>16</v>
      </c>
      <c r="W427" s="2" t="s">
        <v>20</v>
      </c>
      <c r="X427" s="2" t="s">
        <v>20</v>
      </c>
      <c r="Y427" s="2" t="s">
        <v>23</v>
      </c>
      <c r="Z427" s="2" t="s">
        <v>25</v>
      </c>
      <c r="AA427" s="2" t="s">
        <v>23</v>
      </c>
      <c r="AB427" s="2" t="s">
        <v>16</v>
      </c>
      <c r="AC427" s="2" t="s">
        <v>17</v>
      </c>
      <c r="AD427" s="2" t="s">
        <v>25</v>
      </c>
      <c r="AE427" s="2" t="s">
        <v>20</v>
      </c>
      <c r="AF427" s="2" t="s">
        <v>28</v>
      </c>
      <c r="AG427" s="2" t="s">
        <v>16</v>
      </c>
      <c r="AH427" s="2" t="s">
        <v>26</v>
      </c>
      <c r="AI427" s="2" t="s">
        <v>22</v>
      </c>
      <c r="AJ427" s="2" t="s">
        <v>24</v>
      </c>
      <c r="AK427" s="2" t="s">
        <v>16</v>
      </c>
      <c r="AL427" s="2" t="s">
        <v>18</v>
      </c>
    </row>
    <row r="428" ht="14.25" customHeight="1">
      <c r="A428" s="17">
        <v>45928.0</v>
      </c>
      <c r="B428" s="2" t="s">
        <v>31</v>
      </c>
      <c r="C428" s="2" t="s">
        <v>31</v>
      </c>
      <c r="D428" s="2" t="s">
        <v>31</v>
      </c>
      <c r="E428" s="2" t="s">
        <v>31</v>
      </c>
      <c r="F428" s="2" t="s">
        <v>31</v>
      </c>
      <c r="G428" s="2" t="s">
        <v>31</v>
      </c>
      <c r="H428" s="2" t="s">
        <v>31</v>
      </c>
      <c r="I428" s="2" t="s">
        <v>31</v>
      </c>
      <c r="J428" s="2" t="s">
        <v>31</v>
      </c>
      <c r="K428" s="2" t="s">
        <v>31</v>
      </c>
      <c r="L428" s="2" t="s">
        <v>31</v>
      </c>
      <c r="M428" s="2" t="s">
        <v>31</v>
      </c>
      <c r="N428" s="2" t="s">
        <v>31</v>
      </c>
      <c r="O428" s="2" t="s">
        <v>31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2" t="s">
        <v>26</v>
      </c>
      <c r="V428" s="2" t="s">
        <v>16</v>
      </c>
      <c r="W428" s="2" t="s">
        <v>16</v>
      </c>
      <c r="X428" s="2" t="s">
        <v>16</v>
      </c>
      <c r="Y428" s="2" t="s">
        <v>22</v>
      </c>
      <c r="Z428" s="2" t="s">
        <v>22</v>
      </c>
      <c r="AA428" s="2" t="s">
        <v>26</v>
      </c>
      <c r="AB428" s="2" t="s">
        <v>27</v>
      </c>
      <c r="AC428" s="2" t="s">
        <v>22</v>
      </c>
      <c r="AD428" s="2" t="s">
        <v>28</v>
      </c>
      <c r="AE428" s="2" t="s">
        <v>26</v>
      </c>
      <c r="AF428" s="2" t="s">
        <v>22</v>
      </c>
      <c r="AG428" s="2" t="s">
        <v>20</v>
      </c>
      <c r="AH428" s="2" t="s">
        <v>27</v>
      </c>
      <c r="AI428" s="2" t="s">
        <v>24</v>
      </c>
      <c r="AJ428" s="2" t="s">
        <v>16</v>
      </c>
      <c r="AK428" s="2" t="s">
        <v>16</v>
      </c>
      <c r="AL428" s="2" t="s">
        <v>19</v>
      </c>
    </row>
    <row r="429" ht="14.25" customHeight="1">
      <c r="A429" s="17">
        <v>45929.0</v>
      </c>
      <c r="B429" s="2" t="s">
        <v>31</v>
      </c>
      <c r="C429" s="2" t="s">
        <v>31</v>
      </c>
      <c r="D429" s="2" t="s">
        <v>31</v>
      </c>
      <c r="E429" s="2" t="s">
        <v>31</v>
      </c>
      <c r="F429" s="2" t="s">
        <v>31</v>
      </c>
      <c r="G429" s="2" t="s">
        <v>31</v>
      </c>
      <c r="H429" s="2" t="s">
        <v>31</v>
      </c>
      <c r="I429" s="2" t="s">
        <v>31</v>
      </c>
      <c r="J429" s="2" t="s">
        <v>31</v>
      </c>
      <c r="K429" s="2" t="s">
        <v>31</v>
      </c>
      <c r="L429" s="2" t="s">
        <v>31</v>
      </c>
      <c r="M429" s="2" t="s">
        <v>31</v>
      </c>
      <c r="N429" s="2" t="s">
        <v>31</v>
      </c>
      <c r="O429" s="2" t="s">
        <v>31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2" t="s">
        <v>22</v>
      </c>
      <c r="V429" s="2" t="s">
        <v>25</v>
      </c>
      <c r="W429" s="2" t="s">
        <v>16</v>
      </c>
      <c r="X429" s="2" t="s">
        <v>16</v>
      </c>
      <c r="Y429" s="2" t="s">
        <v>17</v>
      </c>
      <c r="Z429" s="2" t="s">
        <v>16</v>
      </c>
      <c r="AA429" s="2" t="s">
        <v>17</v>
      </c>
      <c r="AB429" s="2" t="s">
        <v>21</v>
      </c>
      <c r="AC429" s="2" t="s">
        <v>24</v>
      </c>
      <c r="AD429" s="2" t="s">
        <v>18</v>
      </c>
      <c r="AE429" s="2" t="s">
        <v>23</v>
      </c>
      <c r="AF429" s="2" t="s">
        <v>16</v>
      </c>
      <c r="AG429" s="2" t="s">
        <v>24</v>
      </c>
      <c r="AH429" s="2" t="s">
        <v>25</v>
      </c>
      <c r="AI429" s="2" t="s">
        <v>16</v>
      </c>
      <c r="AJ429" s="2" t="s">
        <v>16</v>
      </c>
      <c r="AK429" s="2" t="s">
        <v>16</v>
      </c>
      <c r="AL429" s="2" t="s">
        <v>17</v>
      </c>
    </row>
    <row r="430" ht="14.25" customHeight="1">
      <c r="A430" s="17">
        <v>45930.0</v>
      </c>
      <c r="B430" s="2" t="s">
        <v>31</v>
      </c>
      <c r="C430" s="2" t="s">
        <v>31</v>
      </c>
      <c r="D430" s="2" t="s">
        <v>31</v>
      </c>
      <c r="E430" s="2" t="s">
        <v>31</v>
      </c>
      <c r="F430" s="2" t="s">
        <v>31</v>
      </c>
      <c r="G430" s="2" t="s">
        <v>31</v>
      </c>
      <c r="H430" s="2" t="s">
        <v>31</v>
      </c>
      <c r="I430" s="2" t="s">
        <v>31</v>
      </c>
      <c r="J430" s="2" t="s">
        <v>31</v>
      </c>
      <c r="K430" s="2" t="s">
        <v>31</v>
      </c>
      <c r="L430" s="2" t="s">
        <v>31</v>
      </c>
      <c r="M430" s="2" t="s">
        <v>31</v>
      </c>
      <c r="N430" s="2" t="s">
        <v>31</v>
      </c>
      <c r="O430" s="2" t="s">
        <v>31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2" t="s">
        <v>25</v>
      </c>
      <c r="V430" s="2" t="s">
        <v>17</v>
      </c>
      <c r="W430" s="2" t="s">
        <v>27</v>
      </c>
      <c r="X430" s="2" t="s">
        <v>20</v>
      </c>
      <c r="Y430" s="2" t="s">
        <v>28</v>
      </c>
      <c r="Z430" s="2" t="s">
        <v>20</v>
      </c>
      <c r="AA430" s="2" t="s">
        <v>26</v>
      </c>
      <c r="AB430" s="2" t="s">
        <v>27</v>
      </c>
      <c r="AC430" s="2" t="s">
        <v>22</v>
      </c>
      <c r="AD430" s="2" t="s">
        <v>16</v>
      </c>
      <c r="AE430" s="2" t="s">
        <v>28</v>
      </c>
      <c r="AF430" s="2" t="s">
        <v>25</v>
      </c>
      <c r="AG430" s="2" t="s">
        <v>28</v>
      </c>
      <c r="AH430" s="2" t="s">
        <v>21</v>
      </c>
      <c r="AI430" s="2" t="s">
        <v>16</v>
      </c>
      <c r="AJ430" s="2" t="s">
        <v>25</v>
      </c>
      <c r="AK430" s="2" t="s">
        <v>16</v>
      </c>
      <c r="AL430" s="2" t="s">
        <v>20</v>
      </c>
    </row>
    <row r="431" ht="14.25" customHeight="1">
      <c r="A431" s="17">
        <v>45931.0</v>
      </c>
      <c r="B431" s="2" t="s">
        <v>31</v>
      </c>
      <c r="C431" s="2" t="s">
        <v>31</v>
      </c>
      <c r="D431" s="2" t="s">
        <v>31</v>
      </c>
      <c r="E431" s="2" t="s">
        <v>31</v>
      </c>
      <c r="F431" s="2" t="s">
        <v>31</v>
      </c>
      <c r="G431" s="2" t="s">
        <v>31</v>
      </c>
      <c r="H431" s="2" t="s">
        <v>31</v>
      </c>
      <c r="I431" s="2" t="s">
        <v>31</v>
      </c>
      <c r="J431" s="2" t="s">
        <v>31</v>
      </c>
      <c r="K431" s="2" t="s">
        <v>31</v>
      </c>
      <c r="L431" s="2" t="s">
        <v>31</v>
      </c>
      <c r="M431" s="2" t="s">
        <v>31</v>
      </c>
      <c r="N431" s="2" t="s">
        <v>31</v>
      </c>
      <c r="O431" s="2" t="s">
        <v>31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2" t="s">
        <v>16</v>
      </c>
      <c r="V431" s="2" t="s">
        <v>16</v>
      </c>
      <c r="W431" s="2" t="s">
        <v>17</v>
      </c>
      <c r="X431" s="2" t="s">
        <v>20</v>
      </c>
      <c r="Y431" s="2" t="s">
        <v>18</v>
      </c>
      <c r="Z431" s="2" t="s">
        <v>24</v>
      </c>
      <c r="AA431" s="2" t="s">
        <v>16</v>
      </c>
      <c r="AB431" s="2" t="s">
        <v>16</v>
      </c>
      <c r="AC431" s="2" t="s">
        <v>28</v>
      </c>
      <c r="AD431" s="2" t="s">
        <v>17</v>
      </c>
      <c r="AE431" s="2" t="s">
        <v>23</v>
      </c>
      <c r="AF431" s="2" t="s">
        <v>25</v>
      </c>
      <c r="AG431" s="2" t="s">
        <v>16</v>
      </c>
      <c r="AH431" s="2" t="s">
        <v>26</v>
      </c>
      <c r="AI431" s="2" t="s">
        <v>19</v>
      </c>
      <c r="AJ431" s="2" t="s">
        <v>21</v>
      </c>
      <c r="AK431" s="2" t="s">
        <v>21</v>
      </c>
      <c r="AL431" s="2" t="s">
        <v>16</v>
      </c>
    </row>
    <row r="432" ht="14.25" customHeight="1">
      <c r="A432" s="17">
        <v>45932.0</v>
      </c>
      <c r="B432" s="2" t="s">
        <v>31</v>
      </c>
      <c r="C432" s="2" t="s">
        <v>31</v>
      </c>
      <c r="D432" s="2" t="s">
        <v>31</v>
      </c>
      <c r="E432" s="2" t="s">
        <v>31</v>
      </c>
      <c r="F432" s="2" t="s">
        <v>31</v>
      </c>
      <c r="G432" s="2" t="s">
        <v>31</v>
      </c>
      <c r="H432" s="2" t="s">
        <v>31</v>
      </c>
      <c r="I432" s="2" t="s">
        <v>31</v>
      </c>
      <c r="J432" s="2" t="s">
        <v>31</v>
      </c>
      <c r="K432" s="2" t="s">
        <v>31</v>
      </c>
      <c r="L432" s="2" t="s">
        <v>31</v>
      </c>
      <c r="M432" s="2" t="s">
        <v>31</v>
      </c>
      <c r="N432" s="2" t="s">
        <v>31</v>
      </c>
      <c r="O432" s="2" t="s">
        <v>31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2" t="s">
        <v>16</v>
      </c>
      <c r="V432" s="2" t="s">
        <v>19</v>
      </c>
      <c r="W432" s="2" t="s">
        <v>27</v>
      </c>
      <c r="X432" s="2" t="s">
        <v>16</v>
      </c>
      <c r="Y432" s="2" t="s">
        <v>19</v>
      </c>
      <c r="Z432" s="2" t="s">
        <v>25</v>
      </c>
      <c r="AA432" s="2" t="s">
        <v>22</v>
      </c>
      <c r="AB432" s="2" t="s">
        <v>28</v>
      </c>
      <c r="AC432" s="2" t="s">
        <v>19</v>
      </c>
      <c r="AD432" s="2" t="s">
        <v>24</v>
      </c>
      <c r="AE432" s="2" t="s">
        <v>16</v>
      </c>
      <c r="AF432" s="2" t="s">
        <v>28</v>
      </c>
      <c r="AG432" s="2" t="s">
        <v>16</v>
      </c>
      <c r="AH432" s="2" t="s">
        <v>25</v>
      </c>
      <c r="AI432" s="2" t="s">
        <v>26</v>
      </c>
      <c r="AJ432" s="2" t="s">
        <v>22</v>
      </c>
      <c r="AK432" s="2" t="s">
        <v>16</v>
      </c>
      <c r="AL432" s="2" t="s">
        <v>16</v>
      </c>
    </row>
    <row r="433" ht="14.25" customHeight="1">
      <c r="A433" s="17">
        <v>45933.0</v>
      </c>
      <c r="B433" s="2" t="s">
        <v>31</v>
      </c>
      <c r="C433" s="2" t="s">
        <v>31</v>
      </c>
      <c r="D433" s="2" t="s">
        <v>31</v>
      </c>
      <c r="E433" s="2" t="s">
        <v>31</v>
      </c>
      <c r="F433" s="2" t="s">
        <v>31</v>
      </c>
      <c r="G433" s="2" t="s">
        <v>31</v>
      </c>
      <c r="H433" s="2" t="s">
        <v>31</v>
      </c>
      <c r="I433" s="2" t="s">
        <v>31</v>
      </c>
      <c r="J433" s="2" t="s">
        <v>31</v>
      </c>
      <c r="K433" s="2" t="s">
        <v>31</v>
      </c>
      <c r="L433" s="2" t="s">
        <v>31</v>
      </c>
      <c r="M433" s="2" t="s">
        <v>31</v>
      </c>
      <c r="N433" s="2" t="s">
        <v>31</v>
      </c>
      <c r="O433" s="2" t="s">
        <v>31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2" t="s">
        <v>22</v>
      </c>
      <c r="V433" s="2" t="s">
        <v>20</v>
      </c>
      <c r="W433" s="2" t="s">
        <v>26</v>
      </c>
      <c r="X433" s="2" t="s">
        <v>27</v>
      </c>
      <c r="Y433" s="2" t="s">
        <v>17</v>
      </c>
      <c r="Z433" s="2" t="s">
        <v>16</v>
      </c>
      <c r="AA433" s="2" t="s">
        <v>28</v>
      </c>
      <c r="AB433" s="2" t="s">
        <v>27</v>
      </c>
      <c r="AC433" s="2" t="s">
        <v>27</v>
      </c>
      <c r="AD433" s="2" t="s">
        <v>16</v>
      </c>
      <c r="AE433" s="2" t="s">
        <v>23</v>
      </c>
      <c r="AF433" s="2" t="s">
        <v>21</v>
      </c>
      <c r="AG433" s="2" t="s">
        <v>22</v>
      </c>
      <c r="AH433" s="2" t="s">
        <v>19</v>
      </c>
      <c r="AI433" s="2" t="s">
        <v>28</v>
      </c>
      <c r="AJ433" s="2" t="s">
        <v>26</v>
      </c>
      <c r="AK433" s="2" t="s">
        <v>16</v>
      </c>
      <c r="AL433" s="2" t="s">
        <v>22</v>
      </c>
    </row>
    <row r="434" ht="14.25" customHeight="1">
      <c r="A434" s="17">
        <v>45934.0</v>
      </c>
      <c r="B434" s="2" t="s">
        <v>20</v>
      </c>
      <c r="C434" s="2" t="s">
        <v>33</v>
      </c>
      <c r="D434" s="2" t="s">
        <v>22</v>
      </c>
      <c r="E434" s="2" t="s">
        <v>20</v>
      </c>
      <c r="F434" s="2" t="s">
        <v>39</v>
      </c>
      <c r="G434" s="2" t="s">
        <v>16</v>
      </c>
      <c r="H434" s="2" t="s">
        <v>28</v>
      </c>
      <c r="I434" s="2" t="s">
        <v>22</v>
      </c>
      <c r="J434" s="2" t="s">
        <v>40</v>
      </c>
      <c r="K434" s="2" t="s">
        <v>28</v>
      </c>
      <c r="L434" s="2" t="s">
        <v>19</v>
      </c>
      <c r="M434" s="2" t="s">
        <v>35</v>
      </c>
      <c r="N434" s="2" t="s">
        <v>27</v>
      </c>
      <c r="O434" s="2" t="s">
        <v>29</v>
      </c>
      <c r="P434" s="2" t="s">
        <v>41</v>
      </c>
      <c r="Q434" s="2" t="s">
        <v>43</v>
      </c>
      <c r="R434" s="2" t="s">
        <v>28</v>
      </c>
      <c r="S434" s="2" t="s">
        <v>35</v>
      </c>
      <c r="T434" s="2" t="s">
        <v>18</v>
      </c>
      <c r="U434" s="2" t="s">
        <v>24</v>
      </c>
      <c r="V434" s="2" t="s">
        <v>19</v>
      </c>
      <c r="W434" s="2" t="s">
        <v>16</v>
      </c>
      <c r="X434" s="2" t="s">
        <v>22</v>
      </c>
      <c r="Y434" s="2" t="s">
        <v>24</v>
      </c>
      <c r="Z434" s="2" t="s">
        <v>24</v>
      </c>
      <c r="AA434" s="2" t="s">
        <v>19</v>
      </c>
      <c r="AB434" s="2" t="s">
        <v>16</v>
      </c>
      <c r="AC434" s="2" t="s">
        <v>17</v>
      </c>
      <c r="AD434" s="2" t="s">
        <v>20</v>
      </c>
      <c r="AE434" s="2" t="s">
        <v>25</v>
      </c>
      <c r="AF434" s="2" t="s">
        <v>24</v>
      </c>
      <c r="AG434" s="2" t="s">
        <v>26</v>
      </c>
      <c r="AH434" s="2" t="s">
        <v>28</v>
      </c>
      <c r="AI434" s="2" t="s">
        <v>16</v>
      </c>
      <c r="AJ434" s="2" t="s">
        <v>16</v>
      </c>
      <c r="AK434" s="2" t="s">
        <v>26</v>
      </c>
      <c r="AL434" s="2" t="s">
        <v>20</v>
      </c>
    </row>
    <row r="435" ht="14.25" customHeight="1">
      <c r="A435" s="17">
        <v>45935.0</v>
      </c>
      <c r="B435" s="2" t="s">
        <v>31</v>
      </c>
      <c r="C435" s="2" t="s">
        <v>31</v>
      </c>
      <c r="D435" s="2" t="s">
        <v>31</v>
      </c>
      <c r="E435" s="2" t="s">
        <v>31</v>
      </c>
      <c r="F435" s="2" t="s">
        <v>31</v>
      </c>
      <c r="G435" s="2" t="s">
        <v>31</v>
      </c>
      <c r="H435" s="2" t="s">
        <v>31</v>
      </c>
      <c r="I435" s="2" t="s">
        <v>31</v>
      </c>
      <c r="J435" s="2" t="s">
        <v>31</v>
      </c>
      <c r="K435" s="2" t="s">
        <v>31</v>
      </c>
      <c r="L435" s="2" t="s">
        <v>31</v>
      </c>
      <c r="M435" s="2" t="s">
        <v>31</v>
      </c>
      <c r="N435" s="2" t="s">
        <v>31</v>
      </c>
      <c r="O435" s="2" t="s">
        <v>31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2" t="s">
        <v>22</v>
      </c>
      <c r="V435" s="2" t="s">
        <v>22</v>
      </c>
      <c r="W435" s="2" t="s">
        <v>16</v>
      </c>
      <c r="X435" s="2" t="s">
        <v>25</v>
      </c>
      <c r="Y435" s="2" t="s">
        <v>28</v>
      </c>
      <c r="Z435" s="2" t="s">
        <v>28</v>
      </c>
      <c r="AA435" s="2" t="s">
        <v>27</v>
      </c>
      <c r="AB435" s="2" t="s">
        <v>18</v>
      </c>
      <c r="AC435" s="2" t="s">
        <v>16</v>
      </c>
      <c r="AD435" s="2" t="s">
        <v>20</v>
      </c>
      <c r="AE435" s="2" t="s">
        <v>23</v>
      </c>
      <c r="AF435" s="2" t="s">
        <v>21</v>
      </c>
      <c r="AG435" s="2" t="s">
        <v>17</v>
      </c>
      <c r="AH435" s="2" t="s">
        <v>28</v>
      </c>
      <c r="AI435" s="2" t="s">
        <v>27</v>
      </c>
      <c r="AJ435" s="2" t="s">
        <v>19</v>
      </c>
      <c r="AK435" s="2" t="s">
        <v>16</v>
      </c>
      <c r="AL435" s="2" t="s">
        <v>23</v>
      </c>
    </row>
    <row r="436" ht="14.25" customHeight="1">
      <c r="A436" s="17">
        <v>45936.0</v>
      </c>
      <c r="B436" s="2" t="s">
        <v>31</v>
      </c>
      <c r="C436" s="2" t="s">
        <v>31</v>
      </c>
      <c r="D436" s="2" t="s">
        <v>31</v>
      </c>
      <c r="E436" s="2" t="s">
        <v>31</v>
      </c>
      <c r="F436" s="2" t="s">
        <v>31</v>
      </c>
      <c r="G436" s="2" t="s">
        <v>31</v>
      </c>
      <c r="H436" s="2" t="s">
        <v>31</v>
      </c>
      <c r="I436" s="2" t="s">
        <v>31</v>
      </c>
      <c r="J436" s="2" t="s">
        <v>31</v>
      </c>
      <c r="K436" s="2" t="s">
        <v>31</v>
      </c>
      <c r="L436" s="2" t="s">
        <v>31</v>
      </c>
      <c r="M436" s="2" t="s">
        <v>31</v>
      </c>
      <c r="N436" s="2" t="s">
        <v>31</v>
      </c>
      <c r="O436" s="2" t="s">
        <v>31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2" t="s">
        <v>28</v>
      </c>
      <c r="V436" s="2" t="s">
        <v>18</v>
      </c>
      <c r="W436" s="2" t="s">
        <v>26</v>
      </c>
      <c r="X436" s="2" t="s">
        <v>27</v>
      </c>
      <c r="Y436" s="2" t="s">
        <v>26</v>
      </c>
      <c r="Z436" s="2" t="s">
        <v>16</v>
      </c>
      <c r="AA436" s="2" t="s">
        <v>23</v>
      </c>
      <c r="AB436" s="2" t="s">
        <v>19</v>
      </c>
      <c r="AC436" s="2" t="s">
        <v>23</v>
      </c>
      <c r="AD436" s="2" t="s">
        <v>22</v>
      </c>
      <c r="AE436" s="2" t="s">
        <v>19</v>
      </c>
      <c r="AF436" s="2" t="s">
        <v>16</v>
      </c>
      <c r="AG436" s="2" t="s">
        <v>20</v>
      </c>
      <c r="AH436" s="2" t="s">
        <v>26</v>
      </c>
      <c r="AI436" s="2" t="s">
        <v>27</v>
      </c>
      <c r="AJ436" s="2" t="s">
        <v>16</v>
      </c>
      <c r="AK436" s="2" t="s">
        <v>26</v>
      </c>
      <c r="AL436" s="2" t="s">
        <v>27</v>
      </c>
    </row>
    <row r="437" ht="14.25" customHeight="1">
      <c r="A437" s="17">
        <v>45937.0</v>
      </c>
      <c r="B437" s="2" t="s">
        <v>31</v>
      </c>
      <c r="C437" s="2" t="s">
        <v>31</v>
      </c>
      <c r="D437" s="2" t="s">
        <v>31</v>
      </c>
      <c r="E437" s="2" t="s">
        <v>31</v>
      </c>
      <c r="F437" s="2" t="s">
        <v>31</v>
      </c>
      <c r="G437" s="2" t="s">
        <v>31</v>
      </c>
      <c r="H437" s="2" t="s">
        <v>31</v>
      </c>
      <c r="I437" s="2" t="s">
        <v>31</v>
      </c>
      <c r="J437" s="2" t="s">
        <v>31</v>
      </c>
      <c r="K437" s="2" t="s">
        <v>31</v>
      </c>
      <c r="L437" s="2" t="s">
        <v>31</v>
      </c>
      <c r="M437" s="2" t="s">
        <v>31</v>
      </c>
      <c r="N437" s="2" t="s">
        <v>31</v>
      </c>
      <c r="O437" s="2" t="s">
        <v>31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2" t="s">
        <v>16</v>
      </c>
      <c r="V437" s="2" t="s">
        <v>16</v>
      </c>
      <c r="W437" s="2" t="s">
        <v>16</v>
      </c>
      <c r="X437" s="2" t="s">
        <v>16</v>
      </c>
      <c r="Y437" s="2" t="s">
        <v>16</v>
      </c>
      <c r="Z437" s="2" t="s">
        <v>20</v>
      </c>
      <c r="AA437" s="2" t="s">
        <v>19</v>
      </c>
      <c r="AB437" s="2" t="s">
        <v>17</v>
      </c>
      <c r="AC437" s="2" t="s">
        <v>16</v>
      </c>
      <c r="AD437" s="2" t="s">
        <v>17</v>
      </c>
      <c r="AE437" s="2" t="s">
        <v>23</v>
      </c>
      <c r="AF437" s="2" t="s">
        <v>16</v>
      </c>
      <c r="AG437" s="2" t="s">
        <v>25</v>
      </c>
      <c r="AH437" s="2" t="s">
        <v>16</v>
      </c>
      <c r="AI437" s="2" t="s">
        <v>26</v>
      </c>
      <c r="AJ437" s="2" t="s">
        <v>16</v>
      </c>
      <c r="AK437" s="2" t="s">
        <v>23</v>
      </c>
      <c r="AL437" s="2" t="s">
        <v>27</v>
      </c>
    </row>
    <row r="438" ht="14.25" customHeight="1">
      <c r="A438" s="17">
        <v>45938.0</v>
      </c>
      <c r="B438" s="2" t="s">
        <v>31</v>
      </c>
      <c r="C438" s="2" t="s">
        <v>31</v>
      </c>
      <c r="D438" s="2" t="s">
        <v>31</v>
      </c>
      <c r="E438" s="2" t="s">
        <v>31</v>
      </c>
      <c r="F438" s="2" t="s">
        <v>31</v>
      </c>
      <c r="G438" s="2" t="s">
        <v>31</v>
      </c>
      <c r="H438" s="2" t="s">
        <v>31</v>
      </c>
      <c r="I438" s="2" t="s">
        <v>31</v>
      </c>
      <c r="J438" s="2" t="s">
        <v>31</v>
      </c>
      <c r="K438" s="2" t="s">
        <v>31</v>
      </c>
      <c r="L438" s="2" t="s">
        <v>31</v>
      </c>
      <c r="M438" s="2" t="s">
        <v>31</v>
      </c>
      <c r="N438" s="2" t="s">
        <v>31</v>
      </c>
      <c r="O438" s="2" t="s">
        <v>31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2" t="s">
        <v>20</v>
      </c>
      <c r="V438" s="2" t="s">
        <v>28</v>
      </c>
      <c r="W438" s="2" t="s">
        <v>25</v>
      </c>
      <c r="X438" s="2" t="s">
        <v>16</v>
      </c>
      <c r="Y438" s="2" t="s">
        <v>25</v>
      </c>
      <c r="Z438" s="2" t="s">
        <v>25</v>
      </c>
      <c r="AA438" s="2" t="s">
        <v>16</v>
      </c>
      <c r="AB438" s="2" t="s">
        <v>26</v>
      </c>
      <c r="AC438" s="2" t="s">
        <v>26</v>
      </c>
      <c r="AD438" s="2" t="s">
        <v>24</v>
      </c>
      <c r="AE438" s="2" t="s">
        <v>16</v>
      </c>
      <c r="AF438" s="2" t="s">
        <v>27</v>
      </c>
      <c r="AG438" s="2" t="s">
        <v>25</v>
      </c>
      <c r="AH438" s="2" t="s">
        <v>26</v>
      </c>
      <c r="AI438" s="2" t="s">
        <v>18</v>
      </c>
      <c r="AJ438" s="2" t="s">
        <v>28</v>
      </c>
      <c r="AK438" s="2" t="s">
        <v>16</v>
      </c>
      <c r="AL438" s="2" t="s">
        <v>19</v>
      </c>
    </row>
    <row r="439" ht="14.25" customHeight="1">
      <c r="A439" s="17">
        <v>45939.0</v>
      </c>
      <c r="B439" s="2" t="s">
        <v>31</v>
      </c>
      <c r="C439" s="2" t="s">
        <v>31</v>
      </c>
      <c r="D439" s="2" t="s">
        <v>31</v>
      </c>
      <c r="E439" s="2" t="s">
        <v>31</v>
      </c>
      <c r="F439" s="2" t="s">
        <v>31</v>
      </c>
      <c r="G439" s="2" t="s">
        <v>31</v>
      </c>
      <c r="H439" s="2" t="s">
        <v>31</v>
      </c>
      <c r="I439" s="2" t="s">
        <v>31</v>
      </c>
      <c r="J439" s="2" t="s">
        <v>31</v>
      </c>
      <c r="K439" s="2" t="s">
        <v>31</v>
      </c>
      <c r="L439" s="2" t="s">
        <v>31</v>
      </c>
      <c r="M439" s="2" t="s">
        <v>31</v>
      </c>
      <c r="N439" s="2" t="s">
        <v>31</v>
      </c>
      <c r="O439" s="2" t="s">
        <v>31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2" t="s">
        <v>22</v>
      </c>
      <c r="V439" s="2" t="s">
        <v>24</v>
      </c>
      <c r="W439" s="2" t="s">
        <v>28</v>
      </c>
      <c r="X439" s="2" t="s">
        <v>19</v>
      </c>
      <c r="Y439" s="2" t="s">
        <v>19</v>
      </c>
      <c r="Z439" s="2" t="s">
        <v>19</v>
      </c>
      <c r="AA439" s="2" t="s">
        <v>27</v>
      </c>
      <c r="AB439" s="2" t="s">
        <v>28</v>
      </c>
      <c r="AC439" s="2" t="s">
        <v>16</v>
      </c>
      <c r="AD439" s="2" t="s">
        <v>22</v>
      </c>
      <c r="AE439" s="2" t="s">
        <v>19</v>
      </c>
      <c r="AF439" s="2" t="s">
        <v>16</v>
      </c>
      <c r="AG439" s="2" t="s">
        <v>16</v>
      </c>
      <c r="AH439" s="2" t="s">
        <v>19</v>
      </c>
      <c r="AI439" s="2" t="s">
        <v>19</v>
      </c>
      <c r="AJ439" s="2" t="s">
        <v>16</v>
      </c>
      <c r="AK439" s="2" t="s">
        <v>16</v>
      </c>
      <c r="AL439" s="2" t="s">
        <v>16</v>
      </c>
    </row>
    <row r="440" ht="14.25" customHeight="1">
      <c r="A440" s="17">
        <v>45940.0</v>
      </c>
      <c r="B440" s="2" t="s">
        <v>31</v>
      </c>
      <c r="C440" s="2" t="s">
        <v>31</v>
      </c>
      <c r="D440" s="2" t="s">
        <v>31</v>
      </c>
      <c r="E440" s="2" t="s">
        <v>31</v>
      </c>
      <c r="F440" s="2" t="s">
        <v>31</v>
      </c>
      <c r="G440" s="2" t="s">
        <v>31</v>
      </c>
      <c r="H440" s="2" t="s">
        <v>31</v>
      </c>
      <c r="I440" s="2" t="s">
        <v>31</v>
      </c>
      <c r="J440" s="2" t="s">
        <v>31</v>
      </c>
      <c r="K440" s="2" t="s">
        <v>31</v>
      </c>
      <c r="L440" s="2" t="s">
        <v>31</v>
      </c>
      <c r="M440" s="2" t="s">
        <v>31</v>
      </c>
      <c r="N440" s="2" t="s">
        <v>31</v>
      </c>
      <c r="O440" s="2" t="s">
        <v>31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2" t="s">
        <v>25</v>
      </c>
      <c r="V440" s="2" t="s">
        <v>27</v>
      </c>
      <c r="W440" s="2" t="s">
        <v>28</v>
      </c>
      <c r="X440" s="2" t="s">
        <v>16</v>
      </c>
      <c r="Y440" s="2" t="s">
        <v>16</v>
      </c>
      <c r="Z440" s="2" t="s">
        <v>16</v>
      </c>
      <c r="AA440" s="2" t="s">
        <v>21</v>
      </c>
      <c r="AB440" s="2" t="s">
        <v>16</v>
      </c>
      <c r="AC440" s="2" t="s">
        <v>16</v>
      </c>
      <c r="AD440" s="2" t="s">
        <v>22</v>
      </c>
      <c r="AE440" s="2" t="s">
        <v>16</v>
      </c>
      <c r="AF440" s="2" t="s">
        <v>24</v>
      </c>
      <c r="AG440" s="2" t="s">
        <v>24</v>
      </c>
      <c r="AH440" s="2" t="s">
        <v>24</v>
      </c>
      <c r="AI440" s="2" t="s">
        <v>21</v>
      </c>
      <c r="AJ440" s="2" t="s">
        <v>21</v>
      </c>
      <c r="AK440" s="2" t="s">
        <v>16</v>
      </c>
      <c r="AL440" s="2" t="s">
        <v>27</v>
      </c>
    </row>
    <row r="441" ht="14.25" customHeight="1">
      <c r="A441" s="17">
        <v>45941.0</v>
      </c>
      <c r="B441" s="2" t="s">
        <v>36</v>
      </c>
      <c r="C441" s="2" t="s">
        <v>16</v>
      </c>
      <c r="D441" s="2" t="s">
        <v>16</v>
      </c>
      <c r="E441" s="2" t="s">
        <v>26</v>
      </c>
      <c r="F441" s="2" t="s">
        <v>33</v>
      </c>
      <c r="G441" s="2" t="s">
        <v>27</v>
      </c>
      <c r="H441" s="2" t="s">
        <v>30</v>
      </c>
      <c r="I441" s="2" t="s">
        <v>33</v>
      </c>
      <c r="J441" s="2" t="s">
        <v>19</v>
      </c>
      <c r="K441" s="2" t="s">
        <v>39</v>
      </c>
      <c r="L441" s="2" t="s">
        <v>33</v>
      </c>
      <c r="M441" s="2" t="s">
        <v>17</v>
      </c>
      <c r="N441" s="2" t="s">
        <v>16</v>
      </c>
      <c r="O441" s="2" t="s">
        <v>28</v>
      </c>
      <c r="P441" s="2" t="s">
        <v>20</v>
      </c>
      <c r="Q441" s="2" t="s">
        <v>28</v>
      </c>
      <c r="R441" s="2" t="s">
        <v>16</v>
      </c>
      <c r="S441" s="2" t="s">
        <v>29</v>
      </c>
      <c r="T441" s="2" t="s">
        <v>36</v>
      </c>
      <c r="U441" s="2" t="s">
        <v>26</v>
      </c>
      <c r="V441" s="2" t="s">
        <v>16</v>
      </c>
      <c r="W441" s="2" t="s">
        <v>16</v>
      </c>
      <c r="X441" s="2" t="s">
        <v>17</v>
      </c>
      <c r="Y441" s="2" t="s">
        <v>26</v>
      </c>
      <c r="Z441" s="2" t="s">
        <v>16</v>
      </c>
      <c r="AA441" s="2" t="s">
        <v>27</v>
      </c>
      <c r="AB441" s="2" t="s">
        <v>21</v>
      </c>
      <c r="AC441" s="2" t="s">
        <v>22</v>
      </c>
      <c r="AD441" s="2" t="s">
        <v>22</v>
      </c>
      <c r="AE441" s="2" t="s">
        <v>27</v>
      </c>
      <c r="AF441" s="2" t="s">
        <v>28</v>
      </c>
      <c r="AG441" s="2" t="s">
        <v>21</v>
      </c>
      <c r="AH441" s="2" t="s">
        <v>21</v>
      </c>
      <c r="AI441" s="2" t="s">
        <v>27</v>
      </c>
      <c r="AJ441" s="2" t="s">
        <v>23</v>
      </c>
      <c r="AK441" s="2" t="s">
        <v>19</v>
      </c>
      <c r="AL441" s="2" t="s">
        <v>22</v>
      </c>
    </row>
    <row r="442" ht="14.25" customHeight="1">
      <c r="A442" s="17">
        <v>45942.0</v>
      </c>
      <c r="B442" s="2" t="s">
        <v>31</v>
      </c>
      <c r="C442" s="2" t="s">
        <v>31</v>
      </c>
      <c r="D442" s="2" t="s">
        <v>31</v>
      </c>
      <c r="E442" s="2" t="s">
        <v>31</v>
      </c>
      <c r="F442" s="2" t="s">
        <v>31</v>
      </c>
      <c r="G442" s="2" t="s">
        <v>31</v>
      </c>
      <c r="H442" s="2" t="s">
        <v>31</v>
      </c>
      <c r="I442" s="2" t="s">
        <v>31</v>
      </c>
      <c r="J442" s="2" t="s">
        <v>31</v>
      </c>
      <c r="K442" s="2" t="s">
        <v>31</v>
      </c>
      <c r="L442" s="2" t="s">
        <v>31</v>
      </c>
      <c r="M442" s="2" t="s">
        <v>31</v>
      </c>
      <c r="N442" s="2" t="s">
        <v>31</v>
      </c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2" t="s">
        <v>25</v>
      </c>
      <c r="V442" s="2" t="s">
        <v>24</v>
      </c>
      <c r="W442" s="2" t="s">
        <v>19</v>
      </c>
      <c r="X442" s="2" t="s">
        <v>16</v>
      </c>
      <c r="Y442" s="2" t="s">
        <v>19</v>
      </c>
      <c r="Z442" s="2" t="s">
        <v>18</v>
      </c>
      <c r="AA442" s="2" t="s">
        <v>17</v>
      </c>
      <c r="AB442" s="2" t="s">
        <v>19</v>
      </c>
      <c r="AC442" s="2" t="s">
        <v>23</v>
      </c>
      <c r="AD442" s="2" t="s">
        <v>16</v>
      </c>
      <c r="AE442" s="2" t="s">
        <v>25</v>
      </c>
      <c r="AF442" s="2" t="s">
        <v>19</v>
      </c>
      <c r="AG442" s="2" t="s">
        <v>28</v>
      </c>
      <c r="AH442" s="2" t="s">
        <v>19</v>
      </c>
      <c r="AI442" s="2" t="s">
        <v>24</v>
      </c>
      <c r="AJ442" s="2" t="s">
        <v>28</v>
      </c>
      <c r="AK442" s="2" t="s">
        <v>18</v>
      </c>
      <c r="AL442" s="2" t="s">
        <v>20</v>
      </c>
    </row>
    <row r="443" ht="14.25" customHeight="1">
      <c r="A443" s="17">
        <v>45943.0</v>
      </c>
      <c r="B443" s="2" t="s">
        <v>31</v>
      </c>
      <c r="C443" s="2" t="s">
        <v>31</v>
      </c>
      <c r="D443" s="2" t="s">
        <v>31</v>
      </c>
      <c r="E443" s="2" t="s">
        <v>31</v>
      </c>
      <c r="F443" s="2" t="s">
        <v>31</v>
      </c>
      <c r="G443" s="2" t="s">
        <v>31</v>
      </c>
      <c r="H443" s="2" t="s">
        <v>31</v>
      </c>
      <c r="I443" s="2" t="s">
        <v>31</v>
      </c>
      <c r="J443" s="2" t="s">
        <v>31</v>
      </c>
      <c r="K443" s="2" t="s">
        <v>31</v>
      </c>
      <c r="L443" s="2" t="s">
        <v>31</v>
      </c>
      <c r="M443" s="2" t="s">
        <v>31</v>
      </c>
      <c r="N443" s="2" t="s">
        <v>31</v>
      </c>
      <c r="O443" s="2" t="s">
        <v>31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2" t="s">
        <v>16</v>
      </c>
      <c r="V443" s="2" t="s">
        <v>16</v>
      </c>
      <c r="W443" s="2" t="s">
        <v>21</v>
      </c>
      <c r="X443" s="2" t="s">
        <v>25</v>
      </c>
      <c r="Y443" s="2" t="s">
        <v>24</v>
      </c>
      <c r="Z443" s="2" t="s">
        <v>16</v>
      </c>
      <c r="AA443" s="2" t="s">
        <v>17</v>
      </c>
      <c r="AB443" s="2" t="s">
        <v>21</v>
      </c>
      <c r="AC443" s="2" t="s">
        <v>16</v>
      </c>
      <c r="AD443" s="2" t="s">
        <v>23</v>
      </c>
      <c r="AE443" s="2" t="s">
        <v>24</v>
      </c>
      <c r="AF443" s="2" t="s">
        <v>22</v>
      </c>
      <c r="AG443" s="2" t="s">
        <v>25</v>
      </c>
      <c r="AH443" s="2" t="s">
        <v>16</v>
      </c>
      <c r="AI443" s="2" t="s">
        <v>16</v>
      </c>
      <c r="AJ443" s="2" t="s">
        <v>19</v>
      </c>
      <c r="AK443" s="2" t="s">
        <v>23</v>
      </c>
      <c r="AL443" s="2" t="s">
        <v>17</v>
      </c>
    </row>
    <row r="444" ht="14.25" customHeight="1">
      <c r="A444" s="17">
        <v>45944.0</v>
      </c>
      <c r="B444" s="2" t="s">
        <v>31</v>
      </c>
      <c r="C444" s="2" t="s">
        <v>31</v>
      </c>
      <c r="D444" s="2" t="s">
        <v>31</v>
      </c>
      <c r="E444" s="2" t="s">
        <v>31</v>
      </c>
      <c r="F444" s="2" t="s">
        <v>31</v>
      </c>
      <c r="G444" s="2" t="s">
        <v>31</v>
      </c>
      <c r="H444" s="2" t="s">
        <v>31</v>
      </c>
      <c r="I444" s="2" t="s">
        <v>31</v>
      </c>
      <c r="J444" s="2" t="s">
        <v>31</v>
      </c>
      <c r="K444" s="2" t="s">
        <v>31</v>
      </c>
      <c r="L444" s="2" t="s">
        <v>31</v>
      </c>
      <c r="M444" s="2" t="s">
        <v>31</v>
      </c>
      <c r="N444" s="2" t="s">
        <v>31</v>
      </c>
      <c r="O444" s="2" t="s">
        <v>31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2" t="s">
        <v>24</v>
      </c>
      <c r="V444" s="2" t="s">
        <v>25</v>
      </c>
      <c r="W444" s="2" t="s">
        <v>16</v>
      </c>
      <c r="X444" s="2" t="s">
        <v>16</v>
      </c>
      <c r="Y444" s="2" t="s">
        <v>20</v>
      </c>
      <c r="Z444" s="2" t="s">
        <v>21</v>
      </c>
      <c r="AA444" s="2" t="s">
        <v>16</v>
      </c>
      <c r="AB444" s="2" t="s">
        <v>19</v>
      </c>
      <c r="AC444" s="2" t="s">
        <v>19</v>
      </c>
      <c r="AD444" s="2" t="s">
        <v>19</v>
      </c>
      <c r="AE444" s="2" t="s">
        <v>20</v>
      </c>
      <c r="AF444" s="2" t="s">
        <v>19</v>
      </c>
      <c r="AG444" s="2" t="s">
        <v>26</v>
      </c>
      <c r="AH444" s="2" t="s">
        <v>17</v>
      </c>
      <c r="AI444" s="2" t="s">
        <v>16</v>
      </c>
      <c r="AJ444" s="2" t="s">
        <v>26</v>
      </c>
      <c r="AK444" s="2" t="s">
        <v>21</v>
      </c>
      <c r="AL444" s="2" t="s">
        <v>16</v>
      </c>
    </row>
    <row r="445" ht="14.25" customHeight="1">
      <c r="A445" s="17">
        <v>45945.0</v>
      </c>
      <c r="B445" s="2" t="s">
        <v>31</v>
      </c>
      <c r="C445" s="2" t="s">
        <v>31</v>
      </c>
      <c r="D445" s="2" t="s">
        <v>31</v>
      </c>
      <c r="E445" s="2" t="s">
        <v>31</v>
      </c>
      <c r="F445" s="2" t="s">
        <v>31</v>
      </c>
      <c r="G445" s="2" t="s">
        <v>31</v>
      </c>
      <c r="H445" s="2" t="s">
        <v>31</v>
      </c>
      <c r="I445" s="2" t="s">
        <v>31</v>
      </c>
      <c r="J445" s="2" t="s">
        <v>31</v>
      </c>
      <c r="K445" s="2" t="s">
        <v>31</v>
      </c>
      <c r="L445" s="2" t="s">
        <v>31</v>
      </c>
      <c r="M445" s="2" t="s">
        <v>31</v>
      </c>
      <c r="N445" s="2" t="s">
        <v>31</v>
      </c>
      <c r="O445" s="2" t="s">
        <v>31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2" t="s">
        <v>16</v>
      </c>
      <c r="V445" s="2" t="s">
        <v>17</v>
      </c>
      <c r="W445" s="2" t="s">
        <v>27</v>
      </c>
      <c r="X445" s="2" t="s">
        <v>16</v>
      </c>
      <c r="Y445" s="2" t="s">
        <v>26</v>
      </c>
      <c r="Z445" s="2" t="s">
        <v>24</v>
      </c>
      <c r="AA445" s="2" t="s">
        <v>22</v>
      </c>
      <c r="AB445" s="2" t="s">
        <v>16</v>
      </c>
      <c r="AC445" s="2" t="s">
        <v>28</v>
      </c>
      <c r="AD445" s="2" t="s">
        <v>20</v>
      </c>
      <c r="AE445" s="2" t="s">
        <v>16</v>
      </c>
      <c r="AF445" s="2" t="s">
        <v>24</v>
      </c>
      <c r="AG445" s="2" t="s">
        <v>18</v>
      </c>
      <c r="AH445" s="2" t="s">
        <v>18</v>
      </c>
      <c r="AI445" s="2" t="s">
        <v>17</v>
      </c>
      <c r="AJ445" s="2" t="s">
        <v>17</v>
      </c>
      <c r="AK445" s="2" t="s">
        <v>24</v>
      </c>
      <c r="AL445" s="2" t="s">
        <v>20</v>
      </c>
    </row>
    <row r="446" ht="14.25" customHeight="1">
      <c r="A446" s="17">
        <v>45946.0</v>
      </c>
      <c r="B446" s="2" t="s">
        <v>31</v>
      </c>
      <c r="C446" s="2" t="s">
        <v>31</v>
      </c>
      <c r="D446" s="2" t="s">
        <v>31</v>
      </c>
      <c r="E446" s="2" t="s">
        <v>31</v>
      </c>
      <c r="F446" s="2" t="s">
        <v>31</v>
      </c>
      <c r="G446" s="2" t="s">
        <v>31</v>
      </c>
      <c r="H446" s="2" t="s">
        <v>31</v>
      </c>
      <c r="I446" s="2" t="s">
        <v>31</v>
      </c>
      <c r="J446" s="2" t="s">
        <v>31</v>
      </c>
      <c r="K446" s="2" t="s">
        <v>31</v>
      </c>
      <c r="L446" s="2" t="s">
        <v>31</v>
      </c>
      <c r="M446" s="2" t="s">
        <v>31</v>
      </c>
      <c r="N446" s="2" t="s">
        <v>31</v>
      </c>
      <c r="O446" s="2" t="s">
        <v>31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2" t="s">
        <v>24</v>
      </c>
      <c r="V446" s="2" t="s">
        <v>24</v>
      </c>
      <c r="W446" s="2" t="s">
        <v>26</v>
      </c>
      <c r="X446" s="2" t="s">
        <v>26</v>
      </c>
      <c r="Y446" s="2" t="s">
        <v>25</v>
      </c>
      <c r="Z446" s="2" t="s">
        <v>16</v>
      </c>
      <c r="AA446" s="2" t="s">
        <v>25</v>
      </c>
      <c r="AB446" s="2" t="s">
        <v>24</v>
      </c>
      <c r="AC446" s="2" t="s">
        <v>20</v>
      </c>
      <c r="AD446" s="2" t="s">
        <v>16</v>
      </c>
      <c r="AE446" s="2" t="s">
        <v>28</v>
      </c>
      <c r="AF446" s="2" t="s">
        <v>19</v>
      </c>
      <c r="AG446" s="2" t="s">
        <v>26</v>
      </c>
      <c r="AH446" s="2" t="s">
        <v>25</v>
      </c>
      <c r="AI446" s="2" t="s">
        <v>16</v>
      </c>
      <c r="AJ446" s="2" t="s">
        <v>21</v>
      </c>
      <c r="AK446" s="2" t="s">
        <v>16</v>
      </c>
      <c r="AL446" s="2" t="s">
        <v>21</v>
      </c>
    </row>
    <row r="447" ht="14.25" customHeight="1">
      <c r="A447" s="17">
        <v>45947.0</v>
      </c>
      <c r="B447" s="2" t="s">
        <v>31</v>
      </c>
      <c r="C447" s="2" t="s">
        <v>31</v>
      </c>
      <c r="D447" s="2" t="s">
        <v>31</v>
      </c>
      <c r="E447" s="2" t="s">
        <v>31</v>
      </c>
      <c r="F447" s="2" t="s">
        <v>31</v>
      </c>
      <c r="G447" s="2" t="s">
        <v>31</v>
      </c>
      <c r="H447" s="2" t="s">
        <v>31</v>
      </c>
      <c r="I447" s="2" t="s">
        <v>31</v>
      </c>
      <c r="J447" s="2" t="s">
        <v>31</v>
      </c>
      <c r="K447" s="2" t="s">
        <v>31</v>
      </c>
      <c r="L447" s="2" t="s">
        <v>31</v>
      </c>
      <c r="M447" s="2" t="s">
        <v>31</v>
      </c>
      <c r="N447" s="2" t="s">
        <v>31</v>
      </c>
      <c r="O447" s="2" t="s">
        <v>31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2" t="s">
        <v>26</v>
      </c>
      <c r="V447" s="2" t="s">
        <v>16</v>
      </c>
      <c r="W447" s="2" t="s">
        <v>24</v>
      </c>
      <c r="X447" s="2" t="s">
        <v>19</v>
      </c>
      <c r="Y447" s="2" t="s">
        <v>19</v>
      </c>
      <c r="Z447" s="2" t="s">
        <v>20</v>
      </c>
      <c r="AA447" s="2" t="s">
        <v>17</v>
      </c>
      <c r="AB447" s="2" t="s">
        <v>21</v>
      </c>
      <c r="AC447" s="2" t="s">
        <v>16</v>
      </c>
      <c r="AD447" s="2" t="s">
        <v>20</v>
      </c>
      <c r="AE447" s="2" t="s">
        <v>16</v>
      </c>
      <c r="AF447" s="2" t="s">
        <v>19</v>
      </c>
      <c r="AG447" s="2" t="s">
        <v>16</v>
      </c>
      <c r="AH447" s="2" t="s">
        <v>24</v>
      </c>
      <c r="AI447" s="2" t="s">
        <v>27</v>
      </c>
      <c r="AJ447" s="2" t="s">
        <v>22</v>
      </c>
      <c r="AK447" s="2" t="s">
        <v>16</v>
      </c>
      <c r="AL447" s="2" t="s">
        <v>19</v>
      </c>
    </row>
    <row r="448" ht="14.25" customHeight="1">
      <c r="A448" s="17">
        <v>45948.0</v>
      </c>
      <c r="B448" s="2" t="s">
        <v>21</v>
      </c>
      <c r="C448" s="2" t="s">
        <v>35</v>
      </c>
      <c r="D448" s="2" t="s">
        <v>33</v>
      </c>
      <c r="E448" s="2" t="s">
        <v>24</v>
      </c>
      <c r="F448" s="2" t="s">
        <v>21</v>
      </c>
      <c r="G448" s="2" t="s">
        <v>27</v>
      </c>
      <c r="H448" s="2" t="s">
        <v>21</v>
      </c>
      <c r="I448" s="2" t="s">
        <v>16</v>
      </c>
      <c r="J448" s="2" t="s">
        <v>20</v>
      </c>
      <c r="K448" s="2" t="s">
        <v>43</v>
      </c>
      <c r="L448" s="2" t="s">
        <v>26</v>
      </c>
      <c r="M448" s="2" t="s">
        <v>18</v>
      </c>
      <c r="N448" s="2" t="s">
        <v>16</v>
      </c>
      <c r="O448" s="2" t="s">
        <v>33</v>
      </c>
      <c r="P448" s="2" t="s">
        <v>23</v>
      </c>
      <c r="Q448" s="2" t="s">
        <v>43</v>
      </c>
      <c r="R448" s="2" t="s">
        <v>16</v>
      </c>
      <c r="S448" s="2" t="s">
        <v>39</v>
      </c>
      <c r="T448" s="2" t="s">
        <v>27</v>
      </c>
      <c r="U448" s="2" t="s">
        <v>16</v>
      </c>
      <c r="V448" s="2" t="s">
        <v>19</v>
      </c>
      <c r="W448" s="2" t="s">
        <v>20</v>
      </c>
      <c r="X448" s="2" t="s">
        <v>17</v>
      </c>
      <c r="Y448" s="2" t="s">
        <v>20</v>
      </c>
      <c r="Z448" s="2" t="s">
        <v>16</v>
      </c>
      <c r="AA448" s="2" t="s">
        <v>16</v>
      </c>
      <c r="AB448" s="2" t="s">
        <v>22</v>
      </c>
      <c r="AC448" s="2" t="s">
        <v>17</v>
      </c>
      <c r="AD448" s="2" t="s">
        <v>21</v>
      </c>
      <c r="AE448" s="2" t="s">
        <v>16</v>
      </c>
      <c r="AF448" s="2" t="s">
        <v>18</v>
      </c>
      <c r="AG448" s="2" t="s">
        <v>16</v>
      </c>
      <c r="AH448" s="2" t="s">
        <v>16</v>
      </c>
      <c r="AI448" s="2" t="s">
        <v>28</v>
      </c>
      <c r="AJ448" s="2" t="s">
        <v>17</v>
      </c>
      <c r="AK448" s="2" t="s">
        <v>16</v>
      </c>
      <c r="AL448" s="2" t="s">
        <v>21</v>
      </c>
    </row>
    <row r="449" ht="14.25" customHeight="1">
      <c r="A449" s="17">
        <v>45949.0</v>
      </c>
      <c r="B449" s="2" t="s">
        <v>31</v>
      </c>
      <c r="C449" s="2" t="s">
        <v>31</v>
      </c>
      <c r="D449" s="2" t="s">
        <v>31</v>
      </c>
      <c r="E449" s="2" t="s">
        <v>31</v>
      </c>
      <c r="F449" s="2" t="s">
        <v>31</v>
      </c>
      <c r="G449" s="2" t="s">
        <v>31</v>
      </c>
      <c r="H449" s="2" t="s">
        <v>31</v>
      </c>
      <c r="I449" s="2" t="s">
        <v>31</v>
      </c>
      <c r="J449" s="2" t="s">
        <v>31</v>
      </c>
      <c r="K449" s="2" t="s">
        <v>31</v>
      </c>
      <c r="L449" s="2" t="s">
        <v>31</v>
      </c>
      <c r="M449" s="2" t="s">
        <v>31</v>
      </c>
      <c r="N449" s="2" t="s">
        <v>31</v>
      </c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2" t="s">
        <v>26</v>
      </c>
      <c r="V449" s="2" t="s">
        <v>20</v>
      </c>
      <c r="W449" s="2" t="s">
        <v>28</v>
      </c>
      <c r="X449" s="2" t="s">
        <v>16</v>
      </c>
      <c r="Y449" s="2" t="s">
        <v>25</v>
      </c>
      <c r="Z449" s="2" t="s">
        <v>20</v>
      </c>
      <c r="AA449" s="2" t="s">
        <v>19</v>
      </c>
      <c r="AB449" s="2" t="s">
        <v>20</v>
      </c>
      <c r="AC449" s="2" t="s">
        <v>21</v>
      </c>
      <c r="AD449" s="2" t="s">
        <v>16</v>
      </c>
      <c r="AE449" s="2" t="s">
        <v>16</v>
      </c>
      <c r="AF449" s="2" t="s">
        <v>25</v>
      </c>
      <c r="AG449" s="2" t="s">
        <v>19</v>
      </c>
      <c r="AH449" s="2" t="s">
        <v>17</v>
      </c>
      <c r="AI449" s="2" t="s">
        <v>16</v>
      </c>
      <c r="AJ449" s="2" t="s">
        <v>17</v>
      </c>
      <c r="AK449" s="2" t="s">
        <v>25</v>
      </c>
      <c r="AL449" s="2" t="s">
        <v>24</v>
      </c>
    </row>
    <row r="450" ht="14.25" customHeight="1">
      <c r="A450" s="17">
        <v>45950.0</v>
      </c>
      <c r="B450" s="2" t="s">
        <v>31</v>
      </c>
      <c r="C450" s="2" t="s">
        <v>31</v>
      </c>
      <c r="D450" s="2" t="s">
        <v>31</v>
      </c>
      <c r="E450" s="2" t="s">
        <v>31</v>
      </c>
      <c r="F450" s="2" t="s">
        <v>31</v>
      </c>
      <c r="G450" s="2" t="s">
        <v>31</v>
      </c>
      <c r="H450" s="2" t="s">
        <v>31</v>
      </c>
      <c r="I450" s="2" t="s">
        <v>31</v>
      </c>
      <c r="J450" s="2" t="s">
        <v>31</v>
      </c>
      <c r="K450" s="2" t="s">
        <v>31</v>
      </c>
      <c r="L450" s="2" t="s">
        <v>31</v>
      </c>
      <c r="M450" s="2" t="s">
        <v>31</v>
      </c>
      <c r="N450" s="2" t="s">
        <v>31</v>
      </c>
      <c r="O450" s="2" t="s">
        <v>31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2" t="s">
        <v>16</v>
      </c>
      <c r="V450" s="2" t="s">
        <v>23</v>
      </c>
      <c r="W450" s="2" t="s">
        <v>24</v>
      </c>
      <c r="X450" s="2" t="s">
        <v>17</v>
      </c>
      <c r="Y450" s="2" t="s">
        <v>16</v>
      </c>
      <c r="Z450" s="2" t="s">
        <v>28</v>
      </c>
      <c r="AA450" s="2" t="s">
        <v>22</v>
      </c>
      <c r="AB450" s="2" t="s">
        <v>18</v>
      </c>
      <c r="AC450" s="2" t="s">
        <v>19</v>
      </c>
      <c r="AD450" s="2" t="s">
        <v>26</v>
      </c>
      <c r="AE450" s="2" t="s">
        <v>16</v>
      </c>
      <c r="AF450" s="2" t="s">
        <v>17</v>
      </c>
      <c r="AG450" s="2" t="s">
        <v>25</v>
      </c>
      <c r="AH450" s="2" t="s">
        <v>16</v>
      </c>
      <c r="AI450" s="2" t="s">
        <v>16</v>
      </c>
      <c r="AJ450" s="2" t="s">
        <v>16</v>
      </c>
      <c r="AK450" s="2" t="s">
        <v>25</v>
      </c>
      <c r="AL450" s="2" t="s">
        <v>20</v>
      </c>
    </row>
    <row r="451" ht="14.25" customHeight="1">
      <c r="A451" s="17">
        <v>45951.0</v>
      </c>
      <c r="B451" s="2" t="s">
        <v>31</v>
      </c>
      <c r="C451" s="2" t="s">
        <v>31</v>
      </c>
      <c r="D451" s="2" t="s">
        <v>31</v>
      </c>
      <c r="E451" s="2" t="s">
        <v>31</v>
      </c>
      <c r="F451" s="2" t="s">
        <v>31</v>
      </c>
      <c r="G451" s="2" t="s">
        <v>31</v>
      </c>
      <c r="H451" s="2" t="s">
        <v>31</v>
      </c>
      <c r="I451" s="2" t="s">
        <v>31</v>
      </c>
      <c r="J451" s="2" t="s">
        <v>31</v>
      </c>
      <c r="K451" s="2" t="s">
        <v>31</v>
      </c>
      <c r="L451" s="2" t="s">
        <v>31</v>
      </c>
      <c r="M451" s="2" t="s">
        <v>31</v>
      </c>
      <c r="N451" s="2" t="s">
        <v>31</v>
      </c>
      <c r="O451" s="2" t="s">
        <v>31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2" t="s">
        <v>17</v>
      </c>
      <c r="V451" s="2" t="s">
        <v>19</v>
      </c>
      <c r="W451" s="2" t="s">
        <v>28</v>
      </c>
      <c r="X451" s="2" t="s">
        <v>23</v>
      </c>
      <c r="Y451" s="2" t="s">
        <v>16</v>
      </c>
      <c r="Z451" s="2" t="s">
        <v>19</v>
      </c>
      <c r="AA451" s="2" t="s">
        <v>16</v>
      </c>
      <c r="AB451" s="2" t="s">
        <v>27</v>
      </c>
      <c r="AC451" s="2" t="s">
        <v>20</v>
      </c>
      <c r="AD451" s="2" t="s">
        <v>16</v>
      </c>
      <c r="AE451" s="2" t="s">
        <v>26</v>
      </c>
      <c r="AF451" s="2" t="s">
        <v>17</v>
      </c>
      <c r="AG451" s="2" t="s">
        <v>27</v>
      </c>
      <c r="AH451" s="2" t="s">
        <v>16</v>
      </c>
      <c r="AI451" s="2" t="s">
        <v>25</v>
      </c>
      <c r="AJ451" s="2" t="s">
        <v>16</v>
      </c>
      <c r="AK451" s="2" t="s">
        <v>16</v>
      </c>
      <c r="AL451" s="2" t="s">
        <v>21</v>
      </c>
    </row>
    <row r="452" ht="14.25" customHeight="1">
      <c r="A452" s="17">
        <v>45952.0</v>
      </c>
      <c r="B452" s="2" t="s">
        <v>31</v>
      </c>
      <c r="C452" s="2" t="s">
        <v>31</v>
      </c>
      <c r="D452" s="2" t="s">
        <v>31</v>
      </c>
      <c r="E452" s="2" t="s">
        <v>31</v>
      </c>
      <c r="F452" s="2" t="s">
        <v>31</v>
      </c>
      <c r="G452" s="2" t="s">
        <v>31</v>
      </c>
      <c r="H452" s="2" t="s">
        <v>31</v>
      </c>
      <c r="I452" s="2" t="s">
        <v>31</v>
      </c>
      <c r="J452" s="2" t="s">
        <v>31</v>
      </c>
      <c r="K452" s="2" t="s">
        <v>31</v>
      </c>
      <c r="L452" s="2" t="s">
        <v>31</v>
      </c>
      <c r="M452" s="2" t="s">
        <v>31</v>
      </c>
      <c r="N452" s="2" t="s">
        <v>31</v>
      </c>
      <c r="O452" s="2" t="s">
        <v>31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2" t="s">
        <v>24</v>
      </c>
      <c r="V452" s="2" t="s">
        <v>16</v>
      </c>
      <c r="W452" s="2" t="s">
        <v>21</v>
      </c>
      <c r="X452" s="2" t="s">
        <v>26</v>
      </c>
      <c r="Y452" s="2" t="s">
        <v>16</v>
      </c>
      <c r="Z452" s="2" t="s">
        <v>28</v>
      </c>
      <c r="AA452" s="2" t="s">
        <v>16</v>
      </c>
      <c r="AB452" s="2" t="s">
        <v>20</v>
      </c>
      <c r="AC452" s="2" t="s">
        <v>16</v>
      </c>
      <c r="AD452" s="2" t="s">
        <v>28</v>
      </c>
      <c r="AE452" s="2" t="s">
        <v>21</v>
      </c>
      <c r="AF452" s="2" t="s">
        <v>26</v>
      </c>
      <c r="AG452" s="2" t="s">
        <v>26</v>
      </c>
      <c r="AH452" s="2" t="s">
        <v>17</v>
      </c>
      <c r="AI452" s="2" t="s">
        <v>19</v>
      </c>
      <c r="AJ452" s="2" t="s">
        <v>27</v>
      </c>
      <c r="AK452" s="2" t="s">
        <v>22</v>
      </c>
      <c r="AL452" s="2" t="s">
        <v>16</v>
      </c>
    </row>
    <row r="453" ht="14.25" customHeight="1">
      <c r="A453" s="17">
        <v>45953.0</v>
      </c>
      <c r="B453" s="2" t="s">
        <v>31</v>
      </c>
      <c r="C453" s="2" t="s">
        <v>31</v>
      </c>
      <c r="D453" s="2" t="s">
        <v>31</v>
      </c>
      <c r="E453" s="2" t="s">
        <v>31</v>
      </c>
      <c r="F453" s="2" t="s">
        <v>31</v>
      </c>
      <c r="G453" s="2" t="s">
        <v>31</v>
      </c>
      <c r="H453" s="2" t="s">
        <v>31</v>
      </c>
      <c r="I453" s="2" t="s">
        <v>31</v>
      </c>
      <c r="J453" s="2" t="s">
        <v>31</v>
      </c>
      <c r="K453" s="2" t="s">
        <v>31</v>
      </c>
      <c r="L453" s="2" t="s">
        <v>31</v>
      </c>
      <c r="M453" s="2" t="s">
        <v>31</v>
      </c>
      <c r="N453" s="2" t="s">
        <v>31</v>
      </c>
      <c r="O453" s="2" t="s">
        <v>31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2" t="s">
        <v>20</v>
      </c>
      <c r="V453" s="2" t="s">
        <v>28</v>
      </c>
      <c r="W453" s="2" t="s">
        <v>19</v>
      </c>
      <c r="X453" s="2" t="s">
        <v>18</v>
      </c>
      <c r="Y453" s="2" t="s">
        <v>16</v>
      </c>
      <c r="Z453" s="2" t="s">
        <v>22</v>
      </c>
      <c r="AA453" s="2" t="s">
        <v>24</v>
      </c>
      <c r="AB453" s="2" t="s">
        <v>27</v>
      </c>
      <c r="AC453" s="2" t="s">
        <v>27</v>
      </c>
      <c r="AD453" s="2" t="s">
        <v>22</v>
      </c>
      <c r="AE453" s="2" t="s">
        <v>21</v>
      </c>
      <c r="AF453" s="2" t="s">
        <v>27</v>
      </c>
      <c r="AG453" s="2" t="s">
        <v>22</v>
      </c>
      <c r="AH453" s="2" t="s">
        <v>16</v>
      </c>
      <c r="AI453" s="2" t="s">
        <v>20</v>
      </c>
      <c r="AJ453" s="2" t="s">
        <v>16</v>
      </c>
      <c r="AK453" s="2" t="s">
        <v>16</v>
      </c>
      <c r="AL453" s="2" t="s">
        <v>28</v>
      </c>
    </row>
    <row r="454" ht="14.25" customHeight="1">
      <c r="A454" s="17">
        <v>45954.0</v>
      </c>
      <c r="B454" s="2" t="s">
        <v>31</v>
      </c>
      <c r="C454" s="2" t="s">
        <v>31</v>
      </c>
      <c r="D454" s="2" t="s">
        <v>31</v>
      </c>
      <c r="E454" s="2" t="s">
        <v>31</v>
      </c>
      <c r="F454" s="2" t="s">
        <v>31</v>
      </c>
      <c r="G454" s="2" t="s">
        <v>31</v>
      </c>
      <c r="H454" s="2" t="s">
        <v>31</v>
      </c>
      <c r="I454" s="2" t="s">
        <v>31</v>
      </c>
      <c r="J454" s="2" t="s">
        <v>31</v>
      </c>
      <c r="K454" s="2" t="s">
        <v>31</v>
      </c>
      <c r="L454" s="2" t="s">
        <v>31</v>
      </c>
      <c r="M454" s="2" t="s">
        <v>31</v>
      </c>
      <c r="N454" s="2" t="s">
        <v>31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2" t="s">
        <v>27</v>
      </c>
      <c r="V454" s="2" t="s">
        <v>26</v>
      </c>
      <c r="W454" s="2" t="s">
        <v>27</v>
      </c>
      <c r="X454" s="2" t="s">
        <v>26</v>
      </c>
      <c r="Y454" s="2" t="s">
        <v>27</v>
      </c>
      <c r="Z454" s="2" t="s">
        <v>24</v>
      </c>
      <c r="AA454" s="2" t="s">
        <v>27</v>
      </c>
      <c r="AB454" s="2" t="s">
        <v>17</v>
      </c>
      <c r="AC454" s="2" t="s">
        <v>18</v>
      </c>
      <c r="AD454" s="2" t="s">
        <v>22</v>
      </c>
      <c r="AE454" s="2" t="s">
        <v>16</v>
      </c>
      <c r="AF454" s="2" t="s">
        <v>16</v>
      </c>
      <c r="AG454" s="2" t="s">
        <v>25</v>
      </c>
      <c r="AH454" s="2" t="s">
        <v>22</v>
      </c>
      <c r="AI454" s="2" t="s">
        <v>27</v>
      </c>
      <c r="AJ454" s="2" t="s">
        <v>25</v>
      </c>
      <c r="AK454" s="2" t="s">
        <v>20</v>
      </c>
      <c r="AL454" s="2" t="s">
        <v>16</v>
      </c>
    </row>
    <row r="455" ht="14.25" customHeight="1">
      <c r="A455" s="17">
        <v>45955.0</v>
      </c>
      <c r="B455" s="2" t="s">
        <v>16</v>
      </c>
      <c r="C455" s="2" t="s">
        <v>36</v>
      </c>
      <c r="D455" s="2" t="s">
        <v>18</v>
      </c>
      <c r="E455" s="2" t="s">
        <v>28</v>
      </c>
      <c r="F455" s="2" t="s">
        <v>43</v>
      </c>
      <c r="G455" s="2" t="s">
        <v>16</v>
      </c>
      <c r="H455" s="2" t="s">
        <v>38</v>
      </c>
      <c r="I455" s="2" t="s">
        <v>16</v>
      </c>
      <c r="J455" s="2" t="s">
        <v>35</v>
      </c>
      <c r="K455" s="2" t="s">
        <v>26</v>
      </c>
      <c r="L455" s="2" t="s">
        <v>26</v>
      </c>
      <c r="M455" s="2" t="s">
        <v>39</v>
      </c>
      <c r="N455" s="2" t="s">
        <v>32</v>
      </c>
      <c r="O455" s="2" t="s">
        <v>19</v>
      </c>
      <c r="P455" s="2" t="s">
        <v>22</v>
      </c>
      <c r="Q455" s="2" t="s">
        <v>28</v>
      </c>
      <c r="R455" s="2" t="s">
        <v>20</v>
      </c>
      <c r="S455" s="2" t="s">
        <v>22</v>
      </c>
      <c r="T455" s="2" t="s">
        <v>28</v>
      </c>
      <c r="U455" s="2" t="s">
        <v>19</v>
      </c>
      <c r="V455" s="2" t="s">
        <v>20</v>
      </c>
      <c r="W455" s="2" t="s">
        <v>21</v>
      </c>
      <c r="X455" s="2" t="s">
        <v>27</v>
      </c>
      <c r="Y455" s="2" t="s">
        <v>16</v>
      </c>
      <c r="Z455" s="2" t="s">
        <v>27</v>
      </c>
      <c r="AA455" s="2" t="s">
        <v>16</v>
      </c>
      <c r="AB455" s="2" t="s">
        <v>24</v>
      </c>
      <c r="AC455" s="2" t="s">
        <v>23</v>
      </c>
      <c r="AD455" s="2" t="s">
        <v>16</v>
      </c>
      <c r="AE455" s="2" t="s">
        <v>17</v>
      </c>
      <c r="AF455" s="2" t="s">
        <v>28</v>
      </c>
      <c r="AG455" s="2" t="s">
        <v>22</v>
      </c>
      <c r="AH455" s="2" t="s">
        <v>22</v>
      </c>
      <c r="AI455" s="2" t="s">
        <v>21</v>
      </c>
      <c r="AJ455" s="2" t="s">
        <v>16</v>
      </c>
      <c r="AK455" s="2" t="s">
        <v>25</v>
      </c>
      <c r="AL455" s="2" t="s">
        <v>16</v>
      </c>
    </row>
    <row r="456" ht="14.25" customHeight="1">
      <c r="A456" s="17">
        <v>45956.0</v>
      </c>
      <c r="B456" s="2" t="s">
        <v>31</v>
      </c>
      <c r="C456" s="2" t="s">
        <v>31</v>
      </c>
      <c r="D456" s="2" t="s">
        <v>31</v>
      </c>
      <c r="E456" s="2" t="s">
        <v>31</v>
      </c>
      <c r="F456" s="2" t="s">
        <v>31</v>
      </c>
      <c r="G456" s="2" t="s">
        <v>31</v>
      </c>
      <c r="H456" s="2" t="s">
        <v>31</v>
      </c>
      <c r="I456" s="2" t="s">
        <v>31</v>
      </c>
      <c r="J456" s="2" t="s">
        <v>31</v>
      </c>
      <c r="K456" s="2" t="s">
        <v>31</v>
      </c>
      <c r="L456" s="2" t="s">
        <v>31</v>
      </c>
      <c r="M456" s="2" t="s">
        <v>31</v>
      </c>
      <c r="N456" s="2" t="s">
        <v>31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2" t="s">
        <v>16</v>
      </c>
      <c r="V456" s="2" t="s">
        <v>28</v>
      </c>
      <c r="W456" s="2" t="s">
        <v>27</v>
      </c>
      <c r="X456" s="2" t="s">
        <v>26</v>
      </c>
      <c r="Y456" s="2" t="s">
        <v>28</v>
      </c>
      <c r="Z456" s="2" t="s">
        <v>24</v>
      </c>
      <c r="AA456" s="2" t="s">
        <v>16</v>
      </c>
      <c r="AB456" s="2" t="s">
        <v>16</v>
      </c>
      <c r="AC456" s="2" t="s">
        <v>16</v>
      </c>
      <c r="AD456" s="2" t="s">
        <v>16</v>
      </c>
      <c r="AE456" s="2" t="s">
        <v>24</v>
      </c>
      <c r="AF456" s="2" t="s">
        <v>22</v>
      </c>
      <c r="AG456" s="2" t="s">
        <v>26</v>
      </c>
      <c r="AH456" s="2" t="s">
        <v>17</v>
      </c>
      <c r="AI456" s="2" t="s">
        <v>24</v>
      </c>
      <c r="AJ456" s="2" t="s">
        <v>21</v>
      </c>
      <c r="AK456" s="2" t="s">
        <v>16</v>
      </c>
      <c r="AL456" s="2" t="s">
        <v>24</v>
      </c>
    </row>
    <row r="457" ht="14.25" customHeight="1">
      <c r="A457" s="17">
        <v>45957.0</v>
      </c>
      <c r="B457" s="2" t="s">
        <v>31</v>
      </c>
      <c r="C457" s="2" t="s">
        <v>31</v>
      </c>
      <c r="D457" s="2" t="s">
        <v>31</v>
      </c>
      <c r="E457" s="2" t="s">
        <v>31</v>
      </c>
      <c r="F457" s="2" t="s">
        <v>31</v>
      </c>
      <c r="G457" s="2" t="s">
        <v>31</v>
      </c>
      <c r="H457" s="2" t="s">
        <v>31</v>
      </c>
      <c r="I457" s="2" t="s">
        <v>31</v>
      </c>
      <c r="J457" s="2" t="s">
        <v>31</v>
      </c>
      <c r="K457" s="2" t="s">
        <v>31</v>
      </c>
      <c r="L457" s="2" t="s">
        <v>31</v>
      </c>
      <c r="M457" s="2" t="s">
        <v>31</v>
      </c>
      <c r="N457" s="2" t="s">
        <v>31</v>
      </c>
      <c r="O457" s="2" t="s">
        <v>31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2" t="s">
        <v>16</v>
      </c>
      <c r="V457" s="2" t="s">
        <v>25</v>
      </c>
      <c r="W457" s="2" t="s">
        <v>19</v>
      </c>
      <c r="X457" s="2" t="s">
        <v>17</v>
      </c>
      <c r="Y457" s="2" t="s">
        <v>17</v>
      </c>
      <c r="Z457" s="2" t="s">
        <v>19</v>
      </c>
      <c r="AA457" s="2" t="s">
        <v>27</v>
      </c>
      <c r="AB457" s="2" t="s">
        <v>26</v>
      </c>
      <c r="AC457" s="2" t="s">
        <v>16</v>
      </c>
      <c r="AD457" s="2" t="s">
        <v>24</v>
      </c>
      <c r="AE457" s="2" t="s">
        <v>26</v>
      </c>
      <c r="AF457" s="2" t="s">
        <v>28</v>
      </c>
      <c r="AG457" s="2" t="s">
        <v>19</v>
      </c>
      <c r="AH457" s="2" t="s">
        <v>17</v>
      </c>
      <c r="AI457" s="2" t="s">
        <v>21</v>
      </c>
      <c r="AJ457" s="2" t="s">
        <v>16</v>
      </c>
      <c r="AK457" s="2" t="s">
        <v>18</v>
      </c>
      <c r="AL457" s="2" t="s">
        <v>20</v>
      </c>
    </row>
    <row r="458" ht="14.25" customHeight="1">
      <c r="A458" s="17">
        <v>45958.0</v>
      </c>
      <c r="B458" s="2" t="s">
        <v>31</v>
      </c>
      <c r="C458" s="2" t="s">
        <v>31</v>
      </c>
      <c r="D458" s="2" t="s">
        <v>31</v>
      </c>
      <c r="E458" s="2" t="s">
        <v>31</v>
      </c>
      <c r="F458" s="2" t="s">
        <v>31</v>
      </c>
      <c r="G458" s="2" t="s">
        <v>31</v>
      </c>
      <c r="H458" s="2" t="s">
        <v>31</v>
      </c>
      <c r="I458" s="2" t="s">
        <v>31</v>
      </c>
      <c r="J458" s="2" t="s">
        <v>31</v>
      </c>
      <c r="K458" s="2" t="s">
        <v>31</v>
      </c>
      <c r="L458" s="2" t="s">
        <v>31</v>
      </c>
      <c r="M458" s="2" t="s">
        <v>31</v>
      </c>
      <c r="N458" s="2" t="s">
        <v>31</v>
      </c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2" t="s">
        <v>27</v>
      </c>
      <c r="V458" s="2" t="s">
        <v>25</v>
      </c>
      <c r="W458" s="2" t="s">
        <v>18</v>
      </c>
      <c r="X458" s="2" t="s">
        <v>16</v>
      </c>
      <c r="Y458" s="2" t="s">
        <v>18</v>
      </c>
      <c r="Z458" s="2" t="s">
        <v>24</v>
      </c>
      <c r="AA458" s="2" t="s">
        <v>16</v>
      </c>
      <c r="AB458" s="2" t="s">
        <v>26</v>
      </c>
      <c r="AC458" s="2" t="s">
        <v>16</v>
      </c>
      <c r="AD458" s="2" t="s">
        <v>27</v>
      </c>
      <c r="AE458" s="2" t="s">
        <v>28</v>
      </c>
      <c r="AF458" s="2" t="s">
        <v>28</v>
      </c>
      <c r="AG458" s="2" t="s">
        <v>16</v>
      </c>
      <c r="AH458" s="2" t="s">
        <v>22</v>
      </c>
      <c r="AI458" s="2" t="s">
        <v>26</v>
      </c>
      <c r="AJ458" s="2" t="s">
        <v>20</v>
      </c>
      <c r="AK458" s="2" t="s">
        <v>16</v>
      </c>
      <c r="AL458" s="2" t="s">
        <v>16</v>
      </c>
    </row>
    <row r="459" ht="14.25" customHeight="1">
      <c r="A459" s="17">
        <v>45959.0</v>
      </c>
      <c r="B459" s="2" t="s">
        <v>31</v>
      </c>
      <c r="C459" s="2" t="s">
        <v>31</v>
      </c>
      <c r="D459" s="2" t="s">
        <v>31</v>
      </c>
      <c r="E459" s="2" t="s">
        <v>31</v>
      </c>
      <c r="F459" s="2" t="s">
        <v>31</v>
      </c>
      <c r="G459" s="2" t="s">
        <v>31</v>
      </c>
      <c r="H459" s="2" t="s">
        <v>31</v>
      </c>
      <c r="I459" s="2" t="s">
        <v>31</v>
      </c>
      <c r="J459" s="2" t="s">
        <v>31</v>
      </c>
      <c r="K459" s="2" t="s">
        <v>31</v>
      </c>
      <c r="L459" s="2" t="s">
        <v>31</v>
      </c>
      <c r="M459" s="2" t="s">
        <v>31</v>
      </c>
      <c r="N459" s="2" t="s">
        <v>31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2" t="s">
        <v>16</v>
      </c>
      <c r="V459" s="2" t="s">
        <v>17</v>
      </c>
      <c r="W459" s="2" t="s">
        <v>21</v>
      </c>
      <c r="X459" s="2" t="s">
        <v>16</v>
      </c>
      <c r="Y459" s="2" t="s">
        <v>16</v>
      </c>
      <c r="Z459" s="2" t="s">
        <v>25</v>
      </c>
      <c r="AA459" s="2" t="s">
        <v>22</v>
      </c>
      <c r="AB459" s="2" t="s">
        <v>20</v>
      </c>
      <c r="AC459" s="2" t="s">
        <v>16</v>
      </c>
      <c r="AD459" s="2" t="s">
        <v>27</v>
      </c>
      <c r="AE459" s="2" t="s">
        <v>16</v>
      </c>
      <c r="AF459" s="2" t="s">
        <v>28</v>
      </c>
      <c r="AG459" s="2" t="s">
        <v>25</v>
      </c>
      <c r="AH459" s="2" t="s">
        <v>21</v>
      </c>
      <c r="AI459" s="2" t="s">
        <v>22</v>
      </c>
      <c r="AJ459" s="2" t="s">
        <v>18</v>
      </c>
      <c r="AK459" s="2" t="s">
        <v>26</v>
      </c>
      <c r="AL459" s="2" t="s">
        <v>27</v>
      </c>
    </row>
    <row r="460" ht="14.25" customHeight="1">
      <c r="A460" s="17">
        <v>45960.0</v>
      </c>
      <c r="B460" s="2" t="s">
        <v>31</v>
      </c>
      <c r="C460" s="2" t="s">
        <v>31</v>
      </c>
      <c r="D460" s="2" t="s">
        <v>31</v>
      </c>
      <c r="E460" s="2" t="s">
        <v>31</v>
      </c>
      <c r="F460" s="2" t="s">
        <v>31</v>
      </c>
      <c r="G460" s="2" t="s">
        <v>31</v>
      </c>
      <c r="H460" s="2" t="s">
        <v>31</v>
      </c>
      <c r="I460" s="2" t="s">
        <v>31</v>
      </c>
      <c r="J460" s="2" t="s">
        <v>31</v>
      </c>
      <c r="K460" s="2" t="s">
        <v>31</v>
      </c>
      <c r="L460" s="2" t="s">
        <v>31</v>
      </c>
      <c r="M460" s="2" t="s">
        <v>31</v>
      </c>
      <c r="N460" s="2" t="s">
        <v>31</v>
      </c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2" t="s">
        <v>23</v>
      </c>
      <c r="V460" s="2" t="s">
        <v>16</v>
      </c>
      <c r="W460" s="2" t="s">
        <v>16</v>
      </c>
      <c r="X460" s="2" t="s">
        <v>16</v>
      </c>
      <c r="Y460" s="2" t="s">
        <v>23</v>
      </c>
      <c r="Z460" s="2" t="s">
        <v>16</v>
      </c>
      <c r="AA460" s="2" t="s">
        <v>16</v>
      </c>
      <c r="AB460" s="2" t="s">
        <v>22</v>
      </c>
      <c r="AC460" s="2" t="s">
        <v>17</v>
      </c>
      <c r="AD460" s="2" t="s">
        <v>16</v>
      </c>
      <c r="AE460" s="2" t="s">
        <v>25</v>
      </c>
      <c r="AF460" s="2" t="s">
        <v>16</v>
      </c>
      <c r="AG460" s="2" t="s">
        <v>21</v>
      </c>
      <c r="AH460" s="2" t="s">
        <v>16</v>
      </c>
      <c r="AI460" s="2" t="s">
        <v>24</v>
      </c>
      <c r="AJ460" s="2" t="s">
        <v>16</v>
      </c>
      <c r="AK460" s="2" t="s">
        <v>16</v>
      </c>
      <c r="AL460" s="2" t="s">
        <v>19</v>
      </c>
    </row>
    <row r="461" ht="14.25" customHeight="1">
      <c r="A461" s="17">
        <v>45961.0</v>
      </c>
      <c r="B461" s="2" t="s">
        <v>31</v>
      </c>
      <c r="C461" s="2" t="s">
        <v>31</v>
      </c>
      <c r="D461" s="2" t="s">
        <v>31</v>
      </c>
      <c r="E461" s="2" t="s">
        <v>31</v>
      </c>
      <c r="F461" s="2" t="s">
        <v>31</v>
      </c>
      <c r="G461" s="2" t="s">
        <v>31</v>
      </c>
      <c r="H461" s="2" t="s">
        <v>31</v>
      </c>
      <c r="I461" s="2" t="s">
        <v>31</v>
      </c>
      <c r="J461" s="2" t="s">
        <v>31</v>
      </c>
      <c r="K461" s="2" t="s">
        <v>31</v>
      </c>
      <c r="L461" s="2" t="s">
        <v>31</v>
      </c>
      <c r="M461" s="2" t="s">
        <v>31</v>
      </c>
      <c r="N461" s="2" t="s">
        <v>31</v>
      </c>
      <c r="O461" s="2" t="s">
        <v>31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2" t="s">
        <v>22</v>
      </c>
      <c r="V461" s="2" t="s">
        <v>24</v>
      </c>
      <c r="W461" s="2" t="s">
        <v>27</v>
      </c>
      <c r="X461" s="2" t="s">
        <v>27</v>
      </c>
      <c r="Y461" s="2" t="s">
        <v>16</v>
      </c>
      <c r="Z461" s="2" t="s">
        <v>17</v>
      </c>
      <c r="AA461" s="2" t="s">
        <v>19</v>
      </c>
      <c r="AB461" s="2" t="s">
        <v>17</v>
      </c>
      <c r="AC461" s="2" t="s">
        <v>26</v>
      </c>
      <c r="AD461" s="2" t="s">
        <v>20</v>
      </c>
      <c r="AE461" s="2" t="s">
        <v>21</v>
      </c>
      <c r="AF461" s="2" t="s">
        <v>16</v>
      </c>
      <c r="AG461" s="2" t="s">
        <v>26</v>
      </c>
      <c r="AH461" s="2" t="s">
        <v>16</v>
      </c>
      <c r="AI461" s="2" t="s">
        <v>22</v>
      </c>
      <c r="AJ461" s="2" t="s">
        <v>21</v>
      </c>
      <c r="AK461" s="2" t="s">
        <v>21</v>
      </c>
      <c r="AL461" s="2" t="s">
        <v>17</v>
      </c>
    </row>
    <row r="462" ht="14.25" customHeight="1">
      <c r="A462" s="17">
        <v>45962.0</v>
      </c>
      <c r="B462" s="2" t="s">
        <v>32</v>
      </c>
      <c r="C462" s="2" t="s">
        <v>37</v>
      </c>
      <c r="D462" s="2" t="s">
        <v>30</v>
      </c>
      <c r="E462" s="2" t="s">
        <v>24</v>
      </c>
      <c r="F462" s="2" t="s">
        <v>19</v>
      </c>
      <c r="G462" s="2" t="s">
        <v>36</v>
      </c>
      <c r="H462" s="2" t="s">
        <v>18</v>
      </c>
      <c r="I462" s="2" t="s">
        <v>33</v>
      </c>
      <c r="J462" s="2" t="s">
        <v>16</v>
      </c>
      <c r="K462" s="2" t="s">
        <v>30</v>
      </c>
      <c r="L462" s="2" t="s">
        <v>33</v>
      </c>
      <c r="M462" s="2" t="s">
        <v>16</v>
      </c>
      <c r="N462" s="2" t="s">
        <v>16</v>
      </c>
      <c r="O462" s="2" t="s">
        <v>33</v>
      </c>
      <c r="P462" s="2" t="s">
        <v>42</v>
      </c>
      <c r="Q462" s="2" t="s">
        <v>34</v>
      </c>
      <c r="R462" s="2" t="s">
        <v>43</v>
      </c>
      <c r="S462" s="2" t="s">
        <v>41</v>
      </c>
      <c r="T462" s="2" t="s">
        <v>26</v>
      </c>
      <c r="U462" s="2" t="s">
        <v>26</v>
      </c>
      <c r="V462" s="2" t="s">
        <v>24</v>
      </c>
      <c r="W462" s="2" t="s">
        <v>16</v>
      </c>
      <c r="X462" s="2" t="s">
        <v>16</v>
      </c>
      <c r="Y462" s="2" t="s">
        <v>17</v>
      </c>
      <c r="Z462" s="2" t="s">
        <v>27</v>
      </c>
      <c r="AA462" s="2" t="s">
        <v>16</v>
      </c>
      <c r="AB462" s="2" t="s">
        <v>16</v>
      </c>
      <c r="AC462" s="2" t="s">
        <v>16</v>
      </c>
      <c r="AD462" s="2" t="s">
        <v>21</v>
      </c>
      <c r="AE462" s="2" t="s">
        <v>28</v>
      </c>
      <c r="AF462" s="2" t="s">
        <v>22</v>
      </c>
      <c r="AG462" s="2" t="s">
        <v>25</v>
      </c>
      <c r="AH462" s="2" t="s">
        <v>22</v>
      </c>
      <c r="AI462" s="2" t="s">
        <v>18</v>
      </c>
      <c r="AJ462" s="2" t="s">
        <v>17</v>
      </c>
      <c r="AK462" s="2" t="s">
        <v>28</v>
      </c>
      <c r="AL462" s="2" t="s">
        <v>28</v>
      </c>
    </row>
    <row r="463" ht="14.25" customHeight="1">
      <c r="A463" s="17">
        <v>45963.0</v>
      </c>
      <c r="B463" s="2" t="s">
        <v>31</v>
      </c>
      <c r="C463" s="2" t="s">
        <v>31</v>
      </c>
      <c r="D463" s="2" t="s">
        <v>31</v>
      </c>
      <c r="E463" s="2" t="s">
        <v>31</v>
      </c>
      <c r="F463" s="2" t="s">
        <v>31</v>
      </c>
      <c r="G463" s="2" t="s">
        <v>31</v>
      </c>
      <c r="H463" s="2" t="s">
        <v>31</v>
      </c>
      <c r="I463" s="2" t="s">
        <v>31</v>
      </c>
      <c r="J463" s="2" t="s">
        <v>31</v>
      </c>
      <c r="K463" s="2" t="s">
        <v>31</v>
      </c>
      <c r="L463" s="2" t="s">
        <v>31</v>
      </c>
      <c r="M463" s="2" t="s">
        <v>31</v>
      </c>
      <c r="N463" s="2" t="s">
        <v>31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2" t="s">
        <v>24</v>
      </c>
      <c r="V463" s="2" t="s">
        <v>27</v>
      </c>
      <c r="W463" s="2" t="s">
        <v>24</v>
      </c>
      <c r="X463" s="2" t="s">
        <v>19</v>
      </c>
      <c r="Y463" s="2" t="s">
        <v>17</v>
      </c>
      <c r="Z463" s="2" t="s">
        <v>16</v>
      </c>
      <c r="AA463" s="2" t="s">
        <v>20</v>
      </c>
      <c r="AB463" s="2" t="s">
        <v>19</v>
      </c>
      <c r="AC463" s="2" t="s">
        <v>16</v>
      </c>
      <c r="AD463" s="2" t="s">
        <v>22</v>
      </c>
      <c r="AE463" s="2" t="s">
        <v>22</v>
      </c>
      <c r="AF463" s="2" t="s">
        <v>16</v>
      </c>
      <c r="AG463" s="2" t="s">
        <v>24</v>
      </c>
      <c r="AH463" s="2" t="s">
        <v>27</v>
      </c>
      <c r="AI463" s="2" t="s">
        <v>16</v>
      </c>
      <c r="AJ463" s="2" t="s">
        <v>16</v>
      </c>
      <c r="AK463" s="2" t="s">
        <v>17</v>
      </c>
      <c r="AL463" s="2" t="s">
        <v>25</v>
      </c>
    </row>
    <row r="464" ht="14.25" customHeight="1">
      <c r="A464" s="17">
        <v>45964.0</v>
      </c>
      <c r="B464" s="2" t="s">
        <v>31</v>
      </c>
      <c r="C464" s="2" t="s">
        <v>31</v>
      </c>
      <c r="D464" s="2" t="s">
        <v>31</v>
      </c>
      <c r="E464" s="2" t="s">
        <v>31</v>
      </c>
      <c r="F464" s="2" t="s">
        <v>31</v>
      </c>
      <c r="G464" s="2" t="s">
        <v>31</v>
      </c>
      <c r="H464" s="2" t="s">
        <v>31</v>
      </c>
      <c r="I464" s="2" t="s">
        <v>31</v>
      </c>
      <c r="J464" s="2" t="s">
        <v>31</v>
      </c>
      <c r="K464" s="2" t="s">
        <v>31</v>
      </c>
      <c r="L464" s="2" t="s">
        <v>31</v>
      </c>
      <c r="M464" s="2" t="s">
        <v>31</v>
      </c>
      <c r="N464" s="2" t="s">
        <v>31</v>
      </c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2" t="s">
        <v>24</v>
      </c>
      <c r="V464" s="2" t="s">
        <v>16</v>
      </c>
      <c r="W464" s="2" t="s">
        <v>19</v>
      </c>
      <c r="X464" s="2" t="s">
        <v>19</v>
      </c>
      <c r="Y464" s="2" t="s">
        <v>19</v>
      </c>
      <c r="Z464" s="2" t="s">
        <v>16</v>
      </c>
      <c r="AA464" s="2" t="s">
        <v>21</v>
      </c>
      <c r="AB464" s="2" t="s">
        <v>25</v>
      </c>
      <c r="AC464" s="2" t="s">
        <v>28</v>
      </c>
      <c r="AD464" s="2" t="s">
        <v>16</v>
      </c>
      <c r="AE464" s="2" t="s">
        <v>16</v>
      </c>
      <c r="AF464" s="2" t="s">
        <v>27</v>
      </c>
      <c r="AG464" s="2" t="s">
        <v>19</v>
      </c>
      <c r="AH464" s="2" t="s">
        <v>24</v>
      </c>
      <c r="AI464" s="2" t="s">
        <v>27</v>
      </c>
      <c r="AJ464" s="2" t="s">
        <v>25</v>
      </c>
      <c r="AK464" s="2" t="s">
        <v>19</v>
      </c>
      <c r="AL464" s="2" t="s">
        <v>16</v>
      </c>
    </row>
    <row r="465" ht="14.25" customHeight="1">
      <c r="A465" s="17">
        <v>45965.0</v>
      </c>
      <c r="B465" s="2" t="s">
        <v>31</v>
      </c>
      <c r="C465" s="2" t="s">
        <v>31</v>
      </c>
      <c r="D465" s="2" t="s">
        <v>31</v>
      </c>
      <c r="E465" s="2" t="s">
        <v>31</v>
      </c>
      <c r="F465" s="2" t="s">
        <v>31</v>
      </c>
      <c r="G465" s="2" t="s">
        <v>31</v>
      </c>
      <c r="H465" s="2" t="s">
        <v>31</v>
      </c>
      <c r="I465" s="2" t="s">
        <v>31</v>
      </c>
      <c r="J465" s="2" t="s">
        <v>31</v>
      </c>
      <c r="K465" s="2" t="s">
        <v>31</v>
      </c>
      <c r="L465" s="2" t="s">
        <v>31</v>
      </c>
      <c r="M465" s="2" t="s">
        <v>31</v>
      </c>
      <c r="N465" s="2" t="s">
        <v>31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2" t="s">
        <v>18</v>
      </c>
      <c r="V465" s="2" t="s">
        <v>16</v>
      </c>
      <c r="W465" s="2" t="s">
        <v>19</v>
      </c>
      <c r="X465" s="2" t="s">
        <v>17</v>
      </c>
      <c r="Y465" s="2" t="s">
        <v>23</v>
      </c>
      <c r="Z465" s="2" t="s">
        <v>16</v>
      </c>
      <c r="AA465" s="2" t="s">
        <v>16</v>
      </c>
      <c r="AB465" s="2" t="s">
        <v>24</v>
      </c>
      <c r="AC465" s="2" t="s">
        <v>16</v>
      </c>
      <c r="AD465" s="2" t="s">
        <v>27</v>
      </c>
      <c r="AE465" s="2" t="s">
        <v>16</v>
      </c>
      <c r="AF465" s="2" t="s">
        <v>28</v>
      </c>
      <c r="AG465" s="2" t="s">
        <v>17</v>
      </c>
      <c r="AH465" s="2" t="s">
        <v>16</v>
      </c>
      <c r="AI465" s="2" t="s">
        <v>21</v>
      </c>
      <c r="AJ465" s="2" t="s">
        <v>16</v>
      </c>
      <c r="AK465" s="2" t="s">
        <v>27</v>
      </c>
      <c r="AL465" s="2" t="s">
        <v>25</v>
      </c>
    </row>
    <row r="466" ht="14.25" customHeight="1">
      <c r="A466" s="17">
        <v>45966.0</v>
      </c>
      <c r="B466" s="2" t="s">
        <v>31</v>
      </c>
      <c r="C466" s="2" t="s">
        <v>31</v>
      </c>
      <c r="D466" s="2" t="s">
        <v>31</v>
      </c>
      <c r="E466" s="2" t="s">
        <v>31</v>
      </c>
      <c r="F466" s="2" t="s">
        <v>31</v>
      </c>
      <c r="G466" s="2" t="s">
        <v>31</v>
      </c>
      <c r="H466" s="2" t="s">
        <v>31</v>
      </c>
      <c r="I466" s="2" t="s">
        <v>31</v>
      </c>
      <c r="J466" s="2" t="s">
        <v>31</v>
      </c>
      <c r="K466" s="2" t="s">
        <v>31</v>
      </c>
      <c r="L466" s="2" t="s">
        <v>31</v>
      </c>
      <c r="M466" s="2" t="s">
        <v>31</v>
      </c>
      <c r="N466" s="2" t="s">
        <v>31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2" t="s">
        <v>16</v>
      </c>
      <c r="V466" s="2" t="s">
        <v>27</v>
      </c>
      <c r="W466" s="2" t="s">
        <v>19</v>
      </c>
      <c r="X466" s="2" t="s">
        <v>16</v>
      </c>
      <c r="Y466" s="2" t="s">
        <v>21</v>
      </c>
      <c r="Z466" s="2" t="s">
        <v>27</v>
      </c>
      <c r="AA466" s="2" t="s">
        <v>17</v>
      </c>
      <c r="AB466" s="2" t="s">
        <v>16</v>
      </c>
      <c r="AC466" s="2" t="s">
        <v>17</v>
      </c>
      <c r="AD466" s="2" t="s">
        <v>19</v>
      </c>
      <c r="AE466" s="2" t="s">
        <v>21</v>
      </c>
      <c r="AF466" s="2" t="s">
        <v>18</v>
      </c>
      <c r="AG466" s="2" t="s">
        <v>20</v>
      </c>
      <c r="AH466" s="2" t="s">
        <v>27</v>
      </c>
      <c r="AI466" s="2" t="s">
        <v>16</v>
      </c>
      <c r="AJ466" s="2" t="s">
        <v>16</v>
      </c>
      <c r="AK466" s="2" t="s">
        <v>20</v>
      </c>
      <c r="AL466" s="2" t="s">
        <v>27</v>
      </c>
    </row>
    <row r="467" ht="14.25" customHeight="1">
      <c r="A467" s="17">
        <v>45967.0</v>
      </c>
      <c r="B467" s="2" t="s">
        <v>31</v>
      </c>
      <c r="C467" s="2" t="s">
        <v>31</v>
      </c>
      <c r="D467" s="2" t="s">
        <v>31</v>
      </c>
      <c r="E467" s="2" t="s">
        <v>31</v>
      </c>
      <c r="F467" s="2" t="s">
        <v>31</v>
      </c>
      <c r="G467" s="2" t="s">
        <v>31</v>
      </c>
      <c r="H467" s="2" t="s">
        <v>31</v>
      </c>
      <c r="I467" s="2" t="s">
        <v>31</v>
      </c>
      <c r="J467" s="2" t="s">
        <v>31</v>
      </c>
      <c r="K467" s="2" t="s">
        <v>31</v>
      </c>
      <c r="L467" s="2" t="s">
        <v>31</v>
      </c>
      <c r="M467" s="2" t="s">
        <v>31</v>
      </c>
      <c r="N467" s="2" t="s">
        <v>31</v>
      </c>
      <c r="O467" s="2" t="s">
        <v>31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2" t="s">
        <v>28</v>
      </c>
      <c r="V467" s="2" t="s">
        <v>19</v>
      </c>
      <c r="W467" s="2" t="s">
        <v>16</v>
      </c>
      <c r="X467" s="2" t="s">
        <v>26</v>
      </c>
      <c r="Y467" s="2" t="s">
        <v>24</v>
      </c>
      <c r="Z467" s="2" t="s">
        <v>16</v>
      </c>
      <c r="AA467" s="2" t="s">
        <v>21</v>
      </c>
      <c r="AB467" s="2" t="s">
        <v>17</v>
      </c>
      <c r="AC467" s="2" t="s">
        <v>24</v>
      </c>
      <c r="AD467" s="2" t="s">
        <v>16</v>
      </c>
      <c r="AE467" s="2" t="s">
        <v>17</v>
      </c>
      <c r="AF467" s="2" t="s">
        <v>22</v>
      </c>
      <c r="AG467" s="2" t="s">
        <v>16</v>
      </c>
      <c r="AH467" s="2" t="s">
        <v>25</v>
      </c>
      <c r="AI467" s="2" t="s">
        <v>23</v>
      </c>
      <c r="AJ467" s="2" t="s">
        <v>16</v>
      </c>
      <c r="AK467" s="2" t="s">
        <v>16</v>
      </c>
      <c r="AL467" s="2" t="s">
        <v>28</v>
      </c>
    </row>
    <row r="468" ht="14.25" customHeight="1">
      <c r="A468" s="17">
        <v>45968.0</v>
      </c>
      <c r="B468" s="2" t="s">
        <v>31</v>
      </c>
      <c r="C468" s="2" t="s">
        <v>31</v>
      </c>
      <c r="D468" s="2" t="s">
        <v>31</v>
      </c>
      <c r="E468" s="2" t="s">
        <v>31</v>
      </c>
      <c r="F468" s="2" t="s">
        <v>31</v>
      </c>
      <c r="G468" s="2" t="s">
        <v>31</v>
      </c>
      <c r="H468" s="2" t="s">
        <v>31</v>
      </c>
      <c r="I468" s="2" t="s">
        <v>31</v>
      </c>
      <c r="J468" s="2" t="s">
        <v>31</v>
      </c>
      <c r="K468" s="2" t="s">
        <v>31</v>
      </c>
      <c r="L468" s="2" t="s">
        <v>31</v>
      </c>
      <c r="M468" s="2" t="s">
        <v>31</v>
      </c>
      <c r="N468" s="2" t="s">
        <v>31</v>
      </c>
      <c r="O468" s="2" t="s">
        <v>31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2" t="s">
        <v>20</v>
      </c>
      <c r="V468" s="2" t="s">
        <v>16</v>
      </c>
      <c r="W468" s="2" t="s">
        <v>25</v>
      </c>
      <c r="X468" s="2" t="s">
        <v>20</v>
      </c>
      <c r="Y468" s="2" t="s">
        <v>22</v>
      </c>
      <c r="Z468" s="2" t="s">
        <v>22</v>
      </c>
      <c r="AA468" s="2" t="s">
        <v>27</v>
      </c>
      <c r="AB468" s="2" t="s">
        <v>17</v>
      </c>
      <c r="AC468" s="2" t="s">
        <v>22</v>
      </c>
      <c r="AD468" s="2" t="s">
        <v>16</v>
      </c>
      <c r="AE468" s="2" t="s">
        <v>21</v>
      </c>
      <c r="AF468" s="2" t="s">
        <v>16</v>
      </c>
      <c r="AG468" s="2" t="s">
        <v>20</v>
      </c>
      <c r="AH468" s="2" t="s">
        <v>24</v>
      </c>
      <c r="AI468" s="2" t="s">
        <v>25</v>
      </c>
      <c r="AJ468" s="2" t="s">
        <v>16</v>
      </c>
      <c r="AK468" s="2" t="s">
        <v>27</v>
      </c>
      <c r="AL468" s="2" t="s">
        <v>26</v>
      </c>
    </row>
    <row r="469" ht="14.25" customHeight="1">
      <c r="A469" s="17">
        <v>45969.0</v>
      </c>
      <c r="B469" s="2" t="s">
        <v>16</v>
      </c>
      <c r="C469" s="2" t="s">
        <v>35</v>
      </c>
      <c r="D469" s="2" t="s">
        <v>16</v>
      </c>
      <c r="E469" s="2" t="s">
        <v>28</v>
      </c>
      <c r="F469" s="2" t="s">
        <v>36</v>
      </c>
      <c r="G469" s="2" t="s">
        <v>22</v>
      </c>
      <c r="H469" s="2" t="s">
        <v>16</v>
      </c>
      <c r="I469" s="2" t="s">
        <v>34</v>
      </c>
      <c r="J469" s="2" t="s">
        <v>24</v>
      </c>
      <c r="K469" s="2" t="s">
        <v>36</v>
      </c>
      <c r="L469" s="2" t="s">
        <v>30</v>
      </c>
      <c r="M469" s="2" t="s">
        <v>21</v>
      </c>
      <c r="N469" s="2" t="s">
        <v>22</v>
      </c>
      <c r="O469" s="2" t="s">
        <v>16</v>
      </c>
      <c r="P469" s="2" t="s">
        <v>16</v>
      </c>
      <c r="Q469" s="2" t="s">
        <v>43</v>
      </c>
      <c r="R469" s="2" t="s">
        <v>39</v>
      </c>
      <c r="S469" s="2" t="s">
        <v>38</v>
      </c>
      <c r="T469" s="2" t="s">
        <v>40</v>
      </c>
      <c r="U469" s="2" t="s">
        <v>19</v>
      </c>
      <c r="V469" s="2" t="s">
        <v>24</v>
      </c>
      <c r="W469" s="2" t="s">
        <v>21</v>
      </c>
      <c r="X469" s="2" t="s">
        <v>16</v>
      </c>
      <c r="Y469" s="2" t="s">
        <v>24</v>
      </c>
      <c r="Z469" s="2" t="s">
        <v>16</v>
      </c>
      <c r="AA469" s="2" t="s">
        <v>16</v>
      </c>
      <c r="AB469" s="2" t="s">
        <v>18</v>
      </c>
      <c r="AC469" s="2" t="s">
        <v>19</v>
      </c>
      <c r="AD469" s="2" t="s">
        <v>28</v>
      </c>
      <c r="AE469" s="2" t="s">
        <v>16</v>
      </c>
      <c r="AF469" s="2" t="s">
        <v>28</v>
      </c>
      <c r="AG469" s="2" t="s">
        <v>18</v>
      </c>
      <c r="AH469" s="2" t="s">
        <v>24</v>
      </c>
      <c r="AI469" s="2" t="s">
        <v>16</v>
      </c>
      <c r="AJ469" s="2" t="s">
        <v>16</v>
      </c>
      <c r="AK469" s="2" t="s">
        <v>17</v>
      </c>
      <c r="AL469" s="2" t="s">
        <v>25</v>
      </c>
    </row>
    <row r="470" ht="14.25" customHeight="1">
      <c r="A470" s="17">
        <v>45970.0</v>
      </c>
      <c r="B470" s="2" t="s">
        <v>31</v>
      </c>
      <c r="C470" s="2" t="s">
        <v>31</v>
      </c>
      <c r="D470" s="2" t="s">
        <v>31</v>
      </c>
      <c r="E470" s="2" t="s">
        <v>31</v>
      </c>
      <c r="F470" s="2" t="s">
        <v>31</v>
      </c>
      <c r="G470" s="2" t="s">
        <v>31</v>
      </c>
      <c r="H470" s="2" t="s">
        <v>31</v>
      </c>
      <c r="I470" s="2" t="s">
        <v>31</v>
      </c>
      <c r="J470" s="2" t="s">
        <v>31</v>
      </c>
      <c r="K470" s="2" t="s">
        <v>31</v>
      </c>
      <c r="L470" s="2" t="s">
        <v>31</v>
      </c>
      <c r="M470" s="2" t="s">
        <v>31</v>
      </c>
      <c r="N470" s="2" t="s">
        <v>31</v>
      </c>
      <c r="O470" s="2" t="s">
        <v>31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2" t="s">
        <v>25</v>
      </c>
      <c r="V470" s="2" t="s">
        <v>16</v>
      </c>
      <c r="W470" s="2" t="s">
        <v>17</v>
      </c>
      <c r="X470" s="2" t="s">
        <v>16</v>
      </c>
      <c r="Y470" s="2" t="s">
        <v>27</v>
      </c>
      <c r="Z470" s="2" t="s">
        <v>16</v>
      </c>
      <c r="AA470" s="2" t="s">
        <v>16</v>
      </c>
      <c r="AB470" s="2" t="s">
        <v>22</v>
      </c>
      <c r="AC470" s="2" t="s">
        <v>22</v>
      </c>
      <c r="AD470" s="2" t="s">
        <v>28</v>
      </c>
      <c r="AE470" s="2" t="s">
        <v>20</v>
      </c>
      <c r="AF470" s="2" t="s">
        <v>16</v>
      </c>
      <c r="AG470" s="2" t="s">
        <v>20</v>
      </c>
      <c r="AH470" s="2" t="s">
        <v>21</v>
      </c>
      <c r="AI470" s="2" t="s">
        <v>16</v>
      </c>
      <c r="AJ470" s="2" t="s">
        <v>17</v>
      </c>
      <c r="AK470" s="2" t="s">
        <v>25</v>
      </c>
      <c r="AL470" s="2" t="s">
        <v>16</v>
      </c>
    </row>
    <row r="471" ht="14.25" customHeight="1">
      <c r="A471" s="17">
        <v>45971.0</v>
      </c>
      <c r="B471" s="2" t="s">
        <v>31</v>
      </c>
      <c r="C471" s="2" t="s">
        <v>31</v>
      </c>
      <c r="D471" s="2" t="s">
        <v>31</v>
      </c>
      <c r="E471" s="2" t="s">
        <v>31</v>
      </c>
      <c r="F471" s="2" t="s">
        <v>31</v>
      </c>
      <c r="G471" s="2" t="s">
        <v>31</v>
      </c>
      <c r="H471" s="2" t="s">
        <v>31</v>
      </c>
      <c r="I471" s="2" t="s">
        <v>31</v>
      </c>
      <c r="J471" s="2" t="s">
        <v>31</v>
      </c>
      <c r="K471" s="2" t="s">
        <v>31</v>
      </c>
      <c r="L471" s="2" t="s">
        <v>31</v>
      </c>
      <c r="M471" s="2" t="s">
        <v>31</v>
      </c>
      <c r="N471" s="2" t="s">
        <v>31</v>
      </c>
      <c r="O471" s="2" t="s">
        <v>31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2" t="s">
        <v>17</v>
      </c>
      <c r="V471" s="2" t="s">
        <v>23</v>
      </c>
      <c r="W471" s="2" t="s">
        <v>16</v>
      </c>
      <c r="X471" s="2" t="s">
        <v>20</v>
      </c>
      <c r="Y471" s="2" t="s">
        <v>27</v>
      </c>
      <c r="Z471" s="2" t="s">
        <v>26</v>
      </c>
      <c r="AA471" s="2" t="s">
        <v>16</v>
      </c>
      <c r="AB471" s="2" t="s">
        <v>24</v>
      </c>
      <c r="AC471" s="2" t="s">
        <v>23</v>
      </c>
      <c r="AD471" s="2" t="s">
        <v>16</v>
      </c>
      <c r="AE471" s="2" t="s">
        <v>16</v>
      </c>
      <c r="AF471" s="2" t="s">
        <v>25</v>
      </c>
      <c r="AG471" s="2" t="s">
        <v>24</v>
      </c>
      <c r="AH471" s="2" t="s">
        <v>19</v>
      </c>
      <c r="AI471" s="2" t="s">
        <v>27</v>
      </c>
      <c r="AJ471" s="2" t="s">
        <v>21</v>
      </c>
      <c r="AK471" s="2" t="s">
        <v>20</v>
      </c>
      <c r="AL471" s="2" t="s">
        <v>19</v>
      </c>
    </row>
    <row r="472" ht="14.25" customHeight="1">
      <c r="A472" s="17">
        <v>45972.0</v>
      </c>
      <c r="B472" s="2" t="s">
        <v>31</v>
      </c>
      <c r="C472" s="2" t="s">
        <v>31</v>
      </c>
      <c r="D472" s="2" t="s">
        <v>31</v>
      </c>
      <c r="E472" s="2" t="s">
        <v>31</v>
      </c>
      <c r="F472" s="2" t="s">
        <v>31</v>
      </c>
      <c r="G472" s="2" t="s">
        <v>31</v>
      </c>
      <c r="H472" s="2" t="s">
        <v>31</v>
      </c>
      <c r="I472" s="2" t="s">
        <v>31</v>
      </c>
      <c r="J472" s="2" t="s">
        <v>31</v>
      </c>
      <c r="K472" s="2" t="s">
        <v>31</v>
      </c>
      <c r="L472" s="2" t="s">
        <v>31</v>
      </c>
      <c r="M472" s="2" t="s">
        <v>31</v>
      </c>
      <c r="N472" s="2" t="s">
        <v>31</v>
      </c>
      <c r="O472" s="2" t="s">
        <v>31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2" t="s">
        <v>26</v>
      </c>
      <c r="V472" s="2" t="s">
        <v>25</v>
      </c>
      <c r="W472" s="2" t="s">
        <v>17</v>
      </c>
      <c r="X472" s="2" t="s">
        <v>25</v>
      </c>
      <c r="Y472" s="2" t="s">
        <v>16</v>
      </c>
      <c r="Z472" s="2" t="s">
        <v>16</v>
      </c>
      <c r="AA472" s="2" t="s">
        <v>27</v>
      </c>
      <c r="AB472" s="2" t="s">
        <v>16</v>
      </c>
      <c r="AC472" s="2" t="s">
        <v>16</v>
      </c>
      <c r="AD472" s="2" t="s">
        <v>16</v>
      </c>
      <c r="AE472" s="2" t="s">
        <v>24</v>
      </c>
      <c r="AF472" s="2" t="s">
        <v>27</v>
      </c>
      <c r="AG472" s="2" t="s">
        <v>16</v>
      </c>
      <c r="AH472" s="2" t="s">
        <v>25</v>
      </c>
      <c r="AI472" s="2" t="s">
        <v>28</v>
      </c>
      <c r="AJ472" s="2" t="s">
        <v>18</v>
      </c>
      <c r="AK472" s="2" t="s">
        <v>20</v>
      </c>
      <c r="AL472" s="2" t="s">
        <v>25</v>
      </c>
    </row>
    <row r="473" ht="14.25" customHeight="1">
      <c r="A473" s="17">
        <v>45973.0</v>
      </c>
      <c r="B473" s="2" t="s">
        <v>31</v>
      </c>
      <c r="C473" s="2" t="s">
        <v>31</v>
      </c>
      <c r="D473" s="2" t="s">
        <v>31</v>
      </c>
      <c r="E473" s="2" t="s">
        <v>31</v>
      </c>
      <c r="F473" s="2" t="s">
        <v>31</v>
      </c>
      <c r="G473" s="2" t="s">
        <v>31</v>
      </c>
      <c r="H473" s="2" t="s">
        <v>31</v>
      </c>
      <c r="I473" s="2" t="s">
        <v>31</v>
      </c>
      <c r="J473" s="2" t="s">
        <v>31</v>
      </c>
      <c r="K473" s="2" t="s">
        <v>31</v>
      </c>
      <c r="L473" s="2" t="s">
        <v>31</v>
      </c>
      <c r="M473" s="2" t="s">
        <v>31</v>
      </c>
      <c r="N473" s="2" t="s">
        <v>31</v>
      </c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2" t="s">
        <v>24</v>
      </c>
      <c r="V473" s="2" t="s">
        <v>24</v>
      </c>
      <c r="W473" s="2" t="s">
        <v>17</v>
      </c>
      <c r="X473" s="2" t="s">
        <v>18</v>
      </c>
      <c r="Y473" s="2" t="s">
        <v>16</v>
      </c>
      <c r="Z473" s="2" t="s">
        <v>22</v>
      </c>
      <c r="AA473" s="2" t="s">
        <v>16</v>
      </c>
      <c r="AB473" s="2" t="s">
        <v>16</v>
      </c>
      <c r="AC473" s="2" t="s">
        <v>18</v>
      </c>
      <c r="AD473" s="2" t="s">
        <v>25</v>
      </c>
      <c r="AE473" s="2" t="s">
        <v>28</v>
      </c>
      <c r="AF473" s="2" t="s">
        <v>16</v>
      </c>
      <c r="AG473" s="2" t="s">
        <v>21</v>
      </c>
      <c r="AH473" s="2" t="s">
        <v>16</v>
      </c>
      <c r="AI473" s="2" t="s">
        <v>25</v>
      </c>
      <c r="AJ473" s="2" t="s">
        <v>25</v>
      </c>
      <c r="AK473" s="2" t="s">
        <v>25</v>
      </c>
      <c r="AL473" s="2" t="s">
        <v>28</v>
      </c>
    </row>
    <row r="474" ht="14.25" customHeight="1">
      <c r="A474" s="17">
        <v>45974.0</v>
      </c>
      <c r="B474" s="2" t="s">
        <v>31</v>
      </c>
      <c r="C474" s="2" t="s">
        <v>31</v>
      </c>
      <c r="D474" s="2" t="s">
        <v>31</v>
      </c>
      <c r="E474" s="2" t="s">
        <v>31</v>
      </c>
      <c r="F474" s="2" t="s">
        <v>31</v>
      </c>
      <c r="G474" s="2" t="s">
        <v>31</v>
      </c>
      <c r="H474" s="2" t="s">
        <v>31</v>
      </c>
      <c r="I474" s="2" t="s">
        <v>31</v>
      </c>
      <c r="J474" s="2" t="s">
        <v>31</v>
      </c>
      <c r="K474" s="2" t="s">
        <v>31</v>
      </c>
      <c r="L474" s="2" t="s">
        <v>31</v>
      </c>
      <c r="M474" s="2" t="s">
        <v>31</v>
      </c>
      <c r="N474" s="2" t="s">
        <v>31</v>
      </c>
      <c r="O474" s="2" t="s">
        <v>31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2" t="s">
        <v>17</v>
      </c>
      <c r="V474" s="2" t="s">
        <v>19</v>
      </c>
      <c r="W474" s="2" t="s">
        <v>26</v>
      </c>
      <c r="X474" s="2" t="s">
        <v>25</v>
      </c>
      <c r="Y474" s="2" t="s">
        <v>25</v>
      </c>
      <c r="Z474" s="2" t="s">
        <v>21</v>
      </c>
      <c r="AA474" s="2" t="s">
        <v>18</v>
      </c>
      <c r="AB474" s="2" t="s">
        <v>16</v>
      </c>
      <c r="AC474" s="2" t="s">
        <v>22</v>
      </c>
      <c r="AD474" s="2" t="s">
        <v>16</v>
      </c>
      <c r="AE474" s="2" t="s">
        <v>25</v>
      </c>
      <c r="AF474" s="2" t="s">
        <v>28</v>
      </c>
      <c r="AG474" s="2" t="s">
        <v>19</v>
      </c>
      <c r="AH474" s="2" t="s">
        <v>19</v>
      </c>
      <c r="AI474" s="2" t="s">
        <v>27</v>
      </c>
      <c r="AJ474" s="2" t="s">
        <v>19</v>
      </c>
      <c r="AK474" s="2" t="s">
        <v>25</v>
      </c>
      <c r="AL474" s="2" t="s">
        <v>22</v>
      </c>
    </row>
    <row r="475" ht="14.25" customHeight="1">
      <c r="A475" s="17">
        <v>45975.0</v>
      </c>
      <c r="B475" s="2" t="s">
        <v>31</v>
      </c>
      <c r="C475" s="2" t="s">
        <v>31</v>
      </c>
      <c r="D475" s="2" t="s">
        <v>31</v>
      </c>
      <c r="E475" s="2" t="s">
        <v>31</v>
      </c>
      <c r="F475" s="2" t="s">
        <v>31</v>
      </c>
      <c r="G475" s="2" t="s">
        <v>31</v>
      </c>
      <c r="H475" s="2" t="s">
        <v>31</v>
      </c>
      <c r="I475" s="2" t="s">
        <v>31</v>
      </c>
      <c r="J475" s="2" t="s">
        <v>31</v>
      </c>
      <c r="K475" s="2" t="s">
        <v>31</v>
      </c>
      <c r="L475" s="2" t="s">
        <v>31</v>
      </c>
      <c r="M475" s="2" t="s">
        <v>31</v>
      </c>
      <c r="N475" s="2" t="s">
        <v>31</v>
      </c>
      <c r="O475" s="2" t="s">
        <v>31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2" t="s">
        <v>16</v>
      </c>
      <c r="V475" s="2" t="s">
        <v>25</v>
      </c>
      <c r="W475" s="2" t="s">
        <v>27</v>
      </c>
      <c r="X475" s="2" t="s">
        <v>28</v>
      </c>
      <c r="Y475" s="2" t="s">
        <v>19</v>
      </c>
      <c r="Z475" s="2" t="s">
        <v>16</v>
      </c>
      <c r="AA475" s="2" t="s">
        <v>20</v>
      </c>
      <c r="AB475" s="2" t="s">
        <v>19</v>
      </c>
      <c r="AC475" s="2" t="s">
        <v>25</v>
      </c>
      <c r="AD475" s="2" t="s">
        <v>19</v>
      </c>
      <c r="AE475" s="2" t="s">
        <v>19</v>
      </c>
      <c r="AF475" s="2" t="s">
        <v>16</v>
      </c>
      <c r="AG475" s="2" t="s">
        <v>16</v>
      </c>
      <c r="AH475" s="2" t="s">
        <v>18</v>
      </c>
      <c r="AI475" s="2" t="s">
        <v>16</v>
      </c>
      <c r="AJ475" s="2" t="s">
        <v>27</v>
      </c>
      <c r="AK475" s="2" t="s">
        <v>28</v>
      </c>
      <c r="AL475" s="2" t="s">
        <v>17</v>
      </c>
    </row>
    <row r="476" ht="14.25" customHeight="1">
      <c r="A476" s="17">
        <v>45976.0</v>
      </c>
      <c r="B476" s="2" t="s">
        <v>17</v>
      </c>
      <c r="C476" s="2" t="s">
        <v>16</v>
      </c>
      <c r="D476" s="2" t="s">
        <v>33</v>
      </c>
      <c r="E476" s="2" t="s">
        <v>30</v>
      </c>
      <c r="F476" s="2" t="s">
        <v>34</v>
      </c>
      <c r="G476" s="2" t="s">
        <v>38</v>
      </c>
      <c r="H476" s="2" t="s">
        <v>26</v>
      </c>
      <c r="I476" s="2" t="s">
        <v>25</v>
      </c>
      <c r="J476" s="2" t="s">
        <v>26</v>
      </c>
      <c r="K476" s="2" t="s">
        <v>32</v>
      </c>
      <c r="L476" s="2" t="s">
        <v>38</v>
      </c>
      <c r="M476" s="2" t="s">
        <v>40</v>
      </c>
      <c r="N476" s="2" t="s">
        <v>25</v>
      </c>
      <c r="O476" s="2" t="s">
        <v>23</v>
      </c>
      <c r="P476" s="2" t="s">
        <v>43</v>
      </c>
      <c r="Q476" s="2" t="s">
        <v>33</v>
      </c>
      <c r="R476" s="2" t="s">
        <v>22</v>
      </c>
      <c r="S476" s="2" t="s">
        <v>41</v>
      </c>
      <c r="T476" s="2" t="s">
        <v>18</v>
      </c>
      <c r="U476" s="2" t="s">
        <v>27</v>
      </c>
      <c r="V476" s="2" t="s">
        <v>27</v>
      </c>
      <c r="W476" s="2" t="s">
        <v>16</v>
      </c>
      <c r="X476" s="2" t="s">
        <v>16</v>
      </c>
      <c r="Y476" s="2" t="s">
        <v>28</v>
      </c>
      <c r="Z476" s="2" t="s">
        <v>17</v>
      </c>
      <c r="AA476" s="2" t="s">
        <v>26</v>
      </c>
      <c r="AB476" s="2" t="s">
        <v>19</v>
      </c>
      <c r="AC476" s="2" t="s">
        <v>16</v>
      </c>
      <c r="AD476" s="2" t="s">
        <v>28</v>
      </c>
      <c r="AE476" s="2" t="s">
        <v>25</v>
      </c>
      <c r="AF476" s="2" t="s">
        <v>23</v>
      </c>
      <c r="AG476" s="2" t="s">
        <v>24</v>
      </c>
      <c r="AH476" s="2" t="s">
        <v>20</v>
      </c>
      <c r="AI476" s="2" t="s">
        <v>21</v>
      </c>
      <c r="AJ476" s="2" t="s">
        <v>20</v>
      </c>
      <c r="AK476" s="2" t="s">
        <v>19</v>
      </c>
      <c r="AL476" s="2" t="s">
        <v>22</v>
      </c>
    </row>
    <row r="477" ht="14.25" customHeight="1">
      <c r="A477" s="17">
        <v>45977.0</v>
      </c>
      <c r="B477" s="2" t="s">
        <v>31</v>
      </c>
      <c r="C477" s="2" t="s">
        <v>31</v>
      </c>
      <c r="D477" s="2" t="s">
        <v>31</v>
      </c>
      <c r="E477" s="2" t="s">
        <v>31</v>
      </c>
      <c r="F477" s="2" t="s">
        <v>31</v>
      </c>
      <c r="G477" s="2" t="s">
        <v>31</v>
      </c>
      <c r="H477" s="2" t="s">
        <v>31</v>
      </c>
      <c r="I477" s="2" t="s">
        <v>31</v>
      </c>
      <c r="J477" s="2" t="s">
        <v>31</v>
      </c>
      <c r="K477" s="2" t="s">
        <v>31</v>
      </c>
      <c r="L477" s="2" t="s">
        <v>31</v>
      </c>
      <c r="M477" s="2" t="s">
        <v>31</v>
      </c>
      <c r="N477" s="2" t="s">
        <v>31</v>
      </c>
      <c r="O477" s="2" t="s">
        <v>31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2" t="s">
        <v>16</v>
      </c>
      <c r="V477" s="2" t="s">
        <v>16</v>
      </c>
      <c r="W477" s="2" t="s">
        <v>16</v>
      </c>
      <c r="X477" s="2" t="s">
        <v>19</v>
      </c>
      <c r="Y477" s="2" t="s">
        <v>21</v>
      </c>
      <c r="Z477" s="2" t="s">
        <v>20</v>
      </c>
      <c r="AA477" s="2" t="s">
        <v>16</v>
      </c>
      <c r="AB477" s="2" t="s">
        <v>28</v>
      </c>
      <c r="AC477" s="2" t="s">
        <v>20</v>
      </c>
      <c r="AD477" s="2" t="s">
        <v>17</v>
      </c>
      <c r="AE477" s="2" t="s">
        <v>22</v>
      </c>
      <c r="AF477" s="2" t="s">
        <v>16</v>
      </c>
      <c r="AG477" s="2" t="s">
        <v>25</v>
      </c>
      <c r="AH477" s="2" t="s">
        <v>17</v>
      </c>
      <c r="AI477" s="2" t="s">
        <v>16</v>
      </c>
      <c r="AJ477" s="2" t="s">
        <v>20</v>
      </c>
      <c r="AK477" s="2" t="s">
        <v>16</v>
      </c>
      <c r="AL477" s="2" t="s">
        <v>26</v>
      </c>
    </row>
    <row r="478" ht="14.25" customHeight="1">
      <c r="A478" s="17">
        <v>45978.0</v>
      </c>
      <c r="B478" s="2" t="s">
        <v>31</v>
      </c>
      <c r="C478" s="2" t="s">
        <v>31</v>
      </c>
      <c r="D478" s="2" t="s">
        <v>31</v>
      </c>
      <c r="E478" s="2" t="s">
        <v>31</v>
      </c>
      <c r="F478" s="2" t="s">
        <v>31</v>
      </c>
      <c r="G478" s="2" t="s">
        <v>31</v>
      </c>
      <c r="H478" s="2" t="s">
        <v>31</v>
      </c>
      <c r="I478" s="2" t="s">
        <v>31</v>
      </c>
      <c r="J478" s="2" t="s">
        <v>31</v>
      </c>
      <c r="K478" s="2" t="s">
        <v>31</v>
      </c>
      <c r="L478" s="2" t="s">
        <v>31</v>
      </c>
      <c r="M478" s="2" t="s">
        <v>31</v>
      </c>
      <c r="N478" s="2" t="s">
        <v>31</v>
      </c>
      <c r="O478" s="2" t="s">
        <v>31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2" t="s">
        <v>22</v>
      </c>
      <c r="V478" s="2" t="s">
        <v>19</v>
      </c>
      <c r="W478" s="2" t="s">
        <v>24</v>
      </c>
      <c r="X478" s="2" t="s">
        <v>24</v>
      </c>
      <c r="Y478" s="2" t="s">
        <v>28</v>
      </c>
      <c r="Z478" s="2" t="s">
        <v>27</v>
      </c>
      <c r="AA478" s="2" t="s">
        <v>24</v>
      </c>
      <c r="AB478" s="2" t="s">
        <v>16</v>
      </c>
      <c r="AC478" s="2" t="s">
        <v>28</v>
      </c>
      <c r="AD478" s="2" t="s">
        <v>18</v>
      </c>
      <c r="AE478" s="2" t="s">
        <v>21</v>
      </c>
      <c r="AF478" s="2" t="s">
        <v>24</v>
      </c>
      <c r="AG478" s="2" t="s">
        <v>16</v>
      </c>
      <c r="AH478" s="2" t="s">
        <v>17</v>
      </c>
      <c r="AI478" s="2" t="s">
        <v>16</v>
      </c>
      <c r="AJ478" s="2" t="s">
        <v>23</v>
      </c>
      <c r="AK478" s="2" t="s">
        <v>17</v>
      </c>
      <c r="AL478" s="2" t="s">
        <v>16</v>
      </c>
    </row>
    <row r="479" ht="14.25" customHeight="1">
      <c r="A479" s="17">
        <v>45979.0</v>
      </c>
      <c r="B479" s="2" t="s">
        <v>31</v>
      </c>
      <c r="C479" s="2" t="s">
        <v>31</v>
      </c>
      <c r="D479" s="2" t="s">
        <v>31</v>
      </c>
      <c r="E479" s="2" t="s">
        <v>31</v>
      </c>
      <c r="F479" s="2" t="s">
        <v>31</v>
      </c>
      <c r="G479" s="2" t="s">
        <v>31</v>
      </c>
      <c r="H479" s="2" t="s">
        <v>31</v>
      </c>
      <c r="I479" s="2" t="s">
        <v>31</v>
      </c>
      <c r="J479" s="2" t="s">
        <v>31</v>
      </c>
      <c r="K479" s="2" t="s">
        <v>31</v>
      </c>
      <c r="L479" s="2" t="s">
        <v>31</v>
      </c>
      <c r="M479" s="2" t="s">
        <v>31</v>
      </c>
      <c r="N479" s="2" t="s">
        <v>31</v>
      </c>
      <c r="O479" s="2" t="s">
        <v>31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2" t="s">
        <v>23</v>
      </c>
      <c r="V479" s="2" t="s">
        <v>28</v>
      </c>
      <c r="W479" s="2" t="s">
        <v>24</v>
      </c>
      <c r="X479" s="2" t="s">
        <v>23</v>
      </c>
      <c r="Y479" s="2" t="s">
        <v>20</v>
      </c>
      <c r="Z479" s="2" t="s">
        <v>28</v>
      </c>
      <c r="AA479" s="2" t="s">
        <v>22</v>
      </c>
      <c r="AB479" s="2" t="s">
        <v>16</v>
      </c>
      <c r="AC479" s="2" t="s">
        <v>22</v>
      </c>
      <c r="AD479" s="2" t="s">
        <v>18</v>
      </c>
      <c r="AE479" s="2" t="s">
        <v>27</v>
      </c>
      <c r="AF479" s="2" t="s">
        <v>20</v>
      </c>
      <c r="AG479" s="2" t="s">
        <v>25</v>
      </c>
      <c r="AH479" s="2" t="s">
        <v>16</v>
      </c>
      <c r="AI479" s="2" t="s">
        <v>16</v>
      </c>
      <c r="AJ479" s="2" t="s">
        <v>25</v>
      </c>
      <c r="AK479" s="2" t="s">
        <v>16</v>
      </c>
      <c r="AL479" s="2" t="s">
        <v>16</v>
      </c>
    </row>
    <row r="480" ht="14.25" customHeight="1">
      <c r="A480" s="17">
        <v>45980.0</v>
      </c>
      <c r="B480" s="2" t="s">
        <v>31</v>
      </c>
      <c r="C480" s="2" t="s">
        <v>31</v>
      </c>
      <c r="D480" s="2" t="s">
        <v>31</v>
      </c>
      <c r="E480" s="2" t="s">
        <v>31</v>
      </c>
      <c r="F480" s="2" t="s">
        <v>31</v>
      </c>
      <c r="G480" s="2" t="s">
        <v>31</v>
      </c>
      <c r="H480" s="2" t="s">
        <v>31</v>
      </c>
      <c r="I480" s="2" t="s">
        <v>31</v>
      </c>
      <c r="J480" s="2" t="s">
        <v>31</v>
      </c>
      <c r="K480" s="2" t="s">
        <v>31</v>
      </c>
      <c r="L480" s="2" t="s">
        <v>31</v>
      </c>
      <c r="M480" s="2" t="s">
        <v>31</v>
      </c>
      <c r="N480" s="2" t="s">
        <v>31</v>
      </c>
      <c r="O480" s="2" t="s">
        <v>31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2" t="s">
        <v>17</v>
      </c>
      <c r="V480" s="2" t="s">
        <v>17</v>
      </c>
      <c r="W480" s="2" t="s">
        <v>27</v>
      </c>
      <c r="X480" s="2" t="s">
        <v>20</v>
      </c>
      <c r="Y480" s="2" t="s">
        <v>25</v>
      </c>
      <c r="Z480" s="2" t="s">
        <v>20</v>
      </c>
      <c r="AA480" s="2" t="s">
        <v>24</v>
      </c>
      <c r="AB480" s="2" t="s">
        <v>22</v>
      </c>
      <c r="AC480" s="2" t="s">
        <v>19</v>
      </c>
      <c r="AD480" s="2" t="s">
        <v>16</v>
      </c>
      <c r="AE480" s="2" t="s">
        <v>25</v>
      </c>
      <c r="AF480" s="2" t="s">
        <v>17</v>
      </c>
      <c r="AG480" s="2" t="s">
        <v>28</v>
      </c>
      <c r="AH480" s="2" t="s">
        <v>16</v>
      </c>
      <c r="AI480" s="2" t="s">
        <v>24</v>
      </c>
      <c r="AJ480" s="2" t="s">
        <v>16</v>
      </c>
      <c r="AK480" s="2" t="s">
        <v>19</v>
      </c>
      <c r="AL480" s="2" t="s">
        <v>22</v>
      </c>
    </row>
    <row r="481" ht="14.25" customHeight="1">
      <c r="A481" s="17">
        <v>45981.0</v>
      </c>
      <c r="B481" s="2" t="s">
        <v>31</v>
      </c>
      <c r="C481" s="2" t="s">
        <v>31</v>
      </c>
      <c r="D481" s="2" t="s">
        <v>31</v>
      </c>
      <c r="E481" s="2" t="s">
        <v>31</v>
      </c>
      <c r="F481" s="2" t="s">
        <v>31</v>
      </c>
      <c r="G481" s="2" t="s">
        <v>31</v>
      </c>
      <c r="H481" s="2" t="s">
        <v>31</v>
      </c>
      <c r="I481" s="2" t="s">
        <v>31</v>
      </c>
      <c r="J481" s="2" t="s">
        <v>31</v>
      </c>
      <c r="K481" s="2" t="s">
        <v>31</v>
      </c>
      <c r="L481" s="2" t="s">
        <v>31</v>
      </c>
      <c r="M481" s="2" t="s">
        <v>31</v>
      </c>
      <c r="N481" s="2" t="s">
        <v>31</v>
      </c>
      <c r="O481" s="2" t="s">
        <v>31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2" t="s">
        <v>16</v>
      </c>
      <c r="V481" s="2" t="s">
        <v>16</v>
      </c>
      <c r="W481" s="2" t="s">
        <v>25</v>
      </c>
      <c r="X481" s="2" t="s">
        <v>25</v>
      </c>
      <c r="Y481" s="2" t="s">
        <v>22</v>
      </c>
      <c r="Z481" s="2" t="s">
        <v>28</v>
      </c>
      <c r="AA481" s="2" t="s">
        <v>19</v>
      </c>
      <c r="AB481" s="2" t="s">
        <v>18</v>
      </c>
      <c r="AC481" s="2" t="s">
        <v>19</v>
      </c>
      <c r="AD481" s="2" t="s">
        <v>21</v>
      </c>
      <c r="AE481" s="2" t="s">
        <v>16</v>
      </c>
      <c r="AF481" s="2" t="s">
        <v>22</v>
      </c>
      <c r="AG481" s="2" t="s">
        <v>16</v>
      </c>
      <c r="AH481" s="2" t="s">
        <v>19</v>
      </c>
      <c r="AI481" s="2" t="s">
        <v>26</v>
      </c>
      <c r="AJ481" s="2" t="s">
        <v>19</v>
      </c>
      <c r="AK481" s="2" t="s">
        <v>27</v>
      </c>
      <c r="AL481" s="2" t="s">
        <v>17</v>
      </c>
    </row>
    <row r="482" ht="14.25" customHeight="1">
      <c r="A482" s="17">
        <v>45982.0</v>
      </c>
      <c r="B482" s="2" t="s">
        <v>31</v>
      </c>
      <c r="C482" s="2" t="s">
        <v>31</v>
      </c>
      <c r="D482" s="2" t="s">
        <v>31</v>
      </c>
      <c r="E482" s="2" t="s">
        <v>31</v>
      </c>
      <c r="F482" s="2" t="s">
        <v>31</v>
      </c>
      <c r="G482" s="2" t="s">
        <v>31</v>
      </c>
      <c r="H482" s="2" t="s">
        <v>31</v>
      </c>
      <c r="I482" s="2" t="s">
        <v>31</v>
      </c>
      <c r="J482" s="2" t="s">
        <v>31</v>
      </c>
      <c r="K482" s="2" t="s">
        <v>31</v>
      </c>
      <c r="L482" s="2" t="s">
        <v>31</v>
      </c>
      <c r="M482" s="2" t="s">
        <v>31</v>
      </c>
      <c r="N482" s="2" t="s">
        <v>31</v>
      </c>
      <c r="O482" s="2" t="s">
        <v>31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2" t="s">
        <v>18</v>
      </c>
      <c r="V482" s="2" t="s">
        <v>22</v>
      </c>
      <c r="W482" s="2" t="s">
        <v>26</v>
      </c>
      <c r="X482" s="2" t="s">
        <v>20</v>
      </c>
      <c r="Y482" s="2" t="s">
        <v>16</v>
      </c>
      <c r="Z482" s="2" t="s">
        <v>27</v>
      </c>
      <c r="AA482" s="2" t="s">
        <v>23</v>
      </c>
      <c r="AB482" s="2" t="s">
        <v>16</v>
      </c>
      <c r="AC482" s="2" t="s">
        <v>22</v>
      </c>
      <c r="AD482" s="2" t="s">
        <v>17</v>
      </c>
      <c r="AE482" s="2" t="s">
        <v>20</v>
      </c>
      <c r="AF482" s="2" t="s">
        <v>28</v>
      </c>
      <c r="AG482" s="2" t="s">
        <v>17</v>
      </c>
      <c r="AH482" s="2" t="s">
        <v>18</v>
      </c>
      <c r="AI482" s="2" t="s">
        <v>17</v>
      </c>
      <c r="AJ482" s="2" t="s">
        <v>23</v>
      </c>
      <c r="AK482" s="2" t="s">
        <v>19</v>
      </c>
      <c r="AL482" s="2" t="s">
        <v>16</v>
      </c>
    </row>
    <row r="483" ht="14.25" customHeight="1">
      <c r="A483" s="17">
        <v>45983.0</v>
      </c>
      <c r="B483" s="2" t="s">
        <v>24</v>
      </c>
      <c r="C483" s="2" t="s">
        <v>32</v>
      </c>
      <c r="D483" s="2" t="s">
        <v>21</v>
      </c>
      <c r="E483" s="2" t="s">
        <v>29</v>
      </c>
      <c r="F483" s="2" t="s">
        <v>20</v>
      </c>
      <c r="G483" s="2" t="s">
        <v>41</v>
      </c>
      <c r="H483" s="2" t="s">
        <v>26</v>
      </c>
      <c r="I483" s="2" t="s">
        <v>21</v>
      </c>
      <c r="J483" s="2" t="s">
        <v>17</v>
      </c>
      <c r="K483" s="2" t="s">
        <v>32</v>
      </c>
      <c r="L483" s="2" t="s">
        <v>16</v>
      </c>
      <c r="M483" s="2" t="s">
        <v>43</v>
      </c>
      <c r="N483" s="2" t="s">
        <v>16</v>
      </c>
      <c r="O483" s="2" t="s">
        <v>33</v>
      </c>
      <c r="P483" s="2" t="s">
        <v>42</v>
      </c>
      <c r="Q483" s="2" t="s">
        <v>32</v>
      </c>
      <c r="R483" s="2" t="s">
        <v>42</v>
      </c>
      <c r="S483" s="2" t="s">
        <v>41</v>
      </c>
      <c r="T483" s="2" t="s">
        <v>32</v>
      </c>
      <c r="U483" s="2" t="s">
        <v>19</v>
      </c>
      <c r="V483" s="2" t="s">
        <v>27</v>
      </c>
      <c r="W483" s="2" t="s">
        <v>16</v>
      </c>
      <c r="X483" s="2" t="s">
        <v>21</v>
      </c>
      <c r="Y483" s="2" t="s">
        <v>17</v>
      </c>
      <c r="Z483" s="2" t="s">
        <v>20</v>
      </c>
      <c r="AA483" s="2" t="s">
        <v>26</v>
      </c>
      <c r="AB483" s="2" t="s">
        <v>16</v>
      </c>
      <c r="AC483" s="2" t="s">
        <v>19</v>
      </c>
      <c r="AD483" s="2" t="s">
        <v>16</v>
      </c>
      <c r="AE483" s="2" t="s">
        <v>24</v>
      </c>
      <c r="AF483" s="2" t="s">
        <v>16</v>
      </c>
      <c r="AG483" s="2" t="s">
        <v>20</v>
      </c>
      <c r="AH483" s="2" t="s">
        <v>28</v>
      </c>
      <c r="AI483" s="2" t="s">
        <v>22</v>
      </c>
      <c r="AJ483" s="2" t="s">
        <v>17</v>
      </c>
      <c r="AK483" s="2" t="s">
        <v>20</v>
      </c>
      <c r="AL483" s="2" t="s">
        <v>20</v>
      </c>
    </row>
    <row r="484" ht="14.25" customHeight="1">
      <c r="A484" s="17">
        <v>45984.0</v>
      </c>
      <c r="B484" s="2" t="s">
        <v>31</v>
      </c>
      <c r="C484" s="2" t="s">
        <v>31</v>
      </c>
      <c r="D484" s="2" t="s">
        <v>31</v>
      </c>
      <c r="E484" s="2" t="s">
        <v>31</v>
      </c>
      <c r="F484" s="2" t="s">
        <v>31</v>
      </c>
      <c r="G484" s="2" t="s">
        <v>31</v>
      </c>
      <c r="H484" s="2" t="s">
        <v>31</v>
      </c>
      <c r="I484" s="2" t="s">
        <v>31</v>
      </c>
      <c r="J484" s="2" t="s">
        <v>31</v>
      </c>
      <c r="K484" s="2" t="s">
        <v>31</v>
      </c>
      <c r="L484" s="2" t="s">
        <v>31</v>
      </c>
      <c r="M484" s="2" t="s">
        <v>31</v>
      </c>
      <c r="N484" s="2" t="s">
        <v>31</v>
      </c>
      <c r="O484" s="2" t="s">
        <v>31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2" t="s">
        <v>16</v>
      </c>
      <c r="V484" s="2" t="s">
        <v>28</v>
      </c>
      <c r="W484" s="2" t="s">
        <v>16</v>
      </c>
      <c r="X484" s="2" t="s">
        <v>16</v>
      </c>
      <c r="Y484" s="2" t="s">
        <v>18</v>
      </c>
      <c r="Z484" s="2" t="s">
        <v>16</v>
      </c>
      <c r="AA484" s="2" t="s">
        <v>24</v>
      </c>
      <c r="AB484" s="2" t="s">
        <v>18</v>
      </c>
      <c r="AC484" s="2" t="s">
        <v>28</v>
      </c>
      <c r="AD484" s="2" t="s">
        <v>20</v>
      </c>
      <c r="AE484" s="2" t="s">
        <v>20</v>
      </c>
      <c r="AF484" s="2" t="s">
        <v>26</v>
      </c>
      <c r="AG484" s="2" t="s">
        <v>25</v>
      </c>
      <c r="AH484" s="2" t="s">
        <v>17</v>
      </c>
      <c r="AI484" s="2" t="s">
        <v>25</v>
      </c>
      <c r="AJ484" s="2" t="s">
        <v>16</v>
      </c>
      <c r="AK484" s="2" t="s">
        <v>17</v>
      </c>
      <c r="AL484" s="2" t="s">
        <v>19</v>
      </c>
    </row>
    <row r="485" ht="14.25" customHeight="1">
      <c r="A485" s="17">
        <v>45985.0</v>
      </c>
      <c r="B485" s="2" t="s">
        <v>31</v>
      </c>
      <c r="C485" s="2" t="s">
        <v>31</v>
      </c>
      <c r="D485" s="2" t="s">
        <v>31</v>
      </c>
      <c r="E485" s="2" t="s">
        <v>31</v>
      </c>
      <c r="F485" s="2" t="s">
        <v>31</v>
      </c>
      <c r="G485" s="2" t="s">
        <v>31</v>
      </c>
      <c r="H485" s="2" t="s">
        <v>31</v>
      </c>
      <c r="I485" s="2" t="s">
        <v>31</v>
      </c>
      <c r="J485" s="2" t="s">
        <v>31</v>
      </c>
      <c r="K485" s="2" t="s">
        <v>31</v>
      </c>
      <c r="L485" s="2" t="s">
        <v>31</v>
      </c>
      <c r="M485" s="2" t="s">
        <v>31</v>
      </c>
      <c r="N485" s="2" t="s">
        <v>31</v>
      </c>
      <c r="O485" s="2" t="s">
        <v>31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2" t="s">
        <v>16</v>
      </c>
      <c r="V485" s="2" t="s">
        <v>27</v>
      </c>
      <c r="W485" s="2" t="s">
        <v>25</v>
      </c>
      <c r="X485" s="2" t="s">
        <v>19</v>
      </c>
      <c r="Y485" s="2" t="s">
        <v>24</v>
      </c>
      <c r="Z485" s="2" t="s">
        <v>16</v>
      </c>
      <c r="AA485" s="2" t="s">
        <v>25</v>
      </c>
      <c r="AB485" s="2" t="s">
        <v>16</v>
      </c>
      <c r="AC485" s="2" t="s">
        <v>27</v>
      </c>
      <c r="AD485" s="2" t="s">
        <v>28</v>
      </c>
      <c r="AE485" s="2" t="s">
        <v>27</v>
      </c>
      <c r="AF485" s="2" t="s">
        <v>16</v>
      </c>
      <c r="AG485" s="2" t="s">
        <v>16</v>
      </c>
      <c r="AH485" s="2" t="s">
        <v>25</v>
      </c>
      <c r="AI485" s="2" t="s">
        <v>23</v>
      </c>
      <c r="AJ485" s="2" t="s">
        <v>27</v>
      </c>
      <c r="AK485" s="2" t="s">
        <v>17</v>
      </c>
      <c r="AL485" s="2" t="s">
        <v>17</v>
      </c>
    </row>
    <row r="486" ht="14.25" customHeight="1">
      <c r="A486" s="17">
        <v>45986.0</v>
      </c>
      <c r="B486" s="2" t="s">
        <v>31</v>
      </c>
      <c r="C486" s="2" t="s">
        <v>31</v>
      </c>
      <c r="D486" s="2" t="s">
        <v>31</v>
      </c>
      <c r="E486" s="2" t="s">
        <v>31</v>
      </c>
      <c r="F486" s="2" t="s">
        <v>31</v>
      </c>
      <c r="G486" s="2" t="s">
        <v>31</v>
      </c>
      <c r="H486" s="2" t="s">
        <v>31</v>
      </c>
      <c r="I486" s="2" t="s">
        <v>31</v>
      </c>
      <c r="J486" s="2" t="s">
        <v>31</v>
      </c>
      <c r="K486" s="2" t="s">
        <v>31</v>
      </c>
      <c r="L486" s="2" t="s">
        <v>31</v>
      </c>
      <c r="M486" s="2" t="s">
        <v>31</v>
      </c>
      <c r="N486" s="2" t="s">
        <v>31</v>
      </c>
      <c r="O486" s="2" t="s">
        <v>31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2" t="s">
        <v>22</v>
      </c>
      <c r="V486" s="2" t="s">
        <v>27</v>
      </c>
      <c r="W486" s="2" t="s">
        <v>16</v>
      </c>
      <c r="X486" s="2" t="s">
        <v>25</v>
      </c>
      <c r="Y486" s="2" t="s">
        <v>16</v>
      </c>
      <c r="Z486" s="2" t="s">
        <v>16</v>
      </c>
      <c r="AA486" s="2" t="s">
        <v>25</v>
      </c>
      <c r="AB486" s="2" t="s">
        <v>21</v>
      </c>
      <c r="AC486" s="2" t="s">
        <v>26</v>
      </c>
      <c r="AD486" s="2" t="s">
        <v>26</v>
      </c>
      <c r="AE486" s="2" t="s">
        <v>16</v>
      </c>
      <c r="AF486" s="2" t="s">
        <v>26</v>
      </c>
      <c r="AG486" s="2" t="s">
        <v>22</v>
      </c>
      <c r="AH486" s="2" t="s">
        <v>16</v>
      </c>
      <c r="AI486" s="2" t="s">
        <v>16</v>
      </c>
      <c r="AJ486" s="2" t="s">
        <v>21</v>
      </c>
      <c r="AK486" s="2" t="s">
        <v>16</v>
      </c>
      <c r="AL486" s="2" t="s">
        <v>18</v>
      </c>
    </row>
    <row r="487" ht="14.25" customHeight="1">
      <c r="A487" s="17">
        <v>45987.0</v>
      </c>
      <c r="B487" s="2" t="s">
        <v>31</v>
      </c>
      <c r="C487" s="2" t="s">
        <v>31</v>
      </c>
      <c r="D487" s="2" t="s">
        <v>31</v>
      </c>
      <c r="E487" s="2" t="s">
        <v>31</v>
      </c>
      <c r="F487" s="2" t="s">
        <v>31</v>
      </c>
      <c r="G487" s="2" t="s">
        <v>31</v>
      </c>
      <c r="H487" s="2" t="s">
        <v>31</v>
      </c>
      <c r="I487" s="2" t="s">
        <v>31</v>
      </c>
      <c r="J487" s="2" t="s">
        <v>31</v>
      </c>
      <c r="K487" s="2" t="s">
        <v>31</v>
      </c>
      <c r="L487" s="2" t="s">
        <v>31</v>
      </c>
      <c r="M487" s="2" t="s">
        <v>31</v>
      </c>
      <c r="N487" s="2" t="s">
        <v>31</v>
      </c>
      <c r="O487" s="2" t="s">
        <v>31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2" t="s">
        <v>20</v>
      </c>
      <c r="V487" s="2" t="s">
        <v>21</v>
      </c>
      <c r="W487" s="2" t="s">
        <v>20</v>
      </c>
      <c r="X487" s="2" t="s">
        <v>19</v>
      </c>
      <c r="Y487" s="2" t="s">
        <v>19</v>
      </c>
      <c r="Z487" s="2" t="s">
        <v>19</v>
      </c>
      <c r="AA487" s="2" t="s">
        <v>21</v>
      </c>
      <c r="AB487" s="2" t="s">
        <v>17</v>
      </c>
      <c r="AC487" s="2" t="s">
        <v>16</v>
      </c>
      <c r="AD487" s="2" t="s">
        <v>20</v>
      </c>
      <c r="AE487" s="2" t="s">
        <v>20</v>
      </c>
      <c r="AF487" s="2" t="s">
        <v>23</v>
      </c>
      <c r="AG487" s="2" t="s">
        <v>28</v>
      </c>
      <c r="AH487" s="2" t="s">
        <v>28</v>
      </c>
      <c r="AI487" s="2" t="s">
        <v>16</v>
      </c>
      <c r="AJ487" s="2" t="s">
        <v>21</v>
      </c>
      <c r="AK487" s="2" t="s">
        <v>17</v>
      </c>
      <c r="AL487" s="2" t="s">
        <v>16</v>
      </c>
    </row>
    <row r="488" ht="14.25" customHeight="1">
      <c r="A488" s="17">
        <v>45988.0</v>
      </c>
      <c r="B488" s="2" t="s">
        <v>31</v>
      </c>
      <c r="C488" s="2" t="s">
        <v>31</v>
      </c>
      <c r="D488" s="2" t="s">
        <v>31</v>
      </c>
      <c r="E488" s="2" t="s">
        <v>31</v>
      </c>
      <c r="F488" s="2" t="s">
        <v>31</v>
      </c>
      <c r="G488" s="2" t="s">
        <v>31</v>
      </c>
      <c r="H488" s="2" t="s">
        <v>31</v>
      </c>
      <c r="I488" s="2" t="s">
        <v>31</v>
      </c>
      <c r="J488" s="2" t="s">
        <v>31</v>
      </c>
      <c r="K488" s="2" t="s">
        <v>31</v>
      </c>
      <c r="L488" s="2" t="s">
        <v>31</v>
      </c>
      <c r="M488" s="2" t="s">
        <v>31</v>
      </c>
      <c r="N488" s="2" t="s">
        <v>31</v>
      </c>
      <c r="O488" s="2" t="s">
        <v>31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2" t="s">
        <v>22</v>
      </c>
      <c r="V488" s="2" t="s">
        <v>17</v>
      </c>
      <c r="W488" s="2" t="s">
        <v>24</v>
      </c>
      <c r="X488" s="2" t="s">
        <v>27</v>
      </c>
      <c r="Y488" s="2" t="s">
        <v>21</v>
      </c>
      <c r="Z488" s="2" t="s">
        <v>28</v>
      </c>
      <c r="AA488" s="2" t="s">
        <v>22</v>
      </c>
      <c r="AB488" s="2" t="s">
        <v>17</v>
      </c>
      <c r="AC488" s="2" t="s">
        <v>16</v>
      </c>
      <c r="AD488" s="2" t="s">
        <v>21</v>
      </c>
      <c r="AE488" s="2" t="s">
        <v>20</v>
      </c>
      <c r="AF488" s="2" t="s">
        <v>20</v>
      </c>
      <c r="AG488" s="2" t="s">
        <v>16</v>
      </c>
      <c r="AH488" s="2" t="s">
        <v>16</v>
      </c>
      <c r="AI488" s="2" t="s">
        <v>20</v>
      </c>
      <c r="AJ488" s="2" t="s">
        <v>27</v>
      </c>
      <c r="AK488" s="2" t="s">
        <v>16</v>
      </c>
      <c r="AL488" s="2" t="s">
        <v>20</v>
      </c>
    </row>
    <row r="489" ht="14.25" customHeight="1">
      <c r="A489" s="17">
        <v>45989.0</v>
      </c>
      <c r="B489" s="2" t="s">
        <v>31</v>
      </c>
      <c r="C489" s="2" t="s">
        <v>31</v>
      </c>
      <c r="D489" s="2" t="s">
        <v>31</v>
      </c>
      <c r="E489" s="2" t="s">
        <v>31</v>
      </c>
      <c r="F489" s="2" t="s">
        <v>31</v>
      </c>
      <c r="G489" s="2" t="s">
        <v>31</v>
      </c>
      <c r="H489" s="2" t="s">
        <v>31</v>
      </c>
      <c r="I489" s="2" t="s">
        <v>31</v>
      </c>
      <c r="J489" s="2" t="s">
        <v>31</v>
      </c>
      <c r="K489" s="2" t="s">
        <v>31</v>
      </c>
      <c r="L489" s="2" t="s">
        <v>31</v>
      </c>
      <c r="M489" s="2" t="s">
        <v>31</v>
      </c>
      <c r="N489" s="2" t="s">
        <v>31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2" t="s">
        <v>16</v>
      </c>
      <c r="V489" s="2" t="s">
        <v>20</v>
      </c>
      <c r="W489" s="2" t="s">
        <v>17</v>
      </c>
      <c r="X489" s="2" t="s">
        <v>26</v>
      </c>
      <c r="Y489" s="2" t="s">
        <v>28</v>
      </c>
      <c r="Z489" s="2" t="s">
        <v>16</v>
      </c>
      <c r="AA489" s="2" t="s">
        <v>16</v>
      </c>
      <c r="AB489" s="2" t="s">
        <v>19</v>
      </c>
      <c r="AC489" s="2" t="s">
        <v>20</v>
      </c>
      <c r="AD489" s="2" t="s">
        <v>19</v>
      </c>
      <c r="AE489" s="2" t="s">
        <v>27</v>
      </c>
      <c r="AF489" s="2" t="s">
        <v>23</v>
      </c>
      <c r="AG489" s="2" t="s">
        <v>20</v>
      </c>
      <c r="AH489" s="2" t="s">
        <v>16</v>
      </c>
      <c r="AI489" s="2" t="s">
        <v>21</v>
      </c>
      <c r="AJ489" s="2" t="s">
        <v>16</v>
      </c>
      <c r="AK489" s="2" t="s">
        <v>16</v>
      </c>
      <c r="AL489" s="2" t="s">
        <v>22</v>
      </c>
    </row>
    <row r="490" ht="14.25" customHeight="1">
      <c r="A490" s="17">
        <v>45990.0</v>
      </c>
      <c r="B490" s="2" t="s">
        <v>20</v>
      </c>
      <c r="C490" s="2" t="s">
        <v>33</v>
      </c>
      <c r="D490" s="2" t="s">
        <v>39</v>
      </c>
      <c r="E490" s="2" t="s">
        <v>33</v>
      </c>
      <c r="F490" s="2" t="s">
        <v>33</v>
      </c>
      <c r="G490" s="2" t="s">
        <v>32</v>
      </c>
      <c r="H490" s="2" t="s">
        <v>22</v>
      </c>
      <c r="I490" s="2" t="s">
        <v>22</v>
      </c>
      <c r="J490" s="2" t="s">
        <v>20</v>
      </c>
      <c r="K490" s="2" t="s">
        <v>16</v>
      </c>
      <c r="L490" s="2" t="s">
        <v>35</v>
      </c>
      <c r="M490" s="2" t="s">
        <v>22</v>
      </c>
      <c r="N490" s="2" t="s">
        <v>23</v>
      </c>
      <c r="O490" s="2" t="s">
        <v>21</v>
      </c>
      <c r="P490" s="2" t="s">
        <v>40</v>
      </c>
      <c r="Q490" s="2" t="s">
        <v>23</v>
      </c>
      <c r="R490" s="2" t="s">
        <v>36</v>
      </c>
      <c r="S490" s="2" t="s">
        <v>26</v>
      </c>
      <c r="T490" s="2" t="s">
        <v>39</v>
      </c>
      <c r="U490" s="2" t="s">
        <v>21</v>
      </c>
      <c r="V490" s="2" t="s">
        <v>27</v>
      </c>
      <c r="W490" s="2" t="s">
        <v>19</v>
      </c>
      <c r="X490" s="2" t="s">
        <v>27</v>
      </c>
      <c r="Y490" s="2" t="s">
        <v>28</v>
      </c>
      <c r="Z490" s="2" t="s">
        <v>16</v>
      </c>
      <c r="AA490" s="2" t="s">
        <v>16</v>
      </c>
      <c r="AB490" s="2" t="s">
        <v>27</v>
      </c>
      <c r="AC490" s="2" t="s">
        <v>27</v>
      </c>
      <c r="AD490" s="2" t="s">
        <v>24</v>
      </c>
      <c r="AE490" s="2" t="s">
        <v>22</v>
      </c>
      <c r="AF490" s="2" t="s">
        <v>16</v>
      </c>
      <c r="AG490" s="2" t="s">
        <v>25</v>
      </c>
      <c r="AH490" s="2" t="s">
        <v>19</v>
      </c>
      <c r="AI490" s="2" t="s">
        <v>17</v>
      </c>
      <c r="AJ490" s="2" t="s">
        <v>24</v>
      </c>
      <c r="AK490" s="2" t="s">
        <v>19</v>
      </c>
      <c r="AL490" s="2" t="s">
        <v>16</v>
      </c>
    </row>
    <row r="491" ht="14.25" customHeight="1">
      <c r="A491" s="17">
        <v>45991.0</v>
      </c>
      <c r="B491" s="2" t="s">
        <v>31</v>
      </c>
      <c r="C491" s="2" t="s">
        <v>31</v>
      </c>
      <c r="D491" s="2" t="s">
        <v>31</v>
      </c>
      <c r="E491" s="2" t="s">
        <v>31</v>
      </c>
      <c r="F491" s="2" t="s">
        <v>31</v>
      </c>
      <c r="G491" s="2" t="s">
        <v>31</v>
      </c>
      <c r="H491" s="2" t="s">
        <v>31</v>
      </c>
      <c r="I491" s="2" t="s">
        <v>31</v>
      </c>
      <c r="J491" s="2" t="s">
        <v>31</v>
      </c>
      <c r="K491" s="2" t="s">
        <v>31</v>
      </c>
      <c r="L491" s="2" t="s">
        <v>31</v>
      </c>
      <c r="M491" s="2" t="s">
        <v>31</v>
      </c>
      <c r="N491" s="2" t="s">
        <v>31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2" t="s">
        <v>23</v>
      </c>
      <c r="V491" s="2" t="s">
        <v>23</v>
      </c>
      <c r="W491" s="2" t="s">
        <v>16</v>
      </c>
      <c r="X491" s="2" t="s">
        <v>16</v>
      </c>
      <c r="Y491" s="2" t="s">
        <v>24</v>
      </c>
      <c r="Z491" s="2" t="s">
        <v>17</v>
      </c>
      <c r="AA491" s="2" t="s">
        <v>26</v>
      </c>
      <c r="AB491" s="2" t="s">
        <v>17</v>
      </c>
      <c r="AC491" s="2" t="s">
        <v>20</v>
      </c>
      <c r="AD491" s="2" t="s">
        <v>26</v>
      </c>
      <c r="AE491" s="2" t="s">
        <v>27</v>
      </c>
      <c r="AF491" s="2" t="s">
        <v>28</v>
      </c>
      <c r="AG491" s="2" t="s">
        <v>18</v>
      </c>
      <c r="AH491" s="2" t="s">
        <v>28</v>
      </c>
      <c r="AI491" s="2" t="s">
        <v>27</v>
      </c>
      <c r="AJ491" s="2" t="s">
        <v>28</v>
      </c>
      <c r="AK491" s="2" t="s">
        <v>24</v>
      </c>
      <c r="AL491" s="2" t="s">
        <v>16</v>
      </c>
    </row>
    <row r="492" ht="14.25" customHeight="1">
      <c r="A492" s="17">
        <v>45992.0</v>
      </c>
      <c r="B492" s="2" t="s">
        <v>31</v>
      </c>
      <c r="C492" s="2" t="s">
        <v>31</v>
      </c>
      <c r="D492" s="2" t="s">
        <v>31</v>
      </c>
      <c r="E492" s="2" t="s">
        <v>31</v>
      </c>
      <c r="F492" s="2" t="s">
        <v>31</v>
      </c>
      <c r="G492" s="2" t="s">
        <v>31</v>
      </c>
      <c r="H492" s="2" t="s">
        <v>31</v>
      </c>
      <c r="I492" s="2" t="s">
        <v>31</v>
      </c>
      <c r="J492" s="2" t="s">
        <v>31</v>
      </c>
      <c r="K492" s="2" t="s">
        <v>31</v>
      </c>
      <c r="L492" s="2" t="s">
        <v>31</v>
      </c>
      <c r="M492" s="2" t="s">
        <v>31</v>
      </c>
      <c r="N492" s="2" t="s">
        <v>31</v>
      </c>
      <c r="O492" s="2" t="s">
        <v>31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2" t="s">
        <v>21</v>
      </c>
      <c r="V492" s="2" t="s">
        <v>16</v>
      </c>
      <c r="W492" s="2" t="s">
        <v>16</v>
      </c>
      <c r="X492" s="2" t="s">
        <v>17</v>
      </c>
      <c r="Y492" s="2" t="s">
        <v>24</v>
      </c>
      <c r="Z492" s="2" t="s">
        <v>16</v>
      </c>
      <c r="AA492" s="2" t="s">
        <v>28</v>
      </c>
      <c r="AB492" s="2" t="s">
        <v>19</v>
      </c>
      <c r="AC492" s="2" t="s">
        <v>16</v>
      </c>
      <c r="AD492" s="2" t="s">
        <v>27</v>
      </c>
      <c r="AE492" s="2" t="s">
        <v>16</v>
      </c>
      <c r="AF492" s="2" t="s">
        <v>16</v>
      </c>
      <c r="AG492" s="2" t="s">
        <v>16</v>
      </c>
      <c r="AH492" s="2" t="s">
        <v>28</v>
      </c>
      <c r="AI492" s="2" t="s">
        <v>27</v>
      </c>
      <c r="AJ492" s="2" t="s">
        <v>22</v>
      </c>
      <c r="AK492" s="2" t="s">
        <v>26</v>
      </c>
      <c r="AL492" s="2" t="s">
        <v>27</v>
      </c>
    </row>
    <row r="493" ht="14.25" customHeight="1">
      <c r="A493" s="17">
        <v>45993.0</v>
      </c>
      <c r="B493" s="2" t="s">
        <v>31</v>
      </c>
      <c r="C493" s="2" t="s">
        <v>31</v>
      </c>
      <c r="D493" s="2" t="s">
        <v>31</v>
      </c>
      <c r="E493" s="2" t="s">
        <v>31</v>
      </c>
      <c r="F493" s="2" t="s">
        <v>31</v>
      </c>
      <c r="G493" s="2" t="s">
        <v>31</v>
      </c>
      <c r="H493" s="2" t="s">
        <v>31</v>
      </c>
      <c r="I493" s="2" t="s">
        <v>31</v>
      </c>
      <c r="J493" s="2" t="s">
        <v>31</v>
      </c>
      <c r="K493" s="2" t="s">
        <v>31</v>
      </c>
      <c r="L493" s="2" t="s">
        <v>31</v>
      </c>
      <c r="M493" s="2" t="s">
        <v>31</v>
      </c>
      <c r="N493" s="2" t="s">
        <v>31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2" t="s">
        <v>28</v>
      </c>
      <c r="V493" s="2" t="s">
        <v>20</v>
      </c>
      <c r="W493" s="2" t="s">
        <v>16</v>
      </c>
      <c r="X493" s="2" t="s">
        <v>18</v>
      </c>
      <c r="Y493" s="2" t="s">
        <v>16</v>
      </c>
      <c r="Z493" s="2" t="s">
        <v>19</v>
      </c>
      <c r="AA493" s="2" t="s">
        <v>16</v>
      </c>
      <c r="AB493" s="2" t="s">
        <v>19</v>
      </c>
      <c r="AC493" s="2" t="s">
        <v>16</v>
      </c>
      <c r="AD493" s="2" t="s">
        <v>16</v>
      </c>
      <c r="AE493" s="2" t="s">
        <v>16</v>
      </c>
      <c r="AF493" s="2" t="s">
        <v>16</v>
      </c>
      <c r="AG493" s="2" t="s">
        <v>28</v>
      </c>
      <c r="AH493" s="2" t="s">
        <v>16</v>
      </c>
      <c r="AI493" s="2" t="s">
        <v>20</v>
      </c>
      <c r="AJ493" s="2" t="s">
        <v>23</v>
      </c>
      <c r="AK493" s="2" t="s">
        <v>20</v>
      </c>
      <c r="AL493" s="2" t="s">
        <v>25</v>
      </c>
    </row>
    <row r="494" ht="14.25" customHeight="1">
      <c r="A494" s="17">
        <v>45994.0</v>
      </c>
      <c r="B494" s="2" t="s">
        <v>31</v>
      </c>
      <c r="C494" s="2" t="s">
        <v>31</v>
      </c>
      <c r="D494" s="2" t="s">
        <v>31</v>
      </c>
      <c r="E494" s="2" t="s">
        <v>31</v>
      </c>
      <c r="F494" s="2" t="s">
        <v>31</v>
      </c>
      <c r="G494" s="2" t="s">
        <v>31</v>
      </c>
      <c r="H494" s="2" t="s">
        <v>31</v>
      </c>
      <c r="I494" s="2" t="s">
        <v>31</v>
      </c>
      <c r="J494" s="2" t="s">
        <v>31</v>
      </c>
      <c r="K494" s="2" t="s">
        <v>31</v>
      </c>
      <c r="L494" s="2" t="s">
        <v>31</v>
      </c>
      <c r="M494" s="2" t="s">
        <v>31</v>
      </c>
      <c r="N494" s="2" t="s">
        <v>31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2" t="s">
        <v>28</v>
      </c>
      <c r="V494" s="2" t="s">
        <v>16</v>
      </c>
      <c r="W494" s="2" t="s">
        <v>26</v>
      </c>
      <c r="X494" s="2" t="s">
        <v>16</v>
      </c>
      <c r="Y494" s="2" t="s">
        <v>27</v>
      </c>
      <c r="Z494" s="2" t="s">
        <v>26</v>
      </c>
      <c r="AA494" s="2" t="s">
        <v>16</v>
      </c>
      <c r="AB494" s="2" t="s">
        <v>16</v>
      </c>
      <c r="AC494" s="2" t="s">
        <v>16</v>
      </c>
      <c r="AD494" s="2" t="s">
        <v>17</v>
      </c>
      <c r="AE494" s="2" t="s">
        <v>27</v>
      </c>
      <c r="AF494" s="2" t="s">
        <v>21</v>
      </c>
      <c r="AG494" s="2" t="s">
        <v>18</v>
      </c>
      <c r="AH494" s="2" t="s">
        <v>26</v>
      </c>
      <c r="AI494" s="2" t="s">
        <v>21</v>
      </c>
      <c r="AJ494" s="2" t="s">
        <v>20</v>
      </c>
      <c r="AK494" s="2" t="s">
        <v>16</v>
      </c>
      <c r="AL494" s="2" t="s">
        <v>18</v>
      </c>
    </row>
    <row r="495" ht="14.25" customHeight="1">
      <c r="A495" s="17">
        <v>45995.0</v>
      </c>
      <c r="B495" s="2" t="s">
        <v>31</v>
      </c>
      <c r="C495" s="2" t="s">
        <v>31</v>
      </c>
      <c r="D495" s="2" t="s">
        <v>31</v>
      </c>
      <c r="E495" s="2" t="s">
        <v>31</v>
      </c>
      <c r="F495" s="2" t="s">
        <v>31</v>
      </c>
      <c r="G495" s="2" t="s">
        <v>31</v>
      </c>
      <c r="H495" s="2" t="s">
        <v>31</v>
      </c>
      <c r="I495" s="2" t="s">
        <v>31</v>
      </c>
      <c r="J495" s="2" t="s">
        <v>31</v>
      </c>
      <c r="K495" s="2" t="s">
        <v>31</v>
      </c>
      <c r="L495" s="2" t="s">
        <v>31</v>
      </c>
      <c r="M495" s="2" t="s">
        <v>31</v>
      </c>
      <c r="N495" s="2" t="s">
        <v>31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2" t="s">
        <v>26</v>
      </c>
      <c r="V495" s="2" t="s">
        <v>16</v>
      </c>
      <c r="W495" s="2" t="s">
        <v>24</v>
      </c>
      <c r="X495" s="2" t="s">
        <v>16</v>
      </c>
      <c r="Y495" s="2" t="s">
        <v>16</v>
      </c>
      <c r="Z495" s="2" t="s">
        <v>24</v>
      </c>
      <c r="AA495" s="2" t="s">
        <v>26</v>
      </c>
      <c r="AB495" s="2" t="s">
        <v>28</v>
      </c>
      <c r="AC495" s="2" t="s">
        <v>21</v>
      </c>
      <c r="AD495" s="2" t="s">
        <v>18</v>
      </c>
      <c r="AE495" s="2" t="s">
        <v>22</v>
      </c>
      <c r="AF495" s="2" t="s">
        <v>27</v>
      </c>
      <c r="AG495" s="2" t="s">
        <v>21</v>
      </c>
      <c r="AH495" s="2" t="s">
        <v>24</v>
      </c>
      <c r="AI495" s="2" t="s">
        <v>16</v>
      </c>
      <c r="AJ495" s="2" t="s">
        <v>17</v>
      </c>
      <c r="AK495" s="2" t="s">
        <v>16</v>
      </c>
      <c r="AL495" s="2" t="s">
        <v>24</v>
      </c>
    </row>
    <row r="496" ht="14.25" customHeight="1">
      <c r="A496" s="17">
        <v>45996.0</v>
      </c>
      <c r="B496" s="2" t="s">
        <v>31</v>
      </c>
      <c r="C496" s="2" t="s">
        <v>31</v>
      </c>
      <c r="D496" s="2" t="s">
        <v>31</v>
      </c>
      <c r="E496" s="2" t="s">
        <v>31</v>
      </c>
      <c r="F496" s="2" t="s">
        <v>31</v>
      </c>
      <c r="G496" s="2" t="s">
        <v>31</v>
      </c>
      <c r="H496" s="2" t="s">
        <v>31</v>
      </c>
      <c r="I496" s="2" t="s">
        <v>31</v>
      </c>
      <c r="J496" s="2" t="s">
        <v>31</v>
      </c>
      <c r="K496" s="2" t="s">
        <v>31</v>
      </c>
      <c r="L496" s="2" t="s">
        <v>31</v>
      </c>
      <c r="M496" s="2" t="s">
        <v>31</v>
      </c>
      <c r="N496" s="2" t="s">
        <v>31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2" t="s">
        <v>24</v>
      </c>
      <c r="V496" s="2" t="s">
        <v>24</v>
      </c>
      <c r="W496" s="2" t="s">
        <v>21</v>
      </c>
      <c r="X496" s="2" t="s">
        <v>24</v>
      </c>
      <c r="Y496" s="2" t="s">
        <v>21</v>
      </c>
      <c r="Z496" s="2" t="s">
        <v>16</v>
      </c>
      <c r="AA496" s="2" t="s">
        <v>18</v>
      </c>
      <c r="AB496" s="2" t="s">
        <v>27</v>
      </c>
      <c r="AC496" s="2" t="s">
        <v>21</v>
      </c>
      <c r="AD496" s="2" t="s">
        <v>25</v>
      </c>
      <c r="AE496" s="2" t="s">
        <v>16</v>
      </c>
      <c r="AF496" s="2" t="s">
        <v>18</v>
      </c>
      <c r="AG496" s="2" t="s">
        <v>27</v>
      </c>
      <c r="AH496" s="2" t="s">
        <v>21</v>
      </c>
      <c r="AI496" s="2" t="s">
        <v>16</v>
      </c>
      <c r="AJ496" s="2" t="s">
        <v>16</v>
      </c>
      <c r="AK496" s="2" t="s">
        <v>28</v>
      </c>
      <c r="AL496" s="2" t="s">
        <v>22</v>
      </c>
    </row>
    <row r="497" ht="14.25" customHeight="1">
      <c r="A497" s="17">
        <v>45997.0</v>
      </c>
      <c r="B497" s="2" t="s">
        <v>18</v>
      </c>
      <c r="C497" s="2" t="s">
        <v>32</v>
      </c>
      <c r="D497" s="2" t="s">
        <v>16</v>
      </c>
      <c r="E497" s="2" t="s">
        <v>35</v>
      </c>
      <c r="F497" s="2" t="s">
        <v>18</v>
      </c>
      <c r="G497" s="2" t="s">
        <v>33</v>
      </c>
      <c r="H497" s="2" t="s">
        <v>38</v>
      </c>
      <c r="I497" s="2" t="s">
        <v>29</v>
      </c>
      <c r="J497" s="2" t="s">
        <v>41</v>
      </c>
      <c r="K497" s="2" t="s">
        <v>21</v>
      </c>
      <c r="L497" s="2" t="s">
        <v>16</v>
      </c>
      <c r="M497" s="2" t="s">
        <v>19</v>
      </c>
      <c r="N497" s="2" t="s">
        <v>35</v>
      </c>
      <c r="O497" s="2" t="s">
        <v>41</v>
      </c>
      <c r="P497" s="2" t="s">
        <v>34</v>
      </c>
      <c r="Q497" s="2" t="s">
        <v>36</v>
      </c>
      <c r="R497" s="2" t="s">
        <v>35</v>
      </c>
      <c r="S497" s="2" t="s">
        <v>17</v>
      </c>
      <c r="T497" s="2" t="s">
        <v>38</v>
      </c>
      <c r="U497" s="2" t="s">
        <v>26</v>
      </c>
      <c r="V497" s="2" t="s">
        <v>24</v>
      </c>
      <c r="W497" s="2" t="s">
        <v>16</v>
      </c>
      <c r="X497" s="2" t="s">
        <v>16</v>
      </c>
      <c r="Y497" s="2" t="s">
        <v>28</v>
      </c>
      <c r="Z497" s="2" t="s">
        <v>16</v>
      </c>
      <c r="AA497" s="2" t="s">
        <v>16</v>
      </c>
      <c r="AB497" s="2" t="s">
        <v>16</v>
      </c>
      <c r="AC497" s="2" t="s">
        <v>25</v>
      </c>
      <c r="AD497" s="2" t="s">
        <v>27</v>
      </c>
      <c r="AE497" s="2" t="s">
        <v>18</v>
      </c>
      <c r="AF497" s="2" t="s">
        <v>24</v>
      </c>
      <c r="AG497" s="2" t="s">
        <v>23</v>
      </c>
      <c r="AH497" s="2" t="s">
        <v>16</v>
      </c>
      <c r="AI497" s="2" t="s">
        <v>16</v>
      </c>
      <c r="AJ497" s="2" t="s">
        <v>27</v>
      </c>
      <c r="AK497" s="2" t="s">
        <v>16</v>
      </c>
      <c r="AL497" s="2" t="s">
        <v>16</v>
      </c>
    </row>
    <row r="498" ht="14.25" customHeight="1">
      <c r="A498" s="17">
        <v>45998.0</v>
      </c>
      <c r="B498" s="2" t="s">
        <v>31</v>
      </c>
      <c r="C498" s="2" t="s">
        <v>31</v>
      </c>
      <c r="D498" s="2" t="s">
        <v>31</v>
      </c>
      <c r="E498" s="2" t="s">
        <v>31</v>
      </c>
      <c r="F498" s="2" t="s">
        <v>31</v>
      </c>
      <c r="G498" s="2" t="s">
        <v>31</v>
      </c>
      <c r="H498" s="2" t="s">
        <v>31</v>
      </c>
      <c r="I498" s="2" t="s">
        <v>31</v>
      </c>
      <c r="J498" s="2" t="s">
        <v>31</v>
      </c>
      <c r="K498" s="2" t="s">
        <v>31</v>
      </c>
      <c r="L498" s="2" t="s">
        <v>31</v>
      </c>
      <c r="M498" s="2" t="s">
        <v>31</v>
      </c>
      <c r="N498" s="2" t="s">
        <v>31</v>
      </c>
      <c r="O498" s="2" t="s">
        <v>31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2" t="s">
        <v>22</v>
      </c>
      <c r="V498" s="2" t="s">
        <v>16</v>
      </c>
      <c r="W498" s="2" t="s">
        <v>20</v>
      </c>
      <c r="X498" s="2" t="s">
        <v>19</v>
      </c>
      <c r="Y498" s="2" t="s">
        <v>27</v>
      </c>
      <c r="Z498" s="2" t="s">
        <v>16</v>
      </c>
      <c r="AA498" s="2" t="s">
        <v>25</v>
      </c>
      <c r="AB498" s="2" t="s">
        <v>16</v>
      </c>
      <c r="AC498" s="2" t="s">
        <v>16</v>
      </c>
      <c r="AD498" s="2" t="s">
        <v>26</v>
      </c>
      <c r="AE498" s="2" t="s">
        <v>16</v>
      </c>
      <c r="AF498" s="2" t="s">
        <v>16</v>
      </c>
      <c r="AG498" s="2" t="s">
        <v>18</v>
      </c>
      <c r="AH498" s="2" t="s">
        <v>25</v>
      </c>
      <c r="AI498" s="2" t="s">
        <v>25</v>
      </c>
      <c r="AJ498" s="2" t="s">
        <v>19</v>
      </c>
      <c r="AK498" s="2" t="s">
        <v>20</v>
      </c>
      <c r="AL498" s="2" t="s">
        <v>16</v>
      </c>
    </row>
    <row r="499" ht="14.25" customHeight="1">
      <c r="A499" s="17">
        <v>45999.0</v>
      </c>
      <c r="B499" s="2" t="s">
        <v>31</v>
      </c>
      <c r="C499" s="2" t="s">
        <v>31</v>
      </c>
      <c r="D499" s="2" t="s">
        <v>31</v>
      </c>
      <c r="E499" s="2" t="s">
        <v>31</v>
      </c>
      <c r="F499" s="2" t="s">
        <v>31</v>
      </c>
      <c r="G499" s="2" t="s">
        <v>31</v>
      </c>
      <c r="H499" s="2" t="s">
        <v>31</v>
      </c>
      <c r="I499" s="2" t="s">
        <v>31</v>
      </c>
      <c r="J499" s="2" t="s">
        <v>31</v>
      </c>
      <c r="K499" s="2" t="s">
        <v>31</v>
      </c>
      <c r="L499" s="2" t="s">
        <v>31</v>
      </c>
      <c r="M499" s="2" t="s">
        <v>31</v>
      </c>
      <c r="N499" s="2" t="s">
        <v>31</v>
      </c>
      <c r="O499" s="2" t="s">
        <v>31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2" t="s">
        <v>16</v>
      </c>
      <c r="V499" s="2" t="s">
        <v>16</v>
      </c>
      <c r="W499" s="2" t="s">
        <v>27</v>
      </c>
      <c r="X499" s="2" t="s">
        <v>18</v>
      </c>
      <c r="Y499" s="2" t="s">
        <v>17</v>
      </c>
      <c r="Z499" s="2" t="s">
        <v>18</v>
      </c>
      <c r="AA499" s="2" t="s">
        <v>16</v>
      </c>
      <c r="AB499" s="2" t="s">
        <v>16</v>
      </c>
      <c r="AC499" s="2" t="s">
        <v>18</v>
      </c>
      <c r="AD499" s="2" t="s">
        <v>19</v>
      </c>
      <c r="AE499" s="2" t="s">
        <v>24</v>
      </c>
      <c r="AF499" s="2" t="s">
        <v>19</v>
      </c>
      <c r="AG499" s="2" t="s">
        <v>27</v>
      </c>
      <c r="AH499" s="2" t="s">
        <v>22</v>
      </c>
      <c r="AI499" s="2" t="s">
        <v>16</v>
      </c>
      <c r="AJ499" s="2" t="s">
        <v>25</v>
      </c>
      <c r="AK499" s="2" t="s">
        <v>19</v>
      </c>
      <c r="AL499" s="2" t="s">
        <v>16</v>
      </c>
    </row>
    <row r="500" ht="14.25" customHeight="1">
      <c r="A500" s="17">
        <v>46000.0</v>
      </c>
      <c r="B500" s="2" t="s">
        <v>31</v>
      </c>
      <c r="C500" s="2" t="s">
        <v>31</v>
      </c>
      <c r="D500" s="2" t="s">
        <v>31</v>
      </c>
      <c r="E500" s="2" t="s">
        <v>31</v>
      </c>
      <c r="F500" s="2" t="s">
        <v>31</v>
      </c>
      <c r="G500" s="2" t="s">
        <v>31</v>
      </c>
      <c r="H500" s="2" t="s">
        <v>31</v>
      </c>
      <c r="I500" s="2" t="s">
        <v>31</v>
      </c>
      <c r="J500" s="2" t="s">
        <v>31</v>
      </c>
      <c r="K500" s="2" t="s">
        <v>31</v>
      </c>
      <c r="L500" s="2" t="s">
        <v>31</v>
      </c>
      <c r="M500" s="2" t="s">
        <v>31</v>
      </c>
      <c r="N500" s="2" t="s">
        <v>31</v>
      </c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2" t="s">
        <v>23</v>
      </c>
      <c r="V500" s="2" t="s">
        <v>16</v>
      </c>
      <c r="W500" s="2" t="s">
        <v>16</v>
      </c>
      <c r="X500" s="2" t="s">
        <v>16</v>
      </c>
      <c r="Y500" s="2" t="s">
        <v>19</v>
      </c>
      <c r="Z500" s="2" t="s">
        <v>18</v>
      </c>
      <c r="AA500" s="2" t="s">
        <v>18</v>
      </c>
      <c r="AB500" s="2" t="s">
        <v>26</v>
      </c>
      <c r="AC500" s="2" t="s">
        <v>25</v>
      </c>
      <c r="AD500" s="2" t="s">
        <v>22</v>
      </c>
      <c r="AE500" s="2" t="s">
        <v>21</v>
      </c>
      <c r="AF500" s="2" t="s">
        <v>21</v>
      </c>
      <c r="AG500" s="2" t="s">
        <v>22</v>
      </c>
      <c r="AH500" s="2" t="s">
        <v>27</v>
      </c>
      <c r="AI500" s="2" t="s">
        <v>16</v>
      </c>
      <c r="AJ500" s="2" t="s">
        <v>16</v>
      </c>
      <c r="AK500" s="2" t="s">
        <v>19</v>
      </c>
      <c r="AL500" s="2" t="s">
        <v>25</v>
      </c>
    </row>
    <row r="501" ht="14.25" customHeight="1">
      <c r="A501" s="17">
        <v>46001.0</v>
      </c>
      <c r="B501" s="2" t="s">
        <v>31</v>
      </c>
      <c r="C501" s="2" t="s">
        <v>31</v>
      </c>
      <c r="D501" s="2" t="s">
        <v>31</v>
      </c>
      <c r="E501" s="2" t="s">
        <v>31</v>
      </c>
      <c r="F501" s="2" t="s">
        <v>31</v>
      </c>
      <c r="G501" s="2" t="s">
        <v>31</v>
      </c>
      <c r="H501" s="2" t="s">
        <v>31</v>
      </c>
      <c r="I501" s="2" t="s">
        <v>31</v>
      </c>
      <c r="J501" s="2" t="s">
        <v>31</v>
      </c>
      <c r="K501" s="2" t="s">
        <v>31</v>
      </c>
      <c r="L501" s="2" t="s">
        <v>31</v>
      </c>
      <c r="M501" s="2" t="s">
        <v>31</v>
      </c>
      <c r="N501" s="2" t="s">
        <v>31</v>
      </c>
      <c r="O501" s="2" t="s">
        <v>31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2" t="s">
        <v>22</v>
      </c>
      <c r="V501" s="2" t="s">
        <v>19</v>
      </c>
      <c r="W501" s="2" t="s">
        <v>22</v>
      </c>
      <c r="X501" s="2" t="s">
        <v>23</v>
      </c>
      <c r="Y501" s="2" t="s">
        <v>16</v>
      </c>
      <c r="Z501" s="2" t="s">
        <v>27</v>
      </c>
      <c r="AA501" s="2" t="s">
        <v>22</v>
      </c>
      <c r="AB501" s="2" t="s">
        <v>27</v>
      </c>
      <c r="AC501" s="2" t="s">
        <v>25</v>
      </c>
      <c r="AD501" s="2" t="s">
        <v>27</v>
      </c>
      <c r="AE501" s="2" t="s">
        <v>16</v>
      </c>
      <c r="AF501" s="2" t="s">
        <v>28</v>
      </c>
      <c r="AG501" s="2" t="s">
        <v>19</v>
      </c>
      <c r="AH501" s="2" t="s">
        <v>19</v>
      </c>
      <c r="AI501" s="2" t="s">
        <v>27</v>
      </c>
      <c r="AJ501" s="2" t="s">
        <v>16</v>
      </c>
      <c r="AK501" s="2" t="s">
        <v>27</v>
      </c>
      <c r="AL501" s="2" t="s">
        <v>28</v>
      </c>
    </row>
    <row r="502" ht="14.25" customHeight="1">
      <c r="A502" s="17">
        <v>46002.0</v>
      </c>
      <c r="B502" s="2" t="s">
        <v>31</v>
      </c>
      <c r="C502" s="2" t="s">
        <v>31</v>
      </c>
      <c r="D502" s="2" t="s">
        <v>31</v>
      </c>
      <c r="E502" s="2" t="s">
        <v>31</v>
      </c>
      <c r="F502" s="2" t="s">
        <v>31</v>
      </c>
      <c r="G502" s="2" t="s">
        <v>31</v>
      </c>
      <c r="H502" s="2" t="s">
        <v>31</v>
      </c>
      <c r="I502" s="2" t="s">
        <v>31</v>
      </c>
      <c r="J502" s="2" t="s">
        <v>31</v>
      </c>
      <c r="K502" s="2" t="s">
        <v>31</v>
      </c>
      <c r="L502" s="2" t="s">
        <v>31</v>
      </c>
      <c r="M502" s="2" t="s">
        <v>31</v>
      </c>
      <c r="N502" s="2" t="s">
        <v>31</v>
      </c>
      <c r="O502" s="2" t="s">
        <v>31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2" t="s">
        <v>25</v>
      </c>
      <c r="V502" s="2" t="s">
        <v>24</v>
      </c>
      <c r="W502" s="2" t="s">
        <v>16</v>
      </c>
      <c r="X502" s="2" t="s">
        <v>19</v>
      </c>
      <c r="Y502" s="2" t="s">
        <v>26</v>
      </c>
      <c r="Z502" s="2" t="s">
        <v>16</v>
      </c>
      <c r="AA502" s="2" t="s">
        <v>21</v>
      </c>
      <c r="AB502" s="2" t="s">
        <v>27</v>
      </c>
      <c r="AC502" s="2" t="s">
        <v>22</v>
      </c>
      <c r="AD502" s="2" t="s">
        <v>27</v>
      </c>
      <c r="AE502" s="2" t="s">
        <v>16</v>
      </c>
      <c r="AF502" s="2" t="s">
        <v>16</v>
      </c>
      <c r="AG502" s="2" t="s">
        <v>16</v>
      </c>
      <c r="AH502" s="2" t="s">
        <v>16</v>
      </c>
      <c r="AI502" s="2" t="s">
        <v>17</v>
      </c>
      <c r="AJ502" s="2" t="s">
        <v>17</v>
      </c>
      <c r="AK502" s="2" t="s">
        <v>16</v>
      </c>
      <c r="AL502" s="2" t="s">
        <v>16</v>
      </c>
    </row>
    <row r="503" ht="14.25" customHeight="1">
      <c r="A503" s="17">
        <v>46003.0</v>
      </c>
      <c r="B503" s="2" t="s">
        <v>31</v>
      </c>
      <c r="C503" s="2" t="s">
        <v>31</v>
      </c>
      <c r="D503" s="2" t="s">
        <v>31</v>
      </c>
      <c r="E503" s="2" t="s">
        <v>31</v>
      </c>
      <c r="F503" s="2" t="s">
        <v>31</v>
      </c>
      <c r="G503" s="2" t="s">
        <v>31</v>
      </c>
      <c r="H503" s="2" t="s">
        <v>31</v>
      </c>
      <c r="I503" s="2" t="s">
        <v>31</v>
      </c>
      <c r="J503" s="2" t="s">
        <v>31</v>
      </c>
      <c r="K503" s="2" t="s">
        <v>31</v>
      </c>
      <c r="L503" s="2" t="s">
        <v>31</v>
      </c>
      <c r="M503" s="2" t="s">
        <v>31</v>
      </c>
      <c r="N503" s="2" t="s">
        <v>31</v>
      </c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2" t="s">
        <v>17</v>
      </c>
      <c r="V503" s="2" t="s">
        <v>27</v>
      </c>
      <c r="W503" s="2" t="s">
        <v>20</v>
      </c>
      <c r="X503" s="2" t="s">
        <v>24</v>
      </c>
      <c r="Y503" s="2" t="s">
        <v>16</v>
      </c>
      <c r="Z503" s="2" t="s">
        <v>28</v>
      </c>
      <c r="AA503" s="2" t="s">
        <v>16</v>
      </c>
      <c r="AB503" s="2" t="s">
        <v>16</v>
      </c>
      <c r="AC503" s="2" t="s">
        <v>17</v>
      </c>
      <c r="AD503" s="2" t="s">
        <v>19</v>
      </c>
      <c r="AE503" s="2" t="s">
        <v>16</v>
      </c>
      <c r="AF503" s="2" t="s">
        <v>16</v>
      </c>
      <c r="AG503" s="2" t="s">
        <v>23</v>
      </c>
      <c r="AH503" s="2" t="s">
        <v>17</v>
      </c>
      <c r="AI503" s="2" t="s">
        <v>21</v>
      </c>
      <c r="AJ503" s="2" t="s">
        <v>19</v>
      </c>
      <c r="AK503" s="2" t="s">
        <v>16</v>
      </c>
      <c r="AL503" s="2" t="s">
        <v>16</v>
      </c>
    </row>
    <row r="504" ht="14.25" customHeight="1">
      <c r="A504" s="17">
        <v>46004.0</v>
      </c>
      <c r="B504" s="2" t="s">
        <v>24</v>
      </c>
      <c r="C504" s="2" t="s">
        <v>20</v>
      </c>
      <c r="D504" s="2" t="s">
        <v>33</v>
      </c>
      <c r="E504" s="2" t="s">
        <v>41</v>
      </c>
      <c r="F504" s="2" t="s">
        <v>43</v>
      </c>
      <c r="G504" s="2" t="s">
        <v>28</v>
      </c>
      <c r="H504" s="2" t="s">
        <v>30</v>
      </c>
      <c r="I504" s="2" t="s">
        <v>20</v>
      </c>
      <c r="J504" s="2" t="s">
        <v>36</v>
      </c>
      <c r="K504" s="2" t="s">
        <v>38</v>
      </c>
      <c r="L504" s="2" t="s">
        <v>16</v>
      </c>
      <c r="M504" s="2" t="s">
        <v>37</v>
      </c>
      <c r="N504" s="2" t="s">
        <v>16</v>
      </c>
      <c r="O504" s="2" t="s">
        <v>33</v>
      </c>
      <c r="P504" s="2" t="s">
        <v>29</v>
      </c>
      <c r="Q504" s="2" t="s">
        <v>40</v>
      </c>
      <c r="R504" s="2" t="s">
        <v>26</v>
      </c>
      <c r="S504" s="2" t="s">
        <v>36</v>
      </c>
      <c r="T504" s="2" t="s">
        <v>39</v>
      </c>
      <c r="U504" s="2" t="s">
        <v>27</v>
      </c>
      <c r="V504" s="2" t="s">
        <v>22</v>
      </c>
      <c r="W504" s="2" t="s">
        <v>17</v>
      </c>
      <c r="X504" s="2" t="s">
        <v>16</v>
      </c>
      <c r="Y504" s="2" t="s">
        <v>16</v>
      </c>
      <c r="Z504" s="2" t="s">
        <v>26</v>
      </c>
      <c r="AA504" s="2" t="s">
        <v>26</v>
      </c>
      <c r="AB504" s="2" t="s">
        <v>27</v>
      </c>
      <c r="AC504" s="2" t="s">
        <v>19</v>
      </c>
      <c r="AD504" s="2" t="s">
        <v>26</v>
      </c>
      <c r="AE504" s="2" t="s">
        <v>27</v>
      </c>
      <c r="AF504" s="2" t="s">
        <v>26</v>
      </c>
      <c r="AG504" s="2" t="s">
        <v>17</v>
      </c>
      <c r="AH504" s="2" t="s">
        <v>23</v>
      </c>
      <c r="AI504" s="2" t="s">
        <v>16</v>
      </c>
      <c r="AJ504" s="2" t="s">
        <v>25</v>
      </c>
      <c r="AK504" s="2" t="s">
        <v>16</v>
      </c>
      <c r="AL504" s="2" t="s">
        <v>16</v>
      </c>
    </row>
    <row r="505" ht="14.25" customHeight="1">
      <c r="A505" s="17">
        <v>46005.0</v>
      </c>
      <c r="B505" s="2" t="s">
        <v>31</v>
      </c>
      <c r="C505" s="2" t="s">
        <v>31</v>
      </c>
      <c r="D505" s="2" t="s">
        <v>31</v>
      </c>
      <c r="E505" s="2" t="s">
        <v>31</v>
      </c>
      <c r="F505" s="2" t="s">
        <v>31</v>
      </c>
      <c r="G505" s="2" t="s">
        <v>31</v>
      </c>
      <c r="H505" s="2" t="s">
        <v>31</v>
      </c>
      <c r="I505" s="2" t="s">
        <v>31</v>
      </c>
      <c r="J505" s="2" t="s">
        <v>31</v>
      </c>
      <c r="K505" s="2" t="s">
        <v>31</v>
      </c>
      <c r="L505" s="2" t="s">
        <v>31</v>
      </c>
      <c r="M505" s="2" t="s">
        <v>31</v>
      </c>
      <c r="N505" s="2" t="s">
        <v>31</v>
      </c>
      <c r="O505" s="2" t="s">
        <v>31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2" t="s">
        <v>24</v>
      </c>
      <c r="V505" s="2" t="s">
        <v>17</v>
      </c>
      <c r="W505" s="2" t="s">
        <v>20</v>
      </c>
      <c r="X505" s="2" t="s">
        <v>17</v>
      </c>
      <c r="Y505" s="2" t="s">
        <v>16</v>
      </c>
      <c r="Z505" s="2" t="s">
        <v>17</v>
      </c>
      <c r="AA505" s="2" t="s">
        <v>28</v>
      </c>
      <c r="AB505" s="2" t="s">
        <v>24</v>
      </c>
      <c r="AC505" s="2" t="s">
        <v>27</v>
      </c>
      <c r="AD505" s="2" t="s">
        <v>16</v>
      </c>
      <c r="AE505" s="2" t="s">
        <v>24</v>
      </c>
      <c r="AF505" s="2" t="s">
        <v>27</v>
      </c>
      <c r="AG505" s="2" t="s">
        <v>20</v>
      </c>
      <c r="AH505" s="2" t="s">
        <v>17</v>
      </c>
      <c r="AI505" s="2" t="s">
        <v>24</v>
      </c>
      <c r="AJ505" s="2" t="s">
        <v>21</v>
      </c>
      <c r="AK505" s="2" t="s">
        <v>20</v>
      </c>
      <c r="AL505" s="2" t="s">
        <v>27</v>
      </c>
    </row>
    <row r="506" ht="14.25" customHeight="1">
      <c r="A506" s="17">
        <v>46006.0</v>
      </c>
      <c r="B506" s="2" t="s">
        <v>31</v>
      </c>
      <c r="C506" s="2" t="s">
        <v>31</v>
      </c>
      <c r="D506" s="2" t="s">
        <v>31</v>
      </c>
      <c r="E506" s="2" t="s">
        <v>31</v>
      </c>
      <c r="F506" s="2" t="s">
        <v>31</v>
      </c>
      <c r="G506" s="2" t="s">
        <v>31</v>
      </c>
      <c r="H506" s="2" t="s">
        <v>31</v>
      </c>
      <c r="I506" s="2" t="s">
        <v>31</v>
      </c>
      <c r="J506" s="2" t="s">
        <v>31</v>
      </c>
      <c r="K506" s="2" t="s">
        <v>31</v>
      </c>
      <c r="L506" s="2" t="s">
        <v>31</v>
      </c>
      <c r="M506" s="2" t="s">
        <v>31</v>
      </c>
      <c r="N506" s="2" t="s">
        <v>31</v>
      </c>
      <c r="O506" s="2" t="s">
        <v>31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2" t="s">
        <v>16</v>
      </c>
      <c r="V506" s="2" t="s">
        <v>16</v>
      </c>
      <c r="W506" s="2" t="s">
        <v>19</v>
      </c>
      <c r="X506" s="2" t="s">
        <v>26</v>
      </c>
      <c r="Y506" s="2" t="s">
        <v>16</v>
      </c>
      <c r="Z506" s="2" t="s">
        <v>16</v>
      </c>
      <c r="AA506" s="2" t="s">
        <v>28</v>
      </c>
      <c r="AB506" s="2" t="s">
        <v>16</v>
      </c>
      <c r="AC506" s="2" t="s">
        <v>16</v>
      </c>
      <c r="AD506" s="2" t="s">
        <v>22</v>
      </c>
      <c r="AE506" s="2" t="s">
        <v>17</v>
      </c>
      <c r="AF506" s="2" t="s">
        <v>16</v>
      </c>
      <c r="AG506" s="2" t="s">
        <v>22</v>
      </c>
      <c r="AH506" s="2" t="s">
        <v>16</v>
      </c>
      <c r="AI506" s="2" t="s">
        <v>22</v>
      </c>
      <c r="AJ506" s="2" t="s">
        <v>28</v>
      </c>
      <c r="AK506" s="2" t="s">
        <v>24</v>
      </c>
      <c r="AL506" s="2" t="s">
        <v>26</v>
      </c>
    </row>
    <row r="507" ht="14.25" customHeight="1">
      <c r="A507" s="17">
        <v>46007.0</v>
      </c>
      <c r="B507" s="2" t="s">
        <v>31</v>
      </c>
      <c r="C507" s="2" t="s">
        <v>31</v>
      </c>
      <c r="D507" s="2" t="s">
        <v>31</v>
      </c>
      <c r="E507" s="2" t="s">
        <v>31</v>
      </c>
      <c r="F507" s="2" t="s">
        <v>31</v>
      </c>
      <c r="G507" s="2" t="s">
        <v>31</v>
      </c>
      <c r="H507" s="2" t="s">
        <v>31</v>
      </c>
      <c r="I507" s="2" t="s">
        <v>31</v>
      </c>
      <c r="J507" s="2" t="s">
        <v>31</v>
      </c>
      <c r="K507" s="2" t="s">
        <v>31</v>
      </c>
      <c r="L507" s="2" t="s">
        <v>31</v>
      </c>
      <c r="M507" s="2" t="s">
        <v>31</v>
      </c>
      <c r="N507" s="2" t="s">
        <v>31</v>
      </c>
      <c r="O507" s="2" t="s">
        <v>31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2" t="s">
        <v>16</v>
      </c>
      <c r="V507" s="2" t="s">
        <v>17</v>
      </c>
      <c r="W507" s="2" t="s">
        <v>21</v>
      </c>
      <c r="X507" s="2" t="s">
        <v>16</v>
      </c>
      <c r="Y507" s="2" t="s">
        <v>28</v>
      </c>
      <c r="Z507" s="2" t="s">
        <v>16</v>
      </c>
      <c r="AA507" s="2" t="s">
        <v>24</v>
      </c>
      <c r="AB507" s="2" t="s">
        <v>20</v>
      </c>
      <c r="AC507" s="2" t="s">
        <v>16</v>
      </c>
      <c r="AD507" s="2" t="s">
        <v>16</v>
      </c>
      <c r="AE507" s="2" t="s">
        <v>16</v>
      </c>
      <c r="AF507" s="2" t="s">
        <v>27</v>
      </c>
      <c r="AG507" s="2" t="s">
        <v>24</v>
      </c>
      <c r="AH507" s="2" t="s">
        <v>18</v>
      </c>
      <c r="AI507" s="2" t="s">
        <v>20</v>
      </c>
      <c r="AJ507" s="2" t="s">
        <v>25</v>
      </c>
      <c r="AK507" s="2" t="s">
        <v>18</v>
      </c>
      <c r="AL507" s="2" t="s">
        <v>16</v>
      </c>
    </row>
    <row r="508" ht="14.25" customHeight="1">
      <c r="A508" s="17">
        <v>46008.0</v>
      </c>
      <c r="B508" s="2" t="s">
        <v>31</v>
      </c>
      <c r="C508" s="2" t="s">
        <v>31</v>
      </c>
      <c r="D508" s="2" t="s">
        <v>31</v>
      </c>
      <c r="E508" s="2" t="s">
        <v>31</v>
      </c>
      <c r="F508" s="2" t="s">
        <v>31</v>
      </c>
      <c r="G508" s="2" t="s">
        <v>31</v>
      </c>
      <c r="H508" s="2" t="s">
        <v>31</v>
      </c>
      <c r="I508" s="2" t="s">
        <v>31</v>
      </c>
      <c r="J508" s="2" t="s">
        <v>31</v>
      </c>
      <c r="K508" s="2" t="s">
        <v>31</v>
      </c>
      <c r="L508" s="2" t="s">
        <v>31</v>
      </c>
      <c r="M508" s="2" t="s">
        <v>31</v>
      </c>
      <c r="N508" s="2" t="s">
        <v>31</v>
      </c>
      <c r="O508" s="2" t="s">
        <v>31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2" t="s">
        <v>25</v>
      </c>
      <c r="V508" s="2" t="s">
        <v>24</v>
      </c>
      <c r="W508" s="2" t="s">
        <v>28</v>
      </c>
      <c r="X508" s="2" t="s">
        <v>23</v>
      </c>
      <c r="Y508" s="2" t="s">
        <v>22</v>
      </c>
      <c r="Z508" s="2" t="s">
        <v>16</v>
      </c>
      <c r="AA508" s="2" t="s">
        <v>20</v>
      </c>
      <c r="AB508" s="2" t="s">
        <v>17</v>
      </c>
      <c r="AC508" s="2" t="s">
        <v>28</v>
      </c>
      <c r="AD508" s="2" t="s">
        <v>25</v>
      </c>
      <c r="AE508" s="2" t="s">
        <v>16</v>
      </c>
      <c r="AF508" s="2" t="s">
        <v>25</v>
      </c>
      <c r="AG508" s="2" t="s">
        <v>16</v>
      </c>
      <c r="AH508" s="2" t="s">
        <v>20</v>
      </c>
      <c r="AI508" s="2" t="s">
        <v>19</v>
      </c>
      <c r="AJ508" s="2" t="s">
        <v>19</v>
      </c>
      <c r="AK508" s="2" t="s">
        <v>16</v>
      </c>
      <c r="AL508" s="2" t="s">
        <v>27</v>
      </c>
    </row>
    <row r="509" ht="14.25" customHeight="1">
      <c r="A509" s="17">
        <v>46009.0</v>
      </c>
      <c r="B509" s="2" t="s">
        <v>31</v>
      </c>
      <c r="C509" s="2" t="s">
        <v>31</v>
      </c>
      <c r="D509" s="2" t="s">
        <v>31</v>
      </c>
      <c r="E509" s="2" t="s">
        <v>31</v>
      </c>
      <c r="F509" s="2" t="s">
        <v>31</v>
      </c>
      <c r="G509" s="2" t="s">
        <v>31</v>
      </c>
      <c r="H509" s="2" t="s">
        <v>31</v>
      </c>
      <c r="I509" s="2" t="s">
        <v>31</v>
      </c>
      <c r="J509" s="2" t="s">
        <v>31</v>
      </c>
      <c r="K509" s="2" t="s">
        <v>31</v>
      </c>
      <c r="L509" s="2" t="s">
        <v>31</v>
      </c>
      <c r="M509" s="2" t="s">
        <v>31</v>
      </c>
      <c r="N509" s="2" t="s">
        <v>31</v>
      </c>
      <c r="O509" s="2" t="s">
        <v>31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2" t="s">
        <v>16</v>
      </c>
      <c r="V509" s="2" t="s">
        <v>18</v>
      </c>
      <c r="W509" s="2" t="s">
        <v>16</v>
      </c>
      <c r="X509" s="2" t="s">
        <v>16</v>
      </c>
      <c r="Y509" s="2" t="s">
        <v>16</v>
      </c>
      <c r="Z509" s="2" t="s">
        <v>16</v>
      </c>
      <c r="AA509" s="2" t="s">
        <v>16</v>
      </c>
      <c r="AB509" s="2" t="s">
        <v>26</v>
      </c>
      <c r="AC509" s="2" t="s">
        <v>26</v>
      </c>
      <c r="AD509" s="2" t="s">
        <v>19</v>
      </c>
      <c r="AE509" s="2" t="s">
        <v>24</v>
      </c>
      <c r="AF509" s="2" t="s">
        <v>19</v>
      </c>
      <c r="AG509" s="2" t="s">
        <v>16</v>
      </c>
      <c r="AH509" s="2" t="s">
        <v>16</v>
      </c>
      <c r="AI509" s="2" t="s">
        <v>27</v>
      </c>
      <c r="AJ509" s="2" t="s">
        <v>16</v>
      </c>
      <c r="AK509" s="2" t="s">
        <v>16</v>
      </c>
      <c r="AL509" s="2" t="s">
        <v>23</v>
      </c>
    </row>
    <row r="510" ht="14.25" customHeight="1">
      <c r="A510" s="17">
        <v>46010.0</v>
      </c>
      <c r="B510" s="2" t="s">
        <v>31</v>
      </c>
      <c r="C510" s="2" t="s">
        <v>31</v>
      </c>
      <c r="D510" s="2" t="s">
        <v>31</v>
      </c>
      <c r="E510" s="2" t="s">
        <v>31</v>
      </c>
      <c r="F510" s="2" t="s">
        <v>31</v>
      </c>
      <c r="G510" s="2" t="s">
        <v>31</v>
      </c>
      <c r="H510" s="2" t="s">
        <v>31</v>
      </c>
      <c r="I510" s="2" t="s">
        <v>31</v>
      </c>
      <c r="J510" s="2" t="s">
        <v>31</v>
      </c>
      <c r="K510" s="2" t="s">
        <v>31</v>
      </c>
      <c r="L510" s="2" t="s">
        <v>31</v>
      </c>
      <c r="M510" s="2" t="s">
        <v>31</v>
      </c>
      <c r="N510" s="2" t="s">
        <v>31</v>
      </c>
      <c r="O510" s="2" t="s">
        <v>31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2" t="s">
        <v>26</v>
      </c>
      <c r="V510" s="2" t="s">
        <v>28</v>
      </c>
      <c r="W510" s="2" t="s">
        <v>17</v>
      </c>
      <c r="X510" s="2" t="s">
        <v>16</v>
      </c>
      <c r="Y510" s="2" t="s">
        <v>27</v>
      </c>
      <c r="Z510" s="2" t="s">
        <v>24</v>
      </c>
      <c r="AA510" s="2" t="s">
        <v>27</v>
      </c>
      <c r="AB510" s="2" t="s">
        <v>27</v>
      </c>
      <c r="AC510" s="2" t="s">
        <v>20</v>
      </c>
      <c r="AD510" s="2" t="s">
        <v>16</v>
      </c>
      <c r="AE510" s="2" t="s">
        <v>20</v>
      </c>
      <c r="AF510" s="2" t="s">
        <v>27</v>
      </c>
      <c r="AG510" s="2" t="s">
        <v>16</v>
      </c>
      <c r="AH510" s="2" t="s">
        <v>16</v>
      </c>
      <c r="AI510" s="2" t="s">
        <v>19</v>
      </c>
      <c r="AJ510" s="2" t="s">
        <v>22</v>
      </c>
      <c r="AK510" s="2" t="s">
        <v>19</v>
      </c>
      <c r="AL510" s="2" t="s">
        <v>16</v>
      </c>
    </row>
    <row r="511" ht="14.25" customHeight="1">
      <c r="A511" s="17">
        <v>46011.0</v>
      </c>
      <c r="B511" s="2" t="s">
        <v>37</v>
      </c>
      <c r="C511" s="2" t="s">
        <v>26</v>
      </c>
      <c r="D511" s="2" t="s">
        <v>32</v>
      </c>
      <c r="E511" s="2" t="s">
        <v>43</v>
      </c>
      <c r="F511" s="2" t="s">
        <v>22</v>
      </c>
      <c r="G511" s="2" t="s">
        <v>29</v>
      </c>
      <c r="H511" s="2" t="s">
        <v>18</v>
      </c>
      <c r="I511" s="2" t="s">
        <v>41</v>
      </c>
      <c r="J511" s="2" t="s">
        <v>41</v>
      </c>
      <c r="K511" s="2" t="s">
        <v>16</v>
      </c>
      <c r="L511" s="2" t="s">
        <v>22</v>
      </c>
      <c r="M511" s="2" t="s">
        <v>22</v>
      </c>
      <c r="N511" s="2" t="s">
        <v>33</v>
      </c>
      <c r="O511" s="2" t="s">
        <v>22</v>
      </c>
      <c r="P511" s="2" t="s">
        <v>16</v>
      </c>
      <c r="Q511" s="2" t="s">
        <v>25</v>
      </c>
      <c r="R511" s="2" t="s">
        <v>18</v>
      </c>
      <c r="S511" s="2" t="s">
        <v>34</v>
      </c>
      <c r="T511" s="2" t="s">
        <v>33</v>
      </c>
      <c r="U511" s="2" t="s">
        <v>16</v>
      </c>
      <c r="V511" s="2" t="s">
        <v>16</v>
      </c>
      <c r="W511" s="2" t="s">
        <v>16</v>
      </c>
      <c r="X511" s="2" t="s">
        <v>17</v>
      </c>
      <c r="Y511" s="2" t="s">
        <v>16</v>
      </c>
      <c r="Z511" s="2" t="s">
        <v>17</v>
      </c>
      <c r="AA511" s="2" t="s">
        <v>20</v>
      </c>
      <c r="AB511" s="2" t="s">
        <v>24</v>
      </c>
      <c r="AC511" s="2" t="s">
        <v>16</v>
      </c>
      <c r="AD511" s="2" t="s">
        <v>23</v>
      </c>
      <c r="AE511" s="2" t="s">
        <v>21</v>
      </c>
      <c r="AF511" s="2" t="s">
        <v>26</v>
      </c>
      <c r="AG511" s="2" t="s">
        <v>16</v>
      </c>
      <c r="AH511" s="2" t="s">
        <v>16</v>
      </c>
      <c r="AI511" s="2" t="s">
        <v>24</v>
      </c>
      <c r="AJ511" s="2" t="s">
        <v>16</v>
      </c>
      <c r="AK511" s="2" t="s">
        <v>24</v>
      </c>
      <c r="AL511" s="2" t="s">
        <v>16</v>
      </c>
    </row>
    <row r="512" ht="14.25" customHeight="1">
      <c r="A512" s="17">
        <v>46012.0</v>
      </c>
      <c r="B512" s="2" t="s">
        <v>31</v>
      </c>
      <c r="C512" s="2" t="s">
        <v>31</v>
      </c>
      <c r="D512" s="2" t="s">
        <v>31</v>
      </c>
      <c r="E512" s="2" t="s">
        <v>31</v>
      </c>
      <c r="F512" s="2" t="s">
        <v>31</v>
      </c>
      <c r="G512" s="2" t="s">
        <v>31</v>
      </c>
      <c r="H512" s="2" t="s">
        <v>31</v>
      </c>
      <c r="I512" s="2" t="s">
        <v>31</v>
      </c>
      <c r="J512" s="2" t="s">
        <v>31</v>
      </c>
      <c r="K512" s="2" t="s">
        <v>31</v>
      </c>
      <c r="L512" s="2" t="s">
        <v>31</v>
      </c>
      <c r="M512" s="2" t="s">
        <v>31</v>
      </c>
      <c r="N512" s="2" t="s">
        <v>31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2" t="s">
        <v>21</v>
      </c>
      <c r="V512" s="2" t="s">
        <v>20</v>
      </c>
      <c r="W512" s="2" t="s">
        <v>21</v>
      </c>
      <c r="X512" s="2" t="s">
        <v>16</v>
      </c>
      <c r="Y512" s="2" t="s">
        <v>17</v>
      </c>
      <c r="Z512" s="2" t="s">
        <v>16</v>
      </c>
      <c r="AA512" s="2" t="s">
        <v>20</v>
      </c>
      <c r="AB512" s="2" t="s">
        <v>16</v>
      </c>
      <c r="AC512" s="2" t="s">
        <v>16</v>
      </c>
      <c r="AD512" s="2" t="s">
        <v>23</v>
      </c>
      <c r="AE512" s="2" t="s">
        <v>23</v>
      </c>
      <c r="AF512" s="2" t="s">
        <v>18</v>
      </c>
      <c r="AG512" s="2" t="s">
        <v>22</v>
      </c>
      <c r="AH512" s="2" t="s">
        <v>26</v>
      </c>
      <c r="AI512" s="2" t="s">
        <v>16</v>
      </c>
      <c r="AJ512" s="2" t="s">
        <v>27</v>
      </c>
      <c r="AK512" s="2" t="s">
        <v>16</v>
      </c>
      <c r="AL512" s="2" t="s">
        <v>20</v>
      </c>
    </row>
    <row r="513" ht="14.25" customHeight="1">
      <c r="A513" s="17">
        <v>46013.0</v>
      </c>
      <c r="B513" s="2" t="s">
        <v>31</v>
      </c>
      <c r="C513" s="2" t="s">
        <v>31</v>
      </c>
      <c r="D513" s="2" t="s">
        <v>31</v>
      </c>
      <c r="E513" s="2" t="s">
        <v>31</v>
      </c>
      <c r="F513" s="2" t="s">
        <v>31</v>
      </c>
      <c r="G513" s="2" t="s">
        <v>31</v>
      </c>
      <c r="H513" s="2" t="s">
        <v>31</v>
      </c>
      <c r="I513" s="2" t="s">
        <v>31</v>
      </c>
      <c r="J513" s="2" t="s">
        <v>31</v>
      </c>
      <c r="K513" s="2" t="s">
        <v>31</v>
      </c>
      <c r="L513" s="2" t="s">
        <v>31</v>
      </c>
      <c r="M513" s="2" t="s">
        <v>31</v>
      </c>
      <c r="N513" s="2" t="s">
        <v>31</v>
      </c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2" t="s">
        <v>24</v>
      </c>
      <c r="V513" s="2" t="s">
        <v>16</v>
      </c>
      <c r="W513" s="2" t="s">
        <v>16</v>
      </c>
      <c r="X513" s="2" t="s">
        <v>16</v>
      </c>
      <c r="Y513" s="2" t="s">
        <v>16</v>
      </c>
      <c r="Z513" s="2" t="s">
        <v>25</v>
      </c>
      <c r="AA513" s="2" t="s">
        <v>17</v>
      </c>
      <c r="AB513" s="2" t="s">
        <v>26</v>
      </c>
      <c r="AC513" s="2" t="s">
        <v>16</v>
      </c>
      <c r="AD513" s="2" t="s">
        <v>26</v>
      </c>
      <c r="AE513" s="2" t="s">
        <v>20</v>
      </c>
      <c r="AF513" s="2" t="s">
        <v>16</v>
      </c>
      <c r="AG513" s="2" t="s">
        <v>23</v>
      </c>
      <c r="AH513" s="2" t="s">
        <v>17</v>
      </c>
      <c r="AI513" s="2" t="s">
        <v>16</v>
      </c>
      <c r="AJ513" s="2" t="s">
        <v>26</v>
      </c>
      <c r="AK513" s="2" t="s">
        <v>25</v>
      </c>
      <c r="AL513" s="2" t="s">
        <v>26</v>
      </c>
    </row>
    <row r="514" ht="14.25" customHeight="1">
      <c r="A514" s="17">
        <v>46014.0</v>
      </c>
      <c r="B514" s="2" t="s">
        <v>31</v>
      </c>
      <c r="C514" s="2" t="s">
        <v>31</v>
      </c>
      <c r="D514" s="2" t="s">
        <v>31</v>
      </c>
      <c r="E514" s="2" t="s">
        <v>31</v>
      </c>
      <c r="F514" s="2" t="s">
        <v>31</v>
      </c>
      <c r="G514" s="2" t="s">
        <v>31</v>
      </c>
      <c r="H514" s="2" t="s">
        <v>31</v>
      </c>
      <c r="I514" s="2" t="s">
        <v>31</v>
      </c>
      <c r="J514" s="2" t="s">
        <v>31</v>
      </c>
      <c r="K514" s="2" t="s">
        <v>31</v>
      </c>
      <c r="L514" s="2" t="s">
        <v>31</v>
      </c>
      <c r="M514" s="2" t="s">
        <v>31</v>
      </c>
      <c r="N514" s="2" t="s">
        <v>31</v>
      </c>
      <c r="O514" s="2" t="s">
        <v>31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2" t="s">
        <v>16</v>
      </c>
      <c r="V514" s="2" t="s">
        <v>26</v>
      </c>
      <c r="W514" s="2" t="s">
        <v>24</v>
      </c>
      <c r="X514" s="2" t="s">
        <v>16</v>
      </c>
      <c r="Y514" s="2" t="s">
        <v>16</v>
      </c>
      <c r="Z514" s="2" t="s">
        <v>17</v>
      </c>
      <c r="AA514" s="2" t="s">
        <v>27</v>
      </c>
      <c r="AB514" s="2" t="s">
        <v>24</v>
      </c>
      <c r="AC514" s="2" t="s">
        <v>19</v>
      </c>
      <c r="AD514" s="2" t="s">
        <v>25</v>
      </c>
      <c r="AE514" s="2" t="s">
        <v>21</v>
      </c>
      <c r="AF514" s="2" t="s">
        <v>16</v>
      </c>
      <c r="AG514" s="2" t="s">
        <v>26</v>
      </c>
      <c r="AH514" s="2" t="s">
        <v>21</v>
      </c>
      <c r="AI514" s="2" t="s">
        <v>19</v>
      </c>
      <c r="AJ514" s="2" t="s">
        <v>20</v>
      </c>
      <c r="AK514" s="2" t="s">
        <v>27</v>
      </c>
      <c r="AL514" s="2" t="s">
        <v>25</v>
      </c>
    </row>
    <row r="515" ht="14.25" customHeight="1">
      <c r="A515" s="17">
        <v>46015.0</v>
      </c>
      <c r="B515" s="2" t="s">
        <v>31</v>
      </c>
      <c r="C515" s="2" t="s">
        <v>31</v>
      </c>
      <c r="D515" s="2" t="s">
        <v>31</v>
      </c>
      <c r="E515" s="2" t="s">
        <v>31</v>
      </c>
      <c r="F515" s="2" t="s">
        <v>31</v>
      </c>
      <c r="G515" s="2" t="s">
        <v>31</v>
      </c>
      <c r="H515" s="2" t="s">
        <v>31</v>
      </c>
      <c r="I515" s="2" t="s">
        <v>31</v>
      </c>
      <c r="J515" s="2" t="s">
        <v>31</v>
      </c>
      <c r="K515" s="2" t="s">
        <v>31</v>
      </c>
      <c r="L515" s="2" t="s">
        <v>31</v>
      </c>
      <c r="M515" s="2" t="s">
        <v>31</v>
      </c>
      <c r="N515" s="2" t="s">
        <v>31</v>
      </c>
      <c r="O515" s="2" t="s">
        <v>31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2" t="s">
        <v>18</v>
      </c>
      <c r="V515" s="2" t="s">
        <v>28</v>
      </c>
      <c r="W515" s="2" t="s">
        <v>23</v>
      </c>
      <c r="X515" s="2" t="s">
        <v>27</v>
      </c>
      <c r="Y515" s="2" t="s">
        <v>21</v>
      </c>
      <c r="Z515" s="2" t="s">
        <v>25</v>
      </c>
      <c r="AA515" s="2" t="s">
        <v>27</v>
      </c>
      <c r="AB515" s="2" t="s">
        <v>16</v>
      </c>
      <c r="AC515" s="2" t="s">
        <v>19</v>
      </c>
      <c r="AD515" s="2" t="s">
        <v>25</v>
      </c>
      <c r="AE515" s="2" t="s">
        <v>19</v>
      </c>
      <c r="AF515" s="2" t="s">
        <v>17</v>
      </c>
      <c r="AG515" s="2" t="s">
        <v>20</v>
      </c>
      <c r="AH515" s="2" t="s">
        <v>28</v>
      </c>
      <c r="AI515" s="2" t="s">
        <v>20</v>
      </c>
      <c r="AJ515" s="2" t="s">
        <v>16</v>
      </c>
      <c r="AK515" s="2" t="s">
        <v>18</v>
      </c>
      <c r="AL515" s="2" t="s">
        <v>26</v>
      </c>
    </row>
    <row r="516" ht="14.25" customHeight="1">
      <c r="A516" s="17">
        <v>46016.0</v>
      </c>
      <c r="B516" s="2" t="s">
        <v>31</v>
      </c>
      <c r="C516" s="2" t="s">
        <v>31</v>
      </c>
      <c r="D516" s="2" t="s">
        <v>31</v>
      </c>
      <c r="E516" s="2" t="s">
        <v>31</v>
      </c>
      <c r="F516" s="2" t="s">
        <v>31</v>
      </c>
      <c r="G516" s="2" t="s">
        <v>31</v>
      </c>
      <c r="H516" s="2" t="s">
        <v>31</v>
      </c>
      <c r="I516" s="2" t="s">
        <v>31</v>
      </c>
      <c r="J516" s="2" t="s">
        <v>31</v>
      </c>
      <c r="K516" s="2" t="s">
        <v>31</v>
      </c>
      <c r="L516" s="2" t="s">
        <v>31</v>
      </c>
      <c r="M516" s="2" t="s">
        <v>31</v>
      </c>
      <c r="N516" s="2" t="s">
        <v>31</v>
      </c>
      <c r="O516" s="2" t="s">
        <v>31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2" t="s">
        <v>19</v>
      </c>
      <c r="V516" s="2" t="s">
        <v>21</v>
      </c>
      <c r="W516" s="2" t="s">
        <v>16</v>
      </c>
      <c r="X516" s="2" t="s">
        <v>21</v>
      </c>
      <c r="Y516" s="2" t="s">
        <v>25</v>
      </c>
      <c r="Z516" s="2" t="s">
        <v>21</v>
      </c>
      <c r="AA516" s="2" t="s">
        <v>24</v>
      </c>
      <c r="AB516" s="2" t="s">
        <v>21</v>
      </c>
      <c r="AC516" s="2" t="s">
        <v>16</v>
      </c>
      <c r="AD516" s="2" t="s">
        <v>16</v>
      </c>
      <c r="AE516" s="2" t="s">
        <v>16</v>
      </c>
      <c r="AF516" s="2" t="s">
        <v>21</v>
      </c>
      <c r="AG516" s="2" t="s">
        <v>16</v>
      </c>
      <c r="AH516" s="2" t="s">
        <v>21</v>
      </c>
      <c r="AI516" s="2" t="s">
        <v>24</v>
      </c>
      <c r="AJ516" s="2" t="s">
        <v>26</v>
      </c>
      <c r="AK516" s="2" t="s">
        <v>27</v>
      </c>
      <c r="AL516" s="2" t="s">
        <v>25</v>
      </c>
    </row>
    <row r="517" ht="14.25" customHeight="1">
      <c r="A517" s="17">
        <v>46017.0</v>
      </c>
      <c r="B517" s="2" t="s">
        <v>31</v>
      </c>
      <c r="C517" s="2" t="s">
        <v>31</v>
      </c>
      <c r="D517" s="2" t="s">
        <v>31</v>
      </c>
      <c r="E517" s="2" t="s">
        <v>31</v>
      </c>
      <c r="F517" s="2" t="s">
        <v>31</v>
      </c>
      <c r="G517" s="2" t="s">
        <v>31</v>
      </c>
      <c r="H517" s="2" t="s">
        <v>31</v>
      </c>
      <c r="I517" s="2" t="s">
        <v>31</v>
      </c>
      <c r="J517" s="2" t="s">
        <v>31</v>
      </c>
      <c r="K517" s="2" t="s">
        <v>31</v>
      </c>
      <c r="L517" s="2" t="s">
        <v>31</v>
      </c>
      <c r="M517" s="2" t="s">
        <v>31</v>
      </c>
      <c r="N517" s="2" t="s">
        <v>31</v>
      </c>
      <c r="O517" s="2" t="s">
        <v>31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2" t="s">
        <v>22</v>
      </c>
      <c r="V517" s="2" t="s">
        <v>17</v>
      </c>
      <c r="W517" s="2" t="s">
        <v>20</v>
      </c>
      <c r="X517" s="2" t="s">
        <v>16</v>
      </c>
      <c r="Y517" s="2" t="s">
        <v>27</v>
      </c>
      <c r="Z517" s="2" t="s">
        <v>16</v>
      </c>
      <c r="AA517" s="2" t="s">
        <v>24</v>
      </c>
      <c r="AB517" s="2" t="s">
        <v>26</v>
      </c>
      <c r="AC517" s="2" t="s">
        <v>21</v>
      </c>
      <c r="AD517" s="2" t="s">
        <v>17</v>
      </c>
      <c r="AE517" s="2" t="s">
        <v>26</v>
      </c>
      <c r="AF517" s="2" t="s">
        <v>25</v>
      </c>
      <c r="AG517" s="2" t="s">
        <v>21</v>
      </c>
      <c r="AH517" s="2" t="s">
        <v>16</v>
      </c>
      <c r="AI517" s="2" t="s">
        <v>25</v>
      </c>
      <c r="AJ517" s="2" t="s">
        <v>16</v>
      </c>
      <c r="AK517" s="2" t="s">
        <v>20</v>
      </c>
      <c r="AL517" s="2" t="s">
        <v>21</v>
      </c>
    </row>
    <row r="518" ht="14.25" customHeight="1">
      <c r="A518" s="17">
        <v>46018.0</v>
      </c>
      <c r="B518" s="2" t="s">
        <v>16</v>
      </c>
      <c r="C518" s="2" t="s">
        <v>17</v>
      </c>
      <c r="D518" s="2" t="s">
        <v>16</v>
      </c>
      <c r="E518" s="2" t="s">
        <v>24</v>
      </c>
      <c r="F518" s="2" t="s">
        <v>43</v>
      </c>
      <c r="G518" s="2" t="s">
        <v>26</v>
      </c>
      <c r="H518" s="2" t="s">
        <v>19</v>
      </c>
      <c r="I518" s="2" t="s">
        <v>25</v>
      </c>
      <c r="J518" s="2" t="s">
        <v>30</v>
      </c>
      <c r="K518" s="2" t="s">
        <v>27</v>
      </c>
      <c r="L518" s="2" t="s">
        <v>22</v>
      </c>
      <c r="M518" s="2" t="s">
        <v>16</v>
      </c>
      <c r="N518" s="2" t="s">
        <v>36</v>
      </c>
      <c r="O518" s="2" t="s">
        <v>26</v>
      </c>
      <c r="P518" s="2" t="s">
        <v>36</v>
      </c>
      <c r="Q518" s="2" t="s">
        <v>27</v>
      </c>
      <c r="R518" s="2" t="s">
        <v>20</v>
      </c>
      <c r="S518" s="2" t="s">
        <v>28</v>
      </c>
      <c r="T518" s="2" t="s">
        <v>36</v>
      </c>
      <c r="U518" s="2" t="s">
        <v>26</v>
      </c>
      <c r="V518" s="2" t="s">
        <v>19</v>
      </c>
      <c r="W518" s="2" t="s">
        <v>17</v>
      </c>
      <c r="X518" s="2" t="s">
        <v>28</v>
      </c>
      <c r="Y518" s="2" t="s">
        <v>17</v>
      </c>
      <c r="Z518" s="2" t="s">
        <v>16</v>
      </c>
      <c r="AA518" s="2" t="s">
        <v>23</v>
      </c>
      <c r="AB518" s="2" t="s">
        <v>21</v>
      </c>
      <c r="AC518" s="2" t="s">
        <v>19</v>
      </c>
      <c r="AD518" s="2" t="s">
        <v>16</v>
      </c>
      <c r="AE518" s="2" t="s">
        <v>22</v>
      </c>
      <c r="AF518" s="2" t="s">
        <v>16</v>
      </c>
      <c r="AG518" s="2" t="s">
        <v>22</v>
      </c>
      <c r="AH518" s="2" t="s">
        <v>16</v>
      </c>
      <c r="AI518" s="2" t="s">
        <v>22</v>
      </c>
      <c r="AJ518" s="2" t="s">
        <v>27</v>
      </c>
      <c r="AK518" s="2" t="s">
        <v>16</v>
      </c>
      <c r="AL518" s="2" t="s">
        <v>17</v>
      </c>
    </row>
    <row r="519" ht="14.25" customHeight="1">
      <c r="A519" s="17">
        <v>46019.0</v>
      </c>
      <c r="B519" s="2" t="s">
        <v>31</v>
      </c>
      <c r="C519" s="2" t="s">
        <v>31</v>
      </c>
      <c r="D519" s="2" t="s">
        <v>31</v>
      </c>
      <c r="E519" s="2" t="s">
        <v>31</v>
      </c>
      <c r="F519" s="2" t="s">
        <v>31</v>
      </c>
      <c r="G519" s="2" t="s">
        <v>31</v>
      </c>
      <c r="H519" s="2" t="s">
        <v>31</v>
      </c>
      <c r="I519" s="2" t="s">
        <v>31</v>
      </c>
      <c r="J519" s="2" t="s">
        <v>31</v>
      </c>
      <c r="K519" s="2" t="s">
        <v>31</v>
      </c>
      <c r="L519" s="2" t="s">
        <v>31</v>
      </c>
      <c r="M519" s="2" t="s">
        <v>31</v>
      </c>
      <c r="N519" s="2" t="s">
        <v>31</v>
      </c>
      <c r="O519" s="2" t="s">
        <v>31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2" t="s">
        <v>27</v>
      </c>
      <c r="V519" s="2" t="s">
        <v>16</v>
      </c>
      <c r="W519" s="2" t="s">
        <v>16</v>
      </c>
      <c r="X519" s="2" t="s">
        <v>16</v>
      </c>
      <c r="Y519" s="2" t="s">
        <v>19</v>
      </c>
      <c r="Z519" s="2" t="s">
        <v>18</v>
      </c>
      <c r="AA519" s="2" t="s">
        <v>19</v>
      </c>
      <c r="AB519" s="2" t="s">
        <v>19</v>
      </c>
      <c r="AC519" s="2" t="s">
        <v>21</v>
      </c>
      <c r="AD519" s="2" t="s">
        <v>16</v>
      </c>
      <c r="AE519" s="2" t="s">
        <v>20</v>
      </c>
      <c r="AF519" s="2" t="s">
        <v>21</v>
      </c>
      <c r="AG519" s="2" t="s">
        <v>16</v>
      </c>
      <c r="AH519" s="2" t="s">
        <v>20</v>
      </c>
      <c r="AI519" s="2" t="s">
        <v>16</v>
      </c>
      <c r="AJ519" s="2" t="s">
        <v>22</v>
      </c>
      <c r="AK519" s="2" t="s">
        <v>16</v>
      </c>
      <c r="AL519" s="2" t="s">
        <v>22</v>
      </c>
    </row>
    <row r="520" ht="14.25" customHeight="1">
      <c r="A520" s="17">
        <v>46020.0</v>
      </c>
      <c r="B520" s="2" t="s">
        <v>31</v>
      </c>
      <c r="C520" s="2" t="s">
        <v>31</v>
      </c>
      <c r="D520" s="2" t="s">
        <v>31</v>
      </c>
      <c r="E520" s="2" t="s">
        <v>31</v>
      </c>
      <c r="F520" s="2" t="s">
        <v>31</v>
      </c>
      <c r="G520" s="2" t="s">
        <v>31</v>
      </c>
      <c r="H520" s="2" t="s">
        <v>31</v>
      </c>
      <c r="I520" s="2" t="s">
        <v>31</v>
      </c>
      <c r="J520" s="2" t="s">
        <v>31</v>
      </c>
      <c r="K520" s="2" t="s">
        <v>31</v>
      </c>
      <c r="L520" s="2" t="s">
        <v>31</v>
      </c>
      <c r="M520" s="2" t="s">
        <v>31</v>
      </c>
      <c r="N520" s="2" t="s">
        <v>31</v>
      </c>
      <c r="O520" s="2" t="s">
        <v>31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2" t="s">
        <v>18</v>
      </c>
      <c r="V520" s="2" t="s">
        <v>24</v>
      </c>
      <c r="W520" s="2" t="s">
        <v>21</v>
      </c>
      <c r="X520" s="2" t="s">
        <v>18</v>
      </c>
      <c r="Y520" s="2" t="s">
        <v>26</v>
      </c>
      <c r="Z520" s="2" t="s">
        <v>17</v>
      </c>
      <c r="AA520" s="2" t="s">
        <v>16</v>
      </c>
      <c r="AB520" s="2" t="s">
        <v>26</v>
      </c>
      <c r="AC520" s="2" t="s">
        <v>16</v>
      </c>
      <c r="AD520" s="2" t="s">
        <v>16</v>
      </c>
      <c r="AE520" s="2" t="s">
        <v>26</v>
      </c>
      <c r="AF520" s="2" t="s">
        <v>19</v>
      </c>
      <c r="AG520" s="2" t="s">
        <v>22</v>
      </c>
      <c r="AH520" s="2" t="s">
        <v>25</v>
      </c>
      <c r="AI520" s="2" t="s">
        <v>16</v>
      </c>
      <c r="AJ520" s="2" t="s">
        <v>28</v>
      </c>
      <c r="AK520" s="2" t="s">
        <v>16</v>
      </c>
      <c r="AL520" s="2" t="s">
        <v>25</v>
      </c>
    </row>
    <row r="521" ht="14.25" customHeight="1">
      <c r="A521" s="17">
        <v>46021.0</v>
      </c>
      <c r="B521" s="2" t="s">
        <v>31</v>
      </c>
      <c r="C521" s="2" t="s">
        <v>31</v>
      </c>
      <c r="D521" s="2" t="s">
        <v>31</v>
      </c>
      <c r="E521" s="2" t="s">
        <v>31</v>
      </c>
      <c r="F521" s="2" t="s">
        <v>31</v>
      </c>
      <c r="G521" s="2" t="s">
        <v>31</v>
      </c>
      <c r="H521" s="2" t="s">
        <v>31</v>
      </c>
      <c r="I521" s="2" t="s">
        <v>31</v>
      </c>
      <c r="J521" s="2" t="s">
        <v>31</v>
      </c>
      <c r="K521" s="2" t="s">
        <v>31</v>
      </c>
      <c r="L521" s="2" t="s">
        <v>31</v>
      </c>
      <c r="M521" s="2" t="s">
        <v>31</v>
      </c>
      <c r="N521" s="2" t="s">
        <v>31</v>
      </c>
      <c r="O521" s="2" t="s">
        <v>31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2" t="s">
        <v>27</v>
      </c>
      <c r="V521" s="2" t="s">
        <v>27</v>
      </c>
      <c r="W521" s="2" t="s">
        <v>19</v>
      </c>
      <c r="X521" s="2" t="s">
        <v>17</v>
      </c>
      <c r="Y521" s="2" t="s">
        <v>19</v>
      </c>
      <c r="Z521" s="2" t="s">
        <v>16</v>
      </c>
      <c r="AA521" s="2" t="s">
        <v>19</v>
      </c>
      <c r="AB521" s="2" t="s">
        <v>16</v>
      </c>
      <c r="AC521" s="2" t="s">
        <v>28</v>
      </c>
      <c r="AD521" s="2" t="s">
        <v>16</v>
      </c>
      <c r="AE521" s="2" t="s">
        <v>25</v>
      </c>
      <c r="AF521" s="2" t="s">
        <v>16</v>
      </c>
      <c r="AG521" s="2" t="s">
        <v>17</v>
      </c>
      <c r="AH521" s="2" t="s">
        <v>28</v>
      </c>
      <c r="AI521" s="2" t="s">
        <v>18</v>
      </c>
      <c r="AJ521" s="2" t="s">
        <v>16</v>
      </c>
      <c r="AK521" s="2" t="s">
        <v>28</v>
      </c>
      <c r="AL521" s="2" t="s">
        <v>16</v>
      </c>
    </row>
    <row r="522" ht="14.25" customHeight="1">
      <c r="A522" s="17">
        <v>46022.0</v>
      </c>
      <c r="B522" s="2" t="s">
        <v>31</v>
      </c>
      <c r="C522" s="2" t="s">
        <v>31</v>
      </c>
      <c r="D522" s="2" t="s">
        <v>31</v>
      </c>
      <c r="E522" s="2" t="s">
        <v>31</v>
      </c>
      <c r="F522" s="2" t="s">
        <v>31</v>
      </c>
      <c r="G522" s="2" t="s">
        <v>31</v>
      </c>
      <c r="H522" s="2" t="s">
        <v>31</v>
      </c>
      <c r="I522" s="2" t="s">
        <v>31</v>
      </c>
      <c r="J522" s="2" t="s">
        <v>31</v>
      </c>
      <c r="K522" s="2" t="s">
        <v>31</v>
      </c>
      <c r="L522" s="2" t="s">
        <v>31</v>
      </c>
      <c r="M522" s="2" t="s">
        <v>31</v>
      </c>
      <c r="N522" s="2" t="s">
        <v>31</v>
      </c>
      <c r="O522" s="2" t="s">
        <v>31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2" t="s">
        <v>27</v>
      </c>
      <c r="V522" s="2" t="s">
        <v>23</v>
      </c>
      <c r="W522" s="2" t="s">
        <v>21</v>
      </c>
      <c r="X522" s="2" t="s">
        <v>27</v>
      </c>
      <c r="Y522" s="2" t="s">
        <v>27</v>
      </c>
      <c r="Z522" s="2" t="s">
        <v>23</v>
      </c>
      <c r="AA522" s="2" t="s">
        <v>20</v>
      </c>
      <c r="AB522" s="2" t="s">
        <v>21</v>
      </c>
      <c r="AC522" s="2" t="s">
        <v>18</v>
      </c>
      <c r="AD522" s="2" t="s">
        <v>25</v>
      </c>
      <c r="AE522" s="2" t="s">
        <v>16</v>
      </c>
      <c r="AF522" s="2" t="s">
        <v>27</v>
      </c>
      <c r="AG522" s="2" t="s">
        <v>22</v>
      </c>
      <c r="AH522" s="2" t="s">
        <v>18</v>
      </c>
      <c r="AI522" s="2" t="s">
        <v>16</v>
      </c>
      <c r="AJ522" s="2" t="s">
        <v>24</v>
      </c>
      <c r="AK522" s="2" t="s">
        <v>16</v>
      </c>
      <c r="AL522" s="2" t="s">
        <v>28</v>
      </c>
    </row>
    <row r="523" ht="14.25" customHeight="1">
      <c r="A523" s="17">
        <v>46023.0</v>
      </c>
      <c r="B523" s="2" t="s">
        <v>31</v>
      </c>
      <c r="C523" s="2" t="s">
        <v>31</v>
      </c>
      <c r="D523" s="2" t="s">
        <v>31</v>
      </c>
      <c r="E523" s="2" t="s">
        <v>31</v>
      </c>
      <c r="F523" s="2" t="s">
        <v>31</v>
      </c>
      <c r="G523" s="2" t="s">
        <v>31</v>
      </c>
      <c r="H523" s="2" t="s">
        <v>31</v>
      </c>
      <c r="I523" s="2" t="s">
        <v>31</v>
      </c>
      <c r="J523" s="2" t="s">
        <v>31</v>
      </c>
      <c r="K523" s="2" t="s">
        <v>31</v>
      </c>
      <c r="L523" s="2" t="s">
        <v>31</v>
      </c>
      <c r="M523" s="2" t="s">
        <v>31</v>
      </c>
      <c r="N523" s="2" t="s">
        <v>31</v>
      </c>
      <c r="O523" s="2" t="s">
        <v>31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2" t="s">
        <v>17</v>
      </c>
      <c r="V523" s="2" t="s">
        <v>19</v>
      </c>
      <c r="W523" s="2" t="s">
        <v>25</v>
      </c>
      <c r="X523" s="2" t="s">
        <v>24</v>
      </c>
      <c r="Y523" s="2" t="s">
        <v>16</v>
      </c>
      <c r="Z523" s="2" t="s">
        <v>17</v>
      </c>
      <c r="AA523" s="2" t="s">
        <v>26</v>
      </c>
      <c r="AB523" s="2" t="s">
        <v>18</v>
      </c>
      <c r="AC523" s="2" t="s">
        <v>16</v>
      </c>
      <c r="AD523" s="2" t="s">
        <v>21</v>
      </c>
      <c r="AE523" s="2" t="s">
        <v>28</v>
      </c>
      <c r="AF523" s="2" t="s">
        <v>27</v>
      </c>
      <c r="AG523" s="2" t="s">
        <v>17</v>
      </c>
      <c r="AH523" s="2" t="s">
        <v>21</v>
      </c>
      <c r="AI523" s="2" t="s">
        <v>27</v>
      </c>
      <c r="AJ523" s="2" t="s">
        <v>21</v>
      </c>
      <c r="AK523" s="2" t="s">
        <v>24</v>
      </c>
      <c r="AL523" s="2" t="s">
        <v>28</v>
      </c>
    </row>
    <row r="524" ht="14.25" customHeight="1">
      <c r="A524" s="17">
        <v>46024.0</v>
      </c>
      <c r="B524" s="2" t="s">
        <v>31</v>
      </c>
      <c r="C524" s="2" t="s">
        <v>31</v>
      </c>
      <c r="D524" s="2" t="s">
        <v>31</v>
      </c>
      <c r="E524" s="2" t="s">
        <v>31</v>
      </c>
      <c r="F524" s="2" t="s">
        <v>31</v>
      </c>
      <c r="G524" s="2" t="s">
        <v>31</v>
      </c>
      <c r="H524" s="2" t="s">
        <v>31</v>
      </c>
      <c r="I524" s="2" t="s">
        <v>31</v>
      </c>
      <c r="J524" s="2" t="s">
        <v>31</v>
      </c>
      <c r="K524" s="2" t="s">
        <v>31</v>
      </c>
      <c r="L524" s="2" t="s">
        <v>31</v>
      </c>
      <c r="M524" s="2" t="s">
        <v>31</v>
      </c>
      <c r="N524" s="2" t="s">
        <v>31</v>
      </c>
      <c r="O524" s="2" t="s">
        <v>31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2" t="s">
        <v>26</v>
      </c>
      <c r="V524" s="2" t="s">
        <v>25</v>
      </c>
      <c r="W524" s="2" t="s">
        <v>17</v>
      </c>
      <c r="X524" s="2" t="s">
        <v>22</v>
      </c>
      <c r="Y524" s="2" t="s">
        <v>24</v>
      </c>
      <c r="Z524" s="2" t="s">
        <v>22</v>
      </c>
      <c r="AA524" s="2" t="s">
        <v>26</v>
      </c>
      <c r="AB524" s="2" t="s">
        <v>24</v>
      </c>
      <c r="AC524" s="2" t="s">
        <v>16</v>
      </c>
      <c r="AD524" s="2" t="s">
        <v>17</v>
      </c>
      <c r="AE524" s="2" t="s">
        <v>27</v>
      </c>
      <c r="AF524" s="2" t="s">
        <v>17</v>
      </c>
      <c r="AG524" s="2" t="s">
        <v>21</v>
      </c>
      <c r="AH524" s="2" t="s">
        <v>27</v>
      </c>
      <c r="AI524" s="2" t="s">
        <v>16</v>
      </c>
      <c r="AJ524" s="2" t="s">
        <v>20</v>
      </c>
      <c r="AK524" s="2" t="s">
        <v>24</v>
      </c>
      <c r="AL524" s="2" t="s">
        <v>16</v>
      </c>
    </row>
    <row r="525" ht="14.25" customHeight="1">
      <c r="A525" s="17">
        <v>46025.0</v>
      </c>
      <c r="B525" s="2" t="s">
        <v>43</v>
      </c>
      <c r="C525" s="2" t="s">
        <v>16</v>
      </c>
      <c r="D525" s="2" t="s">
        <v>16</v>
      </c>
      <c r="E525" s="2" t="s">
        <v>17</v>
      </c>
      <c r="F525" s="2" t="s">
        <v>18</v>
      </c>
      <c r="G525" s="2" t="s">
        <v>22</v>
      </c>
      <c r="H525" s="2" t="s">
        <v>37</v>
      </c>
      <c r="I525" s="2" t="s">
        <v>24</v>
      </c>
      <c r="J525" s="2" t="s">
        <v>38</v>
      </c>
      <c r="K525" s="2" t="s">
        <v>18</v>
      </c>
      <c r="L525" s="2" t="s">
        <v>16</v>
      </c>
      <c r="M525" s="2" t="s">
        <v>40</v>
      </c>
      <c r="N525" s="2" t="s">
        <v>41</v>
      </c>
      <c r="O525" s="2" t="s">
        <v>36</v>
      </c>
      <c r="P525" s="2" t="s">
        <v>34</v>
      </c>
      <c r="Q525" s="2" t="s">
        <v>25</v>
      </c>
      <c r="R525" s="2" t="s">
        <v>20</v>
      </c>
      <c r="S525" s="2" t="s">
        <v>34</v>
      </c>
      <c r="T525" s="2" t="s">
        <v>22</v>
      </c>
      <c r="U525" s="2" t="s">
        <v>23</v>
      </c>
      <c r="V525" s="2" t="s">
        <v>26</v>
      </c>
      <c r="W525" s="2" t="s">
        <v>20</v>
      </c>
      <c r="X525" s="2" t="s">
        <v>22</v>
      </c>
      <c r="Y525" s="2" t="s">
        <v>20</v>
      </c>
      <c r="Z525" s="2" t="s">
        <v>16</v>
      </c>
      <c r="AA525" s="2" t="s">
        <v>20</v>
      </c>
      <c r="AB525" s="2" t="s">
        <v>16</v>
      </c>
      <c r="AC525" s="2" t="s">
        <v>27</v>
      </c>
      <c r="AD525" s="2" t="s">
        <v>16</v>
      </c>
      <c r="AE525" s="2" t="s">
        <v>17</v>
      </c>
      <c r="AF525" s="2" t="s">
        <v>20</v>
      </c>
      <c r="AG525" s="2" t="s">
        <v>16</v>
      </c>
      <c r="AH525" s="2" t="s">
        <v>16</v>
      </c>
      <c r="AI525" s="2" t="s">
        <v>27</v>
      </c>
      <c r="AJ525" s="2" t="s">
        <v>19</v>
      </c>
      <c r="AK525" s="2" t="s">
        <v>21</v>
      </c>
      <c r="AL525" s="2" t="s">
        <v>26</v>
      </c>
    </row>
    <row r="526" ht="14.25" customHeight="1">
      <c r="A526" s="17">
        <v>46026.0</v>
      </c>
      <c r="B526" s="2" t="s">
        <v>31</v>
      </c>
      <c r="C526" s="2" t="s">
        <v>31</v>
      </c>
      <c r="D526" s="2" t="s">
        <v>31</v>
      </c>
      <c r="E526" s="2" t="s">
        <v>31</v>
      </c>
      <c r="F526" s="2" t="s">
        <v>31</v>
      </c>
      <c r="G526" s="2" t="s">
        <v>31</v>
      </c>
      <c r="H526" s="2" t="s">
        <v>31</v>
      </c>
      <c r="I526" s="2" t="s">
        <v>31</v>
      </c>
      <c r="J526" s="2" t="s">
        <v>31</v>
      </c>
      <c r="K526" s="2" t="s">
        <v>31</v>
      </c>
      <c r="L526" s="2" t="s">
        <v>31</v>
      </c>
      <c r="M526" s="2" t="s">
        <v>31</v>
      </c>
      <c r="N526" s="2" t="s">
        <v>31</v>
      </c>
      <c r="O526" s="2" t="s">
        <v>31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2" t="s">
        <v>16</v>
      </c>
      <c r="V526" s="2" t="s">
        <v>20</v>
      </c>
      <c r="W526" s="2" t="s">
        <v>16</v>
      </c>
      <c r="X526" s="2" t="s">
        <v>21</v>
      </c>
      <c r="Y526" s="2" t="s">
        <v>22</v>
      </c>
      <c r="Z526" s="2" t="s">
        <v>28</v>
      </c>
      <c r="AA526" s="2" t="s">
        <v>16</v>
      </c>
      <c r="AB526" s="2" t="s">
        <v>16</v>
      </c>
      <c r="AC526" s="2" t="s">
        <v>16</v>
      </c>
      <c r="AD526" s="2" t="s">
        <v>24</v>
      </c>
      <c r="AE526" s="2" t="s">
        <v>16</v>
      </c>
      <c r="AF526" s="2" t="s">
        <v>24</v>
      </c>
      <c r="AG526" s="2" t="s">
        <v>24</v>
      </c>
      <c r="AH526" s="2" t="s">
        <v>21</v>
      </c>
      <c r="AI526" s="2" t="s">
        <v>18</v>
      </c>
      <c r="AJ526" s="2" t="s">
        <v>16</v>
      </c>
      <c r="AK526" s="2" t="s">
        <v>23</v>
      </c>
      <c r="AL526" s="2" t="s">
        <v>20</v>
      </c>
    </row>
    <row r="527" ht="14.25" customHeight="1">
      <c r="A527" s="17">
        <v>46027.0</v>
      </c>
      <c r="B527" s="2" t="s">
        <v>31</v>
      </c>
      <c r="C527" s="2" t="s">
        <v>31</v>
      </c>
      <c r="D527" s="2" t="s">
        <v>31</v>
      </c>
      <c r="E527" s="2" t="s">
        <v>31</v>
      </c>
      <c r="F527" s="2" t="s">
        <v>31</v>
      </c>
      <c r="G527" s="2" t="s">
        <v>31</v>
      </c>
      <c r="H527" s="2" t="s">
        <v>31</v>
      </c>
      <c r="I527" s="2" t="s">
        <v>31</v>
      </c>
      <c r="J527" s="2" t="s">
        <v>31</v>
      </c>
      <c r="K527" s="2" t="s">
        <v>31</v>
      </c>
      <c r="L527" s="2" t="s">
        <v>31</v>
      </c>
      <c r="M527" s="2" t="s">
        <v>31</v>
      </c>
      <c r="N527" s="2" t="s">
        <v>31</v>
      </c>
      <c r="O527" s="2" t="s">
        <v>31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2" t="s">
        <v>28</v>
      </c>
      <c r="V527" s="2" t="s">
        <v>20</v>
      </c>
      <c r="W527" s="2" t="s">
        <v>17</v>
      </c>
      <c r="X527" s="2" t="s">
        <v>16</v>
      </c>
      <c r="Y527" s="2" t="s">
        <v>20</v>
      </c>
      <c r="Z527" s="2" t="s">
        <v>20</v>
      </c>
      <c r="AA527" s="2" t="s">
        <v>27</v>
      </c>
      <c r="AB527" s="2" t="s">
        <v>21</v>
      </c>
      <c r="AC527" s="2" t="s">
        <v>20</v>
      </c>
      <c r="AD527" s="2" t="s">
        <v>26</v>
      </c>
      <c r="AE527" s="2" t="s">
        <v>23</v>
      </c>
      <c r="AF527" s="2" t="s">
        <v>20</v>
      </c>
      <c r="AG527" s="2" t="s">
        <v>18</v>
      </c>
      <c r="AH527" s="2" t="s">
        <v>19</v>
      </c>
      <c r="AI527" s="2" t="s">
        <v>17</v>
      </c>
      <c r="AJ527" s="2" t="s">
        <v>28</v>
      </c>
      <c r="AK527" s="2" t="s">
        <v>16</v>
      </c>
      <c r="AL527" s="2" t="s">
        <v>16</v>
      </c>
    </row>
    <row r="528" ht="14.25" customHeight="1">
      <c r="A528" s="17">
        <v>46028.0</v>
      </c>
      <c r="B528" s="2" t="s">
        <v>31</v>
      </c>
      <c r="C528" s="2" t="s">
        <v>31</v>
      </c>
      <c r="D528" s="2" t="s">
        <v>31</v>
      </c>
      <c r="E528" s="2" t="s">
        <v>31</v>
      </c>
      <c r="F528" s="2" t="s">
        <v>31</v>
      </c>
      <c r="G528" s="2" t="s">
        <v>31</v>
      </c>
      <c r="H528" s="2" t="s">
        <v>31</v>
      </c>
      <c r="I528" s="2" t="s">
        <v>31</v>
      </c>
      <c r="J528" s="2" t="s">
        <v>31</v>
      </c>
      <c r="K528" s="2" t="s">
        <v>31</v>
      </c>
      <c r="L528" s="2" t="s">
        <v>31</v>
      </c>
      <c r="M528" s="2" t="s">
        <v>31</v>
      </c>
      <c r="N528" s="2" t="s">
        <v>31</v>
      </c>
      <c r="O528" s="2" t="s">
        <v>31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2" t="s">
        <v>22</v>
      </c>
      <c r="V528" s="2" t="s">
        <v>28</v>
      </c>
      <c r="W528" s="2" t="s">
        <v>21</v>
      </c>
      <c r="X528" s="2" t="s">
        <v>16</v>
      </c>
      <c r="Y528" s="2" t="s">
        <v>19</v>
      </c>
      <c r="Z528" s="2" t="s">
        <v>25</v>
      </c>
      <c r="AA528" s="2" t="s">
        <v>17</v>
      </c>
      <c r="AB528" s="2" t="s">
        <v>26</v>
      </c>
      <c r="AC528" s="2" t="s">
        <v>16</v>
      </c>
      <c r="AD528" s="2" t="s">
        <v>16</v>
      </c>
      <c r="AE528" s="2" t="s">
        <v>16</v>
      </c>
      <c r="AF528" s="2" t="s">
        <v>27</v>
      </c>
      <c r="AG528" s="2" t="s">
        <v>25</v>
      </c>
      <c r="AH528" s="2" t="s">
        <v>20</v>
      </c>
      <c r="AI528" s="2" t="s">
        <v>25</v>
      </c>
      <c r="AJ528" s="2" t="s">
        <v>16</v>
      </c>
      <c r="AK528" s="2" t="s">
        <v>16</v>
      </c>
      <c r="AL528" s="2" t="s">
        <v>22</v>
      </c>
    </row>
    <row r="529" ht="14.25" customHeight="1">
      <c r="A529" s="17">
        <v>46029.0</v>
      </c>
      <c r="B529" s="2" t="s">
        <v>31</v>
      </c>
      <c r="C529" s="2" t="s">
        <v>31</v>
      </c>
      <c r="D529" s="2" t="s">
        <v>31</v>
      </c>
      <c r="E529" s="2" t="s">
        <v>31</v>
      </c>
      <c r="F529" s="2" t="s">
        <v>31</v>
      </c>
      <c r="G529" s="2" t="s">
        <v>31</v>
      </c>
      <c r="H529" s="2" t="s">
        <v>31</v>
      </c>
      <c r="I529" s="2" t="s">
        <v>31</v>
      </c>
      <c r="J529" s="2" t="s">
        <v>31</v>
      </c>
      <c r="K529" s="2" t="s">
        <v>31</v>
      </c>
      <c r="L529" s="2" t="s">
        <v>31</v>
      </c>
      <c r="M529" s="2" t="s">
        <v>31</v>
      </c>
      <c r="N529" s="2" t="s">
        <v>31</v>
      </c>
      <c r="O529" s="2" t="s">
        <v>31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2" t="s">
        <v>17</v>
      </c>
      <c r="V529" s="2" t="s">
        <v>16</v>
      </c>
      <c r="W529" s="2" t="s">
        <v>25</v>
      </c>
      <c r="X529" s="2" t="s">
        <v>17</v>
      </c>
      <c r="Y529" s="2" t="s">
        <v>17</v>
      </c>
      <c r="Z529" s="2" t="s">
        <v>26</v>
      </c>
      <c r="AA529" s="2" t="s">
        <v>18</v>
      </c>
      <c r="AB529" s="2" t="s">
        <v>16</v>
      </c>
      <c r="AC529" s="2" t="s">
        <v>23</v>
      </c>
      <c r="AD529" s="2" t="s">
        <v>23</v>
      </c>
      <c r="AE529" s="2" t="s">
        <v>24</v>
      </c>
      <c r="AF529" s="2" t="s">
        <v>25</v>
      </c>
      <c r="AG529" s="2" t="s">
        <v>17</v>
      </c>
      <c r="AH529" s="2" t="s">
        <v>22</v>
      </c>
      <c r="AI529" s="2" t="s">
        <v>21</v>
      </c>
      <c r="AJ529" s="2" t="s">
        <v>17</v>
      </c>
      <c r="AK529" s="2" t="s">
        <v>27</v>
      </c>
      <c r="AL529" s="2" t="s">
        <v>17</v>
      </c>
    </row>
    <row r="530" ht="14.25" customHeight="1">
      <c r="A530" s="17">
        <v>46030.0</v>
      </c>
      <c r="B530" s="2" t="s">
        <v>31</v>
      </c>
      <c r="C530" s="2" t="s">
        <v>31</v>
      </c>
      <c r="D530" s="2" t="s">
        <v>31</v>
      </c>
      <c r="E530" s="2" t="s">
        <v>31</v>
      </c>
      <c r="F530" s="2" t="s">
        <v>31</v>
      </c>
      <c r="G530" s="2" t="s">
        <v>31</v>
      </c>
      <c r="H530" s="2" t="s">
        <v>31</v>
      </c>
      <c r="I530" s="2" t="s">
        <v>31</v>
      </c>
      <c r="J530" s="2" t="s">
        <v>31</v>
      </c>
      <c r="K530" s="2" t="s">
        <v>31</v>
      </c>
      <c r="L530" s="2" t="s">
        <v>31</v>
      </c>
      <c r="M530" s="2" t="s">
        <v>31</v>
      </c>
      <c r="N530" s="2" t="s">
        <v>31</v>
      </c>
      <c r="O530" s="2" t="s">
        <v>31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31</v>
      </c>
      <c r="U530" s="2" t="s">
        <v>19</v>
      </c>
      <c r="V530" s="2" t="s">
        <v>25</v>
      </c>
      <c r="W530" s="2" t="s">
        <v>20</v>
      </c>
      <c r="X530" s="2" t="s">
        <v>16</v>
      </c>
      <c r="Y530" s="2" t="s">
        <v>20</v>
      </c>
      <c r="Z530" s="2" t="s">
        <v>24</v>
      </c>
      <c r="AA530" s="2" t="s">
        <v>16</v>
      </c>
      <c r="AB530" s="2" t="s">
        <v>22</v>
      </c>
      <c r="AC530" s="2" t="s">
        <v>24</v>
      </c>
      <c r="AD530" s="2" t="s">
        <v>17</v>
      </c>
      <c r="AE530" s="2" t="s">
        <v>26</v>
      </c>
      <c r="AF530" s="2" t="s">
        <v>25</v>
      </c>
      <c r="AG530" s="2" t="s">
        <v>26</v>
      </c>
      <c r="AH530" s="2" t="s">
        <v>19</v>
      </c>
      <c r="AI530" s="2" t="s">
        <v>16</v>
      </c>
      <c r="AJ530" s="2" t="s">
        <v>21</v>
      </c>
      <c r="AK530" s="2" t="s">
        <v>25</v>
      </c>
      <c r="AL530" s="2" t="s">
        <v>24</v>
      </c>
    </row>
    <row r="531" ht="14.25" customHeight="1">
      <c r="A531" s="17">
        <v>46031.0</v>
      </c>
      <c r="B531" s="2" t="s">
        <v>31</v>
      </c>
      <c r="C531" s="2" t="s">
        <v>31</v>
      </c>
      <c r="D531" s="2" t="s">
        <v>31</v>
      </c>
      <c r="E531" s="2" t="s">
        <v>31</v>
      </c>
      <c r="F531" s="2" t="s">
        <v>31</v>
      </c>
      <c r="G531" s="2" t="s">
        <v>31</v>
      </c>
      <c r="H531" s="2" t="s">
        <v>31</v>
      </c>
      <c r="I531" s="2" t="s">
        <v>31</v>
      </c>
      <c r="J531" s="2" t="s">
        <v>31</v>
      </c>
      <c r="K531" s="2" t="s">
        <v>31</v>
      </c>
      <c r="L531" s="2" t="s">
        <v>31</v>
      </c>
      <c r="M531" s="2" t="s">
        <v>31</v>
      </c>
      <c r="N531" s="2" t="s">
        <v>31</v>
      </c>
      <c r="O531" s="2" t="s">
        <v>31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2" t="s">
        <v>26</v>
      </c>
      <c r="V531" s="2" t="s">
        <v>27</v>
      </c>
      <c r="W531" s="2" t="s">
        <v>16</v>
      </c>
      <c r="X531" s="2" t="s">
        <v>24</v>
      </c>
      <c r="Y531" s="2" t="s">
        <v>28</v>
      </c>
      <c r="Z531" s="2" t="s">
        <v>24</v>
      </c>
      <c r="AA531" s="2" t="s">
        <v>27</v>
      </c>
      <c r="AB531" s="2" t="s">
        <v>21</v>
      </c>
      <c r="AC531" s="2" t="s">
        <v>21</v>
      </c>
      <c r="AD531" s="2" t="s">
        <v>19</v>
      </c>
      <c r="AE531" s="2" t="s">
        <v>23</v>
      </c>
      <c r="AF531" s="2" t="s">
        <v>26</v>
      </c>
      <c r="AG531" s="2" t="s">
        <v>18</v>
      </c>
      <c r="AH531" s="2" t="s">
        <v>20</v>
      </c>
      <c r="AI531" s="2" t="s">
        <v>19</v>
      </c>
      <c r="AJ531" s="2" t="s">
        <v>20</v>
      </c>
      <c r="AK531" s="2" t="s">
        <v>25</v>
      </c>
      <c r="AL531" s="2" t="s">
        <v>24</v>
      </c>
    </row>
    <row r="532" ht="14.25" customHeight="1">
      <c r="A532" s="17">
        <v>46032.0</v>
      </c>
      <c r="B532" s="2" t="s">
        <v>41</v>
      </c>
      <c r="C532" s="2" t="s">
        <v>16</v>
      </c>
      <c r="D532" s="2" t="s">
        <v>29</v>
      </c>
      <c r="E532" s="2" t="s">
        <v>26</v>
      </c>
      <c r="F532" s="2" t="s">
        <v>32</v>
      </c>
      <c r="G532" s="2" t="s">
        <v>38</v>
      </c>
      <c r="H532" s="2" t="s">
        <v>35</v>
      </c>
      <c r="I532" s="2" t="s">
        <v>16</v>
      </c>
      <c r="J532" s="2" t="s">
        <v>41</v>
      </c>
      <c r="K532" s="2" t="s">
        <v>41</v>
      </c>
      <c r="L532" s="2" t="s">
        <v>19</v>
      </c>
      <c r="M532" s="2" t="s">
        <v>27</v>
      </c>
      <c r="N532" s="2" t="s">
        <v>16</v>
      </c>
      <c r="O532" s="2" t="s">
        <v>25</v>
      </c>
      <c r="P532" s="2" t="s">
        <v>33</v>
      </c>
      <c r="Q532" s="2" t="s">
        <v>20</v>
      </c>
      <c r="R532" s="2" t="s">
        <v>29</v>
      </c>
      <c r="S532" s="2" t="s">
        <v>20</v>
      </c>
      <c r="T532" s="2" t="s">
        <v>38</v>
      </c>
      <c r="U532" s="2" t="s">
        <v>22</v>
      </c>
      <c r="V532" s="2" t="s">
        <v>26</v>
      </c>
      <c r="W532" s="2" t="s">
        <v>16</v>
      </c>
      <c r="X532" s="2" t="s">
        <v>17</v>
      </c>
      <c r="Y532" s="2" t="s">
        <v>16</v>
      </c>
      <c r="Z532" s="2" t="s">
        <v>16</v>
      </c>
      <c r="AA532" s="2" t="s">
        <v>28</v>
      </c>
      <c r="AB532" s="2" t="s">
        <v>19</v>
      </c>
      <c r="AC532" s="2" t="s">
        <v>19</v>
      </c>
      <c r="AD532" s="2" t="s">
        <v>19</v>
      </c>
      <c r="AE532" s="2" t="s">
        <v>16</v>
      </c>
      <c r="AF532" s="2" t="s">
        <v>16</v>
      </c>
      <c r="AG532" s="2" t="s">
        <v>16</v>
      </c>
      <c r="AH532" s="2" t="s">
        <v>21</v>
      </c>
      <c r="AI532" s="2" t="s">
        <v>16</v>
      </c>
      <c r="AJ532" s="2" t="s">
        <v>16</v>
      </c>
      <c r="AK532" s="2" t="s">
        <v>18</v>
      </c>
      <c r="AL532" s="2" t="s">
        <v>27</v>
      </c>
    </row>
    <row r="533" ht="14.25" customHeight="1">
      <c r="A533" s="17">
        <v>46033.0</v>
      </c>
      <c r="B533" s="2" t="s">
        <v>31</v>
      </c>
      <c r="C533" s="2" t="s">
        <v>31</v>
      </c>
      <c r="D533" s="2" t="s">
        <v>31</v>
      </c>
      <c r="E533" s="2" t="s">
        <v>31</v>
      </c>
      <c r="F533" s="2" t="s">
        <v>31</v>
      </c>
      <c r="G533" s="2" t="s">
        <v>31</v>
      </c>
      <c r="H533" s="2" t="s">
        <v>31</v>
      </c>
      <c r="I533" s="2" t="s">
        <v>31</v>
      </c>
      <c r="J533" s="2" t="s">
        <v>31</v>
      </c>
      <c r="K533" s="2" t="s">
        <v>31</v>
      </c>
      <c r="L533" s="2" t="s">
        <v>31</v>
      </c>
      <c r="M533" s="2" t="s">
        <v>31</v>
      </c>
      <c r="N533" s="2" t="s">
        <v>31</v>
      </c>
      <c r="O533" s="2" t="s">
        <v>31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2" t="s">
        <v>25</v>
      </c>
      <c r="V533" s="2" t="s">
        <v>16</v>
      </c>
      <c r="W533" s="2" t="s">
        <v>16</v>
      </c>
      <c r="X533" s="2" t="s">
        <v>23</v>
      </c>
      <c r="Y533" s="2" t="s">
        <v>17</v>
      </c>
      <c r="Z533" s="2" t="s">
        <v>16</v>
      </c>
      <c r="AA533" s="2" t="s">
        <v>20</v>
      </c>
      <c r="AB533" s="2" t="s">
        <v>25</v>
      </c>
      <c r="AC533" s="2" t="s">
        <v>16</v>
      </c>
      <c r="AD533" s="2" t="s">
        <v>22</v>
      </c>
      <c r="AE533" s="2" t="s">
        <v>20</v>
      </c>
      <c r="AF533" s="2" t="s">
        <v>25</v>
      </c>
      <c r="AG533" s="2" t="s">
        <v>22</v>
      </c>
      <c r="AH533" s="2" t="s">
        <v>16</v>
      </c>
      <c r="AI533" s="2" t="s">
        <v>28</v>
      </c>
      <c r="AJ533" s="2" t="s">
        <v>20</v>
      </c>
      <c r="AK533" s="2" t="s">
        <v>21</v>
      </c>
      <c r="AL533" s="2" t="s">
        <v>18</v>
      </c>
    </row>
    <row r="534" ht="14.25" customHeight="1">
      <c r="A534" s="17">
        <v>46034.0</v>
      </c>
      <c r="B534" s="2" t="s">
        <v>31</v>
      </c>
      <c r="C534" s="2" t="s">
        <v>31</v>
      </c>
      <c r="D534" s="2" t="s">
        <v>31</v>
      </c>
      <c r="E534" s="2" t="s">
        <v>31</v>
      </c>
      <c r="F534" s="2" t="s">
        <v>31</v>
      </c>
      <c r="G534" s="2" t="s">
        <v>31</v>
      </c>
      <c r="H534" s="2" t="s">
        <v>31</v>
      </c>
      <c r="I534" s="2" t="s">
        <v>31</v>
      </c>
      <c r="J534" s="2" t="s">
        <v>31</v>
      </c>
      <c r="K534" s="2" t="s">
        <v>31</v>
      </c>
      <c r="L534" s="2" t="s">
        <v>31</v>
      </c>
      <c r="M534" s="2" t="s">
        <v>31</v>
      </c>
      <c r="N534" s="2" t="s">
        <v>31</v>
      </c>
      <c r="O534" s="2" t="s">
        <v>31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2" t="s">
        <v>28</v>
      </c>
      <c r="V534" s="2" t="s">
        <v>17</v>
      </c>
      <c r="W534" s="2" t="s">
        <v>27</v>
      </c>
      <c r="X534" s="2" t="s">
        <v>22</v>
      </c>
      <c r="Y534" s="2" t="s">
        <v>24</v>
      </c>
      <c r="Z534" s="2" t="s">
        <v>28</v>
      </c>
      <c r="AA534" s="2" t="s">
        <v>16</v>
      </c>
      <c r="AB534" s="2" t="s">
        <v>26</v>
      </c>
      <c r="AC534" s="2" t="s">
        <v>24</v>
      </c>
      <c r="AD534" s="2" t="s">
        <v>16</v>
      </c>
      <c r="AE534" s="2" t="s">
        <v>18</v>
      </c>
      <c r="AF534" s="2" t="s">
        <v>27</v>
      </c>
      <c r="AG534" s="2" t="s">
        <v>28</v>
      </c>
      <c r="AH534" s="2" t="s">
        <v>16</v>
      </c>
      <c r="AI534" s="2" t="s">
        <v>23</v>
      </c>
      <c r="AJ534" s="2" t="s">
        <v>19</v>
      </c>
      <c r="AK534" s="2" t="s">
        <v>16</v>
      </c>
      <c r="AL534" s="2" t="s">
        <v>27</v>
      </c>
    </row>
    <row r="535" ht="14.25" customHeight="1">
      <c r="A535" s="17">
        <v>46035.0</v>
      </c>
      <c r="B535" s="2" t="s">
        <v>31</v>
      </c>
      <c r="C535" s="2" t="s">
        <v>31</v>
      </c>
      <c r="D535" s="2" t="s">
        <v>31</v>
      </c>
      <c r="E535" s="2" t="s">
        <v>31</v>
      </c>
      <c r="F535" s="2" t="s">
        <v>31</v>
      </c>
      <c r="G535" s="2" t="s">
        <v>31</v>
      </c>
      <c r="H535" s="2" t="s">
        <v>31</v>
      </c>
      <c r="I535" s="2" t="s">
        <v>31</v>
      </c>
      <c r="J535" s="2" t="s">
        <v>31</v>
      </c>
      <c r="K535" s="2" t="s">
        <v>31</v>
      </c>
      <c r="L535" s="2" t="s">
        <v>31</v>
      </c>
      <c r="M535" s="2" t="s">
        <v>31</v>
      </c>
      <c r="N535" s="2" t="s">
        <v>31</v>
      </c>
      <c r="O535" s="2" t="s">
        <v>31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31</v>
      </c>
      <c r="U535" s="2" t="s">
        <v>17</v>
      </c>
      <c r="V535" s="2" t="s">
        <v>17</v>
      </c>
      <c r="W535" s="2" t="s">
        <v>25</v>
      </c>
      <c r="X535" s="2" t="s">
        <v>21</v>
      </c>
      <c r="Y535" s="2" t="s">
        <v>16</v>
      </c>
      <c r="Z535" s="2" t="s">
        <v>16</v>
      </c>
      <c r="AA535" s="2" t="s">
        <v>26</v>
      </c>
      <c r="AB535" s="2" t="s">
        <v>22</v>
      </c>
      <c r="AC535" s="2" t="s">
        <v>16</v>
      </c>
      <c r="AD535" s="2" t="s">
        <v>17</v>
      </c>
      <c r="AE535" s="2" t="s">
        <v>19</v>
      </c>
      <c r="AF535" s="2" t="s">
        <v>28</v>
      </c>
      <c r="AG535" s="2" t="s">
        <v>20</v>
      </c>
      <c r="AH535" s="2" t="s">
        <v>18</v>
      </c>
      <c r="AI535" s="2" t="s">
        <v>19</v>
      </c>
      <c r="AJ535" s="2" t="s">
        <v>16</v>
      </c>
      <c r="AK535" s="2" t="s">
        <v>20</v>
      </c>
      <c r="AL535" s="2" t="s">
        <v>21</v>
      </c>
    </row>
    <row r="536" ht="14.25" customHeight="1">
      <c r="A536" s="17">
        <v>46036.0</v>
      </c>
      <c r="B536" s="2" t="s">
        <v>31</v>
      </c>
      <c r="C536" s="2" t="s">
        <v>31</v>
      </c>
      <c r="D536" s="2" t="s">
        <v>31</v>
      </c>
      <c r="E536" s="2" t="s">
        <v>31</v>
      </c>
      <c r="F536" s="2" t="s">
        <v>31</v>
      </c>
      <c r="G536" s="2" t="s">
        <v>31</v>
      </c>
      <c r="H536" s="2" t="s">
        <v>31</v>
      </c>
      <c r="I536" s="2" t="s">
        <v>31</v>
      </c>
      <c r="J536" s="2" t="s">
        <v>31</v>
      </c>
      <c r="K536" s="2" t="s">
        <v>31</v>
      </c>
      <c r="L536" s="2" t="s">
        <v>31</v>
      </c>
      <c r="M536" s="2" t="s">
        <v>31</v>
      </c>
      <c r="N536" s="2" t="s">
        <v>31</v>
      </c>
      <c r="O536" s="2" t="s">
        <v>31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2" t="s">
        <v>24</v>
      </c>
      <c r="V536" s="2" t="s">
        <v>16</v>
      </c>
      <c r="W536" s="2" t="s">
        <v>22</v>
      </c>
      <c r="X536" s="2" t="s">
        <v>16</v>
      </c>
      <c r="Y536" s="2" t="s">
        <v>16</v>
      </c>
      <c r="Z536" s="2" t="s">
        <v>27</v>
      </c>
      <c r="AA536" s="2" t="s">
        <v>16</v>
      </c>
      <c r="AB536" s="2" t="s">
        <v>25</v>
      </c>
      <c r="AC536" s="2" t="s">
        <v>21</v>
      </c>
      <c r="AD536" s="2" t="s">
        <v>19</v>
      </c>
      <c r="AE536" s="2" t="s">
        <v>21</v>
      </c>
      <c r="AF536" s="2" t="s">
        <v>22</v>
      </c>
      <c r="AG536" s="2" t="s">
        <v>20</v>
      </c>
      <c r="AH536" s="2" t="s">
        <v>16</v>
      </c>
      <c r="AI536" s="2" t="s">
        <v>23</v>
      </c>
      <c r="AJ536" s="2" t="s">
        <v>16</v>
      </c>
      <c r="AK536" s="2" t="s">
        <v>17</v>
      </c>
      <c r="AL536" s="2" t="s">
        <v>21</v>
      </c>
    </row>
    <row r="537" ht="14.25" customHeight="1">
      <c r="A537" s="17">
        <v>46037.0</v>
      </c>
      <c r="B537" s="2" t="s">
        <v>31</v>
      </c>
      <c r="C537" s="2" t="s">
        <v>31</v>
      </c>
      <c r="D537" s="2" t="s">
        <v>31</v>
      </c>
      <c r="E537" s="2" t="s">
        <v>31</v>
      </c>
      <c r="F537" s="2" t="s">
        <v>31</v>
      </c>
      <c r="G537" s="2" t="s">
        <v>31</v>
      </c>
      <c r="H537" s="2" t="s">
        <v>31</v>
      </c>
      <c r="I537" s="2" t="s">
        <v>31</v>
      </c>
      <c r="J537" s="2" t="s">
        <v>31</v>
      </c>
      <c r="K537" s="2" t="s">
        <v>31</v>
      </c>
      <c r="L537" s="2" t="s">
        <v>31</v>
      </c>
      <c r="M537" s="2" t="s">
        <v>31</v>
      </c>
      <c r="N537" s="2" t="s">
        <v>31</v>
      </c>
      <c r="O537" s="2" t="s">
        <v>31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2" t="s">
        <v>25</v>
      </c>
      <c r="V537" s="2" t="s">
        <v>26</v>
      </c>
      <c r="W537" s="2" t="s">
        <v>16</v>
      </c>
      <c r="X537" s="2" t="s">
        <v>16</v>
      </c>
      <c r="Y537" s="2" t="s">
        <v>19</v>
      </c>
      <c r="Z537" s="2" t="s">
        <v>20</v>
      </c>
      <c r="AA537" s="2" t="s">
        <v>20</v>
      </c>
      <c r="AB537" s="2" t="s">
        <v>16</v>
      </c>
      <c r="AC537" s="2" t="s">
        <v>16</v>
      </c>
      <c r="AD537" s="2" t="s">
        <v>22</v>
      </c>
      <c r="AE537" s="2" t="s">
        <v>19</v>
      </c>
      <c r="AF537" s="2" t="s">
        <v>16</v>
      </c>
      <c r="AG537" s="2" t="s">
        <v>27</v>
      </c>
      <c r="AH537" s="2" t="s">
        <v>16</v>
      </c>
      <c r="AI537" s="2" t="s">
        <v>28</v>
      </c>
      <c r="AJ537" s="2" t="s">
        <v>24</v>
      </c>
      <c r="AK537" s="2" t="s">
        <v>16</v>
      </c>
      <c r="AL537" s="2" t="s">
        <v>17</v>
      </c>
    </row>
    <row r="538" ht="14.25" customHeight="1">
      <c r="A538" s="17">
        <v>46038.0</v>
      </c>
      <c r="B538" s="2" t="s">
        <v>31</v>
      </c>
      <c r="C538" s="2" t="s">
        <v>31</v>
      </c>
      <c r="D538" s="2" t="s">
        <v>31</v>
      </c>
      <c r="E538" s="2" t="s">
        <v>31</v>
      </c>
      <c r="F538" s="2" t="s">
        <v>31</v>
      </c>
      <c r="G538" s="2" t="s">
        <v>31</v>
      </c>
      <c r="H538" s="2" t="s">
        <v>31</v>
      </c>
      <c r="I538" s="2" t="s">
        <v>31</v>
      </c>
      <c r="J538" s="2" t="s">
        <v>31</v>
      </c>
      <c r="K538" s="2" t="s">
        <v>31</v>
      </c>
      <c r="L538" s="2" t="s">
        <v>31</v>
      </c>
      <c r="M538" s="2" t="s">
        <v>31</v>
      </c>
      <c r="N538" s="2" t="s">
        <v>31</v>
      </c>
      <c r="O538" s="2" t="s">
        <v>31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2" t="s">
        <v>17</v>
      </c>
      <c r="V538" s="2" t="s">
        <v>23</v>
      </c>
      <c r="W538" s="2" t="s">
        <v>16</v>
      </c>
      <c r="X538" s="2" t="s">
        <v>16</v>
      </c>
      <c r="Y538" s="2" t="s">
        <v>25</v>
      </c>
      <c r="Z538" s="2" t="s">
        <v>19</v>
      </c>
      <c r="AA538" s="2" t="s">
        <v>22</v>
      </c>
      <c r="AB538" s="2" t="s">
        <v>18</v>
      </c>
      <c r="AC538" s="2" t="s">
        <v>28</v>
      </c>
      <c r="AD538" s="2" t="s">
        <v>16</v>
      </c>
      <c r="AE538" s="2" t="s">
        <v>19</v>
      </c>
      <c r="AF538" s="2" t="s">
        <v>24</v>
      </c>
      <c r="AG538" s="2" t="s">
        <v>21</v>
      </c>
      <c r="AH538" s="2" t="s">
        <v>16</v>
      </c>
      <c r="AI538" s="2" t="s">
        <v>16</v>
      </c>
      <c r="AJ538" s="2" t="s">
        <v>16</v>
      </c>
      <c r="AK538" s="2" t="s">
        <v>17</v>
      </c>
      <c r="AL538" s="2" t="s">
        <v>16</v>
      </c>
    </row>
    <row r="539" ht="14.25" customHeight="1">
      <c r="A539" s="17">
        <v>46039.0</v>
      </c>
      <c r="B539" s="2" t="s">
        <v>16</v>
      </c>
      <c r="C539" s="2" t="s">
        <v>17</v>
      </c>
      <c r="D539" s="2" t="s">
        <v>20</v>
      </c>
      <c r="E539" s="2" t="s">
        <v>17</v>
      </c>
      <c r="F539" s="2" t="s">
        <v>30</v>
      </c>
      <c r="G539" s="2" t="s">
        <v>41</v>
      </c>
      <c r="H539" s="2" t="s">
        <v>35</v>
      </c>
      <c r="I539" s="2" t="s">
        <v>19</v>
      </c>
      <c r="J539" s="2" t="s">
        <v>28</v>
      </c>
      <c r="K539" s="2" t="s">
        <v>16</v>
      </c>
      <c r="L539" s="2" t="s">
        <v>16</v>
      </c>
      <c r="M539" s="2" t="s">
        <v>38</v>
      </c>
      <c r="N539" s="2" t="s">
        <v>40</v>
      </c>
      <c r="O539" s="2" t="s">
        <v>27</v>
      </c>
      <c r="P539" s="2" t="s">
        <v>17</v>
      </c>
      <c r="Q539" s="2" t="s">
        <v>40</v>
      </c>
      <c r="R539" s="2" t="s">
        <v>36</v>
      </c>
      <c r="S539" s="2" t="s">
        <v>16</v>
      </c>
      <c r="T539" s="2" t="s">
        <v>16</v>
      </c>
      <c r="U539" s="2" t="s">
        <v>24</v>
      </c>
      <c r="V539" s="2" t="s">
        <v>26</v>
      </c>
      <c r="W539" s="2" t="s">
        <v>16</v>
      </c>
      <c r="X539" s="2" t="s">
        <v>16</v>
      </c>
      <c r="Y539" s="2" t="s">
        <v>20</v>
      </c>
      <c r="Z539" s="2" t="s">
        <v>20</v>
      </c>
      <c r="AA539" s="2" t="s">
        <v>21</v>
      </c>
      <c r="AB539" s="2" t="s">
        <v>16</v>
      </c>
      <c r="AC539" s="2" t="s">
        <v>19</v>
      </c>
      <c r="AD539" s="2" t="s">
        <v>16</v>
      </c>
      <c r="AE539" s="2" t="s">
        <v>26</v>
      </c>
      <c r="AF539" s="2" t="s">
        <v>27</v>
      </c>
      <c r="AG539" s="2" t="s">
        <v>20</v>
      </c>
      <c r="AH539" s="2" t="s">
        <v>18</v>
      </c>
      <c r="AI539" s="2" t="s">
        <v>27</v>
      </c>
      <c r="AJ539" s="2" t="s">
        <v>16</v>
      </c>
      <c r="AK539" s="2" t="s">
        <v>21</v>
      </c>
      <c r="AL539" s="2" t="s">
        <v>25</v>
      </c>
    </row>
    <row r="540" ht="14.25" customHeight="1">
      <c r="A540" s="17">
        <v>46040.0</v>
      </c>
      <c r="B540" s="2" t="s">
        <v>31</v>
      </c>
      <c r="C540" s="2" t="s">
        <v>31</v>
      </c>
      <c r="D540" s="2" t="s">
        <v>31</v>
      </c>
      <c r="E540" s="2" t="s">
        <v>31</v>
      </c>
      <c r="F540" s="2" t="s">
        <v>31</v>
      </c>
      <c r="G540" s="2" t="s">
        <v>31</v>
      </c>
      <c r="H540" s="2" t="s">
        <v>31</v>
      </c>
      <c r="I540" s="2" t="s">
        <v>31</v>
      </c>
      <c r="J540" s="2" t="s">
        <v>31</v>
      </c>
      <c r="K540" s="2" t="s">
        <v>31</v>
      </c>
      <c r="L540" s="2" t="s">
        <v>31</v>
      </c>
      <c r="M540" s="2" t="s">
        <v>31</v>
      </c>
      <c r="N540" s="2" t="s">
        <v>31</v>
      </c>
      <c r="O540" s="2" t="s">
        <v>31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31</v>
      </c>
      <c r="U540" s="2" t="s">
        <v>22</v>
      </c>
      <c r="V540" s="2" t="s">
        <v>26</v>
      </c>
      <c r="W540" s="2" t="s">
        <v>16</v>
      </c>
      <c r="X540" s="2" t="s">
        <v>17</v>
      </c>
      <c r="Y540" s="2" t="s">
        <v>26</v>
      </c>
      <c r="Z540" s="2" t="s">
        <v>16</v>
      </c>
      <c r="AA540" s="2" t="s">
        <v>21</v>
      </c>
      <c r="AB540" s="2" t="s">
        <v>23</v>
      </c>
      <c r="AC540" s="2" t="s">
        <v>19</v>
      </c>
      <c r="AD540" s="2" t="s">
        <v>16</v>
      </c>
      <c r="AE540" s="2" t="s">
        <v>17</v>
      </c>
      <c r="AF540" s="2" t="s">
        <v>18</v>
      </c>
      <c r="AG540" s="2" t="s">
        <v>25</v>
      </c>
      <c r="AH540" s="2" t="s">
        <v>25</v>
      </c>
      <c r="AI540" s="2" t="s">
        <v>26</v>
      </c>
      <c r="AJ540" s="2" t="s">
        <v>26</v>
      </c>
      <c r="AK540" s="2" t="s">
        <v>16</v>
      </c>
      <c r="AL540" s="2" t="s">
        <v>26</v>
      </c>
    </row>
    <row r="541" ht="14.25" customHeight="1">
      <c r="A541" s="17">
        <v>46041.0</v>
      </c>
      <c r="B541" s="2" t="s">
        <v>31</v>
      </c>
      <c r="C541" s="2" t="s">
        <v>31</v>
      </c>
      <c r="D541" s="2" t="s">
        <v>31</v>
      </c>
      <c r="E541" s="2" t="s">
        <v>31</v>
      </c>
      <c r="F541" s="2" t="s">
        <v>31</v>
      </c>
      <c r="G541" s="2" t="s">
        <v>31</v>
      </c>
      <c r="H541" s="2" t="s">
        <v>31</v>
      </c>
      <c r="I541" s="2" t="s">
        <v>31</v>
      </c>
      <c r="J541" s="2" t="s">
        <v>31</v>
      </c>
      <c r="K541" s="2" t="s">
        <v>31</v>
      </c>
      <c r="L541" s="2" t="s">
        <v>31</v>
      </c>
      <c r="M541" s="2" t="s">
        <v>31</v>
      </c>
      <c r="N541" s="2" t="s">
        <v>31</v>
      </c>
      <c r="O541" s="2" t="s">
        <v>31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2" t="s">
        <v>24</v>
      </c>
      <c r="V541" s="2" t="s">
        <v>16</v>
      </c>
      <c r="W541" s="2" t="s">
        <v>28</v>
      </c>
      <c r="X541" s="2" t="s">
        <v>16</v>
      </c>
      <c r="Y541" s="2" t="s">
        <v>16</v>
      </c>
      <c r="Z541" s="2" t="s">
        <v>16</v>
      </c>
      <c r="AA541" s="2" t="s">
        <v>16</v>
      </c>
      <c r="AB541" s="2" t="s">
        <v>28</v>
      </c>
      <c r="AC541" s="2" t="s">
        <v>16</v>
      </c>
      <c r="AD541" s="2" t="s">
        <v>24</v>
      </c>
      <c r="AE541" s="2" t="s">
        <v>22</v>
      </c>
      <c r="AF541" s="2" t="s">
        <v>27</v>
      </c>
      <c r="AG541" s="2" t="s">
        <v>18</v>
      </c>
      <c r="AH541" s="2" t="s">
        <v>16</v>
      </c>
      <c r="AI541" s="2" t="s">
        <v>28</v>
      </c>
      <c r="AJ541" s="2" t="s">
        <v>16</v>
      </c>
      <c r="AK541" s="2" t="s">
        <v>17</v>
      </c>
      <c r="AL541" s="2" t="s">
        <v>16</v>
      </c>
    </row>
    <row r="542" ht="14.25" customHeight="1">
      <c r="A542" s="17">
        <v>46042.0</v>
      </c>
      <c r="B542" s="2" t="s">
        <v>31</v>
      </c>
      <c r="C542" s="2" t="s">
        <v>31</v>
      </c>
      <c r="D542" s="2" t="s">
        <v>31</v>
      </c>
      <c r="E542" s="2" t="s">
        <v>31</v>
      </c>
      <c r="F542" s="2" t="s">
        <v>31</v>
      </c>
      <c r="G542" s="2" t="s">
        <v>31</v>
      </c>
      <c r="H542" s="2" t="s">
        <v>31</v>
      </c>
      <c r="I542" s="2" t="s">
        <v>31</v>
      </c>
      <c r="J542" s="2" t="s">
        <v>31</v>
      </c>
      <c r="K542" s="2" t="s">
        <v>31</v>
      </c>
      <c r="L542" s="2" t="s">
        <v>31</v>
      </c>
      <c r="M542" s="2" t="s">
        <v>31</v>
      </c>
      <c r="N542" s="2" t="s">
        <v>31</v>
      </c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2" t="s">
        <v>25</v>
      </c>
      <c r="V542" s="2" t="s">
        <v>26</v>
      </c>
      <c r="W542" s="2" t="s">
        <v>20</v>
      </c>
      <c r="X542" s="2" t="s">
        <v>17</v>
      </c>
      <c r="Y542" s="2" t="s">
        <v>21</v>
      </c>
      <c r="Z542" s="2" t="s">
        <v>21</v>
      </c>
      <c r="AA542" s="2" t="s">
        <v>20</v>
      </c>
      <c r="AB542" s="2" t="s">
        <v>26</v>
      </c>
      <c r="AC542" s="2" t="s">
        <v>19</v>
      </c>
      <c r="AD542" s="2" t="s">
        <v>23</v>
      </c>
      <c r="AE542" s="2" t="s">
        <v>16</v>
      </c>
      <c r="AF542" s="2" t="s">
        <v>16</v>
      </c>
      <c r="AG542" s="2" t="s">
        <v>18</v>
      </c>
      <c r="AH542" s="2" t="s">
        <v>16</v>
      </c>
      <c r="AI542" s="2" t="s">
        <v>21</v>
      </c>
      <c r="AJ542" s="2" t="s">
        <v>16</v>
      </c>
      <c r="AK542" s="2" t="s">
        <v>19</v>
      </c>
      <c r="AL542" s="2" t="s">
        <v>16</v>
      </c>
    </row>
    <row r="543" ht="14.25" customHeight="1">
      <c r="A543" s="17">
        <v>46043.0</v>
      </c>
      <c r="B543" s="2" t="s">
        <v>31</v>
      </c>
      <c r="C543" s="2" t="s">
        <v>31</v>
      </c>
      <c r="D543" s="2" t="s">
        <v>31</v>
      </c>
      <c r="E543" s="2" t="s">
        <v>31</v>
      </c>
      <c r="F543" s="2" t="s">
        <v>31</v>
      </c>
      <c r="G543" s="2" t="s">
        <v>31</v>
      </c>
      <c r="H543" s="2" t="s">
        <v>31</v>
      </c>
      <c r="I543" s="2" t="s">
        <v>31</v>
      </c>
      <c r="J543" s="2" t="s">
        <v>31</v>
      </c>
      <c r="K543" s="2" t="s">
        <v>31</v>
      </c>
      <c r="L543" s="2" t="s">
        <v>31</v>
      </c>
      <c r="M543" s="2" t="s">
        <v>31</v>
      </c>
      <c r="N543" s="2" t="s">
        <v>31</v>
      </c>
      <c r="O543" s="2" t="s">
        <v>31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2" t="s">
        <v>27</v>
      </c>
      <c r="V543" s="2" t="s">
        <v>22</v>
      </c>
      <c r="W543" s="2" t="s">
        <v>16</v>
      </c>
      <c r="X543" s="2" t="s">
        <v>17</v>
      </c>
      <c r="Y543" s="2" t="s">
        <v>20</v>
      </c>
      <c r="Z543" s="2" t="s">
        <v>25</v>
      </c>
      <c r="AA543" s="2" t="s">
        <v>27</v>
      </c>
      <c r="AB543" s="2" t="s">
        <v>24</v>
      </c>
      <c r="AC543" s="2" t="s">
        <v>16</v>
      </c>
      <c r="AD543" s="2" t="s">
        <v>26</v>
      </c>
      <c r="AE543" s="2" t="s">
        <v>17</v>
      </c>
      <c r="AF543" s="2" t="s">
        <v>26</v>
      </c>
      <c r="AG543" s="2" t="s">
        <v>24</v>
      </c>
      <c r="AH543" s="2" t="s">
        <v>22</v>
      </c>
      <c r="AI543" s="2" t="s">
        <v>19</v>
      </c>
      <c r="AJ543" s="2" t="s">
        <v>24</v>
      </c>
      <c r="AK543" s="2" t="s">
        <v>19</v>
      </c>
      <c r="AL543" s="2" t="s">
        <v>16</v>
      </c>
    </row>
    <row r="544" ht="14.25" customHeight="1">
      <c r="A544" s="17">
        <v>46044.0</v>
      </c>
      <c r="B544" s="2" t="s">
        <v>31</v>
      </c>
      <c r="C544" s="2" t="s">
        <v>31</v>
      </c>
      <c r="D544" s="2" t="s">
        <v>31</v>
      </c>
      <c r="E544" s="2" t="s">
        <v>31</v>
      </c>
      <c r="F544" s="2" t="s">
        <v>31</v>
      </c>
      <c r="G544" s="2" t="s">
        <v>31</v>
      </c>
      <c r="H544" s="2" t="s">
        <v>31</v>
      </c>
      <c r="I544" s="2" t="s">
        <v>31</v>
      </c>
      <c r="J544" s="2" t="s">
        <v>31</v>
      </c>
      <c r="K544" s="2" t="s">
        <v>31</v>
      </c>
      <c r="L544" s="2" t="s">
        <v>31</v>
      </c>
      <c r="M544" s="2" t="s">
        <v>31</v>
      </c>
      <c r="N544" s="2" t="s">
        <v>31</v>
      </c>
      <c r="O544" s="2" t="s">
        <v>31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2" t="s">
        <v>17</v>
      </c>
      <c r="V544" s="2" t="s">
        <v>27</v>
      </c>
      <c r="W544" s="2" t="s">
        <v>19</v>
      </c>
      <c r="X544" s="2" t="s">
        <v>23</v>
      </c>
      <c r="Y544" s="2" t="s">
        <v>19</v>
      </c>
      <c r="Z544" s="2" t="s">
        <v>22</v>
      </c>
      <c r="AA544" s="2" t="s">
        <v>23</v>
      </c>
      <c r="AB544" s="2" t="s">
        <v>25</v>
      </c>
      <c r="AC544" s="2" t="s">
        <v>22</v>
      </c>
      <c r="AD544" s="2" t="s">
        <v>27</v>
      </c>
      <c r="AE544" s="2" t="s">
        <v>22</v>
      </c>
      <c r="AF544" s="2" t="s">
        <v>16</v>
      </c>
      <c r="AG544" s="2" t="s">
        <v>27</v>
      </c>
      <c r="AH544" s="2" t="s">
        <v>16</v>
      </c>
      <c r="AI544" s="2" t="s">
        <v>16</v>
      </c>
      <c r="AJ544" s="2" t="s">
        <v>21</v>
      </c>
      <c r="AK544" s="2" t="s">
        <v>26</v>
      </c>
      <c r="AL544" s="2" t="s">
        <v>25</v>
      </c>
    </row>
    <row r="545" ht="14.25" customHeight="1">
      <c r="A545" s="17">
        <v>46045.0</v>
      </c>
      <c r="B545" s="2" t="s">
        <v>31</v>
      </c>
      <c r="C545" s="2" t="s">
        <v>31</v>
      </c>
      <c r="D545" s="2" t="s">
        <v>31</v>
      </c>
      <c r="E545" s="2" t="s">
        <v>31</v>
      </c>
      <c r="F545" s="2" t="s">
        <v>31</v>
      </c>
      <c r="G545" s="2" t="s">
        <v>31</v>
      </c>
      <c r="H545" s="2" t="s">
        <v>31</v>
      </c>
      <c r="I545" s="2" t="s">
        <v>31</v>
      </c>
      <c r="J545" s="2" t="s">
        <v>31</v>
      </c>
      <c r="K545" s="2" t="s">
        <v>31</v>
      </c>
      <c r="L545" s="2" t="s">
        <v>31</v>
      </c>
      <c r="M545" s="2" t="s">
        <v>31</v>
      </c>
      <c r="N545" s="2" t="s">
        <v>31</v>
      </c>
      <c r="O545" s="2" t="s">
        <v>31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2" t="s">
        <v>27</v>
      </c>
      <c r="V545" s="2" t="s">
        <v>20</v>
      </c>
      <c r="W545" s="2" t="s">
        <v>24</v>
      </c>
      <c r="X545" s="2" t="s">
        <v>19</v>
      </c>
      <c r="Y545" s="2" t="s">
        <v>16</v>
      </c>
      <c r="Z545" s="2" t="s">
        <v>18</v>
      </c>
      <c r="AA545" s="2" t="s">
        <v>23</v>
      </c>
      <c r="AB545" s="2" t="s">
        <v>17</v>
      </c>
      <c r="AC545" s="2" t="s">
        <v>25</v>
      </c>
      <c r="AD545" s="2" t="s">
        <v>16</v>
      </c>
      <c r="AE545" s="2" t="s">
        <v>20</v>
      </c>
      <c r="AF545" s="2" t="s">
        <v>27</v>
      </c>
      <c r="AG545" s="2" t="s">
        <v>21</v>
      </c>
      <c r="AH545" s="2" t="s">
        <v>21</v>
      </c>
      <c r="AI545" s="2" t="s">
        <v>16</v>
      </c>
      <c r="AJ545" s="2" t="s">
        <v>16</v>
      </c>
      <c r="AK545" s="2" t="s">
        <v>19</v>
      </c>
      <c r="AL545" s="2" t="s">
        <v>23</v>
      </c>
    </row>
    <row r="546" ht="14.25" customHeight="1">
      <c r="A546" s="17">
        <v>46046.0</v>
      </c>
      <c r="B546" s="2" t="s">
        <v>16</v>
      </c>
      <c r="C546" s="2" t="s">
        <v>16</v>
      </c>
      <c r="D546" s="2" t="s">
        <v>33</v>
      </c>
      <c r="E546" s="2" t="s">
        <v>22</v>
      </c>
      <c r="F546" s="2" t="s">
        <v>16</v>
      </c>
      <c r="G546" s="2" t="s">
        <v>17</v>
      </c>
      <c r="H546" s="2" t="s">
        <v>29</v>
      </c>
      <c r="I546" s="2" t="s">
        <v>39</v>
      </c>
      <c r="J546" s="2" t="s">
        <v>37</v>
      </c>
      <c r="K546" s="2" t="s">
        <v>30</v>
      </c>
      <c r="L546" s="2" t="s">
        <v>22</v>
      </c>
      <c r="M546" s="2" t="s">
        <v>30</v>
      </c>
      <c r="N546" s="2" t="s">
        <v>37</v>
      </c>
      <c r="O546" s="2" t="s">
        <v>40</v>
      </c>
      <c r="P546" s="2" t="s">
        <v>39</v>
      </c>
      <c r="Q546" s="2" t="s">
        <v>16</v>
      </c>
      <c r="R546" s="2" t="s">
        <v>33</v>
      </c>
      <c r="S546" s="2" t="s">
        <v>20</v>
      </c>
      <c r="T546" s="2" t="s">
        <v>19</v>
      </c>
      <c r="U546" s="2" t="s">
        <v>25</v>
      </c>
      <c r="V546" s="2" t="s">
        <v>16</v>
      </c>
      <c r="W546" s="2" t="s">
        <v>24</v>
      </c>
      <c r="X546" s="2" t="s">
        <v>16</v>
      </c>
      <c r="Y546" s="2" t="s">
        <v>20</v>
      </c>
      <c r="Z546" s="2" t="s">
        <v>16</v>
      </c>
      <c r="AA546" s="2" t="s">
        <v>24</v>
      </c>
      <c r="AB546" s="2" t="s">
        <v>26</v>
      </c>
      <c r="AC546" s="2" t="s">
        <v>18</v>
      </c>
      <c r="AD546" s="2" t="s">
        <v>16</v>
      </c>
      <c r="AE546" s="2" t="s">
        <v>24</v>
      </c>
      <c r="AF546" s="2" t="s">
        <v>16</v>
      </c>
      <c r="AG546" s="2" t="s">
        <v>24</v>
      </c>
      <c r="AH546" s="2" t="s">
        <v>16</v>
      </c>
      <c r="AI546" s="2" t="s">
        <v>16</v>
      </c>
      <c r="AJ546" s="2" t="s">
        <v>24</v>
      </c>
      <c r="AK546" s="2" t="s">
        <v>24</v>
      </c>
      <c r="AL546" s="2" t="s">
        <v>16</v>
      </c>
    </row>
    <row r="547" ht="14.25" customHeight="1">
      <c r="A547" s="17">
        <v>46047.0</v>
      </c>
      <c r="B547" s="2" t="s">
        <v>31</v>
      </c>
      <c r="C547" s="2" t="s">
        <v>31</v>
      </c>
      <c r="D547" s="2" t="s">
        <v>31</v>
      </c>
      <c r="E547" s="2" t="s">
        <v>31</v>
      </c>
      <c r="F547" s="2" t="s">
        <v>31</v>
      </c>
      <c r="G547" s="2" t="s">
        <v>31</v>
      </c>
      <c r="H547" s="2" t="s">
        <v>31</v>
      </c>
      <c r="I547" s="2" t="s">
        <v>31</v>
      </c>
      <c r="J547" s="2" t="s">
        <v>31</v>
      </c>
      <c r="K547" s="2" t="s">
        <v>31</v>
      </c>
      <c r="L547" s="2" t="s">
        <v>31</v>
      </c>
      <c r="M547" s="2" t="s">
        <v>31</v>
      </c>
      <c r="N547" s="2" t="s">
        <v>31</v>
      </c>
      <c r="O547" s="2" t="s">
        <v>31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2" t="s">
        <v>19</v>
      </c>
      <c r="V547" s="2" t="s">
        <v>17</v>
      </c>
      <c r="W547" s="2" t="s">
        <v>24</v>
      </c>
      <c r="X547" s="2" t="s">
        <v>16</v>
      </c>
      <c r="Y547" s="2" t="s">
        <v>27</v>
      </c>
      <c r="Z547" s="2" t="s">
        <v>23</v>
      </c>
      <c r="AA547" s="2" t="s">
        <v>19</v>
      </c>
      <c r="AB547" s="2" t="s">
        <v>16</v>
      </c>
      <c r="AC547" s="2" t="s">
        <v>17</v>
      </c>
      <c r="AD547" s="2" t="s">
        <v>18</v>
      </c>
      <c r="AE547" s="2" t="s">
        <v>16</v>
      </c>
      <c r="AF547" s="2" t="s">
        <v>20</v>
      </c>
      <c r="AG547" s="2" t="s">
        <v>21</v>
      </c>
      <c r="AH547" s="2" t="s">
        <v>16</v>
      </c>
      <c r="AI547" s="2" t="s">
        <v>20</v>
      </c>
      <c r="AJ547" s="2" t="s">
        <v>26</v>
      </c>
      <c r="AK547" s="2" t="s">
        <v>28</v>
      </c>
      <c r="AL547" s="2" t="s">
        <v>20</v>
      </c>
    </row>
    <row r="548" ht="14.25" customHeight="1">
      <c r="A548" s="17">
        <v>46048.0</v>
      </c>
      <c r="B548" s="2" t="s">
        <v>31</v>
      </c>
      <c r="C548" s="2" t="s">
        <v>31</v>
      </c>
      <c r="D548" s="2" t="s">
        <v>31</v>
      </c>
      <c r="E548" s="2" t="s">
        <v>31</v>
      </c>
      <c r="F548" s="2" t="s">
        <v>31</v>
      </c>
      <c r="G548" s="2" t="s">
        <v>31</v>
      </c>
      <c r="H548" s="2" t="s">
        <v>31</v>
      </c>
      <c r="I548" s="2" t="s">
        <v>31</v>
      </c>
      <c r="J548" s="2" t="s">
        <v>31</v>
      </c>
      <c r="K548" s="2" t="s">
        <v>31</v>
      </c>
      <c r="L548" s="2" t="s">
        <v>31</v>
      </c>
      <c r="M548" s="2" t="s">
        <v>31</v>
      </c>
      <c r="N548" s="2" t="s">
        <v>31</v>
      </c>
      <c r="O548" s="2" t="s">
        <v>31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2" t="s">
        <v>25</v>
      </c>
      <c r="V548" s="2" t="s">
        <v>16</v>
      </c>
      <c r="W548" s="2" t="s">
        <v>24</v>
      </c>
      <c r="X548" s="2" t="s">
        <v>17</v>
      </c>
      <c r="Y548" s="2" t="s">
        <v>24</v>
      </c>
      <c r="Z548" s="2" t="s">
        <v>16</v>
      </c>
      <c r="AA548" s="2" t="s">
        <v>22</v>
      </c>
      <c r="AB548" s="2" t="s">
        <v>19</v>
      </c>
      <c r="AC548" s="2" t="s">
        <v>16</v>
      </c>
      <c r="AD548" s="2" t="s">
        <v>16</v>
      </c>
      <c r="AE548" s="2" t="s">
        <v>16</v>
      </c>
      <c r="AF548" s="2" t="s">
        <v>24</v>
      </c>
      <c r="AG548" s="2" t="s">
        <v>28</v>
      </c>
      <c r="AH548" s="2" t="s">
        <v>16</v>
      </c>
      <c r="AI548" s="2" t="s">
        <v>24</v>
      </c>
      <c r="AJ548" s="2" t="s">
        <v>16</v>
      </c>
      <c r="AK548" s="2" t="s">
        <v>17</v>
      </c>
      <c r="AL548" s="2" t="s">
        <v>17</v>
      </c>
    </row>
    <row r="549" ht="14.25" customHeight="1">
      <c r="A549" s="17">
        <v>46049.0</v>
      </c>
      <c r="B549" s="2" t="s">
        <v>31</v>
      </c>
      <c r="C549" s="2" t="s">
        <v>31</v>
      </c>
      <c r="D549" s="2" t="s">
        <v>31</v>
      </c>
      <c r="E549" s="2" t="s">
        <v>31</v>
      </c>
      <c r="F549" s="2" t="s">
        <v>31</v>
      </c>
      <c r="G549" s="2" t="s">
        <v>31</v>
      </c>
      <c r="H549" s="2" t="s">
        <v>31</v>
      </c>
      <c r="I549" s="2" t="s">
        <v>31</v>
      </c>
      <c r="J549" s="2" t="s">
        <v>31</v>
      </c>
      <c r="K549" s="2" t="s">
        <v>31</v>
      </c>
      <c r="L549" s="2" t="s">
        <v>31</v>
      </c>
      <c r="M549" s="2" t="s">
        <v>31</v>
      </c>
      <c r="N549" s="2" t="s">
        <v>31</v>
      </c>
      <c r="O549" s="2" t="s">
        <v>31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2" t="s">
        <v>19</v>
      </c>
      <c r="V549" s="2" t="s">
        <v>27</v>
      </c>
      <c r="W549" s="2" t="s">
        <v>17</v>
      </c>
      <c r="X549" s="2" t="s">
        <v>16</v>
      </c>
      <c r="Y549" s="2" t="s">
        <v>28</v>
      </c>
      <c r="Z549" s="2" t="s">
        <v>21</v>
      </c>
      <c r="AA549" s="2" t="s">
        <v>28</v>
      </c>
      <c r="AB549" s="2" t="s">
        <v>21</v>
      </c>
      <c r="AC549" s="2" t="s">
        <v>22</v>
      </c>
      <c r="AD549" s="2" t="s">
        <v>16</v>
      </c>
      <c r="AE549" s="2" t="s">
        <v>17</v>
      </c>
      <c r="AF549" s="2" t="s">
        <v>16</v>
      </c>
      <c r="AG549" s="2" t="s">
        <v>24</v>
      </c>
      <c r="AH549" s="2" t="s">
        <v>26</v>
      </c>
      <c r="AI549" s="2" t="s">
        <v>27</v>
      </c>
      <c r="AJ549" s="2" t="s">
        <v>16</v>
      </c>
      <c r="AK549" s="2" t="s">
        <v>16</v>
      </c>
      <c r="AL549" s="2" t="s">
        <v>16</v>
      </c>
    </row>
    <row r="550" ht="14.25" customHeight="1">
      <c r="A550" s="17">
        <v>46050.0</v>
      </c>
      <c r="B550" s="2" t="s">
        <v>31</v>
      </c>
      <c r="C550" s="2" t="s">
        <v>31</v>
      </c>
      <c r="D550" s="2" t="s">
        <v>31</v>
      </c>
      <c r="E550" s="2" t="s">
        <v>31</v>
      </c>
      <c r="F550" s="2" t="s">
        <v>31</v>
      </c>
      <c r="G550" s="2" t="s">
        <v>31</v>
      </c>
      <c r="H550" s="2" t="s">
        <v>31</v>
      </c>
      <c r="I550" s="2" t="s">
        <v>31</v>
      </c>
      <c r="J550" s="2" t="s">
        <v>31</v>
      </c>
      <c r="K550" s="2" t="s">
        <v>31</v>
      </c>
      <c r="L550" s="2" t="s">
        <v>31</v>
      </c>
      <c r="M550" s="2" t="s">
        <v>31</v>
      </c>
      <c r="N550" s="2" t="s">
        <v>31</v>
      </c>
      <c r="O550" s="2" t="s">
        <v>31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2" t="s">
        <v>18</v>
      </c>
      <c r="V550" s="2" t="s">
        <v>17</v>
      </c>
      <c r="W550" s="2" t="s">
        <v>16</v>
      </c>
      <c r="X550" s="2" t="s">
        <v>16</v>
      </c>
      <c r="Y550" s="2" t="s">
        <v>25</v>
      </c>
      <c r="Z550" s="2" t="s">
        <v>16</v>
      </c>
      <c r="AA550" s="2" t="s">
        <v>16</v>
      </c>
      <c r="AB550" s="2" t="s">
        <v>27</v>
      </c>
      <c r="AC550" s="2" t="s">
        <v>19</v>
      </c>
      <c r="AD550" s="2" t="s">
        <v>24</v>
      </c>
      <c r="AE550" s="2" t="s">
        <v>28</v>
      </c>
      <c r="AF550" s="2" t="s">
        <v>28</v>
      </c>
      <c r="AG550" s="2" t="s">
        <v>22</v>
      </c>
      <c r="AH550" s="2" t="s">
        <v>16</v>
      </c>
      <c r="AI550" s="2" t="s">
        <v>16</v>
      </c>
      <c r="AJ550" s="2" t="s">
        <v>16</v>
      </c>
      <c r="AK550" s="2" t="s">
        <v>16</v>
      </c>
      <c r="AL550" s="2" t="s">
        <v>28</v>
      </c>
    </row>
    <row r="551" ht="14.25" customHeight="1">
      <c r="A551" s="17">
        <v>46051.0</v>
      </c>
      <c r="B551" s="2" t="s">
        <v>31</v>
      </c>
      <c r="C551" s="2" t="s">
        <v>31</v>
      </c>
      <c r="D551" s="2" t="s">
        <v>31</v>
      </c>
      <c r="E551" s="2" t="s">
        <v>31</v>
      </c>
      <c r="F551" s="2" t="s">
        <v>31</v>
      </c>
      <c r="G551" s="2" t="s">
        <v>31</v>
      </c>
      <c r="H551" s="2" t="s">
        <v>31</v>
      </c>
      <c r="I551" s="2" t="s">
        <v>31</v>
      </c>
      <c r="J551" s="2" t="s">
        <v>31</v>
      </c>
      <c r="K551" s="2" t="s">
        <v>31</v>
      </c>
      <c r="L551" s="2" t="s">
        <v>31</v>
      </c>
      <c r="M551" s="2" t="s">
        <v>31</v>
      </c>
      <c r="N551" s="2" t="s">
        <v>31</v>
      </c>
      <c r="O551" s="2" t="s">
        <v>31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2" t="s">
        <v>22</v>
      </c>
      <c r="V551" s="2" t="s">
        <v>16</v>
      </c>
      <c r="W551" s="2" t="s">
        <v>23</v>
      </c>
      <c r="X551" s="2" t="s">
        <v>27</v>
      </c>
      <c r="Y551" s="2" t="s">
        <v>20</v>
      </c>
      <c r="Z551" s="2" t="s">
        <v>27</v>
      </c>
      <c r="AA551" s="2" t="s">
        <v>20</v>
      </c>
      <c r="AB551" s="2" t="s">
        <v>23</v>
      </c>
      <c r="AC551" s="2" t="s">
        <v>17</v>
      </c>
      <c r="AD551" s="2" t="s">
        <v>20</v>
      </c>
      <c r="AE551" s="2" t="s">
        <v>16</v>
      </c>
      <c r="AF551" s="2" t="s">
        <v>24</v>
      </c>
      <c r="AG551" s="2" t="s">
        <v>16</v>
      </c>
      <c r="AH551" s="2" t="s">
        <v>22</v>
      </c>
      <c r="AI551" s="2" t="s">
        <v>21</v>
      </c>
      <c r="AJ551" s="2" t="s">
        <v>16</v>
      </c>
      <c r="AK551" s="2" t="s">
        <v>28</v>
      </c>
      <c r="AL551" s="2" t="s">
        <v>26</v>
      </c>
    </row>
    <row r="552" ht="14.25" customHeight="1">
      <c r="A552" s="17">
        <v>46052.0</v>
      </c>
      <c r="B552" s="2" t="s">
        <v>31</v>
      </c>
      <c r="C552" s="2" t="s">
        <v>31</v>
      </c>
      <c r="D552" s="2" t="s">
        <v>31</v>
      </c>
      <c r="E552" s="2" t="s">
        <v>31</v>
      </c>
      <c r="F552" s="2" t="s">
        <v>31</v>
      </c>
      <c r="G552" s="2" t="s">
        <v>31</v>
      </c>
      <c r="H552" s="2" t="s">
        <v>31</v>
      </c>
      <c r="I552" s="2" t="s">
        <v>31</v>
      </c>
      <c r="J552" s="2" t="s">
        <v>31</v>
      </c>
      <c r="K552" s="2" t="s">
        <v>31</v>
      </c>
      <c r="L552" s="2" t="s">
        <v>31</v>
      </c>
      <c r="M552" s="2" t="s">
        <v>31</v>
      </c>
      <c r="N552" s="2" t="s">
        <v>31</v>
      </c>
      <c r="O552" s="2" t="s">
        <v>31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2" t="s">
        <v>18</v>
      </c>
      <c r="V552" s="2" t="s">
        <v>16</v>
      </c>
      <c r="W552" s="2" t="s">
        <v>17</v>
      </c>
      <c r="X552" s="2" t="s">
        <v>28</v>
      </c>
      <c r="Y552" s="2" t="s">
        <v>20</v>
      </c>
      <c r="Z552" s="2" t="s">
        <v>22</v>
      </c>
      <c r="AA552" s="2" t="s">
        <v>28</v>
      </c>
      <c r="AB552" s="2" t="s">
        <v>27</v>
      </c>
      <c r="AC552" s="2" t="s">
        <v>28</v>
      </c>
      <c r="AD552" s="2" t="s">
        <v>20</v>
      </c>
      <c r="AE552" s="2" t="s">
        <v>23</v>
      </c>
      <c r="AF552" s="2" t="s">
        <v>16</v>
      </c>
      <c r="AG552" s="2" t="s">
        <v>28</v>
      </c>
      <c r="AH552" s="2" t="s">
        <v>17</v>
      </c>
      <c r="AI552" s="2" t="s">
        <v>17</v>
      </c>
      <c r="AJ552" s="2" t="s">
        <v>27</v>
      </c>
      <c r="AK552" s="2" t="s">
        <v>19</v>
      </c>
      <c r="AL552" s="2" t="s">
        <v>22</v>
      </c>
    </row>
    <row r="553" ht="14.25" customHeight="1">
      <c r="A553" s="17">
        <v>46053.0</v>
      </c>
      <c r="B553" s="2" t="s">
        <v>29</v>
      </c>
      <c r="C553" s="2" t="s">
        <v>41</v>
      </c>
      <c r="D553" s="2" t="s">
        <v>25</v>
      </c>
      <c r="E553" s="2" t="s">
        <v>21</v>
      </c>
      <c r="F553" s="2" t="s">
        <v>39</v>
      </c>
      <c r="G553" s="2" t="s">
        <v>27</v>
      </c>
      <c r="H553" s="2" t="s">
        <v>19</v>
      </c>
      <c r="I553" s="2" t="s">
        <v>26</v>
      </c>
      <c r="J553" s="2" t="s">
        <v>41</v>
      </c>
      <c r="K553" s="2" t="s">
        <v>29</v>
      </c>
      <c r="L553" s="2" t="s">
        <v>34</v>
      </c>
      <c r="M553" s="2" t="s">
        <v>40</v>
      </c>
      <c r="N553" s="2" t="s">
        <v>43</v>
      </c>
      <c r="O553" s="2" t="s">
        <v>38</v>
      </c>
      <c r="P553" s="2" t="s">
        <v>16</v>
      </c>
      <c r="Q553" s="2" t="s">
        <v>18</v>
      </c>
      <c r="R553" s="2" t="s">
        <v>37</v>
      </c>
      <c r="S553" s="2" t="s">
        <v>42</v>
      </c>
      <c r="T553" s="2" t="s">
        <v>18</v>
      </c>
      <c r="U553" s="2" t="s">
        <v>23</v>
      </c>
      <c r="V553" s="2" t="s">
        <v>26</v>
      </c>
      <c r="W553" s="2" t="s">
        <v>23</v>
      </c>
      <c r="X553" s="2" t="s">
        <v>16</v>
      </c>
      <c r="Y553" s="2" t="s">
        <v>25</v>
      </c>
      <c r="Z553" s="2" t="s">
        <v>22</v>
      </c>
      <c r="AA553" s="2" t="s">
        <v>25</v>
      </c>
      <c r="AB553" s="2" t="s">
        <v>16</v>
      </c>
      <c r="AC553" s="2" t="s">
        <v>16</v>
      </c>
      <c r="AD553" s="2" t="s">
        <v>16</v>
      </c>
      <c r="AE553" s="2" t="s">
        <v>22</v>
      </c>
      <c r="AF553" s="2" t="s">
        <v>20</v>
      </c>
      <c r="AG553" s="2" t="s">
        <v>24</v>
      </c>
      <c r="AH553" s="2" t="s">
        <v>25</v>
      </c>
      <c r="AI553" s="2" t="s">
        <v>19</v>
      </c>
      <c r="AJ553" s="2" t="s">
        <v>28</v>
      </c>
      <c r="AK553" s="2" t="s">
        <v>24</v>
      </c>
      <c r="AL553" s="2" t="s">
        <v>25</v>
      </c>
    </row>
    <row r="554" ht="14.25" customHeight="1">
      <c r="A554" s="17">
        <v>46054.0</v>
      </c>
      <c r="B554" s="2" t="s">
        <v>31</v>
      </c>
      <c r="C554" s="2" t="s">
        <v>31</v>
      </c>
      <c r="D554" s="2" t="s">
        <v>31</v>
      </c>
      <c r="E554" s="2" t="s">
        <v>31</v>
      </c>
      <c r="F554" s="2" t="s">
        <v>31</v>
      </c>
      <c r="G554" s="2" t="s">
        <v>31</v>
      </c>
      <c r="H554" s="2" t="s">
        <v>31</v>
      </c>
      <c r="I554" s="2" t="s">
        <v>31</v>
      </c>
      <c r="J554" s="2" t="s">
        <v>31</v>
      </c>
      <c r="K554" s="2" t="s">
        <v>31</v>
      </c>
      <c r="L554" s="2" t="s">
        <v>31</v>
      </c>
      <c r="M554" s="2" t="s">
        <v>31</v>
      </c>
      <c r="N554" s="2" t="s">
        <v>31</v>
      </c>
      <c r="O554" s="2" t="s">
        <v>31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2" t="s">
        <v>24</v>
      </c>
      <c r="V554" s="2" t="s">
        <v>20</v>
      </c>
      <c r="W554" s="2" t="s">
        <v>16</v>
      </c>
      <c r="X554" s="2" t="s">
        <v>16</v>
      </c>
      <c r="Y554" s="2" t="s">
        <v>16</v>
      </c>
      <c r="Z554" s="2" t="s">
        <v>19</v>
      </c>
      <c r="AA554" s="2" t="s">
        <v>17</v>
      </c>
      <c r="AB554" s="2" t="s">
        <v>28</v>
      </c>
      <c r="AC554" s="2" t="s">
        <v>16</v>
      </c>
      <c r="AD554" s="2" t="s">
        <v>26</v>
      </c>
      <c r="AE554" s="2" t="s">
        <v>26</v>
      </c>
      <c r="AF554" s="2" t="s">
        <v>20</v>
      </c>
      <c r="AG554" s="2" t="s">
        <v>20</v>
      </c>
      <c r="AH554" s="2" t="s">
        <v>16</v>
      </c>
      <c r="AI554" s="2" t="s">
        <v>22</v>
      </c>
      <c r="AJ554" s="2" t="s">
        <v>25</v>
      </c>
      <c r="AK554" s="2" t="s">
        <v>24</v>
      </c>
      <c r="AL554" s="2" t="s">
        <v>16</v>
      </c>
    </row>
    <row r="555" ht="14.25" customHeight="1">
      <c r="A555" s="17">
        <v>46055.0</v>
      </c>
      <c r="B555" s="2" t="s">
        <v>31</v>
      </c>
      <c r="C555" s="2" t="s">
        <v>31</v>
      </c>
      <c r="D555" s="2" t="s">
        <v>31</v>
      </c>
      <c r="E555" s="2" t="s">
        <v>31</v>
      </c>
      <c r="F555" s="2" t="s">
        <v>31</v>
      </c>
      <c r="G555" s="2" t="s">
        <v>31</v>
      </c>
      <c r="H555" s="2" t="s">
        <v>31</v>
      </c>
      <c r="I555" s="2" t="s">
        <v>31</v>
      </c>
      <c r="J555" s="2" t="s">
        <v>31</v>
      </c>
      <c r="K555" s="2" t="s">
        <v>31</v>
      </c>
      <c r="L555" s="2" t="s">
        <v>31</v>
      </c>
      <c r="M555" s="2" t="s">
        <v>31</v>
      </c>
      <c r="N555" s="2" t="s">
        <v>31</v>
      </c>
      <c r="O555" s="2" t="s">
        <v>31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2" t="s">
        <v>22</v>
      </c>
      <c r="V555" s="2" t="s">
        <v>23</v>
      </c>
      <c r="W555" s="2" t="s">
        <v>16</v>
      </c>
      <c r="X555" s="2" t="s">
        <v>18</v>
      </c>
      <c r="Y555" s="2" t="s">
        <v>24</v>
      </c>
      <c r="Z555" s="2" t="s">
        <v>16</v>
      </c>
      <c r="AA555" s="2" t="s">
        <v>16</v>
      </c>
      <c r="AB555" s="2" t="s">
        <v>26</v>
      </c>
      <c r="AC555" s="2" t="s">
        <v>16</v>
      </c>
      <c r="AD555" s="2" t="s">
        <v>23</v>
      </c>
      <c r="AE555" s="2" t="s">
        <v>16</v>
      </c>
      <c r="AF555" s="2" t="s">
        <v>17</v>
      </c>
      <c r="AG555" s="2" t="s">
        <v>24</v>
      </c>
      <c r="AH555" s="2" t="s">
        <v>26</v>
      </c>
      <c r="AI555" s="2" t="s">
        <v>19</v>
      </c>
      <c r="AJ555" s="2" t="s">
        <v>27</v>
      </c>
      <c r="AK555" s="2" t="s">
        <v>16</v>
      </c>
      <c r="AL555" s="2" t="s">
        <v>17</v>
      </c>
    </row>
    <row r="556" ht="14.25" customHeight="1">
      <c r="A556" s="17">
        <v>46056.0</v>
      </c>
      <c r="B556" s="2" t="s">
        <v>31</v>
      </c>
      <c r="C556" s="2" t="s">
        <v>31</v>
      </c>
      <c r="D556" s="2" t="s">
        <v>31</v>
      </c>
      <c r="E556" s="2" t="s">
        <v>31</v>
      </c>
      <c r="F556" s="2" t="s">
        <v>31</v>
      </c>
      <c r="G556" s="2" t="s">
        <v>31</v>
      </c>
      <c r="H556" s="2" t="s">
        <v>31</v>
      </c>
      <c r="I556" s="2" t="s">
        <v>31</v>
      </c>
      <c r="J556" s="2" t="s">
        <v>31</v>
      </c>
      <c r="K556" s="2" t="s">
        <v>31</v>
      </c>
      <c r="L556" s="2" t="s">
        <v>31</v>
      </c>
      <c r="M556" s="2" t="s">
        <v>31</v>
      </c>
      <c r="N556" s="2" t="s">
        <v>31</v>
      </c>
      <c r="O556" s="2" t="s">
        <v>31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2" t="s">
        <v>21</v>
      </c>
      <c r="V556" s="2" t="s">
        <v>16</v>
      </c>
      <c r="W556" s="2" t="s">
        <v>17</v>
      </c>
      <c r="X556" s="2" t="s">
        <v>28</v>
      </c>
      <c r="Y556" s="2" t="s">
        <v>19</v>
      </c>
      <c r="Z556" s="2" t="s">
        <v>16</v>
      </c>
      <c r="AA556" s="2" t="s">
        <v>16</v>
      </c>
      <c r="AB556" s="2" t="s">
        <v>25</v>
      </c>
      <c r="AC556" s="2" t="s">
        <v>16</v>
      </c>
      <c r="AD556" s="2" t="s">
        <v>16</v>
      </c>
      <c r="AE556" s="2" t="s">
        <v>28</v>
      </c>
      <c r="AF556" s="2" t="s">
        <v>17</v>
      </c>
      <c r="AG556" s="2" t="s">
        <v>16</v>
      </c>
      <c r="AH556" s="2" t="s">
        <v>19</v>
      </c>
      <c r="AI556" s="2" t="s">
        <v>28</v>
      </c>
      <c r="AJ556" s="2" t="s">
        <v>27</v>
      </c>
      <c r="AK556" s="2" t="s">
        <v>21</v>
      </c>
      <c r="AL556" s="2" t="s">
        <v>16</v>
      </c>
    </row>
    <row r="557" ht="14.25" customHeight="1">
      <c r="A557" s="17">
        <v>46057.0</v>
      </c>
      <c r="B557" s="2" t="s">
        <v>31</v>
      </c>
      <c r="C557" s="2" t="s">
        <v>31</v>
      </c>
      <c r="D557" s="2" t="s">
        <v>31</v>
      </c>
      <c r="E557" s="2" t="s">
        <v>31</v>
      </c>
      <c r="F557" s="2" t="s">
        <v>31</v>
      </c>
      <c r="G557" s="2" t="s">
        <v>31</v>
      </c>
      <c r="H557" s="2" t="s">
        <v>31</v>
      </c>
      <c r="I557" s="2" t="s">
        <v>31</v>
      </c>
      <c r="J557" s="2" t="s">
        <v>31</v>
      </c>
      <c r="K557" s="2" t="s">
        <v>31</v>
      </c>
      <c r="L557" s="2" t="s">
        <v>31</v>
      </c>
      <c r="M557" s="2" t="s">
        <v>31</v>
      </c>
      <c r="N557" s="2" t="s">
        <v>31</v>
      </c>
      <c r="O557" s="2" t="s">
        <v>31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2" t="s">
        <v>21</v>
      </c>
      <c r="V557" s="2" t="s">
        <v>26</v>
      </c>
      <c r="W557" s="2" t="s">
        <v>16</v>
      </c>
      <c r="X557" s="2" t="s">
        <v>16</v>
      </c>
      <c r="Y557" s="2" t="s">
        <v>26</v>
      </c>
      <c r="Z557" s="2" t="s">
        <v>24</v>
      </c>
      <c r="AA557" s="2" t="s">
        <v>18</v>
      </c>
      <c r="AB557" s="2" t="s">
        <v>28</v>
      </c>
      <c r="AC557" s="2" t="s">
        <v>16</v>
      </c>
      <c r="AD557" s="2" t="s">
        <v>28</v>
      </c>
      <c r="AE557" s="2" t="s">
        <v>17</v>
      </c>
      <c r="AF557" s="2" t="s">
        <v>17</v>
      </c>
      <c r="AG557" s="2" t="s">
        <v>17</v>
      </c>
      <c r="AH557" s="2" t="s">
        <v>19</v>
      </c>
      <c r="AI557" s="2" t="s">
        <v>16</v>
      </c>
      <c r="AJ557" s="2" t="s">
        <v>20</v>
      </c>
      <c r="AK557" s="2" t="s">
        <v>25</v>
      </c>
      <c r="AL557" s="2" t="s">
        <v>25</v>
      </c>
    </row>
    <row r="558" ht="14.25" customHeight="1">
      <c r="A558" s="17">
        <v>46058.0</v>
      </c>
      <c r="B558" s="2" t="s">
        <v>31</v>
      </c>
      <c r="C558" s="2" t="s">
        <v>31</v>
      </c>
      <c r="D558" s="2" t="s">
        <v>31</v>
      </c>
      <c r="E558" s="2" t="s">
        <v>31</v>
      </c>
      <c r="F558" s="2" t="s">
        <v>31</v>
      </c>
      <c r="G558" s="2" t="s">
        <v>31</v>
      </c>
      <c r="H558" s="2" t="s">
        <v>31</v>
      </c>
      <c r="I558" s="2" t="s">
        <v>31</v>
      </c>
      <c r="J558" s="2" t="s">
        <v>31</v>
      </c>
      <c r="K558" s="2" t="s">
        <v>31</v>
      </c>
      <c r="L558" s="2" t="s">
        <v>31</v>
      </c>
      <c r="M558" s="2" t="s">
        <v>31</v>
      </c>
      <c r="N558" s="2" t="s">
        <v>31</v>
      </c>
      <c r="O558" s="2" t="s">
        <v>31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2" t="s">
        <v>17</v>
      </c>
      <c r="V558" s="2" t="s">
        <v>25</v>
      </c>
      <c r="W558" s="2" t="s">
        <v>28</v>
      </c>
      <c r="X558" s="2" t="s">
        <v>16</v>
      </c>
      <c r="Y558" s="2" t="s">
        <v>21</v>
      </c>
      <c r="Z558" s="2" t="s">
        <v>16</v>
      </c>
      <c r="AA558" s="2" t="s">
        <v>16</v>
      </c>
      <c r="AB558" s="2" t="s">
        <v>21</v>
      </c>
      <c r="AC558" s="2" t="s">
        <v>21</v>
      </c>
      <c r="AD558" s="2" t="s">
        <v>24</v>
      </c>
      <c r="AE558" s="2" t="s">
        <v>16</v>
      </c>
      <c r="AF558" s="2" t="s">
        <v>22</v>
      </c>
      <c r="AG558" s="2" t="s">
        <v>27</v>
      </c>
      <c r="AH558" s="2" t="s">
        <v>25</v>
      </c>
      <c r="AI558" s="2" t="s">
        <v>27</v>
      </c>
      <c r="AJ558" s="2" t="s">
        <v>16</v>
      </c>
      <c r="AK558" s="2" t="s">
        <v>21</v>
      </c>
      <c r="AL558" s="2" t="s">
        <v>23</v>
      </c>
    </row>
    <row r="559" ht="14.25" customHeight="1">
      <c r="A559" s="17">
        <v>46059.0</v>
      </c>
      <c r="B559" s="2" t="s">
        <v>31</v>
      </c>
      <c r="C559" s="2" t="s">
        <v>31</v>
      </c>
      <c r="D559" s="2" t="s">
        <v>31</v>
      </c>
      <c r="E559" s="2" t="s">
        <v>31</v>
      </c>
      <c r="F559" s="2" t="s">
        <v>31</v>
      </c>
      <c r="G559" s="2" t="s">
        <v>31</v>
      </c>
      <c r="H559" s="2" t="s">
        <v>31</v>
      </c>
      <c r="I559" s="2" t="s">
        <v>31</v>
      </c>
      <c r="J559" s="2" t="s">
        <v>31</v>
      </c>
      <c r="K559" s="2" t="s">
        <v>31</v>
      </c>
      <c r="L559" s="2" t="s">
        <v>31</v>
      </c>
      <c r="M559" s="2" t="s">
        <v>31</v>
      </c>
      <c r="N559" s="2" t="s">
        <v>31</v>
      </c>
      <c r="O559" s="2" t="s">
        <v>31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2" t="s">
        <v>16</v>
      </c>
      <c r="V559" s="2" t="s">
        <v>23</v>
      </c>
      <c r="W559" s="2" t="s">
        <v>21</v>
      </c>
      <c r="X559" s="2" t="s">
        <v>24</v>
      </c>
      <c r="Y559" s="2" t="s">
        <v>26</v>
      </c>
      <c r="Z559" s="2" t="s">
        <v>25</v>
      </c>
      <c r="AA559" s="2" t="s">
        <v>25</v>
      </c>
      <c r="AB559" s="2" t="s">
        <v>24</v>
      </c>
      <c r="AC559" s="2" t="s">
        <v>26</v>
      </c>
      <c r="AD559" s="2" t="s">
        <v>16</v>
      </c>
      <c r="AE559" s="2" t="s">
        <v>28</v>
      </c>
      <c r="AF559" s="2" t="s">
        <v>16</v>
      </c>
      <c r="AG559" s="2" t="s">
        <v>16</v>
      </c>
      <c r="AH559" s="2" t="s">
        <v>17</v>
      </c>
      <c r="AI559" s="2" t="s">
        <v>20</v>
      </c>
      <c r="AJ559" s="2" t="s">
        <v>28</v>
      </c>
      <c r="AK559" s="2" t="s">
        <v>27</v>
      </c>
      <c r="AL559" s="2" t="s">
        <v>24</v>
      </c>
    </row>
    <row r="560" ht="14.25" customHeight="1">
      <c r="A560" s="17">
        <v>46060.0</v>
      </c>
      <c r="B560" s="2" t="s">
        <v>39</v>
      </c>
      <c r="C560" s="2" t="s">
        <v>16</v>
      </c>
      <c r="D560" s="2" t="s">
        <v>29</v>
      </c>
      <c r="E560" s="2" t="s">
        <v>30</v>
      </c>
      <c r="F560" s="2" t="s">
        <v>17</v>
      </c>
      <c r="G560" s="2" t="s">
        <v>32</v>
      </c>
      <c r="H560" s="2" t="s">
        <v>40</v>
      </c>
      <c r="I560" s="2" t="s">
        <v>18</v>
      </c>
      <c r="J560" s="2" t="s">
        <v>16</v>
      </c>
      <c r="K560" s="2" t="s">
        <v>16</v>
      </c>
      <c r="L560" s="2" t="s">
        <v>38</v>
      </c>
      <c r="M560" s="2" t="s">
        <v>29</v>
      </c>
      <c r="N560" s="2" t="s">
        <v>39</v>
      </c>
      <c r="O560" s="2" t="s">
        <v>42</v>
      </c>
      <c r="P560" s="2" t="s">
        <v>16</v>
      </c>
      <c r="Q560" s="2" t="s">
        <v>25</v>
      </c>
      <c r="R560" s="2" t="s">
        <v>29</v>
      </c>
      <c r="S560" s="2" t="s">
        <v>39</v>
      </c>
      <c r="T560" s="2" t="s">
        <v>37</v>
      </c>
      <c r="U560" s="2" t="s">
        <v>24</v>
      </c>
      <c r="V560" s="2" t="s">
        <v>28</v>
      </c>
      <c r="W560" s="2" t="s">
        <v>16</v>
      </c>
      <c r="X560" s="2" t="s">
        <v>27</v>
      </c>
      <c r="Y560" s="2" t="s">
        <v>16</v>
      </c>
      <c r="Z560" s="2" t="s">
        <v>26</v>
      </c>
      <c r="AA560" s="2" t="s">
        <v>28</v>
      </c>
      <c r="AB560" s="2" t="s">
        <v>16</v>
      </c>
      <c r="AC560" s="2" t="s">
        <v>22</v>
      </c>
      <c r="AD560" s="2" t="s">
        <v>23</v>
      </c>
      <c r="AE560" s="2" t="s">
        <v>19</v>
      </c>
      <c r="AF560" s="2" t="s">
        <v>28</v>
      </c>
      <c r="AG560" s="2" t="s">
        <v>16</v>
      </c>
      <c r="AH560" s="2" t="s">
        <v>16</v>
      </c>
      <c r="AI560" s="2" t="s">
        <v>24</v>
      </c>
      <c r="AJ560" s="2" t="s">
        <v>16</v>
      </c>
      <c r="AK560" s="2" t="s">
        <v>16</v>
      </c>
      <c r="AL560" s="2" t="s">
        <v>28</v>
      </c>
    </row>
    <row r="561" ht="14.25" customHeight="1">
      <c r="A561" s="17">
        <v>46061.0</v>
      </c>
      <c r="B561" s="2" t="s">
        <v>31</v>
      </c>
      <c r="C561" s="2" t="s">
        <v>31</v>
      </c>
      <c r="D561" s="2" t="s">
        <v>31</v>
      </c>
      <c r="E561" s="2" t="s">
        <v>31</v>
      </c>
      <c r="F561" s="2" t="s">
        <v>31</v>
      </c>
      <c r="G561" s="2" t="s">
        <v>31</v>
      </c>
      <c r="H561" s="2" t="s">
        <v>31</v>
      </c>
      <c r="I561" s="2" t="s">
        <v>31</v>
      </c>
      <c r="J561" s="2" t="s">
        <v>31</v>
      </c>
      <c r="K561" s="2" t="s">
        <v>31</v>
      </c>
      <c r="L561" s="2" t="s">
        <v>31</v>
      </c>
      <c r="M561" s="2" t="s">
        <v>31</v>
      </c>
      <c r="N561" s="2" t="s">
        <v>31</v>
      </c>
      <c r="O561" s="2" t="s">
        <v>31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2" t="s">
        <v>16</v>
      </c>
      <c r="V561" s="2" t="s">
        <v>24</v>
      </c>
      <c r="W561" s="2" t="s">
        <v>20</v>
      </c>
      <c r="X561" s="2" t="s">
        <v>25</v>
      </c>
      <c r="Y561" s="2" t="s">
        <v>28</v>
      </c>
      <c r="Z561" s="2" t="s">
        <v>21</v>
      </c>
      <c r="AA561" s="2" t="s">
        <v>16</v>
      </c>
      <c r="AB561" s="2" t="s">
        <v>27</v>
      </c>
      <c r="AC561" s="2" t="s">
        <v>24</v>
      </c>
      <c r="AD561" s="2" t="s">
        <v>22</v>
      </c>
      <c r="AE561" s="2" t="s">
        <v>16</v>
      </c>
      <c r="AF561" s="2" t="s">
        <v>22</v>
      </c>
      <c r="AG561" s="2" t="s">
        <v>16</v>
      </c>
      <c r="AH561" s="2" t="s">
        <v>20</v>
      </c>
      <c r="AI561" s="2" t="s">
        <v>16</v>
      </c>
      <c r="AJ561" s="2" t="s">
        <v>20</v>
      </c>
      <c r="AK561" s="2" t="s">
        <v>19</v>
      </c>
      <c r="AL561" s="2" t="s">
        <v>28</v>
      </c>
    </row>
    <row r="562" ht="14.25" customHeight="1">
      <c r="A562" s="17">
        <v>46062.0</v>
      </c>
      <c r="B562" s="2" t="s">
        <v>31</v>
      </c>
      <c r="C562" s="2" t="s">
        <v>31</v>
      </c>
      <c r="D562" s="2" t="s">
        <v>31</v>
      </c>
      <c r="E562" s="2" t="s">
        <v>31</v>
      </c>
      <c r="F562" s="2" t="s">
        <v>31</v>
      </c>
      <c r="G562" s="2" t="s">
        <v>31</v>
      </c>
      <c r="H562" s="2" t="s">
        <v>31</v>
      </c>
      <c r="I562" s="2" t="s">
        <v>31</v>
      </c>
      <c r="J562" s="2" t="s">
        <v>31</v>
      </c>
      <c r="K562" s="2" t="s">
        <v>31</v>
      </c>
      <c r="L562" s="2" t="s">
        <v>31</v>
      </c>
      <c r="M562" s="2" t="s">
        <v>31</v>
      </c>
      <c r="N562" s="2" t="s">
        <v>31</v>
      </c>
      <c r="O562" s="2" t="s">
        <v>31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2" t="s">
        <v>25</v>
      </c>
      <c r="V562" s="2" t="s">
        <v>17</v>
      </c>
      <c r="W562" s="2" t="s">
        <v>16</v>
      </c>
      <c r="X562" s="2" t="s">
        <v>16</v>
      </c>
      <c r="Y562" s="2" t="s">
        <v>23</v>
      </c>
      <c r="Z562" s="2" t="s">
        <v>16</v>
      </c>
      <c r="AA562" s="2" t="s">
        <v>25</v>
      </c>
      <c r="AB562" s="2" t="s">
        <v>16</v>
      </c>
      <c r="AC562" s="2" t="s">
        <v>16</v>
      </c>
      <c r="AD562" s="2" t="s">
        <v>26</v>
      </c>
      <c r="AE562" s="2" t="s">
        <v>17</v>
      </c>
      <c r="AF562" s="2" t="s">
        <v>26</v>
      </c>
      <c r="AG562" s="2" t="s">
        <v>19</v>
      </c>
      <c r="AH562" s="2" t="s">
        <v>24</v>
      </c>
      <c r="AI562" s="2" t="s">
        <v>16</v>
      </c>
      <c r="AJ562" s="2" t="s">
        <v>21</v>
      </c>
      <c r="AK562" s="2" t="s">
        <v>28</v>
      </c>
      <c r="AL562" s="2" t="s">
        <v>25</v>
      </c>
    </row>
    <row r="563" ht="14.25" customHeight="1">
      <c r="A563" s="17">
        <v>46063.0</v>
      </c>
      <c r="B563" s="2" t="s">
        <v>31</v>
      </c>
      <c r="C563" s="2" t="s">
        <v>31</v>
      </c>
      <c r="D563" s="2" t="s">
        <v>31</v>
      </c>
      <c r="E563" s="2" t="s">
        <v>31</v>
      </c>
      <c r="F563" s="2" t="s">
        <v>31</v>
      </c>
      <c r="G563" s="2" t="s">
        <v>31</v>
      </c>
      <c r="H563" s="2" t="s">
        <v>31</v>
      </c>
      <c r="I563" s="2" t="s">
        <v>31</v>
      </c>
      <c r="J563" s="2" t="s">
        <v>31</v>
      </c>
      <c r="K563" s="2" t="s">
        <v>31</v>
      </c>
      <c r="L563" s="2" t="s">
        <v>31</v>
      </c>
      <c r="M563" s="2" t="s">
        <v>31</v>
      </c>
      <c r="N563" s="2" t="s">
        <v>31</v>
      </c>
      <c r="O563" s="2" t="s">
        <v>31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2" t="s">
        <v>20</v>
      </c>
      <c r="V563" s="2" t="s">
        <v>16</v>
      </c>
      <c r="W563" s="2" t="s">
        <v>20</v>
      </c>
      <c r="X563" s="2" t="s">
        <v>17</v>
      </c>
      <c r="Y563" s="2" t="s">
        <v>16</v>
      </c>
      <c r="Z563" s="2" t="s">
        <v>21</v>
      </c>
      <c r="AA563" s="2" t="s">
        <v>20</v>
      </c>
      <c r="AB563" s="2" t="s">
        <v>20</v>
      </c>
      <c r="AC563" s="2" t="s">
        <v>18</v>
      </c>
      <c r="AD563" s="2" t="s">
        <v>27</v>
      </c>
      <c r="AE563" s="2" t="s">
        <v>27</v>
      </c>
      <c r="AF563" s="2" t="s">
        <v>20</v>
      </c>
      <c r="AG563" s="2" t="s">
        <v>25</v>
      </c>
      <c r="AH563" s="2" t="s">
        <v>25</v>
      </c>
      <c r="AI563" s="2" t="s">
        <v>16</v>
      </c>
      <c r="AJ563" s="2" t="s">
        <v>20</v>
      </c>
      <c r="AK563" s="2" t="s">
        <v>23</v>
      </c>
      <c r="AL563" s="2" t="s">
        <v>25</v>
      </c>
    </row>
    <row r="564" ht="14.25" customHeight="1">
      <c r="A564" s="17">
        <v>46064.0</v>
      </c>
      <c r="B564" s="2" t="s">
        <v>31</v>
      </c>
      <c r="C564" s="2" t="s">
        <v>31</v>
      </c>
      <c r="D564" s="2" t="s">
        <v>31</v>
      </c>
      <c r="E564" s="2" t="s">
        <v>31</v>
      </c>
      <c r="F564" s="2" t="s">
        <v>31</v>
      </c>
      <c r="G564" s="2" t="s">
        <v>31</v>
      </c>
      <c r="H564" s="2" t="s">
        <v>31</v>
      </c>
      <c r="I564" s="2" t="s">
        <v>31</v>
      </c>
      <c r="J564" s="2" t="s">
        <v>31</v>
      </c>
      <c r="K564" s="2" t="s">
        <v>31</v>
      </c>
      <c r="L564" s="2" t="s">
        <v>31</v>
      </c>
      <c r="M564" s="2" t="s">
        <v>31</v>
      </c>
      <c r="N564" s="2" t="s">
        <v>31</v>
      </c>
      <c r="O564" s="2" t="s">
        <v>31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31</v>
      </c>
      <c r="U564" s="2" t="s">
        <v>18</v>
      </c>
      <c r="V564" s="2" t="s">
        <v>26</v>
      </c>
      <c r="W564" s="2" t="s">
        <v>19</v>
      </c>
      <c r="X564" s="2" t="s">
        <v>27</v>
      </c>
      <c r="Y564" s="2" t="s">
        <v>27</v>
      </c>
      <c r="Z564" s="2" t="s">
        <v>22</v>
      </c>
      <c r="AA564" s="2" t="s">
        <v>16</v>
      </c>
      <c r="AB564" s="2" t="s">
        <v>16</v>
      </c>
      <c r="AC564" s="2" t="s">
        <v>21</v>
      </c>
      <c r="AD564" s="2" t="s">
        <v>27</v>
      </c>
      <c r="AE564" s="2" t="s">
        <v>28</v>
      </c>
      <c r="AF564" s="2" t="s">
        <v>16</v>
      </c>
      <c r="AG564" s="2" t="s">
        <v>16</v>
      </c>
      <c r="AH564" s="2" t="s">
        <v>16</v>
      </c>
      <c r="AI564" s="2" t="s">
        <v>16</v>
      </c>
      <c r="AJ564" s="2" t="s">
        <v>18</v>
      </c>
      <c r="AK564" s="2" t="s">
        <v>22</v>
      </c>
      <c r="AL564" s="2" t="s">
        <v>17</v>
      </c>
    </row>
    <row r="565" ht="14.25" customHeight="1">
      <c r="A565" s="17">
        <v>46065.0</v>
      </c>
      <c r="B565" s="2" t="s">
        <v>31</v>
      </c>
      <c r="C565" s="2" t="s">
        <v>31</v>
      </c>
      <c r="D565" s="2" t="s">
        <v>31</v>
      </c>
      <c r="E565" s="2" t="s">
        <v>31</v>
      </c>
      <c r="F565" s="2" t="s">
        <v>31</v>
      </c>
      <c r="G565" s="2" t="s">
        <v>31</v>
      </c>
      <c r="H565" s="2" t="s">
        <v>31</v>
      </c>
      <c r="I565" s="2" t="s">
        <v>31</v>
      </c>
      <c r="J565" s="2" t="s">
        <v>31</v>
      </c>
      <c r="K565" s="2" t="s">
        <v>31</v>
      </c>
      <c r="L565" s="2" t="s">
        <v>31</v>
      </c>
      <c r="M565" s="2" t="s">
        <v>31</v>
      </c>
      <c r="N565" s="2" t="s">
        <v>31</v>
      </c>
      <c r="O565" s="2" t="s">
        <v>31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31</v>
      </c>
      <c r="U565" s="2" t="s">
        <v>16</v>
      </c>
      <c r="V565" s="2" t="s">
        <v>27</v>
      </c>
      <c r="W565" s="2" t="s">
        <v>16</v>
      </c>
      <c r="X565" s="2" t="s">
        <v>24</v>
      </c>
      <c r="Y565" s="2" t="s">
        <v>22</v>
      </c>
      <c r="Z565" s="2" t="s">
        <v>25</v>
      </c>
      <c r="AA565" s="2" t="s">
        <v>16</v>
      </c>
      <c r="AB565" s="2" t="s">
        <v>25</v>
      </c>
      <c r="AC565" s="2" t="s">
        <v>23</v>
      </c>
      <c r="AD565" s="2" t="s">
        <v>27</v>
      </c>
      <c r="AE565" s="2" t="s">
        <v>16</v>
      </c>
      <c r="AF565" s="2" t="s">
        <v>16</v>
      </c>
      <c r="AG565" s="2" t="s">
        <v>24</v>
      </c>
      <c r="AH565" s="2" t="s">
        <v>19</v>
      </c>
      <c r="AI565" s="2" t="s">
        <v>24</v>
      </c>
      <c r="AJ565" s="2" t="s">
        <v>25</v>
      </c>
      <c r="AK565" s="2" t="s">
        <v>19</v>
      </c>
      <c r="AL565" s="2" t="s">
        <v>25</v>
      </c>
    </row>
    <row r="566" ht="14.25" customHeight="1">
      <c r="A566" s="17">
        <v>46066.0</v>
      </c>
      <c r="B566" s="2" t="s">
        <v>31</v>
      </c>
      <c r="C566" s="2" t="s">
        <v>31</v>
      </c>
      <c r="D566" s="2" t="s">
        <v>31</v>
      </c>
      <c r="E566" s="2" t="s">
        <v>31</v>
      </c>
      <c r="F566" s="2" t="s">
        <v>31</v>
      </c>
      <c r="G566" s="2" t="s">
        <v>31</v>
      </c>
      <c r="H566" s="2" t="s">
        <v>31</v>
      </c>
      <c r="I566" s="2" t="s">
        <v>31</v>
      </c>
      <c r="J566" s="2" t="s">
        <v>31</v>
      </c>
      <c r="K566" s="2" t="s">
        <v>31</v>
      </c>
      <c r="L566" s="2" t="s">
        <v>31</v>
      </c>
      <c r="M566" s="2" t="s">
        <v>31</v>
      </c>
      <c r="N566" s="2" t="s">
        <v>31</v>
      </c>
      <c r="O566" s="2" t="s">
        <v>31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31</v>
      </c>
      <c r="U566" s="2" t="s">
        <v>25</v>
      </c>
      <c r="V566" s="2" t="s">
        <v>19</v>
      </c>
      <c r="W566" s="2" t="s">
        <v>16</v>
      </c>
      <c r="X566" s="2" t="s">
        <v>21</v>
      </c>
      <c r="Y566" s="2" t="s">
        <v>16</v>
      </c>
      <c r="Z566" s="2" t="s">
        <v>24</v>
      </c>
      <c r="AA566" s="2" t="s">
        <v>20</v>
      </c>
      <c r="AB566" s="2" t="s">
        <v>25</v>
      </c>
      <c r="AC566" s="2" t="s">
        <v>25</v>
      </c>
      <c r="AD566" s="2" t="s">
        <v>23</v>
      </c>
      <c r="AE566" s="2" t="s">
        <v>16</v>
      </c>
      <c r="AF566" s="2" t="s">
        <v>22</v>
      </c>
      <c r="AG566" s="2" t="s">
        <v>25</v>
      </c>
      <c r="AH566" s="2" t="s">
        <v>25</v>
      </c>
      <c r="AI566" s="2" t="s">
        <v>17</v>
      </c>
      <c r="AJ566" s="2" t="s">
        <v>25</v>
      </c>
      <c r="AK566" s="2" t="s">
        <v>18</v>
      </c>
      <c r="AL566" s="2" t="s">
        <v>16</v>
      </c>
    </row>
    <row r="567" ht="14.25" customHeight="1">
      <c r="A567" s="17">
        <v>46067.0</v>
      </c>
      <c r="B567" s="2" t="s">
        <v>27</v>
      </c>
      <c r="C567" s="2" t="s">
        <v>29</v>
      </c>
      <c r="D567" s="2" t="s">
        <v>22</v>
      </c>
      <c r="E567" s="2" t="s">
        <v>33</v>
      </c>
      <c r="F567" s="2" t="s">
        <v>38</v>
      </c>
      <c r="G567" s="2" t="s">
        <v>40</v>
      </c>
      <c r="H567" s="2" t="s">
        <v>28</v>
      </c>
      <c r="I567" s="2" t="s">
        <v>22</v>
      </c>
      <c r="J567" s="2" t="s">
        <v>42</v>
      </c>
      <c r="K567" s="2" t="s">
        <v>16</v>
      </c>
      <c r="L567" s="2" t="s">
        <v>28</v>
      </c>
      <c r="M567" s="2" t="s">
        <v>34</v>
      </c>
      <c r="N567" s="2" t="s">
        <v>40</v>
      </c>
      <c r="O567" s="2" t="s">
        <v>43</v>
      </c>
      <c r="P567" s="2" t="s">
        <v>30</v>
      </c>
      <c r="Q567" s="2" t="s">
        <v>40</v>
      </c>
      <c r="R567" s="2" t="s">
        <v>18</v>
      </c>
      <c r="S567" s="2" t="s">
        <v>40</v>
      </c>
      <c r="T567" s="2" t="s">
        <v>28</v>
      </c>
      <c r="U567" s="2" t="s">
        <v>25</v>
      </c>
      <c r="V567" s="2" t="s">
        <v>25</v>
      </c>
      <c r="W567" s="2" t="s">
        <v>26</v>
      </c>
      <c r="X567" s="2" t="s">
        <v>22</v>
      </c>
      <c r="Y567" s="2" t="s">
        <v>25</v>
      </c>
      <c r="Z567" s="2" t="s">
        <v>16</v>
      </c>
      <c r="AA567" s="2" t="s">
        <v>27</v>
      </c>
      <c r="AB567" s="2" t="s">
        <v>16</v>
      </c>
      <c r="AC567" s="2" t="s">
        <v>19</v>
      </c>
      <c r="AD567" s="2" t="s">
        <v>19</v>
      </c>
      <c r="AE567" s="2" t="s">
        <v>26</v>
      </c>
      <c r="AF567" s="2" t="s">
        <v>20</v>
      </c>
      <c r="AG567" s="2" t="s">
        <v>23</v>
      </c>
      <c r="AH567" s="2" t="s">
        <v>16</v>
      </c>
      <c r="AI567" s="2" t="s">
        <v>27</v>
      </c>
      <c r="AJ567" s="2" t="s">
        <v>16</v>
      </c>
      <c r="AK567" s="2" t="s">
        <v>16</v>
      </c>
      <c r="AL567" s="2" t="s">
        <v>21</v>
      </c>
    </row>
    <row r="568" ht="14.25" customHeight="1">
      <c r="A568" s="17">
        <v>46068.0</v>
      </c>
      <c r="B568" s="2" t="s">
        <v>31</v>
      </c>
      <c r="C568" s="2" t="s">
        <v>31</v>
      </c>
      <c r="D568" s="2" t="s">
        <v>31</v>
      </c>
      <c r="E568" s="2" t="s">
        <v>31</v>
      </c>
      <c r="F568" s="2" t="s">
        <v>31</v>
      </c>
      <c r="G568" s="2" t="s">
        <v>31</v>
      </c>
      <c r="H568" s="2" t="s">
        <v>31</v>
      </c>
      <c r="I568" s="2" t="s">
        <v>31</v>
      </c>
      <c r="J568" s="2" t="s">
        <v>31</v>
      </c>
      <c r="K568" s="2" t="s">
        <v>31</v>
      </c>
      <c r="L568" s="2" t="s">
        <v>31</v>
      </c>
      <c r="M568" s="2" t="s">
        <v>31</v>
      </c>
      <c r="N568" s="2" t="s">
        <v>31</v>
      </c>
      <c r="O568" s="2" t="s">
        <v>31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31</v>
      </c>
      <c r="U568" s="2" t="s">
        <v>28</v>
      </c>
      <c r="V568" s="2" t="s">
        <v>26</v>
      </c>
      <c r="W568" s="2" t="s">
        <v>17</v>
      </c>
      <c r="X568" s="2" t="s">
        <v>18</v>
      </c>
      <c r="Y568" s="2" t="s">
        <v>28</v>
      </c>
      <c r="Z568" s="2" t="s">
        <v>16</v>
      </c>
      <c r="AA568" s="2" t="s">
        <v>27</v>
      </c>
      <c r="AB568" s="2" t="s">
        <v>16</v>
      </c>
      <c r="AC568" s="2" t="s">
        <v>24</v>
      </c>
      <c r="AD568" s="2" t="s">
        <v>21</v>
      </c>
      <c r="AE568" s="2" t="s">
        <v>22</v>
      </c>
      <c r="AF568" s="2" t="s">
        <v>25</v>
      </c>
      <c r="AG568" s="2" t="s">
        <v>25</v>
      </c>
      <c r="AH568" s="2" t="s">
        <v>19</v>
      </c>
      <c r="AI568" s="2" t="s">
        <v>23</v>
      </c>
      <c r="AJ568" s="2" t="s">
        <v>24</v>
      </c>
      <c r="AK568" s="2" t="s">
        <v>16</v>
      </c>
      <c r="AL568" s="2" t="s">
        <v>16</v>
      </c>
    </row>
    <row r="569" ht="14.25" customHeight="1">
      <c r="A569" s="17">
        <v>46069.0</v>
      </c>
      <c r="B569" s="2" t="s">
        <v>31</v>
      </c>
      <c r="C569" s="2" t="s">
        <v>31</v>
      </c>
      <c r="D569" s="2" t="s">
        <v>31</v>
      </c>
      <c r="E569" s="2" t="s">
        <v>31</v>
      </c>
      <c r="F569" s="2" t="s">
        <v>31</v>
      </c>
      <c r="G569" s="2" t="s">
        <v>31</v>
      </c>
      <c r="H569" s="2" t="s">
        <v>31</v>
      </c>
      <c r="I569" s="2" t="s">
        <v>31</v>
      </c>
      <c r="J569" s="2" t="s">
        <v>31</v>
      </c>
      <c r="K569" s="2" t="s">
        <v>31</v>
      </c>
      <c r="L569" s="2" t="s">
        <v>31</v>
      </c>
      <c r="M569" s="2" t="s">
        <v>31</v>
      </c>
      <c r="N569" s="2" t="s">
        <v>31</v>
      </c>
      <c r="O569" s="2" t="s">
        <v>31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31</v>
      </c>
      <c r="U569" s="2" t="s">
        <v>19</v>
      </c>
      <c r="V569" s="2" t="s">
        <v>16</v>
      </c>
      <c r="W569" s="2" t="s">
        <v>26</v>
      </c>
      <c r="X569" s="2" t="s">
        <v>16</v>
      </c>
      <c r="Y569" s="2" t="s">
        <v>24</v>
      </c>
      <c r="Z569" s="2" t="s">
        <v>20</v>
      </c>
      <c r="AA569" s="2" t="s">
        <v>22</v>
      </c>
      <c r="AB569" s="2" t="s">
        <v>23</v>
      </c>
      <c r="AC569" s="2" t="s">
        <v>20</v>
      </c>
      <c r="AD569" s="2" t="s">
        <v>27</v>
      </c>
      <c r="AE569" s="2" t="s">
        <v>16</v>
      </c>
      <c r="AF569" s="2" t="s">
        <v>16</v>
      </c>
      <c r="AG569" s="2" t="s">
        <v>16</v>
      </c>
      <c r="AH569" s="2" t="s">
        <v>23</v>
      </c>
      <c r="AI569" s="2" t="s">
        <v>25</v>
      </c>
      <c r="AJ569" s="2" t="s">
        <v>20</v>
      </c>
      <c r="AK569" s="2" t="s">
        <v>16</v>
      </c>
      <c r="AL569" s="2" t="s">
        <v>16</v>
      </c>
    </row>
    <row r="570" ht="14.25" customHeight="1">
      <c r="A570" s="17">
        <v>46070.0</v>
      </c>
      <c r="B570" s="2" t="s">
        <v>31</v>
      </c>
      <c r="C570" s="2" t="s">
        <v>31</v>
      </c>
      <c r="D570" s="2" t="s">
        <v>31</v>
      </c>
      <c r="E570" s="2" t="s">
        <v>31</v>
      </c>
      <c r="F570" s="2" t="s">
        <v>31</v>
      </c>
      <c r="G570" s="2" t="s">
        <v>31</v>
      </c>
      <c r="H570" s="2" t="s">
        <v>31</v>
      </c>
      <c r="I570" s="2" t="s">
        <v>31</v>
      </c>
      <c r="J570" s="2" t="s">
        <v>31</v>
      </c>
      <c r="K570" s="2" t="s">
        <v>31</v>
      </c>
      <c r="L570" s="2" t="s">
        <v>31</v>
      </c>
      <c r="M570" s="2" t="s">
        <v>31</v>
      </c>
      <c r="N570" s="2" t="s">
        <v>31</v>
      </c>
      <c r="O570" s="2" t="s">
        <v>31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31</v>
      </c>
      <c r="U570" s="2" t="s">
        <v>21</v>
      </c>
      <c r="V570" s="2" t="s">
        <v>22</v>
      </c>
      <c r="W570" s="2" t="s">
        <v>21</v>
      </c>
      <c r="X570" s="2" t="s">
        <v>21</v>
      </c>
      <c r="Y570" s="2" t="s">
        <v>16</v>
      </c>
      <c r="Z570" s="2" t="s">
        <v>25</v>
      </c>
      <c r="AA570" s="2" t="s">
        <v>26</v>
      </c>
      <c r="AB570" s="2" t="s">
        <v>18</v>
      </c>
      <c r="AC570" s="2" t="s">
        <v>24</v>
      </c>
      <c r="AD570" s="2" t="s">
        <v>21</v>
      </c>
      <c r="AE570" s="2" t="s">
        <v>16</v>
      </c>
      <c r="AF570" s="2" t="s">
        <v>26</v>
      </c>
      <c r="AG570" s="2" t="s">
        <v>22</v>
      </c>
      <c r="AH570" s="2" t="s">
        <v>18</v>
      </c>
      <c r="AI570" s="2" t="s">
        <v>16</v>
      </c>
      <c r="AJ570" s="2" t="s">
        <v>24</v>
      </c>
      <c r="AK570" s="2" t="s">
        <v>20</v>
      </c>
      <c r="AL570" s="2" t="s">
        <v>16</v>
      </c>
    </row>
    <row r="571" ht="14.25" customHeight="1">
      <c r="A571" s="17">
        <v>46071.0</v>
      </c>
      <c r="B571" s="2" t="s">
        <v>31</v>
      </c>
      <c r="C571" s="2" t="s">
        <v>31</v>
      </c>
      <c r="D571" s="2" t="s">
        <v>31</v>
      </c>
      <c r="E571" s="2" t="s">
        <v>31</v>
      </c>
      <c r="F571" s="2" t="s">
        <v>31</v>
      </c>
      <c r="G571" s="2" t="s">
        <v>31</v>
      </c>
      <c r="H571" s="2" t="s">
        <v>31</v>
      </c>
      <c r="I571" s="2" t="s">
        <v>31</v>
      </c>
      <c r="J571" s="2" t="s">
        <v>31</v>
      </c>
      <c r="K571" s="2" t="s">
        <v>31</v>
      </c>
      <c r="L571" s="2" t="s">
        <v>31</v>
      </c>
      <c r="M571" s="2" t="s">
        <v>31</v>
      </c>
      <c r="N571" s="2" t="s">
        <v>31</v>
      </c>
      <c r="O571" s="2" t="s">
        <v>31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31</v>
      </c>
      <c r="U571" s="2" t="s">
        <v>16</v>
      </c>
      <c r="V571" s="2" t="s">
        <v>18</v>
      </c>
      <c r="W571" s="2" t="s">
        <v>16</v>
      </c>
      <c r="X571" s="2" t="s">
        <v>20</v>
      </c>
      <c r="Y571" s="2" t="s">
        <v>16</v>
      </c>
      <c r="Z571" s="2" t="s">
        <v>16</v>
      </c>
      <c r="AA571" s="2" t="s">
        <v>16</v>
      </c>
      <c r="AB571" s="2" t="s">
        <v>20</v>
      </c>
      <c r="AC571" s="2" t="s">
        <v>16</v>
      </c>
      <c r="AD571" s="2" t="s">
        <v>17</v>
      </c>
      <c r="AE571" s="2" t="s">
        <v>26</v>
      </c>
      <c r="AF571" s="2" t="s">
        <v>24</v>
      </c>
      <c r="AG571" s="2" t="s">
        <v>16</v>
      </c>
      <c r="AH571" s="2" t="s">
        <v>16</v>
      </c>
      <c r="AI571" s="2" t="s">
        <v>16</v>
      </c>
      <c r="AJ571" s="2" t="s">
        <v>19</v>
      </c>
      <c r="AK571" s="2" t="s">
        <v>28</v>
      </c>
      <c r="AL571" s="2" t="s">
        <v>16</v>
      </c>
    </row>
    <row r="572" ht="14.25" customHeight="1">
      <c r="A572" s="17">
        <v>46072.0</v>
      </c>
      <c r="B572" s="2" t="s">
        <v>31</v>
      </c>
      <c r="C572" s="2" t="s">
        <v>31</v>
      </c>
      <c r="D572" s="2" t="s">
        <v>31</v>
      </c>
      <c r="E572" s="2" t="s">
        <v>31</v>
      </c>
      <c r="F572" s="2" t="s">
        <v>31</v>
      </c>
      <c r="G572" s="2" t="s">
        <v>31</v>
      </c>
      <c r="H572" s="2" t="s">
        <v>31</v>
      </c>
      <c r="I572" s="2" t="s">
        <v>31</v>
      </c>
      <c r="J572" s="2" t="s">
        <v>31</v>
      </c>
      <c r="K572" s="2" t="s">
        <v>31</v>
      </c>
      <c r="L572" s="2" t="s">
        <v>31</v>
      </c>
      <c r="M572" s="2" t="s">
        <v>31</v>
      </c>
      <c r="N572" s="2" t="s">
        <v>31</v>
      </c>
      <c r="O572" s="2" t="s">
        <v>31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31</v>
      </c>
      <c r="U572" s="2" t="s">
        <v>16</v>
      </c>
      <c r="V572" s="2" t="s">
        <v>28</v>
      </c>
      <c r="W572" s="2" t="s">
        <v>25</v>
      </c>
      <c r="X572" s="2" t="s">
        <v>20</v>
      </c>
      <c r="Y572" s="2" t="s">
        <v>16</v>
      </c>
      <c r="Z572" s="2" t="s">
        <v>25</v>
      </c>
      <c r="AA572" s="2" t="s">
        <v>16</v>
      </c>
      <c r="AB572" s="2" t="s">
        <v>21</v>
      </c>
      <c r="AC572" s="2" t="s">
        <v>16</v>
      </c>
      <c r="AD572" s="2" t="s">
        <v>25</v>
      </c>
      <c r="AE572" s="2" t="s">
        <v>16</v>
      </c>
      <c r="AF572" s="2" t="s">
        <v>25</v>
      </c>
      <c r="AG572" s="2" t="s">
        <v>17</v>
      </c>
      <c r="AH572" s="2" t="s">
        <v>20</v>
      </c>
      <c r="AI572" s="2" t="s">
        <v>22</v>
      </c>
      <c r="AJ572" s="2" t="s">
        <v>17</v>
      </c>
      <c r="AK572" s="2" t="s">
        <v>27</v>
      </c>
      <c r="AL572" s="2" t="s">
        <v>22</v>
      </c>
    </row>
    <row r="573" ht="14.25" customHeight="1">
      <c r="A573" s="17">
        <v>46073.0</v>
      </c>
      <c r="B573" s="2" t="s">
        <v>31</v>
      </c>
      <c r="C573" s="2" t="s">
        <v>31</v>
      </c>
      <c r="D573" s="2" t="s">
        <v>31</v>
      </c>
      <c r="E573" s="2" t="s">
        <v>31</v>
      </c>
      <c r="F573" s="2" t="s">
        <v>31</v>
      </c>
      <c r="G573" s="2" t="s">
        <v>31</v>
      </c>
      <c r="H573" s="2" t="s">
        <v>31</v>
      </c>
      <c r="I573" s="2" t="s">
        <v>31</v>
      </c>
      <c r="J573" s="2" t="s">
        <v>31</v>
      </c>
      <c r="K573" s="2" t="s">
        <v>31</v>
      </c>
      <c r="L573" s="2" t="s">
        <v>31</v>
      </c>
      <c r="M573" s="2" t="s">
        <v>31</v>
      </c>
      <c r="N573" s="2" t="s">
        <v>31</v>
      </c>
      <c r="O573" s="2" t="s">
        <v>31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31</v>
      </c>
      <c r="U573" s="2" t="s">
        <v>22</v>
      </c>
      <c r="V573" s="2" t="s">
        <v>17</v>
      </c>
      <c r="W573" s="2" t="s">
        <v>21</v>
      </c>
      <c r="X573" s="2" t="s">
        <v>16</v>
      </c>
      <c r="Y573" s="2" t="s">
        <v>27</v>
      </c>
      <c r="Z573" s="2" t="s">
        <v>16</v>
      </c>
      <c r="AA573" s="2" t="s">
        <v>24</v>
      </c>
      <c r="AB573" s="2" t="s">
        <v>27</v>
      </c>
      <c r="AC573" s="2" t="s">
        <v>25</v>
      </c>
      <c r="AD573" s="2" t="s">
        <v>24</v>
      </c>
      <c r="AE573" s="2" t="s">
        <v>23</v>
      </c>
      <c r="AF573" s="2" t="s">
        <v>19</v>
      </c>
      <c r="AG573" s="2" t="s">
        <v>18</v>
      </c>
      <c r="AH573" s="2" t="s">
        <v>27</v>
      </c>
      <c r="AI573" s="2" t="s">
        <v>16</v>
      </c>
      <c r="AJ573" s="2" t="s">
        <v>16</v>
      </c>
      <c r="AK573" s="2" t="s">
        <v>23</v>
      </c>
      <c r="AL573" s="2" t="s">
        <v>24</v>
      </c>
    </row>
    <row r="574" ht="14.25" customHeight="1">
      <c r="A574" s="17">
        <v>46074.0</v>
      </c>
      <c r="B574" s="2" t="s">
        <v>26</v>
      </c>
      <c r="C574" s="2" t="s">
        <v>41</v>
      </c>
      <c r="D574" s="2" t="s">
        <v>37</v>
      </c>
      <c r="E574" s="2" t="s">
        <v>34</v>
      </c>
      <c r="F574" s="2" t="s">
        <v>38</v>
      </c>
      <c r="G574" s="2" t="s">
        <v>42</v>
      </c>
      <c r="H574" s="2" t="s">
        <v>28</v>
      </c>
      <c r="I574" s="2" t="s">
        <v>21</v>
      </c>
      <c r="J574" s="2" t="s">
        <v>36</v>
      </c>
      <c r="K574" s="2" t="s">
        <v>22</v>
      </c>
      <c r="L574" s="2" t="s">
        <v>40</v>
      </c>
      <c r="M574" s="2" t="s">
        <v>26</v>
      </c>
      <c r="N574" s="2" t="s">
        <v>16</v>
      </c>
      <c r="O574" s="2" t="s">
        <v>30</v>
      </c>
      <c r="P574" s="2" t="s">
        <v>21</v>
      </c>
      <c r="Q574" s="2" t="s">
        <v>20</v>
      </c>
      <c r="R574" s="2" t="s">
        <v>30</v>
      </c>
      <c r="S574" s="2" t="s">
        <v>18</v>
      </c>
      <c r="T574" s="2" t="s">
        <v>33</v>
      </c>
      <c r="U574" s="2" t="s">
        <v>17</v>
      </c>
      <c r="V574" s="2" t="s">
        <v>16</v>
      </c>
      <c r="W574" s="2" t="s">
        <v>16</v>
      </c>
      <c r="X574" s="2" t="s">
        <v>21</v>
      </c>
      <c r="Y574" s="2" t="s">
        <v>23</v>
      </c>
      <c r="Z574" s="2" t="s">
        <v>25</v>
      </c>
      <c r="AA574" s="2" t="s">
        <v>18</v>
      </c>
      <c r="AB574" s="2" t="s">
        <v>28</v>
      </c>
      <c r="AC574" s="2" t="s">
        <v>22</v>
      </c>
      <c r="AD574" s="2" t="s">
        <v>22</v>
      </c>
      <c r="AE574" s="2" t="s">
        <v>19</v>
      </c>
      <c r="AF574" s="2" t="s">
        <v>26</v>
      </c>
      <c r="AG574" s="2" t="s">
        <v>19</v>
      </c>
      <c r="AH574" s="2" t="s">
        <v>16</v>
      </c>
      <c r="AI574" s="2" t="s">
        <v>17</v>
      </c>
      <c r="AJ574" s="2" t="s">
        <v>23</v>
      </c>
      <c r="AK574" s="2" t="s">
        <v>21</v>
      </c>
      <c r="AL574" s="2" t="s">
        <v>26</v>
      </c>
    </row>
    <row r="575" ht="14.25" customHeight="1">
      <c r="A575" s="17">
        <v>46075.0</v>
      </c>
      <c r="B575" s="2" t="s">
        <v>31</v>
      </c>
      <c r="C575" s="2" t="s">
        <v>31</v>
      </c>
      <c r="D575" s="2" t="s">
        <v>31</v>
      </c>
      <c r="E575" s="2" t="s">
        <v>31</v>
      </c>
      <c r="F575" s="2" t="s">
        <v>31</v>
      </c>
      <c r="G575" s="2" t="s">
        <v>31</v>
      </c>
      <c r="H575" s="2" t="s">
        <v>31</v>
      </c>
      <c r="I575" s="2" t="s">
        <v>31</v>
      </c>
      <c r="J575" s="2" t="s">
        <v>31</v>
      </c>
      <c r="K575" s="2" t="s">
        <v>31</v>
      </c>
      <c r="L575" s="2" t="s">
        <v>31</v>
      </c>
      <c r="M575" s="2" t="s">
        <v>31</v>
      </c>
      <c r="N575" s="2" t="s">
        <v>31</v>
      </c>
      <c r="O575" s="2" t="s">
        <v>31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31</v>
      </c>
      <c r="U575" s="2" t="s">
        <v>16</v>
      </c>
      <c r="V575" s="2" t="s">
        <v>23</v>
      </c>
      <c r="W575" s="2" t="s">
        <v>19</v>
      </c>
      <c r="X575" s="2" t="s">
        <v>16</v>
      </c>
      <c r="Y575" s="2" t="s">
        <v>22</v>
      </c>
      <c r="Z575" s="2" t="s">
        <v>25</v>
      </c>
      <c r="AA575" s="2" t="s">
        <v>16</v>
      </c>
      <c r="AB575" s="2" t="s">
        <v>27</v>
      </c>
      <c r="AC575" s="2" t="s">
        <v>24</v>
      </c>
      <c r="AD575" s="2" t="s">
        <v>28</v>
      </c>
      <c r="AE575" s="2" t="s">
        <v>16</v>
      </c>
      <c r="AF575" s="2" t="s">
        <v>16</v>
      </c>
      <c r="AG575" s="2" t="s">
        <v>16</v>
      </c>
      <c r="AH575" s="2" t="s">
        <v>18</v>
      </c>
      <c r="AI575" s="2" t="s">
        <v>16</v>
      </c>
      <c r="AJ575" s="2" t="s">
        <v>17</v>
      </c>
      <c r="AK575" s="2" t="s">
        <v>28</v>
      </c>
      <c r="AL575" s="2" t="s">
        <v>16</v>
      </c>
    </row>
    <row r="576" ht="14.25" customHeight="1">
      <c r="A576" s="17">
        <v>46076.0</v>
      </c>
      <c r="B576" s="2" t="s">
        <v>31</v>
      </c>
      <c r="C576" s="2" t="s">
        <v>31</v>
      </c>
      <c r="D576" s="2" t="s">
        <v>31</v>
      </c>
      <c r="E576" s="2" t="s">
        <v>31</v>
      </c>
      <c r="F576" s="2" t="s">
        <v>31</v>
      </c>
      <c r="G576" s="2" t="s">
        <v>31</v>
      </c>
      <c r="H576" s="2" t="s">
        <v>31</v>
      </c>
      <c r="I576" s="2" t="s">
        <v>31</v>
      </c>
      <c r="J576" s="2" t="s">
        <v>31</v>
      </c>
      <c r="K576" s="2" t="s">
        <v>31</v>
      </c>
      <c r="L576" s="2" t="s">
        <v>31</v>
      </c>
      <c r="M576" s="2" t="s">
        <v>31</v>
      </c>
      <c r="N576" s="2" t="s">
        <v>31</v>
      </c>
      <c r="O576" s="2" t="s">
        <v>31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31</v>
      </c>
      <c r="U576" s="2" t="s">
        <v>16</v>
      </c>
      <c r="V576" s="2" t="s">
        <v>26</v>
      </c>
      <c r="W576" s="2" t="s">
        <v>26</v>
      </c>
      <c r="X576" s="2" t="s">
        <v>22</v>
      </c>
      <c r="Y576" s="2" t="s">
        <v>16</v>
      </c>
      <c r="Z576" s="2" t="s">
        <v>17</v>
      </c>
      <c r="AA576" s="2" t="s">
        <v>17</v>
      </c>
      <c r="AB576" s="2" t="s">
        <v>22</v>
      </c>
      <c r="AC576" s="2" t="s">
        <v>23</v>
      </c>
      <c r="AD576" s="2" t="s">
        <v>20</v>
      </c>
      <c r="AE576" s="2" t="s">
        <v>21</v>
      </c>
      <c r="AF576" s="2" t="s">
        <v>21</v>
      </c>
      <c r="AG576" s="2" t="s">
        <v>21</v>
      </c>
      <c r="AH576" s="2" t="s">
        <v>16</v>
      </c>
      <c r="AI576" s="2" t="s">
        <v>16</v>
      </c>
      <c r="AJ576" s="2" t="s">
        <v>16</v>
      </c>
      <c r="AK576" s="2" t="s">
        <v>16</v>
      </c>
      <c r="AL576" s="2" t="s">
        <v>16</v>
      </c>
    </row>
    <row r="577" ht="14.25" customHeight="1">
      <c r="A577" s="17">
        <v>46077.0</v>
      </c>
      <c r="B577" s="2" t="s">
        <v>31</v>
      </c>
      <c r="C577" s="2" t="s">
        <v>31</v>
      </c>
      <c r="D577" s="2" t="s">
        <v>31</v>
      </c>
      <c r="E577" s="2" t="s">
        <v>31</v>
      </c>
      <c r="F577" s="2" t="s">
        <v>31</v>
      </c>
      <c r="G577" s="2" t="s">
        <v>31</v>
      </c>
      <c r="H577" s="2" t="s">
        <v>31</v>
      </c>
      <c r="I577" s="2" t="s">
        <v>31</v>
      </c>
      <c r="J577" s="2" t="s">
        <v>31</v>
      </c>
      <c r="K577" s="2" t="s">
        <v>31</v>
      </c>
      <c r="L577" s="2" t="s">
        <v>31</v>
      </c>
      <c r="M577" s="2" t="s">
        <v>31</v>
      </c>
      <c r="N577" s="2" t="s">
        <v>31</v>
      </c>
      <c r="O577" s="2" t="s">
        <v>31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31</v>
      </c>
      <c r="U577" s="2" t="s">
        <v>18</v>
      </c>
      <c r="V577" s="2" t="s">
        <v>19</v>
      </c>
      <c r="W577" s="2" t="s">
        <v>27</v>
      </c>
      <c r="X577" s="2" t="s">
        <v>16</v>
      </c>
      <c r="Y577" s="2" t="s">
        <v>22</v>
      </c>
      <c r="Z577" s="2" t="s">
        <v>25</v>
      </c>
      <c r="AA577" s="2" t="s">
        <v>16</v>
      </c>
      <c r="AB577" s="2" t="s">
        <v>16</v>
      </c>
      <c r="AC577" s="2" t="s">
        <v>16</v>
      </c>
      <c r="AD577" s="2" t="s">
        <v>21</v>
      </c>
      <c r="AE577" s="2" t="s">
        <v>16</v>
      </c>
      <c r="AF577" s="2" t="s">
        <v>27</v>
      </c>
      <c r="AG577" s="2" t="s">
        <v>26</v>
      </c>
      <c r="AH577" s="2" t="s">
        <v>25</v>
      </c>
      <c r="AI577" s="2" t="s">
        <v>24</v>
      </c>
      <c r="AJ577" s="2" t="s">
        <v>16</v>
      </c>
      <c r="AK577" s="2" t="s">
        <v>18</v>
      </c>
      <c r="AL577" s="2" t="s">
        <v>23</v>
      </c>
    </row>
    <row r="578" ht="14.25" customHeight="1">
      <c r="A578" s="17">
        <v>46078.0</v>
      </c>
      <c r="B578" s="2" t="s">
        <v>31</v>
      </c>
      <c r="C578" s="2" t="s">
        <v>31</v>
      </c>
      <c r="D578" s="2" t="s">
        <v>31</v>
      </c>
      <c r="E578" s="2" t="s">
        <v>31</v>
      </c>
      <c r="F578" s="2" t="s">
        <v>31</v>
      </c>
      <c r="G578" s="2" t="s">
        <v>31</v>
      </c>
      <c r="H578" s="2" t="s">
        <v>31</v>
      </c>
      <c r="I578" s="2" t="s">
        <v>31</v>
      </c>
      <c r="J578" s="2" t="s">
        <v>31</v>
      </c>
      <c r="K578" s="2" t="s">
        <v>31</v>
      </c>
      <c r="L578" s="2" t="s">
        <v>31</v>
      </c>
      <c r="M578" s="2" t="s">
        <v>31</v>
      </c>
      <c r="N578" s="2" t="s">
        <v>31</v>
      </c>
      <c r="O578" s="2" t="s">
        <v>31</v>
      </c>
      <c r="P578" s="2" t="s">
        <v>31</v>
      </c>
      <c r="Q578" s="2" t="s">
        <v>31</v>
      </c>
      <c r="R578" s="2" t="s">
        <v>31</v>
      </c>
      <c r="S578" s="2" t="s">
        <v>31</v>
      </c>
      <c r="T578" s="2" t="s">
        <v>31</v>
      </c>
      <c r="U578" s="2" t="s">
        <v>19</v>
      </c>
      <c r="V578" s="2" t="s">
        <v>24</v>
      </c>
      <c r="W578" s="2" t="s">
        <v>28</v>
      </c>
      <c r="X578" s="2" t="s">
        <v>28</v>
      </c>
      <c r="Y578" s="2" t="s">
        <v>21</v>
      </c>
      <c r="Z578" s="2" t="s">
        <v>22</v>
      </c>
      <c r="AA578" s="2" t="s">
        <v>16</v>
      </c>
      <c r="AB578" s="2" t="s">
        <v>25</v>
      </c>
      <c r="AC578" s="2" t="s">
        <v>21</v>
      </c>
      <c r="AD578" s="2" t="s">
        <v>27</v>
      </c>
      <c r="AE578" s="2" t="s">
        <v>16</v>
      </c>
      <c r="AF578" s="2" t="s">
        <v>22</v>
      </c>
      <c r="AG578" s="2" t="s">
        <v>22</v>
      </c>
      <c r="AH578" s="2" t="s">
        <v>16</v>
      </c>
      <c r="AI578" s="2" t="s">
        <v>19</v>
      </c>
      <c r="AJ578" s="2" t="s">
        <v>18</v>
      </c>
      <c r="AK578" s="2" t="s">
        <v>26</v>
      </c>
      <c r="AL578" s="2" t="s">
        <v>16</v>
      </c>
    </row>
    <row r="579" ht="14.25" customHeight="1">
      <c r="A579" s="17">
        <v>46079.0</v>
      </c>
      <c r="B579" s="2" t="s">
        <v>31</v>
      </c>
      <c r="C579" s="2" t="s">
        <v>31</v>
      </c>
      <c r="D579" s="2" t="s">
        <v>31</v>
      </c>
      <c r="E579" s="2" t="s">
        <v>31</v>
      </c>
      <c r="F579" s="2" t="s">
        <v>31</v>
      </c>
      <c r="G579" s="2" t="s">
        <v>31</v>
      </c>
      <c r="H579" s="2" t="s">
        <v>31</v>
      </c>
      <c r="I579" s="2" t="s">
        <v>31</v>
      </c>
      <c r="J579" s="2" t="s">
        <v>31</v>
      </c>
      <c r="K579" s="2" t="s">
        <v>31</v>
      </c>
      <c r="L579" s="2" t="s">
        <v>31</v>
      </c>
      <c r="M579" s="2" t="s">
        <v>31</v>
      </c>
      <c r="N579" s="2" t="s">
        <v>31</v>
      </c>
      <c r="O579" s="2" t="s">
        <v>31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2" t="s">
        <v>16</v>
      </c>
      <c r="V579" s="2" t="s">
        <v>16</v>
      </c>
      <c r="W579" s="2" t="s">
        <v>16</v>
      </c>
      <c r="X579" s="2" t="s">
        <v>21</v>
      </c>
      <c r="Y579" s="2" t="s">
        <v>24</v>
      </c>
      <c r="Z579" s="2" t="s">
        <v>28</v>
      </c>
      <c r="AA579" s="2" t="s">
        <v>16</v>
      </c>
      <c r="AB579" s="2" t="s">
        <v>21</v>
      </c>
      <c r="AC579" s="2" t="s">
        <v>16</v>
      </c>
      <c r="AD579" s="2" t="s">
        <v>27</v>
      </c>
      <c r="AE579" s="2" t="s">
        <v>21</v>
      </c>
      <c r="AF579" s="2" t="s">
        <v>16</v>
      </c>
      <c r="AG579" s="2" t="s">
        <v>22</v>
      </c>
      <c r="AH579" s="2" t="s">
        <v>22</v>
      </c>
      <c r="AI579" s="2" t="s">
        <v>28</v>
      </c>
      <c r="AJ579" s="2" t="s">
        <v>20</v>
      </c>
      <c r="AK579" s="2" t="s">
        <v>18</v>
      </c>
      <c r="AL579" s="2" t="s">
        <v>17</v>
      </c>
    </row>
    <row r="580" ht="14.25" customHeight="1">
      <c r="A580" s="17">
        <v>46080.0</v>
      </c>
      <c r="B580" s="2" t="s">
        <v>31</v>
      </c>
      <c r="C580" s="2" t="s">
        <v>31</v>
      </c>
      <c r="D580" s="2" t="s">
        <v>31</v>
      </c>
      <c r="E580" s="2" t="s">
        <v>31</v>
      </c>
      <c r="F580" s="2" t="s">
        <v>31</v>
      </c>
      <c r="G580" s="2" t="s">
        <v>31</v>
      </c>
      <c r="H580" s="2" t="s">
        <v>31</v>
      </c>
      <c r="I580" s="2" t="s">
        <v>31</v>
      </c>
      <c r="J580" s="2" t="s">
        <v>31</v>
      </c>
      <c r="K580" s="2" t="s">
        <v>31</v>
      </c>
      <c r="L580" s="2" t="s">
        <v>31</v>
      </c>
      <c r="M580" s="2" t="s">
        <v>31</v>
      </c>
      <c r="N580" s="2" t="s">
        <v>31</v>
      </c>
      <c r="O580" s="2" t="s">
        <v>31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31</v>
      </c>
      <c r="U580" s="2" t="s">
        <v>22</v>
      </c>
      <c r="V580" s="2" t="s">
        <v>22</v>
      </c>
      <c r="W580" s="2" t="s">
        <v>25</v>
      </c>
      <c r="X580" s="2" t="s">
        <v>28</v>
      </c>
      <c r="Y580" s="2" t="s">
        <v>26</v>
      </c>
      <c r="Z580" s="2" t="s">
        <v>27</v>
      </c>
      <c r="AA580" s="2" t="s">
        <v>28</v>
      </c>
      <c r="AB580" s="2" t="s">
        <v>16</v>
      </c>
      <c r="AC580" s="2" t="s">
        <v>16</v>
      </c>
      <c r="AD580" s="2" t="s">
        <v>22</v>
      </c>
      <c r="AE580" s="2" t="s">
        <v>26</v>
      </c>
      <c r="AF580" s="2" t="s">
        <v>17</v>
      </c>
      <c r="AG580" s="2" t="s">
        <v>28</v>
      </c>
      <c r="AH580" s="2" t="s">
        <v>23</v>
      </c>
      <c r="AI580" s="2" t="s">
        <v>24</v>
      </c>
      <c r="AJ580" s="2" t="s">
        <v>24</v>
      </c>
      <c r="AK580" s="2" t="s">
        <v>24</v>
      </c>
      <c r="AL580" s="2" t="s">
        <v>22</v>
      </c>
    </row>
    <row r="581" ht="14.25" customHeight="1">
      <c r="A581" s="17">
        <v>46081.0</v>
      </c>
      <c r="B581" s="2" t="s">
        <v>37</v>
      </c>
      <c r="C581" s="2" t="s">
        <v>23</v>
      </c>
      <c r="D581" s="2" t="s">
        <v>25</v>
      </c>
      <c r="E581" s="2" t="s">
        <v>25</v>
      </c>
      <c r="F581" s="2" t="s">
        <v>19</v>
      </c>
      <c r="G581" s="2" t="s">
        <v>32</v>
      </c>
      <c r="H581" s="2" t="s">
        <v>20</v>
      </c>
      <c r="I581" s="2" t="s">
        <v>30</v>
      </c>
      <c r="J581" s="2" t="s">
        <v>20</v>
      </c>
      <c r="K581" s="2" t="s">
        <v>39</v>
      </c>
      <c r="L581" s="2" t="s">
        <v>39</v>
      </c>
      <c r="M581" s="2" t="s">
        <v>16</v>
      </c>
      <c r="N581" s="2" t="s">
        <v>40</v>
      </c>
      <c r="O581" s="2" t="s">
        <v>21</v>
      </c>
      <c r="P581" s="2" t="s">
        <v>35</v>
      </c>
      <c r="Q581" s="2" t="s">
        <v>28</v>
      </c>
      <c r="R581" s="2" t="s">
        <v>16</v>
      </c>
      <c r="S581" s="2" t="s">
        <v>18</v>
      </c>
      <c r="T581" s="2" t="s">
        <v>30</v>
      </c>
      <c r="U581" s="2" t="s">
        <v>16</v>
      </c>
      <c r="V581" s="2" t="s">
        <v>18</v>
      </c>
      <c r="W581" s="2" t="s">
        <v>26</v>
      </c>
      <c r="X581" s="2" t="s">
        <v>27</v>
      </c>
      <c r="Y581" s="2" t="s">
        <v>22</v>
      </c>
      <c r="Z581" s="2" t="s">
        <v>23</v>
      </c>
      <c r="AA581" s="2" t="s">
        <v>16</v>
      </c>
      <c r="AB581" s="2" t="s">
        <v>22</v>
      </c>
      <c r="AC581" s="2" t="s">
        <v>16</v>
      </c>
      <c r="AD581" s="2" t="s">
        <v>21</v>
      </c>
      <c r="AE581" s="2" t="s">
        <v>21</v>
      </c>
      <c r="AF581" s="2" t="s">
        <v>22</v>
      </c>
      <c r="AG581" s="2" t="s">
        <v>20</v>
      </c>
      <c r="AH581" s="2" t="s">
        <v>16</v>
      </c>
      <c r="AI581" s="2" t="s">
        <v>16</v>
      </c>
      <c r="AJ581" s="2" t="s">
        <v>28</v>
      </c>
      <c r="AK581" s="2" t="s">
        <v>16</v>
      </c>
      <c r="AL581" s="2" t="s">
        <v>21</v>
      </c>
    </row>
    <row r="582" ht="14.25" customHeight="1">
      <c r="A582" s="17">
        <v>46082.0</v>
      </c>
      <c r="B582" s="2" t="s">
        <v>31</v>
      </c>
      <c r="C582" s="2" t="s">
        <v>31</v>
      </c>
      <c r="D582" s="2" t="s">
        <v>31</v>
      </c>
      <c r="E582" s="2" t="s">
        <v>31</v>
      </c>
      <c r="F582" s="2" t="s">
        <v>31</v>
      </c>
      <c r="G582" s="2" t="s">
        <v>31</v>
      </c>
      <c r="H582" s="2" t="s">
        <v>31</v>
      </c>
      <c r="I582" s="2" t="s">
        <v>31</v>
      </c>
      <c r="J582" s="2" t="s">
        <v>31</v>
      </c>
      <c r="K582" s="2" t="s">
        <v>31</v>
      </c>
      <c r="L582" s="2" t="s">
        <v>31</v>
      </c>
      <c r="M582" s="2" t="s">
        <v>31</v>
      </c>
      <c r="N582" s="2" t="s">
        <v>31</v>
      </c>
      <c r="O582" s="2" t="s">
        <v>31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31</v>
      </c>
      <c r="U582" s="2" t="s">
        <v>28</v>
      </c>
      <c r="V582" s="2" t="s">
        <v>16</v>
      </c>
      <c r="W582" s="2" t="s">
        <v>24</v>
      </c>
      <c r="X582" s="2" t="s">
        <v>23</v>
      </c>
      <c r="Y582" s="2" t="s">
        <v>24</v>
      </c>
      <c r="Z582" s="2" t="s">
        <v>19</v>
      </c>
      <c r="AA582" s="2" t="s">
        <v>24</v>
      </c>
      <c r="AB582" s="2" t="s">
        <v>24</v>
      </c>
      <c r="AC582" s="2" t="s">
        <v>27</v>
      </c>
      <c r="AD582" s="2" t="s">
        <v>24</v>
      </c>
      <c r="AE582" s="2" t="s">
        <v>27</v>
      </c>
      <c r="AF582" s="2" t="s">
        <v>17</v>
      </c>
      <c r="AG582" s="2" t="s">
        <v>19</v>
      </c>
      <c r="AH582" s="2" t="s">
        <v>20</v>
      </c>
      <c r="AI582" s="2" t="s">
        <v>24</v>
      </c>
      <c r="AJ582" s="2" t="s">
        <v>25</v>
      </c>
      <c r="AK582" s="2" t="s">
        <v>28</v>
      </c>
      <c r="AL582" s="2" t="s">
        <v>24</v>
      </c>
    </row>
    <row r="583" ht="14.25" customHeight="1">
      <c r="A583" s="17">
        <v>46083.0</v>
      </c>
      <c r="B583" s="2" t="s">
        <v>31</v>
      </c>
      <c r="C583" s="2" t="s">
        <v>31</v>
      </c>
      <c r="D583" s="2" t="s">
        <v>31</v>
      </c>
      <c r="E583" s="2" t="s">
        <v>31</v>
      </c>
      <c r="F583" s="2" t="s">
        <v>31</v>
      </c>
      <c r="G583" s="2" t="s">
        <v>31</v>
      </c>
      <c r="H583" s="2" t="s">
        <v>31</v>
      </c>
      <c r="I583" s="2" t="s">
        <v>31</v>
      </c>
      <c r="J583" s="2" t="s">
        <v>31</v>
      </c>
      <c r="K583" s="2" t="s">
        <v>31</v>
      </c>
      <c r="L583" s="2" t="s">
        <v>31</v>
      </c>
      <c r="M583" s="2" t="s">
        <v>31</v>
      </c>
      <c r="N583" s="2" t="s">
        <v>31</v>
      </c>
      <c r="O583" s="2" t="s">
        <v>31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31</v>
      </c>
      <c r="U583" s="2" t="s">
        <v>16</v>
      </c>
      <c r="V583" s="2" t="s">
        <v>28</v>
      </c>
      <c r="W583" s="2" t="s">
        <v>16</v>
      </c>
      <c r="X583" s="2" t="s">
        <v>26</v>
      </c>
      <c r="Y583" s="2" t="s">
        <v>19</v>
      </c>
      <c r="Z583" s="2" t="s">
        <v>24</v>
      </c>
      <c r="AA583" s="2" t="s">
        <v>17</v>
      </c>
      <c r="AB583" s="2" t="s">
        <v>18</v>
      </c>
      <c r="AC583" s="2" t="s">
        <v>25</v>
      </c>
      <c r="AD583" s="2" t="s">
        <v>27</v>
      </c>
      <c r="AE583" s="2" t="s">
        <v>18</v>
      </c>
      <c r="AF583" s="2" t="s">
        <v>27</v>
      </c>
      <c r="AG583" s="2" t="s">
        <v>16</v>
      </c>
      <c r="AH583" s="2" t="s">
        <v>25</v>
      </c>
      <c r="AI583" s="2" t="s">
        <v>16</v>
      </c>
      <c r="AJ583" s="2" t="s">
        <v>24</v>
      </c>
      <c r="AK583" s="2" t="s">
        <v>19</v>
      </c>
      <c r="AL583" s="2" t="s">
        <v>16</v>
      </c>
    </row>
    <row r="584" ht="14.25" customHeight="1">
      <c r="A584" s="17">
        <v>46084.0</v>
      </c>
      <c r="B584" s="2" t="s">
        <v>31</v>
      </c>
      <c r="C584" s="2" t="s">
        <v>31</v>
      </c>
      <c r="D584" s="2" t="s">
        <v>31</v>
      </c>
      <c r="E584" s="2" t="s">
        <v>31</v>
      </c>
      <c r="F584" s="2" t="s">
        <v>31</v>
      </c>
      <c r="G584" s="2" t="s">
        <v>31</v>
      </c>
      <c r="H584" s="2" t="s">
        <v>31</v>
      </c>
      <c r="I584" s="2" t="s">
        <v>31</v>
      </c>
      <c r="J584" s="2" t="s">
        <v>31</v>
      </c>
      <c r="K584" s="2" t="s">
        <v>31</v>
      </c>
      <c r="L584" s="2" t="s">
        <v>31</v>
      </c>
      <c r="M584" s="2" t="s">
        <v>31</v>
      </c>
      <c r="N584" s="2" t="s">
        <v>31</v>
      </c>
      <c r="O584" s="2" t="s">
        <v>31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2" t="s">
        <v>23</v>
      </c>
      <c r="V584" s="2" t="s">
        <v>25</v>
      </c>
      <c r="W584" s="2" t="s">
        <v>28</v>
      </c>
      <c r="X584" s="2" t="s">
        <v>28</v>
      </c>
      <c r="Y584" s="2" t="s">
        <v>16</v>
      </c>
      <c r="Z584" s="2" t="s">
        <v>23</v>
      </c>
      <c r="AA584" s="2" t="s">
        <v>19</v>
      </c>
      <c r="AB584" s="2" t="s">
        <v>16</v>
      </c>
      <c r="AC584" s="2" t="s">
        <v>22</v>
      </c>
      <c r="AD584" s="2" t="s">
        <v>16</v>
      </c>
      <c r="AE584" s="2" t="s">
        <v>25</v>
      </c>
      <c r="AF584" s="2" t="s">
        <v>28</v>
      </c>
      <c r="AG584" s="2" t="s">
        <v>20</v>
      </c>
      <c r="AH584" s="2" t="s">
        <v>24</v>
      </c>
      <c r="AI584" s="2" t="s">
        <v>27</v>
      </c>
      <c r="AJ584" s="2" t="s">
        <v>16</v>
      </c>
      <c r="AK584" s="2" t="s">
        <v>19</v>
      </c>
      <c r="AL584" s="2" t="s">
        <v>25</v>
      </c>
    </row>
    <row r="585" ht="14.25" customHeight="1">
      <c r="A585" s="17">
        <v>46085.0</v>
      </c>
      <c r="B585" s="2" t="s">
        <v>31</v>
      </c>
      <c r="C585" s="2" t="s">
        <v>31</v>
      </c>
      <c r="D585" s="2" t="s">
        <v>31</v>
      </c>
      <c r="E585" s="2" t="s">
        <v>31</v>
      </c>
      <c r="F585" s="2" t="s">
        <v>31</v>
      </c>
      <c r="G585" s="2" t="s">
        <v>31</v>
      </c>
      <c r="H585" s="2" t="s">
        <v>31</v>
      </c>
      <c r="I585" s="2" t="s">
        <v>31</v>
      </c>
      <c r="J585" s="2" t="s">
        <v>31</v>
      </c>
      <c r="K585" s="2" t="s">
        <v>31</v>
      </c>
      <c r="L585" s="2" t="s">
        <v>31</v>
      </c>
      <c r="M585" s="2" t="s">
        <v>31</v>
      </c>
      <c r="N585" s="2" t="s">
        <v>31</v>
      </c>
      <c r="O585" s="2" t="s">
        <v>31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31</v>
      </c>
      <c r="U585" s="2" t="s">
        <v>25</v>
      </c>
      <c r="V585" s="2" t="s">
        <v>16</v>
      </c>
      <c r="W585" s="2" t="s">
        <v>25</v>
      </c>
      <c r="X585" s="2" t="s">
        <v>16</v>
      </c>
      <c r="Y585" s="2" t="s">
        <v>16</v>
      </c>
      <c r="Z585" s="2" t="s">
        <v>23</v>
      </c>
      <c r="AA585" s="2" t="s">
        <v>19</v>
      </c>
      <c r="AB585" s="2" t="s">
        <v>16</v>
      </c>
      <c r="AC585" s="2" t="s">
        <v>16</v>
      </c>
      <c r="AD585" s="2" t="s">
        <v>25</v>
      </c>
      <c r="AE585" s="2" t="s">
        <v>24</v>
      </c>
      <c r="AF585" s="2" t="s">
        <v>16</v>
      </c>
      <c r="AG585" s="2" t="s">
        <v>24</v>
      </c>
      <c r="AH585" s="2" t="s">
        <v>22</v>
      </c>
      <c r="AI585" s="2" t="s">
        <v>16</v>
      </c>
      <c r="AJ585" s="2" t="s">
        <v>25</v>
      </c>
      <c r="AK585" s="2" t="s">
        <v>16</v>
      </c>
      <c r="AL585" s="2" t="s">
        <v>20</v>
      </c>
    </row>
    <row r="586" ht="14.25" customHeight="1">
      <c r="A586" s="17">
        <v>46086.0</v>
      </c>
      <c r="B586" s="2" t="s">
        <v>31</v>
      </c>
      <c r="C586" s="2" t="s">
        <v>31</v>
      </c>
      <c r="D586" s="2" t="s">
        <v>31</v>
      </c>
      <c r="E586" s="2" t="s">
        <v>31</v>
      </c>
      <c r="F586" s="2" t="s">
        <v>31</v>
      </c>
      <c r="G586" s="2" t="s">
        <v>31</v>
      </c>
      <c r="H586" s="2" t="s">
        <v>31</v>
      </c>
      <c r="I586" s="2" t="s">
        <v>31</v>
      </c>
      <c r="J586" s="2" t="s">
        <v>31</v>
      </c>
      <c r="K586" s="2" t="s">
        <v>31</v>
      </c>
      <c r="L586" s="2" t="s">
        <v>31</v>
      </c>
      <c r="M586" s="2" t="s">
        <v>31</v>
      </c>
      <c r="N586" s="2" t="s">
        <v>31</v>
      </c>
      <c r="O586" s="2" t="s">
        <v>31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31</v>
      </c>
      <c r="U586" s="2" t="s">
        <v>16</v>
      </c>
      <c r="V586" s="2" t="s">
        <v>16</v>
      </c>
      <c r="W586" s="2" t="s">
        <v>17</v>
      </c>
      <c r="X586" s="2" t="s">
        <v>16</v>
      </c>
      <c r="Y586" s="2" t="s">
        <v>16</v>
      </c>
      <c r="Z586" s="2" t="s">
        <v>26</v>
      </c>
      <c r="AA586" s="2" t="s">
        <v>28</v>
      </c>
      <c r="AB586" s="2" t="s">
        <v>17</v>
      </c>
      <c r="AC586" s="2" t="s">
        <v>28</v>
      </c>
      <c r="AD586" s="2" t="s">
        <v>17</v>
      </c>
      <c r="AE586" s="2" t="s">
        <v>16</v>
      </c>
      <c r="AF586" s="2" t="s">
        <v>19</v>
      </c>
      <c r="AG586" s="2" t="s">
        <v>19</v>
      </c>
      <c r="AH586" s="2" t="s">
        <v>28</v>
      </c>
      <c r="AI586" s="2" t="s">
        <v>23</v>
      </c>
      <c r="AJ586" s="2" t="s">
        <v>26</v>
      </c>
      <c r="AK586" s="2" t="s">
        <v>26</v>
      </c>
      <c r="AL586" s="2" t="s">
        <v>16</v>
      </c>
    </row>
    <row r="587" ht="14.25" customHeight="1">
      <c r="A587" s="17">
        <v>46087.0</v>
      </c>
      <c r="B587" s="2" t="s">
        <v>31</v>
      </c>
      <c r="C587" s="2" t="s">
        <v>31</v>
      </c>
      <c r="D587" s="2" t="s">
        <v>31</v>
      </c>
      <c r="E587" s="2" t="s">
        <v>31</v>
      </c>
      <c r="F587" s="2" t="s">
        <v>31</v>
      </c>
      <c r="G587" s="2" t="s">
        <v>31</v>
      </c>
      <c r="H587" s="2" t="s">
        <v>31</v>
      </c>
      <c r="I587" s="2" t="s">
        <v>31</v>
      </c>
      <c r="J587" s="2" t="s">
        <v>31</v>
      </c>
      <c r="K587" s="2" t="s">
        <v>31</v>
      </c>
      <c r="L587" s="2" t="s">
        <v>31</v>
      </c>
      <c r="M587" s="2" t="s">
        <v>31</v>
      </c>
      <c r="N587" s="2" t="s">
        <v>31</v>
      </c>
      <c r="O587" s="2" t="s">
        <v>31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31</v>
      </c>
      <c r="U587" s="2" t="s">
        <v>16</v>
      </c>
      <c r="V587" s="2" t="s">
        <v>19</v>
      </c>
      <c r="W587" s="2" t="s">
        <v>24</v>
      </c>
      <c r="X587" s="2" t="s">
        <v>19</v>
      </c>
      <c r="Y587" s="2" t="s">
        <v>16</v>
      </c>
      <c r="Z587" s="2" t="s">
        <v>22</v>
      </c>
      <c r="AA587" s="2" t="s">
        <v>16</v>
      </c>
      <c r="AB587" s="2" t="s">
        <v>23</v>
      </c>
      <c r="AC587" s="2" t="s">
        <v>20</v>
      </c>
      <c r="AD587" s="2" t="s">
        <v>21</v>
      </c>
      <c r="AE587" s="2" t="s">
        <v>28</v>
      </c>
      <c r="AF587" s="2" t="s">
        <v>28</v>
      </c>
      <c r="AG587" s="2" t="s">
        <v>17</v>
      </c>
      <c r="AH587" s="2" t="s">
        <v>23</v>
      </c>
      <c r="AI587" s="2" t="s">
        <v>16</v>
      </c>
      <c r="AJ587" s="2" t="s">
        <v>16</v>
      </c>
      <c r="AK587" s="2" t="s">
        <v>16</v>
      </c>
      <c r="AL587" s="2" t="s">
        <v>18</v>
      </c>
    </row>
    <row r="588" ht="14.25" customHeight="1">
      <c r="A588" s="17">
        <v>46088.0</v>
      </c>
      <c r="B588" s="2" t="s">
        <v>18</v>
      </c>
      <c r="C588" s="2" t="s">
        <v>24</v>
      </c>
      <c r="D588" s="2" t="s">
        <v>22</v>
      </c>
      <c r="E588" s="2" t="s">
        <v>16</v>
      </c>
      <c r="F588" s="2" t="s">
        <v>38</v>
      </c>
      <c r="G588" s="2" t="s">
        <v>40</v>
      </c>
      <c r="H588" s="2" t="s">
        <v>20</v>
      </c>
      <c r="I588" s="2" t="s">
        <v>22</v>
      </c>
      <c r="J588" s="2" t="s">
        <v>30</v>
      </c>
      <c r="K588" s="2" t="s">
        <v>40</v>
      </c>
      <c r="L588" s="2" t="s">
        <v>41</v>
      </c>
      <c r="M588" s="2" t="s">
        <v>36</v>
      </c>
      <c r="N588" s="2" t="s">
        <v>17</v>
      </c>
      <c r="O588" s="2" t="s">
        <v>25</v>
      </c>
      <c r="P588" s="2" t="s">
        <v>20</v>
      </c>
      <c r="Q588" s="2" t="s">
        <v>16</v>
      </c>
      <c r="R588" s="2" t="s">
        <v>29</v>
      </c>
      <c r="S588" s="2" t="s">
        <v>32</v>
      </c>
      <c r="T588" s="2" t="s">
        <v>28</v>
      </c>
      <c r="U588" s="2" t="s">
        <v>25</v>
      </c>
      <c r="V588" s="2" t="s">
        <v>16</v>
      </c>
      <c r="W588" s="2" t="s">
        <v>27</v>
      </c>
      <c r="X588" s="2" t="s">
        <v>26</v>
      </c>
      <c r="Y588" s="2" t="s">
        <v>25</v>
      </c>
      <c r="Z588" s="2" t="s">
        <v>26</v>
      </c>
      <c r="AA588" s="2" t="s">
        <v>25</v>
      </c>
      <c r="AB588" s="2" t="s">
        <v>19</v>
      </c>
      <c r="AC588" s="2" t="s">
        <v>17</v>
      </c>
      <c r="AD588" s="2" t="s">
        <v>16</v>
      </c>
      <c r="AE588" s="2" t="s">
        <v>20</v>
      </c>
      <c r="AF588" s="2" t="s">
        <v>22</v>
      </c>
      <c r="AG588" s="2" t="s">
        <v>21</v>
      </c>
      <c r="AH588" s="2" t="s">
        <v>16</v>
      </c>
      <c r="AI588" s="2" t="s">
        <v>19</v>
      </c>
      <c r="AJ588" s="2" t="s">
        <v>25</v>
      </c>
      <c r="AK588" s="2" t="s">
        <v>20</v>
      </c>
      <c r="AL588" s="2" t="s">
        <v>27</v>
      </c>
    </row>
    <row r="589" ht="14.25" customHeight="1">
      <c r="A589" s="17">
        <v>46089.0</v>
      </c>
      <c r="B589" s="2" t="s">
        <v>31</v>
      </c>
      <c r="C589" s="2" t="s">
        <v>31</v>
      </c>
      <c r="D589" s="2" t="s">
        <v>31</v>
      </c>
      <c r="E589" s="2" t="s">
        <v>31</v>
      </c>
      <c r="F589" s="2" t="s">
        <v>31</v>
      </c>
      <c r="G589" s="2" t="s">
        <v>31</v>
      </c>
      <c r="H589" s="2" t="s">
        <v>31</v>
      </c>
      <c r="I589" s="2" t="s">
        <v>31</v>
      </c>
      <c r="J589" s="2" t="s">
        <v>31</v>
      </c>
      <c r="K589" s="2" t="s">
        <v>31</v>
      </c>
      <c r="L589" s="2" t="s">
        <v>31</v>
      </c>
      <c r="M589" s="2" t="s">
        <v>31</v>
      </c>
      <c r="N589" s="2" t="s">
        <v>31</v>
      </c>
      <c r="O589" s="2" t="s">
        <v>31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31</v>
      </c>
      <c r="U589" s="2" t="s">
        <v>16</v>
      </c>
      <c r="V589" s="2" t="s">
        <v>28</v>
      </c>
      <c r="W589" s="2" t="s">
        <v>28</v>
      </c>
      <c r="X589" s="2" t="s">
        <v>20</v>
      </c>
      <c r="Y589" s="2" t="s">
        <v>21</v>
      </c>
      <c r="Z589" s="2" t="s">
        <v>19</v>
      </c>
      <c r="AA589" s="2" t="s">
        <v>23</v>
      </c>
      <c r="AB589" s="2" t="s">
        <v>16</v>
      </c>
      <c r="AC589" s="2" t="s">
        <v>16</v>
      </c>
      <c r="AD589" s="2" t="s">
        <v>16</v>
      </c>
      <c r="AE589" s="2" t="s">
        <v>16</v>
      </c>
      <c r="AF589" s="2" t="s">
        <v>17</v>
      </c>
      <c r="AG589" s="2" t="s">
        <v>19</v>
      </c>
      <c r="AH589" s="2" t="s">
        <v>17</v>
      </c>
      <c r="AI589" s="2" t="s">
        <v>21</v>
      </c>
      <c r="AJ589" s="2" t="s">
        <v>17</v>
      </c>
      <c r="AK589" s="2" t="s">
        <v>25</v>
      </c>
      <c r="AL589" s="2" t="s">
        <v>24</v>
      </c>
    </row>
    <row r="590" ht="14.25" customHeight="1">
      <c r="A590" s="17">
        <v>46090.0</v>
      </c>
      <c r="B590" s="2" t="s">
        <v>31</v>
      </c>
      <c r="C590" s="2" t="s">
        <v>31</v>
      </c>
      <c r="D590" s="2" t="s">
        <v>31</v>
      </c>
      <c r="E590" s="2" t="s">
        <v>31</v>
      </c>
      <c r="F590" s="2" t="s">
        <v>31</v>
      </c>
      <c r="G590" s="2" t="s">
        <v>31</v>
      </c>
      <c r="H590" s="2" t="s">
        <v>31</v>
      </c>
      <c r="I590" s="2" t="s">
        <v>31</v>
      </c>
      <c r="J590" s="2" t="s">
        <v>31</v>
      </c>
      <c r="K590" s="2" t="s">
        <v>31</v>
      </c>
      <c r="L590" s="2" t="s">
        <v>31</v>
      </c>
      <c r="M590" s="2" t="s">
        <v>31</v>
      </c>
      <c r="N590" s="2" t="s">
        <v>31</v>
      </c>
      <c r="O590" s="2" t="s">
        <v>31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2" t="s">
        <v>26</v>
      </c>
      <c r="V590" s="2" t="s">
        <v>16</v>
      </c>
      <c r="W590" s="2" t="s">
        <v>22</v>
      </c>
      <c r="X590" s="2" t="s">
        <v>19</v>
      </c>
      <c r="Y590" s="2" t="s">
        <v>25</v>
      </c>
      <c r="Z590" s="2" t="s">
        <v>22</v>
      </c>
      <c r="AA590" s="2" t="s">
        <v>16</v>
      </c>
      <c r="AB590" s="2" t="s">
        <v>25</v>
      </c>
      <c r="AC590" s="2" t="s">
        <v>24</v>
      </c>
      <c r="AD590" s="2" t="s">
        <v>28</v>
      </c>
      <c r="AE590" s="2" t="s">
        <v>20</v>
      </c>
      <c r="AF590" s="2" t="s">
        <v>24</v>
      </c>
      <c r="AG590" s="2" t="s">
        <v>16</v>
      </c>
      <c r="AH590" s="2" t="s">
        <v>19</v>
      </c>
      <c r="AI590" s="2" t="s">
        <v>16</v>
      </c>
      <c r="AJ590" s="2" t="s">
        <v>22</v>
      </c>
      <c r="AK590" s="2" t="s">
        <v>16</v>
      </c>
      <c r="AL590" s="2" t="s">
        <v>16</v>
      </c>
    </row>
    <row r="591" ht="14.25" customHeight="1">
      <c r="A591" s="17">
        <v>46091.0</v>
      </c>
      <c r="B591" s="2" t="s">
        <v>31</v>
      </c>
      <c r="C591" s="2" t="s">
        <v>31</v>
      </c>
      <c r="D591" s="2" t="s">
        <v>31</v>
      </c>
      <c r="E591" s="2" t="s">
        <v>31</v>
      </c>
      <c r="F591" s="2" t="s">
        <v>31</v>
      </c>
      <c r="G591" s="2" t="s">
        <v>31</v>
      </c>
      <c r="H591" s="2" t="s">
        <v>31</v>
      </c>
      <c r="I591" s="2" t="s">
        <v>31</v>
      </c>
      <c r="J591" s="2" t="s">
        <v>31</v>
      </c>
      <c r="K591" s="2" t="s">
        <v>31</v>
      </c>
      <c r="L591" s="2" t="s">
        <v>31</v>
      </c>
      <c r="M591" s="2" t="s">
        <v>31</v>
      </c>
      <c r="N591" s="2" t="s">
        <v>31</v>
      </c>
      <c r="O591" s="2" t="s">
        <v>31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2" t="s">
        <v>28</v>
      </c>
      <c r="V591" s="2" t="s">
        <v>22</v>
      </c>
      <c r="W591" s="2" t="s">
        <v>22</v>
      </c>
      <c r="X591" s="2" t="s">
        <v>16</v>
      </c>
      <c r="Y591" s="2" t="s">
        <v>26</v>
      </c>
      <c r="Z591" s="2" t="s">
        <v>22</v>
      </c>
      <c r="AA591" s="2" t="s">
        <v>27</v>
      </c>
      <c r="AB591" s="2" t="s">
        <v>19</v>
      </c>
      <c r="AC591" s="2" t="s">
        <v>18</v>
      </c>
      <c r="AD591" s="2" t="s">
        <v>17</v>
      </c>
      <c r="AE591" s="2" t="s">
        <v>16</v>
      </c>
      <c r="AF591" s="2" t="s">
        <v>20</v>
      </c>
      <c r="AG591" s="2" t="s">
        <v>27</v>
      </c>
      <c r="AH591" s="2" t="s">
        <v>24</v>
      </c>
      <c r="AI591" s="2" t="s">
        <v>16</v>
      </c>
      <c r="AJ591" s="2" t="s">
        <v>24</v>
      </c>
      <c r="AK591" s="2" t="s">
        <v>26</v>
      </c>
      <c r="AL591" s="2" t="s">
        <v>19</v>
      </c>
    </row>
    <row r="592" ht="14.25" customHeight="1">
      <c r="A592" s="17">
        <v>46092.0</v>
      </c>
      <c r="B592" s="2" t="s">
        <v>31</v>
      </c>
      <c r="C592" s="2" t="s">
        <v>31</v>
      </c>
      <c r="D592" s="2" t="s">
        <v>31</v>
      </c>
      <c r="E592" s="2" t="s">
        <v>31</v>
      </c>
      <c r="F592" s="2" t="s">
        <v>31</v>
      </c>
      <c r="G592" s="2" t="s">
        <v>31</v>
      </c>
      <c r="H592" s="2" t="s">
        <v>31</v>
      </c>
      <c r="I592" s="2" t="s">
        <v>31</v>
      </c>
      <c r="J592" s="2" t="s">
        <v>31</v>
      </c>
      <c r="K592" s="2" t="s">
        <v>31</v>
      </c>
      <c r="L592" s="2" t="s">
        <v>31</v>
      </c>
      <c r="M592" s="2" t="s">
        <v>31</v>
      </c>
      <c r="N592" s="2" t="s">
        <v>31</v>
      </c>
      <c r="O592" s="2" t="s">
        <v>31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2" t="s">
        <v>16</v>
      </c>
      <c r="V592" s="2" t="s">
        <v>18</v>
      </c>
      <c r="W592" s="2" t="s">
        <v>16</v>
      </c>
      <c r="X592" s="2" t="s">
        <v>25</v>
      </c>
      <c r="Y592" s="2" t="s">
        <v>16</v>
      </c>
      <c r="Z592" s="2" t="s">
        <v>25</v>
      </c>
      <c r="AA592" s="2" t="s">
        <v>25</v>
      </c>
      <c r="AB592" s="2" t="s">
        <v>27</v>
      </c>
      <c r="AC592" s="2" t="s">
        <v>26</v>
      </c>
      <c r="AD592" s="2" t="s">
        <v>23</v>
      </c>
      <c r="AE592" s="2" t="s">
        <v>16</v>
      </c>
      <c r="AF592" s="2" t="s">
        <v>16</v>
      </c>
      <c r="AG592" s="2" t="s">
        <v>21</v>
      </c>
      <c r="AH592" s="2" t="s">
        <v>22</v>
      </c>
      <c r="AI592" s="2" t="s">
        <v>17</v>
      </c>
      <c r="AJ592" s="2" t="s">
        <v>16</v>
      </c>
      <c r="AK592" s="2" t="s">
        <v>27</v>
      </c>
      <c r="AL592" s="2" t="s">
        <v>23</v>
      </c>
    </row>
    <row r="593" ht="14.25" customHeight="1">
      <c r="A593" s="17">
        <v>46093.0</v>
      </c>
      <c r="B593" s="2" t="s">
        <v>31</v>
      </c>
      <c r="C593" s="2" t="s">
        <v>31</v>
      </c>
      <c r="D593" s="2" t="s">
        <v>31</v>
      </c>
      <c r="E593" s="2" t="s">
        <v>31</v>
      </c>
      <c r="F593" s="2" t="s">
        <v>31</v>
      </c>
      <c r="G593" s="2" t="s">
        <v>31</v>
      </c>
      <c r="H593" s="2" t="s">
        <v>31</v>
      </c>
      <c r="I593" s="2" t="s">
        <v>31</v>
      </c>
      <c r="J593" s="2" t="s">
        <v>31</v>
      </c>
      <c r="K593" s="2" t="s">
        <v>31</v>
      </c>
      <c r="L593" s="2" t="s">
        <v>31</v>
      </c>
      <c r="M593" s="2" t="s">
        <v>31</v>
      </c>
      <c r="N593" s="2" t="s">
        <v>31</v>
      </c>
      <c r="O593" s="2" t="s">
        <v>31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2" t="s">
        <v>23</v>
      </c>
      <c r="V593" s="2" t="s">
        <v>24</v>
      </c>
      <c r="W593" s="2" t="s">
        <v>16</v>
      </c>
      <c r="X593" s="2" t="s">
        <v>17</v>
      </c>
      <c r="Y593" s="2" t="s">
        <v>16</v>
      </c>
      <c r="Z593" s="2" t="s">
        <v>21</v>
      </c>
      <c r="AA593" s="2" t="s">
        <v>27</v>
      </c>
      <c r="AB593" s="2" t="s">
        <v>16</v>
      </c>
      <c r="AC593" s="2" t="s">
        <v>21</v>
      </c>
      <c r="AD593" s="2" t="s">
        <v>28</v>
      </c>
      <c r="AE593" s="2" t="s">
        <v>27</v>
      </c>
      <c r="AF593" s="2" t="s">
        <v>16</v>
      </c>
      <c r="AG593" s="2" t="s">
        <v>16</v>
      </c>
      <c r="AH593" s="2" t="s">
        <v>26</v>
      </c>
      <c r="AI593" s="2" t="s">
        <v>25</v>
      </c>
      <c r="AJ593" s="2" t="s">
        <v>25</v>
      </c>
      <c r="AK593" s="2" t="s">
        <v>19</v>
      </c>
      <c r="AL593" s="2" t="s">
        <v>28</v>
      </c>
    </row>
    <row r="594" ht="14.25" customHeight="1">
      <c r="A594" s="17">
        <v>46094.0</v>
      </c>
      <c r="B594" s="2" t="s">
        <v>31</v>
      </c>
      <c r="C594" s="2" t="s">
        <v>31</v>
      </c>
      <c r="D594" s="2" t="s">
        <v>31</v>
      </c>
      <c r="E594" s="2" t="s">
        <v>31</v>
      </c>
      <c r="F594" s="2" t="s">
        <v>31</v>
      </c>
      <c r="G594" s="2" t="s">
        <v>31</v>
      </c>
      <c r="H594" s="2" t="s">
        <v>31</v>
      </c>
      <c r="I594" s="2" t="s">
        <v>31</v>
      </c>
      <c r="J594" s="2" t="s">
        <v>31</v>
      </c>
      <c r="K594" s="2" t="s">
        <v>31</v>
      </c>
      <c r="L594" s="2" t="s">
        <v>31</v>
      </c>
      <c r="M594" s="2" t="s">
        <v>31</v>
      </c>
      <c r="N594" s="2" t="s">
        <v>31</v>
      </c>
      <c r="O594" s="2" t="s">
        <v>31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31</v>
      </c>
      <c r="U594" s="2" t="s">
        <v>19</v>
      </c>
      <c r="V594" s="2" t="s">
        <v>17</v>
      </c>
      <c r="W594" s="2" t="s">
        <v>28</v>
      </c>
      <c r="X594" s="2" t="s">
        <v>16</v>
      </c>
      <c r="Y594" s="2" t="s">
        <v>26</v>
      </c>
      <c r="Z594" s="2" t="s">
        <v>19</v>
      </c>
      <c r="AA594" s="2" t="s">
        <v>27</v>
      </c>
      <c r="AB594" s="2" t="s">
        <v>20</v>
      </c>
      <c r="AC594" s="2" t="s">
        <v>17</v>
      </c>
      <c r="AD594" s="2" t="s">
        <v>25</v>
      </c>
      <c r="AE594" s="2" t="s">
        <v>16</v>
      </c>
      <c r="AF594" s="2" t="s">
        <v>21</v>
      </c>
      <c r="AG594" s="2" t="s">
        <v>16</v>
      </c>
      <c r="AH594" s="2" t="s">
        <v>28</v>
      </c>
      <c r="AI594" s="2" t="s">
        <v>27</v>
      </c>
      <c r="AJ594" s="2" t="s">
        <v>21</v>
      </c>
      <c r="AK594" s="2" t="s">
        <v>27</v>
      </c>
      <c r="AL594" s="2" t="s">
        <v>27</v>
      </c>
    </row>
    <row r="595" ht="14.25" customHeight="1">
      <c r="A595" s="17">
        <v>46095.0</v>
      </c>
      <c r="B595" s="2" t="s">
        <v>38</v>
      </c>
      <c r="C595" s="2" t="s">
        <v>29</v>
      </c>
      <c r="D595" s="2" t="s">
        <v>39</v>
      </c>
      <c r="E595" s="2" t="s">
        <v>27</v>
      </c>
      <c r="F595" s="2" t="s">
        <v>33</v>
      </c>
      <c r="G595" s="2" t="s">
        <v>33</v>
      </c>
      <c r="H595" s="2" t="s">
        <v>21</v>
      </c>
      <c r="I595" s="2" t="s">
        <v>16</v>
      </c>
      <c r="J595" s="2" t="s">
        <v>39</v>
      </c>
      <c r="K595" s="2" t="s">
        <v>32</v>
      </c>
      <c r="L595" s="2" t="s">
        <v>16</v>
      </c>
      <c r="M595" s="2" t="s">
        <v>16</v>
      </c>
      <c r="N595" s="2" t="s">
        <v>35</v>
      </c>
      <c r="O595" s="2" t="s">
        <v>18</v>
      </c>
      <c r="P595" s="2" t="s">
        <v>28</v>
      </c>
      <c r="Q595" s="2" t="s">
        <v>39</v>
      </c>
      <c r="R595" s="2" t="s">
        <v>23</v>
      </c>
      <c r="S595" s="2" t="s">
        <v>29</v>
      </c>
      <c r="T595" s="2" t="s">
        <v>19</v>
      </c>
      <c r="U595" s="2" t="s">
        <v>21</v>
      </c>
      <c r="V595" s="2" t="s">
        <v>18</v>
      </c>
      <c r="W595" s="2" t="s">
        <v>27</v>
      </c>
      <c r="X595" s="2" t="s">
        <v>16</v>
      </c>
      <c r="Y595" s="2" t="s">
        <v>17</v>
      </c>
      <c r="Z595" s="2" t="s">
        <v>16</v>
      </c>
      <c r="AA595" s="2" t="s">
        <v>22</v>
      </c>
      <c r="AB595" s="2" t="s">
        <v>16</v>
      </c>
      <c r="AC595" s="2" t="s">
        <v>27</v>
      </c>
      <c r="AD595" s="2" t="s">
        <v>16</v>
      </c>
      <c r="AE595" s="2" t="s">
        <v>25</v>
      </c>
      <c r="AF595" s="2" t="s">
        <v>16</v>
      </c>
      <c r="AG595" s="2" t="s">
        <v>26</v>
      </c>
      <c r="AH595" s="2" t="s">
        <v>28</v>
      </c>
      <c r="AI595" s="2" t="s">
        <v>28</v>
      </c>
      <c r="AJ595" s="2" t="s">
        <v>23</v>
      </c>
      <c r="AK595" s="2" t="s">
        <v>24</v>
      </c>
      <c r="AL595" s="2" t="s">
        <v>16</v>
      </c>
    </row>
    <row r="596" ht="14.25" customHeight="1">
      <c r="A596" s="17">
        <v>46096.0</v>
      </c>
      <c r="B596" s="2" t="s">
        <v>31</v>
      </c>
      <c r="C596" s="2" t="s">
        <v>31</v>
      </c>
      <c r="D596" s="2" t="s">
        <v>31</v>
      </c>
      <c r="E596" s="2" t="s">
        <v>31</v>
      </c>
      <c r="F596" s="2" t="s">
        <v>31</v>
      </c>
      <c r="G596" s="2" t="s">
        <v>31</v>
      </c>
      <c r="H596" s="2" t="s">
        <v>31</v>
      </c>
      <c r="I596" s="2" t="s">
        <v>31</v>
      </c>
      <c r="J596" s="2" t="s">
        <v>31</v>
      </c>
      <c r="K596" s="2" t="s">
        <v>31</v>
      </c>
      <c r="L596" s="2" t="s">
        <v>31</v>
      </c>
      <c r="M596" s="2" t="s">
        <v>31</v>
      </c>
      <c r="N596" s="2" t="s">
        <v>31</v>
      </c>
      <c r="O596" s="2" t="s">
        <v>31</v>
      </c>
      <c r="P596" s="2" t="s">
        <v>31</v>
      </c>
      <c r="Q596" s="2" t="s">
        <v>31</v>
      </c>
      <c r="R596" s="2" t="s">
        <v>31</v>
      </c>
      <c r="S596" s="2" t="s">
        <v>31</v>
      </c>
      <c r="T596" s="2" t="s">
        <v>31</v>
      </c>
      <c r="U596" s="2" t="s">
        <v>16</v>
      </c>
      <c r="V596" s="2" t="s">
        <v>16</v>
      </c>
      <c r="W596" s="2" t="s">
        <v>16</v>
      </c>
      <c r="X596" s="2" t="s">
        <v>16</v>
      </c>
      <c r="Y596" s="2" t="s">
        <v>20</v>
      </c>
      <c r="Z596" s="2" t="s">
        <v>16</v>
      </c>
      <c r="AA596" s="2" t="s">
        <v>21</v>
      </c>
      <c r="AB596" s="2" t="s">
        <v>16</v>
      </c>
      <c r="AC596" s="2" t="s">
        <v>16</v>
      </c>
      <c r="AD596" s="2" t="s">
        <v>24</v>
      </c>
      <c r="AE596" s="2" t="s">
        <v>22</v>
      </c>
      <c r="AF596" s="2" t="s">
        <v>26</v>
      </c>
      <c r="AG596" s="2" t="s">
        <v>21</v>
      </c>
      <c r="AH596" s="2" t="s">
        <v>24</v>
      </c>
      <c r="AI596" s="2" t="s">
        <v>26</v>
      </c>
      <c r="AJ596" s="2" t="s">
        <v>16</v>
      </c>
      <c r="AK596" s="2" t="s">
        <v>25</v>
      </c>
      <c r="AL596" s="2" t="s">
        <v>18</v>
      </c>
    </row>
    <row r="597" ht="14.25" customHeight="1">
      <c r="A597" s="17">
        <v>46097.0</v>
      </c>
      <c r="B597" s="2" t="s">
        <v>31</v>
      </c>
      <c r="C597" s="2" t="s">
        <v>31</v>
      </c>
      <c r="D597" s="2" t="s">
        <v>31</v>
      </c>
      <c r="E597" s="2" t="s">
        <v>31</v>
      </c>
      <c r="F597" s="2" t="s">
        <v>31</v>
      </c>
      <c r="G597" s="2" t="s">
        <v>31</v>
      </c>
      <c r="H597" s="2" t="s">
        <v>31</v>
      </c>
      <c r="I597" s="2" t="s">
        <v>31</v>
      </c>
      <c r="J597" s="2" t="s">
        <v>31</v>
      </c>
      <c r="K597" s="2" t="s">
        <v>31</v>
      </c>
      <c r="L597" s="2" t="s">
        <v>31</v>
      </c>
      <c r="M597" s="2" t="s">
        <v>31</v>
      </c>
      <c r="N597" s="2" t="s">
        <v>31</v>
      </c>
      <c r="O597" s="2" t="s">
        <v>31</v>
      </c>
      <c r="P597" s="2" t="s">
        <v>31</v>
      </c>
      <c r="Q597" s="2" t="s">
        <v>31</v>
      </c>
      <c r="R597" s="2" t="s">
        <v>31</v>
      </c>
      <c r="S597" s="2" t="s">
        <v>31</v>
      </c>
      <c r="T597" s="2" t="s">
        <v>31</v>
      </c>
      <c r="U597" s="2" t="s">
        <v>24</v>
      </c>
      <c r="V597" s="2" t="s">
        <v>19</v>
      </c>
      <c r="W597" s="2" t="s">
        <v>16</v>
      </c>
      <c r="X597" s="2" t="s">
        <v>18</v>
      </c>
      <c r="Y597" s="2" t="s">
        <v>21</v>
      </c>
      <c r="Z597" s="2" t="s">
        <v>17</v>
      </c>
      <c r="AA597" s="2" t="s">
        <v>28</v>
      </c>
      <c r="AB597" s="2" t="s">
        <v>25</v>
      </c>
      <c r="AC597" s="2" t="s">
        <v>17</v>
      </c>
      <c r="AD597" s="2" t="s">
        <v>16</v>
      </c>
      <c r="AE597" s="2" t="s">
        <v>16</v>
      </c>
      <c r="AF597" s="2" t="s">
        <v>16</v>
      </c>
      <c r="AG597" s="2" t="s">
        <v>17</v>
      </c>
      <c r="AH597" s="2" t="s">
        <v>24</v>
      </c>
      <c r="AI597" s="2" t="s">
        <v>26</v>
      </c>
      <c r="AJ597" s="2" t="s">
        <v>20</v>
      </c>
      <c r="AK597" s="2" t="s">
        <v>17</v>
      </c>
      <c r="AL597" s="2" t="s">
        <v>20</v>
      </c>
    </row>
    <row r="598" ht="14.25" customHeight="1">
      <c r="A598" s="17">
        <v>46098.0</v>
      </c>
      <c r="B598" s="2" t="s">
        <v>31</v>
      </c>
      <c r="C598" s="2" t="s">
        <v>31</v>
      </c>
      <c r="D598" s="2" t="s">
        <v>31</v>
      </c>
      <c r="E598" s="2" t="s">
        <v>31</v>
      </c>
      <c r="F598" s="2" t="s">
        <v>31</v>
      </c>
      <c r="G598" s="2" t="s">
        <v>31</v>
      </c>
      <c r="H598" s="2" t="s">
        <v>31</v>
      </c>
      <c r="I598" s="2" t="s">
        <v>31</v>
      </c>
      <c r="J598" s="2" t="s">
        <v>31</v>
      </c>
      <c r="K598" s="2" t="s">
        <v>31</v>
      </c>
      <c r="L598" s="2" t="s">
        <v>31</v>
      </c>
      <c r="M598" s="2" t="s">
        <v>31</v>
      </c>
      <c r="N598" s="2" t="s">
        <v>31</v>
      </c>
      <c r="O598" s="2" t="s">
        <v>31</v>
      </c>
      <c r="P598" s="2" t="s">
        <v>31</v>
      </c>
      <c r="Q598" s="2" t="s">
        <v>31</v>
      </c>
      <c r="R598" s="2" t="s">
        <v>31</v>
      </c>
      <c r="S598" s="2" t="s">
        <v>31</v>
      </c>
      <c r="T598" s="2" t="s">
        <v>31</v>
      </c>
      <c r="U598" s="2" t="s">
        <v>19</v>
      </c>
      <c r="V598" s="2" t="s">
        <v>26</v>
      </c>
      <c r="W598" s="2" t="s">
        <v>21</v>
      </c>
      <c r="X598" s="2" t="s">
        <v>23</v>
      </c>
      <c r="Y598" s="2" t="s">
        <v>27</v>
      </c>
      <c r="Z598" s="2" t="s">
        <v>16</v>
      </c>
      <c r="AA598" s="2" t="s">
        <v>20</v>
      </c>
      <c r="AB598" s="2" t="s">
        <v>16</v>
      </c>
      <c r="AC598" s="2" t="s">
        <v>23</v>
      </c>
      <c r="AD598" s="2" t="s">
        <v>22</v>
      </c>
      <c r="AE598" s="2" t="s">
        <v>27</v>
      </c>
      <c r="AF598" s="2" t="s">
        <v>26</v>
      </c>
      <c r="AG598" s="2" t="s">
        <v>26</v>
      </c>
      <c r="AH598" s="2" t="s">
        <v>26</v>
      </c>
      <c r="AI598" s="2" t="s">
        <v>28</v>
      </c>
      <c r="AJ598" s="2" t="s">
        <v>16</v>
      </c>
      <c r="AK598" s="2" t="s">
        <v>16</v>
      </c>
      <c r="AL598" s="2" t="s">
        <v>27</v>
      </c>
    </row>
    <row r="599" ht="14.25" customHeight="1">
      <c r="A599" s="17">
        <v>46099.0</v>
      </c>
      <c r="B599" s="2" t="s">
        <v>31</v>
      </c>
      <c r="C599" s="2" t="s">
        <v>31</v>
      </c>
      <c r="D599" s="2" t="s">
        <v>31</v>
      </c>
      <c r="E599" s="2" t="s">
        <v>31</v>
      </c>
      <c r="F599" s="2" t="s">
        <v>31</v>
      </c>
      <c r="G599" s="2" t="s">
        <v>31</v>
      </c>
      <c r="H599" s="2" t="s">
        <v>31</v>
      </c>
      <c r="I599" s="2" t="s">
        <v>31</v>
      </c>
      <c r="J599" s="2" t="s">
        <v>31</v>
      </c>
      <c r="K599" s="2" t="s">
        <v>31</v>
      </c>
      <c r="L599" s="2" t="s">
        <v>31</v>
      </c>
      <c r="M599" s="2" t="s">
        <v>31</v>
      </c>
      <c r="N599" s="2" t="s">
        <v>31</v>
      </c>
      <c r="O599" s="2" t="s">
        <v>31</v>
      </c>
      <c r="P599" s="2" t="s">
        <v>31</v>
      </c>
      <c r="Q599" s="2" t="s">
        <v>31</v>
      </c>
      <c r="R599" s="2" t="s">
        <v>31</v>
      </c>
      <c r="S599" s="2" t="s">
        <v>31</v>
      </c>
      <c r="T599" s="2" t="s">
        <v>31</v>
      </c>
      <c r="U599" s="2" t="s">
        <v>27</v>
      </c>
      <c r="V599" s="2" t="s">
        <v>25</v>
      </c>
      <c r="W599" s="2" t="s">
        <v>22</v>
      </c>
      <c r="X599" s="2" t="s">
        <v>26</v>
      </c>
      <c r="Y599" s="2" t="s">
        <v>19</v>
      </c>
      <c r="Z599" s="2" t="s">
        <v>27</v>
      </c>
      <c r="AA599" s="2" t="s">
        <v>28</v>
      </c>
      <c r="AB599" s="2" t="s">
        <v>27</v>
      </c>
      <c r="AC599" s="2" t="s">
        <v>16</v>
      </c>
      <c r="AD599" s="2" t="s">
        <v>20</v>
      </c>
      <c r="AE599" s="2" t="s">
        <v>26</v>
      </c>
      <c r="AF599" s="2" t="s">
        <v>20</v>
      </c>
      <c r="AG599" s="2" t="s">
        <v>16</v>
      </c>
      <c r="AH599" s="2" t="s">
        <v>19</v>
      </c>
      <c r="AI599" s="2" t="s">
        <v>16</v>
      </c>
      <c r="AJ599" s="2" t="s">
        <v>24</v>
      </c>
      <c r="AK599" s="2" t="s">
        <v>19</v>
      </c>
      <c r="AL599" s="2" t="s">
        <v>22</v>
      </c>
    </row>
    <row r="600" ht="14.25" customHeight="1">
      <c r="A600" s="17">
        <v>46100.0</v>
      </c>
      <c r="B600" s="2" t="s">
        <v>31</v>
      </c>
      <c r="C600" s="2" t="s">
        <v>31</v>
      </c>
      <c r="D600" s="2" t="s">
        <v>31</v>
      </c>
      <c r="E600" s="2" t="s">
        <v>31</v>
      </c>
      <c r="F600" s="2" t="s">
        <v>31</v>
      </c>
      <c r="G600" s="2" t="s">
        <v>31</v>
      </c>
      <c r="H600" s="2" t="s">
        <v>31</v>
      </c>
      <c r="I600" s="2" t="s">
        <v>31</v>
      </c>
      <c r="J600" s="2" t="s">
        <v>31</v>
      </c>
      <c r="K600" s="2" t="s">
        <v>31</v>
      </c>
      <c r="L600" s="2" t="s">
        <v>31</v>
      </c>
      <c r="M600" s="2" t="s">
        <v>31</v>
      </c>
      <c r="N600" s="2" t="s">
        <v>31</v>
      </c>
      <c r="O600" s="2" t="s">
        <v>31</v>
      </c>
      <c r="P600" s="2" t="s">
        <v>31</v>
      </c>
      <c r="Q600" s="2" t="s">
        <v>31</v>
      </c>
      <c r="R600" s="2" t="s">
        <v>31</v>
      </c>
      <c r="S600" s="2" t="s">
        <v>31</v>
      </c>
      <c r="T600" s="2" t="s">
        <v>31</v>
      </c>
      <c r="U600" s="2" t="s">
        <v>16</v>
      </c>
      <c r="V600" s="2" t="s">
        <v>24</v>
      </c>
      <c r="W600" s="2" t="s">
        <v>24</v>
      </c>
      <c r="X600" s="2" t="s">
        <v>16</v>
      </c>
      <c r="Y600" s="2" t="s">
        <v>19</v>
      </c>
      <c r="Z600" s="2" t="s">
        <v>20</v>
      </c>
      <c r="AA600" s="2" t="s">
        <v>21</v>
      </c>
      <c r="AB600" s="2" t="s">
        <v>16</v>
      </c>
      <c r="AC600" s="2" t="s">
        <v>22</v>
      </c>
      <c r="AD600" s="2" t="s">
        <v>17</v>
      </c>
      <c r="AE600" s="2" t="s">
        <v>16</v>
      </c>
      <c r="AF600" s="2" t="s">
        <v>16</v>
      </c>
      <c r="AG600" s="2" t="s">
        <v>16</v>
      </c>
      <c r="AH600" s="2" t="s">
        <v>28</v>
      </c>
      <c r="AI600" s="2" t="s">
        <v>25</v>
      </c>
      <c r="AJ600" s="2" t="s">
        <v>24</v>
      </c>
      <c r="AK600" s="2" t="s">
        <v>27</v>
      </c>
      <c r="AL600" s="2" t="s">
        <v>16</v>
      </c>
    </row>
    <row r="601" ht="14.25" customHeight="1">
      <c r="A601" s="17">
        <v>46101.0</v>
      </c>
      <c r="B601" s="2" t="s">
        <v>31</v>
      </c>
      <c r="C601" s="2" t="s">
        <v>31</v>
      </c>
      <c r="D601" s="2" t="s">
        <v>31</v>
      </c>
      <c r="E601" s="2" t="s">
        <v>31</v>
      </c>
      <c r="F601" s="2" t="s">
        <v>31</v>
      </c>
      <c r="G601" s="2" t="s">
        <v>31</v>
      </c>
      <c r="H601" s="2" t="s">
        <v>31</v>
      </c>
      <c r="I601" s="2" t="s">
        <v>31</v>
      </c>
      <c r="J601" s="2" t="s">
        <v>31</v>
      </c>
      <c r="K601" s="2" t="s">
        <v>31</v>
      </c>
      <c r="L601" s="2" t="s">
        <v>31</v>
      </c>
      <c r="M601" s="2" t="s">
        <v>31</v>
      </c>
      <c r="N601" s="2" t="s">
        <v>31</v>
      </c>
      <c r="O601" s="2" t="s">
        <v>31</v>
      </c>
      <c r="P601" s="2" t="s">
        <v>31</v>
      </c>
      <c r="Q601" s="2" t="s">
        <v>31</v>
      </c>
      <c r="R601" s="2" t="s">
        <v>31</v>
      </c>
      <c r="S601" s="2" t="s">
        <v>31</v>
      </c>
      <c r="T601" s="2" t="s">
        <v>31</v>
      </c>
      <c r="U601" s="2" t="s">
        <v>26</v>
      </c>
      <c r="V601" s="2" t="s">
        <v>19</v>
      </c>
      <c r="W601" s="2" t="s">
        <v>26</v>
      </c>
      <c r="X601" s="2" t="s">
        <v>18</v>
      </c>
      <c r="Y601" s="2" t="s">
        <v>16</v>
      </c>
      <c r="Z601" s="2" t="s">
        <v>16</v>
      </c>
      <c r="AA601" s="2" t="s">
        <v>18</v>
      </c>
      <c r="AB601" s="2" t="s">
        <v>28</v>
      </c>
      <c r="AC601" s="2" t="s">
        <v>27</v>
      </c>
      <c r="AD601" s="2" t="s">
        <v>27</v>
      </c>
      <c r="AE601" s="2" t="s">
        <v>27</v>
      </c>
      <c r="AF601" s="2" t="s">
        <v>28</v>
      </c>
      <c r="AG601" s="2" t="s">
        <v>28</v>
      </c>
      <c r="AH601" s="2" t="s">
        <v>19</v>
      </c>
      <c r="AI601" s="2" t="s">
        <v>16</v>
      </c>
      <c r="AJ601" s="2" t="s">
        <v>19</v>
      </c>
      <c r="AK601" s="2" t="s">
        <v>16</v>
      </c>
      <c r="AL601" s="2" t="s">
        <v>22</v>
      </c>
    </row>
    <row r="602" ht="14.25" customHeight="1">
      <c r="A602" s="17">
        <v>46102.0</v>
      </c>
      <c r="B602" s="2" t="s">
        <v>33</v>
      </c>
      <c r="C602" s="2" t="s">
        <v>25</v>
      </c>
      <c r="D602" s="2" t="s">
        <v>41</v>
      </c>
      <c r="E602" s="2" t="s">
        <v>35</v>
      </c>
      <c r="F602" s="2" t="s">
        <v>32</v>
      </c>
      <c r="G602" s="2" t="s">
        <v>39</v>
      </c>
      <c r="H602" s="2" t="s">
        <v>16</v>
      </c>
      <c r="I602" s="2" t="s">
        <v>17</v>
      </c>
      <c r="J602" s="2" t="s">
        <v>28</v>
      </c>
      <c r="K602" s="2" t="s">
        <v>20</v>
      </c>
      <c r="L602" s="2" t="s">
        <v>23</v>
      </c>
      <c r="M602" s="2" t="s">
        <v>20</v>
      </c>
      <c r="N602" s="2" t="s">
        <v>30</v>
      </c>
      <c r="O602" s="2" t="s">
        <v>19</v>
      </c>
      <c r="P602" s="2" t="s">
        <v>25</v>
      </c>
      <c r="Q602" s="2" t="s">
        <v>33</v>
      </c>
      <c r="R602" s="2" t="s">
        <v>35</v>
      </c>
      <c r="S602" s="2" t="s">
        <v>16</v>
      </c>
      <c r="T602" s="2" t="s">
        <v>33</v>
      </c>
      <c r="U602" s="2" t="s">
        <v>25</v>
      </c>
      <c r="V602" s="2" t="s">
        <v>25</v>
      </c>
      <c r="W602" s="2" t="s">
        <v>27</v>
      </c>
      <c r="X602" s="2" t="s">
        <v>18</v>
      </c>
      <c r="Y602" s="2" t="s">
        <v>25</v>
      </c>
      <c r="Z602" s="2" t="s">
        <v>20</v>
      </c>
      <c r="AA602" s="2" t="s">
        <v>16</v>
      </c>
      <c r="AB602" s="2" t="s">
        <v>16</v>
      </c>
      <c r="AC602" s="2" t="s">
        <v>26</v>
      </c>
      <c r="AD602" s="2" t="s">
        <v>21</v>
      </c>
      <c r="AE602" s="2" t="s">
        <v>28</v>
      </c>
      <c r="AF602" s="2" t="s">
        <v>25</v>
      </c>
      <c r="AG602" s="2" t="s">
        <v>24</v>
      </c>
      <c r="AH602" s="2" t="s">
        <v>27</v>
      </c>
      <c r="AI602" s="2" t="s">
        <v>19</v>
      </c>
      <c r="AJ602" s="2" t="s">
        <v>27</v>
      </c>
      <c r="AK602" s="2" t="s">
        <v>16</v>
      </c>
      <c r="AL602" s="2" t="s">
        <v>28</v>
      </c>
    </row>
    <row r="603" ht="14.25" customHeight="1">
      <c r="A603" s="17">
        <v>46103.0</v>
      </c>
      <c r="B603" s="2" t="s">
        <v>31</v>
      </c>
      <c r="C603" s="2" t="s">
        <v>31</v>
      </c>
      <c r="D603" s="2" t="s">
        <v>31</v>
      </c>
      <c r="E603" s="2" t="s">
        <v>31</v>
      </c>
      <c r="F603" s="2" t="s">
        <v>31</v>
      </c>
      <c r="G603" s="2" t="s">
        <v>31</v>
      </c>
      <c r="H603" s="2" t="s">
        <v>31</v>
      </c>
      <c r="I603" s="2" t="s">
        <v>31</v>
      </c>
      <c r="J603" s="2" t="s">
        <v>31</v>
      </c>
      <c r="K603" s="2" t="s">
        <v>31</v>
      </c>
      <c r="L603" s="2" t="s">
        <v>31</v>
      </c>
      <c r="M603" s="2" t="s">
        <v>31</v>
      </c>
      <c r="N603" s="2" t="s">
        <v>31</v>
      </c>
      <c r="O603" s="2" t="s">
        <v>31</v>
      </c>
      <c r="P603" s="2" t="s">
        <v>31</v>
      </c>
      <c r="Q603" s="2" t="s">
        <v>31</v>
      </c>
      <c r="R603" s="2" t="s">
        <v>31</v>
      </c>
      <c r="S603" s="2" t="s">
        <v>31</v>
      </c>
      <c r="T603" s="2" t="s">
        <v>31</v>
      </c>
      <c r="U603" s="2" t="s">
        <v>24</v>
      </c>
      <c r="V603" s="2" t="s">
        <v>16</v>
      </c>
      <c r="W603" s="2" t="s">
        <v>16</v>
      </c>
      <c r="X603" s="2" t="s">
        <v>22</v>
      </c>
      <c r="Y603" s="2" t="s">
        <v>24</v>
      </c>
      <c r="Z603" s="2" t="s">
        <v>16</v>
      </c>
      <c r="AA603" s="2" t="s">
        <v>24</v>
      </c>
      <c r="AB603" s="2" t="s">
        <v>16</v>
      </c>
      <c r="AC603" s="2" t="s">
        <v>26</v>
      </c>
      <c r="AD603" s="2" t="s">
        <v>25</v>
      </c>
      <c r="AE603" s="2" t="s">
        <v>17</v>
      </c>
      <c r="AF603" s="2" t="s">
        <v>20</v>
      </c>
      <c r="AG603" s="2" t="s">
        <v>16</v>
      </c>
      <c r="AH603" s="2" t="s">
        <v>25</v>
      </c>
      <c r="AI603" s="2" t="s">
        <v>26</v>
      </c>
      <c r="AJ603" s="2" t="s">
        <v>20</v>
      </c>
      <c r="AK603" s="2" t="s">
        <v>21</v>
      </c>
      <c r="AL603" s="2" t="s">
        <v>22</v>
      </c>
    </row>
    <row r="604" ht="14.25" customHeight="1">
      <c r="A604" s="17">
        <v>46104.0</v>
      </c>
      <c r="B604" s="2" t="s">
        <v>31</v>
      </c>
      <c r="C604" s="2" t="s">
        <v>31</v>
      </c>
      <c r="D604" s="2" t="s">
        <v>31</v>
      </c>
      <c r="E604" s="2" t="s">
        <v>31</v>
      </c>
      <c r="F604" s="2" t="s">
        <v>31</v>
      </c>
      <c r="G604" s="2" t="s">
        <v>31</v>
      </c>
      <c r="H604" s="2" t="s">
        <v>31</v>
      </c>
      <c r="I604" s="2" t="s">
        <v>31</v>
      </c>
      <c r="J604" s="2" t="s">
        <v>31</v>
      </c>
      <c r="K604" s="2" t="s">
        <v>31</v>
      </c>
      <c r="L604" s="2" t="s">
        <v>31</v>
      </c>
      <c r="M604" s="2" t="s">
        <v>31</v>
      </c>
      <c r="N604" s="2" t="s">
        <v>31</v>
      </c>
      <c r="O604" s="2" t="s">
        <v>31</v>
      </c>
      <c r="P604" s="2" t="s">
        <v>31</v>
      </c>
      <c r="Q604" s="2" t="s">
        <v>31</v>
      </c>
      <c r="R604" s="2" t="s">
        <v>31</v>
      </c>
      <c r="S604" s="2" t="s">
        <v>31</v>
      </c>
      <c r="T604" s="2" t="s">
        <v>31</v>
      </c>
      <c r="U604" s="2" t="s">
        <v>23</v>
      </c>
      <c r="V604" s="2" t="s">
        <v>19</v>
      </c>
      <c r="W604" s="2" t="s">
        <v>23</v>
      </c>
      <c r="X604" s="2" t="s">
        <v>16</v>
      </c>
      <c r="Y604" s="2" t="s">
        <v>26</v>
      </c>
      <c r="Z604" s="2" t="s">
        <v>20</v>
      </c>
      <c r="AA604" s="2" t="s">
        <v>16</v>
      </c>
      <c r="AB604" s="2" t="s">
        <v>16</v>
      </c>
      <c r="AC604" s="2" t="s">
        <v>16</v>
      </c>
      <c r="AD604" s="2" t="s">
        <v>17</v>
      </c>
      <c r="AE604" s="2" t="s">
        <v>27</v>
      </c>
      <c r="AF604" s="2" t="s">
        <v>23</v>
      </c>
      <c r="AG604" s="2" t="s">
        <v>16</v>
      </c>
      <c r="AH604" s="2" t="s">
        <v>17</v>
      </c>
      <c r="AI604" s="2" t="s">
        <v>25</v>
      </c>
      <c r="AJ604" s="2" t="s">
        <v>28</v>
      </c>
      <c r="AK604" s="2" t="s">
        <v>21</v>
      </c>
      <c r="AL604" s="2" t="s">
        <v>16</v>
      </c>
    </row>
    <row r="605" ht="14.25" customHeight="1">
      <c r="A605" s="17">
        <v>46105.0</v>
      </c>
      <c r="B605" s="2" t="s">
        <v>31</v>
      </c>
      <c r="C605" s="2" t="s">
        <v>31</v>
      </c>
      <c r="D605" s="2" t="s">
        <v>31</v>
      </c>
      <c r="E605" s="2" t="s">
        <v>31</v>
      </c>
      <c r="F605" s="2" t="s">
        <v>31</v>
      </c>
      <c r="G605" s="2" t="s">
        <v>31</v>
      </c>
      <c r="H605" s="2" t="s">
        <v>31</v>
      </c>
      <c r="I605" s="2" t="s">
        <v>31</v>
      </c>
      <c r="J605" s="2" t="s">
        <v>31</v>
      </c>
      <c r="K605" s="2" t="s">
        <v>31</v>
      </c>
      <c r="L605" s="2" t="s">
        <v>31</v>
      </c>
      <c r="M605" s="2" t="s">
        <v>31</v>
      </c>
      <c r="N605" s="2" t="s">
        <v>31</v>
      </c>
      <c r="O605" s="2" t="s">
        <v>31</v>
      </c>
      <c r="P605" s="2" t="s">
        <v>31</v>
      </c>
      <c r="Q605" s="2" t="s">
        <v>31</v>
      </c>
      <c r="R605" s="2" t="s">
        <v>31</v>
      </c>
      <c r="S605" s="2" t="s">
        <v>31</v>
      </c>
      <c r="T605" s="2" t="s">
        <v>31</v>
      </c>
      <c r="U605" s="2" t="s">
        <v>21</v>
      </c>
      <c r="V605" s="2" t="s">
        <v>21</v>
      </c>
      <c r="W605" s="2" t="s">
        <v>24</v>
      </c>
      <c r="X605" s="2" t="s">
        <v>22</v>
      </c>
      <c r="Y605" s="2" t="s">
        <v>27</v>
      </c>
      <c r="Z605" s="2" t="s">
        <v>22</v>
      </c>
      <c r="AA605" s="2" t="s">
        <v>22</v>
      </c>
      <c r="AB605" s="2" t="s">
        <v>27</v>
      </c>
      <c r="AC605" s="2" t="s">
        <v>19</v>
      </c>
      <c r="AD605" s="2" t="s">
        <v>17</v>
      </c>
      <c r="AE605" s="2" t="s">
        <v>21</v>
      </c>
      <c r="AF605" s="2" t="s">
        <v>28</v>
      </c>
      <c r="AG605" s="2" t="s">
        <v>23</v>
      </c>
      <c r="AH605" s="2" t="s">
        <v>19</v>
      </c>
      <c r="AI605" s="2" t="s">
        <v>16</v>
      </c>
      <c r="AJ605" s="2" t="s">
        <v>25</v>
      </c>
      <c r="AK605" s="2" t="s">
        <v>28</v>
      </c>
      <c r="AL605" s="2" t="s">
        <v>25</v>
      </c>
    </row>
    <row r="606" ht="14.25" customHeight="1">
      <c r="A606" s="17">
        <v>46106.0</v>
      </c>
      <c r="B606" s="2" t="s">
        <v>31</v>
      </c>
      <c r="C606" s="2" t="s">
        <v>31</v>
      </c>
      <c r="D606" s="2" t="s">
        <v>31</v>
      </c>
      <c r="E606" s="2" t="s">
        <v>31</v>
      </c>
      <c r="F606" s="2" t="s">
        <v>31</v>
      </c>
      <c r="G606" s="2" t="s">
        <v>31</v>
      </c>
      <c r="H606" s="2" t="s">
        <v>31</v>
      </c>
      <c r="I606" s="2" t="s">
        <v>31</v>
      </c>
      <c r="J606" s="2" t="s">
        <v>31</v>
      </c>
      <c r="K606" s="2" t="s">
        <v>31</v>
      </c>
      <c r="L606" s="2" t="s">
        <v>31</v>
      </c>
      <c r="M606" s="2" t="s">
        <v>31</v>
      </c>
      <c r="N606" s="2" t="s">
        <v>31</v>
      </c>
      <c r="O606" s="2" t="s">
        <v>31</v>
      </c>
      <c r="P606" s="2" t="s">
        <v>31</v>
      </c>
      <c r="Q606" s="2" t="s">
        <v>31</v>
      </c>
      <c r="R606" s="2" t="s">
        <v>31</v>
      </c>
      <c r="S606" s="2" t="s">
        <v>31</v>
      </c>
      <c r="T606" s="2" t="s">
        <v>31</v>
      </c>
      <c r="U606" s="2" t="s">
        <v>20</v>
      </c>
      <c r="V606" s="2" t="s">
        <v>19</v>
      </c>
      <c r="W606" s="2" t="s">
        <v>28</v>
      </c>
      <c r="X606" s="2" t="s">
        <v>16</v>
      </c>
      <c r="Y606" s="2" t="s">
        <v>20</v>
      </c>
      <c r="Z606" s="2" t="s">
        <v>28</v>
      </c>
      <c r="AA606" s="2" t="s">
        <v>21</v>
      </c>
      <c r="AB606" s="2" t="s">
        <v>25</v>
      </c>
      <c r="AC606" s="2" t="s">
        <v>16</v>
      </c>
      <c r="AD606" s="2" t="s">
        <v>16</v>
      </c>
      <c r="AE606" s="2" t="s">
        <v>21</v>
      </c>
      <c r="AF606" s="2" t="s">
        <v>16</v>
      </c>
      <c r="AG606" s="2" t="s">
        <v>20</v>
      </c>
      <c r="AH606" s="2" t="s">
        <v>16</v>
      </c>
      <c r="AI606" s="2" t="s">
        <v>16</v>
      </c>
      <c r="AJ606" s="2" t="s">
        <v>21</v>
      </c>
      <c r="AK606" s="2" t="s">
        <v>25</v>
      </c>
      <c r="AL606" s="2" t="s">
        <v>26</v>
      </c>
    </row>
    <row r="607" ht="14.25" customHeight="1">
      <c r="A607" s="17">
        <v>46107.0</v>
      </c>
      <c r="B607" s="2" t="s">
        <v>31</v>
      </c>
      <c r="C607" s="2" t="s">
        <v>31</v>
      </c>
      <c r="D607" s="2" t="s">
        <v>31</v>
      </c>
      <c r="E607" s="2" t="s">
        <v>31</v>
      </c>
      <c r="F607" s="2" t="s">
        <v>31</v>
      </c>
      <c r="G607" s="2" t="s">
        <v>31</v>
      </c>
      <c r="H607" s="2" t="s">
        <v>31</v>
      </c>
      <c r="I607" s="2" t="s">
        <v>31</v>
      </c>
      <c r="J607" s="2" t="s">
        <v>31</v>
      </c>
      <c r="K607" s="2" t="s">
        <v>31</v>
      </c>
      <c r="L607" s="2" t="s">
        <v>31</v>
      </c>
      <c r="M607" s="2" t="s">
        <v>31</v>
      </c>
      <c r="N607" s="2" t="s">
        <v>31</v>
      </c>
      <c r="O607" s="2" t="s">
        <v>31</v>
      </c>
      <c r="P607" s="2" t="s">
        <v>31</v>
      </c>
      <c r="Q607" s="2" t="s">
        <v>31</v>
      </c>
      <c r="R607" s="2" t="s">
        <v>31</v>
      </c>
      <c r="S607" s="2" t="s">
        <v>31</v>
      </c>
      <c r="T607" s="2" t="s">
        <v>31</v>
      </c>
      <c r="U607" s="2" t="s">
        <v>26</v>
      </c>
      <c r="V607" s="2" t="s">
        <v>26</v>
      </c>
      <c r="W607" s="2" t="s">
        <v>25</v>
      </c>
      <c r="X607" s="2" t="s">
        <v>19</v>
      </c>
      <c r="Y607" s="2" t="s">
        <v>16</v>
      </c>
      <c r="Z607" s="2" t="s">
        <v>16</v>
      </c>
      <c r="AA607" s="2" t="s">
        <v>16</v>
      </c>
      <c r="AB607" s="2" t="s">
        <v>27</v>
      </c>
      <c r="AC607" s="2" t="s">
        <v>26</v>
      </c>
      <c r="AD607" s="2" t="s">
        <v>16</v>
      </c>
      <c r="AE607" s="2" t="s">
        <v>24</v>
      </c>
      <c r="AF607" s="2" t="s">
        <v>28</v>
      </c>
      <c r="AG607" s="2" t="s">
        <v>27</v>
      </c>
      <c r="AH607" s="2" t="s">
        <v>28</v>
      </c>
      <c r="AI607" s="2" t="s">
        <v>16</v>
      </c>
      <c r="AJ607" s="2" t="s">
        <v>16</v>
      </c>
      <c r="AK607" s="2" t="s">
        <v>16</v>
      </c>
      <c r="AL607" s="2" t="s">
        <v>21</v>
      </c>
    </row>
    <row r="608" ht="14.25" customHeight="1">
      <c r="A608" s="17">
        <v>46108.0</v>
      </c>
      <c r="B608" s="2" t="s">
        <v>31</v>
      </c>
      <c r="C608" s="2" t="s">
        <v>31</v>
      </c>
      <c r="D608" s="2" t="s">
        <v>31</v>
      </c>
      <c r="E608" s="2" t="s">
        <v>31</v>
      </c>
      <c r="F608" s="2" t="s">
        <v>31</v>
      </c>
      <c r="G608" s="2" t="s">
        <v>31</v>
      </c>
      <c r="H608" s="2" t="s">
        <v>31</v>
      </c>
      <c r="I608" s="2" t="s">
        <v>31</v>
      </c>
      <c r="J608" s="2" t="s">
        <v>31</v>
      </c>
      <c r="K608" s="2" t="s">
        <v>31</v>
      </c>
      <c r="L608" s="2" t="s">
        <v>31</v>
      </c>
      <c r="M608" s="2" t="s">
        <v>31</v>
      </c>
      <c r="N608" s="2" t="s">
        <v>31</v>
      </c>
      <c r="O608" s="2" t="s">
        <v>31</v>
      </c>
      <c r="P608" s="2" t="s">
        <v>31</v>
      </c>
      <c r="Q608" s="2" t="s">
        <v>31</v>
      </c>
      <c r="R608" s="2" t="s">
        <v>31</v>
      </c>
      <c r="S608" s="2" t="s">
        <v>31</v>
      </c>
      <c r="T608" s="2" t="s">
        <v>31</v>
      </c>
      <c r="U608" s="2" t="s">
        <v>16</v>
      </c>
      <c r="V608" s="2" t="s">
        <v>17</v>
      </c>
      <c r="W608" s="2" t="s">
        <v>20</v>
      </c>
      <c r="X608" s="2" t="s">
        <v>16</v>
      </c>
      <c r="Y608" s="2" t="s">
        <v>20</v>
      </c>
      <c r="Z608" s="2" t="s">
        <v>19</v>
      </c>
      <c r="AA608" s="2" t="s">
        <v>27</v>
      </c>
      <c r="AB608" s="2" t="s">
        <v>16</v>
      </c>
      <c r="AC608" s="2" t="s">
        <v>16</v>
      </c>
      <c r="AD608" s="2" t="s">
        <v>19</v>
      </c>
      <c r="AE608" s="2" t="s">
        <v>20</v>
      </c>
      <c r="AF608" s="2" t="s">
        <v>24</v>
      </c>
      <c r="AG608" s="2" t="s">
        <v>27</v>
      </c>
      <c r="AH608" s="2" t="s">
        <v>16</v>
      </c>
      <c r="AI608" s="2" t="s">
        <v>17</v>
      </c>
      <c r="AJ608" s="2" t="s">
        <v>26</v>
      </c>
      <c r="AK608" s="2" t="s">
        <v>22</v>
      </c>
      <c r="AL608" s="2" t="s">
        <v>21</v>
      </c>
    </row>
    <row r="609" ht="14.25" customHeight="1">
      <c r="A609" s="17">
        <v>46109.0</v>
      </c>
      <c r="B609" s="2" t="s">
        <v>29</v>
      </c>
      <c r="C609" s="2" t="s">
        <v>17</v>
      </c>
      <c r="D609" s="2" t="s">
        <v>16</v>
      </c>
      <c r="E609" s="2" t="s">
        <v>38</v>
      </c>
      <c r="F609" s="2" t="s">
        <v>16</v>
      </c>
      <c r="G609" s="2" t="s">
        <v>17</v>
      </c>
      <c r="H609" s="2" t="s">
        <v>29</v>
      </c>
      <c r="I609" s="2" t="s">
        <v>38</v>
      </c>
      <c r="J609" s="2" t="s">
        <v>25</v>
      </c>
      <c r="K609" s="2" t="s">
        <v>21</v>
      </c>
      <c r="L609" s="2" t="s">
        <v>36</v>
      </c>
      <c r="M609" s="2" t="s">
        <v>41</v>
      </c>
      <c r="N609" s="2" t="s">
        <v>20</v>
      </c>
      <c r="O609" s="2" t="s">
        <v>17</v>
      </c>
      <c r="P609" s="2" t="s">
        <v>27</v>
      </c>
      <c r="Q609" s="2" t="s">
        <v>29</v>
      </c>
      <c r="R609" s="2" t="s">
        <v>17</v>
      </c>
      <c r="S609" s="2" t="s">
        <v>25</v>
      </c>
      <c r="T609" s="2" t="s">
        <v>18</v>
      </c>
      <c r="U609" s="2" t="s">
        <v>27</v>
      </c>
      <c r="V609" s="2" t="s">
        <v>16</v>
      </c>
      <c r="W609" s="2" t="s">
        <v>27</v>
      </c>
      <c r="X609" s="2" t="s">
        <v>20</v>
      </c>
      <c r="Y609" s="2" t="s">
        <v>16</v>
      </c>
      <c r="Z609" s="2" t="s">
        <v>16</v>
      </c>
      <c r="AA609" s="2" t="s">
        <v>20</v>
      </c>
      <c r="AB609" s="2" t="s">
        <v>21</v>
      </c>
      <c r="AC609" s="2" t="s">
        <v>19</v>
      </c>
      <c r="AD609" s="2" t="s">
        <v>17</v>
      </c>
      <c r="AE609" s="2" t="s">
        <v>18</v>
      </c>
      <c r="AF609" s="2" t="s">
        <v>16</v>
      </c>
      <c r="AG609" s="2" t="s">
        <v>25</v>
      </c>
      <c r="AH609" s="2" t="s">
        <v>27</v>
      </c>
      <c r="AI609" s="2" t="s">
        <v>28</v>
      </c>
      <c r="AJ609" s="2" t="s">
        <v>27</v>
      </c>
      <c r="AK609" s="2" t="s">
        <v>22</v>
      </c>
      <c r="AL609" s="2" t="s">
        <v>19</v>
      </c>
    </row>
    <row r="610" ht="14.25" customHeight="1">
      <c r="A610" s="17">
        <v>46110.0</v>
      </c>
      <c r="B610" s="2" t="s">
        <v>31</v>
      </c>
      <c r="C610" s="2" t="s">
        <v>31</v>
      </c>
      <c r="D610" s="2" t="s">
        <v>31</v>
      </c>
      <c r="E610" s="2" t="s">
        <v>31</v>
      </c>
      <c r="F610" s="2" t="s">
        <v>31</v>
      </c>
      <c r="G610" s="2" t="s">
        <v>31</v>
      </c>
      <c r="H610" s="2" t="s">
        <v>31</v>
      </c>
      <c r="I610" s="2" t="s">
        <v>31</v>
      </c>
      <c r="J610" s="2" t="s">
        <v>31</v>
      </c>
      <c r="K610" s="2" t="s">
        <v>31</v>
      </c>
      <c r="L610" s="2" t="s">
        <v>31</v>
      </c>
      <c r="M610" s="2" t="s">
        <v>31</v>
      </c>
      <c r="N610" s="2" t="s">
        <v>31</v>
      </c>
      <c r="O610" s="2" t="s">
        <v>31</v>
      </c>
      <c r="P610" s="2" t="s">
        <v>31</v>
      </c>
      <c r="Q610" s="2" t="s">
        <v>31</v>
      </c>
      <c r="R610" s="2" t="s">
        <v>31</v>
      </c>
      <c r="S610" s="2" t="s">
        <v>31</v>
      </c>
      <c r="T610" s="2" t="s">
        <v>31</v>
      </c>
      <c r="U610" s="2" t="s">
        <v>26</v>
      </c>
      <c r="V610" s="2" t="s">
        <v>16</v>
      </c>
      <c r="W610" s="2" t="s">
        <v>16</v>
      </c>
      <c r="X610" s="2" t="s">
        <v>16</v>
      </c>
      <c r="Y610" s="2" t="s">
        <v>22</v>
      </c>
      <c r="Z610" s="2" t="s">
        <v>19</v>
      </c>
      <c r="AA610" s="2" t="s">
        <v>19</v>
      </c>
      <c r="AB610" s="2" t="s">
        <v>16</v>
      </c>
      <c r="AC610" s="2" t="s">
        <v>23</v>
      </c>
      <c r="AD610" s="2" t="s">
        <v>25</v>
      </c>
      <c r="AE610" s="2" t="s">
        <v>26</v>
      </c>
      <c r="AF610" s="2" t="s">
        <v>17</v>
      </c>
      <c r="AG610" s="2" t="s">
        <v>16</v>
      </c>
      <c r="AH610" s="2" t="s">
        <v>17</v>
      </c>
      <c r="AI610" s="2" t="s">
        <v>20</v>
      </c>
      <c r="AJ610" s="2" t="s">
        <v>26</v>
      </c>
      <c r="AK610" s="2" t="s">
        <v>27</v>
      </c>
      <c r="AL610" s="2" t="s">
        <v>17</v>
      </c>
    </row>
    <row r="611" ht="14.25" customHeight="1">
      <c r="A611" s="17">
        <v>46111.0</v>
      </c>
      <c r="B611" s="2" t="s">
        <v>31</v>
      </c>
      <c r="C611" s="2" t="s">
        <v>31</v>
      </c>
      <c r="D611" s="2" t="s">
        <v>31</v>
      </c>
      <c r="E611" s="2" t="s">
        <v>31</v>
      </c>
      <c r="F611" s="2" t="s">
        <v>31</v>
      </c>
      <c r="G611" s="2" t="s">
        <v>31</v>
      </c>
      <c r="H611" s="2" t="s">
        <v>31</v>
      </c>
      <c r="I611" s="2" t="s">
        <v>31</v>
      </c>
      <c r="J611" s="2" t="s">
        <v>31</v>
      </c>
      <c r="K611" s="2" t="s">
        <v>31</v>
      </c>
      <c r="L611" s="2" t="s">
        <v>31</v>
      </c>
      <c r="M611" s="2" t="s">
        <v>31</v>
      </c>
      <c r="N611" s="2" t="s">
        <v>31</v>
      </c>
      <c r="O611" s="2" t="s">
        <v>31</v>
      </c>
      <c r="P611" s="2" t="s">
        <v>31</v>
      </c>
      <c r="Q611" s="2" t="s">
        <v>31</v>
      </c>
      <c r="R611" s="2" t="s">
        <v>31</v>
      </c>
      <c r="S611" s="2" t="s">
        <v>31</v>
      </c>
      <c r="T611" s="2" t="s">
        <v>31</v>
      </c>
      <c r="U611" s="2" t="s">
        <v>16</v>
      </c>
      <c r="V611" s="2" t="s">
        <v>25</v>
      </c>
      <c r="W611" s="2" t="s">
        <v>18</v>
      </c>
      <c r="X611" s="2" t="s">
        <v>16</v>
      </c>
      <c r="Y611" s="2" t="s">
        <v>16</v>
      </c>
      <c r="Z611" s="2" t="s">
        <v>19</v>
      </c>
      <c r="AA611" s="2" t="s">
        <v>17</v>
      </c>
      <c r="AB611" s="2" t="s">
        <v>26</v>
      </c>
      <c r="AC611" s="2" t="s">
        <v>21</v>
      </c>
      <c r="AD611" s="2" t="s">
        <v>22</v>
      </c>
      <c r="AE611" s="2" t="s">
        <v>17</v>
      </c>
      <c r="AF611" s="2" t="s">
        <v>17</v>
      </c>
      <c r="AG611" s="2" t="s">
        <v>25</v>
      </c>
      <c r="AH611" s="2" t="s">
        <v>28</v>
      </c>
      <c r="AI611" s="2" t="s">
        <v>16</v>
      </c>
      <c r="AJ611" s="2" t="s">
        <v>26</v>
      </c>
      <c r="AK611" s="2" t="s">
        <v>26</v>
      </c>
      <c r="AL611" s="2" t="s">
        <v>21</v>
      </c>
    </row>
    <row r="612" ht="14.25" customHeight="1">
      <c r="A612" s="17">
        <v>46112.0</v>
      </c>
      <c r="B612" s="2" t="s">
        <v>31</v>
      </c>
      <c r="C612" s="2" t="s">
        <v>31</v>
      </c>
      <c r="D612" s="2" t="s">
        <v>31</v>
      </c>
      <c r="E612" s="2" t="s">
        <v>31</v>
      </c>
      <c r="F612" s="2" t="s">
        <v>31</v>
      </c>
      <c r="G612" s="2" t="s">
        <v>31</v>
      </c>
      <c r="H612" s="2" t="s">
        <v>31</v>
      </c>
      <c r="I612" s="2" t="s">
        <v>31</v>
      </c>
      <c r="J612" s="2" t="s">
        <v>31</v>
      </c>
      <c r="K612" s="2" t="s">
        <v>31</v>
      </c>
      <c r="L612" s="2" t="s">
        <v>31</v>
      </c>
      <c r="M612" s="2" t="s">
        <v>31</v>
      </c>
      <c r="N612" s="2" t="s">
        <v>31</v>
      </c>
      <c r="O612" s="2" t="s">
        <v>31</v>
      </c>
      <c r="P612" s="2" t="s">
        <v>31</v>
      </c>
      <c r="Q612" s="2" t="s">
        <v>31</v>
      </c>
      <c r="R612" s="2" t="s">
        <v>31</v>
      </c>
      <c r="S612" s="2" t="s">
        <v>31</v>
      </c>
      <c r="T612" s="2" t="s">
        <v>31</v>
      </c>
      <c r="U612" s="2" t="s">
        <v>20</v>
      </c>
      <c r="V612" s="2" t="s">
        <v>26</v>
      </c>
      <c r="W612" s="2" t="s">
        <v>21</v>
      </c>
      <c r="X612" s="2" t="s">
        <v>21</v>
      </c>
      <c r="Y612" s="2" t="s">
        <v>20</v>
      </c>
      <c r="Z612" s="2" t="s">
        <v>28</v>
      </c>
      <c r="AA612" s="2" t="s">
        <v>16</v>
      </c>
      <c r="AB612" s="2" t="s">
        <v>27</v>
      </c>
      <c r="AC612" s="2" t="s">
        <v>21</v>
      </c>
      <c r="AD612" s="2" t="s">
        <v>24</v>
      </c>
      <c r="AE612" s="2" t="s">
        <v>22</v>
      </c>
      <c r="AF612" s="2" t="s">
        <v>16</v>
      </c>
      <c r="AG612" s="2" t="s">
        <v>27</v>
      </c>
      <c r="AH612" s="2" t="s">
        <v>16</v>
      </c>
      <c r="AI612" s="2" t="s">
        <v>28</v>
      </c>
      <c r="AJ612" s="2" t="s">
        <v>25</v>
      </c>
      <c r="AK612" s="2" t="s">
        <v>16</v>
      </c>
      <c r="AL612" s="2" t="s">
        <v>21</v>
      </c>
    </row>
    <row r="613" ht="14.25" customHeight="1">
      <c r="A613" s="17">
        <v>46113.0</v>
      </c>
      <c r="B613" s="2" t="s">
        <v>31</v>
      </c>
      <c r="C613" s="2" t="s">
        <v>31</v>
      </c>
      <c r="D613" s="2" t="s">
        <v>31</v>
      </c>
      <c r="E613" s="2" t="s">
        <v>31</v>
      </c>
      <c r="F613" s="2" t="s">
        <v>31</v>
      </c>
      <c r="G613" s="2" t="s">
        <v>31</v>
      </c>
      <c r="H613" s="2" t="s">
        <v>31</v>
      </c>
      <c r="I613" s="2" t="s">
        <v>31</v>
      </c>
      <c r="J613" s="2" t="s">
        <v>31</v>
      </c>
      <c r="K613" s="2" t="s">
        <v>31</v>
      </c>
      <c r="L613" s="2" t="s">
        <v>31</v>
      </c>
      <c r="M613" s="2" t="s">
        <v>31</v>
      </c>
      <c r="N613" s="2" t="s">
        <v>31</v>
      </c>
      <c r="O613" s="2" t="s">
        <v>31</v>
      </c>
      <c r="P613" s="2" t="s">
        <v>31</v>
      </c>
      <c r="Q613" s="2" t="s">
        <v>31</v>
      </c>
      <c r="R613" s="2" t="s">
        <v>31</v>
      </c>
      <c r="S613" s="2" t="s">
        <v>31</v>
      </c>
      <c r="T613" s="2" t="s">
        <v>31</v>
      </c>
      <c r="U613" s="2" t="s">
        <v>17</v>
      </c>
      <c r="V613" s="2" t="s">
        <v>21</v>
      </c>
      <c r="W613" s="2" t="s">
        <v>25</v>
      </c>
      <c r="X613" s="2" t="s">
        <v>27</v>
      </c>
      <c r="Y613" s="2" t="s">
        <v>27</v>
      </c>
      <c r="Z613" s="2" t="s">
        <v>19</v>
      </c>
      <c r="AA613" s="2" t="s">
        <v>25</v>
      </c>
      <c r="AB613" s="2" t="s">
        <v>22</v>
      </c>
      <c r="AC613" s="2" t="s">
        <v>22</v>
      </c>
      <c r="AD613" s="2" t="s">
        <v>16</v>
      </c>
      <c r="AE613" s="2" t="s">
        <v>16</v>
      </c>
      <c r="AF613" s="2" t="s">
        <v>18</v>
      </c>
      <c r="AG613" s="2" t="s">
        <v>22</v>
      </c>
      <c r="AH613" s="2" t="s">
        <v>17</v>
      </c>
      <c r="AI613" s="2" t="s">
        <v>16</v>
      </c>
      <c r="AJ613" s="2" t="s">
        <v>19</v>
      </c>
      <c r="AK613" s="2" t="s">
        <v>16</v>
      </c>
      <c r="AL613" s="2" t="s">
        <v>25</v>
      </c>
    </row>
    <row r="614" ht="14.25" customHeight="1">
      <c r="A614" s="17">
        <v>46114.0</v>
      </c>
      <c r="B614" s="2" t="s">
        <v>31</v>
      </c>
      <c r="C614" s="2" t="s">
        <v>31</v>
      </c>
      <c r="D614" s="2" t="s">
        <v>31</v>
      </c>
      <c r="E614" s="2" t="s">
        <v>31</v>
      </c>
      <c r="F614" s="2" t="s">
        <v>31</v>
      </c>
      <c r="G614" s="2" t="s">
        <v>31</v>
      </c>
      <c r="H614" s="2" t="s">
        <v>31</v>
      </c>
      <c r="I614" s="2" t="s">
        <v>31</v>
      </c>
      <c r="J614" s="2" t="s">
        <v>31</v>
      </c>
      <c r="K614" s="2" t="s">
        <v>31</v>
      </c>
      <c r="L614" s="2" t="s">
        <v>31</v>
      </c>
      <c r="M614" s="2" t="s">
        <v>31</v>
      </c>
      <c r="N614" s="2" t="s">
        <v>31</v>
      </c>
      <c r="O614" s="2" t="s">
        <v>31</v>
      </c>
      <c r="P614" s="2" t="s">
        <v>31</v>
      </c>
      <c r="Q614" s="2" t="s">
        <v>31</v>
      </c>
      <c r="R614" s="2" t="s">
        <v>31</v>
      </c>
      <c r="S614" s="2" t="s">
        <v>31</v>
      </c>
      <c r="T614" s="2" t="s">
        <v>31</v>
      </c>
      <c r="U614" s="2" t="s">
        <v>21</v>
      </c>
      <c r="V614" s="2" t="s">
        <v>26</v>
      </c>
      <c r="W614" s="2" t="s">
        <v>16</v>
      </c>
      <c r="X614" s="2" t="s">
        <v>23</v>
      </c>
      <c r="Y614" s="2" t="s">
        <v>28</v>
      </c>
      <c r="Z614" s="2" t="s">
        <v>28</v>
      </c>
      <c r="AA614" s="2" t="s">
        <v>22</v>
      </c>
      <c r="AB614" s="2" t="s">
        <v>18</v>
      </c>
      <c r="AC614" s="2" t="s">
        <v>27</v>
      </c>
      <c r="AD614" s="2" t="s">
        <v>16</v>
      </c>
      <c r="AE614" s="2" t="s">
        <v>16</v>
      </c>
      <c r="AF614" s="2" t="s">
        <v>18</v>
      </c>
      <c r="AG614" s="2" t="s">
        <v>17</v>
      </c>
      <c r="AH614" s="2" t="s">
        <v>16</v>
      </c>
      <c r="AI614" s="2" t="s">
        <v>16</v>
      </c>
      <c r="AJ614" s="2" t="s">
        <v>25</v>
      </c>
      <c r="AK614" s="2" t="s">
        <v>16</v>
      </c>
      <c r="AL614" s="2" t="s">
        <v>16</v>
      </c>
    </row>
    <row r="615" ht="14.25" customHeight="1">
      <c r="A615" s="17">
        <v>46115.0</v>
      </c>
      <c r="B615" s="2" t="s">
        <v>31</v>
      </c>
      <c r="C615" s="2" t="s">
        <v>31</v>
      </c>
      <c r="D615" s="2" t="s">
        <v>31</v>
      </c>
      <c r="E615" s="2" t="s">
        <v>31</v>
      </c>
      <c r="F615" s="2" t="s">
        <v>31</v>
      </c>
      <c r="G615" s="2" t="s">
        <v>31</v>
      </c>
      <c r="H615" s="2" t="s">
        <v>31</v>
      </c>
      <c r="I615" s="2" t="s">
        <v>31</v>
      </c>
      <c r="J615" s="2" t="s">
        <v>31</v>
      </c>
      <c r="K615" s="2" t="s">
        <v>31</v>
      </c>
      <c r="L615" s="2" t="s">
        <v>31</v>
      </c>
      <c r="M615" s="2" t="s">
        <v>31</v>
      </c>
      <c r="N615" s="2" t="s">
        <v>31</v>
      </c>
      <c r="O615" s="2" t="s">
        <v>31</v>
      </c>
      <c r="P615" s="2" t="s">
        <v>31</v>
      </c>
      <c r="Q615" s="2" t="s">
        <v>31</v>
      </c>
      <c r="R615" s="2" t="s">
        <v>31</v>
      </c>
      <c r="S615" s="2" t="s">
        <v>31</v>
      </c>
      <c r="T615" s="2" t="s">
        <v>31</v>
      </c>
      <c r="U615" s="2" t="s">
        <v>27</v>
      </c>
      <c r="V615" s="2" t="s">
        <v>16</v>
      </c>
      <c r="W615" s="2" t="s">
        <v>25</v>
      </c>
      <c r="X615" s="2" t="s">
        <v>21</v>
      </c>
      <c r="Y615" s="2" t="s">
        <v>26</v>
      </c>
      <c r="Z615" s="2" t="s">
        <v>16</v>
      </c>
      <c r="AA615" s="2" t="s">
        <v>19</v>
      </c>
      <c r="AB615" s="2" t="s">
        <v>16</v>
      </c>
      <c r="AC615" s="2" t="s">
        <v>28</v>
      </c>
      <c r="AD615" s="2" t="s">
        <v>25</v>
      </c>
      <c r="AE615" s="2" t="s">
        <v>27</v>
      </c>
      <c r="AF615" s="2" t="s">
        <v>19</v>
      </c>
      <c r="AG615" s="2" t="s">
        <v>19</v>
      </c>
      <c r="AH615" s="2" t="s">
        <v>22</v>
      </c>
      <c r="AI615" s="2" t="s">
        <v>20</v>
      </c>
      <c r="AJ615" s="2" t="s">
        <v>16</v>
      </c>
      <c r="AK615" s="2" t="s">
        <v>16</v>
      </c>
      <c r="AL615" s="2" t="s">
        <v>26</v>
      </c>
    </row>
    <row r="616" ht="14.25" customHeight="1">
      <c r="A616" s="17">
        <v>46116.0</v>
      </c>
      <c r="B616" s="2" t="s">
        <v>33</v>
      </c>
      <c r="C616" s="2" t="s">
        <v>19</v>
      </c>
      <c r="D616" s="2" t="s">
        <v>38</v>
      </c>
      <c r="E616" s="2" t="s">
        <v>33</v>
      </c>
      <c r="F616" s="2" t="s">
        <v>38</v>
      </c>
      <c r="G616" s="2" t="s">
        <v>16</v>
      </c>
      <c r="H616" s="2" t="s">
        <v>39</v>
      </c>
      <c r="I616" s="2" t="s">
        <v>20</v>
      </c>
      <c r="J616" s="2" t="s">
        <v>40</v>
      </c>
      <c r="K616" s="2" t="s">
        <v>32</v>
      </c>
      <c r="L616" s="2" t="s">
        <v>36</v>
      </c>
      <c r="M616" s="2" t="s">
        <v>35</v>
      </c>
      <c r="N616" s="2" t="s">
        <v>28</v>
      </c>
      <c r="O616" s="2" t="s">
        <v>16</v>
      </c>
      <c r="P616" s="2" t="s">
        <v>33</v>
      </c>
      <c r="Q616" s="2" t="s">
        <v>39</v>
      </c>
      <c r="R616" s="2" t="s">
        <v>37</v>
      </c>
      <c r="S616" s="2" t="s">
        <v>39</v>
      </c>
      <c r="T616" s="2" t="s">
        <v>17</v>
      </c>
      <c r="U616" s="2" t="s">
        <v>24</v>
      </c>
      <c r="V616" s="2" t="s">
        <v>25</v>
      </c>
      <c r="W616" s="2" t="s">
        <v>26</v>
      </c>
      <c r="X616" s="2" t="s">
        <v>19</v>
      </c>
      <c r="Y616" s="2" t="s">
        <v>25</v>
      </c>
      <c r="Z616" s="2" t="s">
        <v>16</v>
      </c>
      <c r="AA616" s="2" t="s">
        <v>26</v>
      </c>
      <c r="AB616" s="2" t="s">
        <v>21</v>
      </c>
      <c r="AC616" s="2" t="s">
        <v>16</v>
      </c>
      <c r="AD616" s="2" t="s">
        <v>19</v>
      </c>
      <c r="AE616" s="2" t="s">
        <v>16</v>
      </c>
      <c r="AF616" s="2" t="s">
        <v>25</v>
      </c>
      <c r="AG616" s="2" t="s">
        <v>17</v>
      </c>
      <c r="AH616" s="2" t="s">
        <v>20</v>
      </c>
      <c r="AI616" s="2" t="s">
        <v>16</v>
      </c>
      <c r="AJ616" s="2" t="s">
        <v>21</v>
      </c>
      <c r="AK616" s="2" t="s">
        <v>22</v>
      </c>
      <c r="AL616" s="2" t="s">
        <v>16</v>
      </c>
    </row>
    <row r="617" ht="14.25" customHeight="1">
      <c r="A617" s="17">
        <v>46117.0</v>
      </c>
      <c r="B617" s="2" t="s">
        <v>31</v>
      </c>
      <c r="C617" s="2" t="s">
        <v>31</v>
      </c>
      <c r="D617" s="2" t="s">
        <v>31</v>
      </c>
      <c r="E617" s="2" t="s">
        <v>31</v>
      </c>
      <c r="F617" s="2" t="s">
        <v>31</v>
      </c>
      <c r="G617" s="2" t="s">
        <v>31</v>
      </c>
      <c r="H617" s="2" t="s">
        <v>31</v>
      </c>
      <c r="I617" s="2" t="s">
        <v>31</v>
      </c>
      <c r="J617" s="2" t="s">
        <v>31</v>
      </c>
      <c r="K617" s="2" t="s">
        <v>31</v>
      </c>
      <c r="L617" s="2" t="s">
        <v>31</v>
      </c>
      <c r="M617" s="2" t="s">
        <v>31</v>
      </c>
      <c r="N617" s="2" t="s">
        <v>31</v>
      </c>
      <c r="O617" s="2" t="s">
        <v>31</v>
      </c>
      <c r="P617" s="2" t="s">
        <v>31</v>
      </c>
      <c r="Q617" s="2" t="s">
        <v>31</v>
      </c>
      <c r="R617" s="2" t="s">
        <v>31</v>
      </c>
      <c r="S617" s="2" t="s">
        <v>31</v>
      </c>
      <c r="T617" s="2" t="s">
        <v>31</v>
      </c>
      <c r="U617" s="2" t="s">
        <v>25</v>
      </c>
      <c r="V617" s="2" t="s">
        <v>20</v>
      </c>
      <c r="W617" s="2" t="s">
        <v>26</v>
      </c>
      <c r="X617" s="2" t="s">
        <v>28</v>
      </c>
      <c r="Y617" s="2" t="s">
        <v>25</v>
      </c>
      <c r="Z617" s="2" t="s">
        <v>27</v>
      </c>
      <c r="AA617" s="2" t="s">
        <v>16</v>
      </c>
      <c r="AB617" s="2" t="s">
        <v>21</v>
      </c>
      <c r="AC617" s="2" t="s">
        <v>20</v>
      </c>
      <c r="AD617" s="2" t="s">
        <v>28</v>
      </c>
      <c r="AE617" s="2" t="s">
        <v>27</v>
      </c>
      <c r="AF617" s="2" t="s">
        <v>17</v>
      </c>
      <c r="AG617" s="2" t="s">
        <v>26</v>
      </c>
      <c r="AH617" s="2" t="s">
        <v>16</v>
      </c>
      <c r="AI617" s="2" t="s">
        <v>25</v>
      </c>
      <c r="AJ617" s="2" t="s">
        <v>25</v>
      </c>
      <c r="AK617" s="2" t="s">
        <v>16</v>
      </c>
      <c r="AL617" s="2" t="s">
        <v>16</v>
      </c>
    </row>
    <row r="618" ht="14.25" customHeight="1">
      <c r="A618" s="17">
        <v>46118.0</v>
      </c>
      <c r="B618" s="2" t="s">
        <v>31</v>
      </c>
      <c r="C618" s="2" t="s">
        <v>31</v>
      </c>
      <c r="D618" s="2" t="s">
        <v>31</v>
      </c>
      <c r="E618" s="2" t="s">
        <v>31</v>
      </c>
      <c r="F618" s="2" t="s">
        <v>31</v>
      </c>
      <c r="G618" s="2" t="s">
        <v>31</v>
      </c>
      <c r="H618" s="2" t="s">
        <v>31</v>
      </c>
      <c r="I618" s="2" t="s">
        <v>31</v>
      </c>
      <c r="J618" s="2" t="s">
        <v>31</v>
      </c>
      <c r="K618" s="2" t="s">
        <v>31</v>
      </c>
      <c r="L618" s="2" t="s">
        <v>31</v>
      </c>
      <c r="M618" s="2" t="s">
        <v>31</v>
      </c>
      <c r="N618" s="2" t="s">
        <v>31</v>
      </c>
      <c r="O618" s="2" t="s">
        <v>31</v>
      </c>
      <c r="P618" s="2" t="s">
        <v>31</v>
      </c>
      <c r="Q618" s="2" t="s">
        <v>31</v>
      </c>
      <c r="R618" s="2" t="s">
        <v>31</v>
      </c>
      <c r="S618" s="2" t="s">
        <v>31</v>
      </c>
      <c r="T618" s="2" t="s">
        <v>31</v>
      </c>
      <c r="U618" s="2" t="s">
        <v>16</v>
      </c>
      <c r="V618" s="2" t="s">
        <v>16</v>
      </c>
      <c r="W618" s="2" t="s">
        <v>21</v>
      </c>
      <c r="X618" s="2" t="s">
        <v>16</v>
      </c>
      <c r="Y618" s="2" t="s">
        <v>20</v>
      </c>
      <c r="Z618" s="2" t="s">
        <v>21</v>
      </c>
      <c r="AA618" s="2" t="s">
        <v>27</v>
      </c>
      <c r="AB618" s="2" t="s">
        <v>16</v>
      </c>
      <c r="AC618" s="2" t="s">
        <v>28</v>
      </c>
      <c r="AD618" s="2" t="s">
        <v>17</v>
      </c>
      <c r="AE618" s="2" t="s">
        <v>16</v>
      </c>
      <c r="AF618" s="2" t="s">
        <v>20</v>
      </c>
      <c r="AG618" s="2" t="s">
        <v>21</v>
      </c>
      <c r="AH618" s="2" t="s">
        <v>19</v>
      </c>
      <c r="AI618" s="2" t="s">
        <v>22</v>
      </c>
      <c r="AJ618" s="2" t="s">
        <v>25</v>
      </c>
      <c r="AK618" s="2" t="s">
        <v>22</v>
      </c>
      <c r="AL618" s="2" t="s">
        <v>26</v>
      </c>
    </row>
    <row r="619" ht="14.25" customHeight="1">
      <c r="A619" s="17">
        <v>46119.0</v>
      </c>
      <c r="B619" s="2" t="s">
        <v>31</v>
      </c>
      <c r="C619" s="2" t="s">
        <v>31</v>
      </c>
      <c r="D619" s="2" t="s">
        <v>31</v>
      </c>
      <c r="E619" s="2" t="s">
        <v>31</v>
      </c>
      <c r="F619" s="2" t="s">
        <v>31</v>
      </c>
      <c r="G619" s="2" t="s">
        <v>31</v>
      </c>
      <c r="H619" s="2" t="s">
        <v>31</v>
      </c>
      <c r="I619" s="2" t="s">
        <v>31</v>
      </c>
      <c r="J619" s="2" t="s">
        <v>31</v>
      </c>
      <c r="K619" s="2" t="s">
        <v>31</v>
      </c>
      <c r="L619" s="2" t="s">
        <v>31</v>
      </c>
      <c r="M619" s="2" t="s">
        <v>31</v>
      </c>
      <c r="N619" s="2" t="s">
        <v>31</v>
      </c>
      <c r="O619" s="2" t="s">
        <v>31</v>
      </c>
      <c r="P619" s="2" t="s">
        <v>31</v>
      </c>
      <c r="Q619" s="2" t="s">
        <v>31</v>
      </c>
      <c r="R619" s="2" t="s">
        <v>31</v>
      </c>
      <c r="S619" s="2" t="s">
        <v>31</v>
      </c>
      <c r="T619" s="2" t="s">
        <v>31</v>
      </c>
      <c r="U619" s="2" t="s">
        <v>25</v>
      </c>
      <c r="V619" s="2" t="s">
        <v>16</v>
      </c>
      <c r="W619" s="2" t="s">
        <v>26</v>
      </c>
      <c r="X619" s="2" t="s">
        <v>27</v>
      </c>
      <c r="Y619" s="2" t="s">
        <v>27</v>
      </c>
      <c r="Z619" s="2" t="s">
        <v>17</v>
      </c>
      <c r="AA619" s="2" t="s">
        <v>16</v>
      </c>
      <c r="AB619" s="2" t="s">
        <v>21</v>
      </c>
      <c r="AC619" s="2" t="s">
        <v>24</v>
      </c>
      <c r="AD619" s="2" t="s">
        <v>26</v>
      </c>
      <c r="AE619" s="2" t="s">
        <v>17</v>
      </c>
      <c r="AF619" s="2" t="s">
        <v>22</v>
      </c>
      <c r="AG619" s="2" t="s">
        <v>16</v>
      </c>
      <c r="AH619" s="2" t="s">
        <v>21</v>
      </c>
      <c r="AI619" s="2" t="s">
        <v>24</v>
      </c>
      <c r="AJ619" s="2" t="s">
        <v>21</v>
      </c>
      <c r="AK619" s="2" t="s">
        <v>16</v>
      </c>
      <c r="AL619" s="2" t="s">
        <v>17</v>
      </c>
    </row>
    <row r="620" ht="14.25" customHeight="1">
      <c r="A620" s="17">
        <v>46120.0</v>
      </c>
      <c r="B620" s="2" t="s">
        <v>31</v>
      </c>
      <c r="C620" s="2" t="s">
        <v>31</v>
      </c>
      <c r="D620" s="2" t="s">
        <v>31</v>
      </c>
      <c r="E620" s="2" t="s">
        <v>31</v>
      </c>
      <c r="F620" s="2" t="s">
        <v>31</v>
      </c>
      <c r="G620" s="2" t="s">
        <v>31</v>
      </c>
      <c r="H620" s="2" t="s">
        <v>31</v>
      </c>
      <c r="I620" s="2" t="s">
        <v>31</v>
      </c>
      <c r="J620" s="2" t="s">
        <v>31</v>
      </c>
      <c r="K620" s="2" t="s">
        <v>31</v>
      </c>
      <c r="L620" s="2" t="s">
        <v>31</v>
      </c>
      <c r="M620" s="2" t="s">
        <v>31</v>
      </c>
      <c r="N620" s="2" t="s">
        <v>31</v>
      </c>
      <c r="O620" s="2" t="s">
        <v>31</v>
      </c>
      <c r="P620" s="2" t="s">
        <v>31</v>
      </c>
      <c r="Q620" s="2" t="s">
        <v>31</v>
      </c>
      <c r="R620" s="2" t="s">
        <v>31</v>
      </c>
      <c r="S620" s="2" t="s">
        <v>31</v>
      </c>
      <c r="T620" s="2" t="s">
        <v>31</v>
      </c>
      <c r="U620" s="2" t="s">
        <v>21</v>
      </c>
      <c r="V620" s="2" t="s">
        <v>16</v>
      </c>
      <c r="W620" s="2" t="s">
        <v>16</v>
      </c>
      <c r="X620" s="2" t="s">
        <v>16</v>
      </c>
      <c r="Y620" s="2" t="s">
        <v>28</v>
      </c>
      <c r="Z620" s="2" t="s">
        <v>19</v>
      </c>
      <c r="AA620" s="2" t="s">
        <v>18</v>
      </c>
      <c r="AB620" s="2" t="s">
        <v>16</v>
      </c>
      <c r="AC620" s="2" t="s">
        <v>16</v>
      </c>
      <c r="AD620" s="2" t="s">
        <v>27</v>
      </c>
      <c r="AE620" s="2" t="s">
        <v>16</v>
      </c>
      <c r="AF620" s="2" t="s">
        <v>20</v>
      </c>
      <c r="AG620" s="2" t="s">
        <v>24</v>
      </c>
      <c r="AH620" s="2" t="s">
        <v>16</v>
      </c>
      <c r="AI620" s="2" t="s">
        <v>26</v>
      </c>
      <c r="AJ620" s="2" t="s">
        <v>27</v>
      </c>
      <c r="AK620" s="2" t="s">
        <v>27</v>
      </c>
      <c r="AL620" s="2" t="s">
        <v>25</v>
      </c>
    </row>
    <row r="621" ht="14.25" customHeight="1">
      <c r="A621" s="17">
        <v>46121.0</v>
      </c>
      <c r="B621" s="2" t="s">
        <v>31</v>
      </c>
      <c r="C621" s="2" t="s">
        <v>31</v>
      </c>
      <c r="D621" s="2" t="s">
        <v>31</v>
      </c>
      <c r="E621" s="2" t="s">
        <v>31</v>
      </c>
      <c r="F621" s="2" t="s">
        <v>31</v>
      </c>
      <c r="G621" s="2" t="s">
        <v>31</v>
      </c>
      <c r="H621" s="2" t="s">
        <v>31</v>
      </c>
      <c r="I621" s="2" t="s">
        <v>31</v>
      </c>
      <c r="J621" s="2" t="s">
        <v>31</v>
      </c>
      <c r="K621" s="2" t="s">
        <v>31</v>
      </c>
      <c r="L621" s="2" t="s">
        <v>31</v>
      </c>
      <c r="M621" s="2" t="s">
        <v>31</v>
      </c>
      <c r="N621" s="2" t="s">
        <v>31</v>
      </c>
      <c r="O621" s="2" t="s">
        <v>31</v>
      </c>
      <c r="P621" s="2" t="s">
        <v>31</v>
      </c>
      <c r="Q621" s="2" t="s">
        <v>31</v>
      </c>
      <c r="R621" s="2" t="s">
        <v>31</v>
      </c>
      <c r="S621" s="2" t="s">
        <v>31</v>
      </c>
      <c r="T621" s="2" t="s">
        <v>31</v>
      </c>
      <c r="U621" s="2" t="s">
        <v>21</v>
      </c>
      <c r="V621" s="2" t="s">
        <v>19</v>
      </c>
      <c r="W621" s="2" t="s">
        <v>18</v>
      </c>
      <c r="X621" s="2" t="s">
        <v>16</v>
      </c>
      <c r="Y621" s="2" t="s">
        <v>17</v>
      </c>
      <c r="Z621" s="2" t="s">
        <v>19</v>
      </c>
      <c r="AA621" s="2" t="s">
        <v>21</v>
      </c>
      <c r="AB621" s="2" t="s">
        <v>26</v>
      </c>
      <c r="AC621" s="2" t="s">
        <v>17</v>
      </c>
      <c r="AD621" s="2" t="s">
        <v>16</v>
      </c>
      <c r="AE621" s="2" t="s">
        <v>16</v>
      </c>
      <c r="AF621" s="2" t="s">
        <v>26</v>
      </c>
      <c r="AG621" s="2" t="s">
        <v>16</v>
      </c>
      <c r="AH621" s="2" t="s">
        <v>23</v>
      </c>
      <c r="AI621" s="2" t="s">
        <v>21</v>
      </c>
      <c r="AJ621" s="2" t="s">
        <v>28</v>
      </c>
      <c r="AK621" s="2" t="s">
        <v>19</v>
      </c>
      <c r="AL621" s="2" t="s">
        <v>16</v>
      </c>
    </row>
    <row r="622" ht="14.25" customHeight="1">
      <c r="A622" s="17">
        <v>46122.0</v>
      </c>
      <c r="B622" s="2" t="s">
        <v>31</v>
      </c>
      <c r="C622" s="2" t="s">
        <v>31</v>
      </c>
      <c r="D622" s="2" t="s">
        <v>31</v>
      </c>
      <c r="E622" s="2" t="s">
        <v>31</v>
      </c>
      <c r="F622" s="2" t="s">
        <v>31</v>
      </c>
      <c r="G622" s="2" t="s">
        <v>31</v>
      </c>
      <c r="H622" s="2" t="s">
        <v>31</v>
      </c>
      <c r="I622" s="2" t="s">
        <v>31</v>
      </c>
      <c r="J622" s="2" t="s">
        <v>31</v>
      </c>
      <c r="K622" s="2" t="s">
        <v>31</v>
      </c>
      <c r="L622" s="2" t="s">
        <v>31</v>
      </c>
      <c r="M622" s="2" t="s">
        <v>31</v>
      </c>
      <c r="N622" s="2" t="s">
        <v>31</v>
      </c>
      <c r="O622" s="2" t="s">
        <v>31</v>
      </c>
      <c r="P622" s="2" t="s">
        <v>31</v>
      </c>
      <c r="Q622" s="2" t="s">
        <v>31</v>
      </c>
      <c r="R622" s="2" t="s">
        <v>31</v>
      </c>
      <c r="S622" s="2" t="s">
        <v>31</v>
      </c>
      <c r="T622" s="2" t="s">
        <v>31</v>
      </c>
      <c r="U622" s="2" t="s">
        <v>16</v>
      </c>
      <c r="V622" s="2" t="s">
        <v>27</v>
      </c>
      <c r="W622" s="2" t="s">
        <v>19</v>
      </c>
      <c r="X622" s="2" t="s">
        <v>25</v>
      </c>
      <c r="Y622" s="2" t="s">
        <v>22</v>
      </c>
      <c r="Z622" s="2" t="s">
        <v>21</v>
      </c>
      <c r="AA622" s="2" t="s">
        <v>20</v>
      </c>
      <c r="AB622" s="2" t="s">
        <v>16</v>
      </c>
      <c r="AC622" s="2" t="s">
        <v>16</v>
      </c>
      <c r="AD622" s="2" t="s">
        <v>16</v>
      </c>
      <c r="AE622" s="2" t="s">
        <v>17</v>
      </c>
      <c r="AF622" s="2" t="s">
        <v>26</v>
      </c>
      <c r="AG622" s="2" t="s">
        <v>27</v>
      </c>
      <c r="AH622" s="2" t="s">
        <v>18</v>
      </c>
      <c r="AI622" s="2" t="s">
        <v>24</v>
      </c>
      <c r="AJ622" s="2" t="s">
        <v>28</v>
      </c>
      <c r="AK622" s="2" t="s">
        <v>21</v>
      </c>
      <c r="AL622" s="2" t="s">
        <v>24</v>
      </c>
    </row>
    <row r="623" ht="14.25" customHeight="1">
      <c r="A623" s="17">
        <v>46123.0</v>
      </c>
      <c r="B623" s="2" t="s">
        <v>33</v>
      </c>
      <c r="C623" s="2" t="s">
        <v>24</v>
      </c>
      <c r="D623" s="2" t="s">
        <v>33</v>
      </c>
      <c r="E623" s="2" t="s">
        <v>16</v>
      </c>
      <c r="F623" s="2" t="s">
        <v>22</v>
      </c>
      <c r="G623" s="2" t="s">
        <v>21</v>
      </c>
      <c r="H623" s="2" t="s">
        <v>29</v>
      </c>
      <c r="I623" s="2" t="s">
        <v>43</v>
      </c>
      <c r="J623" s="2" t="s">
        <v>36</v>
      </c>
      <c r="K623" s="2" t="s">
        <v>22</v>
      </c>
      <c r="L623" s="2" t="s">
        <v>16</v>
      </c>
      <c r="M623" s="2" t="s">
        <v>25</v>
      </c>
      <c r="N623" s="2" t="s">
        <v>16</v>
      </c>
      <c r="O623" s="2" t="s">
        <v>34</v>
      </c>
      <c r="P623" s="2" t="s">
        <v>24</v>
      </c>
      <c r="Q623" s="2" t="s">
        <v>42</v>
      </c>
      <c r="R623" s="2" t="s">
        <v>40</v>
      </c>
      <c r="S623" s="2" t="s">
        <v>35</v>
      </c>
      <c r="T623" s="2" t="s">
        <v>36</v>
      </c>
      <c r="U623" s="2" t="s">
        <v>16</v>
      </c>
      <c r="V623" s="2" t="s">
        <v>16</v>
      </c>
      <c r="W623" s="2" t="s">
        <v>16</v>
      </c>
      <c r="X623" s="2" t="s">
        <v>28</v>
      </c>
      <c r="Y623" s="2" t="s">
        <v>22</v>
      </c>
      <c r="Z623" s="2" t="s">
        <v>27</v>
      </c>
      <c r="AA623" s="2" t="s">
        <v>25</v>
      </c>
      <c r="AB623" s="2" t="s">
        <v>20</v>
      </c>
      <c r="AC623" s="2" t="s">
        <v>26</v>
      </c>
      <c r="AD623" s="2" t="s">
        <v>16</v>
      </c>
      <c r="AE623" s="2" t="s">
        <v>17</v>
      </c>
      <c r="AF623" s="2" t="s">
        <v>20</v>
      </c>
      <c r="AG623" s="2" t="s">
        <v>16</v>
      </c>
      <c r="AH623" s="2" t="s">
        <v>17</v>
      </c>
      <c r="AI623" s="2" t="s">
        <v>16</v>
      </c>
      <c r="AJ623" s="2" t="s">
        <v>16</v>
      </c>
      <c r="AK623" s="2" t="s">
        <v>16</v>
      </c>
      <c r="AL623" s="2" t="s">
        <v>24</v>
      </c>
    </row>
    <row r="624" ht="14.25" customHeight="1">
      <c r="A624" s="17">
        <v>46124.0</v>
      </c>
      <c r="B624" s="2" t="s">
        <v>31</v>
      </c>
      <c r="C624" s="2" t="s">
        <v>31</v>
      </c>
      <c r="D624" s="2" t="s">
        <v>31</v>
      </c>
      <c r="E624" s="2" t="s">
        <v>31</v>
      </c>
      <c r="F624" s="2" t="s">
        <v>31</v>
      </c>
      <c r="G624" s="2" t="s">
        <v>31</v>
      </c>
      <c r="H624" s="2" t="s">
        <v>31</v>
      </c>
      <c r="I624" s="2" t="s">
        <v>31</v>
      </c>
      <c r="J624" s="2" t="s">
        <v>31</v>
      </c>
      <c r="K624" s="2" t="s">
        <v>31</v>
      </c>
      <c r="L624" s="2" t="s">
        <v>31</v>
      </c>
      <c r="M624" s="2" t="s">
        <v>31</v>
      </c>
      <c r="N624" s="2" t="s">
        <v>31</v>
      </c>
      <c r="O624" s="2" t="s">
        <v>31</v>
      </c>
      <c r="P624" s="2" t="s">
        <v>31</v>
      </c>
      <c r="Q624" s="2" t="s">
        <v>31</v>
      </c>
      <c r="R624" s="2" t="s">
        <v>31</v>
      </c>
      <c r="S624" s="2" t="s">
        <v>31</v>
      </c>
      <c r="T624" s="2" t="s">
        <v>31</v>
      </c>
      <c r="U624" s="2" t="s">
        <v>16</v>
      </c>
      <c r="V624" s="2" t="s">
        <v>16</v>
      </c>
      <c r="W624" s="2" t="s">
        <v>16</v>
      </c>
      <c r="X624" s="2" t="s">
        <v>20</v>
      </c>
      <c r="Y624" s="2" t="s">
        <v>25</v>
      </c>
      <c r="Z624" s="2" t="s">
        <v>21</v>
      </c>
      <c r="AA624" s="2" t="s">
        <v>16</v>
      </c>
      <c r="AB624" s="2" t="s">
        <v>27</v>
      </c>
      <c r="AC624" s="2" t="s">
        <v>17</v>
      </c>
      <c r="AD624" s="2" t="s">
        <v>16</v>
      </c>
      <c r="AE624" s="2" t="s">
        <v>22</v>
      </c>
      <c r="AF624" s="2" t="s">
        <v>26</v>
      </c>
      <c r="AG624" s="2" t="s">
        <v>17</v>
      </c>
      <c r="AH624" s="2" t="s">
        <v>16</v>
      </c>
      <c r="AI624" s="2" t="s">
        <v>17</v>
      </c>
      <c r="AJ624" s="2" t="s">
        <v>16</v>
      </c>
      <c r="AK624" s="2" t="s">
        <v>20</v>
      </c>
      <c r="AL624" s="2" t="s">
        <v>25</v>
      </c>
    </row>
    <row r="625" ht="14.25" customHeight="1">
      <c r="A625" s="17">
        <v>46125.0</v>
      </c>
      <c r="B625" s="2" t="s">
        <v>31</v>
      </c>
      <c r="C625" s="2" t="s">
        <v>31</v>
      </c>
      <c r="D625" s="2" t="s">
        <v>31</v>
      </c>
      <c r="E625" s="2" t="s">
        <v>31</v>
      </c>
      <c r="F625" s="2" t="s">
        <v>31</v>
      </c>
      <c r="G625" s="2" t="s">
        <v>31</v>
      </c>
      <c r="H625" s="2" t="s">
        <v>31</v>
      </c>
      <c r="I625" s="2" t="s">
        <v>31</v>
      </c>
      <c r="J625" s="2" t="s">
        <v>31</v>
      </c>
      <c r="K625" s="2" t="s">
        <v>31</v>
      </c>
      <c r="L625" s="2" t="s">
        <v>31</v>
      </c>
      <c r="M625" s="2" t="s">
        <v>31</v>
      </c>
      <c r="N625" s="2" t="s">
        <v>31</v>
      </c>
      <c r="O625" s="2" t="s">
        <v>31</v>
      </c>
      <c r="P625" s="2" t="s">
        <v>31</v>
      </c>
      <c r="Q625" s="2" t="s">
        <v>31</v>
      </c>
      <c r="R625" s="2" t="s">
        <v>31</v>
      </c>
      <c r="S625" s="2" t="s">
        <v>31</v>
      </c>
      <c r="T625" s="2" t="s">
        <v>31</v>
      </c>
      <c r="U625" s="2" t="s">
        <v>16</v>
      </c>
      <c r="V625" s="2" t="s">
        <v>28</v>
      </c>
      <c r="W625" s="2" t="s">
        <v>16</v>
      </c>
      <c r="X625" s="2" t="s">
        <v>26</v>
      </c>
      <c r="Y625" s="2" t="s">
        <v>21</v>
      </c>
      <c r="Z625" s="2" t="s">
        <v>26</v>
      </c>
      <c r="AA625" s="2" t="s">
        <v>25</v>
      </c>
      <c r="AB625" s="2" t="s">
        <v>20</v>
      </c>
      <c r="AC625" s="2" t="s">
        <v>26</v>
      </c>
      <c r="AD625" s="2" t="s">
        <v>16</v>
      </c>
      <c r="AE625" s="2" t="s">
        <v>17</v>
      </c>
      <c r="AF625" s="2" t="s">
        <v>26</v>
      </c>
      <c r="AG625" s="2" t="s">
        <v>26</v>
      </c>
      <c r="AH625" s="2" t="s">
        <v>24</v>
      </c>
      <c r="AI625" s="2" t="s">
        <v>20</v>
      </c>
      <c r="AJ625" s="2" t="s">
        <v>28</v>
      </c>
      <c r="AK625" s="2" t="s">
        <v>23</v>
      </c>
      <c r="AL625" s="2" t="s">
        <v>23</v>
      </c>
    </row>
    <row r="626" ht="14.25" customHeight="1">
      <c r="A626" s="17">
        <v>46126.0</v>
      </c>
      <c r="B626" s="2" t="s">
        <v>31</v>
      </c>
      <c r="C626" s="2" t="s">
        <v>31</v>
      </c>
      <c r="D626" s="2" t="s">
        <v>31</v>
      </c>
      <c r="E626" s="2" t="s">
        <v>31</v>
      </c>
      <c r="F626" s="2" t="s">
        <v>31</v>
      </c>
      <c r="G626" s="2" t="s">
        <v>31</v>
      </c>
      <c r="H626" s="2" t="s">
        <v>31</v>
      </c>
      <c r="I626" s="2" t="s">
        <v>31</v>
      </c>
      <c r="J626" s="2" t="s">
        <v>31</v>
      </c>
      <c r="K626" s="2" t="s">
        <v>31</v>
      </c>
      <c r="L626" s="2" t="s">
        <v>31</v>
      </c>
      <c r="M626" s="2" t="s">
        <v>31</v>
      </c>
      <c r="N626" s="2" t="s">
        <v>31</v>
      </c>
      <c r="O626" s="2" t="s">
        <v>31</v>
      </c>
      <c r="P626" s="2" t="s">
        <v>31</v>
      </c>
      <c r="Q626" s="2" t="s">
        <v>31</v>
      </c>
      <c r="R626" s="2" t="s">
        <v>31</v>
      </c>
      <c r="S626" s="2" t="s">
        <v>31</v>
      </c>
      <c r="T626" s="2" t="s">
        <v>31</v>
      </c>
      <c r="U626" s="2" t="s">
        <v>24</v>
      </c>
      <c r="V626" s="2" t="s">
        <v>16</v>
      </c>
      <c r="W626" s="2" t="s">
        <v>26</v>
      </c>
      <c r="X626" s="2" t="s">
        <v>16</v>
      </c>
      <c r="Y626" s="2" t="s">
        <v>26</v>
      </c>
      <c r="Z626" s="2" t="s">
        <v>18</v>
      </c>
      <c r="AA626" s="2" t="s">
        <v>16</v>
      </c>
      <c r="AB626" s="2" t="s">
        <v>21</v>
      </c>
      <c r="AC626" s="2" t="s">
        <v>24</v>
      </c>
      <c r="AD626" s="2" t="s">
        <v>20</v>
      </c>
      <c r="AE626" s="2" t="s">
        <v>16</v>
      </c>
      <c r="AF626" s="2" t="s">
        <v>16</v>
      </c>
      <c r="AG626" s="2" t="s">
        <v>28</v>
      </c>
      <c r="AH626" s="2" t="s">
        <v>16</v>
      </c>
      <c r="AI626" s="2" t="s">
        <v>26</v>
      </c>
      <c r="AJ626" s="2" t="s">
        <v>19</v>
      </c>
      <c r="AK626" s="2" t="s">
        <v>24</v>
      </c>
      <c r="AL626" s="2" t="s">
        <v>21</v>
      </c>
    </row>
    <row r="627" ht="14.25" customHeight="1">
      <c r="A627" s="17">
        <v>46127.0</v>
      </c>
      <c r="B627" s="2" t="s">
        <v>31</v>
      </c>
      <c r="C627" s="2" t="s">
        <v>31</v>
      </c>
      <c r="D627" s="2" t="s">
        <v>31</v>
      </c>
      <c r="E627" s="2" t="s">
        <v>31</v>
      </c>
      <c r="F627" s="2" t="s">
        <v>31</v>
      </c>
      <c r="G627" s="2" t="s">
        <v>31</v>
      </c>
      <c r="H627" s="2" t="s">
        <v>31</v>
      </c>
      <c r="I627" s="2" t="s">
        <v>31</v>
      </c>
      <c r="J627" s="2" t="s">
        <v>31</v>
      </c>
      <c r="K627" s="2" t="s">
        <v>31</v>
      </c>
      <c r="L627" s="2" t="s">
        <v>31</v>
      </c>
      <c r="M627" s="2" t="s">
        <v>31</v>
      </c>
      <c r="N627" s="2" t="s">
        <v>31</v>
      </c>
      <c r="O627" s="2" t="s">
        <v>31</v>
      </c>
      <c r="P627" s="2" t="s">
        <v>31</v>
      </c>
      <c r="Q627" s="2" t="s">
        <v>31</v>
      </c>
      <c r="R627" s="2" t="s">
        <v>31</v>
      </c>
      <c r="S627" s="2" t="s">
        <v>31</v>
      </c>
      <c r="T627" s="2" t="s">
        <v>31</v>
      </c>
      <c r="U627" s="2" t="s">
        <v>22</v>
      </c>
      <c r="V627" s="2" t="s">
        <v>16</v>
      </c>
      <c r="W627" s="2" t="s">
        <v>24</v>
      </c>
      <c r="X627" s="2" t="s">
        <v>22</v>
      </c>
      <c r="Y627" s="2" t="s">
        <v>22</v>
      </c>
      <c r="Z627" s="2" t="s">
        <v>16</v>
      </c>
      <c r="AA627" s="2" t="s">
        <v>16</v>
      </c>
      <c r="AB627" s="2" t="s">
        <v>22</v>
      </c>
      <c r="AC627" s="2" t="s">
        <v>22</v>
      </c>
      <c r="AD627" s="2" t="s">
        <v>16</v>
      </c>
      <c r="AE627" s="2" t="s">
        <v>25</v>
      </c>
      <c r="AF627" s="2" t="s">
        <v>19</v>
      </c>
      <c r="AG627" s="2" t="s">
        <v>16</v>
      </c>
      <c r="AH627" s="2" t="s">
        <v>16</v>
      </c>
      <c r="AI627" s="2" t="s">
        <v>20</v>
      </c>
      <c r="AJ627" s="2" t="s">
        <v>16</v>
      </c>
      <c r="AK627" s="2" t="s">
        <v>16</v>
      </c>
      <c r="AL627" s="2" t="s">
        <v>24</v>
      </c>
    </row>
    <row r="628" ht="14.25" customHeight="1">
      <c r="A628" s="17">
        <v>46128.0</v>
      </c>
      <c r="B628" s="2" t="s">
        <v>31</v>
      </c>
      <c r="C628" s="2" t="s">
        <v>31</v>
      </c>
      <c r="D628" s="2" t="s">
        <v>31</v>
      </c>
      <c r="E628" s="2" t="s">
        <v>31</v>
      </c>
      <c r="F628" s="2" t="s">
        <v>31</v>
      </c>
      <c r="G628" s="2" t="s">
        <v>31</v>
      </c>
      <c r="H628" s="2" t="s">
        <v>31</v>
      </c>
      <c r="I628" s="2" t="s">
        <v>31</v>
      </c>
      <c r="J628" s="2" t="s">
        <v>31</v>
      </c>
      <c r="K628" s="2" t="s">
        <v>31</v>
      </c>
      <c r="L628" s="2" t="s">
        <v>31</v>
      </c>
      <c r="M628" s="2" t="s">
        <v>31</v>
      </c>
      <c r="N628" s="2" t="s">
        <v>31</v>
      </c>
      <c r="O628" s="2" t="s">
        <v>31</v>
      </c>
      <c r="P628" s="2" t="s">
        <v>31</v>
      </c>
      <c r="Q628" s="2" t="s">
        <v>31</v>
      </c>
      <c r="R628" s="2" t="s">
        <v>31</v>
      </c>
      <c r="S628" s="2" t="s">
        <v>31</v>
      </c>
      <c r="T628" s="2" t="s">
        <v>31</v>
      </c>
      <c r="U628" s="2" t="s">
        <v>23</v>
      </c>
      <c r="V628" s="2" t="s">
        <v>16</v>
      </c>
      <c r="W628" s="2" t="s">
        <v>20</v>
      </c>
      <c r="X628" s="2" t="s">
        <v>23</v>
      </c>
      <c r="Y628" s="2" t="s">
        <v>20</v>
      </c>
      <c r="Z628" s="2" t="s">
        <v>19</v>
      </c>
      <c r="AA628" s="2" t="s">
        <v>16</v>
      </c>
      <c r="AB628" s="2" t="s">
        <v>17</v>
      </c>
      <c r="AC628" s="2" t="s">
        <v>20</v>
      </c>
      <c r="AD628" s="2" t="s">
        <v>21</v>
      </c>
      <c r="AE628" s="2" t="s">
        <v>27</v>
      </c>
      <c r="AF628" s="2" t="s">
        <v>22</v>
      </c>
      <c r="AG628" s="2" t="s">
        <v>25</v>
      </c>
      <c r="AH628" s="2" t="s">
        <v>28</v>
      </c>
      <c r="AI628" s="2" t="s">
        <v>28</v>
      </c>
      <c r="AJ628" s="2" t="s">
        <v>25</v>
      </c>
      <c r="AK628" s="2" t="s">
        <v>16</v>
      </c>
      <c r="AL628" s="2" t="s">
        <v>22</v>
      </c>
    </row>
    <row r="629" ht="14.25" customHeight="1">
      <c r="A629" s="17">
        <v>46129.0</v>
      </c>
      <c r="B629" s="2" t="s">
        <v>31</v>
      </c>
      <c r="C629" s="2" t="s">
        <v>31</v>
      </c>
      <c r="D629" s="2" t="s">
        <v>31</v>
      </c>
      <c r="E629" s="2" t="s">
        <v>31</v>
      </c>
      <c r="F629" s="2" t="s">
        <v>31</v>
      </c>
      <c r="G629" s="2" t="s">
        <v>31</v>
      </c>
      <c r="H629" s="2" t="s">
        <v>31</v>
      </c>
      <c r="I629" s="2" t="s">
        <v>31</v>
      </c>
      <c r="J629" s="2" t="s">
        <v>31</v>
      </c>
      <c r="K629" s="2" t="s">
        <v>31</v>
      </c>
      <c r="L629" s="2" t="s">
        <v>31</v>
      </c>
      <c r="M629" s="2" t="s">
        <v>31</v>
      </c>
      <c r="N629" s="2" t="s">
        <v>31</v>
      </c>
      <c r="O629" s="2" t="s">
        <v>31</v>
      </c>
      <c r="P629" s="2" t="s">
        <v>31</v>
      </c>
      <c r="Q629" s="2" t="s">
        <v>31</v>
      </c>
      <c r="R629" s="2" t="s">
        <v>31</v>
      </c>
      <c r="S629" s="2" t="s">
        <v>31</v>
      </c>
      <c r="T629" s="2" t="s">
        <v>31</v>
      </c>
      <c r="U629" s="2" t="s">
        <v>16</v>
      </c>
      <c r="V629" s="2" t="s">
        <v>19</v>
      </c>
      <c r="W629" s="2" t="s">
        <v>24</v>
      </c>
      <c r="X629" s="2" t="s">
        <v>18</v>
      </c>
      <c r="Y629" s="2" t="s">
        <v>16</v>
      </c>
      <c r="Z629" s="2" t="s">
        <v>22</v>
      </c>
      <c r="AA629" s="2" t="s">
        <v>20</v>
      </c>
      <c r="AB629" s="2" t="s">
        <v>20</v>
      </c>
      <c r="AC629" s="2" t="s">
        <v>17</v>
      </c>
      <c r="AD629" s="2" t="s">
        <v>16</v>
      </c>
      <c r="AE629" s="2" t="s">
        <v>27</v>
      </c>
      <c r="AF629" s="2" t="s">
        <v>18</v>
      </c>
      <c r="AG629" s="2" t="s">
        <v>16</v>
      </c>
      <c r="AH629" s="2" t="s">
        <v>16</v>
      </c>
      <c r="AI629" s="2" t="s">
        <v>16</v>
      </c>
      <c r="AJ629" s="2" t="s">
        <v>22</v>
      </c>
      <c r="AK629" s="2" t="s">
        <v>22</v>
      </c>
      <c r="AL629" s="2" t="s">
        <v>19</v>
      </c>
    </row>
    <row r="630" ht="14.25" customHeight="1">
      <c r="A630" s="17">
        <v>46130.0</v>
      </c>
      <c r="B630" s="2" t="s">
        <v>33</v>
      </c>
      <c r="C630" s="2" t="s">
        <v>30</v>
      </c>
      <c r="D630" s="2" t="s">
        <v>35</v>
      </c>
      <c r="E630" s="2" t="s">
        <v>43</v>
      </c>
      <c r="F630" s="2" t="s">
        <v>37</v>
      </c>
      <c r="G630" s="2" t="s">
        <v>16</v>
      </c>
      <c r="H630" s="2" t="s">
        <v>41</v>
      </c>
      <c r="I630" s="2" t="s">
        <v>24</v>
      </c>
      <c r="J630" s="2" t="s">
        <v>33</v>
      </c>
      <c r="K630" s="2" t="s">
        <v>27</v>
      </c>
      <c r="L630" s="2" t="s">
        <v>34</v>
      </c>
      <c r="M630" s="2" t="s">
        <v>25</v>
      </c>
      <c r="N630" s="2" t="s">
        <v>35</v>
      </c>
      <c r="O630" s="2" t="s">
        <v>21</v>
      </c>
      <c r="P630" s="2" t="s">
        <v>30</v>
      </c>
      <c r="Q630" s="2" t="s">
        <v>33</v>
      </c>
      <c r="R630" s="2" t="s">
        <v>23</v>
      </c>
      <c r="S630" s="2" t="s">
        <v>33</v>
      </c>
      <c r="T630" s="2" t="s">
        <v>17</v>
      </c>
      <c r="U630" s="2" t="s">
        <v>19</v>
      </c>
      <c r="V630" s="2" t="s">
        <v>26</v>
      </c>
      <c r="W630" s="2" t="s">
        <v>27</v>
      </c>
      <c r="X630" s="2" t="s">
        <v>28</v>
      </c>
      <c r="Y630" s="2" t="s">
        <v>26</v>
      </c>
      <c r="Z630" s="2" t="s">
        <v>16</v>
      </c>
      <c r="AA630" s="2" t="s">
        <v>28</v>
      </c>
      <c r="AB630" s="2" t="s">
        <v>16</v>
      </c>
      <c r="AC630" s="2" t="s">
        <v>21</v>
      </c>
      <c r="AD630" s="2" t="s">
        <v>23</v>
      </c>
      <c r="AE630" s="2" t="s">
        <v>16</v>
      </c>
      <c r="AF630" s="2" t="s">
        <v>25</v>
      </c>
      <c r="AG630" s="2" t="s">
        <v>17</v>
      </c>
      <c r="AH630" s="2" t="s">
        <v>21</v>
      </c>
      <c r="AI630" s="2" t="s">
        <v>17</v>
      </c>
      <c r="AJ630" s="2" t="s">
        <v>16</v>
      </c>
      <c r="AK630" s="2" t="s">
        <v>24</v>
      </c>
      <c r="AL630" s="2" t="s">
        <v>22</v>
      </c>
    </row>
    <row r="631" ht="14.25" customHeight="1">
      <c r="U631" s="2" t="s">
        <v>16</v>
      </c>
      <c r="V631" s="2" t="s">
        <v>22</v>
      </c>
      <c r="W631" s="2" t="s">
        <v>16</v>
      </c>
      <c r="X631" s="2" t="s">
        <v>16</v>
      </c>
      <c r="Y631" s="2" t="s">
        <v>21</v>
      </c>
      <c r="Z631" s="2" t="s">
        <v>25</v>
      </c>
      <c r="AA631" s="2" t="s">
        <v>27</v>
      </c>
      <c r="AB631" s="2" t="s">
        <v>20</v>
      </c>
      <c r="AC631" s="2" t="s">
        <v>25</v>
      </c>
      <c r="AD631" s="2" t="s">
        <v>28</v>
      </c>
      <c r="AE631" s="2" t="s">
        <v>19</v>
      </c>
      <c r="AF631" s="2" t="s">
        <v>16</v>
      </c>
      <c r="AG631" s="2" t="s">
        <v>16</v>
      </c>
      <c r="AH631" s="2" t="s">
        <v>16</v>
      </c>
      <c r="AI631" s="2" t="s">
        <v>17</v>
      </c>
      <c r="AJ631" s="2" t="s">
        <v>19</v>
      </c>
      <c r="AK631" s="2" t="s">
        <v>16</v>
      </c>
      <c r="AL631" s="2" t="s">
        <v>19</v>
      </c>
    </row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